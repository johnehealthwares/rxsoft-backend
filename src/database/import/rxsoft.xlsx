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uom_category"/>
    <sheet r:id="rId2" sheetId="2" name="uom"/>
    <sheet r:id="rId3" sheetId="3" name="item_category"/>
    <sheet r:id="rId4" sheetId="4" name="classification"/>
    <sheet r:id="rId5" sheetId="5" name="item"/>
    <sheet r:id="rId6" sheetId="6" name="drug"/>
    <sheet r:id="rId7" sheetId="7" name="pharmaceutical_index"/>
  </sheets>
  <calcPr fullCalcOnLoad="1"/>
</workbook>
</file>

<file path=xl/sharedStrings.xml><?xml version="1.0" encoding="utf-8"?>
<sst xmlns="http://schemas.openxmlformats.org/spreadsheetml/2006/main" count="63137" uniqueCount="9699">
  <si>
    <t>code</t>
  </si>
  <si>
    <t>clinicalName</t>
  </si>
  <si>
    <t>drugClass</t>
  </si>
  <si>
    <t>pharmacology</t>
  </si>
  <si>
    <t>indications</t>
  </si>
  <si>
    <t>contraindications</t>
  </si>
  <si>
    <t>mechanism</t>
  </si>
  <si>
    <t>uuid</t>
  </si>
  <si>
    <t>sync_status</t>
  </si>
  <si>
    <t>sync_message</t>
  </si>
  <si>
    <t>sync_time</t>
  </si>
  <si>
    <t>PN-00001</t>
  </si>
  <si>
    <t>Abacavir</t>
  </si>
  <si>
    <t>Nucleoside + nucleotide reverse transcriptase inhibitors</t>
  </si>
  <si>
    <t>NDF-listed pharmacologic agent used per formulation and approved indications.</t>
  </si>
  <si>
    <t>Condition-specific indications as defined in the Nigeria Drug Formulary.</t>
  </si>
  <si>
    <t>Contraindications include hypersensitivity and condition-specific restrictions in NDF guidance.</t>
  </si>
  <si>
    <t>Mechanism varies by active ingredient(s); refer to NDF therapeutic guidance for clinical use.</t>
  </si>
  <si>
    <t>PN-00002</t>
  </si>
  <si>
    <t>Abacavir + Efavirenz + Lamivudine</t>
  </si>
  <si>
    <t>General</t>
  </si>
  <si>
    <t>PN-00003</t>
  </si>
  <si>
    <t>Abacavir + Lamivudine</t>
  </si>
  <si>
    <t>Fixed-dose combinations (adult First line)</t>
  </si>
  <si>
    <t>PN-00004</t>
  </si>
  <si>
    <t>Abiraterone</t>
  </si>
  <si>
    <t>PN-00005</t>
  </si>
  <si>
    <t>Acetic acid</t>
  </si>
  <si>
    <t>PN-00006</t>
  </si>
  <si>
    <t>Acetylcysteine</t>
  </si>
  <si>
    <t>Specific</t>
  </si>
  <si>
    <t>PN-00007</t>
  </si>
  <si>
    <t>Acetylsalicylic acid</t>
  </si>
  <si>
    <t>Anti-platelet medicines</t>
  </si>
  <si>
    <t>PN-00008</t>
  </si>
  <si>
    <t>Aciclovir</t>
  </si>
  <si>
    <t>Antiherpes medicines</t>
  </si>
  <si>
    <t>PN-00009</t>
  </si>
  <si>
    <t>Actinomycin-D</t>
  </si>
  <si>
    <t>PN-00010</t>
  </si>
  <si>
    <t>Adalimumab</t>
  </si>
  <si>
    <t>PN-00011</t>
  </si>
  <si>
    <t>Albendazole</t>
  </si>
  <si>
    <t>Antifilarials</t>
  </si>
  <si>
    <t>PN-00012</t>
  </si>
  <si>
    <t>Alfuzosin</t>
  </si>
  <si>
    <t>PN-00013</t>
  </si>
  <si>
    <t>Allopurinol</t>
  </si>
  <si>
    <t>Non-steroidal anti-inflammatory, gout and rheumatoid medicines</t>
  </si>
  <si>
    <t>PN-00014</t>
  </si>
  <si>
    <t>Alteplase</t>
  </si>
  <si>
    <t>Thrombolytic medicines</t>
  </si>
  <si>
    <t>PN-00015</t>
  </si>
  <si>
    <t>Aluminium diacetate</t>
  </si>
  <si>
    <t>Medicines affecting skin differentiation and proliferation</t>
  </si>
  <si>
    <t>PN-00016</t>
  </si>
  <si>
    <t>Aluminium hydroxide + magnesium hydroxide</t>
  </si>
  <si>
    <t>PN-00017</t>
  </si>
  <si>
    <t>Amikacin</t>
  </si>
  <si>
    <t>Anti-tuberculosis medicines</t>
  </si>
  <si>
    <t>PN-00018</t>
  </si>
  <si>
    <t>Amiloride</t>
  </si>
  <si>
    <t>Antihypertensive medicines</t>
  </si>
  <si>
    <t>PN-00019</t>
  </si>
  <si>
    <t>Aminobenzoic acid</t>
  </si>
  <si>
    <t>Sunscreen agents</t>
  </si>
  <si>
    <t>PN-00020</t>
  </si>
  <si>
    <t>Aminoglutethimide</t>
  </si>
  <si>
    <t>Other hormone inhibitors</t>
  </si>
  <si>
    <t>PN-00021</t>
  </si>
  <si>
    <t>Amitriptyline</t>
  </si>
  <si>
    <t>Medicines used in depressive disorders</t>
  </si>
  <si>
    <t>PN-00022</t>
  </si>
  <si>
    <t>Amlodipine</t>
  </si>
  <si>
    <t>PN-00023</t>
  </si>
  <si>
    <t>Amoxicillin</t>
  </si>
  <si>
    <t>Antibacterial medicines</t>
  </si>
  <si>
    <t>PN-00024</t>
  </si>
  <si>
    <t>Amoxicillin + Clavulanic acid</t>
  </si>
  <si>
    <t>PN-00025</t>
  </si>
  <si>
    <t>Amphotericin B</t>
  </si>
  <si>
    <t>Antifungal medicines (systemic)</t>
  </si>
  <si>
    <t>PN-00026</t>
  </si>
  <si>
    <t>Ampicillin</t>
  </si>
  <si>
    <t>PN-00027</t>
  </si>
  <si>
    <t>Anti-rabies immunoglobulin</t>
  </si>
  <si>
    <t>Human immunoglobulins</t>
  </si>
  <si>
    <t>PN-00028</t>
  </si>
  <si>
    <t>Anti-tetanus immunoglobulin</t>
  </si>
  <si>
    <t>PN-00029</t>
  </si>
  <si>
    <t>Anti-Tetanus serum</t>
  </si>
  <si>
    <t>Sera and immunoglobulins</t>
  </si>
  <si>
    <t>PN-00030</t>
  </si>
  <si>
    <t>Arachis oil + Paradichlorobenzene + Chlorobutanol + Turpentine oil</t>
  </si>
  <si>
    <t>PN-00031</t>
  </si>
  <si>
    <t>Artemether</t>
  </si>
  <si>
    <t>For treatment</t>
  </si>
  <si>
    <t>PN-00032</t>
  </si>
  <si>
    <t>Artemether + Lumefantrine</t>
  </si>
  <si>
    <t>PN-00033</t>
  </si>
  <si>
    <t>Artesunate</t>
  </si>
  <si>
    <t>PN-00034</t>
  </si>
  <si>
    <t>Artesunate + amodiaquine</t>
  </si>
  <si>
    <t>PN-00035</t>
  </si>
  <si>
    <t>Ascorbic acid</t>
  </si>
  <si>
    <t>PN-00036</t>
  </si>
  <si>
    <t>Asparaginase</t>
  </si>
  <si>
    <t>PN-00037</t>
  </si>
  <si>
    <t>Atenolol</t>
  </si>
  <si>
    <t>PN-00038</t>
  </si>
  <si>
    <t>Atorvastatin</t>
  </si>
  <si>
    <t>Lipid-lowering agents</t>
  </si>
  <si>
    <t>PN-00039</t>
  </si>
  <si>
    <t>Atovaquone + Proguanil</t>
  </si>
  <si>
    <t>Prophylaxis</t>
  </si>
  <si>
    <t>PN-00040</t>
  </si>
  <si>
    <t>Atracurium</t>
  </si>
  <si>
    <t>Skeletal muscle relaxants and cholinesterase inhibitors</t>
  </si>
  <si>
    <t>PN-00041</t>
  </si>
  <si>
    <t>Atropine</t>
  </si>
  <si>
    <t>Preoperative medication and anaesthetic adjuvants</t>
  </si>
  <si>
    <t>PN-00042</t>
  </si>
  <si>
    <t>Azathioprine</t>
  </si>
  <si>
    <t>PN-00043</t>
  </si>
  <si>
    <t>Azithromycin</t>
  </si>
  <si>
    <t>Anti-infective agents</t>
  </si>
  <si>
    <t>PN-00044</t>
  </si>
  <si>
    <t>Baclofen</t>
  </si>
  <si>
    <t>PN-00045</t>
  </si>
  <si>
    <t>Barium sulfate</t>
  </si>
  <si>
    <t>Radiocontrast media</t>
  </si>
  <si>
    <t>PN-00046</t>
  </si>
  <si>
    <t>Barrier methods</t>
  </si>
  <si>
    <t>PN-00047</t>
  </si>
  <si>
    <t>BCG vaccine</t>
  </si>
  <si>
    <t>Vaccines</t>
  </si>
  <si>
    <t>PN-00048</t>
  </si>
  <si>
    <t>Beclomethasone</t>
  </si>
  <si>
    <t>PN-00049</t>
  </si>
  <si>
    <t>Bedaquiline</t>
  </si>
  <si>
    <t>PN-00050</t>
  </si>
  <si>
    <t>Bendrofluazide</t>
  </si>
  <si>
    <t>PN-00051</t>
  </si>
  <si>
    <t>Benzathine benzylpenicillin</t>
  </si>
  <si>
    <t>PN-00052</t>
  </si>
  <si>
    <t>Benzhexol</t>
  </si>
  <si>
    <t>Antidotes to antipsychotic medicines</t>
  </si>
  <si>
    <t>PN-00053</t>
  </si>
  <si>
    <t>Benzoic acid + salicylic acid</t>
  </si>
  <si>
    <t>Antifungal medicines</t>
  </si>
  <si>
    <t>PN-00054</t>
  </si>
  <si>
    <t>Benzoin</t>
  </si>
  <si>
    <t>PN-00055</t>
  </si>
  <si>
    <t>Benzoyl peroxide</t>
  </si>
  <si>
    <t>Anti-acne medicines</t>
  </si>
  <si>
    <t>PN-00056</t>
  </si>
  <si>
    <t>Benzyl benzoate</t>
  </si>
  <si>
    <t>Scabicides and pediculicides</t>
  </si>
  <si>
    <t>PN-00057</t>
  </si>
  <si>
    <t>Benzylpenicillin</t>
  </si>
  <si>
    <t>PN-00058</t>
  </si>
  <si>
    <t>Betamethasone</t>
  </si>
  <si>
    <t>Anti-inflammatory and antipruritic medicines</t>
  </si>
  <si>
    <t>PN-00059</t>
  </si>
  <si>
    <t>Bethanecol</t>
  </si>
  <si>
    <t>PN-00060</t>
  </si>
  <si>
    <t>Bevacizumab</t>
  </si>
  <si>
    <t>PN-00061</t>
  </si>
  <si>
    <t>Bicalutamide</t>
  </si>
  <si>
    <t>PN-00062</t>
  </si>
  <si>
    <t>Biotin</t>
  </si>
  <si>
    <t>PN-00063</t>
  </si>
  <si>
    <t>Biperiden</t>
  </si>
  <si>
    <t>PN-00064</t>
  </si>
  <si>
    <t>Biphasic isophane insulin</t>
  </si>
  <si>
    <t>Insulin preparations</t>
  </si>
  <si>
    <t>PN-00065</t>
  </si>
  <si>
    <t>Bleomycin</t>
  </si>
  <si>
    <t>PN-00066</t>
  </si>
  <si>
    <t>Bortezomib</t>
  </si>
  <si>
    <t>PN-00067</t>
  </si>
  <si>
    <t>Bromazepam</t>
  </si>
  <si>
    <t>Medicines for anxiety disorders</t>
  </si>
  <si>
    <t>PN-00068</t>
  </si>
  <si>
    <t>Budesonide</t>
  </si>
  <si>
    <t>Antiasthmatic medicines</t>
  </si>
  <si>
    <t>PN-00069</t>
  </si>
  <si>
    <t>Bupivacaine</t>
  </si>
  <si>
    <t>Local anaesthetics</t>
  </si>
  <si>
    <t>PN-00070</t>
  </si>
  <si>
    <t>Buprenorphine</t>
  </si>
  <si>
    <t>Medicines used in substance dependence programmes (See Restricted Medicines List)</t>
  </si>
  <si>
    <t>PN-00071</t>
  </si>
  <si>
    <t>Buserelin</t>
  </si>
  <si>
    <t>PN-00072</t>
  </si>
  <si>
    <t>Busulfan (Busulphan)</t>
  </si>
  <si>
    <t>PN-00073</t>
  </si>
  <si>
    <t>Calamine</t>
  </si>
  <si>
    <t>PN-00074</t>
  </si>
  <si>
    <t>Calamine + Zinc oxide</t>
  </si>
  <si>
    <t>PN-00075</t>
  </si>
  <si>
    <t>Calamine lotion</t>
  </si>
  <si>
    <t>PN-00076</t>
  </si>
  <si>
    <t>Calcium gluconate</t>
  </si>
  <si>
    <t>PN-00077</t>
  </si>
  <si>
    <t>Calcium salts</t>
  </si>
  <si>
    <t>PN-00078</t>
  </si>
  <si>
    <t>Capecitabine</t>
  </si>
  <si>
    <t>PN-00079</t>
  </si>
  <si>
    <t>Capreomycin (Cm)</t>
  </si>
  <si>
    <t>PN-00080</t>
  </si>
  <si>
    <t>Captopril</t>
  </si>
  <si>
    <t>PN-00081</t>
  </si>
  <si>
    <t>Carbamazepine</t>
  </si>
  <si>
    <t>PN-00082</t>
  </si>
  <si>
    <t>Carbetocin</t>
  </si>
  <si>
    <t>Uterotonics</t>
  </si>
  <si>
    <t>PN-00083</t>
  </si>
  <si>
    <t>Carbimazole</t>
  </si>
  <si>
    <t>Antithyroid medicines</t>
  </si>
  <si>
    <t>PN-00084</t>
  </si>
  <si>
    <t>Carboplatin</t>
  </si>
  <si>
    <t>PN-00085</t>
  </si>
  <si>
    <t>Carvedilol</t>
  </si>
  <si>
    <t>Medicines used in heart failure</t>
  </si>
  <si>
    <t>PN-00086</t>
  </si>
  <si>
    <t>Cefixime</t>
  </si>
  <si>
    <t>PN-00087</t>
  </si>
  <si>
    <t>Cefpodoxime</t>
  </si>
  <si>
    <t>PN-00088</t>
  </si>
  <si>
    <t>Ceftazidime</t>
  </si>
  <si>
    <t>Antibacterial Medicine</t>
  </si>
  <si>
    <t>PN-00089</t>
  </si>
  <si>
    <t>Ceftriaxone</t>
  </si>
  <si>
    <t>PN-00090</t>
  </si>
  <si>
    <t>Cefuroxime</t>
  </si>
  <si>
    <t>PN-00091</t>
  </si>
  <si>
    <t>Celecoxib</t>
  </si>
  <si>
    <t>Non-Steriodal Anti-inflammatory drugs</t>
  </si>
  <si>
    <t>PN-00092</t>
  </si>
  <si>
    <t>Cetrimide + chlorhexidine</t>
  </si>
  <si>
    <t>PN-00093</t>
  </si>
  <si>
    <t>Charcoal ( activated)</t>
  </si>
  <si>
    <t>Non-specific</t>
  </si>
  <si>
    <t>PN-00094</t>
  </si>
  <si>
    <t>Chloramphenicol</t>
  </si>
  <si>
    <t>PN-00095</t>
  </si>
  <si>
    <t>Chlorhexidine</t>
  </si>
  <si>
    <t>PN-00096</t>
  </si>
  <si>
    <t>Chloroxylenol</t>
  </si>
  <si>
    <t>PN-00097</t>
  </si>
  <si>
    <t>Chlorphenamine maleate</t>
  </si>
  <si>
    <t>PN-00098</t>
  </si>
  <si>
    <t>Chlorpromazine</t>
  </si>
  <si>
    <t>Medicines used in psychotic disorders</t>
  </si>
  <si>
    <t>PN-00099</t>
  </si>
  <si>
    <t>Chlortetracycline</t>
  </si>
  <si>
    <t>PN-00100</t>
  </si>
  <si>
    <t>Cholecalciferol</t>
  </si>
  <si>
    <t>PN-00101</t>
  </si>
  <si>
    <t>Cholera vaccine</t>
  </si>
  <si>
    <t>PN-00102</t>
  </si>
  <si>
    <t>Chorhexidine</t>
  </si>
  <si>
    <t>PN-00103</t>
  </si>
  <si>
    <t>Chorionic gonadotropin</t>
  </si>
  <si>
    <t>Medicines acting on pituitary-ovarian axis</t>
  </si>
  <si>
    <t>PN-00104</t>
  </si>
  <si>
    <t>Ciclosporin (cyclosporin</t>
  </si>
  <si>
    <t>PN-00105</t>
  </si>
  <si>
    <t>Cinnarizine</t>
  </si>
  <si>
    <t>Antihistamines</t>
  </si>
  <si>
    <t>PN-00106</t>
  </si>
  <si>
    <t>Ciprofloxacin</t>
  </si>
  <si>
    <t>PN-00107</t>
  </si>
  <si>
    <t>Cisplatin</t>
  </si>
  <si>
    <t>PN-00108</t>
  </si>
  <si>
    <t>Clarithromycin</t>
  </si>
  <si>
    <t>PN-00109</t>
  </si>
  <si>
    <t>Clindamycin</t>
  </si>
  <si>
    <t>PN-00110</t>
  </si>
  <si>
    <t>Clobetasol</t>
  </si>
  <si>
    <t>Anti-inflammatory and antipruritic Medicines</t>
  </si>
  <si>
    <t>PN-00111</t>
  </si>
  <si>
    <t>Clofazimine</t>
  </si>
  <si>
    <t>Antileprosy medicines</t>
  </si>
  <si>
    <t>PN-00112</t>
  </si>
  <si>
    <t>Clomipramine</t>
  </si>
  <si>
    <t>Medicines used for obsessive compulsive disorders</t>
  </si>
  <si>
    <t>PN-00113</t>
  </si>
  <si>
    <t>Clonazepam</t>
  </si>
  <si>
    <t>PN-00114</t>
  </si>
  <si>
    <t>Clonidine</t>
  </si>
  <si>
    <t>PN-00115</t>
  </si>
  <si>
    <t>Clopidogrel</t>
  </si>
  <si>
    <t>PN-00116</t>
  </si>
  <si>
    <t>Clotrimazole</t>
  </si>
  <si>
    <t>PN-00117</t>
  </si>
  <si>
    <t>Cloxacillin</t>
  </si>
  <si>
    <t>PN-00118</t>
  </si>
  <si>
    <t>Co-trimoxazole</t>
  </si>
  <si>
    <t>PN-00119</t>
  </si>
  <si>
    <t>Coagulation factor IX</t>
  </si>
  <si>
    <t>Blood coagulation factors</t>
  </si>
  <si>
    <t>PN-00120</t>
  </si>
  <si>
    <t>Coagulation factor VIII</t>
  </si>
  <si>
    <t>PN-00121</t>
  </si>
  <si>
    <t>Coal tar</t>
  </si>
  <si>
    <t>PN-00122</t>
  </si>
  <si>
    <t>Cod liver oil</t>
  </si>
  <si>
    <t>PN-00123</t>
  </si>
  <si>
    <t>Colchicine</t>
  </si>
  <si>
    <t>PN-00124</t>
  </si>
  <si>
    <t>Condoms</t>
  </si>
  <si>
    <t>PN-00125</t>
  </si>
  <si>
    <t>Cotton wool</t>
  </si>
  <si>
    <t>PN-00126</t>
  </si>
  <si>
    <t>Crotamiton</t>
  </si>
  <si>
    <t>PN-00127</t>
  </si>
  <si>
    <t>Cyclizine</t>
  </si>
  <si>
    <t>Medicines for other symptoms common in palliative care</t>
  </si>
  <si>
    <t>PN-00128</t>
  </si>
  <si>
    <t>Cyclophosphamide</t>
  </si>
  <si>
    <t>PN-00129</t>
  </si>
  <si>
    <t>Cycloserine</t>
  </si>
  <si>
    <t>PN-00130</t>
  </si>
  <si>
    <t>Cytarabine</t>
  </si>
  <si>
    <t>PN-00131</t>
  </si>
  <si>
    <t>Dabigatran</t>
  </si>
  <si>
    <t>Medicines affecting coagulation</t>
  </si>
  <si>
    <t>PN-00132</t>
  </si>
  <si>
    <t>Dacabazine (DTIC)</t>
  </si>
  <si>
    <t>PN-00133</t>
  </si>
  <si>
    <t>Daclatasvir</t>
  </si>
  <si>
    <t>Medicines for hepatitis C</t>
  </si>
  <si>
    <t>PN-00134</t>
  </si>
  <si>
    <t>Danazol</t>
  </si>
  <si>
    <t>PN-00135</t>
  </si>
  <si>
    <t>Dapsone</t>
  </si>
  <si>
    <t>PN-00136</t>
  </si>
  <si>
    <t>Darrows</t>
  </si>
  <si>
    <t>Parenteral</t>
  </si>
  <si>
    <t>PN-00137</t>
  </si>
  <si>
    <t>Daunorubicin</t>
  </si>
  <si>
    <t>PN-00138</t>
  </si>
  <si>
    <t>Degarelix</t>
  </si>
  <si>
    <t>PN-00139</t>
  </si>
  <si>
    <t>Delamanid</t>
  </si>
  <si>
    <t>PN-00140</t>
  </si>
  <si>
    <t>Dequalinium hydrochloride</t>
  </si>
  <si>
    <t>PN-00141</t>
  </si>
  <si>
    <t>Desferoxamine</t>
  </si>
  <si>
    <t>PN-00142</t>
  </si>
  <si>
    <t>Desmopressin</t>
  </si>
  <si>
    <t>PN-00143</t>
  </si>
  <si>
    <t>Dexamethasone</t>
  </si>
  <si>
    <t>Anti-anaphylactics</t>
  </si>
  <si>
    <t>PN-00144</t>
  </si>
  <si>
    <t>Dextran 70</t>
  </si>
  <si>
    <t>Plasma substitutes</t>
  </si>
  <si>
    <t>PN-00145</t>
  </si>
  <si>
    <t>Diazepam</t>
  </si>
  <si>
    <t>PN-00146</t>
  </si>
  <si>
    <t>Dichloroxylenol + chlorophenol</t>
  </si>
  <si>
    <t>PN-00147</t>
  </si>
  <si>
    <t>Diclofenac</t>
  </si>
  <si>
    <t>PN-00148</t>
  </si>
  <si>
    <t>Didanosine (ddI)</t>
  </si>
  <si>
    <t>PN-00149</t>
  </si>
  <si>
    <t>Diethylcarbamazine</t>
  </si>
  <si>
    <t>PN-00150</t>
  </si>
  <si>
    <t>Diethylstilbestrol</t>
  </si>
  <si>
    <t>Estrogens</t>
  </si>
  <si>
    <t>PN-00151</t>
  </si>
  <si>
    <t>Digoxin</t>
  </si>
  <si>
    <t>PN-00152</t>
  </si>
  <si>
    <t>Dihydroartemisinin + piperaquine phosphate</t>
  </si>
  <si>
    <t>PN-00153</t>
  </si>
  <si>
    <t>Dihydrocodeine</t>
  </si>
  <si>
    <t>Narcotic analgesics</t>
  </si>
  <si>
    <t>PN-00154</t>
  </si>
  <si>
    <t>Diloxanide</t>
  </si>
  <si>
    <t>Amoebicide and antigiardiasis medicines</t>
  </si>
  <si>
    <t>PN-00155</t>
  </si>
  <si>
    <t>Diltiazem</t>
  </si>
  <si>
    <t>Anti-anginal medicines</t>
  </si>
  <si>
    <t>PN-00156</t>
  </si>
  <si>
    <t>Dimercaprol</t>
  </si>
  <si>
    <t>PN-00157</t>
  </si>
  <si>
    <t>Diphenhydramine preparations</t>
  </si>
  <si>
    <t>PN-00158</t>
  </si>
  <si>
    <t>Diphtheria antitoxin</t>
  </si>
  <si>
    <t>PN-00159</t>
  </si>
  <si>
    <t>Dipivefrin</t>
  </si>
  <si>
    <t>Topical antiglaucoma medicines</t>
  </si>
  <si>
    <t>PN-00160</t>
  </si>
  <si>
    <t>Dithranol</t>
  </si>
  <si>
    <t>PN-00161</t>
  </si>
  <si>
    <t>Dobutamine</t>
  </si>
  <si>
    <t>PN-00162</t>
  </si>
  <si>
    <t>Docetaxel</t>
  </si>
  <si>
    <t>PN-00163</t>
  </si>
  <si>
    <t>Docusate sodium</t>
  </si>
  <si>
    <t>PN-00164</t>
  </si>
  <si>
    <t>Domiphen bromide</t>
  </si>
  <si>
    <t>PN-00165</t>
  </si>
  <si>
    <t>Dopamine</t>
  </si>
  <si>
    <t>PN-00166</t>
  </si>
  <si>
    <t>Doxepin</t>
  </si>
  <si>
    <t>PN-00167</t>
  </si>
  <si>
    <t>Doxorubicin</t>
  </si>
  <si>
    <t>PN-00168</t>
  </si>
  <si>
    <t>Doxycycline</t>
  </si>
  <si>
    <t>PN-00169</t>
  </si>
  <si>
    <t>Dusting powder</t>
  </si>
  <si>
    <t>PN-00170</t>
  </si>
  <si>
    <t>Edrophonium</t>
  </si>
  <si>
    <t>Diagnostic agent for myasthenia gravis</t>
  </si>
  <si>
    <t>PN-00171</t>
  </si>
  <si>
    <t>Efavirenz</t>
  </si>
  <si>
    <t>Non-nucleoside reverse transcriptase inhibitors</t>
  </si>
  <si>
    <t>PN-00172</t>
  </si>
  <si>
    <t>Eflornithine</t>
  </si>
  <si>
    <t>Medicines for the treatment of second stage African trypanosomiasis</t>
  </si>
  <si>
    <t>PN-00173</t>
  </si>
  <si>
    <t>Elastic plaster dressings</t>
  </si>
  <si>
    <t>PN-00174</t>
  </si>
  <si>
    <t>Enalapril</t>
  </si>
  <si>
    <t>PN-00175</t>
  </si>
  <si>
    <t>Entecavir</t>
  </si>
  <si>
    <t>Medicines for hepatitis B</t>
  </si>
  <si>
    <t>PN-00176</t>
  </si>
  <si>
    <t>Epimestrol</t>
  </si>
  <si>
    <t>PN-00177</t>
  </si>
  <si>
    <t>Epinephrine (Adrenaline)</t>
  </si>
  <si>
    <t>PN-00178</t>
  </si>
  <si>
    <t>Epirubicin</t>
  </si>
  <si>
    <t>PN-00179</t>
  </si>
  <si>
    <t>Ergometrine</t>
  </si>
  <si>
    <t>PN-00180</t>
  </si>
  <si>
    <t>Ergotamine</t>
  </si>
  <si>
    <t>For treatment of acute attack</t>
  </si>
  <si>
    <t>PN-00181</t>
  </si>
  <si>
    <t>Erythromycin</t>
  </si>
  <si>
    <t>PN-00182</t>
  </si>
  <si>
    <t>Erythropoiesis-stimulating agents</t>
  </si>
  <si>
    <t>Antianaemia medicines (Haematinics)</t>
  </si>
  <si>
    <t>PN-00183</t>
  </si>
  <si>
    <t>Erythropoietin</t>
  </si>
  <si>
    <t>PN-00184</t>
  </si>
  <si>
    <t>Etanercept</t>
  </si>
  <si>
    <t>Biologicals</t>
  </si>
  <si>
    <t>PN-00185</t>
  </si>
  <si>
    <t>Ethambutol</t>
  </si>
  <si>
    <t>Antituberculosis medicines</t>
  </si>
  <si>
    <t>PN-00186</t>
  </si>
  <si>
    <t>Ethionamide</t>
  </si>
  <si>
    <t>PN-00187</t>
  </si>
  <si>
    <t>Ethosuximide</t>
  </si>
  <si>
    <t>PN-00188</t>
  </si>
  <si>
    <t>Etoposide(VP-16)</t>
  </si>
  <si>
    <t>PN-00189</t>
  </si>
  <si>
    <t>Eusol</t>
  </si>
  <si>
    <t>PN-00190</t>
  </si>
  <si>
    <t>Febuxostat</t>
  </si>
  <si>
    <t>PN-00191</t>
  </si>
  <si>
    <t>Fentanyl</t>
  </si>
  <si>
    <t>PN-00192</t>
  </si>
  <si>
    <t>Ferric ammonium citrate</t>
  </si>
  <si>
    <t>PN-00193</t>
  </si>
  <si>
    <t>Ferrous salt</t>
  </si>
  <si>
    <t>PN-00194</t>
  </si>
  <si>
    <t>Ferrous salts</t>
  </si>
  <si>
    <t>PN-00195</t>
  </si>
  <si>
    <t>Finasteride</t>
  </si>
  <si>
    <t>PN-00196</t>
  </si>
  <si>
    <t>Flucloxacillin</t>
  </si>
  <si>
    <t>PN-00197</t>
  </si>
  <si>
    <t>Fluconazole</t>
  </si>
  <si>
    <t>PN-00198</t>
  </si>
  <si>
    <t>Fludarabine</t>
  </si>
  <si>
    <t>PN-00199</t>
  </si>
  <si>
    <t>Fludrocortisone</t>
  </si>
  <si>
    <t>Adrenal hormones and synthetic substitutes</t>
  </si>
  <si>
    <t>PN-00200</t>
  </si>
  <si>
    <t>Flumazenil</t>
  </si>
  <si>
    <t>PN-00201</t>
  </si>
  <si>
    <t>Fluocinolone</t>
  </si>
  <si>
    <t>PN-00202</t>
  </si>
  <si>
    <t>Fluorescein</t>
  </si>
  <si>
    <t>Ophthalmic medicines</t>
  </si>
  <si>
    <t>PN-00203</t>
  </si>
  <si>
    <t>Fluorescein sodium</t>
  </si>
  <si>
    <t>Diagnostic eye medicines</t>
  </si>
  <si>
    <t>PN-00204</t>
  </si>
  <si>
    <t>Fluorouracil</t>
  </si>
  <si>
    <t>PN-00205</t>
  </si>
  <si>
    <t>Fluoxetine</t>
  </si>
  <si>
    <t>PN-00206</t>
  </si>
  <si>
    <t>Fluphenazine</t>
  </si>
  <si>
    <t>PN-00207</t>
  </si>
  <si>
    <t>Flutamide</t>
  </si>
  <si>
    <t>PN-00208</t>
  </si>
  <si>
    <t>Fluticasone furoate</t>
  </si>
  <si>
    <t>PN-00209</t>
  </si>
  <si>
    <t>Folic acid</t>
  </si>
  <si>
    <t>PN-00210</t>
  </si>
  <si>
    <t>Fomepizole</t>
  </si>
  <si>
    <t>PN-00211</t>
  </si>
  <si>
    <t>Formaldehyde</t>
  </si>
  <si>
    <t>PN-00212</t>
  </si>
  <si>
    <t>Furosemide</t>
  </si>
  <si>
    <t>PN-00213</t>
  </si>
  <si>
    <t>Gatifloxacin</t>
  </si>
  <si>
    <t>PN-00214</t>
  </si>
  <si>
    <t>Gemcitabine</t>
  </si>
  <si>
    <t>PN-00215</t>
  </si>
  <si>
    <t>Gentamicin</t>
  </si>
  <si>
    <t>PN-00216</t>
  </si>
  <si>
    <t>Gentian violet</t>
  </si>
  <si>
    <t>Anti-infective medicines</t>
  </si>
  <si>
    <t>PN-00217</t>
  </si>
  <si>
    <t>Glibenclamide</t>
  </si>
  <si>
    <t>Oral antidiabetic medicines</t>
  </si>
  <si>
    <t>PN-00218</t>
  </si>
  <si>
    <t>Gliclazide</t>
  </si>
  <si>
    <t>PN-00219</t>
  </si>
  <si>
    <t>Glimepyride</t>
  </si>
  <si>
    <t>PN-00220</t>
  </si>
  <si>
    <t>Glucagon</t>
  </si>
  <si>
    <t>Medicines for hypoglycaemia</t>
  </si>
  <si>
    <t>PN-00221</t>
  </si>
  <si>
    <t>Glucose</t>
  </si>
  <si>
    <t>Oral rehydration</t>
  </si>
  <si>
    <t>PN-00222</t>
  </si>
  <si>
    <t>Glucose with sodium chloride</t>
  </si>
  <si>
    <t>PN-00223</t>
  </si>
  <si>
    <t>Glutaraldehyde</t>
  </si>
  <si>
    <t>PN-00224</t>
  </si>
  <si>
    <t>Glyceryl trinitrate</t>
  </si>
  <si>
    <t>PN-00225</t>
  </si>
  <si>
    <t>Goserelin</t>
  </si>
  <si>
    <t>PN-00226</t>
  </si>
  <si>
    <t>Haloperidol</t>
  </si>
  <si>
    <t>PN-00227</t>
  </si>
  <si>
    <t>Halothane</t>
  </si>
  <si>
    <t>Inhalational medicines</t>
  </si>
  <si>
    <t>PN-00228</t>
  </si>
  <si>
    <t>Heparin sodium</t>
  </si>
  <si>
    <t>PN-00229</t>
  </si>
  <si>
    <t>Hepatitis B immunoglobulin</t>
  </si>
  <si>
    <t>PN-00230</t>
  </si>
  <si>
    <t>Hexetidine</t>
  </si>
  <si>
    <t>PN-00231</t>
  </si>
  <si>
    <t>Hexetidine solution</t>
  </si>
  <si>
    <t>Mouthwashes</t>
  </si>
  <si>
    <t>PN-00232</t>
  </si>
  <si>
    <t>Histamine phosphate</t>
  </si>
  <si>
    <t>Diagnostic agents for gastric function</t>
  </si>
  <si>
    <t>PN-00233</t>
  </si>
  <si>
    <t>Homatropine</t>
  </si>
  <si>
    <t>Mydriatic medicines</t>
  </si>
  <si>
    <t>PN-00234</t>
  </si>
  <si>
    <t>HPV vaccine</t>
  </si>
  <si>
    <t>PN-00235</t>
  </si>
  <si>
    <t>Human immunoglobulin</t>
  </si>
  <si>
    <t>PN-00236</t>
  </si>
  <si>
    <t>Hydralazine</t>
  </si>
  <si>
    <t>PN-00237</t>
  </si>
  <si>
    <t>Hydrochlorothiazide</t>
  </si>
  <si>
    <t>PN-00238</t>
  </si>
  <si>
    <t>Hydrocortisone</t>
  </si>
  <si>
    <t>PN-00239</t>
  </si>
  <si>
    <t>Hydromorphone</t>
  </si>
  <si>
    <t>Medicines used in substance dependence programmes</t>
  </si>
  <si>
    <t>PN-00240</t>
  </si>
  <si>
    <t>Hydroxocobalamin</t>
  </si>
  <si>
    <t>PN-00241</t>
  </si>
  <si>
    <t>Hydroxychloroquine</t>
  </si>
  <si>
    <t>Disease-modifying agents used in rheumatic disorders (DMARDs)</t>
  </si>
  <si>
    <t>PN-00242</t>
  </si>
  <si>
    <t>Hydroxyurea</t>
  </si>
  <si>
    <t>Medicines for haemoglobinopathies</t>
  </si>
  <si>
    <t>PN-00243</t>
  </si>
  <si>
    <t>Hyoscine hydrobromide</t>
  </si>
  <si>
    <t>PN-00244</t>
  </si>
  <si>
    <t>Hyoscine N-butylbromide</t>
  </si>
  <si>
    <t>PN-00245</t>
  </si>
  <si>
    <t>Idoxuridine</t>
  </si>
  <si>
    <t>PN-00246</t>
  </si>
  <si>
    <t>Ifosfamide</t>
  </si>
  <si>
    <t>PN-00247</t>
  </si>
  <si>
    <t>Imatinib</t>
  </si>
  <si>
    <t>PN-00248</t>
  </si>
  <si>
    <t>Imipenem + Cilastatin (Imp + Cln)</t>
  </si>
  <si>
    <t>PN-00249</t>
  </si>
  <si>
    <t>Indapamide</t>
  </si>
  <si>
    <t>PN-00250</t>
  </si>
  <si>
    <t>Indinavir</t>
  </si>
  <si>
    <t>Protease inhibitors</t>
  </si>
  <si>
    <t>PN-00251</t>
  </si>
  <si>
    <t>Insulin, aspart</t>
  </si>
  <si>
    <t>PN-00252</t>
  </si>
  <si>
    <t>Insulin glargine</t>
  </si>
  <si>
    <t>PN-00253</t>
  </si>
  <si>
    <t>Insulin, glulisine</t>
  </si>
  <si>
    <t>PN-00254</t>
  </si>
  <si>
    <t>Insulin, soluble</t>
  </si>
  <si>
    <t>PN-00255</t>
  </si>
  <si>
    <t>Intermediate-acting insulin</t>
  </si>
  <si>
    <t>PN-00256</t>
  </si>
  <si>
    <t>Intraperitoneal dialysis solution (of appropriate composition)</t>
  </si>
  <si>
    <t>PN-00257</t>
  </si>
  <si>
    <t>Iodine</t>
  </si>
  <si>
    <t>PN-00258</t>
  </si>
  <si>
    <t>Ipratropium bromide</t>
  </si>
  <si>
    <t>PN-00259</t>
  </si>
  <si>
    <t>Irinotecan</t>
  </si>
  <si>
    <t>PN-00260</t>
  </si>
  <si>
    <t>Iron dextran</t>
  </si>
  <si>
    <t>Anti-Anaemia Medicines</t>
  </si>
  <si>
    <t>PN-00261</t>
  </si>
  <si>
    <t>Iron sucrose</t>
  </si>
  <si>
    <t>PN-00262</t>
  </si>
  <si>
    <t>Isoniazid</t>
  </si>
  <si>
    <t>PN-00263</t>
  </si>
  <si>
    <t>Isosorbide dinitrate</t>
  </si>
  <si>
    <t>PN-00264</t>
  </si>
  <si>
    <t>Ivermectin</t>
  </si>
  <si>
    <t>PN-00265</t>
  </si>
  <si>
    <t>Kanamycin</t>
  </si>
  <si>
    <t>PN-00266</t>
  </si>
  <si>
    <t>Ketamine</t>
  </si>
  <si>
    <t>Injectable medicines</t>
  </si>
  <si>
    <t>PN-00267</t>
  </si>
  <si>
    <t>Ketoprofen</t>
  </si>
  <si>
    <t>PN-00268</t>
  </si>
  <si>
    <t>Ketotifen</t>
  </si>
  <si>
    <t>PN-00269</t>
  </si>
  <si>
    <t>Labetalol</t>
  </si>
  <si>
    <t>PN-00270</t>
  </si>
  <si>
    <t>Lactulose</t>
  </si>
  <si>
    <t>Laxatives</t>
  </si>
  <si>
    <t>PN-00271</t>
  </si>
  <si>
    <t>Lamivudine</t>
  </si>
  <si>
    <t>PN-00272</t>
  </si>
  <si>
    <t>Lamivudine + Nevirapine + Zidovudine</t>
  </si>
  <si>
    <t>PN-00273</t>
  </si>
  <si>
    <t>Lamivudine + Zidovudine</t>
  </si>
  <si>
    <t>PN-00274</t>
  </si>
  <si>
    <t>Latanoprost</t>
  </si>
  <si>
    <t>Miotics and antiglaucoma medicines</t>
  </si>
  <si>
    <t>PN-00275</t>
  </si>
  <si>
    <t>Leflunomide</t>
  </si>
  <si>
    <t>PN-00276</t>
  </si>
  <si>
    <t>Letrozole</t>
  </si>
  <si>
    <t>PN-00277</t>
  </si>
  <si>
    <t>Leuprolide</t>
  </si>
  <si>
    <t>PN-00278</t>
  </si>
  <si>
    <t>Levamisole</t>
  </si>
  <si>
    <t>PN-00279</t>
  </si>
  <si>
    <t>Levodopa + Carbidopa</t>
  </si>
  <si>
    <t>Antiparkinsonism medicines</t>
  </si>
  <si>
    <t>PN-00280</t>
  </si>
  <si>
    <t>Levofloxacin</t>
  </si>
  <si>
    <t>PN-00281</t>
  </si>
  <si>
    <t>Levonorgestrel</t>
  </si>
  <si>
    <t>PN-00282</t>
  </si>
  <si>
    <t>Levothyroxine</t>
  </si>
  <si>
    <t>Thyroid hormone</t>
  </si>
  <si>
    <t>PN-00283</t>
  </si>
  <si>
    <t>Lidnocaine ( hydrochloride)</t>
  </si>
  <si>
    <t>PN-00284</t>
  </si>
  <si>
    <t>Linezolid</t>
  </si>
  <si>
    <t>PN-00285</t>
  </si>
  <si>
    <t>Liothyronine</t>
  </si>
  <si>
    <t>PN-00286</t>
  </si>
  <si>
    <t>Liquid paraffin</t>
  </si>
  <si>
    <t>PN-00287</t>
  </si>
  <si>
    <t>Lisinopril</t>
  </si>
  <si>
    <t>PN-00288</t>
  </si>
  <si>
    <t>Lithium carbonate</t>
  </si>
  <si>
    <t>Medicines used in bipolar disorders</t>
  </si>
  <si>
    <t>PN-00289</t>
  </si>
  <si>
    <t>Loperamide</t>
  </si>
  <si>
    <t>Medicines for reducing intestinal motility</t>
  </si>
  <si>
    <t>PN-00290</t>
  </si>
  <si>
    <t>Lopinavir + Ritonavir</t>
  </si>
  <si>
    <t>PN-00291</t>
  </si>
  <si>
    <t>Lopinavir + ritonavir(LPV + r</t>
  </si>
  <si>
    <t>PN-00292</t>
  </si>
  <si>
    <t>Loratadine</t>
  </si>
  <si>
    <t>Anti-histamines</t>
  </si>
  <si>
    <t>PN-00293</t>
  </si>
  <si>
    <t>Lugol's solution</t>
  </si>
  <si>
    <t>PN-00294</t>
  </si>
  <si>
    <t>lumefantrine</t>
  </si>
  <si>
    <t>PN-00295</t>
  </si>
  <si>
    <t>Magnesium hydroxide</t>
  </si>
  <si>
    <t>Antacids</t>
  </si>
  <si>
    <t>PN-00296</t>
  </si>
  <si>
    <t>Magnesium sulfate</t>
  </si>
  <si>
    <t>PN-00297</t>
  </si>
  <si>
    <t>Magnesium sulphate</t>
  </si>
  <si>
    <t>PN-00298</t>
  </si>
  <si>
    <t>Magnesium trisilicate</t>
  </si>
  <si>
    <t>PN-00299</t>
  </si>
  <si>
    <t>Mannitol</t>
  </si>
  <si>
    <t>PN-00300</t>
  </si>
  <si>
    <t>Measles vaccine</t>
  </si>
  <si>
    <t>PN-00301</t>
  </si>
  <si>
    <t>Mebendazole</t>
  </si>
  <si>
    <t>Intestinal anthelminthics</t>
  </si>
  <si>
    <t>PN-00302</t>
  </si>
  <si>
    <t>Mechlorethamine</t>
  </si>
  <si>
    <t>PN-00303</t>
  </si>
  <si>
    <t>Medroxyprogesterone</t>
  </si>
  <si>
    <t>PN-00304</t>
  </si>
  <si>
    <t>Mefloquine</t>
  </si>
  <si>
    <t>PN-00305</t>
  </si>
  <si>
    <t>Melarsoprol</t>
  </si>
  <si>
    <t>PN-00306</t>
  </si>
  <si>
    <t>Melphalan</t>
  </si>
  <si>
    <t>PN-00307</t>
  </si>
  <si>
    <t>Meningococcal meningitis vaccine</t>
  </si>
  <si>
    <t>PN-00308</t>
  </si>
  <si>
    <t>Menthol</t>
  </si>
  <si>
    <t>PN-00309</t>
  </si>
  <si>
    <t>Menthol + Ascorbic acid + Hydrous citric acid</t>
  </si>
  <si>
    <t>PN-00310</t>
  </si>
  <si>
    <t>Menthol + Eucalyptus oil + Camphor + Thymol</t>
  </si>
  <si>
    <t>PN-00311</t>
  </si>
  <si>
    <t>Mercaptopurine</t>
  </si>
  <si>
    <t>PN-00312</t>
  </si>
  <si>
    <t>Meropenem</t>
  </si>
  <si>
    <t>PN-00313</t>
  </si>
  <si>
    <t>Mesna</t>
  </si>
  <si>
    <t>PN-00314</t>
  </si>
  <si>
    <t>Metformin</t>
  </si>
  <si>
    <t>PN-00315</t>
  </si>
  <si>
    <t>Methadone</t>
  </si>
  <si>
    <t>PN-00316</t>
  </si>
  <si>
    <t>Methionine</t>
  </si>
  <si>
    <t>PN-00317</t>
  </si>
  <si>
    <t>Methocarbamol</t>
  </si>
  <si>
    <t>PN-00318</t>
  </si>
  <si>
    <t>Methotrexate</t>
  </si>
  <si>
    <t>PN-00319</t>
  </si>
  <si>
    <t>Methyl salicylate</t>
  </si>
  <si>
    <t>PN-00320</t>
  </si>
  <si>
    <t>Methyl salicylate compound preparations</t>
  </si>
  <si>
    <t>PN-00321</t>
  </si>
  <si>
    <t>Methylammonium chloride (methylene blue)</t>
  </si>
  <si>
    <t>PN-00322</t>
  </si>
  <si>
    <t>Methylated spirit</t>
  </si>
  <si>
    <t>PN-00323</t>
  </si>
  <si>
    <t>Methylcellulose</t>
  </si>
  <si>
    <t>Miscellaneous eye preparation</t>
  </si>
  <si>
    <t>PN-00324</t>
  </si>
  <si>
    <t>Methyldopa</t>
  </si>
  <si>
    <t>PN-00325</t>
  </si>
  <si>
    <t>Methylprednisolone</t>
  </si>
  <si>
    <t>PN-00326</t>
  </si>
  <si>
    <t>Methylpsoralen</t>
  </si>
  <si>
    <t>PN-00327</t>
  </si>
  <si>
    <t>Metoclopramide</t>
  </si>
  <si>
    <t>Antiemetic medicines</t>
  </si>
  <si>
    <t>PN-00328</t>
  </si>
  <si>
    <t>Metoprolol</t>
  </si>
  <si>
    <t>PN-00329</t>
  </si>
  <si>
    <t>Metronidazole</t>
  </si>
  <si>
    <t>Antiamoebic and antigiardiasis medicines</t>
  </si>
  <si>
    <t>PN-00330</t>
  </si>
  <si>
    <t>Metyrapone</t>
  </si>
  <si>
    <t>Diagnostic agents for endocrine disorders</t>
  </si>
  <si>
    <t>PN-00331</t>
  </si>
  <si>
    <t>Miconazole</t>
  </si>
  <si>
    <t>PN-00332</t>
  </si>
  <si>
    <t>Miconazole + hydrocortisone</t>
  </si>
  <si>
    <t>PN-00333</t>
  </si>
  <si>
    <t>Midazolam</t>
  </si>
  <si>
    <t>PN-00334</t>
  </si>
  <si>
    <t>Mifepristone</t>
  </si>
  <si>
    <t>PN-00335</t>
  </si>
  <si>
    <t>Mifepristone + Misoprostol</t>
  </si>
  <si>
    <t>For Management of incomplete abortion and miscarriage</t>
  </si>
  <si>
    <t>PN-00336</t>
  </si>
  <si>
    <t>Misoprostol</t>
  </si>
  <si>
    <t>PN-00337</t>
  </si>
  <si>
    <t>Mitoxantrone</t>
  </si>
  <si>
    <t>PN-00338</t>
  </si>
  <si>
    <t>Monosulfiram</t>
  </si>
  <si>
    <t>PN-00339</t>
  </si>
  <si>
    <t>Morphine</t>
  </si>
  <si>
    <t>PN-00340</t>
  </si>
  <si>
    <t>Moxifloxacin</t>
  </si>
  <si>
    <t>PN-00341</t>
  </si>
  <si>
    <t>Multi vitamins</t>
  </si>
  <si>
    <t>PN-00342</t>
  </si>
  <si>
    <t>Mupirocin</t>
  </si>
  <si>
    <t>PN-00343</t>
  </si>
  <si>
    <t>Mycophenolate Mofetil</t>
  </si>
  <si>
    <t>PN-00344</t>
  </si>
  <si>
    <t>Naloxone</t>
  </si>
  <si>
    <t>PN-00345</t>
  </si>
  <si>
    <t>Naltrexone</t>
  </si>
  <si>
    <t>PN-00346</t>
  </si>
  <si>
    <t>Naproxen</t>
  </si>
  <si>
    <t>PN-00347</t>
  </si>
  <si>
    <t>Natamycin</t>
  </si>
  <si>
    <t>PN-00348</t>
  </si>
  <si>
    <t>Neomycin</t>
  </si>
  <si>
    <t>PN-00349</t>
  </si>
  <si>
    <t>Neomycin + Bacitracin</t>
  </si>
  <si>
    <t>PN-00350</t>
  </si>
  <si>
    <t>Neostigmine</t>
  </si>
  <si>
    <t>PN-00351</t>
  </si>
  <si>
    <t>Nicotinamide</t>
  </si>
  <si>
    <t>PN-00352</t>
  </si>
  <si>
    <t>Nifedipine</t>
  </si>
  <si>
    <t>PN-00353</t>
  </si>
  <si>
    <t>Nifurtimox</t>
  </si>
  <si>
    <t>PN-00354</t>
  </si>
  <si>
    <t>Nimodipine</t>
  </si>
  <si>
    <t>PN-00355</t>
  </si>
  <si>
    <t>Nitrofurantoin</t>
  </si>
  <si>
    <t>PN-00356</t>
  </si>
  <si>
    <t>Nitrous oxide</t>
  </si>
  <si>
    <t>PN-00357</t>
  </si>
  <si>
    <t>Nystatin</t>
  </si>
  <si>
    <t>PN-00358</t>
  </si>
  <si>
    <t>Octreotide</t>
  </si>
  <si>
    <t>Other hormone inhibitor</t>
  </si>
  <si>
    <t>PN-00359</t>
  </si>
  <si>
    <t>Olopatadine</t>
  </si>
  <si>
    <t>Anti-inflammatory and anti-allergic medicines</t>
  </si>
  <si>
    <t>PN-00360</t>
  </si>
  <si>
    <t>Omeprazole</t>
  </si>
  <si>
    <t>Antiulcer medicines</t>
  </si>
  <si>
    <t>PN-00361</t>
  </si>
  <si>
    <t>Ondansetron</t>
  </si>
  <si>
    <t>PN-00362</t>
  </si>
  <si>
    <t>Oxamniquine</t>
  </si>
  <si>
    <t>PN-00363</t>
  </si>
  <si>
    <t>Oxycodone</t>
  </si>
  <si>
    <t>PN-00364</t>
  </si>
  <si>
    <t>Oxygen</t>
  </si>
  <si>
    <t>PN-00365</t>
  </si>
  <si>
    <t>Oxytocin</t>
  </si>
  <si>
    <t>PN-00366</t>
  </si>
  <si>
    <t>p-aminosalicylic acid</t>
  </si>
  <si>
    <t>PN-00367</t>
  </si>
  <si>
    <t>Paclitaxel</t>
  </si>
  <si>
    <t>PN-00368</t>
  </si>
  <si>
    <t>Pancuronium</t>
  </si>
  <si>
    <t>PN-00369</t>
  </si>
  <si>
    <t>Pantothenic acid</t>
  </si>
  <si>
    <t>PN-00370</t>
  </si>
  <si>
    <t>Paracetamol</t>
  </si>
  <si>
    <t>PN-00371</t>
  </si>
  <si>
    <t>Paraldehyde</t>
  </si>
  <si>
    <t>PN-00372</t>
  </si>
  <si>
    <t>Pegylated interferon alpha-2b</t>
  </si>
  <si>
    <t>Other antivirals</t>
  </si>
  <si>
    <t>PN-00373</t>
  </si>
  <si>
    <t>Pengrastrin</t>
  </si>
  <si>
    <t>PN-00374</t>
  </si>
  <si>
    <t>Pentamidine</t>
  </si>
  <si>
    <t>Medicines for the treatment of first stage African trypanosomiasis</t>
  </si>
  <si>
    <t>PN-00375</t>
  </si>
  <si>
    <t>Pentazocine</t>
  </si>
  <si>
    <t>PN-00376</t>
  </si>
  <si>
    <t>Permethrin</t>
  </si>
  <si>
    <t>PN-00377</t>
  </si>
  <si>
    <t>Pethidine</t>
  </si>
  <si>
    <t>PN-00378</t>
  </si>
  <si>
    <t>Phenobarbital</t>
  </si>
  <si>
    <t>PN-00379</t>
  </si>
  <si>
    <t>Phenoxymethylpenicillin</t>
  </si>
  <si>
    <t>PN-00380</t>
  </si>
  <si>
    <t>Phenylephrine</t>
  </si>
  <si>
    <t>PN-00381</t>
  </si>
  <si>
    <t>Phytomenadione (Vit K1)</t>
  </si>
  <si>
    <t>PN-00382</t>
  </si>
  <si>
    <t>Pilocarpine</t>
  </si>
  <si>
    <t>PN-00383</t>
  </si>
  <si>
    <t>Pimozide</t>
  </si>
  <si>
    <t>PN-00384</t>
  </si>
  <si>
    <t>Piperacillin + Tazobactam</t>
  </si>
  <si>
    <t>PN-00385</t>
  </si>
  <si>
    <t>Podophyllum resin</t>
  </si>
  <si>
    <t>PN-00386</t>
  </si>
  <si>
    <t>Poliomyelitis vaccine</t>
  </si>
  <si>
    <t>PN-00387</t>
  </si>
  <si>
    <t>Polygeline</t>
  </si>
  <si>
    <t>PN-00388</t>
  </si>
  <si>
    <t>Potassium chloride</t>
  </si>
  <si>
    <t>PN-00389</t>
  </si>
  <si>
    <t>Potassium iodide</t>
  </si>
  <si>
    <t>PN-00390</t>
  </si>
  <si>
    <t>Potassium permanganate</t>
  </si>
  <si>
    <t>PN-00391</t>
  </si>
  <si>
    <t>Povidone iodine</t>
  </si>
  <si>
    <t>PN-00392</t>
  </si>
  <si>
    <t>Pralidoxime</t>
  </si>
  <si>
    <t>PN-00393</t>
  </si>
  <si>
    <t>Praziquantel</t>
  </si>
  <si>
    <t>Antischistosomals and other antitrematode medicines</t>
  </si>
  <si>
    <t>PN-00394</t>
  </si>
  <si>
    <t>Prednisolone</t>
  </si>
  <si>
    <t>PN-00395</t>
  </si>
  <si>
    <t>Pregabalin</t>
  </si>
  <si>
    <t>PN-00396</t>
  </si>
  <si>
    <t>Prilocaine</t>
  </si>
  <si>
    <t>PN-00397</t>
  </si>
  <si>
    <t>Procainamide</t>
  </si>
  <si>
    <t>Anti-arrhythmic medicines</t>
  </si>
  <si>
    <t>PN-00398</t>
  </si>
  <si>
    <t>Procarbazine</t>
  </si>
  <si>
    <t>PN-00399</t>
  </si>
  <si>
    <t>Progestogens</t>
  </si>
  <si>
    <t>PN-00400</t>
  </si>
  <si>
    <t>Proguanil</t>
  </si>
  <si>
    <t>PN-00401</t>
  </si>
  <si>
    <t>Promethazine</t>
  </si>
  <si>
    <t>PN-00402</t>
  </si>
  <si>
    <t>Propofol</t>
  </si>
  <si>
    <t>PN-00403</t>
  </si>
  <si>
    <t>Propranolol</t>
  </si>
  <si>
    <t>For prophylaxis</t>
  </si>
  <si>
    <t>PN-00404</t>
  </si>
  <si>
    <t>Propylthiouracil</t>
  </si>
  <si>
    <t>PN-00405</t>
  </si>
  <si>
    <t>Protamine sulfate</t>
  </si>
  <si>
    <t>PN-00406</t>
  </si>
  <si>
    <t>Protamine sulphate</t>
  </si>
  <si>
    <t>PN-00407</t>
  </si>
  <si>
    <t>Prothionamide</t>
  </si>
  <si>
    <t>PN-00408</t>
  </si>
  <si>
    <t>Pyrantel pamoate</t>
  </si>
  <si>
    <t>PN-00409</t>
  </si>
  <si>
    <t>Pyrazinamide</t>
  </si>
  <si>
    <t>PN-00410</t>
  </si>
  <si>
    <t>Pyridostigmine</t>
  </si>
  <si>
    <t>Medicines for myasthenia gravis</t>
  </si>
  <si>
    <t>PN-00411</t>
  </si>
  <si>
    <t>Pyridoxine</t>
  </si>
  <si>
    <t>PN-00412</t>
  </si>
  <si>
    <t>Pyrimethamine</t>
  </si>
  <si>
    <t>Antipneumocystosis and antitoxoplasmosis medicines</t>
  </si>
  <si>
    <t>PN-00413</t>
  </si>
  <si>
    <t>Pyrimethamine + sulfadoxine</t>
  </si>
  <si>
    <t>PN-00414</t>
  </si>
  <si>
    <t>Pyronaridine tetraphosphate</t>
  </si>
  <si>
    <t>PN-00415</t>
  </si>
  <si>
    <t>Quinine</t>
  </si>
  <si>
    <t>PN-00416</t>
  </si>
  <si>
    <t>Rabeprazole</t>
  </si>
  <si>
    <t>PN-00417</t>
  </si>
  <si>
    <t>Rabies vaccine</t>
  </si>
  <si>
    <t>PN-00418</t>
  </si>
  <si>
    <t>Ranitidine</t>
  </si>
  <si>
    <t>PN-00419</t>
  </si>
  <si>
    <t>Rapid Diagnostic Test</t>
  </si>
  <si>
    <t>PN-00420</t>
  </si>
  <si>
    <t>Rehydration Salts</t>
  </si>
  <si>
    <t>PN-00421</t>
  </si>
  <si>
    <t>Retinol</t>
  </si>
  <si>
    <t>PN-00422</t>
  </si>
  <si>
    <t>Ribavirin</t>
  </si>
  <si>
    <t>PN-00423</t>
  </si>
  <si>
    <t>Riboflavin</t>
  </si>
  <si>
    <t>PN-00424</t>
  </si>
  <si>
    <t>Rifabutin</t>
  </si>
  <si>
    <t>PN-00425</t>
  </si>
  <si>
    <t>Rifapentine</t>
  </si>
  <si>
    <t>PN-00426</t>
  </si>
  <si>
    <t>Ringers lactate</t>
  </si>
  <si>
    <t>PN-00427</t>
  </si>
  <si>
    <t>Risperidone</t>
  </si>
  <si>
    <t>PN-00428</t>
  </si>
  <si>
    <t>Rituximab</t>
  </si>
  <si>
    <t>PN-00429</t>
  </si>
  <si>
    <t>Rotavirus vaccine</t>
  </si>
  <si>
    <t>PN-00430</t>
  </si>
  <si>
    <t>Rubella vaccine</t>
  </si>
  <si>
    <t>PN-00431</t>
  </si>
  <si>
    <t>Salbutamol</t>
  </si>
  <si>
    <t>PN-00432</t>
  </si>
  <si>
    <t>Salicylic acid</t>
  </si>
  <si>
    <t>PN-00433</t>
  </si>
  <si>
    <t>Salmeterol + Fluticasone</t>
  </si>
  <si>
    <t>PN-00434</t>
  </si>
  <si>
    <t>Senna</t>
  </si>
  <si>
    <t>PN-00435</t>
  </si>
  <si>
    <t>Sevoflurane</t>
  </si>
  <si>
    <t>PN-00436</t>
  </si>
  <si>
    <t>Sildenafil</t>
  </si>
  <si>
    <t>PN-00437</t>
  </si>
  <si>
    <t>Silver sulfadiazine</t>
  </si>
  <si>
    <t>PN-00438</t>
  </si>
  <si>
    <t>Silver sulphadiazine</t>
  </si>
  <si>
    <t>PN-00439</t>
  </si>
  <si>
    <t>Simvastatin</t>
  </si>
  <si>
    <t>PN-00440</t>
  </si>
  <si>
    <t>Sitagliptin</t>
  </si>
  <si>
    <t>PN-00441</t>
  </si>
  <si>
    <t>sodium</t>
  </si>
  <si>
    <t>Antileishmaniasis medicines</t>
  </si>
  <si>
    <t>PN-00442</t>
  </si>
  <si>
    <t>Sodium calcium edetate</t>
  </si>
  <si>
    <t>PN-00443</t>
  </si>
  <si>
    <t>Sodium chloride</t>
  </si>
  <si>
    <t>PN-00444</t>
  </si>
  <si>
    <t>Sodium hydrogen carbonate</t>
  </si>
  <si>
    <t>PN-00445</t>
  </si>
  <si>
    <t>Sodium hypochlorite</t>
  </si>
  <si>
    <t>PN-00446</t>
  </si>
  <si>
    <t>Sodium stibogluconate or Meglumine antimoniate</t>
  </si>
  <si>
    <t>PN-00447</t>
  </si>
  <si>
    <t>Sodium valproate</t>
  </si>
  <si>
    <t>PN-00448</t>
  </si>
  <si>
    <t>Sofosbuvir</t>
  </si>
  <si>
    <t>PN-00449</t>
  </si>
  <si>
    <t>Spironolactone</t>
  </si>
  <si>
    <t>PN-00450</t>
  </si>
  <si>
    <t>Stilboestrol</t>
  </si>
  <si>
    <t>PN-00451</t>
  </si>
  <si>
    <t>Streptokinase</t>
  </si>
  <si>
    <t>PN-00452</t>
  </si>
  <si>
    <t>Streptomycin</t>
  </si>
  <si>
    <t>PN-00453</t>
  </si>
  <si>
    <t>Succimer</t>
  </si>
  <si>
    <t>PN-00454</t>
  </si>
  <si>
    <t>Sulfamethoxazole + Trimethoprim (Co- trimoxazole)</t>
  </si>
  <si>
    <t>PN-00455</t>
  </si>
  <si>
    <t>Sulfasalazine</t>
  </si>
  <si>
    <t>PN-00456</t>
  </si>
  <si>
    <t>Sumatriptan</t>
  </si>
  <si>
    <t>PN-00457</t>
  </si>
  <si>
    <t>Suramin sodium</t>
  </si>
  <si>
    <t>PN-00458</t>
  </si>
  <si>
    <t>Surgical Blades</t>
  </si>
  <si>
    <t>PN-00459</t>
  </si>
  <si>
    <t>Suxamethonium</t>
  </si>
  <si>
    <t>PN-00460</t>
  </si>
  <si>
    <t>Tacrolimus</t>
  </si>
  <si>
    <t>Psoriasis and vitiligo medicines</t>
  </si>
  <si>
    <t>PN-00461</t>
  </si>
  <si>
    <t>Tamoxifen</t>
  </si>
  <si>
    <t>PN-00462</t>
  </si>
  <si>
    <t>Tazarotene</t>
  </si>
  <si>
    <t>PN-00463</t>
  </si>
  <si>
    <t>Telmisartan</t>
  </si>
  <si>
    <t>PN-00464</t>
  </si>
  <si>
    <t>Tenofovir</t>
  </si>
  <si>
    <t>PN-00465</t>
  </si>
  <si>
    <t>Tenofovir + Lamivudine + Atazanavir + Ritonavir</t>
  </si>
  <si>
    <t>PN-00466</t>
  </si>
  <si>
    <t>Tenofovir + Lamivudine + Dolutegravir</t>
  </si>
  <si>
    <t>PN-00467</t>
  </si>
  <si>
    <t>Tenofovir + Lamivudine + Dolutegravir + Darunavir + Ritonavir</t>
  </si>
  <si>
    <t>PN-00468</t>
  </si>
  <si>
    <t>Tenofovir + Lamivudine + Efavirenz</t>
  </si>
  <si>
    <t>PN-00469</t>
  </si>
  <si>
    <t>Tenofovir + Lamivudine + Lopinavir + Ritonavir</t>
  </si>
  <si>
    <t>PN-00470</t>
  </si>
  <si>
    <t>Tenofovir + Lamivudine + Zidovudine + Atazanavir + Ritonavir**</t>
  </si>
  <si>
    <t>PN-00471</t>
  </si>
  <si>
    <t>Terbinafine</t>
  </si>
  <si>
    <t>PN-00472</t>
  </si>
  <si>
    <t>Terizidone</t>
  </si>
  <si>
    <t>PN-00473</t>
  </si>
  <si>
    <t>Tetanus vaccine</t>
  </si>
  <si>
    <t>PN-00474</t>
  </si>
  <si>
    <t>Tetracaine</t>
  </si>
  <si>
    <t>PN-00475</t>
  </si>
  <si>
    <t>Tetracosactide</t>
  </si>
  <si>
    <t>PN-00476</t>
  </si>
  <si>
    <t>Tetracycline</t>
  </si>
  <si>
    <t>PN-00477</t>
  </si>
  <si>
    <t>Thiacetazone</t>
  </si>
  <si>
    <t>PN-00478</t>
  </si>
  <si>
    <t>Thiamine</t>
  </si>
  <si>
    <t>PN-00479</t>
  </si>
  <si>
    <t>thioguanine</t>
  </si>
  <si>
    <t>PN-00480</t>
  </si>
  <si>
    <t>Thyrotropin releasing hormone (TRH)</t>
  </si>
  <si>
    <t>PN-00481</t>
  </si>
  <si>
    <t>Timolol</t>
  </si>
  <si>
    <t>PN-00482</t>
  </si>
  <si>
    <t>Tinidazole</t>
  </si>
  <si>
    <t>PN-00483</t>
  </si>
  <si>
    <t>Titanium dioxide</t>
  </si>
  <si>
    <t>PN-00484</t>
  </si>
  <si>
    <t>Tizanidine</t>
  </si>
  <si>
    <t>PN-00485</t>
  </si>
  <si>
    <t>Tocilizumab</t>
  </si>
  <si>
    <t>PN-00486</t>
  </si>
  <si>
    <t>Topiramate</t>
  </si>
  <si>
    <t>PN-00487</t>
  </si>
  <si>
    <t>Torsemide</t>
  </si>
  <si>
    <t>PN-00488</t>
  </si>
  <si>
    <t>Tramadol</t>
  </si>
  <si>
    <t>PN-00489</t>
  </si>
  <si>
    <t>Tranexamic acid</t>
  </si>
  <si>
    <t>PN-00490</t>
  </si>
  <si>
    <t>Trastuzumab</t>
  </si>
  <si>
    <t>PN-00491</t>
  </si>
  <si>
    <t>Tretinoin</t>
  </si>
  <si>
    <t>PN-00492</t>
  </si>
  <si>
    <t>Triamcinolone</t>
  </si>
  <si>
    <t>Anti-inflammatory dental medicines</t>
  </si>
  <si>
    <t>PN-00493</t>
  </si>
  <si>
    <t>Trichlorophenol</t>
  </si>
  <si>
    <t>PN-00494</t>
  </si>
  <si>
    <t>Tropicamide</t>
  </si>
  <si>
    <t>PN-00495</t>
  </si>
  <si>
    <t>Tuberculin</t>
  </si>
  <si>
    <t>Diagnostic agents</t>
  </si>
  <si>
    <t>PN-00496</t>
  </si>
  <si>
    <t>Typhoid vaccine</t>
  </si>
  <si>
    <t>PN-00497</t>
  </si>
  <si>
    <t>Urea</t>
  </si>
  <si>
    <t>PN-00498</t>
  </si>
  <si>
    <t>Vancomycin</t>
  </si>
  <si>
    <t>PN-00499</t>
  </si>
  <si>
    <t>Vasopressin</t>
  </si>
  <si>
    <t>Antidiuretic hormones</t>
  </si>
  <si>
    <t>PN-00500</t>
  </si>
  <si>
    <t>Verapamil</t>
  </si>
  <si>
    <t>PN-00501</t>
  </si>
  <si>
    <t>Vildagliptin</t>
  </si>
  <si>
    <t>PN-00502</t>
  </si>
  <si>
    <t>Vinblastine</t>
  </si>
  <si>
    <t>PN-00503</t>
  </si>
  <si>
    <t>Vincristine</t>
  </si>
  <si>
    <t>PN-00504</t>
  </si>
  <si>
    <t>Vitamin A</t>
  </si>
  <si>
    <t>PN-00505</t>
  </si>
  <si>
    <t>Vitamin B complex</t>
  </si>
  <si>
    <t>PN-00506</t>
  </si>
  <si>
    <t>Vitamin B1 (Thiamine)</t>
  </si>
  <si>
    <t>- 3.5 mg</t>
  </si>
  <si>
    <t>PN-00507</t>
  </si>
  <si>
    <t>Vitamin B12 (Cyanocobalamin)</t>
  </si>
  <si>
    <t>- 0.6 mg</t>
  </si>
  <si>
    <t>PN-00508</t>
  </si>
  <si>
    <t>Vitamin B2 (Riboflavin)</t>
  </si>
  <si>
    <t>- 1 mg</t>
  </si>
  <si>
    <t>PN-00509</t>
  </si>
  <si>
    <t>Vitamin B6 (Pyridoxine hydrochloride)</t>
  </si>
  <si>
    <t>PN-00510</t>
  </si>
  <si>
    <t>Vitamin C (Ascorbic acid)</t>
  </si>
  <si>
    <t>PN-00511</t>
  </si>
  <si>
    <t>Vitamin D (Cholecalciferol)</t>
  </si>
  <si>
    <t>- 2 micrograms</t>
  </si>
  <si>
    <t>PN-00512</t>
  </si>
  <si>
    <t>Vitamin E</t>
  </si>
  <si>
    <t>- 5 micrograms</t>
  </si>
  <si>
    <t>PN-00513</t>
  </si>
  <si>
    <t>Warfarin</t>
  </si>
  <si>
    <t>PN-00514</t>
  </si>
  <si>
    <t>Xylometazoline</t>
  </si>
  <si>
    <t>PN-00515</t>
  </si>
  <si>
    <t>Yellow fever vaccine</t>
  </si>
  <si>
    <t>PN-00516</t>
  </si>
  <si>
    <t>Zidovudine</t>
  </si>
  <si>
    <t>PN-00517</t>
  </si>
  <si>
    <t>Zidovudine + Lamivudine + Atazanavir + Ritonavir</t>
  </si>
  <si>
    <t>PN-00518</t>
  </si>
  <si>
    <t>Zidovudine + Lamivudine + Efavirenz + Dolutegravir + Ritonavir</t>
  </si>
  <si>
    <t>PN-00519</t>
  </si>
  <si>
    <t>Zidovudine + Lamivudine + Lopinavir + Ritonavir</t>
  </si>
  <si>
    <t>PN-00520</t>
  </si>
  <si>
    <t>Zinc</t>
  </si>
  <si>
    <t>PN-00521</t>
  </si>
  <si>
    <t>Zinc (sulfate) + Low Osmolarity Oral Rehydration Salts</t>
  </si>
  <si>
    <t>PN-00522</t>
  </si>
  <si>
    <t>Zinc chloride + zinc sulfate</t>
  </si>
  <si>
    <t>PN-00523</t>
  </si>
  <si>
    <t>Zinc oxide</t>
  </si>
  <si>
    <t>PN-00524</t>
  </si>
  <si>
    <t>Zinc oxide plaster</t>
  </si>
  <si>
    <t>PN-00525</t>
  </si>
  <si>
    <t>Zoledronic acid</t>
  </si>
  <si>
    <t>PN-00526</t>
  </si>
  <si>
    <t>Fortwin</t>
  </si>
  <si>
    <t>Pharmacology depends on active ingredient and formulation.</t>
  </si>
  <si>
    <t>Indications depend on approved label and treatment guideline.</t>
  </si>
  <si>
    <t>Contraindications include known hypersensitivity; verify label-specific risks.</t>
  </si>
  <si>
    <t>Mechanism varies by active ingredient(s).</t>
  </si>
  <si>
    <t>PN-00527</t>
  </si>
  <si>
    <t>2 2 1 Forte Syrup</t>
  </si>
  <si>
    <t>PN-00528</t>
  </si>
  <si>
    <t>Drawer</t>
  </si>
  <si>
    <t>PN-00529</t>
  </si>
  <si>
    <t>Neurogesic</t>
  </si>
  <si>
    <t>PN-00530</t>
  </si>
  <si>
    <t>Conference Chair</t>
  </si>
  <si>
    <t>PN-00531</t>
  </si>
  <si>
    <t>Office Chair Black</t>
  </si>
  <si>
    <t>PN-00532</t>
  </si>
  <si>
    <t>Corner Desk Black</t>
  </si>
  <si>
    <t>PN-00533</t>
  </si>
  <si>
    <t>Desk Stand With</t>
  </si>
  <si>
    <t>PN-00534</t>
  </si>
  <si>
    <t>Acoustic Bloc Screens</t>
  </si>
  <si>
    <t>PN-00535</t>
  </si>
  <si>
    <t>Deep Relief 30gm</t>
  </si>
  <si>
    <t>PN-00536</t>
  </si>
  <si>
    <t>Office Design Software</t>
  </si>
  <si>
    <t>PN-00537</t>
  </si>
  <si>
    <t>Three Seat Sofa</t>
  </si>
  <si>
    <t>PN-00538</t>
  </si>
  <si>
    <t>Large Meeting Table</t>
  </si>
  <si>
    <t>PN-00539</t>
  </si>
  <si>
    <t>Four Person Desk</t>
  </si>
  <si>
    <t>PN-00540</t>
  </si>
  <si>
    <t>Warranty</t>
  </si>
  <si>
    <t>PN-00541</t>
  </si>
  <si>
    <t>Cable Management Box</t>
  </si>
  <si>
    <t>PN-00542</t>
  </si>
  <si>
    <t>Meta</t>
  </si>
  <si>
    <t>PN-00543</t>
  </si>
  <si>
    <t>Vit Coloured</t>
  </si>
  <si>
    <t>PN-00544</t>
  </si>
  <si>
    <t>Vit White</t>
  </si>
  <si>
    <t>PN-00545</t>
  </si>
  <si>
    <t>Vit</t>
  </si>
  <si>
    <t>PN-00546</t>
  </si>
  <si>
    <t>Mexzecam</t>
  </si>
  <si>
    <t>PN-00547</t>
  </si>
  <si>
    <t>Micadis</t>
  </si>
  <si>
    <t>PN-00548</t>
  </si>
  <si>
    <t>Micolette Supp</t>
  </si>
  <si>
    <t>PN-00549</t>
  </si>
  <si>
    <t>Microgynon</t>
  </si>
  <si>
    <t>PN-00550</t>
  </si>
  <si>
    <t>Mederax Metoclopromide Hydrochloride</t>
  </si>
  <si>
    <t>PN-00551</t>
  </si>
  <si>
    <t>Bkb</t>
  </si>
  <si>
    <t>PN-00552</t>
  </si>
  <si>
    <t>Milk Of Magnesia</t>
  </si>
  <si>
    <t>PN-00553</t>
  </si>
  <si>
    <t>Millicap B/s</t>
  </si>
  <si>
    <t>PN-00554</t>
  </si>
  <si>
    <t>Minak Vigiral</t>
  </si>
  <si>
    <t>PN-00555</t>
  </si>
  <si>
    <t>Mirazith</t>
  </si>
  <si>
    <t>PN-00556</t>
  </si>
  <si>
    <t>Misoprotolol</t>
  </si>
  <si>
    <t>PN-00557</t>
  </si>
  <si>
    <t>Mosegor</t>
  </si>
  <si>
    <t>PN-00558</t>
  </si>
  <si>
    <t>Motilium</t>
  </si>
  <si>
    <t>PN-00559</t>
  </si>
  <si>
    <t>Mucos Extrator</t>
  </si>
  <si>
    <t>PN-00560</t>
  </si>
  <si>
    <t>Mvs Prenatal</t>
  </si>
  <si>
    <t>PN-00561</t>
  </si>
  <si>
    <t>Nalidon</t>
  </si>
  <si>
    <t>PN-00562</t>
  </si>
  <si>
    <t>Neo Healer</t>
  </si>
  <si>
    <t>PN-00563</t>
  </si>
  <si>
    <t>Nervon</t>
  </si>
  <si>
    <t>PN-00564</t>
  </si>
  <si>
    <t>Neuage</t>
  </si>
  <si>
    <t>PN-00565</t>
  </si>
  <si>
    <t>Neurobion Coated</t>
  </si>
  <si>
    <t>PN-00566</t>
  </si>
  <si>
    <t>Nexpro</t>
  </si>
  <si>
    <t>PN-00567</t>
  </si>
  <si>
    <t>Nidof</t>
  </si>
  <si>
    <t>PN-00568</t>
  </si>
  <si>
    <t>Nifedin Dexel</t>
  </si>
  <si>
    <t>PN-00569</t>
  </si>
  <si>
    <t>Nifedose</t>
  </si>
  <si>
    <t>PN-00570</t>
  </si>
  <si>
    <t>Postinor</t>
  </si>
  <si>
    <t>PN-00571</t>
  </si>
  <si>
    <t>Laclox</t>
  </si>
  <si>
    <t>PN-00572</t>
  </si>
  <si>
    <t>Nifendel</t>
  </si>
  <si>
    <t>PN-00573</t>
  </si>
  <si>
    <t>Nilgar</t>
  </si>
  <si>
    <t>PN-00574</t>
  </si>
  <si>
    <t>Nilide</t>
  </si>
  <si>
    <t>PN-00575</t>
  </si>
  <si>
    <t>Nimica</t>
  </si>
  <si>
    <t>PN-00576</t>
  </si>
  <si>
    <t>Nimulid</t>
  </si>
  <si>
    <t>PN-00577</t>
  </si>
  <si>
    <t>Nizoral</t>
  </si>
  <si>
    <t>PN-00578</t>
  </si>
  <si>
    <t>No Name</t>
  </si>
  <si>
    <t>PN-00579</t>
  </si>
  <si>
    <t>No Spa</t>
  </si>
  <si>
    <t>PN-00580</t>
  </si>
  <si>
    <t>Nobarctin</t>
  </si>
  <si>
    <t>PN-00581</t>
  </si>
  <si>
    <t>Norbactin</t>
  </si>
  <si>
    <t>PN-00582</t>
  </si>
  <si>
    <t>Noristeral</t>
  </si>
  <si>
    <t>PN-00583</t>
  </si>
  <si>
    <t>Normodipin</t>
  </si>
  <si>
    <t>PN-00584</t>
  </si>
  <si>
    <t>Normogan</t>
  </si>
  <si>
    <t>PN-00585</t>
  </si>
  <si>
    <t>Norvasc</t>
  </si>
  <si>
    <t>PN-00586</t>
  </si>
  <si>
    <t>Nosclav</t>
  </si>
  <si>
    <t>PN-00587</t>
  </si>
  <si>
    <t>Maxiquine</t>
  </si>
  <si>
    <t>PN-00588</t>
  </si>
  <si>
    <t>Pyrantrin</t>
  </si>
  <si>
    <t>PN-00589</t>
  </si>
  <si>
    <t>Calcitone</t>
  </si>
  <si>
    <t>PN-00590</t>
  </si>
  <si>
    <t>Ibucap Cold Flu</t>
  </si>
  <si>
    <t>PN-00591</t>
  </si>
  <si>
    <t>Emzolyn</t>
  </si>
  <si>
    <t>PN-00592</t>
  </si>
  <si>
    <t>Amalar</t>
  </si>
  <si>
    <t>PN-00593</t>
  </si>
  <si>
    <t>Cerumol Ear</t>
  </si>
  <si>
    <t>PN-00594</t>
  </si>
  <si>
    <t>Chlorampenicol Ear</t>
  </si>
  <si>
    <t>PN-00595</t>
  </si>
  <si>
    <t>Painkil</t>
  </si>
  <si>
    <t>PN-00596</t>
  </si>
  <si>
    <t>Pawafenac</t>
  </si>
  <si>
    <t>PN-00597</t>
  </si>
  <si>
    <t>Otomed Ear</t>
  </si>
  <si>
    <t>PN-00598</t>
  </si>
  <si>
    <t>Neoskin</t>
  </si>
  <si>
    <t>PN-00599</t>
  </si>
  <si>
    <t>Flu</t>
  </si>
  <si>
    <t>PN-00600</t>
  </si>
  <si>
    <t>Joneol</t>
  </si>
  <si>
    <t>PN-00601</t>
  </si>
  <si>
    <t>Bunto Tonic Litre</t>
  </si>
  <si>
    <t>PN-00602</t>
  </si>
  <si>
    <t>Antallerge Eye</t>
  </si>
  <si>
    <t>PN-00603</t>
  </si>
  <si>
    <t>Amatem</t>
  </si>
  <si>
    <t>PN-00604</t>
  </si>
  <si>
    <t>Nostres</t>
  </si>
  <si>
    <t>PN-00605</t>
  </si>
  <si>
    <t>Azitrex</t>
  </si>
  <si>
    <t>PN-00606</t>
  </si>
  <si>
    <t>Nueage</t>
  </si>
  <si>
    <t>PN-00607</t>
  </si>
  <si>
    <t>Lycofer</t>
  </si>
  <si>
    <t>PN-00608</t>
  </si>
  <si>
    <t>Himalt</t>
  </si>
  <si>
    <t>PN-00609</t>
  </si>
  <si>
    <t>Bendrex</t>
  </si>
  <si>
    <t>PN-00610</t>
  </si>
  <si>
    <t>Oceandrive</t>
  </si>
  <si>
    <t>PN-00611</t>
  </si>
  <si>
    <t>Ocefix</t>
  </si>
  <si>
    <t>PN-00612</t>
  </si>
  <si>
    <t>Oflomed</t>
  </si>
  <si>
    <t>PN-00613</t>
  </si>
  <si>
    <t>Ofloxacin</t>
  </si>
  <si>
    <t>PN-00614</t>
  </si>
  <si>
    <t>Oftab</t>
  </si>
  <si>
    <t>PN-00615</t>
  </si>
  <si>
    <t>Olfen</t>
  </si>
  <si>
    <t>PN-00616</t>
  </si>
  <si>
    <t>Omecap</t>
  </si>
  <si>
    <t>PN-00617</t>
  </si>
  <si>
    <t>Omefast</t>
  </si>
  <si>
    <t>PN-00618</t>
  </si>
  <si>
    <t>Onaxo</t>
  </si>
  <si>
    <t>PN-00619</t>
  </si>
  <si>
    <t>Optalidon</t>
  </si>
  <si>
    <t>PN-00620</t>
  </si>
  <si>
    <t>Orlis Orlistat</t>
  </si>
  <si>
    <t>PN-00621</t>
  </si>
  <si>
    <t>Orofer</t>
  </si>
  <si>
    <t>PN-00622</t>
  </si>
  <si>
    <t>Orphensic</t>
  </si>
  <si>
    <t>PN-00623</t>
  </si>
  <si>
    <t>Oruvail</t>
  </si>
  <si>
    <t>PN-00624</t>
  </si>
  <si>
    <t>Osteo</t>
  </si>
  <si>
    <t>PN-00625</t>
  </si>
  <si>
    <t>Ostrin</t>
  </si>
  <si>
    <t>PN-00626</t>
  </si>
  <si>
    <t>Oulofeme</t>
  </si>
  <si>
    <t>PN-00627</t>
  </si>
  <si>
    <t>Paincodeen</t>
  </si>
  <si>
    <t>PN-00628</t>
  </si>
  <si>
    <t>Actifed</t>
  </si>
  <si>
    <t>PN-00629</t>
  </si>
  <si>
    <t>Paludol</t>
  </si>
  <si>
    <t>PN-00630</t>
  </si>
  <si>
    <t>Paludrine</t>
  </si>
  <si>
    <t>PN-00631</t>
  </si>
  <si>
    <t>Panfor Sr</t>
  </si>
  <si>
    <t>PN-00632</t>
  </si>
  <si>
    <t>Parafin</t>
  </si>
  <si>
    <t>PN-00633</t>
  </si>
  <si>
    <t>Parlodel</t>
  </si>
  <si>
    <t>PN-00634</t>
  </si>
  <si>
    <t>Peflac Pefloxacin</t>
  </si>
  <si>
    <t>PN-00635</t>
  </si>
  <si>
    <t>Pefloxacin Pemax</t>
  </si>
  <si>
    <t>PN-00636</t>
  </si>
  <si>
    <t>Pemax</t>
  </si>
  <si>
    <t>PN-00637</t>
  </si>
  <si>
    <t>Pepti</t>
  </si>
  <si>
    <t>PN-00638</t>
  </si>
  <si>
    <t>Perbloc</t>
  </si>
  <si>
    <t>PN-00639</t>
  </si>
  <si>
    <t>Perglim M1</t>
  </si>
  <si>
    <t>PN-00640</t>
  </si>
  <si>
    <t>Perglim M2</t>
  </si>
  <si>
    <t>PN-00641</t>
  </si>
  <si>
    <t>Periactin</t>
  </si>
  <si>
    <t>PN-00642</t>
  </si>
  <si>
    <t>Perikalin</t>
  </si>
  <si>
    <t>PN-00643</t>
  </si>
  <si>
    <t>Permertinal Dr Vamis</t>
  </si>
  <si>
    <t>PN-00644</t>
  </si>
  <si>
    <t>Pharmaton</t>
  </si>
  <si>
    <t>PN-00645</t>
  </si>
  <si>
    <t>Pilex</t>
  </si>
  <si>
    <t>PN-00646</t>
  </si>
  <si>
    <t>Pionorm</t>
  </si>
  <si>
    <t>PN-00647</t>
  </si>
  <si>
    <t>Piozer Pioglitazone</t>
  </si>
  <si>
    <t>PN-00648</t>
  </si>
  <si>
    <t>Plagerine</t>
  </si>
  <si>
    <t>PN-00649</t>
  </si>
  <si>
    <t>Cal D3</t>
  </si>
  <si>
    <t>PN-00650</t>
  </si>
  <si>
    <t>Plasmotrim</t>
  </si>
  <si>
    <t>PN-00651</t>
  </si>
  <si>
    <t>Polycil Chewable Antacid</t>
  </si>
  <si>
    <t>PN-00652</t>
  </si>
  <si>
    <t>Polyfort</t>
  </si>
  <si>
    <t>PN-00653</t>
  </si>
  <si>
    <t>Power</t>
  </si>
  <si>
    <t>PN-00654</t>
  </si>
  <si>
    <t>Powmax</t>
  </si>
  <si>
    <t>PN-00655</t>
  </si>
  <si>
    <t>Prazotel</t>
  </si>
  <si>
    <t>PN-00656</t>
  </si>
  <si>
    <t>Pregvyte Mineral Suplement</t>
  </si>
  <si>
    <t>PN-00657</t>
  </si>
  <si>
    <t>Prilas</t>
  </si>
  <si>
    <t>PN-00658</t>
  </si>
  <si>
    <t>Primolut</t>
  </si>
  <si>
    <t>PN-00659</t>
  </si>
  <si>
    <t>Primpex Ds</t>
  </si>
  <si>
    <t>PN-00660</t>
  </si>
  <si>
    <t>Probantine</t>
  </si>
  <si>
    <t>PN-00661</t>
  </si>
  <si>
    <t>Prostatonin</t>
  </si>
  <si>
    <t>PN-00662</t>
  </si>
  <si>
    <t>Proviron</t>
  </si>
  <si>
    <t>PN-00663</t>
  </si>
  <si>
    <t>Pylorest</t>
  </si>
  <si>
    <t>PN-00664</t>
  </si>
  <si>
    <t>Quintor</t>
  </si>
  <si>
    <t>PN-00665</t>
  </si>
  <si>
    <t>Rabelox</t>
  </si>
  <si>
    <t>PN-00666</t>
  </si>
  <si>
    <t>Radiklo</t>
  </si>
  <si>
    <t>PN-00667</t>
  </si>
  <si>
    <t>Ramine</t>
  </si>
  <si>
    <t>PN-00668</t>
  </si>
  <si>
    <t>Ramitace</t>
  </si>
  <si>
    <t>PN-00669</t>
  </si>
  <si>
    <t>Ranivan</t>
  </si>
  <si>
    <t>PN-00670</t>
  </si>
  <si>
    <t>Ranopage Od</t>
  </si>
  <si>
    <t>PN-00671</t>
  </si>
  <si>
    <t>Ranopril</t>
  </si>
  <si>
    <t>PN-00672</t>
  </si>
  <si>
    <t>Raprox</t>
  </si>
  <si>
    <t>PN-00673</t>
  </si>
  <si>
    <t>Regacom</t>
  </si>
  <si>
    <t>PN-00674</t>
  </si>
  <si>
    <t>Regrotone</t>
  </si>
  <si>
    <t>PN-00675</t>
  </si>
  <si>
    <t>Rejuver</t>
  </si>
  <si>
    <t>PN-00676</t>
  </si>
  <si>
    <t>Relief</t>
  </si>
  <si>
    <t>PN-00677</t>
  </si>
  <si>
    <t>Reliva</t>
  </si>
  <si>
    <t>PN-00678</t>
  </si>
  <si>
    <t>Reload Kidz</t>
  </si>
  <si>
    <t>PN-00679</t>
  </si>
  <si>
    <t>Reload Mens 50+</t>
  </si>
  <si>
    <t>PN-00680</t>
  </si>
  <si>
    <t>Reload Mens Formula</t>
  </si>
  <si>
    <t>PN-00681</t>
  </si>
  <si>
    <t>Riconia</t>
  </si>
  <si>
    <t>PN-00682</t>
  </si>
  <si>
    <t>Rifampicin</t>
  </si>
  <si>
    <t>PN-00683</t>
  </si>
  <si>
    <t>Rimactal Inh</t>
  </si>
  <si>
    <t>PN-00684</t>
  </si>
  <si>
    <t>Risdal</t>
  </si>
  <si>
    <t>PN-00685</t>
  </si>
  <si>
    <t>Rispzen</t>
  </si>
  <si>
    <t>PN-00686</t>
  </si>
  <si>
    <t>Robinax</t>
  </si>
  <si>
    <t>PN-00687</t>
  </si>
  <si>
    <t>Rogotinol</t>
  </si>
  <si>
    <t>PN-00688</t>
  </si>
  <si>
    <t>Rohypnol</t>
  </si>
  <si>
    <t>PN-00689</t>
  </si>
  <si>
    <t>Rolap Rosuvatatin</t>
  </si>
  <si>
    <t>PN-00690</t>
  </si>
  <si>
    <t>Roliten</t>
  </si>
  <si>
    <t>PN-00691</t>
  </si>
  <si>
    <t>Rosart</t>
  </si>
  <si>
    <t>PN-00692</t>
  </si>
  <si>
    <t>Rovigon</t>
  </si>
  <si>
    <t>PN-00693</t>
  </si>
  <si>
    <t>Sanclamide Brand Of</t>
  </si>
  <si>
    <t>PN-00694</t>
  </si>
  <si>
    <t>Sanformin</t>
  </si>
  <si>
    <t>PN-00695</t>
  </si>
  <si>
    <t>Seccivid Secnidazole</t>
  </si>
  <si>
    <t>PN-00696</t>
  </si>
  <si>
    <t>Septrim</t>
  </si>
  <si>
    <t>PN-00697</t>
  </si>
  <si>
    <t>Septrin</t>
  </si>
  <si>
    <t>PN-00698</t>
  </si>
  <si>
    <t>Setral</t>
  </si>
  <si>
    <t>PN-00699</t>
  </si>
  <si>
    <t>Silybon</t>
  </si>
  <si>
    <t>PN-00700</t>
  </si>
  <si>
    <t>Simtab</t>
  </si>
  <si>
    <t>PN-00701</t>
  </si>
  <si>
    <t>Sineret</t>
  </si>
  <si>
    <t>PN-00702</t>
  </si>
  <si>
    <t>Sinerpres</t>
  </si>
  <si>
    <t>PN-00703</t>
  </si>
  <si>
    <t>Sinopril</t>
  </si>
  <si>
    <t>PN-00704</t>
  </si>
  <si>
    <t>Sinvaz</t>
  </si>
  <si>
    <t>PN-00705</t>
  </si>
  <si>
    <t>Siprosan</t>
  </si>
  <si>
    <t>PN-00706</t>
  </si>
  <si>
    <t>Sirdalud</t>
  </si>
  <si>
    <t>PN-00707</t>
  </si>
  <si>
    <t>Skin</t>
  </si>
  <si>
    <t>PN-00708</t>
  </si>
  <si>
    <t>Slow</t>
  </si>
  <si>
    <t>PN-00709</t>
  </si>
  <si>
    <t>Sloxin</t>
  </si>
  <si>
    <t>PN-00710</t>
  </si>
  <si>
    <t>Smenaldex</t>
  </si>
  <si>
    <t>PN-00711</t>
  </si>
  <si>
    <t>Somnapam</t>
  </si>
  <si>
    <t>PN-00712</t>
  </si>
  <si>
    <t>Sonagra</t>
  </si>
  <si>
    <t>PN-00713</t>
  </si>
  <si>
    <t>Soure Soft</t>
  </si>
  <si>
    <t>PN-00714</t>
  </si>
  <si>
    <t>Sparbact</t>
  </si>
  <si>
    <t>PN-00715</t>
  </si>
  <si>
    <t>Spardium</t>
  </si>
  <si>
    <t>PN-00716</t>
  </si>
  <si>
    <t>Spiracin</t>
  </si>
  <si>
    <t>PN-00717</t>
  </si>
  <si>
    <t>Stamlo</t>
  </si>
  <si>
    <t>PN-00718</t>
  </si>
  <si>
    <t>Stemetil</t>
  </si>
  <si>
    <t>PN-00719</t>
  </si>
  <si>
    <t>Stibestrol</t>
  </si>
  <si>
    <t>PN-00720</t>
  </si>
  <si>
    <t>Stimol Citrulline Malate</t>
  </si>
  <si>
    <t>PN-00721</t>
  </si>
  <si>
    <t>Stimuno</t>
  </si>
  <si>
    <t>PN-00722</t>
  </si>
  <si>
    <t>Strepsil</t>
  </si>
  <si>
    <t>PN-00723</t>
  </si>
  <si>
    <t>Stugeron</t>
  </si>
  <si>
    <t>PN-00724</t>
  </si>
  <si>
    <t>Sulpadimidia</t>
  </si>
  <si>
    <t>PN-00725</t>
  </si>
  <si>
    <t>Super</t>
  </si>
  <si>
    <t>PN-00726</t>
  </si>
  <si>
    <t>Supra Livron</t>
  </si>
  <si>
    <t>PN-00727</t>
  </si>
  <si>
    <t>Supra Meb</t>
  </si>
  <si>
    <t>PN-00728</t>
  </si>
  <si>
    <t>Supramult</t>
  </si>
  <si>
    <t>PN-00729</t>
  </si>
  <si>
    <t>Sustanon</t>
  </si>
  <si>
    <t>PN-00730</t>
  </si>
  <si>
    <t>Sweetex Sweetner</t>
  </si>
  <si>
    <t>PN-00731</t>
  </si>
  <si>
    <t>Swibetic</t>
  </si>
  <si>
    <t>PN-00732</t>
  </si>
  <si>
    <t>Swidon</t>
  </si>
  <si>
    <t>PN-00733</t>
  </si>
  <si>
    <t>Swivasc</t>
  </si>
  <si>
    <t>PN-00734</t>
  </si>
  <si>
    <t>Tabalon</t>
  </si>
  <si>
    <t>PN-00735</t>
  </si>
  <si>
    <t>Tagament</t>
  </si>
  <si>
    <t>PN-00736</t>
  </si>
  <si>
    <t>Tagement</t>
  </si>
  <si>
    <t>PN-00737</t>
  </si>
  <si>
    <t>Tamusulosin Hydrochloride</t>
  </si>
  <si>
    <t>PN-00738</t>
  </si>
  <si>
    <t>Tandaflam</t>
  </si>
  <si>
    <t>PN-00739</t>
  </si>
  <si>
    <t>Tanderil</t>
  </si>
  <si>
    <t>PN-00740</t>
  </si>
  <si>
    <t>Tarivid</t>
  </si>
  <si>
    <t>PN-00741</t>
  </si>
  <si>
    <t>Tavegyl</t>
  </si>
  <si>
    <t>PN-00742</t>
  </si>
  <si>
    <t>Tegretol</t>
  </si>
  <si>
    <t>PN-00743</t>
  </si>
  <si>
    <t>Tegrotol Cr</t>
  </si>
  <si>
    <t>PN-00744</t>
  </si>
  <si>
    <t>Temexin</t>
  </si>
  <si>
    <t>PN-00745</t>
  </si>
  <si>
    <t>Tenolol</t>
  </si>
  <si>
    <t>PN-00746</t>
  </si>
  <si>
    <t>Tenoretic</t>
  </si>
  <si>
    <t>PN-00747</t>
  </si>
  <si>
    <t>Tenoskan</t>
  </si>
  <si>
    <t>PN-00748</t>
  </si>
  <si>
    <t>Terramycin</t>
  </si>
  <si>
    <t>PN-00749</t>
  </si>
  <si>
    <t>Tetradox</t>
  </si>
  <si>
    <t>PN-00750</t>
  </si>
  <si>
    <t>Thiapril</t>
  </si>
  <si>
    <t>PN-00751</t>
  </si>
  <si>
    <t>Timexda</t>
  </si>
  <si>
    <t>PN-00752</t>
  </si>
  <si>
    <t>Tinexda</t>
  </si>
  <si>
    <t>PN-00753</t>
  </si>
  <si>
    <t>Tiniflox</t>
  </si>
  <si>
    <t>PN-00754</t>
  </si>
  <si>
    <t>Tiniglex</t>
  </si>
  <si>
    <t>PN-00755</t>
  </si>
  <si>
    <t>Tiocasid</t>
  </si>
  <si>
    <t>PN-00756</t>
  </si>
  <si>
    <t>Tocovid</t>
  </si>
  <si>
    <t>PN-00757</t>
  </si>
  <si>
    <t>Topril</t>
  </si>
  <si>
    <t>PN-00758</t>
  </si>
  <si>
    <t>Toranac</t>
  </si>
  <si>
    <t>PN-00759</t>
  </si>
  <si>
    <t>Tough And Go</t>
  </si>
  <si>
    <t>PN-00760</t>
  </si>
  <si>
    <t>Tradyl</t>
  </si>
  <si>
    <t>PN-00761</t>
  </si>
  <si>
    <t>Traflash</t>
  </si>
  <si>
    <t>PN-00762</t>
  </si>
  <si>
    <t>Tramal Retard</t>
  </si>
  <si>
    <t>PN-00763</t>
  </si>
  <si>
    <t>Tramez</t>
  </si>
  <si>
    <t>PN-00764</t>
  </si>
  <si>
    <t>Individual Workplace</t>
  </si>
  <si>
    <t>PN-00765</t>
  </si>
  <si>
    <t>Restaurant Expenses</t>
  </si>
  <si>
    <t>PN-00766</t>
  </si>
  <si>
    <t>Hotel Accommodation</t>
  </si>
  <si>
    <t>PN-00767</t>
  </si>
  <si>
    <t>Desk Organizer</t>
  </si>
  <si>
    <t>PN-00768</t>
  </si>
  <si>
    <t>Magnetic Board</t>
  </si>
  <si>
    <t>PN-00769</t>
  </si>
  <si>
    <t>Monitor Stand</t>
  </si>
  <si>
    <t>PN-00770</t>
  </si>
  <si>
    <t>Desk Pad</t>
  </si>
  <si>
    <t>PN-00771</t>
  </si>
  <si>
    <t>Whiteboard</t>
  </si>
  <si>
    <t>PN-00772</t>
  </si>
  <si>
    <t>Led Lamp</t>
  </si>
  <si>
    <t>PN-00773</t>
  </si>
  <si>
    <t>Newspaper Rack</t>
  </si>
  <si>
    <t>PN-00774</t>
  </si>
  <si>
    <t>Tips</t>
  </si>
  <si>
    <t>PN-00775</t>
  </si>
  <si>
    <t>Virtual Interior Design</t>
  </si>
  <si>
    <t>PN-00776</t>
  </si>
  <si>
    <t>Virtual Home Staging</t>
  </si>
  <si>
    <t>PN-00777</t>
  </si>
  <si>
    <t>Desk Combination</t>
  </si>
  <si>
    <t>PN-00778</t>
  </si>
  <si>
    <t>Tribarat</t>
  </si>
  <si>
    <t>PN-00779</t>
  </si>
  <si>
    <t>Tribinat</t>
  </si>
  <si>
    <t>PN-00780</t>
  </si>
  <si>
    <t>Triplucon</t>
  </si>
  <si>
    <t>PN-00781</t>
  </si>
  <si>
    <t>Tumol</t>
  </si>
  <si>
    <t>PN-00782</t>
  </si>
  <si>
    <t>Ulcertret</t>
  </si>
  <si>
    <t>PN-00783</t>
  </si>
  <si>
    <t>Unasyn</t>
  </si>
  <si>
    <t>PN-00784</t>
  </si>
  <si>
    <t>Valinex</t>
  </si>
  <si>
    <t>PN-00785</t>
  </si>
  <si>
    <t>Vamadopa</t>
  </si>
  <si>
    <t>PN-00786</t>
  </si>
  <si>
    <t>Vamis</t>
  </si>
  <si>
    <t>PN-00787</t>
  </si>
  <si>
    <t>Vanclox</t>
  </si>
  <si>
    <t>PN-00788</t>
  </si>
  <si>
    <t>Ventolin Inhaler</t>
  </si>
  <si>
    <t>PN-00789</t>
  </si>
  <si>
    <t>Vicocin Lincomycin</t>
  </si>
  <si>
    <t>PN-00790</t>
  </si>
  <si>
    <t>Vinco</t>
  </si>
  <si>
    <t>PN-00791</t>
  </si>
  <si>
    <t>Vira</t>
  </si>
  <si>
    <t>PN-00792</t>
  </si>
  <si>
    <t>Virest</t>
  </si>
  <si>
    <t>PN-00793</t>
  </si>
  <si>
    <t>Vision Mineral Supp</t>
  </si>
  <si>
    <t>PN-00794</t>
  </si>
  <si>
    <t>Visionace</t>
  </si>
  <si>
    <t>PN-00795</t>
  </si>
  <si>
    <t>Vulcan</t>
  </si>
  <si>
    <t>PN-00796</t>
  </si>
  <si>
    <t>Waipa Act</t>
  </si>
  <si>
    <t>PN-00797</t>
  </si>
  <si>
    <t>Winofit</t>
  </si>
  <si>
    <t>PN-00798</t>
  </si>
  <si>
    <t>Wormidan</t>
  </si>
  <si>
    <t>PN-00799</t>
  </si>
  <si>
    <t>Wormplan</t>
  </si>
  <si>
    <t>PN-00800</t>
  </si>
  <si>
    <t>Xyloproct</t>
  </si>
  <si>
    <t>PN-00801</t>
  </si>
  <si>
    <t>Yomesan</t>
  </si>
  <si>
    <t>PN-00802</t>
  </si>
  <si>
    <t>Zaditen</t>
  </si>
  <si>
    <t>PN-00803</t>
  </si>
  <si>
    <t>Zantac</t>
  </si>
  <si>
    <t>PN-00804</t>
  </si>
  <si>
    <t>Zaryl</t>
  </si>
  <si>
    <t>PN-00805</t>
  </si>
  <si>
    <t>Zenusin Sr</t>
  </si>
  <si>
    <t>PN-00806</t>
  </si>
  <si>
    <t>Zestup Co</t>
  </si>
  <si>
    <t>PN-00807</t>
  </si>
  <si>
    <t>Zinazole</t>
  </si>
  <si>
    <t>PN-00808</t>
  </si>
  <si>
    <t>Zinnat</t>
  </si>
  <si>
    <t>PN-00809</t>
  </si>
  <si>
    <t>Zithromax</t>
  </si>
  <si>
    <t>PN-00810</t>
  </si>
  <si>
    <t>Zoocef</t>
  </si>
  <si>
    <t>PN-00811</t>
  </si>
  <si>
    <t>Zoretic</t>
  </si>
  <si>
    <t>PN-00812</t>
  </si>
  <si>
    <t>Zyncet</t>
  </si>
  <si>
    <t>PN-00813</t>
  </si>
  <si>
    <t>Zysty</t>
  </si>
  <si>
    <t>PN-00814</t>
  </si>
  <si>
    <t>Novasc</t>
  </si>
  <si>
    <t>PN-00815</t>
  </si>
  <si>
    <t>Radoflox</t>
  </si>
  <si>
    <t>PN-00816</t>
  </si>
  <si>
    <t>Pregnacare Nigeria</t>
  </si>
  <si>
    <t>PN-00817</t>
  </si>
  <si>
    <t>Piriton</t>
  </si>
  <si>
    <t>PN-00818</t>
  </si>
  <si>
    <t>Ventolin</t>
  </si>
  <si>
    <t>PN-00819</t>
  </si>
  <si>
    <t>Primpex</t>
  </si>
  <si>
    <t>PN-00820</t>
  </si>
  <si>
    <t>Sprax</t>
  </si>
  <si>
    <t>PN-00821</t>
  </si>
  <si>
    <t>Anusol Supp</t>
  </si>
  <si>
    <t>PN-00822</t>
  </si>
  <si>
    <t>Welfil</t>
  </si>
  <si>
    <t>PN-00823</t>
  </si>
  <si>
    <t>Felvin Branded</t>
  </si>
  <si>
    <t>PN-00824</t>
  </si>
  <si>
    <t>Ulsakit</t>
  </si>
  <si>
    <t>PN-00825</t>
  </si>
  <si>
    <t>Canesten Vaginal</t>
  </si>
  <si>
    <t>PN-00826</t>
  </si>
  <si>
    <t>Gynesatum</t>
  </si>
  <si>
    <t>PN-00827</t>
  </si>
  <si>
    <t>Gyno Daktarin</t>
  </si>
  <si>
    <t>PN-00828</t>
  </si>
  <si>
    <t>Gyno Mikozal</t>
  </si>
  <si>
    <t>PN-00829</t>
  </si>
  <si>
    <t>Gyno Trosyd Ovule</t>
  </si>
  <si>
    <t>PN-00830</t>
  </si>
  <si>
    <t>Valium</t>
  </si>
  <si>
    <t>PN-00831</t>
  </si>
  <si>
    <t>Mvs</t>
  </si>
  <si>
    <t>PN-00832</t>
  </si>
  <si>
    <t>Spasmin Hyosine</t>
  </si>
  <si>
    <t>PN-00833</t>
  </si>
  <si>
    <t>Altinez + Pcol Eye</t>
  </si>
  <si>
    <t>PN-00834</t>
  </si>
  <si>
    <t>Anstin Privin Eye</t>
  </si>
  <si>
    <t>PN-00835</t>
  </si>
  <si>
    <t>Anterllerge Eye</t>
  </si>
  <si>
    <t>PN-00836</t>
  </si>
  <si>
    <t>Aristobet Eye</t>
  </si>
  <si>
    <t>PN-00837</t>
  </si>
  <si>
    <t>Aristomol Eye</t>
  </si>
  <si>
    <t>PN-00838</t>
  </si>
  <si>
    <t>Beoptic Eye</t>
  </si>
  <si>
    <t>PN-00839</t>
  </si>
  <si>
    <t>Betadrone Eye</t>
  </si>
  <si>
    <t>PN-00840</t>
  </si>
  <si>
    <t>Betoptic</t>
  </si>
  <si>
    <t>PN-00841</t>
  </si>
  <si>
    <t>Catalin Eye</t>
  </si>
  <si>
    <t>PN-00842</t>
  </si>
  <si>
    <t>Cerumol Eye</t>
  </si>
  <si>
    <t>PN-00843</t>
  </si>
  <si>
    <t>Chloraphenicol Eye</t>
  </si>
  <si>
    <t>PN-00844</t>
  </si>
  <si>
    <t>Cifraxin Eye</t>
  </si>
  <si>
    <t>PN-00845</t>
  </si>
  <si>
    <t>Ciprocet Eye</t>
  </si>
  <si>
    <t>PN-00846</t>
  </si>
  <si>
    <t>Collomax</t>
  </si>
  <si>
    <t>PN-00847</t>
  </si>
  <si>
    <t>Cusimolol Eye</t>
  </si>
  <si>
    <t>PN-00848</t>
  </si>
  <si>
    <t>Dacryne Eye</t>
  </si>
  <si>
    <t>PN-00849</t>
  </si>
  <si>
    <t>Drumoptol Eye</t>
  </si>
  <si>
    <t>PN-00850</t>
  </si>
  <si>
    <t>Efemoline Eye</t>
  </si>
  <si>
    <t>PN-00851</t>
  </si>
  <si>
    <t>Erdon Eye</t>
  </si>
  <si>
    <t>PN-00852</t>
  </si>
  <si>
    <t>Eyetreolent</t>
  </si>
  <si>
    <t>PN-00853</t>
  </si>
  <si>
    <t>Gentalab Eye</t>
  </si>
  <si>
    <t>PN-00854</t>
  </si>
  <si>
    <t>Gentalek</t>
  </si>
  <si>
    <t>PN-00855</t>
  </si>
  <si>
    <t>Genticin Eye</t>
  </si>
  <si>
    <t>PN-00856</t>
  </si>
  <si>
    <t>Gramicol Eye</t>
  </si>
  <si>
    <t>PN-00857</t>
  </si>
  <si>
    <t>Ivecmecticin</t>
  </si>
  <si>
    <t>PN-00858</t>
  </si>
  <si>
    <t>Ivy Betaneocin</t>
  </si>
  <si>
    <t>PN-00859</t>
  </si>
  <si>
    <t>Ivycrom Eye</t>
  </si>
  <si>
    <t>PN-00860</t>
  </si>
  <si>
    <t>Ivydexone</t>
  </si>
  <si>
    <t>PN-00861</t>
  </si>
  <si>
    <t>Ivymoicel Eye</t>
  </si>
  <si>
    <t>PN-00862</t>
  </si>
  <si>
    <t>Ivyphenicol Eye</t>
  </si>
  <si>
    <t>PN-00863</t>
  </si>
  <si>
    <t>Ivysolone</t>
  </si>
  <si>
    <t>PN-00864</t>
  </si>
  <si>
    <t>Ivytimol</t>
  </si>
  <si>
    <t>PN-00865</t>
  </si>
  <si>
    <t>Ivyzine Eye</t>
  </si>
  <si>
    <t>PN-00866</t>
  </si>
  <si>
    <t>Jamol Eye</t>
  </si>
  <si>
    <t>PN-00867</t>
  </si>
  <si>
    <t>Lomeflox Eye</t>
  </si>
  <si>
    <t>PN-00868</t>
  </si>
  <si>
    <t>Lvycron Eye</t>
  </si>
  <si>
    <t>PN-00869</t>
  </si>
  <si>
    <t>Lvydence</t>
  </si>
  <si>
    <t>PN-00870</t>
  </si>
  <si>
    <t>Lvytinol</t>
  </si>
  <si>
    <t>PN-00871</t>
  </si>
  <si>
    <t>Lvyzine E/d</t>
  </si>
  <si>
    <t>PN-00872</t>
  </si>
  <si>
    <t>Maxidex Eye</t>
  </si>
  <si>
    <t>PN-00873</t>
  </si>
  <si>
    <t>Maxitrol</t>
  </si>
  <si>
    <t>PN-00874</t>
  </si>
  <si>
    <t>Nosak Eye</t>
  </si>
  <si>
    <t>PN-00875</t>
  </si>
  <si>
    <t>Nyolol</t>
  </si>
  <si>
    <t>PN-00876</t>
  </si>
  <si>
    <t>Optachlor</t>
  </si>
  <si>
    <t>PN-00877</t>
  </si>
  <si>
    <t>Pharsine Eye</t>
  </si>
  <si>
    <t>PN-00878</t>
  </si>
  <si>
    <t>Rogophen Eye</t>
  </si>
  <si>
    <t>PN-00879</t>
  </si>
  <si>
    <t>Spersallerg Eye</t>
  </si>
  <si>
    <t>PN-00880</t>
  </si>
  <si>
    <t>Stadex</t>
  </si>
  <si>
    <t>PN-00881</t>
  </si>
  <si>
    <t>Stafen Eye</t>
  </si>
  <si>
    <t>PN-00882</t>
  </si>
  <si>
    <t>Timoptol Eye Solut</t>
  </si>
  <si>
    <t>PN-00883</t>
  </si>
  <si>
    <t>Tiococid</t>
  </si>
  <si>
    <t>PN-00884</t>
  </si>
  <si>
    <t>Travatan Eye</t>
  </si>
  <si>
    <t>PN-00885</t>
  </si>
  <si>
    <t>Truspot Eye</t>
  </si>
  <si>
    <t>PN-00886</t>
  </si>
  <si>
    <t>Visine B/s</t>
  </si>
  <si>
    <t>PN-00887</t>
  </si>
  <si>
    <t>Visine Eye S/s</t>
  </si>
  <si>
    <t>PN-00888</t>
  </si>
  <si>
    <t>Vistolent Eye</t>
  </si>
  <si>
    <t>PN-00889</t>
  </si>
  <si>
    <t>Xalatan Eye</t>
  </si>
  <si>
    <t>PN-00890</t>
  </si>
  <si>
    <t>Emproflox Eye</t>
  </si>
  <si>
    <t>PN-00891</t>
  </si>
  <si>
    <t>Ivydexgent Eye</t>
  </si>
  <si>
    <t>PN-00892</t>
  </si>
  <si>
    <t>Ivymoicell Eye</t>
  </si>
  <si>
    <t>PN-00893</t>
  </si>
  <si>
    <t>Ivyxolol Eye</t>
  </si>
  <si>
    <t>PN-00894</t>
  </si>
  <si>
    <t>Sonexa Eye</t>
  </si>
  <si>
    <t>PN-00895</t>
  </si>
  <si>
    <t>Spersadex Comp Eye</t>
  </si>
  <si>
    <t>PN-00896</t>
  </si>
  <si>
    <t>Ciflaxin Eye + Ear</t>
  </si>
  <si>
    <t>PN-00897</t>
  </si>
  <si>
    <t>Dextracin E/e</t>
  </si>
  <si>
    <t>PN-00898</t>
  </si>
  <si>
    <t>Drugent Eye + Ear</t>
  </si>
  <si>
    <t>PN-00899</t>
  </si>
  <si>
    <t>Hycomycin Eye + Ear</t>
  </si>
  <si>
    <t>PN-00900</t>
  </si>
  <si>
    <t>Mydriacyl Eye</t>
  </si>
  <si>
    <t>PN-00901</t>
  </si>
  <si>
    <t>Sofradex Eye + Ear</t>
  </si>
  <si>
    <t>PN-00902</t>
  </si>
  <si>
    <t>Ca</t>
  </si>
  <si>
    <t>PN-00903</t>
  </si>
  <si>
    <t>Vista Eye + Ear</t>
  </si>
  <si>
    <t>PN-00904</t>
  </si>
  <si>
    <t>Astymin Infusion</t>
  </si>
  <si>
    <t>PN-00905</t>
  </si>
  <si>
    <t>Cenox</t>
  </si>
  <si>
    <t>PN-00906</t>
  </si>
  <si>
    <t>Ciprotab Infusion</t>
  </si>
  <si>
    <t>PN-00907</t>
  </si>
  <si>
    <t>Dextrose In Saline</t>
  </si>
  <si>
    <t>PN-00908</t>
  </si>
  <si>
    <t>Dextrose In Water</t>
  </si>
  <si>
    <t>PN-00909</t>
  </si>
  <si>
    <t>Normal Saline</t>
  </si>
  <si>
    <t>PN-00910</t>
  </si>
  <si>
    <t>Ringers</t>
  </si>
  <si>
    <t>PN-00911</t>
  </si>
  <si>
    <t>Ativan</t>
  </si>
  <si>
    <t>PN-00912</t>
  </si>
  <si>
    <t>Abaktal</t>
  </si>
  <si>
    <t>PN-00913</t>
  </si>
  <si>
    <t>Adrenaline</t>
  </si>
  <si>
    <t>PN-00914</t>
  </si>
  <si>
    <t>Aminophylline</t>
  </si>
  <si>
    <t>PN-00915</t>
  </si>
  <si>
    <t>Amoksiklav</t>
  </si>
  <si>
    <t>PN-00916</t>
  </si>
  <si>
    <t>Anti Snake Venum</t>
  </si>
  <si>
    <t>PN-00917</t>
  </si>
  <si>
    <t>Anti Rabbies Serum</t>
  </si>
  <si>
    <t>PN-00918</t>
  </si>
  <si>
    <t>Apresoline</t>
  </si>
  <si>
    <t>PN-00919</t>
  </si>
  <si>
    <t>Artejec</t>
  </si>
  <si>
    <t>PN-00920</t>
  </si>
  <si>
    <t>Ats 10000ivu</t>
  </si>
  <si>
    <t>PN-00921</t>
  </si>
  <si>
    <t>Ats 1500ivu</t>
  </si>
  <si>
    <t>PN-00922</t>
  </si>
  <si>
    <t>Ats 5000ivu</t>
  </si>
  <si>
    <t>PN-00923</t>
  </si>
  <si>
    <t>Augumentin</t>
  </si>
  <si>
    <t>PN-00924</t>
  </si>
  <si>
    <t>Hyoscine</t>
  </si>
  <si>
    <t>PN-00925</t>
  </si>
  <si>
    <t>Buscopan</t>
  </si>
  <si>
    <t>PN-00926</t>
  </si>
  <si>
    <t>Benzyl Penicillin</t>
  </si>
  <si>
    <t>PN-00927</t>
  </si>
  <si>
    <t>Cefroxime</t>
  </si>
  <si>
    <t>PN-00928</t>
  </si>
  <si>
    <t>Chloroquine</t>
  </si>
  <si>
    <t>PN-00929</t>
  </si>
  <si>
    <t>Cimetidine</t>
  </si>
  <si>
    <t>PN-00930</t>
  </si>
  <si>
    <t>Depo Provera</t>
  </si>
  <si>
    <t>PN-00931</t>
  </si>
  <si>
    <t>Dicynone</t>
  </si>
  <si>
    <t>PN-00932</t>
  </si>
  <si>
    <t>Durabolin</t>
  </si>
  <si>
    <t>PN-00933</t>
  </si>
  <si>
    <t>Emal</t>
  </si>
  <si>
    <t>PN-00934</t>
  </si>
  <si>
    <t>Ergomentrine</t>
  </si>
  <si>
    <t>PN-00935</t>
  </si>
  <si>
    <t>Fansidar</t>
  </si>
  <si>
    <t>PN-00936</t>
  </si>
  <si>
    <t>Hcg</t>
  </si>
  <si>
    <t>PN-00937</t>
  </si>
  <si>
    <t>Hepabionta</t>
  </si>
  <si>
    <t>PN-00938</t>
  </si>
  <si>
    <t>Humulin 70/30</t>
  </si>
  <si>
    <t>PN-00939</t>
  </si>
  <si>
    <t>Imal</t>
  </si>
  <si>
    <t>PN-00940</t>
  </si>
  <si>
    <t>Inferon</t>
  </si>
  <si>
    <t>PN-00941</t>
  </si>
  <si>
    <t>Insulartard</t>
  </si>
  <si>
    <t>PN-00942</t>
  </si>
  <si>
    <t>Insulatard</t>
  </si>
  <si>
    <t>PN-00943</t>
  </si>
  <si>
    <t>Kenalog</t>
  </si>
  <si>
    <t>PN-00944</t>
  </si>
  <si>
    <t>Maxolone</t>
  </si>
  <si>
    <t>PN-00945</t>
  </si>
  <si>
    <t>Menstrogen</t>
  </si>
  <si>
    <t>PN-00946</t>
  </si>
  <si>
    <t>Metochlopromide Hydrochloride</t>
  </si>
  <si>
    <t>PN-00947</t>
  </si>
  <si>
    <t>Mixtad</t>
  </si>
  <si>
    <t>PN-00948</t>
  </si>
  <si>
    <t>Noristerat</t>
  </si>
  <si>
    <t>PN-00949</t>
  </si>
  <si>
    <t>Paluther Arthemeter</t>
  </si>
  <si>
    <t>PN-00950</t>
  </si>
  <si>
    <t>Phenobarbitone</t>
  </si>
  <si>
    <t>PN-00951</t>
  </si>
  <si>
    <t>Phinomether</t>
  </si>
  <si>
    <t>PN-00952</t>
  </si>
  <si>
    <t>Reichclox</t>
  </si>
  <si>
    <t>PN-00953</t>
  </si>
  <si>
    <t>Primolu Depot</t>
  </si>
  <si>
    <t>PN-00954</t>
  </si>
  <si>
    <t>Progesterone</t>
  </si>
  <si>
    <t>PN-00955</t>
  </si>
  <si>
    <t>Proluton Depot</t>
  </si>
  <si>
    <t>PN-00956</t>
  </si>
  <si>
    <t>Quinnine</t>
  </si>
  <si>
    <t>PN-00957</t>
  </si>
  <si>
    <t>Rocephine</t>
  </si>
  <si>
    <t>PN-00958</t>
  </si>
  <si>
    <t>Snake Anti Serum</t>
  </si>
  <si>
    <t>PN-00959</t>
  </si>
  <si>
    <t>Teretine</t>
  </si>
  <si>
    <t>PN-00960</t>
  </si>
  <si>
    <t>Testosterone</t>
  </si>
  <si>
    <t>PN-00961</t>
  </si>
  <si>
    <t>Tetanus Toxoid</t>
  </si>
  <si>
    <t>PN-00962</t>
  </si>
  <si>
    <t>Togamycin</t>
  </si>
  <si>
    <t>PN-00963</t>
  </si>
  <si>
    <t>Trexamin</t>
  </si>
  <si>
    <t>PN-00964</t>
  </si>
  <si>
    <t>Verorab Vaccine</t>
  </si>
  <si>
    <t>PN-00965</t>
  </si>
  <si>
    <t>Water For</t>
  </si>
  <si>
    <t>PN-00966</t>
  </si>
  <si>
    <t>Zinacef</t>
  </si>
  <si>
    <t>PN-00967</t>
  </si>
  <si>
    <t>Rabipur Vaccine</t>
  </si>
  <si>
    <t>PN-00968</t>
  </si>
  <si>
    <t>Accu Check Active</t>
  </si>
  <si>
    <t>PN-00969</t>
  </si>
  <si>
    <t>Circumcision Set</t>
  </si>
  <si>
    <t>PN-00970</t>
  </si>
  <si>
    <t>Combi</t>
  </si>
  <si>
    <t>PN-00971</t>
  </si>
  <si>
    <t>Gluco Dr Machine</t>
  </si>
  <si>
    <t>PN-00972</t>
  </si>
  <si>
    <t>Omron Machine Mx2</t>
  </si>
  <si>
    <t>PN-00973</t>
  </si>
  <si>
    <t>One Touch Ultra</t>
  </si>
  <si>
    <t>PN-00974</t>
  </si>
  <si>
    <t>Underlag Pad</t>
  </si>
  <si>
    <t>PN-00975</t>
  </si>
  <si>
    <t>Otrivin Nasal Children</t>
  </si>
  <si>
    <t>PN-00976</t>
  </si>
  <si>
    <t>Otrivin Nasal Adult</t>
  </si>
  <si>
    <t>PN-00977</t>
  </si>
  <si>
    <t>Xylo Mepha</t>
  </si>
  <si>
    <t>PN-00978</t>
  </si>
  <si>
    <t>Sinufed</t>
  </si>
  <si>
    <t>PN-00979</t>
  </si>
  <si>
    <t>Aminopep</t>
  </si>
  <si>
    <t>PN-00980</t>
  </si>
  <si>
    <t>Aminoplex Tonic</t>
  </si>
  <si>
    <t>PN-00981</t>
  </si>
  <si>
    <t>Amiro</t>
  </si>
  <si>
    <t>PN-00982</t>
  </si>
  <si>
    <t>Mekoamin</t>
  </si>
  <si>
    <t>PN-00983</t>
  </si>
  <si>
    <t>Monomin</t>
  </si>
  <si>
    <t>PN-00984</t>
  </si>
  <si>
    <t>Monover</t>
  </si>
  <si>
    <t>PN-00985</t>
  </si>
  <si>
    <t>Multamin Tonic</t>
  </si>
  <si>
    <t>PN-00986</t>
  </si>
  <si>
    <t>Octamin</t>
  </si>
  <si>
    <t>PN-00987</t>
  </si>
  <si>
    <t>Floximox</t>
  </si>
  <si>
    <t>PN-00988</t>
  </si>
  <si>
    <t>Lamox</t>
  </si>
  <si>
    <t>PN-00989</t>
  </si>
  <si>
    <t>Astraclox Ampiclox</t>
  </si>
  <si>
    <t>PN-00990</t>
  </si>
  <si>
    <t>Briskly Herbal</t>
  </si>
  <si>
    <t>PN-00991</t>
  </si>
  <si>
    <t>Barbiclox</t>
  </si>
  <si>
    <t>PN-00992</t>
  </si>
  <si>
    <t>Emzoclox</t>
  </si>
  <si>
    <t>PN-00993</t>
  </si>
  <si>
    <t>Gecrol</t>
  </si>
  <si>
    <t>PN-00994</t>
  </si>
  <si>
    <t>Gel C Suspension</t>
  </si>
  <si>
    <t>PN-00995</t>
  </si>
  <si>
    <t>Adm</t>
  </si>
  <si>
    <t>PN-00996</t>
  </si>
  <si>
    <t>Gelacid B/s</t>
  </si>
  <si>
    <t>PN-00997</t>
  </si>
  <si>
    <t>Gelacid S/s</t>
  </si>
  <si>
    <t>PN-00998</t>
  </si>
  <si>
    <t>Gestid</t>
  </si>
  <si>
    <t>PN-00999</t>
  </si>
  <si>
    <t>Locid</t>
  </si>
  <si>
    <t>PN-1000</t>
  </si>
  <si>
    <t>Magsil</t>
  </si>
  <si>
    <t>PN-1001</t>
  </si>
  <si>
    <t>Megacid</t>
  </si>
  <si>
    <t>PN-1002</t>
  </si>
  <si>
    <t>Peptomag Usp</t>
  </si>
  <si>
    <t>PN-1003</t>
  </si>
  <si>
    <t>Polycil Antacid</t>
  </si>
  <si>
    <t>PN-1004</t>
  </si>
  <si>
    <t>Polycrol</t>
  </si>
  <si>
    <t>PN-1005</t>
  </si>
  <si>
    <t>Recler</t>
  </si>
  <si>
    <t>PN-1006</t>
  </si>
  <si>
    <t>Relcer Antacid</t>
  </si>
  <si>
    <t>PN-1007</t>
  </si>
  <si>
    <t>Rulox</t>
  </si>
  <si>
    <t>PN-1008</t>
  </si>
  <si>
    <t>De Shalom Anti</t>
  </si>
  <si>
    <t>PN-1009</t>
  </si>
  <si>
    <t>Bromex</t>
  </si>
  <si>
    <t>PN-1010</t>
  </si>
  <si>
    <t>Cefamor</t>
  </si>
  <si>
    <t>PN-1011</t>
  </si>
  <si>
    <t>Fivarex</t>
  </si>
  <si>
    <t>PN-1012</t>
  </si>
  <si>
    <t>Daily Living Bitters</t>
  </si>
  <si>
    <t>PN-1013</t>
  </si>
  <si>
    <t>Jawasil</t>
  </si>
  <si>
    <t>PN-1014</t>
  </si>
  <si>
    <t>Evans Swedish Bitters</t>
  </si>
  <si>
    <t>PN-1015</t>
  </si>
  <si>
    <t>Swedish Bitters</t>
  </si>
  <si>
    <t>PN-1016</t>
  </si>
  <si>
    <t>Amciron Tonic</t>
  </si>
  <si>
    <t>PN-1017</t>
  </si>
  <si>
    <t>Astymin Tonic</t>
  </si>
  <si>
    <t>PN-1018</t>
  </si>
  <si>
    <t>Bentonic Tonic</t>
  </si>
  <si>
    <t>PN-1019</t>
  </si>
  <si>
    <t>Biotonic Bood Tonic</t>
  </si>
  <si>
    <t>PN-1020</t>
  </si>
  <si>
    <t>Biotonic Tonic B/s</t>
  </si>
  <si>
    <t>PN-1021</t>
  </si>
  <si>
    <t>Biotonic Tonic M/s</t>
  </si>
  <si>
    <t>PN-1022</t>
  </si>
  <si>
    <t>Biotonic Tonic S/s</t>
  </si>
  <si>
    <t>PN-1023</t>
  </si>
  <si>
    <t>Bloodtone</t>
  </si>
  <si>
    <t>PN-1024</t>
  </si>
  <si>
    <t>Build Up Blood</t>
  </si>
  <si>
    <t>PN-1025</t>
  </si>
  <si>
    <t>Bunto Tonic Ms</t>
  </si>
  <si>
    <t>PN-1026</t>
  </si>
  <si>
    <t>Cyprigold Tonic M/s</t>
  </si>
  <si>
    <t>PN-1027</t>
  </si>
  <si>
    <t>Cyprigold Tonic</t>
  </si>
  <si>
    <t>PN-1028</t>
  </si>
  <si>
    <t>Darkins Heamoglobin Tonic</t>
  </si>
  <si>
    <t>PN-1029</t>
  </si>
  <si>
    <t>Detonic Tonic</t>
  </si>
  <si>
    <t>PN-1030</t>
  </si>
  <si>
    <t>Dexampple Tonic</t>
  </si>
  <si>
    <t>PN-1031</t>
  </si>
  <si>
    <t>Bunto Tonic S/s</t>
  </si>
  <si>
    <t>PN-1032</t>
  </si>
  <si>
    <t>Chemiron Tonic</t>
  </si>
  <si>
    <t>PN-1033</t>
  </si>
  <si>
    <t>Astyfer Tonic</t>
  </si>
  <si>
    <t>PN-1034</t>
  </si>
  <si>
    <t>Dr Nelsons Blood</t>
  </si>
  <si>
    <t>PN-1035</t>
  </si>
  <si>
    <t>Eleron Tonic</t>
  </si>
  <si>
    <t>PN-1036</t>
  </si>
  <si>
    <t>Everyday Tonic</t>
  </si>
  <si>
    <t>PN-1037</t>
  </si>
  <si>
    <t>Ferbelan Tonic</t>
  </si>
  <si>
    <t>PN-1038</t>
  </si>
  <si>
    <t>Ferilex Junior Tonic</t>
  </si>
  <si>
    <t>PN-1039</t>
  </si>
  <si>
    <t>Ferilex Tonic B/s</t>
  </si>
  <si>
    <t>PN-1040</t>
  </si>
  <si>
    <t>Ferilex Tonic S/s</t>
  </si>
  <si>
    <t>PN-1041</t>
  </si>
  <si>
    <t>Feriplus Tonic B/s</t>
  </si>
  <si>
    <t>PN-1042</t>
  </si>
  <si>
    <t>Feriplus Tonic M/s</t>
  </si>
  <si>
    <t>PN-1043</t>
  </si>
  <si>
    <t>Feriplus Tonic S/s</t>
  </si>
  <si>
    <t>PN-1044</t>
  </si>
  <si>
    <t>Feritan</t>
  </si>
  <si>
    <t>PN-1045</t>
  </si>
  <si>
    <t>Ferobin Tonic</t>
  </si>
  <si>
    <t>PN-1046</t>
  </si>
  <si>
    <t>Feroglobin Tonic</t>
  </si>
  <si>
    <t>PN-1047</t>
  </si>
  <si>
    <t>Ferotal Blood Tonic</t>
  </si>
  <si>
    <t>PN-1048</t>
  </si>
  <si>
    <t>Ferotal Tonic</t>
  </si>
  <si>
    <t>PN-1049</t>
  </si>
  <si>
    <t>Ferrotogen</t>
  </si>
  <si>
    <t>PN-1050</t>
  </si>
  <si>
    <t>Heam Tonic</t>
  </si>
  <si>
    <t>PN-1051</t>
  </si>
  <si>
    <t>Heamaron Tonic</t>
  </si>
  <si>
    <t>PN-1052</t>
  </si>
  <si>
    <t>Hexorange Tonic</t>
  </si>
  <si>
    <t>PN-1053</t>
  </si>
  <si>
    <t>Hs Heamoglobin Tonic</t>
  </si>
  <si>
    <t>PN-1054</t>
  </si>
  <si>
    <t>Ironoglobin Tonic</t>
  </si>
  <si>
    <t>PN-1055</t>
  </si>
  <si>
    <t>Lifex Blood Tonic</t>
  </si>
  <si>
    <t>PN-1056</t>
  </si>
  <si>
    <t>Emzoron Tonic</t>
  </si>
  <si>
    <t>PN-1057</t>
  </si>
  <si>
    <t>Jawaron Tonic</t>
  </si>
  <si>
    <t>PN-1058</t>
  </si>
  <si>
    <t>Liqiud Iron Tonic</t>
  </si>
  <si>
    <t>PN-1059</t>
  </si>
  <si>
    <t>Living Bitters Tonic</t>
  </si>
  <si>
    <t>PN-1060</t>
  </si>
  <si>
    <t>Orheptal Tonic</t>
  </si>
  <si>
    <t>PN-1061</t>
  </si>
  <si>
    <t>Peacetone Tonic Bs</t>
  </si>
  <si>
    <t>PN-1062</t>
  </si>
  <si>
    <t>Peacetone Tonic Ms</t>
  </si>
  <si>
    <t>PN-1063</t>
  </si>
  <si>
    <t>Peacetone Tonic Ss</t>
  </si>
  <si>
    <t>PN-1064</t>
  </si>
  <si>
    <t>Primeron Tonic</t>
  </si>
  <si>
    <t>PN-1065</t>
  </si>
  <si>
    <t>Ranferon Tonic</t>
  </si>
  <si>
    <t>PN-1066</t>
  </si>
  <si>
    <t>Solotone Tonic</t>
  </si>
  <si>
    <t>PN-1067</t>
  </si>
  <si>
    <t>Hollandia Yogurt S/s</t>
  </si>
  <si>
    <t>PN-1068</t>
  </si>
  <si>
    <t>Vamobion Children Blood</t>
  </si>
  <si>
    <t>PN-1069</t>
  </si>
  <si>
    <t>King Tonic</t>
  </si>
  <si>
    <t>PN-1070</t>
  </si>
  <si>
    <t>Mim Tonic</t>
  </si>
  <si>
    <t>PN-1071</t>
  </si>
  <si>
    <t>Vamobion Tonic</t>
  </si>
  <si>
    <t>PN-1072</t>
  </si>
  <si>
    <t>Wate On Tonic</t>
  </si>
  <si>
    <t>PN-1073</t>
  </si>
  <si>
    <t>Wellman Tonic</t>
  </si>
  <si>
    <t>PN-1074</t>
  </si>
  <si>
    <t>Welltonic Bs</t>
  </si>
  <si>
    <t>PN-1075</t>
  </si>
  <si>
    <t>Welltonic Ms</t>
  </si>
  <si>
    <t>PN-1076</t>
  </si>
  <si>
    <t>Welltonic Tonic Ss</t>
  </si>
  <si>
    <t>PN-1077</t>
  </si>
  <si>
    <t>Wellwomantonic</t>
  </si>
  <si>
    <t>PN-1078</t>
  </si>
  <si>
    <t>Zologer Blood Tonic</t>
  </si>
  <si>
    <t>PN-1079</t>
  </si>
  <si>
    <t>Maladrine</t>
  </si>
  <si>
    <t>PN-1080</t>
  </si>
  <si>
    <t>Nivaquine</t>
  </si>
  <si>
    <t>PN-1081</t>
  </si>
  <si>
    <t>Vinaquine</t>
  </si>
  <si>
    <t>PN-1082</t>
  </si>
  <si>
    <t>Chloroquinne</t>
  </si>
  <si>
    <t>PN-1083</t>
  </si>
  <si>
    <t>Ascorex Expectorant</t>
  </si>
  <si>
    <t>PN-1084</t>
  </si>
  <si>
    <t>Avrolin Cough</t>
  </si>
  <si>
    <t>PN-1085</t>
  </si>
  <si>
    <t>Bentcof Expectorant</t>
  </si>
  <si>
    <t>PN-1086</t>
  </si>
  <si>
    <t>Benylin Expectorant</t>
  </si>
  <si>
    <t>PN-1087</t>
  </si>
  <si>
    <t>Biolin Expectorant</t>
  </si>
  <si>
    <t>PN-1088</t>
  </si>
  <si>
    <t>Clearcuf Expectorant</t>
  </si>
  <si>
    <t>PN-1089</t>
  </si>
  <si>
    <t>Coff Off</t>
  </si>
  <si>
    <t>PN-1090</t>
  </si>
  <si>
    <t>Coscopin Cough Linctus</t>
  </si>
  <si>
    <t>PN-1091</t>
  </si>
  <si>
    <t>Dana Xpel Expectorant</t>
  </si>
  <si>
    <t>PN-1092</t>
  </si>
  <si>
    <t>Diphenkof Expectorant</t>
  </si>
  <si>
    <t>PN-1093</t>
  </si>
  <si>
    <t>Tomtom</t>
  </si>
  <si>
    <t>PN-1094</t>
  </si>
  <si>
    <t>Greenlin Dry Cough</t>
  </si>
  <si>
    <t>PN-1095</t>
  </si>
  <si>
    <t>Parkalin Expectorant</t>
  </si>
  <si>
    <t>PN-1096</t>
  </si>
  <si>
    <t>Rablyn Expecturant</t>
  </si>
  <si>
    <t>PN-1097</t>
  </si>
  <si>
    <t>Toplin Expectorant</t>
  </si>
  <si>
    <t>PN-1098</t>
  </si>
  <si>
    <t>Ultilin Expectorant</t>
  </si>
  <si>
    <t>PN-1099</t>
  </si>
  <si>
    <t>Tutolin Expectorant</t>
  </si>
  <si>
    <t>PN-1100</t>
  </si>
  <si>
    <t>Collipan</t>
  </si>
  <si>
    <t>PN-1101</t>
  </si>
  <si>
    <t>Vltilim Expactorant</t>
  </si>
  <si>
    <t>PN-1102</t>
  </si>
  <si>
    <t>Avrocof Cough</t>
  </si>
  <si>
    <t>PN-1103</t>
  </si>
  <si>
    <t>Benylin Cough</t>
  </si>
  <si>
    <t>PN-1104</t>
  </si>
  <si>
    <t>Biolin Cough</t>
  </si>
  <si>
    <t>PN-1105</t>
  </si>
  <si>
    <t>Bonakoff Cough</t>
  </si>
  <si>
    <t>PN-1106</t>
  </si>
  <si>
    <t>Cencold</t>
  </si>
  <si>
    <t>PN-1107</t>
  </si>
  <si>
    <t>Chericof</t>
  </si>
  <si>
    <t>PN-1108</t>
  </si>
  <si>
    <t>Clearcuf Cough For</t>
  </si>
  <si>
    <t>PN-1109</t>
  </si>
  <si>
    <t>Cofcol Cough</t>
  </si>
  <si>
    <t>PN-1110</t>
  </si>
  <si>
    <t>Coflax Cough Linctus</t>
  </si>
  <si>
    <t>PN-1111</t>
  </si>
  <si>
    <t>Cofmix Cough</t>
  </si>
  <si>
    <t>PN-1112</t>
  </si>
  <si>
    <t>Echart</t>
  </si>
  <si>
    <t>PN-1113</t>
  </si>
  <si>
    <t>Hemdyn</t>
  </si>
  <si>
    <t>PN-1114</t>
  </si>
  <si>
    <t>Arnet</t>
  </si>
  <si>
    <t>PN-1115</t>
  </si>
  <si>
    <t>Aldoxil</t>
  </si>
  <si>
    <t>PN-1116</t>
  </si>
  <si>
    <t>Asmanol Branded</t>
  </si>
  <si>
    <t>PN-1117</t>
  </si>
  <si>
    <t>Cofex</t>
  </si>
  <si>
    <t>PN-1118</t>
  </si>
  <si>
    <t>Essential</t>
  </si>
  <si>
    <t>PN-1119</t>
  </si>
  <si>
    <t>Asmanol</t>
  </si>
  <si>
    <t>PN-1120</t>
  </si>
  <si>
    <t>Ciprojopan Tabx10</t>
  </si>
  <si>
    <t>PN-1121</t>
  </si>
  <si>
    <t>Sprinolactone</t>
  </si>
  <si>
    <t>PN-1122</t>
  </si>
  <si>
    <t>Aldomet</t>
  </si>
  <si>
    <t>PN-1123</t>
  </si>
  <si>
    <t>Ambihar</t>
  </si>
  <si>
    <t>PN-1124</t>
  </si>
  <si>
    <t>Amitryptiline Tryptizole</t>
  </si>
  <si>
    <t>PN-1125</t>
  </si>
  <si>
    <t>Ancoloxin</t>
  </si>
  <si>
    <t>PN-1126</t>
  </si>
  <si>
    <t>Anuerine</t>
  </si>
  <si>
    <t>PN-1127</t>
  </si>
  <si>
    <t>Gelusil</t>
  </si>
  <si>
    <t>PN-1128</t>
  </si>
  <si>
    <t>Daraprim</t>
  </si>
  <si>
    <t>PN-1129</t>
  </si>
  <si>
    <t>Amodiaquinne</t>
  </si>
  <si>
    <t>PN-1130</t>
  </si>
  <si>
    <t>Artane</t>
  </si>
  <si>
    <t>PN-1131</t>
  </si>
  <si>
    <t>Aspirin</t>
  </si>
  <si>
    <t>PN-1132</t>
  </si>
  <si>
    <t>Beecodeen</t>
  </si>
  <si>
    <t>PN-1133</t>
  </si>
  <si>
    <t>Buta</t>
  </si>
  <si>
    <t>PN-1134</t>
  </si>
  <si>
    <t>Chymoral</t>
  </si>
  <si>
    <t>PN-1135</t>
  </si>
  <si>
    <t>Ketrax</t>
  </si>
  <si>
    <t>PN-1136</t>
  </si>
  <si>
    <t>Levax</t>
  </si>
  <si>
    <t>PN-1137</t>
  </si>
  <si>
    <t>Retrax</t>
  </si>
  <si>
    <t>PN-1138</t>
  </si>
  <si>
    <t>Epanutin</t>
  </si>
  <si>
    <t>PN-1139</t>
  </si>
  <si>
    <t>Franol</t>
  </si>
  <si>
    <t>PN-1140</t>
  </si>
  <si>
    <t>Ibuprofen</t>
  </si>
  <si>
    <t>PN-1141</t>
  </si>
  <si>
    <t>Inderal</t>
  </si>
  <si>
    <t>PN-1142</t>
  </si>
  <si>
    <t>Indocid</t>
  </si>
  <si>
    <t>PN-1143</t>
  </si>
  <si>
    <t>Chlopromazine</t>
  </si>
  <si>
    <t>PN-1144</t>
  </si>
  <si>
    <t>Frusemide</t>
  </si>
  <si>
    <t>PN-1145</t>
  </si>
  <si>
    <t>Lasix</t>
  </si>
  <si>
    <t>PN-1146</t>
  </si>
  <si>
    <t>Moduretic</t>
  </si>
  <si>
    <t>PN-1147</t>
  </si>
  <si>
    <t>Nitrazepam</t>
  </si>
  <si>
    <t>PN-1148</t>
  </si>
  <si>
    <t>Banocide</t>
  </si>
  <si>
    <t>PN-1149</t>
  </si>
  <si>
    <t>Chlodiazepozide</t>
  </si>
  <si>
    <t>PN-1150</t>
  </si>
  <si>
    <t>Dexamethazone</t>
  </si>
  <si>
    <t>PN-1151</t>
  </si>
  <si>
    <t>Dhc Dihydrocodiene</t>
  </si>
  <si>
    <t>PN-1152</t>
  </si>
  <si>
    <t>Ephedrine</t>
  </si>
  <si>
    <t>PN-1153</t>
  </si>
  <si>
    <t>Fergon</t>
  </si>
  <si>
    <t>PN-1154</t>
  </si>
  <si>
    <t>Ferrous</t>
  </si>
  <si>
    <t>PN-1155</t>
  </si>
  <si>
    <t>Sulphatriad</t>
  </si>
  <si>
    <t>PN-1156</t>
  </si>
  <si>
    <t>Thiazamide</t>
  </si>
  <si>
    <t>PN-1157</t>
  </si>
  <si>
    <t>Minizide</t>
  </si>
  <si>
    <t>PN-1158</t>
  </si>
  <si>
    <t>Pilicon</t>
  </si>
  <si>
    <t>PN-1159</t>
  </si>
  <si>
    <t>Pthylsulphathiazole</t>
  </si>
  <si>
    <t>PN-1160</t>
  </si>
  <si>
    <t>Pyrizinamide</t>
  </si>
  <si>
    <t>PN-1161</t>
  </si>
  <si>
    <t>S</t>
  </si>
  <si>
    <t>PN-1162</t>
  </si>
  <si>
    <t>Cynocobalamine</t>
  </si>
  <si>
    <t>PN-1163</t>
  </si>
  <si>
    <t>Ampiclox 500gm</t>
  </si>
  <si>
    <t>PN-1164</t>
  </si>
  <si>
    <t>Jawaclox</t>
  </si>
  <si>
    <t>PN-1165</t>
  </si>
  <si>
    <t>Oat Choco Whit</t>
  </si>
  <si>
    <t>PN-1166</t>
  </si>
  <si>
    <t>Letter Tray</t>
  </si>
  <si>
    <t>PN-1167</t>
  </si>
  <si>
    <t>Benylin With Codeine</t>
  </si>
  <si>
    <t>PN-1168</t>
  </si>
  <si>
    <t>Bongrex Triplle Action</t>
  </si>
  <si>
    <t>PN-1169</t>
  </si>
  <si>
    <t>Celexin</t>
  </si>
  <si>
    <t>PN-1170</t>
  </si>
  <si>
    <t>Cenacef</t>
  </si>
  <si>
    <t>PN-1171</t>
  </si>
  <si>
    <t>Champion</t>
  </si>
  <si>
    <t>PN-1172</t>
  </si>
  <si>
    <t>Clamide</t>
  </si>
  <si>
    <t>PN-1173</t>
  </si>
  <si>
    <t>Collomack Liquid</t>
  </si>
  <si>
    <t>PN-1174</t>
  </si>
  <si>
    <t>Dacryne</t>
  </si>
  <si>
    <t>PN-1175</t>
  </si>
  <si>
    <t>Gremolid Antheid</t>
  </si>
  <si>
    <t>PN-1176</t>
  </si>
  <si>
    <t>Malarex Tripple Action</t>
  </si>
  <si>
    <t>PN-1177</t>
  </si>
  <si>
    <t>Polygel</t>
  </si>
  <si>
    <t>PN-1178</t>
  </si>
  <si>
    <t>Regroton</t>
  </si>
  <si>
    <t>PN-1179</t>
  </si>
  <si>
    <t>Trino Ib</t>
  </si>
  <si>
    <t>PN-1180</t>
  </si>
  <si>
    <t>Trino Liquid Ib</t>
  </si>
  <si>
    <t>PN-1181</t>
  </si>
  <si>
    <t>Climpclox</t>
  </si>
  <si>
    <t>PN-1182</t>
  </si>
  <si>
    <t>Water</t>
  </si>
  <si>
    <t>PN-1183</t>
  </si>
  <si>
    <t>Aldactone</t>
  </si>
  <si>
    <t>PN-1184</t>
  </si>
  <si>
    <t>Bondumet</t>
  </si>
  <si>
    <t>PN-1185</t>
  </si>
  <si>
    <t>Greendopa</t>
  </si>
  <si>
    <t>PN-1186</t>
  </si>
  <si>
    <t>Anafranil</t>
  </si>
  <si>
    <t>PN-1187</t>
  </si>
  <si>
    <t>Celebrex</t>
  </si>
  <si>
    <t>PN-1188</t>
  </si>
  <si>
    <t>Rancotrim</t>
  </si>
  <si>
    <t>PN-1189</t>
  </si>
  <si>
    <t>Analgin</t>
  </si>
  <si>
    <t>PN-1190</t>
  </si>
  <si>
    <t>Voltaren Retard</t>
  </si>
  <si>
    <t>PN-1191</t>
  </si>
  <si>
    <t>Ancopir</t>
  </si>
  <si>
    <t>PN-1192</t>
  </si>
  <si>
    <t>Axacef</t>
  </si>
  <si>
    <t>PN-1193</t>
  </si>
  <si>
    <t>Fungral</t>
  </si>
  <si>
    <t>PN-1194</t>
  </si>
  <si>
    <t>Ketofung</t>
  </si>
  <si>
    <t>PN-1195</t>
  </si>
  <si>
    <t>Ketonal</t>
  </si>
  <si>
    <t>PN-1196</t>
  </si>
  <si>
    <t>2 2 1 Forte</t>
  </si>
  <si>
    <t>PN-1197</t>
  </si>
  <si>
    <t>Maloxine</t>
  </si>
  <si>
    <t>PN-1198</t>
  </si>
  <si>
    <t>Alaxin</t>
  </si>
  <si>
    <t>PN-1199</t>
  </si>
  <si>
    <t>Artemef</t>
  </si>
  <si>
    <t>PN-1200</t>
  </si>
  <si>
    <t>Artequine 600/750</t>
  </si>
  <si>
    <t>PN-1201</t>
  </si>
  <si>
    <t>Arthemeter</t>
  </si>
  <si>
    <t>PN-1202</t>
  </si>
  <si>
    <t>Kamphor</t>
  </si>
  <si>
    <t>PN-1203</t>
  </si>
  <si>
    <t>Bactrim</t>
  </si>
  <si>
    <t>PN-1204</t>
  </si>
  <si>
    <t>Coartal</t>
  </si>
  <si>
    <t>PN-1205</t>
  </si>
  <si>
    <t>Cotexin</t>
  </si>
  <si>
    <t>PN-1206</t>
  </si>
  <si>
    <t>Dart For Children</t>
  </si>
  <si>
    <t>PN-1207</t>
  </si>
  <si>
    <t>Larither</t>
  </si>
  <si>
    <t>PN-1208</t>
  </si>
  <si>
    <t>Lumartem</t>
  </si>
  <si>
    <t>PN-1209</t>
  </si>
  <si>
    <t>Tamether 40/240</t>
  </si>
  <si>
    <t>PN-1210</t>
  </si>
  <si>
    <t>Tamether 80/480</t>
  </si>
  <si>
    <t>PN-1211</t>
  </si>
  <si>
    <t>Amoquin</t>
  </si>
  <si>
    <t>PN-1212</t>
  </si>
  <si>
    <t>Brominol</t>
  </si>
  <si>
    <t>PN-1213</t>
  </si>
  <si>
    <t>Avomine</t>
  </si>
  <si>
    <t>PN-1214</t>
  </si>
  <si>
    <t>Junolol</t>
  </si>
  <si>
    <t>PN-1215</t>
  </si>
  <si>
    <t>Auglocef</t>
  </si>
  <si>
    <t>PN-1216</t>
  </si>
  <si>
    <t>Handkerchief</t>
  </si>
  <si>
    <t>PN-1217</t>
  </si>
  <si>
    <t>Brinerdin</t>
  </si>
  <si>
    <t>PN-1218</t>
  </si>
  <si>
    <t>Cephalexin</t>
  </si>
  <si>
    <t>PN-1219</t>
  </si>
  <si>
    <t>Amtiba</t>
  </si>
  <si>
    <t>PN-1220</t>
  </si>
  <si>
    <t>Clomid</t>
  </si>
  <si>
    <t>PN-1221</t>
  </si>
  <si>
    <t>Co Proxamol</t>
  </si>
  <si>
    <t>PN-1222</t>
  </si>
  <si>
    <t>Cumorit</t>
  </si>
  <si>
    <t>PN-1223</t>
  </si>
  <si>
    <t>Daonil</t>
  </si>
  <si>
    <t>PN-1224</t>
  </si>
  <si>
    <t>Duofem</t>
  </si>
  <si>
    <t>PN-1225</t>
  </si>
  <si>
    <t>Glucophage</t>
  </si>
  <si>
    <t>PN-1226</t>
  </si>
  <si>
    <t>Lexotan</t>
  </si>
  <si>
    <t>PN-1227</t>
  </si>
  <si>
    <t>Lincomycin</t>
  </si>
  <si>
    <t>PN-1228</t>
  </si>
  <si>
    <t>Manix</t>
  </si>
  <si>
    <t>PN-1229</t>
  </si>
  <si>
    <t>My Fit</t>
  </si>
  <si>
    <t>PN-1230</t>
  </si>
  <si>
    <t>Wellman 50+</t>
  </si>
  <si>
    <t>PN-1231</t>
  </si>
  <si>
    <t>Wellwoman 50+</t>
  </si>
  <si>
    <t>PN-1232</t>
  </si>
  <si>
    <t>Naxen</t>
  </si>
  <si>
    <t>PN-1233</t>
  </si>
  <si>
    <t>Dolo Neurobion</t>
  </si>
  <si>
    <t>PN-1234</t>
  </si>
  <si>
    <t>Adalat Retard</t>
  </si>
  <si>
    <t>PN-1235</t>
  </si>
  <si>
    <t>Nifegem Retard</t>
  </si>
  <si>
    <t>PN-1236</t>
  </si>
  <si>
    <t>Acdt Zero</t>
  </si>
  <si>
    <t>PN-1237</t>
  </si>
  <si>
    <t>Acefen</t>
  </si>
  <si>
    <t>PN-1238</t>
  </si>
  <si>
    <t>Acefex</t>
  </si>
  <si>
    <t>PN-1239</t>
  </si>
  <si>
    <t>Addyzoa</t>
  </si>
  <si>
    <t>PN-1240</t>
  </si>
  <si>
    <t>Adride</t>
  </si>
  <si>
    <t>PN-1241</t>
  </si>
  <si>
    <t>Alberol</t>
  </si>
  <si>
    <t>PN-1242</t>
  </si>
  <si>
    <t>All Well</t>
  </si>
  <si>
    <t>PN-1243</t>
  </si>
  <si>
    <t>Amaryl</t>
  </si>
  <si>
    <t>PN-1244</t>
  </si>
  <si>
    <t>Amclavin</t>
  </si>
  <si>
    <t>PN-1245</t>
  </si>
  <si>
    <t>Amedin</t>
  </si>
  <si>
    <t>PN-1246</t>
  </si>
  <si>
    <t>Amidrex</t>
  </si>
  <si>
    <t>PN-1247</t>
  </si>
  <si>
    <t>Amiled</t>
  </si>
  <si>
    <t>PN-1248</t>
  </si>
  <si>
    <t>Amilod</t>
  </si>
  <si>
    <t>PN-1249</t>
  </si>
  <si>
    <t>Amlong</t>
  </si>
  <si>
    <t>PN-1250</t>
  </si>
  <si>
    <t>Amlovar</t>
  </si>
  <si>
    <t>PN-1251</t>
  </si>
  <si>
    <t>Amlover</t>
  </si>
  <si>
    <t>PN-1252</t>
  </si>
  <si>
    <t>Amovin</t>
  </si>
  <si>
    <t>PN-1253</t>
  </si>
  <si>
    <t>Amycin</t>
  </si>
  <si>
    <t>PN-1254</t>
  </si>
  <si>
    <t>Anacin</t>
  </si>
  <si>
    <t>PN-1255</t>
  </si>
  <si>
    <t>Anclovar</t>
  </si>
  <si>
    <t>PN-1256</t>
  </si>
  <si>
    <t>Ancovar</t>
  </si>
  <si>
    <t>PN-1257</t>
  </si>
  <si>
    <t>Andermin</t>
  </si>
  <si>
    <t>PN-1258</t>
  </si>
  <si>
    <t>Anglocef</t>
  </si>
  <si>
    <t>PN-1259</t>
  </si>
  <si>
    <t>Anorol</t>
  </si>
  <si>
    <t>PN-1260</t>
  </si>
  <si>
    <t>Arnex Tin</t>
  </si>
  <si>
    <t>PN-1261</t>
  </si>
  <si>
    <t>Arthrotec</t>
  </si>
  <si>
    <t>PN-1262</t>
  </si>
  <si>
    <t>Artrin</t>
  </si>
  <si>
    <t>PN-1263</t>
  </si>
  <si>
    <t>Avodart</t>
  </si>
  <si>
    <t>PN-1264</t>
  </si>
  <si>
    <t>Avomac</t>
  </si>
  <si>
    <t>PN-1265</t>
  </si>
  <si>
    <t>Bactron</t>
  </si>
  <si>
    <t>PN-1266</t>
  </si>
  <si>
    <t>Barole</t>
  </si>
  <si>
    <t>PN-1267</t>
  </si>
  <si>
    <t>Betafil</t>
  </si>
  <si>
    <t>PN-1268</t>
  </si>
  <si>
    <t>Betaren Dexel</t>
  </si>
  <si>
    <t>PN-1269</t>
  </si>
  <si>
    <t>Bgvid</t>
  </si>
  <si>
    <t>PN-1270</t>
  </si>
  <si>
    <t>Bioflor</t>
  </si>
  <si>
    <t>PN-1271</t>
  </si>
  <si>
    <t>Bioxime</t>
  </si>
  <si>
    <t>PN-1272</t>
  </si>
  <si>
    <t>Bonarex</t>
  </si>
  <si>
    <t>PN-1273</t>
  </si>
  <si>
    <t>Morigad</t>
  </si>
  <si>
    <t>PN-1274</t>
  </si>
  <si>
    <t>Bromaplex</t>
  </si>
  <si>
    <t>PN-1275</t>
  </si>
  <si>
    <t>Bromegon</t>
  </si>
  <si>
    <t>PN-1276</t>
  </si>
  <si>
    <t>Cefunat</t>
  </si>
  <si>
    <t>PN-1277</t>
  </si>
  <si>
    <t>Celozol</t>
  </si>
  <si>
    <t>PN-1278</t>
  </si>
  <si>
    <t>Cenocide</t>
  </si>
  <si>
    <t>PN-1279</t>
  </si>
  <si>
    <t>Cepherd</t>
  </si>
  <si>
    <t>PN-1280</t>
  </si>
  <si>
    <t>Cet</t>
  </si>
  <si>
    <t>PN-1281</t>
  </si>
  <si>
    <t>Cifenal</t>
  </si>
  <si>
    <t>PN-1282</t>
  </si>
  <si>
    <t>Ciprobiotic</t>
  </si>
  <si>
    <t>PN-1283</t>
  </si>
  <si>
    <t>Ciprocid</t>
  </si>
  <si>
    <t>PN-1284</t>
  </si>
  <si>
    <t>Ciprocil</t>
  </si>
  <si>
    <t>PN-1285</t>
  </si>
  <si>
    <t>Ciprogem</t>
  </si>
  <si>
    <t>PN-1286</t>
  </si>
  <si>
    <t>Ciproheal</t>
  </si>
  <si>
    <t>PN-1287</t>
  </si>
  <si>
    <t>Cipronol</t>
  </si>
  <si>
    <t>PN-1288</t>
  </si>
  <si>
    <t>Ciprotab Tn</t>
  </si>
  <si>
    <t>PN-1289</t>
  </si>
  <si>
    <t>Ciprovam</t>
  </si>
  <si>
    <t>PN-1290</t>
  </si>
  <si>
    <t>Ciproxamed</t>
  </si>
  <si>
    <t>PN-1291</t>
  </si>
  <si>
    <t>Cladyl</t>
  </si>
  <si>
    <t>PN-1292</t>
  </si>
  <si>
    <t>Clamycef</t>
  </si>
  <si>
    <t>PN-1293</t>
  </si>
  <si>
    <t>Claret</t>
  </si>
  <si>
    <t>PN-1294</t>
  </si>
  <si>
    <t>Clarimax</t>
  </si>
  <si>
    <t>PN-1295</t>
  </si>
  <si>
    <t>Claritron</t>
  </si>
  <si>
    <t>PN-1296</t>
  </si>
  <si>
    <t>Clemarin</t>
  </si>
  <si>
    <t>PN-1297</t>
  </si>
  <si>
    <t>Climaz Vag</t>
  </si>
  <si>
    <t>PN-1298</t>
  </si>
  <si>
    <t>Clocef</t>
  </si>
  <si>
    <t>PN-1299</t>
  </si>
  <si>
    <t>Clofenac</t>
  </si>
  <si>
    <t>PN-1300</t>
  </si>
  <si>
    <t>Clomiphene Citrate Clifen</t>
  </si>
  <si>
    <t>PN-1301</t>
  </si>
  <si>
    <t>Clotival</t>
  </si>
  <si>
    <t>PN-1302</t>
  </si>
  <si>
    <t>Clovigal</t>
  </si>
  <si>
    <t>PN-1303</t>
  </si>
  <si>
    <t>Co Arinate</t>
  </si>
  <si>
    <t>PN-1304</t>
  </si>
  <si>
    <t>Codabamal</t>
  </si>
  <si>
    <t>PN-1305</t>
  </si>
  <si>
    <t>Curefenac</t>
  </si>
  <si>
    <t>PN-1306</t>
  </si>
  <si>
    <t>Co Diovan</t>
  </si>
  <si>
    <t>PN-1307</t>
  </si>
  <si>
    <t>Co Mepiryl</t>
  </si>
  <si>
    <t>PN-1308</t>
  </si>
  <si>
    <t>Com Pipomal</t>
  </si>
  <si>
    <t>PN-1309</t>
  </si>
  <si>
    <t>Contiflo Od</t>
  </si>
  <si>
    <t>PN-1310</t>
  </si>
  <si>
    <t>Dabanac</t>
  </si>
  <si>
    <t>PN-1311</t>
  </si>
  <si>
    <t>Dabapain</t>
  </si>
  <si>
    <t>PN-1312</t>
  </si>
  <si>
    <t>Daflon</t>
  </si>
  <si>
    <t>PN-1313</t>
  </si>
  <si>
    <t>Dalacin</t>
  </si>
  <si>
    <t>PN-1314</t>
  </si>
  <si>
    <t>Daximin</t>
  </si>
  <si>
    <t>PN-1315</t>
  </si>
  <si>
    <t>Dextracin</t>
  </si>
  <si>
    <t>PN-1316</t>
  </si>
  <si>
    <t>Diabetmin</t>
  </si>
  <si>
    <t>PN-1317</t>
  </si>
  <si>
    <t>Diabex</t>
  </si>
  <si>
    <t>PN-1318</t>
  </si>
  <si>
    <t>Diamex</t>
  </si>
  <si>
    <t>PN-1319</t>
  </si>
  <si>
    <t>Diapride</t>
  </si>
  <si>
    <t>PN-1320</t>
  </si>
  <si>
    <t>Dibetmin</t>
  </si>
  <si>
    <t>PN-1321</t>
  </si>
  <si>
    <t>Dirotix</t>
  </si>
  <si>
    <t>PN-1322</t>
  </si>
  <si>
    <t>Dopatab</t>
  </si>
  <si>
    <t>PN-1323</t>
  </si>
  <si>
    <t>Ecoclox</t>
  </si>
  <si>
    <t>PN-1324</t>
  </si>
  <si>
    <t>Elicorid</t>
  </si>
  <si>
    <t>PN-1325</t>
  </si>
  <si>
    <t>Embaphage</t>
  </si>
  <si>
    <t>PN-1326</t>
  </si>
  <si>
    <t>Emibaphage</t>
  </si>
  <si>
    <t>PN-1327</t>
  </si>
  <si>
    <t>Emzoron</t>
  </si>
  <si>
    <t>PN-1328</t>
  </si>
  <si>
    <t>Enaladex</t>
  </si>
  <si>
    <t>PN-1329</t>
  </si>
  <si>
    <t>Enapace</t>
  </si>
  <si>
    <t>PN-1330</t>
  </si>
  <si>
    <t>Enaretic</t>
  </si>
  <si>
    <t>PN-1331</t>
  </si>
  <si>
    <t>Encephabol</t>
  </si>
  <si>
    <t>PN-1332</t>
  </si>
  <si>
    <t>Enhanz</t>
  </si>
  <si>
    <t>PN-1333</t>
  </si>
  <si>
    <t>Eplim</t>
  </si>
  <si>
    <t>PN-1334</t>
  </si>
  <si>
    <t>Erithrin</t>
  </si>
  <si>
    <t>PN-1335</t>
  </si>
  <si>
    <t>Erthrogen</t>
  </si>
  <si>
    <t>PN-1336</t>
  </si>
  <si>
    <t>Erylid</t>
  </si>
  <si>
    <t>PN-1337</t>
  </si>
  <si>
    <t>Erythr</t>
  </si>
  <si>
    <t>PN-1338</t>
  </si>
  <si>
    <t>Exforge</t>
  </si>
  <si>
    <t>PN-1339</t>
  </si>
  <si>
    <t>Famotidine</t>
  </si>
  <si>
    <t>PN-1340</t>
  </si>
  <si>
    <t>Fegem</t>
  </si>
  <si>
    <t>PN-1341</t>
  </si>
  <si>
    <t>Fenac</t>
  </si>
  <si>
    <t>PN-1342</t>
  </si>
  <si>
    <t>Fenal</t>
  </si>
  <si>
    <t>PN-1343</t>
  </si>
  <si>
    <t>Ferbelan</t>
  </si>
  <si>
    <t>PN-1344</t>
  </si>
  <si>
    <t>Ferrodana Long</t>
  </si>
  <si>
    <t>PN-1345</t>
  </si>
  <si>
    <t>Fizzcol Lamp</t>
  </si>
  <si>
    <t>PN-1346</t>
  </si>
  <si>
    <t>Flacoxto</t>
  </si>
  <si>
    <t>PN-1347</t>
  </si>
  <si>
    <t>Fladipine Retard</t>
  </si>
  <si>
    <t>PN-1348</t>
  </si>
  <si>
    <t>Flagentyl</t>
  </si>
  <si>
    <t>PN-1349</t>
  </si>
  <si>
    <t>Fleming</t>
  </si>
  <si>
    <t>PN-1350</t>
  </si>
  <si>
    <t>Flexodene</t>
  </si>
  <si>
    <t>PN-1351</t>
  </si>
  <si>
    <t>Flotac</t>
  </si>
  <si>
    <t>PN-1352</t>
  </si>
  <si>
    <t>Flotral</t>
  </si>
  <si>
    <t>PN-1353</t>
  </si>
  <si>
    <t>Floxapen</t>
  </si>
  <si>
    <t>PN-1354</t>
  </si>
  <si>
    <t>Floxium</t>
  </si>
  <si>
    <t>PN-1355</t>
  </si>
  <si>
    <t>Forbetic</t>
  </si>
  <si>
    <t>PN-1356</t>
  </si>
  <si>
    <t>Forpain</t>
  </si>
  <si>
    <t>PN-1357</t>
  </si>
  <si>
    <t>Frigenal Recgral</t>
  </si>
  <si>
    <t>PN-1358</t>
  </si>
  <si>
    <t>Funazole</t>
  </si>
  <si>
    <t>PN-1359</t>
  </si>
  <si>
    <t>Clav</t>
  </si>
  <si>
    <t>PN-1360</t>
  </si>
  <si>
    <t>Galcipro</t>
  </si>
  <si>
    <t>PN-1361</t>
  </si>
  <si>
    <t>Gapril</t>
  </si>
  <si>
    <t>PN-1362</t>
  </si>
  <si>
    <t>Gflox</t>
  </si>
  <si>
    <t>PN-1363</t>
  </si>
  <si>
    <t>Glutamin</t>
  </si>
  <si>
    <t>PN-1364</t>
  </si>
  <si>
    <t>Ginkgopan</t>
  </si>
  <si>
    <t>PN-1365</t>
  </si>
  <si>
    <t>Glanial</t>
  </si>
  <si>
    <t>PN-1366</t>
  </si>
  <si>
    <t>Glizetic</t>
  </si>
  <si>
    <t>PN-1367</t>
  </si>
  <si>
    <t>Glo Cod</t>
  </si>
  <si>
    <t>PN-1368</t>
  </si>
  <si>
    <t>Glorax</t>
  </si>
  <si>
    <t>PN-1369</t>
  </si>
  <si>
    <t>Glothrox</t>
  </si>
  <si>
    <t>PN-1370</t>
  </si>
  <si>
    <t>Chair Floor Protection</t>
  </si>
  <si>
    <t>PN-1371</t>
  </si>
  <si>
    <t>Gloxin</t>
  </si>
  <si>
    <t>PN-1372</t>
  </si>
  <si>
    <t>Glucotab</t>
  </si>
  <si>
    <t>PN-1373</t>
  </si>
  <si>
    <t>Glucovance</t>
  </si>
  <si>
    <t>PN-1374</t>
  </si>
  <si>
    <t>Glumin</t>
  </si>
  <si>
    <t>PN-1375</t>
  </si>
  <si>
    <t>Gomaxin</t>
  </si>
  <si>
    <t>PN-1376</t>
  </si>
  <si>
    <t>Gremax</t>
  </si>
  <si>
    <t>PN-1377</t>
  </si>
  <si>
    <t>Grinflam</t>
  </si>
  <si>
    <t>PN-1378</t>
  </si>
  <si>
    <t>Grinil</t>
  </si>
  <si>
    <t>PN-1379</t>
  </si>
  <si>
    <t>Guamet</t>
  </si>
  <si>
    <t>PN-1380</t>
  </si>
  <si>
    <t>Gynamed</t>
  </si>
  <si>
    <t>PN-1381</t>
  </si>
  <si>
    <t>Gynotaab</t>
  </si>
  <si>
    <t>PN-1382</t>
  </si>
  <si>
    <t>Halfan</t>
  </si>
  <si>
    <t>PN-1383</t>
  </si>
  <si>
    <t>Heliclam</t>
  </si>
  <si>
    <t>PN-1384</t>
  </si>
  <si>
    <t>Hobetic</t>
  </si>
  <si>
    <t>PN-1385</t>
  </si>
  <si>
    <t>Hydrex</t>
  </si>
  <si>
    <t>PN-1386</t>
  </si>
  <si>
    <t>Immunace</t>
  </si>
  <si>
    <t>PN-1387</t>
  </si>
  <si>
    <t>Interpril</t>
  </si>
  <si>
    <t>PN-1388</t>
  </si>
  <si>
    <t>Itranox</t>
  </si>
  <si>
    <t>PN-1389</t>
  </si>
  <si>
    <t>Jobelyn</t>
  </si>
  <si>
    <t>PN-1390</t>
  </si>
  <si>
    <t>Jointace</t>
  </si>
  <si>
    <t>PN-1391</t>
  </si>
  <si>
    <t>Jointfree</t>
  </si>
  <si>
    <t>PN-1392</t>
  </si>
  <si>
    <t>Juxotan</t>
  </si>
  <si>
    <t>PN-1393</t>
  </si>
  <si>
    <t>Kakaforte</t>
  </si>
  <si>
    <t>PN-1394</t>
  </si>
  <si>
    <t>Ketovail</t>
  </si>
  <si>
    <t>PN-1395</t>
  </si>
  <si>
    <t>Kofol</t>
  </si>
  <si>
    <t>PN-1396</t>
  </si>
  <si>
    <t>Koldoff</t>
  </si>
  <si>
    <t>PN-1397</t>
  </si>
  <si>
    <t>Kolmed</t>
  </si>
  <si>
    <t>PN-1398</t>
  </si>
  <si>
    <t>Kovymobral</t>
  </si>
  <si>
    <t>PN-1399</t>
  </si>
  <si>
    <t>Levoquin</t>
  </si>
  <si>
    <t>PN-1400</t>
  </si>
  <si>
    <t>Levotil</t>
  </si>
  <si>
    <t>PN-1401</t>
  </si>
  <si>
    <t>Levoxin</t>
  </si>
  <si>
    <t>PN-1402</t>
  </si>
  <si>
    <t>Flox</t>
  </si>
  <si>
    <t>PN-1403</t>
  </si>
  <si>
    <t>Licogen</t>
  </si>
  <si>
    <t>PN-1404</t>
  </si>
  <si>
    <t>Lifemin</t>
  </si>
  <si>
    <t>PN-1405</t>
  </si>
  <si>
    <t>Lipitor</t>
  </si>
  <si>
    <t>PN-1406</t>
  </si>
  <si>
    <t>Liprotein</t>
  </si>
  <si>
    <t>PN-1407</t>
  </si>
  <si>
    <t>Liptor</t>
  </si>
  <si>
    <t>PN-1408</t>
  </si>
  <si>
    <t>Liv</t>
  </si>
  <si>
    <t>PN-1409</t>
  </si>
  <si>
    <t>Lizopril</t>
  </si>
  <si>
    <t>PN-1410</t>
  </si>
  <si>
    <t>Logynon</t>
  </si>
  <si>
    <t>PN-1411</t>
  </si>
  <si>
    <t>Lokmal Adult</t>
  </si>
  <si>
    <t>PN-1412</t>
  </si>
  <si>
    <t>Lokmal Junior</t>
  </si>
  <si>
    <t>PN-1413</t>
  </si>
  <si>
    <t>Longcef</t>
  </si>
  <si>
    <t>PN-1414</t>
  </si>
  <si>
    <t>Lordamin</t>
  </si>
  <si>
    <t>PN-1415</t>
  </si>
  <si>
    <t>Lotrial</t>
  </si>
  <si>
    <t>PN-1416</t>
  </si>
  <si>
    <t>Lovapine</t>
  </si>
  <si>
    <t>PN-1417</t>
  </si>
  <si>
    <t>Loxaprim</t>
  </si>
  <si>
    <t>PN-1418</t>
  </si>
  <si>
    <t>Lucon</t>
  </si>
  <si>
    <t>PN-1419</t>
  </si>
  <si>
    <t>Ludium</t>
  </si>
  <si>
    <t>PN-1420</t>
  </si>
  <si>
    <t>Malagon</t>
  </si>
  <si>
    <t>PN-1421</t>
  </si>
  <si>
    <t>Marcnol</t>
  </si>
  <si>
    <t>PN-1422</t>
  </si>
  <si>
    <t>Maxpam</t>
  </si>
  <si>
    <t>PN-1423</t>
  </si>
  <si>
    <t>Mebaal</t>
  </si>
  <si>
    <t>PN-1424</t>
  </si>
  <si>
    <t>Mebox</t>
  </si>
  <si>
    <t>PN-1425</t>
  </si>
  <si>
    <t>Mefinac Retard</t>
  </si>
  <si>
    <t>PN-1426</t>
  </si>
  <si>
    <t>Mega</t>
  </si>
  <si>
    <t>PN-1427</t>
  </si>
  <si>
    <t>Melleril</t>
  </si>
  <si>
    <t>PN-1428</t>
  </si>
  <si>
    <t>Kufydryl Expectorant</t>
  </si>
  <si>
    <t>PN-1429</t>
  </si>
  <si>
    <t>Cofmix With Codiene</t>
  </si>
  <si>
    <t>PN-1430</t>
  </si>
  <si>
    <t>Tutolin With Codiene</t>
  </si>
  <si>
    <t>PN-1431</t>
  </si>
  <si>
    <t>Tuxil With Codeine</t>
  </si>
  <si>
    <t>PN-1432</t>
  </si>
  <si>
    <t>Cypro Appeti</t>
  </si>
  <si>
    <t>PN-1433</t>
  </si>
  <si>
    <t>Mattew Worm Elxir</t>
  </si>
  <si>
    <t>PN-1434</t>
  </si>
  <si>
    <t>Nerve Bone Liniment</t>
  </si>
  <si>
    <t>PN-1435</t>
  </si>
  <si>
    <t>Faith Glycerine Of</t>
  </si>
  <si>
    <t>PN-1436</t>
  </si>
  <si>
    <t>Clear Breath</t>
  </si>
  <si>
    <t>PN-1437</t>
  </si>
  <si>
    <t>Apertone</t>
  </si>
  <si>
    <t>PN-1438</t>
  </si>
  <si>
    <t>Pharmmadoc</t>
  </si>
  <si>
    <t>PN-1439</t>
  </si>
  <si>
    <t>Bond Fv Mixture</t>
  </si>
  <si>
    <t>PN-1440</t>
  </si>
  <si>
    <t>Zoleen Hair</t>
  </si>
  <si>
    <t>PN-1441</t>
  </si>
  <si>
    <t>Oriko Hair Dye</t>
  </si>
  <si>
    <t>PN-1442</t>
  </si>
  <si>
    <t>Orino Hair Colour</t>
  </si>
  <si>
    <t>PN-1443</t>
  </si>
  <si>
    <t>Proton Hair Dye</t>
  </si>
  <si>
    <t>PN-1444</t>
  </si>
  <si>
    <t>Youth Hair Dye</t>
  </si>
  <si>
    <t>PN-1445</t>
  </si>
  <si>
    <t>Zicodark Hair Dye</t>
  </si>
  <si>
    <t>PN-1446</t>
  </si>
  <si>
    <t>Darbur Amla Hair</t>
  </si>
  <si>
    <t>PN-1447</t>
  </si>
  <si>
    <t>Dark And Lovely</t>
  </si>
  <si>
    <t>PN-1448</t>
  </si>
  <si>
    <t>Nycil Baby Petroleum</t>
  </si>
  <si>
    <t>PN-1449</t>
  </si>
  <si>
    <t>Veet Hair Removal</t>
  </si>
  <si>
    <t>PN-1450</t>
  </si>
  <si>
    <t>Cerelac Honey</t>
  </si>
  <si>
    <t>PN-1451</t>
  </si>
  <si>
    <t>Menthoclear Inhaler</t>
  </si>
  <si>
    <t>PN-1452</t>
  </si>
  <si>
    <t>Baygon</t>
  </si>
  <si>
    <t>PN-1453</t>
  </si>
  <si>
    <t>Rambo Paper</t>
  </si>
  <si>
    <t>PN-1454</t>
  </si>
  <si>
    <t>Rambo Rambo</t>
  </si>
  <si>
    <t>PN-1455</t>
  </si>
  <si>
    <t>Mix Fruit Jam</t>
  </si>
  <si>
    <t>PN-1456</t>
  </si>
  <si>
    <t>Napa Cherry Jam</t>
  </si>
  <si>
    <t>PN-1457</t>
  </si>
  <si>
    <t>Napa Jam</t>
  </si>
  <si>
    <t>PN-1458</t>
  </si>
  <si>
    <t>Napa Orange Jam</t>
  </si>
  <si>
    <t>PN-1459</t>
  </si>
  <si>
    <t>Exotic Juice Litre</t>
  </si>
  <si>
    <t>PN-1460</t>
  </si>
  <si>
    <t>Fumman Juice Litre</t>
  </si>
  <si>
    <t>PN-1461</t>
  </si>
  <si>
    <t>Napa Mixed Fruit</t>
  </si>
  <si>
    <t>PN-1462</t>
  </si>
  <si>
    <t>After Cut</t>
  </si>
  <si>
    <t>PN-1463</t>
  </si>
  <si>
    <t>Bio Claire</t>
  </si>
  <si>
    <t>PN-1464</t>
  </si>
  <si>
    <t>Funbactone Body</t>
  </si>
  <si>
    <t>PN-1465</t>
  </si>
  <si>
    <t>Joy</t>
  </si>
  <si>
    <t>PN-1466</t>
  </si>
  <si>
    <t>Kick Off</t>
  </si>
  <si>
    <t>PN-1467</t>
  </si>
  <si>
    <t>Lite Lovely</t>
  </si>
  <si>
    <t>PN-1468</t>
  </si>
  <si>
    <t>Looking Good</t>
  </si>
  <si>
    <t>PN-1469</t>
  </si>
  <si>
    <t>Nycil Baby</t>
  </si>
  <si>
    <t>PN-1470</t>
  </si>
  <si>
    <t>Revlon Natural Honey</t>
  </si>
  <si>
    <t>PN-1471</t>
  </si>
  <si>
    <t>Tura</t>
  </si>
  <si>
    <t>PN-1472</t>
  </si>
  <si>
    <t>Vovi</t>
  </si>
  <si>
    <t>PN-1473</t>
  </si>
  <si>
    <t>White Up</t>
  </si>
  <si>
    <t>PN-1474</t>
  </si>
  <si>
    <t>Know Chicken Maggi</t>
  </si>
  <si>
    <t>PN-1475</t>
  </si>
  <si>
    <t>Royco Maggi</t>
  </si>
  <si>
    <t>PN-1476</t>
  </si>
  <si>
    <t>Complan Milk</t>
  </si>
  <si>
    <t>PN-1477</t>
  </si>
  <si>
    <t>Cow Gate</t>
  </si>
  <si>
    <t>PN-1478</t>
  </si>
  <si>
    <t>Cowbell Milk Tin</t>
  </si>
  <si>
    <t>PN-1479</t>
  </si>
  <si>
    <t>Cowbell Refill</t>
  </si>
  <si>
    <t>PN-1480</t>
  </si>
  <si>
    <t>Dano Fat</t>
  </si>
  <si>
    <t>PN-1481</t>
  </si>
  <si>
    <t>Dano Tin</t>
  </si>
  <si>
    <t>PN-1482</t>
  </si>
  <si>
    <t>Jago Evaporated Tin</t>
  </si>
  <si>
    <t>PN-1483</t>
  </si>
  <si>
    <t>Jago Refil</t>
  </si>
  <si>
    <t>PN-1484</t>
  </si>
  <si>
    <t>Lahda Milk</t>
  </si>
  <si>
    <t>PN-1485</t>
  </si>
  <si>
    <t>Loya Refil</t>
  </si>
  <si>
    <t>PN-1486</t>
  </si>
  <si>
    <t>Loya Tin Milk</t>
  </si>
  <si>
    <t>PN-1487</t>
  </si>
  <si>
    <t>Luna Evaporated Milk</t>
  </si>
  <si>
    <t>PN-1488</t>
  </si>
  <si>
    <t>Napa Evaporated Milk</t>
  </si>
  <si>
    <t>PN-1489</t>
  </si>
  <si>
    <t>Nido Refil</t>
  </si>
  <si>
    <t>PN-1490</t>
  </si>
  <si>
    <t>Nido Tin Milk</t>
  </si>
  <si>
    <t>PN-1491</t>
  </si>
  <si>
    <t>Nunu Evaporated Milk</t>
  </si>
  <si>
    <t>PN-1492</t>
  </si>
  <si>
    <t>Nunu Refil</t>
  </si>
  <si>
    <t>PN-1493</t>
  </si>
  <si>
    <t>Olympic Evaporated Milk</t>
  </si>
  <si>
    <t>PN-1494</t>
  </si>
  <si>
    <t>Peak Evaporated Milk</t>
  </si>
  <si>
    <t>PN-1495</t>
  </si>
  <si>
    <t>Peak Gold Tin</t>
  </si>
  <si>
    <t>PN-1496</t>
  </si>
  <si>
    <t>Peak Milk Refil</t>
  </si>
  <si>
    <t>PN-1497</t>
  </si>
  <si>
    <t>Peak Milk Tin</t>
  </si>
  <si>
    <t>PN-1498</t>
  </si>
  <si>
    <t>Peak123 Milk Tin</t>
  </si>
  <si>
    <t>PN-1499</t>
  </si>
  <si>
    <t>Peakmilk Ramadan Kareem</t>
  </si>
  <si>
    <t>PN-1500</t>
  </si>
  <si>
    <t>Real Milk Refil</t>
  </si>
  <si>
    <t>PN-1501</t>
  </si>
  <si>
    <t>Regal Milk Refil</t>
  </si>
  <si>
    <t>PN-1502</t>
  </si>
  <si>
    <t>Three Crown Evaporated</t>
  </si>
  <si>
    <t>PN-1503</t>
  </si>
  <si>
    <t>Coke 50cl</t>
  </si>
  <si>
    <t>PN-1504</t>
  </si>
  <si>
    <t>Malta Gold</t>
  </si>
  <si>
    <t>PN-1505</t>
  </si>
  <si>
    <t>Maltex</t>
  </si>
  <si>
    <t>PN-1506</t>
  </si>
  <si>
    <t>Maltina</t>
  </si>
  <si>
    <t>PN-1507</t>
  </si>
  <si>
    <t>Napa White Oat</t>
  </si>
  <si>
    <t>PN-1508</t>
  </si>
  <si>
    <t>Clear Oil</t>
  </si>
  <si>
    <t>PN-1509</t>
  </si>
  <si>
    <t>Funmilayo</t>
  </si>
  <si>
    <t>PN-1510</t>
  </si>
  <si>
    <t>Lemovate</t>
  </si>
  <si>
    <t>PN-1511</t>
  </si>
  <si>
    <t>Comfit Pad</t>
  </si>
  <si>
    <t>PN-1512</t>
  </si>
  <si>
    <t>Everyday Pad</t>
  </si>
  <si>
    <t>PN-1513</t>
  </si>
  <si>
    <t>Hankerchief Pocket</t>
  </si>
  <si>
    <t>PN-1514</t>
  </si>
  <si>
    <t>Perfume</t>
  </si>
  <si>
    <t>PN-1515</t>
  </si>
  <si>
    <t>Maliza With Rollon</t>
  </si>
  <si>
    <t>PN-1516</t>
  </si>
  <si>
    <t>Vanilla Rollon</t>
  </si>
  <si>
    <t>PN-1517</t>
  </si>
  <si>
    <t>Damatol</t>
  </si>
  <si>
    <t>PN-1518</t>
  </si>
  <si>
    <t>Nycil New</t>
  </si>
  <si>
    <t>PN-1519</t>
  </si>
  <si>
    <t>Nycil Old</t>
  </si>
  <si>
    <t>PN-1520</t>
  </si>
  <si>
    <t>One Love</t>
  </si>
  <si>
    <t>PN-1521</t>
  </si>
  <si>
    <t>Pop Popular Facial</t>
  </si>
  <si>
    <t>PN-1522</t>
  </si>
  <si>
    <t>Pure Cocoa Refil</t>
  </si>
  <si>
    <t>PN-1523</t>
  </si>
  <si>
    <t>Pure Cocoa Tin</t>
  </si>
  <si>
    <t>PN-1524</t>
  </si>
  <si>
    <t>Tony Montana</t>
  </si>
  <si>
    <t>PN-1525</t>
  </si>
  <si>
    <t>Mild Flower Relaxer</t>
  </si>
  <si>
    <t>PN-1526</t>
  </si>
  <si>
    <t>Heel Balm</t>
  </si>
  <si>
    <t>PN-1527</t>
  </si>
  <si>
    <t>Karaole Balm</t>
  </si>
  <si>
    <t>PN-1528</t>
  </si>
  <si>
    <t>Rob Hot Balm</t>
  </si>
  <si>
    <t>PN-1529</t>
  </si>
  <si>
    <t>Robb Balm</t>
  </si>
  <si>
    <t>PN-1530</t>
  </si>
  <si>
    <t>Robb Inhaler</t>
  </si>
  <si>
    <t>PN-1531</t>
  </si>
  <si>
    <t>Robb Junior</t>
  </si>
  <si>
    <t>PN-1532</t>
  </si>
  <si>
    <t>Vilicin Balm</t>
  </si>
  <si>
    <t>PN-1533</t>
  </si>
  <si>
    <t>Robb Tin</t>
  </si>
  <si>
    <t>PN-1534</t>
  </si>
  <si>
    <t>Adhoc Roll On</t>
  </si>
  <si>
    <t>PN-1535</t>
  </si>
  <si>
    <t>All Day Deo</t>
  </si>
  <si>
    <t>PN-1536</t>
  </si>
  <si>
    <t>Bellangio Roll On</t>
  </si>
  <si>
    <t>PN-1537</t>
  </si>
  <si>
    <t>Bouquet Roll On</t>
  </si>
  <si>
    <t>PN-1538</t>
  </si>
  <si>
    <t>Enchanteur Roll On</t>
  </si>
  <si>
    <t>PN-1539</t>
  </si>
  <si>
    <t>Equity Roll On</t>
  </si>
  <si>
    <t>PN-1540</t>
  </si>
  <si>
    <t>Erato Roll On</t>
  </si>
  <si>
    <t>PN-1541</t>
  </si>
  <si>
    <t>Infinity Roll On</t>
  </si>
  <si>
    <t>PN-1542</t>
  </si>
  <si>
    <t>Nivea Roll On</t>
  </si>
  <si>
    <t>PN-1543</t>
  </si>
  <si>
    <t>Vanilla Roll On</t>
  </si>
  <si>
    <t>PN-1544</t>
  </si>
  <si>
    <t>Hypo Bleach</t>
  </si>
  <si>
    <t>PN-1545</t>
  </si>
  <si>
    <t>Teapot</t>
  </si>
  <si>
    <t>PN-1546</t>
  </si>
  <si>
    <t>Zip Detergent</t>
  </si>
  <si>
    <t>PN-1547</t>
  </si>
  <si>
    <t>Green Tea</t>
  </si>
  <si>
    <t>PN-1548</t>
  </si>
  <si>
    <t>Green Lemon And</t>
  </si>
  <si>
    <t>PN-1549</t>
  </si>
  <si>
    <t>Napa Ginger Tea</t>
  </si>
  <si>
    <t>PN-1550</t>
  </si>
  <si>
    <t>Napa Gold Label</t>
  </si>
  <si>
    <t>PN-1551</t>
  </si>
  <si>
    <t>Richoco Tea Refil</t>
  </si>
  <si>
    <t>PN-1552</t>
  </si>
  <si>
    <t>Toptea</t>
  </si>
  <si>
    <t>PN-1553</t>
  </si>
  <si>
    <t>R</t>
  </si>
  <si>
    <t>PN-1554</t>
  </si>
  <si>
    <t>Top Tea Bag</t>
  </si>
  <si>
    <t>PN-1555</t>
  </si>
  <si>
    <t>Heinz Tomato Ketchup</t>
  </si>
  <si>
    <t>PN-1556</t>
  </si>
  <si>
    <t>Batida Coconut Wine</t>
  </si>
  <si>
    <t>PN-1557</t>
  </si>
  <si>
    <t>Exotic</t>
  </si>
  <si>
    <t>PN-1558</t>
  </si>
  <si>
    <t>Joven Wine</t>
  </si>
  <si>
    <t>PN-1559</t>
  </si>
  <si>
    <t>Kick Up Wine</t>
  </si>
  <si>
    <t>PN-1560</t>
  </si>
  <si>
    <t>Veleta Wine</t>
  </si>
  <si>
    <t>PN-1561</t>
  </si>
  <si>
    <t>Blood Bag</t>
  </si>
  <si>
    <t>PN-1562</t>
  </si>
  <si>
    <t>Conveen</t>
  </si>
  <si>
    <t>PN-1563</t>
  </si>
  <si>
    <t>Envelope Nylon</t>
  </si>
  <si>
    <t>PN-1564</t>
  </si>
  <si>
    <t>Dele Cottonwool</t>
  </si>
  <si>
    <t>PN-1565</t>
  </si>
  <si>
    <t>Feeding</t>
  </si>
  <si>
    <t>PN-1566</t>
  </si>
  <si>
    <t>Gauze Bandage</t>
  </si>
  <si>
    <t>PN-1567</t>
  </si>
  <si>
    <t>Glove</t>
  </si>
  <si>
    <t>PN-1568</t>
  </si>
  <si>
    <t>Nylon Envelope</t>
  </si>
  <si>
    <t>PN-1569</t>
  </si>
  <si>
    <t>Angy Yoyo</t>
  </si>
  <si>
    <t>PN-1570</t>
  </si>
  <si>
    <t>K Y Gel</t>
  </si>
  <si>
    <t>PN-1571</t>
  </si>
  <si>
    <t>Lofnac</t>
  </si>
  <si>
    <t>PN-1572</t>
  </si>
  <si>
    <t>Moov</t>
  </si>
  <si>
    <t>PN-1573</t>
  </si>
  <si>
    <t>Mycotea</t>
  </si>
  <si>
    <t>PN-1574</t>
  </si>
  <si>
    <t>Penicillin Eye</t>
  </si>
  <si>
    <t>PN-1575</t>
  </si>
  <si>
    <t>Volini</t>
  </si>
  <si>
    <t>PN-1576</t>
  </si>
  <si>
    <t>Whitefield</t>
  </si>
  <si>
    <t>PN-1577</t>
  </si>
  <si>
    <t>Zetgel Emulgel</t>
  </si>
  <si>
    <t>PN-1578</t>
  </si>
  <si>
    <t>Xanap</t>
  </si>
  <si>
    <t>PN-1579</t>
  </si>
  <si>
    <t>Aplev</t>
  </si>
  <si>
    <t>PN-1580</t>
  </si>
  <si>
    <t>Lekam</t>
  </si>
  <si>
    <t>PN-1581</t>
  </si>
  <si>
    <t>Coatal 20/120</t>
  </si>
  <si>
    <t>PN-1582</t>
  </si>
  <si>
    <t>Indomie Chikki Chikki</t>
  </si>
  <si>
    <t>PN-1583</t>
  </si>
  <si>
    <t>Indomie Golden</t>
  </si>
  <si>
    <t>PN-1584</t>
  </si>
  <si>
    <t>Indomie Honeywell</t>
  </si>
  <si>
    <t>PN-1585</t>
  </si>
  <si>
    <t>Moko Gv</t>
  </si>
  <si>
    <t>PN-1586</t>
  </si>
  <si>
    <t>Apacco</t>
  </si>
  <si>
    <t>PN-1587</t>
  </si>
  <si>
    <t>Liquid</t>
  </si>
  <si>
    <t>PN-1588</t>
  </si>
  <si>
    <t>Tcp</t>
  </si>
  <si>
    <t>PN-1589</t>
  </si>
  <si>
    <t>Cold Ko</t>
  </si>
  <si>
    <t>PN-1590</t>
  </si>
  <si>
    <t>Alphabetic</t>
  </si>
  <si>
    <t>PN-1591</t>
  </si>
  <si>
    <t>B K B</t>
  </si>
  <si>
    <t>PN-1592</t>
  </si>
  <si>
    <t>Complex</t>
  </si>
  <si>
    <t>PN-1593</t>
  </si>
  <si>
    <t>Chaztfed</t>
  </si>
  <si>
    <t>PN-1594</t>
  </si>
  <si>
    <t>Clo Bko</t>
  </si>
  <si>
    <t>PN-1595</t>
  </si>
  <si>
    <t>Cofta</t>
  </si>
  <si>
    <t>PN-1596</t>
  </si>
  <si>
    <t>Coldcod</t>
  </si>
  <si>
    <t>PN-1597</t>
  </si>
  <si>
    <t>Cypeni</t>
  </si>
  <si>
    <t>PN-1598</t>
  </si>
  <si>
    <t>Daga</t>
  </si>
  <si>
    <t>PN-1599</t>
  </si>
  <si>
    <t>Day By Day</t>
  </si>
  <si>
    <t>PN-1600</t>
  </si>
  <si>
    <t>Dequadin</t>
  </si>
  <si>
    <t>PN-1601</t>
  </si>
  <si>
    <t>Diclozone</t>
  </si>
  <si>
    <t>PN-1602</t>
  </si>
  <si>
    <t>Ebu</t>
  </si>
  <si>
    <t>PN-1603</t>
  </si>
  <si>
    <t>Feloxin</t>
  </si>
  <si>
    <t>PN-1604</t>
  </si>
  <si>
    <t>Fizzcol</t>
  </si>
  <si>
    <t>PN-1605</t>
  </si>
  <si>
    <t>Hem</t>
  </si>
  <si>
    <t>PN-1606</t>
  </si>
  <si>
    <t>Ibuheal</t>
  </si>
  <si>
    <t>PN-1607</t>
  </si>
  <si>
    <t>Inbu</t>
  </si>
  <si>
    <t>PN-1608</t>
  </si>
  <si>
    <t>Kold Off</t>
  </si>
  <si>
    <t>PN-1609</t>
  </si>
  <si>
    <t>Laila</t>
  </si>
  <si>
    <t>PN-1610</t>
  </si>
  <si>
    <t>Lapain</t>
  </si>
  <si>
    <t>PN-1611</t>
  </si>
  <si>
    <t>Maxibu</t>
  </si>
  <si>
    <t>PN-1612</t>
  </si>
  <si>
    <t>Mexanal</t>
  </si>
  <si>
    <t>PN-1613</t>
  </si>
  <si>
    <t>Mixamol</t>
  </si>
  <si>
    <t>PN-1614</t>
  </si>
  <si>
    <t>No Pain</t>
  </si>
  <si>
    <t>PN-1615</t>
  </si>
  <si>
    <t>Nolvagin</t>
  </si>
  <si>
    <t>PN-1616</t>
  </si>
  <si>
    <t>Omafenan</t>
  </si>
  <si>
    <t>PN-1617</t>
  </si>
  <si>
    <t>Novogold</t>
  </si>
  <si>
    <t>PN-1618</t>
  </si>
  <si>
    <t>Pectol</t>
  </si>
  <si>
    <t>PN-1619</t>
  </si>
  <si>
    <t>Tanzol</t>
  </si>
  <si>
    <t>PN-1620</t>
  </si>
  <si>
    <t>Tocod</t>
  </si>
  <si>
    <t>PN-1621</t>
  </si>
  <si>
    <t>Typhoo</t>
  </si>
  <si>
    <t>PN-1622</t>
  </si>
  <si>
    <t>Vamacold</t>
  </si>
  <si>
    <t>PN-1623</t>
  </si>
  <si>
    <t>Vamadox</t>
  </si>
  <si>
    <t>PN-1624</t>
  </si>
  <si>
    <t>Vamicee</t>
  </si>
  <si>
    <t>PN-1625</t>
  </si>
  <si>
    <t>Zagam</t>
  </si>
  <si>
    <t>PN-1626</t>
  </si>
  <si>
    <t>Zamba</t>
  </si>
  <si>
    <t>PN-1627</t>
  </si>
  <si>
    <t>Zenzol</t>
  </si>
  <si>
    <t>PN-1628</t>
  </si>
  <si>
    <t>Belt</t>
  </si>
  <si>
    <t>PN-1629</t>
  </si>
  <si>
    <t>Bulb Mini</t>
  </si>
  <si>
    <t>PN-1630</t>
  </si>
  <si>
    <t>Dazel Kit</t>
  </si>
  <si>
    <t>PN-1631</t>
  </si>
  <si>
    <t>Hibilon</t>
  </si>
  <si>
    <t>PN-1632</t>
  </si>
  <si>
    <t>Nova Lite</t>
  </si>
  <si>
    <t>PN-1633</t>
  </si>
  <si>
    <t>Touch Light</t>
  </si>
  <si>
    <t>PN-1634</t>
  </si>
  <si>
    <t>Tummy Flat</t>
  </si>
  <si>
    <t>PN-1635</t>
  </si>
  <si>
    <t>Wanna Play</t>
  </si>
  <si>
    <t>PN-1636</t>
  </si>
  <si>
    <t>Yodi Nylon</t>
  </si>
  <si>
    <t>PN-1637</t>
  </si>
  <si>
    <t>Tooth Pick</t>
  </si>
  <si>
    <t>PN-1638</t>
  </si>
  <si>
    <t>Dettol</t>
  </si>
  <si>
    <t>PN-1639</t>
  </si>
  <si>
    <t>Hypo</t>
  </si>
  <si>
    <t>PN-1640</t>
  </si>
  <si>
    <t>Teddy Baby Maxi</t>
  </si>
  <si>
    <t>PN-1641</t>
  </si>
  <si>
    <t>Teddy Baby Midi</t>
  </si>
  <si>
    <t>PN-1642</t>
  </si>
  <si>
    <t>Teddy Baby Mini</t>
  </si>
  <si>
    <t>PN-1643</t>
  </si>
  <si>
    <t>Lactogen</t>
  </si>
  <si>
    <t>PN-1644</t>
  </si>
  <si>
    <t>My Boy Baby</t>
  </si>
  <si>
    <t>PN-1645</t>
  </si>
  <si>
    <t>Nan</t>
  </si>
  <si>
    <t>PN-1646</t>
  </si>
  <si>
    <t>Zwan Chicken Luncheon</t>
  </si>
  <si>
    <t>PN-1647</t>
  </si>
  <si>
    <t>Cowbell Choco Tin</t>
  </si>
  <si>
    <t>PN-1648</t>
  </si>
  <si>
    <t>Milo Tin</t>
  </si>
  <si>
    <t>PN-1649</t>
  </si>
  <si>
    <t>Ovaltine Tin</t>
  </si>
  <si>
    <t>PN-1650</t>
  </si>
  <si>
    <t>Chinchin</t>
  </si>
  <si>
    <t>PN-1651</t>
  </si>
  <si>
    <t>Gillete Blade</t>
  </si>
  <si>
    <t>PN-1652</t>
  </si>
  <si>
    <t>Anoline Baby Jelly</t>
  </si>
  <si>
    <t>PN-1653</t>
  </si>
  <si>
    <t>Baby And Me</t>
  </si>
  <si>
    <t>PN-1654</t>
  </si>
  <si>
    <t>Mama Love Pomade</t>
  </si>
  <si>
    <t>PN-1655</t>
  </si>
  <si>
    <t>Cocomalt</t>
  </si>
  <si>
    <t>PN-1656</t>
  </si>
  <si>
    <t>Coffee Mix</t>
  </si>
  <si>
    <t>PN-1657</t>
  </si>
  <si>
    <t>Coffee Mate</t>
  </si>
  <si>
    <t>PN-1658</t>
  </si>
  <si>
    <t>Omo</t>
  </si>
  <si>
    <t>PN-1659</t>
  </si>
  <si>
    <t>Penicillin</t>
  </si>
  <si>
    <t>PN-1660</t>
  </si>
  <si>
    <t>Ivyxolol</t>
  </si>
  <si>
    <t>PN-1661</t>
  </si>
  <si>
    <t>Lobinax</t>
  </si>
  <si>
    <t>PN-1662</t>
  </si>
  <si>
    <t>Levamizole</t>
  </si>
  <si>
    <t>PN-1663</t>
  </si>
  <si>
    <t>Zentel</t>
  </si>
  <si>
    <t>PN-1664</t>
  </si>
  <si>
    <t>Indomie Chicken</t>
  </si>
  <si>
    <t>PN-1665</t>
  </si>
  <si>
    <t>Vemfen</t>
  </si>
  <si>
    <t>PN-1666</t>
  </si>
  <si>
    <t>Napa Coffee</t>
  </si>
  <si>
    <t>PN-1667</t>
  </si>
  <si>
    <t>B D M T</t>
  </si>
  <si>
    <t>PN-1668</t>
  </si>
  <si>
    <t>Clabetic</t>
  </si>
  <si>
    <t>PN-1669</t>
  </si>
  <si>
    <t>Novalite</t>
  </si>
  <si>
    <t>PN-1670</t>
  </si>
  <si>
    <t>Globe</t>
  </si>
  <si>
    <t>PN-1671</t>
  </si>
  <si>
    <t>Office Lamp</t>
  </si>
  <si>
    <t>PN-1672</t>
  </si>
  <si>
    <t>Pedal Bin</t>
  </si>
  <si>
    <t>PN-1673</t>
  </si>
  <si>
    <t>Danza</t>
  </si>
  <si>
    <t>PN-1674</t>
  </si>
  <si>
    <t>Tie</t>
  </si>
  <si>
    <t>PN-1675</t>
  </si>
  <si>
    <t>Cof Cold</t>
  </si>
  <si>
    <t>PN-1676</t>
  </si>
  <si>
    <t>Loxagyl</t>
  </si>
  <si>
    <t>PN-1677</t>
  </si>
  <si>
    <t>Lodipine</t>
  </si>
  <si>
    <t>PN-1678</t>
  </si>
  <si>
    <t>Indomethacin</t>
  </si>
  <si>
    <t>PN-1679</t>
  </si>
  <si>
    <t>Ampiclox Beecham</t>
  </si>
  <si>
    <t>PN-1680</t>
  </si>
  <si>
    <t>Clip</t>
  </si>
  <si>
    <t>PN-1681</t>
  </si>
  <si>
    <t>Ampiclox</t>
  </si>
  <si>
    <t>PN-1682</t>
  </si>
  <si>
    <t>Kacham</t>
  </si>
  <si>
    <t>PN-1683</t>
  </si>
  <si>
    <t>Fulcin</t>
  </si>
  <si>
    <t>PN-1684</t>
  </si>
  <si>
    <t>Aboniki Balm</t>
  </si>
  <si>
    <t>PN-1685</t>
  </si>
  <si>
    <t>Cenpain Night</t>
  </si>
  <si>
    <t>PN-1686</t>
  </si>
  <si>
    <t>Ibex</t>
  </si>
  <si>
    <t>PN-1687</t>
  </si>
  <si>
    <t>Danacid</t>
  </si>
  <si>
    <t>PN-1688</t>
  </si>
  <si>
    <t>Medik</t>
  </si>
  <si>
    <t>PN-1689</t>
  </si>
  <si>
    <t>Mim Tonc</t>
  </si>
  <si>
    <t>PN-1690</t>
  </si>
  <si>
    <t>Zolat</t>
  </si>
  <si>
    <t>PN-1691</t>
  </si>
  <si>
    <t>Peflotab</t>
  </si>
  <si>
    <t>PN-1692</t>
  </si>
  <si>
    <t>Mycoten Vaginal</t>
  </si>
  <si>
    <t>PN-1693</t>
  </si>
  <si>
    <t>Thalazole</t>
  </si>
  <si>
    <t>PN-1694</t>
  </si>
  <si>
    <t>Viju Milk</t>
  </si>
  <si>
    <t>PN-1695</t>
  </si>
  <si>
    <t>Needle Only</t>
  </si>
  <si>
    <t>PN-1696</t>
  </si>
  <si>
    <t>Needle</t>
  </si>
  <si>
    <t>PN-1697</t>
  </si>
  <si>
    <t>Ketoconazole</t>
  </si>
  <si>
    <t>PN-1698</t>
  </si>
  <si>
    <t>Be Fit</t>
  </si>
  <si>
    <t>PN-1699</t>
  </si>
  <si>
    <t>Mixanal</t>
  </si>
  <si>
    <t>PN-1700</t>
  </si>
  <si>
    <t>Gv</t>
  </si>
  <si>
    <t>PN-1701</t>
  </si>
  <si>
    <t>Pentax</t>
  </si>
  <si>
    <t>PN-1702</t>
  </si>
  <si>
    <t>Feed Fine</t>
  </si>
  <si>
    <t>PN-1703</t>
  </si>
  <si>
    <t>Ppep</t>
  </si>
  <si>
    <t>PN-1704</t>
  </si>
  <si>
    <t>Vega</t>
  </si>
  <si>
    <t>PN-1705</t>
  </si>
  <si>
    <t>Novagine</t>
  </si>
  <si>
    <t>PN-1706</t>
  </si>
  <si>
    <t>Anybond Glue Cv</t>
  </si>
  <si>
    <t>PN-1707</t>
  </si>
  <si>
    <t>Dicnac</t>
  </si>
  <si>
    <t>PN-1708</t>
  </si>
  <si>
    <t>Contact</t>
  </si>
  <si>
    <t>PN-1709</t>
  </si>
  <si>
    <t>Cenpai</t>
  </si>
  <si>
    <t>pharmaceutical_index_name</t>
  </si>
  <si>
    <t>name</t>
  </si>
  <si>
    <t>genericClass</t>
  </si>
  <si>
    <t>pharmaceuticalClass</t>
  </si>
  <si>
    <t>generalUse</t>
  </si>
  <si>
    <t>adultDosage</t>
  </si>
  <si>
    <t>pediatricDosage</t>
  </si>
  <si>
    <t>appendixDosages</t>
  </si>
  <si>
    <t>pharmaceuticsCode</t>
  </si>
  <si>
    <t>drugComponentNames</t>
  </si>
  <si>
    <t>pharmaceuticsNames</t>
  </si>
  <si>
    <t>pharmaceuticsDrugClasses</t>
  </si>
  <si>
    <t>drugComponents</t>
  </si>
  <si>
    <t>GN-00001</t>
  </si>
  <si>
    <t>Anti-Infective Medicines</t>
  </si>
  <si>
    <t>Listed in the Nigeria Essential Medicines List (NDF/EDL) for condition-specific treatment.</t>
  </si>
  <si>
    <t>Use strength- and indication-specific dosing as provided in the Nigeria Drug Formulary.</t>
  </si>
  <si>
    <t>Use age/weight-based dosing according to the Nigeria Drug Formulary and pediatric guidance.</t>
  </si>
  <si>
    <t>GN-00002</t>
  </si>
  <si>
    <t>Unclassified</t>
  </si>
  <si>
    <t>Abacavir,Efavirenz,Lamivudine</t>
  </si>
  <si>
    <t>Abacavir, Efavirenz, Lamivudine</t>
  </si>
  <si>
    <t>GN-00003</t>
  </si>
  <si>
    <t>Abacavir,Lamivudine</t>
  </si>
  <si>
    <t>Abacavir, Lamivudine</t>
  </si>
  <si>
    <t>GN-00004</t>
  </si>
  <si>
    <t>Antineoplastic, Immunosuppressive Medicines And Adjuvants</t>
  </si>
  <si>
    <t>GN-00005</t>
  </si>
  <si>
    <t>Medicines For Ear, Nose And Throat</t>
  </si>
  <si>
    <t>GN-00006</t>
  </si>
  <si>
    <t>Antidotes And Other Substances Used In Poisonings</t>
  </si>
  <si>
    <t>GN-00007</t>
  </si>
  <si>
    <t>Cardiovascular Medicines</t>
  </si>
  <si>
    <t>GN-00008</t>
  </si>
  <si>
    <t>GN-00009</t>
  </si>
  <si>
    <t>GN-00010</t>
  </si>
  <si>
    <t>GN-00011</t>
  </si>
  <si>
    <t>GN-00012</t>
  </si>
  <si>
    <t>Urinary And Erectile Dysfunctions Medicines</t>
  </si>
  <si>
    <t>GN-00013</t>
  </si>
  <si>
    <t>Medicines For Pain And Palliative Care</t>
  </si>
  <si>
    <t>GN-00014</t>
  </si>
  <si>
    <t>GN-00015</t>
  </si>
  <si>
    <t>Dermatological Medicines</t>
  </si>
  <si>
    <t>GN-00016</t>
  </si>
  <si>
    <t>Aluminium hydroxide,magnesium hydroxide</t>
  </si>
  <si>
    <t>Aluminium hydroxide, magnesium hydroxide</t>
  </si>
  <si>
    <t>GN-00017</t>
  </si>
  <si>
    <t>GN-00018</t>
  </si>
  <si>
    <t>GN-00019</t>
  </si>
  <si>
    <t>GN-00020</t>
  </si>
  <si>
    <t>Hormones, Other Endocrine Medicines And Contraceptives</t>
  </si>
  <si>
    <t>GN-00021</t>
  </si>
  <si>
    <t>Medicines For Mental And Behavioural Disorders</t>
  </si>
  <si>
    <t>GN-00022</t>
  </si>
  <si>
    <t>GN-00023</t>
  </si>
  <si>
    <t>GN-00024</t>
  </si>
  <si>
    <t>Amoxicillin,Clavulanic acid</t>
  </si>
  <si>
    <t>Amoxicillin, Clavulanic acid</t>
  </si>
  <si>
    <t>GN-00025</t>
  </si>
  <si>
    <t>GN-00026</t>
  </si>
  <si>
    <t>GN-00027</t>
  </si>
  <si>
    <t>Blood Products Of Human Origin And Plasma Substitutes</t>
  </si>
  <si>
    <t>GN-00028</t>
  </si>
  <si>
    <t>GN-00029</t>
  </si>
  <si>
    <t>Immunologicals</t>
  </si>
  <si>
    <t>GN-00030</t>
  </si>
  <si>
    <t>Arachis oil,Paradichlorobenzene,Chlorobutanol,Turpentine oil</t>
  </si>
  <si>
    <t>Arachis oil, Paradichlorobenzene, Chlorobutanol, Turpentine oil</t>
  </si>
  <si>
    <t>GN-00031</t>
  </si>
  <si>
    <t>GN-00032</t>
  </si>
  <si>
    <t>Artemether,Lumefantrine</t>
  </si>
  <si>
    <t>Artemether, Lumefantrine</t>
  </si>
  <si>
    <t>GN-00033</t>
  </si>
  <si>
    <t>GN-00034</t>
  </si>
  <si>
    <t>Artesunate,amodiaquine</t>
  </si>
  <si>
    <t>Artesunate, amodiaquine</t>
  </si>
  <si>
    <t>GN-00035</t>
  </si>
  <si>
    <t>Vitamins And Minerals</t>
  </si>
  <si>
    <t>GN-00036</t>
  </si>
  <si>
    <t>GN-00037</t>
  </si>
  <si>
    <t>GN-00038</t>
  </si>
  <si>
    <t>GN-00039</t>
  </si>
  <si>
    <t>Atovaquone,Proguanil</t>
  </si>
  <si>
    <t>Atovaquone, Proguanil</t>
  </si>
  <si>
    <t>GN-00040</t>
  </si>
  <si>
    <t>Anaesthetics, Preoperative Medicines And Medical Gases</t>
  </si>
  <si>
    <t>GN-00041</t>
  </si>
  <si>
    <t>GN-00042</t>
  </si>
  <si>
    <t>GN-00043</t>
  </si>
  <si>
    <t>Ophthalmological Preparations</t>
  </si>
  <si>
    <t>GN-00044</t>
  </si>
  <si>
    <t>Inhibitors</t>
  </si>
  <si>
    <t>GN-00045</t>
  </si>
  <si>
    <t>Diagnostic Agents</t>
  </si>
  <si>
    <t>GN-00046</t>
  </si>
  <si>
    <t>Hormones And Synthetic Substitutes</t>
  </si>
  <si>
    <t>GN-00047</t>
  </si>
  <si>
    <t>GN-00048</t>
  </si>
  <si>
    <t>Respiratory Medicines</t>
  </si>
  <si>
    <t>GN-00049</t>
  </si>
  <si>
    <t>GN-00050</t>
  </si>
  <si>
    <t>GN-00051</t>
  </si>
  <si>
    <t>GN-00052</t>
  </si>
  <si>
    <t>GN-00053</t>
  </si>
  <si>
    <t>Benzoic acid,salicylic acid</t>
  </si>
  <si>
    <t>Benzoic acid, salicylic acid</t>
  </si>
  <si>
    <t>GN-00054</t>
  </si>
  <si>
    <t>Antiseptics And Disinfectants</t>
  </si>
  <si>
    <t>GN-00055</t>
  </si>
  <si>
    <t>GN-00056</t>
  </si>
  <si>
    <t>GN-00057</t>
  </si>
  <si>
    <t>GN-00058</t>
  </si>
  <si>
    <t>GN-00059</t>
  </si>
  <si>
    <t>GN-00060</t>
  </si>
  <si>
    <t>GN-00061</t>
  </si>
  <si>
    <t>GN-00062</t>
  </si>
  <si>
    <t>Vitamins, Minerals And Nutritionals</t>
  </si>
  <si>
    <t>[object Object],[object Object]</t>
  </si>
  <si>
    <t>GN-00063</t>
  </si>
  <si>
    <t>GN-00064</t>
  </si>
  <si>
    <t>GN-00065</t>
  </si>
  <si>
    <t>GN-00066</t>
  </si>
  <si>
    <t>GN-00067</t>
  </si>
  <si>
    <t>GN-00068</t>
  </si>
  <si>
    <t>Medicines Acting On The Respiratory Tract</t>
  </si>
  <si>
    <t>GN-00069</t>
  </si>
  <si>
    <t>GN-00070</t>
  </si>
  <si>
    <t>GN-00071</t>
  </si>
  <si>
    <t>GN-00072</t>
  </si>
  <si>
    <t>Busulfan</t>
  </si>
  <si>
    <t>GN-00073</t>
  </si>
  <si>
    <t>GN-00074</t>
  </si>
  <si>
    <t>Dermatologicals</t>
  </si>
  <si>
    <t>Calamine,Zinc oxide</t>
  </si>
  <si>
    <t>Calamine, Zinc oxide</t>
  </si>
  <si>
    <t>GN-00075</t>
  </si>
  <si>
    <t>GN-00076</t>
  </si>
  <si>
    <t>GN-00077</t>
  </si>
  <si>
    <t>GN-00078</t>
  </si>
  <si>
    <t>GN-00079</t>
  </si>
  <si>
    <t>Capreomycin</t>
  </si>
  <si>
    <t>GN-00080</t>
  </si>
  <si>
    <t>GN-00081</t>
  </si>
  <si>
    <t>Anticonvulsants + Anti-Epileptics</t>
  </si>
  <si>
    <t>GN-00082</t>
  </si>
  <si>
    <t>GN-00083</t>
  </si>
  <si>
    <t>GN-00084</t>
  </si>
  <si>
    <t>GN-00085</t>
  </si>
  <si>
    <t>GN-00086</t>
  </si>
  <si>
    <t>GN-00087</t>
  </si>
  <si>
    <t>GN-00088</t>
  </si>
  <si>
    <t>GN-00089</t>
  </si>
  <si>
    <t>GN-00090</t>
  </si>
  <si>
    <t>GN-00091</t>
  </si>
  <si>
    <t>Medicines For Rheumatic And Musculoskeletal Diseases</t>
  </si>
  <si>
    <t>GN-00092</t>
  </si>
  <si>
    <t>Cetrimide,chlorhexidine</t>
  </si>
  <si>
    <t>Cetrimide, chlorhexidine</t>
  </si>
  <si>
    <t>GN-00093</t>
  </si>
  <si>
    <t>Charcoal</t>
  </si>
  <si>
    <t>GN-00094</t>
  </si>
  <si>
    <t>GN-00095</t>
  </si>
  <si>
    <t>GN-00096</t>
  </si>
  <si>
    <t>Antiseptic And Disinfectant Solutions</t>
  </si>
  <si>
    <t>GN-00097</t>
  </si>
  <si>
    <t>Cold Relief</t>
  </si>
  <si>
    <t>GN-00098</t>
  </si>
  <si>
    <t>GN-00099</t>
  </si>
  <si>
    <t>Eye Drops</t>
  </si>
  <si>
    <t>GN-00100</t>
  </si>
  <si>
    <t>GN-00101</t>
  </si>
  <si>
    <t>GN-00102</t>
  </si>
  <si>
    <t>GN-00103</t>
  </si>
  <si>
    <t>GN-00104</t>
  </si>
  <si>
    <t>GN-00105</t>
  </si>
  <si>
    <t>Antiallergics And Medicines Used In Anaphylaxis</t>
  </si>
  <si>
    <t>GN-00106</t>
  </si>
  <si>
    <t>GN-00107</t>
  </si>
  <si>
    <t>GN-00108</t>
  </si>
  <si>
    <t>GN-00109</t>
  </si>
  <si>
    <t>GN-00110</t>
  </si>
  <si>
    <t>GN-00111</t>
  </si>
  <si>
    <t>GN-00112</t>
  </si>
  <si>
    <t>GN-00113</t>
  </si>
  <si>
    <t>GN-00114</t>
  </si>
  <si>
    <t>GN-00115</t>
  </si>
  <si>
    <t>GN-00116</t>
  </si>
  <si>
    <t>GN-00117</t>
  </si>
  <si>
    <t>GN-00118</t>
  </si>
  <si>
    <t>GN-00119</t>
  </si>
  <si>
    <t>GN-00120</t>
  </si>
  <si>
    <t>GN-00121</t>
  </si>
  <si>
    <t>GN-00122</t>
  </si>
  <si>
    <t>GN-00123</t>
  </si>
  <si>
    <t>GN-00124</t>
  </si>
  <si>
    <t>Miscellaneous</t>
  </si>
  <si>
    <t>GN-00125</t>
  </si>
  <si>
    <t>Dressings</t>
  </si>
  <si>
    <t>GN-00126</t>
  </si>
  <si>
    <t>GN-00127</t>
  </si>
  <si>
    <t>GN-00128</t>
  </si>
  <si>
    <t>GN-00129</t>
  </si>
  <si>
    <t>GN-00130</t>
  </si>
  <si>
    <t>GN-00131</t>
  </si>
  <si>
    <t>Medicines Affecting The Blood</t>
  </si>
  <si>
    <t>GN-00132</t>
  </si>
  <si>
    <t>Dacabazine</t>
  </si>
  <si>
    <t>GN-00133</t>
  </si>
  <si>
    <t>GN-00134</t>
  </si>
  <si>
    <t>GN-00135</t>
  </si>
  <si>
    <t>GN-00136</t>
  </si>
  <si>
    <t>Disturbances</t>
  </si>
  <si>
    <t>GN-00137</t>
  </si>
  <si>
    <t>GN-00138</t>
  </si>
  <si>
    <t>GN-00139</t>
  </si>
  <si>
    <t>GN-00140</t>
  </si>
  <si>
    <t>Throat Antiseptic Preparations</t>
  </si>
  <si>
    <t>GN-00141</t>
  </si>
  <si>
    <t>GN-00142</t>
  </si>
  <si>
    <t>GN-00143</t>
  </si>
  <si>
    <t>GN-00144</t>
  </si>
  <si>
    <t>GN-00145</t>
  </si>
  <si>
    <t>GN-00146</t>
  </si>
  <si>
    <t>Dichloroxylenol,chlorophenol</t>
  </si>
  <si>
    <t>Dichloroxylenol, chlorophenol</t>
  </si>
  <si>
    <t>GN-00147</t>
  </si>
  <si>
    <t>GN-00148</t>
  </si>
  <si>
    <t>Didanosine</t>
  </si>
  <si>
    <t>GN-00149</t>
  </si>
  <si>
    <t>GN-00150</t>
  </si>
  <si>
    <t>GN-00151</t>
  </si>
  <si>
    <t>GN-00152</t>
  </si>
  <si>
    <t>Dihydroartemisinin,piperaquine phosphate</t>
  </si>
  <si>
    <t>Dihydroartemisinin, piperaquine phosphate</t>
  </si>
  <si>
    <t>GN-00153</t>
  </si>
  <si>
    <t>GN-00154</t>
  </si>
  <si>
    <t>GN-00155</t>
  </si>
  <si>
    <t>GN-00156</t>
  </si>
  <si>
    <t>GN-00157</t>
  </si>
  <si>
    <t>GN-00158</t>
  </si>
  <si>
    <t>GN-00159</t>
  </si>
  <si>
    <t>GN-00160</t>
  </si>
  <si>
    <t>GN-00161</t>
  </si>
  <si>
    <t>GN-00162</t>
  </si>
  <si>
    <t>GN-00163</t>
  </si>
  <si>
    <t>GN-00164</t>
  </si>
  <si>
    <t>GN-00165</t>
  </si>
  <si>
    <t>GN-00166</t>
  </si>
  <si>
    <t>GN-00167</t>
  </si>
  <si>
    <t>GN-00168</t>
  </si>
  <si>
    <t>GN-00169</t>
  </si>
  <si>
    <t>GN-00170</t>
  </si>
  <si>
    <t>GN-00171</t>
  </si>
  <si>
    <t>GN-00172</t>
  </si>
  <si>
    <t>GN-00173</t>
  </si>
  <si>
    <t>GN-00174</t>
  </si>
  <si>
    <t>GN-00175</t>
  </si>
  <si>
    <t>GN-00176</t>
  </si>
  <si>
    <t>GN-00177</t>
  </si>
  <si>
    <t>Epinephrine</t>
  </si>
  <si>
    <t>GN-00178</t>
  </si>
  <si>
    <t>GN-00179</t>
  </si>
  <si>
    <t>GN-00180</t>
  </si>
  <si>
    <t>Antimigraine Medicines</t>
  </si>
  <si>
    <t>GN-00181</t>
  </si>
  <si>
    <t>GN-00182</t>
  </si>
  <si>
    <t>GN-00183</t>
  </si>
  <si>
    <t>GN-00184</t>
  </si>
  <si>
    <t>GN-00185</t>
  </si>
  <si>
    <t>GN-00186</t>
  </si>
  <si>
    <t>GN-00187</t>
  </si>
  <si>
    <t>GN-00188</t>
  </si>
  <si>
    <t>Etoposide</t>
  </si>
  <si>
    <t>GN-00189</t>
  </si>
  <si>
    <t>GN-00190</t>
  </si>
  <si>
    <t>GN-00191</t>
  </si>
  <si>
    <t>GN-00192</t>
  </si>
  <si>
    <t>Anti-Anaemia</t>
  </si>
  <si>
    <t>GN-00193</t>
  </si>
  <si>
    <t>GN-00194</t>
  </si>
  <si>
    <t>GN-00195</t>
  </si>
  <si>
    <t>GN-00196</t>
  </si>
  <si>
    <t>GN-00197</t>
  </si>
  <si>
    <t>GN-00198</t>
  </si>
  <si>
    <t>GN-00199</t>
  </si>
  <si>
    <t>GN-00200</t>
  </si>
  <si>
    <t>GN-00201</t>
  </si>
  <si>
    <t>GN-00202</t>
  </si>
  <si>
    <t>GN-00203</t>
  </si>
  <si>
    <t>GN-00204</t>
  </si>
  <si>
    <t>GN-00205</t>
  </si>
  <si>
    <t>GN-00206</t>
  </si>
  <si>
    <t>GN-00207</t>
  </si>
  <si>
    <t>GN-00208</t>
  </si>
  <si>
    <t>GN-00209</t>
  </si>
  <si>
    <t>[object Object],[object Object],[object Object],[object Object]</t>
  </si>
  <si>
    <t>GN-00210</t>
  </si>
  <si>
    <t>GN-00211</t>
  </si>
  <si>
    <t>GN-00212</t>
  </si>
  <si>
    <t>GN-00213</t>
  </si>
  <si>
    <t>GN-00214</t>
  </si>
  <si>
    <t>GN-00215</t>
  </si>
  <si>
    <t>GN-00216</t>
  </si>
  <si>
    <t>GN-00217</t>
  </si>
  <si>
    <t>GN-00218</t>
  </si>
  <si>
    <t>GN-00219</t>
  </si>
  <si>
    <t>GN-00220</t>
  </si>
  <si>
    <t>GN-00221</t>
  </si>
  <si>
    <t>Gastrointestinal Medicines</t>
  </si>
  <si>
    <t>GN-00222</t>
  </si>
  <si>
    <t>GN-00223</t>
  </si>
  <si>
    <t>GN-00224</t>
  </si>
  <si>
    <t>GN-00225</t>
  </si>
  <si>
    <t>GN-00226</t>
  </si>
  <si>
    <t>GN-00227</t>
  </si>
  <si>
    <t>GN-00228</t>
  </si>
  <si>
    <t>GN-00229</t>
  </si>
  <si>
    <t>GN-00230</t>
  </si>
  <si>
    <t>GN-00231</t>
  </si>
  <si>
    <t>Dental Medicines</t>
  </si>
  <si>
    <t>GN-00232</t>
  </si>
  <si>
    <t>GN-00233</t>
  </si>
  <si>
    <t>GN-00234</t>
  </si>
  <si>
    <t>GN-00235</t>
  </si>
  <si>
    <t>GN-00236</t>
  </si>
  <si>
    <t>GN-00237</t>
  </si>
  <si>
    <t>GN-00238</t>
  </si>
  <si>
    <t>GN-00239</t>
  </si>
  <si>
    <t>GN-00240</t>
  </si>
  <si>
    <t>GN-00241</t>
  </si>
  <si>
    <t>GN-00242</t>
  </si>
  <si>
    <t>GN-00243</t>
  </si>
  <si>
    <t>GN-00244</t>
  </si>
  <si>
    <t>GN-00245</t>
  </si>
  <si>
    <t>GN-00246</t>
  </si>
  <si>
    <t>GN-00247</t>
  </si>
  <si>
    <t>GN-00248</t>
  </si>
  <si>
    <t>Imipenem,Cilastatin</t>
  </si>
  <si>
    <t>Imipenem, Cilastatin</t>
  </si>
  <si>
    <t>GN-00249</t>
  </si>
  <si>
    <t>GN-00250</t>
  </si>
  <si>
    <t>GN-00251</t>
  </si>
  <si>
    <t>GN-00252</t>
  </si>
  <si>
    <t>GN-00253</t>
  </si>
  <si>
    <t>GN-00254</t>
  </si>
  <si>
    <t>GN-00255</t>
  </si>
  <si>
    <t>GN-00256</t>
  </si>
  <si>
    <t>Peritoneal Dialysis Solution</t>
  </si>
  <si>
    <t>Intraperitoneal dialysis solution</t>
  </si>
  <si>
    <t>GN-00257</t>
  </si>
  <si>
    <t>GN-00258</t>
  </si>
  <si>
    <t>GN-00259</t>
  </si>
  <si>
    <t>GN-00260</t>
  </si>
  <si>
    <t>GN-00261</t>
  </si>
  <si>
    <t>GN-00262</t>
  </si>
  <si>
    <t>GN-00263</t>
  </si>
  <si>
    <t>GN-00264</t>
  </si>
  <si>
    <t>GN-00265</t>
  </si>
  <si>
    <t>GN-00266</t>
  </si>
  <si>
    <t>GN-00267</t>
  </si>
  <si>
    <t>GN-00268</t>
  </si>
  <si>
    <t>GN-00269</t>
  </si>
  <si>
    <t>GN-00270</t>
  </si>
  <si>
    <t>GN-00271</t>
  </si>
  <si>
    <t>GN-00272</t>
  </si>
  <si>
    <t>Lamivudine,Nevirapine,Zidovudine</t>
  </si>
  <si>
    <t>Lamivudine, Nevirapine, Zidovudine</t>
  </si>
  <si>
    <t>GN-00273</t>
  </si>
  <si>
    <t>Lamivudine,Zidovudine</t>
  </si>
  <si>
    <t>Lamivudine, Zidovudine</t>
  </si>
  <si>
    <t>GN-00274</t>
  </si>
  <si>
    <t>GN-00275</t>
  </si>
  <si>
    <t>GN-00276</t>
  </si>
  <si>
    <t>GN-00277</t>
  </si>
  <si>
    <t>GN-00278</t>
  </si>
  <si>
    <t>Antihelminthics</t>
  </si>
  <si>
    <t>GN-00279</t>
  </si>
  <si>
    <t>Medicines For Parkinsonism And Other Neurological Disorders</t>
  </si>
  <si>
    <t>Levodopa,Carbidopa</t>
  </si>
  <si>
    <t>Levodopa, Carbidopa</t>
  </si>
  <si>
    <t>GN-00280</t>
  </si>
  <si>
    <t>GN-00281</t>
  </si>
  <si>
    <t>Contraceptives</t>
  </si>
  <si>
    <t>GN-00282</t>
  </si>
  <si>
    <t>GN-00283</t>
  </si>
  <si>
    <t>Lidnocaine</t>
  </si>
  <si>
    <t>GN-00284</t>
  </si>
  <si>
    <t>GN-00285</t>
  </si>
  <si>
    <t>GN-00286</t>
  </si>
  <si>
    <t>GN-00287</t>
  </si>
  <si>
    <t>GN-00288</t>
  </si>
  <si>
    <t>GN-00289</t>
  </si>
  <si>
    <t>GN-00290</t>
  </si>
  <si>
    <t>Lopinavir,Ritonavir</t>
  </si>
  <si>
    <t>Lopinavir, Ritonavir</t>
  </si>
  <si>
    <t>GN-00291</t>
  </si>
  <si>
    <t>Lopinavir,ritonavir(LPV,r</t>
  </si>
  <si>
    <t>Lopinavir, ritonavir(LPV, r</t>
  </si>
  <si>
    <t>GN-00292</t>
  </si>
  <si>
    <t>GN-00293</t>
  </si>
  <si>
    <t>GN-00294</t>
  </si>
  <si>
    <t>GN-00295</t>
  </si>
  <si>
    <t>GN-00296</t>
  </si>
  <si>
    <t>GN-00297</t>
  </si>
  <si>
    <t>GN-00298</t>
  </si>
  <si>
    <t>GN-00299</t>
  </si>
  <si>
    <t>Diuretics</t>
  </si>
  <si>
    <t>GN-00300</t>
  </si>
  <si>
    <t>GN-00301</t>
  </si>
  <si>
    <t>GN-00302</t>
  </si>
  <si>
    <t>GN-00303</t>
  </si>
  <si>
    <t>GN-00304</t>
  </si>
  <si>
    <t>GN-00305</t>
  </si>
  <si>
    <t>GN-00306</t>
  </si>
  <si>
    <t>GN-00307</t>
  </si>
  <si>
    <t>GN-00308</t>
  </si>
  <si>
    <t>Dressings, Consumables And Miscellaneous</t>
  </si>
  <si>
    <t>GN-00309</t>
  </si>
  <si>
    <t>Menthol,Ascorbic acid,Hydrous citric acid</t>
  </si>
  <si>
    <t>Menthol, Ascorbic acid, Hydrous citric acid</t>
  </si>
  <si>
    <t>GN-00310</t>
  </si>
  <si>
    <t>Menthol,Eucalyptus oil,Camphor,Thymol</t>
  </si>
  <si>
    <t>Menthol, Eucalyptus oil, Camphor, Thymol</t>
  </si>
  <si>
    <t>GN-00311</t>
  </si>
  <si>
    <t>GN-00312</t>
  </si>
  <si>
    <t>GN-00313</t>
  </si>
  <si>
    <t>GN-00314</t>
  </si>
  <si>
    <t>GN-00315</t>
  </si>
  <si>
    <t>GN-00316</t>
  </si>
  <si>
    <t>GN-00317</t>
  </si>
  <si>
    <t>GN-00318</t>
  </si>
  <si>
    <t>GN-00319</t>
  </si>
  <si>
    <t>GN-00320</t>
  </si>
  <si>
    <t>Rubefacients And Inhalers</t>
  </si>
  <si>
    <t>GN-00321</t>
  </si>
  <si>
    <t>Methylammonium chloride</t>
  </si>
  <si>
    <t>GN-00322</t>
  </si>
  <si>
    <t>GN-00323</t>
  </si>
  <si>
    <t>GN-00324</t>
  </si>
  <si>
    <t>GN-00325</t>
  </si>
  <si>
    <t>GN-00326</t>
  </si>
  <si>
    <t>GN-00327</t>
  </si>
  <si>
    <t>GN-00328</t>
  </si>
  <si>
    <t>GN-00329</t>
  </si>
  <si>
    <t>GN-00330</t>
  </si>
  <si>
    <t>GN-00331</t>
  </si>
  <si>
    <t>GN-00332</t>
  </si>
  <si>
    <t>Miconazole,hydrocortisone</t>
  </si>
  <si>
    <t>Miconazole, hydrocortisone</t>
  </si>
  <si>
    <t>GN-00333</t>
  </si>
  <si>
    <t>GN-00334</t>
  </si>
  <si>
    <t>GN-00335</t>
  </si>
  <si>
    <t>Mifepristone,Misoprostol</t>
  </si>
  <si>
    <t>Mifepristone, Misoprostol</t>
  </si>
  <si>
    <t>GN-00336</t>
  </si>
  <si>
    <t>Oxytocics</t>
  </si>
  <si>
    <t>GN-00337</t>
  </si>
  <si>
    <t>GN-00338</t>
  </si>
  <si>
    <t>Gastric Acid Suppressant</t>
  </si>
  <si>
    <t>GN-00339</t>
  </si>
  <si>
    <t>GN-00340</t>
  </si>
  <si>
    <t>GN-00341</t>
  </si>
  <si>
    <t>GN-00342</t>
  </si>
  <si>
    <t>GN-00343</t>
  </si>
  <si>
    <t>GN-00344</t>
  </si>
  <si>
    <t>GN-00345</t>
  </si>
  <si>
    <t>GN-00346</t>
  </si>
  <si>
    <t>GN-00347</t>
  </si>
  <si>
    <t>GN-00348</t>
  </si>
  <si>
    <t>GN-00349</t>
  </si>
  <si>
    <t>Neomycin,Bacitracin</t>
  </si>
  <si>
    <t>Neomycin, Bacitracin</t>
  </si>
  <si>
    <t>GN-00350</t>
  </si>
  <si>
    <t>GN-00351</t>
  </si>
  <si>
    <t>GN-00352</t>
  </si>
  <si>
    <t>GN-00353</t>
  </si>
  <si>
    <t>GN-00354</t>
  </si>
  <si>
    <t>GN-00355</t>
  </si>
  <si>
    <t>GN-00356</t>
  </si>
  <si>
    <t>GN-00357</t>
  </si>
  <si>
    <t>GN-00358</t>
  </si>
  <si>
    <t>GN-00359</t>
  </si>
  <si>
    <t>GN-00360</t>
  </si>
  <si>
    <t>GN-00361</t>
  </si>
  <si>
    <t>GN-00362</t>
  </si>
  <si>
    <t>GN-00363</t>
  </si>
  <si>
    <t>GN-00364</t>
  </si>
  <si>
    <t>GN-00365</t>
  </si>
  <si>
    <t>GN-00366</t>
  </si>
  <si>
    <t>GN-00367</t>
  </si>
  <si>
    <t>GN-00368</t>
  </si>
  <si>
    <t>GN-00369</t>
  </si>
  <si>
    <t>GN-00370</t>
  </si>
  <si>
    <t>GN-00371</t>
  </si>
  <si>
    <t>Anticonvulsants</t>
  </si>
  <si>
    <t>GN-00372</t>
  </si>
  <si>
    <t>GN-00373</t>
  </si>
  <si>
    <t>GN-00374</t>
  </si>
  <si>
    <t>GN-00375</t>
  </si>
  <si>
    <t>GN-00376</t>
  </si>
  <si>
    <t>GN-00377</t>
  </si>
  <si>
    <t>GN-00378</t>
  </si>
  <si>
    <t>GN-00379</t>
  </si>
  <si>
    <t>GN-00380</t>
  </si>
  <si>
    <t>GN-00381</t>
  </si>
  <si>
    <t>Phytomenadione</t>
  </si>
  <si>
    <t>GN-00382</t>
  </si>
  <si>
    <t>GN-00383</t>
  </si>
  <si>
    <t>GN-00384</t>
  </si>
  <si>
    <t>Piperacillin,Tazobactam</t>
  </si>
  <si>
    <t>Piperacillin, Tazobactam</t>
  </si>
  <si>
    <t>GN-00385</t>
  </si>
  <si>
    <t>GN-00386</t>
  </si>
  <si>
    <t>GN-00387</t>
  </si>
  <si>
    <t>GN-00388</t>
  </si>
  <si>
    <t>GN-00389</t>
  </si>
  <si>
    <t>GN-00390</t>
  </si>
  <si>
    <t>GN-00391</t>
  </si>
  <si>
    <t>GN-00392</t>
  </si>
  <si>
    <t>GN-00393</t>
  </si>
  <si>
    <t>GN-00394</t>
  </si>
  <si>
    <t>GN-00395</t>
  </si>
  <si>
    <t>GN-00396</t>
  </si>
  <si>
    <t>GN-00397</t>
  </si>
  <si>
    <t>GN-00398</t>
  </si>
  <si>
    <t>GN-00399</t>
  </si>
  <si>
    <t>GN-00400</t>
  </si>
  <si>
    <t>GN-00401</t>
  </si>
  <si>
    <t>GN-00402</t>
  </si>
  <si>
    <t>GN-00403</t>
  </si>
  <si>
    <t>GN-00404</t>
  </si>
  <si>
    <t>GN-00405</t>
  </si>
  <si>
    <t>GN-00406</t>
  </si>
  <si>
    <t>GN-00407</t>
  </si>
  <si>
    <t>GN-00408</t>
  </si>
  <si>
    <t>GN-00409</t>
  </si>
  <si>
    <t>GN-00410</t>
  </si>
  <si>
    <t>GN-00411</t>
  </si>
  <si>
    <t>GN-00412</t>
  </si>
  <si>
    <t>GN-00413</t>
  </si>
  <si>
    <t>Pyrimethamine,sulfadoxine</t>
  </si>
  <si>
    <t>Pyrimethamine, sulfadoxine</t>
  </si>
  <si>
    <t>GN-00414</t>
  </si>
  <si>
    <t>GN-00415</t>
  </si>
  <si>
    <t>GN-00416</t>
  </si>
  <si>
    <t>GN-00417</t>
  </si>
  <si>
    <t>GN-00418</t>
  </si>
  <si>
    <t>GN-00419</t>
  </si>
  <si>
    <t>GN-00420</t>
  </si>
  <si>
    <t>Anti-Diarrhoeal Medicines</t>
  </si>
  <si>
    <t>GN-00421</t>
  </si>
  <si>
    <t>GN-00422</t>
  </si>
  <si>
    <t>GN-00423</t>
  </si>
  <si>
    <t>GN-00424</t>
  </si>
  <si>
    <t>GN-00425</t>
  </si>
  <si>
    <t>GN-00426</t>
  </si>
  <si>
    <t>GN-00427</t>
  </si>
  <si>
    <t>GN-00428</t>
  </si>
  <si>
    <t>GN-00429</t>
  </si>
  <si>
    <t>GN-00430</t>
  </si>
  <si>
    <t>GN-00431</t>
  </si>
  <si>
    <t>GN-00432</t>
  </si>
  <si>
    <t>GN-00433</t>
  </si>
  <si>
    <t>Salmeterol,Fluticasone</t>
  </si>
  <si>
    <t>Salmeterol, Fluticasone</t>
  </si>
  <si>
    <t>GN-00434</t>
  </si>
  <si>
    <t>GN-00435</t>
  </si>
  <si>
    <t>GN-00436</t>
  </si>
  <si>
    <t>GN-00437</t>
  </si>
  <si>
    <t>GN-00438</t>
  </si>
  <si>
    <t>GN-00439</t>
  </si>
  <si>
    <t>GN-00440</t>
  </si>
  <si>
    <t>GN-00441</t>
  </si>
  <si>
    <t>GN-00442</t>
  </si>
  <si>
    <t>GN-00443</t>
  </si>
  <si>
    <t>GN-00444</t>
  </si>
  <si>
    <t>GN-00445</t>
  </si>
  <si>
    <t>GN-00446</t>
  </si>
  <si>
    <t>GN-00447</t>
  </si>
  <si>
    <t>GN-00448</t>
  </si>
  <si>
    <t>GN-00449</t>
  </si>
  <si>
    <t>GN-00450</t>
  </si>
  <si>
    <t>GN-00451</t>
  </si>
  <si>
    <t>GN-00452</t>
  </si>
  <si>
    <t>GN-00453</t>
  </si>
  <si>
    <t>GN-00454</t>
  </si>
  <si>
    <t>Sulfamethoxazole,Trimethoprim</t>
  </si>
  <si>
    <t>Sulfamethoxazole, Trimethoprim</t>
  </si>
  <si>
    <t>GN-00455</t>
  </si>
  <si>
    <t>GN-00456</t>
  </si>
  <si>
    <t>GN-00457</t>
  </si>
  <si>
    <t>GN-00458</t>
  </si>
  <si>
    <t>GN-00459</t>
  </si>
  <si>
    <t>GN-00460</t>
  </si>
  <si>
    <t>GN-00461</t>
  </si>
  <si>
    <t>GN-00462</t>
  </si>
  <si>
    <t>GN-00463</t>
  </si>
  <si>
    <t>GN-00464</t>
  </si>
  <si>
    <t>GN-00465</t>
  </si>
  <si>
    <t>Tenofovir,Lamivudine,Atazanavir,Ritonavir</t>
  </si>
  <si>
    <t>Tenofovir, Lamivudine, Atazanavir, Ritonavir</t>
  </si>
  <si>
    <t>GN-00466</t>
  </si>
  <si>
    <t>Tenofovir,Lamivudine,Dolutegravir</t>
  </si>
  <si>
    <t>Tenofovir, Lamivudine, Dolutegravir</t>
  </si>
  <si>
    <t>GN-00467</t>
  </si>
  <si>
    <t>Tenofovir,Lamivudine,Dolutegravir,Darunavir,Ritonavir</t>
  </si>
  <si>
    <t>Tenofovir, Lamivudine, Dolutegravir, Darunavir, Ritonavir</t>
  </si>
  <si>
    <t>GN-00468</t>
  </si>
  <si>
    <t>Tenofovir,Lamivudine,Efavirenz</t>
  </si>
  <si>
    <t>Tenofovir, Lamivudine, Efavirenz</t>
  </si>
  <si>
    <t>GN-00469</t>
  </si>
  <si>
    <t>Tenofovir,Lamivudine,Lopinavir,Ritonavir</t>
  </si>
  <si>
    <t>Tenofovir, Lamivudine, Lopinavir, Ritonavir</t>
  </si>
  <si>
    <t>GN-00470</t>
  </si>
  <si>
    <t>Tenofovir,Lamivudine,Zidovudine,Atazanavir,Ritonavir**</t>
  </si>
  <si>
    <t>Tenofovir, Lamivudine, Zidovudine, Atazanavir, Ritonavir**</t>
  </si>
  <si>
    <t>GN-00471</t>
  </si>
  <si>
    <t>GN-00472</t>
  </si>
  <si>
    <t>GN-00473</t>
  </si>
  <si>
    <t>GN-00474</t>
  </si>
  <si>
    <t>GN-00475</t>
  </si>
  <si>
    <t>GN-00476</t>
  </si>
  <si>
    <t>GN-00477</t>
  </si>
  <si>
    <t>GN-00478</t>
  </si>
  <si>
    <t>GN-00479</t>
  </si>
  <si>
    <t>GN-00480</t>
  </si>
  <si>
    <t>Thyrotropin releasing hormone</t>
  </si>
  <si>
    <t>GN-00481</t>
  </si>
  <si>
    <t>GN-00482</t>
  </si>
  <si>
    <t>GN-00483</t>
  </si>
  <si>
    <t>GN-00484</t>
  </si>
  <si>
    <t>GN-00485</t>
  </si>
  <si>
    <t>GN-00486</t>
  </si>
  <si>
    <t>GN-00487</t>
  </si>
  <si>
    <t>GN-00488</t>
  </si>
  <si>
    <t>GN-00489</t>
  </si>
  <si>
    <t>GN-00490</t>
  </si>
  <si>
    <t>GN-00491</t>
  </si>
  <si>
    <t>GN-00492</t>
  </si>
  <si>
    <t>GN-00493</t>
  </si>
  <si>
    <t>GN-00494</t>
  </si>
  <si>
    <t>GN-00495</t>
  </si>
  <si>
    <t>GN-00496</t>
  </si>
  <si>
    <t>GN-00497</t>
  </si>
  <si>
    <t>GN-00498</t>
  </si>
  <si>
    <t>GN-00499</t>
  </si>
  <si>
    <t>GN-00500</t>
  </si>
  <si>
    <t>GN-00501</t>
  </si>
  <si>
    <t>GN-00502</t>
  </si>
  <si>
    <t>GN-00503</t>
  </si>
  <si>
    <t>GN-00504</t>
  </si>
  <si>
    <t>[object Object],[object Object],[object Object],[object Object],[object Object],[object Object],[object Object],[object Object],[object Object],[object Object]</t>
  </si>
  <si>
    <t>GN-00505</t>
  </si>
  <si>
    <t>GN-00506</t>
  </si>
  <si>
    <t>[object Object],[object Object],[object Object],[object Object],[object Object],[object Object],[object Object],[object Object]</t>
  </si>
  <si>
    <t>Vitamin B1</t>
  </si>
  <si>
    <t>GN-00507</t>
  </si>
  <si>
    <t>[object Object],[object Object],[object Object],[object Object],[object Object],[object Object]</t>
  </si>
  <si>
    <t>Vitamin B12</t>
  </si>
  <si>
    <t>GN-00508</t>
  </si>
  <si>
    <t>Vitamin B2</t>
  </si>
  <si>
    <t>GN-00509</t>
  </si>
  <si>
    <t>Vitamin B6</t>
  </si>
  <si>
    <t>GN-00510</t>
  </si>
  <si>
    <t>Vitamin C</t>
  </si>
  <si>
    <t>GN-00511</t>
  </si>
  <si>
    <t>Vitamin D</t>
  </si>
  <si>
    <t>GN-00512</t>
  </si>
  <si>
    <t>GN-00513</t>
  </si>
  <si>
    <t>GN-00514</t>
  </si>
  <si>
    <t>GN-00515</t>
  </si>
  <si>
    <t>GN-00516</t>
  </si>
  <si>
    <t>GN-00517</t>
  </si>
  <si>
    <t>Zidovudine,Lamivudine,Atazanavir,Ritonavir</t>
  </si>
  <si>
    <t>Zidovudine, Lamivudine, Atazanavir, Ritonavir</t>
  </si>
  <si>
    <t>GN-00518</t>
  </si>
  <si>
    <t>Zidovudine,Lamivudine,Efavirenz,Dolutegravir,Ritonavir</t>
  </si>
  <si>
    <t>Zidovudine, Lamivudine, Efavirenz, Dolutegravir, Ritonavir</t>
  </si>
  <si>
    <t>GN-00519</t>
  </si>
  <si>
    <t>Zidovudine,Lamivudine,Lopinavir,Ritonavir</t>
  </si>
  <si>
    <t>Zidovudine, Lamivudine, Lopinavir, Ritonavir</t>
  </si>
  <si>
    <t>GN-00520</t>
  </si>
  <si>
    <t>GN-00521</t>
  </si>
  <si>
    <t>Zinc,Low Osmolarity Oral Rehydration Salts</t>
  </si>
  <si>
    <t>Zinc, Low Osmolarity Oral Rehydration Salts</t>
  </si>
  <si>
    <t>GN-00522</t>
  </si>
  <si>
    <t>Zinc chloride,zinc sulfate</t>
  </si>
  <si>
    <t>Zinc chloride, zinc sulfate</t>
  </si>
  <si>
    <t>GN-00523</t>
  </si>
  <si>
    <t>GN-00524</t>
  </si>
  <si>
    <t>GN-00525</t>
  </si>
  <si>
    <t>GN-00526</t>
  </si>
  <si>
    <t>General therapeutic or product use; verify indication in clinical reference.</t>
  </si>
  <si>
    <t>Use dose according to product labeling and clinical guidance.</t>
  </si>
  <si>
    <t>Use age/weight-appropriate dosing according to pediatric guidance.</t>
  </si>
  <si>
    <t>GN-00527</t>
  </si>
  <si>
    <t>GN-00528</t>
  </si>
  <si>
    <t>GN-00529</t>
  </si>
  <si>
    <t>GN-00530</t>
  </si>
  <si>
    <t>GN-00531</t>
  </si>
  <si>
    <t>GN-00532</t>
  </si>
  <si>
    <t>GN-00533</t>
  </si>
  <si>
    <t>GN-00534</t>
  </si>
  <si>
    <t>GN-00535</t>
  </si>
  <si>
    <t>GN-00536</t>
  </si>
  <si>
    <t>GN-00537</t>
  </si>
  <si>
    <t>GN-00538</t>
  </si>
  <si>
    <t>GN-00539</t>
  </si>
  <si>
    <t>GN-00540</t>
  </si>
  <si>
    <t>GN-00541</t>
  </si>
  <si>
    <t>GN-00542</t>
  </si>
  <si>
    <t>GN-00543</t>
  </si>
  <si>
    <t>GN-00544</t>
  </si>
  <si>
    <t>GN-00545</t>
  </si>
  <si>
    <t>GN-00546</t>
  </si>
  <si>
    <t>GN-00547</t>
  </si>
  <si>
    <t>GN-00548</t>
  </si>
  <si>
    <t>GN-00549</t>
  </si>
  <si>
    <t>GN-00550</t>
  </si>
  <si>
    <t>GN-00551</t>
  </si>
  <si>
    <t>GN-00552</t>
  </si>
  <si>
    <t>GN-00553</t>
  </si>
  <si>
    <t>Millicap B,S</t>
  </si>
  <si>
    <t>Millicap B, S</t>
  </si>
  <si>
    <t>GN-00554</t>
  </si>
  <si>
    <t>GN-00555</t>
  </si>
  <si>
    <t>GN-00556</t>
  </si>
  <si>
    <t>GN-00557</t>
  </si>
  <si>
    <t>GN-00558</t>
  </si>
  <si>
    <t>GN-00559</t>
  </si>
  <si>
    <t>GN-00560</t>
  </si>
  <si>
    <t>GN-00561</t>
  </si>
  <si>
    <t>GN-00562</t>
  </si>
  <si>
    <t>GN-00563</t>
  </si>
  <si>
    <t>GN-00564</t>
  </si>
  <si>
    <t>GN-00565</t>
  </si>
  <si>
    <t>GN-00566</t>
  </si>
  <si>
    <t>GN-00567</t>
  </si>
  <si>
    <t>GN-00568</t>
  </si>
  <si>
    <t>GN-00569</t>
  </si>
  <si>
    <t>GN-00570</t>
  </si>
  <si>
    <t>GN-00571</t>
  </si>
  <si>
    <t>GN-00572</t>
  </si>
  <si>
    <t>GN-00573</t>
  </si>
  <si>
    <t>GN-00574</t>
  </si>
  <si>
    <t>GN-00575</t>
  </si>
  <si>
    <t>GN-00576</t>
  </si>
  <si>
    <t>GN-00577</t>
  </si>
  <si>
    <t>GN-00578</t>
  </si>
  <si>
    <t>GN-00579</t>
  </si>
  <si>
    <t>GN-00580</t>
  </si>
  <si>
    <t>GN-00581</t>
  </si>
  <si>
    <t>GN-00582</t>
  </si>
  <si>
    <t>GN-00583</t>
  </si>
  <si>
    <t>GN-00584</t>
  </si>
  <si>
    <t>GN-00585</t>
  </si>
  <si>
    <t>GN-00586</t>
  </si>
  <si>
    <t>GN-00587</t>
  </si>
  <si>
    <t>GN-00588</t>
  </si>
  <si>
    <t>GN-00589</t>
  </si>
  <si>
    <t>GN-00590</t>
  </si>
  <si>
    <t>GN-00591</t>
  </si>
  <si>
    <t>GN-00592</t>
  </si>
  <si>
    <t>GN-00593</t>
  </si>
  <si>
    <t>GN-00594</t>
  </si>
  <si>
    <t>GN-00595</t>
  </si>
  <si>
    <t>GN-00596</t>
  </si>
  <si>
    <t>GN-00597</t>
  </si>
  <si>
    <t>GN-00598</t>
  </si>
  <si>
    <t>GN-00599</t>
  </si>
  <si>
    <t>GN-00600</t>
  </si>
  <si>
    <t>GN-00601</t>
  </si>
  <si>
    <t>GN-00602</t>
  </si>
  <si>
    <t>GN-00603</t>
  </si>
  <si>
    <t>GN-00604</t>
  </si>
  <si>
    <t>GN-00605</t>
  </si>
  <si>
    <t>GN-00606</t>
  </si>
  <si>
    <t>GN-00607</t>
  </si>
  <si>
    <t>GN-00608</t>
  </si>
  <si>
    <t>GN-00609</t>
  </si>
  <si>
    <t>GN-00610</t>
  </si>
  <si>
    <t>GN-00611</t>
  </si>
  <si>
    <t>GN-00612</t>
  </si>
  <si>
    <t>GN-00613</t>
  </si>
  <si>
    <t>GN-00614</t>
  </si>
  <si>
    <t>GN-00615</t>
  </si>
  <si>
    <t>GN-00616</t>
  </si>
  <si>
    <t>GN-00617</t>
  </si>
  <si>
    <t>GN-00618</t>
  </si>
  <si>
    <t>GN-00619</t>
  </si>
  <si>
    <t>GN-00620</t>
  </si>
  <si>
    <t>GN-00621</t>
  </si>
  <si>
    <t>GN-00622</t>
  </si>
  <si>
    <t>GN-00623</t>
  </si>
  <si>
    <t>GN-00624</t>
  </si>
  <si>
    <t>GN-00625</t>
  </si>
  <si>
    <t>GN-00626</t>
  </si>
  <si>
    <t>GN-00627</t>
  </si>
  <si>
    <t>GN-00628</t>
  </si>
  <si>
    <t>GN-00629</t>
  </si>
  <si>
    <t>GN-00630</t>
  </si>
  <si>
    <t>GN-00631</t>
  </si>
  <si>
    <t>GN-00632</t>
  </si>
  <si>
    <t>GN-00633</t>
  </si>
  <si>
    <t>GN-00634</t>
  </si>
  <si>
    <t>GN-00635</t>
  </si>
  <si>
    <t>GN-00636</t>
  </si>
  <si>
    <t>GN-00637</t>
  </si>
  <si>
    <t>GN-00638</t>
  </si>
  <si>
    <t>GN-00639</t>
  </si>
  <si>
    <t>GN-00640</t>
  </si>
  <si>
    <t>GN-00641</t>
  </si>
  <si>
    <t>GN-00642</t>
  </si>
  <si>
    <t>GN-00643</t>
  </si>
  <si>
    <t>GN-00644</t>
  </si>
  <si>
    <t>GN-00645</t>
  </si>
  <si>
    <t>GN-00646</t>
  </si>
  <si>
    <t>GN-00647</t>
  </si>
  <si>
    <t>GN-00648</t>
  </si>
  <si>
    <t>GN-00649</t>
  </si>
  <si>
    <t>GN-00650</t>
  </si>
  <si>
    <t>GN-00651</t>
  </si>
  <si>
    <t>GN-00652</t>
  </si>
  <si>
    <t>GN-00653</t>
  </si>
  <si>
    <t>GN-00654</t>
  </si>
  <si>
    <t>GN-00655</t>
  </si>
  <si>
    <t>GN-00656</t>
  </si>
  <si>
    <t>GN-00657</t>
  </si>
  <si>
    <t>GN-00658</t>
  </si>
  <si>
    <t>GN-00659</t>
  </si>
  <si>
    <t>GN-00660</t>
  </si>
  <si>
    <t>GN-00661</t>
  </si>
  <si>
    <t>GN-00662</t>
  </si>
  <si>
    <t>GN-00663</t>
  </si>
  <si>
    <t>GN-00664</t>
  </si>
  <si>
    <t>GN-00665</t>
  </si>
  <si>
    <t>GN-00666</t>
  </si>
  <si>
    <t>GN-00667</t>
  </si>
  <si>
    <t>GN-00668</t>
  </si>
  <si>
    <t>GN-00669</t>
  </si>
  <si>
    <t>GN-00670</t>
  </si>
  <si>
    <t>GN-00671</t>
  </si>
  <si>
    <t>GN-00672</t>
  </si>
  <si>
    <t>GN-00673</t>
  </si>
  <si>
    <t>GN-00674</t>
  </si>
  <si>
    <t>GN-00675</t>
  </si>
  <si>
    <t>GN-00676</t>
  </si>
  <si>
    <t>GN-00677</t>
  </si>
  <si>
    <t>GN-00678</t>
  </si>
  <si>
    <t>GN-00679</t>
  </si>
  <si>
    <t>GN-00680</t>
  </si>
  <si>
    <t>GN-00681</t>
  </si>
  <si>
    <t>GN-00682</t>
  </si>
  <si>
    <t>GN-00683</t>
  </si>
  <si>
    <t>GN-00684</t>
  </si>
  <si>
    <t>GN-00685</t>
  </si>
  <si>
    <t>GN-00686</t>
  </si>
  <si>
    <t>GN-00687</t>
  </si>
  <si>
    <t>GN-00688</t>
  </si>
  <si>
    <t>GN-00689</t>
  </si>
  <si>
    <t>GN-00690</t>
  </si>
  <si>
    <t>GN-00691</t>
  </si>
  <si>
    <t>GN-00692</t>
  </si>
  <si>
    <t>GN-00693</t>
  </si>
  <si>
    <t>GN-00694</t>
  </si>
  <si>
    <t>GN-00695</t>
  </si>
  <si>
    <t>GN-00696</t>
  </si>
  <si>
    <t>GN-00697</t>
  </si>
  <si>
    <t>GN-00698</t>
  </si>
  <si>
    <t>GN-00699</t>
  </si>
  <si>
    <t>GN-00700</t>
  </si>
  <si>
    <t>GN-00701</t>
  </si>
  <si>
    <t>GN-00702</t>
  </si>
  <si>
    <t>GN-00703</t>
  </si>
  <si>
    <t>GN-00704</t>
  </si>
  <si>
    <t>GN-00705</t>
  </si>
  <si>
    <t>GN-00706</t>
  </si>
  <si>
    <t>GN-00707</t>
  </si>
  <si>
    <t>GN-00708</t>
  </si>
  <si>
    <t>GN-00709</t>
  </si>
  <si>
    <t>GN-00710</t>
  </si>
  <si>
    <t>GN-00711</t>
  </si>
  <si>
    <t>GN-00712</t>
  </si>
  <si>
    <t>GN-00713</t>
  </si>
  <si>
    <t>GN-00714</t>
  </si>
  <si>
    <t>GN-00715</t>
  </si>
  <si>
    <t>GN-00716</t>
  </si>
  <si>
    <t>GN-00717</t>
  </si>
  <si>
    <t>GN-00718</t>
  </si>
  <si>
    <t>GN-00719</t>
  </si>
  <si>
    <t>GN-00720</t>
  </si>
  <si>
    <t>GN-00721</t>
  </si>
  <si>
    <t>GN-00722</t>
  </si>
  <si>
    <t>GN-00723</t>
  </si>
  <si>
    <t>GN-00724</t>
  </si>
  <si>
    <t>GN-00725</t>
  </si>
  <si>
    <t>GN-00726</t>
  </si>
  <si>
    <t>GN-00727</t>
  </si>
  <si>
    <t>GN-00728</t>
  </si>
  <si>
    <t>GN-00729</t>
  </si>
  <si>
    <t>GN-00730</t>
  </si>
  <si>
    <t>GN-00731</t>
  </si>
  <si>
    <t>GN-00732</t>
  </si>
  <si>
    <t>GN-00733</t>
  </si>
  <si>
    <t>GN-00734</t>
  </si>
  <si>
    <t>GN-00735</t>
  </si>
  <si>
    <t>GN-00736</t>
  </si>
  <si>
    <t>GN-00737</t>
  </si>
  <si>
    <t>GN-00738</t>
  </si>
  <si>
    <t>GN-00739</t>
  </si>
  <si>
    <t>GN-00740</t>
  </si>
  <si>
    <t>GN-00741</t>
  </si>
  <si>
    <t>GN-00742</t>
  </si>
  <si>
    <t>GN-00743</t>
  </si>
  <si>
    <t>GN-00744</t>
  </si>
  <si>
    <t>GN-00745</t>
  </si>
  <si>
    <t>GN-00746</t>
  </si>
  <si>
    <t>GN-00747</t>
  </si>
  <si>
    <t>GN-00748</t>
  </si>
  <si>
    <t>GN-00749</t>
  </si>
  <si>
    <t>GN-00750</t>
  </si>
  <si>
    <t>GN-00751</t>
  </si>
  <si>
    <t>GN-00752</t>
  </si>
  <si>
    <t>GN-00753</t>
  </si>
  <si>
    <t>GN-00754</t>
  </si>
  <si>
    <t>GN-00755</t>
  </si>
  <si>
    <t>GN-00756</t>
  </si>
  <si>
    <t>GN-00757</t>
  </si>
  <si>
    <t>GN-00758</t>
  </si>
  <si>
    <t>GN-00759</t>
  </si>
  <si>
    <t>GN-00760</t>
  </si>
  <si>
    <t>GN-00761</t>
  </si>
  <si>
    <t>GN-00762</t>
  </si>
  <si>
    <t>GN-00763</t>
  </si>
  <si>
    <t>GN-00764</t>
  </si>
  <si>
    <t>GN-00765</t>
  </si>
  <si>
    <t>GN-00766</t>
  </si>
  <si>
    <t>GN-00767</t>
  </si>
  <si>
    <t>GN-00768</t>
  </si>
  <si>
    <t>GN-00769</t>
  </si>
  <si>
    <t>GN-00770</t>
  </si>
  <si>
    <t>GN-00771</t>
  </si>
  <si>
    <t>GN-00772</t>
  </si>
  <si>
    <t>GN-00773</t>
  </si>
  <si>
    <t>GN-00774</t>
  </si>
  <si>
    <t>GN-00775</t>
  </si>
  <si>
    <t>GN-00776</t>
  </si>
  <si>
    <t>GN-00777</t>
  </si>
  <si>
    <t>GN-00778</t>
  </si>
  <si>
    <t>GN-00779</t>
  </si>
  <si>
    <t>GN-00780</t>
  </si>
  <si>
    <t>GN-00781</t>
  </si>
  <si>
    <t>GN-00782</t>
  </si>
  <si>
    <t>GN-00783</t>
  </si>
  <si>
    <t>GN-00784</t>
  </si>
  <si>
    <t>GN-00785</t>
  </si>
  <si>
    <t>GN-00786</t>
  </si>
  <si>
    <t>GN-00787</t>
  </si>
  <si>
    <t>GN-00788</t>
  </si>
  <si>
    <t>GN-00789</t>
  </si>
  <si>
    <t>GN-00790</t>
  </si>
  <si>
    <t>GN-00791</t>
  </si>
  <si>
    <t>GN-00792</t>
  </si>
  <si>
    <t>GN-00793</t>
  </si>
  <si>
    <t>GN-00794</t>
  </si>
  <si>
    <t>GN-00795</t>
  </si>
  <si>
    <t>GN-00796</t>
  </si>
  <si>
    <t>GN-00797</t>
  </si>
  <si>
    <t>GN-00798</t>
  </si>
  <si>
    <t>GN-00799</t>
  </si>
  <si>
    <t>GN-00800</t>
  </si>
  <si>
    <t>GN-00801</t>
  </si>
  <si>
    <t>GN-00802</t>
  </si>
  <si>
    <t>GN-00803</t>
  </si>
  <si>
    <t>GN-00804</t>
  </si>
  <si>
    <t>GN-00805</t>
  </si>
  <si>
    <t>GN-00806</t>
  </si>
  <si>
    <t>GN-00807</t>
  </si>
  <si>
    <t>GN-00808</t>
  </si>
  <si>
    <t>GN-00809</t>
  </si>
  <si>
    <t>GN-00810</t>
  </si>
  <si>
    <t>GN-00811</t>
  </si>
  <si>
    <t>GN-00812</t>
  </si>
  <si>
    <t>GN-00813</t>
  </si>
  <si>
    <t>GN-00814</t>
  </si>
  <si>
    <t>GN-00815</t>
  </si>
  <si>
    <t>GN-00816</t>
  </si>
  <si>
    <t>GN-00817</t>
  </si>
  <si>
    <t>GN-00818</t>
  </si>
  <si>
    <t>GN-00819</t>
  </si>
  <si>
    <t>GN-00820</t>
  </si>
  <si>
    <t>GN-00821</t>
  </si>
  <si>
    <t>GN-00822</t>
  </si>
  <si>
    <t>GN-00823</t>
  </si>
  <si>
    <t>GN-00824</t>
  </si>
  <si>
    <t>GN-00825</t>
  </si>
  <si>
    <t>GN-00826</t>
  </si>
  <si>
    <t>GN-00827</t>
  </si>
  <si>
    <t>GN-00828</t>
  </si>
  <si>
    <t>GN-00829</t>
  </si>
  <si>
    <t>GN-00830</t>
  </si>
  <si>
    <t>GN-00831</t>
  </si>
  <si>
    <t>GN-00832</t>
  </si>
  <si>
    <t>GN-00833</t>
  </si>
  <si>
    <t>Altinez,Pcol Eye</t>
  </si>
  <si>
    <t>Altinez, Pcol Eye</t>
  </si>
  <si>
    <t>GN-00834</t>
  </si>
  <si>
    <t>GN-00835</t>
  </si>
  <si>
    <t>GN-00836</t>
  </si>
  <si>
    <t>GN-00837</t>
  </si>
  <si>
    <t>GN-00838</t>
  </si>
  <si>
    <t>GN-00839</t>
  </si>
  <si>
    <t>GN-00840</t>
  </si>
  <si>
    <t>GN-00841</t>
  </si>
  <si>
    <t>GN-00842</t>
  </si>
  <si>
    <t>GN-00843</t>
  </si>
  <si>
    <t>GN-00844</t>
  </si>
  <si>
    <t>GN-00845</t>
  </si>
  <si>
    <t>GN-00846</t>
  </si>
  <si>
    <t>GN-00847</t>
  </si>
  <si>
    <t>GN-00848</t>
  </si>
  <si>
    <t>GN-00849</t>
  </si>
  <si>
    <t>GN-00850</t>
  </si>
  <si>
    <t>GN-00851</t>
  </si>
  <si>
    <t>GN-00852</t>
  </si>
  <si>
    <t>GN-00853</t>
  </si>
  <si>
    <t>GN-00854</t>
  </si>
  <si>
    <t>GN-00855</t>
  </si>
  <si>
    <t>GN-00856</t>
  </si>
  <si>
    <t>GN-00857</t>
  </si>
  <si>
    <t>GN-00858</t>
  </si>
  <si>
    <t>GN-00859</t>
  </si>
  <si>
    <t>GN-00860</t>
  </si>
  <si>
    <t>GN-00861</t>
  </si>
  <si>
    <t>GN-00862</t>
  </si>
  <si>
    <t>GN-00863</t>
  </si>
  <si>
    <t>GN-00864</t>
  </si>
  <si>
    <t>GN-00865</t>
  </si>
  <si>
    <t>GN-00866</t>
  </si>
  <si>
    <t>GN-00867</t>
  </si>
  <si>
    <t>GN-00868</t>
  </si>
  <si>
    <t>GN-00869</t>
  </si>
  <si>
    <t>GN-00870</t>
  </si>
  <si>
    <t>GN-00871</t>
  </si>
  <si>
    <t>Lvyzine E,D</t>
  </si>
  <si>
    <t>Lvyzine E, D</t>
  </si>
  <si>
    <t>GN-00872</t>
  </si>
  <si>
    <t>GN-00873</t>
  </si>
  <si>
    <t>GN-00874</t>
  </si>
  <si>
    <t>GN-00875</t>
  </si>
  <si>
    <t>GN-00876</t>
  </si>
  <si>
    <t>GN-00877</t>
  </si>
  <si>
    <t>GN-00878</t>
  </si>
  <si>
    <t>GN-00879</t>
  </si>
  <si>
    <t>GN-00880</t>
  </si>
  <si>
    <t>GN-00881</t>
  </si>
  <si>
    <t>GN-00882</t>
  </si>
  <si>
    <t>GN-00883</t>
  </si>
  <si>
    <t>GN-00884</t>
  </si>
  <si>
    <t>GN-00885</t>
  </si>
  <si>
    <t>GN-00886</t>
  </si>
  <si>
    <t>Visine B,S</t>
  </si>
  <si>
    <t>Visine B, S</t>
  </si>
  <si>
    <t>GN-00887</t>
  </si>
  <si>
    <t>Visine Eye S,S</t>
  </si>
  <si>
    <t>Visine Eye S, S</t>
  </si>
  <si>
    <t>GN-00888</t>
  </si>
  <si>
    <t>GN-00889</t>
  </si>
  <si>
    <t>GN-00890</t>
  </si>
  <si>
    <t>GN-00891</t>
  </si>
  <si>
    <t>GN-00892</t>
  </si>
  <si>
    <t>GN-00893</t>
  </si>
  <si>
    <t>GN-00894</t>
  </si>
  <si>
    <t>GN-00895</t>
  </si>
  <si>
    <t>GN-00896</t>
  </si>
  <si>
    <t>Ciflaxin Eye,Ear</t>
  </si>
  <si>
    <t>Ciflaxin Eye, Ear</t>
  </si>
  <si>
    <t>GN-00897</t>
  </si>
  <si>
    <t>Dextracin E,E</t>
  </si>
  <si>
    <t>Dextracin E, E</t>
  </si>
  <si>
    <t>GN-00898</t>
  </si>
  <si>
    <t>Drugent Eye,Ear</t>
  </si>
  <si>
    <t>Drugent Eye, Ear</t>
  </si>
  <si>
    <t>GN-00899</t>
  </si>
  <si>
    <t>Hycomycin Eye,Ear</t>
  </si>
  <si>
    <t>Hycomycin Eye, Ear</t>
  </si>
  <si>
    <t>GN-00900</t>
  </si>
  <si>
    <t>GN-00901</t>
  </si>
  <si>
    <t>Sofradex Eye,Ear</t>
  </si>
  <si>
    <t>Sofradex Eye, Ear</t>
  </si>
  <si>
    <t>GN-00902</t>
  </si>
  <si>
    <t>GN-00903</t>
  </si>
  <si>
    <t>Vista Eye,Ear</t>
  </si>
  <si>
    <t>Vista Eye, Ear</t>
  </si>
  <si>
    <t>GN-00904</t>
  </si>
  <si>
    <t>GN-00905</t>
  </si>
  <si>
    <t>GN-00906</t>
  </si>
  <si>
    <t>GN-00907</t>
  </si>
  <si>
    <t>GN-00908</t>
  </si>
  <si>
    <t>GN-00909</t>
  </si>
  <si>
    <t>GN-00910</t>
  </si>
  <si>
    <t>GN-00911</t>
  </si>
  <si>
    <t>GN-00912</t>
  </si>
  <si>
    <t>GN-00913</t>
  </si>
  <si>
    <t>GN-00914</t>
  </si>
  <si>
    <t>GN-00915</t>
  </si>
  <si>
    <t>GN-00916</t>
  </si>
  <si>
    <t>GN-00917</t>
  </si>
  <si>
    <t>GN-00918</t>
  </si>
  <si>
    <t>GN-00919</t>
  </si>
  <si>
    <t>GN-00920</t>
  </si>
  <si>
    <t>GN-00921</t>
  </si>
  <si>
    <t>GN-00922</t>
  </si>
  <si>
    <t>GN-00923</t>
  </si>
  <si>
    <t>GN-00924</t>
  </si>
  <si>
    <t>GN-00925</t>
  </si>
  <si>
    <t>GN-00926</t>
  </si>
  <si>
    <t>GN-00927</t>
  </si>
  <si>
    <t>GN-00928</t>
  </si>
  <si>
    <t>GN-00929</t>
  </si>
  <si>
    <t>GN-00930</t>
  </si>
  <si>
    <t>GN-00931</t>
  </si>
  <si>
    <t>GN-00932</t>
  </si>
  <si>
    <t>GN-00933</t>
  </si>
  <si>
    <t>GN-00934</t>
  </si>
  <si>
    <t>GN-00935</t>
  </si>
  <si>
    <t>GN-00936</t>
  </si>
  <si>
    <t>GN-00937</t>
  </si>
  <si>
    <t>GN-00938</t>
  </si>
  <si>
    <t>Humulin 70,30</t>
  </si>
  <si>
    <t>Humulin 70, 30</t>
  </si>
  <si>
    <t>GN-00939</t>
  </si>
  <si>
    <t>GN-00940</t>
  </si>
  <si>
    <t>GN-00941</t>
  </si>
  <si>
    <t>GN-00942</t>
  </si>
  <si>
    <t>GN-00943</t>
  </si>
  <si>
    <t>GN-00944</t>
  </si>
  <si>
    <t>GN-00945</t>
  </si>
  <si>
    <t>GN-00946</t>
  </si>
  <si>
    <t>GN-00947</t>
  </si>
  <si>
    <t>GN-00948</t>
  </si>
  <si>
    <t>GN-00949</t>
  </si>
  <si>
    <t>GN-00950</t>
  </si>
  <si>
    <t>GN-00951</t>
  </si>
  <si>
    <t>GN-00952</t>
  </si>
  <si>
    <t>GN-00953</t>
  </si>
  <si>
    <t>GN-00954</t>
  </si>
  <si>
    <t>GN-00955</t>
  </si>
  <si>
    <t>GN-00956</t>
  </si>
  <si>
    <t>GN-00957</t>
  </si>
  <si>
    <t>GN-00958</t>
  </si>
  <si>
    <t>GN-00959</t>
  </si>
  <si>
    <t>GN-00960</t>
  </si>
  <si>
    <t>GN-00961</t>
  </si>
  <si>
    <t>GN-00962</t>
  </si>
  <si>
    <t>GN-00963</t>
  </si>
  <si>
    <t>GN-00964</t>
  </si>
  <si>
    <t>GN-00965</t>
  </si>
  <si>
    <t>GN-00966</t>
  </si>
  <si>
    <t>GN-00967</t>
  </si>
  <si>
    <t>GN-00968</t>
  </si>
  <si>
    <t>GN-00969</t>
  </si>
  <si>
    <t>GN-00970</t>
  </si>
  <si>
    <t>GN-00971</t>
  </si>
  <si>
    <t>GN-00972</t>
  </si>
  <si>
    <t>GN-00973</t>
  </si>
  <si>
    <t>GN-00974</t>
  </si>
  <si>
    <t>GN-00975</t>
  </si>
  <si>
    <t>GN-00976</t>
  </si>
  <si>
    <t>GN-00977</t>
  </si>
  <si>
    <t>GN-00978</t>
  </si>
  <si>
    <t>GN-00979</t>
  </si>
  <si>
    <t>GN-00980</t>
  </si>
  <si>
    <t>GN-00981</t>
  </si>
  <si>
    <t>GN-00982</t>
  </si>
  <si>
    <t>GN-00983</t>
  </si>
  <si>
    <t>GN-00984</t>
  </si>
  <si>
    <t>GN-00985</t>
  </si>
  <si>
    <t>GN-00986</t>
  </si>
  <si>
    <t>GN-00987</t>
  </si>
  <si>
    <t>GN-00988</t>
  </si>
  <si>
    <t>GN-00989</t>
  </si>
  <si>
    <t>GN-00990</t>
  </si>
  <si>
    <t>GN-00991</t>
  </si>
  <si>
    <t>GN-00992</t>
  </si>
  <si>
    <t>GN-00993</t>
  </si>
  <si>
    <t>GN-00994</t>
  </si>
  <si>
    <t>GN-00995</t>
  </si>
  <si>
    <t>GN-00996</t>
  </si>
  <si>
    <t>Gelacid B,S</t>
  </si>
  <si>
    <t>Gelacid B, S</t>
  </si>
  <si>
    <t>GN-00997</t>
  </si>
  <si>
    <t>Gelacid S,S</t>
  </si>
  <si>
    <t>Gelacid S, S</t>
  </si>
  <si>
    <t>GN-00998</t>
  </si>
  <si>
    <t>GN-00999</t>
  </si>
  <si>
    <t>GN-1000</t>
  </si>
  <si>
    <t>GN-1001</t>
  </si>
  <si>
    <t>GN-1002</t>
  </si>
  <si>
    <t>GN-1003</t>
  </si>
  <si>
    <t>GN-1004</t>
  </si>
  <si>
    <t>GN-1005</t>
  </si>
  <si>
    <t>GN-1006</t>
  </si>
  <si>
    <t>GN-1007</t>
  </si>
  <si>
    <t>GN-1008</t>
  </si>
  <si>
    <t>GN-1009</t>
  </si>
  <si>
    <t>GN-1010</t>
  </si>
  <si>
    <t>GN-1011</t>
  </si>
  <si>
    <t>GN-1012</t>
  </si>
  <si>
    <t>GN-1013</t>
  </si>
  <si>
    <t>GN-1014</t>
  </si>
  <si>
    <t>GN-1015</t>
  </si>
  <si>
    <t>GN-1016</t>
  </si>
  <si>
    <t>GN-1017</t>
  </si>
  <si>
    <t>GN-1018</t>
  </si>
  <si>
    <t>GN-1019</t>
  </si>
  <si>
    <t>GN-1020</t>
  </si>
  <si>
    <t>Biotonic Tonic B,S</t>
  </si>
  <si>
    <t>Biotonic Tonic B, S</t>
  </si>
  <si>
    <t>GN-1021</t>
  </si>
  <si>
    <t>Biotonic Tonic M,S</t>
  </si>
  <si>
    <t>Biotonic Tonic M, S</t>
  </si>
  <si>
    <t>GN-1022</t>
  </si>
  <si>
    <t>Biotonic Tonic S,S</t>
  </si>
  <si>
    <t>Biotonic Tonic S, S</t>
  </si>
  <si>
    <t>GN-1023</t>
  </si>
  <si>
    <t>GN-1024</t>
  </si>
  <si>
    <t>GN-1025</t>
  </si>
  <si>
    <t>GN-1026</t>
  </si>
  <si>
    <t>Cyprigold Tonic M,S</t>
  </si>
  <si>
    <t>Cyprigold Tonic M, S</t>
  </si>
  <si>
    <t>GN-1027</t>
  </si>
  <si>
    <t>GN-1028</t>
  </si>
  <si>
    <t>GN-1029</t>
  </si>
  <si>
    <t>GN-1030</t>
  </si>
  <si>
    <t>GN-1031</t>
  </si>
  <si>
    <t>Bunto Tonic S,S</t>
  </si>
  <si>
    <t>Bunto Tonic S, S</t>
  </si>
  <si>
    <t>GN-1032</t>
  </si>
  <si>
    <t>GN-1033</t>
  </si>
  <si>
    <t>GN-1034</t>
  </si>
  <si>
    <t>GN-1035</t>
  </si>
  <si>
    <t>GN-1036</t>
  </si>
  <si>
    <t>GN-1037</t>
  </si>
  <si>
    <t>GN-1038</t>
  </si>
  <si>
    <t>GN-1039</t>
  </si>
  <si>
    <t>Ferilex Tonic B,S</t>
  </si>
  <si>
    <t>Ferilex Tonic B, S</t>
  </si>
  <si>
    <t>GN-1040</t>
  </si>
  <si>
    <t>Ferilex Tonic S,S</t>
  </si>
  <si>
    <t>Ferilex Tonic S, S</t>
  </si>
  <si>
    <t>GN-1041</t>
  </si>
  <si>
    <t>Feriplus Tonic B,S</t>
  </si>
  <si>
    <t>Feriplus Tonic B, S</t>
  </si>
  <si>
    <t>GN-1042</t>
  </si>
  <si>
    <t>Feriplus Tonic M,S</t>
  </si>
  <si>
    <t>Feriplus Tonic M, S</t>
  </si>
  <si>
    <t>GN-1043</t>
  </si>
  <si>
    <t>Feriplus Tonic S,S</t>
  </si>
  <si>
    <t>Feriplus Tonic S, S</t>
  </si>
  <si>
    <t>GN-1044</t>
  </si>
  <si>
    <t>GN-1045</t>
  </si>
  <si>
    <t>GN-1046</t>
  </si>
  <si>
    <t>GN-1047</t>
  </si>
  <si>
    <t>GN-1048</t>
  </si>
  <si>
    <t>GN-1049</t>
  </si>
  <si>
    <t>GN-1050</t>
  </si>
  <si>
    <t>GN-1051</t>
  </si>
  <si>
    <t>GN-1052</t>
  </si>
  <si>
    <t>GN-1053</t>
  </si>
  <si>
    <t>GN-1054</t>
  </si>
  <si>
    <t>GN-1055</t>
  </si>
  <si>
    <t>GN-1056</t>
  </si>
  <si>
    <t>GN-1057</t>
  </si>
  <si>
    <t>GN-1058</t>
  </si>
  <si>
    <t>GN-1059</t>
  </si>
  <si>
    <t>GN-1060</t>
  </si>
  <si>
    <t>GN-1061</t>
  </si>
  <si>
    <t>GN-1062</t>
  </si>
  <si>
    <t>GN-1063</t>
  </si>
  <si>
    <t>GN-1064</t>
  </si>
  <si>
    <t>GN-1065</t>
  </si>
  <si>
    <t>GN-1066</t>
  </si>
  <si>
    <t>GN-1067</t>
  </si>
  <si>
    <t>Hollandia Yogurt S,S</t>
  </si>
  <si>
    <t>Hollandia Yogurt S, S</t>
  </si>
  <si>
    <t>GN-1068</t>
  </si>
  <si>
    <t>GN-1069</t>
  </si>
  <si>
    <t>GN-1070</t>
  </si>
  <si>
    <t>GN-1071</t>
  </si>
  <si>
    <t>GN-1072</t>
  </si>
  <si>
    <t>GN-1073</t>
  </si>
  <si>
    <t>GN-1074</t>
  </si>
  <si>
    <t>GN-1075</t>
  </si>
  <si>
    <t>GN-1076</t>
  </si>
  <si>
    <t>GN-1077</t>
  </si>
  <si>
    <t>GN-1078</t>
  </si>
  <si>
    <t>GN-1079</t>
  </si>
  <si>
    <t>GN-1080</t>
  </si>
  <si>
    <t>GN-1081</t>
  </si>
  <si>
    <t>GN-1082</t>
  </si>
  <si>
    <t>GN-1083</t>
  </si>
  <si>
    <t>GN-1084</t>
  </si>
  <si>
    <t>GN-1085</t>
  </si>
  <si>
    <t>GN-1086</t>
  </si>
  <si>
    <t>GN-1087</t>
  </si>
  <si>
    <t>GN-1088</t>
  </si>
  <si>
    <t>GN-1089</t>
  </si>
  <si>
    <t>GN-1090</t>
  </si>
  <si>
    <t>GN-1091</t>
  </si>
  <si>
    <t>GN-1092</t>
  </si>
  <si>
    <t>GN-1093</t>
  </si>
  <si>
    <t>GN-1094</t>
  </si>
  <si>
    <t>GN-1095</t>
  </si>
  <si>
    <t>GN-1096</t>
  </si>
  <si>
    <t>GN-1097</t>
  </si>
  <si>
    <t>GN-1098</t>
  </si>
  <si>
    <t>GN-1099</t>
  </si>
  <si>
    <t>GN-1100</t>
  </si>
  <si>
    <t>GN-1101</t>
  </si>
  <si>
    <t>GN-1102</t>
  </si>
  <si>
    <t>GN-1103</t>
  </si>
  <si>
    <t>GN-1104</t>
  </si>
  <si>
    <t>GN-1105</t>
  </si>
  <si>
    <t>GN-1106</t>
  </si>
  <si>
    <t>GN-1107</t>
  </si>
  <si>
    <t>GN-1108</t>
  </si>
  <si>
    <t>GN-1109</t>
  </si>
  <si>
    <t>GN-1110</t>
  </si>
  <si>
    <t>GN-1111</t>
  </si>
  <si>
    <t>GN-1112</t>
  </si>
  <si>
    <t>GN-1113</t>
  </si>
  <si>
    <t>GN-1114</t>
  </si>
  <si>
    <t>GN-1115</t>
  </si>
  <si>
    <t>GN-1116</t>
  </si>
  <si>
    <t>GN-1117</t>
  </si>
  <si>
    <t>GN-1118</t>
  </si>
  <si>
    <t>GN-1119</t>
  </si>
  <si>
    <t>GN-1120</t>
  </si>
  <si>
    <t>GN-1121</t>
  </si>
  <si>
    <t>GN-1122</t>
  </si>
  <si>
    <t>GN-1123</t>
  </si>
  <si>
    <t>GN-1124</t>
  </si>
  <si>
    <t>GN-1125</t>
  </si>
  <si>
    <t>GN-1126</t>
  </si>
  <si>
    <t>GN-1127</t>
  </si>
  <si>
    <t>GN-1128</t>
  </si>
  <si>
    <t>GN-1129</t>
  </si>
  <si>
    <t>GN-1130</t>
  </si>
  <si>
    <t>GN-1131</t>
  </si>
  <si>
    <t>GN-1132</t>
  </si>
  <si>
    <t>GN-1133</t>
  </si>
  <si>
    <t>GN-1134</t>
  </si>
  <si>
    <t>GN-1135</t>
  </si>
  <si>
    <t>GN-1136</t>
  </si>
  <si>
    <t>GN-1137</t>
  </si>
  <si>
    <t>GN-1138</t>
  </si>
  <si>
    <t>GN-1139</t>
  </si>
  <si>
    <t>GN-1140</t>
  </si>
  <si>
    <t>GN-1141</t>
  </si>
  <si>
    <t>GN-1142</t>
  </si>
  <si>
    <t>GN-1143</t>
  </si>
  <si>
    <t>GN-1144</t>
  </si>
  <si>
    <t>GN-1145</t>
  </si>
  <si>
    <t>GN-1146</t>
  </si>
  <si>
    <t>GN-1147</t>
  </si>
  <si>
    <t>GN-1148</t>
  </si>
  <si>
    <t>GN-1149</t>
  </si>
  <si>
    <t>GN-1150</t>
  </si>
  <si>
    <t>GN-1151</t>
  </si>
  <si>
    <t>GN-1152</t>
  </si>
  <si>
    <t>GN-1153</t>
  </si>
  <si>
    <t>GN-1154</t>
  </si>
  <si>
    <t>GN-1155</t>
  </si>
  <si>
    <t>GN-1156</t>
  </si>
  <si>
    <t>GN-1157</t>
  </si>
  <si>
    <t>GN-1158</t>
  </si>
  <si>
    <t>GN-1159</t>
  </si>
  <si>
    <t>GN-1160</t>
  </si>
  <si>
    <t>GN-1161</t>
  </si>
  <si>
    <t>GN-1162</t>
  </si>
  <si>
    <t>GN-1163</t>
  </si>
  <si>
    <t>GN-1164</t>
  </si>
  <si>
    <t>GN-1165</t>
  </si>
  <si>
    <t>GN-1166</t>
  </si>
  <si>
    <t>GN-1167</t>
  </si>
  <si>
    <t>GN-1168</t>
  </si>
  <si>
    <t>GN-1169</t>
  </si>
  <si>
    <t>GN-1170</t>
  </si>
  <si>
    <t>GN-1171</t>
  </si>
  <si>
    <t>GN-1172</t>
  </si>
  <si>
    <t>GN-1173</t>
  </si>
  <si>
    <t>GN-1174</t>
  </si>
  <si>
    <t>GN-1175</t>
  </si>
  <si>
    <t>GN-1176</t>
  </si>
  <si>
    <t>GN-1177</t>
  </si>
  <si>
    <t>GN-1178</t>
  </si>
  <si>
    <t>GN-1179</t>
  </si>
  <si>
    <t>GN-1180</t>
  </si>
  <si>
    <t>GN-1181</t>
  </si>
  <si>
    <t>GN-1182</t>
  </si>
  <si>
    <t>GN-1183</t>
  </si>
  <si>
    <t>GN-1184</t>
  </si>
  <si>
    <t>GN-1185</t>
  </si>
  <si>
    <t>GN-1186</t>
  </si>
  <si>
    <t>GN-1187</t>
  </si>
  <si>
    <t>GN-1188</t>
  </si>
  <si>
    <t>GN-1189</t>
  </si>
  <si>
    <t>GN-1190</t>
  </si>
  <si>
    <t>GN-1191</t>
  </si>
  <si>
    <t>GN-1192</t>
  </si>
  <si>
    <t>GN-1193</t>
  </si>
  <si>
    <t>GN-1194</t>
  </si>
  <si>
    <t>GN-1195</t>
  </si>
  <si>
    <t>GN-1196</t>
  </si>
  <si>
    <t>GN-1197</t>
  </si>
  <si>
    <t>GN-1198</t>
  </si>
  <si>
    <t>GN-1199</t>
  </si>
  <si>
    <t>GN-1200</t>
  </si>
  <si>
    <t>Artequine 600,750</t>
  </si>
  <si>
    <t>Artequine 600, 750</t>
  </si>
  <si>
    <t>GN-1201</t>
  </si>
  <si>
    <t>GN-1202</t>
  </si>
  <si>
    <t>GN-1203</t>
  </si>
  <si>
    <t>GN-1204</t>
  </si>
  <si>
    <t>GN-1205</t>
  </si>
  <si>
    <t>GN-1206</t>
  </si>
  <si>
    <t>GN-1207</t>
  </si>
  <si>
    <t>GN-1208</t>
  </si>
  <si>
    <t>GN-1209</t>
  </si>
  <si>
    <t>Tamether 40,240</t>
  </si>
  <si>
    <t>Tamether 40, 240</t>
  </si>
  <si>
    <t>GN-1210</t>
  </si>
  <si>
    <t>Tamether 80,480</t>
  </si>
  <si>
    <t>Tamether 80, 480</t>
  </si>
  <si>
    <t>GN-1211</t>
  </si>
  <si>
    <t>GN-1212</t>
  </si>
  <si>
    <t>GN-1213</t>
  </si>
  <si>
    <t>GN-1214</t>
  </si>
  <si>
    <t>GN-1215</t>
  </si>
  <si>
    <t>GN-1216</t>
  </si>
  <si>
    <t>GN-1217</t>
  </si>
  <si>
    <t>GN-1218</t>
  </si>
  <si>
    <t>GN-1219</t>
  </si>
  <si>
    <t>GN-1220</t>
  </si>
  <si>
    <t>GN-1221</t>
  </si>
  <si>
    <t>GN-1222</t>
  </si>
  <si>
    <t>GN-1223</t>
  </si>
  <si>
    <t>GN-1224</t>
  </si>
  <si>
    <t>GN-1225</t>
  </si>
  <si>
    <t>GN-1226</t>
  </si>
  <si>
    <t>GN-1227</t>
  </si>
  <si>
    <t>GN-1228</t>
  </si>
  <si>
    <t>GN-1229</t>
  </si>
  <si>
    <t>GN-1230</t>
  </si>
  <si>
    <t>GN-1231</t>
  </si>
  <si>
    <t>GN-1232</t>
  </si>
  <si>
    <t>GN-1233</t>
  </si>
  <si>
    <t>GN-1234</t>
  </si>
  <si>
    <t>GN-1235</t>
  </si>
  <si>
    <t>GN-1236</t>
  </si>
  <si>
    <t>GN-1237</t>
  </si>
  <si>
    <t>GN-1238</t>
  </si>
  <si>
    <t>GN-1239</t>
  </si>
  <si>
    <t>GN-1240</t>
  </si>
  <si>
    <t>GN-1241</t>
  </si>
  <si>
    <t>GN-1242</t>
  </si>
  <si>
    <t>GN-1243</t>
  </si>
  <si>
    <t>GN-1244</t>
  </si>
  <si>
    <t>GN-1245</t>
  </si>
  <si>
    <t>GN-1246</t>
  </si>
  <si>
    <t>GN-1247</t>
  </si>
  <si>
    <t>GN-1248</t>
  </si>
  <si>
    <t>GN-1249</t>
  </si>
  <si>
    <t>GN-1250</t>
  </si>
  <si>
    <t>GN-1251</t>
  </si>
  <si>
    <t>GN-1252</t>
  </si>
  <si>
    <t>GN-1253</t>
  </si>
  <si>
    <t>GN-1254</t>
  </si>
  <si>
    <t>GN-1255</t>
  </si>
  <si>
    <t>GN-1256</t>
  </si>
  <si>
    <t>GN-1257</t>
  </si>
  <si>
    <t>GN-1258</t>
  </si>
  <si>
    <t>GN-1259</t>
  </si>
  <si>
    <t>GN-1260</t>
  </si>
  <si>
    <t>GN-1261</t>
  </si>
  <si>
    <t>GN-1262</t>
  </si>
  <si>
    <t>GN-1263</t>
  </si>
  <si>
    <t>GN-1264</t>
  </si>
  <si>
    <t>GN-1265</t>
  </si>
  <si>
    <t>GN-1266</t>
  </si>
  <si>
    <t>GN-1267</t>
  </si>
  <si>
    <t>GN-1268</t>
  </si>
  <si>
    <t>GN-1269</t>
  </si>
  <si>
    <t>GN-1270</t>
  </si>
  <si>
    <t>GN-1271</t>
  </si>
  <si>
    <t>GN-1272</t>
  </si>
  <si>
    <t>GN-1273</t>
  </si>
  <si>
    <t>GN-1274</t>
  </si>
  <si>
    <t>GN-1275</t>
  </si>
  <si>
    <t>GN-1276</t>
  </si>
  <si>
    <t>GN-1277</t>
  </si>
  <si>
    <t>GN-1278</t>
  </si>
  <si>
    <t>GN-1279</t>
  </si>
  <si>
    <t>GN-1280</t>
  </si>
  <si>
    <t>GN-1281</t>
  </si>
  <si>
    <t>GN-1282</t>
  </si>
  <si>
    <t>GN-1283</t>
  </si>
  <si>
    <t>GN-1284</t>
  </si>
  <si>
    <t>GN-1285</t>
  </si>
  <si>
    <t>GN-1286</t>
  </si>
  <si>
    <t>GN-1287</t>
  </si>
  <si>
    <t>GN-1288</t>
  </si>
  <si>
    <t>GN-1289</t>
  </si>
  <si>
    <t>GN-1290</t>
  </si>
  <si>
    <t>GN-1291</t>
  </si>
  <si>
    <t>GN-1292</t>
  </si>
  <si>
    <t>GN-1293</t>
  </si>
  <si>
    <t>GN-1294</t>
  </si>
  <si>
    <t>GN-1295</t>
  </si>
  <si>
    <t>GN-1296</t>
  </si>
  <si>
    <t>GN-1297</t>
  </si>
  <si>
    <t>GN-1298</t>
  </si>
  <si>
    <t>GN-1299</t>
  </si>
  <si>
    <t>GN-1300</t>
  </si>
  <si>
    <t>GN-1301</t>
  </si>
  <si>
    <t>GN-1302</t>
  </si>
  <si>
    <t>GN-1303</t>
  </si>
  <si>
    <t>GN-1304</t>
  </si>
  <si>
    <t>GN-1305</t>
  </si>
  <si>
    <t>GN-1306</t>
  </si>
  <si>
    <t>GN-1307</t>
  </si>
  <si>
    <t>GN-1308</t>
  </si>
  <si>
    <t>GN-1309</t>
  </si>
  <si>
    <t>GN-1310</t>
  </si>
  <si>
    <t>GN-1311</t>
  </si>
  <si>
    <t>GN-1312</t>
  </si>
  <si>
    <t>GN-1313</t>
  </si>
  <si>
    <t>GN-1314</t>
  </si>
  <si>
    <t>GN-1315</t>
  </si>
  <si>
    <t>GN-1316</t>
  </si>
  <si>
    <t>GN-1317</t>
  </si>
  <si>
    <t>GN-1318</t>
  </si>
  <si>
    <t>GN-1319</t>
  </si>
  <si>
    <t>GN-1320</t>
  </si>
  <si>
    <t>GN-1321</t>
  </si>
  <si>
    <t>GN-1322</t>
  </si>
  <si>
    <t>GN-1323</t>
  </si>
  <si>
    <t>GN-1324</t>
  </si>
  <si>
    <t>GN-1325</t>
  </si>
  <si>
    <t>GN-1326</t>
  </si>
  <si>
    <t>GN-1327</t>
  </si>
  <si>
    <t>GN-1328</t>
  </si>
  <si>
    <t>GN-1329</t>
  </si>
  <si>
    <t>GN-1330</t>
  </si>
  <si>
    <t>GN-1331</t>
  </si>
  <si>
    <t>GN-1332</t>
  </si>
  <si>
    <t>GN-1333</t>
  </si>
  <si>
    <t>GN-1334</t>
  </si>
  <si>
    <t>GN-1335</t>
  </si>
  <si>
    <t>GN-1336</t>
  </si>
  <si>
    <t>GN-1337</t>
  </si>
  <si>
    <t>GN-1338</t>
  </si>
  <si>
    <t>GN-1339</t>
  </si>
  <si>
    <t>GN-1340</t>
  </si>
  <si>
    <t>GN-1341</t>
  </si>
  <si>
    <t>GN-1342</t>
  </si>
  <si>
    <t>GN-1343</t>
  </si>
  <si>
    <t>GN-1344</t>
  </si>
  <si>
    <t>GN-1345</t>
  </si>
  <si>
    <t>GN-1346</t>
  </si>
  <si>
    <t>GN-1347</t>
  </si>
  <si>
    <t>GN-1348</t>
  </si>
  <si>
    <t>GN-1349</t>
  </si>
  <si>
    <t>GN-1350</t>
  </si>
  <si>
    <t>GN-1351</t>
  </si>
  <si>
    <t>GN-1352</t>
  </si>
  <si>
    <t>GN-1353</t>
  </si>
  <si>
    <t>GN-1354</t>
  </si>
  <si>
    <t>GN-1355</t>
  </si>
  <si>
    <t>GN-1356</t>
  </si>
  <si>
    <t>GN-1357</t>
  </si>
  <si>
    <t>GN-1358</t>
  </si>
  <si>
    <t>GN-1359</t>
  </si>
  <si>
    <t>GN-1360</t>
  </si>
  <si>
    <t>GN-1361</t>
  </si>
  <si>
    <t>GN-1362</t>
  </si>
  <si>
    <t>GN-1363</t>
  </si>
  <si>
    <t>GN-1364</t>
  </si>
  <si>
    <t>GN-1365</t>
  </si>
  <si>
    <t>GN-1366</t>
  </si>
  <si>
    <t>GN-1367</t>
  </si>
  <si>
    <t>GN-1368</t>
  </si>
  <si>
    <t>GN-1369</t>
  </si>
  <si>
    <t>GN-1370</t>
  </si>
  <si>
    <t>GN-1371</t>
  </si>
  <si>
    <t>GN-1372</t>
  </si>
  <si>
    <t>GN-1373</t>
  </si>
  <si>
    <t>GN-1374</t>
  </si>
  <si>
    <t>GN-1375</t>
  </si>
  <si>
    <t>GN-1376</t>
  </si>
  <si>
    <t>GN-1377</t>
  </si>
  <si>
    <t>GN-1378</t>
  </si>
  <si>
    <t>GN-1379</t>
  </si>
  <si>
    <t>GN-1380</t>
  </si>
  <si>
    <t>GN-1381</t>
  </si>
  <si>
    <t>GN-1382</t>
  </si>
  <si>
    <t>GN-1383</t>
  </si>
  <si>
    <t>GN-1384</t>
  </si>
  <si>
    <t>GN-1385</t>
  </si>
  <si>
    <t>GN-1386</t>
  </si>
  <si>
    <t>GN-1387</t>
  </si>
  <si>
    <t>GN-1388</t>
  </si>
  <si>
    <t>GN-1389</t>
  </si>
  <si>
    <t>GN-1390</t>
  </si>
  <si>
    <t>GN-1391</t>
  </si>
  <si>
    <t>GN-1392</t>
  </si>
  <si>
    <t>GN-1393</t>
  </si>
  <si>
    <t>GN-1394</t>
  </si>
  <si>
    <t>GN-1395</t>
  </si>
  <si>
    <t>GN-1396</t>
  </si>
  <si>
    <t>GN-1397</t>
  </si>
  <si>
    <t>GN-1398</t>
  </si>
  <si>
    <t>GN-1399</t>
  </si>
  <si>
    <t>GN-1400</t>
  </si>
  <si>
    <t>GN-1401</t>
  </si>
  <si>
    <t>GN-1402</t>
  </si>
  <si>
    <t>GN-1403</t>
  </si>
  <si>
    <t>GN-1404</t>
  </si>
  <si>
    <t>GN-1405</t>
  </si>
  <si>
    <t>GN-1406</t>
  </si>
  <si>
    <t>GN-1407</t>
  </si>
  <si>
    <t>GN-1408</t>
  </si>
  <si>
    <t>GN-1409</t>
  </si>
  <si>
    <t>GN-1410</t>
  </si>
  <si>
    <t>GN-1411</t>
  </si>
  <si>
    <t>GN-1412</t>
  </si>
  <si>
    <t>GN-1413</t>
  </si>
  <si>
    <t>GN-1414</t>
  </si>
  <si>
    <t>GN-1415</t>
  </si>
  <si>
    <t>GN-1416</t>
  </si>
  <si>
    <t>GN-1417</t>
  </si>
  <si>
    <t>GN-1418</t>
  </si>
  <si>
    <t>GN-1419</t>
  </si>
  <si>
    <t>GN-1420</t>
  </si>
  <si>
    <t>GN-1421</t>
  </si>
  <si>
    <t>GN-1422</t>
  </si>
  <si>
    <t>GN-1423</t>
  </si>
  <si>
    <t>GN-1424</t>
  </si>
  <si>
    <t>GN-1425</t>
  </si>
  <si>
    <t>GN-1426</t>
  </si>
  <si>
    <t>GN-1427</t>
  </si>
  <si>
    <t>GN-1428</t>
  </si>
  <si>
    <t>GN-1429</t>
  </si>
  <si>
    <t>GN-1430</t>
  </si>
  <si>
    <t>GN-1431</t>
  </si>
  <si>
    <t>GN-1432</t>
  </si>
  <si>
    <t>GN-1433</t>
  </si>
  <si>
    <t>GN-1434</t>
  </si>
  <si>
    <t>GN-1435</t>
  </si>
  <si>
    <t>GN-1436</t>
  </si>
  <si>
    <t>GN-1437</t>
  </si>
  <si>
    <t>GN-1438</t>
  </si>
  <si>
    <t>GN-1439</t>
  </si>
  <si>
    <t>GN-1440</t>
  </si>
  <si>
    <t>GN-1441</t>
  </si>
  <si>
    <t>GN-1442</t>
  </si>
  <si>
    <t>GN-1443</t>
  </si>
  <si>
    <t>GN-1444</t>
  </si>
  <si>
    <t>GN-1445</t>
  </si>
  <si>
    <t>GN-1446</t>
  </si>
  <si>
    <t>GN-1447</t>
  </si>
  <si>
    <t>GN-1448</t>
  </si>
  <si>
    <t>GN-1449</t>
  </si>
  <si>
    <t>GN-1450</t>
  </si>
  <si>
    <t>GN-1451</t>
  </si>
  <si>
    <t>GN-1452</t>
  </si>
  <si>
    <t>GN-1453</t>
  </si>
  <si>
    <t>GN-1454</t>
  </si>
  <si>
    <t>GN-1455</t>
  </si>
  <si>
    <t>GN-1456</t>
  </si>
  <si>
    <t>GN-1457</t>
  </si>
  <si>
    <t>GN-1458</t>
  </si>
  <si>
    <t>GN-1459</t>
  </si>
  <si>
    <t>GN-1460</t>
  </si>
  <si>
    <t>GN-1461</t>
  </si>
  <si>
    <t>GN-1462</t>
  </si>
  <si>
    <t>GN-1463</t>
  </si>
  <si>
    <t>GN-1464</t>
  </si>
  <si>
    <t>GN-1465</t>
  </si>
  <si>
    <t>GN-1466</t>
  </si>
  <si>
    <t>GN-1467</t>
  </si>
  <si>
    <t>GN-1468</t>
  </si>
  <si>
    <t>GN-1469</t>
  </si>
  <si>
    <t>GN-1470</t>
  </si>
  <si>
    <t>GN-1471</t>
  </si>
  <si>
    <t>GN-1472</t>
  </si>
  <si>
    <t>GN-1473</t>
  </si>
  <si>
    <t>GN-1474</t>
  </si>
  <si>
    <t>GN-1475</t>
  </si>
  <si>
    <t>GN-1476</t>
  </si>
  <si>
    <t>GN-1477</t>
  </si>
  <si>
    <t>GN-1478</t>
  </si>
  <si>
    <t>GN-1479</t>
  </si>
  <si>
    <t>GN-1480</t>
  </si>
  <si>
    <t>GN-1481</t>
  </si>
  <si>
    <t>GN-1482</t>
  </si>
  <si>
    <t>GN-1483</t>
  </si>
  <si>
    <t>GN-1484</t>
  </si>
  <si>
    <t>GN-1485</t>
  </si>
  <si>
    <t>GN-1486</t>
  </si>
  <si>
    <t>GN-1487</t>
  </si>
  <si>
    <t>GN-1488</t>
  </si>
  <si>
    <t>GN-1489</t>
  </si>
  <si>
    <t>GN-1490</t>
  </si>
  <si>
    <t>GN-1491</t>
  </si>
  <si>
    <t>GN-1492</t>
  </si>
  <si>
    <t>GN-1493</t>
  </si>
  <si>
    <t>GN-1494</t>
  </si>
  <si>
    <t>GN-1495</t>
  </si>
  <si>
    <t>GN-1496</t>
  </si>
  <si>
    <t>GN-1497</t>
  </si>
  <si>
    <t>GN-1498</t>
  </si>
  <si>
    <t>GN-1499</t>
  </si>
  <si>
    <t>GN-1500</t>
  </si>
  <si>
    <t>GN-1501</t>
  </si>
  <si>
    <t>GN-1502</t>
  </si>
  <si>
    <t>GN-1503</t>
  </si>
  <si>
    <t>GN-1504</t>
  </si>
  <si>
    <t>GN-1505</t>
  </si>
  <si>
    <t>GN-1506</t>
  </si>
  <si>
    <t>GN-1507</t>
  </si>
  <si>
    <t>GN-1508</t>
  </si>
  <si>
    <t>GN-1509</t>
  </si>
  <si>
    <t>GN-1510</t>
  </si>
  <si>
    <t>GN-1511</t>
  </si>
  <si>
    <t>GN-1512</t>
  </si>
  <si>
    <t>GN-1513</t>
  </si>
  <si>
    <t>GN-1514</t>
  </si>
  <si>
    <t>GN-1515</t>
  </si>
  <si>
    <t>GN-1516</t>
  </si>
  <si>
    <t>GN-1517</t>
  </si>
  <si>
    <t>GN-1518</t>
  </si>
  <si>
    <t>GN-1519</t>
  </si>
  <si>
    <t>GN-1520</t>
  </si>
  <si>
    <t>GN-1521</t>
  </si>
  <si>
    <t>GN-1522</t>
  </si>
  <si>
    <t>GN-1523</t>
  </si>
  <si>
    <t>GN-1524</t>
  </si>
  <si>
    <t>GN-1525</t>
  </si>
  <si>
    <t>GN-1526</t>
  </si>
  <si>
    <t>GN-1527</t>
  </si>
  <si>
    <t>GN-1528</t>
  </si>
  <si>
    <t>GN-1529</t>
  </si>
  <si>
    <t>GN-1530</t>
  </si>
  <si>
    <t>GN-1531</t>
  </si>
  <si>
    <t>GN-1532</t>
  </si>
  <si>
    <t>GN-1533</t>
  </si>
  <si>
    <t>GN-1534</t>
  </si>
  <si>
    <t>GN-1535</t>
  </si>
  <si>
    <t>GN-1536</t>
  </si>
  <si>
    <t>GN-1537</t>
  </si>
  <si>
    <t>GN-1538</t>
  </si>
  <si>
    <t>GN-1539</t>
  </si>
  <si>
    <t>GN-1540</t>
  </si>
  <si>
    <t>GN-1541</t>
  </si>
  <si>
    <t>GN-1542</t>
  </si>
  <si>
    <t>GN-1543</t>
  </si>
  <si>
    <t>GN-1544</t>
  </si>
  <si>
    <t>GN-1545</t>
  </si>
  <si>
    <t>GN-1546</t>
  </si>
  <si>
    <t>GN-1547</t>
  </si>
  <si>
    <t>GN-1548</t>
  </si>
  <si>
    <t>GN-1549</t>
  </si>
  <si>
    <t>GN-1550</t>
  </si>
  <si>
    <t>GN-1551</t>
  </si>
  <si>
    <t>GN-1552</t>
  </si>
  <si>
    <t>GN-1553</t>
  </si>
  <si>
    <t>GN-1554</t>
  </si>
  <si>
    <t>GN-1555</t>
  </si>
  <si>
    <t>GN-1556</t>
  </si>
  <si>
    <t>GN-1557</t>
  </si>
  <si>
    <t>GN-1558</t>
  </si>
  <si>
    <t>GN-1559</t>
  </si>
  <si>
    <t>GN-1560</t>
  </si>
  <si>
    <t>GN-1561</t>
  </si>
  <si>
    <t>GN-1562</t>
  </si>
  <si>
    <t>GN-1563</t>
  </si>
  <si>
    <t>GN-1564</t>
  </si>
  <si>
    <t>GN-1565</t>
  </si>
  <si>
    <t>GN-1566</t>
  </si>
  <si>
    <t>GN-1567</t>
  </si>
  <si>
    <t>GN-1568</t>
  </si>
  <si>
    <t>GN-1569</t>
  </si>
  <si>
    <t>GN-1570</t>
  </si>
  <si>
    <t>GN-1571</t>
  </si>
  <si>
    <t>GN-1572</t>
  </si>
  <si>
    <t>GN-1573</t>
  </si>
  <si>
    <t>GN-1574</t>
  </si>
  <si>
    <t>GN-1575</t>
  </si>
  <si>
    <t>GN-1576</t>
  </si>
  <si>
    <t>GN-1577</t>
  </si>
  <si>
    <t>GN-1578</t>
  </si>
  <si>
    <t>GN-1579</t>
  </si>
  <si>
    <t>GN-1580</t>
  </si>
  <si>
    <t>GN-1581</t>
  </si>
  <si>
    <t>Coatal 20,120</t>
  </si>
  <si>
    <t>Coatal 20, 120</t>
  </si>
  <si>
    <t>GN-1582</t>
  </si>
  <si>
    <t>GN-1583</t>
  </si>
  <si>
    <t>GN-1584</t>
  </si>
  <si>
    <t>GN-1585</t>
  </si>
  <si>
    <t>GN-1586</t>
  </si>
  <si>
    <t>GN-1587</t>
  </si>
  <si>
    <t>GN-1588</t>
  </si>
  <si>
    <t>GN-1589</t>
  </si>
  <si>
    <t>GN-1590</t>
  </si>
  <si>
    <t>GN-1591</t>
  </si>
  <si>
    <t>GN-1592</t>
  </si>
  <si>
    <t>GN-1593</t>
  </si>
  <si>
    <t>GN-1594</t>
  </si>
  <si>
    <t>GN-1595</t>
  </si>
  <si>
    <t>GN-1596</t>
  </si>
  <si>
    <t>GN-1597</t>
  </si>
  <si>
    <t>GN-1598</t>
  </si>
  <si>
    <t>GN-1599</t>
  </si>
  <si>
    <t>GN-1600</t>
  </si>
  <si>
    <t>GN-1601</t>
  </si>
  <si>
    <t>GN-1602</t>
  </si>
  <si>
    <t>GN-1603</t>
  </si>
  <si>
    <t>GN-1604</t>
  </si>
  <si>
    <t>GN-1605</t>
  </si>
  <si>
    <t>GN-1606</t>
  </si>
  <si>
    <t>GN-1607</t>
  </si>
  <si>
    <t>GN-1608</t>
  </si>
  <si>
    <t>GN-1609</t>
  </si>
  <si>
    <t>GN-1610</t>
  </si>
  <si>
    <t>GN-1611</t>
  </si>
  <si>
    <t>GN-1612</t>
  </si>
  <si>
    <t>GN-1613</t>
  </si>
  <si>
    <t>GN-1614</t>
  </si>
  <si>
    <t>GN-1615</t>
  </si>
  <si>
    <t>GN-1616</t>
  </si>
  <si>
    <t>GN-1617</t>
  </si>
  <si>
    <t>GN-1618</t>
  </si>
  <si>
    <t>GN-1619</t>
  </si>
  <si>
    <t>GN-1620</t>
  </si>
  <si>
    <t>GN-1621</t>
  </si>
  <si>
    <t>GN-1622</t>
  </si>
  <si>
    <t>GN-1623</t>
  </si>
  <si>
    <t>GN-1624</t>
  </si>
  <si>
    <t>GN-1625</t>
  </si>
  <si>
    <t>GN-1626</t>
  </si>
  <si>
    <t>GN-1627</t>
  </si>
  <si>
    <t>GN-1628</t>
  </si>
  <si>
    <t>GN-1629</t>
  </si>
  <si>
    <t>GN-1630</t>
  </si>
  <si>
    <t>GN-1631</t>
  </si>
  <si>
    <t>GN-1632</t>
  </si>
  <si>
    <t>GN-1633</t>
  </si>
  <si>
    <t>GN-1634</t>
  </si>
  <si>
    <t>GN-1635</t>
  </si>
  <si>
    <t>GN-1636</t>
  </si>
  <si>
    <t>GN-1637</t>
  </si>
  <si>
    <t>GN-1638</t>
  </si>
  <si>
    <t>GN-1639</t>
  </si>
  <si>
    <t>GN-1640</t>
  </si>
  <si>
    <t>GN-1641</t>
  </si>
  <si>
    <t>GN-1642</t>
  </si>
  <si>
    <t>GN-1643</t>
  </si>
  <si>
    <t>GN-1644</t>
  </si>
  <si>
    <t>GN-1645</t>
  </si>
  <si>
    <t>GN-1646</t>
  </si>
  <si>
    <t>GN-1647</t>
  </si>
  <si>
    <t>GN-1648</t>
  </si>
  <si>
    <t>GN-1649</t>
  </si>
  <si>
    <t>GN-1650</t>
  </si>
  <si>
    <t>GN-1651</t>
  </si>
  <si>
    <t>GN-1652</t>
  </si>
  <si>
    <t>GN-1653</t>
  </si>
  <si>
    <t>GN-1654</t>
  </si>
  <si>
    <t>GN-1655</t>
  </si>
  <si>
    <t>GN-1656</t>
  </si>
  <si>
    <t>GN-1657</t>
  </si>
  <si>
    <t>GN-1658</t>
  </si>
  <si>
    <t>GN-1659</t>
  </si>
  <si>
    <t>GN-1660</t>
  </si>
  <si>
    <t>GN-1661</t>
  </si>
  <si>
    <t>GN-1662</t>
  </si>
  <si>
    <t>GN-1663</t>
  </si>
  <si>
    <t>GN-1664</t>
  </si>
  <si>
    <t>GN-1665</t>
  </si>
  <si>
    <t>GN-1666</t>
  </si>
  <si>
    <t>GN-1667</t>
  </si>
  <si>
    <t>GN-1668</t>
  </si>
  <si>
    <t>GN-1669</t>
  </si>
  <si>
    <t>GN-1670</t>
  </si>
  <si>
    <t>GN-1671</t>
  </si>
  <si>
    <t>GN-1672</t>
  </si>
  <si>
    <t>GN-1673</t>
  </si>
  <si>
    <t>GN-1674</t>
  </si>
  <si>
    <t>GN-1675</t>
  </si>
  <si>
    <t>GN-1676</t>
  </si>
  <si>
    <t>GN-1677</t>
  </si>
  <si>
    <t>GN-1678</t>
  </si>
  <si>
    <t>GN-1679</t>
  </si>
  <si>
    <t>GN-1680</t>
  </si>
  <si>
    <t>GN-1681</t>
  </si>
  <si>
    <t>GN-1682</t>
  </si>
  <si>
    <t>GN-1683</t>
  </si>
  <si>
    <t>GN-1684</t>
  </si>
  <si>
    <t>GN-1685</t>
  </si>
  <si>
    <t>GN-1686</t>
  </si>
  <si>
    <t>GN-1687</t>
  </si>
  <si>
    <t>GN-1688</t>
  </si>
  <si>
    <t>GN-1689</t>
  </si>
  <si>
    <t>GN-1690</t>
  </si>
  <si>
    <t>GN-1691</t>
  </si>
  <si>
    <t>GN-1692</t>
  </si>
  <si>
    <t>GN-1693</t>
  </si>
  <si>
    <t>GN-1694</t>
  </si>
  <si>
    <t>GN-1695</t>
  </si>
  <si>
    <t>GN-1696</t>
  </si>
  <si>
    <t>GN-1697</t>
  </si>
  <si>
    <t>GN-1698</t>
  </si>
  <si>
    <t>GN-1699</t>
  </si>
  <si>
    <t>GN-1700</t>
  </si>
  <si>
    <t>GN-1701</t>
  </si>
  <si>
    <t>GN-1702</t>
  </si>
  <si>
    <t>GN-1703</t>
  </si>
  <si>
    <t>GN-1704</t>
  </si>
  <si>
    <t>GN-1705</t>
  </si>
  <si>
    <t>GN-1706</t>
  </si>
  <si>
    <t>GN-1707</t>
  </si>
  <si>
    <t>GN-1708</t>
  </si>
  <si>
    <t>GN-1709</t>
  </si>
  <si>
    <t>drug_name</t>
  </si>
  <si>
    <t>sn</t>
  </si>
  <si>
    <t>category_id</t>
  </si>
  <si>
    <t>category_code</t>
  </si>
  <si>
    <t>item_category_name</t>
  </si>
  <si>
    <t>drug_code</t>
  </si>
  <si>
    <t>unit_price</t>
  </si>
  <si>
    <t>uomCode</t>
  </si>
  <si>
    <t>uom_name</t>
  </si>
  <si>
    <t>purchase_uom_code</t>
  </si>
  <si>
    <t>purchase_uom_name</t>
  </si>
  <si>
    <t>active</t>
  </si>
  <si>
    <t>tracking</t>
  </si>
  <si>
    <t>classification_code</t>
  </si>
  <si>
    <t>classification_name</t>
  </si>
  <si>
    <t>Inj Fortwin</t>
  </si>
  <si>
    <t>Injection</t>
  </si>
  <si>
    <t>Unit(s)</t>
  </si>
  <si>
    <t>false</t>
  </si>
  <si>
    <t>none</t>
  </si>
  <si>
    <t>All</t>
  </si>
  <si>
    <t>2.2.1 Forte Syrup</t>
  </si>
  <si>
    <t>OTC Liquids</t>
  </si>
  <si>
    <t>Office Furniture</t>
  </si>
  <si>
    <t>Acepol Paracetamol Syrup</t>
  </si>
  <si>
    <t>Digoxin 250mg (X28)</t>
  </si>
  <si>
    <t>Ethical Sachets</t>
  </si>
  <si>
    <t>Neurogesic Extra Oint 25g</t>
  </si>
  <si>
    <t>Tubes &amp; Creams</t>
  </si>
  <si>
    <t>Tube</t>
  </si>
  <si>
    <t>true</t>
  </si>
  <si>
    <t>lot</t>
  </si>
  <si>
    <t>Digoxin 250mg (x1)</t>
  </si>
  <si>
    <t>Counting Retail</t>
  </si>
  <si>
    <t>Drawer Black</t>
  </si>
  <si>
    <t>Desk Stand with Screen</t>
  </si>
  <si>
    <t>Deep Relief Cream 30gm</t>
  </si>
  <si>
    <t>Software</t>
  </si>
  <si>
    <t>Three-Seat Sofa</t>
  </si>
  <si>
    <t>Services</t>
  </si>
  <si>
    <t>kg</t>
  </si>
  <si>
    <t>Meta B Forte</t>
  </si>
  <si>
    <t>Vit C Coloured (X1)</t>
  </si>
  <si>
    <t>Counting (X1)</t>
  </si>
  <si>
    <t>Vitamin C (X1)</t>
  </si>
  <si>
    <t>Counting</t>
  </si>
  <si>
    <t>Vit C (x100) White</t>
  </si>
  <si>
    <t>OTC Sachets</t>
  </si>
  <si>
    <t>Counting (X100)</t>
  </si>
  <si>
    <t>Levofloxacin 500 (X10)-Topilevo</t>
  </si>
  <si>
    <t>Sachet (X10)</t>
  </si>
  <si>
    <t>Vit C (X1)</t>
  </si>
  <si>
    <t>Vit C Coloured (X 1000)</t>
  </si>
  <si>
    <t>Vit C White (X1)</t>
  </si>
  <si>
    <t>Mexzecam 15 (X10)</t>
  </si>
  <si>
    <t>mexzecam 15 ×10</t>
  </si>
  <si>
    <t>mexzecam 7.5 (×10)</t>
  </si>
  <si>
    <t>Micadis 40mg (X28)</t>
  </si>
  <si>
    <t>Microgynon (x30)</t>
  </si>
  <si>
    <t>Mederax Metoclopromide Hydrochloride 10mg (X10)</t>
  </si>
  <si>
    <t>BKB 200mg (X10)</t>
  </si>
  <si>
    <t>Milk Of Magnesia (Philips)</t>
  </si>
  <si>
    <t>Millicap B/S</t>
  </si>
  <si>
    <t>Minak - V vigiral</t>
  </si>
  <si>
    <t>Mirazith (X14)</t>
  </si>
  <si>
    <t>Vit C White (1)</t>
  </si>
  <si>
    <t>Mirazith (X7)</t>
  </si>
  <si>
    <t>Misoprotolol (X10)</t>
  </si>
  <si>
    <t>Mosegor (X10)</t>
  </si>
  <si>
    <t>Mosegor 0.5mg (X10)</t>
  </si>
  <si>
    <t>Motilium (x30)</t>
  </si>
  <si>
    <t>MVS- Prenatal (X10)</t>
  </si>
  <si>
    <t>Nalidon (X20)</t>
  </si>
  <si>
    <t>Nalidon fort</t>
  </si>
  <si>
    <t>Nalidon Forte(X20)</t>
  </si>
  <si>
    <t>Naproxen 500mg (X14)</t>
  </si>
  <si>
    <t>Neo Healer (X10)</t>
  </si>
  <si>
    <t>Neomycin tablet</t>
  </si>
  <si>
    <t>Nervon (×10)</t>
  </si>
  <si>
    <t>Neurobion coated tab X10</t>
  </si>
  <si>
    <t>Neurovite Forte (x10)</t>
  </si>
  <si>
    <t>Nexpro - 40 (X10)</t>
  </si>
  <si>
    <t>Nifedin Dexel (X10)</t>
  </si>
  <si>
    <t>Nifedipine XR Fladipine</t>
  </si>
  <si>
    <t>Postinor (X10)</t>
  </si>
  <si>
    <t>Laclox (X10)</t>
  </si>
  <si>
    <t>Paracetamol Tab (X1)</t>
  </si>
  <si>
    <t>Counting (X1000)</t>
  </si>
  <si>
    <t>Nifendel 20mg (X10)</t>
  </si>
  <si>
    <t>Nilgar 15mg (X10)</t>
  </si>
  <si>
    <t>Nilide 100mg (X10)</t>
  </si>
  <si>
    <t>Nilide 50mg (X10)</t>
  </si>
  <si>
    <t>Nimica 100mg (x10)</t>
  </si>
  <si>
    <t>Nimulid 100mg (x10)</t>
  </si>
  <si>
    <t>Nizoral 200mg (x10)</t>
  </si>
  <si>
    <t>no Name</t>
  </si>
  <si>
    <t>NO Spa(x10)</t>
  </si>
  <si>
    <t>Nobarctin 400mg(x10)</t>
  </si>
  <si>
    <t>Norbactin 400</t>
  </si>
  <si>
    <t>Normodipin (X10)</t>
  </si>
  <si>
    <t>Normogan tablet</t>
  </si>
  <si>
    <t>Norvasc 10mg (X10)</t>
  </si>
  <si>
    <t>Norvasc 5mg (X10)</t>
  </si>
  <si>
    <t>Nosclav ×14</t>
  </si>
  <si>
    <t>Nosclav 625mg</t>
  </si>
  <si>
    <t>Vitamin B.Complex (x100) G</t>
  </si>
  <si>
    <t>Counting Pack</t>
  </si>
  <si>
    <t>Maxiquine Syrup</t>
  </si>
  <si>
    <t>Syrup Bottle</t>
  </si>
  <si>
    <t>Pyrantrin (x6)</t>
  </si>
  <si>
    <t>Sachet (X6)</t>
  </si>
  <si>
    <t>Calcitone (X100)</t>
  </si>
  <si>
    <t>Ibucap Cold &amp; Flu Syrup 100ml</t>
  </si>
  <si>
    <t>Emzolyn Syrup (Children)</t>
  </si>
  <si>
    <t>Amalar (x3)</t>
  </si>
  <si>
    <t>Cerumol Ear Drop</t>
  </si>
  <si>
    <t>Ear Drops</t>
  </si>
  <si>
    <t>Chlorampenicol Ear Drop</t>
  </si>
  <si>
    <t>Chlorampenicol Ear Drop (Juhel)</t>
  </si>
  <si>
    <t>Painkil Syrup 60ml</t>
  </si>
  <si>
    <t>Otomed Ear Drop</t>
  </si>
  <si>
    <t>Neoskin Cream</t>
  </si>
  <si>
    <t>Ampicillin Suspension G</t>
  </si>
  <si>
    <t>Ethical Liquids</t>
  </si>
  <si>
    <t>Suspension Bottle</t>
  </si>
  <si>
    <t>Amakin Omeprazole (X14)</t>
  </si>
  <si>
    <t>Sachet (X14)</t>
  </si>
  <si>
    <t>Flu J (X4)</t>
  </si>
  <si>
    <t>Sachet (X4)</t>
  </si>
  <si>
    <t>Bunto Tonic 1 Litre</t>
  </si>
  <si>
    <t>Antallerge Eye Drop</t>
  </si>
  <si>
    <t>Drop Bottle</t>
  </si>
  <si>
    <t>Amatem (x6)</t>
  </si>
  <si>
    <t>Nostres 10mg (x10)</t>
  </si>
  <si>
    <t>azitrex</t>
  </si>
  <si>
    <t>Nostress 5mg (x14)</t>
  </si>
  <si>
    <t>Nueage (X15)</t>
  </si>
  <si>
    <t>HiMalt</t>
  </si>
  <si>
    <t>Supermarket</t>
  </si>
  <si>
    <t>Nystatin 500000iu</t>
  </si>
  <si>
    <t>Nystatin vaginal tablet x 113 100,00000</t>
  </si>
  <si>
    <t>Oceandrive 100mg (X10)</t>
  </si>
  <si>
    <t>Ocefix 200mg (x10)</t>
  </si>
  <si>
    <t>Ocefix 400mg (x10)</t>
  </si>
  <si>
    <t>Oflomed 200mg (X10)</t>
  </si>
  <si>
    <t>Ofloxacin 200mg (x10)</t>
  </si>
  <si>
    <t>Oftab -400 (X10)</t>
  </si>
  <si>
    <t>Olfen 100mg (x10)</t>
  </si>
  <si>
    <t>Olfen 50mg (x10)</t>
  </si>
  <si>
    <t>Olfen SR 75mg (x10)</t>
  </si>
  <si>
    <t>Omecap (x30)</t>
  </si>
  <si>
    <t>omefast plus</t>
  </si>
  <si>
    <t>Omeprazole 20mg (X14)</t>
  </si>
  <si>
    <t>Omeprazole (X14)-Ramez</t>
  </si>
  <si>
    <t>Onaxo (X10)</t>
  </si>
  <si>
    <t>Optalidon (x10)</t>
  </si>
  <si>
    <t>Orlis Orlistat 120mg (X10)</t>
  </si>
  <si>
    <t>Orofer (x40)</t>
  </si>
  <si>
    <t>Orphensic (X10)</t>
  </si>
  <si>
    <t>Oruvail 200mg (x7)</t>
  </si>
  <si>
    <t>OSteo Forte (X30)</t>
  </si>
  <si>
    <t>osteoforte ×10</t>
  </si>
  <si>
    <t>Ostrin (X30)</t>
  </si>
  <si>
    <t>Ostrin Oyster Extract (X30)</t>
  </si>
  <si>
    <t>Oulofeme - 500</t>
  </si>
  <si>
    <t>Paincodeen (x10)</t>
  </si>
  <si>
    <t>Actifed (x12)</t>
  </si>
  <si>
    <t>Sachet (X12)</t>
  </si>
  <si>
    <t>Paludol 2.5mg (X10)</t>
  </si>
  <si>
    <t>Paludrine 100mg (X14)</t>
  </si>
  <si>
    <t>Panfor SR 100mg</t>
  </si>
  <si>
    <t>Panfor SR -500 (X20)</t>
  </si>
  <si>
    <t>Parlodel 2.5mg (X30)</t>
  </si>
  <si>
    <t>Peflac Pefloxacin (X14)</t>
  </si>
  <si>
    <t>Pefloxacin - PEMAX 400mg (X10)</t>
  </si>
  <si>
    <t>PEMAX (X10)</t>
  </si>
  <si>
    <t>Pepti (x10)</t>
  </si>
  <si>
    <t>perbloc</t>
  </si>
  <si>
    <t>perbloc - DSR</t>
  </si>
  <si>
    <t>Perglim M1(X20)</t>
  </si>
  <si>
    <t>Perglim M2(X20)</t>
  </si>
  <si>
    <t>Periactin 4mg (x10)</t>
  </si>
  <si>
    <t>Perikalin 400mg (X10)</t>
  </si>
  <si>
    <t>permertinal drop - Dr vamis</t>
  </si>
  <si>
    <t>Pharmaton Capsules</t>
  </si>
  <si>
    <t>Pilex (x10)</t>
  </si>
  <si>
    <t>Pionorm-30 (X30)</t>
  </si>
  <si>
    <t>Piozer Pioglitazone (X1)</t>
  </si>
  <si>
    <t>plagerine</t>
  </si>
  <si>
    <t>Plagerine 75mg (X10)</t>
  </si>
  <si>
    <t>Plasmotrim 200mg (x6)</t>
  </si>
  <si>
    <t>Plasmotrim 200mg (x6) Lactab</t>
  </si>
  <si>
    <t>Plasmotrim 50mg (x6) Lactab</t>
  </si>
  <si>
    <t>Plasmotrim 50mg (x6) Retrotab</t>
  </si>
  <si>
    <t>Polycil Chewable Antacid (X10)</t>
  </si>
  <si>
    <t>Polyfort(x10)</t>
  </si>
  <si>
    <t>Power-Plus (x30)</t>
  </si>
  <si>
    <t>Powmax M (X3)</t>
  </si>
  <si>
    <t>Prazotel 600mg (x10)</t>
  </si>
  <si>
    <t>Pregvyte Mineral Suplement X30</t>
  </si>
  <si>
    <t>Prilas 10mg</t>
  </si>
  <si>
    <t>Prilas 5mg (X14)</t>
  </si>
  <si>
    <t>Primolut N (x20)</t>
  </si>
  <si>
    <t>Primpex DS (X10)</t>
  </si>
  <si>
    <t>Probantine (X1)</t>
  </si>
  <si>
    <t>Prostatonin cap</t>
  </si>
  <si>
    <t>Proviron (x10)</t>
  </si>
  <si>
    <t>Pylorest (X10)</t>
  </si>
  <si>
    <t>QCEPH Cefuroxime 250mg (X10)</t>
  </si>
  <si>
    <t>Quintor-500 (X10)</t>
  </si>
  <si>
    <t>Rabelox 20 (X10)</t>
  </si>
  <si>
    <t>Radiklo - 100 (X10)</t>
  </si>
  <si>
    <t>Radiklo - 50 (X10)</t>
  </si>
  <si>
    <t>Radiklo forte 100mg (X)</t>
  </si>
  <si>
    <t>Ramine C (X4)</t>
  </si>
  <si>
    <t>Ramitace 5mg (x10)</t>
  </si>
  <si>
    <t>Ranitidine 150mg (X10)-EMBASSY</t>
  </si>
  <si>
    <t>Ranitidine 300mg (X10)-EMBASSY</t>
  </si>
  <si>
    <t>Ranivan 150mg</t>
  </si>
  <si>
    <t>Ranivan 300mg (X10)</t>
  </si>
  <si>
    <t>Ranopage OD 1000mg (X10)</t>
  </si>
  <si>
    <t>Ranopril 10mg (X10)</t>
  </si>
  <si>
    <t>Ranopril 20mg</t>
  </si>
  <si>
    <t>Ranopril 5mg</t>
  </si>
  <si>
    <t>Raprox 500mg (X10)</t>
  </si>
  <si>
    <t>Regacom (X10)</t>
  </si>
  <si>
    <t>Regrotone (x20)</t>
  </si>
  <si>
    <t>Rejuver-G cap (X15)</t>
  </si>
  <si>
    <t>Sachet (X15)</t>
  </si>
  <si>
    <t>Amoxil 250mg (x10) (Beecham)</t>
  </si>
  <si>
    <t>Relief (x10)</t>
  </si>
  <si>
    <t>Reliva cap (X30)</t>
  </si>
  <si>
    <t>Reload 4 kidz</t>
  </si>
  <si>
    <t>Reload Mens Formula (X90)</t>
  </si>
  <si>
    <t>Riconia forte ×30</t>
  </si>
  <si>
    <t>Riconia forte -200 (X10)</t>
  </si>
  <si>
    <t>Rifampicin 150mg</t>
  </si>
  <si>
    <t>Rifampicin 300mg (x10)</t>
  </si>
  <si>
    <t>Rimactal INH 300</t>
  </si>
  <si>
    <t>Risdal 2mg (X10)</t>
  </si>
  <si>
    <t>Rispzen - 2 (X100)</t>
  </si>
  <si>
    <t>Robinax (X10)</t>
  </si>
  <si>
    <t>Rogotinol (x10)</t>
  </si>
  <si>
    <t>Rohypnol 1mg (x30)</t>
  </si>
  <si>
    <t>Rolap Rosuvatatin (X10)</t>
  </si>
  <si>
    <t>Roliten 2mg (X10)</t>
  </si>
  <si>
    <t>Rosart (x10)</t>
  </si>
  <si>
    <t>Rovigon (x30)</t>
  </si>
  <si>
    <t>Salvite Multivitamin (X60)</t>
  </si>
  <si>
    <t>Salvite Multivitamin Bottle</t>
  </si>
  <si>
    <t>Sanclamide Brand of Daonil (X10)</t>
  </si>
  <si>
    <t>Sanformin 500mg</t>
  </si>
  <si>
    <t>Sanvid Ofloxacin (X)</t>
  </si>
  <si>
    <t>Seccivid Secnidazole 500mg</t>
  </si>
  <si>
    <t>Septrim (me cure)</t>
  </si>
  <si>
    <t>Septrin (Sumezol) (X10)</t>
  </si>
  <si>
    <t>Setral -50 (X14)</t>
  </si>
  <si>
    <t>Amoxil 500mg (x10) (Beecham)</t>
  </si>
  <si>
    <t>Silybon 140 (X10)</t>
  </si>
  <si>
    <t>Simtab (x10)</t>
  </si>
  <si>
    <t>Simvastatin 10mg (X10)</t>
  </si>
  <si>
    <t>Simvastatin 20mg (X10)</t>
  </si>
  <si>
    <t>Simvastatin 20mg (X28)</t>
  </si>
  <si>
    <t>Sineret (X10)</t>
  </si>
  <si>
    <t>Sinerpres (x10)</t>
  </si>
  <si>
    <t>Sinopril (Lisinopril ) (X10)</t>
  </si>
  <si>
    <t>Sinvaz 10mg (X10)</t>
  </si>
  <si>
    <t>Siprosan 250mg (x10)</t>
  </si>
  <si>
    <t>Siprosan 500mg (x10)</t>
  </si>
  <si>
    <t>Sirdalud 2mg (X10)</t>
  </si>
  <si>
    <t>skin - 500 ×20</t>
  </si>
  <si>
    <t>Slow-K 600mg (x20)</t>
  </si>
  <si>
    <t>Sloxin 200mg</t>
  </si>
  <si>
    <t>smenaldex</t>
  </si>
  <si>
    <t>Somnapam (x10)</t>
  </si>
  <si>
    <t>Sonagra (x4)</t>
  </si>
  <si>
    <t>soure x soft capsules</t>
  </si>
  <si>
    <t>Sparbact 200mg (x6)</t>
  </si>
  <si>
    <t>Spardium (X6)</t>
  </si>
  <si>
    <t>Stamlo 10</t>
  </si>
  <si>
    <t>Stamlo -10 (X10)</t>
  </si>
  <si>
    <t>Stanof Diclofenac Pottasium</t>
  </si>
  <si>
    <t>Stemetil 5mg (x10)</t>
  </si>
  <si>
    <t>Stibestrol 5mg (x10)</t>
  </si>
  <si>
    <t>Stimuno forte</t>
  </si>
  <si>
    <t>Strepsil G (x12)</t>
  </si>
  <si>
    <t>Stugeron 25mg (x10)</t>
  </si>
  <si>
    <t>Stugeron forte 75mg (x20)</t>
  </si>
  <si>
    <t>sulpadimidia (X1000, X1)</t>
  </si>
  <si>
    <t>Super capsules x21</t>
  </si>
  <si>
    <t>Supra-Livron</t>
  </si>
  <si>
    <t>Supra-meb</t>
  </si>
  <si>
    <t>Supramult Plus (X30)</t>
  </si>
  <si>
    <t>Sustanon 250mg</t>
  </si>
  <si>
    <t>Swibetic (X10)</t>
  </si>
  <si>
    <t>Swidon (x10)</t>
  </si>
  <si>
    <t>swivasc -5</t>
  </si>
  <si>
    <t>Synovit (X10)</t>
  </si>
  <si>
    <t>Tabalon 400mg (x4)</t>
  </si>
  <si>
    <t>Tagament 400mg (x10)</t>
  </si>
  <si>
    <t>Tagement 200mg (x20)</t>
  </si>
  <si>
    <t>Tamoxifen 20mg (x20)</t>
  </si>
  <si>
    <t>TAMUSULOSIN Hydrochloride (X10)</t>
  </si>
  <si>
    <t>Tanderil 400mg (x10)</t>
  </si>
  <si>
    <t>Tarivid 200mg (x10)</t>
  </si>
  <si>
    <t>Tavegyl (x20)</t>
  </si>
  <si>
    <t>Tegretol 200mg (X10)</t>
  </si>
  <si>
    <t>Tegretol CR 400</t>
  </si>
  <si>
    <t>Tegrotol CR 200mg (x10)</t>
  </si>
  <si>
    <t>Temexin (x8)</t>
  </si>
  <si>
    <t>Tenolol 100 (X28)</t>
  </si>
  <si>
    <t>Tenolol 50mg (X28)</t>
  </si>
  <si>
    <t>Tenoretic 50mg (X14)</t>
  </si>
  <si>
    <t>Tenoskan (x10)</t>
  </si>
  <si>
    <t>Terramycin (x20)</t>
  </si>
  <si>
    <t>Timexda (X10)</t>
  </si>
  <si>
    <t>Tinexda 500mg (X10)</t>
  </si>
  <si>
    <t>Tiniflox (X10)</t>
  </si>
  <si>
    <t>Tiniglex 600mg/200mg (X10)</t>
  </si>
  <si>
    <t>Tiocasid 20g</t>
  </si>
  <si>
    <t>Tocovid 50mg (X30)</t>
  </si>
  <si>
    <t>tocovid 50mg ×30</t>
  </si>
  <si>
    <t>Topril - (X10)</t>
  </si>
  <si>
    <t>Toranac 50mg</t>
  </si>
  <si>
    <t>Tosuril Lisinopril</t>
  </si>
  <si>
    <t>Tough and Go (Tin) G</t>
  </si>
  <si>
    <t>Tradyl (x10)</t>
  </si>
  <si>
    <t>Traflash 50mg (X10)</t>
  </si>
  <si>
    <t>Tramadol 100mg (x10) G</t>
  </si>
  <si>
    <t>Tramadol 100mg (X10) Original</t>
  </si>
  <si>
    <t>Tramadol 50mg (x10) G</t>
  </si>
  <si>
    <t>Tramal Retard (X10) 50mg</t>
  </si>
  <si>
    <t>Tramez (X10)</t>
  </si>
  <si>
    <t>Trexip Ciprofloxacin 500mg (X10)</t>
  </si>
  <si>
    <t>Expenses</t>
  </si>
  <si>
    <t>Day(s)</t>
  </si>
  <si>
    <t>LED Lamp</t>
  </si>
  <si>
    <t>Whiteboard Pen</t>
  </si>
  <si>
    <t>Consumable</t>
  </si>
  <si>
    <t>PoS</t>
  </si>
  <si>
    <t>Hour(s)</t>
  </si>
  <si>
    <t>Tribarat 250mg (X10)</t>
  </si>
  <si>
    <t>Tribinat 250mg (X10)</t>
  </si>
  <si>
    <t>Triplucon (X10)</t>
  </si>
  <si>
    <t>Tumol Extra (X10)</t>
  </si>
  <si>
    <t>Ulcertret (x10)</t>
  </si>
  <si>
    <t>Unasyn 375mg (X10)</t>
  </si>
  <si>
    <t>Valinex 5mg (x10)</t>
  </si>
  <si>
    <t>Vamadopa (X10)</t>
  </si>
  <si>
    <t>Vamis 200</t>
  </si>
  <si>
    <t>Vamis Artesunate (X12)</t>
  </si>
  <si>
    <t>Vanclox (X10)</t>
  </si>
  <si>
    <t>Vicocin Lincomycin (X4)</t>
  </si>
  <si>
    <t>Vinco (x96)</t>
  </si>
  <si>
    <t>Vincocin 500mg</t>
  </si>
  <si>
    <t>Vira (X4)</t>
  </si>
  <si>
    <t>Viralex 400mg (X10)</t>
  </si>
  <si>
    <t>Viralex 800mg (X10)</t>
  </si>
  <si>
    <t>Virest 200mg (X25)</t>
  </si>
  <si>
    <t>Virest 400mg (x25)</t>
  </si>
  <si>
    <t>Vision Plus mineral supp ×120</t>
  </si>
  <si>
    <t>Visionace (X30)</t>
  </si>
  <si>
    <t>Vitabion (X10)</t>
  </si>
  <si>
    <t>Vitacap (X10)</t>
  </si>
  <si>
    <t>Vitakris</t>
  </si>
  <si>
    <t>Vitamin C Glucose (X20) G</t>
  </si>
  <si>
    <t>Vitapro 500mg (x10)</t>
  </si>
  <si>
    <t>vitimal - 800mg slaveur</t>
  </si>
  <si>
    <t>Vulcan - 50</t>
  </si>
  <si>
    <t>Waipa ACT (x12)</t>
  </si>
  <si>
    <t>Winofit (X10)</t>
  </si>
  <si>
    <t>Wormidan (X1)</t>
  </si>
  <si>
    <t>Xyloproct (x12)</t>
  </si>
  <si>
    <t>Yomesan (x4)</t>
  </si>
  <si>
    <t>Zaditen tab 1mg (x10)</t>
  </si>
  <si>
    <t>Zantac 150mg (X20)</t>
  </si>
  <si>
    <t>Zantac 300mg (X10)</t>
  </si>
  <si>
    <t>Zaryl (x4)</t>
  </si>
  <si>
    <t>Zenusin 20 SR (x10)</t>
  </si>
  <si>
    <t>Zestup B.Co (X30)</t>
  </si>
  <si>
    <t>Zinazole (x10)</t>
  </si>
  <si>
    <t>Zinnat 500mg (X10)</t>
  </si>
  <si>
    <t>Zithromax (X6)</t>
  </si>
  <si>
    <t>Zoocef -200 (X10)</t>
  </si>
  <si>
    <t>Zoretic (X10)</t>
  </si>
  <si>
    <t>Zyncet (x10)</t>
  </si>
  <si>
    <t>Zyprox Ciprofloxacin 500mg</t>
  </si>
  <si>
    <t>Zysty 5mg (X28)</t>
  </si>
  <si>
    <t>Novasc 10mg (x10)</t>
  </si>
  <si>
    <t>Novasc 5mg (x10)</t>
  </si>
  <si>
    <t>Oflomed 400mg (x10)</t>
  </si>
  <si>
    <t>Radoflox (Ofloxacin) 200mg</t>
  </si>
  <si>
    <t>Omeprazole (X10) G</t>
  </si>
  <si>
    <t>Bentos Paracetamol (X12)</t>
  </si>
  <si>
    <t>Prednisolone 5mg (x10) G</t>
  </si>
  <si>
    <t>Pregnacare Nigeria(x30)</t>
  </si>
  <si>
    <t>Piriton (x10) G</t>
  </si>
  <si>
    <t>Ventolin 2mg (x10)</t>
  </si>
  <si>
    <t>Ventolin GLAXO (x10)</t>
  </si>
  <si>
    <t>Septrin (x10) Welcome</t>
  </si>
  <si>
    <t>Primpex (x10)</t>
  </si>
  <si>
    <t>Sprax 200mg (x6)</t>
  </si>
  <si>
    <t>Anusol Supp (x5)</t>
  </si>
  <si>
    <t>Welfil -20 (Tadalafil) (X4)</t>
  </si>
  <si>
    <t>Felvin Branded (Rtl x1)</t>
  </si>
  <si>
    <t>Sachet (Retail X1)</t>
  </si>
  <si>
    <t>Ulsakit (7×6)</t>
  </si>
  <si>
    <t>Canesten Vaginal Tablet (x6s)</t>
  </si>
  <si>
    <t>Gyno-Daktarin</t>
  </si>
  <si>
    <t>Gyno-Mikozal 200mg (X7)</t>
  </si>
  <si>
    <t>Gyno-trosyd ovule (x3)</t>
  </si>
  <si>
    <t>Valium 5mg (x6)</t>
  </si>
  <si>
    <t>Enat E Vitamin E (x24)</t>
  </si>
  <si>
    <t>MVS-365 (x10)</t>
  </si>
  <si>
    <t>Spasmin Hyosine Drop</t>
  </si>
  <si>
    <t>ALTINEZ C/Pcol Eye Drop</t>
  </si>
  <si>
    <t>Anstin Privin Eye Drop</t>
  </si>
  <si>
    <t>Anterllerge Eye Drop</t>
  </si>
  <si>
    <t>Aristobet -N Eye drop 3g</t>
  </si>
  <si>
    <t>Aristomol Eye Drop 0.5%</t>
  </si>
  <si>
    <t>Eviol Vitamin-E 100mg (x10)</t>
  </si>
  <si>
    <t>Tetracycline 250mg (x10) G</t>
  </si>
  <si>
    <t>Atropine Eye Drop</t>
  </si>
  <si>
    <t>Beoptic Eye Drop</t>
  </si>
  <si>
    <t>Betadrone -N Eye Drop</t>
  </si>
  <si>
    <t>Catalin Eye Drop</t>
  </si>
  <si>
    <t>Cerumol Eye Drop</t>
  </si>
  <si>
    <t>Chloramphenicol Ear Drop G</t>
  </si>
  <si>
    <t>Chloraphenicol Eye Drop (Gramicol)</t>
  </si>
  <si>
    <t>Cifraxin Eye Drop</t>
  </si>
  <si>
    <t>Ciprocet eye drop</t>
  </si>
  <si>
    <t>Collomax Drop</t>
  </si>
  <si>
    <t>Cusimolol Eye Drop</t>
  </si>
  <si>
    <t>Dacryne Eye Drop</t>
  </si>
  <si>
    <t>Drumoptol Eye Drop</t>
  </si>
  <si>
    <t>Efemoline Eye Drop</t>
  </si>
  <si>
    <t>Erdon Eye Drop</t>
  </si>
  <si>
    <t>Gentalab Eye Drop</t>
  </si>
  <si>
    <t>Gentalek Drop</t>
  </si>
  <si>
    <t>Genticin Eye Drop</t>
  </si>
  <si>
    <t>Gramicol Eye Drop</t>
  </si>
  <si>
    <t>Ivycrom Eye Drop</t>
  </si>
  <si>
    <t>Ivyflur Eye Drop</t>
  </si>
  <si>
    <t>Evril Gentamicin Eye Drop G</t>
  </si>
  <si>
    <t>Ivymoicel Eye Drop</t>
  </si>
  <si>
    <t>Ivyphenicol Eye Drop</t>
  </si>
  <si>
    <t>Ivysolone Drop</t>
  </si>
  <si>
    <t>Ivysolone Eye Drop</t>
  </si>
  <si>
    <t>Ivytimol 0.5%</t>
  </si>
  <si>
    <t>Ivytimol 0.5% Eye Drop</t>
  </si>
  <si>
    <t>Ivyzine Eye Drop</t>
  </si>
  <si>
    <t>Jamol Eye Drop</t>
  </si>
  <si>
    <t>Lomeflox Eye Drop 0.5%</t>
  </si>
  <si>
    <t>lvycron Eye Drop</t>
  </si>
  <si>
    <t>lvydence</t>
  </si>
  <si>
    <t>lvytinol 0.5%</t>
  </si>
  <si>
    <t>lvyzine E/D</t>
  </si>
  <si>
    <t>Maxidex Eye Drop</t>
  </si>
  <si>
    <t>Maxitrol Eye Drop</t>
  </si>
  <si>
    <t>Nosak Eye Drop 7.5ml</t>
  </si>
  <si>
    <t>Nyolol 0.5%</t>
  </si>
  <si>
    <t>Nyolol 0.5% Eye Drop</t>
  </si>
  <si>
    <t>Ofloxacin BGVID</t>
  </si>
  <si>
    <t>Ofloxacin Eye Drop G</t>
  </si>
  <si>
    <t>Pharsine Eye Drop</t>
  </si>
  <si>
    <t>Pilocarpine Eye Drop 2%</t>
  </si>
  <si>
    <t>Pilocarpine Eye Drop 4%</t>
  </si>
  <si>
    <t>Rogophen Eye Drop 0.5%</t>
  </si>
  <si>
    <t>Sanformin (X3)</t>
  </si>
  <si>
    <t>Spersallerg Eye Drop</t>
  </si>
  <si>
    <t>Stadex Drop</t>
  </si>
  <si>
    <t>Stadex Plus Drop</t>
  </si>
  <si>
    <t>Stafen 0.25% Eye Drop</t>
  </si>
  <si>
    <t>Timolol Eye Drop</t>
  </si>
  <si>
    <t>Timoptol Eye Drop Solut</t>
  </si>
  <si>
    <t>Travatan Eye Drop</t>
  </si>
  <si>
    <t>Truspot Eye Drop</t>
  </si>
  <si>
    <t>Visine B/S</t>
  </si>
  <si>
    <t>Visine Eye Drop S/S</t>
  </si>
  <si>
    <t>Vistolent Eye Drop</t>
  </si>
  <si>
    <t>Vitricine Eye Drop</t>
  </si>
  <si>
    <t>Xalatan Eye Drop</t>
  </si>
  <si>
    <t>Emproflox Eye Drop</t>
  </si>
  <si>
    <t>Ivydexgent Eye Drop</t>
  </si>
  <si>
    <t>Ivydexone Eye Drop</t>
  </si>
  <si>
    <t>Ivymoicell Eye Drop</t>
  </si>
  <si>
    <t>Ivytimol Eye Drop</t>
  </si>
  <si>
    <t>Ivyxolol Eye Drop</t>
  </si>
  <si>
    <t>Sonexa Eye Drop</t>
  </si>
  <si>
    <t>Spersadex Comp Eye Drop</t>
  </si>
  <si>
    <t>Stafen Eye Drop</t>
  </si>
  <si>
    <t>Ciflaxin Eye/Ear Drop</t>
  </si>
  <si>
    <t>Eye&amp;Ear Drops</t>
  </si>
  <si>
    <t>Dextracin E/E Drop</t>
  </si>
  <si>
    <t>Drugent Eye/Ear Drop</t>
  </si>
  <si>
    <t>Efemoline eye drop</t>
  </si>
  <si>
    <t>Hycomycin Eye/Ear Drop</t>
  </si>
  <si>
    <t>Ivydexgent Eye/Ear Drop</t>
  </si>
  <si>
    <t>Ivydexone eye drop 0.5%</t>
  </si>
  <si>
    <t>Mydriacyl eye drop</t>
  </si>
  <si>
    <t>Sofradex Eye/Ear Drop</t>
  </si>
  <si>
    <t>Vista Eye/Ear Drop</t>
  </si>
  <si>
    <t>Infusions</t>
  </si>
  <si>
    <t>Darrows Solution Full Strength</t>
  </si>
  <si>
    <t>Darrows Solution Half Strength</t>
  </si>
  <si>
    <t>Dextrose in Saline 4.3%</t>
  </si>
  <si>
    <t>Dextrose in Saline 5%</t>
  </si>
  <si>
    <t>Dextrose in Water 5%</t>
  </si>
  <si>
    <t>Dextrose in Water 50%</t>
  </si>
  <si>
    <t>Inj Metronidazole</t>
  </si>
  <si>
    <t>Mannitol 10%</t>
  </si>
  <si>
    <t>Mannitol 20%</t>
  </si>
  <si>
    <t>Ringers Solution</t>
  </si>
  <si>
    <t>Ativan 2mg (X100)</t>
  </si>
  <si>
    <t>Injections</t>
  </si>
  <si>
    <t>Inj Abaktal 400mg/2ml</t>
  </si>
  <si>
    <t>Inj Adrenaline</t>
  </si>
  <si>
    <t>Inj Aminophylline 250mg (X1)</t>
  </si>
  <si>
    <t>Inj Amoksiklav 1.2g</t>
  </si>
  <si>
    <t>Inj Amoksiklav 600mg</t>
  </si>
  <si>
    <t>Inj Amoxicillin (X1) G</t>
  </si>
  <si>
    <t>Inj Amoxil 500mg (Beecham)</t>
  </si>
  <si>
    <t>Inj Amoxycillin 500g</t>
  </si>
  <si>
    <t>Inj Anti Snake Venum</t>
  </si>
  <si>
    <t>Inj Anti-Rabbies Serum</t>
  </si>
  <si>
    <t>Inj Apresoline</t>
  </si>
  <si>
    <t>Inj Artejec t (Atemet.x6 )</t>
  </si>
  <si>
    <t>Inj Atropine (X1)</t>
  </si>
  <si>
    <t>Inj ATS - 10000ivu</t>
  </si>
  <si>
    <t>Inj ATS - 1500ivu</t>
  </si>
  <si>
    <t>Inj ATS - 5000ivu</t>
  </si>
  <si>
    <t>Inj Augumentin 1.2g</t>
  </si>
  <si>
    <t>Inj Augumentin 600mg</t>
  </si>
  <si>
    <t>Inj Axone - Ceftriaxone</t>
  </si>
  <si>
    <t>Inj Hyoscine 10mg (X1)</t>
  </si>
  <si>
    <t>Inj Buscopan 20mg</t>
  </si>
  <si>
    <t>Inj Calcium Gluconate</t>
  </si>
  <si>
    <t>Inj Benzyl Penicillin</t>
  </si>
  <si>
    <t>Inj Cefroxime 750mg</t>
  </si>
  <si>
    <t>Inj Ceftazidime</t>
  </si>
  <si>
    <t>Inj Ceftriaxone 1g -Hocefin</t>
  </si>
  <si>
    <t>Inj Ceftriaxone Sodium</t>
  </si>
  <si>
    <t>Inj Ceftriaxone Sodium (Duselfin-D)</t>
  </si>
  <si>
    <t>Inj Chloramphenicol (X1)</t>
  </si>
  <si>
    <t>Inj Chloroquine 30ml</t>
  </si>
  <si>
    <t>Inj Cimetidine 200mg (X1)</t>
  </si>
  <si>
    <t>Inj Chloroquine 5ml</t>
  </si>
  <si>
    <t>Inj Depo Provera (without Syringe)</t>
  </si>
  <si>
    <t>Inj Dexamethasone (X1)</t>
  </si>
  <si>
    <t>Inj Diazepam 10mg</t>
  </si>
  <si>
    <t>Inj Dicynone 250mg</t>
  </si>
  <si>
    <t>Inj Durabolin</t>
  </si>
  <si>
    <t>Inj Eldervit 12 (X2)</t>
  </si>
  <si>
    <t>Inj Emal (X3)</t>
  </si>
  <si>
    <t>Inj Ergomentrine X1</t>
  </si>
  <si>
    <t>Inj Fansidar</t>
  </si>
  <si>
    <t>Inj Furosemide</t>
  </si>
  <si>
    <t>Inj Gentalek</t>
  </si>
  <si>
    <t>INJ HCG</t>
  </si>
  <si>
    <t>Inj Hepabionta</t>
  </si>
  <si>
    <t>Inj Hochiez Artemether</t>
  </si>
  <si>
    <t>Inj Humulin 70/30 100iu</t>
  </si>
  <si>
    <t>Inj Hydralazine</t>
  </si>
  <si>
    <t>Inj Hydrocortisone</t>
  </si>
  <si>
    <t>Inj Imal</t>
  </si>
  <si>
    <t>Inj Inferon (X1)</t>
  </si>
  <si>
    <t>Inj Insulartard 40iu</t>
  </si>
  <si>
    <t>Inj Insulatard 100iu</t>
  </si>
  <si>
    <t>Inj Kenalog 1ml</t>
  </si>
  <si>
    <t>Inj Magnesium Sulphate</t>
  </si>
  <si>
    <t>Inj Maxolone</t>
  </si>
  <si>
    <t>Inj Menstrogen</t>
  </si>
  <si>
    <t>Inj Metochlopromide Hydrochloride</t>
  </si>
  <si>
    <t>Inj Gentamicin 80mg</t>
  </si>
  <si>
    <t>Inj Mixtad 30 100iu</t>
  </si>
  <si>
    <t>Inj Modecate</t>
  </si>
  <si>
    <t>Inj Noristerat</t>
  </si>
  <si>
    <t>Inj Omeprazole</t>
  </si>
  <si>
    <t>Inj Oxytocin (X1)</t>
  </si>
  <si>
    <t>Inj Paluther (X1) -Arthemeter</t>
  </si>
  <si>
    <t>Inj Paracetamol 15ml (X1)</t>
  </si>
  <si>
    <t>Inj Paraldehyde</t>
  </si>
  <si>
    <t>Inj Phenobarbitone</t>
  </si>
  <si>
    <t>Inj Phinomether (X6)</t>
  </si>
  <si>
    <t>Reichclox (Rtl X1)</t>
  </si>
  <si>
    <t>Inj Piroxicam 20mg (X1)</t>
  </si>
  <si>
    <t>Inj Primolu Depot</t>
  </si>
  <si>
    <t>Inj Progesterone</t>
  </si>
  <si>
    <t>Inj Proluton Depot</t>
  </si>
  <si>
    <t>Inj Quinnine (X1)</t>
  </si>
  <si>
    <t>Inj Rocephine</t>
  </si>
  <si>
    <t>Inj Rophex -Ceftriaxone</t>
  </si>
  <si>
    <t>Inj Snake Anti Serum</t>
  </si>
  <si>
    <t>Inj Streptomycin</t>
  </si>
  <si>
    <t>Inj Teretine</t>
  </si>
  <si>
    <t>Inj Testosterone</t>
  </si>
  <si>
    <t>Inj Tetanus Toxoid 0.5ml</t>
  </si>
  <si>
    <t>Inj Tetanus Toxoid 10ml</t>
  </si>
  <si>
    <t>Inj Togamycin</t>
  </si>
  <si>
    <t>Inj Promethazine</t>
  </si>
  <si>
    <t>Inj Promethazine (X1)</t>
  </si>
  <si>
    <t>Inj Tradyl</t>
  </si>
  <si>
    <t>Inj Tramadol</t>
  </si>
  <si>
    <t>Inj Trexamin</t>
  </si>
  <si>
    <t>Inj Valium</t>
  </si>
  <si>
    <t>Inj Verorab Vaccine</t>
  </si>
  <si>
    <t>Inj Vitamin B Complex (X1)</t>
  </si>
  <si>
    <t>Inj Vitamin B12 10ml (X1)</t>
  </si>
  <si>
    <t>Inj Vitamin B12 2ml</t>
  </si>
  <si>
    <t>Inj Vitamin C (X1)</t>
  </si>
  <si>
    <t>Inj Vitamin E</t>
  </si>
  <si>
    <t>Inj Vitamin K3</t>
  </si>
  <si>
    <t>Water For Injection</t>
  </si>
  <si>
    <t>Inj Xylocaine Only</t>
  </si>
  <si>
    <t>Inj Xylocaine with Adrenaline</t>
  </si>
  <si>
    <t>Inj Zantac - Ranitidine</t>
  </si>
  <si>
    <t>Inj Zinacef 750mg</t>
  </si>
  <si>
    <t>Inj Zoricef Ceftriaxone</t>
  </si>
  <si>
    <t>Accu check active machine</t>
  </si>
  <si>
    <t>Medical Equipments</t>
  </si>
  <si>
    <t>Circumcision set</t>
  </si>
  <si>
    <t>Combi 2</t>
  </si>
  <si>
    <t>Gluco DR machine</t>
  </si>
  <si>
    <t>Gluco dr machine stripes</t>
  </si>
  <si>
    <t>Omron b.p machine mx2 basic</t>
  </si>
  <si>
    <t>One touch ultra easy</t>
  </si>
  <si>
    <t>Skin traction generic</t>
  </si>
  <si>
    <t>Underlag pad</t>
  </si>
  <si>
    <t>Ibucap Forte X10</t>
  </si>
  <si>
    <t>Druvitin Nasal Drop</t>
  </si>
  <si>
    <t>Nose Drops</t>
  </si>
  <si>
    <t>Otrivin Nasal Drop Children</t>
  </si>
  <si>
    <t>Otrivin Nasal Drop Adult</t>
  </si>
  <si>
    <t>Xylo-Mepha 0.05%</t>
  </si>
  <si>
    <t>Actifed Syrup</t>
  </si>
  <si>
    <t>Sinufed Syrup</t>
  </si>
  <si>
    <t>Aminopep Syrup 200ml</t>
  </si>
  <si>
    <t>G-Amiro syrup</t>
  </si>
  <si>
    <t>Mekoamin Syrup</t>
  </si>
  <si>
    <t>Monomin plus 200ml</t>
  </si>
  <si>
    <t>Monover Syrup 200ml</t>
  </si>
  <si>
    <t>Octamin Suspension</t>
  </si>
  <si>
    <t>amexigram Amoxycillin Suspension</t>
  </si>
  <si>
    <t>Astapicin Ampicillin Syrup</t>
  </si>
  <si>
    <t>Barbimox Amoxicillin Suspension</t>
  </si>
  <si>
    <t>Floximox Syrup</t>
  </si>
  <si>
    <t>Lamox Suspension</t>
  </si>
  <si>
    <t>Ampicillin Syrup 125mg</t>
  </si>
  <si>
    <t>Astraclox Ampiclox Syrup</t>
  </si>
  <si>
    <t>Briskly Herbal Syrup</t>
  </si>
  <si>
    <t>Me Cure Ampicillin Susp</t>
  </si>
  <si>
    <t>Vanclox Syrup</t>
  </si>
  <si>
    <t>Barbiclox Susp 125mg</t>
  </si>
  <si>
    <t>Barbiclox Syrup</t>
  </si>
  <si>
    <t>Emzoclox Syrup</t>
  </si>
  <si>
    <t>Gecrol Suspension</t>
  </si>
  <si>
    <t>ADM Syrup</t>
  </si>
  <si>
    <t>Gelacid Suspension B/S</t>
  </si>
  <si>
    <t>Gelacid Suspension S/S</t>
  </si>
  <si>
    <t>Gestid Plus 100ml</t>
  </si>
  <si>
    <t>Locid Suspension</t>
  </si>
  <si>
    <t>Magsil Syrup 100ml</t>
  </si>
  <si>
    <t>Magsil Syrup 190ml</t>
  </si>
  <si>
    <t>Megacid Suspension</t>
  </si>
  <si>
    <t>peptomag usp 200ml</t>
  </si>
  <si>
    <t>polycil antacid suspension</t>
  </si>
  <si>
    <t>Polycrol Gel</t>
  </si>
  <si>
    <t>Polyfort Suspension</t>
  </si>
  <si>
    <t>Recler Gel</t>
  </si>
  <si>
    <t>Relcer gel Antacid susp</t>
  </si>
  <si>
    <t>Rulox Suspension</t>
  </si>
  <si>
    <t>De - Shalom Anti Diarrhoea</t>
  </si>
  <si>
    <t>Benzyl Benzoate 100ml</t>
  </si>
  <si>
    <t>Bromex Syrup</t>
  </si>
  <si>
    <t>cefamor Syrup 250mg</t>
  </si>
  <si>
    <t>Fivarex Syrup</t>
  </si>
  <si>
    <t>Moko Benzyl Benzoate 100ml</t>
  </si>
  <si>
    <t>Moko quinine syr</t>
  </si>
  <si>
    <t>Jawasil Suspension 100ml</t>
  </si>
  <si>
    <t>Gestid Suspension 100ml</t>
  </si>
  <si>
    <t>Swedish Bitters (Imported)</t>
  </si>
  <si>
    <t>Astymin Tonic 110ml</t>
  </si>
  <si>
    <t>Biotonic Plus Bood Tonic 200ml</t>
  </si>
  <si>
    <t>Biotonic Tonic B/S</t>
  </si>
  <si>
    <t>Biotonic Tonic M/S</t>
  </si>
  <si>
    <t>Biotonic Tonic S/S</t>
  </si>
  <si>
    <t>Build Up Blood Tonic</t>
  </si>
  <si>
    <t>Bunto Tonic MS</t>
  </si>
  <si>
    <t>Care On Tonic 1 litre</t>
  </si>
  <si>
    <t>Care on tonic 200ml</t>
  </si>
  <si>
    <t>Care On Tonic S/S</t>
  </si>
  <si>
    <t>Metformin Glucophage 500mg (X10)</t>
  </si>
  <si>
    <t>Sachet (X20)</t>
  </si>
  <si>
    <t>Cyprigold Tonic M/S</t>
  </si>
  <si>
    <t>Daravit Family Tonic</t>
  </si>
  <si>
    <t>Daravit Tonic 200ml</t>
  </si>
  <si>
    <t>Cyprigold Tonic 100ml</t>
  </si>
  <si>
    <t>Clotrimazole Vaginal 100mg</t>
  </si>
  <si>
    <t>Detonic Tonic 200ml</t>
  </si>
  <si>
    <t>Bunto Tonic S/S</t>
  </si>
  <si>
    <t>Chemiron Tonic (200ml)</t>
  </si>
  <si>
    <t>Astyfer Tonic 200ml</t>
  </si>
  <si>
    <t>Dr Nelsons Blood Tonic</t>
  </si>
  <si>
    <t>Falbitone Cap</t>
  </si>
  <si>
    <t>Ferbelan Tonic 100ml</t>
  </si>
  <si>
    <t>Ferilex Tonic B/S</t>
  </si>
  <si>
    <t>Ferilex Tonic S/S</t>
  </si>
  <si>
    <t>Feriplus Tonic B/S</t>
  </si>
  <si>
    <t>Feriplus Tonic M/S</t>
  </si>
  <si>
    <t>Feriplus Tonic S/S</t>
  </si>
  <si>
    <t>Feritan Plus</t>
  </si>
  <si>
    <t>Ferobin Plus Tonic</t>
  </si>
  <si>
    <t>Ferotal Blood Tonic 300ml</t>
  </si>
  <si>
    <t>Ferotal Extra Tonic 300ml</t>
  </si>
  <si>
    <t>Ferrotogen Syrup</t>
  </si>
  <si>
    <t>Heam - F Tonic</t>
  </si>
  <si>
    <t>HS 12 Heamoglobin Tonic</t>
  </si>
  <si>
    <t>Ironoglobin Tonic 200ml</t>
  </si>
  <si>
    <t>Lifex Blood Tonic B/S</t>
  </si>
  <si>
    <t>Lifex Blood Tonic M/S</t>
  </si>
  <si>
    <t>Emzoron Tonic (200ml)</t>
  </si>
  <si>
    <t>Jawaron Tonic 100ml</t>
  </si>
  <si>
    <t>Lifex Blood Tonic S/S</t>
  </si>
  <si>
    <t>Liqiud Iron Tonic M/S</t>
  </si>
  <si>
    <t>Orheptal Tonic 165ml</t>
  </si>
  <si>
    <t>Orheptal Tonic M/S</t>
  </si>
  <si>
    <t>Orofer Tonic</t>
  </si>
  <si>
    <t>Peacetone Tonic BS</t>
  </si>
  <si>
    <t>Peacetone Tonic MS</t>
  </si>
  <si>
    <t>Peacetone Tonic SS</t>
  </si>
  <si>
    <t>Ranferon Tonic 100ml</t>
  </si>
  <si>
    <t>Ranferon Tonic 200ml</t>
  </si>
  <si>
    <t>Super Tonic</t>
  </si>
  <si>
    <t>Thiocal 12 Tonic 1 Litre</t>
  </si>
  <si>
    <t>Hollandia Yogurt S/s 315ml</t>
  </si>
  <si>
    <t>Millilitres</t>
  </si>
  <si>
    <t>Tonivite Tonic</t>
  </si>
  <si>
    <t>Vamiron Tonic 1Litre</t>
  </si>
  <si>
    <t>Vamiron Tonic 200mls</t>
  </si>
  <si>
    <t>Vamis Heamoglobin Tonic 200ml</t>
  </si>
  <si>
    <t>Vamis Heamoglobin Tonic 300ml</t>
  </si>
  <si>
    <t>Vamobion Children Blood Tonic 200ml</t>
  </si>
  <si>
    <t>King Tonic 200ml</t>
  </si>
  <si>
    <t>MIM Tonic 100ml</t>
  </si>
  <si>
    <t>Thiocal 12 Tonic 200ml</t>
  </si>
  <si>
    <t>Vitaferon Tonic</t>
  </si>
  <si>
    <t>Vital X Tonic</t>
  </si>
  <si>
    <t>Wate-on Emulsion Tonic 600ml</t>
  </si>
  <si>
    <t>Welltonic Extra BS</t>
  </si>
  <si>
    <t>Welltonic MS</t>
  </si>
  <si>
    <t>Welltonic Tonic SS</t>
  </si>
  <si>
    <t>WellwomanTonic</t>
  </si>
  <si>
    <t>Zologer blood tonic syrup</t>
  </si>
  <si>
    <t>BCN Calamine Lotion</t>
  </si>
  <si>
    <t>Faith Calamine Lotion</t>
  </si>
  <si>
    <t>Moko Calamine Lotion</t>
  </si>
  <si>
    <t>Neoscab Lotion</t>
  </si>
  <si>
    <t>Top Way Calamine Lotion 100ml</t>
  </si>
  <si>
    <t>Topway Calamine Lotion</t>
  </si>
  <si>
    <t>CAL D3 Syrup</t>
  </si>
  <si>
    <t>Atilab Chloroquine Syrup</t>
  </si>
  <si>
    <t>Emzor Chloroquine Syrup</t>
  </si>
  <si>
    <t>Evans Chloroquine Syrup</t>
  </si>
  <si>
    <t>Faith Chloroquine Syrup</t>
  </si>
  <si>
    <t>Kaymab Chloroquine Syrup</t>
  </si>
  <si>
    <t>Laclox Syrup</t>
  </si>
  <si>
    <t>Maladrine Syrup</t>
  </si>
  <si>
    <t>Moko Chloroquine Syrup</t>
  </si>
  <si>
    <t>Nivaquine Syrup</t>
  </si>
  <si>
    <t>Calcimax Syrup</t>
  </si>
  <si>
    <t>Oak faith Chloroquine Syrup</t>
  </si>
  <si>
    <t>Peace Chloroquine Syrup</t>
  </si>
  <si>
    <t>Ultimal Chloroquinne Syrup</t>
  </si>
  <si>
    <t>Vinaquine Syrup</t>
  </si>
  <si>
    <t>Chloroquinne Syrup G</t>
  </si>
  <si>
    <t>Paracetamol Syrup G</t>
  </si>
  <si>
    <t>Avrolin Cough Syrup (Adult)</t>
  </si>
  <si>
    <t>Emzolyn Expectorant</t>
  </si>
  <si>
    <t>Coff off (Adult)</t>
  </si>
  <si>
    <t>Coscopin Cough Linctus (Adult)</t>
  </si>
  <si>
    <t>Dana xpel Expectorant</t>
  </si>
  <si>
    <t>TomTom</t>
  </si>
  <si>
    <t>greenlin dry cough adult</t>
  </si>
  <si>
    <t>Rablyn expecturant</t>
  </si>
  <si>
    <t>toplin expectorant</t>
  </si>
  <si>
    <t>Collipan Syrup</t>
  </si>
  <si>
    <t>Vitolex Expectorant</t>
  </si>
  <si>
    <t>Vltilim expactorant</t>
  </si>
  <si>
    <t>Avrocof Cough Syrup</t>
  </si>
  <si>
    <t>Avrolin Cough Syrup (Children)</t>
  </si>
  <si>
    <t>Benylin Cough Syrup (Child)</t>
  </si>
  <si>
    <t>Biolin Cough Syrup</t>
  </si>
  <si>
    <t>Bonakoff Cough Syrup</t>
  </si>
  <si>
    <t>Cadiphen Cough Syrup</t>
  </si>
  <si>
    <t>Cattafed Syrup</t>
  </si>
  <si>
    <t>Cencold Syrup</t>
  </si>
  <si>
    <t>Chericof Syrup</t>
  </si>
  <si>
    <t>Clearcuf Cough Syrup for children</t>
  </si>
  <si>
    <t>Cofcol Cough Syrup</t>
  </si>
  <si>
    <t>Lemon-X Extra Menthol</t>
  </si>
  <si>
    <t>Cofmix Cough Syrup</t>
  </si>
  <si>
    <t>Echart (X30)</t>
  </si>
  <si>
    <t>Aldoxil (X10)</t>
  </si>
  <si>
    <t>Asmanol -F (x100) Branded</t>
  </si>
  <si>
    <t>Calcifier Mineral Supplement</t>
  </si>
  <si>
    <t>Purecal (X30)</t>
  </si>
  <si>
    <t>Calcium (x100)</t>
  </si>
  <si>
    <t>Coff Off (Children)</t>
  </si>
  <si>
    <t>Cofex Syrup</t>
  </si>
  <si>
    <t>Essential Forte 300mg (X50)</t>
  </si>
  <si>
    <t>Asmanol F (X50) G</t>
  </si>
  <si>
    <t>Ciprojopan tabX10</t>
  </si>
  <si>
    <t>Vitamin C coloured (x100) G</t>
  </si>
  <si>
    <t>Vitamin C White (X100) G</t>
  </si>
  <si>
    <t>Sprinolactone (x1)</t>
  </si>
  <si>
    <t>Aldomet 250mg</t>
  </si>
  <si>
    <t>Aminophylline 250mg (X1)</t>
  </si>
  <si>
    <t>Aminophylline 250mg (X1000)</t>
  </si>
  <si>
    <t>Amitryptiline Tryptizole (X1)</t>
  </si>
  <si>
    <t>Amitryptiline Tryptizole (X1000)</t>
  </si>
  <si>
    <t>Ancoloxin (X1)</t>
  </si>
  <si>
    <t>Ancoloxin (X1000)</t>
  </si>
  <si>
    <t>Gelusil (X1)</t>
  </si>
  <si>
    <t>Gelusil (X1000)</t>
  </si>
  <si>
    <t>Daraprim 25mg (x1)</t>
  </si>
  <si>
    <t>Amodiaquinne (X1)</t>
  </si>
  <si>
    <t>Amodiaquinne (X1000)</t>
  </si>
  <si>
    <t>Camoquine 200mg (X1)</t>
  </si>
  <si>
    <t>Chloroquine 250mg (x1)</t>
  </si>
  <si>
    <t>Chloroquine 250mg (x1000)</t>
  </si>
  <si>
    <t>Artane 5mg (X1)</t>
  </si>
  <si>
    <t>Artane 5mg (X500)</t>
  </si>
  <si>
    <t>Folic Acid (X100)</t>
  </si>
  <si>
    <t>Aspirin 300mg (X1)</t>
  </si>
  <si>
    <t>Beecodeen (X1)</t>
  </si>
  <si>
    <t>Buscopan 10mg (X1000)</t>
  </si>
  <si>
    <t>Buta (X1)</t>
  </si>
  <si>
    <t>Calcium (x1)</t>
  </si>
  <si>
    <t>Calcium (X1000) Calcitone</t>
  </si>
  <si>
    <t>Calcium (X1000) G</t>
  </si>
  <si>
    <t>Chloramphenicol cap X 1000</t>
  </si>
  <si>
    <t>Chymoral tab X500</t>
  </si>
  <si>
    <t>Ketrax (X1) G</t>
  </si>
  <si>
    <t>Ketrax (X500)</t>
  </si>
  <si>
    <t>Retrax (X1000)</t>
  </si>
  <si>
    <t>Digoxin tab (X1000)</t>
  </si>
  <si>
    <t>Epanutin 100mg (X1)</t>
  </si>
  <si>
    <t>Epanutin 100mg (X1000)</t>
  </si>
  <si>
    <t>Folic Acid (X1000)</t>
  </si>
  <si>
    <t>Haloperidol 10mg (Tin)</t>
  </si>
  <si>
    <t>Haloperidol 10mg (X1)</t>
  </si>
  <si>
    <t>Haloperidol 5mg (Tin)</t>
  </si>
  <si>
    <t>Ibuprofen 200mg (X1000) G</t>
  </si>
  <si>
    <t>Inderal (X1)</t>
  </si>
  <si>
    <t>Inderal 40mg (X1000)</t>
  </si>
  <si>
    <t>Indocid (X1)</t>
  </si>
  <si>
    <t>Flagyl Tablet (X1000) G</t>
  </si>
  <si>
    <t>Buscopan 10mg (X1)</t>
  </si>
  <si>
    <t>Indocid (X1000)</t>
  </si>
  <si>
    <t>Chlopromazine 100mg (x1)</t>
  </si>
  <si>
    <t>Chlopromazine 100mg (x1000)</t>
  </si>
  <si>
    <t>Frusemide 40mg (X10)</t>
  </si>
  <si>
    <t>Lasix (X1000)</t>
  </si>
  <si>
    <t>Moduretic (Tin)</t>
  </si>
  <si>
    <t>Essential Forte (X1)</t>
  </si>
  <si>
    <t>Essential Forte (X1000)</t>
  </si>
  <si>
    <t>Multivite (X1000)</t>
  </si>
  <si>
    <t>Nitrazepam 5mg (Tin)</t>
  </si>
  <si>
    <t>Banocide (X100)</t>
  </si>
  <si>
    <t>Banocide 50mg (x1)</t>
  </si>
  <si>
    <t>Banocide 50mg (x1000)</t>
  </si>
  <si>
    <t>Bendrofluazide (X1)</t>
  </si>
  <si>
    <t>Bendrofluazide (X1000)</t>
  </si>
  <si>
    <t>Chlodiazepozide 10mg</t>
  </si>
  <si>
    <t>Cilycary trinitrate</t>
  </si>
  <si>
    <t>Dapsone (x1)</t>
  </si>
  <si>
    <t>Dexamethazone (X1000)</t>
  </si>
  <si>
    <t>DHC-Dihydrocodiene</t>
  </si>
  <si>
    <t>Ephedrine 60mg</t>
  </si>
  <si>
    <t>Ergomentrine (X1)</t>
  </si>
  <si>
    <t>Ethambutol 400mg (X1)</t>
  </si>
  <si>
    <t>Ethambutol 400mg (X1000)</t>
  </si>
  <si>
    <t>Fergon 300mg</t>
  </si>
  <si>
    <t>Ferrous (X10)</t>
  </si>
  <si>
    <t>Flagyl (X1)</t>
  </si>
  <si>
    <t>Haloperidol 5mg (X1)</t>
  </si>
  <si>
    <t>Hydrine capsule (X100)</t>
  </si>
  <si>
    <t>INH Isoniazid 300mg (X1)</t>
  </si>
  <si>
    <t>INH Isoniazid 300mg (X1000)</t>
  </si>
  <si>
    <t>M&amp;B 360 Sulphatriad (X1)</t>
  </si>
  <si>
    <t>M&amp;B 360 Sulphatriad (X1000)</t>
  </si>
  <si>
    <t>M&amp;B 760 Thiazamide (X1)</t>
  </si>
  <si>
    <t>M&amp;B 760 Thiazamide (X1000)</t>
  </si>
  <si>
    <t>Neomycin 500mg</t>
  </si>
  <si>
    <t>Nitrofurantoin 100mg (X1)</t>
  </si>
  <si>
    <t>Pilicon tab X24</t>
  </si>
  <si>
    <t>Pthylsulphathiazole 500mg</t>
  </si>
  <si>
    <t>Pyridoxine 50mg (X1)</t>
  </si>
  <si>
    <t>Pyridoxine 50mg (X1000)</t>
  </si>
  <si>
    <t>Pyrizinamide 500mg</t>
  </si>
  <si>
    <t>Sodamint (X1)</t>
  </si>
  <si>
    <t>Stelazine 5mg (X1)</t>
  </si>
  <si>
    <t>Stelazine 5mg (X1000)</t>
  </si>
  <si>
    <t>Stibestrol 5mg</t>
  </si>
  <si>
    <t>Sulphadimidine 500mg (X1)</t>
  </si>
  <si>
    <t>Sulphadimidine 500mg (X1000)</t>
  </si>
  <si>
    <t>Tegretol CR 200mg (X10)</t>
  </si>
  <si>
    <t>Paludrine 100mg (X1)</t>
  </si>
  <si>
    <t>Paracetamol Caplet (x1)</t>
  </si>
  <si>
    <t>Actifed (Rtl X1)</t>
  </si>
  <si>
    <t>Paracetamol Tablet (x1) G</t>
  </si>
  <si>
    <t>Paracetamol Tablet (X1000)</t>
  </si>
  <si>
    <t>Phenobarbitone 30mg (X1)</t>
  </si>
  <si>
    <t>Phenobarbitone 60mg (X1)</t>
  </si>
  <si>
    <t>Piriton 4mg (X1)</t>
  </si>
  <si>
    <t>Piriton 4mg (X1000)</t>
  </si>
  <si>
    <t>Prednisolone 1mg (X1)</t>
  </si>
  <si>
    <t>Prednisolone 5mg (Tin)</t>
  </si>
  <si>
    <t>Propranolol (X1)</t>
  </si>
  <si>
    <t>Propranolol 40mg (X1000)</t>
  </si>
  <si>
    <t>Septrin (X1000)</t>
  </si>
  <si>
    <t>Tetracycline (X1000)</t>
  </si>
  <si>
    <t>Thalazole - Sulfazole (X1000)</t>
  </si>
  <si>
    <t>Candibiotic Ear Drop</t>
  </si>
  <si>
    <t>Nystatin Vaginal 200mg</t>
  </si>
  <si>
    <t>Diazepam 5mg (X1000)</t>
  </si>
  <si>
    <t>Sabutamol 2mg (X1)</t>
  </si>
  <si>
    <t>Sabutamol 2mg (X1000)</t>
  </si>
  <si>
    <t>Sabutamol 4mg (X1)</t>
  </si>
  <si>
    <t>Sabutamol 4mg (X1000)</t>
  </si>
  <si>
    <t>Ferrous + Folic Acid (X1000)</t>
  </si>
  <si>
    <t>Diazepam 5mg (X12)</t>
  </si>
  <si>
    <t>Ferrous Fumarate (X1000)</t>
  </si>
  <si>
    <t>Ferrous Sulphate (X1000)</t>
  </si>
  <si>
    <t>Fersulf Ferrous(x10)</t>
  </si>
  <si>
    <t>Folic Acid (X1)</t>
  </si>
  <si>
    <t>Vitamine B2 (X1)</t>
  </si>
  <si>
    <t>Vitamine B2 (X1000)</t>
  </si>
  <si>
    <t>Vitamin B Complex (X1)</t>
  </si>
  <si>
    <t>Vitamin B Complex (X1000)</t>
  </si>
  <si>
    <t>Vitamin C Coloured (X1000)</t>
  </si>
  <si>
    <t>Ampiclox 500gm (Rtl X1)</t>
  </si>
  <si>
    <t>Vitamin C White (X1000)</t>
  </si>
  <si>
    <t>Yeast (X1)</t>
  </si>
  <si>
    <t>Babimox Syrup</t>
  </si>
  <si>
    <t>Jamox Suspension</t>
  </si>
  <si>
    <t>Miramox Syrup</t>
  </si>
  <si>
    <t>Tuyil Amoxicillin Suspension</t>
  </si>
  <si>
    <t>Barbicillin syrup</t>
  </si>
  <si>
    <t>Danacillin Syrup</t>
  </si>
  <si>
    <t>Lampicin Susp 125mg/5ml</t>
  </si>
  <si>
    <t>Jawaclox drop</t>
  </si>
  <si>
    <t>Ampiclox Beecham Syrup 250mg/5ml</t>
  </si>
  <si>
    <t>Climpiclox Syrup</t>
  </si>
  <si>
    <t>Danaclox Syrup</t>
  </si>
  <si>
    <t>Miraclox Syrup</t>
  </si>
  <si>
    <t>Yeast 5 Tablets (x1000)</t>
  </si>
  <si>
    <t>Ziclox Syrup</t>
  </si>
  <si>
    <t>Cefuroxime Syrup</t>
  </si>
  <si>
    <t>Cephaflash Syrup 125mg</t>
  </si>
  <si>
    <t>Cephaflash Syrup 250mg</t>
  </si>
  <si>
    <t>Ocefix suspension 60ml</t>
  </si>
  <si>
    <t>Sporidex Susp 250mg/5ml</t>
  </si>
  <si>
    <t>Oat Choco whit</t>
  </si>
  <si>
    <t>Zemicef Syrup</t>
  </si>
  <si>
    <t>Chloramphenicol eardrop</t>
  </si>
  <si>
    <t>Otipax ear drops 16g</t>
  </si>
  <si>
    <t>Zinnat Suspension 125mg</t>
  </si>
  <si>
    <t>Zolat Syrup</t>
  </si>
  <si>
    <t>Zoocef Susp</t>
  </si>
  <si>
    <t>Diafree Syrup</t>
  </si>
  <si>
    <t>Gvither Syrup</t>
  </si>
  <si>
    <t>Halfan Syrup</t>
  </si>
  <si>
    <t>Laridox Syrup</t>
  </si>
  <si>
    <t>Maldox Susp</t>
  </si>
  <si>
    <t>P-Alaxin Syrup</t>
  </si>
  <si>
    <t>Amatem Syrup</t>
  </si>
  <si>
    <t>Artesunate Syrup</t>
  </si>
  <si>
    <t>Artesunate Syrup Meko</t>
  </si>
  <si>
    <t>MD-Artesunate Plus Amodiaquine Syrup</t>
  </si>
  <si>
    <t>Camoquine Syrup</t>
  </si>
  <si>
    <t>Loquin Syrup</t>
  </si>
  <si>
    <t>Lonart Suspension</t>
  </si>
  <si>
    <t>Quinine Syrup</t>
  </si>
  <si>
    <t>Amalar Syrup</t>
  </si>
  <si>
    <t>Co-artesiane Syrup</t>
  </si>
  <si>
    <t>Malagon Syrup 15ml</t>
  </si>
  <si>
    <t>Arthemether Plus Syrup</t>
  </si>
  <si>
    <t>Allergin Syrup</t>
  </si>
  <si>
    <t>Amoksiklav Syrup (156.25mg/5ml)</t>
  </si>
  <si>
    <t>Amoksiklav Syrup (228mg/5ml)</t>
  </si>
  <si>
    <t>Amoksiklav Syrup (457mg/5ml)</t>
  </si>
  <si>
    <t>Amovin Susp 228mg/5ml</t>
  </si>
  <si>
    <t>Auglocef syr 156.25mg</t>
  </si>
  <si>
    <t>Augumentin Susp 156mg/5ml</t>
  </si>
  <si>
    <t>Augumentin Susp 228mg/5ml</t>
  </si>
  <si>
    <t>Clamovin Susp 228mg/5ml</t>
  </si>
  <si>
    <t>Clamovin Susp 312mg/5ml</t>
  </si>
  <si>
    <t>Clamovin Susp 457mg/5ml</t>
  </si>
  <si>
    <t>Fleming Syrup 156.25mg</t>
  </si>
  <si>
    <t>Fleming Syrup 228mg</t>
  </si>
  <si>
    <t>Fleming Susp. 457mg</t>
  </si>
  <si>
    <t>Nosak Cefuroxime Syrup</t>
  </si>
  <si>
    <t>Cephaflash Syrup</t>
  </si>
  <si>
    <t>Cephalexin 125mg/5ml Syrup</t>
  </si>
  <si>
    <t>Cephalexin 250mg/5ml Syrup</t>
  </si>
  <si>
    <t>Ceporex 125mg Syrup</t>
  </si>
  <si>
    <t>Ceporex 250mg Syrup</t>
  </si>
  <si>
    <t>Ocefix Suspension 100ml</t>
  </si>
  <si>
    <t>Furoxetil Suspension</t>
  </si>
  <si>
    <t>Cefaclor Syrup</t>
  </si>
  <si>
    <t>Chloramphenicol Susp</t>
  </si>
  <si>
    <t>Chloramphenicol Syrup</t>
  </si>
  <si>
    <t>Clofencol Cpcol Syrup</t>
  </si>
  <si>
    <t>Cyprofloxin Syrup</t>
  </si>
  <si>
    <t>Benylin with Codeine</t>
  </si>
  <si>
    <t>Calcicare Syrup</t>
  </si>
  <si>
    <t>Combantrin Syrup</t>
  </si>
  <si>
    <t>Zentel Syrup</t>
  </si>
  <si>
    <t>Barbimycin Susp</t>
  </si>
  <si>
    <t>Erythrokid Syrup</t>
  </si>
  <si>
    <t>Erythromycin Syrup</t>
  </si>
  <si>
    <t>Erythroped Syrup</t>
  </si>
  <si>
    <t>Erythroteva Syrup</t>
  </si>
  <si>
    <t>Tambac Susp 60ml</t>
  </si>
  <si>
    <t>Throtal Syrup</t>
  </si>
  <si>
    <t>Silve Bird Eucarlyptus Oil</t>
  </si>
  <si>
    <t>Bioragyl Syrup</t>
  </si>
  <si>
    <t>Bonagyl Syrup</t>
  </si>
  <si>
    <t>Fapogyl Syrup</t>
  </si>
  <si>
    <t>Jawagyl Syrup</t>
  </si>
  <si>
    <t>Unigyl Syrup</t>
  </si>
  <si>
    <t>Vamis Flagyl Susp</t>
  </si>
  <si>
    <t>Griseofulvin Syrup</t>
  </si>
  <si>
    <t>Brustan-N oral Susp 100ml</t>
  </si>
  <si>
    <t>Ibuprofen Syrup</t>
  </si>
  <si>
    <t>Combifen Syrup</t>
  </si>
  <si>
    <t>Flabora Syrup</t>
  </si>
  <si>
    <t>Genafen Syrup</t>
  </si>
  <si>
    <t>Metronidazole Susp - Archy</t>
  </si>
  <si>
    <t>Kiprofen Syrup</t>
  </si>
  <si>
    <t>Refucil Syrup</t>
  </si>
  <si>
    <t>Reprofen Syrup</t>
  </si>
  <si>
    <t>Rexifen Syrup</t>
  </si>
  <si>
    <t>Biovit Syrup 100ml</t>
  </si>
  <si>
    <t>Biovit Syrup 200ml</t>
  </si>
  <si>
    <t>Circuma Plus Syrup</t>
  </si>
  <si>
    <t>Solotone Syrup</t>
  </si>
  <si>
    <t>Jobelyn Syrup 100ml</t>
  </si>
  <si>
    <t>Amoxycillin Suspension G</t>
  </si>
  <si>
    <t>ampiclox syrup - miradox</t>
  </si>
  <si>
    <t>armex ssp - vanelex</t>
  </si>
  <si>
    <t>Astamocil Syrup</t>
  </si>
  <si>
    <t>astarclox. Syr</t>
  </si>
  <si>
    <t>Atadyn susp</t>
  </si>
  <si>
    <t>Avotrim Septin Syrup</t>
  </si>
  <si>
    <t>bactrim suspension -50ml</t>
  </si>
  <si>
    <t>Bactrim Syrup</t>
  </si>
  <si>
    <t>Badex Syrup</t>
  </si>
  <si>
    <t>Bentrin Septrin Syrup</t>
  </si>
  <si>
    <t>Bisolvon Elixir</t>
  </si>
  <si>
    <t>bongrex triplle action</t>
  </si>
  <si>
    <t>Catanil Syrup</t>
  </si>
  <si>
    <t>cefamor Syrup 125mg</t>
  </si>
  <si>
    <t>Cefamor Syrup 250mg</t>
  </si>
  <si>
    <t>Ceff Dry Syrup</t>
  </si>
  <si>
    <t>Cefuroxime Syrup 125mg</t>
  </si>
  <si>
    <t>celexin 500</t>
  </si>
  <si>
    <t>Ciklavit Syrup</t>
  </si>
  <si>
    <t>Clamide (X10)</t>
  </si>
  <si>
    <t>clamoxin 125mg</t>
  </si>
  <si>
    <t>De-Shalom Mist Expect sed</t>
  </si>
  <si>
    <t>Dioscovite 60ml</t>
  </si>
  <si>
    <t>drabetins</t>
  </si>
  <si>
    <t>Emcap Suspension</t>
  </si>
  <si>
    <t>Erogen Erythromycin Suspension</t>
  </si>
  <si>
    <t>Erylid Syrup</t>
  </si>
  <si>
    <t>Evans Septin Syrup</t>
  </si>
  <si>
    <t>Faith Chloroquinne Syrup</t>
  </si>
  <si>
    <t>Floxapen Syrup (x100ml)</t>
  </si>
  <si>
    <t>floximox</t>
  </si>
  <si>
    <t>Fynale Syrup</t>
  </si>
  <si>
    <t>Glothrox Syrup</t>
  </si>
  <si>
    <t>Lokmal Suspension</t>
  </si>
  <si>
    <t>gremolid antheid 200ml</t>
  </si>
  <si>
    <t>Ixime Syrup</t>
  </si>
  <si>
    <t>Linocine Syrup 250mg/5ml</t>
  </si>
  <si>
    <t>Liquid Paraffin (Mopsin)</t>
  </si>
  <si>
    <t>Loxaprim Septrin Syrup</t>
  </si>
  <si>
    <t>Malarex Syrup</t>
  </si>
  <si>
    <t>Maxpam -100 Suspension</t>
  </si>
  <si>
    <t>Maxpam -200 Suspension</t>
  </si>
  <si>
    <t>Mosegor Syrup</t>
  </si>
  <si>
    <t>Mycobex Suspension</t>
  </si>
  <si>
    <t>No-Sore Toothache Tincture</t>
  </si>
  <si>
    <t>Odoxil D Syrup</t>
  </si>
  <si>
    <t>PeaceCool Syrup</t>
  </si>
  <si>
    <t>Pica gold Syrup</t>
  </si>
  <si>
    <t>Piscof Syrup</t>
  </si>
  <si>
    <t>Pistrin Septrin Syrup</t>
  </si>
  <si>
    <t>Primpex Syrup</t>
  </si>
  <si>
    <t>Quinicef Syrup</t>
  </si>
  <si>
    <t>Ranoxyl Syrup</t>
  </si>
  <si>
    <t>Regroton (X20)</t>
  </si>
  <si>
    <t>S-Fen Syrup</t>
  </si>
  <si>
    <t>Suphtrim Syrup</t>
  </si>
  <si>
    <t>svitrox oral ssp 200mg 15.1</t>
  </si>
  <si>
    <t>Swisec 500 (X14)</t>
  </si>
  <si>
    <t>Tegretol Syrup 2%</t>
  </si>
  <si>
    <t>Temeter Arthemeter susp</t>
  </si>
  <si>
    <t>Trino IB 100ml</t>
  </si>
  <si>
    <t>Trino Liquid IB</t>
  </si>
  <si>
    <t>Virest Cream</t>
  </si>
  <si>
    <t>Wosak Syrup</t>
  </si>
  <si>
    <t>Piriton Expectorant (Adult)</t>
  </si>
  <si>
    <t>Piriton Syrup (Evans)</t>
  </si>
  <si>
    <t>Moko Liquid Quinnine Syrup</t>
  </si>
  <si>
    <t>Seven Seas Syrup</t>
  </si>
  <si>
    <t>Piccan Syrup</t>
  </si>
  <si>
    <t>Ventolin Syrup</t>
  </si>
  <si>
    <t>Climpclox Drop</t>
  </si>
  <si>
    <t>Ethical Oral Drops</t>
  </si>
  <si>
    <t>La-tesen Drop</t>
  </si>
  <si>
    <t>Bottle Water</t>
  </si>
  <si>
    <t>Sinufed (x10)</t>
  </si>
  <si>
    <t>Actifed (x1)</t>
  </si>
  <si>
    <t>Astifed (x10)</t>
  </si>
  <si>
    <t>Aldactone 250mg (x10)</t>
  </si>
  <si>
    <t>Aldomet (x10) G</t>
  </si>
  <si>
    <t>Bondumet 250mg (X10)</t>
  </si>
  <si>
    <t>Greendopa 250mg (x10)</t>
  </si>
  <si>
    <t>Amoxil 500mg (X12) (Beecham)</t>
  </si>
  <si>
    <t>Amoxycillin 250mg (X10) G</t>
  </si>
  <si>
    <t>Anafranil (X10)</t>
  </si>
  <si>
    <t>BNS 500mg (x20)</t>
  </si>
  <si>
    <t>Celebrex 5mg (x10mg)</t>
  </si>
  <si>
    <t>Norgesic (x10s)</t>
  </si>
  <si>
    <t>Osteo tab (x10)</t>
  </si>
  <si>
    <t>Rancotrim forte (x10)</t>
  </si>
  <si>
    <t>Vitamofen 200mg (x10)</t>
  </si>
  <si>
    <t>Analgin (X10)</t>
  </si>
  <si>
    <t>Voltaren Retard 100mg (x10)</t>
  </si>
  <si>
    <t>Ancopir (x20)</t>
  </si>
  <si>
    <t>Askanyn (x20)</t>
  </si>
  <si>
    <t>Axacef 500mg (X10)</t>
  </si>
  <si>
    <t>Sporidex 250mg (x10)</t>
  </si>
  <si>
    <t>Sporidex 500mg (x10)</t>
  </si>
  <si>
    <t>Zinnat 250mg (x10)</t>
  </si>
  <si>
    <t>Fungral 200mg (x10)</t>
  </si>
  <si>
    <t>Ketofung 200mg (x10)</t>
  </si>
  <si>
    <t>Ketonal 150mg (x20)</t>
  </si>
  <si>
    <t>2.2.1 forte(x10)</t>
  </si>
  <si>
    <t>Antimal (x10)</t>
  </si>
  <si>
    <t>Antimal (X3)</t>
  </si>
  <si>
    <t>Maloxine (x3)</t>
  </si>
  <si>
    <t>Alaxin (x8)</t>
  </si>
  <si>
    <t>Arsuamoon 1-6 (Children)</t>
  </si>
  <si>
    <t>Arsuamoon Adult</t>
  </si>
  <si>
    <t>Arsumex (x12s)</t>
  </si>
  <si>
    <t>Artemef (x12)</t>
  </si>
  <si>
    <t>Artemether (x3)</t>
  </si>
  <si>
    <t>Artemether (x4)</t>
  </si>
  <si>
    <t>Artemether Plus</t>
  </si>
  <si>
    <t>Artequine 600/750(x6s)</t>
  </si>
  <si>
    <t>Artesunate (X12) G</t>
  </si>
  <si>
    <t>Arthemeter (x2)</t>
  </si>
  <si>
    <t>Assuamoon &lt;7yrs</t>
  </si>
  <si>
    <t>Assuamoon &gt;13yrs</t>
  </si>
  <si>
    <t>Assuamoon 2m-9mnths</t>
  </si>
  <si>
    <t>Assuamoon 7-13yrs</t>
  </si>
  <si>
    <t>Bactrim Forte (x10)</t>
  </si>
  <si>
    <t>Coartal Forte</t>
  </si>
  <si>
    <t>Cotexin (x8)</t>
  </si>
  <si>
    <t>Dart for Children</t>
  </si>
  <si>
    <t>Gysunate 100mg (x6)</t>
  </si>
  <si>
    <t>IPCA Artemeter &amp; Lumefantrine (x6)</t>
  </si>
  <si>
    <t>Larither 40mg (x6s)</t>
  </si>
  <si>
    <t>Lifloxin antimalaria (X3)</t>
  </si>
  <si>
    <t>Lumartem (x1)</t>
  </si>
  <si>
    <t>Milkose Candy Sweet</t>
  </si>
  <si>
    <t>Metafizin (x2)</t>
  </si>
  <si>
    <t>Metakelfin (x3)</t>
  </si>
  <si>
    <t>Primalar (x3)</t>
  </si>
  <si>
    <t>Quinine 300mg (x12)</t>
  </si>
  <si>
    <t>Tamether 40/240 (X12)</t>
  </si>
  <si>
    <t>Tamether 80/480 (X10)</t>
  </si>
  <si>
    <t>Artemether+Lumefantrine 40mg X12 (GLOATEM FORTE)</t>
  </si>
  <si>
    <t>Artemether+Lumefantrine X6 80mg</t>
  </si>
  <si>
    <t>Coartem (X18)</t>
  </si>
  <si>
    <t>IPCA Artemether &amp; Lumefantrine (x24)</t>
  </si>
  <si>
    <t>Artesunate - Unbranded</t>
  </si>
  <si>
    <t>Artesunate (x12s)</t>
  </si>
  <si>
    <t>Artesunate + Amodiaquinne (X3) G</t>
  </si>
  <si>
    <t>Camosunate (X6) 1-6yrs</t>
  </si>
  <si>
    <t>Camosunate 1-6 yrs (x6 sachet)</t>
  </si>
  <si>
    <t>Powdered Gram (Sachet)</t>
  </si>
  <si>
    <t>Lumartem (X3)</t>
  </si>
  <si>
    <t>Sachet (X3)</t>
  </si>
  <si>
    <t>Camoquine (x3)</t>
  </si>
  <si>
    <t>Amatem Forte (X6)</t>
  </si>
  <si>
    <t>Capquine (x10)</t>
  </si>
  <si>
    <t>Daraprim (x10s)</t>
  </si>
  <si>
    <t>Apion &amp; Steel</t>
  </si>
  <si>
    <t>Askatrin (x6)</t>
  </si>
  <si>
    <t>Brominol - F</t>
  </si>
  <si>
    <t>Atenolol 100mg (x10) G</t>
  </si>
  <si>
    <t>Avomine (x10)</t>
  </si>
  <si>
    <t>Junolol 40mg (X10)</t>
  </si>
  <si>
    <t>Amoksiklav 375mg (X14)</t>
  </si>
  <si>
    <t>Amoksiklav 625mg (X14)</t>
  </si>
  <si>
    <t>Amosiklav 375mg (x20)</t>
  </si>
  <si>
    <t>Auglocef 375mg (X14)</t>
  </si>
  <si>
    <t>Auglocef 625mg (X14)</t>
  </si>
  <si>
    <t>Augumentin 1g (Beecham)</t>
  </si>
  <si>
    <t>Augumentin 375mg (X20s) (Beecham)</t>
  </si>
  <si>
    <t>Augumentin 625mg (X14) (Beecham)</t>
  </si>
  <si>
    <t>Fluxacin (x10)</t>
  </si>
  <si>
    <t>Handkerchief (coloured)</t>
  </si>
  <si>
    <t>Brinerdin (x10)</t>
  </si>
  <si>
    <t>Ceel cal (x10s)</t>
  </si>
  <si>
    <t>Captopril 25mg</t>
  </si>
  <si>
    <t>Astymin Cap (x15)</t>
  </si>
  <si>
    <t>Captopril 50mg</t>
  </si>
  <si>
    <t>Cataflam 50mg (x10s)</t>
  </si>
  <si>
    <t>Eskonade (x12)</t>
  </si>
  <si>
    <t>Cephalexin (x10)</t>
  </si>
  <si>
    <t>Cimetidine 200mg (x20)</t>
  </si>
  <si>
    <t>Cimetidine 400mg (x20s)</t>
  </si>
  <si>
    <t>AMTIBA-500</t>
  </si>
  <si>
    <t>Ciprotab 500mg (x14) Fidson</t>
  </si>
  <si>
    <t>Clomid 50mg (x10)</t>
  </si>
  <si>
    <t>Co-proxamol (x10)</t>
  </si>
  <si>
    <t>Cumorit Oral (x2)</t>
  </si>
  <si>
    <t>Daonil 5mg (X1000)</t>
  </si>
  <si>
    <t>Daonil (x10) G</t>
  </si>
  <si>
    <t>Arzemal (x3)</t>
  </si>
  <si>
    <t>Chlorbinese 250mg (x10)</t>
  </si>
  <si>
    <t>Digoxin 0.125ug (x10s)</t>
  </si>
  <si>
    <t>Chest and Lungs (x20)</t>
  </si>
  <si>
    <t>Erythromycin 250mg (x10) G</t>
  </si>
  <si>
    <t>Erythromycin 500mg (X10) G</t>
  </si>
  <si>
    <t>Duofem (x28)</t>
  </si>
  <si>
    <t>Franol Original(x10)</t>
  </si>
  <si>
    <t>Griseofulin 500mg (X1)</t>
  </si>
  <si>
    <t>Ginsomin cap (x10)</t>
  </si>
  <si>
    <t>Cenox 500mg (x10)</t>
  </si>
  <si>
    <t>Glucophage 500mg (x14)</t>
  </si>
  <si>
    <t>Arthocare Forte (X30)</t>
  </si>
  <si>
    <t>Arthocare Ordinary (x30)</t>
  </si>
  <si>
    <t>Artristhiscare (X30)</t>
  </si>
  <si>
    <t>Furosemide 40mg (X10)</t>
  </si>
  <si>
    <t>Lexotan 1.5mg (x10)</t>
  </si>
  <si>
    <t>Lexotan 3mg (x10)</t>
  </si>
  <si>
    <t>Lincomycin (X3) G</t>
  </si>
  <si>
    <t>Lincomycin 500mg (x12)</t>
  </si>
  <si>
    <t>Zestril 10mg (x14)</t>
  </si>
  <si>
    <t>Zestril 10mg (x28)</t>
  </si>
  <si>
    <t>Zestril 5mg (x14)</t>
  </si>
  <si>
    <t>Zestril 5mg (x28) England</t>
  </si>
  <si>
    <t>Adams Desire (x1)</t>
  </si>
  <si>
    <t>Deposit</t>
  </si>
  <si>
    <t>Adams Desire (x15)</t>
  </si>
  <si>
    <t>Adams Desire (x30)</t>
  </si>
  <si>
    <t>Adams Desire (x60)</t>
  </si>
  <si>
    <t>Manix X10</t>
  </si>
  <si>
    <t>Sexoforte (x50)</t>
  </si>
  <si>
    <t>Metformin (X1000)</t>
  </si>
  <si>
    <t>Moduretic (x10) G</t>
  </si>
  <si>
    <t>Tenoretic 100mg (X14)</t>
  </si>
  <si>
    <t>Vasoretic 10mg (x10)</t>
  </si>
  <si>
    <t>Zestoretic 20mg (X10)</t>
  </si>
  <si>
    <t>Bromazepam 1.5mg (x10)</t>
  </si>
  <si>
    <t>My-fit (x30)</t>
  </si>
  <si>
    <t>Supradyn (x10)</t>
  </si>
  <si>
    <t>Supramult (X10)</t>
  </si>
  <si>
    <t>Suretone (x30)</t>
  </si>
  <si>
    <t>Vitacap (x10)</t>
  </si>
  <si>
    <t>Wellman 50+ (X10)</t>
  </si>
  <si>
    <t>Wellwoman 50+ (X10)</t>
  </si>
  <si>
    <t>Zestoretic 10mg (X10)</t>
  </si>
  <si>
    <t>Naxen 250mg</t>
  </si>
  <si>
    <t>Naxen 500mg</t>
  </si>
  <si>
    <t>Dolo-Neurobion (x10)</t>
  </si>
  <si>
    <t>Adalat Retard (x10)</t>
  </si>
  <si>
    <t>Nifegem Retard 20mg (x10)</t>
  </si>
  <si>
    <t>ACDT Zero</t>
  </si>
  <si>
    <t>Acefen 100mg (X10)</t>
  </si>
  <si>
    <t>Acefex (X7)</t>
  </si>
  <si>
    <t>Acefex 20mg</t>
  </si>
  <si>
    <t>ADDYZOA (X20)</t>
  </si>
  <si>
    <t>Adride 2mg (X10)</t>
  </si>
  <si>
    <t>Alberol (x1)</t>
  </si>
  <si>
    <t>All Well (X10)</t>
  </si>
  <si>
    <t>Amaryl 2mg (X15)</t>
  </si>
  <si>
    <t>Amclavin 156.25mg</t>
  </si>
  <si>
    <t>Amclavin 625</t>
  </si>
  <si>
    <t>Amdocal -10 (X10)</t>
  </si>
  <si>
    <t>Amdocal -5 (X 10)</t>
  </si>
  <si>
    <t>Amedin 5mg</t>
  </si>
  <si>
    <t>Amidrex 2 (X10)</t>
  </si>
  <si>
    <t>Amiled -10</t>
  </si>
  <si>
    <t>Amilod 10mg (x10)</t>
  </si>
  <si>
    <t>Amilod 5mg (x10)</t>
  </si>
  <si>
    <t>Aminosoft (X10)</t>
  </si>
  <si>
    <t>Aminosoft Se</t>
  </si>
  <si>
    <t>Amlong 10mg (X10)</t>
  </si>
  <si>
    <t>Amlocard 10mg (X10)</t>
  </si>
  <si>
    <t>Amlovar 5mg (X10)</t>
  </si>
  <si>
    <t>Amlover 5mg (X10)</t>
  </si>
  <si>
    <t>Amovin 625</t>
  </si>
  <si>
    <t>Amovin 625mg (x14)</t>
  </si>
  <si>
    <t>amoxiclav 2X 1000mg x10</t>
  </si>
  <si>
    <t>AMYCIN</t>
  </si>
  <si>
    <t>Anacin 300mg (X2)</t>
  </si>
  <si>
    <t>Anclovar 400mg</t>
  </si>
  <si>
    <t>Andermin (X10)</t>
  </si>
  <si>
    <t>anglocef</t>
  </si>
  <si>
    <t>Anorol (X10)</t>
  </si>
  <si>
    <t>Arnex tin</t>
  </si>
  <si>
    <t>artemether +L - 1PG</t>
  </si>
  <si>
    <t>artemether +L - Winshrop</t>
  </si>
  <si>
    <t>arthostop 500mg ×10</t>
  </si>
  <si>
    <t>arthritiscare ms ×30</t>
  </si>
  <si>
    <t>Arthrotec 75mg</t>
  </si>
  <si>
    <t>Artrin (x24)</t>
  </si>
  <si>
    <t>Asflucon (X12)</t>
  </si>
  <si>
    <t>Aska-Apet (X30)</t>
  </si>
  <si>
    <t>Asmadex (X10)</t>
  </si>
  <si>
    <t>Asomex 2.5mg (x30)</t>
  </si>
  <si>
    <t>Asomex 5mg (x10)</t>
  </si>
  <si>
    <t>Astacad plus (X28)</t>
  </si>
  <si>
    <t>Authogratics</t>
  </si>
  <si>
    <t>Avodart 0.5mg (X30)</t>
  </si>
  <si>
    <t>Avodart 1mg (X30)</t>
  </si>
  <si>
    <t>Avomac 25mg (X1)</t>
  </si>
  <si>
    <t>Avomac 25mg (X20)</t>
  </si>
  <si>
    <t>Axacef 250mg (X10)</t>
  </si>
  <si>
    <t>bactron forte</t>
  </si>
  <si>
    <t>Barole 20 (×10)</t>
  </si>
  <si>
    <t>Barole 20 (X10)</t>
  </si>
  <si>
    <t>Betacard -100</t>
  </si>
  <si>
    <t>Betafil 100mg (X14)</t>
  </si>
  <si>
    <t>Betafil 50mg (X14)</t>
  </si>
  <si>
    <t>BGVID (X10)</t>
  </si>
  <si>
    <t>Bioflor (X20)</t>
  </si>
  <si>
    <t>biogler cap ×20</t>
  </si>
  <si>
    <t>Bioxime - P</t>
  </si>
  <si>
    <t>Biscopan (spanil) (X10)</t>
  </si>
  <si>
    <t>Bisolvon</t>
  </si>
  <si>
    <t>bonarex</t>
  </si>
  <si>
    <t>Bitafil Atenolol 50mg (X14) G</t>
  </si>
  <si>
    <t>Bromegon 2.5mg (X30)</t>
  </si>
  <si>
    <t>Cadiprot 10mg</t>
  </si>
  <si>
    <t>Cafergot (X2)</t>
  </si>
  <si>
    <t>Calozol 50mg (X10)</t>
  </si>
  <si>
    <t>Candid V1</t>
  </si>
  <si>
    <t>Candid -V6 (x6)</t>
  </si>
  <si>
    <t>Cardioace (x30)</t>
  </si>
  <si>
    <t>Cardival 12.5mg (X10)</t>
  </si>
  <si>
    <t>Cardival 6.25mg (X10)</t>
  </si>
  <si>
    <t>Cardivel 25mg (X10)</t>
  </si>
  <si>
    <t>Cefixime Oral Susp 50mg/5ml</t>
  </si>
  <si>
    <t>Cefunat 250mg (X10)</t>
  </si>
  <si>
    <t>Cefunat 500mg (X10)</t>
  </si>
  <si>
    <t>Celexin 500mg (X10)</t>
  </si>
  <si>
    <t>Celozol (x10)</t>
  </si>
  <si>
    <t>Celozol -200 (X10)</t>
  </si>
  <si>
    <t>Cencold Tab (X10)</t>
  </si>
  <si>
    <t>cepherd ×20</t>
  </si>
  <si>
    <t>Cet -10 (Cetrizine) 10mg (X10)</t>
  </si>
  <si>
    <t>Cetrizine tab (nauzo)</t>
  </si>
  <si>
    <t>Chondro Plus (X10)</t>
  </si>
  <si>
    <t>Cifenal (Diclofenge) 100mg (X10)</t>
  </si>
  <si>
    <t>Cimetidine (Pacidime) 400mg (X10)</t>
  </si>
  <si>
    <t>cipro J</t>
  </si>
  <si>
    <t>Ciprobiotic Forte (X10)</t>
  </si>
  <si>
    <t>Ciprocid tab (X10)</t>
  </si>
  <si>
    <t>Ciprocil 50mg</t>
  </si>
  <si>
    <t>Ciprogem tab (X10)</t>
  </si>
  <si>
    <t>Ciproheal (x10)</t>
  </si>
  <si>
    <t>Cipronol -500 (X10)</t>
  </si>
  <si>
    <t>Ciprotab TN</t>
  </si>
  <si>
    <t>Ciprovam 500</t>
  </si>
  <si>
    <t>Ciproxamed (X10)</t>
  </si>
  <si>
    <t>Cladyl 5mg (X10)</t>
  </si>
  <si>
    <t>Clamycef (x10)</t>
  </si>
  <si>
    <t>Clamysol 300mg tab</t>
  </si>
  <si>
    <t>Claret (x10)</t>
  </si>
  <si>
    <t>Clarimax -500 (X10)</t>
  </si>
  <si>
    <t>Claritron 500mg (X14)</t>
  </si>
  <si>
    <t>Clemarin (X10)</t>
  </si>
  <si>
    <t>Climaz Vag Tablet (X10)</t>
  </si>
  <si>
    <t>Clocef - K (X10)</t>
  </si>
  <si>
    <t>Clofenac 100mg (x10)</t>
  </si>
  <si>
    <t>Clomiphene Citrate -Clifen</t>
  </si>
  <si>
    <t>Clotival (X6)</t>
  </si>
  <si>
    <t>Clovigal (x6)</t>
  </si>
  <si>
    <t>Cloxacap 500 (X10)</t>
  </si>
  <si>
    <t>Co-arinate (x3)</t>
  </si>
  <si>
    <t>Coartem (X6)</t>
  </si>
  <si>
    <t>Coartem D 5-15kg</t>
  </si>
  <si>
    <t>Cod Liver Oil 1000mg (X15) G</t>
  </si>
  <si>
    <t>Codabamal (X24)</t>
  </si>
  <si>
    <t>Curefenac 50mg (x10)</t>
  </si>
  <si>
    <t>Co-Diovan 160 (X14)</t>
  </si>
  <si>
    <t>Co-Diovan 160/125</t>
  </si>
  <si>
    <t>Co-Diovan 80/12.5 (X14)</t>
  </si>
  <si>
    <t>Combisunate 20/120 Adult</t>
  </si>
  <si>
    <t>Combisunate 20/120 Children</t>
  </si>
  <si>
    <t>Co-mepiryl</t>
  </si>
  <si>
    <t>Co-micardis (X28)</t>
  </si>
  <si>
    <t>com-pipomal ×10</t>
  </si>
  <si>
    <t>Contiflo OD</t>
  </si>
  <si>
    <t>Coprofloxacin TN</t>
  </si>
  <si>
    <t>Cosamid Plus (X10)</t>
  </si>
  <si>
    <t>Cosamid plus (X5)</t>
  </si>
  <si>
    <t>Cyclogest - Progesterone</t>
  </si>
  <si>
    <t>Dabanac (X20)</t>
  </si>
  <si>
    <t>Daflon 500mg (x15)</t>
  </si>
  <si>
    <t>Dalacin C 150mg x16</t>
  </si>
  <si>
    <t>Dalacin C 500mg (x16)</t>
  </si>
  <si>
    <t>DAXIMIN - 10</t>
  </si>
  <si>
    <t>Daximin 400</t>
  </si>
  <si>
    <t>Daximin 400mg (x10)</t>
  </si>
  <si>
    <t>Dewitts (X3)</t>
  </si>
  <si>
    <t>Dexamethasone (X10)</t>
  </si>
  <si>
    <t>Dexamethazone bottle</t>
  </si>
  <si>
    <t>Diabenese (X10) G</t>
  </si>
  <si>
    <t>Diabetmin (x10)</t>
  </si>
  <si>
    <t>Diabex 500mg (X10)</t>
  </si>
  <si>
    <t>Diamex (x10)</t>
  </si>
  <si>
    <t>Diapet Plus (x10)</t>
  </si>
  <si>
    <t>Diapride -2 (X10)</t>
  </si>
  <si>
    <t>Diasunate (X6)</t>
  </si>
  <si>
    <t>Dibetmin 5mg (X10)</t>
  </si>
  <si>
    <t>Diclo K</t>
  </si>
  <si>
    <t>Diclofenac 100mg (X10) HOVID</t>
  </si>
  <si>
    <t>Diclofenac 50mg Slow Release</t>
  </si>
  <si>
    <t>Diclofenac Sodium</t>
  </si>
  <si>
    <t>diclogerL PITIBS</t>
  </si>
  <si>
    <t>Diclomol Cap</t>
  </si>
  <si>
    <t>DICYNONE (X10)</t>
  </si>
  <si>
    <t>Dicynone 250mg (x20)</t>
  </si>
  <si>
    <t>Diflucan 200mg (x3)</t>
  </si>
  <si>
    <t>Difluccan 50mg</t>
  </si>
  <si>
    <t>Dihydrocodeine 30mg (X10)</t>
  </si>
  <si>
    <t>Diminise</t>
  </si>
  <si>
    <t>Diphaston</t>
  </si>
  <si>
    <t>Dirotix (madretic) (X10)</t>
  </si>
  <si>
    <t>Discogin ×10 10mg</t>
  </si>
  <si>
    <t>Dolo meta B Forte</t>
  </si>
  <si>
    <t>Dopatab (X10)</t>
  </si>
  <si>
    <t>Doxycap cap</t>
  </si>
  <si>
    <t>Easadol Acetaminophen 500mg</t>
  </si>
  <si>
    <t>Ecoclox (X10)</t>
  </si>
  <si>
    <t>Effcal Calcium (X10)</t>
  </si>
  <si>
    <t>elicorid</t>
  </si>
  <si>
    <t>Dolometa B (x10)</t>
  </si>
  <si>
    <t>Embaphage 500mg</t>
  </si>
  <si>
    <t>Emvite Super (X5)</t>
  </si>
  <si>
    <t>Emvite Super Cap</t>
  </si>
  <si>
    <t>Emzoron (X)</t>
  </si>
  <si>
    <t>Enaladex 5mg (X15)</t>
  </si>
  <si>
    <t>Enalapril 5mg (X30)</t>
  </si>
  <si>
    <t>Enapace (x10)</t>
  </si>
  <si>
    <t>Enaretic ×10</t>
  </si>
  <si>
    <t>Encephabol (X10)</t>
  </si>
  <si>
    <t>Enhanz (X30)</t>
  </si>
  <si>
    <t>Envas 5mg (X10)</t>
  </si>
  <si>
    <t>Eplim 200 (X10)</t>
  </si>
  <si>
    <t>Erithrin 250mg (X10)</t>
  </si>
  <si>
    <t>Erithrin 500mg (X10)</t>
  </si>
  <si>
    <t>erthrogen -500</t>
  </si>
  <si>
    <t>Erylid 500mg (X10)</t>
  </si>
  <si>
    <t>Erythr - 500</t>
  </si>
  <si>
    <t>Erythromez (X10)</t>
  </si>
  <si>
    <t>ESAM -2.5 (X10)</t>
  </si>
  <si>
    <t>ESAM -5 (X10)</t>
  </si>
  <si>
    <t>Esidrex 2.5mg (X20)</t>
  </si>
  <si>
    <t>Exforge 10mg/160mg (X14)</t>
  </si>
  <si>
    <t>Exforge 5mg/160mg (X14)</t>
  </si>
  <si>
    <t>Exforge ACT</t>
  </si>
  <si>
    <t>Exforge HCT 5mg/160mg/25mg (X7)</t>
  </si>
  <si>
    <t>Exi Flu (x20)</t>
  </si>
  <si>
    <t>Exislim 10mg (X10)</t>
  </si>
  <si>
    <t>Exus Azithromycin 250mg (X6)</t>
  </si>
  <si>
    <t>Famotidine 40mg (X10)</t>
  </si>
  <si>
    <t>Fasigyn 500mg (x4)</t>
  </si>
  <si>
    <t>Fegem -100 (X10)</t>
  </si>
  <si>
    <t>Fenac 100mg (x10)</t>
  </si>
  <si>
    <t>Fenacmol</t>
  </si>
  <si>
    <t>Fenal 100mg</t>
  </si>
  <si>
    <t>Ferbelan Forte (X30)</t>
  </si>
  <si>
    <t>Ferobin Plus Cap</t>
  </si>
  <si>
    <t>Ferosoft F.A</t>
  </si>
  <si>
    <t>Ferosoft FA (X20)</t>
  </si>
  <si>
    <t>Ferrotogen (X30)</t>
  </si>
  <si>
    <t>Finstal -5</t>
  </si>
  <si>
    <t>firense</t>
  </si>
  <si>
    <t>fizcal D ×20</t>
  </si>
  <si>
    <t>fizzcol lamp ×20</t>
  </si>
  <si>
    <t>Flacoxto -200 (X10)</t>
  </si>
  <si>
    <t>Fladipine Retard (X10)</t>
  </si>
  <si>
    <t>Flagentyl 400mg (x6)</t>
  </si>
  <si>
    <t>Fleming 375mg (x20)</t>
  </si>
  <si>
    <t>Fleming 625mg (x20)</t>
  </si>
  <si>
    <t>Flexodene 20mg (X10)</t>
  </si>
  <si>
    <t>Flotac 75mg</t>
  </si>
  <si>
    <t>Flotac 75mg (X20)</t>
  </si>
  <si>
    <t>Flotral (X10)</t>
  </si>
  <si>
    <t>Floxapen 250mg (x10)</t>
  </si>
  <si>
    <t>Floximox 500mg (X10)</t>
  </si>
  <si>
    <t>Floxium 500mg (X7)</t>
  </si>
  <si>
    <t>Flucamed 50mg (X3)</t>
  </si>
  <si>
    <t>Fluconazole (fosfo) 150mg (X3)</t>
  </si>
  <si>
    <t>Fluconazole 50 (X12)</t>
  </si>
  <si>
    <t>Fluconazole 50mg - Flucopin-50</t>
  </si>
  <si>
    <t>Fluconazole 50mg (X12) - Asflucon-50</t>
  </si>
  <si>
    <t>Flucor-day</t>
  </si>
  <si>
    <t>Flucosyd 50mg</t>
  </si>
  <si>
    <t>Flucoxacillin 250mg (X10)</t>
  </si>
  <si>
    <t>Flutex (X10)</t>
  </si>
  <si>
    <t>Flutex 200mg (X30)</t>
  </si>
  <si>
    <t>Fluzole</t>
  </si>
  <si>
    <t>Forbetic (×10)</t>
  </si>
  <si>
    <t>Forpain (X10)</t>
  </si>
  <si>
    <t>Fosco Fluconazole (X3)</t>
  </si>
  <si>
    <t>Fosso (Fluconazole)</t>
  </si>
  <si>
    <t>Frafenac SR</t>
  </si>
  <si>
    <t>frigenal recgral</t>
  </si>
  <si>
    <t>Funazole (X3)</t>
  </si>
  <si>
    <t>G Clav 375 (X20)</t>
  </si>
  <si>
    <t>Galcipro 500 (x10)</t>
  </si>
  <si>
    <t>Galcipro TN (X10)</t>
  </si>
  <si>
    <t>Galvis Met 50mg</t>
  </si>
  <si>
    <t>Gapril 10mg (x14)</t>
  </si>
  <si>
    <t>Gapril tab 5mg (X14)</t>
  </si>
  <si>
    <t>Gelusil (x10) G</t>
  </si>
  <si>
    <t>Gestin</t>
  </si>
  <si>
    <t>Gestomil (X20)</t>
  </si>
  <si>
    <t>GFlox 400mg</t>
  </si>
  <si>
    <t>G-Glutamin (X10)</t>
  </si>
  <si>
    <t>Gincan Multivitamin ×30</t>
  </si>
  <si>
    <t>Ginex soft cpasule (X10)</t>
  </si>
  <si>
    <t>Ginkgopan (X30)</t>
  </si>
  <si>
    <t>Ginkopan Cap X1</t>
  </si>
  <si>
    <t>Glanial 5mg</t>
  </si>
  <si>
    <t>Glibenclamide (Diominal)</t>
  </si>
  <si>
    <t>Glizetic -15 (X10)</t>
  </si>
  <si>
    <t>Glorax (glycerine of boria-fait)</t>
  </si>
  <si>
    <t>Glosparcyn 200mg</t>
  </si>
  <si>
    <t>Glothrox (X6)</t>
  </si>
  <si>
    <t>Chair floor protection</t>
  </si>
  <si>
    <t>Gloxin (x14)</t>
  </si>
  <si>
    <t>Glucosamine Sulfate 250mg</t>
  </si>
  <si>
    <t>Glucotab (X6)</t>
  </si>
  <si>
    <t>Glucotin DS (x30)</t>
  </si>
  <si>
    <t>glucotin DS min supp ×30</t>
  </si>
  <si>
    <t>Glucovance 10mg (X15)</t>
  </si>
  <si>
    <t>Glucovance 5mg (X15)</t>
  </si>
  <si>
    <t>Glumin (X14)</t>
  </si>
  <si>
    <t>Gomaxin Tab</t>
  </si>
  <si>
    <t>Gremax 250mg (X10)</t>
  </si>
  <si>
    <t>Gremax 250mg (X6)</t>
  </si>
  <si>
    <t>Grestat -20 (X14)</t>
  </si>
  <si>
    <t>Grinflam (x10)</t>
  </si>
  <si>
    <t>Grinil 5mg (X10)</t>
  </si>
  <si>
    <t>Grofenac-SR 100mg (x10)</t>
  </si>
  <si>
    <t>G-spar (x10)</t>
  </si>
  <si>
    <t>Guamet 500 (X28)</t>
  </si>
  <si>
    <t>Gynamed (x6)</t>
  </si>
  <si>
    <t>Gynotaab (X6)</t>
  </si>
  <si>
    <t>Halfan 250mg (x6)</t>
  </si>
  <si>
    <t>Hecard (X10)</t>
  </si>
  <si>
    <t>Heliclam (X7)</t>
  </si>
  <si>
    <t>Hilact Plus (X24)</t>
  </si>
  <si>
    <t>Hobetic 2mg (X10)</t>
  </si>
  <si>
    <t>Homnapar Ginseng (X6)</t>
  </si>
  <si>
    <t>Homtamin GInseng (X10)</t>
  </si>
  <si>
    <t>Hydrex (x10)</t>
  </si>
  <si>
    <t>Ibuprofen Dexel 400mg (X10)</t>
  </si>
  <si>
    <t>Indocid (X10)</t>
  </si>
  <si>
    <t>Interpril (X30) 10mg</t>
  </si>
  <si>
    <t>Interpril 10mg (X30)</t>
  </si>
  <si>
    <t>Isordil 10mg (X50)</t>
  </si>
  <si>
    <t>Itranox 100mg (X10)</t>
  </si>
  <si>
    <t>Jawazine cap (X10)</t>
  </si>
  <si>
    <t>Jobelyn (X30)</t>
  </si>
  <si>
    <t>Jointace (X30)</t>
  </si>
  <si>
    <t>Jointace (X6)</t>
  </si>
  <si>
    <t>Jointfree (X10)</t>
  </si>
  <si>
    <t>Juvasc 10mg</t>
  </si>
  <si>
    <t>Juxotan (x10)</t>
  </si>
  <si>
    <t>Kakaforte (X10)</t>
  </si>
  <si>
    <t>Ketonal Duo 150mg (X20)</t>
  </si>
  <si>
    <t>Ketonal forte 100mg (X20)</t>
  </si>
  <si>
    <t>Ketovail 200mg(X7)</t>
  </si>
  <si>
    <t>Ketovail 400mg (X7)</t>
  </si>
  <si>
    <t>Kofol (X4)</t>
  </si>
  <si>
    <t>Koldoff (X4)</t>
  </si>
  <si>
    <t>Kolmed (x1)</t>
  </si>
  <si>
    <t>Kolmed (x10)</t>
  </si>
  <si>
    <t>Kotase (x10)</t>
  </si>
  <si>
    <t>Kovymobral (X30)</t>
  </si>
  <si>
    <t>Labdic Relief (X10)</t>
  </si>
  <si>
    <t>Lamox 500mg (X20)</t>
  </si>
  <si>
    <t>Ledax Naproxen (X20)</t>
  </si>
  <si>
    <t>Lescol 20mg (X28)</t>
  </si>
  <si>
    <t>lescol 20mg ×28</t>
  </si>
  <si>
    <t>Levodose 500mg (X10)</t>
  </si>
  <si>
    <t>Levofloxacin 500mg (X10)</t>
  </si>
  <si>
    <t>Levoquin - 500mg</t>
  </si>
  <si>
    <t>Levothyroxine 100mg (X14)</t>
  </si>
  <si>
    <t>Levothyroxine 500mg (X14)</t>
  </si>
  <si>
    <t>Levotil - 500</t>
  </si>
  <si>
    <t>Levoxin 500mg (7)</t>
  </si>
  <si>
    <t>L-Flox 500mg (X10)</t>
  </si>
  <si>
    <t>Lifemin (X10)</t>
  </si>
  <si>
    <t>Lincomycin 500mg Geenlife (x12)</t>
  </si>
  <si>
    <t>Lipitor 20mg (X10)</t>
  </si>
  <si>
    <t>Liprotein (X10)</t>
  </si>
  <si>
    <t>Liptor 10mg (X30)</t>
  </si>
  <si>
    <t>Lisinopril 10mg (X14)</t>
  </si>
  <si>
    <t>Lisinopril 5mg (X10) G</t>
  </si>
  <si>
    <t>Litrison (x30)</t>
  </si>
  <si>
    <t>Liv-52 (x1)</t>
  </si>
  <si>
    <t>Livolin forte (x10)</t>
  </si>
  <si>
    <t>Lizopril 10mg (x14)</t>
  </si>
  <si>
    <t>Lofnac 550 Plus</t>
  </si>
  <si>
    <t>Logynon (x28)</t>
  </si>
  <si>
    <t>Longcef 500 (X30)</t>
  </si>
  <si>
    <t>lordamin ×10</t>
  </si>
  <si>
    <t>Losarmax - 50 (X10)</t>
  </si>
  <si>
    <t>Losarmax -50 (X10)</t>
  </si>
  <si>
    <t>Losium (X10)</t>
  </si>
  <si>
    <t>Lotrial 10mg (X30)</t>
  </si>
  <si>
    <t>Lotrial 5mg</t>
  </si>
  <si>
    <t>Lovapine 10mg (x10)</t>
  </si>
  <si>
    <t>Lovapine 5mg (x10)</t>
  </si>
  <si>
    <t>Loxaprim (X10)</t>
  </si>
  <si>
    <t>Lucon 50mg (X3)</t>
  </si>
  <si>
    <t>Ludium (X10)</t>
  </si>
  <si>
    <t>Lycofer (X30)</t>
  </si>
  <si>
    <t>Lyrica tab 75mg X(14)</t>
  </si>
  <si>
    <t>Franol (X10) G</t>
  </si>
  <si>
    <t>Lonart DS (x6)</t>
  </si>
  <si>
    <t>Malagold Quinine 300mg (x10)</t>
  </si>
  <si>
    <t>malagon</t>
  </si>
  <si>
    <t>Marcnol (X10)</t>
  </si>
  <si>
    <t>Martosan (Sorbitol)</t>
  </si>
  <si>
    <t>Maxpam -100 (X5)</t>
  </si>
  <si>
    <t>Maxpam -400 (X5)</t>
  </si>
  <si>
    <t>Mebaal -1500 (X10)</t>
  </si>
  <si>
    <t>Mebaal -500 (X10)</t>
  </si>
  <si>
    <t>Mefinac Retard 100mg (x10)</t>
  </si>
  <si>
    <t>Mega C 1000mg (x1)</t>
  </si>
  <si>
    <t>Mekoamin (x20)</t>
  </si>
  <si>
    <t>Melleril 100mg (x14)</t>
  </si>
  <si>
    <t>Melleril 50mg (x14)</t>
  </si>
  <si>
    <t>Meloxicam 7.5mg (X10)</t>
  </si>
  <si>
    <t>Menstrogen (x10)</t>
  </si>
  <si>
    <t>Cofta Cough Syrup</t>
  </si>
  <si>
    <t>Coscopin Paed Susp (Children)</t>
  </si>
  <si>
    <t>Cuscopan Cough Linctus Child</t>
  </si>
  <si>
    <t>De - Shalom Cough Syrup</t>
  </si>
  <si>
    <t>Diphenkof Cough Syrup (Children)</t>
  </si>
  <si>
    <t>Exlyn Cough Syrup</t>
  </si>
  <si>
    <t>Greenlin Cough Linctus Baby</t>
  </si>
  <si>
    <t>Hey Baby Cough Syrup</t>
  </si>
  <si>
    <t>Julyn Cough Syrup</t>
  </si>
  <si>
    <t>Kidi Kufydryl Syrup</t>
  </si>
  <si>
    <t>Sorbosan 5g</t>
  </si>
  <si>
    <t>Linctifed-F Syrup</t>
  </si>
  <si>
    <t>Linctifed-P Syrup</t>
  </si>
  <si>
    <t>Mixagrip Cold and Cattarh</t>
  </si>
  <si>
    <t>Nosak Cough Syrup</t>
  </si>
  <si>
    <t>Osadex cough mixture</t>
  </si>
  <si>
    <t>Parkalin Cough Syrup</t>
  </si>
  <si>
    <t>Phensedyl Cough Linctus</t>
  </si>
  <si>
    <t>Stop Cold Syrup</t>
  </si>
  <si>
    <t>taplin cough syrup</t>
  </si>
  <si>
    <t>Tixylix Cough Syrup</t>
  </si>
  <si>
    <t>Tuxex Cough Syrup</t>
  </si>
  <si>
    <t>Ultilin Cough Syrup</t>
  </si>
  <si>
    <t>Vitolex Syrup</t>
  </si>
  <si>
    <t>Vitrolent Syrup</t>
  </si>
  <si>
    <t>Vltilim cough Syrup</t>
  </si>
  <si>
    <t>Xpel Cough Syrup</t>
  </si>
  <si>
    <t>Zedex Syrup</t>
  </si>
  <si>
    <t>Cofmix with Codiene</t>
  </si>
  <si>
    <t>Emzolyn with Codiene</t>
  </si>
  <si>
    <t>Masedyl with Codiene Syrup</t>
  </si>
  <si>
    <t>Pakalin with Codeine Syrup</t>
  </si>
  <si>
    <t>Tutolin with Codiene</t>
  </si>
  <si>
    <t>Tuxil C with Codeine</t>
  </si>
  <si>
    <t>Neofylin Cough Syrup</t>
  </si>
  <si>
    <t>Tuxil-D Cough Syrup Adult</t>
  </si>
  <si>
    <t>Cypeni Syrup</t>
  </si>
  <si>
    <t>Antezin Susp</t>
  </si>
  <si>
    <t>De-Worm-P Syrup</t>
  </si>
  <si>
    <t>Ketrax Syrup</t>
  </si>
  <si>
    <t>Levax Syrup</t>
  </si>
  <si>
    <t>Retrax Syrup</t>
  </si>
  <si>
    <t>Wormex P Syrup</t>
  </si>
  <si>
    <t>Nerve &amp; Bone Liniment Original</t>
  </si>
  <si>
    <t>Salins liniment</t>
  </si>
  <si>
    <t>Erythromycin Suspension Juhel</t>
  </si>
  <si>
    <t>Erythromycin Suspension Tuyil</t>
  </si>
  <si>
    <t>Erogan Erythromycin Suspension</t>
  </si>
  <si>
    <t>Mycobex Erythromycin Suspension 100ml</t>
  </si>
  <si>
    <t>Folic Acid Syrup - Mopson</t>
  </si>
  <si>
    <t>Folic Acid Syrup</t>
  </si>
  <si>
    <t>Faith Glycerine of Borax</t>
  </si>
  <si>
    <t>Dr Meyers Gripe Water</t>
  </si>
  <si>
    <t>Dr Vami Gripe water</t>
  </si>
  <si>
    <t>Farmex Gripe Water</t>
  </si>
  <si>
    <t>Obifen Syrup</t>
  </si>
  <si>
    <t>Eusol Lotion B/S</t>
  </si>
  <si>
    <t>Agents Bottle</t>
  </si>
  <si>
    <t>Cyprigold B/S Syrup 200ml</t>
  </si>
  <si>
    <t>Rafen Susp</t>
  </si>
  <si>
    <t>Galways Liquid Paraffin 200ml</t>
  </si>
  <si>
    <t>mopsin liquid paraffin</t>
  </si>
  <si>
    <t>Mopson Liquid Parafin</t>
  </si>
  <si>
    <t>Joris Mist Expect sed</t>
  </si>
  <si>
    <t>De-Shalom Mist Kaolin</t>
  </si>
  <si>
    <t>Moko Mist Kaolin</t>
  </si>
  <si>
    <t>Biomag Mist Magnesium</t>
  </si>
  <si>
    <t>De - Shalom Mist Mag BS</t>
  </si>
  <si>
    <t>E&amp;M Mist Mag</t>
  </si>
  <si>
    <t>mist of magnesia peace</t>
  </si>
  <si>
    <t>Peace Mist Mag Susp 200ml</t>
  </si>
  <si>
    <t>Peptomag Mist Magnesium</t>
  </si>
  <si>
    <t>De - Shalom Mist.Pot</t>
  </si>
  <si>
    <t>De-Shallom Mist Expect sed</t>
  </si>
  <si>
    <t>De-Shalom Mist POT Citrate</t>
  </si>
  <si>
    <t>Mist Pottasium Citrate Syruo G</t>
  </si>
  <si>
    <t>Moko Mist Pot Cit Susp</t>
  </si>
  <si>
    <t>A.M/P.M Mouth wash</t>
  </si>
  <si>
    <t>Glorax Mouth Wash</t>
  </si>
  <si>
    <t>Glycerin of Borax Mouth wash</t>
  </si>
  <si>
    <t>MOKO Liquid Paraffin 200ml</t>
  </si>
  <si>
    <t>Rophegan Syrup</t>
  </si>
  <si>
    <t>Orasil Mouth Wash 150ml</t>
  </si>
  <si>
    <t>Riconia Syrup 100ml</t>
  </si>
  <si>
    <t>Apertone (x30s)</t>
  </si>
  <si>
    <t>Bentovite Syrup</t>
  </si>
  <si>
    <t>Circuma plus 120ml</t>
  </si>
  <si>
    <t>Emvite syrup</t>
  </si>
  <si>
    <t>Evans Multivitamin Syrup</t>
  </si>
  <si>
    <t>Fidvite Syrup</t>
  </si>
  <si>
    <t>JVite Multivitamin Syrup</t>
  </si>
  <si>
    <t>Mopson Multivite Syrup</t>
  </si>
  <si>
    <t>Multamin Syrup</t>
  </si>
  <si>
    <t>Nutravite Syrup 100ml</t>
  </si>
  <si>
    <t>Nutravite Syrup S/S</t>
  </si>
  <si>
    <t>Oraxin Syrup 100ml</t>
  </si>
  <si>
    <t>Pharmadec Syrup</t>
  </si>
  <si>
    <t>Supramult Syrup</t>
  </si>
  <si>
    <t>Syrup Multivitamin</t>
  </si>
  <si>
    <t>Takebe syrup 200ml</t>
  </si>
  <si>
    <t>Topvit C Syrup</t>
  </si>
  <si>
    <t>Vamivite Mvt Syrup</t>
  </si>
  <si>
    <t>Em-B-Plex Syrup</t>
  </si>
  <si>
    <t>Encephabol Syrup</t>
  </si>
  <si>
    <t>Oraxin Syrup 200ml</t>
  </si>
  <si>
    <t>Fegem Syrup</t>
  </si>
  <si>
    <t>Finamin Syrup</t>
  </si>
  <si>
    <t>Finamin Syrup 200ml</t>
  </si>
  <si>
    <t>Galways ADM Syrup</t>
  </si>
  <si>
    <t>vimirite syrup 100ml</t>
  </si>
  <si>
    <t>Zevit Multivitamin Tonic</t>
  </si>
  <si>
    <t>Afrab Ibuprofen Suspension</t>
  </si>
  <si>
    <t>Appet Syrup</t>
  </si>
  <si>
    <t>Ascorbion C300</t>
  </si>
  <si>
    <t>Avroton BS</t>
  </si>
  <si>
    <t>Bonatrim Syrup</t>
  </si>
  <si>
    <t>Bond FV Mixture</t>
  </si>
  <si>
    <t>Combifen Syrup 60ml</t>
  </si>
  <si>
    <t>Dr Aladdins 200ml</t>
  </si>
  <si>
    <t>Dr Vamis Gripe Water</t>
  </si>
  <si>
    <t>softwave hair food</t>
  </si>
  <si>
    <t>Soulmate B/S</t>
  </si>
  <si>
    <t>Soulmate M/S</t>
  </si>
  <si>
    <t>Soulmate S/S</t>
  </si>
  <si>
    <t>Sporting Waves</t>
  </si>
  <si>
    <t>Tesco Hair Conditions</t>
  </si>
  <si>
    <t>Virgin Anti spot</t>
  </si>
  <si>
    <t>Virgin Strech mark</t>
  </si>
  <si>
    <t>Zoleen Hair Cream</t>
  </si>
  <si>
    <t>Cara color hair dye</t>
  </si>
  <si>
    <t>Cruset Hair Colour</t>
  </si>
  <si>
    <t>oriko hair dye</t>
  </si>
  <si>
    <t>proton hair dye lotion</t>
  </si>
  <si>
    <t>Youth Hair dye</t>
  </si>
  <si>
    <t>zicodark Hair dye</t>
  </si>
  <si>
    <t>Virgin Hair Fertilizer big size</t>
  </si>
  <si>
    <t>Virgin Hair Fertilizer Small size</t>
  </si>
  <si>
    <t>Caro white oil 300ml</t>
  </si>
  <si>
    <t>Coconut Oil Hair Cream B/S</t>
  </si>
  <si>
    <t>Coconut Oil Hair Cream S/S</t>
  </si>
  <si>
    <t>Cussons Oil</t>
  </si>
  <si>
    <t>Darbur amla hair oil</t>
  </si>
  <si>
    <t>Dark and Lovely Oil Ordinary</t>
  </si>
  <si>
    <t>Dark and Lovely oil with Vitamin E</t>
  </si>
  <si>
    <t>Johnsons Baby oil</t>
  </si>
  <si>
    <t>nycil baby petroleum Oil</t>
  </si>
  <si>
    <t>Ponds Oil Control B/S</t>
  </si>
  <si>
    <t>Ponds Oil Control S/S</t>
  </si>
  <si>
    <t>promax oil moisturizer</t>
  </si>
  <si>
    <t>Secret Oil</t>
  </si>
  <si>
    <t>tara amla hair oil B/S</t>
  </si>
  <si>
    <t>tara amla hair oil M/S</t>
  </si>
  <si>
    <t>tara amla hair oil S/S</t>
  </si>
  <si>
    <t>Veet Hair removal</t>
  </si>
  <si>
    <t>A&amp;Shine Honey B/S</t>
  </si>
  <si>
    <t>A&amp;Shine Honey S/S</t>
  </si>
  <si>
    <t>Kingsway Honey B/S</t>
  </si>
  <si>
    <t>Kingsway Honey M/S</t>
  </si>
  <si>
    <t>Kingsway Honey S/S</t>
  </si>
  <si>
    <t>Laser honey</t>
  </si>
  <si>
    <t>Princes 8 Hot Dogs</t>
  </si>
  <si>
    <t>menthoclear inhaler</t>
  </si>
  <si>
    <t>Nicks Inhaler</t>
  </si>
  <si>
    <t>baygon Mosquito Coil</t>
  </si>
  <si>
    <t>Baygon Powder</t>
  </si>
  <si>
    <t>Dragon Spray</t>
  </si>
  <si>
    <t>Flit Sprayer</t>
  </si>
  <si>
    <t>KILIT Insecticide</t>
  </si>
  <si>
    <t>Laser Flying Insects Killer</t>
  </si>
  <si>
    <t>Mobil Insecticide 300ml</t>
  </si>
  <si>
    <t>Mortein Insecticide B/S</t>
  </si>
  <si>
    <t>Mortein Insecticide S/S</t>
  </si>
  <si>
    <t>Raid Insecticide B/S</t>
  </si>
  <si>
    <t>Raid Mosquito Coil</t>
  </si>
  <si>
    <t>Raid Odourless</t>
  </si>
  <si>
    <t>Raid refil Tin G/S</t>
  </si>
  <si>
    <t>Rambo Insecticide 300ml new green</t>
  </si>
  <si>
    <t>Rambo Insecticide old white</t>
  </si>
  <si>
    <t>Rambo Mosquito coil</t>
  </si>
  <si>
    <t>Rambo Rambo Powder</t>
  </si>
  <si>
    <t>topgon spray</t>
  </si>
  <si>
    <t>Baygon Insecticide 300ml</t>
  </si>
  <si>
    <t>Baygon Insecticide 330ml</t>
  </si>
  <si>
    <t>Zappo Insecticide</t>
  </si>
  <si>
    <t>Mix Fruit Jam - All</t>
  </si>
  <si>
    <t>Strawberry Jam</t>
  </si>
  <si>
    <t>Chivita S/S</t>
  </si>
  <si>
    <t>Exotic Juice 1 Litre</t>
  </si>
  <si>
    <t>Exotic Juice B/S</t>
  </si>
  <si>
    <t>Exotic Juice S/S</t>
  </si>
  <si>
    <t>Fumman Juice 1 litre</t>
  </si>
  <si>
    <t>Lacasera Drink</t>
  </si>
  <si>
    <t>Lucozade Boost 1 Litre</t>
  </si>
  <si>
    <t>Lucozade Boost 250ml</t>
  </si>
  <si>
    <t>Lucozade Boost B/S 1 Litre</t>
  </si>
  <si>
    <t>Lucozade Energy Boost Plastic</t>
  </si>
  <si>
    <t>Lucozade Energy Bottle B/S</t>
  </si>
  <si>
    <t>Lucozade Energy Bottle S/S</t>
  </si>
  <si>
    <t>Lucozade Sport</t>
  </si>
  <si>
    <t>Nutri C 350g B/S Bottle</t>
  </si>
  <si>
    <t>Lucozade Boost 450ml</t>
  </si>
  <si>
    <t>Nutric C 250g Bottle S/S</t>
  </si>
  <si>
    <t>Ribena Boost 1 Litre B/S</t>
  </si>
  <si>
    <t>Ribena Boost S/S</t>
  </si>
  <si>
    <t>Ribena Bottle B/S</t>
  </si>
  <si>
    <t>Five Alive 1 Litre</t>
  </si>
  <si>
    <t>Liter(s)</t>
  </si>
  <si>
    <t>Ribena bottle S/S</t>
  </si>
  <si>
    <t>Ribena Sport</t>
  </si>
  <si>
    <t>Vitamin C Can Drink</t>
  </si>
  <si>
    <t>After Cut Lotion</t>
  </si>
  <si>
    <t>Beauty Fair Maxitona Lotion B/S</t>
  </si>
  <si>
    <t>Beauty Fair Maxitona Lotion S/S</t>
  </si>
  <si>
    <t>Beauty Fiar Complexion Lotion B/S</t>
  </si>
  <si>
    <t>Beauty Fiar Complexion Lotion S/S</t>
  </si>
  <si>
    <t>Beauty Jar Skin Beveraging Milk</t>
  </si>
  <si>
    <t>Bio-claire lotion 210ml</t>
  </si>
  <si>
    <t>Bump Stopper</t>
  </si>
  <si>
    <t>caro white Lotion B/S</t>
  </si>
  <si>
    <t>Caro White lotion B/S</t>
  </si>
  <si>
    <t>Caro White Lotion S/S</t>
  </si>
  <si>
    <t>caro white Lotion S/S</t>
  </si>
  <si>
    <t>Clair liss lotion 250ml</t>
  </si>
  <si>
    <t>Clearessence Lotion</t>
  </si>
  <si>
    <t>Crust Hair Dye Lotion B/S</t>
  </si>
  <si>
    <t>Cussons Lotion</t>
  </si>
  <si>
    <t>diva lotion maxitone B/S</t>
  </si>
  <si>
    <t>diva lotion maxitone S/S</t>
  </si>
  <si>
    <t>Epiderm Lotion B/S</t>
  </si>
  <si>
    <t>Epiderm Lotion S/S</t>
  </si>
  <si>
    <t>estee maxitone skin lotion B/S</t>
  </si>
  <si>
    <t>estee maxitone skin lotion S/S</t>
  </si>
  <si>
    <t>Funbactone body lotion</t>
  </si>
  <si>
    <t>Gentlle Intensive Lotion</t>
  </si>
  <si>
    <t>johnsons Lotion</t>
  </si>
  <si>
    <t>Joy Lotion</t>
  </si>
  <si>
    <t>Kick off Lotion</t>
  </si>
  <si>
    <t>Lavish Lotion</t>
  </si>
  <si>
    <t>lemon medicated body lotion</t>
  </si>
  <si>
    <t>Lite n Lovely Lotion</t>
  </si>
  <si>
    <t>Looking Good Lotion</t>
  </si>
  <si>
    <t>Maxitone lotion B/S</t>
  </si>
  <si>
    <t>Maxitoner lotion M/S</t>
  </si>
  <si>
    <t>Maxitoner lotion S/S</t>
  </si>
  <si>
    <t>Miss Caroline Lotion</t>
  </si>
  <si>
    <t>nivea body lotion B/S</t>
  </si>
  <si>
    <t>nivea body lotion S/S</t>
  </si>
  <si>
    <t>Nycil Baby Lotion</t>
  </si>
  <si>
    <t>Passion Lotion B/S</t>
  </si>
  <si>
    <t>Passion Lotion S/S</t>
  </si>
  <si>
    <t>perfect skin lotion 500ml</t>
  </si>
  <si>
    <t>Radiance Lotion B/S</t>
  </si>
  <si>
    <t>Radiance Lotion S/S</t>
  </si>
  <si>
    <t>revlon natural honey 100ml</t>
  </si>
  <si>
    <t>Skin Beauty Lotion B/S</t>
  </si>
  <si>
    <t>Skin Beauty Lotion M/S</t>
  </si>
  <si>
    <t>skin light lotion 250g</t>
  </si>
  <si>
    <t>Skin White Lotion</t>
  </si>
  <si>
    <t>Supple Lotion B/S</t>
  </si>
  <si>
    <t>Supple Lotion S/S</t>
  </si>
  <si>
    <t>Swiss collagen lotion B/S</t>
  </si>
  <si>
    <t>Tesco Baby Lotion</t>
  </si>
  <si>
    <t>Tura Lotion 250ml</t>
  </si>
  <si>
    <t>Venus Moistuiring Lotion</t>
  </si>
  <si>
    <t>Venus tone Lotion</t>
  </si>
  <si>
    <t>Vovi Lotion</t>
  </si>
  <si>
    <t>White Up Lotion</t>
  </si>
  <si>
    <t>know chicken maggi</t>
  </si>
  <si>
    <t>know cubes maggi</t>
  </si>
  <si>
    <t>Star Maggi</t>
  </si>
  <si>
    <t>Suppy Maggi</t>
  </si>
  <si>
    <t>Bama Mayonaise B/S</t>
  </si>
  <si>
    <t>Bama Mayonaise M/S</t>
  </si>
  <si>
    <t>Bama Mayonaise S/S</t>
  </si>
  <si>
    <t>Extreme Mayonnaise B/S</t>
  </si>
  <si>
    <t>Extreme Mayonnaise M/S</t>
  </si>
  <si>
    <t>Extreme Mayonnaise S/S</t>
  </si>
  <si>
    <t>Blue Plate meal Mayionaise (s/s)</t>
  </si>
  <si>
    <t>Delicio mayonnaise (b/s)</t>
  </si>
  <si>
    <t>Delicio mayonnaise (s/s)</t>
  </si>
  <si>
    <t>Coast Evaporated Milk</t>
  </si>
  <si>
    <t>Complan Strawberry Milk</t>
  </si>
  <si>
    <t>Cow &amp; Gate</t>
  </si>
  <si>
    <t>Cowbel milk Sachet B/S</t>
  </si>
  <si>
    <t>Cowbel milk Sachet S/S</t>
  </si>
  <si>
    <t>Cowbell Refill 400g</t>
  </si>
  <si>
    <t>Dano 0% Fat</t>
  </si>
  <si>
    <t>Dano Refil 180g S/S</t>
  </si>
  <si>
    <t>Dansa (ms)</t>
  </si>
  <si>
    <t>Hollandia Custard (Bag)</t>
  </si>
  <si>
    <t>Horlicks Malted Milk B/S</t>
  </si>
  <si>
    <t>Horlicks Malted Milk GSK</t>
  </si>
  <si>
    <t>Horlicks Malted Milk M/S</t>
  </si>
  <si>
    <t>Horlicks Malted Milk S/S</t>
  </si>
  <si>
    <t>Jago Evaporated Tin Milk</t>
  </si>
  <si>
    <t>Jago Refil 400g</t>
  </si>
  <si>
    <t>Jago Sachet 8 g</t>
  </si>
  <si>
    <t>Lahda Milk 500g</t>
  </si>
  <si>
    <t>Loya Milk sachet 25g</t>
  </si>
  <si>
    <t>Loya Tin Milk 400g</t>
  </si>
  <si>
    <t>Marvel Original Dried Milk B/S</t>
  </si>
  <si>
    <t>Marvel Original Dried Milk S/S</t>
  </si>
  <si>
    <t>Milksi Refil 400g</t>
  </si>
  <si>
    <t>Milksi sachet B/S</t>
  </si>
  <si>
    <t>Milksi sachet s/s</t>
  </si>
  <si>
    <t>Nido Refil 365g</t>
  </si>
  <si>
    <t>NIDO Tin Milk</t>
  </si>
  <si>
    <t>Nunu refil 400g</t>
  </si>
  <si>
    <t>Peak Evaporated milk 380ml</t>
  </si>
  <si>
    <t>Peak Gold Tin Evaporated Milk</t>
  </si>
  <si>
    <t>Peak Milk Powder Refil (g)</t>
  </si>
  <si>
    <t>Peak Milk Sachet (20g)</t>
  </si>
  <si>
    <t>Peak Milk Tin 400g</t>
  </si>
  <si>
    <t>Peak Milk Tin 900g</t>
  </si>
  <si>
    <t>Peak milk XMAS Promo</t>
  </si>
  <si>
    <t>Peakmilk ramadan kareem</t>
  </si>
  <si>
    <t>Real Milk refil 400g</t>
  </si>
  <si>
    <t>Real Milk Refil 500g</t>
  </si>
  <si>
    <t>Regal milk refil 400g</t>
  </si>
  <si>
    <t>Soya Milk (Soy Good)</t>
  </si>
  <si>
    <t>Three Crown Evaporated Milk</t>
  </si>
  <si>
    <t>Can Coke</t>
  </si>
  <si>
    <t>Can Fanta</t>
  </si>
  <si>
    <t>Can-Malt</t>
  </si>
  <si>
    <t>Fanta Plastic</t>
  </si>
  <si>
    <t>Fayrous Can</t>
  </si>
  <si>
    <t>Schweppes Can</t>
  </si>
  <si>
    <t>Straw</t>
  </si>
  <si>
    <t>AM PM Mouth Wash Minty Flavour</t>
  </si>
  <si>
    <t>Glycerine B/S</t>
  </si>
  <si>
    <t>Glycerine S/S</t>
  </si>
  <si>
    <t>Malta Guiness</t>
  </si>
  <si>
    <t>Listrine Antiseptic Mouth Wash</t>
  </si>
  <si>
    <t>Good Morning White Oats</t>
  </si>
  <si>
    <t>Good morning White Oats</t>
  </si>
  <si>
    <t>Napa White Oat Refil</t>
  </si>
  <si>
    <t>Napa White Oat Tin</t>
  </si>
  <si>
    <t>Quake White oats Tin</t>
  </si>
  <si>
    <t>Quaker White Oats Refil</t>
  </si>
  <si>
    <t>bimoli olive oil</t>
  </si>
  <si>
    <t>Extra Clear Oil</t>
  </si>
  <si>
    <t>Goya Oil B/S</t>
  </si>
  <si>
    <t>Goya Oil M/S</t>
  </si>
  <si>
    <t>Greener Extra Olive Oil</t>
  </si>
  <si>
    <t>Greener Extra Virgin Olive Oil</t>
  </si>
  <si>
    <t>Action Bitters</t>
  </si>
  <si>
    <t>Ante Jilie Moringa Leaf S/S</t>
  </si>
  <si>
    <t>Cotton Bud (x100) cup B/S</t>
  </si>
  <si>
    <t>Cotton Bud (x200) cup B/S</t>
  </si>
  <si>
    <t>Cotton Bud (x50) cup S/S</t>
  </si>
  <si>
    <t>Farrows green pea (b/s)</t>
  </si>
  <si>
    <t>Farrows green pea (s/s)</t>
  </si>
  <si>
    <t>Gini Sweet Corn S/S</t>
  </si>
  <si>
    <t>Gino Sachet</t>
  </si>
  <si>
    <t>Lemovate Cream</t>
  </si>
  <si>
    <t>Mosquito Net Family B/S</t>
  </si>
  <si>
    <t>Mosquito Net Student M/S</t>
  </si>
  <si>
    <t>Cotton Bud (x50) cup M/S</t>
  </si>
  <si>
    <t>Super Star Attachment</t>
  </si>
  <si>
    <t>Xpression Attachment S/S</t>
  </si>
  <si>
    <t>Always Double Super 14-VPExtra Long</t>
  </si>
  <si>
    <t>Always Extra Long 7-Ultra Super</t>
  </si>
  <si>
    <t>Always Pink Pad</t>
  </si>
  <si>
    <t>Free Life pad B/S</t>
  </si>
  <si>
    <t>Joylad Pad</t>
  </si>
  <si>
    <t>Simple Pad</t>
  </si>
  <si>
    <t>212 Perfume</t>
  </si>
  <si>
    <t>24 Hours Perfume</t>
  </si>
  <si>
    <t>4 U Perfume</t>
  </si>
  <si>
    <t>Adhoc Spray</t>
  </si>
  <si>
    <t>Angel Perfume</t>
  </si>
  <si>
    <t>Balila Perfume</t>
  </si>
  <si>
    <t>Balila Spray</t>
  </si>
  <si>
    <t>Balili Perfume s/S</t>
  </si>
  <si>
    <t>Beautiful perfume</t>
  </si>
  <si>
    <t>Being Together Perfume</t>
  </si>
  <si>
    <t>Bellangio Spray</t>
  </si>
  <si>
    <t>Blue Dream Perfume</t>
  </si>
  <si>
    <t>Blue Dream Perufume B/S</t>
  </si>
  <si>
    <t>Bouquet Powder M/S</t>
  </si>
  <si>
    <t>Always Extra Long 8-Ultra Normal</t>
  </si>
  <si>
    <t>Camellia Perfume</t>
  </si>
  <si>
    <t>Catch me Perfume</t>
  </si>
  <si>
    <t>Cayenne Perfume</t>
  </si>
  <si>
    <t>Chairman Perfume</t>
  </si>
  <si>
    <t>Cherish Perfume</t>
  </si>
  <si>
    <t>Chivita Juice (Happy Hour)</t>
  </si>
  <si>
    <t>Cleudo Perfume</t>
  </si>
  <si>
    <t>Confidence Perfume</t>
  </si>
  <si>
    <t>Cotton Club Perfume</t>
  </si>
  <si>
    <t>Cuba Perfume</t>
  </si>
  <si>
    <t>Deal Perfume</t>
  </si>
  <si>
    <t>Deo Body Spray - PETSOW</t>
  </si>
  <si>
    <t>Deo Body Spray - Ultimate</t>
  </si>
  <si>
    <t>Diplomatic Perfume</t>
  </si>
  <si>
    <t>Easy Man Perfume</t>
  </si>
  <si>
    <t>Element Perfume</t>
  </si>
  <si>
    <t>Elope Perfume</t>
  </si>
  <si>
    <t>Elope Perfume S/S</t>
  </si>
  <si>
    <t>Embrace Body Spray</t>
  </si>
  <si>
    <t>Eraato Spray</t>
  </si>
  <si>
    <t>Erato Perfume Body Spray</t>
  </si>
  <si>
    <t>Eve Perfume</t>
  </si>
  <si>
    <t>Faultless Spray Strach</t>
  </si>
  <si>
    <t>first class lady perfume</t>
  </si>
  <si>
    <t>First Pleasure Perfume</t>
  </si>
  <si>
    <t>Five Element Perfume</t>
  </si>
  <si>
    <t>Flower Perfume B/S</t>
  </si>
  <si>
    <t>Flower Perfume S/S</t>
  </si>
  <si>
    <t>For Him/Her Spray B/S</t>
  </si>
  <si>
    <t>For Him/Her Spray S/S</t>
  </si>
  <si>
    <t>Great Life Perfume Spray</t>
  </si>
  <si>
    <t>Happiness Perfume</t>
  </si>
  <si>
    <t>Incidence Perfume</t>
  </si>
  <si>
    <t>Invitation Perfume</t>
  </si>
  <si>
    <t>Jaidora Perfume</t>
  </si>
  <si>
    <t>Joy Spray</t>
  </si>
  <si>
    <t>Just one Perfume</t>
  </si>
  <si>
    <t>Kiss Spray</t>
  </si>
  <si>
    <t>Love in Perfume</t>
  </si>
  <si>
    <t>Luxury Perfume</t>
  </si>
  <si>
    <t>Maliza uomo Perfume</t>
  </si>
  <si>
    <t>Maliza with Rollon</t>
  </si>
  <si>
    <t>Malizia Spray</t>
  </si>
  <si>
    <t>Maquise Perfume</t>
  </si>
  <si>
    <t>Maskolino Perfume</t>
  </si>
  <si>
    <t>Maskolino Spray</t>
  </si>
  <si>
    <t>miss paris perfume B/S</t>
  </si>
  <si>
    <t>Miss Paris Perfume B/S</t>
  </si>
  <si>
    <t>Miss Paris Perfume S/S</t>
  </si>
  <si>
    <t>Night Walker Perfume B/S</t>
  </si>
  <si>
    <t>Night Walker perfume S/S</t>
  </si>
  <si>
    <t>Nikita Perfume</t>
  </si>
  <si>
    <t>Nivea Soft Spray</t>
  </si>
  <si>
    <t>One&amp;One Perfume</t>
  </si>
  <si>
    <t>Passion perfume B/S</t>
  </si>
  <si>
    <t>Passion perfume M/S</t>
  </si>
  <si>
    <t>Passion perfume S/S</t>
  </si>
  <si>
    <t>Passion Spray</t>
  </si>
  <si>
    <t>Perfect Line Perfume</t>
  </si>
  <si>
    <t>Phlox Perfume B/S</t>
  </si>
  <si>
    <t>Phlox Perfume M/S</t>
  </si>
  <si>
    <t>Phlox Perfume S/S</t>
  </si>
  <si>
    <t>Pleasing perfume</t>
  </si>
  <si>
    <t>Professional Perfume</t>
  </si>
  <si>
    <t>Puccelle Perfume B/S</t>
  </si>
  <si>
    <t>Puccelle Perfume S/S</t>
  </si>
  <si>
    <t>Roses perfume B/S</t>
  </si>
  <si>
    <t>Roses Perfume S/S</t>
  </si>
  <si>
    <t>Royal Perfume</t>
  </si>
  <si>
    <t>Sam Saw Perfume</t>
  </si>
  <si>
    <t>Seduction Perfume B/S</t>
  </si>
  <si>
    <t>Seduction Perfume S/S</t>
  </si>
  <si>
    <t>Someone Perfume</t>
  </si>
  <si>
    <t>Sure Spray</t>
  </si>
  <si>
    <t>Ultra Spray</t>
  </si>
  <si>
    <t>Vanilla Spray</t>
  </si>
  <si>
    <t>Very Nice Perfume</t>
  </si>
  <si>
    <t>Wish Bone Perfume B/S</t>
  </si>
  <si>
    <t>Wish Bone Spray</t>
  </si>
  <si>
    <t>Kiwi Shoe Polish</t>
  </si>
  <si>
    <t>Palc Liquid Shoe Polish</t>
  </si>
  <si>
    <t>Wishbone Perfume</t>
  </si>
  <si>
    <t>Bonquet powder B/S</t>
  </si>
  <si>
    <t>Bonquet powder S/S</t>
  </si>
  <si>
    <t>Candid Dusting Powder</t>
  </si>
  <si>
    <t>Cusson Baby Powder M/S</t>
  </si>
  <si>
    <t>Cusson powder B/S</t>
  </si>
  <si>
    <t>Cusson powder M/S</t>
  </si>
  <si>
    <t>Cusson powder S/S</t>
  </si>
  <si>
    <t>Damatol Powder</t>
  </si>
  <si>
    <t>Dark and Lovely Powder B/S</t>
  </si>
  <si>
    <t>Dark and Lovely Powder S/S</t>
  </si>
  <si>
    <t>Enchanteur Powder B/S</t>
  </si>
  <si>
    <t>Enchanteur Powder M/S</t>
  </si>
  <si>
    <t>Enchanteur Powder S/S</t>
  </si>
  <si>
    <t>Fashion fair Powder</t>
  </si>
  <si>
    <t>Johnsons Baby Powder B/S</t>
  </si>
  <si>
    <t>Joy Powder B/S</t>
  </si>
  <si>
    <t>Joy PowderS/S</t>
  </si>
  <si>
    <t>MP3 Powder S/S</t>
  </si>
  <si>
    <t>Nigeria Baby Care Powder</t>
  </si>
  <si>
    <t>Nycil Powder New</t>
  </si>
  <si>
    <t>Nycil Powder Old</t>
  </si>
  <si>
    <t>One Love powder</t>
  </si>
  <si>
    <t>Pears Powder</t>
  </si>
  <si>
    <t>Peg B/S</t>
  </si>
  <si>
    <t>Pestox Powder</t>
  </si>
  <si>
    <t>Petals M/S</t>
  </si>
  <si>
    <t>Petals S/S</t>
  </si>
  <si>
    <t>Ponds Powder B/S</t>
  </si>
  <si>
    <t>Ponds Powder S/S</t>
  </si>
  <si>
    <t>POP Popular Facial Powder</t>
  </si>
  <si>
    <t>Prickely Heat Powder B/S</t>
  </si>
  <si>
    <t>Prickely Heat Powder M/S</t>
  </si>
  <si>
    <t>Prickely Heat Powder S/S</t>
  </si>
  <si>
    <t>Pringgles S/S</t>
  </si>
  <si>
    <t>Pure Cocoa Powder refil</t>
  </si>
  <si>
    <t>Pure Cocoa Powder tin</t>
  </si>
  <si>
    <t>Stingo Face Polsih</t>
  </si>
  <si>
    <t>TALCUM POWDER INSIDE</t>
  </si>
  <si>
    <t>Tony Montana Powder</t>
  </si>
  <si>
    <t>Balila Powder S/S</t>
  </si>
  <si>
    <t>Beva relaxa B/S</t>
  </si>
  <si>
    <t>beva relaxa M/S</t>
  </si>
  <si>
    <t>Beva relaxa S/S</t>
  </si>
  <si>
    <t>Beva Relaxer G/S</t>
  </si>
  <si>
    <t>Dallas Relaxer</t>
  </si>
  <si>
    <t>Dallas relaxer B/S</t>
  </si>
  <si>
    <t>Dallas relaxer M/S</t>
  </si>
  <si>
    <t>Dark and lovely kit</t>
  </si>
  <si>
    <t>Ebony Relaxer M/S</t>
  </si>
  <si>
    <t>Joy Relaxer B/S</t>
  </si>
  <si>
    <t>Joy Relaxer m/S</t>
  </si>
  <si>
    <t>Joy Relaxer S/S</t>
  </si>
  <si>
    <t>Mild Flower Relaxer Kit</t>
  </si>
  <si>
    <t>Organic olive oil value pack relaxer</t>
  </si>
  <si>
    <t>ozone cream relaxer B/S</t>
  </si>
  <si>
    <t>ozone cream relaxer G/S</t>
  </si>
  <si>
    <t>ozone cream relaxer M/S</t>
  </si>
  <si>
    <t>ozone cream relaxer S/S</t>
  </si>
  <si>
    <t>Passion Powder B/S</t>
  </si>
  <si>
    <t>promaxx cream relaxer B/S</t>
  </si>
  <si>
    <t>promaxx cream relaxer M/S</t>
  </si>
  <si>
    <t>promaxx cream relaxer S/S</t>
  </si>
  <si>
    <t>promaxx Hair Gloss</t>
  </si>
  <si>
    <t>UB relaxa B/S</t>
  </si>
  <si>
    <t>UB relaxa M/S</t>
  </si>
  <si>
    <t>UB relaxa S/S</t>
  </si>
  <si>
    <t>Venus relaxer M/S</t>
  </si>
  <si>
    <t>Venus relaxer S/S</t>
  </si>
  <si>
    <t>Essential Balm</t>
  </si>
  <si>
    <t>Heatol Chisese Balm</t>
  </si>
  <si>
    <t>Mentholatum B/S</t>
  </si>
  <si>
    <t>Mentholatum S/S</t>
  </si>
  <si>
    <t>Osteo Balm</t>
  </si>
  <si>
    <t>ROBB Balm Bottle</t>
  </si>
  <si>
    <t>Sefsil Balm</t>
  </si>
  <si>
    <t>Skeno Balm</t>
  </si>
  <si>
    <t>Super Intensive Robb</t>
  </si>
  <si>
    <t>ROBB Tin</t>
  </si>
  <si>
    <t>Balm Bottle</t>
  </si>
  <si>
    <t>Adhoc Roll on</t>
  </si>
  <si>
    <t>All Day Deo Roll on</t>
  </si>
  <si>
    <t>Bellangio Roll on</t>
  </si>
  <si>
    <t>Bouquet roll on deodorant</t>
  </si>
  <si>
    <t>Camellia Roll on</t>
  </si>
  <si>
    <t>Enchanteur Roll on</t>
  </si>
  <si>
    <t>Equity Roll on</t>
  </si>
  <si>
    <t>Erato Roll on</t>
  </si>
  <si>
    <t>Infinity Roll on</t>
  </si>
  <si>
    <t>KISS Roll on</t>
  </si>
  <si>
    <t>Nivea Roll on</t>
  </si>
  <si>
    <t>Passion Roll on</t>
  </si>
  <si>
    <t>Sure men Roll on</t>
  </si>
  <si>
    <t>Ultra Paris Roll On</t>
  </si>
  <si>
    <t>Evita Sardines</t>
  </si>
  <si>
    <t>Geisha Sardines</t>
  </si>
  <si>
    <t>Milo Sardines</t>
  </si>
  <si>
    <t>Napa Valley Sardines</t>
  </si>
  <si>
    <t>eagle Schnapp B/S</t>
  </si>
  <si>
    <t>apple shampoo</t>
  </si>
  <si>
    <t>Bath fruit Shampoo B/S</t>
  </si>
  <si>
    <t>Bath fruit Shampoo S/S</t>
  </si>
  <si>
    <t>Chizoderm Shampoo</t>
  </si>
  <si>
    <t>Dop Shampoo</t>
  </si>
  <si>
    <t>Hair fruit Shampoo B/S</t>
  </si>
  <si>
    <t>Hair fruit Shampoo S/S</t>
  </si>
  <si>
    <t>Hair Shampoo S/S</t>
  </si>
  <si>
    <t>Ketopine Dandruff Shampoo 100ml</t>
  </si>
  <si>
    <t>Liby Shower and shampoo gel Plastic</t>
  </si>
  <si>
    <t>Lily shorer and shampoo gel Sachet</t>
  </si>
  <si>
    <t>medical shampoo</t>
  </si>
  <si>
    <t>MP3 Shampoo</t>
  </si>
  <si>
    <t>petals shampoo B/S</t>
  </si>
  <si>
    <t>Petals Shampoo S/S</t>
  </si>
  <si>
    <t>Tesco Baby Shampoo</t>
  </si>
  <si>
    <t>Royal Shaving Powder</t>
  </si>
  <si>
    <t>Magic Shaving Powder</t>
  </si>
  <si>
    <t>Tesco Shampoo bs</t>
  </si>
  <si>
    <t>Gillete Shaving Stick (X5)</t>
  </si>
  <si>
    <t>Gillette Silver Blue</t>
  </si>
  <si>
    <t>Laser II shaving stick 5+1</t>
  </si>
  <si>
    <t>Zorrick Shaving Stick 5+1</t>
  </si>
  <si>
    <t>Antigal Soap</t>
  </si>
  <si>
    <t>Asepso Soap</t>
  </si>
  <si>
    <t>Aura soap</t>
  </si>
  <si>
    <t>B-29 soap</t>
  </si>
  <si>
    <t>BioClaire Transparent Soap</t>
  </si>
  <si>
    <t>Bonux Plus soap</t>
  </si>
  <si>
    <t>Bubble Naked Soap</t>
  </si>
  <si>
    <t>Bubble Nylon Soap</t>
  </si>
  <si>
    <t>Canoe Detergent 1Kg</t>
  </si>
  <si>
    <t>Canoe soap (Naked)</t>
  </si>
  <si>
    <t>BIC Shaving Stick (All)</t>
  </si>
  <si>
    <t>Carat Medicated Soap Classic</t>
  </si>
  <si>
    <t>Carat Medicated Soap Xtracare</t>
  </si>
  <si>
    <t>Carat Soap</t>
  </si>
  <si>
    <t>Carex Soap</t>
  </si>
  <si>
    <t>Classic White Soap</t>
  </si>
  <si>
    <t>Clear and Smooth Toning Soap</t>
  </si>
  <si>
    <t>Cleartone Soap</t>
  </si>
  <si>
    <t>Crusader Medicated Soap</t>
  </si>
  <si>
    <t>Cussons Baby Soap</t>
  </si>
  <si>
    <t>Damatol Soap</t>
  </si>
  <si>
    <t>Delta Cool Soap</t>
  </si>
  <si>
    <t>Delta Family Soap</t>
  </si>
  <si>
    <t>Delta Plusn Soap</t>
  </si>
  <si>
    <t>Delta Soap</t>
  </si>
  <si>
    <t>Dettol Active Soap 70g</t>
  </si>
  <si>
    <t>Dettol Cool Soap 120g</t>
  </si>
  <si>
    <t>Dettol Cool Soap 70g</t>
  </si>
  <si>
    <t>Dettol soap 120g B/S G</t>
  </si>
  <si>
    <t>Dettol Soap 35g S/S G</t>
  </si>
  <si>
    <t>Dettol Soap 70g M/S G</t>
  </si>
  <si>
    <t>Dettol Soap Fresh</t>
  </si>
  <si>
    <t>Dudu Osun Soap</t>
  </si>
  <si>
    <t>Eden Soap 1</t>
  </si>
  <si>
    <t>Eden Soap 2</t>
  </si>
  <si>
    <t>Eva Soap B/S G</t>
  </si>
  <si>
    <t>Fanico Soap</t>
  </si>
  <si>
    <t>Fresh Life Herbal Soap</t>
  </si>
  <si>
    <t>GIV Soap</t>
  </si>
  <si>
    <t>Green Soap</t>
  </si>
  <si>
    <t>Imperial Leather B/S</t>
  </si>
  <si>
    <t>Ioderm Hygernic Prickly Heat Soap</t>
  </si>
  <si>
    <t>teapot</t>
  </si>
  <si>
    <t>Klin Bar Soap</t>
  </si>
  <si>
    <t>Liby Liquid Soap Plastic</t>
  </si>
  <si>
    <t>Liby Liquid Soap Refil</t>
  </si>
  <si>
    <t>Life Buoy Herbal Soap</t>
  </si>
  <si>
    <t>Life Buoy Total Soap</t>
  </si>
  <si>
    <t>Medisoft Soap</t>
  </si>
  <si>
    <t>Meriko Soap</t>
  </si>
  <si>
    <t>Nova Savon Soap</t>
  </si>
  <si>
    <t>Nycil Body Soap</t>
  </si>
  <si>
    <t>Olive Soap</t>
  </si>
  <si>
    <t>Pears Soap</t>
  </si>
  <si>
    <t>Pears Soap with Olive Oil</t>
  </si>
  <si>
    <t>Premier Cool Soap B/S</t>
  </si>
  <si>
    <t>Premier Soap Ordinary B/S</t>
  </si>
  <si>
    <t>Premier Soap Ordinary S/S</t>
  </si>
  <si>
    <t>Pride Soap</t>
  </si>
  <si>
    <t>Rhome Transparent Bar Soap</t>
  </si>
  <si>
    <t>Riya Soap</t>
  </si>
  <si>
    <t>Roberts Antiseptic Soap</t>
  </si>
  <si>
    <t>Safeguard soap</t>
  </si>
  <si>
    <t>Premier Cool Soap S/S</t>
  </si>
  <si>
    <t>Safeguard Soap (White)</t>
  </si>
  <si>
    <t>Safeguard Soap (White) BS</t>
  </si>
  <si>
    <t>Safeguard Soap (Yellow)</t>
  </si>
  <si>
    <t>Sambo Soap</t>
  </si>
  <si>
    <t>Santex soap</t>
  </si>
  <si>
    <t>Soap Case</t>
  </si>
  <si>
    <t>Spin Bar Soap</t>
  </si>
  <si>
    <t>Spin Laundry Soap</t>
  </si>
  <si>
    <t>Sunshine Blue</t>
  </si>
  <si>
    <t>Swift Bar Soap</t>
  </si>
  <si>
    <t>TCP Soap</t>
  </si>
  <si>
    <t>Toto skin care Soap</t>
  </si>
  <si>
    <t>Toto soap</t>
  </si>
  <si>
    <t>Zee Black soap</t>
  </si>
  <si>
    <t>Zenta soap</t>
  </si>
  <si>
    <t>Zip Bar Soap</t>
  </si>
  <si>
    <t>ZIP Detergent 1Kg</t>
  </si>
  <si>
    <t>ZIP Detergent 200g</t>
  </si>
  <si>
    <t>Dangote Spaghetti</t>
  </si>
  <si>
    <t>Honey Well Spaghetti</t>
  </si>
  <si>
    <t>Easy on Double Starch Purple</t>
  </si>
  <si>
    <t>Easy On Spray Starch Blue</t>
  </si>
  <si>
    <t>GBC Spray Starch</t>
  </si>
  <si>
    <t>Magic Spray Starch</t>
  </si>
  <si>
    <t>Kick off Starch</t>
  </si>
  <si>
    <t>Tetmosol Soap (G)</t>
  </si>
  <si>
    <t>Golden Penny Spaghetti</t>
  </si>
  <si>
    <t>Radepak Starch</t>
  </si>
  <si>
    <t>Renew Starch</t>
  </si>
  <si>
    <t>revive starch</t>
  </si>
  <si>
    <t>80 Tea Bags</t>
  </si>
  <si>
    <t>Asda Tea ag</t>
  </si>
  <si>
    <t>Asda Teabags</t>
  </si>
  <si>
    <t>Best Green Tea</t>
  </si>
  <si>
    <t>Green tea</t>
  </si>
  <si>
    <t>Green, Lemon and Ginger Tea</t>
  </si>
  <si>
    <t>Herb Tea Dakins 25g</t>
  </si>
  <si>
    <t>Powder Sachet</t>
  </si>
  <si>
    <t>Lipton tea Carton</t>
  </si>
  <si>
    <t>Napa Gold Label Tea</t>
  </si>
  <si>
    <t>richoco tea refil</t>
  </si>
  <si>
    <t>toptea</t>
  </si>
  <si>
    <t>Belle Tissue</t>
  </si>
  <si>
    <t>Facial Serviette</t>
  </si>
  <si>
    <t>Fluffy Car Tissue</t>
  </si>
  <si>
    <t>Jumbo Tissue</t>
  </si>
  <si>
    <t>King Size Tissue</t>
  </si>
  <si>
    <t>r</t>
  </si>
  <si>
    <t>Rose Cara Tissue</t>
  </si>
  <si>
    <t>Rose Plus Tissue</t>
  </si>
  <si>
    <t>tender soft tissue</t>
  </si>
  <si>
    <t>Serviette Paper</t>
  </si>
  <si>
    <t>Colgate ToothBrush</t>
  </si>
  <si>
    <t>Diplomat Smokers Tooth Brush</t>
  </si>
  <si>
    <t>Formula System Tooth Brush</t>
  </si>
  <si>
    <t>Formular Diamond ToothBrush</t>
  </si>
  <si>
    <t>Close up M/S</t>
  </si>
  <si>
    <t>Close up S/S</t>
  </si>
  <si>
    <t>Dabur Herbal B/S</t>
  </si>
  <si>
    <t>Dabur Herbal basil</t>
  </si>
  <si>
    <t>Dabur Herbal S/S</t>
  </si>
  <si>
    <t>Dabur Tooth Paste M/S</t>
  </si>
  <si>
    <t>Daily Need Toothpaste B/S</t>
  </si>
  <si>
    <t>Daily Need Toothpaste M/S</t>
  </si>
  <si>
    <t>Daily Need Toothpaste S/S</t>
  </si>
  <si>
    <t>Macleans B/S</t>
  </si>
  <si>
    <t>Macleans Complete care 125ml</t>
  </si>
  <si>
    <t>Macleans Herbal Toothpaste 125ml</t>
  </si>
  <si>
    <t>Matrix Brush</t>
  </si>
  <si>
    <t>Oral B Pro Expert Toothpaste</t>
  </si>
  <si>
    <t>Oral B Tooth Paste B/S</t>
  </si>
  <si>
    <t>Oral B ToothPaste M/S</t>
  </si>
  <si>
    <t>Closeup Sachet</t>
  </si>
  <si>
    <t>Promise ToothPaste</t>
  </si>
  <si>
    <t>Sensodyne Toothpaste Extra fresh</t>
  </si>
  <si>
    <t>Sensodyne Toothpaste Totalcare</t>
  </si>
  <si>
    <t>Water Care Water Guard</t>
  </si>
  <si>
    <t>Bond Crystal Water</t>
  </si>
  <si>
    <t>My My Herbal Toothpaste</t>
  </si>
  <si>
    <t>Olive Toothpaste M/S</t>
  </si>
  <si>
    <t>Pepsodent Tooth Paste B/S</t>
  </si>
  <si>
    <t>Dana Water</t>
  </si>
  <si>
    <t>Eva Water B/S</t>
  </si>
  <si>
    <t>Eva Water S/S</t>
  </si>
  <si>
    <t>Tesco Toothpaste</t>
  </si>
  <si>
    <t>Thameswiss Water 50cl</t>
  </si>
  <si>
    <t>Thameswiss Water 75cl</t>
  </si>
  <si>
    <t>Visleri Bottle Water 50cl</t>
  </si>
  <si>
    <t>Visleri Bottle Water 75cl</t>
  </si>
  <si>
    <t>Water Guard original</t>
  </si>
  <si>
    <t>petals weaveon oil</t>
  </si>
  <si>
    <t>Promax Weavon Gloss</t>
  </si>
  <si>
    <t>st-laurein whine</t>
  </si>
  <si>
    <t>Baccchus Wine B/S</t>
  </si>
  <si>
    <t>Bacchus Lite</t>
  </si>
  <si>
    <t>Bacchus Wine M/S</t>
  </si>
  <si>
    <t>Bacchus Wine S/S</t>
  </si>
  <si>
    <t>Ballies Wine B/S</t>
  </si>
  <si>
    <t>Ballies Wine M/S</t>
  </si>
  <si>
    <t>Ballies Wine S/S</t>
  </si>
  <si>
    <t>Best Wine B/S</t>
  </si>
  <si>
    <t>Best Wine S/S</t>
  </si>
  <si>
    <t>Caldon Shnapp S/S</t>
  </si>
  <si>
    <t>Calidon Shnapp B/S</t>
  </si>
  <si>
    <t>Chelsea B/S</t>
  </si>
  <si>
    <t>chelsea london whsikey cream</t>
  </si>
  <si>
    <t>Chelsea M/S</t>
  </si>
  <si>
    <t>Chelsea S/S</t>
  </si>
  <si>
    <t>Chelsea S/S smallest</t>
  </si>
  <si>
    <t>commendore shinapp B/S</t>
  </si>
  <si>
    <t>Crown Schnapp</t>
  </si>
  <si>
    <t>Don Sangaria</t>
  </si>
  <si>
    <t>Don Simon Wine</t>
  </si>
  <si>
    <t>Eskala Wine/Gin</t>
  </si>
  <si>
    <t>eva wine original</t>
  </si>
  <si>
    <t>Exotic (ms)</t>
  </si>
  <si>
    <t>Finlays Wine 1 Litre</t>
  </si>
  <si>
    <t>Finlays Wine 75cl</t>
  </si>
  <si>
    <t>Jee Williams Wine</t>
  </si>
  <si>
    <t>Kick up Wine</t>
  </si>
  <si>
    <t>Medicare Weavon Gloss</t>
  </si>
  <si>
    <t>Oriade Shnapp B/S</t>
  </si>
  <si>
    <t>Oriade Shnapp S/S</t>
  </si>
  <si>
    <t>pecise wine</t>
  </si>
  <si>
    <t>Power Schnapps B/S</t>
  </si>
  <si>
    <t>Power Shnapp B/S</t>
  </si>
  <si>
    <t>Power Shnapp S/S</t>
  </si>
  <si>
    <t>Seamans Shnapp B/S</t>
  </si>
  <si>
    <t>Seamans Shnapp M/S</t>
  </si>
  <si>
    <t>Squadron B/S</t>
  </si>
  <si>
    <t>Squadron M/S</t>
  </si>
  <si>
    <t>Squadron S/S</t>
  </si>
  <si>
    <t>Squadron S/S smallest</t>
  </si>
  <si>
    <t>Yacht Shnapp</t>
  </si>
  <si>
    <t>BB Star Yoghurt S/S</t>
  </si>
  <si>
    <t>Bobo b/s</t>
  </si>
  <si>
    <t>Bobo Yoghurt S/S</t>
  </si>
  <si>
    <t>Cannan Yoghurt S/S</t>
  </si>
  <si>
    <t>Yoghurt B/S</t>
  </si>
  <si>
    <t>Yoghurt M/S</t>
  </si>
  <si>
    <t>Yoghurt S/S</t>
  </si>
  <si>
    <t>Aneroid Shygnomanometer - ecton</t>
  </si>
  <si>
    <t>Surgicals</t>
  </si>
  <si>
    <t>Anti Embolism Stokings XL</t>
  </si>
  <si>
    <t>Apacco Weak Iodine</t>
  </si>
  <si>
    <t>Black Silk</t>
  </si>
  <si>
    <t>Blood Glucose Monitor Wristech</t>
  </si>
  <si>
    <t>Blood Pressure Monitor</t>
  </si>
  <si>
    <t>Blood Pressure Monitor -M2 Basic</t>
  </si>
  <si>
    <t>Cannular - Size (Green)</t>
  </si>
  <si>
    <t>Cannular (Blue)</t>
  </si>
  <si>
    <t>Cannular (Pink)</t>
  </si>
  <si>
    <t>Cannular (Yellow)</t>
  </si>
  <si>
    <t>Cannular - Size 24</t>
  </si>
  <si>
    <t>Caslan 90 Muscle Builder</t>
  </si>
  <si>
    <t>Catheter (All Size)</t>
  </si>
  <si>
    <t>Catheter G/size-18</t>
  </si>
  <si>
    <t>Catheter G/size-20</t>
  </si>
  <si>
    <t>Chromic Catgut 0 (X12)</t>
  </si>
  <si>
    <t>Chromic Catgut 1 (X12)</t>
  </si>
  <si>
    <t>Chromic Catgut 2 (X12)</t>
  </si>
  <si>
    <t>Chromic Catgut 2/0 (X12)</t>
  </si>
  <si>
    <t>Infusion Giving Set</t>
  </si>
  <si>
    <t>Clinical Thermometer - Lifeguard</t>
  </si>
  <si>
    <t>Clinical Thermomether Big Size</t>
  </si>
  <si>
    <t>Clinical Thermomether Digital</t>
  </si>
  <si>
    <t>Clinical Thermomether M/S</t>
  </si>
  <si>
    <t>Clinical Thermomether S/S</t>
  </si>
  <si>
    <t>Clinistic Strip</t>
  </si>
  <si>
    <t>Clinitest</t>
  </si>
  <si>
    <t>Comform glove</t>
  </si>
  <si>
    <t>Conform Glove</t>
  </si>
  <si>
    <t>Copper-T</t>
  </si>
  <si>
    <t>Cord Clamp</t>
  </si>
  <si>
    <t>Cotton Wool4</t>
  </si>
  <si>
    <t>Cotton Wool5</t>
  </si>
  <si>
    <t>Cotton Wool6</t>
  </si>
  <si>
    <t>Crepe Bandage (Elastic) 4"</t>
  </si>
  <si>
    <t>Crepe Bandage 6"</t>
  </si>
  <si>
    <t>Crepe Bandage B/S</t>
  </si>
  <si>
    <t>Crepe Bandage S/S</t>
  </si>
  <si>
    <t>Crepe Bandage3</t>
  </si>
  <si>
    <t>Crepe Bandage4</t>
  </si>
  <si>
    <t>Crepe Bandage5</t>
  </si>
  <si>
    <t>Crepe Bandage6</t>
  </si>
  <si>
    <t>Disposable Glove (Nylon) (X1)</t>
  </si>
  <si>
    <t>Sachet (X1)</t>
  </si>
  <si>
    <t>Envelope Paper B/S</t>
  </si>
  <si>
    <t>Face Mask2</t>
  </si>
  <si>
    <t>Feeding Tube</t>
  </si>
  <si>
    <t>Foetoscope</t>
  </si>
  <si>
    <t>Forcept1</t>
  </si>
  <si>
    <t>Forcept2</t>
  </si>
  <si>
    <t>Forcept3</t>
  </si>
  <si>
    <t>Gauze Bandage 1</t>
  </si>
  <si>
    <t>Gauze Bandage 2</t>
  </si>
  <si>
    <t>Gauze Bandage 36 inches X100yrds</t>
  </si>
  <si>
    <t>Gauze Bandage 4</t>
  </si>
  <si>
    <t>Gauze Bandage 5</t>
  </si>
  <si>
    <t>Gauze Bandage 6""</t>
  </si>
  <si>
    <t>Glocose Monitor -ACCU CHECK</t>
  </si>
  <si>
    <t>Glove (Disposable)</t>
  </si>
  <si>
    <t>Glove (Examination)</t>
  </si>
  <si>
    <t>Glove (Surgeons)</t>
  </si>
  <si>
    <t>Glove4</t>
  </si>
  <si>
    <t>Glucose Monitor - ACCU CHECK</t>
  </si>
  <si>
    <t>Glucose Monitor Monitor - On Call Plus</t>
  </si>
  <si>
    <t>Glucose Monitor - Ultra Easy</t>
  </si>
  <si>
    <t>Glucose Monitor Strip</t>
  </si>
  <si>
    <t>Glucose Monitor Strip ACCU CHECK</t>
  </si>
  <si>
    <t>Hot Water Bottle</t>
  </si>
  <si>
    <t>Insulin Syringe</t>
  </si>
  <si>
    <t>Face Mask</t>
  </si>
  <si>
    <t>IV Cannular 20G (X50)</t>
  </si>
  <si>
    <t>IV Cannular 24G (X50)</t>
  </si>
  <si>
    <t>Kidney Tray</t>
  </si>
  <si>
    <t>Knee Elastic Bandage XL</t>
  </si>
  <si>
    <t>Mucus Extractor</t>
  </si>
  <si>
    <t>Nurse Cap</t>
  </si>
  <si>
    <t>Nylon Catgut 0 (X12)</t>
  </si>
  <si>
    <t>Nylon Catgut 1 (X12)</t>
  </si>
  <si>
    <t>Nylon Catgut 2 (X12)</t>
  </si>
  <si>
    <t>Nylon Catgut 2/0 (X12)</t>
  </si>
  <si>
    <t>Nylon Catgut 4/0</t>
  </si>
  <si>
    <t>P.O.P 4 inches</t>
  </si>
  <si>
    <t>P.O.P 6 inches</t>
  </si>
  <si>
    <t>P.O.P 8 inches</t>
  </si>
  <si>
    <t>Plaster (Medicated)</t>
  </si>
  <si>
    <t>Plaster (Roll) 2</t>
  </si>
  <si>
    <t>Plaster (Roll) 3inch</t>
  </si>
  <si>
    <t>Plaster (Roll) 4</t>
  </si>
  <si>
    <t>Plaster Of Paris 4inch</t>
  </si>
  <si>
    <t>Plaster Of Paris 6inch</t>
  </si>
  <si>
    <t>Plaster Of Paris 8inch</t>
  </si>
  <si>
    <t>Scalp Vein Needle 25G</t>
  </si>
  <si>
    <t>Scissors B/S</t>
  </si>
  <si>
    <t>Silk Braided 1/0 (X12)</t>
  </si>
  <si>
    <t>Silk Catgut 2 (X12)</t>
  </si>
  <si>
    <t>Silk Catgut 2/0 (X12)</t>
  </si>
  <si>
    <t>Silk Catgut4</t>
  </si>
  <si>
    <t>Silk Catgut5</t>
  </si>
  <si>
    <t>Skin Traction Kit original</t>
  </si>
  <si>
    <t>Soft Bandage 6</t>
  </si>
  <si>
    <t>Sphygmomanometer</t>
  </si>
  <si>
    <t>Sterined Infant Mucus Extractor</t>
  </si>
  <si>
    <t>Steritin</t>
  </si>
  <si>
    <t>Stethoscope littman</t>
  </si>
  <si>
    <t>Surgical Blade</t>
  </si>
  <si>
    <t>Surgical Glove (X1)</t>
  </si>
  <si>
    <t>Suturing Needle</t>
  </si>
  <si>
    <t>Syringe And Needle</t>
  </si>
  <si>
    <t>Syringe and Needle 10ml</t>
  </si>
  <si>
    <t>Syringe and Needle 20ml</t>
  </si>
  <si>
    <t>Umbillica Clip</t>
  </si>
  <si>
    <t>3G Cream</t>
  </si>
  <si>
    <t>Urine Bag</t>
  </si>
  <si>
    <t>Weight Scale (Camry)</t>
  </si>
  <si>
    <t>Stetoscope -Limen</t>
  </si>
  <si>
    <t>Syringe and Needle 2ml (X1)</t>
  </si>
  <si>
    <t>Acneaway Cream</t>
  </si>
  <si>
    <t>Acyclovir Cream</t>
  </si>
  <si>
    <t>Aeroline Inhaler</t>
  </si>
  <si>
    <t>Amovin 1g</t>
  </si>
  <si>
    <t>Angy yoyo</t>
  </si>
  <si>
    <t>Banedif Powder</t>
  </si>
  <si>
    <t>Beoptic Eye ointment</t>
  </si>
  <si>
    <t>Betamethasone Cream G</t>
  </si>
  <si>
    <t>Betamethasone-N Cream</t>
  </si>
  <si>
    <t>Betnesol N Cream</t>
  </si>
  <si>
    <t>Betnovate-N Cream</t>
  </si>
  <si>
    <t>Biocoten Cream</t>
  </si>
  <si>
    <t>Candid-B Lotion</t>
  </si>
  <si>
    <t>Candiderm</t>
  </si>
  <si>
    <t>Canesten Cream</t>
  </si>
  <si>
    <t>Cicatrin Powder</t>
  </si>
  <si>
    <t>Clin-Cap Cream</t>
  </si>
  <si>
    <t>Clotriderm Cream</t>
  </si>
  <si>
    <t>Cosmos</t>
  </si>
  <si>
    <t>Daktarin Cream</t>
  </si>
  <si>
    <t>Daktarin Powder</t>
  </si>
  <si>
    <t>Daletarin Cream</t>
  </si>
  <si>
    <t>Dermazin B/S</t>
  </si>
  <si>
    <t>Dermovate Cream</t>
  </si>
  <si>
    <t>Dermazin Cream 25g</t>
  </si>
  <si>
    <t>Drugela Mouth gel</t>
  </si>
  <si>
    <t>Eurax</t>
  </si>
  <si>
    <t>Farumol</t>
  </si>
  <si>
    <t>Fungusol Cream</t>
  </si>
  <si>
    <t>Fungusol Lotion</t>
  </si>
  <si>
    <t>Fungusol Powder</t>
  </si>
  <si>
    <t>Gentamicin Skin Ointment</t>
  </si>
  <si>
    <t>Glucosamine Cream 50g</t>
  </si>
  <si>
    <t>Heel Cream</t>
  </si>
  <si>
    <t>Jointace Gel</t>
  </si>
  <si>
    <t>Jusgo Muscle Rub</t>
  </si>
  <si>
    <t>Kemi Cream</t>
  </si>
  <si>
    <t>Ketovail Cream</t>
  </si>
  <si>
    <t>Klusyl</t>
  </si>
  <si>
    <t>K-Y Gel</t>
  </si>
  <si>
    <t>Lamisil Cream</t>
  </si>
  <si>
    <t>Lofnac Gel</t>
  </si>
  <si>
    <t>Minak-V Vaginal Cream</t>
  </si>
  <si>
    <t>Mycoten Vaginal Cream</t>
  </si>
  <si>
    <t>N&amp;N Sulphur Ointment</t>
  </si>
  <si>
    <t>Nasacort Skin Cream</t>
  </si>
  <si>
    <t>Epiderm Cream</t>
  </si>
  <si>
    <t>Funbact A Cream</t>
  </si>
  <si>
    <t>Neopresol Lotion</t>
  </si>
  <si>
    <t>Nestin Cream</t>
  </si>
  <si>
    <t>Neurogesic Extra 35g</t>
  </si>
  <si>
    <t>Odomos tube B/S</t>
  </si>
  <si>
    <t>Olfen Gel</t>
  </si>
  <si>
    <t>Penicillin Eye Ointment</t>
  </si>
  <si>
    <t>Polyderm Cream</t>
  </si>
  <si>
    <t>Relief Cream</t>
  </si>
  <si>
    <t>Rhumasyl Ointment</t>
  </si>
  <si>
    <t>Roxy Gel</t>
  </si>
  <si>
    <t>Ruma X Plus</t>
  </si>
  <si>
    <t>Sabresten 15g</t>
  </si>
  <si>
    <t>Sabresten Cream</t>
  </si>
  <si>
    <t>Sabutamol Inhaler</t>
  </si>
  <si>
    <t>Salbutamol Inhaler</t>
  </si>
  <si>
    <t>SOS Burns</t>
  </si>
  <si>
    <t>Spotgesic Methylsallysilate</t>
  </si>
  <si>
    <t>Sulbumol Inhaler</t>
  </si>
  <si>
    <t>Viralex Cream 5g</t>
  </si>
  <si>
    <t>Visita Plus</t>
  </si>
  <si>
    <t>Volini gel 30g</t>
  </si>
  <si>
    <t>Voltaren Emul Gel 50g</t>
  </si>
  <si>
    <t>Whitefield Ointment -Drugfields</t>
  </si>
  <si>
    <t>Whitefield Ointment G</t>
  </si>
  <si>
    <t>Mycoten Cream</t>
  </si>
  <si>
    <t>Yeast Powder</t>
  </si>
  <si>
    <t>Zetgel Emulgel 35g</t>
  </si>
  <si>
    <t>Xanap (X10)</t>
  </si>
  <si>
    <t>Grenocid Suspension</t>
  </si>
  <si>
    <t>Ketonal Cream</t>
  </si>
  <si>
    <t>Lion Cream</t>
  </si>
  <si>
    <t>Ranvitol Liquid</t>
  </si>
  <si>
    <t>Ibastop Drop</t>
  </si>
  <si>
    <t>Candid Clotrimazole oral treatment</t>
  </si>
  <si>
    <t>Hypotears gel</t>
  </si>
  <si>
    <t>Aplev (X10)</t>
  </si>
  <si>
    <t>Betrosil Cream</t>
  </si>
  <si>
    <t>Degat Cream</t>
  </si>
  <si>
    <t>Gentalene C Cream</t>
  </si>
  <si>
    <t>Diclofenac Gel DGF</t>
  </si>
  <si>
    <t>Betavel - N Cream 15g</t>
  </si>
  <si>
    <t>Arthogratis Complex (X30)</t>
  </si>
  <si>
    <t>Formula 2010 (X30)</t>
  </si>
  <si>
    <t>Pengesic (X10)</t>
  </si>
  <si>
    <t>Lekam 5mg (X10)</t>
  </si>
  <si>
    <t>Lekam 10mg3 (X10)</t>
  </si>
  <si>
    <t>Tramal Retard 100mg (X10)</t>
  </si>
  <si>
    <t>Eprostol (X3)</t>
  </si>
  <si>
    <t>Sendinor 2</t>
  </si>
  <si>
    <t>Indomie Super Pack</t>
  </si>
  <si>
    <t>Indomie Hungry Man</t>
  </si>
  <si>
    <t>Indomie HoneyWell</t>
  </si>
  <si>
    <t>Extreme Mayonaise</t>
  </si>
  <si>
    <t>Magnum Cream Wine B/S</t>
  </si>
  <si>
    <t>Blue Cocktail Imported</t>
  </si>
  <si>
    <t>Medisoft Mosquito Lotion</t>
  </si>
  <si>
    <t>Know Maggi Ordinary</t>
  </si>
  <si>
    <t>VIP Diplomat Brush</t>
  </si>
  <si>
    <t>Lilo Vaseline Ordinary</t>
  </si>
  <si>
    <t>Dettol Vaseline M/S</t>
  </si>
  <si>
    <t>Ebony Relaxer</t>
  </si>
  <si>
    <t>Laser Shaving Stick</t>
  </si>
  <si>
    <t>St remony Wine</t>
  </si>
  <si>
    <t>Fenac Wine</t>
  </si>
  <si>
    <t>MiniGrip-P for children</t>
  </si>
  <si>
    <t>Essential-10 Syrup</t>
  </si>
  <si>
    <t>Rosciclox Syrup</t>
  </si>
  <si>
    <t>Anchor Vitamin B Complex syrup</t>
  </si>
  <si>
    <t>Clavulin 625mg</t>
  </si>
  <si>
    <t>Clavulin 1g</t>
  </si>
  <si>
    <t>Instraryl susp</t>
  </si>
  <si>
    <t>Jawabutamol Syrup</t>
  </si>
  <si>
    <t>lycoger syrup</t>
  </si>
  <si>
    <t>Lysol</t>
  </si>
  <si>
    <t>Mebox Syrup</t>
  </si>
  <si>
    <t>Pheneric Syrup</t>
  </si>
  <si>
    <t>Procto - Glyvenol</t>
  </si>
  <si>
    <t>Protobex Syrup 100ml</t>
  </si>
  <si>
    <t>Rablyn Expectorant</t>
  </si>
  <si>
    <t>Rablyn Expectorant 2 litres</t>
  </si>
  <si>
    <t>S-Fem Suspension</t>
  </si>
  <si>
    <t>Vigor Syrup 200ml</t>
  </si>
  <si>
    <t>Vitagold Syrup</t>
  </si>
  <si>
    <t>Zolofer Syrup 200ml</t>
  </si>
  <si>
    <t>Castor Oil</t>
  </si>
  <si>
    <t>Parachlor Syrup</t>
  </si>
  <si>
    <t>Anchor Paracetamol Syrup</t>
  </si>
  <si>
    <t>Avipol Paracetamol Syrup</t>
  </si>
  <si>
    <t>Avipol Syrup</t>
  </si>
  <si>
    <t>Daga Syrup</t>
  </si>
  <si>
    <t>Dailyneed Paracetamol Syrup</t>
  </si>
  <si>
    <t>De-Shalom Paracetamol Syrup</t>
  </si>
  <si>
    <t>Dr Meyers Paracetamol Syrup</t>
  </si>
  <si>
    <t>Emcap Paracetamol Syrup</t>
  </si>
  <si>
    <t>Evans Paracetamol Syrup</t>
  </si>
  <si>
    <t>Faith Paracetamol Syrup</t>
  </si>
  <si>
    <t>Leadamol Syrup</t>
  </si>
  <si>
    <t>Lotemp Paracetamol Syrup</t>
  </si>
  <si>
    <t>Mantra Paracetamol Syrup</t>
  </si>
  <si>
    <t>Micpol Paracetamol Syrup</t>
  </si>
  <si>
    <t>Moko Paracetamol Syrup</t>
  </si>
  <si>
    <t>Mopson Paracetamol Syrup</t>
  </si>
  <si>
    <t>Peace Paracetamol Syrup</t>
  </si>
  <si>
    <t>Panda Paracetamol Syrup</t>
  </si>
  <si>
    <t>Tuyil Paracetamol Syrup</t>
  </si>
  <si>
    <t>Uncle P Children Paracetamol syrup</t>
  </si>
  <si>
    <t>Unique Paracetamol Syrup</t>
  </si>
  <si>
    <t>Kiditrim Syr</t>
  </si>
  <si>
    <t>Nise Piriton Syrup</t>
  </si>
  <si>
    <t>Piriton (x10) Emzor</t>
  </si>
  <si>
    <t>Pitrofin Syrup</t>
  </si>
  <si>
    <t>Bentos Paracetamol Syrup</t>
  </si>
  <si>
    <t>Calpol Susp</t>
  </si>
  <si>
    <t>Metazine Promethazine Syrup</t>
  </si>
  <si>
    <t>Mopson Promethazine Syrup</t>
  </si>
  <si>
    <t>Nise plus</t>
  </si>
  <si>
    <t>Avrotrim susp 240mg</t>
  </si>
  <si>
    <t>Chemotrim Suspension 60ml</t>
  </si>
  <si>
    <t>chemotrin septrin</t>
  </si>
  <si>
    <t>Emtrisil Syrup</t>
  </si>
  <si>
    <t>Kofarest Paediatric Syrup (Children)</t>
  </si>
  <si>
    <t>Mopson Septrin Syrup</t>
  </si>
  <si>
    <t>Optrim Syrup</t>
  </si>
  <si>
    <t>Tutrim Syrup</t>
  </si>
  <si>
    <t>Vitabiotics Septrin syrup</t>
  </si>
  <si>
    <t>Emzor Paracetamol Syrup</t>
  </si>
  <si>
    <t>Becombion Syrup 300ml</t>
  </si>
  <si>
    <t>Emtrim Susp 240mg</t>
  </si>
  <si>
    <t>Vitabiotics Septrin Syrup</t>
  </si>
  <si>
    <t>Bonarex Tripple Action</t>
  </si>
  <si>
    <t>Calpol Sugar free Instant Suspension</t>
  </si>
  <si>
    <t>Fine Baby Syrup</t>
  </si>
  <si>
    <t>Kofarest Paediatric Syrup(Adult)</t>
  </si>
  <si>
    <t>Maxibabe Syrup</t>
  </si>
  <si>
    <t>Super Babe</t>
  </si>
  <si>
    <t>becotive Vitamin B Co x100</t>
  </si>
  <si>
    <t>Biovit Vitamin B Complex Syrup</t>
  </si>
  <si>
    <t>Daily Need Vitamin B Complex Syrup</t>
  </si>
  <si>
    <t>Dr Meyers Vitamin B Complex Syrup</t>
  </si>
  <si>
    <t>Dr Vamis Vitamin B Complex Syrup</t>
  </si>
  <si>
    <t>Emzor Vitamin B Complex Syrup</t>
  </si>
  <si>
    <t>Tuyil Vitamin B Complex Syrup</t>
  </si>
  <si>
    <t>De-Shalom Vitamin C Syrup</t>
  </si>
  <si>
    <t>Emzor Vitamin C Syrup</t>
  </si>
  <si>
    <t>Juhel Vitamin B Complex Syrup</t>
  </si>
  <si>
    <t>Mopson Vitamin B Complex Syrup</t>
  </si>
  <si>
    <t>Anchor Vitamin C Syrup</t>
  </si>
  <si>
    <t>Avro C Vitamin C Syrup</t>
  </si>
  <si>
    <t>Bentos Vitamin C Syrup</t>
  </si>
  <si>
    <t>Bioraj Vitamin C Syrup</t>
  </si>
  <si>
    <t>Zestup Vitamin B Complex Tablet (x10)</t>
  </si>
  <si>
    <t>Bonababe Vitamin C Syrup</t>
  </si>
  <si>
    <t>Ceelo Vitamin C syrup</t>
  </si>
  <si>
    <t>Esocee Vitamin C Syrup</t>
  </si>
  <si>
    <t>Moko GV Lotion</t>
  </si>
  <si>
    <t>Mopson Vitamin C Syrup</t>
  </si>
  <si>
    <t>Oak Faith Vitamin C Syrup</t>
  </si>
  <si>
    <t>Peace Vitamin C Syrup</t>
  </si>
  <si>
    <t>Tamin C Vitamin C Syrup</t>
  </si>
  <si>
    <t>Ultimal Vitamin C Syrup</t>
  </si>
  <si>
    <t>Vita Ace Vitamin C Syrup</t>
  </si>
  <si>
    <t>Vitacee Vitamin C Syrup</t>
  </si>
  <si>
    <t>vitamin c syrup -fever</t>
  </si>
  <si>
    <t>Apacco G.V</t>
  </si>
  <si>
    <t>De - Shalom GV Lotion</t>
  </si>
  <si>
    <t>De-shallom spirit 100ml</t>
  </si>
  <si>
    <t>De-shalom hydrogen 100ml</t>
  </si>
  <si>
    <t>Eusol Lotion S/S</t>
  </si>
  <si>
    <t>God Dey Spirit S/S</t>
  </si>
  <si>
    <t>Hydrogen Peroxide S/S G</t>
  </si>
  <si>
    <t>Methylated Spirit 100ml</t>
  </si>
  <si>
    <t>Methylated Spirit 2litres</t>
  </si>
  <si>
    <t>Methylated Spirit bottle</t>
  </si>
  <si>
    <t>T.B.C liquid</t>
  </si>
  <si>
    <t>Iodine Tuture G</t>
  </si>
  <si>
    <t>Moko Iodine 15ml</t>
  </si>
  <si>
    <t>TCP 100ml</t>
  </si>
  <si>
    <t>TCP 200ml</t>
  </si>
  <si>
    <t>Tuncture Benzoin Compound</t>
  </si>
  <si>
    <t>Cold Ko (X4)</t>
  </si>
  <si>
    <t>AC-Diclo 100</t>
  </si>
  <si>
    <t>After 5</t>
  </si>
  <si>
    <t>Albendazole RGI</t>
  </si>
  <si>
    <t>Alphabetic (X30)</t>
  </si>
  <si>
    <t>Amclavin 156.25 100ml</t>
  </si>
  <si>
    <t>APCA (Aspirin + Caffeine)</t>
  </si>
  <si>
    <t>Ashton &amp; Parson</t>
  </si>
  <si>
    <t>Aspain PM (X10)</t>
  </si>
  <si>
    <t>Aston &amp; Parsons</t>
  </si>
  <si>
    <t>A-Z Capsule</t>
  </si>
  <si>
    <t>B.K.B</t>
  </si>
  <si>
    <t>Bicarbonate Of Soda</t>
  </si>
  <si>
    <t>Biomag Caplets (X10)</t>
  </si>
  <si>
    <t>Bioramol caplet (x10)</t>
  </si>
  <si>
    <t>Bonadol Cap (x10)</t>
  </si>
  <si>
    <t>Bonso (X10)</t>
  </si>
  <si>
    <t>Bulminta Cap</t>
  </si>
  <si>
    <t>Bunso pile Tablet (X10)</t>
  </si>
  <si>
    <t>Moko Methylated Spirit</t>
  </si>
  <si>
    <t>B-Complex (X100)</t>
  </si>
  <si>
    <t>Calcitab</t>
  </si>
  <si>
    <t>Canon Xtra (x10)</t>
  </si>
  <si>
    <t>Chaztfed (X10)</t>
  </si>
  <si>
    <t>Chitrim 480 (X10)</t>
  </si>
  <si>
    <t>Cipronol (X10)</t>
  </si>
  <si>
    <t>Clo-BKO (X15)</t>
  </si>
  <si>
    <t>Cod Liver Oil 1000mg (X10) G</t>
  </si>
  <si>
    <t>Cod Liver Oil 300mg (X10) G</t>
  </si>
  <si>
    <t>Cofamid Plus (x10)</t>
  </si>
  <si>
    <t>Cofta (x10)</t>
  </si>
  <si>
    <t>Cold Free (X10)</t>
  </si>
  <si>
    <t>ColdCap (X10) G</t>
  </si>
  <si>
    <t>ColdCod 100mg (X15)</t>
  </si>
  <si>
    <t>Coldflu (X4)</t>
  </si>
  <si>
    <t>Cold-free (X4)</t>
  </si>
  <si>
    <t>Coldpass (X10)</t>
  </si>
  <si>
    <t>ColdPass ×10</t>
  </si>
  <si>
    <t>Combiworm</t>
  </si>
  <si>
    <t>Cypeni Tab (X10)</t>
  </si>
  <si>
    <t>Cypron (x10)</t>
  </si>
  <si>
    <t>Daga (x4)</t>
  </si>
  <si>
    <t>Daravit Capsule (x30)</t>
  </si>
  <si>
    <t>Day by Day Capsule (x15)</t>
  </si>
  <si>
    <t>Calcimax (x30)</t>
  </si>
  <si>
    <t>Day by Day Tablet (x10)</t>
  </si>
  <si>
    <t>Dequadin (x10)</t>
  </si>
  <si>
    <t>Dexamethazone 0.5mg (X10) G</t>
  </si>
  <si>
    <t>Dexamethazone 1mg (X10) G</t>
  </si>
  <si>
    <t>Diclofort (X10)</t>
  </si>
  <si>
    <t>Diclokris-100</t>
  </si>
  <si>
    <t>Difec-P Forte</t>
  </si>
  <si>
    <t>Dr Meyers Ibuprofen (x12)</t>
  </si>
  <si>
    <t>Ebu 200</t>
  </si>
  <si>
    <t>Ebu 400</t>
  </si>
  <si>
    <t>Elastoplast (X1)</t>
  </si>
  <si>
    <t>Empri (X10)</t>
  </si>
  <si>
    <t>Evans Chloroquine Tab</t>
  </si>
  <si>
    <t>Evans Multivite Forte (X30)</t>
  </si>
  <si>
    <t>Fansidar X3</t>
  </si>
  <si>
    <t>Feloxin (X10)</t>
  </si>
  <si>
    <t>Felxicam 20</t>
  </si>
  <si>
    <t>Feridol Paracetamol</t>
  </si>
  <si>
    <t>Ferrobin Plus</t>
  </si>
  <si>
    <t>Ferrodanna Long</t>
  </si>
  <si>
    <t>Ferrotogen (X1)</t>
  </si>
  <si>
    <t>Ferrotone (X10)</t>
  </si>
  <si>
    <t>Fizzcol (X4)</t>
  </si>
  <si>
    <t>Chloroquine (X10) G</t>
  </si>
  <si>
    <t>Ferrodanna Short</t>
  </si>
  <si>
    <t>Folic Acid (X10)</t>
  </si>
  <si>
    <t>G. Oral</t>
  </si>
  <si>
    <t>Garlic Capsule (x10)</t>
  </si>
  <si>
    <t>Gelusil (X8) G</t>
  </si>
  <si>
    <t>G-Glutamin</t>
  </si>
  <si>
    <t>Ginsomult Cap</t>
  </si>
  <si>
    <t>Gisomult</t>
  </si>
  <si>
    <t>Gisomult (X1)</t>
  </si>
  <si>
    <t>Glo-life Cap</t>
  </si>
  <si>
    <t>Hem 9</t>
  </si>
  <si>
    <t>Ibuheal tab</t>
  </si>
  <si>
    <t>Glucose-D Sachet</t>
  </si>
  <si>
    <t>Inbu 400</t>
  </si>
  <si>
    <t>Just One</t>
  </si>
  <si>
    <t>KAMOL Acetaminophen</t>
  </si>
  <si>
    <t>Kampe Powder</t>
  </si>
  <si>
    <t>kold Off (X4)</t>
  </si>
  <si>
    <t>Kouples</t>
  </si>
  <si>
    <t>Laridox Tab</t>
  </si>
  <si>
    <t>Latrim 960</t>
  </si>
  <si>
    <t>Living Bitters cap (X10)</t>
  </si>
  <si>
    <t>Lyndodyn Cap</t>
  </si>
  <si>
    <t>Lisiofil 100mg</t>
  </si>
  <si>
    <t>Felvin Branded (x10)</t>
  </si>
  <si>
    <t>Magnavit (x15)</t>
  </si>
  <si>
    <t>Maladar</t>
  </si>
  <si>
    <t>Malagon Tab</t>
  </si>
  <si>
    <t>Maxadol Extra</t>
  </si>
  <si>
    <t>Maxadol Extra (X10)</t>
  </si>
  <si>
    <t>Maxibu (X10)</t>
  </si>
  <si>
    <t>Mega up</t>
  </si>
  <si>
    <t>Mexanal (X4)</t>
  </si>
  <si>
    <t>Milicap</t>
  </si>
  <si>
    <t>Millicap Cap</t>
  </si>
  <si>
    <t>MIM Strong</t>
  </si>
  <si>
    <t>Mixagrip (X4)</t>
  </si>
  <si>
    <t>mixamol (X4)</t>
  </si>
  <si>
    <t>Neurosanbe</t>
  </si>
  <si>
    <t>Nolo Liver Salt</t>
  </si>
  <si>
    <t>Nolvagin(x10)</t>
  </si>
  <si>
    <t>Omafenan-100</t>
  </si>
  <si>
    <t>Oraldoz</t>
  </si>
  <si>
    <t>Orheptal Capsule (x30)</t>
  </si>
  <si>
    <t>Osject Tab (X20)</t>
  </si>
  <si>
    <t>Osjet (X10)</t>
  </si>
  <si>
    <t>Osven (X12)</t>
  </si>
  <si>
    <t>Osworm Paracetamol (X12)</t>
  </si>
  <si>
    <t>Novogold (X10) G</t>
  </si>
  <si>
    <t>Panadol Blue (x2)</t>
  </si>
  <si>
    <t>Panadol Cold &amp; Cattarh (X4)</t>
  </si>
  <si>
    <t>Paracetamol (x12) G</t>
  </si>
  <si>
    <t>Paracetamol (X12) G</t>
  </si>
  <si>
    <t>Paracetamol (X96) G</t>
  </si>
  <si>
    <t>Pectol (X6) G</t>
  </si>
  <si>
    <t>Piroxicam 20mg (x10) Ricam</t>
  </si>
  <si>
    <t>Prednisolone (x10) G</t>
  </si>
  <si>
    <t>Procold (x6)</t>
  </si>
  <si>
    <t>radiklo forte -100</t>
  </si>
  <si>
    <t>radiklo ordinary - 100</t>
  </si>
  <si>
    <t>Riccam (X10) G</t>
  </si>
  <si>
    <t>Richdol</t>
  </si>
  <si>
    <t>Richtol (X6)</t>
  </si>
  <si>
    <t>Rufedol (X1)</t>
  </si>
  <si>
    <t>Sakold</t>
  </si>
  <si>
    <t>Salvite Mvt Cap</t>
  </si>
  <si>
    <t>Seretine</t>
  </si>
  <si>
    <t>Sevit G</t>
  </si>
  <si>
    <t>Panadol Extra (x15)</t>
  </si>
  <si>
    <t>Solo Inhailer</t>
  </si>
  <si>
    <t>Solotone Plus (x15)</t>
  </si>
  <si>
    <t>Stanfer</t>
  </si>
  <si>
    <t>Super Multivitamin (x21)</t>
  </si>
  <si>
    <t>Retrax (X3)</t>
  </si>
  <si>
    <t>Sureclofen forte</t>
  </si>
  <si>
    <t>Suremol Children Paracetamol Tab</t>
  </si>
  <si>
    <t>Tanzol tab</t>
  </si>
  <si>
    <t>Tocod-E (X15)</t>
  </si>
  <si>
    <t>Tonivite Capsule</t>
  </si>
  <si>
    <t>Tramadex</t>
  </si>
  <si>
    <t>Tramadol cap</t>
  </si>
  <si>
    <t>Tretracycline (X10) G</t>
  </si>
  <si>
    <t>Tumol 500</t>
  </si>
  <si>
    <t>Tumol Extra Red</t>
  </si>
  <si>
    <t>Tuyil Paracetamol(X96)</t>
  </si>
  <si>
    <t>Typhoo 50g</t>
  </si>
  <si>
    <t>ULSAKIT (x20)</t>
  </si>
  <si>
    <t>uncle p children × 10</t>
  </si>
  <si>
    <t>Unidrex (X10)</t>
  </si>
  <si>
    <t>Vam vira (x4)</t>
  </si>
  <si>
    <t>Vama ORS</t>
  </si>
  <si>
    <t>Vamacap (X10)</t>
  </si>
  <si>
    <t>Vamacold Tab</t>
  </si>
  <si>
    <t>Vamadiar (X10)</t>
  </si>
  <si>
    <t>Vamadox Tab</t>
  </si>
  <si>
    <t>Vamanal (X10) Franol</t>
  </si>
  <si>
    <t>Vamicee (X24)</t>
  </si>
  <si>
    <t>Vamiretic</t>
  </si>
  <si>
    <t>Vamiron Codliver oil (X30)</t>
  </si>
  <si>
    <t>Vamis Cod Liver Oil (X) 300mg</t>
  </si>
  <si>
    <t>Teething Powder (X1) G</t>
  </si>
  <si>
    <t>Vamis Glucose tab (X6)</t>
  </si>
  <si>
    <t>Vaxicam (X10) Tuyil</t>
  </si>
  <si>
    <t>Vera Shine Forte</t>
  </si>
  <si>
    <t>Veracap (X)</t>
  </si>
  <si>
    <t>Veravite Forte</t>
  </si>
  <si>
    <t>Vesyca</t>
  </si>
  <si>
    <t>Vesyca 150mg (X30)</t>
  </si>
  <si>
    <t>Vitadar (X3)</t>
  </si>
  <si>
    <t>Vitagrow (x30s)</t>
  </si>
  <si>
    <t>Vitakris (X10)</t>
  </si>
  <si>
    <t>vitakris ×30</t>
  </si>
  <si>
    <t>Vitals Cod Liver 1000mg (X1)</t>
  </si>
  <si>
    <t>Vitals Cod Liver Oil 1000mg (x15)</t>
  </si>
  <si>
    <t>Vitals Cod Liver Oil 300mg (x10)</t>
  </si>
  <si>
    <t>Vitamin B. Compound (x3)</t>
  </si>
  <si>
    <t>Vitamin B.Co (X10)</t>
  </si>
  <si>
    <t>Vitamin C Coloured (X10)</t>
  </si>
  <si>
    <t>Vitamin C with Glucose (x24) G</t>
  </si>
  <si>
    <t>Vitaseng (x15)</t>
  </si>
  <si>
    <t>Vitaseng Multivamin</t>
  </si>
  <si>
    <t>Vitavite (x30s)</t>
  </si>
  <si>
    <t>Wormin-100 (x6)</t>
  </si>
  <si>
    <t>Zagam 200mg (X10)</t>
  </si>
  <si>
    <t>Zamba 500</t>
  </si>
  <si>
    <t>Zapar Short</t>
  </si>
  <si>
    <t>Vit C (x100) Coloured</t>
  </si>
  <si>
    <t>Zilican 150mg (X1)</t>
  </si>
  <si>
    <t>Vitamin B.Complex (X10) Sachet</t>
  </si>
  <si>
    <t>Xpression Attachment B/S</t>
  </si>
  <si>
    <t>Ante Jilie Moringa Leaf B/S</t>
  </si>
  <si>
    <t>Ante Jilie Moringa Leaf cup</t>
  </si>
  <si>
    <t>Ante Jilie Moringa Leaf M/S</t>
  </si>
  <si>
    <t>Aquasulf Skin Ointment</t>
  </si>
  <si>
    <t>Basket dust bin</t>
  </si>
  <si>
    <t>Belle Serviette White</t>
  </si>
  <si>
    <t>Brush for Cobweb</t>
  </si>
  <si>
    <t>Bulb mini</t>
  </si>
  <si>
    <t>Butter Sachet</t>
  </si>
  <si>
    <t>Butterfield Bread</t>
  </si>
  <si>
    <t>Cal-Mag 100 capsule</t>
  </si>
  <si>
    <t>calphyso</t>
  </si>
  <si>
    <t>Cashew nut bottled (b/s)</t>
  </si>
  <si>
    <t>Cashew nut bottled (s/s)</t>
  </si>
  <si>
    <t>Farrows Giand</t>
  </si>
  <si>
    <t>Folimop Folic Acid Syrup</t>
  </si>
  <si>
    <t>Frosted Hong Stars</t>
  </si>
  <si>
    <t>GBE trost</t>
  </si>
  <si>
    <t>Gervenne bouquet</t>
  </si>
  <si>
    <t>Gilycerine De Lixe 28ml</t>
  </si>
  <si>
    <t>Ginger and Hong Donk</t>
  </si>
  <si>
    <t>Ginger Tea Drink 2</t>
  </si>
  <si>
    <t>Emzor Paracetamol (x12)</t>
  </si>
  <si>
    <t>Glasses Case</t>
  </si>
  <si>
    <t>Glycerine De lixe 100ml</t>
  </si>
  <si>
    <t>Groundnut Bottle</t>
  </si>
  <si>
    <t>Groundnut bottled (b/s)</t>
  </si>
  <si>
    <t>Groundnut bottled (s/s)</t>
  </si>
  <si>
    <t>Hyprogel Bode</t>
  </si>
  <si>
    <t>Hyprogel orange</t>
  </si>
  <si>
    <t>IODERM Prickly Heat and Perfumed Talc</t>
  </si>
  <si>
    <t>Isomil</t>
  </si>
  <si>
    <t>Lontor Rechargeable Lantern</t>
  </si>
  <si>
    <t>manas care pomade</t>
  </si>
  <si>
    <t>Mary Diamond BS</t>
  </si>
  <si>
    <t>Mary Diamond MS</t>
  </si>
  <si>
    <t>Mary Diamond SS</t>
  </si>
  <si>
    <t>Master Chef Kettle</t>
  </si>
  <si>
    <t>McDowells Whisky</t>
  </si>
  <si>
    <t>medicare air booster</t>
  </si>
  <si>
    <t>M-Sporex Syrup</t>
  </si>
  <si>
    <t>Napa Custard Powder</t>
  </si>
  <si>
    <t>Nova-lite</t>
  </si>
  <si>
    <t>Nycil baby Wipes</t>
  </si>
  <si>
    <t>oriade Synap S/S</t>
  </si>
  <si>
    <t>Paper Drug Evolope</t>
  </si>
  <si>
    <t>Passion Eqv Dep 90g M/S</t>
  </si>
  <si>
    <t>POP Popular Facial Cream</t>
  </si>
  <si>
    <t>Odomos tube 50g</t>
  </si>
  <si>
    <t>Qislites</t>
  </si>
  <si>
    <t>Read a Dream</t>
  </si>
  <si>
    <t>samela</t>
  </si>
  <si>
    <t>Sans Can</t>
  </si>
  <si>
    <t>Septol Antiseptic B/S</t>
  </si>
  <si>
    <t>Septol Antiseptic S/S</t>
  </si>
  <si>
    <t>Shake off</t>
  </si>
  <si>
    <t>shine all</t>
  </si>
  <si>
    <t>Silver Cape S/S</t>
  </si>
  <si>
    <t>Silver Shoe Care</t>
  </si>
  <si>
    <t>Skin Perfection</t>
  </si>
  <si>
    <t>Slice Bread</t>
  </si>
  <si>
    <t>Socks</t>
  </si>
  <si>
    <t>Soft Perm</t>
  </si>
  <si>
    <t>Sphri Liquid Chlerhzider</t>
  </si>
  <si>
    <t>Splina</t>
  </si>
  <si>
    <t>Sterilite</t>
  </si>
  <si>
    <t>Stickers</t>
  </si>
  <si>
    <t>Sugar Didi</t>
  </si>
  <si>
    <t>Sulphur Skin Ointment</t>
  </si>
  <si>
    <t>Supermax SII</t>
  </si>
  <si>
    <t>Supple advance skin</t>
  </si>
  <si>
    <t>Gbc Air Fresher Super</t>
  </si>
  <si>
    <t>supple advanced skin hydratics formula</t>
  </si>
  <si>
    <t>Suppy cube maggi</t>
  </si>
  <si>
    <t>Sweet (X1)</t>
  </si>
  <si>
    <t>temporate gel 30g orange</t>
  </si>
  <si>
    <t>Savlon Antiseptic 250ml</t>
  </si>
  <si>
    <t>TEMPORATE GEL Bode</t>
  </si>
  <si>
    <t>Tesco Conditioner</t>
  </si>
  <si>
    <t>Tesco Styling Gel</t>
  </si>
  <si>
    <t>Touch light</t>
  </si>
  <si>
    <t>Umbrella</t>
  </si>
  <si>
    <t>VOOM Scouring Powder</t>
  </si>
  <si>
    <t>Water Flask</t>
  </si>
  <si>
    <t>Woman sure</t>
  </si>
  <si>
    <t>Wrapper</t>
  </si>
  <si>
    <t>XU Mupper</t>
  </si>
  <si>
    <t>Yodi Nylon (10)</t>
  </si>
  <si>
    <t>SafeCut AfterShave</t>
  </si>
  <si>
    <t>Air Wick Spray</t>
  </si>
  <si>
    <t>Airwick Drummer</t>
  </si>
  <si>
    <t>Airwick Fresh</t>
  </si>
  <si>
    <t>Airwick Freshmatic Max</t>
  </si>
  <si>
    <t>Airwick Green</t>
  </si>
  <si>
    <t>Airwick lanvender</t>
  </si>
  <si>
    <t>Airwick Rose</t>
  </si>
  <si>
    <t>Drummer Air Freshner G</t>
  </si>
  <si>
    <t>GBC air freshner block S/S</t>
  </si>
  <si>
    <t>Gbc Smooth</t>
  </si>
  <si>
    <t>GBC Super Airfreshner block B/S</t>
  </si>
  <si>
    <t>Glade Jasmine</t>
  </si>
  <si>
    <t>Glade Spray</t>
  </si>
  <si>
    <t>laveneler fields</t>
  </si>
  <si>
    <t>marina air freshner</t>
  </si>
  <si>
    <t>Mortein Liquid Electrical</t>
  </si>
  <si>
    <t>Room Fresh Laveder Air freshner</t>
  </si>
  <si>
    <t>Spring Air Freshner</t>
  </si>
  <si>
    <t>Brett Mouth Wash - Antiseptic</t>
  </si>
  <si>
    <t>Dettol 1 Litre</t>
  </si>
  <si>
    <t>Dettol 2 Litre</t>
  </si>
  <si>
    <t>Dettol 125ml Liquid</t>
  </si>
  <si>
    <t>Dettol 250ml</t>
  </si>
  <si>
    <t>Dettol 500ml</t>
  </si>
  <si>
    <t>Dettol 50ml</t>
  </si>
  <si>
    <t>Dettol 750ml</t>
  </si>
  <si>
    <t>Dettol Hand Snitizer</t>
  </si>
  <si>
    <t>Dove Germicide</t>
  </si>
  <si>
    <t>Harpic Active 500ml</t>
  </si>
  <si>
    <t>Harpic B/S</t>
  </si>
  <si>
    <t>Harpic M/S</t>
  </si>
  <si>
    <t>Harpic Power Plus 200ml</t>
  </si>
  <si>
    <t>Harpic power plus 500ml</t>
  </si>
  <si>
    <t>Harpic S/S</t>
  </si>
  <si>
    <t>IZAL - Highly Concentrated</t>
  </si>
  <si>
    <t>IZAL Original</t>
  </si>
  <si>
    <t>Jik 1.5 Litres</t>
  </si>
  <si>
    <t>Jik B/S</t>
  </si>
  <si>
    <t>Jik M/S</t>
  </si>
  <si>
    <t>Jik S/S</t>
  </si>
  <si>
    <t>Purit Lotion 125ml</t>
  </si>
  <si>
    <t>Purit Lotion 250ml</t>
  </si>
  <si>
    <t>Robert Antiseptic 125ml</t>
  </si>
  <si>
    <t>Robert Antiseptic 250ml</t>
  </si>
  <si>
    <t>Sanadron Antiseptic B/S 500ml</t>
  </si>
  <si>
    <t>Savlon Antiseptic 500ml</t>
  </si>
  <si>
    <t>Savlon Antiseptic 75ml</t>
  </si>
  <si>
    <t>Septol</t>
  </si>
  <si>
    <t>Z-Germicide</t>
  </si>
  <si>
    <t>Z-Germicide 1 Litre</t>
  </si>
  <si>
    <t>Z-Germicide 4 Litre</t>
  </si>
  <si>
    <t>Cuddles Baby Diapers Maxi</t>
  </si>
  <si>
    <t>Cuddles Baby Diapers Midi</t>
  </si>
  <si>
    <t>Cuddles Baby Diapers Mini</t>
  </si>
  <si>
    <t>Dr Brown Baby Wipes (50)</t>
  </si>
  <si>
    <t>Dr Brown Baby Wipes (80)</t>
  </si>
  <si>
    <t>Dr Brown Economy Maxi</t>
  </si>
  <si>
    <t>Dr Brown mini (X10)</t>
  </si>
  <si>
    <t>Dr Brown Economy Midi</t>
  </si>
  <si>
    <t>Dr Brown Economy Mini</t>
  </si>
  <si>
    <t>Dr Brown Maxi (10)</t>
  </si>
  <si>
    <t>Dr Brown Maxi (x3)</t>
  </si>
  <si>
    <t>Dr Brown midi (x3)</t>
  </si>
  <si>
    <t>Dr Brown Midi(x10)</t>
  </si>
  <si>
    <t>Dr Brown mini (x3)</t>
  </si>
  <si>
    <t>Dr Brown Pad Thin</t>
  </si>
  <si>
    <t>Dr Brown Underlay Adult Pampers</t>
  </si>
  <si>
    <t>Dr Browns Pad super</t>
  </si>
  <si>
    <t>Huggies Baby Diapers Maxi</t>
  </si>
  <si>
    <t>Huggies Baby Diapers Midi</t>
  </si>
  <si>
    <t>Huggies Baby Diapers Mini</t>
  </si>
  <si>
    <t>Life Bouy Care</t>
  </si>
  <si>
    <t>Opral Baby Pack</t>
  </si>
  <si>
    <t>Pampers Diaper Maxi</t>
  </si>
  <si>
    <t>Pampers Diaper Midi</t>
  </si>
  <si>
    <t>Pampers Diaper Mini</t>
  </si>
  <si>
    <t>Pampers Economy Maxi</t>
  </si>
  <si>
    <t>Pampers Economy Midi</t>
  </si>
  <si>
    <t>Pampers Economy Mini</t>
  </si>
  <si>
    <t>Pampers New Baby</t>
  </si>
  <si>
    <t>Pampers Premium Care (X80)</t>
  </si>
  <si>
    <t>Pampers Premium Care (X88)</t>
  </si>
  <si>
    <t>Pampers Premium Care mini 2kg</t>
  </si>
  <si>
    <t>Pampers Premium Maxi</t>
  </si>
  <si>
    <t>Pampers Premium Midi</t>
  </si>
  <si>
    <t>Pampers Simple Dry</t>
  </si>
  <si>
    <t>Puties Baby Diapers</t>
  </si>
  <si>
    <t>Quites Baby Diapers</t>
  </si>
  <si>
    <t>Softies Maxi</t>
  </si>
  <si>
    <t>Softies Midi</t>
  </si>
  <si>
    <t>Softies Mini</t>
  </si>
  <si>
    <t>Teddy baby Mini</t>
  </si>
  <si>
    <t>Tenders Baby Diapers</t>
  </si>
  <si>
    <t>Tenders Bady Diapers</t>
  </si>
  <si>
    <t>Tesco Baby Bath</t>
  </si>
  <si>
    <t>Tesco Baby Wipes (80)</t>
  </si>
  <si>
    <t>Cerelac Wheat 450g</t>
  </si>
  <si>
    <t>Cerelac Honey and Milk 450g</t>
  </si>
  <si>
    <t>Cerelac Maize 450g</t>
  </si>
  <si>
    <t>Cerelac Maize 900g</t>
  </si>
  <si>
    <t>Cerelac Rice 450g</t>
  </si>
  <si>
    <t>Cerelac Rice 900g</t>
  </si>
  <si>
    <t>Cerelac Three Fruit 450g</t>
  </si>
  <si>
    <t>Cerelac Three Fruit 900g</t>
  </si>
  <si>
    <t>Cerelac Wheat 900g</t>
  </si>
  <si>
    <t>Friso Gold Milk</t>
  </si>
  <si>
    <t>Friso Gold Rice</t>
  </si>
  <si>
    <t>Friso Gold Wheat</t>
  </si>
  <si>
    <t>Frisolac H Baby Food 1</t>
  </si>
  <si>
    <t>Lactogen 1</t>
  </si>
  <si>
    <t>Lactogen 2</t>
  </si>
  <si>
    <t>My boy Baby Food</t>
  </si>
  <si>
    <t>NAN 1</t>
  </si>
  <si>
    <t>NAN 2</t>
  </si>
  <si>
    <t>Nutrend 400g</t>
  </si>
  <si>
    <t>Nutrend 900g</t>
  </si>
  <si>
    <t>Nutrient Maize 400g</t>
  </si>
  <si>
    <t>Nutrient Maize 900g</t>
  </si>
  <si>
    <t>Peak 123 Refil 400g</t>
  </si>
  <si>
    <t>Similac Iron 450g</t>
  </si>
  <si>
    <t>SMA Gold 1 B/S</t>
  </si>
  <si>
    <t>SMA Gold 1 S/S</t>
  </si>
  <si>
    <t>SMA Gold Progress</t>
  </si>
  <si>
    <t>SMA Infant Formula</t>
  </si>
  <si>
    <t>SMA Progress B/S</t>
  </si>
  <si>
    <t>Cowbell Infant Formula</t>
  </si>
  <si>
    <t>Similac Gold</t>
  </si>
  <si>
    <t>ABC Dry Cell Battery</t>
  </si>
  <si>
    <t>desting super battery</t>
  </si>
  <si>
    <t>Gino green pea</t>
  </si>
  <si>
    <t>Gino Sweet Corn B/S</t>
  </si>
  <si>
    <t>Heinz Beans S/S</t>
  </si>
  <si>
    <t>Heinz beanz B/S</t>
  </si>
  <si>
    <t>Marrows fat processed peas B/S</t>
  </si>
  <si>
    <t>Marrows fat processed peas S/S</t>
  </si>
  <si>
    <t>Napa Valley Beans</t>
  </si>
  <si>
    <t>Red Kidney Beans</t>
  </si>
  <si>
    <t>Swan Chicken L Meat B/S</t>
  </si>
  <si>
    <t>Swan Chicken L Meat S/S</t>
  </si>
  <si>
    <t>Zwan chicken luncheon (s/s)</t>
  </si>
  <si>
    <t>Zwan chicken luncheon meat (b/s)</t>
  </si>
  <si>
    <t>Bounvita 20g</t>
  </si>
  <si>
    <t>Bournvita Refil 200g S/S</t>
  </si>
  <si>
    <t>Bournvita Refil 450g</t>
  </si>
  <si>
    <t>Bournvita Tin 450g</t>
  </si>
  <si>
    <t>Bournvita Tin 900g</t>
  </si>
  <si>
    <t>Cowbell Choco refil</t>
  </si>
  <si>
    <t>Bournvita Satchet 20g</t>
  </si>
  <si>
    <t>Cowbell Choco sachet M/S</t>
  </si>
  <si>
    <t>Milo Sachet 200g</t>
  </si>
  <si>
    <t>Milo Tin 450g</t>
  </si>
  <si>
    <t>Milo Tin 900g</t>
  </si>
  <si>
    <t>Ovaltine Refil 400g</t>
  </si>
  <si>
    <t>Ovaltine Tin 1200g</t>
  </si>
  <si>
    <t>Ovaltine Tin 400g</t>
  </si>
  <si>
    <t>Ovaltine Tin 900g</t>
  </si>
  <si>
    <t>Peak Choco sachet 20g</t>
  </si>
  <si>
    <t>Peak choco XMAS Promo</t>
  </si>
  <si>
    <t>St Lious Sugar</t>
  </si>
  <si>
    <t>Butter Cookies B/S</t>
  </si>
  <si>
    <t>Butter Cookies S/S</t>
  </si>
  <si>
    <t>Cabin Biscuit</t>
  </si>
  <si>
    <t>Cabin Biscuit Extra</t>
  </si>
  <si>
    <t>Chinchin Bottle</t>
  </si>
  <si>
    <t>Cookies Biscuit S/S</t>
  </si>
  <si>
    <t>Daily Cabin Biscuit</t>
  </si>
  <si>
    <t>Digestive hobnobs</t>
  </si>
  <si>
    <t>Digestive hobnobs (b/s)</t>
  </si>
  <si>
    <t>Jacobs cream craker</t>
  </si>
  <si>
    <t>Original danish cookies (b/s)</t>
  </si>
  <si>
    <t>Original danish cookies (s/s)</t>
  </si>
  <si>
    <t>Original digestive(s/s)</t>
  </si>
  <si>
    <t>Prawn Crackers</t>
  </si>
  <si>
    <t>Milo sachet 20g</t>
  </si>
  <si>
    <t>Pringgles B/S</t>
  </si>
  <si>
    <t>Rich in calcium biscuit</t>
  </si>
  <si>
    <t>Tictac Crackers</t>
  </si>
  <si>
    <t>Waffer Vanilla</t>
  </si>
  <si>
    <t>zip Scouring powder</t>
  </si>
  <si>
    <t>Original digestive (b/s)</t>
  </si>
  <si>
    <t>Gillete 2 Blade</t>
  </si>
  <si>
    <t>Anoline Baby Jelly 250g</t>
  </si>
  <si>
    <t>Baby and Me</t>
  </si>
  <si>
    <t>Babyface Cleanser B/S</t>
  </si>
  <si>
    <t>Babyface Cleanser S/S</t>
  </si>
  <si>
    <t>Bebe &amp; Manman Pomade B/S</t>
  </si>
  <si>
    <t>Bebe &amp; Manman Pomade M/S</t>
  </si>
  <si>
    <t>Bebe &amp; Manman Pomade S/S</t>
  </si>
  <si>
    <t>Body Treat Cream B/S Blue</t>
  </si>
  <si>
    <t>Body Treat Cream B/S Pink</t>
  </si>
  <si>
    <t>Body Treat Cream M/S Blue</t>
  </si>
  <si>
    <t>Body Treat Cream M/S Pink</t>
  </si>
  <si>
    <t>Body Treat Cream S/S Blue</t>
  </si>
  <si>
    <t>Body Treat Cream S/S Pink</t>
  </si>
  <si>
    <t>Body Treat intensive Dry Skin</t>
  </si>
  <si>
    <t>Bodyleen Petroleum Jelly</t>
  </si>
  <si>
    <t>Dettol Skin Jelly</t>
  </si>
  <si>
    <t>Lite n Lovely Fade Cream B/S</t>
  </si>
  <si>
    <t>Lite n Lovely Fade Cream S/S</t>
  </si>
  <si>
    <t>mama Love Pomade</t>
  </si>
  <si>
    <t>Maxi light cup B/S</t>
  </si>
  <si>
    <t>Maxi light cup S/S</t>
  </si>
  <si>
    <t>nycil baby petroleum jelly</t>
  </si>
  <si>
    <t>Praise Perfumed Jelly</t>
  </si>
  <si>
    <t>Vaseline Baby Jelly</t>
  </si>
  <si>
    <t>Vaseline Blue Seal 250g</t>
  </si>
  <si>
    <t>Vaseline Blue seal 500g</t>
  </si>
  <si>
    <t>Vilk Jelly B/S</t>
  </si>
  <si>
    <t>Vilk Jelly M/S</t>
  </si>
  <si>
    <t>Vilk Jelly S/S</t>
  </si>
  <si>
    <t>Balila Vaseline</t>
  </si>
  <si>
    <t>Body Treat Lotion B/S Blue</t>
  </si>
  <si>
    <t>Body Treat Lotion B/S Pink</t>
  </si>
  <si>
    <t>Body Treat Lotion G/S Blue</t>
  </si>
  <si>
    <t>Body Treat Lotion G/S Pink</t>
  </si>
  <si>
    <t>Body Treat Lotion M/S Blue</t>
  </si>
  <si>
    <t>Body Treat Lotion M/S Pink</t>
  </si>
  <si>
    <t>Body Treat Lotion S/S Blue</t>
  </si>
  <si>
    <t>Body Treat Lotion S/S Pink</t>
  </si>
  <si>
    <t>Cocoa Butter B/S</t>
  </si>
  <si>
    <t>Cocoa Butter Lotion B/S</t>
  </si>
  <si>
    <t>Cocoa Butter Lotion S/S</t>
  </si>
  <si>
    <t>Cocoa Butter M/S</t>
  </si>
  <si>
    <t>Cocoa Butter S/S</t>
  </si>
  <si>
    <t>Epiderm Lotion</t>
  </si>
  <si>
    <t>Lite n Lovely Lotion B/S</t>
  </si>
  <si>
    <t>Lite n Lovely Lotion S/S</t>
  </si>
  <si>
    <t>nycil baby petroleum Lotion</t>
  </si>
  <si>
    <t>Venus Toning Lotion</t>
  </si>
  <si>
    <t>Srubbibg Brush -BIG</t>
  </si>
  <si>
    <t>Super Clean Brush</t>
  </si>
  <si>
    <t>Blue Band Butter new B/S</t>
  </si>
  <si>
    <t>Blue Band Butter new M/S</t>
  </si>
  <si>
    <t>Blue Band Butter new S/S</t>
  </si>
  <si>
    <t>Blue Band Butter Old B/S</t>
  </si>
  <si>
    <t>Blue Band Butter Old M/S</t>
  </si>
  <si>
    <t>Blue Band Butter Old S/S</t>
  </si>
  <si>
    <t>Golden County Butter B/S</t>
  </si>
  <si>
    <t>Laser Butter</t>
  </si>
  <si>
    <t>Summer County Butter</t>
  </si>
  <si>
    <t>Vital remia Magarine B/S</t>
  </si>
  <si>
    <t>Vital remia Magarine S/S</t>
  </si>
  <si>
    <t>Cocomalt 20g</t>
  </si>
  <si>
    <t>cocomalt malt Refil</t>
  </si>
  <si>
    <t>cocomalt malt satchet</t>
  </si>
  <si>
    <t>Cocomalt refil</t>
  </si>
  <si>
    <t>Coffee mix</t>
  </si>
  <si>
    <t>Coffee-Mate</t>
  </si>
  <si>
    <t>Nepacafe Coffee</t>
  </si>
  <si>
    <t>Nescafe 3in1</t>
  </si>
  <si>
    <t>Nescafe Breakfast</t>
  </si>
  <si>
    <t>Nescafe Decafeinated</t>
  </si>
  <si>
    <t>Nescafe Gold Blende</t>
  </si>
  <si>
    <t>Nescafe Refil B/S</t>
  </si>
  <si>
    <t>Nescafe Refil S/S</t>
  </si>
  <si>
    <t>Nescafe Tin B/S</t>
  </si>
  <si>
    <t>Nescafe Tin S/S</t>
  </si>
  <si>
    <t>Nestle coffee mate</t>
  </si>
  <si>
    <t>Red Yeast Coffee</t>
  </si>
  <si>
    <t>Candle S/S</t>
  </si>
  <si>
    <t>Complete Set Comb</t>
  </si>
  <si>
    <t>Jones Condom</t>
  </si>
  <si>
    <t>Yori Yori Condom</t>
  </si>
  <si>
    <t>Frosted Corn Flakes</t>
  </si>
  <si>
    <t>Golden Morn 1kg</t>
  </si>
  <si>
    <t>Golden Morn 50g</t>
  </si>
  <si>
    <t>Good Morning Corn Flakes</t>
  </si>
  <si>
    <t>Kelloggs Corn Flakes</t>
  </si>
  <si>
    <t>Milo Crunchy Corn Flakes</t>
  </si>
  <si>
    <t>Tesco Corn Flakes</t>
  </si>
  <si>
    <t>Tesco Everyday Corn Flakes</t>
  </si>
  <si>
    <t>Weetabix Cereal</t>
  </si>
  <si>
    <t>Corned beef (Ester)</t>
  </si>
  <si>
    <t>Corned Beef Napa</t>
  </si>
  <si>
    <t>Heinz corned beef</t>
  </si>
  <si>
    <t>21 Days Cream</t>
  </si>
  <si>
    <t>AloeVera Cream B/S</t>
  </si>
  <si>
    <t>AloeVera Cream M/S</t>
  </si>
  <si>
    <t>AloeVera Cream S/S</t>
  </si>
  <si>
    <t>Balila cream M/S</t>
  </si>
  <si>
    <t>Balila cream B/S</t>
  </si>
  <si>
    <t>Candle B/S</t>
  </si>
  <si>
    <t>Golden Morn 500g</t>
  </si>
  <si>
    <t>Balila Cream S/S</t>
  </si>
  <si>
    <t>Beauty fair Lemon cup Cream B/S</t>
  </si>
  <si>
    <t>Beauty fair Lemon Fade Cream</t>
  </si>
  <si>
    <t>Bio Claire Cream B/S</t>
  </si>
  <si>
    <t>Corner Desk Right Sit</t>
  </si>
  <si>
    <t>caro white cream 120ml S/S</t>
  </si>
  <si>
    <t>caro white cream 300ml B/S</t>
  </si>
  <si>
    <t>Clair Liss cream 150ml solo</t>
  </si>
  <si>
    <t>clair liss cream 330ml B/S</t>
  </si>
  <si>
    <t>Clares 10</t>
  </si>
  <si>
    <t>Clear and Smooth Cream</t>
  </si>
  <si>
    <t>Cusson cream</t>
  </si>
  <si>
    <t>Cusson vaseline B/S</t>
  </si>
  <si>
    <t>Cusson vaseline M/S</t>
  </si>
  <si>
    <t>Cusson vaseline S/S</t>
  </si>
  <si>
    <t>Dallas Cream B/S</t>
  </si>
  <si>
    <t>Dallas Cream S/S</t>
  </si>
  <si>
    <t>dallas medicated antispetic cream</t>
  </si>
  <si>
    <t>Damatol Cream B/S</t>
  </si>
  <si>
    <t>Damatol Cream S/S</t>
  </si>
  <si>
    <t>Dammy Body Cream</t>
  </si>
  <si>
    <t>Dove Whitening cream</t>
  </si>
  <si>
    <t>epiderm cream</t>
  </si>
  <si>
    <t>Estee cup cream B/S</t>
  </si>
  <si>
    <t>Estee cup cream S/S</t>
  </si>
  <si>
    <t>Estee fade cream B/S</t>
  </si>
  <si>
    <t>Estee fade cream S/S</t>
  </si>
  <si>
    <t>Excel Vaseline B/S</t>
  </si>
  <si>
    <t>Excel Vaseline M/S</t>
  </si>
  <si>
    <t>Excel Vaseline S/S</t>
  </si>
  <si>
    <t>extra rich lemon cream S/S</t>
  </si>
  <si>
    <t>Fair and Balance Skin Britening Cream</t>
  </si>
  <si>
    <t>familia cup cream B/S</t>
  </si>
  <si>
    <t>familia cup cream S/S</t>
  </si>
  <si>
    <t>Omo 1kg</t>
  </si>
  <si>
    <t>familia Vaseline cream B/S</t>
  </si>
  <si>
    <t>familia Vaseline cream S/S</t>
  </si>
  <si>
    <t>fashion Fair Cream</t>
  </si>
  <si>
    <t>G&amp;G Cream solo S/S</t>
  </si>
  <si>
    <t>G&amp;G cup Cream B/S</t>
  </si>
  <si>
    <t>Heinz Salad Cream M/S</t>
  </si>
  <si>
    <t>Jet Cream</t>
  </si>
  <si>
    <t>Joy 3in 1 Cream</t>
  </si>
  <si>
    <t>Joy Tonin Cream</t>
  </si>
  <si>
    <t>looking good cup cream B/S</t>
  </si>
  <si>
    <t>looking good cup cream S/S</t>
  </si>
  <si>
    <t>looking good fade cream</t>
  </si>
  <si>
    <t>Miss Caroline cup Cream B/S</t>
  </si>
  <si>
    <t>Miss Caroline solo Cream S/S</t>
  </si>
  <si>
    <t>Morgans Darkening Cream</t>
  </si>
  <si>
    <t>Movate Cream</t>
  </si>
  <si>
    <t>Mystic Rose Cream</t>
  </si>
  <si>
    <t>Natureessence cream B/S</t>
  </si>
  <si>
    <t>neutrotone cream</t>
  </si>
  <si>
    <t>Neutrotone Cream</t>
  </si>
  <si>
    <t>Nigeria Baby Care Vaseline B/S</t>
  </si>
  <si>
    <t>Nigeria Baby Care Vaseline M/S</t>
  </si>
  <si>
    <t>Nigeria Baby Care Vaseline S/S</t>
  </si>
  <si>
    <t>Nivea cup Cream B/S</t>
  </si>
  <si>
    <t>Nivea cup Cream S/S</t>
  </si>
  <si>
    <t>Large Cabinet</t>
  </si>
  <si>
    <t>Storage Box</t>
  </si>
  <si>
    <t>Large Desk</t>
  </si>
  <si>
    <t>Nivea fair Cream</t>
  </si>
  <si>
    <t>nova lite fade cream</t>
  </si>
  <si>
    <t>Pears Moisturising Cream B/S</t>
  </si>
  <si>
    <t>Pears Vaseline Cream B/S</t>
  </si>
  <si>
    <t>POP Shirley</t>
  </si>
  <si>
    <t>Radiance cup cream B/S</t>
  </si>
  <si>
    <t>Radiance cup cream S/S</t>
  </si>
  <si>
    <t>Radiance fade cream B/S</t>
  </si>
  <si>
    <t>Radiance fade cream S/S</t>
  </si>
  <si>
    <t>Reumanul Cream</t>
  </si>
  <si>
    <t>Silver Ross Shirley</t>
  </si>
  <si>
    <t>skin beauty cream B/S cup</t>
  </si>
  <si>
    <t>skin beauty cream S/S cup</t>
  </si>
  <si>
    <t>skin beauty fade Lotion S/S</t>
  </si>
  <si>
    <t>Skin Light Cream B/S</t>
  </si>
  <si>
    <t>Skin Light Cream M/S</t>
  </si>
  <si>
    <t>Skin Light Cream S/S</t>
  </si>
  <si>
    <t>skin light fade cream B/S</t>
  </si>
  <si>
    <t>Skin Soft Cream</t>
  </si>
  <si>
    <t>Sporting Waves Cream With Relaxer</t>
  </si>
  <si>
    <t>Customizable Desk</t>
  </si>
  <si>
    <t>Pears vaseline S/S</t>
  </si>
  <si>
    <t>Cabinet with Doors</t>
  </si>
  <si>
    <t>Penicillin (X12)</t>
  </si>
  <si>
    <t>Vigra</t>
  </si>
  <si>
    <t>Ziltrix 600mg (x10)</t>
  </si>
  <si>
    <t>Prostan eye drop</t>
  </si>
  <si>
    <t>Inj Ampicillin 250mg</t>
  </si>
  <si>
    <t>Inj Analgin (x10)</t>
  </si>
  <si>
    <t>Inj Ciprofloxacin (IV)</t>
  </si>
  <si>
    <t>Inj Ketamine (X1)</t>
  </si>
  <si>
    <t>Avrocid Suspension</t>
  </si>
  <si>
    <t>Digoxin (X1000)</t>
  </si>
  <si>
    <t>Oxyphenylbutazone</t>
  </si>
  <si>
    <t>Septrin (X1)</t>
  </si>
  <si>
    <t>Piriton with Codeine</t>
  </si>
  <si>
    <t>Swiss collagen cup cream B/S</t>
  </si>
  <si>
    <t>Swiss collagen cup cream S/S</t>
  </si>
  <si>
    <t>Swiss collagen fade cream B/S</t>
  </si>
  <si>
    <t>Swiss collagen fade cream S/S</t>
  </si>
  <si>
    <t>Tenovate Cream</t>
  </si>
  <si>
    <t>Toto Cream</t>
  </si>
  <si>
    <t>Touch Fresh Cream</t>
  </si>
  <si>
    <t>Tura skin toning cream</t>
  </si>
  <si>
    <t>Apple Hair Darkening Pomade S/S</t>
  </si>
  <si>
    <t>Coconot Oil Hair Cream M/S</t>
  </si>
  <si>
    <t>Apple Hair cream S/S</t>
  </si>
  <si>
    <t>Venus Cream Ordinary</t>
  </si>
  <si>
    <t>Venus Moistuiring Cream</t>
  </si>
  <si>
    <t>Venus tone cream</t>
  </si>
  <si>
    <t>Venus Toning Cream</t>
  </si>
  <si>
    <t>Visible Difference Cream</t>
  </si>
  <si>
    <t>Everybody Custard</t>
  </si>
  <si>
    <t>Glad Custard Powder Family Pack</t>
  </si>
  <si>
    <t>Gold Custard</t>
  </si>
  <si>
    <t>Hollanda Refil Custard 400g</t>
  </si>
  <si>
    <t>Laby B Custard 750g</t>
  </si>
  <si>
    <t>Munro Custard B/S</t>
  </si>
  <si>
    <t>Munro Custard S/S</t>
  </si>
  <si>
    <t>Napa Valley Custard Powder</t>
  </si>
  <si>
    <t>Osh Custard Powder</t>
  </si>
  <si>
    <t>Star Plus Custard</t>
  </si>
  <si>
    <t>starplus custard</t>
  </si>
  <si>
    <t>Ariel 1kg</t>
  </si>
  <si>
    <t>Ariel 250g</t>
  </si>
  <si>
    <t>Ariel 2kg</t>
  </si>
  <si>
    <t>Ariel 40g</t>
  </si>
  <si>
    <t>Ariel 500g</t>
  </si>
  <si>
    <t>Ariel 80g</t>
  </si>
  <si>
    <t>Bonux Plus 1kG</t>
  </si>
  <si>
    <t>Wall Shelf Unit</t>
  </si>
  <si>
    <t>Small Shelf</t>
  </si>
  <si>
    <t>Ivysine</t>
  </si>
  <si>
    <t>Aspirin 300mg (X1000)</t>
  </si>
  <si>
    <t>Klin Detergent Sachet</t>
  </si>
  <si>
    <t>Klin Refil 900g B/S</t>
  </si>
  <si>
    <t>Klin Refil M/S</t>
  </si>
  <si>
    <t>Klin Refil S/S</t>
  </si>
  <si>
    <t>Omo 250g</t>
  </si>
  <si>
    <t>Omo Sachet</t>
  </si>
  <si>
    <t>Omodidi</t>
  </si>
  <si>
    <t>Sun Light 250kg</t>
  </si>
  <si>
    <t>Sun Professional</t>
  </si>
  <si>
    <t>Sunlight 1Kg</t>
  </si>
  <si>
    <t>Zip Detergent 2Kg</t>
  </si>
  <si>
    <t>Adult Diapers -Good Nurse</t>
  </si>
  <si>
    <t>Green Dish Wash Liquid</t>
  </si>
  <si>
    <t>mama lemon M/S</t>
  </si>
  <si>
    <t>mama lemon S/S</t>
  </si>
  <si>
    <t>Morning Fresh S/S</t>
  </si>
  <si>
    <t>Parazone Bleach</t>
  </si>
  <si>
    <t>ZIP Scouring Powder</t>
  </si>
  <si>
    <t>Shine All Scouring Powder</t>
  </si>
  <si>
    <t>Agnesia Antiseptic Dusting Powder B/S</t>
  </si>
  <si>
    <t>Agnesia Antiseptic Dusting Powder S/S</t>
  </si>
  <si>
    <t>Nycil Lavender Powder</t>
  </si>
  <si>
    <t>Sunlight Detergent 70g</t>
  </si>
  <si>
    <t>Sunlight Detergent 25g</t>
  </si>
  <si>
    <t>Medicated Dusting Powder 80g</t>
  </si>
  <si>
    <t>Glucose Sachet S/S</t>
  </si>
  <si>
    <t>Glucose Tin 175g S/S</t>
  </si>
  <si>
    <t>Glucose Tin 400g B/S</t>
  </si>
  <si>
    <t>Power Horse</t>
  </si>
  <si>
    <t>Extra Joss Active</t>
  </si>
  <si>
    <t>2006 Cleanser M/S</t>
  </si>
  <si>
    <t>2006 Cleanser S/S</t>
  </si>
  <si>
    <t>Boot Rose Water</t>
  </si>
  <si>
    <t>D&amp;L Cleanser</t>
  </si>
  <si>
    <t>Dove Face Appropriation</t>
  </si>
  <si>
    <t>Eden Rose water</t>
  </si>
  <si>
    <t>Eskinol Facial Cleanser</t>
  </si>
  <si>
    <t>Nixoderm Tin</t>
  </si>
  <si>
    <t>Royallux B/S</t>
  </si>
  <si>
    <t>Royallux M/S</t>
  </si>
  <si>
    <t>Ketrax 40mg (x3s)</t>
  </si>
  <si>
    <t>Levamizole 40mg (x3)</t>
  </si>
  <si>
    <t>Vermox 100mg (x6)</t>
  </si>
  <si>
    <t>Vermox 500mg (x1)</t>
  </si>
  <si>
    <t>Wormin 500mg (x1)</t>
  </si>
  <si>
    <t>Zentel (x2)</t>
  </si>
  <si>
    <t>Royallux S/S</t>
  </si>
  <si>
    <t>Rubbing Alcohol</t>
  </si>
  <si>
    <t>Geisha</t>
  </si>
  <si>
    <t>Nixoderm Tube</t>
  </si>
  <si>
    <t>Apple Hair cream M/S</t>
  </si>
  <si>
    <t>Dabur Amlar Hair Cream B/S</t>
  </si>
  <si>
    <t>Dabur Amlar Hair Cream M/S</t>
  </si>
  <si>
    <t>Dabur Amlar Hair Cream S/S</t>
  </si>
  <si>
    <t>Damatol Hair Cream B/S</t>
  </si>
  <si>
    <t>Damatol Hair Cream M/S</t>
  </si>
  <si>
    <t>Damatol Hair Cream S/S</t>
  </si>
  <si>
    <t>Firstclass lady hair booster</t>
  </si>
  <si>
    <t>Hair Booster</t>
  </si>
  <si>
    <t>Hair Conditioner S/S</t>
  </si>
  <si>
    <t>iron doctor</t>
  </si>
  <si>
    <t>Lomotil (x10) G</t>
  </si>
  <si>
    <t>grapel wine</t>
  </si>
  <si>
    <t>Nizoral Cream</t>
  </si>
  <si>
    <t>Ibupkris (x10)</t>
  </si>
  <si>
    <t>Ibupkris-400</t>
  </si>
  <si>
    <t>Usidar</t>
  </si>
  <si>
    <t>Vemfen 400</t>
  </si>
  <si>
    <t>Pomo Tomato Sachet</t>
  </si>
  <si>
    <t>Edmark cafe</t>
  </si>
  <si>
    <t>Napa coffee</t>
  </si>
  <si>
    <t>salsa hair condition S/S</t>
  </si>
  <si>
    <t>Ceftriasone</t>
  </si>
  <si>
    <t>Inj Depo Medrol</t>
  </si>
  <si>
    <t>Salbumol</t>
  </si>
  <si>
    <t>Meprasil 20mg (x14)</t>
  </si>
  <si>
    <t>Mepride 2mg (X10)</t>
  </si>
  <si>
    <t>So-fine Hair Cream</t>
  </si>
  <si>
    <t>Neomedrol Lotion</t>
  </si>
  <si>
    <t>Neomycin Powder</t>
  </si>
  <si>
    <t>Tetracycline Eye Ointment</t>
  </si>
  <si>
    <t>Tiococid Cream</t>
  </si>
  <si>
    <t>Transvascin Cream</t>
  </si>
  <si>
    <t>Tribact Cream</t>
  </si>
  <si>
    <t>Tribotan Adult</t>
  </si>
  <si>
    <t>Tribotan Baby Cream</t>
  </si>
  <si>
    <t>Trifung</t>
  </si>
  <si>
    <t>Unasyn 1.5g</t>
  </si>
  <si>
    <t>Varmycin</t>
  </si>
  <si>
    <t>Vecuten Cream</t>
  </si>
  <si>
    <t>Combisunate Dispersible X12 15-24kgs</t>
  </si>
  <si>
    <t>Suitrox Oral Suspension 200mg/5ml</t>
  </si>
  <si>
    <t>Azmazol Inhaler</t>
  </si>
  <si>
    <t>Ivygentacin Eye Ear Drop</t>
  </si>
  <si>
    <t>Clabetic (X)</t>
  </si>
  <si>
    <t>Joy Hair Cream</t>
  </si>
  <si>
    <t>Joy Hair Food 85g s/s</t>
  </si>
  <si>
    <t>medicare weave-on oil</t>
  </si>
  <si>
    <t>Mild Flower relaxer kit</t>
  </si>
  <si>
    <t>morgans hair darkening cream</t>
  </si>
  <si>
    <t>Morgans Pomade B/S</t>
  </si>
  <si>
    <t>Morgans Pomade M/S</t>
  </si>
  <si>
    <t>Morgans Pomade S/S</t>
  </si>
  <si>
    <t>petals hair conditioner B/S</t>
  </si>
  <si>
    <t>petals hair conditioner M/S</t>
  </si>
  <si>
    <t>petals hair food S/S</t>
  </si>
  <si>
    <t>salsa hair condition B/S</t>
  </si>
  <si>
    <t>salsa hair condition M/S</t>
  </si>
  <si>
    <t>Tranazole 100</t>
  </si>
  <si>
    <t>Zenzol Suspension 10ml</t>
  </si>
  <si>
    <t>Miraclox Drop</t>
  </si>
  <si>
    <t>Diclopac Plus</t>
  </si>
  <si>
    <t>Enapril</t>
  </si>
  <si>
    <t>nivea fair lotion B/S</t>
  </si>
  <si>
    <t>Novalite Lotion</t>
  </si>
  <si>
    <t>Amstel Malt</t>
  </si>
  <si>
    <t>Jet Start Brush</t>
  </si>
  <si>
    <t>Jordan ToothBrush</t>
  </si>
  <si>
    <t>Olive Tooth Brush</t>
  </si>
  <si>
    <t>Oral B Natural Fresh Tooth Brush</t>
  </si>
  <si>
    <t>Oral B Pro Expert</t>
  </si>
  <si>
    <t>Oral B Pro Expert MS</t>
  </si>
  <si>
    <t>Oral B Pro Expert Toothbrush</t>
  </si>
  <si>
    <t>Oral B Pro Health BS</t>
  </si>
  <si>
    <t>Top Clean Classic Tooth Brush</t>
  </si>
  <si>
    <t>Top Clean Sensitive Brush</t>
  </si>
  <si>
    <t>VIP Brush</t>
  </si>
  <si>
    <t>Closeup Toothpaste B/S</t>
  </si>
  <si>
    <t>Chymoral (x10)</t>
  </si>
  <si>
    <t>Close up Complete 8</t>
  </si>
  <si>
    <t>Close up Green Menthol B/S</t>
  </si>
  <si>
    <t>Close up Herbal M/S</t>
  </si>
  <si>
    <t>Close Up Herbal S/S</t>
  </si>
  <si>
    <t>Bonjela Cream</t>
  </si>
  <si>
    <t>supreme</t>
  </si>
  <si>
    <t>Office Chair</t>
  </si>
  <si>
    <t>Flipover</t>
  </si>
  <si>
    <t>sky hair grow and shine</t>
  </si>
  <si>
    <t>Vamiron Blood Capsule (X15)</t>
  </si>
  <si>
    <t>Reichclox (X10)</t>
  </si>
  <si>
    <t>Silver Bird Eucalyptus</t>
  </si>
  <si>
    <t>Nifedipine (x10) G</t>
  </si>
  <si>
    <t>Postinor (x2)</t>
  </si>
  <si>
    <t>Sachet (X2)</t>
  </si>
  <si>
    <t>Close up Herbal B/S</t>
  </si>
  <si>
    <t>Dedeons Heamoglobin Tonic 280ml</t>
  </si>
  <si>
    <t>Forticap (X15)</t>
  </si>
  <si>
    <t>Cof n' Cold for Children</t>
  </si>
  <si>
    <t>Afrabvite Syrup</t>
  </si>
  <si>
    <t>Ibumen Syrup</t>
  </si>
  <si>
    <t>Jawasil Suspension 200ml</t>
  </si>
  <si>
    <t>Diastop Syrup 100ml</t>
  </si>
  <si>
    <t>Loftrim Syrup</t>
  </si>
  <si>
    <t>Vitamin E (X10)</t>
  </si>
  <si>
    <t>Andrews Liver salt</t>
  </si>
  <si>
    <t>Cof N Cold</t>
  </si>
  <si>
    <t>Ciprofloxacin 500mg G (X</t>
  </si>
  <si>
    <t>Ferrous Sulphate (X1)</t>
  </si>
  <si>
    <t>Gold Circle</t>
  </si>
  <si>
    <t>Betglowsol Eye Drop</t>
  </si>
  <si>
    <t>Cenpain Night Syrup</t>
  </si>
  <si>
    <t>Gauze Bandage 3</t>
  </si>
  <si>
    <t>Syringe and Needle 5ml (X1)</t>
  </si>
  <si>
    <t>Aldocure (X10)</t>
  </si>
  <si>
    <t>Faith Vitamin C Syrup</t>
  </si>
  <si>
    <t>Astyfer Capsule (x15)</t>
  </si>
  <si>
    <t>Nutrivin Syrup</t>
  </si>
  <si>
    <t>Orheptal Tonic 300ml</t>
  </si>
  <si>
    <t>Zoxine (Arthemether+Lumefantrine)</t>
  </si>
  <si>
    <t>Progranil (X10) G</t>
  </si>
  <si>
    <t>Ibucap - Original (X10)</t>
  </si>
  <si>
    <t>Lofnac 100mg (x10)</t>
  </si>
  <si>
    <t>Loxagyl 400mg (X10)</t>
  </si>
  <si>
    <t>Hydrocortisone Cream</t>
  </si>
  <si>
    <t>Chemiron Capsule (x10)</t>
  </si>
  <si>
    <t>Perilon (X10)</t>
  </si>
  <si>
    <t>Cotton Bud (X30) sachet S/S</t>
  </si>
  <si>
    <t>Milo Refil 500g</t>
  </si>
  <si>
    <t>Tudor Battery (x4) M/S</t>
  </si>
  <si>
    <t>Titus Sardine</t>
  </si>
  <si>
    <t>Wisdom Tooth Brush</t>
  </si>
  <si>
    <t>sunshine air freshner</t>
  </si>
  <si>
    <t>Dorco TD702N Disposable Razors Shaving Stick</t>
  </si>
  <si>
    <t>Pepsodent Toothpaste</t>
  </si>
  <si>
    <t>Olive Toothpaste B/S</t>
  </si>
  <si>
    <t>Bulb 100 watts</t>
  </si>
  <si>
    <t>Note book 60 leaves</t>
  </si>
  <si>
    <t>Lodipine 10mg (x10)</t>
  </si>
  <si>
    <t>Indomethacin 25mg (x10)</t>
  </si>
  <si>
    <t>Pure Bliss Wafers Chocolate</t>
  </si>
  <si>
    <t>Donlop Slippers</t>
  </si>
  <si>
    <t>Bromazepam 3mg (x10)</t>
  </si>
  <si>
    <t>Center Fruits Cup</t>
  </si>
  <si>
    <t>Bulb 60 watts</t>
  </si>
  <si>
    <t>Sachet Water</t>
  </si>
  <si>
    <t>Burger Peanuts</t>
  </si>
  <si>
    <t>Doxycycline 100mg (X10) hovid</t>
  </si>
  <si>
    <t>Bisacodyl 5mg (x15)</t>
  </si>
  <si>
    <t>Dana Septrin Syrup</t>
  </si>
  <si>
    <t>Ase milk sweet</t>
  </si>
  <si>
    <t>Bon bon stick sweet</t>
  </si>
  <si>
    <t>Lucky Corer Pen</t>
  </si>
  <si>
    <t>Toilet Tissue</t>
  </si>
  <si>
    <t>Roll</t>
  </si>
  <si>
    <t>Obron-6 (x6)</t>
  </si>
  <si>
    <t>Hand Sanitizer</t>
  </si>
  <si>
    <t>Sachet Sugar</t>
  </si>
  <si>
    <t>Loxagyl Suspension 200mg/5ml</t>
  </si>
  <si>
    <t>Citramin Drop</t>
  </si>
  <si>
    <t>Gentamicin Eye Drop - TEKA</t>
  </si>
  <si>
    <t>Paracetamol Syrup</t>
  </si>
  <si>
    <t>Bimbo Fresh Detergent</t>
  </si>
  <si>
    <t>Wrapping Nylon</t>
  </si>
  <si>
    <t>MCZEN Battery S/S</t>
  </si>
  <si>
    <t>M&amp;B Paracetamol (x12)</t>
  </si>
  <si>
    <t>Cell-tape S/S</t>
  </si>
  <si>
    <t>Tegretol-Hovid 200mg (x10)</t>
  </si>
  <si>
    <t>Nutri Milk</t>
  </si>
  <si>
    <t>Nutri C Sachet</t>
  </si>
  <si>
    <t>Ampiclox 500gm (x10)</t>
  </si>
  <si>
    <t>Arthrotec 75mg (x10)</t>
  </si>
  <si>
    <t>Tutolin Cough Syrup (Children)</t>
  </si>
  <si>
    <t>Nasco Corn Flakes</t>
  </si>
  <si>
    <t>Carton</t>
  </si>
  <si>
    <t>Ribena 125ml</t>
  </si>
  <si>
    <t>Ampiclox Beecham (Rtl X1)</t>
  </si>
  <si>
    <t>Angola Toothbrush</t>
  </si>
  <si>
    <t>Ampicillin 500mg (Rtl x1)</t>
  </si>
  <si>
    <t>Mirinda Bottled Drink</t>
  </si>
  <si>
    <t>De-Shalom Cof 200ml</t>
  </si>
  <si>
    <t>De-Shalom Cof 100ml</t>
  </si>
  <si>
    <t>M&amp;B Cipro 500</t>
  </si>
  <si>
    <t>Stopacid Suspension 200ml</t>
  </si>
  <si>
    <t>Varspar Amlodipine Tablets 10mg X10</t>
  </si>
  <si>
    <t>Biosea Cod Liver Oil 120ml</t>
  </si>
  <si>
    <t>Broncholyte Syrup</t>
  </si>
  <si>
    <t>9mobile Recharge Card 100</t>
  </si>
  <si>
    <t>Zoxine (X24) - Artemeter</t>
  </si>
  <si>
    <t>Pack of Sachet(s) (X24)</t>
  </si>
  <si>
    <t>Inj Fortwin (X1)</t>
  </si>
  <si>
    <t>Procold (x4)</t>
  </si>
  <si>
    <t>Inj Salbacef 1500mg</t>
  </si>
  <si>
    <t>Vitamin B2 (X1000)</t>
  </si>
  <si>
    <t>Inj Ampiclox</t>
  </si>
  <si>
    <t>Kacham (X10)</t>
  </si>
  <si>
    <t>Inj Diclofenac Sodium (X1)</t>
  </si>
  <si>
    <t>Fulcin 500mg (X20) G</t>
  </si>
  <si>
    <t>Osteo (X12)</t>
  </si>
  <si>
    <t>Amoxycillin 500mg (x10) G</t>
  </si>
  <si>
    <t>Inj Ceftriaxone 1g X1</t>
  </si>
  <si>
    <t>Inj Paracetamol 2ml (X1)</t>
  </si>
  <si>
    <t>Xasten</t>
  </si>
  <si>
    <t>Glucophage 500mg (X10) - NGC</t>
  </si>
  <si>
    <t>Penicillin ointment 20mg</t>
  </si>
  <si>
    <t>Eversea Cod Liver Oil (X15)</t>
  </si>
  <si>
    <t>Norflex 100mg (x10)</t>
  </si>
  <si>
    <t>Laclox 250mg (X10)</t>
  </si>
  <si>
    <t>Day By Day Vitamin C + Glucose</t>
  </si>
  <si>
    <t>Erixyn 500mg (X10)</t>
  </si>
  <si>
    <t>Supermag Susp 200ml</t>
  </si>
  <si>
    <t>Liquid Iron Tonic B/S</t>
  </si>
  <si>
    <t>Gestid (x20)</t>
  </si>
  <si>
    <t>Vitamin C (x1000) Coloured</t>
  </si>
  <si>
    <t>Meko Brand Inhaler</t>
  </si>
  <si>
    <t>Tanzol Suspension</t>
  </si>
  <si>
    <t>Zecuf Lozenges (X4)</t>
  </si>
  <si>
    <t>Amatem Soft gel (X6)</t>
  </si>
  <si>
    <t>Vamicee Vitamin C Syrup</t>
  </si>
  <si>
    <t>Cenpain Night (x10)</t>
  </si>
  <si>
    <t>Super Apeti (x20)</t>
  </si>
  <si>
    <t>Greentol Lozenges</t>
  </si>
  <si>
    <t>Zevit Multivitamin Capsule (X10)</t>
  </si>
  <si>
    <t>Panadol Blue (x10)</t>
  </si>
  <si>
    <t>Ibex (X24)</t>
  </si>
  <si>
    <t>Tuclox Syrup</t>
  </si>
  <si>
    <t>Danacid (X12)</t>
  </si>
  <si>
    <t>Neurogesic 85g</t>
  </si>
  <si>
    <t>Flagyl 400mg (x10) G</t>
  </si>
  <si>
    <t>Tuyil Ampicillin Susp</t>
  </si>
  <si>
    <t>Erythromycin Suspension - Tuyil</t>
  </si>
  <si>
    <t>Flagyl 200mg (x10) G</t>
  </si>
  <si>
    <t>Medik 55 (X10)</t>
  </si>
  <si>
    <t>Babyrex Syrup</t>
  </si>
  <si>
    <t>Architamol Paracetamol (X12)</t>
  </si>
  <si>
    <t>MIM Tonc 300ml</t>
  </si>
  <si>
    <t>Gentalab Ear/Eye Drop</t>
  </si>
  <si>
    <t>Bonababe Syrup</t>
  </si>
  <si>
    <t>Lonart (X24)</t>
  </si>
  <si>
    <t>Zolat (x2)</t>
  </si>
  <si>
    <t>Peflotab 400mg (x10)</t>
  </si>
  <si>
    <t>Mycoten Vaginal Tablet (x6)</t>
  </si>
  <si>
    <t>Gynaecosid (x2)</t>
  </si>
  <si>
    <t>Omega H3 (x6)</t>
  </si>
  <si>
    <t>Inj Crystalline Penicillin (x1)</t>
  </si>
  <si>
    <t>Inj Depo Provera (with Syringe)</t>
  </si>
  <si>
    <t>Supermag Susp 100ml</t>
  </si>
  <si>
    <t>Ferobin Tonic 200ml</t>
  </si>
  <si>
    <t>Thiocal 12 Tonic 100ml</t>
  </si>
  <si>
    <t>Orheptal Tonic 1 Litre</t>
  </si>
  <si>
    <t>Menthodex Cough mixture</t>
  </si>
  <si>
    <t>D-Koff Expectorant</t>
  </si>
  <si>
    <t>Coflin Cough Linctus</t>
  </si>
  <si>
    <t>Bentotit Syrup 60ml</t>
  </si>
  <si>
    <t>Tetracycline 250mg (Rtl X1)</t>
  </si>
  <si>
    <t>Thalazole (X1)</t>
  </si>
  <si>
    <t>Sodamint (X1000)</t>
  </si>
  <si>
    <t>Jawamox Suspension</t>
  </si>
  <si>
    <t>Gascol Antacid Suspension</t>
  </si>
  <si>
    <t>Tuclox drop 90mg</t>
  </si>
  <si>
    <t>Abidec Drop</t>
  </si>
  <si>
    <t>Ampicillin 500mg (x10) G</t>
  </si>
  <si>
    <t>Ampiclox 500mg (Beecham) (X10)</t>
  </si>
  <si>
    <t>La-Tesen Syrup</t>
  </si>
  <si>
    <t>Vitamin C (x1000) White</t>
  </si>
  <si>
    <t>Vitamin C White (X100)</t>
  </si>
  <si>
    <t>Vitamin C (x100) Coloured</t>
  </si>
  <si>
    <t>Ampiclox 500mg (x10) G</t>
  </si>
  <si>
    <t>Lumartem (x24) &gt;35kg</t>
  </si>
  <si>
    <t>Atenolol 50mg (X14) B</t>
  </si>
  <si>
    <t>Cal-D3 tab (x15)</t>
  </si>
  <si>
    <t>CAC 1000 Sandoz (x10s)</t>
  </si>
  <si>
    <t>Buscopan (x10)</t>
  </si>
  <si>
    <t>Ciprotab 250mg (x10) Fidson</t>
  </si>
  <si>
    <t>Chloramphenicol 250mg (x10)</t>
  </si>
  <si>
    <t>Doxycycline 250mg (x10) G</t>
  </si>
  <si>
    <t>Folic Acid 5mg Sachet (x10)</t>
  </si>
  <si>
    <t>Normoretic (x10)</t>
  </si>
  <si>
    <t>Brustan N (X10)</t>
  </si>
  <si>
    <t>Lofenac 100mg (X10)</t>
  </si>
  <si>
    <t>Lokmal Adult (X6)</t>
  </si>
  <si>
    <t>Flu J Cough Syrup</t>
  </si>
  <si>
    <t>Lixyped Cough Linctus</t>
  </si>
  <si>
    <t>Cyprigold Syrup 100ml</t>
  </si>
  <si>
    <t>Moko Glycerin of borax 50ml</t>
  </si>
  <si>
    <t>Woodward Gripe Water 148ml</t>
  </si>
  <si>
    <t>Moko Mist Magnesium 200ml</t>
  </si>
  <si>
    <t>Mist Magnesium Trisilicate 200ml - Joris</t>
  </si>
  <si>
    <t>Hexedene Mouth Wash</t>
  </si>
  <si>
    <t>Riconia Syrup 200ml</t>
  </si>
  <si>
    <t>Emvite Multivitamin Syrup</t>
  </si>
  <si>
    <t>Jawaclox Drop</t>
  </si>
  <si>
    <t>Amlong 5mg (X10)</t>
  </si>
  <si>
    <t>Fidson Multivite Syrup 100ml</t>
  </si>
  <si>
    <t>Gripe Water</t>
  </si>
  <si>
    <t>Chivita 1 Litre</t>
  </si>
  <si>
    <t>Goya Oil S/S</t>
  </si>
  <si>
    <t>Always Pad</t>
  </si>
  <si>
    <t>Ladysept Pad</t>
  </si>
  <si>
    <t>Canoe Bar Soap</t>
  </si>
  <si>
    <t>Lux Soap</t>
  </si>
  <si>
    <t>Imperial Lether S/S</t>
  </si>
  <si>
    <t>Lux Soap S/S</t>
  </si>
  <si>
    <t>Tura Medicated Soap</t>
  </si>
  <si>
    <t>Cotton Wool S/S 50gm</t>
  </si>
  <si>
    <t>Blood Giving Set</t>
  </si>
  <si>
    <t>White Envelope Paper S/S</t>
  </si>
  <si>
    <t>Plaster (X1)</t>
  </si>
  <si>
    <t>Plaster (Roll) 1'</t>
  </si>
  <si>
    <t>Needle Only 21G</t>
  </si>
  <si>
    <t>Needle 23G (X1)</t>
  </si>
  <si>
    <t>Chloramphenicol Eye Ointment G</t>
  </si>
  <si>
    <t>Diclomol Gel</t>
  </si>
  <si>
    <t>Soft Drinks (PMT) - 100</t>
  </si>
  <si>
    <t>Pentax Paracetamol Syrup</t>
  </si>
  <si>
    <t>Panda Paracetamol Drop</t>
  </si>
  <si>
    <t>Dana Piriton Syrup</t>
  </si>
  <si>
    <t>Becombion Syrup 150ml</t>
  </si>
  <si>
    <t>Citramin Vitamin C Syrup</t>
  </si>
  <si>
    <t>Pyrantin Suspension</t>
  </si>
  <si>
    <t>Hydrogen Peroxide B/S G</t>
  </si>
  <si>
    <t>Alabukun Powder</t>
  </si>
  <si>
    <t>BNS 500 (x10)</t>
  </si>
  <si>
    <t>Boska tab (x10)</t>
  </si>
  <si>
    <t>Cyprigold Capsules (x10)</t>
  </si>
  <si>
    <t>Emvite C Drop</t>
  </si>
  <si>
    <t>OTC Oral Drops</t>
  </si>
  <si>
    <t>Ibuprofen 400mg (x10) G</t>
  </si>
  <si>
    <t>ORS G (X1)</t>
  </si>
  <si>
    <t>MIM capsule (x6)</t>
  </si>
  <si>
    <t>Solotone tab (X10)</t>
  </si>
  <si>
    <t>Panadol Extra (x10)</t>
  </si>
  <si>
    <t>Sudrex tab (x10)</t>
  </si>
  <si>
    <t>Wormin 100mg (x6)</t>
  </si>
  <si>
    <t>Matches (X100)</t>
  </si>
  <si>
    <t>Tiger Battery B/S</t>
  </si>
  <si>
    <t>Tiger Battery S/S R6S</t>
  </si>
  <si>
    <t>Inj Chlopromazine</t>
  </si>
  <si>
    <t>mama lemon B/S</t>
  </si>
  <si>
    <t>Vitamin K</t>
  </si>
  <si>
    <t>Vamirex Syrup</t>
  </si>
  <si>
    <t>Daravit (x15)</t>
  </si>
  <si>
    <t>Promethazine Syrup G</t>
  </si>
  <si>
    <t>Ladys own Tonic</t>
  </si>
  <si>
    <t>Bonduretic (X10)</t>
  </si>
  <si>
    <t>Ketoconazole (X10)</t>
  </si>
  <si>
    <t>Be-Fit X10</t>
  </si>
  <si>
    <t>Sachet (X30)</t>
  </si>
  <si>
    <t>Mixanal (x4)</t>
  </si>
  <si>
    <t>Predicure Tab</t>
  </si>
  <si>
    <t>Pregnancy Test Strip - GIMA</t>
  </si>
  <si>
    <t>Ferrous Fumarate (X50)</t>
  </si>
  <si>
    <t>Betglowesol-N Eye Ear Drop</t>
  </si>
  <si>
    <t>Adult Pampers</t>
  </si>
  <si>
    <t>Catheter G/size-16</t>
  </si>
  <si>
    <t>Flagyl Infusion</t>
  </si>
  <si>
    <t>Infusion</t>
  </si>
  <si>
    <t>Inj Gvither (x1)</t>
  </si>
  <si>
    <t>Methylated Spirit 200ml</t>
  </si>
  <si>
    <t>Cofmix Junior Cough Syrup</t>
  </si>
  <si>
    <t>Inj Procaine Penicillin (X1)</t>
  </si>
  <si>
    <t>Digital Thermometer</t>
  </si>
  <si>
    <t>Scalp Vein Needle 21G</t>
  </si>
  <si>
    <t>Scalp Vein Needle 23G</t>
  </si>
  <si>
    <t>GV Lotion G</t>
  </si>
  <si>
    <t>Vitamin A (X1)</t>
  </si>
  <si>
    <t>Multivite (X1)</t>
  </si>
  <si>
    <t>Alchohol Swab (X1)</t>
  </si>
  <si>
    <t>Pregnancy Test Strip P-TEST</t>
  </si>
  <si>
    <t>Latex Glove (X100)</t>
  </si>
  <si>
    <t>Evervite Gold (X6)</t>
  </si>
  <si>
    <t>Eusol Lotion G</t>
  </si>
  <si>
    <t>Loxagyl 200mg (x10)</t>
  </si>
  <si>
    <t>WoodWard Gripe Water 100ml</t>
  </si>
  <si>
    <t>Pentax tab (X4)</t>
  </si>
  <si>
    <t>Loratidine 10mg (x10)</t>
  </si>
  <si>
    <t>Endix G Cream</t>
  </si>
  <si>
    <t>Azithromycin 500mg (x1) G</t>
  </si>
  <si>
    <t>Combination 3</t>
  </si>
  <si>
    <t>Sachet (X28)</t>
  </si>
  <si>
    <t>Calamine Lotion G</t>
  </si>
  <si>
    <t>Nospamin Drop</t>
  </si>
  <si>
    <t>Brustan N Syrup 60ml</t>
  </si>
  <si>
    <t>Vasoprin (x10)</t>
  </si>
  <si>
    <t>Ciprotab 500mg (x10) Fidson</t>
  </si>
  <si>
    <t>M&amp;B Paracetamol Syrup</t>
  </si>
  <si>
    <t>Afrabvite Drop</t>
  </si>
  <si>
    <t>ORS-G Oral (x1)</t>
  </si>
  <si>
    <t>P-Alaxin (X8)</t>
  </si>
  <si>
    <t>Sachet (X8)</t>
  </si>
  <si>
    <t>Tuxil-N Cough Syrup Adult</t>
  </si>
  <si>
    <t>Piroxicam 20mg (x10) G</t>
  </si>
  <si>
    <t>Emvite C Vitamin C Syrup</t>
  </si>
  <si>
    <t>Gestid Suspension 200ml</t>
  </si>
  <si>
    <t>Ulgicid Suspension</t>
  </si>
  <si>
    <t>Dedeons Heamoglobin Tonic 150ml</t>
  </si>
  <si>
    <t>Cofex Cough Lozenges (X10)</t>
  </si>
  <si>
    <t>Ketoconazole Cream G</t>
  </si>
  <si>
    <t>Flagyl Syrup M&amp;B</t>
  </si>
  <si>
    <t>Mekophar Artesunate (X12)</t>
  </si>
  <si>
    <t>Pythrocin Azithromycin 500mg</t>
  </si>
  <si>
    <t>Jawaclox Syrup</t>
  </si>
  <si>
    <t>Monomin Plus 100ml</t>
  </si>
  <si>
    <t>Skineal Cream</t>
  </si>
  <si>
    <t>ABF Cream</t>
  </si>
  <si>
    <t>Jawaron Cap (X10)</t>
  </si>
  <si>
    <t>Liba's Sore Throat</t>
  </si>
  <si>
    <t>Bunto Cap (X15)</t>
  </si>
  <si>
    <t>Secwid (X4)</t>
  </si>
  <si>
    <t>Liquid Iron Tonic S/S</t>
  </si>
  <si>
    <t>Ayrton Touch and Go</t>
  </si>
  <si>
    <t>Swidar (X3)</t>
  </si>
  <si>
    <t>Yoyo Bitters</t>
  </si>
  <si>
    <t>Ranferon 12 (X10)</t>
  </si>
  <si>
    <t>Sporidex Syrup 125mg/5ml</t>
  </si>
  <si>
    <t>Astymin Tonic 200ml</t>
  </si>
  <si>
    <t>Neurogesic 35g</t>
  </si>
  <si>
    <t>Jawaron Tonic 200ml</t>
  </si>
  <si>
    <t>Moko Nerve Liniment</t>
  </si>
  <si>
    <t>Feed Fine X10</t>
  </si>
  <si>
    <t>MIM Drop</t>
  </si>
  <si>
    <t>Brett Minty Mouth Wash</t>
  </si>
  <si>
    <t>Exiplon Cough Expectorant</t>
  </si>
  <si>
    <t>Rhinathiol Expectorant</t>
  </si>
  <si>
    <t>Milo refill</t>
  </si>
  <si>
    <t>Epsom Salt</t>
  </si>
  <si>
    <t>Inj Piriton (X1)</t>
  </si>
  <si>
    <t>Ferrous Sulphate (x100)</t>
  </si>
  <si>
    <t>Karaole Sachet</t>
  </si>
  <si>
    <t>Felxicam (X10)</t>
  </si>
  <si>
    <t>Emzor Paracetamol Drop</t>
  </si>
  <si>
    <t>Piriton (x10) - Emzor</t>
  </si>
  <si>
    <t>NCP Antiseptic Lotion</t>
  </si>
  <si>
    <t>Inj Artemether G (x1)</t>
  </si>
  <si>
    <t>Coflin Cough Expectorant</t>
  </si>
  <si>
    <t>Camosunate &gt;14yrs</t>
  </si>
  <si>
    <t>Dexorange Tonic (200ml)</t>
  </si>
  <si>
    <t>Ytacan Cream</t>
  </si>
  <si>
    <t>Emcap Tab (X10)</t>
  </si>
  <si>
    <t>Dano refil 360g</t>
  </si>
  <si>
    <t>Wind Gel Air Fresher</t>
  </si>
  <si>
    <t>Hollandia Refil Milk</t>
  </si>
  <si>
    <t>Robb Bottle</t>
  </si>
  <si>
    <t>Raid Insecticide S/S</t>
  </si>
  <si>
    <t>Newage Toothbrush</t>
  </si>
  <si>
    <t>Tudor Battery (x4) S/S</t>
  </si>
  <si>
    <t>Medicated Dusting Powder 200g</t>
  </si>
  <si>
    <t>Cacatin Antiseptic Cream</t>
  </si>
  <si>
    <t>Joy Soap</t>
  </si>
  <si>
    <t>Septol Antiseptic Soap</t>
  </si>
  <si>
    <t>Roberts Olive oil</t>
  </si>
  <si>
    <t>Snipper Insecticide Flict 300ml</t>
  </si>
  <si>
    <t>Milliliters (300ml)</t>
  </si>
  <si>
    <t>Drylove Sanitary Pad</t>
  </si>
  <si>
    <t>Swiss Gel Air Fresher</t>
  </si>
  <si>
    <t>Kiss (36)</t>
  </si>
  <si>
    <t>Harpic Active 725ml</t>
  </si>
  <si>
    <t>Rat Gum</t>
  </si>
  <si>
    <t>Softwave Toilet Tissue</t>
  </si>
  <si>
    <t>Lisa Soap</t>
  </si>
  <si>
    <t>Detol Antiseptic 75ml</t>
  </si>
  <si>
    <t>Milk teeth Tooth-care</t>
  </si>
  <si>
    <t>Dangote Sugar</t>
  </si>
  <si>
    <t>Energy Bulb</t>
  </si>
  <si>
    <t>Pampers (x25)</t>
  </si>
  <si>
    <t>Tetmosol Disinfectant 140ml</t>
  </si>
  <si>
    <t>Dano Sachet</t>
  </si>
  <si>
    <t>Sponge B/S</t>
  </si>
  <si>
    <t>Electric Bulb 15 watts</t>
  </si>
  <si>
    <t>Diamond Naphthalene balls</t>
  </si>
  <si>
    <t>Tetmosol Medicated Soap</t>
  </si>
  <si>
    <t>Note book 40 leaves</t>
  </si>
  <si>
    <t>Gas Lighter</t>
  </si>
  <si>
    <t>serial</t>
  </si>
  <si>
    <t>Sugar sachet s/s</t>
  </si>
  <si>
    <t>Nutri-C</t>
  </si>
  <si>
    <t>Lude Shoe Polish</t>
  </si>
  <si>
    <t>Methocarbamol 500mg (x10)</t>
  </si>
  <si>
    <t>Wate-on Emulsion Tonic 450ml</t>
  </si>
  <si>
    <t>Tuxil-D Cough Syrup Children</t>
  </si>
  <si>
    <t>Nifecard Retard 20mg(x10)</t>
  </si>
  <si>
    <t>White Handkerchief (x12)</t>
  </si>
  <si>
    <t>Gino Tomato Sachet</t>
  </si>
  <si>
    <t>Amlodipine 10mg (x10) G</t>
  </si>
  <si>
    <t>Sivofemol Diclofenac Potassium 550mg (x10)</t>
  </si>
  <si>
    <t>Zinc Sulphate Tablet (X10)</t>
  </si>
  <si>
    <t>Vega 100 (X4)</t>
  </si>
  <si>
    <t>Blueband Sachet</t>
  </si>
  <si>
    <t>Asmalyn Syrup</t>
  </si>
  <si>
    <t>Promethazine Hydrochloride 25mg</t>
  </si>
  <si>
    <t>Cotton Wool M/S</t>
  </si>
  <si>
    <t>Nifecard XL 30mg (X10)</t>
  </si>
  <si>
    <t>Tecotrim 960mg (x10)</t>
  </si>
  <si>
    <t>Dexor</t>
  </si>
  <si>
    <t>Gardia Mosquito Repelant</t>
  </si>
  <si>
    <t>Atenolol 100mg (X14) B</t>
  </si>
  <si>
    <t>Jobelyn cap (X10)</t>
  </si>
  <si>
    <t>Erithromycin sivoryl 500mg</t>
  </si>
  <si>
    <t>Nystatin Vaginal Tablets 1000 (X10)</t>
  </si>
  <si>
    <t>Uniplex Cough Syrup</t>
  </si>
  <si>
    <t>Aquaclav (X14)</t>
  </si>
  <si>
    <t>Chloramphenicol Eye Drop MCA</t>
  </si>
  <si>
    <t>Lumartem (x18) 25kg-35kg</t>
  </si>
  <si>
    <t>Sachet (X18)</t>
  </si>
  <si>
    <t>Exiplon Cough Syrup</t>
  </si>
  <si>
    <t>Clear Bag File</t>
  </si>
  <si>
    <t>Inj Arteether</t>
  </si>
  <si>
    <t>Ibuprofen 200mg (x10) G</t>
  </si>
  <si>
    <t>Accosson Shygmomanometer</t>
  </si>
  <si>
    <t>Sniper Insecticide 100ml</t>
  </si>
  <si>
    <t>Mentos Sweet</t>
  </si>
  <si>
    <t>Ecofan - DS (X6)</t>
  </si>
  <si>
    <t>7 Keys Herbal Lotion G</t>
  </si>
  <si>
    <t>Septrin (x10) G</t>
  </si>
  <si>
    <t>Diclofenac - G (X10)</t>
  </si>
  <si>
    <t>Coartem (X24)</t>
  </si>
  <si>
    <t>Flagyl Tablet (Rtl x1)</t>
  </si>
  <si>
    <t>Snipper Insecticide 100ml</t>
  </si>
  <si>
    <t>Tiger Blade (X10)</t>
  </si>
  <si>
    <t>Brustan Extra (x10)</t>
  </si>
  <si>
    <t>Brustan Plus</t>
  </si>
  <si>
    <t>Miss Bimbo Detergent</t>
  </si>
  <si>
    <t>Tutolin Cough and Cold SYrup</t>
  </si>
  <si>
    <t>Combisunate X24 20mg/120mg</t>
  </si>
  <si>
    <t>Para-Flu Caplets X10</t>
  </si>
  <si>
    <t>Tetracycline (x5)</t>
  </si>
  <si>
    <t>Sachet (x5)</t>
  </si>
  <si>
    <t>Closeup Toothpaste s/s</t>
  </si>
  <si>
    <t>Novagine Tablet 500mg (x10)</t>
  </si>
  <si>
    <t>Cell-tape B/S</t>
  </si>
  <si>
    <t>Deleex Battery S/S</t>
  </si>
  <si>
    <t>Anybond Glue CV</t>
  </si>
  <si>
    <t>Paper Tape M/S</t>
  </si>
  <si>
    <t>Dicnac 550 (x10)</t>
  </si>
  <si>
    <t>Contact (X10) -G</t>
  </si>
  <si>
    <t>Indomie Noodles</t>
  </si>
  <si>
    <t>Super Apeti Plus Syrup 200ml</t>
  </si>
  <si>
    <t>Assess Super Glue</t>
  </si>
  <si>
    <t>Maxolone Tablets 10mg (x10)</t>
  </si>
  <si>
    <t>BIC Shaving Stick</t>
  </si>
  <si>
    <t>morning fresh B/S</t>
  </si>
  <si>
    <t>Maldox Tablets 500/25mg (x3)</t>
  </si>
  <si>
    <t>Morning fresh M/S</t>
  </si>
  <si>
    <t>Soul Mate Hair Cream</t>
  </si>
  <si>
    <t>Inj Pentazocine B.P</t>
  </si>
  <si>
    <t>7up Bottled Drink</t>
  </si>
  <si>
    <t>Good Mama Detergent 70g</t>
  </si>
  <si>
    <t>Cowbell Chocolate sachet s/s</t>
  </si>
  <si>
    <t>Pepsi</t>
  </si>
  <si>
    <t>Pears Moisturising Cream S/S</t>
  </si>
  <si>
    <t>Vaseline Blue Seal 50g</t>
  </si>
  <si>
    <t>Extract SP</t>
  </si>
  <si>
    <t>Pears baby Oil</t>
  </si>
  <si>
    <t>Cacatin Metholated Powder</t>
  </si>
  <si>
    <t>Pears Lotion</t>
  </si>
  <si>
    <t>Energy Bulb B/s</t>
  </si>
  <si>
    <t>Cascade Bottle Water</t>
  </si>
  <si>
    <t>Gestid sachet (Rtl x4)</t>
  </si>
  <si>
    <t>Blood Pressure</t>
  </si>
  <si>
    <t>Chemiron Capsule (Rtl x1)</t>
  </si>
  <si>
    <t>Hollandia Yogurt B/s</t>
  </si>
  <si>
    <t>Limca Bottled Drink</t>
  </si>
  <si>
    <t>Medicort</t>
  </si>
  <si>
    <t>BKB Ibuprofen 200mg (x10)</t>
  </si>
  <si>
    <t>Energy Bulb S/s</t>
  </si>
  <si>
    <t>mirin</t>
  </si>
  <si>
    <t>Teem Bottled Drink</t>
  </si>
  <si>
    <t>Ampiclox Drop - AC-Clox</t>
  </si>
  <si>
    <t>Loperamide Capsule (x10)</t>
  </si>
  <si>
    <t>Novalyn Cough Syrup 100ml</t>
  </si>
  <si>
    <t>Fidson B-Complex Syrup 100ml</t>
  </si>
  <si>
    <t>Ladimax Diclofenac Potassium</t>
  </si>
  <si>
    <t>Vitamin E (x100)</t>
  </si>
  <si>
    <t>Tuxil-N Cough Syrup Children</t>
  </si>
  <si>
    <t>Mouth Was</t>
  </si>
  <si>
    <t>Airtel Recharge Card 100</t>
  </si>
  <si>
    <t>GLO Recharge Card 200</t>
  </si>
  <si>
    <t>GLO Recharge Card 500</t>
  </si>
  <si>
    <t>GLO Recharge Card 100</t>
  </si>
  <si>
    <t>MTN Recharge Card 100</t>
  </si>
  <si>
    <t>Vitamin K Tablets</t>
  </si>
  <si>
    <t>Mist Kaolin 200ml - Joris</t>
  </si>
  <si>
    <t>Mim Pharma Mouth Wash</t>
  </si>
  <si>
    <t>Divine Tablets (x10)</t>
  </si>
  <si>
    <t>Dynamogen Oral Suspension 10ml</t>
  </si>
  <si>
    <t>Oral Vial</t>
  </si>
  <si>
    <t>Fidson Paracetamol Syrup</t>
  </si>
  <si>
    <t>Uptamin Syrup 200ml</t>
  </si>
  <si>
    <t>Deep Heat S/s</t>
  </si>
  <si>
    <t>Deep Heat B/s</t>
  </si>
  <si>
    <t>Avrobalm Methyl Salicylate 80g</t>
  </si>
  <si>
    <t>Em-B-Plex Vit B Co x100 - Emzor</t>
  </si>
  <si>
    <t>Metronidazole Susp - Fidson</t>
  </si>
  <si>
    <t>Ascobitone Vitamin C -Archy</t>
  </si>
  <si>
    <t>ignore</t>
  </si>
  <si>
    <t>parent_code</t>
  </si>
  <si>
    <t>parentName</t>
  </si>
  <si>
    <t>Product</t>
  </si>
  <si>
    <t>Service</t>
  </si>
  <si>
    <t>Medical</t>
  </si>
  <si>
    <t>CA00002</t>
  </si>
  <si>
    <t>Internal</t>
  </si>
  <si>
    <t>Drug</t>
  </si>
  <si>
    <t>Saleable</t>
  </si>
  <si>
    <t>CA00005</t>
  </si>
  <si>
    <t>Saleable2</t>
  </si>
  <si>
    <t>CA00001</t>
  </si>
  <si>
    <t>CA00076</t>
  </si>
  <si>
    <t>No Category Yet</t>
  </si>
  <si>
    <t>Powder</t>
  </si>
  <si>
    <t>Stationary</t>
  </si>
  <si>
    <t>Medical Consultation</t>
  </si>
  <si>
    <t>uom_category_code</t>
  </si>
  <si>
    <t>uom_category_name</t>
  </si>
  <si>
    <t>factor</t>
  </si>
  <si>
    <t>rounding</t>
  </si>
  <si>
    <t>uomType</t>
  </si>
  <si>
    <t>Count</t>
  </si>
  <si>
    <t>reference</t>
  </si>
  <si>
    <t>Dozen(s)</t>
  </si>
  <si>
    <t>bigger</t>
  </si>
  <si>
    <t>Weight</t>
  </si>
  <si>
    <t>g</t>
  </si>
  <si>
    <t>smaller</t>
  </si>
  <si>
    <t>Time</t>
  </si>
  <si>
    <t>t</t>
  </si>
  <si>
    <t>m</t>
  </si>
  <si>
    <t>Length</t>
  </si>
  <si>
    <t>km</t>
  </si>
  <si>
    <t>cm</t>
  </si>
  <si>
    <t>Volume</t>
  </si>
  <si>
    <t>lb(s)</t>
  </si>
  <si>
    <t>oz(s)</t>
  </si>
  <si>
    <t>inch(es)</t>
  </si>
  <si>
    <t>foot(ft)</t>
  </si>
  <si>
    <t>mile(s)</t>
  </si>
  <si>
    <t>fl oz</t>
  </si>
  <si>
    <t>qt</t>
  </si>
  <si>
    <t>gal(s)</t>
  </si>
  <si>
    <t>Container</t>
  </si>
  <si>
    <t>Sachet</t>
  </si>
  <si>
    <t>Counting Tablet</t>
  </si>
  <si>
    <t>Test Strip</t>
  </si>
  <si>
    <t>Package</t>
  </si>
  <si>
    <t>CA00003</t>
  </si>
  <si>
    <t>CA00004</t>
  </si>
  <si>
    <t>CA00008</t>
  </si>
  <si>
    <t>CA00010</t>
  </si>
  <si>
    <t>CA00012</t>
  </si>
  <si>
    <t>CA00014</t>
  </si>
  <si>
    <t>CA00016</t>
  </si>
  <si>
    <t>CA00017</t>
  </si>
  <si>
    <t>CA00018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</si>
</sst>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sz val="11"/>
      <color rgb="FF000000"/>
      <name val="Monospac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1" applyBorder="1" fontId="5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5.862142857142858" customWidth="1" bestFit="1"/>
    <col min="2" max="2" style="4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</cols>
  <sheetData>
    <row x14ac:dyDescent="0.25" r="1" customHeight="1" ht="17.25">
      <c r="A1" s="18" t="s">
        <v>0</v>
      </c>
      <c r="B1" s="18" t="s">
        <v>3558</v>
      </c>
      <c r="C1" s="1" t="s">
        <v>7</v>
      </c>
      <c r="D1" s="1" t="s">
        <v>8</v>
      </c>
      <c r="E1" s="1" t="s">
        <v>9</v>
      </c>
      <c r="F1" s="1" t="s">
        <v>10</v>
      </c>
    </row>
    <row x14ac:dyDescent="0.25" r="2" customHeight="1" ht="18.75">
      <c r="A2" s="1" t="s">
        <v>9652</v>
      </c>
      <c r="B2" s="1" t="s">
        <v>9663</v>
      </c>
      <c r="C2" s="2"/>
      <c r="D2" s="2"/>
      <c r="E2" s="2"/>
      <c r="F2" s="2"/>
    </row>
    <row x14ac:dyDescent="0.25" r="3" customHeight="1" ht="18.75">
      <c r="A3" s="1" t="s">
        <v>9646</v>
      </c>
      <c r="B3" s="1" t="s">
        <v>9667</v>
      </c>
      <c r="C3" s="2"/>
      <c r="D3" s="2"/>
      <c r="E3" s="2"/>
      <c r="F3" s="2"/>
    </row>
    <row x14ac:dyDescent="0.25" r="4" customHeight="1" ht="18.75">
      <c r="A4" s="1" t="s">
        <v>9690</v>
      </c>
      <c r="B4" s="1" t="s">
        <v>9670</v>
      </c>
      <c r="C4" s="2"/>
      <c r="D4" s="2"/>
      <c r="E4" s="2"/>
      <c r="F4" s="2"/>
    </row>
    <row x14ac:dyDescent="0.25" r="5" customHeight="1" ht="18.75">
      <c r="A5" s="1" t="s">
        <v>9691</v>
      </c>
      <c r="B5" s="1" t="s">
        <v>9673</v>
      </c>
      <c r="C5" s="2"/>
      <c r="D5" s="2"/>
      <c r="E5" s="2"/>
      <c r="F5" s="2"/>
    </row>
    <row x14ac:dyDescent="0.25" r="6" customHeight="1" ht="18.75">
      <c r="A6" s="1" t="s">
        <v>9650</v>
      </c>
      <c r="B6" s="1" t="s">
        <v>9676</v>
      </c>
      <c r="C6" s="2"/>
      <c r="D6" s="2"/>
      <c r="E6" s="2"/>
      <c r="F6" s="2"/>
    </row>
    <row x14ac:dyDescent="0.25" r="7" customHeight="1" ht="18.75">
      <c r="A7" s="1" t="s">
        <v>9650</v>
      </c>
      <c r="B7" s="1" t="s">
        <v>5533</v>
      </c>
      <c r="C7" s="2"/>
      <c r="D7" s="2"/>
      <c r="E7" s="2"/>
      <c r="F7" s="2"/>
    </row>
    <row x14ac:dyDescent="0.25" r="8" customHeight="1" ht="18.75">
      <c r="A8" s="1" t="s">
        <v>9692</v>
      </c>
      <c r="B8" s="1" t="s">
        <v>9686</v>
      </c>
      <c r="C8" s="2"/>
      <c r="D8" s="2"/>
      <c r="E8" s="2"/>
      <c r="F8" s="2"/>
    </row>
    <row x14ac:dyDescent="0.25" r="9" customHeight="1" ht="18.75">
      <c r="A9" s="1" t="s">
        <v>9693</v>
      </c>
      <c r="B9" s="1" t="s">
        <v>5539</v>
      </c>
      <c r="C9" s="2"/>
      <c r="D9" s="2"/>
      <c r="E9" s="2"/>
      <c r="F9" s="2"/>
    </row>
    <row x14ac:dyDescent="0.25" r="10" customHeight="1" ht="18.75">
      <c r="A10" s="1" t="s">
        <v>9694</v>
      </c>
      <c r="B10" s="1" t="s">
        <v>9685</v>
      </c>
      <c r="C10" s="2"/>
      <c r="D10" s="2"/>
      <c r="E10" s="2"/>
      <c r="F10" s="2"/>
    </row>
    <row x14ac:dyDescent="0.25" r="11" customHeight="1" ht="18.75">
      <c r="A11" s="1" t="s">
        <v>9695</v>
      </c>
      <c r="B11" s="1" t="s">
        <v>9685</v>
      </c>
      <c r="C11" s="2"/>
      <c r="D11" s="2"/>
      <c r="E11" s="2"/>
      <c r="F11" s="2"/>
    </row>
    <row x14ac:dyDescent="0.25" r="12" customHeight="1" ht="18.75">
      <c r="A12" s="1" t="s">
        <v>9696</v>
      </c>
      <c r="B12" s="1" t="s">
        <v>9689</v>
      </c>
      <c r="C12" s="2"/>
      <c r="D12" s="2"/>
      <c r="E12" s="2"/>
      <c r="F12" s="2"/>
    </row>
    <row x14ac:dyDescent="0.25" r="13" customHeight="1" ht="18.75">
      <c r="A13" s="1" t="s">
        <v>9697</v>
      </c>
      <c r="B13" s="1" t="s">
        <v>9689</v>
      </c>
      <c r="C13" s="2"/>
      <c r="D13" s="2"/>
      <c r="E13" s="2"/>
      <c r="F13" s="2"/>
    </row>
    <row x14ac:dyDescent="0.25" r="14" customHeight="1" ht="18.75">
      <c r="A14" s="1" t="s">
        <v>9698</v>
      </c>
      <c r="B14" s="1" t="s">
        <v>9685</v>
      </c>
      <c r="C14" s="2"/>
      <c r="D14" s="2"/>
      <c r="E14" s="2"/>
      <c r="F14" s="2"/>
    </row>
    <row x14ac:dyDescent="0.25" r="15" customHeight="1" ht="19.5">
      <c r="A15" s="2"/>
      <c r="B15" s="1" t="s">
        <v>9659</v>
      </c>
      <c r="C15" s="2"/>
      <c r="D15" s="2"/>
      <c r="E15" s="2"/>
      <c r="F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6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2.43357142857143" customWidth="1" bestFit="1"/>
    <col min="2" max="2" style="3" width="19.862142857142857" customWidth="1" bestFit="1"/>
    <col min="3" max="3" style="3" width="16.14785714285714" customWidth="1" bestFit="1"/>
    <col min="4" max="4" style="4" width="28.290714285714284" customWidth="1" bestFit="1"/>
    <col min="5" max="5" style="11" width="12.43357142857143" customWidth="1" bestFit="1"/>
    <col min="6" max="6" style="17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</cols>
  <sheetData>
    <row x14ac:dyDescent="0.25" r="1" customHeight="1" ht="17.25">
      <c r="A1" s="1" t="s">
        <v>0</v>
      </c>
      <c r="B1" s="1" t="s">
        <v>3558</v>
      </c>
      <c r="C1" s="1" t="s">
        <v>9658</v>
      </c>
      <c r="D1" s="13" t="s">
        <v>9659</v>
      </c>
      <c r="E1" s="6" t="s">
        <v>9660</v>
      </c>
      <c r="F1" s="14" t="s">
        <v>9661</v>
      </c>
      <c r="G1" s="1" t="s">
        <v>5505</v>
      </c>
      <c r="H1" s="1" t="s">
        <v>9662</v>
      </c>
      <c r="I1" s="1" t="s">
        <v>7</v>
      </c>
      <c r="J1" s="1" t="s">
        <v>8</v>
      </c>
      <c r="K1" s="1" t="s">
        <v>9</v>
      </c>
      <c r="L1" s="1" t="s">
        <v>10</v>
      </c>
    </row>
    <row x14ac:dyDescent="0.25" r="2" customHeight="1" ht="17.25">
      <c r="A2" s="5">
        <f>concatenate("UM", text(A2, "00000"))</f>
      </c>
      <c r="B2" s="1" t="s">
        <v>5511</v>
      </c>
      <c r="C2" s="15">
        <f>XLOOKUP(E2, uom_category!C:C, uom_category!B:B, "Not Found")</f>
      </c>
      <c r="D2" s="13" t="s">
        <v>9663</v>
      </c>
      <c r="E2" s="7">
        <v>1</v>
      </c>
      <c r="F2" s="9">
        <v>0.001</v>
      </c>
      <c r="G2" s="8" t="s">
        <v>5524</v>
      </c>
      <c r="H2" s="1" t="s">
        <v>9664</v>
      </c>
      <c r="I2" s="2"/>
      <c r="J2" s="2"/>
      <c r="K2" s="2"/>
      <c r="L2" s="2"/>
    </row>
    <row x14ac:dyDescent="0.25" r="3" customHeight="1" ht="17.25">
      <c r="A3" s="5">
        <f>concatenate("UM", text(A3, "00000"))</f>
      </c>
      <c r="B3" s="1" t="s">
        <v>9665</v>
      </c>
      <c r="C3" s="15">
        <f>XLOOKUP(E3, uom_category!C:C, uom_category!B:B, "Not Found")</f>
      </c>
      <c r="D3" s="13" t="s">
        <v>9663</v>
      </c>
      <c r="E3" s="9">
        <v>0.0833333333333333</v>
      </c>
      <c r="F3" s="9">
        <v>0.01</v>
      </c>
      <c r="G3" s="8" t="s">
        <v>5524</v>
      </c>
      <c r="H3" s="1" t="s">
        <v>9666</v>
      </c>
      <c r="I3" s="2"/>
      <c r="J3" s="2"/>
      <c r="K3" s="2"/>
      <c r="L3" s="2"/>
    </row>
    <row x14ac:dyDescent="0.25" r="4" customHeight="1" ht="17.25">
      <c r="A4" s="5">
        <f>concatenate("UM", text(A4, "00000"))</f>
      </c>
      <c r="B4" s="1" t="s">
        <v>5534</v>
      </c>
      <c r="C4" s="15">
        <f>XLOOKUP(E4, uom_category!C:C, uom_category!B:B, "Not Found")</f>
      </c>
      <c r="D4" s="13" t="s">
        <v>9667</v>
      </c>
      <c r="E4" s="7">
        <v>1</v>
      </c>
      <c r="F4" s="9">
        <v>0.001</v>
      </c>
      <c r="G4" s="8" t="s">
        <v>5524</v>
      </c>
      <c r="H4" s="1" t="s">
        <v>9664</v>
      </c>
      <c r="I4" s="2"/>
      <c r="J4" s="2"/>
      <c r="K4" s="2"/>
      <c r="L4" s="2"/>
    </row>
    <row x14ac:dyDescent="0.25" r="5" customHeight="1" ht="17.25">
      <c r="A5" s="5">
        <f>concatenate("UM", text(A5, "00000"))</f>
      </c>
      <c r="B5" s="1" t="s">
        <v>9668</v>
      </c>
      <c r="C5" s="15">
        <f>XLOOKUP(E5, uom_category!C:C, uom_category!B:B, "Not Found")</f>
      </c>
      <c r="D5" s="13" t="s">
        <v>9667</v>
      </c>
      <c r="E5" s="7">
        <v>1000</v>
      </c>
      <c r="F5" s="9">
        <v>0.01</v>
      </c>
      <c r="G5" s="8" t="s">
        <v>5524</v>
      </c>
      <c r="H5" s="1" t="s">
        <v>9669</v>
      </c>
      <c r="I5" s="2"/>
      <c r="J5" s="2"/>
      <c r="K5" s="2"/>
      <c r="L5" s="2"/>
    </row>
    <row x14ac:dyDescent="0.25" r="6" customHeight="1" ht="17.25">
      <c r="A6" s="5">
        <f>concatenate("UM", text(A6, "00000"))</f>
      </c>
      <c r="B6" s="1" t="s">
        <v>5829</v>
      </c>
      <c r="C6" s="15">
        <f>XLOOKUP(E6, uom_category!C:C, uom_category!B:B, "Not Found")</f>
      </c>
      <c r="D6" s="13" t="s">
        <v>9670</v>
      </c>
      <c r="E6" s="7">
        <v>1</v>
      </c>
      <c r="F6" s="9">
        <v>0.01</v>
      </c>
      <c r="G6" s="8" t="s">
        <v>5524</v>
      </c>
      <c r="H6" s="1" t="s">
        <v>9664</v>
      </c>
      <c r="I6" s="2"/>
      <c r="J6" s="2"/>
      <c r="K6" s="2"/>
      <c r="L6" s="2"/>
    </row>
    <row x14ac:dyDescent="0.25" r="7" customHeight="1" ht="17.25">
      <c r="A7" s="5">
        <f>concatenate("UM", text(A7, "00000"))</f>
      </c>
      <c r="B7" s="1" t="s">
        <v>5834</v>
      </c>
      <c r="C7" s="15">
        <f>XLOOKUP(E7, uom_category!C:C, uom_category!B:B, "Not Found")</f>
      </c>
      <c r="D7" s="13" t="s">
        <v>9670</v>
      </c>
      <c r="E7" s="7">
        <v>8</v>
      </c>
      <c r="F7" s="9">
        <v>0.01</v>
      </c>
      <c r="G7" s="8" t="s">
        <v>5524</v>
      </c>
      <c r="H7" s="1" t="s">
        <v>9669</v>
      </c>
      <c r="I7" s="2"/>
      <c r="J7" s="2"/>
      <c r="K7" s="2"/>
      <c r="L7" s="2"/>
    </row>
    <row x14ac:dyDescent="0.25" r="8" customHeight="1" ht="17.25">
      <c r="A8" s="5">
        <f>concatenate("UM", text(A8, "00000"))</f>
      </c>
      <c r="B8" s="1" t="s">
        <v>9671</v>
      </c>
      <c r="C8" s="15">
        <f>XLOOKUP(E8, uom_category!C:C, uom_category!B:B, "Not Found")</f>
      </c>
      <c r="D8" s="13" t="s">
        <v>9667</v>
      </c>
      <c r="E8" s="9">
        <v>0.001</v>
      </c>
      <c r="F8" s="9">
        <v>0.01</v>
      </c>
      <c r="G8" s="8" t="s">
        <v>5524</v>
      </c>
      <c r="H8" s="1" t="s">
        <v>9666</v>
      </c>
      <c r="I8" s="2"/>
      <c r="J8" s="2"/>
      <c r="K8" s="2"/>
      <c r="L8" s="2"/>
    </row>
    <row x14ac:dyDescent="0.25" r="9" customHeight="1" ht="17.25">
      <c r="A9" s="5">
        <f>concatenate("UM", text(A9, "00000"))</f>
      </c>
      <c r="B9" s="1" t="s">
        <v>9672</v>
      </c>
      <c r="C9" s="15">
        <f>XLOOKUP(E9, uom_category!C:C, uom_category!B:B, "Not Found")</f>
      </c>
      <c r="D9" s="13" t="s">
        <v>9673</v>
      </c>
      <c r="E9" s="7">
        <v>1</v>
      </c>
      <c r="F9" s="9">
        <v>0.01</v>
      </c>
      <c r="G9" s="8" t="s">
        <v>5524</v>
      </c>
      <c r="H9" s="1" t="s">
        <v>9664</v>
      </c>
      <c r="I9" s="2"/>
      <c r="J9" s="2"/>
      <c r="K9" s="2"/>
      <c r="L9" s="2"/>
    </row>
    <row x14ac:dyDescent="0.25" r="10" customHeight="1" ht="17.25">
      <c r="A10" s="5">
        <f>concatenate("UM", text(A10, "00000"))</f>
      </c>
      <c r="B10" s="1" t="s">
        <v>9674</v>
      </c>
      <c r="C10" s="15">
        <f>XLOOKUP(E10, uom_category!C:C, uom_category!B:B, "Not Found")</f>
      </c>
      <c r="D10" s="13" t="s">
        <v>9673</v>
      </c>
      <c r="E10" s="9">
        <v>0.001</v>
      </c>
      <c r="F10" s="9">
        <v>0.01</v>
      </c>
      <c r="G10" s="8" t="s">
        <v>5524</v>
      </c>
      <c r="H10" s="1" t="s">
        <v>9666</v>
      </c>
      <c r="I10" s="2"/>
      <c r="J10" s="2"/>
      <c r="K10" s="2"/>
      <c r="L10" s="2"/>
    </row>
    <row x14ac:dyDescent="0.25" r="11" customHeight="1" ht="17.25">
      <c r="A11" s="5">
        <f>concatenate("UM", text(A11, "00000"))</f>
      </c>
      <c r="B11" s="1" t="s">
        <v>9675</v>
      </c>
      <c r="C11" s="15">
        <f>XLOOKUP(E11, uom_category!C:C, uom_category!B:B, "Not Found")</f>
      </c>
      <c r="D11" s="13" t="s">
        <v>9673</v>
      </c>
      <c r="E11" s="7">
        <v>100</v>
      </c>
      <c r="F11" s="9">
        <v>0.01</v>
      </c>
      <c r="G11" s="8" t="s">
        <v>5524</v>
      </c>
      <c r="H11" s="1" t="s">
        <v>9669</v>
      </c>
      <c r="I11" s="2"/>
      <c r="J11" s="2"/>
      <c r="K11" s="2"/>
      <c r="L11" s="2"/>
    </row>
    <row x14ac:dyDescent="0.25" r="12" customHeight="1" ht="17.25">
      <c r="A12" s="5">
        <f>concatenate("UM", text(A12, "00000"))</f>
      </c>
      <c r="B12" s="1" t="s">
        <v>7361</v>
      </c>
      <c r="C12" s="15">
        <f>XLOOKUP(E12, uom_category!C:C, uom_category!B:B, "Not Found")</f>
      </c>
      <c r="D12" s="13" t="s">
        <v>9676</v>
      </c>
      <c r="E12" s="7">
        <v>1</v>
      </c>
      <c r="F12" s="9">
        <v>0.01</v>
      </c>
      <c r="G12" s="8" t="s">
        <v>5524</v>
      </c>
      <c r="H12" s="1" t="s">
        <v>9664</v>
      </c>
      <c r="I12" s="2"/>
      <c r="J12" s="2"/>
      <c r="K12" s="2"/>
      <c r="L12" s="2"/>
    </row>
    <row x14ac:dyDescent="0.25" r="13" customHeight="1" ht="17.25">
      <c r="A13" s="5">
        <f>concatenate("UM", text(A13, "00000"))</f>
      </c>
      <c r="B13" s="1" t="s">
        <v>9677</v>
      </c>
      <c r="C13" s="15">
        <f>XLOOKUP(E13, uom_category!C:C, uom_category!B:B, "Not Found")</f>
      </c>
      <c r="D13" s="13" t="s">
        <v>9667</v>
      </c>
      <c r="E13" s="9">
        <v>2.20462</v>
      </c>
      <c r="F13" s="9">
        <v>0.01</v>
      </c>
      <c r="G13" s="8" t="s">
        <v>5524</v>
      </c>
      <c r="H13" s="1" t="s">
        <v>9669</v>
      </c>
      <c r="I13" s="2"/>
      <c r="J13" s="2"/>
      <c r="K13" s="2"/>
      <c r="L13" s="2"/>
    </row>
    <row x14ac:dyDescent="0.25" r="14" customHeight="1" ht="17.25">
      <c r="A14" s="5">
        <f>concatenate("UM", text(A14, "00000"))</f>
      </c>
      <c r="B14" s="1" t="s">
        <v>9678</v>
      </c>
      <c r="C14" s="15">
        <f>XLOOKUP(E14, uom_category!C:C, uom_category!B:B, "Not Found")</f>
      </c>
      <c r="D14" s="13" t="s">
        <v>9673</v>
      </c>
      <c r="E14" s="9">
        <v>35.274</v>
      </c>
      <c r="F14" s="9">
        <v>0.01</v>
      </c>
      <c r="G14" s="8" t="s">
        <v>5524</v>
      </c>
      <c r="H14" s="1" t="s">
        <v>9669</v>
      </c>
      <c r="I14" s="2"/>
      <c r="J14" s="2"/>
      <c r="K14" s="2"/>
      <c r="L14" s="2"/>
    </row>
    <row x14ac:dyDescent="0.25" r="15" customHeight="1" ht="17.25">
      <c r="A15" s="5">
        <f>concatenate("UM", text(A15, "00000"))</f>
      </c>
      <c r="B15" s="1" t="s">
        <v>9679</v>
      </c>
      <c r="C15" s="15">
        <f>XLOOKUP(E15, uom_category!C:C, uom_category!B:B, "Not Found")</f>
      </c>
      <c r="D15" s="13" t="s">
        <v>9673</v>
      </c>
      <c r="E15" s="9">
        <v>39.3701</v>
      </c>
      <c r="F15" s="9">
        <v>0.01</v>
      </c>
      <c r="G15" s="8" t="s">
        <v>5524</v>
      </c>
      <c r="H15" s="1" t="s">
        <v>9669</v>
      </c>
      <c r="I15" s="2"/>
      <c r="J15" s="2"/>
      <c r="K15" s="2"/>
      <c r="L15" s="2"/>
    </row>
    <row x14ac:dyDescent="0.25" r="16" customHeight="1" ht="17.25">
      <c r="A16" s="5">
        <f>concatenate("UM", text(A16, "00000"))</f>
      </c>
      <c r="B16" s="1" t="s">
        <v>9680</v>
      </c>
      <c r="C16" s="15">
        <f>XLOOKUP(E16, uom_category!C:C, uom_category!B:B, "Not Found")</f>
      </c>
      <c r="D16" s="13" t="s">
        <v>9673</v>
      </c>
      <c r="E16" s="9">
        <v>3.28084</v>
      </c>
      <c r="F16" s="9">
        <v>0.01</v>
      </c>
      <c r="G16" s="8" t="s">
        <v>5524</v>
      </c>
      <c r="H16" s="1" t="s">
        <v>9669</v>
      </c>
      <c r="I16" s="2"/>
      <c r="J16" s="2"/>
      <c r="K16" s="2"/>
      <c r="L16" s="2"/>
    </row>
    <row x14ac:dyDescent="0.25" r="17" customHeight="1" ht="17.25">
      <c r="A17" s="5">
        <f>concatenate("UM", text(A17, "00000"))</f>
      </c>
      <c r="B17" s="1" t="s">
        <v>9681</v>
      </c>
      <c r="C17" s="15">
        <f>XLOOKUP(E17, uom_category!C:C, uom_category!B:B, "Not Found")</f>
      </c>
      <c r="D17" s="13" t="s">
        <v>9673</v>
      </c>
      <c r="E17" s="9">
        <v>0.000621372736649806</v>
      </c>
      <c r="F17" s="9">
        <v>0.01</v>
      </c>
      <c r="G17" s="8" t="s">
        <v>5524</v>
      </c>
      <c r="H17" s="1" t="s">
        <v>9666</v>
      </c>
      <c r="I17" s="2"/>
      <c r="J17" s="2"/>
      <c r="K17" s="2"/>
      <c r="L17" s="2"/>
    </row>
    <row x14ac:dyDescent="0.25" r="18" customHeight="1" ht="17.25">
      <c r="A18" s="5">
        <f>concatenate("UM", text(A18, "00000"))</f>
      </c>
      <c r="B18" s="1" t="s">
        <v>9682</v>
      </c>
      <c r="C18" s="15">
        <f>XLOOKUP(E18, uom_category!C:C, uom_category!B:B, "Not Found")</f>
      </c>
      <c r="D18" s="13" t="s">
        <v>9676</v>
      </c>
      <c r="E18" s="9">
        <v>33.814</v>
      </c>
      <c r="F18" s="9">
        <v>0.01</v>
      </c>
      <c r="G18" s="8" t="s">
        <v>5524</v>
      </c>
      <c r="H18" s="1" t="s">
        <v>9669</v>
      </c>
      <c r="I18" s="2"/>
      <c r="J18" s="2"/>
      <c r="K18" s="2"/>
      <c r="L18" s="2"/>
    </row>
    <row x14ac:dyDescent="0.25" r="19" customHeight="1" ht="17.25">
      <c r="A19" s="5">
        <f>concatenate("UM", text(A19, "00000"))</f>
      </c>
      <c r="B19" s="1" t="s">
        <v>9683</v>
      </c>
      <c r="C19" s="15">
        <f>XLOOKUP(E19, uom_category!C:C, uom_category!B:B, "Not Found")</f>
      </c>
      <c r="D19" s="13" t="s">
        <v>9676</v>
      </c>
      <c r="E19" s="9">
        <v>1.05669</v>
      </c>
      <c r="F19" s="9">
        <v>0.01</v>
      </c>
      <c r="G19" s="8" t="s">
        <v>5524</v>
      </c>
      <c r="H19" s="1" t="s">
        <v>9669</v>
      </c>
      <c r="I19" s="2"/>
      <c r="J19" s="2"/>
      <c r="K19" s="2"/>
      <c r="L19" s="2"/>
    </row>
    <row x14ac:dyDescent="0.25" r="20" customHeight="1" ht="17.25">
      <c r="A20" s="5">
        <f>concatenate("UM", text(A20, "00000"))</f>
      </c>
      <c r="B20" s="1" t="s">
        <v>9684</v>
      </c>
      <c r="C20" s="15">
        <f>XLOOKUP(E20, uom_category!C:C, uom_category!B:B, "Not Found")</f>
      </c>
      <c r="D20" s="13" t="s">
        <v>5533</v>
      </c>
      <c r="E20" s="9">
        <v>0.264172176857988</v>
      </c>
      <c r="F20" s="9">
        <v>0.01</v>
      </c>
      <c r="G20" s="8" t="s">
        <v>5524</v>
      </c>
      <c r="H20" s="1" t="s">
        <v>9666</v>
      </c>
      <c r="I20" s="2"/>
      <c r="J20" s="2"/>
      <c r="K20" s="2"/>
      <c r="L20" s="2"/>
    </row>
    <row x14ac:dyDescent="0.25" r="21" customHeight="1" ht="17.25">
      <c r="A21" s="5">
        <f>concatenate("UM", text(A21, "00000"))</f>
      </c>
      <c r="B21" s="1" t="s">
        <v>7696</v>
      </c>
      <c r="C21" s="15">
        <f>XLOOKUP(E21, uom_category!C:C, uom_category!B:B, "Not Found")</f>
      </c>
      <c r="D21" s="13" t="s">
        <v>9685</v>
      </c>
      <c r="E21" s="7">
        <v>1</v>
      </c>
      <c r="F21" s="9">
        <v>0.01</v>
      </c>
      <c r="G21" s="8" t="s">
        <v>5524</v>
      </c>
      <c r="H21" s="1" t="s">
        <v>9666</v>
      </c>
      <c r="I21" s="2"/>
      <c r="J21" s="2"/>
      <c r="K21" s="2"/>
      <c r="L21" s="2"/>
    </row>
    <row x14ac:dyDescent="0.25" r="22" customHeight="1" ht="17.25">
      <c r="A22" s="5">
        <f>concatenate("UM", text(A22, "00000"))</f>
      </c>
      <c r="B22" s="1" t="s">
        <v>5523</v>
      </c>
      <c r="C22" s="15">
        <f>XLOOKUP(E22, uom_category!C:C, uom_category!B:B, "Not Found")</f>
      </c>
      <c r="D22" s="13" t="s">
        <v>9685</v>
      </c>
      <c r="E22" s="7">
        <v>1</v>
      </c>
      <c r="F22" s="7">
        <v>1</v>
      </c>
      <c r="G22" s="8" t="s">
        <v>5524</v>
      </c>
      <c r="H22" s="1" t="s">
        <v>9666</v>
      </c>
      <c r="I22" s="2"/>
      <c r="J22" s="2"/>
      <c r="K22" s="2"/>
      <c r="L22" s="2"/>
    </row>
    <row x14ac:dyDescent="0.25" r="23" customHeight="1" ht="17.25">
      <c r="A23" s="5">
        <f>concatenate("UM", text(A23, "00000"))</f>
      </c>
      <c r="B23" s="1" t="s">
        <v>6186</v>
      </c>
      <c r="C23" s="15">
        <f>XLOOKUP(E23, uom_category!C:C, uom_category!B:B, "Not Found")</f>
      </c>
      <c r="D23" s="13" t="s">
        <v>9686</v>
      </c>
      <c r="E23" s="9">
        <v>0.5</v>
      </c>
      <c r="F23" s="9">
        <v>0.1</v>
      </c>
      <c r="G23" s="8" t="s">
        <v>5524</v>
      </c>
      <c r="H23" s="1" t="s">
        <v>9666</v>
      </c>
      <c r="I23" s="2"/>
      <c r="J23" s="2"/>
      <c r="K23" s="2"/>
      <c r="L23" s="2"/>
    </row>
    <row x14ac:dyDescent="0.25" r="24" customHeight="1" ht="17.25">
      <c r="A24" s="5">
        <f>concatenate("UM", text(A24, "00000"))</f>
      </c>
      <c r="B24" s="1" t="s">
        <v>5622</v>
      </c>
      <c r="C24" s="15">
        <f>XLOOKUP(E24, uom_category!C:C, uom_category!B:B, "Not Found")</f>
      </c>
      <c r="D24" s="13" t="s">
        <v>9686</v>
      </c>
      <c r="E24" s="9">
        <v>0.4</v>
      </c>
      <c r="F24" s="7">
        <v>1</v>
      </c>
      <c r="G24" s="8" t="s">
        <v>5524</v>
      </c>
      <c r="H24" s="1" t="s">
        <v>9669</v>
      </c>
      <c r="I24" s="2"/>
      <c r="J24" s="2"/>
      <c r="K24" s="2"/>
      <c r="L24" s="2"/>
    </row>
    <row x14ac:dyDescent="0.25" r="25" customHeight="1" ht="17.25">
      <c r="A25" s="5">
        <f>concatenate("UM", text(A25, "00000"))</f>
      </c>
      <c r="B25" s="1" t="s">
        <v>9687</v>
      </c>
      <c r="C25" s="15">
        <f>XLOOKUP(E25, uom_category!C:C, uom_category!B:B, "Not Found")</f>
      </c>
      <c r="D25" s="13" t="s">
        <v>5539</v>
      </c>
      <c r="E25" s="7">
        <v>1</v>
      </c>
      <c r="F25" s="7">
        <v>1</v>
      </c>
      <c r="G25" s="8" t="s">
        <v>5524</v>
      </c>
      <c r="H25" s="1" t="s">
        <v>9664</v>
      </c>
      <c r="I25" s="2"/>
      <c r="J25" s="2"/>
      <c r="K25" s="2"/>
      <c r="L25" s="2"/>
    </row>
    <row x14ac:dyDescent="0.25" r="26" customHeight="1" ht="17.25">
      <c r="A26" s="5">
        <f>concatenate("UM", text(A26, "00000"))</f>
      </c>
      <c r="B26" s="1" t="s">
        <v>5542</v>
      </c>
      <c r="C26" s="15">
        <f>XLOOKUP(E26, uom_category!C:C, uom_category!B:B, "Not Found")</f>
      </c>
      <c r="D26" s="13" t="s">
        <v>5539</v>
      </c>
      <c r="E26" s="9">
        <v>0.01</v>
      </c>
      <c r="F26" s="7">
        <v>1</v>
      </c>
      <c r="G26" s="8" t="s">
        <v>5524</v>
      </c>
      <c r="H26" s="1" t="s">
        <v>9666</v>
      </c>
      <c r="I26" s="2"/>
      <c r="J26" s="2"/>
      <c r="K26" s="2"/>
      <c r="L26" s="2"/>
    </row>
    <row x14ac:dyDescent="0.25" r="27" customHeight="1" ht="17.25">
      <c r="A27" s="5">
        <f>concatenate("UM", text(A27, "00000"))</f>
      </c>
      <c r="B27" s="1" t="s">
        <v>5581</v>
      </c>
      <c r="C27" s="15">
        <f>XLOOKUP(E27, uom_category!C:C, uom_category!B:B, "Not Found")</f>
      </c>
      <c r="D27" s="13" t="s">
        <v>5539</v>
      </c>
      <c r="E27" s="9">
        <v>0.001</v>
      </c>
      <c r="F27" s="9">
        <v>0.0001</v>
      </c>
      <c r="G27" s="8" t="s">
        <v>5524</v>
      </c>
      <c r="H27" s="1" t="s">
        <v>9666</v>
      </c>
      <c r="I27" s="2"/>
      <c r="J27" s="2"/>
      <c r="K27" s="2"/>
      <c r="L27" s="2"/>
    </row>
    <row x14ac:dyDescent="0.25" r="28" customHeight="1" ht="17.25">
      <c r="A28" s="5">
        <f>concatenate("UM", text(A28, "00000"))</f>
      </c>
      <c r="B28" s="1" t="s">
        <v>5537</v>
      </c>
      <c r="C28" s="15">
        <f>XLOOKUP(E28, uom_category!C:C, uom_category!B:B, "Not Found")</f>
      </c>
      <c r="D28" s="13" t="s">
        <v>5539</v>
      </c>
      <c r="E28" s="7">
        <v>1</v>
      </c>
      <c r="F28" s="9">
        <v>0.01</v>
      </c>
      <c r="G28" s="8" t="s">
        <v>5524</v>
      </c>
      <c r="H28" s="1" t="s">
        <v>9669</v>
      </c>
      <c r="I28" s="2"/>
      <c r="J28" s="2"/>
      <c r="K28" s="2"/>
      <c r="L28" s="2"/>
    </row>
    <row x14ac:dyDescent="0.25" r="29" customHeight="1" ht="17.25">
      <c r="A29" s="5">
        <f>concatenate("UM", text(A29, "00000"))</f>
      </c>
      <c r="B29" s="1" t="s">
        <v>5602</v>
      </c>
      <c r="C29" s="15">
        <f>XLOOKUP(E29, uom_category!C:C, uom_category!B:B, "Not Found")</f>
      </c>
      <c r="D29" s="13" t="s">
        <v>9685</v>
      </c>
      <c r="E29" s="7">
        <v>1</v>
      </c>
      <c r="F29" s="9">
        <v>0.01</v>
      </c>
      <c r="G29" s="8" t="s">
        <v>5524</v>
      </c>
      <c r="H29" s="1" t="s">
        <v>9666</v>
      </c>
      <c r="I29" s="2"/>
      <c r="J29" s="2"/>
      <c r="K29" s="2"/>
      <c r="L29" s="2"/>
    </row>
    <row x14ac:dyDescent="0.25" r="30" customHeight="1" ht="17.25">
      <c r="A30" s="5">
        <f>concatenate("UM", text(A30, "00000"))</f>
      </c>
      <c r="B30" s="1" t="s">
        <v>5722</v>
      </c>
      <c r="C30" s="15">
        <f>XLOOKUP(E30, uom_category!C:C, uom_category!B:B, "Not Found")</f>
      </c>
      <c r="D30" s="13" t="s">
        <v>9686</v>
      </c>
      <c r="E30" s="9">
        <v>0.0666666666666666</v>
      </c>
      <c r="F30" s="9">
        <v>0.01</v>
      </c>
      <c r="G30" s="8" t="s">
        <v>5524</v>
      </c>
      <c r="H30" s="1" t="s">
        <v>9666</v>
      </c>
      <c r="I30" s="2"/>
      <c r="J30" s="2"/>
      <c r="K30" s="2"/>
      <c r="L30" s="2"/>
    </row>
    <row x14ac:dyDescent="0.25" r="31" customHeight="1" ht="17.25">
      <c r="A31" s="5">
        <f>concatenate("UM", text(A31, "00000"))</f>
      </c>
      <c r="B31" s="1" t="s">
        <v>5625</v>
      </c>
      <c r="C31" s="15">
        <f>XLOOKUP(E31, uom_category!C:C, uom_category!B:B, "Not Found")</f>
      </c>
      <c r="D31" s="13" t="s">
        <v>9685</v>
      </c>
      <c r="E31" s="7">
        <v>1</v>
      </c>
      <c r="F31" s="7">
        <v>1</v>
      </c>
      <c r="G31" s="8" t="s">
        <v>5524</v>
      </c>
      <c r="H31" s="1" t="s">
        <v>9664</v>
      </c>
      <c r="I31" s="2"/>
      <c r="J31" s="2"/>
      <c r="K31" s="2"/>
      <c r="L31" s="2"/>
    </row>
    <row x14ac:dyDescent="0.25" r="32" customHeight="1" ht="17.25">
      <c r="A32" s="5">
        <f>concatenate("UM", text(A32, "00000"))</f>
      </c>
      <c r="B32" s="1" t="s">
        <v>5604</v>
      </c>
      <c r="C32" s="15">
        <f>XLOOKUP(E32, uom_category!C:C, uom_category!B:B, "Not Found")</f>
      </c>
      <c r="D32" s="13" t="s">
        <v>9686</v>
      </c>
      <c r="E32" s="7">
        <v>1</v>
      </c>
      <c r="F32" s="9">
        <v>0.01</v>
      </c>
      <c r="G32" s="8" t="s">
        <v>5524</v>
      </c>
      <c r="H32" s="1" t="s">
        <v>9666</v>
      </c>
      <c r="I32" s="2"/>
      <c r="J32" s="2"/>
      <c r="K32" s="2"/>
      <c r="L32" s="2"/>
    </row>
    <row x14ac:dyDescent="0.25" r="33" customHeight="1" ht="17.25">
      <c r="A33" s="5">
        <f>concatenate("UM", text(A33, "00000"))</f>
      </c>
      <c r="B33" s="1" t="s">
        <v>7840</v>
      </c>
      <c r="C33" s="15">
        <f>XLOOKUP(E33, uom_category!C:C, uom_category!B:B, "Not Found")</f>
      </c>
      <c r="D33" s="13" t="s">
        <v>9686</v>
      </c>
      <c r="E33" s="7">
        <v>1</v>
      </c>
      <c r="F33" s="9">
        <v>0.01</v>
      </c>
      <c r="G33" s="8" t="s">
        <v>5524</v>
      </c>
      <c r="H33" s="1" t="s">
        <v>9666</v>
      </c>
      <c r="I33" s="2"/>
      <c r="J33" s="2"/>
      <c r="K33" s="2"/>
      <c r="L33" s="2"/>
    </row>
    <row x14ac:dyDescent="0.25" r="34" customHeight="1" ht="17.25">
      <c r="A34" s="5">
        <f>concatenate("UM", text(A34, "00000"))</f>
      </c>
      <c r="B34" s="1" t="s">
        <v>6691</v>
      </c>
      <c r="C34" s="15">
        <f>XLOOKUP(E34, uom_category!C:C, uom_category!B:B, "Not Found")</f>
      </c>
      <c r="D34" s="13" t="s">
        <v>9686</v>
      </c>
      <c r="E34" s="7">
        <v>1</v>
      </c>
      <c r="F34" s="9">
        <v>0.01</v>
      </c>
      <c r="G34" s="8" t="s">
        <v>5524</v>
      </c>
      <c r="H34" s="1" t="s">
        <v>9666</v>
      </c>
      <c r="I34" s="2"/>
      <c r="J34" s="2"/>
      <c r="K34" s="2"/>
      <c r="L34" s="2"/>
    </row>
    <row x14ac:dyDescent="0.25" r="35" customHeight="1" ht="17.25">
      <c r="A35" s="5">
        <f>concatenate("UM", text(A35, "00000"))</f>
      </c>
      <c r="B35" s="1" t="s">
        <v>5620</v>
      </c>
      <c r="C35" s="15">
        <f>XLOOKUP(E35, uom_category!C:C, uom_category!B:B, "Not Found")</f>
      </c>
      <c r="D35" s="13" t="s">
        <v>9686</v>
      </c>
      <c r="E35" s="9">
        <v>0.714285714285714</v>
      </c>
      <c r="F35" s="9">
        <v>0.01</v>
      </c>
      <c r="G35" s="8" t="s">
        <v>5524</v>
      </c>
      <c r="H35" s="1" t="s">
        <v>9666</v>
      </c>
      <c r="I35" s="2"/>
      <c r="J35" s="2"/>
      <c r="K35" s="2"/>
      <c r="L35" s="2"/>
    </row>
    <row x14ac:dyDescent="0.25" r="36" customHeight="1" ht="17.25">
      <c r="A36" s="5">
        <f>concatenate("UM", text(A36, "00000"))</f>
      </c>
      <c r="B36" s="1" t="s">
        <v>9425</v>
      </c>
      <c r="C36" s="15">
        <f>XLOOKUP(E36, uom_category!C:C, uom_category!B:B, "Not Found")</f>
      </c>
      <c r="D36" s="13" t="s">
        <v>9686</v>
      </c>
      <c r="E36" s="9">
        <v>0.357142857142857</v>
      </c>
      <c r="F36" s="9">
        <v>0.01</v>
      </c>
      <c r="G36" s="8" t="s">
        <v>5524</v>
      </c>
      <c r="H36" s="1" t="s">
        <v>9666</v>
      </c>
      <c r="I36" s="2"/>
      <c r="J36" s="2"/>
      <c r="K36" s="2"/>
      <c r="L36" s="2"/>
    </row>
    <row x14ac:dyDescent="0.25" r="37" customHeight="1" ht="17.25">
      <c r="A37" s="5">
        <f>concatenate("UM", text(A37, "00000"))</f>
      </c>
      <c r="B37" s="1" t="s">
        <v>5661</v>
      </c>
      <c r="C37" s="15">
        <f>XLOOKUP(E37, uom_category!C:C, uom_category!B:B, "Not Found")</f>
      </c>
      <c r="D37" s="13" t="s">
        <v>9686</v>
      </c>
      <c r="E37" s="9">
        <v>1.20004800192007</v>
      </c>
      <c r="F37" s="7">
        <v>1</v>
      </c>
      <c r="G37" s="8" t="s">
        <v>5524</v>
      </c>
      <c r="H37" s="1" t="s">
        <v>9666</v>
      </c>
      <c r="I37" s="2"/>
      <c r="J37" s="2"/>
      <c r="K37" s="2"/>
      <c r="L37" s="2"/>
    </row>
    <row x14ac:dyDescent="0.25" r="38" customHeight="1" ht="17.25">
      <c r="A38" s="5">
        <f>concatenate("UM", text(A38, "00000"))</f>
      </c>
      <c r="B38" s="1" t="s">
        <v>5510</v>
      </c>
      <c r="C38" s="15">
        <f>XLOOKUP(E38, uom_category!C:C, uom_category!B:B, "Not Found")</f>
      </c>
      <c r="D38" s="13" t="s">
        <v>9685</v>
      </c>
      <c r="E38" s="7">
        <v>1</v>
      </c>
      <c r="F38" s="9">
        <v>0.01</v>
      </c>
      <c r="G38" s="8" t="s">
        <v>5524</v>
      </c>
      <c r="H38" s="1" t="s">
        <v>9664</v>
      </c>
      <c r="I38" s="2"/>
      <c r="J38" s="2"/>
      <c r="K38" s="2"/>
      <c r="L38" s="2"/>
    </row>
    <row x14ac:dyDescent="0.25" r="39" customHeight="1" ht="17.25">
      <c r="A39" s="5">
        <f>concatenate("UM", text(A39, "00000"))</f>
      </c>
      <c r="B39" s="1" t="s">
        <v>7212</v>
      </c>
      <c r="C39" s="15">
        <f>XLOOKUP(E39, uom_category!C:C, uom_category!B:B, "Not Found")</f>
      </c>
      <c r="D39" s="13" t="s">
        <v>9685</v>
      </c>
      <c r="E39" s="7">
        <v>1</v>
      </c>
      <c r="F39" s="9">
        <v>0.01</v>
      </c>
      <c r="G39" s="8" t="s">
        <v>5524</v>
      </c>
      <c r="H39" s="1" t="s">
        <v>9666</v>
      </c>
      <c r="I39" s="2"/>
      <c r="J39" s="2"/>
      <c r="K39" s="2"/>
      <c r="L39" s="2"/>
    </row>
    <row x14ac:dyDescent="0.25" r="40" customHeight="1" ht="17.25">
      <c r="A40" s="5">
        <f>concatenate("UM", text(A40, "00000"))</f>
      </c>
      <c r="B40" s="1" t="s">
        <v>9140</v>
      </c>
      <c r="C40" s="15">
        <f>XLOOKUP(E40, uom_category!C:C, uom_category!B:B, "Not Found")</f>
      </c>
      <c r="D40" s="13" t="s">
        <v>9686</v>
      </c>
      <c r="E40" s="9">
        <v>0.5</v>
      </c>
      <c r="F40" s="9">
        <v>0.01</v>
      </c>
      <c r="G40" s="8" t="s">
        <v>5524</v>
      </c>
      <c r="H40" s="1" t="s">
        <v>9666</v>
      </c>
      <c r="I40" s="2"/>
      <c r="J40" s="2"/>
      <c r="K40" s="2"/>
      <c r="L40" s="2"/>
    </row>
    <row x14ac:dyDescent="0.25" r="41" customHeight="1" ht="17.25">
      <c r="A41" s="5">
        <f>concatenate("UM", text(A41, "00000"))</f>
      </c>
      <c r="B41" s="1" t="s">
        <v>5544</v>
      </c>
      <c r="C41" s="15">
        <f>XLOOKUP(E41, uom_category!C:C, uom_category!B:B, "Not Found")</f>
      </c>
      <c r="D41" s="13" t="s">
        <v>9686</v>
      </c>
      <c r="E41" s="7">
        <v>1</v>
      </c>
      <c r="F41" s="9">
        <v>0.2</v>
      </c>
      <c r="G41" s="8" t="s">
        <v>5524</v>
      </c>
      <c r="H41" s="1" t="s">
        <v>9664</v>
      </c>
      <c r="I41" s="2"/>
      <c r="J41" s="2"/>
      <c r="K41" s="2"/>
      <c r="L41" s="2"/>
    </row>
    <row x14ac:dyDescent="0.25" r="42" customHeight="1" ht="17.25">
      <c r="A42" s="5">
        <f>concatenate("UM", text(A42, "00000"))</f>
      </c>
      <c r="B42" s="1" t="s">
        <v>9435</v>
      </c>
      <c r="C42" s="15">
        <f>XLOOKUP(E42, uom_category!C:C, uom_category!B:B, "Not Found")</f>
      </c>
      <c r="D42" s="13" t="s">
        <v>9686</v>
      </c>
      <c r="E42" s="7">
        <v>1</v>
      </c>
      <c r="F42" s="9">
        <v>0.1</v>
      </c>
      <c r="G42" s="8" t="s">
        <v>5524</v>
      </c>
      <c r="H42" s="1" t="s">
        <v>9666</v>
      </c>
      <c r="I42" s="2"/>
      <c r="J42" s="2"/>
      <c r="K42" s="2"/>
      <c r="L42" s="2"/>
    </row>
    <row x14ac:dyDescent="0.25" r="43" customHeight="1" ht="17.25">
      <c r="A43" s="5">
        <f>concatenate("UM", text(A43, "00000"))</f>
      </c>
      <c r="B43" s="1" t="s">
        <v>7989</v>
      </c>
      <c r="C43" s="15">
        <f>XLOOKUP(E43, uom_category!C:C, uom_category!B:B, "Not Found")</f>
      </c>
      <c r="D43" s="13" t="s">
        <v>9686</v>
      </c>
      <c r="E43" s="7">
        <v>1</v>
      </c>
      <c r="F43" s="7">
        <v>1</v>
      </c>
      <c r="G43" s="8" t="s">
        <v>5524</v>
      </c>
      <c r="H43" s="1" t="s">
        <v>9666</v>
      </c>
      <c r="I43" s="2"/>
      <c r="J43" s="2"/>
      <c r="K43" s="2"/>
      <c r="L43" s="2"/>
    </row>
    <row x14ac:dyDescent="0.25" r="44" customHeight="1" ht="17.25">
      <c r="A44" s="5">
        <f>concatenate("UM", text(A44, "00000"))</f>
      </c>
      <c r="B44" s="1" t="s">
        <v>9402</v>
      </c>
      <c r="C44" s="15">
        <f>XLOOKUP(E44, uom_category!C:C, uom_category!B:B, "Not Found")</f>
      </c>
      <c r="D44" s="13" t="s">
        <v>9685</v>
      </c>
      <c r="E44" s="7">
        <v>1</v>
      </c>
      <c r="F44" s="7">
        <v>1</v>
      </c>
      <c r="G44" s="8" t="s">
        <v>5524</v>
      </c>
      <c r="H44" s="1" t="s">
        <v>9664</v>
      </c>
      <c r="I44" s="2"/>
      <c r="J44" s="2"/>
      <c r="K44" s="2"/>
      <c r="L44" s="2"/>
    </row>
    <row x14ac:dyDescent="0.25" r="45" customHeight="1" ht="17.25">
      <c r="A45" s="5">
        <f>concatenate("UM", text(A45, "00000"))</f>
      </c>
      <c r="B45" s="1" t="s">
        <v>9688</v>
      </c>
      <c r="C45" s="15">
        <f>XLOOKUP(E45, uom_category!C:C, uom_category!B:B, "Not Found")</f>
      </c>
      <c r="D45" s="13" t="s">
        <v>9685</v>
      </c>
      <c r="E45" s="7">
        <v>1</v>
      </c>
      <c r="F45" s="9">
        <v>0.01</v>
      </c>
      <c r="G45" s="8" t="s">
        <v>5524</v>
      </c>
      <c r="H45" s="1" t="s">
        <v>9666</v>
      </c>
      <c r="I45" s="2"/>
      <c r="J45" s="2"/>
      <c r="K45" s="2"/>
      <c r="L45" s="2"/>
    </row>
    <row x14ac:dyDescent="0.25" r="46" customHeight="1" ht="17.25">
      <c r="A46" s="5">
        <f>concatenate("UM", text(A46, "00000"))</f>
      </c>
      <c r="B46" s="1" t="s">
        <v>9200</v>
      </c>
      <c r="C46" s="15">
        <f>XLOOKUP(E46, uom_category!C:C, uom_category!B:B, "Not Found")</f>
      </c>
      <c r="D46" s="13" t="s">
        <v>9689</v>
      </c>
      <c r="E46" s="7">
        <v>1</v>
      </c>
      <c r="F46" s="9">
        <v>0.01</v>
      </c>
      <c r="G46" s="8" t="s">
        <v>5524</v>
      </c>
      <c r="H46" s="1" t="s">
        <v>9666</v>
      </c>
      <c r="I46" s="2"/>
      <c r="J46" s="2"/>
      <c r="K46" s="2"/>
      <c r="L46" s="2"/>
    </row>
    <row x14ac:dyDescent="0.25" r="47" customHeight="1" ht="17.25">
      <c r="A47" s="5">
        <f>concatenate("UM", text(A47, "00000"))</f>
      </c>
      <c r="B47" s="1" t="s">
        <v>9220</v>
      </c>
      <c r="C47" s="15">
        <f>XLOOKUP(E47, uom_category!C:C, uom_category!B:B, "Not Found")</f>
      </c>
      <c r="D47" s="13" t="s">
        <v>9689</v>
      </c>
      <c r="E47" s="7">
        <v>1</v>
      </c>
      <c r="F47" s="9">
        <v>0.01</v>
      </c>
      <c r="G47" s="8" t="s">
        <v>5524</v>
      </c>
      <c r="H47" s="1" t="s">
        <v>9666</v>
      </c>
      <c r="I47" s="2"/>
      <c r="J47" s="2"/>
      <c r="K47" s="2"/>
      <c r="L47" s="2"/>
    </row>
    <row x14ac:dyDescent="0.25" r="48" customHeight="1" ht="17.25">
      <c r="A48" s="5">
        <f>concatenate("UM", text(A48, "00000"))</f>
      </c>
      <c r="B48" s="1" t="s">
        <v>9549</v>
      </c>
      <c r="C48" s="15">
        <f>XLOOKUP(E48, uom_category!C:C, uom_category!B:B, "Not Found")</f>
      </c>
      <c r="D48" s="13" t="s">
        <v>9686</v>
      </c>
      <c r="E48" s="7">
        <v>1</v>
      </c>
      <c r="F48" s="9">
        <v>0.01</v>
      </c>
      <c r="G48" s="8" t="s">
        <v>5524</v>
      </c>
      <c r="H48" s="1" t="s">
        <v>9666</v>
      </c>
      <c r="I48" s="2"/>
      <c r="J48" s="2"/>
      <c r="K48" s="2"/>
      <c r="L48" s="2"/>
    </row>
    <row x14ac:dyDescent="0.25" r="49" customHeight="1" ht="17.25">
      <c r="A49" s="5">
        <f>concatenate("UM", text(A49, "00000"))</f>
      </c>
      <c r="B49" s="1" t="s">
        <v>6689</v>
      </c>
      <c r="C49" s="15">
        <f>XLOOKUP(E49, uom_category!C:C, uom_category!B:B, "Not Found")</f>
      </c>
      <c r="D49" s="13" t="s">
        <v>9685</v>
      </c>
      <c r="E49" s="7">
        <v>1</v>
      </c>
      <c r="F49" s="9">
        <v>0.01</v>
      </c>
      <c r="G49" s="8" t="s">
        <v>5524</v>
      </c>
      <c r="H49" s="1" t="s">
        <v>9664</v>
      </c>
      <c r="I49" s="2"/>
      <c r="J49" s="2"/>
      <c r="K49" s="2"/>
      <c r="L49" s="2"/>
    </row>
    <row x14ac:dyDescent="0.25" r="50" customHeight="1" ht="17.25">
      <c r="A50" s="5">
        <f>concatenate("UM", text(A50, "00000"))</f>
      </c>
      <c r="B50" s="1" t="s">
        <v>6229</v>
      </c>
      <c r="C50" s="15">
        <f>XLOOKUP(E50, uom_category!C:C, uom_category!B:B, "Not Found")</f>
      </c>
      <c r="D50" s="13" t="s">
        <v>9673</v>
      </c>
      <c r="E50" s="7">
        <v>1</v>
      </c>
      <c r="F50" s="9">
        <v>0.01</v>
      </c>
      <c r="G50" s="8" t="s">
        <v>5524</v>
      </c>
      <c r="H50" s="1" t="s">
        <v>9666</v>
      </c>
      <c r="I50" s="2"/>
      <c r="J50" s="2"/>
      <c r="K50" s="2"/>
      <c r="L50" s="2"/>
    </row>
    <row x14ac:dyDescent="0.25" r="51" customHeight="1" ht="17.25">
      <c r="A51" s="5">
        <f>concatenate("UM", text(A51, "00000"))</f>
      </c>
      <c r="B51" s="1" t="s">
        <v>9498</v>
      </c>
      <c r="C51" s="15">
        <f>XLOOKUP(E51, uom_category!C:C, uom_category!B:B, "Not Found")</f>
      </c>
      <c r="D51" s="13" t="s">
        <v>9673</v>
      </c>
      <c r="E51" s="7">
        <v>1</v>
      </c>
      <c r="F51" s="9">
        <v>0.01</v>
      </c>
      <c r="G51" s="8" t="s">
        <v>5524</v>
      </c>
      <c r="H51" s="1" t="s">
        <v>9666</v>
      </c>
      <c r="I51" s="2"/>
      <c r="J51" s="2"/>
      <c r="K51" s="2"/>
      <c r="L51" s="2"/>
    </row>
    <row x14ac:dyDescent="0.25" r="52" customHeight="1" ht="17.25">
      <c r="A52" s="5">
        <f>concatenate("UM", text(A52, "00000"))</f>
      </c>
      <c r="B52" s="1" t="s">
        <v>9572</v>
      </c>
      <c r="C52" s="15">
        <f>XLOOKUP(E52, uom_category!C:C, uom_category!B:B, "Not Found")</f>
      </c>
      <c r="D52" s="13" t="s">
        <v>9686</v>
      </c>
      <c r="E52" s="7">
        <v>1</v>
      </c>
      <c r="F52" s="9">
        <v>0.01</v>
      </c>
      <c r="G52" s="8" t="s">
        <v>5524</v>
      </c>
      <c r="H52" s="1" t="s">
        <v>9666</v>
      </c>
      <c r="I52" s="2"/>
      <c r="J52" s="2"/>
      <c r="K52" s="2"/>
      <c r="L52" s="2"/>
    </row>
    <row x14ac:dyDescent="0.25" r="53" customHeight="1" ht="17.25">
      <c r="A53" s="5">
        <f>concatenate("UM", text(A53, "00000"))</f>
      </c>
      <c r="B53" s="1" t="s">
        <v>5899</v>
      </c>
      <c r="C53" s="15">
        <f>XLOOKUP(E53, uom_category!C:C, uom_category!B:B, "Not Found")</f>
      </c>
      <c r="D53" s="13" t="s">
        <v>9686</v>
      </c>
      <c r="E53" s="7">
        <v>10</v>
      </c>
      <c r="F53" s="9">
        <v>0.01</v>
      </c>
      <c r="G53" s="8" t="s">
        <v>5524</v>
      </c>
      <c r="H53" s="1" t="s">
        <v>9669</v>
      </c>
      <c r="I53" s="2"/>
      <c r="J53" s="2"/>
      <c r="K53" s="2"/>
      <c r="L53" s="2"/>
    </row>
    <row x14ac:dyDescent="0.25" r="54" customHeight="1" ht="17.25">
      <c r="A54" s="5">
        <f>concatenate("UM", text(A54, "00000"))</f>
      </c>
      <c r="B54" s="1" t="s">
        <v>5618</v>
      </c>
      <c r="C54" s="15">
        <f>XLOOKUP(E54, uom_category!C:C, uom_category!B:B, "Not Found")</f>
      </c>
      <c r="D54" s="13" t="s">
        <v>9685</v>
      </c>
      <c r="E54" s="7">
        <v>1</v>
      </c>
      <c r="F54" s="9">
        <v>0.01</v>
      </c>
      <c r="G54" s="8" t="s">
        <v>5524</v>
      </c>
      <c r="H54" s="1" t="s">
        <v>9666</v>
      </c>
      <c r="I54" s="2"/>
      <c r="J54" s="2"/>
      <c r="K54" s="2"/>
      <c r="L54" s="2"/>
    </row>
    <row x14ac:dyDescent="0.25" r="55" customHeight="1" ht="17.25">
      <c r="A55" s="5">
        <f>concatenate("UM", text(A55, "00000"))</f>
      </c>
      <c r="B55" s="1" t="s">
        <v>9393</v>
      </c>
      <c r="C55" s="15">
        <f>XLOOKUP(E55, uom_category!C:C, uom_category!B:B, "Not Found")</f>
      </c>
      <c r="D55" s="13" t="s">
        <v>9686</v>
      </c>
      <c r="E55" s="9">
        <v>0.0333333333333333</v>
      </c>
      <c r="F55" s="9">
        <v>0.01</v>
      </c>
      <c r="G55" s="8" t="s">
        <v>5524</v>
      </c>
      <c r="H55" s="1" t="s">
        <v>9666</v>
      </c>
      <c r="I55" s="2"/>
      <c r="J55" s="2"/>
      <c r="K55" s="2"/>
      <c r="L55" s="2"/>
    </row>
    <row x14ac:dyDescent="0.25" r="56" customHeight="1" ht="17.25">
      <c r="A56" s="5">
        <f>concatenate("UM", text(A56, "00000"))</f>
      </c>
      <c r="B56" s="1" t="s">
        <v>9631</v>
      </c>
      <c r="C56" s="15">
        <f>XLOOKUP(E56, uom_category!C:C, uom_category!B:B, "Not Found")</f>
      </c>
      <c r="D56" s="13" t="s">
        <v>9685</v>
      </c>
      <c r="E56" s="7">
        <v>1</v>
      </c>
      <c r="F56" s="9">
        <v>0.01</v>
      </c>
      <c r="G56" s="8" t="s">
        <v>5524</v>
      </c>
      <c r="H56" s="1" t="s">
        <v>9666</v>
      </c>
      <c r="I56" s="2"/>
      <c r="J56" s="2"/>
      <c r="K56" s="2"/>
      <c r="L56" s="2"/>
    </row>
    <row x14ac:dyDescent="0.25" r="57" customHeight="1" ht="17.25">
      <c r="A57" s="2"/>
      <c r="B57" s="2"/>
      <c r="C57" s="2"/>
      <c r="D57" s="13"/>
      <c r="E57" s="10"/>
      <c r="F57" s="16"/>
      <c r="G57" s="2"/>
      <c r="H57" s="2"/>
      <c r="I57" s="2"/>
      <c r="J57" s="2"/>
      <c r="K57" s="2"/>
      <c r="L57" s="2"/>
    </row>
    <row x14ac:dyDescent="0.25" r="58" customHeight="1" ht="17.25">
      <c r="A58" s="2"/>
      <c r="B58" s="2"/>
      <c r="C58" s="2"/>
      <c r="D58" s="13"/>
      <c r="E58" s="10"/>
      <c r="F58" s="16"/>
      <c r="G58" s="2"/>
      <c r="H58" s="2"/>
      <c r="I58" s="2"/>
      <c r="J58" s="2"/>
      <c r="K58" s="2"/>
      <c r="L58" s="2"/>
    </row>
    <row x14ac:dyDescent="0.25" r="59" customHeight="1" ht="17.25">
      <c r="A59" s="2"/>
      <c r="B59" s="2"/>
      <c r="C59" s="2"/>
      <c r="D59" s="13"/>
      <c r="E59" s="10"/>
      <c r="F59" s="16"/>
      <c r="G59" s="2"/>
      <c r="H59" s="2"/>
      <c r="I59" s="2"/>
      <c r="J59" s="2"/>
      <c r="K59" s="2"/>
      <c r="L59" s="2"/>
    </row>
    <row x14ac:dyDescent="0.25" r="60" customHeight="1" ht="17.25">
      <c r="A60" s="2"/>
      <c r="B60" s="2"/>
      <c r="C60" s="2"/>
      <c r="D60" s="13"/>
      <c r="E60" s="10"/>
      <c r="F60" s="16"/>
      <c r="G60" s="2"/>
      <c r="H60" s="2"/>
      <c r="I60" s="2"/>
      <c r="J60" s="2"/>
      <c r="K60" s="2"/>
      <c r="L60" s="2"/>
    </row>
    <row x14ac:dyDescent="0.25" r="61" customHeight="1" ht="17.25">
      <c r="A61" s="2"/>
      <c r="B61" s="2"/>
      <c r="C61" s="2"/>
      <c r="D61" s="13"/>
      <c r="E61" s="10"/>
      <c r="F61" s="16"/>
      <c r="G61" s="2"/>
      <c r="H61" s="2"/>
      <c r="I61" s="2"/>
      <c r="J61" s="2"/>
      <c r="K61" s="2"/>
      <c r="L61" s="2"/>
    </row>
    <row x14ac:dyDescent="0.25" r="62" customHeight="1" ht="17.25">
      <c r="A62" s="2"/>
      <c r="B62" s="2"/>
      <c r="C62" s="2"/>
      <c r="D62" s="13"/>
      <c r="E62" s="10"/>
      <c r="F62" s="16"/>
      <c r="G62" s="2"/>
      <c r="H62" s="2"/>
      <c r="I62" s="2"/>
      <c r="J62" s="2"/>
      <c r="K62" s="2"/>
      <c r="L62" s="2"/>
    </row>
    <row x14ac:dyDescent="0.25" r="63" customHeight="1" ht="17.25">
      <c r="A63" s="2"/>
      <c r="B63" s="2"/>
      <c r="C63" s="2"/>
      <c r="D63" s="13"/>
      <c r="E63" s="10"/>
      <c r="F63" s="16"/>
      <c r="G63" s="2"/>
      <c r="H63" s="2"/>
      <c r="I63" s="2"/>
      <c r="J63" s="2"/>
      <c r="K63" s="2"/>
      <c r="L63" s="2"/>
    </row>
    <row x14ac:dyDescent="0.25" r="64" customHeight="1" ht="17.25">
      <c r="A64" s="2"/>
      <c r="B64" s="2"/>
      <c r="C64" s="2"/>
      <c r="D64" s="13"/>
      <c r="E64" s="10"/>
      <c r="F64" s="16"/>
      <c r="G64" s="2"/>
      <c r="H64" s="2"/>
      <c r="I64" s="2"/>
      <c r="J64" s="2"/>
      <c r="K64" s="2"/>
      <c r="L64" s="2"/>
    </row>
    <row x14ac:dyDescent="0.25" r="65" customHeight="1" ht="17.25">
      <c r="A65" s="2"/>
      <c r="B65" s="2"/>
      <c r="C65" s="2"/>
      <c r="D65" s="13"/>
      <c r="E65" s="10"/>
      <c r="F65" s="16"/>
      <c r="G65" s="2"/>
      <c r="H65" s="2"/>
      <c r="I65" s="2"/>
      <c r="J65" s="2"/>
      <c r="K65" s="2"/>
      <c r="L65" s="2"/>
    </row>
    <row x14ac:dyDescent="0.25" r="66" customHeight="1" ht="17.25">
      <c r="A66" s="2"/>
      <c r="B66" s="2"/>
      <c r="C66" s="2"/>
      <c r="D66" s="13"/>
      <c r="E66" s="10"/>
      <c r="F66" s="16"/>
      <c r="G66" s="2"/>
      <c r="H66" s="2"/>
      <c r="I66" s="2"/>
      <c r="J66" s="2"/>
      <c r="K66" s="2"/>
      <c r="L66" s="2"/>
    </row>
    <row x14ac:dyDescent="0.25" r="67" customHeight="1" ht="17.25">
      <c r="A67" s="2"/>
      <c r="B67" s="2"/>
      <c r="C67" s="2"/>
      <c r="D67" s="13"/>
      <c r="E67" s="10"/>
      <c r="F67" s="16"/>
      <c r="G67" s="2"/>
      <c r="H67" s="2"/>
      <c r="I67" s="2"/>
      <c r="J67" s="2"/>
      <c r="K67" s="2"/>
      <c r="L67" s="2"/>
    </row>
    <row x14ac:dyDescent="0.25" r="68" customHeight="1" ht="17.25">
      <c r="A68" s="2"/>
      <c r="B68" s="2"/>
      <c r="C68" s="2"/>
      <c r="D68" s="13"/>
      <c r="E68" s="10"/>
      <c r="F68" s="16"/>
      <c r="G68" s="2"/>
      <c r="H68" s="2"/>
      <c r="I68" s="2"/>
      <c r="J68" s="2"/>
      <c r="K68" s="2"/>
      <c r="L68" s="2"/>
    </row>
    <row x14ac:dyDescent="0.25" r="69" customHeight="1" ht="17.25">
      <c r="A69" s="2"/>
      <c r="B69" s="2"/>
      <c r="C69" s="2"/>
      <c r="D69" s="13"/>
      <c r="E69" s="10"/>
      <c r="F69" s="16"/>
      <c r="G69" s="2"/>
      <c r="H69" s="2"/>
      <c r="I69" s="2"/>
      <c r="J69" s="2"/>
      <c r="K69" s="2"/>
      <c r="L69" s="2"/>
    </row>
    <row x14ac:dyDescent="0.25" r="70" customHeight="1" ht="17.25">
      <c r="A70" s="2"/>
      <c r="B70" s="2"/>
      <c r="C70" s="2"/>
      <c r="D70" s="13"/>
      <c r="E70" s="10"/>
      <c r="F70" s="16"/>
      <c r="G70" s="2"/>
      <c r="H70" s="2"/>
      <c r="I70" s="2"/>
      <c r="J70" s="2"/>
      <c r="K70" s="2"/>
      <c r="L70" s="2"/>
    </row>
    <row x14ac:dyDescent="0.25" r="71" customHeight="1" ht="17.25">
      <c r="A71" s="2"/>
      <c r="B71" s="2"/>
      <c r="C71" s="2"/>
      <c r="D71" s="13"/>
      <c r="E71" s="10"/>
      <c r="F71" s="16"/>
      <c r="G71" s="2"/>
      <c r="H71" s="2"/>
      <c r="I71" s="2"/>
      <c r="J71" s="2"/>
      <c r="K71" s="2"/>
      <c r="L71" s="2"/>
    </row>
    <row x14ac:dyDescent="0.25" r="72" customHeight="1" ht="17.25">
      <c r="A72" s="2"/>
      <c r="B72" s="2"/>
      <c r="C72" s="2"/>
      <c r="D72" s="13"/>
      <c r="E72" s="10"/>
      <c r="F72" s="16"/>
      <c r="G72" s="2"/>
      <c r="H72" s="2"/>
      <c r="I72" s="2"/>
      <c r="J72" s="2"/>
      <c r="K72" s="2"/>
      <c r="L72" s="2"/>
    </row>
    <row x14ac:dyDescent="0.25" r="73" customHeight="1" ht="17.25">
      <c r="A73" s="2"/>
      <c r="B73" s="2"/>
      <c r="C73" s="2"/>
      <c r="D73" s="13"/>
      <c r="E73" s="10"/>
      <c r="F73" s="16"/>
      <c r="G73" s="2"/>
      <c r="H73" s="2"/>
      <c r="I73" s="2"/>
      <c r="J73" s="2"/>
      <c r="K73" s="2"/>
      <c r="L73" s="2"/>
    </row>
    <row x14ac:dyDescent="0.25" r="74" customHeight="1" ht="17.25">
      <c r="A74" s="2"/>
      <c r="B74" s="2"/>
      <c r="C74" s="2"/>
      <c r="D74" s="13"/>
      <c r="E74" s="10"/>
      <c r="F74" s="16"/>
      <c r="G74" s="2"/>
      <c r="H74" s="2"/>
      <c r="I74" s="2"/>
      <c r="J74" s="2"/>
      <c r="K74" s="2"/>
      <c r="L74" s="2"/>
    </row>
    <row x14ac:dyDescent="0.25" r="75" customHeight="1" ht="17.25">
      <c r="A75" s="2"/>
      <c r="B75" s="2"/>
      <c r="C75" s="2"/>
      <c r="D75" s="13"/>
      <c r="E75" s="10"/>
      <c r="F75" s="16"/>
      <c r="G75" s="2"/>
      <c r="H75" s="2"/>
      <c r="I75" s="2"/>
      <c r="J75" s="2"/>
      <c r="K75" s="2"/>
      <c r="L75" s="2"/>
    </row>
    <row x14ac:dyDescent="0.25" r="76" customHeight="1" ht="17.25">
      <c r="A76" s="2"/>
      <c r="B76" s="2"/>
      <c r="C76" s="2"/>
      <c r="D76" s="13"/>
      <c r="E76" s="10"/>
      <c r="F76" s="16"/>
      <c r="G76" s="2"/>
      <c r="H76" s="2"/>
      <c r="I76" s="2"/>
      <c r="J76" s="2"/>
      <c r="K76" s="2"/>
      <c r="L76" s="2"/>
    </row>
    <row x14ac:dyDescent="0.25" r="77" customHeight="1" ht="17.25">
      <c r="A77" s="2"/>
      <c r="B77" s="2"/>
      <c r="C77" s="2"/>
      <c r="D77" s="13"/>
      <c r="E77" s="10"/>
      <c r="F77" s="16"/>
      <c r="G77" s="2"/>
      <c r="H77" s="2"/>
      <c r="I77" s="2"/>
      <c r="J77" s="2"/>
      <c r="K77" s="2"/>
      <c r="L77" s="2"/>
    </row>
    <row x14ac:dyDescent="0.25" r="78" customHeight="1" ht="17.25">
      <c r="A78" s="2"/>
      <c r="B78" s="2"/>
      <c r="C78" s="2"/>
      <c r="D78" s="13"/>
      <c r="E78" s="10"/>
      <c r="F78" s="16"/>
      <c r="G78" s="2"/>
      <c r="H78" s="2"/>
      <c r="I78" s="2"/>
      <c r="J78" s="2"/>
      <c r="K78" s="2"/>
      <c r="L78" s="2"/>
    </row>
    <row x14ac:dyDescent="0.25" r="79" customHeight="1" ht="17.25">
      <c r="A79" s="2"/>
      <c r="B79" s="2"/>
      <c r="C79" s="2"/>
      <c r="D79" s="13"/>
      <c r="E79" s="10"/>
      <c r="F79" s="16"/>
      <c r="G79" s="2"/>
      <c r="H79" s="2"/>
      <c r="I79" s="2"/>
      <c r="J79" s="2"/>
      <c r="K79" s="2"/>
      <c r="L79" s="2"/>
    </row>
    <row x14ac:dyDescent="0.25" r="80" customHeight="1" ht="17.25">
      <c r="A80" s="2"/>
      <c r="B80" s="2"/>
      <c r="C80" s="2"/>
      <c r="D80" s="13"/>
      <c r="E80" s="10"/>
      <c r="F80" s="16"/>
      <c r="G80" s="2"/>
      <c r="H80" s="2"/>
      <c r="I80" s="2"/>
      <c r="J80" s="2"/>
      <c r="K80" s="2"/>
      <c r="L80" s="2"/>
    </row>
    <row x14ac:dyDescent="0.25" r="81" customHeight="1" ht="17.25">
      <c r="A81" s="2"/>
      <c r="B81" s="2"/>
      <c r="C81" s="2"/>
      <c r="D81" s="13"/>
      <c r="E81" s="10"/>
      <c r="F81" s="16"/>
      <c r="G81" s="2"/>
      <c r="H81" s="2"/>
      <c r="I81" s="2"/>
      <c r="J81" s="2"/>
      <c r="K81" s="2"/>
      <c r="L81" s="2"/>
    </row>
    <row x14ac:dyDescent="0.25" r="82" customHeight="1" ht="17.25">
      <c r="A82" s="2"/>
      <c r="B82" s="2"/>
      <c r="C82" s="2"/>
      <c r="D82" s="13"/>
      <c r="E82" s="10"/>
      <c r="F82" s="16"/>
      <c r="G82" s="2"/>
      <c r="H82" s="2"/>
      <c r="I82" s="2"/>
      <c r="J82" s="2"/>
      <c r="K82" s="2"/>
      <c r="L82" s="2"/>
    </row>
    <row x14ac:dyDescent="0.25" r="83" customHeight="1" ht="17.25">
      <c r="A83" s="2"/>
      <c r="B83" s="2"/>
      <c r="C83" s="2"/>
      <c r="D83" s="13"/>
      <c r="E83" s="10"/>
      <c r="F83" s="16"/>
      <c r="G83" s="2"/>
      <c r="H83" s="2"/>
      <c r="I83" s="2"/>
      <c r="J83" s="2"/>
      <c r="K83" s="2"/>
      <c r="L83" s="2"/>
    </row>
    <row x14ac:dyDescent="0.25" r="84" customHeight="1" ht="17.25">
      <c r="A84" s="2"/>
      <c r="B84" s="2"/>
      <c r="C84" s="2"/>
      <c r="D84" s="13"/>
      <c r="E84" s="10"/>
      <c r="F84" s="16"/>
      <c r="G84" s="2"/>
      <c r="H84" s="2"/>
      <c r="I84" s="2"/>
      <c r="J84" s="2"/>
      <c r="K84" s="2"/>
      <c r="L84" s="2"/>
    </row>
    <row x14ac:dyDescent="0.25" r="85" customHeight="1" ht="17.25">
      <c r="A85" s="2"/>
      <c r="B85" s="2"/>
      <c r="C85" s="2"/>
      <c r="D85" s="13"/>
      <c r="E85" s="10"/>
      <c r="F85" s="16"/>
      <c r="G85" s="2"/>
      <c r="H85" s="2"/>
      <c r="I85" s="2"/>
      <c r="J85" s="2"/>
      <c r="K85" s="2"/>
      <c r="L85" s="2"/>
    </row>
    <row x14ac:dyDescent="0.25" r="86" customHeight="1" ht="17.25">
      <c r="A86" s="2"/>
      <c r="B86" s="2"/>
      <c r="C86" s="2"/>
      <c r="D86" s="13"/>
      <c r="E86" s="10"/>
      <c r="F86" s="16"/>
      <c r="G86" s="2"/>
      <c r="H86" s="2"/>
      <c r="I86" s="2"/>
      <c r="J86" s="2"/>
      <c r="K86" s="2"/>
      <c r="L86" s="2"/>
    </row>
    <row x14ac:dyDescent="0.25" r="87" customHeight="1" ht="17.25">
      <c r="A87" s="2"/>
      <c r="B87" s="2"/>
      <c r="C87" s="2"/>
      <c r="D87" s="13"/>
      <c r="E87" s="10"/>
      <c r="F87" s="16"/>
      <c r="G87" s="2"/>
      <c r="H87" s="2"/>
      <c r="I87" s="2"/>
      <c r="J87" s="2"/>
      <c r="K87" s="2"/>
      <c r="L87" s="2"/>
    </row>
    <row x14ac:dyDescent="0.25" r="88" customHeight="1" ht="17.25">
      <c r="A88" s="2"/>
      <c r="B88" s="2"/>
      <c r="C88" s="2"/>
      <c r="D88" s="13"/>
      <c r="E88" s="10"/>
      <c r="F88" s="16"/>
      <c r="G88" s="2"/>
      <c r="H88" s="2"/>
      <c r="I88" s="2"/>
      <c r="J88" s="2"/>
      <c r="K88" s="2"/>
      <c r="L88" s="2"/>
    </row>
    <row x14ac:dyDescent="0.25" r="89" customHeight="1" ht="17.25">
      <c r="A89" s="2"/>
      <c r="B89" s="2"/>
      <c r="C89" s="2"/>
      <c r="D89" s="13"/>
      <c r="E89" s="10"/>
      <c r="F89" s="16"/>
      <c r="G89" s="2"/>
      <c r="H89" s="2"/>
      <c r="I89" s="2"/>
      <c r="J89" s="2"/>
      <c r="K89" s="2"/>
      <c r="L89" s="2"/>
    </row>
    <row x14ac:dyDescent="0.25" r="90" customHeight="1" ht="17.25">
      <c r="A90" s="2"/>
      <c r="B90" s="2"/>
      <c r="C90" s="2"/>
      <c r="D90" s="13"/>
      <c r="E90" s="10"/>
      <c r="F90" s="16"/>
      <c r="G90" s="2"/>
      <c r="H90" s="2"/>
      <c r="I90" s="2"/>
      <c r="J90" s="2"/>
      <c r="K90" s="2"/>
      <c r="L90" s="2"/>
    </row>
    <row x14ac:dyDescent="0.25" r="91" customHeight="1" ht="17.25">
      <c r="A91" s="2"/>
      <c r="B91" s="2"/>
      <c r="C91" s="2"/>
      <c r="D91" s="13"/>
      <c r="E91" s="10"/>
      <c r="F91" s="16"/>
      <c r="G91" s="2"/>
      <c r="H91" s="2"/>
      <c r="I91" s="2"/>
      <c r="J91" s="2"/>
      <c r="K91" s="2"/>
      <c r="L91" s="2"/>
    </row>
    <row x14ac:dyDescent="0.25" r="92" customHeight="1" ht="17.25">
      <c r="A92" s="2"/>
      <c r="B92" s="2"/>
      <c r="C92" s="2"/>
      <c r="D92" s="13"/>
      <c r="E92" s="10"/>
      <c r="F92" s="16"/>
      <c r="G92" s="2"/>
      <c r="H92" s="2"/>
      <c r="I92" s="2"/>
      <c r="J92" s="2"/>
      <c r="K92" s="2"/>
      <c r="L92" s="2"/>
    </row>
    <row x14ac:dyDescent="0.25" r="93" customHeight="1" ht="17.25">
      <c r="A93" s="2"/>
      <c r="B93" s="2"/>
      <c r="C93" s="2"/>
      <c r="D93" s="13"/>
      <c r="E93" s="10"/>
      <c r="F93" s="16"/>
      <c r="G93" s="2"/>
      <c r="H93" s="2"/>
      <c r="I93" s="2"/>
      <c r="J93" s="2"/>
      <c r="K93" s="2"/>
      <c r="L93" s="2"/>
    </row>
    <row x14ac:dyDescent="0.25" r="94" customHeight="1" ht="17.25">
      <c r="A94" s="2"/>
      <c r="B94" s="2"/>
      <c r="C94" s="2"/>
      <c r="D94" s="13"/>
      <c r="E94" s="10"/>
      <c r="F94" s="16"/>
      <c r="G94" s="2"/>
      <c r="H94" s="2"/>
      <c r="I94" s="2"/>
      <c r="J94" s="2"/>
      <c r="K94" s="2"/>
      <c r="L94" s="2"/>
    </row>
    <row x14ac:dyDescent="0.25" r="95" customHeight="1" ht="17.25">
      <c r="A95" s="2"/>
      <c r="B95" s="2"/>
      <c r="C95" s="2"/>
      <c r="D95" s="13"/>
      <c r="E95" s="10"/>
      <c r="F95" s="16"/>
      <c r="G95" s="2"/>
      <c r="H95" s="2"/>
      <c r="I95" s="2"/>
      <c r="J95" s="2"/>
      <c r="K95" s="2"/>
      <c r="L95" s="2"/>
    </row>
    <row x14ac:dyDescent="0.25" r="96" customHeight="1" ht="17.25">
      <c r="A96" s="2"/>
      <c r="B96" s="2"/>
      <c r="C96" s="2"/>
      <c r="D96" s="13"/>
      <c r="E96" s="10"/>
      <c r="F96" s="16"/>
      <c r="G96" s="2"/>
      <c r="H96" s="2"/>
      <c r="I96" s="2"/>
      <c r="J96" s="2"/>
      <c r="K96" s="2"/>
      <c r="L96" s="2"/>
    </row>
    <row x14ac:dyDescent="0.25" r="97" customHeight="1" ht="17.25">
      <c r="A97" s="2"/>
      <c r="B97" s="2"/>
      <c r="C97" s="2"/>
      <c r="D97" s="13"/>
      <c r="E97" s="10"/>
      <c r="F97" s="16"/>
      <c r="G97" s="2"/>
      <c r="H97" s="2"/>
      <c r="I97" s="2"/>
      <c r="J97" s="2"/>
      <c r="K97" s="2"/>
      <c r="L97" s="2"/>
    </row>
    <row x14ac:dyDescent="0.25" r="98" customHeight="1" ht="17.25">
      <c r="A98" s="2"/>
      <c r="B98" s="2"/>
      <c r="C98" s="2"/>
      <c r="D98" s="13"/>
      <c r="E98" s="10"/>
      <c r="F98" s="16"/>
      <c r="G98" s="2"/>
      <c r="H98" s="2"/>
      <c r="I98" s="2"/>
      <c r="J98" s="2"/>
      <c r="K98" s="2"/>
      <c r="L98" s="2"/>
    </row>
    <row x14ac:dyDescent="0.25" r="99" customHeight="1" ht="17.25">
      <c r="A99" s="2"/>
      <c r="B99" s="2"/>
      <c r="C99" s="2"/>
      <c r="D99" s="13"/>
      <c r="E99" s="10"/>
      <c r="F99" s="16"/>
      <c r="G99" s="2"/>
      <c r="H99" s="2"/>
      <c r="I99" s="2"/>
      <c r="J99" s="2"/>
      <c r="K99" s="2"/>
      <c r="L99" s="2"/>
    </row>
    <row x14ac:dyDescent="0.25" r="100" customHeight="1" ht="17.25">
      <c r="A100" s="2"/>
      <c r="B100" s="2"/>
      <c r="C100" s="2"/>
      <c r="D100" s="13"/>
      <c r="E100" s="10"/>
      <c r="F100" s="16"/>
      <c r="G100" s="2"/>
      <c r="H100" s="2"/>
      <c r="I100" s="2"/>
      <c r="J100" s="2"/>
      <c r="K100" s="2"/>
      <c r="L100" s="2"/>
    </row>
    <row x14ac:dyDescent="0.25" r="101" customHeight="1" ht="17.25">
      <c r="A101" s="2"/>
      <c r="B101" s="2"/>
      <c r="C101" s="2"/>
      <c r="D101" s="13"/>
      <c r="E101" s="10"/>
      <c r="F101" s="16"/>
      <c r="G101" s="2"/>
      <c r="H101" s="2"/>
      <c r="I101" s="2"/>
      <c r="J101" s="2"/>
      <c r="K101" s="2"/>
      <c r="L101" s="2"/>
    </row>
    <row x14ac:dyDescent="0.25" r="102" customHeight="1" ht="17.25">
      <c r="A102" s="2"/>
      <c r="B102" s="2"/>
      <c r="C102" s="2"/>
      <c r="D102" s="13"/>
      <c r="E102" s="10"/>
      <c r="F102" s="16"/>
      <c r="G102" s="2"/>
      <c r="H102" s="2"/>
      <c r="I102" s="2"/>
      <c r="J102" s="2"/>
      <c r="K102" s="2"/>
      <c r="L102" s="2"/>
    </row>
    <row x14ac:dyDescent="0.25" r="103" customHeight="1" ht="17.25">
      <c r="A103" s="2"/>
      <c r="B103" s="2"/>
      <c r="C103" s="2"/>
      <c r="D103" s="13"/>
      <c r="E103" s="10"/>
      <c r="F103" s="16"/>
      <c r="G103" s="2"/>
      <c r="H103" s="2"/>
      <c r="I103" s="2"/>
      <c r="J103" s="2"/>
      <c r="K103" s="2"/>
      <c r="L103" s="2"/>
    </row>
    <row x14ac:dyDescent="0.25" r="104" customHeight="1" ht="17.25">
      <c r="A104" s="2"/>
      <c r="B104" s="2"/>
      <c r="C104" s="2"/>
      <c r="D104" s="13"/>
      <c r="E104" s="10"/>
      <c r="F104" s="16"/>
      <c r="G104" s="2"/>
      <c r="H104" s="2"/>
      <c r="I104" s="2"/>
      <c r="J104" s="2"/>
      <c r="K104" s="2"/>
      <c r="L104" s="2"/>
    </row>
    <row x14ac:dyDescent="0.25" r="105" customHeight="1" ht="17.25">
      <c r="A105" s="2"/>
      <c r="B105" s="2"/>
      <c r="C105" s="2"/>
      <c r="D105" s="13"/>
      <c r="E105" s="10"/>
      <c r="F105" s="16"/>
      <c r="G105" s="2"/>
      <c r="H105" s="2"/>
      <c r="I105" s="2"/>
      <c r="J105" s="2"/>
      <c r="K105" s="2"/>
      <c r="L105" s="2"/>
    </row>
    <row x14ac:dyDescent="0.25" r="106" customHeight="1" ht="17.25">
      <c r="A106" s="2"/>
      <c r="B106" s="2"/>
      <c r="C106" s="2"/>
      <c r="D106" s="13"/>
      <c r="E106" s="10"/>
      <c r="F106" s="16"/>
      <c r="G106" s="2"/>
      <c r="H106" s="2"/>
      <c r="I106" s="2"/>
      <c r="J106" s="2"/>
      <c r="K106" s="2"/>
      <c r="L106" s="2"/>
    </row>
    <row x14ac:dyDescent="0.25" r="107" customHeight="1" ht="17.25">
      <c r="A107" s="2"/>
      <c r="B107" s="2"/>
      <c r="C107" s="2"/>
      <c r="D107" s="13"/>
      <c r="E107" s="10"/>
      <c r="F107" s="16"/>
      <c r="G107" s="2"/>
      <c r="H107" s="2"/>
      <c r="I107" s="2"/>
      <c r="J107" s="2"/>
      <c r="K107" s="2"/>
      <c r="L107" s="2"/>
    </row>
    <row x14ac:dyDescent="0.25" r="108" customHeight="1" ht="17.25">
      <c r="A108" s="2"/>
      <c r="B108" s="2"/>
      <c r="C108" s="2"/>
      <c r="D108" s="13"/>
      <c r="E108" s="10"/>
      <c r="F108" s="16"/>
      <c r="G108" s="2"/>
      <c r="H108" s="2"/>
      <c r="I108" s="2"/>
      <c r="J108" s="2"/>
      <c r="K108" s="2"/>
      <c r="L108" s="2"/>
    </row>
    <row x14ac:dyDescent="0.25" r="109" customHeight="1" ht="17.25">
      <c r="A109" s="2"/>
      <c r="B109" s="2"/>
      <c r="C109" s="2"/>
      <c r="D109" s="13"/>
      <c r="E109" s="10"/>
      <c r="F109" s="16"/>
      <c r="G109" s="2"/>
      <c r="H109" s="2"/>
      <c r="I109" s="2"/>
      <c r="J109" s="2"/>
      <c r="K109" s="2"/>
      <c r="L109" s="2"/>
    </row>
    <row x14ac:dyDescent="0.25" r="110" customHeight="1" ht="17.25">
      <c r="A110" s="2"/>
      <c r="B110" s="2"/>
      <c r="C110" s="2"/>
      <c r="D110" s="13"/>
      <c r="E110" s="10"/>
      <c r="F110" s="16"/>
      <c r="G110" s="2"/>
      <c r="H110" s="2"/>
      <c r="I110" s="2"/>
      <c r="J110" s="2"/>
      <c r="K110" s="2"/>
      <c r="L110" s="2"/>
    </row>
    <row x14ac:dyDescent="0.25" r="111" customHeight="1" ht="17.25">
      <c r="A111" s="2"/>
      <c r="B111" s="2"/>
      <c r="C111" s="2"/>
      <c r="D111" s="13"/>
      <c r="E111" s="10"/>
      <c r="F111" s="16"/>
      <c r="G111" s="2"/>
      <c r="H111" s="2"/>
      <c r="I111" s="2"/>
      <c r="J111" s="2"/>
      <c r="K111" s="2"/>
      <c r="L111" s="2"/>
    </row>
    <row x14ac:dyDescent="0.25" r="112" customHeight="1" ht="17.25">
      <c r="A112" s="2"/>
      <c r="B112" s="2"/>
      <c r="C112" s="2"/>
      <c r="D112" s="13"/>
      <c r="E112" s="10"/>
      <c r="F112" s="16"/>
      <c r="G112" s="2"/>
      <c r="H112" s="2"/>
      <c r="I112" s="2"/>
      <c r="J112" s="2"/>
      <c r="K112" s="2"/>
      <c r="L112" s="2"/>
    </row>
    <row x14ac:dyDescent="0.25" r="113" customHeight="1" ht="17.25">
      <c r="A113" s="2"/>
      <c r="B113" s="2"/>
      <c r="C113" s="2"/>
      <c r="D113" s="13"/>
      <c r="E113" s="10"/>
      <c r="F113" s="16"/>
      <c r="G113" s="2"/>
      <c r="H113" s="2"/>
      <c r="I113" s="2"/>
      <c r="J113" s="2"/>
      <c r="K113" s="2"/>
      <c r="L113" s="2"/>
    </row>
    <row x14ac:dyDescent="0.25" r="114" customHeight="1" ht="17.25">
      <c r="A114" s="2"/>
      <c r="B114" s="2"/>
      <c r="C114" s="2"/>
      <c r="D114" s="13"/>
      <c r="E114" s="10"/>
      <c r="F114" s="16"/>
      <c r="G114" s="2"/>
      <c r="H114" s="2"/>
      <c r="I114" s="2"/>
      <c r="J114" s="2"/>
      <c r="K114" s="2"/>
      <c r="L114" s="2"/>
    </row>
    <row x14ac:dyDescent="0.25" r="115" customHeight="1" ht="17.25">
      <c r="A115" s="2"/>
      <c r="B115" s="2"/>
      <c r="C115" s="2"/>
      <c r="D115" s="13"/>
      <c r="E115" s="10"/>
      <c r="F115" s="16"/>
      <c r="G115" s="2"/>
      <c r="H115" s="2"/>
      <c r="I115" s="2"/>
      <c r="J115" s="2"/>
      <c r="K115" s="2"/>
      <c r="L115" s="2"/>
    </row>
    <row x14ac:dyDescent="0.25" r="116" customHeight="1" ht="17.25">
      <c r="A116" s="2"/>
      <c r="B116" s="2"/>
      <c r="C116" s="2"/>
      <c r="D116" s="13"/>
      <c r="E116" s="10"/>
      <c r="F116" s="16"/>
      <c r="G116" s="2"/>
      <c r="H116" s="2"/>
      <c r="I116" s="2"/>
      <c r="J116" s="2"/>
      <c r="K116" s="2"/>
      <c r="L116" s="2"/>
    </row>
    <row x14ac:dyDescent="0.25" r="117" customHeight="1" ht="17.25">
      <c r="A117" s="2"/>
      <c r="B117" s="2"/>
      <c r="C117" s="2"/>
      <c r="D117" s="13"/>
      <c r="E117" s="10"/>
      <c r="F117" s="16"/>
      <c r="G117" s="2"/>
      <c r="H117" s="2"/>
      <c r="I117" s="2"/>
      <c r="J117" s="2"/>
      <c r="K117" s="2"/>
      <c r="L117" s="2"/>
    </row>
    <row x14ac:dyDescent="0.25" r="118" customHeight="1" ht="17.25">
      <c r="A118" s="2"/>
      <c r="B118" s="2"/>
      <c r="C118" s="2"/>
      <c r="D118" s="13"/>
      <c r="E118" s="10"/>
      <c r="F118" s="16"/>
      <c r="G118" s="2"/>
      <c r="H118" s="2"/>
      <c r="I118" s="2"/>
      <c r="J118" s="2"/>
      <c r="K118" s="2"/>
      <c r="L118" s="2"/>
    </row>
    <row x14ac:dyDescent="0.25" r="119" customHeight="1" ht="17.25">
      <c r="A119" s="2"/>
      <c r="B119" s="2"/>
      <c r="C119" s="2"/>
      <c r="D119" s="13"/>
      <c r="E119" s="10"/>
      <c r="F119" s="16"/>
      <c r="G119" s="2"/>
      <c r="H119" s="2"/>
      <c r="I119" s="2"/>
      <c r="J119" s="2"/>
      <c r="K119" s="2"/>
      <c r="L119" s="2"/>
    </row>
    <row x14ac:dyDescent="0.25" r="120" customHeight="1" ht="17.25">
      <c r="A120" s="2"/>
      <c r="B120" s="2"/>
      <c r="C120" s="2"/>
      <c r="D120" s="13"/>
      <c r="E120" s="10"/>
      <c r="F120" s="16"/>
      <c r="G120" s="2"/>
      <c r="H120" s="2"/>
      <c r="I120" s="2"/>
      <c r="J120" s="2"/>
      <c r="K120" s="2"/>
      <c r="L120" s="2"/>
    </row>
    <row x14ac:dyDescent="0.25" r="121" customHeight="1" ht="17.25">
      <c r="A121" s="2"/>
      <c r="B121" s="2"/>
      <c r="C121" s="2"/>
      <c r="D121" s="13"/>
      <c r="E121" s="10"/>
      <c r="F121" s="16"/>
      <c r="G121" s="2"/>
      <c r="H121" s="2"/>
      <c r="I121" s="2"/>
      <c r="J121" s="2"/>
      <c r="K121" s="2"/>
      <c r="L121" s="2"/>
    </row>
    <row x14ac:dyDescent="0.25" r="122" customHeight="1" ht="17.25">
      <c r="A122" s="2"/>
      <c r="B122" s="2"/>
      <c r="C122" s="2"/>
      <c r="D122" s="13"/>
      <c r="E122" s="10"/>
      <c r="F122" s="16"/>
      <c r="G122" s="2"/>
      <c r="H122" s="2"/>
      <c r="I122" s="2"/>
      <c r="J122" s="2"/>
      <c r="K122" s="2"/>
      <c r="L122" s="2"/>
    </row>
    <row x14ac:dyDescent="0.25" r="123" customHeight="1" ht="17.25">
      <c r="A123" s="2"/>
      <c r="B123" s="2"/>
      <c r="C123" s="2"/>
      <c r="D123" s="13"/>
      <c r="E123" s="10"/>
      <c r="F123" s="16"/>
      <c r="G123" s="2"/>
      <c r="H123" s="2"/>
      <c r="I123" s="2"/>
      <c r="J123" s="2"/>
      <c r="K123" s="2"/>
      <c r="L123" s="2"/>
    </row>
    <row x14ac:dyDescent="0.25" r="124" customHeight="1" ht="17.25">
      <c r="A124" s="2"/>
      <c r="B124" s="2"/>
      <c r="C124" s="2"/>
      <c r="D124" s="13"/>
      <c r="E124" s="10"/>
      <c r="F124" s="16"/>
      <c r="G124" s="2"/>
      <c r="H124" s="2"/>
      <c r="I124" s="2"/>
      <c r="J124" s="2"/>
      <c r="K124" s="2"/>
      <c r="L124" s="2"/>
    </row>
    <row x14ac:dyDescent="0.25" r="125" customHeight="1" ht="17.25">
      <c r="A125" s="2"/>
      <c r="B125" s="2"/>
      <c r="C125" s="2"/>
      <c r="D125" s="13"/>
      <c r="E125" s="10"/>
      <c r="F125" s="16"/>
      <c r="G125" s="2"/>
      <c r="H125" s="2"/>
      <c r="I125" s="2"/>
      <c r="J125" s="2"/>
      <c r="K125" s="2"/>
      <c r="L125" s="2"/>
    </row>
    <row x14ac:dyDescent="0.25" r="126" customHeight="1" ht="17.25">
      <c r="A126" s="2"/>
      <c r="B126" s="2"/>
      <c r="C126" s="2"/>
      <c r="D126" s="13"/>
      <c r="E126" s="10"/>
      <c r="F126" s="16"/>
      <c r="G126" s="2"/>
      <c r="H126" s="2"/>
      <c r="I126" s="2"/>
      <c r="J126" s="2"/>
      <c r="K126" s="2"/>
      <c r="L126" s="2"/>
    </row>
    <row x14ac:dyDescent="0.25" r="127" customHeight="1" ht="17.25">
      <c r="A127" s="2"/>
      <c r="B127" s="2"/>
      <c r="C127" s="2"/>
      <c r="D127" s="13"/>
      <c r="E127" s="10"/>
      <c r="F127" s="16"/>
      <c r="G127" s="2"/>
      <c r="H127" s="2"/>
      <c r="I127" s="2"/>
      <c r="J127" s="2"/>
      <c r="K127" s="2"/>
      <c r="L127" s="2"/>
    </row>
    <row x14ac:dyDescent="0.25" r="128" customHeight="1" ht="17.25">
      <c r="A128" s="2"/>
      <c r="B128" s="2"/>
      <c r="C128" s="2"/>
      <c r="D128" s="13"/>
      <c r="E128" s="10"/>
      <c r="F128" s="16"/>
      <c r="G128" s="2"/>
      <c r="H128" s="2"/>
      <c r="I128" s="2"/>
      <c r="J128" s="2"/>
      <c r="K128" s="2"/>
      <c r="L128" s="2"/>
    </row>
    <row x14ac:dyDescent="0.25" r="129" customHeight="1" ht="17.25">
      <c r="A129" s="2"/>
      <c r="B129" s="2"/>
      <c r="C129" s="2"/>
      <c r="D129" s="13"/>
      <c r="E129" s="10"/>
      <c r="F129" s="16"/>
      <c r="G129" s="2"/>
      <c r="H129" s="2"/>
      <c r="I129" s="2"/>
      <c r="J129" s="2"/>
      <c r="K129" s="2"/>
      <c r="L129" s="2"/>
    </row>
    <row x14ac:dyDescent="0.25" r="130" customHeight="1" ht="17.25">
      <c r="A130" s="2"/>
      <c r="B130" s="2"/>
      <c r="C130" s="2"/>
      <c r="D130" s="13"/>
      <c r="E130" s="10"/>
      <c r="F130" s="16"/>
      <c r="G130" s="2"/>
      <c r="H130" s="2"/>
      <c r="I130" s="2"/>
      <c r="J130" s="2"/>
      <c r="K130" s="2"/>
      <c r="L130" s="2"/>
    </row>
    <row x14ac:dyDescent="0.25" r="131" customHeight="1" ht="17.25">
      <c r="A131" s="2"/>
      <c r="B131" s="2"/>
      <c r="C131" s="2"/>
      <c r="D131" s="13"/>
      <c r="E131" s="10"/>
      <c r="F131" s="16"/>
      <c r="G131" s="2"/>
      <c r="H131" s="2"/>
      <c r="I131" s="2"/>
      <c r="J131" s="2"/>
      <c r="K131" s="2"/>
      <c r="L131" s="2"/>
    </row>
    <row x14ac:dyDescent="0.25" r="132" customHeight="1" ht="17.25">
      <c r="A132" s="2"/>
      <c r="B132" s="2"/>
      <c r="C132" s="2"/>
      <c r="D132" s="13"/>
      <c r="E132" s="10"/>
      <c r="F132" s="16"/>
      <c r="G132" s="2"/>
      <c r="H132" s="2"/>
      <c r="I132" s="2"/>
      <c r="J132" s="2"/>
      <c r="K132" s="2"/>
      <c r="L132" s="2"/>
    </row>
    <row x14ac:dyDescent="0.25" r="133" customHeight="1" ht="17.25">
      <c r="A133" s="2"/>
      <c r="B133" s="2"/>
      <c r="C133" s="2"/>
      <c r="D133" s="13"/>
      <c r="E133" s="10"/>
      <c r="F133" s="16"/>
      <c r="G133" s="2"/>
      <c r="H133" s="2"/>
      <c r="I133" s="2"/>
      <c r="J133" s="2"/>
      <c r="K133" s="2"/>
      <c r="L133" s="2"/>
    </row>
    <row x14ac:dyDescent="0.25" r="134" customHeight="1" ht="17.25">
      <c r="A134" s="2"/>
      <c r="B134" s="2"/>
      <c r="C134" s="2"/>
      <c r="D134" s="13"/>
      <c r="E134" s="10"/>
      <c r="F134" s="16"/>
      <c r="G134" s="2"/>
      <c r="H134" s="2"/>
      <c r="I134" s="2"/>
      <c r="J134" s="2"/>
      <c r="K134" s="2"/>
      <c r="L134" s="2"/>
    </row>
    <row x14ac:dyDescent="0.25" r="135" customHeight="1" ht="17.25">
      <c r="A135" s="2"/>
      <c r="B135" s="2"/>
      <c r="C135" s="2"/>
      <c r="D135" s="13"/>
      <c r="E135" s="10"/>
      <c r="F135" s="16"/>
      <c r="G135" s="2"/>
      <c r="H135" s="2"/>
      <c r="I135" s="2"/>
      <c r="J135" s="2"/>
      <c r="K135" s="2"/>
      <c r="L135" s="2"/>
    </row>
    <row x14ac:dyDescent="0.25" r="136" customHeight="1" ht="17.25">
      <c r="A136" s="2"/>
      <c r="B136" s="2"/>
      <c r="C136" s="2"/>
      <c r="D136" s="13"/>
      <c r="E136" s="10"/>
      <c r="F136" s="16"/>
      <c r="G136" s="2"/>
      <c r="H136" s="2"/>
      <c r="I136" s="2"/>
      <c r="J136" s="2"/>
      <c r="K136" s="2"/>
      <c r="L136" s="2"/>
    </row>
    <row x14ac:dyDescent="0.25" r="137" customHeight="1" ht="17.25">
      <c r="A137" s="2"/>
      <c r="B137" s="2"/>
      <c r="C137" s="2"/>
      <c r="D137" s="13"/>
      <c r="E137" s="10"/>
      <c r="F137" s="16"/>
      <c r="G137" s="2"/>
      <c r="H137" s="2"/>
      <c r="I137" s="2"/>
      <c r="J137" s="2"/>
      <c r="K137" s="2"/>
      <c r="L137" s="2"/>
    </row>
    <row x14ac:dyDescent="0.25" r="138" customHeight="1" ht="17.25">
      <c r="A138" s="2"/>
      <c r="B138" s="2"/>
      <c r="C138" s="2"/>
      <c r="D138" s="13"/>
      <c r="E138" s="10"/>
      <c r="F138" s="16"/>
      <c r="G138" s="2"/>
      <c r="H138" s="2"/>
      <c r="I138" s="2"/>
      <c r="J138" s="2"/>
      <c r="K138" s="2"/>
      <c r="L138" s="2"/>
    </row>
    <row x14ac:dyDescent="0.25" r="139" customHeight="1" ht="17.25">
      <c r="A139" s="2"/>
      <c r="B139" s="2"/>
      <c r="C139" s="2"/>
      <c r="D139" s="13"/>
      <c r="E139" s="10"/>
      <c r="F139" s="16"/>
      <c r="G139" s="2"/>
      <c r="H139" s="2"/>
      <c r="I139" s="2"/>
      <c r="J139" s="2"/>
      <c r="K139" s="2"/>
      <c r="L139" s="2"/>
    </row>
    <row x14ac:dyDescent="0.25" r="140" customHeight="1" ht="17.25">
      <c r="A140" s="2"/>
      <c r="B140" s="2"/>
      <c r="C140" s="2"/>
      <c r="D140" s="13"/>
      <c r="E140" s="10"/>
      <c r="F140" s="16"/>
      <c r="G140" s="2"/>
      <c r="H140" s="2"/>
      <c r="I140" s="2"/>
      <c r="J140" s="2"/>
      <c r="K140" s="2"/>
      <c r="L140" s="2"/>
    </row>
    <row x14ac:dyDescent="0.25" r="141" customHeight="1" ht="17.25">
      <c r="A141" s="2"/>
      <c r="B141" s="2"/>
      <c r="C141" s="2"/>
      <c r="D141" s="13"/>
      <c r="E141" s="10"/>
      <c r="F141" s="16"/>
      <c r="G141" s="2"/>
      <c r="H141" s="2"/>
      <c r="I141" s="2"/>
      <c r="J141" s="2"/>
      <c r="K141" s="2"/>
      <c r="L141" s="2"/>
    </row>
    <row x14ac:dyDescent="0.25" r="142" customHeight="1" ht="17.25">
      <c r="A142" s="2"/>
      <c r="B142" s="2"/>
      <c r="C142" s="2"/>
      <c r="D142" s="13"/>
      <c r="E142" s="10"/>
      <c r="F142" s="16"/>
      <c r="G142" s="2"/>
      <c r="H142" s="2"/>
      <c r="I142" s="2"/>
      <c r="J142" s="2"/>
      <c r="K142" s="2"/>
      <c r="L142" s="2"/>
    </row>
    <row x14ac:dyDescent="0.25" r="143" customHeight="1" ht="17.25">
      <c r="A143" s="2"/>
      <c r="B143" s="2"/>
      <c r="C143" s="2"/>
      <c r="D143" s="13"/>
      <c r="E143" s="10"/>
      <c r="F143" s="16"/>
      <c r="G143" s="2"/>
      <c r="H143" s="2"/>
      <c r="I143" s="2"/>
      <c r="J143" s="2"/>
      <c r="K143" s="2"/>
      <c r="L143" s="2"/>
    </row>
    <row x14ac:dyDescent="0.25" r="144" customHeight="1" ht="17.25">
      <c r="A144" s="2"/>
      <c r="B144" s="2"/>
      <c r="C144" s="2"/>
      <c r="D144" s="13"/>
      <c r="E144" s="10"/>
      <c r="F144" s="16"/>
      <c r="G144" s="2"/>
      <c r="H144" s="2"/>
      <c r="I144" s="2"/>
      <c r="J144" s="2"/>
      <c r="K144" s="2"/>
      <c r="L144" s="2"/>
    </row>
    <row x14ac:dyDescent="0.25" r="145" customHeight="1" ht="17.25">
      <c r="A145" s="2"/>
      <c r="B145" s="2"/>
      <c r="C145" s="2"/>
      <c r="D145" s="13"/>
      <c r="E145" s="10"/>
      <c r="F145" s="16"/>
      <c r="G145" s="2"/>
      <c r="H145" s="2"/>
      <c r="I145" s="2"/>
      <c r="J145" s="2"/>
      <c r="K145" s="2"/>
      <c r="L145" s="2"/>
    </row>
    <row x14ac:dyDescent="0.25" r="146" customHeight="1" ht="17.25">
      <c r="A146" s="2"/>
      <c r="B146" s="2"/>
      <c r="C146" s="2"/>
      <c r="D146" s="13"/>
      <c r="E146" s="10"/>
      <c r="F146" s="16"/>
      <c r="G146" s="2"/>
      <c r="H146" s="2"/>
      <c r="I146" s="2"/>
      <c r="J146" s="2"/>
      <c r="K146" s="2"/>
      <c r="L146" s="2"/>
    </row>
    <row x14ac:dyDescent="0.25" r="147" customHeight="1" ht="17.25">
      <c r="A147" s="2"/>
      <c r="B147" s="2"/>
      <c r="C147" s="2"/>
      <c r="D147" s="13"/>
      <c r="E147" s="10"/>
      <c r="F147" s="16"/>
      <c r="G147" s="2"/>
      <c r="H147" s="2"/>
      <c r="I147" s="2"/>
      <c r="J147" s="2"/>
      <c r="K147" s="2"/>
      <c r="L147" s="2"/>
    </row>
    <row x14ac:dyDescent="0.25" r="148" customHeight="1" ht="17.25">
      <c r="A148" s="2"/>
      <c r="B148" s="2"/>
      <c r="C148" s="2"/>
      <c r="D148" s="13"/>
      <c r="E148" s="10"/>
      <c r="F148" s="16"/>
      <c r="G148" s="2"/>
      <c r="H148" s="2"/>
      <c r="I148" s="2"/>
      <c r="J148" s="2"/>
      <c r="K148" s="2"/>
      <c r="L148" s="2"/>
    </row>
    <row x14ac:dyDescent="0.25" r="149" customHeight="1" ht="17.25">
      <c r="A149" s="2"/>
      <c r="B149" s="2"/>
      <c r="C149" s="2"/>
      <c r="D149" s="13"/>
      <c r="E149" s="10"/>
      <c r="F149" s="16"/>
      <c r="G149" s="2"/>
      <c r="H149" s="2"/>
      <c r="I149" s="2"/>
      <c r="J149" s="2"/>
      <c r="K149" s="2"/>
      <c r="L149" s="2"/>
    </row>
    <row x14ac:dyDescent="0.25" r="150" customHeight="1" ht="17.25">
      <c r="A150" s="2"/>
      <c r="B150" s="2"/>
      <c r="C150" s="2"/>
      <c r="D150" s="13"/>
      <c r="E150" s="10"/>
      <c r="F150" s="16"/>
      <c r="G150" s="2"/>
      <c r="H150" s="2"/>
      <c r="I150" s="2"/>
      <c r="J150" s="2"/>
      <c r="K150" s="2"/>
      <c r="L150" s="2"/>
    </row>
    <row x14ac:dyDescent="0.25" r="151" customHeight="1" ht="17.25">
      <c r="A151" s="2"/>
      <c r="B151" s="2"/>
      <c r="C151" s="2"/>
      <c r="D151" s="13"/>
      <c r="E151" s="10"/>
      <c r="F151" s="16"/>
      <c r="G151" s="2"/>
      <c r="H151" s="2"/>
      <c r="I151" s="2"/>
      <c r="J151" s="2"/>
      <c r="K151" s="2"/>
      <c r="L151" s="2"/>
    </row>
    <row x14ac:dyDescent="0.25" r="152" customHeight="1" ht="17.25">
      <c r="A152" s="2"/>
      <c r="B152" s="2"/>
      <c r="C152" s="2"/>
      <c r="D152" s="13"/>
      <c r="E152" s="10"/>
      <c r="F152" s="16"/>
      <c r="G152" s="2"/>
      <c r="H152" s="2"/>
      <c r="I152" s="2"/>
      <c r="J152" s="2"/>
      <c r="K152" s="2"/>
      <c r="L152" s="2"/>
    </row>
    <row x14ac:dyDescent="0.25" r="153" customHeight="1" ht="17.25">
      <c r="A153" s="2"/>
      <c r="B153" s="2"/>
      <c r="C153" s="2"/>
      <c r="D153" s="13"/>
      <c r="E153" s="10"/>
      <c r="F153" s="16"/>
      <c r="G153" s="2"/>
      <c r="H153" s="2"/>
      <c r="I153" s="2"/>
      <c r="J153" s="2"/>
      <c r="K153" s="2"/>
      <c r="L153" s="2"/>
    </row>
    <row x14ac:dyDescent="0.25" r="154" customHeight="1" ht="17.25">
      <c r="A154" s="2"/>
      <c r="B154" s="2"/>
      <c r="C154" s="2"/>
      <c r="D154" s="13"/>
      <c r="E154" s="10"/>
      <c r="F154" s="16"/>
      <c r="G154" s="2"/>
      <c r="H154" s="2"/>
      <c r="I154" s="2"/>
      <c r="J154" s="2"/>
      <c r="K154" s="2"/>
      <c r="L154" s="2"/>
    </row>
    <row x14ac:dyDescent="0.25" r="155" customHeight="1" ht="17.25">
      <c r="A155" s="2"/>
      <c r="B155" s="2"/>
      <c r="C155" s="2"/>
      <c r="D155" s="13"/>
      <c r="E155" s="10"/>
      <c r="F155" s="16"/>
      <c r="G155" s="2"/>
      <c r="H155" s="2"/>
      <c r="I155" s="2"/>
      <c r="J155" s="2"/>
      <c r="K155" s="2"/>
      <c r="L155" s="2"/>
    </row>
    <row x14ac:dyDescent="0.25" r="156" customHeight="1" ht="17.25">
      <c r="A156" s="2"/>
      <c r="B156" s="2"/>
      <c r="C156" s="2"/>
      <c r="D156" s="13"/>
      <c r="E156" s="10"/>
      <c r="F156" s="16"/>
      <c r="G156" s="2"/>
      <c r="H156" s="2"/>
      <c r="I156" s="2"/>
      <c r="J156" s="2"/>
      <c r="K156" s="2"/>
      <c r="L156" s="2"/>
    </row>
    <row x14ac:dyDescent="0.25" r="157" customHeight="1" ht="17.25">
      <c r="A157" s="2"/>
      <c r="B157" s="2"/>
      <c r="C157" s="2"/>
      <c r="D157" s="13"/>
      <c r="E157" s="10"/>
      <c r="F157" s="16"/>
      <c r="G157" s="2"/>
      <c r="H157" s="2"/>
      <c r="I157" s="2"/>
      <c r="J157" s="2"/>
      <c r="K157" s="2"/>
      <c r="L157" s="2"/>
    </row>
    <row x14ac:dyDescent="0.25" r="158" customHeight="1" ht="17.25">
      <c r="A158" s="2"/>
      <c r="B158" s="2"/>
      <c r="C158" s="2"/>
      <c r="D158" s="13"/>
      <c r="E158" s="10"/>
      <c r="F158" s="16"/>
      <c r="G158" s="2"/>
      <c r="H158" s="2"/>
      <c r="I158" s="2"/>
      <c r="J158" s="2"/>
      <c r="K158" s="2"/>
      <c r="L158" s="2"/>
    </row>
    <row x14ac:dyDescent="0.25" r="159" customHeight="1" ht="17.25">
      <c r="A159" s="2"/>
      <c r="B159" s="2"/>
      <c r="C159" s="2"/>
      <c r="D159" s="13"/>
      <c r="E159" s="10"/>
      <c r="F159" s="16"/>
      <c r="G159" s="2"/>
      <c r="H159" s="2"/>
      <c r="I159" s="2"/>
      <c r="J159" s="2"/>
      <c r="K159" s="2"/>
      <c r="L159" s="2"/>
    </row>
    <row x14ac:dyDescent="0.25" r="160" customHeight="1" ht="17.25">
      <c r="A160" s="2"/>
      <c r="B160" s="2"/>
      <c r="C160" s="2"/>
      <c r="D160" s="13"/>
      <c r="E160" s="10"/>
      <c r="F160" s="16"/>
      <c r="G160" s="2"/>
      <c r="H160" s="2"/>
      <c r="I160" s="2"/>
      <c r="J160" s="2"/>
      <c r="K160" s="2"/>
      <c r="L160" s="2"/>
    </row>
    <row x14ac:dyDescent="0.25" r="161" customHeight="1" ht="17.25">
      <c r="A161" s="2"/>
      <c r="B161" s="2"/>
      <c r="C161" s="2"/>
      <c r="D161" s="13"/>
      <c r="E161" s="10"/>
      <c r="F161" s="16"/>
      <c r="G161" s="2"/>
      <c r="H161" s="2"/>
      <c r="I161" s="2"/>
      <c r="J161" s="2"/>
      <c r="K161" s="2"/>
      <c r="L161" s="2"/>
    </row>
    <row x14ac:dyDescent="0.25" r="162" customHeight="1" ht="17.25">
      <c r="A162" s="2"/>
      <c r="B162" s="2"/>
      <c r="C162" s="2"/>
      <c r="D162" s="13"/>
      <c r="E162" s="10"/>
      <c r="F162" s="16"/>
      <c r="G162" s="2"/>
      <c r="H162" s="2"/>
      <c r="I162" s="2"/>
      <c r="J162" s="2"/>
      <c r="K162" s="2"/>
      <c r="L162" s="2"/>
    </row>
    <row x14ac:dyDescent="0.25" r="163" customHeight="1" ht="17.25">
      <c r="A163" s="2"/>
      <c r="B163" s="2"/>
      <c r="C163" s="2"/>
      <c r="D163" s="13"/>
      <c r="E163" s="10"/>
      <c r="F163" s="16"/>
      <c r="G163" s="2"/>
      <c r="H163" s="2"/>
      <c r="I163" s="2"/>
      <c r="J163" s="2"/>
      <c r="K163" s="2"/>
      <c r="L163" s="2"/>
    </row>
    <row x14ac:dyDescent="0.25" r="164" customHeight="1" ht="17.25">
      <c r="A164" s="2"/>
      <c r="B164" s="2"/>
      <c r="C164" s="2"/>
      <c r="D164" s="13"/>
      <c r="E164" s="10"/>
      <c r="F164" s="16"/>
      <c r="G164" s="2"/>
      <c r="H164" s="2"/>
      <c r="I164" s="2"/>
      <c r="J164" s="2"/>
      <c r="K164" s="2"/>
      <c r="L164" s="2"/>
    </row>
    <row x14ac:dyDescent="0.25" r="165" customHeight="1" ht="17.25">
      <c r="A165" s="2"/>
      <c r="B165" s="2"/>
      <c r="C165" s="2"/>
      <c r="D165" s="13"/>
      <c r="E165" s="10"/>
      <c r="F165" s="16"/>
      <c r="G165" s="2"/>
      <c r="H165" s="2"/>
      <c r="I165" s="2"/>
      <c r="J165" s="2"/>
      <c r="K165" s="2"/>
      <c r="L165" s="2"/>
    </row>
    <row x14ac:dyDescent="0.25" r="166" customHeight="1" ht="17.25">
      <c r="A166" s="2"/>
      <c r="B166" s="2"/>
      <c r="C166" s="2"/>
      <c r="D166" s="13"/>
      <c r="E166" s="10"/>
      <c r="F166" s="16"/>
      <c r="G166" s="2"/>
      <c r="H166" s="2"/>
      <c r="I166" s="2"/>
      <c r="J166" s="2"/>
      <c r="K166" s="2"/>
      <c r="L166" s="2"/>
    </row>
    <row x14ac:dyDescent="0.25" r="167" customHeight="1" ht="17.25">
      <c r="A167" s="2"/>
      <c r="B167" s="2"/>
      <c r="C167" s="2"/>
      <c r="D167" s="13"/>
      <c r="E167" s="10"/>
      <c r="F167" s="16"/>
      <c r="G167" s="2"/>
      <c r="H167" s="2"/>
      <c r="I167" s="2"/>
      <c r="J167" s="2"/>
      <c r="K167" s="2"/>
      <c r="L167" s="2"/>
    </row>
    <row x14ac:dyDescent="0.25" r="168" customHeight="1" ht="17.25">
      <c r="A168" s="2"/>
      <c r="B168" s="2"/>
      <c r="C168" s="2"/>
      <c r="D168" s="13"/>
      <c r="E168" s="10"/>
      <c r="F168" s="16"/>
      <c r="G168" s="2"/>
      <c r="H168" s="2"/>
      <c r="I168" s="2"/>
      <c r="J168" s="2"/>
      <c r="K168" s="2"/>
      <c r="L168" s="2"/>
    </row>
    <row x14ac:dyDescent="0.25" r="169" customHeight="1" ht="17.25">
      <c r="A169" s="2"/>
      <c r="B169" s="2"/>
      <c r="C169" s="2"/>
      <c r="D169" s="13"/>
      <c r="E169" s="10"/>
      <c r="F169" s="16"/>
      <c r="G169" s="2"/>
      <c r="H169" s="2"/>
      <c r="I169" s="2"/>
      <c r="J169" s="2"/>
      <c r="K169" s="2"/>
      <c r="L169" s="2"/>
    </row>
    <row x14ac:dyDescent="0.25" r="170" customHeight="1" ht="17.25">
      <c r="A170" s="2"/>
      <c r="B170" s="2"/>
      <c r="C170" s="2"/>
      <c r="D170" s="13"/>
      <c r="E170" s="10"/>
      <c r="F170" s="16"/>
      <c r="G170" s="2"/>
      <c r="H170" s="2"/>
      <c r="I170" s="2"/>
      <c r="J170" s="2"/>
      <c r="K170" s="2"/>
      <c r="L170" s="2"/>
    </row>
    <row x14ac:dyDescent="0.25" r="171" customHeight="1" ht="17.25">
      <c r="A171" s="2"/>
      <c r="B171" s="2"/>
      <c r="C171" s="2"/>
      <c r="D171" s="13"/>
      <c r="E171" s="10"/>
      <c r="F171" s="16"/>
      <c r="G171" s="2"/>
      <c r="H171" s="2"/>
      <c r="I171" s="2"/>
      <c r="J171" s="2"/>
      <c r="K171" s="2"/>
      <c r="L171" s="2"/>
    </row>
    <row x14ac:dyDescent="0.25" r="172" customHeight="1" ht="17.25">
      <c r="A172" s="2"/>
      <c r="B172" s="2"/>
      <c r="C172" s="2"/>
      <c r="D172" s="13"/>
      <c r="E172" s="10"/>
      <c r="F172" s="16"/>
      <c r="G172" s="2"/>
      <c r="H172" s="2"/>
      <c r="I172" s="2"/>
      <c r="J172" s="2"/>
      <c r="K172" s="2"/>
      <c r="L172" s="2"/>
    </row>
    <row x14ac:dyDescent="0.25" r="173" customHeight="1" ht="17.25">
      <c r="A173" s="2"/>
      <c r="B173" s="2"/>
      <c r="C173" s="2"/>
      <c r="D173" s="13"/>
      <c r="E173" s="10"/>
      <c r="F173" s="16"/>
      <c r="G173" s="2"/>
      <c r="H173" s="2"/>
      <c r="I173" s="2"/>
      <c r="J173" s="2"/>
      <c r="K173" s="2"/>
      <c r="L173" s="2"/>
    </row>
    <row x14ac:dyDescent="0.25" r="174" customHeight="1" ht="17.25">
      <c r="A174" s="2"/>
      <c r="B174" s="2"/>
      <c r="C174" s="2"/>
      <c r="D174" s="13"/>
      <c r="E174" s="10"/>
      <c r="F174" s="16"/>
      <c r="G174" s="2"/>
      <c r="H174" s="2"/>
      <c r="I174" s="2"/>
      <c r="J174" s="2"/>
      <c r="K174" s="2"/>
      <c r="L174" s="2"/>
    </row>
    <row x14ac:dyDescent="0.25" r="175" customHeight="1" ht="17.25">
      <c r="A175" s="2"/>
      <c r="B175" s="2"/>
      <c r="C175" s="2"/>
      <c r="D175" s="13"/>
      <c r="E175" s="10"/>
      <c r="F175" s="16"/>
      <c r="G175" s="2"/>
      <c r="H175" s="2"/>
      <c r="I175" s="2"/>
      <c r="J175" s="2"/>
      <c r="K175" s="2"/>
      <c r="L175" s="2"/>
    </row>
    <row x14ac:dyDescent="0.25" r="176" customHeight="1" ht="17.25">
      <c r="A176" s="2"/>
      <c r="B176" s="2"/>
      <c r="C176" s="2"/>
      <c r="D176" s="13"/>
      <c r="E176" s="10"/>
      <c r="F176" s="16"/>
      <c r="G176" s="2"/>
      <c r="H176" s="2"/>
      <c r="I176" s="2"/>
      <c r="J176" s="2"/>
      <c r="K176" s="2"/>
      <c r="L176" s="2"/>
    </row>
    <row x14ac:dyDescent="0.25" r="177" customHeight="1" ht="17.25">
      <c r="A177" s="2"/>
      <c r="B177" s="2"/>
      <c r="C177" s="2"/>
      <c r="D177" s="13"/>
      <c r="E177" s="10"/>
      <c r="F177" s="16"/>
      <c r="G177" s="2"/>
      <c r="H177" s="2"/>
      <c r="I177" s="2"/>
      <c r="J177" s="2"/>
      <c r="K177" s="2"/>
      <c r="L177" s="2"/>
    </row>
    <row x14ac:dyDescent="0.25" r="178" customHeight="1" ht="17.25">
      <c r="A178" s="2"/>
      <c r="B178" s="2"/>
      <c r="C178" s="2"/>
      <c r="D178" s="13"/>
      <c r="E178" s="10"/>
      <c r="F178" s="16"/>
      <c r="G178" s="2"/>
      <c r="H178" s="2"/>
      <c r="I178" s="2"/>
      <c r="J178" s="2"/>
      <c r="K178" s="2"/>
      <c r="L178" s="2"/>
    </row>
    <row x14ac:dyDescent="0.25" r="179" customHeight="1" ht="17.25">
      <c r="A179" s="2"/>
      <c r="B179" s="2"/>
      <c r="C179" s="2"/>
      <c r="D179" s="13"/>
      <c r="E179" s="10"/>
      <c r="F179" s="16"/>
      <c r="G179" s="2"/>
      <c r="H179" s="2"/>
      <c r="I179" s="2"/>
      <c r="J179" s="2"/>
      <c r="K179" s="2"/>
      <c r="L179" s="2"/>
    </row>
    <row x14ac:dyDescent="0.25" r="180" customHeight="1" ht="17.25">
      <c r="A180" s="2"/>
      <c r="B180" s="2"/>
      <c r="C180" s="2"/>
      <c r="D180" s="13"/>
      <c r="E180" s="10"/>
      <c r="F180" s="16"/>
      <c r="G180" s="2"/>
      <c r="H180" s="2"/>
      <c r="I180" s="2"/>
      <c r="J180" s="2"/>
      <c r="K180" s="2"/>
      <c r="L180" s="2"/>
    </row>
    <row x14ac:dyDescent="0.25" r="181" customHeight="1" ht="17.25">
      <c r="A181" s="2"/>
      <c r="B181" s="2"/>
      <c r="C181" s="2"/>
      <c r="D181" s="13"/>
      <c r="E181" s="10"/>
      <c r="F181" s="16"/>
      <c r="G181" s="2"/>
      <c r="H181" s="2"/>
      <c r="I181" s="2"/>
      <c r="J181" s="2"/>
      <c r="K181" s="2"/>
      <c r="L181" s="2"/>
    </row>
    <row x14ac:dyDescent="0.25" r="182" customHeight="1" ht="17.25">
      <c r="A182" s="2"/>
      <c r="B182" s="2"/>
      <c r="C182" s="2"/>
      <c r="D182" s="13"/>
      <c r="E182" s="10"/>
      <c r="F182" s="16"/>
      <c r="G182" s="2"/>
      <c r="H182" s="2"/>
      <c r="I182" s="2"/>
      <c r="J182" s="2"/>
      <c r="K182" s="2"/>
      <c r="L182" s="2"/>
    </row>
    <row x14ac:dyDescent="0.25" r="183" customHeight="1" ht="17.25">
      <c r="A183" s="2"/>
      <c r="B183" s="2"/>
      <c r="C183" s="2"/>
      <c r="D183" s="13"/>
      <c r="E183" s="10"/>
      <c r="F183" s="16"/>
      <c r="G183" s="2"/>
      <c r="H183" s="2"/>
      <c r="I183" s="2"/>
      <c r="J183" s="2"/>
      <c r="K183" s="2"/>
      <c r="L183" s="2"/>
    </row>
    <row x14ac:dyDescent="0.25" r="184" customHeight="1" ht="17.25">
      <c r="A184" s="2"/>
      <c r="B184" s="2"/>
      <c r="C184" s="2"/>
      <c r="D184" s="13"/>
      <c r="E184" s="10"/>
      <c r="F184" s="16"/>
      <c r="G184" s="2"/>
      <c r="H184" s="2"/>
      <c r="I184" s="2"/>
      <c r="J184" s="2"/>
      <c r="K184" s="2"/>
      <c r="L184" s="2"/>
    </row>
    <row x14ac:dyDescent="0.25" r="185" customHeight="1" ht="17.25">
      <c r="A185" s="2"/>
      <c r="B185" s="2"/>
      <c r="C185" s="2"/>
      <c r="D185" s="13"/>
      <c r="E185" s="10"/>
      <c r="F185" s="16"/>
      <c r="G185" s="2"/>
      <c r="H185" s="2"/>
      <c r="I185" s="2"/>
      <c r="J185" s="2"/>
      <c r="K185" s="2"/>
      <c r="L185" s="2"/>
    </row>
    <row x14ac:dyDescent="0.25" r="186" customHeight="1" ht="17.25">
      <c r="A186" s="2"/>
      <c r="B186" s="2"/>
      <c r="C186" s="2"/>
      <c r="D186" s="13"/>
      <c r="E186" s="10"/>
      <c r="F186" s="16"/>
      <c r="G186" s="2"/>
      <c r="H186" s="2"/>
      <c r="I186" s="2"/>
      <c r="J186" s="2"/>
      <c r="K186" s="2"/>
      <c r="L186" s="2"/>
    </row>
    <row x14ac:dyDescent="0.25" r="187" customHeight="1" ht="17.25">
      <c r="A187" s="2"/>
      <c r="B187" s="2"/>
      <c r="C187" s="2"/>
      <c r="D187" s="13"/>
      <c r="E187" s="10"/>
      <c r="F187" s="16"/>
      <c r="G187" s="2"/>
      <c r="H187" s="2"/>
      <c r="I187" s="2"/>
      <c r="J187" s="2"/>
      <c r="K187" s="2"/>
      <c r="L187" s="2"/>
    </row>
    <row x14ac:dyDescent="0.25" r="188" customHeight="1" ht="17.25">
      <c r="A188" s="2"/>
      <c r="B188" s="2"/>
      <c r="C188" s="2"/>
      <c r="D188" s="13"/>
      <c r="E188" s="10"/>
      <c r="F188" s="16"/>
      <c r="G188" s="2"/>
      <c r="H188" s="2"/>
      <c r="I188" s="2"/>
      <c r="J188" s="2"/>
      <c r="K188" s="2"/>
      <c r="L188" s="2"/>
    </row>
    <row x14ac:dyDescent="0.25" r="189" customHeight="1" ht="17.25">
      <c r="A189" s="2"/>
      <c r="B189" s="2"/>
      <c r="C189" s="2"/>
      <c r="D189" s="13"/>
      <c r="E189" s="10"/>
      <c r="F189" s="16"/>
      <c r="G189" s="2"/>
      <c r="H189" s="2"/>
      <c r="I189" s="2"/>
      <c r="J189" s="2"/>
      <c r="K189" s="2"/>
      <c r="L189" s="2"/>
    </row>
    <row x14ac:dyDescent="0.25" r="190" customHeight="1" ht="17.25">
      <c r="A190" s="2"/>
      <c r="B190" s="2"/>
      <c r="C190" s="2"/>
      <c r="D190" s="13"/>
      <c r="E190" s="10"/>
      <c r="F190" s="16"/>
      <c r="G190" s="2"/>
      <c r="H190" s="2"/>
      <c r="I190" s="2"/>
      <c r="J190" s="2"/>
      <c r="K190" s="2"/>
      <c r="L190" s="2"/>
    </row>
    <row x14ac:dyDescent="0.25" r="191" customHeight="1" ht="17.25">
      <c r="A191" s="2"/>
      <c r="B191" s="2"/>
      <c r="C191" s="2"/>
      <c r="D191" s="13"/>
      <c r="E191" s="10"/>
      <c r="F191" s="16"/>
      <c r="G191" s="2"/>
      <c r="H191" s="2"/>
      <c r="I191" s="2"/>
      <c r="J191" s="2"/>
      <c r="K191" s="2"/>
      <c r="L191" s="2"/>
    </row>
    <row x14ac:dyDescent="0.25" r="192" customHeight="1" ht="17.25">
      <c r="A192" s="2"/>
      <c r="B192" s="2"/>
      <c r="C192" s="2"/>
      <c r="D192" s="13"/>
      <c r="E192" s="10"/>
      <c r="F192" s="16"/>
      <c r="G192" s="2"/>
      <c r="H192" s="2"/>
      <c r="I192" s="2"/>
      <c r="J192" s="2"/>
      <c r="K192" s="2"/>
      <c r="L192" s="2"/>
    </row>
    <row x14ac:dyDescent="0.25" r="193" customHeight="1" ht="17.25">
      <c r="A193" s="2"/>
      <c r="B193" s="2"/>
      <c r="C193" s="2"/>
      <c r="D193" s="13"/>
      <c r="E193" s="10"/>
      <c r="F193" s="16"/>
      <c r="G193" s="2"/>
      <c r="H193" s="2"/>
      <c r="I193" s="2"/>
      <c r="J193" s="2"/>
      <c r="K193" s="2"/>
      <c r="L193" s="2"/>
    </row>
    <row x14ac:dyDescent="0.25" r="194" customHeight="1" ht="17.25">
      <c r="A194" s="2"/>
      <c r="B194" s="2"/>
      <c r="C194" s="2"/>
      <c r="D194" s="13"/>
      <c r="E194" s="10"/>
      <c r="F194" s="16"/>
      <c r="G194" s="2"/>
      <c r="H194" s="2"/>
      <c r="I194" s="2"/>
      <c r="J194" s="2"/>
      <c r="K194" s="2"/>
      <c r="L194" s="2"/>
    </row>
    <row x14ac:dyDescent="0.25" r="195" customHeight="1" ht="17.25">
      <c r="A195" s="2"/>
      <c r="B195" s="2"/>
      <c r="C195" s="2"/>
      <c r="D195" s="13"/>
      <c r="E195" s="10"/>
      <c r="F195" s="16"/>
      <c r="G195" s="2"/>
      <c r="H195" s="2"/>
      <c r="I195" s="2"/>
      <c r="J195" s="2"/>
      <c r="K195" s="2"/>
      <c r="L195" s="2"/>
    </row>
    <row x14ac:dyDescent="0.25" r="196" customHeight="1" ht="17.25">
      <c r="A196" s="2"/>
      <c r="B196" s="2"/>
      <c r="C196" s="2"/>
      <c r="D196" s="13"/>
      <c r="E196" s="10"/>
      <c r="F196" s="16"/>
      <c r="G196" s="2"/>
      <c r="H196" s="2"/>
      <c r="I196" s="2"/>
      <c r="J196" s="2"/>
      <c r="K196" s="2"/>
      <c r="L196" s="2"/>
    </row>
    <row x14ac:dyDescent="0.25" r="197" customHeight="1" ht="17.25">
      <c r="A197" s="2"/>
      <c r="B197" s="2"/>
      <c r="C197" s="2"/>
      <c r="D197" s="13"/>
      <c r="E197" s="10"/>
      <c r="F197" s="16"/>
      <c r="G197" s="2"/>
      <c r="H197" s="2"/>
      <c r="I197" s="2"/>
      <c r="J197" s="2"/>
      <c r="K197" s="2"/>
      <c r="L197" s="2"/>
    </row>
    <row x14ac:dyDescent="0.25" r="198" customHeight="1" ht="17.25">
      <c r="A198" s="2"/>
      <c r="B198" s="2"/>
      <c r="C198" s="2"/>
      <c r="D198" s="13"/>
      <c r="E198" s="10"/>
      <c r="F198" s="16"/>
      <c r="G198" s="2"/>
      <c r="H198" s="2"/>
      <c r="I198" s="2"/>
      <c r="J198" s="2"/>
      <c r="K198" s="2"/>
      <c r="L198" s="2"/>
    </row>
    <row x14ac:dyDescent="0.25" r="199" customHeight="1" ht="17.25">
      <c r="A199" s="2"/>
      <c r="B199" s="2"/>
      <c r="C199" s="2"/>
      <c r="D199" s="13"/>
      <c r="E199" s="10"/>
      <c r="F199" s="16"/>
      <c r="G199" s="2"/>
      <c r="H199" s="2"/>
      <c r="I199" s="2"/>
      <c r="J199" s="2"/>
      <c r="K199" s="2"/>
      <c r="L199" s="2"/>
    </row>
    <row x14ac:dyDescent="0.25" r="200" customHeight="1" ht="17.25">
      <c r="A200" s="2"/>
      <c r="B200" s="2"/>
      <c r="C200" s="2"/>
      <c r="D200" s="13"/>
      <c r="E200" s="10"/>
      <c r="F200" s="16"/>
      <c r="G200" s="2"/>
      <c r="H200" s="2"/>
      <c r="I200" s="2"/>
      <c r="J200" s="2"/>
      <c r="K200" s="2"/>
      <c r="L200" s="2"/>
    </row>
    <row x14ac:dyDescent="0.25" r="201" customHeight="1" ht="17.25">
      <c r="A201" s="2"/>
      <c r="B201" s="2"/>
      <c r="C201" s="2"/>
      <c r="D201" s="13"/>
      <c r="E201" s="10"/>
      <c r="F201" s="16"/>
      <c r="G201" s="2"/>
      <c r="H201" s="2"/>
      <c r="I201" s="2"/>
      <c r="J201" s="2"/>
      <c r="K201" s="2"/>
      <c r="L201" s="2"/>
    </row>
    <row x14ac:dyDescent="0.25" r="202" customHeight="1" ht="17.25">
      <c r="A202" s="2"/>
      <c r="B202" s="2"/>
      <c r="C202" s="2"/>
      <c r="D202" s="13"/>
      <c r="E202" s="10"/>
      <c r="F202" s="16"/>
      <c r="G202" s="2"/>
      <c r="H202" s="2"/>
      <c r="I202" s="2"/>
      <c r="J202" s="2"/>
      <c r="K202" s="2"/>
      <c r="L202" s="2"/>
    </row>
    <row x14ac:dyDescent="0.25" r="203" customHeight="1" ht="17.25">
      <c r="A203" s="2"/>
      <c r="B203" s="2"/>
      <c r="C203" s="2"/>
      <c r="D203" s="13"/>
      <c r="E203" s="10"/>
      <c r="F203" s="16"/>
      <c r="G203" s="2"/>
      <c r="H203" s="2"/>
      <c r="I203" s="2"/>
      <c r="J203" s="2"/>
      <c r="K203" s="2"/>
      <c r="L203" s="2"/>
    </row>
    <row x14ac:dyDescent="0.25" r="204" customHeight="1" ht="17.25">
      <c r="A204" s="2"/>
      <c r="B204" s="2"/>
      <c r="C204" s="2"/>
      <c r="D204" s="13"/>
      <c r="E204" s="10"/>
      <c r="F204" s="16"/>
      <c r="G204" s="2"/>
      <c r="H204" s="2"/>
      <c r="I204" s="2"/>
      <c r="J204" s="2"/>
      <c r="K204" s="2"/>
      <c r="L204" s="2"/>
    </row>
    <row x14ac:dyDescent="0.25" r="205" customHeight="1" ht="17.25">
      <c r="A205" s="2"/>
      <c r="B205" s="2"/>
      <c r="C205" s="2"/>
      <c r="D205" s="13"/>
      <c r="E205" s="10"/>
      <c r="F205" s="16"/>
      <c r="G205" s="2"/>
      <c r="H205" s="2"/>
      <c r="I205" s="2"/>
      <c r="J205" s="2"/>
      <c r="K205" s="2"/>
      <c r="L205" s="2"/>
    </row>
    <row x14ac:dyDescent="0.25" r="206" customHeight="1" ht="17.25">
      <c r="A206" s="2"/>
      <c r="B206" s="2"/>
      <c r="C206" s="2"/>
      <c r="D206" s="13"/>
      <c r="E206" s="10"/>
      <c r="F206" s="16"/>
      <c r="G206" s="2"/>
      <c r="H206" s="2"/>
      <c r="I206" s="2"/>
      <c r="J206" s="2"/>
      <c r="K206" s="2"/>
      <c r="L206" s="2"/>
    </row>
    <row x14ac:dyDescent="0.25" r="207" customHeight="1" ht="17.25">
      <c r="A207" s="2"/>
      <c r="B207" s="2"/>
      <c r="C207" s="2"/>
      <c r="D207" s="13"/>
      <c r="E207" s="10"/>
      <c r="F207" s="16"/>
      <c r="G207" s="2"/>
      <c r="H207" s="2"/>
      <c r="I207" s="2"/>
      <c r="J207" s="2"/>
      <c r="K207" s="2"/>
      <c r="L207" s="2"/>
    </row>
    <row x14ac:dyDescent="0.25" r="208" customHeight="1" ht="17.25">
      <c r="A208" s="2"/>
      <c r="B208" s="2"/>
      <c r="C208" s="2"/>
      <c r="D208" s="13"/>
      <c r="E208" s="10"/>
      <c r="F208" s="16"/>
      <c r="G208" s="2"/>
      <c r="H208" s="2"/>
      <c r="I208" s="2"/>
      <c r="J208" s="2"/>
      <c r="K208" s="2"/>
      <c r="L208" s="2"/>
    </row>
    <row x14ac:dyDescent="0.25" r="209" customHeight="1" ht="17.25">
      <c r="A209" s="2"/>
      <c r="B209" s="2"/>
      <c r="C209" s="2"/>
      <c r="D209" s="13"/>
      <c r="E209" s="10"/>
      <c r="F209" s="16"/>
      <c r="G209" s="2"/>
      <c r="H209" s="2"/>
      <c r="I209" s="2"/>
      <c r="J209" s="2"/>
      <c r="K209" s="2"/>
      <c r="L209" s="2"/>
    </row>
    <row x14ac:dyDescent="0.25" r="210" customHeight="1" ht="17.25">
      <c r="A210" s="2"/>
      <c r="B210" s="2"/>
      <c r="C210" s="2"/>
      <c r="D210" s="13"/>
      <c r="E210" s="10"/>
      <c r="F210" s="16"/>
      <c r="G210" s="2"/>
      <c r="H210" s="2"/>
      <c r="I210" s="2"/>
      <c r="J210" s="2"/>
      <c r="K210" s="2"/>
      <c r="L210" s="2"/>
    </row>
    <row x14ac:dyDescent="0.25" r="211" customHeight="1" ht="17.25">
      <c r="A211" s="2"/>
      <c r="B211" s="2"/>
      <c r="C211" s="2"/>
      <c r="D211" s="13"/>
      <c r="E211" s="10"/>
      <c r="F211" s="16"/>
      <c r="G211" s="2"/>
      <c r="H211" s="2"/>
      <c r="I211" s="2"/>
      <c r="J211" s="2"/>
      <c r="K211" s="2"/>
      <c r="L211" s="2"/>
    </row>
    <row x14ac:dyDescent="0.25" r="212" customHeight="1" ht="17.25">
      <c r="A212" s="2"/>
      <c r="B212" s="2"/>
      <c r="C212" s="2"/>
      <c r="D212" s="13"/>
      <c r="E212" s="10"/>
      <c r="F212" s="16"/>
      <c r="G212" s="2"/>
      <c r="H212" s="2"/>
      <c r="I212" s="2"/>
      <c r="J212" s="2"/>
      <c r="K212" s="2"/>
      <c r="L212" s="2"/>
    </row>
    <row x14ac:dyDescent="0.25" r="213" customHeight="1" ht="17.25">
      <c r="A213" s="2"/>
      <c r="B213" s="2"/>
      <c r="C213" s="2"/>
      <c r="D213" s="13"/>
      <c r="E213" s="10"/>
      <c r="F213" s="16"/>
      <c r="G213" s="2"/>
      <c r="H213" s="2"/>
      <c r="I213" s="2"/>
      <c r="J213" s="2"/>
      <c r="K213" s="2"/>
      <c r="L213" s="2"/>
    </row>
    <row x14ac:dyDescent="0.25" r="214" customHeight="1" ht="17.25">
      <c r="A214" s="2"/>
      <c r="B214" s="2"/>
      <c r="C214" s="2"/>
      <c r="D214" s="13"/>
      <c r="E214" s="10"/>
      <c r="F214" s="16"/>
      <c r="G214" s="2"/>
      <c r="H214" s="2"/>
      <c r="I214" s="2"/>
      <c r="J214" s="2"/>
      <c r="K214" s="2"/>
      <c r="L214" s="2"/>
    </row>
    <row x14ac:dyDescent="0.25" r="215" customHeight="1" ht="17.25">
      <c r="A215" s="2"/>
      <c r="B215" s="2"/>
      <c r="C215" s="2"/>
      <c r="D215" s="13"/>
      <c r="E215" s="10"/>
      <c r="F215" s="16"/>
      <c r="G215" s="2"/>
      <c r="H215" s="2"/>
      <c r="I215" s="2"/>
      <c r="J215" s="2"/>
      <c r="K215" s="2"/>
      <c r="L215" s="2"/>
    </row>
    <row x14ac:dyDescent="0.25" r="216" customHeight="1" ht="17.25">
      <c r="A216" s="2"/>
      <c r="B216" s="2"/>
      <c r="C216" s="2"/>
      <c r="D216" s="13"/>
      <c r="E216" s="10"/>
      <c r="F216" s="16"/>
      <c r="G216" s="2"/>
      <c r="H216" s="2"/>
      <c r="I216" s="2"/>
      <c r="J216" s="2"/>
      <c r="K216" s="2"/>
      <c r="L216" s="2"/>
    </row>
    <row x14ac:dyDescent="0.25" r="217" customHeight="1" ht="17.25">
      <c r="A217" s="2"/>
      <c r="B217" s="2"/>
      <c r="C217" s="2"/>
      <c r="D217" s="13"/>
      <c r="E217" s="10"/>
      <c r="F217" s="16"/>
      <c r="G217" s="2"/>
      <c r="H217" s="2"/>
      <c r="I217" s="2"/>
      <c r="J217" s="2"/>
      <c r="K217" s="2"/>
      <c r="L217" s="2"/>
    </row>
    <row x14ac:dyDescent="0.25" r="218" customHeight="1" ht="17.25">
      <c r="A218" s="2"/>
      <c r="B218" s="2"/>
      <c r="C218" s="2"/>
      <c r="D218" s="13"/>
      <c r="E218" s="10"/>
      <c r="F218" s="16"/>
      <c r="G218" s="2"/>
      <c r="H218" s="2"/>
      <c r="I218" s="2"/>
      <c r="J218" s="2"/>
      <c r="K218" s="2"/>
      <c r="L218" s="2"/>
    </row>
    <row x14ac:dyDescent="0.25" r="219" customHeight="1" ht="17.25">
      <c r="A219" s="2"/>
      <c r="B219" s="2"/>
      <c r="C219" s="2"/>
      <c r="D219" s="13"/>
      <c r="E219" s="10"/>
      <c r="F219" s="16"/>
      <c r="G219" s="2"/>
      <c r="H219" s="2"/>
      <c r="I219" s="2"/>
      <c r="J219" s="2"/>
      <c r="K219" s="2"/>
      <c r="L219" s="2"/>
    </row>
    <row x14ac:dyDescent="0.25" r="220" customHeight="1" ht="17.25">
      <c r="A220" s="2"/>
      <c r="B220" s="2"/>
      <c r="C220" s="2"/>
      <c r="D220" s="13"/>
      <c r="E220" s="10"/>
      <c r="F220" s="16"/>
      <c r="G220" s="2"/>
      <c r="H220" s="2"/>
      <c r="I220" s="2"/>
      <c r="J220" s="2"/>
      <c r="K220" s="2"/>
      <c r="L220" s="2"/>
    </row>
    <row x14ac:dyDescent="0.25" r="221" customHeight="1" ht="17.25">
      <c r="A221" s="2"/>
      <c r="B221" s="2"/>
      <c r="C221" s="2"/>
      <c r="D221" s="13"/>
      <c r="E221" s="10"/>
      <c r="F221" s="16"/>
      <c r="G221" s="2"/>
      <c r="H221" s="2"/>
      <c r="I221" s="2"/>
      <c r="J221" s="2"/>
      <c r="K221" s="2"/>
      <c r="L221" s="2"/>
    </row>
    <row x14ac:dyDescent="0.25" r="222" customHeight="1" ht="17.25">
      <c r="A222" s="2"/>
      <c r="B222" s="2"/>
      <c r="C222" s="2"/>
      <c r="D222" s="13"/>
      <c r="E222" s="10"/>
      <c r="F222" s="16"/>
      <c r="G222" s="2"/>
      <c r="H222" s="2"/>
      <c r="I222" s="2"/>
      <c r="J222" s="2"/>
      <c r="K222" s="2"/>
      <c r="L222" s="2"/>
    </row>
    <row x14ac:dyDescent="0.25" r="223" customHeight="1" ht="17.25">
      <c r="A223" s="2"/>
      <c r="B223" s="2"/>
      <c r="C223" s="2"/>
      <c r="D223" s="13"/>
      <c r="E223" s="10"/>
      <c r="F223" s="16"/>
      <c r="G223" s="2"/>
      <c r="H223" s="2"/>
      <c r="I223" s="2"/>
      <c r="J223" s="2"/>
      <c r="K223" s="2"/>
      <c r="L223" s="2"/>
    </row>
    <row x14ac:dyDescent="0.25" r="224" customHeight="1" ht="17.25">
      <c r="A224" s="2"/>
      <c r="B224" s="2"/>
      <c r="C224" s="2"/>
      <c r="D224" s="13"/>
      <c r="E224" s="10"/>
      <c r="F224" s="16"/>
      <c r="G224" s="2"/>
      <c r="H224" s="2"/>
      <c r="I224" s="2"/>
      <c r="J224" s="2"/>
      <c r="K224" s="2"/>
      <c r="L224" s="2"/>
    </row>
    <row x14ac:dyDescent="0.25" r="225" customHeight="1" ht="17.25">
      <c r="A225" s="2"/>
      <c r="B225" s="2"/>
      <c r="C225" s="2"/>
      <c r="D225" s="13"/>
      <c r="E225" s="10"/>
      <c r="F225" s="16"/>
      <c r="G225" s="2"/>
      <c r="H225" s="2"/>
      <c r="I225" s="2"/>
      <c r="J225" s="2"/>
      <c r="K225" s="2"/>
      <c r="L225" s="2"/>
    </row>
    <row x14ac:dyDescent="0.25" r="226" customHeight="1" ht="17.25">
      <c r="A226" s="2"/>
      <c r="B226" s="2"/>
      <c r="C226" s="2"/>
      <c r="D226" s="13"/>
      <c r="E226" s="10"/>
      <c r="F226" s="16"/>
      <c r="G226" s="2"/>
      <c r="H226" s="2"/>
      <c r="I226" s="2"/>
      <c r="J226" s="2"/>
      <c r="K226" s="2"/>
      <c r="L226" s="2"/>
    </row>
    <row x14ac:dyDescent="0.25" r="227" customHeight="1" ht="17.25">
      <c r="A227" s="2"/>
      <c r="B227" s="2"/>
      <c r="C227" s="2"/>
      <c r="D227" s="13"/>
      <c r="E227" s="10"/>
      <c r="F227" s="16"/>
      <c r="G227" s="2"/>
      <c r="H227" s="2"/>
      <c r="I227" s="2"/>
      <c r="J227" s="2"/>
      <c r="K227" s="2"/>
      <c r="L227" s="2"/>
    </row>
    <row x14ac:dyDescent="0.25" r="228" customHeight="1" ht="17.25">
      <c r="A228" s="2"/>
      <c r="B228" s="2"/>
      <c r="C228" s="2"/>
      <c r="D228" s="13"/>
      <c r="E228" s="10"/>
      <c r="F228" s="16"/>
      <c r="G228" s="2"/>
      <c r="H228" s="2"/>
      <c r="I228" s="2"/>
      <c r="J228" s="2"/>
      <c r="K228" s="2"/>
      <c r="L228" s="2"/>
    </row>
    <row x14ac:dyDescent="0.25" r="229" customHeight="1" ht="17.25">
      <c r="A229" s="2"/>
      <c r="B229" s="2"/>
      <c r="C229" s="2"/>
      <c r="D229" s="13"/>
      <c r="E229" s="10"/>
      <c r="F229" s="16"/>
      <c r="G229" s="2"/>
      <c r="H229" s="2"/>
      <c r="I229" s="2"/>
      <c r="J229" s="2"/>
      <c r="K229" s="2"/>
      <c r="L229" s="2"/>
    </row>
    <row x14ac:dyDescent="0.25" r="230" customHeight="1" ht="17.25">
      <c r="A230" s="2"/>
      <c r="B230" s="2"/>
      <c r="C230" s="2"/>
      <c r="D230" s="13"/>
      <c r="E230" s="10"/>
      <c r="F230" s="16"/>
      <c r="G230" s="2"/>
      <c r="H230" s="2"/>
      <c r="I230" s="2"/>
      <c r="J230" s="2"/>
      <c r="K230" s="2"/>
      <c r="L230" s="2"/>
    </row>
    <row x14ac:dyDescent="0.25" r="231" customHeight="1" ht="17.25">
      <c r="A231" s="2"/>
      <c r="B231" s="2"/>
      <c r="C231" s="2"/>
      <c r="D231" s="13"/>
      <c r="E231" s="10"/>
      <c r="F231" s="16"/>
      <c r="G231" s="2"/>
      <c r="H231" s="2"/>
      <c r="I231" s="2"/>
      <c r="J231" s="2"/>
      <c r="K231" s="2"/>
      <c r="L231" s="2"/>
    </row>
    <row x14ac:dyDescent="0.25" r="232" customHeight="1" ht="17.25">
      <c r="A232" s="2"/>
      <c r="B232" s="2"/>
      <c r="C232" s="2"/>
      <c r="D232" s="13"/>
      <c r="E232" s="10"/>
      <c r="F232" s="16"/>
      <c r="G232" s="2"/>
      <c r="H232" s="2"/>
      <c r="I232" s="2"/>
      <c r="J232" s="2"/>
      <c r="K232" s="2"/>
      <c r="L232" s="2"/>
    </row>
    <row x14ac:dyDescent="0.25" r="233" customHeight="1" ht="17.25">
      <c r="A233" s="2"/>
      <c r="B233" s="2"/>
      <c r="C233" s="2"/>
      <c r="D233" s="13"/>
      <c r="E233" s="10"/>
      <c r="F233" s="16"/>
      <c r="G233" s="2"/>
      <c r="H233" s="2"/>
      <c r="I233" s="2"/>
      <c r="J233" s="2"/>
      <c r="K233" s="2"/>
      <c r="L233" s="2"/>
    </row>
    <row x14ac:dyDescent="0.25" r="234" customHeight="1" ht="17.25">
      <c r="A234" s="2"/>
      <c r="B234" s="2"/>
      <c r="C234" s="2"/>
      <c r="D234" s="13"/>
      <c r="E234" s="10"/>
      <c r="F234" s="16"/>
      <c r="G234" s="2"/>
      <c r="H234" s="2"/>
      <c r="I234" s="2"/>
      <c r="J234" s="2"/>
      <c r="K234" s="2"/>
      <c r="L234" s="2"/>
    </row>
    <row x14ac:dyDescent="0.25" r="235" customHeight="1" ht="17.25">
      <c r="A235" s="2"/>
      <c r="B235" s="2"/>
      <c r="C235" s="2"/>
      <c r="D235" s="13"/>
      <c r="E235" s="10"/>
      <c r="F235" s="16"/>
      <c r="G235" s="2"/>
      <c r="H235" s="2"/>
      <c r="I235" s="2"/>
      <c r="J235" s="2"/>
      <c r="K235" s="2"/>
      <c r="L235" s="2"/>
    </row>
    <row x14ac:dyDescent="0.25" r="236" customHeight="1" ht="17.25">
      <c r="A236" s="2"/>
      <c r="B236" s="2"/>
      <c r="C236" s="2"/>
      <c r="D236" s="13"/>
      <c r="E236" s="10"/>
      <c r="F236" s="16"/>
      <c r="G236" s="2"/>
      <c r="H236" s="2"/>
      <c r="I236" s="2"/>
      <c r="J236" s="2"/>
      <c r="K236" s="2"/>
      <c r="L236" s="2"/>
    </row>
    <row x14ac:dyDescent="0.25" r="237" customHeight="1" ht="17.25">
      <c r="A237" s="2"/>
      <c r="B237" s="2"/>
      <c r="C237" s="2"/>
      <c r="D237" s="13"/>
      <c r="E237" s="10"/>
      <c r="F237" s="16"/>
      <c r="G237" s="2"/>
      <c r="H237" s="2"/>
      <c r="I237" s="2"/>
      <c r="J237" s="2"/>
      <c r="K237" s="2"/>
      <c r="L237" s="2"/>
    </row>
    <row x14ac:dyDescent="0.25" r="238" customHeight="1" ht="17.25">
      <c r="A238" s="2"/>
      <c r="B238" s="2"/>
      <c r="C238" s="2"/>
      <c r="D238" s="13"/>
      <c r="E238" s="10"/>
      <c r="F238" s="16"/>
      <c r="G238" s="2"/>
      <c r="H238" s="2"/>
      <c r="I238" s="2"/>
      <c r="J238" s="2"/>
      <c r="K238" s="2"/>
      <c r="L238" s="2"/>
    </row>
    <row x14ac:dyDescent="0.25" r="239" customHeight="1" ht="17.25">
      <c r="A239" s="2"/>
      <c r="B239" s="2"/>
      <c r="C239" s="2"/>
      <c r="D239" s="13"/>
      <c r="E239" s="10"/>
      <c r="F239" s="16"/>
      <c r="G239" s="2"/>
      <c r="H239" s="2"/>
      <c r="I239" s="2"/>
      <c r="J239" s="2"/>
      <c r="K239" s="2"/>
      <c r="L239" s="2"/>
    </row>
    <row x14ac:dyDescent="0.25" r="240" customHeight="1" ht="17.25">
      <c r="A240" s="2"/>
      <c r="B240" s="2"/>
      <c r="C240" s="2"/>
      <c r="D240" s="13"/>
      <c r="E240" s="10"/>
      <c r="F240" s="16"/>
      <c r="G240" s="2"/>
      <c r="H240" s="2"/>
      <c r="I240" s="2"/>
      <c r="J240" s="2"/>
      <c r="K240" s="2"/>
      <c r="L240" s="2"/>
    </row>
    <row x14ac:dyDescent="0.25" r="241" customHeight="1" ht="17.25">
      <c r="A241" s="2"/>
      <c r="B241" s="2"/>
      <c r="C241" s="2"/>
      <c r="D241" s="13"/>
      <c r="E241" s="10"/>
      <c r="F241" s="16"/>
      <c r="G241" s="2"/>
      <c r="H241" s="2"/>
      <c r="I241" s="2"/>
      <c r="J241" s="2"/>
      <c r="K241" s="2"/>
      <c r="L241" s="2"/>
    </row>
    <row x14ac:dyDescent="0.25" r="242" customHeight="1" ht="17.25">
      <c r="A242" s="2"/>
      <c r="B242" s="2"/>
      <c r="C242" s="2"/>
      <c r="D242" s="13"/>
      <c r="E242" s="10"/>
      <c r="F242" s="16"/>
      <c r="G242" s="2"/>
      <c r="H242" s="2"/>
      <c r="I242" s="2"/>
      <c r="J242" s="2"/>
      <c r="K242" s="2"/>
      <c r="L242" s="2"/>
    </row>
    <row x14ac:dyDescent="0.25" r="243" customHeight="1" ht="17.25">
      <c r="A243" s="2"/>
      <c r="B243" s="2"/>
      <c r="C243" s="2"/>
      <c r="D243" s="13"/>
      <c r="E243" s="10"/>
      <c r="F243" s="16"/>
      <c r="G243" s="2"/>
      <c r="H243" s="2"/>
      <c r="I243" s="2"/>
      <c r="J243" s="2"/>
      <c r="K243" s="2"/>
      <c r="L243" s="2"/>
    </row>
    <row x14ac:dyDescent="0.25" r="244" customHeight="1" ht="17.25">
      <c r="A244" s="2"/>
      <c r="B244" s="2"/>
      <c r="C244" s="2"/>
      <c r="D244" s="13"/>
      <c r="E244" s="10"/>
      <c r="F244" s="16"/>
      <c r="G244" s="2"/>
      <c r="H244" s="2"/>
      <c r="I244" s="2"/>
      <c r="J244" s="2"/>
      <c r="K244" s="2"/>
      <c r="L244" s="2"/>
    </row>
    <row x14ac:dyDescent="0.25" r="245" customHeight="1" ht="17.25">
      <c r="A245" s="2"/>
      <c r="B245" s="2"/>
      <c r="C245" s="2"/>
      <c r="D245" s="13"/>
      <c r="E245" s="10"/>
      <c r="F245" s="16"/>
      <c r="G245" s="2"/>
      <c r="H245" s="2"/>
      <c r="I245" s="2"/>
      <c r="J245" s="2"/>
      <c r="K245" s="2"/>
      <c r="L245" s="2"/>
    </row>
    <row x14ac:dyDescent="0.25" r="246" customHeight="1" ht="17.25">
      <c r="A246" s="2"/>
      <c r="B246" s="2"/>
      <c r="C246" s="2"/>
      <c r="D246" s="13"/>
      <c r="E246" s="10"/>
      <c r="F246" s="16"/>
      <c r="G246" s="2"/>
      <c r="H246" s="2"/>
      <c r="I246" s="2"/>
      <c r="J246" s="2"/>
      <c r="K246" s="2"/>
      <c r="L246" s="2"/>
    </row>
    <row x14ac:dyDescent="0.25" r="247" customHeight="1" ht="17.25">
      <c r="A247" s="2"/>
      <c r="B247" s="2"/>
      <c r="C247" s="2"/>
      <c r="D247" s="13"/>
      <c r="E247" s="10"/>
      <c r="F247" s="16"/>
      <c r="G247" s="2"/>
      <c r="H247" s="2"/>
      <c r="I247" s="2"/>
      <c r="J247" s="2"/>
      <c r="K247" s="2"/>
      <c r="L247" s="2"/>
    </row>
    <row x14ac:dyDescent="0.25" r="248" customHeight="1" ht="17.25">
      <c r="A248" s="2"/>
      <c r="B248" s="2"/>
      <c r="C248" s="2"/>
      <c r="D248" s="13"/>
      <c r="E248" s="10"/>
      <c r="F248" s="16"/>
      <c r="G248" s="2"/>
      <c r="H248" s="2"/>
      <c r="I248" s="2"/>
      <c r="J248" s="2"/>
      <c r="K248" s="2"/>
      <c r="L248" s="2"/>
    </row>
    <row x14ac:dyDescent="0.25" r="249" customHeight="1" ht="17.25">
      <c r="A249" s="2"/>
      <c r="B249" s="2"/>
      <c r="C249" s="2"/>
      <c r="D249" s="13"/>
      <c r="E249" s="10"/>
      <c r="F249" s="16"/>
      <c r="G249" s="2"/>
      <c r="H249" s="2"/>
      <c r="I249" s="2"/>
      <c r="J249" s="2"/>
      <c r="K249" s="2"/>
      <c r="L249" s="2"/>
    </row>
    <row x14ac:dyDescent="0.25" r="250" customHeight="1" ht="17.25">
      <c r="A250" s="2"/>
      <c r="B250" s="2"/>
      <c r="C250" s="2"/>
      <c r="D250" s="13"/>
      <c r="E250" s="10"/>
      <c r="F250" s="16"/>
      <c r="G250" s="2"/>
      <c r="H250" s="2"/>
      <c r="I250" s="2"/>
      <c r="J250" s="2"/>
      <c r="K250" s="2"/>
      <c r="L250" s="2"/>
    </row>
    <row x14ac:dyDescent="0.25" r="251" customHeight="1" ht="17.25">
      <c r="A251" s="2"/>
      <c r="B251" s="2"/>
      <c r="C251" s="2"/>
      <c r="D251" s="13"/>
      <c r="E251" s="10"/>
      <c r="F251" s="16"/>
      <c r="G251" s="2"/>
      <c r="H251" s="2"/>
      <c r="I251" s="2"/>
      <c r="J251" s="2"/>
      <c r="K251" s="2"/>
      <c r="L251" s="2"/>
    </row>
    <row x14ac:dyDescent="0.25" r="252" customHeight="1" ht="17.25">
      <c r="A252" s="2"/>
      <c r="B252" s="2"/>
      <c r="C252" s="2"/>
      <c r="D252" s="13"/>
      <c r="E252" s="10"/>
      <c r="F252" s="16"/>
      <c r="G252" s="2"/>
      <c r="H252" s="2"/>
      <c r="I252" s="2"/>
      <c r="J252" s="2"/>
      <c r="K252" s="2"/>
      <c r="L252" s="2"/>
    </row>
    <row x14ac:dyDescent="0.25" r="253" customHeight="1" ht="17.25">
      <c r="A253" s="2"/>
      <c r="B253" s="2"/>
      <c r="C253" s="2"/>
      <c r="D253" s="13"/>
      <c r="E253" s="10"/>
      <c r="F253" s="16"/>
      <c r="G253" s="2"/>
      <c r="H253" s="2"/>
      <c r="I253" s="2"/>
      <c r="J253" s="2"/>
      <c r="K253" s="2"/>
      <c r="L253" s="2"/>
    </row>
    <row x14ac:dyDescent="0.25" r="254" customHeight="1" ht="17.25">
      <c r="A254" s="2"/>
      <c r="B254" s="2"/>
      <c r="C254" s="2"/>
      <c r="D254" s="13"/>
      <c r="E254" s="10"/>
      <c r="F254" s="16"/>
      <c r="G254" s="2"/>
      <c r="H254" s="2"/>
      <c r="I254" s="2"/>
      <c r="J254" s="2"/>
      <c r="K254" s="2"/>
      <c r="L254" s="2"/>
    </row>
    <row x14ac:dyDescent="0.25" r="255" customHeight="1" ht="17.25">
      <c r="A255" s="2"/>
      <c r="B255" s="2"/>
      <c r="C255" s="2"/>
      <c r="D255" s="13"/>
      <c r="E255" s="10"/>
      <c r="F255" s="16"/>
      <c r="G255" s="2"/>
      <c r="H255" s="2"/>
      <c r="I255" s="2"/>
      <c r="J255" s="2"/>
      <c r="K255" s="2"/>
      <c r="L255" s="2"/>
    </row>
    <row x14ac:dyDescent="0.25" r="256" customHeight="1" ht="17.25">
      <c r="A256" s="2"/>
      <c r="B256" s="2"/>
      <c r="C256" s="2"/>
      <c r="D256" s="13"/>
      <c r="E256" s="10"/>
      <c r="F256" s="16"/>
      <c r="G256" s="2"/>
      <c r="H256" s="2"/>
      <c r="I256" s="2"/>
      <c r="J256" s="2"/>
      <c r="K256" s="2"/>
      <c r="L256" s="2"/>
    </row>
    <row x14ac:dyDescent="0.25" r="257" customHeight="1" ht="17.25">
      <c r="A257" s="2"/>
      <c r="B257" s="2"/>
      <c r="C257" s="2"/>
      <c r="D257" s="13"/>
      <c r="E257" s="10"/>
      <c r="F257" s="16"/>
      <c r="G257" s="2"/>
      <c r="H257" s="2"/>
      <c r="I257" s="2"/>
      <c r="J257" s="2"/>
      <c r="K257" s="2"/>
      <c r="L257" s="2"/>
    </row>
    <row x14ac:dyDescent="0.25" r="258" customHeight="1" ht="17.25">
      <c r="A258" s="2"/>
      <c r="B258" s="2"/>
      <c r="C258" s="2"/>
      <c r="D258" s="13"/>
      <c r="E258" s="10"/>
      <c r="F258" s="16"/>
      <c r="G258" s="2"/>
      <c r="H258" s="2"/>
      <c r="I258" s="2"/>
      <c r="J258" s="2"/>
      <c r="K258" s="2"/>
      <c r="L258" s="2"/>
    </row>
    <row x14ac:dyDescent="0.25" r="259" customHeight="1" ht="17.25">
      <c r="A259" s="2"/>
      <c r="B259" s="2"/>
      <c r="C259" s="2"/>
      <c r="D259" s="13"/>
      <c r="E259" s="10"/>
      <c r="F259" s="16"/>
      <c r="G259" s="2"/>
      <c r="H259" s="2"/>
      <c r="I259" s="2"/>
      <c r="J259" s="2"/>
      <c r="K259" s="2"/>
      <c r="L259" s="2"/>
    </row>
    <row x14ac:dyDescent="0.25" r="260" customHeight="1" ht="17.25">
      <c r="A260" s="2"/>
      <c r="B260" s="2"/>
      <c r="C260" s="2"/>
      <c r="D260" s="13"/>
      <c r="E260" s="10"/>
      <c r="F260" s="16"/>
      <c r="G260" s="2"/>
      <c r="H260" s="2"/>
      <c r="I260" s="2"/>
      <c r="J260" s="2"/>
      <c r="K260" s="2"/>
      <c r="L260" s="2"/>
    </row>
    <row x14ac:dyDescent="0.25" r="261" customHeight="1" ht="17.25">
      <c r="A261" s="2"/>
      <c r="B261" s="2"/>
      <c r="C261" s="2"/>
      <c r="D261" s="13"/>
      <c r="E261" s="10"/>
      <c r="F261" s="16"/>
      <c r="G261" s="2"/>
      <c r="H261" s="2"/>
      <c r="I261" s="2"/>
      <c r="J261" s="2"/>
      <c r="K261" s="2"/>
      <c r="L261" s="2"/>
    </row>
    <row x14ac:dyDescent="0.25" r="262" customHeight="1" ht="17.25">
      <c r="A262" s="2"/>
      <c r="B262" s="2"/>
      <c r="C262" s="2"/>
      <c r="D262" s="13"/>
      <c r="E262" s="10"/>
      <c r="F262" s="16"/>
      <c r="G262" s="2"/>
      <c r="H262" s="2"/>
      <c r="I262" s="2"/>
      <c r="J262" s="2"/>
      <c r="K262" s="2"/>
      <c r="L262" s="2"/>
    </row>
    <row x14ac:dyDescent="0.25" r="263" customHeight="1" ht="17.25">
      <c r="A263" s="2"/>
      <c r="B263" s="2"/>
      <c r="C263" s="2"/>
      <c r="D263" s="13"/>
      <c r="E263" s="10"/>
      <c r="F263" s="16"/>
      <c r="G263" s="2"/>
      <c r="H263" s="2"/>
      <c r="I263" s="2"/>
      <c r="J263" s="2"/>
      <c r="K263" s="2"/>
      <c r="L263" s="2"/>
    </row>
    <row x14ac:dyDescent="0.25" r="264" customHeight="1" ht="17.25">
      <c r="A264" s="2"/>
      <c r="B264" s="2"/>
      <c r="C264" s="2"/>
      <c r="D264" s="13"/>
      <c r="E264" s="10"/>
      <c r="F264" s="16"/>
      <c r="G264" s="2"/>
      <c r="H264" s="2"/>
      <c r="I264" s="2"/>
      <c r="J264" s="2"/>
      <c r="K264" s="2"/>
      <c r="L264" s="2"/>
    </row>
    <row x14ac:dyDescent="0.25" r="265" customHeight="1" ht="17.25">
      <c r="A265" s="2"/>
      <c r="B265" s="2"/>
      <c r="C265" s="2"/>
      <c r="D265" s="13"/>
      <c r="E265" s="10"/>
      <c r="F265" s="16"/>
      <c r="G265" s="2"/>
      <c r="H265" s="2"/>
      <c r="I265" s="2"/>
      <c r="J265" s="2"/>
      <c r="K265" s="2"/>
      <c r="L265" s="2"/>
    </row>
    <row x14ac:dyDescent="0.25" r="266" customHeight="1" ht="17.25">
      <c r="A266" s="2"/>
      <c r="B266" s="2"/>
      <c r="C266" s="2"/>
      <c r="D266" s="13"/>
      <c r="E266" s="10"/>
      <c r="F266" s="16"/>
      <c r="G266" s="2"/>
      <c r="H266" s="2"/>
      <c r="I266" s="2"/>
      <c r="J266" s="2"/>
      <c r="K266" s="2"/>
      <c r="L266" s="2"/>
    </row>
    <row x14ac:dyDescent="0.25" r="267" customHeight="1" ht="17.25">
      <c r="A267" s="2"/>
      <c r="B267" s="2"/>
      <c r="C267" s="2"/>
      <c r="D267" s="13"/>
      <c r="E267" s="10"/>
      <c r="F267" s="16"/>
      <c r="G267" s="2"/>
      <c r="H267" s="2"/>
      <c r="I267" s="2"/>
      <c r="J267" s="2"/>
      <c r="K267" s="2"/>
      <c r="L267" s="2"/>
    </row>
    <row x14ac:dyDescent="0.25" r="268" customHeight="1" ht="17.25">
      <c r="A268" s="2"/>
      <c r="B268" s="2"/>
      <c r="C268" s="2"/>
      <c r="D268" s="13"/>
      <c r="E268" s="10"/>
      <c r="F268" s="16"/>
      <c r="G268" s="2"/>
      <c r="H268" s="2"/>
      <c r="I268" s="2"/>
      <c r="J268" s="2"/>
      <c r="K268" s="2"/>
      <c r="L268" s="2"/>
    </row>
    <row x14ac:dyDescent="0.25" r="269" customHeight="1" ht="17.25">
      <c r="A269" s="2"/>
      <c r="B269" s="2"/>
      <c r="C269" s="2"/>
      <c r="D269" s="13"/>
      <c r="E269" s="10"/>
      <c r="F269" s="16"/>
      <c r="G269" s="2"/>
      <c r="H269" s="2"/>
      <c r="I269" s="2"/>
      <c r="J269" s="2"/>
      <c r="K269" s="2"/>
      <c r="L269" s="2"/>
    </row>
    <row x14ac:dyDescent="0.25" r="270" customHeight="1" ht="17.25">
      <c r="A270" s="2"/>
      <c r="B270" s="2"/>
      <c r="C270" s="2"/>
      <c r="D270" s="13"/>
      <c r="E270" s="10"/>
      <c r="F270" s="16"/>
      <c r="G270" s="2"/>
      <c r="H270" s="2"/>
      <c r="I270" s="2"/>
      <c r="J270" s="2"/>
      <c r="K270" s="2"/>
      <c r="L270" s="2"/>
    </row>
    <row x14ac:dyDescent="0.25" r="271" customHeight="1" ht="17.25">
      <c r="A271" s="2"/>
      <c r="B271" s="2"/>
      <c r="C271" s="2"/>
      <c r="D271" s="13"/>
      <c r="E271" s="10"/>
      <c r="F271" s="16"/>
      <c r="G271" s="2"/>
      <c r="H271" s="2"/>
      <c r="I271" s="2"/>
      <c r="J271" s="2"/>
      <c r="K271" s="2"/>
      <c r="L271" s="2"/>
    </row>
    <row x14ac:dyDescent="0.25" r="272" customHeight="1" ht="17.25">
      <c r="A272" s="2"/>
      <c r="B272" s="2"/>
      <c r="C272" s="2"/>
      <c r="D272" s="13"/>
      <c r="E272" s="10"/>
      <c r="F272" s="16"/>
      <c r="G272" s="2"/>
      <c r="H272" s="2"/>
      <c r="I272" s="2"/>
      <c r="J272" s="2"/>
      <c r="K272" s="2"/>
      <c r="L272" s="2"/>
    </row>
    <row x14ac:dyDescent="0.25" r="273" customHeight="1" ht="17.25">
      <c r="A273" s="2"/>
      <c r="B273" s="2"/>
      <c r="C273" s="2"/>
      <c r="D273" s="13"/>
      <c r="E273" s="10"/>
      <c r="F273" s="16"/>
      <c r="G273" s="2"/>
      <c r="H273" s="2"/>
      <c r="I273" s="2"/>
      <c r="J273" s="2"/>
      <c r="K273" s="2"/>
      <c r="L273" s="2"/>
    </row>
    <row x14ac:dyDescent="0.25" r="274" customHeight="1" ht="17.25">
      <c r="A274" s="2"/>
      <c r="B274" s="2"/>
      <c r="C274" s="2"/>
      <c r="D274" s="13"/>
      <c r="E274" s="10"/>
      <c r="F274" s="16"/>
      <c r="G274" s="2"/>
      <c r="H274" s="2"/>
      <c r="I274" s="2"/>
      <c r="J274" s="2"/>
      <c r="K274" s="2"/>
      <c r="L274" s="2"/>
    </row>
    <row x14ac:dyDescent="0.25" r="275" customHeight="1" ht="17.25">
      <c r="A275" s="2"/>
      <c r="B275" s="2"/>
      <c r="C275" s="2"/>
      <c r="D275" s="13"/>
      <c r="E275" s="10"/>
      <c r="F275" s="16"/>
      <c r="G275" s="2"/>
      <c r="H275" s="2"/>
      <c r="I275" s="2"/>
      <c r="J275" s="2"/>
      <c r="K275" s="2"/>
      <c r="L275" s="2"/>
    </row>
    <row x14ac:dyDescent="0.25" r="276" customHeight="1" ht="17.25">
      <c r="A276" s="2"/>
      <c r="B276" s="2"/>
      <c r="C276" s="2"/>
      <c r="D276" s="13"/>
      <c r="E276" s="10"/>
      <c r="F276" s="16"/>
      <c r="G276" s="2"/>
      <c r="H276" s="2"/>
      <c r="I276" s="2"/>
      <c r="J276" s="2"/>
      <c r="K276" s="2"/>
      <c r="L276" s="2"/>
    </row>
    <row x14ac:dyDescent="0.25" r="277" customHeight="1" ht="17.25">
      <c r="A277" s="2"/>
      <c r="B277" s="2"/>
      <c r="C277" s="2"/>
      <c r="D277" s="13"/>
      <c r="E277" s="10"/>
      <c r="F277" s="16"/>
      <c r="G277" s="2"/>
      <c r="H277" s="2"/>
      <c r="I277" s="2"/>
      <c r="J277" s="2"/>
      <c r="K277" s="2"/>
      <c r="L277" s="2"/>
    </row>
    <row x14ac:dyDescent="0.25" r="278" customHeight="1" ht="17.25">
      <c r="A278" s="2"/>
      <c r="B278" s="2"/>
      <c r="C278" s="2"/>
      <c r="D278" s="13"/>
      <c r="E278" s="10"/>
      <c r="F278" s="16"/>
      <c r="G278" s="2"/>
      <c r="H278" s="2"/>
      <c r="I278" s="2"/>
      <c r="J278" s="2"/>
      <c r="K278" s="2"/>
      <c r="L278" s="2"/>
    </row>
    <row x14ac:dyDescent="0.25" r="279" customHeight="1" ht="17.25">
      <c r="A279" s="2"/>
      <c r="B279" s="2"/>
      <c r="C279" s="2"/>
      <c r="D279" s="13"/>
      <c r="E279" s="10"/>
      <c r="F279" s="16"/>
      <c r="G279" s="2"/>
      <c r="H279" s="2"/>
      <c r="I279" s="2"/>
      <c r="J279" s="2"/>
      <c r="K279" s="2"/>
      <c r="L279" s="2"/>
    </row>
    <row x14ac:dyDescent="0.25" r="280" customHeight="1" ht="17.25">
      <c r="A280" s="2"/>
      <c r="B280" s="2"/>
      <c r="C280" s="2"/>
      <c r="D280" s="13"/>
      <c r="E280" s="10"/>
      <c r="F280" s="16"/>
      <c r="G280" s="2"/>
      <c r="H280" s="2"/>
      <c r="I280" s="2"/>
      <c r="J280" s="2"/>
      <c r="K280" s="2"/>
      <c r="L280" s="2"/>
    </row>
    <row x14ac:dyDescent="0.25" r="281" customHeight="1" ht="17.25">
      <c r="A281" s="2"/>
      <c r="B281" s="2"/>
      <c r="C281" s="2"/>
      <c r="D281" s="13"/>
      <c r="E281" s="10"/>
      <c r="F281" s="16"/>
      <c r="G281" s="2"/>
      <c r="H281" s="2"/>
      <c r="I281" s="2"/>
      <c r="J281" s="2"/>
      <c r="K281" s="2"/>
      <c r="L281" s="2"/>
    </row>
    <row x14ac:dyDescent="0.25" r="282" customHeight="1" ht="17.25">
      <c r="A282" s="2"/>
      <c r="B282" s="2"/>
      <c r="C282" s="2"/>
      <c r="D282" s="13"/>
      <c r="E282" s="10"/>
      <c r="F282" s="16"/>
      <c r="G282" s="2"/>
      <c r="H282" s="2"/>
      <c r="I282" s="2"/>
      <c r="J282" s="2"/>
      <c r="K282" s="2"/>
      <c r="L282" s="2"/>
    </row>
    <row x14ac:dyDescent="0.25" r="283" customHeight="1" ht="17.25">
      <c r="A283" s="2"/>
      <c r="B283" s="2"/>
      <c r="C283" s="2"/>
      <c r="D283" s="13"/>
      <c r="E283" s="10"/>
      <c r="F283" s="16"/>
      <c r="G283" s="2"/>
      <c r="H283" s="2"/>
      <c r="I283" s="2"/>
      <c r="J283" s="2"/>
      <c r="K283" s="2"/>
      <c r="L283" s="2"/>
    </row>
    <row x14ac:dyDescent="0.25" r="284" customHeight="1" ht="17.25">
      <c r="A284" s="2"/>
      <c r="B284" s="2"/>
      <c r="C284" s="2"/>
      <c r="D284" s="13"/>
      <c r="E284" s="10"/>
      <c r="F284" s="16"/>
      <c r="G284" s="2"/>
      <c r="H284" s="2"/>
      <c r="I284" s="2"/>
      <c r="J284" s="2"/>
      <c r="K284" s="2"/>
      <c r="L284" s="2"/>
    </row>
    <row x14ac:dyDescent="0.25" r="285" customHeight="1" ht="17.25">
      <c r="A285" s="2"/>
      <c r="B285" s="2"/>
      <c r="C285" s="2"/>
      <c r="D285" s="13"/>
      <c r="E285" s="10"/>
      <c r="F285" s="16"/>
      <c r="G285" s="2"/>
      <c r="H285" s="2"/>
      <c r="I285" s="2"/>
      <c r="J285" s="2"/>
      <c r="K285" s="2"/>
      <c r="L285" s="2"/>
    </row>
    <row x14ac:dyDescent="0.25" r="286" customHeight="1" ht="17.25">
      <c r="A286" s="2"/>
      <c r="B286" s="2"/>
      <c r="C286" s="2"/>
      <c r="D286" s="13"/>
      <c r="E286" s="10"/>
      <c r="F286" s="16"/>
      <c r="G286" s="2"/>
      <c r="H286" s="2"/>
      <c r="I286" s="2"/>
      <c r="J286" s="2"/>
      <c r="K286" s="2"/>
      <c r="L286" s="2"/>
    </row>
    <row x14ac:dyDescent="0.25" r="287" customHeight="1" ht="17.25">
      <c r="A287" s="2"/>
      <c r="B287" s="2"/>
      <c r="C287" s="2"/>
      <c r="D287" s="13"/>
      <c r="E287" s="10"/>
      <c r="F287" s="16"/>
      <c r="G287" s="2"/>
      <c r="H287" s="2"/>
      <c r="I287" s="2"/>
      <c r="J287" s="2"/>
      <c r="K287" s="2"/>
      <c r="L287" s="2"/>
    </row>
    <row x14ac:dyDescent="0.25" r="288" customHeight="1" ht="17.25">
      <c r="A288" s="2"/>
      <c r="B288" s="2"/>
      <c r="C288" s="2"/>
      <c r="D288" s="13"/>
      <c r="E288" s="10"/>
      <c r="F288" s="16"/>
      <c r="G288" s="2"/>
      <c r="H288" s="2"/>
      <c r="I288" s="2"/>
      <c r="J288" s="2"/>
      <c r="K288" s="2"/>
      <c r="L288" s="2"/>
    </row>
    <row x14ac:dyDescent="0.25" r="289" customHeight="1" ht="17.25">
      <c r="A289" s="2"/>
      <c r="B289" s="2"/>
      <c r="C289" s="2"/>
      <c r="D289" s="13"/>
      <c r="E289" s="10"/>
      <c r="F289" s="16"/>
      <c r="G289" s="2"/>
      <c r="H289" s="2"/>
      <c r="I289" s="2"/>
      <c r="J289" s="2"/>
      <c r="K289" s="2"/>
      <c r="L289" s="2"/>
    </row>
    <row x14ac:dyDescent="0.25" r="290" customHeight="1" ht="17.25">
      <c r="A290" s="2"/>
      <c r="B290" s="2"/>
      <c r="C290" s="2"/>
      <c r="D290" s="13"/>
      <c r="E290" s="10"/>
      <c r="F290" s="16"/>
      <c r="G290" s="2"/>
      <c r="H290" s="2"/>
      <c r="I290" s="2"/>
      <c r="J290" s="2"/>
      <c r="K290" s="2"/>
      <c r="L290" s="2"/>
    </row>
    <row x14ac:dyDescent="0.25" r="291" customHeight="1" ht="17.25">
      <c r="A291" s="2"/>
      <c r="B291" s="2"/>
      <c r="C291" s="2"/>
      <c r="D291" s="13"/>
      <c r="E291" s="10"/>
      <c r="F291" s="16"/>
      <c r="G291" s="2"/>
      <c r="H291" s="2"/>
      <c r="I291" s="2"/>
      <c r="J291" s="2"/>
      <c r="K291" s="2"/>
      <c r="L291" s="2"/>
    </row>
    <row x14ac:dyDescent="0.25" r="292" customHeight="1" ht="17.25">
      <c r="A292" s="2"/>
      <c r="B292" s="2"/>
      <c r="C292" s="2"/>
      <c r="D292" s="13"/>
      <c r="E292" s="10"/>
      <c r="F292" s="16"/>
      <c r="G292" s="2"/>
      <c r="H292" s="2"/>
      <c r="I292" s="2"/>
      <c r="J292" s="2"/>
      <c r="K292" s="2"/>
      <c r="L292" s="2"/>
    </row>
    <row x14ac:dyDescent="0.25" r="293" customHeight="1" ht="17.25">
      <c r="A293" s="2"/>
      <c r="B293" s="2"/>
      <c r="C293" s="2"/>
      <c r="D293" s="13"/>
      <c r="E293" s="10"/>
      <c r="F293" s="16"/>
      <c r="G293" s="2"/>
      <c r="H293" s="2"/>
      <c r="I293" s="2"/>
      <c r="J293" s="2"/>
      <c r="K293" s="2"/>
      <c r="L293" s="2"/>
    </row>
    <row x14ac:dyDescent="0.25" r="294" customHeight="1" ht="17.25">
      <c r="A294" s="2"/>
      <c r="B294" s="2"/>
      <c r="C294" s="2"/>
      <c r="D294" s="13"/>
      <c r="E294" s="10"/>
      <c r="F294" s="16"/>
      <c r="G294" s="2"/>
      <c r="H294" s="2"/>
      <c r="I294" s="2"/>
      <c r="J294" s="2"/>
      <c r="K294" s="2"/>
      <c r="L294" s="2"/>
    </row>
    <row x14ac:dyDescent="0.25" r="295" customHeight="1" ht="17.25">
      <c r="A295" s="2"/>
      <c r="B295" s="2"/>
      <c r="C295" s="2"/>
      <c r="D295" s="13"/>
      <c r="E295" s="10"/>
      <c r="F295" s="16"/>
      <c r="G295" s="2"/>
      <c r="H295" s="2"/>
      <c r="I295" s="2"/>
      <c r="J295" s="2"/>
      <c r="K295" s="2"/>
      <c r="L295" s="2"/>
    </row>
    <row x14ac:dyDescent="0.25" r="296" customHeight="1" ht="17.25">
      <c r="A296" s="2"/>
      <c r="B296" s="2"/>
      <c r="C296" s="2"/>
      <c r="D296" s="13"/>
      <c r="E296" s="10"/>
      <c r="F296" s="16"/>
      <c r="G296" s="2"/>
      <c r="H296" s="2"/>
      <c r="I296" s="2"/>
      <c r="J296" s="2"/>
      <c r="K296" s="2"/>
      <c r="L296" s="2"/>
    </row>
    <row x14ac:dyDescent="0.25" r="297" customHeight="1" ht="17.25">
      <c r="A297" s="2"/>
      <c r="B297" s="2"/>
      <c r="C297" s="2"/>
      <c r="D297" s="13"/>
      <c r="E297" s="10"/>
      <c r="F297" s="16"/>
      <c r="G297" s="2"/>
      <c r="H297" s="2"/>
      <c r="I297" s="2"/>
      <c r="J297" s="2"/>
      <c r="K297" s="2"/>
      <c r="L297" s="2"/>
    </row>
    <row x14ac:dyDescent="0.25" r="298" customHeight="1" ht="17.25">
      <c r="A298" s="2"/>
      <c r="B298" s="2"/>
      <c r="C298" s="2"/>
      <c r="D298" s="13"/>
      <c r="E298" s="10"/>
      <c r="F298" s="16"/>
      <c r="G298" s="2"/>
      <c r="H298" s="2"/>
      <c r="I298" s="2"/>
      <c r="J298" s="2"/>
      <c r="K298" s="2"/>
      <c r="L298" s="2"/>
    </row>
    <row x14ac:dyDescent="0.25" r="299" customHeight="1" ht="17.25">
      <c r="A299" s="2"/>
      <c r="B299" s="2"/>
      <c r="C299" s="2"/>
      <c r="D299" s="13"/>
      <c r="E299" s="10"/>
      <c r="F299" s="16"/>
      <c r="G299" s="2"/>
      <c r="H299" s="2"/>
      <c r="I299" s="2"/>
      <c r="J299" s="2"/>
      <c r="K299" s="2"/>
      <c r="L299" s="2"/>
    </row>
    <row x14ac:dyDescent="0.25" r="300" customHeight="1" ht="17.25">
      <c r="A300" s="2"/>
      <c r="B300" s="2"/>
      <c r="C300" s="2"/>
      <c r="D300" s="13"/>
      <c r="E300" s="10"/>
      <c r="F300" s="16"/>
      <c r="G300" s="2"/>
      <c r="H300" s="2"/>
      <c r="I300" s="2"/>
      <c r="J300" s="2"/>
      <c r="K300" s="2"/>
      <c r="L300" s="2"/>
    </row>
    <row x14ac:dyDescent="0.25" r="301" customHeight="1" ht="17.25">
      <c r="A301" s="2"/>
      <c r="B301" s="2"/>
      <c r="C301" s="2"/>
      <c r="D301" s="13"/>
      <c r="E301" s="10"/>
      <c r="F301" s="16"/>
      <c r="G301" s="2"/>
      <c r="H301" s="2"/>
      <c r="I301" s="2"/>
      <c r="J301" s="2"/>
      <c r="K301" s="2"/>
      <c r="L301" s="2"/>
    </row>
    <row x14ac:dyDescent="0.25" r="302" customHeight="1" ht="17.25">
      <c r="A302" s="2"/>
      <c r="B302" s="2"/>
      <c r="C302" s="2"/>
      <c r="D302" s="13"/>
      <c r="E302" s="10"/>
      <c r="F302" s="16"/>
      <c r="G302" s="2"/>
      <c r="H302" s="2"/>
      <c r="I302" s="2"/>
      <c r="J302" s="2"/>
      <c r="K302" s="2"/>
      <c r="L302" s="2"/>
    </row>
    <row x14ac:dyDescent="0.25" r="303" customHeight="1" ht="17.25">
      <c r="A303" s="2"/>
      <c r="B303" s="2"/>
      <c r="C303" s="2"/>
      <c r="D303" s="13"/>
      <c r="E303" s="10"/>
      <c r="F303" s="16"/>
      <c r="G303" s="2"/>
      <c r="H303" s="2"/>
      <c r="I303" s="2"/>
      <c r="J303" s="2"/>
      <c r="K303" s="2"/>
      <c r="L303" s="2"/>
    </row>
    <row x14ac:dyDescent="0.25" r="304" customHeight="1" ht="17.25">
      <c r="A304" s="2"/>
      <c r="B304" s="2"/>
      <c r="C304" s="2"/>
      <c r="D304" s="13"/>
      <c r="E304" s="10"/>
      <c r="F304" s="16"/>
      <c r="G304" s="2"/>
      <c r="H304" s="2"/>
      <c r="I304" s="2"/>
      <c r="J304" s="2"/>
      <c r="K304" s="2"/>
      <c r="L304" s="2"/>
    </row>
    <row x14ac:dyDescent="0.25" r="305" customHeight="1" ht="17.25">
      <c r="A305" s="2"/>
      <c r="B305" s="2"/>
      <c r="C305" s="2"/>
      <c r="D305" s="13"/>
      <c r="E305" s="10"/>
      <c r="F305" s="16"/>
      <c r="G305" s="2"/>
      <c r="H305" s="2"/>
      <c r="I305" s="2"/>
      <c r="J305" s="2"/>
      <c r="K305" s="2"/>
      <c r="L305" s="2"/>
    </row>
    <row x14ac:dyDescent="0.25" r="306" customHeight="1" ht="17.25">
      <c r="A306" s="2"/>
      <c r="B306" s="2"/>
      <c r="C306" s="2"/>
      <c r="D306" s="13"/>
      <c r="E306" s="10"/>
      <c r="F306" s="16"/>
      <c r="G306" s="2"/>
      <c r="H306" s="2"/>
      <c r="I306" s="2"/>
      <c r="J306" s="2"/>
      <c r="K306" s="2"/>
      <c r="L306" s="2"/>
    </row>
    <row x14ac:dyDescent="0.25" r="307" customHeight="1" ht="17.25">
      <c r="A307" s="2"/>
      <c r="B307" s="2"/>
      <c r="C307" s="2"/>
      <c r="D307" s="13"/>
      <c r="E307" s="10"/>
      <c r="F307" s="16"/>
      <c r="G307" s="2"/>
      <c r="H307" s="2"/>
      <c r="I307" s="2"/>
      <c r="J307" s="2"/>
      <c r="K307" s="2"/>
      <c r="L307" s="2"/>
    </row>
    <row x14ac:dyDescent="0.25" r="308" customHeight="1" ht="17.25">
      <c r="A308" s="2"/>
      <c r="B308" s="2"/>
      <c r="C308" s="2"/>
      <c r="D308" s="13"/>
      <c r="E308" s="10"/>
      <c r="F308" s="16"/>
      <c r="G308" s="2"/>
      <c r="H308" s="2"/>
      <c r="I308" s="2"/>
      <c r="J308" s="2"/>
      <c r="K308" s="2"/>
      <c r="L308" s="2"/>
    </row>
    <row x14ac:dyDescent="0.25" r="309" customHeight="1" ht="17.25">
      <c r="A309" s="2"/>
      <c r="B309" s="2"/>
      <c r="C309" s="2"/>
      <c r="D309" s="13"/>
      <c r="E309" s="10"/>
      <c r="F309" s="16"/>
      <c r="G309" s="2"/>
      <c r="H309" s="2"/>
      <c r="I309" s="2"/>
      <c r="J309" s="2"/>
      <c r="K309" s="2"/>
      <c r="L309" s="2"/>
    </row>
    <row x14ac:dyDescent="0.25" r="310" customHeight="1" ht="17.25">
      <c r="A310" s="2"/>
      <c r="B310" s="2"/>
      <c r="C310" s="2"/>
      <c r="D310" s="13"/>
      <c r="E310" s="10"/>
      <c r="F310" s="16"/>
      <c r="G310" s="2"/>
      <c r="H310" s="2"/>
      <c r="I310" s="2"/>
      <c r="J310" s="2"/>
      <c r="K310" s="2"/>
      <c r="L310" s="2"/>
    </row>
    <row x14ac:dyDescent="0.25" r="311" customHeight="1" ht="17.25">
      <c r="A311" s="2"/>
      <c r="B311" s="2"/>
      <c r="C311" s="2"/>
      <c r="D311" s="13"/>
      <c r="E311" s="10"/>
      <c r="F311" s="16"/>
      <c r="G311" s="2"/>
      <c r="H311" s="2"/>
      <c r="I311" s="2"/>
      <c r="J311" s="2"/>
      <c r="K311" s="2"/>
      <c r="L311" s="2"/>
    </row>
    <row x14ac:dyDescent="0.25" r="312" customHeight="1" ht="17.25">
      <c r="A312" s="2"/>
      <c r="B312" s="2"/>
      <c r="C312" s="2"/>
      <c r="D312" s="13"/>
      <c r="E312" s="10"/>
      <c r="F312" s="16"/>
      <c r="G312" s="2"/>
      <c r="H312" s="2"/>
      <c r="I312" s="2"/>
      <c r="J312" s="2"/>
      <c r="K312" s="2"/>
      <c r="L312" s="2"/>
    </row>
    <row x14ac:dyDescent="0.25" r="313" customHeight="1" ht="17.25">
      <c r="A313" s="2"/>
      <c r="B313" s="2"/>
      <c r="C313" s="2"/>
      <c r="D313" s="13"/>
      <c r="E313" s="10"/>
      <c r="F313" s="16"/>
      <c r="G313" s="2"/>
      <c r="H313" s="2"/>
      <c r="I313" s="2"/>
      <c r="J313" s="2"/>
      <c r="K313" s="2"/>
      <c r="L313" s="2"/>
    </row>
    <row x14ac:dyDescent="0.25" r="314" customHeight="1" ht="17.25">
      <c r="A314" s="2"/>
      <c r="B314" s="2"/>
      <c r="C314" s="2"/>
      <c r="D314" s="13"/>
      <c r="E314" s="10"/>
      <c r="F314" s="16"/>
      <c r="G314" s="2"/>
      <c r="H314" s="2"/>
      <c r="I314" s="2"/>
      <c r="J314" s="2"/>
      <c r="K314" s="2"/>
      <c r="L314" s="2"/>
    </row>
    <row x14ac:dyDescent="0.25" r="315" customHeight="1" ht="17.25">
      <c r="A315" s="2"/>
      <c r="B315" s="2"/>
      <c r="C315" s="2"/>
      <c r="D315" s="13"/>
      <c r="E315" s="10"/>
      <c r="F315" s="16"/>
      <c r="G315" s="2"/>
      <c r="H315" s="2"/>
      <c r="I315" s="2"/>
      <c r="J315" s="2"/>
      <c r="K315" s="2"/>
      <c r="L315" s="2"/>
    </row>
    <row x14ac:dyDescent="0.25" r="316" customHeight="1" ht="17.25">
      <c r="A316" s="2"/>
      <c r="B316" s="2"/>
      <c r="C316" s="2"/>
      <c r="D316" s="13"/>
      <c r="E316" s="10"/>
      <c r="F316" s="16"/>
      <c r="G316" s="2"/>
      <c r="H316" s="2"/>
      <c r="I316" s="2"/>
      <c r="J316" s="2"/>
      <c r="K316" s="2"/>
      <c r="L316" s="2"/>
    </row>
    <row x14ac:dyDescent="0.25" r="317" customHeight="1" ht="17.25">
      <c r="A317" s="2"/>
      <c r="B317" s="2"/>
      <c r="C317" s="2"/>
      <c r="D317" s="13"/>
      <c r="E317" s="10"/>
      <c r="F317" s="16"/>
      <c r="G317" s="2"/>
      <c r="H317" s="2"/>
      <c r="I317" s="2"/>
      <c r="J317" s="2"/>
      <c r="K317" s="2"/>
      <c r="L317" s="2"/>
    </row>
    <row x14ac:dyDescent="0.25" r="318" customHeight="1" ht="17.25">
      <c r="A318" s="2"/>
      <c r="B318" s="2"/>
      <c r="C318" s="2"/>
      <c r="D318" s="13"/>
      <c r="E318" s="10"/>
      <c r="F318" s="16"/>
      <c r="G318" s="2"/>
      <c r="H318" s="2"/>
      <c r="I318" s="2"/>
      <c r="J318" s="2"/>
      <c r="K318" s="2"/>
      <c r="L318" s="2"/>
    </row>
    <row x14ac:dyDescent="0.25" r="319" customHeight="1" ht="17.25">
      <c r="A319" s="2"/>
      <c r="B319" s="2"/>
      <c r="C319" s="2"/>
      <c r="D319" s="13"/>
      <c r="E319" s="10"/>
      <c r="F319" s="16"/>
      <c r="G319" s="2"/>
      <c r="H319" s="2"/>
      <c r="I319" s="2"/>
      <c r="J319" s="2"/>
      <c r="K319" s="2"/>
      <c r="L319" s="2"/>
    </row>
    <row x14ac:dyDescent="0.25" r="320" customHeight="1" ht="17.25">
      <c r="A320" s="2"/>
      <c r="B320" s="2"/>
      <c r="C320" s="2"/>
      <c r="D320" s="13"/>
      <c r="E320" s="10"/>
      <c r="F320" s="16"/>
      <c r="G320" s="2"/>
      <c r="H320" s="2"/>
      <c r="I320" s="2"/>
      <c r="J320" s="2"/>
      <c r="K320" s="2"/>
      <c r="L320" s="2"/>
    </row>
    <row x14ac:dyDescent="0.25" r="321" customHeight="1" ht="17.25">
      <c r="A321" s="2"/>
      <c r="B321" s="2"/>
      <c r="C321" s="2"/>
      <c r="D321" s="13"/>
      <c r="E321" s="10"/>
      <c r="F321" s="16"/>
      <c r="G321" s="2"/>
      <c r="H321" s="2"/>
      <c r="I321" s="2"/>
      <c r="J321" s="2"/>
      <c r="K321" s="2"/>
      <c r="L321" s="2"/>
    </row>
    <row x14ac:dyDescent="0.25" r="322" customHeight="1" ht="17.25">
      <c r="A322" s="2"/>
      <c r="B322" s="2"/>
      <c r="C322" s="2"/>
      <c r="D322" s="13"/>
      <c r="E322" s="10"/>
      <c r="F322" s="16"/>
      <c r="G322" s="2"/>
      <c r="H322" s="2"/>
      <c r="I322" s="2"/>
      <c r="J322" s="2"/>
      <c r="K322" s="2"/>
      <c r="L322" s="2"/>
    </row>
    <row x14ac:dyDescent="0.25" r="323" customHeight="1" ht="17.25">
      <c r="A323" s="2"/>
      <c r="B323" s="2"/>
      <c r="C323" s="2"/>
      <c r="D323" s="13"/>
      <c r="E323" s="10"/>
      <c r="F323" s="16"/>
      <c r="G323" s="2"/>
      <c r="H323" s="2"/>
      <c r="I323" s="2"/>
      <c r="J323" s="2"/>
      <c r="K323" s="2"/>
      <c r="L323" s="2"/>
    </row>
    <row x14ac:dyDescent="0.25" r="324" customHeight="1" ht="17.25">
      <c r="A324" s="2"/>
      <c r="B324" s="2"/>
      <c r="C324" s="2"/>
      <c r="D324" s="13"/>
      <c r="E324" s="10"/>
      <c r="F324" s="16"/>
      <c r="G324" s="2"/>
      <c r="H324" s="2"/>
      <c r="I324" s="2"/>
      <c r="J324" s="2"/>
      <c r="K324" s="2"/>
      <c r="L324" s="2"/>
    </row>
    <row x14ac:dyDescent="0.25" r="325" customHeight="1" ht="17.25">
      <c r="A325" s="2"/>
      <c r="B325" s="2"/>
      <c r="C325" s="2"/>
      <c r="D325" s="13"/>
      <c r="E325" s="10"/>
      <c r="F325" s="16"/>
      <c r="G325" s="2"/>
      <c r="H325" s="2"/>
      <c r="I325" s="2"/>
      <c r="J325" s="2"/>
      <c r="K325" s="2"/>
      <c r="L325" s="2"/>
    </row>
    <row x14ac:dyDescent="0.25" r="326" customHeight="1" ht="17.25">
      <c r="A326" s="2"/>
      <c r="B326" s="2"/>
      <c r="C326" s="2"/>
      <c r="D326" s="13"/>
      <c r="E326" s="10"/>
      <c r="F326" s="16"/>
      <c r="G326" s="2"/>
      <c r="H326" s="2"/>
      <c r="I326" s="2"/>
      <c r="J326" s="2"/>
      <c r="K326" s="2"/>
      <c r="L326" s="2"/>
    </row>
    <row x14ac:dyDescent="0.25" r="327" customHeight="1" ht="17.25">
      <c r="A327" s="2"/>
      <c r="B327" s="2"/>
      <c r="C327" s="2"/>
      <c r="D327" s="13"/>
      <c r="E327" s="10"/>
      <c r="F327" s="16"/>
      <c r="G327" s="2"/>
      <c r="H327" s="2"/>
      <c r="I327" s="2"/>
      <c r="J327" s="2"/>
      <c r="K327" s="2"/>
      <c r="L327" s="2"/>
    </row>
    <row x14ac:dyDescent="0.25" r="328" customHeight="1" ht="17.25">
      <c r="A328" s="2"/>
      <c r="B328" s="2"/>
      <c r="C328" s="2"/>
      <c r="D328" s="13"/>
      <c r="E328" s="10"/>
      <c r="F328" s="16"/>
      <c r="G328" s="2"/>
      <c r="H328" s="2"/>
      <c r="I328" s="2"/>
      <c r="J328" s="2"/>
      <c r="K328" s="2"/>
      <c r="L328" s="2"/>
    </row>
    <row x14ac:dyDescent="0.25" r="329" customHeight="1" ht="17.25">
      <c r="A329" s="2"/>
      <c r="B329" s="2"/>
      <c r="C329" s="2"/>
      <c r="D329" s="13"/>
      <c r="E329" s="10"/>
      <c r="F329" s="16"/>
      <c r="G329" s="2"/>
      <c r="H329" s="2"/>
      <c r="I329" s="2"/>
      <c r="J329" s="2"/>
      <c r="K329" s="2"/>
      <c r="L329" s="2"/>
    </row>
    <row x14ac:dyDescent="0.25" r="330" customHeight="1" ht="17.25">
      <c r="A330" s="2"/>
      <c r="B330" s="2"/>
      <c r="C330" s="2"/>
      <c r="D330" s="13"/>
      <c r="E330" s="10"/>
      <c r="F330" s="16"/>
      <c r="G330" s="2"/>
      <c r="H330" s="2"/>
      <c r="I330" s="2"/>
      <c r="J330" s="2"/>
      <c r="K330" s="2"/>
      <c r="L330" s="2"/>
    </row>
    <row x14ac:dyDescent="0.25" r="331" customHeight="1" ht="17.25">
      <c r="A331" s="2"/>
      <c r="B331" s="2"/>
      <c r="C331" s="2"/>
      <c r="D331" s="13"/>
      <c r="E331" s="10"/>
      <c r="F331" s="16"/>
      <c r="G331" s="2"/>
      <c r="H331" s="2"/>
      <c r="I331" s="2"/>
      <c r="J331" s="2"/>
      <c r="K331" s="2"/>
      <c r="L331" s="2"/>
    </row>
    <row x14ac:dyDescent="0.25" r="332" customHeight="1" ht="17.25">
      <c r="A332" s="2"/>
      <c r="B332" s="2"/>
      <c r="C332" s="2"/>
      <c r="D332" s="13"/>
      <c r="E332" s="10"/>
      <c r="F332" s="16"/>
      <c r="G332" s="2"/>
      <c r="H332" s="2"/>
      <c r="I332" s="2"/>
      <c r="J332" s="2"/>
      <c r="K332" s="2"/>
      <c r="L332" s="2"/>
    </row>
    <row x14ac:dyDescent="0.25" r="333" customHeight="1" ht="17.25">
      <c r="A333" s="2"/>
      <c r="B333" s="2"/>
      <c r="C333" s="2"/>
      <c r="D333" s="13"/>
      <c r="E333" s="10"/>
      <c r="F333" s="16"/>
      <c r="G333" s="2"/>
      <c r="H333" s="2"/>
      <c r="I333" s="2"/>
      <c r="J333" s="2"/>
      <c r="K333" s="2"/>
      <c r="L333" s="2"/>
    </row>
    <row x14ac:dyDescent="0.25" r="334" customHeight="1" ht="17.25">
      <c r="A334" s="2"/>
      <c r="B334" s="2"/>
      <c r="C334" s="2"/>
      <c r="D334" s="13"/>
      <c r="E334" s="10"/>
      <c r="F334" s="16"/>
      <c r="G334" s="2"/>
      <c r="H334" s="2"/>
      <c r="I334" s="2"/>
      <c r="J334" s="2"/>
      <c r="K334" s="2"/>
      <c r="L334" s="2"/>
    </row>
    <row x14ac:dyDescent="0.25" r="335" customHeight="1" ht="17.25">
      <c r="A335" s="2"/>
      <c r="B335" s="2"/>
      <c r="C335" s="2"/>
      <c r="D335" s="13"/>
      <c r="E335" s="10"/>
      <c r="F335" s="16"/>
      <c r="G335" s="2"/>
      <c r="H335" s="2"/>
      <c r="I335" s="2"/>
      <c r="J335" s="2"/>
      <c r="K335" s="2"/>
      <c r="L335" s="2"/>
    </row>
    <row x14ac:dyDescent="0.25" r="336" customHeight="1" ht="17.25">
      <c r="A336" s="2"/>
      <c r="B336" s="2"/>
      <c r="C336" s="2"/>
      <c r="D336" s="13"/>
      <c r="E336" s="10"/>
      <c r="F336" s="16"/>
      <c r="G336" s="2"/>
      <c r="H336" s="2"/>
      <c r="I336" s="2"/>
      <c r="J336" s="2"/>
      <c r="K336" s="2"/>
      <c r="L336" s="2"/>
    </row>
    <row x14ac:dyDescent="0.25" r="337" customHeight="1" ht="17.25">
      <c r="A337" s="2"/>
      <c r="B337" s="2"/>
      <c r="C337" s="2"/>
      <c r="D337" s="13"/>
      <c r="E337" s="10"/>
      <c r="F337" s="16"/>
      <c r="G337" s="2"/>
      <c r="H337" s="2"/>
      <c r="I337" s="2"/>
      <c r="J337" s="2"/>
      <c r="K337" s="2"/>
      <c r="L337" s="2"/>
    </row>
    <row x14ac:dyDescent="0.25" r="338" customHeight="1" ht="17.25">
      <c r="A338" s="2"/>
      <c r="B338" s="2"/>
      <c r="C338" s="2"/>
      <c r="D338" s="13"/>
      <c r="E338" s="10"/>
      <c r="F338" s="16"/>
      <c r="G338" s="2"/>
      <c r="H338" s="2"/>
      <c r="I338" s="2"/>
      <c r="J338" s="2"/>
      <c r="K338" s="2"/>
      <c r="L338" s="2"/>
    </row>
    <row x14ac:dyDescent="0.25" r="339" customHeight="1" ht="17.25">
      <c r="A339" s="2"/>
      <c r="B339" s="2"/>
      <c r="C339" s="2"/>
      <c r="D339" s="13"/>
      <c r="E339" s="10"/>
      <c r="F339" s="16"/>
      <c r="G339" s="2"/>
      <c r="H339" s="2"/>
      <c r="I339" s="2"/>
      <c r="J339" s="2"/>
      <c r="K339" s="2"/>
      <c r="L339" s="2"/>
    </row>
    <row x14ac:dyDescent="0.25" r="340" customHeight="1" ht="17.25">
      <c r="A340" s="2"/>
      <c r="B340" s="2"/>
      <c r="C340" s="2"/>
      <c r="D340" s="13"/>
      <c r="E340" s="10"/>
      <c r="F340" s="16"/>
      <c r="G340" s="2"/>
      <c r="H340" s="2"/>
      <c r="I340" s="2"/>
      <c r="J340" s="2"/>
      <c r="K340" s="2"/>
      <c r="L340" s="2"/>
    </row>
    <row x14ac:dyDescent="0.25" r="341" customHeight="1" ht="17.25">
      <c r="A341" s="2"/>
      <c r="B341" s="2"/>
      <c r="C341" s="2"/>
      <c r="D341" s="13"/>
      <c r="E341" s="10"/>
      <c r="F341" s="16"/>
      <c r="G341" s="2"/>
      <c r="H341" s="2"/>
      <c r="I341" s="2"/>
      <c r="J341" s="2"/>
      <c r="K341" s="2"/>
      <c r="L341" s="2"/>
    </row>
    <row x14ac:dyDescent="0.25" r="342" customHeight="1" ht="17.25">
      <c r="A342" s="2"/>
      <c r="B342" s="2"/>
      <c r="C342" s="2"/>
      <c r="D342" s="13"/>
      <c r="E342" s="10"/>
      <c r="F342" s="16"/>
      <c r="G342" s="2"/>
      <c r="H342" s="2"/>
      <c r="I342" s="2"/>
      <c r="J342" s="2"/>
      <c r="K342" s="2"/>
      <c r="L342" s="2"/>
    </row>
    <row x14ac:dyDescent="0.25" r="343" customHeight="1" ht="17.25">
      <c r="A343" s="2"/>
      <c r="B343" s="2"/>
      <c r="C343" s="2"/>
      <c r="D343" s="13"/>
      <c r="E343" s="10"/>
      <c r="F343" s="16"/>
      <c r="G343" s="2"/>
      <c r="H343" s="2"/>
      <c r="I343" s="2"/>
      <c r="J343" s="2"/>
      <c r="K343" s="2"/>
      <c r="L343" s="2"/>
    </row>
    <row x14ac:dyDescent="0.25" r="344" customHeight="1" ht="17.25">
      <c r="A344" s="2"/>
      <c r="B344" s="2"/>
      <c r="C344" s="2"/>
      <c r="D344" s="13"/>
      <c r="E344" s="10"/>
      <c r="F344" s="16"/>
      <c r="G344" s="2"/>
      <c r="H344" s="2"/>
      <c r="I344" s="2"/>
      <c r="J344" s="2"/>
      <c r="K344" s="2"/>
      <c r="L344" s="2"/>
    </row>
    <row x14ac:dyDescent="0.25" r="345" customHeight="1" ht="17.25">
      <c r="A345" s="2"/>
      <c r="B345" s="2"/>
      <c r="C345" s="2"/>
      <c r="D345" s="13"/>
      <c r="E345" s="10"/>
      <c r="F345" s="16"/>
      <c r="G345" s="2"/>
      <c r="H345" s="2"/>
      <c r="I345" s="2"/>
      <c r="J345" s="2"/>
      <c r="K345" s="2"/>
      <c r="L345" s="2"/>
    </row>
    <row x14ac:dyDescent="0.25" r="346" customHeight="1" ht="17.25">
      <c r="A346" s="2"/>
      <c r="B346" s="2"/>
      <c r="C346" s="2"/>
      <c r="D346" s="13"/>
      <c r="E346" s="10"/>
      <c r="F346" s="16"/>
      <c r="G346" s="2"/>
      <c r="H346" s="2"/>
      <c r="I346" s="2"/>
      <c r="J346" s="2"/>
      <c r="K346" s="2"/>
      <c r="L346" s="2"/>
    </row>
    <row x14ac:dyDescent="0.25" r="347" customHeight="1" ht="17.25">
      <c r="A347" s="2"/>
      <c r="B347" s="2"/>
      <c r="C347" s="2"/>
      <c r="D347" s="13"/>
      <c r="E347" s="10"/>
      <c r="F347" s="16"/>
      <c r="G347" s="2"/>
      <c r="H347" s="2"/>
      <c r="I347" s="2"/>
      <c r="J347" s="2"/>
      <c r="K347" s="2"/>
      <c r="L347" s="2"/>
    </row>
    <row x14ac:dyDescent="0.25" r="348" customHeight="1" ht="17.25">
      <c r="A348" s="2"/>
      <c r="B348" s="2"/>
      <c r="C348" s="2"/>
      <c r="D348" s="13"/>
      <c r="E348" s="10"/>
      <c r="F348" s="16"/>
      <c r="G348" s="2"/>
      <c r="H348" s="2"/>
      <c r="I348" s="2"/>
      <c r="J348" s="2"/>
      <c r="K348" s="2"/>
      <c r="L348" s="2"/>
    </row>
    <row x14ac:dyDescent="0.25" r="349" customHeight="1" ht="17.25">
      <c r="A349" s="2"/>
      <c r="B349" s="2"/>
      <c r="C349" s="2"/>
      <c r="D349" s="13"/>
      <c r="E349" s="10"/>
      <c r="F349" s="16"/>
      <c r="G349" s="2"/>
      <c r="H349" s="2"/>
      <c r="I349" s="2"/>
      <c r="J349" s="2"/>
      <c r="K349" s="2"/>
      <c r="L349" s="2"/>
    </row>
    <row x14ac:dyDescent="0.25" r="350" customHeight="1" ht="17.25">
      <c r="A350" s="2"/>
      <c r="B350" s="2"/>
      <c r="C350" s="2"/>
      <c r="D350" s="13"/>
      <c r="E350" s="10"/>
      <c r="F350" s="16"/>
      <c r="G350" s="2"/>
      <c r="H350" s="2"/>
      <c r="I350" s="2"/>
      <c r="J350" s="2"/>
      <c r="K350" s="2"/>
      <c r="L350" s="2"/>
    </row>
    <row x14ac:dyDescent="0.25" r="351" customHeight="1" ht="17.25">
      <c r="A351" s="2"/>
      <c r="B351" s="2"/>
      <c r="C351" s="2"/>
      <c r="D351" s="13"/>
      <c r="E351" s="10"/>
      <c r="F351" s="16"/>
      <c r="G351" s="2"/>
      <c r="H351" s="2"/>
      <c r="I351" s="2"/>
      <c r="J351" s="2"/>
      <c r="K351" s="2"/>
      <c r="L351" s="2"/>
    </row>
    <row x14ac:dyDescent="0.25" r="352" customHeight="1" ht="17.25">
      <c r="A352" s="2"/>
      <c r="B352" s="2"/>
      <c r="C352" s="2"/>
      <c r="D352" s="13"/>
      <c r="E352" s="10"/>
      <c r="F352" s="16"/>
      <c r="G352" s="2"/>
      <c r="H352" s="2"/>
      <c r="I352" s="2"/>
      <c r="J352" s="2"/>
      <c r="K352" s="2"/>
      <c r="L352" s="2"/>
    </row>
    <row x14ac:dyDescent="0.25" r="353" customHeight="1" ht="17.25">
      <c r="A353" s="2"/>
      <c r="B353" s="2"/>
      <c r="C353" s="2"/>
      <c r="D353" s="13"/>
      <c r="E353" s="10"/>
      <c r="F353" s="16"/>
      <c r="G353" s="2"/>
      <c r="H353" s="2"/>
      <c r="I353" s="2"/>
      <c r="J353" s="2"/>
      <c r="K353" s="2"/>
      <c r="L353" s="2"/>
    </row>
    <row x14ac:dyDescent="0.25" r="354" customHeight="1" ht="17.25">
      <c r="A354" s="2"/>
      <c r="B354" s="2"/>
      <c r="C354" s="2"/>
      <c r="D354" s="13"/>
      <c r="E354" s="10"/>
      <c r="F354" s="16"/>
      <c r="G354" s="2"/>
      <c r="H354" s="2"/>
      <c r="I354" s="2"/>
      <c r="J354" s="2"/>
      <c r="K354" s="2"/>
      <c r="L354" s="2"/>
    </row>
    <row x14ac:dyDescent="0.25" r="355" customHeight="1" ht="17.25">
      <c r="A355" s="2"/>
      <c r="B355" s="2"/>
      <c r="C355" s="2"/>
      <c r="D355" s="13"/>
      <c r="E355" s="10"/>
      <c r="F355" s="16"/>
      <c r="G355" s="2"/>
      <c r="H355" s="2"/>
      <c r="I355" s="2"/>
      <c r="J355" s="2"/>
      <c r="K355" s="2"/>
      <c r="L355" s="2"/>
    </row>
    <row x14ac:dyDescent="0.25" r="356" customHeight="1" ht="17.25">
      <c r="A356" s="2"/>
      <c r="B356" s="2"/>
      <c r="C356" s="2"/>
      <c r="D356" s="13"/>
      <c r="E356" s="10"/>
      <c r="F356" s="16"/>
      <c r="G356" s="2"/>
      <c r="H356" s="2"/>
      <c r="I356" s="2"/>
      <c r="J356" s="2"/>
      <c r="K356" s="2"/>
      <c r="L356" s="2"/>
    </row>
    <row x14ac:dyDescent="0.25" r="357" customHeight="1" ht="17.25">
      <c r="A357" s="2"/>
      <c r="B357" s="2"/>
      <c r="C357" s="2"/>
      <c r="D357" s="13"/>
      <c r="E357" s="10"/>
      <c r="F357" s="16"/>
      <c r="G357" s="2"/>
      <c r="H357" s="2"/>
      <c r="I357" s="2"/>
      <c r="J357" s="2"/>
      <c r="K357" s="2"/>
      <c r="L357" s="2"/>
    </row>
    <row x14ac:dyDescent="0.25" r="358" customHeight="1" ht="17.25">
      <c r="A358" s="2"/>
      <c r="B358" s="2"/>
      <c r="C358" s="2"/>
      <c r="D358" s="13"/>
      <c r="E358" s="10"/>
      <c r="F358" s="16"/>
      <c r="G358" s="2"/>
      <c r="H358" s="2"/>
      <c r="I358" s="2"/>
      <c r="J358" s="2"/>
      <c r="K358" s="2"/>
      <c r="L358" s="2"/>
    </row>
    <row x14ac:dyDescent="0.25" r="359" customHeight="1" ht="17.25">
      <c r="A359" s="2"/>
      <c r="B359" s="2"/>
      <c r="C359" s="2"/>
      <c r="D359" s="13"/>
      <c r="E359" s="10"/>
      <c r="F359" s="16"/>
      <c r="G359" s="2"/>
      <c r="H359" s="2"/>
      <c r="I359" s="2"/>
      <c r="J359" s="2"/>
      <c r="K359" s="2"/>
      <c r="L359" s="2"/>
    </row>
    <row x14ac:dyDescent="0.25" r="360" customHeight="1" ht="17.25">
      <c r="A360" s="2"/>
      <c r="B360" s="2"/>
      <c r="C360" s="2"/>
      <c r="D360" s="13"/>
      <c r="E360" s="10"/>
      <c r="F360" s="16"/>
      <c r="G360" s="2"/>
      <c r="H360" s="2"/>
      <c r="I360" s="2"/>
      <c r="J360" s="2"/>
      <c r="K360" s="2"/>
      <c r="L360" s="2"/>
    </row>
    <row x14ac:dyDescent="0.25" r="361" customHeight="1" ht="17.25">
      <c r="A361" s="2"/>
      <c r="B361" s="2"/>
      <c r="C361" s="2"/>
      <c r="D361" s="13"/>
      <c r="E361" s="10"/>
      <c r="F361" s="16"/>
      <c r="G361" s="2"/>
      <c r="H361" s="2"/>
      <c r="I361" s="2"/>
      <c r="J361" s="2"/>
      <c r="K361" s="2"/>
      <c r="L361" s="2"/>
    </row>
    <row x14ac:dyDescent="0.25" r="362" customHeight="1" ht="17.25">
      <c r="A362" s="2"/>
      <c r="B362" s="2"/>
      <c r="C362" s="2"/>
      <c r="D362" s="13"/>
      <c r="E362" s="10"/>
      <c r="F362" s="16"/>
      <c r="G362" s="2"/>
      <c r="H362" s="2"/>
      <c r="I362" s="2"/>
      <c r="J362" s="2"/>
      <c r="K362" s="2"/>
      <c r="L362" s="2"/>
    </row>
    <row x14ac:dyDescent="0.25" r="363" customHeight="1" ht="17.25">
      <c r="A363" s="2"/>
      <c r="B363" s="2"/>
      <c r="C363" s="2"/>
      <c r="D363" s="13"/>
      <c r="E363" s="10"/>
      <c r="F363" s="16"/>
      <c r="G363" s="2"/>
      <c r="H363" s="2"/>
      <c r="I363" s="2"/>
      <c r="J363" s="2"/>
      <c r="K363" s="2"/>
      <c r="L363" s="2"/>
    </row>
    <row x14ac:dyDescent="0.25" r="364" customHeight="1" ht="17.25">
      <c r="A364" s="2"/>
      <c r="B364" s="2"/>
      <c r="C364" s="2"/>
      <c r="D364" s="13"/>
      <c r="E364" s="10"/>
      <c r="F364" s="16"/>
      <c r="G364" s="2"/>
      <c r="H364" s="2"/>
      <c r="I364" s="2"/>
      <c r="J364" s="2"/>
      <c r="K364" s="2"/>
      <c r="L364" s="2"/>
    </row>
    <row x14ac:dyDescent="0.25" r="365" customHeight="1" ht="17.25">
      <c r="A365" s="2"/>
      <c r="B365" s="2"/>
      <c r="C365" s="2"/>
      <c r="D365" s="13"/>
      <c r="E365" s="10"/>
      <c r="F365" s="16"/>
      <c r="G365" s="2"/>
      <c r="H365" s="2"/>
      <c r="I365" s="2"/>
      <c r="J365" s="2"/>
      <c r="K365" s="2"/>
      <c r="L365" s="2"/>
    </row>
    <row x14ac:dyDescent="0.25" r="366" customHeight="1" ht="17.25">
      <c r="A366" s="2"/>
      <c r="B366" s="2"/>
      <c r="C366" s="2"/>
      <c r="D366" s="13"/>
      <c r="E366" s="10"/>
      <c r="F366" s="16"/>
      <c r="G366" s="2"/>
      <c r="H366" s="2"/>
      <c r="I366" s="2"/>
      <c r="J366" s="2"/>
      <c r="K366" s="2"/>
      <c r="L366" s="2"/>
    </row>
    <row x14ac:dyDescent="0.25" r="367" customHeight="1" ht="17.25">
      <c r="A367" s="2"/>
      <c r="B367" s="2"/>
      <c r="C367" s="2"/>
      <c r="D367" s="13"/>
      <c r="E367" s="10"/>
      <c r="F367" s="16"/>
      <c r="G367" s="2"/>
      <c r="H367" s="2"/>
      <c r="I367" s="2"/>
      <c r="J367" s="2"/>
      <c r="K367" s="2"/>
      <c r="L367" s="2"/>
    </row>
    <row x14ac:dyDescent="0.25" r="368" customHeight="1" ht="17.25">
      <c r="A368" s="2"/>
      <c r="B368" s="2"/>
      <c r="C368" s="2"/>
      <c r="D368" s="13"/>
      <c r="E368" s="10"/>
      <c r="F368" s="16"/>
      <c r="G368" s="2"/>
      <c r="H368" s="2"/>
      <c r="I368" s="2"/>
      <c r="J368" s="2"/>
      <c r="K368" s="2"/>
      <c r="L368" s="2"/>
    </row>
    <row x14ac:dyDescent="0.25" r="369" customHeight="1" ht="17.25">
      <c r="A369" s="2"/>
      <c r="B369" s="2"/>
      <c r="C369" s="2"/>
      <c r="D369" s="13"/>
      <c r="E369" s="10"/>
      <c r="F369" s="16"/>
      <c r="G369" s="2"/>
      <c r="H369" s="2"/>
      <c r="I369" s="2"/>
      <c r="J369" s="2"/>
      <c r="K369" s="2"/>
      <c r="L369" s="2"/>
    </row>
    <row x14ac:dyDescent="0.25" r="370" customHeight="1" ht="17.25">
      <c r="A370" s="2"/>
      <c r="B370" s="2"/>
      <c r="C370" s="2"/>
      <c r="D370" s="13"/>
      <c r="E370" s="10"/>
      <c r="F370" s="16"/>
      <c r="G370" s="2"/>
      <c r="H370" s="2"/>
      <c r="I370" s="2"/>
      <c r="J370" s="2"/>
      <c r="K370" s="2"/>
      <c r="L370" s="2"/>
    </row>
    <row x14ac:dyDescent="0.25" r="371" customHeight="1" ht="17.25">
      <c r="A371" s="2"/>
      <c r="B371" s="2"/>
      <c r="C371" s="2"/>
      <c r="D371" s="13"/>
      <c r="E371" s="10"/>
      <c r="F371" s="16"/>
      <c r="G371" s="2"/>
      <c r="H371" s="2"/>
      <c r="I371" s="2"/>
      <c r="J371" s="2"/>
      <c r="K371" s="2"/>
      <c r="L371" s="2"/>
    </row>
    <row x14ac:dyDescent="0.25" r="372" customHeight="1" ht="17.25">
      <c r="A372" s="2"/>
      <c r="B372" s="2"/>
      <c r="C372" s="2"/>
      <c r="D372" s="13"/>
      <c r="E372" s="10"/>
      <c r="F372" s="16"/>
      <c r="G372" s="2"/>
      <c r="H372" s="2"/>
      <c r="I372" s="2"/>
      <c r="J372" s="2"/>
      <c r="K372" s="2"/>
      <c r="L372" s="2"/>
    </row>
    <row x14ac:dyDescent="0.25" r="373" customHeight="1" ht="17.25">
      <c r="A373" s="2"/>
      <c r="B373" s="2"/>
      <c r="C373" s="2"/>
      <c r="D373" s="13"/>
      <c r="E373" s="10"/>
      <c r="F373" s="16"/>
      <c r="G373" s="2"/>
      <c r="H373" s="2"/>
      <c r="I373" s="2"/>
      <c r="J373" s="2"/>
      <c r="K373" s="2"/>
      <c r="L373" s="2"/>
    </row>
    <row x14ac:dyDescent="0.25" r="374" customHeight="1" ht="17.25">
      <c r="A374" s="2"/>
      <c r="B374" s="2"/>
      <c r="C374" s="2"/>
      <c r="D374" s="13"/>
      <c r="E374" s="10"/>
      <c r="F374" s="16"/>
      <c r="G374" s="2"/>
      <c r="H374" s="2"/>
      <c r="I374" s="2"/>
      <c r="J374" s="2"/>
      <c r="K374" s="2"/>
      <c r="L374" s="2"/>
    </row>
    <row x14ac:dyDescent="0.25" r="375" customHeight="1" ht="17.25">
      <c r="A375" s="2"/>
      <c r="B375" s="2"/>
      <c r="C375" s="2"/>
      <c r="D375" s="13"/>
      <c r="E375" s="10"/>
      <c r="F375" s="16"/>
      <c r="G375" s="2"/>
      <c r="H375" s="2"/>
      <c r="I375" s="2"/>
      <c r="J375" s="2"/>
      <c r="K375" s="2"/>
      <c r="L375" s="2"/>
    </row>
    <row x14ac:dyDescent="0.25" r="376" customHeight="1" ht="17.25">
      <c r="A376" s="2"/>
      <c r="B376" s="2"/>
      <c r="C376" s="2"/>
      <c r="D376" s="13"/>
      <c r="E376" s="10"/>
      <c r="F376" s="16"/>
      <c r="G376" s="2"/>
      <c r="H376" s="2"/>
      <c r="I376" s="2"/>
      <c r="J376" s="2"/>
      <c r="K376" s="2"/>
      <c r="L376" s="2"/>
    </row>
    <row x14ac:dyDescent="0.25" r="377" customHeight="1" ht="17.25">
      <c r="A377" s="2"/>
      <c r="B377" s="2"/>
      <c r="C377" s="2"/>
      <c r="D377" s="13"/>
      <c r="E377" s="10"/>
      <c r="F377" s="16"/>
      <c r="G377" s="2"/>
      <c r="H377" s="2"/>
      <c r="I377" s="2"/>
      <c r="J377" s="2"/>
      <c r="K377" s="2"/>
      <c r="L377" s="2"/>
    </row>
    <row x14ac:dyDescent="0.25" r="378" customHeight="1" ht="17.25">
      <c r="A378" s="2"/>
      <c r="B378" s="2"/>
      <c r="C378" s="2"/>
      <c r="D378" s="13"/>
      <c r="E378" s="10"/>
      <c r="F378" s="16"/>
      <c r="G378" s="2"/>
      <c r="H378" s="2"/>
      <c r="I378" s="2"/>
      <c r="J378" s="2"/>
      <c r="K378" s="2"/>
      <c r="L378" s="2"/>
    </row>
    <row x14ac:dyDescent="0.25" r="379" customHeight="1" ht="17.25">
      <c r="A379" s="2"/>
      <c r="B379" s="2"/>
      <c r="C379" s="2"/>
      <c r="D379" s="13"/>
      <c r="E379" s="10"/>
      <c r="F379" s="16"/>
      <c r="G379" s="2"/>
      <c r="H379" s="2"/>
      <c r="I379" s="2"/>
      <c r="J379" s="2"/>
      <c r="K379" s="2"/>
      <c r="L379" s="2"/>
    </row>
    <row x14ac:dyDescent="0.25" r="380" customHeight="1" ht="17.25">
      <c r="A380" s="2"/>
      <c r="B380" s="2"/>
      <c r="C380" s="2"/>
      <c r="D380" s="13"/>
      <c r="E380" s="10"/>
      <c r="F380" s="16"/>
      <c r="G380" s="2"/>
      <c r="H380" s="2"/>
      <c r="I380" s="2"/>
      <c r="J380" s="2"/>
      <c r="K380" s="2"/>
      <c r="L380" s="2"/>
    </row>
    <row x14ac:dyDescent="0.25" r="381" customHeight="1" ht="17.25">
      <c r="A381" s="2"/>
      <c r="B381" s="2"/>
      <c r="C381" s="2"/>
      <c r="D381" s="13"/>
      <c r="E381" s="10"/>
      <c r="F381" s="16"/>
      <c r="G381" s="2"/>
      <c r="H381" s="2"/>
      <c r="I381" s="2"/>
      <c r="J381" s="2"/>
      <c r="K381" s="2"/>
      <c r="L381" s="2"/>
    </row>
    <row x14ac:dyDescent="0.25" r="382" customHeight="1" ht="17.25">
      <c r="A382" s="2"/>
      <c r="B382" s="2"/>
      <c r="C382" s="2"/>
      <c r="D382" s="13"/>
      <c r="E382" s="10"/>
      <c r="F382" s="16"/>
      <c r="G382" s="2"/>
      <c r="H382" s="2"/>
      <c r="I382" s="2"/>
      <c r="J382" s="2"/>
      <c r="K382" s="2"/>
      <c r="L382" s="2"/>
    </row>
    <row x14ac:dyDescent="0.25" r="383" customHeight="1" ht="17.25">
      <c r="A383" s="2"/>
      <c r="B383" s="2"/>
      <c r="C383" s="2"/>
      <c r="D383" s="13"/>
      <c r="E383" s="10"/>
      <c r="F383" s="16"/>
      <c r="G383" s="2"/>
      <c r="H383" s="2"/>
      <c r="I383" s="2"/>
      <c r="J383" s="2"/>
      <c r="K383" s="2"/>
      <c r="L383" s="2"/>
    </row>
    <row x14ac:dyDescent="0.25" r="384" customHeight="1" ht="17.25">
      <c r="A384" s="2"/>
      <c r="B384" s="2"/>
      <c r="C384" s="2"/>
      <c r="D384" s="13"/>
      <c r="E384" s="10"/>
      <c r="F384" s="16"/>
      <c r="G384" s="2"/>
      <c r="H384" s="2"/>
      <c r="I384" s="2"/>
      <c r="J384" s="2"/>
      <c r="K384" s="2"/>
      <c r="L384" s="2"/>
    </row>
    <row x14ac:dyDescent="0.25" r="385" customHeight="1" ht="17.25">
      <c r="A385" s="2"/>
      <c r="B385" s="2"/>
      <c r="C385" s="2"/>
      <c r="D385" s="13"/>
      <c r="E385" s="10"/>
      <c r="F385" s="16"/>
      <c r="G385" s="2"/>
      <c r="H385" s="2"/>
      <c r="I385" s="2"/>
      <c r="J385" s="2"/>
      <c r="K385" s="2"/>
      <c r="L385" s="2"/>
    </row>
    <row x14ac:dyDescent="0.25" r="386" customHeight="1" ht="17.25">
      <c r="A386" s="2"/>
      <c r="B386" s="2"/>
      <c r="C386" s="2"/>
      <c r="D386" s="13"/>
      <c r="E386" s="10"/>
      <c r="F386" s="16"/>
      <c r="G386" s="2"/>
      <c r="H386" s="2"/>
      <c r="I386" s="2"/>
      <c r="J386" s="2"/>
      <c r="K386" s="2"/>
      <c r="L386" s="2"/>
    </row>
    <row x14ac:dyDescent="0.25" r="387" customHeight="1" ht="17.25">
      <c r="A387" s="2"/>
      <c r="B387" s="2"/>
      <c r="C387" s="2"/>
      <c r="D387" s="13"/>
      <c r="E387" s="10"/>
      <c r="F387" s="16"/>
      <c r="G387" s="2"/>
      <c r="H387" s="2"/>
      <c r="I387" s="2"/>
      <c r="J387" s="2"/>
      <c r="K387" s="2"/>
      <c r="L387" s="2"/>
    </row>
    <row x14ac:dyDescent="0.25" r="388" customHeight="1" ht="17.25">
      <c r="A388" s="2"/>
      <c r="B388" s="2"/>
      <c r="C388" s="2"/>
      <c r="D388" s="13"/>
      <c r="E388" s="10"/>
      <c r="F388" s="16"/>
      <c r="G388" s="2"/>
      <c r="H388" s="2"/>
      <c r="I388" s="2"/>
      <c r="J388" s="2"/>
      <c r="K388" s="2"/>
      <c r="L388" s="2"/>
    </row>
    <row x14ac:dyDescent="0.25" r="389" customHeight="1" ht="17.25">
      <c r="A389" s="2"/>
      <c r="B389" s="2"/>
      <c r="C389" s="2"/>
      <c r="D389" s="13"/>
      <c r="E389" s="10"/>
      <c r="F389" s="16"/>
      <c r="G389" s="2"/>
      <c r="H389" s="2"/>
      <c r="I389" s="2"/>
      <c r="J389" s="2"/>
      <c r="K389" s="2"/>
      <c r="L389" s="2"/>
    </row>
    <row x14ac:dyDescent="0.25" r="390" customHeight="1" ht="17.25">
      <c r="A390" s="2"/>
      <c r="B390" s="2"/>
      <c r="C390" s="2"/>
      <c r="D390" s="13"/>
      <c r="E390" s="10"/>
      <c r="F390" s="16"/>
      <c r="G390" s="2"/>
      <c r="H390" s="2"/>
      <c r="I390" s="2"/>
      <c r="J390" s="2"/>
      <c r="K390" s="2"/>
      <c r="L390" s="2"/>
    </row>
    <row x14ac:dyDescent="0.25" r="391" customHeight="1" ht="17.25">
      <c r="A391" s="2"/>
      <c r="B391" s="2"/>
      <c r="C391" s="2"/>
      <c r="D391" s="13"/>
      <c r="E391" s="10"/>
      <c r="F391" s="16"/>
      <c r="G391" s="2"/>
      <c r="H391" s="2"/>
      <c r="I391" s="2"/>
      <c r="J391" s="2"/>
      <c r="K391" s="2"/>
      <c r="L391" s="2"/>
    </row>
    <row x14ac:dyDescent="0.25" r="392" customHeight="1" ht="17.25">
      <c r="A392" s="2"/>
      <c r="B392" s="2"/>
      <c r="C392" s="2"/>
      <c r="D392" s="13"/>
      <c r="E392" s="10"/>
      <c r="F392" s="16"/>
      <c r="G392" s="2"/>
      <c r="H392" s="2"/>
      <c r="I392" s="2"/>
      <c r="J392" s="2"/>
      <c r="K392" s="2"/>
      <c r="L392" s="2"/>
    </row>
    <row x14ac:dyDescent="0.25" r="393" customHeight="1" ht="17.25">
      <c r="A393" s="2"/>
      <c r="B393" s="2"/>
      <c r="C393" s="2"/>
      <c r="D393" s="13"/>
      <c r="E393" s="10"/>
      <c r="F393" s="16"/>
      <c r="G393" s="2"/>
      <c r="H393" s="2"/>
      <c r="I393" s="2"/>
      <c r="J393" s="2"/>
      <c r="K393" s="2"/>
      <c r="L393" s="2"/>
    </row>
    <row x14ac:dyDescent="0.25" r="394" customHeight="1" ht="17.25">
      <c r="A394" s="2"/>
      <c r="B394" s="2"/>
      <c r="C394" s="2"/>
      <c r="D394" s="13"/>
      <c r="E394" s="10"/>
      <c r="F394" s="16"/>
      <c r="G394" s="2"/>
      <c r="H394" s="2"/>
      <c r="I394" s="2"/>
      <c r="J394" s="2"/>
      <c r="K394" s="2"/>
      <c r="L394" s="2"/>
    </row>
    <row x14ac:dyDescent="0.25" r="395" customHeight="1" ht="17.25">
      <c r="A395" s="2"/>
      <c r="B395" s="2"/>
      <c r="C395" s="2"/>
      <c r="D395" s="13"/>
      <c r="E395" s="10"/>
      <c r="F395" s="16"/>
      <c r="G395" s="2"/>
      <c r="H395" s="2"/>
      <c r="I395" s="2"/>
      <c r="J395" s="2"/>
      <c r="K395" s="2"/>
      <c r="L395" s="2"/>
    </row>
    <row x14ac:dyDescent="0.25" r="396" customHeight="1" ht="17.25">
      <c r="A396" s="2"/>
      <c r="B396" s="2"/>
      <c r="C396" s="2"/>
      <c r="D396" s="13"/>
      <c r="E396" s="10"/>
      <c r="F396" s="16"/>
      <c r="G396" s="2"/>
      <c r="H396" s="2"/>
      <c r="I396" s="2"/>
      <c r="J396" s="2"/>
      <c r="K396" s="2"/>
      <c r="L396" s="2"/>
    </row>
    <row x14ac:dyDescent="0.25" r="397" customHeight="1" ht="17.25">
      <c r="A397" s="2"/>
      <c r="B397" s="2"/>
      <c r="C397" s="2"/>
      <c r="D397" s="13"/>
      <c r="E397" s="10"/>
      <c r="F397" s="16"/>
      <c r="G397" s="2"/>
      <c r="H397" s="2"/>
      <c r="I397" s="2"/>
      <c r="J397" s="2"/>
      <c r="K397" s="2"/>
      <c r="L397" s="2"/>
    </row>
    <row x14ac:dyDescent="0.25" r="398" customHeight="1" ht="17.25">
      <c r="A398" s="2"/>
      <c r="B398" s="2"/>
      <c r="C398" s="2"/>
      <c r="D398" s="13"/>
      <c r="E398" s="10"/>
      <c r="F398" s="16"/>
      <c r="G398" s="2"/>
      <c r="H398" s="2"/>
      <c r="I398" s="2"/>
      <c r="J398" s="2"/>
      <c r="K398" s="2"/>
      <c r="L398" s="2"/>
    </row>
    <row x14ac:dyDescent="0.25" r="399" customHeight="1" ht="17.25">
      <c r="A399" s="2"/>
      <c r="B399" s="2"/>
      <c r="C399" s="2"/>
      <c r="D399" s="13"/>
      <c r="E399" s="10"/>
      <c r="F399" s="16"/>
      <c r="G399" s="2"/>
      <c r="H399" s="2"/>
      <c r="I399" s="2"/>
      <c r="J399" s="2"/>
      <c r="K399" s="2"/>
      <c r="L399" s="2"/>
    </row>
    <row x14ac:dyDescent="0.25" r="400" customHeight="1" ht="17.25">
      <c r="A400" s="2"/>
      <c r="B400" s="2"/>
      <c r="C400" s="2"/>
      <c r="D400" s="13"/>
      <c r="E400" s="10"/>
      <c r="F400" s="16"/>
      <c r="G400" s="2"/>
      <c r="H400" s="2"/>
      <c r="I400" s="2"/>
      <c r="J400" s="2"/>
      <c r="K400" s="2"/>
      <c r="L400" s="2"/>
    </row>
    <row x14ac:dyDescent="0.25" r="401" customHeight="1" ht="17.25">
      <c r="A401" s="2"/>
      <c r="B401" s="2"/>
      <c r="C401" s="2"/>
      <c r="D401" s="13"/>
      <c r="E401" s="10"/>
      <c r="F401" s="16"/>
      <c r="G401" s="2"/>
      <c r="H401" s="2"/>
      <c r="I401" s="2"/>
      <c r="J401" s="2"/>
      <c r="K401" s="2"/>
      <c r="L401" s="2"/>
    </row>
    <row x14ac:dyDescent="0.25" r="402" customHeight="1" ht="17.25">
      <c r="A402" s="2"/>
      <c r="B402" s="2"/>
      <c r="C402" s="2"/>
      <c r="D402" s="13"/>
      <c r="E402" s="10"/>
      <c r="F402" s="16"/>
      <c r="G402" s="2"/>
      <c r="H402" s="2"/>
      <c r="I402" s="2"/>
      <c r="J402" s="2"/>
      <c r="K402" s="2"/>
      <c r="L402" s="2"/>
    </row>
    <row x14ac:dyDescent="0.25" r="403" customHeight="1" ht="17.25">
      <c r="A403" s="2"/>
      <c r="B403" s="2"/>
      <c r="C403" s="2"/>
      <c r="D403" s="13"/>
      <c r="E403" s="10"/>
      <c r="F403" s="16"/>
      <c r="G403" s="2"/>
      <c r="H403" s="2"/>
      <c r="I403" s="2"/>
      <c r="J403" s="2"/>
      <c r="K403" s="2"/>
      <c r="L403" s="2"/>
    </row>
    <row x14ac:dyDescent="0.25" r="404" customHeight="1" ht="17.25">
      <c r="A404" s="2"/>
      <c r="B404" s="2"/>
      <c r="C404" s="2"/>
      <c r="D404" s="13"/>
      <c r="E404" s="10"/>
      <c r="F404" s="16"/>
      <c r="G404" s="2"/>
      <c r="H404" s="2"/>
      <c r="I404" s="2"/>
      <c r="J404" s="2"/>
      <c r="K404" s="2"/>
      <c r="L404" s="2"/>
    </row>
    <row x14ac:dyDescent="0.25" r="405" customHeight="1" ht="17.25">
      <c r="A405" s="2"/>
      <c r="B405" s="2"/>
      <c r="C405" s="2"/>
      <c r="D405" s="13"/>
      <c r="E405" s="10"/>
      <c r="F405" s="16"/>
      <c r="G405" s="2"/>
      <c r="H405" s="2"/>
      <c r="I405" s="2"/>
      <c r="J405" s="2"/>
      <c r="K405" s="2"/>
      <c r="L405" s="2"/>
    </row>
    <row x14ac:dyDescent="0.25" r="406" customHeight="1" ht="17.25">
      <c r="A406" s="2"/>
      <c r="B406" s="2"/>
      <c r="C406" s="2"/>
      <c r="D406" s="13"/>
      <c r="E406" s="10"/>
      <c r="F406" s="16"/>
      <c r="G406" s="2"/>
      <c r="H406" s="2"/>
      <c r="I406" s="2"/>
      <c r="J406" s="2"/>
      <c r="K406" s="2"/>
      <c r="L406" s="2"/>
    </row>
    <row x14ac:dyDescent="0.25" r="407" customHeight="1" ht="17.25">
      <c r="A407" s="2"/>
      <c r="B407" s="2"/>
      <c r="C407" s="2"/>
      <c r="D407" s="13"/>
      <c r="E407" s="10"/>
      <c r="F407" s="16"/>
      <c r="G407" s="2"/>
      <c r="H407" s="2"/>
      <c r="I407" s="2"/>
      <c r="J407" s="2"/>
      <c r="K407" s="2"/>
      <c r="L407" s="2"/>
    </row>
    <row x14ac:dyDescent="0.25" r="408" customHeight="1" ht="17.25">
      <c r="A408" s="2"/>
      <c r="B408" s="2"/>
      <c r="C408" s="2"/>
      <c r="D408" s="13"/>
      <c r="E408" s="10"/>
      <c r="F408" s="16"/>
      <c r="G408" s="2"/>
      <c r="H408" s="2"/>
      <c r="I408" s="2"/>
      <c r="J408" s="2"/>
      <c r="K408" s="2"/>
      <c r="L408" s="2"/>
    </row>
    <row x14ac:dyDescent="0.25" r="409" customHeight="1" ht="17.25">
      <c r="A409" s="2"/>
      <c r="B409" s="2"/>
      <c r="C409" s="2"/>
      <c r="D409" s="13"/>
      <c r="E409" s="10"/>
      <c r="F409" s="16"/>
      <c r="G409" s="2"/>
      <c r="H409" s="2"/>
      <c r="I409" s="2"/>
      <c r="J409" s="2"/>
      <c r="K409" s="2"/>
      <c r="L409" s="2"/>
    </row>
    <row x14ac:dyDescent="0.25" r="410" customHeight="1" ht="17.25">
      <c r="A410" s="2"/>
      <c r="B410" s="2"/>
      <c r="C410" s="2"/>
      <c r="D410" s="13"/>
      <c r="E410" s="10"/>
      <c r="F410" s="16"/>
      <c r="G410" s="2"/>
      <c r="H410" s="2"/>
      <c r="I410" s="2"/>
      <c r="J410" s="2"/>
      <c r="K410" s="2"/>
      <c r="L410" s="2"/>
    </row>
    <row x14ac:dyDescent="0.25" r="411" customHeight="1" ht="17.25">
      <c r="A411" s="2"/>
      <c r="B411" s="2"/>
      <c r="C411" s="2"/>
      <c r="D411" s="13"/>
      <c r="E411" s="10"/>
      <c r="F411" s="16"/>
      <c r="G411" s="2"/>
      <c r="H411" s="2"/>
      <c r="I411" s="2"/>
      <c r="J411" s="2"/>
      <c r="K411" s="2"/>
      <c r="L411" s="2"/>
    </row>
    <row x14ac:dyDescent="0.25" r="412" customHeight="1" ht="17.25">
      <c r="A412" s="2"/>
      <c r="B412" s="2"/>
      <c r="C412" s="2"/>
      <c r="D412" s="13"/>
      <c r="E412" s="10"/>
      <c r="F412" s="16"/>
      <c r="G412" s="2"/>
      <c r="H412" s="2"/>
      <c r="I412" s="2"/>
      <c r="J412" s="2"/>
      <c r="K412" s="2"/>
      <c r="L412" s="2"/>
    </row>
    <row x14ac:dyDescent="0.25" r="413" customHeight="1" ht="17.25">
      <c r="A413" s="2"/>
      <c r="B413" s="2"/>
      <c r="C413" s="2"/>
      <c r="D413" s="13"/>
      <c r="E413" s="10"/>
      <c r="F413" s="16"/>
      <c r="G413" s="2"/>
      <c r="H413" s="2"/>
      <c r="I413" s="2"/>
      <c r="J413" s="2"/>
      <c r="K413" s="2"/>
      <c r="L413" s="2"/>
    </row>
    <row x14ac:dyDescent="0.25" r="414" customHeight="1" ht="17.25">
      <c r="A414" s="2"/>
      <c r="B414" s="2"/>
      <c r="C414" s="2"/>
      <c r="D414" s="13"/>
      <c r="E414" s="10"/>
      <c r="F414" s="16"/>
      <c r="G414" s="2"/>
      <c r="H414" s="2"/>
      <c r="I414" s="2"/>
      <c r="J414" s="2"/>
      <c r="K414" s="2"/>
      <c r="L414" s="2"/>
    </row>
    <row x14ac:dyDescent="0.25" r="415" customHeight="1" ht="17.25">
      <c r="A415" s="2"/>
      <c r="B415" s="2"/>
      <c r="C415" s="2"/>
      <c r="D415" s="13"/>
      <c r="E415" s="10"/>
      <c r="F415" s="16"/>
      <c r="G415" s="2"/>
      <c r="H415" s="2"/>
      <c r="I415" s="2"/>
      <c r="J415" s="2"/>
      <c r="K415" s="2"/>
      <c r="L415" s="2"/>
    </row>
    <row x14ac:dyDescent="0.25" r="416" customHeight="1" ht="17.25">
      <c r="A416" s="2"/>
      <c r="B416" s="2"/>
      <c r="C416" s="2"/>
      <c r="D416" s="13"/>
      <c r="E416" s="10"/>
      <c r="F416" s="16"/>
      <c r="G416" s="2"/>
      <c r="H416" s="2"/>
      <c r="I416" s="2"/>
      <c r="J416" s="2"/>
      <c r="K416" s="2"/>
      <c r="L416" s="2"/>
    </row>
    <row x14ac:dyDescent="0.25" r="417" customHeight="1" ht="17.25">
      <c r="A417" s="2"/>
      <c r="B417" s="2"/>
      <c r="C417" s="2"/>
      <c r="D417" s="13"/>
      <c r="E417" s="10"/>
      <c r="F417" s="16"/>
      <c r="G417" s="2"/>
      <c r="H417" s="2"/>
      <c r="I417" s="2"/>
      <c r="J417" s="2"/>
      <c r="K417" s="2"/>
      <c r="L417" s="2"/>
    </row>
    <row x14ac:dyDescent="0.25" r="418" customHeight="1" ht="17.25">
      <c r="A418" s="2"/>
      <c r="B418" s="2"/>
      <c r="C418" s="2"/>
      <c r="D418" s="13"/>
      <c r="E418" s="10"/>
      <c r="F418" s="16"/>
      <c r="G418" s="2"/>
      <c r="H418" s="2"/>
      <c r="I418" s="2"/>
      <c r="J418" s="2"/>
      <c r="K418" s="2"/>
      <c r="L418" s="2"/>
    </row>
    <row x14ac:dyDescent="0.25" r="419" customHeight="1" ht="17.25">
      <c r="A419" s="2"/>
      <c r="B419" s="2"/>
      <c r="C419" s="2"/>
      <c r="D419" s="13"/>
      <c r="E419" s="10"/>
      <c r="F419" s="16"/>
      <c r="G419" s="2"/>
      <c r="H419" s="2"/>
      <c r="I419" s="2"/>
      <c r="J419" s="2"/>
      <c r="K419" s="2"/>
      <c r="L419" s="2"/>
    </row>
    <row x14ac:dyDescent="0.25" r="420" customHeight="1" ht="17.25">
      <c r="A420" s="2"/>
      <c r="B420" s="2"/>
      <c r="C420" s="2"/>
      <c r="D420" s="13"/>
      <c r="E420" s="10"/>
      <c r="F420" s="16"/>
      <c r="G420" s="2"/>
      <c r="H420" s="2"/>
      <c r="I420" s="2"/>
      <c r="J420" s="2"/>
      <c r="K420" s="2"/>
      <c r="L420" s="2"/>
    </row>
    <row x14ac:dyDescent="0.25" r="421" customHeight="1" ht="17.25">
      <c r="A421" s="2"/>
      <c r="B421" s="2"/>
      <c r="C421" s="2"/>
      <c r="D421" s="13"/>
      <c r="E421" s="10"/>
      <c r="F421" s="16"/>
      <c r="G421" s="2"/>
      <c r="H421" s="2"/>
      <c r="I421" s="2"/>
      <c r="J421" s="2"/>
      <c r="K421" s="2"/>
      <c r="L421" s="2"/>
    </row>
    <row x14ac:dyDescent="0.25" r="422" customHeight="1" ht="17.25">
      <c r="A422" s="2"/>
      <c r="B422" s="2"/>
      <c r="C422" s="2"/>
      <c r="D422" s="13"/>
      <c r="E422" s="10"/>
      <c r="F422" s="16"/>
      <c r="G422" s="2"/>
      <c r="H422" s="2"/>
      <c r="I422" s="2"/>
      <c r="J422" s="2"/>
      <c r="K422" s="2"/>
      <c r="L422" s="2"/>
    </row>
    <row x14ac:dyDescent="0.25" r="423" customHeight="1" ht="17.25">
      <c r="A423" s="2"/>
      <c r="B423" s="2"/>
      <c r="C423" s="2"/>
      <c r="D423" s="13"/>
      <c r="E423" s="10"/>
      <c r="F423" s="16"/>
      <c r="G423" s="2"/>
      <c r="H423" s="2"/>
      <c r="I423" s="2"/>
      <c r="J423" s="2"/>
      <c r="K423" s="2"/>
      <c r="L423" s="2"/>
    </row>
    <row x14ac:dyDescent="0.25" r="424" customHeight="1" ht="17.25">
      <c r="A424" s="2"/>
      <c r="B424" s="2"/>
      <c r="C424" s="2"/>
      <c r="D424" s="13"/>
      <c r="E424" s="10"/>
      <c r="F424" s="16"/>
      <c r="G424" s="2"/>
      <c r="H424" s="2"/>
      <c r="I424" s="2"/>
      <c r="J424" s="2"/>
      <c r="K424" s="2"/>
      <c r="L424" s="2"/>
    </row>
    <row x14ac:dyDescent="0.25" r="425" customHeight="1" ht="17.25">
      <c r="A425" s="2"/>
      <c r="B425" s="2"/>
      <c r="C425" s="2"/>
      <c r="D425" s="13"/>
      <c r="E425" s="10"/>
      <c r="F425" s="16"/>
      <c r="G425" s="2"/>
      <c r="H425" s="2"/>
      <c r="I425" s="2"/>
      <c r="J425" s="2"/>
      <c r="K425" s="2"/>
      <c r="L425" s="2"/>
    </row>
    <row x14ac:dyDescent="0.25" r="426" customHeight="1" ht="17.25">
      <c r="A426" s="2"/>
      <c r="B426" s="2"/>
      <c r="C426" s="2"/>
      <c r="D426" s="13"/>
      <c r="E426" s="10"/>
      <c r="F426" s="16"/>
      <c r="G426" s="2"/>
      <c r="H426" s="2"/>
      <c r="I426" s="2"/>
      <c r="J426" s="2"/>
      <c r="K426" s="2"/>
      <c r="L426" s="2"/>
    </row>
    <row x14ac:dyDescent="0.25" r="427" customHeight="1" ht="17.25">
      <c r="A427" s="2"/>
      <c r="B427" s="2"/>
      <c r="C427" s="2"/>
      <c r="D427" s="13"/>
      <c r="E427" s="10"/>
      <c r="F427" s="16"/>
      <c r="G427" s="2"/>
      <c r="H427" s="2"/>
      <c r="I427" s="2"/>
      <c r="J427" s="2"/>
      <c r="K427" s="2"/>
      <c r="L427" s="2"/>
    </row>
    <row x14ac:dyDescent="0.25" r="428" customHeight="1" ht="17.25">
      <c r="A428" s="2"/>
      <c r="B428" s="2"/>
      <c r="C428" s="2"/>
      <c r="D428" s="13"/>
      <c r="E428" s="10"/>
      <c r="F428" s="16"/>
      <c r="G428" s="2"/>
      <c r="H428" s="2"/>
      <c r="I428" s="2"/>
      <c r="J428" s="2"/>
      <c r="K428" s="2"/>
      <c r="L428" s="2"/>
    </row>
    <row x14ac:dyDescent="0.25" r="429" customHeight="1" ht="17.25">
      <c r="A429" s="2"/>
      <c r="B429" s="2"/>
      <c r="C429" s="2"/>
      <c r="D429" s="13"/>
      <c r="E429" s="10"/>
      <c r="F429" s="16"/>
      <c r="G429" s="2"/>
      <c r="H429" s="2"/>
      <c r="I429" s="2"/>
      <c r="J429" s="2"/>
      <c r="K429" s="2"/>
      <c r="L429" s="2"/>
    </row>
    <row x14ac:dyDescent="0.25" r="430" customHeight="1" ht="17.25">
      <c r="A430" s="2"/>
      <c r="B430" s="2"/>
      <c r="C430" s="2"/>
      <c r="D430" s="13"/>
      <c r="E430" s="10"/>
      <c r="F430" s="16"/>
      <c r="G430" s="2"/>
      <c r="H430" s="2"/>
      <c r="I430" s="2"/>
      <c r="J430" s="2"/>
      <c r="K430" s="2"/>
      <c r="L430" s="2"/>
    </row>
    <row x14ac:dyDescent="0.25" r="431" customHeight="1" ht="17.25">
      <c r="A431" s="2"/>
      <c r="B431" s="2"/>
      <c r="C431" s="2"/>
      <c r="D431" s="13"/>
      <c r="E431" s="10"/>
      <c r="F431" s="16"/>
      <c r="G431" s="2"/>
      <c r="H431" s="2"/>
      <c r="I431" s="2"/>
      <c r="J431" s="2"/>
      <c r="K431" s="2"/>
      <c r="L431" s="2"/>
    </row>
    <row x14ac:dyDescent="0.25" r="432" customHeight="1" ht="17.25">
      <c r="A432" s="2"/>
      <c r="B432" s="2"/>
      <c r="C432" s="2"/>
      <c r="D432" s="13"/>
      <c r="E432" s="10"/>
      <c r="F432" s="16"/>
      <c r="G432" s="2"/>
      <c r="H432" s="2"/>
      <c r="I432" s="2"/>
      <c r="J432" s="2"/>
      <c r="K432" s="2"/>
      <c r="L432" s="2"/>
    </row>
    <row x14ac:dyDescent="0.25" r="433" customHeight="1" ht="17.25">
      <c r="A433" s="2"/>
      <c r="B433" s="2"/>
      <c r="C433" s="2"/>
      <c r="D433" s="13"/>
      <c r="E433" s="10"/>
      <c r="F433" s="16"/>
      <c r="G433" s="2"/>
      <c r="H433" s="2"/>
      <c r="I433" s="2"/>
      <c r="J433" s="2"/>
      <c r="K433" s="2"/>
      <c r="L433" s="2"/>
    </row>
    <row x14ac:dyDescent="0.25" r="434" customHeight="1" ht="17.25">
      <c r="A434" s="2"/>
      <c r="B434" s="2"/>
      <c r="C434" s="2"/>
      <c r="D434" s="13"/>
      <c r="E434" s="10"/>
      <c r="F434" s="16"/>
      <c r="G434" s="2"/>
      <c r="H434" s="2"/>
      <c r="I434" s="2"/>
      <c r="J434" s="2"/>
      <c r="K434" s="2"/>
      <c r="L434" s="2"/>
    </row>
    <row x14ac:dyDescent="0.25" r="435" customHeight="1" ht="17.25">
      <c r="A435" s="2"/>
      <c r="B435" s="2"/>
      <c r="C435" s="2"/>
      <c r="D435" s="13"/>
      <c r="E435" s="10"/>
      <c r="F435" s="16"/>
      <c r="G435" s="2"/>
      <c r="H435" s="2"/>
      <c r="I435" s="2"/>
      <c r="J435" s="2"/>
      <c r="K435" s="2"/>
      <c r="L435" s="2"/>
    </row>
    <row x14ac:dyDescent="0.25" r="436" customHeight="1" ht="17.25">
      <c r="A436" s="2"/>
      <c r="B436" s="2"/>
      <c r="C436" s="2"/>
      <c r="D436" s="13"/>
      <c r="E436" s="10"/>
      <c r="F436" s="16"/>
      <c r="G436" s="2"/>
      <c r="H436" s="2"/>
      <c r="I436" s="2"/>
      <c r="J436" s="2"/>
      <c r="K436" s="2"/>
      <c r="L436" s="2"/>
    </row>
    <row x14ac:dyDescent="0.25" r="437" customHeight="1" ht="17.25">
      <c r="A437" s="2"/>
      <c r="B437" s="2"/>
      <c r="C437" s="2"/>
      <c r="D437" s="13"/>
      <c r="E437" s="10"/>
      <c r="F437" s="16"/>
      <c r="G437" s="2"/>
      <c r="H437" s="2"/>
      <c r="I437" s="2"/>
      <c r="J437" s="2"/>
      <c r="K437" s="2"/>
      <c r="L437" s="2"/>
    </row>
    <row x14ac:dyDescent="0.25" r="438" customHeight="1" ht="17.25">
      <c r="A438" s="2"/>
      <c r="B438" s="2"/>
      <c r="C438" s="2"/>
      <c r="D438" s="13"/>
      <c r="E438" s="10"/>
      <c r="F438" s="16"/>
      <c r="G438" s="2"/>
      <c r="H438" s="2"/>
      <c r="I438" s="2"/>
      <c r="J438" s="2"/>
      <c r="K438" s="2"/>
      <c r="L438" s="2"/>
    </row>
    <row x14ac:dyDescent="0.25" r="439" customHeight="1" ht="17.25">
      <c r="A439" s="2"/>
      <c r="B439" s="2"/>
      <c r="C439" s="2"/>
      <c r="D439" s="13"/>
      <c r="E439" s="10"/>
      <c r="F439" s="16"/>
      <c r="G439" s="2"/>
      <c r="H439" s="2"/>
      <c r="I439" s="2"/>
      <c r="J439" s="2"/>
      <c r="K439" s="2"/>
      <c r="L439" s="2"/>
    </row>
    <row x14ac:dyDescent="0.25" r="440" customHeight="1" ht="17.25">
      <c r="A440" s="2"/>
      <c r="B440" s="2"/>
      <c r="C440" s="2"/>
      <c r="D440" s="13"/>
      <c r="E440" s="10"/>
      <c r="F440" s="16"/>
      <c r="G440" s="2"/>
      <c r="H440" s="2"/>
      <c r="I440" s="2"/>
      <c r="J440" s="2"/>
      <c r="K440" s="2"/>
      <c r="L440" s="2"/>
    </row>
    <row x14ac:dyDescent="0.25" r="441" customHeight="1" ht="17.25">
      <c r="A441" s="2"/>
      <c r="B441" s="2"/>
      <c r="C441" s="2"/>
      <c r="D441" s="13"/>
      <c r="E441" s="10"/>
      <c r="F441" s="16"/>
      <c r="G441" s="2"/>
      <c r="H441" s="2"/>
      <c r="I441" s="2"/>
      <c r="J441" s="2"/>
      <c r="K441" s="2"/>
      <c r="L441" s="2"/>
    </row>
    <row x14ac:dyDescent="0.25" r="442" customHeight="1" ht="17.25">
      <c r="A442" s="2"/>
      <c r="B442" s="2"/>
      <c r="C442" s="2"/>
      <c r="D442" s="13"/>
      <c r="E442" s="10"/>
      <c r="F442" s="16"/>
      <c r="G442" s="2"/>
      <c r="H442" s="2"/>
      <c r="I442" s="2"/>
      <c r="J442" s="2"/>
      <c r="K442" s="2"/>
      <c r="L442" s="2"/>
    </row>
    <row x14ac:dyDescent="0.25" r="443" customHeight="1" ht="17.25">
      <c r="A443" s="2"/>
      <c r="B443" s="2"/>
      <c r="C443" s="2"/>
      <c r="D443" s="13"/>
      <c r="E443" s="10"/>
      <c r="F443" s="16"/>
      <c r="G443" s="2"/>
      <c r="H443" s="2"/>
      <c r="I443" s="2"/>
      <c r="J443" s="2"/>
      <c r="K443" s="2"/>
      <c r="L443" s="2"/>
    </row>
    <row x14ac:dyDescent="0.25" r="444" customHeight="1" ht="17.25">
      <c r="A444" s="2"/>
      <c r="B444" s="2"/>
      <c r="C444" s="2"/>
      <c r="D444" s="13"/>
      <c r="E444" s="10"/>
      <c r="F444" s="16"/>
      <c r="G444" s="2"/>
      <c r="H444" s="2"/>
      <c r="I444" s="2"/>
      <c r="J444" s="2"/>
      <c r="K444" s="2"/>
      <c r="L444" s="2"/>
    </row>
    <row x14ac:dyDescent="0.25" r="445" customHeight="1" ht="17.25">
      <c r="A445" s="2"/>
      <c r="B445" s="2"/>
      <c r="C445" s="2"/>
      <c r="D445" s="13"/>
      <c r="E445" s="10"/>
      <c r="F445" s="16"/>
      <c r="G445" s="2"/>
      <c r="H445" s="2"/>
      <c r="I445" s="2"/>
      <c r="J445" s="2"/>
      <c r="K445" s="2"/>
      <c r="L445" s="2"/>
    </row>
    <row x14ac:dyDescent="0.25" r="446" customHeight="1" ht="17.25">
      <c r="A446" s="2"/>
      <c r="B446" s="2"/>
      <c r="C446" s="2"/>
      <c r="D446" s="13"/>
      <c r="E446" s="10"/>
      <c r="F446" s="16"/>
      <c r="G446" s="2"/>
      <c r="H446" s="2"/>
      <c r="I446" s="2"/>
      <c r="J446" s="2"/>
      <c r="K446" s="2"/>
      <c r="L446" s="2"/>
    </row>
    <row x14ac:dyDescent="0.25" r="447" customHeight="1" ht="17.25">
      <c r="A447" s="2"/>
      <c r="B447" s="2"/>
      <c r="C447" s="2"/>
      <c r="D447" s="13"/>
      <c r="E447" s="10"/>
      <c r="F447" s="16"/>
      <c r="G447" s="2"/>
      <c r="H447" s="2"/>
      <c r="I447" s="2"/>
      <c r="J447" s="2"/>
      <c r="K447" s="2"/>
      <c r="L447" s="2"/>
    </row>
    <row x14ac:dyDescent="0.25" r="448" customHeight="1" ht="17.25">
      <c r="A448" s="2"/>
      <c r="B448" s="2"/>
      <c r="C448" s="2"/>
      <c r="D448" s="13"/>
      <c r="E448" s="10"/>
      <c r="F448" s="16"/>
      <c r="G448" s="2"/>
      <c r="H448" s="2"/>
      <c r="I448" s="2"/>
      <c r="J448" s="2"/>
      <c r="K448" s="2"/>
      <c r="L448" s="2"/>
    </row>
    <row x14ac:dyDescent="0.25" r="449" customHeight="1" ht="17.25">
      <c r="A449" s="2"/>
      <c r="B449" s="2"/>
      <c r="C449" s="2"/>
      <c r="D449" s="13"/>
      <c r="E449" s="10"/>
      <c r="F449" s="16"/>
      <c r="G449" s="2"/>
      <c r="H449" s="2"/>
      <c r="I449" s="2"/>
      <c r="J449" s="2"/>
      <c r="K449" s="2"/>
      <c r="L449" s="2"/>
    </row>
    <row x14ac:dyDescent="0.25" r="450" customHeight="1" ht="17.25">
      <c r="A450" s="2"/>
      <c r="B450" s="2"/>
      <c r="C450" s="2"/>
      <c r="D450" s="13"/>
      <c r="E450" s="10"/>
      <c r="F450" s="16"/>
      <c r="G450" s="2"/>
      <c r="H450" s="2"/>
      <c r="I450" s="2"/>
      <c r="J450" s="2"/>
      <c r="K450" s="2"/>
      <c r="L450" s="2"/>
    </row>
    <row x14ac:dyDescent="0.25" r="451" customHeight="1" ht="17.25">
      <c r="A451" s="2"/>
      <c r="B451" s="2"/>
      <c r="C451" s="2"/>
      <c r="D451" s="13"/>
      <c r="E451" s="10"/>
      <c r="F451" s="16"/>
      <c r="G451" s="2"/>
      <c r="H451" s="2"/>
      <c r="I451" s="2"/>
      <c r="J451" s="2"/>
      <c r="K451" s="2"/>
      <c r="L451" s="2"/>
    </row>
    <row x14ac:dyDescent="0.25" r="452" customHeight="1" ht="17.25">
      <c r="A452" s="2"/>
      <c r="B452" s="2"/>
      <c r="C452" s="2"/>
      <c r="D452" s="13"/>
      <c r="E452" s="10"/>
      <c r="F452" s="16"/>
      <c r="G452" s="2"/>
      <c r="H452" s="2"/>
      <c r="I452" s="2"/>
      <c r="J452" s="2"/>
      <c r="K452" s="2"/>
      <c r="L452" s="2"/>
    </row>
    <row x14ac:dyDescent="0.25" r="453" customHeight="1" ht="17.25">
      <c r="A453" s="2"/>
      <c r="B453" s="2"/>
      <c r="C453" s="2"/>
      <c r="D453" s="13"/>
      <c r="E453" s="10"/>
      <c r="F453" s="16"/>
      <c r="G453" s="2"/>
      <c r="H453" s="2"/>
      <c r="I453" s="2"/>
      <c r="J453" s="2"/>
      <c r="K453" s="2"/>
      <c r="L453" s="2"/>
    </row>
    <row x14ac:dyDescent="0.25" r="454" customHeight="1" ht="17.25">
      <c r="A454" s="2"/>
      <c r="B454" s="2"/>
      <c r="C454" s="2"/>
      <c r="D454" s="13"/>
      <c r="E454" s="10"/>
      <c r="F454" s="16"/>
      <c r="G454" s="2"/>
      <c r="H454" s="2"/>
      <c r="I454" s="2"/>
      <c r="J454" s="2"/>
      <c r="K454" s="2"/>
      <c r="L454" s="2"/>
    </row>
    <row x14ac:dyDescent="0.25" r="455" customHeight="1" ht="17.25">
      <c r="A455" s="2"/>
      <c r="B455" s="2"/>
      <c r="C455" s="2"/>
      <c r="D455" s="13"/>
      <c r="E455" s="10"/>
      <c r="F455" s="16"/>
      <c r="G455" s="2"/>
      <c r="H455" s="2"/>
      <c r="I455" s="2"/>
      <c r="J455" s="2"/>
      <c r="K455" s="2"/>
      <c r="L455" s="2"/>
    </row>
    <row x14ac:dyDescent="0.25" r="456" customHeight="1" ht="17.25">
      <c r="A456" s="2"/>
      <c r="B456" s="2"/>
      <c r="C456" s="2"/>
      <c r="D456" s="13"/>
      <c r="E456" s="10"/>
      <c r="F456" s="16"/>
      <c r="G456" s="2"/>
      <c r="H456" s="2"/>
      <c r="I456" s="2"/>
      <c r="J456" s="2"/>
      <c r="K456" s="2"/>
      <c r="L456" s="2"/>
    </row>
    <row x14ac:dyDescent="0.25" r="457" customHeight="1" ht="17.25">
      <c r="A457" s="2"/>
      <c r="B457" s="2"/>
      <c r="C457" s="2"/>
      <c r="D457" s="13"/>
      <c r="E457" s="10"/>
      <c r="F457" s="16"/>
      <c r="G457" s="2"/>
      <c r="H457" s="2"/>
      <c r="I457" s="2"/>
      <c r="J457" s="2"/>
      <c r="K457" s="2"/>
      <c r="L457" s="2"/>
    </row>
    <row x14ac:dyDescent="0.25" r="458" customHeight="1" ht="17.25">
      <c r="A458" s="2"/>
      <c r="B458" s="2"/>
      <c r="C458" s="2"/>
      <c r="D458" s="13"/>
      <c r="E458" s="10"/>
      <c r="F458" s="16"/>
      <c r="G458" s="2"/>
      <c r="H458" s="2"/>
      <c r="I458" s="2"/>
      <c r="J458" s="2"/>
      <c r="K458" s="2"/>
      <c r="L458" s="2"/>
    </row>
    <row x14ac:dyDescent="0.25" r="459" customHeight="1" ht="17.25">
      <c r="A459" s="2"/>
      <c r="B459" s="2"/>
      <c r="C459" s="2"/>
      <c r="D459" s="13"/>
      <c r="E459" s="10"/>
      <c r="F459" s="16"/>
      <c r="G459" s="2"/>
      <c r="H459" s="2"/>
      <c r="I459" s="2"/>
      <c r="J459" s="2"/>
      <c r="K459" s="2"/>
      <c r="L459" s="2"/>
    </row>
    <row x14ac:dyDescent="0.25" r="460" customHeight="1" ht="17.25">
      <c r="A460" s="2"/>
      <c r="B460" s="2"/>
      <c r="C460" s="2"/>
      <c r="D460" s="13"/>
      <c r="E460" s="10"/>
      <c r="F460" s="16"/>
      <c r="G460" s="2"/>
      <c r="H460" s="2"/>
      <c r="I460" s="2"/>
      <c r="J460" s="2"/>
      <c r="K460" s="2"/>
      <c r="L460" s="2"/>
    </row>
    <row x14ac:dyDescent="0.25" r="461" customHeight="1" ht="17.25">
      <c r="A461" s="2"/>
      <c r="B461" s="2"/>
      <c r="C461" s="2"/>
      <c r="D461" s="13"/>
      <c r="E461" s="10"/>
      <c r="F461" s="16"/>
      <c r="G461" s="2"/>
      <c r="H461" s="2"/>
      <c r="I461" s="2"/>
      <c r="J461" s="2"/>
      <c r="K461" s="2"/>
      <c r="L461" s="2"/>
    </row>
    <row x14ac:dyDescent="0.25" r="462" customHeight="1" ht="17.25">
      <c r="A462" s="2"/>
      <c r="B462" s="2"/>
      <c r="C462" s="2"/>
      <c r="D462" s="13"/>
      <c r="E462" s="10"/>
      <c r="F462" s="16"/>
      <c r="G462" s="2"/>
      <c r="H462" s="2"/>
      <c r="I462" s="2"/>
      <c r="J462" s="2"/>
      <c r="K462" s="2"/>
      <c r="L462" s="2"/>
    </row>
    <row x14ac:dyDescent="0.25" r="463" customHeight="1" ht="17.25">
      <c r="A463" s="2"/>
      <c r="B463" s="2"/>
      <c r="C463" s="2"/>
      <c r="D463" s="13"/>
      <c r="E463" s="10"/>
      <c r="F463" s="16"/>
      <c r="G463" s="2"/>
      <c r="H463" s="2"/>
      <c r="I463" s="2"/>
      <c r="J463" s="2"/>
      <c r="K463" s="2"/>
      <c r="L463" s="2"/>
    </row>
    <row x14ac:dyDescent="0.25" r="464" customHeight="1" ht="17.25">
      <c r="A464" s="2"/>
      <c r="B464" s="2"/>
      <c r="C464" s="2"/>
      <c r="D464" s="13"/>
      <c r="E464" s="10"/>
      <c r="F464" s="16"/>
      <c r="G464" s="2"/>
      <c r="H464" s="2"/>
      <c r="I464" s="2"/>
      <c r="J464" s="2"/>
      <c r="K464" s="2"/>
      <c r="L464" s="2"/>
    </row>
    <row x14ac:dyDescent="0.25" r="465" customHeight="1" ht="17.25">
      <c r="A465" s="2"/>
      <c r="B465" s="2"/>
      <c r="C465" s="2"/>
      <c r="D465" s="13"/>
      <c r="E465" s="10"/>
      <c r="F465" s="16"/>
      <c r="G465" s="2"/>
      <c r="H465" s="2"/>
      <c r="I465" s="2"/>
      <c r="J465" s="2"/>
      <c r="K465" s="2"/>
      <c r="L465" s="2"/>
    </row>
    <row x14ac:dyDescent="0.25" r="466" customHeight="1" ht="17.25">
      <c r="A466" s="2"/>
      <c r="B466" s="2"/>
      <c r="C466" s="2"/>
      <c r="D466" s="13"/>
      <c r="E466" s="10"/>
      <c r="F466" s="16"/>
      <c r="G466" s="2"/>
      <c r="H466" s="2"/>
      <c r="I466" s="2"/>
      <c r="J466" s="2"/>
      <c r="K466" s="2"/>
      <c r="L466" s="2"/>
    </row>
    <row x14ac:dyDescent="0.25" r="467" customHeight="1" ht="17.25">
      <c r="A467" s="2"/>
      <c r="B467" s="2"/>
      <c r="C467" s="2"/>
      <c r="D467" s="13"/>
      <c r="E467" s="10"/>
      <c r="F467" s="16"/>
      <c r="G467" s="2"/>
      <c r="H467" s="2"/>
      <c r="I467" s="2"/>
      <c r="J467" s="2"/>
      <c r="K467" s="2"/>
      <c r="L467" s="2"/>
    </row>
    <row x14ac:dyDescent="0.25" r="468" customHeight="1" ht="17.25">
      <c r="A468" s="2"/>
      <c r="B468" s="2"/>
      <c r="C468" s="2"/>
      <c r="D468" s="13"/>
      <c r="E468" s="10"/>
      <c r="F468" s="16"/>
      <c r="G468" s="2"/>
      <c r="H468" s="2"/>
      <c r="I468" s="2"/>
      <c r="J468" s="2"/>
      <c r="K468" s="2"/>
      <c r="L468" s="2"/>
    </row>
    <row x14ac:dyDescent="0.25" r="469" customHeight="1" ht="17.25">
      <c r="A469" s="2"/>
      <c r="B469" s="2"/>
      <c r="C469" s="2"/>
      <c r="D469" s="13"/>
      <c r="E469" s="10"/>
      <c r="F469" s="16"/>
      <c r="G469" s="2"/>
      <c r="H469" s="2"/>
      <c r="I469" s="2"/>
      <c r="J469" s="2"/>
      <c r="K469" s="2"/>
      <c r="L469" s="2"/>
    </row>
    <row x14ac:dyDescent="0.25" r="470" customHeight="1" ht="17.25">
      <c r="A470" s="2"/>
      <c r="B470" s="2"/>
      <c r="C470" s="2"/>
      <c r="D470" s="13"/>
      <c r="E470" s="10"/>
      <c r="F470" s="16"/>
      <c r="G470" s="2"/>
      <c r="H470" s="2"/>
      <c r="I470" s="2"/>
      <c r="J470" s="2"/>
      <c r="K470" s="2"/>
      <c r="L470" s="2"/>
    </row>
    <row x14ac:dyDescent="0.25" r="471" customHeight="1" ht="17.25">
      <c r="A471" s="2"/>
      <c r="B471" s="2"/>
      <c r="C471" s="2"/>
      <c r="D471" s="13"/>
      <c r="E471" s="10"/>
      <c r="F471" s="16"/>
      <c r="G471" s="2"/>
      <c r="H471" s="2"/>
      <c r="I471" s="2"/>
      <c r="J471" s="2"/>
      <c r="K471" s="2"/>
      <c r="L471" s="2"/>
    </row>
    <row x14ac:dyDescent="0.25" r="472" customHeight="1" ht="17.25">
      <c r="A472" s="2"/>
      <c r="B472" s="2"/>
      <c r="C472" s="2"/>
      <c r="D472" s="13"/>
      <c r="E472" s="10"/>
      <c r="F472" s="16"/>
      <c r="G472" s="2"/>
      <c r="H472" s="2"/>
      <c r="I472" s="2"/>
      <c r="J472" s="2"/>
      <c r="K472" s="2"/>
      <c r="L472" s="2"/>
    </row>
    <row x14ac:dyDescent="0.25" r="473" customHeight="1" ht="17.25">
      <c r="A473" s="2"/>
      <c r="B473" s="2"/>
      <c r="C473" s="2"/>
      <c r="D473" s="13"/>
      <c r="E473" s="10"/>
      <c r="F473" s="16"/>
      <c r="G473" s="2"/>
      <c r="H473" s="2"/>
      <c r="I473" s="2"/>
      <c r="J473" s="2"/>
      <c r="K473" s="2"/>
      <c r="L473" s="2"/>
    </row>
    <row x14ac:dyDescent="0.25" r="474" customHeight="1" ht="17.25">
      <c r="A474" s="2"/>
      <c r="B474" s="2"/>
      <c r="C474" s="2"/>
      <c r="D474" s="13"/>
      <c r="E474" s="10"/>
      <c r="F474" s="16"/>
      <c r="G474" s="2"/>
      <c r="H474" s="2"/>
      <c r="I474" s="2"/>
      <c r="J474" s="2"/>
      <c r="K474" s="2"/>
      <c r="L474" s="2"/>
    </row>
    <row x14ac:dyDescent="0.25" r="475" customHeight="1" ht="17.25">
      <c r="A475" s="2"/>
      <c r="B475" s="2"/>
      <c r="C475" s="2"/>
      <c r="D475" s="13"/>
      <c r="E475" s="10"/>
      <c r="F475" s="16"/>
      <c r="G475" s="2"/>
      <c r="H475" s="2"/>
      <c r="I475" s="2"/>
      <c r="J475" s="2"/>
      <c r="K475" s="2"/>
      <c r="L475" s="2"/>
    </row>
    <row x14ac:dyDescent="0.25" r="476" customHeight="1" ht="17.25">
      <c r="A476" s="2"/>
      <c r="B476" s="2"/>
      <c r="C476" s="2"/>
      <c r="D476" s="13"/>
      <c r="E476" s="10"/>
      <c r="F476" s="16"/>
      <c r="G476" s="2"/>
      <c r="H476" s="2"/>
      <c r="I476" s="2"/>
      <c r="J476" s="2"/>
      <c r="K476" s="2"/>
      <c r="L476" s="2"/>
    </row>
    <row x14ac:dyDescent="0.25" r="477" customHeight="1" ht="17.25">
      <c r="A477" s="2"/>
      <c r="B477" s="2"/>
      <c r="C477" s="2"/>
      <c r="D477" s="13"/>
      <c r="E477" s="10"/>
      <c r="F477" s="16"/>
      <c r="G477" s="2"/>
      <c r="H477" s="2"/>
      <c r="I477" s="2"/>
      <c r="J477" s="2"/>
      <c r="K477" s="2"/>
      <c r="L477" s="2"/>
    </row>
    <row x14ac:dyDescent="0.25" r="478" customHeight="1" ht="17.25">
      <c r="A478" s="2"/>
      <c r="B478" s="2"/>
      <c r="C478" s="2"/>
      <c r="D478" s="13"/>
      <c r="E478" s="10"/>
      <c r="F478" s="16"/>
      <c r="G478" s="2"/>
      <c r="H478" s="2"/>
      <c r="I478" s="2"/>
      <c r="J478" s="2"/>
      <c r="K478" s="2"/>
      <c r="L478" s="2"/>
    </row>
    <row x14ac:dyDescent="0.25" r="479" customHeight="1" ht="17.25">
      <c r="A479" s="2"/>
      <c r="B479" s="2"/>
      <c r="C479" s="2"/>
      <c r="D479" s="13"/>
      <c r="E479" s="10"/>
      <c r="F479" s="16"/>
      <c r="G479" s="2"/>
      <c r="H479" s="2"/>
      <c r="I479" s="2"/>
      <c r="J479" s="2"/>
      <c r="K479" s="2"/>
      <c r="L479" s="2"/>
    </row>
    <row x14ac:dyDescent="0.25" r="480" customHeight="1" ht="17.25">
      <c r="A480" s="2"/>
      <c r="B480" s="2"/>
      <c r="C480" s="2"/>
      <c r="D480" s="13"/>
      <c r="E480" s="10"/>
      <c r="F480" s="16"/>
      <c r="G480" s="2"/>
      <c r="H480" s="2"/>
      <c r="I480" s="2"/>
      <c r="J480" s="2"/>
      <c r="K480" s="2"/>
      <c r="L480" s="2"/>
    </row>
    <row x14ac:dyDescent="0.25" r="481" customHeight="1" ht="17.25">
      <c r="A481" s="2"/>
      <c r="B481" s="2"/>
      <c r="C481" s="2"/>
      <c r="D481" s="13"/>
      <c r="E481" s="10"/>
      <c r="F481" s="16"/>
      <c r="G481" s="2"/>
      <c r="H481" s="2"/>
      <c r="I481" s="2"/>
      <c r="J481" s="2"/>
      <c r="K481" s="2"/>
      <c r="L481" s="2"/>
    </row>
    <row x14ac:dyDescent="0.25" r="482" customHeight="1" ht="17.25">
      <c r="A482" s="2"/>
      <c r="B482" s="2"/>
      <c r="C482" s="2"/>
      <c r="D482" s="13"/>
      <c r="E482" s="10"/>
      <c r="F482" s="16"/>
      <c r="G482" s="2"/>
      <c r="H482" s="2"/>
      <c r="I482" s="2"/>
      <c r="J482" s="2"/>
      <c r="K482" s="2"/>
      <c r="L482" s="2"/>
    </row>
    <row x14ac:dyDescent="0.25" r="483" customHeight="1" ht="17.25">
      <c r="A483" s="2"/>
      <c r="B483" s="2"/>
      <c r="C483" s="2"/>
      <c r="D483" s="13"/>
      <c r="E483" s="10"/>
      <c r="F483" s="16"/>
      <c r="G483" s="2"/>
      <c r="H483" s="2"/>
      <c r="I483" s="2"/>
      <c r="J483" s="2"/>
      <c r="K483" s="2"/>
      <c r="L483" s="2"/>
    </row>
    <row x14ac:dyDescent="0.25" r="484" customHeight="1" ht="17.25">
      <c r="A484" s="2"/>
      <c r="B484" s="2"/>
      <c r="C484" s="2"/>
      <c r="D484" s="13"/>
      <c r="E484" s="10"/>
      <c r="F484" s="16"/>
      <c r="G484" s="2"/>
      <c r="H484" s="2"/>
      <c r="I484" s="2"/>
      <c r="J484" s="2"/>
      <c r="K484" s="2"/>
      <c r="L484" s="2"/>
    </row>
    <row x14ac:dyDescent="0.25" r="485" customHeight="1" ht="17.25">
      <c r="A485" s="2"/>
      <c r="B485" s="2"/>
      <c r="C485" s="2"/>
      <c r="D485" s="13"/>
      <c r="E485" s="10"/>
      <c r="F485" s="16"/>
      <c r="G485" s="2"/>
      <c r="H485" s="2"/>
      <c r="I485" s="2"/>
      <c r="J485" s="2"/>
      <c r="K485" s="2"/>
      <c r="L485" s="2"/>
    </row>
    <row x14ac:dyDescent="0.25" r="486" customHeight="1" ht="17.25">
      <c r="A486" s="2"/>
      <c r="B486" s="2"/>
      <c r="C486" s="2"/>
      <c r="D486" s="13"/>
      <c r="E486" s="10"/>
      <c r="F486" s="16"/>
      <c r="G486" s="2"/>
      <c r="H486" s="2"/>
      <c r="I486" s="2"/>
      <c r="J486" s="2"/>
      <c r="K486" s="2"/>
      <c r="L486" s="2"/>
    </row>
    <row x14ac:dyDescent="0.25" r="487" customHeight="1" ht="17.25">
      <c r="A487" s="2"/>
      <c r="B487" s="2"/>
      <c r="C487" s="2"/>
      <c r="D487" s="13"/>
      <c r="E487" s="10"/>
      <c r="F487" s="16"/>
      <c r="G487" s="2"/>
      <c r="H487" s="2"/>
      <c r="I487" s="2"/>
      <c r="J487" s="2"/>
      <c r="K487" s="2"/>
      <c r="L487" s="2"/>
    </row>
    <row x14ac:dyDescent="0.25" r="488" customHeight="1" ht="17.25">
      <c r="A488" s="2"/>
      <c r="B488" s="2"/>
      <c r="C488" s="2"/>
      <c r="D488" s="13"/>
      <c r="E488" s="10"/>
      <c r="F488" s="16"/>
      <c r="G488" s="2"/>
      <c r="H488" s="2"/>
      <c r="I488" s="2"/>
      <c r="J488" s="2"/>
      <c r="K488" s="2"/>
      <c r="L488" s="2"/>
    </row>
    <row x14ac:dyDescent="0.25" r="489" customHeight="1" ht="17.25">
      <c r="A489" s="2"/>
      <c r="B489" s="2"/>
      <c r="C489" s="2"/>
      <c r="D489" s="13"/>
      <c r="E489" s="10"/>
      <c r="F489" s="16"/>
      <c r="G489" s="2"/>
      <c r="H489" s="2"/>
      <c r="I489" s="2"/>
      <c r="J489" s="2"/>
      <c r="K489" s="2"/>
      <c r="L489" s="2"/>
    </row>
    <row x14ac:dyDescent="0.25" r="490" customHeight="1" ht="17.25">
      <c r="A490" s="2"/>
      <c r="B490" s="2"/>
      <c r="C490" s="2"/>
      <c r="D490" s="13"/>
      <c r="E490" s="10"/>
      <c r="F490" s="16"/>
      <c r="G490" s="2"/>
      <c r="H490" s="2"/>
      <c r="I490" s="2"/>
      <c r="J490" s="2"/>
      <c r="K490" s="2"/>
      <c r="L490" s="2"/>
    </row>
    <row x14ac:dyDescent="0.25" r="491" customHeight="1" ht="17.25">
      <c r="A491" s="2"/>
      <c r="B491" s="2"/>
      <c r="C491" s="2"/>
      <c r="D491" s="13"/>
      <c r="E491" s="10"/>
      <c r="F491" s="16"/>
      <c r="G491" s="2"/>
      <c r="H491" s="2"/>
      <c r="I491" s="2"/>
      <c r="J491" s="2"/>
      <c r="K491" s="2"/>
      <c r="L491" s="2"/>
    </row>
    <row x14ac:dyDescent="0.25" r="492" customHeight="1" ht="17.25">
      <c r="A492" s="2"/>
      <c r="B492" s="2"/>
      <c r="C492" s="2"/>
      <c r="D492" s="13"/>
      <c r="E492" s="10"/>
      <c r="F492" s="16"/>
      <c r="G492" s="2"/>
      <c r="H492" s="2"/>
      <c r="I492" s="2"/>
      <c r="J492" s="2"/>
      <c r="K492" s="2"/>
      <c r="L492" s="2"/>
    </row>
    <row x14ac:dyDescent="0.25" r="493" customHeight="1" ht="17.25">
      <c r="A493" s="2"/>
      <c r="B493" s="2"/>
      <c r="C493" s="2"/>
      <c r="D493" s="13"/>
      <c r="E493" s="10"/>
      <c r="F493" s="16"/>
      <c r="G493" s="2"/>
      <c r="H493" s="2"/>
      <c r="I493" s="2"/>
      <c r="J493" s="2"/>
      <c r="K493" s="2"/>
      <c r="L493" s="2"/>
    </row>
    <row x14ac:dyDescent="0.25" r="494" customHeight="1" ht="17.25">
      <c r="A494" s="2"/>
      <c r="B494" s="2"/>
      <c r="C494" s="2"/>
      <c r="D494" s="13"/>
      <c r="E494" s="10"/>
      <c r="F494" s="16"/>
      <c r="G494" s="2"/>
      <c r="H494" s="2"/>
      <c r="I494" s="2"/>
      <c r="J494" s="2"/>
      <c r="K494" s="2"/>
      <c r="L494" s="2"/>
    </row>
    <row x14ac:dyDescent="0.25" r="495" customHeight="1" ht="17.25">
      <c r="A495" s="2"/>
      <c r="B495" s="2"/>
      <c r="C495" s="2"/>
      <c r="D495" s="13"/>
      <c r="E495" s="10"/>
      <c r="F495" s="16"/>
      <c r="G495" s="2"/>
      <c r="H495" s="2"/>
      <c r="I495" s="2"/>
      <c r="J495" s="2"/>
      <c r="K495" s="2"/>
      <c r="L495" s="2"/>
    </row>
    <row x14ac:dyDescent="0.25" r="496" customHeight="1" ht="17.25">
      <c r="A496" s="2"/>
      <c r="B496" s="2"/>
      <c r="C496" s="2"/>
      <c r="D496" s="13"/>
      <c r="E496" s="10"/>
      <c r="F496" s="16"/>
      <c r="G496" s="2"/>
      <c r="H496" s="2"/>
      <c r="I496" s="2"/>
      <c r="J496" s="2"/>
      <c r="K496" s="2"/>
      <c r="L496" s="2"/>
    </row>
    <row x14ac:dyDescent="0.25" r="497" customHeight="1" ht="17.25">
      <c r="A497" s="2"/>
      <c r="B497" s="2"/>
      <c r="C497" s="2"/>
      <c r="D497" s="13"/>
      <c r="E497" s="10"/>
      <c r="F497" s="16"/>
      <c r="G497" s="2"/>
      <c r="H497" s="2"/>
      <c r="I497" s="2"/>
      <c r="J497" s="2"/>
      <c r="K497" s="2"/>
      <c r="L497" s="2"/>
    </row>
    <row x14ac:dyDescent="0.25" r="498" customHeight="1" ht="17.25">
      <c r="A498" s="2"/>
      <c r="B498" s="2"/>
      <c r="C498" s="2"/>
      <c r="D498" s="13"/>
      <c r="E498" s="10"/>
      <c r="F498" s="16"/>
      <c r="G498" s="2"/>
      <c r="H498" s="2"/>
      <c r="I498" s="2"/>
      <c r="J498" s="2"/>
      <c r="K498" s="2"/>
      <c r="L498" s="2"/>
    </row>
    <row x14ac:dyDescent="0.25" r="499" customHeight="1" ht="17.25">
      <c r="A499" s="2"/>
      <c r="B499" s="2"/>
      <c r="C499" s="2"/>
      <c r="D499" s="13"/>
      <c r="E499" s="10"/>
      <c r="F499" s="16"/>
      <c r="G499" s="2"/>
      <c r="H499" s="2"/>
      <c r="I499" s="2"/>
      <c r="J499" s="2"/>
      <c r="K499" s="2"/>
      <c r="L499" s="2"/>
    </row>
    <row x14ac:dyDescent="0.25" r="500" customHeight="1" ht="17.25">
      <c r="A500" s="2"/>
      <c r="B500" s="2"/>
      <c r="C500" s="2"/>
      <c r="D500" s="13"/>
      <c r="E500" s="10"/>
      <c r="F500" s="16"/>
      <c r="G500" s="2"/>
      <c r="H500" s="2"/>
      <c r="I500" s="2"/>
      <c r="J500" s="2"/>
      <c r="K500" s="2"/>
      <c r="L500" s="2"/>
    </row>
    <row x14ac:dyDescent="0.25" r="501" customHeight="1" ht="17.25">
      <c r="A501" s="2"/>
      <c r="B501" s="2"/>
      <c r="C501" s="2"/>
      <c r="D501" s="13"/>
      <c r="E501" s="10"/>
      <c r="F501" s="16"/>
      <c r="G501" s="2"/>
      <c r="H501" s="2"/>
      <c r="I501" s="2"/>
      <c r="J501" s="2"/>
      <c r="K501" s="2"/>
      <c r="L501" s="2"/>
    </row>
    <row x14ac:dyDescent="0.25" r="502" customHeight="1" ht="17.25">
      <c r="A502" s="2"/>
      <c r="B502" s="2"/>
      <c r="C502" s="2"/>
      <c r="D502" s="13"/>
      <c r="E502" s="10"/>
      <c r="F502" s="16"/>
      <c r="G502" s="2"/>
      <c r="H502" s="2"/>
      <c r="I502" s="2"/>
      <c r="J502" s="2"/>
      <c r="K502" s="2"/>
      <c r="L502" s="2"/>
    </row>
    <row x14ac:dyDescent="0.25" r="503" customHeight="1" ht="17.25">
      <c r="A503" s="2"/>
      <c r="B503" s="2"/>
      <c r="C503" s="2"/>
      <c r="D503" s="13"/>
      <c r="E503" s="10"/>
      <c r="F503" s="16"/>
      <c r="G503" s="2"/>
      <c r="H503" s="2"/>
      <c r="I503" s="2"/>
      <c r="J503" s="2"/>
      <c r="K503" s="2"/>
      <c r="L503" s="2"/>
    </row>
    <row x14ac:dyDescent="0.25" r="504" customHeight="1" ht="17.25">
      <c r="A504" s="2"/>
      <c r="B504" s="2"/>
      <c r="C504" s="2"/>
      <c r="D504" s="13"/>
      <c r="E504" s="10"/>
      <c r="F504" s="16"/>
      <c r="G504" s="2"/>
      <c r="H504" s="2"/>
      <c r="I504" s="2"/>
      <c r="J504" s="2"/>
      <c r="K504" s="2"/>
      <c r="L504" s="2"/>
    </row>
    <row x14ac:dyDescent="0.25" r="505" customHeight="1" ht="17.25">
      <c r="A505" s="2"/>
      <c r="B505" s="2"/>
      <c r="C505" s="2"/>
      <c r="D505" s="13"/>
      <c r="E505" s="10"/>
      <c r="F505" s="16"/>
      <c r="G505" s="2"/>
      <c r="H505" s="2"/>
      <c r="I505" s="2"/>
      <c r="J505" s="2"/>
      <c r="K505" s="2"/>
      <c r="L505" s="2"/>
    </row>
    <row x14ac:dyDescent="0.25" r="506" customHeight="1" ht="17.25">
      <c r="A506" s="2"/>
      <c r="B506" s="2"/>
      <c r="C506" s="2"/>
      <c r="D506" s="13"/>
      <c r="E506" s="10"/>
      <c r="F506" s="16"/>
      <c r="G506" s="2"/>
      <c r="H506" s="2"/>
      <c r="I506" s="2"/>
      <c r="J506" s="2"/>
      <c r="K506" s="2"/>
      <c r="L506" s="2"/>
    </row>
    <row x14ac:dyDescent="0.25" r="507" customHeight="1" ht="17.25">
      <c r="A507" s="2"/>
      <c r="B507" s="2"/>
      <c r="C507" s="2"/>
      <c r="D507" s="13"/>
      <c r="E507" s="10"/>
      <c r="F507" s="16"/>
      <c r="G507" s="2"/>
      <c r="H507" s="2"/>
      <c r="I507" s="2"/>
      <c r="J507" s="2"/>
      <c r="K507" s="2"/>
      <c r="L507" s="2"/>
    </row>
    <row x14ac:dyDescent="0.25" r="508" customHeight="1" ht="17.25">
      <c r="A508" s="2"/>
      <c r="B508" s="2"/>
      <c r="C508" s="2"/>
      <c r="D508" s="13"/>
      <c r="E508" s="10"/>
      <c r="F508" s="16"/>
      <c r="G508" s="2"/>
      <c r="H508" s="2"/>
      <c r="I508" s="2"/>
      <c r="J508" s="2"/>
      <c r="K508" s="2"/>
      <c r="L508" s="2"/>
    </row>
    <row x14ac:dyDescent="0.25" r="509" customHeight="1" ht="17.25">
      <c r="A509" s="2"/>
      <c r="B509" s="2"/>
      <c r="C509" s="2"/>
      <c r="D509" s="13"/>
      <c r="E509" s="10"/>
      <c r="F509" s="16"/>
      <c r="G509" s="2"/>
      <c r="H509" s="2"/>
      <c r="I509" s="2"/>
      <c r="J509" s="2"/>
      <c r="K509" s="2"/>
      <c r="L509" s="2"/>
    </row>
    <row x14ac:dyDescent="0.25" r="510" customHeight="1" ht="17.25">
      <c r="A510" s="2"/>
      <c r="B510" s="2"/>
      <c r="C510" s="2"/>
      <c r="D510" s="13"/>
      <c r="E510" s="10"/>
      <c r="F510" s="16"/>
      <c r="G510" s="2"/>
      <c r="H510" s="2"/>
      <c r="I510" s="2"/>
      <c r="J510" s="2"/>
      <c r="K510" s="2"/>
      <c r="L510" s="2"/>
    </row>
    <row x14ac:dyDescent="0.25" r="511" customHeight="1" ht="17.25">
      <c r="A511" s="2"/>
      <c r="B511" s="2"/>
      <c r="C511" s="2"/>
      <c r="D511" s="13"/>
      <c r="E511" s="10"/>
      <c r="F511" s="16"/>
      <c r="G511" s="2"/>
      <c r="H511" s="2"/>
      <c r="I511" s="2"/>
      <c r="J511" s="2"/>
      <c r="K511" s="2"/>
      <c r="L511" s="2"/>
    </row>
    <row x14ac:dyDescent="0.25" r="512" customHeight="1" ht="17.25">
      <c r="A512" s="2"/>
      <c r="B512" s="2"/>
      <c r="C512" s="2"/>
      <c r="D512" s="13"/>
      <c r="E512" s="10"/>
      <c r="F512" s="16"/>
      <c r="G512" s="2"/>
      <c r="H512" s="2"/>
      <c r="I512" s="2"/>
      <c r="J512" s="2"/>
      <c r="K512" s="2"/>
      <c r="L512" s="2"/>
    </row>
    <row x14ac:dyDescent="0.25" r="513" customHeight="1" ht="17.25">
      <c r="A513" s="2"/>
      <c r="B513" s="2"/>
      <c r="C513" s="2"/>
      <c r="D513" s="13"/>
      <c r="E513" s="10"/>
      <c r="F513" s="16"/>
      <c r="G513" s="2"/>
      <c r="H513" s="2"/>
      <c r="I513" s="2"/>
      <c r="J513" s="2"/>
      <c r="K513" s="2"/>
      <c r="L513" s="2"/>
    </row>
    <row x14ac:dyDescent="0.25" r="514" customHeight="1" ht="17.25">
      <c r="A514" s="2"/>
      <c r="B514" s="2"/>
      <c r="C514" s="2"/>
      <c r="D514" s="13"/>
      <c r="E514" s="10"/>
      <c r="F514" s="16"/>
      <c r="G514" s="2"/>
      <c r="H514" s="2"/>
      <c r="I514" s="2"/>
      <c r="J514" s="2"/>
      <c r="K514" s="2"/>
      <c r="L514" s="2"/>
    </row>
    <row x14ac:dyDescent="0.25" r="515" customHeight="1" ht="17.25">
      <c r="A515" s="2"/>
      <c r="B515" s="2"/>
      <c r="C515" s="2"/>
      <c r="D515" s="13"/>
      <c r="E515" s="10"/>
      <c r="F515" s="16"/>
      <c r="G515" s="2"/>
      <c r="H515" s="2"/>
      <c r="I515" s="2"/>
      <c r="J515" s="2"/>
      <c r="K515" s="2"/>
      <c r="L515" s="2"/>
    </row>
    <row x14ac:dyDescent="0.25" r="516" customHeight="1" ht="17.25">
      <c r="A516" s="2"/>
      <c r="B516" s="2"/>
      <c r="C516" s="2"/>
      <c r="D516" s="13"/>
      <c r="E516" s="10"/>
      <c r="F516" s="16"/>
      <c r="G516" s="2"/>
      <c r="H516" s="2"/>
      <c r="I516" s="2"/>
      <c r="J516" s="2"/>
      <c r="K516" s="2"/>
      <c r="L516" s="2"/>
    </row>
    <row x14ac:dyDescent="0.25" r="517" customHeight="1" ht="17.25">
      <c r="A517" s="2"/>
      <c r="B517" s="2"/>
      <c r="C517" s="2"/>
      <c r="D517" s="13"/>
      <c r="E517" s="10"/>
      <c r="F517" s="16"/>
      <c r="G517" s="2"/>
      <c r="H517" s="2"/>
      <c r="I517" s="2"/>
      <c r="J517" s="2"/>
      <c r="K517" s="2"/>
      <c r="L517" s="2"/>
    </row>
    <row x14ac:dyDescent="0.25" r="518" customHeight="1" ht="17.25">
      <c r="A518" s="2"/>
      <c r="B518" s="2"/>
      <c r="C518" s="2"/>
      <c r="D518" s="13"/>
      <c r="E518" s="10"/>
      <c r="F518" s="16"/>
      <c r="G518" s="2"/>
      <c r="H518" s="2"/>
      <c r="I518" s="2"/>
      <c r="J518" s="2"/>
      <c r="K518" s="2"/>
      <c r="L518" s="2"/>
    </row>
    <row x14ac:dyDescent="0.25" r="519" customHeight="1" ht="17.25">
      <c r="A519" s="2"/>
      <c r="B519" s="2"/>
      <c r="C519" s="2"/>
      <c r="D519" s="13"/>
      <c r="E519" s="10"/>
      <c r="F519" s="16"/>
      <c r="G519" s="2"/>
      <c r="H519" s="2"/>
      <c r="I519" s="2"/>
      <c r="J519" s="2"/>
      <c r="K519" s="2"/>
      <c r="L519" s="2"/>
    </row>
    <row x14ac:dyDescent="0.25" r="520" customHeight="1" ht="17.25">
      <c r="A520" s="2"/>
      <c r="B520" s="2"/>
      <c r="C520" s="2"/>
      <c r="D520" s="13"/>
      <c r="E520" s="10"/>
      <c r="F520" s="16"/>
      <c r="G520" s="2"/>
      <c r="H520" s="2"/>
      <c r="I520" s="2"/>
      <c r="J520" s="2"/>
      <c r="K520" s="2"/>
      <c r="L520" s="2"/>
    </row>
    <row x14ac:dyDescent="0.25" r="521" customHeight="1" ht="17.25">
      <c r="A521" s="2"/>
      <c r="B521" s="2"/>
      <c r="C521" s="2"/>
      <c r="D521" s="13"/>
      <c r="E521" s="10"/>
      <c r="F521" s="16"/>
      <c r="G521" s="2"/>
      <c r="H521" s="2"/>
      <c r="I521" s="2"/>
      <c r="J521" s="2"/>
      <c r="K521" s="2"/>
      <c r="L521" s="2"/>
    </row>
    <row x14ac:dyDescent="0.25" r="522" customHeight="1" ht="17.25">
      <c r="A522" s="2"/>
      <c r="B522" s="2"/>
      <c r="C522" s="2"/>
      <c r="D522" s="13"/>
      <c r="E522" s="10"/>
      <c r="F522" s="16"/>
      <c r="G522" s="2"/>
      <c r="H522" s="2"/>
      <c r="I522" s="2"/>
      <c r="J522" s="2"/>
      <c r="K522" s="2"/>
      <c r="L522" s="2"/>
    </row>
    <row x14ac:dyDescent="0.25" r="523" customHeight="1" ht="17.25">
      <c r="A523" s="2"/>
      <c r="B523" s="2"/>
      <c r="C523" s="2"/>
      <c r="D523" s="13"/>
      <c r="E523" s="10"/>
      <c r="F523" s="16"/>
      <c r="G523" s="2"/>
      <c r="H523" s="2"/>
      <c r="I523" s="2"/>
      <c r="J523" s="2"/>
      <c r="K523" s="2"/>
      <c r="L523" s="2"/>
    </row>
    <row x14ac:dyDescent="0.25" r="524" customHeight="1" ht="17.25">
      <c r="A524" s="2"/>
      <c r="B524" s="2"/>
      <c r="C524" s="2"/>
      <c r="D524" s="13"/>
      <c r="E524" s="10"/>
      <c r="F524" s="16"/>
      <c r="G524" s="2"/>
      <c r="H524" s="2"/>
      <c r="I524" s="2"/>
      <c r="J524" s="2"/>
      <c r="K524" s="2"/>
      <c r="L524" s="2"/>
    </row>
    <row x14ac:dyDescent="0.25" r="525" customHeight="1" ht="17.25">
      <c r="A525" s="2"/>
      <c r="B525" s="2"/>
      <c r="C525" s="2"/>
      <c r="D525" s="13"/>
      <c r="E525" s="10"/>
      <c r="F525" s="16"/>
      <c r="G525" s="2"/>
      <c r="H525" s="2"/>
      <c r="I525" s="2"/>
      <c r="J525" s="2"/>
      <c r="K525" s="2"/>
      <c r="L525" s="2"/>
    </row>
    <row x14ac:dyDescent="0.25" r="526" customHeight="1" ht="17.25">
      <c r="A526" s="2"/>
      <c r="B526" s="2"/>
      <c r="C526" s="2"/>
      <c r="D526" s="13"/>
      <c r="E526" s="10"/>
      <c r="F526" s="16"/>
      <c r="G526" s="2"/>
      <c r="H526" s="2"/>
      <c r="I526" s="2"/>
      <c r="J526" s="2"/>
      <c r="K526" s="2"/>
      <c r="L526" s="2"/>
    </row>
    <row x14ac:dyDescent="0.25" r="527" customHeight="1" ht="17.25">
      <c r="A527" s="2"/>
      <c r="B527" s="2"/>
      <c r="C527" s="2"/>
      <c r="D527" s="13"/>
      <c r="E527" s="10"/>
      <c r="F527" s="16"/>
      <c r="G527" s="2"/>
      <c r="H527" s="2"/>
      <c r="I527" s="2"/>
      <c r="J527" s="2"/>
      <c r="K527" s="2"/>
      <c r="L527" s="2"/>
    </row>
    <row x14ac:dyDescent="0.25" r="528" customHeight="1" ht="17.25">
      <c r="A528" s="2"/>
      <c r="B528" s="2"/>
      <c r="C528" s="2"/>
      <c r="D528" s="13"/>
      <c r="E528" s="10"/>
      <c r="F528" s="16"/>
      <c r="G528" s="2"/>
      <c r="H528" s="2"/>
      <c r="I528" s="2"/>
      <c r="J528" s="2"/>
      <c r="K528" s="2"/>
      <c r="L528" s="2"/>
    </row>
    <row x14ac:dyDescent="0.25" r="529" customHeight="1" ht="17.25">
      <c r="A529" s="2"/>
      <c r="B529" s="2"/>
      <c r="C529" s="2"/>
      <c r="D529" s="13"/>
      <c r="E529" s="10"/>
      <c r="F529" s="16"/>
      <c r="G529" s="2"/>
      <c r="H529" s="2"/>
      <c r="I529" s="2"/>
      <c r="J529" s="2"/>
      <c r="K529" s="2"/>
      <c r="L529" s="2"/>
    </row>
    <row x14ac:dyDescent="0.25" r="530" customHeight="1" ht="17.25">
      <c r="A530" s="2"/>
      <c r="B530" s="2"/>
      <c r="C530" s="2"/>
      <c r="D530" s="13"/>
      <c r="E530" s="10"/>
      <c r="F530" s="16"/>
      <c r="G530" s="2"/>
      <c r="H530" s="2"/>
      <c r="I530" s="2"/>
      <c r="J530" s="2"/>
      <c r="K530" s="2"/>
      <c r="L530" s="2"/>
    </row>
    <row x14ac:dyDescent="0.25" r="531" customHeight="1" ht="17.25">
      <c r="A531" s="2"/>
      <c r="B531" s="2"/>
      <c r="C531" s="2"/>
      <c r="D531" s="13"/>
      <c r="E531" s="10"/>
      <c r="F531" s="16"/>
      <c r="G531" s="2"/>
      <c r="H531" s="2"/>
      <c r="I531" s="2"/>
      <c r="J531" s="2"/>
      <c r="K531" s="2"/>
      <c r="L531" s="2"/>
    </row>
    <row x14ac:dyDescent="0.25" r="532" customHeight="1" ht="17.25">
      <c r="A532" s="2"/>
      <c r="B532" s="2"/>
      <c r="C532" s="2"/>
      <c r="D532" s="13"/>
      <c r="E532" s="10"/>
      <c r="F532" s="16"/>
      <c r="G532" s="2"/>
      <c r="H532" s="2"/>
      <c r="I532" s="2"/>
      <c r="J532" s="2"/>
      <c r="K532" s="2"/>
      <c r="L532" s="2"/>
    </row>
    <row x14ac:dyDescent="0.25" r="533" customHeight="1" ht="17.25">
      <c r="A533" s="2"/>
      <c r="B533" s="2"/>
      <c r="C533" s="2"/>
      <c r="D533" s="13"/>
      <c r="E533" s="10"/>
      <c r="F533" s="16"/>
      <c r="G533" s="2"/>
      <c r="H533" s="2"/>
      <c r="I533" s="2"/>
      <c r="J533" s="2"/>
      <c r="K533" s="2"/>
      <c r="L533" s="2"/>
    </row>
    <row x14ac:dyDescent="0.25" r="534" customHeight="1" ht="17.25">
      <c r="A534" s="2"/>
      <c r="B534" s="2"/>
      <c r="C534" s="2"/>
      <c r="D534" s="13"/>
      <c r="E534" s="10"/>
      <c r="F534" s="16"/>
      <c r="G534" s="2"/>
      <c r="H534" s="2"/>
      <c r="I534" s="2"/>
      <c r="J534" s="2"/>
      <c r="K534" s="2"/>
      <c r="L534" s="2"/>
    </row>
    <row x14ac:dyDescent="0.25" r="535" customHeight="1" ht="17.25">
      <c r="A535" s="2"/>
      <c r="B535" s="2"/>
      <c r="C535" s="2"/>
      <c r="D535" s="13"/>
      <c r="E535" s="10"/>
      <c r="F535" s="16"/>
      <c r="G535" s="2"/>
      <c r="H535" s="2"/>
      <c r="I535" s="2"/>
      <c r="J535" s="2"/>
      <c r="K535" s="2"/>
      <c r="L535" s="2"/>
    </row>
    <row x14ac:dyDescent="0.25" r="536" customHeight="1" ht="17.25">
      <c r="A536" s="2"/>
      <c r="B536" s="2"/>
      <c r="C536" s="2"/>
      <c r="D536" s="13"/>
      <c r="E536" s="10"/>
      <c r="F536" s="16"/>
      <c r="G536" s="2"/>
      <c r="H536" s="2"/>
      <c r="I536" s="2"/>
      <c r="J536" s="2"/>
      <c r="K536" s="2"/>
      <c r="L536" s="2"/>
    </row>
    <row x14ac:dyDescent="0.25" r="537" customHeight="1" ht="17.25">
      <c r="A537" s="2"/>
      <c r="B537" s="2"/>
      <c r="C537" s="2"/>
      <c r="D537" s="13"/>
      <c r="E537" s="10"/>
      <c r="F537" s="16"/>
      <c r="G537" s="2"/>
      <c r="H537" s="2"/>
      <c r="I537" s="2"/>
      <c r="J537" s="2"/>
      <c r="K537" s="2"/>
      <c r="L537" s="2"/>
    </row>
    <row x14ac:dyDescent="0.25" r="538" customHeight="1" ht="17.25">
      <c r="A538" s="2"/>
      <c r="B538" s="2"/>
      <c r="C538" s="2"/>
      <c r="D538" s="13"/>
      <c r="E538" s="10"/>
      <c r="F538" s="16"/>
      <c r="G538" s="2"/>
      <c r="H538" s="2"/>
      <c r="I538" s="2"/>
      <c r="J538" s="2"/>
      <c r="K538" s="2"/>
      <c r="L538" s="2"/>
    </row>
    <row x14ac:dyDescent="0.25" r="539" customHeight="1" ht="17.25">
      <c r="A539" s="2"/>
      <c r="B539" s="2"/>
      <c r="C539" s="2"/>
      <c r="D539" s="13"/>
      <c r="E539" s="10"/>
      <c r="F539" s="16"/>
      <c r="G539" s="2"/>
      <c r="H539" s="2"/>
      <c r="I539" s="2"/>
      <c r="J539" s="2"/>
      <c r="K539" s="2"/>
      <c r="L539" s="2"/>
    </row>
    <row x14ac:dyDescent="0.25" r="540" customHeight="1" ht="17.25">
      <c r="A540" s="2"/>
      <c r="B540" s="2"/>
      <c r="C540" s="2"/>
      <c r="D540" s="13"/>
      <c r="E540" s="10"/>
      <c r="F540" s="16"/>
      <c r="G540" s="2"/>
      <c r="H540" s="2"/>
      <c r="I540" s="2"/>
      <c r="J540" s="2"/>
      <c r="K540" s="2"/>
      <c r="L540" s="2"/>
    </row>
    <row x14ac:dyDescent="0.25" r="541" customHeight="1" ht="17.25">
      <c r="A541" s="2"/>
      <c r="B541" s="2"/>
      <c r="C541" s="2"/>
      <c r="D541" s="13"/>
      <c r="E541" s="10"/>
      <c r="F541" s="16"/>
      <c r="G541" s="2"/>
      <c r="H541" s="2"/>
      <c r="I541" s="2"/>
      <c r="J541" s="2"/>
      <c r="K541" s="2"/>
      <c r="L541" s="2"/>
    </row>
    <row x14ac:dyDescent="0.25" r="542" customHeight="1" ht="17.25">
      <c r="A542" s="2"/>
      <c r="B542" s="2"/>
      <c r="C542" s="2"/>
      <c r="D542" s="13"/>
      <c r="E542" s="10"/>
      <c r="F542" s="16"/>
      <c r="G542" s="2"/>
      <c r="H542" s="2"/>
      <c r="I542" s="2"/>
      <c r="J542" s="2"/>
      <c r="K542" s="2"/>
      <c r="L542" s="2"/>
    </row>
    <row x14ac:dyDescent="0.25" r="543" customHeight="1" ht="17.25">
      <c r="A543" s="2"/>
      <c r="B543" s="2"/>
      <c r="C543" s="2"/>
      <c r="D543" s="13"/>
      <c r="E543" s="10"/>
      <c r="F543" s="16"/>
      <c r="G543" s="2"/>
      <c r="H543" s="2"/>
      <c r="I543" s="2"/>
      <c r="J543" s="2"/>
      <c r="K543" s="2"/>
      <c r="L543" s="2"/>
    </row>
    <row x14ac:dyDescent="0.25" r="544" customHeight="1" ht="17.25">
      <c r="A544" s="2"/>
      <c r="B544" s="2"/>
      <c r="C544" s="2"/>
      <c r="D544" s="13"/>
      <c r="E544" s="10"/>
      <c r="F544" s="16"/>
      <c r="G544" s="2"/>
      <c r="H544" s="2"/>
      <c r="I544" s="2"/>
      <c r="J544" s="2"/>
      <c r="K544" s="2"/>
      <c r="L544" s="2"/>
    </row>
    <row x14ac:dyDescent="0.25" r="545" customHeight="1" ht="17.25">
      <c r="A545" s="2"/>
      <c r="B545" s="2"/>
      <c r="C545" s="2"/>
      <c r="D545" s="13"/>
      <c r="E545" s="10"/>
      <c r="F545" s="16"/>
      <c r="G545" s="2"/>
      <c r="H545" s="2"/>
      <c r="I545" s="2"/>
      <c r="J545" s="2"/>
      <c r="K545" s="2"/>
      <c r="L545" s="2"/>
    </row>
    <row x14ac:dyDescent="0.25" r="546" customHeight="1" ht="17.25">
      <c r="A546" s="2"/>
      <c r="B546" s="2"/>
      <c r="C546" s="2"/>
      <c r="D546" s="13"/>
      <c r="E546" s="10"/>
      <c r="F546" s="16"/>
      <c r="G546" s="2"/>
      <c r="H546" s="2"/>
      <c r="I546" s="2"/>
      <c r="J546" s="2"/>
      <c r="K546" s="2"/>
      <c r="L546" s="2"/>
    </row>
    <row x14ac:dyDescent="0.25" r="547" customHeight="1" ht="17.25">
      <c r="A547" s="2"/>
      <c r="B547" s="2"/>
      <c r="C547" s="2"/>
      <c r="D547" s="13"/>
      <c r="E547" s="10"/>
      <c r="F547" s="16"/>
      <c r="G547" s="2"/>
      <c r="H547" s="2"/>
      <c r="I547" s="2"/>
      <c r="J547" s="2"/>
      <c r="K547" s="2"/>
      <c r="L547" s="2"/>
    </row>
    <row x14ac:dyDescent="0.25" r="548" customHeight="1" ht="17.25">
      <c r="A548" s="2"/>
      <c r="B548" s="2"/>
      <c r="C548" s="2"/>
      <c r="D548" s="13"/>
      <c r="E548" s="10"/>
      <c r="F548" s="16"/>
      <c r="G548" s="2"/>
      <c r="H548" s="2"/>
      <c r="I548" s="2"/>
      <c r="J548" s="2"/>
      <c r="K548" s="2"/>
      <c r="L548" s="2"/>
    </row>
    <row x14ac:dyDescent="0.25" r="549" customHeight="1" ht="17.25">
      <c r="A549" s="2"/>
      <c r="B549" s="2"/>
      <c r="C549" s="2"/>
      <c r="D549" s="13"/>
      <c r="E549" s="10"/>
      <c r="F549" s="16"/>
      <c r="G549" s="2"/>
      <c r="H549" s="2"/>
      <c r="I549" s="2"/>
      <c r="J549" s="2"/>
      <c r="K549" s="2"/>
      <c r="L549" s="2"/>
    </row>
    <row x14ac:dyDescent="0.25" r="550" customHeight="1" ht="17.25">
      <c r="A550" s="2"/>
      <c r="B550" s="2"/>
      <c r="C550" s="2"/>
      <c r="D550" s="13"/>
      <c r="E550" s="10"/>
      <c r="F550" s="16"/>
      <c r="G550" s="2"/>
      <c r="H550" s="2"/>
      <c r="I550" s="2"/>
      <c r="J550" s="2"/>
      <c r="K550" s="2"/>
      <c r="L550" s="2"/>
    </row>
    <row x14ac:dyDescent="0.25" r="551" customHeight="1" ht="17.25">
      <c r="A551" s="2"/>
      <c r="B551" s="2"/>
      <c r="C551" s="2"/>
      <c r="D551" s="13"/>
      <c r="E551" s="10"/>
      <c r="F551" s="16"/>
      <c r="G551" s="2"/>
      <c r="H551" s="2"/>
      <c r="I551" s="2"/>
      <c r="J551" s="2"/>
      <c r="K551" s="2"/>
      <c r="L551" s="2"/>
    </row>
    <row x14ac:dyDescent="0.25" r="552" customHeight="1" ht="17.25">
      <c r="A552" s="2"/>
      <c r="B552" s="2"/>
      <c r="C552" s="2"/>
      <c r="D552" s="13"/>
      <c r="E552" s="10"/>
      <c r="F552" s="16"/>
      <c r="G552" s="2"/>
      <c r="H552" s="2"/>
      <c r="I552" s="2"/>
      <c r="J552" s="2"/>
      <c r="K552" s="2"/>
      <c r="L552" s="2"/>
    </row>
    <row x14ac:dyDescent="0.25" r="553" customHeight="1" ht="17.25">
      <c r="A553" s="2"/>
      <c r="B553" s="2"/>
      <c r="C553" s="2"/>
      <c r="D553" s="13"/>
      <c r="E553" s="10"/>
      <c r="F553" s="16"/>
      <c r="G553" s="2"/>
      <c r="H553" s="2"/>
      <c r="I553" s="2"/>
      <c r="J553" s="2"/>
      <c r="K553" s="2"/>
      <c r="L553" s="2"/>
    </row>
    <row x14ac:dyDescent="0.25" r="554" customHeight="1" ht="17.25">
      <c r="A554" s="2"/>
      <c r="B554" s="2"/>
      <c r="C554" s="2"/>
      <c r="D554" s="13"/>
      <c r="E554" s="10"/>
      <c r="F554" s="16"/>
      <c r="G554" s="2"/>
      <c r="H554" s="2"/>
      <c r="I554" s="2"/>
      <c r="J554" s="2"/>
      <c r="K554" s="2"/>
      <c r="L554" s="2"/>
    </row>
    <row x14ac:dyDescent="0.25" r="555" customHeight="1" ht="17.25">
      <c r="A555" s="2"/>
      <c r="B555" s="2"/>
      <c r="C555" s="2"/>
      <c r="D555" s="13"/>
      <c r="E555" s="10"/>
      <c r="F555" s="16"/>
      <c r="G555" s="2"/>
      <c r="H555" s="2"/>
      <c r="I555" s="2"/>
      <c r="J555" s="2"/>
      <c r="K555" s="2"/>
      <c r="L555" s="2"/>
    </row>
    <row x14ac:dyDescent="0.25" r="556" customHeight="1" ht="17.25">
      <c r="A556" s="2"/>
      <c r="B556" s="2"/>
      <c r="C556" s="2"/>
      <c r="D556" s="13"/>
      <c r="E556" s="10"/>
      <c r="F556" s="16"/>
      <c r="G556" s="2"/>
      <c r="H556" s="2"/>
      <c r="I556" s="2"/>
      <c r="J556" s="2"/>
      <c r="K556" s="2"/>
      <c r="L556" s="2"/>
    </row>
    <row x14ac:dyDescent="0.25" r="557" customHeight="1" ht="17.25">
      <c r="A557" s="2"/>
      <c r="B557" s="2"/>
      <c r="C557" s="2"/>
      <c r="D557" s="13"/>
      <c r="E557" s="10"/>
      <c r="F557" s="16"/>
      <c r="G557" s="2"/>
      <c r="H557" s="2"/>
      <c r="I557" s="2"/>
      <c r="J557" s="2"/>
      <c r="K557" s="2"/>
      <c r="L557" s="2"/>
    </row>
    <row x14ac:dyDescent="0.25" r="558" customHeight="1" ht="17.25">
      <c r="A558" s="2"/>
      <c r="B558" s="2"/>
      <c r="C558" s="2"/>
      <c r="D558" s="13"/>
      <c r="E558" s="10"/>
      <c r="F558" s="16"/>
      <c r="G558" s="2"/>
      <c r="H558" s="2"/>
      <c r="I558" s="2"/>
      <c r="J558" s="2"/>
      <c r="K558" s="2"/>
      <c r="L558" s="2"/>
    </row>
    <row x14ac:dyDescent="0.25" r="559" customHeight="1" ht="17.25">
      <c r="A559" s="2"/>
      <c r="B559" s="2"/>
      <c r="C559" s="2"/>
      <c r="D559" s="13"/>
      <c r="E559" s="10"/>
      <c r="F559" s="16"/>
      <c r="G559" s="2"/>
      <c r="H559" s="2"/>
      <c r="I559" s="2"/>
      <c r="J559" s="2"/>
      <c r="K559" s="2"/>
      <c r="L559" s="2"/>
    </row>
    <row x14ac:dyDescent="0.25" r="560" customHeight="1" ht="17.25">
      <c r="A560" s="2"/>
      <c r="B560" s="2"/>
      <c r="C560" s="2"/>
      <c r="D560" s="13"/>
      <c r="E560" s="10"/>
      <c r="F560" s="16"/>
      <c r="G560" s="2"/>
      <c r="H560" s="2"/>
      <c r="I560" s="2"/>
      <c r="J560" s="2"/>
      <c r="K560" s="2"/>
      <c r="L560" s="2"/>
    </row>
    <row x14ac:dyDescent="0.25" r="561" customHeight="1" ht="17.25">
      <c r="A561" s="2"/>
      <c r="B561" s="2"/>
      <c r="C561" s="2"/>
      <c r="D561" s="13"/>
      <c r="E561" s="10"/>
      <c r="F561" s="16"/>
      <c r="G561" s="2"/>
      <c r="H561" s="2"/>
      <c r="I561" s="2"/>
      <c r="J561" s="2"/>
      <c r="K561" s="2"/>
      <c r="L561" s="2"/>
    </row>
    <row x14ac:dyDescent="0.25" r="562" customHeight="1" ht="17.25">
      <c r="A562" s="2"/>
      <c r="B562" s="2"/>
      <c r="C562" s="2"/>
      <c r="D562" s="13"/>
      <c r="E562" s="10"/>
      <c r="F562" s="16"/>
      <c r="G562" s="2"/>
      <c r="H562" s="2"/>
      <c r="I562" s="2"/>
      <c r="J562" s="2"/>
      <c r="K562" s="2"/>
      <c r="L562" s="2"/>
    </row>
    <row x14ac:dyDescent="0.25" r="563" customHeight="1" ht="17.25">
      <c r="A563" s="2"/>
      <c r="B563" s="2"/>
      <c r="C563" s="2"/>
      <c r="D563" s="13"/>
      <c r="E563" s="10"/>
      <c r="F563" s="16"/>
      <c r="G563" s="2"/>
      <c r="H563" s="2"/>
      <c r="I563" s="2"/>
      <c r="J563" s="2"/>
      <c r="K563" s="2"/>
      <c r="L563" s="2"/>
    </row>
    <row x14ac:dyDescent="0.25" r="564" customHeight="1" ht="17.25">
      <c r="A564" s="2"/>
      <c r="B564" s="2"/>
      <c r="C564" s="2"/>
      <c r="D564" s="13"/>
      <c r="E564" s="10"/>
      <c r="F564" s="16"/>
      <c r="G564" s="2"/>
      <c r="H564" s="2"/>
      <c r="I564" s="2"/>
      <c r="J564" s="2"/>
      <c r="K564" s="2"/>
      <c r="L564" s="2"/>
    </row>
    <row x14ac:dyDescent="0.25" r="565" customHeight="1" ht="17.25">
      <c r="A565" s="2"/>
      <c r="B565" s="2"/>
      <c r="C565" s="2"/>
      <c r="D565" s="13"/>
      <c r="E565" s="10"/>
      <c r="F565" s="16"/>
      <c r="G565" s="2"/>
      <c r="H565" s="2"/>
      <c r="I565" s="2"/>
      <c r="J565" s="2"/>
      <c r="K565" s="2"/>
      <c r="L565" s="2"/>
    </row>
    <row x14ac:dyDescent="0.25" r="566" customHeight="1" ht="17.25">
      <c r="A566" s="2"/>
      <c r="B566" s="2"/>
      <c r="C566" s="2"/>
      <c r="D566" s="13"/>
      <c r="E566" s="10"/>
      <c r="F566" s="16"/>
      <c r="G566" s="2"/>
      <c r="H566" s="2"/>
      <c r="I566" s="2"/>
      <c r="J566" s="2"/>
      <c r="K566" s="2"/>
      <c r="L566" s="2"/>
    </row>
    <row x14ac:dyDescent="0.25" r="567" customHeight="1" ht="17.25">
      <c r="A567" s="2"/>
      <c r="B567" s="2"/>
      <c r="C567" s="2"/>
      <c r="D567" s="13"/>
      <c r="E567" s="10"/>
      <c r="F567" s="16"/>
      <c r="G567" s="2"/>
      <c r="H567" s="2"/>
      <c r="I567" s="2"/>
      <c r="J567" s="2"/>
      <c r="K567" s="2"/>
      <c r="L567" s="2"/>
    </row>
    <row x14ac:dyDescent="0.25" r="568" customHeight="1" ht="17.25">
      <c r="A568" s="2"/>
      <c r="B568" s="2"/>
      <c r="C568" s="2"/>
      <c r="D568" s="13"/>
      <c r="E568" s="10"/>
      <c r="F568" s="16"/>
      <c r="G568" s="2"/>
      <c r="H568" s="2"/>
      <c r="I568" s="2"/>
      <c r="J568" s="2"/>
      <c r="K568" s="2"/>
      <c r="L568" s="2"/>
    </row>
    <row x14ac:dyDescent="0.25" r="569" customHeight="1" ht="17.25">
      <c r="A569" s="2"/>
      <c r="B569" s="2"/>
      <c r="C569" s="2"/>
      <c r="D569" s="13"/>
      <c r="E569" s="10"/>
      <c r="F569" s="16"/>
      <c r="G569" s="2"/>
      <c r="H569" s="2"/>
      <c r="I569" s="2"/>
      <c r="J569" s="2"/>
      <c r="K569" s="2"/>
      <c r="L569" s="2"/>
    </row>
    <row x14ac:dyDescent="0.25" r="570" customHeight="1" ht="17.25">
      <c r="A570" s="2"/>
      <c r="B570" s="2"/>
      <c r="C570" s="2"/>
      <c r="D570" s="13"/>
      <c r="E570" s="10"/>
      <c r="F570" s="16"/>
      <c r="G570" s="2"/>
      <c r="H570" s="2"/>
      <c r="I570" s="2"/>
      <c r="J570" s="2"/>
      <c r="K570" s="2"/>
      <c r="L570" s="2"/>
    </row>
    <row x14ac:dyDescent="0.25" r="571" customHeight="1" ht="17.25">
      <c r="A571" s="2"/>
      <c r="B571" s="2"/>
      <c r="C571" s="2"/>
      <c r="D571" s="13"/>
      <c r="E571" s="10"/>
      <c r="F571" s="16"/>
      <c r="G571" s="2"/>
      <c r="H571" s="2"/>
      <c r="I571" s="2"/>
      <c r="J571" s="2"/>
      <c r="K571" s="2"/>
      <c r="L571" s="2"/>
    </row>
    <row x14ac:dyDescent="0.25" r="572" customHeight="1" ht="17.25">
      <c r="A572" s="2"/>
      <c r="B572" s="2"/>
      <c r="C572" s="2"/>
      <c r="D572" s="13"/>
      <c r="E572" s="10"/>
      <c r="F572" s="16"/>
      <c r="G572" s="2"/>
      <c r="H572" s="2"/>
      <c r="I572" s="2"/>
      <c r="J572" s="2"/>
      <c r="K572" s="2"/>
      <c r="L572" s="2"/>
    </row>
    <row x14ac:dyDescent="0.25" r="573" customHeight="1" ht="17.25">
      <c r="A573" s="2"/>
      <c r="B573" s="2"/>
      <c r="C573" s="2"/>
      <c r="D573" s="13"/>
      <c r="E573" s="10"/>
      <c r="F573" s="16"/>
      <c r="G573" s="2"/>
      <c r="H573" s="2"/>
      <c r="I573" s="2"/>
      <c r="J573" s="2"/>
      <c r="K573" s="2"/>
      <c r="L573" s="2"/>
    </row>
    <row x14ac:dyDescent="0.25" r="574" customHeight="1" ht="17.25">
      <c r="A574" s="2"/>
      <c r="B574" s="2"/>
      <c r="C574" s="2"/>
      <c r="D574" s="13"/>
      <c r="E574" s="10"/>
      <c r="F574" s="16"/>
      <c r="G574" s="2"/>
      <c r="H574" s="2"/>
      <c r="I574" s="2"/>
      <c r="J574" s="2"/>
      <c r="K574" s="2"/>
      <c r="L574" s="2"/>
    </row>
    <row x14ac:dyDescent="0.25" r="575" customHeight="1" ht="17.25">
      <c r="A575" s="2"/>
      <c r="B575" s="2"/>
      <c r="C575" s="2"/>
      <c r="D575" s="13"/>
      <c r="E575" s="10"/>
      <c r="F575" s="16"/>
      <c r="G575" s="2"/>
      <c r="H575" s="2"/>
      <c r="I575" s="2"/>
      <c r="J575" s="2"/>
      <c r="K575" s="2"/>
      <c r="L575" s="2"/>
    </row>
    <row x14ac:dyDescent="0.25" r="576" customHeight="1" ht="17.25">
      <c r="A576" s="2"/>
      <c r="B576" s="2"/>
      <c r="C576" s="2"/>
      <c r="D576" s="13"/>
      <c r="E576" s="10"/>
      <c r="F576" s="16"/>
      <c r="G576" s="2"/>
      <c r="H576" s="2"/>
      <c r="I576" s="2"/>
      <c r="J576" s="2"/>
      <c r="K576" s="2"/>
      <c r="L576" s="2"/>
    </row>
    <row x14ac:dyDescent="0.25" r="577" customHeight="1" ht="17.25">
      <c r="A577" s="2"/>
      <c r="B577" s="2"/>
      <c r="C577" s="2"/>
      <c r="D577" s="13"/>
      <c r="E577" s="10"/>
      <c r="F577" s="16"/>
      <c r="G577" s="2"/>
      <c r="H577" s="2"/>
      <c r="I577" s="2"/>
      <c r="J577" s="2"/>
      <c r="K577" s="2"/>
      <c r="L577" s="2"/>
    </row>
    <row x14ac:dyDescent="0.25" r="578" customHeight="1" ht="17.25">
      <c r="A578" s="2"/>
      <c r="B578" s="2"/>
      <c r="C578" s="2"/>
      <c r="D578" s="13"/>
      <c r="E578" s="10"/>
      <c r="F578" s="16"/>
      <c r="G578" s="2"/>
      <c r="H578" s="2"/>
      <c r="I578" s="2"/>
      <c r="J578" s="2"/>
      <c r="K578" s="2"/>
      <c r="L578" s="2"/>
    </row>
    <row x14ac:dyDescent="0.25" r="579" customHeight="1" ht="17.25">
      <c r="A579" s="2"/>
      <c r="B579" s="2"/>
      <c r="C579" s="2"/>
      <c r="D579" s="13"/>
      <c r="E579" s="10"/>
      <c r="F579" s="16"/>
      <c r="G579" s="2"/>
      <c r="H579" s="2"/>
      <c r="I579" s="2"/>
      <c r="J579" s="2"/>
      <c r="K579" s="2"/>
      <c r="L579" s="2"/>
    </row>
    <row x14ac:dyDescent="0.25" r="580" customHeight="1" ht="17.25">
      <c r="A580" s="2"/>
      <c r="B580" s="2"/>
      <c r="C580" s="2"/>
      <c r="D580" s="13"/>
      <c r="E580" s="10"/>
      <c r="F580" s="16"/>
      <c r="G580" s="2"/>
      <c r="H580" s="2"/>
      <c r="I580" s="2"/>
      <c r="J580" s="2"/>
      <c r="K580" s="2"/>
      <c r="L580" s="2"/>
    </row>
    <row x14ac:dyDescent="0.25" r="581" customHeight="1" ht="17.25">
      <c r="A581" s="2"/>
      <c r="B581" s="2"/>
      <c r="C581" s="2"/>
      <c r="D581" s="13"/>
      <c r="E581" s="10"/>
      <c r="F581" s="16"/>
      <c r="G581" s="2"/>
      <c r="H581" s="2"/>
      <c r="I581" s="2"/>
      <c r="J581" s="2"/>
      <c r="K581" s="2"/>
      <c r="L581" s="2"/>
    </row>
    <row x14ac:dyDescent="0.25" r="582" customHeight="1" ht="17.25">
      <c r="A582" s="2"/>
      <c r="B582" s="2"/>
      <c r="C582" s="2"/>
      <c r="D582" s="13"/>
      <c r="E582" s="10"/>
      <c r="F582" s="16"/>
      <c r="G582" s="2"/>
      <c r="H582" s="2"/>
      <c r="I582" s="2"/>
      <c r="J582" s="2"/>
      <c r="K582" s="2"/>
      <c r="L582" s="2"/>
    </row>
    <row x14ac:dyDescent="0.25" r="583" customHeight="1" ht="17.25">
      <c r="A583" s="2"/>
      <c r="B583" s="2"/>
      <c r="C583" s="2"/>
      <c r="D583" s="13"/>
      <c r="E583" s="10"/>
      <c r="F583" s="16"/>
      <c r="G583" s="2"/>
      <c r="H583" s="2"/>
      <c r="I583" s="2"/>
      <c r="J583" s="2"/>
      <c r="K583" s="2"/>
      <c r="L583" s="2"/>
    </row>
    <row x14ac:dyDescent="0.25" r="584" customHeight="1" ht="17.25">
      <c r="A584" s="2"/>
      <c r="B584" s="2"/>
      <c r="C584" s="2"/>
      <c r="D584" s="13"/>
      <c r="E584" s="10"/>
      <c r="F584" s="16"/>
      <c r="G584" s="2"/>
      <c r="H584" s="2"/>
      <c r="I584" s="2"/>
      <c r="J584" s="2"/>
      <c r="K584" s="2"/>
      <c r="L584" s="2"/>
    </row>
    <row x14ac:dyDescent="0.25" r="585" customHeight="1" ht="17.25">
      <c r="A585" s="2"/>
      <c r="B585" s="2"/>
      <c r="C585" s="2"/>
      <c r="D585" s="13"/>
      <c r="E585" s="10"/>
      <c r="F585" s="16"/>
      <c r="G585" s="2"/>
      <c r="H585" s="2"/>
      <c r="I585" s="2"/>
      <c r="J585" s="2"/>
      <c r="K585" s="2"/>
      <c r="L585" s="2"/>
    </row>
    <row x14ac:dyDescent="0.25" r="586" customHeight="1" ht="17.25">
      <c r="A586" s="2"/>
      <c r="B586" s="2"/>
      <c r="C586" s="2"/>
      <c r="D586" s="13"/>
      <c r="E586" s="10"/>
      <c r="F586" s="16"/>
      <c r="G586" s="2"/>
      <c r="H586" s="2"/>
      <c r="I586" s="2"/>
      <c r="J586" s="2"/>
      <c r="K586" s="2"/>
      <c r="L586" s="2"/>
    </row>
    <row x14ac:dyDescent="0.25" r="587" customHeight="1" ht="17.25">
      <c r="A587" s="2"/>
      <c r="B587" s="2"/>
      <c r="C587" s="2"/>
      <c r="D587" s="13"/>
      <c r="E587" s="10"/>
      <c r="F587" s="16"/>
      <c r="G587" s="2"/>
      <c r="H587" s="2"/>
      <c r="I587" s="2"/>
      <c r="J587" s="2"/>
      <c r="K587" s="2"/>
      <c r="L587" s="2"/>
    </row>
    <row x14ac:dyDescent="0.25" r="588" customHeight="1" ht="17.25">
      <c r="A588" s="2"/>
      <c r="B588" s="2"/>
      <c r="C588" s="2"/>
      <c r="D588" s="13"/>
      <c r="E588" s="10"/>
      <c r="F588" s="16"/>
      <c r="G588" s="2"/>
      <c r="H588" s="2"/>
      <c r="I588" s="2"/>
      <c r="J588" s="2"/>
      <c r="K588" s="2"/>
      <c r="L588" s="2"/>
    </row>
    <row x14ac:dyDescent="0.25" r="589" customHeight="1" ht="17.25">
      <c r="A589" s="2"/>
      <c r="B589" s="2"/>
      <c r="C589" s="2"/>
      <c r="D589" s="13"/>
      <c r="E589" s="10"/>
      <c r="F589" s="16"/>
      <c r="G589" s="2"/>
      <c r="H589" s="2"/>
      <c r="I589" s="2"/>
      <c r="J589" s="2"/>
      <c r="K589" s="2"/>
      <c r="L589" s="2"/>
    </row>
    <row x14ac:dyDescent="0.25" r="590" customHeight="1" ht="17.25">
      <c r="A590" s="2"/>
      <c r="B590" s="2"/>
      <c r="C590" s="2"/>
      <c r="D590" s="13"/>
      <c r="E590" s="10"/>
      <c r="F590" s="16"/>
      <c r="G590" s="2"/>
      <c r="H590" s="2"/>
      <c r="I590" s="2"/>
      <c r="J590" s="2"/>
      <c r="K590" s="2"/>
      <c r="L590" s="2"/>
    </row>
    <row x14ac:dyDescent="0.25" r="591" customHeight="1" ht="17.25">
      <c r="A591" s="2"/>
      <c r="B591" s="2"/>
      <c r="C591" s="2"/>
      <c r="D591" s="13"/>
      <c r="E591" s="10"/>
      <c r="F591" s="16"/>
      <c r="G591" s="2"/>
      <c r="H591" s="2"/>
      <c r="I591" s="2"/>
      <c r="J591" s="2"/>
      <c r="K591" s="2"/>
      <c r="L591" s="2"/>
    </row>
    <row x14ac:dyDescent="0.25" r="592" customHeight="1" ht="17.25">
      <c r="A592" s="2"/>
      <c r="B592" s="2"/>
      <c r="C592" s="2"/>
      <c r="D592" s="13"/>
      <c r="E592" s="10"/>
      <c r="F592" s="16"/>
      <c r="G592" s="2"/>
      <c r="H592" s="2"/>
      <c r="I592" s="2"/>
      <c r="J592" s="2"/>
      <c r="K592" s="2"/>
      <c r="L592" s="2"/>
    </row>
    <row x14ac:dyDescent="0.25" r="593" customHeight="1" ht="17.25">
      <c r="A593" s="2"/>
      <c r="B593" s="2"/>
      <c r="C593" s="2"/>
      <c r="D593" s="13"/>
      <c r="E593" s="10"/>
      <c r="F593" s="16"/>
      <c r="G593" s="2"/>
      <c r="H593" s="2"/>
      <c r="I593" s="2"/>
      <c r="J593" s="2"/>
      <c r="K593" s="2"/>
      <c r="L593" s="2"/>
    </row>
    <row x14ac:dyDescent="0.25" r="594" customHeight="1" ht="17.25">
      <c r="A594" s="2"/>
      <c r="B594" s="2"/>
      <c r="C594" s="2"/>
      <c r="D594" s="13"/>
      <c r="E594" s="10"/>
      <c r="F594" s="16"/>
      <c r="G594" s="2"/>
      <c r="H594" s="2"/>
      <c r="I594" s="2"/>
      <c r="J594" s="2"/>
      <c r="K594" s="2"/>
      <c r="L594" s="2"/>
    </row>
    <row x14ac:dyDescent="0.25" r="595" customHeight="1" ht="17.25">
      <c r="A595" s="2"/>
      <c r="B595" s="2"/>
      <c r="C595" s="2"/>
      <c r="D595" s="13"/>
      <c r="E595" s="10"/>
      <c r="F595" s="16"/>
      <c r="G595" s="2"/>
      <c r="H595" s="2"/>
      <c r="I595" s="2"/>
      <c r="J595" s="2"/>
      <c r="K595" s="2"/>
      <c r="L595" s="2"/>
    </row>
    <row x14ac:dyDescent="0.25" r="596" customHeight="1" ht="17.25">
      <c r="A596" s="2"/>
      <c r="B596" s="2"/>
      <c r="C596" s="2"/>
      <c r="D596" s="13"/>
      <c r="E596" s="10"/>
      <c r="F596" s="16"/>
      <c r="G596" s="2"/>
      <c r="H596" s="2"/>
      <c r="I596" s="2"/>
      <c r="J596" s="2"/>
      <c r="K596" s="2"/>
      <c r="L596" s="2"/>
    </row>
    <row x14ac:dyDescent="0.25" r="597" customHeight="1" ht="17.25">
      <c r="A597" s="2"/>
      <c r="B597" s="2"/>
      <c r="C597" s="2"/>
      <c r="D597" s="13"/>
      <c r="E597" s="10"/>
      <c r="F597" s="16"/>
      <c r="G597" s="2"/>
      <c r="H597" s="2"/>
      <c r="I597" s="2"/>
      <c r="J597" s="2"/>
      <c r="K597" s="2"/>
      <c r="L597" s="2"/>
    </row>
    <row x14ac:dyDescent="0.25" r="598" customHeight="1" ht="17.25">
      <c r="A598" s="2"/>
      <c r="B598" s="2"/>
      <c r="C598" s="2"/>
      <c r="D598" s="13"/>
      <c r="E598" s="10"/>
      <c r="F598" s="16"/>
      <c r="G598" s="2"/>
      <c r="H598" s="2"/>
      <c r="I598" s="2"/>
      <c r="J598" s="2"/>
      <c r="K598" s="2"/>
      <c r="L598" s="2"/>
    </row>
    <row x14ac:dyDescent="0.25" r="599" customHeight="1" ht="17.25">
      <c r="A599" s="2"/>
      <c r="B599" s="2"/>
      <c r="C599" s="2"/>
      <c r="D599" s="13"/>
      <c r="E599" s="10"/>
      <c r="F599" s="16"/>
      <c r="G599" s="2"/>
      <c r="H599" s="2"/>
      <c r="I599" s="2"/>
      <c r="J599" s="2"/>
      <c r="K599" s="2"/>
      <c r="L599" s="2"/>
    </row>
    <row x14ac:dyDescent="0.25" r="600" customHeight="1" ht="17.25">
      <c r="A600" s="2"/>
      <c r="B600" s="2"/>
      <c r="C600" s="2"/>
      <c r="D600" s="13"/>
      <c r="E600" s="10"/>
      <c r="F600" s="16"/>
      <c r="G600" s="2"/>
      <c r="H600" s="2"/>
      <c r="I600" s="2"/>
      <c r="J600" s="2"/>
      <c r="K600" s="2"/>
      <c r="L600" s="2"/>
    </row>
    <row x14ac:dyDescent="0.25" r="601" customHeight="1" ht="17.25">
      <c r="A601" s="2"/>
      <c r="B601" s="2"/>
      <c r="C601" s="2"/>
      <c r="D601" s="13"/>
      <c r="E601" s="10"/>
      <c r="F601" s="16"/>
      <c r="G601" s="2"/>
      <c r="H601" s="2"/>
      <c r="I601" s="2"/>
      <c r="J601" s="2"/>
      <c r="K601" s="2"/>
      <c r="L601" s="2"/>
    </row>
    <row x14ac:dyDescent="0.25" r="602" customHeight="1" ht="17.25">
      <c r="A602" s="2"/>
      <c r="B602" s="2"/>
      <c r="C602" s="2"/>
      <c r="D602" s="13"/>
      <c r="E602" s="10"/>
      <c r="F602" s="16"/>
      <c r="G602" s="2"/>
      <c r="H602" s="2"/>
      <c r="I602" s="2"/>
      <c r="J602" s="2"/>
      <c r="K602" s="2"/>
      <c r="L602" s="2"/>
    </row>
    <row x14ac:dyDescent="0.25" r="603" customHeight="1" ht="17.25">
      <c r="A603" s="2"/>
      <c r="B603" s="2"/>
      <c r="C603" s="2"/>
      <c r="D603" s="13"/>
      <c r="E603" s="10"/>
      <c r="F603" s="16"/>
      <c r="G603" s="2"/>
      <c r="H603" s="2"/>
      <c r="I603" s="2"/>
      <c r="J603" s="2"/>
      <c r="K603" s="2"/>
      <c r="L603" s="2"/>
    </row>
    <row x14ac:dyDescent="0.25" r="604" customHeight="1" ht="17.25">
      <c r="A604" s="2"/>
      <c r="B604" s="2"/>
      <c r="C604" s="2"/>
      <c r="D604" s="13"/>
      <c r="E604" s="10"/>
      <c r="F604" s="16"/>
      <c r="G604" s="2"/>
      <c r="H604" s="2"/>
      <c r="I604" s="2"/>
      <c r="J604" s="2"/>
      <c r="K604" s="2"/>
      <c r="L604" s="2"/>
    </row>
    <row x14ac:dyDescent="0.25" r="605" customHeight="1" ht="17.25">
      <c r="A605" s="2"/>
      <c r="B605" s="2"/>
      <c r="C605" s="2"/>
      <c r="D605" s="13"/>
      <c r="E605" s="10"/>
      <c r="F605" s="16"/>
      <c r="G605" s="2"/>
      <c r="H605" s="2"/>
      <c r="I605" s="2"/>
      <c r="J605" s="2"/>
      <c r="K605" s="2"/>
      <c r="L605" s="2"/>
    </row>
    <row x14ac:dyDescent="0.25" r="606" customHeight="1" ht="17.25">
      <c r="A606" s="2"/>
      <c r="B606" s="2"/>
      <c r="C606" s="2"/>
      <c r="D606" s="13"/>
      <c r="E606" s="10"/>
      <c r="F606" s="16"/>
      <c r="G606" s="2"/>
      <c r="H606" s="2"/>
      <c r="I606" s="2"/>
      <c r="J606" s="2"/>
      <c r="K606" s="2"/>
      <c r="L606" s="2"/>
    </row>
    <row x14ac:dyDescent="0.25" r="607" customHeight="1" ht="17.25">
      <c r="A607" s="2"/>
      <c r="B607" s="2"/>
      <c r="C607" s="2"/>
      <c r="D607" s="13"/>
      <c r="E607" s="10"/>
      <c r="F607" s="16"/>
      <c r="G607" s="2"/>
      <c r="H607" s="2"/>
      <c r="I607" s="2"/>
      <c r="J607" s="2"/>
      <c r="K607" s="2"/>
      <c r="L607" s="2"/>
    </row>
    <row x14ac:dyDescent="0.25" r="608" customHeight="1" ht="17.25">
      <c r="A608" s="2"/>
      <c r="B608" s="2"/>
      <c r="C608" s="2"/>
      <c r="D608" s="13"/>
      <c r="E608" s="10"/>
      <c r="F608" s="16"/>
      <c r="G608" s="2"/>
      <c r="H608" s="2"/>
      <c r="I608" s="2"/>
      <c r="J608" s="2"/>
      <c r="K608" s="2"/>
      <c r="L608" s="2"/>
    </row>
    <row x14ac:dyDescent="0.25" r="609" customHeight="1" ht="17.25">
      <c r="A609" s="2"/>
      <c r="B609" s="2"/>
      <c r="C609" s="2"/>
      <c r="D609" s="13"/>
      <c r="E609" s="10"/>
      <c r="F609" s="16"/>
      <c r="G609" s="2"/>
      <c r="H609" s="2"/>
      <c r="I609" s="2"/>
      <c r="J609" s="2"/>
      <c r="K609" s="2"/>
      <c r="L609" s="2"/>
    </row>
    <row x14ac:dyDescent="0.25" r="610" customHeight="1" ht="17.25">
      <c r="A610" s="2"/>
      <c r="B610" s="2"/>
      <c r="C610" s="2"/>
      <c r="D610" s="13"/>
      <c r="E610" s="10"/>
      <c r="F610" s="16"/>
      <c r="G610" s="2"/>
      <c r="H610" s="2"/>
      <c r="I610" s="2"/>
      <c r="J610" s="2"/>
      <c r="K610" s="2"/>
      <c r="L610" s="2"/>
    </row>
    <row x14ac:dyDescent="0.25" r="611" customHeight="1" ht="17.25">
      <c r="A611" s="2"/>
      <c r="B611" s="2"/>
      <c r="C611" s="2"/>
      <c r="D611" s="13"/>
      <c r="E611" s="10"/>
      <c r="F611" s="16"/>
      <c r="G611" s="2"/>
      <c r="H611" s="2"/>
      <c r="I611" s="2"/>
      <c r="J611" s="2"/>
      <c r="K611" s="2"/>
      <c r="L611" s="2"/>
    </row>
    <row x14ac:dyDescent="0.25" r="612" customHeight="1" ht="17.25">
      <c r="A612" s="2"/>
      <c r="B612" s="2"/>
      <c r="C612" s="2"/>
      <c r="D612" s="13"/>
      <c r="E612" s="10"/>
      <c r="F612" s="16"/>
      <c r="G612" s="2"/>
      <c r="H612" s="2"/>
      <c r="I612" s="2"/>
      <c r="J612" s="2"/>
      <c r="K612" s="2"/>
      <c r="L612" s="2"/>
    </row>
    <row x14ac:dyDescent="0.25" r="613" customHeight="1" ht="17.25">
      <c r="A613" s="2"/>
      <c r="B613" s="2"/>
      <c r="C613" s="2"/>
      <c r="D613" s="13"/>
      <c r="E613" s="10"/>
      <c r="F613" s="16"/>
      <c r="G613" s="2"/>
      <c r="H613" s="2"/>
      <c r="I613" s="2"/>
      <c r="J613" s="2"/>
      <c r="K613" s="2"/>
      <c r="L613" s="2"/>
    </row>
    <row x14ac:dyDescent="0.25" r="614" customHeight="1" ht="17.25">
      <c r="A614" s="2"/>
      <c r="B614" s="2"/>
      <c r="C614" s="2"/>
      <c r="D614" s="13"/>
      <c r="E614" s="10"/>
      <c r="F614" s="16"/>
      <c r="G614" s="2"/>
      <c r="H614" s="2"/>
      <c r="I614" s="2"/>
      <c r="J614" s="2"/>
      <c r="K614" s="2"/>
      <c r="L614" s="2"/>
    </row>
    <row x14ac:dyDescent="0.25" r="615" customHeight="1" ht="17.25">
      <c r="A615" s="2"/>
      <c r="B615" s="2"/>
      <c r="C615" s="2"/>
      <c r="D615" s="13"/>
      <c r="E615" s="10"/>
      <c r="F615" s="16"/>
      <c r="G615" s="2"/>
      <c r="H615" s="2"/>
      <c r="I615" s="2"/>
      <c r="J615" s="2"/>
      <c r="K615" s="2"/>
      <c r="L615" s="2"/>
    </row>
    <row x14ac:dyDescent="0.25" r="616" customHeight="1" ht="17.25">
      <c r="A616" s="2"/>
      <c r="B616" s="2"/>
      <c r="C616" s="2"/>
      <c r="D616" s="13"/>
      <c r="E616" s="10"/>
      <c r="F616" s="16"/>
      <c r="G616" s="2"/>
      <c r="H616" s="2"/>
      <c r="I616" s="2"/>
      <c r="J616" s="2"/>
      <c r="K616" s="2"/>
      <c r="L616" s="2"/>
    </row>
    <row x14ac:dyDescent="0.25" r="617" customHeight="1" ht="17.25">
      <c r="A617" s="2"/>
      <c r="B617" s="2"/>
      <c r="C617" s="2"/>
      <c r="D617" s="13"/>
      <c r="E617" s="10"/>
      <c r="F617" s="16"/>
      <c r="G617" s="2"/>
      <c r="H617" s="2"/>
      <c r="I617" s="2"/>
      <c r="J617" s="2"/>
      <c r="K617" s="2"/>
      <c r="L617" s="2"/>
    </row>
    <row x14ac:dyDescent="0.25" r="618" customHeight="1" ht="17.25">
      <c r="A618" s="2"/>
      <c r="B618" s="2"/>
      <c r="C618" s="2"/>
      <c r="D618" s="13"/>
      <c r="E618" s="10"/>
      <c r="F618" s="16"/>
      <c r="G618" s="2"/>
      <c r="H618" s="2"/>
      <c r="I618" s="2"/>
      <c r="J618" s="2"/>
      <c r="K618" s="2"/>
      <c r="L618" s="2"/>
    </row>
    <row x14ac:dyDescent="0.25" r="619" customHeight="1" ht="17.25">
      <c r="A619" s="2"/>
      <c r="B619" s="2"/>
      <c r="C619" s="2"/>
      <c r="D619" s="13"/>
      <c r="E619" s="10"/>
      <c r="F619" s="16"/>
      <c r="G619" s="2"/>
      <c r="H619" s="2"/>
      <c r="I619" s="2"/>
      <c r="J619" s="2"/>
      <c r="K619" s="2"/>
      <c r="L619" s="2"/>
    </row>
    <row x14ac:dyDescent="0.25" r="620" customHeight="1" ht="17.25">
      <c r="A620" s="2"/>
      <c r="B620" s="2"/>
      <c r="C620" s="2"/>
      <c r="D620" s="13"/>
      <c r="E620" s="10"/>
      <c r="F620" s="16"/>
      <c r="G620" s="2"/>
      <c r="H620" s="2"/>
      <c r="I620" s="2"/>
      <c r="J620" s="2"/>
      <c r="K620" s="2"/>
      <c r="L620" s="2"/>
    </row>
    <row x14ac:dyDescent="0.25" r="621" customHeight="1" ht="17.25">
      <c r="A621" s="2"/>
      <c r="B621" s="2"/>
      <c r="C621" s="2"/>
      <c r="D621" s="13"/>
      <c r="E621" s="10"/>
      <c r="F621" s="16"/>
      <c r="G621" s="2"/>
      <c r="H621" s="2"/>
      <c r="I621" s="2"/>
      <c r="J621" s="2"/>
      <c r="K621" s="2"/>
      <c r="L621" s="2"/>
    </row>
    <row x14ac:dyDescent="0.25" r="622" customHeight="1" ht="17.25">
      <c r="A622" s="2"/>
      <c r="B622" s="2"/>
      <c r="C622" s="2"/>
      <c r="D622" s="13"/>
      <c r="E622" s="10"/>
      <c r="F622" s="16"/>
      <c r="G622" s="2"/>
      <c r="H622" s="2"/>
      <c r="I622" s="2"/>
      <c r="J622" s="2"/>
      <c r="K622" s="2"/>
      <c r="L622" s="2"/>
    </row>
    <row x14ac:dyDescent="0.25" r="623" customHeight="1" ht="17.25">
      <c r="A623" s="2"/>
      <c r="B623" s="2"/>
      <c r="C623" s="2"/>
      <c r="D623" s="13"/>
      <c r="E623" s="10"/>
      <c r="F623" s="16"/>
      <c r="G623" s="2"/>
      <c r="H623" s="2"/>
      <c r="I623" s="2"/>
      <c r="J623" s="2"/>
      <c r="K623" s="2"/>
      <c r="L623" s="2"/>
    </row>
    <row x14ac:dyDescent="0.25" r="624" customHeight="1" ht="17.25">
      <c r="A624" s="2"/>
      <c r="B624" s="2"/>
      <c r="C624" s="2"/>
      <c r="D624" s="13"/>
      <c r="E624" s="10"/>
      <c r="F624" s="16"/>
      <c r="G624" s="2"/>
      <c r="H624" s="2"/>
      <c r="I624" s="2"/>
      <c r="J624" s="2"/>
      <c r="K624" s="2"/>
      <c r="L624" s="2"/>
    </row>
    <row x14ac:dyDescent="0.25" r="625" customHeight="1" ht="17.25">
      <c r="A625" s="2"/>
      <c r="B625" s="2"/>
      <c r="C625" s="2"/>
      <c r="D625" s="13"/>
      <c r="E625" s="10"/>
      <c r="F625" s="16"/>
      <c r="G625" s="2"/>
      <c r="H625" s="2"/>
      <c r="I625" s="2"/>
      <c r="J625" s="2"/>
      <c r="K625" s="2"/>
      <c r="L625" s="2"/>
    </row>
    <row x14ac:dyDescent="0.25" r="626" customHeight="1" ht="17.25">
      <c r="A626" s="2"/>
      <c r="B626" s="2"/>
      <c r="C626" s="2"/>
      <c r="D626" s="13"/>
      <c r="E626" s="10"/>
      <c r="F626" s="16"/>
      <c r="G626" s="2"/>
      <c r="H626" s="2"/>
      <c r="I626" s="2"/>
      <c r="J626" s="2"/>
      <c r="K626" s="2"/>
      <c r="L626" s="2"/>
    </row>
    <row x14ac:dyDescent="0.25" r="627" customHeight="1" ht="17.25">
      <c r="A627" s="2"/>
      <c r="B627" s="2"/>
      <c r="C627" s="2"/>
      <c r="D627" s="13"/>
      <c r="E627" s="10"/>
      <c r="F627" s="16"/>
      <c r="G627" s="2"/>
      <c r="H627" s="2"/>
      <c r="I627" s="2"/>
      <c r="J627" s="2"/>
      <c r="K627" s="2"/>
      <c r="L627" s="2"/>
    </row>
    <row x14ac:dyDescent="0.25" r="628" customHeight="1" ht="17.25">
      <c r="A628" s="2"/>
      <c r="B628" s="2"/>
      <c r="C628" s="2"/>
      <c r="D628" s="13"/>
      <c r="E628" s="10"/>
      <c r="F628" s="16"/>
      <c r="G628" s="2"/>
      <c r="H628" s="2"/>
      <c r="I628" s="2"/>
      <c r="J628" s="2"/>
      <c r="K628" s="2"/>
      <c r="L628" s="2"/>
    </row>
    <row x14ac:dyDescent="0.25" r="629" customHeight="1" ht="17.25">
      <c r="A629" s="2"/>
      <c r="B629" s="2"/>
      <c r="C629" s="2"/>
      <c r="D629" s="13"/>
      <c r="E629" s="10"/>
      <c r="F629" s="16"/>
      <c r="G629" s="2"/>
      <c r="H629" s="2"/>
      <c r="I629" s="2"/>
      <c r="J629" s="2"/>
      <c r="K629" s="2"/>
      <c r="L629" s="2"/>
    </row>
    <row x14ac:dyDescent="0.25" r="630" customHeight="1" ht="17.25">
      <c r="A630" s="2"/>
      <c r="B630" s="2"/>
      <c r="C630" s="2"/>
      <c r="D630" s="13"/>
      <c r="E630" s="10"/>
      <c r="F630" s="16"/>
      <c r="G630" s="2"/>
      <c r="H630" s="2"/>
      <c r="I630" s="2"/>
      <c r="J630" s="2"/>
      <c r="K630" s="2"/>
      <c r="L630" s="2"/>
    </row>
    <row x14ac:dyDescent="0.25" r="631" customHeight="1" ht="17.25">
      <c r="A631" s="2"/>
      <c r="B631" s="2"/>
      <c r="C631" s="2"/>
      <c r="D631" s="13"/>
      <c r="E631" s="10"/>
      <c r="F631" s="16"/>
      <c r="G631" s="2"/>
      <c r="H631" s="2"/>
      <c r="I631" s="2"/>
      <c r="J631" s="2"/>
      <c r="K631" s="2"/>
      <c r="L631" s="2"/>
    </row>
    <row x14ac:dyDescent="0.25" r="632" customHeight="1" ht="17.25">
      <c r="A632" s="2"/>
      <c r="B632" s="2"/>
      <c r="C632" s="2"/>
      <c r="D632" s="13"/>
      <c r="E632" s="10"/>
      <c r="F632" s="16"/>
      <c r="G632" s="2"/>
      <c r="H632" s="2"/>
      <c r="I632" s="2"/>
      <c r="J632" s="2"/>
      <c r="K632" s="2"/>
      <c r="L632" s="2"/>
    </row>
    <row x14ac:dyDescent="0.25" r="633" customHeight="1" ht="17.25">
      <c r="A633" s="2"/>
      <c r="B633" s="2"/>
      <c r="C633" s="2"/>
      <c r="D633" s="13"/>
      <c r="E633" s="10"/>
      <c r="F633" s="16"/>
      <c r="G633" s="2"/>
      <c r="H633" s="2"/>
      <c r="I633" s="2"/>
      <c r="J633" s="2"/>
      <c r="K633" s="2"/>
      <c r="L633" s="2"/>
    </row>
    <row x14ac:dyDescent="0.25" r="634" customHeight="1" ht="17.25">
      <c r="A634" s="2"/>
      <c r="B634" s="2"/>
      <c r="C634" s="2"/>
      <c r="D634" s="13"/>
      <c r="E634" s="10"/>
      <c r="F634" s="16"/>
      <c r="G634" s="2"/>
      <c r="H634" s="2"/>
      <c r="I634" s="2"/>
      <c r="J634" s="2"/>
      <c r="K634" s="2"/>
      <c r="L634" s="2"/>
    </row>
    <row x14ac:dyDescent="0.25" r="635" customHeight="1" ht="17.25">
      <c r="A635" s="2"/>
      <c r="B635" s="2"/>
      <c r="C635" s="2"/>
      <c r="D635" s="13"/>
      <c r="E635" s="10"/>
      <c r="F635" s="16"/>
      <c r="G635" s="2"/>
      <c r="H635" s="2"/>
      <c r="I635" s="2"/>
      <c r="J635" s="2"/>
      <c r="K635" s="2"/>
      <c r="L635" s="2"/>
    </row>
    <row x14ac:dyDescent="0.25" r="636" customHeight="1" ht="17.25">
      <c r="A636" s="2"/>
      <c r="B636" s="2"/>
      <c r="C636" s="2"/>
      <c r="D636" s="13"/>
      <c r="E636" s="10"/>
      <c r="F636" s="16"/>
      <c r="G636" s="2"/>
      <c r="H636" s="2"/>
      <c r="I636" s="2"/>
      <c r="J636" s="2"/>
      <c r="K636" s="2"/>
      <c r="L636" s="2"/>
    </row>
    <row x14ac:dyDescent="0.25" r="637" customHeight="1" ht="17.25">
      <c r="A637" s="2"/>
      <c r="B637" s="2"/>
      <c r="C637" s="2"/>
      <c r="D637" s="13"/>
      <c r="E637" s="10"/>
      <c r="F637" s="16"/>
      <c r="G637" s="2"/>
      <c r="H637" s="2"/>
      <c r="I637" s="2"/>
      <c r="J637" s="2"/>
      <c r="K637" s="2"/>
      <c r="L637" s="2"/>
    </row>
    <row x14ac:dyDescent="0.25" r="638" customHeight="1" ht="17.25">
      <c r="A638" s="2"/>
      <c r="B638" s="2"/>
      <c r="C638" s="2"/>
      <c r="D638" s="13"/>
      <c r="E638" s="10"/>
      <c r="F638" s="16"/>
      <c r="G638" s="2"/>
      <c r="H638" s="2"/>
      <c r="I638" s="2"/>
      <c r="J638" s="2"/>
      <c r="K638" s="2"/>
      <c r="L638" s="2"/>
    </row>
    <row x14ac:dyDescent="0.25" r="639" customHeight="1" ht="17.25">
      <c r="A639" s="2"/>
      <c r="B639" s="2"/>
      <c r="C639" s="2"/>
      <c r="D639" s="13"/>
      <c r="E639" s="10"/>
      <c r="F639" s="16"/>
      <c r="G639" s="2"/>
      <c r="H639" s="2"/>
      <c r="I639" s="2"/>
      <c r="J639" s="2"/>
      <c r="K639" s="2"/>
      <c r="L639" s="2"/>
    </row>
    <row x14ac:dyDescent="0.25" r="640" customHeight="1" ht="17.25">
      <c r="A640" s="2"/>
      <c r="B640" s="2"/>
      <c r="C640" s="2"/>
      <c r="D640" s="13"/>
      <c r="E640" s="10"/>
      <c r="F640" s="16"/>
      <c r="G640" s="2"/>
      <c r="H640" s="2"/>
      <c r="I640" s="2"/>
      <c r="J640" s="2"/>
      <c r="K640" s="2"/>
      <c r="L640" s="2"/>
    </row>
    <row x14ac:dyDescent="0.25" r="641" customHeight="1" ht="17.25">
      <c r="A641" s="2"/>
      <c r="B641" s="2"/>
      <c r="C641" s="2"/>
      <c r="D641" s="13"/>
      <c r="E641" s="10"/>
      <c r="F641" s="16"/>
      <c r="G641" s="2"/>
      <c r="H641" s="2"/>
      <c r="I641" s="2"/>
      <c r="J641" s="2"/>
      <c r="K641" s="2"/>
      <c r="L641" s="2"/>
    </row>
    <row x14ac:dyDescent="0.25" r="642" customHeight="1" ht="17.25">
      <c r="A642" s="2"/>
      <c r="B642" s="2"/>
      <c r="C642" s="2"/>
      <c r="D642" s="13"/>
      <c r="E642" s="10"/>
      <c r="F642" s="16"/>
      <c r="G642" s="2"/>
      <c r="H642" s="2"/>
      <c r="I642" s="2"/>
      <c r="J642" s="2"/>
      <c r="K642" s="2"/>
      <c r="L642" s="2"/>
    </row>
    <row x14ac:dyDescent="0.25" r="643" customHeight="1" ht="17.25">
      <c r="A643" s="2"/>
      <c r="B643" s="2"/>
      <c r="C643" s="2"/>
      <c r="D643" s="13"/>
      <c r="E643" s="10"/>
      <c r="F643" s="16"/>
      <c r="G643" s="2"/>
      <c r="H643" s="2"/>
      <c r="I643" s="2"/>
      <c r="J643" s="2"/>
      <c r="K643" s="2"/>
      <c r="L643" s="2"/>
    </row>
    <row x14ac:dyDescent="0.25" r="644" customHeight="1" ht="17.25">
      <c r="A644" s="2"/>
      <c r="B644" s="2"/>
      <c r="C644" s="2"/>
      <c r="D644" s="13"/>
      <c r="E644" s="10"/>
      <c r="F644" s="16"/>
      <c r="G644" s="2"/>
      <c r="H644" s="2"/>
      <c r="I644" s="2"/>
      <c r="J644" s="2"/>
      <c r="K644" s="2"/>
      <c r="L644" s="2"/>
    </row>
    <row x14ac:dyDescent="0.25" r="645" customHeight="1" ht="17.25">
      <c r="A645" s="2"/>
      <c r="B645" s="2"/>
      <c r="C645" s="2"/>
      <c r="D645" s="13"/>
      <c r="E645" s="10"/>
      <c r="F645" s="16"/>
      <c r="G645" s="2"/>
      <c r="H645" s="2"/>
      <c r="I645" s="2"/>
      <c r="J645" s="2"/>
      <c r="K645" s="2"/>
      <c r="L645" s="2"/>
    </row>
    <row x14ac:dyDescent="0.25" r="646" customHeight="1" ht="17.25">
      <c r="A646" s="2"/>
      <c r="B646" s="2"/>
      <c r="C646" s="2"/>
      <c r="D646" s="13"/>
      <c r="E646" s="10"/>
      <c r="F646" s="16"/>
      <c r="G646" s="2"/>
      <c r="H646" s="2"/>
      <c r="I646" s="2"/>
      <c r="J646" s="2"/>
      <c r="K646" s="2"/>
      <c r="L646" s="2"/>
    </row>
    <row x14ac:dyDescent="0.25" r="647" customHeight="1" ht="17.25">
      <c r="A647" s="2"/>
      <c r="B647" s="2"/>
      <c r="C647" s="2"/>
      <c r="D647" s="13"/>
      <c r="E647" s="10"/>
      <c r="F647" s="16"/>
      <c r="G647" s="2"/>
      <c r="H647" s="2"/>
      <c r="I647" s="2"/>
      <c r="J647" s="2"/>
      <c r="K647" s="2"/>
      <c r="L647" s="2"/>
    </row>
    <row x14ac:dyDescent="0.25" r="648" customHeight="1" ht="17.25">
      <c r="A648" s="2"/>
      <c r="B648" s="2"/>
      <c r="C648" s="2"/>
      <c r="D648" s="13"/>
      <c r="E648" s="10"/>
      <c r="F648" s="16"/>
      <c r="G648" s="2"/>
      <c r="H648" s="2"/>
      <c r="I648" s="2"/>
      <c r="J648" s="2"/>
      <c r="K648" s="2"/>
      <c r="L648" s="2"/>
    </row>
    <row x14ac:dyDescent="0.25" r="649" customHeight="1" ht="17.25">
      <c r="A649" s="2"/>
      <c r="B649" s="2"/>
      <c r="C649" s="2"/>
      <c r="D649" s="13"/>
      <c r="E649" s="10"/>
      <c r="F649" s="16"/>
      <c r="G649" s="2"/>
      <c r="H649" s="2"/>
      <c r="I649" s="2"/>
      <c r="J649" s="2"/>
      <c r="K649" s="2"/>
      <c r="L649" s="2"/>
    </row>
    <row x14ac:dyDescent="0.25" r="650" customHeight="1" ht="17.25">
      <c r="A650" s="2"/>
      <c r="B650" s="2"/>
      <c r="C650" s="2"/>
      <c r="D650" s="13"/>
      <c r="E650" s="10"/>
      <c r="F650" s="16"/>
      <c r="G650" s="2"/>
      <c r="H650" s="2"/>
      <c r="I650" s="2"/>
      <c r="J650" s="2"/>
      <c r="K650" s="2"/>
      <c r="L650" s="2"/>
    </row>
    <row x14ac:dyDescent="0.25" r="651" customHeight="1" ht="17.25">
      <c r="A651" s="2"/>
      <c r="B651" s="2"/>
      <c r="C651" s="2"/>
      <c r="D651" s="13"/>
      <c r="E651" s="10"/>
      <c r="F651" s="16"/>
      <c r="G651" s="2"/>
      <c r="H651" s="2"/>
      <c r="I651" s="2"/>
      <c r="J651" s="2"/>
      <c r="K651" s="2"/>
      <c r="L651" s="2"/>
    </row>
    <row x14ac:dyDescent="0.25" r="652" customHeight="1" ht="17.25">
      <c r="A652" s="2"/>
      <c r="B652" s="2"/>
      <c r="C652" s="2"/>
      <c r="D652" s="13"/>
      <c r="E652" s="10"/>
      <c r="F652" s="16"/>
      <c r="G652" s="2"/>
      <c r="H652" s="2"/>
      <c r="I652" s="2"/>
      <c r="J652" s="2"/>
      <c r="K652" s="2"/>
      <c r="L652" s="2"/>
    </row>
    <row x14ac:dyDescent="0.25" r="653" customHeight="1" ht="17.25">
      <c r="A653" s="2"/>
      <c r="B653" s="2"/>
      <c r="C653" s="2"/>
      <c r="D653" s="13"/>
      <c r="E653" s="10"/>
      <c r="F653" s="16"/>
      <c r="G653" s="2"/>
      <c r="H653" s="2"/>
      <c r="I653" s="2"/>
      <c r="J653" s="2"/>
      <c r="K653" s="2"/>
      <c r="L653" s="2"/>
    </row>
    <row x14ac:dyDescent="0.25" r="654" customHeight="1" ht="17.25">
      <c r="A654" s="2"/>
      <c r="B654" s="2"/>
      <c r="C654" s="2"/>
      <c r="D654" s="13"/>
      <c r="E654" s="10"/>
      <c r="F654" s="16"/>
      <c r="G654" s="2"/>
      <c r="H654" s="2"/>
      <c r="I654" s="2"/>
      <c r="J654" s="2"/>
      <c r="K654" s="2"/>
      <c r="L654" s="2"/>
    </row>
    <row x14ac:dyDescent="0.25" r="655" customHeight="1" ht="17.25">
      <c r="A655" s="2"/>
      <c r="B655" s="2"/>
      <c r="C655" s="2"/>
      <c r="D655" s="13"/>
      <c r="E655" s="10"/>
      <c r="F655" s="16"/>
      <c r="G655" s="2"/>
      <c r="H655" s="2"/>
      <c r="I655" s="2"/>
      <c r="J655" s="2"/>
      <c r="K655" s="2"/>
      <c r="L655" s="2"/>
    </row>
    <row x14ac:dyDescent="0.25" r="656" customHeight="1" ht="17.25">
      <c r="A656" s="2"/>
      <c r="B656" s="2"/>
      <c r="C656" s="2"/>
      <c r="D656" s="13"/>
      <c r="E656" s="10"/>
      <c r="F656" s="16"/>
      <c r="G656" s="2"/>
      <c r="H656" s="2"/>
      <c r="I656" s="2"/>
      <c r="J656" s="2"/>
      <c r="K656" s="2"/>
      <c r="L656" s="2"/>
    </row>
    <row x14ac:dyDescent="0.25" r="657" customHeight="1" ht="17.25">
      <c r="A657" s="2"/>
      <c r="B657" s="2"/>
      <c r="C657" s="2"/>
      <c r="D657" s="13"/>
      <c r="E657" s="10"/>
      <c r="F657" s="16"/>
      <c r="G657" s="2"/>
      <c r="H657" s="2"/>
      <c r="I657" s="2"/>
      <c r="J657" s="2"/>
      <c r="K657" s="2"/>
      <c r="L657" s="2"/>
    </row>
    <row x14ac:dyDescent="0.25" r="658" customHeight="1" ht="17.25">
      <c r="A658" s="2"/>
      <c r="B658" s="2"/>
      <c r="C658" s="2"/>
      <c r="D658" s="13"/>
      <c r="E658" s="10"/>
      <c r="F658" s="16"/>
      <c r="G658" s="2"/>
      <c r="H658" s="2"/>
      <c r="I658" s="2"/>
      <c r="J658" s="2"/>
      <c r="K658" s="2"/>
      <c r="L658" s="2"/>
    </row>
    <row x14ac:dyDescent="0.25" r="659" customHeight="1" ht="17.25">
      <c r="A659" s="2"/>
      <c r="B659" s="2"/>
      <c r="C659" s="2"/>
      <c r="D659" s="13"/>
      <c r="E659" s="10"/>
      <c r="F659" s="16"/>
      <c r="G659" s="2"/>
      <c r="H659" s="2"/>
      <c r="I659" s="2"/>
      <c r="J659" s="2"/>
      <c r="K659" s="2"/>
      <c r="L659" s="2"/>
    </row>
    <row x14ac:dyDescent="0.25" r="660" customHeight="1" ht="17.25">
      <c r="A660" s="2"/>
      <c r="B660" s="2"/>
      <c r="C660" s="2"/>
      <c r="D660" s="13"/>
      <c r="E660" s="10"/>
      <c r="F660" s="16"/>
      <c r="G660" s="2"/>
      <c r="H660" s="2"/>
      <c r="I660" s="2"/>
      <c r="J660" s="2"/>
      <c r="K660" s="2"/>
      <c r="L660" s="2"/>
    </row>
    <row x14ac:dyDescent="0.25" r="661" customHeight="1" ht="17.25">
      <c r="A661" s="2"/>
      <c r="B661" s="2"/>
      <c r="C661" s="2"/>
      <c r="D661" s="13"/>
      <c r="E661" s="10"/>
      <c r="F661" s="16"/>
      <c r="G661" s="2"/>
      <c r="H661" s="2"/>
      <c r="I661" s="2"/>
      <c r="J661" s="2"/>
      <c r="K661" s="2"/>
      <c r="L661" s="2"/>
    </row>
    <row x14ac:dyDescent="0.25" r="662" customHeight="1" ht="17.25">
      <c r="A662" s="2"/>
      <c r="B662" s="2"/>
      <c r="C662" s="2"/>
      <c r="D662" s="13"/>
      <c r="E662" s="10"/>
      <c r="F662" s="16"/>
      <c r="G662" s="2"/>
      <c r="H662" s="2"/>
      <c r="I662" s="2"/>
      <c r="J662" s="2"/>
      <c r="K662" s="2"/>
      <c r="L662" s="2"/>
    </row>
    <row x14ac:dyDescent="0.25" r="663" customHeight="1" ht="17.25">
      <c r="A663" s="2"/>
      <c r="B663" s="2"/>
      <c r="C663" s="2"/>
      <c r="D663" s="13"/>
      <c r="E663" s="10"/>
      <c r="F663" s="16"/>
      <c r="G663" s="2"/>
      <c r="H663" s="2"/>
      <c r="I663" s="2"/>
      <c r="J663" s="2"/>
      <c r="K663" s="2"/>
      <c r="L663" s="2"/>
    </row>
    <row x14ac:dyDescent="0.25" r="664" customHeight="1" ht="17.25">
      <c r="A664" s="2"/>
      <c r="B664" s="2"/>
      <c r="C664" s="2"/>
      <c r="D664" s="13"/>
      <c r="E664" s="10"/>
      <c r="F664" s="16"/>
      <c r="G664" s="2"/>
      <c r="H664" s="2"/>
      <c r="I664" s="2"/>
      <c r="J664" s="2"/>
      <c r="K664" s="2"/>
      <c r="L664" s="2"/>
    </row>
    <row x14ac:dyDescent="0.25" r="665" customHeight="1" ht="17.25">
      <c r="A665" s="2"/>
      <c r="B665" s="2"/>
      <c r="C665" s="2"/>
      <c r="D665" s="13"/>
      <c r="E665" s="10"/>
      <c r="F665" s="16"/>
      <c r="G665" s="2"/>
      <c r="H665" s="2"/>
      <c r="I665" s="2"/>
      <c r="J665" s="2"/>
      <c r="K665" s="2"/>
      <c r="L665" s="2"/>
    </row>
    <row x14ac:dyDescent="0.25" r="666" customHeight="1" ht="17.25">
      <c r="A666" s="2"/>
      <c r="B666" s="2"/>
      <c r="C666" s="2"/>
      <c r="D666" s="13"/>
      <c r="E666" s="10"/>
      <c r="F666" s="16"/>
      <c r="G666" s="2"/>
      <c r="H666" s="2"/>
      <c r="I666" s="2"/>
      <c r="J666" s="2"/>
      <c r="K666" s="2"/>
      <c r="L666" s="2"/>
    </row>
    <row x14ac:dyDescent="0.25" r="667" customHeight="1" ht="17.25">
      <c r="A667" s="2"/>
      <c r="B667" s="2"/>
      <c r="C667" s="2"/>
      <c r="D667" s="13"/>
      <c r="E667" s="10"/>
      <c r="F667" s="16"/>
      <c r="G667" s="2"/>
      <c r="H667" s="2"/>
      <c r="I667" s="2"/>
      <c r="J667" s="2"/>
      <c r="K667" s="2"/>
      <c r="L667" s="2"/>
    </row>
    <row x14ac:dyDescent="0.25" r="668" customHeight="1" ht="17.25">
      <c r="A668" s="2"/>
      <c r="B668" s="2"/>
      <c r="C668" s="2"/>
      <c r="D668" s="13"/>
      <c r="E668" s="10"/>
      <c r="F668" s="16"/>
      <c r="G668" s="2"/>
      <c r="H668" s="2"/>
      <c r="I668" s="2"/>
      <c r="J668" s="2"/>
      <c r="K668" s="2"/>
      <c r="L668" s="2"/>
    </row>
    <row x14ac:dyDescent="0.25" r="669" customHeight="1" ht="17.25">
      <c r="A669" s="2"/>
      <c r="B669" s="2"/>
      <c r="C669" s="2"/>
      <c r="D669" s="13"/>
      <c r="E669" s="10"/>
      <c r="F669" s="16"/>
      <c r="G669" s="2"/>
      <c r="H669" s="2"/>
      <c r="I669" s="2"/>
      <c r="J669" s="2"/>
      <c r="K669" s="2"/>
      <c r="L669" s="2"/>
    </row>
    <row x14ac:dyDescent="0.25" r="670" customHeight="1" ht="17.25">
      <c r="A670" s="2"/>
      <c r="B670" s="2"/>
      <c r="C670" s="2"/>
      <c r="D670" s="13"/>
      <c r="E670" s="10"/>
      <c r="F670" s="16"/>
      <c r="G670" s="2"/>
      <c r="H670" s="2"/>
      <c r="I670" s="2"/>
      <c r="J670" s="2"/>
      <c r="K670" s="2"/>
      <c r="L670" s="2"/>
    </row>
    <row x14ac:dyDescent="0.25" r="671" customHeight="1" ht="17.25">
      <c r="A671" s="2"/>
      <c r="B671" s="2"/>
      <c r="C671" s="2"/>
      <c r="D671" s="13"/>
      <c r="E671" s="10"/>
      <c r="F671" s="16"/>
      <c r="G671" s="2"/>
      <c r="H671" s="2"/>
      <c r="I671" s="2"/>
      <c r="J671" s="2"/>
      <c r="K671" s="2"/>
      <c r="L671" s="2"/>
    </row>
    <row x14ac:dyDescent="0.25" r="672" customHeight="1" ht="17.25">
      <c r="A672" s="2"/>
      <c r="B672" s="2"/>
      <c r="C672" s="2"/>
      <c r="D672" s="13"/>
      <c r="E672" s="10"/>
      <c r="F672" s="16"/>
      <c r="G672" s="2"/>
      <c r="H672" s="2"/>
      <c r="I672" s="2"/>
      <c r="J672" s="2"/>
      <c r="K672" s="2"/>
      <c r="L672" s="2"/>
    </row>
    <row x14ac:dyDescent="0.25" r="673" customHeight="1" ht="17.25">
      <c r="A673" s="2"/>
      <c r="B673" s="2"/>
      <c r="C673" s="2"/>
      <c r="D673" s="13"/>
      <c r="E673" s="10"/>
      <c r="F673" s="16"/>
      <c r="G673" s="2"/>
      <c r="H673" s="2"/>
      <c r="I673" s="2"/>
      <c r="J673" s="2"/>
      <c r="K673" s="2"/>
      <c r="L673" s="2"/>
    </row>
    <row x14ac:dyDescent="0.25" r="674" customHeight="1" ht="17.25">
      <c r="A674" s="2"/>
      <c r="B674" s="2"/>
      <c r="C674" s="2"/>
      <c r="D674" s="13"/>
      <c r="E674" s="10"/>
      <c r="F674" s="16"/>
      <c r="G674" s="2"/>
      <c r="H674" s="2"/>
      <c r="I674" s="2"/>
      <c r="J674" s="2"/>
      <c r="K674" s="2"/>
      <c r="L674" s="2"/>
    </row>
    <row x14ac:dyDescent="0.25" r="675" customHeight="1" ht="17.25">
      <c r="A675" s="2"/>
      <c r="B675" s="2"/>
      <c r="C675" s="2"/>
      <c r="D675" s="13"/>
      <c r="E675" s="10"/>
      <c r="F675" s="16"/>
      <c r="G675" s="2"/>
      <c r="H675" s="2"/>
      <c r="I675" s="2"/>
      <c r="J675" s="2"/>
      <c r="K675" s="2"/>
      <c r="L675" s="2"/>
    </row>
    <row x14ac:dyDescent="0.25" r="676" customHeight="1" ht="17.25">
      <c r="A676" s="2"/>
      <c r="B676" s="2"/>
      <c r="C676" s="2"/>
      <c r="D676" s="13"/>
      <c r="E676" s="10"/>
      <c r="F676" s="16"/>
      <c r="G676" s="2"/>
      <c r="H676" s="2"/>
      <c r="I676" s="2"/>
      <c r="J676" s="2"/>
      <c r="K676" s="2"/>
      <c r="L676" s="2"/>
    </row>
    <row x14ac:dyDescent="0.25" r="677" customHeight="1" ht="17.25">
      <c r="A677" s="2"/>
      <c r="B677" s="2"/>
      <c r="C677" s="2"/>
      <c r="D677" s="13"/>
      <c r="E677" s="10"/>
      <c r="F677" s="16"/>
      <c r="G677" s="2"/>
      <c r="H677" s="2"/>
      <c r="I677" s="2"/>
      <c r="J677" s="2"/>
      <c r="K677" s="2"/>
      <c r="L677" s="2"/>
    </row>
    <row x14ac:dyDescent="0.25" r="678" customHeight="1" ht="17.25">
      <c r="A678" s="2"/>
      <c r="B678" s="2"/>
      <c r="C678" s="2"/>
      <c r="D678" s="13"/>
      <c r="E678" s="10"/>
      <c r="F678" s="16"/>
      <c r="G678" s="2"/>
      <c r="H678" s="2"/>
      <c r="I678" s="2"/>
      <c r="J678" s="2"/>
      <c r="K678" s="2"/>
      <c r="L678" s="2"/>
    </row>
    <row x14ac:dyDescent="0.25" r="679" customHeight="1" ht="17.25">
      <c r="A679" s="2"/>
      <c r="B679" s="2"/>
      <c r="C679" s="2"/>
      <c r="D679" s="13"/>
      <c r="E679" s="10"/>
      <c r="F679" s="16"/>
      <c r="G679" s="2"/>
      <c r="H679" s="2"/>
      <c r="I679" s="2"/>
      <c r="J679" s="2"/>
      <c r="K679" s="2"/>
      <c r="L679" s="2"/>
    </row>
    <row x14ac:dyDescent="0.25" r="680" customHeight="1" ht="17.25">
      <c r="A680" s="2"/>
      <c r="B680" s="2"/>
      <c r="C680" s="2"/>
      <c r="D680" s="13"/>
      <c r="E680" s="10"/>
      <c r="F680" s="16"/>
      <c r="G680" s="2"/>
      <c r="H680" s="2"/>
      <c r="I680" s="2"/>
      <c r="J680" s="2"/>
      <c r="K680" s="2"/>
      <c r="L680" s="2"/>
    </row>
    <row x14ac:dyDescent="0.25" r="681" customHeight="1" ht="17.25">
      <c r="A681" s="2"/>
      <c r="B681" s="2"/>
      <c r="C681" s="2"/>
      <c r="D681" s="13"/>
      <c r="E681" s="10"/>
      <c r="F681" s="16"/>
      <c r="G681" s="2"/>
      <c r="H681" s="2"/>
      <c r="I681" s="2"/>
      <c r="J681" s="2"/>
      <c r="K681" s="2"/>
      <c r="L681" s="2"/>
    </row>
    <row x14ac:dyDescent="0.25" r="682" customHeight="1" ht="17.25">
      <c r="A682" s="2"/>
      <c r="B682" s="2"/>
      <c r="C682" s="2"/>
      <c r="D682" s="13"/>
      <c r="E682" s="10"/>
      <c r="F682" s="16"/>
      <c r="G682" s="2"/>
      <c r="H682" s="2"/>
      <c r="I682" s="2"/>
      <c r="J682" s="2"/>
      <c r="K682" s="2"/>
      <c r="L682" s="2"/>
    </row>
    <row x14ac:dyDescent="0.25" r="683" customHeight="1" ht="17.25">
      <c r="A683" s="2"/>
      <c r="B683" s="2"/>
      <c r="C683" s="2"/>
      <c r="D683" s="13"/>
      <c r="E683" s="10"/>
      <c r="F683" s="16"/>
      <c r="G683" s="2"/>
      <c r="H683" s="2"/>
      <c r="I683" s="2"/>
      <c r="J683" s="2"/>
      <c r="K683" s="2"/>
      <c r="L683" s="2"/>
    </row>
    <row x14ac:dyDescent="0.25" r="684" customHeight="1" ht="17.25">
      <c r="A684" s="2"/>
      <c r="B684" s="2"/>
      <c r="C684" s="2"/>
      <c r="D684" s="13"/>
      <c r="E684" s="10"/>
      <c r="F684" s="16"/>
      <c r="G684" s="2"/>
      <c r="H684" s="2"/>
      <c r="I684" s="2"/>
      <c r="J684" s="2"/>
      <c r="K684" s="2"/>
      <c r="L684" s="2"/>
    </row>
    <row x14ac:dyDescent="0.25" r="685" customHeight="1" ht="17.25">
      <c r="A685" s="2"/>
      <c r="B685" s="2"/>
      <c r="C685" s="2"/>
      <c r="D685" s="13"/>
      <c r="E685" s="10"/>
      <c r="F685" s="16"/>
      <c r="G685" s="2"/>
      <c r="H685" s="2"/>
      <c r="I685" s="2"/>
      <c r="J685" s="2"/>
      <c r="K685" s="2"/>
      <c r="L685" s="2"/>
    </row>
    <row x14ac:dyDescent="0.25" r="686" customHeight="1" ht="17.25">
      <c r="A686" s="2"/>
      <c r="B686" s="2"/>
      <c r="C686" s="2"/>
      <c r="D686" s="13"/>
      <c r="E686" s="10"/>
      <c r="F686" s="16"/>
      <c r="G686" s="2"/>
      <c r="H686" s="2"/>
      <c r="I686" s="2"/>
      <c r="J686" s="2"/>
      <c r="K686" s="2"/>
      <c r="L686" s="2"/>
    </row>
    <row x14ac:dyDescent="0.25" r="687" customHeight="1" ht="17.25">
      <c r="A687" s="2"/>
      <c r="B687" s="2"/>
      <c r="C687" s="2"/>
      <c r="D687" s="13"/>
      <c r="E687" s="10"/>
      <c r="F687" s="16"/>
      <c r="G687" s="2"/>
      <c r="H687" s="2"/>
      <c r="I687" s="2"/>
      <c r="J687" s="2"/>
      <c r="K687" s="2"/>
      <c r="L687" s="2"/>
    </row>
    <row x14ac:dyDescent="0.25" r="688" customHeight="1" ht="17.25">
      <c r="A688" s="2"/>
      <c r="B688" s="2"/>
      <c r="C688" s="2"/>
      <c r="D688" s="13"/>
      <c r="E688" s="10"/>
      <c r="F688" s="16"/>
      <c r="G688" s="2"/>
      <c r="H688" s="2"/>
      <c r="I688" s="2"/>
      <c r="J688" s="2"/>
      <c r="K688" s="2"/>
      <c r="L688" s="2"/>
    </row>
    <row x14ac:dyDescent="0.25" r="689" customHeight="1" ht="17.25">
      <c r="A689" s="2"/>
      <c r="B689" s="2"/>
      <c r="C689" s="2"/>
      <c r="D689" s="13"/>
      <c r="E689" s="10"/>
      <c r="F689" s="16"/>
      <c r="G689" s="2"/>
      <c r="H689" s="2"/>
      <c r="I689" s="2"/>
      <c r="J689" s="2"/>
      <c r="K689" s="2"/>
      <c r="L689" s="2"/>
    </row>
    <row x14ac:dyDescent="0.25" r="690" customHeight="1" ht="17.25">
      <c r="A690" s="2"/>
      <c r="B690" s="2"/>
      <c r="C690" s="2"/>
      <c r="D690" s="13"/>
      <c r="E690" s="10"/>
      <c r="F690" s="16"/>
      <c r="G690" s="2"/>
      <c r="H690" s="2"/>
      <c r="I690" s="2"/>
      <c r="J690" s="2"/>
      <c r="K690" s="2"/>
      <c r="L690" s="2"/>
    </row>
    <row x14ac:dyDescent="0.25" r="691" customHeight="1" ht="17.25">
      <c r="A691" s="2"/>
      <c r="B691" s="2"/>
      <c r="C691" s="2"/>
      <c r="D691" s="13"/>
      <c r="E691" s="10"/>
      <c r="F691" s="16"/>
      <c r="G691" s="2"/>
      <c r="H691" s="2"/>
      <c r="I691" s="2"/>
      <c r="J691" s="2"/>
      <c r="K691" s="2"/>
      <c r="L691" s="2"/>
    </row>
    <row x14ac:dyDescent="0.25" r="692" customHeight="1" ht="17.25">
      <c r="A692" s="2"/>
      <c r="B692" s="2"/>
      <c r="C692" s="2"/>
      <c r="D692" s="13"/>
      <c r="E692" s="10"/>
      <c r="F692" s="16"/>
      <c r="G692" s="2"/>
      <c r="H692" s="2"/>
      <c r="I692" s="2"/>
      <c r="J692" s="2"/>
      <c r="K692" s="2"/>
      <c r="L692" s="2"/>
    </row>
    <row x14ac:dyDescent="0.25" r="693" customHeight="1" ht="17.25">
      <c r="A693" s="2"/>
      <c r="B693" s="2"/>
      <c r="C693" s="2"/>
      <c r="D693" s="13"/>
      <c r="E693" s="10"/>
      <c r="F693" s="16"/>
      <c r="G693" s="2"/>
      <c r="H693" s="2"/>
      <c r="I693" s="2"/>
      <c r="J693" s="2"/>
      <c r="K693" s="2"/>
      <c r="L693" s="2"/>
    </row>
    <row x14ac:dyDescent="0.25" r="694" customHeight="1" ht="17.25">
      <c r="A694" s="2"/>
      <c r="B694" s="2"/>
      <c r="C694" s="2"/>
      <c r="D694" s="13"/>
      <c r="E694" s="10"/>
      <c r="F694" s="16"/>
      <c r="G694" s="2"/>
      <c r="H694" s="2"/>
      <c r="I694" s="2"/>
      <c r="J694" s="2"/>
      <c r="K694" s="2"/>
      <c r="L694" s="2"/>
    </row>
    <row x14ac:dyDescent="0.25" r="695" customHeight="1" ht="17.25">
      <c r="A695" s="2"/>
      <c r="B695" s="2"/>
      <c r="C695" s="2"/>
      <c r="D695" s="13"/>
      <c r="E695" s="10"/>
      <c r="F695" s="16"/>
      <c r="G695" s="2"/>
      <c r="H695" s="2"/>
      <c r="I695" s="2"/>
      <c r="J695" s="2"/>
      <c r="K695" s="2"/>
      <c r="L695" s="2"/>
    </row>
    <row x14ac:dyDescent="0.25" r="696" customHeight="1" ht="17.25">
      <c r="A696" s="2"/>
      <c r="B696" s="2"/>
      <c r="C696" s="2"/>
      <c r="D696" s="13"/>
      <c r="E696" s="10"/>
      <c r="F696" s="16"/>
      <c r="G696" s="2"/>
      <c r="H696" s="2"/>
      <c r="I696" s="2"/>
      <c r="J696" s="2"/>
      <c r="K696" s="2"/>
      <c r="L696" s="2"/>
    </row>
    <row x14ac:dyDescent="0.25" r="697" customHeight="1" ht="17.25">
      <c r="A697" s="2"/>
      <c r="B697" s="2"/>
      <c r="C697" s="2"/>
      <c r="D697" s="13"/>
      <c r="E697" s="10"/>
      <c r="F697" s="16"/>
      <c r="G697" s="2"/>
      <c r="H697" s="2"/>
      <c r="I697" s="2"/>
      <c r="J697" s="2"/>
      <c r="K697" s="2"/>
      <c r="L697" s="2"/>
    </row>
    <row x14ac:dyDescent="0.25" r="698" customHeight="1" ht="17.25">
      <c r="A698" s="2"/>
      <c r="B698" s="2"/>
      <c r="C698" s="2"/>
      <c r="D698" s="13"/>
      <c r="E698" s="10"/>
      <c r="F698" s="16"/>
      <c r="G698" s="2"/>
      <c r="H698" s="2"/>
      <c r="I698" s="2"/>
      <c r="J698" s="2"/>
      <c r="K698" s="2"/>
      <c r="L698" s="2"/>
    </row>
    <row x14ac:dyDescent="0.25" r="699" customHeight="1" ht="17.25">
      <c r="A699" s="2"/>
      <c r="B699" s="2"/>
      <c r="C699" s="2"/>
      <c r="D699" s="13"/>
      <c r="E699" s="10"/>
      <c r="F699" s="16"/>
      <c r="G699" s="2"/>
      <c r="H699" s="2"/>
      <c r="I699" s="2"/>
      <c r="J699" s="2"/>
      <c r="K699" s="2"/>
      <c r="L699" s="2"/>
    </row>
    <row x14ac:dyDescent="0.25" r="700" customHeight="1" ht="17.25">
      <c r="A700" s="2"/>
      <c r="B700" s="2"/>
      <c r="C700" s="2"/>
      <c r="D700" s="13"/>
      <c r="E700" s="10"/>
      <c r="F700" s="16"/>
      <c r="G700" s="2"/>
      <c r="H700" s="2"/>
      <c r="I700" s="2"/>
      <c r="J700" s="2"/>
      <c r="K700" s="2"/>
      <c r="L700" s="2"/>
    </row>
    <row x14ac:dyDescent="0.25" r="701" customHeight="1" ht="17.25">
      <c r="A701" s="2"/>
      <c r="B701" s="2"/>
      <c r="C701" s="2"/>
      <c r="D701" s="13"/>
      <c r="E701" s="10"/>
      <c r="F701" s="16"/>
      <c r="G701" s="2"/>
      <c r="H701" s="2"/>
      <c r="I701" s="2"/>
      <c r="J701" s="2"/>
      <c r="K701" s="2"/>
      <c r="L701" s="2"/>
    </row>
    <row x14ac:dyDescent="0.25" r="702" customHeight="1" ht="17.25">
      <c r="A702" s="2"/>
      <c r="B702" s="2"/>
      <c r="C702" s="2"/>
      <c r="D702" s="13"/>
      <c r="E702" s="10"/>
      <c r="F702" s="16"/>
      <c r="G702" s="2"/>
      <c r="H702" s="2"/>
      <c r="I702" s="2"/>
      <c r="J702" s="2"/>
      <c r="K702" s="2"/>
      <c r="L702" s="2"/>
    </row>
    <row x14ac:dyDescent="0.25" r="703" customHeight="1" ht="17.25">
      <c r="A703" s="2"/>
      <c r="B703" s="2"/>
      <c r="C703" s="2"/>
      <c r="D703" s="13"/>
      <c r="E703" s="10"/>
      <c r="F703" s="16"/>
      <c r="G703" s="2"/>
      <c r="H703" s="2"/>
      <c r="I703" s="2"/>
      <c r="J703" s="2"/>
      <c r="K703" s="2"/>
      <c r="L703" s="2"/>
    </row>
    <row x14ac:dyDescent="0.25" r="704" customHeight="1" ht="17.25">
      <c r="A704" s="2"/>
      <c r="B704" s="2"/>
      <c r="C704" s="2"/>
      <c r="D704" s="13"/>
      <c r="E704" s="10"/>
      <c r="F704" s="16"/>
      <c r="G704" s="2"/>
      <c r="H704" s="2"/>
      <c r="I704" s="2"/>
      <c r="J704" s="2"/>
      <c r="K704" s="2"/>
      <c r="L704" s="2"/>
    </row>
    <row x14ac:dyDescent="0.25" r="705" customHeight="1" ht="17.25">
      <c r="A705" s="2"/>
      <c r="B705" s="2"/>
      <c r="C705" s="2"/>
      <c r="D705" s="13"/>
      <c r="E705" s="10"/>
      <c r="F705" s="16"/>
      <c r="G705" s="2"/>
      <c r="H705" s="2"/>
      <c r="I705" s="2"/>
      <c r="J705" s="2"/>
      <c r="K705" s="2"/>
      <c r="L705" s="2"/>
    </row>
    <row x14ac:dyDescent="0.25" r="706" customHeight="1" ht="17.25">
      <c r="A706" s="2"/>
      <c r="B706" s="2"/>
      <c r="C706" s="2"/>
      <c r="D706" s="13"/>
      <c r="E706" s="10"/>
      <c r="F706" s="16"/>
      <c r="G706" s="2"/>
      <c r="H706" s="2"/>
      <c r="I706" s="2"/>
      <c r="J706" s="2"/>
      <c r="K706" s="2"/>
      <c r="L706" s="2"/>
    </row>
    <row x14ac:dyDescent="0.25" r="707" customHeight="1" ht="17.25">
      <c r="A707" s="2"/>
      <c r="B707" s="2"/>
      <c r="C707" s="2"/>
      <c r="D707" s="13"/>
      <c r="E707" s="10"/>
      <c r="F707" s="16"/>
      <c r="G707" s="2"/>
      <c r="H707" s="2"/>
      <c r="I707" s="2"/>
      <c r="J707" s="2"/>
      <c r="K707" s="2"/>
      <c r="L707" s="2"/>
    </row>
    <row x14ac:dyDescent="0.25" r="708" customHeight="1" ht="17.25">
      <c r="A708" s="2"/>
      <c r="B708" s="2"/>
      <c r="C708" s="2"/>
      <c r="D708" s="13"/>
      <c r="E708" s="10"/>
      <c r="F708" s="16"/>
      <c r="G708" s="2"/>
      <c r="H708" s="2"/>
      <c r="I708" s="2"/>
      <c r="J708" s="2"/>
      <c r="K708" s="2"/>
      <c r="L708" s="2"/>
    </row>
    <row x14ac:dyDescent="0.25" r="709" customHeight="1" ht="17.25">
      <c r="A709" s="2"/>
      <c r="B709" s="2"/>
      <c r="C709" s="2"/>
      <c r="D709" s="13"/>
      <c r="E709" s="10"/>
      <c r="F709" s="16"/>
      <c r="G709" s="2"/>
      <c r="H709" s="2"/>
      <c r="I709" s="2"/>
      <c r="J709" s="2"/>
      <c r="K709" s="2"/>
      <c r="L709" s="2"/>
    </row>
    <row x14ac:dyDescent="0.25" r="710" customHeight="1" ht="17.25">
      <c r="A710" s="2"/>
      <c r="B710" s="2"/>
      <c r="C710" s="2"/>
      <c r="D710" s="13"/>
      <c r="E710" s="10"/>
      <c r="F710" s="16"/>
      <c r="G710" s="2"/>
      <c r="H710" s="2"/>
      <c r="I710" s="2"/>
      <c r="J710" s="2"/>
      <c r="K710" s="2"/>
      <c r="L710" s="2"/>
    </row>
    <row x14ac:dyDescent="0.25" r="711" customHeight="1" ht="17.25">
      <c r="A711" s="2"/>
      <c r="B711" s="2"/>
      <c r="C711" s="2"/>
      <c r="D711" s="13"/>
      <c r="E711" s="10"/>
      <c r="F711" s="16"/>
      <c r="G711" s="2"/>
      <c r="H711" s="2"/>
      <c r="I711" s="2"/>
      <c r="J711" s="2"/>
      <c r="K711" s="2"/>
      <c r="L711" s="2"/>
    </row>
    <row x14ac:dyDescent="0.25" r="712" customHeight="1" ht="17.25">
      <c r="A712" s="2"/>
      <c r="B712" s="2"/>
      <c r="C712" s="2"/>
      <c r="D712" s="13"/>
      <c r="E712" s="10"/>
      <c r="F712" s="16"/>
      <c r="G712" s="2"/>
      <c r="H712" s="2"/>
      <c r="I712" s="2"/>
      <c r="J712" s="2"/>
      <c r="K712" s="2"/>
      <c r="L712" s="2"/>
    </row>
    <row x14ac:dyDescent="0.25" r="713" customHeight="1" ht="17.25">
      <c r="A713" s="2"/>
      <c r="B713" s="2"/>
      <c r="C713" s="2"/>
      <c r="D713" s="13"/>
      <c r="E713" s="10"/>
      <c r="F713" s="16"/>
      <c r="G713" s="2"/>
      <c r="H713" s="2"/>
      <c r="I713" s="2"/>
      <c r="J713" s="2"/>
      <c r="K713" s="2"/>
      <c r="L713" s="2"/>
    </row>
    <row x14ac:dyDescent="0.25" r="714" customHeight="1" ht="17.25">
      <c r="A714" s="2"/>
      <c r="B714" s="2"/>
      <c r="C714" s="2"/>
      <c r="D714" s="13"/>
      <c r="E714" s="10"/>
      <c r="F714" s="16"/>
      <c r="G714" s="2"/>
      <c r="H714" s="2"/>
      <c r="I714" s="2"/>
      <c r="J714" s="2"/>
      <c r="K714" s="2"/>
      <c r="L714" s="2"/>
    </row>
    <row x14ac:dyDescent="0.25" r="715" customHeight="1" ht="17.25">
      <c r="A715" s="2"/>
      <c r="B715" s="2"/>
      <c r="C715" s="2"/>
      <c r="D715" s="13"/>
      <c r="E715" s="10"/>
      <c r="F715" s="16"/>
      <c r="G715" s="2"/>
      <c r="H715" s="2"/>
      <c r="I715" s="2"/>
      <c r="J715" s="2"/>
      <c r="K715" s="2"/>
      <c r="L715" s="2"/>
    </row>
    <row x14ac:dyDescent="0.25" r="716" customHeight="1" ht="17.25">
      <c r="A716" s="2"/>
      <c r="B716" s="2"/>
      <c r="C716" s="2"/>
      <c r="D716" s="13"/>
      <c r="E716" s="10"/>
      <c r="F716" s="16"/>
      <c r="G716" s="2"/>
      <c r="H716" s="2"/>
      <c r="I716" s="2"/>
      <c r="J716" s="2"/>
      <c r="K716" s="2"/>
      <c r="L716" s="2"/>
    </row>
    <row x14ac:dyDescent="0.25" r="717" customHeight="1" ht="17.25">
      <c r="A717" s="2"/>
      <c r="B717" s="2"/>
      <c r="C717" s="2"/>
      <c r="D717" s="13"/>
      <c r="E717" s="10"/>
      <c r="F717" s="16"/>
      <c r="G717" s="2"/>
      <c r="H717" s="2"/>
      <c r="I717" s="2"/>
      <c r="J717" s="2"/>
      <c r="K717" s="2"/>
      <c r="L717" s="2"/>
    </row>
    <row x14ac:dyDescent="0.25" r="718" customHeight="1" ht="17.25">
      <c r="A718" s="2"/>
      <c r="B718" s="2"/>
      <c r="C718" s="2"/>
      <c r="D718" s="13"/>
      <c r="E718" s="10"/>
      <c r="F718" s="16"/>
      <c r="G718" s="2"/>
      <c r="H718" s="2"/>
      <c r="I718" s="2"/>
      <c r="J718" s="2"/>
      <c r="K718" s="2"/>
      <c r="L718" s="2"/>
    </row>
    <row x14ac:dyDescent="0.25" r="719" customHeight="1" ht="17.25">
      <c r="A719" s="2"/>
      <c r="B719" s="2"/>
      <c r="C719" s="2"/>
      <c r="D719" s="13"/>
      <c r="E719" s="10"/>
      <c r="F719" s="16"/>
      <c r="G719" s="2"/>
      <c r="H719" s="2"/>
      <c r="I719" s="2"/>
      <c r="J719" s="2"/>
      <c r="K719" s="2"/>
      <c r="L719" s="2"/>
    </row>
    <row x14ac:dyDescent="0.25" r="720" customHeight="1" ht="17.25">
      <c r="A720" s="2"/>
      <c r="B720" s="2"/>
      <c r="C720" s="2"/>
      <c r="D720" s="13"/>
      <c r="E720" s="10"/>
      <c r="F720" s="16"/>
      <c r="G720" s="2"/>
      <c r="H720" s="2"/>
      <c r="I720" s="2"/>
      <c r="J720" s="2"/>
      <c r="K720" s="2"/>
      <c r="L720" s="2"/>
    </row>
    <row x14ac:dyDescent="0.25" r="721" customHeight="1" ht="17.25">
      <c r="A721" s="2"/>
      <c r="B721" s="2"/>
      <c r="C721" s="2"/>
      <c r="D721" s="13"/>
      <c r="E721" s="10"/>
      <c r="F721" s="16"/>
      <c r="G721" s="2"/>
      <c r="H721" s="2"/>
      <c r="I721" s="2"/>
      <c r="J721" s="2"/>
      <c r="K721" s="2"/>
      <c r="L721" s="2"/>
    </row>
    <row x14ac:dyDescent="0.25" r="722" customHeight="1" ht="17.25">
      <c r="A722" s="2"/>
      <c r="B722" s="2"/>
      <c r="C722" s="2"/>
      <c r="D722" s="13"/>
      <c r="E722" s="10"/>
      <c r="F722" s="16"/>
      <c r="G722" s="2"/>
      <c r="H722" s="2"/>
      <c r="I722" s="2"/>
      <c r="J722" s="2"/>
      <c r="K722" s="2"/>
      <c r="L722" s="2"/>
    </row>
    <row x14ac:dyDescent="0.25" r="723" customHeight="1" ht="17.25">
      <c r="A723" s="2"/>
      <c r="B723" s="2"/>
      <c r="C723" s="2"/>
      <c r="D723" s="13"/>
      <c r="E723" s="10"/>
      <c r="F723" s="16"/>
      <c r="G723" s="2"/>
      <c r="H723" s="2"/>
      <c r="I723" s="2"/>
      <c r="J723" s="2"/>
      <c r="K723" s="2"/>
      <c r="L723" s="2"/>
    </row>
    <row x14ac:dyDescent="0.25" r="724" customHeight="1" ht="17.25">
      <c r="A724" s="2"/>
      <c r="B724" s="2"/>
      <c r="C724" s="2"/>
      <c r="D724" s="13"/>
      <c r="E724" s="10"/>
      <c r="F724" s="16"/>
      <c r="G724" s="2"/>
      <c r="H724" s="2"/>
      <c r="I724" s="2"/>
      <c r="J724" s="2"/>
      <c r="K724" s="2"/>
      <c r="L724" s="2"/>
    </row>
    <row x14ac:dyDescent="0.25" r="725" customHeight="1" ht="17.25">
      <c r="A725" s="2"/>
      <c r="B725" s="2"/>
      <c r="C725" s="2"/>
      <c r="D725" s="13"/>
      <c r="E725" s="10"/>
      <c r="F725" s="16"/>
      <c r="G725" s="2"/>
      <c r="H725" s="2"/>
      <c r="I725" s="2"/>
      <c r="J725" s="2"/>
      <c r="K725" s="2"/>
      <c r="L725" s="2"/>
    </row>
    <row x14ac:dyDescent="0.25" r="726" customHeight="1" ht="17.25">
      <c r="A726" s="2"/>
      <c r="B726" s="2"/>
      <c r="C726" s="2"/>
      <c r="D726" s="13"/>
      <c r="E726" s="10"/>
      <c r="F726" s="16"/>
      <c r="G726" s="2"/>
      <c r="H726" s="2"/>
      <c r="I726" s="2"/>
      <c r="J726" s="2"/>
      <c r="K726" s="2"/>
      <c r="L726" s="2"/>
    </row>
    <row x14ac:dyDescent="0.25" r="727" customHeight="1" ht="17.25">
      <c r="A727" s="2"/>
      <c r="B727" s="2"/>
      <c r="C727" s="2"/>
      <c r="D727" s="13"/>
      <c r="E727" s="10"/>
      <c r="F727" s="16"/>
      <c r="G727" s="2"/>
      <c r="H727" s="2"/>
      <c r="I727" s="2"/>
      <c r="J727" s="2"/>
      <c r="K727" s="2"/>
      <c r="L727" s="2"/>
    </row>
    <row x14ac:dyDescent="0.25" r="728" customHeight="1" ht="17.25">
      <c r="A728" s="2"/>
      <c r="B728" s="2"/>
      <c r="C728" s="2"/>
      <c r="D728" s="13"/>
      <c r="E728" s="10"/>
      <c r="F728" s="16"/>
      <c r="G728" s="2"/>
      <c r="H728" s="2"/>
      <c r="I728" s="2"/>
      <c r="J728" s="2"/>
      <c r="K728" s="2"/>
      <c r="L728" s="2"/>
    </row>
    <row x14ac:dyDescent="0.25" r="729" customHeight="1" ht="17.25">
      <c r="A729" s="2"/>
      <c r="B729" s="2"/>
      <c r="C729" s="2"/>
      <c r="D729" s="13"/>
      <c r="E729" s="10"/>
      <c r="F729" s="16"/>
      <c r="G729" s="2"/>
      <c r="H729" s="2"/>
      <c r="I729" s="2"/>
      <c r="J729" s="2"/>
      <c r="K729" s="2"/>
      <c r="L729" s="2"/>
    </row>
    <row x14ac:dyDescent="0.25" r="730" customHeight="1" ht="17.25">
      <c r="A730" s="2"/>
      <c r="B730" s="2"/>
      <c r="C730" s="2"/>
      <c r="D730" s="13"/>
      <c r="E730" s="10"/>
      <c r="F730" s="16"/>
      <c r="G730" s="2"/>
      <c r="H730" s="2"/>
      <c r="I730" s="2"/>
      <c r="J730" s="2"/>
      <c r="K730" s="2"/>
      <c r="L730" s="2"/>
    </row>
    <row x14ac:dyDescent="0.25" r="731" customHeight="1" ht="17.25">
      <c r="A731" s="2"/>
      <c r="B731" s="2"/>
      <c r="C731" s="2"/>
      <c r="D731" s="13"/>
      <c r="E731" s="10"/>
      <c r="F731" s="16"/>
      <c r="G731" s="2"/>
      <c r="H731" s="2"/>
      <c r="I731" s="2"/>
      <c r="J731" s="2"/>
      <c r="K731" s="2"/>
      <c r="L731" s="2"/>
    </row>
    <row x14ac:dyDescent="0.25" r="732" customHeight="1" ht="17.25">
      <c r="A732" s="2"/>
      <c r="B732" s="2"/>
      <c r="C732" s="2"/>
      <c r="D732" s="13"/>
      <c r="E732" s="10"/>
      <c r="F732" s="16"/>
      <c r="G732" s="2"/>
      <c r="H732" s="2"/>
      <c r="I732" s="2"/>
      <c r="J732" s="2"/>
      <c r="K732" s="2"/>
      <c r="L732" s="2"/>
    </row>
    <row x14ac:dyDescent="0.25" r="733" customHeight="1" ht="17.25">
      <c r="A733" s="2"/>
      <c r="B733" s="2"/>
      <c r="C733" s="2"/>
      <c r="D733" s="13"/>
      <c r="E733" s="10"/>
      <c r="F733" s="16"/>
      <c r="G733" s="2"/>
      <c r="H733" s="2"/>
      <c r="I733" s="2"/>
      <c r="J733" s="2"/>
      <c r="K733" s="2"/>
      <c r="L733" s="2"/>
    </row>
    <row x14ac:dyDescent="0.25" r="734" customHeight="1" ht="17.25">
      <c r="A734" s="2"/>
      <c r="B734" s="2"/>
      <c r="C734" s="2"/>
      <c r="D734" s="13"/>
      <c r="E734" s="10"/>
      <c r="F734" s="16"/>
      <c r="G734" s="2"/>
      <c r="H734" s="2"/>
      <c r="I734" s="2"/>
      <c r="J734" s="2"/>
      <c r="K734" s="2"/>
      <c r="L734" s="2"/>
    </row>
    <row x14ac:dyDescent="0.25" r="735" customHeight="1" ht="17.25">
      <c r="A735" s="2"/>
      <c r="B735" s="2"/>
      <c r="C735" s="2"/>
      <c r="D735" s="13"/>
      <c r="E735" s="10"/>
      <c r="F735" s="16"/>
      <c r="G735" s="2"/>
      <c r="H735" s="2"/>
      <c r="I735" s="2"/>
      <c r="J735" s="2"/>
      <c r="K735" s="2"/>
      <c r="L735" s="2"/>
    </row>
    <row x14ac:dyDescent="0.25" r="736" customHeight="1" ht="17.25">
      <c r="A736" s="2"/>
      <c r="B736" s="2"/>
      <c r="C736" s="2"/>
      <c r="D736" s="13"/>
      <c r="E736" s="10"/>
      <c r="F736" s="16"/>
      <c r="G736" s="2"/>
      <c r="H736" s="2"/>
      <c r="I736" s="2"/>
      <c r="J736" s="2"/>
      <c r="K736" s="2"/>
      <c r="L736" s="2"/>
    </row>
    <row x14ac:dyDescent="0.25" r="737" customHeight="1" ht="17.25">
      <c r="A737" s="2"/>
      <c r="B737" s="2"/>
      <c r="C737" s="2"/>
      <c r="D737" s="13"/>
      <c r="E737" s="10"/>
      <c r="F737" s="16"/>
      <c r="G737" s="2"/>
      <c r="H737" s="2"/>
      <c r="I737" s="2"/>
      <c r="J737" s="2"/>
      <c r="K737" s="2"/>
      <c r="L737" s="2"/>
    </row>
    <row x14ac:dyDescent="0.25" r="738" customHeight="1" ht="17.25">
      <c r="A738" s="2"/>
      <c r="B738" s="2"/>
      <c r="C738" s="2"/>
      <c r="D738" s="13"/>
      <c r="E738" s="10"/>
      <c r="F738" s="16"/>
      <c r="G738" s="2"/>
      <c r="H738" s="2"/>
      <c r="I738" s="2"/>
      <c r="J738" s="2"/>
      <c r="K738" s="2"/>
      <c r="L738" s="2"/>
    </row>
    <row x14ac:dyDescent="0.25" r="739" customHeight="1" ht="17.25">
      <c r="A739" s="2"/>
      <c r="B739" s="2"/>
      <c r="C739" s="2"/>
      <c r="D739" s="13"/>
      <c r="E739" s="10"/>
      <c r="F739" s="16"/>
      <c r="G739" s="2"/>
      <c r="H739" s="2"/>
      <c r="I739" s="2"/>
      <c r="J739" s="2"/>
      <c r="K739" s="2"/>
      <c r="L739" s="2"/>
    </row>
    <row x14ac:dyDescent="0.25" r="740" customHeight="1" ht="17.25">
      <c r="A740" s="2"/>
      <c r="B740" s="2"/>
      <c r="C740" s="2"/>
      <c r="D740" s="13"/>
      <c r="E740" s="10"/>
      <c r="F740" s="16"/>
      <c r="G740" s="2"/>
      <c r="H740" s="2"/>
      <c r="I740" s="2"/>
      <c r="J740" s="2"/>
      <c r="K740" s="2"/>
      <c r="L740" s="2"/>
    </row>
    <row x14ac:dyDescent="0.25" r="741" customHeight="1" ht="17.25">
      <c r="A741" s="2"/>
      <c r="B741" s="2"/>
      <c r="C741" s="2"/>
      <c r="D741" s="13"/>
      <c r="E741" s="10"/>
      <c r="F741" s="16"/>
      <c r="G741" s="2"/>
      <c r="H741" s="2"/>
      <c r="I741" s="2"/>
      <c r="J741" s="2"/>
      <c r="K741" s="2"/>
      <c r="L741" s="2"/>
    </row>
    <row x14ac:dyDescent="0.25" r="742" customHeight="1" ht="17.25">
      <c r="A742" s="2"/>
      <c r="B742" s="2"/>
      <c r="C742" s="2"/>
      <c r="D742" s="13"/>
      <c r="E742" s="10"/>
      <c r="F742" s="16"/>
      <c r="G742" s="2"/>
      <c r="H742" s="2"/>
      <c r="I742" s="2"/>
      <c r="J742" s="2"/>
      <c r="K742" s="2"/>
      <c r="L742" s="2"/>
    </row>
    <row x14ac:dyDescent="0.25" r="743" customHeight="1" ht="17.25">
      <c r="A743" s="2"/>
      <c r="B743" s="2"/>
      <c r="C743" s="2"/>
      <c r="D743" s="13"/>
      <c r="E743" s="10"/>
      <c r="F743" s="16"/>
      <c r="G743" s="2"/>
      <c r="H743" s="2"/>
      <c r="I743" s="2"/>
      <c r="J743" s="2"/>
      <c r="K743" s="2"/>
      <c r="L743" s="2"/>
    </row>
    <row x14ac:dyDescent="0.25" r="744" customHeight="1" ht="17.25">
      <c r="A744" s="2"/>
      <c r="B744" s="2"/>
      <c r="C744" s="2"/>
      <c r="D744" s="13"/>
      <c r="E744" s="10"/>
      <c r="F744" s="16"/>
      <c r="G744" s="2"/>
      <c r="H744" s="2"/>
      <c r="I744" s="2"/>
      <c r="J744" s="2"/>
      <c r="K744" s="2"/>
      <c r="L744" s="2"/>
    </row>
    <row x14ac:dyDescent="0.25" r="745" customHeight="1" ht="17.25">
      <c r="A745" s="2"/>
      <c r="B745" s="2"/>
      <c r="C745" s="2"/>
      <c r="D745" s="13"/>
      <c r="E745" s="10"/>
      <c r="F745" s="16"/>
      <c r="G745" s="2"/>
      <c r="H745" s="2"/>
      <c r="I745" s="2"/>
      <c r="J745" s="2"/>
      <c r="K745" s="2"/>
      <c r="L745" s="2"/>
    </row>
    <row x14ac:dyDescent="0.25" r="746" customHeight="1" ht="17.25">
      <c r="A746" s="2"/>
      <c r="B746" s="2"/>
      <c r="C746" s="2"/>
      <c r="D746" s="13"/>
      <c r="E746" s="10"/>
      <c r="F746" s="16"/>
      <c r="G746" s="2"/>
      <c r="H746" s="2"/>
      <c r="I746" s="2"/>
      <c r="J746" s="2"/>
      <c r="K746" s="2"/>
      <c r="L746" s="2"/>
    </row>
    <row x14ac:dyDescent="0.25" r="747" customHeight="1" ht="17.25">
      <c r="A747" s="2"/>
      <c r="B747" s="2"/>
      <c r="C747" s="2"/>
      <c r="D747" s="13"/>
      <c r="E747" s="10"/>
      <c r="F747" s="16"/>
      <c r="G747" s="2"/>
      <c r="H747" s="2"/>
      <c r="I747" s="2"/>
      <c r="J747" s="2"/>
      <c r="K747" s="2"/>
      <c r="L747" s="2"/>
    </row>
    <row x14ac:dyDescent="0.25" r="748" customHeight="1" ht="17.25">
      <c r="A748" s="2"/>
      <c r="B748" s="2"/>
      <c r="C748" s="2"/>
      <c r="D748" s="13"/>
      <c r="E748" s="10"/>
      <c r="F748" s="16"/>
      <c r="G748" s="2"/>
      <c r="H748" s="2"/>
      <c r="I748" s="2"/>
      <c r="J748" s="2"/>
      <c r="K748" s="2"/>
      <c r="L748" s="2"/>
    </row>
    <row x14ac:dyDescent="0.25" r="749" customHeight="1" ht="17.25">
      <c r="A749" s="2"/>
      <c r="B749" s="2"/>
      <c r="C749" s="2"/>
      <c r="D749" s="13"/>
      <c r="E749" s="10"/>
      <c r="F749" s="16"/>
      <c r="G749" s="2"/>
      <c r="H749" s="2"/>
      <c r="I749" s="2"/>
      <c r="J749" s="2"/>
      <c r="K749" s="2"/>
      <c r="L749" s="2"/>
    </row>
    <row x14ac:dyDescent="0.25" r="750" customHeight="1" ht="17.25">
      <c r="A750" s="2"/>
      <c r="B750" s="2"/>
      <c r="C750" s="2"/>
      <c r="D750" s="13"/>
      <c r="E750" s="10"/>
      <c r="F750" s="16"/>
      <c r="G750" s="2"/>
      <c r="H750" s="2"/>
      <c r="I750" s="2"/>
      <c r="J750" s="2"/>
      <c r="K750" s="2"/>
      <c r="L750" s="2"/>
    </row>
    <row x14ac:dyDescent="0.25" r="751" customHeight="1" ht="17.25">
      <c r="A751" s="2"/>
      <c r="B751" s="2"/>
      <c r="C751" s="2"/>
      <c r="D751" s="13"/>
      <c r="E751" s="10"/>
      <c r="F751" s="16"/>
      <c r="G751" s="2"/>
      <c r="H751" s="2"/>
      <c r="I751" s="2"/>
      <c r="J751" s="2"/>
      <c r="K751" s="2"/>
      <c r="L751" s="2"/>
    </row>
    <row x14ac:dyDescent="0.25" r="752" customHeight="1" ht="17.25">
      <c r="A752" s="2"/>
      <c r="B752" s="2"/>
      <c r="C752" s="2"/>
      <c r="D752" s="13"/>
      <c r="E752" s="10"/>
      <c r="F752" s="16"/>
      <c r="G752" s="2"/>
      <c r="H752" s="2"/>
      <c r="I752" s="2"/>
      <c r="J752" s="2"/>
      <c r="K752" s="2"/>
      <c r="L752" s="2"/>
    </row>
    <row x14ac:dyDescent="0.25" r="753" customHeight="1" ht="17.25">
      <c r="A753" s="2"/>
      <c r="B753" s="2"/>
      <c r="C753" s="2"/>
      <c r="D753" s="13"/>
      <c r="E753" s="10"/>
      <c r="F753" s="16"/>
      <c r="G753" s="2"/>
      <c r="H753" s="2"/>
      <c r="I753" s="2"/>
      <c r="J753" s="2"/>
      <c r="K753" s="2"/>
      <c r="L753" s="2"/>
    </row>
    <row x14ac:dyDescent="0.25" r="754" customHeight="1" ht="17.25">
      <c r="A754" s="2"/>
      <c r="B754" s="2"/>
      <c r="C754" s="2"/>
      <c r="D754" s="13"/>
      <c r="E754" s="10"/>
      <c r="F754" s="16"/>
      <c r="G754" s="2"/>
      <c r="H754" s="2"/>
      <c r="I754" s="2"/>
      <c r="J754" s="2"/>
      <c r="K754" s="2"/>
      <c r="L754" s="2"/>
    </row>
    <row x14ac:dyDescent="0.25" r="755" customHeight="1" ht="17.25">
      <c r="A755" s="2"/>
      <c r="B755" s="2"/>
      <c r="C755" s="2"/>
      <c r="D755" s="13"/>
      <c r="E755" s="10"/>
      <c r="F755" s="16"/>
      <c r="G755" s="2"/>
      <c r="H755" s="2"/>
      <c r="I755" s="2"/>
      <c r="J755" s="2"/>
      <c r="K755" s="2"/>
      <c r="L755" s="2"/>
    </row>
    <row x14ac:dyDescent="0.25" r="756" customHeight="1" ht="17.25">
      <c r="A756" s="2"/>
      <c r="B756" s="2"/>
      <c r="C756" s="2"/>
      <c r="D756" s="13"/>
      <c r="E756" s="10"/>
      <c r="F756" s="16"/>
      <c r="G756" s="2"/>
      <c r="H756" s="2"/>
      <c r="I756" s="2"/>
      <c r="J756" s="2"/>
      <c r="K756" s="2"/>
      <c r="L756" s="2"/>
    </row>
    <row x14ac:dyDescent="0.25" r="757" customHeight="1" ht="17.25">
      <c r="A757" s="2"/>
      <c r="B757" s="2"/>
      <c r="C757" s="2"/>
      <c r="D757" s="13"/>
      <c r="E757" s="10"/>
      <c r="F757" s="16"/>
      <c r="G757" s="2"/>
      <c r="H757" s="2"/>
      <c r="I757" s="2"/>
      <c r="J757" s="2"/>
      <c r="K757" s="2"/>
      <c r="L757" s="2"/>
    </row>
    <row x14ac:dyDescent="0.25" r="758" customHeight="1" ht="17.25">
      <c r="A758" s="2"/>
      <c r="B758" s="2"/>
      <c r="C758" s="2"/>
      <c r="D758" s="13"/>
      <c r="E758" s="10"/>
      <c r="F758" s="16"/>
      <c r="G758" s="2"/>
      <c r="H758" s="2"/>
      <c r="I758" s="2"/>
      <c r="J758" s="2"/>
      <c r="K758" s="2"/>
      <c r="L758" s="2"/>
    </row>
    <row x14ac:dyDescent="0.25" r="759" customHeight="1" ht="17.25">
      <c r="A759" s="2"/>
      <c r="B759" s="2"/>
      <c r="C759" s="2"/>
      <c r="D759" s="13"/>
      <c r="E759" s="10"/>
      <c r="F759" s="16"/>
      <c r="G759" s="2"/>
      <c r="H759" s="2"/>
      <c r="I759" s="2"/>
      <c r="J759" s="2"/>
      <c r="K759" s="2"/>
      <c r="L759" s="2"/>
    </row>
    <row x14ac:dyDescent="0.25" r="760" customHeight="1" ht="17.25">
      <c r="A760" s="2"/>
      <c r="B760" s="2"/>
      <c r="C760" s="2"/>
      <c r="D760" s="13"/>
      <c r="E760" s="10"/>
      <c r="F760" s="16"/>
      <c r="G760" s="2"/>
      <c r="H760" s="2"/>
      <c r="I760" s="2"/>
      <c r="J760" s="2"/>
      <c r="K760" s="2"/>
      <c r="L760" s="2"/>
    </row>
    <row x14ac:dyDescent="0.25" r="761" customHeight="1" ht="17.25">
      <c r="A761" s="2"/>
      <c r="B761" s="2"/>
      <c r="C761" s="2"/>
      <c r="D761" s="13"/>
      <c r="E761" s="10"/>
      <c r="F761" s="16"/>
      <c r="G761" s="2"/>
      <c r="H761" s="2"/>
      <c r="I761" s="2"/>
      <c r="J761" s="2"/>
      <c r="K761" s="2"/>
      <c r="L761" s="2"/>
    </row>
    <row x14ac:dyDescent="0.25" r="762" customHeight="1" ht="17.25">
      <c r="A762" s="2"/>
      <c r="B762" s="2"/>
      <c r="C762" s="2"/>
      <c r="D762" s="13"/>
      <c r="E762" s="10"/>
      <c r="F762" s="16"/>
      <c r="G762" s="2"/>
      <c r="H762" s="2"/>
      <c r="I762" s="2"/>
      <c r="J762" s="2"/>
      <c r="K762" s="2"/>
      <c r="L762" s="2"/>
    </row>
    <row x14ac:dyDescent="0.25" r="763" customHeight="1" ht="17.25">
      <c r="A763" s="2"/>
      <c r="B763" s="2"/>
      <c r="C763" s="2"/>
      <c r="D763" s="13"/>
      <c r="E763" s="10"/>
      <c r="F763" s="16"/>
      <c r="G763" s="2"/>
      <c r="H763" s="2"/>
      <c r="I763" s="2"/>
      <c r="J763" s="2"/>
      <c r="K763" s="2"/>
      <c r="L763" s="2"/>
    </row>
    <row x14ac:dyDescent="0.25" r="764" customHeight="1" ht="17.25">
      <c r="A764" s="2"/>
      <c r="B764" s="2"/>
      <c r="C764" s="2"/>
      <c r="D764" s="13"/>
      <c r="E764" s="10"/>
      <c r="F764" s="16"/>
      <c r="G764" s="2"/>
      <c r="H764" s="2"/>
      <c r="I764" s="2"/>
      <c r="J764" s="2"/>
      <c r="K764" s="2"/>
      <c r="L764" s="2"/>
    </row>
    <row x14ac:dyDescent="0.25" r="765" customHeight="1" ht="17.25">
      <c r="A765" s="2"/>
      <c r="B765" s="2"/>
      <c r="C765" s="2"/>
      <c r="D765" s="13"/>
      <c r="E765" s="10"/>
      <c r="F765" s="16"/>
      <c r="G765" s="2"/>
      <c r="H765" s="2"/>
      <c r="I765" s="2"/>
      <c r="J765" s="2"/>
      <c r="K765" s="2"/>
      <c r="L765" s="2"/>
    </row>
    <row x14ac:dyDescent="0.25" r="766" customHeight="1" ht="17.25">
      <c r="A766" s="2"/>
      <c r="B766" s="2"/>
      <c r="C766" s="2"/>
      <c r="D766" s="13"/>
      <c r="E766" s="10"/>
      <c r="F766" s="16"/>
      <c r="G766" s="2"/>
      <c r="H766" s="2"/>
      <c r="I766" s="2"/>
      <c r="J766" s="2"/>
      <c r="K766" s="2"/>
      <c r="L766" s="2"/>
    </row>
    <row x14ac:dyDescent="0.25" r="767" customHeight="1" ht="17.25">
      <c r="A767" s="2"/>
      <c r="B767" s="2"/>
      <c r="C767" s="2"/>
      <c r="D767" s="13"/>
      <c r="E767" s="10"/>
      <c r="F767" s="16"/>
      <c r="G767" s="2"/>
      <c r="H767" s="2"/>
      <c r="I767" s="2"/>
      <c r="J767" s="2"/>
      <c r="K767" s="2"/>
      <c r="L767" s="2"/>
    </row>
    <row x14ac:dyDescent="0.25" r="768" customHeight="1" ht="17.25">
      <c r="A768" s="2"/>
      <c r="B768" s="2"/>
      <c r="C768" s="2"/>
      <c r="D768" s="13"/>
      <c r="E768" s="10"/>
      <c r="F768" s="16"/>
      <c r="G768" s="2"/>
      <c r="H768" s="2"/>
      <c r="I768" s="2"/>
      <c r="J768" s="2"/>
      <c r="K768" s="2"/>
      <c r="L768" s="2"/>
    </row>
    <row x14ac:dyDescent="0.25" r="769" customHeight="1" ht="17.25">
      <c r="A769" s="2"/>
      <c r="B769" s="2"/>
      <c r="C769" s="2"/>
      <c r="D769" s="13"/>
      <c r="E769" s="10"/>
      <c r="F769" s="16"/>
      <c r="G769" s="2"/>
      <c r="H769" s="2"/>
      <c r="I769" s="2"/>
      <c r="J769" s="2"/>
      <c r="K769" s="2"/>
      <c r="L769" s="2"/>
    </row>
    <row x14ac:dyDescent="0.25" r="770" customHeight="1" ht="17.25">
      <c r="A770" s="2"/>
      <c r="B770" s="2"/>
      <c r="C770" s="2"/>
      <c r="D770" s="13"/>
      <c r="E770" s="10"/>
      <c r="F770" s="16"/>
      <c r="G770" s="2"/>
      <c r="H770" s="2"/>
      <c r="I770" s="2"/>
      <c r="J770" s="2"/>
      <c r="K770" s="2"/>
      <c r="L770" s="2"/>
    </row>
    <row x14ac:dyDescent="0.25" r="771" customHeight="1" ht="17.25">
      <c r="A771" s="2"/>
      <c r="B771" s="2"/>
      <c r="C771" s="2"/>
      <c r="D771" s="13"/>
      <c r="E771" s="10"/>
      <c r="F771" s="16"/>
      <c r="G771" s="2"/>
      <c r="H771" s="2"/>
      <c r="I771" s="2"/>
      <c r="J771" s="2"/>
      <c r="K771" s="2"/>
      <c r="L771" s="2"/>
    </row>
    <row x14ac:dyDescent="0.25" r="772" customHeight="1" ht="17.25">
      <c r="A772" s="2"/>
      <c r="B772" s="2"/>
      <c r="C772" s="2"/>
      <c r="D772" s="13"/>
      <c r="E772" s="10"/>
      <c r="F772" s="16"/>
      <c r="G772" s="2"/>
      <c r="H772" s="2"/>
      <c r="I772" s="2"/>
      <c r="J772" s="2"/>
      <c r="K772" s="2"/>
      <c r="L772" s="2"/>
    </row>
    <row x14ac:dyDescent="0.25" r="773" customHeight="1" ht="17.25">
      <c r="A773" s="2"/>
      <c r="B773" s="2"/>
      <c r="C773" s="2"/>
      <c r="D773" s="13"/>
      <c r="E773" s="10"/>
      <c r="F773" s="16"/>
      <c r="G773" s="2"/>
      <c r="H773" s="2"/>
      <c r="I773" s="2"/>
      <c r="J773" s="2"/>
      <c r="K773" s="2"/>
      <c r="L773" s="2"/>
    </row>
    <row x14ac:dyDescent="0.25" r="774" customHeight="1" ht="17.25">
      <c r="A774" s="2"/>
      <c r="B774" s="2"/>
      <c r="C774" s="2"/>
      <c r="D774" s="13"/>
      <c r="E774" s="10"/>
      <c r="F774" s="16"/>
      <c r="G774" s="2"/>
      <c r="H774" s="2"/>
      <c r="I774" s="2"/>
      <c r="J774" s="2"/>
      <c r="K774" s="2"/>
      <c r="L774" s="2"/>
    </row>
    <row x14ac:dyDescent="0.25" r="775" customHeight="1" ht="17.25">
      <c r="A775" s="2"/>
      <c r="B775" s="2"/>
      <c r="C775" s="2"/>
      <c r="D775" s="13"/>
      <c r="E775" s="10"/>
      <c r="F775" s="16"/>
      <c r="G775" s="2"/>
      <c r="H775" s="2"/>
      <c r="I775" s="2"/>
      <c r="J775" s="2"/>
      <c r="K775" s="2"/>
      <c r="L775" s="2"/>
    </row>
    <row x14ac:dyDescent="0.25" r="776" customHeight="1" ht="17.25">
      <c r="A776" s="2"/>
      <c r="B776" s="2"/>
      <c r="C776" s="2"/>
      <c r="D776" s="13"/>
      <c r="E776" s="10"/>
      <c r="F776" s="16"/>
      <c r="G776" s="2"/>
      <c r="H776" s="2"/>
      <c r="I776" s="2"/>
      <c r="J776" s="2"/>
      <c r="K776" s="2"/>
      <c r="L776" s="2"/>
    </row>
    <row x14ac:dyDescent="0.25" r="777" customHeight="1" ht="17.25">
      <c r="A777" s="2"/>
      <c r="B777" s="2"/>
      <c r="C777" s="2"/>
      <c r="D777" s="13"/>
      <c r="E777" s="10"/>
      <c r="F777" s="16"/>
      <c r="G777" s="2"/>
      <c r="H777" s="2"/>
      <c r="I777" s="2"/>
      <c r="J777" s="2"/>
      <c r="K777" s="2"/>
      <c r="L777" s="2"/>
    </row>
    <row x14ac:dyDescent="0.25" r="778" customHeight="1" ht="17.25">
      <c r="A778" s="2"/>
      <c r="B778" s="2"/>
      <c r="C778" s="2"/>
      <c r="D778" s="13"/>
      <c r="E778" s="10"/>
      <c r="F778" s="16"/>
      <c r="G778" s="2"/>
      <c r="H778" s="2"/>
      <c r="I778" s="2"/>
      <c r="J778" s="2"/>
      <c r="K778" s="2"/>
      <c r="L778" s="2"/>
    </row>
    <row x14ac:dyDescent="0.25" r="779" customHeight="1" ht="17.25">
      <c r="A779" s="2"/>
      <c r="B779" s="2"/>
      <c r="C779" s="2"/>
      <c r="D779" s="13"/>
      <c r="E779" s="10"/>
      <c r="F779" s="16"/>
      <c r="G779" s="2"/>
      <c r="H779" s="2"/>
      <c r="I779" s="2"/>
      <c r="J779" s="2"/>
      <c r="K779" s="2"/>
      <c r="L779" s="2"/>
    </row>
    <row x14ac:dyDescent="0.25" r="780" customHeight="1" ht="17.25">
      <c r="A780" s="2"/>
      <c r="B780" s="2"/>
      <c r="C780" s="2"/>
      <c r="D780" s="13"/>
      <c r="E780" s="10"/>
      <c r="F780" s="16"/>
      <c r="G780" s="2"/>
      <c r="H780" s="2"/>
      <c r="I780" s="2"/>
      <c r="J780" s="2"/>
      <c r="K780" s="2"/>
      <c r="L780" s="2"/>
    </row>
    <row x14ac:dyDescent="0.25" r="781" customHeight="1" ht="17.25">
      <c r="A781" s="2"/>
      <c r="B781" s="2"/>
      <c r="C781" s="2"/>
      <c r="D781" s="13"/>
      <c r="E781" s="10"/>
      <c r="F781" s="16"/>
      <c r="G781" s="2"/>
      <c r="H781" s="2"/>
      <c r="I781" s="2"/>
      <c r="J781" s="2"/>
      <c r="K781" s="2"/>
      <c r="L781" s="2"/>
    </row>
    <row x14ac:dyDescent="0.25" r="782" customHeight="1" ht="17.25">
      <c r="A782" s="2"/>
      <c r="B782" s="2"/>
      <c r="C782" s="2"/>
      <c r="D782" s="13"/>
      <c r="E782" s="10"/>
      <c r="F782" s="16"/>
      <c r="G782" s="2"/>
      <c r="H782" s="2"/>
      <c r="I782" s="2"/>
      <c r="J782" s="2"/>
      <c r="K782" s="2"/>
      <c r="L782" s="2"/>
    </row>
    <row x14ac:dyDescent="0.25" r="783" customHeight="1" ht="17.25">
      <c r="A783" s="2"/>
      <c r="B783" s="2"/>
      <c r="C783" s="2"/>
      <c r="D783" s="13"/>
      <c r="E783" s="10"/>
      <c r="F783" s="16"/>
      <c r="G783" s="2"/>
      <c r="H783" s="2"/>
      <c r="I783" s="2"/>
      <c r="J783" s="2"/>
      <c r="K783" s="2"/>
      <c r="L783" s="2"/>
    </row>
    <row x14ac:dyDescent="0.25" r="784" customHeight="1" ht="17.25">
      <c r="A784" s="2"/>
      <c r="B784" s="2"/>
      <c r="C784" s="2"/>
      <c r="D784" s="13"/>
      <c r="E784" s="10"/>
      <c r="F784" s="16"/>
      <c r="G784" s="2"/>
      <c r="H784" s="2"/>
      <c r="I784" s="2"/>
      <c r="J784" s="2"/>
      <c r="K784" s="2"/>
      <c r="L784" s="2"/>
    </row>
    <row x14ac:dyDescent="0.25" r="785" customHeight="1" ht="17.25">
      <c r="A785" s="2"/>
      <c r="B785" s="2"/>
      <c r="C785" s="2"/>
      <c r="D785" s="13"/>
      <c r="E785" s="10"/>
      <c r="F785" s="16"/>
      <c r="G785" s="2"/>
      <c r="H785" s="2"/>
      <c r="I785" s="2"/>
      <c r="J785" s="2"/>
      <c r="K785" s="2"/>
      <c r="L785" s="2"/>
    </row>
    <row x14ac:dyDescent="0.25" r="786" customHeight="1" ht="17.25">
      <c r="A786" s="2"/>
      <c r="B786" s="2"/>
      <c r="C786" s="2"/>
      <c r="D786" s="13"/>
      <c r="E786" s="10"/>
      <c r="F786" s="16"/>
      <c r="G786" s="2"/>
      <c r="H786" s="2"/>
      <c r="I786" s="2"/>
      <c r="J786" s="2"/>
      <c r="K786" s="2"/>
      <c r="L786" s="2"/>
    </row>
    <row x14ac:dyDescent="0.25" r="787" customHeight="1" ht="17.25">
      <c r="A787" s="2"/>
      <c r="B787" s="2"/>
      <c r="C787" s="2"/>
      <c r="D787" s="13"/>
      <c r="E787" s="10"/>
      <c r="F787" s="16"/>
      <c r="G787" s="2"/>
      <c r="H787" s="2"/>
      <c r="I787" s="2"/>
      <c r="J787" s="2"/>
      <c r="K787" s="2"/>
      <c r="L787" s="2"/>
    </row>
    <row x14ac:dyDescent="0.25" r="788" customHeight="1" ht="17.25">
      <c r="A788" s="2"/>
      <c r="B788" s="2"/>
      <c r="C788" s="2"/>
      <c r="D788" s="13"/>
      <c r="E788" s="10"/>
      <c r="F788" s="16"/>
      <c r="G788" s="2"/>
      <c r="H788" s="2"/>
      <c r="I788" s="2"/>
      <c r="J788" s="2"/>
      <c r="K788" s="2"/>
      <c r="L788" s="2"/>
    </row>
    <row x14ac:dyDescent="0.25" r="789" customHeight="1" ht="17.25">
      <c r="A789" s="2"/>
      <c r="B789" s="2"/>
      <c r="C789" s="2"/>
      <c r="D789" s="13"/>
      <c r="E789" s="10"/>
      <c r="F789" s="16"/>
      <c r="G789" s="2"/>
      <c r="H789" s="2"/>
      <c r="I789" s="2"/>
      <c r="J789" s="2"/>
      <c r="K789" s="2"/>
      <c r="L789" s="2"/>
    </row>
    <row x14ac:dyDescent="0.25" r="790" customHeight="1" ht="17.25">
      <c r="A790" s="2"/>
      <c r="B790" s="2"/>
      <c r="C790" s="2"/>
      <c r="D790" s="13"/>
      <c r="E790" s="10"/>
      <c r="F790" s="16"/>
      <c r="G790" s="2"/>
      <c r="H790" s="2"/>
      <c r="I790" s="2"/>
      <c r="J790" s="2"/>
      <c r="K790" s="2"/>
      <c r="L790" s="2"/>
    </row>
    <row x14ac:dyDescent="0.25" r="791" customHeight="1" ht="17.25">
      <c r="A791" s="2"/>
      <c r="B791" s="2"/>
      <c r="C791" s="2"/>
      <c r="D791" s="13"/>
      <c r="E791" s="10"/>
      <c r="F791" s="16"/>
      <c r="G791" s="2"/>
      <c r="H791" s="2"/>
      <c r="I791" s="2"/>
      <c r="J791" s="2"/>
      <c r="K791" s="2"/>
      <c r="L791" s="2"/>
    </row>
    <row x14ac:dyDescent="0.25" r="792" customHeight="1" ht="17.25">
      <c r="A792" s="2"/>
      <c r="B792" s="2"/>
      <c r="C792" s="2"/>
      <c r="D792" s="13"/>
      <c r="E792" s="10"/>
      <c r="F792" s="16"/>
      <c r="G792" s="2"/>
      <c r="H792" s="2"/>
      <c r="I792" s="2"/>
      <c r="J792" s="2"/>
      <c r="K792" s="2"/>
      <c r="L792" s="2"/>
    </row>
    <row x14ac:dyDescent="0.25" r="793" customHeight="1" ht="17.25">
      <c r="A793" s="2"/>
      <c r="B793" s="2"/>
      <c r="C793" s="2"/>
      <c r="D793" s="13"/>
      <c r="E793" s="10"/>
      <c r="F793" s="16"/>
      <c r="G793" s="2"/>
      <c r="H793" s="2"/>
      <c r="I793" s="2"/>
      <c r="J793" s="2"/>
      <c r="K793" s="2"/>
      <c r="L793" s="2"/>
    </row>
    <row x14ac:dyDescent="0.25" r="794" customHeight="1" ht="17.25">
      <c r="A794" s="2"/>
      <c r="B794" s="2"/>
      <c r="C794" s="2"/>
      <c r="D794" s="13"/>
      <c r="E794" s="10"/>
      <c r="F794" s="16"/>
      <c r="G794" s="2"/>
      <c r="H794" s="2"/>
      <c r="I794" s="2"/>
      <c r="J794" s="2"/>
      <c r="K794" s="2"/>
      <c r="L794" s="2"/>
    </row>
    <row x14ac:dyDescent="0.25" r="795" customHeight="1" ht="17.25">
      <c r="A795" s="2"/>
      <c r="B795" s="2"/>
      <c r="C795" s="2"/>
      <c r="D795" s="13"/>
      <c r="E795" s="10"/>
      <c r="F795" s="16"/>
      <c r="G795" s="2"/>
      <c r="H795" s="2"/>
      <c r="I795" s="2"/>
      <c r="J795" s="2"/>
      <c r="K795" s="2"/>
      <c r="L795" s="2"/>
    </row>
    <row x14ac:dyDescent="0.25" r="796" customHeight="1" ht="17.25">
      <c r="A796" s="2"/>
      <c r="B796" s="2"/>
      <c r="C796" s="2"/>
      <c r="D796" s="13"/>
      <c r="E796" s="10"/>
      <c r="F796" s="16"/>
      <c r="G796" s="2"/>
      <c r="H796" s="2"/>
      <c r="I796" s="2"/>
      <c r="J796" s="2"/>
      <c r="K796" s="2"/>
      <c r="L796" s="2"/>
    </row>
    <row x14ac:dyDescent="0.25" r="797" customHeight="1" ht="17.25">
      <c r="A797" s="2"/>
      <c r="B797" s="2"/>
      <c r="C797" s="2"/>
      <c r="D797" s="13"/>
      <c r="E797" s="10"/>
      <c r="F797" s="16"/>
      <c r="G797" s="2"/>
      <c r="H797" s="2"/>
      <c r="I797" s="2"/>
      <c r="J797" s="2"/>
      <c r="K797" s="2"/>
      <c r="L797" s="2"/>
    </row>
    <row x14ac:dyDescent="0.25" r="798" customHeight="1" ht="17.25">
      <c r="A798" s="2"/>
      <c r="B798" s="2"/>
      <c r="C798" s="2"/>
      <c r="D798" s="13"/>
      <c r="E798" s="10"/>
      <c r="F798" s="16"/>
      <c r="G798" s="2"/>
      <c r="H798" s="2"/>
      <c r="I798" s="2"/>
      <c r="J798" s="2"/>
      <c r="K798" s="2"/>
      <c r="L798" s="2"/>
    </row>
    <row x14ac:dyDescent="0.25" r="799" customHeight="1" ht="17.25">
      <c r="A799" s="2"/>
      <c r="B799" s="2"/>
      <c r="C799" s="2"/>
      <c r="D799" s="13"/>
      <c r="E799" s="10"/>
      <c r="F799" s="16"/>
      <c r="G799" s="2"/>
      <c r="H799" s="2"/>
      <c r="I799" s="2"/>
      <c r="J799" s="2"/>
      <c r="K799" s="2"/>
      <c r="L799" s="2"/>
    </row>
    <row x14ac:dyDescent="0.25" r="800" customHeight="1" ht="17.25">
      <c r="A800" s="2"/>
      <c r="B800" s="2"/>
      <c r="C800" s="2"/>
      <c r="D800" s="13"/>
      <c r="E800" s="10"/>
      <c r="F800" s="16"/>
      <c r="G800" s="2"/>
      <c r="H800" s="2"/>
      <c r="I800" s="2"/>
      <c r="J800" s="2"/>
      <c r="K800" s="2"/>
      <c r="L800" s="2"/>
    </row>
    <row x14ac:dyDescent="0.25" r="801" customHeight="1" ht="17.25">
      <c r="A801" s="2"/>
      <c r="B801" s="2"/>
      <c r="C801" s="2"/>
      <c r="D801" s="13"/>
      <c r="E801" s="10"/>
      <c r="F801" s="16"/>
      <c r="G801" s="2"/>
      <c r="H801" s="2"/>
      <c r="I801" s="2"/>
      <c r="J801" s="2"/>
      <c r="K801" s="2"/>
      <c r="L801" s="2"/>
    </row>
    <row x14ac:dyDescent="0.25" r="802" customHeight="1" ht="17.25">
      <c r="A802" s="2"/>
      <c r="B802" s="2"/>
      <c r="C802" s="2"/>
      <c r="D802" s="13"/>
      <c r="E802" s="10"/>
      <c r="F802" s="16"/>
      <c r="G802" s="2"/>
      <c r="H802" s="2"/>
      <c r="I802" s="2"/>
      <c r="J802" s="2"/>
      <c r="K802" s="2"/>
      <c r="L802" s="2"/>
    </row>
    <row x14ac:dyDescent="0.25" r="803" customHeight="1" ht="17.25">
      <c r="A803" s="2"/>
      <c r="B803" s="2"/>
      <c r="C803" s="2"/>
      <c r="D803" s="13"/>
      <c r="E803" s="10"/>
      <c r="F803" s="16"/>
      <c r="G803" s="2"/>
      <c r="H803" s="2"/>
      <c r="I803" s="2"/>
      <c r="J803" s="2"/>
      <c r="K803" s="2"/>
      <c r="L803" s="2"/>
    </row>
    <row x14ac:dyDescent="0.25" r="804" customHeight="1" ht="17.25">
      <c r="A804" s="2"/>
      <c r="B804" s="2"/>
      <c r="C804" s="2"/>
      <c r="D804" s="13"/>
      <c r="E804" s="10"/>
      <c r="F804" s="16"/>
      <c r="G804" s="2"/>
      <c r="H804" s="2"/>
      <c r="I804" s="2"/>
      <c r="J804" s="2"/>
      <c r="K804" s="2"/>
      <c r="L804" s="2"/>
    </row>
    <row x14ac:dyDescent="0.25" r="805" customHeight="1" ht="17.25">
      <c r="A805" s="2"/>
      <c r="B805" s="2"/>
      <c r="C805" s="2"/>
      <c r="D805" s="13"/>
      <c r="E805" s="10"/>
      <c r="F805" s="16"/>
      <c r="G805" s="2"/>
      <c r="H805" s="2"/>
      <c r="I805" s="2"/>
      <c r="J805" s="2"/>
      <c r="K805" s="2"/>
      <c r="L805" s="2"/>
    </row>
    <row x14ac:dyDescent="0.25" r="806" customHeight="1" ht="17.25">
      <c r="A806" s="2"/>
      <c r="B806" s="2"/>
      <c r="C806" s="2"/>
      <c r="D806" s="13"/>
      <c r="E806" s="10"/>
      <c r="F806" s="16"/>
      <c r="G806" s="2"/>
      <c r="H806" s="2"/>
      <c r="I806" s="2"/>
      <c r="J806" s="2"/>
      <c r="K806" s="2"/>
      <c r="L806" s="2"/>
    </row>
    <row x14ac:dyDescent="0.25" r="807" customHeight="1" ht="17.25">
      <c r="A807" s="2"/>
      <c r="B807" s="2"/>
      <c r="C807" s="2"/>
      <c r="D807" s="13"/>
      <c r="E807" s="10"/>
      <c r="F807" s="16"/>
      <c r="G807" s="2"/>
      <c r="H807" s="2"/>
      <c r="I807" s="2"/>
      <c r="J807" s="2"/>
      <c r="K807" s="2"/>
      <c r="L807" s="2"/>
    </row>
    <row x14ac:dyDescent="0.25" r="808" customHeight="1" ht="17.25">
      <c r="A808" s="2"/>
      <c r="B808" s="2"/>
      <c r="C808" s="2"/>
      <c r="D808" s="13"/>
      <c r="E808" s="10"/>
      <c r="F808" s="16"/>
      <c r="G808" s="2"/>
      <c r="H808" s="2"/>
      <c r="I808" s="2"/>
      <c r="J808" s="2"/>
      <c r="K808" s="2"/>
      <c r="L808" s="2"/>
    </row>
    <row x14ac:dyDescent="0.25" r="809" customHeight="1" ht="17.25">
      <c r="A809" s="2"/>
      <c r="B809" s="2"/>
      <c r="C809" s="2"/>
      <c r="D809" s="13"/>
      <c r="E809" s="10"/>
      <c r="F809" s="16"/>
      <c r="G809" s="2"/>
      <c r="H809" s="2"/>
      <c r="I809" s="2"/>
      <c r="J809" s="2"/>
      <c r="K809" s="2"/>
      <c r="L809" s="2"/>
    </row>
    <row x14ac:dyDescent="0.25" r="810" customHeight="1" ht="17.25">
      <c r="A810" s="2"/>
      <c r="B810" s="2"/>
      <c r="C810" s="2"/>
      <c r="D810" s="13"/>
      <c r="E810" s="10"/>
      <c r="F810" s="16"/>
      <c r="G810" s="2"/>
      <c r="H810" s="2"/>
      <c r="I810" s="2"/>
      <c r="J810" s="2"/>
      <c r="K810" s="2"/>
      <c r="L810" s="2"/>
    </row>
    <row x14ac:dyDescent="0.25" r="811" customHeight="1" ht="17.25">
      <c r="A811" s="2"/>
      <c r="B811" s="2"/>
      <c r="C811" s="2"/>
      <c r="D811" s="13"/>
      <c r="E811" s="10"/>
      <c r="F811" s="16"/>
      <c r="G811" s="2"/>
      <c r="H811" s="2"/>
      <c r="I811" s="2"/>
      <c r="J811" s="2"/>
      <c r="K811" s="2"/>
      <c r="L811" s="2"/>
    </row>
    <row x14ac:dyDescent="0.25" r="812" customHeight="1" ht="17.25">
      <c r="A812" s="2"/>
      <c r="B812" s="2"/>
      <c r="C812" s="2"/>
      <c r="D812" s="13"/>
      <c r="E812" s="10"/>
      <c r="F812" s="16"/>
      <c r="G812" s="2"/>
      <c r="H812" s="2"/>
      <c r="I812" s="2"/>
      <c r="J812" s="2"/>
      <c r="K812" s="2"/>
      <c r="L812" s="2"/>
    </row>
    <row x14ac:dyDescent="0.25" r="813" customHeight="1" ht="17.25">
      <c r="A813" s="2"/>
      <c r="B813" s="2"/>
      <c r="C813" s="2"/>
      <c r="D813" s="13"/>
      <c r="E813" s="10"/>
      <c r="F813" s="16"/>
      <c r="G813" s="2"/>
      <c r="H813" s="2"/>
      <c r="I813" s="2"/>
      <c r="J813" s="2"/>
      <c r="K813" s="2"/>
      <c r="L813" s="2"/>
    </row>
    <row x14ac:dyDescent="0.25" r="814" customHeight="1" ht="17.25">
      <c r="A814" s="2"/>
      <c r="B814" s="2"/>
      <c r="C814" s="2"/>
      <c r="D814" s="13"/>
      <c r="E814" s="10"/>
      <c r="F814" s="16"/>
      <c r="G814" s="2"/>
      <c r="H814" s="2"/>
      <c r="I814" s="2"/>
      <c r="J814" s="2"/>
      <c r="K814" s="2"/>
      <c r="L814" s="2"/>
    </row>
    <row x14ac:dyDescent="0.25" r="815" customHeight="1" ht="17.25">
      <c r="A815" s="2"/>
      <c r="B815" s="2"/>
      <c r="C815" s="2"/>
      <c r="D815" s="13"/>
      <c r="E815" s="10"/>
      <c r="F815" s="16"/>
      <c r="G815" s="2"/>
      <c r="H815" s="2"/>
      <c r="I815" s="2"/>
      <c r="J815" s="2"/>
      <c r="K815" s="2"/>
      <c r="L815" s="2"/>
    </row>
    <row x14ac:dyDescent="0.25" r="816" customHeight="1" ht="17.25">
      <c r="A816" s="2"/>
      <c r="B816" s="2"/>
      <c r="C816" s="2"/>
      <c r="D816" s="13"/>
      <c r="E816" s="10"/>
      <c r="F816" s="16"/>
      <c r="G816" s="2"/>
      <c r="H816" s="2"/>
      <c r="I816" s="2"/>
      <c r="J816" s="2"/>
      <c r="K816" s="2"/>
      <c r="L816" s="2"/>
    </row>
    <row x14ac:dyDescent="0.25" r="817" customHeight="1" ht="17.25">
      <c r="A817" s="2"/>
      <c r="B817" s="2"/>
      <c r="C817" s="2"/>
      <c r="D817" s="13"/>
      <c r="E817" s="10"/>
      <c r="F817" s="16"/>
      <c r="G817" s="2"/>
      <c r="H817" s="2"/>
      <c r="I817" s="2"/>
      <c r="J817" s="2"/>
      <c r="K817" s="2"/>
      <c r="L817" s="2"/>
    </row>
    <row x14ac:dyDescent="0.25" r="818" customHeight="1" ht="17.25">
      <c r="A818" s="2"/>
      <c r="B818" s="2"/>
      <c r="C818" s="2"/>
      <c r="D818" s="13"/>
      <c r="E818" s="10"/>
      <c r="F818" s="16"/>
      <c r="G818" s="2"/>
      <c r="H818" s="2"/>
      <c r="I818" s="2"/>
      <c r="J818" s="2"/>
      <c r="K818" s="2"/>
      <c r="L818" s="2"/>
    </row>
    <row x14ac:dyDescent="0.25" r="819" customHeight="1" ht="17.25">
      <c r="A819" s="2"/>
      <c r="B819" s="2"/>
      <c r="C819" s="2"/>
      <c r="D819" s="13"/>
      <c r="E819" s="10"/>
      <c r="F819" s="16"/>
      <c r="G819" s="2"/>
      <c r="H819" s="2"/>
      <c r="I819" s="2"/>
      <c r="J819" s="2"/>
      <c r="K819" s="2"/>
      <c r="L819" s="2"/>
    </row>
    <row x14ac:dyDescent="0.25" r="820" customHeight="1" ht="17.25">
      <c r="A820" s="2"/>
      <c r="B820" s="2"/>
      <c r="C820" s="2"/>
      <c r="D820" s="13"/>
      <c r="E820" s="10"/>
      <c r="F820" s="16"/>
      <c r="G820" s="2"/>
      <c r="H820" s="2"/>
      <c r="I820" s="2"/>
      <c r="J820" s="2"/>
      <c r="K820" s="2"/>
      <c r="L820" s="2"/>
    </row>
    <row x14ac:dyDescent="0.25" r="821" customHeight="1" ht="17.25">
      <c r="A821" s="2"/>
      <c r="B821" s="2"/>
      <c r="C821" s="2"/>
      <c r="D821" s="13"/>
      <c r="E821" s="10"/>
      <c r="F821" s="16"/>
      <c r="G821" s="2"/>
      <c r="H821" s="2"/>
      <c r="I821" s="2"/>
      <c r="J821" s="2"/>
      <c r="K821" s="2"/>
      <c r="L821" s="2"/>
    </row>
    <row x14ac:dyDescent="0.25" r="822" customHeight="1" ht="17.25">
      <c r="A822" s="2"/>
      <c r="B822" s="2"/>
      <c r="C822" s="2"/>
      <c r="D822" s="13"/>
      <c r="E822" s="10"/>
      <c r="F822" s="16"/>
      <c r="G822" s="2"/>
      <c r="H822" s="2"/>
      <c r="I822" s="2"/>
      <c r="J822" s="2"/>
      <c r="K822" s="2"/>
      <c r="L822" s="2"/>
    </row>
    <row x14ac:dyDescent="0.25" r="823" customHeight="1" ht="17.25">
      <c r="A823" s="2"/>
      <c r="B823" s="2"/>
      <c r="C823" s="2"/>
      <c r="D823" s="13"/>
      <c r="E823" s="10"/>
      <c r="F823" s="16"/>
      <c r="G823" s="2"/>
      <c r="H823" s="2"/>
      <c r="I823" s="2"/>
      <c r="J823" s="2"/>
      <c r="K823" s="2"/>
      <c r="L823" s="2"/>
    </row>
    <row x14ac:dyDescent="0.25" r="824" customHeight="1" ht="17.25">
      <c r="A824" s="2"/>
      <c r="B824" s="2"/>
      <c r="C824" s="2"/>
      <c r="D824" s="13"/>
      <c r="E824" s="10"/>
      <c r="F824" s="16"/>
      <c r="G824" s="2"/>
      <c r="H824" s="2"/>
      <c r="I824" s="2"/>
      <c r="J824" s="2"/>
      <c r="K824" s="2"/>
      <c r="L824" s="2"/>
    </row>
    <row x14ac:dyDescent="0.25" r="825" customHeight="1" ht="17.25">
      <c r="A825" s="2"/>
      <c r="B825" s="2"/>
      <c r="C825" s="2"/>
      <c r="D825" s="13"/>
      <c r="E825" s="10"/>
      <c r="F825" s="16"/>
      <c r="G825" s="2"/>
      <c r="H825" s="2"/>
      <c r="I825" s="2"/>
      <c r="J825" s="2"/>
      <c r="K825" s="2"/>
      <c r="L825" s="2"/>
    </row>
    <row x14ac:dyDescent="0.25" r="826" customHeight="1" ht="17.25">
      <c r="A826" s="2"/>
      <c r="B826" s="2"/>
      <c r="C826" s="2"/>
      <c r="D826" s="13"/>
      <c r="E826" s="10"/>
      <c r="F826" s="16"/>
      <c r="G826" s="2"/>
      <c r="H826" s="2"/>
      <c r="I826" s="2"/>
      <c r="J826" s="2"/>
      <c r="K826" s="2"/>
      <c r="L826" s="2"/>
    </row>
    <row x14ac:dyDescent="0.25" r="827" customHeight="1" ht="17.25">
      <c r="A827" s="2"/>
      <c r="B827" s="2"/>
      <c r="C827" s="2"/>
      <c r="D827" s="13"/>
      <c r="E827" s="10"/>
      <c r="F827" s="16"/>
      <c r="G827" s="2"/>
      <c r="H827" s="2"/>
      <c r="I827" s="2"/>
      <c r="J827" s="2"/>
      <c r="K827" s="2"/>
      <c r="L827" s="2"/>
    </row>
    <row x14ac:dyDescent="0.25" r="828" customHeight="1" ht="17.25">
      <c r="A828" s="2"/>
      <c r="B828" s="2"/>
      <c r="C828" s="2"/>
      <c r="D828" s="13"/>
      <c r="E828" s="10"/>
      <c r="F828" s="16"/>
      <c r="G828" s="2"/>
      <c r="H828" s="2"/>
      <c r="I828" s="2"/>
      <c r="J828" s="2"/>
      <c r="K828" s="2"/>
      <c r="L828" s="2"/>
    </row>
    <row x14ac:dyDescent="0.25" r="829" customHeight="1" ht="17.25">
      <c r="A829" s="2"/>
      <c r="B829" s="2"/>
      <c r="C829" s="2"/>
      <c r="D829" s="13"/>
      <c r="E829" s="10"/>
      <c r="F829" s="16"/>
      <c r="G829" s="2"/>
      <c r="H829" s="2"/>
      <c r="I829" s="2"/>
      <c r="J829" s="2"/>
      <c r="K829" s="2"/>
      <c r="L829" s="2"/>
    </row>
    <row x14ac:dyDescent="0.25" r="830" customHeight="1" ht="17.25">
      <c r="A830" s="2"/>
      <c r="B830" s="2"/>
      <c r="C830" s="2"/>
      <c r="D830" s="13"/>
      <c r="E830" s="10"/>
      <c r="F830" s="16"/>
      <c r="G830" s="2"/>
      <c r="H830" s="2"/>
      <c r="I830" s="2"/>
      <c r="J830" s="2"/>
      <c r="K830" s="2"/>
      <c r="L830" s="2"/>
    </row>
    <row x14ac:dyDescent="0.25" r="831" customHeight="1" ht="17.25">
      <c r="A831" s="2"/>
      <c r="B831" s="2"/>
      <c r="C831" s="2"/>
      <c r="D831" s="13"/>
      <c r="E831" s="10"/>
      <c r="F831" s="16"/>
      <c r="G831" s="2"/>
      <c r="H831" s="2"/>
      <c r="I831" s="2"/>
      <c r="J831" s="2"/>
      <c r="K831" s="2"/>
      <c r="L831" s="2"/>
    </row>
    <row x14ac:dyDescent="0.25" r="832" customHeight="1" ht="17.25">
      <c r="A832" s="2"/>
      <c r="B832" s="2"/>
      <c r="C832" s="2"/>
      <c r="D832" s="13"/>
      <c r="E832" s="10"/>
      <c r="F832" s="16"/>
      <c r="G832" s="2"/>
      <c r="H832" s="2"/>
      <c r="I832" s="2"/>
      <c r="J832" s="2"/>
      <c r="K832" s="2"/>
      <c r="L832" s="2"/>
    </row>
    <row x14ac:dyDescent="0.25" r="833" customHeight="1" ht="17.25">
      <c r="A833" s="2"/>
      <c r="B833" s="2"/>
      <c r="C833" s="2"/>
      <c r="D833" s="13"/>
      <c r="E833" s="10"/>
      <c r="F833" s="16"/>
      <c r="G833" s="2"/>
      <c r="H833" s="2"/>
      <c r="I833" s="2"/>
      <c r="J833" s="2"/>
      <c r="K833" s="2"/>
      <c r="L833" s="2"/>
    </row>
    <row x14ac:dyDescent="0.25" r="834" customHeight="1" ht="17.25">
      <c r="A834" s="2"/>
      <c r="B834" s="2"/>
      <c r="C834" s="2"/>
      <c r="D834" s="13"/>
      <c r="E834" s="10"/>
      <c r="F834" s="16"/>
      <c r="G834" s="2"/>
      <c r="H834" s="2"/>
      <c r="I834" s="2"/>
      <c r="J834" s="2"/>
      <c r="K834" s="2"/>
      <c r="L834" s="2"/>
    </row>
    <row x14ac:dyDescent="0.25" r="835" customHeight="1" ht="17.25">
      <c r="A835" s="2"/>
      <c r="B835" s="2"/>
      <c r="C835" s="2"/>
      <c r="D835" s="13"/>
      <c r="E835" s="10"/>
      <c r="F835" s="16"/>
      <c r="G835" s="2"/>
      <c r="H835" s="2"/>
      <c r="I835" s="2"/>
      <c r="J835" s="2"/>
      <c r="K835" s="2"/>
      <c r="L835" s="2"/>
    </row>
    <row x14ac:dyDescent="0.25" r="836" customHeight="1" ht="17.25">
      <c r="A836" s="2"/>
      <c r="B836" s="2"/>
      <c r="C836" s="2"/>
      <c r="D836" s="13"/>
      <c r="E836" s="10"/>
      <c r="F836" s="16"/>
      <c r="G836" s="2"/>
      <c r="H836" s="2"/>
      <c r="I836" s="2"/>
      <c r="J836" s="2"/>
      <c r="K836" s="2"/>
      <c r="L836" s="2"/>
    </row>
    <row x14ac:dyDescent="0.25" r="837" customHeight="1" ht="17.25">
      <c r="A837" s="2"/>
      <c r="B837" s="2"/>
      <c r="C837" s="2"/>
      <c r="D837" s="13"/>
      <c r="E837" s="10"/>
      <c r="F837" s="16"/>
      <c r="G837" s="2"/>
      <c r="H837" s="2"/>
      <c r="I837" s="2"/>
      <c r="J837" s="2"/>
      <c r="K837" s="2"/>
      <c r="L837" s="2"/>
    </row>
    <row x14ac:dyDescent="0.25" r="838" customHeight="1" ht="17.25">
      <c r="A838" s="2"/>
      <c r="B838" s="2"/>
      <c r="C838" s="2"/>
      <c r="D838" s="13"/>
      <c r="E838" s="10"/>
      <c r="F838" s="16"/>
      <c r="G838" s="2"/>
      <c r="H838" s="2"/>
      <c r="I838" s="2"/>
      <c r="J838" s="2"/>
      <c r="K838" s="2"/>
      <c r="L838" s="2"/>
    </row>
    <row x14ac:dyDescent="0.25" r="839" customHeight="1" ht="17.25">
      <c r="A839" s="2"/>
      <c r="B839" s="2"/>
      <c r="C839" s="2"/>
      <c r="D839" s="13"/>
      <c r="E839" s="10"/>
      <c r="F839" s="16"/>
      <c r="G839" s="2"/>
      <c r="H839" s="2"/>
      <c r="I839" s="2"/>
      <c r="J839" s="2"/>
      <c r="K839" s="2"/>
      <c r="L839" s="2"/>
    </row>
    <row x14ac:dyDescent="0.25" r="840" customHeight="1" ht="17.25">
      <c r="A840" s="2"/>
      <c r="B840" s="2"/>
      <c r="C840" s="2"/>
      <c r="D840" s="13"/>
      <c r="E840" s="10"/>
      <c r="F840" s="16"/>
      <c r="G840" s="2"/>
      <c r="H840" s="2"/>
      <c r="I840" s="2"/>
      <c r="J840" s="2"/>
      <c r="K840" s="2"/>
      <c r="L840" s="2"/>
    </row>
    <row x14ac:dyDescent="0.25" r="841" customHeight="1" ht="17.25">
      <c r="A841" s="2"/>
      <c r="B841" s="2"/>
      <c r="C841" s="2"/>
      <c r="D841" s="13"/>
      <c r="E841" s="10"/>
      <c r="F841" s="16"/>
      <c r="G841" s="2"/>
      <c r="H841" s="2"/>
      <c r="I841" s="2"/>
      <c r="J841" s="2"/>
      <c r="K841" s="2"/>
      <c r="L841" s="2"/>
    </row>
    <row x14ac:dyDescent="0.25" r="842" customHeight="1" ht="17.25">
      <c r="A842" s="2"/>
      <c r="B842" s="2"/>
      <c r="C842" s="2"/>
      <c r="D842" s="13"/>
      <c r="E842" s="10"/>
      <c r="F842" s="16"/>
      <c r="G842" s="2"/>
      <c r="H842" s="2"/>
      <c r="I842" s="2"/>
      <c r="J842" s="2"/>
      <c r="K842" s="2"/>
      <c r="L842" s="2"/>
    </row>
    <row x14ac:dyDescent="0.25" r="843" customHeight="1" ht="17.25">
      <c r="A843" s="2"/>
      <c r="B843" s="2"/>
      <c r="C843" s="2"/>
      <c r="D843" s="13"/>
      <c r="E843" s="10"/>
      <c r="F843" s="16"/>
      <c r="G843" s="2"/>
      <c r="H843" s="2"/>
      <c r="I843" s="2"/>
      <c r="J843" s="2"/>
      <c r="K843" s="2"/>
      <c r="L843" s="2"/>
    </row>
    <row x14ac:dyDescent="0.25" r="844" customHeight="1" ht="17.25">
      <c r="A844" s="2"/>
      <c r="B844" s="2"/>
      <c r="C844" s="2"/>
      <c r="D844" s="13"/>
      <c r="E844" s="10"/>
      <c r="F844" s="16"/>
      <c r="G844" s="2"/>
      <c r="H844" s="2"/>
      <c r="I844" s="2"/>
      <c r="J844" s="2"/>
      <c r="K844" s="2"/>
      <c r="L844" s="2"/>
    </row>
    <row x14ac:dyDescent="0.25" r="845" customHeight="1" ht="17.25">
      <c r="A845" s="2"/>
      <c r="B845" s="2"/>
      <c r="C845" s="2"/>
      <c r="D845" s="13"/>
      <c r="E845" s="10"/>
      <c r="F845" s="16"/>
      <c r="G845" s="2"/>
      <c r="H845" s="2"/>
      <c r="I845" s="2"/>
      <c r="J845" s="2"/>
      <c r="K845" s="2"/>
      <c r="L845" s="2"/>
    </row>
    <row x14ac:dyDescent="0.25" r="846" customHeight="1" ht="17.25">
      <c r="A846" s="2"/>
      <c r="B846" s="2"/>
      <c r="C846" s="2"/>
      <c r="D846" s="13"/>
      <c r="E846" s="10"/>
      <c r="F846" s="16"/>
      <c r="G846" s="2"/>
      <c r="H846" s="2"/>
      <c r="I846" s="2"/>
      <c r="J846" s="2"/>
      <c r="K846" s="2"/>
      <c r="L846" s="2"/>
    </row>
    <row x14ac:dyDescent="0.25" r="847" customHeight="1" ht="17.25">
      <c r="A847" s="2"/>
      <c r="B847" s="2"/>
      <c r="C847" s="2"/>
      <c r="D847" s="13"/>
      <c r="E847" s="10"/>
      <c r="F847" s="16"/>
      <c r="G847" s="2"/>
      <c r="H847" s="2"/>
      <c r="I847" s="2"/>
      <c r="J847" s="2"/>
      <c r="K847" s="2"/>
      <c r="L847" s="2"/>
    </row>
    <row x14ac:dyDescent="0.25" r="848" customHeight="1" ht="17.25">
      <c r="A848" s="2"/>
      <c r="B848" s="2"/>
      <c r="C848" s="2"/>
      <c r="D848" s="13"/>
      <c r="E848" s="10"/>
      <c r="F848" s="16"/>
      <c r="G848" s="2"/>
      <c r="H848" s="2"/>
      <c r="I848" s="2"/>
      <c r="J848" s="2"/>
      <c r="K848" s="2"/>
      <c r="L848" s="2"/>
    </row>
    <row x14ac:dyDescent="0.25" r="849" customHeight="1" ht="17.25">
      <c r="A849" s="2"/>
      <c r="B849" s="2"/>
      <c r="C849" s="2"/>
      <c r="D849" s="13"/>
      <c r="E849" s="10"/>
      <c r="F849" s="16"/>
      <c r="G849" s="2"/>
      <c r="H849" s="2"/>
      <c r="I849" s="2"/>
      <c r="J849" s="2"/>
      <c r="K849" s="2"/>
      <c r="L849" s="2"/>
    </row>
    <row x14ac:dyDescent="0.25" r="850" customHeight="1" ht="17.25">
      <c r="A850" s="2"/>
      <c r="B850" s="2"/>
      <c r="C850" s="2"/>
      <c r="D850" s="13"/>
      <c r="E850" s="10"/>
      <c r="F850" s="16"/>
      <c r="G850" s="2"/>
      <c r="H850" s="2"/>
      <c r="I850" s="2"/>
      <c r="J850" s="2"/>
      <c r="K850" s="2"/>
      <c r="L850" s="2"/>
    </row>
    <row x14ac:dyDescent="0.25" r="851" customHeight="1" ht="17.25">
      <c r="A851" s="2"/>
      <c r="B851" s="2"/>
      <c r="C851" s="2"/>
      <c r="D851" s="13"/>
      <c r="E851" s="10"/>
      <c r="F851" s="16"/>
      <c r="G851" s="2"/>
      <c r="H851" s="2"/>
      <c r="I851" s="2"/>
      <c r="J851" s="2"/>
      <c r="K851" s="2"/>
      <c r="L851" s="2"/>
    </row>
    <row x14ac:dyDescent="0.25" r="852" customHeight="1" ht="17.25">
      <c r="A852" s="2"/>
      <c r="B852" s="2"/>
      <c r="C852" s="2"/>
      <c r="D852" s="13"/>
      <c r="E852" s="10"/>
      <c r="F852" s="16"/>
      <c r="G852" s="2"/>
      <c r="H852" s="2"/>
      <c r="I852" s="2"/>
      <c r="J852" s="2"/>
      <c r="K852" s="2"/>
      <c r="L852" s="2"/>
    </row>
    <row x14ac:dyDescent="0.25" r="853" customHeight="1" ht="17.25">
      <c r="A853" s="2"/>
      <c r="B853" s="2"/>
      <c r="C853" s="2"/>
      <c r="D853" s="13"/>
      <c r="E853" s="10"/>
      <c r="F853" s="16"/>
      <c r="G853" s="2"/>
      <c r="H853" s="2"/>
      <c r="I853" s="2"/>
      <c r="J853" s="2"/>
      <c r="K853" s="2"/>
      <c r="L853" s="2"/>
    </row>
    <row x14ac:dyDescent="0.25" r="854" customHeight="1" ht="17.25">
      <c r="A854" s="2"/>
      <c r="B854" s="2"/>
      <c r="C854" s="2"/>
      <c r="D854" s="13"/>
      <c r="E854" s="10"/>
      <c r="F854" s="16"/>
      <c r="G854" s="2"/>
      <c r="H854" s="2"/>
      <c r="I854" s="2"/>
      <c r="J854" s="2"/>
      <c r="K854" s="2"/>
      <c r="L854" s="2"/>
    </row>
    <row x14ac:dyDescent="0.25" r="855" customHeight="1" ht="17.25">
      <c r="A855" s="2"/>
      <c r="B855" s="2"/>
      <c r="C855" s="2"/>
      <c r="D855" s="13"/>
      <c r="E855" s="10"/>
      <c r="F855" s="16"/>
      <c r="G855" s="2"/>
      <c r="H855" s="2"/>
      <c r="I855" s="2"/>
      <c r="J855" s="2"/>
      <c r="K855" s="2"/>
      <c r="L855" s="2"/>
    </row>
    <row x14ac:dyDescent="0.25" r="856" customHeight="1" ht="17.25">
      <c r="A856" s="2"/>
      <c r="B856" s="2"/>
      <c r="C856" s="2"/>
      <c r="D856" s="13"/>
      <c r="E856" s="10"/>
      <c r="F856" s="16"/>
      <c r="G856" s="2"/>
      <c r="H856" s="2"/>
      <c r="I856" s="2"/>
      <c r="J856" s="2"/>
      <c r="K856" s="2"/>
      <c r="L856" s="2"/>
    </row>
    <row x14ac:dyDescent="0.25" r="857" customHeight="1" ht="17.25">
      <c r="A857" s="2"/>
      <c r="B857" s="2"/>
      <c r="C857" s="2"/>
      <c r="D857" s="13"/>
      <c r="E857" s="10"/>
      <c r="F857" s="16"/>
      <c r="G857" s="2"/>
      <c r="H857" s="2"/>
      <c r="I857" s="2"/>
      <c r="J857" s="2"/>
      <c r="K857" s="2"/>
      <c r="L857" s="2"/>
    </row>
    <row x14ac:dyDescent="0.25" r="858" customHeight="1" ht="17.25">
      <c r="A858" s="2"/>
      <c r="B858" s="2"/>
      <c r="C858" s="2"/>
      <c r="D858" s="13"/>
      <c r="E858" s="10"/>
      <c r="F858" s="16"/>
      <c r="G858" s="2"/>
      <c r="H858" s="2"/>
      <c r="I858" s="2"/>
      <c r="J858" s="2"/>
      <c r="K858" s="2"/>
      <c r="L858" s="2"/>
    </row>
    <row x14ac:dyDescent="0.25" r="859" customHeight="1" ht="17.25">
      <c r="A859" s="2"/>
      <c r="B859" s="2"/>
      <c r="C859" s="2"/>
      <c r="D859" s="13"/>
      <c r="E859" s="10"/>
      <c r="F859" s="16"/>
      <c r="G859" s="2"/>
      <c r="H859" s="2"/>
      <c r="I859" s="2"/>
      <c r="J859" s="2"/>
      <c r="K859" s="2"/>
      <c r="L859" s="2"/>
    </row>
    <row x14ac:dyDescent="0.25" r="860" customHeight="1" ht="17.25">
      <c r="A860" s="2"/>
      <c r="B860" s="2"/>
      <c r="C860" s="2"/>
      <c r="D860" s="13"/>
      <c r="E860" s="10"/>
      <c r="F860" s="16"/>
      <c r="G860" s="2"/>
      <c r="H860" s="2"/>
      <c r="I860" s="2"/>
      <c r="J860" s="2"/>
      <c r="K860" s="2"/>
      <c r="L860" s="2"/>
    </row>
    <row x14ac:dyDescent="0.25" r="861" customHeight="1" ht="17.25">
      <c r="A861" s="2"/>
      <c r="B861" s="2"/>
      <c r="C861" s="2"/>
      <c r="D861" s="13"/>
      <c r="E861" s="10"/>
      <c r="F861" s="16"/>
      <c r="G861" s="2"/>
      <c r="H861" s="2"/>
      <c r="I861" s="2"/>
      <c r="J861" s="2"/>
      <c r="K861" s="2"/>
      <c r="L861" s="2"/>
    </row>
    <row x14ac:dyDescent="0.25" r="862" customHeight="1" ht="17.25">
      <c r="A862" s="2"/>
      <c r="B862" s="2"/>
      <c r="C862" s="2"/>
      <c r="D862" s="13"/>
      <c r="E862" s="10"/>
      <c r="F862" s="16"/>
      <c r="G862" s="2"/>
      <c r="H862" s="2"/>
      <c r="I862" s="2"/>
      <c r="J862" s="2"/>
      <c r="K862" s="2"/>
      <c r="L862" s="2"/>
    </row>
    <row x14ac:dyDescent="0.25" r="863" customHeight="1" ht="17.25">
      <c r="A863" s="2"/>
      <c r="B863" s="2"/>
      <c r="C863" s="2"/>
      <c r="D863" s="13"/>
      <c r="E863" s="10"/>
      <c r="F863" s="16"/>
      <c r="G863" s="2"/>
      <c r="H863" s="2"/>
      <c r="I863" s="2"/>
      <c r="J863" s="2"/>
      <c r="K863" s="2"/>
      <c r="L863" s="2"/>
    </row>
    <row x14ac:dyDescent="0.25" r="864" customHeight="1" ht="17.25">
      <c r="A864" s="2"/>
      <c r="B864" s="2"/>
      <c r="C864" s="2"/>
      <c r="D864" s="13"/>
      <c r="E864" s="10"/>
      <c r="F864" s="16"/>
      <c r="G864" s="2"/>
      <c r="H864" s="2"/>
      <c r="I864" s="2"/>
      <c r="J864" s="2"/>
      <c r="K864" s="2"/>
      <c r="L864" s="2"/>
    </row>
    <row x14ac:dyDescent="0.25" r="865" customHeight="1" ht="17.25">
      <c r="A865" s="2"/>
      <c r="B865" s="2"/>
      <c r="C865" s="2"/>
      <c r="D865" s="13"/>
      <c r="E865" s="10"/>
      <c r="F865" s="16"/>
      <c r="G865" s="2"/>
      <c r="H865" s="2"/>
      <c r="I865" s="2"/>
      <c r="J865" s="2"/>
      <c r="K865" s="2"/>
      <c r="L865" s="2"/>
    </row>
    <row x14ac:dyDescent="0.25" r="866" customHeight="1" ht="17.25">
      <c r="A866" s="2"/>
      <c r="B866" s="2"/>
      <c r="C866" s="2"/>
      <c r="D866" s="13"/>
      <c r="E866" s="10"/>
      <c r="F866" s="16"/>
      <c r="G866" s="2"/>
      <c r="H866" s="2"/>
      <c r="I866" s="2"/>
      <c r="J866" s="2"/>
      <c r="K866" s="2"/>
      <c r="L866" s="2"/>
    </row>
    <row x14ac:dyDescent="0.25" r="867" customHeight="1" ht="17.25">
      <c r="A867" s="2"/>
      <c r="B867" s="2"/>
      <c r="C867" s="2"/>
      <c r="D867" s="13"/>
      <c r="E867" s="10"/>
      <c r="F867" s="16"/>
      <c r="G867" s="2"/>
      <c r="H867" s="2"/>
      <c r="I867" s="2"/>
      <c r="J867" s="2"/>
      <c r="K867" s="2"/>
      <c r="L867" s="2"/>
    </row>
    <row x14ac:dyDescent="0.25" r="868" customHeight="1" ht="17.25">
      <c r="A868" s="2"/>
      <c r="B868" s="2"/>
      <c r="C868" s="2"/>
      <c r="D868" s="13"/>
      <c r="E868" s="10"/>
      <c r="F868" s="16"/>
      <c r="G868" s="2"/>
      <c r="H868" s="2"/>
      <c r="I868" s="2"/>
      <c r="J868" s="2"/>
      <c r="K868" s="2"/>
      <c r="L868" s="2"/>
    </row>
    <row x14ac:dyDescent="0.25" r="869" customHeight="1" ht="17.25">
      <c r="A869" s="2"/>
      <c r="B869" s="2"/>
      <c r="C869" s="2"/>
      <c r="D869" s="13"/>
      <c r="E869" s="10"/>
      <c r="F869" s="16"/>
      <c r="G869" s="2"/>
      <c r="H869" s="2"/>
      <c r="I869" s="2"/>
      <c r="J869" s="2"/>
      <c r="K869" s="2"/>
      <c r="L869" s="2"/>
    </row>
    <row x14ac:dyDescent="0.25" r="870" customHeight="1" ht="17.25">
      <c r="A870" s="2"/>
      <c r="B870" s="2"/>
      <c r="C870" s="2"/>
      <c r="D870" s="13"/>
      <c r="E870" s="10"/>
      <c r="F870" s="16"/>
      <c r="G870" s="2"/>
      <c r="H870" s="2"/>
      <c r="I870" s="2"/>
      <c r="J870" s="2"/>
      <c r="K870" s="2"/>
      <c r="L870" s="2"/>
    </row>
    <row x14ac:dyDescent="0.25" r="871" customHeight="1" ht="17.25">
      <c r="A871" s="2"/>
      <c r="B871" s="2"/>
      <c r="C871" s="2"/>
      <c r="D871" s="13"/>
      <c r="E871" s="10"/>
      <c r="F871" s="16"/>
      <c r="G871" s="2"/>
      <c r="H871" s="2"/>
      <c r="I871" s="2"/>
      <c r="J871" s="2"/>
      <c r="K871" s="2"/>
      <c r="L871" s="2"/>
    </row>
    <row x14ac:dyDescent="0.25" r="872" customHeight="1" ht="17.25">
      <c r="A872" s="2"/>
      <c r="B872" s="2"/>
      <c r="C872" s="2"/>
      <c r="D872" s="13"/>
      <c r="E872" s="10"/>
      <c r="F872" s="16"/>
      <c r="G872" s="2"/>
      <c r="H872" s="2"/>
      <c r="I872" s="2"/>
      <c r="J872" s="2"/>
      <c r="K872" s="2"/>
      <c r="L872" s="2"/>
    </row>
    <row x14ac:dyDescent="0.25" r="873" customHeight="1" ht="17.25">
      <c r="A873" s="2"/>
      <c r="B873" s="2"/>
      <c r="C873" s="2"/>
      <c r="D873" s="13"/>
      <c r="E873" s="10"/>
      <c r="F873" s="16"/>
      <c r="G873" s="2"/>
      <c r="H873" s="2"/>
      <c r="I873" s="2"/>
      <c r="J873" s="2"/>
      <c r="K873" s="2"/>
      <c r="L873" s="2"/>
    </row>
    <row x14ac:dyDescent="0.25" r="874" customHeight="1" ht="17.25">
      <c r="A874" s="2"/>
      <c r="B874" s="2"/>
      <c r="C874" s="2"/>
      <c r="D874" s="13"/>
      <c r="E874" s="10"/>
      <c r="F874" s="16"/>
      <c r="G874" s="2"/>
      <c r="H874" s="2"/>
      <c r="I874" s="2"/>
      <c r="J874" s="2"/>
      <c r="K874" s="2"/>
      <c r="L874" s="2"/>
    </row>
    <row x14ac:dyDescent="0.25" r="875" customHeight="1" ht="17.25">
      <c r="A875" s="2"/>
      <c r="B875" s="2"/>
      <c r="C875" s="2"/>
      <c r="D875" s="13"/>
      <c r="E875" s="10"/>
      <c r="F875" s="16"/>
      <c r="G875" s="2"/>
      <c r="H875" s="2"/>
      <c r="I875" s="2"/>
      <c r="J875" s="2"/>
      <c r="K875" s="2"/>
      <c r="L875" s="2"/>
    </row>
    <row x14ac:dyDescent="0.25" r="876" customHeight="1" ht="17.25">
      <c r="A876" s="2"/>
      <c r="B876" s="2"/>
      <c r="C876" s="2"/>
      <c r="D876" s="13"/>
      <c r="E876" s="10"/>
      <c r="F876" s="16"/>
      <c r="G876" s="2"/>
      <c r="H876" s="2"/>
      <c r="I876" s="2"/>
      <c r="J876" s="2"/>
      <c r="K876" s="2"/>
      <c r="L876" s="2"/>
    </row>
    <row x14ac:dyDescent="0.25" r="877" customHeight="1" ht="17.25">
      <c r="A877" s="2"/>
      <c r="B877" s="2"/>
      <c r="C877" s="2"/>
      <c r="D877" s="13"/>
      <c r="E877" s="10"/>
      <c r="F877" s="16"/>
      <c r="G877" s="2"/>
      <c r="H877" s="2"/>
      <c r="I877" s="2"/>
      <c r="J877" s="2"/>
      <c r="K877" s="2"/>
      <c r="L877" s="2"/>
    </row>
    <row x14ac:dyDescent="0.25" r="878" customHeight="1" ht="17.25">
      <c r="A878" s="2"/>
      <c r="B878" s="2"/>
      <c r="C878" s="2"/>
      <c r="D878" s="13"/>
      <c r="E878" s="10"/>
      <c r="F878" s="16"/>
      <c r="G878" s="2"/>
      <c r="H878" s="2"/>
      <c r="I878" s="2"/>
      <c r="J878" s="2"/>
      <c r="K878" s="2"/>
      <c r="L878" s="2"/>
    </row>
    <row x14ac:dyDescent="0.25" r="879" customHeight="1" ht="17.25">
      <c r="A879" s="2"/>
      <c r="B879" s="2"/>
      <c r="C879" s="2"/>
      <c r="D879" s="13"/>
      <c r="E879" s="10"/>
      <c r="F879" s="16"/>
      <c r="G879" s="2"/>
      <c r="H879" s="2"/>
      <c r="I879" s="2"/>
      <c r="J879" s="2"/>
      <c r="K879" s="2"/>
      <c r="L879" s="2"/>
    </row>
    <row x14ac:dyDescent="0.25" r="880" customHeight="1" ht="17.25">
      <c r="A880" s="2"/>
      <c r="B880" s="2"/>
      <c r="C880" s="2"/>
      <c r="D880" s="13"/>
      <c r="E880" s="10"/>
      <c r="F880" s="16"/>
      <c r="G880" s="2"/>
      <c r="H880" s="2"/>
      <c r="I880" s="2"/>
      <c r="J880" s="2"/>
      <c r="K880" s="2"/>
      <c r="L880" s="2"/>
    </row>
    <row x14ac:dyDescent="0.25" r="881" customHeight="1" ht="17.25">
      <c r="A881" s="2"/>
      <c r="B881" s="2"/>
      <c r="C881" s="2"/>
      <c r="D881" s="13"/>
      <c r="E881" s="10"/>
      <c r="F881" s="16"/>
      <c r="G881" s="2"/>
      <c r="H881" s="2"/>
      <c r="I881" s="2"/>
      <c r="J881" s="2"/>
      <c r="K881" s="2"/>
      <c r="L881" s="2"/>
    </row>
    <row x14ac:dyDescent="0.25" r="882" customHeight="1" ht="17.25">
      <c r="A882" s="2"/>
      <c r="B882" s="2"/>
      <c r="C882" s="2"/>
      <c r="D882" s="13"/>
      <c r="E882" s="10"/>
      <c r="F882" s="16"/>
      <c r="G882" s="2"/>
      <c r="H882" s="2"/>
      <c r="I882" s="2"/>
      <c r="J882" s="2"/>
      <c r="K882" s="2"/>
      <c r="L882" s="2"/>
    </row>
    <row x14ac:dyDescent="0.25" r="883" customHeight="1" ht="17.25">
      <c r="A883" s="2"/>
      <c r="B883" s="2"/>
      <c r="C883" s="2"/>
      <c r="D883" s="13"/>
      <c r="E883" s="10"/>
      <c r="F883" s="16"/>
      <c r="G883" s="2"/>
      <c r="H883" s="2"/>
      <c r="I883" s="2"/>
      <c r="J883" s="2"/>
      <c r="K883" s="2"/>
      <c r="L883" s="2"/>
    </row>
    <row x14ac:dyDescent="0.25" r="884" customHeight="1" ht="17.25">
      <c r="A884" s="2"/>
      <c r="B884" s="2"/>
      <c r="C884" s="2"/>
      <c r="D884" s="13"/>
      <c r="E884" s="10"/>
      <c r="F884" s="16"/>
      <c r="G884" s="2"/>
      <c r="H884" s="2"/>
      <c r="I884" s="2"/>
      <c r="J884" s="2"/>
      <c r="K884" s="2"/>
      <c r="L884" s="2"/>
    </row>
    <row x14ac:dyDescent="0.25" r="885" customHeight="1" ht="17.25">
      <c r="A885" s="2"/>
      <c r="B885" s="2"/>
      <c r="C885" s="2"/>
      <c r="D885" s="13"/>
      <c r="E885" s="10"/>
      <c r="F885" s="16"/>
      <c r="G885" s="2"/>
      <c r="H885" s="2"/>
      <c r="I885" s="2"/>
      <c r="J885" s="2"/>
      <c r="K885" s="2"/>
      <c r="L885" s="2"/>
    </row>
    <row x14ac:dyDescent="0.25" r="886" customHeight="1" ht="17.25">
      <c r="A886" s="2"/>
      <c r="B886" s="2"/>
      <c r="C886" s="2"/>
      <c r="D886" s="13"/>
      <c r="E886" s="10"/>
      <c r="F886" s="16"/>
      <c r="G886" s="2"/>
      <c r="H886" s="2"/>
      <c r="I886" s="2"/>
      <c r="J886" s="2"/>
      <c r="K886" s="2"/>
      <c r="L886" s="2"/>
    </row>
    <row x14ac:dyDescent="0.25" r="887" customHeight="1" ht="17.25">
      <c r="A887" s="2"/>
      <c r="B887" s="2"/>
      <c r="C887" s="2"/>
      <c r="D887" s="13"/>
      <c r="E887" s="10"/>
      <c r="F887" s="16"/>
      <c r="G887" s="2"/>
      <c r="H887" s="2"/>
      <c r="I887" s="2"/>
      <c r="J887" s="2"/>
      <c r="K887" s="2"/>
      <c r="L887" s="2"/>
    </row>
    <row x14ac:dyDescent="0.25" r="888" customHeight="1" ht="17.25">
      <c r="A888" s="2"/>
      <c r="B888" s="2"/>
      <c r="C888" s="2"/>
      <c r="D888" s="13"/>
      <c r="E888" s="10"/>
      <c r="F888" s="16"/>
      <c r="G888" s="2"/>
      <c r="H888" s="2"/>
      <c r="I888" s="2"/>
      <c r="J888" s="2"/>
      <c r="K888" s="2"/>
      <c r="L888" s="2"/>
    </row>
    <row x14ac:dyDescent="0.25" r="889" customHeight="1" ht="17.25">
      <c r="A889" s="2"/>
      <c r="B889" s="2"/>
      <c r="C889" s="2"/>
      <c r="D889" s="13"/>
      <c r="E889" s="10"/>
      <c r="F889" s="16"/>
      <c r="G889" s="2"/>
      <c r="H889" s="2"/>
      <c r="I889" s="2"/>
      <c r="J889" s="2"/>
      <c r="K889" s="2"/>
      <c r="L889" s="2"/>
    </row>
    <row x14ac:dyDescent="0.25" r="890" customHeight="1" ht="17.25">
      <c r="A890" s="2"/>
      <c r="B890" s="2"/>
      <c r="C890" s="2"/>
      <c r="D890" s="13"/>
      <c r="E890" s="10"/>
      <c r="F890" s="16"/>
      <c r="G890" s="2"/>
      <c r="H890" s="2"/>
      <c r="I890" s="2"/>
      <c r="J890" s="2"/>
      <c r="K890" s="2"/>
      <c r="L890" s="2"/>
    </row>
    <row x14ac:dyDescent="0.25" r="891" customHeight="1" ht="17.25">
      <c r="A891" s="2"/>
      <c r="B891" s="2"/>
      <c r="C891" s="2"/>
      <c r="D891" s="13"/>
      <c r="E891" s="10"/>
      <c r="F891" s="16"/>
      <c r="G891" s="2"/>
      <c r="H891" s="2"/>
      <c r="I891" s="2"/>
      <c r="J891" s="2"/>
      <c r="K891" s="2"/>
      <c r="L891" s="2"/>
    </row>
    <row x14ac:dyDescent="0.25" r="892" customHeight="1" ht="17.25">
      <c r="A892" s="2"/>
      <c r="B892" s="2"/>
      <c r="C892" s="2"/>
      <c r="D892" s="13"/>
      <c r="E892" s="10"/>
      <c r="F892" s="16"/>
      <c r="G892" s="2"/>
      <c r="H892" s="2"/>
      <c r="I892" s="2"/>
      <c r="J892" s="2"/>
      <c r="K892" s="2"/>
      <c r="L892" s="2"/>
    </row>
    <row x14ac:dyDescent="0.25" r="893" customHeight="1" ht="17.25">
      <c r="A893" s="2"/>
      <c r="B893" s="2"/>
      <c r="C893" s="2"/>
      <c r="D893" s="13"/>
      <c r="E893" s="10"/>
      <c r="F893" s="16"/>
      <c r="G893" s="2"/>
      <c r="H893" s="2"/>
      <c r="I893" s="2"/>
      <c r="J893" s="2"/>
      <c r="K893" s="2"/>
      <c r="L893" s="2"/>
    </row>
    <row x14ac:dyDescent="0.25" r="894" customHeight="1" ht="17.25">
      <c r="A894" s="2"/>
      <c r="B894" s="2"/>
      <c r="C894" s="2"/>
      <c r="D894" s="13"/>
      <c r="E894" s="10"/>
      <c r="F894" s="16"/>
      <c r="G894" s="2"/>
      <c r="H894" s="2"/>
      <c r="I894" s="2"/>
      <c r="J894" s="2"/>
      <c r="K894" s="2"/>
      <c r="L894" s="2"/>
    </row>
    <row x14ac:dyDescent="0.25" r="895" customHeight="1" ht="17.25">
      <c r="A895" s="2"/>
      <c r="B895" s="2"/>
      <c r="C895" s="2"/>
      <c r="D895" s="13"/>
      <c r="E895" s="10"/>
      <c r="F895" s="16"/>
      <c r="G895" s="2"/>
      <c r="H895" s="2"/>
      <c r="I895" s="2"/>
      <c r="J895" s="2"/>
      <c r="K895" s="2"/>
      <c r="L895" s="2"/>
    </row>
    <row x14ac:dyDescent="0.25" r="896" customHeight="1" ht="17.25">
      <c r="A896" s="2"/>
      <c r="B896" s="2"/>
      <c r="C896" s="2"/>
      <c r="D896" s="13"/>
      <c r="E896" s="10"/>
      <c r="F896" s="16"/>
      <c r="G896" s="2"/>
      <c r="H896" s="2"/>
      <c r="I896" s="2"/>
      <c r="J896" s="2"/>
      <c r="K896" s="2"/>
      <c r="L896" s="2"/>
    </row>
    <row x14ac:dyDescent="0.25" r="897" customHeight="1" ht="17.25">
      <c r="A897" s="2"/>
      <c r="B897" s="2"/>
      <c r="C897" s="2"/>
      <c r="D897" s="13"/>
      <c r="E897" s="10"/>
      <c r="F897" s="16"/>
      <c r="G897" s="2"/>
      <c r="H897" s="2"/>
      <c r="I897" s="2"/>
      <c r="J897" s="2"/>
      <c r="K897" s="2"/>
      <c r="L897" s="2"/>
    </row>
    <row x14ac:dyDescent="0.25" r="898" customHeight="1" ht="17.25">
      <c r="A898" s="2"/>
      <c r="B898" s="2"/>
      <c r="C898" s="2"/>
      <c r="D898" s="13"/>
      <c r="E898" s="10"/>
      <c r="F898" s="16"/>
      <c r="G898" s="2"/>
      <c r="H898" s="2"/>
      <c r="I898" s="2"/>
      <c r="J898" s="2"/>
      <c r="K898" s="2"/>
      <c r="L898" s="2"/>
    </row>
    <row x14ac:dyDescent="0.25" r="899" customHeight="1" ht="17.25">
      <c r="A899" s="2"/>
      <c r="B899" s="2"/>
      <c r="C899" s="2"/>
      <c r="D899" s="13"/>
      <c r="E899" s="10"/>
      <c r="F899" s="16"/>
      <c r="G899" s="2"/>
      <c r="H899" s="2"/>
      <c r="I899" s="2"/>
      <c r="J899" s="2"/>
      <c r="K899" s="2"/>
      <c r="L899" s="2"/>
    </row>
    <row x14ac:dyDescent="0.25" r="900" customHeight="1" ht="17.25">
      <c r="A900" s="2"/>
      <c r="B900" s="2"/>
      <c r="C900" s="2"/>
      <c r="D900" s="13"/>
      <c r="E900" s="10"/>
      <c r="F900" s="16"/>
      <c r="G900" s="2"/>
      <c r="H900" s="2"/>
      <c r="I900" s="2"/>
      <c r="J900" s="2"/>
      <c r="K900" s="2"/>
      <c r="L900" s="2"/>
    </row>
    <row x14ac:dyDescent="0.25" r="901" customHeight="1" ht="17.25">
      <c r="A901" s="2"/>
      <c r="B901" s="2"/>
      <c r="C901" s="2"/>
      <c r="D901" s="13"/>
      <c r="E901" s="10"/>
      <c r="F901" s="16"/>
      <c r="G901" s="2"/>
      <c r="H901" s="2"/>
      <c r="I901" s="2"/>
      <c r="J901" s="2"/>
      <c r="K901" s="2"/>
      <c r="L901" s="2"/>
    </row>
    <row x14ac:dyDescent="0.25" r="902" customHeight="1" ht="17.25">
      <c r="A902" s="2"/>
      <c r="B902" s="2"/>
      <c r="C902" s="2"/>
      <c r="D902" s="13"/>
      <c r="E902" s="10"/>
      <c r="F902" s="16"/>
      <c r="G902" s="2"/>
      <c r="H902" s="2"/>
      <c r="I902" s="2"/>
      <c r="J902" s="2"/>
      <c r="K902" s="2"/>
      <c r="L902" s="2"/>
    </row>
    <row x14ac:dyDescent="0.25" r="903" customHeight="1" ht="17.25">
      <c r="A903" s="2"/>
      <c r="B903" s="2"/>
      <c r="C903" s="2"/>
      <c r="D903" s="13"/>
      <c r="E903" s="10"/>
      <c r="F903" s="16"/>
      <c r="G903" s="2"/>
      <c r="H903" s="2"/>
      <c r="I903" s="2"/>
      <c r="J903" s="2"/>
      <c r="K903" s="2"/>
      <c r="L903" s="2"/>
    </row>
    <row x14ac:dyDescent="0.25" r="904" customHeight="1" ht="17.25">
      <c r="A904" s="2"/>
      <c r="B904" s="2"/>
      <c r="C904" s="2"/>
      <c r="D904" s="13"/>
      <c r="E904" s="10"/>
      <c r="F904" s="16"/>
      <c r="G904" s="2"/>
      <c r="H904" s="2"/>
      <c r="I904" s="2"/>
      <c r="J904" s="2"/>
      <c r="K904" s="2"/>
      <c r="L904" s="2"/>
    </row>
    <row x14ac:dyDescent="0.25" r="905" customHeight="1" ht="17.25">
      <c r="A905" s="2"/>
      <c r="B905" s="2"/>
      <c r="C905" s="2"/>
      <c r="D905" s="13"/>
      <c r="E905" s="10"/>
      <c r="F905" s="16"/>
      <c r="G905" s="2"/>
      <c r="H905" s="2"/>
      <c r="I905" s="2"/>
      <c r="J905" s="2"/>
      <c r="K905" s="2"/>
      <c r="L905" s="2"/>
    </row>
    <row x14ac:dyDescent="0.25" r="906" customHeight="1" ht="17.25">
      <c r="A906" s="2"/>
      <c r="B906" s="2"/>
      <c r="C906" s="2"/>
      <c r="D906" s="13"/>
      <c r="E906" s="10"/>
      <c r="F906" s="16"/>
      <c r="G906" s="2"/>
      <c r="H906" s="2"/>
      <c r="I906" s="2"/>
      <c r="J906" s="2"/>
      <c r="K906" s="2"/>
      <c r="L906" s="2"/>
    </row>
    <row x14ac:dyDescent="0.25" r="907" customHeight="1" ht="17.25">
      <c r="A907" s="2"/>
      <c r="B907" s="2"/>
      <c r="C907" s="2"/>
      <c r="D907" s="13"/>
      <c r="E907" s="10"/>
      <c r="F907" s="16"/>
      <c r="G907" s="2"/>
      <c r="H907" s="2"/>
      <c r="I907" s="2"/>
      <c r="J907" s="2"/>
      <c r="K907" s="2"/>
      <c r="L907" s="2"/>
    </row>
    <row x14ac:dyDescent="0.25" r="908" customHeight="1" ht="17.25">
      <c r="A908" s="2"/>
      <c r="B908" s="2"/>
      <c r="C908" s="2"/>
      <c r="D908" s="13"/>
      <c r="E908" s="10"/>
      <c r="F908" s="16"/>
      <c r="G908" s="2"/>
      <c r="H908" s="2"/>
      <c r="I908" s="2"/>
      <c r="J908" s="2"/>
      <c r="K908" s="2"/>
      <c r="L908" s="2"/>
    </row>
    <row x14ac:dyDescent="0.25" r="909" customHeight="1" ht="17.25">
      <c r="A909" s="2"/>
      <c r="B909" s="2"/>
      <c r="C909" s="2"/>
      <c r="D909" s="13"/>
      <c r="E909" s="10"/>
      <c r="F909" s="16"/>
      <c r="G909" s="2"/>
      <c r="H909" s="2"/>
      <c r="I909" s="2"/>
      <c r="J909" s="2"/>
      <c r="K909" s="2"/>
      <c r="L909" s="2"/>
    </row>
    <row x14ac:dyDescent="0.25" r="910" customHeight="1" ht="17.25">
      <c r="A910" s="2"/>
      <c r="B910" s="2"/>
      <c r="C910" s="2"/>
      <c r="D910" s="13"/>
      <c r="E910" s="10"/>
      <c r="F910" s="16"/>
      <c r="G910" s="2"/>
      <c r="H910" s="2"/>
      <c r="I910" s="2"/>
      <c r="J910" s="2"/>
      <c r="K910" s="2"/>
      <c r="L910" s="2"/>
    </row>
    <row x14ac:dyDescent="0.25" r="911" customHeight="1" ht="17.25">
      <c r="A911" s="2"/>
      <c r="B911" s="2"/>
      <c r="C911" s="2"/>
      <c r="D911" s="13"/>
      <c r="E911" s="10"/>
      <c r="F911" s="16"/>
      <c r="G911" s="2"/>
      <c r="H911" s="2"/>
      <c r="I911" s="2"/>
      <c r="J911" s="2"/>
      <c r="K911" s="2"/>
      <c r="L911" s="2"/>
    </row>
    <row x14ac:dyDescent="0.25" r="912" customHeight="1" ht="17.25">
      <c r="A912" s="2"/>
      <c r="B912" s="2"/>
      <c r="C912" s="2"/>
      <c r="D912" s="13"/>
      <c r="E912" s="10"/>
      <c r="F912" s="16"/>
      <c r="G912" s="2"/>
      <c r="H912" s="2"/>
      <c r="I912" s="2"/>
      <c r="J912" s="2"/>
      <c r="K912" s="2"/>
      <c r="L912" s="2"/>
    </row>
    <row x14ac:dyDescent="0.25" r="913" customHeight="1" ht="17.25">
      <c r="A913" s="2"/>
      <c r="B913" s="2"/>
      <c r="C913" s="2"/>
      <c r="D913" s="13"/>
      <c r="E913" s="10"/>
      <c r="F913" s="16"/>
      <c r="G913" s="2"/>
      <c r="H913" s="2"/>
      <c r="I913" s="2"/>
      <c r="J913" s="2"/>
      <c r="K913" s="2"/>
      <c r="L913" s="2"/>
    </row>
    <row x14ac:dyDescent="0.25" r="914" customHeight="1" ht="17.25">
      <c r="A914" s="2"/>
      <c r="B914" s="2"/>
      <c r="C914" s="2"/>
      <c r="D914" s="13"/>
      <c r="E914" s="10"/>
      <c r="F914" s="16"/>
      <c r="G914" s="2"/>
      <c r="H914" s="2"/>
      <c r="I914" s="2"/>
      <c r="J914" s="2"/>
      <c r="K914" s="2"/>
      <c r="L914" s="2"/>
    </row>
    <row x14ac:dyDescent="0.25" r="915" customHeight="1" ht="17.25">
      <c r="A915" s="2"/>
      <c r="B915" s="2"/>
      <c r="C915" s="2"/>
      <c r="D915" s="13"/>
      <c r="E915" s="10"/>
      <c r="F915" s="16"/>
      <c r="G915" s="2"/>
      <c r="H915" s="2"/>
      <c r="I915" s="2"/>
      <c r="J915" s="2"/>
      <c r="K915" s="2"/>
      <c r="L915" s="2"/>
    </row>
    <row x14ac:dyDescent="0.25" r="916" customHeight="1" ht="17.25">
      <c r="A916" s="2"/>
      <c r="B916" s="2"/>
      <c r="C916" s="2"/>
      <c r="D916" s="13"/>
      <c r="E916" s="10"/>
      <c r="F916" s="16"/>
      <c r="G916" s="2"/>
      <c r="H916" s="2"/>
      <c r="I916" s="2"/>
      <c r="J916" s="2"/>
      <c r="K916" s="2"/>
      <c r="L916" s="2"/>
    </row>
    <row x14ac:dyDescent="0.25" r="917" customHeight="1" ht="17.25">
      <c r="A917" s="2"/>
      <c r="B917" s="2"/>
      <c r="C917" s="2"/>
      <c r="D917" s="13"/>
      <c r="E917" s="10"/>
      <c r="F917" s="16"/>
      <c r="G917" s="2"/>
      <c r="H917" s="2"/>
      <c r="I917" s="2"/>
      <c r="J917" s="2"/>
      <c r="K917" s="2"/>
      <c r="L917" s="2"/>
    </row>
    <row x14ac:dyDescent="0.25" r="918" customHeight="1" ht="17.25">
      <c r="A918" s="2"/>
      <c r="B918" s="2"/>
      <c r="C918" s="2"/>
      <c r="D918" s="13"/>
      <c r="E918" s="10"/>
      <c r="F918" s="16"/>
      <c r="G918" s="2"/>
      <c r="H918" s="2"/>
      <c r="I918" s="2"/>
      <c r="J918" s="2"/>
      <c r="K918" s="2"/>
      <c r="L918" s="2"/>
    </row>
    <row x14ac:dyDescent="0.25" r="919" customHeight="1" ht="17.25">
      <c r="A919" s="2"/>
      <c r="B919" s="2"/>
      <c r="C919" s="2"/>
      <c r="D919" s="13"/>
      <c r="E919" s="10"/>
      <c r="F919" s="16"/>
      <c r="G919" s="2"/>
      <c r="H919" s="2"/>
      <c r="I919" s="2"/>
      <c r="J919" s="2"/>
      <c r="K919" s="2"/>
      <c r="L919" s="2"/>
    </row>
    <row x14ac:dyDescent="0.25" r="920" customHeight="1" ht="17.25">
      <c r="A920" s="2"/>
      <c r="B920" s="2"/>
      <c r="C920" s="2"/>
      <c r="D920" s="13"/>
      <c r="E920" s="10"/>
      <c r="F920" s="16"/>
      <c r="G920" s="2"/>
      <c r="H920" s="2"/>
      <c r="I920" s="2"/>
      <c r="J920" s="2"/>
      <c r="K920" s="2"/>
      <c r="L920" s="2"/>
    </row>
    <row x14ac:dyDescent="0.25" r="921" customHeight="1" ht="17.25">
      <c r="A921" s="2"/>
      <c r="B921" s="2"/>
      <c r="C921" s="2"/>
      <c r="D921" s="13"/>
      <c r="E921" s="10"/>
      <c r="F921" s="16"/>
      <c r="G921" s="2"/>
      <c r="H921" s="2"/>
      <c r="I921" s="2"/>
      <c r="J921" s="2"/>
      <c r="K921" s="2"/>
      <c r="L921" s="2"/>
    </row>
    <row x14ac:dyDescent="0.25" r="922" customHeight="1" ht="17.25">
      <c r="A922" s="2"/>
      <c r="B922" s="2"/>
      <c r="C922" s="2"/>
      <c r="D922" s="13"/>
      <c r="E922" s="10"/>
      <c r="F922" s="16"/>
      <c r="G922" s="2"/>
      <c r="H922" s="2"/>
      <c r="I922" s="2"/>
      <c r="J922" s="2"/>
      <c r="K922" s="2"/>
      <c r="L922" s="2"/>
    </row>
    <row x14ac:dyDescent="0.25" r="923" customHeight="1" ht="17.25">
      <c r="A923" s="2"/>
      <c r="B923" s="2"/>
      <c r="C923" s="2"/>
      <c r="D923" s="13"/>
      <c r="E923" s="10"/>
      <c r="F923" s="16"/>
      <c r="G923" s="2"/>
      <c r="H923" s="2"/>
      <c r="I923" s="2"/>
      <c r="J923" s="2"/>
      <c r="K923" s="2"/>
      <c r="L923" s="2"/>
    </row>
    <row x14ac:dyDescent="0.25" r="924" customHeight="1" ht="17.25">
      <c r="A924" s="2"/>
      <c r="B924" s="2"/>
      <c r="C924" s="2"/>
      <c r="D924" s="13"/>
      <c r="E924" s="10"/>
      <c r="F924" s="16"/>
      <c r="G924" s="2"/>
      <c r="H924" s="2"/>
      <c r="I924" s="2"/>
      <c r="J924" s="2"/>
      <c r="K924" s="2"/>
      <c r="L924" s="2"/>
    </row>
    <row x14ac:dyDescent="0.25" r="925" customHeight="1" ht="17.25">
      <c r="A925" s="2"/>
      <c r="B925" s="2"/>
      <c r="C925" s="2"/>
      <c r="D925" s="13"/>
      <c r="E925" s="10"/>
      <c r="F925" s="16"/>
      <c r="G925" s="2"/>
      <c r="H925" s="2"/>
      <c r="I925" s="2"/>
      <c r="J925" s="2"/>
      <c r="K925" s="2"/>
      <c r="L925" s="2"/>
    </row>
    <row x14ac:dyDescent="0.25" r="926" customHeight="1" ht="17.25">
      <c r="A926" s="2"/>
      <c r="B926" s="2"/>
      <c r="C926" s="2"/>
      <c r="D926" s="13"/>
      <c r="E926" s="10"/>
      <c r="F926" s="16"/>
      <c r="G926" s="2"/>
      <c r="H926" s="2"/>
      <c r="I926" s="2"/>
      <c r="J926" s="2"/>
      <c r="K926" s="2"/>
      <c r="L926" s="2"/>
    </row>
    <row x14ac:dyDescent="0.25" r="927" customHeight="1" ht="17.25">
      <c r="A927" s="2"/>
      <c r="B927" s="2"/>
      <c r="C927" s="2"/>
      <c r="D927" s="13"/>
      <c r="E927" s="10"/>
      <c r="F927" s="16"/>
      <c r="G927" s="2"/>
      <c r="H927" s="2"/>
      <c r="I927" s="2"/>
      <c r="J927" s="2"/>
      <c r="K927" s="2"/>
      <c r="L927" s="2"/>
    </row>
    <row x14ac:dyDescent="0.25" r="928" customHeight="1" ht="17.25">
      <c r="A928" s="2"/>
      <c r="B928" s="2"/>
      <c r="C928" s="2"/>
      <c r="D928" s="13"/>
      <c r="E928" s="10"/>
      <c r="F928" s="16"/>
      <c r="G928" s="2"/>
      <c r="H928" s="2"/>
      <c r="I928" s="2"/>
      <c r="J928" s="2"/>
      <c r="K928" s="2"/>
      <c r="L928" s="2"/>
    </row>
    <row x14ac:dyDescent="0.25" r="929" customHeight="1" ht="17.25">
      <c r="A929" s="2"/>
      <c r="B929" s="2"/>
      <c r="C929" s="2"/>
      <c r="D929" s="13"/>
      <c r="E929" s="10"/>
      <c r="F929" s="16"/>
      <c r="G929" s="2"/>
      <c r="H929" s="2"/>
      <c r="I929" s="2"/>
      <c r="J929" s="2"/>
      <c r="K929" s="2"/>
      <c r="L929" s="2"/>
    </row>
    <row x14ac:dyDescent="0.25" r="930" customHeight="1" ht="17.25">
      <c r="A930" s="2"/>
      <c r="B930" s="2"/>
      <c r="C930" s="2"/>
      <c r="D930" s="13"/>
      <c r="E930" s="10"/>
      <c r="F930" s="16"/>
      <c r="G930" s="2"/>
      <c r="H930" s="2"/>
      <c r="I930" s="2"/>
      <c r="J930" s="2"/>
      <c r="K930" s="2"/>
      <c r="L930" s="2"/>
    </row>
    <row x14ac:dyDescent="0.25" r="931" customHeight="1" ht="17.25">
      <c r="A931" s="2"/>
      <c r="B931" s="2"/>
      <c r="C931" s="2"/>
      <c r="D931" s="13"/>
      <c r="E931" s="10"/>
      <c r="F931" s="16"/>
      <c r="G931" s="2"/>
      <c r="H931" s="2"/>
      <c r="I931" s="2"/>
      <c r="J931" s="2"/>
      <c r="K931" s="2"/>
      <c r="L931" s="2"/>
    </row>
    <row x14ac:dyDescent="0.25" r="932" customHeight="1" ht="17.25">
      <c r="A932" s="2"/>
      <c r="B932" s="2"/>
      <c r="C932" s="2"/>
      <c r="D932" s="13"/>
      <c r="E932" s="10"/>
      <c r="F932" s="16"/>
      <c r="G932" s="2"/>
      <c r="H932" s="2"/>
      <c r="I932" s="2"/>
      <c r="J932" s="2"/>
      <c r="K932" s="2"/>
      <c r="L932" s="2"/>
    </row>
    <row x14ac:dyDescent="0.25" r="933" customHeight="1" ht="17.25">
      <c r="A933" s="2"/>
      <c r="B933" s="2"/>
      <c r="C933" s="2"/>
      <c r="D933" s="13"/>
      <c r="E933" s="10"/>
      <c r="F933" s="16"/>
      <c r="G933" s="2"/>
      <c r="H933" s="2"/>
      <c r="I933" s="2"/>
      <c r="J933" s="2"/>
      <c r="K933" s="2"/>
      <c r="L933" s="2"/>
    </row>
    <row x14ac:dyDescent="0.25" r="934" customHeight="1" ht="17.25">
      <c r="A934" s="2"/>
      <c r="B934" s="2"/>
      <c r="C934" s="2"/>
      <c r="D934" s="13"/>
      <c r="E934" s="10"/>
      <c r="F934" s="16"/>
      <c r="G934" s="2"/>
      <c r="H934" s="2"/>
      <c r="I934" s="2"/>
      <c r="J934" s="2"/>
      <c r="K934" s="2"/>
      <c r="L934" s="2"/>
    </row>
    <row x14ac:dyDescent="0.25" r="935" customHeight="1" ht="17.25">
      <c r="A935" s="2"/>
      <c r="B935" s="2"/>
      <c r="C935" s="2"/>
      <c r="D935" s="13"/>
      <c r="E935" s="10"/>
      <c r="F935" s="16"/>
      <c r="G935" s="2"/>
      <c r="H935" s="2"/>
      <c r="I935" s="2"/>
      <c r="J935" s="2"/>
      <c r="K935" s="2"/>
      <c r="L935" s="2"/>
    </row>
    <row x14ac:dyDescent="0.25" r="936" customHeight="1" ht="17.25">
      <c r="A936" s="2"/>
      <c r="B936" s="2"/>
      <c r="C936" s="2"/>
      <c r="D936" s="13"/>
      <c r="E936" s="10"/>
      <c r="F936" s="16"/>
      <c r="G936" s="2"/>
      <c r="H936" s="2"/>
      <c r="I936" s="2"/>
      <c r="J936" s="2"/>
      <c r="K936" s="2"/>
      <c r="L936" s="2"/>
    </row>
    <row x14ac:dyDescent="0.25" r="937" customHeight="1" ht="17.25">
      <c r="A937" s="2"/>
      <c r="B937" s="2"/>
      <c r="C937" s="2"/>
      <c r="D937" s="13"/>
      <c r="E937" s="10"/>
      <c r="F937" s="16"/>
      <c r="G937" s="2"/>
      <c r="H937" s="2"/>
      <c r="I937" s="2"/>
      <c r="J937" s="2"/>
      <c r="K937" s="2"/>
      <c r="L937" s="2"/>
    </row>
    <row x14ac:dyDescent="0.25" r="938" customHeight="1" ht="17.25">
      <c r="A938" s="2"/>
      <c r="B938" s="2"/>
      <c r="C938" s="2"/>
      <c r="D938" s="13"/>
      <c r="E938" s="10"/>
      <c r="F938" s="16"/>
      <c r="G938" s="2"/>
      <c r="H938" s="2"/>
      <c r="I938" s="2"/>
      <c r="J938" s="2"/>
      <c r="K938" s="2"/>
      <c r="L938" s="2"/>
    </row>
    <row x14ac:dyDescent="0.25" r="939" customHeight="1" ht="17.25">
      <c r="A939" s="2"/>
      <c r="B939" s="2"/>
      <c r="C939" s="2"/>
      <c r="D939" s="13"/>
      <c r="E939" s="10"/>
      <c r="F939" s="16"/>
      <c r="G939" s="2"/>
      <c r="H939" s="2"/>
      <c r="I939" s="2"/>
      <c r="J939" s="2"/>
      <c r="K939" s="2"/>
      <c r="L939" s="2"/>
    </row>
    <row x14ac:dyDescent="0.25" r="940" customHeight="1" ht="17.25">
      <c r="A940" s="2"/>
      <c r="B940" s="2"/>
      <c r="C940" s="2"/>
      <c r="D940" s="13"/>
      <c r="E940" s="10"/>
      <c r="F940" s="16"/>
      <c r="G940" s="2"/>
      <c r="H940" s="2"/>
      <c r="I940" s="2"/>
      <c r="J940" s="2"/>
      <c r="K940" s="2"/>
      <c r="L940" s="2"/>
    </row>
    <row x14ac:dyDescent="0.25" r="941" customHeight="1" ht="17.25">
      <c r="A941" s="2"/>
      <c r="B941" s="2"/>
      <c r="C941" s="2"/>
      <c r="D941" s="13"/>
      <c r="E941" s="10"/>
      <c r="F941" s="16"/>
      <c r="G941" s="2"/>
      <c r="H941" s="2"/>
      <c r="I941" s="2"/>
      <c r="J941" s="2"/>
      <c r="K941" s="2"/>
      <c r="L941" s="2"/>
    </row>
    <row x14ac:dyDescent="0.25" r="942" customHeight="1" ht="17.25">
      <c r="A942" s="2"/>
      <c r="B942" s="2"/>
      <c r="C942" s="2"/>
      <c r="D942" s="13"/>
      <c r="E942" s="10"/>
      <c r="F942" s="16"/>
      <c r="G942" s="2"/>
      <c r="H942" s="2"/>
      <c r="I942" s="2"/>
      <c r="J942" s="2"/>
      <c r="K942" s="2"/>
      <c r="L942" s="2"/>
    </row>
    <row x14ac:dyDescent="0.25" r="943" customHeight="1" ht="17.25">
      <c r="A943" s="2"/>
      <c r="B943" s="2"/>
      <c r="C943" s="2"/>
      <c r="D943" s="13"/>
      <c r="E943" s="10"/>
      <c r="F943" s="16"/>
      <c r="G943" s="2"/>
      <c r="H943" s="2"/>
      <c r="I943" s="2"/>
      <c r="J943" s="2"/>
      <c r="K943" s="2"/>
      <c r="L943" s="2"/>
    </row>
    <row x14ac:dyDescent="0.25" r="944" customHeight="1" ht="17.25">
      <c r="A944" s="2"/>
      <c r="B944" s="2"/>
      <c r="C944" s="2"/>
      <c r="D944" s="13"/>
      <c r="E944" s="10"/>
      <c r="F944" s="16"/>
      <c r="G944" s="2"/>
      <c r="H944" s="2"/>
      <c r="I944" s="2"/>
      <c r="J944" s="2"/>
      <c r="K944" s="2"/>
      <c r="L944" s="2"/>
    </row>
    <row x14ac:dyDescent="0.25" r="945" customHeight="1" ht="17.25">
      <c r="A945" s="2"/>
      <c r="B945" s="2"/>
      <c r="C945" s="2"/>
      <c r="D945" s="13"/>
      <c r="E945" s="10"/>
      <c r="F945" s="16"/>
      <c r="G945" s="2"/>
      <c r="H945" s="2"/>
      <c r="I945" s="2"/>
      <c r="J945" s="2"/>
      <c r="K945" s="2"/>
      <c r="L945" s="2"/>
    </row>
    <row x14ac:dyDescent="0.25" r="946" customHeight="1" ht="17.25">
      <c r="A946" s="2"/>
      <c r="B946" s="2"/>
      <c r="C946" s="2"/>
      <c r="D946" s="13"/>
      <c r="E946" s="10"/>
      <c r="F946" s="16"/>
      <c r="G946" s="2"/>
      <c r="H946" s="2"/>
      <c r="I946" s="2"/>
      <c r="J946" s="2"/>
      <c r="K946" s="2"/>
      <c r="L946" s="2"/>
    </row>
    <row x14ac:dyDescent="0.25" r="947" customHeight="1" ht="17.25">
      <c r="A947" s="2"/>
      <c r="B947" s="2"/>
      <c r="C947" s="2"/>
      <c r="D947" s="13"/>
      <c r="E947" s="10"/>
      <c r="F947" s="16"/>
      <c r="G947" s="2"/>
      <c r="H947" s="2"/>
      <c r="I947" s="2"/>
      <c r="J947" s="2"/>
      <c r="K947" s="2"/>
      <c r="L947" s="2"/>
    </row>
    <row x14ac:dyDescent="0.25" r="948" customHeight="1" ht="17.25">
      <c r="A948" s="2"/>
      <c r="B948" s="2"/>
      <c r="C948" s="2"/>
      <c r="D948" s="13"/>
      <c r="E948" s="10"/>
      <c r="F948" s="16"/>
      <c r="G948" s="2"/>
      <c r="H948" s="2"/>
      <c r="I948" s="2"/>
      <c r="J948" s="2"/>
      <c r="K948" s="2"/>
      <c r="L948" s="2"/>
    </row>
    <row x14ac:dyDescent="0.25" r="949" customHeight="1" ht="17.25">
      <c r="A949" s="2"/>
      <c r="B949" s="2"/>
      <c r="C949" s="2"/>
      <c r="D949" s="13"/>
      <c r="E949" s="10"/>
      <c r="F949" s="16"/>
      <c r="G949" s="2"/>
      <c r="H949" s="2"/>
      <c r="I949" s="2"/>
      <c r="J949" s="2"/>
      <c r="K949" s="2"/>
      <c r="L949" s="2"/>
    </row>
    <row x14ac:dyDescent="0.25" r="950" customHeight="1" ht="17.25">
      <c r="A950" s="2"/>
      <c r="B950" s="2"/>
      <c r="C950" s="2"/>
      <c r="D950" s="13"/>
      <c r="E950" s="10"/>
      <c r="F950" s="16"/>
      <c r="G950" s="2"/>
      <c r="H950" s="2"/>
      <c r="I950" s="2"/>
      <c r="J950" s="2"/>
      <c r="K950" s="2"/>
      <c r="L950" s="2"/>
    </row>
    <row x14ac:dyDescent="0.25" r="951" customHeight="1" ht="17.25">
      <c r="A951" s="2"/>
      <c r="B951" s="2"/>
      <c r="C951" s="2"/>
      <c r="D951" s="13"/>
      <c r="E951" s="10"/>
      <c r="F951" s="16"/>
      <c r="G951" s="2"/>
      <c r="H951" s="2"/>
      <c r="I951" s="2"/>
      <c r="J951" s="2"/>
      <c r="K951" s="2"/>
      <c r="L951" s="2"/>
    </row>
    <row x14ac:dyDescent="0.25" r="952" customHeight="1" ht="17.25">
      <c r="A952" s="2"/>
      <c r="B952" s="2"/>
      <c r="C952" s="2"/>
      <c r="D952" s="13"/>
      <c r="E952" s="10"/>
      <c r="F952" s="16"/>
      <c r="G952" s="2"/>
      <c r="H952" s="2"/>
      <c r="I952" s="2"/>
      <c r="J952" s="2"/>
      <c r="K952" s="2"/>
      <c r="L952" s="2"/>
    </row>
    <row x14ac:dyDescent="0.25" r="953" customHeight="1" ht="17.25">
      <c r="A953" s="2"/>
      <c r="B953" s="2"/>
      <c r="C953" s="2"/>
      <c r="D953" s="13"/>
      <c r="E953" s="10"/>
      <c r="F953" s="16"/>
      <c r="G953" s="2"/>
      <c r="H953" s="2"/>
      <c r="I953" s="2"/>
      <c r="J953" s="2"/>
      <c r="K953" s="2"/>
      <c r="L953" s="2"/>
    </row>
    <row x14ac:dyDescent="0.25" r="954" customHeight="1" ht="17.25">
      <c r="A954" s="2"/>
      <c r="B954" s="2"/>
      <c r="C954" s="2"/>
      <c r="D954" s="13"/>
      <c r="E954" s="10"/>
      <c r="F954" s="16"/>
      <c r="G954" s="2"/>
      <c r="H954" s="2"/>
      <c r="I954" s="2"/>
      <c r="J954" s="2"/>
      <c r="K954" s="2"/>
      <c r="L954" s="2"/>
    </row>
    <row x14ac:dyDescent="0.25" r="955" customHeight="1" ht="17.25">
      <c r="A955" s="2"/>
      <c r="B955" s="2"/>
      <c r="C955" s="2"/>
      <c r="D955" s="13"/>
      <c r="E955" s="10"/>
      <c r="F955" s="16"/>
      <c r="G955" s="2"/>
      <c r="H955" s="2"/>
      <c r="I955" s="2"/>
      <c r="J955" s="2"/>
      <c r="K955" s="2"/>
      <c r="L955" s="2"/>
    </row>
    <row x14ac:dyDescent="0.25" r="956" customHeight="1" ht="17.25">
      <c r="A956" s="2"/>
      <c r="B956" s="2"/>
      <c r="C956" s="2"/>
      <c r="D956" s="13"/>
      <c r="E956" s="10"/>
      <c r="F956" s="16"/>
      <c r="G956" s="2"/>
      <c r="H956" s="2"/>
      <c r="I956" s="2"/>
      <c r="J956" s="2"/>
      <c r="K956" s="2"/>
      <c r="L956" s="2"/>
    </row>
    <row x14ac:dyDescent="0.25" r="957" customHeight="1" ht="17.25">
      <c r="A957" s="2"/>
      <c r="B957" s="2"/>
      <c r="C957" s="2"/>
      <c r="D957" s="13"/>
      <c r="E957" s="10"/>
      <c r="F957" s="16"/>
      <c r="G957" s="2"/>
      <c r="H957" s="2"/>
      <c r="I957" s="2"/>
      <c r="J957" s="2"/>
      <c r="K957" s="2"/>
      <c r="L957" s="2"/>
    </row>
    <row x14ac:dyDescent="0.25" r="958" customHeight="1" ht="17.25">
      <c r="A958" s="2"/>
      <c r="B958" s="2"/>
      <c r="C958" s="2"/>
      <c r="D958" s="13"/>
      <c r="E958" s="10"/>
      <c r="F958" s="16"/>
      <c r="G958" s="2"/>
      <c r="H958" s="2"/>
      <c r="I958" s="2"/>
      <c r="J958" s="2"/>
      <c r="K958" s="2"/>
      <c r="L958" s="2"/>
    </row>
    <row x14ac:dyDescent="0.25" r="959" customHeight="1" ht="17.25">
      <c r="A959" s="2"/>
      <c r="B959" s="2"/>
      <c r="C959" s="2"/>
      <c r="D959" s="13"/>
      <c r="E959" s="10"/>
      <c r="F959" s="16"/>
      <c r="G959" s="2"/>
      <c r="H959" s="2"/>
      <c r="I959" s="2"/>
      <c r="J959" s="2"/>
      <c r="K959" s="2"/>
      <c r="L959" s="2"/>
    </row>
    <row x14ac:dyDescent="0.25" r="960" customHeight="1" ht="17.25">
      <c r="A960" s="2"/>
      <c r="B960" s="2"/>
      <c r="C960" s="2"/>
      <c r="D960" s="13"/>
      <c r="E960" s="10"/>
      <c r="F960" s="16"/>
      <c r="G960" s="2"/>
      <c r="H960" s="2"/>
      <c r="I960" s="2"/>
      <c r="J960" s="2"/>
      <c r="K960" s="2"/>
      <c r="L960" s="2"/>
    </row>
    <row x14ac:dyDescent="0.25" r="961" customHeight="1" ht="17.25">
      <c r="A961" s="2"/>
      <c r="B961" s="2"/>
      <c r="C961" s="2"/>
      <c r="D961" s="13"/>
      <c r="E961" s="10"/>
      <c r="F961" s="16"/>
      <c r="G961" s="2"/>
      <c r="H961" s="2"/>
      <c r="I961" s="2"/>
      <c r="J961" s="2"/>
      <c r="K961" s="2"/>
      <c r="L961" s="2"/>
    </row>
    <row x14ac:dyDescent="0.25" r="962" customHeight="1" ht="17.25">
      <c r="A962" s="2"/>
      <c r="B962" s="2"/>
      <c r="C962" s="2"/>
      <c r="D962" s="13"/>
      <c r="E962" s="10"/>
      <c r="F962" s="16"/>
      <c r="G962" s="2"/>
      <c r="H962" s="2"/>
      <c r="I962" s="2"/>
      <c r="J962" s="2"/>
      <c r="K962" s="2"/>
      <c r="L962" s="2"/>
    </row>
    <row x14ac:dyDescent="0.25" r="963" customHeight="1" ht="17.25">
      <c r="A963" s="2"/>
      <c r="B963" s="2"/>
      <c r="C963" s="2"/>
      <c r="D963" s="13"/>
      <c r="E963" s="10"/>
      <c r="F963" s="16"/>
      <c r="G963" s="2"/>
      <c r="H963" s="2"/>
      <c r="I963" s="2"/>
      <c r="J963" s="2"/>
      <c r="K963" s="2"/>
      <c r="L963" s="2"/>
    </row>
    <row x14ac:dyDescent="0.25" r="964" customHeight="1" ht="17.25">
      <c r="A964" s="2"/>
      <c r="B964" s="2"/>
      <c r="C964" s="2"/>
      <c r="D964" s="13"/>
      <c r="E964" s="10"/>
      <c r="F964" s="16"/>
      <c r="G964" s="2"/>
      <c r="H964" s="2"/>
      <c r="I964" s="2"/>
      <c r="J964" s="2"/>
      <c r="K964" s="2"/>
      <c r="L964" s="2"/>
    </row>
    <row x14ac:dyDescent="0.25" r="965" customHeight="1" ht="17.25">
      <c r="A965" s="2"/>
      <c r="B965" s="2"/>
      <c r="C965" s="2"/>
      <c r="D965" s="13"/>
      <c r="E965" s="10"/>
      <c r="F965" s="16"/>
      <c r="G965" s="2"/>
      <c r="H965" s="2"/>
      <c r="I965" s="2"/>
      <c r="J965" s="2"/>
      <c r="K965" s="2"/>
      <c r="L965" s="2"/>
    </row>
    <row x14ac:dyDescent="0.25" r="966" customHeight="1" ht="17.25">
      <c r="A966" s="2"/>
      <c r="B966" s="2"/>
      <c r="C966" s="2"/>
      <c r="D966" s="13"/>
      <c r="E966" s="10"/>
      <c r="F966" s="16"/>
      <c r="G966" s="2"/>
      <c r="H966" s="2"/>
      <c r="I966" s="2"/>
      <c r="J966" s="2"/>
      <c r="K966" s="2"/>
      <c r="L966" s="2"/>
    </row>
    <row x14ac:dyDescent="0.25" r="967" customHeight="1" ht="17.25">
      <c r="A967" s="2"/>
      <c r="B967" s="2"/>
      <c r="C967" s="2"/>
      <c r="D967" s="13"/>
      <c r="E967" s="10"/>
      <c r="F967" s="16"/>
      <c r="G967" s="2"/>
      <c r="H967" s="2"/>
      <c r="I967" s="2"/>
      <c r="J967" s="2"/>
      <c r="K967" s="2"/>
      <c r="L967" s="2"/>
    </row>
    <row x14ac:dyDescent="0.25" r="968" customHeight="1" ht="17.25">
      <c r="A968" s="2"/>
      <c r="B968" s="2"/>
      <c r="C968" s="2"/>
      <c r="D968" s="13"/>
      <c r="E968" s="10"/>
      <c r="F968" s="16"/>
      <c r="G968" s="2"/>
      <c r="H968" s="2"/>
      <c r="I968" s="2"/>
      <c r="J968" s="2"/>
      <c r="K968" s="2"/>
      <c r="L96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2.43357142857143" customWidth="1" bestFit="1"/>
    <col min="2" max="2" style="4" width="16.576428571428572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</cols>
  <sheetData>
    <row x14ac:dyDescent="0.25" r="1" customHeight="1" ht="17.25">
      <c r="A1" s="1" t="s">
        <v>0</v>
      </c>
      <c r="B1" s="1" t="s">
        <v>3558</v>
      </c>
      <c r="C1" s="1" t="s">
        <v>9641</v>
      </c>
      <c r="D1" s="1" t="s">
        <v>9642</v>
      </c>
      <c r="E1" s="1" t="s">
        <v>7</v>
      </c>
      <c r="F1" s="1" t="s">
        <v>8</v>
      </c>
      <c r="G1" s="1" t="s">
        <v>9</v>
      </c>
      <c r="H1" s="1" t="s">
        <v>10</v>
      </c>
    </row>
    <row x14ac:dyDescent="0.25" r="2" customHeight="1" ht="17.25">
      <c r="A2" s="5">
        <f>concatenate("CA", text(A2, "00000"))</f>
      </c>
      <c r="B2" s="1" t="s">
        <v>9643</v>
      </c>
      <c r="C2" s="2"/>
      <c r="D2" s="2"/>
      <c r="E2" s="2"/>
      <c r="F2" s="2"/>
      <c r="G2" s="2"/>
      <c r="H2" s="2"/>
    </row>
    <row x14ac:dyDescent="0.25" r="3" customHeight="1" ht="17.25">
      <c r="A3" s="5">
        <f>concatenate("CA", text(A3, "00000"))</f>
      </c>
      <c r="B3" s="1" t="s">
        <v>9644</v>
      </c>
      <c r="C3" s="2"/>
      <c r="D3" s="1" t="s">
        <v>5514</v>
      </c>
      <c r="E3" s="2"/>
      <c r="F3" s="2"/>
      <c r="G3" s="2"/>
      <c r="H3" s="2"/>
    </row>
    <row x14ac:dyDescent="0.25" r="4" customHeight="1" ht="17.25">
      <c r="A4" s="5">
        <f>concatenate("CA", text(A4, "00000"))</f>
      </c>
      <c r="B4" s="1" t="s">
        <v>9645</v>
      </c>
      <c r="C4" s="1" t="s">
        <v>9646</v>
      </c>
      <c r="D4" s="1" t="s">
        <v>5514</v>
      </c>
      <c r="E4" s="2"/>
      <c r="F4" s="2"/>
      <c r="G4" s="2"/>
      <c r="H4" s="2"/>
    </row>
    <row x14ac:dyDescent="0.25" r="5" customHeight="1" ht="17.25">
      <c r="A5" s="5">
        <f>concatenate("CA", text(A5, "00000"))</f>
      </c>
      <c r="B5" s="1" t="s">
        <v>5828</v>
      </c>
      <c r="C5" s="1" t="s">
        <v>9646</v>
      </c>
      <c r="D5" s="1" t="s">
        <v>5514</v>
      </c>
      <c r="E5" s="2"/>
      <c r="F5" s="2"/>
      <c r="G5" s="2"/>
      <c r="H5" s="2"/>
    </row>
    <row x14ac:dyDescent="0.25" r="6" customHeight="1" ht="17.25">
      <c r="A6" s="5">
        <f>concatenate("CA", text(A6, "00000"))</f>
      </c>
      <c r="B6" s="1" t="s">
        <v>9647</v>
      </c>
      <c r="C6" s="2"/>
      <c r="D6" s="1" t="s">
        <v>5514</v>
      </c>
      <c r="E6" s="2"/>
      <c r="F6" s="2"/>
      <c r="G6" s="2"/>
      <c r="H6" s="2"/>
    </row>
    <row x14ac:dyDescent="0.25" r="7" customHeight="1" ht="17.25">
      <c r="A7" s="5">
        <f>concatenate("CA", text(A7, "00000"))</f>
      </c>
      <c r="B7" s="1" t="s">
        <v>9648</v>
      </c>
      <c r="C7" s="1" t="s">
        <v>9646</v>
      </c>
      <c r="D7" s="1" t="s">
        <v>9649</v>
      </c>
      <c r="E7" s="2"/>
      <c r="F7" s="2"/>
      <c r="G7" s="2"/>
      <c r="H7" s="2"/>
    </row>
    <row x14ac:dyDescent="0.25" r="8" customHeight="1" ht="17.25">
      <c r="A8" s="5">
        <f>concatenate("CA", text(A8, "00000"))</f>
      </c>
      <c r="B8" s="1" t="s">
        <v>5510</v>
      </c>
      <c r="C8" s="1" t="s">
        <v>9650</v>
      </c>
      <c r="D8" s="1" t="s">
        <v>9645</v>
      </c>
      <c r="E8" s="2"/>
      <c r="F8" s="2"/>
      <c r="G8" s="2"/>
      <c r="H8" s="2"/>
    </row>
    <row x14ac:dyDescent="0.25" r="9" customHeight="1" ht="17.25">
      <c r="A9" s="5">
        <f>concatenate("CA", text(A9, "00000"))</f>
      </c>
      <c r="B9" s="1" t="s">
        <v>9651</v>
      </c>
      <c r="C9" s="1" t="s">
        <v>9652</v>
      </c>
      <c r="D9" s="1" t="s">
        <v>5533</v>
      </c>
      <c r="E9" s="2"/>
      <c r="F9" s="2"/>
      <c r="G9" s="2"/>
      <c r="H9" s="2"/>
    </row>
    <row x14ac:dyDescent="0.25" r="10" customHeight="1" ht="17.25">
      <c r="A10" s="5">
        <f>concatenate("CA", text(A10, "00000"))</f>
      </c>
      <c r="B10" s="1" t="s">
        <v>5531</v>
      </c>
      <c r="C10" s="1" t="s">
        <v>9652</v>
      </c>
      <c r="D10" s="1" t="s">
        <v>9649</v>
      </c>
      <c r="E10" s="2"/>
      <c r="F10" s="2"/>
      <c r="G10" s="2"/>
      <c r="H10" s="2"/>
    </row>
    <row x14ac:dyDescent="0.25" r="11" customHeight="1" ht="17.25">
      <c r="A11" s="5">
        <f>concatenate("CA", text(A11, "00000"))</f>
      </c>
      <c r="B11" s="1" t="s">
        <v>5517</v>
      </c>
      <c r="C11" s="1" t="s">
        <v>9653</v>
      </c>
      <c r="D11" s="1" t="s">
        <v>9649</v>
      </c>
      <c r="E11" s="2"/>
      <c r="F11" s="2"/>
      <c r="G11" s="2"/>
      <c r="H11" s="2"/>
    </row>
    <row x14ac:dyDescent="0.25" r="12" customHeight="1" ht="17.25">
      <c r="A12" s="5">
        <f>concatenate("CA", text(A12, "00000"))</f>
      </c>
      <c r="B12" s="1" t="s">
        <v>5539</v>
      </c>
      <c r="C12" s="1" t="s">
        <v>9650</v>
      </c>
      <c r="D12" s="1" t="s">
        <v>5514</v>
      </c>
      <c r="E12" s="2"/>
      <c r="F12" s="2"/>
      <c r="G12" s="2"/>
      <c r="H12" s="2"/>
    </row>
    <row x14ac:dyDescent="0.25" r="13" customHeight="1" ht="17.25">
      <c r="A13" s="5">
        <f>concatenate("CA", text(A13, "00000"))</f>
      </c>
      <c r="B13" s="1" t="s">
        <v>5832</v>
      </c>
      <c r="C13" s="2"/>
      <c r="D13" s="1" t="s">
        <v>5514</v>
      </c>
      <c r="E13" s="2"/>
      <c r="F13" s="2"/>
      <c r="G13" s="2"/>
      <c r="H13" s="2"/>
    </row>
    <row x14ac:dyDescent="0.25" r="14" customHeight="1" ht="17.25">
      <c r="A14" s="5">
        <f>concatenate("CA", text(A14, "00000"))</f>
      </c>
      <c r="B14" s="1" t="s">
        <v>5833</v>
      </c>
      <c r="C14" s="2"/>
      <c r="D14" s="1" t="s">
        <v>9649</v>
      </c>
      <c r="E14" s="2"/>
      <c r="F14" s="2"/>
      <c r="G14" s="2"/>
      <c r="H14" s="2"/>
    </row>
    <row x14ac:dyDescent="0.25" r="15" customHeight="1" ht="17.25">
      <c r="A15" s="5">
        <f>concatenate("CA", text(A15, "00000"))</f>
      </c>
      <c r="B15" s="1" t="s">
        <v>9654</v>
      </c>
      <c r="C15" s="2"/>
      <c r="D15" s="2"/>
      <c r="E15" s="2"/>
      <c r="F15" s="2"/>
      <c r="G15" s="2"/>
      <c r="H15" s="2"/>
    </row>
    <row x14ac:dyDescent="0.25" r="16" customHeight="1" ht="17.25">
      <c r="A16" s="5">
        <f>concatenate("CA", text(A16, "00000"))</f>
      </c>
      <c r="B16" s="1" t="s">
        <v>5600</v>
      </c>
      <c r="C16" s="1" t="s">
        <v>9646</v>
      </c>
      <c r="D16" s="2"/>
      <c r="E16" s="2"/>
      <c r="F16" s="2"/>
      <c r="G16" s="2"/>
      <c r="H16" s="2"/>
    </row>
    <row x14ac:dyDescent="0.25" r="17" customHeight="1" ht="17.25">
      <c r="A17" s="5">
        <f>concatenate("CA", text(A17, "00000"))</f>
      </c>
      <c r="B17" s="1" t="s">
        <v>5527</v>
      </c>
      <c r="C17" s="1" t="s">
        <v>9646</v>
      </c>
      <c r="D17" s="2"/>
      <c r="E17" s="2"/>
      <c r="F17" s="2"/>
      <c r="G17" s="2"/>
      <c r="H17" s="2"/>
    </row>
    <row x14ac:dyDescent="0.25" r="18" customHeight="1" ht="17.25">
      <c r="A18" s="5">
        <f>concatenate("CA", text(A18, "00000"))</f>
      </c>
      <c r="B18" s="1" t="s">
        <v>5986</v>
      </c>
      <c r="C18" s="1" t="s">
        <v>9646</v>
      </c>
      <c r="D18" s="2"/>
      <c r="E18" s="2"/>
      <c r="F18" s="2"/>
      <c r="G18" s="2"/>
      <c r="H18" s="2"/>
    </row>
    <row x14ac:dyDescent="0.25" r="19" customHeight="1" ht="17.25">
      <c r="A19" s="5">
        <f>concatenate("CA", text(A19, "00000"))</f>
      </c>
      <c r="B19" s="1" t="s">
        <v>5610</v>
      </c>
      <c r="C19" s="1" t="s">
        <v>9646</v>
      </c>
      <c r="D19" s="2"/>
      <c r="E19" s="2"/>
      <c r="F19" s="2"/>
      <c r="G19" s="2"/>
      <c r="H19" s="2"/>
    </row>
    <row x14ac:dyDescent="0.25" r="20" customHeight="1" ht="17.25">
      <c r="A20" s="5">
        <f>concatenate("CA", text(A20, "00000"))</f>
      </c>
      <c r="B20" s="1" t="s">
        <v>3726</v>
      </c>
      <c r="C20" s="1" t="s">
        <v>9646</v>
      </c>
      <c r="D20" s="2"/>
      <c r="E20" s="2"/>
      <c r="F20" s="2"/>
      <c r="G20" s="2"/>
      <c r="H20" s="2"/>
    </row>
    <row x14ac:dyDescent="0.25" r="21" customHeight="1" ht="17.25">
      <c r="A21" s="5">
        <f>concatenate("CA", text(A21, "00000"))</f>
      </c>
      <c r="B21" s="1" t="s">
        <v>5996</v>
      </c>
      <c r="C21" s="1" t="s">
        <v>9646</v>
      </c>
      <c r="D21" s="2"/>
      <c r="E21" s="2"/>
      <c r="F21" s="2"/>
      <c r="G21" s="2"/>
      <c r="H21" s="2"/>
    </row>
    <row x14ac:dyDescent="0.25" r="22" customHeight="1" ht="17.25">
      <c r="A22" s="5">
        <f>concatenate("CA", text(A22, "00000"))</f>
      </c>
      <c r="B22" s="1" t="s">
        <v>6008</v>
      </c>
      <c r="C22" s="1" t="s">
        <v>9646</v>
      </c>
      <c r="D22" s="2"/>
      <c r="E22" s="2"/>
      <c r="F22" s="2"/>
      <c r="G22" s="2"/>
      <c r="H22" s="2"/>
    </row>
    <row x14ac:dyDescent="0.25" r="23" customHeight="1" ht="17.25">
      <c r="A23" s="5">
        <f>concatenate("CA", text(A23, "00000"))</f>
      </c>
      <c r="B23" s="1" t="s">
        <v>5617</v>
      </c>
      <c r="C23" s="1" t="s">
        <v>9646</v>
      </c>
      <c r="D23" s="2"/>
      <c r="E23" s="2"/>
      <c r="F23" s="2"/>
      <c r="G23" s="2"/>
      <c r="H23" s="2"/>
    </row>
    <row x14ac:dyDescent="0.25" r="24" customHeight="1" ht="17.25">
      <c r="A24" s="5">
        <f>concatenate("CA", text(A24, "00000"))</f>
      </c>
      <c r="B24" s="1" t="s">
        <v>9372</v>
      </c>
      <c r="C24" s="1" t="s">
        <v>9646</v>
      </c>
      <c r="D24" s="2"/>
      <c r="E24" s="2"/>
      <c r="F24" s="2"/>
      <c r="G24" s="2"/>
      <c r="H24" s="2"/>
    </row>
    <row x14ac:dyDescent="0.25" r="25" customHeight="1" ht="17.25">
      <c r="A25" s="5">
        <f>concatenate("CA", text(A25, "00000"))</f>
      </c>
      <c r="B25" s="1" t="s">
        <v>9655</v>
      </c>
      <c r="C25" s="1" t="s">
        <v>9646</v>
      </c>
      <c r="D25" s="2"/>
      <c r="E25" s="2"/>
      <c r="F25" s="2"/>
      <c r="G25" s="2"/>
      <c r="H25" s="2"/>
    </row>
    <row x14ac:dyDescent="0.25" r="26" customHeight="1" ht="17.25">
      <c r="A26" s="5">
        <f>concatenate("CA", text(A26, "00000"))</f>
      </c>
      <c r="B26" s="1" t="s">
        <v>7945</v>
      </c>
      <c r="C26" s="1" t="s">
        <v>9652</v>
      </c>
      <c r="D26" s="2"/>
      <c r="E26" s="2"/>
      <c r="F26" s="2"/>
      <c r="G26" s="2"/>
      <c r="H26" s="2"/>
    </row>
    <row x14ac:dyDescent="0.25" r="27" customHeight="1" ht="17.25">
      <c r="A27" s="5">
        <f>concatenate("CA", text(A27, "00000"))</f>
      </c>
      <c r="B27" s="1" t="s">
        <v>5520</v>
      </c>
      <c r="C27" s="1" t="s">
        <v>9646</v>
      </c>
      <c r="D27" s="2"/>
      <c r="E27" s="2"/>
      <c r="F27" s="2"/>
      <c r="G27" s="2"/>
      <c r="H27" s="2"/>
    </row>
    <row x14ac:dyDescent="0.25" r="28" customHeight="1" ht="17.25">
      <c r="A28" s="5">
        <f>concatenate("CA", text(A28, "00000"))</f>
      </c>
      <c r="B28" s="1" t="s">
        <v>5541</v>
      </c>
      <c r="C28" s="1" t="s">
        <v>9646</v>
      </c>
      <c r="D28" s="2"/>
      <c r="E28" s="2"/>
      <c r="F28" s="2"/>
      <c r="G28" s="2"/>
      <c r="H28" s="2"/>
    </row>
    <row x14ac:dyDescent="0.25" r="29" customHeight="1" ht="17.25">
      <c r="A29" s="5">
        <f>concatenate("CA", text(A29, "00000"))</f>
      </c>
      <c r="B29" s="1" t="s">
        <v>5632</v>
      </c>
      <c r="C29" s="2"/>
      <c r="D29" s="2"/>
      <c r="E29" s="2"/>
      <c r="F29" s="2"/>
      <c r="G29" s="2"/>
      <c r="H29" s="2"/>
    </row>
    <row x14ac:dyDescent="0.25" r="30" customHeight="1" ht="17.25">
      <c r="A30" s="5">
        <f>concatenate("CA", text(A30, "00000"))</f>
      </c>
      <c r="B30" s="1" t="s">
        <v>9656</v>
      </c>
      <c r="C30" s="1" t="s">
        <v>9652</v>
      </c>
      <c r="D30" s="2"/>
      <c r="E30" s="2"/>
      <c r="F30" s="2"/>
      <c r="G30" s="2"/>
      <c r="H30" s="2"/>
    </row>
    <row x14ac:dyDescent="0.25" r="31" customHeight="1" ht="17.25">
      <c r="A31" s="5">
        <f>concatenate("CA", text(A31, "00000"))</f>
      </c>
      <c r="B31" s="1" t="s">
        <v>5522</v>
      </c>
      <c r="C31" s="1" t="s">
        <v>9650</v>
      </c>
      <c r="D31" s="2"/>
      <c r="E31" s="2"/>
      <c r="F31" s="2"/>
      <c r="G31" s="2"/>
      <c r="H31" s="2"/>
    </row>
    <row x14ac:dyDescent="0.25" r="32" customHeight="1" ht="17.25">
      <c r="A32" s="5">
        <f>concatenate("CA", text(A32, "00000"))</f>
      </c>
      <c r="B32" s="1" t="s">
        <v>5516</v>
      </c>
      <c r="C32" s="1" t="s">
        <v>9650</v>
      </c>
      <c r="D32" s="2"/>
      <c r="E32" s="2"/>
      <c r="F32" s="2"/>
      <c r="G32" s="2"/>
      <c r="H32" s="2"/>
    </row>
    <row x14ac:dyDescent="0.25" r="33" customHeight="1" ht="17.25">
      <c r="A33" s="5">
        <f>concatenate("CA", text(A33, "00000"))</f>
      </c>
      <c r="B33" s="1" t="s">
        <v>9657</v>
      </c>
      <c r="C33" s="1" t="s">
        <v>9646</v>
      </c>
      <c r="D33" s="2"/>
      <c r="E33" s="2"/>
      <c r="F33" s="2"/>
      <c r="G33" s="2"/>
      <c r="H33" s="2"/>
    </row>
    <row x14ac:dyDescent="0.25" r="34" customHeight="1" ht="17.25">
      <c r="A34" s="5">
        <f>concatenate("CA", text(A34, "00000"))</f>
      </c>
      <c r="B34" s="1" t="s">
        <v>6124</v>
      </c>
      <c r="C34" s="1" t="s">
        <v>9650</v>
      </c>
      <c r="D34" s="2"/>
      <c r="E34" s="2"/>
      <c r="F34" s="2"/>
      <c r="G34" s="2"/>
      <c r="H34" s="2"/>
    </row>
    <row x14ac:dyDescent="0.25" r="35" customHeight="1" ht="17.25">
      <c r="A35" s="5">
        <f>concatenate("CA", text(A35, "00000"))</f>
      </c>
      <c r="B35" s="1" t="s">
        <v>6615</v>
      </c>
      <c r="C35" s="1" t="s">
        <v>9650</v>
      </c>
      <c r="D35" s="2"/>
      <c r="E35" s="2"/>
      <c r="F35" s="2"/>
      <c r="G35" s="2"/>
      <c r="H35" s="2"/>
    </row>
    <row x14ac:dyDescent="0.25" r="36" customHeight="1" ht="17.25">
      <c r="A36" s="5">
        <f>concatenate("CA", text(A36, "00000"))</f>
      </c>
      <c r="B36" s="1" t="s">
        <v>6113</v>
      </c>
      <c r="C36" s="1" t="s">
        <v>9652</v>
      </c>
      <c r="D36" s="2"/>
      <c r="E36" s="2"/>
      <c r="F36" s="2"/>
      <c r="G36" s="2"/>
      <c r="H36" s="2"/>
    </row>
    <row x14ac:dyDescent="0.25" r="37" customHeight="1" ht="17.25">
      <c r="A37" s="5">
        <f>concatenate("CA", text(A37, "00000"))</f>
      </c>
      <c r="B37" s="1" t="s">
        <v>5498</v>
      </c>
      <c r="C37" s="2"/>
      <c r="D37" s="2"/>
      <c r="E37" s="2"/>
      <c r="F37" s="2"/>
      <c r="G37" s="2"/>
      <c r="H3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</cols>
  <sheetData>
    <row x14ac:dyDescent="0.25" r="1" customHeight="1" ht="17.25">
      <c r="A1" s="1" t="s">
        <v>0</v>
      </c>
      <c r="B1" s="1" t="s">
        <v>3558</v>
      </c>
      <c r="C1" s="1" t="s">
        <v>7</v>
      </c>
      <c r="D1" s="1" t="s">
        <v>8</v>
      </c>
      <c r="E1" s="1" t="s">
        <v>9</v>
      </c>
      <c r="F1" s="1" t="s">
        <v>10</v>
      </c>
    </row>
    <row x14ac:dyDescent="0.25" r="2" customHeight="1" ht="17.25">
      <c r="A2" s="5">
        <f>concatenate("CA", text(A2, "00000"))</f>
      </c>
      <c r="B2" s="1" t="s">
        <v>5514</v>
      </c>
      <c r="C2" s="2"/>
      <c r="D2" s="2"/>
      <c r="E2" s="2"/>
      <c r="F2" s="2"/>
    </row>
    <row x14ac:dyDescent="0.25" r="3" customHeight="1" ht="17.25">
      <c r="A3" s="12"/>
      <c r="B3" s="12"/>
      <c r="C3" s="2"/>
      <c r="D3" s="2"/>
      <c r="E3" s="2"/>
      <c r="F3" s="2"/>
    </row>
    <row x14ac:dyDescent="0.25" r="4" customHeight="1" ht="17.25">
      <c r="A4" s="12"/>
      <c r="B4" s="12"/>
      <c r="C4" s="2"/>
      <c r="D4" s="2"/>
      <c r="E4" s="2"/>
      <c r="F4" s="2"/>
    </row>
    <row x14ac:dyDescent="0.25" r="5" customHeight="1" ht="17.25">
      <c r="A5" s="12"/>
      <c r="B5" s="12"/>
      <c r="C5" s="2"/>
      <c r="D5" s="2"/>
      <c r="E5" s="2"/>
      <c r="F5" s="2"/>
    </row>
    <row x14ac:dyDescent="0.25" r="6" customHeight="1" ht="17.25">
      <c r="A6" s="12"/>
      <c r="B6" s="12"/>
      <c r="C6" s="2"/>
      <c r="D6" s="2"/>
      <c r="E6" s="2"/>
      <c r="F6" s="2"/>
    </row>
    <row x14ac:dyDescent="0.25" r="7" customHeight="1" ht="17.25">
      <c r="A7" s="12"/>
      <c r="B7" s="12"/>
      <c r="C7" s="2"/>
      <c r="D7" s="2"/>
      <c r="E7" s="2"/>
      <c r="F7" s="2"/>
    </row>
    <row x14ac:dyDescent="0.25" r="8" customHeight="1" ht="17.25">
      <c r="A8" s="12"/>
      <c r="B8" s="12"/>
      <c r="C8" s="2"/>
      <c r="D8" s="2"/>
      <c r="E8" s="2"/>
      <c r="F8" s="2"/>
    </row>
    <row x14ac:dyDescent="0.25" r="9" customHeight="1" ht="17.25">
      <c r="A9" s="12"/>
      <c r="B9" s="12"/>
      <c r="C9" s="2"/>
      <c r="D9" s="2"/>
      <c r="E9" s="2"/>
      <c r="F9" s="2"/>
    </row>
    <row x14ac:dyDescent="0.25" r="10" customHeight="1" ht="17.25">
      <c r="A10" s="12"/>
      <c r="B10" s="12"/>
      <c r="C10" s="2"/>
      <c r="D10" s="2"/>
      <c r="E10" s="2"/>
      <c r="F10" s="2"/>
    </row>
    <row x14ac:dyDescent="0.25" r="11" customHeight="1" ht="17.25">
      <c r="A11" s="12"/>
      <c r="B11" s="12"/>
      <c r="C11" s="2"/>
      <c r="D11" s="2"/>
      <c r="E11" s="2"/>
      <c r="F11" s="2"/>
    </row>
    <row x14ac:dyDescent="0.25" r="12" customHeight="1" ht="17.25">
      <c r="A12" s="12"/>
      <c r="B12" s="12"/>
      <c r="C12" s="2"/>
      <c r="D12" s="2"/>
      <c r="E12" s="2"/>
      <c r="F12" s="2"/>
    </row>
    <row x14ac:dyDescent="0.25" r="13" customHeight="1" ht="17.25">
      <c r="A13" s="12"/>
      <c r="B13" s="12"/>
      <c r="C13" s="2"/>
      <c r="D13" s="2"/>
      <c r="E13" s="2"/>
      <c r="F13" s="2"/>
    </row>
    <row x14ac:dyDescent="0.25" r="14" customHeight="1" ht="17.25">
      <c r="A14" s="12"/>
      <c r="B14" s="12"/>
      <c r="C14" s="2"/>
      <c r="D14" s="2"/>
      <c r="E14" s="2"/>
      <c r="F14" s="2"/>
    </row>
    <row x14ac:dyDescent="0.25" r="15" customHeight="1" ht="17.25">
      <c r="A15" s="12"/>
      <c r="B15" s="12"/>
      <c r="C15" s="2"/>
      <c r="D15" s="2"/>
      <c r="E15" s="2"/>
      <c r="F15" s="2"/>
    </row>
    <row x14ac:dyDescent="0.25" r="16" customHeight="1" ht="17.25">
      <c r="A16" s="12"/>
      <c r="B16" s="12"/>
      <c r="C16" s="2"/>
      <c r="D16" s="2"/>
      <c r="E16" s="2"/>
      <c r="F16" s="2"/>
    </row>
    <row x14ac:dyDescent="0.25" r="17" customHeight="1" ht="17.25">
      <c r="A17" s="12"/>
      <c r="B17" s="12"/>
      <c r="C17" s="2"/>
      <c r="D17" s="2"/>
      <c r="E17" s="2"/>
      <c r="F17" s="2"/>
    </row>
    <row x14ac:dyDescent="0.25" r="18" customHeight="1" ht="17.25">
      <c r="A18" s="12"/>
      <c r="B18" s="12"/>
      <c r="C18" s="2"/>
      <c r="D18" s="2"/>
      <c r="E18" s="2"/>
      <c r="F18" s="2"/>
    </row>
    <row x14ac:dyDescent="0.25" r="19" customHeight="1" ht="17.25">
      <c r="A19" s="1" t="s">
        <v>9640</v>
      </c>
      <c r="B19" s="1" t="s">
        <v>5508</v>
      </c>
      <c r="C19" s="2"/>
      <c r="D19" s="2"/>
      <c r="E19" s="2"/>
      <c r="F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434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12.43357142857143" customWidth="1" bestFit="1"/>
    <col min="2" max="2" style="3" width="18.14785714285714" customWidth="1" bestFit="1"/>
    <col min="3" max="3" style="3" width="12.43357142857143" customWidth="1" bestFit="1"/>
    <col min="4" max="4" style="11" width="12.43357142857143" customWidth="1" bestFit="1"/>
    <col min="5" max="5" style="3" width="12.43357142857143" customWidth="1" bestFit="1"/>
    <col min="6" max="6" style="4" width="20.862142857142857" customWidth="1" bestFit="1"/>
    <col min="7" max="7" style="4" width="14.005" customWidth="1" bestFit="1"/>
    <col min="8" max="8" style="4" width="30.576428571428572" customWidth="1" bestFit="1"/>
    <col min="9" max="9" style="11" width="12.43357142857143" customWidth="1" bestFit="1"/>
    <col min="10" max="10" style="4" width="12.43357142857143" customWidth="1" bestFit="1"/>
    <col min="11" max="11" style="4" width="19.862142857142857" customWidth="1" bestFit="1"/>
    <col min="12" max="12" style="4" width="16.576428571428572" customWidth="1" bestFit="1"/>
    <col min="13" max="13" style="4" width="24.719285714285714" customWidth="1" bestFit="1"/>
    <col min="14" max="14" style="3" width="12.43357142857143" customWidth="1" bestFit="1"/>
    <col min="15" max="15" style="3" width="12.43357142857143" customWidth="1" bestFit="1"/>
    <col min="16" max="16" style="4" width="15.005" customWidth="1" bestFit="1"/>
    <col min="17" max="17" style="4" width="20.433571428571426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</cols>
  <sheetData>
    <row x14ac:dyDescent="0.25" r="1" customHeight="1" ht="17.25">
      <c r="A1" s="6" t="s">
        <v>5495</v>
      </c>
      <c r="B1" s="1" t="s">
        <v>3558</v>
      </c>
      <c r="C1" s="1" t="s">
        <v>0</v>
      </c>
      <c r="D1" s="6" t="s">
        <v>5496</v>
      </c>
      <c r="E1" s="1" t="s">
        <v>5497</v>
      </c>
      <c r="F1" s="1" t="s">
        <v>5498</v>
      </c>
      <c r="G1" s="1" t="s">
        <v>5499</v>
      </c>
      <c r="H1" s="1" t="s">
        <v>5494</v>
      </c>
      <c r="I1" s="6" t="s">
        <v>5500</v>
      </c>
      <c r="J1" s="1" t="s">
        <v>5501</v>
      </c>
      <c r="K1" s="1" t="s">
        <v>5502</v>
      </c>
      <c r="L1" s="1" t="s">
        <v>5503</v>
      </c>
      <c r="M1" s="1" t="s">
        <v>5504</v>
      </c>
      <c r="N1" s="1" t="s">
        <v>5505</v>
      </c>
      <c r="O1" s="1" t="s">
        <v>5506</v>
      </c>
      <c r="P1" s="1" t="s">
        <v>5507</v>
      </c>
      <c r="Q1" s="1" t="s">
        <v>5508</v>
      </c>
      <c r="R1" s="1" t="s">
        <v>7</v>
      </c>
      <c r="S1" s="1" t="s">
        <v>8</v>
      </c>
      <c r="T1" s="1" t="s">
        <v>9</v>
      </c>
      <c r="U1" s="1" t="s">
        <v>10</v>
      </c>
    </row>
    <row x14ac:dyDescent="0.25" r="2" customHeight="1" ht="18">
      <c r="A2" s="7">
        <v>1</v>
      </c>
      <c r="B2" s="1" t="s">
        <v>5509</v>
      </c>
      <c r="C2" s="5">
        <f>CONCATENATE("PD", TEXT(A2, "1000000"))</f>
      </c>
      <c r="D2" s="7">
        <v>65</v>
      </c>
      <c r="E2" s="5">
        <f>XLOOKUP(G2, item_category!C:C, item_category!B:B, "Not Found")</f>
      </c>
      <c r="F2" s="1" t="s">
        <v>5510</v>
      </c>
      <c r="G2" s="5">
        <f>XLOOKUP(I2, drug!B:B, drug!A:A, "Not Found")</f>
      </c>
      <c r="H2" s="1" t="s">
        <v>1186</v>
      </c>
      <c r="I2" s="7">
        <v>1</v>
      </c>
      <c r="J2" s="5">
        <f>XLOOKUP(L2, uom!C:C, uom!B:B, "Not Found")</f>
      </c>
      <c r="K2" s="1" t="s">
        <v>5510</v>
      </c>
      <c r="L2" s="5">
        <f>XLOOKUP(N2, uom!C:C, uom!B:B, "Not Found")</f>
      </c>
      <c r="M2" s="1" t="s">
        <v>5511</v>
      </c>
      <c r="N2" s="8" t="s">
        <v>5512</v>
      </c>
      <c r="O2" s="1" t="s">
        <v>5513</v>
      </c>
      <c r="P2" s="5">
        <f>XLOOKUP(R2, classification!C:C, classification!B:B, "Not Found")</f>
      </c>
      <c r="Q2" s="1" t="s">
        <v>5514</v>
      </c>
      <c r="R2" s="2"/>
      <c r="S2" s="2"/>
      <c r="T2" s="2"/>
      <c r="U2" s="2"/>
    </row>
    <row x14ac:dyDescent="0.25" r="3" customHeight="1" ht="18">
      <c r="A3" s="7">
        <v>2</v>
      </c>
      <c r="B3" s="1" t="s">
        <v>5515</v>
      </c>
      <c r="C3" s="5">
        <f>CONCATENATE("PD", TEXT(A3, "1000000"))</f>
      </c>
      <c r="D3" s="7">
        <v>67</v>
      </c>
      <c r="E3" s="5">
        <f>XLOOKUP(G3, item_category!C:C, item_category!B:B, "Not Found")</f>
      </c>
      <c r="F3" s="1" t="s">
        <v>5516</v>
      </c>
      <c r="G3" s="5">
        <f>XLOOKUP(I3, drug!B:B, drug!A:A, "Not Found")</f>
      </c>
      <c r="H3" s="1" t="s">
        <v>1192</v>
      </c>
      <c r="I3" s="7">
        <v>1</v>
      </c>
      <c r="J3" s="5">
        <f>XLOOKUP(L3, uom!C:C, uom!B:B, "Not Found")</f>
      </c>
      <c r="K3" s="1" t="s">
        <v>5511</v>
      </c>
      <c r="L3" s="5">
        <f>XLOOKUP(N3, uom!C:C, uom!B:B, "Not Found")</f>
      </c>
      <c r="M3" s="1" t="s">
        <v>5511</v>
      </c>
      <c r="N3" s="8" t="s">
        <v>5512</v>
      </c>
      <c r="O3" s="1" t="s">
        <v>5513</v>
      </c>
      <c r="P3" s="5">
        <f>XLOOKUP(R3, classification!C:C, classification!B:B, "Not Found")</f>
      </c>
      <c r="Q3" s="1" t="s">
        <v>5514</v>
      </c>
      <c r="R3" s="2"/>
      <c r="S3" s="2"/>
      <c r="T3" s="2"/>
      <c r="U3" s="2"/>
    </row>
    <row x14ac:dyDescent="0.25" r="4" customHeight="1" ht="18">
      <c r="A4" s="7">
        <v>3</v>
      </c>
      <c r="B4" s="1" t="s">
        <v>1194</v>
      </c>
      <c r="C4" s="5">
        <f>CONCATENATE("PD", TEXT(A4, "1000000"))</f>
      </c>
      <c r="D4" s="7">
        <v>8</v>
      </c>
      <c r="E4" s="5">
        <f>XLOOKUP(G4, item_category!C:C, item_category!B:B, "Not Found")</f>
      </c>
      <c r="F4" s="1" t="s">
        <v>5517</v>
      </c>
      <c r="G4" s="5">
        <f>XLOOKUP(I4, drug!B:B, drug!A:A, "Not Found")</f>
      </c>
      <c r="H4" s="1" t="s">
        <v>1194</v>
      </c>
      <c r="I4" s="7">
        <v>3645</v>
      </c>
      <c r="J4" s="5">
        <f>XLOOKUP(L4, uom!C:C, uom!B:B, "Not Found")</f>
      </c>
      <c r="K4" s="1" t="s">
        <v>5511</v>
      </c>
      <c r="L4" s="5">
        <f>XLOOKUP(N4, uom!C:C, uom!B:B, "Not Found")</f>
      </c>
      <c r="M4" s="1" t="s">
        <v>5511</v>
      </c>
      <c r="N4" s="8" t="s">
        <v>5512</v>
      </c>
      <c r="O4" s="1" t="s">
        <v>5513</v>
      </c>
      <c r="P4" s="5">
        <f>XLOOKUP(R4, classification!C:C, classification!B:B, "Not Found")</f>
      </c>
      <c r="Q4" s="1" t="s">
        <v>5514</v>
      </c>
      <c r="R4" s="2"/>
      <c r="S4" s="2"/>
      <c r="T4" s="2"/>
      <c r="U4" s="2"/>
    </row>
    <row x14ac:dyDescent="0.25" r="5" customHeight="1" ht="18">
      <c r="A5" s="7">
        <v>4</v>
      </c>
      <c r="B5" s="1" t="s">
        <v>5518</v>
      </c>
      <c r="C5" s="5">
        <f>CONCATENATE("PD", TEXT(A5, "1000000"))</f>
      </c>
      <c r="D5" s="7">
        <v>67</v>
      </c>
      <c r="E5" s="5">
        <f>XLOOKUP(G5, item_category!C:C, item_category!B:B, "Not Found")</f>
      </c>
      <c r="F5" s="1" t="s">
        <v>5516</v>
      </c>
      <c r="G5" s="5">
        <f>XLOOKUP(I5, drug!B:B, drug!A:A, "Not Found")</f>
      </c>
      <c r="H5" s="1" t="s">
        <v>857</v>
      </c>
      <c r="I5" s="7">
        <v>1</v>
      </c>
      <c r="J5" s="5">
        <f>XLOOKUP(L5, uom!C:C, uom!B:B, "Not Found")</f>
      </c>
      <c r="K5" s="1" t="s">
        <v>5511</v>
      </c>
      <c r="L5" s="5">
        <f>XLOOKUP(N5, uom!C:C, uom!B:B, "Not Found")</f>
      </c>
      <c r="M5" s="1" t="s">
        <v>5511</v>
      </c>
      <c r="N5" s="8" t="s">
        <v>5512</v>
      </c>
      <c r="O5" s="1" t="s">
        <v>5513</v>
      </c>
      <c r="P5" s="5">
        <f>XLOOKUP(R5, classification!C:C, classification!B:B, "Not Found")</f>
      </c>
      <c r="Q5" s="1" t="s">
        <v>5514</v>
      </c>
      <c r="R5" s="2"/>
      <c r="S5" s="2"/>
      <c r="T5" s="2"/>
      <c r="U5" s="2"/>
    </row>
    <row x14ac:dyDescent="0.25" r="6" customHeight="1" ht="18">
      <c r="A6" s="7">
        <v>5</v>
      </c>
      <c r="B6" s="1" t="s">
        <v>5519</v>
      </c>
      <c r="C6" s="5">
        <f>CONCATENATE("PD", TEXT(A6, "1000000"))</f>
      </c>
      <c r="D6" s="7">
        <v>74</v>
      </c>
      <c r="E6" s="5">
        <f>XLOOKUP(G6, item_category!C:C, item_category!B:B, "Not Found")</f>
      </c>
      <c r="F6" s="1" t="s">
        <v>5520</v>
      </c>
      <c r="G6" s="5">
        <f>XLOOKUP(I6, drug!B:B, drug!A:A, "Not Found")</f>
      </c>
      <c r="H6" s="1" t="s">
        <v>373</v>
      </c>
      <c r="I6" s="7">
        <v>1</v>
      </c>
      <c r="J6" s="5">
        <f>XLOOKUP(L6, uom!C:C, uom!B:B, "Not Found")</f>
      </c>
      <c r="K6" s="1" t="s">
        <v>5511</v>
      </c>
      <c r="L6" s="5">
        <f>XLOOKUP(N6, uom!C:C, uom!B:B, "Not Found")</f>
      </c>
      <c r="M6" s="1" t="s">
        <v>5511</v>
      </c>
      <c r="N6" s="8" t="s">
        <v>5512</v>
      </c>
      <c r="O6" s="1" t="s">
        <v>5513</v>
      </c>
      <c r="P6" s="5">
        <f>XLOOKUP(R6, classification!C:C, classification!B:B, "Not Found")</f>
      </c>
      <c r="Q6" s="1" t="s">
        <v>5514</v>
      </c>
      <c r="R6" s="2"/>
      <c r="S6" s="2"/>
      <c r="T6" s="2"/>
      <c r="U6" s="2"/>
    </row>
    <row x14ac:dyDescent="0.25" r="7" customHeight="1" ht="18">
      <c r="A7" s="7">
        <v>6</v>
      </c>
      <c r="B7" s="1" t="s">
        <v>5521</v>
      </c>
      <c r="C7" s="5">
        <f>CONCATENATE("PD", TEXT(A7, "1000000"))</f>
      </c>
      <c r="D7" s="7">
        <v>78</v>
      </c>
      <c r="E7" s="5">
        <f>XLOOKUP(G7, item_category!C:C, item_category!B:B, "Not Found")</f>
      </c>
      <c r="F7" s="1" t="s">
        <v>5522</v>
      </c>
      <c r="G7" s="5">
        <f>XLOOKUP(I7, drug!B:B, drug!A:A, "Not Found")</f>
      </c>
      <c r="H7" s="1" t="s">
        <v>1196</v>
      </c>
      <c r="I7" s="7">
        <v>450</v>
      </c>
      <c r="J7" s="5">
        <f>XLOOKUP(L7, uom!C:C, uom!B:B, "Not Found")</f>
      </c>
      <c r="K7" s="1" t="s">
        <v>5523</v>
      </c>
      <c r="L7" s="5">
        <f>XLOOKUP(N7, uom!C:C, uom!B:B, "Not Found")</f>
      </c>
      <c r="M7" s="1" t="s">
        <v>5523</v>
      </c>
      <c r="N7" s="8" t="s">
        <v>5524</v>
      </c>
      <c r="O7" s="1" t="s">
        <v>5525</v>
      </c>
      <c r="P7" s="5">
        <f>XLOOKUP(R7, classification!C:C, classification!B:B, "Not Found")</f>
      </c>
      <c r="Q7" s="1" t="s">
        <v>5514</v>
      </c>
      <c r="R7" s="2"/>
      <c r="S7" s="2"/>
      <c r="T7" s="2"/>
      <c r="U7" s="2"/>
    </row>
    <row x14ac:dyDescent="0.25" r="8" customHeight="1" ht="18">
      <c r="A8" s="7">
        <v>7</v>
      </c>
      <c r="B8" s="1" t="s">
        <v>5526</v>
      </c>
      <c r="C8" s="5">
        <f>CONCATENATE("PD", TEXT(A8, "1000000"))</f>
      </c>
      <c r="D8" s="7">
        <v>59</v>
      </c>
      <c r="E8" s="5">
        <f>XLOOKUP(G8, item_category!C:C, item_category!B:B, "Not Found")</f>
      </c>
      <c r="F8" s="1" t="s">
        <v>5527</v>
      </c>
      <c r="G8" s="5">
        <f>XLOOKUP(I8, drug!B:B, drug!A:A, "Not Found")</f>
      </c>
      <c r="H8" s="1" t="s">
        <v>373</v>
      </c>
      <c r="I8" s="7">
        <v>1</v>
      </c>
      <c r="J8" s="5">
        <f>XLOOKUP(L8, uom!C:C, uom!B:B, "Not Found")</f>
      </c>
      <c r="K8" s="1" t="s">
        <v>5511</v>
      </c>
      <c r="L8" s="5">
        <f>XLOOKUP(N8, uom!C:C, uom!B:B, "Not Found")</f>
      </c>
      <c r="M8" s="1" t="s">
        <v>5511</v>
      </c>
      <c r="N8" s="8" t="s">
        <v>5512</v>
      </c>
      <c r="O8" s="1" t="s">
        <v>5513</v>
      </c>
      <c r="P8" s="5">
        <f>XLOOKUP(R8, classification!C:C, classification!B:B, "Not Found")</f>
      </c>
      <c r="Q8" s="1" t="s">
        <v>5514</v>
      </c>
      <c r="R8" s="2"/>
      <c r="S8" s="2"/>
      <c r="T8" s="2"/>
      <c r="U8" s="2"/>
    </row>
    <row x14ac:dyDescent="0.25" r="9" customHeight="1" ht="18">
      <c r="A9" s="7">
        <v>8</v>
      </c>
      <c r="B9" s="1" t="s">
        <v>1198</v>
      </c>
      <c r="C9" s="5">
        <f>CONCATENATE("PD", TEXT(A9, "1000000"))</f>
      </c>
      <c r="D9" s="7">
        <v>8</v>
      </c>
      <c r="E9" s="5">
        <f>XLOOKUP(G9, item_category!C:C, item_category!B:B, "Not Found")</f>
      </c>
      <c r="F9" s="1" t="s">
        <v>5517</v>
      </c>
      <c r="G9" s="5">
        <f>XLOOKUP(I9, drug!B:B, drug!A:A, "Not Found")</f>
      </c>
      <c r="H9" s="1" t="s">
        <v>1198</v>
      </c>
      <c r="I9" s="9">
        <v>16.5</v>
      </c>
      <c r="J9" s="5">
        <f>XLOOKUP(L9, uom!C:C, uom!B:B, "Not Found")</f>
      </c>
      <c r="K9" s="1" t="s">
        <v>5511</v>
      </c>
      <c r="L9" s="5">
        <f>XLOOKUP(N9, uom!C:C, uom!B:B, "Not Found")</f>
      </c>
      <c r="M9" s="1" t="s">
        <v>5511</v>
      </c>
      <c r="N9" s="8" t="s">
        <v>5512</v>
      </c>
      <c r="O9" s="1" t="s">
        <v>5513</v>
      </c>
      <c r="P9" s="5">
        <f>XLOOKUP(R9, classification!C:C, classification!B:B, "Not Found")</f>
      </c>
      <c r="Q9" s="1" t="s">
        <v>5514</v>
      </c>
      <c r="R9" s="2"/>
      <c r="S9" s="2"/>
      <c r="T9" s="2"/>
      <c r="U9" s="2"/>
    </row>
    <row x14ac:dyDescent="0.25" r="10" customHeight="1" ht="18">
      <c r="A10" s="7">
        <v>9</v>
      </c>
      <c r="B10" s="1" t="s">
        <v>1200</v>
      </c>
      <c r="C10" s="5">
        <f>CONCATENATE("PD", TEXT(A10, "1000000"))</f>
      </c>
      <c r="D10" s="7">
        <v>8</v>
      </c>
      <c r="E10" s="5">
        <f>XLOOKUP(G10, item_category!C:C, item_category!B:B, "Not Found")</f>
      </c>
      <c r="F10" s="1" t="s">
        <v>5517</v>
      </c>
      <c r="G10" s="5">
        <f>XLOOKUP(I10, drug!B:B, drug!A:A, "Not Found")</f>
      </c>
      <c r="H10" s="1" t="s">
        <v>1200</v>
      </c>
      <c r="I10" s="9">
        <v>12.5</v>
      </c>
      <c r="J10" s="5">
        <f>XLOOKUP(L10, uom!C:C, uom!B:B, "Not Found")</f>
      </c>
      <c r="K10" s="1" t="s">
        <v>5511</v>
      </c>
      <c r="L10" s="5">
        <f>XLOOKUP(N10, uom!C:C, uom!B:B, "Not Found")</f>
      </c>
      <c r="M10" s="1" t="s">
        <v>5511</v>
      </c>
      <c r="N10" s="8" t="s">
        <v>5512</v>
      </c>
      <c r="O10" s="1" t="s">
        <v>5513</v>
      </c>
      <c r="P10" s="5">
        <f>XLOOKUP(R10, classification!C:C, classification!B:B, "Not Found")</f>
      </c>
      <c r="Q10" s="1" t="s">
        <v>5514</v>
      </c>
      <c r="R10" s="2"/>
      <c r="S10" s="2"/>
      <c r="T10" s="2"/>
      <c r="U10" s="2"/>
    </row>
    <row x14ac:dyDescent="0.25" r="11" customHeight="1" ht="18">
      <c r="A11" s="7">
        <v>10</v>
      </c>
      <c r="B11" s="1" t="s">
        <v>1202</v>
      </c>
      <c r="C11" s="5">
        <f>CONCATENATE("PD", TEXT(A11, "1000000"))</f>
      </c>
      <c r="D11" s="7">
        <v>8</v>
      </c>
      <c r="E11" s="5">
        <f>XLOOKUP(G11, item_category!C:C, item_category!B:B, "Not Found")</f>
      </c>
      <c r="F11" s="1" t="s">
        <v>5517</v>
      </c>
      <c r="G11" s="5">
        <f>XLOOKUP(I11, drug!B:B, drug!A:A, "Not Found")</f>
      </c>
      <c r="H11" s="1" t="s">
        <v>1202</v>
      </c>
      <c r="I11" s="7">
        <v>85</v>
      </c>
      <c r="J11" s="5">
        <f>XLOOKUP(L11, uom!C:C, uom!B:B, "Not Found")</f>
      </c>
      <c r="K11" s="1" t="s">
        <v>5511</v>
      </c>
      <c r="L11" s="5">
        <f>XLOOKUP(N11, uom!C:C, uom!B:B, "Not Found")</f>
      </c>
      <c r="M11" s="1" t="s">
        <v>5511</v>
      </c>
      <c r="N11" s="8" t="s">
        <v>5512</v>
      </c>
      <c r="O11" s="1" t="s">
        <v>5513</v>
      </c>
      <c r="P11" s="5">
        <f>XLOOKUP(R11, classification!C:C, classification!B:B, "Not Found")</f>
      </c>
      <c r="Q11" s="1" t="s">
        <v>5514</v>
      </c>
      <c r="R11" s="2"/>
      <c r="S11" s="2"/>
      <c r="T11" s="2"/>
      <c r="U11" s="2"/>
    </row>
    <row x14ac:dyDescent="0.25" r="12" customHeight="1" ht="18">
      <c r="A12" s="7">
        <v>11</v>
      </c>
      <c r="B12" s="1" t="s">
        <v>5528</v>
      </c>
      <c r="C12" s="5">
        <f>CONCATENATE("PD", TEXT(A12, "1000000"))</f>
      </c>
      <c r="D12" s="7">
        <v>8</v>
      </c>
      <c r="E12" s="5">
        <f>XLOOKUP(G12, item_category!C:C, item_category!B:B, "Not Found")</f>
      </c>
      <c r="F12" s="1" t="s">
        <v>5517</v>
      </c>
      <c r="G12" s="5">
        <f>XLOOKUP(I12, drug!B:B, drug!A:A, "Not Found")</f>
      </c>
      <c r="H12" s="1" t="s">
        <v>1194</v>
      </c>
      <c r="I12" s="7">
        <v>25</v>
      </c>
      <c r="J12" s="5">
        <f>XLOOKUP(L12, uom!C:C, uom!B:B, "Not Found")</f>
      </c>
      <c r="K12" s="1" t="s">
        <v>5511</v>
      </c>
      <c r="L12" s="5">
        <f>XLOOKUP(N12, uom!C:C, uom!B:B, "Not Found")</f>
      </c>
      <c r="M12" s="1" t="s">
        <v>5511</v>
      </c>
      <c r="N12" s="8" t="s">
        <v>5512</v>
      </c>
      <c r="O12" s="1" t="s">
        <v>5513</v>
      </c>
      <c r="P12" s="5">
        <f>XLOOKUP(R12, classification!C:C, classification!B:B, "Not Found")</f>
      </c>
      <c r="Q12" s="1" t="s">
        <v>5514</v>
      </c>
      <c r="R12" s="2"/>
      <c r="S12" s="2"/>
      <c r="T12" s="2"/>
      <c r="U12" s="2"/>
    </row>
    <row x14ac:dyDescent="0.25" r="13" customHeight="1" ht="18">
      <c r="A13" s="7">
        <v>12</v>
      </c>
      <c r="B13" s="1" t="s">
        <v>5529</v>
      </c>
      <c r="C13" s="5">
        <f>CONCATENATE("PD", TEXT(A13, "1000000"))</f>
      </c>
      <c r="D13" s="7">
        <v>8</v>
      </c>
      <c r="E13" s="5">
        <f>XLOOKUP(G13, item_category!C:C, item_category!B:B, "Not Found")</f>
      </c>
      <c r="F13" s="1" t="s">
        <v>5517</v>
      </c>
      <c r="G13" s="5">
        <f>XLOOKUP(I13, drug!B:B, drug!A:A, "Not Found")</f>
      </c>
      <c r="H13" s="1" t="s">
        <v>1204</v>
      </c>
      <c r="I13" s="7">
        <v>2100</v>
      </c>
      <c r="J13" s="5">
        <f>XLOOKUP(L13, uom!C:C, uom!B:B, "Not Found")</f>
      </c>
      <c r="K13" s="1" t="s">
        <v>5511</v>
      </c>
      <c r="L13" s="5">
        <f>XLOOKUP(N13, uom!C:C, uom!B:B, "Not Found")</f>
      </c>
      <c r="M13" s="1" t="s">
        <v>5511</v>
      </c>
      <c r="N13" s="8" t="s">
        <v>5512</v>
      </c>
      <c r="O13" s="1" t="s">
        <v>5513</v>
      </c>
      <c r="P13" s="5">
        <f>XLOOKUP(R13, classification!C:C, classification!B:B, "Not Found")</f>
      </c>
      <c r="Q13" s="1" t="s">
        <v>5514</v>
      </c>
      <c r="R13" s="2"/>
      <c r="S13" s="2"/>
      <c r="T13" s="2"/>
      <c r="U13" s="2"/>
    </row>
    <row x14ac:dyDescent="0.25" r="14" customHeight="1" ht="18">
      <c r="A14" s="7">
        <v>13</v>
      </c>
      <c r="B14" s="1" t="s">
        <v>1206</v>
      </c>
      <c r="C14" s="5">
        <f>CONCATENATE("PD", TEXT(A14, "1000000"))</f>
      </c>
      <c r="D14" s="7">
        <v>8</v>
      </c>
      <c r="E14" s="5">
        <f>XLOOKUP(G14, item_category!C:C, item_category!B:B, "Not Found")</f>
      </c>
      <c r="F14" s="1" t="s">
        <v>5517</v>
      </c>
      <c r="G14" s="5">
        <f>XLOOKUP(I14, drug!B:B, drug!A:A, "Not Found")</f>
      </c>
      <c r="H14" s="1" t="s">
        <v>1206</v>
      </c>
      <c r="I14" s="7">
        <v>2950</v>
      </c>
      <c r="J14" s="5">
        <f>XLOOKUP(L14, uom!C:C, uom!B:B, "Not Found")</f>
      </c>
      <c r="K14" s="1" t="s">
        <v>5511</v>
      </c>
      <c r="L14" s="5">
        <f>XLOOKUP(N14, uom!C:C, uom!B:B, "Not Found")</f>
      </c>
      <c r="M14" s="1" t="s">
        <v>5511</v>
      </c>
      <c r="N14" s="8" t="s">
        <v>5512</v>
      </c>
      <c r="O14" s="1" t="s">
        <v>5513</v>
      </c>
      <c r="P14" s="5">
        <f>XLOOKUP(R14, classification!C:C, classification!B:B, "Not Found")</f>
      </c>
      <c r="Q14" s="1" t="s">
        <v>5514</v>
      </c>
      <c r="R14" s="2"/>
      <c r="S14" s="2"/>
      <c r="T14" s="2"/>
      <c r="U14" s="2"/>
    </row>
    <row x14ac:dyDescent="0.25" r="15" customHeight="1" ht="18">
      <c r="A15" s="7">
        <v>14</v>
      </c>
      <c r="B15" s="1" t="s">
        <v>5530</v>
      </c>
      <c r="C15" s="5">
        <f>CONCATENATE("PD", TEXT(A15, "1000000"))</f>
      </c>
      <c r="D15" s="7">
        <v>78</v>
      </c>
      <c r="E15" s="5">
        <f>XLOOKUP(G15, item_category!C:C, item_category!B:B, "Not Found")</f>
      </c>
      <c r="F15" s="1" t="s">
        <v>5522</v>
      </c>
      <c r="G15" s="5">
        <f>XLOOKUP(I15, drug!B:B, drug!A:A, "Not Found")</f>
      </c>
      <c r="H15" s="1" t="s">
        <v>1208</v>
      </c>
      <c r="I15" s="7">
        <v>250</v>
      </c>
      <c r="J15" s="5">
        <f>XLOOKUP(L15, uom!C:C, uom!B:B, "Not Found")</f>
      </c>
      <c r="K15" s="1" t="s">
        <v>5523</v>
      </c>
      <c r="L15" s="5">
        <f>XLOOKUP(N15, uom!C:C, uom!B:B, "Not Found")</f>
      </c>
      <c r="M15" s="1" t="s">
        <v>5523</v>
      </c>
      <c r="N15" s="8" t="s">
        <v>5524</v>
      </c>
      <c r="O15" s="1" t="s">
        <v>5525</v>
      </c>
      <c r="P15" s="5">
        <f>XLOOKUP(R15, classification!C:C, classification!B:B, "Not Found")</f>
      </c>
      <c r="Q15" s="1" t="s">
        <v>5514</v>
      </c>
      <c r="R15" s="2"/>
      <c r="S15" s="2"/>
      <c r="T15" s="2"/>
      <c r="U15" s="2"/>
    </row>
    <row x14ac:dyDescent="0.25" r="16" customHeight="1" ht="18">
      <c r="A16" s="7">
        <v>15</v>
      </c>
      <c r="B16" s="1" t="s">
        <v>1210</v>
      </c>
      <c r="C16" s="5">
        <f>CONCATENATE("PD", TEXT(A16, "1000000"))</f>
      </c>
      <c r="D16" s="7">
        <v>7</v>
      </c>
      <c r="E16" s="5">
        <f>XLOOKUP(G16, item_category!C:C, item_category!B:B, "Not Found")</f>
      </c>
      <c r="F16" s="1" t="s">
        <v>5531</v>
      </c>
      <c r="G16" s="5">
        <f>XLOOKUP(I16, drug!B:B, drug!A:A, "Not Found")</f>
      </c>
      <c r="H16" s="1" t="s">
        <v>1210</v>
      </c>
      <c r="I16" s="7">
        <v>280</v>
      </c>
      <c r="J16" s="5">
        <f>XLOOKUP(L16, uom!C:C, uom!B:B, "Not Found")</f>
      </c>
      <c r="K16" s="1" t="s">
        <v>5511</v>
      </c>
      <c r="L16" s="5">
        <f>XLOOKUP(N16, uom!C:C, uom!B:B, "Not Found")</f>
      </c>
      <c r="M16" s="1" t="s">
        <v>5511</v>
      </c>
      <c r="N16" s="8" t="s">
        <v>5512</v>
      </c>
      <c r="O16" s="1" t="s">
        <v>5513</v>
      </c>
      <c r="P16" s="5">
        <f>XLOOKUP(R16, classification!C:C, classification!B:B, "Not Found")</f>
      </c>
      <c r="Q16" s="1" t="s">
        <v>5514</v>
      </c>
      <c r="R16" s="2"/>
      <c r="S16" s="2"/>
      <c r="T16" s="2"/>
      <c r="U16" s="2"/>
    </row>
    <row x14ac:dyDescent="0.25" r="17" customHeight="1" ht="18">
      <c r="A17" s="7">
        <v>16</v>
      </c>
      <c r="B17" s="1" t="s">
        <v>5532</v>
      </c>
      <c r="C17" s="5">
        <f>CONCATENATE("PD", TEXT(A17, "1000000"))</f>
      </c>
      <c r="D17" s="7">
        <v>8</v>
      </c>
      <c r="E17" s="5">
        <f>XLOOKUP(G17, item_category!C:C, item_category!B:B, "Not Found")</f>
      </c>
      <c r="F17" s="1" t="s">
        <v>5517</v>
      </c>
      <c r="G17" s="5">
        <f>XLOOKUP(I17, drug!B:B, drug!A:A, "Not Found")</f>
      </c>
      <c r="H17" s="1" t="s">
        <v>1212</v>
      </c>
      <c r="I17" s="7">
        <v>60000</v>
      </c>
      <c r="J17" s="5">
        <f>XLOOKUP(L17, uom!C:C, uom!B:B, "Not Found")</f>
      </c>
      <c r="K17" s="1" t="s">
        <v>5511</v>
      </c>
      <c r="L17" s="5">
        <f>XLOOKUP(N17, uom!C:C, uom!B:B, "Not Found")</f>
      </c>
      <c r="M17" s="1" t="s">
        <v>5511</v>
      </c>
      <c r="N17" s="8" t="s">
        <v>5512</v>
      </c>
      <c r="O17" s="1" t="s">
        <v>5513</v>
      </c>
      <c r="P17" s="5">
        <f>XLOOKUP(R17, classification!C:C, classification!B:B, "Not Found")</f>
      </c>
      <c r="Q17" s="1" t="s">
        <v>5514</v>
      </c>
      <c r="R17" s="2"/>
      <c r="S17" s="2"/>
      <c r="T17" s="2"/>
      <c r="U17" s="2"/>
    </row>
    <row x14ac:dyDescent="0.25" r="18" customHeight="1" ht="18">
      <c r="A18" s="7">
        <v>17</v>
      </c>
      <c r="B18" s="1" t="s">
        <v>1214</v>
      </c>
      <c r="C18" s="5">
        <f>CONCATENATE("PD", TEXT(A18, "1000000"))</f>
      </c>
      <c r="D18" s="7">
        <v>8</v>
      </c>
      <c r="E18" s="5">
        <f>XLOOKUP(G18, item_category!C:C, item_category!B:B, "Not Found")</f>
      </c>
      <c r="F18" s="1" t="s">
        <v>5517</v>
      </c>
      <c r="G18" s="5">
        <f>XLOOKUP(I18, drug!B:B, drug!A:A, "Not Found")</f>
      </c>
      <c r="H18" s="1" t="s">
        <v>1214</v>
      </c>
      <c r="I18" s="7">
        <v>40000</v>
      </c>
      <c r="J18" s="5">
        <f>XLOOKUP(L18, uom!C:C, uom!B:B, "Not Found")</f>
      </c>
      <c r="K18" s="1" t="s">
        <v>5511</v>
      </c>
      <c r="L18" s="5">
        <f>XLOOKUP(N18, uom!C:C, uom!B:B, "Not Found")</f>
      </c>
      <c r="M18" s="1" t="s">
        <v>5511</v>
      </c>
      <c r="N18" s="8" t="s">
        <v>5512</v>
      </c>
      <c r="O18" s="1" t="s">
        <v>5513</v>
      </c>
      <c r="P18" s="5">
        <f>XLOOKUP(R18, classification!C:C, classification!B:B, "Not Found")</f>
      </c>
      <c r="Q18" s="1" t="s">
        <v>5514</v>
      </c>
      <c r="R18" s="2"/>
      <c r="S18" s="2"/>
      <c r="T18" s="2"/>
      <c r="U18" s="2"/>
    </row>
    <row x14ac:dyDescent="0.25" r="19" customHeight="1" ht="18">
      <c r="A19" s="7">
        <v>18</v>
      </c>
      <c r="B19" s="1" t="s">
        <v>1216</v>
      </c>
      <c r="C19" s="5">
        <f>CONCATENATE("PD", TEXT(A19, "1000000"))</f>
      </c>
      <c r="D19" s="7">
        <v>8</v>
      </c>
      <c r="E19" s="5">
        <f>XLOOKUP(G19, item_category!C:C, item_category!B:B, "Not Found")</f>
      </c>
      <c r="F19" s="1" t="s">
        <v>5517</v>
      </c>
      <c r="G19" s="5">
        <f>XLOOKUP(I19, drug!B:B, drug!A:A, "Not Found")</f>
      </c>
      <c r="H19" s="1" t="s">
        <v>1216</v>
      </c>
      <c r="I19" s="7">
        <v>23500</v>
      </c>
      <c r="J19" s="5">
        <f>XLOOKUP(L19, uom!C:C, uom!B:B, "Not Found")</f>
      </c>
      <c r="K19" s="1" t="s">
        <v>5511</v>
      </c>
      <c r="L19" s="5">
        <f>XLOOKUP(N19, uom!C:C, uom!B:B, "Not Found")</f>
      </c>
      <c r="M19" s="1" t="s">
        <v>5511</v>
      </c>
      <c r="N19" s="8" t="s">
        <v>5512</v>
      </c>
      <c r="O19" s="1" t="s">
        <v>5513</v>
      </c>
      <c r="P19" s="5">
        <f>XLOOKUP(R19, classification!C:C, classification!B:B, "Not Found")</f>
      </c>
      <c r="Q19" s="1" t="s">
        <v>5514</v>
      </c>
      <c r="R19" s="2"/>
      <c r="S19" s="2"/>
      <c r="T19" s="2"/>
      <c r="U19" s="2"/>
    </row>
    <row x14ac:dyDescent="0.25" r="20" customHeight="1" ht="18">
      <c r="A20" s="7">
        <v>19</v>
      </c>
      <c r="B20" s="1" t="s">
        <v>1218</v>
      </c>
      <c r="C20" s="5">
        <f>CONCATENATE("PD", TEXT(A20, "1000000"))</f>
      </c>
      <c r="D20" s="7">
        <v>5</v>
      </c>
      <c r="E20" s="5">
        <f>XLOOKUP(G20, item_category!C:C, item_category!B:B, "Not Found")</f>
      </c>
      <c r="F20" s="1" t="s">
        <v>5533</v>
      </c>
      <c r="G20" s="5">
        <f>XLOOKUP(I20, drug!B:B, drug!A:A, "Not Found")</f>
      </c>
      <c r="H20" s="1" t="s">
        <v>1218</v>
      </c>
      <c r="I20" s="7">
        <v>20</v>
      </c>
      <c r="J20" s="5">
        <f>XLOOKUP(L20, uom!C:C, uom!B:B, "Not Found")</f>
      </c>
      <c r="K20" s="1" t="s">
        <v>5511</v>
      </c>
      <c r="L20" s="5">
        <f>XLOOKUP(N20, uom!C:C, uom!B:B, "Not Found")</f>
      </c>
      <c r="M20" s="1" t="s">
        <v>5511</v>
      </c>
      <c r="N20" s="8" t="s">
        <v>5512</v>
      </c>
      <c r="O20" s="1" t="s">
        <v>5513</v>
      </c>
      <c r="P20" s="5">
        <f>XLOOKUP(R20, classification!C:C, classification!B:B, "Not Found")</f>
      </c>
      <c r="Q20" s="1" t="s">
        <v>5514</v>
      </c>
      <c r="R20" s="2"/>
      <c r="S20" s="2"/>
      <c r="T20" s="2"/>
      <c r="U20" s="2"/>
    </row>
    <row x14ac:dyDescent="0.25" r="21" customHeight="1" ht="18">
      <c r="A21" s="7">
        <v>20</v>
      </c>
      <c r="B21" s="1" t="s">
        <v>1220</v>
      </c>
      <c r="C21" s="5">
        <f>CONCATENATE("PD", TEXT(A21, "1000000"))</f>
      </c>
      <c r="D21" s="7">
        <v>8</v>
      </c>
      <c r="E21" s="5">
        <f>XLOOKUP(G21, item_category!C:C, item_category!B:B, "Not Found")</f>
      </c>
      <c r="F21" s="1" t="s">
        <v>5517</v>
      </c>
      <c r="G21" s="5">
        <f>XLOOKUP(I21, drug!B:B, drug!A:A, "Not Found")</f>
      </c>
      <c r="H21" s="1" t="s">
        <v>1220</v>
      </c>
      <c r="I21" s="7">
        <v>100</v>
      </c>
      <c r="J21" s="5">
        <f>XLOOKUP(L21, uom!C:C, uom!B:B, "Not Found")</f>
      </c>
      <c r="K21" s="1" t="s">
        <v>5534</v>
      </c>
      <c r="L21" s="5">
        <f>XLOOKUP(N21, uom!C:C, uom!B:B, "Not Found")</f>
      </c>
      <c r="M21" s="1" t="s">
        <v>5534</v>
      </c>
      <c r="N21" s="8" t="s">
        <v>5512</v>
      </c>
      <c r="O21" s="1" t="s">
        <v>5525</v>
      </c>
      <c r="P21" s="5">
        <f>XLOOKUP(R21, classification!C:C, classification!B:B, "Not Found")</f>
      </c>
      <c r="Q21" s="1" t="s">
        <v>5514</v>
      </c>
      <c r="R21" s="2"/>
      <c r="S21" s="2"/>
      <c r="T21" s="2"/>
      <c r="U21" s="2"/>
    </row>
    <row x14ac:dyDescent="0.25" r="22" customHeight="1" ht="18">
      <c r="A22" s="7">
        <v>21</v>
      </c>
      <c r="B22" s="1" t="s">
        <v>5535</v>
      </c>
      <c r="C22" s="5">
        <f>CONCATENATE("PD", TEXT(A22, "1000000"))</f>
      </c>
      <c r="D22" s="7">
        <v>74</v>
      </c>
      <c r="E22" s="5">
        <f>XLOOKUP(G22, item_category!C:C, item_category!B:B, "Not Found")</f>
      </c>
      <c r="F22" s="1" t="s">
        <v>5520</v>
      </c>
      <c r="G22" s="5">
        <f>XLOOKUP(I22, drug!B:B, drug!A:A, "Not Found")</f>
      </c>
      <c r="H22" s="1" t="s">
        <v>1222</v>
      </c>
      <c r="I22" s="7">
        <v>1</v>
      </c>
      <c r="J22" s="5">
        <f>XLOOKUP(L22, uom!C:C, uom!B:B, "Not Found")</f>
      </c>
      <c r="K22" s="1" t="s">
        <v>5511</v>
      </c>
      <c r="L22" s="5">
        <f>XLOOKUP(N22, uom!C:C, uom!B:B, "Not Found")</f>
      </c>
      <c r="M22" s="1" t="s">
        <v>5511</v>
      </c>
      <c r="N22" s="8" t="s">
        <v>5512</v>
      </c>
      <c r="O22" s="1" t="s">
        <v>5513</v>
      </c>
      <c r="P22" s="5">
        <f>XLOOKUP(R22, classification!C:C, classification!B:B, "Not Found")</f>
      </c>
      <c r="Q22" s="1" t="s">
        <v>5514</v>
      </c>
      <c r="R22" s="2"/>
      <c r="S22" s="2"/>
      <c r="T22" s="2"/>
      <c r="U22" s="2"/>
    </row>
    <row x14ac:dyDescent="0.25" r="23" customHeight="1" ht="18">
      <c r="A23" s="7">
        <v>22</v>
      </c>
      <c r="B23" s="1" t="s">
        <v>5536</v>
      </c>
      <c r="C23" s="5">
        <f>CONCATENATE("PD", TEXT(A23, "1000000"))</f>
      </c>
      <c r="D23" s="7">
        <v>1</v>
      </c>
      <c r="E23" s="5">
        <f>XLOOKUP(G23, item_category!C:C, item_category!B:B, "Not Found")</f>
      </c>
      <c r="F23" s="1" t="s">
        <v>5514</v>
      </c>
      <c r="G23" s="5">
        <f>XLOOKUP(I23, drug!B:B, drug!A:A, "Not Found")</f>
      </c>
      <c r="H23" s="1" t="s">
        <v>1224</v>
      </c>
      <c r="I23" s="7">
        <v>1</v>
      </c>
      <c r="J23" s="5">
        <f>XLOOKUP(L23, uom!C:C, uom!B:B, "Not Found")</f>
      </c>
      <c r="K23" s="1" t="s">
        <v>5537</v>
      </c>
      <c r="L23" s="5">
        <f>XLOOKUP(N23, uom!C:C, uom!B:B, "Not Found")</f>
      </c>
      <c r="M23" s="1" t="s">
        <v>5537</v>
      </c>
      <c r="N23" s="8" t="s">
        <v>5512</v>
      </c>
      <c r="O23" s="1" t="s">
        <v>5513</v>
      </c>
      <c r="P23" s="5">
        <f>XLOOKUP(R23, classification!C:C, classification!B:B, "Not Found")</f>
      </c>
      <c r="Q23" s="1" t="s">
        <v>5514</v>
      </c>
      <c r="R23" s="2"/>
      <c r="S23" s="2"/>
      <c r="T23" s="2"/>
      <c r="U23" s="2"/>
    </row>
    <row x14ac:dyDescent="0.25" r="24" customHeight="1" ht="17.25">
      <c r="A24" s="7">
        <v>23</v>
      </c>
      <c r="B24" s="1" t="s">
        <v>5538</v>
      </c>
      <c r="C24" s="5">
        <f>CONCATENATE("PD", TEXT(A24, "1000000"))</f>
      </c>
      <c r="D24" s="7">
        <v>82</v>
      </c>
      <c r="E24" s="5">
        <f>XLOOKUP(G24, item_category!C:C, item_category!B:B, "Not Found")</f>
      </c>
      <c r="F24" s="1" t="s">
        <v>5539</v>
      </c>
      <c r="G24" s="5">
        <f>XLOOKUP(I24, drug!B:B, drug!A:A, "Not Found")</f>
      </c>
      <c r="H24" s="1" t="s">
        <v>1152</v>
      </c>
      <c r="I24" s="7">
        <v>1</v>
      </c>
      <c r="J24" s="5">
        <f>XLOOKUP(L24, uom!C:C, uom!B:B, "Not Found")</f>
      </c>
      <c r="K24" s="1" t="s">
        <v>5511</v>
      </c>
      <c r="L24" s="5">
        <f>XLOOKUP(N24, uom!C:C, uom!B:B, "Not Found")</f>
      </c>
      <c r="M24" s="1" t="s">
        <v>5511</v>
      </c>
      <c r="N24" s="8" t="s">
        <v>5512</v>
      </c>
      <c r="O24" s="1" t="s">
        <v>5513</v>
      </c>
      <c r="P24" s="5">
        <f>XLOOKUP(R24, classification!C:C, classification!B:B, "Not Found")</f>
      </c>
      <c r="Q24" s="1" t="s">
        <v>5514</v>
      </c>
      <c r="R24" s="2"/>
      <c r="S24" s="2"/>
      <c r="T24" s="2"/>
      <c r="U24" s="2"/>
    </row>
    <row x14ac:dyDescent="0.25" r="25" customHeight="1" ht="17.25">
      <c r="A25" s="7">
        <v>24</v>
      </c>
      <c r="B25" s="1" t="s">
        <v>5540</v>
      </c>
      <c r="C25" s="5">
        <f>CONCATENATE("PD", TEXT(A25, "1000000"))</f>
      </c>
      <c r="D25" s="7">
        <v>75</v>
      </c>
      <c r="E25" s="5">
        <f>XLOOKUP(G25, item_category!C:C, item_category!B:B, "Not Found")</f>
      </c>
      <c r="F25" s="1" t="s">
        <v>5541</v>
      </c>
      <c r="G25" s="5">
        <f>XLOOKUP(I25, drug!B:B, drug!A:A, "Not Found")</f>
      </c>
      <c r="H25" s="1" t="s">
        <v>1226</v>
      </c>
      <c r="I25" s="7">
        <v>1</v>
      </c>
      <c r="J25" s="5">
        <f>XLOOKUP(L25, uom!C:C, uom!B:B, "Not Found")</f>
      </c>
      <c r="K25" s="1" t="s">
        <v>5542</v>
      </c>
      <c r="L25" s="5">
        <f>XLOOKUP(N25, uom!C:C, uom!B:B, "Not Found")</f>
      </c>
      <c r="M25" s="1" t="s">
        <v>5542</v>
      </c>
      <c r="N25" s="8" t="s">
        <v>5512</v>
      </c>
      <c r="O25" s="1" t="s">
        <v>5513</v>
      </c>
      <c r="P25" s="5">
        <f>XLOOKUP(R25, classification!C:C, classification!B:B, "Not Found")</f>
      </c>
      <c r="Q25" s="1" t="s">
        <v>5514</v>
      </c>
      <c r="R25" s="2"/>
      <c r="S25" s="2"/>
      <c r="T25" s="2"/>
      <c r="U25" s="2"/>
    </row>
    <row x14ac:dyDescent="0.25" r="26" customHeight="1" ht="17.25">
      <c r="A26" s="7">
        <v>25</v>
      </c>
      <c r="B26" s="1" t="s">
        <v>5543</v>
      </c>
      <c r="C26" s="5">
        <f>CONCATENATE("PD", TEXT(A26, "1000000"))</f>
      </c>
      <c r="D26" s="7">
        <v>1</v>
      </c>
      <c r="E26" s="5">
        <f>XLOOKUP(G26, item_category!C:C, item_category!B:B, "Not Found")</f>
      </c>
      <c r="F26" s="1" t="s">
        <v>5514</v>
      </c>
      <c r="G26" s="5">
        <f>XLOOKUP(I26, drug!B:B, drug!A:A, "Not Found")</f>
      </c>
      <c r="H26" s="1" t="s">
        <v>663</v>
      </c>
      <c r="I26" s="7">
        <v>1</v>
      </c>
      <c r="J26" s="5">
        <f>XLOOKUP(L26, uom!C:C, uom!B:B, "Not Found")</f>
      </c>
      <c r="K26" s="1" t="s">
        <v>5544</v>
      </c>
      <c r="L26" s="5">
        <f>XLOOKUP(N26, uom!C:C, uom!B:B, "Not Found")</f>
      </c>
      <c r="M26" s="1" t="s">
        <v>5544</v>
      </c>
      <c r="N26" s="8" t="s">
        <v>5524</v>
      </c>
      <c r="O26" s="1" t="s">
        <v>5525</v>
      </c>
      <c r="P26" s="5">
        <f>XLOOKUP(R26, classification!C:C, classification!B:B, "Not Found")</f>
      </c>
      <c r="Q26" s="1" t="s">
        <v>5514</v>
      </c>
      <c r="R26" s="2"/>
      <c r="S26" s="2"/>
      <c r="T26" s="2"/>
      <c r="U26" s="2"/>
    </row>
    <row x14ac:dyDescent="0.25" r="27" customHeight="1" ht="17.25">
      <c r="A27" s="7">
        <v>26</v>
      </c>
      <c r="B27" s="1" t="s">
        <v>5545</v>
      </c>
      <c r="C27" s="5">
        <f>CONCATENATE("PD", TEXT(A27, "1000000"))</f>
      </c>
      <c r="D27" s="7">
        <v>1</v>
      </c>
      <c r="E27" s="5">
        <f>XLOOKUP(G27, item_category!C:C, item_category!B:B, "Not Found")</f>
      </c>
      <c r="F27" s="1" t="s">
        <v>5514</v>
      </c>
      <c r="G27" s="5">
        <f>XLOOKUP(I27, drug!B:B, drug!A:A, "Not Found")</f>
      </c>
      <c r="H27" s="1" t="s">
        <v>1228</v>
      </c>
      <c r="I27" s="7">
        <v>1</v>
      </c>
      <c r="J27" s="5">
        <f>XLOOKUP(L27, uom!C:C, uom!B:B, "Not Found")</f>
      </c>
      <c r="K27" s="1" t="s">
        <v>5511</v>
      </c>
      <c r="L27" s="5">
        <f>XLOOKUP(N27, uom!C:C, uom!B:B, "Not Found")</f>
      </c>
      <c r="M27" s="1" t="s">
        <v>5511</v>
      </c>
      <c r="N27" s="8" t="s">
        <v>5512</v>
      </c>
      <c r="O27" s="1" t="s">
        <v>5513</v>
      </c>
      <c r="P27" s="5">
        <f>XLOOKUP(R27, classification!C:C, classification!B:B, "Not Found")</f>
      </c>
      <c r="Q27" s="1" t="s">
        <v>5514</v>
      </c>
      <c r="R27" s="2"/>
      <c r="S27" s="2"/>
      <c r="T27" s="2"/>
      <c r="U27" s="2"/>
    </row>
    <row x14ac:dyDescent="0.25" r="28" customHeight="1" ht="17.25">
      <c r="A28" s="7">
        <v>27</v>
      </c>
      <c r="B28" s="1" t="s">
        <v>5546</v>
      </c>
      <c r="C28" s="5">
        <f>CONCATENATE("PD", TEXT(A28, "1000000"))</f>
      </c>
      <c r="D28" s="7">
        <v>1</v>
      </c>
      <c r="E28" s="5">
        <f>XLOOKUP(G28, item_category!C:C, item_category!B:B, "Not Found")</f>
      </c>
      <c r="F28" s="1" t="s">
        <v>5514</v>
      </c>
      <c r="G28" s="5">
        <f>XLOOKUP(I28, drug!B:B, drug!A:A, "Not Found")</f>
      </c>
      <c r="H28" s="1" t="s">
        <v>1228</v>
      </c>
      <c r="I28" s="7">
        <v>1</v>
      </c>
      <c r="J28" s="5">
        <f>XLOOKUP(L28, uom!C:C, uom!B:B, "Not Found")</f>
      </c>
      <c r="K28" s="1" t="s">
        <v>5511</v>
      </c>
      <c r="L28" s="5">
        <f>XLOOKUP(N28, uom!C:C, uom!B:B, "Not Found")</f>
      </c>
      <c r="M28" s="1" t="s">
        <v>5511</v>
      </c>
      <c r="N28" s="8" t="s">
        <v>5512</v>
      </c>
      <c r="O28" s="1" t="s">
        <v>5513</v>
      </c>
      <c r="P28" s="5">
        <f>XLOOKUP(R28, classification!C:C, classification!B:B, "Not Found")</f>
      </c>
      <c r="Q28" s="1" t="s">
        <v>5514</v>
      </c>
      <c r="R28" s="2"/>
      <c r="S28" s="2"/>
      <c r="T28" s="2"/>
      <c r="U28" s="2"/>
    </row>
    <row x14ac:dyDescent="0.25" r="29" customHeight="1" ht="17.25">
      <c r="A29" s="7">
        <v>28</v>
      </c>
      <c r="B29" s="1" t="s">
        <v>5547</v>
      </c>
      <c r="C29" s="5">
        <f>CONCATENATE("PD", TEXT(A29, "1000000"))</f>
      </c>
      <c r="D29" s="7">
        <v>1</v>
      </c>
      <c r="E29" s="5">
        <f>XLOOKUP(G29, item_category!C:C, item_category!B:B, "Not Found")</f>
      </c>
      <c r="F29" s="1" t="s">
        <v>5514</v>
      </c>
      <c r="G29" s="5">
        <f>XLOOKUP(I29, drug!B:B, drug!A:A, "Not Found")</f>
      </c>
      <c r="H29" s="1" t="s">
        <v>1228</v>
      </c>
      <c r="I29" s="7">
        <v>1</v>
      </c>
      <c r="J29" s="5">
        <f>XLOOKUP(L29, uom!C:C, uom!B:B, "Not Found")</f>
      </c>
      <c r="K29" s="1" t="s">
        <v>5511</v>
      </c>
      <c r="L29" s="5">
        <f>XLOOKUP(N29, uom!C:C, uom!B:B, "Not Found")</f>
      </c>
      <c r="M29" s="1" t="s">
        <v>5511</v>
      </c>
      <c r="N29" s="8" t="s">
        <v>5512</v>
      </c>
      <c r="O29" s="1" t="s">
        <v>5513</v>
      </c>
      <c r="P29" s="5">
        <f>XLOOKUP(R29, classification!C:C, classification!B:B, "Not Found")</f>
      </c>
      <c r="Q29" s="1" t="s">
        <v>5514</v>
      </c>
      <c r="R29" s="2"/>
      <c r="S29" s="2"/>
      <c r="T29" s="2"/>
      <c r="U29" s="2"/>
    </row>
    <row x14ac:dyDescent="0.25" r="30" customHeight="1" ht="17.25">
      <c r="A30" s="7">
        <v>29</v>
      </c>
      <c r="B30" s="1" t="s">
        <v>5548</v>
      </c>
      <c r="C30" s="5">
        <f>CONCATENATE("PD", TEXT(A30, "1000000"))</f>
      </c>
      <c r="D30" s="7">
        <v>74</v>
      </c>
      <c r="E30" s="5">
        <f>XLOOKUP(G30, item_category!C:C, item_category!B:B, "Not Found")</f>
      </c>
      <c r="F30" s="1" t="s">
        <v>5520</v>
      </c>
      <c r="G30" s="5">
        <f>XLOOKUP(I30, drug!B:B, drug!A:A, "Not Found")</f>
      </c>
      <c r="H30" s="1" t="s">
        <v>1230</v>
      </c>
      <c r="I30" s="7">
        <v>1</v>
      </c>
      <c r="J30" s="5">
        <f>XLOOKUP(L30, uom!C:C, uom!B:B, "Not Found")</f>
      </c>
      <c r="K30" s="1" t="s">
        <v>5511</v>
      </c>
      <c r="L30" s="5">
        <f>XLOOKUP(N30, uom!C:C, uom!B:B, "Not Found")</f>
      </c>
      <c r="M30" s="1" t="s">
        <v>5511</v>
      </c>
      <c r="N30" s="8" t="s">
        <v>5512</v>
      </c>
      <c r="O30" s="1" t="s">
        <v>5513</v>
      </c>
      <c r="P30" s="5">
        <f>XLOOKUP(R30, classification!C:C, classification!B:B, "Not Found")</f>
      </c>
      <c r="Q30" s="1" t="s">
        <v>5514</v>
      </c>
      <c r="R30" s="2"/>
      <c r="S30" s="2"/>
      <c r="T30" s="2"/>
      <c r="U30" s="2"/>
    </row>
    <row x14ac:dyDescent="0.25" r="31" customHeight="1" ht="17.25">
      <c r="A31" s="7">
        <v>30</v>
      </c>
      <c r="B31" s="1" t="s">
        <v>5549</v>
      </c>
      <c r="C31" s="5">
        <f>CONCATENATE("PD", TEXT(A31, "1000000"))</f>
      </c>
      <c r="D31" s="7">
        <v>74</v>
      </c>
      <c r="E31" s="5">
        <f>XLOOKUP(G31, item_category!C:C, item_category!B:B, "Not Found")</f>
      </c>
      <c r="F31" s="1" t="s">
        <v>5520</v>
      </c>
      <c r="G31" s="5">
        <f>XLOOKUP(I31, drug!B:B, drug!A:A, "Not Found")</f>
      </c>
      <c r="H31" s="1" t="s">
        <v>1230</v>
      </c>
      <c r="I31" s="7">
        <v>1</v>
      </c>
      <c r="J31" s="5">
        <f>XLOOKUP(L31, uom!C:C, uom!B:B, "Not Found")</f>
      </c>
      <c r="K31" s="1" t="s">
        <v>5511</v>
      </c>
      <c r="L31" s="5">
        <f>XLOOKUP(N31, uom!C:C, uom!B:B, "Not Found")</f>
      </c>
      <c r="M31" s="1" t="s">
        <v>5511</v>
      </c>
      <c r="N31" s="8" t="s">
        <v>5512</v>
      </c>
      <c r="O31" s="1" t="s">
        <v>5513</v>
      </c>
      <c r="P31" s="5">
        <f>XLOOKUP(R31, classification!C:C, classification!B:B, "Not Found")</f>
      </c>
      <c r="Q31" s="1" t="s">
        <v>5514</v>
      </c>
      <c r="R31" s="2"/>
      <c r="S31" s="2"/>
      <c r="T31" s="2"/>
      <c r="U31" s="2"/>
    </row>
    <row x14ac:dyDescent="0.25" r="32" customHeight="1" ht="17.25">
      <c r="A32" s="7">
        <v>31</v>
      </c>
      <c r="B32" s="1" t="s">
        <v>5550</v>
      </c>
      <c r="C32" s="5">
        <f>CONCATENATE("PD", TEXT(A32, "1000000"))</f>
      </c>
      <c r="D32" s="7">
        <v>74</v>
      </c>
      <c r="E32" s="5">
        <f>XLOOKUP(G32, item_category!C:C, item_category!B:B, "Not Found")</f>
      </c>
      <c r="F32" s="1" t="s">
        <v>5520</v>
      </c>
      <c r="G32" s="5">
        <f>XLOOKUP(I32, drug!B:B, drug!A:A, "Not Found")</f>
      </c>
      <c r="H32" s="1" t="s">
        <v>1230</v>
      </c>
      <c r="I32" s="7">
        <v>1</v>
      </c>
      <c r="J32" s="5">
        <f>XLOOKUP(L32, uom!C:C, uom!B:B, "Not Found")</f>
      </c>
      <c r="K32" s="1" t="s">
        <v>5511</v>
      </c>
      <c r="L32" s="5">
        <f>XLOOKUP(N32, uom!C:C, uom!B:B, "Not Found")</f>
      </c>
      <c r="M32" s="1" t="s">
        <v>5511</v>
      </c>
      <c r="N32" s="8" t="s">
        <v>5512</v>
      </c>
      <c r="O32" s="1" t="s">
        <v>5513</v>
      </c>
      <c r="P32" s="5">
        <f>XLOOKUP(R32, classification!C:C, classification!B:B, "Not Found")</f>
      </c>
      <c r="Q32" s="1" t="s">
        <v>5514</v>
      </c>
      <c r="R32" s="2"/>
      <c r="S32" s="2"/>
      <c r="T32" s="2"/>
      <c r="U32" s="2"/>
    </row>
    <row x14ac:dyDescent="0.25" r="33" customHeight="1" ht="17.25">
      <c r="A33" s="7">
        <v>32</v>
      </c>
      <c r="B33" s="1" t="s">
        <v>5551</v>
      </c>
      <c r="C33" s="5">
        <f>CONCATENATE("PD", TEXT(A33, "1000000"))</f>
      </c>
      <c r="D33" s="7">
        <v>74</v>
      </c>
      <c r="E33" s="5">
        <f>XLOOKUP(G33, item_category!C:C, item_category!B:B, "Not Found")</f>
      </c>
      <c r="F33" s="1" t="s">
        <v>5520</v>
      </c>
      <c r="G33" s="5">
        <f>XLOOKUP(I33, drug!B:B, drug!A:A, "Not Found")</f>
      </c>
      <c r="H33" s="1" t="s">
        <v>1232</v>
      </c>
      <c r="I33" s="7">
        <v>1</v>
      </c>
      <c r="J33" s="5">
        <f>XLOOKUP(L33, uom!C:C, uom!B:B, "Not Found")</f>
      </c>
      <c r="K33" s="1" t="s">
        <v>5511</v>
      </c>
      <c r="L33" s="5">
        <f>XLOOKUP(N33, uom!C:C, uom!B:B, "Not Found")</f>
      </c>
      <c r="M33" s="1" t="s">
        <v>5511</v>
      </c>
      <c r="N33" s="8" t="s">
        <v>5512</v>
      </c>
      <c r="O33" s="1" t="s">
        <v>5513</v>
      </c>
      <c r="P33" s="5">
        <f>XLOOKUP(R33, classification!C:C, classification!B:B, "Not Found")</f>
      </c>
      <c r="Q33" s="1" t="s">
        <v>5514</v>
      </c>
      <c r="R33" s="2"/>
      <c r="S33" s="2"/>
      <c r="T33" s="2"/>
      <c r="U33" s="2"/>
    </row>
    <row x14ac:dyDescent="0.25" r="34" customHeight="1" ht="17.25">
      <c r="A34" s="7">
        <v>33</v>
      </c>
      <c r="B34" s="1" t="s">
        <v>1234</v>
      </c>
      <c r="C34" s="5">
        <f>CONCATENATE("PD", TEXT(A34, "1000000"))</f>
      </c>
      <c r="D34" s="7">
        <v>74</v>
      </c>
      <c r="E34" s="5">
        <f>XLOOKUP(G34, item_category!C:C, item_category!B:B, "Not Found")</f>
      </c>
      <c r="F34" s="1" t="s">
        <v>5520</v>
      </c>
      <c r="G34" s="5">
        <f>XLOOKUP(I34, drug!B:B, drug!A:A, "Not Found")</f>
      </c>
      <c r="H34" s="1" t="s">
        <v>1234</v>
      </c>
      <c r="I34" s="7">
        <v>1</v>
      </c>
      <c r="J34" s="5">
        <f>XLOOKUP(L34, uom!C:C, uom!B:B, "Not Found")</f>
      </c>
      <c r="K34" s="1" t="s">
        <v>5511</v>
      </c>
      <c r="L34" s="5">
        <f>XLOOKUP(N34, uom!C:C, uom!B:B, "Not Found")</f>
      </c>
      <c r="M34" s="1" t="s">
        <v>5511</v>
      </c>
      <c r="N34" s="8" t="s">
        <v>5512</v>
      </c>
      <c r="O34" s="1" t="s">
        <v>5513</v>
      </c>
      <c r="P34" s="5">
        <f>XLOOKUP(R34, classification!C:C, classification!B:B, "Not Found")</f>
      </c>
      <c r="Q34" s="1" t="s">
        <v>5514</v>
      </c>
      <c r="R34" s="2"/>
      <c r="S34" s="2"/>
      <c r="T34" s="2"/>
      <c r="U34" s="2"/>
    </row>
    <row x14ac:dyDescent="0.25" r="35" customHeight="1" ht="17.25">
      <c r="A35" s="7">
        <v>34</v>
      </c>
      <c r="B35" s="1" t="s">
        <v>5552</v>
      </c>
      <c r="C35" s="5">
        <f>CONCATENATE("PD", TEXT(A35, "1000000"))</f>
      </c>
      <c r="D35" s="7">
        <v>74</v>
      </c>
      <c r="E35" s="5">
        <f>XLOOKUP(G35, item_category!C:C, item_category!B:B, "Not Found")</f>
      </c>
      <c r="F35" s="1" t="s">
        <v>5520</v>
      </c>
      <c r="G35" s="5">
        <f>XLOOKUP(I35, drug!B:B, drug!A:A, "Not Found")</f>
      </c>
      <c r="H35" s="1" t="s">
        <v>1236</v>
      </c>
      <c r="I35" s="7">
        <v>1</v>
      </c>
      <c r="J35" s="5">
        <f>XLOOKUP(L35, uom!C:C, uom!B:B, "Not Found")</f>
      </c>
      <c r="K35" s="1" t="s">
        <v>5511</v>
      </c>
      <c r="L35" s="5">
        <f>XLOOKUP(N35, uom!C:C, uom!B:B, "Not Found")</f>
      </c>
      <c r="M35" s="1" t="s">
        <v>5511</v>
      </c>
      <c r="N35" s="8" t="s">
        <v>5512</v>
      </c>
      <c r="O35" s="1" t="s">
        <v>5513</v>
      </c>
      <c r="P35" s="5">
        <f>XLOOKUP(R35, classification!C:C, classification!B:B, "Not Found")</f>
      </c>
      <c r="Q35" s="1" t="s">
        <v>5514</v>
      </c>
      <c r="R35" s="2"/>
      <c r="S35" s="2"/>
      <c r="T35" s="2"/>
      <c r="U35" s="2"/>
    </row>
    <row x14ac:dyDescent="0.25" r="36" customHeight="1" ht="17.25">
      <c r="A36" s="7">
        <v>35</v>
      </c>
      <c r="B36" s="1" t="s">
        <v>5553</v>
      </c>
      <c r="C36" s="5">
        <f>CONCATENATE("PD", TEXT(A36, "1000000"))</f>
      </c>
      <c r="D36" s="7">
        <v>74</v>
      </c>
      <c r="E36" s="5">
        <f>XLOOKUP(G36, item_category!C:C, item_category!B:B, "Not Found")</f>
      </c>
      <c r="F36" s="1" t="s">
        <v>5520</v>
      </c>
      <c r="G36" s="5">
        <f>XLOOKUP(I36, drug!B:B, drug!A:A, "Not Found")</f>
      </c>
      <c r="H36" s="1" t="s">
        <v>1238</v>
      </c>
      <c r="I36" s="7">
        <v>1</v>
      </c>
      <c r="J36" s="5">
        <f>XLOOKUP(L36, uom!C:C, uom!B:B, "Not Found")</f>
      </c>
      <c r="K36" s="1" t="s">
        <v>5544</v>
      </c>
      <c r="L36" s="5">
        <f>XLOOKUP(N36, uom!C:C, uom!B:B, "Not Found")</f>
      </c>
      <c r="M36" s="1" t="s">
        <v>5544</v>
      </c>
      <c r="N36" s="8" t="s">
        <v>5512</v>
      </c>
      <c r="O36" s="1" t="s">
        <v>5525</v>
      </c>
      <c r="P36" s="5">
        <f>XLOOKUP(R36, classification!C:C, classification!B:B, "Not Found")</f>
      </c>
      <c r="Q36" s="1" t="s">
        <v>5514</v>
      </c>
      <c r="R36" s="2"/>
      <c r="S36" s="2"/>
      <c r="T36" s="2"/>
      <c r="U36" s="2"/>
    </row>
    <row x14ac:dyDescent="0.25" r="37" customHeight="1" ht="17.25">
      <c r="A37" s="7">
        <v>36</v>
      </c>
      <c r="B37" s="1" t="s">
        <v>5554</v>
      </c>
      <c r="C37" s="5">
        <f>CONCATENATE("PD", TEXT(A37, "1000000"))</f>
      </c>
      <c r="D37" s="7">
        <v>1</v>
      </c>
      <c r="E37" s="5">
        <f>XLOOKUP(G37, item_category!C:C, item_category!B:B, "Not Found")</f>
      </c>
      <c r="F37" s="1" t="s">
        <v>5514</v>
      </c>
      <c r="G37" s="5">
        <f>XLOOKUP(I37, drug!B:B, drug!A:A, "Not Found")</f>
      </c>
      <c r="H37" s="1" t="s">
        <v>1240</v>
      </c>
      <c r="I37" s="7">
        <v>100</v>
      </c>
      <c r="J37" s="5">
        <f>XLOOKUP(L37, uom!C:C, uom!B:B, "Not Found")</f>
      </c>
      <c r="K37" s="1" t="s">
        <v>5511</v>
      </c>
      <c r="L37" s="5">
        <f>XLOOKUP(N37, uom!C:C, uom!B:B, "Not Found")</f>
      </c>
      <c r="M37" s="1" t="s">
        <v>5511</v>
      </c>
      <c r="N37" s="8" t="s">
        <v>5524</v>
      </c>
      <c r="O37" s="1" t="s">
        <v>5513</v>
      </c>
      <c r="P37" s="5">
        <f>XLOOKUP(R37, classification!C:C, classification!B:B, "Not Found")</f>
      </c>
      <c r="Q37" s="1" t="s">
        <v>5514</v>
      </c>
      <c r="R37" s="2"/>
      <c r="S37" s="2"/>
      <c r="T37" s="2"/>
      <c r="U37" s="2"/>
    </row>
    <row x14ac:dyDescent="0.25" r="38" customHeight="1" ht="17.25">
      <c r="A38" s="7">
        <v>37</v>
      </c>
      <c r="B38" s="1" t="s">
        <v>5555</v>
      </c>
      <c r="C38" s="5">
        <f>CONCATENATE("PD", TEXT(A38, "1000000"))</f>
      </c>
      <c r="D38" s="7">
        <v>74</v>
      </c>
      <c r="E38" s="5">
        <f>XLOOKUP(G38, item_category!C:C, item_category!B:B, "Not Found")</f>
      </c>
      <c r="F38" s="1" t="s">
        <v>5520</v>
      </c>
      <c r="G38" s="5">
        <f>XLOOKUP(I38, drug!B:B, drug!A:A, "Not Found")</f>
      </c>
      <c r="H38" s="1" t="s">
        <v>1242</v>
      </c>
      <c r="I38" s="7">
        <v>1</v>
      </c>
      <c r="J38" s="5">
        <f>XLOOKUP(L38, uom!C:C, uom!B:B, "Not Found")</f>
      </c>
      <c r="K38" s="1" t="s">
        <v>5511</v>
      </c>
      <c r="L38" s="5">
        <f>XLOOKUP(N38, uom!C:C, uom!B:B, "Not Found")</f>
      </c>
      <c r="M38" s="1" t="s">
        <v>5511</v>
      </c>
      <c r="N38" s="8" t="s">
        <v>5512</v>
      </c>
      <c r="O38" s="1" t="s">
        <v>5513</v>
      </c>
      <c r="P38" s="5">
        <f>XLOOKUP(R38, classification!C:C, classification!B:B, "Not Found")</f>
      </c>
      <c r="Q38" s="1" t="s">
        <v>5514</v>
      </c>
      <c r="R38" s="2"/>
      <c r="S38" s="2"/>
      <c r="T38" s="2"/>
      <c r="U38" s="2"/>
    </row>
    <row x14ac:dyDescent="0.25" r="39" customHeight="1" ht="17.25">
      <c r="A39" s="7">
        <v>38</v>
      </c>
      <c r="B39" s="1" t="s">
        <v>5556</v>
      </c>
      <c r="C39" s="5">
        <f>CONCATENATE("PD", TEXT(A39, "1000000"))</f>
      </c>
      <c r="D39" s="7">
        <v>74</v>
      </c>
      <c r="E39" s="5">
        <f>XLOOKUP(G39, item_category!C:C, item_category!B:B, "Not Found")</f>
      </c>
      <c r="F39" s="1" t="s">
        <v>5520</v>
      </c>
      <c r="G39" s="5">
        <f>XLOOKUP(I39, drug!B:B, drug!A:A, "Not Found")</f>
      </c>
      <c r="H39" s="1" t="s">
        <v>1244</v>
      </c>
      <c r="I39" s="7">
        <v>1</v>
      </c>
      <c r="J39" s="5">
        <f>XLOOKUP(L39, uom!C:C, uom!B:B, "Not Found")</f>
      </c>
      <c r="K39" s="1" t="s">
        <v>5511</v>
      </c>
      <c r="L39" s="5">
        <f>XLOOKUP(N39, uom!C:C, uom!B:B, "Not Found")</f>
      </c>
      <c r="M39" s="1" t="s">
        <v>5511</v>
      </c>
      <c r="N39" s="8" t="s">
        <v>5512</v>
      </c>
      <c r="O39" s="1" t="s">
        <v>5513</v>
      </c>
      <c r="P39" s="5">
        <f>XLOOKUP(R39, classification!C:C, classification!B:B, "Not Found")</f>
      </c>
      <c r="Q39" s="1" t="s">
        <v>5514</v>
      </c>
      <c r="R39" s="2"/>
      <c r="S39" s="2"/>
      <c r="T39" s="2"/>
      <c r="U39" s="2"/>
    </row>
    <row x14ac:dyDescent="0.25" r="40" customHeight="1" ht="17.25">
      <c r="A40" s="7">
        <v>39</v>
      </c>
      <c r="B40" s="1" t="s">
        <v>5557</v>
      </c>
      <c r="C40" s="5">
        <f>CONCATENATE("PD", TEXT(A40, "1000000"))</f>
      </c>
      <c r="D40" s="7">
        <v>74</v>
      </c>
      <c r="E40" s="5">
        <f>XLOOKUP(G40, item_category!C:C, item_category!B:B, "Not Found")</f>
      </c>
      <c r="F40" s="1" t="s">
        <v>5520</v>
      </c>
      <c r="G40" s="5">
        <f>XLOOKUP(I40, drug!B:B, drug!A:A, "Not Found")</f>
      </c>
      <c r="H40" s="1" t="s">
        <v>1246</v>
      </c>
      <c r="I40" s="7">
        <v>1</v>
      </c>
      <c r="J40" s="5">
        <f>XLOOKUP(L40, uom!C:C, uom!B:B, "Not Found")</f>
      </c>
      <c r="K40" s="1" t="s">
        <v>5511</v>
      </c>
      <c r="L40" s="5">
        <f>XLOOKUP(N40, uom!C:C, uom!B:B, "Not Found")</f>
      </c>
      <c r="M40" s="1" t="s">
        <v>5511</v>
      </c>
      <c r="N40" s="8" t="s">
        <v>5512</v>
      </c>
      <c r="O40" s="1" t="s">
        <v>5513</v>
      </c>
      <c r="P40" s="5">
        <f>XLOOKUP(R40, classification!C:C, classification!B:B, "Not Found")</f>
      </c>
      <c r="Q40" s="1" t="s">
        <v>5514</v>
      </c>
      <c r="R40" s="2"/>
      <c r="S40" s="2"/>
      <c r="T40" s="2"/>
      <c r="U40" s="2"/>
    </row>
    <row x14ac:dyDescent="0.25" r="41" customHeight="1" ht="17.25">
      <c r="A41" s="7">
        <v>40</v>
      </c>
      <c r="B41" s="1" t="s">
        <v>5558</v>
      </c>
      <c r="C41" s="5">
        <f>CONCATENATE("PD", TEXT(A41, "1000000"))</f>
      </c>
      <c r="D41" s="7">
        <v>74</v>
      </c>
      <c r="E41" s="5">
        <f>XLOOKUP(G41, item_category!C:C, item_category!B:B, "Not Found")</f>
      </c>
      <c r="F41" s="1" t="s">
        <v>5520</v>
      </c>
      <c r="G41" s="5">
        <f>XLOOKUP(I41, drug!B:B, drug!A:A, "Not Found")</f>
      </c>
      <c r="H41" s="1" t="s">
        <v>1248</v>
      </c>
      <c r="I41" s="7">
        <v>1</v>
      </c>
      <c r="J41" s="5">
        <f>XLOOKUP(L41, uom!C:C, uom!B:B, "Not Found")</f>
      </c>
      <c r="K41" s="1" t="s">
        <v>5511</v>
      </c>
      <c r="L41" s="5">
        <f>XLOOKUP(N41, uom!C:C, uom!B:B, "Not Found")</f>
      </c>
      <c r="M41" s="1" t="s">
        <v>5511</v>
      </c>
      <c r="N41" s="8" t="s">
        <v>5512</v>
      </c>
      <c r="O41" s="1" t="s">
        <v>5513</v>
      </c>
      <c r="P41" s="5">
        <f>XLOOKUP(R41, classification!C:C, classification!B:B, "Not Found")</f>
      </c>
      <c r="Q41" s="1" t="s">
        <v>5514</v>
      </c>
      <c r="R41" s="2"/>
      <c r="S41" s="2"/>
      <c r="T41" s="2"/>
      <c r="U41" s="2"/>
    </row>
    <row x14ac:dyDescent="0.25" r="42" customHeight="1" ht="17.25">
      <c r="A42" s="7">
        <v>41</v>
      </c>
      <c r="B42" s="1" t="s">
        <v>5559</v>
      </c>
      <c r="C42" s="5">
        <f>CONCATENATE("PD", TEXT(A42, "1000000"))</f>
      </c>
      <c r="D42" s="7">
        <v>1</v>
      </c>
      <c r="E42" s="5">
        <f>XLOOKUP(G42, item_category!C:C, item_category!B:B, "Not Found")</f>
      </c>
      <c r="F42" s="1" t="s">
        <v>5514</v>
      </c>
      <c r="G42" s="5">
        <f>XLOOKUP(I42, drug!B:B, drug!A:A, "Not Found")</f>
      </c>
      <c r="H42" s="1" t="s">
        <v>1228</v>
      </c>
      <c r="I42" s="7">
        <v>1</v>
      </c>
      <c r="J42" s="5">
        <f>XLOOKUP(L42, uom!C:C, uom!B:B, "Not Found")</f>
      </c>
      <c r="K42" s="1" t="s">
        <v>5511</v>
      </c>
      <c r="L42" s="5">
        <f>XLOOKUP(N42, uom!C:C, uom!B:B, "Not Found")</f>
      </c>
      <c r="M42" s="1" t="s">
        <v>5511</v>
      </c>
      <c r="N42" s="8" t="s">
        <v>5512</v>
      </c>
      <c r="O42" s="1" t="s">
        <v>5513</v>
      </c>
      <c r="P42" s="5">
        <f>XLOOKUP(R42, classification!C:C, classification!B:B, "Not Found")</f>
      </c>
      <c r="Q42" s="1" t="s">
        <v>5514</v>
      </c>
      <c r="R42" s="2"/>
      <c r="S42" s="2"/>
      <c r="T42" s="2"/>
      <c r="U42" s="2"/>
    </row>
    <row x14ac:dyDescent="0.25" r="43" customHeight="1" ht="17.25">
      <c r="A43" s="7">
        <v>42</v>
      </c>
      <c r="B43" s="1" t="s">
        <v>5560</v>
      </c>
      <c r="C43" s="5">
        <f>CONCATENATE("PD", TEXT(A43, "1000000"))</f>
      </c>
      <c r="D43" s="7">
        <v>74</v>
      </c>
      <c r="E43" s="5">
        <f>XLOOKUP(G43, item_category!C:C, item_category!B:B, "Not Found")</f>
      </c>
      <c r="F43" s="1" t="s">
        <v>5520</v>
      </c>
      <c r="G43" s="5">
        <f>XLOOKUP(I43, drug!B:B, drug!A:A, "Not Found")</f>
      </c>
      <c r="H43" s="1" t="s">
        <v>1248</v>
      </c>
      <c r="I43" s="7">
        <v>1</v>
      </c>
      <c r="J43" s="5">
        <f>XLOOKUP(L43, uom!C:C, uom!B:B, "Not Found")</f>
      </c>
      <c r="K43" s="1" t="s">
        <v>5511</v>
      </c>
      <c r="L43" s="5">
        <f>XLOOKUP(N43, uom!C:C, uom!B:B, "Not Found")</f>
      </c>
      <c r="M43" s="1" t="s">
        <v>5511</v>
      </c>
      <c r="N43" s="8" t="s">
        <v>5512</v>
      </c>
      <c r="O43" s="1" t="s">
        <v>5513</v>
      </c>
      <c r="P43" s="5">
        <f>XLOOKUP(R43, classification!C:C, classification!B:B, "Not Found")</f>
      </c>
      <c r="Q43" s="1" t="s">
        <v>5514</v>
      </c>
      <c r="R43" s="2"/>
      <c r="S43" s="2"/>
      <c r="T43" s="2"/>
      <c r="U43" s="2"/>
    </row>
    <row x14ac:dyDescent="0.25" r="44" customHeight="1" ht="17.25">
      <c r="A44" s="7">
        <v>43</v>
      </c>
      <c r="B44" s="1" t="s">
        <v>5561</v>
      </c>
      <c r="C44" s="5">
        <f>CONCATENATE("PD", TEXT(A44, "1000000"))</f>
      </c>
      <c r="D44" s="7">
        <v>74</v>
      </c>
      <c r="E44" s="5">
        <f>XLOOKUP(G44, item_category!C:C, item_category!B:B, "Not Found")</f>
      </c>
      <c r="F44" s="1" t="s">
        <v>5520</v>
      </c>
      <c r="G44" s="5">
        <f>XLOOKUP(I44, drug!B:B, drug!A:A, "Not Found")</f>
      </c>
      <c r="H44" s="1" t="s">
        <v>1250</v>
      </c>
      <c r="I44" s="7">
        <v>1</v>
      </c>
      <c r="J44" s="5">
        <f>XLOOKUP(L44, uom!C:C, uom!B:B, "Not Found")</f>
      </c>
      <c r="K44" s="1" t="s">
        <v>5511</v>
      </c>
      <c r="L44" s="5">
        <f>XLOOKUP(N44, uom!C:C, uom!B:B, "Not Found")</f>
      </c>
      <c r="M44" s="1" t="s">
        <v>5511</v>
      </c>
      <c r="N44" s="8" t="s">
        <v>5512</v>
      </c>
      <c r="O44" s="1" t="s">
        <v>5513</v>
      </c>
      <c r="P44" s="5">
        <f>XLOOKUP(R44, classification!C:C, classification!B:B, "Not Found")</f>
      </c>
      <c r="Q44" s="1" t="s">
        <v>5514</v>
      </c>
      <c r="R44" s="2"/>
      <c r="S44" s="2"/>
      <c r="T44" s="2"/>
      <c r="U44" s="2"/>
    </row>
    <row x14ac:dyDescent="0.25" r="45" customHeight="1" ht="17.25">
      <c r="A45" s="7">
        <v>44</v>
      </c>
      <c r="B45" s="1" t="s">
        <v>5562</v>
      </c>
      <c r="C45" s="5">
        <f>CONCATENATE("PD", TEXT(A45, "1000000"))</f>
      </c>
      <c r="D45" s="7">
        <v>74</v>
      </c>
      <c r="E45" s="5">
        <f>XLOOKUP(G45, item_category!C:C, item_category!B:B, "Not Found")</f>
      </c>
      <c r="F45" s="1" t="s">
        <v>5520</v>
      </c>
      <c r="G45" s="5">
        <f>XLOOKUP(I45, drug!B:B, drug!A:A, "Not Found")</f>
      </c>
      <c r="H45" s="1" t="s">
        <v>1252</v>
      </c>
      <c r="I45" s="7">
        <v>1</v>
      </c>
      <c r="J45" s="5">
        <f>XLOOKUP(L45, uom!C:C, uom!B:B, "Not Found")</f>
      </c>
      <c r="K45" s="1" t="s">
        <v>5511</v>
      </c>
      <c r="L45" s="5">
        <f>XLOOKUP(N45, uom!C:C, uom!B:B, "Not Found")</f>
      </c>
      <c r="M45" s="1" t="s">
        <v>5511</v>
      </c>
      <c r="N45" s="8" t="s">
        <v>5512</v>
      </c>
      <c r="O45" s="1" t="s">
        <v>5513</v>
      </c>
      <c r="P45" s="5">
        <f>XLOOKUP(R45, classification!C:C, classification!B:B, "Not Found")</f>
      </c>
      <c r="Q45" s="1" t="s">
        <v>5514</v>
      </c>
      <c r="R45" s="2"/>
      <c r="S45" s="2"/>
      <c r="T45" s="2"/>
      <c r="U45" s="2"/>
    </row>
    <row x14ac:dyDescent="0.25" r="46" customHeight="1" ht="17.25">
      <c r="A46" s="7">
        <v>45</v>
      </c>
      <c r="B46" s="1" t="s">
        <v>5563</v>
      </c>
      <c r="C46" s="5">
        <f>CONCATENATE("PD", TEXT(A46, "1000000"))</f>
      </c>
      <c r="D46" s="7">
        <v>74</v>
      </c>
      <c r="E46" s="5">
        <f>XLOOKUP(G46, item_category!C:C, item_category!B:B, "Not Found")</f>
      </c>
      <c r="F46" s="1" t="s">
        <v>5520</v>
      </c>
      <c r="G46" s="5">
        <f>XLOOKUP(I46, drug!B:B, drug!A:A, "Not Found")</f>
      </c>
      <c r="H46" s="1" t="s">
        <v>1252</v>
      </c>
      <c r="I46" s="7">
        <v>1</v>
      </c>
      <c r="J46" s="5">
        <f>XLOOKUP(L46, uom!C:C, uom!B:B, "Not Found")</f>
      </c>
      <c r="K46" s="1" t="s">
        <v>5511</v>
      </c>
      <c r="L46" s="5">
        <f>XLOOKUP(N46, uom!C:C, uom!B:B, "Not Found")</f>
      </c>
      <c r="M46" s="1" t="s">
        <v>5511</v>
      </c>
      <c r="N46" s="8" t="s">
        <v>5512</v>
      </c>
      <c r="O46" s="1" t="s">
        <v>5513</v>
      </c>
      <c r="P46" s="5">
        <f>XLOOKUP(R46, classification!C:C, classification!B:B, "Not Found")</f>
      </c>
      <c r="Q46" s="1" t="s">
        <v>5514</v>
      </c>
      <c r="R46" s="2"/>
      <c r="S46" s="2"/>
      <c r="T46" s="2"/>
      <c r="U46" s="2"/>
    </row>
    <row x14ac:dyDescent="0.25" r="47" customHeight="1" ht="17.25">
      <c r="A47" s="7">
        <v>46</v>
      </c>
      <c r="B47" s="1" t="s">
        <v>5564</v>
      </c>
      <c r="C47" s="5">
        <f>CONCATENATE("PD", TEXT(A47, "1000000"))</f>
      </c>
      <c r="D47" s="7">
        <v>74</v>
      </c>
      <c r="E47" s="5">
        <f>XLOOKUP(G47, item_category!C:C, item_category!B:B, "Not Found")</f>
      </c>
      <c r="F47" s="1" t="s">
        <v>5520</v>
      </c>
      <c r="G47" s="5">
        <f>XLOOKUP(I47, drug!B:B, drug!A:A, "Not Found")</f>
      </c>
      <c r="H47" s="1" t="s">
        <v>1254</v>
      </c>
      <c r="I47" s="7">
        <v>1</v>
      </c>
      <c r="J47" s="5">
        <f>XLOOKUP(L47, uom!C:C, uom!B:B, "Not Found")</f>
      </c>
      <c r="K47" s="1" t="s">
        <v>5511</v>
      </c>
      <c r="L47" s="5">
        <f>XLOOKUP(N47, uom!C:C, uom!B:B, "Not Found")</f>
      </c>
      <c r="M47" s="1" t="s">
        <v>5511</v>
      </c>
      <c r="N47" s="8" t="s">
        <v>5512</v>
      </c>
      <c r="O47" s="1" t="s">
        <v>5513</v>
      </c>
      <c r="P47" s="5">
        <f>XLOOKUP(R47, classification!C:C, classification!B:B, "Not Found")</f>
      </c>
      <c r="Q47" s="1" t="s">
        <v>5514</v>
      </c>
      <c r="R47" s="2"/>
      <c r="S47" s="2"/>
      <c r="T47" s="2"/>
      <c r="U47" s="2"/>
    </row>
    <row x14ac:dyDescent="0.25" r="48" customHeight="1" ht="17.25">
      <c r="A48" s="7">
        <v>47</v>
      </c>
      <c r="B48" s="1" t="s">
        <v>1256</v>
      </c>
      <c r="C48" s="5">
        <f>CONCATENATE("PD", TEXT(A48, "1000000"))</f>
      </c>
      <c r="D48" s="7">
        <v>74</v>
      </c>
      <c r="E48" s="5">
        <f>XLOOKUP(G48, item_category!C:C, item_category!B:B, "Not Found")</f>
      </c>
      <c r="F48" s="1" t="s">
        <v>5520</v>
      </c>
      <c r="G48" s="5">
        <f>XLOOKUP(I48, drug!B:B, drug!A:A, "Not Found")</f>
      </c>
      <c r="H48" s="1" t="s">
        <v>1256</v>
      </c>
      <c r="I48" s="7">
        <v>1</v>
      </c>
      <c r="J48" s="5">
        <f>XLOOKUP(L48, uom!C:C, uom!B:B, "Not Found")</f>
      </c>
      <c r="K48" s="1" t="s">
        <v>5511</v>
      </c>
      <c r="L48" s="5">
        <f>XLOOKUP(N48, uom!C:C, uom!B:B, "Not Found")</f>
      </c>
      <c r="M48" s="1" t="s">
        <v>5511</v>
      </c>
      <c r="N48" s="8" t="s">
        <v>5512</v>
      </c>
      <c r="O48" s="1" t="s">
        <v>5513</v>
      </c>
      <c r="P48" s="5">
        <f>XLOOKUP(R48, classification!C:C, classification!B:B, "Not Found")</f>
      </c>
      <c r="Q48" s="1" t="s">
        <v>5514</v>
      </c>
      <c r="R48" s="2"/>
      <c r="S48" s="2"/>
      <c r="T48" s="2"/>
      <c r="U48" s="2"/>
    </row>
    <row x14ac:dyDescent="0.25" r="49" customHeight="1" ht="17.25">
      <c r="A49" s="7">
        <v>48</v>
      </c>
      <c r="B49" s="1" t="s">
        <v>5565</v>
      </c>
      <c r="C49" s="5">
        <f>CONCATENATE("PD", TEXT(A49, "1000000"))</f>
      </c>
      <c r="D49" s="7">
        <v>74</v>
      </c>
      <c r="E49" s="5">
        <f>XLOOKUP(G49, item_category!C:C, item_category!B:B, "Not Found")</f>
      </c>
      <c r="F49" s="1" t="s">
        <v>5520</v>
      </c>
      <c r="G49" s="5">
        <f>XLOOKUP(I49, drug!B:B, drug!A:A, "Not Found")</f>
      </c>
      <c r="H49" s="1" t="s">
        <v>1258</v>
      </c>
      <c r="I49" s="7">
        <v>1</v>
      </c>
      <c r="J49" s="5">
        <f>XLOOKUP(L49, uom!C:C, uom!B:B, "Not Found")</f>
      </c>
      <c r="K49" s="1" t="s">
        <v>5511</v>
      </c>
      <c r="L49" s="5">
        <f>XLOOKUP(N49, uom!C:C, uom!B:B, "Not Found")</f>
      </c>
      <c r="M49" s="1" t="s">
        <v>5511</v>
      </c>
      <c r="N49" s="8" t="s">
        <v>5512</v>
      </c>
      <c r="O49" s="1" t="s">
        <v>5513</v>
      </c>
      <c r="P49" s="5">
        <f>XLOOKUP(R49, classification!C:C, classification!B:B, "Not Found")</f>
      </c>
      <c r="Q49" s="1" t="s">
        <v>5514</v>
      </c>
      <c r="R49" s="2"/>
      <c r="S49" s="2"/>
      <c r="T49" s="2"/>
      <c r="U49" s="2"/>
    </row>
    <row x14ac:dyDescent="0.25" r="50" customHeight="1" ht="17.25">
      <c r="A50" s="7">
        <v>49</v>
      </c>
      <c r="B50" s="1" t="s">
        <v>5566</v>
      </c>
      <c r="C50" s="5">
        <f>CONCATENATE("PD", TEXT(A50, "1000000"))</f>
      </c>
      <c r="D50" s="7">
        <v>74</v>
      </c>
      <c r="E50" s="5">
        <f>XLOOKUP(G50, item_category!C:C, item_category!B:B, "Not Found")</f>
      </c>
      <c r="F50" s="1" t="s">
        <v>5520</v>
      </c>
      <c r="G50" s="5">
        <f>XLOOKUP(I50, drug!B:B, drug!A:A, "Not Found")</f>
      </c>
      <c r="H50" s="1" t="s">
        <v>1260</v>
      </c>
      <c r="I50" s="7">
        <v>1</v>
      </c>
      <c r="J50" s="5">
        <f>XLOOKUP(L50, uom!C:C, uom!B:B, "Not Found")</f>
      </c>
      <c r="K50" s="1" t="s">
        <v>5511</v>
      </c>
      <c r="L50" s="5">
        <f>XLOOKUP(N50, uom!C:C, uom!B:B, "Not Found")</f>
      </c>
      <c r="M50" s="1" t="s">
        <v>5511</v>
      </c>
      <c r="N50" s="8" t="s">
        <v>5512</v>
      </c>
      <c r="O50" s="1" t="s">
        <v>5513</v>
      </c>
      <c r="P50" s="5">
        <f>XLOOKUP(R50, classification!C:C, classification!B:B, "Not Found")</f>
      </c>
      <c r="Q50" s="1" t="s">
        <v>5514</v>
      </c>
      <c r="R50" s="2"/>
      <c r="S50" s="2"/>
      <c r="T50" s="2"/>
      <c r="U50" s="2"/>
    </row>
    <row x14ac:dyDescent="0.25" r="51" customHeight="1" ht="17.25">
      <c r="A51" s="7">
        <v>50</v>
      </c>
      <c r="B51" s="1" t="s">
        <v>5567</v>
      </c>
      <c r="C51" s="5">
        <f>CONCATENATE("PD", TEXT(A51, "1000000"))</f>
      </c>
      <c r="D51" s="7">
        <v>74</v>
      </c>
      <c r="E51" s="5">
        <f>XLOOKUP(G51, item_category!C:C, item_category!B:B, "Not Found")</f>
      </c>
      <c r="F51" s="1" t="s">
        <v>5520</v>
      </c>
      <c r="G51" s="5">
        <f>XLOOKUP(I51, drug!B:B, drug!A:A, "Not Found")</f>
      </c>
      <c r="H51" s="1" t="s">
        <v>1260</v>
      </c>
      <c r="I51" s="7">
        <v>1</v>
      </c>
      <c r="J51" s="5">
        <f>XLOOKUP(L51, uom!C:C, uom!B:B, "Not Found")</f>
      </c>
      <c r="K51" s="1" t="s">
        <v>5511</v>
      </c>
      <c r="L51" s="5">
        <f>XLOOKUP(N51, uom!C:C, uom!B:B, "Not Found")</f>
      </c>
      <c r="M51" s="1" t="s">
        <v>5511</v>
      </c>
      <c r="N51" s="8" t="s">
        <v>5512</v>
      </c>
      <c r="O51" s="1" t="s">
        <v>5513</v>
      </c>
      <c r="P51" s="5">
        <f>XLOOKUP(R51, classification!C:C, classification!B:B, "Not Found")</f>
      </c>
      <c r="Q51" s="1" t="s">
        <v>5514</v>
      </c>
      <c r="R51" s="2"/>
      <c r="S51" s="2"/>
      <c r="T51" s="2"/>
      <c r="U51" s="2"/>
    </row>
    <row x14ac:dyDescent="0.25" r="52" customHeight="1" ht="17.25">
      <c r="A52" s="7">
        <v>51</v>
      </c>
      <c r="B52" s="1" t="s">
        <v>5568</v>
      </c>
      <c r="C52" s="5">
        <f>CONCATENATE("PD", TEXT(A52, "1000000"))</f>
      </c>
      <c r="D52" s="7">
        <v>74</v>
      </c>
      <c r="E52" s="5">
        <f>XLOOKUP(G52, item_category!C:C, item_category!B:B, "Not Found")</f>
      </c>
      <c r="F52" s="1" t="s">
        <v>5520</v>
      </c>
      <c r="G52" s="5">
        <f>XLOOKUP(I52, drug!B:B, drug!A:A, "Not Found")</f>
      </c>
      <c r="H52" s="1" t="s">
        <v>1260</v>
      </c>
      <c r="I52" s="7">
        <v>1</v>
      </c>
      <c r="J52" s="5">
        <f>XLOOKUP(L52, uom!C:C, uom!B:B, "Not Found")</f>
      </c>
      <c r="K52" s="1" t="s">
        <v>5511</v>
      </c>
      <c r="L52" s="5">
        <f>XLOOKUP(N52, uom!C:C, uom!B:B, "Not Found")</f>
      </c>
      <c r="M52" s="1" t="s">
        <v>5511</v>
      </c>
      <c r="N52" s="8" t="s">
        <v>5512</v>
      </c>
      <c r="O52" s="1" t="s">
        <v>5513</v>
      </c>
      <c r="P52" s="5">
        <f>XLOOKUP(R52, classification!C:C, classification!B:B, "Not Found")</f>
      </c>
      <c r="Q52" s="1" t="s">
        <v>5514</v>
      </c>
      <c r="R52" s="2"/>
      <c r="S52" s="2"/>
      <c r="T52" s="2"/>
      <c r="U52" s="2"/>
    </row>
    <row x14ac:dyDescent="0.25" r="53" customHeight="1" ht="17.25">
      <c r="A53" s="7">
        <v>52</v>
      </c>
      <c r="B53" s="1" t="s">
        <v>5569</v>
      </c>
      <c r="C53" s="5">
        <f>CONCATENATE("PD", TEXT(A53, "1000000"))</f>
      </c>
      <c r="D53" s="7">
        <v>74</v>
      </c>
      <c r="E53" s="5">
        <f>XLOOKUP(G53, item_category!C:C, item_category!B:B, "Not Found")</f>
      </c>
      <c r="F53" s="1" t="s">
        <v>5520</v>
      </c>
      <c r="G53" s="5">
        <f>XLOOKUP(I53, drug!B:B, drug!A:A, "Not Found")</f>
      </c>
      <c r="H53" s="1" t="s">
        <v>806</v>
      </c>
      <c r="I53" s="7">
        <v>1</v>
      </c>
      <c r="J53" s="5">
        <f>XLOOKUP(L53, uom!C:C, uom!B:B, "Not Found")</f>
      </c>
      <c r="K53" s="1" t="s">
        <v>5511</v>
      </c>
      <c r="L53" s="5">
        <f>XLOOKUP(N53, uom!C:C, uom!B:B, "Not Found")</f>
      </c>
      <c r="M53" s="1" t="s">
        <v>5511</v>
      </c>
      <c r="N53" s="8" t="s">
        <v>5512</v>
      </c>
      <c r="O53" s="1" t="s">
        <v>5513</v>
      </c>
      <c r="P53" s="5">
        <f>XLOOKUP(R53, classification!C:C, classification!B:B, "Not Found")</f>
      </c>
      <c r="Q53" s="1" t="s">
        <v>5514</v>
      </c>
      <c r="R53" s="2"/>
      <c r="S53" s="2"/>
      <c r="T53" s="2"/>
      <c r="U53" s="2"/>
    </row>
    <row x14ac:dyDescent="0.25" r="54" customHeight="1" ht="17.25">
      <c r="A54" s="7">
        <v>53</v>
      </c>
      <c r="B54" s="1" t="s">
        <v>5570</v>
      </c>
      <c r="C54" s="5">
        <f>CONCATENATE("PD", TEXT(A54, "1000000"))</f>
      </c>
      <c r="D54" s="7">
        <v>74</v>
      </c>
      <c r="E54" s="5">
        <f>XLOOKUP(G54, item_category!C:C, item_category!B:B, "Not Found")</f>
      </c>
      <c r="F54" s="1" t="s">
        <v>5520</v>
      </c>
      <c r="G54" s="5">
        <f>XLOOKUP(I54, drug!B:B, drug!A:A, "Not Found")</f>
      </c>
      <c r="H54" s="1" t="s">
        <v>1262</v>
      </c>
      <c r="I54" s="7">
        <v>1</v>
      </c>
      <c r="J54" s="5">
        <f>XLOOKUP(L54, uom!C:C, uom!B:B, "Not Found")</f>
      </c>
      <c r="K54" s="1" t="s">
        <v>5511</v>
      </c>
      <c r="L54" s="5">
        <f>XLOOKUP(N54, uom!C:C, uom!B:B, "Not Found")</f>
      </c>
      <c r="M54" s="1" t="s">
        <v>5511</v>
      </c>
      <c r="N54" s="8" t="s">
        <v>5512</v>
      </c>
      <c r="O54" s="1" t="s">
        <v>5513</v>
      </c>
      <c r="P54" s="5">
        <f>XLOOKUP(R54, classification!C:C, classification!B:B, "Not Found")</f>
      </c>
      <c r="Q54" s="1" t="s">
        <v>5514</v>
      </c>
      <c r="R54" s="2"/>
      <c r="S54" s="2"/>
      <c r="T54" s="2"/>
      <c r="U54" s="2"/>
    </row>
    <row x14ac:dyDescent="0.25" r="55" customHeight="1" ht="17.25">
      <c r="A55" s="7">
        <v>54</v>
      </c>
      <c r="B55" s="1" t="s">
        <v>5571</v>
      </c>
      <c r="C55" s="5">
        <f>CONCATENATE("PD", TEXT(A55, "1000000"))</f>
      </c>
      <c r="D55" s="7">
        <v>74</v>
      </c>
      <c r="E55" s="5">
        <f>XLOOKUP(G55, item_category!C:C, item_category!B:B, "Not Found")</f>
      </c>
      <c r="F55" s="1" t="s">
        <v>5520</v>
      </c>
      <c r="G55" s="5">
        <f>XLOOKUP(I55, drug!B:B, drug!A:A, "Not Found")</f>
      </c>
      <c r="H55" s="1" t="s">
        <v>810</v>
      </c>
      <c r="I55" s="7">
        <v>1</v>
      </c>
      <c r="J55" s="5">
        <f>XLOOKUP(L55, uom!C:C, uom!B:B, "Not Found")</f>
      </c>
      <c r="K55" s="1" t="s">
        <v>5511</v>
      </c>
      <c r="L55" s="5">
        <f>XLOOKUP(N55, uom!C:C, uom!B:B, "Not Found")</f>
      </c>
      <c r="M55" s="1" t="s">
        <v>5511</v>
      </c>
      <c r="N55" s="8" t="s">
        <v>5512</v>
      </c>
      <c r="O55" s="1" t="s">
        <v>5513</v>
      </c>
      <c r="P55" s="5">
        <f>XLOOKUP(R55, classification!C:C, classification!B:B, "Not Found")</f>
      </c>
      <c r="Q55" s="1" t="s">
        <v>5514</v>
      </c>
      <c r="R55" s="2"/>
      <c r="S55" s="2"/>
      <c r="T55" s="2"/>
      <c r="U55" s="2"/>
    </row>
    <row x14ac:dyDescent="0.25" r="56" customHeight="1" ht="17.25">
      <c r="A56" s="7">
        <v>55</v>
      </c>
      <c r="B56" s="1" t="s">
        <v>5572</v>
      </c>
      <c r="C56" s="5">
        <f>CONCATENATE("PD", TEXT(A56, "1000000"))</f>
      </c>
      <c r="D56" s="7">
        <v>74</v>
      </c>
      <c r="E56" s="5">
        <f>XLOOKUP(G56, item_category!C:C, item_category!B:B, "Not Found")</f>
      </c>
      <c r="F56" s="1" t="s">
        <v>5520</v>
      </c>
      <c r="G56" s="5">
        <f>XLOOKUP(I56, drug!B:B, drug!A:A, "Not Found")</f>
      </c>
      <c r="H56" s="1" t="s">
        <v>1264</v>
      </c>
      <c r="I56" s="7">
        <v>1</v>
      </c>
      <c r="J56" s="5">
        <f>XLOOKUP(L56, uom!C:C, uom!B:B, "Not Found")</f>
      </c>
      <c r="K56" s="1" t="s">
        <v>5511</v>
      </c>
      <c r="L56" s="5">
        <f>XLOOKUP(N56, uom!C:C, uom!B:B, "Not Found")</f>
      </c>
      <c r="M56" s="1" t="s">
        <v>5511</v>
      </c>
      <c r="N56" s="8" t="s">
        <v>5512</v>
      </c>
      <c r="O56" s="1" t="s">
        <v>5513</v>
      </c>
      <c r="P56" s="5">
        <f>XLOOKUP(R56, classification!C:C, classification!B:B, "Not Found")</f>
      </c>
      <c r="Q56" s="1" t="s">
        <v>5514</v>
      </c>
      <c r="R56" s="2"/>
      <c r="S56" s="2"/>
      <c r="T56" s="2"/>
      <c r="U56" s="2"/>
    </row>
    <row x14ac:dyDescent="0.25" r="57" customHeight="1" ht="17.25">
      <c r="A57" s="7">
        <v>56</v>
      </c>
      <c r="B57" s="1" t="s">
        <v>1266</v>
      </c>
      <c r="C57" s="5">
        <f>CONCATENATE("PD", TEXT(A57, "1000000"))</f>
      </c>
      <c r="D57" s="7">
        <v>74</v>
      </c>
      <c r="E57" s="5">
        <f>XLOOKUP(G57, item_category!C:C, item_category!B:B, "Not Found")</f>
      </c>
      <c r="F57" s="1" t="s">
        <v>5520</v>
      </c>
      <c r="G57" s="5">
        <f>XLOOKUP(I57, drug!B:B, drug!A:A, "Not Found")</f>
      </c>
      <c r="H57" s="1" t="s">
        <v>1266</v>
      </c>
      <c r="I57" s="7">
        <v>1</v>
      </c>
      <c r="J57" s="5">
        <f>XLOOKUP(L57, uom!C:C, uom!B:B, "Not Found")</f>
      </c>
      <c r="K57" s="1" t="s">
        <v>5511</v>
      </c>
      <c r="L57" s="5">
        <f>XLOOKUP(N57, uom!C:C, uom!B:B, "Not Found")</f>
      </c>
      <c r="M57" s="1" t="s">
        <v>5511</v>
      </c>
      <c r="N57" s="8" t="s">
        <v>5512</v>
      </c>
      <c r="O57" s="1" t="s">
        <v>5513</v>
      </c>
      <c r="P57" s="5">
        <f>XLOOKUP(R57, classification!C:C, classification!B:B, "Not Found")</f>
      </c>
      <c r="Q57" s="1" t="s">
        <v>5514</v>
      </c>
      <c r="R57" s="2"/>
      <c r="S57" s="2"/>
      <c r="T57" s="2"/>
      <c r="U57" s="2"/>
    </row>
    <row x14ac:dyDescent="0.25" r="58" customHeight="1" ht="17.25">
      <c r="A58" s="7">
        <v>57</v>
      </c>
      <c r="B58" s="1" t="s">
        <v>5573</v>
      </c>
      <c r="C58" s="5">
        <f>CONCATENATE("PD", TEXT(A58, "1000000"))</f>
      </c>
      <c r="D58" s="7">
        <v>74</v>
      </c>
      <c r="E58" s="5">
        <f>XLOOKUP(G58, item_category!C:C, item_category!B:B, "Not Found")</f>
      </c>
      <c r="F58" s="1" t="s">
        <v>5520</v>
      </c>
      <c r="G58" s="5">
        <f>XLOOKUP(I58, drug!B:B, drug!A:A, "Not Found")</f>
      </c>
      <c r="H58" s="1" t="s">
        <v>1268</v>
      </c>
      <c r="I58" s="7">
        <v>1</v>
      </c>
      <c r="J58" s="5">
        <f>XLOOKUP(L58, uom!C:C, uom!B:B, "Not Found")</f>
      </c>
      <c r="K58" s="1" t="s">
        <v>5511</v>
      </c>
      <c r="L58" s="5">
        <f>XLOOKUP(N58, uom!C:C, uom!B:B, "Not Found")</f>
      </c>
      <c r="M58" s="1" t="s">
        <v>5511</v>
      </c>
      <c r="N58" s="8" t="s">
        <v>5512</v>
      </c>
      <c r="O58" s="1" t="s">
        <v>5513</v>
      </c>
      <c r="P58" s="5">
        <f>XLOOKUP(R58, classification!C:C, classification!B:B, "Not Found")</f>
      </c>
      <c r="Q58" s="1" t="s">
        <v>5514</v>
      </c>
      <c r="R58" s="2"/>
      <c r="S58" s="2"/>
      <c r="T58" s="2"/>
      <c r="U58" s="2"/>
    </row>
    <row x14ac:dyDescent="0.25" r="59" customHeight="1" ht="17.25">
      <c r="A59" s="7">
        <v>58</v>
      </c>
      <c r="B59" s="1" t="s">
        <v>5574</v>
      </c>
      <c r="C59" s="5">
        <f>CONCATENATE("PD", TEXT(A59, "1000000"))</f>
      </c>
      <c r="D59" s="7">
        <v>74</v>
      </c>
      <c r="E59" s="5">
        <f>XLOOKUP(G59, item_category!C:C, item_category!B:B, "Not Found")</f>
      </c>
      <c r="F59" s="1" t="s">
        <v>5520</v>
      </c>
      <c r="G59" s="5">
        <f>XLOOKUP(I59, drug!B:B, drug!A:A, "Not Found")</f>
      </c>
      <c r="H59" s="1" t="s">
        <v>1228</v>
      </c>
      <c r="I59" s="7">
        <v>1</v>
      </c>
      <c r="J59" s="5">
        <f>XLOOKUP(L59, uom!C:C, uom!B:B, "Not Found")</f>
      </c>
      <c r="K59" s="1" t="s">
        <v>5511</v>
      </c>
      <c r="L59" s="5">
        <f>XLOOKUP(N59, uom!C:C, uom!B:B, "Not Found")</f>
      </c>
      <c r="M59" s="1" t="s">
        <v>5511</v>
      </c>
      <c r="N59" s="8" t="s">
        <v>5512</v>
      </c>
      <c r="O59" s="1" t="s">
        <v>5513</v>
      </c>
      <c r="P59" s="5">
        <f>XLOOKUP(R59, classification!C:C, classification!B:B, "Not Found")</f>
      </c>
      <c r="Q59" s="1" t="s">
        <v>5514</v>
      </c>
      <c r="R59" s="2"/>
      <c r="S59" s="2"/>
      <c r="T59" s="2"/>
      <c r="U59" s="2"/>
    </row>
    <row x14ac:dyDescent="0.25" r="60" customHeight="1" ht="17.25">
      <c r="A60" s="7">
        <v>59</v>
      </c>
      <c r="B60" s="1" t="s">
        <v>5575</v>
      </c>
      <c r="C60" s="5">
        <f>CONCATENATE("PD", TEXT(A60, "1000000"))</f>
      </c>
      <c r="D60" s="7">
        <v>74</v>
      </c>
      <c r="E60" s="5">
        <f>XLOOKUP(G60, item_category!C:C, item_category!B:B, "Not Found")</f>
      </c>
      <c r="F60" s="1" t="s">
        <v>5520</v>
      </c>
      <c r="G60" s="5">
        <f>XLOOKUP(I60, drug!B:B, drug!A:A, "Not Found")</f>
      </c>
      <c r="H60" s="1" t="s">
        <v>1270</v>
      </c>
      <c r="I60" s="7">
        <v>1</v>
      </c>
      <c r="J60" s="5">
        <f>XLOOKUP(L60, uom!C:C, uom!B:B, "Not Found")</f>
      </c>
      <c r="K60" s="1" t="s">
        <v>5511</v>
      </c>
      <c r="L60" s="5">
        <f>XLOOKUP(N60, uom!C:C, uom!B:B, "Not Found")</f>
      </c>
      <c r="M60" s="1" t="s">
        <v>5511</v>
      </c>
      <c r="N60" s="8" t="s">
        <v>5512</v>
      </c>
      <c r="O60" s="1" t="s">
        <v>5513</v>
      </c>
      <c r="P60" s="5">
        <f>XLOOKUP(R60, classification!C:C, classification!B:B, "Not Found")</f>
      </c>
      <c r="Q60" s="1" t="s">
        <v>5514</v>
      </c>
      <c r="R60" s="2"/>
      <c r="S60" s="2"/>
      <c r="T60" s="2"/>
      <c r="U60" s="2"/>
    </row>
    <row x14ac:dyDescent="0.25" r="61" customHeight="1" ht="17.25">
      <c r="A61" s="7">
        <v>60</v>
      </c>
      <c r="B61" s="1" t="s">
        <v>1272</v>
      </c>
      <c r="C61" s="5">
        <f>CONCATENATE("PD", TEXT(A61, "1000000"))</f>
      </c>
      <c r="D61" s="7">
        <v>74</v>
      </c>
      <c r="E61" s="5">
        <f>XLOOKUP(G61, item_category!C:C, item_category!B:B, "Not Found")</f>
      </c>
      <c r="F61" s="1" t="s">
        <v>5520</v>
      </c>
      <c r="G61" s="5">
        <f>XLOOKUP(I61, drug!B:B, drug!A:A, "Not Found")</f>
      </c>
      <c r="H61" s="1" t="s">
        <v>1272</v>
      </c>
      <c r="I61" s="7">
        <v>1</v>
      </c>
      <c r="J61" s="5">
        <f>XLOOKUP(L61, uom!C:C, uom!B:B, "Not Found")</f>
      </c>
      <c r="K61" s="1" t="s">
        <v>5511</v>
      </c>
      <c r="L61" s="5">
        <f>XLOOKUP(N61, uom!C:C, uom!B:B, "Not Found")</f>
      </c>
      <c r="M61" s="1" t="s">
        <v>5511</v>
      </c>
      <c r="N61" s="8" t="s">
        <v>5512</v>
      </c>
      <c r="O61" s="1" t="s">
        <v>5513</v>
      </c>
      <c r="P61" s="5">
        <f>XLOOKUP(R61, classification!C:C, classification!B:B, "Not Found")</f>
      </c>
      <c r="Q61" s="1" t="s">
        <v>5514</v>
      </c>
      <c r="R61" s="2"/>
      <c r="S61" s="2"/>
      <c r="T61" s="2"/>
      <c r="U61" s="2"/>
    </row>
    <row x14ac:dyDescent="0.25" r="62" customHeight="1" ht="17.25">
      <c r="A62" s="7">
        <v>61</v>
      </c>
      <c r="B62" s="1" t="s">
        <v>5576</v>
      </c>
      <c r="C62" s="5">
        <f>CONCATENATE("PD", TEXT(A62, "1000000"))</f>
      </c>
      <c r="D62" s="7">
        <v>74</v>
      </c>
      <c r="E62" s="5">
        <f>XLOOKUP(G62, item_category!C:C, item_category!B:B, "Not Found")</f>
      </c>
      <c r="F62" s="1" t="s">
        <v>5520</v>
      </c>
      <c r="G62" s="5">
        <f>XLOOKUP(I62, drug!B:B, drug!A:A, "Not Found")</f>
      </c>
      <c r="H62" s="1" t="s">
        <v>1274</v>
      </c>
      <c r="I62" s="7">
        <v>1</v>
      </c>
      <c r="J62" s="5">
        <f>XLOOKUP(L62, uom!C:C, uom!B:B, "Not Found")</f>
      </c>
      <c r="K62" s="1" t="s">
        <v>5511</v>
      </c>
      <c r="L62" s="5">
        <f>XLOOKUP(N62, uom!C:C, uom!B:B, "Not Found")</f>
      </c>
      <c r="M62" s="1" t="s">
        <v>5511</v>
      </c>
      <c r="N62" s="8" t="s">
        <v>5512</v>
      </c>
      <c r="O62" s="1" t="s">
        <v>5513</v>
      </c>
      <c r="P62" s="5">
        <f>XLOOKUP(R62, classification!C:C, classification!B:B, "Not Found")</f>
      </c>
      <c r="Q62" s="1" t="s">
        <v>5514</v>
      </c>
      <c r="R62" s="2"/>
      <c r="S62" s="2"/>
      <c r="T62" s="2"/>
      <c r="U62" s="2"/>
    </row>
    <row x14ac:dyDescent="0.25" r="63" customHeight="1" ht="17.25">
      <c r="A63" s="7">
        <v>62</v>
      </c>
      <c r="B63" s="1" t="s">
        <v>5577</v>
      </c>
      <c r="C63" s="5">
        <f>CONCATENATE("PD", TEXT(A63, "1000000"))</f>
      </c>
      <c r="D63" s="7">
        <v>74</v>
      </c>
      <c r="E63" s="5">
        <f>XLOOKUP(G63, item_category!C:C, item_category!B:B, "Not Found")</f>
      </c>
      <c r="F63" s="1" t="s">
        <v>5520</v>
      </c>
      <c r="G63" s="5">
        <f>XLOOKUP(I63, drug!B:B, drug!A:A, "Not Found")</f>
      </c>
      <c r="H63" s="1" t="s">
        <v>818</v>
      </c>
      <c r="I63" s="7">
        <v>1</v>
      </c>
      <c r="J63" s="5">
        <f>XLOOKUP(L63, uom!C:C, uom!B:B, "Not Found")</f>
      </c>
      <c r="K63" s="1" t="s">
        <v>5511</v>
      </c>
      <c r="L63" s="5">
        <f>XLOOKUP(N63, uom!C:C, uom!B:B, "Not Found")</f>
      </c>
      <c r="M63" s="1" t="s">
        <v>5511</v>
      </c>
      <c r="N63" s="8" t="s">
        <v>5512</v>
      </c>
      <c r="O63" s="1" t="s">
        <v>5513</v>
      </c>
      <c r="P63" s="5">
        <f>XLOOKUP(R63, classification!C:C, classification!B:B, "Not Found")</f>
      </c>
      <c r="Q63" s="1" t="s">
        <v>5514</v>
      </c>
      <c r="R63" s="2"/>
      <c r="S63" s="2"/>
      <c r="T63" s="2"/>
      <c r="U63" s="2"/>
    </row>
    <row x14ac:dyDescent="0.25" r="64" customHeight="1" ht="17.25">
      <c r="A64" s="7">
        <v>63</v>
      </c>
      <c r="B64" s="1" t="s">
        <v>1276</v>
      </c>
      <c r="C64" s="5">
        <f>CONCATENATE("PD", TEXT(A64, "1000000"))</f>
      </c>
      <c r="D64" s="7">
        <v>74</v>
      </c>
      <c r="E64" s="5">
        <f>XLOOKUP(G64, item_category!C:C, item_category!B:B, "Not Found")</f>
      </c>
      <c r="F64" s="1" t="s">
        <v>5520</v>
      </c>
      <c r="G64" s="5">
        <f>XLOOKUP(I64, drug!B:B, drug!A:A, "Not Found")</f>
      </c>
      <c r="H64" s="1" t="s">
        <v>1276</v>
      </c>
      <c r="I64" s="7">
        <v>1</v>
      </c>
      <c r="J64" s="5">
        <f>XLOOKUP(L64, uom!C:C, uom!B:B, "Not Found")</f>
      </c>
      <c r="K64" s="1" t="s">
        <v>5511</v>
      </c>
      <c r="L64" s="5">
        <f>XLOOKUP(N64, uom!C:C, uom!B:B, "Not Found")</f>
      </c>
      <c r="M64" s="1" t="s">
        <v>5511</v>
      </c>
      <c r="N64" s="8" t="s">
        <v>5512</v>
      </c>
      <c r="O64" s="1" t="s">
        <v>5513</v>
      </c>
      <c r="P64" s="5">
        <f>XLOOKUP(R64, classification!C:C, classification!B:B, "Not Found")</f>
      </c>
      <c r="Q64" s="1" t="s">
        <v>5514</v>
      </c>
      <c r="R64" s="2"/>
      <c r="S64" s="2"/>
      <c r="T64" s="2"/>
      <c r="U64" s="2"/>
    </row>
    <row x14ac:dyDescent="0.25" r="65" customHeight="1" ht="17.25">
      <c r="A65" s="7">
        <v>64</v>
      </c>
      <c r="B65" s="1" t="s">
        <v>5578</v>
      </c>
      <c r="C65" s="5">
        <f>CONCATENATE("PD", TEXT(A65, "1000000"))</f>
      </c>
      <c r="D65" s="7">
        <v>74</v>
      </c>
      <c r="E65" s="5">
        <f>XLOOKUP(G65, item_category!C:C, item_category!B:B, "Not Found")</f>
      </c>
      <c r="F65" s="1" t="s">
        <v>5520</v>
      </c>
      <c r="G65" s="5">
        <f>XLOOKUP(I65, drug!B:B, drug!A:A, "Not Found")</f>
      </c>
      <c r="H65" s="1" t="s">
        <v>1278</v>
      </c>
      <c r="I65" s="7">
        <v>200</v>
      </c>
      <c r="J65" s="5">
        <f>XLOOKUP(L65, uom!C:C, uom!B:B, "Not Found")</f>
      </c>
      <c r="K65" s="1" t="s">
        <v>5544</v>
      </c>
      <c r="L65" s="5">
        <f>XLOOKUP(N65, uom!C:C, uom!B:B, "Not Found")</f>
      </c>
      <c r="M65" s="1" t="s">
        <v>5544</v>
      </c>
      <c r="N65" s="8" t="s">
        <v>5524</v>
      </c>
      <c r="O65" s="1" t="s">
        <v>5525</v>
      </c>
      <c r="P65" s="5">
        <f>XLOOKUP(R65, classification!C:C, classification!B:B, "Not Found")</f>
      </c>
      <c r="Q65" s="1" t="s">
        <v>5514</v>
      </c>
      <c r="R65" s="2"/>
      <c r="S65" s="2"/>
      <c r="T65" s="2"/>
      <c r="U65" s="2"/>
    </row>
    <row x14ac:dyDescent="0.25" r="66" customHeight="1" ht="17.25">
      <c r="A66" s="7">
        <v>65</v>
      </c>
      <c r="B66" s="1" t="s">
        <v>5579</v>
      </c>
      <c r="C66" s="5">
        <f>CONCATENATE("PD", TEXT(A66, "1000000"))</f>
      </c>
      <c r="D66" s="7">
        <v>1</v>
      </c>
      <c r="E66" s="5">
        <f>XLOOKUP(G66, item_category!C:C, item_category!B:B, "Not Found")</f>
      </c>
      <c r="F66" s="1" t="s">
        <v>5514</v>
      </c>
      <c r="G66" s="5">
        <f>XLOOKUP(I66, drug!B:B, drug!A:A, "Not Found")</f>
      </c>
      <c r="H66" s="1" t="s">
        <v>1280</v>
      </c>
      <c r="I66" s="7">
        <v>1</v>
      </c>
      <c r="J66" s="5">
        <f>XLOOKUP(L66, uom!C:C, uom!B:B, "Not Found")</f>
      </c>
      <c r="K66" s="1" t="s">
        <v>5511</v>
      </c>
      <c r="L66" s="5">
        <f>XLOOKUP(N66, uom!C:C, uom!B:B, "Not Found")</f>
      </c>
      <c r="M66" s="1" t="s">
        <v>5511</v>
      </c>
      <c r="N66" s="8" t="s">
        <v>5512</v>
      </c>
      <c r="O66" s="1" t="s">
        <v>5513</v>
      </c>
      <c r="P66" s="5">
        <f>XLOOKUP(R66, classification!C:C, classification!B:B, "Not Found")</f>
      </c>
      <c r="Q66" s="1" t="s">
        <v>5514</v>
      </c>
      <c r="R66" s="2"/>
      <c r="S66" s="2"/>
      <c r="T66" s="2"/>
      <c r="U66" s="2"/>
    </row>
    <row x14ac:dyDescent="0.25" r="67" customHeight="1" ht="17.25">
      <c r="A67" s="7">
        <v>66</v>
      </c>
      <c r="B67" s="1" t="s">
        <v>5580</v>
      </c>
      <c r="C67" s="5">
        <f>CONCATENATE("PD", TEXT(A67, "1000000"))</f>
      </c>
      <c r="D67" s="7">
        <v>59</v>
      </c>
      <c r="E67" s="5">
        <f>XLOOKUP(G67, item_category!C:C, item_category!B:B, "Not Found")</f>
      </c>
      <c r="F67" s="1" t="s">
        <v>5527</v>
      </c>
      <c r="G67" s="5">
        <f>XLOOKUP(I67, drug!B:B, drug!A:A, "Not Found")</f>
      </c>
      <c r="H67" s="1" t="s">
        <v>857</v>
      </c>
      <c r="I67" s="7">
        <v>2</v>
      </c>
      <c r="J67" s="5">
        <f>XLOOKUP(L67, uom!C:C, uom!B:B, "Not Found")</f>
      </c>
      <c r="K67" s="1" t="s">
        <v>5537</v>
      </c>
      <c r="L67" s="5">
        <f>XLOOKUP(N67, uom!C:C, uom!B:B, "Not Found")</f>
      </c>
      <c r="M67" s="1" t="s">
        <v>5581</v>
      </c>
      <c r="N67" s="8" t="s">
        <v>5524</v>
      </c>
      <c r="O67" s="1" t="s">
        <v>5525</v>
      </c>
      <c r="P67" s="5">
        <f>XLOOKUP(R67, classification!C:C, classification!B:B, "Not Found")</f>
      </c>
      <c r="Q67" s="1" t="s">
        <v>5514</v>
      </c>
      <c r="R67" s="2"/>
      <c r="S67" s="2"/>
      <c r="T67" s="2"/>
      <c r="U67" s="2"/>
    </row>
    <row x14ac:dyDescent="0.25" r="68" customHeight="1" ht="17.25">
      <c r="A68" s="7">
        <v>67</v>
      </c>
      <c r="B68" s="1" t="s">
        <v>5582</v>
      </c>
      <c r="C68" s="5">
        <f>CONCATENATE("PD", TEXT(A68, "1000000"))</f>
      </c>
      <c r="D68" s="7">
        <v>74</v>
      </c>
      <c r="E68" s="5">
        <f>XLOOKUP(G68, item_category!C:C, item_category!B:B, "Not Found")</f>
      </c>
      <c r="F68" s="1" t="s">
        <v>5520</v>
      </c>
      <c r="G68" s="5">
        <f>XLOOKUP(I68, drug!B:B, drug!A:A, "Not Found")</f>
      </c>
      <c r="H68" s="1" t="s">
        <v>1282</v>
      </c>
      <c r="I68" s="7">
        <v>1</v>
      </c>
      <c r="J68" s="5">
        <f>XLOOKUP(L68, uom!C:C, uom!B:B, "Not Found")</f>
      </c>
      <c r="K68" s="1" t="s">
        <v>5511</v>
      </c>
      <c r="L68" s="5">
        <f>XLOOKUP(N68, uom!C:C, uom!B:B, "Not Found")</f>
      </c>
      <c r="M68" s="1" t="s">
        <v>5511</v>
      </c>
      <c r="N68" s="8" t="s">
        <v>5512</v>
      </c>
      <c r="O68" s="1" t="s">
        <v>5513</v>
      </c>
      <c r="P68" s="5">
        <f>XLOOKUP(R68, classification!C:C, classification!B:B, "Not Found")</f>
      </c>
      <c r="Q68" s="1" t="s">
        <v>5514</v>
      </c>
      <c r="R68" s="2"/>
      <c r="S68" s="2"/>
      <c r="T68" s="2"/>
      <c r="U68" s="2"/>
    </row>
    <row x14ac:dyDescent="0.25" r="69" customHeight="1" ht="17.25">
      <c r="A69" s="7">
        <v>68</v>
      </c>
      <c r="B69" s="1" t="s">
        <v>5583</v>
      </c>
      <c r="C69" s="5">
        <f>CONCATENATE("PD", TEXT(A69, "1000000"))</f>
      </c>
      <c r="D69" s="7">
        <v>74</v>
      </c>
      <c r="E69" s="5">
        <f>XLOOKUP(G69, item_category!C:C, item_category!B:B, "Not Found")</f>
      </c>
      <c r="F69" s="1" t="s">
        <v>5520</v>
      </c>
      <c r="G69" s="5">
        <f>XLOOKUP(I69, drug!B:B, drug!A:A, "Not Found")</f>
      </c>
      <c r="H69" s="1" t="s">
        <v>1284</v>
      </c>
      <c r="I69" s="7">
        <v>1</v>
      </c>
      <c r="J69" s="5">
        <f>XLOOKUP(L69, uom!C:C, uom!B:B, "Not Found")</f>
      </c>
      <c r="K69" s="1" t="s">
        <v>5511</v>
      </c>
      <c r="L69" s="5">
        <f>XLOOKUP(N69, uom!C:C, uom!B:B, "Not Found")</f>
      </c>
      <c r="M69" s="1" t="s">
        <v>5511</v>
      </c>
      <c r="N69" s="8" t="s">
        <v>5512</v>
      </c>
      <c r="O69" s="1" t="s">
        <v>5513</v>
      </c>
      <c r="P69" s="5">
        <f>XLOOKUP(R69, classification!C:C, classification!B:B, "Not Found")</f>
      </c>
      <c r="Q69" s="1" t="s">
        <v>5514</v>
      </c>
      <c r="R69" s="2"/>
      <c r="S69" s="2"/>
      <c r="T69" s="2"/>
      <c r="U69" s="2"/>
    </row>
    <row x14ac:dyDescent="0.25" r="70" customHeight="1" ht="17.25">
      <c r="A70" s="7">
        <v>69</v>
      </c>
      <c r="B70" s="1" t="s">
        <v>5584</v>
      </c>
      <c r="C70" s="5">
        <f>CONCATENATE("PD", TEXT(A70, "1000000"))</f>
      </c>
      <c r="D70" s="7">
        <v>74</v>
      </c>
      <c r="E70" s="5">
        <f>XLOOKUP(G70, item_category!C:C, item_category!B:B, "Not Found")</f>
      </c>
      <c r="F70" s="1" t="s">
        <v>5520</v>
      </c>
      <c r="G70" s="5">
        <f>XLOOKUP(I70, drug!B:B, drug!A:A, "Not Found")</f>
      </c>
      <c r="H70" s="1" t="s">
        <v>1286</v>
      </c>
      <c r="I70" s="7">
        <v>1</v>
      </c>
      <c r="J70" s="5">
        <f>XLOOKUP(L70, uom!C:C, uom!B:B, "Not Found")</f>
      </c>
      <c r="K70" s="1" t="s">
        <v>5511</v>
      </c>
      <c r="L70" s="5">
        <f>XLOOKUP(N70, uom!C:C, uom!B:B, "Not Found")</f>
      </c>
      <c r="M70" s="1" t="s">
        <v>5511</v>
      </c>
      <c r="N70" s="8" t="s">
        <v>5512</v>
      </c>
      <c r="O70" s="1" t="s">
        <v>5513</v>
      </c>
      <c r="P70" s="5">
        <f>XLOOKUP(R70, classification!C:C, classification!B:B, "Not Found")</f>
      </c>
      <c r="Q70" s="1" t="s">
        <v>5514</v>
      </c>
      <c r="R70" s="2"/>
      <c r="S70" s="2"/>
      <c r="T70" s="2"/>
      <c r="U70" s="2"/>
    </row>
    <row x14ac:dyDescent="0.25" r="71" customHeight="1" ht="17.25">
      <c r="A71" s="7">
        <v>70</v>
      </c>
      <c r="B71" s="1" t="s">
        <v>5585</v>
      </c>
      <c r="C71" s="5">
        <f>CONCATENATE("PD", TEXT(A71, "1000000"))</f>
      </c>
      <c r="D71" s="7">
        <v>74</v>
      </c>
      <c r="E71" s="5">
        <f>XLOOKUP(G71, item_category!C:C, item_category!B:B, "Not Found")</f>
      </c>
      <c r="F71" s="1" t="s">
        <v>5520</v>
      </c>
      <c r="G71" s="5">
        <f>XLOOKUP(I71, drug!B:B, drug!A:A, "Not Found")</f>
      </c>
      <c r="H71" s="1" t="s">
        <v>1286</v>
      </c>
      <c r="I71" s="7">
        <v>1</v>
      </c>
      <c r="J71" s="5">
        <f>XLOOKUP(L71, uom!C:C, uom!B:B, "Not Found")</f>
      </c>
      <c r="K71" s="1" t="s">
        <v>5511</v>
      </c>
      <c r="L71" s="5">
        <f>XLOOKUP(N71, uom!C:C, uom!B:B, "Not Found")</f>
      </c>
      <c r="M71" s="1" t="s">
        <v>5511</v>
      </c>
      <c r="N71" s="8" t="s">
        <v>5512</v>
      </c>
      <c r="O71" s="1" t="s">
        <v>5513</v>
      </c>
      <c r="P71" s="5">
        <f>XLOOKUP(R71, classification!C:C, classification!B:B, "Not Found")</f>
      </c>
      <c r="Q71" s="1" t="s">
        <v>5514</v>
      </c>
      <c r="R71" s="2"/>
      <c r="S71" s="2"/>
      <c r="T71" s="2"/>
      <c r="U71" s="2"/>
    </row>
    <row x14ac:dyDescent="0.25" r="72" customHeight="1" ht="17.25">
      <c r="A72" s="7">
        <v>71</v>
      </c>
      <c r="B72" s="1" t="s">
        <v>5586</v>
      </c>
      <c r="C72" s="5">
        <f>CONCATENATE("PD", TEXT(A72, "1000000"))</f>
      </c>
      <c r="D72" s="7">
        <v>74</v>
      </c>
      <c r="E72" s="5">
        <f>XLOOKUP(G72, item_category!C:C, item_category!B:B, "Not Found")</f>
      </c>
      <c r="F72" s="1" t="s">
        <v>5520</v>
      </c>
      <c r="G72" s="5">
        <f>XLOOKUP(I72, drug!B:B, drug!A:A, "Not Found")</f>
      </c>
      <c r="H72" s="1" t="s">
        <v>1288</v>
      </c>
      <c r="I72" s="7">
        <v>1</v>
      </c>
      <c r="J72" s="5">
        <f>XLOOKUP(L72, uom!C:C, uom!B:B, "Not Found")</f>
      </c>
      <c r="K72" s="1" t="s">
        <v>5511</v>
      </c>
      <c r="L72" s="5">
        <f>XLOOKUP(N72, uom!C:C, uom!B:B, "Not Found")</f>
      </c>
      <c r="M72" s="1" t="s">
        <v>5511</v>
      </c>
      <c r="N72" s="8" t="s">
        <v>5512</v>
      </c>
      <c r="O72" s="1" t="s">
        <v>5513</v>
      </c>
      <c r="P72" s="5">
        <f>XLOOKUP(R72, classification!C:C, classification!B:B, "Not Found")</f>
      </c>
      <c r="Q72" s="1" t="s">
        <v>5514</v>
      </c>
      <c r="R72" s="2"/>
      <c r="S72" s="2"/>
      <c r="T72" s="2"/>
      <c r="U72" s="2"/>
    </row>
    <row x14ac:dyDescent="0.25" r="73" customHeight="1" ht="17.25">
      <c r="A73" s="7">
        <v>72</v>
      </c>
      <c r="B73" s="1" t="s">
        <v>5587</v>
      </c>
      <c r="C73" s="5">
        <f>CONCATENATE("PD", TEXT(A73, "1000000"))</f>
      </c>
      <c r="D73" s="7">
        <v>74</v>
      </c>
      <c r="E73" s="5">
        <f>XLOOKUP(G73, item_category!C:C, item_category!B:B, "Not Found")</f>
      </c>
      <c r="F73" s="1" t="s">
        <v>5520</v>
      </c>
      <c r="G73" s="5">
        <f>XLOOKUP(I73, drug!B:B, drug!A:A, "Not Found")</f>
      </c>
      <c r="H73" s="1" t="s">
        <v>1290</v>
      </c>
      <c r="I73" s="7">
        <v>1</v>
      </c>
      <c r="J73" s="5">
        <f>XLOOKUP(L73, uom!C:C, uom!B:B, "Not Found")</f>
      </c>
      <c r="K73" s="1" t="s">
        <v>5511</v>
      </c>
      <c r="L73" s="5">
        <f>XLOOKUP(N73, uom!C:C, uom!B:B, "Not Found")</f>
      </c>
      <c r="M73" s="1" t="s">
        <v>5511</v>
      </c>
      <c r="N73" s="8" t="s">
        <v>5512</v>
      </c>
      <c r="O73" s="1" t="s">
        <v>5513</v>
      </c>
      <c r="P73" s="5">
        <f>XLOOKUP(R73, classification!C:C, classification!B:B, "Not Found")</f>
      </c>
      <c r="Q73" s="1" t="s">
        <v>5514</v>
      </c>
      <c r="R73" s="2"/>
      <c r="S73" s="2"/>
      <c r="T73" s="2"/>
      <c r="U73" s="2"/>
    </row>
    <row x14ac:dyDescent="0.25" r="74" customHeight="1" ht="17.25">
      <c r="A74" s="7">
        <v>73</v>
      </c>
      <c r="B74" s="1" t="s">
        <v>5588</v>
      </c>
      <c r="C74" s="5">
        <f>CONCATENATE("PD", TEXT(A74, "1000000"))</f>
      </c>
      <c r="D74" s="7">
        <v>74</v>
      </c>
      <c r="E74" s="5">
        <f>XLOOKUP(G74, item_category!C:C, item_category!B:B, "Not Found")</f>
      </c>
      <c r="F74" s="1" t="s">
        <v>5520</v>
      </c>
      <c r="G74" s="5">
        <f>XLOOKUP(I74, drug!B:B, drug!A:A, "Not Found")</f>
      </c>
      <c r="H74" s="1" t="s">
        <v>1292</v>
      </c>
      <c r="I74" s="7">
        <v>1</v>
      </c>
      <c r="J74" s="5">
        <f>XLOOKUP(L74, uom!C:C, uom!B:B, "Not Found")</f>
      </c>
      <c r="K74" s="1" t="s">
        <v>5511</v>
      </c>
      <c r="L74" s="5">
        <f>XLOOKUP(N74, uom!C:C, uom!B:B, "Not Found")</f>
      </c>
      <c r="M74" s="1" t="s">
        <v>5511</v>
      </c>
      <c r="N74" s="8" t="s">
        <v>5512</v>
      </c>
      <c r="O74" s="1" t="s">
        <v>5513</v>
      </c>
      <c r="P74" s="5">
        <f>XLOOKUP(R74, classification!C:C, classification!B:B, "Not Found")</f>
      </c>
      <c r="Q74" s="1" t="s">
        <v>5514</v>
      </c>
      <c r="R74" s="2"/>
      <c r="S74" s="2"/>
      <c r="T74" s="2"/>
      <c r="U74" s="2"/>
    </row>
    <row x14ac:dyDescent="0.25" r="75" customHeight="1" ht="17.25">
      <c r="A75" s="7">
        <v>74</v>
      </c>
      <c r="B75" s="1" t="s">
        <v>5589</v>
      </c>
      <c r="C75" s="5">
        <f>CONCATENATE("PD", TEXT(A75, "1000000"))</f>
      </c>
      <c r="D75" s="7">
        <v>74</v>
      </c>
      <c r="E75" s="5">
        <f>XLOOKUP(G75, item_category!C:C, item_category!B:B, "Not Found")</f>
      </c>
      <c r="F75" s="1" t="s">
        <v>5520</v>
      </c>
      <c r="G75" s="5">
        <f>XLOOKUP(I75, drug!B:B, drug!A:A, "Not Found")</f>
      </c>
      <c r="H75" s="1" t="s">
        <v>1294</v>
      </c>
      <c r="I75" s="7">
        <v>1</v>
      </c>
      <c r="J75" s="5">
        <f>XLOOKUP(L75, uom!C:C, uom!B:B, "Not Found")</f>
      </c>
      <c r="K75" s="1" t="s">
        <v>5511</v>
      </c>
      <c r="L75" s="5">
        <f>XLOOKUP(N75, uom!C:C, uom!B:B, "Not Found")</f>
      </c>
      <c r="M75" s="1" t="s">
        <v>5511</v>
      </c>
      <c r="N75" s="8" t="s">
        <v>5512</v>
      </c>
      <c r="O75" s="1" t="s">
        <v>5513</v>
      </c>
      <c r="P75" s="5">
        <f>XLOOKUP(R75, classification!C:C, classification!B:B, "Not Found")</f>
      </c>
      <c r="Q75" s="1" t="s">
        <v>5514</v>
      </c>
      <c r="R75" s="2"/>
      <c r="S75" s="2"/>
      <c r="T75" s="2"/>
      <c r="U75" s="2"/>
    </row>
    <row x14ac:dyDescent="0.25" r="76" customHeight="1" ht="17.25">
      <c r="A76" s="7">
        <v>75</v>
      </c>
      <c r="B76" s="1" t="s">
        <v>5590</v>
      </c>
      <c r="C76" s="5">
        <f>CONCATENATE("PD", TEXT(A76, "1000000"))</f>
      </c>
      <c r="D76" s="7">
        <v>74</v>
      </c>
      <c r="E76" s="5">
        <f>XLOOKUP(G76, item_category!C:C, item_category!B:B, "Not Found")</f>
      </c>
      <c r="F76" s="1" t="s">
        <v>5520</v>
      </c>
      <c r="G76" s="5">
        <f>XLOOKUP(I76, drug!B:B, drug!A:A, "Not Found")</f>
      </c>
      <c r="H76" s="1" t="s">
        <v>1296</v>
      </c>
      <c r="I76" s="7">
        <v>1</v>
      </c>
      <c r="J76" s="5">
        <f>XLOOKUP(L76, uom!C:C, uom!B:B, "Not Found")</f>
      </c>
      <c r="K76" s="1" t="s">
        <v>5511</v>
      </c>
      <c r="L76" s="5">
        <f>XLOOKUP(N76, uom!C:C, uom!B:B, "Not Found")</f>
      </c>
      <c r="M76" s="1" t="s">
        <v>5511</v>
      </c>
      <c r="N76" s="8" t="s">
        <v>5512</v>
      </c>
      <c r="O76" s="1" t="s">
        <v>5513</v>
      </c>
      <c r="P76" s="5">
        <f>XLOOKUP(R76, classification!C:C, classification!B:B, "Not Found")</f>
      </c>
      <c r="Q76" s="1" t="s">
        <v>5514</v>
      </c>
      <c r="R76" s="2"/>
      <c r="S76" s="2"/>
      <c r="T76" s="2"/>
      <c r="U76" s="2"/>
    </row>
    <row x14ac:dyDescent="0.25" r="77" customHeight="1" ht="17.25">
      <c r="A77" s="7">
        <v>76</v>
      </c>
      <c r="B77" s="1" t="s">
        <v>5591</v>
      </c>
      <c r="C77" s="5">
        <f>CONCATENATE("PD", TEXT(A77, "1000000"))</f>
      </c>
      <c r="D77" s="7">
        <v>74</v>
      </c>
      <c r="E77" s="5">
        <f>XLOOKUP(G77, item_category!C:C, item_category!B:B, "Not Found")</f>
      </c>
      <c r="F77" s="1" t="s">
        <v>5520</v>
      </c>
      <c r="G77" s="5">
        <f>XLOOKUP(I77, drug!B:B, drug!A:A, "Not Found")</f>
      </c>
      <c r="H77" s="1" t="s">
        <v>1298</v>
      </c>
      <c r="I77" s="7">
        <v>1</v>
      </c>
      <c r="J77" s="5">
        <f>XLOOKUP(L77, uom!C:C, uom!B:B, "Not Found")</f>
      </c>
      <c r="K77" s="1" t="s">
        <v>5511</v>
      </c>
      <c r="L77" s="5">
        <f>XLOOKUP(N77, uom!C:C, uom!B:B, "Not Found")</f>
      </c>
      <c r="M77" s="1" t="s">
        <v>5511</v>
      </c>
      <c r="N77" s="8" t="s">
        <v>5512</v>
      </c>
      <c r="O77" s="1" t="s">
        <v>5513</v>
      </c>
      <c r="P77" s="5">
        <f>XLOOKUP(R77, classification!C:C, classification!B:B, "Not Found")</f>
      </c>
      <c r="Q77" s="1" t="s">
        <v>5514</v>
      </c>
      <c r="R77" s="2"/>
      <c r="S77" s="2"/>
      <c r="T77" s="2"/>
      <c r="U77" s="2"/>
    </row>
    <row x14ac:dyDescent="0.25" r="78" customHeight="1" ht="17.25">
      <c r="A78" s="7">
        <v>77</v>
      </c>
      <c r="B78" s="1" t="s">
        <v>5592</v>
      </c>
      <c r="C78" s="5">
        <f>CONCATENATE("PD", TEXT(A78, "1000000"))</f>
      </c>
      <c r="D78" s="7">
        <v>74</v>
      </c>
      <c r="E78" s="5">
        <f>XLOOKUP(G78, item_category!C:C, item_category!B:B, "Not Found")</f>
      </c>
      <c r="F78" s="1" t="s">
        <v>5520</v>
      </c>
      <c r="G78" s="5">
        <f>XLOOKUP(I78, drug!B:B, drug!A:A, "Not Found")</f>
      </c>
      <c r="H78" s="1" t="s">
        <v>1300</v>
      </c>
      <c r="I78" s="7">
        <v>1</v>
      </c>
      <c r="J78" s="5">
        <f>XLOOKUP(L78, uom!C:C, uom!B:B, "Not Found")</f>
      </c>
      <c r="K78" s="1" t="s">
        <v>5511</v>
      </c>
      <c r="L78" s="5">
        <f>XLOOKUP(N78, uom!C:C, uom!B:B, "Not Found")</f>
      </c>
      <c r="M78" s="1" t="s">
        <v>5511</v>
      </c>
      <c r="N78" s="8" t="s">
        <v>5512</v>
      </c>
      <c r="O78" s="1" t="s">
        <v>5513</v>
      </c>
      <c r="P78" s="5">
        <f>XLOOKUP(R78, classification!C:C, classification!B:B, "Not Found")</f>
      </c>
      <c r="Q78" s="1" t="s">
        <v>5514</v>
      </c>
      <c r="R78" s="2"/>
      <c r="S78" s="2"/>
      <c r="T78" s="2"/>
      <c r="U78" s="2"/>
    </row>
    <row x14ac:dyDescent="0.25" r="79" customHeight="1" ht="17.25">
      <c r="A79" s="7">
        <v>78</v>
      </c>
      <c r="B79" s="1" t="s">
        <v>1302</v>
      </c>
      <c r="C79" s="5">
        <f>CONCATENATE("PD", TEXT(A79, "1000000"))</f>
      </c>
      <c r="D79" s="7">
        <v>74</v>
      </c>
      <c r="E79" s="5">
        <f>XLOOKUP(G79, item_category!C:C, item_category!B:B, "Not Found")</f>
      </c>
      <c r="F79" s="1" t="s">
        <v>5520</v>
      </c>
      <c r="G79" s="5">
        <f>XLOOKUP(I79, drug!B:B, drug!A:A, "Not Found")</f>
      </c>
      <c r="H79" s="1" t="s">
        <v>1302</v>
      </c>
      <c r="I79" s="7">
        <v>1</v>
      </c>
      <c r="J79" s="5">
        <f>XLOOKUP(L79, uom!C:C, uom!B:B, "Not Found")</f>
      </c>
      <c r="K79" s="1" t="s">
        <v>5511</v>
      </c>
      <c r="L79" s="5">
        <f>XLOOKUP(N79, uom!C:C, uom!B:B, "Not Found")</f>
      </c>
      <c r="M79" s="1" t="s">
        <v>5511</v>
      </c>
      <c r="N79" s="8" t="s">
        <v>5512</v>
      </c>
      <c r="O79" s="1" t="s">
        <v>5513</v>
      </c>
      <c r="P79" s="5">
        <f>XLOOKUP(R79, classification!C:C, classification!B:B, "Not Found")</f>
      </c>
      <c r="Q79" s="1" t="s">
        <v>5514</v>
      </c>
      <c r="R79" s="2"/>
      <c r="S79" s="2"/>
      <c r="T79" s="2"/>
      <c r="U79" s="2"/>
    </row>
    <row x14ac:dyDescent="0.25" r="80" customHeight="1" ht="17.25">
      <c r="A80" s="7">
        <v>79</v>
      </c>
      <c r="B80" s="1" t="s">
        <v>5593</v>
      </c>
      <c r="C80" s="5">
        <f>CONCATENATE("PD", TEXT(A80, "1000000"))</f>
      </c>
      <c r="D80" s="7">
        <v>74</v>
      </c>
      <c r="E80" s="5">
        <f>XLOOKUP(G80, item_category!C:C, item_category!B:B, "Not Found")</f>
      </c>
      <c r="F80" s="1" t="s">
        <v>5520</v>
      </c>
      <c r="G80" s="5">
        <f>XLOOKUP(I80, drug!B:B, drug!A:A, "Not Found")</f>
      </c>
      <c r="H80" s="1" t="s">
        <v>1304</v>
      </c>
      <c r="I80" s="7">
        <v>1</v>
      </c>
      <c r="J80" s="5">
        <f>XLOOKUP(L80, uom!C:C, uom!B:B, "Not Found")</f>
      </c>
      <c r="K80" s="1" t="s">
        <v>5511</v>
      </c>
      <c r="L80" s="5">
        <f>XLOOKUP(N80, uom!C:C, uom!B:B, "Not Found")</f>
      </c>
      <c r="M80" s="1" t="s">
        <v>5511</v>
      </c>
      <c r="N80" s="8" t="s">
        <v>5512</v>
      </c>
      <c r="O80" s="1" t="s">
        <v>5513</v>
      </c>
      <c r="P80" s="5">
        <f>XLOOKUP(R80, classification!C:C, classification!B:B, "Not Found")</f>
      </c>
      <c r="Q80" s="1" t="s">
        <v>5514</v>
      </c>
      <c r="R80" s="2"/>
      <c r="S80" s="2"/>
      <c r="T80" s="2"/>
      <c r="U80" s="2"/>
    </row>
    <row x14ac:dyDescent="0.25" r="81" customHeight="1" ht="17.25">
      <c r="A81" s="7">
        <v>80</v>
      </c>
      <c r="B81" s="1" t="s">
        <v>5594</v>
      </c>
      <c r="C81" s="5">
        <f>CONCATENATE("PD", TEXT(A81, "1000000"))</f>
      </c>
      <c r="D81" s="7">
        <v>74</v>
      </c>
      <c r="E81" s="5">
        <f>XLOOKUP(G81, item_category!C:C, item_category!B:B, "Not Found")</f>
      </c>
      <c r="F81" s="1" t="s">
        <v>5520</v>
      </c>
      <c r="G81" s="5">
        <f>XLOOKUP(I81, drug!B:B, drug!A:A, "Not Found")</f>
      </c>
      <c r="H81" s="1" t="s">
        <v>1306</v>
      </c>
      <c r="I81" s="7">
        <v>1</v>
      </c>
      <c r="J81" s="5">
        <f>XLOOKUP(L81, uom!C:C, uom!B:B, "Not Found")</f>
      </c>
      <c r="K81" s="1" t="s">
        <v>5511</v>
      </c>
      <c r="L81" s="5">
        <f>XLOOKUP(N81, uom!C:C, uom!B:B, "Not Found")</f>
      </c>
      <c r="M81" s="1" t="s">
        <v>5511</v>
      </c>
      <c r="N81" s="8" t="s">
        <v>5512</v>
      </c>
      <c r="O81" s="1" t="s">
        <v>5513</v>
      </c>
      <c r="P81" s="5">
        <f>XLOOKUP(R81, classification!C:C, classification!B:B, "Not Found")</f>
      </c>
      <c r="Q81" s="1" t="s">
        <v>5514</v>
      </c>
      <c r="R81" s="2"/>
      <c r="S81" s="2"/>
      <c r="T81" s="2"/>
      <c r="U81" s="2"/>
    </row>
    <row x14ac:dyDescent="0.25" r="82" customHeight="1" ht="17.25">
      <c r="A82" s="7">
        <v>81</v>
      </c>
      <c r="B82" s="1" t="s">
        <v>5595</v>
      </c>
      <c r="C82" s="5">
        <f>CONCATENATE("PD", TEXT(A82, "1000000"))</f>
      </c>
      <c r="D82" s="7">
        <v>74</v>
      </c>
      <c r="E82" s="5">
        <f>XLOOKUP(G82, item_category!C:C, item_category!B:B, "Not Found")</f>
      </c>
      <c r="F82" s="1" t="s">
        <v>5520</v>
      </c>
      <c r="G82" s="5">
        <f>XLOOKUP(I82, drug!B:B, drug!A:A, "Not Found")</f>
      </c>
      <c r="H82" s="1" t="s">
        <v>1308</v>
      </c>
      <c r="I82" s="7">
        <v>1</v>
      </c>
      <c r="J82" s="5">
        <f>XLOOKUP(L82, uom!C:C, uom!B:B, "Not Found")</f>
      </c>
      <c r="K82" s="1" t="s">
        <v>5511</v>
      </c>
      <c r="L82" s="5">
        <f>XLOOKUP(N82, uom!C:C, uom!B:B, "Not Found")</f>
      </c>
      <c r="M82" s="1" t="s">
        <v>5511</v>
      </c>
      <c r="N82" s="8" t="s">
        <v>5512</v>
      </c>
      <c r="O82" s="1" t="s">
        <v>5513</v>
      </c>
      <c r="P82" s="5">
        <f>XLOOKUP(R82, classification!C:C, classification!B:B, "Not Found")</f>
      </c>
      <c r="Q82" s="1" t="s">
        <v>5514</v>
      </c>
      <c r="R82" s="2"/>
      <c r="S82" s="2"/>
      <c r="T82" s="2"/>
      <c r="U82" s="2"/>
    </row>
    <row x14ac:dyDescent="0.25" r="83" customHeight="1" ht="17.25">
      <c r="A83" s="7">
        <v>82</v>
      </c>
      <c r="B83" s="1" t="s">
        <v>5596</v>
      </c>
      <c r="C83" s="5">
        <f>CONCATENATE("PD", TEXT(A83, "1000000"))</f>
      </c>
      <c r="D83" s="7">
        <v>74</v>
      </c>
      <c r="E83" s="5">
        <f>XLOOKUP(G83, item_category!C:C, item_category!B:B, "Not Found")</f>
      </c>
      <c r="F83" s="1" t="s">
        <v>5520</v>
      </c>
      <c r="G83" s="5">
        <f>XLOOKUP(I83, drug!B:B, drug!A:A, "Not Found")</f>
      </c>
      <c r="H83" s="1" t="s">
        <v>1308</v>
      </c>
      <c r="I83" s="7">
        <v>1</v>
      </c>
      <c r="J83" s="5">
        <f>XLOOKUP(L83, uom!C:C, uom!B:B, "Not Found")</f>
      </c>
      <c r="K83" s="1" t="s">
        <v>5511</v>
      </c>
      <c r="L83" s="5">
        <f>XLOOKUP(N83, uom!C:C, uom!B:B, "Not Found")</f>
      </c>
      <c r="M83" s="1" t="s">
        <v>5511</v>
      </c>
      <c r="N83" s="8" t="s">
        <v>5512</v>
      </c>
      <c r="O83" s="1" t="s">
        <v>5513</v>
      </c>
      <c r="P83" s="5">
        <f>XLOOKUP(R83, classification!C:C, classification!B:B, "Not Found")</f>
      </c>
      <c r="Q83" s="1" t="s">
        <v>5514</v>
      </c>
      <c r="R83" s="2"/>
      <c r="S83" s="2"/>
      <c r="T83" s="2"/>
      <c r="U83" s="2"/>
    </row>
    <row x14ac:dyDescent="0.25" r="84" customHeight="1" ht="17.25">
      <c r="A84" s="7">
        <v>83</v>
      </c>
      <c r="B84" s="1" t="s">
        <v>5596</v>
      </c>
      <c r="C84" s="5">
        <f>CONCATENATE("PD", TEXT(A84, "1000000"))</f>
      </c>
      <c r="D84" s="7">
        <v>74</v>
      </c>
      <c r="E84" s="5">
        <f>XLOOKUP(G84, item_category!C:C, item_category!B:B, "Not Found")</f>
      </c>
      <c r="F84" s="1" t="s">
        <v>5520</v>
      </c>
      <c r="G84" s="5">
        <f>XLOOKUP(I84, drug!B:B, drug!A:A, "Not Found")</f>
      </c>
      <c r="H84" s="1" t="s">
        <v>1308</v>
      </c>
      <c r="I84" s="7">
        <v>1</v>
      </c>
      <c r="J84" s="5">
        <f>XLOOKUP(L84, uom!C:C, uom!B:B, "Not Found")</f>
      </c>
      <c r="K84" s="1" t="s">
        <v>5511</v>
      </c>
      <c r="L84" s="5">
        <f>XLOOKUP(N84, uom!C:C, uom!B:B, "Not Found")</f>
      </c>
      <c r="M84" s="1" t="s">
        <v>5511</v>
      </c>
      <c r="N84" s="8" t="s">
        <v>5512</v>
      </c>
      <c r="O84" s="1" t="s">
        <v>5513</v>
      </c>
      <c r="P84" s="5">
        <f>XLOOKUP(R84, classification!C:C, classification!B:B, "Not Found")</f>
      </c>
      <c r="Q84" s="1" t="s">
        <v>5514</v>
      </c>
      <c r="R84" s="2"/>
      <c r="S84" s="2"/>
      <c r="T84" s="2"/>
      <c r="U84" s="2"/>
    </row>
    <row x14ac:dyDescent="0.25" r="85" customHeight="1" ht="17.25">
      <c r="A85" s="7">
        <v>84</v>
      </c>
      <c r="B85" s="1" t="s">
        <v>5596</v>
      </c>
      <c r="C85" s="5">
        <f>CONCATENATE("PD", TEXT(A85, "1000000"))</f>
      </c>
      <c r="D85" s="7">
        <v>74</v>
      </c>
      <c r="E85" s="5">
        <f>XLOOKUP(G85, item_category!C:C, item_category!B:B, "Not Found")</f>
      </c>
      <c r="F85" s="1" t="s">
        <v>5520</v>
      </c>
      <c r="G85" s="5">
        <f>XLOOKUP(I85, drug!B:B, drug!A:A, "Not Found")</f>
      </c>
      <c r="H85" s="1" t="s">
        <v>1308</v>
      </c>
      <c r="I85" s="7">
        <v>1</v>
      </c>
      <c r="J85" s="5">
        <f>XLOOKUP(L85, uom!C:C, uom!B:B, "Not Found")</f>
      </c>
      <c r="K85" s="1" t="s">
        <v>5511</v>
      </c>
      <c r="L85" s="5">
        <f>XLOOKUP(N85, uom!C:C, uom!B:B, "Not Found")</f>
      </c>
      <c r="M85" s="1" t="s">
        <v>5511</v>
      </c>
      <c r="N85" s="8" t="s">
        <v>5512</v>
      </c>
      <c r="O85" s="1" t="s">
        <v>5513</v>
      </c>
      <c r="P85" s="5">
        <f>XLOOKUP(R85, classification!C:C, classification!B:B, "Not Found")</f>
      </c>
      <c r="Q85" s="1" t="s">
        <v>5514</v>
      </c>
      <c r="R85" s="2"/>
      <c r="S85" s="2"/>
      <c r="T85" s="2"/>
      <c r="U85" s="2"/>
    </row>
    <row x14ac:dyDescent="0.25" r="86" customHeight="1" ht="17.25">
      <c r="A86" s="7">
        <v>85</v>
      </c>
      <c r="B86" s="1" t="s">
        <v>5597</v>
      </c>
      <c r="C86" s="5">
        <f>CONCATENATE("PD", TEXT(A86, "1000000"))</f>
      </c>
      <c r="D86" s="7">
        <v>74</v>
      </c>
      <c r="E86" s="5">
        <f>XLOOKUP(G86, item_category!C:C, item_category!B:B, "Not Found")</f>
      </c>
      <c r="F86" s="1" t="s">
        <v>5520</v>
      </c>
      <c r="G86" s="5">
        <f>XLOOKUP(I86, drug!B:B, drug!A:A, "Not Found")</f>
      </c>
      <c r="H86" s="1" t="s">
        <v>1310</v>
      </c>
      <c r="I86" s="7">
        <v>1</v>
      </c>
      <c r="J86" s="5">
        <f>XLOOKUP(L86, uom!C:C, uom!B:B, "Not Found")</f>
      </c>
      <c r="K86" s="1" t="s">
        <v>5511</v>
      </c>
      <c r="L86" s="5">
        <f>XLOOKUP(N86, uom!C:C, uom!B:B, "Not Found")</f>
      </c>
      <c r="M86" s="1" t="s">
        <v>5511</v>
      </c>
      <c r="N86" s="8" t="s">
        <v>5512</v>
      </c>
      <c r="O86" s="1" t="s">
        <v>5513</v>
      </c>
      <c r="P86" s="5">
        <f>XLOOKUP(R86, classification!C:C, classification!B:B, "Not Found")</f>
      </c>
      <c r="Q86" s="1" t="s">
        <v>5514</v>
      </c>
      <c r="R86" s="2"/>
      <c r="S86" s="2"/>
      <c r="T86" s="2"/>
      <c r="U86" s="2"/>
    </row>
    <row x14ac:dyDescent="0.25" r="87" customHeight="1" ht="17.25">
      <c r="A87" s="7">
        <v>86</v>
      </c>
      <c r="B87" s="1" t="s">
        <v>5598</v>
      </c>
      <c r="C87" s="5">
        <f>CONCATENATE("PD", TEXT(A87, "1000000"))</f>
      </c>
      <c r="D87" s="7">
        <v>74</v>
      </c>
      <c r="E87" s="5">
        <f>XLOOKUP(G87, item_category!C:C, item_category!B:B, "Not Found")</f>
      </c>
      <c r="F87" s="1" t="s">
        <v>5520</v>
      </c>
      <c r="G87" s="5">
        <f>XLOOKUP(I87, drug!B:B, drug!A:A, "Not Found")</f>
      </c>
      <c r="H87" s="1" t="s">
        <v>1310</v>
      </c>
      <c r="I87" s="7">
        <v>1</v>
      </c>
      <c r="J87" s="5">
        <f>XLOOKUP(L87, uom!C:C, uom!B:B, "Not Found")</f>
      </c>
      <c r="K87" s="1" t="s">
        <v>5511</v>
      </c>
      <c r="L87" s="5">
        <f>XLOOKUP(N87, uom!C:C, uom!B:B, "Not Found")</f>
      </c>
      <c r="M87" s="1" t="s">
        <v>5511</v>
      </c>
      <c r="N87" s="8" t="s">
        <v>5512</v>
      </c>
      <c r="O87" s="1" t="s">
        <v>5513</v>
      </c>
      <c r="P87" s="5">
        <f>XLOOKUP(R87, classification!C:C, classification!B:B, "Not Found")</f>
      </c>
      <c r="Q87" s="1" t="s">
        <v>5514</v>
      </c>
      <c r="R87" s="2"/>
      <c r="S87" s="2"/>
      <c r="T87" s="2"/>
      <c r="U87" s="2"/>
    </row>
    <row x14ac:dyDescent="0.25" r="88" customHeight="1" ht="17.25">
      <c r="A88" s="7">
        <v>87</v>
      </c>
      <c r="B88" s="1" t="s">
        <v>5599</v>
      </c>
      <c r="C88" s="5">
        <f>CONCATENATE("PD", TEXT(A88, "1000000"))</f>
      </c>
      <c r="D88" s="7">
        <v>58</v>
      </c>
      <c r="E88" s="5">
        <f>XLOOKUP(G88, item_category!C:C, item_category!B:B, "Not Found")</f>
      </c>
      <c r="F88" s="1" t="s">
        <v>5600</v>
      </c>
      <c r="G88" s="5">
        <f>XLOOKUP(I88, drug!B:B, drug!A:A, "Not Found")</f>
      </c>
      <c r="H88" s="1" t="s">
        <v>1139</v>
      </c>
      <c r="I88" s="7">
        <v>1</v>
      </c>
      <c r="J88" s="5">
        <f>XLOOKUP(L88, uom!C:C, uom!B:B, "Not Found")</f>
      </c>
      <c r="K88" s="1" t="s">
        <v>5542</v>
      </c>
      <c r="L88" s="5">
        <f>XLOOKUP(N88, uom!C:C, uom!B:B, "Not Found")</f>
      </c>
      <c r="M88" s="1" t="s">
        <v>5542</v>
      </c>
      <c r="N88" s="8" t="s">
        <v>5512</v>
      </c>
      <c r="O88" s="1" t="s">
        <v>5525</v>
      </c>
      <c r="P88" s="5">
        <f>XLOOKUP(R88, classification!C:C, classification!B:B, "Not Found")</f>
      </c>
      <c r="Q88" s="1" t="s">
        <v>5514</v>
      </c>
      <c r="R88" s="2"/>
      <c r="S88" s="2"/>
      <c r="T88" s="2"/>
      <c r="U88" s="2"/>
    </row>
    <row x14ac:dyDescent="0.25" r="89" customHeight="1" ht="17.25">
      <c r="A89" s="7">
        <v>88</v>
      </c>
      <c r="B89" s="1" t="s">
        <v>5601</v>
      </c>
      <c r="C89" s="5">
        <f>CONCATENATE("PD", TEXT(A89, "1000000"))</f>
      </c>
      <c r="D89" s="7">
        <v>67</v>
      </c>
      <c r="E89" s="5">
        <f>XLOOKUP(G89, item_category!C:C, item_category!B:B, "Not Found")</f>
      </c>
      <c r="F89" s="1" t="s">
        <v>5516</v>
      </c>
      <c r="G89" s="5">
        <f>XLOOKUP(I89, drug!B:B, drug!A:A, "Not Found")</f>
      </c>
      <c r="H89" s="1" t="s">
        <v>1312</v>
      </c>
      <c r="I89" s="7">
        <v>250</v>
      </c>
      <c r="J89" s="5">
        <f>XLOOKUP(L89, uom!C:C, uom!B:B, "Not Found")</f>
      </c>
      <c r="K89" s="1" t="s">
        <v>5602</v>
      </c>
      <c r="L89" s="5">
        <f>XLOOKUP(N89, uom!C:C, uom!B:B, "Not Found")</f>
      </c>
      <c r="M89" s="1" t="s">
        <v>5602</v>
      </c>
      <c r="N89" s="8" t="s">
        <v>5524</v>
      </c>
      <c r="O89" s="1" t="s">
        <v>5525</v>
      </c>
      <c r="P89" s="5">
        <f>XLOOKUP(R89, classification!C:C, classification!B:B, "Not Found")</f>
      </c>
      <c r="Q89" s="1" t="s">
        <v>5514</v>
      </c>
      <c r="R89" s="2"/>
      <c r="S89" s="2"/>
      <c r="T89" s="2"/>
      <c r="U89" s="2"/>
    </row>
    <row x14ac:dyDescent="0.25" r="90" customHeight="1" ht="17.25">
      <c r="A90" s="7">
        <v>89</v>
      </c>
      <c r="B90" s="1" t="s">
        <v>5603</v>
      </c>
      <c r="C90" s="5">
        <f>CONCATENATE("PD", TEXT(A90, "1000000"))</f>
      </c>
      <c r="D90" s="7">
        <v>74</v>
      </c>
      <c r="E90" s="5">
        <f>XLOOKUP(G90, item_category!C:C, item_category!B:B, "Not Found")</f>
      </c>
      <c r="F90" s="1" t="s">
        <v>5520</v>
      </c>
      <c r="G90" s="5">
        <f>XLOOKUP(I90, drug!B:B, drug!A:A, "Not Found")</f>
      </c>
      <c r="H90" s="1" t="s">
        <v>1314</v>
      </c>
      <c r="I90" s="7">
        <v>400</v>
      </c>
      <c r="J90" s="5">
        <f>XLOOKUP(L90, uom!C:C, uom!B:B, "Not Found")</f>
      </c>
      <c r="K90" s="1" t="s">
        <v>5604</v>
      </c>
      <c r="L90" s="5">
        <f>XLOOKUP(N90, uom!C:C, uom!B:B, "Not Found")</f>
      </c>
      <c r="M90" s="1" t="s">
        <v>5604</v>
      </c>
      <c r="N90" s="8" t="s">
        <v>5524</v>
      </c>
      <c r="O90" s="1" t="s">
        <v>5525</v>
      </c>
      <c r="P90" s="5">
        <f>XLOOKUP(R90, classification!C:C, classification!B:B, "Not Found")</f>
      </c>
      <c r="Q90" s="1" t="s">
        <v>5514</v>
      </c>
      <c r="R90" s="2"/>
      <c r="S90" s="2"/>
      <c r="T90" s="2"/>
      <c r="U90" s="2"/>
    </row>
    <row x14ac:dyDescent="0.25" r="91" customHeight="1" ht="17.25">
      <c r="A91" s="7">
        <v>90</v>
      </c>
      <c r="B91" s="1" t="s">
        <v>5605</v>
      </c>
      <c r="C91" s="5">
        <f>CONCATENATE("PD", TEXT(A91, "1000000"))</f>
      </c>
      <c r="D91" s="7">
        <v>75</v>
      </c>
      <c r="E91" s="5">
        <f>XLOOKUP(G91, item_category!C:C, item_category!B:B, "Not Found")</f>
      </c>
      <c r="F91" s="1" t="s">
        <v>5541</v>
      </c>
      <c r="G91" s="5">
        <f>XLOOKUP(I91, drug!B:B, drug!A:A, "Not Found")</f>
      </c>
      <c r="H91" s="1" t="s">
        <v>1316</v>
      </c>
      <c r="I91" s="7">
        <v>350</v>
      </c>
      <c r="J91" s="5">
        <f>XLOOKUP(L91, uom!C:C, uom!B:B, "Not Found")</f>
      </c>
      <c r="K91" s="1" t="s">
        <v>5542</v>
      </c>
      <c r="L91" s="5">
        <f>XLOOKUP(N91, uom!C:C, uom!B:B, "Not Found")</f>
      </c>
      <c r="M91" s="1" t="s">
        <v>5542</v>
      </c>
      <c r="N91" s="8" t="s">
        <v>5524</v>
      </c>
      <c r="O91" s="1" t="s">
        <v>5525</v>
      </c>
      <c r="P91" s="5">
        <f>XLOOKUP(R91, classification!C:C, classification!B:B, "Not Found")</f>
      </c>
      <c r="Q91" s="1" t="s">
        <v>5514</v>
      </c>
      <c r="R91" s="2"/>
      <c r="S91" s="2"/>
      <c r="T91" s="2"/>
      <c r="U91" s="2"/>
    </row>
    <row x14ac:dyDescent="0.25" r="92" customHeight="1" ht="17.25">
      <c r="A92" s="7">
        <v>91</v>
      </c>
      <c r="B92" s="1" t="s">
        <v>5606</v>
      </c>
      <c r="C92" s="5">
        <f>CONCATENATE("PD", TEXT(A92, "1000000"))</f>
      </c>
      <c r="D92" s="7">
        <v>1</v>
      </c>
      <c r="E92" s="5">
        <f>XLOOKUP(G92, item_category!C:C, item_category!B:B, "Not Found")</f>
      </c>
      <c r="F92" s="1" t="s">
        <v>5514</v>
      </c>
      <c r="G92" s="5">
        <f>XLOOKUP(I92, drug!B:B, drug!A:A, "Not Found")</f>
      </c>
      <c r="H92" s="1" t="s">
        <v>1318</v>
      </c>
      <c r="I92" s="7">
        <v>300</v>
      </c>
      <c r="J92" s="5">
        <f>XLOOKUP(L92, uom!C:C, uom!B:B, "Not Found")</f>
      </c>
      <c r="K92" s="1" t="s">
        <v>5602</v>
      </c>
      <c r="L92" s="5">
        <f>XLOOKUP(N92, uom!C:C, uom!B:B, "Not Found")</f>
      </c>
      <c r="M92" s="1" t="s">
        <v>5602</v>
      </c>
      <c r="N92" s="8" t="s">
        <v>5524</v>
      </c>
      <c r="O92" s="1" t="s">
        <v>5525</v>
      </c>
      <c r="P92" s="5">
        <f>XLOOKUP(R92, classification!C:C, classification!B:B, "Not Found")</f>
      </c>
      <c r="Q92" s="1" t="s">
        <v>5514</v>
      </c>
      <c r="R92" s="2"/>
      <c r="S92" s="2"/>
      <c r="T92" s="2"/>
      <c r="U92" s="2"/>
    </row>
    <row x14ac:dyDescent="0.25" r="93" customHeight="1" ht="17.25">
      <c r="A93" s="7">
        <v>92</v>
      </c>
      <c r="B93" s="1" t="s">
        <v>5607</v>
      </c>
      <c r="C93" s="5">
        <f>CONCATENATE("PD", TEXT(A93, "1000000"))</f>
      </c>
      <c r="D93" s="7">
        <v>67</v>
      </c>
      <c r="E93" s="5">
        <f>XLOOKUP(G93, item_category!C:C, item_category!B:B, "Not Found")</f>
      </c>
      <c r="F93" s="1" t="s">
        <v>5516</v>
      </c>
      <c r="G93" s="5">
        <f>XLOOKUP(I93, drug!B:B, drug!A:A, "Not Found")</f>
      </c>
      <c r="H93" s="1" t="s">
        <v>1320</v>
      </c>
      <c r="I93" s="7">
        <v>250</v>
      </c>
      <c r="J93" s="5">
        <f>XLOOKUP(L93, uom!C:C, uom!B:B, "Not Found")</f>
      </c>
      <c r="K93" s="1" t="s">
        <v>5602</v>
      </c>
      <c r="L93" s="5">
        <f>XLOOKUP(N93, uom!C:C, uom!B:B, "Not Found")</f>
      </c>
      <c r="M93" s="1" t="s">
        <v>5602</v>
      </c>
      <c r="N93" s="8" t="s">
        <v>5524</v>
      </c>
      <c r="O93" s="1" t="s">
        <v>5525</v>
      </c>
      <c r="P93" s="5">
        <f>XLOOKUP(R93, classification!C:C, classification!B:B, "Not Found")</f>
      </c>
      <c r="Q93" s="1" t="s">
        <v>5514</v>
      </c>
      <c r="R93" s="2"/>
      <c r="S93" s="2"/>
      <c r="T93" s="2"/>
      <c r="U93" s="2"/>
    </row>
    <row x14ac:dyDescent="0.25" r="94" customHeight="1" ht="17.25">
      <c r="A94" s="7">
        <v>93</v>
      </c>
      <c r="B94" s="1" t="s">
        <v>5608</v>
      </c>
      <c r="C94" s="5">
        <f>CONCATENATE("PD", TEXT(A94, "1000000"))</f>
      </c>
      <c r="D94" s="7">
        <v>75</v>
      </c>
      <c r="E94" s="5">
        <f>XLOOKUP(G94, item_category!C:C, item_category!B:B, "Not Found")</f>
      </c>
      <c r="F94" s="1" t="s">
        <v>5541</v>
      </c>
      <c r="G94" s="5">
        <f>XLOOKUP(I94, drug!B:B, drug!A:A, "Not Found")</f>
      </c>
      <c r="H94" s="1" t="s">
        <v>1322</v>
      </c>
      <c r="I94" s="7">
        <v>150</v>
      </c>
      <c r="J94" s="5">
        <f>XLOOKUP(L94, uom!C:C, uom!B:B, "Not Found")</f>
      </c>
      <c r="K94" s="1" t="s">
        <v>5544</v>
      </c>
      <c r="L94" s="5">
        <f>XLOOKUP(N94, uom!C:C, uom!B:B, "Not Found")</f>
      </c>
      <c r="M94" s="1" t="s">
        <v>5544</v>
      </c>
      <c r="N94" s="8" t="s">
        <v>5524</v>
      </c>
      <c r="O94" s="1" t="s">
        <v>5525</v>
      </c>
      <c r="P94" s="5">
        <f>XLOOKUP(R94, classification!C:C, classification!B:B, "Not Found")</f>
      </c>
      <c r="Q94" s="1" t="s">
        <v>5514</v>
      </c>
      <c r="R94" s="2"/>
      <c r="S94" s="2"/>
      <c r="T94" s="2"/>
      <c r="U94" s="2"/>
    </row>
    <row x14ac:dyDescent="0.25" r="95" customHeight="1" ht="17.25">
      <c r="A95" s="7">
        <v>94</v>
      </c>
      <c r="B95" s="1" t="s">
        <v>5609</v>
      </c>
      <c r="C95" s="5">
        <f>CONCATENATE("PD", TEXT(A95, "1000000"))</f>
      </c>
      <c r="D95" s="7">
        <v>61</v>
      </c>
      <c r="E95" s="5">
        <f>XLOOKUP(G95, item_category!C:C, item_category!B:B, "Not Found")</f>
      </c>
      <c r="F95" s="1" t="s">
        <v>5610</v>
      </c>
      <c r="G95" s="5">
        <f>XLOOKUP(I95, drug!B:B, drug!A:A, "Not Found")</f>
      </c>
      <c r="H95" s="1" t="s">
        <v>1324</v>
      </c>
      <c r="I95" s="7">
        <v>1</v>
      </c>
      <c r="J95" s="5">
        <f>XLOOKUP(L95, uom!C:C, uom!B:B, "Not Found")</f>
      </c>
      <c r="K95" s="1" t="s">
        <v>5511</v>
      </c>
      <c r="L95" s="5">
        <f>XLOOKUP(N95, uom!C:C, uom!B:B, "Not Found")</f>
      </c>
      <c r="M95" s="1" t="s">
        <v>5511</v>
      </c>
      <c r="N95" s="8" t="s">
        <v>5512</v>
      </c>
      <c r="O95" s="1" t="s">
        <v>5513</v>
      </c>
      <c r="P95" s="5">
        <f>XLOOKUP(R95, classification!C:C, classification!B:B, "Not Found")</f>
      </c>
      <c r="Q95" s="1" t="s">
        <v>5514</v>
      </c>
      <c r="R95" s="2"/>
      <c r="S95" s="2"/>
      <c r="T95" s="2"/>
      <c r="U95" s="2"/>
    </row>
    <row x14ac:dyDescent="0.25" r="96" customHeight="1" ht="17.25">
      <c r="A96" s="7">
        <v>95</v>
      </c>
      <c r="B96" s="1" t="s">
        <v>5611</v>
      </c>
      <c r="C96" s="5">
        <f>CONCATENATE("PD", TEXT(A96, "1000000"))</f>
      </c>
      <c r="D96" s="7">
        <v>61</v>
      </c>
      <c r="E96" s="5">
        <f>XLOOKUP(G96, item_category!C:C, item_category!B:B, "Not Found")</f>
      </c>
      <c r="F96" s="1" t="s">
        <v>5610</v>
      </c>
      <c r="G96" s="5">
        <f>XLOOKUP(I96, drug!B:B, drug!A:A, "Not Found")</f>
      </c>
      <c r="H96" s="1" t="s">
        <v>1326</v>
      </c>
      <c r="I96" s="7">
        <v>1</v>
      </c>
      <c r="J96" s="5">
        <f>XLOOKUP(L96, uom!C:C, uom!B:B, "Not Found")</f>
      </c>
      <c r="K96" s="1" t="s">
        <v>5511</v>
      </c>
      <c r="L96" s="5">
        <f>XLOOKUP(N96, uom!C:C, uom!B:B, "Not Found")</f>
      </c>
      <c r="M96" s="1" t="s">
        <v>5511</v>
      </c>
      <c r="N96" s="8" t="s">
        <v>5512</v>
      </c>
      <c r="O96" s="1" t="s">
        <v>5513</v>
      </c>
      <c r="P96" s="5">
        <f>XLOOKUP(R96, classification!C:C, classification!B:B, "Not Found")</f>
      </c>
      <c r="Q96" s="1" t="s">
        <v>5514</v>
      </c>
      <c r="R96" s="2"/>
      <c r="S96" s="2"/>
      <c r="T96" s="2"/>
      <c r="U96" s="2"/>
    </row>
    <row x14ac:dyDescent="0.25" r="97" customHeight="1" ht="17.25">
      <c r="A97" s="7">
        <v>96</v>
      </c>
      <c r="B97" s="1" t="s">
        <v>5612</v>
      </c>
      <c r="C97" s="5">
        <f>CONCATENATE("PD", TEXT(A97, "1000000"))</f>
      </c>
      <c r="D97" s="7">
        <v>61</v>
      </c>
      <c r="E97" s="5">
        <f>XLOOKUP(G97, item_category!C:C, item_category!B:B, "Not Found")</f>
      </c>
      <c r="F97" s="1" t="s">
        <v>5610</v>
      </c>
      <c r="G97" s="5">
        <f>XLOOKUP(I97, drug!B:B, drug!A:A, "Not Found")</f>
      </c>
      <c r="H97" s="1" t="s">
        <v>1326</v>
      </c>
      <c r="I97" s="7">
        <v>1</v>
      </c>
      <c r="J97" s="5">
        <f>XLOOKUP(L97, uom!C:C, uom!B:B, "Not Found")</f>
      </c>
      <c r="K97" s="1" t="s">
        <v>5511</v>
      </c>
      <c r="L97" s="5">
        <f>XLOOKUP(N97, uom!C:C, uom!B:B, "Not Found")</f>
      </c>
      <c r="M97" s="1" t="s">
        <v>5511</v>
      </c>
      <c r="N97" s="8" t="s">
        <v>5512</v>
      </c>
      <c r="O97" s="1" t="s">
        <v>5513</v>
      </c>
      <c r="P97" s="5">
        <f>XLOOKUP(R97, classification!C:C, classification!B:B, "Not Found")</f>
      </c>
      <c r="Q97" s="1" t="s">
        <v>5514</v>
      </c>
      <c r="R97" s="2"/>
      <c r="S97" s="2"/>
      <c r="T97" s="2"/>
      <c r="U97" s="2"/>
    </row>
    <row x14ac:dyDescent="0.25" r="98" customHeight="1" ht="17.25">
      <c r="A98" s="7">
        <v>97</v>
      </c>
      <c r="B98" s="1" t="s">
        <v>5613</v>
      </c>
      <c r="C98" s="5">
        <f>CONCATENATE("PD", TEXT(A98, "1000000"))</f>
      </c>
      <c r="D98" s="7">
        <v>1</v>
      </c>
      <c r="E98" s="5">
        <f>XLOOKUP(G98, item_category!C:C, item_category!B:B, "Not Found")</f>
      </c>
      <c r="F98" s="1" t="s">
        <v>5514</v>
      </c>
      <c r="G98" s="5">
        <f>XLOOKUP(I98, drug!B:B, drug!A:A, "Not Found")</f>
      </c>
      <c r="H98" s="1" t="s">
        <v>1328</v>
      </c>
      <c r="I98" s="7">
        <v>250</v>
      </c>
      <c r="J98" s="5">
        <f>XLOOKUP(L98, uom!C:C, uom!B:B, "Not Found")</f>
      </c>
      <c r="K98" s="1" t="s">
        <v>5602</v>
      </c>
      <c r="L98" s="5">
        <f>XLOOKUP(N98, uom!C:C, uom!B:B, "Not Found")</f>
      </c>
      <c r="M98" s="1" t="s">
        <v>5602</v>
      </c>
      <c r="N98" s="8" t="s">
        <v>5524</v>
      </c>
      <c r="O98" s="1" t="s">
        <v>5525</v>
      </c>
      <c r="P98" s="5">
        <f>XLOOKUP(R98, classification!C:C, classification!B:B, "Not Found")</f>
      </c>
      <c r="Q98" s="1" t="s">
        <v>5514</v>
      </c>
      <c r="R98" s="2"/>
      <c r="S98" s="2"/>
      <c r="T98" s="2"/>
      <c r="U98" s="2"/>
    </row>
    <row x14ac:dyDescent="0.25" r="99" customHeight="1" ht="17.25">
      <c r="A99" s="7">
        <v>98</v>
      </c>
      <c r="B99" s="1" t="s">
        <v>1330</v>
      </c>
      <c r="C99" s="5">
        <f>CONCATENATE("PD", TEXT(A99, "1000000"))</f>
      </c>
      <c r="D99" s="7">
        <v>1</v>
      </c>
      <c r="E99" s="5">
        <f>XLOOKUP(G99, item_category!C:C, item_category!B:B, "Not Found")</f>
      </c>
      <c r="F99" s="1" t="s">
        <v>5514</v>
      </c>
      <c r="G99" s="5">
        <f>XLOOKUP(I99, drug!B:B, drug!A:A, "Not Found")</f>
      </c>
      <c r="H99" s="1" t="s">
        <v>1330</v>
      </c>
      <c r="I99" s="7">
        <v>100</v>
      </c>
      <c r="J99" s="5">
        <f>XLOOKUP(L99, uom!C:C, uom!B:B, "Not Found")</f>
      </c>
      <c r="K99" s="1" t="s">
        <v>5544</v>
      </c>
      <c r="L99" s="5">
        <f>XLOOKUP(N99, uom!C:C, uom!B:B, "Not Found")</f>
      </c>
      <c r="M99" s="1" t="s">
        <v>5544</v>
      </c>
      <c r="N99" s="8" t="s">
        <v>5524</v>
      </c>
      <c r="O99" s="1" t="s">
        <v>5525</v>
      </c>
      <c r="P99" s="5">
        <f>XLOOKUP(R99, classification!C:C, classification!B:B, "Not Found")</f>
      </c>
      <c r="Q99" s="1" t="s">
        <v>5514</v>
      </c>
      <c r="R99" s="2"/>
      <c r="S99" s="2"/>
      <c r="T99" s="2"/>
      <c r="U99" s="2"/>
    </row>
    <row x14ac:dyDescent="0.25" r="100" customHeight="1" ht="17.25">
      <c r="A100" s="7">
        <v>99</v>
      </c>
      <c r="B100" s="1" t="s">
        <v>5614</v>
      </c>
      <c r="C100" s="5">
        <f>CONCATENATE("PD", TEXT(A100, "1000000"))</f>
      </c>
      <c r="D100" s="7">
        <v>61</v>
      </c>
      <c r="E100" s="5">
        <f>XLOOKUP(G100, item_category!C:C, item_category!B:B, "Not Found")</f>
      </c>
      <c r="F100" s="1" t="s">
        <v>5610</v>
      </c>
      <c r="G100" s="5">
        <f>XLOOKUP(I100, drug!B:B, drug!A:A, "Not Found")</f>
      </c>
      <c r="H100" s="1" t="s">
        <v>1332</v>
      </c>
      <c r="I100" s="7">
        <v>1</v>
      </c>
      <c r="J100" s="5">
        <f>XLOOKUP(L100, uom!C:C, uom!B:B, "Not Found")</f>
      </c>
      <c r="K100" s="1" t="s">
        <v>5511</v>
      </c>
      <c r="L100" s="5">
        <f>XLOOKUP(N100, uom!C:C, uom!B:B, "Not Found")</f>
      </c>
      <c r="M100" s="1" t="s">
        <v>5511</v>
      </c>
      <c r="N100" s="8" t="s">
        <v>5512</v>
      </c>
      <c r="O100" s="1" t="s">
        <v>5513</v>
      </c>
      <c r="P100" s="5">
        <f>XLOOKUP(R100, classification!C:C, classification!B:B, "Not Found")</f>
      </c>
      <c r="Q100" s="1" t="s">
        <v>5514</v>
      </c>
      <c r="R100" s="2"/>
      <c r="S100" s="2"/>
      <c r="T100" s="2"/>
      <c r="U100" s="2"/>
    </row>
    <row x14ac:dyDescent="0.25" r="101" customHeight="1" ht="17.25">
      <c r="A101" s="7">
        <v>100</v>
      </c>
      <c r="B101" s="1" t="s">
        <v>5615</v>
      </c>
      <c r="C101" s="5">
        <f>CONCATENATE("PD", TEXT(A101, "1000000"))</f>
      </c>
      <c r="D101" s="7">
        <v>78</v>
      </c>
      <c r="E101" s="5">
        <f>XLOOKUP(G101, item_category!C:C, item_category!B:B, "Not Found")</f>
      </c>
      <c r="F101" s="1" t="s">
        <v>5522</v>
      </c>
      <c r="G101" s="5">
        <f>XLOOKUP(I101, drug!B:B, drug!A:A, "Not Found")</f>
      </c>
      <c r="H101" s="1" t="s">
        <v>1334</v>
      </c>
      <c r="I101" s="7">
        <v>300</v>
      </c>
      <c r="J101" s="5">
        <f>XLOOKUP(L101, uom!C:C, uom!B:B, "Not Found")</f>
      </c>
      <c r="K101" s="1" t="s">
        <v>5523</v>
      </c>
      <c r="L101" s="5">
        <f>XLOOKUP(N101, uom!C:C, uom!B:B, "Not Found")</f>
      </c>
      <c r="M101" s="1" t="s">
        <v>5523</v>
      </c>
      <c r="N101" s="8" t="s">
        <v>5524</v>
      </c>
      <c r="O101" s="1" t="s">
        <v>5525</v>
      </c>
      <c r="P101" s="5">
        <f>XLOOKUP(R101, classification!C:C, classification!B:B, "Not Found")</f>
      </c>
      <c r="Q101" s="1" t="s">
        <v>5514</v>
      </c>
      <c r="R101" s="2"/>
      <c r="S101" s="2"/>
      <c r="T101" s="2"/>
      <c r="U101" s="2"/>
    </row>
    <row x14ac:dyDescent="0.25" r="102" customHeight="1" ht="17.25">
      <c r="A102" s="7">
        <v>101</v>
      </c>
      <c r="B102" s="1" t="s">
        <v>5616</v>
      </c>
      <c r="C102" s="5">
        <f>CONCATENATE("PD", TEXT(A102, "1000000"))</f>
      </c>
      <c r="D102" s="7">
        <v>66</v>
      </c>
      <c r="E102" s="5">
        <f>XLOOKUP(G102, item_category!C:C, item_category!B:B, "Not Found")</f>
      </c>
      <c r="F102" s="1" t="s">
        <v>5617</v>
      </c>
      <c r="G102" s="5">
        <f>XLOOKUP(I102, drug!B:B, drug!A:A, "Not Found")</f>
      </c>
      <c r="H102" s="1" t="s">
        <v>83</v>
      </c>
      <c r="I102" s="7">
        <v>1</v>
      </c>
      <c r="J102" s="5">
        <f>XLOOKUP(L102, uom!C:C, uom!B:B, "Not Found")</f>
      </c>
      <c r="K102" s="1" t="s">
        <v>5618</v>
      </c>
      <c r="L102" s="5">
        <f>XLOOKUP(N102, uom!C:C, uom!B:B, "Not Found")</f>
      </c>
      <c r="M102" s="1" t="s">
        <v>5618</v>
      </c>
      <c r="N102" s="8" t="s">
        <v>5524</v>
      </c>
      <c r="O102" s="1" t="s">
        <v>5525</v>
      </c>
      <c r="P102" s="5">
        <f>XLOOKUP(R102, classification!C:C, classification!B:B, "Not Found")</f>
      </c>
      <c r="Q102" s="1" t="s">
        <v>5514</v>
      </c>
      <c r="R102" s="2"/>
      <c r="S102" s="2"/>
      <c r="T102" s="2"/>
      <c r="U102" s="2"/>
    </row>
    <row x14ac:dyDescent="0.25" r="103" customHeight="1" ht="17.25">
      <c r="A103" s="7">
        <v>102</v>
      </c>
      <c r="B103" s="1" t="s">
        <v>5619</v>
      </c>
      <c r="C103" s="5">
        <f>CONCATENATE("PD", TEXT(A103, "1000000"))</f>
      </c>
      <c r="D103" s="7">
        <v>74</v>
      </c>
      <c r="E103" s="5">
        <f>XLOOKUP(G103, item_category!C:C, item_category!B:B, "Not Found")</f>
      </c>
      <c r="F103" s="1" t="s">
        <v>5520</v>
      </c>
      <c r="G103" s="5">
        <f>XLOOKUP(I103, drug!B:B, drug!A:A, "Not Found")</f>
      </c>
      <c r="H103" s="1" t="s">
        <v>836</v>
      </c>
      <c r="I103" s="7">
        <v>150</v>
      </c>
      <c r="J103" s="5">
        <f>XLOOKUP(L103, uom!C:C, uom!B:B, "Not Found")</f>
      </c>
      <c r="K103" s="1" t="s">
        <v>5620</v>
      </c>
      <c r="L103" s="5">
        <f>XLOOKUP(N103, uom!C:C, uom!B:B, "Not Found")</f>
      </c>
      <c r="M103" s="1" t="s">
        <v>5620</v>
      </c>
      <c r="N103" s="8" t="s">
        <v>5524</v>
      </c>
      <c r="O103" s="1" t="s">
        <v>5525</v>
      </c>
      <c r="P103" s="5">
        <f>XLOOKUP(R103, classification!C:C, classification!B:B, "Not Found")</f>
      </c>
      <c r="Q103" s="1" t="s">
        <v>5514</v>
      </c>
      <c r="R103" s="2"/>
      <c r="S103" s="2"/>
      <c r="T103" s="2"/>
      <c r="U103" s="2"/>
    </row>
    <row x14ac:dyDescent="0.25" r="104" customHeight="1" ht="17.25">
      <c r="A104" s="7">
        <v>103</v>
      </c>
      <c r="B104" s="1" t="s">
        <v>5621</v>
      </c>
      <c r="C104" s="5">
        <f>CONCATENATE("PD", TEXT(A104, "1000000"))</f>
      </c>
      <c r="D104" s="7">
        <v>74</v>
      </c>
      <c r="E104" s="5">
        <f>XLOOKUP(G104, item_category!C:C, item_category!B:B, "Not Found")</f>
      </c>
      <c r="F104" s="1" t="s">
        <v>5520</v>
      </c>
      <c r="G104" s="5">
        <f>XLOOKUP(I104, drug!B:B, drug!A:A, "Not Found")</f>
      </c>
      <c r="H104" s="1" t="s">
        <v>1336</v>
      </c>
      <c r="I104" s="7">
        <v>100</v>
      </c>
      <c r="J104" s="5">
        <f>XLOOKUP(L104, uom!C:C, uom!B:B, "Not Found")</f>
      </c>
      <c r="K104" s="1" t="s">
        <v>5622</v>
      </c>
      <c r="L104" s="5">
        <f>XLOOKUP(N104, uom!C:C, uom!B:B, "Not Found")</f>
      </c>
      <c r="M104" s="1" t="s">
        <v>5622</v>
      </c>
      <c r="N104" s="8" t="s">
        <v>5524</v>
      </c>
      <c r="O104" s="1" t="s">
        <v>5525</v>
      </c>
      <c r="P104" s="5">
        <f>XLOOKUP(R104, classification!C:C, classification!B:B, "Not Found")</f>
      </c>
      <c r="Q104" s="1" t="s">
        <v>5514</v>
      </c>
      <c r="R104" s="2"/>
      <c r="S104" s="2"/>
      <c r="T104" s="2"/>
      <c r="U104" s="2"/>
    </row>
    <row x14ac:dyDescent="0.25" r="105" customHeight="1" ht="17.25">
      <c r="A105" s="7">
        <v>104</v>
      </c>
      <c r="B105" s="1" t="s">
        <v>1338</v>
      </c>
      <c r="C105" s="5">
        <f>CONCATENATE("PD", TEXT(A105, "1000000"))</f>
      </c>
      <c r="D105" s="7">
        <v>1</v>
      </c>
      <c r="E105" s="5">
        <f>XLOOKUP(G105, item_category!C:C, item_category!B:B, "Not Found")</f>
      </c>
      <c r="F105" s="1" t="s">
        <v>5514</v>
      </c>
      <c r="G105" s="5">
        <f>XLOOKUP(I105, drug!B:B, drug!A:A, "Not Found")</f>
      </c>
      <c r="H105" s="1" t="s">
        <v>1338</v>
      </c>
      <c r="I105" s="7">
        <v>1</v>
      </c>
      <c r="J105" s="5">
        <f>XLOOKUP(L105, uom!C:C, uom!B:B, "Not Found")</f>
      </c>
      <c r="K105" s="1" t="s">
        <v>5544</v>
      </c>
      <c r="L105" s="5">
        <f>XLOOKUP(N105, uom!C:C, uom!B:B, "Not Found")</f>
      </c>
      <c r="M105" s="1" t="s">
        <v>5544</v>
      </c>
      <c r="N105" s="8" t="s">
        <v>5524</v>
      </c>
      <c r="O105" s="1" t="s">
        <v>5525</v>
      </c>
      <c r="P105" s="5">
        <f>XLOOKUP(R105, classification!C:C, classification!B:B, "Not Found")</f>
      </c>
      <c r="Q105" s="1" t="s">
        <v>5514</v>
      </c>
      <c r="R105" s="2"/>
      <c r="S105" s="2"/>
      <c r="T105" s="2"/>
      <c r="U105" s="2"/>
    </row>
    <row x14ac:dyDescent="0.25" r="106" customHeight="1" ht="17.25">
      <c r="A106" s="7">
        <v>105</v>
      </c>
      <c r="B106" s="1" t="s">
        <v>5623</v>
      </c>
      <c r="C106" s="5">
        <f>CONCATENATE("PD", TEXT(A106, "1000000"))</f>
      </c>
      <c r="D106" s="7">
        <v>67</v>
      </c>
      <c r="E106" s="5">
        <f>XLOOKUP(G106, item_category!C:C, item_category!B:B, "Not Found")</f>
      </c>
      <c r="F106" s="1" t="s">
        <v>5516</v>
      </c>
      <c r="G106" s="5">
        <f>XLOOKUP(I106, drug!B:B, drug!A:A, "Not Found")</f>
      </c>
      <c r="H106" s="1" t="s">
        <v>1340</v>
      </c>
      <c r="I106" s="7">
        <v>1000</v>
      </c>
      <c r="J106" s="5">
        <f>XLOOKUP(L106, uom!C:C, uom!B:B, "Not Found")</f>
      </c>
      <c r="K106" s="1" t="s">
        <v>5602</v>
      </c>
      <c r="L106" s="5">
        <f>XLOOKUP(N106, uom!C:C, uom!B:B, "Not Found")</f>
      </c>
      <c r="M106" s="1" t="s">
        <v>5602</v>
      </c>
      <c r="N106" s="8" t="s">
        <v>5524</v>
      </c>
      <c r="O106" s="1" t="s">
        <v>5525</v>
      </c>
      <c r="P106" s="5">
        <f>XLOOKUP(R106, classification!C:C, classification!B:B, "Not Found")</f>
      </c>
      <c r="Q106" s="1" t="s">
        <v>5514</v>
      </c>
      <c r="R106" s="2"/>
      <c r="S106" s="2"/>
      <c r="T106" s="2"/>
      <c r="U106" s="2"/>
    </row>
    <row x14ac:dyDescent="0.25" r="107" customHeight="1" ht="17.25">
      <c r="A107" s="7">
        <v>106</v>
      </c>
      <c r="B107" s="1" t="s">
        <v>5624</v>
      </c>
      <c r="C107" s="5">
        <f>CONCATENATE("PD", TEXT(A107, "1000000"))</f>
      </c>
      <c r="D107" s="7">
        <v>63</v>
      </c>
      <c r="E107" s="5">
        <f>XLOOKUP(G107, item_category!C:C, item_category!B:B, "Not Found")</f>
      </c>
      <c r="F107" s="1" t="s">
        <v>3726</v>
      </c>
      <c r="G107" s="5">
        <f>XLOOKUP(I107, drug!B:B, drug!A:A, "Not Found")</f>
      </c>
      <c r="H107" s="1" t="s">
        <v>1342</v>
      </c>
      <c r="I107" s="7">
        <v>0</v>
      </c>
      <c r="J107" s="5">
        <f>XLOOKUP(L107, uom!C:C, uom!B:B, "Not Found")</f>
      </c>
      <c r="K107" s="1" t="s">
        <v>5625</v>
      </c>
      <c r="L107" s="5">
        <f>XLOOKUP(N107, uom!C:C, uom!B:B, "Not Found")</f>
      </c>
      <c r="M107" s="1" t="s">
        <v>5625</v>
      </c>
      <c r="N107" s="8" t="s">
        <v>5524</v>
      </c>
      <c r="O107" s="1" t="s">
        <v>5525</v>
      </c>
      <c r="P107" s="5">
        <f>XLOOKUP(R107, classification!C:C, classification!B:B, "Not Found")</f>
      </c>
      <c r="Q107" s="1" t="s">
        <v>5514</v>
      </c>
      <c r="R107" s="2"/>
      <c r="S107" s="2"/>
      <c r="T107" s="2"/>
      <c r="U107" s="2"/>
    </row>
    <row x14ac:dyDescent="0.25" r="108" customHeight="1" ht="17.25">
      <c r="A108" s="7">
        <v>107</v>
      </c>
      <c r="B108" s="1" t="s">
        <v>5626</v>
      </c>
      <c r="C108" s="5">
        <f>CONCATENATE("PD", TEXT(A108, "1000000"))</f>
      </c>
      <c r="D108" s="7">
        <v>74</v>
      </c>
      <c r="E108" s="5">
        <f>XLOOKUP(G108, item_category!C:C, item_category!B:B, "Not Found")</f>
      </c>
      <c r="F108" s="1" t="s">
        <v>5520</v>
      </c>
      <c r="G108" s="5">
        <f>XLOOKUP(I108, drug!B:B, drug!A:A, "Not Found")</f>
      </c>
      <c r="H108" s="1" t="s">
        <v>1344</v>
      </c>
      <c r="I108" s="7">
        <v>800</v>
      </c>
      <c r="J108" s="5">
        <f>XLOOKUP(L108, uom!C:C, uom!B:B, "Not Found")</f>
      </c>
      <c r="K108" s="1" t="s">
        <v>5604</v>
      </c>
      <c r="L108" s="5">
        <f>XLOOKUP(N108, uom!C:C, uom!B:B, "Not Found")</f>
      </c>
      <c r="M108" s="1" t="s">
        <v>5604</v>
      </c>
      <c r="N108" s="8" t="s">
        <v>5524</v>
      </c>
      <c r="O108" s="1" t="s">
        <v>5525</v>
      </c>
      <c r="P108" s="5">
        <f>XLOOKUP(R108, classification!C:C, classification!B:B, "Not Found")</f>
      </c>
      <c r="Q108" s="1" t="s">
        <v>5514</v>
      </c>
      <c r="R108" s="2"/>
      <c r="S108" s="2"/>
      <c r="T108" s="2"/>
      <c r="U108" s="2"/>
    </row>
    <row x14ac:dyDescent="0.25" r="109" customHeight="1" ht="17.25">
      <c r="A109" s="7">
        <v>108</v>
      </c>
      <c r="B109" s="1" t="s">
        <v>5627</v>
      </c>
      <c r="C109" s="5">
        <f>CONCATENATE("PD", TEXT(A109, "1000000"))</f>
      </c>
      <c r="D109" s="7">
        <v>74</v>
      </c>
      <c r="E109" s="5">
        <f>XLOOKUP(G109, item_category!C:C, item_category!B:B, "Not Found")</f>
      </c>
      <c r="F109" s="1" t="s">
        <v>5520</v>
      </c>
      <c r="G109" s="5">
        <f>XLOOKUP(I109, drug!B:B, drug!A:A, "Not Found")</f>
      </c>
      <c r="H109" s="1" t="s">
        <v>1346</v>
      </c>
      <c r="I109" s="7">
        <v>1</v>
      </c>
      <c r="J109" s="5">
        <f>XLOOKUP(L109, uom!C:C, uom!B:B, "Not Found")</f>
      </c>
      <c r="K109" s="1" t="s">
        <v>5511</v>
      </c>
      <c r="L109" s="5">
        <f>XLOOKUP(N109, uom!C:C, uom!B:B, "Not Found")</f>
      </c>
      <c r="M109" s="1" t="s">
        <v>5511</v>
      </c>
      <c r="N109" s="8" t="s">
        <v>5512</v>
      </c>
      <c r="O109" s="1" t="s">
        <v>5513</v>
      </c>
      <c r="P109" s="5">
        <f>XLOOKUP(R109, classification!C:C, classification!B:B, "Not Found")</f>
      </c>
      <c r="Q109" s="1" t="s">
        <v>5514</v>
      </c>
      <c r="R109" s="2"/>
      <c r="S109" s="2"/>
      <c r="T109" s="2"/>
      <c r="U109" s="2"/>
    </row>
    <row x14ac:dyDescent="0.25" r="110" customHeight="1" ht="17.25">
      <c r="A110" s="7">
        <v>109</v>
      </c>
      <c r="B110" s="1" t="s">
        <v>5628</v>
      </c>
      <c r="C110" s="5">
        <f>CONCATENATE("PD", TEXT(A110, "1000000"))</f>
      </c>
      <c r="D110" s="7">
        <v>66</v>
      </c>
      <c r="E110" s="5">
        <f>XLOOKUP(G110, item_category!C:C, item_category!B:B, "Not Found")</f>
      </c>
      <c r="F110" s="1" t="s">
        <v>5617</v>
      </c>
      <c r="G110" s="5">
        <f>XLOOKUP(I110, drug!B:B, drug!A:A, "Not Found")</f>
      </c>
      <c r="H110" s="1" t="s">
        <v>1348</v>
      </c>
      <c r="I110" s="7">
        <v>1</v>
      </c>
      <c r="J110" s="5">
        <f>XLOOKUP(L110, uom!C:C, uom!B:B, "Not Found")</f>
      </c>
      <c r="K110" s="1" t="s">
        <v>5511</v>
      </c>
      <c r="L110" s="5">
        <f>XLOOKUP(N110, uom!C:C, uom!B:B, "Not Found")</f>
      </c>
      <c r="M110" s="1" t="s">
        <v>5511</v>
      </c>
      <c r="N110" s="8" t="s">
        <v>5512</v>
      </c>
      <c r="O110" s="1" t="s">
        <v>5513</v>
      </c>
      <c r="P110" s="5">
        <f>XLOOKUP(R110, classification!C:C, classification!B:B, "Not Found")</f>
      </c>
      <c r="Q110" s="1" t="s">
        <v>5514</v>
      </c>
      <c r="R110" s="2"/>
      <c r="S110" s="2"/>
      <c r="T110" s="2"/>
      <c r="U110" s="2"/>
    </row>
    <row x14ac:dyDescent="0.25" r="111" customHeight="1" ht="17.25">
      <c r="A111" s="7">
        <v>110</v>
      </c>
      <c r="B111" s="1" t="s">
        <v>5629</v>
      </c>
      <c r="C111" s="5">
        <f>CONCATENATE("PD", TEXT(A111, "1000000"))</f>
      </c>
      <c r="D111" s="7">
        <v>74</v>
      </c>
      <c r="E111" s="5">
        <f>XLOOKUP(G111, item_category!C:C, item_category!B:B, "Not Found")</f>
      </c>
      <c r="F111" s="1" t="s">
        <v>5520</v>
      </c>
      <c r="G111" s="5">
        <f>XLOOKUP(I111, drug!B:B, drug!A:A, "Not Found")</f>
      </c>
      <c r="H111" s="1" t="s">
        <v>1346</v>
      </c>
      <c r="I111" s="7">
        <v>1</v>
      </c>
      <c r="J111" s="5">
        <f>XLOOKUP(L111, uom!C:C, uom!B:B, "Not Found")</f>
      </c>
      <c r="K111" s="1" t="s">
        <v>5511</v>
      </c>
      <c r="L111" s="5">
        <f>XLOOKUP(N111, uom!C:C, uom!B:B, "Not Found")</f>
      </c>
      <c r="M111" s="1" t="s">
        <v>5511</v>
      </c>
      <c r="N111" s="8" t="s">
        <v>5512</v>
      </c>
      <c r="O111" s="1" t="s">
        <v>5513</v>
      </c>
      <c r="P111" s="5">
        <f>XLOOKUP(R111, classification!C:C, classification!B:B, "Not Found")</f>
      </c>
      <c r="Q111" s="1" t="s">
        <v>5514</v>
      </c>
      <c r="R111" s="2"/>
      <c r="S111" s="2"/>
      <c r="T111" s="2"/>
      <c r="U111" s="2"/>
    </row>
    <row x14ac:dyDescent="0.25" r="112" customHeight="1" ht="17.25">
      <c r="A112" s="7">
        <v>111</v>
      </c>
      <c r="B112" s="1" t="s">
        <v>5630</v>
      </c>
      <c r="C112" s="5">
        <f>CONCATENATE("PD", TEXT(A112, "1000000"))</f>
      </c>
      <c r="D112" s="7">
        <v>74</v>
      </c>
      <c r="E112" s="5">
        <f>XLOOKUP(G112, item_category!C:C, item_category!B:B, "Not Found")</f>
      </c>
      <c r="F112" s="1" t="s">
        <v>5520</v>
      </c>
      <c r="G112" s="5">
        <f>XLOOKUP(I112, drug!B:B, drug!A:A, "Not Found")</f>
      </c>
      <c r="H112" s="1" t="s">
        <v>1350</v>
      </c>
      <c r="I112" s="7">
        <v>1</v>
      </c>
      <c r="J112" s="5">
        <f>XLOOKUP(L112, uom!C:C, uom!B:B, "Not Found")</f>
      </c>
      <c r="K112" s="1" t="s">
        <v>5511</v>
      </c>
      <c r="L112" s="5">
        <f>XLOOKUP(N112, uom!C:C, uom!B:B, "Not Found")</f>
      </c>
      <c r="M112" s="1" t="s">
        <v>5511</v>
      </c>
      <c r="N112" s="8" t="s">
        <v>5512</v>
      </c>
      <c r="O112" s="1" t="s">
        <v>5513</v>
      </c>
      <c r="P112" s="5">
        <f>XLOOKUP(R112, classification!C:C, classification!B:B, "Not Found")</f>
      </c>
      <c r="Q112" s="1" t="s">
        <v>5514</v>
      </c>
      <c r="R112" s="2"/>
      <c r="S112" s="2"/>
      <c r="T112" s="2"/>
      <c r="U112" s="2"/>
    </row>
    <row x14ac:dyDescent="0.25" r="113" customHeight="1" ht="17.25">
      <c r="A113" s="7">
        <v>112</v>
      </c>
      <c r="B113" s="1" t="s">
        <v>1352</v>
      </c>
      <c r="C113" s="5">
        <f>CONCATENATE("PD", TEXT(A113, "1000000"))</f>
      </c>
      <c r="D113" s="7">
        <v>74</v>
      </c>
      <c r="E113" s="5">
        <f>XLOOKUP(G113, item_category!C:C, item_category!B:B, "Not Found")</f>
      </c>
      <c r="F113" s="1" t="s">
        <v>5520</v>
      </c>
      <c r="G113" s="5">
        <f>XLOOKUP(I113, drug!B:B, drug!A:A, "Not Found")</f>
      </c>
      <c r="H113" s="1" t="s">
        <v>1352</v>
      </c>
      <c r="I113" s="7">
        <v>1</v>
      </c>
      <c r="J113" s="5">
        <f>XLOOKUP(L113, uom!C:C, uom!B:B, "Not Found")</f>
      </c>
      <c r="K113" s="1" t="s">
        <v>5511</v>
      </c>
      <c r="L113" s="5">
        <f>XLOOKUP(N113, uom!C:C, uom!B:B, "Not Found")</f>
      </c>
      <c r="M113" s="1" t="s">
        <v>5511</v>
      </c>
      <c r="N113" s="8" t="s">
        <v>5512</v>
      </c>
      <c r="O113" s="1" t="s">
        <v>5513</v>
      </c>
      <c r="P113" s="5">
        <f>XLOOKUP(R113, classification!C:C, classification!B:B, "Not Found")</f>
      </c>
      <c r="Q113" s="1" t="s">
        <v>5514</v>
      </c>
      <c r="R113" s="2"/>
      <c r="S113" s="2"/>
      <c r="T113" s="2"/>
      <c r="U113" s="2"/>
    </row>
    <row x14ac:dyDescent="0.25" r="114" customHeight="1" ht="17.25">
      <c r="A114" s="7">
        <v>113</v>
      </c>
      <c r="B114" s="1" t="s">
        <v>5631</v>
      </c>
      <c r="C114" s="5">
        <f>CONCATENATE("PD", TEXT(A114, "1000000"))</f>
      </c>
      <c r="D114" s="7">
        <v>76</v>
      </c>
      <c r="E114" s="5">
        <f>XLOOKUP(G114, item_category!C:C, item_category!B:B, "Not Found")</f>
      </c>
      <c r="F114" s="1" t="s">
        <v>5632</v>
      </c>
      <c r="G114" s="5">
        <f>XLOOKUP(I114, drug!B:B, drug!A:A, "Not Found")</f>
      </c>
      <c r="H114" s="1" t="s">
        <v>1354</v>
      </c>
      <c r="I114" s="7">
        <v>1</v>
      </c>
      <c r="J114" s="5">
        <f>XLOOKUP(L114, uom!C:C, uom!B:B, "Not Found")</f>
      </c>
      <c r="K114" s="1" t="s">
        <v>5511</v>
      </c>
      <c r="L114" s="5">
        <f>XLOOKUP(N114, uom!C:C, uom!B:B, "Not Found")</f>
      </c>
      <c r="M114" s="1" t="s">
        <v>5511</v>
      </c>
      <c r="N114" s="8" t="s">
        <v>5512</v>
      </c>
      <c r="O114" s="1" t="s">
        <v>5513</v>
      </c>
      <c r="P114" s="5">
        <f>XLOOKUP(R114, classification!C:C, classification!B:B, "Not Found")</f>
      </c>
      <c r="Q114" s="1" t="s">
        <v>5514</v>
      </c>
      <c r="R114" s="2"/>
      <c r="S114" s="2"/>
      <c r="T114" s="2"/>
      <c r="U114" s="2"/>
    </row>
    <row x14ac:dyDescent="0.25" r="115" customHeight="1" ht="17.25">
      <c r="A115" s="7">
        <v>114</v>
      </c>
      <c r="B115" s="1" t="s">
        <v>5633</v>
      </c>
      <c r="C115" s="5">
        <f>CONCATENATE("PD", TEXT(A115, "1000000"))</f>
      </c>
      <c r="D115" s="7">
        <v>74</v>
      </c>
      <c r="E115" s="5">
        <f>XLOOKUP(G115, item_category!C:C, item_category!B:B, "Not Found")</f>
      </c>
      <c r="F115" s="1" t="s">
        <v>5520</v>
      </c>
      <c r="G115" s="5">
        <f>XLOOKUP(I115, drug!B:B, drug!A:A, "Not Found")</f>
      </c>
      <c r="H115" s="1" t="s">
        <v>828</v>
      </c>
      <c r="I115" s="7">
        <v>1</v>
      </c>
      <c r="J115" s="5">
        <f>XLOOKUP(L115, uom!C:C, uom!B:B, "Not Found")</f>
      </c>
      <c r="K115" s="1" t="s">
        <v>5511</v>
      </c>
      <c r="L115" s="5">
        <f>XLOOKUP(N115, uom!C:C, uom!B:B, "Not Found")</f>
      </c>
      <c r="M115" s="1" t="s">
        <v>5511</v>
      </c>
      <c r="N115" s="8" t="s">
        <v>5512</v>
      </c>
      <c r="O115" s="1" t="s">
        <v>5513</v>
      </c>
      <c r="P115" s="5">
        <f>XLOOKUP(R115, classification!C:C, classification!B:B, "Not Found")</f>
      </c>
      <c r="Q115" s="1" t="s">
        <v>5514</v>
      </c>
      <c r="R115" s="2"/>
      <c r="S115" s="2"/>
      <c r="T115" s="2"/>
      <c r="U115" s="2"/>
    </row>
    <row x14ac:dyDescent="0.25" r="116" customHeight="1" ht="17.25">
      <c r="A116" s="7">
        <v>115</v>
      </c>
      <c r="B116" s="1" t="s">
        <v>5634</v>
      </c>
      <c r="C116" s="5">
        <f>CONCATENATE("PD", TEXT(A116, "1000000"))</f>
      </c>
      <c r="D116" s="7">
        <v>74</v>
      </c>
      <c r="E116" s="5">
        <f>XLOOKUP(G116, item_category!C:C, item_category!B:B, "Not Found")</f>
      </c>
      <c r="F116" s="1" t="s">
        <v>5520</v>
      </c>
      <c r="G116" s="5">
        <f>XLOOKUP(I116, drug!B:B, drug!A:A, "Not Found")</f>
      </c>
      <c r="H116" s="1" t="s">
        <v>828</v>
      </c>
      <c r="I116" s="7">
        <v>1</v>
      </c>
      <c r="J116" s="5">
        <f>XLOOKUP(L116, uom!C:C, uom!B:B, "Not Found")</f>
      </c>
      <c r="K116" s="1" t="s">
        <v>5511</v>
      </c>
      <c r="L116" s="5">
        <f>XLOOKUP(N116, uom!C:C, uom!B:B, "Not Found")</f>
      </c>
      <c r="M116" s="1" t="s">
        <v>5511</v>
      </c>
      <c r="N116" s="8" t="s">
        <v>5512</v>
      </c>
      <c r="O116" s="1" t="s">
        <v>5513</v>
      </c>
      <c r="P116" s="5">
        <f>XLOOKUP(R116, classification!C:C, classification!B:B, "Not Found")</f>
      </c>
      <c r="Q116" s="1" t="s">
        <v>5514</v>
      </c>
      <c r="R116" s="2"/>
      <c r="S116" s="2"/>
      <c r="T116" s="2"/>
      <c r="U116" s="2"/>
    </row>
    <row x14ac:dyDescent="0.25" r="117" customHeight="1" ht="17.25">
      <c r="A117" s="7">
        <v>116</v>
      </c>
      <c r="B117" s="1" t="s">
        <v>1356</v>
      </c>
      <c r="C117" s="5">
        <f>CONCATENATE("PD", TEXT(A117, "1000000"))</f>
      </c>
      <c r="D117" s="7">
        <v>75</v>
      </c>
      <c r="E117" s="5">
        <f>XLOOKUP(G117, item_category!C:C, item_category!B:B, "Not Found")</f>
      </c>
      <c r="F117" s="1" t="s">
        <v>5541</v>
      </c>
      <c r="G117" s="5">
        <f>XLOOKUP(I117, drug!B:B, drug!A:A, "Not Found")</f>
      </c>
      <c r="H117" s="1" t="s">
        <v>1356</v>
      </c>
      <c r="I117" s="7">
        <v>1</v>
      </c>
      <c r="J117" s="5">
        <f>XLOOKUP(L117, uom!C:C, uom!B:B, "Not Found")</f>
      </c>
      <c r="K117" s="1" t="s">
        <v>5511</v>
      </c>
      <c r="L117" s="5">
        <f>XLOOKUP(N117, uom!C:C, uom!B:B, "Not Found")</f>
      </c>
      <c r="M117" s="1" t="s">
        <v>5511</v>
      </c>
      <c r="N117" s="8" t="s">
        <v>5512</v>
      </c>
      <c r="O117" s="1" t="s">
        <v>5513</v>
      </c>
      <c r="P117" s="5">
        <f>XLOOKUP(R117, classification!C:C, classification!B:B, "Not Found")</f>
      </c>
      <c r="Q117" s="1" t="s">
        <v>5514</v>
      </c>
      <c r="R117" s="2"/>
      <c r="S117" s="2"/>
      <c r="T117" s="2"/>
      <c r="U117" s="2"/>
    </row>
    <row x14ac:dyDescent="0.25" r="118" customHeight="1" ht="17.25">
      <c r="A118" s="7">
        <v>117</v>
      </c>
      <c r="B118" s="1" t="s">
        <v>5635</v>
      </c>
      <c r="C118" s="5">
        <f>CONCATENATE("PD", TEXT(A118, "1000000"))</f>
      </c>
      <c r="D118" s="7">
        <v>74</v>
      </c>
      <c r="E118" s="5">
        <f>XLOOKUP(G118, item_category!C:C, item_category!B:B, "Not Found")</f>
      </c>
      <c r="F118" s="1" t="s">
        <v>5520</v>
      </c>
      <c r="G118" s="5">
        <f>XLOOKUP(I118, drug!B:B, drug!A:A, "Not Found")</f>
      </c>
      <c r="H118" s="1" t="s">
        <v>1358</v>
      </c>
      <c r="I118" s="7">
        <v>1</v>
      </c>
      <c r="J118" s="5">
        <f>XLOOKUP(L118, uom!C:C, uom!B:B, "Not Found")</f>
      </c>
      <c r="K118" s="1" t="s">
        <v>5511</v>
      </c>
      <c r="L118" s="5">
        <f>XLOOKUP(N118, uom!C:C, uom!B:B, "Not Found")</f>
      </c>
      <c r="M118" s="1" t="s">
        <v>5511</v>
      </c>
      <c r="N118" s="8" t="s">
        <v>5512</v>
      </c>
      <c r="O118" s="1" t="s">
        <v>5513</v>
      </c>
      <c r="P118" s="5">
        <f>XLOOKUP(R118, classification!C:C, classification!B:B, "Not Found")</f>
      </c>
      <c r="Q118" s="1" t="s">
        <v>5514</v>
      </c>
      <c r="R118" s="2"/>
      <c r="S118" s="2"/>
      <c r="T118" s="2"/>
      <c r="U118" s="2"/>
    </row>
    <row x14ac:dyDescent="0.25" r="119" customHeight="1" ht="17.25">
      <c r="A119" s="7">
        <v>118</v>
      </c>
      <c r="B119" s="1" t="s">
        <v>5636</v>
      </c>
      <c r="C119" s="5">
        <f>CONCATENATE("PD", TEXT(A119, "1000000"))</f>
      </c>
      <c r="D119" s="7">
        <v>74</v>
      </c>
      <c r="E119" s="5">
        <f>XLOOKUP(G119, item_category!C:C, item_category!B:B, "Not Found")</f>
      </c>
      <c r="F119" s="1" t="s">
        <v>5520</v>
      </c>
      <c r="G119" s="5">
        <f>XLOOKUP(I119, drug!B:B, drug!A:A, "Not Found")</f>
      </c>
      <c r="H119" s="1" t="s">
        <v>1360</v>
      </c>
      <c r="I119" s="7">
        <v>1</v>
      </c>
      <c r="J119" s="5">
        <f>XLOOKUP(L119, uom!C:C, uom!B:B, "Not Found")</f>
      </c>
      <c r="K119" s="1" t="s">
        <v>5511</v>
      </c>
      <c r="L119" s="5">
        <f>XLOOKUP(N119, uom!C:C, uom!B:B, "Not Found")</f>
      </c>
      <c r="M119" s="1" t="s">
        <v>5511</v>
      </c>
      <c r="N119" s="8" t="s">
        <v>5512</v>
      </c>
      <c r="O119" s="1" t="s">
        <v>5513</v>
      </c>
      <c r="P119" s="5">
        <f>XLOOKUP(R119, classification!C:C, classification!B:B, "Not Found")</f>
      </c>
      <c r="Q119" s="1" t="s">
        <v>5514</v>
      </c>
      <c r="R119" s="2"/>
      <c r="S119" s="2"/>
      <c r="T119" s="2"/>
      <c r="U119" s="2"/>
    </row>
    <row x14ac:dyDescent="0.25" r="120" customHeight="1" ht="17.25">
      <c r="A120" s="7">
        <v>119</v>
      </c>
      <c r="B120" s="1" t="s">
        <v>5637</v>
      </c>
      <c r="C120" s="5">
        <f>CONCATENATE("PD", TEXT(A120, "1000000"))</f>
      </c>
      <c r="D120" s="7">
        <v>74</v>
      </c>
      <c r="E120" s="5">
        <f>XLOOKUP(G120, item_category!C:C, item_category!B:B, "Not Found")</f>
      </c>
      <c r="F120" s="1" t="s">
        <v>5520</v>
      </c>
      <c r="G120" s="5">
        <f>XLOOKUP(I120, drug!B:B, drug!A:A, "Not Found")</f>
      </c>
      <c r="H120" s="1" t="s">
        <v>1360</v>
      </c>
      <c r="I120" s="7">
        <v>1</v>
      </c>
      <c r="J120" s="5">
        <f>XLOOKUP(L120, uom!C:C, uom!B:B, "Not Found")</f>
      </c>
      <c r="K120" s="1" t="s">
        <v>5511</v>
      </c>
      <c r="L120" s="5">
        <f>XLOOKUP(N120, uom!C:C, uom!B:B, "Not Found")</f>
      </c>
      <c r="M120" s="1" t="s">
        <v>5511</v>
      </c>
      <c r="N120" s="8" t="s">
        <v>5512</v>
      </c>
      <c r="O120" s="1" t="s">
        <v>5513</v>
      </c>
      <c r="P120" s="5">
        <f>XLOOKUP(R120, classification!C:C, classification!B:B, "Not Found")</f>
      </c>
      <c r="Q120" s="1" t="s">
        <v>5514</v>
      </c>
      <c r="R120" s="2"/>
      <c r="S120" s="2"/>
      <c r="T120" s="2"/>
      <c r="U120" s="2"/>
    </row>
    <row x14ac:dyDescent="0.25" r="121" customHeight="1" ht="17.25">
      <c r="A121" s="7">
        <v>120</v>
      </c>
      <c r="B121" s="1" t="s">
        <v>5638</v>
      </c>
      <c r="C121" s="5">
        <f>CONCATENATE("PD", TEXT(A121, "1000000"))</f>
      </c>
      <c r="D121" s="7">
        <v>74</v>
      </c>
      <c r="E121" s="5">
        <f>XLOOKUP(G121, item_category!C:C, item_category!B:B, "Not Found")</f>
      </c>
      <c r="F121" s="1" t="s">
        <v>5520</v>
      </c>
      <c r="G121" s="5">
        <f>XLOOKUP(I121, drug!B:B, drug!A:A, "Not Found")</f>
      </c>
      <c r="H121" s="1" t="s">
        <v>1362</v>
      </c>
      <c r="I121" s="7">
        <v>1</v>
      </c>
      <c r="J121" s="5">
        <f>XLOOKUP(L121, uom!C:C, uom!B:B, "Not Found")</f>
      </c>
      <c r="K121" s="1" t="s">
        <v>5511</v>
      </c>
      <c r="L121" s="5">
        <f>XLOOKUP(N121, uom!C:C, uom!B:B, "Not Found")</f>
      </c>
      <c r="M121" s="1" t="s">
        <v>5511</v>
      </c>
      <c r="N121" s="8" t="s">
        <v>5512</v>
      </c>
      <c r="O121" s="1" t="s">
        <v>5513</v>
      </c>
      <c r="P121" s="5">
        <f>XLOOKUP(R121, classification!C:C, classification!B:B, "Not Found")</f>
      </c>
      <c r="Q121" s="1" t="s">
        <v>5514</v>
      </c>
      <c r="R121" s="2"/>
      <c r="S121" s="2"/>
      <c r="T121" s="2"/>
      <c r="U121" s="2"/>
    </row>
    <row x14ac:dyDescent="0.25" r="122" customHeight="1" ht="17.25">
      <c r="A122" s="7">
        <v>121</v>
      </c>
      <c r="B122" s="1" t="s">
        <v>5639</v>
      </c>
      <c r="C122" s="5">
        <f>CONCATENATE("PD", TEXT(A122, "1000000"))</f>
      </c>
      <c r="D122" s="7">
        <v>74</v>
      </c>
      <c r="E122" s="5">
        <f>XLOOKUP(G122, item_category!C:C, item_category!B:B, "Not Found")</f>
      </c>
      <c r="F122" s="1" t="s">
        <v>5520</v>
      </c>
      <c r="G122" s="5">
        <f>XLOOKUP(I122, drug!B:B, drug!A:A, "Not Found")</f>
      </c>
      <c r="H122" s="1" t="s">
        <v>1364</v>
      </c>
      <c r="I122" s="7">
        <v>1</v>
      </c>
      <c r="J122" s="5">
        <f>XLOOKUP(L122, uom!C:C, uom!B:B, "Not Found")</f>
      </c>
      <c r="K122" s="1" t="s">
        <v>5511</v>
      </c>
      <c r="L122" s="5">
        <f>XLOOKUP(N122, uom!C:C, uom!B:B, "Not Found")</f>
      </c>
      <c r="M122" s="1" t="s">
        <v>5511</v>
      </c>
      <c r="N122" s="8" t="s">
        <v>5512</v>
      </c>
      <c r="O122" s="1" t="s">
        <v>5513</v>
      </c>
      <c r="P122" s="5">
        <f>XLOOKUP(R122, classification!C:C, classification!B:B, "Not Found")</f>
      </c>
      <c r="Q122" s="1" t="s">
        <v>5514</v>
      </c>
      <c r="R122" s="2"/>
      <c r="S122" s="2"/>
      <c r="T122" s="2"/>
      <c r="U122" s="2"/>
    </row>
    <row x14ac:dyDescent="0.25" r="123" customHeight="1" ht="17.25">
      <c r="A123" s="7">
        <v>122</v>
      </c>
      <c r="B123" s="1" t="s">
        <v>5640</v>
      </c>
      <c r="C123" s="5">
        <f>CONCATENATE("PD", TEXT(A123, "1000000"))</f>
      </c>
      <c r="D123" s="7">
        <v>74</v>
      </c>
      <c r="E123" s="5">
        <f>XLOOKUP(G123, item_category!C:C, item_category!B:B, "Not Found")</f>
      </c>
      <c r="F123" s="1" t="s">
        <v>5520</v>
      </c>
      <c r="G123" s="5">
        <f>XLOOKUP(I123, drug!B:B, drug!A:A, "Not Found")</f>
      </c>
      <c r="H123" s="1" t="s">
        <v>1366</v>
      </c>
      <c r="I123" s="7">
        <v>1</v>
      </c>
      <c r="J123" s="5">
        <f>XLOOKUP(L123, uom!C:C, uom!B:B, "Not Found")</f>
      </c>
      <c r="K123" s="1" t="s">
        <v>5511</v>
      </c>
      <c r="L123" s="5">
        <f>XLOOKUP(N123, uom!C:C, uom!B:B, "Not Found")</f>
      </c>
      <c r="M123" s="1" t="s">
        <v>5511</v>
      </c>
      <c r="N123" s="8" t="s">
        <v>5512</v>
      </c>
      <c r="O123" s="1" t="s">
        <v>5513</v>
      </c>
      <c r="P123" s="5">
        <f>XLOOKUP(R123, classification!C:C, classification!B:B, "Not Found")</f>
      </c>
      <c r="Q123" s="1" t="s">
        <v>5514</v>
      </c>
      <c r="R123" s="2"/>
      <c r="S123" s="2"/>
      <c r="T123" s="2"/>
      <c r="U123" s="2"/>
    </row>
    <row x14ac:dyDescent="0.25" r="124" customHeight="1" ht="17.25">
      <c r="A124" s="7">
        <v>123</v>
      </c>
      <c r="B124" s="1" t="s">
        <v>5641</v>
      </c>
      <c r="C124" s="5">
        <f>CONCATENATE("PD", TEXT(A124, "1000000"))</f>
      </c>
      <c r="D124" s="7">
        <v>74</v>
      </c>
      <c r="E124" s="5">
        <f>XLOOKUP(G124, item_category!C:C, item_category!B:B, "Not Found")</f>
      </c>
      <c r="F124" s="1" t="s">
        <v>5520</v>
      </c>
      <c r="G124" s="5">
        <f>XLOOKUP(I124, drug!B:B, drug!A:A, "Not Found")</f>
      </c>
      <c r="H124" s="1" t="s">
        <v>1368</v>
      </c>
      <c r="I124" s="7">
        <v>1</v>
      </c>
      <c r="J124" s="5">
        <f>XLOOKUP(L124, uom!C:C, uom!B:B, "Not Found")</f>
      </c>
      <c r="K124" s="1" t="s">
        <v>5511</v>
      </c>
      <c r="L124" s="5">
        <f>XLOOKUP(N124, uom!C:C, uom!B:B, "Not Found")</f>
      </c>
      <c r="M124" s="1" t="s">
        <v>5511</v>
      </c>
      <c r="N124" s="8" t="s">
        <v>5512</v>
      </c>
      <c r="O124" s="1" t="s">
        <v>5513</v>
      </c>
      <c r="P124" s="5">
        <f>XLOOKUP(R124, classification!C:C, classification!B:B, "Not Found")</f>
      </c>
      <c r="Q124" s="1" t="s">
        <v>5514</v>
      </c>
      <c r="R124" s="2"/>
      <c r="S124" s="2"/>
      <c r="T124" s="2"/>
      <c r="U124" s="2"/>
    </row>
    <row x14ac:dyDescent="0.25" r="125" customHeight="1" ht="17.25">
      <c r="A125" s="7">
        <v>124</v>
      </c>
      <c r="B125" s="1" t="s">
        <v>5642</v>
      </c>
      <c r="C125" s="5">
        <f>CONCATENATE("PD", TEXT(A125, "1000000"))</f>
      </c>
      <c r="D125" s="7">
        <v>74</v>
      </c>
      <c r="E125" s="5">
        <f>XLOOKUP(G125, item_category!C:C, item_category!B:B, "Not Found")</f>
      </c>
      <c r="F125" s="1" t="s">
        <v>5520</v>
      </c>
      <c r="G125" s="5">
        <f>XLOOKUP(I125, drug!B:B, drug!A:A, "Not Found")</f>
      </c>
      <c r="H125" s="1" t="s">
        <v>1368</v>
      </c>
      <c r="I125" s="7">
        <v>1</v>
      </c>
      <c r="J125" s="5">
        <f>XLOOKUP(L125, uom!C:C, uom!B:B, "Not Found")</f>
      </c>
      <c r="K125" s="1" t="s">
        <v>5511</v>
      </c>
      <c r="L125" s="5">
        <f>XLOOKUP(N125, uom!C:C, uom!B:B, "Not Found")</f>
      </c>
      <c r="M125" s="1" t="s">
        <v>5511</v>
      </c>
      <c r="N125" s="8" t="s">
        <v>5512</v>
      </c>
      <c r="O125" s="1" t="s">
        <v>5513</v>
      </c>
      <c r="P125" s="5">
        <f>XLOOKUP(R125, classification!C:C, classification!B:B, "Not Found")</f>
      </c>
      <c r="Q125" s="1" t="s">
        <v>5514</v>
      </c>
      <c r="R125" s="2"/>
      <c r="S125" s="2"/>
      <c r="T125" s="2"/>
      <c r="U125" s="2"/>
    </row>
    <row x14ac:dyDescent="0.25" r="126" customHeight="1" ht="17.25">
      <c r="A126" s="7">
        <v>125</v>
      </c>
      <c r="B126" s="1" t="s">
        <v>5643</v>
      </c>
      <c r="C126" s="5">
        <f>CONCATENATE("PD", TEXT(A126, "1000000"))</f>
      </c>
      <c r="D126" s="7">
        <v>74</v>
      </c>
      <c r="E126" s="5">
        <f>XLOOKUP(G126, item_category!C:C, item_category!B:B, "Not Found")</f>
      </c>
      <c r="F126" s="1" t="s">
        <v>5520</v>
      </c>
      <c r="G126" s="5">
        <f>XLOOKUP(I126, drug!B:B, drug!A:A, "Not Found")</f>
      </c>
      <c r="H126" s="1" t="s">
        <v>1368</v>
      </c>
      <c r="I126" s="7">
        <v>1</v>
      </c>
      <c r="J126" s="5">
        <f>XLOOKUP(L126, uom!C:C, uom!B:B, "Not Found")</f>
      </c>
      <c r="K126" s="1" t="s">
        <v>5511</v>
      </c>
      <c r="L126" s="5">
        <f>XLOOKUP(N126, uom!C:C, uom!B:B, "Not Found")</f>
      </c>
      <c r="M126" s="1" t="s">
        <v>5511</v>
      </c>
      <c r="N126" s="8" t="s">
        <v>5512</v>
      </c>
      <c r="O126" s="1" t="s">
        <v>5513</v>
      </c>
      <c r="P126" s="5">
        <f>XLOOKUP(R126, classification!C:C, classification!B:B, "Not Found")</f>
      </c>
      <c r="Q126" s="1" t="s">
        <v>5514</v>
      </c>
      <c r="R126" s="2"/>
      <c r="S126" s="2"/>
      <c r="T126" s="2"/>
      <c r="U126" s="2"/>
    </row>
    <row x14ac:dyDescent="0.25" r="127" customHeight="1" ht="17.25">
      <c r="A127" s="7">
        <v>126</v>
      </c>
      <c r="B127" s="1" t="s">
        <v>5644</v>
      </c>
      <c r="C127" s="5">
        <f>CONCATENATE("PD", TEXT(A127, "1000000"))</f>
      </c>
      <c r="D127" s="7">
        <v>74</v>
      </c>
      <c r="E127" s="5">
        <f>XLOOKUP(G127, item_category!C:C, item_category!B:B, "Not Found")</f>
      </c>
      <c r="F127" s="1" t="s">
        <v>5520</v>
      </c>
      <c r="G127" s="5">
        <f>XLOOKUP(I127, drug!B:B, drug!A:A, "Not Found")</f>
      </c>
      <c r="H127" s="1" t="s">
        <v>1370</v>
      </c>
      <c r="I127" s="7">
        <v>1</v>
      </c>
      <c r="J127" s="5">
        <f>XLOOKUP(L127, uom!C:C, uom!B:B, "Not Found")</f>
      </c>
      <c r="K127" s="1" t="s">
        <v>5511</v>
      </c>
      <c r="L127" s="5">
        <f>XLOOKUP(N127, uom!C:C, uom!B:B, "Not Found")</f>
      </c>
      <c r="M127" s="1" t="s">
        <v>5511</v>
      </c>
      <c r="N127" s="8" t="s">
        <v>5512</v>
      </c>
      <c r="O127" s="1" t="s">
        <v>5513</v>
      </c>
      <c r="P127" s="5">
        <f>XLOOKUP(R127, classification!C:C, classification!B:B, "Not Found")</f>
      </c>
      <c r="Q127" s="1" t="s">
        <v>5514</v>
      </c>
      <c r="R127" s="2"/>
      <c r="S127" s="2"/>
      <c r="T127" s="2"/>
      <c r="U127" s="2"/>
    </row>
    <row x14ac:dyDescent="0.25" r="128" customHeight="1" ht="17.25">
      <c r="A128" s="7">
        <v>127</v>
      </c>
      <c r="B128" s="1" t="s">
        <v>1372</v>
      </c>
      <c r="C128" s="5">
        <f>CONCATENATE("PD", TEXT(A128, "1000000"))</f>
      </c>
      <c r="D128" s="7">
        <v>74</v>
      </c>
      <c r="E128" s="5">
        <f>XLOOKUP(G128, item_category!C:C, item_category!B:B, "Not Found")</f>
      </c>
      <c r="F128" s="1" t="s">
        <v>5520</v>
      </c>
      <c r="G128" s="5">
        <f>XLOOKUP(I128, drug!B:B, drug!A:A, "Not Found")</f>
      </c>
      <c r="H128" s="1" t="s">
        <v>1372</v>
      </c>
      <c r="I128" s="7">
        <v>1</v>
      </c>
      <c r="J128" s="5">
        <f>XLOOKUP(L128, uom!C:C, uom!B:B, "Not Found")</f>
      </c>
      <c r="K128" s="1" t="s">
        <v>5511</v>
      </c>
      <c r="L128" s="5">
        <f>XLOOKUP(N128, uom!C:C, uom!B:B, "Not Found")</f>
      </c>
      <c r="M128" s="1" t="s">
        <v>5511</v>
      </c>
      <c r="N128" s="8" t="s">
        <v>5512</v>
      </c>
      <c r="O128" s="1" t="s">
        <v>5513</v>
      </c>
      <c r="P128" s="5">
        <f>XLOOKUP(R128, classification!C:C, classification!B:B, "Not Found")</f>
      </c>
      <c r="Q128" s="1" t="s">
        <v>5514</v>
      </c>
      <c r="R128" s="2"/>
      <c r="S128" s="2"/>
      <c r="T128" s="2"/>
      <c r="U128" s="2"/>
    </row>
    <row x14ac:dyDescent="0.25" r="129" customHeight="1" ht="17.25">
      <c r="A129" s="7">
        <v>128</v>
      </c>
      <c r="B129" s="1" t="s">
        <v>5645</v>
      </c>
      <c r="C129" s="5">
        <f>CONCATENATE("PD", TEXT(A129, "1000000"))</f>
      </c>
      <c r="D129" s="7">
        <v>74</v>
      </c>
      <c r="E129" s="5">
        <f>XLOOKUP(G129, item_category!C:C, item_category!B:B, "Not Found")</f>
      </c>
      <c r="F129" s="1" t="s">
        <v>5520</v>
      </c>
      <c r="G129" s="5">
        <f>XLOOKUP(I129, drug!B:B, drug!A:A, "Not Found")</f>
      </c>
      <c r="H129" s="1" t="s">
        <v>1372</v>
      </c>
      <c r="I129" s="7">
        <v>1</v>
      </c>
      <c r="J129" s="5">
        <f>XLOOKUP(L129, uom!C:C, uom!B:B, "Not Found")</f>
      </c>
      <c r="K129" s="1" t="s">
        <v>5511</v>
      </c>
      <c r="L129" s="5">
        <f>XLOOKUP(N129, uom!C:C, uom!B:B, "Not Found")</f>
      </c>
      <c r="M129" s="1" t="s">
        <v>5511</v>
      </c>
      <c r="N129" s="8" t="s">
        <v>5512</v>
      </c>
      <c r="O129" s="1" t="s">
        <v>5513</v>
      </c>
      <c r="P129" s="5">
        <f>XLOOKUP(R129, classification!C:C, classification!B:B, "Not Found")</f>
      </c>
      <c r="Q129" s="1" t="s">
        <v>5514</v>
      </c>
      <c r="R129" s="2"/>
      <c r="S129" s="2"/>
      <c r="T129" s="2"/>
      <c r="U129" s="2"/>
    </row>
    <row x14ac:dyDescent="0.25" r="130" customHeight="1" ht="17.25">
      <c r="A130" s="7">
        <v>129</v>
      </c>
      <c r="B130" s="1" t="s">
        <v>5646</v>
      </c>
      <c r="C130" s="5">
        <f>CONCATENATE("PD", TEXT(A130, "1000000"))</f>
      </c>
      <c r="D130" s="7">
        <v>74</v>
      </c>
      <c r="E130" s="5">
        <f>XLOOKUP(G130, item_category!C:C, item_category!B:B, "Not Found")</f>
      </c>
      <c r="F130" s="1" t="s">
        <v>5520</v>
      </c>
      <c r="G130" s="5">
        <f>XLOOKUP(I130, drug!B:B, drug!A:A, "Not Found")</f>
      </c>
      <c r="H130" s="1" t="s">
        <v>836</v>
      </c>
      <c r="I130" s="7">
        <v>1</v>
      </c>
      <c r="J130" s="5">
        <f>XLOOKUP(L130, uom!C:C, uom!B:B, "Not Found")</f>
      </c>
      <c r="K130" s="1" t="s">
        <v>5511</v>
      </c>
      <c r="L130" s="5">
        <f>XLOOKUP(N130, uom!C:C, uom!B:B, "Not Found")</f>
      </c>
      <c r="M130" s="1" t="s">
        <v>5511</v>
      </c>
      <c r="N130" s="8" t="s">
        <v>5512</v>
      </c>
      <c r="O130" s="1" t="s">
        <v>5513</v>
      </c>
      <c r="P130" s="5">
        <f>XLOOKUP(R130, classification!C:C, classification!B:B, "Not Found")</f>
      </c>
      <c r="Q130" s="1" t="s">
        <v>5514</v>
      </c>
      <c r="R130" s="2"/>
      <c r="S130" s="2"/>
      <c r="T130" s="2"/>
      <c r="U130" s="2"/>
    </row>
    <row x14ac:dyDescent="0.25" r="131" customHeight="1" ht="17.25">
      <c r="A131" s="7">
        <v>130</v>
      </c>
      <c r="B131" s="1" t="s">
        <v>5647</v>
      </c>
      <c r="C131" s="5">
        <f>CONCATENATE("PD", TEXT(A131, "1000000"))</f>
      </c>
      <c r="D131" s="7">
        <v>74</v>
      </c>
      <c r="E131" s="5">
        <f>XLOOKUP(G131, item_category!C:C, item_category!B:B, "Not Found")</f>
      </c>
      <c r="F131" s="1" t="s">
        <v>5520</v>
      </c>
      <c r="G131" s="5">
        <f>XLOOKUP(I131, drug!B:B, drug!A:A, "Not Found")</f>
      </c>
      <c r="H131" s="1" t="s">
        <v>836</v>
      </c>
      <c r="I131" s="7">
        <v>1</v>
      </c>
      <c r="J131" s="5">
        <f>XLOOKUP(L131, uom!C:C, uom!B:B, "Not Found")</f>
      </c>
      <c r="K131" s="1" t="s">
        <v>5511</v>
      </c>
      <c r="L131" s="5">
        <f>XLOOKUP(N131, uom!C:C, uom!B:B, "Not Found")</f>
      </c>
      <c r="M131" s="1" t="s">
        <v>5511</v>
      </c>
      <c r="N131" s="8" t="s">
        <v>5512</v>
      </c>
      <c r="O131" s="1" t="s">
        <v>5513</v>
      </c>
      <c r="P131" s="5">
        <f>XLOOKUP(R131, classification!C:C, classification!B:B, "Not Found")</f>
      </c>
      <c r="Q131" s="1" t="s">
        <v>5514</v>
      </c>
      <c r="R131" s="2"/>
      <c r="S131" s="2"/>
      <c r="T131" s="2"/>
      <c r="U131" s="2"/>
    </row>
    <row x14ac:dyDescent="0.25" r="132" customHeight="1" ht="17.25">
      <c r="A132" s="7">
        <v>131</v>
      </c>
      <c r="B132" s="1" t="s">
        <v>5648</v>
      </c>
      <c r="C132" s="5">
        <f>CONCATENATE("PD", TEXT(A132, "1000000"))</f>
      </c>
      <c r="D132" s="7">
        <v>74</v>
      </c>
      <c r="E132" s="5">
        <f>XLOOKUP(G132, item_category!C:C, item_category!B:B, "Not Found")</f>
      </c>
      <c r="F132" s="1" t="s">
        <v>5520</v>
      </c>
      <c r="G132" s="5">
        <f>XLOOKUP(I132, drug!B:B, drug!A:A, "Not Found")</f>
      </c>
      <c r="H132" s="1" t="s">
        <v>1374</v>
      </c>
      <c r="I132" s="7">
        <v>1</v>
      </c>
      <c r="J132" s="5">
        <f>XLOOKUP(L132, uom!C:C, uom!B:B, "Not Found")</f>
      </c>
      <c r="K132" s="1" t="s">
        <v>5511</v>
      </c>
      <c r="L132" s="5">
        <f>XLOOKUP(N132, uom!C:C, uom!B:B, "Not Found")</f>
      </c>
      <c r="M132" s="1" t="s">
        <v>5511</v>
      </c>
      <c r="N132" s="8" t="s">
        <v>5512</v>
      </c>
      <c r="O132" s="1" t="s">
        <v>5513</v>
      </c>
      <c r="P132" s="5">
        <f>XLOOKUP(R132, classification!C:C, classification!B:B, "Not Found")</f>
      </c>
      <c r="Q132" s="1" t="s">
        <v>5514</v>
      </c>
      <c r="R132" s="2"/>
      <c r="S132" s="2"/>
      <c r="T132" s="2"/>
      <c r="U132" s="2"/>
    </row>
    <row x14ac:dyDescent="0.25" r="133" customHeight="1" ht="17.25">
      <c r="A133" s="7">
        <v>132</v>
      </c>
      <c r="B133" s="1" t="s">
        <v>5649</v>
      </c>
      <c r="C133" s="5">
        <f>CONCATENATE("PD", TEXT(A133, "1000000"))</f>
      </c>
      <c r="D133" s="7">
        <v>74</v>
      </c>
      <c r="E133" s="5">
        <f>XLOOKUP(G133, item_category!C:C, item_category!B:B, "Not Found")</f>
      </c>
      <c r="F133" s="1" t="s">
        <v>5520</v>
      </c>
      <c r="G133" s="5">
        <f>XLOOKUP(I133, drug!B:B, drug!A:A, "Not Found")</f>
      </c>
      <c r="H133" s="1" t="s">
        <v>1376</v>
      </c>
      <c r="I133" s="7">
        <v>1</v>
      </c>
      <c r="J133" s="5">
        <f>XLOOKUP(L133, uom!C:C, uom!B:B, "Not Found")</f>
      </c>
      <c r="K133" s="1" t="s">
        <v>5511</v>
      </c>
      <c r="L133" s="5">
        <f>XLOOKUP(N133, uom!C:C, uom!B:B, "Not Found")</f>
      </c>
      <c r="M133" s="1" t="s">
        <v>5511</v>
      </c>
      <c r="N133" s="8" t="s">
        <v>5512</v>
      </c>
      <c r="O133" s="1" t="s">
        <v>5513</v>
      </c>
      <c r="P133" s="5">
        <f>XLOOKUP(R133, classification!C:C, classification!B:B, "Not Found")</f>
      </c>
      <c r="Q133" s="1" t="s">
        <v>5514</v>
      </c>
      <c r="R133" s="2"/>
      <c r="S133" s="2"/>
      <c r="T133" s="2"/>
      <c r="U133" s="2"/>
    </row>
    <row x14ac:dyDescent="0.25" r="134" customHeight="1" ht="17.25">
      <c r="A134" s="7">
        <v>133</v>
      </c>
      <c r="B134" s="1" t="s">
        <v>5650</v>
      </c>
      <c r="C134" s="5">
        <f>CONCATENATE("PD", TEXT(A134, "1000000"))</f>
      </c>
      <c r="D134" s="7">
        <v>74</v>
      </c>
      <c r="E134" s="5">
        <f>XLOOKUP(G134, item_category!C:C, item_category!B:B, "Not Found")</f>
      </c>
      <c r="F134" s="1" t="s">
        <v>5520</v>
      </c>
      <c r="G134" s="5">
        <f>XLOOKUP(I134, drug!B:B, drug!A:A, "Not Found")</f>
      </c>
      <c r="H134" s="1" t="s">
        <v>1378</v>
      </c>
      <c r="I134" s="7">
        <v>1</v>
      </c>
      <c r="J134" s="5">
        <f>XLOOKUP(L134, uom!C:C, uom!B:B, "Not Found")</f>
      </c>
      <c r="K134" s="1" t="s">
        <v>5511</v>
      </c>
      <c r="L134" s="5">
        <f>XLOOKUP(N134, uom!C:C, uom!B:B, "Not Found")</f>
      </c>
      <c r="M134" s="1" t="s">
        <v>5511</v>
      </c>
      <c r="N134" s="8" t="s">
        <v>5512</v>
      </c>
      <c r="O134" s="1" t="s">
        <v>5513</v>
      </c>
      <c r="P134" s="5">
        <f>XLOOKUP(R134, classification!C:C, classification!B:B, "Not Found")</f>
      </c>
      <c r="Q134" s="1" t="s">
        <v>5514</v>
      </c>
      <c r="R134" s="2"/>
      <c r="S134" s="2"/>
      <c r="T134" s="2"/>
      <c r="U134" s="2"/>
    </row>
    <row x14ac:dyDescent="0.25" r="135" customHeight="1" ht="17.25">
      <c r="A135" s="7">
        <v>134</v>
      </c>
      <c r="B135" s="1" t="s">
        <v>5651</v>
      </c>
      <c r="C135" s="5">
        <f>CONCATENATE("PD", TEXT(A135, "1000000"))</f>
      </c>
      <c r="D135" s="7">
        <v>74</v>
      </c>
      <c r="E135" s="5">
        <f>XLOOKUP(G135, item_category!C:C, item_category!B:B, "Not Found")</f>
      </c>
      <c r="F135" s="1" t="s">
        <v>5520</v>
      </c>
      <c r="G135" s="5">
        <f>XLOOKUP(I135, drug!B:B, drug!A:A, "Not Found")</f>
      </c>
      <c r="H135" s="1" t="s">
        <v>1380</v>
      </c>
      <c r="I135" s="7">
        <v>1</v>
      </c>
      <c r="J135" s="5">
        <f>XLOOKUP(L135, uom!C:C, uom!B:B, "Not Found")</f>
      </c>
      <c r="K135" s="1" t="s">
        <v>5511</v>
      </c>
      <c r="L135" s="5">
        <f>XLOOKUP(N135, uom!C:C, uom!B:B, "Not Found")</f>
      </c>
      <c r="M135" s="1" t="s">
        <v>5511</v>
      </c>
      <c r="N135" s="8" t="s">
        <v>5512</v>
      </c>
      <c r="O135" s="1" t="s">
        <v>5513</v>
      </c>
      <c r="P135" s="5">
        <f>XLOOKUP(R135, classification!C:C, classification!B:B, "Not Found")</f>
      </c>
      <c r="Q135" s="1" t="s">
        <v>5514</v>
      </c>
      <c r="R135" s="2"/>
      <c r="S135" s="2"/>
      <c r="T135" s="2"/>
      <c r="U135" s="2"/>
    </row>
    <row x14ac:dyDescent="0.25" r="136" customHeight="1" ht="17.25">
      <c r="A136" s="7">
        <v>135</v>
      </c>
      <c r="B136" s="1" t="s">
        <v>5652</v>
      </c>
      <c r="C136" s="5">
        <f>CONCATENATE("PD", TEXT(A136, "1000000"))</f>
      </c>
      <c r="D136" s="7">
        <v>74</v>
      </c>
      <c r="E136" s="5">
        <f>XLOOKUP(G136, item_category!C:C, item_category!B:B, "Not Found")</f>
      </c>
      <c r="F136" s="1" t="s">
        <v>5520</v>
      </c>
      <c r="G136" s="5">
        <f>XLOOKUP(I136, drug!B:B, drug!A:A, "Not Found")</f>
      </c>
      <c r="H136" s="1" t="s">
        <v>1382</v>
      </c>
      <c r="I136" s="7">
        <v>1</v>
      </c>
      <c r="J136" s="5">
        <f>XLOOKUP(L136, uom!C:C, uom!B:B, "Not Found")</f>
      </c>
      <c r="K136" s="1" t="s">
        <v>5511</v>
      </c>
      <c r="L136" s="5">
        <f>XLOOKUP(N136, uom!C:C, uom!B:B, "Not Found")</f>
      </c>
      <c r="M136" s="1" t="s">
        <v>5511</v>
      </c>
      <c r="N136" s="8" t="s">
        <v>5512</v>
      </c>
      <c r="O136" s="1" t="s">
        <v>5513</v>
      </c>
      <c r="P136" s="5">
        <f>XLOOKUP(R136, classification!C:C, classification!B:B, "Not Found")</f>
      </c>
      <c r="Q136" s="1" t="s">
        <v>5514</v>
      </c>
      <c r="R136" s="2"/>
      <c r="S136" s="2"/>
      <c r="T136" s="2"/>
      <c r="U136" s="2"/>
    </row>
    <row x14ac:dyDescent="0.25" r="137" customHeight="1" ht="17.25">
      <c r="A137" s="7">
        <v>136</v>
      </c>
      <c r="B137" s="1" t="s">
        <v>5653</v>
      </c>
      <c r="C137" s="5">
        <f>CONCATENATE("PD", TEXT(A137, "1000000"))</f>
      </c>
      <c r="D137" s="7">
        <v>74</v>
      </c>
      <c r="E137" s="5">
        <f>XLOOKUP(G137, item_category!C:C, item_category!B:B, "Not Found")</f>
      </c>
      <c r="F137" s="1" t="s">
        <v>5520</v>
      </c>
      <c r="G137" s="5">
        <f>XLOOKUP(I137, drug!B:B, drug!A:A, "Not Found")</f>
      </c>
      <c r="H137" s="1" t="s">
        <v>1384</v>
      </c>
      <c r="I137" s="7">
        <v>1</v>
      </c>
      <c r="J137" s="5">
        <f>XLOOKUP(L137, uom!C:C, uom!B:B, "Not Found")</f>
      </c>
      <c r="K137" s="1" t="s">
        <v>5511</v>
      </c>
      <c r="L137" s="5">
        <f>XLOOKUP(N137, uom!C:C, uom!B:B, "Not Found")</f>
      </c>
      <c r="M137" s="1" t="s">
        <v>5511</v>
      </c>
      <c r="N137" s="8" t="s">
        <v>5512</v>
      </c>
      <c r="O137" s="1" t="s">
        <v>5513</v>
      </c>
      <c r="P137" s="5">
        <f>XLOOKUP(R137, classification!C:C, classification!B:B, "Not Found")</f>
      </c>
      <c r="Q137" s="1" t="s">
        <v>5514</v>
      </c>
      <c r="R137" s="2"/>
      <c r="S137" s="2"/>
      <c r="T137" s="2"/>
      <c r="U137" s="2"/>
    </row>
    <row x14ac:dyDescent="0.25" r="138" customHeight="1" ht="17.25">
      <c r="A138" s="7">
        <v>137</v>
      </c>
      <c r="B138" s="1" t="s">
        <v>5654</v>
      </c>
      <c r="C138" s="5">
        <f>CONCATENATE("PD", TEXT(A138, "1000000"))</f>
      </c>
      <c r="D138" s="7">
        <v>74</v>
      </c>
      <c r="E138" s="5">
        <f>XLOOKUP(G138, item_category!C:C, item_category!B:B, "Not Found")</f>
      </c>
      <c r="F138" s="1" t="s">
        <v>5520</v>
      </c>
      <c r="G138" s="5">
        <f>XLOOKUP(I138, drug!B:B, drug!A:A, "Not Found")</f>
      </c>
      <c r="H138" s="1" t="s">
        <v>1386</v>
      </c>
      <c r="I138" s="7">
        <v>1</v>
      </c>
      <c r="J138" s="5">
        <f>XLOOKUP(L138, uom!C:C, uom!B:B, "Not Found")</f>
      </c>
      <c r="K138" s="1" t="s">
        <v>5511</v>
      </c>
      <c r="L138" s="5">
        <f>XLOOKUP(N138, uom!C:C, uom!B:B, "Not Found")</f>
      </c>
      <c r="M138" s="1" t="s">
        <v>5511</v>
      </c>
      <c r="N138" s="8" t="s">
        <v>5512</v>
      </c>
      <c r="O138" s="1" t="s">
        <v>5513</v>
      </c>
      <c r="P138" s="5">
        <f>XLOOKUP(R138, classification!C:C, classification!B:B, "Not Found")</f>
      </c>
      <c r="Q138" s="1" t="s">
        <v>5514</v>
      </c>
      <c r="R138" s="2"/>
      <c r="S138" s="2"/>
      <c r="T138" s="2"/>
      <c r="U138" s="2"/>
    </row>
    <row x14ac:dyDescent="0.25" r="139" customHeight="1" ht="17.25">
      <c r="A139" s="7">
        <v>138</v>
      </c>
      <c r="B139" s="1" t="s">
        <v>5655</v>
      </c>
      <c r="C139" s="5">
        <f>CONCATENATE("PD", TEXT(A139, "1000000"))</f>
      </c>
      <c r="D139" s="7">
        <v>74</v>
      </c>
      <c r="E139" s="5">
        <f>XLOOKUP(G139, item_category!C:C, item_category!B:B, "Not Found")</f>
      </c>
      <c r="F139" s="1" t="s">
        <v>5520</v>
      </c>
      <c r="G139" s="5">
        <f>XLOOKUP(I139, drug!B:B, drug!A:A, "Not Found")</f>
      </c>
      <c r="H139" s="1" t="s">
        <v>1386</v>
      </c>
      <c r="I139" s="7">
        <v>1</v>
      </c>
      <c r="J139" s="5">
        <f>XLOOKUP(L139, uom!C:C, uom!B:B, "Not Found")</f>
      </c>
      <c r="K139" s="1" t="s">
        <v>5511</v>
      </c>
      <c r="L139" s="5">
        <f>XLOOKUP(N139, uom!C:C, uom!B:B, "Not Found")</f>
      </c>
      <c r="M139" s="1" t="s">
        <v>5511</v>
      </c>
      <c r="N139" s="8" t="s">
        <v>5512</v>
      </c>
      <c r="O139" s="1" t="s">
        <v>5513</v>
      </c>
      <c r="P139" s="5">
        <f>XLOOKUP(R139, classification!C:C, classification!B:B, "Not Found")</f>
      </c>
      <c r="Q139" s="1" t="s">
        <v>5514</v>
      </c>
      <c r="R139" s="2"/>
      <c r="S139" s="2"/>
      <c r="T139" s="2"/>
      <c r="U139" s="2"/>
    </row>
    <row x14ac:dyDescent="0.25" r="140" customHeight="1" ht="17.25">
      <c r="A140" s="7">
        <v>139</v>
      </c>
      <c r="B140" s="1" t="s">
        <v>5656</v>
      </c>
      <c r="C140" s="5">
        <f>CONCATENATE("PD", TEXT(A140, "1000000"))</f>
      </c>
      <c r="D140" s="7">
        <v>74</v>
      </c>
      <c r="E140" s="5">
        <f>XLOOKUP(G140, item_category!C:C, item_category!B:B, "Not Found")</f>
      </c>
      <c r="F140" s="1" t="s">
        <v>5520</v>
      </c>
      <c r="G140" s="5">
        <f>XLOOKUP(I140, drug!B:B, drug!A:A, "Not Found")</f>
      </c>
      <c r="H140" s="1" t="s">
        <v>1388</v>
      </c>
      <c r="I140" s="7">
        <v>1</v>
      </c>
      <c r="J140" s="5">
        <f>XLOOKUP(L140, uom!C:C, uom!B:B, "Not Found")</f>
      </c>
      <c r="K140" s="1" t="s">
        <v>5511</v>
      </c>
      <c r="L140" s="5">
        <f>XLOOKUP(N140, uom!C:C, uom!B:B, "Not Found")</f>
      </c>
      <c r="M140" s="1" t="s">
        <v>5511</v>
      </c>
      <c r="N140" s="8" t="s">
        <v>5512</v>
      </c>
      <c r="O140" s="1" t="s">
        <v>5513</v>
      </c>
      <c r="P140" s="5">
        <f>XLOOKUP(R140, classification!C:C, classification!B:B, "Not Found")</f>
      </c>
      <c r="Q140" s="1" t="s">
        <v>5514</v>
      </c>
      <c r="R140" s="2"/>
      <c r="S140" s="2"/>
      <c r="T140" s="2"/>
      <c r="U140" s="2"/>
    </row>
    <row x14ac:dyDescent="0.25" r="141" customHeight="1" ht="17.25">
      <c r="A141" s="7">
        <v>140</v>
      </c>
      <c r="B141" s="1" t="s">
        <v>5657</v>
      </c>
      <c r="C141" s="5">
        <f>CONCATENATE("PD", TEXT(A141, "1000000"))</f>
      </c>
      <c r="D141" s="7">
        <v>74</v>
      </c>
      <c r="E141" s="5">
        <f>XLOOKUP(G141, item_category!C:C, item_category!B:B, "Not Found")</f>
      </c>
      <c r="F141" s="1" t="s">
        <v>5520</v>
      </c>
      <c r="G141" s="5">
        <f>XLOOKUP(I141, drug!B:B, drug!A:A, "Not Found")</f>
      </c>
      <c r="H141" s="1" t="s">
        <v>1388</v>
      </c>
      <c r="I141" s="7">
        <v>1</v>
      </c>
      <c r="J141" s="5">
        <f>XLOOKUP(L141, uom!C:C, uom!B:B, "Not Found")</f>
      </c>
      <c r="K141" s="1" t="s">
        <v>5511</v>
      </c>
      <c r="L141" s="5">
        <f>XLOOKUP(N141, uom!C:C, uom!B:B, "Not Found")</f>
      </c>
      <c r="M141" s="1" t="s">
        <v>5511</v>
      </c>
      <c r="N141" s="8" t="s">
        <v>5512</v>
      </c>
      <c r="O141" s="1" t="s">
        <v>5513</v>
      </c>
      <c r="P141" s="5">
        <f>XLOOKUP(R141, classification!C:C, classification!B:B, "Not Found")</f>
      </c>
      <c r="Q141" s="1" t="s">
        <v>5514</v>
      </c>
      <c r="R141" s="2"/>
      <c r="S141" s="2"/>
      <c r="T141" s="2"/>
      <c r="U141" s="2"/>
    </row>
    <row x14ac:dyDescent="0.25" r="142" customHeight="1" ht="17.25">
      <c r="A142" s="7">
        <v>141</v>
      </c>
      <c r="B142" s="1" t="s">
        <v>5658</v>
      </c>
      <c r="C142" s="5">
        <f>CONCATENATE("PD", TEXT(A142, "1000000"))</f>
      </c>
      <c r="D142" s="7">
        <v>74</v>
      </c>
      <c r="E142" s="5">
        <f>XLOOKUP(G142, item_category!C:C, item_category!B:B, "Not Found")</f>
      </c>
      <c r="F142" s="1" t="s">
        <v>5520</v>
      </c>
      <c r="G142" s="5">
        <f>XLOOKUP(I142, drug!B:B, drug!A:A, "Not Found")</f>
      </c>
      <c r="H142" s="1" t="s">
        <v>1390</v>
      </c>
      <c r="I142" s="7">
        <v>1</v>
      </c>
      <c r="J142" s="5">
        <f>XLOOKUP(L142, uom!C:C, uom!B:B, "Not Found")</f>
      </c>
      <c r="K142" s="1" t="s">
        <v>5511</v>
      </c>
      <c r="L142" s="5">
        <f>XLOOKUP(N142, uom!C:C, uom!B:B, "Not Found")</f>
      </c>
      <c r="M142" s="1" t="s">
        <v>5511</v>
      </c>
      <c r="N142" s="8" t="s">
        <v>5512</v>
      </c>
      <c r="O142" s="1" t="s">
        <v>5513</v>
      </c>
      <c r="P142" s="5">
        <f>XLOOKUP(R142, classification!C:C, classification!B:B, "Not Found")</f>
      </c>
      <c r="Q142" s="1" t="s">
        <v>5514</v>
      </c>
      <c r="R142" s="2"/>
      <c r="S142" s="2"/>
      <c r="T142" s="2"/>
      <c r="U142" s="2"/>
    </row>
    <row x14ac:dyDescent="0.25" r="143" customHeight="1" ht="17.25">
      <c r="A143" s="7">
        <v>142</v>
      </c>
      <c r="B143" s="1" t="s">
        <v>5659</v>
      </c>
      <c r="C143" s="5">
        <f>CONCATENATE("PD", TEXT(A143, "1000000"))</f>
      </c>
      <c r="D143" s="7">
        <v>74</v>
      </c>
      <c r="E143" s="5">
        <f>XLOOKUP(G143, item_category!C:C, item_category!B:B, "Not Found")</f>
      </c>
      <c r="F143" s="1" t="s">
        <v>5520</v>
      </c>
      <c r="G143" s="5">
        <f>XLOOKUP(I143, drug!B:B, drug!A:A, "Not Found")</f>
      </c>
      <c r="H143" s="1" t="s">
        <v>1392</v>
      </c>
      <c r="I143" s="7">
        <v>1</v>
      </c>
      <c r="J143" s="5">
        <f>XLOOKUP(L143, uom!C:C, uom!B:B, "Not Found")</f>
      </c>
      <c r="K143" s="1" t="s">
        <v>5511</v>
      </c>
      <c r="L143" s="5">
        <f>XLOOKUP(N143, uom!C:C, uom!B:B, "Not Found")</f>
      </c>
      <c r="M143" s="1" t="s">
        <v>5511</v>
      </c>
      <c r="N143" s="8" t="s">
        <v>5512</v>
      </c>
      <c r="O143" s="1" t="s">
        <v>5513</v>
      </c>
      <c r="P143" s="5">
        <f>XLOOKUP(R143, classification!C:C, classification!B:B, "Not Found")</f>
      </c>
      <c r="Q143" s="1" t="s">
        <v>5514</v>
      </c>
      <c r="R143" s="2"/>
      <c r="S143" s="2"/>
      <c r="T143" s="2"/>
      <c r="U143" s="2"/>
    </row>
    <row x14ac:dyDescent="0.25" r="144" customHeight="1" ht="17.25">
      <c r="A144" s="7">
        <v>143</v>
      </c>
      <c r="B144" s="1" t="s">
        <v>5660</v>
      </c>
      <c r="C144" s="5">
        <f>CONCATENATE("PD", TEXT(A144, "1000000"))</f>
      </c>
      <c r="D144" s="7">
        <v>74</v>
      </c>
      <c r="E144" s="5">
        <f>XLOOKUP(G144, item_category!C:C, item_category!B:B, "Not Found")</f>
      </c>
      <c r="F144" s="1" t="s">
        <v>5520</v>
      </c>
      <c r="G144" s="5">
        <f>XLOOKUP(I144, drug!B:B, drug!A:A, "Not Found")</f>
      </c>
      <c r="H144" s="1" t="s">
        <v>1394</v>
      </c>
      <c r="I144" s="7">
        <v>1000</v>
      </c>
      <c r="J144" s="5">
        <f>XLOOKUP(L144, uom!C:C, uom!B:B, "Not Found")</f>
      </c>
      <c r="K144" s="1" t="s">
        <v>5661</v>
      </c>
      <c r="L144" s="5">
        <f>XLOOKUP(N144, uom!C:C, uom!B:B, "Not Found")</f>
      </c>
      <c r="M144" s="1" t="s">
        <v>5661</v>
      </c>
      <c r="N144" s="8" t="s">
        <v>5524</v>
      </c>
      <c r="O144" s="1" t="s">
        <v>5525</v>
      </c>
      <c r="P144" s="5">
        <f>XLOOKUP(R144, classification!C:C, classification!B:B, "Not Found")</f>
      </c>
      <c r="Q144" s="1" t="s">
        <v>5514</v>
      </c>
      <c r="R144" s="2"/>
      <c r="S144" s="2"/>
      <c r="T144" s="2"/>
      <c r="U144" s="2"/>
    </row>
    <row x14ac:dyDescent="0.25" r="145" customHeight="1" ht="17.25">
      <c r="A145" s="7">
        <v>144</v>
      </c>
      <c r="B145" s="1" t="s">
        <v>5662</v>
      </c>
      <c r="C145" s="5">
        <f>CONCATENATE("PD", TEXT(A145, "1000000"))</f>
      </c>
      <c r="D145" s="7">
        <v>74</v>
      </c>
      <c r="E145" s="5">
        <f>XLOOKUP(G145, item_category!C:C, item_category!B:B, "Not Found")</f>
      </c>
      <c r="F145" s="1" t="s">
        <v>5520</v>
      </c>
      <c r="G145" s="5">
        <f>XLOOKUP(I145, drug!B:B, drug!A:A, "Not Found")</f>
      </c>
      <c r="H145" s="1" t="s">
        <v>1396</v>
      </c>
      <c r="I145" s="7">
        <v>1</v>
      </c>
      <c r="J145" s="5">
        <f>XLOOKUP(L145, uom!C:C, uom!B:B, "Not Found")</f>
      </c>
      <c r="K145" s="1" t="s">
        <v>5511</v>
      </c>
      <c r="L145" s="5">
        <f>XLOOKUP(N145, uom!C:C, uom!B:B, "Not Found")</f>
      </c>
      <c r="M145" s="1" t="s">
        <v>5511</v>
      </c>
      <c r="N145" s="8" t="s">
        <v>5512</v>
      </c>
      <c r="O145" s="1" t="s">
        <v>5513</v>
      </c>
      <c r="P145" s="5">
        <f>XLOOKUP(R145, classification!C:C, classification!B:B, "Not Found")</f>
      </c>
      <c r="Q145" s="1" t="s">
        <v>5514</v>
      </c>
      <c r="R145" s="2"/>
      <c r="S145" s="2"/>
      <c r="T145" s="2"/>
      <c r="U145" s="2"/>
    </row>
    <row x14ac:dyDescent="0.25" r="146" customHeight="1" ht="17.25">
      <c r="A146" s="7">
        <v>145</v>
      </c>
      <c r="B146" s="1" t="s">
        <v>5663</v>
      </c>
      <c r="C146" s="5">
        <f>CONCATENATE("PD", TEXT(A146, "1000000"))</f>
      </c>
      <c r="D146" s="7">
        <v>74</v>
      </c>
      <c r="E146" s="5">
        <f>XLOOKUP(G146, item_category!C:C, item_category!B:B, "Not Found")</f>
      </c>
      <c r="F146" s="1" t="s">
        <v>5520</v>
      </c>
      <c r="G146" s="5">
        <f>XLOOKUP(I146, drug!B:B, drug!A:A, "Not Found")</f>
      </c>
      <c r="H146" s="1" t="s">
        <v>1398</v>
      </c>
      <c r="I146" s="7">
        <v>1</v>
      </c>
      <c r="J146" s="5">
        <f>XLOOKUP(L146, uom!C:C, uom!B:B, "Not Found")</f>
      </c>
      <c r="K146" s="1" t="s">
        <v>5511</v>
      </c>
      <c r="L146" s="5">
        <f>XLOOKUP(N146, uom!C:C, uom!B:B, "Not Found")</f>
      </c>
      <c r="M146" s="1" t="s">
        <v>5511</v>
      </c>
      <c r="N146" s="8" t="s">
        <v>5512</v>
      </c>
      <c r="O146" s="1" t="s">
        <v>5513</v>
      </c>
      <c r="P146" s="5">
        <f>XLOOKUP(R146, classification!C:C, classification!B:B, "Not Found")</f>
      </c>
      <c r="Q146" s="1" t="s">
        <v>5514</v>
      </c>
      <c r="R146" s="2"/>
      <c r="S146" s="2"/>
      <c r="T146" s="2"/>
      <c r="U146" s="2"/>
    </row>
    <row x14ac:dyDescent="0.25" r="147" customHeight="1" ht="17.25">
      <c r="A147" s="7">
        <v>146</v>
      </c>
      <c r="B147" s="1" t="s">
        <v>5664</v>
      </c>
      <c r="C147" s="5">
        <f>CONCATENATE("PD", TEXT(A147, "1000000"))</f>
      </c>
      <c r="D147" s="7">
        <v>74</v>
      </c>
      <c r="E147" s="5">
        <f>XLOOKUP(G147, item_category!C:C, item_category!B:B, "Not Found")</f>
      </c>
      <c r="F147" s="1" t="s">
        <v>5520</v>
      </c>
      <c r="G147" s="5">
        <f>XLOOKUP(I147, drug!B:B, drug!A:A, "Not Found")</f>
      </c>
      <c r="H147" s="1" t="s">
        <v>1400</v>
      </c>
      <c r="I147" s="7">
        <v>1</v>
      </c>
      <c r="J147" s="5">
        <f>XLOOKUP(L147, uom!C:C, uom!B:B, "Not Found")</f>
      </c>
      <c r="K147" s="1" t="s">
        <v>5511</v>
      </c>
      <c r="L147" s="5">
        <f>XLOOKUP(N147, uom!C:C, uom!B:B, "Not Found")</f>
      </c>
      <c r="M147" s="1" t="s">
        <v>5511</v>
      </c>
      <c r="N147" s="8" t="s">
        <v>5512</v>
      </c>
      <c r="O147" s="1" t="s">
        <v>5513</v>
      </c>
      <c r="P147" s="5">
        <f>XLOOKUP(R147, classification!C:C, classification!B:B, "Not Found")</f>
      </c>
      <c r="Q147" s="1" t="s">
        <v>5514</v>
      </c>
      <c r="R147" s="2"/>
      <c r="S147" s="2"/>
      <c r="T147" s="2"/>
      <c r="U147" s="2"/>
    </row>
    <row x14ac:dyDescent="0.25" r="148" customHeight="1" ht="17.25">
      <c r="A148" s="7">
        <v>147</v>
      </c>
      <c r="B148" s="1" t="s">
        <v>5665</v>
      </c>
      <c r="C148" s="5">
        <f>CONCATENATE("PD", TEXT(A148, "1000000"))</f>
      </c>
      <c r="D148" s="7">
        <v>74</v>
      </c>
      <c r="E148" s="5">
        <f>XLOOKUP(G148, item_category!C:C, item_category!B:B, "Not Found")</f>
      </c>
      <c r="F148" s="1" t="s">
        <v>5520</v>
      </c>
      <c r="G148" s="5">
        <f>XLOOKUP(I148, drug!B:B, drug!A:A, "Not Found")</f>
      </c>
      <c r="H148" s="1" t="s">
        <v>1400</v>
      </c>
      <c r="I148" s="7">
        <v>1</v>
      </c>
      <c r="J148" s="5">
        <f>XLOOKUP(L148, uom!C:C, uom!B:B, "Not Found")</f>
      </c>
      <c r="K148" s="1" t="s">
        <v>5511</v>
      </c>
      <c r="L148" s="5">
        <f>XLOOKUP(N148, uom!C:C, uom!B:B, "Not Found")</f>
      </c>
      <c r="M148" s="1" t="s">
        <v>5511</v>
      </c>
      <c r="N148" s="8" t="s">
        <v>5512</v>
      </c>
      <c r="O148" s="1" t="s">
        <v>5513</v>
      </c>
      <c r="P148" s="5">
        <f>XLOOKUP(R148, classification!C:C, classification!B:B, "Not Found")</f>
      </c>
      <c r="Q148" s="1" t="s">
        <v>5514</v>
      </c>
      <c r="R148" s="2"/>
      <c r="S148" s="2"/>
      <c r="T148" s="2"/>
      <c r="U148" s="2"/>
    </row>
    <row x14ac:dyDescent="0.25" r="149" customHeight="1" ht="17.25">
      <c r="A149" s="7">
        <v>148</v>
      </c>
      <c r="B149" s="1" t="s">
        <v>1402</v>
      </c>
      <c r="C149" s="5">
        <f>CONCATENATE("PD", TEXT(A149, "1000000"))</f>
      </c>
      <c r="D149" s="7">
        <v>74</v>
      </c>
      <c r="E149" s="5">
        <f>XLOOKUP(G149, item_category!C:C, item_category!B:B, "Not Found")</f>
      </c>
      <c r="F149" s="1" t="s">
        <v>5520</v>
      </c>
      <c r="G149" s="5">
        <f>XLOOKUP(I149, drug!B:B, drug!A:A, "Not Found")</f>
      </c>
      <c r="H149" s="1" t="s">
        <v>1402</v>
      </c>
      <c r="I149" s="7">
        <v>1</v>
      </c>
      <c r="J149" s="5">
        <f>XLOOKUP(L149, uom!C:C, uom!B:B, "Not Found")</f>
      </c>
      <c r="K149" s="1" t="s">
        <v>5511</v>
      </c>
      <c r="L149" s="5">
        <f>XLOOKUP(N149, uom!C:C, uom!B:B, "Not Found")</f>
      </c>
      <c r="M149" s="1" t="s">
        <v>5511</v>
      </c>
      <c r="N149" s="8" t="s">
        <v>5512</v>
      </c>
      <c r="O149" s="1" t="s">
        <v>5513</v>
      </c>
      <c r="P149" s="5">
        <f>XLOOKUP(R149, classification!C:C, classification!B:B, "Not Found")</f>
      </c>
      <c r="Q149" s="1" t="s">
        <v>5514</v>
      </c>
      <c r="R149" s="2"/>
      <c r="S149" s="2"/>
      <c r="T149" s="2"/>
      <c r="U149" s="2"/>
    </row>
    <row x14ac:dyDescent="0.25" r="150" customHeight="1" ht="17.25">
      <c r="A150" s="7">
        <v>149</v>
      </c>
      <c r="B150" s="1" t="s">
        <v>5666</v>
      </c>
      <c r="C150" s="5">
        <f>CONCATENATE("PD", TEXT(A150, "1000000"))</f>
      </c>
      <c r="D150" s="7">
        <v>74</v>
      </c>
      <c r="E150" s="5">
        <f>XLOOKUP(G150, item_category!C:C, item_category!B:B, "Not Found")</f>
      </c>
      <c r="F150" s="1" t="s">
        <v>5520</v>
      </c>
      <c r="G150" s="5">
        <f>XLOOKUP(I150, drug!B:B, drug!A:A, "Not Found")</f>
      </c>
      <c r="H150" s="1" t="s">
        <v>1404</v>
      </c>
      <c r="I150" s="7">
        <v>1</v>
      </c>
      <c r="J150" s="5">
        <f>XLOOKUP(L150, uom!C:C, uom!B:B, "Not Found")</f>
      </c>
      <c r="K150" s="1" t="s">
        <v>5511</v>
      </c>
      <c r="L150" s="5">
        <f>XLOOKUP(N150, uom!C:C, uom!B:B, "Not Found")</f>
      </c>
      <c r="M150" s="1" t="s">
        <v>5511</v>
      </c>
      <c r="N150" s="8" t="s">
        <v>5512</v>
      </c>
      <c r="O150" s="1" t="s">
        <v>5513</v>
      </c>
      <c r="P150" s="5">
        <f>XLOOKUP(R150, classification!C:C, classification!B:B, "Not Found")</f>
      </c>
      <c r="Q150" s="1" t="s">
        <v>5514</v>
      </c>
      <c r="R150" s="2"/>
      <c r="S150" s="2"/>
      <c r="T150" s="2"/>
      <c r="U150" s="2"/>
    </row>
    <row x14ac:dyDescent="0.25" r="151" customHeight="1" ht="17.25">
      <c r="A151" s="7">
        <v>150</v>
      </c>
      <c r="B151" s="1" t="s">
        <v>5667</v>
      </c>
      <c r="C151" s="5">
        <f>CONCATENATE("PD", TEXT(A151, "1000000"))</f>
      </c>
      <c r="D151" s="7">
        <v>74</v>
      </c>
      <c r="E151" s="5">
        <f>XLOOKUP(G151, item_category!C:C, item_category!B:B, "Not Found")</f>
      </c>
      <c r="F151" s="1" t="s">
        <v>5520</v>
      </c>
      <c r="G151" s="5">
        <f>XLOOKUP(I151, drug!B:B, drug!A:A, "Not Found")</f>
      </c>
      <c r="H151" s="1" t="s">
        <v>1406</v>
      </c>
      <c r="I151" s="7">
        <v>1</v>
      </c>
      <c r="J151" s="5">
        <f>XLOOKUP(L151, uom!C:C, uom!B:B, "Not Found")</f>
      </c>
      <c r="K151" s="1" t="s">
        <v>5511</v>
      </c>
      <c r="L151" s="5">
        <f>XLOOKUP(N151, uom!C:C, uom!B:B, "Not Found")</f>
      </c>
      <c r="M151" s="1" t="s">
        <v>5511</v>
      </c>
      <c r="N151" s="8" t="s">
        <v>5512</v>
      </c>
      <c r="O151" s="1" t="s">
        <v>5513</v>
      </c>
      <c r="P151" s="5">
        <f>XLOOKUP(R151, classification!C:C, classification!B:B, "Not Found")</f>
      </c>
      <c r="Q151" s="1" t="s">
        <v>5514</v>
      </c>
      <c r="R151" s="2"/>
      <c r="S151" s="2"/>
      <c r="T151" s="2"/>
      <c r="U151" s="2"/>
    </row>
    <row x14ac:dyDescent="0.25" r="152" customHeight="1" ht="17.25">
      <c r="A152" s="7">
        <v>151</v>
      </c>
      <c r="B152" s="1" t="s">
        <v>5668</v>
      </c>
      <c r="C152" s="5">
        <f>CONCATENATE("PD", TEXT(A152, "1000000"))</f>
      </c>
      <c r="D152" s="7">
        <v>74</v>
      </c>
      <c r="E152" s="5">
        <f>XLOOKUP(G152, item_category!C:C, item_category!B:B, "Not Found")</f>
      </c>
      <c r="F152" s="1" t="s">
        <v>5520</v>
      </c>
      <c r="G152" s="5">
        <f>XLOOKUP(I152, drug!B:B, drug!A:A, "Not Found")</f>
      </c>
      <c r="H152" s="1" t="s">
        <v>1408</v>
      </c>
      <c r="I152" s="7">
        <v>1</v>
      </c>
      <c r="J152" s="5">
        <f>XLOOKUP(L152, uom!C:C, uom!B:B, "Not Found")</f>
      </c>
      <c r="K152" s="1" t="s">
        <v>5511</v>
      </c>
      <c r="L152" s="5">
        <f>XLOOKUP(N152, uom!C:C, uom!B:B, "Not Found")</f>
      </c>
      <c r="M152" s="1" t="s">
        <v>5511</v>
      </c>
      <c r="N152" s="8" t="s">
        <v>5512</v>
      </c>
      <c r="O152" s="1" t="s">
        <v>5513</v>
      </c>
      <c r="P152" s="5">
        <f>XLOOKUP(R152, classification!C:C, classification!B:B, "Not Found")</f>
      </c>
      <c r="Q152" s="1" t="s">
        <v>5514</v>
      </c>
      <c r="R152" s="2"/>
      <c r="S152" s="2"/>
      <c r="T152" s="2"/>
      <c r="U152" s="2"/>
    </row>
    <row x14ac:dyDescent="0.25" r="153" customHeight="1" ht="17.25">
      <c r="A153" s="7">
        <v>152</v>
      </c>
      <c r="B153" s="1" t="s">
        <v>5669</v>
      </c>
      <c r="C153" s="5">
        <f>CONCATENATE("PD", TEXT(A153, "1000000"))</f>
      </c>
      <c r="D153" s="7">
        <v>74</v>
      </c>
      <c r="E153" s="5">
        <f>XLOOKUP(G153, item_category!C:C, item_category!B:B, "Not Found")</f>
      </c>
      <c r="F153" s="1" t="s">
        <v>5520</v>
      </c>
      <c r="G153" s="5">
        <f>XLOOKUP(I153, drug!B:B, drug!A:A, "Not Found")</f>
      </c>
      <c r="H153" s="1" t="s">
        <v>1410</v>
      </c>
      <c r="I153" s="7">
        <v>1</v>
      </c>
      <c r="J153" s="5">
        <f>XLOOKUP(L153, uom!C:C, uom!B:B, "Not Found")</f>
      </c>
      <c r="K153" s="1" t="s">
        <v>5511</v>
      </c>
      <c r="L153" s="5">
        <f>XLOOKUP(N153, uom!C:C, uom!B:B, "Not Found")</f>
      </c>
      <c r="M153" s="1" t="s">
        <v>5511</v>
      </c>
      <c r="N153" s="8" t="s">
        <v>5512</v>
      </c>
      <c r="O153" s="1" t="s">
        <v>5513</v>
      </c>
      <c r="P153" s="5">
        <f>XLOOKUP(R153, classification!C:C, classification!B:B, "Not Found")</f>
      </c>
      <c r="Q153" s="1" t="s">
        <v>5514</v>
      </c>
      <c r="R153" s="2"/>
      <c r="S153" s="2"/>
      <c r="T153" s="2"/>
      <c r="U153" s="2"/>
    </row>
    <row x14ac:dyDescent="0.25" r="154" customHeight="1" ht="17.25">
      <c r="A154" s="7">
        <v>153</v>
      </c>
      <c r="B154" s="1" t="s">
        <v>5670</v>
      </c>
      <c r="C154" s="5">
        <f>CONCATENATE("PD", TEXT(A154, "1000000"))</f>
      </c>
      <c r="D154" s="7">
        <v>74</v>
      </c>
      <c r="E154" s="5">
        <f>XLOOKUP(G154, item_category!C:C, item_category!B:B, "Not Found")</f>
      </c>
      <c r="F154" s="1" t="s">
        <v>5520</v>
      </c>
      <c r="G154" s="5">
        <f>XLOOKUP(I154, drug!B:B, drug!A:A, "Not Found")</f>
      </c>
      <c r="H154" s="1" t="s">
        <v>1412</v>
      </c>
      <c r="I154" s="7">
        <v>1</v>
      </c>
      <c r="J154" s="5">
        <f>XLOOKUP(L154, uom!C:C, uom!B:B, "Not Found")</f>
      </c>
      <c r="K154" s="1" t="s">
        <v>5511</v>
      </c>
      <c r="L154" s="5">
        <f>XLOOKUP(N154, uom!C:C, uom!B:B, "Not Found")</f>
      </c>
      <c r="M154" s="1" t="s">
        <v>5511</v>
      </c>
      <c r="N154" s="8" t="s">
        <v>5512</v>
      </c>
      <c r="O154" s="1" t="s">
        <v>5513</v>
      </c>
      <c r="P154" s="5">
        <f>XLOOKUP(R154, classification!C:C, classification!B:B, "Not Found")</f>
      </c>
      <c r="Q154" s="1" t="s">
        <v>5514</v>
      </c>
      <c r="R154" s="2"/>
      <c r="S154" s="2"/>
      <c r="T154" s="2"/>
      <c r="U154" s="2"/>
    </row>
    <row x14ac:dyDescent="0.25" r="155" customHeight="1" ht="17.25">
      <c r="A155" s="7">
        <v>154</v>
      </c>
      <c r="B155" s="1" t="s">
        <v>5671</v>
      </c>
      <c r="C155" s="5">
        <f>CONCATENATE("PD", TEXT(A155, "1000000"))</f>
      </c>
      <c r="D155" s="7">
        <v>74</v>
      </c>
      <c r="E155" s="5">
        <f>XLOOKUP(G155, item_category!C:C, item_category!B:B, "Not Found")</f>
      </c>
      <c r="F155" s="1" t="s">
        <v>5520</v>
      </c>
      <c r="G155" s="5">
        <f>XLOOKUP(I155, drug!B:B, drug!A:A, "Not Found")</f>
      </c>
      <c r="H155" s="1" t="s">
        <v>1414</v>
      </c>
      <c r="I155" s="7">
        <v>1</v>
      </c>
      <c r="J155" s="5">
        <f>XLOOKUP(L155, uom!C:C, uom!B:B, "Not Found")</f>
      </c>
      <c r="K155" s="1" t="s">
        <v>5511</v>
      </c>
      <c r="L155" s="5">
        <f>XLOOKUP(N155, uom!C:C, uom!B:B, "Not Found")</f>
      </c>
      <c r="M155" s="1" t="s">
        <v>5511</v>
      </c>
      <c r="N155" s="8" t="s">
        <v>5512</v>
      </c>
      <c r="O155" s="1" t="s">
        <v>5513</v>
      </c>
      <c r="P155" s="5">
        <f>XLOOKUP(R155, classification!C:C, classification!B:B, "Not Found")</f>
      </c>
      <c r="Q155" s="1" t="s">
        <v>5514</v>
      </c>
      <c r="R155" s="2"/>
      <c r="S155" s="2"/>
      <c r="T155" s="2"/>
      <c r="U155" s="2"/>
    </row>
    <row x14ac:dyDescent="0.25" r="156" customHeight="1" ht="17.25">
      <c r="A156" s="7">
        <v>155</v>
      </c>
      <c r="B156" s="1" t="s">
        <v>5672</v>
      </c>
      <c r="C156" s="5">
        <f>CONCATENATE("PD", TEXT(A156, "1000000"))</f>
      </c>
      <c r="D156" s="7">
        <v>74</v>
      </c>
      <c r="E156" s="5">
        <f>XLOOKUP(G156, item_category!C:C, item_category!B:B, "Not Found")</f>
      </c>
      <c r="F156" s="1" t="s">
        <v>5520</v>
      </c>
      <c r="G156" s="5">
        <f>XLOOKUP(I156, drug!B:B, drug!A:A, "Not Found")</f>
      </c>
      <c r="H156" s="1" t="s">
        <v>1414</v>
      </c>
      <c r="I156" s="7">
        <v>1</v>
      </c>
      <c r="J156" s="5">
        <f>XLOOKUP(L156, uom!C:C, uom!B:B, "Not Found")</f>
      </c>
      <c r="K156" s="1" t="s">
        <v>5511</v>
      </c>
      <c r="L156" s="5">
        <f>XLOOKUP(N156, uom!C:C, uom!B:B, "Not Found")</f>
      </c>
      <c r="M156" s="1" t="s">
        <v>5511</v>
      </c>
      <c r="N156" s="8" t="s">
        <v>5512</v>
      </c>
      <c r="O156" s="1" t="s">
        <v>5513</v>
      </c>
      <c r="P156" s="5">
        <f>XLOOKUP(R156, classification!C:C, classification!B:B, "Not Found")</f>
      </c>
      <c r="Q156" s="1" t="s">
        <v>5514</v>
      </c>
      <c r="R156" s="2"/>
      <c r="S156" s="2"/>
      <c r="T156" s="2"/>
      <c r="U156" s="2"/>
    </row>
    <row x14ac:dyDescent="0.25" r="157" customHeight="1" ht="17.25">
      <c r="A157" s="7">
        <v>156</v>
      </c>
      <c r="B157" s="1" t="s">
        <v>5673</v>
      </c>
      <c r="C157" s="5">
        <f>CONCATENATE("PD", TEXT(A157, "1000000"))</f>
      </c>
      <c r="D157" s="7">
        <v>74</v>
      </c>
      <c r="E157" s="5">
        <f>XLOOKUP(G157, item_category!C:C, item_category!B:B, "Not Found")</f>
      </c>
      <c r="F157" s="1" t="s">
        <v>5520</v>
      </c>
      <c r="G157" s="5">
        <f>XLOOKUP(I157, drug!B:B, drug!A:A, "Not Found")</f>
      </c>
      <c r="H157" s="1" t="s">
        <v>1416</v>
      </c>
      <c r="I157" s="7">
        <v>1</v>
      </c>
      <c r="J157" s="5">
        <f>XLOOKUP(L157, uom!C:C, uom!B:B, "Not Found")</f>
      </c>
      <c r="K157" s="1" t="s">
        <v>5511</v>
      </c>
      <c r="L157" s="5">
        <f>XLOOKUP(N157, uom!C:C, uom!B:B, "Not Found")</f>
      </c>
      <c r="M157" s="1" t="s">
        <v>5511</v>
      </c>
      <c r="N157" s="8" t="s">
        <v>5512</v>
      </c>
      <c r="O157" s="1" t="s">
        <v>5513</v>
      </c>
      <c r="P157" s="5">
        <f>XLOOKUP(R157, classification!C:C, classification!B:B, "Not Found")</f>
      </c>
      <c r="Q157" s="1" t="s">
        <v>5514</v>
      </c>
      <c r="R157" s="2"/>
      <c r="S157" s="2"/>
      <c r="T157" s="2"/>
      <c r="U157" s="2"/>
    </row>
    <row x14ac:dyDescent="0.25" r="158" customHeight="1" ht="17.25">
      <c r="A158" s="7">
        <v>157</v>
      </c>
      <c r="B158" s="1" t="s">
        <v>5674</v>
      </c>
      <c r="C158" s="5">
        <f>CONCATENATE("PD", TEXT(A158, "1000000"))</f>
      </c>
      <c r="D158" s="7">
        <v>74</v>
      </c>
      <c r="E158" s="5">
        <f>XLOOKUP(G158, item_category!C:C, item_category!B:B, "Not Found")</f>
      </c>
      <c r="F158" s="1" t="s">
        <v>5520</v>
      </c>
      <c r="G158" s="5">
        <f>XLOOKUP(I158, drug!B:B, drug!A:A, "Not Found")</f>
      </c>
      <c r="H158" s="1" t="s">
        <v>1418</v>
      </c>
      <c r="I158" s="7">
        <v>1</v>
      </c>
      <c r="J158" s="5">
        <f>XLOOKUP(L158, uom!C:C, uom!B:B, "Not Found")</f>
      </c>
      <c r="K158" s="1" t="s">
        <v>5511</v>
      </c>
      <c r="L158" s="5">
        <f>XLOOKUP(N158, uom!C:C, uom!B:B, "Not Found")</f>
      </c>
      <c r="M158" s="1" t="s">
        <v>5511</v>
      </c>
      <c r="N158" s="8" t="s">
        <v>5512</v>
      </c>
      <c r="O158" s="1" t="s">
        <v>5513</v>
      </c>
      <c r="P158" s="5">
        <f>XLOOKUP(R158, classification!C:C, classification!B:B, "Not Found")</f>
      </c>
      <c r="Q158" s="1" t="s">
        <v>5514</v>
      </c>
      <c r="R158" s="2"/>
      <c r="S158" s="2"/>
      <c r="T158" s="2"/>
      <c r="U158" s="2"/>
    </row>
    <row x14ac:dyDescent="0.25" r="159" customHeight="1" ht="17.25">
      <c r="A159" s="7">
        <v>158</v>
      </c>
      <c r="B159" s="1" t="s">
        <v>5675</v>
      </c>
      <c r="C159" s="5">
        <f>CONCATENATE("PD", TEXT(A159, "1000000"))</f>
      </c>
      <c r="D159" s="7">
        <v>74</v>
      </c>
      <c r="E159" s="5">
        <f>XLOOKUP(G159, item_category!C:C, item_category!B:B, "Not Found")</f>
      </c>
      <c r="F159" s="1" t="s">
        <v>5520</v>
      </c>
      <c r="G159" s="5">
        <f>XLOOKUP(I159, drug!B:B, drug!A:A, "Not Found")</f>
      </c>
      <c r="H159" s="1" t="s">
        <v>1420</v>
      </c>
      <c r="I159" s="7">
        <v>1</v>
      </c>
      <c r="J159" s="5">
        <f>XLOOKUP(L159, uom!C:C, uom!B:B, "Not Found")</f>
      </c>
      <c r="K159" s="1" t="s">
        <v>5511</v>
      </c>
      <c r="L159" s="5">
        <f>XLOOKUP(N159, uom!C:C, uom!B:B, "Not Found")</f>
      </c>
      <c r="M159" s="1" t="s">
        <v>5511</v>
      </c>
      <c r="N159" s="8" t="s">
        <v>5512</v>
      </c>
      <c r="O159" s="1" t="s">
        <v>5513</v>
      </c>
      <c r="P159" s="5">
        <f>XLOOKUP(R159, classification!C:C, classification!B:B, "Not Found")</f>
      </c>
      <c r="Q159" s="1" t="s">
        <v>5514</v>
      </c>
      <c r="R159" s="2"/>
      <c r="S159" s="2"/>
      <c r="T159" s="2"/>
      <c r="U159" s="2"/>
    </row>
    <row x14ac:dyDescent="0.25" r="160" customHeight="1" ht="17.25">
      <c r="A160" s="7">
        <v>159</v>
      </c>
      <c r="B160" s="1" t="s">
        <v>5676</v>
      </c>
      <c r="C160" s="5">
        <f>CONCATENATE("PD", TEXT(A160, "1000000"))</f>
      </c>
      <c r="D160" s="7">
        <v>74</v>
      </c>
      <c r="E160" s="5">
        <f>XLOOKUP(G160, item_category!C:C, item_category!B:B, "Not Found")</f>
      </c>
      <c r="F160" s="1" t="s">
        <v>5520</v>
      </c>
      <c r="G160" s="5">
        <f>XLOOKUP(I160, drug!B:B, drug!A:A, "Not Found")</f>
      </c>
      <c r="H160" s="1" t="s">
        <v>1422</v>
      </c>
      <c r="I160" s="7">
        <v>1</v>
      </c>
      <c r="J160" s="5">
        <f>XLOOKUP(L160, uom!C:C, uom!B:B, "Not Found")</f>
      </c>
      <c r="K160" s="1" t="s">
        <v>5511</v>
      </c>
      <c r="L160" s="5">
        <f>XLOOKUP(N160, uom!C:C, uom!B:B, "Not Found")</f>
      </c>
      <c r="M160" s="1" t="s">
        <v>5511</v>
      </c>
      <c r="N160" s="8" t="s">
        <v>5512</v>
      </c>
      <c r="O160" s="1" t="s">
        <v>5513</v>
      </c>
      <c r="P160" s="5">
        <f>XLOOKUP(R160, classification!C:C, classification!B:B, "Not Found")</f>
      </c>
      <c r="Q160" s="1" t="s">
        <v>5514</v>
      </c>
      <c r="R160" s="2"/>
      <c r="S160" s="2"/>
      <c r="T160" s="2"/>
      <c r="U160" s="2"/>
    </row>
    <row x14ac:dyDescent="0.25" r="161" customHeight="1" ht="17.25">
      <c r="A161" s="7">
        <v>160</v>
      </c>
      <c r="B161" s="1" t="s">
        <v>5677</v>
      </c>
      <c r="C161" s="5">
        <f>CONCATENATE("PD", TEXT(A161, "1000000"))</f>
      </c>
      <c r="D161" s="7">
        <v>74</v>
      </c>
      <c r="E161" s="5">
        <f>XLOOKUP(G161, item_category!C:C, item_category!B:B, "Not Found")</f>
      </c>
      <c r="F161" s="1" t="s">
        <v>5520</v>
      </c>
      <c r="G161" s="5">
        <f>XLOOKUP(I161, drug!B:B, drug!A:A, "Not Found")</f>
      </c>
      <c r="H161" s="1" t="s">
        <v>1424</v>
      </c>
      <c r="I161" s="7">
        <v>1</v>
      </c>
      <c r="J161" s="5">
        <f>XLOOKUP(L161, uom!C:C, uom!B:B, "Not Found")</f>
      </c>
      <c r="K161" s="1" t="s">
        <v>5511</v>
      </c>
      <c r="L161" s="5">
        <f>XLOOKUP(N161, uom!C:C, uom!B:B, "Not Found")</f>
      </c>
      <c r="M161" s="1" t="s">
        <v>5511</v>
      </c>
      <c r="N161" s="8" t="s">
        <v>5512</v>
      </c>
      <c r="O161" s="1" t="s">
        <v>5513</v>
      </c>
      <c r="P161" s="5">
        <f>XLOOKUP(R161, classification!C:C, classification!B:B, "Not Found")</f>
      </c>
      <c r="Q161" s="1" t="s">
        <v>5514</v>
      </c>
      <c r="R161" s="2"/>
      <c r="S161" s="2"/>
      <c r="T161" s="2"/>
      <c r="U161" s="2"/>
    </row>
    <row x14ac:dyDescent="0.25" r="162" customHeight="1" ht="17.25">
      <c r="A162" s="7">
        <v>161</v>
      </c>
      <c r="B162" s="1" t="s">
        <v>5678</v>
      </c>
      <c r="C162" s="5">
        <f>CONCATENATE("PD", TEXT(A162, "1000000"))</f>
      </c>
      <c r="D162" s="7">
        <v>74</v>
      </c>
      <c r="E162" s="5">
        <f>XLOOKUP(G162, item_category!C:C, item_category!B:B, "Not Found")</f>
      </c>
      <c r="F162" s="1" t="s">
        <v>5520</v>
      </c>
      <c r="G162" s="5">
        <f>XLOOKUP(I162, drug!B:B, drug!A:A, "Not Found")</f>
      </c>
      <c r="H162" s="1" t="s">
        <v>1426</v>
      </c>
      <c r="I162" s="7">
        <v>1</v>
      </c>
      <c r="J162" s="5">
        <f>XLOOKUP(L162, uom!C:C, uom!B:B, "Not Found")</f>
      </c>
      <c r="K162" s="1" t="s">
        <v>5511</v>
      </c>
      <c r="L162" s="5">
        <f>XLOOKUP(N162, uom!C:C, uom!B:B, "Not Found")</f>
      </c>
      <c r="M162" s="1" t="s">
        <v>5511</v>
      </c>
      <c r="N162" s="8" t="s">
        <v>5512</v>
      </c>
      <c r="O162" s="1" t="s">
        <v>5513</v>
      </c>
      <c r="P162" s="5">
        <f>XLOOKUP(R162, classification!C:C, classification!B:B, "Not Found")</f>
      </c>
      <c r="Q162" s="1" t="s">
        <v>5514</v>
      </c>
      <c r="R162" s="2"/>
      <c r="S162" s="2"/>
      <c r="T162" s="2"/>
      <c r="U162" s="2"/>
    </row>
    <row x14ac:dyDescent="0.25" r="163" customHeight="1" ht="17.25">
      <c r="A163" s="7">
        <v>162</v>
      </c>
      <c r="B163" s="1" t="s">
        <v>5679</v>
      </c>
      <c r="C163" s="5">
        <f>CONCATENATE("PD", TEXT(A163, "1000000"))</f>
      </c>
      <c r="D163" s="7">
        <v>74</v>
      </c>
      <c r="E163" s="5">
        <f>XLOOKUP(G163, item_category!C:C, item_category!B:B, "Not Found")</f>
      </c>
      <c r="F163" s="1" t="s">
        <v>5520</v>
      </c>
      <c r="G163" s="5">
        <f>XLOOKUP(I163, drug!B:B, drug!A:A, "Not Found")</f>
      </c>
      <c r="H163" s="1" t="s">
        <v>1428</v>
      </c>
      <c r="I163" s="7">
        <v>1</v>
      </c>
      <c r="J163" s="5">
        <f>XLOOKUP(L163, uom!C:C, uom!B:B, "Not Found")</f>
      </c>
      <c r="K163" s="1" t="s">
        <v>5511</v>
      </c>
      <c r="L163" s="5">
        <f>XLOOKUP(N163, uom!C:C, uom!B:B, "Not Found")</f>
      </c>
      <c r="M163" s="1" t="s">
        <v>5511</v>
      </c>
      <c r="N163" s="8" t="s">
        <v>5512</v>
      </c>
      <c r="O163" s="1" t="s">
        <v>5513</v>
      </c>
      <c r="P163" s="5">
        <f>XLOOKUP(R163, classification!C:C, classification!B:B, "Not Found")</f>
      </c>
      <c r="Q163" s="1" t="s">
        <v>5514</v>
      </c>
      <c r="R163" s="2"/>
      <c r="S163" s="2"/>
      <c r="T163" s="2"/>
      <c r="U163" s="2"/>
    </row>
    <row x14ac:dyDescent="0.25" r="164" customHeight="1" ht="17.25">
      <c r="A164" s="7">
        <v>163</v>
      </c>
      <c r="B164" s="1" t="s">
        <v>5680</v>
      </c>
      <c r="C164" s="5">
        <f>CONCATENATE("PD", TEXT(A164, "1000000"))</f>
      </c>
      <c r="D164" s="7">
        <v>74</v>
      </c>
      <c r="E164" s="5">
        <f>XLOOKUP(G164, item_category!C:C, item_category!B:B, "Not Found")</f>
      </c>
      <c r="F164" s="1" t="s">
        <v>5520</v>
      </c>
      <c r="G164" s="5">
        <f>XLOOKUP(I164, drug!B:B, drug!A:A, "Not Found")</f>
      </c>
      <c r="H164" s="1" t="s">
        <v>1430</v>
      </c>
      <c r="I164" s="7">
        <v>1</v>
      </c>
      <c r="J164" s="5">
        <f>XLOOKUP(L164, uom!C:C, uom!B:B, "Not Found")</f>
      </c>
      <c r="K164" s="1" t="s">
        <v>5511</v>
      </c>
      <c r="L164" s="5">
        <f>XLOOKUP(N164, uom!C:C, uom!B:B, "Not Found")</f>
      </c>
      <c r="M164" s="1" t="s">
        <v>5511</v>
      </c>
      <c r="N164" s="8" t="s">
        <v>5512</v>
      </c>
      <c r="O164" s="1" t="s">
        <v>5513</v>
      </c>
      <c r="P164" s="5">
        <f>XLOOKUP(R164, classification!C:C, classification!B:B, "Not Found")</f>
      </c>
      <c r="Q164" s="1" t="s">
        <v>5514</v>
      </c>
      <c r="R164" s="2"/>
      <c r="S164" s="2"/>
      <c r="T164" s="2"/>
      <c r="U164" s="2"/>
    </row>
    <row x14ac:dyDescent="0.25" r="165" customHeight="1" ht="17.25">
      <c r="A165" s="7">
        <v>164</v>
      </c>
      <c r="B165" s="1" t="s">
        <v>5681</v>
      </c>
      <c r="C165" s="5">
        <f>CONCATENATE("PD", TEXT(A165, "1000000"))</f>
      </c>
      <c r="D165" s="7">
        <v>74</v>
      </c>
      <c r="E165" s="5">
        <f>XLOOKUP(G165, item_category!C:C, item_category!B:B, "Not Found")</f>
      </c>
      <c r="F165" s="1" t="s">
        <v>5520</v>
      </c>
      <c r="G165" s="5">
        <f>XLOOKUP(I165, drug!B:B, drug!A:A, "Not Found")</f>
      </c>
      <c r="H165" s="1" t="s">
        <v>1432</v>
      </c>
      <c r="I165" s="7">
        <v>1</v>
      </c>
      <c r="J165" s="5">
        <f>XLOOKUP(L165, uom!C:C, uom!B:B, "Not Found")</f>
      </c>
      <c r="K165" s="1" t="s">
        <v>5511</v>
      </c>
      <c r="L165" s="5">
        <f>XLOOKUP(N165, uom!C:C, uom!B:B, "Not Found")</f>
      </c>
      <c r="M165" s="1" t="s">
        <v>5511</v>
      </c>
      <c r="N165" s="8" t="s">
        <v>5512</v>
      </c>
      <c r="O165" s="1" t="s">
        <v>5513</v>
      </c>
      <c r="P165" s="5">
        <f>XLOOKUP(R165, classification!C:C, classification!B:B, "Not Found")</f>
      </c>
      <c r="Q165" s="1" t="s">
        <v>5514</v>
      </c>
      <c r="R165" s="2"/>
      <c r="S165" s="2"/>
      <c r="T165" s="2"/>
      <c r="U165" s="2"/>
    </row>
    <row x14ac:dyDescent="0.25" r="166" customHeight="1" ht="17.25">
      <c r="A166" s="7">
        <v>165</v>
      </c>
      <c r="B166" s="1" t="s">
        <v>5682</v>
      </c>
      <c r="C166" s="5">
        <f>CONCATENATE("PD", TEXT(A166, "1000000"))</f>
      </c>
      <c r="D166" s="7">
        <v>74</v>
      </c>
      <c r="E166" s="5">
        <f>XLOOKUP(G166, item_category!C:C, item_category!B:B, "Not Found")</f>
      </c>
      <c r="F166" s="1" t="s">
        <v>5520</v>
      </c>
      <c r="G166" s="5">
        <f>XLOOKUP(I166, drug!B:B, drug!A:A, "Not Found")</f>
      </c>
      <c r="H166" s="1" t="s">
        <v>1434</v>
      </c>
      <c r="I166" s="7">
        <v>1</v>
      </c>
      <c r="J166" s="5">
        <f>XLOOKUP(L166, uom!C:C, uom!B:B, "Not Found")</f>
      </c>
      <c r="K166" s="1" t="s">
        <v>5511</v>
      </c>
      <c r="L166" s="5">
        <f>XLOOKUP(N166, uom!C:C, uom!B:B, "Not Found")</f>
      </c>
      <c r="M166" s="1" t="s">
        <v>5511</v>
      </c>
      <c r="N166" s="8" t="s">
        <v>5512</v>
      </c>
      <c r="O166" s="1" t="s">
        <v>5513</v>
      </c>
      <c r="P166" s="5">
        <f>XLOOKUP(R166, classification!C:C, classification!B:B, "Not Found")</f>
      </c>
      <c r="Q166" s="1" t="s">
        <v>5514</v>
      </c>
      <c r="R166" s="2"/>
      <c r="S166" s="2"/>
      <c r="T166" s="2"/>
      <c r="U166" s="2"/>
    </row>
    <row x14ac:dyDescent="0.25" r="167" customHeight="1" ht="17.25">
      <c r="A167" s="7">
        <v>166</v>
      </c>
      <c r="B167" s="1" t="s">
        <v>1436</v>
      </c>
      <c r="C167" s="5">
        <f>CONCATENATE("PD", TEXT(A167, "1000000"))</f>
      </c>
      <c r="D167" s="7">
        <v>75</v>
      </c>
      <c r="E167" s="5">
        <f>XLOOKUP(G167, item_category!C:C, item_category!B:B, "Not Found")</f>
      </c>
      <c r="F167" s="1" t="s">
        <v>5541</v>
      </c>
      <c r="G167" s="5">
        <f>XLOOKUP(I167, drug!B:B, drug!A:A, "Not Found")</f>
      </c>
      <c r="H167" s="1" t="s">
        <v>1436</v>
      </c>
      <c r="I167" s="7">
        <v>1</v>
      </c>
      <c r="J167" s="5">
        <f>XLOOKUP(L167, uom!C:C, uom!B:B, "Not Found")</f>
      </c>
      <c r="K167" s="1" t="s">
        <v>5511</v>
      </c>
      <c r="L167" s="5">
        <f>XLOOKUP(N167, uom!C:C, uom!B:B, "Not Found")</f>
      </c>
      <c r="M167" s="1" t="s">
        <v>5511</v>
      </c>
      <c r="N167" s="8" t="s">
        <v>5512</v>
      </c>
      <c r="O167" s="1" t="s">
        <v>5513</v>
      </c>
      <c r="P167" s="5">
        <f>XLOOKUP(R167, classification!C:C, classification!B:B, "Not Found")</f>
      </c>
      <c r="Q167" s="1" t="s">
        <v>5514</v>
      </c>
      <c r="R167" s="2"/>
      <c r="S167" s="2"/>
      <c r="T167" s="2"/>
      <c r="U167" s="2"/>
    </row>
    <row x14ac:dyDescent="0.25" r="168" customHeight="1" ht="17.25">
      <c r="A168" s="7">
        <v>167</v>
      </c>
      <c r="B168" s="1" t="s">
        <v>5683</v>
      </c>
      <c r="C168" s="5">
        <f>CONCATENATE("PD", TEXT(A168, "1000000"))</f>
      </c>
      <c r="D168" s="7">
        <v>74</v>
      </c>
      <c r="E168" s="5">
        <f>XLOOKUP(G168, item_category!C:C, item_category!B:B, "Not Found")</f>
      </c>
      <c r="F168" s="1" t="s">
        <v>5520</v>
      </c>
      <c r="G168" s="5">
        <f>XLOOKUP(I168, drug!B:B, drug!A:A, "Not Found")</f>
      </c>
      <c r="H168" s="1" t="s">
        <v>1434</v>
      </c>
      <c r="I168" s="7">
        <v>1</v>
      </c>
      <c r="J168" s="5">
        <f>XLOOKUP(L168, uom!C:C, uom!B:B, "Not Found")</f>
      </c>
      <c r="K168" s="1" t="s">
        <v>5511</v>
      </c>
      <c r="L168" s="5">
        <f>XLOOKUP(N168, uom!C:C, uom!B:B, "Not Found")</f>
      </c>
      <c r="M168" s="1" t="s">
        <v>5511</v>
      </c>
      <c r="N168" s="8" t="s">
        <v>5512</v>
      </c>
      <c r="O168" s="1" t="s">
        <v>5513</v>
      </c>
      <c r="P168" s="5">
        <f>XLOOKUP(R168, classification!C:C, classification!B:B, "Not Found")</f>
      </c>
      <c r="Q168" s="1" t="s">
        <v>5514</v>
      </c>
      <c r="R168" s="2"/>
      <c r="S168" s="2"/>
      <c r="T168" s="2"/>
      <c r="U168" s="2"/>
    </row>
    <row x14ac:dyDescent="0.25" r="169" customHeight="1" ht="17.25">
      <c r="A169" s="7">
        <v>168</v>
      </c>
      <c r="B169" s="1" t="s">
        <v>5684</v>
      </c>
      <c r="C169" s="5">
        <f>CONCATENATE("PD", TEXT(A169, "1000000"))</f>
      </c>
      <c r="D169" s="7">
        <v>74</v>
      </c>
      <c r="E169" s="5">
        <f>XLOOKUP(G169, item_category!C:C, item_category!B:B, "Not Found")</f>
      </c>
      <c r="F169" s="1" t="s">
        <v>5520</v>
      </c>
      <c r="G169" s="5">
        <f>XLOOKUP(I169, drug!B:B, drug!A:A, "Not Found")</f>
      </c>
      <c r="H169" s="1" t="s">
        <v>1438</v>
      </c>
      <c r="I169" s="7">
        <v>1</v>
      </c>
      <c r="J169" s="5">
        <f>XLOOKUP(L169, uom!C:C, uom!B:B, "Not Found")</f>
      </c>
      <c r="K169" s="1" t="s">
        <v>5511</v>
      </c>
      <c r="L169" s="5">
        <f>XLOOKUP(N169, uom!C:C, uom!B:B, "Not Found")</f>
      </c>
      <c r="M169" s="1" t="s">
        <v>5511</v>
      </c>
      <c r="N169" s="8" t="s">
        <v>5512</v>
      </c>
      <c r="O169" s="1" t="s">
        <v>5513</v>
      </c>
      <c r="P169" s="5">
        <f>XLOOKUP(R169, classification!C:C, classification!B:B, "Not Found")</f>
      </c>
      <c r="Q169" s="1" t="s">
        <v>5514</v>
      </c>
      <c r="R169" s="2"/>
      <c r="S169" s="2"/>
      <c r="T169" s="2"/>
      <c r="U169" s="2"/>
    </row>
    <row x14ac:dyDescent="0.25" r="170" customHeight="1" ht="17.25">
      <c r="A170" s="7">
        <v>169</v>
      </c>
      <c r="B170" s="1" t="s">
        <v>5685</v>
      </c>
      <c r="C170" s="5">
        <f>CONCATENATE("PD", TEXT(A170, "1000000"))</f>
      </c>
      <c r="D170" s="7">
        <v>74</v>
      </c>
      <c r="E170" s="5">
        <f>XLOOKUP(G170, item_category!C:C, item_category!B:B, "Not Found")</f>
      </c>
      <c r="F170" s="1" t="s">
        <v>5520</v>
      </c>
      <c r="G170" s="5">
        <f>XLOOKUP(I170, drug!B:B, drug!A:A, "Not Found")</f>
      </c>
      <c r="H170" s="1" t="s">
        <v>1438</v>
      </c>
      <c r="I170" s="7">
        <v>1</v>
      </c>
      <c r="J170" s="5">
        <f>XLOOKUP(L170, uom!C:C, uom!B:B, "Not Found")</f>
      </c>
      <c r="K170" s="1" t="s">
        <v>5511</v>
      </c>
      <c r="L170" s="5">
        <f>XLOOKUP(N170, uom!C:C, uom!B:B, "Not Found")</f>
      </c>
      <c r="M170" s="1" t="s">
        <v>5511</v>
      </c>
      <c r="N170" s="8" t="s">
        <v>5512</v>
      </c>
      <c r="O170" s="1" t="s">
        <v>5513</v>
      </c>
      <c r="P170" s="5">
        <f>XLOOKUP(R170, classification!C:C, classification!B:B, "Not Found")</f>
      </c>
      <c r="Q170" s="1" t="s">
        <v>5514</v>
      </c>
      <c r="R170" s="2"/>
      <c r="S170" s="2"/>
      <c r="T170" s="2"/>
      <c r="U170" s="2"/>
    </row>
    <row x14ac:dyDescent="0.25" r="171" customHeight="1" ht="17.25">
      <c r="A171" s="7">
        <v>170</v>
      </c>
      <c r="B171" s="1" t="s">
        <v>5686</v>
      </c>
      <c r="C171" s="5">
        <f>CONCATENATE("PD", TEXT(A171, "1000000"))</f>
      </c>
      <c r="D171" s="7">
        <v>74</v>
      </c>
      <c r="E171" s="5">
        <f>XLOOKUP(G171, item_category!C:C, item_category!B:B, "Not Found")</f>
      </c>
      <c r="F171" s="1" t="s">
        <v>5520</v>
      </c>
      <c r="G171" s="5">
        <f>XLOOKUP(I171, drug!B:B, drug!A:A, "Not Found")</f>
      </c>
      <c r="H171" s="1" t="s">
        <v>1438</v>
      </c>
      <c r="I171" s="7">
        <v>1</v>
      </c>
      <c r="J171" s="5">
        <f>XLOOKUP(L171, uom!C:C, uom!B:B, "Not Found")</f>
      </c>
      <c r="K171" s="1" t="s">
        <v>5511</v>
      </c>
      <c r="L171" s="5">
        <f>XLOOKUP(N171, uom!C:C, uom!B:B, "Not Found")</f>
      </c>
      <c r="M171" s="1" t="s">
        <v>5511</v>
      </c>
      <c r="N171" s="8" t="s">
        <v>5512</v>
      </c>
      <c r="O171" s="1" t="s">
        <v>5513</v>
      </c>
      <c r="P171" s="5">
        <f>XLOOKUP(R171, classification!C:C, classification!B:B, "Not Found")</f>
      </c>
      <c r="Q171" s="1" t="s">
        <v>5514</v>
      </c>
      <c r="R171" s="2"/>
      <c r="S171" s="2"/>
      <c r="T171" s="2"/>
      <c r="U171" s="2"/>
    </row>
    <row x14ac:dyDescent="0.25" r="172" customHeight="1" ht="17.25">
      <c r="A172" s="7">
        <v>171</v>
      </c>
      <c r="B172" s="1" t="s">
        <v>5687</v>
      </c>
      <c r="C172" s="5">
        <f>CONCATENATE("PD", TEXT(A172, "1000000"))</f>
      </c>
      <c r="D172" s="7">
        <v>74</v>
      </c>
      <c r="E172" s="5">
        <f>XLOOKUP(G172, item_category!C:C, item_category!B:B, "Not Found")</f>
      </c>
      <c r="F172" s="1" t="s">
        <v>5520</v>
      </c>
      <c r="G172" s="5">
        <f>XLOOKUP(I172, drug!B:B, drug!A:A, "Not Found")</f>
      </c>
      <c r="H172" s="1" t="s">
        <v>1438</v>
      </c>
      <c r="I172" s="7">
        <v>1</v>
      </c>
      <c r="J172" s="5">
        <f>XLOOKUP(L172, uom!C:C, uom!B:B, "Not Found")</f>
      </c>
      <c r="K172" s="1" t="s">
        <v>5511</v>
      </c>
      <c r="L172" s="5">
        <f>XLOOKUP(N172, uom!C:C, uom!B:B, "Not Found")</f>
      </c>
      <c r="M172" s="1" t="s">
        <v>5511</v>
      </c>
      <c r="N172" s="8" t="s">
        <v>5512</v>
      </c>
      <c r="O172" s="1" t="s">
        <v>5513</v>
      </c>
      <c r="P172" s="5">
        <f>XLOOKUP(R172, classification!C:C, classification!B:B, "Not Found")</f>
      </c>
      <c r="Q172" s="1" t="s">
        <v>5514</v>
      </c>
      <c r="R172" s="2"/>
      <c r="S172" s="2"/>
      <c r="T172" s="2"/>
      <c r="U172" s="2"/>
    </row>
    <row x14ac:dyDescent="0.25" r="173" customHeight="1" ht="17.25">
      <c r="A173" s="7">
        <v>172</v>
      </c>
      <c r="B173" s="1" t="s">
        <v>5688</v>
      </c>
      <c r="C173" s="5">
        <f>CONCATENATE("PD", TEXT(A173, "1000000"))</f>
      </c>
      <c r="D173" s="7">
        <v>74</v>
      </c>
      <c r="E173" s="5">
        <f>XLOOKUP(G173, item_category!C:C, item_category!B:B, "Not Found")</f>
      </c>
      <c r="F173" s="1" t="s">
        <v>5520</v>
      </c>
      <c r="G173" s="5">
        <f>XLOOKUP(I173, drug!B:B, drug!A:A, "Not Found")</f>
      </c>
      <c r="H173" s="1" t="s">
        <v>1440</v>
      </c>
      <c r="I173" s="7">
        <v>1</v>
      </c>
      <c r="J173" s="5">
        <f>XLOOKUP(L173, uom!C:C, uom!B:B, "Not Found")</f>
      </c>
      <c r="K173" s="1" t="s">
        <v>5511</v>
      </c>
      <c r="L173" s="5">
        <f>XLOOKUP(N173, uom!C:C, uom!B:B, "Not Found")</f>
      </c>
      <c r="M173" s="1" t="s">
        <v>5511</v>
      </c>
      <c r="N173" s="8" t="s">
        <v>5512</v>
      </c>
      <c r="O173" s="1" t="s">
        <v>5513</v>
      </c>
      <c r="P173" s="5">
        <f>XLOOKUP(R173, classification!C:C, classification!B:B, "Not Found")</f>
      </c>
      <c r="Q173" s="1" t="s">
        <v>5514</v>
      </c>
      <c r="R173" s="2"/>
      <c r="S173" s="2"/>
      <c r="T173" s="2"/>
      <c r="U173" s="2"/>
    </row>
    <row x14ac:dyDescent="0.25" r="174" customHeight="1" ht="17.25">
      <c r="A174" s="7">
        <v>173</v>
      </c>
      <c r="B174" s="1" t="s">
        <v>5689</v>
      </c>
      <c r="C174" s="5">
        <f>CONCATENATE("PD", TEXT(A174, "1000000"))</f>
      </c>
      <c r="D174" s="7">
        <v>74</v>
      </c>
      <c r="E174" s="5">
        <f>XLOOKUP(G174, item_category!C:C, item_category!B:B, "Not Found")</f>
      </c>
      <c r="F174" s="1" t="s">
        <v>5520</v>
      </c>
      <c r="G174" s="5">
        <f>XLOOKUP(I174, drug!B:B, drug!A:A, "Not Found")</f>
      </c>
      <c r="H174" s="1" t="s">
        <v>1442</v>
      </c>
      <c r="I174" s="7">
        <v>1</v>
      </c>
      <c r="J174" s="5">
        <f>XLOOKUP(L174, uom!C:C, uom!B:B, "Not Found")</f>
      </c>
      <c r="K174" s="1" t="s">
        <v>5511</v>
      </c>
      <c r="L174" s="5">
        <f>XLOOKUP(N174, uom!C:C, uom!B:B, "Not Found")</f>
      </c>
      <c r="M174" s="1" t="s">
        <v>5511</v>
      </c>
      <c r="N174" s="8" t="s">
        <v>5512</v>
      </c>
      <c r="O174" s="1" t="s">
        <v>5513</v>
      </c>
      <c r="P174" s="5">
        <f>XLOOKUP(R174, classification!C:C, classification!B:B, "Not Found")</f>
      </c>
      <c r="Q174" s="1" t="s">
        <v>5514</v>
      </c>
      <c r="R174" s="2"/>
      <c r="S174" s="2"/>
      <c r="T174" s="2"/>
      <c r="U174" s="2"/>
    </row>
    <row x14ac:dyDescent="0.25" r="175" customHeight="1" ht="17.25">
      <c r="A175" s="7">
        <v>174</v>
      </c>
      <c r="B175" s="1" t="s">
        <v>5690</v>
      </c>
      <c r="C175" s="5">
        <f>CONCATENATE("PD", TEXT(A175, "1000000"))</f>
      </c>
      <c r="D175" s="7">
        <v>74</v>
      </c>
      <c r="E175" s="5">
        <f>XLOOKUP(G175, item_category!C:C, item_category!B:B, "Not Found")</f>
      </c>
      <c r="F175" s="1" t="s">
        <v>5520</v>
      </c>
      <c r="G175" s="5">
        <f>XLOOKUP(I175, drug!B:B, drug!A:A, "Not Found")</f>
      </c>
      <c r="H175" s="1" t="s">
        <v>1444</v>
      </c>
      <c r="I175" s="7">
        <v>1</v>
      </c>
      <c r="J175" s="5">
        <f>XLOOKUP(L175, uom!C:C, uom!B:B, "Not Found")</f>
      </c>
      <c r="K175" s="1" t="s">
        <v>5511</v>
      </c>
      <c r="L175" s="5">
        <f>XLOOKUP(N175, uom!C:C, uom!B:B, "Not Found")</f>
      </c>
      <c r="M175" s="1" t="s">
        <v>5511</v>
      </c>
      <c r="N175" s="8" t="s">
        <v>5512</v>
      </c>
      <c r="O175" s="1" t="s">
        <v>5513</v>
      </c>
      <c r="P175" s="5">
        <f>XLOOKUP(R175, classification!C:C, classification!B:B, "Not Found")</f>
      </c>
      <c r="Q175" s="1" t="s">
        <v>5514</v>
      </c>
      <c r="R175" s="2"/>
      <c r="S175" s="2"/>
      <c r="T175" s="2"/>
      <c r="U175" s="2"/>
    </row>
    <row x14ac:dyDescent="0.25" r="176" customHeight="1" ht="17.25">
      <c r="A176" s="7">
        <v>175</v>
      </c>
      <c r="B176" s="1" t="s">
        <v>5691</v>
      </c>
      <c r="C176" s="5">
        <f>CONCATENATE("PD", TEXT(A176, "1000000"))</f>
      </c>
      <c r="D176" s="7">
        <v>74</v>
      </c>
      <c r="E176" s="5">
        <f>XLOOKUP(G176, item_category!C:C, item_category!B:B, "Not Found")</f>
      </c>
      <c r="F176" s="1" t="s">
        <v>5520</v>
      </c>
      <c r="G176" s="5">
        <f>XLOOKUP(I176, drug!B:B, drug!A:A, "Not Found")</f>
      </c>
      <c r="H176" s="1" t="s">
        <v>1446</v>
      </c>
      <c r="I176" s="7">
        <v>1</v>
      </c>
      <c r="J176" s="5">
        <f>XLOOKUP(L176, uom!C:C, uom!B:B, "Not Found")</f>
      </c>
      <c r="K176" s="1" t="s">
        <v>5511</v>
      </c>
      <c r="L176" s="5">
        <f>XLOOKUP(N176, uom!C:C, uom!B:B, "Not Found")</f>
      </c>
      <c r="M176" s="1" t="s">
        <v>5511</v>
      </c>
      <c r="N176" s="8" t="s">
        <v>5512</v>
      </c>
      <c r="O176" s="1" t="s">
        <v>5513</v>
      </c>
      <c r="P176" s="5">
        <f>XLOOKUP(R176, classification!C:C, classification!B:B, "Not Found")</f>
      </c>
      <c r="Q176" s="1" t="s">
        <v>5514</v>
      </c>
      <c r="R176" s="2"/>
      <c r="S176" s="2"/>
      <c r="T176" s="2"/>
      <c r="U176" s="2"/>
    </row>
    <row x14ac:dyDescent="0.25" r="177" customHeight="1" ht="17.25">
      <c r="A177" s="7">
        <v>176</v>
      </c>
      <c r="B177" s="1" t="s">
        <v>5692</v>
      </c>
      <c r="C177" s="5">
        <f>CONCATENATE("PD", TEXT(A177, "1000000"))</f>
      </c>
      <c r="D177" s="7">
        <v>74</v>
      </c>
      <c r="E177" s="5">
        <f>XLOOKUP(G177, item_category!C:C, item_category!B:B, "Not Found")</f>
      </c>
      <c r="F177" s="1" t="s">
        <v>5520</v>
      </c>
      <c r="G177" s="5">
        <f>XLOOKUP(I177, drug!B:B, drug!A:A, "Not Found")</f>
      </c>
      <c r="H177" s="1" t="s">
        <v>1448</v>
      </c>
      <c r="I177" s="7">
        <v>1</v>
      </c>
      <c r="J177" s="5">
        <f>XLOOKUP(L177, uom!C:C, uom!B:B, "Not Found")</f>
      </c>
      <c r="K177" s="1" t="s">
        <v>5511</v>
      </c>
      <c r="L177" s="5">
        <f>XLOOKUP(N177, uom!C:C, uom!B:B, "Not Found")</f>
      </c>
      <c r="M177" s="1" t="s">
        <v>5511</v>
      </c>
      <c r="N177" s="8" t="s">
        <v>5512</v>
      </c>
      <c r="O177" s="1" t="s">
        <v>5513</v>
      </c>
      <c r="P177" s="5">
        <f>XLOOKUP(R177, classification!C:C, classification!B:B, "Not Found")</f>
      </c>
      <c r="Q177" s="1" t="s">
        <v>5514</v>
      </c>
      <c r="R177" s="2"/>
      <c r="S177" s="2"/>
      <c r="T177" s="2"/>
      <c r="U177" s="2"/>
    </row>
    <row x14ac:dyDescent="0.25" r="178" customHeight="1" ht="17.25">
      <c r="A178" s="7">
        <v>177</v>
      </c>
      <c r="B178" s="1" t="s">
        <v>5693</v>
      </c>
      <c r="C178" s="5">
        <f>CONCATENATE("PD", TEXT(A178, "1000000"))</f>
      </c>
      <c r="D178" s="7">
        <v>74</v>
      </c>
      <c r="E178" s="5">
        <f>XLOOKUP(G178, item_category!C:C, item_category!B:B, "Not Found")</f>
      </c>
      <c r="F178" s="1" t="s">
        <v>5520</v>
      </c>
      <c r="G178" s="5">
        <f>XLOOKUP(I178, drug!B:B, drug!A:A, "Not Found")</f>
      </c>
      <c r="H178" s="1" t="s">
        <v>1450</v>
      </c>
      <c r="I178" s="7">
        <v>1</v>
      </c>
      <c r="J178" s="5">
        <f>XLOOKUP(L178, uom!C:C, uom!B:B, "Not Found")</f>
      </c>
      <c r="K178" s="1" t="s">
        <v>5511</v>
      </c>
      <c r="L178" s="5">
        <f>XLOOKUP(N178, uom!C:C, uom!B:B, "Not Found")</f>
      </c>
      <c r="M178" s="1" t="s">
        <v>5511</v>
      </c>
      <c r="N178" s="8" t="s">
        <v>5512</v>
      </c>
      <c r="O178" s="1" t="s">
        <v>5513</v>
      </c>
      <c r="P178" s="5">
        <f>XLOOKUP(R178, classification!C:C, classification!B:B, "Not Found")</f>
      </c>
      <c r="Q178" s="1" t="s">
        <v>5514</v>
      </c>
      <c r="R178" s="2"/>
      <c r="S178" s="2"/>
      <c r="T178" s="2"/>
      <c r="U178" s="2"/>
    </row>
    <row x14ac:dyDescent="0.25" r="179" customHeight="1" ht="17.25">
      <c r="A179" s="7">
        <v>178</v>
      </c>
      <c r="B179" s="1" t="s">
        <v>5694</v>
      </c>
      <c r="C179" s="5">
        <f>CONCATENATE("PD", TEXT(A179, "1000000"))</f>
      </c>
      <c r="D179" s="7">
        <v>74</v>
      </c>
      <c r="E179" s="5">
        <f>XLOOKUP(G179, item_category!C:C, item_category!B:B, "Not Found")</f>
      </c>
      <c r="F179" s="1" t="s">
        <v>5520</v>
      </c>
      <c r="G179" s="5">
        <f>XLOOKUP(I179, drug!B:B, drug!A:A, "Not Found")</f>
      </c>
      <c r="H179" s="1" t="s">
        <v>1452</v>
      </c>
      <c r="I179" s="7">
        <v>1</v>
      </c>
      <c r="J179" s="5">
        <f>XLOOKUP(L179, uom!C:C, uom!B:B, "Not Found")</f>
      </c>
      <c r="K179" s="1" t="s">
        <v>5511</v>
      </c>
      <c r="L179" s="5">
        <f>XLOOKUP(N179, uom!C:C, uom!B:B, "Not Found")</f>
      </c>
      <c r="M179" s="1" t="s">
        <v>5511</v>
      </c>
      <c r="N179" s="8" t="s">
        <v>5512</v>
      </c>
      <c r="O179" s="1" t="s">
        <v>5513</v>
      </c>
      <c r="P179" s="5">
        <f>XLOOKUP(R179, classification!C:C, classification!B:B, "Not Found")</f>
      </c>
      <c r="Q179" s="1" t="s">
        <v>5514</v>
      </c>
      <c r="R179" s="2"/>
      <c r="S179" s="2"/>
      <c r="T179" s="2"/>
      <c r="U179" s="2"/>
    </row>
    <row x14ac:dyDescent="0.25" r="180" customHeight="1" ht="17.25">
      <c r="A180" s="7">
        <v>179</v>
      </c>
      <c r="B180" s="1" t="s">
        <v>5695</v>
      </c>
      <c r="C180" s="5">
        <f>CONCATENATE("PD", TEXT(A180, "1000000"))</f>
      </c>
      <c r="D180" s="7">
        <v>74</v>
      </c>
      <c r="E180" s="5">
        <f>XLOOKUP(G180, item_category!C:C, item_category!B:B, "Not Found")</f>
      </c>
      <c r="F180" s="1" t="s">
        <v>5520</v>
      </c>
      <c r="G180" s="5">
        <f>XLOOKUP(I180, drug!B:B, drug!A:A, "Not Found")</f>
      </c>
      <c r="H180" s="1" t="s">
        <v>1452</v>
      </c>
      <c r="I180" s="7">
        <v>1</v>
      </c>
      <c r="J180" s="5">
        <f>XLOOKUP(L180, uom!C:C, uom!B:B, "Not Found")</f>
      </c>
      <c r="K180" s="1" t="s">
        <v>5511</v>
      </c>
      <c r="L180" s="5">
        <f>XLOOKUP(N180, uom!C:C, uom!B:B, "Not Found")</f>
      </c>
      <c r="M180" s="1" t="s">
        <v>5511</v>
      </c>
      <c r="N180" s="8" t="s">
        <v>5512</v>
      </c>
      <c r="O180" s="1" t="s">
        <v>5513</v>
      </c>
      <c r="P180" s="5">
        <f>XLOOKUP(R180, classification!C:C, classification!B:B, "Not Found")</f>
      </c>
      <c r="Q180" s="1" t="s">
        <v>5514</v>
      </c>
      <c r="R180" s="2"/>
      <c r="S180" s="2"/>
      <c r="T180" s="2"/>
      <c r="U180" s="2"/>
    </row>
    <row x14ac:dyDescent="0.25" r="181" customHeight="1" ht="17.25">
      <c r="A181" s="7">
        <v>180</v>
      </c>
      <c r="B181" s="1" t="s">
        <v>5696</v>
      </c>
      <c r="C181" s="5">
        <f>CONCATENATE("PD", TEXT(A181, "1000000"))</f>
      </c>
      <c r="D181" s="7">
        <v>74</v>
      </c>
      <c r="E181" s="5">
        <f>XLOOKUP(G181, item_category!C:C, item_category!B:B, "Not Found")</f>
      </c>
      <c r="F181" s="1" t="s">
        <v>5520</v>
      </c>
      <c r="G181" s="5">
        <f>XLOOKUP(I181, drug!B:B, drug!A:A, "Not Found")</f>
      </c>
      <c r="H181" s="1" t="s">
        <v>1454</v>
      </c>
      <c r="I181" s="7">
        <v>1</v>
      </c>
      <c r="J181" s="5">
        <f>XLOOKUP(L181, uom!C:C, uom!B:B, "Not Found")</f>
      </c>
      <c r="K181" s="1" t="s">
        <v>5511</v>
      </c>
      <c r="L181" s="5">
        <f>XLOOKUP(N181, uom!C:C, uom!B:B, "Not Found")</f>
      </c>
      <c r="M181" s="1" t="s">
        <v>5511</v>
      </c>
      <c r="N181" s="8" t="s">
        <v>5512</v>
      </c>
      <c r="O181" s="1" t="s">
        <v>5513</v>
      </c>
      <c r="P181" s="5">
        <f>XLOOKUP(R181, classification!C:C, classification!B:B, "Not Found")</f>
      </c>
      <c r="Q181" s="1" t="s">
        <v>5514</v>
      </c>
      <c r="R181" s="2"/>
      <c r="S181" s="2"/>
      <c r="T181" s="2"/>
      <c r="U181" s="2"/>
    </row>
    <row x14ac:dyDescent="0.25" r="182" customHeight="1" ht="17.25">
      <c r="A182" s="7">
        <v>181</v>
      </c>
      <c r="B182" s="1" t="s">
        <v>5697</v>
      </c>
      <c r="C182" s="5">
        <f>CONCATENATE("PD", TEXT(A182, "1000000"))</f>
      </c>
      <c r="D182" s="7">
        <v>74</v>
      </c>
      <c r="E182" s="5">
        <f>XLOOKUP(G182, item_category!C:C, item_category!B:B, "Not Found")</f>
      </c>
      <c r="F182" s="1" t="s">
        <v>5520</v>
      </c>
      <c r="G182" s="5">
        <f>XLOOKUP(I182, drug!B:B, drug!A:A, "Not Found")</f>
      </c>
      <c r="H182" s="1" t="s">
        <v>1456</v>
      </c>
      <c r="I182" s="7">
        <v>1</v>
      </c>
      <c r="J182" s="5">
        <f>XLOOKUP(L182, uom!C:C, uom!B:B, "Not Found")</f>
      </c>
      <c r="K182" s="1" t="s">
        <v>5511</v>
      </c>
      <c r="L182" s="5">
        <f>XLOOKUP(N182, uom!C:C, uom!B:B, "Not Found")</f>
      </c>
      <c r="M182" s="1" t="s">
        <v>5511</v>
      </c>
      <c r="N182" s="8" t="s">
        <v>5512</v>
      </c>
      <c r="O182" s="1" t="s">
        <v>5513</v>
      </c>
      <c r="P182" s="5">
        <f>XLOOKUP(R182, classification!C:C, classification!B:B, "Not Found")</f>
      </c>
      <c r="Q182" s="1" t="s">
        <v>5514</v>
      </c>
      <c r="R182" s="2"/>
      <c r="S182" s="2"/>
      <c r="T182" s="2"/>
      <c r="U182" s="2"/>
    </row>
    <row x14ac:dyDescent="0.25" r="183" customHeight="1" ht="17.25">
      <c r="A183" s="7">
        <v>182</v>
      </c>
      <c r="B183" s="1" t="s">
        <v>5698</v>
      </c>
      <c r="C183" s="5">
        <f>CONCATENATE("PD", TEXT(A183, "1000000"))</f>
      </c>
      <c r="D183" s="7">
        <v>74</v>
      </c>
      <c r="E183" s="5">
        <f>XLOOKUP(G183, item_category!C:C, item_category!B:B, "Not Found")</f>
      </c>
      <c r="F183" s="1" t="s">
        <v>5520</v>
      </c>
      <c r="G183" s="5">
        <f>XLOOKUP(I183, drug!B:B, drug!A:A, "Not Found")</f>
      </c>
      <c r="H183" s="1" t="s">
        <v>1458</v>
      </c>
      <c r="I183" s="7">
        <v>1</v>
      </c>
      <c r="J183" s="5">
        <f>XLOOKUP(L183, uom!C:C, uom!B:B, "Not Found")</f>
      </c>
      <c r="K183" s="1" t="s">
        <v>5511</v>
      </c>
      <c r="L183" s="5">
        <f>XLOOKUP(N183, uom!C:C, uom!B:B, "Not Found")</f>
      </c>
      <c r="M183" s="1" t="s">
        <v>5511</v>
      </c>
      <c r="N183" s="8" t="s">
        <v>5512</v>
      </c>
      <c r="O183" s="1" t="s">
        <v>5513</v>
      </c>
      <c r="P183" s="5">
        <f>XLOOKUP(R183, classification!C:C, classification!B:B, "Not Found")</f>
      </c>
      <c r="Q183" s="1" t="s">
        <v>5514</v>
      </c>
      <c r="R183" s="2"/>
      <c r="S183" s="2"/>
      <c r="T183" s="2"/>
      <c r="U183" s="2"/>
    </row>
    <row x14ac:dyDescent="0.25" r="184" customHeight="1" ht="17.25">
      <c r="A184" s="7">
        <v>183</v>
      </c>
      <c r="B184" s="1" t="s">
        <v>5699</v>
      </c>
      <c r="C184" s="5">
        <f>CONCATENATE("PD", TEXT(A184, "1000000"))</f>
      </c>
      <c r="D184" s="7">
        <v>74</v>
      </c>
      <c r="E184" s="5">
        <f>XLOOKUP(G184, item_category!C:C, item_category!B:B, "Not Found")</f>
      </c>
      <c r="F184" s="1" t="s">
        <v>5520</v>
      </c>
      <c r="G184" s="5">
        <f>XLOOKUP(I184, drug!B:B, drug!A:A, "Not Found")</f>
      </c>
      <c r="H184" s="1" t="s">
        <v>1460</v>
      </c>
      <c r="I184" s="7">
        <v>1</v>
      </c>
      <c r="J184" s="5">
        <f>XLOOKUP(L184, uom!C:C, uom!B:B, "Not Found")</f>
      </c>
      <c r="K184" s="1" t="s">
        <v>5511</v>
      </c>
      <c r="L184" s="5">
        <f>XLOOKUP(N184, uom!C:C, uom!B:B, "Not Found")</f>
      </c>
      <c r="M184" s="1" t="s">
        <v>5511</v>
      </c>
      <c r="N184" s="8" t="s">
        <v>5512</v>
      </c>
      <c r="O184" s="1" t="s">
        <v>5513</v>
      </c>
      <c r="P184" s="5">
        <f>XLOOKUP(R184, classification!C:C, classification!B:B, "Not Found")</f>
      </c>
      <c r="Q184" s="1" t="s">
        <v>5514</v>
      </c>
      <c r="R184" s="2"/>
      <c r="S184" s="2"/>
      <c r="T184" s="2"/>
      <c r="U184" s="2"/>
    </row>
    <row x14ac:dyDescent="0.25" r="185" customHeight="1" ht="17.25">
      <c r="A185" s="7">
        <v>184</v>
      </c>
      <c r="B185" s="1" t="s">
        <v>5700</v>
      </c>
      <c r="C185" s="5">
        <f>CONCATENATE("PD", TEXT(A185, "1000000"))</f>
      </c>
      <c r="D185" s="7">
        <v>74</v>
      </c>
      <c r="E185" s="5">
        <f>XLOOKUP(G185, item_category!C:C, item_category!B:B, "Not Found")</f>
      </c>
      <c r="F185" s="1" t="s">
        <v>5520</v>
      </c>
      <c r="G185" s="5">
        <f>XLOOKUP(I185, drug!B:B, drug!A:A, "Not Found")</f>
      </c>
      <c r="H185" s="1" t="s">
        <v>1462</v>
      </c>
      <c r="I185" s="7">
        <v>1</v>
      </c>
      <c r="J185" s="5">
        <f>XLOOKUP(L185, uom!C:C, uom!B:B, "Not Found")</f>
      </c>
      <c r="K185" s="1" t="s">
        <v>5511</v>
      </c>
      <c r="L185" s="5">
        <f>XLOOKUP(N185, uom!C:C, uom!B:B, "Not Found")</f>
      </c>
      <c r="M185" s="1" t="s">
        <v>5511</v>
      </c>
      <c r="N185" s="8" t="s">
        <v>5512</v>
      </c>
      <c r="O185" s="1" t="s">
        <v>5513</v>
      </c>
      <c r="P185" s="5">
        <f>XLOOKUP(R185, classification!C:C, classification!B:B, "Not Found")</f>
      </c>
      <c r="Q185" s="1" t="s">
        <v>5514</v>
      </c>
      <c r="R185" s="2"/>
      <c r="S185" s="2"/>
      <c r="T185" s="2"/>
      <c r="U185" s="2"/>
    </row>
    <row x14ac:dyDescent="0.25" r="186" customHeight="1" ht="17.25">
      <c r="A186" s="7">
        <v>185</v>
      </c>
      <c r="B186" s="1" t="s">
        <v>5701</v>
      </c>
      <c r="C186" s="5">
        <f>CONCATENATE("PD", TEXT(A186, "1000000"))</f>
      </c>
      <c r="D186" s="7">
        <v>74</v>
      </c>
      <c r="E186" s="5">
        <f>XLOOKUP(G186, item_category!C:C, item_category!B:B, "Not Found")</f>
      </c>
      <c r="F186" s="1" t="s">
        <v>5520</v>
      </c>
      <c r="G186" s="5">
        <f>XLOOKUP(I186, drug!B:B, drug!A:A, "Not Found")</f>
      </c>
      <c r="H186" s="1" t="s">
        <v>1464</v>
      </c>
      <c r="I186" s="7">
        <v>1</v>
      </c>
      <c r="J186" s="5">
        <f>XLOOKUP(L186, uom!C:C, uom!B:B, "Not Found")</f>
      </c>
      <c r="K186" s="1" t="s">
        <v>5511</v>
      </c>
      <c r="L186" s="5">
        <f>XLOOKUP(N186, uom!C:C, uom!B:B, "Not Found")</f>
      </c>
      <c r="M186" s="1" t="s">
        <v>5511</v>
      </c>
      <c r="N186" s="8" t="s">
        <v>5512</v>
      </c>
      <c r="O186" s="1" t="s">
        <v>5513</v>
      </c>
      <c r="P186" s="5">
        <f>XLOOKUP(R186, classification!C:C, classification!B:B, "Not Found")</f>
      </c>
      <c r="Q186" s="1" t="s">
        <v>5514</v>
      </c>
      <c r="R186" s="2"/>
      <c r="S186" s="2"/>
      <c r="T186" s="2"/>
      <c r="U186" s="2"/>
    </row>
    <row x14ac:dyDescent="0.25" r="187" customHeight="1" ht="17.25">
      <c r="A187" s="7">
        <v>186</v>
      </c>
      <c r="B187" s="1" t="s">
        <v>5702</v>
      </c>
      <c r="C187" s="5">
        <f>CONCATENATE("PD", TEXT(A187, "1000000"))</f>
      </c>
      <c r="D187" s="7">
        <v>74</v>
      </c>
      <c r="E187" s="5">
        <f>XLOOKUP(G187, item_category!C:C, item_category!B:B, "Not Found")</f>
      </c>
      <c r="F187" s="1" t="s">
        <v>5520</v>
      </c>
      <c r="G187" s="5">
        <f>XLOOKUP(I187, drug!B:B, drug!A:A, "Not Found")</f>
      </c>
      <c r="H187" s="1" t="s">
        <v>235</v>
      </c>
      <c r="I187" s="7">
        <v>1</v>
      </c>
      <c r="J187" s="5">
        <f>XLOOKUP(L187, uom!C:C, uom!B:B, "Not Found")</f>
      </c>
      <c r="K187" s="1" t="s">
        <v>5511</v>
      </c>
      <c r="L187" s="5">
        <f>XLOOKUP(N187, uom!C:C, uom!B:B, "Not Found")</f>
      </c>
      <c r="M187" s="1" t="s">
        <v>5511</v>
      </c>
      <c r="N187" s="8" t="s">
        <v>5512</v>
      </c>
      <c r="O187" s="1" t="s">
        <v>5513</v>
      </c>
      <c r="P187" s="5">
        <f>XLOOKUP(R187, classification!C:C, classification!B:B, "Not Found")</f>
      </c>
      <c r="Q187" s="1" t="s">
        <v>5514</v>
      </c>
      <c r="R187" s="2"/>
      <c r="S187" s="2"/>
      <c r="T187" s="2"/>
      <c r="U187" s="2"/>
    </row>
    <row x14ac:dyDescent="0.25" r="188" customHeight="1" ht="17.25">
      <c r="A188" s="7">
        <v>187</v>
      </c>
      <c r="B188" s="1" t="s">
        <v>5703</v>
      </c>
      <c r="C188" s="5">
        <f>CONCATENATE("PD", TEXT(A188, "1000000"))</f>
      </c>
      <c r="D188" s="7">
        <v>74</v>
      </c>
      <c r="E188" s="5">
        <f>XLOOKUP(G188, item_category!C:C, item_category!B:B, "Not Found")</f>
      </c>
      <c r="F188" s="1" t="s">
        <v>5520</v>
      </c>
      <c r="G188" s="5">
        <f>XLOOKUP(I188, drug!B:B, drug!A:A, "Not Found")</f>
      </c>
      <c r="H188" s="1" t="s">
        <v>1466</v>
      </c>
      <c r="I188" s="7">
        <v>1</v>
      </c>
      <c r="J188" s="5">
        <f>XLOOKUP(L188, uom!C:C, uom!B:B, "Not Found")</f>
      </c>
      <c r="K188" s="1" t="s">
        <v>5511</v>
      </c>
      <c r="L188" s="5">
        <f>XLOOKUP(N188, uom!C:C, uom!B:B, "Not Found")</f>
      </c>
      <c r="M188" s="1" t="s">
        <v>5511</v>
      </c>
      <c r="N188" s="8" t="s">
        <v>5512</v>
      </c>
      <c r="O188" s="1" t="s">
        <v>5513</v>
      </c>
      <c r="P188" s="5">
        <f>XLOOKUP(R188, classification!C:C, classification!B:B, "Not Found")</f>
      </c>
      <c r="Q188" s="1" t="s">
        <v>5514</v>
      </c>
      <c r="R188" s="2"/>
      <c r="S188" s="2"/>
      <c r="T188" s="2"/>
      <c r="U188" s="2"/>
    </row>
    <row x14ac:dyDescent="0.25" r="189" customHeight="1" ht="17.25">
      <c r="A189" s="7">
        <v>188</v>
      </c>
      <c r="B189" s="1" t="s">
        <v>5704</v>
      </c>
      <c r="C189" s="5">
        <f>CONCATENATE("PD", TEXT(A189, "1000000"))</f>
      </c>
      <c r="D189" s="7">
        <v>74</v>
      </c>
      <c r="E189" s="5">
        <f>XLOOKUP(G189, item_category!C:C, item_category!B:B, "Not Found")</f>
      </c>
      <c r="F189" s="1" t="s">
        <v>5520</v>
      </c>
      <c r="G189" s="5">
        <f>XLOOKUP(I189, drug!B:B, drug!A:A, "Not Found")</f>
      </c>
      <c r="H189" s="1" t="s">
        <v>1468</v>
      </c>
      <c r="I189" s="7">
        <v>1</v>
      </c>
      <c r="J189" s="5">
        <f>XLOOKUP(L189, uom!C:C, uom!B:B, "Not Found")</f>
      </c>
      <c r="K189" s="1" t="s">
        <v>5511</v>
      </c>
      <c r="L189" s="5">
        <f>XLOOKUP(N189, uom!C:C, uom!B:B, "Not Found")</f>
      </c>
      <c r="M189" s="1" t="s">
        <v>5511</v>
      </c>
      <c r="N189" s="8" t="s">
        <v>5512</v>
      </c>
      <c r="O189" s="1" t="s">
        <v>5513</v>
      </c>
      <c r="P189" s="5">
        <f>XLOOKUP(R189, classification!C:C, classification!B:B, "Not Found")</f>
      </c>
      <c r="Q189" s="1" t="s">
        <v>5514</v>
      </c>
      <c r="R189" s="2"/>
      <c r="S189" s="2"/>
      <c r="T189" s="2"/>
      <c r="U189" s="2"/>
    </row>
    <row x14ac:dyDescent="0.25" r="190" customHeight="1" ht="17.25">
      <c r="A190" s="7">
        <v>189</v>
      </c>
      <c r="B190" s="1" t="s">
        <v>5705</v>
      </c>
      <c r="C190" s="5">
        <f>CONCATENATE("PD", TEXT(A190, "1000000"))</f>
      </c>
      <c r="D190" s="7">
        <v>74</v>
      </c>
      <c r="E190" s="5">
        <f>XLOOKUP(G190, item_category!C:C, item_category!B:B, "Not Found")</f>
      </c>
      <c r="F190" s="1" t="s">
        <v>5520</v>
      </c>
      <c r="G190" s="5">
        <f>XLOOKUP(I190, drug!B:B, drug!A:A, "Not Found")</f>
      </c>
      <c r="H190" s="1" t="s">
        <v>1470</v>
      </c>
      <c r="I190" s="7">
        <v>1</v>
      </c>
      <c r="J190" s="5">
        <f>XLOOKUP(L190, uom!C:C, uom!B:B, "Not Found")</f>
      </c>
      <c r="K190" s="1" t="s">
        <v>5511</v>
      </c>
      <c r="L190" s="5">
        <f>XLOOKUP(N190, uom!C:C, uom!B:B, "Not Found")</f>
      </c>
      <c r="M190" s="1" t="s">
        <v>5511</v>
      </c>
      <c r="N190" s="8" t="s">
        <v>5512</v>
      </c>
      <c r="O190" s="1" t="s">
        <v>5513</v>
      </c>
      <c r="P190" s="5">
        <f>XLOOKUP(R190, classification!C:C, classification!B:B, "Not Found")</f>
      </c>
      <c r="Q190" s="1" t="s">
        <v>5514</v>
      </c>
      <c r="R190" s="2"/>
      <c r="S190" s="2"/>
      <c r="T190" s="2"/>
      <c r="U190" s="2"/>
    </row>
    <row x14ac:dyDescent="0.25" r="191" customHeight="1" ht="17.25">
      <c r="A191" s="7">
        <v>190</v>
      </c>
      <c r="B191" s="1" t="s">
        <v>5706</v>
      </c>
      <c r="C191" s="5">
        <f>CONCATENATE("PD", TEXT(A191, "1000000"))</f>
      </c>
      <c r="D191" s="7">
        <v>74</v>
      </c>
      <c r="E191" s="5">
        <f>XLOOKUP(G191, item_category!C:C, item_category!B:B, "Not Found")</f>
      </c>
      <c r="F191" s="1" t="s">
        <v>5520</v>
      </c>
      <c r="G191" s="5">
        <f>XLOOKUP(I191, drug!B:B, drug!A:A, "Not Found")</f>
      </c>
      <c r="H191" s="1" t="s">
        <v>1470</v>
      </c>
      <c r="I191" s="7">
        <v>1</v>
      </c>
      <c r="J191" s="5">
        <f>XLOOKUP(L191, uom!C:C, uom!B:B, "Not Found")</f>
      </c>
      <c r="K191" s="1" t="s">
        <v>5511</v>
      </c>
      <c r="L191" s="5">
        <f>XLOOKUP(N191, uom!C:C, uom!B:B, "Not Found")</f>
      </c>
      <c r="M191" s="1" t="s">
        <v>5511</v>
      </c>
      <c r="N191" s="8" t="s">
        <v>5512</v>
      </c>
      <c r="O191" s="1" t="s">
        <v>5513</v>
      </c>
      <c r="P191" s="5">
        <f>XLOOKUP(R191, classification!C:C, classification!B:B, "Not Found")</f>
      </c>
      <c r="Q191" s="1" t="s">
        <v>5514</v>
      </c>
      <c r="R191" s="2"/>
      <c r="S191" s="2"/>
      <c r="T191" s="2"/>
      <c r="U191" s="2"/>
    </row>
    <row x14ac:dyDescent="0.25" r="192" customHeight="1" ht="17.25">
      <c r="A192" s="7">
        <v>191</v>
      </c>
      <c r="B192" s="1" t="s">
        <v>5707</v>
      </c>
      <c r="C192" s="5">
        <f>CONCATENATE("PD", TEXT(A192, "1000000"))</f>
      </c>
      <c r="D192" s="7">
        <v>74</v>
      </c>
      <c r="E192" s="5">
        <f>XLOOKUP(G192, item_category!C:C, item_category!B:B, "Not Found")</f>
      </c>
      <c r="F192" s="1" t="s">
        <v>5520</v>
      </c>
      <c r="G192" s="5">
        <f>XLOOKUP(I192, drug!B:B, drug!A:A, "Not Found")</f>
      </c>
      <c r="H192" s="1" t="s">
        <v>1470</v>
      </c>
      <c r="I192" s="7">
        <v>1</v>
      </c>
      <c r="J192" s="5">
        <f>XLOOKUP(L192, uom!C:C, uom!B:B, "Not Found")</f>
      </c>
      <c r="K192" s="1" t="s">
        <v>5511</v>
      </c>
      <c r="L192" s="5">
        <f>XLOOKUP(N192, uom!C:C, uom!B:B, "Not Found")</f>
      </c>
      <c r="M192" s="1" t="s">
        <v>5511</v>
      </c>
      <c r="N192" s="8" t="s">
        <v>5512</v>
      </c>
      <c r="O192" s="1" t="s">
        <v>5513</v>
      </c>
      <c r="P192" s="5">
        <f>XLOOKUP(R192, classification!C:C, classification!B:B, "Not Found")</f>
      </c>
      <c r="Q192" s="1" t="s">
        <v>5514</v>
      </c>
      <c r="R192" s="2"/>
      <c r="S192" s="2"/>
      <c r="T192" s="2"/>
      <c r="U192" s="2"/>
    </row>
    <row x14ac:dyDescent="0.25" r="193" customHeight="1" ht="17.25">
      <c r="A193" s="7">
        <v>192</v>
      </c>
      <c r="B193" s="1" t="s">
        <v>5708</v>
      </c>
      <c r="C193" s="5">
        <f>CONCATENATE("PD", TEXT(A193, "1000000"))</f>
      </c>
      <c r="D193" s="7">
        <v>74</v>
      </c>
      <c r="E193" s="5">
        <f>XLOOKUP(G193, item_category!C:C, item_category!B:B, "Not Found")</f>
      </c>
      <c r="F193" s="1" t="s">
        <v>5520</v>
      </c>
      <c r="G193" s="5">
        <f>XLOOKUP(I193, drug!B:B, drug!A:A, "Not Found")</f>
      </c>
      <c r="H193" s="1" t="s">
        <v>1472</v>
      </c>
      <c r="I193" s="7">
        <v>1</v>
      </c>
      <c r="J193" s="5">
        <f>XLOOKUP(L193, uom!C:C, uom!B:B, "Not Found")</f>
      </c>
      <c r="K193" s="1" t="s">
        <v>5511</v>
      </c>
      <c r="L193" s="5">
        <f>XLOOKUP(N193, uom!C:C, uom!B:B, "Not Found")</f>
      </c>
      <c r="M193" s="1" t="s">
        <v>5511</v>
      </c>
      <c r="N193" s="8" t="s">
        <v>5512</v>
      </c>
      <c r="O193" s="1" t="s">
        <v>5513</v>
      </c>
      <c r="P193" s="5">
        <f>XLOOKUP(R193, classification!C:C, classification!B:B, "Not Found")</f>
      </c>
      <c r="Q193" s="1" t="s">
        <v>5514</v>
      </c>
      <c r="R193" s="2"/>
      <c r="S193" s="2"/>
      <c r="T193" s="2"/>
      <c r="U193" s="2"/>
    </row>
    <row x14ac:dyDescent="0.25" r="194" customHeight="1" ht="17.25">
      <c r="A194" s="7">
        <v>193</v>
      </c>
      <c r="B194" s="1" t="s">
        <v>5709</v>
      </c>
      <c r="C194" s="5">
        <f>CONCATENATE("PD", TEXT(A194, "1000000"))</f>
      </c>
      <c r="D194" s="7">
        <v>74</v>
      </c>
      <c r="E194" s="5">
        <f>XLOOKUP(G194, item_category!C:C, item_category!B:B, "Not Found")</f>
      </c>
      <c r="F194" s="1" t="s">
        <v>5520</v>
      </c>
      <c r="G194" s="5">
        <f>XLOOKUP(I194, drug!B:B, drug!A:A, "Not Found")</f>
      </c>
      <c r="H194" s="1" t="s">
        <v>1474</v>
      </c>
      <c r="I194" s="7">
        <v>1</v>
      </c>
      <c r="J194" s="5">
        <f>XLOOKUP(L194, uom!C:C, uom!B:B, "Not Found")</f>
      </c>
      <c r="K194" s="1" t="s">
        <v>5511</v>
      </c>
      <c r="L194" s="5">
        <f>XLOOKUP(N194, uom!C:C, uom!B:B, "Not Found")</f>
      </c>
      <c r="M194" s="1" t="s">
        <v>5511</v>
      </c>
      <c r="N194" s="8" t="s">
        <v>5512</v>
      </c>
      <c r="O194" s="1" t="s">
        <v>5513</v>
      </c>
      <c r="P194" s="5">
        <f>XLOOKUP(R194, classification!C:C, classification!B:B, "Not Found")</f>
      </c>
      <c r="Q194" s="1" t="s">
        <v>5514</v>
      </c>
      <c r="R194" s="2"/>
      <c r="S194" s="2"/>
      <c r="T194" s="2"/>
      <c r="U194" s="2"/>
    </row>
    <row x14ac:dyDescent="0.25" r="195" customHeight="1" ht="17.25">
      <c r="A195" s="7">
        <v>194</v>
      </c>
      <c r="B195" s="1" t="s">
        <v>5710</v>
      </c>
      <c r="C195" s="5">
        <f>CONCATENATE("PD", TEXT(A195, "1000000"))</f>
      </c>
      <c r="D195" s="7">
        <v>74</v>
      </c>
      <c r="E195" s="5">
        <f>XLOOKUP(G195, item_category!C:C, item_category!B:B, "Not Found")</f>
      </c>
      <c r="F195" s="1" t="s">
        <v>5520</v>
      </c>
      <c r="G195" s="5">
        <f>XLOOKUP(I195, drug!B:B, drug!A:A, "Not Found")</f>
      </c>
      <c r="H195" s="1" t="s">
        <v>960</v>
      </c>
      <c r="I195" s="7">
        <v>1</v>
      </c>
      <c r="J195" s="5">
        <f>XLOOKUP(L195, uom!C:C, uom!B:B, "Not Found")</f>
      </c>
      <c r="K195" s="1" t="s">
        <v>5511</v>
      </c>
      <c r="L195" s="5">
        <f>XLOOKUP(N195, uom!C:C, uom!B:B, "Not Found")</f>
      </c>
      <c r="M195" s="1" t="s">
        <v>5511</v>
      </c>
      <c r="N195" s="8" t="s">
        <v>5512</v>
      </c>
      <c r="O195" s="1" t="s">
        <v>5513</v>
      </c>
      <c r="P195" s="5">
        <f>XLOOKUP(R195, classification!C:C, classification!B:B, "Not Found")</f>
      </c>
      <c r="Q195" s="1" t="s">
        <v>5514</v>
      </c>
      <c r="R195" s="2"/>
      <c r="S195" s="2"/>
      <c r="T195" s="2"/>
      <c r="U195" s="2"/>
    </row>
    <row x14ac:dyDescent="0.25" r="196" customHeight="1" ht="17.25">
      <c r="A196" s="7">
        <v>195</v>
      </c>
      <c r="B196" s="1" t="s">
        <v>5711</v>
      </c>
      <c r="C196" s="5">
        <f>CONCATENATE("PD", TEXT(A196, "1000000"))</f>
      </c>
      <c r="D196" s="7">
        <v>74</v>
      </c>
      <c r="E196" s="5">
        <f>XLOOKUP(G196, item_category!C:C, item_category!B:B, "Not Found")</f>
      </c>
      <c r="F196" s="1" t="s">
        <v>5520</v>
      </c>
      <c r="G196" s="5">
        <f>XLOOKUP(I196, drug!B:B, drug!A:A, "Not Found")</f>
      </c>
      <c r="H196" s="1" t="s">
        <v>960</v>
      </c>
      <c r="I196" s="7">
        <v>1</v>
      </c>
      <c r="J196" s="5">
        <f>XLOOKUP(L196, uom!C:C, uom!B:B, "Not Found")</f>
      </c>
      <c r="K196" s="1" t="s">
        <v>5511</v>
      </c>
      <c r="L196" s="5">
        <f>XLOOKUP(N196, uom!C:C, uom!B:B, "Not Found")</f>
      </c>
      <c r="M196" s="1" t="s">
        <v>5511</v>
      </c>
      <c r="N196" s="8" t="s">
        <v>5512</v>
      </c>
      <c r="O196" s="1" t="s">
        <v>5513</v>
      </c>
      <c r="P196" s="5">
        <f>XLOOKUP(R196, classification!C:C, classification!B:B, "Not Found")</f>
      </c>
      <c r="Q196" s="1" t="s">
        <v>5514</v>
      </c>
      <c r="R196" s="2"/>
      <c r="S196" s="2"/>
      <c r="T196" s="2"/>
      <c r="U196" s="2"/>
    </row>
    <row x14ac:dyDescent="0.25" r="197" customHeight="1" ht="17.25">
      <c r="A197" s="7">
        <v>196</v>
      </c>
      <c r="B197" s="1" t="s">
        <v>5712</v>
      </c>
      <c r="C197" s="5">
        <f>CONCATENATE("PD", TEXT(A197, "1000000"))</f>
      </c>
      <c r="D197" s="7">
        <v>74</v>
      </c>
      <c r="E197" s="5">
        <f>XLOOKUP(G197, item_category!C:C, item_category!B:B, "Not Found")</f>
      </c>
      <c r="F197" s="1" t="s">
        <v>5520</v>
      </c>
      <c r="G197" s="5">
        <f>XLOOKUP(I197, drug!B:B, drug!A:A, "Not Found")</f>
      </c>
      <c r="H197" s="1" t="s">
        <v>1476</v>
      </c>
      <c r="I197" s="7">
        <v>1</v>
      </c>
      <c r="J197" s="5">
        <f>XLOOKUP(L197, uom!C:C, uom!B:B, "Not Found")</f>
      </c>
      <c r="K197" s="1" t="s">
        <v>5511</v>
      </c>
      <c r="L197" s="5">
        <f>XLOOKUP(N197, uom!C:C, uom!B:B, "Not Found")</f>
      </c>
      <c r="M197" s="1" t="s">
        <v>5511</v>
      </c>
      <c r="N197" s="8" t="s">
        <v>5512</v>
      </c>
      <c r="O197" s="1" t="s">
        <v>5513</v>
      </c>
      <c r="P197" s="5">
        <f>XLOOKUP(R197, classification!C:C, classification!B:B, "Not Found")</f>
      </c>
      <c r="Q197" s="1" t="s">
        <v>5514</v>
      </c>
      <c r="R197" s="2"/>
      <c r="S197" s="2"/>
      <c r="T197" s="2"/>
      <c r="U197" s="2"/>
    </row>
    <row x14ac:dyDescent="0.25" r="198" customHeight="1" ht="17.25">
      <c r="A198" s="7">
        <v>197</v>
      </c>
      <c r="B198" s="1" t="s">
        <v>5713</v>
      </c>
      <c r="C198" s="5">
        <f>CONCATENATE("PD", TEXT(A198, "1000000"))</f>
      </c>
      <c r="D198" s="7">
        <v>74</v>
      </c>
      <c r="E198" s="5">
        <f>XLOOKUP(G198, item_category!C:C, item_category!B:B, "Not Found")</f>
      </c>
      <c r="F198" s="1" t="s">
        <v>5520</v>
      </c>
      <c r="G198" s="5">
        <f>XLOOKUP(I198, drug!B:B, drug!A:A, "Not Found")</f>
      </c>
      <c r="H198" s="1" t="s">
        <v>1476</v>
      </c>
      <c r="I198" s="7">
        <v>1</v>
      </c>
      <c r="J198" s="5">
        <f>XLOOKUP(L198, uom!C:C, uom!B:B, "Not Found")</f>
      </c>
      <c r="K198" s="1" t="s">
        <v>5511</v>
      </c>
      <c r="L198" s="5">
        <f>XLOOKUP(N198, uom!C:C, uom!B:B, "Not Found")</f>
      </c>
      <c r="M198" s="1" t="s">
        <v>5511</v>
      </c>
      <c r="N198" s="8" t="s">
        <v>5512</v>
      </c>
      <c r="O198" s="1" t="s">
        <v>5513</v>
      </c>
      <c r="P198" s="5">
        <f>XLOOKUP(R198, classification!C:C, classification!B:B, "Not Found")</f>
      </c>
      <c r="Q198" s="1" t="s">
        <v>5514</v>
      </c>
      <c r="R198" s="2"/>
      <c r="S198" s="2"/>
      <c r="T198" s="2"/>
      <c r="U198" s="2"/>
    </row>
    <row x14ac:dyDescent="0.25" r="199" customHeight="1" ht="17.25">
      <c r="A199" s="7">
        <v>198</v>
      </c>
      <c r="B199" s="1" t="s">
        <v>5714</v>
      </c>
      <c r="C199" s="5">
        <f>CONCATENATE("PD", TEXT(A199, "1000000"))</f>
      </c>
      <c r="D199" s="7">
        <v>74</v>
      </c>
      <c r="E199" s="5">
        <f>XLOOKUP(G199, item_category!C:C, item_category!B:B, "Not Found")</f>
      </c>
      <c r="F199" s="1" t="s">
        <v>5520</v>
      </c>
      <c r="G199" s="5">
        <f>XLOOKUP(I199, drug!B:B, drug!A:A, "Not Found")</f>
      </c>
      <c r="H199" s="1" t="s">
        <v>1478</v>
      </c>
      <c r="I199" s="7">
        <v>1</v>
      </c>
      <c r="J199" s="5">
        <f>XLOOKUP(L199, uom!C:C, uom!B:B, "Not Found")</f>
      </c>
      <c r="K199" s="1" t="s">
        <v>5511</v>
      </c>
      <c r="L199" s="5">
        <f>XLOOKUP(N199, uom!C:C, uom!B:B, "Not Found")</f>
      </c>
      <c r="M199" s="1" t="s">
        <v>5511</v>
      </c>
      <c r="N199" s="8" t="s">
        <v>5512</v>
      </c>
      <c r="O199" s="1" t="s">
        <v>5513</v>
      </c>
      <c r="P199" s="5">
        <f>XLOOKUP(R199, classification!C:C, classification!B:B, "Not Found")</f>
      </c>
      <c r="Q199" s="1" t="s">
        <v>5514</v>
      </c>
      <c r="R199" s="2"/>
      <c r="S199" s="2"/>
      <c r="T199" s="2"/>
      <c r="U199" s="2"/>
    </row>
    <row x14ac:dyDescent="0.25" r="200" customHeight="1" ht="17.25">
      <c r="A200" s="7">
        <v>199</v>
      </c>
      <c r="B200" s="1" t="s">
        <v>5715</v>
      </c>
      <c r="C200" s="5">
        <f>CONCATENATE("PD", TEXT(A200, "1000000"))</f>
      </c>
      <c r="D200" s="7">
        <v>74</v>
      </c>
      <c r="E200" s="5">
        <f>XLOOKUP(G200, item_category!C:C, item_category!B:B, "Not Found")</f>
      </c>
      <c r="F200" s="1" t="s">
        <v>5520</v>
      </c>
      <c r="G200" s="5">
        <f>XLOOKUP(I200, drug!B:B, drug!A:A, "Not Found")</f>
      </c>
      <c r="H200" s="1" t="s">
        <v>1480</v>
      </c>
      <c r="I200" s="7">
        <v>1</v>
      </c>
      <c r="J200" s="5">
        <f>XLOOKUP(L200, uom!C:C, uom!B:B, "Not Found")</f>
      </c>
      <c r="K200" s="1" t="s">
        <v>5511</v>
      </c>
      <c r="L200" s="5">
        <f>XLOOKUP(N200, uom!C:C, uom!B:B, "Not Found")</f>
      </c>
      <c r="M200" s="1" t="s">
        <v>5511</v>
      </c>
      <c r="N200" s="8" t="s">
        <v>5512</v>
      </c>
      <c r="O200" s="1" t="s">
        <v>5513</v>
      </c>
      <c r="P200" s="5">
        <f>XLOOKUP(R200, classification!C:C, classification!B:B, "Not Found")</f>
      </c>
      <c r="Q200" s="1" t="s">
        <v>5514</v>
      </c>
      <c r="R200" s="2"/>
      <c r="S200" s="2"/>
      <c r="T200" s="2"/>
      <c r="U200" s="2"/>
    </row>
    <row x14ac:dyDescent="0.25" r="201" customHeight="1" ht="17.25">
      <c r="A201" s="7">
        <v>200</v>
      </c>
      <c r="B201" s="1" t="s">
        <v>5716</v>
      </c>
      <c r="C201" s="5">
        <f>CONCATENATE("PD", TEXT(A201, "1000000"))</f>
      </c>
      <c r="D201" s="7">
        <v>74</v>
      </c>
      <c r="E201" s="5">
        <f>XLOOKUP(G201, item_category!C:C, item_category!B:B, "Not Found")</f>
      </c>
      <c r="F201" s="1" t="s">
        <v>5520</v>
      </c>
      <c r="G201" s="5">
        <f>XLOOKUP(I201, drug!B:B, drug!A:A, "Not Found")</f>
      </c>
      <c r="H201" s="1" t="s">
        <v>1480</v>
      </c>
      <c r="I201" s="7">
        <v>1</v>
      </c>
      <c r="J201" s="5">
        <f>XLOOKUP(L201, uom!C:C, uom!B:B, "Not Found")</f>
      </c>
      <c r="K201" s="1" t="s">
        <v>5511</v>
      </c>
      <c r="L201" s="5">
        <f>XLOOKUP(N201, uom!C:C, uom!B:B, "Not Found")</f>
      </c>
      <c r="M201" s="1" t="s">
        <v>5511</v>
      </c>
      <c r="N201" s="8" t="s">
        <v>5512</v>
      </c>
      <c r="O201" s="1" t="s">
        <v>5513</v>
      </c>
      <c r="P201" s="5">
        <f>XLOOKUP(R201, classification!C:C, classification!B:B, "Not Found")</f>
      </c>
      <c r="Q201" s="1" t="s">
        <v>5514</v>
      </c>
      <c r="R201" s="2"/>
      <c r="S201" s="2"/>
      <c r="T201" s="2"/>
      <c r="U201" s="2"/>
    </row>
    <row x14ac:dyDescent="0.25" r="202" customHeight="1" ht="17.25">
      <c r="A202" s="7">
        <v>201</v>
      </c>
      <c r="B202" s="1" t="s">
        <v>5717</v>
      </c>
      <c r="C202" s="5">
        <f>CONCATENATE("PD", TEXT(A202, "1000000"))</f>
      </c>
      <c r="D202" s="7">
        <v>74</v>
      </c>
      <c r="E202" s="5">
        <f>XLOOKUP(G202, item_category!C:C, item_category!B:B, "Not Found")</f>
      </c>
      <c r="F202" s="1" t="s">
        <v>5520</v>
      </c>
      <c r="G202" s="5">
        <f>XLOOKUP(I202, drug!B:B, drug!A:A, "Not Found")</f>
      </c>
      <c r="H202" s="1" t="s">
        <v>1480</v>
      </c>
      <c r="I202" s="7">
        <v>1</v>
      </c>
      <c r="J202" s="5">
        <f>XLOOKUP(L202, uom!C:C, uom!B:B, "Not Found")</f>
      </c>
      <c r="K202" s="1" t="s">
        <v>5511</v>
      </c>
      <c r="L202" s="5">
        <f>XLOOKUP(N202, uom!C:C, uom!B:B, "Not Found")</f>
      </c>
      <c r="M202" s="1" t="s">
        <v>5511</v>
      </c>
      <c r="N202" s="8" t="s">
        <v>5512</v>
      </c>
      <c r="O202" s="1" t="s">
        <v>5513</v>
      </c>
      <c r="P202" s="5">
        <f>XLOOKUP(R202, classification!C:C, classification!B:B, "Not Found")</f>
      </c>
      <c r="Q202" s="1" t="s">
        <v>5514</v>
      </c>
      <c r="R202" s="2"/>
      <c r="S202" s="2"/>
      <c r="T202" s="2"/>
      <c r="U202" s="2"/>
    </row>
    <row x14ac:dyDescent="0.25" r="203" customHeight="1" ht="17.25">
      <c r="A203" s="7">
        <v>202</v>
      </c>
      <c r="B203" s="1" t="s">
        <v>5718</v>
      </c>
      <c r="C203" s="5">
        <f>CONCATENATE("PD", TEXT(A203, "1000000"))</f>
      </c>
      <c r="D203" s="7">
        <v>74</v>
      </c>
      <c r="E203" s="5">
        <f>XLOOKUP(G203, item_category!C:C, item_category!B:B, "Not Found")</f>
      </c>
      <c r="F203" s="1" t="s">
        <v>5520</v>
      </c>
      <c r="G203" s="5">
        <f>XLOOKUP(I203, drug!B:B, drug!A:A, "Not Found")</f>
      </c>
      <c r="H203" s="1" t="s">
        <v>1482</v>
      </c>
      <c r="I203" s="7">
        <v>1</v>
      </c>
      <c r="J203" s="5">
        <f>XLOOKUP(L203, uom!C:C, uom!B:B, "Not Found")</f>
      </c>
      <c r="K203" s="1" t="s">
        <v>5511</v>
      </c>
      <c r="L203" s="5">
        <f>XLOOKUP(N203, uom!C:C, uom!B:B, "Not Found")</f>
      </c>
      <c r="M203" s="1" t="s">
        <v>5511</v>
      </c>
      <c r="N203" s="8" t="s">
        <v>5512</v>
      </c>
      <c r="O203" s="1" t="s">
        <v>5513</v>
      </c>
      <c r="P203" s="5">
        <f>XLOOKUP(R203, classification!C:C, classification!B:B, "Not Found")</f>
      </c>
      <c r="Q203" s="1" t="s">
        <v>5514</v>
      </c>
      <c r="R203" s="2"/>
      <c r="S203" s="2"/>
      <c r="T203" s="2"/>
      <c r="U203" s="2"/>
    </row>
    <row x14ac:dyDescent="0.25" r="204" customHeight="1" ht="17.25">
      <c r="A204" s="7">
        <v>203</v>
      </c>
      <c r="B204" s="1" t="s">
        <v>5719</v>
      </c>
      <c r="C204" s="5">
        <f>CONCATENATE("PD", TEXT(A204, "1000000"))</f>
      </c>
      <c r="D204" s="7">
        <v>74</v>
      </c>
      <c r="E204" s="5">
        <f>XLOOKUP(G204, item_category!C:C, item_category!B:B, "Not Found")</f>
      </c>
      <c r="F204" s="1" t="s">
        <v>5520</v>
      </c>
      <c r="G204" s="5">
        <f>XLOOKUP(I204, drug!B:B, drug!A:A, "Not Found")</f>
      </c>
      <c r="H204" s="1" t="s">
        <v>1484</v>
      </c>
      <c r="I204" s="7">
        <v>1</v>
      </c>
      <c r="J204" s="5">
        <f>XLOOKUP(L204, uom!C:C, uom!B:B, "Not Found")</f>
      </c>
      <c r="K204" s="1" t="s">
        <v>5511</v>
      </c>
      <c r="L204" s="5">
        <f>XLOOKUP(N204, uom!C:C, uom!B:B, "Not Found")</f>
      </c>
      <c r="M204" s="1" t="s">
        <v>5511</v>
      </c>
      <c r="N204" s="8" t="s">
        <v>5512</v>
      </c>
      <c r="O204" s="1" t="s">
        <v>5513</v>
      </c>
      <c r="P204" s="5">
        <f>XLOOKUP(R204, classification!C:C, classification!B:B, "Not Found")</f>
      </c>
      <c r="Q204" s="1" t="s">
        <v>5514</v>
      </c>
      <c r="R204" s="2"/>
      <c r="S204" s="2"/>
      <c r="T204" s="2"/>
      <c r="U204" s="2"/>
    </row>
    <row x14ac:dyDescent="0.25" r="205" customHeight="1" ht="17.25">
      <c r="A205" s="7">
        <v>204</v>
      </c>
      <c r="B205" s="1" t="s">
        <v>5720</v>
      </c>
      <c r="C205" s="5">
        <f>CONCATENATE("PD", TEXT(A205, "1000000"))</f>
      </c>
      <c r="D205" s="7">
        <v>74</v>
      </c>
      <c r="E205" s="5">
        <f>XLOOKUP(G205, item_category!C:C, item_category!B:B, "Not Found")</f>
      </c>
      <c r="F205" s="1" t="s">
        <v>5520</v>
      </c>
      <c r="G205" s="5">
        <f>XLOOKUP(I205, drug!B:B, drug!A:A, "Not Found")</f>
      </c>
      <c r="H205" s="1" t="s">
        <v>1486</v>
      </c>
      <c r="I205" s="7">
        <v>1</v>
      </c>
      <c r="J205" s="5">
        <f>XLOOKUP(L205, uom!C:C, uom!B:B, "Not Found")</f>
      </c>
      <c r="K205" s="1" t="s">
        <v>5511</v>
      </c>
      <c r="L205" s="5">
        <f>XLOOKUP(N205, uom!C:C, uom!B:B, "Not Found")</f>
      </c>
      <c r="M205" s="1" t="s">
        <v>5511</v>
      </c>
      <c r="N205" s="8" t="s">
        <v>5512</v>
      </c>
      <c r="O205" s="1" t="s">
        <v>5513</v>
      </c>
      <c r="P205" s="5">
        <f>XLOOKUP(R205, classification!C:C, classification!B:B, "Not Found")</f>
      </c>
      <c r="Q205" s="1" t="s">
        <v>5514</v>
      </c>
      <c r="R205" s="2"/>
      <c r="S205" s="2"/>
      <c r="T205" s="2"/>
      <c r="U205" s="2"/>
    </row>
    <row x14ac:dyDescent="0.25" r="206" customHeight="1" ht="17.25">
      <c r="A206" s="7">
        <v>205</v>
      </c>
      <c r="B206" s="1" t="s">
        <v>5721</v>
      </c>
      <c r="C206" s="5">
        <f>CONCATENATE("PD", TEXT(A206, "1000000"))</f>
      </c>
      <c r="D206" s="7">
        <v>74</v>
      </c>
      <c r="E206" s="5">
        <f>XLOOKUP(G206, item_category!C:C, item_category!B:B, "Not Found")</f>
      </c>
      <c r="F206" s="1" t="s">
        <v>5520</v>
      </c>
      <c r="G206" s="5">
        <f>XLOOKUP(I206, drug!B:B, drug!A:A, "Not Found")</f>
      </c>
      <c r="H206" s="1" t="s">
        <v>1488</v>
      </c>
      <c r="I206" s="7">
        <v>300</v>
      </c>
      <c r="J206" s="5">
        <f>XLOOKUP(L206, uom!C:C, uom!B:B, "Not Found")</f>
      </c>
      <c r="K206" s="1" t="s">
        <v>5722</v>
      </c>
      <c r="L206" s="5">
        <f>XLOOKUP(N206, uom!C:C, uom!B:B, "Not Found")</f>
      </c>
      <c r="M206" s="1" t="s">
        <v>5722</v>
      </c>
      <c r="N206" s="8" t="s">
        <v>5524</v>
      </c>
      <c r="O206" s="1" t="s">
        <v>5525</v>
      </c>
      <c r="P206" s="5">
        <f>XLOOKUP(R206, classification!C:C, classification!B:B, "Not Found")</f>
      </c>
      <c r="Q206" s="1" t="s">
        <v>5514</v>
      </c>
      <c r="R206" s="2"/>
      <c r="S206" s="2"/>
      <c r="T206" s="2"/>
      <c r="U206" s="2"/>
    </row>
    <row x14ac:dyDescent="0.25" r="207" customHeight="1" ht="17.25">
      <c r="A207" s="7">
        <v>206</v>
      </c>
      <c r="B207" s="1" t="s">
        <v>5723</v>
      </c>
      <c r="C207" s="5">
        <f>CONCATENATE("PD", TEXT(A207, "1000000"))</f>
      </c>
      <c r="D207" s="7">
        <v>74</v>
      </c>
      <c r="E207" s="5">
        <f>XLOOKUP(G207, item_category!C:C, item_category!B:B, "Not Found")</f>
      </c>
      <c r="F207" s="1" t="s">
        <v>5520</v>
      </c>
      <c r="G207" s="5">
        <f>XLOOKUP(I207, drug!B:B, drug!A:A, "Not Found")</f>
      </c>
      <c r="H207" s="1" t="s">
        <v>75</v>
      </c>
      <c r="I207" s="7">
        <v>1</v>
      </c>
      <c r="J207" s="5">
        <f>XLOOKUP(L207, uom!C:C, uom!B:B, "Not Found")</f>
      </c>
      <c r="K207" s="1" t="s">
        <v>5544</v>
      </c>
      <c r="L207" s="5">
        <f>XLOOKUP(N207, uom!C:C, uom!B:B, "Not Found")</f>
      </c>
      <c r="M207" s="1" t="s">
        <v>5544</v>
      </c>
      <c r="N207" s="8" t="s">
        <v>5524</v>
      </c>
      <c r="O207" s="1" t="s">
        <v>5525</v>
      </c>
      <c r="P207" s="5">
        <f>XLOOKUP(R207, classification!C:C, classification!B:B, "Not Found")</f>
      </c>
      <c r="Q207" s="1" t="s">
        <v>5514</v>
      </c>
      <c r="R207" s="2"/>
      <c r="S207" s="2"/>
      <c r="T207" s="2"/>
      <c r="U207" s="2"/>
    </row>
    <row x14ac:dyDescent="0.25" r="208" customHeight="1" ht="17.25">
      <c r="A208" s="7">
        <v>207</v>
      </c>
      <c r="B208" s="1" t="s">
        <v>5724</v>
      </c>
      <c r="C208" s="5">
        <f>CONCATENATE("PD", TEXT(A208, "1000000"))</f>
      </c>
      <c r="D208" s="7">
        <v>74</v>
      </c>
      <c r="E208" s="5">
        <f>XLOOKUP(G208, item_category!C:C, item_category!B:B, "Not Found")</f>
      </c>
      <c r="F208" s="1" t="s">
        <v>5520</v>
      </c>
      <c r="G208" s="5">
        <f>XLOOKUP(I208, drug!B:B, drug!A:A, "Not Found")</f>
      </c>
      <c r="H208" s="1" t="s">
        <v>1490</v>
      </c>
      <c r="I208" s="7">
        <v>1</v>
      </c>
      <c r="J208" s="5">
        <f>XLOOKUP(L208, uom!C:C, uom!B:B, "Not Found")</f>
      </c>
      <c r="K208" s="1" t="s">
        <v>5511</v>
      </c>
      <c r="L208" s="5">
        <f>XLOOKUP(N208, uom!C:C, uom!B:B, "Not Found")</f>
      </c>
      <c r="M208" s="1" t="s">
        <v>5511</v>
      </c>
      <c r="N208" s="8" t="s">
        <v>5512</v>
      </c>
      <c r="O208" s="1" t="s">
        <v>5513</v>
      </c>
      <c r="P208" s="5">
        <f>XLOOKUP(R208, classification!C:C, classification!B:B, "Not Found")</f>
      </c>
      <c r="Q208" s="1" t="s">
        <v>5514</v>
      </c>
      <c r="R208" s="2"/>
      <c r="S208" s="2"/>
      <c r="T208" s="2"/>
      <c r="U208" s="2"/>
    </row>
    <row x14ac:dyDescent="0.25" r="209" customHeight="1" ht="17.25">
      <c r="A209" s="7">
        <v>208</v>
      </c>
      <c r="B209" s="1" t="s">
        <v>5725</v>
      </c>
      <c r="C209" s="5">
        <f>CONCATENATE("PD", TEXT(A209, "1000000"))</f>
      </c>
      <c r="D209" s="7">
        <v>74</v>
      </c>
      <c r="E209" s="5">
        <f>XLOOKUP(G209, item_category!C:C, item_category!B:B, "Not Found")</f>
      </c>
      <c r="F209" s="1" t="s">
        <v>5520</v>
      </c>
      <c r="G209" s="5">
        <f>XLOOKUP(I209, drug!B:B, drug!A:A, "Not Found")</f>
      </c>
      <c r="H209" s="1" t="s">
        <v>1492</v>
      </c>
      <c r="I209" s="7">
        <v>1</v>
      </c>
      <c r="J209" s="5">
        <f>XLOOKUP(L209, uom!C:C, uom!B:B, "Not Found")</f>
      </c>
      <c r="K209" s="1" t="s">
        <v>5511</v>
      </c>
      <c r="L209" s="5">
        <f>XLOOKUP(N209, uom!C:C, uom!B:B, "Not Found")</f>
      </c>
      <c r="M209" s="1" t="s">
        <v>5511</v>
      </c>
      <c r="N209" s="8" t="s">
        <v>5512</v>
      </c>
      <c r="O209" s="1" t="s">
        <v>5513</v>
      </c>
      <c r="P209" s="5">
        <f>XLOOKUP(R209, classification!C:C, classification!B:B, "Not Found")</f>
      </c>
      <c r="Q209" s="1" t="s">
        <v>5514</v>
      </c>
      <c r="R209" s="2"/>
      <c r="S209" s="2"/>
      <c r="T209" s="2"/>
      <c r="U209" s="2"/>
    </row>
    <row x14ac:dyDescent="0.25" r="210" customHeight="1" ht="17.25">
      <c r="A210" s="7">
        <v>209</v>
      </c>
      <c r="B210" s="1" t="s">
        <v>5726</v>
      </c>
      <c r="C210" s="5">
        <f>CONCATENATE("PD", TEXT(A210, "1000000"))</f>
      </c>
      <c r="D210" s="7">
        <v>74</v>
      </c>
      <c r="E210" s="5">
        <f>XLOOKUP(G210, item_category!C:C, item_category!B:B, "Not Found")</f>
      </c>
      <c r="F210" s="1" t="s">
        <v>5520</v>
      </c>
      <c r="G210" s="5">
        <f>XLOOKUP(I210, drug!B:B, drug!A:A, "Not Found")</f>
      </c>
      <c r="H210" s="1" t="s">
        <v>1494</v>
      </c>
      <c r="I210" s="7">
        <v>1</v>
      </c>
      <c r="J210" s="5">
        <f>XLOOKUP(L210, uom!C:C, uom!B:B, "Not Found")</f>
      </c>
      <c r="K210" s="1" t="s">
        <v>5511</v>
      </c>
      <c r="L210" s="5">
        <f>XLOOKUP(N210, uom!C:C, uom!B:B, "Not Found")</f>
      </c>
      <c r="M210" s="1" t="s">
        <v>5511</v>
      </c>
      <c r="N210" s="8" t="s">
        <v>5512</v>
      </c>
      <c r="O210" s="1" t="s">
        <v>5513</v>
      </c>
      <c r="P210" s="5">
        <f>XLOOKUP(R210, classification!C:C, classification!B:B, "Not Found")</f>
      </c>
      <c r="Q210" s="1" t="s">
        <v>5514</v>
      </c>
      <c r="R210" s="2"/>
      <c r="S210" s="2"/>
      <c r="T210" s="2"/>
      <c r="U210" s="2"/>
    </row>
    <row x14ac:dyDescent="0.25" r="211" customHeight="1" ht="17.25">
      <c r="A211" s="7">
        <v>210</v>
      </c>
      <c r="B211" s="1" t="s">
        <v>1496</v>
      </c>
      <c r="C211" s="5">
        <f>CONCATENATE("PD", TEXT(A211, "1000000"))</f>
      </c>
      <c r="D211" s="7">
        <v>74</v>
      </c>
      <c r="E211" s="5">
        <f>XLOOKUP(G211, item_category!C:C, item_category!B:B, "Not Found")</f>
      </c>
      <c r="F211" s="1" t="s">
        <v>5520</v>
      </c>
      <c r="G211" s="5">
        <f>XLOOKUP(I211, drug!B:B, drug!A:A, "Not Found")</f>
      </c>
      <c r="H211" s="1" t="s">
        <v>1496</v>
      </c>
      <c r="I211" s="7">
        <v>1</v>
      </c>
      <c r="J211" s="5">
        <f>XLOOKUP(L211, uom!C:C, uom!B:B, "Not Found")</f>
      </c>
      <c r="K211" s="1" t="s">
        <v>5511</v>
      </c>
      <c r="L211" s="5">
        <f>XLOOKUP(N211, uom!C:C, uom!B:B, "Not Found")</f>
      </c>
      <c r="M211" s="1" t="s">
        <v>5511</v>
      </c>
      <c r="N211" s="8" t="s">
        <v>5512</v>
      </c>
      <c r="O211" s="1" t="s">
        <v>5513</v>
      </c>
      <c r="P211" s="5">
        <f>XLOOKUP(R211, classification!C:C, classification!B:B, "Not Found")</f>
      </c>
      <c r="Q211" s="1" t="s">
        <v>5514</v>
      </c>
      <c r="R211" s="2"/>
      <c r="S211" s="2"/>
      <c r="T211" s="2"/>
      <c r="U211" s="2"/>
    </row>
    <row x14ac:dyDescent="0.25" r="212" customHeight="1" ht="17.25">
      <c r="A212" s="7">
        <v>211</v>
      </c>
      <c r="B212" s="1" t="s">
        <v>5727</v>
      </c>
      <c r="C212" s="5">
        <f>CONCATENATE("PD", TEXT(A212, "1000000"))</f>
      </c>
      <c r="D212" s="7">
        <v>74</v>
      </c>
      <c r="E212" s="5">
        <f>XLOOKUP(G212, item_category!C:C, item_category!B:B, "Not Found")</f>
      </c>
      <c r="F212" s="1" t="s">
        <v>5520</v>
      </c>
      <c r="G212" s="5">
        <f>XLOOKUP(I212, drug!B:B, drug!A:A, "Not Found")</f>
      </c>
      <c r="H212" s="1" t="s">
        <v>1498</v>
      </c>
      <c r="I212" s="7">
        <v>1</v>
      </c>
      <c r="J212" s="5">
        <f>XLOOKUP(L212, uom!C:C, uom!B:B, "Not Found")</f>
      </c>
      <c r="K212" s="1" t="s">
        <v>5511</v>
      </c>
      <c r="L212" s="5">
        <f>XLOOKUP(N212, uom!C:C, uom!B:B, "Not Found")</f>
      </c>
      <c r="M212" s="1" t="s">
        <v>5511</v>
      </c>
      <c r="N212" s="8" t="s">
        <v>5512</v>
      </c>
      <c r="O212" s="1" t="s">
        <v>5513</v>
      </c>
      <c r="P212" s="5">
        <f>XLOOKUP(R212, classification!C:C, classification!B:B, "Not Found")</f>
      </c>
      <c r="Q212" s="1" t="s">
        <v>5514</v>
      </c>
      <c r="R212" s="2"/>
      <c r="S212" s="2"/>
      <c r="T212" s="2"/>
      <c r="U212" s="2"/>
    </row>
    <row x14ac:dyDescent="0.25" r="213" customHeight="1" ht="17.25">
      <c r="A213" s="7">
        <v>212</v>
      </c>
      <c r="B213" s="1" t="s">
        <v>5728</v>
      </c>
      <c r="C213" s="5">
        <f>CONCATENATE("PD", TEXT(A213, "1000000"))</f>
      </c>
      <c r="D213" s="7">
        <v>74</v>
      </c>
      <c r="E213" s="5">
        <f>XLOOKUP(G213, item_category!C:C, item_category!B:B, "Not Found")</f>
      </c>
      <c r="F213" s="1" t="s">
        <v>5520</v>
      </c>
      <c r="G213" s="5">
        <f>XLOOKUP(I213, drug!B:B, drug!A:A, "Not Found")</f>
      </c>
      <c r="H213" s="1" t="s">
        <v>1500</v>
      </c>
      <c r="I213" s="7">
        <v>1</v>
      </c>
      <c r="J213" s="5">
        <f>XLOOKUP(L213, uom!C:C, uom!B:B, "Not Found")</f>
      </c>
      <c r="K213" s="1" t="s">
        <v>5511</v>
      </c>
      <c r="L213" s="5">
        <f>XLOOKUP(N213, uom!C:C, uom!B:B, "Not Found")</f>
      </c>
      <c r="M213" s="1" t="s">
        <v>5511</v>
      </c>
      <c r="N213" s="8" t="s">
        <v>5512</v>
      </c>
      <c r="O213" s="1" t="s">
        <v>5513</v>
      </c>
      <c r="P213" s="5">
        <f>XLOOKUP(R213, classification!C:C, classification!B:B, "Not Found")</f>
      </c>
      <c r="Q213" s="1" t="s">
        <v>5514</v>
      </c>
      <c r="R213" s="2"/>
      <c r="S213" s="2"/>
      <c r="T213" s="2"/>
      <c r="U213" s="2"/>
    </row>
    <row x14ac:dyDescent="0.25" r="214" customHeight="1" ht="17.25">
      <c r="A214" s="7">
        <v>213</v>
      </c>
      <c r="B214" s="1" t="s">
        <v>5729</v>
      </c>
      <c r="C214" s="5">
        <f>CONCATENATE("PD", TEXT(A214, "1000000"))</f>
      </c>
      <c r="D214" s="7">
        <v>74</v>
      </c>
      <c r="E214" s="5">
        <f>XLOOKUP(G214, item_category!C:C, item_category!B:B, "Not Found")</f>
      </c>
      <c r="F214" s="1" t="s">
        <v>5520</v>
      </c>
      <c r="G214" s="5">
        <f>XLOOKUP(I214, drug!B:B, drug!A:A, "Not Found")</f>
      </c>
      <c r="H214" s="1" t="s">
        <v>1500</v>
      </c>
      <c r="I214" s="7">
        <v>1</v>
      </c>
      <c r="J214" s="5">
        <f>XLOOKUP(L214, uom!C:C, uom!B:B, "Not Found")</f>
      </c>
      <c r="K214" s="1" t="s">
        <v>5511</v>
      </c>
      <c r="L214" s="5">
        <f>XLOOKUP(N214, uom!C:C, uom!B:B, "Not Found")</f>
      </c>
      <c r="M214" s="1" t="s">
        <v>5511</v>
      </c>
      <c r="N214" s="8" t="s">
        <v>5512</v>
      </c>
      <c r="O214" s="1" t="s">
        <v>5513</v>
      </c>
      <c r="P214" s="5">
        <f>XLOOKUP(R214, classification!C:C, classification!B:B, "Not Found")</f>
      </c>
      <c r="Q214" s="1" t="s">
        <v>5514</v>
      </c>
      <c r="R214" s="2"/>
      <c r="S214" s="2"/>
      <c r="T214" s="2"/>
      <c r="U214" s="2"/>
    </row>
    <row x14ac:dyDescent="0.25" r="215" customHeight="1" ht="17.25">
      <c r="A215" s="7">
        <v>214</v>
      </c>
      <c r="B215" s="1" t="s">
        <v>5730</v>
      </c>
      <c r="C215" s="5">
        <f>CONCATENATE("PD", TEXT(A215, "1000000"))</f>
      </c>
      <c r="D215" s="7">
        <v>74</v>
      </c>
      <c r="E215" s="5">
        <f>XLOOKUP(G215, item_category!C:C, item_category!B:B, "Not Found")</f>
      </c>
      <c r="F215" s="1" t="s">
        <v>5520</v>
      </c>
      <c r="G215" s="5">
        <f>XLOOKUP(I215, drug!B:B, drug!A:A, "Not Found")</f>
      </c>
      <c r="H215" s="1" t="s">
        <v>1502</v>
      </c>
      <c r="I215" s="7">
        <v>1</v>
      </c>
      <c r="J215" s="5">
        <f>XLOOKUP(L215, uom!C:C, uom!B:B, "Not Found")</f>
      </c>
      <c r="K215" s="1" t="s">
        <v>5511</v>
      </c>
      <c r="L215" s="5">
        <f>XLOOKUP(N215, uom!C:C, uom!B:B, "Not Found")</f>
      </c>
      <c r="M215" s="1" t="s">
        <v>5511</v>
      </c>
      <c r="N215" s="8" t="s">
        <v>5512</v>
      </c>
      <c r="O215" s="1" t="s">
        <v>5513</v>
      </c>
      <c r="P215" s="5">
        <f>XLOOKUP(R215, classification!C:C, classification!B:B, "Not Found")</f>
      </c>
      <c r="Q215" s="1" t="s">
        <v>5514</v>
      </c>
      <c r="R215" s="2"/>
      <c r="S215" s="2"/>
      <c r="T215" s="2"/>
      <c r="U215" s="2"/>
    </row>
    <row x14ac:dyDescent="0.25" r="216" customHeight="1" ht="17.25">
      <c r="A216" s="7">
        <v>215</v>
      </c>
      <c r="B216" s="1" t="s">
        <v>5731</v>
      </c>
      <c r="C216" s="5">
        <f>CONCATENATE("PD", TEXT(A216, "1000000"))</f>
      </c>
      <c r="D216" s="7">
        <v>74</v>
      </c>
      <c r="E216" s="5">
        <f>XLOOKUP(G216, item_category!C:C, item_category!B:B, "Not Found")</f>
      </c>
      <c r="F216" s="1" t="s">
        <v>5520</v>
      </c>
      <c r="G216" s="5">
        <f>XLOOKUP(I216, drug!B:B, drug!A:A, "Not Found")</f>
      </c>
      <c r="H216" s="1" t="s">
        <v>1502</v>
      </c>
      <c r="I216" s="7">
        <v>1</v>
      </c>
      <c r="J216" s="5">
        <f>XLOOKUP(L216, uom!C:C, uom!B:B, "Not Found")</f>
      </c>
      <c r="K216" s="1" t="s">
        <v>5511</v>
      </c>
      <c r="L216" s="5">
        <f>XLOOKUP(N216, uom!C:C, uom!B:B, "Not Found")</f>
      </c>
      <c r="M216" s="1" t="s">
        <v>5511</v>
      </c>
      <c r="N216" s="8" t="s">
        <v>5512</v>
      </c>
      <c r="O216" s="1" t="s">
        <v>5513</v>
      </c>
      <c r="P216" s="5">
        <f>XLOOKUP(R216, classification!C:C, classification!B:B, "Not Found")</f>
      </c>
      <c r="Q216" s="1" t="s">
        <v>5514</v>
      </c>
      <c r="R216" s="2"/>
      <c r="S216" s="2"/>
      <c r="T216" s="2"/>
      <c r="U216" s="2"/>
    </row>
    <row x14ac:dyDescent="0.25" r="217" customHeight="1" ht="17.25">
      <c r="A217" s="7">
        <v>216</v>
      </c>
      <c r="B217" s="1" t="s">
        <v>5732</v>
      </c>
      <c r="C217" s="5">
        <f>CONCATENATE("PD", TEXT(A217, "1000000"))</f>
      </c>
      <c r="D217" s="7">
        <v>74</v>
      </c>
      <c r="E217" s="5">
        <f>XLOOKUP(G217, item_category!C:C, item_category!B:B, "Not Found")</f>
      </c>
      <c r="F217" s="1" t="s">
        <v>5520</v>
      </c>
      <c r="G217" s="5">
        <f>XLOOKUP(I217, drug!B:B, drug!A:A, "Not Found")</f>
      </c>
      <c r="H217" s="1" t="s">
        <v>1504</v>
      </c>
      <c r="I217" s="7">
        <v>1</v>
      </c>
      <c r="J217" s="5">
        <f>XLOOKUP(L217, uom!C:C, uom!B:B, "Not Found")</f>
      </c>
      <c r="K217" s="1" t="s">
        <v>5511</v>
      </c>
      <c r="L217" s="5">
        <f>XLOOKUP(N217, uom!C:C, uom!B:B, "Not Found")</f>
      </c>
      <c r="M217" s="1" t="s">
        <v>5511</v>
      </c>
      <c r="N217" s="8" t="s">
        <v>5512</v>
      </c>
      <c r="O217" s="1" t="s">
        <v>5513</v>
      </c>
      <c r="P217" s="5">
        <f>XLOOKUP(R217, classification!C:C, classification!B:B, "Not Found")</f>
      </c>
      <c r="Q217" s="1" t="s">
        <v>5514</v>
      </c>
      <c r="R217" s="2"/>
      <c r="S217" s="2"/>
      <c r="T217" s="2"/>
      <c r="U217" s="2"/>
    </row>
    <row x14ac:dyDescent="0.25" r="218" customHeight="1" ht="17.25">
      <c r="A218" s="7">
        <v>217</v>
      </c>
      <c r="B218" s="1" t="s">
        <v>5733</v>
      </c>
      <c r="C218" s="5">
        <f>CONCATENATE("PD", TEXT(A218, "1000000"))</f>
      </c>
      <c r="D218" s="7">
        <v>74</v>
      </c>
      <c r="E218" s="5">
        <f>XLOOKUP(G218, item_category!C:C, item_category!B:B, "Not Found")</f>
      </c>
      <c r="F218" s="1" t="s">
        <v>5520</v>
      </c>
      <c r="G218" s="5">
        <f>XLOOKUP(I218, drug!B:B, drug!A:A, "Not Found")</f>
      </c>
      <c r="H218" s="1" t="s">
        <v>1506</v>
      </c>
      <c r="I218" s="7">
        <v>1</v>
      </c>
      <c r="J218" s="5">
        <f>XLOOKUP(L218, uom!C:C, uom!B:B, "Not Found")</f>
      </c>
      <c r="K218" s="1" t="s">
        <v>5511</v>
      </c>
      <c r="L218" s="5">
        <f>XLOOKUP(N218, uom!C:C, uom!B:B, "Not Found")</f>
      </c>
      <c r="M218" s="1" t="s">
        <v>5511</v>
      </c>
      <c r="N218" s="8" t="s">
        <v>5512</v>
      </c>
      <c r="O218" s="1" t="s">
        <v>5513</v>
      </c>
      <c r="P218" s="5">
        <f>XLOOKUP(R218, classification!C:C, classification!B:B, "Not Found")</f>
      </c>
      <c r="Q218" s="1" t="s">
        <v>5514</v>
      </c>
      <c r="R218" s="2"/>
      <c r="S218" s="2"/>
      <c r="T218" s="2"/>
      <c r="U218" s="2"/>
    </row>
    <row x14ac:dyDescent="0.25" r="219" customHeight="1" ht="17.25">
      <c r="A219" s="7">
        <v>218</v>
      </c>
      <c r="B219" s="1" t="s">
        <v>5734</v>
      </c>
      <c r="C219" s="5">
        <f>CONCATENATE("PD", TEXT(A219, "1000000"))</f>
      </c>
      <c r="D219" s="7">
        <v>74</v>
      </c>
      <c r="E219" s="5">
        <f>XLOOKUP(G219, item_category!C:C, item_category!B:B, "Not Found")</f>
      </c>
      <c r="F219" s="1" t="s">
        <v>5520</v>
      </c>
      <c r="G219" s="5">
        <f>XLOOKUP(I219, drug!B:B, drug!A:A, "Not Found")</f>
      </c>
      <c r="H219" s="1" t="s">
        <v>1508</v>
      </c>
      <c r="I219" s="7">
        <v>1</v>
      </c>
      <c r="J219" s="5">
        <f>XLOOKUP(L219, uom!C:C, uom!B:B, "Not Found")</f>
      </c>
      <c r="K219" s="1" t="s">
        <v>5511</v>
      </c>
      <c r="L219" s="5">
        <f>XLOOKUP(N219, uom!C:C, uom!B:B, "Not Found")</f>
      </c>
      <c r="M219" s="1" t="s">
        <v>5511</v>
      </c>
      <c r="N219" s="8" t="s">
        <v>5512</v>
      </c>
      <c r="O219" s="1" t="s">
        <v>5513</v>
      </c>
      <c r="P219" s="5">
        <f>XLOOKUP(R219, classification!C:C, classification!B:B, "Not Found")</f>
      </c>
      <c r="Q219" s="1" t="s">
        <v>5514</v>
      </c>
      <c r="R219" s="2"/>
      <c r="S219" s="2"/>
      <c r="T219" s="2"/>
      <c r="U219" s="2"/>
    </row>
    <row x14ac:dyDescent="0.25" r="220" customHeight="1" ht="17.25">
      <c r="A220" s="7">
        <v>219</v>
      </c>
      <c r="B220" s="1" t="s">
        <v>5735</v>
      </c>
      <c r="C220" s="5">
        <f>CONCATENATE("PD", TEXT(A220, "1000000"))</f>
      </c>
      <c r="D220" s="7">
        <v>74</v>
      </c>
      <c r="E220" s="5">
        <f>XLOOKUP(G220, item_category!C:C, item_category!B:B, "Not Found")</f>
      </c>
      <c r="F220" s="1" t="s">
        <v>5520</v>
      </c>
      <c r="G220" s="5">
        <f>XLOOKUP(I220, drug!B:B, drug!A:A, "Not Found")</f>
      </c>
      <c r="H220" s="1" t="s">
        <v>1510</v>
      </c>
      <c r="I220" s="7">
        <v>1</v>
      </c>
      <c r="J220" s="5">
        <f>XLOOKUP(L220, uom!C:C, uom!B:B, "Not Found")</f>
      </c>
      <c r="K220" s="1" t="s">
        <v>5511</v>
      </c>
      <c r="L220" s="5">
        <f>XLOOKUP(N220, uom!C:C, uom!B:B, "Not Found")</f>
      </c>
      <c r="M220" s="1" t="s">
        <v>5511</v>
      </c>
      <c r="N220" s="8" t="s">
        <v>5512</v>
      </c>
      <c r="O220" s="1" t="s">
        <v>5513</v>
      </c>
      <c r="P220" s="5">
        <f>XLOOKUP(R220, classification!C:C, classification!B:B, "Not Found")</f>
      </c>
      <c r="Q220" s="1" t="s">
        <v>5514</v>
      </c>
      <c r="R220" s="2"/>
      <c r="S220" s="2"/>
      <c r="T220" s="2"/>
      <c r="U220" s="2"/>
    </row>
    <row x14ac:dyDescent="0.25" r="221" customHeight="1" ht="17.25">
      <c r="A221" s="7">
        <v>220</v>
      </c>
      <c r="B221" s="1" t="s">
        <v>5736</v>
      </c>
      <c r="C221" s="5">
        <f>CONCATENATE("PD", TEXT(A221, "1000000"))</f>
      </c>
      <c r="D221" s="7">
        <v>74</v>
      </c>
      <c r="E221" s="5">
        <f>XLOOKUP(G221, item_category!C:C, item_category!B:B, "Not Found")</f>
      </c>
      <c r="F221" s="1" t="s">
        <v>5520</v>
      </c>
      <c r="G221" s="5">
        <f>XLOOKUP(I221, drug!B:B, drug!A:A, "Not Found")</f>
      </c>
      <c r="H221" s="1" t="s">
        <v>1512</v>
      </c>
      <c r="I221" s="7">
        <v>1</v>
      </c>
      <c r="J221" s="5">
        <f>XLOOKUP(L221, uom!C:C, uom!B:B, "Not Found")</f>
      </c>
      <c r="K221" s="1" t="s">
        <v>5511</v>
      </c>
      <c r="L221" s="5">
        <f>XLOOKUP(N221, uom!C:C, uom!B:B, "Not Found")</f>
      </c>
      <c r="M221" s="1" t="s">
        <v>5511</v>
      </c>
      <c r="N221" s="8" t="s">
        <v>5512</v>
      </c>
      <c r="O221" s="1" t="s">
        <v>5513</v>
      </c>
      <c r="P221" s="5">
        <f>XLOOKUP(R221, classification!C:C, classification!B:B, "Not Found")</f>
      </c>
      <c r="Q221" s="1" t="s">
        <v>5514</v>
      </c>
      <c r="R221" s="2"/>
      <c r="S221" s="2"/>
      <c r="T221" s="2"/>
      <c r="U221" s="2"/>
    </row>
    <row x14ac:dyDescent="0.25" r="222" customHeight="1" ht="17.25">
      <c r="A222" s="7">
        <v>221</v>
      </c>
      <c r="B222" s="1" t="s">
        <v>5737</v>
      </c>
      <c r="C222" s="5">
        <f>CONCATENATE("PD", TEXT(A222, "1000000"))</f>
      </c>
      <c r="D222" s="7">
        <v>74</v>
      </c>
      <c r="E222" s="5">
        <f>XLOOKUP(G222, item_category!C:C, item_category!B:B, "Not Found")</f>
      </c>
      <c r="F222" s="1" t="s">
        <v>5520</v>
      </c>
      <c r="G222" s="5">
        <f>XLOOKUP(I222, drug!B:B, drug!A:A, "Not Found")</f>
      </c>
      <c r="H222" s="1" t="s">
        <v>1514</v>
      </c>
      <c r="I222" s="7">
        <v>1</v>
      </c>
      <c r="J222" s="5">
        <f>XLOOKUP(L222, uom!C:C, uom!B:B, "Not Found")</f>
      </c>
      <c r="K222" s="1" t="s">
        <v>5511</v>
      </c>
      <c r="L222" s="5">
        <f>XLOOKUP(N222, uom!C:C, uom!B:B, "Not Found")</f>
      </c>
      <c r="M222" s="1" t="s">
        <v>5511</v>
      </c>
      <c r="N222" s="8" t="s">
        <v>5512</v>
      </c>
      <c r="O222" s="1" t="s">
        <v>5513</v>
      </c>
      <c r="P222" s="5">
        <f>XLOOKUP(R222, classification!C:C, classification!B:B, "Not Found")</f>
      </c>
      <c r="Q222" s="1" t="s">
        <v>5514</v>
      </c>
      <c r="R222" s="2"/>
      <c r="S222" s="2"/>
      <c r="T222" s="2"/>
      <c r="U222" s="2"/>
    </row>
    <row x14ac:dyDescent="0.25" r="223" customHeight="1" ht="17.25">
      <c r="A223" s="7">
        <v>222</v>
      </c>
      <c r="B223" s="1" t="s">
        <v>5738</v>
      </c>
      <c r="C223" s="5">
        <f>CONCATENATE("PD", TEXT(A223, "1000000"))</f>
      </c>
      <c r="D223" s="7">
        <v>74</v>
      </c>
      <c r="E223" s="5">
        <f>XLOOKUP(G223, item_category!C:C, item_category!B:B, "Not Found")</f>
      </c>
      <c r="F223" s="1" t="s">
        <v>5520</v>
      </c>
      <c r="G223" s="5">
        <f>XLOOKUP(I223, drug!B:B, drug!A:A, "Not Found")</f>
      </c>
      <c r="H223" s="1" t="s">
        <v>1516</v>
      </c>
      <c r="I223" s="7">
        <v>1</v>
      </c>
      <c r="J223" s="5">
        <f>XLOOKUP(L223, uom!C:C, uom!B:B, "Not Found")</f>
      </c>
      <c r="K223" s="1" t="s">
        <v>5511</v>
      </c>
      <c r="L223" s="5">
        <f>XLOOKUP(N223, uom!C:C, uom!B:B, "Not Found")</f>
      </c>
      <c r="M223" s="1" t="s">
        <v>5511</v>
      </c>
      <c r="N223" s="8" t="s">
        <v>5512</v>
      </c>
      <c r="O223" s="1" t="s">
        <v>5513</v>
      </c>
      <c r="P223" s="5">
        <f>XLOOKUP(R223, classification!C:C, classification!B:B, "Not Found")</f>
      </c>
      <c r="Q223" s="1" t="s">
        <v>5514</v>
      </c>
      <c r="R223" s="2"/>
      <c r="S223" s="2"/>
      <c r="T223" s="2"/>
      <c r="U223" s="2"/>
    </row>
    <row x14ac:dyDescent="0.25" r="224" customHeight="1" ht="17.25">
      <c r="A224" s="7">
        <v>223</v>
      </c>
      <c r="B224" s="1" t="s">
        <v>5739</v>
      </c>
      <c r="C224" s="5">
        <f>CONCATENATE("PD", TEXT(A224, "1000000"))</f>
      </c>
      <c r="D224" s="7">
        <v>74</v>
      </c>
      <c r="E224" s="5">
        <f>XLOOKUP(G224, item_category!C:C, item_category!B:B, "Not Found")</f>
      </c>
      <c r="F224" s="1" t="s">
        <v>5520</v>
      </c>
      <c r="G224" s="5">
        <f>XLOOKUP(I224, drug!B:B, drug!A:A, "Not Found")</f>
      </c>
      <c r="H224" s="1" t="s">
        <v>1518</v>
      </c>
      <c r="I224" s="7">
        <v>1</v>
      </c>
      <c r="J224" s="5">
        <f>XLOOKUP(L224, uom!C:C, uom!B:B, "Not Found")</f>
      </c>
      <c r="K224" s="1" t="s">
        <v>5511</v>
      </c>
      <c r="L224" s="5">
        <f>XLOOKUP(N224, uom!C:C, uom!B:B, "Not Found")</f>
      </c>
      <c r="M224" s="1" t="s">
        <v>5511</v>
      </c>
      <c r="N224" s="8" t="s">
        <v>5512</v>
      </c>
      <c r="O224" s="1" t="s">
        <v>5513</v>
      </c>
      <c r="P224" s="5">
        <f>XLOOKUP(R224, classification!C:C, classification!B:B, "Not Found")</f>
      </c>
      <c r="Q224" s="1" t="s">
        <v>5514</v>
      </c>
      <c r="R224" s="2"/>
      <c r="S224" s="2"/>
      <c r="T224" s="2"/>
      <c r="U224" s="2"/>
    </row>
    <row x14ac:dyDescent="0.25" r="225" customHeight="1" ht="17.25">
      <c r="A225" s="7">
        <v>224</v>
      </c>
      <c r="B225" s="1" t="s">
        <v>5740</v>
      </c>
      <c r="C225" s="5">
        <f>CONCATENATE("PD", TEXT(A225, "1000000"))</f>
      </c>
      <c r="D225" s="7">
        <v>74</v>
      </c>
      <c r="E225" s="5">
        <f>XLOOKUP(G225, item_category!C:C, item_category!B:B, "Not Found")</f>
      </c>
      <c r="F225" s="1" t="s">
        <v>5520</v>
      </c>
      <c r="G225" s="5">
        <f>XLOOKUP(I225, drug!B:B, drug!A:A, "Not Found")</f>
      </c>
      <c r="H225" s="1" t="s">
        <v>1520</v>
      </c>
      <c r="I225" s="7">
        <v>1</v>
      </c>
      <c r="J225" s="5">
        <f>XLOOKUP(L225, uom!C:C, uom!B:B, "Not Found")</f>
      </c>
      <c r="K225" s="1" t="s">
        <v>5511</v>
      </c>
      <c r="L225" s="5">
        <f>XLOOKUP(N225, uom!C:C, uom!B:B, "Not Found")</f>
      </c>
      <c r="M225" s="1" t="s">
        <v>5511</v>
      </c>
      <c r="N225" s="8" t="s">
        <v>5512</v>
      </c>
      <c r="O225" s="1" t="s">
        <v>5513</v>
      </c>
      <c r="P225" s="5">
        <f>XLOOKUP(R225, classification!C:C, classification!B:B, "Not Found")</f>
      </c>
      <c r="Q225" s="1" t="s">
        <v>5514</v>
      </c>
      <c r="R225" s="2"/>
      <c r="S225" s="2"/>
      <c r="T225" s="2"/>
      <c r="U225" s="2"/>
    </row>
    <row x14ac:dyDescent="0.25" r="226" customHeight="1" ht="17.25">
      <c r="A226" s="7">
        <v>225</v>
      </c>
      <c r="B226" s="1" t="s">
        <v>5741</v>
      </c>
      <c r="C226" s="5">
        <f>CONCATENATE("PD", TEXT(A226, "1000000"))</f>
      </c>
      <c r="D226" s="7">
        <v>74</v>
      </c>
      <c r="E226" s="5">
        <f>XLOOKUP(G226, item_category!C:C, item_category!B:B, "Not Found")</f>
      </c>
      <c r="F226" s="1" t="s">
        <v>5520</v>
      </c>
      <c r="G226" s="5">
        <f>XLOOKUP(I226, drug!B:B, drug!A:A, "Not Found")</f>
      </c>
      <c r="H226" s="1" t="s">
        <v>1522</v>
      </c>
      <c r="I226" s="7">
        <v>1</v>
      </c>
      <c r="J226" s="5">
        <f>XLOOKUP(L226, uom!C:C, uom!B:B, "Not Found")</f>
      </c>
      <c r="K226" s="1" t="s">
        <v>5511</v>
      </c>
      <c r="L226" s="5">
        <f>XLOOKUP(N226, uom!C:C, uom!B:B, "Not Found")</f>
      </c>
      <c r="M226" s="1" t="s">
        <v>5511</v>
      </c>
      <c r="N226" s="8" t="s">
        <v>5512</v>
      </c>
      <c r="O226" s="1" t="s">
        <v>5513</v>
      </c>
      <c r="P226" s="5">
        <f>XLOOKUP(R226, classification!C:C, classification!B:B, "Not Found")</f>
      </c>
      <c r="Q226" s="1" t="s">
        <v>5514</v>
      </c>
      <c r="R226" s="2"/>
      <c r="S226" s="2"/>
      <c r="T226" s="2"/>
      <c r="U226" s="2"/>
    </row>
    <row x14ac:dyDescent="0.25" r="227" customHeight="1" ht="17.25">
      <c r="A227" s="7">
        <v>226</v>
      </c>
      <c r="B227" s="1" t="s">
        <v>5742</v>
      </c>
      <c r="C227" s="5">
        <f>CONCATENATE("PD", TEXT(A227, "1000000"))</f>
      </c>
      <c r="D227" s="7">
        <v>74</v>
      </c>
      <c r="E227" s="5">
        <f>XLOOKUP(G227, item_category!C:C, item_category!B:B, "Not Found")</f>
      </c>
      <c r="F227" s="1" t="s">
        <v>5520</v>
      </c>
      <c r="G227" s="5">
        <f>XLOOKUP(I227, drug!B:B, drug!A:A, "Not Found")</f>
      </c>
      <c r="H227" s="1" t="s">
        <v>1228</v>
      </c>
      <c r="I227" s="7">
        <v>1</v>
      </c>
      <c r="J227" s="5">
        <f>XLOOKUP(L227, uom!C:C, uom!B:B, "Not Found")</f>
      </c>
      <c r="K227" s="1" t="s">
        <v>5511</v>
      </c>
      <c r="L227" s="5">
        <f>XLOOKUP(N227, uom!C:C, uom!B:B, "Not Found")</f>
      </c>
      <c r="M227" s="1" t="s">
        <v>5511</v>
      </c>
      <c r="N227" s="8" t="s">
        <v>5512</v>
      </c>
      <c r="O227" s="1" t="s">
        <v>5513</v>
      </c>
      <c r="P227" s="5">
        <f>XLOOKUP(R227, classification!C:C, classification!B:B, "Not Found")</f>
      </c>
      <c r="Q227" s="1" t="s">
        <v>5514</v>
      </c>
      <c r="R227" s="2"/>
      <c r="S227" s="2"/>
      <c r="T227" s="2"/>
      <c r="U227" s="2"/>
    </row>
    <row x14ac:dyDescent="0.25" r="228" customHeight="1" ht="17.25">
      <c r="A228" s="7">
        <v>227</v>
      </c>
      <c r="B228" s="1" t="s">
        <v>5743</v>
      </c>
      <c r="C228" s="5">
        <f>CONCATENATE("PD", TEXT(A228, "1000000"))</f>
      </c>
      <c r="D228" s="7">
        <v>74</v>
      </c>
      <c r="E228" s="5">
        <f>XLOOKUP(G228, item_category!C:C, item_category!B:B, "Not Found")</f>
      </c>
      <c r="F228" s="1" t="s">
        <v>5520</v>
      </c>
      <c r="G228" s="5">
        <f>XLOOKUP(I228, drug!B:B, drug!A:A, "Not Found")</f>
      </c>
      <c r="H228" s="1" t="s">
        <v>1228</v>
      </c>
      <c r="I228" s="7">
        <v>1</v>
      </c>
      <c r="J228" s="5">
        <f>XLOOKUP(L228, uom!C:C, uom!B:B, "Not Found")</f>
      </c>
      <c r="K228" s="1" t="s">
        <v>5511</v>
      </c>
      <c r="L228" s="5">
        <f>XLOOKUP(N228, uom!C:C, uom!B:B, "Not Found")</f>
      </c>
      <c r="M228" s="1" t="s">
        <v>5511</v>
      </c>
      <c r="N228" s="8" t="s">
        <v>5512</v>
      </c>
      <c r="O228" s="1" t="s">
        <v>5513</v>
      </c>
      <c r="P228" s="5">
        <f>XLOOKUP(R228, classification!C:C, classification!B:B, "Not Found")</f>
      </c>
      <c r="Q228" s="1" t="s">
        <v>5514</v>
      </c>
      <c r="R228" s="2"/>
      <c r="S228" s="2"/>
      <c r="T228" s="2"/>
      <c r="U228" s="2"/>
    </row>
    <row x14ac:dyDescent="0.25" r="229" customHeight="1" ht="17.25">
      <c r="A229" s="7">
        <v>228</v>
      </c>
      <c r="B229" s="1" t="s">
        <v>5744</v>
      </c>
      <c r="C229" s="5">
        <f>CONCATENATE("PD", TEXT(A229, "1000000"))</f>
      </c>
      <c r="D229" s="7">
        <v>74</v>
      </c>
      <c r="E229" s="5">
        <f>XLOOKUP(G229, item_category!C:C, item_category!B:B, "Not Found")</f>
      </c>
      <c r="F229" s="1" t="s">
        <v>5520</v>
      </c>
      <c r="G229" s="5">
        <f>XLOOKUP(I229, drug!B:B, drug!A:A, "Not Found")</f>
      </c>
      <c r="H229" s="1" t="s">
        <v>1524</v>
      </c>
      <c r="I229" s="7">
        <v>1</v>
      </c>
      <c r="J229" s="5">
        <f>XLOOKUP(L229, uom!C:C, uom!B:B, "Not Found")</f>
      </c>
      <c r="K229" s="1" t="s">
        <v>5511</v>
      </c>
      <c r="L229" s="5">
        <f>XLOOKUP(N229, uom!C:C, uom!B:B, "Not Found")</f>
      </c>
      <c r="M229" s="1" t="s">
        <v>5511</v>
      </c>
      <c r="N229" s="8" t="s">
        <v>5512</v>
      </c>
      <c r="O229" s="1" t="s">
        <v>5513</v>
      </c>
      <c r="P229" s="5">
        <f>XLOOKUP(R229, classification!C:C, classification!B:B, "Not Found")</f>
      </c>
      <c r="Q229" s="1" t="s">
        <v>5514</v>
      </c>
      <c r="R229" s="2"/>
      <c r="S229" s="2"/>
      <c r="T229" s="2"/>
      <c r="U229" s="2"/>
    </row>
    <row x14ac:dyDescent="0.25" r="230" customHeight="1" ht="17.25">
      <c r="A230" s="7">
        <v>229</v>
      </c>
      <c r="B230" s="1" t="s">
        <v>5745</v>
      </c>
      <c r="C230" s="5">
        <f>CONCATENATE("PD", TEXT(A230, "1000000"))</f>
      </c>
      <c r="D230" s="7">
        <v>74</v>
      </c>
      <c r="E230" s="5">
        <f>XLOOKUP(G230, item_category!C:C, item_category!B:B, "Not Found")</f>
      </c>
      <c r="F230" s="1" t="s">
        <v>5520</v>
      </c>
      <c r="G230" s="5">
        <f>XLOOKUP(I230, drug!B:B, drug!A:A, "Not Found")</f>
      </c>
      <c r="H230" s="1" t="s">
        <v>1526</v>
      </c>
      <c r="I230" s="7">
        <v>1</v>
      </c>
      <c r="J230" s="5">
        <f>XLOOKUP(L230, uom!C:C, uom!B:B, "Not Found")</f>
      </c>
      <c r="K230" s="1" t="s">
        <v>5511</v>
      </c>
      <c r="L230" s="5">
        <f>XLOOKUP(N230, uom!C:C, uom!B:B, "Not Found")</f>
      </c>
      <c r="M230" s="1" t="s">
        <v>5511</v>
      </c>
      <c r="N230" s="8" t="s">
        <v>5512</v>
      </c>
      <c r="O230" s="1" t="s">
        <v>5513</v>
      </c>
      <c r="P230" s="5">
        <f>XLOOKUP(R230, classification!C:C, classification!B:B, "Not Found")</f>
      </c>
      <c r="Q230" s="1" t="s">
        <v>5514</v>
      </c>
      <c r="R230" s="2"/>
      <c r="S230" s="2"/>
      <c r="T230" s="2"/>
      <c r="U230" s="2"/>
    </row>
    <row x14ac:dyDescent="0.25" r="231" customHeight="1" ht="17.25">
      <c r="A231" s="7">
        <v>230</v>
      </c>
      <c r="B231" s="1" t="s">
        <v>5746</v>
      </c>
      <c r="C231" s="5">
        <f>CONCATENATE("PD", TEXT(A231, "1000000"))</f>
      </c>
      <c r="D231" s="7">
        <v>74</v>
      </c>
      <c r="E231" s="5">
        <f>XLOOKUP(G231, item_category!C:C, item_category!B:B, "Not Found")</f>
      </c>
      <c r="F231" s="1" t="s">
        <v>5520</v>
      </c>
      <c r="G231" s="5">
        <f>XLOOKUP(I231, drug!B:B, drug!A:A, "Not Found")</f>
      </c>
      <c r="H231" s="1" t="s">
        <v>1364</v>
      </c>
      <c r="I231" s="7">
        <v>1</v>
      </c>
      <c r="J231" s="5">
        <f>XLOOKUP(L231, uom!C:C, uom!B:B, "Not Found")</f>
      </c>
      <c r="K231" s="1" t="s">
        <v>5511</v>
      </c>
      <c r="L231" s="5">
        <f>XLOOKUP(N231, uom!C:C, uom!B:B, "Not Found")</f>
      </c>
      <c r="M231" s="1" t="s">
        <v>5511</v>
      </c>
      <c r="N231" s="8" t="s">
        <v>5512</v>
      </c>
      <c r="O231" s="1" t="s">
        <v>5513</v>
      </c>
      <c r="P231" s="5">
        <f>XLOOKUP(R231, classification!C:C, classification!B:B, "Not Found")</f>
      </c>
      <c r="Q231" s="1" t="s">
        <v>5514</v>
      </c>
      <c r="R231" s="2"/>
      <c r="S231" s="2"/>
      <c r="T231" s="2"/>
      <c r="U231" s="2"/>
    </row>
    <row x14ac:dyDescent="0.25" r="232" customHeight="1" ht="17.25">
      <c r="A232" s="7">
        <v>231</v>
      </c>
      <c r="B232" s="1" t="s">
        <v>5747</v>
      </c>
      <c r="C232" s="5">
        <f>CONCATENATE("PD", TEXT(A232, "1000000"))</f>
      </c>
      <c r="D232" s="7">
        <v>74</v>
      </c>
      <c r="E232" s="5">
        <f>XLOOKUP(G232, item_category!C:C, item_category!B:B, "Not Found")</f>
      </c>
      <c r="F232" s="1" t="s">
        <v>5520</v>
      </c>
      <c r="G232" s="5">
        <f>XLOOKUP(I232, drug!B:B, drug!A:A, "Not Found")</f>
      </c>
      <c r="H232" s="1" t="s">
        <v>1528</v>
      </c>
      <c r="I232" s="7">
        <v>1</v>
      </c>
      <c r="J232" s="5">
        <f>XLOOKUP(L232, uom!C:C, uom!B:B, "Not Found")</f>
      </c>
      <c r="K232" s="1" t="s">
        <v>5511</v>
      </c>
      <c r="L232" s="5">
        <f>XLOOKUP(N232, uom!C:C, uom!B:B, "Not Found")</f>
      </c>
      <c r="M232" s="1" t="s">
        <v>5511</v>
      </c>
      <c r="N232" s="8" t="s">
        <v>5512</v>
      </c>
      <c r="O232" s="1" t="s">
        <v>5513</v>
      </c>
      <c r="P232" s="5">
        <f>XLOOKUP(R232, classification!C:C, classification!B:B, "Not Found")</f>
      </c>
      <c r="Q232" s="1" t="s">
        <v>5514</v>
      </c>
      <c r="R232" s="2"/>
      <c r="S232" s="2"/>
      <c r="T232" s="2"/>
      <c r="U232" s="2"/>
    </row>
    <row x14ac:dyDescent="0.25" r="233" customHeight="1" ht="17.25">
      <c r="A233" s="7">
        <v>232</v>
      </c>
      <c r="B233" s="1" t="s">
        <v>5748</v>
      </c>
      <c r="C233" s="5">
        <f>CONCATENATE("PD", TEXT(A233, "1000000"))</f>
      </c>
      <c r="D233" s="7">
        <v>74</v>
      </c>
      <c r="E233" s="5">
        <f>XLOOKUP(G233, item_category!C:C, item_category!B:B, "Not Found")</f>
      </c>
      <c r="F233" s="1" t="s">
        <v>5520</v>
      </c>
      <c r="G233" s="5">
        <f>XLOOKUP(I233, drug!B:B, drug!A:A, "Not Found")</f>
      </c>
      <c r="H233" s="1" t="s">
        <v>1530</v>
      </c>
      <c r="I233" s="7">
        <v>1</v>
      </c>
      <c r="J233" s="5">
        <f>XLOOKUP(L233, uom!C:C, uom!B:B, "Not Found")</f>
      </c>
      <c r="K233" s="1" t="s">
        <v>5511</v>
      </c>
      <c r="L233" s="5">
        <f>XLOOKUP(N233, uom!C:C, uom!B:B, "Not Found")</f>
      </c>
      <c r="M233" s="1" t="s">
        <v>5511</v>
      </c>
      <c r="N233" s="8" t="s">
        <v>5512</v>
      </c>
      <c r="O233" s="1" t="s">
        <v>5513</v>
      </c>
      <c r="P233" s="5">
        <f>XLOOKUP(R233, classification!C:C, classification!B:B, "Not Found")</f>
      </c>
      <c r="Q233" s="1" t="s">
        <v>5514</v>
      </c>
      <c r="R233" s="2"/>
      <c r="S233" s="2"/>
      <c r="T233" s="2"/>
      <c r="U233" s="2"/>
    </row>
    <row x14ac:dyDescent="0.25" r="234" customHeight="1" ht="17.25">
      <c r="A234" s="7">
        <v>233</v>
      </c>
      <c r="B234" s="1" t="s">
        <v>5749</v>
      </c>
      <c r="C234" s="5">
        <f>CONCATENATE("PD", TEXT(A234, "1000000"))</f>
      </c>
      <c r="D234" s="7">
        <v>74</v>
      </c>
      <c r="E234" s="5">
        <f>XLOOKUP(G234, item_category!C:C, item_category!B:B, "Not Found")</f>
      </c>
      <c r="F234" s="1" t="s">
        <v>5520</v>
      </c>
      <c r="G234" s="5">
        <f>XLOOKUP(I234, drug!B:B, drug!A:A, "Not Found")</f>
      </c>
      <c r="H234" s="1" t="s">
        <v>1532</v>
      </c>
      <c r="I234" s="7">
        <v>1</v>
      </c>
      <c r="J234" s="5">
        <f>XLOOKUP(L234, uom!C:C, uom!B:B, "Not Found")</f>
      </c>
      <c r="K234" s="1" t="s">
        <v>5511</v>
      </c>
      <c r="L234" s="5">
        <f>XLOOKUP(N234, uom!C:C, uom!B:B, "Not Found")</f>
      </c>
      <c r="M234" s="1" t="s">
        <v>5511</v>
      </c>
      <c r="N234" s="8" t="s">
        <v>5512</v>
      </c>
      <c r="O234" s="1" t="s">
        <v>5513</v>
      </c>
      <c r="P234" s="5">
        <f>XLOOKUP(R234, classification!C:C, classification!B:B, "Not Found")</f>
      </c>
      <c r="Q234" s="1" t="s">
        <v>5514</v>
      </c>
      <c r="R234" s="2"/>
      <c r="S234" s="2"/>
      <c r="T234" s="2"/>
      <c r="U234" s="2"/>
    </row>
    <row x14ac:dyDescent="0.25" r="235" customHeight="1" ht="17.25">
      <c r="A235" s="7">
        <v>234</v>
      </c>
      <c r="B235" s="1" t="s">
        <v>5750</v>
      </c>
      <c r="C235" s="5">
        <f>CONCATENATE("PD", TEXT(A235, "1000000"))</f>
      </c>
      <c r="D235" s="7">
        <v>74</v>
      </c>
      <c r="E235" s="5">
        <f>XLOOKUP(G235, item_category!C:C, item_category!B:B, "Not Found")</f>
      </c>
      <c r="F235" s="1" t="s">
        <v>5520</v>
      </c>
      <c r="G235" s="5">
        <f>XLOOKUP(I235, drug!B:B, drug!A:A, "Not Found")</f>
      </c>
      <c r="H235" s="1" t="s">
        <v>1534</v>
      </c>
      <c r="I235" s="7">
        <v>1</v>
      </c>
      <c r="J235" s="5">
        <f>XLOOKUP(L235, uom!C:C, uom!B:B, "Not Found")</f>
      </c>
      <c r="K235" s="1" t="s">
        <v>5511</v>
      </c>
      <c r="L235" s="5">
        <f>XLOOKUP(N235, uom!C:C, uom!B:B, "Not Found")</f>
      </c>
      <c r="M235" s="1" t="s">
        <v>5511</v>
      </c>
      <c r="N235" s="8" t="s">
        <v>5512</v>
      </c>
      <c r="O235" s="1" t="s">
        <v>5513</v>
      </c>
      <c r="P235" s="5">
        <f>XLOOKUP(R235, classification!C:C, classification!B:B, "Not Found")</f>
      </c>
      <c r="Q235" s="1" t="s">
        <v>5514</v>
      </c>
      <c r="R235" s="2"/>
      <c r="S235" s="2"/>
      <c r="T235" s="2"/>
      <c r="U235" s="2"/>
    </row>
    <row x14ac:dyDescent="0.25" r="236" customHeight="1" ht="17.25">
      <c r="A236" s="7">
        <v>235</v>
      </c>
      <c r="B236" s="1" t="s">
        <v>5751</v>
      </c>
      <c r="C236" s="5">
        <f>CONCATENATE("PD", TEXT(A236, "1000000"))</f>
      </c>
      <c r="D236" s="7">
        <v>74</v>
      </c>
      <c r="E236" s="5">
        <f>XLOOKUP(G236, item_category!C:C, item_category!B:B, "Not Found")</f>
      </c>
      <c r="F236" s="1" t="s">
        <v>5520</v>
      </c>
      <c r="G236" s="5">
        <f>XLOOKUP(I236, drug!B:B, drug!A:A, "Not Found")</f>
      </c>
      <c r="H236" s="1" t="s">
        <v>75</v>
      </c>
      <c r="I236" s="7">
        <v>1</v>
      </c>
      <c r="J236" s="5">
        <f>XLOOKUP(L236, uom!C:C, uom!B:B, "Not Found")</f>
      </c>
      <c r="K236" s="1" t="s">
        <v>5544</v>
      </c>
      <c r="L236" s="5">
        <f>XLOOKUP(N236, uom!C:C, uom!B:B, "Not Found")</f>
      </c>
      <c r="M236" s="1" t="s">
        <v>5544</v>
      </c>
      <c r="N236" s="8" t="s">
        <v>5524</v>
      </c>
      <c r="O236" s="1" t="s">
        <v>5525</v>
      </c>
      <c r="P236" s="5">
        <f>XLOOKUP(R236, classification!C:C, classification!B:B, "Not Found")</f>
      </c>
      <c r="Q236" s="1" t="s">
        <v>5514</v>
      </c>
      <c r="R236" s="2"/>
      <c r="S236" s="2"/>
      <c r="T236" s="2"/>
      <c r="U236" s="2"/>
    </row>
    <row x14ac:dyDescent="0.25" r="237" customHeight="1" ht="17.25">
      <c r="A237" s="7">
        <v>236</v>
      </c>
      <c r="B237" s="1" t="s">
        <v>5752</v>
      </c>
      <c r="C237" s="5">
        <f>CONCATENATE("PD", TEXT(A237, "1000000"))</f>
      </c>
      <c r="D237" s="7">
        <v>74</v>
      </c>
      <c r="E237" s="5">
        <f>XLOOKUP(G237, item_category!C:C, item_category!B:B, "Not Found")</f>
      </c>
      <c r="F237" s="1" t="s">
        <v>5520</v>
      </c>
      <c r="G237" s="5">
        <f>XLOOKUP(I237, drug!B:B, drug!A:A, "Not Found")</f>
      </c>
      <c r="H237" s="1" t="s">
        <v>1536</v>
      </c>
      <c r="I237" s="7">
        <v>1</v>
      </c>
      <c r="J237" s="5">
        <f>XLOOKUP(L237, uom!C:C, uom!B:B, "Not Found")</f>
      </c>
      <c r="K237" s="1" t="s">
        <v>5511</v>
      </c>
      <c r="L237" s="5">
        <f>XLOOKUP(N237, uom!C:C, uom!B:B, "Not Found")</f>
      </c>
      <c r="M237" s="1" t="s">
        <v>5511</v>
      </c>
      <c r="N237" s="8" t="s">
        <v>5512</v>
      </c>
      <c r="O237" s="1" t="s">
        <v>5513</v>
      </c>
      <c r="P237" s="5">
        <f>XLOOKUP(R237, classification!C:C, classification!B:B, "Not Found")</f>
      </c>
      <c r="Q237" s="1" t="s">
        <v>5514</v>
      </c>
      <c r="R237" s="2"/>
      <c r="S237" s="2"/>
      <c r="T237" s="2"/>
      <c r="U237" s="2"/>
    </row>
    <row x14ac:dyDescent="0.25" r="238" customHeight="1" ht="17.25">
      <c r="A238" s="7">
        <v>237</v>
      </c>
      <c r="B238" s="1" t="s">
        <v>5753</v>
      </c>
      <c r="C238" s="5">
        <f>CONCATENATE("PD", TEXT(A238, "1000000"))</f>
      </c>
      <c r="D238" s="7">
        <v>74</v>
      </c>
      <c r="E238" s="5">
        <f>XLOOKUP(G238, item_category!C:C, item_category!B:B, "Not Found")</f>
      </c>
      <c r="F238" s="1" t="s">
        <v>5520</v>
      </c>
      <c r="G238" s="5">
        <f>XLOOKUP(I238, drug!B:B, drug!A:A, "Not Found")</f>
      </c>
      <c r="H238" s="1" t="s">
        <v>1538</v>
      </c>
      <c r="I238" s="7">
        <v>1</v>
      </c>
      <c r="J238" s="5">
        <f>XLOOKUP(L238, uom!C:C, uom!B:B, "Not Found")</f>
      </c>
      <c r="K238" s="1" t="s">
        <v>5511</v>
      </c>
      <c r="L238" s="5">
        <f>XLOOKUP(N238, uom!C:C, uom!B:B, "Not Found")</f>
      </c>
      <c r="M238" s="1" t="s">
        <v>5511</v>
      </c>
      <c r="N238" s="8" t="s">
        <v>5512</v>
      </c>
      <c r="O238" s="1" t="s">
        <v>5513</v>
      </c>
      <c r="P238" s="5">
        <f>XLOOKUP(R238, classification!C:C, classification!B:B, "Not Found")</f>
      </c>
      <c r="Q238" s="1" t="s">
        <v>5514</v>
      </c>
      <c r="R238" s="2"/>
      <c r="S238" s="2"/>
      <c r="T238" s="2"/>
      <c r="U238" s="2"/>
    </row>
    <row x14ac:dyDescent="0.25" r="239" customHeight="1" ht="17.25">
      <c r="A239" s="7">
        <v>238</v>
      </c>
      <c r="B239" s="1" t="s">
        <v>5754</v>
      </c>
      <c r="C239" s="5">
        <f>CONCATENATE("PD", TEXT(A239, "1000000"))</f>
      </c>
      <c r="D239" s="7">
        <v>74</v>
      </c>
      <c r="E239" s="5">
        <f>XLOOKUP(G239, item_category!C:C, item_category!B:B, "Not Found")</f>
      </c>
      <c r="F239" s="1" t="s">
        <v>5520</v>
      </c>
      <c r="G239" s="5">
        <f>XLOOKUP(I239, drug!B:B, drug!A:A, "Not Found")</f>
      </c>
      <c r="H239" s="1" t="s">
        <v>1002</v>
      </c>
      <c r="I239" s="7">
        <v>1</v>
      </c>
      <c r="J239" s="5">
        <f>XLOOKUP(L239, uom!C:C, uom!B:B, "Not Found")</f>
      </c>
      <c r="K239" s="1" t="s">
        <v>5511</v>
      </c>
      <c r="L239" s="5">
        <f>XLOOKUP(N239, uom!C:C, uom!B:B, "Not Found")</f>
      </c>
      <c r="M239" s="1" t="s">
        <v>5511</v>
      </c>
      <c r="N239" s="8" t="s">
        <v>5512</v>
      </c>
      <c r="O239" s="1" t="s">
        <v>5513</v>
      </c>
      <c r="P239" s="5">
        <f>XLOOKUP(R239, classification!C:C, classification!B:B, "Not Found")</f>
      </c>
      <c r="Q239" s="1" t="s">
        <v>5514</v>
      </c>
      <c r="R239" s="2"/>
      <c r="S239" s="2"/>
      <c r="T239" s="2"/>
      <c r="U239" s="2"/>
    </row>
    <row x14ac:dyDescent="0.25" r="240" customHeight="1" ht="17.25">
      <c r="A240" s="7">
        <v>239</v>
      </c>
      <c r="B240" s="1" t="s">
        <v>5755</v>
      </c>
      <c r="C240" s="5">
        <f>CONCATENATE("PD", TEXT(A240, "1000000"))</f>
      </c>
      <c r="D240" s="7">
        <v>74</v>
      </c>
      <c r="E240" s="5">
        <f>XLOOKUP(G240, item_category!C:C, item_category!B:B, "Not Found")</f>
      </c>
      <c r="F240" s="1" t="s">
        <v>5520</v>
      </c>
      <c r="G240" s="5">
        <f>XLOOKUP(I240, drug!B:B, drug!A:A, "Not Found")</f>
      </c>
      <c r="H240" s="1" t="s">
        <v>1002</v>
      </c>
      <c r="I240" s="7">
        <v>1</v>
      </c>
      <c r="J240" s="5">
        <f>XLOOKUP(L240, uom!C:C, uom!B:B, "Not Found")</f>
      </c>
      <c r="K240" s="1" t="s">
        <v>5511</v>
      </c>
      <c r="L240" s="5">
        <f>XLOOKUP(N240, uom!C:C, uom!B:B, "Not Found")</f>
      </c>
      <c r="M240" s="1" t="s">
        <v>5511</v>
      </c>
      <c r="N240" s="8" t="s">
        <v>5512</v>
      </c>
      <c r="O240" s="1" t="s">
        <v>5513</v>
      </c>
      <c r="P240" s="5">
        <f>XLOOKUP(R240, classification!C:C, classification!B:B, "Not Found")</f>
      </c>
      <c r="Q240" s="1" t="s">
        <v>5514</v>
      </c>
      <c r="R240" s="2"/>
      <c r="S240" s="2"/>
      <c r="T240" s="2"/>
      <c r="U240" s="2"/>
    </row>
    <row x14ac:dyDescent="0.25" r="241" customHeight="1" ht="17.25">
      <c r="A241" s="7">
        <v>240</v>
      </c>
      <c r="B241" s="1" t="s">
        <v>5756</v>
      </c>
      <c r="C241" s="5">
        <f>CONCATENATE("PD", TEXT(A241, "1000000"))</f>
      </c>
      <c r="D241" s="7">
        <v>74</v>
      </c>
      <c r="E241" s="5">
        <f>XLOOKUP(G241, item_category!C:C, item_category!B:B, "Not Found")</f>
      </c>
      <c r="F241" s="1" t="s">
        <v>5520</v>
      </c>
      <c r="G241" s="5">
        <f>XLOOKUP(I241, drug!B:B, drug!A:A, "Not Found")</f>
      </c>
      <c r="H241" s="1" t="s">
        <v>1002</v>
      </c>
      <c r="I241" s="7">
        <v>1</v>
      </c>
      <c r="J241" s="5">
        <f>XLOOKUP(L241, uom!C:C, uom!B:B, "Not Found")</f>
      </c>
      <c r="K241" s="1" t="s">
        <v>5511</v>
      </c>
      <c r="L241" s="5">
        <f>XLOOKUP(N241, uom!C:C, uom!B:B, "Not Found")</f>
      </c>
      <c r="M241" s="1" t="s">
        <v>5511</v>
      </c>
      <c r="N241" s="8" t="s">
        <v>5512</v>
      </c>
      <c r="O241" s="1" t="s">
        <v>5513</v>
      </c>
      <c r="P241" s="5">
        <f>XLOOKUP(R241, classification!C:C, classification!B:B, "Not Found")</f>
      </c>
      <c r="Q241" s="1" t="s">
        <v>5514</v>
      </c>
      <c r="R241" s="2"/>
      <c r="S241" s="2"/>
      <c r="T241" s="2"/>
      <c r="U241" s="2"/>
    </row>
    <row x14ac:dyDescent="0.25" r="242" customHeight="1" ht="17.25">
      <c r="A242" s="7">
        <v>241</v>
      </c>
      <c r="B242" s="1" t="s">
        <v>5757</v>
      </c>
      <c r="C242" s="5">
        <f>CONCATENATE("PD", TEXT(A242, "1000000"))</f>
      </c>
      <c r="D242" s="7">
        <v>74</v>
      </c>
      <c r="E242" s="5">
        <f>XLOOKUP(G242, item_category!C:C, item_category!B:B, "Not Found")</f>
      </c>
      <c r="F242" s="1" t="s">
        <v>5520</v>
      </c>
      <c r="G242" s="5">
        <f>XLOOKUP(I242, drug!B:B, drug!A:A, "Not Found")</f>
      </c>
      <c r="H242" s="1" t="s">
        <v>1540</v>
      </c>
      <c r="I242" s="7">
        <v>1</v>
      </c>
      <c r="J242" s="5">
        <f>XLOOKUP(L242, uom!C:C, uom!B:B, "Not Found")</f>
      </c>
      <c r="K242" s="1" t="s">
        <v>5511</v>
      </c>
      <c r="L242" s="5">
        <f>XLOOKUP(N242, uom!C:C, uom!B:B, "Not Found")</f>
      </c>
      <c r="M242" s="1" t="s">
        <v>5511</v>
      </c>
      <c r="N242" s="8" t="s">
        <v>5512</v>
      </c>
      <c r="O242" s="1" t="s">
        <v>5513</v>
      </c>
      <c r="P242" s="5">
        <f>XLOOKUP(R242, classification!C:C, classification!B:B, "Not Found")</f>
      </c>
      <c r="Q242" s="1" t="s">
        <v>5514</v>
      </c>
      <c r="R242" s="2"/>
      <c r="S242" s="2"/>
      <c r="T242" s="2"/>
      <c r="U242" s="2"/>
    </row>
    <row x14ac:dyDescent="0.25" r="243" customHeight="1" ht="17.25">
      <c r="A243" s="7">
        <v>242</v>
      </c>
      <c r="B243" s="1" t="s">
        <v>5758</v>
      </c>
      <c r="C243" s="5">
        <f>CONCATENATE("PD", TEXT(A243, "1000000"))</f>
      </c>
      <c r="D243" s="7">
        <v>74</v>
      </c>
      <c r="E243" s="5">
        <f>XLOOKUP(G243, item_category!C:C, item_category!B:B, "Not Found")</f>
      </c>
      <c r="F243" s="1" t="s">
        <v>5520</v>
      </c>
      <c r="G243" s="5">
        <f>XLOOKUP(I243, drug!B:B, drug!A:A, "Not Found")</f>
      </c>
      <c r="H243" s="1" t="s">
        <v>1542</v>
      </c>
      <c r="I243" s="7">
        <v>1</v>
      </c>
      <c r="J243" s="5">
        <f>XLOOKUP(L243, uom!C:C, uom!B:B, "Not Found")</f>
      </c>
      <c r="K243" s="1" t="s">
        <v>5511</v>
      </c>
      <c r="L243" s="5">
        <f>XLOOKUP(N243, uom!C:C, uom!B:B, "Not Found")</f>
      </c>
      <c r="M243" s="1" t="s">
        <v>5511</v>
      </c>
      <c r="N243" s="8" t="s">
        <v>5512</v>
      </c>
      <c r="O243" s="1" t="s">
        <v>5513</v>
      </c>
      <c r="P243" s="5">
        <f>XLOOKUP(R243, classification!C:C, classification!B:B, "Not Found")</f>
      </c>
      <c r="Q243" s="1" t="s">
        <v>5514</v>
      </c>
      <c r="R243" s="2"/>
      <c r="S243" s="2"/>
      <c r="T243" s="2"/>
      <c r="U243" s="2"/>
    </row>
    <row x14ac:dyDescent="0.25" r="244" customHeight="1" ht="17.25">
      <c r="A244" s="7">
        <v>243</v>
      </c>
      <c r="B244" s="1" t="s">
        <v>5759</v>
      </c>
      <c r="C244" s="5">
        <f>CONCATENATE("PD", TEXT(A244, "1000000"))</f>
      </c>
      <c r="D244" s="7">
        <v>74</v>
      </c>
      <c r="E244" s="5">
        <f>XLOOKUP(G244, item_category!C:C, item_category!B:B, "Not Found")</f>
      </c>
      <c r="F244" s="1" t="s">
        <v>5520</v>
      </c>
      <c r="G244" s="5">
        <f>XLOOKUP(I244, drug!B:B, drug!A:A, "Not Found")</f>
      </c>
      <c r="H244" s="1" t="s">
        <v>1544</v>
      </c>
      <c r="I244" s="7">
        <v>1</v>
      </c>
      <c r="J244" s="5">
        <f>XLOOKUP(L244, uom!C:C, uom!B:B, "Not Found")</f>
      </c>
      <c r="K244" s="1" t="s">
        <v>5511</v>
      </c>
      <c r="L244" s="5">
        <f>XLOOKUP(N244, uom!C:C, uom!B:B, "Not Found")</f>
      </c>
      <c r="M244" s="1" t="s">
        <v>5511</v>
      </c>
      <c r="N244" s="8" t="s">
        <v>5512</v>
      </c>
      <c r="O244" s="1" t="s">
        <v>5513</v>
      </c>
      <c r="P244" s="5">
        <f>XLOOKUP(R244, classification!C:C, classification!B:B, "Not Found")</f>
      </c>
      <c r="Q244" s="1" t="s">
        <v>5514</v>
      </c>
      <c r="R244" s="2"/>
      <c r="S244" s="2"/>
      <c r="T244" s="2"/>
      <c r="U244" s="2"/>
    </row>
    <row x14ac:dyDescent="0.25" r="245" customHeight="1" ht="17.25">
      <c r="A245" s="7">
        <v>244</v>
      </c>
      <c r="B245" s="1" t="s">
        <v>5760</v>
      </c>
      <c r="C245" s="5">
        <f>CONCATENATE("PD", TEXT(A245, "1000000"))</f>
      </c>
      <c r="D245" s="7">
        <v>74</v>
      </c>
      <c r="E245" s="5">
        <f>XLOOKUP(G245, item_category!C:C, item_category!B:B, "Not Found")</f>
      </c>
      <c r="F245" s="1" t="s">
        <v>5520</v>
      </c>
      <c r="G245" s="5">
        <f>XLOOKUP(I245, drug!B:B, drug!A:A, "Not Found")</f>
      </c>
      <c r="H245" s="1" t="s">
        <v>1546</v>
      </c>
      <c r="I245" s="7">
        <v>1</v>
      </c>
      <c r="J245" s="5">
        <f>XLOOKUP(L245, uom!C:C, uom!B:B, "Not Found")</f>
      </c>
      <c r="K245" s="1" t="s">
        <v>5511</v>
      </c>
      <c r="L245" s="5">
        <f>XLOOKUP(N245, uom!C:C, uom!B:B, "Not Found")</f>
      </c>
      <c r="M245" s="1" t="s">
        <v>5511</v>
      </c>
      <c r="N245" s="8" t="s">
        <v>5512</v>
      </c>
      <c r="O245" s="1" t="s">
        <v>5513</v>
      </c>
      <c r="P245" s="5">
        <f>XLOOKUP(R245, classification!C:C, classification!B:B, "Not Found")</f>
      </c>
      <c r="Q245" s="1" t="s">
        <v>5514</v>
      </c>
      <c r="R245" s="2"/>
      <c r="S245" s="2"/>
      <c r="T245" s="2"/>
      <c r="U245" s="2"/>
    </row>
    <row x14ac:dyDescent="0.25" r="246" customHeight="1" ht="17.25">
      <c r="A246" s="7">
        <v>245</v>
      </c>
      <c r="B246" s="1" t="s">
        <v>5761</v>
      </c>
      <c r="C246" s="5">
        <f>CONCATENATE("PD", TEXT(A246, "1000000"))</f>
      </c>
      <c r="D246" s="7">
        <v>74</v>
      </c>
      <c r="E246" s="5">
        <f>XLOOKUP(G246, item_category!C:C, item_category!B:B, "Not Found")</f>
      </c>
      <c r="F246" s="1" t="s">
        <v>5520</v>
      </c>
      <c r="G246" s="5">
        <f>XLOOKUP(I246, drug!B:B, drug!A:A, "Not Found")</f>
      </c>
      <c r="H246" s="1" t="s">
        <v>1548</v>
      </c>
      <c r="I246" s="7">
        <v>1</v>
      </c>
      <c r="J246" s="5">
        <f>XLOOKUP(L246, uom!C:C, uom!B:B, "Not Found")</f>
      </c>
      <c r="K246" s="1" t="s">
        <v>5511</v>
      </c>
      <c r="L246" s="5">
        <f>XLOOKUP(N246, uom!C:C, uom!B:B, "Not Found")</f>
      </c>
      <c r="M246" s="1" t="s">
        <v>5511</v>
      </c>
      <c r="N246" s="8" t="s">
        <v>5512</v>
      </c>
      <c r="O246" s="1" t="s">
        <v>5513</v>
      </c>
      <c r="P246" s="5">
        <f>XLOOKUP(R246, classification!C:C, classification!B:B, "Not Found")</f>
      </c>
      <c r="Q246" s="1" t="s">
        <v>5514</v>
      </c>
      <c r="R246" s="2"/>
      <c r="S246" s="2"/>
      <c r="T246" s="2"/>
      <c r="U246" s="2"/>
    </row>
    <row x14ac:dyDescent="0.25" r="247" customHeight="1" ht="17.25">
      <c r="A247" s="7">
        <v>246</v>
      </c>
      <c r="B247" s="1" t="s">
        <v>5761</v>
      </c>
      <c r="C247" s="5">
        <f>CONCATENATE("PD", TEXT(A247, "1000000"))</f>
      </c>
      <c r="D247" s="7">
        <v>74</v>
      </c>
      <c r="E247" s="5">
        <f>XLOOKUP(G247, item_category!C:C, item_category!B:B, "Not Found")</f>
      </c>
      <c r="F247" s="1" t="s">
        <v>5520</v>
      </c>
      <c r="G247" s="5">
        <f>XLOOKUP(I247, drug!B:B, drug!A:A, "Not Found")</f>
      </c>
      <c r="H247" s="1" t="s">
        <v>1548</v>
      </c>
      <c r="I247" s="7">
        <v>1</v>
      </c>
      <c r="J247" s="5">
        <f>XLOOKUP(L247, uom!C:C, uom!B:B, "Not Found")</f>
      </c>
      <c r="K247" s="1" t="s">
        <v>5511</v>
      </c>
      <c r="L247" s="5">
        <f>XLOOKUP(N247, uom!C:C, uom!B:B, "Not Found")</f>
      </c>
      <c r="M247" s="1" t="s">
        <v>5511</v>
      </c>
      <c r="N247" s="8" t="s">
        <v>5512</v>
      </c>
      <c r="O247" s="1" t="s">
        <v>5513</v>
      </c>
      <c r="P247" s="5">
        <f>XLOOKUP(R247, classification!C:C, classification!B:B, "Not Found")</f>
      </c>
      <c r="Q247" s="1" t="s">
        <v>5514</v>
      </c>
      <c r="R247" s="2"/>
      <c r="S247" s="2"/>
      <c r="T247" s="2"/>
      <c r="U247" s="2"/>
    </row>
    <row x14ac:dyDescent="0.25" r="248" customHeight="1" ht="17.25">
      <c r="A248" s="7">
        <v>247</v>
      </c>
      <c r="B248" s="1" t="s">
        <v>5762</v>
      </c>
      <c r="C248" s="5">
        <f>CONCATENATE("PD", TEXT(A248, "1000000"))</f>
      </c>
      <c r="D248" s="7">
        <v>74</v>
      </c>
      <c r="E248" s="5">
        <f>XLOOKUP(G248, item_category!C:C, item_category!B:B, "Not Found")</f>
      </c>
      <c r="F248" s="1" t="s">
        <v>5520</v>
      </c>
      <c r="G248" s="5">
        <f>XLOOKUP(I248, drug!B:B, drug!A:A, "Not Found")</f>
      </c>
      <c r="H248" s="1" t="s">
        <v>1548</v>
      </c>
      <c r="I248" s="7">
        <v>1</v>
      </c>
      <c r="J248" s="5">
        <f>XLOOKUP(L248, uom!C:C, uom!B:B, "Not Found")</f>
      </c>
      <c r="K248" s="1" t="s">
        <v>5511</v>
      </c>
      <c r="L248" s="5">
        <f>XLOOKUP(N248, uom!C:C, uom!B:B, "Not Found")</f>
      </c>
      <c r="M248" s="1" t="s">
        <v>5511</v>
      </c>
      <c r="N248" s="8" t="s">
        <v>5512</v>
      </c>
      <c r="O248" s="1" t="s">
        <v>5513</v>
      </c>
      <c r="P248" s="5">
        <f>XLOOKUP(R248, classification!C:C, classification!B:B, "Not Found")</f>
      </c>
      <c r="Q248" s="1" t="s">
        <v>5514</v>
      </c>
      <c r="R248" s="2"/>
      <c r="S248" s="2"/>
      <c r="T248" s="2"/>
      <c r="U248" s="2"/>
    </row>
    <row x14ac:dyDescent="0.25" r="249" customHeight="1" ht="17.25">
      <c r="A249" s="7">
        <v>248</v>
      </c>
      <c r="B249" s="1" t="s">
        <v>5762</v>
      </c>
      <c r="C249" s="5">
        <f>CONCATENATE("PD", TEXT(A249, "1000000"))</f>
      </c>
      <c r="D249" s="7">
        <v>74</v>
      </c>
      <c r="E249" s="5">
        <f>XLOOKUP(G249, item_category!C:C, item_category!B:B, "Not Found")</f>
      </c>
      <c r="F249" s="1" t="s">
        <v>5520</v>
      </c>
      <c r="G249" s="5">
        <f>XLOOKUP(I249, drug!B:B, drug!A:A, "Not Found")</f>
      </c>
      <c r="H249" s="1" t="s">
        <v>1548</v>
      </c>
      <c r="I249" s="7">
        <v>1</v>
      </c>
      <c r="J249" s="5">
        <f>XLOOKUP(L249, uom!C:C, uom!B:B, "Not Found")</f>
      </c>
      <c r="K249" s="1" t="s">
        <v>5511</v>
      </c>
      <c r="L249" s="5">
        <f>XLOOKUP(N249, uom!C:C, uom!B:B, "Not Found")</f>
      </c>
      <c r="M249" s="1" t="s">
        <v>5511</v>
      </c>
      <c r="N249" s="8" t="s">
        <v>5512</v>
      </c>
      <c r="O249" s="1" t="s">
        <v>5513</v>
      </c>
      <c r="P249" s="5">
        <f>XLOOKUP(R249, classification!C:C, classification!B:B, "Not Found")</f>
      </c>
      <c r="Q249" s="1" t="s">
        <v>5514</v>
      </c>
      <c r="R249" s="2"/>
      <c r="S249" s="2"/>
      <c r="T249" s="2"/>
      <c r="U249" s="2"/>
    </row>
    <row x14ac:dyDescent="0.25" r="250" customHeight="1" ht="17.25">
      <c r="A250" s="7">
        <v>249</v>
      </c>
      <c r="B250" s="1" t="s">
        <v>5763</v>
      </c>
      <c r="C250" s="5">
        <f>CONCATENATE("PD", TEXT(A250, "1000000"))</f>
      </c>
      <c r="D250" s="7">
        <v>74</v>
      </c>
      <c r="E250" s="5">
        <f>XLOOKUP(G250, item_category!C:C, item_category!B:B, "Not Found")</f>
      </c>
      <c r="F250" s="1" t="s">
        <v>5520</v>
      </c>
      <c r="G250" s="5">
        <f>XLOOKUP(I250, drug!B:B, drug!A:A, "Not Found")</f>
      </c>
      <c r="H250" s="1" t="s">
        <v>1550</v>
      </c>
      <c r="I250" s="7">
        <v>1</v>
      </c>
      <c r="J250" s="5">
        <f>XLOOKUP(L250, uom!C:C, uom!B:B, "Not Found")</f>
      </c>
      <c r="K250" s="1" t="s">
        <v>5511</v>
      </c>
      <c r="L250" s="5">
        <f>XLOOKUP(N250, uom!C:C, uom!B:B, "Not Found")</f>
      </c>
      <c r="M250" s="1" t="s">
        <v>5511</v>
      </c>
      <c r="N250" s="8" t="s">
        <v>5512</v>
      </c>
      <c r="O250" s="1" t="s">
        <v>5513</v>
      </c>
      <c r="P250" s="5">
        <f>XLOOKUP(R250, classification!C:C, classification!B:B, "Not Found")</f>
      </c>
      <c r="Q250" s="1" t="s">
        <v>5514</v>
      </c>
      <c r="R250" s="2"/>
      <c r="S250" s="2"/>
      <c r="T250" s="2"/>
      <c r="U250" s="2"/>
    </row>
    <row x14ac:dyDescent="0.25" r="251" customHeight="1" ht="17.25">
      <c r="A251" s="7">
        <v>250</v>
      </c>
      <c r="B251" s="1" t="s">
        <v>5764</v>
      </c>
      <c r="C251" s="5">
        <f>CONCATENATE("PD", TEXT(A251, "1000000"))</f>
      </c>
      <c r="D251" s="7">
        <v>74</v>
      </c>
      <c r="E251" s="5">
        <f>XLOOKUP(G251, item_category!C:C, item_category!B:B, "Not Found")</f>
      </c>
      <c r="F251" s="1" t="s">
        <v>5520</v>
      </c>
      <c r="G251" s="5">
        <f>XLOOKUP(I251, drug!B:B, drug!A:A, "Not Found")</f>
      </c>
      <c r="H251" s="1" t="s">
        <v>1552</v>
      </c>
      <c r="I251" s="7">
        <v>1</v>
      </c>
      <c r="J251" s="5">
        <f>XLOOKUP(L251, uom!C:C, uom!B:B, "Not Found")</f>
      </c>
      <c r="K251" s="1" t="s">
        <v>5511</v>
      </c>
      <c r="L251" s="5">
        <f>XLOOKUP(N251, uom!C:C, uom!B:B, "Not Found")</f>
      </c>
      <c r="M251" s="1" t="s">
        <v>5511</v>
      </c>
      <c r="N251" s="8" t="s">
        <v>5512</v>
      </c>
      <c r="O251" s="1" t="s">
        <v>5513</v>
      </c>
      <c r="P251" s="5">
        <f>XLOOKUP(R251, classification!C:C, classification!B:B, "Not Found")</f>
      </c>
      <c r="Q251" s="1" t="s">
        <v>5514</v>
      </c>
      <c r="R251" s="2"/>
      <c r="S251" s="2"/>
      <c r="T251" s="2"/>
      <c r="U251" s="2"/>
    </row>
    <row x14ac:dyDescent="0.25" r="252" customHeight="1" ht="17.25">
      <c r="A252" s="7">
        <v>251</v>
      </c>
      <c r="B252" s="1" t="s">
        <v>5765</v>
      </c>
      <c r="C252" s="5">
        <f>CONCATENATE("PD", TEXT(A252, "1000000"))</f>
      </c>
      <c r="D252" s="7">
        <v>74</v>
      </c>
      <c r="E252" s="5">
        <f>XLOOKUP(G252, item_category!C:C, item_category!B:B, "Not Found")</f>
      </c>
      <c r="F252" s="1" t="s">
        <v>5520</v>
      </c>
      <c r="G252" s="5">
        <f>XLOOKUP(I252, drug!B:B, drug!A:A, "Not Found")</f>
      </c>
      <c r="H252" s="1" t="s">
        <v>1554</v>
      </c>
      <c r="I252" s="7">
        <v>1</v>
      </c>
      <c r="J252" s="5">
        <f>XLOOKUP(L252, uom!C:C, uom!B:B, "Not Found")</f>
      </c>
      <c r="K252" s="1" t="s">
        <v>5511</v>
      </c>
      <c r="L252" s="5">
        <f>XLOOKUP(N252, uom!C:C, uom!B:B, "Not Found")</f>
      </c>
      <c r="M252" s="1" t="s">
        <v>5511</v>
      </c>
      <c r="N252" s="8" t="s">
        <v>5512</v>
      </c>
      <c r="O252" s="1" t="s">
        <v>5513</v>
      </c>
      <c r="P252" s="5">
        <f>XLOOKUP(R252, classification!C:C, classification!B:B, "Not Found")</f>
      </c>
      <c r="Q252" s="1" t="s">
        <v>5514</v>
      </c>
      <c r="R252" s="2"/>
      <c r="S252" s="2"/>
      <c r="T252" s="2"/>
      <c r="U252" s="2"/>
    </row>
    <row x14ac:dyDescent="0.25" r="253" customHeight="1" ht="17.25">
      <c r="A253" s="7">
        <v>252</v>
      </c>
      <c r="B253" s="1" t="s">
        <v>5766</v>
      </c>
      <c r="C253" s="5">
        <f>CONCATENATE("PD", TEXT(A253, "1000000"))</f>
      </c>
      <c r="D253" s="7">
        <v>74</v>
      </c>
      <c r="E253" s="5">
        <f>XLOOKUP(G253, item_category!C:C, item_category!B:B, "Not Found")</f>
      </c>
      <c r="F253" s="1" t="s">
        <v>5520</v>
      </c>
      <c r="G253" s="5">
        <f>XLOOKUP(I253, drug!B:B, drug!A:A, "Not Found")</f>
      </c>
      <c r="H253" s="1" t="s">
        <v>1556</v>
      </c>
      <c r="I253" s="7">
        <v>1</v>
      </c>
      <c r="J253" s="5">
        <f>XLOOKUP(L253, uom!C:C, uom!B:B, "Not Found")</f>
      </c>
      <c r="K253" s="1" t="s">
        <v>5511</v>
      </c>
      <c r="L253" s="5">
        <f>XLOOKUP(N253, uom!C:C, uom!B:B, "Not Found")</f>
      </c>
      <c r="M253" s="1" t="s">
        <v>5511</v>
      </c>
      <c r="N253" s="8" t="s">
        <v>5512</v>
      </c>
      <c r="O253" s="1" t="s">
        <v>5513</v>
      </c>
      <c r="P253" s="5">
        <f>XLOOKUP(R253, classification!C:C, classification!B:B, "Not Found")</f>
      </c>
      <c r="Q253" s="1" t="s">
        <v>5514</v>
      </c>
      <c r="R253" s="2"/>
      <c r="S253" s="2"/>
      <c r="T253" s="2"/>
      <c r="U253" s="2"/>
    </row>
    <row x14ac:dyDescent="0.25" r="254" customHeight="1" ht="17.25">
      <c r="A254" s="7">
        <v>253</v>
      </c>
      <c r="B254" s="1" t="s">
        <v>5767</v>
      </c>
      <c r="C254" s="5">
        <f>CONCATENATE("PD", TEXT(A254, "1000000"))</f>
      </c>
      <c r="D254" s="7">
        <v>74</v>
      </c>
      <c r="E254" s="5">
        <f>XLOOKUP(G254, item_category!C:C, item_category!B:B, "Not Found")</f>
      </c>
      <c r="F254" s="1" t="s">
        <v>5520</v>
      </c>
      <c r="G254" s="5">
        <f>XLOOKUP(I254, drug!B:B, drug!A:A, "Not Found")</f>
      </c>
      <c r="H254" s="1" t="s">
        <v>1558</v>
      </c>
      <c r="I254" s="7">
        <v>1</v>
      </c>
      <c r="J254" s="5">
        <f>XLOOKUP(L254, uom!C:C, uom!B:B, "Not Found")</f>
      </c>
      <c r="K254" s="1" t="s">
        <v>5511</v>
      </c>
      <c r="L254" s="5">
        <f>XLOOKUP(N254, uom!C:C, uom!B:B, "Not Found")</f>
      </c>
      <c r="M254" s="1" t="s">
        <v>5511</v>
      </c>
      <c r="N254" s="8" t="s">
        <v>5512</v>
      </c>
      <c r="O254" s="1" t="s">
        <v>5513</v>
      </c>
      <c r="P254" s="5">
        <f>XLOOKUP(R254, classification!C:C, classification!B:B, "Not Found")</f>
      </c>
      <c r="Q254" s="1" t="s">
        <v>5514</v>
      </c>
      <c r="R254" s="2"/>
      <c r="S254" s="2"/>
      <c r="T254" s="2"/>
      <c r="U254" s="2"/>
    </row>
    <row x14ac:dyDescent="0.25" r="255" customHeight="1" ht="17.25">
      <c r="A255" s="7">
        <v>254</v>
      </c>
      <c r="B255" s="1" t="s">
        <v>5768</v>
      </c>
      <c r="C255" s="5">
        <f>CONCATENATE("PD", TEXT(A255, "1000000"))</f>
      </c>
      <c r="D255" s="7">
        <v>74</v>
      </c>
      <c r="E255" s="5">
        <f>XLOOKUP(G255, item_category!C:C, item_category!B:B, "Not Found")</f>
      </c>
      <c r="F255" s="1" t="s">
        <v>5520</v>
      </c>
      <c r="G255" s="5">
        <f>XLOOKUP(I255, drug!B:B, drug!A:A, "Not Found")</f>
      </c>
      <c r="H255" s="1" t="s">
        <v>1560</v>
      </c>
      <c r="I255" s="7">
        <v>1</v>
      </c>
      <c r="J255" s="5">
        <f>XLOOKUP(L255, uom!C:C, uom!B:B, "Not Found")</f>
      </c>
      <c r="K255" s="1" t="s">
        <v>5511</v>
      </c>
      <c r="L255" s="5">
        <f>XLOOKUP(N255, uom!C:C, uom!B:B, "Not Found")</f>
      </c>
      <c r="M255" s="1" t="s">
        <v>5511</v>
      </c>
      <c r="N255" s="8" t="s">
        <v>5512</v>
      </c>
      <c r="O255" s="1" t="s">
        <v>5513</v>
      </c>
      <c r="P255" s="5">
        <f>XLOOKUP(R255, classification!C:C, classification!B:B, "Not Found")</f>
      </c>
      <c r="Q255" s="1" t="s">
        <v>5514</v>
      </c>
      <c r="R255" s="2"/>
      <c r="S255" s="2"/>
      <c r="T255" s="2"/>
      <c r="U255" s="2"/>
    </row>
    <row x14ac:dyDescent="0.25" r="256" customHeight="1" ht="17.25">
      <c r="A256" s="7">
        <v>255</v>
      </c>
      <c r="B256" s="1" t="s">
        <v>5769</v>
      </c>
      <c r="C256" s="5">
        <f>CONCATENATE("PD", TEXT(A256, "1000000"))</f>
      </c>
      <c r="D256" s="7">
        <v>74</v>
      </c>
      <c r="E256" s="5">
        <f>XLOOKUP(G256, item_category!C:C, item_category!B:B, "Not Found")</f>
      </c>
      <c r="F256" s="1" t="s">
        <v>5520</v>
      </c>
      <c r="G256" s="5">
        <f>XLOOKUP(I256, drug!B:B, drug!A:A, "Not Found")</f>
      </c>
      <c r="H256" s="1" t="s">
        <v>1562</v>
      </c>
      <c r="I256" s="7">
        <v>1</v>
      </c>
      <c r="J256" s="5">
        <f>XLOOKUP(L256, uom!C:C, uom!B:B, "Not Found")</f>
      </c>
      <c r="K256" s="1" t="s">
        <v>5511</v>
      </c>
      <c r="L256" s="5">
        <f>XLOOKUP(N256, uom!C:C, uom!B:B, "Not Found")</f>
      </c>
      <c r="M256" s="1" t="s">
        <v>5511</v>
      </c>
      <c r="N256" s="8" t="s">
        <v>5512</v>
      </c>
      <c r="O256" s="1" t="s">
        <v>5513</v>
      </c>
      <c r="P256" s="5">
        <f>XLOOKUP(R256, classification!C:C, classification!B:B, "Not Found")</f>
      </c>
      <c r="Q256" s="1" t="s">
        <v>5514</v>
      </c>
      <c r="R256" s="2"/>
      <c r="S256" s="2"/>
      <c r="T256" s="2"/>
      <c r="U256" s="2"/>
    </row>
    <row x14ac:dyDescent="0.25" r="257" customHeight="1" ht="17.25">
      <c r="A257" s="7">
        <v>256</v>
      </c>
      <c r="B257" s="1" t="s">
        <v>5770</v>
      </c>
      <c r="C257" s="5">
        <f>CONCATENATE("PD", TEXT(A257, "1000000"))</f>
      </c>
      <c r="D257" s="7">
        <v>74</v>
      </c>
      <c r="E257" s="5">
        <f>XLOOKUP(G257, item_category!C:C, item_category!B:B, "Not Found")</f>
      </c>
      <c r="F257" s="1" t="s">
        <v>5520</v>
      </c>
      <c r="G257" s="5">
        <f>XLOOKUP(I257, drug!B:B, drug!A:A, "Not Found")</f>
      </c>
      <c r="H257" s="1" t="s">
        <v>1564</v>
      </c>
      <c r="I257" s="7">
        <v>1</v>
      </c>
      <c r="J257" s="5">
        <f>XLOOKUP(L257, uom!C:C, uom!B:B, "Not Found")</f>
      </c>
      <c r="K257" s="1" t="s">
        <v>5511</v>
      </c>
      <c r="L257" s="5">
        <f>XLOOKUP(N257, uom!C:C, uom!B:B, "Not Found")</f>
      </c>
      <c r="M257" s="1" t="s">
        <v>5511</v>
      </c>
      <c r="N257" s="8" t="s">
        <v>5512</v>
      </c>
      <c r="O257" s="1" t="s">
        <v>5513</v>
      </c>
      <c r="P257" s="5">
        <f>XLOOKUP(R257, classification!C:C, classification!B:B, "Not Found")</f>
      </c>
      <c r="Q257" s="1" t="s">
        <v>5514</v>
      </c>
      <c r="R257" s="2"/>
      <c r="S257" s="2"/>
      <c r="T257" s="2"/>
      <c r="U257" s="2"/>
    </row>
    <row x14ac:dyDescent="0.25" r="258" customHeight="1" ht="17.25">
      <c r="A258" s="7">
        <v>257</v>
      </c>
      <c r="B258" s="1" t="s">
        <v>5771</v>
      </c>
      <c r="C258" s="5">
        <f>CONCATENATE("PD", TEXT(A258, "1000000"))</f>
      </c>
      <c r="D258" s="7">
        <v>74</v>
      </c>
      <c r="E258" s="5">
        <f>XLOOKUP(G258, item_category!C:C, item_category!B:B, "Not Found")</f>
      </c>
      <c r="F258" s="1" t="s">
        <v>5520</v>
      </c>
      <c r="G258" s="5">
        <f>XLOOKUP(I258, drug!B:B, drug!A:A, "Not Found")</f>
      </c>
      <c r="H258" s="1" t="s">
        <v>1566</v>
      </c>
      <c r="I258" s="7">
        <v>1</v>
      </c>
      <c r="J258" s="5">
        <f>XLOOKUP(L258, uom!C:C, uom!B:B, "Not Found")</f>
      </c>
      <c r="K258" s="1" t="s">
        <v>5511</v>
      </c>
      <c r="L258" s="5">
        <f>XLOOKUP(N258, uom!C:C, uom!B:B, "Not Found")</f>
      </c>
      <c r="M258" s="1" t="s">
        <v>5511</v>
      </c>
      <c r="N258" s="8" t="s">
        <v>5512</v>
      </c>
      <c r="O258" s="1" t="s">
        <v>5513</v>
      </c>
      <c r="P258" s="5">
        <f>XLOOKUP(R258, classification!C:C, classification!B:B, "Not Found")</f>
      </c>
      <c r="Q258" s="1" t="s">
        <v>5514</v>
      </c>
      <c r="R258" s="2"/>
      <c r="S258" s="2"/>
      <c r="T258" s="2"/>
      <c r="U258" s="2"/>
    </row>
    <row x14ac:dyDescent="0.25" r="259" customHeight="1" ht="17.25">
      <c r="A259" s="7">
        <v>258</v>
      </c>
      <c r="B259" s="1" t="s">
        <v>5772</v>
      </c>
      <c r="C259" s="5">
        <f>CONCATENATE("PD", TEXT(A259, "1000000"))</f>
      </c>
      <c r="D259" s="7">
        <v>74</v>
      </c>
      <c r="E259" s="5">
        <f>XLOOKUP(G259, item_category!C:C, item_category!B:B, "Not Found")</f>
      </c>
      <c r="F259" s="1" t="s">
        <v>5520</v>
      </c>
      <c r="G259" s="5">
        <f>XLOOKUP(I259, drug!B:B, drug!A:A, "Not Found")</f>
      </c>
      <c r="H259" s="1" t="s">
        <v>1568</v>
      </c>
      <c r="I259" s="7">
        <v>1</v>
      </c>
      <c r="J259" s="5">
        <f>XLOOKUP(L259, uom!C:C, uom!B:B, "Not Found")</f>
      </c>
      <c r="K259" s="1" t="s">
        <v>5511</v>
      </c>
      <c r="L259" s="5">
        <f>XLOOKUP(N259, uom!C:C, uom!B:B, "Not Found")</f>
      </c>
      <c r="M259" s="1" t="s">
        <v>5511</v>
      </c>
      <c r="N259" s="8" t="s">
        <v>5512</v>
      </c>
      <c r="O259" s="1" t="s">
        <v>5513</v>
      </c>
      <c r="P259" s="5">
        <f>XLOOKUP(R259, classification!C:C, classification!B:B, "Not Found")</f>
      </c>
      <c r="Q259" s="1" t="s">
        <v>5514</v>
      </c>
      <c r="R259" s="2"/>
      <c r="S259" s="2"/>
      <c r="T259" s="2"/>
      <c r="U259" s="2"/>
    </row>
    <row x14ac:dyDescent="0.25" r="260" customHeight="1" ht="17.25">
      <c r="A260" s="7">
        <v>259</v>
      </c>
      <c r="B260" s="1" t="s">
        <v>5772</v>
      </c>
      <c r="C260" s="5">
        <f>CONCATENATE("PD", TEXT(A260, "1000000"))</f>
      </c>
      <c r="D260" s="7">
        <v>74</v>
      </c>
      <c r="E260" s="5">
        <f>XLOOKUP(G260, item_category!C:C, item_category!B:B, "Not Found")</f>
      </c>
      <c r="F260" s="1" t="s">
        <v>5520</v>
      </c>
      <c r="G260" s="5">
        <f>XLOOKUP(I260, drug!B:B, drug!A:A, "Not Found")</f>
      </c>
      <c r="H260" s="1" t="s">
        <v>1568</v>
      </c>
      <c r="I260" s="7">
        <v>1</v>
      </c>
      <c r="J260" s="5">
        <f>XLOOKUP(L260, uom!C:C, uom!B:B, "Not Found")</f>
      </c>
      <c r="K260" s="1" t="s">
        <v>5511</v>
      </c>
      <c r="L260" s="5">
        <f>XLOOKUP(N260, uom!C:C, uom!B:B, "Not Found")</f>
      </c>
      <c r="M260" s="1" t="s">
        <v>5511</v>
      </c>
      <c r="N260" s="8" t="s">
        <v>5512</v>
      </c>
      <c r="O260" s="1" t="s">
        <v>5513</v>
      </c>
      <c r="P260" s="5">
        <f>XLOOKUP(R260, classification!C:C, classification!B:B, "Not Found")</f>
      </c>
      <c r="Q260" s="1" t="s">
        <v>5514</v>
      </c>
      <c r="R260" s="2"/>
      <c r="S260" s="2"/>
      <c r="T260" s="2"/>
      <c r="U260" s="2"/>
    </row>
    <row x14ac:dyDescent="0.25" r="261" customHeight="1" ht="17.25">
      <c r="A261" s="7">
        <v>260</v>
      </c>
      <c r="B261" s="1" t="s">
        <v>1570</v>
      </c>
      <c r="C261" s="5">
        <f>CONCATENATE("PD", TEXT(A261, "1000000"))</f>
      </c>
      <c r="D261" s="7">
        <v>74</v>
      </c>
      <c r="E261" s="5">
        <f>XLOOKUP(G261, item_category!C:C, item_category!B:B, "Not Found")</f>
      </c>
      <c r="F261" s="1" t="s">
        <v>5520</v>
      </c>
      <c r="G261" s="5">
        <f>XLOOKUP(I261, drug!B:B, drug!A:A, "Not Found")</f>
      </c>
      <c r="H261" s="1" t="s">
        <v>1570</v>
      </c>
      <c r="I261" s="7">
        <v>1</v>
      </c>
      <c r="J261" s="5">
        <f>XLOOKUP(L261, uom!C:C, uom!B:B, "Not Found")</f>
      </c>
      <c r="K261" s="1" t="s">
        <v>5511</v>
      </c>
      <c r="L261" s="5">
        <f>XLOOKUP(N261, uom!C:C, uom!B:B, "Not Found")</f>
      </c>
      <c r="M261" s="1" t="s">
        <v>5511</v>
      </c>
      <c r="N261" s="8" t="s">
        <v>5512</v>
      </c>
      <c r="O261" s="1" t="s">
        <v>5513</v>
      </c>
      <c r="P261" s="5">
        <f>XLOOKUP(R261, classification!C:C, classification!B:B, "Not Found")</f>
      </c>
      <c r="Q261" s="1" t="s">
        <v>5514</v>
      </c>
      <c r="R261" s="2"/>
      <c r="S261" s="2"/>
      <c r="T261" s="2"/>
      <c r="U261" s="2"/>
    </row>
    <row x14ac:dyDescent="0.25" r="262" customHeight="1" ht="17.25">
      <c r="A262" s="7">
        <v>261</v>
      </c>
      <c r="B262" s="1" t="s">
        <v>5773</v>
      </c>
      <c r="C262" s="5">
        <f>CONCATENATE("PD", TEXT(A262, "1000000"))</f>
      </c>
      <c r="D262" s="7">
        <v>74</v>
      </c>
      <c r="E262" s="5">
        <f>XLOOKUP(G262, item_category!C:C, item_category!B:B, "Not Found")</f>
      </c>
      <c r="F262" s="1" t="s">
        <v>5520</v>
      </c>
      <c r="G262" s="5">
        <f>XLOOKUP(I262, drug!B:B, drug!A:A, "Not Found")</f>
      </c>
      <c r="H262" s="1" t="s">
        <v>1572</v>
      </c>
      <c r="I262" s="7">
        <v>1</v>
      </c>
      <c r="J262" s="5">
        <f>XLOOKUP(L262, uom!C:C, uom!B:B, "Not Found")</f>
      </c>
      <c r="K262" s="1" t="s">
        <v>5511</v>
      </c>
      <c r="L262" s="5">
        <f>XLOOKUP(N262, uom!C:C, uom!B:B, "Not Found")</f>
      </c>
      <c r="M262" s="1" t="s">
        <v>5511</v>
      </c>
      <c r="N262" s="8" t="s">
        <v>5512</v>
      </c>
      <c r="O262" s="1" t="s">
        <v>5513</v>
      </c>
      <c r="P262" s="5">
        <f>XLOOKUP(R262, classification!C:C, classification!B:B, "Not Found")</f>
      </c>
      <c r="Q262" s="1" t="s">
        <v>5514</v>
      </c>
      <c r="R262" s="2"/>
      <c r="S262" s="2"/>
      <c r="T262" s="2"/>
      <c r="U262" s="2"/>
    </row>
    <row x14ac:dyDescent="0.25" r="263" customHeight="1" ht="17.25">
      <c r="A263" s="7">
        <v>262</v>
      </c>
      <c r="B263" s="1" t="s">
        <v>5774</v>
      </c>
      <c r="C263" s="5">
        <f>CONCATENATE("PD", TEXT(A263, "1000000"))</f>
      </c>
      <c r="D263" s="7">
        <v>74</v>
      </c>
      <c r="E263" s="5">
        <f>XLOOKUP(G263, item_category!C:C, item_category!B:B, "Not Found")</f>
      </c>
      <c r="F263" s="1" t="s">
        <v>5520</v>
      </c>
      <c r="G263" s="5">
        <f>XLOOKUP(I263, drug!B:B, drug!A:A, "Not Found")</f>
      </c>
      <c r="H263" s="1" t="s">
        <v>1572</v>
      </c>
      <c r="I263" s="7">
        <v>1</v>
      </c>
      <c r="J263" s="5">
        <f>XLOOKUP(L263, uom!C:C, uom!B:B, "Not Found")</f>
      </c>
      <c r="K263" s="1" t="s">
        <v>5511</v>
      </c>
      <c r="L263" s="5">
        <f>XLOOKUP(N263, uom!C:C, uom!B:B, "Not Found")</f>
      </c>
      <c r="M263" s="1" t="s">
        <v>5511</v>
      </c>
      <c r="N263" s="8" t="s">
        <v>5512</v>
      </c>
      <c r="O263" s="1" t="s">
        <v>5513</v>
      </c>
      <c r="P263" s="5">
        <f>XLOOKUP(R263, classification!C:C, classification!B:B, "Not Found")</f>
      </c>
      <c r="Q263" s="1" t="s">
        <v>5514</v>
      </c>
      <c r="R263" s="2"/>
      <c r="S263" s="2"/>
      <c r="T263" s="2"/>
      <c r="U263" s="2"/>
    </row>
    <row x14ac:dyDescent="0.25" r="264" customHeight="1" ht="17.25">
      <c r="A264" s="7">
        <v>263</v>
      </c>
      <c r="B264" s="1" t="s">
        <v>5775</v>
      </c>
      <c r="C264" s="5">
        <f>CONCATENATE("PD", TEXT(A264, "1000000"))</f>
      </c>
      <c r="D264" s="7">
        <v>74</v>
      </c>
      <c r="E264" s="5">
        <f>XLOOKUP(G264, item_category!C:C, item_category!B:B, "Not Found")</f>
      </c>
      <c r="F264" s="1" t="s">
        <v>5520</v>
      </c>
      <c r="G264" s="5">
        <f>XLOOKUP(I264, drug!B:B, drug!A:A, "Not Found")</f>
      </c>
      <c r="H264" s="1" t="s">
        <v>364</v>
      </c>
      <c r="I264" s="7">
        <v>1</v>
      </c>
      <c r="J264" s="5">
        <f>XLOOKUP(L264, uom!C:C, uom!B:B, "Not Found")</f>
      </c>
      <c r="K264" s="1" t="s">
        <v>5511</v>
      </c>
      <c r="L264" s="5">
        <f>XLOOKUP(N264, uom!C:C, uom!B:B, "Not Found")</f>
      </c>
      <c r="M264" s="1" t="s">
        <v>5511</v>
      </c>
      <c r="N264" s="8" t="s">
        <v>5512</v>
      </c>
      <c r="O264" s="1" t="s">
        <v>5513</v>
      </c>
      <c r="P264" s="5">
        <f>XLOOKUP(R264, classification!C:C, classification!B:B, "Not Found")</f>
      </c>
      <c r="Q264" s="1" t="s">
        <v>5514</v>
      </c>
      <c r="R264" s="2"/>
      <c r="S264" s="2"/>
      <c r="T264" s="2"/>
      <c r="U264" s="2"/>
    </row>
    <row x14ac:dyDescent="0.25" r="265" customHeight="1" ht="17.25">
      <c r="A265" s="7">
        <v>264</v>
      </c>
      <c r="B265" s="1" t="s">
        <v>5776</v>
      </c>
      <c r="C265" s="5">
        <f>CONCATENATE("PD", TEXT(A265, "1000000"))</f>
      </c>
      <c r="D265" s="7">
        <v>74</v>
      </c>
      <c r="E265" s="5">
        <f>XLOOKUP(G265, item_category!C:C, item_category!B:B, "Not Found")</f>
      </c>
      <c r="F265" s="1" t="s">
        <v>5520</v>
      </c>
      <c r="G265" s="5">
        <f>XLOOKUP(I265, drug!B:B, drug!A:A, "Not Found")</f>
      </c>
      <c r="H265" s="1" t="s">
        <v>1574</v>
      </c>
      <c r="I265" s="7">
        <v>1</v>
      </c>
      <c r="J265" s="5">
        <f>XLOOKUP(L265, uom!C:C, uom!B:B, "Not Found")</f>
      </c>
      <c r="K265" s="1" t="s">
        <v>5511</v>
      </c>
      <c r="L265" s="5">
        <f>XLOOKUP(N265, uom!C:C, uom!B:B, "Not Found")</f>
      </c>
      <c r="M265" s="1" t="s">
        <v>5511</v>
      </c>
      <c r="N265" s="8" t="s">
        <v>5512</v>
      </c>
      <c r="O265" s="1" t="s">
        <v>5513</v>
      </c>
      <c r="P265" s="5">
        <f>XLOOKUP(R265, classification!C:C, classification!B:B, "Not Found")</f>
      </c>
      <c r="Q265" s="1" t="s">
        <v>5514</v>
      </c>
      <c r="R265" s="2"/>
      <c r="S265" s="2"/>
      <c r="T265" s="2"/>
      <c r="U265" s="2"/>
    </row>
    <row x14ac:dyDescent="0.25" r="266" customHeight="1" ht="17.25">
      <c r="A266" s="7">
        <v>265</v>
      </c>
      <c r="B266" s="1" t="s">
        <v>5777</v>
      </c>
      <c r="C266" s="5">
        <f>CONCATENATE("PD", TEXT(A266, "1000000"))</f>
      </c>
      <c r="D266" s="7">
        <v>74</v>
      </c>
      <c r="E266" s="5">
        <f>XLOOKUP(G266, item_category!C:C, item_category!B:B, "Not Found")</f>
      </c>
      <c r="F266" s="1" t="s">
        <v>5520</v>
      </c>
      <c r="G266" s="5">
        <f>XLOOKUP(I266, drug!B:B, drug!A:A, "Not Found")</f>
      </c>
      <c r="H266" s="1" t="s">
        <v>1576</v>
      </c>
      <c r="I266" s="7">
        <v>1</v>
      </c>
      <c r="J266" s="5">
        <f>XLOOKUP(L266, uom!C:C, uom!B:B, "Not Found")</f>
      </c>
      <c r="K266" s="1" t="s">
        <v>5511</v>
      </c>
      <c r="L266" s="5">
        <f>XLOOKUP(N266, uom!C:C, uom!B:B, "Not Found")</f>
      </c>
      <c r="M266" s="1" t="s">
        <v>5511</v>
      </c>
      <c r="N266" s="8" t="s">
        <v>5512</v>
      </c>
      <c r="O266" s="1" t="s">
        <v>5513</v>
      </c>
      <c r="P266" s="5">
        <f>XLOOKUP(R266, classification!C:C, classification!B:B, "Not Found")</f>
      </c>
      <c r="Q266" s="1" t="s">
        <v>5514</v>
      </c>
      <c r="R266" s="2"/>
      <c r="S266" s="2"/>
      <c r="T266" s="2"/>
      <c r="U266" s="2"/>
    </row>
    <row x14ac:dyDescent="0.25" r="267" customHeight="1" ht="17.25">
      <c r="A267" s="7">
        <v>266</v>
      </c>
      <c r="B267" s="1" t="s">
        <v>1578</v>
      </c>
      <c r="C267" s="5">
        <f>CONCATENATE("PD", TEXT(A267, "1000000"))</f>
      </c>
      <c r="D267" s="7">
        <v>74</v>
      </c>
      <c r="E267" s="5">
        <f>XLOOKUP(G267, item_category!C:C, item_category!B:B, "Not Found")</f>
      </c>
      <c r="F267" s="1" t="s">
        <v>5520</v>
      </c>
      <c r="G267" s="5">
        <f>XLOOKUP(I267, drug!B:B, drug!A:A, "Not Found")</f>
      </c>
      <c r="H267" s="1" t="s">
        <v>1578</v>
      </c>
      <c r="I267" s="7">
        <v>1</v>
      </c>
      <c r="J267" s="5">
        <f>XLOOKUP(L267, uom!C:C, uom!B:B, "Not Found")</f>
      </c>
      <c r="K267" s="1" t="s">
        <v>5511</v>
      </c>
      <c r="L267" s="5">
        <f>XLOOKUP(N267, uom!C:C, uom!B:B, "Not Found")</f>
      </c>
      <c r="M267" s="1" t="s">
        <v>5511</v>
      </c>
      <c r="N267" s="8" t="s">
        <v>5512</v>
      </c>
      <c r="O267" s="1" t="s">
        <v>5513</v>
      </c>
      <c r="P267" s="5">
        <f>XLOOKUP(R267, classification!C:C, classification!B:B, "Not Found")</f>
      </c>
      <c r="Q267" s="1" t="s">
        <v>5514</v>
      </c>
      <c r="R267" s="2"/>
      <c r="S267" s="2"/>
      <c r="T267" s="2"/>
      <c r="U267" s="2"/>
    </row>
    <row x14ac:dyDescent="0.25" r="268" customHeight="1" ht="17.25">
      <c r="A268" s="7">
        <v>267</v>
      </c>
      <c r="B268" s="1" t="s">
        <v>5778</v>
      </c>
      <c r="C268" s="5">
        <f>CONCATENATE("PD", TEXT(A268, "1000000"))</f>
      </c>
      <c r="D268" s="7">
        <v>74</v>
      </c>
      <c r="E268" s="5">
        <f>XLOOKUP(G268, item_category!C:C, item_category!B:B, "Not Found")</f>
      </c>
      <c r="F268" s="1" t="s">
        <v>5520</v>
      </c>
      <c r="G268" s="5">
        <f>XLOOKUP(I268, drug!B:B, drug!A:A, "Not Found")</f>
      </c>
      <c r="H268" s="1" t="s">
        <v>1580</v>
      </c>
      <c r="I268" s="7">
        <v>1</v>
      </c>
      <c r="J268" s="5">
        <f>XLOOKUP(L268, uom!C:C, uom!B:B, "Not Found")</f>
      </c>
      <c r="K268" s="1" t="s">
        <v>5511</v>
      </c>
      <c r="L268" s="5">
        <f>XLOOKUP(N268, uom!C:C, uom!B:B, "Not Found")</f>
      </c>
      <c r="M268" s="1" t="s">
        <v>5511</v>
      </c>
      <c r="N268" s="8" t="s">
        <v>5512</v>
      </c>
      <c r="O268" s="1" t="s">
        <v>5513</v>
      </c>
      <c r="P268" s="5">
        <f>XLOOKUP(R268, classification!C:C, classification!B:B, "Not Found")</f>
      </c>
      <c r="Q268" s="1" t="s">
        <v>5514</v>
      </c>
      <c r="R268" s="2"/>
      <c r="S268" s="2"/>
      <c r="T268" s="2"/>
      <c r="U268" s="2"/>
    </row>
    <row x14ac:dyDescent="0.25" r="269" customHeight="1" ht="17.25">
      <c r="A269" s="7">
        <v>268</v>
      </c>
      <c r="B269" s="1" t="s">
        <v>5779</v>
      </c>
      <c r="C269" s="5">
        <f>CONCATENATE("PD", TEXT(A269, "1000000"))</f>
      </c>
      <c r="D269" s="7">
        <v>74</v>
      </c>
      <c r="E269" s="5">
        <f>XLOOKUP(G269, item_category!C:C, item_category!B:B, "Not Found")</f>
      </c>
      <c r="F269" s="1" t="s">
        <v>5520</v>
      </c>
      <c r="G269" s="5">
        <f>XLOOKUP(I269, drug!B:B, drug!A:A, "Not Found")</f>
      </c>
      <c r="H269" s="1" t="s">
        <v>1582</v>
      </c>
      <c r="I269" s="7">
        <v>1</v>
      </c>
      <c r="J269" s="5">
        <f>XLOOKUP(L269, uom!C:C, uom!B:B, "Not Found")</f>
      </c>
      <c r="K269" s="1" t="s">
        <v>5511</v>
      </c>
      <c r="L269" s="5">
        <f>XLOOKUP(N269, uom!C:C, uom!B:B, "Not Found")</f>
      </c>
      <c r="M269" s="1" t="s">
        <v>5511</v>
      </c>
      <c r="N269" s="8" t="s">
        <v>5512</v>
      </c>
      <c r="O269" s="1" t="s">
        <v>5513</v>
      </c>
      <c r="P269" s="5">
        <f>XLOOKUP(R269, classification!C:C, classification!B:B, "Not Found")</f>
      </c>
      <c r="Q269" s="1" t="s">
        <v>5514</v>
      </c>
      <c r="R269" s="2"/>
      <c r="S269" s="2"/>
      <c r="T269" s="2"/>
      <c r="U269" s="2"/>
    </row>
    <row x14ac:dyDescent="0.25" r="270" customHeight="1" ht="17.25">
      <c r="A270" s="7">
        <v>269</v>
      </c>
      <c r="B270" s="1" t="s">
        <v>5780</v>
      </c>
      <c r="C270" s="5">
        <f>CONCATENATE("PD", TEXT(A270, "1000000"))</f>
      </c>
      <c r="D270" s="7">
        <v>74</v>
      </c>
      <c r="E270" s="5">
        <f>XLOOKUP(G270, item_category!C:C, item_category!B:B, "Not Found")</f>
      </c>
      <c r="F270" s="1" t="s">
        <v>5520</v>
      </c>
      <c r="G270" s="5">
        <f>XLOOKUP(I270, drug!B:B, drug!A:A, "Not Found")</f>
      </c>
      <c r="H270" s="1" t="s">
        <v>1584</v>
      </c>
      <c r="I270" s="7">
        <v>1</v>
      </c>
      <c r="J270" s="5">
        <f>XLOOKUP(L270, uom!C:C, uom!B:B, "Not Found")</f>
      </c>
      <c r="K270" s="1" t="s">
        <v>5511</v>
      </c>
      <c r="L270" s="5">
        <f>XLOOKUP(N270, uom!C:C, uom!B:B, "Not Found")</f>
      </c>
      <c r="M270" s="1" t="s">
        <v>5511</v>
      </c>
      <c r="N270" s="8" t="s">
        <v>5512</v>
      </c>
      <c r="O270" s="1" t="s">
        <v>5513</v>
      </c>
      <c r="P270" s="5">
        <f>XLOOKUP(R270, classification!C:C, classification!B:B, "Not Found")</f>
      </c>
      <c r="Q270" s="1" t="s">
        <v>5514</v>
      </c>
      <c r="R270" s="2"/>
      <c r="S270" s="2"/>
      <c r="T270" s="2"/>
      <c r="U270" s="2"/>
    </row>
    <row x14ac:dyDescent="0.25" r="271" customHeight="1" ht="17.25">
      <c r="A271" s="7">
        <v>270</v>
      </c>
      <c r="B271" s="1" t="s">
        <v>5781</v>
      </c>
      <c r="C271" s="5">
        <f>CONCATENATE("PD", TEXT(A271, "1000000"))</f>
      </c>
      <c r="D271" s="7">
        <v>74</v>
      </c>
      <c r="E271" s="5">
        <f>XLOOKUP(G271, item_category!C:C, item_category!B:B, "Not Found")</f>
      </c>
      <c r="F271" s="1" t="s">
        <v>5520</v>
      </c>
      <c r="G271" s="5">
        <f>XLOOKUP(I271, drug!B:B, drug!A:A, "Not Found")</f>
      </c>
      <c r="H271" s="1" t="s">
        <v>1584</v>
      </c>
      <c r="I271" s="7">
        <v>1</v>
      </c>
      <c r="J271" s="5">
        <f>XLOOKUP(L271, uom!C:C, uom!B:B, "Not Found")</f>
      </c>
      <c r="K271" s="1" t="s">
        <v>5511</v>
      </c>
      <c r="L271" s="5">
        <f>XLOOKUP(N271, uom!C:C, uom!B:B, "Not Found")</f>
      </c>
      <c r="M271" s="1" t="s">
        <v>5511</v>
      </c>
      <c r="N271" s="8" t="s">
        <v>5512</v>
      </c>
      <c r="O271" s="1" t="s">
        <v>5513</v>
      </c>
      <c r="P271" s="5">
        <f>XLOOKUP(R271, classification!C:C, classification!B:B, "Not Found")</f>
      </c>
      <c r="Q271" s="1" t="s">
        <v>5514</v>
      </c>
      <c r="R271" s="2"/>
      <c r="S271" s="2"/>
      <c r="T271" s="2"/>
      <c r="U271" s="2"/>
    </row>
    <row x14ac:dyDescent="0.25" r="272" customHeight="1" ht="17.25">
      <c r="A272" s="7">
        <v>271</v>
      </c>
      <c r="B272" s="1" t="s">
        <v>5782</v>
      </c>
      <c r="C272" s="5">
        <f>CONCATENATE("PD", TEXT(A272, "1000000"))</f>
      </c>
      <c r="D272" s="7">
        <v>74</v>
      </c>
      <c r="E272" s="5">
        <f>XLOOKUP(G272, item_category!C:C, item_category!B:B, "Not Found")</f>
      </c>
      <c r="F272" s="1" t="s">
        <v>5520</v>
      </c>
      <c r="G272" s="5">
        <f>XLOOKUP(I272, drug!B:B, drug!A:A, "Not Found")</f>
      </c>
      <c r="H272" s="1" t="s">
        <v>1586</v>
      </c>
      <c r="I272" s="7">
        <v>1</v>
      </c>
      <c r="J272" s="5">
        <f>XLOOKUP(L272, uom!C:C, uom!B:B, "Not Found")</f>
      </c>
      <c r="K272" s="1" t="s">
        <v>5511</v>
      </c>
      <c r="L272" s="5">
        <f>XLOOKUP(N272, uom!C:C, uom!B:B, "Not Found")</f>
      </c>
      <c r="M272" s="1" t="s">
        <v>5511</v>
      </c>
      <c r="N272" s="8" t="s">
        <v>5512</v>
      </c>
      <c r="O272" s="1" t="s">
        <v>5513</v>
      </c>
      <c r="P272" s="5">
        <f>XLOOKUP(R272, classification!C:C, classification!B:B, "Not Found")</f>
      </c>
      <c r="Q272" s="1" t="s">
        <v>5514</v>
      </c>
      <c r="R272" s="2"/>
      <c r="S272" s="2"/>
      <c r="T272" s="2"/>
      <c r="U272" s="2"/>
    </row>
    <row x14ac:dyDescent="0.25" r="273" customHeight="1" ht="17.25">
      <c r="A273" s="7">
        <v>272</v>
      </c>
      <c r="B273" s="1" t="s">
        <v>5783</v>
      </c>
      <c r="C273" s="5">
        <f>CONCATENATE("PD", TEXT(A273, "1000000"))</f>
      </c>
      <c r="D273" s="7">
        <v>74</v>
      </c>
      <c r="E273" s="5">
        <f>XLOOKUP(G273, item_category!C:C, item_category!B:B, "Not Found")</f>
      </c>
      <c r="F273" s="1" t="s">
        <v>5520</v>
      </c>
      <c r="G273" s="5">
        <f>XLOOKUP(I273, drug!B:B, drug!A:A, "Not Found")</f>
      </c>
      <c r="H273" s="1" t="s">
        <v>1588</v>
      </c>
      <c r="I273" s="7">
        <v>1</v>
      </c>
      <c r="J273" s="5">
        <f>XLOOKUP(L273, uom!C:C, uom!B:B, "Not Found")</f>
      </c>
      <c r="K273" s="1" t="s">
        <v>5511</v>
      </c>
      <c r="L273" s="5">
        <f>XLOOKUP(N273, uom!C:C, uom!B:B, "Not Found")</f>
      </c>
      <c r="M273" s="1" t="s">
        <v>5511</v>
      </c>
      <c r="N273" s="8" t="s">
        <v>5512</v>
      </c>
      <c r="O273" s="1" t="s">
        <v>5513</v>
      </c>
      <c r="P273" s="5">
        <f>XLOOKUP(R273, classification!C:C, classification!B:B, "Not Found")</f>
      </c>
      <c r="Q273" s="1" t="s">
        <v>5514</v>
      </c>
      <c r="R273" s="2"/>
      <c r="S273" s="2"/>
      <c r="T273" s="2"/>
      <c r="U273" s="2"/>
    </row>
    <row x14ac:dyDescent="0.25" r="274" customHeight="1" ht="17.25">
      <c r="A274" s="7">
        <v>273</v>
      </c>
      <c r="B274" s="1" t="s">
        <v>5784</v>
      </c>
      <c r="C274" s="5">
        <f>CONCATENATE("PD", TEXT(A274, "1000000"))</f>
      </c>
      <c r="D274" s="7">
        <v>74</v>
      </c>
      <c r="E274" s="5">
        <f>XLOOKUP(G274, item_category!C:C, item_category!B:B, "Not Found")</f>
      </c>
      <c r="F274" s="1" t="s">
        <v>5520</v>
      </c>
      <c r="G274" s="5">
        <f>XLOOKUP(I274, drug!B:B, drug!A:A, "Not Found")</f>
      </c>
      <c r="H274" s="1" t="s">
        <v>1590</v>
      </c>
      <c r="I274" s="7">
        <v>1</v>
      </c>
      <c r="J274" s="5">
        <f>XLOOKUP(L274, uom!C:C, uom!B:B, "Not Found")</f>
      </c>
      <c r="K274" s="1" t="s">
        <v>5511</v>
      </c>
      <c r="L274" s="5">
        <f>XLOOKUP(N274, uom!C:C, uom!B:B, "Not Found")</f>
      </c>
      <c r="M274" s="1" t="s">
        <v>5511</v>
      </c>
      <c r="N274" s="8" t="s">
        <v>5512</v>
      </c>
      <c r="O274" s="1" t="s">
        <v>5513</v>
      </c>
      <c r="P274" s="5">
        <f>XLOOKUP(R274, classification!C:C, classification!B:B, "Not Found")</f>
      </c>
      <c r="Q274" s="1" t="s">
        <v>5514</v>
      </c>
      <c r="R274" s="2"/>
      <c r="S274" s="2"/>
      <c r="T274" s="2"/>
      <c r="U274" s="2"/>
    </row>
    <row x14ac:dyDescent="0.25" r="275" customHeight="1" ht="17.25">
      <c r="A275" s="7">
        <v>274</v>
      </c>
      <c r="B275" s="1" t="s">
        <v>5785</v>
      </c>
      <c r="C275" s="5">
        <f>CONCATENATE("PD", TEXT(A275, "1000000"))</f>
      </c>
      <c r="D275" s="7">
        <v>74</v>
      </c>
      <c r="E275" s="5">
        <f>XLOOKUP(G275, item_category!C:C, item_category!B:B, "Not Found")</f>
      </c>
      <c r="F275" s="1" t="s">
        <v>5520</v>
      </c>
      <c r="G275" s="5">
        <f>XLOOKUP(I275, drug!B:B, drug!A:A, "Not Found")</f>
      </c>
      <c r="H275" s="1" t="s">
        <v>1592</v>
      </c>
      <c r="I275" s="7">
        <v>1</v>
      </c>
      <c r="J275" s="5">
        <f>XLOOKUP(L275, uom!C:C, uom!B:B, "Not Found")</f>
      </c>
      <c r="K275" s="1" t="s">
        <v>5511</v>
      </c>
      <c r="L275" s="5">
        <f>XLOOKUP(N275, uom!C:C, uom!B:B, "Not Found")</f>
      </c>
      <c r="M275" s="1" t="s">
        <v>5511</v>
      </c>
      <c r="N275" s="8" t="s">
        <v>5512</v>
      </c>
      <c r="O275" s="1" t="s">
        <v>5513</v>
      </c>
      <c r="P275" s="5">
        <f>XLOOKUP(R275, classification!C:C, classification!B:B, "Not Found")</f>
      </c>
      <c r="Q275" s="1" t="s">
        <v>5514</v>
      </c>
      <c r="R275" s="2"/>
      <c r="S275" s="2"/>
      <c r="T275" s="2"/>
      <c r="U275" s="2"/>
    </row>
    <row x14ac:dyDescent="0.25" r="276" customHeight="1" ht="17.25">
      <c r="A276" s="7">
        <v>275</v>
      </c>
      <c r="B276" s="1" t="s">
        <v>5786</v>
      </c>
      <c r="C276" s="5">
        <f>CONCATENATE("PD", TEXT(A276, "1000000"))</f>
      </c>
      <c r="D276" s="7">
        <v>74</v>
      </c>
      <c r="E276" s="5">
        <f>XLOOKUP(G276, item_category!C:C, item_category!B:B, "Not Found")</f>
      </c>
      <c r="F276" s="1" t="s">
        <v>5520</v>
      </c>
      <c r="G276" s="5">
        <f>XLOOKUP(I276, drug!B:B, drug!A:A, "Not Found")</f>
      </c>
      <c r="H276" s="1" t="s">
        <v>1594</v>
      </c>
      <c r="I276" s="7">
        <v>1</v>
      </c>
      <c r="J276" s="5">
        <f>XLOOKUP(L276, uom!C:C, uom!B:B, "Not Found")</f>
      </c>
      <c r="K276" s="1" t="s">
        <v>5511</v>
      </c>
      <c r="L276" s="5">
        <f>XLOOKUP(N276, uom!C:C, uom!B:B, "Not Found")</f>
      </c>
      <c r="M276" s="1" t="s">
        <v>5511</v>
      </c>
      <c r="N276" s="8" t="s">
        <v>5512</v>
      </c>
      <c r="O276" s="1" t="s">
        <v>5513</v>
      </c>
      <c r="P276" s="5">
        <f>XLOOKUP(R276, classification!C:C, classification!B:B, "Not Found")</f>
      </c>
      <c r="Q276" s="1" t="s">
        <v>5514</v>
      </c>
      <c r="R276" s="2"/>
      <c r="S276" s="2"/>
      <c r="T276" s="2"/>
      <c r="U276" s="2"/>
    </row>
    <row x14ac:dyDescent="0.25" r="277" customHeight="1" ht="17.25">
      <c r="A277" s="7">
        <v>276</v>
      </c>
      <c r="B277" s="1" t="s">
        <v>5787</v>
      </c>
      <c r="C277" s="5">
        <f>CONCATENATE("PD", TEXT(A277, "1000000"))</f>
      </c>
      <c r="D277" s="7">
        <v>74</v>
      </c>
      <c r="E277" s="5">
        <f>XLOOKUP(G277, item_category!C:C, item_category!B:B, "Not Found")</f>
      </c>
      <c r="F277" s="1" t="s">
        <v>5520</v>
      </c>
      <c r="G277" s="5">
        <f>XLOOKUP(I277, drug!B:B, drug!A:A, "Not Found")</f>
      </c>
      <c r="H277" s="1" t="s">
        <v>1596</v>
      </c>
      <c r="I277" s="7">
        <v>1</v>
      </c>
      <c r="J277" s="5">
        <f>XLOOKUP(L277, uom!C:C, uom!B:B, "Not Found")</f>
      </c>
      <c r="K277" s="1" t="s">
        <v>5511</v>
      </c>
      <c r="L277" s="5">
        <f>XLOOKUP(N277, uom!C:C, uom!B:B, "Not Found")</f>
      </c>
      <c r="M277" s="1" t="s">
        <v>5511</v>
      </c>
      <c r="N277" s="8" t="s">
        <v>5512</v>
      </c>
      <c r="O277" s="1" t="s">
        <v>5513</v>
      </c>
      <c r="P277" s="5">
        <f>XLOOKUP(R277, classification!C:C, classification!B:B, "Not Found")</f>
      </c>
      <c r="Q277" s="1" t="s">
        <v>5514</v>
      </c>
      <c r="R277" s="2"/>
      <c r="S277" s="2"/>
      <c r="T277" s="2"/>
      <c r="U277" s="2"/>
    </row>
    <row x14ac:dyDescent="0.25" r="278" customHeight="1" ht="17.25">
      <c r="A278" s="7">
        <v>277</v>
      </c>
      <c r="B278" s="1" t="s">
        <v>1598</v>
      </c>
      <c r="C278" s="5">
        <f>CONCATENATE("PD", TEXT(A278, "1000000"))</f>
      </c>
      <c r="D278" s="7">
        <v>74</v>
      </c>
      <c r="E278" s="5">
        <f>XLOOKUP(G278, item_category!C:C, item_category!B:B, "Not Found")</f>
      </c>
      <c r="F278" s="1" t="s">
        <v>5520</v>
      </c>
      <c r="G278" s="5">
        <f>XLOOKUP(I278, drug!B:B, drug!A:A, "Not Found")</f>
      </c>
      <c r="H278" s="1" t="s">
        <v>1598</v>
      </c>
      <c r="I278" s="7">
        <v>1</v>
      </c>
      <c r="J278" s="5">
        <f>XLOOKUP(L278, uom!C:C, uom!B:B, "Not Found")</f>
      </c>
      <c r="K278" s="1" t="s">
        <v>5511</v>
      </c>
      <c r="L278" s="5">
        <f>XLOOKUP(N278, uom!C:C, uom!B:B, "Not Found")</f>
      </c>
      <c r="M278" s="1" t="s">
        <v>5511</v>
      </c>
      <c r="N278" s="8" t="s">
        <v>5512</v>
      </c>
      <c r="O278" s="1" t="s">
        <v>5513</v>
      </c>
      <c r="P278" s="5">
        <f>XLOOKUP(R278, classification!C:C, classification!B:B, "Not Found")</f>
      </c>
      <c r="Q278" s="1" t="s">
        <v>5514</v>
      </c>
      <c r="R278" s="2"/>
      <c r="S278" s="2"/>
      <c r="T278" s="2"/>
      <c r="U278" s="2"/>
    </row>
    <row x14ac:dyDescent="0.25" r="279" customHeight="1" ht="17.25">
      <c r="A279" s="7">
        <v>278</v>
      </c>
      <c r="B279" s="1" t="s">
        <v>5788</v>
      </c>
      <c r="C279" s="5">
        <f>CONCATENATE("PD", TEXT(A279, "1000000"))</f>
      </c>
      <c r="D279" s="7">
        <v>74</v>
      </c>
      <c r="E279" s="5">
        <f>XLOOKUP(G279, item_category!C:C, item_category!B:B, "Not Found")</f>
      </c>
      <c r="F279" s="1" t="s">
        <v>5520</v>
      </c>
      <c r="G279" s="5">
        <f>XLOOKUP(I279, drug!B:B, drug!A:A, "Not Found")</f>
      </c>
      <c r="H279" s="1" t="s">
        <v>1600</v>
      </c>
      <c r="I279" s="7">
        <v>1</v>
      </c>
      <c r="J279" s="5">
        <f>XLOOKUP(L279, uom!C:C, uom!B:B, "Not Found")</f>
      </c>
      <c r="K279" s="1" t="s">
        <v>5511</v>
      </c>
      <c r="L279" s="5">
        <f>XLOOKUP(N279, uom!C:C, uom!B:B, "Not Found")</f>
      </c>
      <c r="M279" s="1" t="s">
        <v>5511</v>
      </c>
      <c r="N279" s="8" t="s">
        <v>5512</v>
      </c>
      <c r="O279" s="1" t="s">
        <v>5513</v>
      </c>
      <c r="P279" s="5">
        <f>XLOOKUP(R279, classification!C:C, classification!B:B, "Not Found")</f>
      </c>
      <c r="Q279" s="1" t="s">
        <v>5514</v>
      </c>
      <c r="R279" s="2"/>
      <c r="S279" s="2"/>
      <c r="T279" s="2"/>
      <c r="U279" s="2"/>
    </row>
    <row x14ac:dyDescent="0.25" r="280" customHeight="1" ht="17.25">
      <c r="A280" s="7">
        <v>279</v>
      </c>
      <c r="B280" s="1" t="s">
        <v>5789</v>
      </c>
      <c r="C280" s="5">
        <f>CONCATENATE("PD", TEXT(A280, "1000000"))</f>
      </c>
      <c r="D280" s="7">
        <v>74</v>
      </c>
      <c r="E280" s="5">
        <f>XLOOKUP(G280, item_category!C:C, item_category!B:B, "Not Found")</f>
      </c>
      <c r="F280" s="1" t="s">
        <v>5520</v>
      </c>
      <c r="G280" s="5">
        <f>XLOOKUP(I280, drug!B:B, drug!A:A, "Not Found")</f>
      </c>
      <c r="H280" s="1" t="s">
        <v>1602</v>
      </c>
      <c r="I280" s="7">
        <v>1</v>
      </c>
      <c r="J280" s="5">
        <f>XLOOKUP(L280, uom!C:C, uom!B:B, "Not Found")</f>
      </c>
      <c r="K280" s="1" t="s">
        <v>5511</v>
      </c>
      <c r="L280" s="5">
        <f>XLOOKUP(N280, uom!C:C, uom!B:B, "Not Found")</f>
      </c>
      <c r="M280" s="1" t="s">
        <v>5511</v>
      </c>
      <c r="N280" s="8" t="s">
        <v>5512</v>
      </c>
      <c r="O280" s="1" t="s">
        <v>5513</v>
      </c>
      <c r="P280" s="5">
        <f>XLOOKUP(R280, classification!C:C, classification!B:B, "Not Found")</f>
      </c>
      <c r="Q280" s="1" t="s">
        <v>5514</v>
      </c>
      <c r="R280" s="2"/>
      <c r="S280" s="2"/>
      <c r="T280" s="2"/>
      <c r="U280" s="2"/>
    </row>
    <row x14ac:dyDescent="0.25" r="281" customHeight="1" ht="17.25">
      <c r="A281" s="7">
        <v>280</v>
      </c>
      <c r="B281" s="1" t="s">
        <v>5790</v>
      </c>
      <c r="C281" s="5">
        <f>CONCATENATE("PD", TEXT(A281, "1000000"))</f>
      </c>
      <c r="D281" s="7">
        <v>74</v>
      </c>
      <c r="E281" s="5">
        <f>XLOOKUP(G281, item_category!C:C, item_category!B:B, "Not Found")</f>
      </c>
      <c r="F281" s="1" t="s">
        <v>5520</v>
      </c>
      <c r="G281" s="5">
        <f>XLOOKUP(I281, drug!B:B, drug!A:A, "Not Found")</f>
      </c>
      <c r="H281" s="1" t="s">
        <v>1604</v>
      </c>
      <c r="I281" s="7">
        <v>1</v>
      </c>
      <c r="J281" s="5">
        <f>XLOOKUP(L281, uom!C:C, uom!B:B, "Not Found")</f>
      </c>
      <c r="K281" s="1" t="s">
        <v>5511</v>
      </c>
      <c r="L281" s="5">
        <f>XLOOKUP(N281, uom!C:C, uom!B:B, "Not Found")</f>
      </c>
      <c r="M281" s="1" t="s">
        <v>5511</v>
      </c>
      <c r="N281" s="8" t="s">
        <v>5512</v>
      </c>
      <c r="O281" s="1" t="s">
        <v>5513</v>
      </c>
      <c r="P281" s="5">
        <f>XLOOKUP(R281, classification!C:C, classification!B:B, "Not Found")</f>
      </c>
      <c r="Q281" s="1" t="s">
        <v>5514</v>
      </c>
      <c r="R281" s="2"/>
      <c r="S281" s="2"/>
      <c r="T281" s="2"/>
      <c r="U281" s="2"/>
    </row>
    <row x14ac:dyDescent="0.25" r="282" customHeight="1" ht="17.25">
      <c r="A282" s="7">
        <v>281</v>
      </c>
      <c r="B282" s="1" t="s">
        <v>5791</v>
      </c>
      <c r="C282" s="5">
        <f>CONCATENATE("PD", TEXT(A282, "1000000"))</f>
      </c>
      <c r="D282" s="7">
        <v>74</v>
      </c>
      <c r="E282" s="5">
        <f>XLOOKUP(G282, item_category!C:C, item_category!B:B, "Not Found")</f>
      </c>
      <c r="F282" s="1" t="s">
        <v>5520</v>
      </c>
      <c r="G282" s="5">
        <f>XLOOKUP(I282, drug!B:B, drug!A:A, "Not Found")</f>
      </c>
      <c r="H282" s="1" t="s">
        <v>1228</v>
      </c>
      <c r="I282" s="7">
        <v>1</v>
      </c>
      <c r="J282" s="5">
        <f>XLOOKUP(L282, uom!C:C, uom!B:B, "Not Found")</f>
      </c>
      <c r="K282" s="1" t="s">
        <v>5511</v>
      </c>
      <c r="L282" s="5">
        <f>XLOOKUP(N282, uom!C:C, uom!B:B, "Not Found")</f>
      </c>
      <c r="M282" s="1" t="s">
        <v>5511</v>
      </c>
      <c r="N282" s="8" t="s">
        <v>5512</v>
      </c>
      <c r="O282" s="1" t="s">
        <v>5513</v>
      </c>
      <c r="P282" s="5">
        <f>XLOOKUP(R282, classification!C:C, classification!B:B, "Not Found")</f>
      </c>
      <c r="Q282" s="1" t="s">
        <v>5514</v>
      </c>
      <c r="R282" s="2"/>
      <c r="S282" s="2"/>
      <c r="T282" s="2"/>
      <c r="U282" s="2"/>
    </row>
    <row x14ac:dyDescent="0.25" r="283" customHeight="1" ht="17.25">
      <c r="A283" s="7">
        <v>282</v>
      </c>
      <c r="B283" s="1" t="s">
        <v>5792</v>
      </c>
      <c r="C283" s="5">
        <f>CONCATENATE("PD", TEXT(A283, "1000000"))</f>
      </c>
      <c r="D283" s="7">
        <v>74</v>
      </c>
      <c r="E283" s="5">
        <f>XLOOKUP(G283, item_category!C:C, item_category!B:B, "Not Found")</f>
      </c>
      <c r="F283" s="1" t="s">
        <v>5520</v>
      </c>
      <c r="G283" s="5">
        <f>XLOOKUP(I283, drug!B:B, drug!A:A, "Not Found")</f>
      </c>
      <c r="H283" s="1" t="s">
        <v>1606</v>
      </c>
      <c r="I283" s="7">
        <v>1</v>
      </c>
      <c r="J283" s="5">
        <f>XLOOKUP(L283, uom!C:C, uom!B:B, "Not Found")</f>
      </c>
      <c r="K283" s="1" t="s">
        <v>5511</v>
      </c>
      <c r="L283" s="5">
        <f>XLOOKUP(N283, uom!C:C, uom!B:B, "Not Found")</f>
      </c>
      <c r="M283" s="1" t="s">
        <v>5511</v>
      </c>
      <c r="N283" s="8" t="s">
        <v>5512</v>
      </c>
      <c r="O283" s="1" t="s">
        <v>5513</v>
      </c>
      <c r="P283" s="5">
        <f>XLOOKUP(R283, classification!C:C, classification!B:B, "Not Found")</f>
      </c>
      <c r="Q283" s="1" t="s">
        <v>5514</v>
      </c>
      <c r="R283" s="2"/>
      <c r="S283" s="2"/>
      <c r="T283" s="2"/>
      <c r="U283" s="2"/>
    </row>
    <row x14ac:dyDescent="0.25" r="284" customHeight="1" ht="17.25">
      <c r="A284" s="7">
        <v>283</v>
      </c>
      <c r="B284" s="1" t="s">
        <v>5793</v>
      </c>
      <c r="C284" s="5">
        <f>CONCATENATE("PD", TEXT(A284, "1000000"))</f>
      </c>
      <c r="D284" s="7">
        <v>74</v>
      </c>
      <c r="E284" s="5">
        <f>XLOOKUP(G284, item_category!C:C, item_category!B:B, "Not Found")</f>
      </c>
      <c r="F284" s="1" t="s">
        <v>5520</v>
      </c>
      <c r="G284" s="5">
        <f>XLOOKUP(I284, drug!B:B, drug!A:A, "Not Found")</f>
      </c>
      <c r="H284" s="1" t="s">
        <v>1608</v>
      </c>
      <c r="I284" s="7">
        <v>1</v>
      </c>
      <c r="J284" s="5">
        <f>XLOOKUP(L284, uom!C:C, uom!B:B, "Not Found")</f>
      </c>
      <c r="K284" s="1" t="s">
        <v>5511</v>
      </c>
      <c r="L284" s="5">
        <f>XLOOKUP(N284, uom!C:C, uom!B:B, "Not Found")</f>
      </c>
      <c r="M284" s="1" t="s">
        <v>5511</v>
      </c>
      <c r="N284" s="8" t="s">
        <v>5512</v>
      </c>
      <c r="O284" s="1" t="s">
        <v>5513</v>
      </c>
      <c r="P284" s="5">
        <f>XLOOKUP(R284, classification!C:C, classification!B:B, "Not Found")</f>
      </c>
      <c r="Q284" s="1" t="s">
        <v>5514</v>
      </c>
      <c r="R284" s="2"/>
      <c r="S284" s="2"/>
      <c r="T284" s="2"/>
      <c r="U284" s="2"/>
    </row>
    <row x14ac:dyDescent="0.25" r="285" customHeight="1" ht="17.25">
      <c r="A285" s="7">
        <v>284</v>
      </c>
      <c r="B285" s="1" t="s">
        <v>5794</v>
      </c>
      <c r="C285" s="5">
        <f>CONCATENATE("PD", TEXT(A285, "1000000"))</f>
      </c>
      <c r="D285" s="7">
        <v>74</v>
      </c>
      <c r="E285" s="5">
        <f>XLOOKUP(G285, item_category!C:C, item_category!B:B, "Not Found")</f>
      </c>
      <c r="F285" s="1" t="s">
        <v>5520</v>
      </c>
      <c r="G285" s="5">
        <f>XLOOKUP(I285, drug!B:B, drug!A:A, "Not Found")</f>
      </c>
      <c r="H285" s="1" t="s">
        <v>1610</v>
      </c>
      <c r="I285" s="7">
        <v>1</v>
      </c>
      <c r="J285" s="5">
        <f>XLOOKUP(L285, uom!C:C, uom!B:B, "Not Found")</f>
      </c>
      <c r="K285" s="1" t="s">
        <v>5511</v>
      </c>
      <c r="L285" s="5">
        <f>XLOOKUP(N285, uom!C:C, uom!B:B, "Not Found")</f>
      </c>
      <c r="M285" s="1" t="s">
        <v>5511</v>
      </c>
      <c r="N285" s="8" t="s">
        <v>5512</v>
      </c>
      <c r="O285" s="1" t="s">
        <v>5513</v>
      </c>
      <c r="P285" s="5">
        <f>XLOOKUP(R285, classification!C:C, classification!B:B, "Not Found")</f>
      </c>
      <c r="Q285" s="1" t="s">
        <v>5514</v>
      </c>
      <c r="R285" s="2"/>
      <c r="S285" s="2"/>
      <c r="T285" s="2"/>
      <c r="U285" s="2"/>
    </row>
    <row x14ac:dyDescent="0.25" r="286" customHeight="1" ht="17.25">
      <c r="A286" s="7">
        <v>285</v>
      </c>
      <c r="B286" s="1" t="s">
        <v>5795</v>
      </c>
      <c r="C286" s="5">
        <f>CONCATENATE("PD", TEXT(A286, "1000000"))</f>
      </c>
      <c r="D286" s="7">
        <v>74</v>
      </c>
      <c r="E286" s="5">
        <f>XLOOKUP(G286, item_category!C:C, item_category!B:B, "Not Found")</f>
      </c>
      <c r="F286" s="1" t="s">
        <v>5520</v>
      </c>
      <c r="G286" s="5">
        <f>XLOOKUP(I286, drug!B:B, drug!A:A, "Not Found")</f>
      </c>
      <c r="H286" s="1" t="s">
        <v>1048</v>
      </c>
      <c r="I286" s="7">
        <v>1</v>
      </c>
      <c r="J286" s="5">
        <f>XLOOKUP(L286, uom!C:C, uom!B:B, "Not Found")</f>
      </c>
      <c r="K286" s="1" t="s">
        <v>5511</v>
      </c>
      <c r="L286" s="5">
        <f>XLOOKUP(N286, uom!C:C, uom!B:B, "Not Found")</f>
      </c>
      <c r="M286" s="1" t="s">
        <v>5511</v>
      </c>
      <c r="N286" s="8" t="s">
        <v>5512</v>
      </c>
      <c r="O286" s="1" t="s">
        <v>5513</v>
      </c>
      <c r="P286" s="5">
        <f>XLOOKUP(R286, classification!C:C, classification!B:B, "Not Found")</f>
      </c>
      <c r="Q286" s="1" t="s">
        <v>5514</v>
      </c>
      <c r="R286" s="2"/>
      <c r="S286" s="2"/>
      <c r="T286" s="2"/>
      <c r="U286" s="2"/>
    </row>
    <row x14ac:dyDescent="0.25" r="287" customHeight="1" ht="17.25">
      <c r="A287" s="7">
        <v>286</v>
      </c>
      <c r="B287" s="1" t="s">
        <v>5796</v>
      </c>
      <c r="C287" s="5">
        <f>CONCATENATE("PD", TEXT(A287, "1000000"))</f>
      </c>
      <c r="D287" s="7">
        <v>74</v>
      </c>
      <c r="E287" s="5">
        <f>XLOOKUP(G287, item_category!C:C, item_category!B:B, "Not Found")</f>
      </c>
      <c r="F287" s="1" t="s">
        <v>5520</v>
      </c>
      <c r="G287" s="5">
        <f>XLOOKUP(I287, drug!B:B, drug!A:A, "Not Found")</f>
      </c>
      <c r="H287" s="1" t="s">
        <v>1612</v>
      </c>
      <c r="I287" s="7">
        <v>1</v>
      </c>
      <c r="J287" s="5">
        <f>XLOOKUP(L287, uom!C:C, uom!B:B, "Not Found")</f>
      </c>
      <c r="K287" s="1" t="s">
        <v>5511</v>
      </c>
      <c r="L287" s="5">
        <f>XLOOKUP(N287, uom!C:C, uom!B:B, "Not Found")</f>
      </c>
      <c r="M287" s="1" t="s">
        <v>5511</v>
      </c>
      <c r="N287" s="8" t="s">
        <v>5512</v>
      </c>
      <c r="O287" s="1" t="s">
        <v>5513</v>
      </c>
      <c r="P287" s="5">
        <f>XLOOKUP(R287, classification!C:C, classification!B:B, "Not Found")</f>
      </c>
      <c r="Q287" s="1" t="s">
        <v>5514</v>
      </c>
      <c r="R287" s="2"/>
      <c r="S287" s="2"/>
      <c r="T287" s="2"/>
      <c r="U287" s="2"/>
    </row>
    <row x14ac:dyDescent="0.25" r="288" customHeight="1" ht="17.25">
      <c r="A288" s="7">
        <v>287</v>
      </c>
      <c r="B288" s="1" t="s">
        <v>1614</v>
      </c>
      <c r="C288" s="5">
        <f>CONCATENATE("PD", TEXT(A288, "1000000"))</f>
      </c>
      <c r="D288" s="7">
        <v>74</v>
      </c>
      <c r="E288" s="5">
        <f>XLOOKUP(G288, item_category!C:C, item_category!B:B, "Not Found")</f>
      </c>
      <c r="F288" s="1" t="s">
        <v>5520</v>
      </c>
      <c r="G288" s="5">
        <f>XLOOKUP(I288, drug!B:B, drug!A:A, "Not Found")</f>
      </c>
      <c r="H288" s="1" t="s">
        <v>1614</v>
      </c>
      <c r="I288" s="7">
        <v>1</v>
      </c>
      <c r="J288" s="5">
        <f>XLOOKUP(L288, uom!C:C, uom!B:B, "Not Found")</f>
      </c>
      <c r="K288" s="1" t="s">
        <v>5511</v>
      </c>
      <c r="L288" s="5">
        <f>XLOOKUP(N288, uom!C:C, uom!B:B, "Not Found")</f>
      </c>
      <c r="M288" s="1" t="s">
        <v>5511</v>
      </c>
      <c r="N288" s="8" t="s">
        <v>5512</v>
      </c>
      <c r="O288" s="1" t="s">
        <v>5513</v>
      </c>
      <c r="P288" s="5">
        <f>XLOOKUP(R288, classification!C:C, classification!B:B, "Not Found")</f>
      </c>
      <c r="Q288" s="1" t="s">
        <v>5514</v>
      </c>
      <c r="R288" s="2"/>
      <c r="S288" s="2"/>
      <c r="T288" s="2"/>
      <c r="U288" s="2"/>
    </row>
    <row x14ac:dyDescent="0.25" r="289" customHeight="1" ht="17.25">
      <c r="A289" s="7">
        <v>288</v>
      </c>
      <c r="B289" s="1" t="s">
        <v>5797</v>
      </c>
      <c r="C289" s="5">
        <f>CONCATENATE("PD", TEXT(A289, "1000000"))</f>
      </c>
      <c r="D289" s="7">
        <v>74</v>
      </c>
      <c r="E289" s="5">
        <f>XLOOKUP(G289, item_category!C:C, item_category!B:B, "Not Found")</f>
      </c>
      <c r="F289" s="1" t="s">
        <v>5520</v>
      </c>
      <c r="G289" s="5">
        <f>XLOOKUP(I289, drug!B:B, drug!A:A, "Not Found")</f>
      </c>
      <c r="H289" s="1" t="s">
        <v>1616</v>
      </c>
      <c r="I289" s="7">
        <v>1</v>
      </c>
      <c r="J289" s="5">
        <f>XLOOKUP(L289, uom!C:C, uom!B:B, "Not Found")</f>
      </c>
      <c r="K289" s="1" t="s">
        <v>5511</v>
      </c>
      <c r="L289" s="5">
        <f>XLOOKUP(N289, uom!C:C, uom!B:B, "Not Found")</f>
      </c>
      <c r="M289" s="1" t="s">
        <v>5511</v>
      </c>
      <c r="N289" s="8" t="s">
        <v>5512</v>
      </c>
      <c r="O289" s="1" t="s">
        <v>5513</v>
      </c>
      <c r="P289" s="5">
        <f>XLOOKUP(R289, classification!C:C, classification!B:B, "Not Found")</f>
      </c>
      <c r="Q289" s="1" t="s">
        <v>5514</v>
      </c>
      <c r="R289" s="2"/>
      <c r="S289" s="2"/>
      <c r="T289" s="2"/>
      <c r="U289" s="2"/>
    </row>
    <row x14ac:dyDescent="0.25" r="290" customHeight="1" ht="17.25">
      <c r="A290" s="7">
        <v>289</v>
      </c>
      <c r="B290" s="1" t="s">
        <v>5798</v>
      </c>
      <c r="C290" s="5">
        <f>CONCATENATE("PD", TEXT(A290, "1000000"))</f>
      </c>
      <c r="D290" s="7">
        <v>74</v>
      </c>
      <c r="E290" s="5">
        <f>XLOOKUP(G290, item_category!C:C, item_category!B:B, "Not Found")</f>
      </c>
      <c r="F290" s="1" t="s">
        <v>5520</v>
      </c>
      <c r="G290" s="5">
        <f>XLOOKUP(I290, drug!B:B, drug!A:A, "Not Found")</f>
      </c>
      <c r="H290" s="1" t="s">
        <v>1618</v>
      </c>
      <c r="I290" s="7">
        <v>1</v>
      </c>
      <c r="J290" s="5">
        <f>XLOOKUP(L290, uom!C:C, uom!B:B, "Not Found")</f>
      </c>
      <c r="K290" s="1" t="s">
        <v>5511</v>
      </c>
      <c r="L290" s="5">
        <f>XLOOKUP(N290, uom!C:C, uom!B:B, "Not Found")</f>
      </c>
      <c r="M290" s="1" t="s">
        <v>5511</v>
      </c>
      <c r="N290" s="8" t="s">
        <v>5512</v>
      </c>
      <c r="O290" s="1" t="s">
        <v>5513</v>
      </c>
      <c r="P290" s="5">
        <f>XLOOKUP(R290, classification!C:C, classification!B:B, "Not Found")</f>
      </c>
      <c r="Q290" s="1" t="s">
        <v>5514</v>
      </c>
      <c r="R290" s="2"/>
      <c r="S290" s="2"/>
      <c r="T290" s="2"/>
      <c r="U290" s="2"/>
    </row>
    <row x14ac:dyDescent="0.25" r="291" customHeight="1" ht="17.25">
      <c r="A291" s="7">
        <v>290</v>
      </c>
      <c r="B291" s="1" t="s">
        <v>5799</v>
      </c>
      <c r="C291" s="5">
        <f>CONCATENATE("PD", TEXT(A291, "1000000"))</f>
      </c>
      <c r="D291" s="7">
        <v>74</v>
      </c>
      <c r="E291" s="5">
        <f>XLOOKUP(G291, item_category!C:C, item_category!B:B, "Not Found")</f>
      </c>
      <c r="F291" s="1" t="s">
        <v>5520</v>
      </c>
      <c r="G291" s="5">
        <f>XLOOKUP(I291, drug!B:B, drug!A:A, "Not Found")</f>
      </c>
      <c r="H291" s="1" t="s">
        <v>1620</v>
      </c>
      <c r="I291" s="7">
        <v>1</v>
      </c>
      <c r="J291" s="5">
        <f>XLOOKUP(L291, uom!C:C, uom!B:B, "Not Found")</f>
      </c>
      <c r="K291" s="1" t="s">
        <v>5511</v>
      </c>
      <c r="L291" s="5">
        <f>XLOOKUP(N291, uom!C:C, uom!B:B, "Not Found")</f>
      </c>
      <c r="M291" s="1" t="s">
        <v>5511</v>
      </c>
      <c r="N291" s="8" t="s">
        <v>5512</v>
      </c>
      <c r="O291" s="1" t="s">
        <v>5513</v>
      </c>
      <c r="P291" s="5">
        <f>XLOOKUP(R291, classification!C:C, classification!B:B, "Not Found")</f>
      </c>
      <c r="Q291" s="1" t="s">
        <v>5514</v>
      </c>
      <c r="R291" s="2"/>
      <c r="S291" s="2"/>
      <c r="T291" s="2"/>
      <c r="U291" s="2"/>
    </row>
    <row x14ac:dyDescent="0.25" r="292" customHeight="1" ht="17.25">
      <c r="A292" s="7">
        <v>291</v>
      </c>
      <c r="B292" s="1" t="s">
        <v>5800</v>
      </c>
      <c r="C292" s="5">
        <f>CONCATENATE("PD", TEXT(A292, "1000000"))</f>
      </c>
      <c r="D292" s="7">
        <v>74</v>
      </c>
      <c r="E292" s="5">
        <f>XLOOKUP(G292, item_category!C:C, item_category!B:B, "Not Found")</f>
      </c>
      <c r="F292" s="1" t="s">
        <v>5520</v>
      </c>
      <c r="G292" s="5">
        <f>XLOOKUP(I292, drug!B:B, drug!A:A, "Not Found")</f>
      </c>
      <c r="H292" s="1" t="s">
        <v>1622</v>
      </c>
      <c r="I292" s="7">
        <v>1</v>
      </c>
      <c r="J292" s="5">
        <f>XLOOKUP(L292, uom!C:C, uom!B:B, "Not Found")</f>
      </c>
      <c r="K292" s="1" t="s">
        <v>5511</v>
      </c>
      <c r="L292" s="5">
        <f>XLOOKUP(N292, uom!C:C, uom!B:B, "Not Found")</f>
      </c>
      <c r="M292" s="1" t="s">
        <v>5511</v>
      </c>
      <c r="N292" s="8" t="s">
        <v>5512</v>
      </c>
      <c r="O292" s="1" t="s">
        <v>5513</v>
      </c>
      <c r="P292" s="5">
        <f>XLOOKUP(R292, classification!C:C, classification!B:B, "Not Found")</f>
      </c>
      <c r="Q292" s="1" t="s">
        <v>5514</v>
      </c>
      <c r="R292" s="2"/>
      <c r="S292" s="2"/>
      <c r="T292" s="2"/>
      <c r="U292" s="2"/>
    </row>
    <row x14ac:dyDescent="0.25" r="293" customHeight="1" ht="17.25">
      <c r="A293" s="7">
        <v>292</v>
      </c>
      <c r="B293" s="1" t="s">
        <v>5801</v>
      </c>
      <c r="C293" s="5">
        <f>CONCATENATE("PD", TEXT(A293, "1000000"))</f>
      </c>
      <c r="D293" s="7">
        <v>74</v>
      </c>
      <c r="E293" s="5">
        <f>XLOOKUP(G293, item_category!C:C, item_category!B:B, "Not Found")</f>
      </c>
      <c r="F293" s="1" t="s">
        <v>5520</v>
      </c>
      <c r="G293" s="5">
        <f>XLOOKUP(I293, drug!B:B, drug!A:A, "Not Found")</f>
      </c>
      <c r="H293" s="1" t="s">
        <v>1622</v>
      </c>
      <c r="I293" s="7">
        <v>1</v>
      </c>
      <c r="J293" s="5">
        <f>XLOOKUP(L293, uom!C:C, uom!B:B, "Not Found")</f>
      </c>
      <c r="K293" s="1" t="s">
        <v>5511</v>
      </c>
      <c r="L293" s="5">
        <f>XLOOKUP(N293, uom!C:C, uom!B:B, "Not Found")</f>
      </c>
      <c r="M293" s="1" t="s">
        <v>5511</v>
      </c>
      <c r="N293" s="8" t="s">
        <v>5512</v>
      </c>
      <c r="O293" s="1" t="s">
        <v>5513</v>
      </c>
      <c r="P293" s="5">
        <f>XLOOKUP(R293, classification!C:C, classification!B:B, "Not Found")</f>
      </c>
      <c r="Q293" s="1" t="s">
        <v>5514</v>
      </c>
      <c r="R293" s="2"/>
      <c r="S293" s="2"/>
      <c r="T293" s="2"/>
      <c r="U293" s="2"/>
    </row>
    <row x14ac:dyDescent="0.25" r="294" customHeight="1" ht="17.25">
      <c r="A294" s="7">
        <v>293</v>
      </c>
      <c r="B294" s="1" t="s">
        <v>5802</v>
      </c>
      <c r="C294" s="5">
        <f>CONCATENATE("PD", TEXT(A294, "1000000"))</f>
      </c>
      <c r="D294" s="7">
        <v>74</v>
      </c>
      <c r="E294" s="5">
        <f>XLOOKUP(G294, item_category!C:C, item_category!B:B, "Not Found")</f>
      </c>
      <c r="F294" s="1" t="s">
        <v>5520</v>
      </c>
      <c r="G294" s="5">
        <f>XLOOKUP(I294, drug!B:B, drug!A:A, "Not Found")</f>
      </c>
      <c r="H294" s="1" t="s">
        <v>1624</v>
      </c>
      <c r="I294" s="7">
        <v>1</v>
      </c>
      <c r="J294" s="5">
        <f>XLOOKUP(L294, uom!C:C, uom!B:B, "Not Found")</f>
      </c>
      <c r="K294" s="1" t="s">
        <v>5511</v>
      </c>
      <c r="L294" s="5">
        <f>XLOOKUP(N294, uom!C:C, uom!B:B, "Not Found")</f>
      </c>
      <c r="M294" s="1" t="s">
        <v>5511</v>
      </c>
      <c r="N294" s="8" t="s">
        <v>5512</v>
      </c>
      <c r="O294" s="1" t="s">
        <v>5513</v>
      </c>
      <c r="P294" s="5">
        <f>XLOOKUP(R294, classification!C:C, classification!B:B, "Not Found")</f>
      </c>
      <c r="Q294" s="1" t="s">
        <v>5514</v>
      </c>
      <c r="R294" s="2"/>
      <c r="S294" s="2"/>
      <c r="T294" s="2"/>
      <c r="U294" s="2"/>
    </row>
    <row x14ac:dyDescent="0.25" r="295" customHeight="1" ht="17.25">
      <c r="A295" s="7">
        <v>294</v>
      </c>
      <c r="B295" s="1" t="s">
        <v>5803</v>
      </c>
      <c r="C295" s="5">
        <f>CONCATENATE("PD", TEXT(A295, "1000000"))</f>
      </c>
      <c r="D295" s="7">
        <v>74</v>
      </c>
      <c r="E295" s="5">
        <f>XLOOKUP(G295, item_category!C:C, item_category!B:B, "Not Found")</f>
      </c>
      <c r="F295" s="1" t="s">
        <v>5520</v>
      </c>
      <c r="G295" s="5">
        <f>XLOOKUP(I295, drug!B:B, drug!A:A, "Not Found")</f>
      </c>
      <c r="H295" s="1" t="s">
        <v>1626</v>
      </c>
      <c r="I295" s="7">
        <v>1</v>
      </c>
      <c r="J295" s="5">
        <f>XLOOKUP(L295, uom!C:C, uom!B:B, "Not Found")</f>
      </c>
      <c r="K295" s="1" t="s">
        <v>5511</v>
      </c>
      <c r="L295" s="5">
        <f>XLOOKUP(N295, uom!C:C, uom!B:B, "Not Found")</f>
      </c>
      <c r="M295" s="1" t="s">
        <v>5511</v>
      </c>
      <c r="N295" s="8" t="s">
        <v>5512</v>
      </c>
      <c r="O295" s="1" t="s">
        <v>5513</v>
      </c>
      <c r="P295" s="5">
        <f>XLOOKUP(R295, classification!C:C, classification!B:B, "Not Found")</f>
      </c>
      <c r="Q295" s="1" t="s">
        <v>5514</v>
      </c>
      <c r="R295" s="2"/>
      <c r="S295" s="2"/>
      <c r="T295" s="2"/>
      <c r="U295" s="2"/>
    </row>
    <row x14ac:dyDescent="0.25" r="296" customHeight="1" ht="17.25">
      <c r="A296" s="7">
        <v>295</v>
      </c>
      <c r="B296" s="1" t="s">
        <v>5804</v>
      </c>
      <c r="C296" s="5">
        <f>CONCATENATE("PD", TEXT(A296, "1000000"))</f>
      </c>
      <c r="D296" s="7">
        <v>74</v>
      </c>
      <c r="E296" s="5">
        <f>XLOOKUP(G296, item_category!C:C, item_category!B:B, "Not Found")</f>
      </c>
      <c r="F296" s="1" t="s">
        <v>5520</v>
      </c>
      <c r="G296" s="5">
        <f>XLOOKUP(I296, drug!B:B, drug!A:A, "Not Found")</f>
      </c>
      <c r="H296" s="1" t="s">
        <v>1628</v>
      </c>
      <c r="I296" s="7">
        <v>1</v>
      </c>
      <c r="J296" s="5">
        <f>XLOOKUP(L296, uom!C:C, uom!B:B, "Not Found")</f>
      </c>
      <c r="K296" s="1" t="s">
        <v>5511</v>
      </c>
      <c r="L296" s="5">
        <f>XLOOKUP(N296, uom!C:C, uom!B:B, "Not Found")</f>
      </c>
      <c r="M296" s="1" t="s">
        <v>5511</v>
      </c>
      <c r="N296" s="8" t="s">
        <v>5512</v>
      </c>
      <c r="O296" s="1" t="s">
        <v>5513</v>
      </c>
      <c r="P296" s="5">
        <f>XLOOKUP(R296, classification!C:C, classification!B:B, "Not Found")</f>
      </c>
      <c r="Q296" s="1" t="s">
        <v>5514</v>
      </c>
      <c r="R296" s="2"/>
      <c r="S296" s="2"/>
      <c r="T296" s="2"/>
      <c r="U296" s="2"/>
    </row>
    <row x14ac:dyDescent="0.25" r="297" customHeight="1" ht="17.25">
      <c r="A297" s="7">
        <v>296</v>
      </c>
      <c r="B297" s="1" t="s">
        <v>5805</v>
      </c>
      <c r="C297" s="5">
        <f>CONCATENATE("PD", TEXT(A297, "1000000"))</f>
      </c>
      <c r="D297" s="7">
        <v>74</v>
      </c>
      <c r="E297" s="5">
        <f>XLOOKUP(G297, item_category!C:C, item_category!B:B, "Not Found")</f>
      </c>
      <c r="F297" s="1" t="s">
        <v>5520</v>
      </c>
      <c r="G297" s="5">
        <f>XLOOKUP(I297, drug!B:B, drug!A:A, "Not Found")</f>
      </c>
      <c r="H297" s="1" t="s">
        <v>1628</v>
      </c>
      <c r="I297" s="7">
        <v>1</v>
      </c>
      <c r="J297" s="5">
        <f>XLOOKUP(L297, uom!C:C, uom!B:B, "Not Found")</f>
      </c>
      <c r="K297" s="1" t="s">
        <v>5511</v>
      </c>
      <c r="L297" s="5">
        <f>XLOOKUP(N297, uom!C:C, uom!B:B, "Not Found")</f>
      </c>
      <c r="M297" s="1" t="s">
        <v>5511</v>
      </c>
      <c r="N297" s="8" t="s">
        <v>5512</v>
      </c>
      <c r="O297" s="1" t="s">
        <v>5513</v>
      </c>
      <c r="P297" s="5">
        <f>XLOOKUP(R297, classification!C:C, classification!B:B, "Not Found")</f>
      </c>
      <c r="Q297" s="1" t="s">
        <v>5514</v>
      </c>
      <c r="R297" s="2"/>
      <c r="S297" s="2"/>
      <c r="T297" s="2"/>
      <c r="U297" s="2"/>
    </row>
    <row x14ac:dyDescent="0.25" r="298" customHeight="1" ht="17.25">
      <c r="A298" s="7">
        <v>297</v>
      </c>
      <c r="B298" s="1" t="s">
        <v>5806</v>
      </c>
      <c r="C298" s="5">
        <f>CONCATENATE("PD", TEXT(A298, "1000000"))</f>
      </c>
      <c r="D298" s="7">
        <v>74</v>
      </c>
      <c r="E298" s="5">
        <f>XLOOKUP(G298, item_category!C:C, item_category!B:B, "Not Found")</f>
      </c>
      <c r="F298" s="1" t="s">
        <v>5520</v>
      </c>
      <c r="G298" s="5">
        <f>XLOOKUP(I298, drug!B:B, drug!A:A, "Not Found")</f>
      </c>
      <c r="H298" s="1" t="s">
        <v>1630</v>
      </c>
      <c r="I298" s="7">
        <v>1</v>
      </c>
      <c r="J298" s="5">
        <f>XLOOKUP(L298, uom!C:C, uom!B:B, "Not Found")</f>
      </c>
      <c r="K298" s="1" t="s">
        <v>5511</v>
      </c>
      <c r="L298" s="5">
        <f>XLOOKUP(N298, uom!C:C, uom!B:B, "Not Found")</f>
      </c>
      <c r="M298" s="1" t="s">
        <v>5511</v>
      </c>
      <c r="N298" s="8" t="s">
        <v>5512</v>
      </c>
      <c r="O298" s="1" t="s">
        <v>5513</v>
      </c>
      <c r="P298" s="5">
        <f>XLOOKUP(R298, classification!C:C, classification!B:B, "Not Found")</f>
      </c>
      <c r="Q298" s="1" t="s">
        <v>5514</v>
      </c>
      <c r="R298" s="2"/>
      <c r="S298" s="2"/>
      <c r="T298" s="2"/>
      <c r="U298" s="2"/>
    </row>
    <row x14ac:dyDescent="0.25" r="299" customHeight="1" ht="17.25">
      <c r="A299" s="7">
        <v>298</v>
      </c>
      <c r="B299" s="1" t="s">
        <v>5807</v>
      </c>
      <c r="C299" s="5">
        <f>CONCATENATE("PD", TEXT(A299, "1000000"))</f>
      </c>
      <c r="D299" s="7">
        <v>74</v>
      </c>
      <c r="E299" s="5">
        <f>XLOOKUP(G299, item_category!C:C, item_category!B:B, "Not Found")</f>
      </c>
      <c r="F299" s="1" t="s">
        <v>5520</v>
      </c>
      <c r="G299" s="5">
        <f>XLOOKUP(I299, drug!B:B, drug!A:A, "Not Found")</f>
      </c>
      <c r="H299" s="1" t="s">
        <v>1632</v>
      </c>
      <c r="I299" s="7">
        <v>1</v>
      </c>
      <c r="J299" s="5">
        <f>XLOOKUP(L299, uom!C:C, uom!B:B, "Not Found")</f>
      </c>
      <c r="K299" s="1" t="s">
        <v>5511</v>
      </c>
      <c r="L299" s="5">
        <f>XLOOKUP(N299, uom!C:C, uom!B:B, "Not Found")</f>
      </c>
      <c r="M299" s="1" t="s">
        <v>5511</v>
      </c>
      <c r="N299" s="8" t="s">
        <v>5512</v>
      </c>
      <c r="O299" s="1" t="s">
        <v>5513</v>
      </c>
      <c r="P299" s="5">
        <f>XLOOKUP(R299, classification!C:C, classification!B:B, "Not Found")</f>
      </c>
      <c r="Q299" s="1" t="s">
        <v>5514</v>
      </c>
      <c r="R299" s="2"/>
      <c r="S299" s="2"/>
      <c r="T299" s="2"/>
      <c r="U299" s="2"/>
    </row>
    <row x14ac:dyDescent="0.25" r="300" customHeight="1" ht="17.25">
      <c r="A300" s="7">
        <v>299</v>
      </c>
      <c r="B300" s="1" t="s">
        <v>5808</v>
      </c>
      <c r="C300" s="5">
        <f>CONCATENATE("PD", TEXT(A300, "1000000"))</f>
      </c>
      <c r="D300" s="7">
        <v>74</v>
      </c>
      <c r="E300" s="5">
        <f>XLOOKUP(G300, item_category!C:C, item_category!B:B, "Not Found")</f>
      </c>
      <c r="F300" s="1" t="s">
        <v>5520</v>
      </c>
      <c r="G300" s="5">
        <f>XLOOKUP(I300, drug!B:B, drug!A:A, "Not Found")</f>
      </c>
      <c r="H300" s="1" t="s">
        <v>1634</v>
      </c>
      <c r="I300" s="7">
        <v>1</v>
      </c>
      <c r="J300" s="5">
        <f>XLOOKUP(L300, uom!C:C, uom!B:B, "Not Found")</f>
      </c>
      <c r="K300" s="1" t="s">
        <v>5511</v>
      </c>
      <c r="L300" s="5">
        <f>XLOOKUP(N300, uom!C:C, uom!B:B, "Not Found")</f>
      </c>
      <c r="M300" s="1" t="s">
        <v>5511</v>
      </c>
      <c r="N300" s="8" t="s">
        <v>5512</v>
      </c>
      <c r="O300" s="1" t="s">
        <v>5513</v>
      </c>
      <c r="P300" s="5">
        <f>XLOOKUP(R300, classification!C:C, classification!B:B, "Not Found")</f>
      </c>
      <c r="Q300" s="1" t="s">
        <v>5514</v>
      </c>
      <c r="R300" s="2"/>
      <c r="S300" s="2"/>
      <c r="T300" s="2"/>
      <c r="U300" s="2"/>
    </row>
    <row x14ac:dyDescent="0.25" r="301" customHeight="1" ht="17.25">
      <c r="A301" s="7">
        <v>300</v>
      </c>
      <c r="B301" s="1" t="s">
        <v>1636</v>
      </c>
      <c r="C301" s="5">
        <f>CONCATENATE("PD", TEXT(A301, "1000000"))</f>
      </c>
      <c r="D301" s="7">
        <v>74</v>
      </c>
      <c r="E301" s="5">
        <f>XLOOKUP(G301, item_category!C:C, item_category!B:B, "Not Found")</f>
      </c>
      <c r="F301" s="1" t="s">
        <v>5520</v>
      </c>
      <c r="G301" s="5">
        <f>XLOOKUP(I301, drug!B:B, drug!A:A, "Not Found")</f>
      </c>
      <c r="H301" s="1" t="s">
        <v>1636</v>
      </c>
      <c r="I301" s="7">
        <v>1</v>
      </c>
      <c r="J301" s="5">
        <f>XLOOKUP(L301, uom!C:C, uom!B:B, "Not Found")</f>
      </c>
      <c r="K301" s="1" t="s">
        <v>5511</v>
      </c>
      <c r="L301" s="5">
        <f>XLOOKUP(N301, uom!C:C, uom!B:B, "Not Found")</f>
      </c>
      <c r="M301" s="1" t="s">
        <v>5511</v>
      </c>
      <c r="N301" s="8" t="s">
        <v>5512</v>
      </c>
      <c r="O301" s="1" t="s">
        <v>5513</v>
      </c>
      <c r="P301" s="5">
        <f>XLOOKUP(R301, classification!C:C, classification!B:B, "Not Found")</f>
      </c>
      <c r="Q301" s="1" t="s">
        <v>5514</v>
      </c>
      <c r="R301" s="2"/>
      <c r="S301" s="2"/>
      <c r="T301" s="2"/>
      <c r="U301" s="2"/>
    </row>
    <row x14ac:dyDescent="0.25" r="302" customHeight="1" ht="17.25">
      <c r="A302" s="7">
        <v>301</v>
      </c>
      <c r="B302" s="1" t="s">
        <v>1638</v>
      </c>
      <c r="C302" s="5">
        <f>CONCATENATE("PD", TEXT(A302, "1000000"))</f>
      </c>
      <c r="D302" s="7">
        <v>74</v>
      </c>
      <c r="E302" s="5">
        <f>XLOOKUP(G302, item_category!C:C, item_category!B:B, "Not Found")</f>
      </c>
      <c r="F302" s="1" t="s">
        <v>5520</v>
      </c>
      <c r="G302" s="5">
        <f>XLOOKUP(I302, drug!B:B, drug!A:A, "Not Found")</f>
      </c>
      <c r="H302" s="1" t="s">
        <v>1638</v>
      </c>
      <c r="I302" s="7">
        <v>1</v>
      </c>
      <c r="J302" s="5">
        <f>XLOOKUP(L302, uom!C:C, uom!B:B, "Not Found")</f>
      </c>
      <c r="K302" s="1" t="s">
        <v>5511</v>
      </c>
      <c r="L302" s="5">
        <f>XLOOKUP(N302, uom!C:C, uom!B:B, "Not Found")</f>
      </c>
      <c r="M302" s="1" t="s">
        <v>5511</v>
      </c>
      <c r="N302" s="8" t="s">
        <v>5512</v>
      </c>
      <c r="O302" s="1" t="s">
        <v>5513</v>
      </c>
      <c r="P302" s="5">
        <f>XLOOKUP(R302, classification!C:C, classification!B:B, "Not Found")</f>
      </c>
      <c r="Q302" s="1" t="s">
        <v>5514</v>
      </c>
      <c r="R302" s="2"/>
      <c r="S302" s="2"/>
      <c r="T302" s="2"/>
      <c r="U302" s="2"/>
    </row>
    <row x14ac:dyDescent="0.25" r="303" customHeight="1" ht="17.25">
      <c r="A303" s="7">
        <v>302</v>
      </c>
      <c r="B303" s="1" t="s">
        <v>5809</v>
      </c>
      <c r="C303" s="5">
        <f>CONCATENATE("PD", TEXT(A303, "1000000"))</f>
      </c>
      <c r="D303" s="7">
        <v>74</v>
      </c>
      <c r="E303" s="5">
        <f>XLOOKUP(G303, item_category!C:C, item_category!B:B, "Not Found")</f>
      </c>
      <c r="F303" s="1" t="s">
        <v>5520</v>
      </c>
      <c r="G303" s="5">
        <f>XLOOKUP(I303, drug!B:B, drug!A:A, "Not Found")</f>
      </c>
      <c r="H303" s="1" t="s">
        <v>1640</v>
      </c>
      <c r="I303" s="7">
        <v>1</v>
      </c>
      <c r="J303" s="5">
        <f>XLOOKUP(L303, uom!C:C, uom!B:B, "Not Found")</f>
      </c>
      <c r="K303" s="1" t="s">
        <v>5511</v>
      </c>
      <c r="L303" s="5">
        <f>XLOOKUP(N303, uom!C:C, uom!B:B, "Not Found")</f>
      </c>
      <c r="M303" s="1" t="s">
        <v>5511</v>
      </c>
      <c r="N303" s="8" t="s">
        <v>5512</v>
      </c>
      <c r="O303" s="1" t="s">
        <v>5513</v>
      </c>
      <c r="P303" s="5">
        <f>XLOOKUP(R303, classification!C:C, classification!B:B, "Not Found")</f>
      </c>
      <c r="Q303" s="1" t="s">
        <v>5514</v>
      </c>
      <c r="R303" s="2"/>
      <c r="S303" s="2"/>
      <c r="T303" s="2"/>
      <c r="U303" s="2"/>
    </row>
    <row x14ac:dyDescent="0.25" r="304" customHeight="1" ht="17.25">
      <c r="A304" s="7">
        <v>303</v>
      </c>
      <c r="B304" s="1" t="s">
        <v>5810</v>
      </c>
      <c r="C304" s="5">
        <f>CONCATENATE("PD", TEXT(A304, "1000000"))</f>
      </c>
      <c r="D304" s="7">
        <v>74</v>
      </c>
      <c r="E304" s="5">
        <f>XLOOKUP(G304, item_category!C:C, item_category!B:B, "Not Found")</f>
      </c>
      <c r="F304" s="1" t="s">
        <v>5520</v>
      </c>
      <c r="G304" s="5">
        <f>XLOOKUP(I304, drug!B:B, drug!A:A, "Not Found")</f>
      </c>
      <c r="H304" s="1" t="s">
        <v>1642</v>
      </c>
      <c r="I304" s="7">
        <v>1</v>
      </c>
      <c r="J304" s="5">
        <f>XLOOKUP(L304, uom!C:C, uom!B:B, "Not Found")</f>
      </c>
      <c r="K304" s="1" t="s">
        <v>5511</v>
      </c>
      <c r="L304" s="5">
        <f>XLOOKUP(N304, uom!C:C, uom!B:B, "Not Found")</f>
      </c>
      <c r="M304" s="1" t="s">
        <v>5511</v>
      </c>
      <c r="N304" s="8" t="s">
        <v>5512</v>
      </c>
      <c r="O304" s="1" t="s">
        <v>5513</v>
      </c>
      <c r="P304" s="5">
        <f>XLOOKUP(R304, classification!C:C, classification!B:B, "Not Found")</f>
      </c>
      <c r="Q304" s="1" t="s">
        <v>5514</v>
      </c>
      <c r="R304" s="2"/>
      <c r="S304" s="2"/>
      <c r="T304" s="2"/>
      <c r="U304" s="2"/>
    </row>
    <row x14ac:dyDescent="0.25" r="305" customHeight="1" ht="17.25">
      <c r="A305" s="7">
        <v>304</v>
      </c>
      <c r="B305" s="1" t="s">
        <v>5811</v>
      </c>
      <c r="C305" s="5">
        <f>CONCATENATE("PD", TEXT(A305, "1000000"))</f>
      </c>
      <c r="D305" s="7">
        <v>74</v>
      </c>
      <c r="E305" s="5">
        <f>XLOOKUP(G305, item_category!C:C, item_category!B:B, "Not Found")</f>
      </c>
      <c r="F305" s="1" t="s">
        <v>5520</v>
      </c>
      <c r="G305" s="5">
        <f>XLOOKUP(I305, drug!B:B, drug!A:A, "Not Found")</f>
      </c>
      <c r="H305" s="1" t="s">
        <v>1644</v>
      </c>
      <c r="I305" s="7">
        <v>1</v>
      </c>
      <c r="J305" s="5">
        <f>XLOOKUP(L305, uom!C:C, uom!B:B, "Not Found")</f>
      </c>
      <c r="K305" s="1" t="s">
        <v>5511</v>
      </c>
      <c r="L305" s="5">
        <f>XLOOKUP(N305, uom!C:C, uom!B:B, "Not Found")</f>
      </c>
      <c r="M305" s="1" t="s">
        <v>5511</v>
      </c>
      <c r="N305" s="8" t="s">
        <v>5512</v>
      </c>
      <c r="O305" s="1" t="s">
        <v>5513</v>
      </c>
      <c r="P305" s="5">
        <f>XLOOKUP(R305, classification!C:C, classification!B:B, "Not Found")</f>
      </c>
      <c r="Q305" s="1" t="s">
        <v>5514</v>
      </c>
      <c r="R305" s="2"/>
      <c r="S305" s="2"/>
      <c r="T305" s="2"/>
      <c r="U305" s="2"/>
    </row>
    <row x14ac:dyDescent="0.25" r="306" customHeight="1" ht="17.25">
      <c r="A306" s="7">
        <v>305</v>
      </c>
      <c r="B306" s="1" t="s">
        <v>5812</v>
      </c>
      <c r="C306" s="5">
        <f>CONCATENATE("PD", TEXT(A306, "1000000"))</f>
      </c>
      <c r="D306" s="7">
        <v>74</v>
      </c>
      <c r="E306" s="5">
        <f>XLOOKUP(G306, item_category!C:C, item_category!B:B, "Not Found")</f>
      </c>
      <c r="F306" s="1" t="s">
        <v>5520</v>
      </c>
      <c r="G306" s="5">
        <f>XLOOKUP(I306, drug!B:B, drug!A:A, "Not Found")</f>
      </c>
      <c r="H306" s="1" t="s">
        <v>1646</v>
      </c>
      <c r="I306" s="7">
        <v>1</v>
      </c>
      <c r="J306" s="5">
        <f>XLOOKUP(L306, uom!C:C, uom!B:B, "Not Found")</f>
      </c>
      <c r="K306" s="1" t="s">
        <v>5511</v>
      </c>
      <c r="L306" s="5">
        <f>XLOOKUP(N306, uom!C:C, uom!B:B, "Not Found")</f>
      </c>
      <c r="M306" s="1" t="s">
        <v>5511</v>
      </c>
      <c r="N306" s="8" t="s">
        <v>5512</v>
      </c>
      <c r="O306" s="1" t="s">
        <v>5513</v>
      </c>
      <c r="P306" s="5">
        <f>XLOOKUP(R306, classification!C:C, classification!B:B, "Not Found")</f>
      </c>
      <c r="Q306" s="1" t="s">
        <v>5514</v>
      </c>
      <c r="R306" s="2"/>
      <c r="S306" s="2"/>
      <c r="T306" s="2"/>
      <c r="U306" s="2"/>
    </row>
    <row x14ac:dyDescent="0.25" r="307" customHeight="1" ht="17.25">
      <c r="A307" s="7">
        <v>306</v>
      </c>
      <c r="B307" s="1" t="s">
        <v>5813</v>
      </c>
      <c r="C307" s="5">
        <f>CONCATENATE("PD", TEXT(A307, "1000000"))</f>
      </c>
      <c r="D307" s="7">
        <v>74</v>
      </c>
      <c r="E307" s="5">
        <f>XLOOKUP(G307, item_category!C:C, item_category!B:B, "Not Found")</f>
      </c>
      <c r="F307" s="1" t="s">
        <v>5520</v>
      </c>
      <c r="G307" s="5">
        <f>XLOOKUP(I307, drug!B:B, drug!A:A, "Not Found")</f>
      </c>
      <c r="H307" s="1" t="s">
        <v>1648</v>
      </c>
      <c r="I307" s="7">
        <v>1</v>
      </c>
      <c r="J307" s="5">
        <f>XLOOKUP(L307, uom!C:C, uom!B:B, "Not Found")</f>
      </c>
      <c r="K307" s="1" t="s">
        <v>5511</v>
      </c>
      <c r="L307" s="5">
        <f>XLOOKUP(N307, uom!C:C, uom!B:B, "Not Found")</f>
      </c>
      <c r="M307" s="1" t="s">
        <v>5511</v>
      </c>
      <c r="N307" s="8" t="s">
        <v>5512</v>
      </c>
      <c r="O307" s="1" t="s">
        <v>5513</v>
      </c>
      <c r="P307" s="5">
        <f>XLOOKUP(R307, classification!C:C, classification!B:B, "Not Found")</f>
      </c>
      <c r="Q307" s="1" t="s">
        <v>5514</v>
      </c>
      <c r="R307" s="2"/>
      <c r="S307" s="2"/>
      <c r="T307" s="2"/>
      <c r="U307" s="2"/>
    </row>
    <row x14ac:dyDescent="0.25" r="308" customHeight="1" ht="17.25">
      <c r="A308" s="7">
        <v>307</v>
      </c>
      <c r="B308" s="1" t="s">
        <v>5814</v>
      </c>
      <c r="C308" s="5">
        <f>CONCATENATE("PD", TEXT(A308, "1000000"))</f>
      </c>
      <c r="D308" s="7">
        <v>74</v>
      </c>
      <c r="E308" s="5">
        <f>XLOOKUP(G308, item_category!C:C, item_category!B:B, "Not Found")</f>
      </c>
      <c r="F308" s="1" t="s">
        <v>5520</v>
      </c>
      <c r="G308" s="5">
        <f>XLOOKUP(I308, drug!B:B, drug!A:A, "Not Found")</f>
      </c>
      <c r="H308" s="1" t="s">
        <v>1650</v>
      </c>
      <c r="I308" s="7">
        <v>1</v>
      </c>
      <c r="J308" s="5">
        <f>XLOOKUP(L308, uom!C:C, uom!B:B, "Not Found")</f>
      </c>
      <c r="K308" s="1" t="s">
        <v>5511</v>
      </c>
      <c r="L308" s="5">
        <f>XLOOKUP(N308, uom!C:C, uom!B:B, "Not Found")</f>
      </c>
      <c r="M308" s="1" t="s">
        <v>5511</v>
      </c>
      <c r="N308" s="8" t="s">
        <v>5512</v>
      </c>
      <c r="O308" s="1" t="s">
        <v>5513</v>
      </c>
      <c r="P308" s="5">
        <f>XLOOKUP(R308, classification!C:C, classification!B:B, "Not Found")</f>
      </c>
      <c r="Q308" s="1" t="s">
        <v>5514</v>
      </c>
      <c r="R308" s="2"/>
      <c r="S308" s="2"/>
      <c r="T308" s="2"/>
      <c r="U308" s="2"/>
    </row>
    <row x14ac:dyDescent="0.25" r="309" customHeight="1" ht="17.25">
      <c r="A309" s="7">
        <v>308</v>
      </c>
      <c r="B309" s="1" t="s">
        <v>5815</v>
      </c>
      <c r="C309" s="5">
        <f>CONCATENATE("PD", TEXT(A309, "1000000"))</f>
      </c>
      <c r="D309" s="7">
        <v>74</v>
      </c>
      <c r="E309" s="5">
        <f>XLOOKUP(G309, item_category!C:C, item_category!B:B, "Not Found")</f>
      </c>
      <c r="F309" s="1" t="s">
        <v>5520</v>
      </c>
      <c r="G309" s="5">
        <f>XLOOKUP(I309, drug!B:B, drug!A:A, "Not Found")</f>
      </c>
      <c r="H309" s="1" t="s">
        <v>1650</v>
      </c>
      <c r="I309" s="7">
        <v>1</v>
      </c>
      <c r="J309" s="5">
        <f>XLOOKUP(L309, uom!C:C, uom!B:B, "Not Found")</f>
      </c>
      <c r="K309" s="1" t="s">
        <v>5511</v>
      </c>
      <c r="L309" s="5">
        <f>XLOOKUP(N309, uom!C:C, uom!B:B, "Not Found")</f>
      </c>
      <c r="M309" s="1" t="s">
        <v>5511</v>
      </c>
      <c r="N309" s="8" t="s">
        <v>5512</v>
      </c>
      <c r="O309" s="1" t="s">
        <v>5513</v>
      </c>
      <c r="P309" s="5">
        <f>XLOOKUP(R309, classification!C:C, classification!B:B, "Not Found")</f>
      </c>
      <c r="Q309" s="1" t="s">
        <v>5514</v>
      </c>
      <c r="R309" s="2"/>
      <c r="S309" s="2"/>
      <c r="T309" s="2"/>
      <c r="U309" s="2"/>
    </row>
    <row x14ac:dyDescent="0.25" r="310" customHeight="1" ht="17.25">
      <c r="A310" s="7">
        <v>309</v>
      </c>
      <c r="B310" s="1" t="s">
        <v>5816</v>
      </c>
      <c r="C310" s="5">
        <f>CONCATENATE("PD", TEXT(A310, "1000000"))</f>
      </c>
      <c r="D310" s="7">
        <v>74</v>
      </c>
      <c r="E310" s="5">
        <f>XLOOKUP(G310, item_category!C:C, item_category!B:B, "Not Found")</f>
      </c>
      <c r="F310" s="1" t="s">
        <v>5520</v>
      </c>
      <c r="G310" s="5">
        <f>XLOOKUP(I310, drug!B:B, drug!A:A, "Not Found")</f>
      </c>
      <c r="H310" s="1" t="s">
        <v>1652</v>
      </c>
      <c r="I310" s="7">
        <v>1</v>
      </c>
      <c r="J310" s="5">
        <f>XLOOKUP(L310, uom!C:C, uom!B:B, "Not Found")</f>
      </c>
      <c r="K310" s="1" t="s">
        <v>5511</v>
      </c>
      <c r="L310" s="5">
        <f>XLOOKUP(N310, uom!C:C, uom!B:B, "Not Found")</f>
      </c>
      <c r="M310" s="1" t="s">
        <v>5511</v>
      </c>
      <c r="N310" s="8" t="s">
        <v>5512</v>
      </c>
      <c r="O310" s="1" t="s">
        <v>5513</v>
      </c>
      <c r="P310" s="5">
        <f>XLOOKUP(R310, classification!C:C, classification!B:B, "Not Found")</f>
      </c>
      <c r="Q310" s="1" t="s">
        <v>5514</v>
      </c>
      <c r="R310" s="2"/>
      <c r="S310" s="2"/>
      <c r="T310" s="2"/>
      <c r="U310" s="2"/>
    </row>
    <row x14ac:dyDescent="0.25" r="311" customHeight="1" ht="17.25">
      <c r="A311" s="7">
        <v>310</v>
      </c>
      <c r="B311" s="1" t="s">
        <v>5817</v>
      </c>
      <c r="C311" s="5">
        <f>CONCATENATE("PD", TEXT(A311, "1000000"))</f>
      </c>
      <c r="D311" s="7">
        <v>74</v>
      </c>
      <c r="E311" s="5">
        <f>XLOOKUP(G311, item_category!C:C, item_category!B:B, "Not Found")</f>
      </c>
      <c r="F311" s="1" t="s">
        <v>5520</v>
      </c>
      <c r="G311" s="5">
        <f>XLOOKUP(I311, drug!B:B, drug!A:A, "Not Found")</f>
      </c>
      <c r="H311" s="1" t="s">
        <v>1654</v>
      </c>
      <c r="I311" s="7">
        <v>1</v>
      </c>
      <c r="J311" s="5">
        <f>XLOOKUP(L311, uom!C:C, uom!B:B, "Not Found")</f>
      </c>
      <c r="K311" s="1" t="s">
        <v>5511</v>
      </c>
      <c r="L311" s="5">
        <f>XLOOKUP(N311, uom!C:C, uom!B:B, "Not Found")</f>
      </c>
      <c r="M311" s="1" t="s">
        <v>5511</v>
      </c>
      <c r="N311" s="8" t="s">
        <v>5512</v>
      </c>
      <c r="O311" s="1" t="s">
        <v>5513</v>
      </c>
      <c r="P311" s="5">
        <f>XLOOKUP(R311, classification!C:C, classification!B:B, "Not Found")</f>
      </c>
      <c r="Q311" s="1" t="s">
        <v>5514</v>
      </c>
      <c r="R311" s="2"/>
      <c r="S311" s="2"/>
      <c r="T311" s="2"/>
      <c r="U311" s="2"/>
    </row>
    <row x14ac:dyDescent="0.25" r="312" customHeight="1" ht="17.25">
      <c r="A312" s="7">
        <v>311</v>
      </c>
      <c r="B312" s="1" t="s">
        <v>5818</v>
      </c>
      <c r="C312" s="5">
        <f>CONCATENATE("PD", TEXT(A312, "1000000"))</f>
      </c>
      <c r="D312" s="7">
        <v>74</v>
      </c>
      <c r="E312" s="5">
        <f>XLOOKUP(G312, item_category!C:C, item_category!B:B, "Not Found")</f>
      </c>
      <c r="F312" s="1" t="s">
        <v>5520</v>
      </c>
      <c r="G312" s="5">
        <f>XLOOKUP(I312, drug!B:B, drug!A:A, "Not Found")</f>
      </c>
      <c r="H312" s="1" t="s">
        <v>678</v>
      </c>
      <c r="I312" s="7">
        <v>1</v>
      </c>
      <c r="J312" s="5">
        <f>XLOOKUP(L312, uom!C:C, uom!B:B, "Not Found")</f>
      </c>
      <c r="K312" s="1" t="s">
        <v>5511</v>
      </c>
      <c r="L312" s="5">
        <f>XLOOKUP(N312, uom!C:C, uom!B:B, "Not Found")</f>
      </c>
      <c r="M312" s="1" t="s">
        <v>5511</v>
      </c>
      <c r="N312" s="8" t="s">
        <v>5512</v>
      </c>
      <c r="O312" s="1" t="s">
        <v>5513</v>
      </c>
      <c r="P312" s="5">
        <f>XLOOKUP(R312, classification!C:C, classification!B:B, "Not Found")</f>
      </c>
      <c r="Q312" s="1" t="s">
        <v>5514</v>
      </c>
      <c r="R312" s="2"/>
      <c r="S312" s="2"/>
      <c r="T312" s="2"/>
      <c r="U312" s="2"/>
    </row>
    <row x14ac:dyDescent="0.25" r="313" customHeight="1" ht="17.25">
      <c r="A313" s="7">
        <v>312</v>
      </c>
      <c r="B313" s="1" t="s">
        <v>5819</v>
      </c>
      <c r="C313" s="5">
        <f>CONCATENATE("PD", TEXT(A313, "1000000"))</f>
      </c>
      <c r="D313" s="7">
        <v>74</v>
      </c>
      <c r="E313" s="5">
        <f>XLOOKUP(G313, item_category!C:C, item_category!B:B, "Not Found")</f>
      </c>
      <c r="F313" s="1" t="s">
        <v>5520</v>
      </c>
      <c r="G313" s="5">
        <f>XLOOKUP(I313, drug!B:B, drug!A:A, "Not Found")</f>
      </c>
      <c r="H313" s="1" t="s">
        <v>1656</v>
      </c>
      <c r="I313" s="7">
        <v>1</v>
      </c>
      <c r="J313" s="5">
        <f>XLOOKUP(L313, uom!C:C, uom!B:B, "Not Found")</f>
      </c>
      <c r="K313" s="1" t="s">
        <v>5511</v>
      </c>
      <c r="L313" s="5">
        <f>XLOOKUP(N313, uom!C:C, uom!B:B, "Not Found")</f>
      </c>
      <c r="M313" s="1" t="s">
        <v>5511</v>
      </c>
      <c r="N313" s="8" t="s">
        <v>5512</v>
      </c>
      <c r="O313" s="1" t="s">
        <v>5513</v>
      </c>
      <c r="P313" s="5">
        <f>XLOOKUP(R313, classification!C:C, classification!B:B, "Not Found")</f>
      </c>
      <c r="Q313" s="1" t="s">
        <v>5514</v>
      </c>
      <c r="R313" s="2"/>
      <c r="S313" s="2"/>
      <c r="T313" s="2"/>
      <c r="U313" s="2"/>
    </row>
    <row x14ac:dyDescent="0.25" r="314" customHeight="1" ht="17.25">
      <c r="A314" s="7">
        <v>313</v>
      </c>
      <c r="B314" s="1" t="s">
        <v>5820</v>
      </c>
      <c r="C314" s="5">
        <f>CONCATENATE("PD", TEXT(A314, "1000000"))</f>
      </c>
      <c r="D314" s="7">
        <v>74</v>
      </c>
      <c r="E314" s="5">
        <f>XLOOKUP(G314, item_category!C:C, item_category!B:B, "Not Found")</f>
      </c>
      <c r="F314" s="1" t="s">
        <v>5520</v>
      </c>
      <c r="G314" s="5">
        <f>XLOOKUP(I314, drug!B:B, drug!A:A, "Not Found")</f>
      </c>
      <c r="H314" s="1" t="s">
        <v>1658</v>
      </c>
      <c r="I314" s="7">
        <v>1</v>
      </c>
      <c r="J314" s="5">
        <f>XLOOKUP(L314, uom!C:C, uom!B:B, "Not Found")</f>
      </c>
      <c r="K314" s="1" t="s">
        <v>5511</v>
      </c>
      <c r="L314" s="5">
        <f>XLOOKUP(N314, uom!C:C, uom!B:B, "Not Found")</f>
      </c>
      <c r="M314" s="1" t="s">
        <v>5511</v>
      </c>
      <c r="N314" s="8" t="s">
        <v>5512</v>
      </c>
      <c r="O314" s="1" t="s">
        <v>5513</v>
      </c>
      <c r="P314" s="5">
        <f>XLOOKUP(R314, classification!C:C, classification!B:B, "Not Found")</f>
      </c>
      <c r="Q314" s="1" t="s">
        <v>5514</v>
      </c>
      <c r="R314" s="2"/>
      <c r="S314" s="2"/>
      <c r="T314" s="2"/>
      <c r="U314" s="2"/>
    </row>
    <row x14ac:dyDescent="0.25" r="315" customHeight="1" ht="17.25">
      <c r="A315" s="7">
        <v>314</v>
      </c>
      <c r="B315" s="1" t="s">
        <v>5821</v>
      </c>
      <c r="C315" s="5">
        <f>CONCATENATE("PD", TEXT(A315, "1000000"))</f>
      </c>
      <c r="D315" s="7">
        <v>74</v>
      </c>
      <c r="E315" s="5">
        <f>XLOOKUP(G315, item_category!C:C, item_category!B:B, "Not Found")</f>
      </c>
      <c r="F315" s="1" t="s">
        <v>5520</v>
      </c>
      <c r="G315" s="5">
        <f>XLOOKUP(I315, drug!B:B, drug!A:A, "Not Found")</f>
      </c>
      <c r="H315" s="1" t="s">
        <v>1660</v>
      </c>
      <c r="I315" s="7">
        <v>1</v>
      </c>
      <c r="J315" s="5">
        <f>XLOOKUP(L315, uom!C:C, uom!B:B, "Not Found")</f>
      </c>
      <c r="K315" s="1" t="s">
        <v>5511</v>
      </c>
      <c r="L315" s="5">
        <f>XLOOKUP(N315, uom!C:C, uom!B:B, "Not Found")</f>
      </c>
      <c r="M315" s="1" t="s">
        <v>5511</v>
      </c>
      <c r="N315" s="8" t="s">
        <v>5512</v>
      </c>
      <c r="O315" s="1" t="s">
        <v>5513</v>
      </c>
      <c r="P315" s="5">
        <f>XLOOKUP(R315, classification!C:C, classification!B:B, "Not Found")</f>
      </c>
      <c r="Q315" s="1" t="s">
        <v>5514</v>
      </c>
      <c r="R315" s="2"/>
      <c r="S315" s="2"/>
      <c r="T315" s="2"/>
      <c r="U315" s="2"/>
    </row>
    <row x14ac:dyDescent="0.25" r="316" customHeight="1" ht="17.25">
      <c r="A316" s="7">
        <v>315</v>
      </c>
      <c r="B316" s="1" t="s">
        <v>5822</v>
      </c>
      <c r="C316" s="5">
        <f>CONCATENATE("PD", TEXT(A316, "1000000"))</f>
      </c>
      <c r="D316" s="7">
        <v>74</v>
      </c>
      <c r="E316" s="5">
        <f>XLOOKUP(G316, item_category!C:C, item_category!B:B, "Not Found")</f>
      </c>
      <c r="F316" s="1" t="s">
        <v>5520</v>
      </c>
      <c r="G316" s="5">
        <f>XLOOKUP(I316, drug!B:B, drug!A:A, "Not Found")</f>
      </c>
      <c r="H316" s="1" t="s">
        <v>1102</v>
      </c>
      <c r="I316" s="7">
        <v>1</v>
      </c>
      <c r="J316" s="5">
        <f>XLOOKUP(L316, uom!C:C, uom!B:B, "Not Found")</f>
      </c>
      <c r="K316" s="1" t="s">
        <v>5511</v>
      </c>
      <c r="L316" s="5">
        <f>XLOOKUP(N316, uom!C:C, uom!B:B, "Not Found")</f>
      </c>
      <c r="M316" s="1" t="s">
        <v>5511</v>
      </c>
      <c r="N316" s="8" t="s">
        <v>5512</v>
      </c>
      <c r="O316" s="1" t="s">
        <v>5513</v>
      </c>
      <c r="P316" s="5">
        <f>XLOOKUP(R316, classification!C:C, classification!B:B, "Not Found")</f>
      </c>
      <c r="Q316" s="1" t="s">
        <v>5514</v>
      </c>
      <c r="R316" s="2"/>
      <c r="S316" s="2"/>
      <c r="T316" s="2"/>
      <c r="U316" s="2"/>
    </row>
    <row x14ac:dyDescent="0.25" r="317" customHeight="1" ht="17.25">
      <c r="A317" s="7">
        <v>316</v>
      </c>
      <c r="B317" s="1" t="s">
        <v>5823</v>
      </c>
      <c r="C317" s="5">
        <f>CONCATENATE("PD", TEXT(A317, "1000000"))</f>
      </c>
      <c r="D317" s="7">
        <v>74</v>
      </c>
      <c r="E317" s="5">
        <f>XLOOKUP(G317, item_category!C:C, item_category!B:B, "Not Found")</f>
      </c>
      <c r="F317" s="1" t="s">
        <v>5520</v>
      </c>
      <c r="G317" s="5">
        <f>XLOOKUP(I317, drug!B:B, drug!A:A, "Not Found")</f>
      </c>
      <c r="H317" s="1" t="s">
        <v>1102</v>
      </c>
      <c r="I317" s="7">
        <v>1</v>
      </c>
      <c r="J317" s="5">
        <f>XLOOKUP(L317, uom!C:C, uom!B:B, "Not Found")</f>
      </c>
      <c r="K317" s="1" t="s">
        <v>5511</v>
      </c>
      <c r="L317" s="5">
        <f>XLOOKUP(N317, uom!C:C, uom!B:B, "Not Found")</f>
      </c>
      <c r="M317" s="1" t="s">
        <v>5511</v>
      </c>
      <c r="N317" s="8" t="s">
        <v>5512</v>
      </c>
      <c r="O317" s="1" t="s">
        <v>5513</v>
      </c>
      <c r="P317" s="5">
        <f>XLOOKUP(R317, classification!C:C, classification!B:B, "Not Found")</f>
      </c>
      <c r="Q317" s="1" t="s">
        <v>5514</v>
      </c>
      <c r="R317" s="2"/>
      <c r="S317" s="2"/>
      <c r="T317" s="2"/>
      <c r="U317" s="2"/>
    </row>
    <row x14ac:dyDescent="0.25" r="318" customHeight="1" ht="17.25">
      <c r="A318" s="7">
        <v>317</v>
      </c>
      <c r="B318" s="1" t="s">
        <v>5824</v>
      </c>
      <c r="C318" s="5">
        <f>CONCATENATE("PD", TEXT(A318, "1000000"))</f>
      </c>
      <c r="D318" s="7">
        <v>74</v>
      </c>
      <c r="E318" s="5">
        <f>XLOOKUP(G318, item_category!C:C, item_category!B:B, "Not Found")</f>
      </c>
      <c r="F318" s="1" t="s">
        <v>5520</v>
      </c>
      <c r="G318" s="5">
        <f>XLOOKUP(I318, drug!B:B, drug!A:A, "Not Found")</f>
      </c>
      <c r="H318" s="1" t="s">
        <v>1102</v>
      </c>
      <c r="I318" s="7">
        <v>1</v>
      </c>
      <c r="J318" s="5">
        <f>XLOOKUP(L318, uom!C:C, uom!B:B, "Not Found")</f>
      </c>
      <c r="K318" s="1" t="s">
        <v>5511</v>
      </c>
      <c r="L318" s="5">
        <f>XLOOKUP(N318, uom!C:C, uom!B:B, "Not Found")</f>
      </c>
      <c r="M318" s="1" t="s">
        <v>5511</v>
      </c>
      <c r="N318" s="8" t="s">
        <v>5512</v>
      </c>
      <c r="O318" s="1" t="s">
        <v>5513</v>
      </c>
      <c r="P318" s="5">
        <f>XLOOKUP(R318, classification!C:C, classification!B:B, "Not Found")</f>
      </c>
      <c r="Q318" s="1" t="s">
        <v>5514</v>
      </c>
      <c r="R318" s="2"/>
      <c r="S318" s="2"/>
      <c r="T318" s="2"/>
      <c r="U318" s="2"/>
    </row>
    <row x14ac:dyDescent="0.25" r="319" customHeight="1" ht="17.25">
      <c r="A319" s="7">
        <v>318</v>
      </c>
      <c r="B319" s="1" t="s">
        <v>5825</v>
      </c>
      <c r="C319" s="5">
        <f>CONCATENATE("PD", TEXT(A319, "1000000"))</f>
      </c>
      <c r="D319" s="7">
        <v>74</v>
      </c>
      <c r="E319" s="5">
        <f>XLOOKUP(G319, item_category!C:C, item_category!B:B, "Not Found")</f>
      </c>
      <c r="F319" s="1" t="s">
        <v>5520</v>
      </c>
      <c r="G319" s="5">
        <f>XLOOKUP(I319, drug!B:B, drug!A:A, "Not Found")</f>
      </c>
      <c r="H319" s="1" t="s">
        <v>1662</v>
      </c>
      <c r="I319" s="7">
        <v>1</v>
      </c>
      <c r="J319" s="5">
        <f>XLOOKUP(L319, uom!C:C, uom!B:B, "Not Found")</f>
      </c>
      <c r="K319" s="1" t="s">
        <v>5511</v>
      </c>
      <c r="L319" s="5">
        <f>XLOOKUP(N319, uom!C:C, uom!B:B, "Not Found")</f>
      </c>
      <c r="M319" s="1" t="s">
        <v>5511</v>
      </c>
      <c r="N319" s="8" t="s">
        <v>5512</v>
      </c>
      <c r="O319" s="1" t="s">
        <v>5513</v>
      </c>
      <c r="P319" s="5">
        <f>XLOOKUP(R319, classification!C:C, classification!B:B, "Not Found")</f>
      </c>
      <c r="Q319" s="1" t="s">
        <v>5514</v>
      </c>
      <c r="R319" s="2"/>
      <c r="S319" s="2"/>
      <c r="T319" s="2"/>
      <c r="U319" s="2"/>
    </row>
    <row x14ac:dyDescent="0.25" r="320" customHeight="1" ht="17.25">
      <c r="A320" s="7">
        <v>319</v>
      </c>
      <c r="B320" s="1" t="s">
        <v>5826</v>
      </c>
      <c r="C320" s="5">
        <f>CONCATENATE("PD", TEXT(A320, "1000000"))</f>
      </c>
      <c r="D320" s="7">
        <v>74</v>
      </c>
      <c r="E320" s="5">
        <f>XLOOKUP(G320, item_category!C:C, item_category!B:B, "Not Found")</f>
      </c>
      <c r="F320" s="1" t="s">
        <v>5520</v>
      </c>
      <c r="G320" s="5">
        <f>XLOOKUP(I320, drug!B:B, drug!A:A, "Not Found")</f>
      </c>
      <c r="H320" s="1" t="s">
        <v>1664</v>
      </c>
      <c r="I320" s="7">
        <v>1</v>
      </c>
      <c r="J320" s="5">
        <f>XLOOKUP(L320, uom!C:C, uom!B:B, "Not Found")</f>
      </c>
      <c r="K320" s="1" t="s">
        <v>5511</v>
      </c>
      <c r="L320" s="5">
        <f>XLOOKUP(N320, uom!C:C, uom!B:B, "Not Found")</f>
      </c>
      <c r="M320" s="1" t="s">
        <v>5511</v>
      </c>
      <c r="N320" s="8" t="s">
        <v>5512</v>
      </c>
      <c r="O320" s="1" t="s">
        <v>5513</v>
      </c>
      <c r="P320" s="5">
        <f>XLOOKUP(R320, classification!C:C, classification!B:B, "Not Found")</f>
      </c>
      <c r="Q320" s="1" t="s">
        <v>5514</v>
      </c>
      <c r="R320" s="2"/>
      <c r="S320" s="2"/>
      <c r="T320" s="2"/>
      <c r="U320" s="2"/>
    </row>
    <row x14ac:dyDescent="0.25" r="321" customHeight="1" ht="17.25">
      <c r="A321" s="7">
        <v>320</v>
      </c>
      <c r="B321" s="1" t="s">
        <v>5827</v>
      </c>
      <c r="C321" s="5">
        <f>CONCATENATE("PD", TEXT(A321, "1000000"))</f>
      </c>
      <c r="D321" s="7">
        <v>74</v>
      </c>
      <c r="E321" s="5">
        <f>XLOOKUP(G321, item_category!C:C, item_category!B:B, "Not Found")</f>
      </c>
      <c r="F321" s="1" t="s">
        <v>5520</v>
      </c>
      <c r="G321" s="5">
        <f>XLOOKUP(I321, drug!B:B, drug!A:A, "Not Found")</f>
      </c>
      <c r="H321" s="1" t="s">
        <v>272</v>
      </c>
      <c r="I321" s="7">
        <v>1</v>
      </c>
      <c r="J321" s="5">
        <f>XLOOKUP(L321, uom!C:C, uom!B:B, "Not Found")</f>
      </c>
      <c r="K321" s="1" t="s">
        <v>5511</v>
      </c>
      <c r="L321" s="5">
        <f>XLOOKUP(N321, uom!C:C, uom!B:B, "Not Found")</f>
      </c>
      <c r="M321" s="1" t="s">
        <v>5511</v>
      </c>
      <c r="N321" s="8" t="s">
        <v>5512</v>
      </c>
      <c r="O321" s="1" t="s">
        <v>5513</v>
      </c>
      <c r="P321" s="5">
        <f>XLOOKUP(R321, classification!C:C, classification!B:B, "Not Found")</f>
      </c>
      <c r="Q321" s="1" t="s">
        <v>5514</v>
      </c>
      <c r="R321" s="2"/>
      <c r="S321" s="2"/>
      <c r="T321" s="2"/>
      <c r="U321" s="2"/>
    </row>
    <row x14ac:dyDescent="0.25" r="322" customHeight="1" ht="17.25">
      <c r="A322" s="7">
        <v>321</v>
      </c>
      <c r="B322" s="1" t="s">
        <v>1666</v>
      </c>
      <c r="C322" s="5">
        <f>CONCATENATE("PD", TEXT(A322, "1000000"))</f>
      </c>
      <c r="D322" s="7">
        <v>8</v>
      </c>
      <c r="E322" s="5">
        <f>XLOOKUP(G322, item_category!C:C, item_category!B:B, "Not Found")</f>
      </c>
      <c r="F322" s="1" t="s">
        <v>5517</v>
      </c>
      <c r="G322" s="5">
        <f>XLOOKUP(I322, drug!B:B, drug!A:A, "Not Found")</f>
      </c>
      <c r="H322" s="1" t="s">
        <v>1666</v>
      </c>
      <c r="I322" s="7">
        <v>885</v>
      </c>
      <c r="J322" s="5">
        <f>XLOOKUP(L322, uom!C:C, uom!B:B, "Not Found")</f>
      </c>
      <c r="K322" s="1" t="s">
        <v>5511</v>
      </c>
      <c r="L322" s="5">
        <f>XLOOKUP(N322, uom!C:C, uom!B:B, "Not Found")</f>
      </c>
      <c r="M322" s="1" t="s">
        <v>5511</v>
      </c>
      <c r="N322" s="8" t="s">
        <v>5512</v>
      </c>
      <c r="O322" s="1" t="s">
        <v>5513</v>
      </c>
      <c r="P322" s="5">
        <f>XLOOKUP(R322, classification!C:C, classification!B:B, "Not Found")</f>
      </c>
      <c r="Q322" s="1" t="s">
        <v>5514</v>
      </c>
      <c r="R322" s="2"/>
      <c r="S322" s="2"/>
      <c r="T322" s="2"/>
      <c r="U322" s="2"/>
    </row>
    <row x14ac:dyDescent="0.25" r="323" customHeight="1" ht="17.25">
      <c r="A323" s="7">
        <v>322</v>
      </c>
      <c r="B323" s="1" t="s">
        <v>1668</v>
      </c>
      <c r="C323" s="5">
        <f>CONCATENATE("PD", TEXT(A323, "1000000"))</f>
      </c>
      <c r="D323" s="7">
        <v>3</v>
      </c>
      <c r="E323" s="5">
        <f>XLOOKUP(G323, item_category!C:C, item_category!B:B, "Not Found")</f>
      </c>
      <c r="F323" s="1" t="s">
        <v>5828</v>
      </c>
      <c r="G323" s="5">
        <f>XLOOKUP(I323, drug!B:B, drug!A:A, "Not Found")</f>
      </c>
      <c r="H323" s="1" t="s">
        <v>1668</v>
      </c>
      <c r="I323" s="7">
        <v>14</v>
      </c>
      <c r="J323" s="5">
        <f>XLOOKUP(L323, uom!C:C, uom!B:B, "Not Found")</f>
      </c>
      <c r="K323" s="1" t="s">
        <v>5511</v>
      </c>
      <c r="L323" s="5">
        <f>XLOOKUP(N323, uom!C:C, uom!B:B, "Not Found")</f>
      </c>
      <c r="M323" s="1" t="s">
        <v>5511</v>
      </c>
      <c r="N323" s="8" t="s">
        <v>5512</v>
      </c>
      <c r="O323" s="1" t="s">
        <v>5513</v>
      </c>
      <c r="P323" s="5">
        <f>XLOOKUP(R323, classification!C:C, classification!B:B, "Not Found")</f>
      </c>
      <c r="Q323" s="1" t="s">
        <v>5514</v>
      </c>
      <c r="R323" s="2"/>
      <c r="S323" s="2"/>
      <c r="T323" s="2"/>
      <c r="U323" s="2"/>
    </row>
    <row x14ac:dyDescent="0.25" r="324" customHeight="1" ht="17.25">
      <c r="A324" s="7">
        <v>323</v>
      </c>
      <c r="B324" s="1" t="s">
        <v>1670</v>
      </c>
      <c r="C324" s="5">
        <f>CONCATENATE("PD", TEXT(A324, "1000000"))</f>
      </c>
      <c r="D324" s="7">
        <v>3</v>
      </c>
      <c r="E324" s="5">
        <f>XLOOKUP(G324, item_category!C:C, item_category!B:B, "Not Found")</f>
      </c>
      <c r="F324" s="1" t="s">
        <v>5828</v>
      </c>
      <c r="G324" s="5">
        <f>XLOOKUP(I324, drug!B:B, drug!A:A, "Not Found")</f>
      </c>
      <c r="H324" s="1" t="s">
        <v>1670</v>
      </c>
      <c r="I324" s="7">
        <v>400</v>
      </c>
      <c r="J324" s="5">
        <f>XLOOKUP(L324, uom!C:C, uom!B:B, "Not Found")</f>
      </c>
      <c r="K324" s="1" t="s">
        <v>5829</v>
      </c>
      <c r="L324" s="5">
        <f>XLOOKUP(N324, uom!C:C, uom!B:B, "Not Found")</f>
      </c>
      <c r="M324" s="1" t="s">
        <v>5829</v>
      </c>
      <c r="N324" s="8" t="s">
        <v>5512</v>
      </c>
      <c r="O324" s="1" t="s">
        <v>5513</v>
      </c>
      <c r="P324" s="5">
        <f>XLOOKUP(R324, classification!C:C, classification!B:B, "Not Found")</f>
      </c>
      <c r="Q324" s="1" t="s">
        <v>5514</v>
      </c>
      <c r="R324" s="2"/>
      <c r="S324" s="2"/>
      <c r="T324" s="2"/>
      <c r="U324" s="2"/>
    </row>
    <row x14ac:dyDescent="0.25" r="325" customHeight="1" ht="17.25">
      <c r="A325" s="7">
        <v>324</v>
      </c>
      <c r="B325" s="1" t="s">
        <v>1672</v>
      </c>
      <c r="C325" s="5">
        <f>CONCATENATE("PD", TEXT(A325, "1000000"))</f>
      </c>
      <c r="D325" s="7">
        <v>8</v>
      </c>
      <c r="E325" s="5">
        <f>XLOOKUP(G325, item_category!C:C, item_category!B:B, "Not Found")</f>
      </c>
      <c r="F325" s="1" t="s">
        <v>5517</v>
      </c>
      <c r="G325" s="5">
        <f>XLOOKUP(I325, drug!B:B, drug!A:A, "Not Found")</f>
      </c>
      <c r="H325" s="1" t="s">
        <v>1672</v>
      </c>
      <c r="I325" s="9">
        <v>5.1</v>
      </c>
      <c r="J325" s="5">
        <f>XLOOKUP(L325, uom!C:C, uom!B:B, "Not Found")</f>
      </c>
      <c r="K325" s="1" t="s">
        <v>5534</v>
      </c>
      <c r="L325" s="5">
        <f>XLOOKUP(N325, uom!C:C, uom!B:B, "Not Found")</f>
      </c>
      <c r="M325" s="1" t="s">
        <v>5534</v>
      </c>
      <c r="N325" s="8" t="s">
        <v>5512</v>
      </c>
      <c r="O325" s="1" t="s">
        <v>5513</v>
      </c>
      <c r="P325" s="5">
        <f>XLOOKUP(R325, classification!C:C, classification!B:B, "Not Found")</f>
      </c>
      <c r="Q325" s="1" t="s">
        <v>5514</v>
      </c>
      <c r="R325" s="2"/>
      <c r="S325" s="2"/>
      <c r="T325" s="2"/>
      <c r="U325" s="2"/>
    </row>
    <row x14ac:dyDescent="0.25" r="326" customHeight="1" ht="17.25">
      <c r="A326" s="7">
        <v>325</v>
      </c>
      <c r="B326" s="1" t="s">
        <v>1674</v>
      </c>
      <c r="C326" s="5">
        <f>CONCATENATE("PD", TEXT(A326, "1000000"))</f>
      </c>
      <c r="D326" s="7">
        <v>8</v>
      </c>
      <c r="E326" s="5">
        <f>XLOOKUP(G326, item_category!C:C, item_category!B:B, "Not Found")</f>
      </c>
      <c r="F326" s="1" t="s">
        <v>5517</v>
      </c>
      <c r="G326" s="5">
        <f>XLOOKUP(I326, drug!B:B, drug!A:A, "Not Found")</f>
      </c>
      <c r="H326" s="1" t="s">
        <v>1674</v>
      </c>
      <c r="I326" s="9">
        <v>1.98</v>
      </c>
      <c r="J326" s="5">
        <f>XLOOKUP(L326, uom!C:C, uom!B:B, "Not Found")</f>
      </c>
      <c r="K326" s="1" t="s">
        <v>5534</v>
      </c>
      <c r="L326" s="5">
        <f>XLOOKUP(N326, uom!C:C, uom!B:B, "Not Found")</f>
      </c>
      <c r="M326" s="1" t="s">
        <v>5534</v>
      </c>
      <c r="N326" s="8" t="s">
        <v>5512</v>
      </c>
      <c r="O326" s="1" t="s">
        <v>5513</v>
      </c>
      <c r="P326" s="5">
        <f>XLOOKUP(R326, classification!C:C, classification!B:B, "Not Found")</f>
      </c>
      <c r="Q326" s="1" t="s">
        <v>5514</v>
      </c>
      <c r="R326" s="2"/>
      <c r="S326" s="2"/>
      <c r="T326" s="2"/>
      <c r="U326" s="2"/>
    </row>
    <row x14ac:dyDescent="0.25" r="327" customHeight="1" ht="17.25">
      <c r="A327" s="7">
        <v>326</v>
      </c>
      <c r="B327" s="1" t="s">
        <v>1676</v>
      </c>
      <c r="C327" s="5">
        <f>CONCATENATE("PD", TEXT(A327, "1000000"))</f>
      </c>
      <c r="D327" s="7">
        <v>8</v>
      </c>
      <c r="E327" s="5">
        <f>XLOOKUP(G327, item_category!C:C, item_category!B:B, "Not Found")</f>
      </c>
      <c r="F327" s="1" t="s">
        <v>5517</v>
      </c>
      <c r="G327" s="5">
        <f>XLOOKUP(I327, drug!B:B, drug!A:A, "Not Found")</f>
      </c>
      <c r="H327" s="1" t="s">
        <v>1676</v>
      </c>
      <c r="I327" s="9">
        <v>3.19</v>
      </c>
      <c r="J327" s="5">
        <f>XLOOKUP(L327, uom!C:C, uom!B:B, "Not Found")</f>
      </c>
      <c r="K327" s="1" t="s">
        <v>5534</v>
      </c>
      <c r="L327" s="5">
        <f>XLOOKUP(N327, uom!C:C, uom!B:B, "Not Found")</f>
      </c>
      <c r="M327" s="1" t="s">
        <v>5534</v>
      </c>
      <c r="N327" s="8" t="s">
        <v>5512</v>
      </c>
      <c r="O327" s="1" t="s">
        <v>5513</v>
      </c>
      <c r="P327" s="5">
        <f>XLOOKUP(R327, classification!C:C, classification!B:B, "Not Found")</f>
      </c>
      <c r="Q327" s="1" t="s">
        <v>5514</v>
      </c>
      <c r="R327" s="2"/>
      <c r="S327" s="2"/>
      <c r="T327" s="2"/>
      <c r="U327" s="2"/>
    </row>
    <row x14ac:dyDescent="0.25" r="328" customHeight="1" ht="17.25">
      <c r="A328" s="7">
        <v>327</v>
      </c>
      <c r="B328" s="1" t="s">
        <v>1678</v>
      </c>
      <c r="C328" s="5">
        <f>CONCATENATE("PD", TEXT(A328, "1000000"))</f>
      </c>
      <c r="D328" s="7">
        <v>8</v>
      </c>
      <c r="E328" s="5">
        <f>XLOOKUP(G328, item_category!C:C, item_category!B:B, "Not Found")</f>
      </c>
      <c r="F328" s="1" t="s">
        <v>5517</v>
      </c>
      <c r="G328" s="5">
        <f>XLOOKUP(I328, drug!B:B, drug!A:A, "Not Found")</f>
      </c>
      <c r="H328" s="1" t="s">
        <v>1678</v>
      </c>
      <c r="I328" s="9">
        <v>1.98</v>
      </c>
      <c r="J328" s="5">
        <f>XLOOKUP(L328, uom!C:C, uom!B:B, "Not Found")</f>
      </c>
      <c r="K328" s="1" t="s">
        <v>5534</v>
      </c>
      <c r="L328" s="5">
        <f>XLOOKUP(N328, uom!C:C, uom!B:B, "Not Found")</f>
      </c>
      <c r="M328" s="1" t="s">
        <v>5534</v>
      </c>
      <c r="N328" s="8" t="s">
        <v>5512</v>
      </c>
      <c r="O328" s="1" t="s">
        <v>5513</v>
      </c>
      <c r="P328" s="5">
        <f>XLOOKUP(R328, classification!C:C, classification!B:B, "Not Found")</f>
      </c>
      <c r="Q328" s="1" t="s">
        <v>5514</v>
      </c>
      <c r="R328" s="2"/>
      <c r="S328" s="2"/>
      <c r="T328" s="2"/>
      <c r="U328" s="2"/>
    </row>
    <row x14ac:dyDescent="0.25" r="329" customHeight="1" ht="17.25">
      <c r="A329" s="7">
        <v>328</v>
      </c>
      <c r="B329" s="1" t="s">
        <v>1680</v>
      </c>
      <c r="C329" s="5">
        <f>CONCATENATE("PD", TEXT(A329, "1000000"))</f>
      </c>
      <c r="D329" s="7">
        <v>8</v>
      </c>
      <c r="E329" s="5">
        <f>XLOOKUP(G329, item_category!C:C, item_category!B:B, "Not Found")</f>
      </c>
      <c r="F329" s="1" t="s">
        <v>5517</v>
      </c>
      <c r="G329" s="5">
        <f>XLOOKUP(I329, drug!B:B, drug!A:A, "Not Found")</f>
      </c>
      <c r="H329" s="1" t="s">
        <v>1680</v>
      </c>
      <c r="I329" s="9">
        <v>1.7</v>
      </c>
      <c r="J329" s="5">
        <f>XLOOKUP(L329, uom!C:C, uom!B:B, "Not Found")</f>
      </c>
      <c r="K329" s="1" t="s">
        <v>5534</v>
      </c>
      <c r="L329" s="5">
        <f>XLOOKUP(N329, uom!C:C, uom!B:B, "Not Found")</f>
      </c>
      <c r="M329" s="1" t="s">
        <v>5534</v>
      </c>
      <c r="N329" s="8" t="s">
        <v>5512</v>
      </c>
      <c r="O329" s="1" t="s">
        <v>5513</v>
      </c>
      <c r="P329" s="5">
        <f>XLOOKUP(R329, classification!C:C, classification!B:B, "Not Found")</f>
      </c>
      <c r="Q329" s="1" t="s">
        <v>5514</v>
      </c>
      <c r="R329" s="2"/>
      <c r="S329" s="2"/>
      <c r="T329" s="2"/>
      <c r="U329" s="2"/>
    </row>
    <row x14ac:dyDescent="0.25" r="330" customHeight="1" ht="17.25">
      <c r="A330" s="7">
        <v>329</v>
      </c>
      <c r="B330" s="1" t="s">
        <v>5830</v>
      </c>
      <c r="C330" s="5">
        <f>CONCATENATE("PD", TEXT(A330, "1000000"))</f>
      </c>
      <c r="D330" s="7">
        <v>8</v>
      </c>
      <c r="E330" s="5">
        <f>XLOOKUP(G330, item_category!C:C, item_category!B:B, "Not Found")</f>
      </c>
      <c r="F330" s="1" t="s">
        <v>5517</v>
      </c>
      <c r="G330" s="5">
        <f>XLOOKUP(I330, drug!B:B, drug!A:A, "Not Found")</f>
      </c>
      <c r="H330" s="1" t="s">
        <v>1682</v>
      </c>
      <c r="I330" s="9">
        <v>0.9</v>
      </c>
      <c r="J330" s="5">
        <f>XLOOKUP(L330, uom!C:C, uom!B:B, "Not Found")</f>
      </c>
      <c r="K330" s="1" t="s">
        <v>5534</v>
      </c>
      <c r="L330" s="5">
        <f>XLOOKUP(N330, uom!C:C, uom!B:B, "Not Found")</f>
      </c>
      <c r="M330" s="1" t="s">
        <v>5534</v>
      </c>
      <c r="N330" s="8" t="s">
        <v>5512</v>
      </c>
      <c r="O330" s="1" t="s">
        <v>5513</v>
      </c>
      <c r="P330" s="5">
        <f>XLOOKUP(R330, classification!C:C, classification!B:B, "Not Found")</f>
      </c>
      <c r="Q330" s="1" t="s">
        <v>5514</v>
      </c>
      <c r="R330" s="2"/>
      <c r="S330" s="2"/>
      <c r="T330" s="2"/>
      <c r="U330" s="2"/>
    </row>
    <row x14ac:dyDescent="0.25" r="331" customHeight="1" ht="17.25">
      <c r="A331" s="7">
        <v>330</v>
      </c>
      <c r="B331" s="1" t="s">
        <v>1684</v>
      </c>
      <c r="C331" s="5">
        <f>CONCATENATE("PD", TEXT(A331, "1000000"))</f>
      </c>
      <c r="D331" s="7">
        <v>8</v>
      </c>
      <c r="E331" s="5">
        <f>XLOOKUP(G331, item_category!C:C, item_category!B:B, "Not Found")</f>
      </c>
      <c r="F331" s="1" t="s">
        <v>5517</v>
      </c>
      <c r="G331" s="5">
        <f>XLOOKUP(I331, drug!B:B, drug!A:A, "Not Found")</f>
      </c>
      <c r="H331" s="1" t="s">
        <v>1684</v>
      </c>
      <c r="I331" s="9">
        <v>1.28</v>
      </c>
      <c r="J331" s="5">
        <f>XLOOKUP(L331, uom!C:C, uom!B:B, "Not Found")</f>
      </c>
      <c r="K331" s="1" t="s">
        <v>5534</v>
      </c>
      <c r="L331" s="5">
        <f>XLOOKUP(N331, uom!C:C, uom!B:B, "Not Found")</f>
      </c>
      <c r="M331" s="1" t="s">
        <v>5534</v>
      </c>
      <c r="N331" s="8" t="s">
        <v>5512</v>
      </c>
      <c r="O331" s="1" t="s">
        <v>5513</v>
      </c>
      <c r="P331" s="5">
        <f>XLOOKUP(R331, classification!C:C, classification!B:B, "Not Found")</f>
      </c>
      <c r="Q331" s="1" t="s">
        <v>5514</v>
      </c>
      <c r="R331" s="2"/>
      <c r="S331" s="2"/>
      <c r="T331" s="2"/>
      <c r="U331" s="2"/>
    </row>
    <row x14ac:dyDescent="0.25" r="332" customHeight="1" ht="17.25">
      <c r="A332" s="7">
        <v>331</v>
      </c>
      <c r="B332" s="1" t="s">
        <v>5831</v>
      </c>
      <c r="C332" s="5">
        <f>CONCATENATE("PD", TEXT(A332, "1000000"))</f>
      </c>
      <c r="D332" s="7">
        <v>9</v>
      </c>
      <c r="E332" s="5">
        <f>XLOOKUP(G332, item_category!C:C, item_category!B:B, "Not Found")</f>
      </c>
      <c r="F332" s="1" t="s">
        <v>5832</v>
      </c>
      <c r="G332" s="5">
        <f>XLOOKUP(I332, drug!B:B, drug!A:A, "Not Found")</f>
      </c>
      <c r="H332" s="1" t="s">
        <v>1680</v>
      </c>
      <c r="I332" s="9">
        <v>1.2</v>
      </c>
      <c r="J332" s="5">
        <f>XLOOKUP(L332, uom!C:C, uom!B:B, "Not Found")</f>
      </c>
      <c r="K332" s="1" t="s">
        <v>5534</v>
      </c>
      <c r="L332" s="5">
        <f>XLOOKUP(N332, uom!C:C, uom!B:B, "Not Found")</f>
      </c>
      <c r="M332" s="1" t="s">
        <v>5534</v>
      </c>
      <c r="N332" s="8" t="s">
        <v>5512</v>
      </c>
      <c r="O332" s="1" t="s">
        <v>5513</v>
      </c>
      <c r="P332" s="5">
        <f>XLOOKUP(R332, classification!C:C, classification!B:B, "Not Found")</f>
      </c>
      <c r="Q332" s="1" t="s">
        <v>5514</v>
      </c>
      <c r="R332" s="2"/>
      <c r="S332" s="2"/>
      <c r="T332" s="2"/>
      <c r="U332" s="2"/>
    </row>
    <row x14ac:dyDescent="0.25" r="333" customHeight="1" ht="17.25">
      <c r="A333" s="7">
        <v>332</v>
      </c>
      <c r="B333" s="1" t="s">
        <v>1686</v>
      </c>
      <c r="C333" s="5">
        <f>CONCATENATE("PD", TEXT(A333, "1000000"))</f>
      </c>
      <c r="D333" s="7">
        <v>10</v>
      </c>
      <c r="E333" s="5">
        <f>XLOOKUP(G333, item_category!C:C, item_category!B:B, "Not Found")</f>
      </c>
      <c r="F333" s="1" t="s">
        <v>5833</v>
      </c>
      <c r="G333" s="5">
        <f>XLOOKUP(I333, drug!B:B, drug!A:A, "Not Found")</f>
      </c>
      <c r="H333" s="1" t="s">
        <v>1686</v>
      </c>
      <c r="I333" s="7">
        <v>1</v>
      </c>
      <c r="J333" s="5">
        <f>XLOOKUP(L333, uom!C:C, uom!B:B, "Not Found")</f>
      </c>
      <c r="K333" s="1" t="s">
        <v>5511</v>
      </c>
      <c r="L333" s="5">
        <f>XLOOKUP(N333, uom!C:C, uom!B:B, "Not Found")</f>
      </c>
      <c r="M333" s="1" t="s">
        <v>5511</v>
      </c>
      <c r="N333" s="8" t="s">
        <v>5512</v>
      </c>
      <c r="O333" s="1" t="s">
        <v>5513</v>
      </c>
      <c r="P333" s="5">
        <f>XLOOKUP(R333, classification!C:C, classification!B:B, "Not Found")</f>
      </c>
      <c r="Q333" s="1" t="s">
        <v>5514</v>
      </c>
      <c r="R333" s="2"/>
      <c r="S333" s="2"/>
      <c r="T333" s="2"/>
      <c r="U333" s="2"/>
    </row>
    <row x14ac:dyDescent="0.25" r="334" customHeight="1" ht="17.25">
      <c r="A334" s="7">
        <v>333</v>
      </c>
      <c r="B334" s="1" t="s">
        <v>1688</v>
      </c>
      <c r="C334" s="5">
        <f>CONCATENATE("PD", TEXT(A334, "1000000"))</f>
      </c>
      <c r="D334" s="7">
        <v>5</v>
      </c>
      <c r="E334" s="5">
        <f>XLOOKUP(G334, item_category!C:C, item_category!B:B, "Not Found")</f>
      </c>
      <c r="F334" s="1" t="s">
        <v>5533</v>
      </c>
      <c r="G334" s="5">
        <f>XLOOKUP(I334, drug!B:B, drug!A:A, "Not Found")</f>
      </c>
      <c r="H334" s="1" t="s">
        <v>1688</v>
      </c>
      <c r="I334" s="9">
        <v>30.75</v>
      </c>
      <c r="J334" s="5">
        <f>XLOOKUP(L334, uom!C:C, uom!B:B, "Not Found")</f>
      </c>
      <c r="K334" s="1" t="s">
        <v>5834</v>
      </c>
      <c r="L334" s="5">
        <f>XLOOKUP(N334, uom!C:C, uom!B:B, "Not Found")</f>
      </c>
      <c r="M334" s="1" t="s">
        <v>5834</v>
      </c>
      <c r="N334" s="8" t="s">
        <v>5512</v>
      </c>
      <c r="O334" s="1" t="s">
        <v>5513</v>
      </c>
      <c r="P334" s="5">
        <f>XLOOKUP(R334, classification!C:C, classification!B:B, "Not Found")</f>
      </c>
      <c r="Q334" s="1" t="s">
        <v>5514</v>
      </c>
      <c r="R334" s="2"/>
      <c r="S334" s="2"/>
      <c r="T334" s="2"/>
      <c r="U334" s="2"/>
    </row>
    <row x14ac:dyDescent="0.25" r="335" customHeight="1" ht="17.25">
      <c r="A335" s="7">
        <v>334</v>
      </c>
      <c r="B335" s="1" t="s">
        <v>1690</v>
      </c>
      <c r="C335" s="5">
        <f>CONCATENATE("PD", TEXT(A335, "1000000"))</f>
      </c>
      <c r="D335" s="7">
        <v>5</v>
      </c>
      <c r="E335" s="5">
        <f>XLOOKUP(G335, item_category!C:C, item_category!B:B, "Not Found")</f>
      </c>
      <c r="F335" s="1" t="s">
        <v>5533</v>
      </c>
      <c r="G335" s="5">
        <f>XLOOKUP(I335, drug!B:B, drug!A:A, "Not Found")</f>
      </c>
      <c r="H335" s="1" t="s">
        <v>1690</v>
      </c>
      <c r="I335" s="9">
        <v>38.25</v>
      </c>
      <c r="J335" s="5">
        <f>XLOOKUP(L335, uom!C:C, uom!B:B, "Not Found")</f>
      </c>
      <c r="K335" s="1" t="s">
        <v>5834</v>
      </c>
      <c r="L335" s="5">
        <f>XLOOKUP(N335, uom!C:C, uom!B:B, "Not Found")</f>
      </c>
      <c r="M335" s="1" t="s">
        <v>5834</v>
      </c>
      <c r="N335" s="8" t="s">
        <v>5512</v>
      </c>
      <c r="O335" s="1" t="s">
        <v>5513</v>
      </c>
      <c r="P335" s="5">
        <f>XLOOKUP(R335, classification!C:C, classification!B:B, "Not Found")</f>
      </c>
      <c r="Q335" s="1" t="s">
        <v>5514</v>
      </c>
      <c r="R335" s="2"/>
      <c r="S335" s="2"/>
      <c r="T335" s="2"/>
      <c r="U335" s="2"/>
    </row>
    <row x14ac:dyDescent="0.25" r="336" customHeight="1" ht="17.25">
      <c r="A336" s="7">
        <v>335</v>
      </c>
      <c r="B336" s="1" t="s">
        <v>1692</v>
      </c>
      <c r="C336" s="5">
        <f>CONCATENATE("PD", TEXT(A336, "1000000"))</f>
      </c>
      <c r="D336" s="7">
        <v>8</v>
      </c>
      <c r="E336" s="5">
        <f>XLOOKUP(G336, item_category!C:C, item_category!B:B, "Not Found")</f>
      </c>
      <c r="F336" s="1" t="s">
        <v>5517</v>
      </c>
      <c r="G336" s="5">
        <f>XLOOKUP(I336, drug!B:B, drug!A:A, "Not Found")</f>
      </c>
      <c r="H336" s="1" t="s">
        <v>1692</v>
      </c>
      <c r="I336" s="7">
        <v>450</v>
      </c>
      <c r="J336" s="5">
        <f>XLOOKUP(L336, uom!C:C, uom!B:B, "Not Found")</f>
      </c>
      <c r="K336" s="1" t="s">
        <v>5511</v>
      </c>
      <c r="L336" s="5">
        <f>XLOOKUP(N336, uom!C:C, uom!B:B, "Not Found")</f>
      </c>
      <c r="M336" s="1" t="s">
        <v>5511</v>
      </c>
      <c r="N336" s="8" t="s">
        <v>5512</v>
      </c>
      <c r="O336" s="1" t="s">
        <v>5513</v>
      </c>
      <c r="P336" s="5">
        <f>XLOOKUP(R336, classification!C:C, classification!B:B, "Not Found")</f>
      </c>
      <c r="Q336" s="1" t="s">
        <v>5514</v>
      </c>
      <c r="R336" s="2"/>
      <c r="S336" s="2"/>
      <c r="T336" s="2"/>
      <c r="U336" s="2"/>
    </row>
    <row x14ac:dyDescent="0.25" r="337" customHeight="1" ht="17.25">
      <c r="A337" s="7">
        <v>336</v>
      </c>
      <c r="B337" s="1" t="s">
        <v>5835</v>
      </c>
      <c r="C337" s="5">
        <f>CONCATENATE("PD", TEXT(A337, "1000000"))</f>
      </c>
      <c r="D337" s="7">
        <v>74</v>
      </c>
      <c r="E337" s="5">
        <f>XLOOKUP(G337, item_category!C:C, item_category!B:B, "Not Found")</f>
      </c>
      <c r="F337" s="1" t="s">
        <v>5520</v>
      </c>
      <c r="G337" s="5">
        <f>XLOOKUP(I337, drug!B:B, drug!A:A, "Not Found")</f>
      </c>
      <c r="H337" s="1" t="s">
        <v>1694</v>
      </c>
      <c r="I337" s="7">
        <v>1</v>
      </c>
      <c r="J337" s="5">
        <f>XLOOKUP(L337, uom!C:C, uom!B:B, "Not Found")</f>
      </c>
      <c r="K337" s="1" t="s">
        <v>5511</v>
      </c>
      <c r="L337" s="5">
        <f>XLOOKUP(N337, uom!C:C, uom!B:B, "Not Found")</f>
      </c>
      <c r="M337" s="1" t="s">
        <v>5511</v>
      </c>
      <c r="N337" s="8" t="s">
        <v>5512</v>
      </c>
      <c r="O337" s="1" t="s">
        <v>5513</v>
      </c>
      <c r="P337" s="5">
        <f>XLOOKUP(R337, classification!C:C, classification!B:B, "Not Found")</f>
      </c>
      <c r="Q337" s="1" t="s">
        <v>5514</v>
      </c>
      <c r="R337" s="2"/>
      <c r="S337" s="2"/>
      <c r="T337" s="2"/>
      <c r="U337" s="2"/>
    </row>
    <row x14ac:dyDescent="0.25" r="338" customHeight="1" ht="17.25">
      <c r="A338" s="7">
        <v>337</v>
      </c>
      <c r="B338" s="1" t="s">
        <v>5836</v>
      </c>
      <c r="C338" s="5">
        <f>CONCATENATE("PD", TEXT(A338, "1000000"))</f>
      </c>
      <c r="D338" s="7">
        <v>74</v>
      </c>
      <c r="E338" s="5">
        <f>XLOOKUP(G338, item_category!C:C, item_category!B:B, "Not Found")</f>
      </c>
      <c r="F338" s="1" t="s">
        <v>5520</v>
      </c>
      <c r="G338" s="5">
        <f>XLOOKUP(I338, drug!B:B, drug!A:A, "Not Found")</f>
      </c>
      <c r="H338" s="1" t="s">
        <v>1696</v>
      </c>
      <c r="I338" s="7">
        <v>1</v>
      </c>
      <c r="J338" s="5">
        <f>XLOOKUP(L338, uom!C:C, uom!B:B, "Not Found")</f>
      </c>
      <c r="K338" s="1" t="s">
        <v>5511</v>
      </c>
      <c r="L338" s="5">
        <f>XLOOKUP(N338, uom!C:C, uom!B:B, "Not Found")</f>
      </c>
      <c r="M338" s="1" t="s">
        <v>5511</v>
      </c>
      <c r="N338" s="8" t="s">
        <v>5512</v>
      </c>
      <c r="O338" s="1" t="s">
        <v>5513</v>
      </c>
      <c r="P338" s="5">
        <f>XLOOKUP(R338, classification!C:C, classification!B:B, "Not Found")</f>
      </c>
      <c r="Q338" s="1" t="s">
        <v>5514</v>
      </c>
      <c r="R338" s="2"/>
      <c r="S338" s="2"/>
      <c r="T338" s="2"/>
      <c r="U338" s="2"/>
    </row>
    <row x14ac:dyDescent="0.25" r="339" customHeight="1" ht="17.25">
      <c r="A339" s="7">
        <v>338</v>
      </c>
      <c r="B339" s="1" t="s">
        <v>5837</v>
      </c>
      <c r="C339" s="5">
        <f>CONCATENATE("PD", TEXT(A339, "1000000"))</f>
      </c>
      <c r="D339" s="7">
        <v>74</v>
      </c>
      <c r="E339" s="5">
        <f>XLOOKUP(G339, item_category!C:C, item_category!B:B, "Not Found")</f>
      </c>
      <c r="F339" s="1" t="s">
        <v>5520</v>
      </c>
      <c r="G339" s="5">
        <f>XLOOKUP(I339, drug!B:B, drug!A:A, "Not Found")</f>
      </c>
      <c r="H339" s="1" t="s">
        <v>1698</v>
      </c>
      <c r="I339" s="7">
        <v>1</v>
      </c>
      <c r="J339" s="5">
        <f>XLOOKUP(L339, uom!C:C, uom!B:B, "Not Found")</f>
      </c>
      <c r="K339" s="1" t="s">
        <v>5511</v>
      </c>
      <c r="L339" s="5">
        <f>XLOOKUP(N339, uom!C:C, uom!B:B, "Not Found")</f>
      </c>
      <c r="M339" s="1" t="s">
        <v>5511</v>
      </c>
      <c r="N339" s="8" t="s">
        <v>5512</v>
      </c>
      <c r="O339" s="1" t="s">
        <v>5513</v>
      </c>
      <c r="P339" s="5">
        <f>XLOOKUP(R339, classification!C:C, classification!B:B, "Not Found")</f>
      </c>
      <c r="Q339" s="1" t="s">
        <v>5514</v>
      </c>
      <c r="R339" s="2"/>
      <c r="S339" s="2"/>
      <c r="T339" s="2"/>
      <c r="U339" s="2"/>
    </row>
    <row x14ac:dyDescent="0.25" r="340" customHeight="1" ht="17.25">
      <c r="A340" s="7">
        <v>339</v>
      </c>
      <c r="B340" s="1" t="s">
        <v>5838</v>
      </c>
      <c r="C340" s="5">
        <f>CONCATENATE("PD", TEXT(A340, "1000000"))</f>
      </c>
      <c r="D340" s="7">
        <v>74</v>
      </c>
      <c r="E340" s="5">
        <f>XLOOKUP(G340, item_category!C:C, item_category!B:B, "Not Found")</f>
      </c>
      <c r="F340" s="1" t="s">
        <v>5520</v>
      </c>
      <c r="G340" s="5">
        <f>XLOOKUP(I340, drug!B:B, drug!A:A, "Not Found")</f>
      </c>
      <c r="H340" s="1" t="s">
        <v>1700</v>
      </c>
      <c r="I340" s="7">
        <v>1</v>
      </c>
      <c r="J340" s="5">
        <f>XLOOKUP(L340, uom!C:C, uom!B:B, "Not Found")</f>
      </c>
      <c r="K340" s="1" t="s">
        <v>5511</v>
      </c>
      <c r="L340" s="5">
        <f>XLOOKUP(N340, uom!C:C, uom!B:B, "Not Found")</f>
      </c>
      <c r="M340" s="1" t="s">
        <v>5511</v>
      </c>
      <c r="N340" s="8" t="s">
        <v>5512</v>
      </c>
      <c r="O340" s="1" t="s">
        <v>5513</v>
      </c>
      <c r="P340" s="5">
        <f>XLOOKUP(R340, classification!C:C, classification!B:B, "Not Found")</f>
      </c>
      <c r="Q340" s="1" t="s">
        <v>5514</v>
      </c>
      <c r="R340" s="2"/>
      <c r="S340" s="2"/>
      <c r="T340" s="2"/>
      <c r="U340" s="2"/>
    </row>
    <row x14ac:dyDescent="0.25" r="341" customHeight="1" ht="17.25">
      <c r="A341" s="7">
        <v>340</v>
      </c>
      <c r="B341" s="1" t="s">
        <v>5839</v>
      </c>
      <c r="C341" s="5">
        <f>CONCATENATE("PD", TEXT(A341, "1000000"))</f>
      </c>
      <c r="D341" s="7">
        <v>74</v>
      </c>
      <c r="E341" s="5">
        <f>XLOOKUP(G341, item_category!C:C, item_category!B:B, "Not Found")</f>
      </c>
      <c r="F341" s="1" t="s">
        <v>5520</v>
      </c>
      <c r="G341" s="5">
        <f>XLOOKUP(I341, drug!B:B, drug!A:A, "Not Found")</f>
      </c>
      <c r="H341" s="1" t="s">
        <v>1702</v>
      </c>
      <c r="I341" s="7">
        <v>1</v>
      </c>
      <c r="J341" s="5">
        <f>XLOOKUP(L341, uom!C:C, uom!B:B, "Not Found")</f>
      </c>
      <c r="K341" s="1" t="s">
        <v>5511</v>
      </c>
      <c r="L341" s="5">
        <f>XLOOKUP(N341, uom!C:C, uom!B:B, "Not Found")</f>
      </c>
      <c r="M341" s="1" t="s">
        <v>5511</v>
      </c>
      <c r="N341" s="8" t="s">
        <v>5512</v>
      </c>
      <c r="O341" s="1" t="s">
        <v>5513</v>
      </c>
      <c r="P341" s="5">
        <f>XLOOKUP(R341, classification!C:C, classification!B:B, "Not Found")</f>
      </c>
      <c r="Q341" s="1" t="s">
        <v>5514</v>
      </c>
      <c r="R341" s="2"/>
      <c r="S341" s="2"/>
      <c r="T341" s="2"/>
      <c r="U341" s="2"/>
    </row>
    <row x14ac:dyDescent="0.25" r="342" customHeight="1" ht="17.25">
      <c r="A342" s="7">
        <v>341</v>
      </c>
      <c r="B342" s="1" t="s">
        <v>5840</v>
      </c>
      <c r="C342" s="5">
        <f>CONCATENATE("PD", TEXT(A342, "1000000"))</f>
      </c>
      <c r="D342" s="7">
        <v>74</v>
      </c>
      <c r="E342" s="5">
        <f>XLOOKUP(G342, item_category!C:C, item_category!B:B, "Not Found")</f>
      </c>
      <c r="F342" s="1" t="s">
        <v>5520</v>
      </c>
      <c r="G342" s="5">
        <f>XLOOKUP(I342, drug!B:B, drug!A:A, "Not Found")</f>
      </c>
      <c r="H342" s="1" t="s">
        <v>1704</v>
      </c>
      <c r="I342" s="7">
        <v>1</v>
      </c>
      <c r="J342" s="5">
        <f>XLOOKUP(L342, uom!C:C, uom!B:B, "Not Found")</f>
      </c>
      <c r="K342" s="1" t="s">
        <v>5511</v>
      </c>
      <c r="L342" s="5">
        <f>XLOOKUP(N342, uom!C:C, uom!B:B, "Not Found")</f>
      </c>
      <c r="M342" s="1" t="s">
        <v>5511</v>
      </c>
      <c r="N342" s="8" t="s">
        <v>5512</v>
      </c>
      <c r="O342" s="1" t="s">
        <v>5513</v>
      </c>
      <c r="P342" s="5">
        <f>XLOOKUP(R342, classification!C:C, classification!B:B, "Not Found")</f>
      </c>
      <c r="Q342" s="1" t="s">
        <v>5514</v>
      </c>
      <c r="R342" s="2"/>
      <c r="S342" s="2"/>
      <c r="T342" s="2"/>
      <c r="U342" s="2"/>
    </row>
    <row x14ac:dyDescent="0.25" r="343" customHeight="1" ht="17.25">
      <c r="A343" s="7">
        <v>342</v>
      </c>
      <c r="B343" s="1" t="s">
        <v>5841</v>
      </c>
      <c r="C343" s="5">
        <f>CONCATENATE("PD", TEXT(A343, "1000000"))</f>
      </c>
      <c r="D343" s="7">
        <v>74</v>
      </c>
      <c r="E343" s="5">
        <f>XLOOKUP(G343, item_category!C:C, item_category!B:B, "Not Found")</f>
      </c>
      <c r="F343" s="1" t="s">
        <v>5520</v>
      </c>
      <c r="G343" s="5">
        <f>XLOOKUP(I343, drug!B:B, drug!A:A, "Not Found")</f>
      </c>
      <c r="H343" s="1" t="s">
        <v>1706</v>
      </c>
      <c r="I343" s="7">
        <v>1</v>
      </c>
      <c r="J343" s="5">
        <f>XLOOKUP(L343, uom!C:C, uom!B:B, "Not Found")</f>
      </c>
      <c r="K343" s="1" t="s">
        <v>5511</v>
      </c>
      <c r="L343" s="5">
        <f>XLOOKUP(N343, uom!C:C, uom!B:B, "Not Found")</f>
      </c>
      <c r="M343" s="1" t="s">
        <v>5511</v>
      </c>
      <c r="N343" s="8" t="s">
        <v>5512</v>
      </c>
      <c r="O343" s="1" t="s">
        <v>5513</v>
      </c>
      <c r="P343" s="5">
        <f>XLOOKUP(R343, classification!C:C, classification!B:B, "Not Found")</f>
      </c>
      <c r="Q343" s="1" t="s">
        <v>5514</v>
      </c>
      <c r="R343" s="2"/>
      <c r="S343" s="2"/>
      <c r="T343" s="2"/>
      <c r="U343" s="2"/>
    </row>
    <row x14ac:dyDescent="0.25" r="344" customHeight="1" ht="17.25">
      <c r="A344" s="7">
        <v>343</v>
      </c>
      <c r="B344" s="1" t="s">
        <v>5842</v>
      </c>
      <c r="C344" s="5">
        <f>CONCATENATE("PD", TEXT(A344, "1000000"))</f>
      </c>
      <c r="D344" s="7">
        <v>74</v>
      </c>
      <c r="E344" s="5">
        <f>XLOOKUP(G344, item_category!C:C, item_category!B:B, "Not Found")</f>
      </c>
      <c r="F344" s="1" t="s">
        <v>5520</v>
      </c>
      <c r="G344" s="5">
        <f>XLOOKUP(I344, drug!B:B, drug!A:A, "Not Found")</f>
      </c>
      <c r="H344" s="1" t="s">
        <v>1708</v>
      </c>
      <c r="I344" s="7">
        <v>1</v>
      </c>
      <c r="J344" s="5">
        <f>XLOOKUP(L344, uom!C:C, uom!B:B, "Not Found")</f>
      </c>
      <c r="K344" s="1" t="s">
        <v>5511</v>
      </c>
      <c r="L344" s="5">
        <f>XLOOKUP(N344, uom!C:C, uom!B:B, "Not Found")</f>
      </c>
      <c r="M344" s="1" t="s">
        <v>5511</v>
      </c>
      <c r="N344" s="8" t="s">
        <v>5512</v>
      </c>
      <c r="O344" s="1" t="s">
        <v>5513</v>
      </c>
      <c r="P344" s="5">
        <f>XLOOKUP(R344, classification!C:C, classification!B:B, "Not Found")</f>
      </c>
      <c r="Q344" s="1" t="s">
        <v>5514</v>
      </c>
      <c r="R344" s="2"/>
      <c r="S344" s="2"/>
      <c r="T344" s="2"/>
      <c r="U344" s="2"/>
    </row>
    <row x14ac:dyDescent="0.25" r="345" customHeight="1" ht="17.25">
      <c r="A345" s="7">
        <v>344</v>
      </c>
      <c r="B345" s="1" t="s">
        <v>5843</v>
      </c>
      <c r="C345" s="5">
        <f>CONCATENATE("PD", TEXT(A345, "1000000"))</f>
      </c>
      <c r="D345" s="7">
        <v>74</v>
      </c>
      <c r="E345" s="5">
        <f>XLOOKUP(G345, item_category!C:C, item_category!B:B, "Not Found")</f>
      </c>
      <c r="F345" s="1" t="s">
        <v>5520</v>
      </c>
      <c r="G345" s="5">
        <f>XLOOKUP(I345, drug!B:B, drug!A:A, "Not Found")</f>
      </c>
      <c r="H345" s="1" t="s">
        <v>1710</v>
      </c>
      <c r="I345" s="7">
        <v>1</v>
      </c>
      <c r="J345" s="5">
        <f>XLOOKUP(L345, uom!C:C, uom!B:B, "Not Found")</f>
      </c>
      <c r="K345" s="1" t="s">
        <v>5511</v>
      </c>
      <c r="L345" s="5">
        <f>XLOOKUP(N345, uom!C:C, uom!B:B, "Not Found")</f>
      </c>
      <c r="M345" s="1" t="s">
        <v>5511</v>
      </c>
      <c r="N345" s="8" t="s">
        <v>5512</v>
      </c>
      <c r="O345" s="1" t="s">
        <v>5513</v>
      </c>
      <c r="P345" s="5">
        <f>XLOOKUP(R345, classification!C:C, classification!B:B, "Not Found")</f>
      </c>
      <c r="Q345" s="1" t="s">
        <v>5514</v>
      </c>
      <c r="R345" s="2"/>
      <c r="S345" s="2"/>
      <c r="T345" s="2"/>
      <c r="U345" s="2"/>
    </row>
    <row x14ac:dyDescent="0.25" r="346" customHeight="1" ht="17.25">
      <c r="A346" s="7">
        <v>345</v>
      </c>
      <c r="B346" s="1" t="s">
        <v>5844</v>
      </c>
      <c r="C346" s="5">
        <f>CONCATENATE("PD", TEXT(A346, "1000000"))</f>
      </c>
      <c r="D346" s="7">
        <v>74</v>
      </c>
      <c r="E346" s="5">
        <f>XLOOKUP(G346, item_category!C:C, item_category!B:B, "Not Found")</f>
      </c>
      <c r="F346" s="1" t="s">
        <v>5520</v>
      </c>
      <c r="G346" s="5">
        <f>XLOOKUP(I346, drug!B:B, drug!A:A, "Not Found")</f>
      </c>
      <c r="H346" s="1" t="s">
        <v>100</v>
      </c>
      <c r="I346" s="7">
        <v>1</v>
      </c>
      <c r="J346" s="5">
        <f>XLOOKUP(L346, uom!C:C, uom!B:B, "Not Found")</f>
      </c>
      <c r="K346" s="1" t="s">
        <v>5511</v>
      </c>
      <c r="L346" s="5">
        <f>XLOOKUP(N346, uom!C:C, uom!B:B, "Not Found")</f>
      </c>
      <c r="M346" s="1" t="s">
        <v>5511</v>
      </c>
      <c r="N346" s="8" t="s">
        <v>5512</v>
      </c>
      <c r="O346" s="1" t="s">
        <v>5513</v>
      </c>
      <c r="P346" s="5">
        <f>XLOOKUP(R346, classification!C:C, classification!B:B, "Not Found")</f>
      </c>
      <c r="Q346" s="1" t="s">
        <v>5514</v>
      </c>
      <c r="R346" s="2"/>
      <c r="S346" s="2"/>
      <c r="T346" s="2"/>
      <c r="U346" s="2"/>
    </row>
    <row x14ac:dyDescent="0.25" r="347" customHeight="1" ht="17.25">
      <c r="A347" s="7">
        <v>346</v>
      </c>
      <c r="B347" s="1" t="s">
        <v>5845</v>
      </c>
      <c r="C347" s="5">
        <f>CONCATENATE("PD", TEXT(A347, "1000000"))</f>
      </c>
      <c r="D347" s="7">
        <v>74</v>
      </c>
      <c r="E347" s="5">
        <f>XLOOKUP(G347, item_category!C:C, item_category!B:B, "Not Found")</f>
      </c>
      <c r="F347" s="1" t="s">
        <v>5520</v>
      </c>
      <c r="G347" s="5">
        <f>XLOOKUP(I347, drug!B:B, drug!A:A, "Not Found")</f>
      </c>
      <c r="H347" s="1" t="s">
        <v>1712</v>
      </c>
      <c r="I347" s="7">
        <v>1</v>
      </c>
      <c r="J347" s="5">
        <f>XLOOKUP(L347, uom!C:C, uom!B:B, "Not Found")</f>
      </c>
      <c r="K347" s="1" t="s">
        <v>5511</v>
      </c>
      <c r="L347" s="5">
        <f>XLOOKUP(N347, uom!C:C, uom!B:B, "Not Found")</f>
      </c>
      <c r="M347" s="1" t="s">
        <v>5511</v>
      </c>
      <c r="N347" s="8" t="s">
        <v>5512</v>
      </c>
      <c r="O347" s="1" t="s">
        <v>5513</v>
      </c>
      <c r="P347" s="5">
        <f>XLOOKUP(R347, classification!C:C, classification!B:B, "Not Found")</f>
      </c>
      <c r="Q347" s="1" t="s">
        <v>5514</v>
      </c>
      <c r="R347" s="2"/>
      <c r="S347" s="2"/>
      <c r="T347" s="2"/>
      <c r="U347" s="2"/>
    </row>
    <row x14ac:dyDescent="0.25" r="348" customHeight="1" ht="17.25">
      <c r="A348" s="7">
        <v>347</v>
      </c>
      <c r="B348" s="1" t="s">
        <v>1714</v>
      </c>
      <c r="C348" s="5">
        <f>CONCATENATE("PD", TEXT(A348, "1000000"))</f>
      </c>
      <c r="D348" s="7">
        <v>74</v>
      </c>
      <c r="E348" s="5">
        <f>XLOOKUP(G348, item_category!C:C, item_category!B:B, "Not Found")</f>
      </c>
      <c r="F348" s="1" t="s">
        <v>5520</v>
      </c>
      <c r="G348" s="5">
        <f>XLOOKUP(I348, drug!B:B, drug!A:A, "Not Found")</f>
      </c>
      <c r="H348" s="1" t="s">
        <v>1714</v>
      </c>
      <c r="I348" s="7">
        <v>1</v>
      </c>
      <c r="J348" s="5">
        <f>XLOOKUP(L348, uom!C:C, uom!B:B, "Not Found")</f>
      </c>
      <c r="K348" s="1" t="s">
        <v>5511</v>
      </c>
      <c r="L348" s="5">
        <f>XLOOKUP(N348, uom!C:C, uom!B:B, "Not Found")</f>
      </c>
      <c r="M348" s="1" t="s">
        <v>5511</v>
      </c>
      <c r="N348" s="8" t="s">
        <v>5512</v>
      </c>
      <c r="O348" s="1" t="s">
        <v>5513</v>
      </c>
      <c r="P348" s="5">
        <f>XLOOKUP(R348, classification!C:C, classification!B:B, "Not Found")</f>
      </c>
      <c r="Q348" s="1" t="s">
        <v>5514</v>
      </c>
      <c r="R348" s="2"/>
      <c r="S348" s="2"/>
      <c r="T348" s="2"/>
      <c r="U348" s="2"/>
    </row>
    <row x14ac:dyDescent="0.25" r="349" customHeight="1" ht="17.25">
      <c r="A349" s="7">
        <v>348</v>
      </c>
      <c r="B349" s="1" t="s">
        <v>5846</v>
      </c>
      <c r="C349" s="5">
        <f>CONCATENATE("PD", TEXT(A349, "1000000"))</f>
      </c>
      <c r="D349" s="7">
        <v>74</v>
      </c>
      <c r="E349" s="5">
        <f>XLOOKUP(G349, item_category!C:C, item_category!B:B, "Not Found")</f>
      </c>
      <c r="F349" s="1" t="s">
        <v>5520</v>
      </c>
      <c r="G349" s="5">
        <f>XLOOKUP(I349, drug!B:B, drug!A:A, "Not Found")</f>
      </c>
      <c r="H349" s="1" t="s">
        <v>1716</v>
      </c>
      <c r="I349" s="7">
        <v>1</v>
      </c>
      <c r="J349" s="5">
        <f>XLOOKUP(L349, uom!C:C, uom!B:B, "Not Found")</f>
      </c>
      <c r="K349" s="1" t="s">
        <v>5511</v>
      </c>
      <c r="L349" s="5">
        <f>XLOOKUP(N349, uom!C:C, uom!B:B, "Not Found")</f>
      </c>
      <c r="M349" s="1" t="s">
        <v>5511</v>
      </c>
      <c r="N349" s="8" t="s">
        <v>5512</v>
      </c>
      <c r="O349" s="1" t="s">
        <v>5513</v>
      </c>
      <c r="P349" s="5">
        <f>XLOOKUP(R349, classification!C:C, classification!B:B, "Not Found")</f>
      </c>
      <c r="Q349" s="1" t="s">
        <v>5514</v>
      </c>
      <c r="R349" s="2"/>
      <c r="S349" s="2"/>
      <c r="T349" s="2"/>
      <c r="U349" s="2"/>
    </row>
    <row x14ac:dyDescent="0.25" r="350" customHeight="1" ht="17.25">
      <c r="A350" s="7">
        <v>349</v>
      </c>
      <c r="B350" s="1" t="s">
        <v>5847</v>
      </c>
      <c r="C350" s="5">
        <f>CONCATENATE("PD", TEXT(A350, "1000000"))</f>
      </c>
      <c r="D350" s="7">
        <v>74</v>
      </c>
      <c r="E350" s="5">
        <f>XLOOKUP(G350, item_category!C:C, item_category!B:B, "Not Found")</f>
      </c>
      <c r="F350" s="1" t="s">
        <v>5520</v>
      </c>
      <c r="G350" s="5">
        <f>XLOOKUP(I350, drug!B:B, drug!A:A, "Not Found")</f>
      </c>
      <c r="H350" s="1" t="s">
        <v>1718</v>
      </c>
      <c r="I350" s="7">
        <v>1</v>
      </c>
      <c r="J350" s="5">
        <f>XLOOKUP(L350, uom!C:C, uom!B:B, "Not Found")</f>
      </c>
      <c r="K350" s="1" t="s">
        <v>5511</v>
      </c>
      <c r="L350" s="5">
        <f>XLOOKUP(N350, uom!C:C, uom!B:B, "Not Found")</f>
      </c>
      <c r="M350" s="1" t="s">
        <v>5511</v>
      </c>
      <c r="N350" s="8" t="s">
        <v>5512</v>
      </c>
      <c r="O350" s="1" t="s">
        <v>5513</v>
      </c>
      <c r="P350" s="5">
        <f>XLOOKUP(R350, classification!C:C, classification!B:B, "Not Found")</f>
      </c>
      <c r="Q350" s="1" t="s">
        <v>5514</v>
      </c>
      <c r="R350" s="2"/>
      <c r="S350" s="2"/>
      <c r="T350" s="2"/>
      <c r="U350" s="2"/>
    </row>
    <row x14ac:dyDescent="0.25" r="351" customHeight="1" ht="17.25">
      <c r="A351" s="7">
        <v>350</v>
      </c>
      <c r="B351" s="1" t="s">
        <v>5848</v>
      </c>
      <c r="C351" s="5">
        <f>CONCATENATE("PD", TEXT(A351, "1000000"))</f>
      </c>
      <c r="D351" s="7">
        <v>74</v>
      </c>
      <c r="E351" s="5">
        <f>XLOOKUP(G351, item_category!C:C, item_category!B:B, "Not Found")</f>
      </c>
      <c r="F351" s="1" t="s">
        <v>5520</v>
      </c>
      <c r="G351" s="5">
        <f>XLOOKUP(I351, drug!B:B, drug!A:A, "Not Found")</f>
      </c>
      <c r="H351" s="1" t="s">
        <v>1718</v>
      </c>
      <c r="I351" s="7">
        <v>1</v>
      </c>
      <c r="J351" s="5">
        <f>XLOOKUP(L351, uom!C:C, uom!B:B, "Not Found")</f>
      </c>
      <c r="K351" s="1" t="s">
        <v>5511</v>
      </c>
      <c r="L351" s="5">
        <f>XLOOKUP(N351, uom!C:C, uom!B:B, "Not Found")</f>
      </c>
      <c r="M351" s="1" t="s">
        <v>5511</v>
      </c>
      <c r="N351" s="8" t="s">
        <v>5512</v>
      </c>
      <c r="O351" s="1" t="s">
        <v>5513</v>
      </c>
      <c r="P351" s="5">
        <f>XLOOKUP(R351, classification!C:C, classification!B:B, "Not Found")</f>
      </c>
      <c r="Q351" s="1" t="s">
        <v>5514</v>
      </c>
      <c r="R351" s="2"/>
      <c r="S351" s="2"/>
      <c r="T351" s="2"/>
      <c r="U351" s="2"/>
    </row>
    <row x14ac:dyDescent="0.25" r="352" customHeight="1" ht="17.25">
      <c r="A352" s="7">
        <v>351</v>
      </c>
      <c r="B352" s="1" t="s">
        <v>5849</v>
      </c>
      <c r="C352" s="5">
        <f>CONCATENATE("PD", TEXT(A352, "1000000"))</f>
      </c>
      <c r="D352" s="7">
        <v>74</v>
      </c>
      <c r="E352" s="5">
        <f>XLOOKUP(G352, item_category!C:C, item_category!B:B, "Not Found")</f>
      </c>
      <c r="F352" s="1" t="s">
        <v>5520</v>
      </c>
      <c r="G352" s="5">
        <f>XLOOKUP(I352, drug!B:B, drug!A:A, "Not Found")</f>
      </c>
      <c r="H352" s="1" t="s">
        <v>1720</v>
      </c>
      <c r="I352" s="7">
        <v>1</v>
      </c>
      <c r="J352" s="5">
        <f>XLOOKUP(L352, uom!C:C, uom!B:B, "Not Found")</f>
      </c>
      <c r="K352" s="1" t="s">
        <v>5511</v>
      </c>
      <c r="L352" s="5">
        <f>XLOOKUP(N352, uom!C:C, uom!B:B, "Not Found")</f>
      </c>
      <c r="M352" s="1" t="s">
        <v>5511</v>
      </c>
      <c r="N352" s="8" t="s">
        <v>5512</v>
      </c>
      <c r="O352" s="1" t="s">
        <v>5513</v>
      </c>
      <c r="P352" s="5">
        <f>XLOOKUP(R352, classification!C:C, classification!B:B, "Not Found")</f>
      </c>
      <c r="Q352" s="1" t="s">
        <v>5514</v>
      </c>
      <c r="R352" s="2"/>
      <c r="S352" s="2"/>
      <c r="T352" s="2"/>
      <c r="U352" s="2"/>
    </row>
    <row x14ac:dyDescent="0.25" r="353" customHeight="1" ht="17.25">
      <c r="A353" s="7">
        <v>352</v>
      </c>
      <c r="B353" s="1" t="s">
        <v>5850</v>
      </c>
      <c r="C353" s="5">
        <f>CONCATENATE("PD", TEXT(A353, "1000000"))</f>
      </c>
      <c r="D353" s="7">
        <v>74</v>
      </c>
      <c r="E353" s="5">
        <f>XLOOKUP(G353, item_category!C:C, item_category!B:B, "Not Found")</f>
      </c>
      <c r="F353" s="1" t="s">
        <v>5520</v>
      </c>
      <c r="G353" s="5">
        <f>XLOOKUP(I353, drug!B:B, drug!A:A, "Not Found")</f>
      </c>
      <c r="H353" s="1" t="s">
        <v>1720</v>
      </c>
      <c r="I353" s="7">
        <v>1</v>
      </c>
      <c r="J353" s="5">
        <f>XLOOKUP(L353, uom!C:C, uom!B:B, "Not Found")</f>
      </c>
      <c r="K353" s="1" t="s">
        <v>5511</v>
      </c>
      <c r="L353" s="5">
        <f>XLOOKUP(N353, uom!C:C, uom!B:B, "Not Found")</f>
      </c>
      <c r="M353" s="1" t="s">
        <v>5511</v>
      </c>
      <c r="N353" s="8" t="s">
        <v>5512</v>
      </c>
      <c r="O353" s="1" t="s">
        <v>5513</v>
      </c>
      <c r="P353" s="5">
        <f>XLOOKUP(R353, classification!C:C, classification!B:B, "Not Found")</f>
      </c>
      <c r="Q353" s="1" t="s">
        <v>5514</v>
      </c>
      <c r="R353" s="2"/>
      <c r="S353" s="2"/>
      <c r="T353" s="2"/>
      <c r="U353" s="2"/>
    </row>
    <row x14ac:dyDescent="0.25" r="354" customHeight="1" ht="17.25">
      <c r="A354" s="7">
        <v>353</v>
      </c>
      <c r="B354" s="1" t="s">
        <v>5851</v>
      </c>
      <c r="C354" s="5">
        <f>CONCATENATE("PD", TEXT(A354, "1000000"))</f>
      </c>
      <c r="D354" s="7">
        <v>74</v>
      </c>
      <c r="E354" s="5">
        <f>XLOOKUP(G354, item_category!C:C, item_category!B:B, "Not Found")</f>
      </c>
      <c r="F354" s="1" t="s">
        <v>5520</v>
      </c>
      <c r="G354" s="5">
        <f>XLOOKUP(I354, drug!B:B, drug!A:A, "Not Found")</f>
      </c>
      <c r="H354" s="1" t="s">
        <v>1720</v>
      </c>
      <c r="I354" s="7">
        <v>1</v>
      </c>
      <c r="J354" s="5">
        <f>XLOOKUP(L354, uom!C:C, uom!B:B, "Not Found")</f>
      </c>
      <c r="K354" s="1" t="s">
        <v>5511</v>
      </c>
      <c r="L354" s="5">
        <f>XLOOKUP(N354, uom!C:C, uom!B:B, "Not Found")</f>
      </c>
      <c r="M354" s="1" t="s">
        <v>5511</v>
      </c>
      <c r="N354" s="8" t="s">
        <v>5512</v>
      </c>
      <c r="O354" s="1" t="s">
        <v>5513</v>
      </c>
      <c r="P354" s="5">
        <f>XLOOKUP(R354, classification!C:C, classification!B:B, "Not Found")</f>
      </c>
      <c r="Q354" s="1" t="s">
        <v>5514</v>
      </c>
      <c r="R354" s="2"/>
      <c r="S354" s="2"/>
      <c r="T354" s="2"/>
      <c r="U354" s="2"/>
    </row>
    <row x14ac:dyDescent="0.25" r="355" customHeight="1" ht="17.25">
      <c r="A355" s="7">
        <v>354</v>
      </c>
      <c r="B355" s="1" t="s">
        <v>5852</v>
      </c>
      <c r="C355" s="5">
        <f>CONCATENATE("PD", TEXT(A355, "1000000"))</f>
      </c>
      <c r="D355" s="7">
        <v>74</v>
      </c>
      <c r="E355" s="5">
        <f>XLOOKUP(G355, item_category!C:C, item_category!B:B, "Not Found")</f>
      </c>
      <c r="F355" s="1" t="s">
        <v>5520</v>
      </c>
      <c r="G355" s="5">
        <f>XLOOKUP(I355, drug!B:B, drug!A:A, "Not Found")</f>
      </c>
      <c r="H355" s="1" t="s">
        <v>1722</v>
      </c>
      <c r="I355" s="7">
        <v>1</v>
      </c>
      <c r="J355" s="5">
        <f>XLOOKUP(L355, uom!C:C, uom!B:B, "Not Found")</f>
      </c>
      <c r="K355" s="1" t="s">
        <v>5511</v>
      </c>
      <c r="L355" s="5">
        <f>XLOOKUP(N355, uom!C:C, uom!B:B, "Not Found")</f>
      </c>
      <c r="M355" s="1" t="s">
        <v>5511</v>
      </c>
      <c r="N355" s="8" t="s">
        <v>5512</v>
      </c>
      <c r="O355" s="1" t="s">
        <v>5513</v>
      </c>
      <c r="P355" s="5">
        <f>XLOOKUP(R355, classification!C:C, classification!B:B, "Not Found")</f>
      </c>
      <c r="Q355" s="1" t="s">
        <v>5514</v>
      </c>
      <c r="R355" s="2"/>
      <c r="S355" s="2"/>
      <c r="T355" s="2"/>
      <c r="U355" s="2"/>
    </row>
    <row x14ac:dyDescent="0.25" r="356" customHeight="1" ht="17.25">
      <c r="A356" s="7">
        <v>355</v>
      </c>
      <c r="B356" s="1" t="s">
        <v>5853</v>
      </c>
      <c r="C356" s="5">
        <f>CONCATENATE("PD", TEXT(A356, "1000000"))</f>
      </c>
      <c r="D356" s="7">
        <v>74</v>
      </c>
      <c r="E356" s="5">
        <f>XLOOKUP(G356, item_category!C:C, item_category!B:B, "Not Found")</f>
      </c>
      <c r="F356" s="1" t="s">
        <v>5520</v>
      </c>
      <c r="G356" s="5">
        <f>XLOOKUP(I356, drug!B:B, drug!A:A, "Not Found")</f>
      </c>
      <c r="H356" s="1" t="s">
        <v>1722</v>
      </c>
      <c r="I356" s="7">
        <v>1</v>
      </c>
      <c r="J356" s="5">
        <f>XLOOKUP(L356, uom!C:C, uom!B:B, "Not Found")</f>
      </c>
      <c r="K356" s="1" t="s">
        <v>5511</v>
      </c>
      <c r="L356" s="5">
        <f>XLOOKUP(N356, uom!C:C, uom!B:B, "Not Found")</f>
      </c>
      <c r="M356" s="1" t="s">
        <v>5511</v>
      </c>
      <c r="N356" s="8" t="s">
        <v>5512</v>
      </c>
      <c r="O356" s="1" t="s">
        <v>5513</v>
      </c>
      <c r="P356" s="5">
        <f>XLOOKUP(R356, classification!C:C, classification!B:B, "Not Found")</f>
      </c>
      <c r="Q356" s="1" t="s">
        <v>5514</v>
      </c>
      <c r="R356" s="2"/>
      <c r="S356" s="2"/>
      <c r="T356" s="2"/>
      <c r="U356" s="2"/>
    </row>
    <row x14ac:dyDescent="0.25" r="357" customHeight="1" ht="17.25">
      <c r="A357" s="7">
        <v>356</v>
      </c>
      <c r="B357" s="1" t="s">
        <v>5854</v>
      </c>
      <c r="C357" s="5">
        <f>CONCATENATE("PD", TEXT(A357, "1000000"))</f>
      </c>
      <c r="D357" s="7">
        <v>74</v>
      </c>
      <c r="E357" s="5">
        <f>XLOOKUP(G357, item_category!C:C, item_category!B:B, "Not Found")</f>
      </c>
      <c r="F357" s="1" t="s">
        <v>5520</v>
      </c>
      <c r="G357" s="5">
        <f>XLOOKUP(I357, drug!B:B, drug!A:A, "Not Found")</f>
      </c>
      <c r="H357" s="1" t="s">
        <v>1724</v>
      </c>
      <c r="I357" s="7">
        <v>1</v>
      </c>
      <c r="J357" s="5">
        <f>XLOOKUP(L357, uom!C:C, uom!B:B, "Not Found")</f>
      </c>
      <c r="K357" s="1" t="s">
        <v>5511</v>
      </c>
      <c r="L357" s="5">
        <f>XLOOKUP(N357, uom!C:C, uom!B:B, "Not Found")</f>
      </c>
      <c r="M357" s="1" t="s">
        <v>5511</v>
      </c>
      <c r="N357" s="8" t="s">
        <v>5512</v>
      </c>
      <c r="O357" s="1" t="s">
        <v>5513</v>
      </c>
      <c r="P357" s="5">
        <f>XLOOKUP(R357, classification!C:C, classification!B:B, "Not Found")</f>
      </c>
      <c r="Q357" s="1" t="s">
        <v>5514</v>
      </c>
      <c r="R357" s="2"/>
      <c r="S357" s="2"/>
      <c r="T357" s="2"/>
      <c r="U357" s="2"/>
    </row>
    <row x14ac:dyDescent="0.25" r="358" customHeight="1" ht="17.25">
      <c r="A358" s="7">
        <v>357</v>
      </c>
      <c r="B358" s="1" t="s">
        <v>5855</v>
      </c>
      <c r="C358" s="5">
        <f>CONCATENATE("PD", TEXT(A358, "1000000"))</f>
      </c>
      <c r="D358" s="7">
        <v>74</v>
      </c>
      <c r="E358" s="5">
        <f>XLOOKUP(G358, item_category!C:C, item_category!B:B, "Not Found")</f>
      </c>
      <c r="F358" s="1" t="s">
        <v>5520</v>
      </c>
      <c r="G358" s="5">
        <f>XLOOKUP(I358, drug!B:B, drug!A:A, "Not Found")</f>
      </c>
      <c r="H358" s="1" t="s">
        <v>1726</v>
      </c>
      <c r="I358" s="7">
        <v>1</v>
      </c>
      <c r="J358" s="5">
        <f>XLOOKUP(L358, uom!C:C, uom!B:B, "Not Found")</f>
      </c>
      <c r="K358" s="1" t="s">
        <v>5511</v>
      </c>
      <c r="L358" s="5">
        <f>XLOOKUP(N358, uom!C:C, uom!B:B, "Not Found")</f>
      </c>
      <c r="M358" s="1" t="s">
        <v>5511</v>
      </c>
      <c r="N358" s="8" t="s">
        <v>5512</v>
      </c>
      <c r="O358" s="1" t="s">
        <v>5513</v>
      </c>
      <c r="P358" s="5">
        <f>XLOOKUP(R358, classification!C:C, classification!B:B, "Not Found")</f>
      </c>
      <c r="Q358" s="1" t="s">
        <v>5514</v>
      </c>
      <c r="R358" s="2"/>
      <c r="S358" s="2"/>
      <c r="T358" s="2"/>
      <c r="U358" s="2"/>
    </row>
    <row x14ac:dyDescent="0.25" r="359" customHeight="1" ht="17.25">
      <c r="A359" s="7">
        <v>358</v>
      </c>
      <c r="B359" s="1" t="s">
        <v>5856</v>
      </c>
      <c r="C359" s="5">
        <f>CONCATENATE("PD", TEXT(A359, "1000000"))</f>
      </c>
      <c r="D359" s="7">
        <v>74</v>
      </c>
      <c r="E359" s="5">
        <f>XLOOKUP(G359, item_category!C:C, item_category!B:B, "Not Found")</f>
      </c>
      <c r="F359" s="1" t="s">
        <v>5520</v>
      </c>
      <c r="G359" s="5">
        <f>XLOOKUP(I359, drug!B:B, drug!A:A, "Not Found")</f>
      </c>
      <c r="H359" s="1" t="s">
        <v>1228</v>
      </c>
      <c r="I359" s="7">
        <v>1</v>
      </c>
      <c r="J359" s="5">
        <f>XLOOKUP(L359, uom!C:C, uom!B:B, "Not Found")</f>
      </c>
      <c r="K359" s="1" t="s">
        <v>5511</v>
      </c>
      <c r="L359" s="5">
        <f>XLOOKUP(N359, uom!C:C, uom!B:B, "Not Found")</f>
      </c>
      <c r="M359" s="1" t="s">
        <v>5511</v>
      </c>
      <c r="N359" s="8" t="s">
        <v>5512</v>
      </c>
      <c r="O359" s="1" t="s">
        <v>5513</v>
      </c>
      <c r="P359" s="5">
        <f>XLOOKUP(R359, classification!C:C, classification!B:B, "Not Found")</f>
      </c>
      <c r="Q359" s="1" t="s">
        <v>5514</v>
      </c>
      <c r="R359" s="2"/>
      <c r="S359" s="2"/>
      <c r="T359" s="2"/>
      <c r="U359" s="2"/>
    </row>
    <row x14ac:dyDescent="0.25" r="360" customHeight="1" ht="17.25">
      <c r="A360" s="7">
        <v>359</v>
      </c>
      <c r="B360" s="1" t="s">
        <v>5857</v>
      </c>
      <c r="C360" s="5">
        <f>CONCATENATE("PD", TEXT(A360, "1000000"))</f>
      </c>
      <c r="D360" s="7">
        <v>74</v>
      </c>
      <c r="E360" s="5">
        <f>XLOOKUP(G360, item_category!C:C, item_category!B:B, "Not Found")</f>
      </c>
      <c r="F360" s="1" t="s">
        <v>5520</v>
      </c>
      <c r="G360" s="5">
        <f>XLOOKUP(I360, drug!B:B, drug!A:A, "Not Found")</f>
      </c>
      <c r="H360" s="1" t="s">
        <v>1228</v>
      </c>
      <c r="I360" s="7">
        <v>1</v>
      </c>
      <c r="J360" s="5">
        <f>XLOOKUP(L360, uom!C:C, uom!B:B, "Not Found")</f>
      </c>
      <c r="K360" s="1" t="s">
        <v>5511</v>
      </c>
      <c r="L360" s="5">
        <f>XLOOKUP(N360, uom!C:C, uom!B:B, "Not Found")</f>
      </c>
      <c r="M360" s="1" t="s">
        <v>5511</v>
      </c>
      <c r="N360" s="8" t="s">
        <v>5512</v>
      </c>
      <c r="O360" s="1" t="s">
        <v>5513</v>
      </c>
      <c r="P360" s="5">
        <f>XLOOKUP(R360, classification!C:C, classification!B:B, "Not Found")</f>
      </c>
      <c r="Q360" s="1" t="s">
        <v>5514</v>
      </c>
      <c r="R360" s="2"/>
      <c r="S360" s="2"/>
      <c r="T360" s="2"/>
      <c r="U360" s="2"/>
    </row>
    <row x14ac:dyDescent="0.25" r="361" customHeight="1" ht="17.25">
      <c r="A361" s="7">
        <v>360</v>
      </c>
      <c r="B361" s="1" t="s">
        <v>5858</v>
      </c>
      <c r="C361" s="5">
        <f>CONCATENATE("PD", TEXT(A361, "1000000"))</f>
      </c>
      <c r="D361" s="7">
        <v>74</v>
      </c>
      <c r="E361" s="5">
        <f>XLOOKUP(G361, item_category!C:C, item_category!B:B, "Not Found")</f>
      </c>
      <c r="F361" s="1" t="s">
        <v>5520</v>
      </c>
      <c r="G361" s="5">
        <f>XLOOKUP(I361, drug!B:B, drug!A:A, "Not Found")</f>
      </c>
      <c r="H361" s="1" t="s">
        <v>1228</v>
      </c>
      <c r="I361" s="7">
        <v>1</v>
      </c>
      <c r="J361" s="5">
        <f>XLOOKUP(L361, uom!C:C, uom!B:B, "Not Found")</f>
      </c>
      <c r="K361" s="1" t="s">
        <v>5511</v>
      </c>
      <c r="L361" s="5">
        <f>XLOOKUP(N361, uom!C:C, uom!B:B, "Not Found")</f>
      </c>
      <c r="M361" s="1" t="s">
        <v>5511</v>
      </c>
      <c r="N361" s="8" t="s">
        <v>5512</v>
      </c>
      <c r="O361" s="1" t="s">
        <v>5513</v>
      </c>
      <c r="P361" s="5">
        <f>XLOOKUP(R361, classification!C:C, classification!B:B, "Not Found")</f>
      </c>
      <c r="Q361" s="1" t="s">
        <v>5514</v>
      </c>
      <c r="R361" s="2"/>
      <c r="S361" s="2"/>
      <c r="T361" s="2"/>
      <c r="U361" s="2"/>
    </row>
    <row x14ac:dyDescent="0.25" r="362" customHeight="1" ht="17.25">
      <c r="A362" s="7">
        <v>361</v>
      </c>
      <c r="B362" s="1" t="s">
        <v>5859</v>
      </c>
      <c r="C362" s="5">
        <f>CONCATENATE("PD", TEXT(A362, "1000000"))</f>
      </c>
      <c r="D362" s="7">
        <v>74</v>
      </c>
      <c r="E362" s="5">
        <f>XLOOKUP(G362, item_category!C:C, item_category!B:B, "Not Found")</f>
      </c>
      <c r="F362" s="1" t="s">
        <v>5520</v>
      </c>
      <c r="G362" s="5">
        <f>XLOOKUP(I362, drug!B:B, drug!A:A, "Not Found")</f>
      </c>
      <c r="H362" s="1" t="s">
        <v>1152</v>
      </c>
      <c r="I362" s="7">
        <v>1</v>
      </c>
      <c r="J362" s="5">
        <f>XLOOKUP(L362, uom!C:C, uom!B:B, "Not Found")</f>
      </c>
      <c r="K362" s="1" t="s">
        <v>5511</v>
      </c>
      <c r="L362" s="5">
        <f>XLOOKUP(N362, uom!C:C, uom!B:B, "Not Found")</f>
      </c>
      <c r="M362" s="1" t="s">
        <v>5511</v>
      </c>
      <c r="N362" s="8" t="s">
        <v>5512</v>
      </c>
      <c r="O362" s="1" t="s">
        <v>5513</v>
      </c>
      <c r="P362" s="5">
        <f>XLOOKUP(R362, classification!C:C, classification!B:B, "Not Found")</f>
      </c>
      <c r="Q362" s="1" t="s">
        <v>5514</v>
      </c>
      <c r="R362" s="2"/>
      <c r="S362" s="2"/>
      <c r="T362" s="2"/>
      <c r="U362" s="2"/>
    </row>
    <row x14ac:dyDescent="0.25" r="363" customHeight="1" ht="17.25">
      <c r="A363" s="7">
        <v>362</v>
      </c>
      <c r="B363" s="1" t="s">
        <v>5860</v>
      </c>
      <c r="C363" s="5">
        <f>CONCATENATE("PD", TEXT(A363, "1000000"))</f>
      </c>
      <c r="D363" s="7">
        <v>74</v>
      </c>
      <c r="E363" s="5">
        <f>XLOOKUP(G363, item_category!C:C, item_category!B:B, "Not Found")</f>
      </c>
      <c r="F363" s="1" t="s">
        <v>5520</v>
      </c>
      <c r="G363" s="5">
        <f>XLOOKUP(I363, drug!B:B, drug!A:A, "Not Found")</f>
      </c>
      <c r="H363" s="1" t="s">
        <v>1228</v>
      </c>
      <c r="I363" s="7">
        <v>1</v>
      </c>
      <c r="J363" s="5">
        <f>XLOOKUP(L363, uom!C:C, uom!B:B, "Not Found")</f>
      </c>
      <c r="K363" s="1" t="s">
        <v>5511</v>
      </c>
      <c r="L363" s="5">
        <f>XLOOKUP(N363, uom!C:C, uom!B:B, "Not Found")</f>
      </c>
      <c r="M363" s="1" t="s">
        <v>5511</v>
      </c>
      <c r="N363" s="8" t="s">
        <v>5512</v>
      </c>
      <c r="O363" s="1" t="s">
        <v>5513</v>
      </c>
      <c r="P363" s="5">
        <f>XLOOKUP(R363, classification!C:C, classification!B:B, "Not Found")</f>
      </c>
      <c r="Q363" s="1" t="s">
        <v>5514</v>
      </c>
      <c r="R363" s="2"/>
      <c r="S363" s="2"/>
      <c r="T363" s="2"/>
      <c r="U363" s="2"/>
    </row>
    <row x14ac:dyDescent="0.25" r="364" customHeight="1" ht="17.25">
      <c r="A364" s="7">
        <v>363</v>
      </c>
      <c r="B364" s="1" t="s">
        <v>5861</v>
      </c>
      <c r="C364" s="5">
        <f>CONCATENATE("PD", TEXT(A364, "1000000"))</f>
      </c>
      <c r="D364" s="7">
        <v>74</v>
      </c>
      <c r="E364" s="5">
        <f>XLOOKUP(G364, item_category!C:C, item_category!B:B, "Not Found")</f>
      </c>
      <c r="F364" s="1" t="s">
        <v>5520</v>
      </c>
      <c r="G364" s="5">
        <f>XLOOKUP(I364, drug!B:B, drug!A:A, "Not Found")</f>
      </c>
      <c r="H364" s="1" t="s">
        <v>1228</v>
      </c>
      <c r="I364" s="7">
        <v>1</v>
      </c>
      <c r="J364" s="5">
        <f>XLOOKUP(L364, uom!C:C, uom!B:B, "Not Found")</f>
      </c>
      <c r="K364" s="1" t="s">
        <v>5511</v>
      </c>
      <c r="L364" s="5">
        <f>XLOOKUP(N364, uom!C:C, uom!B:B, "Not Found")</f>
      </c>
      <c r="M364" s="1" t="s">
        <v>5511</v>
      </c>
      <c r="N364" s="8" t="s">
        <v>5512</v>
      </c>
      <c r="O364" s="1" t="s">
        <v>5513</v>
      </c>
      <c r="P364" s="5">
        <f>XLOOKUP(R364, classification!C:C, classification!B:B, "Not Found")</f>
      </c>
      <c r="Q364" s="1" t="s">
        <v>5514</v>
      </c>
      <c r="R364" s="2"/>
      <c r="S364" s="2"/>
      <c r="T364" s="2"/>
      <c r="U364" s="2"/>
    </row>
    <row x14ac:dyDescent="0.25" r="365" customHeight="1" ht="17.25">
      <c r="A365" s="7">
        <v>364</v>
      </c>
      <c r="B365" s="1" t="s">
        <v>5862</v>
      </c>
      <c r="C365" s="5">
        <f>CONCATENATE("PD", TEXT(A365, "1000000"))</f>
      </c>
      <c r="D365" s="7">
        <v>74</v>
      </c>
      <c r="E365" s="5">
        <f>XLOOKUP(G365, item_category!C:C, item_category!B:B, "Not Found")</f>
      </c>
      <c r="F365" s="1" t="s">
        <v>5520</v>
      </c>
      <c r="G365" s="5">
        <f>XLOOKUP(I365, drug!B:B, drug!A:A, "Not Found")</f>
      </c>
      <c r="H365" s="1" t="s">
        <v>1728</v>
      </c>
      <c r="I365" s="7">
        <v>1</v>
      </c>
      <c r="J365" s="5">
        <f>XLOOKUP(L365, uom!C:C, uom!B:B, "Not Found")</f>
      </c>
      <c r="K365" s="1" t="s">
        <v>5511</v>
      </c>
      <c r="L365" s="5">
        <f>XLOOKUP(N365, uom!C:C, uom!B:B, "Not Found")</f>
      </c>
      <c r="M365" s="1" t="s">
        <v>5511</v>
      </c>
      <c r="N365" s="8" t="s">
        <v>5512</v>
      </c>
      <c r="O365" s="1" t="s">
        <v>5513</v>
      </c>
      <c r="P365" s="5">
        <f>XLOOKUP(R365, classification!C:C, classification!B:B, "Not Found")</f>
      </c>
      <c r="Q365" s="1" t="s">
        <v>5514</v>
      </c>
      <c r="R365" s="2"/>
      <c r="S365" s="2"/>
      <c r="T365" s="2"/>
      <c r="U365" s="2"/>
    </row>
    <row x14ac:dyDescent="0.25" r="366" customHeight="1" ht="17.25">
      <c r="A366" s="7">
        <v>365</v>
      </c>
      <c r="B366" s="1" t="s">
        <v>5862</v>
      </c>
      <c r="C366" s="5">
        <f>CONCATENATE("PD", TEXT(A366, "1000000"))</f>
      </c>
      <c r="D366" s="7">
        <v>74</v>
      </c>
      <c r="E366" s="5">
        <f>XLOOKUP(G366, item_category!C:C, item_category!B:B, "Not Found")</f>
      </c>
      <c r="F366" s="1" t="s">
        <v>5520</v>
      </c>
      <c r="G366" s="5">
        <f>XLOOKUP(I366, drug!B:B, drug!A:A, "Not Found")</f>
      </c>
      <c r="H366" s="1" t="s">
        <v>1728</v>
      </c>
      <c r="I366" s="7">
        <v>1</v>
      </c>
      <c r="J366" s="5">
        <f>XLOOKUP(L366, uom!C:C, uom!B:B, "Not Found")</f>
      </c>
      <c r="K366" s="1" t="s">
        <v>5511</v>
      </c>
      <c r="L366" s="5">
        <f>XLOOKUP(N366, uom!C:C, uom!B:B, "Not Found")</f>
      </c>
      <c r="M366" s="1" t="s">
        <v>5511</v>
      </c>
      <c r="N366" s="8" t="s">
        <v>5512</v>
      </c>
      <c r="O366" s="1" t="s">
        <v>5513</v>
      </c>
      <c r="P366" s="5">
        <f>XLOOKUP(R366, classification!C:C, classification!B:B, "Not Found")</f>
      </c>
      <c r="Q366" s="1" t="s">
        <v>5514</v>
      </c>
      <c r="R366" s="2"/>
      <c r="S366" s="2"/>
      <c r="T366" s="2"/>
      <c r="U366" s="2"/>
    </row>
    <row x14ac:dyDescent="0.25" r="367" customHeight="1" ht="17.25">
      <c r="A367" s="7">
        <v>366</v>
      </c>
      <c r="B367" s="1" t="s">
        <v>5863</v>
      </c>
      <c r="C367" s="5">
        <f>CONCATENATE("PD", TEXT(A367, "1000000"))</f>
      </c>
      <c r="D367" s="7">
        <v>74</v>
      </c>
      <c r="E367" s="5">
        <f>XLOOKUP(G367, item_category!C:C, item_category!B:B, "Not Found")</f>
      </c>
      <c r="F367" s="1" t="s">
        <v>5520</v>
      </c>
      <c r="G367" s="5">
        <f>XLOOKUP(I367, drug!B:B, drug!A:A, "Not Found")</f>
      </c>
      <c r="H367" s="1" t="s">
        <v>1730</v>
      </c>
      <c r="I367" s="7">
        <v>1</v>
      </c>
      <c r="J367" s="5">
        <f>XLOOKUP(L367, uom!C:C, uom!B:B, "Not Found")</f>
      </c>
      <c r="K367" s="1" t="s">
        <v>5511</v>
      </c>
      <c r="L367" s="5">
        <f>XLOOKUP(N367, uom!C:C, uom!B:B, "Not Found")</f>
      </c>
      <c r="M367" s="1" t="s">
        <v>5511</v>
      </c>
      <c r="N367" s="8" t="s">
        <v>5512</v>
      </c>
      <c r="O367" s="1" t="s">
        <v>5513</v>
      </c>
      <c r="P367" s="5">
        <f>XLOOKUP(R367, classification!C:C, classification!B:B, "Not Found")</f>
      </c>
      <c r="Q367" s="1" t="s">
        <v>5514</v>
      </c>
      <c r="R367" s="2"/>
      <c r="S367" s="2"/>
      <c r="T367" s="2"/>
      <c r="U367" s="2"/>
    </row>
    <row x14ac:dyDescent="0.25" r="368" customHeight="1" ht="17.25">
      <c r="A368" s="7">
        <v>367</v>
      </c>
      <c r="B368" s="1" t="s">
        <v>5864</v>
      </c>
      <c r="C368" s="5">
        <f>CONCATENATE("PD", TEXT(A368, "1000000"))</f>
      </c>
      <c r="D368" s="7">
        <v>74</v>
      </c>
      <c r="E368" s="5">
        <f>XLOOKUP(G368, item_category!C:C, item_category!B:B, "Not Found")</f>
      </c>
      <c r="F368" s="1" t="s">
        <v>5520</v>
      </c>
      <c r="G368" s="5">
        <f>XLOOKUP(I368, drug!B:B, drug!A:A, "Not Found")</f>
      </c>
      <c r="H368" s="1" t="s">
        <v>1732</v>
      </c>
      <c r="I368" s="7">
        <v>1</v>
      </c>
      <c r="J368" s="5">
        <f>XLOOKUP(L368, uom!C:C, uom!B:B, "Not Found")</f>
      </c>
      <c r="K368" s="1" t="s">
        <v>5511</v>
      </c>
      <c r="L368" s="5">
        <f>XLOOKUP(N368, uom!C:C, uom!B:B, "Not Found")</f>
      </c>
      <c r="M368" s="1" t="s">
        <v>5511</v>
      </c>
      <c r="N368" s="8" t="s">
        <v>5512</v>
      </c>
      <c r="O368" s="1" t="s">
        <v>5513</v>
      </c>
      <c r="P368" s="5">
        <f>XLOOKUP(R368, classification!C:C, classification!B:B, "Not Found")</f>
      </c>
      <c r="Q368" s="1" t="s">
        <v>5514</v>
      </c>
      <c r="R368" s="2"/>
      <c r="S368" s="2"/>
      <c r="T368" s="2"/>
      <c r="U368" s="2"/>
    </row>
    <row x14ac:dyDescent="0.25" r="369" customHeight="1" ht="17.25">
      <c r="A369" s="7">
        <v>368</v>
      </c>
      <c r="B369" s="1" t="s">
        <v>5865</v>
      </c>
      <c r="C369" s="5">
        <f>CONCATENATE("PD", TEXT(A369, "1000000"))</f>
      </c>
      <c r="D369" s="7">
        <v>74</v>
      </c>
      <c r="E369" s="5">
        <f>XLOOKUP(G369, item_category!C:C, item_category!B:B, "Not Found")</f>
      </c>
      <c r="F369" s="1" t="s">
        <v>5520</v>
      </c>
      <c r="G369" s="5">
        <f>XLOOKUP(I369, drug!B:B, drug!A:A, "Not Found")</f>
      </c>
      <c r="H369" s="1" t="s">
        <v>1734</v>
      </c>
      <c r="I369" s="7">
        <v>1</v>
      </c>
      <c r="J369" s="5">
        <f>XLOOKUP(L369, uom!C:C, uom!B:B, "Not Found")</f>
      </c>
      <c r="K369" s="1" t="s">
        <v>5511</v>
      </c>
      <c r="L369" s="5">
        <f>XLOOKUP(N369, uom!C:C, uom!B:B, "Not Found")</f>
      </c>
      <c r="M369" s="1" t="s">
        <v>5511</v>
      </c>
      <c r="N369" s="8" t="s">
        <v>5512</v>
      </c>
      <c r="O369" s="1" t="s">
        <v>5513</v>
      </c>
      <c r="P369" s="5">
        <f>XLOOKUP(R369, classification!C:C, classification!B:B, "Not Found")</f>
      </c>
      <c r="Q369" s="1" t="s">
        <v>5514</v>
      </c>
      <c r="R369" s="2"/>
      <c r="S369" s="2"/>
      <c r="T369" s="2"/>
      <c r="U369" s="2"/>
    </row>
    <row x14ac:dyDescent="0.25" r="370" customHeight="1" ht="17.25">
      <c r="A370" s="7">
        <v>369</v>
      </c>
      <c r="B370" s="1" t="s">
        <v>1736</v>
      </c>
      <c r="C370" s="5">
        <f>CONCATENATE("PD", TEXT(A370, "1000000"))</f>
      </c>
      <c r="D370" s="7">
        <v>74</v>
      </c>
      <c r="E370" s="5">
        <f>XLOOKUP(G370, item_category!C:C, item_category!B:B, "Not Found")</f>
      </c>
      <c r="F370" s="1" t="s">
        <v>5520</v>
      </c>
      <c r="G370" s="5">
        <f>XLOOKUP(I370, drug!B:B, drug!A:A, "Not Found")</f>
      </c>
      <c r="H370" s="1" t="s">
        <v>1736</v>
      </c>
      <c r="I370" s="7">
        <v>1</v>
      </c>
      <c r="J370" s="5">
        <f>XLOOKUP(L370, uom!C:C, uom!B:B, "Not Found")</f>
      </c>
      <c r="K370" s="1" t="s">
        <v>5511</v>
      </c>
      <c r="L370" s="5">
        <f>XLOOKUP(N370, uom!C:C, uom!B:B, "Not Found")</f>
      </c>
      <c r="M370" s="1" t="s">
        <v>5511</v>
      </c>
      <c r="N370" s="8" t="s">
        <v>5512</v>
      </c>
      <c r="O370" s="1" t="s">
        <v>5513</v>
      </c>
      <c r="P370" s="5">
        <f>XLOOKUP(R370, classification!C:C, classification!B:B, "Not Found")</f>
      </c>
      <c r="Q370" s="1" t="s">
        <v>5514</v>
      </c>
      <c r="R370" s="2"/>
      <c r="S370" s="2"/>
      <c r="T370" s="2"/>
      <c r="U370" s="2"/>
    </row>
    <row x14ac:dyDescent="0.25" r="371" customHeight="1" ht="17.25">
      <c r="A371" s="7">
        <v>370</v>
      </c>
      <c r="B371" s="1" t="s">
        <v>5866</v>
      </c>
      <c r="C371" s="5">
        <f>CONCATENATE("PD", TEXT(A371, "1000000"))</f>
      </c>
      <c r="D371" s="7">
        <v>74</v>
      </c>
      <c r="E371" s="5">
        <f>XLOOKUP(G371, item_category!C:C, item_category!B:B, "Not Found")</f>
      </c>
      <c r="F371" s="1" t="s">
        <v>5520</v>
      </c>
      <c r="G371" s="5">
        <f>XLOOKUP(I371, drug!B:B, drug!A:A, "Not Found")</f>
      </c>
      <c r="H371" s="1" t="s">
        <v>1738</v>
      </c>
      <c r="I371" s="7">
        <v>1</v>
      </c>
      <c r="J371" s="5">
        <f>XLOOKUP(L371, uom!C:C, uom!B:B, "Not Found")</f>
      </c>
      <c r="K371" s="1" t="s">
        <v>5511</v>
      </c>
      <c r="L371" s="5">
        <f>XLOOKUP(N371, uom!C:C, uom!B:B, "Not Found")</f>
      </c>
      <c r="M371" s="1" t="s">
        <v>5511</v>
      </c>
      <c r="N371" s="8" t="s">
        <v>5512</v>
      </c>
      <c r="O371" s="1" t="s">
        <v>5513</v>
      </c>
      <c r="P371" s="5">
        <f>XLOOKUP(R371, classification!C:C, classification!B:B, "Not Found")</f>
      </c>
      <c r="Q371" s="1" t="s">
        <v>5514</v>
      </c>
      <c r="R371" s="2"/>
      <c r="S371" s="2"/>
      <c r="T371" s="2"/>
      <c r="U371" s="2"/>
    </row>
    <row x14ac:dyDescent="0.25" r="372" customHeight="1" ht="17.25">
      <c r="A372" s="7">
        <v>371</v>
      </c>
      <c r="B372" s="1" t="s">
        <v>5867</v>
      </c>
      <c r="C372" s="5">
        <f>CONCATENATE("PD", TEXT(A372, "1000000"))</f>
      </c>
      <c r="D372" s="7">
        <v>74</v>
      </c>
      <c r="E372" s="5">
        <f>XLOOKUP(G372, item_category!C:C, item_category!B:B, "Not Found")</f>
      </c>
      <c r="F372" s="1" t="s">
        <v>5520</v>
      </c>
      <c r="G372" s="5">
        <f>XLOOKUP(I372, drug!B:B, drug!A:A, "Not Found")</f>
      </c>
      <c r="H372" s="1" t="s">
        <v>1740</v>
      </c>
      <c r="I372" s="7">
        <v>1</v>
      </c>
      <c r="J372" s="5">
        <f>XLOOKUP(L372, uom!C:C, uom!B:B, "Not Found")</f>
      </c>
      <c r="K372" s="1" t="s">
        <v>5511</v>
      </c>
      <c r="L372" s="5">
        <f>XLOOKUP(N372, uom!C:C, uom!B:B, "Not Found")</f>
      </c>
      <c r="M372" s="1" t="s">
        <v>5511</v>
      </c>
      <c r="N372" s="8" t="s">
        <v>5512</v>
      </c>
      <c r="O372" s="1" t="s">
        <v>5513</v>
      </c>
      <c r="P372" s="5">
        <f>XLOOKUP(R372, classification!C:C, classification!B:B, "Not Found")</f>
      </c>
      <c r="Q372" s="1" t="s">
        <v>5514</v>
      </c>
      <c r="R372" s="2"/>
      <c r="S372" s="2"/>
      <c r="T372" s="2"/>
      <c r="U372" s="2"/>
    </row>
    <row x14ac:dyDescent="0.25" r="373" customHeight="1" ht="17.25">
      <c r="A373" s="7">
        <v>372</v>
      </c>
      <c r="B373" s="1" t="s">
        <v>5868</v>
      </c>
      <c r="C373" s="5">
        <f>CONCATENATE("PD", TEXT(A373, "1000000"))</f>
      </c>
      <c r="D373" s="7">
        <v>74</v>
      </c>
      <c r="E373" s="5">
        <f>XLOOKUP(G373, item_category!C:C, item_category!B:B, "Not Found")</f>
      </c>
      <c r="F373" s="1" t="s">
        <v>5520</v>
      </c>
      <c r="G373" s="5">
        <f>XLOOKUP(I373, drug!B:B, drug!A:A, "Not Found")</f>
      </c>
      <c r="H373" s="1" t="s">
        <v>1742</v>
      </c>
      <c r="I373" s="7">
        <v>1</v>
      </c>
      <c r="J373" s="5">
        <f>XLOOKUP(L373, uom!C:C, uom!B:B, "Not Found")</f>
      </c>
      <c r="K373" s="1" t="s">
        <v>5511</v>
      </c>
      <c r="L373" s="5">
        <f>XLOOKUP(N373, uom!C:C, uom!B:B, "Not Found")</f>
      </c>
      <c r="M373" s="1" t="s">
        <v>5511</v>
      </c>
      <c r="N373" s="8" t="s">
        <v>5512</v>
      </c>
      <c r="O373" s="1" t="s">
        <v>5513</v>
      </c>
      <c r="P373" s="5">
        <f>XLOOKUP(R373, classification!C:C, classification!B:B, "Not Found")</f>
      </c>
      <c r="Q373" s="1" t="s">
        <v>5514</v>
      </c>
      <c r="R373" s="2"/>
      <c r="S373" s="2"/>
      <c r="T373" s="2"/>
      <c r="U373" s="2"/>
    </row>
    <row x14ac:dyDescent="0.25" r="374" customHeight="1" ht="17.25">
      <c r="A374" s="7">
        <v>373</v>
      </c>
      <c r="B374" s="1" t="s">
        <v>5869</v>
      </c>
      <c r="C374" s="5">
        <f>CONCATENATE("PD", TEXT(A374, "1000000"))</f>
      </c>
      <c r="D374" s="7">
        <v>74</v>
      </c>
      <c r="E374" s="5">
        <f>XLOOKUP(G374, item_category!C:C, item_category!B:B, "Not Found")</f>
      </c>
      <c r="F374" s="1" t="s">
        <v>5520</v>
      </c>
      <c r="G374" s="5">
        <f>XLOOKUP(I374, drug!B:B, drug!A:A, "Not Found")</f>
      </c>
      <c r="H374" s="1" t="s">
        <v>1744</v>
      </c>
      <c r="I374" s="7">
        <v>1</v>
      </c>
      <c r="J374" s="5">
        <f>XLOOKUP(L374, uom!C:C, uom!B:B, "Not Found")</f>
      </c>
      <c r="K374" s="1" t="s">
        <v>5511</v>
      </c>
      <c r="L374" s="5">
        <f>XLOOKUP(N374, uom!C:C, uom!B:B, "Not Found")</f>
      </c>
      <c r="M374" s="1" t="s">
        <v>5511</v>
      </c>
      <c r="N374" s="8" t="s">
        <v>5512</v>
      </c>
      <c r="O374" s="1" t="s">
        <v>5513</v>
      </c>
      <c r="P374" s="5">
        <f>XLOOKUP(R374, classification!C:C, classification!B:B, "Not Found")</f>
      </c>
      <c r="Q374" s="1" t="s">
        <v>5514</v>
      </c>
      <c r="R374" s="2"/>
      <c r="S374" s="2"/>
      <c r="T374" s="2"/>
      <c r="U374" s="2"/>
    </row>
    <row x14ac:dyDescent="0.25" r="375" customHeight="1" ht="17.25">
      <c r="A375" s="7">
        <v>374</v>
      </c>
      <c r="B375" s="1" t="s">
        <v>5870</v>
      </c>
      <c r="C375" s="5">
        <f>CONCATENATE("PD", TEXT(A375, "1000000"))</f>
      </c>
      <c r="D375" s="7">
        <v>74</v>
      </c>
      <c r="E375" s="5">
        <f>XLOOKUP(G375, item_category!C:C, item_category!B:B, "Not Found")</f>
      </c>
      <c r="F375" s="1" t="s">
        <v>5520</v>
      </c>
      <c r="G375" s="5">
        <f>XLOOKUP(I375, drug!B:B, drug!A:A, "Not Found")</f>
      </c>
      <c r="H375" s="1" t="s">
        <v>1744</v>
      </c>
      <c r="I375" s="7">
        <v>1</v>
      </c>
      <c r="J375" s="5">
        <f>XLOOKUP(L375, uom!C:C, uom!B:B, "Not Found")</f>
      </c>
      <c r="K375" s="1" t="s">
        <v>5511</v>
      </c>
      <c r="L375" s="5">
        <f>XLOOKUP(N375, uom!C:C, uom!B:B, "Not Found")</f>
      </c>
      <c r="M375" s="1" t="s">
        <v>5511</v>
      </c>
      <c r="N375" s="8" t="s">
        <v>5512</v>
      </c>
      <c r="O375" s="1" t="s">
        <v>5513</v>
      </c>
      <c r="P375" s="5">
        <f>XLOOKUP(R375, classification!C:C, classification!B:B, "Not Found")</f>
      </c>
      <c r="Q375" s="1" t="s">
        <v>5514</v>
      </c>
      <c r="R375" s="2"/>
      <c r="S375" s="2"/>
      <c r="T375" s="2"/>
      <c r="U375" s="2"/>
    </row>
    <row x14ac:dyDescent="0.25" r="376" customHeight="1" ht="17.25">
      <c r="A376" s="7">
        <v>375</v>
      </c>
      <c r="B376" s="1" t="s">
        <v>5871</v>
      </c>
      <c r="C376" s="5">
        <f>CONCATENATE("PD", TEXT(A376, "1000000"))</f>
      </c>
      <c r="D376" s="7">
        <v>74</v>
      </c>
      <c r="E376" s="5">
        <f>XLOOKUP(G376, item_category!C:C, item_category!B:B, "Not Found")</f>
      </c>
      <c r="F376" s="1" t="s">
        <v>5520</v>
      </c>
      <c r="G376" s="5">
        <f>XLOOKUP(I376, drug!B:B, drug!A:A, "Not Found")</f>
      </c>
      <c r="H376" s="1" t="s">
        <v>1746</v>
      </c>
      <c r="I376" s="7">
        <v>1</v>
      </c>
      <c r="J376" s="5">
        <f>XLOOKUP(L376, uom!C:C, uom!B:B, "Not Found")</f>
      </c>
      <c r="K376" s="1" t="s">
        <v>5511</v>
      </c>
      <c r="L376" s="5">
        <f>XLOOKUP(N376, uom!C:C, uom!B:B, "Not Found")</f>
      </c>
      <c r="M376" s="1" t="s">
        <v>5511</v>
      </c>
      <c r="N376" s="8" t="s">
        <v>5512</v>
      </c>
      <c r="O376" s="1" t="s">
        <v>5513</v>
      </c>
      <c r="P376" s="5">
        <f>XLOOKUP(R376, classification!C:C, classification!B:B, "Not Found")</f>
      </c>
      <c r="Q376" s="1" t="s">
        <v>5514</v>
      </c>
      <c r="R376" s="2"/>
      <c r="S376" s="2"/>
      <c r="T376" s="2"/>
      <c r="U376" s="2"/>
    </row>
    <row x14ac:dyDescent="0.25" r="377" customHeight="1" ht="17.25">
      <c r="A377" s="7">
        <v>376</v>
      </c>
      <c r="B377" s="1" t="s">
        <v>5872</v>
      </c>
      <c r="C377" s="5">
        <f>CONCATENATE("PD", TEXT(A377, "1000000"))</f>
      </c>
      <c r="D377" s="7">
        <v>74</v>
      </c>
      <c r="E377" s="5">
        <f>XLOOKUP(G377, item_category!C:C, item_category!B:B, "Not Found")</f>
      </c>
      <c r="F377" s="1" t="s">
        <v>5520</v>
      </c>
      <c r="G377" s="5">
        <f>XLOOKUP(I377, drug!B:B, drug!A:A, "Not Found")</f>
      </c>
      <c r="H377" s="1" t="s">
        <v>1748</v>
      </c>
      <c r="I377" s="7">
        <v>1</v>
      </c>
      <c r="J377" s="5">
        <f>XLOOKUP(L377, uom!C:C, uom!B:B, "Not Found")</f>
      </c>
      <c r="K377" s="1" t="s">
        <v>5511</v>
      </c>
      <c r="L377" s="5">
        <f>XLOOKUP(N377, uom!C:C, uom!B:B, "Not Found")</f>
      </c>
      <c r="M377" s="1" t="s">
        <v>5511</v>
      </c>
      <c r="N377" s="8" t="s">
        <v>5512</v>
      </c>
      <c r="O377" s="1" t="s">
        <v>5513</v>
      </c>
      <c r="P377" s="5">
        <f>XLOOKUP(R377, classification!C:C, classification!B:B, "Not Found")</f>
      </c>
      <c r="Q377" s="1" t="s">
        <v>5514</v>
      </c>
      <c r="R377" s="2"/>
      <c r="S377" s="2"/>
      <c r="T377" s="2"/>
      <c r="U377" s="2"/>
    </row>
    <row x14ac:dyDescent="0.25" r="378" customHeight="1" ht="17.25">
      <c r="A378" s="7">
        <v>377</v>
      </c>
      <c r="B378" s="1" t="s">
        <v>5873</v>
      </c>
      <c r="C378" s="5">
        <f>CONCATENATE("PD", TEXT(A378, "1000000"))</f>
      </c>
      <c r="D378" s="7">
        <v>74</v>
      </c>
      <c r="E378" s="5">
        <f>XLOOKUP(G378, item_category!C:C, item_category!B:B, "Not Found")</f>
      </c>
      <c r="F378" s="1" t="s">
        <v>5520</v>
      </c>
      <c r="G378" s="5">
        <f>XLOOKUP(I378, drug!B:B, drug!A:A, "Not Found")</f>
      </c>
      <c r="H378" s="1" t="s">
        <v>1750</v>
      </c>
      <c r="I378" s="7">
        <v>1</v>
      </c>
      <c r="J378" s="5">
        <f>XLOOKUP(L378, uom!C:C, uom!B:B, "Not Found")</f>
      </c>
      <c r="K378" s="1" t="s">
        <v>5511</v>
      </c>
      <c r="L378" s="5">
        <f>XLOOKUP(N378, uom!C:C, uom!B:B, "Not Found")</f>
      </c>
      <c r="M378" s="1" t="s">
        <v>5511</v>
      </c>
      <c r="N378" s="8" t="s">
        <v>5512</v>
      </c>
      <c r="O378" s="1" t="s">
        <v>5513</v>
      </c>
      <c r="P378" s="5">
        <f>XLOOKUP(R378, classification!C:C, classification!B:B, "Not Found")</f>
      </c>
      <c r="Q378" s="1" t="s">
        <v>5514</v>
      </c>
      <c r="R378" s="2"/>
      <c r="S378" s="2"/>
      <c r="T378" s="2"/>
      <c r="U378" s="2"/>
    </row>
    <row x14ac:dyDescent="0.25" r="379" customHeight="1" ht="17.25">
      <c r="A379" s="7">
        <v>378</v>
      </c>
      <c r="B379" s="1" t="s">
        <v>5874</v>
      </c>
      <c r="C379" s="5">
        <f>CONCATENATE("PD", TEXT(A379, "1000000"))</f>
      </c>
      <c r="D379" s="7">
        <v>74</v>
      </c>
      <c r="E379" s="5">
        <f>XLOOKUP(G379, item_category!C:C, item_category!B:B, "Not Found")</f>
      </c>
      <c r="F379" s="1" t="s">
        <v>5520</v>
      </c>
      <c r="G379" s="5">
        <f>XLOOKUP(I379, drug!B:B, drug!A:A, "Not Found")</f>
      </c>
      <c r="H379" s="1" t="s">
        <v>1752</v>
      </c>
      <c r="I379" s="7">
        <v>1</v>
      </c>
      <c r="J379" s="5">
        <f>XLOOKUP(L379, uom!C:C, uom!B:B, "Not Found")</f>
      </c>
      <c r="K379" s="1" t="s">
        <v>5511</v>
      </c>
      <c r="L379" s="5">
        <f>XLOOKUP(N379, uom!C:C, uom!B:B, "Not Found")</f>
      </c>
      <c r="M379" s="1" t="s">
        <v>5511</v>
      </c>
      <c r="N379" s="8" t="s">
        <v>5512</v>
      </c>
      <c r="O379" s="1" t="s">
        <v>5513</v>
      </c>
      <c r="P379" s="5">
        <f>XLOOKUP(R379, classification!C:C, classification!B:B, "Not Found")</f>
      </c>
      <c r="Q379" s="1" t="s">
        <v>5514</v>
      </c>
      <c r="R379" s="2"/>
      <c r="S379" s="2"/>
      <c r="T379" s="2"/>
      <c r="U379" s="2"/>
    </row>
    <row x14ac:dyDescent="0.25" r="380" customHeight="1" ht="17.25">
      <c r="A380" s="7">
        <v>379</v>
      </c>
      <c r="B380" s="1" t="s">
        <v>5875</v>
      </c>
      <c r="C380" s="5">
        <f>CONCATENATE("PD", TEXT(A380, "1000000"))</f>
      </c>
      <c r="D380" s="7">
        <v>74</v>
      </c>
      <c r="E380" s="5">
        <f>XLOOKUP(G380, item_category!C:C, item_category!B:B, "Not Found")</f>
      </c>
      <c r="F380" s="1" t="s">
        <v>5520</v>
      </c>
      <c r="G380" s="5">
        <f>XLOOKUP(I380, drug!B:B, drug!A:A, "Not Found")</f>
      </c>
      <c r="H380" s="1" t="s">
        <v>1754</v>
      </c>
      <c r="I380" s="7">
        <v>1</v>
      </c>
      <c r="J380" s="5">
        <f>XLOOKUP(L380, uom!C:C, uom!B:B, "Not Found")</f>
      </c>
      <c r="K380" s="1" t="s">
        <v>5511</v>
      </c>
      <c r="L380" s="5">
        <f>XLOOKUP(N380, uom!C:C, uom!B:B, "Not Found")</f>
      </c>
      <c r="M380" s="1" t="s">
        <v>5511</v>
      </c>
      <c r="N380" s="8" t="s">
        <v>5512</v>
      </c>
      <c r="O380" s="1" t="s">
        <v>5513</v>
      </c>
      <c r="P380" s="5">
        <f>XLOOKUP(R380, classification!C:C, classification!B:B, "Not Found")</f>
      </c>
      <c r="Q380" s="1" t="s">
        <v>5514</v>
      </c>
      <c r="R380" s="2"/>
      <c r="S380" s="2"/>
      <c r="T380" s="2"/>
      <c r="U380" s="2"/>
    </row>
    <row x14ac:dyDescent="0.25" r="381" customHeight="1" ht="17.25">
      <c r="A381" s="7">
        <v>380</v>
      </c>
      <c r="B381" s="1" t="s">
        <v>5876</v>
      </c>
      <c r="C381" s="5">
        <f>CONCATENATE("PD", TEXT(A381, "1000000"))</f>
      </c>
      <c r="D381" s="7">
        <v>74</v>
      </c>
      <c r="E381" s="5">
        <f>XLOOKUP(G381, item_category!C:C, item_category!B:B, "Not Found")</f>
      </c>
      <c r="F381" s="1" t="s">
        <v>5520</v>
      </c>
      <c r="G381" s="5">
        <f>XLOOKUP(I381, drug!B:B, drug!A:A, "Not Found")</f>
      </c>
      <c r="H381" s="1" t="s">
        <v>1756</v>
      </c>
      <c r="I381" s="7">
        <v>1</v>
      </c>
      <c r="J381" s="5">
        <f>XLOOKUP(L381, uom!C:C, uom!B:B, "Not Found")</f>
      </c>
      <c r="K381" s="1" t="s">
        <v>5511</v>
      </c>
      <c r="L381" s="5">
        <f>XLOOKUP(N381, uom!C:C, uom!B:B, "Not Found")</f>
      </c>
      <c r="M381" s="1" t="s">
        <v>5511</v>
      </c>
      <c r="N381" s="8" t="s">
        <v>5512</v>
      </c>
      <c r="O381" s="1" t="s">
        <v>5513</v>
      </c>
      <c r="P381" s="5">
        <f>XLOOKUP(R381, classification!C:C, classification!B:B, "Not Found")</f>
      </c>
      <c r="Q381" s="1" t="s">
        <v>5514</v>
      </c>
      <c r="R381" s="2"/>
      <c r="S381" s="2"/>
      <c r="T381" s="2"/>
      <c r="U381" s="2"/>
    </row>
    <row x14ac:dyDescent="0.25" r="382" customHeight="1" ht="17.25">
      <c r="A382" s="7">
        <v>381</v>
      </c>
      <c r="B382" s="1" t="s">
        <v>5877</v>
      </c>
      <c r="C382" s="5">
        <f>CONCATENATE("PD", TEXT(A382, "1000000"))</f>
      </c>
      <c r="D382" s="7">
        <v>74</v>
      </c>
      <c r="E382" s="5">
        <f>XLOOKUP(G382, item_category!C:C, item_category!B:B, "Not Found")</f>
      </c>
      <c r="F382" s="1" t="s">
        <v>5520</v>
      </c>
      <c r="G382" s="5">
        <f>XLOOKUP(I382, drug!B:B, drug!A:A, "Not Found")</f>
      </c>
      <c r="H382" s="1" t="s">
        <v>1758</v>
      </c>
      <c r="I382" s="7">
        <v>1</v>
      </c>
      <c r="J382" s="5">
        <f>XLOOKUP(L382, uom!C:C, uom!B:B, "Not Found")</f>
      </c>
      <c r="K382" s="1" t="s">
        <v>5511</v>
      </c>
      <c r="L382" s="5">
        <f>XLOOKUP(N382, uom!C:C, uom!B:B, "Not Found")</f>
      </c>
      <c r="M382" s="1" t="s">
        <v>5511</v>
      </c>
      <c r="N382" s="8" t="s">
        <v>5512</v>
      </c>
      <c r="O382" s="1" t="s">
        <v>5513</v>
      </c>
      <c r="P382" s="5">
        <f>XLOOKUP(R382, classification!C:C, classification!B:B, "Not Found")</f>
      </c>
      <c r="Q382" s="1" t="s">
        <v>5514</v>
      </c>
      <c r="R382" s="2"/>
      <c r="S382" s="2"/>
      <c r="T382" s="2"/>
      <c r="U382" s="2"/>
    </row>
    <row x14ac:dyDescent="0.25" r="383" customHeight="1" ht="17.25">
      <c r="A383" s="7">
        <v>382</v>
      </c>
      <c r="B383" s="1" t="s">
        <v>5878</v>
      </c>
      <c r="C383" s="5">
        <f>CONCATENATE("PD", TEXT(A383, "1000000"))</f>
      </c>
      <c r="D383" s="7">
        <v>74</v>
      </c>
      <c r="E383" s="5">
        <f>XLOOKUP(G383, item_category!C:C, item_category!B:B, "Not Found")</f>
      </c>
      <c r="F383" s="1" t="s">
        <v>5520</v>
      </c>
      <c r="G383" s="5">
        <f>XLOOKUP(I383, drug!B:B, drug!A:A, "Not Found")</f>
      </c>
      <c r="H383" s="1" t="s">
        <v>1760</v>
      </c>
      <c r="I383" s="7">
        <v>1</v>
      </c>
      <c r="J383" s="5">
        <f>XLOOKUP(L383, uom!C:C, uom!B:B, "Not Found")</f>
      </c>
      <c r="K383" s="1" t="s">
        <v>5511</v>
      </c>
      <c r="L383" s="5">
        <f>XLOOKUP(N383, uom!C:C, uom!B:B, "Not Found")</f>
      </c>
      <c r="M383" s="1" t="s">
        <v>5511</v>
      </c>
      <c r="N383" s="8" t="s">
        <v>5512</v>
      </c>
      <c r="O383" s="1" t="s">
        <v>5513</v>
      </c>
      <c r="P383" s="5">
        <f>XLOOKUP(R383, classification!C:C, classification!B:B, "Not Found")</f>
      </c>
      <c r="Q383" s="1" t="s">
        <v>5514</v>
      </c>
      <c r="R383" s="2"/>
      <c r="S383" s="2"/>
      <c r="T383" s="2"/>
      <c r="U383" s="2"/>
    </row>
    <row x14ac:dyDescent="0.25" r="384" customHeight="1" ht="17.25">
      <c r="A384" s="7">
        <v>383</v>
      </c>
      <c r="B384" s="1" t="s">
        <v>5879</v>
      </c>
      <c r="C384" s="5">
        <f>CONCATENATE("PD", TEXT(A384, "1000000"))</f>
      </c>
      <c r="D384" s="7">
        <v>74</v>
      </c>
      <c r="E384" s="5">
        <f>XLOOKUP(G384, item_category!C:C, item_category!B:B, "Not Found")</f>
      </c>
      <c r="F384" s="1" t="s">
        <v>5520</v>
      </c>
      <c r="G384" s="5">
        <f>XLOOKUP(I384, drug!B:B, drug!A:A, "Not Found")</f>
      </c>
      <c r="H384" s="1" t="s">
        <v>1762</v>
      </c>
      <c r="I384" s="7">
        <v>1</v>
      </c>
      <c r="J384" s="5">
        <f>XLOOKUP(L384, uom!C:C, uom!B:B, "Not Found")</f>
      </c>
      <c r="K384" s="1" t="s">
        <v>5511</v>
      </c>
      <c r="L384" s="5">
        <f>XLOOKUP(N384, uom!C:C, uom!B:B, "Not Found")</f>
      </c>
      <c r="M384" s="1" t="s">
        <v>5511</v>
      </c>
      <c r="N384" s="8" t="s">
        <v>5512</v>
      </c>
      <c r="O384" s="1" t="s">
        <v>5513</v>
      </c>
      <c r="P384" s="5">
        <f>XLOOKUP(R384, classification!C:C, classification!B:B, "Not Found")</f>
      </c>
      <c r="Q384" s="1" t="s">
        <v>5514</v>
      </c>
      <c r="R384" s="2"/>
      <c r="S384" s="2"/>
      <c r="T384" s="2"/>
      <c r="U384" s="2"/>
    </row>
    <row x14ac:dyDescent="0.25" r="385" customHeight="1" ht="17.25">
      <c r="A385" s="7">
        <v>384</v>
      </c>
      <c r="B385" s="1" t="s">
        <v>5880</v>
      </c>
      <c r="C385" s="5">
        <f>CONCATENATE("PD", TEXT(A385, "1000000"))</f>
      </c>
      <c r="D385" s="7">
        <v>74</v>
      </c>
      <c r="E385" s="5">
        <f>XLOOKUP(G385, item_category!C:C, item_category!B:B, "Not Found")</f>
      </c>
      <c r="F385" s="1" t="s">
        <v>5520</v>
      </c>
      <c r="G385" s="5">
        <f>XLOOKUP(I385, drug!B:B, drug!A:A, "Not Found")</f>
      </c>
      <c r="H385" s="1" t="s">
        <v>272</v>
      </c>
      <c r="I385" s="7">
        <v>1</v>
      </c>
      <c r="J385" s="5">
        <f>XLOOKUP(L385, uom!C:C, uom!B:B, "Not Found")</f>
      </c>
      <c r="K385" s="1" t="s">
        <v>5511</v>
      </c>
      <c r="L385" s="5">
        <f>XLOOKUP(N385, uom!C:C, uom!B:B, "Not Found")</f>
      </c>
      <c r="M385" s="1" t="s">
        <v>5511</v>
      </c>
      <c r="N385" s="8" t="s">
        <v>5512</v>
      </c>
      <c r="O385" s="1" t="s">
        <v>5513</v>
      </c>
      <c r="P385" s="5">
        <f>XLOOKUP(R385, classification!C:C, classification!B:B, "Not Found")</f>
      </c>
      <c r="Q385" s="1" t="s">
        <v>5514</v>
      </c>
      <c r="R385" s="2"/>
      <c r="S385" s="2"/>
      <c r="T385" s="2"/>
      <c r="U385" s="2"/>
    </row>
    <row x14ac:dyDescent="0.25" r="386" customHeight="1" ht="17.25">
      <c r="A386" s="7">
        <v>385</v>
      </c>
      <c r="B386" s="1" t="s">
        <v>5881</v>
      </c>
      <c r="C386" s="5">
        <f>CONCATENATE("PD", TEXT(A386, "1000000"))</f>
      </c>
      <c r="D386" s="7">
        <v>74</v>
      </c>
      <c r="E386" s="5">
        <f>XLOOKUP(G386, item_category!C:C, item_category!B:B, "Not Found")</f>
      </c>
      <c r="F386" s="1" t="s">
        <v>5520</v>
      </c>
      <c r="G386" s="5">
        <f>XLOOKUP(I386, drug!B:B, drug!A:A, "Not Found")</f>
      </c>
      <c r="H386" s="1" t="s">
        <v>1764</v>
      </c>
      <c r="I386" s="7">
        <v>1</v>
      </c>
      <c r="J386" s="5">
        <f>XLOOKUP(L386, uom!C:C, uom!B:B, "Not Found")</f>
      </c>
      <c r="K386" s="1" t="s">
        <v>5511</v>
      </c>
      <c r="L386" s="5">
        <f>XLOOKUP(N386, uom!C:C, uom!B:B, "Not Found")</f>
      </c>
      <c r="M386" s="1" t="s">
        <v>5511</v>
      </c>
      <c r="N386" s="8" t="s">
        <v>5512</v>
      </c>
      <c r="O386" s="1" t="s">
        <v>5513</v>
      </c>
      <c r="P386" s="5">
        <f>XLOOKUP(R386, classification!C:C, classification!B:B, "Not Found")</f>
      </c>
      <c r="Q386" s="1" t="s">
        <v>5514</v>
      </c>
      <c r="R386" s="2"/>
      <c r="S386" s="2"/>
      <c r="T386" s="2"/>
      <c r="U386" s="2"/>
    </row>
    <row x14ac:dyDescent="0.25" r="387" customHeight="1" ht="17.25">
      <c r="A387" s="7">
        <v>386</v>
      </c>
      <c r="B387" s="1" t="s">
        <v>5882</v>
      </c>
      <c r="C387" s="5">
        <f>CONCATENATE("PD", TEXT(A387, "1000000"))</f>
      </c>
      <c r="D387" s="7">
        <v>74</v>
      </c>
      <c r="E387" s="5">
        <f>XLOOKUP(G387, item_category!C:C, item_category!B:B, "Not Found")</f>
      </c>
      <c r="F387" s="1" t="s">
        <v>5520</v>
      </c>
      <c r="G387" s="5">
        <f>XLOOKUP(I387, drug!B:B, drug!A:A, "Not Found")</f>
      </c>
      <c r="H387" s="1" t="s">
        <v>1766</v>
      </c>
      <c r="I387" s="7">
        <v>1</v>
      </c>
      <c r="J387" s="5">
        <f>XLOOKUP(L387, uom!C:C, uom!B:B, "Not Found")</f>
      </c>
      <c r="K387" s="1" t="s">
        <v>5511</v>
      </c>
      <c r="L387" s="5">
        <f>XLOOKUP(N387, uom!C:C, uom!B:B, "Not Found")</f>
      </c>
      <c r="M387" s="1" t="s">
        <v>5511</v>
      </c>
      <c r="N387" s="8" t="s">
        <v>5512</v>
      </c>
      <c r="O387" s="1" t="s">
        <v>5513</v>
      </c>
      <c r="P387" s="5">
        <f>XLOOKUP(R387, classification!C:C, classification!B:B, "Not Found")</f>
      </c>
      <c r="Q387" s="1" t="s">
        <v>5514</v>
      </c>
      <c r="R387" s="2"/>
      <c r="S387" s="2"/>
      <c r="T387" s="2"/>
      <c r="U387" s="2"/>
    </row>
    <row x14ac:dyDescent="0.25" r="388" customHeight="1" ht="17.25">
      <c r="A388" s="7">
        <v>387</v>
      </c>
      <c r="B388" s="1" t="s">
        <v>5883</v>
      </c>
      <c r="C388" s="5">
        <f>CONCATENATE("PD", TEXT(A388, "1000000"))</f>
      </c>
      <c r="D388" s="7">
        <v>74</v>
      </c>
      <c r="E388" s="5">
        <f>XLOOKUP(G388, item_category!C:C, item_category!B:B, "Not Found")</f>
      </c>
      <c r="F388" s="1" t="s">
        <v>5520</v>
      </c>
      <c r="G388" s="5">
        <f>XLOOKUP(I388, drug!B:B, drug!A:A, "Not Found")</f>
      </c>
      <c r="H388" s="1" t="s">
        <v>1766</v>
      </c>
      <c r="I388" s="7">
        <v>1</v>
      </c>
      <c r="J388" s="5">
        <f>XLOOKUP(L388, uom!C:C, uom!B:B, "Not Found")</f>
      </c>
      <c r="K388" s="1" t="s">
        <v>5511</v>
      </c>
      <c r="L388" s="5">
        <f>XLOOKUP(N388, uom!C:C, uom!B:B, "Not Found")</f>
      </c>
      <c r="M388" s="1" t="s">
        <v>5511</v>
      </c>
      <c r="N388" s="8" t="s">
        <v>5512</v>
      </c>
      <c r="O388" s="1" t="s">
        <v>5513</v>
      </c>
      <c r="P388" s="5">
        <f>XLOOKUP(R388, classification!C:C, classification!B:B, "Not Found")</f>
      </c>
      <c r="Q388" s="1" t="s">
        <v>5514</v>
      </c>
      <c r="R388" s="2"/>
      <c r="S388" s="2"/>
      <c r="T388" s="2"/>
      <c r="U388" s="2"/>
    </row>
    <row x14ac:dyDescent="0.25" r="389" customHeight="1" ht="17.25">
      <c r="A389" s="7">
        <v>388</v>
      </c>
      <c r="B389" s="1" t="s">
        <v>5884</v>
      </c>
      <c r="C389" s="5">
        <f>CONCATENATE("PD", TEXT(A389, "1000000"))</f>
      </c>
      <c r="D389" s="7">
        <v>74</v>
      </c>
      <c r="E389" s="5">
        <f>XLOOKUP(G389, item_category!C:C, item_category!B:B, "Not Found")</f>
      </c>
      <c r="F389" s="1" t="s">
        <v>5520</v>
      </c>
      <c r="G389" s="5">
        <f>XLOOKUP(I389, drug!B:B, drug!A:A, "Not Found")</f>
      </c>
      <c r="H389" s="1" t="s">
        <v>1362</v>
      </c>
      <c r="I389" s="7">
        <v>1</v>
      </c>
      <c r="J389" s="5">
        <f>XLOOKUP(L389, uom!C:C, uom!B:B, "Not Found")</f>
      </c>
      <c r="K389" s="1" t="s">
        <v>5511</v>
      </c>
      <c r="L389" s="5">
        <f>XLOOKUP(N389, uom!C:C, uom!B:B, "Not Found")</f>
      </c>
      <c r="M389" s="1" t="s">
        <v>5511</v>
      </c>
      <c r="N389" s="8" t="s">
        <v>5512</v>
      </c>
      <c r="O389" s="1" t="s">
        <v>5513</v>
      </c>
      <c r="P389" s="5">
        <f>XLOOKUP(R389, classification!C:C, classification!B:B, "Not Found")</f>
      </c>
      <c r="Q389" s="1" t="s">
        <v>5514</v>
      </c>
      <c r="R389" s="2"/>
      <c r="S389" s="2"/>
      <c r="T389" s="2"/>
      <c r="U389" s="2"/>
    </row>
    <row x14ac:dyDescent="0.25" r="390" customHeight="1" ht="17.25">
      <c r="A390" s="7">
        <v>389</v>
      </c>
      <c r="B390" s="1" t="s">
        <v>5885</v>
      </c>
      <c r="C390" s="5">
        <f>CONCATENATE("PD", TEXT(A390, "1000000"))</f>
      </c>
      <c r="D390" s="7">
        <v>74</v>
      </c>
      <c r="E390" s="5">
        <f>XLOOKUP(G390, item_category!C:C, item_category!B:B, "Not Found")</f>
      </c>
      <c r="F390" s="1" t="s">
        <v>5520</v>
      </c>
      <c r="G390" s="5">
        <f>XLOOKUP(I390, drug!B:B, drug!A:A, "Not Found")</f>
      </c>
      <c r="H390" s="1" t="s">
        <v>1768</v>
      </c>
      <c r="I390" s="7">
        <v>1</v>
      </c>
      <c r="J390" s="5">
        <f>XLOOKUP(L390, uom!C:C, uom!B:B, "Not Found")</f>
      </c>
      <c r="K390" s="1" t="s">
        <v>5511</v>
      </c>
      <c r="L390" s="5">
        <f>XLOOKUP(N390, uom!C:C, uom!B:B, "Not Found")</f>
      </c>
      <c r="M390" s="1" t="s">
        <v>5511</v>
      </c>
      <c r="N390" s="8" t="s">
        <v>5512</v>
      </c>
      <c r="O390" s="1" t="s">
        <v>5513</v>
      </c>
      <c r="P390" s="5">
        <f>XLOOKUP(R390, classification!C:C, classification!B:B, "Not Found")</f>
      </c>
      <c r="Q390" s="1" t="s">
        <v>5514</v>
      </c>
      <c r="R390" s="2"/>
      <c r="S390" s="2"/>
      <c r="T390" s="2"/>
      <c r="U390" s="2"/>
    </row>
    <row x14ac:dyDescent="0.25" r="391" customHeight="1" ht="17.25">
      <c r="A391" s="7">
        <v>390</v>
      </c>
      <c r="B391" s="1" t="s">
        <v>5886</v>
      </c>
      <c r="C391" s="5">
        <f>CONCATENATE("PD", TEXT(A391, "1000000"))</f>
      </c>
      <c r="D391" s="7">
        <v>74</v>
      </c>
      <c r="E391" s="5">
        <f>XLOOKUP(G391, item_category!C:C, item_category!B:B, "Not Found")</f>
      </c>
      <c r="F391" s="1" t="s">
        <v>5520</v>
      </c>
      <c r="G391" s="5">
        <f>XLOOKUP(I391, drug!B:B, drug!A:A, "Not Found")</f>
      </c>
      <c r="H391" s="1" t="s">
        <v>836</v>
      </c>
      <c r="I391" s="7">
        <v>1</v>
      </c>
      <c r="J391" s="5">
        <f>XLOOKUP(L391, uom!C:C, uom!B:B, "Not Found")</f>
      </c>
      <c r="K391" s="1" t="s">
        <v>5511</v>
      </c>
      <c r="L391" s="5">
        <f>XLOOKUP(N391, uom!C:C, uom!B:B, "Not Found")</f>
      </c>
      <c r="M391" s="1" t="s">
        <v>5511</v>
      </c>
      <c r="N391" s="8" t="s">
        <v>5512</v>
      </c>
      <c r="O391" s="1" t="s">
        <v>5513</v>
      </c>
      <c r="P391" s="5">
        <f>XLOOKUP(R391, classification!C:C, classification!B:B, "Not Found")</f>
      </c>
      <c r="Q391" s="1" t="s">
        <v>5514</v>
      </c>
      <c r="R391" s="2"/>
      <c r="S391" s="2"/>
      <c r="T391" s="2"/>
      <c r="U391" s="2"/>
    </row>
    <row x14ac:dyDescent="0.25" r="392" customHeight="1" ht="17.25">
      <c r="A392" s="7">
        <v>391</v>
      </c>
      <c r="B392" s="1" t="s">
        <v>5887</v>
      </c>
      <c r="C392" s="5">
        <f>CONCATENATE("PD", TEXT(A392, "1000000"))</f>
      </c>
      <c r="D392" s="7">
        <v>74</v>
      </c>
      <c r="E392" s="5">
        <f>XLOOKUP(G392, item_category!C:C, item_category!B:B, "Not Found")</f>
      </c>
      <c r="F392" s="1" t="s">
        <v>5520</v>
      </c>
      <c r="G392" s="5">
        <f>XLOOKUP(I392, drug!B:B, drug!A:A, "Not Found")</f>
      </c>
      <c r="H392" s="1" t="s">
        <v>857</v>
      </c>
      <c r="I392" s="7">
        <v>1</v>
      </c>
      <c r="J392" s="5">
        <f>XLOOKUP(L392, uom!C:C, uom!B:B, "Not Found")</f>
      </c>
      <c r="K392" s="1" t="s">
        <v>5511</v>
      </c>
      <c r="L392" s="5">
        <f>XLOOKUP(N392, uom!C:C, uom!B:B, "Not Found")</f>
      </c>
      <c r="M392" s="1" t="s">
        <v>5511</v>
      </c>
      <c r="N392" s="8" t="s">
        <v>5512</v>
      </c>
      <c r="O392" s="1" t="s">
        <v>5513</v>
      </c>
      <c r="P392" s="5">
        <f>XLOOKUP(R392, classification!C:C, classification!B:B, "Not Found")</f>
      </c>
      <c r="Q392" s="1" t="s">
        <v>5514</v>
      </c>
      <c r="R392" s="2"/>
      <c r="S392" s="2"/>
      <c r="T392" s="2"/>
      <c r="U392" s="2"/>
    </row>
    <row x14ac:dyDescent="0.25" r="393" customHeight="1" ht="17.25">
      <c r="A393" s="7">
        <v>392</v>
      </c>
      <c r="B393" s="1" t="s">
        <v>5888</v>
      </c>
      <c r="C393" s="5">
        <f>CONCATENATE("PD", TEXT(A393, "1000000"))</f>
      </c>
      <c r="D393" s="7">
        <v>74</v>
      </c>
      <c r="E393" s="5">
        <f>XLOOKUP(G393, item_category!C:C, item_category!B:B, "Not Found")</f>
      </c>
      <c r="F393" s="1" t="s">
        <v>5520</v>
      </c>
      <c r="G393" s="5">
        <f>XLOOKUP(I393, drug!B:B, drug!A:A, "Not Found")</f>
      </c>
      <c r="H393" s="1" t="s">
        <v>908</v>
      </c>
      <c r="I393" s="7">
        <v>1</v>
      </c>
      <c r="J393" s="5">
        <f>XLOOKUP(L393, uom!C:C, uom!B:B, "Not Found")</f>
      </c>
      <c r="K393" s="1" t="s">
        <v>5511</v>
      </c>
      <c r="L393" s="5">
        <f>XLOOKUP(N393, uom!C:C, uom!B:B, "Not Found")</f>
      </c>
      <c r="M393" s="1" t="s">
        <v>5511</v>
      </c>
      <c r="N393" s="8" t="s">
        <v>5512</v>
      </c>
      <c r="O393" s="1" t="s">
        <v>5513</v>
      </c>
      <c r="P393" s="5">
        <f>XLOOKUP(R393, classification!C:C, classification!B:B, "Not Found")</f>
      </c>
      <c r="Q393" s="1" t="s">
        <v>5514</v>
      </c>
      <c r="R393" s="2"/>
      <c r="S393" s="2"/>
      <c r="T393" s="2"/>
      <c r="U393" s="2"/>
    </row>
    <row x14ac:dyDescent="0.25" r="394" customHeight="1" ht="17.25">
      <c r="A394" s="7">
        <v>393</v>
      </c>
      <c r="B394" s="1" t="s">
        <v>5889</v>
      </c>
      <c r="C394" s="5">
        <f>CONCATENATE("PD", TEXT(A394, "1000000"))</f>
      </c>
      <c r="D394" s="7">
        <v>74</v>
      </c>
      <c r="E394" s="5">
        <f>XLOOKUP(G394, item_category!C:C, item_category!B:B, "Not Found")</f>
      </c>
      <c r="F394" s="1" t="s">
        <v>5520</v>
      </c>
      <c r="G394" s="5">
        <f>XLOOKUP(I394, drug!B:B, drug!A:A, "Not Found")</f>
      </c>
      <c r="H394" s="1" t="s">
        <v>1770</v>
      </c>
      <c r="I394" s="7">
        <v>1</v>
      </c>
      <c r="J394" s="5">
        <f>XLOOKUP(L394, uom!C:C, uom!B:B, "Not Found")</f>
      </c>
      <c r="K394" s="1" t="s">
        <v>5511</v>
      </c>
      <c r="L394" s="5">
        <f>XLOOKUP(N394, uom!C:C, uom!B:B, "Not Found")</f>
      </c>
      <c r="M394" s="1" t="s">
        <v>5511</v>
      </c>
      <c r="N394" s="8" t="s">
        <v>5512</v>
      </c>
      <c r="O394" s="1" t="s">
        <v>5513</v>
      </c>
      <c r="P394" s="5">
        <f>XLOOKUP(R394, classification!C:C, classification!B:B, "Not Found")</f>
      </c>
      <c r="Q394" s="1" t="s">
        <v>5514</v>
      </c>
      <c r="R394" s="2"/>
      <c r="S394" s="2"/>
      <c r="T394" s="2"/>
      <c r="U394" s="2"/>
    </row>
    <row x14ac:dyDescent="0.25" r="395" customHeight="1" ht="17.25">
      <c r="A395" s="7">
        <v>394</v>
      </c>
      <c r="B395" s="1" t="s">
        <v>5890</v>
      </c>
      <c r="C395" s="5">
        <f>CONCATENATE("PD", TEXT(A395, "1000000"))</f>
      </c>
      <c r="D395" s="7">
        <v>74</v>
      </c>
      <c r="E395" s="5">
        <f>XLOOKUP(G395, item_category!C:C, item_category!B:B, "Not Found")</f>
      </c>
      <c r="F395" s="1" t="s">
        <v>5520</v>
      </c>
      <c r="G395" s="5">
        <f>XLOOKUP(I395, drug!B:B, drug!A:A, "Not Found")</f>
      </c>
      <c r="H395" s="1" t="s">
        <v>1772</v>
      </c>
      <c r="I395" s="7">
        <v>1</v>
      </c>
      <c r="J395" s="5">
        <f>XLOOKUP(L395, uom!C:C, uom!B:B, "Not Found")</f>
      </c>
      <c r="K395" s="1" t="s">
        <v>5511</v>
      </c>
      <c r="L395" s="5">
        <f>XLOOKUP(N395, uom!C:C, uom!B:B, "Not Found")</f>
      </c>
      <c r="M395" s="1" t="s">
        <v>5511</v>
      </c>
      <c r="N395" s="8" t="s">
        <v>5524</v>
      </c>
      <c r="O395" s="1" t="s">
        <v>5525</v>
      </c>
      <c r="P395" s="5">
        <f>XLOOKUP(R395, classification!C:C, classification!B:B, "Not Found")</f>
      </c>
      <c r="Q395" s="1" t="s">
        <v>5514</v>
      </c>
      <c r="R395" s="2"/>
      <c r="S395" s="2"/>
      <c r="T395" s="2"/>
      <c r="U395" s="2"/>
    </row>
    <row x14ac:dyDescent="0.25" r="396" customHeight="1" ht="17.25">
      <c r="A396" s="7">
        <v>395</v>
      </c>
      <c r="B396" s="1" t="s">
        <v>5891</v>
      </c>
      <c r="C396" s="5">
        <f>CONCATENATE("PD", TEXT(A396, "1000000"))</f>
      </c>
      <c r="D396" s="7">
        <v>74</v>
      </c>
      <c r="E396" s="5">
        <f>XLOOKUP(G396, item_category!C:C, item_category!B:B, "Not Found")</f>
      </c>
      <c r="F396" s="1" t="s">
        <v>5520</v>
      </c>
      <c r="G396" s="5">
        <f>XLOOKUP(I396, drug!B:B, drug!A:A, "Not Found")</f>
      </c>
      <c r="H396" s="1" t="s">
        <v>1774</v>
      </c>
      <c r="I396" s="7">
        <v>1</v>
      </c>
      <c r="J396" s="5">
        <f>XLOOKUP(L396, uom!C:C, uom!B:B, "Not Found")</f>
      </c>
      <c r="K396" s="1" t="s">
        <v>5511</v>
      </c>
      <c r="L396" s="5">
        <f>XLOOKUP(N396, uom!C:C, uom!B:B, "Not Found")</f>
      </c>
      <c r="M396" s="1" t="s">
        <v>5511</v>
      </c>
      <c r="N396" s="8" t="s">
        <v>5512</v>
      </c>
      <c r="O396" s="1" t="s">
        <v>5513</v>
      </c>
      <c r="P396" s="5">
        <f>XLOOKUP(R396, classification!C:C, classification!B:B, "Not Found")</f>
      </c>
      <c r="Q396" s="1" t="s">
        <v>5514</v>
      </c>
      <c r="R396" s="2"/>
      <c r="S396" s="2"/>
      <c r="T396" s="2"/>
      <c r="U396" s="2"/>
    </row>
    <row x14ac:dyDescent="0.25" r="397" customHeight="1" ht="17.25">
      <c r="A397" s="7">
        <v>396</v>
      </c>
      <c r="B397" s="1" t="s">
        <v>5892</v>
      </c>
      <c r="C397" s="5">
        <f>CONCATENATE("PD", TEXT(A397, "1000000"))</f>
      </c>
      <c r="D397" s="7">
        <v>74</v>
      </c>
      <c r="E397" s="5">
        <f>XLOOKUP(G397, item_category!C:C, item_category!B:B, "Not Found")</f>
      </c>
      <c r="F397" s="1" t="s">
        <v>5520</v>
      </c>
      <c r="G397" s="5">
        <f>XLOOKUP(I397, drug!B:B, drug!A:A, "Not Found")</f>
      </c>
      <c r="H397" s="1" t="s">
        <v>1774</v>
      </c>
      <c r="I397" s="7">
        <v>1</v>
      </c>
      <c r="J397" s="5">
        <f>XLOOKUP(L397, uom!C:C, uom!B:B, "Not Found")</f>
      </c>
      <c r="K397" s="1" t="s">
        <v>5511</v>
      </c>
      <c r="L397" s="5">
        <f>XLOOKUP(N397, uom!C:C, uom!B:B, "Not Found")</f>
      </c>
      <c r="M397" s="1" t="s">
        <v>5511</v>
      </c>
      <c r="N397" s="8" t="s">
        <v>5512</v>
      </c>
      <c r="O397" s="1" t="s">
        <v>5513</v>
      </c>
      <c r="P397" s="5">
        <f>XLOOKUP(R397, classification!C:C, classification!B:B, "Not Found")</f>
      </c>
      <c r="Q397" s="1" t="s">
        <v>5514</v>
      </c>
      <c r="R397" s="2"/>
      <c r="S397" s="2"/>
      <c r="T397" s="2"/>
      <c r="U397" s="2"/>
    </row>
    <row x14ac:dyDescent="0.25" r="398" customHeight="1" ht="17.25">
      <c r="A398" s="7">
        <v>397</v>
      </c>
      <c r="B398" s="1" t="s">
        <v>5893</v>
      </c>
      <c r="C398" s="5">
        <f>CONCATENATE("PD", TEXT(A398, "1000000"))</f>
      </c>
      <c r="D398" s="7">
        <v>74</v>
      </c>
      <c r="E398" s="5">
        <f>XLOOKUP(G398, item_category!C:C, item_category!B:B, "Not Found")</f>
      </c>
      <c r="F398" s="1" t="s">
        <v>5520</v>
      </c>
      <c r="G398" s="5">
        <f>XLOOKUP(I398, drug!B:B, drug!A:A, "Not Found")</f>
      </c>
      <c r="H398" s="1" t="s">
        <v>1532</v>
      </c>
      <c r="I398" s="7">
        <v>1</v>
      </c>
      <c r="J398" s="5">
        <f>XLOOKUP(L398, uom!C:C, uom!B:B, "Not Found")</f>
      </c>
      <c r="K398" s="1" t="s">
        <v>5511</v>
      </c>
      <c r="L398" s="5">
        <f>XLOOKUP(N398, uom!C:C, uom!B:B, "Not Found")</f>
      </c>
      <c r="M398" s="1" t="s">
        <v>5511</v>
      </c>
      <c r="N398" s="8" t="s">
        <v>5512</v>
      </c>
      <c r="O398" s="1" t="s">
        <v>5513</v>
      </c>
      <c r="P398" s="5">
        <f>XLOOKUP(R398, classification!C:C, classification!B:B, "Not Found")</f>
      </c>
      <c r="Q398" s="1" t="s">
        <v>5514</v>
      </c>
      <c r="R398" s="2"/>
      <c r="S398" s="2"/>
      <c r="T398" s="2"/>
      <c r="U398" s="2"/>
    </row>
    <row x14ac:dyDescent="0.25" r="399" customHeight="1" ht="17.25">
      <c r="A399" s="7">
        <v>398</v>
      </c>
      <c r="B399" s="1" t="s">
        <v>5894</v>
      </c>
      <c r="C399" s="5">
        <f>CONCATENATE("PD", TEXT(A399, "1000000"))</f>
      </c>
      <c r="D399" s="7">
        <v>74</v>
      </c>
      <c r="E399" s="5">
        <f>XLOOKUP(G399, item_category!C:C, item_category!B:B, "Not Found")</f>
      </c>
      <c r="F399" s="1" t="s">
        <v>5520</v>
      </c>
      <c r="G399" s="5">
        <f>XLOOKUP(I399, drug!B:B, drug!A:A, "Not Found")</f>
      </c>
      <c r="H399" s="1" t="s">
        <v>1776</v>
      </c>
      <c r="I399" s="7">
        <v>1</v>
      </c>
      <c r="J399" s="5">
        <f>XLOOKUP(L399, uom!C:C, uom!B:B, "Not Found")</f>
      </c>
      <c r="K399" s="1" t="s">
        <v>5511</v>
      </c>
      <c r="L399" s="5">
        <f>XLOOKUP(N399, uom!C:C, uom!B:B, "Not Found")</f>
      </c>
      <c r="M399" s="1" t="s">
        <v>5511</v>
      </c>
      <c r="N399" s="8" t="s">
        <v>5512</v>
      </c>
      <c r="O399" s="1" t="s">
        <v>5513</v>
      </c>
      <c r="P399" s="5">
        <f>XLOOKUP(R399, classification!C:C, classification!B:B, "Not Found")</f>
      </c>
      <c r="Q399" s="1" t="s">
        <v>5514</v>
      </c>
      <c r="R399" s="2"/>
      <c r="S399" s="2"/>
      <c r="T399" s="2"/>
      <c r="U399" s="2"/>
    </row>
    <row x14ac:dyDescent="0.25" r="400" customHeight="1" ht="17.25">
      <c r="A400" s="7">
        <v>399</v>
      </c>
      <c r="B400" s="1" t="s">
        <v>5895</v>
      </c>
      <c r="C400" s="5">
        <f>CONCATENATE("PD", TEXT(A400, "1000000"))</f>
      </c>
      <c r="D400" s="7">
        <v>74</v>
      </c>
      <c r="E400" s="5">
        <f>XLOOKUP(G400, item_category!C:C, item_category!B:B, "Not Found")</f>
      </c>
      <c r="F400" s="1" t="s">
        <v>5520</v>
      </c>
      <c r="G400" s="5">
        <f>XLOOKUP(I400, drug!B:B, drug!A:A, "Not Found")</f>
      </c>
      <c r="H400" s="1" t="s">
        <v>1778</v>
      </c>
      <c r="I400" s="7">
        <v>1</v>
      </c>
      <c r="J400" s="5">
        <f>XLOOKUP(L400, uom!C:C, uom!B:B, "Not Found")</f>
      </c>
      <c r="K400" s="1" t="s">
        <v>5511</v>
      </c>
      <c r="L400" s="5">
        <f>XLOOKUP(N400, uom!C:C, uom!B:B, "Not Found")</f>
      </c>
      <c r="M400" s="1" t="s">
        <v>5511</v>
      </c>
      <c r="N400" s="8" t="s">
        <v>5512</v>
      </c>
      <c r="O400" s="1" t="s">
        <v>5513</v>
      </c>
      <c r="P400" s="5">
        <f>XLOOKUP(R400, classification!C:C, classification!B:B, "Not Found")</f>
      </c>
      <c r="Q400" s="1" t="s">
        <v>5514</v>
      </c>
      <c r="R400" s="2"/>
      <c r="S400" s="2"/>
      <c r="T400" s="2"/>
      <c r="U400" s="2"/>
    </row>
    <row x14ac:dyDescent="0.25" r="401" customHeight="1" ht="17.25">
      <c r="A401" s="7">
        <v>400</v>
      </c>
      <c r="B401" s="1" t="s">
        <v>5896</v>
      </c>
      <c r="C401" s="5">
        <f>CONCATENATE("PD", TEXT(A401, "1000000"))</f>
      </c>
      <c r="D401" s="7">
        <v>74</v>
      </c>
      <c r="E401" s="5">
        <f>XLOOKUP(G401, item_category!C:C, item_category!B:B, "Not Found")</f>
      </c>
      <c r="F401" s="1" t="s">
        <v>5520</v>
      </c>
      <c r="G401" s="5">
        <f>XLOOKUP(I401, drug!B:B, drug!A:A, "Not Found")</f>
      </c>
      <c r="H401" s="1" t="s">
        <v>1780</v>
      </c>
      <c r="I401" s="7">
        <v>1</v>
      </c>
      <c r="J401" s="5">
        <f>XLOOKUP(L401, uom!C:C, uom!B:B, "Not Found")</f>
      </c>
      <c r="K401" s="1" t="s">
        <v>5511</v>
      </c>
      <c r="L401" s="5">
        <f>XLOOKUP(N401, uom!C:C, uom!B:B, "Not Found")</f>
      </c>
      <c r="M401" s="1" t="s">
        <v>5511</v>
      </c>
      <c r="N401" s="8" t="s">
        <v>5512</v>
      </c>
      <c r="O401" s="1" t="s">
        <v>5513</v>
      </c>
      <c r="P401" s="5">
        <f>XLOOKUP(R401, classification!C:C, classification!B:B, "Not Found")</f>
      </c>
      <c r="Q401" s="1" t="s">
        <v>5514</v>
      </c>
      <c r="R401" s="2"/>
      <c r="S401" s="2"/>
      <c r="T401" s="2"/>
      <c r="U401" s="2"/>
    </row>
    <row x14ac:dyDescent="0.25" r="402" customHeight="1" ht="17.25">
      <c r="A402" s="7">
        <v>401</v>
      </c>
      <c r="B402" s="1" t="s">
        <v>5897</v>
      </c>
      <c r="C402" s="5">
        <f>CONCATENATE("PD", TEXT(A402, "1000000"))</f>
      </c>
      <c r="D402" s="7">
        <v>74</v>
      </c>
      <c r="E402" s="5">
        <f>XLOOKUP(G402, item_category!C:C, item_category!B:B, "Not Found")</f>
      </c>
      <c r="F402" s="1" t="s">
        <v>5520</v>
      </c>
      <c r="G402" s="5">
        <f>XLOOKUP(I402, drug!B:B, drug!A:A, "Not Found")</f>
      </c>
      <c r="H402" s="1" t="s">
        <v>1782</v>
      </c>
      <c r="I402" s="7">
        <v>1</v>
      </c>
      <c r="J402" s="5">
        <f>XLOOKUP(L402, uom!C:C, uom!B:B, "Not Found")</f>
      </c>
      <c r="K402" s="1" t="s">
        <v>5511</v>
      </c>
      <c r="L402" s="5">
        <f>XLOOKUP(N402, uom!C:C, uom!B:B, "Not Found")</f>
      </c>
      <c r="M402" s="1" t="s">
        <v>5511</v>
      </c>
      <c r="N402" s="8" t="s">
        <v>5512</v>
      </c>
      <c r="O402" s="1" t="s">
        <v>5513</v>
      </c>
      <c r="P402" s="5">
        <f>XLOOKUP(R402, classification!C:C, classification!B:B, "Not Found")</f>
      </c>
      <c r="Q402" s="1" t="s">
        <v>5514</v>
      </c>
      <c r="R402" s="2"/>
      <c r="S402" s="2"/>
      <c r="T402" s="2"/>
      <c r="U402" s="2"/>
    </row>
    <row x14ac:dyDescent="0.25" r="403" customHeight="1" ht="17.25">
      <c r="A403" s="7">
        <v>402</v>
      </c>
      <c r="B403" s="1" t="s">
        <v>5898</v>
      </c>
      <c r="C403" s="5">
        <f>CONCATENATE("PD", TEXT(A403, "1000000"))</f>
      </c>
      <c r="D403" s="7">
        <v>1</v>
      </c>
      <c r="E403" s="5">
        <f>XLOOKUP(G403, item_category!C:C, item_category!B:B, "Not Found")</f>
      </c>
      <c r="F403" s="1" t="s">
        <v>5514</v>
      </c>
      <c r="G403" s="5">
        <f>XLOOKUP(I403, drug!B:B, drug!A:A, "Not Found")</f>
      </c>
      <c r="H403" s="1" t="s">
        <v>1784</v>
      </c>
      <c r="I403" s="7">
        <v>10</v>
      </c>
      <c r="J403" s="5">
        <f>XLOOKUP(L403, uom!C:C, uom!B:B, "Not Found")</f>
      </c>
      <c r="K403" s="1" t="s">
        <v>5899</v>
      </c>
      <c r="L403" s="5">
        <f>XLOOKUP(N403, uom!C:C, uom!B:B, "Not Found")</f>
      </c>
      <c r="M403" s="1" t="s">
        <v>5544</v>
      </c>
      <c r="N403" s="8" t="s">
        <v>5524</v>
      </c>
      <c r="O403" s="1" t="s">
        <v>5525</v>
      </c>
      <c r="P403" s="5">
        <f>XLOOKUP(R403, classification!C:C, classification!B:B, "Not Found")</f>
      </c>
      <c r="Q403" s="1" t="s">
        <v>5514</v>
      </c>
      <c r="R403" s="2"/>
      <c r="S403" s="2"/>
      <c r="T403" s="2"/>
      <c r="U403" s="2"/>
    </row>
    <row x14ac:dyDescent="0.25" r="404" customHeight="1" ht="17.25">
      <c r="A404" s="7">
        <v>403</v>
      </c>
      <c r="B404" s="1" t="s">
        <v>5900</v>
      </c>
      <c r="C404" s="5">
        <f>CONCATENATE("PD", TEXT(A404, "1000000"))</f>
      </c>
      <c r="D404" s="7">
        <v>74</v>
      </c>
      <c r="E404" s="5">
        <f>XLOOKUP(G404, item_category!C:C, item_category!B:B, "Not Found")</f>
      </c>
      <c r="F404" s="1" t="s">
        <v>5520</v>
      </c>
      <c r="G404" s="5">
        <f>XLOOKUP(I404, drug!B:B, drug!A:A, "Not Found")</f>
      </c>
      <c r="H404" s="1" t="s">
        <v>1786</v>
      </c>
      <c r="I404" s="7">
        <v>1</v>
      </c>
      <c r="J404" s="5">
        <f>XLOOKUP(L404, uom!C:C, uom!B:B, "Not Found")</f>
      </c>
      <c r="K404" s="1" t="s">
        <v>5511</v>
      </c>
      <c r="L404" s="5">
        <f>XLOOKUP(N404, uom!C:C, uom!B:B, "Not Found")</f>
      </c>
      <c r="M404" s="1" t="s">
        <v>5511</v>
      </c>
      <c r="N404" s="8" t="s">
        <v>5512</v>
      </c>
      <c r="O404" s="1" t="s">
        <v>5513</v>
      </c>
      <c r="P404" s="5">
        <f>XLOOKUP(R404, classification!C:C, classification!B:B, "Not Found")</f>
      </c>
      <c r="Q404" s="1" t="s">
        <v>5514</v>
      </c>
      <c r="R404" s="2"/>
      <c r="S404" s="2"/>
      <c r="T404" s="2"/>
      <c r="U404" s="2"/>
    </row>
    <row x14ac:dyDescent="0.25" r="405" customHeight="1" ht="17.25">
      <c r="A405" s="7">
        <v>404</v>
      </c>
      <c r="B405" s="1" t="s">
        <v>5901</v>
      </c>
      <c r="C405" s="5">
        <f>CONCATENATE("PD", TEXT(A405, "1000000"))</f>
      </c>
      <c r="D405" s="7">
        <v>74</v>
      </c>
      <c r="E405" s="5">
        <f>XLOOKUP(G405, item_category!C:C, item_category!B:B, "Not Found")</f>
      </c>
      <c r="F405" s="1" t="s">
        <v>5520</v>
      </c>
      <c r="G405" s="5">
        <f>XLOOKUP(I405, drug!B:B, drug!A:A, "Not Found")</f>
      </c>
      <c r="H405" s="1" t="s">
        <v>1788</v>
      </c>
      <c r="I405" s="7">
        <v>1</v>
      </c>
      <c r="J405" s="5">
        <f>XLOOKUP(L405, uom!C:C, uom!B:B, "Not Found")</f>
      </c>
      <c r="K405" s="1" t="s">
        <v>5511</v>
      </c>
      <c r="L405" s="5">
        <f>XLOOKUP(N405, uom!C:C, uom!B:B, "Not Found")</f>
      </c>
      <c r="M405" s="1" t="s">
        <v>5511</v>
      </c>
      <c r="N405" s="8" t="s">
        <v>5512</v>
      </c>
      <c r="O405" s="1" t="s">
        <v>5513</v>
      </c>
      <c r="P405" s="5">
        <f>XLOOKUP(R405, classification!C:C, classification!B:B, "Not Found")</f>
      </c>
      <c r="Q405" s="1" t="s">
        <v>5514</v>
      </c>
      <c r="R405" s="2"/>
      <c r="S405" s="2"/>
      <c r="T405" s="2"/>
      <c r="U405" s="2"/>
    </row>
    <row x14ac:dyDescent="0.25" r="406" customHeight="1" ht="17.25">
      <c r="A406" s="7">
        <v>405</v>
      </c>
      <c r="B406" s="1" t="s">
        <v>1790</v>
      </c>
      <c r="C406" s="5">
        <f>CONCATENATE("PD", TEXT(A406, "1000000"))</f>
      </c>
      <c r="D406" s="7">
        <v>74</v>
      </c>
      <c r="E406" s="5">
        <f>XLOOKUP(G406, item_category!C:C, item_category!B:B, "Not Found")</f>
      </c>
      <c r="F406" s="1" t="s">
        <v>5520</v>
      </c>
      <c r="G406" s="5">
        <f>XLOOKUP(I406, drug!B:B, drug!A:A, "Not Found")</f>
      </c>
      <c r="H406" s="1" t="s">
        <v>1790</v>
      </c>
      <c r="I406" s="7">
        <v>1</v>
      </c>
      <c r="J406" s="5">
        <f>XLOOKUP(L406, uom!C:C, uom!B:B, "Not Found")</f>
      </c>
      <c r="K406" s="1" t="s">
        <v>5511</v>
      </c>
      <c r="L406" s="5">
        <f>XLOOKUP(N406, uom!C:C, uom!B:B, "Not Found")</f>
      </c>
      <c r="M406" s="1" t="s">
        <v>5511</v>
      </c>
      <c r="N406" s="8" t="s">
        <v>5512</v>
      </c>
      <c r="O406" s="1" t="s">
        <v>5513</v>
      </c>
      <c r="P406" s="5">
        <f>XLOOKUP(R406, classification!C:C, classification!B:B, "Not Found")</f>
      </c>
      <c r="Q406" s="1" t="s">
        <v>5514</v>
      </c>
      <c r="R406" s="2"/>
      <c r="S406" s="2"/>
      <c r="T406" s="2"/>
      <c r="U406" s="2"/>
    </row>
    <row x14ac:dyDescent="0.25" r="407" customHeight="1" ht="17.25">
      <c r="A407" s="7">
        <v>406</v>
      </c>
      <c r="B407" s="1" t="s">
        <v>5902</v>
      </c>
      <c r="C407" s="5">
        <f>CONCATENATE("PD", TEXT(A407, "1000000"))</f>
      </c>
      <c r="D407" s="7">
        <v>74</v>
      </c>
      <c r="E407" s="5">
        <f>XLOOKUP(G407, item_category!C:C, item_category!B:B, "Not Found")</f>
      </c>
      <c r="F407" s="1" t="s">
        <v>5520</v>
      </c>
      <c r="G407" s="5">
        <f>XLOOKUP(I407, drug!B:B, drug!A:A, "Not Found")</f>
      </c>
      <c r="H407" s="1" t="s">
        <v>1792</v>
      </c>
      <c r="I407" s="7">
        <v>1</v>
      </c>
      <c r="J407" s="5">
        <f>XLOOKUP(L407, uom!C:C, uom!B:B, "Not Found")</f>
      </c>
      <c r="K407" s="1" t="s">
        <v>5511</v>
      </c>
      <c r="L407" s="5">
        <f>XLOOKUP(N407, uom!C:C, uom!B:B, "Not Found")</f>
      </c>
      <c r="M407" s="1" t="s">
        <v>5511</v>
      </c>
      <c r="N407" s="8" t="s">
        <v>5512</v>
      </c>
      <c r="O407" s="1" t="s">
        <v>5513</v>
      </c>
      <c r="P407" s="5">
        <f>XLOOKUP(R407, classification!C:C, classification!B:B, "Not Found")</f>
      </c>
      <c r="Q407" s="1" t="s">
        <v>5514</v>
      </c>
      <c r="R407" s="2"/>
      <c r="S407" s="2"/>
      <c r="T407" s="2"/>
      <c r="U407" s="2"/>
    </row>
    <row x14ac:dyDescent="0.25" r="408" customHeight="1" ht="17.25">
      <c r="A408" s="7">
        <v>407</v>
      </c>
      <c r="B408" s="1" t="s">
        <v>5903</v>
      </c>
      <c r="C408" s="5">
        <f>CONCATENATE("PD", TEXT(A408, "1000000"))</f>
      </c>
      <c r="D408" s="7">
        <v>74</v>
      </c>
      <c r="E408" s="5">
        <f>XLOOKUP(G408, item_category!C:C, item_category!B:B, "Not Found")</f>
      </c>
      <c r="F408" s="1" t="s">
        <v>5520</v>
      </c>
      <c r="G408" s="5">
        <f>XLOOKUP(I408, drug!B:B, drug!A:A, "Not Found")</f>
      </c>
      <c r="H408" s="1" t="s">
        <v>1794</v>
      </c>
      <c r="I408" s="7">
        <v>1</v>
      </c>
      <c r="J408" s="5">
        <f>XLOOKUP(L408, uom!C:C, uom!B:B, "Not Found")</f>
      </c>
      <c r="K408" s="1" t="s">
        <v>5511</v>
      </c>
      <c r="L408" s="5">
        <f>XLOOKUP(N408, uom!C:C, uom!B:B, "Not Found")</f>
      </c>
      <c r="M408" s="1" t="s">
        <v>5511</v>
      </c>
      <c r="N408" s="8" t="s">
        <v>5512</v>
      </c>
      <c r="O408" s="1" t="s">
        <v>5513</v>
      </c>
      <c r="P408" s="5">
        <f>XLOOKUP(R408, classification!C:C, classification!B:B, "Not Found")</f>
      </c>
      <c r="Q408" s="1" t="s">
        <v>5514</v>
      </c>
      <c r="R408" s="2"/>
      <c r="S408" s="2"/>
      <c r="T408" s="2"/>
      <c r="U408" s="2"/>
    </row>
    <row x14ac:dyDescent="0.25" r="409" customHeight="1" ht="17.25">
      <c r="A409" s="7">
        <v>408</v>
      </c>
      <c r="B409" s="1" t="s">
        <v>5904</v>
      </c>
      <c r="C409" s="5">
        <f>CONCATENATE("PD", TEXT(A409, "1000000"))</f>
      </c>
      <c r="D409" s="7">
        <v>74</v>
      </c>
      <c r="E409" s="5">
        <f>XLOOKUP(G409, item_category!C:C, item_category!B:B, "Not Found")</f>
      </c>
      <c r="F409" s="1" t="s">
        <v>5520</v>
      </c>
      <c r="G409" s="5">
        <f>XLOOKUP(I409, drug!B:B, drug!A:A, "Not Found")</f>
      </c>
      <c r="H409" s="1" t="s">
        <v>1796</v>
      </c>
      <c r="I409" s="7">
        <v>1</v>
      </c>
      <c r="J409" s="5">
        <f>XLOOKUP(L409, uom!C:C, uom!B:B, "Not Found")</f>
      </c>
      <c r="K409" s="1" t="s">
        <v>5511</v>
      </c>
      <c r="L409" s="5">
        <f>XLOOKUP(N409, uom!C:C, uom!B:B, "Not Found")</f>
      </c>
      <c r="M409" s="1" t="s">
        <v>5511</v>
      </c>
      <c r="N409" s="8" t="s">
        <v>5512</v>
      </c>
      <c r="O409" s="1" t="s">
        <v>5513</v>
      </c>
      <c r="P409" s="5">
        <f>XLOOKUP(R409, classification!C:C, classification!B:B, "Not Found")</f>
      </c>
      <c r="Q409" s="1" t="s">
        <v>5514</v>
      </c>
      <c r="R409" s="2"/>
      <c r="S409" s="2"/>
      <c r="T409" s="2"/>
      <c r="U409" s="2"/>
    </row>
    <row x14ac:dyDescent="0.25" r="410" customHeight="1" ht="17.25">
      <c r="A410" s="7">
        <v>409</v>
      </c>
      <c r="B410" s="1" t="s">
        <v>5905</v>
      </c>
      <c r="C410" s="5">
        <f>CONCATENATE("PD", TEXT(A410, "1000000"))</f>
      </c>
      <c r="D410" s="7">
        <v>74</v>
      </c>
      <c r="E410" s="5">
        <f>XLOOKUP(G410, item_category!C:C, item_category!B:B, "Not Found")</f>
      </c>
      <c r="F410" s="1" t="s">
        <v>5520</v>
      </c>
      <c r="G410" s="5">
        <f>XLOOKUP(I410, drug!B:B, drug!A:A, "Not Found")</f>
      </c>
      <c r="H410" s="1" t="s">
        <v>1798</v>
      </c>
      <c r="I410" s="7">
        <v>1</v>
      </c>
      <c r="J410" s="5">
        <f>XLOOKUP(L410, uom!C:C, uom!B:B, "Not Found")</f>
      </c>
      <c r="K410" s="1" t="s">
        <v>5511</v>
      </c>
      <c r="L410" s="5">
        <f>XLOOKUP(N410, uom!C:C, uom!B:B, "Not Found")</f>
      </c>
      <c r="M410" s="1" t="s">
        <v>5511</v>
      </c>
      <c r="N410" s="8" t="s">
        <v>5512</v>
      </c>
      <c r="O410" s="1" t="s">
        <v>5513</v>
      </c>
      <c r="P410" s="5">
        <f>XLOOKUP(R410, classification!C:C, classification!B:B, "Not Found")</f>
      </c>
      <c r="Q410" s="1" t="s">
        <v>5514</v>
      </c>
      <c r="R410" s="2"/>
      <c r="S410" s="2"/>
      <c r="T410" s="2"/>
      <c r="U410" s="2"/>
    </row>
    <row x14ac:dyDescent="0.25" r="411" customHeight="1" ht="17.25">
      <c r="A411" s="7">
        <v>410</v>
      </c>
      <c r="B411" s="1" t="s">
        <v>5906</v>
      </c>
      <c r="C411" s="5">
        <f>CONCATENATE("PD", TEXT(A411, "1000000"))</f>
      </c>
      <c r="D411" s="7">
        <v>74</v>
      </c>
      <c r="E411" s="5">
        <f>XLOOKUP(G411, item_category!C:C, item_category!B:B, "Not Found")</f>
      </c>
      <c r="F411" s="1" t="s">
        <v>5520</v>
      </c>
      <c r="G411" s="5">
        <f>XLOOKUP(I411, drug!B:B, drug!A:A, "Not Found")</f>
      </c>
      <c r="H411" s="1" t="s">
        <v>1157</v>
      </c>
      <c r="I411" s="7">
        <v>1</v>
      </c>
      <c r="J411" s="5">
        <f>XLOOKUP(L411, uom!C:C, uom!B:B, "Not Found")</f>
      </c>
      <c r="K411" s="1" t="s">
        <v>5511</v>
      </c>
      <c r="L411" s="5">
        <f>XLOOKUP(N411, uom!C:C, uom!B:B, "Not Found")</f>
      </c>
      <c r="M411" s="1" t="s">
        <v>5511</v>
      </c>
      <c r="N411" s="8" t="s">
        <v>5512</v>
      </c>
      <c r="O411" s="1" t="s">
        <v>5513</v>
      </c>
      <c r="P411" s="5">
        <f>XLOOKUP(R411, classification!C:C, classification!B:B, "Not Found")</f>
      </c>
      <c r="Q411" s="1" t="s">
        <v>5514</v>
      </c>
      <c r="R411" s="2"/>
      <c r="S411" s="2"/>
      <c r="T411" s="2"/>
      <c r="U411" s="2"/>
    </row>
    <row x14ac:dyDescent="0.25" r="412" customHeight="1" ht="17.25">
      <c r="A412" s="7">
        <v>411</v>
      </c>
      <c r="B412" s="1" t="s">
        <v>5907</v>
      </c>
      <c r="C412" s="5">
        <f>CONCATENATE("PD", TEXT(A412, "1000000"))</f>
      </c>
      <c r="D412" s="7">
        <v>74</v>
      </c>
      <c r="E412" s="5">
        <f>XLOOKUP(G412, item_category!C:C, item_category!B:B, "Not Found")</f>
      </c>
      <c r="F412" s="1" t="s">
        <v>5520</v>
      </c>
      <c r="G412" s="5">
        <f>XLOOKUP(I412, drug!B:B, drug!A:A, "Not Found")</f>
      </c>
      <c r="H412" s="1" t="s">
        <v>1800</v>
      </c>
      <c r="I412" s="7">
        <v>1</v>
      </c>
      <c r="J412" s="5">
        <f>XLOOKUP(L412, uom!C:C, uom!B:B, "Not Found")</f>
      </c>
      <c r="K412" s="1" t="s">
        <v>5511</v>
      </c>
      <c r="L412" s="5">
        <f>XLOOKUP(N412, uom!C:C, uom!B:B, "Not Found")</f>
      </c>
      <c r="M412" s="1" t="s">
        <v>5511</v>
      </c>
      <c r="N412" s="8" t="s">
        <v>5512</v>
      </c>
      <c r="O412" s="1" t="s">
        <v>5513</v>
      </c>
      <c r="P412" s="5">
        <f>XLOOKUP(R412, classification!C:C, classification!B:B, "Not Found")</f>
      </c>
      <c r="Q412" s="1" t="s">
        <v>5514</v>
      </c>
      <c r="R412" s="2"/>
      <c r="S412" s="2"/>
      <c r="T412" s="2"/>
      <c r="U412" s="2"/>
    </row>
    <row x14ac:dyDescent="0.25" r="413" customHeight="1" ht="17.25">
      <c r="A413" s="7">
        <v>412</v>
      </c>
      <c r="B413" s="1" t="s">
        <v>5908</v>
      </c>
      <c r="C413" s="5">
        <f>CONCATENATE("PD", TEXT(A413, "1000000"))</f>
      </c>
      <c r="D413" s="7">
        <v>63</v>
      </c>
      <c r="E413" s="5">
        <f>XLOOKUP(G413, item_category!C:C, item_category!B:B, "Not Found")</f>
      </c>
      <c r="F413" s="1" t="s">
        <v>3726</v>
      </c>
      <c r="G413" s="5">
        <f>XLOOKUP(I413, drug!B:B, drug!A:A, "Not Found")</f>
      </c>
      <c r="H413" s="1" t="s">
        <v>1802</v>
      </c>
      <c r="I413" s="7">
        <v>1</v>
      </c>
      <c r="J413" s="5">
        <f>XLOOKUP(L413, uom!C:C, uom!B:B, "Not Found")</f>
      </c>
      <c r="K413" s="1" t="s">
        <v>5511</v>
      </c>
      <c r="L413" s="5">
        <f>XLOOKUP(N413, uom!C:C, uom!B:B, "Not Found")</f>
      </c>
      <c r="M413" s="1" t="s">
        <v>5511</v>
      </c>
      <c r="N413" s="8" t="s">
        <v>5512</v>
      </c>
      <c r="O413" s="1" t="s">
        <v>5513</v>
      </c>
      <c r="P413" s="5">
        <f>XLOOKUP(R413, classification!C:C, classification!B:B, "Not Found")</f>
      </c>
      <c r="Q413" s="1" t="s">
        <v>5514</v>
      </c>
      <c r="R413" s="2"/>
      <c r="S413" s="2"/>
      <c r="T413" s="2"/>
      <c r="U413" s="2"/>
    </row>
    <row x14ac:dyDescent="0.25" r="414" customHeight="1" ht="17.25">
      <c r="A414" s="7">
        <v>413</v>
      </c>
      <c r="B414" s="1" t="s">
        <v>5909</v>
      </c>
      <c r="C414" s="5">
        <f>CONCATENATE("PD", TEXT(A414, "1000000"))</f>
      </c>
      <c r="D414" s="7">
        <v>63</v>
      </c>
      <c r="E414" s="5">
        <f>XLOOKUP(G414, item_category!C:C, item_category!B:B, "Not Found")</f>
      </c>
      <c r="F414" s="1" t="s">
        <v>3726</v>
      </c>
      <c r="G414" s="5">
        <f>XLOOKUP(I414, drug!B:B, drug!A:A, "Not Found")</f>
      </c>
      <c r="H414" s="1" t="s">
        <v>1804</v>
      </c>
      <c r="I414" s="7">
        <v>1</v>
      </c>
      <c r="J414" s="5">
        <f>XLOOKUP(L414, uom!C:C, uom!B:B, "Not Found")</f>
      </c>
      <c r="K414" s="1" t="s">
        <v>5511</v>
      </c>
      <c r="L414" s="5">
        <f>XLOOKUP(N414, uom!C:C, uom!B:B, "Not Found")</f>
      </c>
      <c r="M414" s="1" t="s">
        <v>5511</v>
      </c>
      <c r="N414" s="8" t="s">
        <v>5512</v>
      </c>
      <c r="O414" s="1" t="s">
        <v>5513</v>
      </c>
      <c r="P414" s="5">
        <f>XLOOKUP(R414, classification!C:C, classification!B:B, "Not Found")</f>
      </c>
      <c r="Q414" s="1" t="s">
        <v>5514</v>
      </c>
      <c r="R414" s="2"/>
      <c r="S414" s="2"/>
      <c r="T414" s="2"/>
      <c r="U414" s="2"/>
    </row>
    <row x14ac:dyDescent="0.25" r="415" customHeight="1" ht="17.25">
      <c r="A415" s="7">
        <v>414</v>
      </c>
      <c r="B415" s="1" t="s">
        <v>5910</v>
      </c>
      <c r="C415" s="5">
        <f>CONCATENATE("PD", TEXT(A415, "1000000"))</f>
      </c>
      <c r="D415" s="7">
        <v>63</v>
      </c>
      <c r="E415" s="5">
        <f>XLOOKUP(G415, item_category!C:C, item_category!B:B, "Not Found")</f>
      </c>
      <c r="F415" s="1" t="s">
        <v>3726</v>
      </c>
      <c r="G415" s="5">
        <f>XLOOKUP(I415, drug!B:B, drug!A:A, "Not Found")</f>
      </c>
      <c r="H415" s="1" t="s">
        <v>1806</v>
      </c>
      <c r="I415" s="7">
        <v>1</v>
      </c>
      <c r="J415" s="5">
        <f>XLOOKUP(L415, uom!C:C, uom!B:B, "Not Found")</f>
      </c>
      <c r="K415" s="1" t="s">
        <v>5511</v>
      </c>
      <c r="L415" s="5">
        <f>XLOOKUP(N415, uom!C:C, uom!B:B, "Not Found")</f>
      </c>
      <c r="M415" s="1" t="s">
        <v>5511</v>
      </c>
      <c r="N415" s="8" t="s">
        <v>5512</v>
      </c>
      <c r="O415" s="1" t="s">
        <v>5513</v>
      </c>
      <c r="P415" s="5">
        <f>XLOOKUP(R415, classification!C:C, classification!B:B, "Not Found")</f>
      </c>
      <c r="Q415" s="1" t="s">
        <v>5514</v>
      </c>
      <c r="R415" s="2"/>
      <c r="S415" s="2"/>
      <c r="T415" s="2"/>
      <c r="U415" s="2"/>
    </row>
    <row x14ac:dyDescent="0.25" r="416" customHeight="1" ht="17.25">
      <c r="A416" s="7">
        <v>415</v>
      </c>
      <c r="B416" s="1" t="s">
        <v>5911</v>
      </c>
      <c r="C416" s="5">
        <f>CONCATENATE("PD", TEXT(A416, "1000000"))</f>
      </c>
      <c r="D416" s="7">
        <v>63</v>
      </c>
      <c r="E416" s="5">
        <f>XLOOKUP(G416, item_category!C:C, item_category!B:B, "Not Found")</f>
      </c>
      <c r="F416" s="1" t="s">
        <v>3726</v>
      </c>
      <c r="G416" s="5">
        <f>XLOOKUP(I416, drug!B:B, drug!A:A, "Not Found")</f>
      </c>
      <c r="H416" s="1" t="s">
        <v>1808</v>
      </c>
      <c r="I416" s="7">
        <v>1</v>
      </c>
      <c r="J416" s="5">
        <f>XLOOKUP(L416, uom!C:C, uom!B:B, "Not Found")</f>
      </c>
      <c r="K416" s="1" t="s">
        <v>5511</v>
      </c>
      <c r="L416" s="5">
        <f>XLOOKUP(N416, uom!C:C, uom!B:B, "Not Found")</f>
      </c>
      <c r="M416" s="1" t="s">
        <v>5511</v>
      </c>
      <c r="N416" s="8" t="s">
        <v>5512</v>
      </c>
      <c r="O416" s="1" t="s">
        <v>5513</v>
      </c>
      <c r="P416" s="5">
        <f>XLOOKUP(R416, classification!C:C, classification!B:B, "Not Found")</f>
      </c>
      <c r="Q416" s="1" t="s">
        <v>5514</v>
      </c>
      <c r="R416" s="2"/>
      <c r="S416" s="2"/>
      <c r="T416" s="2"/>
      <c r="U416" s="2"/>
    </row>
    <row x14ac:dyDescent="0.25" r="417" customHeight="1" ht="17.25">
      <c r="A417" s="7">
        <v>416</v>
      </c>
      <c r="B417" s="1" t="s">
        <v>5912</v>
      </c>
      <c r="C417" s="5">
        <f>CONCATENATE("PD", TEXT(A417, "1000000"))</f>
      </c>
      <c r="D417" s="7">
        <v>63</v>
      </c>
      <c r="E417" s="5">
        <f>XLOOKUP(G417, item_category!C:C, item_category!B:B, "Not Found")</f>
      </c>
      <c r="F417" s="1" t="s">
        <v>3726</v>
      </c>
      <c r="G417" s="5">
        <f>XLOOKUP(I417, drug!B:B, drug!A:A, "Not Found")</f>
      </c>
      <c r="H417" s="1" t="s">
        <v>1810</v>
      </c>
      <c r="I417" s="7">
        <v>1</v>
      </c>
      <c r="J417" s="5">
        <f>XLOOKUP(L417, uom!C:C, uom!B:B, "Not Found")</f>
      </c>
      <c r="K417" s="1" t="s">
        <v>5511</v>
      </c>
      <c r="L417" s="5">
        <f>XLOOKUP(N417, uom!C:C, uom!B:B, "Not Found")</f>
      </c>
      <c r="M417" s="1" t="s">
        <v>5511</v>
      </c>
      <c r="N417" s="8" t="s">
        <v>5512</v>
      </c>
      <c r="O417" s="1" t="s">
        <v>5513</v>
      </c>
      <c r="P417" s="5">
        <f>XLOOKUP(R417, classification!C:C, classification!B:B, "Not Found")</f>
      </c>
      <c r="Q417" s="1" t="s">
        <v>5514</v>
      </c>
      <c r="R417" s="2"/>
      <c r="S417" s="2"/>
      <c r="T417" s="2"/>
      <c r="U417" s="2"/>
    </row>
    <row x14ac:dyDescent="0.25" r="418" customHeight="1" ht="17.25">
      <c r="A418" s="7">
        <v>417</v>
      </c>
      <c r="B418" s="1" t="s">
        <v>5913</v>
      </c>
      <c r="C418" s="5">
        <f>CONCATENATE("PD", TEXT(A418, "1000000"))</f>
      </c>
      <c r="D418" s="7">
        <v>63</v>
      </c>
      <c r="E418" s="5">
        <f>XLOOKUP(G418, item_category!C:C, item_category!B:B, "Not Found")</f>
      </c>
      <c r="F418" s="1" t="s">
        <v>3726</v>
      </c>
      <c r="G418" s="5">
        <f>XLOOKUP(I418, drug!B:B, drug!A:A, "Not Found")</f>
      </c>
      <c r="H418" s="1" t="s">
        <v>1812</v>
      </c>
      <c r="I418" s="7">
        <v>1</v>
      </c>
      <c r="J418" s="5">
        <f>XLOOKUP(L418, uom!C:C, uom!B:B, "Not Found")</f>
      </c>
      <c r="K418" s="1" t="s">
        <v>5511</v>
      </c>
      <c r="L418" s="5">
        <f>XLOOKUP(N418, uom!C:C, uom!B:B, "Not Found")</f>
      </c>
      <c r="M418" s="1" t="s">
        <v>5511</v>
      </c>
      <c r="N418" s="8" t="s">
        <v>5512</v>
      </c>
      <c r="O418" s="1" t="s">
        <v>5513</v>
      </c>
      <c r="P418" s="5">
        <f>XLOOKUP(R418, classification!C:C, classification!B:B, "Not Found")</f>
      </c>
      <c r="Q418" s="1" t="s">
        <v>5514</v>
      </c>
      <c r="R418" s="2"/>
      <c r="S418" s="2"/>
      <c r="T418" s="2"/>
      <c r="U418" s="2"/>
    </row>
    <row x14ac:dyDescent="0.25" r="419" customHeight="1" ht="17.25">
      <c r="A419" s="7">
        <v>418</v>
      </c>
      <c r="B419" s="1" t="s">
        <v>5914</v>
      </c>
      <c r="C419" s="5">
        <f>CONCATENATE("PD", TEXT(A419, "1000000"))</f>
      </c>
      <c r="D419" s="7">
        <v>74</v>
      </c>
      <c r="E419" s="5">
        <f>XLOOKUP(G419, item_category!C:C, item_category!B:B, "Not Found")</f>
      </c>
      <c r="F419" s="1" t="s">
        <v>5520</v>
      </c>
      <c r="G419" s="5">
        <f>XLOOKUP(I419, drug!B:B, drug!A:A, "Not Found")</f>
      </c>
      <c r="H419" s="1" t="s">
        <v>1157</v>
      </c>
      <c r="I419" s="7">
        <v>1</v>
      </c>
      <c r="J419" s="5">
        <f>XLOOKUP(L419, uom!C:C, uom!B:B, "Not Found")</f>
      </c>
      <c r="K419" s="1" t="s">
        <v>5544</v>
      </c>
      <c r="L419" s="5">
        <f>XLOOKUP(N419, uom!C:C, uom!B:B, "Not Found")</f>
      </c>
      <c r="M419" s="1" t="s">
        <v>5544</v>
      </c>
      <c r="N419" s="8" t="s">
        <v>5524</v>
      </c>
      <c r="O419" s="1" t="s">
        <v>5525</v>
      </c>
      <c r="P419" s="5">
        <f>XLOOKUP(R419, classification!C:C, classification!B:B, "Not Found")</f>
      </c>
      <c r="Q419" s="1" t="s">
        <v>5514</v>
      </c>
      <c r="R419" s="2"/>
      <c r="S419" s="2"/>
      <c r="T419" s="2"/>
      <c r="U419" s="2"/>
    </row>
    <row x14ac:dyDescent="0.25" r="420" customHeight="1" ht="17.25">
      <c r="A420" s="7">
        <v>419</v>
      </c>
      <c r="B420" s="1" t="s">
        <v>5915</v>
      </c>
      <c r="C420" s="5">
        <f>CONCATENATE("PD", TEXT(A420, "1000000"))</f>
      </c>
      <c r="D420" s="7">
        <v>74</v>
      </c>
      <c r="E420" s="5">
        <f>XLOOKUP(G420, item_category!C:C, item_category!B:B, "Not Found")</f>
      </c>
      <c r="F420" s="1" t="s">
        <v>5520</v>
      </c>
      <c r="G420" s="5">
        <f>XLOOKUP(I420, drug!B:B, drug!A:A, "Not Found")</f>
      </c>
      <c r="H420" s="1" t="s">
        <v>1078</v>
      </c>
      <c r="I420" s="7">
        <v>200</v>
      </c>
      <c r="J420" s="5">
        <f>XLOOKUP(L420, uom!C:C, uom!B:B, "Not Found")</f>
      </c>
      <c r="K420" s="1" t="s">
        <v>5544</v>
      </c>
      <c r="L420" s="5">
        <f>XLOOKUP(N420, uom!C:C, uom!B:B, "Not Found")</f>
      </c>
      <c r="M420" s="1" t="s">
        <v>5544</v>
      </c>
      <c r="N420" s="8" t="s">
        <v>5524</v>
      </c>
      <c r="O420" s="1" t="s">
        <v>5525</v>
      </c>
      <c r="P420" s="5">
        <f>XLOOKUP(R420, classification!C:C, classification!B:B, "Not Found")</f>
      </c>
      <c r="Q420" s="1" t="s">
        <v>5514</v>
      </c>
      <c r="R420" s="2"/>
      <c r="S420" s="2"/>
      <c r="T420" s="2"/>
      <c r="U420" s="2"/>
    </row>
    <row x14ac:dyDescent="0.25" r="421" customHeight="1" ht="17.25">
      <c r="A421" s="7">
        <v>420</v>
      </c>
      <c r="B421" s="1" t="s">
        <v>5916</v>
      </c>
      <c r="C421" s="5">
        <f>CONCATENATE("PD", TEXT(A421, "1000000"))</f>
      </c>
      <c r="D421" s="7">
        <v>63</v>
      </c>
      <c r="E421" s="5">
        <f>XLOOKUP(G421, item_category!C:C, item_category!B:B, "Not Found")</f>
      </c>
      <c r="F421" s="1" t="s">
        <v>3726</v>
      </c>
      <c r="G421" s="5">
        <f>XLOOKUP(I421, drug!B:B, drug!A:A, "Not Found")</f>
      </c>
      <c r="H421" s="1" t="s">
        <v>119</v>
      </c>
      <c r="I421" s="7">
        <v>1</v>
      </c>
      <c r="J421" s="5">
        <f>XLOOKUP(L421, uom!C:C, uom!B:B, "Not Found")</f>
      </c>
      <c r="K421" s="1" t="s">
        <v>5511</v>
      </c>
      <c r="L421" s="5">
        <f>XLOOKUP(N421, uom!C:C, uom!B:B, "Not Found")</f>
      </c>
      <c r="M421" s="1" t="s">
        <v>5511</v>
      </c>
      <c r="N421" s="8" t="s">
        <v>5512</v>
      </c>
      <c r="O421" s="1" t="s">
        <v>5513</v>
      </c>
      <c r="P421" s="5">
        <f>XLOOKUP(R421, classification!C:C, classification!B:B, "Not Found")</f>
      </c>
      <c r="Q421" s="1" t="s">
        <v>5514</v>
      </c>
      <c r="R421" s="2"/>
      <c r="S421" s="2"/>
      <c r="T421" s="2"/>
      <c r="U421" s="2"/>
    </row>
    <row x14ac:dyDescent="0.25" r="422" customHeight="1" ht="17.25">
      <c r="A422" s="7">
        <v>421</v>
      </c>
      <c r="B422" s="1" t="s">
        <v>5917</v>
      </c>
      <c r="C422" s="5">
        <f>CONCATENATE("PD", TEXT(A422, "1000000"))</f>
      </c>
      <c r="D422" s="7">
        <v>63</v>
      </c>
      <c r="E422" s="5">
        <f>XLOOKUP(G422, item_category!C:C, item_category!B:B, "Not Found")</f>
      </c>
      <c r="F422" s="1" t="s">
        <v>3726</v>
      </c>
      <c r="G422" s="5">
        <f>XLOOKUP(I422, drug!B:B, drug!A:A, "Not Found")</f>
      </c>
      <c r="H422" s="1" t="s">
        <v>1814</v>
      </c>
      <c r="I422" s="7">
        <v>1</v>
      </c>
      <c r="J422" s="5">
        <f>XLOOKUP(L422, uom!C:C, uom!B:B, "Not Found")</f>
      </c>
      <c r="K422" s="1" t="s">
        <v>5511</v>
      </c>
      <c r="L422" s="5">
        <f>XLOOKUP(N422, uom!C:C, uom!B:B, "Not Found")</f>
      </c>
      <c r="M422" s="1" t="s">
        <v>5511</v>
      </c>
      <c r="N422" s="8" t="s">
        <v>5512</v>
      </c>
      <c r="O422" s="1" t="s">
        <v>5513</v>
      </c>
      <c r="P422" s="5">
        <f>XLOOKUP(R422, classification!C:C, classification!B:B, "Not Found")</f>
      </c>
      <c r="Q422" s="1" t="s">
        <v>5514</v>
      </c>
      <c r="R422" s="2"/>
      <c r="S422" s="2"/>
      <c r="T422" s="2"/>
      <c r="U422" s="2"/>
    </row>
    <row x14ac:dyDescent="0.25" r="423" customHeight="1" ht="17.25">
      <c r="A423" s="7">
        <v>422</v>
      </c>
      <c r="B423" s="1" t="s">
        <v>5918</v>
      </c>
      <c r="C423" s="5">
        <f>CONCATENATE("PD", TEXT(A423, "1000000"))</f>
      </c>
      <c r="D423" s="7">
        <v>63</v>
      </c>
      <c r="E423" s="5">
        <f>XLOOKUP(G423, item_category!C:C, item_category!B:B, "Not Found")</f>
      </c>
      <c r="F423" s="1" t="s">
        <v>3726</v>
      </c>
      <c r="G423" s="5">
        <f>XLOOKUP(I423, drug!B:B, drug!A:A, "Not Found")</f>
      </c>
      <c r="H423" s="1" t="s">
        <v>1816</v>
      </c>
      <c r="I423" s="7">
        <v>1</v>
      </c>
      <c r="J423" s="5">
        <f>XLOOKUP(L423, uom!C:C, uom!B:B, "Not Found")</f>
      </c>
      <c r="K423" s="1" t="s">
        <v>5511</v>
      </c>
      <c r="L423" s="5">
        <f>XLOOKUP(N423, uom!C:C, uom!B:B, "Not Found")</f>
      </c>
      <c r="M423" s="1" t="s">
        <v>5511</v>
      </c>
      <c r="N423" s="8" t="s">
        <v>5512</v>
      </c>
      <c r="O423" s="1" t="s">
        <v>5513</v>
      </c>
      <c r="P423" s="5">
        <f>XLOOKUP(R423, classification!C:C, classification!B:B, "Not Found")</f>
      </c>
      <c r="Q423" s="1" t="s">
        <v>5514</v>
      </c>
      <c r="R423" s="2"/>
      <c r="S423" s="2"/>
      <c r="T423" s="2"/>
      <c r="U423" s="2"/>
    </row>
    <row x14ac:dyDescent="0.25" r="424" customHeight="1" ht="17.25">
      <c r="A424" s="7">
        <v>423</v>
      </c>
      <c r="B424" s="1" t="s">
        <v>1818</v>
      </c>
      <c r="C424" s="5">
        <f>CONCATENATE("PD", TEXT(A424, "1000000"))</f>
      </c>
      <c r="D424" s="7">
        <v>63</v>
      </c>
      <c r="E424" s="5">
        <f>XLOOKUP(G424, item_category!C:C, item_category!B:B, "Not Found")</f>
      </c>
      <c r="F424" s="1" t="s">
        <v>3726</v>
      </c>
      <c r="G424" s="5">
        <f>XLOOKUP(I424, drug!B:B, drug!A:A, "Not Found")</f>
      </c>
      <c r="H424" s="1" t="s">
        <v>1818</v>
      </c>
      <c r="I424" s="7">
        <v>1</v>
      </c>
      <c r="J424" s="5">
        <f>XLOOKUP(L424, uom!C:C, uom!B:B, "Not Found")</f>
      </c>
      <c r="K424" s="1" t="s">
        <v>5511</v>
      </c>
      <c r="L424" s="5">
        <f>XLOOKUP(N424, uom!C:C, uom!B:B, "Not Found")</f>
      </c>
      <c r="M424" s="1" t="s">
        <v>5511</v>
      </c>
      <c r="N424" s="8" t="s">
        <v>5512</v>
      </c>
      <c r="O424" s="1" t="s">
        <v>5513</v>
      </c>
      <c r="P424" s="5">
        <f>XLOOKUP(R424, classification!C:C, classification!B:B, "Not Found")</f>
      </c>
      <c r="Q424" s="1" t="s">
        <v>5514</v>
      </c>
      <c r="R424" s="2"/>
      <c r="S424" s="2"/>
      <c r="T424" s="2"/>
      <c r="U424" s="2"/>
    </row>
    <row x14ac:dyDescent="0.25" r="425" customHeight="1" ht="17.25">
      <c r="A425" s="7">
        <v>424</v>
      </c>
      <c r="B425" s="1" t="s">
        <v>5919</v>
      </c>
      <c r="C425" s="5">
        <f>CONCATENATE("PD", TEXT(A425, "1000000"))</f>
      </c>
      <c r="D425" s="7">
        <v>63</v>
      </c>
      <c r="E425" s="5">
        <f>XLOOKUP(G425, item_category!C:C, item_category!B:B, "Not Found")</f>
      </c>
      <c r="F425" s="1" t="s">
        <v>3726</v>
      </c>
      <c r="G425" s="5">
        <f>XLOOKUP(I425, drug!B:B, drug!A:A, "Not Found")</f>
      </c>
      <c r="H425" s="1" t="s">
        <v>1820</v>
      </c>
      <c r="I425" s="7">
        <v>1</v>
      </c>
      <c r="J425" s="5">
        <f>XLOOKUP(L425, uom!C:C, uom!B:B, "Not Found")</f>
      </c>
      <c r="K425" s="1" t="s">
        <v>5511</v>
      </c>
      <c r="L425" s="5">
        <f>XLOOKUP(N425, uom!C:C, uom!B:B, "Not Found")</f>
      </c>
      <c r="M425" s="1" t="s">
        <v>5511</v>
      </c>
      <c r="N425" s="8" t="s">
        <v>5512</v>
      </c>
      <c r="O425" s="1" t="s">
        <v>5513</v>
      </c>
      <c r="P425" s="5">
        <f>XLOOKUP(R425, classification!C:C, classification!B:B, "Not Found")</f>
      </c>
      <c r="Q425" s="1" t="s">
        <v>5514</v>
      </c>
      <c r="R425" s="2"/>
      <c r="S425" s="2"/>
      <c r="T425" s="2"/>
      <c r="U425" s="2"/>
    </row>
    <row x14ac:dyDescent="0.25" r="426" customHeight="1" ht="17.25">
      <c r="A426" s="7">
        <v>425</v>
      </c>
      <c r="B426" s="1" t="s">
        <v>5920</v>
      </c>
      <c r="C426" s="5">
        <f>CONCATENATE("PD", TEXT(A426, "1000000"))</f>
      </c>
      <c r="D426" s="7">
        <v>63</v>
      </c>
      <c r="E426" s="5">
        <f>XLOOKUP(G426, item_category!C:C, item_category!B:B, "Not Found")</f>
      </c>
      <c r="F426" s="1" t="s">
        <v>3726</v>
      </c>
      <c r="G426" s="5">
        <f>XLOOKUP(I426, drug!B:B, drug!A:A, "Not Found")</f>
      </c>
      <c r="H426" s="1" t="s">
        <v>1822</v>
      </c>
      <c r="I426" s="7">
        <v>1</v>
      </c>
      <c r="J426" s="5">
        <f>XLOOKUP(L426, uom!C:C, uom!B:B, "Not Found")</f>
      </c>
      <c r="K426" s="1" t="s">
        <v>5511</v>
      </c>
      <c r="L426" s="5">
        <f>XLOOKUP(N426, uom!C:C, uom!B:B, "Not Found")</f>
      </c>
      <c r="M426" s="1" t="s">
        <v>5511</v>
      </c>
      <c r="N426" s="8" t="s">
        <v>5512</v>
      </c>
      <c r="O426" s="1" t="s">
        <v>5513</v>
      </c>
      <c r="P426" s="5">
        <f>XLOOKUP(R426, classification!C:C, classification!B:B, "Not Found")</f>
      </c>
      <c r="Q426" s="1" t="s">
        <v>5514</v>
      </c>
      <c r="R426" s="2"/>
      <c r="S426" s="2"/>
      <c r="T426" s="2"/>
      <c r="U426" s="2"/>
    </row>
    <row x14ac:dyDescent="0.25" r="427" customHeight="1" ht="17.25">
      <c r="A427" s="7">
        <v>426</v>
      </c>
      <c r="B427" s="1" t="s">
        <v>5921</v>
      </c>
      <c r="C427" s="5">
        <f>CONCATENATE("PD", TEXT(A427, "1000000"))</f>
      </c>
      <c r="D427" s="7">
        <v>63</v>
      </c>
      <c r="E427" s="5">
        <f>XLOOKUP(G427, item_category!C:C, item_category!B:B, "Not Found")</f>
      </c>
      <c r="F427" s="1" t="s">
        <v>3726</v>
      </c>
      <c r="G427" s="5">
        <f>XLOOKUP(I427, drug!B:B, drug!A:A, "Not Found")</f>
      </c>
      <c r="H427" s="1" t="s">
        <v>245</v>
      </c>
      <c r="I427" s="7">
        <v>1</v>
      </c>
      <c r="J427" s="5">
        <f>XLOOKUP(L427, uom!C:C, uom!B:B, "Not Found")</f>
      </c>
      <c r="K427" s="1" t="s">
        <v>5511</v>
      </c>
      <c r="L427" s="5">
        <f>XLOOKUP(N427, uom!C:C, uom!B:B, "Not Found")</f>
      </c>
      <c r="M427" s="1" t="s">
        <v>5511</v>
      </c>
      <c r="N427" s="8" t="s">
        <v>5512</v>
      </c>
      <c r="O427" s="1" t="s">
        <v>5513</v>
      </c>
      <c r="P427" s="5">
        <f>XLOOKUP(R427, classification!C:C, classification!B:B, "Not Found")</f>
      </c>
      <c r="Q427" s="1" t="s">
        <v>5514</v>
      </c>
      <c r="R427" s="2"/>
      <c r="S427" s="2"/>
      <c r="T427" s="2"/>
      <c r="U427" s="2"/>
    </row>
    <row x14ac:dyDescent="0.25" r="428" customHeight="1" ht="17.25">
      <c r="A428" s="7">
        <v>427</v>
      </c>
      <c r="B428" s="1" t="s">
        <v>5922</v>
      </c>
      <c r="C428" s="5">
        <f>CONCATENATE("PD", TEXT(A428, "1000000"))</f>
      </c>
      <c r="D428" s="7">
        <v>63</v>
      </c>
      <c r="E428" s="5">
        <f>XLOOKUP(G428, item_category!C:C, item_category!B:B, "Not Found")</f>
      </c>
      <c r="F428" s="1" t="s">
        <v>3726</v>
      </c>
      <c r="G428" s="5">
        <f>XLOOKUP(I428, drug!B:B, drug!A:A, "Not Found")</f>
      </c>
      <c r="H428" s="1" t="s">
        <v>1824</v>
      </c>
      <c r="I428" s="7">
        <v>1</v>
      </c>
      <c r="J428" s="5">
        <f>XLOOKUP(L428, uom!C:C, uom!B:B, "Not Found")</f>
      </c>
      <c r="K428" s="1" t="s">
        <v>5511</v>
      </c>
      <c r="L428" s="5">
        <f>XLOOKUP(N428, uom!C:C, uom!B:B, "Not Found")</f>
      </c>
      <c r="M428" s="1" t="s">
        <v>5511</v>
      </c>
      <c r="N428" s="8" t="s">
        <v>5512</v>
      </c>
      <c r="O428" s="1" t="s">
        <v>5513</v>
      </c>
      <c r="P428" s="5">
        <f>XLOOKUP(R428, classification!C:C, classification!B:B, "Not Found")</f>
      </c>
      <c r="Q428" s="1" t="s">
        <v>5514</v>
      </c>
      <c r="R428" s="2"/>
      <c r="S428" s="2"/>
      <c r="T428" s="2"/>
      <c r="U428" s="2"/>
    </row>
    <row x14ac:dyDescent="0.25" r="429" customHeight="1" ht="17.25">
      <c r="A429" s="7">
        <v>428</v>
      </c>
      <c r="B429" s="1" t="s">
        <v>5923</v>
      </c>
      <c r="C429" s="5">
        <f>CONCATENATE("PD", TEXT(A429, "1000000"))</f>
      </c>
      <c r="D429" s="7">
        <v>63</v>
      </c>
      <c r="E429" s="5">
        <f>XLOOKUP(G429, item_category!C:C, item_category!B:B, "Not Found")</f>
      </c>
      <c r="F429" s="1" t="s">
        <v>3726</v>
      </c>
      <c r="G429" s="5">
        <f>XLOOKUP(I429, drug!B:B, drug!A:A, "Not Found")</f>
      </c>
      <c r="H429" s="1" t="s">
        <v>1826</v>
      </c>
      <c r="I429" s="7">
        <v>1</v>
      </c>
      <c r="J429" s="5">
        <f>XLOOKUP(L429, uom!C:C, uom!B:B, "Not Found")</f>
      </c>
      <c r="K429" s="1" t="s">
        <v>5511</v>
      </c>
      <c r="L429" s="5">
        <f>XLOOKUP(N429, uom!C:C, uom!B:B, "Not Found")</f>
      </c>
      <c r="M429" s="1" t="s">
        <v>5511</v>
      </c>
      <c r="N429" s="8" t="s">
        <v>5512</v>
      </c>
      <c r="O429" s="1" t="s">
        <v>5513</v>
      </c>
      <c r="P429" s="5">
        <f>XLOOKUP(R429, classification!C:C, classification!B:B, "Not Found")</f>
      </c>
      <c r="Q429" s="1" t="s">
        <v>5514</v>
      </c>
      <c r="R429" s="2"/>
      <c r="S429" s="2"/>
      <c r="T429" s="2"/>
      <c r="U429" s="2"/>
    </row>
    <row x14ac:dyDescent="0.25" r="430" customHeight="1" ht="17.25">
      <c r="A430" s="7">
        <v>429</v>
      </c>
      <c r="B430" s="1" t="s">
        <v>5924</v>
      </c>
      <c r="C430" s="5">
        <f>CONCATENATE("PD", TEXT(A430, "1000000"))</f>
      </c>
      <c r="D430" s="7">
        <v>63</v>
      </c>
      <c r="E430" s="5">
        <f>XLOOKUP(G430, item_category!C:C, item_category!B:B, "Not Found")</f>
      </c>
      <c r="F430" s="1" t="s">
        <v>3726</v>
      </c>
      <c r="G430" s="5">
        <f>XLOOKUP(I430, drug!B:B, drug!A:A, "Not Found")</f>
      </c>
      <c r="H430" s="1" t="s">
        <v>1828</v>
      </c>
      <c r="I430" s="7">
        <v>1</v>
      </c>
      <c r="J430" s="5">
        <f>XLOOKUP(L430, uom!C:C, uom!B:B, "Not Found")</f>
      </c>
      <c r="K430" s="1" t="s">
        <v>5511</v>
      </c>
      <c r="L430" s="5">
        <f>XLOOKUP(N430, uom!C:C, uom!B:B, "Not Found")</f>
      </c>
      <c r="M430" s="1" t="s">
        <v>5511</v>
      </c>
      <c r="N430" s="8" t="s">
        <v>5512</v>
      </c>
      <c r="O430" s="1" t="s">
        <v>5513</v>
      </c>
      <c r="P430" s="5">
        <f>XLOOKUP(R430, classification!C:C, classification!B:B, "Not Found")</f>
      </c>
      <c r="Q430" s="1" t="s">
        <v>5514</v>
      </c>
      <c r="R430" s="2"/>
      <c r="S430" s="2"/>
      <c r="T430" s="2"/>
      <c r="U430" s="2"/>
    </row>
    <row x14ac:dyDescent="0.25" r="431" customHeight="1" ht="17.25">
      <c r="A431" s="7">
        <v>430</v>
      </c>
      <c r="B431" s="1" t="s">
        <v>5925</v>
      </c>
      <c r="C431" s="5">
        <f>CONCATENATE("PD", TEXT(A431, "1000000"))</f>
      </c>
      <c r="D431" s="7">
        <v>63</v>
      </c>
      <c r="E431" s="5">
        <f>XLOOKUP(G431, item_category!C:C, item_category!B:B, "Not Found")</f>
      </c>
      <c r="F431" s="1" t="s">
        <v>3726</v>
      </c>
      <c r="G431" s="5">
        <f>XLOOKUP(I431, drug!B:B, drug!A:A, "Not Found")</f>
      </c>
      <c r="H431" s="1" t="s">
        <v>1830</v>
      </c>
      <c r="I431" s="7">
        <v>1</v>
      </c>
      <c r="J431" s="5">
        <f>XLOOKUP(L431, uom!C:C, uom!B:B, "Not Found")</f>
      </c>
      <c r="K431" s="1" t="s">
        <v>5511</v>
      </c>
      <c r="L431" s="5">
        <f>XLOOKUP(N431, uom!C:C, uom!B:B, "Not Found")</f>
      </c>
      <c r="M431" s="1" t="s">
        <v>5511</v>
      </c>
      <c r="N431" s="8" t="s">
        <v>5512</v>
      </c>
      <c r="O431" s="1" t="s">
        <v>5513</v>
      </c>
      <c r="P431" s="5">
        <f>XLOOKUP(R431, classification!C:C, classification!B:B, "Not Found")</f>
      </c>
      <c r="Q431" s="1" t="s">
        <v>5514</v>
      </c>
      <c r="R431" s="2"/>
      <c r="S431" s="2"/>
      <c r="T431" s="2"/>
      <c r="U431" s="2"/>
    </row>
    <row x14ac:dyDescent="0.25" r="432" customHeight="1" ht="17.25">
      <c r="A432" s="7">
        <v>431</v>
      </c>
      <c r="B432" s="1" t="s">
        <v>5926</v>
      </c>
      <c r="C432" s="5">
        <f>CONCATENATE("PD", TEXT(A432, "1000000"))</f>
      </c>
      <c r="D432" s="7">
        <v>63</v>
      </c>
      <c r="E432" s="5">
        <f>XLOOKUP(G432, item_category!C:C, item_category!B:B, "Not Found")</f>
      </c>
      <c r="F432" s="1" t="s">
        <v>3726</v>
      </c>
      <c r="G432" s="5">
        <f>XLOOKUP(I432, drug!B:B, drug!A:A, "Not Found")</f>
      </c>
      <c r="H432" s="1" t="s">
        <v>1832</v>
      </c>
      <c r="I432" s="7">
        <v>1</v>
      </c>
      <c r="J432" s="5">
        <f>XLOOKUP(L432, uom!C:C, uom!B:B, "Not Found")</f>
      </c>
      <c r="K432" s="1" t="s">
        <v>5511</v>
      </c>
      <c r="L432" s="5">
        <f>XLOOKUP(N432, uom!C:C, uom!B:B, "Not Found")</f>
      </c>
      <c r="M432" s="1" t="s">
        <v>5511</v>
      </c>
      <c r="N432" s="8" t="s">
        <v>5512</v>
      </c>
      <c r="O432" s="1" t="s">
        <v>5513</v>
      </c>
      <c r="P432" s="5">
        <f>XLOOKUP(R432, classification!C:C, classification!B:B, "Not Found")</f>
      </c>
      <c r="Q432" s="1" t="s">
        <v>5514</v>
      </c>
      <c r="R432" s="2"/>
      <c r="S432" s="2"/>
      <c r="T432" s="2"/>
      <c r="U432" s="2"/>
    </row>
    <row x14ac:dyDescent="0.25" r="433" customHeight="1" ht="17.25">
      <c r="A433" s="7">
        <v>432</v>
      </c>
      <c r="B433" s="1" t="s">
        <v>5927</v>
      </c>
      <c r="C433" s="5">
        <f>CONCATENATE("PD", TEXT(A433, "1000000"))</f>
      </c>
      <c r="D433" s="7">
        <v>63</v>
      </c>
      <c r="E433" s="5">
        <f>XLOOKUP(G433, item_category!C:C, item_category!B:B, "Not Found")</f>
      </c>
      <c r="F433" s="1" t="s">
        <v>3726</v>
      </c>
      <c r="G433" s="5">
        <f>XLOOKUP(I433, drug!B:B, drug!A:A, "Not Found")</f>
      </c>
      <c r="H433" s="1" t="s">
        <v>1834</v>
      </c>
      <c r="I433" s="7">
        <v>1</v>
      </c>
      <c r="J433" s="5">
        <f>XLOOKUP(L433, uom!C:C, uom!B:B, "Not Found")</f>
      </c>
      <c r="K433" s="1" t="s">
        <v>5511</v>
      </c>
      <c r="L433" s="5">
        <f>XLOOKUP(N433, uom!C:C, uom!B:B, "Not Found")</f>
      </c>
      <c r="M433" s="1" t="s">
        <v>5511</v>
      </c>
      <c r="N433" s="8" t="s">
        <v>5512</v>
      </c>
      <c r="O433" s="1" t="s">
        <v>5513</v>
      </c>
      <c r="P433" s="5">
        <f>XLOOKUP(R433, classification!C:C, classification!B:B, "Not Found")</f>
      </c>
      <c r="Q433" s="1" t="s">
        <v>5514</v>
      </c>
      <c r="R433" s="2"/>
      <c r="S433" s="2"/>
      <c r="T433" s="2"/>
      <c r="U433" s="2"/>
    </row>
    <row x14ac:dyDescent="0.25" r="434" customHeight="1" ht="17.25">
      <c r="A434" s="7">
        <v>433</v>
      </c>
      <c r="B434" s="1" t="s">
        <v>5928</v>
      </c>
      <c r="C434" s="5">
        <f>CONCATENATE("PD", TEXT(A434, "1000000"))</f>
      </c>
      <c r="D434" s="7">
        <v>63</v>
      </c>
      <c r="E434" s="5">
        <f>XLOOKUP(G434, item_category!C:C, item_category!B:B, "Not Found")</f>
      </c>
      <c r="F434" s="1" t="s">
        <v>3726</v>
      </c>
      <c r="G434" s="5">
        <f>XLOOKUP(I434, drug!B:B, drug!A:A, "Not Found")</f>
      </c>
      <c r="H434" s="1" t="s">
        <v>1836</v>
      </c>
      <c r="I434" s="7">
        <v>1</v>
      </c>
      <c r="J434" s="5">
        <f>XLOOKUP(L434, uom!C:C, uom!B:B, "Not Found")</f>
      </c>
      <c r="K434" s="1" t="s">
        <v>5511</v>
      </c>
      <c r="L434" s="5">
        <f>XLOOKUP(N434, uom!C:C, uom!B:B, "Not Found")</f>
      </c>
      <c r="M434" s="1" t="s">
        <v>5511</v>
      </c>
      <c r="N434" s="8" t="s">
        <v>5512</v>
      </c>
      <c r="O434" s="1" t="s">
        <v>5513</v>
      </c>
      <c r="P434" s="5">
        <f>XLOOKUP(R434, classification!C:C, classification!B:B, "Not Found")</f>
      </c>
      <c r="Q434" s="1" t="s">
        <v>5514</v>
      </c>
      <c r="R434" s="2"/>
      <c r="S434" s="2"/>
      <c r="T434" s="2"/>
      <c r="U434" s="2"/>
    </row>
    <row x14ac:dyDescent="0.25" r="435" customHeight="1" ht="17.25">
      <c r="A435" s="7">
        <v>434</v>
      </c>
      <c r="B435" s="1" t="s">
        <v>5929</v>
      </c>
      <c r="C435" s="5">
        <f>CONCATENATE("PD", TEXT(A435, "1000000"))</f>
      </c>
      <c r="D435" s="7">
        <v>63</v>
      </c>
      <c r="E435" s="5">
        <f>XLOOKUP(G435, item_category!C:C, item_category!B:B, "Not Found")</f>
      </c>
      <c r="F435" s="1" t="s">
        <v>3726</v>
      </c>
      <c r="G435" s="5">
        <f>XLOOKUP(I435, drug!B:B, drug!A:A, "Not Found")</f>
      </c>
      <c r="H435" s="1" t="s">
        <v>1838</v>
      </c>
      <c r="I435" s="7">
        <v>1</v>
      </c>
      <c r="J435" s="5">
        <f>XLOOKUP(L435, uom!C:C, uom!B:B, "Not Found")</f>
      </c>
      <c r="K435" s="1" t="s">
        <v>5511</v>
      </c>
      <c r="L435" s="5">
        <f>XLOOKUP(N435, uom!C:C, uom!B:B, "Not Found")</f>
      </c>
      <c r="M435" s="1" t="s">
        <v>5511</v>
      </c>
      <c r="N435" s="8" t="s">
        <v>5512</v>
      </c>
      <c r="O435" s="1" t="s">
        <v>5513</v>
      </c>
      <c r="P435" s="5">
        <f>XLOOKUP(R435, classification!C:C, classification!B:B, "Not Found")</f>
      </c>
      <c r="Q435" s="1" t="s">
        <v>5514</v>
      </c>
      <c r="R435" s="2"/>
      <c r="S435" s="2"/>
      <c r="T435" s="2"/>
      <c r="U435" s="2"/>
    </row>
    <row x14ac:dyDescent="0.25" r="436" customHeight="1" ht="17.25">
      <c r="A436" s="7">
        <v>435</v>
      </c>
      <c r="B436" s="1" t="s">
        <v>5930</v>
      </c>
      <c r="C436" s="5">
        <f>CONCATENATE("PD", TEXT(A436, "1000000"))</f>
      </c>
      <c r="D436" s="7">
        <v>63</v>
      </c>
      <c r="E436" s="5">
        <f>XLOOKUP(G436, item_category!C:C, item_category!B:B, "Not Found")</f>
      </c>
      <c r="F436" s="1" t="s">
        <v>3726</v>
      </c>
      <c r="G436" s="5">
        <f>XLOOKUP(I436, drug!B:B, drug!A:A, "Not Found")</f>
      </c>
      <c r="H436" s="1" t="s">
        <v>1840</v>
      </c>
      <c r="I436" s="7">
        <v>1</v>
      </c>
      <c r="J436" s="5">
        <f>XLOOKUP(L436, uom!C:C, uom!B:B, "Not Found")</f>
      </c>
      <c r="K436" s="1" t="s">
        <v>5511</v>
      </c>
      <c r="L436" s="5">
        <f>XLOOKUP(N436, uom!C:C, uom!B:B, "Not Found")</f>
      </c>
      <c r="M436" s="1" t="s">
        <v>5511</v>
      </c>
      <c r="N436" s="8" t="s">
        <v>5512</v>
      </c>
      <c r="O436" s="1" t="s">
        <v>5513</v>
      </c>
      <c r="P436" s="5">
        <f>XLOOKUP(R436, classification!C:C, classification!B:B, "Not Found")</f>
      </c>
      <c r="Q436" s="1" t="s">
        <v>5514</v>
      </c>
      <c r="R436" s="2"/>
      <c r="S436" s="2"/>
      <c r="T436" s="2"/>
      <c r="U436" s="2"/>
    </row>
    <row x14ac:dyDescent="0.25" r="437" customHeight="1" ht="17.25">
      <c r="A437" s="7">
        <v>436</v>
      </c>
      <c r="B437" s="1" t="s">
        <v>1842</v>
      </c>
      <c r="C437" s="5">
        <f>CONCATENATE("PD", TEXT(A437, "1000000"))</f>
      </c>
      <c r="D437" s="7">
        <v>63</v>
      </c>
      <c r="E437" s="5">
        <f>XLOOKUP(G437, item_category!C:C, item_category!B:B, "Not Found")</f>
      </c>
      <c r="F437" s="1" t="s">
        <v>3726</v>
      </c>
      <c r="G437" s="5">
        <f>XLOOKUP(I437, drug!B:B, drug!A:A, "Not Found")</f>
      </c>
      <c r="H437" s="1" t="s">
        <v>1842</v>
      </c>
      <c r="I437" s="7">
        <v>1</v>
      </c>
      <c r="J437" s="5">
        <f>XLOOKUP(L437, uom!C:C, uom!B:B, "Not Found")</f>
      </c>
      <c r="K437" s="1" t="s">
        <v>5511</v>
      </c>
      <c r="L437" s="5">
        <f>XLOOKUP(N437, uom!C:C, uom!B:B, "Not Found")</f>
      </c>
      <c r="M437" s="1" t="s">
        <v>5511</v>
      </c>
      <c r="N437" s="8" t="s">
        <v>5512</v>
      </c>
      <c r="O437" s="1" t="s">
        <v>5513</v>
      </c>
      <c r="P437" s="5">
        <f>XLOOKUP(R437, classification!C:C, classification!B:B, "Not Found")</f>
      </c>
      <c r="Q437" s="1" t="s">
        <v>5514</v>
      </c>
      <c r="R437" s="2"/>
      <c r="S437" s="2"/>
      <c r="T437" s="2"/>
      <c r="U437" s="2"/>
    </row>
    <row x14ac:dyDescent="0.25" r="438" customHeight="1" ht="17.25">
      <c r="A438" s="7">
        <v>437</v>
      </c>
      <c r="B438" s="1" t="s">
        <v>5931</v>
      </c>
      <c r="C438" s="5">
        <f>CONCATENATE("PD", TEXT(A438, "1000000"))</f>
      </c>
      <c r="D438" s="7">
        <v>63</v>
      </c>
      <c r="E438" s="5">
        <f>XLOOKUP(G438, item_category!C:C, item_category!B:B, "Not Found")</f>
      </c>
      <c r="F438" s="1" t="s">
        <v>3726</v>
      </c>
      <c r="G438" s="5">
        <f>XLOOKUP(I438, drug!B:B, drug!A:A, "Not Found")</f>
      </c>
      <c r="H438" s="1" t="s">
        <v>1844</v>
      </c>
      <c r="I438" s="7">
        <v>1</v>
      </c>
      <c r="J438" s="5">
        <f>XLOOKUP(L438, uom!C:C, uom!B:B, "Not Found")</f>
      </c>
      <c r="K438" s="1" t="s">
        <v>5511</v>
      </c>
      <c r="L438" s="5">
        <f>XLOOKUP(N438, uom!C:C, uom!B:B, "Not Found")</f>
      </c>
      <c r="M438" s="1" t="s">
        <v>5511</v>
      </c>
      <c r="N438" s="8" t="s">
        <v>5512</v>
      </c>
      <c r="O438" s="1" t="s">
        <v>5513</v>
      </c>
      <c r="P438" s="5">
        <f>XLOOKUP(R438, classification!C:C, classification!B:B, "Not Found")</f>
      </c>
      <c r="Q438" s="1" t="s">
        <v>5514</v>
      </c>
      <c r="R438" s="2"/>
      <c r="S438" s="2"/>
      <c r="T438" s="2"/>
      <c r="U438" s="2"/>
    </row>
    <row x14ac:dyDescent="0.25" r="439" customHeight="1" ht="17.25">
      <c r="A439" s="7">
        <v>438</v>
      </c>
      <c r="B439" s="1" t="s">
        <v>5932</v>
      </c>
      <c r="C439" s="5">
        <f>CONCATENATE("PD", TEXT(A439, "1000000"))</f>
      </c>
      <c r="D439" s="7">
        <v>63</v>
      </c>
      <c r="E439" s="5">
        <f>XLOOKUP(G439, item_category!C:C, item_category!B:B, "Not Found")</f>
      </c>
      <c r="F439" s="1" t="s">
        <v>3726</v>
      </c>
      <c r="G439" s="5">
        <f>XLOOKUP(I439, drug!B:B, drug!A:A, "Not Found")</f>
      </c>
      <c r="H439" s="1" t="s">
        <v>1846</v>
      </c>
      <c r="I439" s="7">
        <v>1</v>
      </c>
      <c r="J439" s="5">
        <f>XLOOKUP(L439, uom!C:C, uom!B:B, "Not Found")</f>
      </c>
      <c r="K439" s="1" t="s">
        <v>5511</v>
      </c>
      <c r="L439" s="5">
        <f>XLOOKUP(N439, uom!C:C, uom!B:B, "Not Found")</f>
      </c>
      <c r="M439" s="1" t="s">
        <v>5511</v>
      </c>
      <c r="N439" s="8" t="s">
        <v>5512</v>
      </c>
      <c r="O439" s="1" t="s">
        <v>5513</v>
      </c>
      <c r="P439" s="5">
        <f>XLOOKUP(R439, classification!C:C, classification!B:B, "Not Found")</f>
      </c>
      <c r="Q439" s="1" t="s">
        <v>5514</v>
      </c>
      <c r="R439" s="2"/>
      <c r="S439" s="2"/>
      <c r="T439" s="2"/>
      <c r="U439" s="2"/>
    </row>
    <row x14ac:dyDescent="0.25" r="440" customHeight="1" ht="17.25">
      <c r="A440" s="7">
        <v>439</v>
      </c>
      <c r="B440" s="1" t="s">
        <v>5933</v>
      </c>
      <c r="C440" s="5">
        <f>CONCATENATE("PD", TEXT(A440, "1000000"))</f>
      </c>
      <c r="D440" s="7">
        <v>63</v>
      </c>
      <c r="E440" s="5">
        <f>XLOOKUP(G440, item_category!C:C, item_category!B:B, "Not Found")</f>
      </c>
      <c r="F440" s="1" t="s">
        <v>3726</v>
      </c>
      <c r="G440" s="5">
        <f>XLOOKUP(I440, drug!B:B, drug!A:A, "Not Found")</f>
      </c>
      <c r="H440" s="1" t="s">
        <v>1848</v>
      </c>
      <c r="I440" s="7">
        <v>1</v>
      </c>
      <c r="J440" s="5">
        <f>XLOOKUP(L440, uom!C:C, uom!B:B, "Not Found")</f>
      </c>
      <c r="K440" s="1" t="s">
        <v>5511</v>
      </c>
      <c r="L440" s="5">
        <f>XLOOKUP(N440, uom!C:C, uom!B:B, "Not Found")</f>
      </c>
      <c r="M440" s="1" t="s">
        <v>5511</v>
      </c>
      <c r="N440" s="8" t="s">
        <v>5512</v>
      </c>
      <c r="O440" s="1" t="s">
        <v>5513</v>
      </c>
      <c r="P440" s="5">
        <f>XLOOKUP(R440, classification!C:C, classification!B:B, "Not Found")</f>
      </c>
      <c r="Q440" s="1" t="s">
        <v>5514</v>
      </c>
      <c r="R440" s="2"/>
      <c r="S440" s="2"/>
      <c r="T440" s="2"/>
      <c r="U440" s="2"/>
    </row>
    <row x14ac:dyDescent="0.25" r="441" customHeight="1" ht="17.25">
      <c r="A441" s="7">
        <v>440</v>
      </c>
      <c r="B441" s="1" t="s">
        <v>5934</v>
      </c>
      <c r="C441" s="5">
        <f>CONCATENATE("PD", TEXT(A441, "1000000"))</f>
      </c>
      <c r="D441" s="7">
        <v>63</v>
      </c>
      <c r="E441" s="5">
        <f>XLOOKUP(G441, item_category!C:C, item_category!B:B, "Not Found")</f>
      </c>
      <c r="F441" s="1" t="s">
        <v>3726</v>
      </c>
      <c r="G441" s="5">
        <f>XLOOKUP(I441, drug!B:B, drug!A:A, "Not Found")</f>
      </c>
      <c r="H441" s="1" t="s">
        <v>1850</v>
      </c>
      <c r="I441" s="7">
        <v>1</v>
      </c>
      <c r="J441" s="5">
        <f>XLOOKUP(L441, uom!C:C, uom!B:B, "Not Found")</f>
      </c>
      <c r="K441" s="1" t="s">
        <v>5511</v>
      </c>
      <c r="L441" s="5">
        <f>XLOOKUP(N441, uom!C:C, uom!B:B, "Not Found")</f>
      </c>
      <c r="M441" s="1" t="s">
        <v>5511</v>
      </c>
      <c r="N441" s="8" t="s">
        <v>5512</v>
      </c>
      <c r="O441" s="1" t="s">
        <v>5513</v>
      </c>
      <c r="P441" s="5">
        <f>XLOOKUP(R441, classification!C:C, classification!B:B, "Not Found")</f>
      </c>
      <c r="Q441" s="1" t="s">
        <v>5514</v>
      </c>
      <c r="R441" s="2"/>
      <c r="S441" s="2"/>
      <c r="T441" s="2"/>
      <c r="U441" s="2"/>
    </row>
    <row x14ac:dyDescent="0.25" r="442" customHeight="1" ht="17.25">
      <c r="A442" s="7">
        <v>441</v>
      </c>
      <c r="B442" s="1" t="s">
        <v>1852</v>
      </c>
      <c r="C442" s="5">
        <f>CONCATENATE("PD", TEXT(A442, "1000000"))</f>
      </c>
      <c r="D442" s="7">
        <v>63</v>
      </c>
      <c r="E442" s="5">
        <f>XLOOKUP(G442, item_category!C:C, item_category!B:B, "Not Found")</f>
      </c>
      <c r="F442" s="1" t="s">
        <v>3726</v>
      </c>
      <c r="G442" s="5">
        <f>XLOOKUP(I442, drug!B:B, drug!A:A, "Not Found")</f>
      </c>
      <c r="H442" s="1" t="s">
        <v>1852</v>
      </c>
      <c r="I442" s="7">
        <v>1</v>
      </c>
      <c r="J442" s="5">
        <f>XLOOKUP(L442, uom!C:C, uom!B:B, "Not Found")</f>
      </c>
      <c r="K442" s="1" t="s">
        <v>5511</v>
      </c>
      <c r="L442" s="5">
        <f>XLOOKUP(N442, uom!C:C, uom!B:B, "Not Found")</f>
      </c>
      <c r="M442" s="1" t="s">
        <v>5511</v>
      </c>
      <c r="N442" s="8" t="s">
        <v>5512</v>
      </c>
      <c r="O442" s="1" t="s">
        <v>5513</v>
      </c>
      <c r="P442" s="5">
        <f>XLOOKUP(R442, classification!C:C, classification!B:B, "Not Found")</f>
      </c>
      <c r="Q442" s="1" t="s">
        <v>5514</v>
      </c>
      <c r="R442" s="2"/>
      <c r="S442" s="2"/>
      <c r="T442" s="2"/>
      <c r="U442" s="2"/>
    </row>
    <row x14ac:dyDescent="0.25" r="443" customHeight="1" ht="17.25">
      <c r="A443" s="7">
        <v>442</v>
      </c>
      <c r="B443" s="1" t="s">
        <v>1854</v>
      </c>
      <c r="C443" s="5">
        <f>CONCATENATE("PD", TEXT(A443, "1000000"))</f>
      </c>
      <c r="D443" s="7">
        <v>63</v>
      </c>
      <c r="E443" s="5">
        <f>XLOOKUP(G443, item_category!C:C, item_category!B:B, "Not Found")</f>
      </c>
      <c r="F443" s="1" t="s">
        <v>3726</v>
      </c>
      <c r="G443" s="5">
        <f>XLOOKUP(I443, drug!B:B, drug!A:A, "Not Found")</f>
      </c>
      <c r="H443" s="1" t="s">
        <v>1854</v>
      </c>
      <c r="I443" s="7">
        <v>1</v>
      </c>
      <c r="J443" s="5">
        <f>XLOOKUP(L443, uom!C:C, uom!B:B, "Not Found")</f>
      </c>
      <c r="K443" s="1" t="s">
        <v>5511</v>
      </c>
      <c r="L443" s="5">
        <f>XLOOKUP(N443, uom!C:C, uom!B:B, "Not Found")</f>
      </c>
      <c r="M443" s="1" t="s">
        <v>5511</v>
      </c>
      <c r="N443" s="8" t="s">
        <v>5512</v>
      </c>
      <c r="O443" s="1" t="s">
        <v>5513</v>
      </c>
      <c r="P443" s="5">
        <f>XLOOKUP(R443, classification!C:C, classification!B:B, "Not Found")</f>
      </c>
      <c r="Q443" s="1" t="s">
        <v>5514</v>
      </c>
      <c r="R443" s="2"/>
      <c r="S443" s="2"/>
      <c r="T443" s="2"/>
      <c r="U443" s="2"/>
    </row>
    <row x14ac:dyDescent="0.25" r="444" customHeight="1" ht="17.25">
      <c r="A444" s="7">
        <v>443</v>
      </c>
      <c r="B444" s="1" t="s">
        <v>5935</v>
      </c>
      <c r="C444" s="5">
        <f>CONCATENATE("PD", TEXT(A444, "1000000"))</f>
      </c>
      <c r="D444" s="7">
        <v>63</v>
      </c>
      <c r="E444" s="5">
        <f>XLOOKUP(G444, item_category!C:C, item_category!B:B, "Not Found")</f>
      </c>
      <c r="F444" s="1" t="s">
        <v>3726</v>
      </c>
      <c r="G444" s="5">
        <f>XLOOKUP(I444, drug!B:B, drug!A:A, "Not Found")</f>
      </c>
      <c r="H444" s="1" t="s">
        <v>1856</v>
      </c>
      <c r="I444" s="7">
        <v>1</v>
      </c>
      <c r="J444" s="5">
        <f>XLOOKUP(L444, uom!C:C, uom!B:B, "Not Found")</f>
      </c>
      <c r="K444" s="1" t="s">
        <v>5511</v>
      </c>
      <c r="L444" s="5">
        <f>XLOOKUP(N444, uom!C:C, uom!B:B, "Not Found")</f>
      </c>
      <c r="M444" s="1" t="s">
        <v>5511</v>
      </c>
      <c r="N444" s="8" t="s">
        <v>5512</v>
      </c>
      <c r="O444" s="1" t="s">
        <v>5513</v>
      </c>
      <c r="P444" s="5">
        <f>XLOOKUP(R444, classification!C:C, classification!B:B, "Not Found")</f>
      </c>
      <c r="Q444" s="1" t="s">
        <v>5514</v>
      </c>
      <c r="R444" s="2"/>
      <c r="S444" s="2"/>
      <c r="T444" s="2"/>
      <c r="U444" s="2"/>
    </row>
    <row x14ac:dyDescent="0.25" r="445" customHeight="1" ht="17.25">
      <c r="A445" s="7">
        <v>444</v>
      </c>
      <c r="B445" s="1" t="s">
        <v>5935</v>
      </c>
      <c r="C445" s="5">
        <f>CONCATENATE("PD", TEXT(A445, "1000000"))</f>
      </c>
      <c r="D445" s="7">
        <v>63</v>
      </c>
      <c r="E445" s="5">
        <f>XLOOKUP(G445, item_category!C:C, item_category!B:B, "Not Found")</f>
      </c>
      <c r="F445" s="1" t="s">
        <v>3726</v>
      </c>
      <c r="G445" s="5">
        <f>XLOOKUP(I445, drug!B:B, drug!A:A, "Not Found")</f>
      </c>
      <c r="H445" s="1" t="s">
        <v>1856</v>
      </c>
      <c r="I445" s="7">
        <v>1</v>
      </c>
      <c r="J445" s="5">
        <f>XLOOKUP(L445, uom!C:C, uom!B:B, "Not Found")</f>
      </c>
      <c r="K445" s="1" t="s">
        <v>5511</v>
      </c>
      <c r="L445" s="5">
        <f>XLOOKUP(N445, uom!C:C, uom!B:B, "Not Found")</f>
      </c>
      <c r="M445" s="1" t="s">
        <v>5511</v>
      </c>
      <c r="N445" s="8" t="s">
        <v>5512</v>
      </c>
      <c r="O445" s="1" t="s">
        <v>5513</v>
      </c>
      <c r="P445" s="5">
        <f>XLOOKUP(R445, classification!C:C, classification!B:B, "Not Found")</f>
      </c>
      <c r="Q445" s="1" t="s">
        <v>5514</v>
      </c>
      <c r="R445" s="2"/>
      <c r="S445" s="2"/>
      <c r="T445" s="2"/>
      <c r="U445" s="2"/>
    </row>
    <row x14ac:dyDescent="0.25" r="446" customHeight="1" ht="17.25">
      <c r="A446" s="7">
        <v>445</v>
      </c>
      <c r="B446" s="1" t="s">
        <v>1858</v>
      </c>
      <c r="C446" s="5">
        <f>CONCATENATE("PD", TEXT(A446, "1000000"))</f>
      </c>
      <c r="D446" s="7">
        <v>63</v>
      </c>
      <c r="E446" s="5">
        <f>XLOOKUP(G446, item_category!C:C, item_category!B:B, "Not Found")</f>
      </c>
      <c r="F446" s="1" t="s">
        <v>3726</v>
      </c>
      <c r="G446" s="5">
        <f>XLOOKUP(I446, drug!B:B, drug!A:A, "Not Found")</f>
      </c>
      <c r="H446" s="1" t="s">
        <v>1858</v>
      </c>
      <c r="I446" s="7">
        <v>1</v>
      </c>
      <c r="J446" s="5">
        <f>XLOOKUP(L446, uom!C:C, uom!B:B, "Not Found")</f>
      </c>
      <c r="K446" s="1" t="s">
        <v>5511</v>
      </c>
      <c r="L446" s="5">
        <f>XLOOKUP(N446, uom!C:C, uom!B:B, "Not Found")</f>
      </c>
      <c r="M446" s="1" t="s">
        <v>5511</v>
      </c>
      <c r="N446" s="8" t="s">
        <v>5512</v>
      </c>
      <c r="O446" s="1" t="s">
        <v>5513</v>
      </c>
      <c r="P446" s="5">
        <f>XLOOKUP(R446, classification!C:C, classification!B:B, "Not Found")</f>
      </c>
      <c r="Q446" s="1" t="s">
        <v>5514</v>
      </c>
      <c r="R446" s="2"/>
      <c r="S446" s="2"/>
      <c r="T446" s="2"/>
      <c r="U446" s="2"/>
    </row>
    <row x14ac:dyDescent="0.25" r="447" customHeight="1" ht="17.25">
      <c r="A447" s="7">
        <v>446</v>
      </c>
      <c r="B447" s="1" t="s">
        <v>5936</v>
      </c>
      <c r="C447" s="5">
        <f>CONCATENATE("PD", TEXT(A447, "1000000"))</f>
      </c>
      <c r="D447" s="7">
        <v>63</v>
      </c>
      <c r="E447" s="5">
        <f>XLOOKUP(G447, item_category!C:C, item_category!B:B, "Not Found")</f>
      </c>
      <c r="F447" s="1" t="s">
        <v>3726</v>
      </c>
      <c r="G447" s="5">
        <f>XLOOKUP(I447, drug!B:B, drug!A:A, "Not Found")</f>
      </c>
      <c r="H447" s="1" t="s">
        <v>1336</v>
      </c>
      <c r="I447" s="7">
        <v>1</v>
      </c>
      <c r="J447" s="5">
        <f>XLOOKUP(L447, uom!C:C, uom!B:B, "Not Found")</f>
      </c>
      <c r="K447" s="1" t="s">
        <v>5511</v>
      </c>
      <c r="L447" s="5">
        <f>XLOOKUP(N447, uom!C:C, uom!B:B, "Not Found")</f>
      </c>
      <c r="M447" s="1" t="s">
        <v>5511</v>
      </c>
      <c r="N447" s="8" t="s">
        <v>5512</v>
      </c>
      <c r="O447" s="1" t="s">
        <v>5513</v>
      </c>
      <c r="P447" s="5">
        <f>XLOOKUP(R447, classification!C:C, classification!B:B, "Not Found")</f>
      </c>
      <c r="Q447" s="1" t="s">
        <v>5514</v>
      </c>
      <c r="R447" s="2"/>
      <c r="S447" s="2"/>
      <c r="T447" s="2"/>
      <c r="U447" s="2"/>
    </row>
    <row x14ac:dyDescent="0.25" r="448" customHeight="1" ht="17.25">
      <c r="A448" s="7">
        <v>447</v>
      </c>
      <c r="B448" s="1" t="s">
        <v>5937</v>
      </c>
      <c r="C448" s="5">
        <f>CONCATENATE("PD", TEXT(A448, "1000000"))</f>
      </c>
      <c r="D448" s="7">
        <v>63</v>
      </c>
      <c r="E448" s="5">
        <f>XLOOKUP(G448, item_category!C:C, item_category!B:B, "Not Found")</f>
      </c>
      <c r="F448" s="1" t="s">
        <v>3726</v>
      </c>
      <c r="G448" s="5">
        <f>XLOOKUP(I448, drug!B:B, drug!A:A, "Not Found")</f>
      </c>
      <c r="H448" s="1" t="s">
        <v>516</v>
      </c>
      <c r="I448" s="7">
        <v>300</v>
      </c>
      <c r="J448" s="5">
        <f>XLOOKUP(L448, uom!C:C, uom!B:B, "Not Found")</f>
      </c>
      <c r="K448" s="1" t="s">
        <v>5625</v>
      </c>
      <c r="L448" s="5">
        <f>XLOOKUP(N448, uom!C:C, uom!B:B, "Not Found")</f>
      </c>
      <c r="M448" s="1" t="s">
        <v>5625</v>
      </c>
      <c r="N448" s="8" t="s">
        <v>5524</v>
      </c>
      <c r="O448" s="1" t="s">
        <v>5525</v>
      </c>
      <c r="P448" s="5">
        <f>XLOOKUP(R448, classification!C:C, classification!B:B, "Not Found")</f>
      </c>
      <c r="Q448" s="1" t="s">
        <v>5514</v>
      </c>
      <c r="R448" s="2"/>
      <c r="S448" s="2"/>
      <c r="T448" s="2"/>
      <c r="U448" s="2"/>
    </row>
    <row x14ac:dyDescent="0.25" r="449" customHeight="1" ht="17.25">
      <c r="A449" s="7">
        <v>448</v>
      </c>
      <c r="B449" s="1" t="s">
        <v>5938</v>
      </c>
      <c r="C449" s="5">
        <f>CONCATENATE("PD", TEXT(A449, "1000000"))</f>
      </c>
      <c r="D449" s="7">
        <v>63</v>
      </c>
      <c r="E449" s="5">
        <f>XLOOKUP(G449, item_category!C:C, item_category!B:B, "Not Found")</f>
      </c>
      <c r="F449" s="1" t="s">
        <v>3726</v>
      </c>
      <c r="G449" s="5">
        <f>XLOOKUP(I449, drug!B:B, drug!A:A, "Not Found")</f>
      </c>
      <c r="H449" s="1" t="s">
        <v>1860</v>
      </c>
      <c r="I449" s="7">
        <v>1</v>
      </c>
      <c r="J449" s="5">
        <f>XLOOKUP(L449, uom!C:C, uom!B:B, "Not Found")</f>
      </c>
      <c r="K449" s="1" t="s">
        <v>5511</v>
      </c>
      <c r="L449" s="5">
        <f>XLOOKUP(N449, uom!C:C, uom!B:B, "Not Found")</f>
      </c>
      <c r="M449" s="1" t="s">
        <v>5511</v>
      </c>
      <c r="N449" s="8" t="s">
        <v>5512</v>
      </c>
      <c r="O449" s="1" t="s">
        <v>5513</v>
      </c>
      <c r="P449" s="5">
        <f>XLOOKUP(R449, classification!C:C, classification!B:B, "Not Found")</f>
      </c>
      <c r="Q449" s="1" t="s">
        <v>5514</v>
      </c>
      <c r="R449" s="2"/>
      <c r="S449" s="2"/>
      <c r="T449" s="2"/>
      <c r="U449" s="2"/>
    </row>
    <row x14ac:dyDescent="0.25" r="450" customHeight="1" ht="17.25">
      <c r="A450" s="7">
        <v>449</v>
      </c>
      <c r="B450" s="1" t="s">
        <v>5939</v>
      </c>
      <c r="C450" s="5">
        <f>CONCATENATE("PD", TEXT(A450, "1000000"))</f>
      </c>
      <c r="D450" s="7">
        <v>63</v>
      </c>
      <c r="E450" s="5">
        <f>XLOOKUP(G450, item_category!C:C, item_category!B:B, "Not Found")</f>
      </c>
      <c r="F450" s="1" t="s">
        <v>3726</v>
      </c>
      <c r="G450" s="5">
        <f>XLOOKUP(I450, drug!B:B, drug!A:A, "Not Found")</f>
      </c>
      <c r="H450" s="1" t="s">
        <v>1862</v>
      </c>
      <c r="I450" s="7">
        <v>1</v>
      </c>
      <c r="J450" s="5">
        <f>XLOOKUP(L450, uom!C:C, uom!B:B, "Not Found")</f>
      </c>
      <c r="K450" s="1" t="s">
        <v>5511</v>
      </c>
      <c r="L450" s="5">
        <f>XLOOKUP(N450, uom!C:C, uom!B:B, "Not Found")</f>
      </c>
      <c r="M450" s="1" t="s">
        <v>5511</v>
      </c>
      <c r="N450" s="8" t="s">
        <v>5512</v>
      </c>
      <c r="O450" s="1" t="s">
        <v>5513</v>
      </c>
      <c r="P450" s="5">
        <f>XLOOKUP(R450, classification!C:C, classification!B:B, "Not Found")</f>
      </c>
      <c r="Q450" s="1" t="s">
        <v>5514</v>
      </c>
      <c r="R450" s="2"/>
      <c r="S450" s="2"/>
      <c r="T450" s="2"/>
      <c r="U450" s="2"/>
    </row>
    <row x14ac:dyDescent="0.25" r="451" customHeight="1" ht="17.25">
      <c r="A451" s="7">
        <v>450</v>
      </c>
      <c r="B451" s="1" t="s">
        <v>5940</v>
      </c>
      <c r="C451" s="5">
        <f>CONCATENATE("PD", TEXT(A451, "1000000"))</f>
      </c>
      <c r="D451" s="7">
        <v>63</v>
      </c>
      <c r="E451" s="5">
        <f>XLOOKUP(G451, item_category!C:C, item_category!B:B, "Not Found")</f>
      </c>
      <c r="F451" s="1" t="s">
        <v>3726</v>
      </c>
      <c r="G451" s="5">
        <f>XLOOKUP(I451, drug!B:B, drug!A:A, "Not Found")</f>
      </c>
      <c r="H451" s="1" t="s">
        <v>1864</v>
      </c>
      <c r="I451" s="7">
        <v>1</v>
      </c>
      <c r="J451" s="5">
        <f>XLOOKUP(L451, uom!C:C, uom!B:B, "Not Found")</f>
      </c>
      <c r="K451" s="1" t="s">
        <v>5511</v>
      </c>
      <c r="L451" s="5">
        <f>XLOOKUP(N451, uom!C:C, uom!B:B, "Not Found")</f>
      </c>
      <c r="M451" s="1" t="s">
        <v>5511</v>
      </c>
      <c r="N451" s="8" t="s">
        <v>5512</v>
      </c>
      <c r="O451" s="1" t="s">
        <v>5513</v>
      </c>
      <c r="P451" s="5">
        <f>XLOOKUP(R451, classification!C:C, classification!B:B, "Not Found")</f>
      </c>
      <c r="Q451" s="1" t="s">
        <v>5514</v>
      </c>
      <c r="R451" s="2"/>
      <c r="S451" s="2"/>
      <c r="T451" s="2"/>
      <c r="U451" s="2"/>
    </row>
    <row x14ac:dyDescent="0.25" r="452" customHeight="1" ht="17.25">
      <c r="A452" s="7">
        <v>451</v>
      </c>
      <c r="B452" s="1" t="s">
        <v>5941</v>
      </c>
      <c r="C452" s="5">
        <f>CONCATENATE("PD", TEXT(A452, "1000000"))</f>
      </c>
      <c r="D452" s="7">
        <v>63</v>
      </c>
      <c r="E452" s="5">
        <f>XLOOKUP(G452, item_category!C:C, item_category!B:B, "Not Found")</f>
      </c>
      <c r="F452" s="1" t="s">
        <v>3726</v>
      </c>
      <c r="G452" s="5">
        <f>XLOOKUP(I452, drug!B:B, drug!A:A, "Not Found")</f>
      </c>
      <c r="H452" s="1" t="s">
        <v>1864</v>
      </c>
      <c r="I452" s="7">
        <v>1</v>
      </c>
      <c r="J452" s="5">
        <f>XLOOKUP(L452, uom!C:C, uom!B:B, "Not Found")</f>
      </c>
      <c r="K452" s="1" t="s">
        <v>5511</v>
      </c>
      <c r="L452" s="5">
        <f>XLOOKUP(N452, uom!C:C, uom!B:B, "Not Found")</f>
      </c>
      <c r="M452" s="1" t="s">
        <v>5511</v>
      </c>
      <c r="N452" s="8" t="s">
        <v>5512</v>
      </c>
      <c r="O452" s="1" t="s">
        <v>5513</v>
      </c>
      <c r="P452" s="5">
        <f>XLOOKUP(R452, classification!C:C, classification!B:B, "Not Found")</f>
      </c>
      <c r="Q452" s="1" t="s">
        <v>5514</v>
      </c>
      <c r="R452" s="2"/>
      <c r="S452" s="2"/>
      <c r="T452" s="2"/>
      <c r="U452" s="2"/>
    </row>
    <row x14ac:dyDescent="0.25" r="453" customHeight="1" ht="17.25">
      <c r="A453" s="7">
        <v>452</v>
      </c>
      <c r="B453" s="1" t="s">
        <v>5942</v>
      </c>
      <c r="C453" s="5">
        <f>CONCATENATE("PD", TEXT(A453, "1000000"))</f>
      </c>
      <c r="D453" s="7">
        <v>63</v>
      </c>
      <c r="E453" s="5">
        <f>XLOOKUP(G453, item_category!C:C, item_category!B:B, "Not Found")</f>
      </c>
      <c r="F453" s="1" t="s">
        <v>3726</v>
      </c>
      <c r="G453" s="5">
        <f>XLOOKUP(I453, drug!B:B, drug!A:A, "Not Found")</f>
      </c>
      <c r="H453" s="1" t="s">
        <v>1866</v>
      </c>
      <c r="I453" s="7">
        <v>1</v>
      </c>
      <c r="J453" s="5">
        <f>XLOOKUP(L453, uom!C:C, uom!B:B, "Not Found")</f>
      </c>
      <c r="K453" s="1" t="s">
        <v>5511</v>
      </c>
      <c r="L453" s="5">
        <f>XLOOKUP(N453, uom!C:C, uom!B:B, "Not Found")</f>
      </c>
      <c r="M453" s="1" t="s">
        <v>5511</v>
      </c>
      <c r="N453" s="8" t="s">
        <v>5512</v>
      </c>
      <c r="O453" s="1" t="s">
        <v>5513</v>
      </c>
      <c r="P453" s="5">
        <f>XLOOKUP(R453, classification!C:C, classification!B:B, "Not Found")</f>
      </c>
      <c r="Q453" s="1" t="s">
        <v>5514</v>
      </c>
      <c r="R453" s="2"/>
      <c r="S453" s="2"/>
      <c r="T453" s="2"/>
      <c r="U453" s="2"/>
    </row>
    <row x14ac:dyDescent="0.25" r="454" customHeight="1" ht="17.25">
      <c r="A454" s="7">
        <v>453</v>
      </c>
      <c r="B454" s="1" t="s">
        <v>5943</v>
      </c>
      <c r="C454" s="5">
        <f>CONCATENATE("PD", TEXT(A454, "1000000"))</f>
      </c>
      <c r="D454" s="7">
        <v>63</v>
      </c>
      <c r="E454" s="5">
        <f>XLOOKUP(G454, item_category!C:C, item_category!B:B, "Not Found")</f>
      </c>
      <c r="F454" s="1" t="s">
        <v>3726</v>
      </c>
      <c r="G454" s="5">
        <f>XLOOKUP(I454, drug!B:B, drug!A:A, "Not Found")</f>
      </c>
      <c r="H454" s="1" t="s">
        <v>1866</v>
      </c>
      <c r="I454" s="7">
        <v>1</v>
      </c>
      <c r="J454" s="5">
        <f>XLOOKUP(L454, uom!C:C, uom!B:B, "Not Found")</f>
      </c>
      <c r="K454" s="1" t="s">
        <v>5511</v>
      </c>
      <c r="L454" s="5">
        <f>XLOOKUP(N454, uom!C:C, uom!B:B, "Not Found")</f>
      </c>
      <c r="M454" s="1" t="s">
        <v>5511</v>
      </c>
      <c r="N454" s="8" t="s">
        <v>5512</v>
      </c>
      <c r="O454" s="1" t="s">
        <v>5513</v>
      </c>
      <c r="P454" s="5">
        <f>XLOOKUP(R454, classification!C:C, classification!B:B, "Not Found")</f>
      </c>
      <c r="Q454" s="1" t="s">
        <v>5514</v>
      </c>
      <c r="R454" s="2"/>
      <c r="S454" s="2"/>
      <c r="T454" s="2"/>
      <c r="U454" s="2"/>
    </row>
    <row x14ac:dyDescent="0.25" r="455" customHeight="1" ht="17.25">
      <c r="A455" s="7">
        <v>454</v>
      </c>
      <c r="B455" s="1" t="s">
        <v>5944</v>
      </c>
      <c r="C455" s="5">
        <f>CONCATENATE("PD", TEXT(A455, "1000000"))</f>
      </c>
      <c r="D455" s="7">
        <v>63</v>
      </c>
      <c r="E455" s="5">
        <f>XLOOKUP(G455, item_category!C:C, item_category!B:B, "Not Found")</f>
      </c>
      <c r="F455" s="1" t="s">
        <v>3726</v>
      </c>
      <c r="G455" s="5">
        <f>XLOOKUP(I455, drug!B:B, drug!A:A, "Not Found")</f>
      </c>
      <c r="H455" s="1" t="s">
        <v>1868</v>
      </c>
      <c r="I455" s="7">
        <v>1</v>
      </c>
      <c r="J455" s="5">
        <f>XLOOKUP(L455, uom!C:C, uom!B:B, "Not Found")</f>
      </c>
      <c r="K455" s="1" t="s">
        <v>5511</v>
      </c>
      <c r="L455" s="5">
        <f>XLOOKUP(N455, uom!C:C, uom!B:B, "Not Found")</f>
      </c>
      <c r="M455" s="1" t="s">
        <v>5511</v>
      </c>
      <c r="N455" s="8" t="s">
        <v>5512</v>
      </c>
      <c r="O455" s="1" t="s">
        <v>5513</v>
      </c>
      <c r="P455" s="5">
        <f>XLOOKUP(R455, classification!C:C, classification!B:B, "Not Found")</f>
      </c>
      <c r="Q455" s="1" t="s">
        <v>5514</v>
      </c>
      <c r="R455" s="2"/>
      <c r="S455" s="2"/>
      <c r="T455" s="2"/>
      <c r="U455" s="2"/>
    </row>
    <row x14ac:dyDescent="0.25" r="456" customHeight="1" ht="17.25">
      <c r="A456" s="7">
        <v>455</v>
      </c>
      <c r="B456" s="1" t="s">
        <v>5945</v>
      </c>
      <c r="C456" s="5">
        <f>CONCATENATE("PD", TEXT(A456, "1000000"))</f>
      </c>
      <c r="D456" s="7">
        <v>63</v>
      </c>
      <c r="E456" s="5">
        <f>XLOOKUP(G456, item_category!C:C, item_category!B:B, "Not Found")</f>
      </c>
      <c r="F456" s="1" t="s">
        <v>3726</v>
      </c>
      <c r="G456" s="5">
        <f>XLOOKUP(I456, drug!B:B, drug!A:A, "Not Found")</f>
      </c>
      <c r="H456" s="1" t="s">
        <v>1870</v>
      </c>
      <c r="I456" s="7">
        <v>1</v>
      </c>
      <c r="J456" s="5">
        <f>XLOOKUP(L456, uom!C:C, uom!B:B, "Not Found")</f>
      </c>
      <c r="K456" s="1" t="s">
        <v>5511</v>
      </c>
      <c r="L456" s="5">
        <f>XLOOKUP(N456, uom!C:C, uom!B:B, "Not Found")</f>
      </c>
      <c r="M456" s="1" t="s">
        <v>5511</v>
      </c>
      <c r="N456" s="8" t="s">
        <v>5512</v>
      </c>
      <c r="O456" s="1" t="s">
        <v>5513</v>
      </c>
      <c r="P456" s="5">
        <f>XLOOKUP(R456, classification!C:C, classification!B:B, "Not Found")</f>
      </c>
      <c r="Q456" s="1" t="s">
        <v>5514</v>
      </c>
      <c r="R456" s="2"/>
      <c r="S456" s="2"/>
      <c r="T456" s="2"/>
      <c r="U456" s="2"/>
    </row>
    <row x14ac:dyDescent="0.25" r="457" customHeight="1" ht="17.25">
      <c r="A457" s="7">
        <v>456</v>
      </c>
      <c r="B457" s="1" t="s">
        <v>5946</v>
      </c>
      <c r="C457" s="5">
        <f>CONCATENATE("PD", TEXT(A457, "1000000"))</f>
      </c>
      <c r="D457" s="7">
        <v>63</v>
      </c>
      <c r="E457" s="5">
        <f>XLOOKUP(G457, item_category!C:C, item_category!B:B, "Not Found")</f>
      </c>
      <c r="F457" s="1" t="s">
        <v>3726</v>
      </c>
      <c r="G457" s="5">
        <f>XLOOKUP(I457, drug!B:B, drug!A:A, "Not Found")</f>
      </c>
      <c r="H457" s="1" t="s">
        <v>1872</v>
      </c>
      <c r="I457" s="7">
        <v>1</v>
      </c>
      <c r="J457" s="5">
        <f>XLOOKUP(L457, uom!C:C, uom!B:B, "Not Found")</f>
      </c>
      <c r="K457" s="1" t="s">
        <v>5511</v>
      </c>
      <c r="L457" s="5">
        <f>XLOOKUP(N457, uom!C:C, uom!B:B, "Not Found")</f>
      </c>
      <c r="M457" s="1" t="s">
        <v>5511</v>
      </c>
      <c r="N457" s="8" t="s">
        <v>5512</v>
      </c>
      <c r="O457" s="1" t="s">
        <v>5513</v>
      </c>
      <c r="P457" s="5">
        <f>XLOOKUP(R457, classification!C:C, classification!B:B, "Not Found")</f>
      </c>
      <c r="Q457" s="1" t="s">
        <v>5514</v>
      </c>
      <c r="R457" s="2"/>
      <c r="S457" s="2"/>
      <c r="T457" s="2"/>
      <c r="U457" s="2"/>
    </row>
    <row x14ac:dyDescent="0.25" r="458" customHeight="1" ht="17.25">
      <c r="A458" s="7">
        <v>457</v>
      </c>
      <c r="B458" s="1" t="s">
        <v>5947</v>
      </c>
      <c r="C458" s="5">
        <f>CONCATENATE("PD", TEXT(A458, "1000000"))</f>
      </c>
      <c r="D458" s="7">
        <v>63</v>
      </c>
      <c r="E458" s="5">
        <f>XLOOKUP(G458, item_category!C:C, item_category!B:B, "Not Found")</f>
      </c>
      <c r="F458" s="1" t="s">
        <v>3726</v>
      </c>
      <c r="G458" s="5">
        <f>XLOOKUP(I458, drug!B:B, drug!A:A, "Not Found")</f>
      </c>
      <c r="H458" s="1" t="s">
        <v>1874</v>
      </c>
      <c r="I458" s="7">
        <v>1</v>
      </c>
      <c r="J458" s="5">
        <f>XLOOKUP(L458, uom!C:C, uom!B:B, "Not Found")</f>
      </c>
      <c r="K458" s="1" t="s">
        <v>5511</v>
      </c>
      <c r="L458" s="5">
        <f>XLOOKUP(N458, uom!C:C, uom!B:B, "Not Found")</f>
      </c>
      <c r="M458" s="1" t="s">
        <v>5511</v>
      </c>
      <c r="N458" s="8" t="s">
        <v>5512</v>
      </c>
      <c r="O458" s="1" t="s">
        <v>5513</v>
      </c>
      <c r="P458" s="5">
        <f>XLOOKUP(R458, classification!C:C, classification!B:B, "Not Found")</f>
      </c>
      <c r="Q458" s="1" t="s">
        <v>5514</v>
      </c>
      <c r="R458" s="2"/>
      <c r="S458" s="2"/>
      <c r="T458" s="2"/>
      <c r="U458" s="2"/>
    </row>
    <row x14ac:dyDescent="0.25" r="459" customHeight="1" ht="17.25">
      <c r="A459" s="7">
        <v>458</v>
      </c>
      <c r="B459" s="1" t="s">
        <v>5948</v>
      </c>
      <c r="C459" s="5">
        <f>CONCATENATE("PD", TEXT(A459, "1000000"))</f>
      </c>
      <c r="D459" s="7">
        <v>63</v>
      </c>
      <c r="E459" s="5">
        <f>XLOOKUP(G459, item_category!C:C, item_category!B:B, "Not Found")</f>
      </c>
      <c r="F459" s="1" t="s">
        <v>3726</v>
      </c>
      <c r="G459" s="5">
        <f>XLOOKUP(I459, drug!B:B, drug!A:A, "Not Found")</f>
      </c>
      <c r="H459" s="1" t="s">
        <v>1876</v>
      </c>
      <c r="I459" s="7">
        <v>1</v>
      </c>
      <c r="J459" s="5">
        <f>XLOOKUP(L459, uom!C:C, uom!B:B, "Not Found")</f>
      </c>
      <c r="K459" s="1" t="s">
        <v>5511</v>
      </c>
      <c r="L459" s="5">
        <f>XLOOKUP(N459, uom!C:C, uom!B:B, "Not Found")</f>
      </c>
      <c r="M459" s="1" t="s">
        <v>5511</v>
      </c>
      <c r="N459" s="8" t="s">
        <v>5512</v>
      </c>
      <c r="O459" s="1" t="s">
        <v>5513</v>
      </c>
      <c r="P459" s="5">
        <f>XLOOKUP(R459, classification!C:C, classification!B:B, "Not Found")</f>
      </c>
      <c r="Q459" s="1" t="s">
        <v>5514</v>
      </c>
      <c r="R459" s="2"/>
      <c r="S459" s="2"/>
      <c r="T459" s="2"/>
      <c r="U459" s="2"/>
    </row>
    <row x14ac:dyDescent="0.25" r="460" customHeight="1" ht="17.25">
      <c r="A460" s="7">
        <v>459</v>
      </c>
      <c r="B460" s="1" t="s">
        <v>5949</v>
      </c>
      <c r="C460" s="5">
        <f>CONCATENATE("PD", TEXT(A460, "1000000"))</f>
      </c>
      <c r="D460" s="7">
        <v>63</v>
      </c>
      <c r="E460" s="5">
        <f>XLOOKUP(G460, item_category!C:C, item_category!B:B, "Not Found")</f>
      </c>
      <c r="F460" s="1" t="s">
        <v>3726</v>
      </c>
      <c r="G460" s="5">
        <f>XLOOKUP(I460, drug!B:B, drug!A:A, "Not Found")</f>
      </c>
      <c r="H460" s="1" t="s">
        <v>1878</v>
      </c>
      <c r="I460" s="7">
        <v>1</v>
      </c>
      <c r="J460" s="5">
        <f>XLOOKUP(L460, uom!C:C, uom!B:B, "Not Found")</f>
      </c>
      <c r="K460" s="1" t="s">
        <v>5511</v>
      </c>
      <c r="L460" s="5">
        <f>XLOOKUP(N460, uom!C:C, uom!B:B, "Not Found")</f>
      </c>
      <c r="M460" s="1" t="s">
        <v>5511</v>
      </c>
      <c r="N460" s="8" t="s">
        <v>5512</v>
      </c>
      <c r="O460" s="1" t="s">
        <v>5513</v>
      </c>
      <c r="P460" s="5">
        <f>XLOOKUP(R460, classification!C:C, classification!B:B, "Not Found")</f>
      </c>
      <c r="Q460" s="1" t="s">
        <v>5514</v>
      </c>
      <c r="R460" s="2"/>
      <c r="S460" s="2"/>
      <c r="T460" s="2"/>
      <c r="U460" s="2"/>
    </row>
    <row x14ac:dyDescent="0.25" r="461" customHeight="1" ht="17.25">
      <c r="A461" s="7">
        <v>460</v>
      </c>
      <c r="B461" s="1" t="s">
        <v>5950</v>
      </c>
      <c r="C461" s="5">
        <f>CONCATENATE("PD", TEXT(A461, "1000000"))</f>
      </c>
      <c r="D461" s="7">
        <v>63</v>
      </c>
      <c r="E461" s="5">
        <f>XLOOKUP(G461, item_category!C:C, item_category!B:B, "Not Found")</f>
      </c>
      <c r="F461" s="1" t="s">
        <v>3726</v>
      </c>
      <c r="G461" s="5">
        <f>XLOOKUP(I461, drug!B:B, drug!A:A, "Not Found")</f>
      </c>
      <c r="H461" s="1" t="s">
        <v>1880</v>
      </c>
      <c r="I461" s="7">
        <v>1</v>
      </c>
      <c r="J461" s="5">
        <f>XLOOKUP(L461, uom!C:C, uom!B:B, "Not Found")</f>
      </c>
      <c r="K461" s="1" t="s">
        <v>5511</v>
      </c>
      <c r="L461" s="5">
        <f>XLOOKUP(N461, uom!C:C, uom!B:B, "Not Found")</f>
      </c>
      <c r="M461" s="1" t="s">
        <v>5511</v>
      </c>
      <c r="N461" s="8" t="s">
        <v>5512</v>
      </c>
      <c r="O461" s="1" t="s">
        <v>5513</v>
      </c>
      <c r="P461" s="5">
        <f>XLOOKUP(R461, classification!C:C, classification!B:B, "Not Found")</f>
      </c>
      <c r="Q461" s="1" t="s">
        <v>5514</v>
      </c>
      <c r="R461" s="2"/>
      <c r="S461" s="2"/>
      <c r="T461" s="2"/>
      <c r="U461" s="2"/>
    </row>
    <row x14ac:dyDescent="0.25" r="462" customHeight="1" ht="17.25">
      <c r="A462" s="7">
        <v>461</v>
      </c>
      <c r="B462" s="1" t="s">
        <v>5951</v>
      </c>
      <c r="C462" s="5">
        <f>CONCATENATE("PD", TEXT(A462, "1000000"))</f>
      </c>
      <c r="D462" s="7">
        <v>63</v>
      </c>
      <c r="E462" s="5">
        <f>XLOOKUP(G462, item_category!C:C, item_category!B:B, "Not Found")</f>
      </c>
      <c r="F462" s="1" t="s">
        <v>3726</v>
      </c>
      <c r="G462" s="5">
        <f>XLOOKUP(I462, drug!B:B, drug!A:A, "Not Found")</f>
      </c>
      <c r="H462" s="1" t="s">
        <v>1882</v>
      </c>
      <c r="I462" s="7">
        <v>1</v>
      </c>
      <c r="J462" s="5">
        <f>XLOOKUP(L462, uom!C:C, uom!B:B, "Not Found")</f>
      </c>
      <c r="K462" s="1" t="s">
        <v>5511</v>
      </c>
      <c r="L462" s="5">
        <f>XLOOKUP(N462, uom!C:C, uom!B:B, "Not Found")</f>
      </c>
      <c r="M462" s="1" t="s">
        <v>5511</v>
      </c>
      <c r="N462" s="8" t="s">
        <v>5512</v>
      </c>
      <c r="O462" s="1" t="s">
        <v>5513</v>
      </c>
      <c r="P462" s="5">
        <f>XLOOKUP(R462, classification!C:C, classification!B:B, "Not Found")</f>
      </c>
      <c r="Q462" s="1" t="s">
        <v>5514</v>
      </c>
      <c r="R462" s="2"/>
      <c r="S462" s="2"/>
      <c r="T462" s="2"/>
      <c r="U462" s="2"/>
    </row>
    <row x14ac:dyDescent="0.25" r="463" customHeight="1" ht="17.25">
      <c r="A463" s="7">
        <v>462</v>
      </c>
      <c r="B463" s="1" t="s">
        <v>1884</v>
      </c>
      <c r="C463" s="5">
        <f>CONCATENATE("PD", TEXT(A463, "1000000"))</f>
      </c>
      <c r="D463" s="7">
        <v>63</v>
      </c>
      <c r="E463" s="5">
        <f>XLOOKUP(G463, item_category!C:C, item_category!B:B, "Not Found")</f>
      </c>
      <c r="F463" s="1" t="s">
        <v>3726</v>
      </c>
      <c r="G463" s="5">
        <f>XLOOKUP(I463, drug!B:B, drug!A:A, "Not Found")</f>
      </c>
      <c r="H463" s="1" t="s">
        <v>1884</v>
      </c>
      <c r="I463" s="7">
        <v>1</v>
      </c>
      <c r="J463" s="5">
        <f>XLOOKUP(L463, uom!C:C, uom!B:B, "Not Found")</f>
      </c>
      <c r="K463" s="1" t="s">
        <v>5511</v>
      </c>
      <c r="L463" s="5">
        <f>XLOOKUP(N463, uom!C:C, uom!B:B, "Not Found")</f>
      </c>
      <c r="M463" s="1" t="s">
        <v>5511</v>
      </c>
      <c r="N463" s="8" t="s">
        <v>5512</v>
      </c>
      <c r="O463" s="1" t="s">
        <v>5513</v>
      </c>
      <c r="P463" s="5">
        <f>XLOOKUP(R463, classification!C:C, classification!B:B, "Not Found")</f>
      </c>
      <c r="Q463" s="1" t="s">
        <v>5514</v>
      </c>
      <c r="R463" s="2"/>
      <c r="S463" s="2"/>
      <c r="T463" s="2"/>
      <c r="U463" s="2"/>
    </row>
    <row x14ac:dyDescent="0.25" r="464" customHeight="1" ht="17.25">
      <c r="A464" s="7">
        <v>463</v>
      </c>
      <c r="B464" s="1" t="s">
        <v>5952</v>
      </c>
      <c r="C464" s="5">
        <f>CONCATENATE("PD", TEXT(A464, "1000000"))</f>
      </c>
      <c r="D464" s="7">
        <v>63</v>
      </c>
      <c r="E464" s="5">
        <f>XLOOKUP(G464, item_category!C:C, item_category!B:B, "Not Found")</f>
      </c>
      <c r="F464" s="1" t="s">
        <v>3726</v>
      </c>
      <c r="G464" s="5">
        <f>XLOOKUP(I464, drug!B:B, drug!A:A, "Not Found")</f>
      </c>
      <c r="H464" s="1" t="s">
        <v>1884</v>
      </c>
      <c r="I464" s="7">
        <v>1</v>
      </c>
      <c r="J464" s="5">
        <f>XLOOKUP(L464, uom!C:C, uom!B:B, "Not Found")</f>
      </c>
      <c r="K464" s="1" t="s">
        <v>5511</v>
      </c>
      <c r="L464" s="5">
        <f>XLOOKUP(N464, uom!C:C, uom!B:B, "Not Found")</f>
      </c>
      <c r="M464" s="1" t="s">
        <v>5511</v>
      </c>
      <c r="N464" s="8" t="s">
        <v>5512</v>
      </c>
      <c r="O464" s="1" t="s">
        <v>5513</v>
      </c>
      <c r="P464" s="5">
        <f>XLOOKUP(R464, classification!C:C, classification!B:B, "Not Found")</f>
      </c>
      <c r="Q464" s="1" t="s">
        <v>5514</v>
      </c>
      <c r="R464" s="2"/>
      <c r="S464" s="2"/>
      <c r="T464" s="2"/>
      <c r="U464" s="2"/>
    </row>
    <row x14ac:dyDescent="0.25" r="465" customHeight="1" ht="17.25">
      <c r="A465" s="7">
        <v>464</v>
      </c>
      <c r="B465" s="1" t="s">
        <v>5953</v>
      </c>
      <c r="C465" s="5">
        <f>CONCATENATE("PD", TEXT(A465, "1000000"))</f>
      </c>
      <c r="D465" s="7">
        <v>63</v>
      </c>
      <c r="E465" s="5">
        <f>XLOOKUP(G465, item_category!C:C, item_category!B:B, "Not Found")</f>
      </c>
      <c r="F465" s="1" t="s">
        <v>3726</v>
      </c>
      <c r="G465" s="5">
        <f>XLOOKUP(I465, drug!B:B, drug!A:A, "Not Found")</f>
      </c>
      <c r="H465" s="1" t="s">
        <v>1886</v>
      </c>
      <c r="I465" s="7">
        <v>1</v>
      </c>
      <c r="J465" s="5">
        <f>XLOOKUP(L465, uom!C:C, uom!B:B, "Not Found")</f>
      </c>
      <c r="K465" s="1" t="s">
        <v>5511</v>
      </c>
      <c r="L465" s="5">
        <f>XLOOKUP(N465, uom!C:C, uom!B:B, "Not Found")</f>
      </c>
      <c r="M465" s="1" t="s">
        <v>5511</v>
      </c>
      <c r="N465" s="8" t="s">
        <v>5512</v>
      </c>
      <c r="O465" s="1" t="s">
        <v>5513</v>
      </c>
      <c r="P465" s="5">
        <f>XLOOKUP(R465, classification!C:C, classification!B:B, "Not Found")</f>
      </c>
      <c r="Q465" s="1" t="s">
        <v>5514</v>
      </c>
      <c r="R465" s="2"/>
      <c r="S465" s="2"/>
      <c r="T465" s="2"/>
      <c r="U465" s="2"/>
    </row>
    <row x14ac:dyDescent="0.25" r="466" customHeight="1" ht="17.25">
      <c r="A466" s="7">
        <v>465</v>
      </c>
      <c r="B466" s="1" t="s">
        <v>5954</v>
      </c>
      <c r="C466" s="5">
        <f>CONCATENATE("PD", TEXT(A466, "1000000"))</f>
      </c>
      <c r="D466" s="7">
        <v>63</v>
      </c>
      <c r="E466" s="5">
        <f>XLOOKUP(G466, item_category!C:C, item_category!B:B, "Not Found")</f>
      </c>
      <c r="F466" s="1" t="s">
        <v>3726</v>
      </c>
      <c r="G466" s="5">
        <f>XLOOKUP(I466, drug!B:B, drug!A:A, "Not Found")</f>
      </c>
      <c r="H466" s="1" t="s">
        <v>1888</v>
      </c>
      <c r="I466" s="7">
        <v>1</v>
      </c>
      <c r="J466" s="5">
        <f>XLOOKUP(L466, uom!C:C, uom!B:B, "Not Found")</f>
      </c>
      <c r="K466" s="1" t="s">
        <v>5511</v>
      </c>
      <c r="L466" s="5">
        <f>XLOOKUP(N466, uom!C:C, uom!B:B, "Not Found")</f>
      </c>
      <c r="M466" s="1" t="s">
        <v>5511</v>
      </c>
      <c r="N466" s="8" t="s">
        <v>5512</v>
      </c>
      <c r="O466" s="1" t="s">
        <v>5513</v>
      </c>
      <c r="P466" s="5">
        <f>XLOOKUP(R466, classification!C:C, classification!B:B, "Not Found")</f>
      </c>
      <c r="Q466" s="1" t="s">
        <v>5514</v>
      </c>
      <c r="R466" s="2"/>
      <c r="S466" s="2"/>
      <c r="T466" s="2"/>
      <c r="U466" s="2"/>
    </row>
    <row x14ac:dyDescent="0.25" r="467" customHeight="1" ht="17.25">
      <c r="A467" s="7">
        <v>466</v>
      </c>
      <c r="B467" s="1" t="s">
        <v>5955</v>
      </c>
      <c r="C467" s="5">
        <f>CONCATENATE("PD", TEXT(A467, "1000000"))</f>
      </c>
      <c r="D467" s="7">
        <v>63</v>
      </c>
      <c r="E467" s="5">
        <f>XLOOKUP(G467, item_category!C:C, item_category!B:B, "Not Found")</f>
      </c>
      <c r="F467" s="1" t="s">
        <v>3726</v>
      </c>
      <c r="G467" s="5">
        <f>XLOOKUP(I467, drug!B:B, drug!A:A, "Not Found")</f>
      </c>
      <c r="H467" s="1" t="s">
        <v>1888</v>
      </c>
      <c r="I467" s="7">
        <v>1</v>
      </c>
      <c r="J467" s="5">
        <f>XLOOKUP(L467, uom!C:C, uom!B:B, "Not Found")</f>
      </c>
      <c r="K467" s="1" t="s">
        <v>5511</v>
      </c>
      <c r="L467" s="5">
        <f>XLOOKUP(N467, uom!C:C, uom!B:B, "Not Found")</f>
      </c>
      <c r="M467" s="1" t="s">
        <v>5511</v>
      </c>
      <c r="N467" s="8" t="s">
        <v>5512</v>
      </c>
      <c r="O467" s="1" t="s">
        <v>5513</v>
      </c>
      <c r="P467" s="5">
        <f>XLOOKUP(R467, classification!C:C, classification!B:B, "Not Found")</f>
      </c>
      <c r="Q467" s="1" t="s">
        <v>5514</v>
      </c>
      <c r="R467" s="2"/>
      <c r="S467" s="2"/>
      <c r="T467" s="2"/>
      <c r="U467" s="2"/>
    </row>
    <row x14ac:dyDescent="0.25" r="468" customHeight="1" ht="17.25">
      <c r="A468" s="7">
        <v>467</v>
      </c>
      <c r="B468" s="1" t="s">
        <v>5956</v>
      </c>
      <c r="C468" s="5">
        <f>CONCATENATE("PD", TEXT(A468, "1000000"))</f>
      </c>
      <c r="D468" s="7">
        <v>63</v>
      </c>
      <c r="E468" s="5">
        <f>XLOOKUP(G468, item_category!C:C, item_category!B:B, "Not Found")</f>
      </c>
      <c r="F468" s="1" t="s">
        <v>3726</v>
      </c>
      <c r="G468" s="5">
        <f>XLOOKUP(I468, drug!B:B, drug!A:A, "Not Found")</f>
      </c>
      <c r="H468" s="1" t="s">
        <v>1364</v>
      </c>
      <c r="I468" s="7">
        <v>1</v>
      </c>
      <c r="J468" s="5">
        <f>XLOOKUP(L468, uom!C:C, uom!B:B, "Not Found")</f>
      </c>
      <c r="K468" s="1" t="s">
        <v>5511</v>
      </c>
      <c r="L468" s="5">
        <f>XLOOKUP(N468, uom!C:C, uom!B:B, "Not Found")</f>
      </c>
      <c r="M468" s="1" t="s">
        <v>5511</v>
      </c>
      <c r="N468" s="8" t="s">
        <v>5512</v>
      </c>
      <c r="O468" s="1" t="s">
        <v>5513</v>
      </c>
      <c r="P468" s="5">
        <f>XLOOKUP(R468, classification!C:C, classification!B:B, "Not Found")</f>
      </c>
      <c r="Q468" s="1" t="s">
        <v>5514</v>
      </c>
      <c r="R468" s="2"/>
      <c r="S468" s="2"/>
      <c r="T468" s="2"/>
      <c r="U468" s="2"/>
    </row>
    <row x14ac:dyDescent="0.25" r="469" customHeight="1" ht="17.25">
      <c r="A469" s="7">
        <v>468</v>
      </c>
      <c r="B469" s="1" t="s">
        <v>5957</v>
      </c>
      <c r="C469" s="5">
        <f>CONCATENATE("PD", TEXT(A469, "1000000"))</f>
      </c>
      <c r="D469" s="7">
        <v>63</v>
      </c>
      <c r="E469" s="5">
        <f>XLOOKUP(G469, item_category!C:C, item_category!B:B, "Not Found")</f>
      </c>
      <c r="F469" s="1" t="s">
        <v>3726</v>
      </c>
      <c r="G469" s="5">
        <f>XLOOKUP(I469, drug!B:B, drug!A:A, "Not Found")</f>
      </c>
      <c r="H469" s="1" t="s">
        <v>1364</v>
      </c>
      <c r="I469" s="7">
        <v>1</v>
      </c>
      <c r="J469" s="5">
        <f>XLOOKUP(L469, uom!C:C, uom!B:B, "Not Found")</f>
      </c>
      <c r="K469" s="1" t="s">
        <v>5511</v>
      </c>
      <c r="L469" s="5">
        <f>XLOOKUP(N469, uom!C:C, uom!B:B, "Not Found")</f>
      </c>
      <c r="M469" s="1" t="s">
        <v>5511</v>
      </c>
      <c r="N469" s="8" t="s">
        <v>5512</v>
      </c>
      <c r="O469" s="1" t="s">
        <v>5513</v>
      </c>
      <c r="P469" s="5">
        <f>XLOOKUP(R469, classification!C:C, classification!B:B, "Not Found")</f>
      </c>
      <c r="Q469" s="1" t="s">
        <v>5514</v>
      </c>
      <c r="R469" s="2"/>
      <c r="S469" s="2"/>
      <c r="T469" s="2"/>
      <c r="U469" s="2"/>
    </row>
    <row x14ac:dyDescent="0.25" r="470" customHeight="1" ht="17.25">
      <c r="A470" s="7">
        <v>469</v>
      </c>
      <c r="B470" s="1" t="s">
        <v>1890</v>
      </c>
      <c r="C470" s="5">
        <f>CONCATENATE("PD", TEXT(A470, "1000000"))</f>
      </c>
      <c r="D470" s="7">
        <v>63</v>
      </c>
      <c r="E470" s="5">
        <f>XLOOKUP(G470, item_category!C:C, item_category!B:B, "Not Found")</f>
      </c>
      <c r="F470" s="1" t="s">
        <v>3726</v>
      </c>
      <c r="G470" s="5">
        <f>XLOOKUP(I470, drug!B:B, drug!A:A, "Not Found")</f>
      </c>
      <c r="H470" s="1" t="s">
        <v>1890</v>
      </c>
      <c r="I470" s="7">
        <v>1</v>
      </c>
      <c r="J470" s="5">
        <f>XLOOKUP(L470, uom!C:C, uom!B:B, "Not Found")</f>
      </c>
      <c r="K470" s="1" t="s">
        <v>5511</v>
      </c>
      <c r="L470" s="5">
        <f>XLOOKUP(N470, uom!C:C, uom!B:B, "Not Found")</f>
      </c>
      <c r="M470" s="1" t="s">
        <v>5511</v>
      </c>
      <c r="N470" s="8" t="s">
        <v>5512</v>
      </c>
      <c r="O470" s="1" t="s">
        <v>5513</v>
      </c>
      <c r="P470" s="5">
        <f>XLOOKUP(R470, classification!C:C, classification!B:B, "Not Found")</f>
      </c>
      <c r="Q470" s="1" t="s">
        <v>5514</v>
      </c>
      <c r="R470" s="2"/>
      <c r="S470" s="2"/>
      <c r="T470" s="2"/>
      <c r="U470" s="2"/>
    </row>
    <row x14ac:dyDescent="0.25" r="471" customHeight="1" ht="17.25">
      <c r="A471" s="7">
        <v>470</v>
      </c>
      <c r="B471" s="1" t="s">
        <v>5958</v>
      </c>
      <c r="C471" s="5">
        <f>CONCATENATE("PD", TEXT(A471, "1000000"))</f>
      </c>
      <c r="D471" s="7">
        <v>63</v>
      </c>
      <c r="E471" s="5">
        <f>XLOOKUP(G471, item_category!C:C, item_category!B:B, "Not Found")</f>
      </c>
      <c r="F471" s="1" t="s">
        <v>3726</v>
      </c>
      <c r="G471" s="5">
        <f>XLOOKUP(I471, drug!B:B, drug!A:A, "Not Found")</f>
      </c>
      <c r="H471" s="1" t="s">
        <v>1892</v>
      </c>
      <c r="I471" s="7">
        <v>1</v>
      </c>
      <c r="J471" s="5">
        <f>XLOOKUP(L471, uom!C:C, uom!B:B, "Not Found")</f>
      </c>
      <c r="K471" s="1" t="s">
        <v>5511</v>
      </c>
      <c r="L471" s="5">
        <f>XLOOKUP(N471, uom!C:C, uom!B:B, "Not Found")</f>
      </c>
      <c r="M471" s="1" t="s">
        <v>5511</v>
      </c>
      <c r="N471" s="8" t="s">
        <v>5512</v>
      </c>
      <c r="O471" s="1" t="s">
        <v>5513</v>
      </c>
      <c r="P471" s="5">
        <f>XLOOKUP(R471, classification!C:C, classification!B:B, "Not Found")</f>
      </c>
      <c r="Q471" s="1" t="s">
        <v>5514</v>
      </c>
      <c r="R471" s="2"/>
      <c r="S471" s="2"/>
      <c r="T471" s="2"/>
      <c r="U471" s="2"/>
    </row>
    <row x14ac:dyDescent="0.25" r="472" customHeight="1" ht="17.25">
      <c r="A472" s="7">
        <v>471</v>
      </c>
      <c r="B472" s="1" t="s">
        <v>5959</v>
      </c>
      <c r="C472" s="5">
        <f>CONCATENATE("PD", TEXT(A472, "1000000"))</f>
      </c>
      <c r="D472" s="7">
        <v>63</v>
      </c>
      <c r="E472" s="5">
        <f>XLOOKUP(G472, item_category!C:C, item_category!B:B, "Not Found")</f>
      </c>
      <c r="F472" s="1" t="s">
        <v>3726</v>
      </c>
      <c r="G472" s="5">
        <f>XLOOKUP(I472, drug!B:B, drug!A:A, "Not Found")</f>
      </c>
      <c r="H472" s="1" t="s">
        <v>883</v>
      </c>
      <c r="I472" s="7">
        <v>1</v>
      </c>
      <c r="J472" s="5">
        <f>XLOOKUP(L472, uom!C:C, uom!B:B, "Not Found")</f>
      </c>
      <c r="K472" s="1" t="s">
        <v>5511</v>
      </c>
      <c r="L472" s="5">
        <f>XLOOKUP(N472, uom!C:C, uom!B:B, "Not Found")</f>
      </c>
      <c r="M472" s="1" t="s">
        <v>5511</v>
      </c>
      <c r="N472" s="8" t="s">
        <v>5512</v>
      </c>
      <c r="O472" s="1" t="s">
        <v>5513</v>
      </c>
      <c r="P472" s="5">
        <f>XLOOKUP(R472, classification!C:C, classification!B:B, "Not Found")</f>
      </c>
      <c r="Q472" s="1" t="s">
        <v>5514</v>
      </c>
      <c r="R472" s="2"/>
      <c r="S472" s="2"/>
      <c r="T472" s="2"/>
      <c r="U472" s="2"/>
    </row>
    <row x14ac:dyDescent="0.25" r="473" customHeight="1" ht="17.25">
      <c r="A473" s="7">
        <v>472</v>
      </c>
      <c r="B473" s="1" t="s">
        <v>5960</v>
      </c>
      <c r="C473" s="5">
        <f>CONCATENATE("PD", TEXT(A473, "1000000"))</f>
      </c>
      <c r="D473" s="7">
        <v>63</v>
      </c>
      <c r="E473" s="5">
        <f>XLOOKUP(G473, item_category!C:C, item_category!B:B, "Not Found")</f>
      </c>
      <c r="F473" s="1" t="s">
        <v>3726</v>
      </c>
      <c r="G473" s="5">
        <f>XLOOKUP(I473, drug!B:B, drug!A:A, "Not Found")</f>
      </c>
      <c r="H473" s="1" t="s">
        <v>883</v>
      </c>
      <c r="I473" s="7">
        <v>1</v>
      </c>
      <c r="J473" s="5">
        <f>XLOOKUP(L473, uom!C:C, uom!B:B, "Not Found")</f>
      </c>
      <c r="K473" s="1" t="s">
        <v>5511</v>
      </c>
      <c r="L473" s="5">
        <f>XLOOKUP(N473, uom!C:C, uom!B:B, "Not Found")</f>
      </c>
      <c r="M473" s="1" t="s">
        <v>5511</v>
      </c>
      <c r="N473" s="8" t="s">
        <v>5512</v>
      </c>
      <c r="O473" s="1" t="s">
        <v>5513</v>
      </c>
      <c r="P473" s="5">
        <f>XLOOKUP(R473, classification!C:C, classification!B:B, "Not Found")</f>
      </c>
      <c r="Q473" s="1" t="s">
        <v>5514</v>
      </c>
      <c r="R473" s="2"/>
      <c r="S473" s="2"/>
      <c r="T473" s="2"/>
      <c r="U473" s="2"/>
    </row>
    <row x14ac:dyDescent="0.25" r="474" customHeight="1" ht="17.25">
      <c r="A474" s="7">
        <v>473</v>
      </c>
      <c r="B474" s="1" t="s">
        <v>5961</v>
      </c>
      <c r="C474" s="5">
        <f>CONCATENATE("PD", TEXT(A474, "1000000"))</f>
      </c>
      <c r="D474" s="7">
        <v>63</v>
      </c>
      <c r="E474" s="5">
        <f>XLOOKUP(G474, item_category!C:C, item_category!B:B, "Not Found")</f>
      </c>
      <c r="F474" s="1" t="s">
        <v>3726</v>
      </c>
      <c r="G474" s="5">
        <f>XLOOKUP(I474, drug!B:B, drug!A:A, "Not Found")</f>
      </c>
      <c r="H474" s="1" t="s">
        <v>1894</v>
      </c>
      <c r="I474" s="7">
        <v>1</v>
      </c>
      <c r="J474" s="5">
        <f>XLOOKUP(L474, uom!C:C, uom!B:B, "Not Found")</f>
      </c>
      <c r="K474" s="1" t="s">
        <v>5511</v>
      </c>
      <c r="L474" s="5">
        <f>XLOOKUP(N474, uom!C:C, uom!B:B, "Not Found")</f>
      </c>
      <c r="M474" s="1" t="s">
        <v>5511</v>
      </c>
      <c r="N474" s="8" t="s">
        <v>5512</v>
      </c>
      <c r="O474" s="1" t="s">
        <v>5513</v>
      </c>
      <c r="P474" s="5">
        <f>XLOOKUP(R474, classification!C:C, classification!B:B, "Not Found")</f>
      </c>
      <c r="Q474" s="1" t="s">
        <v>5514</v>
      </c>
      <c r="R474" s="2"/>
      <c r="S474" s="2"/>
      <c r="T474" s="2"/>
      <c r="U474" s="2"/>
    </row>
    <row x14ac:dyDescent="0.25" r="475" customHeight="1" ht="17.25">
      <c r="A475" s="7">
        <v>474</v>
      </c>
      <c r="B475" s="1" t="s">
        <v>5962</v>
      </c>
      <c r="C475" s="5">
        <f>CONCATENATE("PD", TEXT(A475, "1000000"))</f>
      </c>
      <c r="D475" s="7">
        <v>63</v>
      </c>
      <c r="E475" s="5">
        <f>XLOOKUP(G475, item_category!C:C, item_category!B:B, "Not Found")</f>
      </c>
      <c r="F475" s="1" t="s">
        <v>3726</v>
      </c>
      <c r="G475" s="5">
        <f>XLOOKUP(I475, drug!B:B, drug!A:A, "Not Found")</f>
      </c>
      <c r="H475" s="1" t="s">
        <v>1526</v>
      </c>
      <c r="I475" s="7">
        <v>1</v>
      </c>
      <c r="J475" s="5">
        <f>XLOOKUP(L475, uom!C:C, uom!B:B, "Not Found")</f>
      </c>
      <c r="K475" s="1" t="s">
        <v>5511</v>
      </c>
      <c r="L475" s="5">
        <f>XLOOKUP(N475, uom!C:C, uom!B:B, "Not Found")</f>
      </c>
      <c r="M475" s="1" t="s">
        <v>5511</v>
      </c>
      <c r="N475" s="8" t="s">
        <v>5512</v>
      </c>
      <c r="O475" s="1" t="s">
        <v>5513</v>
      </c>
      <c r="P475" s="5">
        <f>XLOOKUP(R475, classification!C:C, classification!B:B, "Not Found")</f>
      </c>
      <c r="Q475" s="1" t="s">
        <v>5514</v>
      </c>
      <c r="R475" s="2"/>
      <c r="S475" s="2"/>
      <c r="T475" s="2"/>
      <c r="U475" s="2"/>
    </row>
    <row x14ac:dyDescent="0.25" r="476" customHeight="1" ht="17.25">
      <c r="A476" s="7">
        <v>475</v>
      </c>
      <c r="B476" s="1" t="s">
        <v>5963</v>
      </c>
      <c r="C476" s="5">
        <f>CONCATENATE("PD", TEXT(A476, "1000000"))</f>
      </c>
      <c r="D476" s="7">
        <v>63</v>
      </c>
      <c r="E476" s="5">
        <f>XLOOKUP(G476, item_category!C:C, item_category!B:B, "Not Found")</f>
      </c>
      <c r="F476" s="1" t="s">
        <v>3726</v>
      </c>
      <c r="G476" s="5">
        <f>XLOOKUP(I476, drug!B:B, drug!A:A, "Not Found")</f>
      </c>
      <c r="H476" s="1" t="s">
        <v>1896</v>
      </c>
      <c r="I476" s="7">
        <v>1</v>
      </c>
      <c r="J476" s="5">
        <f>XLOOKUP(L476, uom!C:C, uom!B:B, "Not Found")</f>
      </c>
      <c r="K476" s="1" t="s">
        <v>5511</v>
      </c>
      <c r="L476" s="5">
        <f>XLOOKUP(N476, uom!C:C, uom!B:B, "Not Found")</f>
      </c>
      <c r="M476" s="1" t="s">
        <v>5511</v>
      </c>
      <c r="N476" s="8" t="s">
        <v>5512</v>
      </c>
      <c r="O476" s="1" t="s">
        <v>5513</v>
      </c>
      <c r="P476" s="5">
        <f>XLOOKUP(R476, classification!C:C, classification!B:B, "Not Found")</f>
      </c>
      <c r="Q476" s="1" t="s">
        <v>5514</v>
      </c>
      <c r="R476" s="2"/>
      <c r="S476" s="2"/>
      <c r="T476" s="2"/>
      <c r="U476" s="2"/>
    </row>
    <row x14ac:dyDescent="0.25" r="477" customHeight="1" ht="17.25">
      <c r="A477" s="7">
        <v>476</v>
      </c>
      <c r="B477" s="1" t="s">
        <v>5964</v>
      </c>
      <c r="C477" s="5">
        <f>CONCATENATE("PD", TEXT(A477, "1000000"))</f>
      </c>
      <c r="D477" s="7">
        <v>63</v>
      </c>
      <c r="E477" s="5">
        <f>XLOOKUP(G477, item_category!C:C, item_category!B:B, "Not Found")</f>
      </c>
      <c r="F477" s="1" t="s">
        <v>3726</v>
      </c>
      <c r="G477" s="5">
        <f>XLOOKUP(I477, drug!B:B, drug!A:A, "Not Found")</f>
      </c>
      <c r="H477" s="1" t="s">
        <v>1898</v>
      </c>
      <c r="I477" s="7">
        <v>1</v>
      </c>
      <c r="J477" s="5">
        <f>XLOOKUP(L477, uom!C:C, uom!B:B, "Not Found")</f>
      </c>
      <c r="K477" s="1" t="s">
        <v>5511</v>
      </c>
      <c r="L477" s="5">
        <f>XLOOKUP(N477, uom!C:C, uom!B:B, "Not Found")</f>
      </c>
      <c r="M477" s="1" t="s">
        <v>5511</v>
      </c>
      <c r="N477" s="8" t="s">
        <v>5512</v>
      </c>
      <c r="O477" s="1" t="s">
        <v>5513</v>
      </c>
      <c r="P477" s="5">
        <f>XLOOKUP(R477, classification!C:C, classification!B:B, "Not Found")</f>
      </c>
      <c r="Q477" s="1" t="s">
        <v>5514</v>
      </c>
      <c r="R477" s="2"/>
      <c r="S477" s="2"/>
      <c r="T477" s="2"/>
      <c r="U477" s="2"/>
    </row>
    <row x14ac:dyDescent="0.25" r="478" customHeight="1" ht="17.25">
      <c r="A478" s="7">
        <v>477</v>
      </c>
      <c r="B478" s="1" t="s">
        <v>5965</v>
      </c>
      <c r="C478" s="5">
        <f>CONCATENATE("PD", TEXT(A478, "1000000"))</f>
      </c>
      <c r="D478" s="7">
        <v>63</v>
      </c>
      <c r="E478" s="5">
        <f>XLOOKUP(G478, item_category!C:C, item_category!B:B, "Not Found")</f>
      </c>
      <c r="F478" s="1" t="s">
        <v>3726</v>
      </c>
      <c r="G478" s="5">
        <f>XLOOKUP(I478, drug!B:B, drug!A:A, "Not Found")</f>
      </c>
      <c r="H478" s="1" t="s">
        <v>1898</v>
      </c>
      <c r="I478" s="7">
        <v>1</v>
      </c>
      <c r="J478" s="5">
        <f>XLOOKUP(L478, uom!C:C, uom!B:B, "Not Found")</f>
      </c>
      <c r="K478" s="1" t="s">
        <v>5511</v>
      </c>
      <c r="L478" s="5">
        <f>XLOOKUP(N478, uom!C:C, uom!B:B, "Not Found")</f>
      </c>
      <c r="M478" s="1" t="s">
        <v>5511</v>
      </c>
      <c r="N478" s="8" t="s">
        <v>5512</v>
      </c>
      <c r="O478" s="1" t="s">
        <v>5513</v>
      </c>
      <c r="P478" s="5">
        <f>XLOOKUP(R478, classification!C:C, classification!B:B, "Not Found")</f>
      </c>
      <c r="Q478" s="1" t="s">
        <v>5514</v>
      </c>
      <c r="R478" s="2"/>
      <c r="S478" s="2"/>
      <c r="T478" s="2"/>
      <c r="U478" s="2"/>
    </row>
    <row x14ac:dyDescent="0.25" r="479" customHeight="1" ht="17.25">
      <c r="A479" s="7">
        <v>478</v>
      </c>
      <c r="B479" s="1" t="s">
        <v>5966</v>
      </c>
      <c r="C479" s="5">
        <f>CONCATENATE("PD", TEXT(A479, "1000000"))</f>
      </c>
      <c r="D479" s="7">
        <v>63</v>
      </c>
      <c r="E479" s="5">
        <f>XLOOKUP(G479, item_category!C:C, item_category!B:B, "Not Found")</f>
      </c>
      <c r="F479" s="1" t="s">
        <v>3726</v>
      </c>
      <c r="G479" s="5">
        <f>XLOOKUP(I479, drug!B:B, drug!A:A, "Not Found")</f>
      </c>
      <c r="H479" s="1" t="s">
        <v>1900</v>
      </c>
      <c r="I479" s="7">
        <v>1</v>
      </c>
      <c r="J479" s="5">
        <f>XLOOKUP(L479, uom!C:C, uom!B:B, "Not Found")</f>
      </c>
      <c r="K479" s="1" t="s">
        <v>5511</v>
      </c>
      <c r="L479" s="5">
        <f>XLOOKUP(N479, uom!C:C, uom!B:B, "Not Found")</f>
      </c>
      <c r="M479" s="1" t="s">
        <v>5511</v>
      </c>
      <c r="N479" s="8" t="s">
        <v>5512</v>
      </c>
      <c r="O479" s="1" t="s">
        <v>5513</v>
      </c>
      <c r="P479" s="5">
        <f>XLOOKUP(R479, classification!C:C, classification!B:B, "Not Found")</f>
      </c>
      <c r="Q479" s="1" t="s">
        <v>5514</v>
      </c>
      <c r="R479" s="2"/>
      <c r="S479" s="2"/>
      <c r="T479" s="2"/>
      <c r="U479" s="2"/>
    </row>
    <row x14ac:dyDescent="0.25" r="480" customHeight="1" ht="17.25">
      <c r="A480" s="7">
        <v>479</v>
      </c>
      <c r="B480" s="1" t="s">
        <v>5967</v>
      </c>
      <c r="C480" s="5">
        <f>CONCATENATE("PD", TEXT(A480, "1000000"))</f>
      </c>
      <c r="D480" s="7">
        <v>63</v>
      </c>
      <c r="E480" s="5">
        <f>XLOOKUP(G480, item_category!C:C, item_category!B:B, "Not Found")</f>
      </c>
      <c r="F480" s="1" t="s">
        <v>3726</v>
      </c>
      <c r="G480" s="5">
        <f>XLOOKUP(I480, drug!B:B, drug!A:A, "Not Found")</f>
      </c>
      <c r="H480" s="1" t="s">
        <v>1088</v>
      </c>
      <c r="I480" s="7">
        <v>1</v>
      </c>
      <c r="J480" s="5">
        <f>XLOOKUP(L480, uom!C:C, uom!B:B, "Not Found")</f>
      </c>
      <c r="K480" s="1" t="s">
        <v>5511</v>
      </c>
      <c r="L480" s="5">
        <f>XLOOKUP(N480, uom!C:C, uom!B:B, "Not Found")</f>
      </c>
      <c r="M480" s="1" t="s">
        <v>5511</v>
      </c>
      <c r="N480" s="8" t="s">
        <v>5512</v>
      </c>
      <c r="O480" s="1" t="s">
        <v>5513</v>
      </c>
      <c r="P480" s="5">
        <f>XLOOKUP(R480, classification!C:C, classification!B:B, "Not Found")</f>
      </c>
      <c r="Q480" s="1" t="s">
        <v>5514</v>
      </c>
      <c r="R480" s="2"/>
      <c r="S480" s="2"/>
      <c r="T480" s="2"/>
      <c r="U480" s="2"/>
    </row>
    <row x14ac:dyDescent="0.25" r="481" customHeight="1" ht="17.25">
      <c r="A481" s="7">
        <v>480</v>
      </c>
      <c r="B481" s="1" t="s">
        <v>5968</v>
      </c>
      <c r="C481" s="5">
        <f>CONCATENATE("PD", TEXT(A481, "1000000"))</f>
      </c>
      <c r="D481" s="7">
        <v>63</v>
      </c>
      <c r="E481" s="5">
        <f>XLOOKUP(G481, item_category!C:C, item_category!B:B, "Not Found")</f>
      </c>
      <c r="F481" s="1" t="s">
        <v>3726</v>
      </c>
      <c r="G481" s="5">
        <f>XLOOKUP(I481, drug!B:B, drug!A:A, "Not Found")</f>
      </c>
      <c r="H481" s="1" t="s">
        <v>1902</v>
      </c>
      <c r="I481" s="7">
        <v>1</v>
      </c>
      <c r="J481" s="5">
        <f>XLOOKUP(L481, uom!C:C, uom!B:B, "Not Found")</f>
      </c>
      <c r="K481" s="1" t="s">
        <v>5511</v>
      </c>
      <c r="L481" s="5">
        <f>XLOOKUP(N481, uom!C:C, uom!B:B, "Not Found")</f>
      </c>
      <c r="M481" s="1" t="s">
        <v>5511</v>
      </c>
      <c r="N481" s="8" t="s">
        <v>5512</v>
      </c>
      <c r="O481" s="1" t="s">
        <v>5513</v>
      </c>
      <c r="P481" s="5">
        <f>XLOOKUP(R481, classification!C:C, classification!B:B, "Not Found")</f>
      </c>
      <c r="Q481" s="1" t="s">
        <v>5514</v>
      </c>
      <c r="R481" s="2"/>
      <c r="S481" s="2"/>
      <c r="T481" s="2"/>
      <c r="U481" s="2"/>
    </row>
    <row x14ac:dyDescent="0.25" r="482" customHeight="1" ht="17.25">
      <c r="A482" s="7">
        <v>481</v>
      </c>
      <c r="B482" s="1" t="s">
        <v>1904</v>
      </c>
      <c r="C482" s="5">
        <f>CONCATENATE("PD", TEXT(A482, "1000000"))</f>
      </c>
      <c r="D482" s="7">
        <v>63</v>
      </c>
      <c r="E482" s="5">
        <f>XLOOKUP(G482, item_category!C:C, item_category!B:B, "Not Found")</f>
      </c>
      <c r="F482" s="1" t="s">
        <v>3726</v>
      </c>
      <c r="G482" s="5">
        <f>XLOOKUP(I482, drug!B:B, drug!A:A, "Not Found")</f>
      </c>
      <c r="H482" s="1" t="s">
        <v>1904</v>
      </c>
      <c r="I482" s="7">
        <v>1</v>
      </c>
      <c r="J482" s="5">
        <f>XLOOKUP(L482, uom!C:C, uom!B:B, "Not Found")</f>
      </c>
      <c r="K482" s="1" t="s">
        <v>5511</v>
      </c>
      <c r="L482" s="5">
        <f>XLOOKUP(N482, uom!C:C, uom!B:B, "Not Found")</f>
      </c>
      <c r="M482" s="1" t="s">
        <v>5511</v>
      </c>
      <c r="N482" s="8" t="s">
        <v>5512</v>
      </c>
      <c r="O482" s="1" t="s">
        <v>5513</v>
      </c>
      <c r="P482" s="5">
        <f>XLOOKUP(R482, classification!C:C, classification!B:B, "Not Found")</f>
      </c>
      <c r="Q482" s="1" t="s">
        <v>5514</v>
      </c>
      <c r="R482" s="2"/>
      <c r="S482" s="2"/>
      <c r="T482" s="2"/>
      <c r="U482" s="2"/>
    </row>
    <row x14ac:dyDescent="0.25" r="483" customHeight="1" ht="17.25">
      <c r="A483" s="7">
        <v>482</v>
      </c>
      <c r="B483" s="1" t="s">
        <v>5969</v>
      </c>
      <c r="C483" s="5">
        <f>CONCATENATE("PD", TEXT(A483, "1000000"))</f>
      </c>
      <c r="D483" s="7">
        <v>63</v>
      </c>
      <c r="E483" s="5">
        <f>XLOOKUP(G483, item_category!C:C, item_category!B:B, "Not Found")</f>
      </c>
      <c r="F483" s="1" t="s">
        <v>3726</v>
      </c>
      <c r="G483" s="5">
        <f>XLOOKUP(I483, drug!B:B, drug!A:A, "Not Found")</f>
      </c>
      <c r="H483" s="1" t="s">
        <v>1906</v>
      </c>
      <c r="I483" s="7">
        <v>1</v>
      </c>
      <c r="J483" s="5">
        <f>XLOOKUP(L483, uom!C:C, uom!B:B, "Not Found")</f>
      </c>
      <c r="K483" s="1" t="s">
        <v>5511</v>
      </c>
      <c r="L483" s="5">
        <f>XLOOKUP(N483, uom!C:C, uom!B:B, "Not Found")</f>
      </c>
      <c r="M483" s="1" t="s">
        <v>5511</v>
      </c>
      <c r="N483" s="8" t="s">
        <v>5512</v>
      </c>
      <c r="O483" s="1" t="s">
        <v>5513</v>
      </c>
      <c r="P483" s="5">
        <f>XLOOKUP(R483, classification!C:C, classification!B:B, "Not Found")</f>
      </c>
      <c r="Q483" s="1" t="s">
        <v>5514</v>
      </c>
      <c r="R483" s="2"/>
      <c r="S483" s="2"/>
      <c r="T483" s="2"/>
      <c r="U483" s="2"/>
    </row>
    <row x14ac:dyDescent="0.25" r="484" customHeight="1" ht="17.25">
      <c r="A484" s="7">
        <v>483</v>
      </c>
      <c r="B484" s="1" t="s">
        <v>5970</v>
      </c>
      <c r="C484" s="5">
        <f>CONCATENATE("PD", TEXT(A484, "1000000"))</f>
      </c>
      <c r="D484" s="7">
        <v>63</v>
      </c>
      <c r="E484" s="5">
        <f>XLOOKUP(G484, item_category!C:C, item_category!B:B, "Not Found")</f>
      </c>
      <c r="F484" s="1" t="s">
        <v>3726</v>
      </c>
      <c r="G484" s="5">
        <f>XLOOKUP(I484, drug!B:B, drug!A:A, "Not Found")</f>
      </c>
      <c r="H484" s="1" t="s">
        <v>1908</v>
      </c>
      <c r="I484" s="7">
        <v>1</v>
      </c>
      <c r="J484" s="5">
        <f>XLOOKUP(L484, uom!C:C, uom!B:B, "Not Found")</f>
      </c>
      <c r="K484" s="1" t="s">
        <v>5511</v>
      </c>
      <c r="L484" s="5">
        <f>XLOOKUP(N484, uom!C:C, uom!B:B, "Not Found")</f>
      </c>
      <c r="M484" s="1" t="s">
        <v>5511</v>
      </c>
      <c r="N484" s="8" t="s">
        <v>5512</v>
      </c>
      <c r="O484" s="1" t="s">
        <v>5513</v>
      </c>
      <c r="P484" s="5">
        <f>XLOOKUP(R484, classification!C:C, classification!B:B, "Not Found")</f>
      </c>
      <c r="Q484" s="1" t="s">
        <v>5514</v>
      </c>
      <c r="R484" s="2"/>
      <c r="S484" s="2"/>
      <c r="T484" s="2"/>
      <c r="U484" s="2"/>
    </row>
    <row x14ac:dyDescent="0.25" r="485" customHeight="1" ht="17.25">
      <c r="A485" s="7">
        <v>484</v>
      </c>
      <c r="B485" s="1" t="s">
        <v>5971</v>
      </c>
      <c r="C485" s="5">
        <f>CONCATENATE("PD", TEXT(A485, "1000000"))</f>
      </c>
      <c r="D485" s="7">
        <v>63</v>
      </c>
      <c r="E485" s="5">
        <f>XLOOKUP(G485, item_category!C:C, item_category!B:B, "Not Found")</f>
      </c>
      <c r="F485" s="1" t="s">
        <v>3726</v>
      </c>
      <c r="G485" s="5">
        <f>XLOOKUP(I485, drug!B:B, drug!A:A, "Not Found")</f>
      </c>
      <c r="H485" s="1" t="s">
        <v>1910</v>
      </c>
      <c r="I485" s="7">
        <v>1</v>
      </c>
      <c r="J485" s="5">
        <f>XLOOKUP(L485, uom!C:C, uom!B:B, "Not Found")</f>
      </c>
      <c r="K485" s="1" t="s">
        <v>5511</v>
      </c>
      <c r="L485" s="5">
        <f>XLOOKUP(N485, uom!C:C, uom!B:B, "Not Found")</f>
      </c>
      <c r="M485" s="1" t="s">
        <v>5511</v>
      </c>
      <c r="N485" s="8" t="s">
        <v>5512</v>
      </c>
      <c r="O485" s="1" t="s">
        <v>5513</v>
      </c>
      <c r="P485" s="5">
        <f>XLOOKUP(R485, classification!C:C, classification!B:B, "Not Found")</f>
      </c>
      <c r="Q485" s="1" t="s">
        <v>5514</v>
      </c>
      <c r="R485" s="2"/>
      <c r="S485" s="2"/>
      <c r="T485" s="2"/>
      <c r="U485" s="2"/>
    </row>
    <row x14ac:dyDescent="0.25" r="486" customHeight="1" ht="17.25">
      <c r="A486" s="7">
        <v>485</v>
      </c>
      <c r="B486" s="1" t="s">
        <v>5972</v>
      </c>
      <c r="C486" s="5">
        <f>CONCATENATE("PD", TEXT(A486, "1000000"))</f>
      </c>
      <c r="D486" s="7">
        <v>63</v>
      </c>
      <c r="E486" s="5">
        <f>XLOOKUP(G486, item_category!C:C, item_category!B:B, "Not Found")</f>
      </c>
      <c r="F486" s="1" t="s">
        <v>3726</v>
      </c>
      <c r="G486" s="5">
        <f>XLOOKUP(I486, drug!B:B, drug!A:A, "Not Found")</f>
      </c>
      <c r="H486" s="1" t="s">
        <v>1912</v>
      </c>
      <c r="I486" s="7">
        <v>1</v>
      </c>
      <c r="J486" s="5">
        <f>XLOOKUP(L486, uom!C:C, uom!B:B, "Not Found")</f>
      </c>
      <c r="K486" s="1" t="s">
        <v>5511</v>
      </c>
      <c r="L486" s="5">
        <f>XLOOKUP(N486, uom!C:C, uom!B:B, "Not Found")</f>
      </c>
      <c r="M486" s="1" t="s">
        <v>5511</v>
      </c>
      <c r="N486" s="8" t="s">
        <v>5512</v>
      </c>
      <c r="O486" s="1" t="s">
        <v>5513</v>
      </c>
      <c r="P486" s="5">
        <f>XLOOKUP(R486, classification!C:C, classification!B:B, "Not Found")</f>
      </c>
      <c r="Q486" s="1" t="s">
        <v>5514</v>
      </c>
      <c r="R486" s="2"/>
      <c r="S486" s="2"/>
      <c r="T486" s="2"/>
      <c r="U486" s="2"/>
    </row>
    <row x14ac:dyDescent="0.25" r="487" customHeight="1" ht="17.25">
      <c r="A487" s="7">
        <v>486</v>
      </c>
      <c r="B487" s="1" t="s">
        <v>5973</v>
      </c>
      <c r="C487" s="5">
        <f>CONCATENATE("PD", TEXT(A487, "1000000"))</f>
      </c>
      <c r="D487" s="7">
        <v>63</v>
      </c>
      <c r="E487" s="5">
        <f>XLOOKUP(G487, item_category!C:C, item_category!B:B, "Not Found")</f>
      </c>
      <c r="F487" s="1" t="s">
        <v>3726</v>
      </c>
      <c r="G487" s="5">
        <f>XLOOKUP(I487, drug!B:B, drug!A:A, "Not Found")</f>
      </c>
      <c r="H487" s="1" t="s">
        <v>1914</v>
      </c>
      <c r="I487" s="7">
        <v>1</v>
      </c>
      <c r="J487" s="5">
        <f>XLOOKUP(L487, uom!C:C, uom!B:B, "Not Found")</f>
      </c>
      <c r="K487" s="1" t="s">
        <v>5511</v>
      </c>
      <c r="L487" s="5">
        <f>XLOOKUP(N487, uom!C:C, uom!B:B, "Not Found")</f>
      </c>
      <c r="M487" s="1" t="s">
        <v>5511</v>
      </c>
      <c r="N487" s="8" t="s">
        <v>5512</v>
      </c>
      <c r="O487" s="1" t="s">
        <v>5513</v>
      </c>
      <c r="P487" s="5">
        <f>XLOOKUP(R487, classification!C:C, classification!B:B, "Not Found")</f>
      </c>
      <c r="Q487" s="1" t="s">
        <v>5514</v>
      </c>
      <c r="R487" s="2"/>
      <c r="S487" s="2"/>
      <c r="T487" s="2"/>
      <c r="U487" s="2"/>
    </row>
    <row x14ac:dyDescent="0.25" r="488" customHeight="1" ht="17.25">
      <c r="A488" s="7">
        <v>487</v>
      </c>
      <c r="B488" s="1" t="s">
        <v>5974</v>
      </c>
      <c r="C488" s="5">
        <f>CONCATENATE("PD", TEXT(A488, "1000000"))</f>
      </c>
      <c r="D488" s="7">
        <v>63</v>
      </c>
      <c r="E488" s="5">
        <f>XLOOKUP(G488, item_category!C:C, item_category!B:B, "Not Found")</f>
      </c>
      <c r="F488" s="1" t="s">
        <v>3726</v>
      </c>
      <c r="G488" s="5">
        <f>XLOOKUP(I488, drug!B:B, drug!A:A, "Not Found")</f>
      </c>
      <c r="H488" s="1" t="s">
        <v>1228</v>
      </c>
      <c r="I488" s="7">
        <v>1</v>
      </c>
      <c r="J488" s="5">
        <f>XLOOKUP(L488, uom!C:C, uom!B:B, "Not Found")</f>
      </c>
      <c r="K488" s="1" t="s">
        <v>5511</v>
      </c>
      <c r="L488" s="5">
        <f>XLOOKUP(N488, uom!C:C, uom!B:B, "Not Found")</f>
      </c>
      <c r="M488" s="1" t="s">
        <v>5511</v>
      </c>
      <c r="N488" s="8" t="s">
        <v>5512</v>
      </c>
      <c r="O488" s="1" t="s">
        <v>5513</v>
      </c>
      <c r="P488" s="5">
        <f>XLOOKUP(R488, classification!C:C, classification!B:B, "Not Found")</f>
      </c>
      <c r="Q488" s="1" t="s">
        <v>5514</v>
      </c>
      <c r="R488" s="2"/>
      <c r="S488" s="2"/>
      <c r="T488" s="2"/>
      <c r="U488" s="2"/>
    </row>
    <row x14ac:dyDescent="0.25" r="489" customHeight="1" ht="17.25">
      <c r="A489" s="7">
        <v>488</v>
      </c>
      <c r="B489" s="1" t="s">
        <v>5975</v>
      </c>
      <c r="C489" s="5">
        <f>CONCATENATE("PD", TEXT(A489, "1000000"))</f>
      </c>
      <c r="D489" s="7">
        <v>63</v>
      </c>
      <c r="E489" s="5">
        <f>XLOOKUP(G489, item_category!C:C, item_category!B:B, "Not Found")</f>
      </c>
      <c r="F489" s="1" t="s">
        <v>3726</v>
      </c>
      <c r="G489" s="5">
        <f>XLOOKUP(I489, drug!B:B, drug!A:A, "Not Found")</f>
      </c>
      <c r="H489" s="1" t="s">
        <v>1916</v>
      </c>
      <c r="I489" s="7">
        <v>1</v>
      </c>
      <c r="J489" s="5">
        <f>XLOOKUP(L489, uom!C:C, uom!B:B, "Not Found")</f>
      </c>
      <c r="K489" s="1" t="s">
        <v>5511</v>
      </c>
      <c r="L489" s="5">
        <f>XLOOKUP(N489, uom!C:C, uom!B:B, "Not Found")</f>
      </c>
      <c r="M489" s="1" t="s">
        <v>5511</v>
      </c>
      <c r="N489" s="8" t="s">
        <v>5512</v>
      </c>
      <c r="O489" s="1" t="s">
        <v>5513</v>
      </c>
      <c r="P489" s="5">
        <f>XLOOKUP(R489, classification!C:C, classification!B:B, "Not Found")</f>
      </c>
      <c r="Q489" s="1" t="s">
        <v>5514</v>
      </c>
      <c r="R489" s="2"/>
      <c r="S489" s="2"/>
      <c r="T489" s="2"/>
      <c r="U489" s="2"/>
    </row>
    <row x14ac:dyDescent="0.25" r="490" customHeight="1" ht="17.25">
      <c r="A490" s="7">
        <v>489</v>
      </c>
      <c r="B490" s="1" t="s">
        <v>5976</v>
      </c>
      <c r="C490" s="5">
        <f>CONCATENATE("PD", TEXT(A490, "1000000"))</f>
      </c>
      <c r="D490" s="7">
        <v>63</v>
      </c>
      <c r="E490" s="5">
        <f>XLOOKUP(G490, item_category!C:C, item_category!B:B, "Not Found")</f>
      </c>
      <c r="F490" s="1" t="s">
        <v>3726</v>
      </c>
      <c r="G490" s="5">
        <f>XLOOKUP(I490, drug!B:B, drug!A:A, "Not Found")</f>
      </c>
      <c r="H490" s="1" t="s">
        <v>1918</v>
      </c>
      <c r="I490" s="7">
        <v>1</v>
      </c>
      <c r="J490" s="5">
        <f>XLOOKUP(L490, uom!C:C, uom!B:B, "Not Found")</f>
      </c>
      <c r="K490" s="1" t="s">
        <v>5511</v>
      </c>
      <c r="L490" s="5">
        <f>XLOOKUP(N490, uom!C:C, uom!B:B, "Not Found")</f>
      </c>
      <c r="M490" s="1" t="s">
        <v>5511</v>
      </c>
      <c r="N490" s="8" t="s">
        <v>5512</v>
      </c>
      <c r="O490" s="1" t="s">
        <v>5513</v>
      </c>
      <c r="P490" s="5">
        <f>XLOOKUP(R490, classification!C:C, classification!B:B, "Not Found")</f>
      </c>
      <c r="Q490" s="1" t="s">
        <v>5514</v>
      </c>
      <c r="R490" s="2"/>
      <c r="S490" s="2"/>
      <c r="T490" s="2"/>
      <c r="U490" s="2"/>
    </row>
    <row x14ac:dyDescent="0.25" r="491" customHeight="1" ht="17.25">
      <c r="A491" s="7">
        <v>490</v>
      </c>
      <c r="B491" s="1" t="s">
        <v>5935</v>
      </c>
      <c r="C491" s="5">
        <f>CONCATENATE("PD", TEXT(A491, "1000000"))</f>
      </c>
      <c r="D491" s="7">
        <v>63</v>
      </c>
      <c r="E491" s="5">
        <f>XLOOKUP(G491, item_category!C:C, item_category!B:B, "Not Found")</f>
      </c>
      <c r="F491" s="1" t="s">
        <v>3726</v>
      </c>
      <c r="G491" s="5">
        <f>XLOOKUP(I491, drug!B:B, drug!A:A, "Not Found")</f>
      </c>
      <c r="H491" s="1" t="s">
        <v>1856</v>
      </c>
      <c r="I491" s="7">
        <v>1</v>
      </c>
      <c r="J491" s="5">
        <f>XLOOKUP(L491, uom!C:C, uom!B:B, "Not Found")</f>
      </c>
      <c r="K491" s="1" t="s">
        <v>5511</v>
      </c>
      <c r="L491" s="5">
        <f>XLOOKUP(N491, uom!C:C, uom!B:B, "Not Found")</f>
      </c>
      <c r="M491" s="1" t="s">
        <v>5511</v>
      </c>
      <c r="N491" s="8" t="s">
        <v>5512</v>
      </c>
      <c r="O491" s="1" t="s">
        <v>5513</v>
      </c>
      <c r="P491" s="5">
        <f>XLOOKUP(R491, classification!C:C, classification!B:B, "Not Found")</f>
      </c>
      <c r="Q491" s="1" t="s">
        <v>5514</v>
      </c>
      <c r="R491" s="2"/>
      <c r="S491" s="2"/>
      <c r="T491" s="2"/>
      <c r="U491" s="2"/>
    </row>
    <row x14ac:dyDescent="0.25" r="492" customHeight="1" ht="17.25">
      <c r="A492" s="7">
        <v>491</v>
      </c>
      <c r="B492" s="1" t="s">
        <v>5977</v>
      </c>
      <c r="C492" s="5">
        <f>CONCATENATE("PD", TEXT(A492, "1000000"))</f>
      </c>
      <c r="D492" s="7">
        <v>63</v>
      </c>
      <c r="E492" s="5">
        <f>XLOOKUP(G492, item_category!C:C, item_category!B:B, "Not Found")</f>
      </c>
      <c r="F492" s="1" t="s">
        <v>3726</v>
      </c>
      <c r="G492" s="5">
        <f>XLOOKUP(I492, drug!B:B, drug!A:A, "Not Found")</f>
      </c>
      <c r="H492" s="1" t="s">
        <v>1920</v>
      </c>
      <c r="I492" s="7">
        <v>1</v>
      </c>
      <c r="J492" s="5">
        <f>XLOOKUP(L492, uom!C:C, uom!B:B, "Not Found")</f>
      </c>
      <c r="K492" s="1" t="s">
        <v>5511</v>
      </c>
      <c r="L492" s="5">
        <f>XLOOKUP(N492, uom!C:C, uom!B:B, "Not Found")</f>
      </c>
      <c r="M492" s="1" t="s">
        <v>5511</v>
      </c>
      <c r="N492" s="8" t="s">
        <v>5512</v>
      </c>
      <c r="O492" s="1" t="s">
        <v>5513</v>
      </c>
      <c r="P492" s="5">
        <f>XLOOKUP(R492, classification!C:C, classification!B:B, "Not Found")</f>
      </c>
      <c r="Q492" s="1" t="s">
        <v>5514</v>
      </c>
      <c r="R492" s="2"/>
      <c r="S492" s="2"/>
      <c r="T492" s="2"/>
      <c r="U492" s="2"/>
    </row>
    <row x14ac:dyDescent="0.25" r="493" customHeight="1" ht="17.25">
      <c r="A493" s="7">
        <v>492</v>
      </c>
      <c r="B493" s="1" t="s">
        <v>5978</v>
      </c>
      <c r="C493" s="5">
        <f>CONCATENATE("PD", TEXT(A493, "1000000"))</f>
      </c>
      <c r="D493" s="7">
        <v>63</v>
      </c>
      <c r="E493" s="5">
        <f>XLOOKUP(G493, item_category!C:C, item_category!B:B, "Not Found")</f>
      </c>
      <c r="F493" s="1" t="s">
        <v>3726</v>
      </c>
      <c r="G493" s="5">
        <f>XLOOKUP(I493, drug!B:B, drug!A:A, "Not Found")</f>
      </c>
      <c r="H493" s="1" t="s">
        <v>1858</v>
      </c>
      <c r="I493" s="7">
        <v>1</v>
      </c>
      <c r="J493" s="5">
        <f>XLOOKUP(L493, uom!C:C, uom!B:B, "Not Found")</f>
      </c>
      <c r="K493" s="1" t="s">
        <v>5511</v>
      </c>
      <c r="L493" s="5">
        <f>XLOOKUP(N493, uom!C:C, uom!B:B, "Not Found")</f>
      </c>
      <c r="M493" s="1" t="s">
        <v>5511</v>
      </c>
      <c r="N493" s="8" t="s">
        <v>5512</v>
      </c>
      <c r="O493" s="1" t="s">
        <v>5513</v>
      </c>
      <c r="P493" s="5">
        <f>XLOOKUP(R493, classification!C:C, classification!B:B, "Not Found")</f>
      </c>
      <c r="Q493" s="1" t="s">
        <v>5514</v>
      </c>
      <c r="R493" s="2"/>
      <c r="S493" s="2"/>
      <c r="T493" s="2"/>
      <c r="U493" s="2"/>
    </row>
    <row x14ac:dyDescent="0.25" r="494" customHeight="1" ht="17.25">
      <c r="A494" s="7">
        <v>493</v>
      </c>
      <c r="B494" s="1" t="s">
        <v>5936</v>
      </c>
      <c r="C494" s="5">
        <f>CONCATENATE("PD", TEXT(A494, "1000000"))</f>
      </c>
      <c r="D494" s="7">
        <v>63</v>
      </c>
      <c r="E494" s="5">
        <f>XLOOKUP(G494, item_category!C:C, item_category!B:B, "Not Found")</f>
      </c>
      <c r="F494" s="1" t="s">
        <v>3726</v>
      </c>
      <c r="G494" s="5">
        <f>XLOOKUP(I494, drug!B:B, drug!A:A, "Not Found")</f>
      </c>
      <c r="H494" s="1" t="s">
        <v>1336</v>
      </c>
      <c r="I494" s="7">
        <v>1</v>
      </c>
      <c r="J494" s="5">
        <f>XLOOKUP(L494, uom!C:C, uom!B:B, "Not Found")</f>
      </c>
      <c r="K494" s="1" t="s">
        <v>5511</v>
      </c>
      <c r="L494" s="5">
        <f>XLOOKUP(N494, uom!C:C, uom!B:B, "Not Found")</f>
      </c>
      <c r="M494" s="1" t="s">
        <v>5511</v>
      </c>
      <c r="N494" s="8" t="s">
        <v>5512</v>
      </c>
      <c r="O494" s="1" t="s">
        <v>5513</v>
      </c>
      <c r="P494" s="5">
        <f>XLOOKUP(R494, classification!C:C, classification!B:B, "Not Found")</f>
      </c>
      <c r="Q494" s="1" t="s">
        <v>5514</v>
      </c>
      <c r="R494" s="2"/>
      <c r="S494" s="2"/>
      <c r="T494" s="2"/>
      <c r="U494" s="2"/>
    </row>
    <row x14ac:dyDescent="0.25" r="495" customHeight="1" ht="17.25">
      <c r="A495" s="7">
        <v>494</v>
      </c>
      <c r="B495" s="1" t="s">
        <v>5979</v>
      </c>
      <c r="C495" s="5">
        <f>CONCATENATE("PD", TEXT(A495, "1000000"))</f>
      </c>
      <c r="D495" s="7">
        <v>63</v>
      </c>
      <c r="E495" s="5">
        <f>XLOOKUP(G495, item_category!C:C, item_category!B:B, "Not Found")</f>
      </c>
      <c r="F495" s="1" t="s">
        <v>3726</v>
      </c>
      <c r="G495" s="5">
        <f>XLOOKUP(I495, drug!B:B, drug!A:A, "Not Found")</f>
      </c>
      <c r="H495" s="1" t="s">
        <v>1922</v>
      </c>
      <c r="I495" s="7">
        <v>1</v>
      </c>
      <c r="J495" s="5">
        <f>XLOOKUP(L495, uom!C:C, uom!B:B, "Not Found")</f>
      </c>
      <c r="K495" s="1" t="s">
        <v>5511</v>
      </c>
      <c r="L495" s="5">
        <f>XLOOKUP(N495, uom!C:C, uom!B:B, "Not Found")</f>
      </c>
      <c r="M495" s="1" t="s">
        <v>5511</v>
      </c>
      <c r="N495" s="8" t="s">
        <v>5512</v>
      </c>
      <c r="O495" s="1" t="s">
        <v>5513</v>
      </c>
      <c r="P495" s="5">
        <f>XLOOKUP(R495, classification!C:C, classification!B:B, "Not Found")</f>
      </c>
      <c r="Q495" s="1" t="s">
        <v>5514</v>
      </c>
      <c r="R495" s="2"/>
      <c r="S495" s="2"/>
      <c r="T495" s="2"/>
      <c r="U495" s="2"/>
    </row>
    <row x14ac:dyDescent="0.25" r="496" customHeight="1" ht="17.25">
      <c r="A496" s="7">
        <v>495</v>
      </c>
      <c r="B496" s="1" t="s">
        <v>5939</v>
      </c>
      <c r="C496" s="5">
        <f>CONCATENATE("PD", TEXT(A496, "1000000"))</f>
      </c>
      <c r="D496" s="7">
        <v>63</v>
      </c>
      <c r="E496" s="5">
        <f>XLOOKUP(G496, item_category!C:C, item_category!B:B, "Not Found")</f>
      </c>
      <c r="F496" s="1" t="s">
        <v>3726</v>
      </c>
      <c r="G496" s="5">
        <f>XLOOKUP(I496, drug!B:B, drug!A:A, "Not Found")</f>
      </c>
      <c r="H496" s="1" t="s">
        <v>1862</v>
      </c>
      <c r="I496" s="7">
        <v>1</v>
      </c>
      <c r="J496" s="5">
        <f>XLOOKUP(L496, uom!C:C, uom!B:B, "Not Found")</f>
      </c>
      <c r="K496" s="1" t="s">
        <v>5511</v>
      </c>
      <c r="L496" s="5">
        <f>XLOOKUP(N496, uom!C:C, uom!B:B, "Not Found")</f>
      </c>
      <c r="M496" s="1" t="s">
        <v>5511</v>
      </c>
      <c r="N496" s="8" t="s">
        <v>5512</v>
      </c>
      <c r="O496" s="1" t="s">
        <v>5513</v>
      </c>
      <c r="P496" s="5">
        <f>XLOOKUP(R496, classification!C:C, classification!B:B, "Not Found")</f>
      </c>
      <c r="Q496" s="1" t="s">
        <v>5514</v>
      </c>
      <c r="R496" s="2"/>
      <c r="S496" s="2"/>
      <c r="T496" s="2"/>
      <c r="U496" s="2"/>
    </row>
    <row x14ac:dyDescent="0.25" r="497" customHeight="1" ht="17.25">
      <c r="A497" s="7">
        <v>496</v>
      </c>
      <c r="B497" s="1" t="s">
        <v>5980</v>
      </c>
      <c r="C497" s="5">
        <f>CONCATENATE("PD", TEXT(A497, "1000000"))</f>
      </c>
      <c r="D497" s="7">
        <v>63</v>
      </c>
      <c r="E497" s="5">
        <f>XLOOKUP(G497, item_category!C:C, item_category!B:B, "Not Found")</f>
      </c>
      <c r="F497" s="1" t="s">
        <v>3726</v>
      </c>
      <c r="G497" s="5">
        <f>XLOOKUP(I497, drug!B:B, drug!A:A, "Not Found")</f>
      </c>
      <c r="H497" s="1" t="s">
        <v>1866</v>
      </c>
      <c r="I497" s="7">
        <v>1</v>
      </c>
      <c r="J497" s="5">
        <f>XLOOKUP(L497, uom!C:C, uom!B:B, "Not Found")</f>
      </c>
      <c r="K497" s="1" t="s">
        <v>5511</v>
      </c>
      <c r="L497" s="5">
        <f>XLOOKUP(N497, uom!C:C, uom!B:B, "Not Found")</f>
      </c>
      <c r="M497" s="1" t="s">
        <v>5511</v>
      </c>
      <c r="N497" s="8" t="s">
        <v>5512</v>
      </c>
      <c r="O497" s="1" t="s">
        <v>5513</v>
      </c>
      <c r="P497" s="5">
        <f>XLOOKUP(R497, classification!C:C, classification!B:B, "Not Found")</f>
      </c>
      <c r="Q497" s="1" t="s">
        <v>5514</v>
      </c>
      <c r="R497" s="2"/>
      <c r="S497" s="2"/>
      <c r="T497" s="2"/>
      <c r="U497" s="2"/>
    </row>
    <row x14ac:dyDescent="0.25" r="498" customHeight="1" ht="17.25">
      <c r="A498" s="7">
        <v>497</v>
      </c>
      <c r="B498" s="1" t="s">
        <v>5981</v>
      </c>
      <c r="C498" s="5">
        <f>CONCATENATE("PD", TEXT(A498, "1000000"))</f>
      </c>
      <c r="D498" s="7">
        <v>63</v>
      </c>
      <c r="E498" s="5">
        <f>XLOOKUP(G498, item_category!C:C, item_category!B:B, "Not Found")</f>
      </c>
      <c r="F498" s="1" t="s">
        <v>3726</v>
      </c>
      <c r="G498" s="5">
        <f>XLOOKUP(I498, drug!B:B, drug!A:A, "Not Found")</f>
      </c>
      <c r="H498" s="1" t="s">
        <v>1924</v>
      </c>
      <c r="I498" s="7">
        <v>1</v>
      </c>
      <c r="J498" s="5">
        <f>XLOOKUP(L498, uom!C:C, uom!B:B, "Not Found")</f>
      </c>
      <c r="K498" s="1" t="s">
        <v>5511</v>
      </c>
      <c r="L498" s="5">
        <f>XLOOKUP(N498, uom!C:C, uom!B:B, "Not Found")</f>
      </c>
      <c r="M498" s="1" t="s">
        <v>5511</v>
      </c>
      <c r="N498" s="8" t="s">
        <v>5512</v>
      </c>
      <c r="O498" s="1" t="s">
        <v>5513</v>
      </c>
      <c r="P498" s="5">
        <f>XLOOKUP(R498, classification!C:C, classification!B:B, "Not Found")</f>
      </c>
      <c r="Q498" s="1" t="s">
        <v>5514</v>
      </c>
      <c r="R498" s="2"/>
      <c r="S498" s="2"/>
      <c r="T498" s="2"/>
      <c r="U498" s="2"/>
    </row>
    <row x14ac:dyDescent="0.25" r="499" customHeight="1" ht="17.25">
      <c r="A499" s="7">
        <v>498</v>
      </c>
      <c r="B499" s="1" t="s">
        <v>5982</v>
      </c>
      <c r="C499" s="5">
        <f>CONCATENATE("PD", TEXT(A499, "1000000"))</f>
      </c>
      <c r="D499" s="7">
        <v>63</v>
      </c>
      <c r="E499" s="5">
        <f>XLOOKUP(G499, item_category!C:C, item_category!B:B, "Not Found")</f>
      </c>
      <c r="F499" s="1" t="s">
        <v>3726</v>
      </c>
      <c r="G499" s="5">
        <f>XLOOKUP(I499, drug!B:B, drug!A:A, "Not Found")</f>
      </c>
      <c r="H499" s="1" t="s">
        <v>1926</v>
      </c>
      <c r="I499" s="7">
        <v>1</v>
      </c>
      <c r="J499" s="5">
        <f>XLOOKUP(L499, uom!C:C, uom!B:B, "Not Found")</f>
      </c>
      <c r="K499" s="1" t="s">
        <v>5511</v>
      </c>
      <c r="L499" s="5">
        <f>XLOOKUP(N499, uom!C:C, uom!B:B, "Not Found")</f>
      </c>
      <c r="M499" s="1" t="s">
        <v>5511</v>
      </c>
      <c r="N499" s="8" t="s">
        <v>5512</v>
      </c>
      <c r="O499" s="1" t="s">
        <v>5513</v>
      </c>
      <c r="P499" s="5">
        <f>XLOOKUP(R499, classification!C:C, classification!B:B, "Not Found")</f>
      </c>
      <c r="Q499" s="1" t="s">
        <v>5514</v>
      </c>
      <c r="R499" s="2"/>
      <c r="S499" s="2"/>
      <c r="T499" s="2"/>
      <c r="U499" s="2"/>
    </row>
    <row x14ac:dyDescent="0.25" r="500" customHeight="1" ht="17.25">
      <c r="A500" s="7">
        <v>499</v>
      </c>
      <c r="B500" s="1" t="s">
        <v>5983</v>
      </c>
      <c r="C500" s="5">
        <f>CONCATENATE("PD", TEXT(A500, "1000000"))</f>
      </c>
      <c r="D500" s="7">
        <v>63</v>
      </c>
      <c r="E500" s="5">
        <f>XLOOKUP(G500, item_category!C:C, item_category!B:B, "Not Found")</f>
      </c>
      <c r="F500" s="1" t="s">
        <v>3726</v>
      </c>
      <c r="G500" s="5">
        <f>XLOOKUP(I500, drug!B:B, drug!A:A, "Not Found")</f>
      </c>
      <c r="H500" s="1" t="s">
        <v>1928</v>
      </c>
      <c r="I500" s="7">
        <v>1</v>
      </c>
      <c r="J500" s="5">
        <f>XLOOKUP(L500, uom!C:C, uom!B:B, "Not Found")</f>
      </c>
      <c r="K500" s="1" t="s">
        <v>5511</v>
      </c>
      <c r="L500" s="5">
        <f>XLOOKUP(N500, uom!C:C, uom!B:B, "Not Found")</f>
      </c>
      <c r="M500" s="1" t="s">
        <v>5511</v>
      </c>
      <c r="N500" s="8" t="s">
        <v>5512</v>
      </c>
      <c r="O500" s="1" t="s">
        <v>5513</v>
      </c>
      <c r="P500" s="5">
        <f>XLOOKUP(R500, classification!C:C, classification!B:B, "Not Found")</f>
      </c>
      <c r="Q500" s="1" t="s">
        <v>5514</v>
      </c>
      <c r="R500" s="2"/>
      <c r="S500" s="2"/>
      <c r="T500" s="2"/>
      <c r="U500" s="2"/>
    </row>
    <row x14ac:dyDescent="0.25" r="501" customHeight="1" ht="17.25">
      <c r="A501" s="7">
        <v>500</v>
      </c>
      <c r="B501" s="1" t="s">
        <v>5984</v>
      </c>
      <c r="C501" s="5">
        <f>CONCATENATE("PD", TEXT(A501, "1000000"))</f>
      </c>
      <c r="D501" s="7">
        <v>63</v>
      </c>
      <c r="E501" s="5">
        <f>XLOOKUP(G501, item_category!C:C, item_category!B:B, "Not Found")</f>
      </c>
      <c r="F501" s="1" t="s">
        <v>3726</v>
      </c>
      <c r="G501" s="5">
        <f>XLOOKUP(I501, drug!B:B, drug!A:A, "Not Found")</f>
      </c>
      <c r="H501" s="1" t="s">
        <v>1900</v>
      </c>
      <c r="I501" s="7">
        <v>1</v>
      </c>
      <c r="J501" s="5">
        <f>XLOOKUP(L501, uom!C:C, uom!B:B, "Not Found")</f>
      </c>
      <c r="K501" s="1" t="s">
        <v>5511</v>
      </c>
      <c r="L501" s="5">
        <f>XLOOKUP(N501, uom!C:C, uom!B:B, "Not Found")</f>
      </c>
      <c r="M501" s="1" t="s">
        <v>5511</v>
      </c>
      <c r="N501" s="8" t="s">
        <v>5512</v>
      </c>
      <c r="O501" s="1" t="s">
        <v>5513</v>
      </c>
      <c r="P501" s="5">
        <f>XLOOKUP(R501, classification!C:C, classification!B:B, "Not Found")</f>
      </c>
      <c r="Q501" s="1" t="s">
        <v>5514</v>
      </c>
      <c r="R501" s="2"/>
      <c r="S501" s="2"/>
      <c r="T501" s="2"/>
      <c r="U501" s="2"/>
    </row>
    <row x14ac:dyDescent="0.25" r="502" customHeight="1" ht="17.25">
      <c r="A502" s="7">
        <v>501</v>
      </c>
      <c r="B502" s="1" t="s">
        <v>5985</v>
      </c>
      <c r="C502" s="5">
        <f>CONCATENATE("PD", TEXT(A502, "1000000"))</f>
      </c>
      <c r="D502" s="7">
        <v>60</v>
      </c>
      <c r="E502" s="5">
        <f>XLOOKUP(G502, item_category!C:C, item_category!B:B, "Not Found")</f>
      </c>
      <c r="F502" s="1" t="s">
        <v>5986</v>
      </c>
      <c r="G502" s="5">
        <f>XLOOKUP(I502, drug!B:B, drug!A:A, "Not Found")</f>
      </c>
      <c r="H502" s="1" t="s">
        <v>1930</v>
      </c>
      <c r="I502" s="7">
        <v>1</v>
      </c>
      <c r="J502" s="5">
        <f>XLOOKUP(L502, uom!C:C, uom!B:B, "Not Found")</f>
      </c>
      <c r="K502" s="1" t="s">
        <v>5511</v>
      </c>
      <c r="L502" s="5">
        <f>XLOOKUP(N502, uom!C:C, uom!B:B, "Not Found")</f>
      </c>
      <c r="M502" s="1" t="s">
        <v>5511</v>
      </c>
      <c r="N502" s="8" t="s">
        <v>5512</v>
      </c>
      <c r="O502" s="1" t="s">
        <v>5513</v>
      </c>
      <c r="P502" s="5">
        <f>XLOOKUP(R502, classification!C:C, classification!B:B, "Not Found")</f>
      </c>
      <c r="Q502" s="1" t="s">
        <v>5514</v>
      </c>
      <c r="R502" s="2"/>
      <c r="S502" s="2"/>
      <c r="T502" s="2"/>
      <c r="U502" s="2"/>
    </row>
    <row x14ac:dyDescent="0.25" r="503" customHeight="1" ht="17.25">
      <c r="A503" s="7">
        <v>502</v>
      </c>
      <c r="B503" s="1" t="s">
        <v>5987</v>
      </c>
      <c r="C503" s="5">
        <f>CONCATENATE("PD", TEXT(A503, "1000000"))</f>
      </c>
      <c r="D503" s="7">
        <v>60</v>
      </c>
      <c r="E503" s="5">
        <f>XLOOKUP(G503, item_category!C:C, item_category!B:B, "Not Found")</f>
      </c>
      <c r="F503" s="1" t="s">
        <v>5986</v>
      </c>
      <c r="G503" s="5">
        <f>XLOOKUP(I503, drug!B:B, drug!A:A, "Not Found")</f>
      </c>
      <c r="H503" s="1" t="s">
        <v>1932</v>
      </c>
      <c r="I503" s="7">
        <v>1</v>
      </c>
      <c r="J503" s="5">
        <f>XLOOKUP(L503, uom!C:C, uom!B:B, "Not Found")</f>
      </c>
      <c r="K503" s="1" t="s">
        <v>5511</v>
      </c>
      <c r="L503" s="5">
        <f>XLOOKUP(N503, uom!C:C, uom!B:B, "Not Found")</f>
      </c>
      <c r="M503" s="1" t="s">
        <v>5511</v>
      </c>
      <c r="N503" s="8" t="s">
        <v>5512</v>
      </c>
      <c r="O503" s="1" t="s">
        <v>5513</v>
      </c>
      <c r="P503" s="5">
        <f>XLOOKUP(R503, classification!C:C, classification!B:B, "Not Found")</f>
      </c>
      <c r="Q503" s="1" t="s">
        <v>5514</v>
      </c>
      <c r="R503" s="2"/>
      <c r="S503" s="2"/>
      <c r="T503" s="2"/>
      <c r="U503" s="2"/>
    </row>
    <row x14ac:dyDescent="0.25" r="504" customHeight="1" ht="17.25">
      <c r="A504" s="7">
        <v>503</v>
      </c>
      <c r="B504" s="1" t="s">
        <v>5988</v>
      </c>
      <c r="C504" s="5">
        <f>CONCATENATE("PD", TEXT(A504, "1000000"))</f>
      </c>
      <c r="D504" s="7">
        <v>60</v>
      </c>
      <c r="E504" s="5">
        <f>XLOOKUP(G504, item_category!C:C, item_category!B:B, "Not Found")</f>
      </c>
      <c r="F504" s="1" t="s">
        <v>5986</v>
      </c>
      <c r="G504" s="5">
        <f>XLOOKUP(I504, drug!B:B, drug!A:A, "Not Found")</f>
      </c>
      <c r="H504" s="1" t="s">
        <v>1934</v>
      </c>
      <c r="I504" s="7">
        <v>1</v>
      </c>
      <c r="J504" s="5">
        <f>XLOOKUP(L504, uom!C:C, uom!B:B, "Not Found")</f>
      </c>
      <c r="K504" s="1" t="s">
        <v>5511</v>
      </c>
      <c r="L504" s="5">
        <f>XLOOKUP(N504, uom!C:C, uom!B:B, "Not Found")</f>
      </c>
      <c r="M504" s="1" t="s">
        <v>5511</v>
      </c>
      <c r="N504" s="8" t="s">
        <v>5512</v>
      </c>
      <c r="O504" s="1" t="s">
        <v>5513</v>
      </c>
      <c r="P504" s="5">
        <f>XLOOKUP(R504, classification!C:C, classification!B:B, "Not Found")</f>
      </c>
      <c r="Q504" s="1" t="s">
        <v>5514</v>
      </c>
      <c r="R504" s="2"/>
      <c r="S504" s="2"/>
      <c r="T504" s="2"/>
      <c r="U504" s="2"/>
    </row>
    <row x14ac:dyDescent="0.25" r="505" customHeight="1" ht="17.25">
      <c r="A505" s="7">
        <v>504</v>
      </c>
      <c r="B505" s="1" t="s">
        <v>5989</v>
      </c>
      <c r="C505" s="5">
        <f>CONCATENATE("PD", TEXT(A505, "1000000"))</f>
      </c>
      <c r="D505" s="7">
        <v>60</v>
      </c>
      <c r="E505" s="5">
        <f>XLOOKUP(G505, item_category!C:C, item_category!B:B, "Not Found")</f>
      </c>
      <c r="F505" s="1" t="s">
        <v>5986</v>
      </c>
      <c r="G505" s="5">
        <f>XLOOKUP(I505, drug!B:B, drug!A:A, "Not Found")</f>
      </c>
      <c r="H505" s="1" t="s">
        <v>1838</v>
      </c>
      <c r="I505" s="7">
        <v>1</v>
      </c>
      <c r="J505" s="5">
        <f>XLOOKUP(L505, uom!C:C, uom!B:B, "Not Found")</f>
      </c>
      <c r="K505" s="1" t="s">
        <v>5511</v>
      </c>
      <c r="L505" s="5">
        <f>XLOOKUP(N505, uom!C:C, uom!B:B, "Not Found")</f>
      </c>
      <c r="M505" s="1" t="s">
        <v>5511</v>
      </c>
      <c r="N505" s="8" t="s">
        <v>5512</v>
      </c>
      <c r="O505" s="1" t="s">
        <v>5513</v>
      </c>
      <c r="P505" s="5">
        <f>XLOOKUP(R505, classification!C:C, classification!B:B, "Not Found")</f>
      </c>
      <c r="Q505" s="1" t="s">
        <v>5514</v>
      </c>
      <c r="R505" s="2"/>
      <c r="S505" s="2"/>
      <c r="T505" s="2"/>
      <c r="U505" s="2"/>
    </row>
    <row x14ac:dyDescent="0.25" r="506" customHeight="1" ht="17.25">
      <c r="A506" s="7">
        <v>505</v>
      </c>
      <c r="B506" s="1" t="s">
        <v>5990</v>
      </c>
      <c r="C506" s="5">
        <f>CONCATENATE("PD", TEXT(A506, "1000000"))</f>
      </c>
      <c r="D506" s="7">
        <v>60</v>
      </c>
      <c r="E506" s="5">
        <f>XLOOKUP(G506, item_category!C:C, item_category!B:B, "Not Found")</f>
      </c>
      <c r="F506" s="1" t="s">
        <v>5986</v>
      </c>
      <c r="G506" s="5">
        <f>XLOOKUP(I506, drug!B:B, drug!A:A, "Not Found")</f>
      </c>
      <c r="H506" s="1" t="s">
        <v>1936</v>
      </c>
      <c r="I506" s="7">
        <v>1</v>
      </c>
      <c r="J506" s="5">
        <f>XLOOKUP(L506, uom!C:C, uom!B:B, "Not Found")</f>
      </c>
      <c r="K506" s="1" t="s">
        <v>5511</v>
      </c>
      <c r="L506" s="5">
        <f>XLOOKUP(N506, uom!C:C, uom!B:B, "Not Found")</f>
      </c>
      <c r="M506" s="1" t="s">
        <v>5511</v>
      </c>
      <c r="N506" s="8" t="s">
        <v>5512</v>
      </c>
      <c r="O506" s="1" t="s">
        <v>5513</v>
      </c>
      <c r="P506" s="5">
        <f>XLOOKUP(R506, classification!C:C, classification!B:B, "Not Found")</f>
      </c>
      <c r="Q506" s="1" t="s">
        <v>5514</v>
      </c>
      <c r="R506" s="2"/>
      <c r="S506" s="2"/>
      <c r="T506" s="2"/>
      <c r="U506" s="2"/>
    </row>
    <row x14ac:dyDescent="0.25" r="507" customHeight="1" ht="17.25">
      <c r="A507" s="7">
        <v>506</v>
      </c>
      <c r="B507" s="1" t="s">
        <v>5991</v>
      </c>
      <c r="C507" s="5">
        <f>CONCATENATE("PD", TEXT(A507, "1000000"))</f>
      </c>
      <c r="D507" s="7">
        <v>60</v>
      </c>
      <c r="E507" s="5">
        <f>XLOOKUP(G507, item_category!C:C, item_category!B:B, "Not Found")</f>
      </c>
      <c r="F507" s="1" t="s">
        <v>5986</v>
      </c>
      <c r="G507" s="5">
        <f>XLOOKUP(I507, drug!B:B, drug!A:A, "Not Found")</f>
      </c>
      <c r="H507" s="1" t="s">
        <v>1920</v>
      </c>
      <c r="I507" s="7">
        <v>1</v>
      </c>
      <c r="J507" s="5">
        <f>XLOOKUP(L507, uom!C:C, uom!B:B, "Not Found")</f>
      </c>
      <c r="K507" s="1" t="s">
        <v>5511</v>
      </c>
      <c r="L507" s="5">
        <f>XLOOKUP(N507, uom!C:C, uom!B:B, "Not Found")</f>
      </c>
      <c r="M507" s="1" t="s">
        <v>5511</v>
      </c>
      <c r="N507" s="8" t="s">
        <v>5512</v>
      </c>
      <c r="O507" s="1" t="s">
        <v>5513</v>
      </c>
      <c r="P507" s="5">
        <f>XLOOKUP(R507, classification!C:C, classification!B:B, "Not Found")</f>
      </c>
      <c r="Q507" s="1" t="s">
        <v>5514</v>
      </c>
      <c r="R507" s="2"/>
      <c r="S507" s="2"/>
      <c r="T507" s="2"/>
      <c r="U507" s="2"/>
    </row>
    <row x14ac:dyDescent="0.25" r="508" customHeight="1" ht="17.25">
      <c r="A508" s="7">
        <v>507</v>
      </c>
      <c r="B508" s="1" t="s">
        <v>5992</v>
      </c>
      <c r="C508" s="5">
        <f>CONCATENATE("PD", TEXT(A508, "1000000"))</f>
      </c>
      <c r="D508" s="7">
        <v>60</v>
      </c>
      <c r="E508" s="5">
        <f>XLOOKUP(G508, item_category!C:C, item_category!B:B, "Not Found")</f>
      </c>
      <c r="F508" s="1" t="s">
        <v>5986</v>
      </c>
      <c r="G508" s="5">
        <f>XLOOKUP(I508, drug!B:B, drug!A:A, "Not Found")</f>
      </c>
      <c r="H508" s="1" t="s">
        <v>1858</v>
      </c>
      <c r="I508" s="7">
        <v>1</v>
      </c>
      <c r="J508" s="5">
        <f>XLOOKUP(L508, uom!C:C, uom!B:B, "Not Found")</f>
      </c>
      <c r="K508" s="1" t="s">
        <v>5511</v>
      </c>
      <c r="L508" s="5">
        <f>XLOOKUP(N508, uom!C:C, uom!B:B, "Not Found")</f>
      </c>
      <c r="M508" s="1" t="s">
        <v>5511</v>
      </c>
      <c r="N508" s="8" t="s">
        <v>5512</v>
      </c>
      <c r="O508" s="1" t="s">
        <v>5513</v>
      </c>
      <c r="P508" s="5">
        <f>XLOOKUP(R508, classification!C:C, classification!B:B, "Not Found")</f>
      </c>
      <c r="Q508" s="1" t="s">
        <v>5514</v>
      </c>
      <c r="R508" s="2"/>
      <c r="S508" s="2"/>
      <c r="T508" s="2"/>
      <c r="U508" s="2"/>
    </row>
    <row x14ac:dyDescent="0.25" r="509" customHeight="1" ht="17.25">
      <c r="A509" s="7">
        <v>508</v>
      </c>
      <c r="B509" s="1" t="s">
        <v>5993</v>
      </c>
      <c r="C509" s="5">
        <f>CONCATENATE("PD", TEXT(A509, "1000000"))</f>
      </c>
      <c r="D509" s="7">
        <v>60</v>
      </c>
      <c r="E509" s="5">
        <f>XLOOKUP(G509, item_category!C:C, item_category!B:B, "Not Found")</f>
      </c>
      <c r="F509" s="1" t="s">
        <v>5986</v>
      </c>
      <c r="G509" s="5">
        <f>XLOOKUP(I509, drug!B:B, drug!A:A, "Not Found")</f>
      </c>
      <c r="H509" s="1" t="s">
        <v>1938</v>
      </c>
      <c r="I509" s="7">
        <v>1</v>
      </c>
      <c r="J509" s="5">
        <f>XLOOKUP(L509, uom!C:C, uom!B:B, "Not Found")</f>
      </c>
      <c r="K509" s="1" t="s">
        <v>5511</v>
      </c>
      <c r="L509" s="5">
        <f>XLOOKUP(N509, uom!C:C, uom!B:B, "Not Found")</f>
      </c>
      <c r="M509" s="1" t="s">
        <v>5511</v>
      </c>
      <c r="N509" s="8" t="s">
        <v>5512</v>
      </c>
      <c r="O509" s="1" t="s">
        <v>5513</v>
      </c>
      <c r="P509" s="5">
        <f>XLOOKUP(R509, classification!C:C, classification!B:B, "Not Found")</f>
      </c>
      <c r="Q509" s="1" t="s">
        <v>5514</v>
      </c>
      <c r="R509" s="2"/>
      <c r="S509" s="2"/>
      <c r="T509" s="2"/>
      <c r="U509" s="2"/>
    </row>
    <row x14ac:dyDescent="0.25" r="510" customHeight="1" ht="17.25">
      <c r="A510" s="7">
        <v>509</v>
      </c>
      <c r="B510" s="1" t="s">
        <v>5994</v>
      </c>
      <c r="C510" s="5">
        <f>CONCATENATE("PD", TEXT(A510, "1000000"))</f>
      </c>
      <c r="D510" s="7">
        <v>60</v>
      </c>
      <c r="E510" s="5">
        <f>XLOOKUP(G510, item_category!C:C, item_category!B:B, "Not Found")</f>
      </c>
      <c r="F510" s="1" t="s">
        <v>5986</v>
      </c>
      <c r="G510" s="5">
        <f>XLOOKUP(I510, drug!B:B, drug!A:A, "Not Found")</f>
      </c>
      <c r="H510" s="1" t="s">
        <v>1940</v>
      </c>
      <c r="I510" s="7">
        <v>1</v>
      </c>
      <c r="J510" s="5">
        <f>XLOOKUP(L510, uom!C:C, uom!B:B, "Not Found")</f>
      </c>
      <c r="K510" s="1" t="s">
        <v>5511</v>
      </c>
      <c r="L510" s="5">
        <f>XLOOKUP(N510, uom!C:C, uom!B:B, "Not Found")</f>
      </c>
      <c r="M510" s="1" t="s">
        <v>5511</v>
      </c>
      <c r="N510" s="8" t="s">
        <v>5512</v>
      </c>
      <c r="O510" s="1" t="s">
        <v>5513</v>
      </c>
      <c r="P510" s="5">
        <f>XLOOKUP(R510, classification!C:C, classification!B:B, "Not Found")</f>
      </c>
      <c r="Q510" s="1" t="s">
        <v>5514</v>
      </c>
      <c r="R510" s="2"/>
      <c r="S510" s="2"/>
      <c r="T510" s="2"/>
      <c r="U510" s="2"/>
    </row>
    <row x14ac:dyDescent="0.25" r="511" customHeight="1" ht="17.25">
      <c r="A511" s="7">
        <v>510</v>
      </c>
      <c r="B511" s="1" t="s">
        <v>1942</v>
      </c>
      <c r="C511" s="5">
        <f>CONCATENATE("PD", TEXT(A511, "1000000"))</f>
      </c>
      <c r="D511" s="7">
        <v>60</v>
      </c>
      <c r="E511" s="5">
        <f>XLOOKUP(G511, item_category!C:C, item_category!B:B, "Not Found")</f>
      </c>
      <c r="F511" s="1" t="s">
        <v>5986</v>
      </c>
      <c r="G511" s="5">
        <f>XLOOKUP(I511, drug!B:B, drug!A:A, "Not Found")</f>
      </c>
      <c r="H511" s="1" t="s">
        <v>1942</v>
      </c>
      <c r="I511" s="7">
        <v>1</v>
      </c>
      <c r="J511" s="5">
        <f>XLOOKUP(L511, uom!C:C, uom!B:B, "Not Found")</f>
      </c>
      <c r="K511" s="1" t="s">
        <v>5511</v>
      </c>
      <c r="L511" s="5">
        <f>XLOOKUP(N511, uom!C:C, uom!B:B, "Not Found")</f>
      </c>
      <c r="M511" s="1" t="s">
        <v>5511</v>
      </c>
      <c r="N511" s="8" t="s">
        <v>5512</v>
      </c>
      <c r="O511" s="1" t="s">
        <v>5513</v>
      </c>
      <c r="P511" s="5">
        <f>XLOOKUP(R511, classification!C:C, classification!B:B, "Not Found")</f>
      </c>
      <c r="Q511" s="1" t="s">
        <v>5514</v>
      </c>
      <c r="R511" s="2"/>
      <c r="S511" s="2"/>
      <c r="T511" s="2"/>
      <c r="U511" s="2"/>
    </row>
    <row x14ac:dyDescent="0.25" r="512" customHeight="1" ht="17.25">
      <c r="A512" s="7">
        <v>511</v>
      </c>
      <c r="B512" s="1" t="s">
        <v>5995</v>
      </c>
      <c r="C512" s="5">
        <f>CONCATENATE("PD", TEXT(A512, "1000000"))</f>
      </c>
      <c r="D512" s="7">
        <v>60</v>
      </c>
      <c r="E512" s="5">
        <f>XLOOKUP(G512, item_category!C:C, item_category!B:B, "Not Found")</f>
      </c>
      <c r="F512" s="1" t="s">
        <v>5986</v>
      </c>
      <c r="G512" s="5">
        <f>XLOOKUP(I512, drug!B:B, drug!A:A, "Not Found")</f>
      </c>
      <c r="H512" s="1" t="s">
        <v>1944</v>
      </c>
      <c r="I512" s="7">
        <v>1</v>
      </c>
      <c r="J512" s="5">
        <f>XLOOKUP(L512, uom!C:C, uom!B:B, "Not Found")</f>
      </c>
      <c r="K512" s="1" t="s">
        <v>5511</v>
      </c>
      <c r="L512" s="5">
        <f>XLOOKUP(N512, uom!C:C, uom!B:B, "Not Found")</f>
      </c>
      <c r="M512" s="1" t="s">
        <v>5511</v>
      </c>
      <c r="N512" s="8" t="s">
        <v>5512</v>
      </c>
      <c r="O512" s="1" t="s">
        <v>5513</v>
      </c>
      <c r="P512" s="5">
        <f>XLOOKUP(R512, classification!C:C, classification!B:B, "Not Found")</f>
      </c>
      <c r="Q512" s="1" t="s">
        <v>5514</v>
      </c>
      <c r="R512" s="2"/>
      <c r="S512" s="2"/>
      <c r="T512" s="2"/>
      <c r="U512" s="2"/>
    </row>
    <row x14ac:dyDescent="0.25" r="513" customHeight="1" ht="17.25">
      <c r="A513" s="7">
        <v>512</v>
      </c>
      <c r="B513" s="1" t="s">
        <v>1946</v>
      </c>
      <c r="C513" s="5">
        <f>CONCATENATE("PD", TEXT(A513, "1000000"))</f>
      </c>
      <c r="D513" s="7">
        <v>64</v>
      </c>
      <c r="E513" s="5">
        <f>XLOOKUP(G513, item_category!C:C, item_category!B:B, "Not Found")</f>
      </c>
      <c r="F513" s="1" t="s">
        <v>5996</v>
      </c>
      <c r="G513" s="5">
        <f>XLOOKUP(I513, drug!B:B, drug!A:A, "Not Found")</f>
      </c>
      <c r="H513" s="1" t="s">
        <v>1946</v>
      </c>
      <c r="I513" s="7">
        <v>1</v>
      </c>
      <c r="J513" s="5">
        <f>XLOOKUP(L513, uom!C:C, uom!B:B, "Not Found")</f>
      </c>
      <c r="K513" s="1" t="s">
        <v>5511</v>
      </c>
      <c r="L513" s="5">
        <f>XLOOKUP(N513, uom!C:C, uom!B:B, "Not Found")</f>
      </c>
      <c r="M513" s="1" t="s">
        <v>5511</v>
      </c>
      <c r="N513" s="8" t="s">
        <v>5512</v>
      </c>
      <c r="O513" s="1" t="s">
        <v>5513</v>
      </c>
      <c r="P513" s="5">
        <f>XLOOKUP(R513, classification!C:C, classification!B:B, "Not Found")</f>
      </c>
      <c r="Q513" s="1" t="s">
        <v>5514</v>
      </c>
      <c r="R513" s="2"/>
      <c r="S513" s="2"/>
      <c r="T513" s="2"/>
      <c r="U513" s="2"/>
    </row>
    <row x14ac:dyDescent="0.25" r="514" customHeight="1" ht="17.25">
      <c r="A514" s="7">
        <v>513</v>
      </c>
      <c r="B514" s="1" t="s">
        <v>1948</v>
      </c>
      <c r="C514" s="5">
        <f>CONCATENATE("PD", TEXT(A514, "1000000"))</f>
      </c>
      <c r="D514" s="7">
        <v>64</v>
      </c>
      <c r="E514" s="5">
        <f>XLOOKUP(G514, item_category!C:C, item_category!B:B, "Not Found")</f>
      </c>
      <c r="F514" s="1" t="s">
        <v>5996</v>
      </c>
      <c r="G514" s="5">
        <f>XLOOKUP(I514, drug!B:B, drug!A:A, "Not Found")</f>
      </c>
      <c r="H514" s="1" t="s">
        <v>1948</v>
      </c>
      <c r="I514" s="7">
        <v>1</v>
      </c>
      <c r="J514" s="5">
        <f>XLOOKUP(L514, uom!C:C, uom!B:B, "Not Found")</f>
      </c>
      <c r="K514" s="1" t="s">
        <v>5511</v>
      </c>
      <c r="L514" s="5">
        <f>XLOOKUP(N514, uom!C:C, uom!B:B, "Not Found")</f>
      </c>
      <c r="M514" s="1" t="s">
        <v>5511</v>
      </c>
      <c r="N514" s="8" t="s">
        <v>5512</v>
      </c>
      <c r="O514" s="1" t="s">
        <v>5513</v>
      </c>
      <c r="P514" s="5">
        <f>XLOOKUP(R514, classification!C:C, classification!B:B, "Not Found")</f>
      </c>
      <c r="Q514" s="1" t="s">
        <v>5514</v>
      </c>
      <c r="R514" s="2"/>
      <c r="S514" s="2"/>
      <c r="T514" s="2"/>
      <c r="U514" s="2"/>
    </row>
    <row x14ac:dyDescent="0.25" r="515" customHeight="1" ht="17.25">
      <c r="A515" s="7">
        <v>514</v>
      </c>
      <c r="B515" s="1" t="s">
        <v>1950</v>
      </c>
      <c r="C515" s="5">
        <f>CONCATENATE("PD", TEXT(A515, "1000000"))</f>
      </c>
      <c r="D515" s="7">
        <v>64</v>
      </c>
      <c r="E515" s="5">
        <f>XLOOKUP(G515, item_category!C:C, item_category!B:B, "Not Found")</f>
      </c>
      <c r="F515" s="1" t="s">
        <v>5996</v>
      </c>
      <c r="G515" s="5">
        <f>XLOOKUP(I515, drug!B:B, drug!A:A, "Not Found")</f>
      </c>
      <c r="H515" s="1" t="s">
        <v>1950</v>
      </c>
      <c r="I515" s="7">
        <v>1</v>
      </c>
      <c r="J515" s="5">
        <f>XLOOKUP(L515, uom!C:C, uom!B:B, "Not Found")</f>
      </c>
      <c r="K515" s="1" t="s">
        <v>5511</v>
      </c>
      <c r="L515" s="5">
        <f>XLOOKUP(N515, uom!C:C, uom!B:B, "Not Found")</f>
      </c>
      <c r="M515" s="1" t="s">
        <v>5511</v>
      </c>
      <c r="N515" s="8" t="s">
        <v>5512</v>
      </c>
      <c r="O515" s="1" t="s">
        <v>5513</v>
      </c>
      <c r="P515" s="5">
        <f>XLOOKUP(R515, classification!C:C, classification!B:B, "Not Found")</f>
      </c>
      <c r="Q515" s="1" t="s">
        <v>5514</v>
      </c>
      <c r="R515" s="2"/>
      <c r="S515" s="2"/>
      <c r="T515" s="2"/>
      <c r="U515" s="2"/>
    </row>
    <row x14ac:dyDescent="0.25" r="516" customHeight="1" ht="17.25">
      <c r="A516" s="7">
        <v>515</v>
      </c>
      <c r="B516" s="1" t="s">
        <v>5997</v>
      </c>
      <c r="C516" s="5">
        <f>CONCATENATE("PD", TEXT(A516, "1000000"))</f>
      </c>
      <c r="D516" s="7">
        <v>64</v>
      </c>
      <c r="E516" s="5">
        <f>XLOOKUP(G516, item_category!C:C, item_category!B:B, "Not Found")</f>
      </c>
      <c r="F516" s="1" t="s">
        <v>5996</v>
      </c>
      <c r="G516" s="5">
        <f>XLOOKUP(I516, drug!B:B, drug!A:A, "Not Found")</f>
      </c>
      <c r="H516" s="1" t="s">
        <v>339</v>
      </c>
      <c r="I516" s="7">
        <v>1</v>
      </c>
      <c r="J516" s="5">
        <f>XLOOKUP(L516, uom!C:C, uom!B:B, "Not Found")</f>
      </c>
      <c r="K516" s="1" t="s">
        <v>5511</v>
      </c>
      <c r="L516" s="5">
        <f>XLOOKUP(N516, uom!C:C, uom!B:B, "Not Found")</f>
      </c>
      <c r="M516" s="1" t="s">
        <v>5511</v>
      </c>
      <c r="N516" s="8" t="s">
        <v>5512</v>
      </c>
      <c r="O516" s="1" t="s">
        <v>5513</v>
      </c>
      <c r="P516" s="5">
        <f>XLOOKUP(R516, classification!C:C, classification!B:B, "Not Found")</f>
      </c>
      <c r="Q516" s="1" t="s">
        <v>5514</v>
      </c>
      <c r="R516" s="2"/>
      <c r="S516" s="2"/>
      <c r="T516" s="2"/>
      <c r="U516" s="2"/>
    </row>
    <row x14ac:dyDescent="0.25" r="517" customHeight="1" ht="17.25">
      <c r="A517" s="7">
        <v>516</v>
      </c>
      <c r="B517" s="1" t="s">
        <v>5998</v>
      </c>
      <c r="C517" s="5">
        <f>CONCATENATE("PD", TEXT(A517, "1000000"))</f>
      </c>
      <c r="D517" s="7">
        <v>64</v>
      </c>
      <c r="E517" s="5">
        <f>XLOOKUP(G517, item_category!C:C, item_category!B:B, "Not Found")</f>
      </c>
      <c r="F517" s="1" t="s">
        <v>5996</v>
      </c>
      <c r="G517" s="5">
        <f>XLOOKUP(I517, drug!B:B, drug!A:A, "Not Found")</f>
      </c>
      <c r="H517" s="1" t="s">
        <v>339</v>
      </c>
      <c r="I517" s="7">
        <v>1</v>
      </c>
      <c r="J517" s="5">
        <f>XLOOKUP(L517, uom!C:C, uom!B:B, "Not Found")</f>
      </c>
      <c r="K517" s="1" t="s">
        <v>5511</v>
      </c>
      <c r="L517" s="5">
        <f>XLOOKUP(N517, uom!C:C, uom!B:B, "Not Found")</f>
      </c>
      <c r="M517" s="1" t="s">
        <v>5511</v>
      </c>
      <c r="N517" s="8" t="s">
        <v>5512</v>
      </c>
      <c r="O517" s="1" t="s">
        <v>5513</v>
      </c>
      <c r="P517" s="5">
        <f>XLOOKUP(R517, classification!C:C, classification!B:B, "Not Found")</f>
      </c>
      <c r="Q517" s="1" t="s">
        <v>5514</v>
      </c>
      <c r="R517" s="2"/>
      <c r="S517" s="2"/>
      <c r="T517" s="2"/>
      <c r="U517" s="2"/>
    </row>
    <row x14ac:dyDescent="0.25" r="518" customHeight="1" ht="17.25">
      <c r="A518" s="7">
        <v>517</v>
      </c>
      <c r="B518" s="1" t="s">
        <v>5999</v>
      </c>
      <c r="C518" s="5">
        <f>CONCATENATE("PD", TEXT(A518, "1000000"))</f>
      </c>
      <c r="D518" s="7">
        <v>64</v>
      </c>
      <c r="E518" s="5">
        <f>XLOOKUP(G518, item_category!C:C, item_category!B:B, "Not Found")</f>
      </c>
      <c r="F518" s="1" t="s">
        <v>5996</v>
      </c>
      <c r="G518" s="5">
        <f>XLOOKUP(I518, drug!B:B, drug!A:A, "Not Found")</f>
      </c>
      <c r="H518" s="1" t="s">
        <v>1952</v>
      </c>
      <c r="I518" s="7">
        <v>1</v>
      </c>
      <c r="J518" s="5">
        <f>XLOOKUP(L518, uom!C:C, uom!B:B, "Not Found")</f>
      </c>
      <c r="K518" s="1" t="s">
        <v>5511</v>
      </c>
      <c r="L518" s="5">
        <f>XLOOKUP(N518, uom!C:C, uom!B:B, "Not Found")</f>
      </c>
      <c r="M518" s="1" t="s">
        <v>5511</v>
      </c>
      <c r="N518" s="8" t="s">
        <v>5512</v>
      </c>
      <c r="O518" s="1" t="s">
        <v>5513</v>
      </c>
      <c r="P518" s="5">
        <f>XLOOKUP(R518, classification!C:C, classification!B:B, "Not Found")</f>
      </c>
      <c r="Q518" s="1" t="s">
        <v>5514</v>
      </c>
      <c r="R518" s="2"/>
      <c r="S518" s="2"/>
      <c r="T518" s="2"/>
      <c r="U518" s="2"/>
    </row>
    <row x14ac:dyDescent="0.25" r="519" customHeight="1" ht="17.25">
      <c r="A519" s="7">
        <v>518</v>
      </c>
      <c r="B519" s="1" t="s">
        <v>6000</v>
      </c>
      <c r="C519" s="5">
        <f>CONCATENATE("PD", TEXT(A519, "1000000"))</f>
      </c>
      <c r="D519" s="7">
        <v>64</v>
      </c>
      <c r="E519" s="5">
        <f>XLOOKUP(G519, item_category!C:C, item_category!B:B, "Not Found")</f>
      </c>
      <c r="F519" s="1" t="s">
        <v>5996</v>
      </c>
      <c r="G519" s="5">
        <f>XLOOKUP(I519, drug!B:B, drug!A:A, "Not Found")</f>
      </c>
      <c r="H519" s="1" t="s">
        <v>1952</v>
      </c>
      <c r="I519" s="7">
        <v>1</v>
      </c>
      <c r="J519" s="5">
        <f>XLOOKUP(L519, uom!C:C, uom!B:B, "Not Found")</f>
      </c>
      <c r="K519" s="1" t="s">
        <v>5511</v>
      </c>
      <c r="L519" s="5">
        <f>XLOOKUP(N519, uom!C:C, uom!B:B, "Not Found")</f>
      </c>
      <c r="M519" s="1" t="s">
        <v>5511</v>
      </c>
      <c r="N519" s="8" t="s">
        <v>5512</v>
      </c>
      <c r="O519" s="1" t="s">
        <v>5513</v>
      </c>
      <c r="P519" s="5">
        <f>XLOOKUP(R519, classification!C:C, classification!B:B, "Not Found")</f>
      </c>
      <c r="Q519" s="1" t="s">
        <v>5514</v>
      </c>
      <c r="R519" s="2"/>
      <c r="S519" s="2"/>
      <c r="T519" s="2"/>
      <c r="U519" s="2"/>
    </row>
    <row x14ac:dyDescent="0.25" r="520" customHeight="1" ht="17.25">
      <c r="A520" s="7">
        <v>519</v>
      </c>
      <c r="B520" s="1" t="s">
        <v>6001</v>
      </c>
      <c r="C520" s="5">
        <f>CONCATENATE("PD", TEXT(A520, "1000000"))</f>
      </c>
      <c r="D520" s="7">
        <v>64</v>
      </c>
      <c r="E520" s="5">
        <f>XLOOKUP(G520, item_category!C:C, item_category!B:B, "Not Found")</f>
      </c>
      <c r="F520" s="1" t="s">
        <v>5996</v>
      </c>
      <c r="G520" s="5">
        <f>XLOOKUP(I520, drug!B:B, drug!A:A, "Not Found")</f>
      </c>
      <c r="H520" s="1" t="s">
        <v>1954</v>
      </c>
      <c r="I520" s="7">
        <v>1</v>
      </c>
      <c r="J520" s="5">
        <f>XLOOKUP(L520, uom!C:C, uom!B:B, "Not Found")</f>
      </c>
      <c r="K520" s="1" t="s">
        <v>5511</v>
      </c>
      <c r="L520" s="5">
        <f>XLOOKUP(N520, uom!C:C, uom!B:B, "Not Found")</f>
      </c>
      <c r="M520" s="1" t="s">
        <v>5511</v>
      </c>
      <c r="N520" s="8" t="s">
        <v>5512</v>
      </c>
      <c r="O520" s="1" t="s">
        <v>5513</v>
      </c>
      <c r="P520" s="5">
        <f>XLOOKUP(R520, classification!C:C, classification!B:B, "Not Found")</f>
      </c>
      <c r="Q520" s="1" t="s">
        <v>5514</v>
      </c>
      <c r="R520" s="2"/>
      <c r="S520" s="2"/>
      <c r="T520" s="2"/>
      <c r="U520" s="2"/>
    </row>
    <row x14ac:dyDescent="0.25" r="521" customHeight="1" ht="17.25">
      <c r="A521" s="7">
        <v>520</v>
      </c>
      <c r="B521" s="1" t="s">
        <v>6002</v>
      </c>
      <c r="C521" s="5">
        <f>CONCATENATE("PD", TEXT(A521, "1000000"))</f>
      </c>
      <c r="D521" s="7">
        <v>64</v>
      </c>
      <c r="E521" s="5">
        <f>XLOOKUP(G521, item_category!C:C, item_category!B:B, "Not Found")</f>
      </c>
      <c r="F521" s="1" t="s">
        <v>5996</v>
      </c>
      <c r="G521" s="5">
        <f>XLOOKUP(I521, drug!B:B, drug!A:A, "Not Found")</f>
      </c>
      <c r="H521" s="1" t="s">
        <v>1954</v>
      </c>
      <c r="I521" s="7">
        <v>1</v>
      </c>
      <c r="J521" s="5">
        <f>XLOOKUP(L521, uom!C:C, uom!B:B, "Not Found")</f>
      </c>
      <c r="K521" s="1" t="s">
        <v>5511</v>
      </c>
      <c r="L521" s="5">
        <f>XLOOKUP(N521, uom!C:C, uom!B:B, "Not Found")</f>
      </c>
      <c r="M521" s="1" t="s">
        <v>5511</v>
      </c>
      <c r="N521" s="8" t="s">
        <v>5512</v>
      </c>
      <c r="O521" s="1" t="s">
        <v>5513</v>
      </c>
      <c r="P521" s="5">
        <f>XLOOKUP(R521, classification!C:C, classification!B:B, "Not Found")</f>
      </c>
      <c r="Q521" s="1" t="s">
        <v>5514</v>
      </c>
      <c r="R521" s="2"/>
      <c r="S521" s="2"/>
      <c r="T521" s="2"/>
      <c r="U521" s="2"/>
    </row>
    <row x14ac:dyDescent="0.25" r="522" customHeight="1" ht="17.25">
      <c r="A522" s="7">
        <v>521</v>
      </c>
      <c r="B522" s="1" t="s">
        <v>6003</v>
      </c>
      <c r="C522" s="5">
        <f>CONCATENATE("PD", TEXT(A522, "1000000"))</f>
      </c>
      <c r="D522" s="7">
        <v>64</v>
      </c>
      <c r="E522" s="5">
        <f>XLOOKUP(G522, item_category!C:C, item_category!B:B, "Not Found")</f>
      </c>
      <c r="F522" s="1" t="s">
        <v>5996</v>
      </c>
      <c r="G522" s="5">
        <f>XLOOKUP(I522, drug!B:B, drug!A:A, "Not Found")</f>
      </c>
      <c r="H522" s="1" t="s">
        <v>769</v>
      </c>
      <c r="I522" s="7">
        <v>1</v>
      </c>
      <c r="J522" s="5">
        <f>XLOOKUP(L522, uom!C:C, uom!B:B, "Not Found")</f>
      </c>
      <c r="K522" s="1" t="s">
        <v>5511</v>
      </c>
      <c r="L522" s="5">
        <f>XLOOKUP(N522, uom!C:C, uom!B:B, "Not Found")</f>
      </c>
      <c r="M522" s="1" t="s">
        <v>5511</v>
      </c>
      <c r="N522" s="8" t="s">
        <v>5512</v>
      </c>
      <c r="O522" s="1" t="s">
        <v>5513</v>
      </c>
      <c r="P522" s="5">
        <f>XLOOKUP(R522, classification!C:C, classification!B:B, "Not Found")</f>
      </c>
      <c r="Q522" s="1" t="s">
        <v>5514</v>
      </c>
      <c r="R522" s="2"/>
      <c r="S522" s="2"/>
      <c r="T522" s="2"/>
      <c r="U522" s="2"/>
    </row>
    <row x14ac:dyDescent="0.25" r="523" customHeight="1" ht="17.25">
      <c r="A523" s="7">
        <v>522</v>
      </c>
      <c r="B523" s="1" t="s">
        <v>6004</v>
      </c>
      <c r="C523" s="5">
        <f>CONCATENATE("PD", TEXT(A523, "1000000"))</f>
      </c>
      <c r="D523" s="7">
        <v>64</v>
      </c>
      <c r="E523" s="5">
        <f>XLOOKUP(G523, item_category!C:C, item_category!B:B, "Not Found")</f>
      </c>
      <c r="F523" s="1" t="s">
        <v>5996</v>
      </c>
      <c r="G523" s="5">
        <f>XLOOKUP(I523, drug!B:B, drug!A:A, "Not Found")</f>
      </c>
      <c r="H523" s="1" t="s">
        <v>706</v>
      </c>
      <c r="I523" s="7">
        <v>1</v>
      </c>
      <c r="J523" s="5">
        <f>XLOOKUP(L523, uom!C:C, uom!B:B, "Not Found")</f>
      </c>
      <c r="K523" s="1" t="s">
        <v>5511</v>
      </c>
      <c r="L523" s="5">
        <f>XLOOKUP(N523, uom!C:C, uom!B:B, "Not Found")</f>
      </c>
      <c r="M523" s="1" t="s">
        <v>5511</v>
      </c>
      <c r="N523" s="8" t="s">
        <v>5512</v>
      </c>
      <c r="O523" s="1" t="s">
        <v>5513</v>
      </c>
      <c r="P523" s="5">
        <f>XLOOKUP(R523, classification!C:C, classification!B:B, "Not Found")</f>
      </c>
      <c r="Q523" s="1" t="s">
        <v>5514</v>
      </c>
      <c r="R523" s="2"/>
      <c r="S523" s="2"/>
      <c r="T523" s="2"/>
      <c r="U523" s="2"/>
    </row>
    <row x14ac:dyDescent="0.25" r="524" customHeight="1" ht="17.25">
      <c r="A524" s="7">
        <v>523</v>
      </c>
      <c r="B524" s="1" t="s">
        <v>6005</v>
      </c>
      <c r="C524" s="5">
        <f>CONCATENATE("PD", TEXT(A524, "1000000"))</f>
      </c>
      <c r="D524" s="7">
        <v>64</v>
      </c>
      <c r="E524" s="5">
        <f>XLOOKUP(G524, item_category!C:C, item_category!B:B, "Not Found")</f>
      </c>
      <c r="F524" s="1" t="s">
        <v>5996</v>
      </c>
      <c r="G524" s="5">
        <f>XLOOKUP(I524, drug!B:B, drug!A:A, "Not Found")</f>
      </c>
      <c r="H524" s="1" t="s">
        <v>706</v>
      </c>
      <c r="I524" s="7">
        <v>1</v>
      </c>
      <c r="J524" s="5">
        <f>XLOOKUP(L524, uom!C:C, uom!B:B, "Not Found")</f>
      </c>
      <c r="K524" s="1" t="s">
        <v>5511</v>
      </c>
      <c r="L524" s="5">
        <f>XLOOKUP(N524, uom!C:C, uom!B:B, "Not Found")</f>
      </c>
      <c r="M524" s="1" t="s">
        <v>5511</v>
      </c>
      <c r="N524" s="8" t="s">
        <v>5512</v>
      </c>
      <c r="O524" s="1" t="s">
        <v>5513</v>
      </c>
      <c r="P524" s="5">
        <f>XLOOKUP(R524, classification!C:C, classification!B:B, "Not Found")</f>
      </c>
      <c r="Q524" s="1" t="s">
        <v>5514</v>
      </c>
      <c r="R524" s="2"/>
      <c r="S524" s="2"/>
      <c r="T524" s="2"/>
      <c r="U524" s="2"/>
    </row>
    <row x14ac:dyDescent="0.25" r="525" customHeight="1" ht="17.25">
      <c r="A525" s="7">
        <v>524</v>
      </c>
      <c r="B525" s="1" t="s">
        <v>1956</v>
      </c>
      <c r="C525" s="5">
        <f>CONCATENATE("PD", TEXT(A525, "1000000"))</f>
      </c>
      <c r="D525" s="7">
        <v>64</v>
      </c>
      <c r="E525" s="5">
        <f>XLOOKUP(G525, item_category!C:C, item_category!B:B, "Not Found")</f>
      </c>
      <c r="F525" s="1" t="s">
        <v>5996</v>
      </c>
      <c r="G525" s="5">
        <f>XLOOKUP(I525, drug!B:B, drug!A:A, "Not Found")</f>
      </c>
      <c r="H525" s="1" t="s">
        <v>1956</v>
      </c>
      <c r="I525" s="7">
        <v>1</v>
      </c>
      <c r="J525" s="5">
        <f>XLOOKUP(L525, uom!C:C, uom!B:B, "Not Found")</f>
      </c>
      <c r="K525" s="1" t="s">
        <v>5511</v>
      </c>
      <c r="L525" s="5">
        <f>XLOOKUP(N525, uom!C:C, uom!B:B, "Not Found")</f>
      </c>
      <c r="M525" s="1" t="s">
        <v>5511</v>
      </c>
      <c r="N525" s="8" t="s">
        <v>5512</v>
      </c>
      <c r="O525" s="1" t="s">
        <v>5513</v>
      </c>
      <c r="P525" s="5">
        <f>XLOOKUP(R525, classification!C:C, classification!B:B, "Not Found")</f>
      </c>
      <c r="Q525" s="1" t="s">
        <v>5514</v>
      </c>
      <c r="R525" s="2"/>
      <c r="S525" s="2"/>
      <c r="T525" s="2"/>
      <c r="U525" s="2"/>
    </row>
    <row x14ac:dyDescent="0.25" r="526" customHeight="1" ht="17.25">
      <c r="A526" s="7">
        <v>525</v>
      </c>
      <c r="B526" s="1" t="s">
        <v>6006</v>
      </c>
      <c r="C526" s="5">
        <f>CONCATENATE("PD", TEXT(A526, "1000000"))</f>
      </c>
      <c r="D526" s="7">
        <v>64</v>
      </c>
      <c r="E526" s="5">
        <f>XLOOKUP(G526, item_category!C:C, item_category!B:B, "Not Found")</f>
      </c>
      <c r="F526" s="1" t="s">
        <v>5996</v>
      </c>
      <c r="G526" s="5">
        <f>XLOOKUP(I526, drug!B:B, drug!A:A, "Not Found")</f>
      </c>
      <c r="H526" s="1" t="s">
        <v>1958</v>
      </c>
      <c r="I526" s="7">
        <v>1</v>
      </c>
      <c r="J526" s="5">
        <f>XLOOKUP(L526, uom!C:C, uom!B:B, "Not Found")</f>
      </c>
      <c r="K526" s="1" t="s">
        <v>5511</v>
      </c>
      <c r="L526" s="5">
        <f>XLOOKUP(N526, uom!C:C, uom!B:B, "Not Found")</f>
      </c>
      <c r="M526" s="1" t="s">
        <v>5511</v>
      </c>
      <c r="N526" s="8" t="s">
        <v>5512</v>
      </c>
      <c r="O526" s="1" t="s">
        <v>5513</v>
      </c>
      <c r="P526" s="5">
        <f>XLOOKUP(R526, classification!C:C, classification!B:B, "Not Found")</f>
      </c>
      <c r="Q526" s="1" t="s">
        <v>5514</v>
      </c>
      <c r="R526" s="2"/>
      <c r="S526" s="2"/>
      <c r="T526" s="2"/>
      <c r="U526" s="2"/>
    </row>
    <row x14ac:dyDescent="0.25" r="527" customHeight="1" ht="17.25">
      <c r="A527" s="7">
        <v>526</v>
      </c>
      <c r="B527" s="1" t="s">
        <v>6007</v>
      </c>
      <c r="C527" s="5">
        <f>CONCATENATE("PD", TEXT(A527, "1000000"))</f>
      </c>
      <c r="D527" s="7">
        <v>65</v>
      </c>
      <c r="E527" s="5">
        <f>XLOOKUP(G527, item_category!C:C, item_category!B:B, "Not Found")</f>
      </c>
      <c r="F527" s="1" t="s">
        <v>6008</v>
      </c>
      <c r="G527" s="5">
        <f>XLOOKUP(I527, drug!B:B, drug!A:A, "Not Found")</f>
      </c>
      <c r="H527" s="1" t="s">
        <v>1960</v>
      </c>
      <c r="I527" s="7">
        <v>1</v>
      </c>
      <c r="J527" s="5">
        <f>XLOOKUP(L527, uom!C:C, uom!B:B, "Not Found")</f>
      </c>
      <c r="K527" s="1" t="s">
        <v>5511</v>
      </c>
      <c r="L527" s="5">
        <f>XLOOKUP(N527, uom!C:C, uom!B:B, "Not Found")</f>
      </c>
      <c r="M527" s="1" t="s">
        <v>5511</v>
      </c>
      <c r="N527" s="8" t="s">
        <v>5512</v>
      </c>
      <c r="O527" s="1" t="s">
        <v>5513</v>
      </c>
      <c r="P527" s="5">
        <f>XLOOKUP(R527, classification!C:C, classification!B:B, "Not Found")</f>
      </c>
      <c r="Q527" s="1" t="s">
        <v>5514</v>
      </c>
      <c r="R527" s="2"/>
      <c r="S527" s="2"/>
      <c r="T527" s="2"/>
      <c r="U527" s="2"/>
    </row>
    <row x14ac:dyDescent="0.25" r="528" customHeight="1" ht="17.25">
      <c r="A528" s="7">
        <v>527</v>
      </c>
      <c r="B528" s="1" t="s">
        <v>6009</v>
      </c>
      <c r="C528" s="5">
        <f>CONCATENATE("PD", TEXT(A528, "1000000"))</f>
      </c>
      <c r="D528" s="7">
        <v>65</v>
      </c>
      <c r="E528" s="5">
        <f>XLOOKUP(G528, item_category!C:C, item_category!B:B, "Not Found")</f>
      </c>
      <c r="F528" s="1" t="s">
        <v>6008</v>
      </c>
      <c r="G528" s="5">
        <f>XLOOKUP(I528, drug!B:B, drug!A:A, "Not Found")</f>
      </c>
      <c r="H528" s="1" t="s">
        <v>1962</v>
      </c>
      <c r="I528" s="7">
        <v>1</v>
      </c>
      <c r="J528" s="5">
        <f>XLOOKUP(L528, uom!C:C, uom!B:B, "Not Found")</f>
      </c>
      <c r="K528" s="1" t="s">
        <v>5511</v>
      </c>
      <c r="L528" s="5">
        <f>XLOOKUP(N528, uom!C:C, uom!B:B, "Not Found")</f>
      </c>
      <c r="M528" s="1" t="s">
        <v>5511</v>
      </c>
      <c r="N528" s="8" t="s">
        <v>5512</v>
      </c>
      <c r="O528" s="1" t="s">
        <v>5513</v>
      </c>
      <c r="P528" s="5">
        <f>XLOOKUP(R528, classification!C:C, classification!B:B, "Not Found")</f>
      </c>
      <c r="Q528" s="1" t="s">
        <v>5514</v>
      </c>
      <c r="R528" s="2"/>
      <c r="S528" s="2"/>
      <c r="T528" s="2"/>
      <c r="U528" s="2"/>
    </row>
    <row x14ac:dyDescent="0.25" r="529" customHeight="1" ht="17.25">
      <c r="A529" s="7">
        <v>528</v>
      </c>
      <c r="B529" s="1" t="s">
        <v>6010</v>
      </c>
      <c r="C529" s="5">
        <f>CONCATENATE("PD", TEXT(A529, "1000000"))</f>
      </c>
      <c r="D529" s="7">
        <v>65</v>
      </c>
      <c r="E529" s="5">
        <f>XLOOKUP(G529, item_category!C:C, item_category!B:B, "Not Found")</f>
      </c>
      <c r="F529" s="1" t="s">
        <v>6008</v>
      </c>
      <c r="G529" s="5">
        <f>XLOOKUP(I529, drug!B:B, drug!A:A, "Not Found")</f>
      </c>
      <c r="H529" s="1" t="s">
        <v>1964</v>
      </c>
      <c r="I529" s="7">
        <v>1</v>
      </c>
      <c r="J529" s="5">
        <f>XLOOKUP(L529, uom!C:C, uom!B:B, "Not Found")</f>
      </c>
      <c r="K529" s="1" t="s">
        <v>5511</v>
      </c>
      <c r="L529" s="5">
        <f>XLOOKUP(N529, uom!C:C, uom!B:B, "Not Found")</f>
      </c>
      <c r="M529" s="1" t="s">
        <v>5511</v>
      </c>
      <c r="N529" s="8" t="s">
        <v>5512</v>
      </c>
      <c r="O529" s="1" t="s">
        <v>5513</v>
      </c>
      <c r="P529" s="5">
        <f>XLOOKUP(R529, classification!C:C, classification!B:B, "Not Found")</f>
      </c>
      <c r="Q529" s="1" t="s">
        <v>5514</v>
      </c>
      <c r="R529" s="2"/>
      <c r="S529" s="2"/>
      <c r="T529" s="2"/>
      <c r="U529" s="2"/>
    </row>
    <row x14ac:dyDescent="0.25" r="530" customHeight="1" ht="17.25">
      <c r="A530" s="7">
        <v>529</v>
      </c>
      <c r="B530" s="1" t="s">
        <v>6011</v>
      </c>
      <c r="C530" s="5">
        <f>CONCATENATE("PD", TEXT(A530, "1000000"))</f>
      </c>
      <c r="D530" s="7">
        <v>65</v>
      </c>
      <c r="E530" s="5">
        <f>XLOOKUP(G530, item_category!C:C, item_category!B:B, "Not Found")</f>
      </c>
      <c r="F530" s="1" t="s">
        <v>6008</v>
      </c>
      <c r="G530" s="5">
        <f>XLOOKUP(I530, drug!B:B, drug!A:A, "Not Found")</f>
      </c>
      <c r="H530" s="1" t="s">
        <v>1966</v>
      </c>
      <c r="I530" s="7">
        <v>1</v>
      </c>
      <c r="J530" s="5">
        <f>XLOOKUP(L530, uom!C:C, uom!B:B, "Not Found")</f>
      </c>
      <c r="K530" s="1" t="s">
        <v>5511</v>
      </c>
      <c r="L530" s="5">
        <f>XLOOKUP(N530, uom!C:C, uom!B:B, "Not Found")</f>
      </c>
      <c r="M530" s="1" t="s">
        <v>5511</v>
      </c>
      <c r="N530" s="8" t="s">
        <v>5512</v>
      </c>
      <c r="O530" s="1" t="s">
        <v>5513</v>
      </c>
      <c r="P530" s="5">
        <f>XLOOKUP(R530, classification!C:C, classification!B:B, "Not Found")</f>
      </c>
      <c r="Q530" s="1" t="s">
        <v>5514</v>
      </c>
      <c r="R530" s="2"/>
      <c r="S530" s="2"/>
      <c r="T530" s="2"/>
      <c r="U530" s="2"/>
    </row>
    <row x14ac:dyDescent="0.25" r="531" customHeight="1" ht="17.25">
      <c r="A531" s="7">
        <v>530</v>
      </c>
      <c r="B531" s="1" t="s">
        <v>6012</v>
      </c>
      <c r="C531" s="5">
        <f>CONCATENATE("PD", TEXT(A531, "1000000"))</f>
      </c>
      <c r="D531" s="7">
        <v>65</v>
      </c>
      <c r="E531" s="5">
        <f>XLOOKUP(G531, item_category!C:C, item_category!B:B, "Not Found")</f>
      </c>
      <c r="F531" s="1" t="s">
        <v>6008</v>
      </c>
      <c r="G531" s="5">
        <f>XLOOKUP(I531, drug!B:B, drug!A:A, "Not Found")</f>
      </c>
      <c r="H531" s="1" t="s">
        <v>1968</v>
      </c>
      <c r="I531" s="7">
        <v>1</v>
      </c>
      <c r="J531" s="5">
        <f>XLOOKUP(L531, uom!C:C, uom!B:B, "Not Found")</f>
      </c>
      <c r="K531" s="1" t="s">
        <v>5511</v>
      </c>
      <c r="L531" s="5">
        <f>XLOOKUP(N531, uom!C:C, uom!B:B, "Not Found")</f>
      </c>
      <c r="M531" s="1" t="s">
        <v>5511</v>
      </c>
      <c r="N531" s="8" t="s">
        <v>5512</v>
      </c>
      <c r="O531" s="1" t="s">
        <v>5513</v>
      </c>
      <c r="P531" s="5">
        <f>XLOOKUP(R531, classification!C:C, classification!B:B, "Not Found")</f>
      </c>
      <c r="Q531" s="1" t="s">
        <v>5514</v>
      </c>
      <c r="R531" s="2"/>
      <c r="S531" s="2"/>
      <c r="T531" s="2"/>
      <c r="U531" s="2"/>
    </row>
    <row x14ac:dyDescent="0.25" r="532" customHeight="1" ht="17.25">
      <c r="A532" s="7">
        <v>531</v>
      </c>
      <c r="B532" s="1" t="s">
        <v>6013</v>
      </c>
      <c r="C532" s="5">
        <f>CONCATENATE("PD", TEXT(A532, "1000000"))</f>
      </c>
      <c r="D532" s="7">
        <v>65</v>
      </c>
      <c r="E532" s="5">
        <f>XLOOKUP(G532, item_category!C:C, item_category!B:B, "Not Found")</f>
      </c>
      <c r="F532" s="1" t="s">
        <v>6008</v>
      </c>
      <c r="G532" s="5">
        <f>XLOOKUP(I532, drug!B:B, drug!A:A, "Not Found")</f>
      </c>
      <c r="H532" s="1" t="s">
        <v>1968</v>
      </c>
      <c r="I532" s="7">
        <v>1</v>
      </c>
      <c r="J532" s="5">
        <f>XLOOKUP(L532, uom!C:C, uom!B:B, "Not Found")</f>
      </c>
      <c r="K532" s="1" t="s">
        <v>5511</v>
      </c>
      <c r="L532" s="5">
        <f>XLOOKUP(N532, uom!C:C, uom!B:B, "Not Found")</f>
      </c>
      <c r="M532" s="1" t="s">
        <v>5511</v>
      </c>
      <c r="N532" s="8" t="s">
        <v>5512</v>
      </c>
      <c r="O532" s="1" t="s">
        <v>5513</v>
      </c>
      <c r="P532" s="5">
        <f>XLOOKUP(R532, classification!C:C, classification!B:B, "Not Found")</f>
      </c>
      <c r="Q532" s="1" t="s">
        <v>5514</v>
      </c>
      <c r="R532" s="2"/>
      <c r="S532" s="2"/>
      <c r="T532" s="2"/>
      <c r="U532" s="2"/>
    </row>
    <row x14ac:dyDescent="0.25" r="533" customHeight="1" ht="17.25">
      <c r="A533" s="7">
        <v>532</v>
      </c>
      <c r="B533" s="1" t="s">
        <v>6014</v>
      </c>
      <c r="C533" s="5">
        <f>CONCATENATE("PD", TEXT(A533, "1000000"))</f>
      </c>
      <c r="D533" s="7">
        <v>65</v>
      </c>
      <c r="E533" s="5">
        <f>XLOOKUP(G533, item_category!C:C, item_category!B:B, "Not Found")</f>
      </c>
      <c r="F533" s="1" t="s">
        <v>6008</v>
      </c>
      <c r="G533" s="5">
        <f>XLOOKUP(I533, drug!B:B, drug!A:A, "Not Found")</f>
      </c>
      <c r="H533" s="1" t="s">
        <v>75</v>
      </c>
      <c r="I533" s="7">
        <v>1</v>
      </c>
      <c r="J533" s="5">
        <f>XLOOKUP(L533, uom!C:C, uom!B:B, "Not Found")</f>
      </c>
      <c r="K533" s="1" t="s">
        <v>5511</v>
      </c>
      <c r="L533" s="5">
        <f>XLOOKUP(N533, uom!C:C, uom!B:B, "Not Found")</f>
      </c>
      <c r="M533" s="1" t="s">
        <v>5511</v>
      </c>
      <c r="N533" s="8" t="s">
        <v>5512</v>
      </c>
      <c r="O533" s="1" t="s">
        <v>5513</v>
      </c>
      <c r="P533" s="5">
        <f>XLOOKUP(R533, classification!C:C, classification!B:B, "Not Found")</f>
      </c>
      <c r="Q533" s="1" t="s">
        <v>5514</v>
      </c>
      <c r="R533" s="2"/>
      <c r="S533" s="2"/>
      <c r="T533" s="2"/>
      <c r="U533" s="2"/>
    </row>
    <row x14ac:dyDescent="0.25" r="534" customHeight="1" ht="17.25">
      <c r="A534" s="7">
        <v>533</v>
      </c>
      <c r="B534" s="1" t="s">
        <v>6015</v>
      </c>
      <c r="C534" s="5">
        <f>CONCATENATE("PD", TEXT(A534, "1000000"))</f>
      </c>
      <c r="D534" s="7">
        <v>65</v>
      </c>
      <c r="E534" s="5">
        <f>XLOOKUP(G534, item_category!C:C, item_category!B:B, "Not Found")</f>
      </c>
      <c r="F534" s="1" t="s">
        <v>6008</v>
      </c>
      <c r="G534" s="5">
        <f>XLOOKUP(I534, drug!B:B, drug!A:A, "Not Found")</f>
      </c>
      <c r="H534" s="1" t="s">
        <v>75</v>
      </c>
      <c r="I534" s="7">
        <v>1</v>
      </c>
      <c r="J534" s="5">
        <f>XLOOKUP(L534, uom!C:C, uom!B:B, "Not Found")</f>
      </c>
      <c r="K534" s="1" t="s">
        <v>5511</v>
      </c>
      <c r="L534" s="5">
        <f>XLOOKUP(N534, uom!C:C, uom!B:B, "Not Found")</f>
      </c>
      <c r="M534" s="1" t="s">
        <v>5511</v>
      </c>
      <c r="N534" s="8" t="s">
        <v>5512</v>
      </c>
      <c r="O534" s="1" t="s">
        <v>5513</v>
      </c>
      <c r="P534" s="5">
        <f>XLOOKUP(R534, classification!C:C, classification!B:B, "Not Found")</f>
      </c>
      <c r="Q534" s="1" t="s">
        <v>5514</v>
      </c>
      <c r="R534" s="2"/>
      <c r="S534" s="2"/>
      <c r="T534" s="2"/>
      <c r="U534" s="2"/>
    </row>
    <row x14ac:dyDescent="0.25" r="535" customHeight="1" ht="17.25">
      <c r="A535" s="7">
        <v>534</v>
      </c>
      <c r="B535" s="1" t="s">
        <v>6016</v>
      </c>
      <c r="C535" s="5">
        <f>CONCATENATE("PD", TEXT(A535, "1000000"))</f>
      </c>
      <c r="D535" s="7">
        <v>65</v>
      </c>
      <c r="E535" s="5">
        <f>XLOOKUP(G535, item_category!C:C, item_category!B:B, "Not Found")</f>
      </c>
      <c r="F535" s="1" t="s">
        <v>6008</v>
      </c>
      <c r="G535" s="5">
        <f>XLOOKUP(I535, drug!B:B, drug!A:A, "Not Found")</f>
      </c>
      <c r="H535" s="1" t="s">
        <v>75</v>
      </c>
      <c r="I535" s="7">
        <v>1</v>
      </c>
      <c r="J535" s="5">
        <f>XLOOKUP(L535, uom!C:C, uom!B:B, "Not Found")</f>
      </c>
      <c r="K535" s="1" t="s">
        <v>5511</v>
      </c>
      <c r="L535" s="5">
        <f>XLOOKUP(N535, uom!C:C, uom!B:B, "Not Found")</f>
      </c>
      <c r="M535" s="1" t="s">
        <v>5511</v>
      </c>
      <c r="N535" s="8" t="s">
        <v>5512</v>
      </c>
      <c r="O535" s="1" t="s">
        <v>5513</v>
      </c>
      <c r="P535" s="5">
        <f>XLOOKUP(R535, classification!C:C, classification!B:B, "Not Found")</f>
      </c>
      <c r="Q535" s="1" t="s">
        <v>5514</v>
      </c>
      <c r="R535" s="2"/>
      <c r="S535" s="2"/>
      <c r="T535" s="2"/>
      <c r="U535" s="2"/>
    </row>
    <row x14ac:dyDescent="0.25" r="536" customHeight="1" ht="17.25">
      <c r="A536" s="7">
        <v>535</v>
      </c>
      <c r="B536" s="1" t="s">
        <v>6017</v>
      </c>
      <c r="C536" s="5">
        <f>CONCATENATE("PD", TEXT(A536, "1000000"))</f>
      </c>
      <c r="D536" s="7">
        <v>65</v>
      </c>
      <c r="E536" s="5">
        <f>XLOOKUP(G536, item_category!C:C, item_category!B:B, "Not Found")</f>
      </c>
      <c r="F536" s="1" t="s">
        <v>6008</v>
      </c>
      <c r="G536" s="5">
        <f>XLOOKUP(I536, drug!B:B, drug!A:A, "Not Found")</f>
      </c>
      <c r="H536" s="1" t="s">
        <v>1970</v>
      </c>
      <c r="I536" s="7">
        <v>1</v>
      </c>
      <c r="J536" s="5">
        <f>XLOOKUP(L536, uom!C:C, uom!B:B, "Not Found")</f>
      </c>
      <c r="K536" s="1" t="s">
        <v>5511</v>
      </c>
      <c r="L536" s="5">
        <f>XLOOKUP(N536, uom!C:C, uom!B:B, "Not Found")</f>
      </c>
      <c r="M536" s="1" t="s">
        <v>5511</v>
      </c>
      <c r="N536" s="8" t="s">
        <v>5512</v>
      </c>
      <c r="O536" s="1" t="s">
        <v>5513</v>
      </c>
      <c r="P536" s="5">
        <f>XLOOKUP(R536, classification!C:C, classification!B:B, "Not Found")</f>
      </c>
      <c r="Q536" s="1" t="s">
        <v>5514</v>
      </c>
      <c r="R536" s="2"/>
      <c r="S536" s="2"/>
      <c r="T536" s="2"/>
      <c r="U536" s="2"/>
    </row>
    <row x14ac:dyDescent="0.25" r="537" customHeight="1" ht="17.25">
      <c r="A537" s="7">
        <v>536</v>
      </c>
      <c r="B537" s="1" t="s">
        <v>6018</v>
      </c>
      <c r="C537" s="5">
        <f>CONCATENATE("PD", TEXT(A537, "1000000"))</f>
      </c>
      <c r="D537" s="7">
        <v>65</v>
      </c>
      <c r="E537" s="5">
        <f>XLOOKUP(G537, item_category!C:C, item_category!B:B, "Not Found")</f>
      </c>
      <c r="F537" s="1" t="s">
        <v>6008</v>
      </c>
      <c r="G537" s="5">
        <f>XLOOKUP(I537, drug!B:B, drug!A:A, "Not Found")</f>
      </c>
      <c r="H537" s="1" t="s">
        <v>1972</v>
      </c>
      <c r="I537" s="7">
        <v>1</v>
      </c>
      <c r="J537" s="5">
        <f>XLOOKUP(L537, uom!C:C, uom!B:B, "Not Found")</f>
      </c>
      <c r="K537" s="1" t="s">
        <v>5511</v>
      </c>
      <c r="L537" s="5">
        <f>XLOOKUP(N537, uom!C:C, uom!B:B, "Not Found")</f>
      </c>
      <c r="M537" s="1" t="s">
        <v>5511</v>
      </c>
      <c r="N537" s="8" t="s">
        <v>5512</v>
      </c>
      <c r="O537" s="1" t="s">
        <v>5513</v>
      </c>
      <c r="P537" s="5">
        <f>XLOOKUP(R537, classification!C:C, classification!B:B, "Not Found")</f>
      </c>
      <c r="Q537" s="1" t="s">
        <v>5514</v>
      </c>
      <c r="R537" s="2"/>
      <c r="S537" s="2"/>
      <c r="T537" s="2"/>
      <c r="U537" s="2"/>
    </row>
    <row x14ac:dyDescent="0.25" r="538" customHeight="1" ht="17.25">
      <c r="A538" s="7">
        <v>537</v>
      </c>
      <c r="B538" s="1" t="s">
        <v>6019</v>
      </c>
      <c r="C538" s="5">
        <f>CONCATENATE("PD", TEXT(A538, "1000000"))</f>
      </c>
      <c r="D538" s="7">
        <v>65</v>
      </c>
      <c r="E538" s="5">
        <f>XLOOKUP(G538, item_category!C:C, item_category!B:B, "Not Found")</f>
      </c>
      <c r="F538" s="1" t="s">
        <v>6008</v>
      </c>
      <c r="G538" s="5">
        <f>XLOOKUP(I538, drug!B:B, drug!A:A, "Not Found")</f>
      </c>
      <c r="H538" s="1" t="s">
        <v>1974</v>
      </c>
      <c r="I538" s="7">
        <v>1</v>
      </c>
      <c r="J538" s="5">
        <f>XLOOKUP(L538, uom!C:C, uom!B:B, "Not Found")</f>
      </c>
      <c r="K538" s="1" t="s">
        <v>5511</v>
      </c>
      <c r="L538" s="5">
        <f>XLOOKUP(N538, uom!C:C, uom!B:B, "Not Found")</f>
      </c>
      <c r="M538" s="1" t="s">
        <v>5511</v>
      </c>
      <c r="N538" s="8" t="s">
        <v>5512</v>
      </c>
      <c r="O538" s="1" t="s">
        <v>5513</v>
      </c>
      <c r="P538" s="5">
        <f>XLOOKUP(R538, classification!C:C, classification!B:B, "Not Found")</f>
      </c>
      <c r="Q538" s="1" t="s">
        <v>5514</v>
      </c>
      <c r="R538" s="2"/>
      <c r="S538" s="2"/>
      <c r="T538" s="2"/>
      <c r="U538" s="2"/>
    </row>
    <row x14ac:dyDescent="0.25" r="539" customHeight="1" ht="17.25">
      <c r="A539" s="7">
        <v>538</v>
      </c>
      <c r="B539" s="1" t="s">
        <v>6020</v>
      </c>
      <c r="C539" s="5">
        <f>CONCATENATE("PD", TEXT(A539, "1000000"))</f>
      </c>
      <c r="D539" s="7">
        <v>65</v>
      </c>
      <c r="E539" s="5">
        <f>XLOOKUP(G539, item_category!C:C, item_category!B:B, "Not Found")</f>
      </c>
      <c r="F539" s="1" t="s">
        <v>6008</v>
      </c>
      <c r="G539" s="5">
        <f>XLOOKUP(I539, drug!B:B, drug!A:A, "Not Found")</f>
      </c>
      <c r="H539" s="1" t="s">
        <v>1976</v>
      </c>
      <c r="I539" s="7">
        <v>1</v>
      </c>
      <c r="J539" s="5">
        <f>XLOOKUP(L539, uom!C:C, uom!B:B, "Not Found")</f>
      </c>
      <c r="K539" s="1" t="s">
        <v>5511</v>
      </c>
      <c r="L539" s="5">
        <f>XLOOKUP(N539, uom!C:C, uom!B:B, "Not Found")</f>
      </c>
      <c r="M539" s="1" t="s">
        <v>5511</v>
      </c>
      <c r="N539" s="8" t="s">
        <v>5512</v>
      </c>
      <c r="O539" s="1" t="s">
        <v>5513</v>
      </c>
      <c r="P539" s="5">
        <f>XLOOKUP(R539, classification!C:C, classification!B:B, "Not Found")</f>
      </c>
      <c r="Q539" s="1" t="s">
        <v>5514</v>
      </c>
      <c r="R539" s="2"/>
      <c r="S539" s="2"/>
      <c r="T539" s="2"/>
      <c r="U539" s="2"/>
    </row>
    <row x14ac:dyDescent="0.25" r="540" customHeight="1" ht="17.25">
      <c r="A540" s="7">
        <v>539</v>
      </c>
      <c r="B540" s="1" t="s">
        <v>6021</v>
      </c>
      <c r="C540" s="5">
        <f>CONCATENATE("PD", TEXT(A540, "1000000"))</f>
      </c>
      <c r="D540" s="7">
        <v>65</v>
      </c>
      <c r="E540" s="5">
        <f>XLOOKUP(G540, item_category!C:C, item_category!B:B, "Not Found")</f>
      </c>
      <c r="F540" s="1" t="s">
        <v>6008</v>
      </c>
      <c r="G540" s="5">
        <f>XLOOKUP(I540, drug!B:B, drug!A:A, "Not Found")</f>
      </c>
      <c r="H540" s="1" t="s">
        <v>119</v>
      </c>
      <c r="I540" s="7">
        <v>1</v>
      </c>
      <c r="J540" s="5">
        <f>XLOOKUP(L540, uom!C:C, uom!B:B, "Not Found")</f>
      </c>
      <c r="K540" s="1" t="s">
        <v>5511</v>
      </c>
      <c r="L540" s="5">
        <f>XLOOKUP(N540, uom!C:C, uom!B:B, "Not Found")</f>
      </c>
      <c r="M540" s="1" t="s">
        <v>5511</v>
      </c>
      <c r="N540" s="8" t="s">
        <v>5512</v>
      </c>
      <c r="O540" s="1" t="s">
        <v>5513</v>
      </c>
      <c r="P540" s="5">
        <f>XLOOKUP(R540, classification!C:C, classification!B:B, "Not Found")</f>
      </c>
      <c r="Q540" s="1" t="s">
        <v>5514</v>
      </c>
      <c r="R540" s="2"/>
      <c r="S540" s="2"/>
      <c r="T540" s="2"/>
      <c r="U540" s="2"/>
    </row>
    <row x14ac:dyDescent="0.25" r="541" customHeight="1" ht="17.25">
      <c r="A541" s="7">
        <v>540</v>
      </c>
      <c r="B541" s="1" t="s">
        <v>6022</v>
      </c>
      <c r="C541" s="5">
        <f>CONCATENATE("PD", TEXT(A541, "1000000"))</f>
      </c>
      <c r="D541" s="7">
        <v>65</v>
      </c>
      <c r="E541" s="5">
        <f>XLOOKUP(G541, item_category!C:C, item_category!B:B, "Not Found")</f>
      </c>
      <c r="F541" s="1" t="s">
        <v>6008</v>
      </c>
      <c r="G541" s="5">
        <f>XLOOKUP(I541, drug!B:B, drug!A:A, "Not Found")</f>
      </c>
      <c r="H541" s="1" t="s">
        <v>1978</v>
      </c>
      <c r="I541" s="7">
        <v>1</v>
      </c>
      <c r="J541" s="5">
        <f>XLOOKUP(L541, uom!C:C, uom!B:B, "Not Found")</f>
      </c>
      <c r="K541" s="1" t="s">
        <v>5511</v>
      </c>
      <c r="L541" s="5">
        <f>XLOOKUP(N541, uom!C:C, uom!B:B, "Not Found")</f>
      </c>
      <c r="M541" s="1" t="s">
        <v>5511</v>
      </c>
      <c r="N541" s="8" t="s">
        <v>5512</v>
      </c>
      <c r="O541" s="1" t="s">
        <v>5513</v>
      </c>
      <c r="P541" s="5">
        <f>XLOOKUP(R541, classification!C:C, classification!B:B, "Not Found")</f>
      </c>
      <c r="Q541" s="1" t="s">
        <v>5514</v>
      </c>
      <c r="R541" s="2"/>
      <c r="S541" s="2"/>
      <c r="T541" s="2"/>
      <c r="U541" s="2"/>
    </row>
    <row x14ac:dyDescent="0.25" r="542" customHeight="1" ht="17.25">
      <c r="A542" s="7">
        <v>541</v>
      </c>
      <c r="B542" s="1" t="s">
        <v>6023</v>
      </c>
      <c r="C542" s="5">
        <f>CONCATENATE("PD", TEXT(A542, "1000000"))</f>
      </c>
      <c r="D542" s="7">
        <v>65</v>
      </c>
      <c r="E542" s="5">
        <f>XLOOKUP(G542, item_category!C:C, item_category!B:B, "Not Found")</f>
      </c>
      <c r="F542" s="1" t="s">
        <v>6008</v>
      </c>
      <c r="G542" s="5">
        <f>XLOOKUP(I542, drug!B:B, drug!A:A, "Not Found")</f>
      </c>
      <c r="H542" s="1" t="s">
        <v>1980</v>
      </c>
      <c r="I542" s="7">
        <v>1</v>
      </c>
      <c r="J542" s="5">
        <f>XLOOKUP(L542, uom!C:C, uom!B:B, "Not Found")</f>
      </c>
      <c r="K542" s="1" t="s">
        <v>5511</v>
      </c>
      <c r="L542" s="5">
        <f>XLOOKUP(N542, uom!C:C, uom!B:B, "Not Found")</f>
      </c>
      <c r="M542" s="1" t="s">
        <v>5511</v>
      </c>
      <c r="N542" s="8" t="s">
        <v>5512</v>
      </c>
      <c r="O542" s="1" t="s">
        <v>5513</v>
      </c>
      <c r="P542" s="5">
        <f>XLOOKUP(R542, classification!C:C, classification!B:B, "Not Found")</f>
      </c>
      <c r="Q542" s="1" t="s">
        <v>5514</v>
      </c>
      <c r="R542" s="2"/>
      <c r="S542" s="2"/>
      <c r="T542" s="2"/>
      <c r="U542" s="2"/>
    </row>
    <row x14ac:dyDescent="0.25" r="543" customHeight="1" ht="17.25">
      <c r="A543" s="7">
        <v>542</v>
      </c>
      <c r="B543" s="1" t="s">
        <v>6024</v>
      </c>
      <c r="C543" s="5">
        <f>CONCATENATE("PD", TEXT(A543, "1000000"))</f>
      </c>
      <c r="D543" s="7">
        <v>65</v>
      </c>
      <c r="E543" s="5">
        <f>XLOOKUP(G543, item_category!C:C, item_category!B:B, "Not Found")</f>
      </c>
      <c r="F543" s="1" t="s">
        <v>6008</v>
      </c>
      <c r="G543" s="5">
        <f>XLOOKUP(I543, drug!B:B, drug!A:A, "Not Found")</f>
      </c>
      <c r="H543" s="1" t="s">
        <v>1982</v>
      </c>
      <c r="I543" s="7">
        <v>1</v>
      </c>
      <c r="J543" s="5">
        <f>XLOOKUP(L543, uom!C:C, uom!B:B, "Not Found")</f>
      </c>
      <c r="K543" s="1" t="s">
        <v>5511</v>
      </c>
      <c r="L543" s="5">
        <f>XLOOKUP(N543, uom!C:C, uom!B:B, "Not Found")</f>
      </c>
      <c r="M543" s="1" t="s">
        <v>5511</v>
      </c>
      <c r="N543" s="8" t="s">
        <v>5512</v>
      </c>
      <c r="O543" s="1" t="s">
        <v>5513</v>
      </c>
      <c r="P543" s="5">
        <f>XLOOKUP(R543, classification!C:C, classification!B:B, "Not Found")</f>
      </c>
      <c r="Q543" s="1" t="s">
        <v>5514</v>
      </c>
      <c r="R543" s="2"/>
      <c r="S543" s="2"/>
      <c r="T543" s="2"/>
      <c r="U543" s="2"/>
    </row>
    <row x14ac:dyDescent="0.25" r="544" customHeight="1" ht="17.25">
      <c r="A544" s="7">
        <v>543</v>
      </c>
      <c r="B544" s="1" t="s">
        <v>6025</v>
      </c>
      <c r="C544" s="5">
        <f>CONCATENATE("PD", TEXT(A544, "1000000"))</f>
      </c>
      <c r="D544" s="7">
        <v>65</v>
      </c>
      <c r="E544" s="5">
        <f>XLOOKUP(G544, item_category!C:C, item_category!B:B, "Not Found")</f>
      </c>
      <c r="F544" s="1" t="s">
        <v>6008</v>
      </c>
      <c r="G544" s="5">
        <f>XLOOKUP(I544, drug!B:B, drug!A:A, "Not Found")</f>
      </c>
      <c r="H544" s="1" t="s">
        <v>1984</v>
      </c>
      <c r="I544" s="7">
        <v>1</v>
      </c>
      <c r="J544" s="5">
        <f>XLOOKUP(L544, uom!C:C, uom!B:B, "Not Found")</f>
      </c>
      <c r="K544" s="1" t="s">
        <v>5511</v>
      </c>
      <c r="L544" s="5">
        <f>XLOOKUP(N544, uom!C:C, uom!B:B, "Not Found")</f>
      </c>
      <c r="M544" s="1" t="s">
        <v>5511</v>
      </c>
      <c r="N544" s="8" t="s">
        <v>5512</v>
      </c>
      <c r="O544" s="1" t="s">
        <v>5513</v>
      </c>
      <c r="P544" s="5">
        <f>XLOOKUP(R544, classification!C:C, classification!B:B, "Not Found")</f>
      </c>
      <c r="Q544" s="1" t="s">
        <v>5514</v>
      </c>
      <c r="R544" s="2"/>
      <c r="S544" s="2"/>
      <c r="T544" s="2"/>
      <c r="U544" s="2"/>
    </row>
    <row x14ac:dyDescent="0.25" r="545" customHeight="1" ht="17.25">
      <c r="A545" s="7">
        <v>544</v>
      </c>
      <c r="B545" s="1" t="s">
        <v>6026</v>
      </c>
      <c r="C545" s="5">
        <f>CONCATENATE("PD", TEXT(A545, "1000000"))</f>
      </c>
      <c r="D545" s="7">
        <v>65</v>
      </c>
      <c r="E545" s="5">
        <f>XLOOKUP(G545, item_category!C:C, item_category!B:B, "Not Found")</f>
      </c>
      <c r="F545" s="1" t="s">
        <v>6008</v>
      </c>
      <c r="G545" s="5">
        <f>XLOOKUP(I545, drug!B:B, drug!A:A, "Not Found")</f>
      </c>
      <c r="H545" s="1" t="s">
        <v>1984</v>
      </c>
      <c r="I545" s="7">
        <v>1</v>
      </c>
      <c r="J545" s="5">
        <f>XLOOKUP(L545, uom!C:C, uom!B:B, "Not Found")</f>
      </c>
      <c r="K545" s="1" t="s">
        <v>5511</v>
      </c>
      <c r="L545" s="5">
        <f>XLOOKUP(N545, uom!C:C, uom!B:B, "Not Found")</f>
      </c>
      <c r="M545" s="1" t="s">
        <v>5511</v>
      </c>
      <c r="N545" s="8" t="s">
        <v>5512</v>
      </c>
      <c r="O545" s="1" t="s">
        <v>5513</v>
      </c>
      <c r="P545" s="5">
        <f>XLOOKUP(R545, classification!C:C, classification!B:B, "Not Found")</f>
      </c>
      <c r="Q545" s="1" t="s">
        <v>5514</v>
      </c>
      <c r="R545" s="2"/>
      <c r="S545" s="2"/>
      <c r="T545" s="2"/>
      <c r="U545" s="2"/>
    </row>
    <row x14ac:dyDescent="0.25" r="546" customHeight="1" ht="17.25">
      <c r="A546" s="7">
        <v>545</v>
      </c>
      <c r="B546" s="1" t="s">
        <v>6027</v>
      </c>
      <c r="C546" s="5">
        <f>CONCATENATE("PD", TEXT(A546, "1000000"))</f>
      </c>
      <c r="D546" s="7">
        <v>65</v>
      </c>
      <c r="E546" s="5">
        <f>XLOOKUP(G546, item_category!C:C, item_category!B:B, "Not Found")</f>
      </c>
      <c r="F546" s="1" t="s">
        <v>6008</v>
      </c>
      <c r="G546" s="5">
        <f>XLOOKUP(I546, drug!B:B, drug!A:A, "Not Found")</f>
      </c>
      <c r="H546" s="1" t="s">
        <v>233</v>
      </c>
      <c r="I546" s="7">
        <v>1</v>
      </c>
      <c r="J546" s="5">
        <f>XLOOKUP(L546, uom!C:C, uom!B:B, "Not Found")</f>
      </c>
      <c r="K546" s="1" t="s">
        <v>5511</v>
      </c>
      <c r="L546" s="5">
        <f>XLOOKUP(N546, uom!C:C, uom!B:B, "Not Found")</f>
      </c>
      <c r="M546" s="1" t="s">
        <v>5511</v>
      </c>
      <c r="N546" s="8" t="s">
        <v>5512</v>
      </c>
      <c r="O546" s="1" t="s">
        <v>5513</v>
      </c>
      <c r="P546" s="5">
        <f>XLOOKUP(R546, classification!C:C, classification!B:B, "Not Found")</f>
      </c>
      <c r="Q546" s="1" t="s">
        <v>5514</v>
      </c>
      <c r="R546" s="2"/>
      <c r="S546" s="2"/>
      <c r="T546" s="2"/>
      <c r="U546" s="2"/>
    </row>
    <row x14ac:dyDescent="0.25" r="547" customHeight="1" ht="17.25">
      <c r="A547" s="7">
        <v>546</v>
      </c>
      <c r="B547" s="1" t="s">
        <v>6028</v>
      </c>
      <c r="C547" s="5">
        <f>CONCATENATE("PD", TEXT(A547, "1000000"))</f>
      </c>
      <c r="D547" s="7">
        <v>65</v>
      </c>
      <c r="E547" s="5">
        <f>XLOOKUP(G547, item_category!C:C, item_category!B:B, "Not Found")</f>
      </c>
      <c r="F547" s="1" t="s">
        <v>6008</v>
      </c>
      <c r="G547" s="5">
        <f>XLOOKUP(I547, drug!B:B, drug!A:A, "Not Found")</f>
      </c>
      <c r="H547" s="1" t="s">
        <v>1986</v>
      </c>
      <c r="I547" s="7">
        <v>1</v>
      </c>
      <c r="J547" s="5">
        <f>XLOOKUP(L547, uom!C:C, uom!B:B, "Not Found")</f>
      </c>
      <c r="K547" s="1" t="s">
        <v>5511</v>
      </c>
      <c r="L547" s="5">
        <f>XLOOKUP(N547, uom!C:C, uom!B:B, "Not Found")</f>
      </c>
      <c r="M547" s="1" t="s">
        <v>5511</v>
      </c>
      <c r="N547" s="8" t="s">
        <v>5512</v>
      </c>
      <c r="O547" s="1" t="s">
        <v>5513</v>
      </c>
      <c r="P547" s="5">
        <f>XLOOKUP(R547, classification!C:C, classification!B:B, "Not Found")</f>
      </c>
      <c r="Q547" s="1" t="s">
        <v>5514</v>
      </c>
      <c r="R547" s="2"/>
      <c r="S547" s="2"/>
      <c r="T547" s="2"/>
      <c r="U547" s="2"/>
    </row>
    <row x14ac:dyDescent="0.25" r="548" customHeight="1" ht="17.25">
      <c r="A548" s="7">
        <v>547</v>
      </c>
      <c r="B548" s="1" t="s">
        <v>6029</v>
      </c>
      <c r="C548" s="5">
        <f>CONCATENATE("PD", TEXT(A548, "1000000"))</f>
      </c>
      <c r="D548" s="7">
        <v>65</v>
      </c>
      <c r="E548" s="5">
        <f>XLOOKUP(G548, item_category!C:C, item_category!B:B, "Not Found")</f>
      </c>
      <c r="F548" s="1" t="s">
        <v>6008</v>
      </c>
      <c r="G548" s="5">
        <f>XLOOKUP(I548, drug!B:B, drug!A:A, "Not Found")</f>
      </c>
      <c r="H548" s="1" t="s">
        <v>1988</v>
      </c>
      <c r="I548" s="7">
        <v>1</v>
      </c>
      <c r="J548" s="5">
        <f>XLOOKUP(L548, uom!C:C, uom!B:B, "Not Found")</f>
      </c>
      <c r="K548" s="1" t="s">
        <v>5511</v>
      </c>
      <c r="L548" s="5">
        <f>XLOOKUP(N548, uom!C:C, uom!B:B, "Not Found")</f>
      </c>
      <c r="M548" s="1" t="s">
        <v>5511</v>
      </c>
      <c r="N548" s="8" t="s">
        <v>5512</v>
      </c>
      <c r="O548" s="1" t="s">
        <v>5513</v>
      </c>
      <c r="P548" s="5">
        <f>XLOOKUP(R548, classification!C:C, classification!B:B, "Not Found")</f>
      </c>
      <c r="Q548" s="1" t="s">
        <v>5514</v>
      </c>
      <c r="R548" s="2"/>
      <c r="S548" s="2"/>
      <c r="T548" s="2"/>
      <c r="U548" s="2"/>
    </row>
    <row x14ac:dyDescent="0.25" r="549" customHeight="1" ht="17.25">
      <c r="A549" s="7">
        <v>548</v>
      </c>
      <c r="B549" s="1" t="s">
        <v>6030</v>
      </c>
      <c r="C549" s="5">
        <f>CONCATENATE("PD", TEXT(A549, "1000000"))</f>
      </c>
      <c r="D549" s="7">
        <v>65</v>
      </c>
      <c r="E549" s="5">
        <f>XLOOKUP(G549, item_category!C:C, item_category!B:B, "Not Found")</f>
      </c>
      <c r="F549" s="1" t="s">
        <v>6008</v>
      </c>
      <c r="G549" s="5">
        <f>XLOOKUP(I549, drug!B:B, drug!A:A, "Not Found")</f>
      </c>
      <c r="H549" s="1" t="s">
        <v>203</v>
      </c>
      <c r="I549" s="7">
        <v>1</v>
      </c>
      <c r="J549" s="5">
        <f>XLOOKUP(L549, uom!C:C, uom!B:B, "Not Found")</f>
      </c>
      <c r="K549" s="1" t="s">
        <v>5511</v>
      </c>
      <c r="L549" s="5">
        <f>XLOOKUP(N549, uom!C:C, uom!B:B, "Not Found")</f>
      </c>
      <c r="M549" s="1" t="s">
        <v>5511</v>
      </c>
      <c r="N549" s="8" t="s">
        <v>5512</v>
      </c>
      <c r="O549" s="1" t="s">
        <v>5513</v>
      </c>
      <c r="P549" s="5">
        <f>XLOOKUP(R549, classification!C:C, classification!B:B, "Not Found")</f>
      </c>
      <c r="Q549" s="1" t="s">
        <v>5514</v>
      </c>
      <c r="R549" s="2"/>
      <c r="S549" s="2"/>
      <c r="T549" s="2"/>
      <c r="U549" s="2"/>
    </row>
    <row x14ac:dyDescent="0.25" r="550" customHeight="1" ht="17.25">
      <c r="A550" s="7">
        <v>549</v>
      </c>
      <c r="B550" s="1" t="s">
        <v>6031</v>
      </c>
      <c r="C550" s="5">
        <f>CONCATENATE("PD", TEXT(A550, "1000000"))</f>
      </c>
      <c r="D550" s="7">
        <v>65</v>
      </c>
      <c r="E550" s="5">
        <f>XLOOKUP(G550, item_category!C:C, item_category!B:B, "Not Found")</f>
      </c>
      <c r="F550" s="1" t="s">
        <v>6008</v>
      </c>
      <c r="G550" s="5">
        <f>XLOOKUP(I550, drug!B:B, drug!A:A, "Not Found")</f>
      </c>
      <c r="H550" s="1" t="s">
        <v>1990</v>
      </c>
      <c r="I550" s="7">
        <v>1</v>
      </c>
      <c r="J550" s="5">
        <f>XLOOKUP(L550, uom!C:C, uom!B:B, "Not Found")</f>
      </c>
      <c r="K550" s="1" t="s">
        <v>5511</v>
      </c>
      <c r="L550" s="5">
        <f>XLOOKUP(N550, uom!C:C, uom!B:B, "Not Found")</f>
      </c>
      <c r="M550" s="1" t="s">
        <v>5511</v>
      </c>
      <c r="N550" s="8" t="s">
        <v>5512</v>
      </c>
      <c r="O550" s="1" t="s">
        <v>5513</v>
      </c>
      <c r="P550" s="5">
        <f>XLOOKUP(R550, classification!C:C, classification!B:B, "Not Found")</f>
      </c>
      <c r="Q550" s="1" t="s">
        <v>5514</v>
      </c>
      <c r="R550" s="2"/>
      <c r="S550" s="2"/>
      <c r="T550" s="2"/>
      <c r="U550" s="2"/>
    </row>
    <row x14ac:dyDescent="0.25" r="551" customHeight="1" ht="17.25">
      <c r="A551" s="7">
        <v>550</v>
      </c>
      <c r="B551" s="1" t="s">
        <v>6032</v>
      </c>
      <c r="C551" s="5">
        <f>CONCATENATE("PD", TEXT(A551, "1000000"))</f>
      </c>
      <c r="D551" s="7">
        <v>65</v>
      </c>
      <c r="E551" s="5">
        <f>XLOOKUP(G551, item_category!C:C, item_category!B:B, "Not Found")</f>
      </c>
      <c r="F551" s="1" t="s">
        <v>6008</v>
      </c>
      <c r="G551" s="5">
        <f>XLOOKUP(I551, drug!B:B, drug!A:A, "Not Found")</f>
      </c>
      <c r="H551" s="1" t="s">
        <v>1992</v>
      </c>
      <c r="I551" s="7">
        <v>1</v>
      </c>
      <c r="J551" s="5">
        <f>XLOOKUP(L551, uom!C:C, uom!B:B, "Not Found")</f>
      </c>
      <c r="K551" s="1" t="s">
        <v>5511</v>
      </c>
      <c r="L551" s="5">
        <f>XLOOKUP(N551, uom!C:C, uom!B:B, "Not Found")</f>
      </c>
      <c r="M551" s="1" t="s">
        <v>5511</v>
      </c>
      <c r="N551" s="8" t="s">
        <v>5512</v>
      </c>
      <c r="O551" s="1" t="s">
        <v>5513</v>
      </c>
      <c r="P551" s="5">
        <f>XLOOKUP(R551, classification!C:C, classification!B:B, "Not Found")</f>
      </c>
      <c r="Q551" s="1" t="s">
        <v>5514</v>
      </c>
      <c r="R551" s="2"/>
      <c r="S551" s="2"/>
      <c r="T551" s="2"/>
      <c r="U551" s="2"/>
    </row>
    <row x14ac:dyDescent="0.25" r="552" customHeight="1" ht="17.25">
      <c r="A552" s="7">
        <v>551</v>
      </c>
      <c r="B552" s="1" t="s">
        <v>6033</v>
      </c>
      <c r="C552" s="5">
        <f>CONCATENATE("PD", TEXT(A552, "1000000"))</f>
      </c>
      <c r="D552" s="7">
        <v>65</v>
      </c>
      <c r="E552" s="5">
        <f>XLOOKUP(G552, item_category!C:C, item_category!B:B, "Not Found")</f>
      </c>
      <c r="F552" s="1" t="s">
        <v>6008</v>
      </c>
      <c r="G552" s="5">
        <f>XLOOKUP(I552, drug!B:B, drug!A:A, "Not Found")</f>
      </c>
      <c r="H552" s="1" t="s">
        <v>230</v>
      </c>
      <c r="I552" s="7">
        <v>1</v>
      </c>
      <c r="J552" s="5">
        <f>XLOOKUP(L552, uom!C:C, uom!B:B, "Not Found")</f>
      </c>
      <c r="K552" s="1" t="s">
        <v>5511</v>
      </c>
      <c r="L552" s="5">
        <f>XLOOKUP(N552, uom!C:C, uom!B:B, "Not Found")</f>
      </c>
      <c r="M552" s="1" t="s">
        <v>5511</v>
      </c>
      <c r="N552" s="8" t="s">
        <v>5512</v>
      </c>
      <c r="O552" s="1" t="s">
        <v>5513</v>
      </c>
      <c r="P552" s="5">
        <f>XLOOKUP(R552, classification!C:C, classification!B:B, "Not Found")</f>
      </c>
      <c r="Q552" s="1" t="s">
        <v>5514</v>
      </c>
      <c r="R552" s="2"/>
      <c r="S552" s="2"/>
      <c r="T552" s="2"/>
      <c r="U552" s="2"/>
    </row>
    <row x14ac:dyDescent="0.25" r="553" customHeight="1" ht="17.25">
      <c r="A553" s="7">
        <v>552</v>
      </c>
      <c r="B553" s="1" t="s">
        <v>6034</v>
      </c>
      <c r="C553" s="5">
        <f>CONCATENATE("PD", TEXT(A553, "1000000"))</f>
      </c>
      <c r="D553" s="7">
        <v>65</v>
      </c>
      <c r="E553" s="5">
        <f>XLOOKUP(G553, item_category!C:C, item_category!B:B, "Not Found")</f>
      </c>
      <c r="F553" s="1" t="s">
        <v>6008</v>
      </c>
      <c r="G553" s="5">
        <f>XLOOKUP(I553, drug!B:B, drug!A:A, "Not Found")</f>
      </c>
      <c r="H553" s="1" t="s">
        <v>233</v>
      </c>
      <c r="I553" s="7">
        <v>1</v>
      </c>
      <c r="J553" s="5">
        <f>XLOOKUP(L553, uom!C:C, uom!B:B, "Not Found")</f>
      </c>
      <c r="K553" s="1" t="s">
        <v>5511</v>
      </c>
      <c r="L553" s="5">
        <f>XLOOKUP(N553, uom!C:C, uom!B:B, "Not Found")</f>
      </c>
      <c r="M553" s="1" t="s">
        <v>5511</v>
      </c>
      <c r="N553" s="8" t="s">
        <v>5512</v>
      </c>
      <c r="O553" s="1" t="s">
        <v>5513</v>
      </c>
      <c r="P553" s="5">
        <f>XLOOKUP(R553, classification!C:C, classification!B:B, "Not Found")</f>
      </c>
      <c r="Q553" s="1" t="s">
        <v>5514</v>
      </c>
      <c r="R553" s="2"/>
      <c r="S553" s="2"/>
      <c r="T553" s="2"/>
      <c r="U553" s="2"/>
    </row>
    <row x14ac:dyDescent="0.25" r="554" customHeight="1" ht="17.25">
      <c r="A554" s="7">
        <v>553</v>
      </c>
      <c r="B554" s="1" t="s">
        <v>6035</v>
      </c>
      <c r="C554" s="5">
        <f>CONCATENATE("PD", TEXT(A554, "1000000"))</f>
      </c>
      <c r="D554" s="7">
        <v>65</v>
      </c>
      <c r="E554" s="5">
        <f>XLOOKUP(G554, item_category!C:C, item_category!B:B, "Not Found")</f>
      </c>
      <c r="F554" s="1" t="s">
        <v>6008</v>
      </c>
      <c r="G554" s="5">
        <f>XLOOKUP(I554, drug!B:B, drug!A:A, "Not Found")</f>
      </c>
      <c r="H554" s="1" t="s">
        <v>233</v>
      </c>
      <c r="I554" s="7">
        <v>1</v>
      </c>
      <c r="J554" s="5">
        <f>XLOOKUP(L554, uom!C:C, uom!B:B, "Not Found")</f>
      </c>
      <c r="K554" s="1" t="s">
        <v>5511</v>
      </c>
      <c r="L554" s="5">
        <f>XLOOKUP(N554, uom!C:C, uom!B:B, "Not Found")</f>
      </c>
      <c r="M554" s="1" t="s">
        <v>5511</v>
      </c>
      <c r="N554" s="8" t="s">
        <v>5512</v>
      </c>
      <c r="O554" s="1" t="s">
        <v>5513</v>
      </c>
      <c r="P554" s="5">
        <f>XLOOKUP(R554, classification!C:C, classification!B:B, "Not Found")</f>
      </c>
      <c r="Q554" s="1" t="s">
        <v>5514</v>
      </c>
      <c r="R554" s="2"/>
      <c r="S554" s="2"/>
      <c r="T554" s="2"/>
      <c r="U554" s="2"/>
    </row>
    <row x14ac:dyDescent="0.25" r="555" customHeight="1" ht="17.25">
      <c r="A555" s="7">
        <v>554</v>
      </c>
      <c r="B555" s="1" t="s">
        <v>6036</v>
      </c>
      <c r="C555" s="5">
        <f>CONCATENATE("PD", TEXT(A555, "1000000"))</f>
      </c>
      <c r="D555" s="7">
        <v>65</v>
      </c>
      <c r="E555" s="5">
        <f>XLOOKUP(G555, item_category!C:C, item_category!B:B, "Not Found")</f>
      </c>
      <c r="F555" s="1" t="s">
        <v>6008</v>
      </c>
      <c r="G555" s="5">
        <f>XLOOKUP(I555, drug!B:B, drug!A:A, "Not Found")</f>
      </c>
      <c r="H555" s="1" t="s">
        <v>233</v>
      </c>
      <c r="I555" s="7">
        <v>1</v>
      </c>
      <c r="J555" s="5">
        <f>XLOOKUP(L555, uom!C:C, uom!B:B, "Not Found")</f>
      </c>
      <c r="K555" s="1" t="s">
        <v>5511</v>
      </c>
      <c r="L555" s="5">
        <f>XLOOKUP(N555, uom!C:C, uom!B:B, "Not Found")</f>
      </c>
      <c r="M555" s="1" t="s">
        <v>5511</v>
      </c>
      <c r="N555" s="8" t="s">
        <v>5512</v>
      </c>
      <c r="O555" s="1" t="s">
        <v>5513</v>
      </c>
      <c r="P555" s="5">
        <f>XLOOKUP(R555, classification!C:C, classification!B:B, "Not Found")</f>
      </c>
      <c r="Q555" s="1" t="s">
        <v>5514</v>
      </c>
      <c r="R555" s="2"/>
      <c r="S555" s="2"/>
      <c r="T555" s="2"/>
      <c r="U555" s="2"/>
    </row>
    <row x14ac:dyDescent="0.25" r="556" customHeight="1" ht="17.25">
      <c r="A556" s="7">
        <v>555</v>
      </c>
      <c r="B556" s="1" t="s">
        <v>6037</v>
      </c>
      <c r="C556" s="5">
        <f>CONCATENATE("PD", TEXT(A556, "1000000"))</f>
      </c>
      <c r="D556" s="7">
        <v>65</v>
      </c>
      <c r="E556" s="5">
        <f>XLOOKUP(G556, item_category!C:C, item_category!B:B, "Not Found")</f>
      </c>
      <c r="F556" s="1" t="s">
        <v>6008</v>
      </c>
      <c r="G556" s="5">
        <f>XLOOKUP(I556, drug!B:B, drug!A:A, "Not Found")</f>
      </c>
      <c r="H556" s="1" t="s">
        <v>245</v>
      </c>
      <c r="I556" s="7">
        <v>1</v>
      </c>
      <c r="J556" s="5">
        <f>XLOOKUP(L556, uom!C:C, uom!B:B, "Not Found")</f>
      </c>
      <c r="K556" s="1" t="s">
        <v>5511</v>
      </c>
      <c r="L556" s="5">
        <f>XLOOKUP(N556, uom!C:C, uom!B:B, "Not Found")</f>
      </c>
      <c r="M556" s="1" t="s">
        <v>5511</v>
      </c>
      <c r="N556" s="8" t="s">
        <v>5512</v>
      </c>
      <c r="O556" s="1" t="s">
        <v>5513</v>
      </c>
      <c r="P556" s="5">
        <f>XLOOKUP(R556, classification!C:C, classification!B:B, "Not Found")</f>
      </c>
      <c r="Q556" s="1" t="s">
        <v>5514</v>
      </c>
      <c r="R556" s="2"/>
      <c r="S556" s="2"/>
      <c r="T556" s="2"/>
      <c r="U556" s="2"/>
    </row>
    <row x14ac:dyDescent="0.25" r="557" customHeight="1" ht="17.25">
      <c r="A557" s="7">
        <v>556</v>
      </c>
      <c r="B557" s="1" t="s">
        <v>6038</v>
      </c>
      <c r="C557" s="5">
        <f>CONCATENATE("PD", TEXT(A557, "1000000"))</f>
      </c>
      <c r="D557" s="7">
        <v>65</v>
      </c>
      <c r="E557" s="5">
        <f>XLOOKUP(G557, item_category!C:C, item_category!B:B, "Not Found")</f>
      </c>
      <c r="F557" s="1" t="s">
        <v>6008</v>
      </c>
      <c r="G557" s="5">
        <f>XLOOKUP(I557, drug!B:B, drug!A:A, "Not Found")</f>
      </c>
      <c r="H557" s="1" t="s">
        <v>1994</v>
      </c>
      <c r="I557" s="7">
        <v>1</v>
      </c>
      <c r="J557" s="5">
        <f>XLOOKUP(L557, uom!C:C, uom!B:B, "Not Found")</f>
      </c>
      <c r="K557" s="1" t="s">
        <v>5511</v>
      </c>
      <c r="L557" s="5">
        <f>XLOOKUP(N557, uom!C:C, uom!B:B, "Not Found")</f>
      </c>
      <c r="M557" s="1" t="s">
        <v>5511</v>
      </c>
      <c r="N557" s="8" t="s">
        <v>5512</v>
      </c>
      <c r="O557" s="1" t="s">
        <v>5513</v>
      </c>
      <c r="P557" s="5">
        <f>XLOOKUP(R557, classification!C:C, classification!B:B, "Not Found")</f>
      </c>
      <c r="Q557" s="1" t="s">
        <v>5514</v>
      </c>
      <c r="R557" s="2"/>
      <c r="S557" s="2"/>
      <c r="T557" s="2"/>
      <c r="U557" s="2"/>
    </row>
    <row x14ac:dyDescent="0.25" r="558" customHeight="1" ht="17.25">
      <c r="A558" s="7">
        <v>557</v>
      </c>
      <c r="B558" s="1" t="s">
        <v>6039</v>
      </c>
      <c r="C558" s="5">
        <f>CONCATENATE("PD", TEXT(A558, "1000000"))</f>
      </c>
      <c r="D558" s="7">
        <v>65</v>
      </c>
      <c r="E558" s="5">
        <f>XLOOKUP(G558, item_category!C:C, item_category!B:B, "Not Found")</f>
      </c>
      <c r="F558" s="1" t="s">
        <v>6008</v>
      </c>
      <c r="G558" s="5">
        <f>XLOOKUP(I558, drug!B:B, drug!A:A, "Not Found")</f>
      </c>
      <c r="H558" s="1" t="s">
        <v>1996</v>
      </c>
      <c r="I558" s="7">
        <v>1</v>
      </c>
      <c r="J558" s="5">
        <f>XLOOKUP(L558, uom!C:C, uom!B:B, "Not Found")</f>
      </c>
      <c r="K558" s="1" t="s">
        <v>5511</v>
      </c>
      <c r="L558" s="5">
        <f>XLOOKUP(N558, uom!C:C, uom!B:B, "Not Found")</f>
      </c>
      <c r="M558" s="1" t="s">
        <v>5511</v>
      </c>
      <c r="N558" s="8" t="s">
        <v>5512</v>
      </c>
      <c r="O558" s="1" t="s">
        <v>5513</v>
      </c>
      <c r="P558" s="5">
        <f>XLOOKUP(R558, classification!C:C, classification!B:B, "Not Found")</f>
      </c>
      <c r="Q558" s="1" t="s">
        <v>5514</v>
      </c>
      <c r="R558" s="2"/>
      <c r="S558" s="2"/>
      <c r="T558" s="2"/>
      <c r="U558" s="2"/>
    </row>
    <row x14ac:dyDescent="0.25" r="559" customHeight="1" ht="17.25">
      <c r="A559" s="7">
        <v>558</v>
      </c>
      <c r="B559" s="1" t="s">
        <v>6040</v>
      </c>
      <c r="C559" s="5">
        <f>CONCATENATE("PD", TEXT(A559, "1000000"))</f>
      </c>
      <c r="D559" s="7">
        <v>65</v>
      </c>
      <c r="E559" s="5">
        <f>XLOOKUP(G559, item_category!C:C, item_category!B:B, "Not Found")</f>
      </c>
      <c r="F559" s="1" t="s">
        <v>6008</v>
      </c>
      <c r="G559" s="5">
        <f>XLOOKUP(I559, drug!B:B, drug!A:A, "Not Found")</f>
      </c>
      <c r="H559" s="1" t="s">
        <v>1994</v>
      </c>
      <c r="I559" s="7">
        <v>50</v>
      </c>
      <c r="J559" s="5">
        <f>XLOOKUP(L559, uom!C:C, uom!B:B, "Not Found")</f>
      </c>
      <c r="K559" s="1" t="s">
        <v>5511</v>
      </c>
      <c r="L559" s="5">
        <f>XLOOKUP(N559, uom!C:C, uom!B:B, "Not Found")</f>
      </c>
      <c r="M559" s="1" t="s">
        <v>5511</v>
      </c>
      <c r="N559" s="8" t="s">
        <v>5524</v>
      </c>
      <c r="O559" s="1" t="s">
        <v>5525</v>
      </c>
      <c r="P559" s="5">
        <f>XLOOKUP(R559, classification!C:C, classification!B:B, "Not Found")</f>
      </c>
      <c r="Q559" s="1" t="s">
        <v>5514</v>
      </c>
      <c r="R559" s="2"/>
      <c r="S559" s="2"/>
      <c r="T559" s="2"/>
      <c r="U559" s="2"/>
    </row>
    <row x14ac:dyDescent="0.25" r="560" customHeight="1" ht="17.25">
      <c r="A560" s="7">
        <v>559</v>
      </c>
      <c r="B560" s="1" t="s">
        <v>6041</v>
      </c>
      <c r="C560" s="5">
        <f>CONCATENATE("PD", TEXT(A560, "1000000"))</f>
      </c>
      <c r="D560" s="7">
        <v>65</v>
      </c>
      <c r="E560" s="5">
        <f>XLOOKUP(G560, item_category!C:C, item_category!B:B, "Not Found")</f>
      </c>
      <c r="F560" s="1" t="s">
        <v>6008</v>
      </c>
      <c r="G560" s="5">
        <f>XLOOKUP(I560, drug!B:B, drug!A:A, "Not Found")</f>
      </c>
      <c r="H560" s="1" t="s">
        <v>1998</v>
      </c>
      <c r="I560" s="7">
        <v>1</v>
      </c>
      <c r="J560" s="5">
        <f>XLOOKUP(L560, uom!C:C, uom!B:B, "Not Found")</f>
      </c>
      <c r="K560" s="1" t="s">
        <v>5511</v>
      </c>
      <c r="L560" s="5">
        <f>XLOOKUP(N560, uom!C:C, uom!B:B, "Not Found")</f>
      </c>
      <c r="M560" s="1" t="s">
        <v>5511</v>
      </c>
      <c r="N560" s="8" t="s">
        <v>5512</v>
      </c>
      <c r="O560" s="1" t="s">
        <v>5513</v>
      </c>
      <c r="P560" s="5">
        <f>XLOOKUP(R560, classification!C:C, classification!B:B, "Not Found")</f>
      </c>
      <c r="Q560" s="1" t="s">
        <v>5514</v>
      </c>
      <c r="R560" s="2"/>
      <c r="S560" s="2"/>
      <c r="T560" s="2"/>
      <c r="U560" s="2"/>
    </row>
    <row x14ac:dyDescent="0.25" r="561" customHeight="1" ht="17.25">
      <c r="A561" s="7">
        <v>560</v>
      </c>
      <c r="B561" s="1" t="s">
        <v>6042</v>
      </c>
      <c r="C561" s="5">
        <f>CONCATENATE("PD", TEXT(A561, "1000000"))</f>
      </c>
      <c r="D561" s="7">
        <v>65</v>
      </c>
      <c r="E561" s="5">
        <f>XLOOKUP(G561, item_category!C:C, item_category!B:B, "Not Found")</f>
      </c>
      <c r="F561" s="1" t="s">
        <v>6008</v>
      </c>
      <c r="G561" s="5">
        <f>XLOOKUP(I561, drug!B:B, drug!A:A, "Not Found")</f>
      </c>
      <c r="H561" s="1" t="s">
        <v>354</v>
      </c>
      <c r="I561" s="7">
        <v>1</v>
      </c>
      <c r="J561" s="5">
        <f>XLOOKUP(L561, uom!C:C, uom!B:B, "Not Found")</f>
      </c>
      <c r="K561" s="1" t="s">
        <v>5511</v>
      </c>
      <c r="L561" s="5">
        <f>XLOOKUP(N561, uom!C:C, uom!B:B, "Not Found")</f>
      </c>
      <c r="M561" s="1" t="s">
        <v>5511</v>
      </c>
      <c r="N561" s="8" t="s">
        <v>5512</v>
      </c>
      <c r="O561" s="1" t="s">
        <v>5513</v>
      </c>
      <c r="P561" s="5">
        <f>XLOOKUP(R561, classification!C:C, classification!B:B, "Not Found")</f>
      </c>
      <c r="Q561" s="1" t="s">
        <v>5514</v>
      </c>
      <c r="R561" s="2"/>
      <c r="S561" s="2"/>
      <c r="T561" s="2"/>
      <c r="U561" s="2"/>
    </row>
    <row x14ac:dyDescent="0.25" r="562" customHeight="1" ht="17.25">
      <c r="A562" s="7">
        <v>561</v>
      </c>
      <c r="B562" s="1" t="s">
        <v>6043</v>
      </c>
      <c r="C562" s="5">
        <f>CONCATENATE("PD", TEXT(A562, "1000000"))</f>
      </c>
      <c r="D562" s="7">
        <v>65</v>
      </c>
      <c r="E562" s="5">
        <f>XLOOKUP(G562, item_category!C:C, item_category!B:B, "Not Found")</f>
      </c>
      <c r="F562" s="1" t="s">
        <v>6008</v>
      </c>
      <c r="G562" s="5">
        <f>XLOOKUP(I562, drug!B:B, drug!A:A, "Not Found")</f>
      </c>
      <c r="H562" s="1" t="s">
        <v>360</v>
      </c>
      <c r="I562" s="7">
        <v>1</v>
      </c>
      <c r="J562" s="5">
        <f>XLOOKUP(L562, uom!C:C, uom!B:B, "Not Found")</f>
      </c>
      <c r="K562" s="1" t="s">
        <v>5511</v>
      </c>
      <c r="L562" s="5">
        <f>XLOOKUP(N562, uom!C:C, uom!B:B, "Not Found")</f>
      </c>
      <c r="M562" s="1" t="s">
        <v>5511</v>
      </c>
      <c r="N562" s="8" t="s">
        <v>5512</v>
      </c>
      <c r="O562" s="1" t="s">
        <v>5513</v>
      </c>
      <c r="P562" s="5">
        <f>XLOOKUP(R562, classification!C:C, classification!B:B, "Not Found")</f>
      </c>
      <c r="Q562" s="1" t="s">
        <v>5514</v>
      </c>
      <c r="R562" s="2"/>
      <c r="S562" s="2"/>
      <c r="T562" s="2"/>
      <c r="U562" s="2"/>
    </row>
    <row x14ac:dyDescent="0.25" r="563" customHeight="1" ht="17.25">
      <c r="A563" s="7">
        <v>562</v>
      </c>
      <c r="B563" s="1" t="s">
        <v>6044</v>
      </c>
      <c r="C563" s="5">
        <f>CONCATENATE("PD", TEXT(A563, "1000000"))</f>
      </c>
      <c r="D563" s="7">
        <v>65</v>
      </c>
      <c r="E563" s="5">
        <f>XLOOKUP(G563, item_category!C:C, item_category!B:B, "Not Found")</f>
      </c>
      <c r="F563" s="1" t="s">
        <v>6008</v>
      </c>
      <c r="G563" s="5">
        <f>XLOOKUP(I563, drug!B:B, drug!A:A, "Not Found")</f>
      </c>
      <c r="H563" s="1" t="s">
        <v>2000</v>
      </c>
      <c r="I563" s="7">
        <v>1</v>
      </c>
      <c r="J563" s="5">
        <f>XLOOKUP(L563, uom!C:C, uom!B:B, "Not Found")</f>
      </c>
      <c r="K563" s="1" t="s">
        <v>5511</v>
      </c>
      <c r="L563" s="5">
        <f>XLOOKUP(N563, uom!C:C, uom!B:B, "Not Found")</f>
      </c>
      <c r="M563" s="1" t="s">
        <v>5511</v>
      </c>
      <c r="N563" s="8" t="s">
        <v>5512</v>
      </c>
      <c r="O563" s="1" t="s">
        <v>5513</v>
      </c>
      <c r="P563" s="5">
        <f>XLOOKUP(R563, classification!C:C, classification!B:B, "Not Found")</f>
      </c>
      <c r="Q563" s="1" t="s">
        <v>5514</v>
      </c>
      <c r="R563" s="2"/>
      <c r="S563" s="2"/>
      <c r="T563" s="2"/>
      <c r="U563" s="2"/>
    </row>
    <row x14ac:dyDescent="0.25" r="564" customHeight="1" ht="17.25">
      <c r="A564" s="7">
        <v>563</v>
      </c>
      <c r="B564" s="1" t="s">
        <v>6045</v>
      </c>
      <c r="C564" s="5">
        <f>CONCATENATE("PD", TEXT(A564, "1000000"))</f>
      </c>
      <c r="D564" s="7">
        <v>65</v>
      </c>
      <c r="E564" s="5">
        <f>XLOOKUP(G564, item_category!C:C, item_category!B:B, "Not Found")</f>
      </c>
      <c r="F564" s="1" t="s">
        <v>6008</v>
      </c>
      <c r="G564" s="5">
        <f>XLOOKUP(I564, drug!B:B, drug!A:A, "Not Found")</f>
      </c>
      <c r="H564" s="1" t="s">
        <v>2002</v>
      </c>
      <c r="I564" s="7">
        <v>1</v>
      </c>
      <c r="J564" s="5">
        <f>XLOOKUP(L564, uom!C:C, uom!B:B, "Not Found")</f>
      </c>
      <c r="K564" s="1" t="s">
        <v>5511</v>
      </c>
      <c r="L564" s="5">
        <f>XLOOKUP(N564, uom!C:C, uom!B:B, "Not Found")</f>
      </c>
      <c r="M564" s="1" t="s">
        <v>5511</v>
      </c>
      <c r="N564" s="8" t="s">
        <v>5512</v>
      </c>
      <c r="O564" s="1" t="s">
        <v>5513</v>
      </c>
      <c r="P564" s="5">
        <f>XLOOKUP(R564, classification!C:C, classification!B:B, "Not Found")</f>
      </c>
      <c r="Q564" s="1" t="s">
        <v>5514</v>
      </c>
      <c r="R564" s="2"/>
      <c r="S564" s="2"/>
      <c r="T564" s="2"/>
      <c r="U564" s="2"/>
    </row>
    <row x14ac:dyDescent="0.25" r="565" customHeight="1" ht="17.25">
      <c r="A565" s="7">
        <v>564</v>
      </c>
      <c r="B565" s="1" t="s">
        <v>6046</v>
      </c>
      <c r="C565" s="5">
        <f>CONCATENATE("PD", TEXT(A565, "1000000"))</f>
      </c>
      <c r="D565" s="7">
        <v>65</v>
      </c>
      <c r="E565" s="5">
        <f>XLOOKUP(G565, item_category!C:C, item_category!B:B, "Not Found")</f>
      </c>
      <c r="F565" s="1" t="s">
        <v>6008</v>
      </c>
      <c r="G565" s="5">
        <f>XLOOKUP(I565, drug!B:B, drug!A:A, "Not Found")</f>
      </c>
      <c r="H565" s="1" t="s">
        <v>1228</v>
      </c>
      <c r="I565" s="7">
        <v>1</v>
      </c>
      <c r="J565" s="5">
        <f>XLOOKUP(L565, uom!C:C, uom!B:B, "Not Found")</f>
      </c>
      <c r="K565" s="1" t="s">
        <v>5511</v>
      </c>
      <c r="L565" s="5">
        <f>XLOOKUP(N565, uom!C:C, uom!B:B, "Not Found")</f>
      </c>
      <c r="M565" s="1" t="s">
        <v>5511</v>
      </c>
      <c r="N565" s="8" t="s">
        <v>5512</v>
      </c>
      <c r="O565" s="1" t="s">
        <v>5513</v>
      </c>
      <c r="P565" s="5">
        <f>XLOOKUP(R565, classification!C:C, classification!B:B, "Not Found")</f>
      </c>
      <c r="Q565" s="1" t="s">
        <v>5514</v>
      </c>
      <c r="R565" s="2"/>
      <c r="S565" s="2"/>
      <c r="T565" s="2"/>
      <c r="U565" s="2"/>
    </row>
    <row x14ac:dyDescent="0.25" r="566" customHeight="1" ht="17.25">
      <c r="A566" s="7">
        <v>565</v>
      </c>
      <c r="B566" s="1" t="s">
        <v>6047</v>
      </c>
      <c r="C566" s="5">
        <f>CONCATENATE("PD", TEXT(A566, "1000000"))</f>
      </c>
      <c r="D566" s="7">
        <v>65</v>
      </c>
      <c r="E566" s="5">
        <f>XLOOKUP(G566, item_category!C:C, item_category!B:B, "Not Found")</f>
      </c>
      <c r="F566" s="1" t="s">
        <v>6008</v>
      </c>
      <c r="G566" s="5">
        <f>XLOOKUP(I566, drug!B:B, drug!A:A, "Not Found")</f>
      </c>
      <c r="H566" s="1" t="s">
        <v>2004</v>
      </c>
      <c r="I566" s="7">
        <v>1</v>
      </c>
      <c r="J566" s="5">
        <f>XLOOKUP(L566, uom!C:C, uom!B:B, "Not Found")</f>
      </c>
      <c r="K566" s="1" t="s">
        <v>5511</v>
      </c>
      <c r="L566" s="5">
        <f>XLOOKUP(N566, uom!C:C, uom!B:B, "Not Found")</f>
      </c>
      <c r="M566" s="1" t="s">
        <v>5511</v>
      </c>
      <c r="N566" s="8" t="s">
        <v>5512</v>
      </c>
      <c r="O566" s="1" t="s">
        <v>5513</v>
      </c>
      <c r="P566" s="5">
        <f>XLOOKUP(R566, classification!C:C, classification!B:B, "Not Found")</f>
      </c>
      <c r="Q566" s="1" t="s">
        <v>5514</v>
      </c>
      <c r="R566" s="2"/>
      <c r="S566" s="2"/>
      <c r="T566" s="2"/>
      <c r="U566" s="2"/>
    </row>
    <row x14ac:dyDescent="0.25" r="567" customHeight="1" ht="17.25">
      <c r="A567" s="7">
        <v>566</v>
      </c>
      <c r="B567" s="1" t="s">
        <v>6048</v>
      </c>
      <c r="C567" s="5">
        <f>CONCATENATE("PD", TEXT(A567, "1000000"))</f>
      </c>
      <c r="D567" s="7">
        <v>65</v>
      </c>
      <c r="E567" s="5">
        <f>XLOOKUP(G567, item_category!C:C, item_category!B:B, "Not Found")</f>
      </c>
      <c r="F567" s="1" t="s">
        <v>6008</v>
      </c>
      <c r="G567" s="5">
        <f>XLOOKUP(I567, drug!B:B, drug!A:A, "Not Found")</f>
      </c>
      <c r="H567" s="1" t="s">
        <v>2006</v>
      </c>
      <c r="I567" s="7">
        <v>1</v>
      </c>
      <c r="J567" s="5">
        <f>XLOOKUP(L567, uom!C:C, uom!B:B, "Not Found")</f>
      </c>
      <c r="K567" s="1" t="s">
        <v>5511</v>
      </c>
      <c r="L567" s="5">
        <f>XLOOKUP(N567, uom!C:C, uom!B:B, "Not Found")</f>
      </c>
      <c r="M567" s="1" t="s">
        <v>5511</v>
      </c>
      <c r="N567" s="8" t="s">
        <v>5512</v>
      </c>
      <c r="O567" s="1" t="s">
        <v>5513</v>
      </c>
      <c r="P567" s="5">
        <f>XLOOKUP(R567, classification!C:C, classification!B:B, "Not Found")</f>
      </c>
      <c r="Q567" s="1" t="s">
        <v>5514</v>
      </c>
      <c r="R567" s="2"/>
      <c r="S567" s="2"/>
      <c r="T567" s="2"/>
      <c r="U567" s="2"/>
    </row>
    <row x14ac:dyDescent="0.25" r="568" customHeight="1" ht="17.25">
      <c r="A568" s="7">
        <v>567</v>
      </c>
      <c r="B568" s="1" t="s">
        <v>6049</v>
      </c>
      <c r="C568" s="5">
        <f>CONCATENATE("PD", TEXT(A568, "1000000"))</f>
      </c>
      <c r="D568" s="7">
        <v>65</v>
      </c>
      <c r="E568" s="5">
        <f>XLOOKUP(G568, item_category!C:C, item_category!B:B, "Not Found")</f>
      </c>
      <c r="F568" s="1" t="s">
        <v>6008</v>
      </c>
      <c r="G568" s="5">
        <f>XLOOKUP(I568, drug!B:B, drug!A:A, "Not Found")</f>
      </c>
      <c r="H568" s="1" t="s">
        <v>2008</v>
      </c>
      <c r="I568" s="7">
        <v>1</v>
      </c>
      <c r="J568" s="5">
        <f>XLOOKUP(L568, uom!C:C, uom!B:B, "Not Found")</f>
      </c>
      <c r="K568" s="1" t="s">
        <v>5511</v>
      </c>
      <c r="L568" s="5">
        <f>XLOOKUP(N568, uom!C:C, uom!B:B, "Not Found")</f>
      </c>
      <c r="M568" s="1" t="s">
        <v>5511</v>
      </c>
      <c r="N568" s="8" t="s">
        <v>5512</v>
      </c>
      <c r="O568" s="1" t="s">
        <v>5513</v>
      </c>
      <c r="P568" s="5">
        <f>XLOOKUP(R568, classification!C:C, classification!B:B, "Not Found")</f>
      </c>
      <c r="Q568" s="1" t="s">
        <v>5514</v>
      </c>
      <c r="R568" s="2"/>
      <c r="S568" s="2"/>
      <c r="T568" s="2"/>
      <c r="U568" s="2"/>
    </row>
    <row x14ac:dyDescent="0.25" r="569" customHeight="1" ht="17.25">
      <c r="A569" s="7">
        <v>568</v>
      </c>
      <c r="B569" s="1" t="s">
        <v>6050</v>
      </c>
      <c r="C569" s="5">
        <f>CONCATENATE("PD", TEXT(A569, "1000000"))</f>
      </c>
      <c r="D569" s="7">
        <v>65</v>
      </c>
      <c r="E569" s="5">
        <f>XLOOKUP(G569, item_category!C:C, item_category!B:B, "Not Found")</f>
      </c>
      <c r="F569" s="1" t="s">
        <v>6008</v>
      </c>
      <c r="G569" s="5">
        <f>XLOOKUP(I569, drug!B:B, drug!A:A, "Not Found")</f>
      </c>
      <c r="H569" s="1" t="s">
        <v>510</v>
      </c>
      <c r="I569" s="7">
        <v>1</v>
      </c>
      <c r="J569" s="5">
        <f>XLOOKUP(L569, uom!C:C, uom!B:B, "Not Found")</f>
      </c>
      <c r="K569" s="1" t="s">
        <v>5511</v>
      </c>
      <c r="L569" s="5">
        <f>XLOOKUP(N569, uom!C:C, uom!B:B, "Not Found")</f>
      </c>
      <c r="M569" s="1" t="s">
        <v>5511</v>
      </c>
      <c r="N569" s="8" t="s">
        <v>5512</v>
      </c>
      <c r="O569" s="1" t="s">
        <v>5513</v>
      </c>
      <c r="P569" s="5">
        <f>XLOOKUP(R569, classification!C:C, classification!B:B, "Not Found")</f>
      </c>
      <c r="Q569" s="1" t="s">
        <v>5514</v>
      </c>
      <c r="R569" s="2"/>
      <c r="S569" s="2"/>
      <c r="T569" s="2"/>
      <c r="U569" s="2"/>
    </row>
    <row x14ac:dyDescent="0.25" r="570" customHeight="1" ht="17.25">
      <c r="A570" s="7">
        <v>569</v>
      </c>
      <c r="B570" s="1" t="s">
        <v>6051</v>
      </c>
      <c r="C570" s="5">
        <f>CONCATENATE("PD", TEXT(A570, "1000000"))</f>
      </c>
      <c r="D570" s="7">
        <v>65</v>
      </c>
      <c r="E570" s="5">
        <f>XLOOKUP(G570, item_category!C:C, item_category!B:B, "Not Found")</f>
      </c>
      <c r="F570" s="1" t="s">
        <v>6008</v>
      </c>
      <c r="G570" s="5">
        <f>XLOOKUP(I570, drug!B:B, drug!A:A, "Not Found")</f>
      </c>
      <c r="H570" s="1" t="s">
        <v>1846</v>
      </c>
      <c r="I570" s="7">
        <v>1</v>
      </c>
      <c r="J570" s="5">
        <f>XLOOKUP(L570, uom!C:C, uom!B:B, "Not Found")</f>
      </c>
      <c r="K570" s="1" t="s">
        <v>5511</v>
      </c>
      <c r="L570" s="5">
        <f>XLOOKUP(N570, uom!C:C, uom!B:B, "Not Found")</f>
      </c>
      <c r="M570" s="1" t="s">
        <v>5511</v>
      </c>
      <c r="N570" s="8" t="s">
        <v>5512</v>
      </c>
      <c r="O570" s="1" t="s">
        <v>5513</v>
      </c>
      <c r="P570" s="5">
        <f>XLOOKUP(R570, classification!C:C, classification!B:B, "Not Found")</f>
      </c>
      <c r="Q570" s="1" t="s">
        <v>5514</v>
      </c>
      <c r="R570" s="2"/>
      <c r="S570" s="2"/>
      <c r="T570" s="2"/>
      <c r="U570" s="2"/>
    </row>
    <row x14ac:dyDescent="0.25" r="571" customHeight="1" ht="17.25">
      <c r="A571" s="7">
        <v>570</v>
      </c>
      <c r="B571" s="1" t="s">
        <v>6052</v>
      </c>
      <c r="C571" s="5">
        <f>CONCATENATE("PD", TEXT(A571, "1000000"))</f>
      </c>
      <c r="D571" s="7">
        <v>65</v>
      </c>
      <c r="E571" s="5">
        <f>XLOOKUP(G571, item_category!C:C, item_category!B:B, "Not Found")</f>
      </c>
      <c r="F571" s="1" t="s">
        <v>6008</v>
      </c>
      <c r="G571" s="5">
        <f>XLOOKUP(I571, drug!B:B, drug!A:A, "Not Found")</f>
      </c>
      <c r="H571" s="1" t="s">
        <v>2010</v>
      </c>
      <c r="I571" s="7">
        <v>1</v>
      </c>
      <c r="J571" s="5">
        <f>XLOOKUP(L571, uom!C:C, uom!B:B, "Not Found")</f>
      </c>
      <c r="K571" s="1" t="s">
        <v>5511</v>
      </c>
      <c r="L571" s="5">
        <f>XLOOKUP(N571, uom!C:C, uom!B:B, "Not Found")</f>
      </c>
      <c r="M571" s="1" t="s">
        <v>5511</v>
      </c>
      <c r="N571" s="8" t="s">
        <v>5512</v>
      </c>
      <c r="O571" s="1" t="s">
        <v>5513</v>
      </c>
      <c r="P571" s="5">
        <f>XLOOKUP(R571, classification!C:C, classification!B:B, "Not Found")</f>
      </c>
      <c r="Q571" s="1" t="s">
        <v>5514</v>
      </c>
      <c r="R571" s="2"/>
      <c r="S571" s="2"/>
      <c r="T571" s="2"/>
      <c r="U571" s="2"/>
    </row>
    <row x14ac:dyDescent="0.25" r="572" customHeight="1" ht="17.25">
      <c r="A572" s="7">
        <v>571</v>
      </c>
      <c r="B572" s="1" t="s">
        <v>6053</v>
      </c>
      <c r="C572" s="5">
        <f>CONCATENATE("PD", TEXT(A572, "1000000"))</f>
      </c>
      <c r="D572" s="7">
        <v>65</v>
      </c>
      <c r="E572" s="5">
        <f>XLOOKUP(G572, item_category!C:C, item_category!B:B, "Not Found")</f>
      </c>
      <c r="F572" s="1" t="s">
        <v>6008</v>
      </c>
      <c r="G572" s="5">
        <f>XLOOKUP(I572, drug!B:B, drug!A:A, "Not Found")</f>
      </c>
      <c r="H572" s="1" t="s">
        <v>2012</v>
      </c>
      <c r="I572" s="7">
        <v>1</v>
      </c>
      <c r="J572" s="5">
        <f>XLOOKUP(L572, uom!C:C, uom!B:B, "Not Found")</f>
      </c>
      <c r="K572" s="1" t="s">
        <v>5511</v>
      </c>
      <c r="L572" s="5">
        <f>XLOOKUP(N572, uom!C:C, uom!B:B, "Not Found")</f>
      </c>
      <c r="M572" s="1" t="s">
        <v>5511</v>
      </c>
      <c r="N572" s="8" t="s">
        <v>5512</v>
      </c>
      <c r="O572" s="1" t="s">
        <v>5513</v>
      </c>
      <c r="P572" s="5">
        <f>XLOOKUP(R572, classification!C:C, classification!B:B, "Not Found")</f>
      </c>
      <c r="Q572" s="1" t="s">
        <v>5514</v>
      </c>
      <c r="R572" s="2"/>
      <c r="S572" s="2"/>
      <c r="T572" s="2"/>
      <c r="U572" s="2"/>
    </row>
    <row x14ac:dyDescent="0.25" r="573" customHeight="1" ht="17.25">
      <c r="A573" s="7">
        <v>572</v>
      </c>
      <c r="B573" s="1" t="s">
        <v>6054</v>
      </c>
      <c r="C573" s="5">
        <f>CONCATENATE("PD", TEXT(A573, "1000000"))</f>
      </c>
      <c r="D573" s="7">
        <v>65</v>
      </c>
      <c r="E573" s="5">
        <f>XLOOKUP(G573, item_category!C:C, item_category!B:B, "Not Found")</f>
      </c>
      <c r="F573" s="1" t="s">
        <v>6008</v>
      </c>
      <c r="G573" s="5">
        <f>XLOOKUP(I573, drug!B:B, drug!A:A, "Not Found")</f>
      </c>
      <c r="H573" s="1" t="s">
        <v>95</v>
      </c>
      <c r="I573" s="7">
        <v>1</v>
      </c>
      <c r="J573" s="5">
        <f>XLOOKUP(L573, uom!C:C, uom!B:B, "Not Found")</f>
      </c>
      <c r="K573" s="1" t="s">
        <v>5511</v>
      </c>
      <c r="L573" s="5">
        <f>XLOOKUP(N573, uom!C:C, uom!B:B, "Not Found")</f>
      </c>
      <c r="M573" s="1" t="s">
        <v>5511</v>
      </c>
      <c r="N573" s="8" t="s">
        <v>5512</v>
      </c>
      <c r="O573" s="1" t="s">
        <v>5513</v>
      </c>
      <c r="P573" s="5">
        <f>XLOOKUP(R573, classification!C:C, classification!B:B, "Not Found")</f>
      </c>
      <c r="Q573" s="1" t="s">
        <v>5514</v>
      </c>
      <c r="R573" s="2"/>
      <c r="S573" s="2"/>
      <c r="T573" s="2"/>
      <c r="U573" s="2"/>
    </row>
    <row x14ac:dyDescent="0.25" r="574" customHeight="1" ht="17.25">
      <c r="A574" s="7">
        <v>573</v>
      </c>
      <c r="B574" s="1" t="s">
        <v>6055</v>
      </c>
      <c r="C574" s="5">
        <f>CONCATENATE("PD", TEXT(A574, "1000000"))</f>
      </c>
      <c r="D574" s="7">
        <v>65</v>
      </c>
      <c r="E574" s="5">
        <f>XLOOKUP(G574, item_category!C:C, item_category!B:B, "Not Found")</f>
      </c>
      <c r="F574" s="1" t="s">
        <v>6008</v>
      </c>
      <c r="G574" s="5">
        <f>XLOOKUP(I574, drug!B:B, drug!A:A, "Not Found")</f>
      </c>
      <c r="H574" s="1" t="s">
        <v>2014</v>
      </c>
      <c r="I574" s="7">
        <v>1</v>
      </c>
      <c r="J574" s="5">
        <f>XLOOKUP(L574, uom!C:C, uom!B:B, "Not Found")</f>
      </c>
      <c r="K574" s="1" t="s">
        <v>5511</v>
      </c>
      <c r="L574" s="5">
        <f>XLOOKUP(N574, uom!C:C, uom!B:B, "Not Found")</f>
      </c>
      <c r="M574" s="1" t="s">
        <v>5511</v>
      </c>
      <c r="N574" s="8" t="s">
        <v>5512</v>
      </c>
      <c r="O574" s="1" t="s">
        <v>5513</v>
      </c>
      <c r="P574" s="5">
        <f>XLOOKUP(R574, classification!C:C, classification!B:B, "Not Found")</f>
      </c>
      <c r="Q574" s="1" t="s">
        <v>5514</v>
      </c>
      <c r="R574" s="2"/>
      <c r="S574" s="2"/>
      <c r="T574" s="2"/>
      <c r="U574" s="2"/>
    </row>
    <row x14ac:dyDescent="0.25" r="575" customHeight="1" ht="17.25">
      <c r="A575" s="7">
        <v>574</v>
      </c>
      <c r="B575" s="1" t="s">
        <v>6056</v>
      </c>
      <c r="C575" s="5">
        <f>CONCATENATE("PD", TEXT(A575, "1000000"))</f>
      </c>
      <c r="D575" s="7">
        <v>65</v>
      </c>
      <c r="E575" s="5">
        <f>XLOOKUP(G575, item_category!C:C, item_category!B:B, "Not Found")</f>
      </c>
      <c r="F575" s="1" t="s">
        <v>6008</v>
      </c>
      <c r="G575" s="5">
        <f>XLOOKUP(I575, drug!B:B, drug!A:A, "Not Found")</f>
      </c>
      <c r="H575" s="1" t="s">
        <v>566</v>
      </c>
      <c r="I575" s="7">
        <v>1</v>
      </c>
      <c r="J575" s="5">
        <f>XLOOKUP(L575, uom!C:C, uom!B:B, "Not Found")</f>
      </c>
      <c r="K575" s="1" t="s">
        <v>5511</v>
      </c>
      <c r="L575" s="5">
        <f>XLOOKUP(N575, uom!C:C, uom!B:B, "Not Found")</f>
      </c>
      <c r="M575" s="1" t="s">
        <v>5511</v>
      </c>
      <c r="N575" s="8" t="s">
        <v>5512</v>
      </c>
      <c r="O575" s="1" t="s">
        <v>5513</v>
      </c>
      <c r="P575" s="5">
        <f>XLOOKUP(R575, classification!C:C, classification!B:B, "Not Found")</f>
      </c>
      <c r="Q575" s="1" t="s">
        <v>5514</v>
      </c>
      <c r="R575" s="2"/>
      <c r="S575" s="2"/>
      <c r="T575" s="2"/>
      <c r="U575" s="2"/>
    </row>
    <row x14ac:dyDescent="0.25" r="576" customHeight="1" ht="17.25">
      <c r="A576" s="7">
        <v>575</v>
      </c>
      <c r="B576" s="1" t="s">
        <v>6057</v>
      </c>
      <c r="C576" s="5">
        <f>CONCATENATE("PD", TEXT(A576, "1000000"))</f>
      </c>
      <c r="D576" s="7">
        <v>65</v>
      </c>
      <c r="E576" s="5">
        <f>XLOOKUP(G576, item_category!C:C, item_category!B:B, "Not Found")</f>
      </c>
      <c r="F576" s="1" t="s">
        <v>6008</v>
      </c>
      <c r="G576" s="5">
        <f>XLOOKUP(I576, drug!B:B, drug!A:A, "Not Found")</f>
      </c>
      <c r="H576" s="1" t="s">
        <v>570</v>
      </c>
      <c r="I576" s="7">
        <v>1</v>
      </c>
      <c r="J576" s="5">
        <f>XLOOKUP(L576, uom!C:C, uom!B:B, "Not Found")</f>
      </c>
      <c r="K576" s="1" t="s">
        <v>5511</v>
      </c>
      <c r="L576" s="5">
        <f>XLOOKUP(N576, uom!C:C, uom!B:B, "Not Found")</f>
      </c>
      <c r="M576" s="1" t="s">
        <v>5511</v>
      </c>
      <c r="N576" s="8" t="s">
        <v>5512</v>
      </c>
      <c r="O576" s="1" t="s">
        <v>5513</v>
      </c>
      <c r="P576" s="5">
        <f>XLOOKUP(R576, classification!C:C, classification!B:B, "Not Found")</f>
      </c>
      <c r="Q576" s="1" t="s">
        <v>5514</v>
      </c>
      <c r="R576" s="2"/>
      <c r="S576" s="2"/>
      <c r="T576" s="2"/>
      <c r="U576" s="2"/>
    </row>
    <row x14ac:dyDescent="0.25" r="577" customHeight="1" ht="17.25">
      <c r="A577" s="7">
        <v>576</v>
      </c>
      <c r="B577" s="1" t="s">
        <v>6058</v>
      </c>
      <c r="C577" s="5">
        <f>CONCATENATE("PD", TEXT(A577, "1000000"))</f>
      </c>
      <c r="D577" s="7">
        <v>65</v>
      </c>
      <c r="E577" s="5">
        <f>XLOOKUP(G577, item_category!C:C, item_category!B:B, "Not Found")</f>
      </c>
      <c r="F577" s="1" t="s">
        <v>6008</v>
      </c>
      <c r="G577" s="5">
        <f>XLOOKUP(I577, drug!B:B, drug!A:A, "Not Found")</f>
      </c>
      <c r="H577" s="1" t="s">
        <v>2016</v>
      </c>
      <c r="I577" s="7">
        <v>1</v>
      </c>
      <c r="J577" s="5">
        <f>XLOOKUP(L577, uom!C:C, uom!B:B, "Not Found")</f>
      </c>
      <c r="K577" s="1" t="s">
        <v>5511</v>
      </c>
      <c r="L577" s="5">
        <f>XLOOKUP(N577, uom!C:C, uom!B:B, "Not Found")</f>
      </c>
      <c r="M577" s="1" t="s">
        <v>5511</v>
      </c>
      <c r="N577" s="8" t="s">
        <v>5512</v>
      </c>
      <c r="O577" s="1" t="s">
        <v>5513</v>
      </c>
      <c r="P577" s="5">
        <f>XLOOKUP(R577, classification!C:C, classification!B:B, "Not Found")</f>
      </c>
      <c r="Q577" s="1" t="s">
        <v>5514</v>
      </c>
      <c r="R577" s="2"/>
      <c r="S577" s="2"/>
      <c r="T577" s="2"/>
      <c r="U577" s="2"/>
    </row>
    <row x14ac:dyDescent="0.25" r="578" customHeight="1" ht="17.25">
      <c r="A578" s="7">
        <v>577</v>
      </c>
      <c r="B578" s="1" t="s">
        <v>6059</v>
      </c>
      <c r="C578" s="5">
        <f>CONCATENATE("PD", TEXT(A578, "1000000"))</f>
      </c>
      <c r="D578" s="7">
        <v>65</v>
      </c>
      <c r="E578" s="5">
        <f>XLOOKUP(G578, item_category!C:C, item_category!B:B, "Not Found")</f>
      </c>
      <c r="F578" s="1" t="s">
        <v>6008</v>
      </c>
      <c r="G578" s="5">
        <f>XLOOKUP(I578, drug!B:B, drug!A:A, "Not Found")</f>
      </c>
      <c r="H578" s="1" t="s">
        <v>2018</v>
      </c>
      <c r="I578" s="7">
        <v>1</v>
      </c>
      <c r="J578" s="5">
        <f>XLOOKUP(L578, uom!C:C, uom!B:B, "Not Found")</f>
      </c>
      <c r="K578" s="1" t="s">
        <v>5511</v>
      </c>
      <c r="L578" s="5">
        <f>XLOOKUP(N578, uom!C:C, uom!B:B, "Not Found")</f>
      </c>
      <c r="M578" s="1" t="s">
        <v>5511</v>
      </c>
      <c r="N578" s="8" t="s">
        <v>5512</v>
      </c>
      <c r="O578" s="1" t="s">
        <v>5513</v>
      </c>
      <c r="P578" s="5">
        <f>XLOOKUP(R578, classification!C:C, classification!B:B, "Not Found")</f>
      </c>
      <c r="Q578" s="1" t="s">
        <v>5514</v>
      </c>
      <c r="R578" s="2"/>
      <c r="S578" s="2"/>
      <c r="T578" s="2"/>
      <c r="U578" s="2"/>
    </row>
    <row x14ac:dyDescent="0.25" r="579" customHeight="1" ht="17.25">
      <c r="A579" s="7">
        <v>578</v>
      </c>
      <c r="B579" s="1" t="s">
        <v>6060</v>
      </c>
      <c r="C579" s="5">
        <f>CONCATENATE("PD", TEXT(A579, "1000000"))</f>
      </c>
      <c r="D579" s="7">
        <v>65</v>
      </c>
      <c r="E579" s="5">
        <f>XLOOKUP(G579, item_category!C:C, item_category!B:B, "Not Found")</f>
      </c>
      <c r="F579" s="1" t="s">
        <v>6008</v>
      </c>
      <c r="G579" s="5">
        <f>XLOOKUP(I579, drug!B:B, drug!A:A, "Not Found")</f>
      </c>
      <c r="H579" s="1" t="s">
        <v>2020</v>
      </c>
      <c r="I579" s="7">
        <v>1</v>
      </c>
      <c r="J579" s="5">
        <f>XLOOKUP(L579, uom!C:C, uom!B:B, "Not Found")</f>
      </c>
      <c r="K579" s="1" t="s">
        <v>5511</v>
      </c>
      <c r="L579" s="5">
        <f>XLOOKUP(N579, uom!C:C, uom!B:B, "Not Found")</f>
      </c>
      <c r="M579" s="1" t="s">
        <v>5511</v>
      </c>
      <c r="N579" s="8" t="s">
        <v>5512</v>
      </c>
      <c r="O579" s="1" t="s">
        <v>5513</v>
      </c>
      <c r="P579" s="5">
        <f>XLOOKUP(R579, classification!C:C, classification!B:B, "Not Found")</f>
      </c>
      <c r="Q579" s="1" t="s">
        <v>5514</v>
      </c>
      <c r="R579" s="2"/>
      <c r="S579" s="2"/>
      <c r="T579" s="2"/>
      <c r="U579" s="2"/>
    </row>
    <row x14ac:dyDescent="0.25" r="580" customHeight="1" ht="17.25">
      <c r="A580" s="7">
        <v>579</v>
      </c>
      <c r="B580" s="1" t="s">
        <v>6061</v>
      </c>
      <c r="C580" s="5">
        <f>CONCATENATE("PD", TEXT(A580, "1000000"))</f>
      </c>
      <c r="D580" s="7">
        <v>65</v>
      </c>
      <c r="E580" s="5">
        <f>XLOOKUP(G580, item_category!C:C, item_category!B:B, "Not Found")</f>
      </c>
      <c r="F580" s="1" t="s">
        <v>6008</v>
      </c>
      <c r="G580" s="5">
        <f>XLOOKUP(I580, drug!B:B, drug!A:A, "Not Found")</f>
      </c>
      <c r="H580" s="1" t="s">
        <v>2022</v>
      </c>
      <c r="I580" s="7">
        <v>1</v>
      </c>
      <c r="J580" s="5">
        <f>XLOOKUP(L580, uom!C:C, uom!B:B, "Not Found")</f>
      </c>
      <c r="K580" s="1" t="s">
        <v>5511</v>
      </c>
      <c r="L580" s="5">
        <f>XLOOKUP(N580, uom!C:C, uom!B:B, "Not Found")</f>
      </c>
      <c r="M580" s="1" t="s">
        <v>5511</v>
      </c>
      <c r="N580" s="8" t="s">
        <v>5512</v>
      </c>
      <c r="O580" s="1" t="s">
        <v>5513</v>
      </c>
      <c r="P580" s="5">
        <f>XLOOKUP(R580, classification!C:C, classification!B:B, "Not Found")</f>
      </c>
      <c r="Q580" s="1" t="s">
        <v>5514</v>
      </c>
      <c r="R580" s="2"/>
      <c r="S580" s="2"/>
      <c r="T580" s="2"/>
      <c r="U580" s="2"/>
    </row>
    <row x14ac:dyDescent="0.25" r="581" customHeight="1" ht="17.25">
      <c r="A581" s="7">
        <v>580</v>
      </c>
      <c r="B581" s="1" t="s">
        <v>6062</v>
      </c>
      <c r="C581" s="5">
        <f>CONCATENATE("PD", TEXT(A581, "1000000"))</f>
      </c>
      <c r="D581" s="7">
        <v>65</v>
      </c>
      <c r="E581" s="5">
        <f>XLOOKUP(G581, item_category!C:C, item_category!B:B, "Not Found")</f>
      </c>
      <c r="F581" s="1" t="s">
        <v>6008</v>
      </c>
      <c r="G581" s="5">
        <f>XLOOKUP(I581, drug!B:B, drug!A:A, "Not Found")</f>
      </c>
      <c r="H581" s="1" t="s">
        <v>2024</v>
      </c>
      <c r="I581" s="7">
        <v>1</v>
      </c>
      <c r="J581" s="5">
        <f>XLOOKUP(L581, uom!C:C, uom!B:B, "Not Found")</f>
      </c>
      <c r="K581" s="1" t="s">
        <v>5511</v>
      </c>
      <c r="L581" s="5">
        <f>XLOOKUP(N581, uom!C:C, uom!B:B, "Not Found")</f>
      </c>
      <c r="M581" s="1" t="s">
        <v>5511</v>
      </c>
      <c r="N581" s="8" t="s">
        <v>5512</v>
      </c>
      <c r="O581" s="1" t="s">
        <v>5513</v>
      </c>
      <c r="P581" s="5">
        <f>XLOOKUP(R581, classification!C:C, classification!B:B, "Not Found")</f>
      </c>
      <c r="Q581" s="1" t="s">
        <v>5514</v>
      </c>
      <c r="R581" s="2"/>
      <c r="S581" s="2"/>
      <c r="T581" s="2"/>
      <c r="U581" s="2"/>
    </row>
    <row x14ac:dyDescent="0.25" r="582" customHeight="1" ht="17.25">
      <c r="A582" s="7">
        <v>581</v>
      </c>
      <c r="B582" s="1" t="s">
        <v>6062</v>
      </c>
      <c r="C582" s="5">
        <f>CONCATENATE("PD", TEXT(A582, "1000000"))</f>
      </c>
      <c r="D582" s="7">
        <v>65</v>
      </c>
      <c r="E582" s="5">
        <f>XLOOKUP(G582, item_category!C:C, item_category!B:B, "Not Found")</f>
      </c>
      <c r="F582" s="1" t="s">
        <v>6008</v>
      </c>
      <c r="G582" s="5">
        <f>XLOOKUP(I582, drug!B:B, drug!A:A, "Not Found")</f>
      </c>
      <c r="H582" s="1" t="s">
        <v>2024</v>
      </c>
      <c r="I582" s="7">
        <v>1</v>
      </c>
      <c r="J582" s="5">
        <f>XLOOKUP(L582, uom!C:C, uom!B:B, "Not Found")</f>
      </c>
      <c r="K582" s="1" t="s">
        <v>5511</v>
      </c>
      <c r="L582" s="5">
        <f>XLOOKUP(N582, uom!C:C, uom!B:B, "Not Found")</f>
      </c>
      <c r="M582" s="1" t="s">
        <v>5511</v>
      </c>
      <c r="N582" s="8" t="s">
        <v>5512</v>
      </c>
      <c r="O582" s="1" t="s">
        <v>5513</v>
      </c>
      <c r="P582" s="5">
        <f>XLOOKUP(R582, classification!C:C, classification!B:B, "Not Found")</f>
      </c>
      <c r="Q582" s="1" t="s">
        <v>5514</v>
      </c>
      <c r="R582" s="2"/>
      <c r="S582" s="2"/>
      <c r="T582" s="2"/>
      <c r="U582" s="2"/>
    </row>
    <row x14ac:dyDescent="0.25" r="583" customHeight="1" ht="17.25">
      <c r="A583" s="7">
        <v>582</v>
      </c>
      <c r="B583" s="1" t="s">
        <v>6063</v>
      </c>
      <c r="C583" s="5">
        <f>CONCATENATE("PD", TEXT(A583, "1000000"))</f>
      </c>
      <c r="D583" s="7">
        <v>65</v>
      </c>
      <c r="E583" s="5">
        <f>XLOOKUP(G583, item_category!C:C, item_category!B:B, "Not Found")</f>
      </c>
      <c r="F583" s="1" t="s">
        <v>6008</v>
      </c>
      <c r="G583" s="5">
        <f>XLOOKUP(I583, drug!B:B, drug!A:A, "Not Found")</f>
      </c>
      <c r="H583" s="1" t="s">
        <v>702</v>
      </c>
      <c r="I583" s="7">
        <v>1</v>
      </c>
      <c r="J583" s="5">
        <f>XLOOKUP(L583, uom!C:C, uom!B:B, "Not Found")</f>
      </c>
      <c r="K583" s="1" t="s">
        <v>5511</v>
      </c>
      <c r="L583" s="5">
        <f>XLOOKUP(N583, uom!C:C, uom!B:B, "Not Found")</f>
      </c>
      <c r="M583" s="1" t="s">
        <v>5511</v>
      </c>
      <c r="N583" s="8" t="s">
        <v>5512</v>
      </c>
      <c r="O583" s="1" t="s">
        <v>5513</v>
      </c>
      <c r="P583" s="5">
        <f>XLOOKUP(R583, classification!C:C, classification!B:B, "Not Found")</f>
      </c>
      <c r="Q583" s="1" t="s">
        <v>5514</v>
      </c>
      <c r="R583" s="2"/>
      <c r="S583" s="2"/>
      <c r="T583" s="2"/>
      <c r="U583" s="2"/>
    </row>
    <row x14ac:dyDescent="0.25" r="584" customHeight="1" ht="17.25">
      <c r="A584" s="7">
        <v>583</v>
      </c>
      <c r="B584" s="1" t="s">
        <v>6064</v>
      </c>
      <c r="C584" s="5">
        <f>CONCATENATE("PD", TEXT(A584, "1000000"))</f>
      </c>
      <c r="D584" s="7">
        <v>65</v>
      </c>
      <c r="E584" s="5">
        <f>XLOOKUP(G584, item_category!C:C, item_category!B:B, "Not Found")</f>
      </c>
      <c r="F584" s="1" t="s">
        <v>6008</v>
      </c>
      <c r="G584" s="5">
        <f>XLOOKUP(I584, drug!B:B, drug!A:A, "Not Found")</f>
      </c>
      <c r="H584" s="1" t="s">
        <v>2026</v>
      </c>
      <c r="I584" s="7">
        <v>1</v>
      </c>
      <c r="J584" s="5">
        <f>XLOOKUP(L584, uom!C:C, uom!B:B, "Not Found")</f>
      </c>
      <c r="K584" s="1" t="s">
        <v>5511</v>
      </c>
      <c r="L584" s="5">
        <f>XLOOKUP(N584, uom!C:C, uom!B:B, "Not Found")</f>
      </c>
      <c r="M584" s="1" t="s">
        <v>5511</v>
      </c>
      <c r="N584" s="8" t="s">
        <v>5512</v>
      </c>
      <c r="O584" s="1" t="s">
        <v>5513</v>
      </c>
      <c r="P584" s="5">
        <f>XLOOKUP(R584, classification!C:C, classification!B:B, "Not Found")</f>
      </c>
      <c r="Q584" s="1" t="s">
        <v>5514</v>
      </c>
      <c r="R584" s="2"/>
      <c r="S584" s="2"/>
      <c r="T584" s="2"/>
      <c r="U584" s="2"/>
    </row>
    <row x14ac:dyDescent="0.25" r="585" customHeight="1" ht="17.25">
      <c r="A585" s="7">
        <v>584</v>
      </c>
      <c r="B585" s="1" t="s">
        <v>6065</v>
      </c>
      <c r="C585" s="5">
        <f>CONCATENATE("PD", TEXT(A585, "1000000"))</f>
      </c>
      <c r="D585" s="7">
        <v>65</v>
      </c>
      <c r="E585" s="5">
        <f>XLOOKUP(G585, item_category!C:C, item_category!B:B, "Not Found")</f>
      </c>
      <c r="F585" s="1" t="s">
        <v>6008</v>
      </c>
      <c r="G585" s="5">
        <f>XLOOKUP(I585, drug!B:B, drug!A:A, "Not Found")</f>
      </c>
      <c r="H585" s="1" t="s">
        <v>2028</v>
      </c>
      <c r="I585" s="7">
        <v>1</v>
      </c>
      <c r="J585" s="5">
        <f>XLOOKUP(L585, uom!C:C, uom!B:B, "Not Found")</f>
      </c>
      <c r="K585" s="1" t="s">
        <v>5511</v>
      </c>
      <c r="L585" s="5">
        <f>XLOOKUP(N585, uom!C:C, uom!B:B, "Not Found")</f>
      </c>
      <c r="M585" s="1" t="s">
        <v>5511</v>
      </c>
      <c r="N585" s="8" t="s">
        <v>5512</v>
      </c>
      <c r="O585" s="1" t="s">
        <v>5513</v>
      </c>
      <c r="P585" s="5">
        <f>XLOOKUP(R585, classification!C:C, classification!B:B, "Not Found")</f>
      </c>
      <c r="Q585" s="1" t="s">
        <v>5514</v>
      </c>
      <c r="R585" s="2"/>
      <c r="S585" s="2"/>
      <c r="T585" s="2"/>
      <c r="U585" s="2"/>
    </row>
    <row x14ac:dyDescent="0.25" r="586" customHeight="1" ht="17.25">
      <c r="A586" s="7">
        <v>585</v>
      </c>
      <c r="B586" s="1" t="s">
        <v>6066</v>
      </c>
      <c r="C586" s="5">
        <f>CONCATENATE("PD", TEXT(A586, "1000000"))</f>
      </c>
      <c r="D586" s="7">
        <v>65</v>
      </c>
      <c r="E586" s="5">
        <f>XLOOKUP(G586, item_category!C:C, item_category!B:B, "Not Found")</f>
      </c>
      <c r="F586" s="1" t="s">
        <v>6008</v>
      </c>
      <c r="G586" s="5">
        <f>XLOOKUP(I586, drug!B:B, drug!A:A, "Not Found")</f>
      </c>
      <c r="H586" s="1" t="s">
        <v>2030</v>
      </c>
      <c r="I586" s="7">
        <v>1</v>
      </c>
      <c r="J586" s="5">
        <f>XLOOKUP(L586, uom!C:C, uom!B:B, "Not Found")</f>
      </c>
      <c r="K586" s="1" t="s">
        <v>5511</v>
      </c>
      <c r="L586" s="5">
        <f>XLOOKUP(N586, uom!C:C, uom!B:B, "Not Found")</f>
      </c>
      <c r="M586" s="1" t="s">
        <v>5511</v>
      </c>
      <c r="N586" s="8" t="s">
        <v>5512</v>
      </c>
      <c r="O586" s="1" t="s">
        <v>5513</v>
      </c>
      <c r="P586" s="5">
        <f>XLOOKUP(R586, classification!C:C, classification!B:B, "Not Found")</f>
      </c>
      <c r="Q586" s="1" t="s">
        <v>5514</v>
      </c>
      <c r="R586" s="2"/>
      <c r="S586" s="2"/>
      <c r="T586" s="2"/>
      <c r="U586" s="2"/>
    </row>
    <row x14ac:dyDescent="0.25" r="587" customHeight="1" ht="17.25">
      <c r="A587" s="7">
        <v>586</v>
      </c>
      <c r="B587" s="1" t="s">
        <v>6067</v>
      </c>
      <c r="C587" s="5">
        <f>CONCATENATE("PD", TEXT(A587, "1000000"))</f>
      </c>
      <c r="D587" s="7">
        <v>65</v>
      </c>
      <c r="E587" s="5">
        <f>XLOOKUP(G587, item_category!C:C, item_category!B:B, "Not Found")</f>
      </c>
      <c r="F587" s="1" t="s">
        <v>6008</v>
      </c>
      <c r="G587" s="5">
        <f>XLOOKUP(I587, drug!B:B, drug!A:A, "Not Found")</f>
      </c>
      <c r="H587" s="1" t="s">
        <v>516</v>
      </c>
      <c r="I587" s="7">
        <v>50</v>
      </c>
      <c r="J587" s="5">
        <f>XLOOKUP(L587, uom!C:C, uom!B:B, "Not Found")</f>
      </c>
      <c r="K587" s="1" t="s">
        <v>5510</v>
      </c>
      <c r="L587" s="5">
        <f>XLOOKUP(N587, uom!C:C, uom!B:B, "Not Found")</f>
      </c>
      <c r="M587" s="1" t="s">
        <v>5510</v>
      </c>
      <c r="N587" s="8" t="s">
        <v>5524</v>
      </c>
      <c r="O587" s="1" t="s">
        <v>5525</v>
      </c>
      <c r="P587" s="5">
        <f>XLOOKUP(R587, classification!C:C, classification!B:B, "Not Found")</f>
      </c>
      <c r="Q587" s="1" t="s">
        <v>5514</v>
      </c>
      <c r="R587" s="2"/>
      <c r="S587" s="2"/>
      <c r="T587" s="2"/>
      <c r="U587" s="2"/>
    </row>
    <row x14ac:dyDescent="0.25" r="588" customHeight="1" ht="17.25">
      <c r="A588" s="7">
        <v>587</v>
      </c>
      <c r="B588" s="1" t="s">
        <v>6068</v>
      </c>
      <c r="C588" s="5">
        <f>CONCATENATE("PD", TEXT(A588, "1000000"))</f>
      </c>
      <c r="D588" s="7">
        <v>65</v>
      </c>
      <c r="E588" s="5">
        <f>XLOOKUP(G588, item_category!C:C, item_category!B:B, "Not Found")</f>
      </c>
      <c r="F588" s="1" t="s">
        <v>6008</v>
      </c>
      <c r="G588" s="5">
        <f>XLOOKUP(I588, drug!B:B, drug!A:A, "Not Found")</f>
      </c>
      <c r="H588" s="1" t="s">
        <v>2032</v>
      </c>
      <c r="I588" s="7">
        <v>1</v>
      </c>
      <c r="J588" s="5">
        <f>XLOOKUP(L588, uom!C:C, uom!B:B, "Not Found")</f>
      </c>
      <c r="K588" s="1" t="s">
        <v>5511</v>
      </c>
      <c r="L588" s="5">
        <f>XLOOKUP(N588, uom!C:C, uom!B:B, "Not Found")</f>
      </c>
      <c r="M588" s="1" t="s">
        <v>5511</v>
      </c>
      <c r="N588" s="8" t="s">
        <v>5512</v>
      </c>
      <c r="O588" s="1" t="s">
        <v>5513</v>
      </c>
      <c r="P588" s="5">
        <f>XLOOKUP(R588, classification!C:C, classification!B:B, "Not Found")</f>
      </c>
      <c r="Q588" s="1" t="s">
        <v>5514</v>
      </c>
      <c r="R588" s="2"/>
      <c r="S588" s="2"/>
      <c r="T588" s="2"/>
      <c r="U588" s="2"/>
    </row>
    <row x14ac:dyDescent="0.25" r="589" customHeight="1" ht="17.25">
      <c r="A589" s="7">
        <v>588</v>
      </c>
      <c r="B589" s="1" t="s">
        <v>6069</v>
      </c>
      <c r="C589" s="5">
        <f>CONCATENATE("PD", TEXT(A589, "1000000"))</f>
      </c>
      <c r="D589" s="7">
        <v>65</v>
      </c>
      <c r="E589" s="5">
        <f>XLOOKUP(G589, item_category!C:C, item_category!B:B, "Not Found")</f>
      </c>
      <c r="F589" s="1" t="s">
        <v>6008</v>
      </c>
      <c r="G589" s="5">
        <f>XLOOKUP(I589, drug!B:B, drug!A:A, "Not Found")</f>
      </c>
      <c r="H589" s="1" t="s">
        <v>1942</v>
      </c>
      <c r="I589" s="7">
        <v>1</v>
      </c>
      <c r="J589" s="5">
        <f>XLOOKUP(L589, uom!C:C, uom!B:B, "Not Found")</f>
      </c>
      <c r="K589" s="1" t="s">
        <v>5511</v>
      </c>
      <c r="L589" s="5">
        <f>XLOOKUP(N589, uom!C:C, uom!B:B, "Not Found")</f>
      </c>
      <c r="M589" s="1" t="s">
        <v>5511</v>
      </c>
      <c r="N589" s="8" t="s">
        <v>5512</v>
      </c>
      <c r="O589" s="1" t="s">
        <v>5513</v>
      </c>
      <c r="P589" s="5">
        <f>XLOOKUP(R589, classification!C:C, classification!B:B, "Not Found")</f>
      </c>
      <c r="Q589" s="1" t="s">
        <v>5514</v>
      </c>
      <c r="R589" s="2"/>
      <c r="S589" s="2"/>
      <c r="T589" s="2"/>
      <c r="U589" s="2"/>
    </row>
    <row x14ac:dyDescent="0.25" r="590" customHeight="1" ht="17.25">
      <c r="A590" s="7">
        <v>589</v>
      </c>
      <c r="B590" s="1" t="s">
        <v>6070</v>
      </c>
      <c r="C590" s="5">
        <f>CONCATENATE("PD", TEXT(A590, "1000000"))</f>
      </c>
      <c r="D590" s="7">
        <v>65</v>
      </c>
      <c r="E590" s="5">
        <f>XLOOKUP(G590, item_category!C:C, item_category!B:B, "Not Found")</f>
      </c>
      <c r="F590" s="1" t="s">
        <v>6008</v>
      </c>
      <c r="G590" s="5">
        <f>XLOOKUP(I590, drug!B:B, drug!A:A, "Not Found")</f>
      </c>
      <c r="H590" s="1" t="s">
        <v>2034</v>
      </c>
      <c r="I590" s="7">
        <v>1</v>
      </c>
      <c r="J590" s="5">
        <f>XLOOKUP(L590, uom!C:C, uom!B:B, "Not Found")</f>
      </c>
      <c r="K590" s="1" t="s">
        <v>5511</v>
      </c>
      <c r="L590" s="5">
        <f>XLOOKUP(N590, uom!C:C, uom!B:B, "Not Found")</f>
      </c>
      <c r="M590" s="1" t="s">
        <v>5511</v>
      </c>
      <c r="N590" s="8" t="s">
        <v>5512</v>
      </c>
      <c r="O590" s="1" t="s">
        <v>5513</v>
      </c>
      <c r="P590" s="5">
        <f>XLOOKUP(R590, classification!C:C, classification!B:B, "Not Found")</f>
      </c>
      <c r="Q590" s="1" t="s">
        <v>5514</v>
      </c>
      <c r="R590" s="2"/>
      <c r="S590" s="2"/>
      <c r="T590" s="2"/>
      <c r="U590" s="2"/>
    </row>
    <row x14ac:dyDescent="0.25" r="591" customHeight="1" ht="17.25">
      <c r="A591" s="7">
        <v>590</v>
      </c>
      <c r="B591" s="1" t="s">
        <v>6071</v>
      </c>
      <c r="C591" s="5">
        <f>CONCATENATE("PD", TEXT(A591, "1000000"))</f>
      </c>
      <c r="D591" s="7">
        <v>65</v>
      </c>
      <c r="E591" s="5">
        <f>XLOOKUP(G591, item_category!C:C, item_category!B:B, "Not Found")</f>
      </c>
      <c r="F591" s="1" t="s">
        <v>6008</v>
      </c>
      <c r="G591" s="5">
        <f>XLOOKUP(I591, drug!B:B, drug!A:A, "Not Found")</f>
      </c>
      <c r="H591" s="1" t="s">
        <v>836</v>
      </c>
      <c r="I591" s="7">
        <v>1</v>
      </c>
      <c r="J591" s="5">
        <f>XLOOKUP(L591, uom!C:C, uom!B:B, "Not Found")</f>
      </c>
      <c r="K591" s="1" t="s">
        <v>5511</v>
      </c>
      <c r="L591" s="5">
        <f>XLOOKUP(N591, uom!C:C, uom!B:B, "Not Found")</f>
      </c>
      <c r="M591" s="1" t="s">
        <v>5511</v>
      </c>
      <c r="N591" s="8" t="s">
        <v>5512</v>
      </c>
      <c r="O591" s="1" t="s">
        <v>5513</v>
      </c>
      <c r="P591" s="5">
        <f>XLOOKUP(R591, classification!C:C, classification!B:B, "Not Found")</f>
      </c>
      <c r="Q591" s="1" t="s">
        <v>5514</v>
      </c>
      <c r="R591" s="2"/>
      <c r="S591" s="2"/>
      <c r="T591" s="2"/>
      <c r="U591" s="2"/>
    </row>
    <row x14ac:dyDescent="0.25" r="592" customHeight="1" ht="17.25">
      <c r="A592" s="7">
        <v>591</v>
      </c>
      <c r="B592" s="1" t="s">
        <v>6072</v>
      </c>
      <c r="C592" s="5">
        <f>CONCATENATE("PD", TEXT(A592, "1000000"))</f>
      </c>
      <c r="D592" s="7">
        <v>65</v>
      </c>
      <c r="E592" s="5">
        <f>XLOOKUP(G592, item_category!C:C, item_category!B:B, "Not Found")</f>
      </c>
      <c r="F592" s="1" t="s">
        <v>6008</v>
      </c>
      <c r="G592" s="5">
        <f>XLOOKUP(I592, drug!B:B, drug!A:A, "Not Found")</f>
      </c>
      <c r="H592" s="1" t="s">
        <v>847</v>
      </c>
      <c r="I592" s="7">
        <v>1</v>
      </c>
      <c r="J592" s="5">
        <f>XLOOKUP(L592, uom!C:C, uom!B:B, "Not Found")</f>
      </c>
      <c r="K592" s="1" t="s">
        <v>5511</v>
      </c>
      <c r="L592" s="5">
        <f>XLOOKUP(N592, uom!C:C, uom!B:B, "Not Found")</f>
      </c>
      <c r="M592" s="1" t="s">
        <v>5511</v>
      </c>
      <c r="N592" s="8" t="s">
        <v>5512</v>
      </c>
      <c r="O592" s="1" t="s">
        <v>5513</v>
      </c>
      <c r="P592" s="5">
        <f>XLOOKUP(R592, classification!C:C, classification!B:B, "Not Found")</f>
      </c>
      <c r="Q592" s="1" t="s">
        <v>5514</v>
      </c>
      <c r="R592" s="2"/>
      <c r="S592" s="2"/>
      <c r="T592" s="2"/>
      <c r="U592" s="2"/>
    </row>
    <row x14ac:dyDescent="0.25" r="593" customHeight="1" ht="17.25">
      <c r="A593" s="7">
        <v>592</v>
      </c>
      <c r="B593" s="1" t="s">
        <v>6073</v>
      </c>
      <c r="C593" s="5">
        <f>CONCATENATE("PD", TEXT(A593, "1000000"))</f>
      </c>
      <c r="D593" s="7">
        <v>65</v>
      </c>
      <c r="E593" s="5">
        <f>XLOOKUP(G593, item_category!C:C, item_category!B:B, "Not Found")</f>
      </c>
      <c r="F593" s="1" t="s">
        <v>6008</v>
      </c>
      <c r="G593" s="5">
        <f>XLOOKUP(I593, drug!B:B, drug!A:A, "Not Found")</f>
      </c>
      <c r="H593" s="1" t="s">
        <v>2036</v>
      </c>
      <c r="I593" s="7">
        <v>1</v>
      </c>
      <c r="J593" s="5">
        <f>XLOOKUP(L593, uom!C:C, uom!B:B, "Not Found")</f>
      </c>
      <c r="K593" s="1" t="s">
        <v>5511</v>
      </c>
      <c r="L593" s="5">
        <f>XLOOKUP(N593, uom!C:C, uom!B:B, "Not Found")</f>
      </c>
      <c r="M593" s="1" t="s">
        <v>5511</v>
      </c>
      <c r="N593" s="8" t="s">
        <v>5512</v>
      </c>
      <c r="O593" s="1" t="s">
        <v>5513</v>
      </c>
      <c r="P593" s="5">
        <f>XLOOKUP(R593, classification!C:C, classification!B:B, "Not Found")</f>
      </c>
      <c r="Q593" s="1" t="s">
        <v>5514</v>
      </c>
      <c r="R593" s="2"/>
      <c r="S593" s="2"/>
      <c r="T593" s="2"/>
      <c r="U593" s="2"/>
    </row>
    <row x14ac:dyDescent="0.25" r="594" customHeight="1" ht="17.25">
      <c r="A594" s="7">
        <v>593</v>
      </c>
      <c r="B594" s="1" t="s">
        <v>6074</v>
      </c>
      <c r="C594" s="5">
        <f>CONCATENATE("PD", TEXT(A594, "1000000"))</f>
      </c>
      <c r="D594" s="7">
        <v>65</v>
      </c>
      <c r="E594" s="5">
        <f>XLOOKUP(G594, item_category!C:C, item_category!B:B, "Not Found")</f>
      </c>
      <c r="F594" s="1" t="s">
        <v>6008</v>
      </c>
      <c r="G594" s="5">
        <f>XLOOKUP(I594, drug!B:B, drug!A:A, "Not Found")</f>
      </c>
      <c r="H594" s="1" t="s">
        <v>857</v>
      </c>
      <c r="I594" s="7">
        <v>1</v>
      </c>
      <c r="J594" s="5">
        <f>XLOOKUP(L594, uom!C:C, uom!B:B, "Not Found")</f>
      </c>
      <c r="K594" s="1" t="s">
        <v>5511</v>
      </c>
      <c r="L594" s="5">
        <f>XLOOKUP(N594, uom!C:C, uom!B:B, "Not Found")</f>
      </c>
      <c r="M594" s="1" t="s">
        <v>5511</v>
      </c>
      <c r="N594" s="8" t="s">
        <v>5512</v>
      </c>
      <c r="O594" s="1" t="s">
        <v>5513</v>
      </c>
      <c r="P594" s="5">
        <f>XLOOKUP(R594, classification!C:C, classification!B:B, "Not Found")</f>
      </c>
      <c r="Q594" s="1" t="s">
        <v>5514</v>
      </c>
      <c r="R594" s="2"/>
      <c r="S594" s="2"/>
      <c r="T594" s="2"/>
      <c r="U594" s="2"/>
    </row>
    <row x14ac:dyDescent="0.25" r="595" customHeight="1" ht="17.25">
      <c r="A595" s="7">
        <v>594</v>
      </c>
      <c r="B595" s="1" t="s">
        <v>6075</v>
      </c>
      <c r="C595" s="5">
        <f>CONCATENATE("PD", TEXT(A595, "1000000"))</f>
      </c>
      <c r="D595" s="7">
        <v>65</v>
      </c>
      <c r="E595" s="5">
        <f>XLOOKUP(G595, item_category!C:C, item_category!B:B, "Not Found")</f>
      </c>
      <c r="F595" s="1" t="s">
        <v>6008</v>
      </c>
      <c r="G595" s="5">
        <f>XLOOKUP(I595, drug!B:B, drug!A:A, "Not Found")</f>
      </c>
      <c r="H595" s="1" t="s">
        <v>859</v>
      </c>
      <c r="I595" s="7">
        <v>1</v>
      </c>
      <c r="J595" s="5">
        <f>XLOOKUP(L595, uom!C:C, uom!B:B, "Not Found")</f>
      </c>
      <c r="K595" s="1" t="s">
        <v>5511</v>
      </c>
      <c r="L595" s="5">
        <f>XLOOKUP(N595, uom!C:C, uom!B:B, "Not Found")</f>
      </c>
      <c r="M595" s="1" t="s">
        <v>5511</v>
      </c>
      <c r="N595" s="8" t="s">
        <v>5512</v>
      </c>
      <c r="O595" s="1" t="s">
        <v>5513</v>
      </c>
      <c r="P595" s="5">
        <f>XLOOKUP(R595, classification!C:C, classification!B:B, "Not Found")</f>
      </c>
      <c r="Q595" s="1" t="s">
        <v>5514</v>
      </c>
      <c r="R595" s="2"/>
      <c r="S595" s="2"/>
      <c r="T595" s="2"/>
      <c r="U595" s="2"/>
    </row>
    <row x14ac:dyDescent="0.25" r="596" customHeight="1" ht="17.25">
      <c r="A596" s="7">
        <v>595</v>
      </c>
      <c r="B596" s="1" t="s">
        <v>6075</v>
      </c>
      <c r="C596" s="5">
        <f>CONCATENATE("PD", TEXT(A596, "1000000"))</f>
      </c>
      <c r="D596" s="7">
        <v>65</v>
      </c>
      <c r="E596" s="5">
        <f>XLOOKUP(G596, item_category!C:C, item_category!B:B, "Not Found")</f>
      </c>
      <c r="F596" s="1" t="s">
        <v>6008</v>
      </c>
      <c r="G596" s="5">
        <f>XLOOKUP(I596, drug!B:B, drug!A:A, "Not Found")</f>
      </c>
      <c r="H596" s="1" t="s">
        <v>859</v>
      </c>
      <c r="I596" s="7">
        <v>1</v>
      </c>
      <c r="J596" s="5">
        <f>XLOOKUP(L596, uom!C:C, uom!B:B, "Not Found")</f>
      </c>
      <c r="K596" s="1" t="s">
        <v>5511</v>
      </c>
      <c r="L596" s="5">
        <f>XLOOKUP(N596, uom!C:C, uom!B:B, "Not Found")</f>
      </c>
      <c r="M596" s="1" t="s">
        <v>5511</v>
      </c>
      <c r="N596" s="8" t="s">
        <v>5512</v>
      </c>
      <c r="O596" s="1" t="s">
        <v>5513</v>
      </c>
      <c r="P596" s="5">
        <f>XLOOKUP(R596, classification!C:C, classification!B:B, "Not Found")</f>
      </c>
      <c r="Q596" s="1" t="s">
        <v>5514</v>
      </c>
      <c r="R596" s="2"/>
      <c r="S596" s="2"/>
      <c r="T596" s="2"/>
      <c r="U596" s="2"/>
    </row>
    <row x14ac:dyDescent="0.25" r="597" customHeight="1" ht="17.25">
      <c r="A597" s="7">
        <v>596</v>
      </c>
      <c r="B597" s="1" t="s">
        <v>6076</v>
      </c>
      <c r="C597" s="5">
        <f>CONCATENATE("PD", TEXT(A597, "1000000"))</f>
      </c>
      <c r="D597" s="7">
        <v>65</v>
      </c>
      <c r="E597" s="5">
        <f>XLOOKUP(G597, item_category!C:C, item_category!B:B, "Not Found")</f>
      </c>
      <c r="F597" s="1" t="s">
        <v>6008</v>
      </c>
      <c r="G597" s="5">
        <f>XLOOKUP(I597, drug!B:B, drug!A:A, "Not Found")</f>
      </c>
      <c r="H597" s="1" t="s">
        <v>2038</v>
      </c>
      <c r="I597" s="7">
        <v>1</v>
      </c>
      <c r="J597" s="5">
        <f>XLOOKUP(L597, uom!C:C, uom!B:B, "Not Found")</f>
      </c>
      <c r="K597" s="1" t="s">
        <v>5511</v>
      </c>
      <c r="L597" s="5">
        <f>XLOOKUP(N597, uom!C:C, uom!B:B, "Not Found")</f>
      </c>
      <c r="M597" s="1" t="s">
        <v>5511</v>
      </c>
      <c r="N597" s="8" t="s">
        <v>5512</v>
      </c>
      <c r="O597" s="1" t="s">
        <v>5513</v>
      </c>
      <c r="P597" s="5">
        <f>XLOOKUP(R597, classification!C:C, classification!B:B, "Not Found")</f>
      </c>
      <c r="Q597" s="1" t="s">
        <v>5514</v>
      </c>
      <c r="R597" s="2"/>
      <c r="S597" s="2"/>
      <c r="T597" s="2"/>
      <c r="U597" s="2"/>
    </row>
    <row x14ac:dyDescent="0.25" r="598" customHeight="1" ht="17.25">
      <c r="A598" s="7">
        <v>597</v>
      </c>
      <c r="B598" s="1" t="s">
        <v>6077</v>
      </c>
      <c r="C598" s="5">
        <f>CONCATENATE("PD", TEXT(A598, "1000000"))</f>
      </c>
      <c r="D598" s="7">
        <v>65</v>
      </c>
      <c r="E598" s="5">
        <f>XLOOKUP(G598, item_category!C:C, item_category!B:B, "Not Found")</f>
      </c>
      <c r="F598" s="1" t="s">
        <v>6008</v>
      </c>
      <c r="G598" s="5">
        <f>XLOOKUP(I598, drug!B:B, drug!A:A, "Not Found")</f>
      </c>
      <c r="H598" s="1" t="s">
        <v>2040</v>
      </c>
      <c r="I598" s="7">
        <v>1</v>
      </c>
      <c r="J598" s="5">
        <f>XLOOKUP(L598, uom!C:C, uom!B:B, "Not Found")</f>
      </c>
      <c r="K598" s="1" t="s">
        <v>5511</v>
      </c>
      <c r="L598" s="5">
        <f>XLOOKUP(N598, uom!C:C, uom!B:B, "Not Found")</f>
      </c>
      <c r="M598" s="1" t="s">
        <v>5511</v>
      </c>
      <c r="N598" s="8" t="s">
        <v>5512</v>
      </c>
      <c r="O598" s="1" t="s">
        <v>5513</v>
      </c>
      <c r="P598" s="5">
        <f>XLOOKUP(R598, classification!C:C, classification!B:B, "Not Found")</f>
      </c>
      <c r="Q598" s="1" t="s">
        <v>5514</v>
      </c>
      <c r="R598" s="2"/>
      <c r="S598" s="2"/>
      <c r="T598" s="2"/>
      <c r="U598" s="2"/>
    </row>
    <row x14ac:dyDescent="0.25" r="599" customHeight="1" ht="17.25">
      <c r="A599" s="7">
        <v>598</v>
      </c>
      <c r="B599" s="1" t="s">
        <v>6078</v>
      </c>
      <c r="C599" s="5">
        <f>CONCATENATE("PD", TEXT(A599, "1000000"))</f>
      </c>
      <c r="D599" s="7">
        <v>1</v>
      </c>
      <c r="E599" s="5">
        <f>XLOOKUP(G599, item_category!C:C, item_category!B:B, "Not Found")</f>
      </c>
      <c r="F599" s="1" t="s">
        <v>5514</v>
      </c>
      <c r="G599" s="5">
        <f>XLOOKUP(I599, drug!B:B, drug!A:A, "Not Found")</f>
      </c>
      <c r="H599" s="1" t="s">
        <v>2042</v>
      </c>
      <c r="I599" s="7">
        <v>100</v>
      </c>
      <c r="J599" s="5">
        <f>XLOOKUP(L599, uom!C:C, uom!B:B, "Not Found")</f>
      </c>
      <c r="K599" s="1" t="s">
        <v>5899</v>
      </c>
      <c r="L599" s="5">
        <f>XLOOKUP(N599, uom!C:C, uom!B:B, "Not Found")</f>
      </c>
      <c r="M599" s="1" t="s">
        <v>5544</v>
      </c>
      <c r="N599" s="8" t="s">
        <v>5524</v>
      </c>
      <c r="O599" s="1" t="s">
        <v>5525</v>
      </c>
      <c r="P599" s="5">
        <f>XLOOKUP(R599, classification!C:C, classification!B:B, "Not Found")</f>
      </c>
      <c r="Q599" s="1" t="s">
        <v>5514</v>
      </c>
      <c r="R599" s="2"/>
      <c r="S599" s="2"/>
      <c r="T599" s="2"/>
      <c r="U599" s="2"/>
    </row>
    <row x14ac:dyDescent="0.25" r="600" customHeight="1" ht="17.25">
      <c r="A600" s="7">
        <v>599</v>
      </c>
      <c r="B600" s="1" t="s">
        <v>6079</v>
      </c>
      <c r="C600" s="5">
        <f>CONCATENATE("PD", TEXT(A600, "1000000"))</f>
      </c>
      <c r="D600" s="7">
        <v>65</v>
      </c>
      <c r="E600" s="5">
        <f>XLOOKUP(G600, item_category!C:C, item_category!B:B, "Not Found")</f>
      </c>
      <c r="F600" s="1" t="s">
        <v>6008</v>
      </c>
      <c r="G600" s="5">
        <f>XLOOKUP(I600, drug!B:B, drug!A:A, "Not Found")</f>
      </c>
      <c r="H600" s="1" t="s">
        <v>1942</v>
      </c>
      <c r="I600" s="7">
        <v>1</v>
      </c>
      <c r="J600" s="5">
        <f>XLOOKUP(L600, uom!C:C, uom!B:B, "Not Found")</f>
      </c>
      <c r="K600" s="1" t="s">
        <v>5511</v>
      </c>
      <c r="L600" s="5">
        <f>XLOOKUP(N600, uom!C:C, uom!B:B, "Not Found")</f>
      </c>
      <c r="M600" s="1" t="s">
        <v>5511</v>
      </c>
      <c r="N600" s="8" t="s">
        <v>5512</v>
      </c>
      <c r="O600" s="1" t="s">
        <v>5513</v>
      </c>
      <c r="P600" s="5">
        <f>XLOOKUP(R600, classification!C:C, classification!B:B, "Not Found")</f>
      </c>
      <c r="Q600" s="1" t="s">
        <v>5514</v>
      </c>
      <c r="R600" s="2"/>
      <c r="S600" s="2"/>
      <c r="T600" s="2"/>
      <c r="U600" s="2"/>
    </row>
    <row x14ac:dyDescent="0.25" r="601" customHeight="1" ht="17.25">
      <c r="A601" s="7">
        <v>600</v>
      </c>
      <c r="B601" s="1" t="s">
        <v>6080</v>
      </c>
      <c r="C601" s="5">
        <f>CONCATENATE("PD", TEXT(A601, "1000000"))</f>
      </c>
      <c r="D601" s="7">
        <v>65</v>
      </c>
      <c r="E601" s="5">
        <f>XLOOKUP(G601, item_category!C:C, item_category!B:B, "Not Found")</f>
      </c>
      <c r="F601" s="1" t="s">
        <v>6008</v>
      </c>
      <c r="G601" s="5">
        <f>XLOOKUP(I601, drug!B:B, drug!A:A, "Not Found")</f>
      </c>
      <c r="H601" s="1" t="s">
        <v>2044</v>
      </c>
      <c r="I601" s="7">
        <v>1</v>
      </c>
      <c r="J601" s="5">
        <f>XLOOKUP(L601, uom!C:C, uom!B:B, "Not Found")</f>
      </c>
      <c r="K601" s="1" t="s">
        <v>5511</v>
      </c>
      <c r="L601" s="5">
        <f>XLOOKUP(N601, uom!C:C, uom!B:B, "Not Found")</f>
      </c>
      <c r="M601" s="1" t="s">
        <v>5511</v>
      </c>
      <c r="N601" s="8" t="s">
        <v>5512</v>
      </c>
      <c r="O601" s="1" t="s">
        <v>5513</v>
      </c>
      <c r="P601" s="5">
        <f>XLOOKUP(R601, classification!C:C, classification!B:B, "Not Found")</f>
      </c>
      <c r="Q601" s="1" t="s">
        <v>5514</v>
      </c>
      <c r="R601" s="2"/>
      <c r="S601" s="2"/>
      <c r="T601" s="2"/>
      <c r="U601" s="2"/>
    </row>
    <row x14ac:dyDescent="0.25" r="602" customHeight="1" ht="17.25">
      <c r="A602" s="7">
        <v>601</v>
      </c>
      <c r="B602" s="1" t="s">
        <v>6081</v>
      </c>
      <c r="C602" s="5">
        <f>CONCATENATE("PD", TEXT(A602, "1000000"))</f>
      </c>
      <c r="D602" s="7">
        <v>65</v>
      </c>
      <c r="E602" s="5">
        <f>XLOOKUP(G602, item_category!C:C, item_category!B:B, "Not Found")</f>
      </c>
      <c r="F602" s="1" t="s">
        <v>6008</v>
      </c>
      <c r="G602" s="5">
        <f>XLOOKUP(I602, drug!B:B, drug!A:A, "Not Found")</f>
      </c>
      <c r="H602" s="1" t="s">
        <v>2046</v>
      </c>
      <c r="I602" s="7">
        <v>1</v>
      </c>
      <c r="J602" s="5">
        <f>XLOOKUP(L602, uom!C:C, uom!B:B, "Not Found")</f>
      </c>
      <c r="K602" s="1" t="s">
        <v>5511</v>
      </c>
      <c r="L602" s="5">
        <f>XLOOKUP(N602, uom!C:C, uom!B:B, "Not Found")</f>
      </c>
      <c r="M602" s="1" t="s">
        <v>5511</v>
      </c>
      <c r="N602" s="8" t="s">
        <v>5512</v>
      </c>
      <c r="O602" s="1" t="s">
        <v>5513</v>
      </c>
      <c r="P602" s="5">
        <f>XLOOKUP(R602, classification!C:C, classification!B:B, "Not Found")</f>
      </c>
      <c r="Q602" s="1" t="s">
        <v>5514</v>
      </c>
      <c r="R602" s="2"/>
      <c r="S602" s="2"/>
      <c r="T602" s="2"/>
      <c r="U602" s="2"/>
    </row>
    <row x14ac:dyDescent="0.25" r="603" customHeight="1" ht="17.25">
      <c r="A603" s="7">
        <v>602</v>
      </c>
      <c r="B603" s="1" t="s">
        <v>6082</v>
      </c>
      <c r="C603" s="5">
        <f>CONCATENATE("PD", TEXT(A603, "1000000"))</f>
      </c>
      <c r="D603" s="7">
        <v>65</v>
      </c>
      <c r="E603" s="5">
        <f>XLOOKUP(G603, item_category!C:C, item_category!B:B, "Not Found")</f>
      </c>
      <c r="F603" s="1" t="s">
        <v>6008</v>
      </c>
      <c r="G603" s="5">
        <f>XLOOKUP(I603, drug!B:B, drug!A:A, "Not Found")</f>
      </c>
      <c r="H603" s="1" t="s">
        <v>2048</v>
      </c>
      <c r="I603" s="7">
        <v>1</v>
      </c>
      <c r="J603" s="5">
        <f>XLOOKUP(L603, uom!C:C, uom!B:B, "Not Found")</f>
      </c>
      <c r="K603" s="1" t="s">
        <v>5511</v>
      </c>
      <c r="L603" s="5">
        <f>XLOOKUP(N603, uom!C:C, uom!B:B, "Not Found")</f>
      </c>
      <c r="M603" s="1" t="s">
        <v>5511</v>
      </c>
      <c r="N603" s="8" t="s">
        <v>5512</v>
      </c>
      <c r="O603" s="1" t="s">
        <v>5513</v>
      </c>
      <c r="P603" s="5">
        <f>XLOOKUP(R603, classification!C:C, classification!B:B, "Not Found")</f>
      </c>
      <c r="Q603" s="1" t="s">
        <v>5514</v>
      </c>
      <c r="R603" s="2"/>
      <c r="S603" s="2"/>
      <c r="T603" s="2"/>
      <c r="U603" s="2"/>
    </row>
    <row x14ac:dyDescent="0.25" r="604" customHeight="1" ht="17.25">
      <c r="A604" s="7">
        <v>603</v>
      </c>
      <c r="B604" s="1" t="s">
        <v>6083</v>
      </c>
      <c r="C604" s="5">
        <f>CONCATENATE("PD", TEXT(A604, "1000000"))</f>
      </c>
      <c r="D604" s="7">
        <v>65</v>
      </c>
      <c r="E604" s="5">
        <f>XLOOKUP(G604, item_category!C:C, item_category!B:B, "Not Found")</f>
      </c>
      <c r="F604" s="1" t="s">
        <v>6008</v>
      </c>
      <c r="G604" s="5">
        <f>XLOOKUP(I604, drug!B:B, drug!A:A, "Not Found")</f>
      </c>
      <c r="H604" s="1" t="s">
        <v>2050</v>
      </c>
      <c r="I604" s="7">
        <v>1</v>
      </c>
      <c r="J604" s="5">
        <f>XLOOKUP(L604, uom!C:C, uom!B:B, "Not Found")</f>
      </c>
      <c r="K604" s="1" t="s">
        <v>5511</v>
      </c>
      <c r="L604" s="5">
        <f>XLOOKUP(N604, uom!C:C, uom!B:B, "Not Found")</f>
      </c>
      <c r="M604" s="1" t="s">
        <v>5511</v>
      </c>
      <c r="N604" s="8" t="s">
        <v>5512</v>
      </c>
      <c r="O604" s="1" t="s">
        <v>5513</v>
      </c>
      <c r="P604" s="5">
        <f>XLOOKUP(R604, classification!C:C, classification!B:B, "Not Found")</f>
      </c>
      <c r="Q604" s="1" t="s">
        <v>5514</v>
      </c>
      <c r="R604" s="2"/>
      <c r="S604" s="2"/>
      <c r="T604" s="2"/>
      <c r="U604" s="2"/>
    </row>
    <row x14ac:dyDescent="0.25" r="605" customHeight="1" ht="17.25">
      <c r="A605" s="7">
        <v>604</v>
      </c>
      <c r="B605" s="1" t="s">
        <v>6084</v>
      </c>
      <c r="C605" s="5">
        <f>CONCATENATE("PD", TEXT(A605, "1000000"))</f>
      </c>
      <c r="D605" s="7">
        <v>65</v>
      </c>
      <c r="E605" s="5">
        <f>XLOOKUP(G605, item_category!C:C, item_category!B:B, "Not Found")</f>
      </c>
      <c r="F605" s="1" t="s">
        <v>6008</v>
      </c>
      <c r="G605" s="5">
        <f>XLOOKUP(I605, drug!B:B, drug!A:A, "Not Found")</f>
      </c>
      <c r="H605" s="1" t="s">
        <v>2052</v>
      </c>
      <c r="I605" s="7">
        <v>1</v>
      </c>
      <c r="J605" s="5">
        <f>XLOOKUP(L605, uom!C:C, uom!B:B, "Not Found")</f>
      </c>
      <c r="K605" s="1" t="s">
        <v>5511</v>
      </c>
      <c r="L605" s="5">
        <f>XLOOKUP(N605, uom!C:C, uom!B:B, "Not Found")</f>
      </c>
      <c r="M605" s="1" t="s">
        <v>5511</v>
      </c>
      <c r="N605" s="8" t="s">
        <v>5512</v>
      </c>
      <c r="O605" s="1" t="s">
        <v>5513</v>
      </c>
      <c r="P605" s="5">
        <f>XLOOKUP(R605, classification!C:C, classification!B:B, "Not Found")</f>
      </c>
      <c r="Q605" s="1" t="s">
        <v>5514</v>
      </c>
      <c r="R605" s="2"/>
      <c r="S605" s="2"/>
      <c r="T605" s="2"/>
      <c r="U605" s="2"/>
    </row>
    <row x14ac:dyDescent="0.25" r="606" customHeight="1" ht="17.25">
      <c r="A606" s="7">
        <v>605</v>
      </c>
      <c r="B606" s="1" t="s">
        <v>6085</v>
      </c>
      <c r="C606" s="5">
        <f>CONCATENATE("PD", TEXT(A606, "1000000"))</f>
      </c>
      <c r="D606" s="7">
        <v>65</v>
      </c>
      <c r="E606" s="5">
        <f>XLOOKUP(G606, item_category!C:C, item_category!B:B, "Not Found")</f>
      </c>
      <c r="F606" s="1" t="s">
        <v>6008</v>
      </c>
      <c r="G606" s="5">
        <f>XLOOKUP(I606, drug!B:B, drug!A:A, "Not Found")</f>
      </c>
      <c r="H606" s="1" t="s">
        <v>233</v>
      </c>
      <c r="I606" s="7">
        <v>1</v>
      </c>
      <c r="J606" s="5">
        <f>XLOOKUP(L606, uom!C:C, uom!B:B, "Not Found")</f>
      </c>
      <c r="K606" s="1" t="s">
        <v>5511</v>
      </c>
      <c r="L606" s="5">
        <f>XLOOKUP(N606, uom!C:C, uom!B:B, "Not Found")</f>
      </c>
      <c r="M606" s="1" t="s">
        <v>5511</v>
      </c>
      <c r="N606" s="8" t="s">
        <v>5512</v>
      </c>
      <c r="O606" s="1" t="s">
        <v>5513</v>
      </c>
      <c r="P606" s="5">
        <f>XLOOKUP(R606, classification!C:C, classification!B:B, "Not Found")</f>
      </c>
      <c r="Q606" s="1" t="s">
        <v>5514</v>
      </c>
      <c r="R606" s="2"/>
      <c r="S606" s="2"/>
      <c r="T606" s="2"/>
      <c r="U606" s="2"/>
    </row>
    <row x14ac:dyDescent="0.25" r="607" customHeight="1" ht="17.25">
      <c r="A607" s="7">
        <v>606</v>
      </c>
      <c r="B607" s="1" t="s">
        <v>6086</v>
      </c>
      <c r="C607" s="5">
        <f>CONCATENATE("PD", TEXT(A607, "1000000"))</f>
      </c>
      <c r="D607" s="7">
        <v>65</v>
      </c>
      <c r="E607" s="5">
        <f>XLOOKUP(G607, item_category!C:C, item_category!B:B, "Not Found")</f>
      </c>
      <c r="F607" s="1" t="s">
        <v>6008</v>
      </c>
      <c r="G607" s="5">
        <f>XLOOKUP(I607, drug!B:B, drug!A:A, "Not Found")</f>
      </c>
      <c r="H607" s="1" t="s">
        <v>2054</v>
      </c>
      <c r="I607" s="7">
        <v>1</v>
      </c>
      <c r="J607" s="5">
        <f>XLOOKUP(L607, uom!C:C, uom!B:B, "Not Found")</f>
      </c>
      <c r="K607" s="1" t="s">
        <v>5511</v>
      </c>
      <c r="L607" s="5">
        <f>XLOOKUP(N607, uom!C:C, uom!B:B, "Not Found")</f>
      </c>
      <c r="M607" s="1" t="s">
        <v>5511</v>
      </c>
      <c r="N607" s="8" t="s">
        <v>5512</v>
      </c>
      <c r="O607" s="1" t="s">
        <v>5513</v>
      </c>
      <c r="P607" s="5">
        <f>XLOOKUP(R607, classification!C:C, classification!B:B, "Not Found")</f>
      </c>
      <c r="Q607" s="1" t="s">
        <v>5514</v>
      </c>
      <c r="R607" s="2"/>
      <c r="S607" s="2"/>
      <c r="T607" s="2"/>
      <c r="U607" s="2"/>
    </row>
    <row x14ac:dyDescent="0.25" r="608" customHeight="1" ht="17.25">
      <c r="A608" s="7">
        <v>607</v>
      </c>
      <c r="B608" s="1" t="s">
        <v>6087</v>
      </c>
      <c r="C608" s="5">
        <f>CONCATENATE("PD", TEXT(A608, "1000000"))</f>
      </c>
      <c r="D608" s="7">
        <v>65</v>
      </c>
      <c r="E608" s="5">
        <f>XLOOKUP(G608, item_category!C:C, item_category!B:B, "Not Found")</f>
      </c>
      <c r="F608" s="1" t="s">
        <v>6008</v>
      </c>
      <c r="G608" s="5">
        <f>XLOOKUP(I608, drug!B:B, drug!A:A, "Not Found")</f>
      </c>
      <c r="H608" s="1" t="s">
        <v>1029</v>
      </c>
      <c r="I608" s="7">
        <v>1</v>
      </c>
      <c r="J608" s="5">
        <f>XLOOKUP(L608, uom!C:C, uom!B:B, "Not Found")</f>
      </c>
      <c r="K608" s="1" t="s">
        <v>5511</v>
      </c>
      <c r="L608" s="5">
        <f>XLOOKUP(N608, uom!C:C, uom!B:B, "Not Found")</f>
      </c>
      <c r="M608" s="1" t="s">
        <v>5511</v>
      </c>
      <c r="N608" s="8" t="s">
        <v>5512</v>
      </c>
      <c r="O608" s="1" t="s">
        <v>5513</v>
      </c>
      <c r="P608" s="5">
        <f>XLOOKUP(R608, classification!C:C, classification!B:B, "Not Found")</f>
      </c>
      <c r="Q608" s="1" t="s">
        <v>5514</v>
      </c>
      <c r="R608" s="2"/>
      <c r="S608" s="2"/>
      <c r="T608" s="2"/>
      <c r="U608" s="2"/>
    </row>
    <row x14ac:dyDescent="0.25" r="609" customHeight="1" ht="17.25">
      <c r="A609" s="7">
        <v>608</v>
      </c>
      <c r="B609" s="1" t="s">
        <v>6088</v>
      </c>
      <c r="C609" s="5">
        <f>CONCATENATE("PD", TEXT(A609, "1000000"))</f>
      </c>
      <c r="D609" s="7">
        <v>65</v>
      </c>
      <c r="E609" s="5">
        <f>XLOOKUP(G609, item_category!C:C, item_category!B:B, "Not Found")</f>
      </c>
      <c r="F609" s="1" t="s">
        <v>6008</v>
      </c>
      <c r="G609" s="5">
        <f>XLOOKUP(I609, drug!B:B, drug!A:A, "Not Found")</f>
      </c>
      <c r="H609" s="1" t="s">
        <v>2056</v>
      </c>
      <c r="I609" s="7">
        <v>1</v>
      </c>
      <c r="J609" s="5">
        <f>XLOOKUP(L609, uom!C:C, uom!B:B, "Not Found")</f>
      </c>
      <c r="K609" s="1" t="s">
        <v>5511</v>
      </c>
      <c r="L609" s="5">
        <f>XLOOKUP(N609, uom!C:C, uom!B:B, "Not Found")</f>
      </c>
      <c r="M609" s="1" t="s">
        <v>5511</v>
      </c>
      <c r="N609" s="8" t="s">
        <v>5512</v>
      </c>
      <c r="O609" s="1" t="s">
        <v>5513</v>
      </c>
      <c r="P609" s="5">
        <f>XLOOKUP(R609, classification!C:C, classification!B:B, "Not Found")</f>
      </c>
      <c r="Q609" s="1" t="s">
        <v>5514</v>
      </c>
      <c r="R609" s="2"/>
      <c r="S609" s="2"/>
      <c r="T609" s="2"/>
      <c r="U609" s="2"/>
    </row>
    <row x14ac:dyDescent="0.25" r="610" customHeight="1" ht="17.25">
      <c r="A610" s="7">
        <v>609</v>
      </c>
      <c r="B610" s="1" t="s">
        <v>6089</v>
      </c>
      <c r="C610" s="5">
        <f>CONCATENATE("PD", TEXT(A610, "1000000"))</f>
      </c>
      <c r="D610" s="7">
        <v>65</v>
      </c>
      <c r="E610" s="5">
        <f>XLOOKUP(G610, item_category!C:C, item_category!B:B, "Not Found")</f>
      </c>
      <c r="F610" s="1" t="s">
        <v>6008</v>
      </c>
      <c r="G610" s="5">
        <f>XLOOKUP(I610, drug!B:B, drug!A:A, "Not Found")</f>
      </c>
      <c r="H610" s="1" t="s">
        <v>2058</v>
      </c>
      <c r="I610" s="7">
        <v>1</v>
      </c>
      <c r="J610" s="5">
        <f>XLOOKUP(L610, uom!C:C, uom!B:B, "Not Found")</f>
      </c>
      <c r="K610" s="1" t="s">
        <v>5511</v>
      </c>
      <c r="L610" s="5">
        <f>XLOOKUP(N610, uom!C:C, uom!B:B, "Not Found")</f>
      </c>
      <c r="M610" s="1" t="s">
        <v>5511</v>
      </c>
      <c r="N610" s="8" t="s">
        <v>5512</v>
      </c>
      <c r="O610" s="1" t="s">
        <v>5513</v>
      </c>
      <c r="P610" s="5">
        <f>XLOOKUP(R610, classification!C:C, classification!B:B, "Not Found")</f>
      </c>
      <c r="Q610" s="1" t="s">
        <v>5514</v>
      </c>
      <c r="R610" s="2"/>
      <c r="S610" s="2"/>
      <c r="T610" s="2"/>
      <c r="U610" s="2"/>
    </row>
    <row x14ac:dyDescent="0.25" r="611" customHeight="1" ht="17.25">
      <c r="A611" s="7">
        <v>610</v>
      </c>
      <c r="B611" s="1" t="s">
        <v>6090</v>
      </c>
      <c r="C611" s="5">
        <f>CONCATENATE("PD", TEXT(A611, "1000000"))</f>
      </c>
      <c r="D611" s="7">
        <v>65</v>
      </c>
      <c r="E611" s="5">
        <f>XLOOKUP(G611, item_category!C:C, item_category!B:B, "Not Found")</f>
      </c>
      <c r="F611" s="1" t="s">
        <v>6008</v>
      </c>
      <c r="G611" s="5">
        <f>XLOOKUP(I611, drug!B:B, drug!A:A, "Not Found")</f>
      </c>
      <c r="H611" s="1" t="s">
        <v>2060</v>
      </c>
      <c r="I611" s="7">
        <v>1</v>
      </c>
      <c r="J611" s="5">
        <f>XLOOKUP(L611, uom!C:C, uom!B:B, "Not Found")</f>
      </c>
      <c r="K611" s="1" t="s">
        <v>5511</v>
      </c>
      <c r="L611" s="5">
        <f>XLOOKUP(N611, uom!C:C, uom!B:B, "Not Found")</f>
      </c>
      <c r="M611" s="1" t="s">
        <v>5511</v>
      </c>
      <c r="N611" s="8" t="s">
        <v>5512</v>
      </c>
      <c r="O611" s="1" t="s">
        <v>5513</v>
      </c>
      <c r="P611" s="5">
        <f>XLOOKUP(R611, classification!C:C, classification!B:B, "Not Found")</f>
      </c>
      <c r="Q611" s="1" t="s">
        <v>5514</v>
      </c>
      <c r="R611" s="2"/>
      <c r="S611" s="2"/>
      <c r="T611" s="2"/>
      <c r="U611" s="2"/>
    </row>
    <row x14ac:dyDescent="0.25" r="612" customHeight="1" ht="17.25">
      <c r="A612" s="7">
        <v>611</v>
      </c>
      <c r="B612" s="1" t="s">
        <v>6091</v>
      </c>
      <c r="C612" s="5">
        <f>CONCATENATE("PD", TEXT(A612, "1000000"))</f>
      </c>
      <c r="D612" s="7">
        <v>65</v>
      </c>
      <c r="E612" s="5">
        <f>XLOOKUP(G612, item_category!C:C, item_category!B:B, "Not Found")</f>
      </c>
      <c r="F612" s="1" t="s">
        <v>6008</v>
      </c>
      <c r="G612" s="5">
        <f>XLOOKUP(I612, drug!B:B, drug!A:A, "Not Found")</f>
      </c>
      <c r="H612" s="1" t="s">
        <v>2060</v>
      </c>
      <c r="I612" s="7">
        <v>1</v>
      </c>
      <c r="J612" s="5">
        <f>XLOOKUP(L612, uom!C:C, uom!B:B, "Not Found")</f>
      </c>
      <c r="K612" s="1" t="s">
        <v>5511</v>
      </c>
      <c r="L612" s="5">
        <f>XLOOKUP(N612, uom!C:C, uom!B:B, "Not Found")</f>
      </c>
      <c r="M612" s="1" t="s">
        <v>5511</v>
      </c>
      <c r="N612" s="8" t="s">
        <v>5512</v>
      </c>
      <c r="O612" s="1" t="s">
        <v>5513</v>
      </c>
      <c r="P612" s="5">
        <f>XLOOKUP(R612, classification!C:C, classification!B:B, "Not Found")</f>
      </c>
      <c r="Q612" s="1" t="s">
        <v>5514</v>
      </c>
      <c r="R612" s="2"/>
      <c r="S612" s="2"/>
      <c r="T612" s="2"/>
      <c r="U612" s="2"/>
    </row>
    <row x14ac:dyDescent="0.25" r="613" customHeight="1" ht="17.25">
      <c r="A613" s="7">
        <v>612</v>
      </c>
      <c r="B613" s="1" t="s">
        <v>6092</v>
      </c>
      <c r="C613" s="5">
        <f>CONCATENATE("PD", TEXT(A613, "1000000"))</f>
      </c>
      <c r="D613" s="7">
        <v>65</v>
      </c>
      <c r="E613" s="5">
        <f>XLOOKUP(G613, item_category!C:C, item_category!B:B, "Not Found")</f>
      </c>
      <c r="F613" s="1" t="s">
        <v>6008</v>
      </c>
      <c r="G613" s="5">
        <f>XLOOKUP(I613, drug!B:B, drug!A:A, "Not Found")</f>
      </c>
      <c r="H613" s="1" t="s">
        <v>2062</v>
      </c>
      <c r="I613" s="7">
        <v>1</v>
      </c>
      <c r="J613" s="5">
        <f>XLOOKUP(L613, uom!C:C, uom!B:B, "Not Found")</f>
      </c>
      <c r="K613" s="1" t="s">
        <v>5511</v>
      </c>
      <c r="L613" s="5">
        <f>XLOOKUP(N613, uom!C:C, uom!B:B, "Not Found")</f>
      </c>
      <c r="M613" s="1" t="s">
        <v>5511</v>
      </c>
      <c r="N613" s="8" t="s">
        <v>5512</v>
      </c>
      <c r="O613" s="1" t="s">
        <v>5513</v>
      </c>
      <c r="P613" s="5">
        <f>XLOOKUP(R613, classification!C:C, classification!B:B, "Not Found")</f>
      </c>
      <c r="Q613" s="1" t="s">
        <v>5514</v>
      </c>
      <c r="R613" s="2"/>
      <c r="S613" s="2"/>
      <c r="T613" s="2"/>
      <c r="U613" s="2"/>
    </row>
    <row x14ac:dyDescent="0.25" r="614" customHeight="1" ht="17.25">
      <c r="A614" s="7">
        <v>613</v>
      </c>
      <c r="B614" s="1" t="s">
        <v>6093</v>
      </c>
      <c r="C614" s="5">
        <f>CONCATENATE("PD", TEXT(A614, "1000000"))</f>
      </c>
      <c r="D614" s="7">
        <v>65</v>
      </c>
      <c r="E614" s="5">
        <f>XLOOKUP(G614, item_category!C:C, item_category!B:B, "Not Found")</f>
      </c>
      <c r="F614" s="1" t="s">
        <v>6008</v>
      </c>
      <c r="G614" s="5">
        <f>XLOOKUP(I614, drug!B:B, drug!A:A, "Not Found")</f>
      </c>
      <c r="H614" s="1" t="s">
        <v>923</v>
      </c>
      <c r="I614" s="7">
        <v>1</v>
      </c>
      <c r="J614" s="5">
        <f>XLOOKUP(L614, uom!C:C, uom!B:B, "Not Found")</f>
      </c>
      <c r="K614" s="1" t="s">
        <v>5510</v>
      </c>
      <c r="L614" s="5">
        <f>XLOOKUP(N614, uom!C:C, uom!B:B, "Not Found")</f>
      </c>
      <c r="M614" s="1" t="s">
        <v>5510</v>
      </c>
      <c r="N614" s="8" t="s">
        <v>5512</v>
      </c>
      <c r="O614" s="1" t="s">
        <v>5513</v>
      </c>
      <c r="P614" s="5">
        <f>XLOOKUP(R614, classification!C:C, classification!B:B, "Not Found")</f>
      </c>
      <c r="Q614" s="1" t="s">
        <v>5514</v>
      </c>
      <c r="R614" s="2"/>
      <c r="S614" s="2"/>
      <c r="T614" s="2"/>
      <c r="U614" s="2"/>
    </row>
    <row x14ac:dyDescent="0.25" r="615" customHeight="1" ht="17.25">
      <c r="A615" s="7">
        <v>614</v>
      </c>
      <c r="B615" s="1" t="s">
        <v>6094</v>
      </c>
      <c r="C615" s="5">
        <f>CONCATENATE("PD", TEXT(A615, "1000000"))</f>
      </c>
      <c r="D615" s="7">
        <v>65</v>
      </c>
      <c r="E615" s="5">
        <f>XLOOKUP(G615, item_category!C:C, item_category!B:B, "Not Found")</f>
      </c>
      <c r="F615" s="1" t="s">
        <v>6008</v>
      </c>
      <c r="G615" s="5">
        <f>XLOOKUP(I615, drug!B:B, drug!A:A, "Not Found")</f>
      </c>
      <c r="H615" s="1" t="s">
        <v>923</v>
      </c>
      <c r="I615" s="7">
        <v>50</v>
      </c>
      <c r="J615" s="5">
        <f>XLOOKUP(L615, uom!C:C, uom!B:B, "Not Found")</f>
      </c>
      <c r="K615" s="1" t="s">
        <v>5510</v>
      </c>
      <c r="L615" s="5">
        <f>XLOOKUP(N615, uom!C:C, uom!B:B, "Not Found")</f>
      </c>
      <c r="M615" s="1" t="s">
        <v>5510</v>
      </c>
      <c r="N615" s="8" t="s">
        <v>5524</v>
      </c>
      <c r="O615" s="1" t="s">
        <v>5525</v>
      </c>
      <c r="P615" s="5">
        <f>XLOOKUP(R615, classification!C:C, classification!B:B, "Not Found")</f>
      </c>
      <c r="Q615" s="1" t="s">
        <v>5514</v>
      </c>
      <c r="R615" s="2"/>
      <c r="S615" s="2"/>
      <c r="T615" s="2"/>
      <c r="U615" s="2"/>
    </row>
    <row x14ac:dyDescent="0.25" r="616" customHeight="1" ht="17.25">
      <c r="A616" s="7">
        <v>615</v>
      </c>
      <c r="B616" s="1" t="s">
        <v>6095</v>
      </c>
      <c r="C616" s="5">
        <f>CONCATENATE("PD", TEXT(A616, "1000000"))</f>
      </c>
      <c r="D616" s="7">
        <v>65</v>
      </c>
      <c r="E616" s="5">
        <f>XLOOKUP(G616, item_category!C:C, item_category!B:B, "Not Found")</f>
      </c>
      <c r="F616" s="1" t="s">
        <v>6008</v>
      </c>
      <c r="G616" s="5">
        <f>XLOOKUP(I616, drug!B:B, drug!A:A, "Not Found")</f>
      </c>
      <c r="H616" s="1" t="s">
        <v>1658</v>
      </c>
      <c r="I616" s="7">
        <v>1</v>
      </c>
      <c r="J616" s="5">
        <f>XLOOKUP(L616, uom!C:C, uom!B:B, "Not Found")</f>
      </c>
      <c r="K616" s="1" t="s">
        <v>5511</v>
      </c>
      <c r="L616" s="5">
        <f>XLOOKUP(N616, uom!C:C, uom!B:B, "Not Found")</f>
      </c>
      <c r="M616" s="1" t="s">
        <v>5511</v>
      </c>
      <c r="N616" s="8" t="s">
        <v>5512</v>
      </c>
      <c r="O616" s="1" t="s">
        <v>5513</v>
      </c>
      <c r="P616" s="5">
        <f>XLOOKUP(R616, classification!C:C, classification!B:B, "Not Found")</f>
      </c>
      <c r="Q616" s="1" t="s">
        <v>5514</v>
      </c>
      <c r="R616" s="2"/>
      <c r="S616" s="2"/>
      <c r="T616" s="2"/>
      <c r="U616" s="2"/>
    </row>
    <row x14ac:dyDescent="0.25" r="617" customHeight="1" ht="17.25">
      <c r="A617" s="7">
        <v>616</v>
      </c>
      <c r="B617" s="1" t="s">
        <v>6096</v>
      </c>
      <c r="C617" s="5">
        <f>CONCATENATE("PD", TEXT(A617, "1000000"))</f>
      </c>
      <c r="D617" s="7">
        <v>65</v>
      </c>
      <c r="E617" s="5">
        <f>XLOOKUP(G617, item_category!C:C, item_category!B:B, "Not Found")</f>
      </c>
      <c r="F617" s="1" t="s">
        <v>6008</v>
      </c>
      <c r="G617" s="5">
        <f>XLOOKUP(I617, drug!B:B, drug!A:A, "Not Found")</f>
      </c>
      <c r="H617" s="1" t="s">
        <v>1102</v>
      </c>
      <c r="I617" s="7">
        <v>1</v>
      </c>
      <c r="J617" s="5">
        <f>XLOOKUP(L617, uom!C:C, uom!B:B, "Not Found")</f>
      </c>
      <c r="K617" s="1" t="s">
        <v>5511</v>
      </c>
      <c r="L617" s="5">
        <f>XLOOKUP(N617, uom!C:C, uom!B:B, "Not Found")</f>
      </c>
      <c r="M617" s="1" t="s">
        <v>5511</v>
      </c>
      <c r="N617" s="8" t="s">
        <v>5512</v>
      </c>
      <c r="O617" s="1" t="s">
        <v>5513</v>
      </c>
      <c r="P617" s="5">
        <f>XLOOKUP(R617, classification!C:C, classification!B:B, "Not Found")</f>
      </c>
      <c r="Q617" s="1" t="s">
        <v>5514</v>
      </c>
      <c r="R617" s="2"/>
      <c r="S617" s="2"/>
      <c r="T617" s="2"/>
      <c r="U617" s="2"/>
    </row>
    <row x14ac:dyDescent="0.25" r="618" customHeight="1" ht="17.25">
      <c r="A618" s="7">
        <v>617</v>
      </c>
      <c r="B618" s="1" t="s">
        <v>6097</v>
      </c>
      <c r="C618" s="5">
        <f>CONCATENATE("PD", TEXT(A618, "1000000"))</f>
      </c>
      <c r="D618" s="7">
        <v>65</v>
      </c>
      <c r="E618" s="5">
        <f>XLOOKUP(G618, item_category!C:C, item_category!B:B, "Not Found")</f>
      </c>
      <c r="F618" s="1" t="s">
        <v>6008</v>
      </c>
      <c r="G618" s="5">
        <f>XLOOKUP(I618, drug!B:B, drug!A:A, "Not Found")</f>
      </c>
      <c r="H618" s="1" t="s">
        <v>2064</v>
      </c>
      <c r="I618" s="7">
        <v>1</v>
      </c>
      <c r="J618" s="5">
        <f>XLOOKUP(L618, uom!C:C, uom!B:B, "Not Found")</f>
      </c>
      <c r="K618" s="1" t="s">
        <v>5511</v>
      </c>
      <c r="L618" s="5">
        <f>XLOOKUP(N618, uom!C:C, uom!B:B, "Not Found")</f>
      </c>
      <c r="M618" s="1" t="s">
        <v>5511</v>
      </c>
      <c r="N618" s="8" t="s">
        <v>5512</v>
      </c>
      <c r="O618" s="1" t="s">
        <v>5513</v>
      </c>
      <c r="P618" s="5">
        <f>XLOOKUP(R618, classification!C:C, classification!B:B, "Not Found")</f>
      </c>
      <c r="Q618" s="1" t="s">
        <v>5514</v>
      </c>
      <c r="R618" s="2"/>
      <c r="S618" s="2"/>
      <c r="T618" s="2"/>
      <c r="U618" s="2"/>
    </row>
    <row x14ac:dyDescent="0.25" r="619" customHeight="1" ht="17.25">
      <c r="A619" s="7">
        <v>618</v>
      </c>
      <c r="B619" s="1" t="s">
        <v>6098</v>
      </c>
      <c r="C619" s="5">
        <f>CONCATENATE("PD", TEXT(A619, "1000000"))</f>
      </c>
      <c r="D619" s="7">
        <v>65</v>
      </c>
      <c r="E619" s="5">
        <f>XLOOKUP(G619, item_category!C:C, item_category!B:B, "Not Found")</f>
      </c>
      <c r="F619" s="1" t="s">
        <v>6008</v>
      </c>
      <c r="G619" s="5">
        <f>XLOOKUP(I619, drug!B:B, drug!A:A, "Not Found")</f>
      </c>
      <c r="H619" s="1" t="s">
        <v>1798</v>
      </c>
      <c r="I619" s="7">
        <v>1</v>
      </c>
      <c r="J619" s="5">
        <f>XLOOKUP(L619, uom!C:C, uom!B:B, "Not Found")</f>
      </c>
      <c r="K619" s="1" t="s">
        <v>5511</v>
      </c>
      <c r="L619" s="5">
        <f>XLOOKUP(N619, uom!C:C, uom!B:B, "Not Found")</f>
      </c>
      <c r="M619" s="1" t="s">
        <v>5511</v>
      </c>
      <c r="N619" s="8" t="s">
        <v>5512</v>
      </c>
      <c r="O619" s="1" t="s">
        <v>5513</v>
      </c>
      <c r="P619" s="5">
        <f>XLOOKUP(R619, classification!C:C, classification!B:B, "Not Found")</f>
      </c>
      <c r="Q619" s="1" t="s">
        <v>5514</v>
      </c>
      <c r="R619" s="2"/>
      <c r="S619" s="2"/>
      <c r="T619" s="2"/>
      <c r="U619" s="2"/>
    </row>
    <row x14ac:dyDescent="0.25" r="620" customHeight="1" ht="17.25">
      <c r="A620" s="7">
        <v>619</v>
      </c>
      <c r="B620" s="1" t="s">
        <v>6099</v>
      </c>
      <c r="C620" s="5">
        <f>CONCATENATE("PD", TEXT(A620, "1000000"))</f>
      </c>
      <c r="D620" s="7">
        <v>65</v>
      </c>
      <c r="E620" s="5">
        <f>XLOOKUP(G620, item_category!C:C, item_category!B:B, "Not Found")</f>
      </c>
      <c r="F620" s="1" t="s">
        <v>6008</v>
      </c>
      <c r="G620" s="5">
        <f>XLOOKUP(I620, drug!B:B, drug!A:A, "Not Found")</f>
      </c>
      <c r="H620" s="1" t="s">
        <v>2066</v>
      </c>
      <c r="I620" s="7">
        <v>1</v>
      </c>
      <c r="J620" s="5">
        <f>XLOOKUP(L620, uom!C:C, uom!B:B, "Not Found")</f>
      </c>
      <c r="K620" s="1" t="s">
        <v>5511</v>
      </c>
      <c r="L620" s="5">
        <f>XLOOKUP(N620, uom!C:C, uom!B:B, "Not Found")</f>
      </c>
      <c r="M620" s="1" t="s">
        <v>5511</v>
      </c>
      <c r="N620" s="8" t="s">
        <v>5512</v>
      </c>
      <c r="O620" s="1" t="s">
        <v>5513</v>
      </c>
      <c r="P620" s="5">
        <f>XLOOKUP(R620, classification!C:C, classification!B:B, "Not Found")</f>
      </c>
      <c r="Q620" s="1" t="s">
        <v>5514</v>
      </c>
      <c r="R620" s="2"/>
      <c r="S620" s="2"/>
      <c r="T620" s="2"/>
      <c r="U620" s="2"/>
    </row>
    <row x14ac:dyDescent="0.25" r="621" customHeight="1" ht="17.25">
      <c r="A621" s="7">
        <v>620</v>
      </c>
      <c r="B621" s="1" t="s">
        <v>6100</v>
      </c>
      <c r="C621" s="5">
        <f>CONCATENATE("PD", TEXT(A621, "1000000"))</f>
      </c>
      <c r="D621" s="7">
        <v>65</v>
      </c>
      <c r="E621" s="5">
        <f>XLOOKUP(G621, item_category!C:C, item_category!B:B, "Not Found")</f>
      </c>
      <c r="F621" s="1" t="s">
        <v>6008</v>
      </c>
      <c r="G621" s="5">
        <f>XLOOKUP(I621, drug!B:B, drug!A:A, "Not Found")</f>
      </c>
      <c r="H621" s="1" t="s">
        <v>1139</v>
      </c>
      <c r="I621" s="7">
        <v>1</v>
      </c>
      <c r="J621" s="5">
        <f>XLOOKUP(L621, uom!C:C, uom!B:B, "Not Found")</f>
      </c>
      <c r="K621" s="1" t="s">
        <v>5511</v>
      </c>
      <c r="L621" s="5">
        <f>XLOOKUP(N621, uom!C:C, uom!B:B, "Not Found")</f>
      </c>
      <c r="M621" s="1" t="s">
        <v>5511</v>
      </c>
      <c r="N621" s="8" t="s">
        <v>5512</v>
      </c>
      <c r="O621" s="1" t="s">
        <v>5513</v>
      </c>
      <c r="P621" s="5">
        <f>XLOOKUP(R621, classification!C:C, classification!B:B, "Not Found")</f>
      </c>
      <c r="Q621" s="1" t="s">
        <v>5514</v>
      </c>
      <c r="R621" s="2"/>
      <c r="S621" s="2"/>
      <c r="T621" s="2"/>
      <c r="U621" s="2"/>
    </row>
    <row x14ac:dyDescent="0.25" r="622" customHeight="1" ht="17.25">
      <c r="A622" s="7">
        <v>621</v>
      </c>
      <c r="B622" s="1" t="s">
        <v>6101</v>
      </c>
      <c r="C622" s="5">
        <f>CONCATENATE("PD", TEXT(A622, "1000000"))</f>
      </c>
      <c r="D622" s="7">
        <v>65</v>
      </c>
      <c r="E622" s="5">
        <f>XLOOKUP(G622, item_category!C:C, item_category!B:B, "Not Found")</f>
      </c>
      <c r="F622" s="1" t="s">
        <v>6008</v>
      </c>
      <c r="G622" s="5">
        <f>XLOOKUP(I622, drug!B:B, drug!A:A, "Not Found")</f>
      </c>
      <c r="H622" s="1" t="s">
        <v>1144</v>
      </c>
      <c r="I622" s="7">
        <v>1</v>
      </c>
      <c r="J622" s="5">
        <f>XLOOKUP(L622, uom!C:C, uom!B:B, "Not Found")</f>
      </c>
      <c r="K622" s="1" t="s">
        <v>5511</v>
      </c>
      <c r="L622" s="5">
        <f>XLOOKUP(N622, uom!C:C, uom!B:B, "Not Found")</f>
      </c>
      <c r="M622" s="1" t="s">
        <v>5511</v>
      </c>
      <c r="N622" s="8" t="s">
        <v>5512</v>
      </c>
      <c r="O622" s="1" t="s">
        <v>5513</v>
      </c>
      <c r="P622" s="5">
        <f>XLOOKUP(R622, classification!C:C, classification!B:B, "Not Found")</f>
      </c>
      <c r="Q622" s="1" t="s">
        <v>5514</v>
      </c>
      <c r="R622" s="2"/>
      <c r="S622" s="2"/>
      <c r="T622" s="2"/>
      <c r="U622" s="2"/>
    </row>
    <row x14ac:dyDescent="0.25" r="623" customHeight="1" ht="17.25">
      <c r="A623" s="7">
        <v>622</v>
      </c>
      <c r="B623" s="1" t="s">
        <v>6102</v>
      </c>
      <c r="C623" s="5">
        <f>CONCATENATE("PD", TEXT(A623, "1000000"))</f>
      </c>
      <c r="D623" s="7">
        <v>65</v>
      </c>
      <c r="E623" s="5">
        <f>XLOOKUP(G623, item_category!C:C, item_category!B:B, "Not Found")</f>
      </c>
      <c r="F623" s="1" t="s">
        <v>6008</v>
      </c>
      <c r="G623" s="5">
        <f>XLOOKUP(I623, drug!B:B, drug!A:A, "Not Found")</f>
      </c>
      <c r="H623" s="1" t="s">
        <v>1144</v>
      </c>
      <c r="I623" s="7">
        <v>1</v>
      </c>
      <c r="J623" s="5">
        <f>XLOOKUP(L623, uom!C:C, uom!B:B, "Not Found")</f>
      </c>
      <c r="K623" s="1" t="s">
        <v>5511</v>
      </c>
      <c r="L623" s="5">
        <f>XLOOKUP(N623, uom!C:C, uom!B:B, "Not Found")</f>
      </c>
      <c r="M623" s="1" t="s">
        <v>5511</v>
      </c>
      <c r="N623" s="8" t="s">
        <v>5512</v>
      </c>
      <c r="O623" s="1" t="s">
        <v>5513</v>
      </c>
      <c r="P623" s="5">
        <f>XLOOKUP(R623, classification!C:C, classification!B:B, "Not Found")</f>
      </c>
      <c r="Q623" s="1" t="s">
        <v>5514</v>
      </c>
      <c r="R623" s="2"/>
      <c r="S623" s="2"/>
      <c r="T623" s="2"/>
      <c r="U623" s="2"/>
    </row>
    <row x14ac:dyDescent="0.25" r="624" customHeight="1" ht="17.25">
      <c r="A624" s="7">
        <v>623</v>
      </c>
      <c r="B624" s="1" t="s">
        <v>6103</v>
      </c>
      <c r="C624" s="5">
        <f>CONCATENATE("PD", TEXT(A624, "1000000"))</f>
      </c>
      <c r="D624" s="7">
        <v>65</v>
      </c>
      <c r="E624" s="5">
        <f>XLOOKUP(G624, item_category!C:C, item_category!B:B, "Not Found")</f>
      </c>
      <c r="F624" s="1" t="s">
        <v>6008</v>
      </c>
      <c r="G624" s="5">
        <f>XLOOKUP(I624, drug!B:B, drug!A:A, "Not Found")</f>
      </c>
      <c r="H624" s="1" t="s">
        <v>1152</v>
      </c>
      <c r="I624" s="7">
        <v>1</v>
      </c>
      <c r="J624" s="5">
        <f>XLOOKUP(L624, uom!C:C, uom!B:B, "Not Found")</f>
      </c>
      <c r="K624" s="1" t="s">
        <v>5511</v>
      </c>
      <c r="L624" s="5">
        <f>XLOOKUP(N624, uom!C:C, uom!B:B, "Not Found")</f>
      </c>
      <c r="M624" s="1" t="s">
        <v>5511</v>
      </c>
      <c r="N624" s="8" t="s">
        <v>5512</v>
      </c>
      <c r="O624" s="1" t="s">
        <v>5513</v>
      </c>
      <c r="P624" s="5">
        <f>XLOOKUP(R624, classification!C:C, classification!B:B, "Not Found")</f>
      </c>
      <c r="Q624" s="1" t="s">
        <v>5514</v>
      </c>
      <c r="R624" s="2"/>
      <c r="S624" s="2"/>
      <c r="T624" s="2"/>
      <c r="U624" s="2"/>
    </row>
    <row x14ac:dyDescent="0.25" r="625" customHeight="1" ht="17.25">
      <c r="A625" s="7">
        <v>624</v>
      </c>
      <c r="B625" s="1" t="s">
        <v>6104</v>
      </c>
      <c r="C625" s="5">
        <f>CONCATENATE("PD", TEXT(A625, "1000000"))</f>
      </c>
      <c r="D625" s="7">
        <v>65</v>
      </c>
      <c r="E625" s="5">
        <f>XLOOKUP(G625, item_category!C:C, item_category!B:B, "Not Found")</f>
      </c>
      <c r="F625" s="1" t="s">
        <v>6008</v>
      </c>
      <c r="G625" s="5">
        <f>XLOOKUP(I625, drug!B:B, drug!A:A, "Not Found")</f>
      </c>
      <c r="H625" s="1" t="s">
        <v>1157</v>
      </c>
      <c r="I625" s="7">
        <v>1</v>
      </c>
      <c r="J625" s="5">
        <f>XLOOKUP(L625, uom!C:C, uom!B:B, "Not Found")</f>
      </c>
      <c r="K625" s="1" t="s">
        <v>5511</v>
      </c>
      <c r="L625" s="5">
        <f>XLOOKUP(N625, uom!C:C, uom!B:B, "Not Found")</f>
      </c>
      <c r="M625" s="1" t="s">
        <v>5511</v>
      </c>
      <c r="N625" s="8" t="s">
        <v>5512</v>
      </c>
      <c r="O625" s="1" t="s">
        <v>5513</v>
      </c>
      <c r="P625" s="5">
        <f>XLOOKUP(R625, classification!C:C, classification!B:B, "Not Found")</f>
      </c>
      <c r="Q625" s="1" t="s">
        <v>5514</v>
      </c>
      <c r="R625" s="2"/>
      <c r="S625" s="2"/>
      <c r="T625" s="2"/>
      <c r="U625" s="2"/>
    </row>
    <row x14ac:dyDescent="0.25" r="626" customHeight="1" ht="17.25">
      <c r="A626" s="7">
        <v>625</v>
      </c>
      <c r="B626" s="1" t="s">
        <v>6105</v>
      </c>
      <c r="C626" s="5">
        <f>CONCATENATE("PD", TEXT(A626, "1000000"))</f>
      </c>
      <c r="D626" s="7">
        <v>65</v>
      </c>
      <c r="E626" s="5">
        <f>XLOOKUP(G626, item_category!C:C, item_category!B:B, "Not Found")</f>
      </c>
      <c r="F626" s="1" t="s">
        <v>6008</v>
      </c>
      <c r="G626" s="5">
        <f>XLOOKUP(I626, drug!B:B, drug!A:A, "Not Found")</f>
      </c>
      <c r="H626" s="1" t="s">
        <v>1228</v>
      </c>
      <c r="I626" s="7">
        <v>1</v>
      </c>
      <c r="J626" s="5">
        <f>XLOOKUP(L626, uom!C:C, uom!B:B, "Not Found")</f>
      </c>
      <c r="K626" s="1" t="s">
        <v>5511</v>
      </c>
      <c r="L626" s="5">
        <f>XLOOKUP(N626, uom!C:C, uom!B:B, "Not Found")</f>
      </c>
      <c r="M626" s="1" t="s">
        <v>5511</v>
      </c>
      <c r="N626" s="8" t="s">
        <v>5512</v>
      </c>
      <c r="O626" s="1" t="s">
        <v>5513</v>
      </c>
      <c r="P626" s="5">
        <f>XLOOKUP(R626, classification!C:C, classification!B:B, "Not Found")</f>
      </c>
      <c r="Q626" s="1" t="s">
        <v>5514</v>
      </c>
      <c r="R626" s="2"/>
      <c r="S626" s="2"/>
      <c r="T626" s="2"/>
      <c r="U626" s="2"/>
    </row>
    <row x14ac:dyDescent="0.25" r="627" customHeight="1" ht="17.25">
      <c r="A627" s="7">
        <v>626</v>
      </c>
      <c r="B627" s="1" t="s">
        <v>6106</v>
      </c>
      <c r="C627" s="5">
        <f>CONCATENATE("PD", TEXT(A627, "1000000"))</f>
      </c>
      <c r="D627" s="7">
        <v>65</v>
      </c>
      <c r="E627" s="5">
        <f>XLOOKUP(G627, item_category!C:C, item_category!B:B, "Not Found")</f>
      </c>
      <c r="F627" s="1" t="s">
        <v>6008</v>
      </c>
      <c r="G627" s="5">
        <f>XLOOKUP(I627, drug!B:B, drug!A:A, "Not Found")</f>
      </c>
      <c r="H627" s="1" t="s">
        <v>2068</v>
      </c>
      <c r="I627" s="7">
        <v>1</v>
      </c>
      <c r="J627" s="5">
        <f>XLOOKUP(L627, uom!C:C, uom!B:B, "Not Found")</f>
      </c>
      <c r="K627" s="1" t="s">
        <v>5511</v>
      </c>
      <c r="L627" s="5">
        <f>XLOOKUP(N627, uom!C:C, uom!B:B, "Not Found")</f>
      </c>
      <c r="M627" s="1" t="s">
        <v>5511</v>
      </c>
      <c r="N627" s="8" t="s">
        <v>5512</v>
      </c>
      <c r="O627" s="1" t="s">
        <v>5513</v>
      </c>
      <c r="P627" s="5">
        <f>XLOOKUP(R627, classification!C:C, classification!B:B, "Not Found")</f>
      </c>
      <c r="Q627" s="1" t="s">
        <v>5514</v>
      </c>
      <c r="R627" s="2"/>
      <c r="S627" s="2"/>
      <c r="T627" s="2"/>
      <c r="U627" s="2"/>
    </row>
    <row x14ac:dyDescent="0.25" r="628" customHeight="1" ht="17.25">
      <c r="A628" s="7">
        <v>627</v>
      </c>
      <c r="B628" s="1" t="s">
        <v>6107</v>
      </c>
      <c r="C628" s="5">
        <f>CONCATENATE("PD", TEXT(A628, "1000000"))</f>
      </c>
      <c r="D628" s="7">
        <v>65</v>
      </c>
      <c r="E628" s="5">
        <f>XLOOKUP(G628, item_category!C:C, item_category!B:B, "Not Found")</f>
      </c>
      <c r="F628" s="1" t="s">
        <v>6008</v>
      </c>
      <c r="G628" s="5">
        <f>XLOOKUP(I628, drug!B:B, drug!A:A, "Not Found")</f>
      </c>
      <c r="H628" s="1" t="s">
        <v>1942</v>
      </c>
      <c r="I628" s="7">
        <v>1</v>
      </c>
      <c r="J628" s="5">
        <f>XLOOKUP(L628, uom!C:C, uom!B:B, "Not Found")</f>
      </c>
      <c r="K628" s="1" t="s">
        <v>5511</v>
      </c>
      <c r="L628" s="5">
        <f>XLOOKUP(N628, uom!C:C, uom!B:B, "Not Found")</f>
      </c>
      <c r="M628" s="1" t="s">
        <v>5511</v>
      </c>
      <c r="N628" s="8" t="s">
        <v>5512</v>
      </c>
      <c r="O628" s="1" t="s">
        <v>5513</v>
      </c>
      <c r="P628" s="5">
        <f>XLOOKUP(R628, classification!C:C, classification!B:B, "Not Found")</f>
      </c>
      <c r="Q628" s="1" t="s">
        <v>5514</v>
      </c>
      <c r="R628" s="2"/>
      <c r="S628" s="2"/>
      <c r="T628" s="2"/>
      <c r="U628" s="2"/>
    </row>
    <row x14ac:dyDescent="0.25" r="629" customHeight="1" ht="17.25">
      <c r="A629" s="7">
        <v>628</v>
      </c>
      <c r="B629" s="1" t="s">
        <v>6108</v>
      </c>
      <c r="C629" s="5">
        <f>CONCATENATE("PD", TEXT(A629, "1000000"))</f>
      </c>
      <c r="D629" s="7">
        <v>65</v>
      </c>
      <c r="E629" s="5">
        <f>XLOOKUP(G629, item_category!C:C, item_category!B:B, "Not Found")</f>
      </c>
      <c r="F629" s="1" t="s">
        <v>6008</v>
      </c>
      <c r="G629" s="5">
        <f>XLOOKUP(I629, drug!B:B, drug!A:A, "Not Found")</f>
      </c>
      <c r="H629" s="1" t="s">
        <v>1964</v>
      </c>
      <c r="I629" s="7">
        <v>1</v>
      </c>
      <c r="J629" s="5">
        <f>XLOOKUP(L629, uom!C:C, uom!B:B, "Not Found")</f>
      </c>
      <c r="K629" s="1" t="s">
        <v>5511</v>
      </c>
      <c r="L629" s="5">
        <f>XLOOKUP(N629, uom!C:C, uom!B:B, "Not Found")</f>
      </c>
      <c r="M629" s="1" t="s">
        <v>5511</v>
      </c>
      <c r="N629" s="8" t="s">
        <v>5512</v>
      </c>
      <c r="O629" s="1" t="s">
        <v>5513</v>
      </c>
      <c r="P629" s="5">
        <f>XLOOKUP(R629, classification!C:C, classification!B:B, "Not Found")</f>
      </c>
      <c r="Q629" s="1" t="s">
        <v>5514</v>
      </c>
      <c r="R629" s="2"/>
      <c r="S629" s="2"/>
      <c r="T629" s="2"/>
      <c r="U629" s="2"/>
    </row>
    <row x14ac:dyDescent="0.25" r="630" customHeight="1" ht="17.25">
      <c r="A630" s="7">
        <v>629</v>
      </c>
      <c r="B630" s="1" t="s">
        <v>6109</v>
      </c>
      <c r="C630" s="5">
        <f>CONCATENATE("PD", TEXT(A630, "1000000"))</f>
      </c>
      <c r="D630" s="7">
        <v>65</v>
      </c>
      <c r="E630" s="5">
        <f>XLOOKUP(G630, item_category!C:C, item_category!B:B, "Not Found")</f>
      </c>
      <c r="F630" s="1" t="s">
        <v>6008</v>
      </c>
      <c r="G630" s="5">
        <f>XLOOKUP(I630, drug!B:B, drug!A:A, "Not Found")</f>
      </c>
      <c r="H630" s="1" t="s">
        <v>960</v>
      </c>
      <c r="I630" s="7">
        <v>1</v>
      </c>
      <c r="J630" s="5">
        <f>XLOOKUP(L630, uom!C:C, uom!B:B, "Not Found")</f>
      </c>
      <c r="K630" s="1" t="s">
        <v>5511</v>
      </c>
      <c r="L630" s="5">
        <f>XLOOKUP(N630, uom!C:C, uom!B:B, "Not Found")</f>
      </c>
      <c r="M630" s="1" t="s">
        <v>5511</v>
      </c>
      <c r="N630" s="8" t="s">
        <v>5512</v>
      </c>
      <c r="O630" s="1" t="s">
        <v>5513</v>
      </c>
      <c r="P630" s="5">
        <f>XLOOKUP(R630, classification!C:C, classification!B:B, "Not Found")</f>
      </c>
      <c r="Q630" s="1" t="s">
        <v>5514</v>
      </c>
      <c r="R630" s="2"/>
      <c r="S630" s="2"/>
      <c r="T630" s="2"/>
      <c r="U630" s="2"/>
    </row>
    <row x14ac:dyDescent="0.25" r="631" customHeight="1" ht="17.25">
      <c r="A631" s="7">
        <v>630</v>
      </c>
      <c r="B631" s="1" t="s">
        <v>6110</v>
      </c>
      <c r="C631" s="5">
        <f>CONCATENATE("PD", TEXT(A631, "1000000"))</f>
      </c>
      <c r="D631" s="7">
        <v>65</v>
      </c>
      <c r="E631" s="5">
        <f>XLOOKUP(G631, item_category!C:C, item_category!B:B, "Not Found")</f>
      </c>
      <c r="F631" s="1" t="s">
        <v>6008</v>
      </c>
      <c r="G631" s="5">
        <f>XLOOKUP(I631, drug!B:B, drug!A:A, "Not Found")</f>
      </c>
      <c r="H631" s="1" t="s">
        <v>2070</v>
      </c>
      <c r="I631" s="7">
        <v>1</v>
      </c>
      <c r="J631" s="5">
        <f>XLOOKUP(L631, uom!C:C, uom!B:B, "Not Found")</f>
      </c>
      <c r="K631" s="1" t="s">
        <v>5511</v>
      </c>
      <c r="L631" s="5">
        <f>XLOOKUP(N631, uom!C:C, uom!B:B, "Not Found")</f>
      </c>
      <c r="M631" s="1" t="s">
        <v>5511</v>
      </c>
      <c r="N631" s="8" t="s">
        <v>5512</v>
      </c>
      <c r="O631" s="1" t="s">
        <v>5513</v>
      </c>
      <c r="P631" s="5">
        <f>XLOOKUP(R631, classification!C:C, classification!B:B, "Not Found")</f>
      </c>
      <c r="Q631" s="1" t="s">
        <v>5514</v>
      </c>
      <c r="R631" s="2"/>
      <c r="S631" s="2"/>
      <c r="T631" s="2"/>
      <c r="U631" s="2"/>
    </row>
    <row x14ac:dyDescent="0.25" r="632" customHeight="1" ht="17.25">
      <c r="A632" s="7">
        <v>631</v>
      </c>
      <c r="B632" s="1" t="s">
        <v>6111</v>
      </c>
      <c r="C632" s="5">
        <f>CONCATENATE("PD", TEXT(A632, "1000000"))</f>
      </c>
      <c r="D632" s="7">
        <v>65</v>
      </c>
      <c r="E632" s="5">
        <f>XLOOKUP(G632, item_category!C:C, item_category!B:B, "Not Found")</f>
      </c>
      <c r="F632" s="1" t="s">
        <v>6008</v>
      </c>
      <c r="G632" s="5">
        <f>XLOOKUP(I632, drug!B:B, drug!A:A, "Not Found")</f>
      </c>
      <c r="H632" s="1" t="s">
        <v>233</v>
      </c>
      <c r="I632" s="7">
        <v>1</v>
      </c>
      <c r="J632" s="5">
        <f>XLOOKUP(L632, uom!C:C, uom!B:B, "Not Found")</f>
      </c>
      <c r="K632" s="1" t="s">
        <v>5511</v>
      </c>
      <c r="L632" s="5">
        <f>XLOOKUP(N632, uom!C:C, uom!B:B, "Not Found")</f>
      </c>
      <c r="M632" s="1" t="s">
        <v>5511</v>
      </c>
      <c r="N632" s="8" t="s">
        <v>5512</v>
      </c>
      <c r="O632" s="1" t="s">
        <v>5513</v>
      </c>
      <c r="P632" s="5">
        <f>XLOOKUP(R632, classification!C:C, classification!B:B, "Not Found")</f>
      </c>
      <c r="Q632" s="1" t="s">
        <v>5514</v>
      </c>
      <c r="R632" s="2"/>
      <c r="S632" s="2"/>
      <c r="T632" s="2"/>
      <c r="U632" s="2"/>
    </row>
    <row x14ac:dyDescent="0.25" r="633" customHeight="1" ht="17.25">
      <c r="A633" s="7">
        <v>632</v>
      </c>
      <c r="B633" s="1" t="s">
        <v>5653</v>
      </c>
      <c r="C633" s="5">
        <f>CONCATENATE("PD", TEXT(A633, "1000000"))</f>
      </c>
      <c r="D633" s="7">
        <v>65</v>
      </c>
      <c r="E633" s="5">
        <f>XLOOKUP(G633, item_category!C:C, item_category!B:B, "Not Found")</f>
      </c>
      <c r="F633" s="1" t="s">
        <v>6008</v>
      </c>
      <c r="G633" s="5">
        <f>XLOOKUP(I633, drug!B:B, drug!A:A, "Not Found")</f>
      </c>
      <c r="H633" s="1" t="s">
        <v>1384</v>
      </c>
      <c r="I633" s="7">
        <v>1</v>
      </c>
      <c r="J633" s="5">
        <f>XLOOKUP(L633, uom!C:C, uom!B:B, "Not Found")</f>
      </c>
      <c r="K633" s="1" t="s">
        <v>5511</v>
      </c>
      <c r="L633" s="5">
        <f>XLOOKUP(N633, uom!C:C, uom!B:B, "Not Found")</f>
      </c>
      <c r="M633" s="1" t="s">
        <v>5511</v>
      </c>
      <c r="N633" s="8" t="s">
        <v>5512</v>
      </c>
      <c r="O633" s="1" t="s">
        <v>5513</v>
      </c>
      <c r="P633" s="5">
        <f>XLOOKUP(R633, classification!C:C, classification!B:B, "Not Found")</f>
      </c>
      <c r="Q633" s="1" t="s">
        <v>5514</v>
      </c>
      <c r="R633" s="2"/>
      <c r="S633" s="2"/>
      <c r="T633" s="2"/>
      <c r="U633" s="2"/>
    </row>
    <row x14ac:dyDescent="0.25" r="634" customHeight="1" ht="17.25">
      <c r="A634" s="7">
        <v>633</v>
      </c>
      <c r="B634" s="1" t="s">
        <v>2072</v>
      </c>
      <c r="C634" s="5">
        <f>CONCATENATE("PD", TEXT(A634, "1000000"))</f>
      </c>
      <c r="D634" s="7">
        <v>65</v>
      </c>
      <c r="E634" s="5">
        <f>XLOOKUP(G634, item_category!C:C, item_category!B:B, "Not Found")</f>
      </c>
      <c r="F634" s="1" t="s">
        <v>6008</v>
      </c>
      <c r="G634" s="5">
        <f>XLOOKUP(I634, drug!B:B, drug!A:A, "Not Found")</f>
      </c>
      <c r="H634" s="1" t="s">
        <v>2072</v>
      </c>
      <c r="I634" s="7">
        <v>1</v>
      </c>
      <c r="J634" s="5">
        <f>XLOOKUP(L634, uom!C:C, uom!B:B, "Not Found")</f>
      </c>
      <c r="K634" s="1" t="s">
        <v>5511</v>
      </c>
      <c r="L634" s="5">
        <f>XLOOKUP(N634, uom!C:C, uom!B:B, "Not Found")</f>
      </c>
      <c r="M634" s="1" t="s">
        <v>5511</v>
      </c>
      <c r="N634" s="8" t="s">
        <v>5512</v>
      </c>
      <c r="O634" s="1" t="s">
        <v>5513</v>
      </c>
      <c r="P634" s="5">
        <f>XLOOKUP(R634, classification!C:C, classification!B:B, "Not Found")</f>
      </c>
      <c r="Q634" s="1" t="s">
        <v>5514</v>
      </c>
      <c r="R634" s="2"/>
      <c r="S634" s="2"/>
      <c r="T634" s="2"/>
      <c r="U634" s="2"/>
    </row>
    <row x14ac:dyDescent="0.25" r="635" customHeight="1" ht="17.25">
      <c r="A635" s="7">
        <v>634</v>
      </c>
      <c r="B635" s="1" t="s">
        <v>6112</v>
      </c>
      <c r="C635" s="5">
        <f>CONCATENATE("PD", TEXT(A635, "1000000"))</f>
      </c>
      <c r="D635" s="7">
        <v>79</v>
      </c>
      <c r="E635" s="5">
        <f>XLOOKUP(G635, item_category!C:C, item_category!B:B, "Not Found")</f>
      </c>
      <c r="F635" s="1" t="s">
        <v>6113</v>
      </c>
      <c r="G635" s="5">
        <f>XLOOKUP(I635, drug!B:B, drug!A:A, "Not Found")</f>
      </c>
      <c r="H635" s="1" t="s">
        <v>2074</v>
      </c>
      <c r="I635" s="7">
        <v>1</v>
      </c>
      <c r="J635" s="5">
        <f>XLOOKUP(L635, uom!C:C, uom!B:B, "Not Found")</f>
      </c>
      <c r="K635" s="1" t="s">
        <v>5511</v>
      </c>
      <c r="L635" s="5">
        <f>XLOOKUP(N635, uom!C:C, uom!B:B, "Not Found")</f>
      </c>
      <c r="M635" s="1" t="s">
        <v>5511</v>
      </c>
      <c r="N635" s="8" t="s">
        <v>5512</v>
      </c>
      <c r="O635" s="1" t="s">
        <v>5513</v>
      </c>
      <c r="P635" s="5">
        <f>XLOOKUP(R635, classification!C:C, classification!B:B, "Not Found")</f>
      </c>
      <c r="Q635" s="1" t="s">
        <v>5514</v>
      </c>
      <c r="R635" s="2"/>
      <c r="S635" s="2"/>
      <c r="T635" s="2"/>
      <c r="U635" s="2"/>
    </row>
    <row x14ac:dyDescent="0.25" r="636" customHeight="1" ht="17.25">
      <c r="A636" s="7">
        <v>635</v>
      </c>
      <c r="B636" s="1" t="s">
        <v>6114</v>
      </c>
      <c r="C636" s="5">
        <f>CONCATENATE("PD", TEXT(A636, "1000000"))</f>
      </c>
      <c r="D636" s="7">
        <v>79</v>
      </c>
      <c r="E636" s="5">
        <f>XLOOKUP(G636, item_category!C:C, item_category!B:B, "Not Found")</f>
      </c>
      <c r="F636" s="1" t="s">
        <v>6113</v>
      </c>
      <c r="G636" s="5">
        <f>XLOOKUP(I636, drug!B:B, drug!A:A, "Not Found")</f>
      </c>
      <c r="H636" s="1" t="s">
        <v>2076</v>
      </c>
      <c r="I636" s="7">
        <v>1</v>
      </c>
      <c r="J636" s="5">
        <f>XLOOKUP(L636, uom!C:C, uom!B:B, "Not Found")</f>
      </c>
      <c r="K636" s="1" t="s">
        <v>5511</v>
      </c>
      <c r="L636" s="5">
        <f>XLOOKUP(N636, uom!C:C, uom!B:B, "Not Found")</f>
      </c>
      <c r="M636" s="1" t="s">
        <v>5511</v>
      </c>
      <c r="N636" s="8" t="s">
        <v>5512</v>
      </c>
      <c r="O636" s="1" t="s">
        <v>5513</v>
      </c>
      <c r="P636" s="5">
        <f>XLOOKUP(R636, classification!C:C, classification!B:B, "Not Found")</f>
      </c>
      <c r="Q636" s="1" t="s">
        <v>5514</v>
      </c>
      <c r="R636" s="2"/>
      <c r="S636" s="2"/>
      <c r="T636" s="2"/>
      <c r="U636" s="2"/>
    </row>
    <row x14ac:dyDescent="0.25" r="637" customHeight="1" ht="17.25">
      <c r="A637" s="7">
        <v>636</v>
      </c>
      <c r="B637" s="1" t="s">
        <v>6115</v>
      </c>
      <c r="C637" s="5">
        <f>CONCATENATE("PD", TEXT(A637, "1000000"))</f>
      </c>
      <c r="D637" s="7">
        <v>79</v>
      </c>
      <c r="E637" s="5">
        <f>XLOOKUP(G637, item_category!C:C, item_category!B:B, "Not Found")</f>
      </c>
      <c r="F637" s="1" t="s">
        <v>6113</v>
      </c>
      <c r="G637" s="5">
        <f>XLOOKUP(I637, drug!B:B, drug!A:A, "Not Found")</f>
      </c>
      <c r="H637" s="1" t="s">
        <v>2078</v>
      </c>
      <c r="I637" s="7">
        <v>1</v>
      </c>
      <c r="J637" s="5">
        <f>XLOOKUP(L637, uom!C:C, uom!B:B, "Not Found")</f>
      </c>
      <c r="K637" s="1" t="s">
        <v>5511</v>
      </c>
      <c r="L637" s="5">
        <f>XLOOKUP(N637, uom!C:C, uom!B:B, "Not Found")</f>
      </c>
      <c r="M637" s="1" t="s">
        <v>5511</v>
      </c>
      <c r="N637" s="8" t="s">
        <v>5512</v>
      </c>
      <c r="O637" s="1" t="s">
        <v>5513</v>
      </c>
      <c r="P637" s="5">
        <f>XLOOKUP(R637, classification!C:C, classification!B:B, "Not Found")</f>
      </c>
      <c r="Q637" s="1" t="s">
        <v>5514</v>
      </c>
      <c r="R637" s="2"/>
      <c r="S637" s="2"/>
      <c r="T637" s="2"/>
      <c r="U637" s="2"/>
    </row>
    <row x14ac:dyDescent="0.25" r="638" customHeight="1" ht="17.25">
      <c r="A638" s="7">
        <v>637</v>
      </c>
      <c r="B638" s="1" t="s">
        <v>6116</v>
      </c>
      <c r="C638" s="5">
        <f>CONCATENATE("PD", TEXT(A638, "1000000"))</f>
      </c>
      <c r="D638" s="7">
        <v>79</v>
      </c>
      <c r="E638" s="5">
        <f>XLOOKUP(G638, item_category!C:C, item_category!B:B, "Not Found")</f>
      </c>
      <c r="F638" s="1" t="s">
        <v>6113</v>
      </c>
      <c r="G638" s="5">
        <f>XLOOKUP(I638, drug!B:B, drug!A:A, "Not Found")</f>
      </c>
      <c r="H638" s="1" t="s">
        <v>2080</v>
      </c>
      <c r="I638" s="7">
        <v>1</v>
      </c>
      <c r="J638" s="5">
        <f>XLOOKUP(L638, uom!C:C, uom!B:B, "Not Found")</f>
      </c>
      <c r="K638" s="1" t="s">
        <v>5511</v>
      </c>
      <c r="L638" s="5">
        <f>XLOOKUP(N638, uom!C:C, uom!B:B, "Not Found")</f>
      </c>
      <c r="M638" s="1" t="s">
        <v>5511</v>
      </c>
      <c r="N638" s="8" t="s">
        <v>5512</v>
      </c>
      <c r="O638" s="1" t="s">
        <v>5513</v>
      </c>
      <c r="P638" s="5">
        <f>XLOOKUP(R638, classification!C:C, classification!B:B, "Not Found")</f>
      </c>
      <c r="Q638" s="1" t="s">
        <v>5514</v>
      </c>
      <c r="R638" s="2"/>
      <c r="S638" s="2"/>
      <c r="T638" s="2"/>
      <c r="U638" s="2"/>
    </row>
    <row x14ac:dyDescent="0.25" r="639" customHeight="1" ht="17.25">
      <c r="A639" s="7">
        <v>638</v>
      </c>
      <c r="B639" s="1" t="s">
        <v>6117</v>
      </c>
      <c r="C639" s="5">
        <f>CONCATENATE("PD", TEXT(A639, "1000000"))</f>
      </c>
      <c r="D639" s="7">
        <v>79</v>
      </c>
      <c r="E639" s="5">
        <f>XLOOKUP(G639, item_category!C:C, item_category!B:B, "Not Found")</f>
      </c>
      <c r="F639" s="1" t="s">
        <v>6113</v>
      </c>
      <c r="G639" s="5">
        <f>XLOOKUP(I639, drug!B:B, drug!A:A, "Not Found")</f>
      </c>
      <c r="H639" s="1" t="s">
        <v>2080</v>
      </c>
      <c r="I639" s="7">
        <v>1</v>
      </c>
      <c r="J639" s="5">
        <f>XLOOKUP(L639, uom!C:C, uom!B:B, "Not Found")</f>
      </c>
      <c r="K639" s="1" t="s">
        <v>5511</v>
      </c>
      <c r="L639" s="5">
        <f>XLOOKUP(N639, uom!C:C, uom!B:B, "Not Found")</f>
      </c>
      <c r="M639" s="1" t="s">
        <v>5511</v>
      </c>
      <c r="N639" s="8" t="s">
        <v>5512</v>
      </c>
      <c r="O639" s="1" t="s">
        <v>5513</v>
      </c>
      <c r="P639" s="5">
        <f>XLOOKUP(R639, classification!C:C, classification!B:B, "Not Found")</f>
      </c>
      <c r="Q639" s="1" t="s">
        <v>5514</v>
      </c>
      <c r="R639" s="2"/>
      <c r="S639" s="2"/>
      <c r="T639" s="2"/>
      <c r="U639" s="2"/>
    </row>
    <row x14ac:dyDescent="0.25" r="640" customHeight="1" ht="17.25">
      <c r="A640" s="7">
        <v>639</v>
      </c>
      <c r="B640" s="1" t="s">
        <v>6118</v>
      </c>
      <c r="C640" s="5">
        <f>CONCATENATE("PD", TEXT(A640, "1000000"))</f>
      </c>
      <c r="D640" s="7">
        <v>79</v>
      </c>
      <c r="E640" s="5">
        <f>XLOOKUP(G640, item_category!C:C, item_category!B:B, "Not Found")</f>
      </c>
      <c r="F640" s="1" t="s">
        <v>6113</v>
      </c>
      <c r="G640" s="5">
        <f>XLOOKUP(I640, drug!B:B, drug!A:A, "Not Found")</f>
      </c>
      <c r="H640" s="1" t="s">
        <v>2082</v>
      </c>
      <c r="I640" s="7">
        <v>1</v>
      </c>
      <c r="J640" s="5">
        <f>XLOOKUP(L640, uom!C:C, uom!B:B, "Not Found")</f>
      </c>
      <c r="K640" s="1" t="s">
        <v>5511</v>
      </c>
      <c r="L640" s="5">
        <f>XLOOKUP(N640, uom!C:C, uom!B:B, "Not Found")</f>
      </c>
      <c r="M640" s="1" t="s">
        <v>5511</v>
      </c>
      <c r="N640" s="8" t="s">
        <v>5512</v>
      </c>
      <c r="O640" s="1" t="s">
        <v>5513</v>
      </c>
      <c r="P640" s="5">
        <f>XLOOKUP(R640, classification!C:C, classification!B:B, "Not Found")</f>
      </c>
      <c r="Q640" s="1" t="s">
        <v>5514</v>
      </c>
      <c r="R640" s="2"/>
      <c r="S640" s="2"/>
      <c r="T640" s="2"/>
      <c r="U640" s="2"/>
    </row>
    <row x14ac:dyDescent="0.25" r="641" customHeight="1" ht="17.25">
      <c r="A641" s="7">
        <v>640</v>
      </c>
      <c r="B641" s="1" t="s">
        <v>6119</v>
      </c>
      <c r="C641" s="5">
        <f>CONCATENATE("PD", TEXT(A641, "1000000"))</f>
      </c>
      <c r="D641" s="7">
        <v>79</v>
      </c>
      <c r="E641" s="5">
        <f>XLOOKUP(G641, item_category!C:C, item_category!B:B, "Not Found")</f>
      </c>
      <c r="F641" s="1" t="s">
        <v>6113</v>
      </c>
      <c r="G641" s="5">
        <f>XLOOKUP(I641, drug!B:B, drug!A:A, "Not Found")</f>
      </c>
      <c r="H641" s="1" t="s">
        <v>2084</v>
      </c>
      <c r="I641" s="7">
        <v>1</v>
      </c>
      <c r="J641" s="5">
        <f>XLOOKUP(L641, uom!C:C, uom!B:B, "Not Found")</f>
      </c>
      <c r="K641" s="1" t="s">
        <v>5511</v>
      </c>
      <c r="L641" s="5">
        <f>XLOOKUP(N641, uom!C:C, uom!B:B, "Not Found")</f>
      </c>
      <c r="M641" s="1" t="s">
        <v>5511</v>
      </c>
      <c r="N641" s="8" t="s">
        <v>5512</v>
      </c>
      <c r="O641" s="1" t="s">
        <v>5513</v>
      </c>
      <c r="P641" s="5">
        <f>XLOOKUP(R641, classification!C:C, classification!B:B, "Not Found")</f>
      </c>
      <c r="Q641" s="1" t="s">
        <v>5514</v>
      </c>
      <c r="R641" s="2"/>
      <c r="S641" s="2"/>
      <c r="T641" s="2"/>
      <c r="U641" s="2"/>
    </row>
    <row x14ac:dyDescent="0.25" r="642" customHeight="1" ht="17.25">
      <c r="A642" s="7">
        <v>641</v>
      </c>
      <c r="B642" s="1" t="s">
        <v>6120</v>
      </c>
      <c r="C642" s="5">
        <f>CONCATENATE("PD", TEXT(A642, "1000000"))</f>
      </c>
      <c r="D642" s="7">
        <v>79</v>
      </c>
      <c r="E642" s="5">
        <f>XLOOKUP(G642, item_category!C:C, item_category!B:B, "Not Found")</f>
      </c>
      <c r="F642" s="1" t="s">
        <v>6113</v>
      </c>
      <c r="G642" s="5">
        <f>XLOOKUP(I642, drug!B:B, drug!A:A, "Not Found")</f>
      </c>
      <c r="H642" s="1" t="s">
        <v>1552</v>
      </c>
      <c r="I642" s="7">
        <v>1</v>
      </c>
      <c r="J642" s="5">
        <f>XLOOKUP(L642, uom!C:C, uom!B:B, "Not Found")</f>
      </c>
      <c r="K642" s="1" t="s">
        <v>5511</v>
      </c>
      <c r="L642" s="5">
        <f>XLOOKUP(N642, uom!C:C, uom!B:B, "Not Found")</f>
      </c>
      <c r="M642" s="1" t="s">
        <v>5511</v>
      </c>
      <c r="N642" s="8" t="s">
        <v>5512</v>
      </c>
      <c r="O642" s="1" t="s">
        <v>5513</v>
      </c>
      <c r="P642" s="5">
        <f>XLOOKUP(R642, classification!C:C, classification!B:B, "Not Found")</f>
      </c>
      <c r="Q642" s="1" t="s">
        <v>5514</v>
      </c>
      <c r="R642" s="2"/>
      <c r="S642" s="2"/>
      <c r="T642" s="2"/>
      <c r="U642" s="2"/>
    </row>
    <row x14ac:dyDescent="0.25" r="643" customHeight="1" ht="17.25">
      <c r="A643" s="7">
        <v>642</v>
      </c>
      <c r="B643" s="1" t="s">
        <v>6121</v>
      </c>
      <c r="C643" s="5">
        <f>CONCATENATE("PD", TEXT(A643, "1000000"))</f>
      </c>
      <c r="D643" s="7">
        <v>79</v>
      </c>
      <c r="E643" s="5">
        <f>XLOOKUP(G643, item_category!C:C, item_category!B:B, "Not Found")</f>
      </c>
      <c r="F643" s="1" t="s">
        <v>6113</v>
      </c>
      <c r="G643" s="5">
        <f>XLOOKUP(I643, drug!B:B, drug!A:A, "Not Found")</f>
      </c>
      <c r="H643" s="1" t="s">
        <v>2086</v>
      </c>
      <c r="I643" s="7">
        <v>1</v>
      </c>
      <c r="J643" s="5">
        <f>XLOOKUP(L643, uom!C:C, uom!B:B, "Not Found")</f>
      </c>
      <c r="K643" s="1" t="s">
        <v>5511</v>
      </c>
      <c r="L643" s="5">
        <f>XLOOKUP(N643, uom!C:C, uom!B:B, "Not Found")</f>
      </c>
      <c r="M643" s="1" t="s">
        <v>5511</v>
      </c>
      <c r="N643" s="8" t="s">
        <v>5512</v>
      </c>
      <c r="O643" s="1" t="s">
        <v>5513</v>
      </c>
      <c r="P643" s="5">
        <f>XLOOKUP(R643, classification!C:C, classification!B:B, "Not Found")</f>
      </c>
      <c r="Q643" s="1" t="s">
        <v>5514</v>
      </c>
      <c r="R643" s="2"/>
      <c r="S643" s="2"/>
      <c r="T643" s="2"/>
      <c r="U643" s="2"/>
    </row>
    <row x14ac:dyDescent="0.25" r="644" customHeight="1" ht="17.25">
      <c r="A644" s="7">
        <v>643</v>
      </c>
      <c r="B644" s="1" t="s">
        <v>6122</v>
      </c>
      <c r="C644" s="5">
        <f>CONCATENATE("PD", TEXT(A644, "1000000"))</f>
      </c>
      <c r="D644" s="7">
        <v>1</v>
      </c>
      <c r="E644" s="5">
        <f>XLOOKUP(G644, item_category!C:C, item_category!B:B, "Not Found")</f>
      </c>
      <c r="F644" s="1" t="s">
        <v>5514</v>
      </c>
      <c r="G644" s="5">
        <f>XLOOKUP(I644, drug!B:B, drug!A:A, "Not Found")</f>
      </c>
      <c r="H644" s="1" t="s">
        <v>1942</v>
      </c>
      <c r="I644" s="7">
        <v>200</v>
      </c>
      <c r="J644" s="5">
        <f>XLOOKUP(L644, uom!C:C, uom!B:B, "Not Found")</f>
      </c>
      <c r="K644" s="1" t="s">
        <v>5544</v>
      </c>
      <c r="L644" s="5">
        <f>XLOOKUP(N644, uom!C:C, uom!B:B, "Not Found")</f>
      </c>
      <c r="M644" s="1" t="s">
        <v>5544</v>
      </c>
      <c r="N644" s="8" t="s">
        <v>5524</v>
      </c>
      <c r="O644" s="1" t="s">
        <v>5525</v>
      </c>
      <c r="P644" s="5">
        <f>XLOOKUP(R644, classification!C:C, classification!B:B, "Not Found")</f>
      </c>
      <c r="Q644" s="1" t="s">
        <v>5514</v>
      </c>
      <c r="R644" s="2"/>
      <c r="S644" s="2"/>
      <c r="T644" s="2"/>
      <c r="U644" s="2"/>
    </row>
    <row x14ac:dyDescent="0.25" r="645" customHeight="1" ht="17.25">
      <c r="A645" s="7">
        <v>644</v>
      </c>
      <c r="B645" s="1" t="s">
        <v>6123</v>
      </c>
      <c r="C645" s="5">
        <f>CONCATENATE("PD", TEXT(A645, "1000000"))</f>
      </c>
      <c r="D645" s="7">
        <v>69</v>
      </c>
      <c r="E645" s="5">
        <f>XLOOKUP(G645, item_category!C:C, item_category!B:B, "Not Found")</f>
      </c>
      <c r="F645" s="1" t="s">
        <v>6124</v>
      </c>
      <c r="G645" s="5">
        <f>XLOOKUP(I645, drug!B:B, drug!A:A, "Not Found")</f>
      </c>
      <c r="H645" s="1" t="s">
        <v>1228</v>
      </c>
      <c r="I645" s="7">
        <v>1</v>
      </c>
      <c r="J645" s="5">
        <f>XLOOKUP(L645, uom!C:C, uom!B:B, "Not Found")</f>
      </c>
      <c r="K645" s="1" t="s">
        <v>5511</v>
      </c>
      <c r="L645" s="5">
        <f>XLOOKUP(N645, uom!C:C, uom!B:B, "Not Found")</f>
      </c>
      <c r="M645" s="1" t="s">
        <v>5511</v>
      </c>
      <c r="N645" s="8" t="s">
        <v>5512</v>
      </c>
      <c r="O645" s="1" t="s">
        <v>5513</v>
      </c>
      <c r="P645" s="5">
        <f>XLOOKUP(R645, classification!C:C, classification!B:B, "Not Found")</f>
      </c>
      <c r="Q645" s="1" t="s">
        <v>5514</v>
      </c>
      <c r="R645" s="2"/>
      <c r="S645" s="2"/>
      <c r="T645" s="2"/>
      <c r="U645" s="2"/>
    </row>
    <row x14ac:dyDescent="0.25" r="646" customHeight="1" ht="17.25">
      <c r="A646" s="7">
        <v>645</v>
      </c>
      <c r="B646" s="1" t="s">
        <v>6125</v>
      </c>
      <c r="C646" s="5">
        <f>CONCATENATE("PD", TEXT(A646, "1000000"))</f>
      </c>
      <c r="D646" s="7">
        <v>69</v>
      </c>
      <c r="E646" s="5">
        <f>XLOOKUP(G646, item_category!C:C, item_category!B:B, "Not Found")</f>
      </c>
      <c r="F646" s="1" t="s">
        <v>6124</v>
      </c>
      <c r="G646" s="5">
        <f>XLOOKUP(I646, drug!B:B, drug!A:A, "Not Found")</f>
      </c>
      <c r="H646" s="1" t="s">
        <v>2088</v>
      </c>
      <c r="I646" s="7">
        <v>1</v>
      </c>
      <c r="J646" s="5">
        <f>XLOOKUP(L646, uom!C:C, uom!B:B, "Not Found")</f>
      </c>
      <c r="K646" s="1" t="s">
        <v>5511</v>
      </c>
      <c r="L646" s="5">
        <f>XLOOKUP(N646, uom!C:C, uom!B:B, "Not Found")</f>
      </c>
      <c r="M646" s="1" t="s">
        <v>5511</v>
      </c>
      <c r="N646" s="8" t="s">
        <v>5512</v>
      </c>
      <c r="O646" s="1" t="s">
        <v>5513</v>
      </c>
      <c r="P646" s="5">
        <f>XLOOKUP(R646, classification!C:C, classification!B:B, "Not Found")</f>
      </c>
      <c r="Q646" s="1" t="s">
        <v>5514</v>
      </c>
      <c r="R646" s="2"/>
      <c r="S646" s="2"/>
      <c r="T646" s="2"/>
      <c r="U646" s="2"/>
    </row>
    <row x14ac:dyDescent="0.25" r="647" customHeight="1" ht="17.25">
      <c r="A647" s="7">
        <v>646</v>
      </c>
      <c r="B647" s="1" t="s">
        <v>6126</v>
      </c>
      <c r="C647" s="5">
        <f>CONCATENATE("PD", TEXT(A647, "1000000"))</f>
      </c>
      <c r="D647" s="7">
        <v>69</v>
      </c>
      <c r="E647" s="5">
        <f>XLOOKUP(G647, item_category!C:C, item_category!B:B, "Not Found")</f>
      </c>
      <c r="F647" s="1" t="s">
        <v>6124</v>
      </c>
      <c r="G647" s="5">
        <f>XLOOKUP(I647, drug!B:B, drug!A:A, "Not Found")</f>
      </c>
      <c r="H647" s="1" t="s">
        <v>2090</v>
      </c>
      <c r="I647" s="7">
        <v>1</v>
      </c>
      <c r="J647" s="5">
        <f>XLOOKUP(L647, uom!C:C, uom!B:B, "Not Found")</f>
      </c>
      <c r="K647" s="1" t="s">
        <v>5511</v>
      </c>
      <c r="L647" s="5">
        <f>XLOOKUP(N647, uom!C:C, uom!B:B, "Not Found")</f>
      </c>
      <c r="M647" s="1" t="s">
        <v>5511</v>
      </c>
      <c r="N647" s="8" t="s">
        <v>5512</v>
      </c>
      <c r="O647" s="1" t="s">
        <v>5513</v>
      </c>
      <c r="P647" s="5">
        <f>XLOOKUP(R647, classification!C:C, classification!B:B, "Not Found")</f>
      </c>
      <c r="Q647" s="1" t="s">
        <v>5514</v>
      </c>
      <c r="R647" s="2"/>
      <c r="S647" s="2"/>
      <c r="T647" s="2"/>
      <c r="U647" s="2"/>
    </row>
    <row x14ac:dyDescent="0.25" r="648" customHeight="1" ht="17.25">
      <c r="A648" s="7">
        <v>647</v>
      </c>
      <c r="B648" s="1" t="s">
        <v>6127</v>
      </c>
      <c r="C648" s="5">
        <f>CONCATENATE("PD", TEXT(A648, "1000000"))</f>
      </c>
      <c r="D648" s="7">
        <v>69</v>
      </c>
      <c r="E648" s="5">
        <f>XLOOKUP(G648, item_category!C:C, item_category!B:B, "Not Found")</f>
      </c>
      <c r="F648" s="1" t="s">
        <v>6124</v>
      </c>
      <c r="G648" s="5">
        <f>XLOOKUP(I648, drug!B:B, drug!A:A, "Not Found")</f>
      </c>
      <c r="H648" s="1" t="s">
        <v>2092</v>
      </c>
      <c r="I648" s="7">
        <v>1</v>
      </c>
      <c r="J648" s="5">
        <f>XLOOKUP(L648, uom!C:C, uom!B:B, "Not Found")</f>
      </c>
      <c r="K648" s="1" t="s">
        <v>5511</v>
      </c>
      <c r="L648" s="5">
        <f>XLOOKUP(N648, uom!C:C, uom!B:B, "Not Found")</f>
      </c>
      <c r="M648" s="1" t="s">
        <v>5511</v>
      </c>
      <c r="N648" s="8" t="s">
        <v>5512</v>
      </c>
      <c r="O648" s="1" t="s">
        <v>5513</v>
      </c>
      <c r="P648" s="5">
        <f>XLOOKUP(R648, classification!C:C, classification!B:B, "Not Found")</f>
      </c>
      <c r="Q648" s="1" t="s">
        <v>5514</v>
      </c>
      <c r="R648" s="2"/>
      <c r="S648" s="2"/>
      <c r="T648" s="2"/>
      <c r="U648" s="2"/>
    </row>
    <row x14ac:dyDescent="0.25" r="649" customHeight="1" ht="17.25">
      <c r="A649" s="7">
        <v>648</v>
      </c>
      <c r="B649" s="1" t="s">
        <v>6128</v>
      </c>
      <c r="C649" s="5">
        <f>CONCATENATE("PD", TEXT(A649, "1000000"))</f>
      </c>
      <c r="D649" s="7">
        <v>67</v>
      </c>
      <c r="E649" s="5">
        <f>XLOOKUP(G649, item_category!C:C, item_category!B:B, "Not Found")</f>
      </c>
      <c r="F649" s="1" t="s">
        <v>5516</v>
      </c>
      <c r="G649" s="5">
        <f>XLOOKUP(I649, drug!B:B, drug!A:A, "Not Found")</f>
      </c>
      <c r="H649" s="1" t="s">
        <v>1394</v>
      </c>
      <c r="I649" s="7">
        <v>1</v>
      </c>
      <c r="J649" s="5">
        <f>XLOOKUP(L649, uom!C:C, uom!B:B, "Not Found")</f>
      </c>
      <c r="K649" s="1" t="s">
        <v>5511</v>
      </c>
      <c r="L649" s="5">
        <f>XLOOKUP(N649, uom!C:C, uom!B:B, "Not Found")</f>
      </c>
      <c r="M649" s="1" t="s">
        <v>5511</v>
      </c>
      <c r="N649" s="8" t="s">
        <v>5512</v>
      </c>
      <c r="O649" s="1" t="s">
        <v>5513</v>
      </c>
      <c r="P649" s="5">
        <f>XLOOKUP(R649, classification!C:C, classification!B:B, "Not Found")</f>
      </c>
      <c r="Q649" s="1" t="s">
        <v>5514</v>
      </c>
      <c r="R649" s="2"/>
      <c r="S649" s="2"/>
      <c r="T649" s="2"/>
      <c r="U649" s="2"/>
    </row>
    <row x14ac:dyDescent="0.25" r="650" customHeight="1" ht="17.25">
      <c r="A650" s="7">
        <v>649</v>
      </c>
      <c r="B650" s="1" t="s">
        <v>6129</v>
      </c>
      <c r="C650" s="5">
        <f>CONCATENATE("PD", TEXT(A650, "1000000"))</f>
      </c>
      <c r="D650" s="7">
        <v>67</v>
      </c>
      <c r="E650" s="5">
        <f>XLOOKUP(G650, item_category!C:C, item_category!B:B, "Not Found")</f>
      </c>
      <c r="F650" s="1" t="s">
        <v>5516</v>
      </c>
      <c r="G650" s="5">
        <f>XLOOKUP(I650, drug!B:B, drug!A:A, "Not Found")</f>
      </c>
      <c r="H650" s="1" t="s">
        <v>2094</v>
      </c>
      <c r="I650" s="7">
        <v>1</v>
      </c>
      <c r="J650" s="5">
        <f>XLOOKUP(L650, uom!C:C, uom!B:B, "Not Found")</f>
      </c>
      <c r="K650" s="1" t="s">
        <v>5511</v>
      </c>
      <c r="L650" s="5">
        <f>XLOOKUP(N650, uom!C:C, uom!B:B, "Not Found")</f>
      </c>
      <c r="M650" s="1" t="s">
        <v>5511</v>
      </c>
      <c r="N650" s="8" t="s">
        <v>5512</v>
      </c>
      <c r="O650" s="1" t="s">
        <v>5513</v>
      </c>
      <c r="P650" s="5">
        <f>XLOOKUP(R650, classification!C:C, classification!B:B, "Not Found")</f>
      </c>
      <c r="Q650" s="1" t="s">
        <v>5514</v>
      </c>
      <c r="R650" s="2"/>
      <c r="S650" s="2"/>
      <c r="T650" s="2"/>
      <c r="U650" s="2"/>
    </row>
    <row x14ac:dyDescent="0.25" r="651" customHeight="1" ht="17.25">
      <c r="A651" s="7">
        <v>650</v>
      </c>
      <c r="B651" s="1" t="s">
        <v>6130</v>
      </c>
      <c r="C651" s="5">
        <f>CONCATENATE("PD", TEXT(A651, "1000000"))</f>
      </c>
      <c r="D651" s="7">
        <v>67</v>
      </c>
      <c r="E651" s="5">
        <f>XLOOKUP(G651, item_category!C:C, item_category!B:B, "Not Found")</f>
      </c>
      <c r="F651" s="1" t="s">
        <v>5516</v>
      </c>
      <c r="G651" s="5">
        <f>XLOOKUP(I651, drug!B:B, drug!A:A, "Not Found")</f>
      </c>
      <c r="H651" s="1" t="s">
        <v>2096</v>
      </c>
      <c r="I651" s="7">
        <v>1</v>
      </c>
      <c r="J651" s="5">
        <f>XLOOKUP(L651, uom!C:C, uom!B:B, "Not Found")</f>
      </c>
      <c r="K651" s="1" t="s">
        <v>5511</v>
      </c>
      <c r="L651" s="5">
        <f>XLOOKUP(N651, uom!C:C, uom!B:B, "Not Found")</f>
      </c>
      <c r="M651" s="1" t="s">
        <v>5511</v>
      </c>
      <c r="N651" s="8" t="s">
        <v>5512</v>
      </c>
      <c r="O651" s="1" t="s">
        <v>5513</v>
      </c>
      <c r="P651" s="5">
        <f>XLOOKUP(R651, classification!C:C, classification!B:B, "Not Found")</f>
      </c>
      <c r="Q651" s="1" t="s">
        <v>5514</v>
      </c>
      <c r="R651" s="2"/>
      <c r="S651" s="2"/>
      <c r="T651" s="2"/>
      <c r="U651" s="2"/>
    </row>
    <row x14ac:dyDescent="0.25" r="652" customHeight="1" ht="17.25">
      <c r="A652" s="7">
        <v>651</v>
      </c>
      <c r="B652" s="1" t="s">
        <v>2098</v>
      </c>
      <c r="C652" s="5">
        <f>CONCATENATE("PD", TEXT(A652, "1000000"))</f>
      </c>
      <c r="D652" s="7">
        <v>67</v>
      </c>
      <c r="E652" s="5">
        <f>XLOOKUP(G652, item_category!C:C, item_category!B:B, "Not Found")</f>
      </c>
      <c r="F652" s="1" t="s">
        <v>5516</v>
      </c>
      <c r="G652" s="5">
        <f>XLOOKUP(I652, drug!B:B, drug!A:A, "Not Found")</f>
      </c>
      <c r="H652" s="1" t="s">
        <v>2098</v>
      </c>
      <c r="I652" s="7">
        <v>1</v>
      </c>
      <c r="J652" s="5">
        <f>XLOOKUP(L652, uom!C:C, uom!B:B, "Not Found")</f>
      </c>
      <c r="K652" s="1" t="s">
        <v>5511</v>
      </c>
      <c r="L652" s="5">
        <f>XLOOKUP(N652, uom!C:C, uom!B:B, "Not Found")</f>
      </c>
      <c r="M652" s="1" t="s">
        <v>5511</v>
      </c>
      <c r="N652" s="8" t="s">
        <v>5512</v>
      </c>
      <c r="O652" s="1" t="s">
        <v>5513</v>
      </c>
      <c r="P652" s="5">
        <f>XLOOKUP(R652, classification!C:C, classification!B:B, "Not Found")</f>
      </c>
      <c r="Q652" s="1" t="s">
        <v>5514</v>
      </c>
      <c r="R652" s="2"/>
      <c r="S652" s="2"/>
      <c r="T652" s="2"/>
      <c r="U652" s="2"/>
    </row>
    <row x14ac:dyDescent="0.25" r="653" customHeight="1" ht="17.25">
      <c r="A653" s="7">
        <v>652</v>
      </c>
      <c r="B653" s="1" t="s">
        <v>6131</v>
      </c>
      <c r="C653" s="5">
        <f>CONCATENATE("PD", TEXT(A653, "1000000"))</f>
      </c>
      <c r="D653" s="7">
        <v>67</v>
      </c>
      <c r="E653" s="5">
        <f>XLOOKUP(G653, item_category!C:C, item_category!B:B, "Not Found")</f>
      </c>
      <c r="F653" s="1" t="s">
        <v>5516</v>
      </c>
      <c r="G653" s="5">
        <f>XLOOKUP(I653, drug!B:B, drug!A:A, "Not Found")</f>
      </c>
      <c r="H653" s="1" t="s">
        <v>2100</v>
      </c>
      <c r="I653" s="7">
        <v>1</v>
      </c>
      <c r="J653" s="5">
        <f>XLOOKUP(L653, uom!C:C, uom!B:B, "Not Found")</f>
      </c>
      <c r="K653" s="1" t="s">
        <v>5511</v>
      </c>
      <c r="L653" s="5">
        <f>XLOOKUP(N653, uom!C:C, uom!B:B, "Not Found")</f>
      </c>
      <c r="M653" s="1" t="s">
        <v>5511</v>
      </c>
      <c r="N653" s="8" t="s">
        <v>5512</v>
      </c>
      <c r="O653" s="1" t="s">
        <v>5513</v>
      </c>
      <c r="P653" s="5">
        <f>XLOOKUP(R653, classification!C:C, classification!B:B, "Not Found")</f>
      </c>
      <c r="Q653" s="1" t="s">
        <v>5514</v>
      </c>
      <c r="R653" s="2"/>
      <c r="S653" s="2"/>
      <c r="T653" s="2"/>
      <c r="U653" s="2"/>
    </row>
    <row x14ac:dyDescent="0.25" r="654" customHeight="1" ht="17.25">
      <c r="A654" s="7">
        <v>653</v>
      </c>
      <c r="B654" s="1" t="s">
        <v>6132</v>
      </c>
      <c r="C654" s="5">
        <f>CONCATENATE("PD", TEXT(A654, "1000000"))</f>
      </c>
      <c r="D654" s="7">
        <v>67</v>
      </c>
      <c r="E654" s="5">
        <f>XLOOKUP(G654, item_category!C:C, item_category!B:B, "Not Found")</f>
      </c>
      <c r="F654" s="1" t="s">
        <v>5516</v>
      </c>
      <c r="G654" s="5">
        <f>XLOOKUP(I654, drug!B:B, drug!A:A, "Not Found")</f>
      </c>
      <c r="H654" s="1" t="s">
        <v>2102</v>
      </c>
      <c r="I654" s="7">
        <v>1</v>
      </c>
      <c r="J654" s="5">
        <f>XLOOKUP(L654, uom!C:C, uom!B:B, "Not Found")</f>
      </c>
      <c r="K654" s="1" t="s">
        <v>5511</v>
      </c>
      <c r="L654" s="5">
        <f>XLOOKUP(N654, uom!C:C, uom!B:B, "Not Found")</f>
      </c>
      <c r="M654" s="1" t="s">
        <v>5511</v>
      </c>
      <c r="N654" s="8" t="s">
        <v>5512</v>
      </c>
      <c r="O654" s="1" t="s">
        <v>5513</v>
      </c>
      <c r="P654" s="5">
        <f>XLOOKUP(R654, classification!C:C, classification!B:B, "Not Found")</f>
      </c>
      <c r="Q654" s="1" t="s">
        <v>5514</v>
      </c>
      <c r="R654" s="2"/>
      <c r="S654" s="2"/>
      <c r="T654" s="2"/>
      <c r="U654" s="2"/>
    </row>
    <row x14ac:dyDescent="0.25" r="655" customHeight="1" ht="17.25">
      <c r="A655" s="7">
        <v>654</v>
      </c>
      <c r="B655" s="1" t="s">
        <v>6133</v>
      </c>
      <c r="C655" s="5">
        <f>CONCATENATE("PD", TEXT(A655, "1000000"))</f>
      </c>
      <c r="D655" s="7">
        <v>67</v>
      </c>
      <c r="E655" s="5">
        <f>XLOOKUP(G655, item_category!C:C, item_category!B:B, "Not Found")</f>
      </c>
      <c r="F655" s="1" t="s">
        <v>5516</v>
      </c>
      <c r="G655" s="5">
        <f>XLOOKUP(I655, drug!B:B, drug!A:A, "Not Found")</f>
      </c>
      <c r="H655" s="1" t="s">
        <v>2104</v>
      </c>
      <c r="I655" s="7">
        <v>1</v>
      </c>
      <c r="J655" s="5">
        <f>XLOOKUP(L655, uom!C:C, uom!B:B, "Not Found")</f>
      </c>
      <c r="K655" s="1" t="s">
        <v>5511</v>
      </c>
      <c r="L655" s="5">
        <f>XLOOKUP(N655, uom!C:C, uom!B:B, "Not Found")</f>
      </c>
      <c r="M655" s="1" t="s">
        <v>5511</v>
      </c>
      <c r="N655" s="8" t="s">
        <v>5512</v>
      </c>
      <c r="O655" s="1" t="s">
        <v>5513</v>
      </c>
      <c r="P655" s="5">
        <f>XLOOKUP(R655, classification!C:C, classification!B:B, "Not Found")</f>
      </c>
      <c r="Q655" s="1" t="s">
        <v>5514</v>
      </c>
      <c r="R655" s="2"/>
      <c r="S655" s="2"/>
      <c r="T655" s="2"/>
      <c r="U655" s="2"/>
    </row>
    <row x14ac:dyDescent="0.25" r="656" customHeight="1" ht="17.25">
      <c r="A656" s="7">
        <v>655</v>
      </c>
      <c r="B656" s="1" t="s">
        <v>6134</v>
      </c>
      <c r="C656" s="5">
        <f>CONCATENATE("PD", TEXT(A656, "1000000"))</f>
      </c>
      <c r="D656" s="7">
        <v>67</v>
      </c>
      <c r="E656" s="5">
        <f>XLOOKUP(G656, item_category!C:C, item_category!B:B, "Not Found")</f>
      </c>
      <c r="F656" s="1" t="s">
        <v>5516</v>
      </c>
      <c r="G656" s="5">
        <f>XLOOKUP(I656, drug!B:B, drug!A:A, "Not Found")</f>
      </c>
      <c r="H656" s="1" t="s">
        <v>2106</v>
      </c>
      <c r="I656" s="7">
        <v>1</v>
      </c>
      <c r="J656" s="5">
        <f>XLOOKUP(L656, uom!C:C, uom!B:B, "Not Found")</f>
      </c>
      <c r="K656" s="1" t="s">
        <v>5511</v>
      </c>
      <c r="L656" s="5">
        <f>XLOOKUP(N656, uom!C:C, uom!B:B, "Not Found")</f>
      </c>
      <c r="M656" s="1" t="s">
        <v>5511</v>
      </c>
      <c r="N656" s="8" t="s">
        <v>5512</v>
      </c>
      <c r="O656" s="1" t="s">
        <v>5513</v>
      </c>
      <c r="P656" s="5">
        <f>XLOOKUP(R656, classification!C:C, classification!B:B, "Not Found")</f>
      </c>
      <c r="Q656" s="1" t="s">
        <v>5514</v>
      </c>
      <c r="R656" s="2"/>
      <c r="S656" s="2"/>
      <c r="T656" s="2"/>
      <c r="U656" s="2"/>
    </row>
    <row x14ac:dyDescent="0.25" r="657" customHeight="1" ht="17.25">
      <c r="A657" s="7">
        <v>656</v>
      </c>
      <c r="B657" s="1" t="s">
        <v>2108</v>
      </c>
      <c r="C657" s="5">
        <f>CONCATENATE("PD", TEXT(A657, "1000000"))</f>
      </c>
      <c r="D657" s="7">
        <v>67</v>
      </c>
      <c r="E657" s="5">
        <f>XLOOKUP(G657, item_category!C:C, item_category!B:B, "Not Found")</f>
      </c>
      <c r="F657" s="1" t="s">
        <v>5516</v>
      </c>
      <c r="G657" s="5">
        <f>XLOOKUP(I657, drug!B:B, drug!A:A, "Not Found")</f>
      </c>
      <c r="H657" s="1" t="s">
        <v>2108</v>
      </c>
      <c r="I657" s="7">
        <v>1</v>
      </c>
      <c r="J657" s="5">
        <f>XLOOKUP(L657, uom!C:C, uom!B:B, "Not Found")</f>
      </c>
      <c r="K657" s="1" t="s">
        <v>5511</v>
      </c>
      <c r="L657" s="5">
        <f>XLOOKUP(N657, uom!C:C, uom!B:B, "Not Found")</f>
      </c>
      <c r="M657" s="1" t="s">
        <v>5511</v>
      </c>
      <c r="N657" s="8" t="s">
        <v>5512</v>
      </c>
      <c r="O657" s="1" t="s">
        <v>5513</v>
      </c>
      <c r="P657" s="5">
        <f>XLOOKUP(R657, classification!C:C, classification!B:B, "Not Found")</f>
      </c>
      <c r="Q657" s="1" t="s">
        <v>5514</v>
      </c>
      <c r="R657" s="2"/>
      <c r="S657" s="2"/>
      <c r="T657" s="2"/>
      <c r="U657" s="2"/>
    </row>
    <row x14ac:dyDescent="0.25" r="658" customHeight="1" ht="17.25">
      <c r="A658" s="7">
        <v>657</v>
      </c>
      <c r="B658" s="1" t="s">
        <v>6135</v>
      </c>
      <c r="C658" s="5">
        <f>CONCATENATE("PD", TEXT(A658, "1000000"))</f>
      </c>
      <c r="D658" s="7">
        <v>67</v>
      </c>
      <c r="E658" s="5">
        <f>XLOOKUP(G658, item_category!C:C, item_category!B:B, "Not Found")</f>
      </c>
      <c r="F658" s="1" t="s">
        <v>5516</v>
      </c>
      <c r="G658" s="5">
        <f>XLOOKUP(I658, drug!B:B, drug!A:A, "Not Found")</f>
      </c>
      <c r="H658" s="1" t="s">
        <v>2110</v>
      </c>
      <c r="I658" s="7">
        <v>1</v>
      </c>
      <c r="J658" s="5">
        <f>XLOOKUP(L658, uom!C:C, uom!B:B, "Not Found")</f>
      </c>
      <c r="K658" s="1" t="s">
        <v>5511</v>
      </c>
      <c r="L658" s="5">
        <f>XLOOKUP(N658, uom!C:C, uom!B:B, "Not Found")</f>
      </c>
      <c r="M658" s="1" t="s">
        <v>5511</v>
      </c>
      <c r="N658" s="8" t="s">
        <v>5512</v>
      </c>
      <c r="O658" s="1" t="s">
        <v>5513</v>
      </c>
      <c r="P658" s="5">
        <f>XLOOKUP(R658, classification!C:C, classification!B:B, "Not Found")</f>
      </c>
      <c r="Q658" s="1" t="s">
        <v>5514</v>
      </c>
      <c r="R658" s="2"/>
      <c r="S658" s="2"/>
      <c r="T658" s="2"/>
      <c r="U658" s="2"/>
    </row>
    <row x14ac:dyDescent="0.25" r="659" customHeight="1" ht="17.25">
      <c r="A659" s="7">
        <v>658</v>
      </c>
      <c r="B659" s="1" t="s">
        <v>6136</v>
      </c>
      <c r="C659" s="5">
        <f>CONCATENATE("PD", TEXT(A659, "1000000"))</f>
      </c>
      <c r="D659" s="7">
        <v>67</v>
      </c>
      <c r="E659" s="5">
        <f>XLOOKUP(G659, item_category!C:C, item_category!B:B, "Not Found")</f>
      </c>
      <c r="F659" s="1" t="s">
        <v>5516</v>
      </c>
      <c r="G659" s="5">
        <f>XLOOKUP(I659, drug!B:B, drug!A:A, "Not Found")</f>
      </c>
      <c r="H659" s="1" t="s">
        <v>75</v>
      </c>
      <c r="I659" s="7">
        <v>1</v>
      </c>
      <c r="J659" s="5">
        <f>XLOOKUP(L659, uom!C:C, uom!B:B, "Not Found")</f>
      </c>
      <c r="K659" s="1" t="s">
        <v>5511</v>
      </c>
      <c r="L659" s="5">
        <f>XLOOKUP(N659, uom!C:C, uom!B:B, "Not Found")</f>
      </c>
      <c r="M659" s="1" t="s">
        <v>5511</v>
      </c>
      <c r="N659" s="8" t="s">
        <v>5512</v>
      </c>
      <c r="O659" s="1" t="s">
        <v>5513</v>
      </c>
      <c r="P659" s="5">
        <f>XLOOKUP(R659, classification!C:C, classification!B:B, "Not Found")</f>
      </c>
      <c r="Q659" s="1" t="s">
        <v>5514</v>
      </c>
      <c r="R659" s="2"/>
      <c r="S659" s="2"/>
      <c r="T659" s="2"/>
      <c r="U659" s="2"/>
    </row>
    <row x14ac:dyDescent="0.25" r="660" customHeight="1" ht="17.25">
      <c r="A660" s="7">
        <v>659</v>
      </c>
      <c r="B660" s="1" t="s">
        <v>6137</v>
      </c>
      <c r="C660" s="5">
        <f>CONCATENATE("PD", TEXT(A660, "1000000"))</f>
      </c>
      <c r="D660" s="7">
        <v>67</v>
      </c>
      <c r="E660" s="5">
        <f>XLOOKUP(G660, item_category!C:C, item_category!B:B, "Not Found")</f>
      </c>
      <c r="F660" s="1" t="s">
        <v>5516</v>
      </c>
      <c r="G660" s="5">
        <f>XLOOKUP(I660, drug!B:B, drug!A:A, "Not Found")</f>
      </c>
      <c r="H660" s="1" t="s">
        <v>83</v>
      </c>
      <c r="I660" s="7">
        <v>1</v>
      </c>
      <c r="J660" s="5">
        <f>XLOOKUP(L660, uom!C:C, uom!B:B, "Not Found")</f>
      </c>
      <c r="K660" s="1" t="s">
        <v>5511</v>
      </c>
      <c r="L660" s="5">
        <f>XLOOKUP(N660, uom!C:C, uom!B:B, "Not Found")</f>
      </c>
      <c r="M660" s="1" t="s">
        <v>5511</v>
      </c>
      <c r="N660" s="8" t="s">
        <v>5512</v>
      </c>
      <c r="O660" s="1" t="s">
        <v>5513</v>
      </c>
      <c r="P660" s="5">
        <f>XLOOKUP(R660, classification!C:C, classification!B:B, "Not Found")</f>
      </c>
      <c r="Q660" s="1" t="s">
        <v>5514</v>
      </c>
      <c r="R660" s="2"/>
      <c r="S660" s="2"/>
      <c r="T660" s="2"/>
      <c r="U660" s="2"/>
    </row>
    <row x14ac:dyDescent="0.25" r="661" customHeight="1" ht="17.25">
      <c r="A661" s="7">
        <v>660</v>
      </c>
      <c r="B661" s="1" t="s">
        <v>6138</v>
      </c>
      <c r="C661" s="5">
        <f>CONCATENATE("PD", TEXT(A661, "1000000"))</f>
      </c>
      <c r="D661" s="7">
        <v>67</v>
      </c>
      <c r="E661" s="5">
        <f>XLOOKUP(G661, item_category!C:C, item_category!B:B, "Not Found")</f>
      </c>
      <c r="F661" s="1" t="s">
        <v>5516</v>
      </c>
      <c r="G661" s="5">
        <f>XLOOKUP(I661, drug!B:B, drug!A:A, "Not Found")</f>
      </c>
      <c r="H661" s="1" t="s">
        <v>75</v>
      </c>
      <c r="I661" s="7">
        <v>1</v>
      </c>
      <c r="J661" s="5">
        <f>XLOOKUP(L661, uom!C:C, uom!B:B, "Not Found")</f>
      </c>
      <c r="K661" s="1" t="s">
        <v>5511</v>
      </c>
      <c r="L661" s="5">
        <f>XLOOKUP(N661, uom!C:C, uom!B:B, "Not Found")</f>
      </c>
      <c r="M661" s="1" t="s">
        <v>5511</v>
      </c>
      <c r="N661" s="8" t="s">
        <v>5512</v>
      </c>
      <c r="O661" s="1" t="s">
        <v>5513</v>
      </c>
      <c r="P661" s="5">
        <f>XLOOKUP(R661, classification!C:C, classification!B:B, "Not Found")</f>
      </c>
      <c r="Q661" s="1" t="s">
        <v>5514</v>
      </c>
      <c r="R661" s="2"/>
      <c r="S661" s="2"/>
      <c r="T661" s="2"/>
      <c r="U661" s="2"/>
    </row>
    <row x14ac:dyDescent="0.25" r="662" customHeight="1" ht="17.25">
      <c r="A662" s="7">
        <v>661</v>
      </c>
      <c r="B662" s="1" t="s">
        <v>6139</v>
      </c>
      <c r="C662" s="5">
        <f>CONCATENATE("PD", TEXT(A662, "1000000"))</f>
      </c>
      <c r="D662" s="7">
        <v>67</v>
      </c>
      <c r="E662" s="5">
        <f>XLOOKUP(G662, item_category!C:C, item_category!B:B, "Not Found")</f>
      </c>
      <c r="F662" s="1" t="s">
        <v>5516</v>
      </c>
      <c r="G662" s="5">
        <f>XLOOKUP(I662, drug!B:B, drug!A:A, "Not Found")</f>
      </c>
      <c r="H662" s="1" t="s">
        <v>2112</v>
      </c>
      <c r="I662" s="7">
        <v>1</v>
      </c>
      <c r="J662" s="5">
        <f>XLOOKUP(L662, uom!C:C, uom!B:B, "Not Found")</f>
      </c>
      <c r="K662" s="1" t="s">
        <v>5511</v>
      </c>
      <c r="L662" s="5">
        <f>XLOOKUP(N662, uom!C:C, uom!B:B, "Not Found")</f>
      </c>
      <c r="M662" s="1" t="s">
        <v>5511</v>
      </c>
      <c r="N662" s="8" t="s">
        <v>5512</v>
      </c>
      <c r="O662" s="1" t="s">
        <v>5513</v>
      </c>
      <c r="P662" s="5">
        <f>XLOOKUP(R662, classification!C:C, classification!B:B, "Not Found")</f>
      </c>
      <c r="Q662" s="1" t="s">
        <v>5514</v>
      </c>
      <c r="R662" s="2"/>
      <c r="S662" s="2"/>
      <c r="T662" s="2"/>
      <c r="U662" s="2"/>
    </row>
    <row x14ac:dyDescent="0.25" r="663" customHeight="1" ht="17.25">
      <c r="A663" s="7">
        <v>662</v>
      </c>
      <c r="B663" s="1" t="s">
        <v>6140</v>
      </c>
      <c r="C663" s="5">
        <f>CONCATENATE("PD", TEXT(A663, "1000000"))</f>
      </c>
      <c r="D663" s="7">
        <v>67</v>
      </c>
      <c r="E663" s="5">
        <f>XLOOKUP(G663, item_category!C:C, item_category!B:B, "Not Found")</f>
      </c>
      <c r="F663" s="1" t="s">
        <v>5516</v>
      </c>
      <c r="G663" s="5">
        <f>XLOOKUP(I663, drug!B:B, drug!A:A, "Not Found")</f>
      </c>
      <c r="H663" s="1" t="s">
        <v>2114</v>
      </c>
      <c r="I663" s="7">
        <v>1</v>
      </c>
      <c r="J663" s="5">
        <f>XLOOKUP(L663, uom!C:C, uom!B:B, "Not Found")</f>
      </c>
      <c r="K663" s="1" t="s">
        <v>5511</v>
      </c>
      <c r="L663" s="5">
        <f>XLOOKUP(N663, uom!C:C, uom!B:B, "Not Found")</f>
      </c>
      <c r="M663" s="1" t="s">
        <v>5511</v>
      </c>
      <c r="N663" s="8" t="s">
        <v>5512</v>
      </c>
      <c r="O663" s="1" t="s">
        <v>5513</v>
      </c>
      <c r="P663" s="5">
        <f>XLOOKUP(R663, classification!C:C, classification!B:B, "Not Found")</f>
      </c>
      <c r="Q663" s="1" t="s">
        <v>5514</v>
      </c>
      <c r="R663" s="2"/>
      <c r="S663" s="2"/>
      <c r="T663" s="2"/>
      <c r="U663" s="2"/>
    </row>
    <row x14ac:dyDescent="0.25" r="664" customHeight="1" ht="17.25">
      <c r="A664" s="7">
        <v>663</v>
      </c>
      <c r="B664" s="1" t="s">
        <v>6141</v>
      </c>
      <c r="C664" s="5">
        <f>CONCATENATE("PD", TEXT(A664, "1000000"))</f>
      </c>
      <c r="D664" s="7">
        <v>67</v>
      </c>
      <c r="E664" s="5">
        <f>XLOOKUP(G664, item_category!C:C, item_category!B:B, "Not Found")</f>
      </c>
      <c r="F664" s="1" t="s">
        <v>5516</v>
      </c>
      <c r="G664" s="5">
        <f>XLOOKUP(I664, drug!B:B, drug!A:A, "Not Found")</f>
      </c>
      <c r="H664" s="1" t="s">
        <v>83</v>
      </c>
      <c r="I664" s="7">
        <v>1</v>
      </c>
      <c r="J664" s="5">
        <f>XLOOKUP(L664, uom!C:C, uom!B:B, "Not Found")</f>
      </c>
      <c r="K664" s="1" t="s">
        <v>5511</v>
      </c>
      <c r="L664" s="5">
        <f>XLOOKUP(N664, uom!C:C, uom!B:B, "Not Found")</f>
      </c>
      <c r="M664" s="1" t="s">
        <v>5511</v>
      </c>
      <c r="N664" s="8" t="s">
        <v>5512</v>
      </c>
      <c r="O664" s="1" t="s">
        <v>5513</v>
      </c>
      <c r="P664" s="5">
        <f>XLOOKUP(R664, classification!C:C, classification!B:B, "Not Found")</f>
      </c>
      <c r="Q664" s="1" t="s">
        <v>5514</v>
      </c>
      <c r="R664" s="2"/>
      <c r="S664" s="2"/>
      <c r="T664" s="2"/>
      <c r="U664" s="2"/>
    </row>
    <row x14ac:dyDescent="0.25" r="665" customHeight="1" ht="17.25">
      <c r="A665" s="7">
        <v>664</v>
      </c>
      <c r="B665" s="1" t="s">
        <v>6142</v>
      </c>
      <c r="C665" s="5">
        <f>CONCATENATE("PD", TEXT(A665, "1000000"))</f>
      </c>
      <c r="D665" s="7">
        <v>67</v>
      </c>
      <c r="E665" s="5">
        <f>XLOOKUP(G665, item_category!C:C, item_category!B:B, "Not Found")</f>
      </c>
      <c r="F665" s="1" t="s">
        <v>5516</v>
      </c>
      <c r="G665" s="5">
        <f>XLOOKUP(I665, drug!B:B, drug!A:A, "Not Found")</f>
      </c>
      <c r="H665" s="1" t="s">
        <v>2116</v>
      </c>
      <c r="I665" s="7">
        <v>1</v>
      </c>
      <c r="J665" s="5">
        <f>XLOOKUP(L665, uom!C:C, uom!B:B, "Not Found")</f>
      </c>
      <c r="K665" s="1" t="s">
        <v>5511</v>
      </c>
      <c r="L665" s="5">
        <f>XLOOKUP(N665, uom!C:C, uom!B:B, "Not Found")</f>
      </c>
      <c r="M665" s="1" t="s">
        <v>5511</v>
      </c>
      <c r="N665" s="8" t="s">
        <v>5512</v>
      </c>
      <c r="O665" s="1" t="s">
        <v>5513</v>
      </c>
      <c r="P665" s="5">
        <f>XLOOKUP(R665, classification!C:C, classification!B:B, "Not Found")</f>
      </c>
      <c r="Q665" s="1" t="s">
        <v>5514</v>
      </c>
      <c r="R665" s="2"/>
      <c r="S665" s="2"/>
      <c r="T665" s="2"/>
      <c r="U665" s="2"/>
    </row>
    <row x14ac:dyDescent="0.25" r="666" customHeight="1" ht="17.25">
      <c r="A666" s="7">
        <v>665</v>
      </c>
      <c r="B666" s="1" t="s">
        <v>6143</v>
      </c>
      <c r="C666" s="5">
        <f>CONCATENATE("PD", TEXT(A666, "1000000"))</f>
      </c>
      <c r="D666" s="7">
        <v>67</v>
      </c>
      <c r="E666" s="5">
        <f>XLOOKUP(G666, item_category!C:C, item_category!B:B, "Not Found")</f>
      </c>
      <c r="F666" s="1" t="s">
        <v>5516</v>
      </c>
      <c r="G666" s="5">
        <f>XLOOKUP(I666, drug!B:B, drug!A:A, "Not Found")</f>
      </c>
      <c r="H666" s="1" t="s">
        <v>2118</v>
      </c>
      <c r="I666" s="7">
        <v>1</v>
      </c>
      <c r="J666" s="5">
        <f>XLOOKUP(L666, uom!C:C, uom!B:B, "Not Found")</f>
      </c>
      <c r="K666" s="1" t="s">
        <v>5511</v>
      </c>
      <c r="L666" s="5">
        <f>XLOOKUP(N666, uom!C:C, uom!B:B, "Not Found")</f>
      </c>
      <c r="M666" s="1" t="s">
        <v>5511</v>
      </c>
      <c r="N666" s="8" t="s">
        <v>5512</v>
      </c>
      <c r="O666" s="1" t="s">
        <v>5513</v>
      </c>
      <c r="P666" s="5">
        <f>XLOOKUP(R666, classification!C:C, classification!B:B, "Not Found")</f>
      </c>
      <c r="Q666" s="1" t="s">
        <v>5514</v>
      </c>
      <c r="R666" s="2"/>
      <c r="S666" s="2"/>
      <c r="T666" s="2"/>
      <c r="U666" s="2"/>
    </row>
    <row x14ac:dyDescent="0.25" r="667" customHeight="1" ht="17.25">
      <c r="A667" s="7">
        <v>666</v>
      </c>
      <c r="B667" s="1" t="s">
        <v>6144</v>
      </c>
      <c r="C667" s="5">
        <f>CONCATENATE("PD", TEXT(A667, "1000000"))</f>
      </c>
      <c r="D667" s="7">
        <v>67</v>
      </c>
      <c r="E667" s="5">
        <f>XLOOKUP(G667, item_category!C:C, item_category!B:B, "Not Found")</f>
      </c>
      <c r="F667" s="1" t="s">
        <v>5516</v>
      </c>
      <c r="G667" s="5">
        <f>XLOOKUP(I667, drug!B:B, drug!A:A, "Not Found")</f>
      </c>
      <c r="H667" s="1" t="s">
        <v>83</v>
      </c>
      <c r="I667" s="7">
        <v>1</v>
      </c>
      <c r="J667" s="5">
        <f>XLOOKUP(L667, uom!C:C, uom!B:B, "Not Found")</f>
      </c>
      <c r="K667" s="1" t="s">
        <v>5511</v>
      </c>
      <c r="L667" s="5">
        <f>XLOOKUP(N667, uom!C:C, uom!B:B, "Not Found")</f>
      </c>
      <c r="M667" s="1" t="s">
        <v>5511</v>
      </c>
      <c r="N667" s="8" t="s">
        <v>5512</v>
      </c>
      <c r="O667" s="1" t="s">
        <v>5513</v>
      </c>
      <c r="P667" s="5">
        <f>XLOOKUP(R667, classification!C:C, classification!B:B, "Not Found")</f>
      </c>
      <c r="Q667" s="1" t="s">
        <v>5514</v>
      </c>
      <c r="R667" s="2"/>
      <c r="S667" s="2"/>
      <c r="T667" s="2"/>
      <c r="U667" s="2"/>
    </row>
    <row x14ac:dyDescent="0.25" r="668" customHeight="1" ht="17.25">
      <c r="A668" s="7">
        <v>667</v>
      </c>
      <c r="B668" s="1" t="s">
        <v>6145</v>
      </c>
      <c r="C668" s="5">
        <f>CONCATENATE("PD", TEXT(A668, "1000000"))</f>
      </c>
      <c r="D668" s="7">
        <v>67</v>
      </c>
      <c r="E668" s="5">
        <f>XLOOKUP(G668, item_category!C:C, item_category!B:B, "Not Found")</f>
      </c>
      <c r="F668" s="1" t="s">
        <v>5516</v>
      </c>
      <c r="G668" s="5">
        <f>XLOOKUP(I668, drug!B:B, drug!A:A, "Not Found")</f>
      </c>
      <c r="H668" s="1" t="s">
        <v>1712</v>
      </c>
      <c r="I668" s="7">
        <v>1</v>
      </c>
      <c r="J668" s="5">
        <f>XLOOKUP(L668, uom!C:C, uom!B:B, "Not Found")</f>
      </c>
      <c r="K668" s="1" t="s">
        <v>5511</v>
      </c>
      <c r="L668" s="5">
        <f>XLOOKUP(N668, uom!C:C, uom!B:B, "Not Found")</f>
      </c>
      <c r="M668" s="1" t="s">
        <v>5511</v>
      </c>
      <c r="N668" s="8" t="s">
        <v>5512</v>
      </c>
      <c r="O668" s="1" t="s">
        <v>5513</v>
      </c>
      <c r="P668" s="5">
        <f>XLOOKUP(R668, classification!C:C, classification!B:B, "Not Found")</f>
      </c>
      <c r="Q668" s="1" t="s">
        <v>5514</v>
      </c>
      <c r="R668" s="2"/>
      <c r="S668" s="2"/>
      <c r="T668" s="2"/>
      <c r="U668" s="2"/>
    </row>
    <row x14ac:dyDescent="0.25" r="669" customHeight="1" ht="17.25">
      <c r="A669" s="7">
        <v>668</v>
      </c>
      <c r="B669" s="1" t="s">
        <v>6146</v>
      </c>
      <c r="C669" s="5">
        <f>CONCATENATE("PD", TEXT(A669, "1000000"))</f>
      </c>
      <c r="D669" s="7">
        <v>67</v>
      </c>
      <c r="E669" s="5">
        <f>XLOOKUP(G669, item_category!C:C, item_category!B:B, "Not Found")</f>
      </c>
      <c r="F669" s="1" t="s">
        <v>5516</v>
      </c>
      <c r="G669" s="5">
        <f>XLOOKUP(I669, drug!B:B, drug!A:A, "Not Found")</f>
      </c>
      <c r="H669" s="1" t="s">
        <v>2120</v>
      </c>
      <c r="I669" s="7">
        <v>1</v>
      </c>
      <c r="J669" s="5">
        <f>XLOOKUP(L669, uom!C:C, uom!B:B, "Not Found")</f>
      </c>
      <c r="K669" s="1" t="s">
        <v>5511</v>
      </c>
      <c r="L669" s="5">
        <f>XLOOKUP(N669, uom!C:C, uom!B:B, "Not Found")</f>
      </c>
      <c r="M669" s="1" t="s">
        <v>5511</v>
      </c>
      <c r="N669" s="8" t="s">
        <v>5512</v>
      </c>
      <c r="O669" s="1" t="s">
        <v>5513</v>
      </c>
      <c r="P669" s="5">
        <f>XLOOKUP(R669, classification!C:C, classification!B:B, "Not Found")</f>
      </c>
      <c r="Q669" s="1" t="s">
        <v>5514</v>
      </c>
      <c r="R669" s="2"/>
      <c r="S669" s="2"/>
      <c r="T669" s="2"/>
      <c r="U669" s="2"/>
    </row>
    <row x14ac:dyDescent="0.25" r="670" customHeight="1" ht="17.25">
      <c r="A670" s="7">
        <v>669</v>
      </c>
      <c r="B670" s="1" t="s">
        <v>6147</v>
      </c>
      <c r="C670" s="5">
        <f>CONCATENATE("PD", TEXT(A670, "1000000"))</f>
      </c>
      <c r="D670" s="7">
        <v>67</v>
      </c>
      <c r="E670" s="5">
        <f>XLOOKUP(G670, item_category!C:C, item_category!B:B, "Not Found")</f>
      </c>
      <c r="F670" s="1" t="s">
        <v>5516</v>
      </c>
      <c r="G670" s="5">
        <f>XLOOKUP(I670, drug!B:B, drug!A:A, "Not Found")</f>
      </c>
      <c r="H670" s="1" t="s">
        <v>2120</v>
      </c>
      <c r="I670" s="7">
        <v>1</v>
      </c>
      <c r="J670" s="5">
        <f>XLOOKUP(L670, uom!C:C, uom!B:B, "Not Found")</f>
      </c>
      <c r="K670" s="1" t="s">
        <v>5511</v>
      </c>
      <c r="L670" s="5">
        <f>XLOOKUP(N670, uom!C:C, uom!B:B, "Not Found")</f>
      </c>
      <c r="M670" s="1" t="s">
        <v>5511</v>
      </c>
      <c r="N670" s="8" t="s">
        <v>5512</v>
      </c>
      <c r="O670" s="1" t="s">
        <v>5513</v>
      </c>
      <c r="P670" s="5">
        <f>XLOOKUP(R670, classification!C:C, classification!B:B, "Not Found")</f>
      </c>
      <c r="Q670" s="1" t="s">
        <v>5514</v>
      </c>
      <c r="R670" s="2"/>
      <c r="S670" s="2"/>
      <c r="T670" s="2"/>
      <c r="U670" s="2"/>
    </row>
    <row x14ac:dyDescent="0.25" r="671" customHeight="1" ht="17.25">
      <c r="A671" s="7">
        <v>670</v>
      </c>
      <c r="B671" s="1" t="s">
        <v>6148</v>
      </c>
      <c r="C671" s="5">
        <f>CONCATENATE("PD", TEXT(A671, "1000000"))</f>
      </c>
      <c r="D671" s="7">
        <v>67</v>
      </c>
      <c r="E671" s="5">
        <f>XLOOKUP(G671, item_category!C:C, item_category!B:B, "Not Found")</f>
      </c>
      <c r="F671" s="1" t="s">
        <v>5516</v>
      </c>
      <c r="G671" s="5">
        <f>XLOOKUP(I671, drug!B:B, drug!A:A, "Not Found")</f>
      </c>
      <c r="H671" s="1" t="s">
        <v>2122</v>
      </c>
      <c r="I671" s="7">
        <v>1</v>
      </c>
      <c r="J671" s="5">
        <f>XLOOKUP(L671, uom!C:C, uom!B:B, "Not Found")</f>
      </c>
      <c r="K671" s="1" t="s">
        <v>5511</v>
      </c>
      <c r="L671" s="5">
        <f>XLOOKUP(N671, uom!C:C, uom!B:B, "Not Found")</f>
      </c>
      <c r="M671" s="1" t="s">
        <v>5511</v>
      </c>
      <c r="N671" s="8" t="s">
        <v>5512</v>
      </c>
      <c r="O671" s="1" t="s">
        <v>5513</v>
      </c>
      <c r="P671" s="5">
        <f>XLOOKUP(R671, classification!C:C, classification!B:B, "Not Found")</f>
      </c>
      <c r="Q671" s="1" t="s">
        <v>5514</v>
      </c>
      <c r="R671" s="2"/>
      <c r="S671" s="2"/>
      <c r="T671" s="2"/>
      <c r="U671" s="2"/>
    </row>
    <row x14ac:dyDescent="0.25" r="672" customHeight="1" ht="17.25">
      <c r="A672" s="7">
        <v>671</v>
      </c>
      <c r="B672" s="1" t="s">
        <v>6149</v>
      </c>
      <c r="C672" s="5">
        <f>CONCATENATE("PD", TEXT(A672, "1000000"))</f>
      </c>
      <c r="D672" s="7">
        <v>67</v>
      </c>
      <c r="E672" s="5">
        <f>XLOOKUP(G672, item_category!C:C, item_category!B:B, "Not Found")</f>
      </c>
      <c r="F672" s="1" t="s">
        <v>5516</v>
      </c>
      <c r="G672" s="5">
        <f>XLOOKUP(I672, drug!B:B, drug!A:A, "Not Found")</f>
      </c>
      <c r="H672" s="1" t="s">
        <v>2124</v>
      </c>
      <c r="I672" s="7">
        <v>450</v>
      </c>
      <c r="J672" s="5">
        <f>XLOOKUP(L672, uom!C:C, uom!B:B, "Not Found")</f>
      </c>
      <c r="K672" s="1" t="s">
        <v>5618</v>
      </c>
      <c r="L672" s="5">
        <f>XLOOKUP(N672, uom!C:C, uom!B:B, "Not Found")</f>
      </c>
      <c r="M672" s="1" t="s">
        <v>5618</v>
      </c>
      <c r="N672" s="8" t="s">
        <v>5524</v>
      </c>
      <c r="O672" s="1" t="s">
        <v>5525</v>
      </c>
      <c r="P672" s="5">
        <f>XLOOKUP(R672, classification!C:C, classification!B:B, "Not Found")</f>
      </c>
      <c r="Q672" s="1" t="s">
        <v>5514</v>
      </c>
      <c r="R672" s="2"/>
      <c r="S672" s="2"/>
      <c r="T672" s="2"/>
      <c r="U672" s="2"/>
    </row>
    <row x14ac:dyDescent="0.25" r="673" customHeight="1" ht="17.25">
      <c r="A673" s="7">
        <v>672</v>
      </c>
      <c r="B673" s="1" t="s">
        <v>2126</v>
      </c>
      <c r="C673" s="5">
        <f>CONCATENATE("PD", TEXT(A673, "1000000"))</f>
      </c>
      <c r="D673" s="7">
        <v>67</v>
      </c>
      <c r="E673" s="5">
        <f>XLOOKUP(G673, item_category!C:C, item_category!B:B, "Not Found")</f>
      </c>
      <c r="F673" s="1" t="s">
        <v>5516</v>
      </c>
      <c r="G673" s="5">
        <f>XLOOKUP(I673, drug!B:B, drug!A:A, "Not Found")</f>
      </c>
      <c r="H673" s="1" t="s">
        <v>2126</v>
      </c>
      <c r="I673" s="7">
        <v>1</v>
      </c>
      <c r="J673" s="5">
        <f>XLOOKUP(L673, uom!C:C, uom!B:B, "Not Found")</f>
      </c>
      <c r="K673" s="1" t="s">
        <v>5511</v>
      </c>
      <c r="L673" s="5">
        <f>XLOOKUP(N673, uom!C:C, uom!B:B, "Not Found")</f>
      </c>
      <c r="M673" s="1" t="s">
        <v>5511</v>
      </c>
      <c r="N673" s="8" t="s">
        <v>5512</v>
      </c>
      <c r="O673" s="1" t="s">
        <v>5513</v>
      </c>
      <c r="P673" s="5">
        <f>XLOOKUP(R673, classification!C:C, classification!B:B, "Not Found")</f>
      </c>
      <c r="Q673" s="1" t="s">
        <v>5514</v>
      </c>
      <c r="R673" s="2"/>
      <c r="S673" s="2"/>
      <c r="T673" s="2"/>
      <c r="U673" s="2"/>
    </row>
    <row x14ac:dyDescent="0.25" r="674" customHeight="1" ht="17.25">
      <c r="A674" s="7">
        <v>673</v>
      </c>
      <c r="B674" s="1" t="s">
        <v>6150</v>
      </c>
      <c r="C674" s="5">
        <f>CONCATENATE("PD", TEXT(A674, "1000000"))</f>
      </c>
      <c r="D674" s="7">
        <v>67</v>
      </c>
      <c r="E674" s="5">
        <f>XLOOKUP(G674, item_category!C:C, item_category!B:B, "Not Found")</f>
      </c>
      <c r="F674" s="1" t="s">
        <v>5516</v>
      </c>
      <c r="G674" s="5">
        <f>XLOOKUP(I674, drug!B:B, drug!A:A, "Not Found")</f>
      </c>
      <c r="H674" s="1" t="s">
        <v>2128</v>
      </c>
      <c r="I674" s="7">
        <v>1</v>
      </c>
      <c r="J674" s="5">
        <f>XLOOKUP(L674, uom!C:C, uom!B:B, "Not Found")</f>
      </c>
      <c r="K674" s="1" t="s">
        <v>5511</v>
      </c>
      <c r="L674" s="5">
        <f>XLOOKUP(N674, uom!C:C, uom!B:B, "Not Found")</f>
      </c>
      <c r="M674" s="1" t="s">
        <v>5511</v>
      </c>
      <c r="N674" s="8" t="s">
        <v>5512</v>
      </c>
      <c r="O674" s="1" t="s">
        <v>5513</v>
      </c>
      <c r="P674" s="5">
        <f>XLOOKUP(R674, classification!C:C, classification!B:B, "Not Found")</f>
      </c>
      <c r="Q674" s="1" t="s">
        <v>5514</v>
      </c>
      <c r="R674" s="2"/>
      <c r="S674" s="2"/>
      <c r="T674" s="2"/>
      <c r="U674" s="2"/>
    </row>
    <row x14ac:dyDescent="0.25" r="675" customHeight="1" ht="17.25">
      <c r="A675" s="7">
        <v>674</v>
      </c>
      <c r="B675" s="1" t="s">
        <v>6151</v>
      </c>
      <c r="C675" s="5">
        <f>CONCATENATE("PD", TEXT(A675, "1000000"))</f>
      </c>
      <c r="D675" s="7">
        <v>67</v>
      </c>
      <c r="E675" s="5">
        <f>XLOOKUP(G675, item_category!C:C, item_category!B:B, "Not Found")</f>
      </c>
      <c r="F675" s="1" t="s">
        <v>5516</v>
      </c>
      <c r="G675" s="5">
        <f>XLOOKUP(I675, drug!B:B, drug!A:A, "Not Found")</f>
      </c>
      <c r="H675" s="1" t="s">
        <v>2130</v>
      </c>
      <c r="I675" s="7">
        <v>1</v>
      </c>
      <c r="J675" s="5">
        <f>XLOOKUP(L675, uom!C:C, uom!B:B, "Not Found")</f>
      </c>
      <c r="K675" s="1" t="s">
        <v>5511</v>
      </c>
      <c r="L675" s="5">
        <f>XLOOKUP(N675, uom!C:C, uom!B:B, "Not Found")</f>
      </c>
      <c r="M675" s="1" t="s">
        <v>5511</v>
      </c>
      <c r="N675" s="8" t="s">
        <v>5512</v>
      </c>
      <c r="O675" s="1" t="s">
        <v>5513</v>
      </c>
      <c r="P675" s="5">
        <f>XLOOKUP(R675, classification!C:C, classification!B:B, "Not Found")</f>
      </c>
      <c r="Q675" s="1" t="s">
        <v>5514</v>
      </c>
      <c r="R675" s="2"/>
      <c r="S675" s="2"/>
      <c r="T675" s="2"/>
      <c r="U675" s="2"/>
    </row>
    <row x14ac:dyDescent="0.25" r="676" customHeight="1" ht="17.25">
      <c r="A676" s="7">
        <v>675</v>
      </c>
      <c r="B676" s="1" t="s">
        <v>6152</v>
      </c>
      <c r="C676" s="5">
        <f>CONCATENATE("PD", TEXT(A676, "1000000"))</f>
      </c>
      <c r="D676" s="7">
        <v>67</v>
      </c>
      <c r="E676" s="5">
        <f>XLOOKUP(G676, item_category!C:C, item_category!B:B, "Not Found")</f>
      </c>
      <c r="F676" s="1" t="s">
        <v>5516</v>
      </c>
      <c r="G676" s="5">
        <f>XLOOKUP(I676, drug!B:B, drug!A:A, "Not Found")</f>
      </c>
      <c r="H676" s="1" t="s">
        <v>2132</v>
      </c>
      <c r="I676" s="7">
        <v>1</v>
      </c>
      <c r="J676" s="5">
        <f>XLOOKUP(L676, uom!C:C, uom!B:B, "Not Found")</f>
      </c>
      <c r="K676" s="1" t="s">
        <v>5511</v>
      </c>
      <c r="L676" s="5">
        <f>XLOOKUP(N676, uom!C:C, uom!B:B, "Not Found")</f>
      </c>
      <c r="M676" s="1" t="s">
        <v>5511</v>
      </c>
      <c r="N676" s="8" t="s">
        <v>5512</v>
      </c>
      <c r="O676" s="1" t="s">
        <v>5513</v>
      </c>
      <c r="P676" s="5">
        <f>XLOOKUP(R676, classification!C:C, classification!B:B, "Not Found")</f>
      </c>
      <c r="Q676" s="1" t="s">
        <v>5514</v>
      </c>
      <c r="R676" s="2"/>
      <c r="S676" s="2"/>
      <c r="T676" s="2"/>
      <c r="U676" s="2"/>
    </row>
    <row x14ac:dyDescent="0.25" r="677" customHeight="1" ht="17.25">
      <c r="A677" s="7">
        <v>676</v>
      </c>
      <c r="B677" s="1" t="s">
        <v>6153</v>
      </c>
      <c r="C677" s="5">
        <f>CONCATENATE("PD", TEXT(A677, "1000000"))</f>
      </c>
      <c r="D677" s="7">
        <v>67</v>
      </c>
      <c r="E677" s="5">
        <f>XLOOKUP(G677, item_category!C:C, item_category!B:B, "Not Found")</f>
      </c>
      <c r="F677" s="1" t="s">
        <v>5516</v>
      </c>
      <c r="G677" s="5">
        <f>XLOOKUP(I677, drug!B:B, drug!A:A, "Not Found")</f>
      </c>
      <c r="H677" s="1" t="s">
        <v>2134</v>
      </c>
      <c r="I677" s="7">
        <v>1</v>
      </c>
      <c r="J677" s="5">
        <f>XLOOKUP(L677, uom!C:C, uom!B:B, "Not Found")</f>
      </c>
      <c r="K677" s="1" t="s">
        <v>5511</v>
      </c>
      <c r="L677" s="5">
        <f>XLOOKUP(N677, uom!C:C, uom!B:B, "Not Found")</f>
      </c>
      <c r="M677" s="1" t="s">
        <v>5511</v>
      </c>
      <c r="N677" s="8" t="s">
        <v>5512</v>
      </c>
      <c r="O677" s="1" t="s">
        <v>5513</v>
      </c>
      <c r="P677" s="5">
        <f>XLOOKUP(R677, classification!C:C, classification!B:B, "Not Found")</f>
      </c>
      <c r="Q677" s="1" t="s">
        <v>5514</v>
      </c>
      <c r="R677" s="2"/>
      <c r="S677" s="2"/>
      <c r="T677" s="2"/>
      <c r="U677" s="2"/>
    </row>
    <row x14ac:dyDescent="0.25" r="678" customHeight="1" ht="17.25">
      <c r="A678" s="7">
        <v>677</v>
      </c>
      <c r="B678" s="1" t="s">
        <v>6154</v>
      </c>
      <c r="C678" s="5">
        <f>CONCATENATE("PD", TEXT(A678, "1000000"))</f>
      </c>
      <c r="D678" s="7">
        <v>67</v>
      </c>
      <c r="E678" s="5">
        <f>XLOOKUP(G678, item_category!C:C, item_category!B:B, "Not Found")</f>
      </c>
      <c r="F678" s="1" t="s">
        <v>5516</v>
      </c>
      <c r="G678" s="5">
        <f>XLOOKUP(I678, drug!B:B, drug!A:A, "Not Found")</f>
      </c>
      <c r="H678" s="1" t="s">
        <v>2136</v>
      </c>
      <c r="I678" s="7">
        <v>1</v>
      </c>
      <c r="J678" s="5">
        <f>XLOOKUP(L678, uom!C:C, uom!B:B, "Not Found")</f>
      </c>
      <c r="K678" s="1" t="s">
        <v>5511</v>
      </c>
      <c r="L678" s="5">
        <f>XLOOKUP(N678, uom!C:C, uom!B:B, "Not Found")</f>
      </c>
      <c r="M678" s="1" t="s">
        <v>5511</v>
      </c>
      <c r="N678" s="8" t="s">
        <v>5512</v>
      </c>
      <c r="O678" s="1" t="s">
        <v>5513</v>
      </c>
      <c r="P678" s="5">
        <f>XLOOKUP(R678, classification!C:C, classification!B:B, "Not Found")</f>
      </c>
      <c r="Q678" s="1" t="s">
        <v>5514</v>
      </c>
      <c r="R678" s="2"/>
      <c r="S678" s="2"/>
      <c r="T678" s="2"/>
      <c r="U678" s="2"/>
    </row>
    <row x14ac:dyDescent="0.25" r="679" customHeight="1" ht="17.25">
      <c r="A679" s="7">
        <v>678</v>
      </c>
      <c r="B679" s="1" t="s">
        <v>6155</v>
      </c>
      <c r="C679" s="5">
        <f>CONCATENATE("PD", TEXT(A679, "1000000"))</f>
      </c>
      <c r="D679" s="7">
        <v>67</v>
      </c>
      <c r="E679" s="5">
        <f>XLOOKUP(G679, item_category!C:C, item_category!B:B, "Not Found")</f>
      </c>
      <c r="F679" s="1" t="s">
        <v>5516</v>
      </c>
      <c r="G679" s="5">
        <f>XLOOKUP(I679, drug!B:B, drug!A:A, "Not Found")</f>
      </c>
      <c r="H679" s="1"/>
      <c r="I679" s="7">
        <v>1</v>
      </c>
      <c r="J679" s="5">
        <f>XLOOKUP(L679, uom!C:C, uom!B:B, "Not Found")</f>
      </c>
      <c r="K679" s="1" t="s">
        <v>5511</v>
      </c>
      <c r="L679" s="5">
        <f>XLOOKUP(N679, uom!C:C, uom!B:B, "Not Found")</f>
      </c>
      <c r="M679" s="1" t="s">
        <v>5511</v>
      </c>
      <c r="N679" s="8" t="s">
        <v>5512</v>
      </c>
      <c r="O679" s="1" t="s">
        <v>5513</v>
      </c>
      <c r="P679" s="5">
        <f>XLOOKUP(R679, classification!C:C, classification!B:B, "Not Found")</f>
      </c>
      <c r="Q679" s="1" t="s">
        <v>5514</v>
      </c>
      <c r="R679" s="2"/>
      <c r="S679" s="2"/>
      <c r="T679" s="2"/>
      <c r="U679" s="2"/>
    </row>
    <row x14ac:dyDescent="0.25" r="680" customHeight="1" ht="17.25">
      <c r="A680" s="7">
        <v>679</v>
      </c>
      <c r="B680" s="1" t="s">
        <v>6156</v>
      </c>
      <c r="C680" s="5">
        <f>CONCATENATE("PD", TEXT(A680, "1000000"))</f>
      </c>
      <c r="D680" s="7">
        <v>67</v>
      </c>
      <c r="E680" s="5">
        <f>XLOOKUP(G680, item_category!C:C, item_category!B:B, "Not Found")</f>
      </c>
      <c r="F680" s="1" t="s">
        <v>5516</v>
      </c>
      <c r="G680" s="5">
        <f>XLOOKUP(I680, drug!B:B, drug!A:A, "Not Found")</f>
      </c>
      <c r="H680" s="1"/>
      <c r="I680" s="7">
        <v>1</v>
      </c>
      <c r="J680" s="5">
        <f>XLOOKUP(L680, uom!C:C, uom!B:B, "Not Found")</f>
      </c>
      <c r="K680" s="1" t="s">
        <v>5511</v>
      </c>
      <c r="L680" s="5">
        <f>XLOOKUP(N680, uom!C:C, uom!B:B, "Not Found")</f>
      </c>
      <c r="M680" s="1" t="s">
        <v>5511</v>
      </c>
      <c r="N680" s="8" t="s">
        <v>5512</v>
      </c>
      <c r="O680" s="1" t="s">
        <v>5513</v>
      </c>
      <c r="P680" s="5">
        <f>XLOOKUP(R680, classification!C:C, classification!B:B, "Not Found")</f>
      </c>
      <c r="Q680" s="1" t="s">
        <v>5514</v>
      </c>
      <c r="R680" s="2"/>
      <c r="S680" s="2"/>
      <c r="T680" s="2"/>
      <c r="U680" s="2"/>
    </row>
    <row x14ac:dyDescent="0.25" r="681" customHeight="1" ht="17.25">
      <c r="A681" s="7">
        <v>680</v>
      </c>
      <c r="B681" s="1" t="s">
        <v>6157</v>
      </c>
      <c r="C681" s="5">
        <f>CONCATENATE("PD", TEXT(A681, "1000000"))</f>
      </c>
      <c r="D681" s="7">
        <v>67</v>
      </c>
      <c r="E681" s="5">
        <f>XLOOKUP(G681, item_category!C:C, item_category!B:B, "Not Found")</f>
      </c>
      <c r="F681" s="1" t="s">
        <v>5516</v>
      </c>
      <c r="G681" s="5">
        <f>XLOOKUP(I681, drug!B:B, drug!A:A, "Not Found")</f>
      </c>
      <c r="H681" s="1"/>
      <c r="I681" s="7">
        <v>1</v>
      </c>
      <c r="J681" s="5">
        <f>XLOOKUP(L681, uom!C:C, uom!B:B, "Not Found")</f>
      </c>
      <c r="K681" s="1" t="s">
        <v>5511</v>
      </c>
      <c r="L681" s="5">
        <f>XLOOKUP(N681, uom!C:C, uom!B:B, "Not Found")</f>
      </c>
      <c r="M681" s="1" t="s">
        <v>5511</v>
      </c>
      <c r="N681" s="8" t="s">
        <v>5512</v>
      </c>
      <c r="O681" s="1" t="s">
        <v>5513</v>
      </c>
      <c r="P681" s="5">
        <f>XLOOKUP(R681, classification!C:C, classification!B:B, "Not Found")</f>
      </c>
      <c r="Q681" s="1" t="s">
        <v>5514</v>
      </c>
      <c r="R681" s="2"/>
      <c r="S681" s="2"/>
      <c r="T681" s="2"/>
      <c r="U681" s="2"/>
    </row>
    <row x14ac:dyDescent="0.25" r="682" customHeight="1" ht="17.25">
      <c r="A682" s="7">
        <v>681</v>
      </c>
      <c r="B682" s="1" t="s">
        <v>6158</v>
      </c>
      <c r="C682" s="5">
        <f>CONCATENATE("PD", TEXT(A682, "1000000"))</f>
      </c>
      <c r="D682" s="7">
        <v>67</v>
      </c>
      <c r="E682" s="5">
        <f>XLOOKUP(G682, item_category!C:C, item_category!B:B, "Not Found")</f>
      </c>
      <c r="F682" s="1" t="s">
        <v>5516</v>
      </c>
      <c r="G682" s="5">
        <f>XLOOKUP(I682, drug!B:B, drug!A:A, "Not Found")</f>
      </c>
      <c r="H682" s="1"/>
      <c r="I682" s="7">
        <v>1</v>
      </c>
      <c r="J682" s="5">
        <f>XLOOKUP(L682, uom!C:C, uom!B:B, "Not Found")</f>
      </c>
      <c r="K682" s="1" t="s">
        <v>5511</v>
      </c>
      <c r="L682" s="5">
        <f>XLOOKUP(N682, uom!C:C, uom!B:B, "Not Found")</f>
      </c>
      <c r="M682" s="1" t="s">
        <v>5511</v>
      </c>
      <c r="N682" s="8" t="s">
        <v>5512</v>
      </c>
      <c r="O682" s="1" t="s">
        <v>5513</v>
      </c>
      <c r="P682" s="5">
        <f>XLOOKUP(R682, classification!C:C, classification!B:B, "Not Found")</f>
      </c>
      <c r="Q682" s="1" t="s">
        <v>5514</v>
      </c>
      <c r="R682" s="2"/>
      <c r="S682" s="2"/>
      <c r="T682" s="2"/>
      <c r="U682" s="2"/>
    </row>
    <row x14ac:dyDescent="0.25" r="683" customHeight="1" ht="17.25">
      <c r="A683" s="7">
        <v>682</v>
      </c>
      <c r="B683" s="1" t="s">
        <v>6159</v>
      </c>
      <c r="C683" s="5">
        <f>CONCATENATE("PD", TEXT(A683, "1000000"))</f>
      </c>
      <c r="D683" s="7">
        <v>67</v>
      </c>
      <c r="E683" s="5">
        <f>XLOOKUP(G683, item_category!C:C, item_category!B:B, "Not Found")</f>
      </c>
      <c r="F683" s="1" t="s">
        <v>5516</v>
      </c>
      <c r="G683" s="5">
        <f>XLOOKUP(I683, drug!B:B, drug!A:A, "Not Found")</f>
      </c>
      <c r="H683" s="1"/>
      <c r="I683" s="7">
        <v>1</v>
      </c>
      <c r="J683" s="5">
        <f>XLOOKUP(L683, uom!C:C, uom!B:B, "Not Found")</f>
      </c>
      <c r="K683" s="1" t="s">
        <v>5511</v>
      </c>
      <c r="L683" s="5">
        <f>XLOOKUP(N683, uom!C:C, uom!B:B, "Not Found")</f>
      </c>
      <c r="M683" s="1" t="s">
        <v>5511</v>
      </c>
      <c r="N683" s="8" t="s">
        <v>5512</v>
      </c>
      <c r="O683" s="1" t="s">
        <v>5513</v>
      </c>
      <c r="P683" s="5">
        <f>XLOOKUP(R683, classification!C:C, classification!B:B, "Not Found")</f>
      </c>
      <c r="Q683" s="1" t="s">
        <v>5514</v>
      </c>
      <c r="R683" s="2"/>
      <c r="S683" s="2"/>
      <c r="T683" s="2"/>
      <c r="U683" s="2"/>
    </row>
    <row x14ac:dyDescent="0.25" r="684" customHeight="1" ht="17.25">
      <c r="A684" s="7">
        <v>683</v>
      </c>
      <c r="B684" s="1" t="s">
        <v>6160</v>
      </c>
      <c r="C684" s="5">
        <f>CONCATENATE("PD", TEXT(A684, "1000000"))</f>
      </c>
      <c r="D684" s="7">
        <v>67</v>
      </c>
      <c r="E684" s="5">
        <f>XLOOKUP(G684, item_category!C:C, item_category!B:B, "Not Found")</f>
      </c>
      <c r="F684" s="1" t="s">
        <v>5516</v>
      </c>
      <c r="G684" s="5">
        <f>XLOOKUP(I684, drug!B:B, drug!A:A, "Not Found")</f>
      </c>
      <c r="H684" s="1"/>
      <c r="I684" s="7">
        <v>1</v>
      </c>
      <c r="J684" s="5">
        <f>XLOOKUP(L684, uom!C:C, uom!B:B, "Not Found")</f>
      </c>
      <c r="K684" s="1" t="s">
        <v>5511</v>
      </c>
      <c r="L684" s="5">
        <f>XLOOKUP(N684, uom!C:C, uom!B:B, "Not Found")</f>
      </c>
      <c r="M684" s="1" t="s">
        <v>5511</v>
      </c>
      <c r="N684" s="8" t="s">
        <v>5512</v>
      </c>
      <c r="O684" s="1" t="s">
        <v>5513</v>
      </c>
      <c r="P684" s="5">
        <f>XLOOKUP(R684, classification!C:C, classification!B:B, "Not Found")</f>
      </c>
      <c r="Q684" s="1" t="s">
        <v>5514</v>
      </c>
      <c r="R684" s="2"/>
      <c r="S684" s="2"/>
      <c r="T684" s="2"/>
      <c r="U684" s="2"/>
    </row>
    <row x14ac:dyDescent="0.25" r="685" customHeight="1" ht="17.25">
      <c r="A685" s="7">
        <v>684</v>
      </c>
      <c r="B685" s="1" t="s">
        <v>6161</v>
      </c>
      <c r="C685" s="5">
        <f>CONCATENATE("PD", TEXT(A685, "1000000"))</f>
      </c>
      <c r="D685" s="7">
        <v>67</v>
      </c>
      <c r="E685" s="5">
        <f>XLOOKUP(G685, item_category!C:C, item_category!B:B, "Not Found")</f>
      </c>
      <c r="F685" s="1" t="s">
        <v>5516</v>
      </c>
      <c r="G685" s="5">
        <f>XLOOKUP(I685, drug!B:B, drug!A:A, "Not Found")</f>
      </c>
      <c r="H685" s="1" t="s">
        <v>1442</v>
      </c>
      <c r="I685" s="7">
        <v>1</v>
      </c>
      <c r="J685" s="5">
        <f>XLOOKUP(L685, uom!C:C, uom!B:B, "Not Found")</f>
      </c>
      <c r="K685" s="1" t="s">
        <v>5511</v>
      </c>
      <c r="L685" s="5">
        <f>XLOOKUP(N685, uom!C:C, uom!B:B, "Not Found")</f>
      </c>
      <c r="M685" s="1" t="s">
        <v>5511</v>
      </c>
      <c r="N685" s="8" t="s">
        <v>5512</v>
      </c>
      <c r="O685" s="1" t="s">
        <v>5513</v>
      </c>
      <c r="P685" s="5">
        <f>XLOOKUP(R685, classification!C:C, classification!B:B, "Not Found")</f>
      </c>
      <c r="Q685" s="1" t="s">
        <v>5514</v>
      </c>
      <c r="R685" s="2"/>
      <c r="S685" s="2"/>
      <c r="T685" s="2"/>
      <c r="U685" s="2"/>
    </row>
    <row x14ac:dyDescent="0.25" r="686" customHeight="1" ht="17.25">
      <c r="A686" s="7">
        <v>685</v>
      </c>
      <c r="B686" s="1" t="s">
        <v>6162</v>
      </c>
      <c r="C686" s="5">
        <f>CONCATENATE("PD", TEXT(A686, "1000000"))</f>
      </c>
      <c r="D686" s="7">
        <v>67</v>
      </c>
      <c r="E686" s="5">
        <f>XLOOKUP(G686, item_category!C:C, item_category!B:B, "Not Found")</f>
      </c>
      <c r="F686" s="1" t="s">
        <v>5516</v>
      </c>
      <c r="G686" s="5">
        <f>XLOOKUP(I686, drug!B:B, drug!A:A, "Not Found")</f>
      </c>
      <c r="H686" s="1"/>
      <c r="I686" s="7">
        <v>1</v>
      </c>
      <c r="J686" s="5">
        <f>XLOOKUP(L686, uom!C:C, uom!B:B, "Not Found")</f>
      </c>
      <c r="K686" s="1" t="s">
        <v>5511</v>
      </c>
      <c r="L686" s="5">
        <f>XLOOKUP(N686, uom!C:C, uom!B:B, "Not Found")</f>
      </c>
      <c r="M686" s="1" t="s">
        <v>5511</v>
      </c>
      <c r="N686" s="8" t="s">
        <v>5512</v>
      </c>
      <c r="O686" s="1" t="s">
        <v>5513</v>
      </c>
      <c r="P686" s="5">
        <f>XLOOKUP(R686, classification!C:C, classification!B:B, "Not Found")</f>
      </c>
      <c r="Q686" s="1" t="s">
        <v>5514</v>
      </c>
      <c r="R686" s="2"/>
      <c r="S686" s="2"/>
      <c r="T686" s="2"/>
      <c r="U686" s="2"/>
    </row>
    <row x14ac:dyDescent="0.25" r="687" customHeight="1" ht="17.25">
      <c r="A687" s="7">
        <v>686</v>
      </c>
      <c r="B687" s="1" t="s">
        <v>6163</v>
      </c>
      <c r="C687" s="5">
        <f>CONCATENATE("PD", TEXT(A687, "1000000"))</f>
      </c>
      <c r="D687" s="7">
        <v>67</v>
      </c>
      <c r="E687" s="5">
        <f>XLOOKUP(G687, item_category!C:C, item_category!B:B, "Not Found")</f>
      </c>
      <c r="F687" s="1" t="s">
        <v>5516</v>
      </c>
      <c r="G687" s="5">
        <f>XLOOKUP(I687, drug!B:B, drug!A:A, "Not Found")</f>
      </c>
      <c r="H687" s="1"/>
      <c r="I687" s="7">
        <v>1</v>
      </c>
      <c r="J687" s="5">
        <f>XLOOKUP(L687, uom!C:C, uom!B:B, "Not Found")</f>
      </c>
      <c r="K687" s="1" t="s">
        <v>5511</v>
      </c>
      <c r="L687" s="5">
        <f>XLOOKUP(N687, uom!C:C, uom!B:B, "Not Found")</f>
      </c>
      <c r="M687" s="1" t="s">
        <v>5511</v>
      </c>
      <c r="N687" s="8" t="s">
        <v>5512</v>
      </c>
      <c r="O687" s="1" t="s">
        <v>5513</v>
      </c>
      <c r="P687" s="5">
        <f>XLOOKUP(R687, classification!C:C, classification!B:B, "Not Found")</f>
      </c>
      <c r="Q687" s="1" t="s">
        <v>5514</v>
      </c>
      <c r="R687" s="2"/>
      <c r="S687" s="2"/>
      <c r="T687" s="2"/>
      <c r="U687" s="2"/>
    </row>
    <row x14ac:dyDescent="0.25" r="688" customHeight="1" ht="17.25">
      <c r="A688" s="7">
        <v>687</v>
      </c>
      <c r="B688" s="1" t="s">
        <v>6164</v>
      </c>
      <c r="C688" s="5">
        <f>CONCATENATE("PD", TEXT(A688, "1000000"))</f>
      </c>
      <c r="D688" s="7">
        <v>67</v>
      </c>
      <c r="E688" s="5">
        <f>XLOOKUP(G688, item_category!C:C, item_category!B:B, "Not Found")</f>
      </c>
      <c r="F688" s="1" t="s">
        <v>5516</v>
      </c>
      <c r="G688" s="5">
        <f>XLOOKUP(I688, drug!B:B, drug!A:A, "Not Found")</f>
      </c>
      <c r="H688" s="1"/>
      <c r="I688" s="7">
        <v>1</v>
      </c>
      <c r="J688" s="5">
        <f>XLOOKUP(L688, uom!C:C, uom!B:B, "Not Found")</f>
      </c>
      <c r="K688" s="1" t="s">
        <v>5511</v>
      </c>
      <c r="L688" s="5">
        <f>XLOOKUP(N688, uom!C:C, uom!B:B, "Not Found")</f>
      </c>
      <c r="M688" s="1" t="s">
        <v>5511</v>
      </c>
      <c r="N688" s="8" t="s">
        <v>5512</v>
      </c>
      <c r="O688" s="1" t="s">
        <v>5513</v>
      </c>
      <c r="P688" s="5">
        <f>XLOOKUP(R688, classification!C:C, classification!B:B, "Not Found")</f>
      </c>
      <c r="Q688" s="1" t="s">
        <v>5514</v>
      </c>
      <c r="R688" s="2"/>
      <c r="S688" s="2"/>
      <c r="T688" s="2"/>
      <c r="U688" s="2"/>
    </row>
    <row x14ac:dyDescent="0.25" r="689" customHeight="1" ht="17.25">
      <c r="A689" s="7">
        <v>688</v>
      </c>
      <c r="B689" s="1" t="s">
        <v>6165</v>
      </c>
      <c r="C689" s="5">
        <f>CONCATENATE("PD", TEXT(A689, "1000000"))</f>
      </c>
      <c r="D689" s="7">
        <v>67</v>
      </c>
      <c r="E689" s="5">
        <f>XLOOKUP(G689, item_category!C:C, item_category!B:B, "Not Found")</f>
      </c>
      <c r="F689" s="1" t="s">
        <v>5516</v>
      </c>
      <c r="G689" s="5">
        <f>XLOOKUP(I689, drug!B:B, drug!A:A, "Not Found")</f>
      </c>
      <c r="H689" s="1"/>
      <c r="I689" s="7">
        <v>1</v>
      </c>
      <c r="J689" s="5">
        <f>XLOOKUP(L689, uom!C:C, uom!B:B, "Not Found")</f>
      </c>
      <c r="K689" s="1" t="s">
        <v>5511</v>
      </c>
      <c r="L689" s="5">
        <f>XLOOKUP(N689, uom!C:C, uom!B:B, "Not Found")</f>
      </c>
      <c r="M689" s="1" t="s">
        <v>5511</v>
      </c>
      <c r="N689" s="8" t="s">
        <v>5512</v>
      </c>
      <c r="O689" s="1" t="s">
        <v>5513</v>
      </c>
      <c r="P689" s="5">
        <f>XLOOKUP(R689, classification!C:C, classification!B:B, "Not Found")</f>
      </c>
      <c r="Q689" s="1" t="s">
        <v>5514</v>
      </c>
      <c r="R689" s="2"/>
      <c r="S689" s="2"/>
      <c r="T689" s="2"/>
      <c r="U689" s="2"/>
    </row>
    <row x14ac:dyDescent="0.25" r="690" customHeight="1" ht="17.25">
      <c r="A690" s="7">
        <v>689</v>
      </c>
      <c r="B690" s="1" t="s">
        <v>6166</v>
      </c>
      <c r="C690" s="5">
        <f>CONCATENATE("PD", TEXT(A690, "1000000"))</f>
      </c>
      <c r="D690" s="7">
        <v>67</v>
      </c>
      <c r="E690" s="5">
        <f>XLOOKUP(G690, item_category!C:C, item_category!B:B, "Not Found")</f>
      </c>
      <c r="F690" s="1" t="s">
        <v>5516</v>
      </c>
      <c r="G690" s="5">
        <f>XLOOKUP(I690, drug!B:B, drug!A:A, "Not Found")</f>
      </c>
      <c r="H690" s="1" t="s">
        <v>156</v>
      </c>
      <c r="I690" s="7">
        <v>1</v>
      </c>
      <c r="J690" s="5">
        <f>XLOOKUP(L690, uom!C:C, uom!B:B, "Not Found")</f>
      </c>
      <c r="K690" s="1" t="s">
        <v>5511</v>
      </c>
      <c r="L690" s="5">
        <f>XLOOKUP(N690, uom!C:C, uom!B:B, "Not Found")</f>
      </c>
      <c r="M690" s="1" t="s">
        <v>5511</v>
      </c>
      <c r="N690" s="8" t="s">
        <v>5512</v>
      </c>
      <c r="O690" s="1" t="s">
        <v>5513</v>
      </c>
      <c r="P690" s="5">
        <f>XLOOKUP(R690, classification!C:C, classification!B:B, "Not Found")</f>
      </c>
      <c r="Q690" s="1" t="s">
        <v>5514</v>
      </c>
      <c r="R690" s="2"/>
      <c r="S690" s="2"/>
      <c r="T690" s="2"/>
      <c r="U690" s="2"/>
    </row>
    <row x14ac:dyDescent="0.25" r="691" customHeight="1" ht="17.25">
      <c r="A691" s="7">
        <v>690</v>
      </c>
      <c r="B691" s="1" t="s">
        <v>6167</v>
      </c>
      <c r="C691" s="5">
        <f>CONCATENATE("PD", TEXT(A691, "1000000"))</f>
      </c>
      <c r="D691" s="7">
        <v>67</v>
      </c>
      <c r="E691" s="5">
        <f>XLOOKUP(G691, item_category!C:C, item_category!B:B, "Not Found")</f>
      </c>
      <c r="F691" s="1" t="s">
        <v>5516</v>
      </c>
      <c r="G691" s="5">
        <f>XLOOKUP(I691, drug!B:B, drug!A:A, "Not Found")</f>
      </c>
      <c r="H691" s="1"/>
      <c r="I691" s="7">
        <v>1</v>
      </c>
      <c r="J691" s="5">
        <f>XLOOKUP(L691, uom!C:C, uom!B:B, "Not Found")</f>
      </c>
      <c r="K691" s="1" t="s">
        <v>5511</v>
      </c>
      <c r="L691" s="5">
        <f>XLOOKUP(N691, uom!C:C, uom!B:B, "Not Found")</f>
      </c>
      <c r="M691" s="1" t="s">
        <v>5511</v>
      </c>
      <c r="N691" s="8" t="s">
        <v>5512</v>
      </c>
      <c r="O691" s="1" t="s">
        <v>5513</v>
      </c>
      <c r="P691" s="5">
        <f>XLOOKUP(R691, classification!C:C, classification!B:B, "Not Found")</f>
      </c>
      <c r="Q691" s="1" t="s">
        <v>5514</v>
      </c>
      <c r="R691" s="2"/>
      <c r="S691" s="2"/>
      <c r="T691" s="2"/>
      <c r="U691" s="2"/>
    </row>
    <row x14ac:dyDescent="0.25" r="692" customHeight="1" ht="17.25">
      <c r="A692" s="7">
        <v>691</v>
      </c>
      <c r="B692" s="1" t="s">
        <v>6168</v>
      </c>
      <c r="C692" s="5">
        <f>CONCATENATE("PD", TEXT(A692, "1000000"))</f>
      </c>
      <c r="D692" s="7">
        <v>67</v>
      </c>
      <c r="E692" s="5">
        <f>XLOOKUP(G692, item_category!C:C, item_category!B:B, "Not Found")</f>
      </c>
      <c r="F692" s="1" t="s">
        <v>5516</v>
      </c>
      <c r="G692" s="5">
        <f>XLOOKUP(I692, drug!B:B, drug!A:A, "Not Found")</f>
      </c>
      <c r="H692" s="1"/>
      <c r="I692" s="7">
        <v>1</v>
      </c>
      <c r="J692" s="5">
        <f>XLOOKUP(L692, uom!C:C, uom!B:B, "Not Found")</f>
      </c>
      <c r="K692" s="1" t="s">
        <v>5511</v>
      </c>
      <c r="L692" s="5">
        <f>XLOOKUP(N692, uom!C:C, uom!B:B, "Not Found")</f>
      </c>
      <c r="M692" s="1" t="s">
        <v>5511</v>
      </c>
      <c r="N692" s="8" t="s">
        <v>5512</v>
      </c>
      <c r="O692" s="1" t="s">
        <v>5513</v>
      </c>
      <c r="P692" s="5">
        <f>XLOOKUP(R692, classification!C:C, classification!B:B, "Not Found")</f>
      </c>
      <c r="Q692" s="1" t="s">
        <v>5514</v>
      </c>
      <c r="R692" s="2"/>
      <c r="S692" s="2"/>
      <c r="T692" s="2"/>
      <c r="U692" s="2"/>
    </row>
    <row x14ac:dyDescent="0.25" r="693" customHeight="1" ht="17.25">
      <c r="A693" s="7">
        <v>692</v>
      </c>
      <c r="B693" s="1" t="s">
        <v>6169</v>
      </c>
      <c r="C693" s="5">
        <f>CONCATENATE("PD", TEXT(A693, "1000000"))</f>
      </c>
      <c r="D693" s="7">
        <v>67</v>
      </c>
      <c r="E693" s="5">
        <f>XLOOKUP(G693, item_category!C:C, item_category!B:B, "Not Found")</f>
      </c>
      <c r="F693" s="1" t="s">
        <v>5516</v>
      </c>
      <c r="G693" s="5">
        <f>XLOOKUP(I693, drug!B:B, drug!A:A, "Not Found")</f>
      </c>
      <c r="H693" s="1"/>
      <c r="I693" s="7">
        <v>1</v>
      </c>
      <c r="J693" s="5">
        <f>XLOOKUP(L693, uom!C:C, uom!B:B, "Not Found")</f>
      </c>
      <c r="K693" s="1" t="s">
        <v>5511</v>
      </c>
      <c r="L693" s="5">
        <f>XLOOKUP(N693, uom!C:C, uom!B:B, "Not Found")</f>
      </c>
      <c r="M693" s="1" t="s">
        <v>5511</v>
      </c>
      <c r="N693" s="8" t="s">
        <v>5512</v>
      </c>
      <c r="O693" s="1" t="s">
        <v>5513</v>
      </c>
      <c r="P693" s="5">
        <f>XLOOKUP(R693, classification!C:C, classification!B:B, "Not Found")</f>
      </c>
      <c r="Q693" s="1" t="s">
        <v>5514</v>
      </c>
      <c r="R693" s="2"/>
      <c r="S693" s="2"/>
      <c r="T693" s="2"/>
      <c r="U693" s="2"/>
    </row>
    <row x14ac:dyDescent="0.25" r="694" customHeight="1" ht="17.25">
      <c r="A694" s="7">
        <v>693</v>
      </c>
      <c r="B694" s="1" t="s">
        <v>6170</v>
      </c>
      <c r="C694" s="5">
        <f>CONCATENATE("PD", TEXT(A694, "1000000"))</f>
      </c>
      <c r="D694" s="7">
        <v>67</v>
      </c>
      <c r="E694" s="5">
        <f>XLOOKUP(G694, item_category!C:C, item_category!B:B, "Not Found")</f>
      </c>
      <c r="F694" s="1" t="s">
        <v>5516</v>
      </c>
      <c r="G694" s="5">
        <f>XLOOKUP(I694, drug!B:B, drug!A:A, "Not Found")</f>
      </c>
      <c r="H694" s="1" t="s">
        <v>156</v>
      </c>
      <c r="I694" s="7">
        <v>1</v>
      </c>
      <c r="J694" s="5">
        <f>XLOOKUP(L694, uom!C:C, uom!B:B, "Not Found")</f>
      </c>
      <c r="K694" s="1" t="s">
        <v>5511</v>
      </c>
      <c r="L694" s="5">
        <f>XLOOKUP(N694, uom!C:C, uom!B:B, "Not Found")</f>
      </c>
      <c r="M694" s="1" t="s">
        <v>5511</v>
      </c>
      <c r="N694" s="8" t="s">
        <v>5512</v>
      </c>
      <c r="O694" s="1" t="s">
        <v>5513</v>
      </c>
      <c r="P694" s="5">
        <f>XLOOKUP(R694, classification!C:C, classification!B:B, "Not Found")</f>
      </c>
      <c r="Q694" s="1" t="s">
        <v>5514</v>
      </c>
      <c r="R694" s="2"/>
      <c r="S694" s="2"/>
      <c r="T694" s="2"/>
      <c r="U694" s="2"/>
    </row>
    <row x14ac:dyDescent="0.25" r="695" customHeight="1" ht="17.25">
      <c r="A695" s="7">
        <v>694</v>
      </c>
      <c r="B695" s="1" t="s">
        <v>6171</v>
      </c>
      <c r="C695" s="5">
        <f>CONCATENATE("PD", TEXT(A695, "1000000"))</f>
      </c>
      <c r="D695" s="7">
        <v>67</v>
      </c>
      <c r="E695" s="5">
        <f>XLOOKUP(G695, item_category!C:C, item_category!B:B, "Not Found")</f>
      </c>
      <c r="F695" s="1" t="s">
        <v>5516</v>
      </c>
      <c r="G695" s="5">
        <f>XLOOKUP(I695, drug!B:B, drug!A:A, "Not Found")</f>
      </c>
      <c r="H695" s="1" t="s">
        <v>954</v>
      </c>
      <c r="I695" s="7">
        <v>1</v>
      </c>
      <c r="J695" s="5">
        <f>XLOOKUP(L695, uom!C:C, uom!B:B, "Not Found")</f>
      </c>
      <c r="K695" s="1" t="s">
        <v>5511</v>
      </c>
      <c r="L695" s="5">
        <f>XLOOKUP(N695, uom!C:C, uom!B:B, "Not Found")</f>
      </c>
      <c r="M695" s="1" t="s">
        <v>5511</v>
      </c>
      <c r="N695" s="8" t="s">
        <v>5512</v>
      </c>
      <c r="O695" s="1" t="s">
        <v>5513</v>
      </c>
      <c r="P695" s="5">
        <f>XLOOKUP(R695, classification!C:C, classification!B:B, "Not Found")</f>
      </c>
      <c r="Q695" s="1" t="s">
        <v>5514</v>
      </c>
      <c r="R695" s="2"/>
      <c r="S695" s="2"/>
      <c r="T695" s="2"/>
      <c r="U695" s="2"/>
    </row>
    <row x14ac:dyDescent="0.25" r="696" customHeight="1" ht="17.25">
      <c r="A696" s="7">
        <v>695</v>
      </c>
      <c r="B696" s="1" t="s">
        <v>2162</v>
      </c>
      <c r="C696" s="5">
        <f>CONCATENATE("PD", TEXT(A696, "1000000"))</f>
      </c>
      <c r="D696" s="7">
        <v>67</v>
      </c>
      <c r="E696" s="5">
        <f>XLOOKUP(G696, item_category!C:C, item_category!B:B, "Not Found")</f>
      </c>
      <c r="F696" s="1" t="s">
        <v>5516</v>
      </c>
      <c r="G696" s="5">
        <f>XLOOKUP(I696, drug!B:B, drug!A:A, "Not Found")</f>
      </c>
      <c r="H696" s="1"/>
      <c r="I696" s="7">
        <v>1</v>
      </c>
      <c r="J696" s="5">
        <f>XLOOKUP(L696, uom!C:C, uom!B:B, "Not Found")</f>
      </c>
      <c r="K696" s="1" t="s">
        <v>5511</v>
      </c>
      <c r="L696" s="5">
        <f>XLOOKUP(N696, uom!C:C, uom!B:B, "Not Found")</f>
      </c>
      <c r="M696" s="1" t="s">
        <v>5511</v>
      </c>
      <c r="N696" s="8" t="s">
        <v>5512</v>
      </c>
      <c r="O696" s="1" t="s">
        <v>5513</v>
      </c>
      <c r="P696" s="5">
        <f>XLOOKUP(R696, classification!C:C, classification!B:B, "Not Found")</f>
      </c>
      <c r="Q696" s="1" t="s">
        <v>5514</v>
      </c>
      <c r="R696" s="2"/>
      <c r="S696" s="2"/>
      <c r="T696" s="2"/>
      <c r="U696" s="2"/>
    </row>
    <row x14ac:dyDescent="0.25" r="697" customHeight="1" ht="17.25">
      <c r="A697" s="7">
        <v>696</v>
      </c>
      <c r="B697" s="1" t="s">
        <v>6172</v>
      </c>
      <c r="C697" s="5">
        <f>CONCATENATE("PD", TEXT(A697, "1000000"))</f>
      </c>
      <c r="D697" s="7">
        <v>67</v>
      </c>
      <c r="E697" s="5">
        <f>XLOOKUP(G697, item_category!C:C, item_category!B:B, "Not Found")</f>
      </c>
      <c r="F697" s="1" t="s">
        <v>5516</v>
      </c>
      <c r="G697" s="5">
        <f>XLOOKUP(I697, drug!B:B, drug!A:A, "Not Found")</f>
      </c>
      <c r="H697" s="1"/>
      <c r="I697" s="7">
        <v>600</v>
      </c>
      <c r="J697" s="5">
        <f>XLOOKUP(L697, uom!C:C, uom!B:B, "Not Found")</f>
      </c>
      <c r="K697" s="1" t="s">
        <v>5618</v>
      </c>
      <c r="L697" s="5">
        <f>XLOOKUP(N697, uom!C:C, uom!B:B, "Not Found")</f>
      </c>
      <c r="M697" s="1" t="s">
        <v>5618</v>
      </c>
      <c r="N697" s="8" t="s">
        <v>5524</v>
      </c>
      <c r="O697" s="1" t="s">
        <v>5525</v>
      </c>
      <c r="P697" s="5">
        <f>XLOOKUP(R697, classification!C:C, classification!B:B, "Not Found")</f>
      </c>
      <c r="Q697" s="1" t="s">
        <v>5514</v>
      </c>
      <c r="R697" s="2"/>
      <c r="S697" s="2"/>
      <c r="T697" s="2"/>
      <c r="U697" s="2"/>
    </row>
    <row x14ac:dyDescent="0.25" r="698" customHeight="1" ht="17.25">
      <c r="A698" s="7">
        <v>697</v>
      </c>
      <c r="B698" s="1" t="s">
        <v>6173</v>
      </c>
      <c r="C698" s="5">
        <f>CONCATENATE("PD", TEXT(A698, "1000000"))</f>
      </c>
      <c r="D698" s="7">
        <v>67</v>
      </c>
      <c r="E698" s="5">
        <f>XLOOKUP(G698, item_category!C:C, item_category!B:B, "Not Found")</f>
      </c>
      <c r="F698" s="1" t="s">
        <v>5516</v>
      </c>
      <c r="G698" s="5">
        <f>XLOOKUP(I698, drug!B:B, drug!A:A, "Not Found")</f>
      </c>
      <c r="H698" s="1" t="s">
        <v>2134</v>
      </c>
      <c r="I698" s="7">
        <v>500</v>
      </c>
      <c r="J698" s="5">
        <f>XLOOKUP(L698, uom!C:C, uom!B:B, "Not Found")</f>
      </c>
      <c r="K698" s="1" t="s">
        <v>5602</v>
      </c>
      <c r="L698" s="5">
        <f>XLOOKUP(N698, uom!C:C, uom!B:B, "Not Found")</f>
      </c>
      <c r="M698" s="1" t="s">
        <v>5602</v>
      </c>
      <c r="N698" s="8" t="s">
        <v>5524</v>
      </c>
      <c r="O698" s="1" t="s">
        <v>5525</v>
      </c>
      <c r="P698" s="5">
        <f>XLOOKUP(R698, classification!C:C, classification!B:B, "Not Found")</f>
      </c>
      <c r="Q698" s="1" t="s">
        <v>5514</v>
      </c>
      <c r="R698" s="2"/>
      <c r="S698" s="2"/>
      <c r="T698" s="2"/>
      <c r="U698" s="2"/>
    </row>
    <row x14ac:dyDescent="0.25" r="699" customHeight="1" ht="17.25">
      <c r="A699" s="7">
        <v>698</v>
      </c>
      <c r="B699" s="1" t="s">
        <v>2166</v>
      </c>
      <c r="C699" s="5">
        <f>CONCATENATE("PD", TEXT(A699, "1000000"))</f>
      </c>
      <c r="D699" s="7">
        <v>67</v>
      </c>
      <c r="E699" s="5">
        <f>XLOOKUP(G699, item_category!C:C, item_category!B:B, "Not Found")</f>
      </c>
      <c r="F699" s="1" t="s">
        <v>5516</v>
      </c>
      <c r="G699" s="5">
        <f>XLOOKUP(I699, drug!B:B, drug!A:A, "Not Found")</f>
      </c>
      <c r="H699" s="1"/>
      <c r="I699" s="7">
        <v>1</v>
      </c>
      <c r="J699" s="5">
        <f>XLOOKUP(L699, uom!C:C, uom!B:B, "Not Found")</f>
      </c>
      <c r="K699" s="1" t="s">
        <v>5511</v>
      </c>
      <c r="L699" s="5">
        <f>XLOOKUP(N699, uom!C:C, uom!B:B, "Not Found")</f>
      </c>
      <c r="M699" s="1" t="s">
        <v>5511</v>
      </c>
      <c r="N699" s="8" t="s">
        <v>5512</v>
      </c>
      <c r="O699" s="1" t="s">
        <v>5513</v>
      </c>
      <c r="P699" s="5">
        <f>XLOOKUP(R699, classification!C:C, classification!B:B, "Not Found")</f>
      </c>
      <c r="Q699" s="1" t="s">
        <v>5514</v>
      </c>
      <c r="R699" s="2"/>
      <c r="S699" s="2"/>
      <c r="T699" s="2"/>
      <c r="U699" s="2"/>
    </row>
    <row x14ac:dyDescent="0.25" r="700" customHeight="1" ht="17.25">
      <c r="A700" s="7">
        <v>699</v>
      </c>
      <c r="B700" s="1" t="s">
        <v>6174</v>
      </c>
      <c r="C700" s="5">
        <f>CONCATENATE("PD", TEXT(A700, "1000000"))</f>
      </c>
      <c r="D700" s="7">
        <v>67</v>
      </c>
      <c r="E700" s="5">
        <f>XLOOKUP(G700, item_category!C:C, item_category!B:B, "Not Found")</f>
      </c>
      <c r="F700" s="1" t="s">
        <v>5516</v>
      </c>
      <c r="G700" s="5">
        <f>XLOOKUP(I700, drug!B:B, drug!A:A, "Not Found")</f>
      </c>
      <c r="H700" s="1"/>
      <c r="I700" s="7">
        <v>1</v>
      </c>
      <c r="J700" s="5">
        <f>XLOOKUP(L700, uom!C:C, uom!B:B, "Not Found")</f>
      </c>
      <c r="K700" s="1" t="s">
        <v>5511</v>
      </c>
      <c r="L700" s="5">
        <f>XLOOKUP(N700, uom!C:C, uom!B:B, "Not Found")</f>
      </c>
      <c r="M700" s="1" t="s">
        <v>5511</v>
      </c>
      <c r="N700" s="8" t="s">
        <v>5512</v>
      </c>
      <c r="O700" s="1" t="s">
        <v>5513</v>
      </c>
      <c r="P700" s="5">
        <f>XLOOKUP(R700, classification!C:C, classification!B:B, "Not Found")</f>
      </c>
      <c r="Q700" s="1" t="s">
        <v>5514</v>
      </c>
      <c r="R700" s="2"/>
      <c r="S700" s="2"/>
      <c r="T700" s="2"/>
      <c r="U700" s="2"/>
    </row>
    <row x14ac:dyDescent="0.25" r="701" customHeight="1" ht="17.25">
      <c r="A701" s="7">
        <v>700</v>
      </c>
      <c r="B701" s="1" t="s">
        <v>2170</v>
      </c>
      <c r="C701" s="5">
        <f>CONCATENATE("PD", TEXT(A701, "1000000"))</f>
      </c>
      <c r="D701" s="7">
        <v>67</v>
      </c>
      <c r="E701" s="5">
        <f>XLOOKUP(G701, item_category!C:C, item_category!B:B, "Not Found")</f>
      </c>
      <c r="F701" s="1" t="s">
        <v>5516</v>
      </c>
      <c r="G701" s="5">
        <f>XLOOKUP(I701, drug!B:B, drug!A:A, "Not Found")</f>
      </c>
      <c r="H701" s="1"/>
      <c r="I701" s="7">
        <v>1</v>
      </c>
      <c r="J701" s="5">
        <f>XLOOKUP(L701, uom!C:C, uom!B:B, "Not Found")</f>
      </c>
      <c r="K701" s="1" t="s">
        <v>5511</v>
      </c>
      <c r="L701" s="5">
        <f>XLOOKUP(N701, uom!C:C, uom!B:B, "Not Found")</f>
      </c>
      <c r="M701" s="1" t="s">
        <v>5511</v>
      </c>
      <c r="N701" s="8" t="s">
        <v>5512</v>
      </c>
      <c r="O701" s="1" t="s">
        <v>5513</v>
      </c>
      <c r="P701" s="5">
        <f>XLOOKUP(R701, classification!C:C, classification!B:B, "Not Found")</f>
      </c>
      <c r="Q701" s="1" t="s">
        <v>5514</v>
      </c>
      <c r="R701" s="2"/>
      <c r="S701" s="2"/>
      <c r="T701" s="2"/>
      <c r="U701" s="2"/>
    </row>
    <row x14ac:dyDescent="0.25" r="702" customHeight="1" ht="17.25">
      <c r="A702" s="7">
        <v>701</v>
      </c>
      <c r="B702" s="1" t="s">
        <v>6175</v>
      </c>
      <c r="C702" s="5">
        <f>CONCATENATE("PD", TEXT(A702, "1000000"))</f>
      </c>
      <c r="D702" s="7">
        <v>67</v>
      </c>
      <c r="E702" s="5">
        <f>XLOOKUP(G702, item_category!C:C, item_category!B:B, "Not Found")</f>
      </c>
      <c r="F702" s="1" t="s">
        <v>5516</v>
      </c>
      <c r="G702" s="5">
        <f>XLOOKUP(I702, drug!B:B, drug!A:A, "Not Found")</f>
      </c>
      <c r="H702" s="1"/>
      <c r="I702" s="7">
        <v>1</v>
      </c>
      <c r="J702" s="5">
        <f>XLOOKUP(L702, uom!C:C, uom!B:B, "Not Found")</f>
      </c>
      <c r="K702" s="1" t="s">
        <v>5511</v>
      </c>
      <c r="L702" s="5">
        <f>XLOOKUP(N702, uom!C:C, uom!B:B, "Not Found")</f>
      </c>
      <c r="M702" s="1" t="s">
        <v>5511</v>
      </c>
      <c r="N702" s="8" t="s">
        <v>5512</v>
      </c>
      <c r="O702" s="1" t="s">
        <v>5513</v>
      </c>
      <c r="P702" s="5">
        <f>XLOOKUP(R702, classification!C:C, classification!B:B, "Not Found")</f>
      </c>
      <c r="Q702" s="1" t="s">
        <v>5514</v>
      </c>
      <c r="R702" s="2"/>
      <c r="S702" s="2"/>
      <c r="T702" s="2"/>
      <c r="U702" s="2"/>
    </row>
    <row x14ac:dyDescent="0.25" r="703" customHeight="1" ht="17.25">
      <c r="A703" s="7">
        <v>702</v>
      </c>
      <c r="B703" s="1" t="s">
        <v>2174</v>
      </c>
      <c r="C703" s="5">
        <f>CONCATENATE("PD", TEXT(A703, "1000000"))</f>
      </c>
      <c r="D703" s="7">
        <v>67</v>
      </c>
      <c r="E703" s="5">
        <f>XLOOKUP(G703, item_category!C:C, item_category!B:B, "Not Found")</f>
      </c>
      <c r="F703" s="1" t="s">
        <v>5516</v>
      </c>
      <c r="G703" s="5">
        <f>XLOOKUP(I703, drug!B:B, drug!A:A, "Not Found")</f>
      </c>
      <c r="H703" s="1"/>
      <c r="I703" s="7">
        <v>1</v>
      </c>
      <c r="J703" s="5">
        <f>XLOOKUP(L703, uom!C:C, uom!B:B, "Not Found")</f>
      </c>
      <c r="K703" s="1" t="s">
        <v>5511</v>
      </c>
      <c r="L703" s="5">
        <f>XLOOKUP(N703, uom!C:C, uom!B:B, "Not Found")</f>
      </c>
      <c r="M703" s="1" t="s">
        <v>5511</v>
      </c>
      <c r="N703" s="8" t="s">
        <v>5512</v>
      </c>
      <c r="O703" s="1" t="s">
        <v>5513</v>
      </c>
      <c r="P703" s="5">
        <f>XLOOKUP(R703, classification!C:C, classification!B:B, "Not Found")</f>
      </c>
      <c r="Q703" s="1" t="s">
        <v>5514</v>
      </c>
      <c r="R703" s="2"/>
      <c r="S703" s="2"/>
      <c r="T703" s="2"/>
      <c r="U703" s="2"/>
    </row>
    <row x14ac:dyDescent="0.25" r="704" customHeight="1" ht="17.25">
      <c r="A704" s="7">
        <v>703</v>
      </c>
      <c r="B704" s="1" t="s">
        <v>6176</v>
      </c>
      <c r="C704" s="5">
        <f>CONCATENATE("PD", TEXT(A704, "1000000"))</f>
      </c>
      <c r="D704" s="7">
        <v>67</v>
      </c>
      <c r="E704" s="5">
        <f>XLOOKUP(G704, item_category!C:C, item_category!B:B, "Not Found")</f>
      </c>
      <c r="F704" s="1" t="s">
        <v>5516</v>
      </c>
      <c r="G704" s="5">
        <f>XLOOKUP(I704, drug!B:B, drug!A:A, "Not Found")</f>
      </c>
      <c r="H704" s="1"/>
      <c r="I704" s="7">
        <v>1</v>
      </c>
      <c r="J704" s="5">
        <f>XLOOKUP(L704, uom!C:C, uom!B:B, "Not Found")</f>
      </c>
      <c r="K704" s="1" t="s">
        <v>5511</v>
      </c>
      <c r="L704" s="5">
        <f>XLOOKUP(N704, uom!C:C, uom!B:B, "Not Found")</f>
      </c>
      <c r="M704" s="1" t="s">
        <v>5511</v>
      </c>
      <c r="N704" s="8" t="s">
        <v>5512</v>
      </c>
      <c r="O704" s="1" t="s">
        <v>5513</v>
      </c>
      <c r="P704" s="5">
        <f>XLOOKUP(R704, classification!C:C, classification!B:B, "Not Found")</f>
      </c>
      <c r="Q704" s="1" t="s">
        <v>5514</v>
      </c>
      <c r="R704" s="2"/>
      <c r="S704" s="2"/>
      <c r="T704" s="2"/>
      <c r="U704" s="2"/>
    </row>
    <row x14ac:dyDescent="0.25" r="705" customHeight="1" ht="17.25">
      <c r="A705" s="7">
        <v>704</v>
      </c>
      <c r="B705" s="1" t="s">
        <v>6177</v>
      </c>
      <c r="C705" s="5">
        <f>CONCATENATE("PD", TEXT(A705, "1000000"))</f>
      </c>
      <c r="D705" s="7">
        <v>67</v>
      </c>
      <c r="E705" s="5">
        <f>XLOOKUP(G705, item_category!C:C, item_category!B:B, "Not Found")</f>
      </c>
      <c r="F705" s="1" t="s">
        <v>5516</v>
      </c>
      <c r="G705" s="5">
        <f>XLOOKUP(I705, drug!B:B, drug!A:A, "Not Found")</f>
      </c>
      <c r="H705" s="1"/>
      <c r="I705" s="7">
        <v>1</v>
      </c>
      <c r="J705" s="5">
        <f>XLOOKUP(L705, uom!C:C, uom!B:B, "Not Found")</f>
      </c>
      <c r="K705" s="1" t="s">
        <v>5511</v>
      </c>
      <c r="L705" s="5">
        <f>XLOOKUP(N705, uom!C:C, uom!B:B, "Not Found")</f>
      </c>
      <c r="M705" s="1" t="s">
        <v>5511</v>
      </c>
      <c r="N705" s="8" t="s">
        <v>5512</v>
      </c>
      <c r="O705" s="1" t="s">
        <v>5513</v>
      </c>
      <c r="P705" s="5">
        <f>XLOOKUP(R705, classification!C:C, classification!B:B, "Not Found")</f>
      </c>
      <c r="Q705" s="1" t="s">
        <v>5514</v>
      </c>
      <c r="R705" s="2"/>
      <c r="S705" s="2"/>
      <c r="T705" s="2"/>
      <c r="U705" s="2"/>
    </row>
    <row x14ac:dyDescent="0.25" r="706" customHeight="1" ht="17.25">
      <c r="A706" s="7">
        <v>705</v>
      </c>
      <c r="B706" s="1" t="s">
        <v>6178</v>
      </c>
      <c r="C706" s="5">
        <f>CONCATENATE("PD", TEXT(A706, "1000000"))</f>
      </c>
      <c r="D706" s="7">
        <v>67</v>
      </c>
      <c r="E706" s="5">
        <f>XLOOKUP(G706, item_category!C:C, item_category!B:B, "Not Found")</f>
      </c>
      <c r="F706" s="1" t="s">
        <v>5516</v>
      </c>
      <c r="G706" s="5">
        <f>XLOOKUP(I706, drug!B:B, drug!A:A, "Not Found")</f>
      </c>
      <c r="H706" s="1"/>
      <c r="I706" s="7">
        <v>1</v>
      </c>
      <c r="J706" s="5">
        <f>XLOOKUP(L706, uom!C:C, uom!B:B, "Not Found")</f>
      </c>
      <c r="K706" s="1" t="s">
        <v>5511</v>
      </c>
      <c r="L706" s="5">
        <f>XLOOKUP(N706, uom!C:C, uom!B:B, "Not Found")</f>
      </c>
      <c r="M706" s="1" t="s">
        <v>5511</v>
      </c>
      <c r="N706" s="8" t="s">
        <v>5512</v>
      </c>
      <c r="O706" s="1" t="s">
        <v>5513</v>
      </c>
      <c r="P706" s="5">
        <f>XLOOKUP(R706, classification!C:C, classification!B:B, "Not Found")</f>
      </c>
      <c r="Q706" s="1" t="s">
        <v>5514</v>
      </c>
      <c r="R706" s="2"/>
      <c r="S706" s="2"/>
      <c r="T706" s="2"/>
      <c r="U706" s="2"/>
    </row>
    <row x14ac:dyDescent="0.25" r="707" customHeight="1" ht="17.25">
      <c r="A707" s="7">
        <v>706</v>
      </c>
      <c r="B707" s="1" t="s">
        <v>6179</v>
      </c>
      <c r="C707" s="5">
        <f>CONCATENATE("PD", TEXT(A707, "1000000"))</f>
      </c>
      <c r="D707" s="7">
        <v>67</v>
      </c>
      <c r="E707" s="5">
        <f>XLOOKUP(G707, item_category!C:C, item_category!B:B, "Not Found")</f>
      </c>
      <c r="F707" s="1" t="s">
        <v>5516</v>
      </c>
      <c r="G707" s="5">
        <f>XLOOKUP(I707, drug!B:B, drug!A:A, "Not Found")</f>
      </c>
      <c r="H707" s="1"/>
      <c r="I707" s="7">
        <v>1</v>
      </c>
      <c r="J707" s="5">
        <f>XLOOKUP(L707, uom!C:C, uom!B:B, "Not Found")</f>
      </c>
      <c r="K707" s="1" t="s">
        <v>5511</v>
      </c>
      <c r="L707" s="5">
        <f>XLOOKUP(N707, uom!C:C, uom!B:B, "Not Found")</f>
      </c>
      <c r="M707" s="1" t="s">
        <v>5511</v>
      </c>
      <c r="N707" s="8" t="s">
        <v>5512</v>
      </c>
      <c r="O707" s="1" t="s">
        <v>5513</v>
      </c>
      <c r="P707" s="5">
        <f>XLOOKUP(R707, classification!C:C, classification!B:B, "Not Found")</f>
      </c>
      <c r="Q707" s="1" t="s">
        <v>5514</v>
      </c>
      <c r="R707" s="2"/>
      <c r="S707" s="2"/>
      <c r="T707" s="2"/>
      <c r="U707" s="2"/>
    </row>
    <row x14ac:dyDescent="0.25" r="708" customHeight="1" ht="17.25">
      <c r="A708" s="7">
        <v>707</v>
      </c>
      <c r="B708" s="1" t="s">
        <v>2184</v>
      </c>
      <c r="C708" s="5">
        <f>CONCATENATE("PD", TEXT(A708, "1000000"))</f>
      </c>
      <c r="D708" s="7">
        <v>67</v>
      </c>
      <c r="E708" s="5">
        <f>XLOOKUP(G708, item_category!C:C, item_category!B:B, "Not Found")</f>
      </c>
      <c r="F708" s="1" t="s">
        <v>5516</v>
      </c>
      <c r="G708" s="5">
        <f>XLOOKUP(I708, drug!B:B, drug!A:A, "Not Found")</f>
      </c>
      <c r="H708" s="1"/>
      <c r="I708" s="7">
        <v>1</v>
      </c>
      <c r="J708" s="5">
        <f>XLOOKUP(L708, uom!C:C, uom!B:B, "Not Found")</f>
      </c>
      <c r="K708" s="1" t="s">
        <v>5511</v>
      </c>
      <c r="L708" s="5">
        <f>XLOOKUP(N708, uom!C:C, uom!B:B, "Not Found")</f>
      </c>
      <c r="M708" s="1" t="s">
        <v>5511</v>
      </c>
      <c r="N708" s="8" t="s">
        <v>5512</v>
      </c>
      <c r="O708" s="1" t="s">
        <v>5513</v>
      </c>
      <c r="P708" s="5">
        <f>XLOOKUP(R708, classification!C:C, classification!B:B, "Not Found")</f>
      </c>
      <c r="Q708" s="1" t="s">
        <v>5514</v>
      </c>
      <c r="R708" s="2"/>
      <c r="S708" s="2"/>
      <c r="T708" s="2"/>
      <c r="U708" s="2"/>
    </row>
    <row x14ac:dyDescent="0.25" r="709" customHeight="1" ht="17.25">
      <c r="A709" s="7">
        <v>708</v>
      </c>
      <c r="B709" s="1" t="s">
        <v>6180</v>
      </c>
      <c r="C709" s="5">
        <f>CONCATENATE("PD", TEXT(A709, "1000000"))</f>
      </c>
      <c r="D709" s="7">
        <v>67</v>
      </c>
      <c r="E709" s="5">
        <f>XLOOKUP(G709, item_category!C:C, item_category!B:B, "Not Found")</f>
      </c>
      <c r="F709" s="1" t="s">
        <v>5516</v>
      </c>
      <c r="G709" s="5">
        <f>XLOOKUP(I709, drug!B:B, drug!A:A, "Not Found")</f>
      </c>
      <c r="H709" s="1"/>
      <c r="I709" s="7">
        <v>1</v>
      </c>
      <c r="J709" s="5">
        <f>XLOOKUP(L709, uom!C:C, uom!B:B, "Not Found")</f>
      </c>
      <c r="K709" s="1" t="s">
        <v>5511</v>
      </c>
      <c r="L709" s="5">
        <f>XLOOKUP(N709, uom!C:C, uom!B:B, "Not Found")</f>
      </c>
      <c r="M709" s="1" t="s">
        <v>5511</v>
      </c>
      <c r="N709" s="8" t="s">
        <v>5512</v>
      </c>
      <c r="O709" s="1" t="s">
        <v>5513</v>
      </c>
      <c r="P709" s="5">
        <f>XLOOKUP(R709, classification!C:C, classification!B:B, "Not Found")</f>
      </c>
      <c r="Q709" s="1" t="s">
        <v>5514</v>
      </c>
      <c r="R709" s="2"/>
      <c r="S709" s="2"/>
      <c r="T709" s="2"/>
      <c r="U709" s="2"/>
    </row>
    <row x14ac:dyDescent="0.25" r="710" customHeight="1" ht="17.25">
      <c r="A710" s="7">
        <v>709</v>
      </c>
      <c r="B710" s="1" t="s">
        <v>6181</v>
      </c>
      <c r="C710" s="5">
        <f>CONCATENATE("PD", TEXT(A710, "1000000"))</f>
      </c>
      <c r="D710" s="7">
        <v>67</v>
      </c>
      <c r="E710" s="5">
        <f>XLOOKUP(G710, item_category!C:C, item_category!B:B, "Not Found")</f>
      </c>
      <c r="F710" s="1" t="s">
        <v>5516</v>
      </c>
      <c r="G710" s="5">
        <f>XLOOKUP(I710, drug!B:B, drug!A:A, "Not Found")</f>
      </c>
      <c r="H710" s="1"/>
      <c r="I710" s="7">
        <v>1</v>
      </c>
      <c r="J710" s="5">
        <f>XLOOKUP(L710, uom!C:C, uom!B:B, "Not Found")</f>
      </c>
      <c r="K710" s="1" t="s">
        <v>5511</v>
      </c>
      <c r="L710" s="5">
        <f>XLOOKUP(N710, uom!C:C, uom!B:B, "Not Found")</f>
      </c>
      <c r="M710" s="1" t="s">
        <v>5511</v>
      </c>
      <c r="N710" s="8" t="s">
        <v>5512</v>
      </c>
      <c r="O710" s="1" t="s">
        <v>5513</v>
      </c>
      <c r="P710" s="5">
        <f>XLOOKUP(R710, classification!C:C, classification!B:B, "Not Found")</f>
      </c>
      <c r="Q710" s="1" t="s">
        <v>5514</v>
      </c>
      <c r="R710" s="2"/>
      <c r="S710" s="2"/>
      <c r="T710" s="2"/>
      <c r="U710" s="2"/>
    </row>
    <row x14ac:dyDescent="0.25" r="711" customHeight="1" ht="17.25">
      <c r="A711" s="7">
        <v>710</v>
      </c>
      <c r="B711" s="1" t="s">
        <v>6182</v>
      </c>
      <c r="C711" s="5">
        <f>CONCATENATE("PD", TEXT(A711, "1000000"))</f>
      </c>
      <c r="D711" s="7">
        <v>67</v>
      </c>
      <c r="E711" s="5">
        <f>XLOOKUP(G711, item_category!C:C, item_category!B:B, "Not Found")</f>
      </c>
      <c r="F711" s="1" t="s">
        <v>5516</v>
      </c>
      <c r="G711" s="5">
        <f>XLOOKUP(I711, drug!B:B, drug!A:A, "Not Found")</f>
      </c>
      <c r="H711" s="1" t="s">
        <v>1942</v>
      </c>
      <c r="I711" s="7">
        <v>1</v>
      </c>
      <c r="J711" s="5">
        <f>XLOOKUP(L711, uom!C:C, uom!B:B, "Not Found")</f>
      </c>
      <c r="K711" s="1" t="s">
        <v>5511</v>
      </c>
      <c r="L711" s="5">
        <f>XLOOKUP(N711, uom!C:C, uom!B:B, "Not Found")</f>
      </c>
      <c r="M711" s="1" t="s">
        <v>5511</v>
      </c>
      <c r="N711" s="8" t="s">
        <v>5512</v>
      </c>
      <c r="O711" s="1" t="s">
        <v>5513</v>
      </c>
      <c r="P711" s="5">
        <f>XLOOKUP(R711, classification!C:C, classification!B:B, "Not Found")</f>
      </c>
      <c r="Q711" s="1" t="s">
        <v>5514</v>
      </c>
      <c r="R711" s="2"/>
      <c r="S711" s="2"/>
      <c r="T711" s="2"/>
      <c r="U711" s="2"/>
    </row>
    <row x14ac:dyDescent="0.25" r="712" customHeight="1" ht="17.25">
      <c r="A712" s="7">
        <v>711</v>
      </c>
      <c r="B712" s="1" t="s">
        <v>6183</v>
      </c>
      <c r="C712" s="5">
        <f>CONCATENATE("PD", TEXT(A712, "1000000"))</f>
      </c>
      <c r="D712" s="7">
        <v>67</v>
      </c>
      <c r="E712" s="5">
        <f>XLOOKUP(G712, item_category!C:C, item_category!B:B, "Not Found")</f>
      </c>
      <c r="F712" s="1" t="s">
        <v>5516</v>
      </c>
      <c r="G712" s="5">
        <f>XLOOKUP(I712, drug!B:B, drug!A:A, "Not Found")</f>
      </c>
      <c r="H712" s="1" t="s">
        <v>1942</v>
      </c>
      <c r="I712" s="7">
        <v>1</v>
      </c>
      <c r="J712" s="5">
        <f>XLOOKUP(L712, uom!C:C, uom!B:B, "Not Found")</f>
      </c>
      <c r="K712" s="1" t="s">
        <v>5511</v>
      </c>
      <c r="L712" s="5">
        <f>XLOOKUP(N712, uom!C:C, uom!B:B, "Not Found")</f>
      </c>
      <c r="M712" s="1" t="s">
        <v>5511</v>
      </c>
      <c r="N712" s="8" t="s">
        <v>5512</v>
      </c>
      <c r="O712" s="1" t="s">
        <v>5513</v>
      </c>
      <c r="P712" s="5">
        <f>XLOOKUP(R712, classification!C:C, classification!B:B, "Not Found")</f>
      </c>
      <c r="Q712" s="1" t="s">
        <v>5514</v>
      </c>
      <c r="R712" s="2"/>
      <c r="S712" s="2"/>
      <c r="T712" s="2"/>
      <c r="U712" s="2"/>
    </row>
    <row x14ac:dyDescent="0.25" r="713" customHeight="1" ht="17.25">
      <c r="A713" s="7">
        <v>712</v>
      </c>
      <c r="B713" s="1" t="s">
        <v>6184</v>
      </c>
      <c r="C713" s="5">
        <f>CONCATENATE("PD", TEXT(A713, "1000000"))</f>
      </c>
      <c r="D713" s="7">
        <v>67</v>
      </c>
      <c r="E713" s="5">
        <f>XLOOKUP(G713, item_category!C:C, item_category!B:B, "Not Found")</f>
      </c>
      <c r="F713" s="1" t="s">
        <v>5516</v>
      </c>
      <c r="G713" s="5">
        <f>XLOOKUP(I713, drug!B:B, drug!A:A, "Not Found")</f>
      </c>
      <c r="H713" s="1" t="s">
        <v>1942</v>
      </c>
      <c r="I713" s="7">
        <v>1</v>
      </c>
      <c r="J713" s="5">
        <f>XLOOKUP(L713, uom!C:C, uom!B:B, "Not Found")</f>
      </c>
      <c r="K713" s="1" t="s">
        <v>5511</v>
      </c>
      <c r="L713" s="5">
        <f>XLOOKUP(N713, uom!C:C, uom!B:B, "Not Found")</f>
      </c>
      <c r="M713" s="1" t="s">
        <v>5511</v>
      </c>
      <c r="N713" s="8" t="s">
        <v>5512</v>
      </c>
      <c r="O713" s="1" t="s">
        <v>5513</v>
      </c>
      <c r="P713" s="5">
        <f>XLOOKUP(R713, classification!C:C, classification!B:B, "Not Found")</f>
      </c>
      <c r="Q713" s="1" t="s">
        <v>5514</v>
      </c>
      <c r="R713" s="2"/>
      <c r="S713" s="2"/>
      <c r="T713" s="2"/>
      <c r="U713" s="2"/>
    </row>
    <row x14ac:dyDescent="0.25" r="714" customHeight="1" ht="17.25">
      <c r="A714" s="7">
        <v>713</v>
      </c>
      <c r="B714" s="1" t="s">
        <v>6185</v>
      </c>
      <c r="C714" s="5">
        <f>CONCATENATE("PD", TEXT(A714, "1000000"))</f>
      </c>
      <c r="D714" s="7">
        <v>1</v>
      </c>
      <c r="E714" s="5">
        <f>XLOOKUP(G714, item_category!C:C, item_category!B:B, "Not Found")</f>
      </c>
      <c r="F714" s="1" t="s">
        <v>5514</v>
      </c>
      <c r="G714" s="5">
        <f>XLOOKUP(I714, drug!B:B, drug!A:A, "Not Found")</f>
      </c>
      <c r="H714" s="1" t="s">
        <v>737</v>
      </c>
      <c r="I714" s="7">
        <v>850</v>
      </c>
      <c r="J714" s="5">
        <f>XLOOKUP(L714, uom!C:C, uom!B:B, "Not Found")</f>
      </c>
      <c r="K714" s="1" t="s">
        <v>6186</v>
      </c>
      <c r="L714" s="5">
        <f>XLOOKUP(N714, uom!C:C, uom!B:B, "Not Found")</f>
      </c>
      <c r="M714" s="1" t="s">
        <v>6186</v>
      </c>
      <c r="N714" s="8" t="s">
        <v>5524</v>
      </c>
      <c r="O714" s="1" t="s">
        <v>5525</v>
      </c>
      <c r="P714" s="5">
        <f>XLOOKUP(R714, classification!C:C, classification!B:B, "Not Found")</f>
      </c>
      <c r="Q714" s="1" t="s">
        <v>5514</v>
      </c>
      <c r="R714" s="2"/>
      <c r="S714" s="2"/>
      <c r="T714" s="2"/>
      <c r="U714" s="2"/>
    </row>
    <row x14ac:dyDescent="0.25" r="715" customHeight="1" ht="17.25">
      <c r="A715" s="7">
        <v>714</v>
      </c>
      <c r="B715" s="1" t="s">
        <v>6187</v>
      </c>
      <c r="C715" s="5">
        <f>CONCATENATE("PD", TEXT(A715, "1000000"))</f>
      </c>
      <c r="D715" s="7">
        <v>67</v>
      </c>
      <c r="E715" s="5">
        <f>XLOOKUP(G715, item_category!C:C, item_category!B:B, "Not Found")</f>
      </c>
      <c r="F715" s="1" t="s">
        <v>5516</v>
      </c>
      <c r="G715" s="5">
        <f>XLOOKUP(I715, drug!B:B, drug!A:A, "Not Found")</f>
      </c>
      <c r="H715" s="1"/>
      <c r="I715" s="7">
        <v>1</v>
      </c>
      <c r="J715" s="5">
        <f>XLOOKUP(L715, uom!C:C, uom!B:B, "Not Found")</f>
      </c>
      <c r="K715" s="1" t="s">
        <v>5511</v>
      </c>
      <c r="L715" s="5">
        <f>XLOOKUP(N715, uom!C:C, uom!B:B, "Not Found")</f>
      </c>
      <c r="M715" s="1" t="s">
        <v>5511</v>
      </c>
      <c r="N715" s="8" t="s">
        <v>5512</v>
      </c>
      <c r="O715" s="1" t="s">
        <v>5513</v>
      </c>
      <c r="P715" s="5">
        <f>XLOOKUP(R715, classification!C:C, classification!B:B, "Not Found")</f>
      </c>
      <c r="Q715" s="1" t="s">
        <v>5514</v>
      </c>
      <c r="R715" s="2"/>
      <c r="S715" s="2"/>
      <c r="T715" s="2"/>
      <c r="U715" s="2"/>
    </row>
    <row x14ac:dyDescent="0.25" r="716" customHeight="1" ht="17.25">
      <c r="A716" s="7">
        <v>715</v>
      </c>
      <c r="B716" s="1" t="s">
        <v>6188</v>
      </c>
      <c r="C716" s="5">
        <f>CONCATENATE("PD", TEXT(A716, "1000000"))</f>
      </c>
      <c r="D716" s="7">
        <v>67</v>
      </c>
      <c r="E716" s="5">
        <f>XLOOKUP(G716, item_category!C:C, item_category!B:B, "Not Found")</f>
      </c>
      <c r="F716" s="1" t="s">
        <v>5516</v>
      </c>
      <c r="G716" s="5">
        <f>XLOOKUP(I716, drug!B:B, drug!A:A, "Not Found")</f>
      </c>
      <c r="H716" s="1" t="s">
        <v>1228</v>
      </c>
      <c r="I716" s="7">
        <v>1</v>
      </c>
      <c r="J716" s="5">
        <f>XLOOKUP(L716, uom!C:C, uom!B:B, "Not Found")</f>
      </c>
      <c r="K716" s="1" t="s">
        <v>5511</v>
      </c>
      <c r="L716" s="5">
        <f>XLOOKUP(N716, uom!C:C, uom!B:B, "Not Found")</f>
      </c>
      <c r="M716" s="1" t="s">
        <v>5511</v>
      </c>
      <c r="N716" s="8" t="s">
        <v>5512</v>
      </c>
      <c r="O716" s="1" t="s">
        <v>5513</v>
      </c>
      <c r="P716" s="5">
        <f>XLOOKUP(R716, classification!C:C, classification!B:B, "Not Found")</f>
      </c>
      <c r="Q716" s="1" t="s">
        <v>5514</v>
      </c>
      <c r="R716" s="2"/>
      <c r="S716" s="2"/>
      <c r="T716" s="2"/>
      <c r="U716" s="2"/>
    </row>
    <row x14ac:dyDescent="0.25" r="717" customHeight="1" ht="17.25">
      <c r="A717" s="7">
        <v>716</v>
      </c>
      <c r="B717" s="1" t="s">
        <v>6189</v>
      </c>
      <c r="C717" s="5">
        <f>CONCATENATE("PD", TEXT(A717, "1000000"))</f>
      </c>
      <c r="D717" s="7">
        <v>67</v>
      </c>
      <c r="E717" s="5">
        <f>XLOOKUP(G717, item_category!C:C, item_category!B:B, "Not Found")</f>
      </c>
      <c r="F717" s="1" t="s">
        <v>5516</v>
      </c>
      <c r="G717" s="5">
        <f>XLOOKUP(I717, drug!B:B, drug!A:A, "Not Found")</f>
      </c>
      <c r="H717" s="1" t="s">
        <v>1228</v>
      </c>
      <c r="I717" s="7">
        <v>1</v>
      </c>
      <c r="J717" s="5">
        <f>XLOOKUP(L717, uom!C:C, uom!B:B, "Not Found")</f>
      </c>
      <c r="K717" s="1" t="s">
        <v>5511</v>
      </c>
      <c r="L717" s="5">
        <f>XLOOKUP(N717, uom!C:C, uom!B:B, "Not Found")</f>
      </c>
      <c r="M717" s="1" t="s">
        <v>5511</v>
      </c>
      <c r="N717" s="8" t="s">
        <v>5512</v>
      </c>
      <c r="O717" s="1" t="s">
        <v>5513</v>
      </c>
      <c r="P717" s="5">
        <f>XLOOKUP(R717, classification!C:C, classification!B:B, "Not Found")</f>
      </c>
      <c r="Q717" s="1" t="s">
        <v>5514</v>
      </c>
      <c r="R717" s="2"/>
      <c r="S717" s="2"/>
      <c r="T717" s="2"/>
      <c r="U717" s="2"/>
    </row>
    <row x14ac:dyDescent="0.25" r="718" customHeight="1" ht="17.25">
      <c r="A718" s="7">
        <v>717</v>
      </c>
      <c r="B718" s="1" t="s">
        <v>6190</v>
      </c>
      <c r="C718" s="5">
        <f>CONCATENATE("PD", TEXT(A718, "1000000"))</f>
      </c>
      <c r="D718" s="7">
        <v>67</v>
      </c>
      <c r="E718" s="5">
        <f>XLOOKUP(G718, item_category!C:C, item_category!B:B, "Not Found")</f>
      </c>
      <c r="F718" s="1" t="s">
        <v>5516</v>
      </c>
      <c r="G718" s="5">
        <f>XLOOKUP(I718, drug!B:B, drug!A:A, "Not Found")</f>
      </c>
      <c r="H718" s="1"/>
      <c r="I718" s="7">
        <v>1</v>
      </c>
      <c r="J718" s="5">
        <f>XLOOKUP(L718, uom!C:C, uom!B:B, "Not Found")</f>
      </c>
      <c r="K718" s="1" t="s">
        <v>5602</v>
      </c>
      <c r="L718" s="5">
        <f>XLOOKUP(N718, uom!C:C, uom!B:B, "Not Found")</f>
      </c>
      <c r="M718" s="1" t="s">
        <v>5602</v>
      </c>
      <c r="N718" s="8" t="s">
        <v>5512</v>
      </c>
      <c r="O718" s="1" t="s">
        <v>5525</v>
      </c>
      <c r="P718" s="5">
        <f>XLOOKUP(R718, classification!C:C, classification!B:B, "Not Found")</f>
      </c>
      <c r="Q718" s="1" t="s">
        <v>5514</v>
      </c>
      <c r="R718" s="2"/>
      <c r="S718" s="2"/>
      <c r="T718" s="2"/>
      <c r="U718" s="2"/>
    </row>
    <row x14ac:dyDescent="0.25" r="719" customHeight="1" ht="17.25">
      <c r="A719" s="7">
        <v>718</v>
      </c>
      <c r="B719" s="1" t="s">
        <v>6191</v>
      </c>
      <c r="C719" s="5">
        <f>CONCATENATE("PD", TEXT(A719, "1000000"))</f>
      </c>
      <c r="D719" s="7">
        <v>1</v>
      </c>
      <c r="E719" s="5">
        <f>XLOOKUP(G719, item_category!C:C, item_category!B:B, "Not Found")</f>
      </c>
      <c r="F719" s="1" t="s">
        <v>5514</v>
      </c>
      <c r="G719" s="5">
        <f>XLOOKUP(I719, drug!B:B, drug!A:A, "Not Found")</f>
      </c>
      <c r="H719" s="1" t="s">
        <v>295</v>
      </c>
      <c r="I719" s="7">
        <v>500</v>
      </c>
      <c r="J719" s="5">
        <f>XLOOKUP(L719, uom!C:C, uom!B:B, "Not Found")</f>
      </c>
      <c r="K719" s="1" t="s">
        <v>5604</v>
      </c>
      <c r="L719" s="5">
        <f>XLOOKUP(N719, uom!C:C, uom!B:B, "Not Found")</f>
      </c>
      <c r="M719" s="1" t="s">
        <v>5604</v>
      </c>
      <c r="N719" s="8" t="s">
        <v>5524</v>
      </c>
      <c r="O719" s="1" t="s">
        <v>5525</v>
      </c>
      <c r="P719" s="5">
        <f>XLOOKUP(R719, classification!C:C, classification!B:B, "Not Found")</f>
      </c>
      <c r="Q719" s="1" t="s">
        <v>5514</v>
      </c>
      <c r="R719" s="2"/>
      <c r="S719" s="2"/>
      <c r="T719" s="2"/>
      <c r="U719" s="2"/>
    </row>
    <row x14ac:dyDescent="0.25" r="720" customHeight="1" ht="17.25">
      <c r="A720" s="7">
        <v>719</v>
      </c>
      <c r="B720" s="1" t="s">
        <v>2194</v>
      </c>
      <c r="C720" s="5">
        <f>CONCATENATE("PD", TEXT(A720, "1000000"))</f>
      </c>
      <c r="D720" s="7">
        <v>67</v>
      </c>
      <c r="E720" s="5">
        <f>XLOOKUP(G720, item_category!C:C, item_category!B:B, "Not Found")</f>
      </c>
      <c r="F720" s="1" t="s">
        <v>5516</v>
      </c>
      <c r="G720" s="5">
        <f>XLOOKUP(I720, drug!B:B, drug!A:A, "Not Found")</f>
      </c>
      <c r="H720" s="1"/>
      <c r="I720" s="7">
        <v>1</v>
      </c>
      <c r="J720" s="5">
        <f>XLOOKUP(L720, uom!C:C, uom!B:B, "Not Found")</f>
      </c>
      <c r="K720" s="1" t="s">
        <v>5511</v>
      </c>
      <c r="L720" s="5">
        <f>XLOOKUP(N720, uom!C:C, uom!B:B, "Not Found")</f>
      </c>
      <c r="M720" s="1" t="s">
        <v>5511</v>
      </c>
      <c r="N720" s="8" t="s">
        <v>5512</v>
      </c>
      <c r="O720" s="1" t="s">
        <v>5513</v>
      </c>
      <c r="P720" s="5">
        <f>XLOOKUP(R720, classification!C:C, classification!B:B, "Not Found")</f>
      </c>
      <c r="Q720" s="1" t="s">
        <v>5514</v>
      </c>
      <c r="R720" s="2"/>
      <c r="S720" s="2"/>
      <c r="T720" s="2"/>
      <c r="U720" s="2"/>
    </row>
    <row x14ac:dyDescent="0.25" r="721" customHeight="1" ht="17.25">
      <c r="A721" s="7">
        <v>720</v>
      </c>
      <c r="B721" s="1" t="s">
        <v>6192</v>
      </c>
      <c r="C721" s="5">
        <f>CONCATENATE("PD", TEXT(A721, "1000000"))</f>
      </c>
      <c r="D721" s="7">
        <v>67</v>
      </c>
      <c r="E721" s="5">
        <f>XLOOKUP(G721, item_category!C:C, item_category!B:B, "Not Found")</f>
      </c>
      <c r="F721" s="1" t="s">
        <v>5516</v>
      </c>
      <c r="G721" s="5">
        <f>XLOOKUP(I721, drug!B:B, drug!A:A, "Not Found")</f>
      </c>
      <c r="H721" s="1"/>
      <c r="I721" s="7">
        <v>1</v>
      </c>
      <c r="J721" s="5">
        <f>XLOOKUP(L721, uom!C:C, uom!B:B, "Not Found")</f>
      </c>
      <c r="K721" s="1" t="s">
        <v>5511</v>
      </c>
      <c r="L721" s="5">
        <f>XLOOKUP(N721, uom!C:C, uom!B:B, "Not Found")</f>
      </c>
      <c r="M721" s="1" t="s">
        <v>5511</v>
      </c>
      <c r="N721" s="8" t="s">
        <v>5512</v>
      </c>
      <c r="O721" s="1" t="s">
        <v>5513</v>
      </c>
      <c r="P721" s="5">
        <f>XLOOKUP(R721, classification!C:C, classification!B:B, "Not Found")</f>
      </c>
      <c r="Q721" s="1" t="s">
        <v>5514</v>
      </c>
      <c r="R721" s="2"/>
      <c r="S721" s="2"/>
      <c r="T721" s="2"/>
      <c r="U721" s="2"/>
    </row>
    <row x14ac:dyDescent="0.25" r="722" customHeight="1" ht="17.25">
      <c r="A722" s="7">
        <v>721</v>
      </c>
      <c r="B722" s="1" t="s">
        <v>2198</v>
      </c>
      <c r="C722" s="5">
        <f>CONCATENATE("PD", TEXT(A722, "1000000"))</f>
      </c>
      <c r="D722" s="7">
        <v>67</v>
      </c>
      <c r="E722" s="5">
        <f>XLOOKUP(G722, item_category!C:C, item_category!B:B, "Not Found")</f>
      </c>
      <c r="F722" s="1" t="s">
        <v>5516</v>
      </c>
      <c r="G722" s="5">
        <f>XLOOKUP(I722, drug!B:B, drug!A:A, "Not Found")</f>
      </c>
      <c r="H722" s="1"/>
      <c r="I722" s="7">
        <v>1</v>
      </c>
      <c r="J722" s="5">
        <f>XLOOKUP(L722, uom!C:C, uom!B:B, "Not Found")</f>
      </c>
      <c r="K722" s="1" t="s">
        <v>5511</v>
      </c>
      <c r="L722" s="5">
        <f>XLOOKUP(N722, uom!C:C, uom!B:B, "Not Found")</f>
      </c>
      <c r="M722" s="1" t="s">
        <v>5511</v>
      </c>
      <c r="N722" s="8" t="s">
        <v>5512</v>
      </c>
      <c r="O722" s="1" t="s">
        <v>5513</v>
      </c>
      <c r="P722" s="5">
        <f>XLOOKUP(R722, classification!C:C, classification!B:B, "Not Found")</f>
      </c>
      <c r="Q722" s="1" t="s">
        <v>5514</v>
      </c>
      <c r="R722" s="2"/>
      <c r="S722" s="2"/>
      <c r="T722" s="2"/>
      <c r="U722" s="2"/>
    </row>
    <row x14ac:dyDescent="0.25" r="723" customHeight="1" ht="17.25">
      <c r="A723" s="7">
        <v>722</v>
      </c>
      <c r="B723" s="1" t="s">
        <v>6193</v>
      </c>
      <c r="C723" s="5">
        <f>CONCATENATE("PD", TEXT(A723, "1000000"))</f>
      </c>
      <c r="D723" s="7">
        <v>67</v>
      </c>
      <c r="E723" s="5">
        <f>XLOOKUP(G723, item_category!C:C, item_category!B:B, "Not Found")</f>
      </c>
      <c r="F723" s="1" t="s">
        <v>5516</v>
      </c>
      <c r="G723" s="5">
        <f>XLOOKUP(I723, drug!B:B, drug!A:A, "Not Found")</f>
      </c>
      <c r="H723" s="1"/>
      <c r="I723" s="7">
        <v>450</v>
      </c>
      <c r="J723" s="5">
        <f>XLOOKUP(L723, uom!C:C, uom!B:B, "Not Found")</f>
      </c>
      <c r="K723" s="1" t="s">
        <v>5602</v>
      </c>
      <c r="L723" s="5">
        <f>XLOOKUP(N723, uom!C:C, uom!B:B, "Not Found")</f>
      </c>
      <c r="M723" s="1" t="s">
        <v>5602</v>
      </c>
      <c r="N723" s="8" t="s">
        <v>5524</v>
      </c>
      <c r="O723" s="1" t="s">
        <v>5525</v>
      </c>
      <c r="P723" s="5">
        <f>XLOOKUP(R723, classification!C:C, classification!B:B, "Not Found")</f>
      </c>
      <c r="Q723" s="1" t="s">
        <v>5514</v>
      </c>
      <c r="R723" s="2"/>
      <c r="S723" s="2"/>
      <c r="T723" s="2"/>
      <c r="U723" s="2"/>
    </row>
    <row x14ac:dyDescent="0.25" r="724" customHeight="1" ht="17.25">
      <c r="A724" s="7">
        <v>723</v>
      </c>
      <c r="B724" s="1" t="s">
        <v>6194</v>
      </c>
      <c r="C724" s="5">
        <f>CONCATENATE("PD", TEXT(A724, "1000000"))</f>
      </c>
      <c r="D724" s="7">
        <v>67</v>
      </c>
      <c r="E724" s="5">
        <f>XLOOKUP(G724, item_category!C:C, item_category!B:B, "Not Found")</f>
      </c>
      <c r="F724" s="1" t="s">
        <v>5516</v>
      </c>
      <c r="G724" s="5">
        <f>XLOOKUP(I724, drug!B:B, drug!A:A, "Not Found")</f>
      </c>
      <c r="H724" s="1"/>
      <c r="I724" s="7">
        <v>650</v>
      </c>
      <c r="J724" s="5">
        <f>XLOOKUP(L724, uom!C:C, uom!B:B, "Not Found")</f>
      </c>
      <c r="K724" s="1" t="s">
        <v>5602</v>
      </c>
      <c r="L724" s="5">
        <f>XLOOKUP(N724, uom!C:C, uom!B:B, "Not Found")</f>
      </c>
      <c r="M724" s="1" t="s">
        <v>5602</v>
      </c>
      <c r="N724" s="8" t="s">
        <v>5524</v>
      </c>
      <c r="O724" s="1" t="s">
        <v>5525</v>
      </c>
      <c r="P724" s="5">
        <f>XLOOKUP(R724, classification!C:C, classification!B:B, "Not Found")</f>
      </c>
      <c r="Q724" s="1" t="s">
        <v>5514</v>
      </c>
      <c r="R724" s="2"/>
      <c r="S724" s="2"/>
      <c r="T724" s="2"/>
      <c r="U724" s="2"/>
    </row>
    <row x14ac:dyDescent="0.25" r="725" customHeight="1" ht="17.25">
      <c r="A725" s="7">
        <v>724</v>
      </c>
      <c r="B725" s="1" t="s">
        <v>6195</v>
      </c>
      <c r="C725" s="5">
        <f>CONCATENATE("PD", TEXT(A725, "1000000"))</f>
      </c>
      <c r="D725" s="7">
        <v>67</v>
      </c>
      <c r="E725" s="5">
        <f>XLOOKUP(G725, item_category!C:C, item_category!B:B, "Not Found")</f>
      </c>
      <c r="F725" s="1" t="s">
        <v>5516</v>
      </c>
      <c r="G725" s="5">
        <f>XLOOKUP(I725, drug!B:B, drug!A:A, "Not Found")</f>
      </c>
      <c r="H725" s="1"/>
      <c r="I725" s="7">
        <v>1250</v>
      </c>
      <c r="J725" s="5">
        <f>XLOOKUP(L725, uom!C:C, uom!B:B, "Not Found")</f>
      </c>
      <c r="K725" s="1" t="s">
        <v>5602</v>
      </c>
      <c r="L725" s="5">
        <f>XLOOKUP(N725, uom!C:C, uom!B:B, "Not Found")</f>
      </c>
      <c r="M725" s="1" t="s">
        <v>5602</v>
      </c>
      <c r="N725" s="8" t="s">
        <v>5524</v>
      </c>
      <c r="O725" s="1" t="s">
        <v>5525</v>
      </c>
      <c r="P725" s="5">
        <f>XLOOKUP(R725, classification!C:C, classification!B:B, "Not Found")</f>
      </c>
      <c r="Q725" s="1" t="s">
        <v>5514</v>
      </c>
      <c r="R725" s="2"/>
      <c r="S725" s="2"/>
      <c r="T725" s="2"/>
      <c r="U725" s="2"/>
    </row>
    <row x14ac:dyDescent="0.25" r="726" customHeight="1" ht="17.25">
      <c r="A726" s="7">
        <v>725</v>
      </c>
      <c r="B726" s="1" t="s">
        <v>6196</v>
      </c>
      <c r="C726" s="5">
        <f>CONCATENATE("PD", TEXT(A726, "1000000"))</f>
      </c>
      <c r="D726" s="7">
        <v>67</v>
      </c>
      <c r="E726" s="5">
        <f>XLOOKUP(G726, item_category!C:C, item_category!B:B, "Not Found")</f>
      </c>
      <c r="F726" s="1" t="s">
        <v>5516</v>
      </c>
      <c r="G726" s="5">
        <f>XLOOKUP(I726, drug!B:B, drug!A:A, "Not Found")</f>
      </c>
      <c r="H726" s="1"/>
      <c r="I726" s="7">
        <v>1</v>
      </c>
      <c r="J726" s="5">
        <f>XLOOKUP(L726, uom!C:C, uom!B:B, "Not Found")</f>
      </c>
      <c r="K726" s="1" t="s">
        <v>5511</v>
      </c>
      <c r="L726" s="5">
        <f>XLOOKUP(N726, uom!C:C, uom!B:B, "Not Found")</f>
      </c>
      <c r="M726" s="1" t="s">
        <v>5511</v>
      </c>
      <c r="N726" s="8" t="s">
        <v>5512</v>
      </c>
      <c r="O726" s="1" t="s">
        <v>5513</v>
      </c>
      <c r="P726" s="5">
        <f>XLOOKUP(R726, classification!C:C, classification!B:B, "Not Found")</f>
      </c>
      <c r="Q726" s="1" t="s">
        <v>5514</v>
      </c>
      <c r="R726" s="2"/>
      <c r="S726" s="2"/>
      <c r="T726" s="2"/>
      <c r="U726" s="2"/>
    </row>
    <row x14ac:dyDescent="0.25" r="727" customHeight="1" ht="17.25">
      <c r="A727" s="7">
        <v>726</v>
      </c>
      <c r="B727" s="1" t="s">
        <v>2208</v>
      </c>
      <c r="C727" s="5">
        <f>CONCATENATE("PD", TEXT(A727, "1000000"))</f>
      </c>
      <c r="D727" s="7">
        <v>67</v>
      </c>
      <c r="E727" s="5">
        <f>XLOOKUP(G727, item_category!C:C, item_category!B:B, "Not Found")</f>
      </c>
      <c r="F727" s="1" t="s">
        <v>5516</v>
      </c>
      <c r="G727" s="5">
        <f>XLOOKUP(I727, drug!B:B, drug!A:A, "Not Found")</f>
      </c>
      <c r="H727" s="1"/>
      <c r="I727" s="7">
        <v>1</v>
      </c>
      <c r="J727" s="5">
        <f>XLOOKUP(L727, uom!C:C, uom!B:B, "Not Found")</f>
      </c>
      <c r="K727" s="1" t="s">
        <v>5511</v>
      </c>
      <c r="L727" s="5">
        <f>XLOOKUP(N727, uom!C:C, uom!B:B, "Not Found")</f>
      </c>
      <c r="M727" s="1" t="s">
        <v>5511</v>
      </c>
      <c r="N727" s="8" t="s">
        <v>5512</v>
      </c>
      <c r="O727" s="1" t="s">
        <v>5513</v>
      </c>
      <c r="P727" s="5">
        <f>XLOOKUP(R727, classification!C:C, classification!B:B, "Not Found")</f>
      </c>
      <c r="Q727" s="1" t="s">
        <v>5514</v>
      </c>
      <c r="R727" s="2"/>
      <c r="S727" s="2"/>
      <c r="T727" s="2"/>
      <c r="U727" s="2"/>
    </row>
    <row x14ac:dyDescent="0.25" r="728" customHeight="1" ht="17.25">
      <c r="A728" s="7">
        <v>727</v>
      </c>
      <c r="B728" s="1" t="s">
        <v>2210</v>
      </c>
      <c r="C728" s="5">
        <f>CONCATENATE("PD", TEXT(A728, "1000000"))</f>
      </c>
      <c r="D728" s="7">
        <v>67</v>
      </c>
      <c r="E728" s="5">
        <f>XLOOKUP(G728, item_category!C:C, item_category!B:B, "Not Found")</f>
      </c>
      <c r="F728" s="1" t="s">
        <v>5516</v>
      </c>
      <c r="G728" s="5">
        <f>XLOOKUP(I728, drug!B:B, drug!A:A, "Not Found")</f>
      </c>
      <c r="H728" s="1"/>
      <c r="I728" s="7">
        <v>1</v>
      </c>
      <c r="J728" s="5">
        <f>XLOOKUP(L728, uom!C:C, uom!B:B, "Not Found")</f>
      </c>
      <c r="K728" s="1" t="s">
        <v>5511</v>
      </c>
      <c r="L728" s="5">
        <f>XLOOKUP(N728, uom!C:C, uom!B:B, "Not Found")</f>
      </c>
      <c r="M728" s="1" t="s">
        <v>5511</v>
      </c>
      <c r="N728" s="8" t="s">
        <v>5512</v>
      </c>
      <c r="O728" s="1" t="s">
        <v>5513</v>
      </c>
      <c r="P728" s="5">
        <f>XLOOKUP(R728, classification!C:C, classification!B:B, "Not Found")</f>
      </c>
      <c r="Q728" s="1" t="s">
        <v>5514</v>
      </c>
      <c r="R728" s="2"/>
      <c r="S728" s="2"/>
      <c r="T728" s="2"/>
      <c r="U728" s="2"/>
    </row>
    <row x14ac:dyDescent="0.25" r="729" customHeight="1" ht="17.25">
      <c r="A729" s="7">
        <v>728</v>
      </c>
      <c r="B729" s="1" t="s">
        <v>6197</v>
      </c>
      <c r="C729" s="5">
        <f>CONCATENATE("PD", TEXT(A729, "1000000"))</f>
      </c>
      <c r="D729" s="7">
        <v>67</v>
      </c>
      <c r="E729" s="5">
        <f>XLOOKUP(G729, item_category!C:C, item_category!B:B, "Not Found")</f>
      </c>
      <c r="F729" s="1" t="s">
        <v>5516</v>
      </c>
      <c r="G729" s="5">
        <f>XLOOKUP(I729, drug!B:B, drug!A:A, "Not Found")</f>
      </c>
      <c r="H729" s="1" t="s">
        <v>1942</v>
      </c>
      <c r="I729" s="7">
        <v>1</v>
      </c>
      <c r="J729" s="5">
        <f>XLOOKUP(L729, uom!C:C, uom!B:B, "Not Found")</f>
      </c>
      <c r="K729" s="1" t="s">
        <v>5511</v>
      </c>
      <c r="L729" s="5">
        <f>XLOOKUP(N729, uom!C:C, uom!B:B, "Not Found")</f>
      </c>
      <c r="M729" s="1" t="s">
        <v>5511</v>
      </c>
      <c r="N729" s="8" t="s">
        <v>5512</v>
      </c>
      <c r="O729" s="1" t="s">
        <v>5513</v>
      </c>
      <c r="P729" s="5">
        <f>XLOOKUP(R729, classification!C:C, classification!B:B, "Not Found")</f>
      </c>
      <c r="Q729" s="1" t="s">
        <v>5514</v>
      </c>
      <c r="R729" s="2"/>
      <c r="S729" s="2"/>
      <c r="T729" s="2"/>
      <c r="U729" s="2"/>
    </row>
    <row x14ac:dyDescent="0.25" r="730" customHeight="1" ht="17.25">
      <c r="A730" s="7">
        <v>729</v>
      </c>
      <c r="B730" s="1" t="s">
        <v>6198</v>
      </c>
      <c r="C730" s="5">
        <f>CONCATENATE("PD", TEXT(A730, "1000000"))</f>
      </c>
      <c r="D730" s="7">
        <v>67</v>
      </c>
      <c r="E730" s="5">
        <f>XLOOKUP(G730, item_category!C:C, item_category!B:B, "Not Found")</f>
      </c>
      <c r="F730" s="1" t="s">
        <v>5516</v>
      </c>
      <c r="G730" s="5">
        <f>XLOOKUP(I730, drug!B:B, drug!A:A, "Not Found")</f>
      </c>
      <c r="H730" s="1"/>
      <c r="I730" s="7">
        <v>1</v>
      </c>
      <c r="J730" s="5">
        <f>XLOOKUP(L730, uom!C:C, uom!B:B, "Not Found")</f>
      </c>
      <c r="K730" s="1" t="s">
        <v>5511</v>
      </c>
      <c r="L730" s="5">
        <f>XLOOKUP(N730, uom!C:C, uom!B:B, "Not Found")</f>
      </c>
      <c r="M730" s="1" t="s">
        <v>5511</v>
      </c>
      <c r="N730" s="8" t="s">
        <v>5512</v>
      </c>
      <c r="O730" s="1" t="s">
        <v>5513</v>
      </c>
      <c r="P730" s="5">
        <f>XLOOKUP(R730, classification!C:C, classification!B:B, "Not Found")</f>
      </c>
      <c r="Q730" s="1" t="s">
        <v>5514</v>
      </c>
      <c r="R730" s="2"/>
      <c r="S730" s="2"/>
      <c r="T730" s="2"/>
      <c r="U730" s="2"/>
    </row>
    <row x14ac:dyDescent="0.25" r="731" customHeight="1" ht="17.25">
      <c r="A731" s="7">
        <v>730</v>
      </c>
      <c r="B731" s="1" t="s">
        <v>2214</v>
      </c>
      <c r="C731" s="5">
        <f>CONCATENATE("PD", TEXT(A731, "1000000"))</f>
      </c>
      <c r="D731" s="7">
        <v>67</v>
      </c>
      <c r="E731" s="5">
        <f>XLOOKUP(G731, item_category!C:C, item_category!B:B, "Not Found")</f>
      </c>
      <c r="F731" s="1" t="s">
        <v>5516</v>
      </c>
      <c r="G731" s="5">
        <f>XLOOKUP(I731, drug!B:B, drug!A:A, "Not Found")</f>
      </c>
      <c r="H731" s="1"/>
      <c r="I731" s="7">
        <v>1</v>
      </c>
      <c r="J731" s="5">
        <f>XLOOKUP(L731, uom!C:C, uom!B:B, "Not Found")</f>
      </c>
      <c r="K731" s="1" t="s">
        <v>5511</v>
      </c>
      <c r="L731" s="5">
        <f>XLOOKUP(N731, uom!C:C, uom!B:B, "Not Found")</f>
      </c>
      <c r="M731" s="1" t="s">
        <v>5511</v>
      </c>
      <c r="N731" s="8" t="s">
        <v>5512</v>
      </c>
      <c r="O731" s="1" t="s">
        <v>5513</v>
      </c>
      <c r="P731" s="5">
        <f>XLOOKUP(R731, classification!C:C, classification!B:B, "Not Found")</f>
      </c>
      <c r="Q731" s="1" t="s">
        <v>5514</v>
      </c>
      <c r="R731" s="2"/>
      <c r="S731" s="2"/>
      <c r="T731" s="2"/>
      <c r="U731" s="2"/>
    </row>
    <row x14ac:dyDescent="0.25" r="732" customHeight="1" ht="17.25">
      <c r="A732" s="7">
        <v>731</v>
      </c>
      <c r="B732" s="1" t="s">
        <v>6199</v>
      </c>
      <c r="C732" s="5">
        <f>CONCATENATE("PD", TEXT(A732, "1000000"))</f>
      </c>
      <c r="D732" s="7">
        <v>67</v>
      </c>
      <c r="E732" s="5">
        <f>XLOOKUP(G732, item_category!C:C, item_category!B:B, "Not Found")</f>
      </c>
      <c r="F732" s="1" t="s">
        <v>5516</v>
      </c>
      <c r="G732" s="5">
        <f>XLOOKUP(I732, drug!B:B, drug!A:A, "Not Found")</f>
      </c>
      <c r="H732" s="1"/>
      <c r="I732" s="7">
        <v>1</v>
      </c>
      <c r="J732" s="5">
        <f>XLOOKUP(L732, uom!C:C, uom!B:B, "Not Found")</f>
      </c>
      <c r="K732" s="1" t="s">
        <v>5511</v>
      </c>
      <c r="L732" s="5">
        <f>XLOOKUP(N732, uom!C:C, uom!B:B, "Not Found")</f>
      </c>
      <c r="M732" s="1" t="s">
        <v>5511</v>
      </c>
      <c r="N732" s="8" t="s">
        <v>5512</v>
      </c>
      <c r="O732" s="1" t="s">
        <v>5513</v>
      </c>
      <c r="P732" s="5">
        <f>XLOOKUP(R732, classification!C:C, classification!B:B, "Not Found")</f>
      </c>
      <c r="Q732" s="1" t="s">
        <v>5514</v>
      </c>
      <c r="R732" s="2"/>
      <c r="S732" s="2"/>
      <c r="T732" s="2"/>
      <c r="U732" s="2"/>
    </row>
    <row x14ac:dyDescent="0.25" r="733" customHeight="1" ht="17.25">
      <c r="A733" s="7">
        <v>732</v>
      </c>
      <c r="B733" s="1" t="s">
        <v>6200</v>
      </c>
      <c r="C733" s="5">
        <f>CONCATENATE("PD", TEXT(A733, "1000000"))</f>
      </c>
      <c r="D733" s="7">
        <v>67</v>
      </c>
      <c r="E733" s="5">
        <f>XLOOKUP(G733, item_category!C:C, item_category!B:B, "Not Found")</f>
      </c>
      <c r="F733" s="1" t="s">
        <v>5516</v>
      </c>
      <c r="G733" s="5">
        <f>XLOOKUP(I733, drug!B:B, drug!A:A, "Not Found")</f>
      </c>
      <c r="H733" s="1"/>
      <c r="I733" s="7">
        <v>1</v>
      </c>
      <c r="J733" s="5">
        <f>XLOOKUP(L733, uom!C:C, uom!B:B, "Not Found")</f>
      </c>
      <c r="K733" s="1" t="s">
        <v>5511</v>
      </c>
      <c r="L733" s="5">
        <f>XLOOKUP(N733, uom!C:C, uom!B:B, "Not Found")</f>
      </c>
      <c r="M733" s="1" t="s">
        <v>5511</v>
      </c>
      <c r="N733" s="8" t="s">
        <v>5512</v>
      </c>
      <c r="O733" s="1" t="s">
        <v>5513</v>
      </c>
      <c r="P733" s="5">
        <f>XLOOKUP(R733, classification!C:C, classification!B:B, "Not Found")</f>
      </c>
      <c r="Q733" s="1" t="s">
        <v>5514</v>
      </c>
      <c r="R733" s="2"/>
      <c r="S733" s="2"/>
      <c r="T733" s="2"/>
      <c r="U733" s="2"/>
    </row>
    <row x14ac:dyDescent="0.25" r="734" customHeight="1" ht="17.25">
      <c r="A734" s="7">
        <v>733</v>
      </c>
      <c r="B734" s="1" t="s">
        <v>6201</v>
      </c>
      <c r="C734" s="5">
        <f>CONCATENATE("PD", TEXT(A734, "1000000"))</f>
      </c>
      <c r="D734" s="7">
        <v>67</v>
      </c>
      <c r="E734" s="5">
        <f>XLOOKUP(G734, item_category!C:C, item_category!B:B, "Not Found")</f>
      </c>
      <c r="F734" s="1" t="s">
        <v>5516</v>
      </c>
      <c r="G734" s="5">
        <f>XLOOKUP(I734, drug!B:B, drug!A:A, "Not Found")</f>
      </c>
      <c r="H734" s="1"/>
      <c r="I734" s="7">
        <v>1</v>
      </c>
      <c r="J734" s="5">
        <f>XLOOKUP(L734, uom!C:C, uom!B:B, "Not Found")</f>
      </c>
      <c r="K734" s="1" t="s">
        <v>5511</v>
      </c>
      <c r="L734" s="5">
        <f>XLOOKUP(N734, uom!C:C, uom!B:B, "Not Found")</f>
      </c>
      <c r="M734" s="1" t="s">
        <v>5511</v>
      </c>
      <c r="N734" s="8" t="s">
        <v>5512</v>
      </c>
      <c r="O734" s="1" t="s">
        <v>5513</v>
      </c>
      <c r="P734" s="5">
        <f>XLOOKUP(R734, classification!C:C, classification!B:B, "Not Found")</f>
      </c>
      <c r="Q734" s="1" t="s">
        <v>5514</v>
      </c>
      <c r="R734" s="2"/>
      <c r="S734" s="2"/>
      <c r="T734" s="2"/>
      <c r="U734" s="2"/>
    </row>
    <row x14ac:dyDescent="0.25" r="735" customHeight="1" ht="17.25">
      <c r="A735" s="7">
        <v>734</v>
      </c>
      <c r="B735" s="1" t="s">
        <v>6202</v>
      </c>
      <c r="C735" s="5">
        <f>CONCATENATE("PD", TEXT(A735, "1000000"))</f>
      </c>
      <c r="D735" s="7">
        <v>67</v>
      </c>
      <c r="E735" s="5">
        <f>XLOOKUP(G735, item_category!C:C, item_category!B:B, "Not Found")</f>
      </c>
      <c r="F735" s="1" t="s">
        <v>5516</v>
      </c>
      <c r="G735" s="5">
        <f>XLOOKUP(I735, drug!B:B, drug!A:A, "Not Found")</f>
      </c>
      <c r="H735" s="1"/>
      <c r="I735" s="7">
        <v>1</v>
      </c>
      <c r="J735" s="5">
        <f>XLOOKUP(L735, uom!C:C, uom!B:B, "Not Found")</f>
      </c>
      <c r="K735" s="1" t="s">
        <v>5511</v>
      </c>
      <c r="L735" s="5">
        <f>XLOOKUP(N735, uom!C:C, uom!B:B, "Not Found")</f>
      </c>
      <c r="M735" s="1" t="s">
        <v>5511</v>
      </c>
      <c r="N735" s="8" t="s">
        <v>5512</v>
      </c>
      <c r="O735" s="1" t="s">
        <v>5513</v>
      </c>
      <c r="P735" s="5">
        <f>XLOOKUP(R735, classification!C:C, classification!B:B, "Not Found")</f>
      </c>
      <c r="Q735" s="1" t="s">
        <v>5514</v>
      </c>
      <c r="R735" s="2"/>
      <c r="S735" s="2"/>
      <c r="T735" s="2"/>
      <c r="U735" s="2"/>
    </row>
    <row x14ac:dyDescent="0.25" r="736" customHeight="1" ht="17.25">
      <c r="A736" s="7">
        <v>735</v>
      </c>
      <c r="B736" s="1" t="s">
        <v>6203</v>
      </c>
      <c r="C736" s="5">
        <f>CONCATENATE("PD", TEXT(A736, "1000000"))</f>
      </c>
      <c r="D736" s="7">
        <v>67</v>
      </c>
      <c r="E736" s="5">
        <f>XLOOKUP(G736, item_category!C:C, item_category!B:B, "Not Found")</f>
      </c>
      <c r="F736" s="1" t="s">
        <v>5516</v>
      </c>
      <c r="G736" s="5">
        <f>XLOOKUP(I736, drug!B:B, drug!A:A, "Not Found")</f>
      </c>
      <c r="H736" s="1"/>
      <c r="I736" s="7">
        <v>1</v>
      </c>
      <c r="J736" s="5">
        <f>XLOOKUP(L736, uom!C:C, uom!B:B, "Not Found")</f>
      </c>
      <c r="K736" s="1" t="s">
        <v>5511</v>
      </c>
      <c r="L736" s="5">
        <f>XLOOKUP(N736, uom!C:C, uom!B:B, "Not Found")</f>
      </c>
      <c r="M736" s="1" t="s">
        <v>5511</v>
      </c>
      <c r="N736" s="8" t="s">
        <v>5512</v>
      </c>
      <c r="O736" s="1" t="s">
        <v>5513</v>
      </c>
      <c r="P736" s="5">
        <f>XLOOKUP(R736, classification!C:C, classification!B:B, "Not Found")</f>
      </c>
      <c r="Q736" s="1" t="s">
        <v>5514</v>
      </c>
      <c r="R736" s="2"/>
      <c r="S736" s="2"/>
      <c r="T736" s="2"/>
      <c r="U736" s="2"/>
    </row>
    <row x14ac:dyDescent="0.25" r="737" customHeight="1" ht="17.25">
      <c r="A737" s="7">
        <v>736</v>
      </c>
      <c r="B737" s="1" t="s">
        <v>6204</v>
      </c>
      <c r="C737" s="5">
        <f>CONCATENATE("PD", TEXT(A737, "1000000"))</f>
      </c>
      <c r="D737" s="7">
        <v>67</v>
      </c>
      <c r="E737" s="5">
        <f>XLOOKUP(G737, item_category!C:C, item_category!B:B, "Not Found")</f>
      </c>
      <c r="F737" s="1" t="s">
        <v>5516</v>
      </c>
      <c r="G737" s="5">
        <f>XLOOKUP(I737, drug!B:B, drug!A:A, "Not Found")</f>
      </c>
      <c r="H737" s="1"/>
      <c r="I737" s="7">
        <v>1</v>
      </c>
      <c r="J737" s="5">
        <f>XLOOKUP(L737, uom!C:C, uom!B:B, "Not Found")</f>
      </c>
      <c r="K737" s="1" t="s">
        <v>5511</v>
      </c>
      <c r="L737" s="5">
        <f>XLOOKUP(N737, uom!C:C, uom!B:B, "Not Found")</f>
      </c>
      <c r="M737" s="1" t="s">
        <v>5511</v>
      </c>
      <c r="N737" s="8" t="s">
        <v>5512</v>
      </c>
      <c r="O737" s="1" t="s">
        <v>5513</v>
      </c>
      <c r="P737" s="5">
        <f>XLOOKUP(R737, classification!C:C, classification!B:B, "Not Found")</f>
      </c>
      <c r="Q737" s="1" t="s">
        <v>5514</v>
      </c>
      <c r="R737" s="2"/>
      <c r="S737" s="2"/>
      <c r="T737" s="2"/>
      <c r="U737" s="2"/>
    </row>
    <row x14ac:dyDescent="0.25" r="738" customHeight="1" ht="17.25">
      <c r="A738" s="7">
        <v>737</v>
      </c>
      <c r="B738" s="1" t="s">
        <v>6205</v>
      </c>
      <c r="C738" s="5">
        <f>CONCATENATE("PD", TEXT(A738, "1000000"))</f>
      </c>
      <c r="D738" s="7">
        <v>67</v>
      </c>
      <c r="E738" s="5">
        <f>XLOOKUP(G738, item_category!C:C, item_category!B:B, "Not Found")</f>
      </c>
      <c r="F738" s="1" t="s">
        <v>5516</v>
      </c>
      <c r="G738" s="5">
        <f>XLOOKUP(I738, drug!B:B, drug!A:A, "Not Found")</f>
      </c>
      <c r="H738" s="1"/>
      <c r="I738" s="7">
        <v>1</v>
      </c>
      <c r="J738" s="5">
        <f>XLOOKUP(L738, uom!C:C, uom!B:B, "Not Found")</f>
      </c>
      <c r="K738" s="1" t="s">
        <v>5511</v>
      </c>
      <c r="L738" s="5">
        <f>XLOOKUP(N738, uom!C:C, uom!B:B, "Not Found")</f>
      </c>
      <c r="M738" s="1" t="s">
        <v>5511</v>
      </c>
      <c r="N738" s="8" t="s">
        <v>5512</v>
      </c>
      <c r="O738" s="1" t="s">
        <v>5513</v>
      </c>
      <c r="P738" s="5">
        <f>XLOOKUP(R738, classification!C:C, classification!B:B, "Not Found")</f>
      </c>
      <c r="Q738" s="1" t="s">
        <v>5514</v>
      </c>
      <c r="R738" s="2"/>
      <c r="S738" s="2"/>
      <c r="T738" s="2"/>
      <c r="U738" s="2"/>
    </row>
    <row x14ac:dyDescent="0.25" r="739" customHeight="1" ht="17.25">
      <c r="A739" s="7">
        <v>738</v>
      </c>
      <c r="B739" s="1" t="s">
        <v>2230</v>
      </c>
      <c r="C739" s="5">
        <f>CONCATENATE("PD", TEXT(A739, "1000000"))</f>
      </c>
      <c r="D739" s="7">
        <v>67</v>
      </c>
      <c r="E739" s="5">
        <f>XLOOKUP(G739, item_category!C:C, item_category!B:B, "Not Found")</f>
      </c>
      <c r="F739" s="1" t="s">
        <v>5516</v>
      </c>
      <c r="G739" s="5">
        <f>XLOOKUP(I739, drug!B:B, drug!A:A, "Not Found")</f>
      </c>
      <c r="H739" s="1"/>
      <c r="I739" s="7">
        <v>1</v>
      </c>
      <c r="J739" s="5">
        <f>XLOOKUP(L739, uom!C:C, uom!B:B, "Not Found")</f>
      </c>
      <c r="K739" s="1" t="s">
        <v>5511</v>
      </c>
      <c r="L739" s="5">
        <f>XLOOKUP(N739, uom!C:C, uom!B:B, "Not Found")</f>
      </c>
      <c r="M739" s="1" t="s">
        <v>5511</v>
      </c>
      <c r="N739" s="8" t="s">
        <v>5512</v>
      </c>
      <c r="O739" s="1" t="s">
        <v>5513</v>
      </c>
      <c r="P739" s="5">
        <f>XLOOKUP(R739, classification!C:C, classification!B:B, "Not Found")</f>
      </c>
      <c r="Q739" s="1" t="s">
        <v>5514</v>
      </c>
      <c r="R739" s="2"/>
      <c r="S739" s="2"/>
      <c r="T739" s="2"/>
      <c r="U739" s="2"/>
    </row>
    <row x14ac:dyDescent="0.25" r="740" customHeight="1" ht="17.25">
      <c r="A740" s="7">
        <v>739</v>
      </c>
      <c r="B740" s="1" t="s">
        <v>6206</v>
      </c>
      <c r="C740" s="5">
        <f>CONCATENATE("PD", TEXT(A740, "1000000"))</f>
      </c>
      <c r="D740" s="7">
        <v>67</v>
      </c>
      <c r="E740" s="5">
        <f>XLOOKUP(G740, item_category!C:C, item_category!B:B, "Not Found")</f>
      </c>
      <c r="F740" s="1" t="s">
        <v>5516</v>
      </c>
      <c r="G740" s="5">
        <f>XLOOKUP(I740, drug!B:B, drug!A:A, "Not Found")</f>
      </c>
      <c r="H740" s="1"/>
      <c r="I740" s="7">
        <v>1</v>
      </c>
      <c r="J740" s="5">
        <f>XLOOKUP(L740, uom!C:C, uom!B:B, "Not Found")</f>
      </c>
      <c r="K740" s="1" t="s">
        <v>5511</v>
      </c>
      <c r="L740" s="5">
        <f>XLOOKUP(N740, uom!C:C, uom!B:B, "Not Found")</f>
      </c>
      <c r="M740" s="1" t="s">
        <v>5511</v>
      </c>
      <c r="N740" s="8" t="s">
        <v>5512</v>
      </c>
      <c r="O740" s="1" t="s">
        <v>5513</v>
      </c>
      <c r="P740" s="5">
        <f>XLOOKUP(R740, classification!C:C, classification!B:B, "Not Found")</f>
      </c>
      <c r="Q740" s="1" t="s">
        <v>5514</v>
      </c>
      <c r="R740" s="2"/>
      <c r="S740" s="2"/>
      <c r="T740" s="2"/>
      <c r="U740" s="2"/>
    </row>
    <row x14ac:dyDescent="0.25" r="741" customHeight="1" ht="17.25">
      <c r="A741" s="7">
        <v>740</v>
      </c>
      <c r="B741" s="1" t="s">
        <v>6207</v>
      </c>
      <c r="C741" s="5">
        <f>CONCATENATE("PD", TEXT(A741, "1000000"))</f>
      </c>
      <c r="D741" s="7">
        <v>67</v>
      </c>
      <c r="E741" s="5">
        <f>XLOOKUP(G741, item_category!C:C, item_category!B:B, "Not Found")</f>
      </c>
      <c r="F741" s="1" t="s">
        <v>5516</v>
      </c>
      <c r="G741" s="5">
        <f>XLOOKUP(I741, drug!B:B, drug!A:A, "Not Found")</f>
      </c>
      <c r="H741" s="1"/>
      <c r="I741" s="7">
        <v>1</v>
      </c>
      <c r="J741" s="5">
        <f>XLOOKUP(L741, uom!C:C, uom!B:B, "Not Found")</f>
      </c>
      <c r="K741" s="1" t="s">
        <v>5511</v>
      </c>
      <c r="L741" s="5">
        <f>XLOOKUP(N741, uom!C:C, uom!B:B, "Not Found")</f>
      </c>
      <c r="M741" s="1" t="s">
        <v>5511</v>
      </c>
      <c r="N741" s="8" t="s">
        <v>5512</v>
      </c>
      <c r="O741" s="1" t="s">
        <v>5513</v>
      </c>
      <c r="P741" s="5">
        <f>XLOOKUP(R741, classification!C:C, classification!B:B, "Not Found")</f>
      </c>
      <c r="Q741" s="1" t="s">
        <v>5514</v>
      </c>
      <c r="R741" s="2"/>
      <c r="S741" s="2"/>
      <c r="T741" s="2"/>
      <c r="U741" s="2"/>
    </row>
    <row x14ac:dyDescent="0.25" r="742" customHeight="1" ht="17.25">
      <c r="A742" s="7">
        <v>741</v>
      </c>
      <c r="B742" s="1" t="s">
        <v>6208</v>
      </c>
      <c r="C742" s="5">
        <f>CONCATENATE("PD", TEXT(A742, "1000000"))</f>
      </c>
      <c r="D742" s="7">
        <v>67</v>
      </c>
      <c r="E742" s="5">
        <f>XLOOKUP(G742, item_category!C:C, item_category!B:B, "Not Found")</f>
      </c>
      <c r="F742" s="1" t="s">
        <v>5516</v>
      </c>
      <c r="G742" s="5">
        <f>XLOOKUP(I742, drug!B:B, drug!A:A, "Not Found")</f>
      </c>
      <c r="H742" s="1"/>
      <c r="I742" s="7">
        <v>1</v>
      </c>
      <c r="J742" s="5">
        <f>XLOOKUP(L742, uom!C:C, uom!B:B, "Not Found")</f>
      </c>
      <c r="K742" s="1" t="s">
        <v>5511</v>
      </c>
      <c r="L742" s="5">
        <f>XLOOKUP(N742, uom!C:C, uom!B:B, "Not Found")</f>
      </c>
      <c r="M742" s="1" t="s">
        <v>5511</v>
      </c>
      <c r="N742" s="8" t="s">
        <v>5512</v>
      </c>
      <c r="O742" s="1" t="s">
        <v>5513</v>
      </c>
      <c r="P742" s="5">
        <f>XLOOKUP(R742, classification!C:C, classification!B:B, "Not Found")</f>
      </c>
      <c r="Q742" s="1" t="s">
        <v>5514</v>
      </c>
      <c r="R742" s="2"/>
      <c r="S742" s="2"/>
      <c r="T742" s="2"/>
      <c r="U742" s="2"/>
    </row>
    <row x14ac:dyDescent="0.25" r="743" customHeight="1" ht="17.25">
      <c r="A743" s="7">
        <v>742</v>
      </c>
      <c r="B743" s="1" t="s">
        <v>6209</v>
      </c>
      <c r="C743" s="5">
        <f>CONCATENATE("PD", TEXT(A743, "1000000"))</f>
      </c>
      <c r="D743" s="7">
        <v>67</v>
      </c>
      <c r="E743" s="5">
        <f>XLOOKUP(G743, item_category!C:C, item_category!B:B, "Not Found")</f>
      </c>
      <c r="F743" s="1" t="s">
        <v>5516</v>
      </c>
      <c r="G743" s="5">
        <f>XLOOKUP(I743, drug!B:B, drug!A:A, "Not Found")</f>
      </c>
      <c r="H743" s="1"/>
      <c r="I743" s="7">
        <v>1</v>
      </c>
      <c r="J743" s="5">
        <f>XLOOKUP(L743, uom!C:C, uom!B:B, "Not Found")</f>
      </c>
      <c r="K743" s="1" t="s">
        <v>5511</v>
      </c>
      <c r="L743" s="5">
        <f>XLOOKUP(N743, uom!C:C, uom!B:B, "Not Found")</f>
      </c>
      <c r="M743" s="1" t="s">
        <v>5511</v>
      </c>
      <c r="N743" s="8" t="s">
        <v>5512</v>
      </c>
      <c r="O743" s="1" t="s">
        <v>5513</v>
      </c>
      <c r="P743" s="5">
        <f>XLOOKUP(R743, classification!C:C, classification!B:B, "Not Found")</f>
      </c>
      <c r="Q743" s="1" t="s">
        <v>5514</v>
      </c>
      <c r="R743" s="2"/>
      <c r="S743" s="2"/>
      <c r="T743" s="2"/>
      <c r="U743" s="2"/>
    </row>
    <row x14ac:dyDescent="0.25" r="744" customHeight="1" ht="17.25">
      <c r="A744" s="7">
        <v>743</v>
      </c>
      <c r="B744" s="1" t="s">
        <v>2240</v>
      </c>
      <c r="C744" s="5">
        <f>CONCATENATE("PD", TEXT(A744, "1000000"))</f>
      </c>
      <c r="D744" s="7">
        <v>67</v>
      </c>
      <c r="E744" s="5">
        <f>XLOOKUP(G744, item_category!C:C, item_category!B:B, "Not Found")</f>
      </c>
      <c r="F744" s="1" t="s">
        <v>5516</v>
      </c>
      <c r="G744" s="5">
        <f>XLOOKUP(I744, drug!B:B, drug!A:A, "Not Found")</f>
      </c>
      <c r="H744" s="1"/>
      <c r="I744" s="7">
        <v>1</v>
      </c>
      <c r="J744" s="5">
        <f>XLOOKUP(L744, uom!C:C, uom!B:B, "Not Found")</f>
      </c>
      <c r="K744" s="1" t="s">
        <v>5511</v>
      </c>
      <c r="L744" s="5">
        <f>XLOOKUP(N744, uom!C:C, uom!B:B, "Not Found")</f>
      </c>
      <c r="M744" s="1" t="s">
        <v>5511</v>
      </c>
      <c r="N744" s="8" t="s">
        <v>5512</v>
      </c>
      <c r="O744" s="1" t="s">
        <v>5513</v>
      </c>
      <c r="P744" s="5">
        <f>XLOOKUP(R744, classification!C:C, classification!B:B, "Not Found")</f>
      </c>
      <c r="Q744" s="1" t="s">
        <v>5514</v>
      </c>
      <c r="R744" s="2"/>
      <c r="S744" s="2"/>
      <c r="T744" s="2"/>
      <c r="U744" s="2"/>
    </row>
    <row x14ac:dyDescent="0.25" r="745" customHeight="1" ht="17.25">
      <c r="A745" s="7">
        <v>744</v>
      </c>
      <c r="B745" s="1" t="s">
        <v>2242</v>
      </c>
      <c r="C745" s="5">
        <f>CONCATENATE("PD", TEXT(A745, "1000000"))</f>
      </c>
      <c r="D745" s="7">
        <v>67</v>
      </c>
      <c r="E745" s="5">
        <f>XLOOKUP(G745, item_category!C:C, item_category!B:B, "Not Found")</f>
      </c>
      <c r="F745" s="1" t="s">
        <v>5516</v>
      </c>
      <c r="G745" s="5">
        <f>XLOOKUP(I745, drug!B:B, drug!A:A, "Not Found")</f>
      </c>
      <c r="H745" s="1"/>
      <c r="I745" s="7">
        <v>1</v>
      </c>
      <c r="J745" s="5">
        <f>XLOOKUP(L745, uom!C:C, uom!B:B, "Not Found")</f>
      </c>
      <c r="K745" s="1" t="s">
        <v>5511</v>
      </c>
      <c r="L745" s="5">
        <f>XLOOKUP(N745, uom!C:C, uom!B:B, "Not Found")</f>
      </c>
      <c r="M745" s="1" t="s">
        <v>5511</v>
      </c>
      <c r="N745" s="8" t="s">
        <v>5512</v>
      </c>
      <c r="O745" s="1" t="s">
        <v>5513</v>
      </c>
      <c r="P745" s="5">
        <f>XLOOKUP(R745, classification!C:C, classification!B:B, "Not Found")</f>
      </c>
      <c r="Q745" s="1" t="s">
        <v>5514</v>
      </c>
      <c r="R745" s="2"/>
      <c r="S745" s="2"/>
      <c r="T745" s="2"/>
      <c r="U745" s="2"/>
    </row>
    <row x14ac:dyDescent="0.25" r="746" customHeight="1" ht="17.25">
      <c r="A746" s="7">
        <v>745</v>
      </c>
      <c r="B746" s="1" t="s">
        <v>6210</v>
      </c>
      <c r="C746" s="5">
        <f>CONCATENATE("PD", TEXT(A746, "1000000"))</f>
      </c>
      <c r="D746" s="7">
        <v>67</v>
      </c>
      <c r="E746" s="5">
        <f>XLOOKUP(G746, item_category!C:C, item_category!B:B, "Not Found")</f>
      </c>
      <c r="F746" s="1" t="s">
        <v>5516</v>
      </c>
      <c r="G746" s="5">
        <f>XLOOKUP(I746, drug!B:B, drug!A:A, "Not Found")</f>
      </c>
      <c r="H746" s="1"/>
      <c r="I746" s="7">
        <v>1</v>
      </c>
      <c r="J746" s="5">
        <f>XLOOKUP(L746, uom!C:C, uom!B:B, "Not Found")</f>
      </c>
      <c r="K746" s="1" t="s">
        <v>5511</v>
      </c>
      <c r="L746" s="5">
        <f>XLOOKUP(N746, uom!C:C, uom!B:B, "Not Found")</f>
      </c>
      <c r="M746" s="1" t="s">
        <v>5511</v>
      </c>
      <c r="N746" s="8" t="s">
        <v>5512</v>
      </c>
      <c r="O746" s="1" t="s">
        <v>5513</v>
      </c>
      <c r="P746" s="5">
        <f>XLOOKUP(R746, classification!C:C, classification!B:B, "Not Found")</f>
      </c>
      <c r="Q746" s="1" t="s">
        <v>5514</v>
      </c>
      <c r="R746" s="2"/>
      <c r="S746" s="2"/>
      <c r="T746" s="2"/>
      <c r="U746" s="2"/>
    </row>
    <row x14ac:dyDescent="0.25" r="747" customHeight="1" ht="17.25">
      <c r="A747" s="7">
        <v>746</v>
      </c>
      <c r="B747" s="1" t="s">
        <v>6211</v>
      </c>
      <c r="C747" s="5">
        <f>CONCATENATE("PD", TEXT(A747, "1000000"))</f>
      </c>
      <c r="D747" s="7">
        <v>67</v>
      </c>
      <c r="E747" s="5">
        <f>XLOOKUP(G747, item_category!C:C, item_category!B:B, "Not Found")</f>
      </c>
      <c r="F747" s="1" t="s">
        <v>5516</v>
      </c>
      <c r="G747" s="5">
        <f>XLOOKUP(I747, drug!B:B, drug!A:A, "Not Found")</f>
      </c>
      <c r="H747" s="1"/>
      <c r="I747" s="7">
        <v>1</v>
      </c>
      <c r="J747" s="5">
        <f>XLOOKUP(L747, uom!C:C, uom!B:B, "Not Found")</f>
      </c>
      <c r="K747" s="1" t="s">
        <v>5511</v>
      </c>
      <c r="L747" s="5">
        <f>XLOOKUP(N747, uom!C:C, uom!B:B, "Not Found")</f>
      </c>
      <c r="M747" s="1" t="s">
        <v>5511</v>
      </c>
      <c r="N747" s="8" t="s">
        <v>5512</v>
      </c>
      <c r="O747" s="1" t="s">
        <v>5513</v>
      </c>
      <c r="P747" s="5">
        <f>XLOOKUP(R747, classification!C:C, classification!B:B, "Not Found")</f>
      </c>
      <c r="Q747" s="1" t="s">
        <v>5514</v>
      </c>
      <c r="R747" s="2"/>
      <c r="S747" s="2"/>
      <c r="T747" s="2"/>
      <c r="U747" s="2"/>
    </row>
    <row x14ac:dyDescent="0.25" r="748" customHeight="1" ht="17.25">
      <c r="A748" s="7">
        <v>747</v>
      </c>
      <c r="B748" s="1" t="s">
        <v>6212</v>
      </c>
      <c r="C748" s="5">
        <f>CONCATENATE("PD", TEXT(A748, "1000000"))</f>
      </c>
      <c r="D748" s="7">
        <v>67</v>
      </c>
      <c r="E748" s="5">
        <f>XLOOKUP(G748, item_category!C:C, item_category!B:B, "Not Found")</f>
      </c>
      <c r="F748" s="1" t="s">
        <v>5516</v>
      </c>
      <c r="G748" s="5">
        <f>XLOOKUP(I748, drug!B:B, drug!A:A, "Not Found")</f>
      </c>
      <c r="H748" s="1"/>
      <c r="I748" s="7">
        <v>1</v>
      </c>
      <c r="J748" s="5">
        <f>XLOOKUP(L748, uom!C:C, uom!B:B, "Not Found")</f>
      </c>
      <c r="K748" s="1" t="s">
        <v>5511</v>
      </c>
      <c r="L748" s="5">
        <f>XLOOKUP(N748, uom!C:C, uom!B:B, "Not Found")</f>
      </c>
      <c r="M748" s="1" t="s">
        <v>5511</v>
      </c>
      <c r="N748" s="8" t="s">
        <v>5512</v>
      </c>
      <c r="O748" s="1" t="s">
        <v>5513</v>
      </c>
      <c r="P748" s="5">
        <f>XLOOKUP(R748, classification!C:C, classification!B:B, "Not Found")</f>
      </c>
      <c r="Q748" s="1" t="s">
        <v>5514</v>
      </c>
      <c r="R748" s="2"/>
      <c r="S748" s="2"/>
      <c r="T748" s="2"/>
      <c r="U748" s="2"/>
    </row>
    <row x14ac:dyDescent="0.25" r="749" customHeight="1" ht="17.25">
      <c r="A749" s="7">
        <v>748</v>
      </c>
      <c r="B749" s="1" t="s">
        <v>6213</v>
      </c>
      <c r="C749" s="5">
        <f>CONCATENATE("PD", TEXT(A749, "1000000"))</f>
      </c>
      <c r="D749" s="7">
        <v>67</v>
      </c>
      <c r="E749" s="5">
        <f>XLOOKUP(G749, item_category!C:C, item_category!B:B, "Not Found")</f>
      </c>
      <c r="F749" s="1" t="s">
        <v>5516</v>
      </c>
      <c r="G749" s="5">
        <f>XLOOKUP(I749, drug!B:B, drug!A:A, "Not Found")</f>
      </c>
      <c r="H749" s="1"/>
      <c r="I749" s="7">
        <v>1</v>
      </c>
      <c r="J749" s="5">
        <f>XLOOKUP(L749, uom!C:C, uom!B:B, "Not Found")</f>
      </c>
      <c r="K749" s="1" t="s">
        <v>5511</v>
      </c>
      <c r="L749" s="5">
        <f>XLOOKUP(N749, uom!C:C, uom!B:B, "Not Found")</f>
      </c>
      <c r="M749" s="1" t="s">
        <v>5511</v>
      </c>
      <c r="N749" s="8" t="s">
        <v>5512</v>
      </c>
      <c r="O749" s="1" t="s">
        <v>5513</v>
      </c>
      <c r="P749" s="5">
        <f>XLOOKUP(R749, classification!C:C, classification!B:B, "Not Found")</f>
      </c>
      <c r="Q749" s="1" t="s">
        <v>5514</v>
      </c>
      <c r="R749" s="2"/>
      <c r="S749" s="2"/>
      <c r="T749" s="2"/>
      <c r="U749" s="2"/>
    </row>
    <row x14ac:dyDescent="0.25" r="750" customHeight="1" ht="17.25">
      <c r="A750" s="7">
        <v>749</v>
      </c>
      <c r="B750" s="1" t="s">
        <v>6214</v>
      </c>
      <c r="C750" s="5">
        <f>CONCATENATE("PD", TEXT(A750, "1000000"))</f>
      </c>
      <c r="D750" s="7">
        <v>67</v>
      </c>
      <c r="E750" s="5">
        <f>XLOOKUP(G750, item_category!C:C, item_category!B:B, "Not Found")</f>
      </c>
      <c r="F750" s="1" t="s">
        <v>5516</v>
      </c>
      <c r="G750" s="5">
        <f>XLOOKUP(I750, drug!B:B, drug!A:A, "Not Found")</f>
      </c>
      <c r="H750" s="1"/>
      <c r="I750" s="7">
        <v>550</v>
      </c>
      <c r="J750" s="5">
        <f>XLOOKUP(L750, uom!C:C, uom!B:B, "Not Found")</f>
      </c>
      <c r="K750" s="1" t="s">
        <v>5602</v>
      </c>
      <c r="L750" s="5">
        <f>XLOOKUP(N750, uom!C:C, uom!B:B, "Not Found")</f>
      </c>
      <c r="M750" s="1" t="s">
        <v>5602</v>
      </c>
      <c r="N750" s="8" t="s">
        <v>5524</v>
      </c>
      <c r="O750" s="1" t="s">
        <v>5525</v>
      </c>
      <c r="P750" s="5">
        <f>XLOOKUP(R750, classification!C:C, classification!B:B, "Not Found")</f>
      </c>
      <c r="Q750" s="1" t="s">
        <v>5514</v>
      </c>
      <c r="R750" s="2"/>
      <c r="S750" s="2"/>
      <c r="T750" s="2"/>
      <c r="U750" s="2"/>
    </row>
    <row x14ac:dyDescent="0.25" r="751" customHeight="1" ht="17.25">
      <c r="A751" s="7">
        <v>750</v>
      </c>
      <c r="B751" s="1" t="s">
        <v>6215</v>
      </c>
      <c r="C751" s="5">
        <f>CONCATENATE("PD", TEXT(A751, "1000000"))</f>
      </c>
      <c r="D751" s="7">
        <v>67</v>
      </c>
      <c r="E751" s="5">
        <f>XLOOKUP(G751, item_category!C:C, item_category!B:B, "Not Found")</f>
      </c>
      <c r="F751" s="1" t="s">
        <v>5516</v>
      </c>
      <c r="G751" s="5">
        <f>XLOOKUP(I751, drug!B:B, drug!A:A, "Not Found")</f>
      </c>
      <c r="H751" s="1"/>
      <c r="I751" s="7">
        <v>350</v>
      </c>
      <c r="J751" s="5">
        <f>XLOOKUP(L751, uom!C:C, uom!B:B, "Not Found")</f>
      </c>
      <c r="K751" s="1" t="s">
        <v>5602</v>
      </c>
      <c r="L751" s="5">
        <f>XLOOKUP(N751, uom!C:C, uom!B:B, "Not Found")</f>
      </c>
      <c r="M751" s="1" t="s">
        <v>5602</v>
      </c>
      <c r="N751" s="8" t="s">
        <v>5524</v>
      </c>
      <c r="O751" s="1" t="s">
        <v>5525</v>
      </c>
      <c r="P751" s="5">
        <f>XLOOKUP(R751, classification!C:C, classification!B:B, "Not Found")</f>
      </c>
      <c r="Q751" s="1" t="s">
        <v>5514</v>
      </c>
      <c r="R751" s="2"/>
      <c r="S751" s="2"/>
      <c r="T751" s="2"/>
      <c r="U751" s="2"/>
    </row>
    <row x14ac:dyDescent="0.25" r="752" customHeight="1" ht="17.25">
      <c r="A752" s="7">
        <v>751</v>
      </c>
      <c r="B752" s="1" t="s">
        <v>6216</v>
      </c>
      <c r="C752" s="5">
        <f>CONCATENATE("PD", TEXT(A752, "1000000"))</f>
      </c>
      <c r="D752" s="7">
        <v>67</v>
      </c>
      <c r="E752" s="5">
        <f>XLOOKUP(G752, item_category!C:C, item_category!B:B, "Not Found")</f>
      </c>
      <c r="F752" s="1" t="s">
        <v>5516</v>
      </c>
      <c r="G752" s="5">
        <f>XLOOKUP(I752, drug!B:B, drug!A:A, "Not Found")</f>
      </c>
      <c r="H752" s="1"/>
      <c r="I752" s="7">
        <v>1</v>
      </c>
      <c r="J752" s="5">
        <f>XLOOKUP(L752, uom!C:C, uom!B:B, "Not Found")</f>
      </c>
      <c r="K752" s="1" t="s">
        <v>5511</v>
      </c>
      <c r="L752" s="5">
        <f>XLOOKUP(N752, uom!C:C, uom!B:B, "Not Found")</f>
      </c>
      <c r="M752" s="1" t="s">
        <v>5511</v>
      </c>
      <c r="N752" s="8" t="s">
        <v>5512</v>
      </c>
      <c r="O752" s="1" t="s">
        <v>5513</v>
      </c>
      <c r="P752" s="5">
        <f>XLOOKUP(R752, classification!C:C, classification!B:B, "Not Found")</f>
      </c>
      <c r="Q752" s="1" t="s">
        <v>5514</v>
      </c>
      <c r="R752" s="2"/>
      <c r="S752" s="2"/>
      <c r="T752" s="2"/>
      <c r="U752" s="2"/>
    </row>
    <row x14ac:dyDescent="0.25" r="753" customHeight="1" ht="17.25">
      <c r="A753" s="7">
        <v>752</v>
      </c>
      <c r="B753" s="1" t="s">
        <v>6217</v>
      </c>
      <c r="C753" s="5">
        <f>CONCATENATE("PD", TEXT(A753, "1000000"))</f>
      </c>
      <c r="D753" s="7">
        <v>67</v>
      </c>
      <c r="E753" s="5">
        <f>XLOOKUP(G753, item_category!C:C, item_category!B:B, "Not Found")</f>
      </c>
      <c r="F753" s="1" t="s">
        <v>5516</v>
      </c>
      <c r="G753" s="5">
        <f>XLOOKUP(I753, drug!B:B, drug!A:A, "Not Found")</f>
      </c>
      <c r="H753" s="1"/>
      <c r="I753" s="7">
        <v>1</v>
      </c>
      <c r="J753" s="5">
        <f>XLOOKUP(L753, uom!C:C, uom!B:B, "Not Found")</f>
      </c>
      <c r="K753" s="1" t="s">
        <v>5511</v>
      </c>
      <c r="L753" s="5">
        <f>XLOOKUP(N753, uom!C:C, uom!B:B, "Not Found")</f>
      </c>
      <c r="M753" s="1" t="s">
        <v>5511</v>
      </c>
      <c r="N753" s="8" t="s">
        <v>5512</v>
      </c>
      <c r="O753" s="1" t="s">
        <v>5513</v>
      </c>
      <c r="P753" s="5">
        <f>XLOOKUP(R753, classification!C:C, classification!B:B, "Not Found")</f>
      </c>
      <c r="Q753" s="1" t="s">
        <v>5514</v>
      </c>
      <c r="R753" s="2"/>
      <c r="S753" s="2"/>
      <c r="T753" s="2"/>
      <c r="U753" s="2"/>
    </row>
    <row x14ac:dyDescent="0.25" r="754" customHeight="1" ht="17.25">
      <c r="A754" s="7">
        <v>753</v>
      </c>
      <c r="B754" s="1" t="s">
        <v>2256</v>
      </c>
      <c r="C754" s="5">
        <f>CONCATENATE("PD", TEXT(A754, "1000000"))</f>
      </c>
      <c r="D754" s="7">
        <v>67</v>
      </c>
      <c r="E754" s="5">
        <f>XLOOKUP(G754, item_category!C:C, item_category!B:B, "Not Found")</f>
      </c>
      <c r="F754" s="1" t="s">
        <v>5516</v>
      </c>
      <c r="G754" s="5">
        <f>XLOOKUP(I754, drug!B:B, drug!A:A, "Not Found")</f>
      </c>
      <c r="H754" s="1"/>
      <c r="I754" s="7">
        <v>1</v>
      </c>
      <c r="J754" s="5">
        <f>XLOOKUP(L754, uom!C:C, uom!B:B, "Not Found")</f>
      </c>
      <c r="K754" s="1" t="s">
        <v>5511</v>
      </c>
      <c r="L754" s="5">
        <f>XLOOKUP(N754, uom!C:C, uom!B:B, "Not Found")</f>
      </c>
      <c r="M754" s="1" t="s">
        <v>5511</v>
      </c>
      <c r="N754" s="8" t="s">
        <v>5512</v>
      </c>
      <c r="O754" s="1" t="s">
        <v>5513</v>
      </c>
      <c r="P754" s="5">
        <f>XLOOKUP(R754, classification!C:C, classification!B:B, "Not Found")</f>
      </c>
      <c r="Q754" s="1" t="s">
        <v>5514</v>
      </c>
      <c r="R754" s="2"/>
      <c r="S754" s="2"/>
      <c r="T754" s="2"/>
      <c r="U754" s="2"/>
    </row>
    <row x14ac:dyDescent="0.25" r="755" customHeight="1" ht="17.25">
      <c r="A755" s="7">
        <v>754</v>
      </c>
      <c r="B755" s="1" t="s">
        <v>6218</v>
      </c>
      <c r="C755" s="5">
        <f>CONCATENATE("PD", TEXT(A755, "1000000"))</f>
      </c>
      <c r="D755" s="7">
        <v>67</v>
      </c>
      <c r="E755" s="5">
        <f>XLOOKUP(G755, item_category!C:C, item_category!B:B, "Not Found")</f>
      </c>
      <c r="F755" s="1" t="s">
        <v>5516</v>
      </c>
      <c r="G755" s="5">
        <f>XLOOKUP(I755, drug!B:B, drug!A:A, "Not Found")</f>
      </c>
      <c r="H755" s="1"/>
      <c r="I755" s="7">
        <v>1</v>
      </c>
      <c r="J755" s="5">
        <f>XLOOKUP(L755, uom!C:C, uom!B:B, "Not Found")</f>
      </c>
      <c r="K755" s="1" t="s">
        <v>5511</v>
      </c>
      <c r="L755" s="5">
        <f>XLOOKUP(N755, uom!C:C, uom!B:B, "Not Found")</f>
      </c>
      <c r="M755" s="1" t="s">
        <v>5511</v>
      </c>
      <c r="N755" s="8" t="s">
        <v>5512</v>
      </c>
      <c r="O755" s="1" t="s">
        <v>5513</v>
      </c>
      <c r="P755" s="5">
        <f>XLOOKUP(R755, classification!C:C, classification!B:B, "Not Found")</f>
      </c>
      <c r="Q755" s="1" t="s">
        <v>5514</v>
      </c>
      <c r="R755" s="2"/>
      <c r="S755" s="2"/>
      <c r="T755" s="2"/>
      <c r="U755" s="2"/>
    </row>
    <row x14ac:dyDescent="0.25" r="756" customHeight="1" ht="17.25">
      <c r="A756" s="7">
        <v>755</v>
      </c>
      <c r="B756" s="1" t="s">
        <v>6219</v>
      </c>
      <c r="C756" s="5">
        <f>CONCATENATE("PD", TEXT(A756, "1000000"))</f>
      </c>
      <c r="D756" s="7">
        <v>67</v>
      </c>
      <c r="E756" s="5">
        <f>XLOOKUP(G756, item_category!C:C, item_category!B:B, "Not Found")</f>
      </c>
      <c r="F756" s="1" t="s">
        <v>5516</v>
      </c>
      <c r="G756" s="5">
        <f>XLOOKUP(I756, drug!B:B, drug!A:A, "Not Found")</f>
      </c>
      <c r="H756" s="1"/>
      <c r="I756" s="7">
        <v>1</v>
      </c>
      <c r="J756" s="5">
        <f>XLOOKUP(L756, uom!C:C, uom!B:B, "Not Found")</f>
      </c>
      <c r="K756" s="1" t="s">
        <v>5511</v>
      </c>
      <c r="L756" s="5">
        <f>XLOOKUP(N756, uom!C:C, uom!B:B, "Not Found")</f>
      </c>
      <c r="M756" s="1" t="s">
        <v>5511</v>
      </c>
      <c r="N756" s="8" t="s">
        <v>5512</v>
      </c>
      <c r="O756" s="1" t="s">
        <v>5513</v>
      </c>
      <c r="P756" s="5">
        <f>XLOOKUP(R756, classification!C:C, classification!B:B, "Not Found")</f>
      </c>
      <c r="Q756" s="1" t="s">
        <v>5514</v>
      </c>
      <c r="R756" s="2"/>
      <c r="S756" s="2"/>
      <c r="T756" s="2"/>
      <c r="U756" s="2"/>
    </row>
    <row x14ac:dyDescent="0.25" r="757" customHeight="1" ht="17.25">
      <c r="A757" s="7">
        <v>756</v>
      </c>
      <c r="B757" s="1" t="s">
        <v>6220</v>
      </c>
      <c r="C757" s="5">
        <f>CONCATENATE("PD", TEXT(A757, "1000000"))</f>
      </c>
      <c r="D757" s="7">
        <v>67</v>
      </c>
      <c r="E757" s="5">
        <f>XLOOKUP(G757, item_category!C:C, item_category!B:B, "Not Found")</f>
      </c>
      <c r="F757" s="1" t="s">
        <v>5516</v>
      </c>
      <c r="G757" s="5">
        <f>XLOOKUP(I757, drug!B:B, drug!A:A, "Not Found")</f>
      </c>
      <c r="H757" s="1" t="s">
        <v>1380</v>
      </c>
      <c r="I757" s="7">
        <v>1</v>
      </c>
      <c r="J757" s="5">
        <f>XLOOKUP(L757, uom!C:C, uom!B:B, "Not Found")</f>
      </c>
      <c r="K757" s="1" t="s">
        <v>5511</v>
      </c>
      <c r="L757" s="5">
        <f>XLOOKUP(N757, uom!C:C, uom!B:B, "Not Found")</f>
      </c>
      <c r="M757" s="1" t="s">
        <v>5511</v>
      </c>
      <c r="N757" s="8" t="s">
        <v>5512</v>
      </c>
      <c r="O757" s="1" t="s">
        <v>5513</v>
      </c>
      <c r="P757" s="5">
        <f>XLOOKUP(R757, classification!C:C, classification!B:B, "Not Found")</f>
      </c>
      <c r="Q757" s="1" t="s">
        <v>5514</v>
      </c>
      <c r="R757" s="2"/>
      <c r="S757" s="2"/>
      <c r="T757" s="2"/>
      <c r="U757" s="2"/>
    </row>
    <row x14ac:dyDescent="0.25" r="758" customHeight="1" ht="17.25">
      <c r="A758" s="7">
        <v>757</v>
      </c>
      <c r="B758" s="1" t="s">
        <v>6221</v>
      </c>
      <c r="C758" s="5">
        <f>CONCATENATE("PD", TEXT(A758, "1000000"))</f>
      </c>
      <c r="D758" s="7">
        <v>67</v>
      </c>
      <c r="E758" s="5">
        <f>XLOOKUP(G758, item_category!C:C, item_category!B:B, "Not Found")</f>
      </c>
      <c r="F758" s="1" t="s">
        <v>5516</v>
      </c>
      <c r="G758" s="5">
        <f>XLOOKUP(I758, drug!B:B, drug!A:A, "Not Found")</f>
      </c>
      <c r="H758" s="1"/>
      <c r="I758" s="7">
        <v>1</v>
      </c>
      <c r="J758" s="5">
        <f>XLOOKUP(L758, uom!C:C, uom!B:B, "Not Found")</f>
      </c>
      <c r="K758" s="1" t="s">
        <v>5511</v>
      </c>
      <c r="L758" s="5">
        <f>XLOOKUP(N758, uom!C:C, uom!B:B, "Not Found")</f>
      </c>
      <c r="M758" s="1" t="s">
        <v>5511</v>
      </c>
      <c r="N758" s="8" t="s">
        <v>5512</v>
      </c>
      <c r="O758" s="1" t="s">
        <v>5513</v>
      </c>
      <c r="P758" s="5">
        <f>XLOOKUP(R758, classification!C:C, classification!B:B, "Not Found")</f>
      </c>
      <c r="Q758" s="1" t="s">
        <v>5514</v>
      </c>
      <c r="R758" s="2"/>
      <c r="S758" s="2"/>
      <c r="T758" s="2"/>
      <c r="U758" s="2"/>
    </row>
    <row x14ac:dyDescent="0.25" r="759" customHeight="1" ht="17.25">
      <c r="A759" s="7">
        <v>758</v>
      </c>
      <c r="B759" s="1" t="s">
        <v>6222</v>
      </c>
      <c r="C759" s="5">
        <f>CONCATENATE("PD", TEXT(A759, "1000000"))</f>
      </c>
      <c r="D759" s="7">
        <v>67</v>
      </c>
      <c r="E759" s="5">
        <f>XLOOKUP(G759, item_category!C:C, item_category!B:B, "Not Found")</f>
      </c>
      <c r="F759" s="1" t="s">
        <v>5516</v>
      </c>
      <c r="G759" s="5">
        <f>XLOOKUP(I759, drug!B:B, drug!A:A, "Not Found")</f>
      </c>
      <c r="H759" s="1"/>
      <c r="I759" s="7">
        <v>1</v>
      </c>
      <c r="J759" s="5">
        <f>XLOOKUP(L759, uom!C:C, uom!B:B, "Not Found")</f>
      </c>
      <c r="K759" s="1" t="s">
        <v>5511</v>
      </c>
      <c r="L759" s="5">
        <f>XLOOKUP(N759, uom!C:C, uom!B:B, "Not Found")</f>
      </c>
      <c r="M759" s="1" t="s">
        <v>5511</v>
      </c>
      <c r="N759" s="8" t="s">
        <v>5512</v>
      </c>
      <c r="O759" s="1" t="s">
        <v>5513</v>
      </c>
      <c r="P759" s="5">
        <f>XLOOKUP(R759, classification!C:C, classification!B:B, "Not Found")</f>
      </c>
      <c r="Q759" s="1" t="s">
        <v>5514</v>
      </c>
      <c r="R759" s="2"/>
      <c r="S759" s="2"/>
      <c r="T759" s="2"/>
      <c r="U759" s="2"/>
    </row>
    <row x14ac:dyDescent="0.25" r="760" customHeight="1" ht="17.25">
      <c r="A760" s="7">
        <v>759</v>
      </c>
      <c r="B760" s="1" t="s">
        <v>6223</v>
      </c>
      <c r="C760" s="5">
        <f>CONCATENATE("PD", TEXT(A760, "1000000"))</f>
      </c>
      <c r="D760" s="7">
        <v>67</v>
      </c>
      <c r="E760" s="5">
        <f>XLOOKUP(G760, item_category!C:C, item_category!B:B, "Not Found")</f>
      </c>
      <c r="F760" s="1" t="s">
        <v>5516</v>
      </c>
      <c r="G760" s="5">
        <f>XLOOKUP(I760, drug!B:B, drug!A:A, "Not Found")</f>
      </c>
      <c r="H760" s="1"/>
      <c r="I760" s="7">
        <v>1</v>
      </c>
      <c r="J760" s="5">
        <f>XLOOKUP(L760, uom!C:C, uom!B:B, "Not Found")</f>
      </c>
      <c r="K760" s="1" t="s">
        <v>5511</v>
      </c>
      <c r="L760" s="5">
        <f>XLOOKUP(N760, uom!C:C, uom!B:B, "Not Found")</f>
      </c>
      <c r="M760" s="1" t="s">
        <v>5511</v>
      </c>
      <c r="N760" s="8" t="s">
        <v>5512</v>
      </c>
      <c r="O760" s="1" t="s">
        <v>5513</v>
      </c>
      <c r="P760" s="5">
        <f>XLOOKUP(R760, classification!C:C, classification!B:B, "Not Found")</f>
      </c>
      <c r="Q760" s="1" t="s">
        <v>5514</v>
      </c>
      <c r="R760" s="2"/>
      <c r="S760" s="2"/>
      <c r="T760" s="2"/>
      <c r="U760" s="2"/>
    </row>
    <row x14ac:dyDescent="0.25" r="761" customHeight="1" ht="17.25">
      <c r="A761" s="7">
        <v>760</v>
      </c>
      <c r="B761" s="1" t="s">
        <v>2266</v>
      </c>
      <c r="C761" s="5">
        <f>CONCATENATE("PD", TEXT(A761, "1000000"))</f>
      </c>
      <c r="D761" s="7">
        <v>67</v>
      </c>
      <c r="E761" s="5">
        <f>XLOOKUP(G761, item_category!C:C, item_category!B:B, "Not Found")</f>
      </c>
      <c r="F761" s="1" t="s">
        <v>5516</v>
      </c>
      <c r="G761" s="5">
        <f>XLOOKUP(I761, drug!B:B, drug!A:A, "Not Found")</f>
      </c>
      <c r="H761" s="1"/>
      <c r="I761" s="7">
        <v>1</v>
      </c>
      <c r="J761" s="5">
        <f>XLOOKUP(L761, uom!C:C, uom!B:B, "Not Found")</f>
      </c>
      <c r="K761" s="1" t="s">
        <v>5511</v>
      </c>
      <c r="L761" s="5">
        <f>XLOOKUP(N761, uom!C:C, uom!B:B, "Not Found")</f>
      </c>
      <c r="M761" s="1" t="s">
        <v>5511</v>
      </c>
      <c r="N761" s="8" t="s">
        <v>5512</v>
      </c>
      <c r="O761" s="1" t="s">
        <v>5513</v>
      </c>
      <c r="P761" s="5">
        <f>XLOOKUP(R761, classification!C:C, classification!B:B, "Not Found")</f>
      </c>
      <c r="Q761" s="1" t="s">
        <v>5514</v>
      </c>
      <c r="R761" s="2"/>
      <c r="S761" s="2"/>
      <c r="T761" s="2"/>
      <c r="U761" s="2"/>
    </row>
    <row x14ac:dyDescent="0.25" r="762" customHeight="1" ht="17.25">
      <c r="A762" s="7">
        <v>761</v>
      </c>
      <c r="B762" s="1" t="s">
        <v>6224</v>
      </c>
      <c r="C762" s="5">
        <f>CONCATENATE("PD", TEXT(A762, "1000000"))</f>
      </c>
      <c r="D762" s="7">
        <v>67</v>
      </c>
      <c r="E762" s="5">
        <f>XLOOKUP(G762, item_category!C:C, item_category!B:B, "Not Found")</f>
      </c>
      <c r="F762" s="1" t="s">
        <v>5516</v>
      </c>
      <c r="G762" s="5">
        <f>XLOOKUP(I762, drug!B:B, drug!A:A, "Not Found")</f>
      </c>
      <c r="H762" s="1"/>
      <c r="I762" s="7">
        <v>1</v>
      </c>
      <c r="J762" s="5">
        <f>XLOOKUP(L762, uom!C:C, uom!B:B, "Not Found")</f>
      </c>
      <c r="K762" s="1" t="s">
        <v>5511</v>
      </c>
      <c r="L762" s="5">
        <f>XLOOKUP(N762, uom!C:C, uom!B:B, "Not Found")</f>
      </c>
      <c r="M762" s="1" t="s">
        <v>5511</v>
      </c>
      <c r="N762" s="8" t="s">
        <v>5512</v>
      </c>
      <c r="O762" s="1" t="s">
        <v>5513</v>
      </c>
      <c r="P762" s="5">
        <f>XLOOKUP(R762, classification!C:C, classification!B:B, "Not Found")</f>
      </c>
      <c r="Q762" s="1" t="s">
        <v>5514</v>
      </c>
      <c r="R762" s="2"/>
      <c r="S762" s="2"/>
      <c r="T762" s="2"/>
      <c r="U762" s="2"/>
    </row>
    <row x14ac:dyDescent="0.25" r="763" customHeight="1" ht="17.25">
      <c r="A763" s="7">
        <v>762</v>
      </c>
      <c r="B763" s="1" t="s">
        <v>6225</v>
      </c>
      <c r="C763" s="5">
        <f>CONCATENATE("PD", TEXT(A763, "1000000"))</f>
      </c>
      <c r="D763" s="7">
        <v>67</v>
      </c>
      <c r="E763" s="5">
        <f>XLOOKUP(G763, item_category!C:C, item_category!B:B, "Not Found")</f>
      </c>
      <c r="F763" s="1" t="s">
        <v>5516</v>
      </c>
      <c r="G763" s="5">
        <f>XLOOKUP(I763, drug!B:B, drug!A:A, "Not Found")</f>
      </c>
      <c r="H763" s="1"/>
      <c r="I763" s="7">
        <v>1</v>
      </c>
      <c r="J763" s="5">
        <f>XLOOKUP(L763, uom!C:C, uom!B:B, "Not Found")</f>
      </c>
      <c r="K763" s="1" t="s">
        <v>5511</v>
      </c>
      <c r="L763" s="5">
        <f>XLOOKUP(N763, uom!C:C, uom!B:B, "Not Found")</f>
      </c>
      <c r="M763" s="1" t="s">
        <v>5511</v>
      </c>
      <c r="N763" s="8" t="s">
        <v>5512</v>
      </c>
      <c r="O763" s="1" t="s">
        <v>5513</v>
      </c>
      <c r="P763" s="5">
        <f>XLOOKUP(R763, classification!C:C, classification!B:B, "Not Found")</f>
      </c>
      <c r="Q763" s="1" t="s">
        <v>5514</v>
      </c>
      <c r="R763" s="2"/>
      <c r="S763" s="2"/>
      <c r="T763" s="2"/>
      <c r="U763" s="2"/>
    </row>
    <row x14ac:dyDescent="0.25" r="764" customHeight="1" ht="17.25">
      <c r="A764" s="7">
        <v>763</v>
      </c>
      <c r="B764" s="1" t="s">
        <v>2270</v>
      </c>
      <c r="C764" s="5">
        <f>CONCATENATE("PD", TEXT(A764, "1000000"))</f>
      </c>
      <c r="D764" s="7">
        <v>67</v>
      </c>
      <c r="E764" s="5">
        <f>XLOOKUP(G764, item_category!C:C, item_category!B:B, "Not Found")</f>
      </c>
      <c r="F764" s="1" t="s">
        <v>5516</v>
      </c>
      <c r="G764" s="5">
        <f>XLOOKUP(I764, drug!B:B, drug!A:A, "Not Found")</f>
      </c>
      <c r="H764" s="1"/>
      <c r="I764" s="7">
        <v>1</v>
      </c>
      <c r="J764" s="5">
        <f>XLOOKUP(L764, uom!C:C, uom!B:B, "Not Found")</f>
      </c>
      <c r="K764" s="1" t="s">
        <v>5511</v>
      </c>
      <c r="L764" s="5">
        <f>XLOOKUP(N764, uom!C:C, uom!B:B, "Not Found")</f>
      </c>
      <c r="M764" s="1" t="s">
        <v>5511</v>
      </c>
      <c r="N764" s="8" t="s">
        <v>5512</v>
      </c>
      <c r="O764" s="1" t="s">
        <v>5513</v>
      </c>
      <c r="P764" s="5">
        <f>XLOOKUP(R764, classification!C:C, classification!B:B, "Not Found")</f>
      </c>
      <c r="Q764" s="1" t="s">
        <v>5514</v>
      </c>
      <c r="R764" s="2"/>
      <c r="S764" s="2"/>
      <c r="T764" s="2"/>
      <c r="U764" s="2"/>
    </row>
    <row x14ac:dyDescent="0.25" r="765" customHeight="1" ht="17.25">
      <c r="A765" s="7">
        <v>764</v>
      </c>
      <c r="B765" s="1" t="s">
        <v>6226</v>
      </c>
      <c r="C765" s="5">
        <f>CONCATENATE("PD", TEXT(A765, "1000000"))</f>
      </c>
      <c r="D765" s="7">
        <v>67</v>
      </c>
      <c r="E765" s="5">
        <f>XLOOKUP(G765, item_category!C:C, item_category!B:B, "Not Found")</f>
      </c>
      <c r="F765" s="1" t="s">
        <v>5516</v>
      </c>
      <c r="G765" s="5">
        <f>XLOOKUP(I765, drug!B:B, drug!A:A, "Not Found")</f>
      </c>
      <c r="H765" s="1" t="s">
        <v>1588</v>
      </c>
      <c r="I765" s="7">
        <v>1</v>
      </c>
      <c r="J765" s="5">
        <f>XLOOKUP(L765, uom!C:C, uom!B:B, "Not Found")</f>
      </c>
      <c r="K765" s="1" t="s">
        <v>5511</v>
      </c>
      <c r="L765" s="5">
        <f>XLOOKUP(N765, uom!C:C, uom!B:B, "Not Found")</f>
      </c>
      <c r="M765" s="1" t="s">
        <v>5511</v>
      </c>
      <c r="N765" s="8" t="s">
        <v>5512</v>
      </c>
      <c r="O765" s="1" t="s">
        <v>5513</v>
      </c>
      <c r="P765" s="5">
        <f>XLOOKUP(R765, classification!C:C, classification!B:B, "Not Found")</f>
      </c>
      <c r="Q765" s="1" t="s">
        <v>5514</v>
      </c>
      <c r="R765" s="2"/>
      <c r="S765" s="2"/>
      <c r="T765" s="2"/>
      <c r="U765" s="2"/>
    </row>
    <row x14ac:dyDescent="0.25" r="766" customHeight="1" ht="17.25">
      <c r="A766" s="7">
        <v>765</v>
      </c>
      <c r="B766" s="1" t="s">
        <v>6227</v>
      </c>
      <c r="C766" s="5">
        <f>CONCATENATE("PD", TEXT(A766, "1000000"))</f>
      </c>
      <c r="D766" s="7">
        <v>67</v>
      </c>
      <c r="E766" s="5">
        <f>XLOOKUP(G766, item_category!C:C, item_category!B:B, "Not Found")</f>
      </c>
      <c r="F766" s="1" t="s">
        <v>5516</v>
      </c>
      <c r="G766" s="5">
        <f>XLOOKUP(I766, drug!B:B, drug!A:A, "Not Found")</f>
      </c>
      <c r="H766" s="1" t="s">
        <v>1942</v>
      </c>
      <c r="I766" s="7">
        <v>1</v>
      </c>
      <c r="J766" s="5">
        <f>XLOOKUP(L766, uom!C:C, uom!B:B, "Not Found")</f>
      </c>
      <c r="K766" s="1" t="s">
        <v>5511</v>
      </c>
      <c r="L766" s="5">
        <f>XLOOKUP(N766, uom!C:C, uom!B:B, "Not Found")</f>
      </c>
      <c r="M766" s="1" t="s">
        <v>5511</v>
      </c>
      <c r="N766" s="8" t="s">
        <v>5512</v>
      </c>
      <c r="O766" s="1" t="s">
        <v>5513</v>
      </c>
      <c r="P766" s="5">
        <f>XLOOKUP(R766, classification!C:C, classification!B:B, "Not Found")</f>
      </c>
      <c r="Q766" s="1" t="s">
        <v>5514</v>
      </c>
      <c r="R766" s="2"/>
      <c r="S766" s="2"/>
      <c r="T766" s="2"/>
      <c r="U766" s="2"/>
    </row>
    <row x14ac:dyDescent="0.25" r="767" customHeight="1" ht="17.25">
      <c r="A767" s="7">
        <v>766</v>
      </c>
      <c r="B767" s="1" t="s">
        <v>6228</v>
      </c>
      <c r="C767" s="5">
        <f>CONCATENATE("PD", TEXT(A767, "1000000"))</f>
      </c>
      <c r="D767" s="7">
        <v>1</v>
      </c>
      <c r="E767" s="5">
        <f>XLOOKUP(G767, item_category!C:C, item_category!B:B, "Not Found")</f>
      </c>
      <c r="F767" s="1" t="s">
        <v>5514</v>
      </c>
      <c r="G767" s="5">
        <f>XLOOKUP(I767, drug!B:B, drug!A:A, "Not Found")</f>
      </c>
      <c r="H767" s="1"/>
      <c r="I767" s="7">
        <v>250</v>
      </c>
      <c r="J767" s="5">
        <f>XLOOKUP(L767, uom!C:C, uom!B:B, "Not Found")</f>
      </c>
      <c r="K767" s="1" t="s">
        <v>6229</v>
      </c>
      <c r="L767" s="5">
        <f>XLOOKUP(N767, uom!C:C, uom!B:B, "Not Found")</f>
      </c>
      <c r="M767" s="1" t="s">
        <v>6229</v>
      </c>
      <c r="N767" s="8" t="s">
        <v>5524</v>
      </c>
      <c r="O767" s="1" t="s">
        <v>5525</v>
      </c>
      <c r="P767" s="5">
        <f>XLOOKUP(R767, classification!C:C, classification!B:B, "Not Found")</f>
      </c>
      <c r="Q767" s="1" t="s">
        <v>5514</v>
      </c>
      <c r="R767" s="2"/>
      <c r="S767" s="2"/>
      <c r="T767" s="2"/>
      <c r="U767" s="2"/>
    </row>
    <row x14ac:dyDescent="0.25" r="768" customHeight="1" ht="17.25">
      <c r="A768" s="7">
        <v>767</v>
      </c>
      <c r="B768" s="1" t="s">
        <v>6230</v>
      </c>
      <c r="C768" s="5">
        <f>CONCATENATE("PD", TEXT(A768, "1000000"))</f>
      </c>
      <c r="D768" s="7">
        <v>67</v>
      </c>
      <c r="E768" s="5">
        <f>XLOOKUP(G768, item_category!C:C, item_category!B:B, "Not Found")</f>
      </c>
      <c r="F768" s="1" t="s">
        <v>5516</v>
      </c>
      <c r="G768" s="5">
        <f>XLOOKUP(I768, drug!B:B, drug!A:A, "Not Found")</f>
      </c>
      <c r="H768" s="1" t="s">
        <v>1228</v>
      </c>
      <c r="I768" s="7">
        <v>1</v>
      </c>
      <c r="J768" s="5">
        <f>XLOOKUP(L768, uom!C:C, uom!B:B, "Not Found")</f>
      </c>
      <c r="K768" s="1" t="s">
        <v>5511</v>
      </c>
      <c r="L768" s="5">
        <f>XLOOKUP(N768, uom!C:C, uom!B:B, "Not Found")</f>
      </c>
      <c r="M768" s="1" t="s">
        <v>5511</v>
      </c>
      <c r="N768" s="8" t="s">
        <v>5512</v>
      </c>
      <c r="O768" s="1" t="s">
        <v>5513</v>
      </c>
      <c r="P768" s="5">
        <f>XLOOKUP(R768, classification!C:C, classification!B:B, "Not Found")</f>
      </c>
      <c r="Q768" s="1" t="s">
        <v>5514</v>
      </c>
      <c r="R768" s="2"/>
      <c r="S768" s="2"/>
      <c r="T768" s="2"/>
      <c r="U768" s="2"/>
    </row>
    <row x14ac:dyDescent="0.25" r="769" customHeight="1" ht="17.25">
      <c r="A769" s="7">
        <v>768</v>
      </c>
      <c r="B769" s="1" t="s">
        <v>6231</v>
      </c>
      <c r="C769" s="5">
        <f>CONCATENATE("PD", TEXT(A769, "1000000"))</f>
      </c>
      <c r="D769" s="7">
        <v>67</v>
      </c>
      <c r="E769" s="5">
        <f>XLOOKUP(G769, item_category!C:C, item_category!B:B, "Not Found")</f>
      </c>
      <c r="F769" s="1" t="s">
        <v>5516</v>
      </c>
      <c r="G769" s="5">
        <f>XLOOKUP(I769, drug!B:B, drug!A:A, "Not Found")</f>
      </c>
      <c r="H769" s="1" t="s">
        <v>2100</v>
      </c>
      <c r="I769" s="7">
        <v>1</v>
      </c>
      <c r="J769" s="5">
        <f>XLOOKUP(L769, uom!C:C, uom!B:B, "Not Found")</f>
      </c>
      <c r="K769" s="1" t="s">
        <v>5511</v>
      </c>
      <c r="L769" s="5">
        <f>XLOOKUP(N769, uom!C:C, uom!B:B, "Not Found")</f>
      </c>
      <c r="M769" s="1" t="s">
        <v>5511</v>
      </c>
      <c r="N769" s="8" t="s">
        <v>5512</v>
      </c>
      <c r="O769" s="1" t="s">
        <v>5513</v>
      </c>
      <c r="P769" s="5">
        <f>XLOOKUP(R769, classification!C:C, classification!B:B, "Not Found")</f>
      </c>
      <c r="Q769" s="1" t="s">
        <v>5514</v>
      </c>
      <c r="R769" s="2"/>
      <c r="S769" s="2"/>
      <c r="T769" s="2"/>
      <c r="U769" s="2"/>
    </row>
    <row x14ac:dyDescent="0.25" r="770" customHeight="1" ht="17.25">
      <c r="A770" s="7">
        <v>769</v>
      </c>
      <c r="B770" s="1" t="s">
        <v>6232</v>
      </c>
      <c r="C770" s="5">
        <f>CONCATENATE("PD", TEXT(A770, "1000000"))</f>
      </c>
      <c r="D770" s="7">
        <v>67</v>
      </c>
      <c r="E770" s="5">
        <f>XLOOKUP(G770, item_category!C:C, item_category!B:B, "Not Found")</f>
      </c>
      <c r="F770" s="1" t="s">
        <v>5516</v>
      </c>
      <c r="G770" s="5">
        <f>XLOOKUP(I770, drug!B:B, drug!A:A, "Not Found")</f>
      </c>
      <c r="H770" s="1" t="s">
        <v>2100</v>
      </c>
      <c r="I770" s="7">
        <v>1</v>
      </c>
      <c r="J770" s="5">
        <f>XLOOKUP(L770, uom!C:C, uom!B:B, "Not Found")</f>
      </c>
      <c r="K770" s="1" t="s">
        <v>5511</v>
      </c>
      <c r="L770" s="5">
        <f>XLOOKUP(N770, uom!C:C, uom!B:B, "Not Found")</f>
      </c>
      <c r="M770" s="1" t="s">
        <v>5511</v>
      </c>
      <c r="N770" s="8" t="s">
        <v>5512</v>
      </c>
      <c r="O770" s="1" t="s">
        <v>5513</v>
      </c>
      <c r="P770" s="5">
        <f>XLOOKUP(R770, classification!C:C, classification!B:B, "Not Found")</f>
      </c>
      <c r="Q770" s="1" t="s">
        <v>5514</v>
      </c>
      <c r="R770" s="2"/>
      <c r="S770" s="2"/>
      <c r="T770" s="2"/>
      <c r="U770" s="2"/>
    </row>
    <row x14ac:dyDescent="0.25" r="771" customHeight="1" ht="17.25">
      <c r="A771" s="7">
        <v>770</v>
      </c>
      <c r="B771" s="1" t="s">
        <v>6233</v>
      </c>
      <c r="C771" s="5">
        <f>CONCATENATE("PD", TEXT(A771, "1000000"))</f>
      </c>
      <c r="D771" s="7">
        <v>67</v>
      </c>
      <c r="E771" s="5">
        <f>XLOOKUP(G771, item_category!C:C, item_category!B:B, "Not Found")</f>
      </c>
      <c r="F771" s="1" t="s">
        <v>5516</v>
      </c>
      <c r="G771" s="5">
        <f>XLOOKUP(I771, drug!B:B, drug!A:A, "Not Found")</f>
      </c>
      <c r="H771" s="1" t="s">
        <v>1710</v>
      </c>
      <c r="I771" s="7">
        <v>1</v>
      </c>
      <c r="J771" s="5">
        <f>XLOOKUP(L771, uom!C:C, uom!B:B, "Not Found")</f>
      </c>
      <c r="K771" s="1" t="s">
        <v>5511</v>
      </c>
      <c r="L771" s="5">
        <f>XLOOKUP(N771, uom!C:C, uom!B:B, "Not Found")</f>
      </c>
      <c r="M771" s="1" t="s">
        <v>5511</v>
      </c>
      <c r="N771" s="8" t="s">
        <v>5512</v>
      </c>
      <c r="O771" s="1" t="s">
        <v>5513</v>
      </c>
      <c r="P771" s="5">
        <f>XLOOKUP(R771, classification!C:C, classification!B:B, "Not Found")</f>
      </c>
      <c r="Q771" s="1" t="s">
        <v>5514</v>
      </c>
      <c r="R771" s="2"/>
      <c r="S771" s="2"/>
      <c r="T771" s="2"/>
      <c r="U771" s="2"/>
    </row>
    <row x14ac:dyDescent="0.25" r="772" customHeight="1" ht="17.25">
      <c r="A772" s="7">
        <v>771</v>
      </c>
      <c r="B772" s="1" t="s">
        <v>6234</v>
      </c>
      <c r="C772" s="5">
        <f>CONCATENATE("PD", TEXT(A772, "1000000"))</f>
      </c>
      <c r="D772" s="7">
        <v>67</v>
      </c>
      <c r="E772" s="5">
        <f>XLOOKUP(G772, item_category!C:C, item_category!B:B, "Not Found")</f>
      </c>
      <c r="F772" s="1" t="s">
        <v>5516</v>
      </c>
      <c r="G772" s="5">
        <f>XLOOKUP(I772, drug!B:B, drug!A:A, "Not Found")</f>
      </c>
      <c r="H772" s="1" t="s">
        <v>1710</v>
      </c>
      <c r="I772" s="7">
        <v>1</v>
      </c>
      <c r="J772" s="5">
        <f>XLOOKUP(L772, uom!C:C, uom!B:B, "Not Found")</f>
      </c>
      <c r="K772" s="1" t="s">
        <v>5511</v>
      </c>
      <c r="L772" s="5">
        <f>XLOOKUP(N772, uom!C:C, uom!B:B, "Not Found")</f>
      </c>
      <c r="M772" s="1" t="s">
        <v>5511</v>
      </c>
      <c r="N772" s="8" t="s">
        <v>5512</v>
      </c>
      <c r="O772" s="1" t="s">
        <v>5513</v>
      </c>
      <c r="P772" s="5">
        <f>XLOOKUP(R772, classification!C:C, classification!B:B, "Not Found")</f>
      </c>
      <c r="Q772" s="1" t="s">
        <v>5514</v>
      </c>
      <c r="R772" s="2"/>
      <c r="S772" s="2"/>
      <c r="T772" s="2"/>
      <c r="U772" s="2"/>
    </row>
    <row x14ac:dyDescent="0.25" r="773" customHeight="1" ht="17.25">
      <c r="A773" s="7">
        <v>772</v>
      </c>
      <c r="B773" s="1" t="s">
        <v>6235</v>
      </c>
      <c r="C773" s="5">
        <f>CONCATENATE("PD", TEXT(A773, "1000000"))</f>
      </c>
      <c r="D773" s="7">
        <v>67</v>
      </c>
      <c r="E773" s="5">
        <f>XLOOKUP(G773, item_category!C:C, item_category!B:B, "Not Found")</f>
      </c>
      <c r="F773" s="1" t="s">
        <v>5516</v>
      </c>
      <c r="G773" s="5">
        <f>XLOOKUP(I773, drug!B:B, drug!A:A, "Not Found")</f>
      </c>
      <c r="H773" s="1"/>
      <c r="I773" s="7">
        <v>1</v>
      </c>
      <c r="J773" s="5">
        <f>XLOOKUP(L773, uom!C:C, uom!B:B, "Not Found")</f>
      </c>
      <c r="K773" s="1" t="s">
        <v>5511</v>
      </c>
      <c r="L773" s="5">
        <f>XLOOKUP(N773, uom!C:C, uom!B:B, "Not Found")</f>
      </c>
      <c r="M773" s="1" t="s">
        <v>5511</v>
      </c>
      <c r="N773" s="8" t="s">
        <v>5512</v>
      </c>
      <c r="O773" s="1" t="s">
        <v>5513</v>
      </c>
      <c r="P773" s="5">
        <f>XLOOKUP(R773, classification!C:C, classification!B:B, "Not Found")</f>
      </c>
      <c r="Q773" s="1" t="s">
        <v>5514</v>
      </c>
      <c r="R773" s="2"/>
      <c r="S773" s="2"/>
      <c r="T773" s="2"/>
      <c r="U773" s="2"/>
    </row>
    <row x14ac:dyDescent="0.25" r="774" customHeight="1" ht="17.25">
      <c r="A774" s="7">
        <v>773</v>
      </c>
      <c r="B774" s="1" t="s">
        <v>6236</v>
      </c>
      <c r="C774" s="5">
        <f>CONCATENATE("PD", TEXT(A774, "1000000"))</f>
      </c>
      <c r="D774" s="7">
        <v>67</v>
      </c>
      <c r="E774" s="5">
        <f>XLOOKUP(G774, item_category!C:C, item_category!B:B, "Not Found")</f>
      </c>
      <c r="F774" s="1" t="s">
        <v>5516</v>
      </c>
      <c r="G774" s="5">
        <f>XLOOKUP(I774, drug!B:B, drug!A:A, "Not Found")</f>
      </c>
      <c r="H774" s="1"/>
      <c r="I774" s="7">
        <v>500</v>
      </c>
      <c r="J774" s="5">
        <f>XLOOKUP(L774, uom!C:C, uom!B:B, "Not Found")</f>
      </c>
      <c r="K774" s="1" t="s">
        <v>5602</v>
      </c>
      <c r="L774" s="5">
        <f>XLOOKUP(N774, uom!C:C, uom!B:B, "Not Found")</f>
      </c>
      <c r="M774" s="1" t="s">
        <v>5602</v>
      </c>
      <c r="N774" s="8" t="s">
        <v>5524</v>
      </c>
      <c r="O774" s="1" t="s">
        <v>5525</v>
      </c>
      <c r="P774" s="5">
        <f>XLOOKUP(R774, classification!C:C, classification!B:B, "Not Found")</f>
      </c>
      <c r="Q774" s="1" t="s">
        <v>5514</v>
      </c>
      <c r="R774" s="2"/>
      <c r="S774" s="2"/>
      <c r="T774" s="2"/>
      <c r="U774" s="2"/>
    </row>
    <row x14ac:dyDescent="0.25" r="775" customHeight="1" ht="17.25">
      <c r="A775" s="7">
        <v>774</v>
      </c>
      <c r="B775" s="1" t="s">
        <v>6237</v>
      </c>
      <c r="C775" s="5">
        <f>CONCATENATE("PD", TEXT(A775, "1000000"))</f>
      </c>
      <c r="D775" s="7">
        <v>67</v>
      </c>
      <c r="E775" s="5">
        <f>XLOOKUP(G775, item_category!C:C, item_category!B:B, "Not Found")</f>
      </c>
      <c r="F775" s="1" t="s">
        <v>5516</v>
      </c>
      <c r="G775" s="5">
        <f>XLOOKUP(I775, drug!B:B, drug!A:A, "Not Found")</f>
      </c>
      <c r="H775" s="1"/>
      <c r="I775" s="7">
        <v>350</v>
      </c>
      <c r="J775" s="5">
        <f>XLOOKUP(L775, uom!C:C, uom!B:B, "Not Found")</f>
      </c>
      <c r="K775" s="1" t="s">
        <v>5602</v>
      </c>
      <c r="L775" s="5">
        <f>XLOOKUP(N775, uom!C:C, uom!B:B, "Not Found")</f>
      </c>
      <c r="M775" s="1" t="s">
        <v>5602</v>
      </c>
      <c r="N775" s="8" t="s">
        <v>5524</v>
      </c>
      <c r="O775" s="1" t="s">
        <v>5525</v>
      </c>
      <c r="P775" s="5">
        <f>XLOOKUP(R775, classification!C:C, classification!B:B, "Not Found")</f>
      </c>
      <c r="Q775" s="1" t="s">
        <v>5514</v>
      </c>
      <c r="R775" s="2"/>
      <c r="S775" s="2"/>
      <c r="T775" s="2"/>
      <c r="U775" s="2"/>
    </row>
    <row x14ac:dyDescent="0.25" r="776" customHeight="1" ht="17.25">
      <c r="A776" s="7">
        <v>775</v>
      </c>
      <c r="B776" s="1" t="s">
        <v>6238</v>
      </c>
      <c r="C776" s="5">
        <f>CONCATENATE("PD", TEXT(A776, "1000000"))</f>
      </c>
      <c r="D776" s="7">
        <v>67</v>
      </c>
      <c r="E776" s="5">
        <f>XLOOKUP(G776, item_category!C:C, item_category!B:B, "Not Found")</f>
      </c>
      <c r="F776" s="1" t="s">
        <v>5516</v>
      </c>
      <c r="G776" s="5">
        <f>XLOOKUP(I776, drug!B:B, drug!A:A, "Not Found")</f>
      </c>
      <c r="H776" s="1" t="s">
        <v>1942</v>
      </c>
      <c r="I776" s="7">
        <v>450</v>
      </c>
      <c r="J776" s="5">
        <f>XLOOKUP(L776, uom!C:C, uom!B:B, "Not Found")</f>
      </c>
      <c r="K776" s="1" t="s">
        <v>5602</v>
      </c>
      <c r="L776" s="5">
        <f>XLOOKUP(N776, uom!C:C, uom!B:B, "Not Found")</f>
      </c>
      <c r="M776" s="1" t="s">
        <v>5602</v>
      </c>
      <c r="N776" s="8" t="s">
        <v>5524</v>
      </c>
      <c r="O776" s="1" t="s">
        <v>5525</v>
      </c>
      <c r="P776" s="5">
        <f>XLOOKUP(R776, classification!C:C, classification!B:B, "Not Found")</f>
      </c>
      <c r="Q776" s="1" t="s">
        <v>5514</v>
      </c>
      <c r="R776" s="2"/>
      <c r="S776" s="2"/>
      <c r="T776" s="2"/>
      <c r="U776" s="2"/>
    </row>
    <row x14ac:dyDescent="0.25" r="777" customHeight="1" ht="17.25">
      <c r="A777" s="7">
        <v>776</v>
      </c>
      <c r="B777" s="1" t="s">
        <v>2280</v>
      </c>
      <c r="C777" s="5">
        <f>CONCATENATE("PD", TEXT(A777, "1000000"))</f>
      </c>
      <c r="D777" s="7">
        <v>67</v>
      </c>
      <c r="E777" s="5">
        <f>XLOOKUP(G777, item_category!C:C, item_category!B:B, "Not Found")</f>
      </c>
      <c r="F777" s="1" t="s">
        <v>5516</v>
      </c>
      <c r="G777" s="5">
        <f>XLOOKUP(I777, drug!B:B, drug!A:A, "Not Found")</f>
      </c>
      <c r="H777" s="1"/>
      <c r="I777" s="7">
        <v>1</v>
      </c>
      <c r="J777" s="5">
        <f>XLOOKUP(L777, uom!C:C, uom!B:B, "Not Found")</f>
      </c>
      <c r="K777" s="1" t="s">
        <v>5511</v>
      </c>
      <c r="L777" s="5">
        <f>XLOOKUP(N777, uom!C:C, uom!B:B, "Not Found")</f>
      </c>
      <c r="M777" s="1" t="s">
        <v>5511</v>
      </c>
      <c r="N777" s="8" t="s">
        <v>5512</v>
      </c>
      <c r="O777" s="1" t="s">
        <v>5513</v>
      </c>
      <c r="P777" s="5">
        <f>XLOOKUP(R777, classification!C:C, classification!B:B, "Not Found")</f>
      </c>
      <c r="Q777" s="1" t="s">
        <v>5514</v>
      </c>
      <c r="R777" s="2"/>
      <c r="S777" s="2"/>
      <c r="T777" s="2"/>
      <c r="U777" s="2"/>
    </row>
    <row x14ac:dyDescent="0.25" r="778" customHeight="1" ht="17.25">
      <c r="A778" s="7">
        <v>777</v>
      </c>
      <c r="B778" s="1" t="s">
        <v>6239</v>
      </c>
      <c r="C778" s="5">
        <f>CONCATENATE("PD", TEXT(A778, "1000000"))</f>
      </c>
      <c r="D778" s="7">
        <v>67</v>
      </c>
      <c r="E778" s="5">
        <f>XLOOKUP(G778, item_category!C:C, item_category!B:B, "Not Found")</f>
      </c>
      <c r="F778" s="1" t="s">
        <v>5516</v>
      </c>
      <c r="G778" s="5">
        <f>XLOOKUP(I778, drug!B:B, drug!A:A, "Not Found")</f>
      </c>
      <c r="H778" s="1" t="s">
        <v>1228</v>
      </c>
      <c r="I778" s="7">
        <v>1</v>
      </c>
      <c r="J778" s="5">
        <f>XLOOKUP(L778, uom!C:C, uom!B:B, "Not Found")</f>
      </c>
      <c r="K778" s="1" t="s">
        <v>5511</v>
      </c>
      <c r="L778" s="5">
        <f>XLOOKUP(N778, uom!C:C, uom!B:B, "Not Found")</f>
      </c>
      <c r="M778" s="1" t="s">
        <v>5511</v>
      </c>
      <c r="N778" s="8" t="s">
        <v>5512</v>
      </c>
      <c r="O778" s="1" t="s">
        <v>5513</v>
      </c>
      <c r="P778" s="5">
        <f>XLOOKUP(R778, classification!C:C, classification!B:B, "Not Found")</f>
      </c>
      <c r="Q778" s="1" t="s">
        <v>5514</v>
      </c>
      <c r="R778" s="2"/>
      <c r="S778" s="2"/>
      <c r="T778" s="2"/>
      <c r="U778" s="2"/>
    </row>
    <row x14ac:dyDescent="0.25" r="779" customHeight="1" ht="17.25">
      <c r="A779" s="7">
        <v>778</v>
      </c>
      <c r="B779" s="1" t="s">
        <v>6240</v>
      </c>
      <c r="C779" s="5">
        <f>CONCATENATE("PD", TEXT(A779, "1000000"))</f>
      </c>
      <c r="D779" s="7">
        <v>67</v>
      </c>
      <c r="E779" s="5">
        <f>XLOOKUP(G779, item_category!C:C, item_category!B:B, "Not Found")</f>
      </c>
      <c r="F779" s="1" t="s">
        <v>5516</v>
      </c>
      <c r="G779" s="5">
        <f>XLOOKUP(I779, drug!B:B, drug!A:A, "Not Found")</f>
      </c>
      <c r="H779" s="1" t="s">
        <v>1228</v>
      </c>
      <c r="I779" s="7">
        <v>1</v>
      </c>
      <c r="J779" s="5">
        <f>XLOOKUP(L779, uom!C:C, uom!B:B, "Not Found")</f>
      </c>
      <c r="K779" s="1" t="s">
        <v>5511</v>
      </c>
      <c r="L779" s="5">
        <f>XLOOKUP(N779, uom!C:C, uom!B:B, "Not Found")</f>
      </c>
      <c r="M779" s="1" t="s">
        <v>5511</v>
      </c>
      <c r="N779" s="8" t="s">
        <v>5512</v>
      </c>
      <c r="O779" s="1" t="s">
        <v>5513</v>
      </c>
      <c r="P779" s="5">
        <f>XLOOKUP(R779, classification!C:C, classification!B:B, "Not Found")</f>
      </c>
      <c r="Q779" s="1" t="s">
        <v>5514</v>
      </c>
      <c r="R779" s="2"/>
      <c r="S779" s="2"/>
      <c r="T779" s="2"/>
      <c r="U779" s="2"/>
    </row>
    <row x14ac:dyDescent="0.25" r="780" customHeight="1" ht="17.25">
      <c r="A780" s="7">
        <v>779</v>
      </c>
      <c r="B780" s="1" t="s">
        <v>6241</v>
      </c>
      <c r="C780" s="5">
        <f>CONCATENATE("PD", TEXT(A780, "1000000"))</f>
      </c>
      <c r="D780" s="7">
        <v>67</v>
      </c>
      <c r="E780" s="5">
        <f>XLOOKUP(G780, item_category!C:C, item_category!B:B, "Not Found")</f>
      </c>
      <c r="F780" s="1" t="s">
        <v>5516</v>
      </c>
      <c r="G780" s="5">
        <f>XLOOKUP(I780, drug!B:B, drug!A:A, "Not Found")</f>
      </c>
      <c r="H780" s="1"/>
      <c r="I780" s="7">
        <v>1</v>
      </c>
      <c r="J780" s="5">
        <f>XLOOKUP(L780, uom!C:C, uom!B:B, "Not Found")</f>
      </c>
      <c r="K780" s="1" t="s">
        <v>5511</v>
      </c>
      <c r="L780" s="5">
        <f>XLOOKUP(N780, uom!C:C, uom!B:B, "Not Found")</f>
      </c>
      <c r="M780" s="1" t="s">
        <v>5511</v>
      </c>
      <c r="N780" s="8" t="s">
        <v>5512</v>
      </c>
      <c r="O780" s="1" t="s">
        <v>5513</v>
      </c>
      <c r="P780" s="5">
        <f>XLOOKUP(R780, classification!C:C, classification!B:B, "Not Found")</f>
      </c>
      <c r="Q780" s="1" t="s">
        <v>5514</v>
      </c>
      <c r="R780" s="2"/>
      <c r="S780" s="2"/>
      <c r="T780" s="2"/>
      <c r="U780" s="2"/>
    </row>
    <row x14ac:dyDescent="0.25" r="781" customHeight="1" ht="17.25">
      <c r="A781" s="7">
        <v>780</v>
      </c>
      <c r="B781" s="1" t="s">
        <v>2284</v>
      </c>
      <c r="C781" s="5">
        <f>CONCATENATE("PD", TEXT(A781, "1000000"))</f>
      </c>
      <c r="D781" s="7">
        <v>67</v>
      </c>
      <c r="E781" s="5">
        <f>XLOOKUP(G781, item_category!C:C, item_category!B:B, "Not Found")</f>
      </c>
      <c r="F781" s="1" t="s">
        <v>5516</v>
      </c>
      <c r="G781" s="5">
        <f>XLOOKUP(I781, drug!B:B, drug!A:A, "Not Found")</f>
      </c>
      <c r="H781" s="1"/>
      <c r="I781" s="7">
        <v>1</v>
      </c>
      <c r="J781" s="5">
        <f>XLOOKUP(L781, uom!C:C, uom!B:B, "Not Found")</f>
      </c>
      <c r="K781" s="1" t="s">
        <v>5511</v>
      </c>
      <c r="L781" s="5">
        <f>XLOOKUP(N781, uom!C:C, uom!B:B, "Not Found")</f>
      </c>
      <c r="M781" s="1" t="s">
        <v>5511</v>
      </c>
      <c r="N781" s="8" t="s">
        <v>5512</v>
      </c>
      <c r="O781" s="1" t="s">
        <v>5513</v>
      </c>
      <c r="P781" s="5">
        <f>XLOOKUP(R781, classification!C:C, classification!B:B, "Not Found")</f>
      </c>
      <c r="Q781" s="1" t="s">
        <v>5514</v>
      </c>
      <c r="R781" s="2"/>
      <c r="S781" s="2"/>
      <c r="T781" s="2"/>
      <c r="U781" s="2"/>
    </row>
    <row x14ac:dyDescent="0.25" r="782" customHeight="1" ht="17.25">
      <c r="A782" s="7">
        <v>781</v>
      </c>
      <c r="B782" s="1" t="s">
        <v>6242</v>
      </c>
      <c r="C782" s="5">
        <f>CONCATENATE("PD", TEXT(A782, "1000000"))</f>
      </c>
      <c r="D782" s="7">
        <v>67</v>
      </c>
      <c r="E782" s="5">
        <f>XLOOKUP(G782, item_category!C:C, item_category!B:B, "Not Found")</f>
      </c>
      <c r="F782" s="1" t="s">
        <v>5516</v>
      </c>
      <c r="G782" s="5">
        <f>XLOOKUP(I782, drug!B:B, drug!A:A, "Not Found")</f>
      </c>
      <c r="H782" s="1"/>
      <c r="I782" s="7">
        <v>1</v>
      </c>
      <c r="J782" s="5">
        <f>XLOOKUP(L782, uom!C:C, uom!B:B, "Not Found")</f>
      </c>
      <c r="K782" s="1" t="s">
        <v>5511</v>
      </c>
      <c r="L782" s="5">
        <f>XLOOKUP(N782, uom!C:C, uom!B:B, "Not Found")</f>
      </c>
      <c r="M782" s="1" t="s">
        <v>5511</v>
      </c>
      <c r="N782" s="8" t="s">
        <v>5512</v>
      </c>
      <c r="O782" s="1" t="s">
        <v>5513</v>
      </c>
      <c r="P782" s="5">
        <f>XLOOKUP(R782, classification!C:C, classification!B:B, "Not Found")</f>
      </c>
      <c r="Q782" s="1" t="s">
        <v>5514</v>
      </c>
      <c r="R782" s="2"/>
      <c r="S782" s="2"/>
      <c r="T782" s="2"/>
      <c r="U782" s="2"/>
    </row>
    <row x14ac:dyDescent="0.25" r="783" customHeight="1" ht="17.25">
      <c r="A783" s="7">
        <v>782</v>
      </c>
      <c r="B783" s="1" t="s">
        <v>6243</v>
      </c>
      <c r="C783" s="5">
        <f>CONCATENATE("PD", TEXT(A783, "1000000"))</f>
      </c>
      <c r="D783" s="7">
        <v>67</v>
      </c>
      <c r="E783" s="5">
        <f>XLOOKUP(G783, item_category!C:C, item_category!B:B, "Not Found")</f>
      </c>
      <c r="F783" s="1" t="s">
        <v>5516</v>
      </c>
      <c r="G783" s="5">
        <f>XLOOKUP(I783, drug!B:B, drug!A:A, "Not Found")</f>
      </c>
      <c r="H783" s="1"/>
      <c r="I783" s="7">
        <v>1</v>
      </c>
      <c r="J783" s="5">
        <f>XLOOKUP(L783, uom!C:C, uom!B:B, "Not Found")</f>
      </c>
      <c r="K783" s="1" t="s">
        <v>5511</v>
      </c>
      <c r="L783" s="5">
        <f>XLOOKUP(N783, uom!C:C, uom!B:B, "Not Found")</f>
      </c>
      <c r="M783" s="1" t="s">
        <v>5511</v>
      </c>
      <c r="N783" s="8" t="s">
        <v>5512</v>
      </c>
      <c r="O783" s="1" t="s">
        <v>5513</v>
      </c>
      <c r="P783" s="5">
        <f>XLOOKUP(R783, classification!C:C, classification!B:B, "Not Found")</f>
      </c>
      <c r="Q783" s="1" t="s">
        <v>5514</v>
      </c>
      <c r="R783" s="2"/>
      <c r="S783" s="2"/>
      <c r="T783" s="2"/>
      <c r="U783" s="2"/>
    </row>
    <row x14ac:dyDescent="0.25" r="784" customHeight="1" ht="17.25">
      <c r="A784" s="7">
        <v>783</v>
      </c>
      <c r="B784" s="1" t="s">
        <v>6244</v>
      </c>
      <c r="C784" s="5">
        <f>CONCATENATE("PD", TEXT(A784, "1000000"))</f>
      </c>
      <c r="D784" s="7">
        <v>67</v>
      </c>
      <c r="E784" s="5">
        <f>XLOOKUP(G784, item_category!C:C, item_category!B:B, "Not Found")</f>
      </c>
      <c r="F784" s="1" t="s">
        <v>5516</v>
      </c>
      <c r="G784" s="5">
        <f>XLOOKUP(I784, drug!B:B, drug!A:A, "Not Found")</f>
      </c>
      <c r="H784" s="1"/>
      <c r="I784" s="7">
        <v>1</v>
      </c>
      <c r="J784" s="5">
        <f>XLOOKUP(L784, uom!C:C, uom!B:B, "Not Found")</f>
      </c>
      <c r="K784" s="1" t="s">
        <v>5511</v>
      </c>
      <c r="L784" s="5">
        <f>XLOOKUP(N784, uom!C:C, uom!B:B, "Not Found")</f>
      </c>
      <c r="M784" s="1" t="s">
        <v>5511</v>
      </c>
      <c r="N784" s="8" t="s">
        <v>5512</v>
      </c>
      <c r="O784" s="1" t="s">
        <v>5513</v>
      </c>
      <c r="P784" s="5">
        <f>XLOOKUP(R784, classification!C:C, classification!B:B, "Not Found")</f>
      </c>
      <c r="Q784" s="1" t="s">
        <v>5514</v>
      </c>
      <c r="R784" s="2"/>
      <c r="S784" s="2"/>
      <c r="T784" s="2"/>
      <c r="U784" s="2"/>
    </row>
    <row x14ac:dyDescent="0.25" r="785" customHeight="1" ht="17.25">
      <c r="A785" s="7">
        <v>784</v>
      </c>
      <c r="B785" s="1" t="s">
        <v>6245</v>
      </c>
      <c r="C785" s="5">
        <f>CONCATENATE("PD", TEXT(A785, "1000000"))</f>
      </c>
      <c r="D785" s="7">
        <v>67</v>
      </c>
      <c r="E785" s="5">
        <f>XLOOKUP(G785, item_category!C:C, item_category!B:B, "Not Found")</f>
      </c>
      <c r="F785" s="1" t="s">
        <v>5516</v>
      </c>
      <c r="G785" s="5">
        <f>XLOOKUP(I785, drug!B:B, drug!A:A, "Not Found")</f>
      </c>
      <c r="H785" s="1"/>
      <c r="I785" s="7">
        <v>1</v>
      </c>
      <c r="J785" s="5">
        <f>XLOOKUP(L785, uom!C:C, uom!B:B, "Not Found")</f>
      </c>
      <c r="K785" s="1" t="s">
        <v>5511</v>
      </c>
      <c r="L785" s="5">
        <f>XLOOKUP(N785, uom!C:C, uom!B:B, "Not Found")</f>
      </c>
      <c r="M785" s="1" t="s">
        <v>5511</v>
      </c>
      <c r="N785" s="8" t="s">
        <v>5512</v>
      </c>
      <c r="O785" s="1" t="s">
        <v>5513</v>
      </c>
      <c r="P785" s="5">
        <f>XLOOKUP(R785, classification!C:C, classification!B:B, "Not Found")</f>
      </c>
      <c r="Q785" s="1" t="s">
        <v>5514</v>
      </c>
      <c r="R785" s="2"/>
      <c r="S785" s="2"/>
      <c r="T785" s="2"/>
      <c r="U785" s="2"/>
    </row>
    <row x14ac:dyDescent="0.25" r="786" customHeight="1" ht="17.25">
      <c r="A786" s="7">
        <v>785</v>
      </c>
      <c r="B786" s="1" t="s">
        <v>6246</v>
      </c>
      <c r="C786" s="5">
        <f>CONCATENATE("PD", TEXT(A786, "1000000"))</f>
      </c>
      <c r="D786" s="7">
        <v>67</v>
      </c>
      <c r="E786" s="5">
        <f>XLOOKUP(G786, item_category!C:C, item_category!B:B, "Not Found")</f>
      </c>
      <c r="F786" s="1" t="s">
        <v>5516</v>
      </c>
      <c r="G786" s="5">
        <f>XLOOKUP(I786, drug!B:B, drug!A:A, "Not Found")</f>
      </c>
      <c r="H786" s="1"/>
      <c r="I786" s="7">
        <v>1</v>
      </c>
      <c r="J786" s="5">
        <f>XLOOKUP(L786, uom!C:C, uom!B:B, "Not Found")</f>
      </c>
      <c r="K786" s="1" t="s">
        <v>5511</v>
      </c>
      <c r="L786" s="5">
        <f>XLOOKUP(N786, uom!C:C, uom!B:B, "Not Found")</f>
      </c>
      <c r="M786" s="1" t="s">
        <v>5511</v>
      </c>
      <c r="N786" s="8" t="s">
        <v>5512</v>
      </c>
      <c r="O786" s="1" t="s">
        <v>5513</v>
      </c>
      <c r="P786" s="5">
        <f>XLOOKUP(R786, classification!C:C, classification!B:B, "Not Found")</f>
      </c>
      <c r="Q786" s="1" t="s">
        <v>5514</v>
      </c>
      <c r="R786" s="2"/>
      <c r="S786" s="2"/>
      <c r="T786" s="2"/>
      <c r="U786" s="2"/>
    </row>
    <row x14ac:dyDescent="0.25" r="787" customHeight="1" ht="17.25">
      <c r="A787" s="7">
        <v>786</v>
      </c>
      <c r="B787" s="1" t="s">
        <v>6247</v>
      </c>
      <c r="C787" s="5">
        <f>CONCATENATE("PD", TEXT(A787, "1000000"))</f>
      </c>
      <c r="D787" s="7">
        <v>67</v>
      </c>
      <c r="E787" s="5">
        <f>XLOOKUP(G787, item_category!C:C, item_category!B:B, "Not Found")</f>
      </c>
      <c r="F787" s="1" t="s">
        <v>5516</v>
      </c>
      <c r="G787" s="5">
        <f>XLOOKUP(I787, drug!B:B, drug!A:A, "Not Found")</f>
      </c>
      <c r="H787" s="1" t="s">
        <v>201</v>
      </c>
      <c r="I787" s="7">
        <v>1</v>
      </c>
      <c r="J787" s="5">
        <f>XLOOKUP(L787, uom!C:C, uom!B:B, "Not Found")</f>
      </c>
      <c r="K787" s="1" t="s">
        <v>5511</v>
      </c>
      <c r="L787" s="5">
        <f>XLOOKUP(N787, uom!C:C, uom!B:B, "Not Found")</f>
      </c>
      <c r="M787" s="1" t="s">
        <v>5511</v>
      </c>
      <c r="N787" s="8" t="s">
        <v>5512</v>
      </c>
      <c r="O787" s="1" t="s">
        <v>5513</v>
      </c>
      <c r="P787" s="5">
        <f>XLOOKUP(R787, classification!C:C, classification!B:B, "Not Found")</f>
      </c>
      <c r="Q787" s="1" t="s">
        <v>5514</v>
      </c>
      <c r="R787" s="2"/>
      <c r="S787" s="2"/>
      <c r="T787" s="2"/>
      <c r="U787" s="2"/>
    </row>
    <row x14ac:dyDescent="0.25" r="788" customHeight="1" ht="17.25">
      <c r="A788" s="7">
        <v>787</v>
      </c>
      <c r="B788" s="1" t="s">
        <v>6248</v>
      </c>
      <c r="C788" s="5">
        <f>CONCATENATE("PD", TEXT(A788, "1000000"))</f>
      </c>
      <c r="D788" s="7">
        <v>67</v>
      </c>
      <c r="E788" s="5">
        <f>XLOOKUP(G788, item_category!C:C, item_category!B:B, "Not Found")</f>
      </c>
      <c r="F788" s="1" t="s">
        <v>5516</v>
      </c>
      <c r="G788" s="5">
        <f>XLOOKUP(I788, drug!B:B, drug!A:A, "Not Found")</f>
      </c>
      <c r="H788" s="1" t="s">
        <v>201</v>
      </c>
      <c r="I788" s="7">
        <v>1</v>
      </c>
      <c r="J788" s="5">
        <f>XLOOKUP(L788, uom!C:C, uom!B:B, "Not Found")</f>
      </c>
      <c r="K788" s="1" t="s">
        <v>5511</v>
      </c>
      <c r="L788" s="5">
        <f>XLOOKUP(N788, uom!C:C, uom!B:B, "Not Found")</f>
      </c>
      <c r="M788" s="1" t="s">
        <v>5511</v>
      </c>
      <c r="N788" s="8" t="s">
        <v>5512</v>
      </c>
      <c r="O788" s="1" t="s">
        <v>5513</v>
      </c>
      <c r="P788" s="5">
        <f>XLOOKUP(R788, classification!C:C, classification!B:B, "Not Found")</f>
      </c>
      <c r="Q788" s="1" t="s">
        <v>5514</v>
      </c>
      <c r="R788" s="2"/>
      <c r="S788" s="2"/>
      <c r="T788" s="2"/>
      <c r="U788" s="2"/>
    </row>
    <row x14ac:dyDescent="0.25" r="789" customHeight="1" ht="17.25">
      <c r="A789" s="7">
        <v>788</v>
      </c>
      <c r="B789" s="1" t="s">
        <v>6249</v>
      </c>
      <c r="C789" s="5">
        <f>CONCATENATE("PD", TEXT(A789, "1000000"))</f>
      </c>
      <c r="D789" s="7">
        <v>67</v>
      </c>
      <c r="E789" s="5">
        <f>XLOOKUP(G789, item_category!C:C, item_category!B:B, "Not Found")</f>
      </c>
      <c r="F789" s="1" t="s">
        <v>5516</v>
      </c>
      <c r="G789" s="5">
        <f>XLOOKUP(I789, drug!B:B, drug!A:A, "Not Found")</f>
      </c>
      <c r="H789" s="1" t="s">
        <v>201</v>
      </c>
      <c r="I789" s="7">
        <v>1</v>
      </c>
      <c r="J789" s="5">
        <f>XLOOKUP(L789, uom!C:C, uom!B:B, "Not Found")</f>
      </c>
      <c r="K789" s="1" t="s">
        <v>5511</v>
      </c>
      <c r="L789" s="5">
        <f>XLOOKUP(N789, uom!C:C, uom!B:B, "Not Found")</f>
      </c>
      <c r="M789" s="1" t="s">
        <v>5511</v>
      </c>
      <c r="N789" s="8" t="s">
        <v>5512</v>
      </c>
      <c r="O789" s="1" t="s">
        <v>5513</v>
      </c>
      <c r="P789" s="5">
        <f>XLOOKUP(R789, classification!C:C, classification!B:B, "Not Found")</f>
      </c>
      <c r="Q789" s="1" t="s">
        <v>5514</v>
      </c>
      <c r="R789" s="2"/>
      <c r="S789" s="2"/>
      <c r="T789" s="2"/>
      <c r="U789" s="2"/>
    </row>
    <row x14ac:dyDescent="0.25" r="790" customHeight="1" ht="17.25">
      <c r="A790" s="7">
        <v>789</v>
      </c>
      <c r="B790" s="1" t="s">
        <v>6249</v>
      </c>
      <c r="C790" s="5">
        <f>CONCATENATE("PD", TEXT(A790, "1000000"))</f>
      </c>
      <c r="D790" s="7">
        <v>67</v>
      </c>
      <c r="E790" s="5">
        <f>XLOOKUP(G790, item_category!C:C, item_category!B:B, "Not Found")</f>
      </c>
      <c r="F790" s="1" t="s">
        <v>5516</v>
      </c>
      <c r="G790" s="5">
        <f>XLOOKUP(I790, drug!B:B, drug!A:A, "Not Found")</f>
      </c>
      <c r="H790" s="1" t="s">
        <v>201</v>
      </c>
      <c r="I790" s="7">
        <v>1</v>
      </c>
      <c r="J790" s="5">
        <f>XLOOKUP(L790, uom!C:C, uom!B:B, "Not Found")</f>
      </c>
      <c r="K790" s="1" t="s">
        <v>5511</v>
      </c>
      <c r="L790" s="5">
        <f>XLOOKUP(N790, uom!C:C, uom!B:B, "Not Found")</f>
      </c>
      <c r="M790" s="1" t="s">
        <v>5511</v>
      </c>
      <c r="N790" s="8" t="s">
        <v>5512</v>
      </c>
      <c r="O790" s="1" t="s">
        <v>5513</v>
      </c>
      <c r="P790" s="5">
        <f>XLOOKUP(R790, classification!C:C, classification!B:B, "Not Found")</f>
      </c>
      <c r="Q790" s="1" t="s">
        <v>5514</v>
      </c>
      <c r="R790" s="2"/>
      <c r="S790" s="2"/>
      <c r="T790" s="2"/>
      <c r="U790" s="2"/>
    </row>
    <row x14ac:dyDescent="0.25" r="791" customHeight="1" ht="17.25">
      <c r="A791" s="7">
        <v>790</v>
      </c>
      <c r="B791" s="1" t="s">
        <v>6250</v>
      </c>
      <c r="C791" s="5">
        <f>CONCATENATE("PD", TEXT(A791, "1000000"))</f>
      </c>
      <c r="D791" s="7">
        <v>67</v>
      </c>
      <c r="E791" s="5">
        <f>XLOOKUP(G791, item_category!C:C, item_category!B:B, "Not Found")</f>
      </c>
      <c r="F791" s="1" t="s">
        <v>5516</v>
      </c>
      <c r="G791" s="5">
        <f>XLOOKUP(I791, drug!B:B, drug!A:A, "Not Found")</f>
      </c>
      <c r="H791" s="1" t="s">
        <v>1942</v>
      </c>
      <c r="I791" s="7">
        <v>1</v>
      </c>
      <c r="J791" s="5">
        <f>XLOOKUP(L791, uom!C:C, uom!B:B, "Not Found")</f>
      </c>
      <c r="K791" s="1" t="s">
        <v>5511</v>
      </c>
      <c r="L791" s="5">
        <f>XLOOKUP(N791, uom!C:C, uom!B:B, "Not Found")</f>
      </c>
      <c r="M791" s="1" t="s">
        <v>5511</v>
      </c>
      <c r="N791" s="8" t="s">
        <v>5512</v>
      </c>
      <c r="O791" s="1" t="s">
        <v>5513</v>
      </c>
      <c r="P791" s="5">
        <f>XLOOKUP(R791, classification!C:C, classification!B:B, "Not Found")</f>
      </c>
      <c r="Q791" s="1" t="s">
        <v>5514</v>
      </c>
      <c r="R791" s="2"/>
      <c r="S791" s="2"/>
      <c r="T791" s="2"/>
      <c r="U791" s="2"/>
    </row>
    <row x14ac:dyDescent="0.25" r="792" customHeight="1" ht="17.25">
      <c r="A792" s="7">
        <v>791</v>
      </c>
      <c r="B792" s="1" t="s">
        <v>6251</v>
      </c>
      <c r="C792" s="5">
        <f>CONCATENATE("PD", TEXT(A792, "1000000"))</f>
      </c>
      <c r="D792" s="7">
        <v>67</v>
      </c>
      <c r="E792" s="5">
        <f>XLOOKUP(G792, item_category!C:C, item_category!B:B, "Not Found")</f>
      </c>
      <c r="F792" s="1" t="s">
        <v>5516</v>
      </c>
      <c r="G792" s="5">
        <f>XLOOKUP(I792, drug!B:B, drug!A:A, "Not Found")</f>
      </c>
      <c r="H792" s="1" t="s">
        <v>201</v>
      </c>
      <c r="I792" s="7">
        <v>1</v>
      </c>
      <c r="J792" s="5">
        <f>XLOOKUP(L792, uom!C:C, uom!B:B, "Not Found")</f>
      </c>
      <c r="K792" s="1" t="s">
        <v>5511</v>
      </c>
      <c r="L792" s="5">
        <f>XLOOKUP(N792, uom!C:C, uom!B:B, "Not Found")</f>
      </c>
      <c r="M792" s="1" t="s">
        <v>5511</v>
      </c>
      <c r="N792" s="8" t="s">
        <v>5512</v>
      </c>
      <c r="O792" s="1" t="s">
        <v>5513</v>
      </c>
      <c r="P792" s="5">
        <f>XLOOKUP(R792, classification!C:C, classification!B:B, "Not Found")</f>
      </c>
      <c r="Q792" s="1" t="s">
        <v>5514</v>
      </c>
      <c r="R792" s="2"/>
      <c r="S792" s="2"/>
      <c r="T792" s="2"/>
      <c r="U792" s="2"/>
    </row>
    <row x14ac:dyDescent="0.25" r="793" customHeight="1" ht="17.25">
      <c r="A793" s="7">
        <v>792</v>
      </c>
      <c r="B793" s="1" t="s">
        <v>6252</v>
      </c>
      <c r="C793" s="5">
        <f>CONCATENATE("PD", TEXT(A793, "1000000"))</f>
      </c>
      <c r="D793" s="7">
        <v>67</v>
      </c>
      <c r="E793" s="5">
        <f>XLOOKUP(G793, item_category!C:C, item_category!B:B, "Not Found")</f>
      </c>
      <c r="F793" s="1" t="s">
        <v>5516</v>
      </c>
      <c r="G793" s="5">
        <f>XLOOKUP(I793, drug!B:B, drug!A:A, "Not Found")</f>
      </c>
      <c r="H793" s="1" t="s">
        <v>201</v>
      </c>
      <c r="I793" s="7">
        <v>1</v>
      </c>
      <c r="J793" s="5">
        <f>XLOOKUP(L793, uom!C:C, uom!B:B, "Not Found")</f>
      </c>
      <c r="K793" s="1" t="s">
        <v>5511</v>
      </c>
      <c r="L793" s="5">
        <f>XLOOKUP(N793, uom!C:C, uom!B:B, "Not Found")</f>
      </c>
      <c r="M793" s="1" t="s">
        <v>5511</v>
      </c>
      <c r="N793" s="8" t="s">
        <v>5512</v>
      </c>
      <c r="O793" s="1" t="s">
        <v>5513</v>
      </c>
      <c r="P793" s="5">
        <f>XLOOKUP(R793, classification!C:C, classification!B:B, "Not Found")</f>
      </c>
      <c r="Q793" s="1" t="s">
        <v>5514</v>
      </c>
      <c r="R793" s="2"/>
      <c r="S793" s="2"/>
      <c r="T793" s="2"/>
      <c r="U793" s="2"/>
    </row>
    <row x14ac:dyDescent="0.25" r="794" customHeight="1" ht="17.25">
      <c r="A794" s="7">
        <v>793</v>
      </c>
      <c r="B794" s="1" t="s">
        <v>6253</v>
      </c>
      <c r="C794" s="5">
        <f>CONCATENATE("PD", TEXT(A794, "1000000"))</f>
      </c>
      <c r="D794" s="7">
        <v>67</v>
      </c>
      <c r="E794" s="5">
        <f>XLOOKUP(G794, item_category!C:C, item_category!B:B, "Not Found")</f>
      </c>
      <c r="F794" s="1" t="s">
        <v>5516</v>
      </c>
      <c r="G794" s="5">
        <f>XLOOKUP(I794, drug!B:B, drug!A:A, "Not Found")</f>
      </c>
      <c r="H794" s="1" t="s">
        <v>1436</v>
      </c>
      <c r="I794" s="7">
        <v>1</v>
      </c>
      <c r="J794" s="5">
        <f>XLOOKUP(L794, uom!C:C, uom!B:B, "Not Found")</f>
      </c>
      <c r="K794" s="1" t="s">
        <v>5511</v>
      </c>
      <c r="L794" s="5">
        <f>XLOOKUP(N794, uom!C:C, uom!B:B, "Not Found")</f>
      </c>
      <c r="M794" s="1" t="s">
        <v>5511</v>
      </c>
      <c r="N794" s="8" t="s">
        <v>5512</v>
      </c>
      <c r="O794" s="1" t="s">
        <v>5513</v>
      </c>
      <c r="P794" s="5">
        <f>XLOOKUP(R794, classification!C:C, classification!B:B, "Not Found")</f>
      </c>
      <c r="Q794" s="1" t="s">
        <v>5514</v>
      </c>
      <c r="R794" s="2"/>
      <c r="S794" s="2"/>
      <c r="T794" s="2"/>
      <c r="U794" s="2"/>
    </row>
    <row x14ac:dyDescent="0.25" r="795" customHeight="1" ht="17.25">
      <c r="A795" s="7">
        <v>794</v>
      </c>
      <c r="B795" s="1" t="s">
        <v>6254</v>
      </c>
      <c r="C795" s="5">
        <f>CONCATENATE("PD", TEXT(A795, "1000000"))</f>
      </c>
      <c r="D795" s="7">
        <v>67</v>
      </c>
      <c r="E795" s="5">
        <f>XLOOKUP(G795, item_category!C:C, item_category!B:B, "Not Found")</f>
      </c>
      <c r="F795" s="1" t="s">
        <v>5516</v>
      </c>
      <c r="G795" s="5">
        <f>XLOOKUP(I795, drug!B:B, drug!A:A, "Not Found")</f>
      </c>
      <c r="H795" s="1" t="s">
        <v>1994</v>
      </c>
      <c r="I795" s="7">
        <v>1</v>
      </c>
      <c r="J795" s="5">
        <f>XLOOKUP(L795, uom!C:C, uom!B:B, "Not Found")</f>
      </c>
      <c r="K795" s="1" t="s">
        <v>5511</v>
      </c>
      <c r="L795" s="5">
        <f>XLOOKUP(N795, uom!C:C, uom!B:B, "Not Found")</f>
      </c>
      <c r="M795" s="1" t="s">
        <v>5511</v>
      </c>
      <c r="N795" s="8" t="s">
        <v>5512</v>
      </c>
      <c r="O795" s="1" t="s">
        <v>5513</v>
      </c>
      <c r="P795" s="5">
        <f>XLOOKUP(R795, classification!C:C, classification!B:B, "Not Found")</f>
      </c>
      <c r="Q795" s="1" t="s">
        <v>5514</v>
      </c>
      <c r="R795" s="2"/>
      <c r="S795" s="2"/>
      <c r="T795" s="2"/>
      <c r="U795" s="2"/>
    </row>
    <row x14ac:dyDescent="0.25" r="796" customHeight="1" ht="17.25">
      <c r="A796" s="7">
        <v>795</v>
      </c>
      <c r="B796" s="1" t="s">
        <v>6255</v>
      </c>
      <c r="C796" s="5">
        <f>CONCATENATE("PD", TEXT(A796, "1000000"))</f>
      </c>
      <c r="D796" s="7">
        <v>67</v>
      </c>
      <c r="E796" s="5">
        <f>XLOOKUP(G796, item_category!C:C, item_category!B:B, "Not Found")</f>
      </c>
      <c r="F796" s="1" t="s">
        <v>5516</v>
      </c>
      <c r="G796" s="5">
        <f>XLOOKUP(I796, drug!B:B, drug!A:A, "Not Found")</f>
      </c>
      <c r="H796" s="1" t="s">
        <v>1994</v>
      </c>
      <c r="I796" s="7">
        <v>1</v>
      </c>
      <c r="J796" s="5">
        <f>XLOOKUP(L796, uom!C:C, uom!B:B, "Not Found")</f>
      </c>
      <c r="K796" s="1" t="s">
        <v>5511</v>
      </c>
      <c r="L796" s="5">
        <f>XLOOKUP(N796, uom!C:C, uom!B:B, "Not Found")</f>
      </c>
      <c r="M796" s="1" t="s">
        <v>5511</v>
      </c>
      <c r="N796" s="8" t="s">
        <v>5512</v>
      </c>
      <c r="O796" s="1" t="s">
        <v>5513</v>
      </c>
      <c r="P796" s="5">
        <f>XLOOKUP(R796, classification!C:C, classification!B:B, "Not Found")</f>
      </c>
      <c r="Q796" s="1" t="s">
        <v>5514</v>
      </c>
      <c r="R796" s="2"/>
      <c r="S796" s="2"/>
      <c r="T796" s="2"/>
      <c r="U796" s="2"/>
    </row>
    <row x14ac:dyDescent="0.25" r="797" customHeight="1" ht="17.25">
      <c r="A797" s="7">
        <v>796</v>
      </c>
      <c r="B797" s="1" t="s">
        <v>6256</v>
      </c>
      <c r="C797" s="5">
        <f>CONCATENATE("PD", TEXT(A797, "1000000"))</f>
      </c>
      <c r="D797" s="7">
        <v>67</v>
      </c>
      <c r="E797" s="5">
        <f>XLOOKUP(G797, item_category!C:C, item_category!B:B, "Not Found")</f>
      </c>
      <c r="F797" s="1" t="s">
        <v>5516</v>
      </c>
      <c r="G797" s="5">
        <f>XLOOKUP(I797, drug!B:B, drug!A:A, "Not Found")</f>
      </c>
      <c r="H797" s="1" t="s">
        <v>1994</v>
      </c>
      <c r="I797" s="7">
        <v>1</v>
      </c>
      <c r="J797" s="5">
        <f>XLOOKUP(L797, uom!C:C, uom!B:B, "Not Found")</f>
      </c>
      <c r="K797" s="1" t="s">
        <v>5511</v>
      </c>
      <c r="L797" s="5">
        <f>XLOOKUP(N797, uom!C:C, uom!B:B, "Not Found")</f>
      </c>
      <c r="M797" s="1" t="s">
        <v>5511</v>
      </c>
      <c r="N797" s="8" t="s">
        <v>5512</v>
      </c>
      <c r="O797" s="1" t="s">
        <v>5513</v>
      </c>
      <c r="P797" s="5">
        <f>XLOOKUP(R797, classification!C:C, classification!B:B, "Not Found")</f>
      </c>
      <c r="Q797" s="1" t="s">
        <v>5514</v>
      </c>
      <c r="R797" s="2"/>
      <c r="S797" s="2"/>
      <c r="T797" s="2"/>
      <c r="U797" s="2"/>
    </row>
    <row x14ac:dyDescent="0.25" r="798" customHeight="1" ht="17.25">
      <c r="A798" s="7">
        <v>797</v>
      </c>
      <c r="B798" s="1" t="s">
        <v>6257</v>
      </c>
      <c r="C798" s="5">
        <f>CONCATENATE("PD", TEXT(A798, "1000000"))</f>
      </c>
      <c r="D798" s="7">
        <v>67</v>
      </c>
      <c r="E798" s="5">
        <f>XLOOKUP(G798, item_category!C:C, item_category!B:B, "Not Found")</f>
      </c>
      <c r="F798" s="1" t="s">
        <v>5516</v>
      </c>
      <c r="G798" s="5">
        <f>XLOOKUP(I798, drug!B:B, drug!A:A, "Not Found")</f>
      </c>
      <c r="H798" s="1" t="s">
        <v>1994</v>
      </c>
      <c r="I798" s="7">
        <v>1</v>
      </c>
      <c r="J798" s="5">
        <f>XLOOKUP(L798, uom!C:C, uom!B:B, "Not Found")</f>
      </c>
      <c r="K798" s="1" t="s">
        <v>5511</v>
      </c>
      <c r="L798" s="5">
        <f>XLOOKUP(N798, uom!C:C, uom!B:B, "Not Found")</f>
      </c>
      <c r="M798" s="1" t="s">
        <v>5511</v>
      </c>
      <c r="N798" s="8" t="s">
        <v>5512</v>
      </c>
      <c r="O798" s="1" t="s">
        <v>5513</v>
      </c>
      <c r="P798" s="5">
        <f>XLOOKUP(R798, classification!C:C, classification!B:B, "Not Found")</f>
      </c>
      <c r="Q798" s="1" t="s">
        <v>5514</v>
      </c>
      <c r="R798" s="2"/>
      <c r="S798" s="2"/>
      <c r="T798" s="2"/>
      <c r="U798" s="2"/>
    </row>
    <row x14ac:dyDescent="0.25" r="799" customHeight="1" ht="17.25">
      <c r="A799" s="7">
        <v>798</v>
      </c>
      <c r="B799" s="1" t="s">
        <v>6258</v>
      </c>
      <c r="C799" s="5">
        <f>CONCATENATE("PD", TEXT(A799, "1000000"))</f>
      </c>
      <c r="D799" s="7">
        <v>67</v>
      </c>
      <c r="E799" s="5">
        <f>XLOOKUP(G799, item_category!C:C, item_category!B:B, "Not Found")</f>
      </c>
      <c r="F799" s="1" t="s">
        <v>5516</v>
      </c>
      <c r="G799" s="5">
        <f>XLOOKUP(I799, drug!B:B, drug!A:A, "Not Found")</f>
      </c>
      <c r="H799" s="1" t="s">
        <v>1994</v>
      </c>
      <c r="I799" s="7">
        <v>1</v>
      </c>
      <c r="J799" s="5">
        <f>XLOOKUP(L799, uom!C:C, uom!B:B, "Not Found")</f>
      </c>
      <c r="K799" s="1" t="s">
        <v>5511</v>
      </c>
      <c r="L799" s="5">
        <f>XLOOKUP(N799, uom!C:C, uom!B:B, "Not Found")</f>
      </c>
      <c r="M799" s="1" t="s">
        <v>5511</v>
      </c>
      <c r="N799" s="8" t="s">
        <v>5512</v>
      </c>
      <c r="O799" s="1" t="s">
        <v>5513</v>
      </c>
      <c r="P799" s="5">
        <f>XLOOKUP(R799, classification!C:C, classification!B:B, "Not Found")</f>
      </c>
      <c r="Q799" s="1" t="s">
        <v>5514</v>
      </c>
      <c r="R799" s="2"/>
      <c r="S799" s="2"/>
      <c r="T799" s="2"/>
      <c r="U799" s="2"/>
    </row>
    <row x14ac:dyDescent="0.25" r="800" customHeight="1" ht="17.25">
      <c r="A800" s="7">
        <v>799</v>
      </c>
      <c r="B800" s="1" t="s">
        <v>6259</v>
      </c>
      <c r="C800" s="5">
        <f>CONCATENATE("PD", TEXT(A800, "1000000"))</f>
      </c>
      <c r="D800" s="7">
        <v>67</v>
      </c>
      <c r="E800" s="5">
        <f>XLOOKUP(G800, item_category!C:C, item_category!B:B, "Not Found")</f>
      </c>
      <c r="F800" s="1" t="s">
        <v>5516</v>
      </c>
      <c r="G800" s="5">
        <f>XLOOKUP(I800, drug!B:B, drug!A:A, "Not Found")</f>
      </c>
      <c r="H800" s="1" t="s">
        <v>1280</v>
      </c>
      <c r="I800" s="7">
        <v>1</v>
      </c>
      <c r="J800" s="5">
        <f>XLOOKUP(L800, uom!C:C, uom!B:B, "Not Found")</f>
      </c>
      <c r="K800" s="1" t="s">
        <v>5511</v>
      </c>
      <c r="L800" s="5">
        <f>XLOOKUP(N800, uom!C:C, uom!B:B, "Not Found")</f>
      </c>
      <c r="M800" s="1" t="s">
        <v>5511</v>
      </c>
      <c r="N800" s="8" t="s">
        <v>5512</v>
      </c>
      <c r="O800" s="1" t="s">
        <v>5513</v>
      </c>
      <c r="P800" s="5">
        <f>XLOOKUP(R800, classification!C:C, classification!B:B, "Not Found")</f>
      </c>
      <c r="Q800" s="1" t="s">
        <v>5514</v>
      </c>
      <c r="R800" s="2"/>
      <c r="S800" s="2"/>
      <c r="T800" s="2"/>
      <c r="U800" s="2"/>
    </row>
    <row x14ac:dyDescent="0.25" r="801" customHeight="1" ht="17.25">
      <c r="A801" s="7">
        <v>800</v>
      </c>
      <c r="B801" s="1" t="s">
        <v>6260</v>
      </c>
      <c r="C801" s="5">
        <f>CONCATENATE("PD", TEXT(A801, "1000000"))</f>
      </c>
      <c r="D801" s="7">
        <v>67</v>
      </c>
      <c r="E801" s="5">
        <f>XLOOKUP(G801, item_category!C:C, item_category!B:B, "Not Found")</f>
      </c>
      <c r="F801" s="1" t="s">
        <v>5516</v>
      </c>
      <c r="G801" s="5">
        <f>XLOOKUP(I801, drug!B:B, drug!A:A, "Not Found")</f>
      </c>
      <c r="H801" s="1"/>
      <c r="I801" s="7">
        <v>1</v>
      </c>
      <c r="J801" s="5">
        <f>XLOOKUP(L801, uom!C:C, uom!B:B, "Not Found")</f>
      </c>
      <c r="K801" s="1" t="s">
        <v>5511</v>
      </c>
      <c r="L801" s="5">
        <f>XLOOKUP(N801, uom!C:C, uom!B:B, "Not Found")</f>
      </c>
      <c r="M801" s="1" t="s">
        <v>5511</v>
      </c>
      <c r="N801" s="8" t="s">
        <v>5512</v>
      </c>
      <c r="O801" s="1" t="s">
        <v>5513</v>
      </c>
      <c r="P801" s="5">
        <f>XLOOKUP(R801, classification!C:C, classification!B:B, "Not Found")</f>
      </c>
      <c r="Q801" s="1" t="s">
        <v>5514</v>
      </c>
      <c r="R801" s="2"/>
      <c r="S801" s="2"/>
      <c r="T801" s="2"/>
      <c r="U801" s="2"/>
    </row>
    <row x14ac:dyDescent="0.25" r="802" customHeight="1" ht="17.25">
      <c r="A802" s="7">
        <v>801</v>
      </c>
      <c r="B802" s="1" t="s">
        <v>6261</v>
      </c>
      <c r="C802" s="5">
        <f>CONCATENATE("PD", TEXT(A802, "1000000"))</f>
      </c>
      <c r="D802" s="7">
        <v>67</v>
      </c>
      <c r="E802" s="5">
        <f>XLOOKUP(G802, item_category!C:C, item_category!B:B, "Not Found")</f>
      </c>
      <c r="F802" s="1" t="s">
        <v>5516</v>
      </c>
      <c r="G802" s="5">
        <f>XLOOKUP(I802, drug!B:B, drug!A:A, "Not Found")</f>
      </c>
      <c r="H802" s="1" t="s">
        <v>1994</v>
      </c>
      <c r="I802" s="7">
        <v>1</v>
      </c>
      <c r="J802" s="5">
        <f>XLOOKUP(L802, uom!C:C, uom!B:B, "Not Found")</f>
      </c>
      <c r="K802" s="1" t="s">
        <v>5511</v>
      </c>
      <c r="L802" s="5">
        <f>XLOOKUP(N802, uom!C:C, uom!B:B, "Not Found")</f>
      </c>
      <c r="M802" s="1" t="s">
        <v>5511</v>
      </c>
      <c r="N802" s="8" t="s">
        <v>5512</v>
      </c>
      <c r="O802" s="1" t="s">
        <v>5513</v>
      </c>
      <c r="P802" s="5">
        <f>XLOOKUP(R802, classification!C:C, classification!B:B, "Not Found")</f>
      </c>
      <c r="Q802" s="1" t="s">
        <v>5514</v>
      </c>
      <c r="R802" s="2"/>
      <c r="S802" s="2"/>
      <c r="T802" s="2"/>
      <c r="U802" s="2"/>
    </row>
    <row x14ac:dyDescent="0.25" r="803" customHeight="1" ht="17.25">
      <c r="A803" s="7">
        <v>802</v>
      </c>
      <c r="B803" s="1" t="s">
        <v>6262</v>
      </c>
      <c r="C803" s="5">
        <f>CONCATENATE("PD", TEXT(A803, "1000000"))</f>
      </c>
      <c r="D803" s="7">
        <v>67</v>
      </c>
      <c r="E803" s="5">
        <f>XLOOKUP(G803, item_category!C:C, item_category!B:B, "Not Found")</f>
      </c>
      <c r="F803" s="1" t="s">
        <v>5516</v>
      </c>
      <c r="G803" s="5">
        <f>XLOOKUP(I803, drug!B:B, drug!A:A, "Not Found")</f>
      </c>
      <c r="H803" s="1"/>
      <c r="I803" s="7">
        <v>1</v>
      </c>
      <c r="J803" s="5">
        <f>XLOOKUP(L803, uom!C:C, uom!B:B, "Not Found")</f>
      </c>
      <c r="K803" s="1" t="s">
        <v>5511</v>
      </c>
      <c r="L803" s="5">
        <f>XLOOKUP(N803, uom!C:C, uom!B:B, "Not Found")</f>
      </c>
      <c r="M803" s="1" t="s">
        <v>5511</v>
      </c>
      <c r="N803" s="8" t="s">
        <v>5512</v>
      </c>
      <c r="O803" s="1" t="s">
        <v>5513</v>
      </c>
      <c r="P803" s="5">
        <f>XLOOKUP(R803, classification!C:C, classification!B:B, "Not Found")</f>
      </c>
      <c r="Q803" s="1" t="s">
        <v>5514</v>
      </c>
      <c r="R803" s="2"/>
      <c r="S803" s="2"/>
      <c r="T803" s="2"/>
      <c r="U803" s="2"/>
    </row>
    <row x14ac:dyDescent="0.25" r="804" customHeight="1" ht="17.25">
      <c r="A804" s="7">
        <v>803</v>
      </c>
      <c r="B804" s="1" t="s">
        <v>6263</v>
      </c>
      <c r="C804" s="5">
        <f>CONCATENATE("PD", TEXT(A804, "1000000"))</f>
      </c>
      <c r="D804" s="7">
        <v>67</v>
      </c>
      <c r="E804" s="5">
        <f>XLOOKUP(G804, item_category!C:C, item_category!B:B, "Not Found")</f>
      </c>
      <c r="F804" s="1" t="s">
        <v>5516</v>
      </c>
      <c r="G804" s="5">
        <f>XLOOKUP(I804, drug!B:B, drug!A:A, "Not Found")</f>
      </c>
      <c r="H804" s="1" t="s">
        <v>1942</v>
      </c>
      <c r="I804" s="7">
        <v>250</v>
      </c>
      <c r="J804" s="5">
        <f>XLOOKUP(L804, uom!C:C, uom!B:B, "Not Found")</f>
      </c>
      <c r="K804" s="1" t="s">
        <v>5602</v>
      </c>
      <c r="L804" s="5">
        <f>XLOOKUP(N804, uom!C:C, uom!B:B, "Not Found")</f>
      </c>
      <c r="M804" s="1" t="s">
        <v>5602</v>
      </c>
      <c r="N804" s="8" t="s">
        <v>5524</v>
      </c>
      <c r="O804" s="1" t="s">
        <v>5525</v>
      </c>
      <c r="P804" s="5">
        <f>XLOOKUP(R804, classification!C:C, classification!B:B, "Not Found")</f>
      </c>
      <c r="Q804" s="1" t="s">
        <v>5514</v>
      </c>
      <c r="R804" s="2"/>
      <c r="S804" s="2"/>
      <c r="T804" s="2"/>
      <c r="U804" s="2"/>
    </row>
    <row x14ac:dyDescent="0.25" r="805" customHeight="1" ht="17.25">
      <c r="A805" s="7">
        <v>804</v>
      </c>
      <c r="B805" s="1" t="s">
        <v>6264</v>
      </c>
      <c r="C805" s="5">
        <f>CONCATENATE("PD", TEXT(A805, "1000000"))</f>
      </c>
      <c r="D805" s="7">
        <v>67</v>
      </c>
      <c r="E805" s="5">
        <f>XLOOKUP(G805, item_category!C:C, item_category!B:B, "Not Found")</f>
      </c>
      <c r="F805" s="1" t="s">
        <v>5516</v>
      </c>
      <c r="G805" s="5">
        <f>XLOOKUP(I805, drug!B:B, drug!A:A, "Not Found")</f>
      </c>
      <c r="H805" s="1" t="s">
        <v>1994</v>
      </c>
      <c r="I805" s="7">
        <v>1</v>
      </c>
      <c r="J805" s="5">
        <f>XLOOKUP(L805, uom!C:C, uom!B:B, "Not Found")</f>
      </c>
      <c r="K805" s="1" t="s">
        <v>5511</v>
      </c>
      <c r="L805" s="5">
        <f>XLOOKUP(N805, uom!C:C, uom!B:B, "Not Found")</f>
      </c>
      <c r="M805" s="1" t="s">
        <v>5511</v>
      </c>
      <c r="N805" s="8" t="s">
        <v>5512</v>
      </c>
      <c r="O805" s="1" t="s">
        <v>5513</v>
      </c>
      <c r="P805" s="5">
        <f>XLOOKUP(R805, classification!C:C, classification!B:B, "Not Found")</f>
      </c>
      <c r="Q805" s="1" t="s">
        <v>5514</v>
      </c>
      <c r="R805" s="2"/>
      <c r="S805" s="2"/>
      <c r="T805" s="2"/>
      <c r="U805" s="2"/>
    </row>
    <row x14ac:dyDescent="0.25" r="806" customHeight="1" ht="17.25">
      <c r="A806" s="7">
        <v>805</v>
      </c>
      <c r="B806" s="1" t="s">
        <v>6265</v>
      </c>
      <c r="C806" s="5">
        <f>CONCATENATE("PD", TEXT(A806, "1000000"))</f>
      </c>
      <c r="D806" s="7">
        <v>67</v>
      </c>
      <c r="E806" s="5">
        <f>XLOOKUP(G806, item_category!C:C, item_category!B:B, "Not Found")</f>
      </c>
      <c r="F806" s="1" t="s">
        <v>5516</v>
      </c>
      <c r="G806" s="5">
        <f>XLOOKUP(I806, drug!B:B, drug!A:A, "Not Found")</f>
      </c>
      <c r="H806" s="1" t="s">
        <v>1994</v>
      </c>
      <c r="I806" s="7">
        <v>1</v>
      </c>
      <c r="J806" s="5">
        <f>XLOOKUP(L806, uom!C:C, uom!B:B, "Not Found")</f>
      </c>
      <c r="K806" s="1" t="s">
        <v>5511</v>
      </c>
      <c r="L806" s="5">
        <f>XLOOKUP(N806, uom!C:C, uom!B:B, "Not Found")</f>
      </c>
      <c r="M806" s="1" t="s">
        <v>5511</v>
      </c>
      <c r="N806" s="8" t="s">
        <v>5512</v>
      </c>
      <c r="O806" s="1" t="s">
        <v>5513</v>
      </c>
      <c r="P806" s="5">
        <f>XLOOKUP(R806, classification!C:C, classification!B:B, "Not Found")</f>
      </c>
      <c r="Q806" s="1" t="s">
        <v>5514</v>
      </c>
      <c r="R806" s="2"/>
      <c r="S806" s="2"/>
      <c r="T806" s="2"/>
      <c r="U806" s="2"/>
    </row>
    <row x14ac:dyDescent="0.25" r="807" customHeight="1" ht="17.25">
      <c r="A807" s="7">
        <v>806</v>
      </c>
      <c r="B807" s="1" t="s">
        <v>6266</v>
      </c>
      <c r="C807" s="5">
        <f>CONCATENATE("PD", TEXT(A807, "1000000"))</f>
      </c>
      <c r="D807" s="7">
        <v>67</v>
      </c>
      <c r="E807" s="5">
        <f>XLOOKUP(G807, item_category!C:C, item_category!B:B, "Not Found")</f>
      </c>
      <c r="F807" s="1" t="s">
        <v>5516</v>
      </c>
      <c r="G807" s="5">
        <f>XLOOKUP(I807, drug!B:B, drug!A:A, "Not Found")</f>
      </c>
      <c r="H807" s="1" t="s">
        <v>2016</v>
      </c>
      <c r="I807" s="7">
        <v>1</v>
      </c>
      <c r="J807" s="5">
        <f>XLOOKUP(L807, uom!C:C, uom!B:B, "Not Found")</f>
      </c>
      <c r="K807" s="1" t="s">
        <v>5511</v>
      </c>
      <c r="L807" s="5">
        <f>XLOOKUP(N807, uom!C:C, uom!B:B, "Not Found")</f>
      </c>
      <c r="M807" s="1" t="s">
        <v>5511</v>
      </c>
      <c r="N807" s="8" t="s">
        <v>5512</v>
      </c>
      <c r="O807" s="1" t="s">
        <v>5513</v>
      </c>
      <c r="P807" s="5">
        <f>XLOOKUP(R807, classification!C:C, classification!B:B, "Not Found")</f>
      </c>
      <c r="Q807" s="1" t="s">
        <v>5514</v>
      </c>
      <c r="R807" s="2"/>
      <c r="S807" s="2"/>
      <c r="T807" s="2"/>
      <c r="U807" s="2"/>
    </row>
    <row x14ac:dyDescent="0.25" r="808" customHeight="1" ht="17.25">
      <c r="A808" s="7">
        <v>807</v>
      </c>
      <c r="B808" s="1" t="s">
        <v>6267</v>
      </c>
      <c r="C808" s="5">
        <f>CONCATENATE("PD", TEXT(A808, "1000000"))</f>
      </c>
      <c r="D808" s="7">
        <v>67</v>
      </c>
      <c r="E808" s="5">
        <f>XLOOKUP(G808, item_category!C:C, item_category!B:B, "Not Found")</f>
      </c>
      <c r="F808" s="1" t="s">
        <v>5516</v>
      </c>
      <c r="G808" s="5">
        <f>XLOOKUP(I808, drug!B:B, drug!A:A, "Not Found")</f>
      </c>
      <c r="H808" s="1"/>
      <c r="I808" s="7">
        <v>1</v>
      </c>
      <c r="J808" s="5">
        <f>XLOOKUP(L808, uom!C:C, uom!B:B, "Not Found")</f>
      </c>
      <c r="K808" s="1" t="s">
        <v>5511</v>
      </c>
      <c r="L808" s="5">
        <f>XLOOKUP(N808, uom!C:C, uom!B:B, "Not Found")</f>
      </c>
      <c r="M808" s="1" t="s">
        <v>5511</v>
      </c>
      <c r="N808" s="8" t="s">
        <v>5512</v>
      </c>
      <c r="O808" s="1" t="s">
        <v>5513</v>
      </c>
      <c r="P808" s="5">
        <f>XLOOKUP(R808, classification!C:C, classification!B:B, "Not Found")</f>
      </c>
      <c r="Q808" s="1" t="s">
        <v>5514</v>
      </c>
      <c r="R808" s="2"/>
      <c r="S808" s="2"/>
      <c r="T808" s="2"/>
      <c r="U808" s="2"/>
    </row>
    <row x14ac:dyDescent="0.25" r="809" customHeight="1" ht="17.25">
      <c r="A809" s="7">
        <v>808</v>
      </c>
      <c r="B809" s="1" t="s">
        <v>6268</v>
      </c>
      <c r="C809" s="5">
        <f>CONCATENATE("PD", TEXT(A809, "1000000"))</f>
      </c>
      <c r="D809" s="7">
        <v>67</v>
      </c>
      <c r="E809" s="5">
        <f>XLOOKUP(G809, item_category!C:C, item_category!B:B, "Not Found")</f>
      </c>
      <c r="F809" s="1" t="s">
        <v>5516</v>
      </c>
      <c r="G809" s="5">
        <f>XLOOKUP(I809, drug!B:B, drug!A:A, "Not Found")</f>
      </c>
      <c r="H809" s="1"/>
      <c r="I809" s="7">
        <v>1</v>
      </c>
      <c r="J809" s="5">
        <f>XLOOKUP(L809, uom!C:C, uom!B:B, "Not Found")</f>
      </c>
      <c r="K809" s="1" t="s">
        <v>5511</v>
      </c>
      <c r="L809" s="5">
        <f>XLOOKUP(N809, uom!C:C, uom!B:B, "Not Found")</f>
      </c>
      <c r="M809" s="1" t="s">
        <v>5511</v>
      </c>
      <c r="N809" s="8" t="s">
        <v>5512</v>
      </c>
      <c r="O809" s="1" t="s">
        <v>5513</v>
      </c>
      <c r="P809" s="5">
        <f>XLOOKUP(R809, classification!C:C, classification!B:B, "Not Found")</f>
      </c>
      <c r="Q809" s="1" t="s">
        <v>5514</v>
      </c>
      <c r="R809" s="2"/>
      <c r="S809" s="2"/>
      <c r="T809" s="2"/>
      <c r="U809" s="2"/>
    </row>
    <row x14ac:dyDescent="0.25" r="810" customHeight="1" ht="17.25">
      <c r="A810" s="7">
        <v>809</v>
      </c>
      <c r="B810" s="1" t="s">
        <v>6269</v>
      </c>
      <c r="C810" s="5">
        <f>CONCATENATE("PD", TEXT(A810, "1000000"))</f>
      </c>
      <c r="D810" s="7">
        <v>67</v>
      </c>
      <c r="E810" s="5">
        <f>XLOOKUP(G810, item_category!C:C, item_category!B:B, "Not Found")</f>
      </c>
      <c r="F810" s="1" t="s">
        <v>5516</v>
      </c>
      <c r="G810" s="5">
        <f>XLOOKUP(I810, drug!B:B, drug!A:A, "Not Found")</f>
      </c>
      <c r="H810" s="1" t="s">
        <v>857</v>
      </c>
      <c r="I810" s="7">
        <v>1</v>
      </c>
      <c r="J810" s="5">
        <f>XLOOKUP(L810, uom!C:C, uom!B:B, "Not Found")</f>
      </c>
      <c r="K810" s="1" t="s">
        <v>5511</v>
      </c>
      <c r="L810" s="5">
        <f>XLOOKUP(N810, uom!C:C, uom!B:B, "Not Found")</f>
      </c>
      <c r="M810" s="1" t="s">
        <v>5511</v>
      </c>
      <c r="N810" s="8" t="s">
        <v>5512</v>
      </c>
      <c r="O810" s="1" t="s">
        <v>5513</v>
      </c>
      <c r="P810" s="5">
        <f>XLOOKUP(R810, classification!C:C, classification!B:B, "Not Found")</f>
      </c>
      <c r="Q810" s="1" t="s">
        <v>5514</v>
      </c>
      <c r="R810" s="2"/>
      <c r="S810" s="2"/>
      <c r="T810" s="2"/>
      <c r="U810" s="2"/>
    </row>
    <row x14ac:dyDescent="0.25" r="811" customHeight="1" ht="17.25">
      <c r="A811" s="7">
        <v>810</v>
      </c>
      <c r="B811" s="1" t="s">
        <v>2304</v>
      </c>
      <c r="C811" s="5">
        <f>CONCATENATE("PD", TEXT(A811, "1000000"))</f>
      </c>
      <c r="D811" s="7">
        <v>67</v>
      </c>
      <c r="E811" s="5">
        <f>XLOOKUP(G811, item_category!C:C, item_category!B:B, "Not Found")</f>
      </c>
      <c r="F811" s="1" t="s">
        <v>5516</v>
      </c>
      <c r="G811" s="5">
        <f>XLOOKUP(I811, drug!B:B, drug!A:A, "Not Found")</f>
      </c>
      <c r="H811" s="1"/>
      <c r="I811" s="7">
        <v>1</v>
      </c>
      <c r="J811" s="5">
        <f>XLOOKUP(L811, uom!C:C, uom!B:B, "Not Found")</f>
      </c>
      <c r="K811" s="1" t="s">
        <v>5511</v>
      </c>
      <c r="L811" s="5">
        <f>XLOOKUP(N811, uom!C:C, uom!B:B, "Not Found")</f>
      </c>
      <c r="M811" s="1" t="s">
        <v>5511</v>
      </c>
      <c r="N811" s="8" t="s">
        <v>5512</v>
      </c>
      <c r="O811" s="1" t="s">
        <v>5513</v>
      </c>
      <c r="P811" s="5">
        <f>XLOOKUP(R811, classification!C:C, classification!B:B, "Not Found")</f>
      </c>
      <c r="Q811" s="1" t="s">
        <v>5514</v>
      </c>
      <c r="R811" s="2"/>
      <c r="S811" s="2"/>
      <c r="T811" s="2"/>
      <c r="U811" s="2"/>
    </row>
    <row x14ac:dyDescent="0.25" r="812" customHeight="1" ht="17.25">
      <c r="A812" s="7">
        <v>811</v>
      </c>
      <c r="B812" s="1" t="s">
        <v>6270</v>
      </c>
      <c r="C812" s="5">
        <f>CONCATENATE("PD", TEXT(A812, "1000000"))</f>
      </c>
      <c r="D812" s="7">
        <v>67</v>
      </c>
      <c r="E812" s="5">
        <f>XLOOKUP(G812, item_category!C:C, item_category!B:B, "Not Found")</f>
      </c>
      <c r="F812" s="1" t="s">
        <v>5516</v>
      </c>
      <c r="G812" s="5">
        <f>XLOOKUP(I812, drug!B:B, drug!A:A, "Not Found")</f>
      </c>
      <c r="H812" s="1"/>
      <c r="I812" s="7">
        <v>1</v>
      </c>
      <c r="J812" s="5">
        <f>XLOOKUP(L812, uom!C:C, uom!B:B, "Not Found")</f>
      </c>
      <c r="K812" s="1" t="s">
        <v>5511</v>
      </c>
      <c r="L812" s="5">
        <f>XLOOKUP(N812, uom!C:C, uom!B:B, "Not Found")</f>
      </c>
      <c r="M812" s="1" t="s">
        <v>5511</v>
      </c>
      <c r="N812" s="8" t="s">
        <v>5512</v>
      </c>
      <c r="O812" s="1" t="s">
        <v>5513</v>
      </c>
      <c r="P812" s="5">
        <f>XLOOKUP(R812, classification!C:C, classification!B:B, "Not Found")</f>
      </c>
      <c r="Q812" s="1" t="s">
        <v>5514</v>
      </c>
      <c r="R812" s="2"/>
      <c r="S812" s="2"/>
      <c r="T812" s="2"/>
      <c r="U812" s="2"/>
    </row>
    <row x14ac:dyDescent="0.25" r="813" customHeight="1" ht="17.25">
      <c r="A813" s="7">
        <v>812</v>
      </c>
      <c r="B813" s="1" t="s">
        <v>2308</v>
      </c>
      <c r="C813" s="5">
        <f>CONCATENATE("PD", TEXT(A813, "1000000"))</f>
      </c>
      <c r="D813" s="7">
        <v>67</v>
      </c>
      <c r="E813" s="5">
        <f>XLOOKUP(G813, item_category!C:C, item_category!B:B, "Not Found")</f>
      </c>
      <c r="F813" s="1" t="s">
        <v>5516</v>
      </c>
      <c r="G813" s="5">
        <f>XLOOKUP(I813, drug!B:B, drug!A:A, "Not Found")</f>
      </c>
      <c r="H813" s="1"/>
      <c r="I813" s="7">
        <v>1</v>
      </c>
      <c r="J813" s="5">
        <f>XLOOKUP(L813, uom!C:C, uom!B:B, "Not Found")</f>
      </c>
      <c r="K813" s="1" t="s">
        <v>5511</v>
      </c>
      <c r="L813" s="5">
        <f>XLOOKUP(N813, uom!C:C, uom!B:B, "Not Found")</f>
      </c>
      <c r="M813" s="1" t="s">
        <v>5511</v>
      </c>
      <c r="N813" s="8" t="s">
        <v>5512</v>
      </c>
      <c r="O813" s="1" t="s">
        <v>5513</v>
      </c>
      <c r="P813" s="5">
        <f>XLOOKUP(R813, classification!C:C, classification!B:B, "Not Found")</f>
      </c>
      <c r="Q813" s="1" t="s">
        <v>5514</v>
      </c>
      <c r="R813" s="2"/>
      <c r="S813" s="2"/>
      <c r="T813" s="2"/>
      <c r="U813" s="2"/>
    </row>
    <row x14ac:dyDescent="0.25" r="814" customHeight="1" ht="17.25">
      <c r="A814" s="7">
        <v>813</v>
      </c>
      <c r="B814" s="1" t="s">
        <v>2310</v>
      </c>
      <c r="C814" s="5">
        <f>CONCATENATE("PD", TEXT(A814, "1000000"))</f>
      </c>
      <c r="D814" s="7">
        <v>67</v>
      </c>
      <c r="E814" s="5">
        <f>XLOOKUP(G814, item_category!C:C, item_category!B:B, "Not Found")</f>
      </c>
      <c r="F814" s="1" t="s">
        <v>5516</v>
      </c>
      <c r="G814" s="5">
        <f>XLOOKUP(I814, drug!B:B, drug!A:A, "Not Found")</f>
      </c>
      <c r="H814" s="1"/>
      <c r="I814" s="7">
        <v>1</v>
      </c>
      <c r="J814" s="5">
        <f>XLOOKUP(L814, uom!C:C, uom!B:B, "Not Found")</f>
      </c>
      <c r="K814" s="1" t="s">
        <v>5511</v>
      </c>
      <c r="L814" s="5">
        <f>XLOOKUP(N814, uom!C:C, uom!B:B, "Not Found")</f>
      </c>
      <c r="M814" s="1" t="s">
        <v>5511</v>
      </c>
      <c r="N814" s="8" t="s">
        <v>5512</v>
      </c>
      <c r="O814" s="1" t="s">
        <v>5513</v>
      </c>
      <c r="P814" s="5">
        <f>XLOOKUP(R814, classification!C:C, classification!B:B, "Not Found")</f>
      </c>
      <c r="Q814" s="1" t="s">
        <v>5514</v>
      </c>
      <c r="R814" s="2"/>
      <c r="S814" s="2"/>
      <c r="T814" s="2"/>
      <c r="U814" s="2"/>
    </row>
    <row x14ac:dyDescent="0.25" r="815" customHeight="1" ht="17.25">
      <c r="A815" s="7">
        <v>814</v>
      </c>
      <c r="B815" s="1" t="s">
        <v>2312</v>
      </c>
      <c r="C815" s="5">
        <f>CONCATENATE("PD", TEXT(A815, "1000000"))</f>
      </c>
      <c r="D815" s="7">
        <v>67</v>
      </c>
      <c r="E815" s="5">
        <f>XLOOKUP(G815, item_category!C:C, item_category!B:B, "Not Found")</f>
      </c>
      <c r="F815" s="1" t="s">
        <v>5516</v>
      </c>
      <c r="G815" s="5">
        <f>XLOOKUP(I815, drug!B:B, drug!A:A, "Not Found")</f>
      </c>
      <c r="H815" s="1"/>
      <c r="I815" s="7">
        <v>1</v>
      </c>
      <c r="J815" s="5">
        <f>XLOOKUP(L815, uom!C:C, uom!B:B, "Not Found")</f>
      </c>
      <c r="K815" s="1" t="s">
        <v>5511</v>
      </c>
      <c r="L815" s="5">
        <f>XLOOKUP(N815, uom!C:C, uom!B:B, "Not Found")</f>
      </c>
      <c r="M815" s="1" t="s">
        <v>5511</v>
      </c>
      <c r="N815" s="8" t="s">
        <v>5512</v>
      </c>
      <c r="O815" s="1" t="s">
        <v>5513</v>
      </c>
      <c r="P815" s="5">
        <f>XLOOKUP(R815, classification!C:C, classification!B:B, "Not Found")</f>
      </c>
      <c r="Q815" s="1" t="s">
        <v>5514</v>
      </c>
      <c r="R815" s="2"/>
      <c r="S815" s="2"/>
      <c r="T815" s="2"/>
      <c r="U815" s="2"/>
    </row>
    <row x14ac:dyDescent="0.25" r="816" customHeight="1" ht="17.25">
      <c r="A816" s="7">
        <v>815</v>
      </c>
      <c r="B816" s="1" t="s">
        <v>6271</v>
      </c>
      <c r="C816" s="5">
        <f>CONCATENATE("PD", TEXT(A816, "1000000"))</f>
      </c>
      <c r="D816" s="7">
        <v>67</v>
      </c>
      <c r="E816" s="5">
        <f>XLOOKUP(G816, item_category!C:C, item_category!B:B, "Not Found")</f>
      </c>
      <c r="F816" s="1" t="s">
        <v>5516</v>
      </c>
      <c r="G816" s="5">
        <f>XLOOKUP(I816, drug!B:B, drug!A:A, "Not Found")</f>
      </c>
      <c r="H816" s="1" t="s">
        <v>1320</v>
      </c>
      <c r="I816" s="7">
        <v>250</v>
      </c>
      <c r="J816" s="5">
        <f>XLOOKUP(L816, uom!C:C, uom!B:B, "Not Found")</f>
      </c>
      <c r="K816" s="1" t="s">
        <v>5602</v>
      </c>
      <c r="L816" s="5">
        <f>XLOOKUP(N816, uom!C:C, uom!B:B, "Not Found")</f>
      </c>
      <c r="M816" s="1" t="s">
        <v>5602</v>
      </c>
      <c r="N816" s="8" t="s">
        <v>5524</v>
      </c>
      <c r="O816" s="1" t="s">
        <v>5525</v>
      </c>
      <c r="P816" s="5">
        <f>XLOOKUP(R816, classification!C:C, classification!B:B, "Not Found")</f>
      </c>
      <c r="Q816" s="1" t="s">
        <v>5514</v>
      </c>
      <c r="R816" s="2"/>
      <c r="S816" s="2"/>
      <c r="T816" s="2"/>
      <c r="U816" s="2"/>
    </row>
    <row x14ac:dyDescent="0.25" r="817" customHeight="1" ht="17.25">
      <c r="A817" s="7">
        <v>816</v>
      </c>
      <c r="B817" s="1" t="s">
        <v>2314</v>
      </c>
      <c r="C817" s="5">
        <f>CONCATENATE("PD", TEXT(A817, "1000000"))</f>
      </c>
      <c r="D817" s="7">
        <v>67</v>
      </c>
      <c r="E817" s="5">
        <f>XLOOKUP(G817, item_category!C:C, item_category!B:B, "Not Found")</f>
      </c>
      <c r="F817" s="1" t="s">
        <v>5516</v>
      </c>
      <c r="G817" s="5">
        <f>XLOOKUP(I817, drug!B:B, drug!A:A, "Not Found")</f>
      </c>
      <c r="H817" s="1"/>
      <c r="I817" s="7">
        <v>1</v>
      </c>
      <c r="J817" s="5">
        <f>XLOOKUP(L817, uom!C:C, uom!B:B, "Not Found")</f>
      </c>
      <c r="K817" s="1" t="s">
        <v>5511</v>
      </c>
      <c r="L817" s="5">
        <f>XLOOKUP(N817, uom!C:C, uom!B:B, "Not Found")</f>
      </c>
      <c r="M817" s="1" t="s">
        <v>5511</v>
      </c>
      <c r="N817" s="8" t="s">
        <v>5512</v>
      </c>
      <c r="O817" s="1" t="s">
        <v>5513</v>
      </c>
      <c r="P817" s="5">
        <f>XLOOKUP(R817, classification!C:C, classification!B:B, "Not Found")</f>
      </c>
      <c r="Q817" s="1" t="s">
        <v>5514</v>
      </c>
      <c r="R817" s="2"/>
      <c r="S817" s="2"/>
      <c r="T817" s="2"/>
      <c r="U817" s="2"/>
    </row>
    <row x14ac:dyDescent="0.25" r="818" customHeight="1" ht="17.25">
      <c r="A818" s="7">
        <v>817</v>
      </c>
      <c r="B818" s="1" t="s">
        <v>6272</v>
      </c>
      <c r="C818" s="5">
        <f>CONCATENATE("PD", TEXT(A818, "1000000"))</f>
      </c>
      <c r="D818" s="7">
        <v>67</v>
      </c>
      <c r="E818" s="5">
        <f>XLOOKUP(G818, item_category!C:C, item_category!B:B, "Not Found")</f>
      </c>
      <c r="F818" s="1" t="s">
        <v>5516</v>
      </c>
      <c r="G818" s="5">
        <f>XLOOKUP(I818, drug!B:B, drug!A:A, "Not Found")</f>
      </c>
      <c r="H818" s="1"/>
      <c r="I818" s="7">
        <v>1</v>
      </c>
      <c r="J818" s="5">
        <f>XLOOKUP(L818, uom!C:C, uom!B:B, "Not Found")</f>
      </c>
      <c r="K818" s="1" t="s">
        <v>5511</v>
      </c>
      <c r="L818" s="5">
        <f>XLOOKUP(N818, uom!C:C, uom!B:B, "Not Found")</f>
      </c>
      <c r="M818" s="1" t="s">
        <v>5511</v>
      </c>
      <c r="N818" s="8" t="s">
        <v>5512</v>
      </c>
      <c r="O818" s="1" t="s">
        <v>5513</v>
      </c>
      <c r="P818" s="5">
        <f>XLOOKUP(R818, classification!C:C, classification!B:B, "Not Found")</f>
      </c>
      <c r="Q818" s="1" t="s">
        <v>5514</v>
      </c>
      <c r="R818" s="2"/>
      <c r="S818" s="2"/>
      <c r="T818" s="2"/>
      <c r="U818" s="2"/>
    </row>
    <row x14ac:dyDescent="0.25" r="819" customHeight="1" ht="17.25">
      <c r="A819" s="7">
        <v>818</v>
      </c>
      <c r="B819" s="1" t="s">
        <v>6273</v>
      </c>
      <c r="C819" s="5">
        <f>CONCATENATE("PD", TEXT(A819, "1000000"))</f>
      </c>
      <c r="D819" s="7">
        <v>67</v>
      </c>
      <c r="E819" s="5">
        <f>XLOOKUP(G819, item_category!C:C, item_category!B:B, "Not Found")</f>
      </c>
      <c r="F819" s="1" t="s">
        <v>5516</v>
      </c>
      <c r="G819" s="5">
        <f>XLOOKUP(I819, drug!B:B, drug!A:A, "Not Found")</f>
      </c>
      <c r="H819" s="1"/>
      <c r="I819" s="7">
        <v>1</v>
      </c>
      <c r="J819" s="5">
        <f>XLOOKUP(L819, uom!C:C, uom!B:B, "Not Found")</f>
      </c>
      <c r="K819" s="1" t="s">
        <v>5511</v>
      </c>
      <c r="L819" s="5">
        <f>XLOOKUP(N819, uom!C:C, uom!B:B, "Not Found")</f>
      </c>
      <c r="M819" s="1" t="s">
        <v>5511</v>
      </c>
      <c r="N819" s="8" t="s">
        <v>5512</v>
      </c>
      <c r="O819" s="1" t="s">
        <v>5513</v>
      </c>
      <c r="P819" s="5">
        <f>XLOOKUP(R819, classification!C:C, classification!B:B, "Not Found")</f>
      </c>
      <c r="Q819" s="1" t="s">
        <v>5514</v>
      </c>
      <c r="R819" s="2"/>
      <c r="S819" s="2"/>
      <c r="T819" s="2"/>
      <c r="U819" s="2"/>
    </row>
    <row x14ac:dyDescent="0.25" r="820" customHeight="1" ht="17.25">
      <c r="A820" s="7">
        <v>819</v>
      </c>
      <c r="B820" s="1" t="s">
        <v>6274</v>
      </c>
      <c r="C820" s="5">
        <f>CONCATENATE("PD", TEXT(A820, "1000000"))</f>
      </c>
      <c r="D820" s="7">
        <v>67</v>
      </c>
      <c r="E820" s="5">
        <f>XLOOKUP(G820, item_category!C:C, item_category!B:B, "Not Found")</f>
      </c>
      <c r="F820" s="1" t="s">
        <v>5516</v>
      </c>
      <c r="G820" s="5">
        <f>XLOOKUP(I820, drug!B:B, drug!A:A, "Not Found")</f>
      </c>
      <c r="H820" s="1"/>
      <c r="I820" s="7">
        <v>1</v>
      </c>
      <c r="J820" s="5">
        <f>XLOOKUP(L820, uom!C:C, uom!B:B, "Not Found")</f>
      </c>
      <c r="K820" s="1" t="s">
        <v>5511</v>
      </c>
      <c r="L820" s="5">
        <f>XLOOKUP(N820, uom!C:C, uom!B:B, "Not Found")</f>
      </c>
      <c r="M820" s="1" t="s">
        <v>5511</v>
      </c>
      <c r="N820" s="8" t="s">
        <v>5512</v>
      </c>
      <c r="O820" s="1" t="s">
        <v>5513</v>
      </c>
      <c r="P820" s="5">
        <f>XLOOKUP(R820, classification!C:C, classification!B:B, "Not Found")</f>
      </c>
      <c r="Q820" s="1" t="s">
        <v>5514</v>
      </c>
      <c r="R820" s="2"/>
      <c r="S820" s="2"/>
      <c r="T820" s="2"/>
      <c r="U820" s="2"/>
    </row>
    <row x14ac:dyDescent="0.25" r="821" customHeight="1" ht="17.25">
      <c r="A821" s="7">
        <v>820</v>
      </c>
      <c r="B821" s="1" t="s">
        <v>2322</v>
      </c>
      <c r="C821" s="5">
        <f>CONCATENATE("PD", TEXT(A821, "1000000"))</f>
      </c>
      <c r="D821" s="7">
        <v>67</v>
      </c>
      <c r="E821" s="5">
        <f>XLOOKUP(G821, item_category!C:C, item_category!B:B, "Not Found")</f>
      </c>
      <c r="F821" s="1" t="s">
        <v>5516</v>
      </c>
      <c r="G821" s="5">
        <f>XLOOKUP(I821, drug!B:B, drug!A:A, "Not Found")</f>
      </c>
      <c r="H821" s="1"/>
      <c r="I821" s="7">
        <v>1</v>
      </c>
      <c r="J821" s="5">
        <f>XLOOKUP(L821, uom!C:C, uom!B:B, "Not Found")</f>
      </c>
      <c r="K821" s="1" t="s">
        <v>5511</v>
      </c>
      <c r="L821" s="5">
        <f>XLOOKUP(N821, uom!C:C, uom!B:B, "Not Found")</f>
      </c>
      <c r="M821" s="1" t="s">
        <v>5511</v>
      </c>
      <c r="N821" s="8" t="s">
        <v>5512</v>
      </c>
      <c r="O821" s="1" t="s">
        <v>5513</v>
      </c>
      <c r="P821" s="5">
        <f>XLOOKUP(R821, classification!C:C, classification!B:B, "Not Found")</f>
      </c>
      <c r="Q821" s="1" t="s">
        <v>5514</v>
      </c>
      <c r="R821" s="2"/>
      <c r="S821" s="2"/>
      <c r="T821" s="2"/>
      <c r="U821" s="2"/>
    </row>
    <row x14ac:dyDescent="0.25" r="822" customHeight="1" ht="17.25">
      <c r="A822" s="7">
        <v>821</v>
      </c>
      <c r="B822" s="1" t="s">
        <v>6275</v>
      </c>
      <c r="C822" s="5">
        <f>CONCATENATE("PD", TEXT(A822, "1000000"))</f>
      </c>
      <c r="D822" s="7">
        <v>1</v>
      </c>
      <c r="E822" s="5">
        <f>XLOOKUP(G822, item_category!C:C, item_category!B:B, "Not Found")</f>
      </c>
      <c r="F822" s="1" t="s">
        <v>5514</v>
      </c>
      <c r="G822" s="5">
        <f>XLOOKUP(I822, drug!B:B, drug!A:A, "Not Found")</f>
      </c>
      <c r="H822" s="1"/>
      <c r="I822" s="7">
        <v>10</v>
      </c>
      <c r="J822" s="5">
        <f>XLOOKUP(L822, uom!C:C, uom!B:B, "Not Found")</f>
      </c>
      <c r="K822" s="1" t="s">
        <v>5511</v>
      </c>
      <c r="L822" s="5">
        <f>XLOOKUP(N822, uom!C:C, uom!B:B, "Not Found")</f>
      </c>
      <c r="M822" s="1" t="s">
        <v>5511</v>
      </c>
      <c r="N822" s="8" t="s">
        <v>5524</v>
      </c>
      <c r="O822" s="1" t="s">
        <v>5525</v>
      </c>
      <c r="P822" s="5">
        <f>XLOOKUP(R822, classification!C:C, classification!B:B, "Not Found")</f>
      </c>
      <c r="Q822" s="1" t="s">
        <v>5514</v>
      </c>
      <c r="R822" s="2"/>
      <c r="S822" s="2"/>
      <c r="T822" s="2"/>
      <c r="U822" s="2"/>
    </row>
    <row x14ac:dyDescent="0.25" r="823" customHeight="1" ht="17.25">
      <c r="A823" s="7">
        <v>822</v>
      </c>
      <c r="B823" s="1" t="s">
        <v>6276</v>
      </c>
      <c r="C823" s="5">
        <f>CONCATENATE("PD", TEXT(A823, "1000000"))</f>
      </c>
      <c r="D823" s="7">
        <v>67</v>
      </c>
      <c r="E823" s="5">
        <f>XLOOKUP(G823, item_category!C:C, item_category!B:B, "Not Found")</f>
      </c>
      <c r="F823" s="1" t="s">
        <v>5516</v>
      </c>
      <c r="G823" s="5">
        <f>XLOOKUP(I823, drug!B:B, drug!A:A, "Not Found")</f>
      </c>
      <c r="H823" s="1"/>
      <c r="I823" s="7">
        <v>1</v>
      </c>
      <c r="J823" s="5">
        <f>XLOOKUP(L823, uom!C:C, uom!B:B, "Not Found")</f>
      </c>
      <c r="K823" s="1" t="s">
        <v>5511</v>
      </c>
      <c r="L823" s="5">
        <f>XLOOKUP(N823, uom!C:C, uom!B:B, "Not Found")</f>
      </c>
      <c r="M823" s="1" t="s">
        <v>5511</v>
      </c>
      <c r="N823" s="8" t="s">
        <v>5512</v>
      </c>
      <c r="O823" s="1" t="s">
        <v>5513</v>
      </c>
      <c r="P823" s="5">
        <f>XLOOKUP(R823, classification!C:C, classification!B:B, "Not Found")</f>
      </c>
      <c r="Q823" s="1" t="s">
        <v>5514</v>
      </c>
      <c r="R823" s="2"/>
      <c r="S823" s="2"/>
      <c r="T823" s="2"/>
      <c r="U823" s="2"/>
    </row>
    <row x14ac:dyDescent="0.25" r="824" customHeight="1" ht="17.25">
      <c r="A824" s="7">
        <v>823</v>
      </c>
      <c r="B824" s="1" t="s">
        <v>2328</v>
      </c>
      <c r="C824" s="5">
        <f>CONCATENATE("PD", TEXT(A824, "1000000"))</f>
      </c>
      <c r="D824" s="7">
        <v>67</v>
      </c>
      <c r="E824" s="5">
        <f>XLOOKUP(G824, item_category!C:C, item_category!B:B, "Not Found")</f>
      </c>
      <c r="F824" s="1" t="s">
        <v>5516</v>
      </c>
      <c r="G824" s="5">
        <f>XLOOKUP(I824, drug!B:B, drug!A:A, "Not Found")</f>
      </c>
      <c r="H824" s="1"/>
      <c r="I824" s="7">
        <v>1</v>
      </c>
      <c r="J824" s="5">
        <f>XLOOKUP(L824, uom!C:C, uom!B:B, "Not Found")</f>
      </c>
      <c r="K824" s="1" t="s">
        <v>5511</v>
      </c>
      <c r="L824" s="5">
        <f>XLOOKUP(N824, uom!C:C, uom!B:B, "Not Found")</f>
      </c>
      <c r="M824" s="1" t="s">
        <v>5511</v>
      </c>
      <c r="N824" s="8" t="s">
        <v>5512</v>
      </c>
      <c r="O824" s="1" t="s">
        <v>5513</v>
      </c>
      <c r="P824" s="5">
        <f>XLOOKUP(R824, classification!C:C, classification!B:B, "Not Found")</f>
      </c>
      <c r="Q824" s="1" t="s">
        <v>5514</v>
      </c>
      <c r="R824" s="2"/>
      <c r="S824" s="2"/>
      <c r="T824" s="2"/>
      <c r="U824" s="2"/>
    </row>
    <row x14ac:dyDescent="0.25" r="825" customHeight="1" ht="17.25">
      <c r="A825" s="7">
        <v>824</v>
      </c>
      <c r="B825" s="1" t="s">
        <v>6277</v>
      </c>
      <c r="C825" s="5">
        <f>CONCATENATE("PD", TEXT(A825, "1000000"))</f>
      </c>
      <c r="D825" s="7">
        <v>67</v>
      </c>
      <c r="E825" s="5">
        <f>XLOOKUP(G825, item_category!C:C, item_category!B:B, "Not Found")</f>
      </c>
      <c r="F825" s="1" t="s">
        <v>5516</v>
      </c>
      <c r="G825" s="5">
        <f>XLOOKUP(I825, drug!B:B, drug!A:A, "Not Found")</f>
      </c>
      <c r="H825" s="1"/>
      <c r="I825" s="7">
        <v>1</v>
      </c>
      <c r="J825" s="5">
        <f>XLOOKUP(L825, uom!C:C, uom!B:B, "Not Found")</f>
      </c>
      <c r="K825" s="1" t="s">
        <v>5511</v>
      </c>
      <c r="L825" s="5">
        <f>XLOOKUP(N825, uom!C:C, uom!B:B, "Not Found")</f>
      </c>
      <c r="M825" s="1" t="s">
        <v>5511</v>
      </c>
      <c r="N825" s="8" t="s">
        <v>5512</v>
      </c>
      <c r="O825" s="1" t="s">
        <v>5513</v>
      </c>
      <c r="P825" s="5">
        <f>XLOOKUP(R825, classification!C:C, classification!B:B, "Not Found")</f>
      </c>
      <c r="Q825" s="1" t="s">
        <v>5514</v>
      </c>
      <c r="R825" s="2"/>
      <c r="S825" s="2"/>
      <c r="T825" s="2"/>
      <c r="U825" s="2"/>
    </row>
    <row x14ac:dyDescent="0.25" r="826" customHeight="1" ht="17.25">
      <c r="A826" s="7">
        <v>825</v>
      </c>
      <c r="B826" s="1" t="s">
        <v>6278</v>
      </c>
      <c r="C826" s="5">
        <f>CONCATENATE("PD", TEXT(A826, "1000000"))</f>
      </c>
      <c r="D826" s="7">
        <v>67</v>
      </c>
      <c r="E826" s="5">
        <f>XLOOKUP(G826, item_category!C:C, item_category!B:B, "Not Found")</f>
      </c>
      <c r="F826" s="1" t="s">
        <v>5516</v>
      </c>
      <c r="G826" s="5">
        <f>XLOOKUP(I826, drug!B:B, drug!A:A, "Not Found")</f>
      </c>
      <c r="H826" s="1"/>
      <c r="I826" s="7">
        <v>1</v>
      </c>
      <c r="J826" s="5">
        <f>XLOOKUP(L826, uom!C:C, uom!B:B, "Not Found")</f>
      </c>
      <c r="K826" s="1" t="s">
        <v>5511</v>
      </c>
      <c r="L826" s="5">
        <f>XLOOKUP(N826, uom!C:C, uom!B:B, "Not Found")</f>
      </c>
      <c r="M826" s="1" t="s">
        <v>5511</v>
      </c>
      <c r="N826" s="8" t="s">
        <v>5512</v>
      </c>
      <c r="O826" s="1" t="s">
        <v>5513</v>
      </c>
      <c r="P826" s="5">
        <f>XLOOKUP(R826, classification!C:C, classification!B:B, "Not Found")</f>
      </c>
      <c r="Q826" s="1" t="s">
        <v>5514</v>
      </c>
      <c r="R826" s="2"/>
      <c r="S826" s="2"/>
      <c r="T826" s="2"/>
      <c r="U826" s="2"/>
    </row>
    <row x14ac:dyDescent="0.25" r="827" customHeight="1" ht="17.25">
      <c r="A827" s="7">
        <v>826</v>
      </c>
      <c r="B827" s="1" t="s">
        <v>2334</v>
      </c>
      <c r="C827" s="5">
        <f>CONCATENATE("PD", TEXT(A827, "1000000"))</f>
      </c>
      <c r="D827" s="7">
        <v>67</v>
      </c>
      <c r="E827" s="5">
        <f>XLOOKUP(G827, item_category!C:C, item_category!B:B, "Not Found")</f>
      </c>
      <c r="F827" s="1" t="s">
        <v>5516</v>
      </c>
      <c r="G827" s="5">
        <f>XLOOKUP(I827, drug!B:B, drug!A:A, "Not Found")</f>
      </c>
      <c r="H827" s="1"/>
      <c r="I827" s="7">
        <v>1</v>
      </c>
      <c r="J827" s="5">
        <f>XLOOKUP(L827, uom!C:C, uom!B:B, "Not Found")</f>
      </c>
      <c r="K827" s="1" t="s">
        <v>5511</v>
      </c>
      <c r="L827" s="5">
        <f>XLOOKUP(N827, uom!C:C, uom!B:B, "Not Found")</f>
      </c>
      <c r="M827" s="1" t="s">
        <v>5511</v>
      </c>
      <c r="N827" s="8" t="s">
        <v>5512</v>
      </c>
      <c r="O827" s="1" t="s">
        <v>5513</v>
      </c>
      <c r="P827" s="5">
        <f>XLOOKUP(R827, classification!C:C, classification!B:B, "Not Found")</f>
      </c>
      <c r="Q827" s="1" t="s">
        <v>5514</v>
      </c>
      <c r="R827" s="2"/>
      <c r="S827" s="2"/>
      <c r="T827" s="2"/>
      <c r="U827" s="2"/>
    </row>
    <row x14ac:dyDescent="0.25" r="828" customHeight="1" ht="17.25">
      <c r="A828" s="7">
        <v>827</v>
      </c>
      <c r="B828" s="1" t="s">
        <v>2336</v>
      </c>
      <c r="C828" s="5">
        <f>CONCATENATE("PD", TEXT(A828, "1000000"))</f>
      </c>
      <c r="D828" s="7">
        <v>67</v>
      </c>
      <c r="E828" s="5">
        <f>XLOOKUP(G828, item_category!C:C, item_category!B:B, "Not Found")</f>
      </c>
      <c r="F828" s="1" t="s">
        <v>5516</v>
      </c>
      <c r="G828" s="5">
        <f>XLOOKUP(I828, drug!B:B, drug!A:A, "Not Found")</f>
      </c>
      <c r="H828" s="1"/>
      <c r="I828" s="7">
        <v>300</v>
      </c>
      <c r="J828" s="5">
        <f>XLOOKUP(L828, uom!C:C, uom!B:B, "Not Found")</f>
      </c>
      <c r="K828" s="1" t="s">
        <v>5602</v>
      </c>
      <c r="L828" s="5">
        <f>XLOOKUP(N828, uom!C:C, uom!B:B, "Not Found")</f>
      </c>
      <c r="M828" s="1" t="s">
        <v>5602</v>
      </c>
      <c r="N828" s="8" t="s">
        <v>5524</v>
      </c>
      <c r="O828" s="1" t="s">
        <v>5525</v>
      </c>
      <c r="P828" s="5">
        <f>XLOOKUP(R828, classification!C:C, classification!B:B, "Not Found")</f>
      </c>
      <c r="Q828" s="1" t="s">
        <v>5514</v>
      </c>
      <c r="R828" s="2"/>
      <c r="S828" s="2"/>
      <c r="T828" s="2"/>
      <c r="U828" s="2"/>
    </row>
    <row x14ac:dyDescent="0.25" r="829" customHeight="1" ht="17.25">
      <c r="A829" s="7">
        <v>828</v>
      </c>
      <c r="B829" s="1" t="s">
        <v>6279</v>
      </c>
      <c r="C829" s="5">
        <f>CONCATENATE("PD", TEXT(A829, "1000000"))</f>
      </c>
      <c r="D829" s="7">
        <v>67</v>
      </c>
      <c r="E829" s="5">
        <f>XLOOKUP(G829, item_category!C:C, item_category!B:B, "Not Found")</f>
      </c>
      <c r="F829" s="1" t="s">
        <v>5516</v>
      </c>
      <c r="G829" s="5">
        <f>XLOOKUP(I829, drug!B:B, drug!A:A, "Not Found")</f>
      </c>
      <c r="H829" s="1"/>
      <c r="I829" s="7">
        <v>1</v>
      </c>
      <c r="J829" s="5">
        <f>XLOOKUP(L829, uom!C:C, uom!B:B, "Not Found")</f>
      </c>
      <c r="K829" s="1" t="s">
        <v>5602</v>
      </c>
      <c r="L829" s="5">
        <f>XLOOKUP(N829, uom!C:C, uom!B:B, "Not Found")</f>
      </c>
      <c r="M829" s="1" t="s">
        <v>5602</v>
      </c>
      <c r="N829" s="8" t="s">
        <v>5524</v>
      </c>
      <c r="O829" s="1" t="s">
        <v>5525</v>
      </c>
      <c r="P829" s="5">
        <f>XLOOKUP(R829, classification!C:C, classification!B:B, "Not Found")</f>
      </c>
      <c r="Q829" s="1" t="s">
        <v>5514</v>
      </c>
      <c r="R829" s="2"/>
      <c r="S829" s="2"/>
      <c r="T829" s="2"/>
      <c r="U829" s="2"/>
    </row>
    <row x14ac:dyDescent="0.25" r="830" customHeight="1" ht="17.25">
      <c r="A830" s="7">
        <v>829</v>
      </c>
      <c r="B830" s="1" t="s">
        <v>6280</v>
      </c>
      <c r="C830" s="5">
        <f>CONCATENATE("PD", TEXT(A830, "1000000"))</f>
      </c>
      <c r="D830" s="7">
        <v>67</v>
      </c>
      <c r="E830" s="5">
        <f>XLOOKUP(G830, item_category!C:C, item_category!B:B, "Not Found")</f>
      </c>
      <c r="F830" s="1" t="s">
        <v>5516</v>
      </c>
      <c r="G830" s="5">
        <f>XLOOKUP(I830, drug!B:B, drug!A:A, "Not Found")</f>
      </c>
      <c r="H830" s="1" t="s">
        <v>1228</v>
      </c>
      <c r="I830" s="7">
        <v>1</v>
      </c>
      <c r="J830" s="5">
        <f>XLOOKUP(L830, uom!C:C, uom!B:B, "Not Found")</f>
      </c>
      <c r="K830" s="1" t="s">
        <v>5511</v>
      </c>
      <c r="L830" s="5">
        <f>XLOOKUP(N830, uom!C:C, uom!B:B, "Not Found")</f>
      </c>
      <c r="M830" s="1" t="s">
        <v>5511</v>
      </c>
      <c r="N830" s="8" t="s">
        <v>5512</v>
      </c>
      <c r="O830" s="1" t="s">
        <v>5513</v>
      </c>
      <c r="P830" s="5">
        <f>XLOOKUP(R830, classification!C:C, classification!B:B, "Not Found")</f>
      </c>
      <c r="Q830" s="1" t="s">
        <v>5514</v>
      </c>
      <c r="R830" s="2"/>
      <c r="S830" s="2"/>
      <c r="T830" s="2"/>
      <c r="U830" s="2"/>
    </row>
    <row x14ac:dyDescent="0.25" r="831" customHeight="1" ht="17.25">
      <c r="A831" s="7">
        <v>830</v>
      </c>
      <c r="B831" s="1" t="s">
        <v>6281</v>
      </c>
      <c r="C831" s="5">
        <f>CONCATENATE("PD", TEXT(A831, "1000000"))</f>
      </c>
      <c r="D831" s="7">
        <v>67</v>
      </c>
      <c r="E831" s="5">
        <f>XLOOKUP(G831, item_category!C:C, item_category!B:B, "Not Found")</f>
      </c>
      <c r="F831" s="1" t="s">
        <v>5516</v>
      </c>
      <c r="G831" s="5">
        <f>XLOOKUP(I831, drug!B:B, drug!A:A, "Not Found")</f>
      </c>
      <c r="H831" s="1"/>
      <c r="I831" s="7">
        <v>1</v>
      </c>
      <c r="J831" s="5">
        <f>XLOOKUP(L831, uom!C:C, uom!B:B, "Not Found")</f>
      </c>
      <c r="K831" s="1" t="s">
        <v>5511</v>
      </c>
      <c r="L831" s="5">
        <f>XLOOKUP(N831, uom!C:C, uom!B:B, "Not Found")</f>
      </c>
      <c r="M831" s="1" t="s">
        <v>5511</v>
      </c>
      <c r="N831" s="8" t="s">
        <v>5512</v>
      </c>
      <c r="O831" s="1" t="s">
        <v>5513</v>
      </c>
      <c r="P831" s="5">
        <f>XLOOKUP(R831, classification!C:C, classification!B:B, "Not Found")</f>
      </c>
      <c r="Q831" s="1" t="s">
        <v>5514</v>
      </c>
      <c r="R831" s="2"/>
      <c r="S831" s="2"/>
      <c r="T831" s="2"/>
      <c r="U831" s="2"/>
    </row>
    <row x14ac:dyDescent="0.25" r="832" customHeight="1" ht="17.25">
      <c r="A832" s="7">
        <v>831</v>
      </c>
      <c r="B832" s="1" t="s">
        <v>6282</v>
      </c>
      <c r="C832" s="5">
        <f>CONCATENATE("PD", TEXT(A832, "1000000"))</f>
      </c>
      <c r="D832" s="7">
        <v>67</v>
      </c>
      <c r="E832" s="5">
        <f>XLOOKUP(G832, item_category!C:C, item_category!B:B, "Not Found")</f>
      </c>
      <c r="F832" s="1" t="s">
        <v>5516</v>
      </c>
      <c r="G832" s="5">
        <f>XLOOKUP(I832, drug!B:B, drug!A:A, "Not Found")</f>
      </c>
      <c r="H832" s="1"/>
      <c r="I832" s="7">
        <v>1</v>
      </c>
      <c r="J832" s="5">
        <f>XLOOKUP(L832, uom!C:C, uom!B:B, "Not Found")</f>
      </c>
      <c r="K832" s="1" t="s">
        <v>5511</v>
      </c>
      <c r="L832" s="5">
        <f>XLOOKUP(N832, uom!C:C, uom!B:B, "Not Found")</f>
      </c>
      <c r="M832" s="1" t="s">
        <v>5511</v>
      </c>
      <c r="N832" s="8" t="s">
        <v>5512</v>
      </c>
      <c r="O832" s="1" t="s">
        <v>5513</v>
      </c>
      <c r="P832" s="5">
        <f>XLOOKUP(R832, classification!C:C, classification!B:B, "Not Found")</f>
      </c>
      <c r="Q832" s="1" t="s">
        <v>5514</v>
      </c>
      <c r="R832" s="2"/>
      <c r="S832" s="2"/>
      <c r="T832" s="2"/>
      <c r="U832" s="2"/>
    </row>
    <row x14ac:dyDescent="0.25" r="833" customHeight="1" ht="17.25">
      <c r="A833" s="7">
        <v>832</v>
      </c>
      <c r="B833" s="1" t="s">
        <v>6283</v>
      </c>
      <c r="C833" s="5">
        <f>CONCATENATE("PD", TEXT(A833, "1000000"))</f>
      </c>
      <c r="D833" s="7">
        <v>67</v>
      </c>
      <c r="E833" s="5">
        <f>XLOOKUP(G833, item_category!C:C, item_category!B:B, "Not Found")</f>
      </c>
      <c r="F833" s="1" t="s">
        <v>5516</v>
      </c>
      <c r="G833" s="5">
        <f>XLOOKUP(I833, drug!B:B, drug!A:A, "Not Found")</f>
      </c>
      <c r="H833" s="1"/>
      <c r="I833" s="7">
        <v>1</v>
      </c>
      <c r="J833" s="5">
        <f>XLOOKUP(L833, uom!C:C, uom!B:B, "Not Found")</f>
      </c>
      <c r="K833" s="1" t="s">
        <v>5511</v>
      </c>
      <c r="L833" s="5">
        <f>XLOOKUP(N833, uom!C:C, uom!B:B, "Not Found")</f>
      </c>
      <c r="M833" s="1" t="s">
        <v>5511</v>
      </c>
      <c r="N833" s="8" t="s">
        <v>5512</v>
      </c>
      <c r="O833" s="1" t="s">
        <v>5513</v>
      </c>
      <c r="P833" s="5">
        <f>XLOOKUP(R833, classification!C:C, classification!B:B, "Not Found")</f>
      </c>
      <c r="Q833" s="1" t="s">
        <v>5514</v>
      </c>
      <c r="R833" s="2"/>
      <c r="S833" s="2"/>
      <c r="T833" s="2"/>
      <c r="U833" s="2"/>
    </row>
    <row x14ac:dyDescent="0.25" r="834" customHeight="1" ht="17.25">
      <c r="A834" s="7">
        <v>833</v>
      </c>
      <c r="B834" s="1" t="s">
        <v>6284</v>
      </c>
      <c r="C834" s="5">
        <f>CONCATENATE("PD", TEXT(A834, "1000000"))</f>
      </c>
      <c r="D834" s="7">
        <v>67</v>
      </c>
      <c r="E834" s="5">
        <f>XLOOKUP(G834, item_category!C:C, item_category!B:B, "Not Found")</f>
      </c>
      <c r="F834" s="1" t="s">
        <v>5516</v>
      </c>
      <c r="G834" s="5">
        <f>XLOOKUP(I834, drug!B:B, drug!A:A, "Not Found")</f>
      </c>
      <c r="H834" s="1"/>
      <c r="I834" s="7">
        <v>1</v>
      </c>
      <c r="J834" s="5">
        <f>XLOOKUP(L834, uom!C:C, uom!B:B, "Not Found")</f>
      </c>
      <c r="K834" s="1" t="s">
        <v>5511</v>
      </c>
      <c r="L834" s="5">
        <f>XLOOKUP(N834, uom!C:C, uom!B:B, "Not Found")</f>
      </c>
      <c r="M834" s="1" t="s">
        <v>5511</v>
      </c>
      <c r="N834" s="8" t="s">
        <v>5512</v>
      </c>
      <c r="O834" s="1" t="s">
        <v>5513</v>
      </c>
      <c r="P834" s="5">
        <f>XLOOKUP(R834, classification!C:C, classification!B:B, "Not Found")</f>
      </c>
      <c r="Q834" s="1" t="s">
        <v>5514</v>
      </c>
      <c r="R834" s="2"/>
      <c r="S834" s="2"/>
      <c r="T834" s="2"/>
      <c r="U834" s="2"/>
    </row>
    <row x14ac:dyDescent="0.25" r="835" customHeight="1" ht="17.25">
      <c r="A835" s="7">
        <v>834</v>
      </c>
      <c r="B835" s="1" t="s">
        <v>6285</v>
      </c>
      <c r="C835" s="5">
        <f>CONCATENATE("PD", TEXT(A835, "1000000"))</f>
      </c>
      <c r="D835" s="7">
        <v>67</v>
      </c>
      <c r="E835" s="5">
        <f>XLOOKUP(G835, item_category!C:C, item_category!B:B, "Not Found")</f>
      </c>
      <c r="F835" s="1" t="s">
        <v>5516</v>
      </c>
      <c r="G835" s="5">
        <f>XLOOKUP(I835, drug!B:B, drug!A:A, "Not Found")</f>
      </c>
      <c r="H835" s="1"/>
      <c r="I835" s="7">
        <v>1</v>
      </c>
      <c r="J835" s="5">
        <f>XLOOKUP(L835, uom!C:C, uom!B:B, "Not Found")</f>
      </c>
      <c r="K835" s="1" t="s">
        <v>5511</v>
      </c>
      <c r="L835" s="5">
        <f>XLOOKUP(N835, uom!C:C, uom!B:B, "Not Found")</f>
      </c>
      <c r="M835" s="1" t="s">
        <v>5511</v>
      </c>
      <c r="N835" s="8" t="s">
        <v>5512</v>
      </c>
      <c r="O835" s="1" t="s">
        <v>5513</v>
      </c>
      <c r="P835" s="5">
        <f>XLOOKUP(R835, classification!C:C, classification!B:B, "Not Found")</f>
      </c>
      <c r="Q835" s="1" t="s">
        <v>5514</v>
      </c>
      <c r="R835" s="2"/>
      <c r="S835" s="2"/>
      <c r="T835" s="2"/>
      <c r="U835" s="2"/>
    </row>
    <row x14ac:dyDescent="0.25" r="836" customHeight="1" ht="17.25">
      <c r="A836" s="7">
        <v>835</v>
      </c>
      <c r="B836" s="1" t="s">
        <v>6286</v>
      </c>
      <c r="C836" s="5">
        <f>CONCATENATE("PD", TEXT(A836, "1000000"))</f>
      </c>
      <c r="D836" s="7">
        <v>67</v>
      </c>
      <c r="E836" s="5">
        <f>XLOOKUP(G836, item_category!C:C, item_category!B:B, "Not Found")</f>
      </c>
      <c r="F836" s="1" t="s">
        <v>5516</v>
      </c>
      <c r="G836" s="5">
        <f>XLOOKUP(I836, drug!B:B, drug!A:A, "Not Found")</f>
      </c>
      <c r="H836" s="1"/>
      <c r="I836" s="7">
        <v>1</v>
      </c>
      <c r="J836" s="5">
        <f>XLOOKUP(L836, uom!C:C, uom!B:B, "Not Found")</f>
      </c>
      <c r="K836" s="1" t="s">
        <v>5511</v>
      </c>
      <c r="L836" s="5">
        <f>XLOOKUP(N836, uom!C:C, uom!B:B, "Not Found")</f>
      </c>
      <c r="M836" s="1" t="s">
        <v>5511</v>
      </c>
      <c r="N836" s="8" t="s">
        <v>5512</v>
      </c>
      <c r="O836" s="1" t="s">
        <v>5513</v>
      </c>
      <c r="P836" s="5">
        <f>XLOOKUP(R836, classification!C:C, classification!B:B, "Not Found")</f>
      </c>
      <c r="Q836" s="1" t="s">
        <v>5514</v>
      </c>
      <c r="R836" s="2"/>
      <c r="S836" s="2"/>
      <c r="T836" s="2"/>
      <c r="U836" s="2"/>
    </row>
    <row x14ac:dyDescent="0.25" r="837" customHeight="1" ht="17.25">
      <c r="A837" s="7">
        <v>836</v>
      </c>
      <c r="B837" s="1" t="s">
        <v>6287</v>
      </c>
      <c r="C837" s="5">
        <f>CONCATENATE("PD", TEXT(A837, "1000000"))</f>
      </c>
      <c r="D837" s="7">
        <v>67</v>
      </c>
      <c r="E837" s="5">
        <f>XLOOKUP(G837, item_category!C:C, item_category!B:B, "Not Found")</f>
      </c>
      <c r="F837" s="1" t="s">
        <v>5516</v>
      </c>
      <c r="G837" s="5">
        <f>XLOOKUP(I837, drug!B:B, drug!A:A, "Not Found")</f>
      </c>
      <c r="H837" s="1" t="s">
        <v>1942</v>
      </c>
      <c r="I837" s="7">
        <v>1</v>
      </c>
      <c r="J837" s="5">
        <f>XLOOKUP(L837, uom!C:C, uom!B:B, "Not Found")</f>
      </c>
      <c r="K837" s="1" t="s">
        <v>5511</v>
      </c>
      <c r="L837" s="5">
        <f>XLOOKUP(N837, uom!C:C, uom!B:B, "Not Found")</f>
      </c>
      <c r="M837" s="1" t="s">
        <v>5511</v>
      </c>
      <c r="N837" s="8" t="s">
        <v>5512</v>
      </c>
      <c r="O837" s="1" t="s">
        <v>5513</v>
      </c>
      <c r="P837" s="5">
        <f>XLOOKUP(R837, classification!C:C, classification!B:B, "Not Found")</f>
      </c>
      <c r="Q837" s="1" t="s">
        <v>5514</v>
      </c>
      <c r="R837" s="2"/>
      <c r="S837" s="2"/>
      <c r="T837" s="2"/>
      <c r="U837" s="2"/>
    </row>
    <row x14ac:dyDescent="0.25" r="838" customHeight="1" ht="17.25">
      <c r="A838" s="7">
        <v>837</v>
      </c>
      <c r="B838" s="1" t="s">
        <v>6288</v>
      </c>
      <c r="C838" s="5">
        <f>CONCATENATE("PD", TEXT(A838, "1000000"))</f>
      </c>
      <c r="D838" s="7">
        <v>67</v>
      </c>
      <c r="E838" s="5">
        <f>XLOOKUP(G838, item_category!C:C, item_category!B:B, "Not Found")</f>
      </c>
      <c r="F838" s="1" t="s">
        <v>5516</v>
      </c>
      <c r="G838" s="5">
        <f>XLOOKUP(I838, drug!B:B, drug!A:A, "Not Found")</f>
      </c>
      <c r="H838" s="1" t="s">
        <v>1942</v>
      </c>
      <c r="I838" s="7">
        <v>1</v>
      </c>
      <c r="J838" s="5">
        <f>XLOOKUP(L838, uom!C:C, uom!B:B, "Not Found")</f>
      </c>
      <c r="K838" s="1" t="s">
        <v>5511</v>
      </c>
      <c r="L838" s="5">
        <f>XLOOKUP(N838, uom!C:C, uom!B:B, "Not Found")</f>
      </c>
      <c r="M838" s="1" t="s">
        <v>5511</v>
      </c>
      <c r="N838" s="8" t="s">
        <v>5512</v>
      </c>
      <c r="O838" s="1" t="s">
        <v>5513</v>
      </c>
      <c r="P838" s="5">
        <f>XLOOKUP(R838, classification!C:C, classification!B:B, "Not Found")</f>
      </c>
      <c r="Q838" s="1" t="s">
        <v>5514</v>
      </c>
      <c r="R838" s="2"/>
      <c r="S838" s="2"/>
      <c r="T838" s="2"/>
      <c r="U838" s="2"/>
    </row>
    <row x14ac:dyDescent="0.25" r="839" customHeight="1" ht="17.25">
      <c r="A839" s="7">
        <v>838</v>
      </c>
      <c r="B839" s="1" t="s">
        <v>6289</v>
      </c>
      <c r="C839" s="5">
        <f>CONCATENATE("PD", TEXT(A839, "1000000"))</f>
      </c>
      <c r="D839" s="7">
        <v>67</v>
      </c>
      <c r="E839" s="5">
        <f>XLOOKUP(G839, item_category!C:C, item_category!B:B, "Not Found")</f>
      </c>
      <c r="F839" s="1" t="s">
        <v>5516</v>
      </c>
      <c r="G839" s="5">
        <f>XLOOKUP(I839, drug!B:B, drug!A:A, "Not Found")</f>
      </c>
      <c r="H839" s="1"/>
      <c r="I839" s="7">
        <v>1</v>
      </c>
      <c r="J839" s="5">
        <f>XLOOKUP(L839, uom!C:C, uom!B:B, "Not Found")</f>
      </c>
      <c r="K839" s="1" t="s">
        <v>5511</v>
      </c>
      <c r="L839" s="5">
        <f>XLOOKUP(N839, uom!C:C, uom!B:B, "Not Found")</f>
      </c>
      <c r="M839" s="1" t="s">
        <v>5511</v>
      </c>
      <c r="N839" s="8" t="s">
        <v>5512</v>
      </c>
      <c r="O839" s="1" t="s">
        <v>5513</v>
      </c>
      <c r="P839" s="5">
        <f>XLOOKUP(R839, classification!C:C, classification!B:B, "Not Found")</f>
      </c>
      <c r="Q839" s="1" t="s">
        <v>5514</v>
      </c>
      <c r="R839" s="2"/>
      <c r="S839" s="2"/>
      <c r="T839" s="2"/>
      <c r="U839" s="2"/>
    </row>
    <row x14ac:dyDescent="0.25" r="840" customHeight="1" ht="17.25">
      <c r="A840" s="7">
        <v>839</v>
      </c>
      <c r="B840" s="1" t="s">
        <v>6290</v>
      </c>
      <c r="C840" s="5">
        <f>CONCATENATE("PD", TEXT(A840, "1000000"))</f>
      </c>
      <c r="D840" s="7">
        <v>67</v>
      </c>
      <c r="E840" s="5">
        <f>XLOOKUP(G840, item_category!C:C, item_category!B:B, "Not Found")</f>
      </c>
      <c r="F840" s="1" t="s">
        <v>5516</v>
      </c>
      <c r="G840" s="5">
        <f>XLOOKUP(I840, drug!B:B, drug!A:A, "Not Found")</f>
      </c>
      <c r="H840" s="1"/>
      <c r="I840" s="7">
        <v>1</v>
      </c>
      <c r="J840" s="5">
        <f>XLOOKUP(L840, uom!C:C, uom!B:B, "Not Found")</f>
      </c>
      <c r="K840" s="1" t="s">
        <v>5511</v>
      </c>
      <c r="L840" s="5">
        <f>XLOOKUP(N840, uom!C:C, uom!B:B, "Not Found")</f>
      </c>
      <c r="M840" s="1" t="s">
        <v>5511</v>
      </c>
      <c r="N840" s="8" t="s">
        <v>5512</v>
      </c>
      <c r="O840" s="1" t="s">
        <v>5513</v>
      </c>
      <c r="P840" s="5">
        <f>XLOOKUP(R840, classification!C:C, classification!B:B, "Not Found")</f>
      </c>
      <c r="Q840" s="1" t="s">
        <v>5514</v>
      </c>
      <c r="R840" s="2"/>
      <c r="S840" s="2"/>
      <c r="T840" s="2"/>
      <c r="U840" s="2"/>
    </row>
    <row x14ac:dyDescent="0.25" r="841" customHeight="1" ht="17.25">
      <c r="A841" s="7">
        <v>840</v>
      </c>
      <c r="B841" s="1" t="s">
        <v>6291</v>
      </c>
      <c r="C841" s="5">
        <f>CONCATENATE("PD", TEXT(A841, "1000000"))</f>
      </c>
      <c r="D841" s="7">
        <v>67</v>
      </c>
      <c r="E841" s="5">
        <f>XLOOKUP(G841, item_category!C:C, item_category!B:B, "Not Found")</f>
      </c>
      <c r="F841" s="1" t="s">
        <v>5516</v>
      </c>
      <c r="G841" s="5">
        <f>XLOOKUP(I841, drug!B:B, drug!A:A, "Not Found")</f>
      </c>
      <c r="H841" s="1"/>
      <c r="I841" s="7">
        <v>1</v>
      </c>
      <c r="J841" s="5">
        <f>XLOOKUP(L841, uom!C:C, uom!B:B, "Not Found")</f>
      </c>
      <c r="K841" s="1" t="s">
        <v>5511</v>
      </c>
      <c r="L841" s="5">
        <f>XLOOKUP(N841, uom!C:C, uom!B:B, "Not Found")</f>
      </c>
      <c r="M841" s="1" t="s">
        <v>5511</v>
      </c>
      <c r="N841" s="8" t="s">
        <v>5512</v>
      </c>
      <c r="O841" s="1" t="s">
        <v>5513</v>
      </c>
      <c r="P841" s="5">
        <f>XLOOKUP(R841, classification!C:C, classification!B:B, "Not Found")</f>
      </c>
      <c r="Q841" s="1" t="s">
        <v>5514</v>
      </c>
      <c r="R841" s="2"/>
      <c r="S841" s="2"/>
      <c r="T841" s="2"/>
      <c r="U841" s="2"/>
    </row>
    <row x14ac:dyDescent="0.25" r="842" customHeight="1" ht="17.25">
      <c r="A842" s="7">
        <v>841</v>
      </c>
      <c r="B842" s="1" t="s">
        <v>6292</v>
      </c>
      <c r="C842" s="5">
        <f>CONCATENATE("PD", TEXT(A842, "1000000"))</f>
      </c>
      <c r="D842" s="7">
        <v>67</v>
      </c>
      <c r="E842" s="5">
        <f>XLOOKUP(G842, item_category!C:C, item_category!B:B, "Not Found")</f>
      </c>
      <c r="F842" s="1" t="s">
        <v>5516</v>
      </c>
      <c r="G842" s="5">
        <f>XLOOKUP(I842, drug!B:B, drug!A:A, "Not Found")</f>
      </c>
      <c r="H842" s="1"/>
      <c r="I842" s="7">
        <v>1</v>
      </c>
      <c r="J842" s="5">
        <f>XLOOKUP(L842, uom!C:C, uom!B:B, "Not Found")</f>
      </c>
      <c r="K842" s="1" t="s">
        <v>5511</v>
      </c>
      <c r="L842" s="5">
        <f>XLOOKUP(N842, uom!C:C, uom!B:B, "Not Found")</f>
      </c>
      <c r="M842" s="1" t="s">
        <v>5511</v>
      </c>
      <c r="N842" s="8" t="s">
        <v>5512</v>
      </c>
      <c r="O842" s="1" t="s">
        <v>5513</v>
      </c>
      <c r="P842" s="5">
        <f>XLOOKUP(R842, classification!C:C, classification!B:B, "Not Found")</f>
      </c>
      <c r="Q842" s="1" t="s">
        <v>5514</v>
      </c>
      <c r="R842" s="2"/>
      <c r="S842" s="2"/>
      <c r="T842" s="2"/>
      <c r="U842" s="2"/>
    </row>
    <row x14ac:dyDescent="0.25" r="843" customHeight="1" ht="17.25">
      <c r="A843" s="7">
        <v>842</v>
      </c>
      <c r="B843" s="1" t="s">
        <v>2358</v>
      </c>
      <c r="C843" s="5">
        <f>CONCATENATE("PD", TEXT(A843, "1000000"))</f>
      </c>
      <c r="D843" s="7">
        <v>67</v>
      </c>
      <c r="E843" s="5">
        <f>XLOOKUP(G843, item_category!C:C, item_category!B:B, "Not Found")</f>
      </c>
      <c r="F843" s="1" t="s">
        <v>5516</v>
      </c>
      <c r="G843" s="5">
        <f>XLOOKUP(I843, drug!B:B, drug!A:A, "Not Found")</f>
      </c>
      <c r="H843" s="1"/>
      <c r="I843" s="7">
        <v>1</v>
      </c>
      <c r="J843" s="5">
        <f>XLOOKUP(L843, uom!C:C, uom!B:B, "Not Found")</f>
      </c>
      <c r="K843" s="1" t="s">
        <v>5511</v>
      </c>
      <c r="L843" s="5">
        <f>XLOOKUP(N843, uom!C:C, uom!B:B, "Not Found")</f>
      </c>
      <c r="M843" s="1" t="s">
        <v>5511</v>
      </c>
      <c r="N843" s="8" t="s">
        <v>5512</v>
      </c>
      <c r="O843" s="1" t="s">
        <v>5513</v>
      </c>
      <c r="P843" s="5">
        <f>XLOOKUP(R843, classification!C:C, classification!B:B, "Not Found")</f>
      </c>
      <c r="Q843" s="1" t="s">
        <v>5514</v>
      </c>
      <c r="R843" s="2"/>
      <c r="S843" s="2"/>
      <c r="T843" s="2"/>
      <c r="U843" s="2"/>
    </row>
    <row x14ac:dyDescent="0.25" r="844" customHeight="1" ht="17.25">
      <c r="A844" s="7">
        <v>843</v>
      </c>
      <c r="B844" s="1" t="s">
        <v>6293</v>
      </c>
      <c r="C844" s="5">
        <f>CONCATENATE("PD", TEXT(A844, "1000000"))</f>
      </c>
      <c r="D844" s="7">
        <v>1</v>
      </c>
      <c r="E844" s="5">
        <f>XLOOKUP(G844, item_category!C:C, item_category!B:B, "Not Found")</f>
      </c>
      <c r="F844" s="1" t="s">
        <v>5514</v>
      </c>
      <c r="G844" s="5">
        <f>XLOOKUP(I844, drug!B:B, drug!A:A, "Not Found")</f>
      </c>
      <c r="H844" s="1" t="s">
        <v>725</v>
      </c>
      <c r="I844" s="7">
        <v>10</v>
      </c>
      <c r="J844" s="5">
        <f>XLOOKUP(L844, uom!C:C, uom!B:B, "Not Found")</f>
      </c>
      <c r="K844" s="1" t="s">
        <v>5511</v>
      </c>
      <c r="L844" s="5">
        <f>XLOOKUP(N844, uom!C:C, uom!B:B, "Not Found")</f>
      </c>
      <c r="M844" s="1" t="s">
        <v>5511</v>
      </c>
      <c r="N844" s="8" t="s">
        <v>5524</v>
      </c>
      <c r="O844" s="1" t="s">
        <v>5525</v>
      </c>
      <c r="P844" s="5">
        <f>XLOOKUP(R844, classification!C:C, classification!B:B, "Not Found")</f>
      </c>
      <c r="Q844" s="1" t="s">
        <v>5514</v>
      </c>
      <c r="R844" s="2"/>
      <c r="S844" s="2"/>
      <c r="T844" s="2"/>
      <c r="U844" s="2"/>
    </row>
    <row x14ac:dyDescent="0.25" r="845" customHeight="1" ht="17.25">
      <c r="A845" s="7">
        <v>844</v>
      </c>
      <c r="B845" s="1" t="s">
        <v>6294</v>
      </c>
      <c r="C845" s="5">
        <f>CONCATENATE("PD", TEXT(A845, "1000000"))</f>
      </c>
      <c r="D845" s="7">
        <v>67</v>
      </c>
      <c r="E845" s="5">
        <f>XLOOKUP(G845, item_category!C:C, item_category!B:B, "Not Found")</f>
      </c>
      <c r="F845" s="1" t="s">
        <v>5516</v>
      </c>
      <c r="G845" s="5">
        <f>XLOOKUP(I845, drug!B:B, drug!A:A, "Not Found")</f>
      </c>
      <c r="H845" s="1"/>
      <c r="I845" s="7">
        <v>1</v>
      </c>
      <c r="J845" s="5">
        <f>XLOOKUP(L845, uom!C:C, uom!B:B, "Not Found")</f>
      </c>
      <c r="K845" s="1" t="s">
        <v>5511</v>
      </c>
      <c r="L845" s="5">
        <f>XLOOKUP(N845, uom!C:C, uom!B:B, "Not Found")</f>
      </c>
      <c r="M845" s="1" t="s">
        <v>5511</v>
      </c>
      <c r="N845" s="8" t="s">
        <v>5512</v>
      </c>
      <c r="O845" s="1" t="s">
        <v>5513</v>
      </c>
      <c r="P845" s="5">
        <f>XLOOKUP(R845, classification!C:C, classification!B:B, "Not Found")</f>
      </c>
      <c r="Q845" s="1" t="s">
        <v>5514</v>
      </c>
      <c r="R845" s="2"/>
      <c r="S845" s="2"/>
      <c r="T845" s="2"/>
      <c r="U845" s="2"/>
    </row>
    <row x14ac:dyDescent="0.25" r="846" customHeight="1" ht="17.25">
      <c r="A846" s="7">
        <v>845</v>
      </c>
      <c r="B846" s="1" t="s">
        <v>6295</v>
      </c>
      <c r="C846" s="5">
        <f>CONCATENATE("PD", TEXT(A846, "1000000"))</f>
      </c>
      <c r="D846" s="7">
        <v>74</v>
      </c>
      <c r="E846" s="5">
        <f>XLOOKUP(G846, item_category!C:C, item_category!B:B, "Not Found")</f>
      </c>
      <c r="F846" s="1" t="s">
        <v>5520</v>
      </c>
      <c r="G846" s="5">
        <f>XLOOKUP(I846, drug!B:B, drug!A:A, "Not Found")</f>
      </c>
      <c r="H846" s="1"/>
      <c r="I846" s="7">
        <v>1</v>
      </c>
      <c r="J846" s="5">
        <f>XLOOKUP(L846, uom!C:C, uom!B:B, "Not Found")</f>
      </c>
      <c r="K846" s="1" t="s">
        <v>5511</v>
      </c>
      <c r="L846" s="5">
        <f>XLOOKUP(N846, uom!C:C, uom!B:B, "Not Found")</f>
      </c>
      <c r="M846" s="1" t="s">
        <v>5511</v>
      </c>
      <c r="N846" s="8" t="s">
        <v>5512</v>
      </c>
      <c r="O846" s="1" t="s">
        <v>5513</v>
      </c>
      <c r="P846" s="5">
        <f>XLOOKUP(R846, classification!C:C, classification!B:B, "Not Found")</f>
      </c>
      <c r="Q846" s="1" t="s">
        <v>5514</v>
      </c>
      <c r="R846" s="2"/>
      <c r="S846" s="2"/>
      <c r="T846" s="2"/>
      <c r="U846" s="2"/>
    </row>
    <row x14ac:dyDescent="0.25" r="847" customHeight="1" ht="17.25">
      <c r="A847" s="7">
        <v>846</v>
      </c>
      <c r="B847" s="1" t="s">
        <v>2364</v>
      </c>
      <c r="C847" s="5">
        <f>CONCATENATE("PD", TEXT(A847, "1000000"))</f>
      </c>
      <c r="D847" s="7">
        <v>74</v>
      </c>
      <c r="E847" s="5">
        <f>XLOOKUP(G847, item_category!C:C, item_category!B:B, "Not Found")</f>
      </c>
      <c r="F847" s="1" t="s">
        <v>5520</v>
      </c>
      <c r="G847" s="5">
        <f>XLOOKUP(I847, drug!B:B, drug!A:A, "Not Found")</f>
      </c>
      <c r="H847" s="1"/>
      <c r="I847" s="7">
        <v>1</v>
      </c>
      <c r="J847" s="5">
        <f>XLOOKUP(L847, uom!C:C, uom!B:B, "Not Found")</f>
      </c>
      <c r="K847" s="1" t="s">
        <v>5511</v>
      </c>
      <c r="L847" s="5">
        <f>XLOOKUP(N847, uom!C:C, uom!B:B, "Not Found")</f>
      </c>
      <c r="M847" s="1" t="s">
        <v>5511</v>
      </c>
      <c r="N847" s="8" t="s">
        <v>5512</v>
      </c>
      <c r="O847" s="1" t="s">
        <v>5513</v>
      </c>
      <c r="P847" s="5">
        <f>XLOOKUP(R847, classification!C:C, classification!B:B, "Not Found")</f>
      </c>
      <c r="Q847" s="1" t="s">
        <v>5514</v>
      </c>
      <c r="R847" s="2"/>
      <c r="S847" s="2"/>
      <c r="T847" s="2"/>
      <c r="U847" s="2"/>
    </row>
    <row x14ac:dyDescent="0.25" r="848" customHeight="1" ht="17.25">
      <c r="A848" s="7">
        <v>847</v>
      </c>
      <c r="B848" s="1" t="s">
        <v>2366</v>
      </c>
      <c r="C848" s="5">
        <f>CONCATENATE("PD", TEXT(A848, "1000000"))</f>
      </c>
      <c r="D848" s="7">
        <v>74</v>
      </c>
      <c r="E848" s="5">
        <f>XLOOKUP(G848, item_category!C:C, item_category!B:B, "Not Found")</f>
      </c>
      <c r="F848" s="1" t="s">
        <v>5520</v>
      </c>
      <c r="G848" s="5">
        <f>XLOOKUP(I848, drug!B:B, drug!A:A, "Not Found")</f>
      </c>
      <c r="H848" s="1"/>
      <c r="I848" s="7">
        <v>1</v>
      </c>
      <c r="J848" s="5">
        <f>XLOOKUP(L848, uom!C:C, uom!B:B, "Not Found")</f>
      </c>
      <c r="K848" s="1" t="s">
        <v>5511</v>
      </c>
      <c r="L848" s="5">
        <f>XLOOKUP(N848, uom!C:C, uom!B:B, "Not Found")</f>
      </c>
      <c r="M848" s="1" t="s">
        <v>5511</v>
      </c>
      <c r="N848" s="8" t="s">
        <v>5512</v>
      </c>
      <c r="O848" s="1" t="s">
        <v>5513</v>
      </c>
      <c r="P848" s="5">
        <f>XLOOKUP(R848, classification!C:C, classification!B:B, "Not Found")</f>
      </c>
      <c r="Q848" s="1" t="s">
        <v>5514</v>
      </c>
      <c r="R848" s="2"/>
      <c r="S848" s="2"/>
      <c r="T848" s="2"/>
      <c r="U848" s="2"/>
    </row>
    <row x14ac:dyDescent="0.25" r="849" customHeight="1" ht="17.25">
      <c r="A849" s="7">
        <v>848</v>
      </c>
      <c r="B849" s="1" t="s">
        <v>6296</v>
      </c>
      <c r="C849" s="5">
        <f>CONCATENATE("PD", TEXT(A849, "1000000"))</f>
      </c>
      <c r="D849" s="7">
        <v>74</v>
      </c>
      <c r="E849" s="5">
        <f>XLOOKUP(G849, item_category!C:C, item_category!B:B, "Not Found")</f>
      </c>
      <c r="F849" s="1" t="s">
        <v>5520</v>
      </c>
      <c r="G849" s="5">
        <f>XLOOKUP(I849, drug!B:B, drug!A:A, "Not Found")</f>
      </c>
      <c r="H849" s="1"/>
      <c r="I849" s="7">
        <v>1</v>
      </c>
      <c r="J849" s="5">
        <f>XLOOKUP(L849, uom!C:C, uom!B:B, "Not Found")</f>
      </c>
      <c r="K849" s="1" t="s">
        <v>5511</v>
      </c>
      <c r="L849" s="5">
        <f>XLOOKUP(N849, uom!C:C, uom!B:B, "Not Found")</f>
      </c>
      <c r="M849" s="1" t="s">
        <v>5511</v>
      </c>
      <c r="N849" s="8" t="s">
        <v>5512</v>
      </c>
      <c r="O849" s="1" t="s">
        <v>5513</v>
      </c>
      <c r="P849" s="5">
        <f>XLOOKUP(R849, classification!C:C, classification!B:B, "Not Found")</f>
      </c>
      <c r="Q849" s="1" t="s">
        <v>5514</v>
      </c>
      <c r="R849" s="2"/>
      <c r="S849" s="2"/>
      <c r="T849" s="2"/>
      <c r="U849" s="2"/>
    </row>
    <row x14ac:dyDescent="0.25" r="850" customHeight="1" ht="17.25">
      <c r="A850" s="7">
        <v>849</v>
      </c>
      <c r="B850" s="1" t="s">
        <v>6297</v>
      </c>
      <c r="C850" s="5">
        <f>CONCATENATE("PD", TEXT(A850, "1000000"))</f>
      </c>
      <c r="D850" s="7">
        <v>58</v>
      </c>
      <c r="E850" s="5">
        <f>XLOOKUP(G850, item_category!C:C, item_category!B:B, "Not Found")</f>
      </c>
      <c r="F850" s="1" t="s">
        <v>5600</v>
      </c>
      <c r="G850" s="5">
        <f>XLOOKUP(I850, drug!B:B, drug!A:A, "Not Found")</f>
      </c>
      <c r="H850" s="1"/>
      <c r="I850" s="7">
        <v>1</v>
      </c>
      <c r="J850" s="5">
        <f>XLOOKUP(L850, uom!C:C, uom!B:B, "Not Found")</f>
      </c>
      <c r="K850" s="1" t="s">
        <v>5511</v>
      </c>
      <c r="L850" s="5">
        <f>XLOOKUP(N850, uom!C:C, uom!B:B, "Not Found")</f>
      </c>
      <c r="M850" s="1" t="s">
        <v>5511</v>
      </c>
      <c r="N850" s="8" t="s">
        <v>5512</v>
      </c>
      <c r="O850" s="1" t="s">
        <v>5513</v>
      </c>
      <c r="P850" s="5">
        <f>XLOOKUP(R850, classification!C:C, classification!B:B, "Not Found")</f>
      </c>
      <c r="Q850" s="1" t="s">
        <v>5514</v>
      </c>
      <c r="R850" s="2"/>
      <c r="S850" s="2"/>
      <c r="T850" s="2"/>
      <c r="U850" s="2"/>
    </row>
    <row x14ac:dyDescent="0.25" r="851" customHeight="1" ht="17.25">
      <c r="A851" s="7">
        <v>850</v>
      </c>
      <c r="B851" s="1" t="s">
        <v>6298</v>
      </c>
      <c r="C851" s="5">
        <f>CONCATENATE("PD", TEXT(A851, "1000000"))</f>
      </c>
      <c r="D851" s="7">
        <v>58</v>
      </c>
      <c r="E851" s="5">
        <f>XLOOKUP(G851, item_category!C:C, item_category!B:B, "Not Found")</f>
      </c>
      <c r="F851" s="1" t="s">
        <v>5600</v>
      </c>
      <c r="G851" s="5">
        <f>XLOOKUP(I851, drug!B:B, drug!A:A, "Not Found")</f>
      </c>
      <c r="H851" s="1" t="s">
        <v>1942</v>
      </c>
      <c r="I851" s="7">
        <v>1</v>
      </c>
      <c r="J851" s="5">
        <f>XLOOKUP(L851, uom!C:C, uom!B:B, "Not Found")</f>
      </c>
      <c r="K851" s="1" t="s">
        <v>5511</v>
      </c>
      <c r="L851" s="5">
        <f>XLOOKUP(N851, uom!C:C, uom!B:B, "Not Found")</f>
      </c>
      <c r="M851" s="1" t="s">
        <v>5511</v>
      </c>
      <c r="N851" s="8" t="s">
        <v>5512</v>
      </c>
      <c r="O851" s="1" t="s">
        <v>5513</v>
      </c>
      <c r="P851" s="5">
        <f>XLOOKUP(R851, classification!C:C, classification!B:B, "Not Found")</f>
      </c>
      <c r="Q851" s="1" t="s">
        <v>5514</v>
      </c>
      <c r="R851" s="2"/>
      <c r="S851" s="2"/>
      <c r="T851" s="2"/>
      <c r="U851" s="2"/>
    </row>
    <row x14ac:dyDescent="0.25" r="852" customHeight="1" ht="17.25">
      <c r="A852" s="7">
        <v>851</v>
      </c>
      <c r="B852" s="1" t="s">
        <v>6299</v>
      </c>
      <c r="C852" s="5">
        <f>CONCATENATE("PD", TEXT(A852, "1000000"))</f>
      </c>
      <c r="D852" s="7">
        <v>58</v>
      </c>
      <c r="E852" s="5">
        <f>XLOOKUP(G852, item_category!C:C, item_category!B:B, "Not Found")</f>
      </c>
      <c r="F852" s="1" t="s">
        <v>5600</v>
      </c>
      <c r="G852" s="5">
        <f>XLOOKUP(I852, drug!B:B, drug!A:A, "Not Found")</f>
      </c>
      <c r="H852" s="1" t="s">
        <v>1942</v>
      </c>
      <c r="I852" s="7">
        <v>1</v>
      </c>
      <c r="J852" s="5">
        <f>XLOOKUP(L852, uom!C:C, uom!B:B, "Not Found")</f>
      </c>
      <c r="K852" s="1" t="s">
        <v>5511</v>
      </c>
      <c r="L852" s="5">
        <f>XLOOKUP(N852, uom!C:C, uom!B:B, "Not Found")</f>
      </c>
      <c r="M852" s="1" t="s">
        <v>5511</v>
      </c>
      <c r="N852" s="8" t="s">
        <v>5512</v>
      </c>
      <c r="O852" s="1" t="s">
        <v>5513</v>
      </c>
      <c r="P852" s="5">
        <f>XLOOKUP(R852, classification!C:C, classification!B:B, "Not Found")</f>
      </c>
      <c r="Q852" s="1" t="s">
        <v>5514</v>
      </c>
      <c r="R852" s="2"/>
      <c r="S852" s="2"/>
      <c r="T852" s="2"/>
      <c r="U852" s="2"/>
    </row>
    <row x14ac:dyDescent="0.25" r="853" customHeight="1" ht="17.25">
      <c r="A853" s="7">
        <v>852</v>
      </c>
      <c r="B853" s="1" t="s">
        <v>6300</v>
      </c>
      <c r="C853" s="5">
        <f>CONCATENATE("PD", TEXT(A853, "1000000"))</f>
      </c>
      <c r="D853" s="7">
        <v>58</v>
      </c>
      <c r="E853" s="5">
        <f>XLOOKUP(G853, item_category!C:C, item_category!B:B, "Not Found")</f>
      </c>
      <c r="F853" s="1" t="s">
        <v>5600</v>
      </c>
      <c r="G853" s="5">
        <f>XLOOKUP(I853, drug!B:B, drug!A:A, "Not Found")</f>
      </c>
      <c r="H853" s="1" t="s">
        <v>1942</v>
      </c>
      <c r="I853" s="7">
        <v>250</v>
      </c>
      <c r="J853" s="5">
        <f>XLOOKUP(L853, uom!C:C, uom!B:B, "Not Found")</f>
      </c>
      <c r="K853" s="1" t="s">
        <v>5542</v>
      </c>
      <c r="L853" s="5">
        <f>XLOOKUP(N853, uom!C:C, uom!B:B, "Not Found")</f>
      </c>
      <c r="M853" s="1" t="s">
        <v>5542</v>
      </c>
      <c r="N853" s="8" t="s">
        <v>5524</v>
      </c>
      <c r="O853" s="1" t="s">
        <v>5525</v>
      </c>
      <c r="P853" s="5">
        <f>XLOOKUP(R853, classification!C:C, classification!B:B, "Not Found")</f>
      </c>
      <c r="Q853" s="1" t="s">
        <v>5514</v>
      </c>
      <c r="R853" s="2"/>
      <c r="S853" s="2"/>
      <c r="T853" s="2"/>
      <c r="U853" s="2"/>
    </row>
    <row x14ac:dyDescent="0.25" r="854" customHeight="1" ht="17.25">
      <c r="A854" s="7">
        <v>853</v>
      </c>
      <c r="B854" s="1" t="s">
        <v>6301</v>
      </c>
      <c r="C854" s="5">
        <f>CONCATENATE("PD", TEXT(A854, "1000000"))</f>
      </c>
      <c r="D854" s="7">
        <v>67</v>
      </c>
      <c r="E854" s="5">
        <f>XLOOKUP(G854, item_category!C:C, item_category!B:B, "Not Found")</f>
      </c>
      <c r="F854" s="1" t="s">
        <v>5516</v>
      </c>
      <c r="G854" s="5">
        <f>XLOOKUP(I854, drug!B:B, drug!A:A, "Not Found")</f>
      </c>
      <c r="H854" s="1"/>
      <c r="I854" s="7">
        <v>1</v>
      </c>
      <c r="J854" s="5">
        <f>XLOOKUP(L854, uom!C:C, uom!B:B, "Not Found")</f>
      </c>
      <c r="K854" s="1" t="s">
        <v>5602</v>
      </c>
      <c r="L854" s="5">
        <f>XLOOKUP(N854, uom!C:C, uom!B:B, "Not Found")</f>
      </c>
      <c r="M854" s="1" t="s">
        <v>5602</v>
      </c>
      <c r="N854" s="8" t="s">
        <v>5512</v>
      </c>
      <c r="O854" s="1" t="s">
        <v>5525</v>
      </c>
      <c r="P854" s="5">
        <f>XLOOKUP(R854, classification!C:C, classification!B:B, "Not Found")</f>
      </c>
      <c r="Q854" s="1" t="s">
        <v>5514</v>
      </c>
      <c r="R854" s="2"/>
      <c r="S854" s="2"/>
      <c r="T854" s="2"/>
      <c r="U854" s="2"/>
    </row>
    <row x14ac:dyDescent="0.25" r="855" customHeight="1" ht="17.25">
      <c r="A855" s="7">
        <v>854</v>
      </c>
      <c r="B855" s="1" t="s">
        <v>6302</v>
      </c>
      <c r="C855" s="5">
        <f>CONCATENATE("PD", TEXT(A855, "1000000"))</f>
      </c>
      <c r="D855" s="7">
        <v>67</v>
      </c>
      <c r="E855" s="5">
        <f>XLOOKUP(G855, item_category!C:C, item_category!B:B, "Not Found")</f>
      </c>
      <c r="F855" s="1" t="s">
        <v>5516</v>
      </c>
      <c r="G855" s="5">
        <f>XLOOKUP(I855, drug!B:B, drug!A:A, "Not Found")</f>
      </c>
      <c r="H855" s="1"/>
      <c r="I855" s="7">
        <v>220</v>
      </c>
      <c r="J855" s="5">
        <f>XLOOKUP(L855, uom!C:C, uom!B:B, "Not Found")</f>
      </c>
      <c r="K855" s="1" t="s">
        <v>5602</v>
      </c>
      <c r="L855" s="5">
        <f>XLOOKUP(N855, uom!C:C, uom!B:B, "Not Found")</f>
      </c>
      <c r="M855" s="1" t="s">
        <v>5602</v>
      </c>
      <c r="N855" s="8" t="s">
        <v>5524</v>
      </c>
      <c r="O855" s="1" t="s">
        <v>5525</v>
      </c>
      <c r="P855" s="5">
        <f>XLOOKUP(R855, classification!C:C, classification!B:B, "Not Found")</f>
      </c>
      <c r="Q855" s="1" t="s">
        <v>5514</v>
      </c>
      <c r="R855" s="2"/>
      <c r="S855" s="2"/>
      <c r="T855" s="2"/>
      <c r="U855" s="2"/>
    </row>
    <row x14ac:dyDescent="0.25" r="856" customHeight="1" ht="17.25">
      <c r="A856" s="7">
        <v>855</v>
      </c>
      <c r="B856" s="1" t="s">
        <v>6303</v>
      </c>
      <c r="C856" s="5">
        <f>CONCATENATE("PD", TEXT(A856, "1000000"))</f>
      </c>
      <c r="D856" s="7">
        <v>58</v>
      </c>
      <c r="E856" s="5">
        <f>XLOOKUP(G856, item_category!C:C, item_category!B:B, "Not Found")</f>
      </c>
      <c r="F856" s="1" t="s">
        <v>5600</v>
      </c>
      <c r="G856" s="5">
        <f>XLOOKUP(I856, drug!B:B, drug!A:A, "Not Found")</f>
      </c>
      <c r="H856" s="1"/>
      <c r="I856" s="7">
        <v>1</v>
      </c>
      <c r="J856" s="5">
        <f>XLOOKUP(L856, uom!C:C, uom!B:B, "Not Found")</f>
      </c>
      <c r="K856" s="1" t="s">
        <v>5511</v>
      </c>
      <c r="L856" s="5">
        <f>XLOOKUP(N856, uom!C:C, uom!B:B, "Not Found")</f>
      </c>
      <c r="M856" s="1" t="s">
        <v>5511</v>
      </c>
      <c r="N856" s="8" t="s">
        <v>5512</v>
      </c>
      <c r="O856" s="1" t="s">
        <v>5513</v>
      </c>
      <c r="P856" s="5">
        <f>XLOOKUP(R856, classification!C:C, classification!B:B, "Not Found")</f>
      </c>
      <c r="Q856" s="1" t="s">
        <v>5514</v>
      </c>
      <c r="R856" s="2"/>
      <c r="S856" s="2"/>
      <c r="T856" s="2"/>
      <c r="U856" s="2"/>
    </row>
    <row x14ac:dyDescent="0.25" r="857" customHeight="1" ht="17.25">
      <c r="A857" s="7">
        <v>856</v>
      </c>
      <c r="B857" s="1" t="s">
        <v>6304</v>
      </c>
      <c r="C857" s="5">
        <f>CONCATENATE("PD", TEXT(A857, "1000000"))</f>
      </c>
      <c r="D857" s="7">
        <v>58</v>
      </c>
      <c r="E857" s="5">
        <f>XLOOKUP(G857, item_category!C:C, item_category!B:B, "Not Found")</f>
      </c>
      <c r="F857" s="1" t="s">
        <v>5600</v>
      </c>
      <c r="G857" s="5">
        <f>XLOOKUP(I857, drug!B:B, drug!A:A, "Not Found")</f>
      </c>
      <c r="H857" s="1"/>
      <c r="I857" s="7">
        <v>1</v>
      </c>
      <c r="J857" s="5">
        <f>XLOOKUP(L857, uom!C:C, uom!B:B, "Not Found")</f>
      </c>
      <c r="K857" s="1" t="s">
        <v>5511</v>
      </c>
      <c r="L857" s="5">
        <f>XLOOKUP(N857, uom!C:C, uom!B:B, "Not Found")</f>
      </c>
      <c r="M857" s="1" t="s">
        <v>5511</v>
      </c>
      <c r="N857" s="8" t="s">
        <v>5512</v>
      </c>
      <c r="O857" s="1" t="s">
        <v>5513</v>
      </c>
      <c r="P857" s="5">
        <f>XLOOKUP(R857, classification!C:C, classification!B:B, "Not Found")</f>
      </c>
      <c r="Q857" s="1" t="s">
        <v>5514</v>
      </c>
      <c r="R857" s="2"/>
      <c r="S857" s="2"/>
      <c r="T857" s="2"/>
      <c r="U857" s="2"/>
    </row>
    <row x14ac:dyDescent="0.25" r="858" customHeight="1" ht="17.25">
      <c r="A858" s="7">
        <v>857</v>
      </c>
      <c r="B858" s="1" t="s">
        <v>6305</v>
      </c>
      <c r="C858" s="5">
        <f>CONCATENATE("PD", TEXT(A858, "1000000"))</f>
      </c>
      <c r="D858" s="7">
        <v>58</v>
      </c>
      <c r="E858" s="5">
        <f>XLOOKUP(G858, item_category!C:C, item_category!B:B, "Not Found")</f>
      </c>
      <c r="F858" s="1" t="s">
        <v>5600</v>
      </c>
      <c r="G858" s="5">
        <f>XLOOKUP(I858, drug!B:B, drug!A:A, "Not Found")</f>
      </c>
      <c r="H858" s="1"/>
      <c r="I858" s="7">
        <v>1</v>
      </c>
      <c r="J858" s="5">
        <f>XLOOKUP(L858, uom!C:C, uom!B:B, "Not Found")</f>
      </c>
      <c r="K858" s="1" t="s">
        <v>5511</v>
      </c>
      <c r="L858" s="5">
        <f>XLOOKUP(N858, uom!C:C, uom!B:B, "Not Found")</f>
      </c>
      <c r="M858" s="1" t="s">
        <v>5511</v>
      </c>
      <c r="N858" s="8" t="s">
        <v>5512</v>
      </c>
      <c r="O858" s="1" t="s">
        <v>5513</v>
      </c>
      <c r="P858" s="5">
        <f>XLOOKUP(R858, classification!C:C, classification!B:B, "Not Found")</f>
      </c>
      <c r="Q858" s="1" t="s">
        <v>5514</v>
      </c>
      <c r="R858" s="2"/>
      <c r="S858" s="2"/>
      <c r="T858" s="2"/>
      <c r="U858" s="2"/>
    </row>
    <row x14ac:dyDescent="0.25" r="859" customHeight="1" ht="17.25">
      <c r="A859" s="7">
        <v>858</v>
      </c>
      <c r="B859" s="1" t="s">
        <v>6306</v>
      </c>
      <c r="C859" s="5">
        <f>CONCATENATE("PD", TEXT(A859, "1000000"))</f>
      </c>
      <c r="D859" s="7">
        <v>58</v>
      </c>
      <c r="E859" s="5">
        <f>XLOOKUP(G859, item_category!C:C, item_category!B:B, "Not Found")</f>
      </c>
      <c r="F859" s="1" t="s">
        <v>5600</v>
      </c>
      <c r="G859" s="5">
        <f>XLOOKUP(I859, drug!B:B, drug!A:A, "Not Found")</f>
      </c>
      <c r="H859" s="1" t="s">
        <v>1152</v>
      </c>
      <c r="I859" s="7">
        <v>1</v>
      </c>
      <c r="J859" s="5">
        <f>XLOOKUP(L859, uom!C:C, uom!B:B, "Not Found")</f>
      </c>
      <c r="K859" s="1" t="s">
        <v>5511</v>
      </c>
      <c r="L859" s="5">
        <f>XLOOKUP(N859, uom!C:C, uom!B:B, "Not Found")</f>
      </c>
      <c r="M859" s="1" t="s">
        <v>5511</v>
      </c>
      <c r="N859" s="8" t="s">
        <v>5512</v>
      </c>
      <c r="O859" s="1" t="s">
        <v>5513</v>
      </c>
      <c r="P859" s="5">
        <f>XLOOKUP(R859, classification!C:C, classification!B:B, "Not Found")</f>
      </c>
      <c r="Q859" s="1" t="s">
        <v>5514</v>
      </c>
      <c r="R859" s="2"/>
      <c r="S859" s="2"/>
      <c r="T859" s="2"/>
      <c r="U859" s="2"/>
    </row>
    <row x14ac:dyDescent="0.25" r="860" customHeight="1" ht="17.25">
      <c r="A860" s="7">
        <v>859</v>
      </c>
      <c r="B860" s="1" t="s">
        <v>6307</v>
      </c>
      <c r="C860" s="5">
        <f>CONCATENATE("PD", TEXT(A860, "1000000"))</f>
      </c>
      <c r="D860" s="7">
        <v>58</v>
      </c>
      <c r="E860" s="5">
        <f>XLOOKUP(G860, item_category!C:C, item_category!B:B, "Not Found")</f>
      </c>
      <c r="F860" s="1" t="s">
        <v>5600</v>
      </c>
      <c r="G860" s="5">
        <f>XLOOKUP(I860, drug!B:B, drug!A:A, "Not Found")</f>
      </c>
      <c r="H860" s="1" t="s">
        <v>1152</v>
      </c>
      <c r="I860" s="7">
        <v>1</v>
      </c>
      <c r="J860" s="5">
        <f>XLOOKUP(L860, uom!C:C, uom!B:B, "Not Found")</f>
      </c>
      <c r="K860" s="1" t="s">
        <v>5511</v>
      </c>
      <c r="L860" s="5">
        <f>XLOOKUP(N860, uom!C:C, uom!B:B, "Not Found")</f>
      </c>
      <c r="M860" s="1" t="s">
        <v>5511</v>
      </c>
      <c r="N860" s="8" t="s">
        <v>5512</v>
      </c>
      <c r="O860" s="1" t="s">
        <v>5513</v>
      </c>
      <c r="P860" s="5">
        <f>XLOOKUP(R860, classification!C:C, classification!B:B, "Not Found")</f>
      </c>
      <c r="Q860" s="1" t="s">
        <v>5514</v>
      </c>
      <c r="R860" s="2"/>
      <c r="S860" s="2"/>
      <c r="T860" s="2"/>
      <c r="U860" s="2"/>
    </row>
    <row x14ac:dyDescent="0.25" r="861" customHeight="1" ht="17.25">
      <c r="A861" s="7">
        <v>860</v>
      </c>
      <c r="B861" s="1" t="s">
        <v>6308</v>
      </c>
      <c r="C861" s="5">
        <f>CONCATENATE("PD", TEXT(A861, "1000000"))</f>
      </c>
      <c r="D861" s="7">
        <v>59</v>
      </c>
      <c r="E861" s="5">
        <f>XLOOKUP(G861, item_category!C:C, item_category!B:B, "Not Found")</f>
      </c>
      <c r="F861" s="1" t="s">
        <v>5527</v>
      </c>
      <c r="G861" s="5">
        <f>XLOOKUP(I861, drug!B:B, drug!A:A, "Not Found")</f>
      </c>
      <c r="H861" s="1"/>
      <c r="I861" s="7">
        <v>1</v>
      </c>
      <c r="J861" s="5">
        <f>XLOOKUP(L861, uom!C:C, uom!B:B, "Not Found")</f>
      </c>
      <c r="K861" s="1" t="s">
        <v>5511</v>
      </c>
      <c r="L861" s="5">
        <f>XLOOKUP(N861, uom!C:C, uom!B:B, "Not Found")</f>
      </c>
      <c r="M861" s="1" t="s">
        <v>5511</v>
      </c>
      <c r="N861" s="8" t="s">
        <v>5512</v>
      </c>
      <c r="O861" s="1" t="s">
        <v>5513</v>
      </c>
      <c r="P861" s="5">
        <f>XLOOKUP(R861, classification!C:C, classification!B:B, "Not Found")</f>
      </c>
      <c r="Q861" s="1" t="s">
        <v>5514</v>
      </c>
      <c r="R861" s="2"/>
      <c r="S861" s="2"/>
      <c r="T861" s="2"/>
      <c r="U861" s="2"/>
    </row>
    <row x14ac:dyDescent="0.25" r="862" customHeight="1" ht="17.25">
      <c r="A862" s="7">
        <v>861</v>
      </c>
      <c r="B862" s="1" t="s">
        <v>6308</v>
      </c>
      <c r="C862" s="5">
        <f>CONCATENATE("PD", TEXT(A862, "1000000"))</f>
      </c>
      <c r="D862" s="7">
        <v>59</v>
      </c>
      <c r="E862" s="5">
        <f>XLOOKUP(G862, item_category!C:C, item_category!B:B, "Not Found")</f>
      </c>
      <c r="F862" s="1" t="s">
        <v>5527</v>
      </c>
      <c r="G862" s="5">
        <f>XLOOKUP(I862, drug!B:B, drug!A:A, "Not Found")</f>
      </c>
      <c r="H862" s="1"/>
      <c r="I862" s="7">
        <v>1</v>
      </c>
      <c r="J862" s="5">
        <f>XLOOKUP(L862, uom!C:C, uom!B:B, "Not Found")</f>
      </c>
      <c r="K862" s="1" t="s">
        <v>5511</v>
      </c>
      <c r="L862" s="5">
        <f>XLOOKUP(N862, uom!C:C, uom!B:B, "Not Found")</f>
      </c>
      <c r="M862" s="1" t="s">
        <v>5511</v>
      </c>
      <c r="N862" s="8" t="s">
        <v>5512</v>
      </c>
      <c r="O862" s="1" t="s">
        <v>5513</v>
      </c>
      <c r="P862" s="5">
        <f>XLOOKUP(R862, classification!C:C, classification!B:B, "Not Found")</f>
      </c>
      <c r="Q862" s="1" t="s">
        <v>5514</v>
      </c>
      <c r="R862" s="2"/>
      <c r="S862" s="2"/>
      <c r="T862" s="2"/>
      <c r="U862" s="2"/>
    </row>
    <row x14ac:dyDescent="0.25" r="863" customHeight="1" ht="17.25">
      <c r="A863" s="7">
        <v>862</v>
      </c>
      <c r="B863" s="1" t="s">
        <v>6309</v>
      </c>
      <c r="C863" s="5">
        <f>CONCATENATE("PD", TEXT(A863, "1000000"))</f>
      </c>
      <c r="D863" s="7">
        <v>59</v>
      </c>
      <c r="E863" s="5">
        <f>XLOOKUP(G863, item_category!C:C, item_category!B:B, "Not Found")</f>
      </c>
      <c r="F863" s="1" t="s">
        <v>5527</v>
      </c>
      <c r="G863" s="5">
        <f>XLOOKUP(I863, drug!B:B, drug!A:A, "Not Found")</f>
      </c>
      <c r="H863" s="1"/>
      <c r="I863" s="7">
        <v>1</v>
      </c>
      <c r="J863" s="5">
        <f>XLOOKUP(L863, uom!C:C, uom!B:B, "Not Found")</f>
      </c>
      <c r="K863" s="1" t="s">
        <v>5511</v>
      </c>
      <c r="L863" s="5">
        <f>XLOOKUP(N863, uom!C:C, uom!B:B, "Not Found")</f>
      </c>
      <c r="M863" s="1" t="s">
        <v>5511</v>
      </c>
      <c r="N863" s="8" t="s">
        <v>5512</v>
      </c>
      <c r="O863" s="1" t="s">
        <v>5513</v>
      </c>
      <c r="P863" s="5">
        <f>XLOOKUP(R863, classification!C:C, classification!B:B, "Not Found")</f>
      </c>
      <c r="Q863" s="1" t="s">
        <v>5514</v>
      </c>
      <c r="R863" s="2"/>
      <c r="S863" s="2"/>
      <c r="T863" s="2"/>
      <c r="U863" s="2"/>
    </row>
    <row x14ac:dyDescent="0.25" r="864" customHeight="1" ht="17.25">
      <c r="A864" s="7">
        <v>863</v>
      </c>
      <c r="B864" s="1" t="s">
        <v>47</v>
      </c>
      <c r="C864" s="5">
        <f>CONCATENATE("PD", TEXT(A864, "1000000"))</f>
      </c>
      <c r="D864" s="7">
        <v>59</v>
      </c>
      <c r="E864" s="5">
        <f>XLOOKUP(G864, item_category!C:C, item_category!B:B, "Not Found")</f>
      </c>
      <c r="F864" s="1" t="s">
        <v>5527</v>
      </c>
      <c r="G864" s="5">
        <f>XLOOKUP(I864, drug!B:B, drug!A:A, "Not Found")</f>
      </c>
      <c r="H864" s="1" t="s">
        <v>47</v>
      </c>
      <c r="I864" s="7">
        <v>1</v>
      </c>
      <c r="J864" s="5">
        <f>XLOOKUP(L864, uom!C:C, uom!B:B, "Not Found")</f>
      </c>
      <c r="K864" s="1" t="s">
        <v>5511</v>
      </c>
      <c r="L864" s="5">
        <f>XLOOKUP(N864, uom!C:C, uom!B:B, "Not Found")</f>
      </c>
      <c r="M864" s="1" t="s">
        <v>5511</v>
      </c>
      <c r="N864" s="8" t="s">
        <v>5512</v>
      </c>
      <c r="O864" s="1" t="s">
        <v>5513</v>
      </c>
      <c r="P864" s="5">
        <f>XLOOKUP(R864, classification!C:C, classification!B:B, "Not Found")</f>
      </c>
      <c r="Q864" s="1" t="s">
        <v>5514</v>
      </c>
      <c r="R864" s="2"/>
      <c r="S864" s="2"/>
      <c r="T864" s="2"/>
      <c r="U864" s="2"/>
    </row>
    <row x14ac:dyDescent="0.25" r="865" customHeight="1" ht="17.25">
      <c r="A865" s="7">
        <v>864</v>
      </c>
      <c r="B865" s="1" t="s">
        <v>2384</v>
      </c>
      <c r="C865" s="5">
        <f>CONCATENATE("PD", TEXT(A865, "1000000"))</f>
      </c>
      <c r="D865" s="7">
        <v>59</v>
      </c>
      <c r="E865" s="5">
        <f>XLOOKUP(G865, item_category!C:C, item_category!B:B, "Not Found")</f>
      </c>
      <c r="F865" s="1" t="s">
        <v>5527</v>
      </c>
      <c r="G865" s="5">
        <f>XLOOKUP(I865, drug!B:B, drug!A:A, "Not Found")</f>
      </c>
      <c r="H865" s="1"/>
      <c r="I865" s="7">
        <v>1</v>
      </c>
      <c r="J865" s="5">
        <f>XLOOKUP(L865, uom!C:C, uom!B:B, "Not Found")</f>
      </c>
      <c r="K865" s="1" t="s">
        <v>5511</v>
      </c>
      <c r="L865" s="5">
        <f>XLOOKUP(N865, uom!C:C, uom!B:B, "Not Found")</f>
      </c>
      <c r="M865" s="1" t="s">
        <v>5511</v>
      </c>
      <c r="N865" s="8" t="s">
        <v>5512</v>
      </c>
      <c r="O865" s="1" t="s">
        <v>5513</v>
      </c>
      <c r="P865" s="5">
        <f>XLOOKUP(R865, classification!C:C, classification!B:B, "Not Found")</f>
      </c>
      <c r="Q865" s="1" t="s">
        <v>5514</v>
      </c>
      <c r="R865" s="2"/>
      <c r="S865" s="2"/>
      <c r="T865" s="2"/>
      <c r="U865" s="2"/>
    </row>
    <row x14ac:dyDescent="0.25" r="866" customHeight="1" ht="17.25">
      <c r="A866" s="7">
        <v>865</v>
      </c>
      <c r="B866" s="1" t="s">
        <v>6310</v>
      </c>
      <c r="C866" s="5">
        <f>CONCATENATE("PD", TEXT(A866, "1000000"))</f>
      </c>
      <c r="D866" s="7">
        <v>59</v>
      </c>
      <c r="E866" s="5">
        <f>XLOOKUP(G866, item_category!C:C, item_category!B:B, "Not Found")</f>
      </c>
      <c r="F866" s="1" t="s">
        <v>5527</v>
      </c>
      <c r="G866" s="5">
        <f>XLOOKUP(I866, drug!B:B, drug!A:A, "Not Found")</f>
      </c>
      <c r="H866" s="1" t="s">
        <v>1966</v>
      </c>
      <c r="I866" s="7">
        <v>1</v>
      </c>
      <c r="J866" s="5">
        <f>XLOOKUP(L866, uom!C:C, uom!B:B, "Not Found")</f>
      </c>
      <c r="K866" s="1" t="s">
        <v>5511</v>
      </c>
      <c r="L866" s="5">
        <f>XLOOKUP(N866, uom!C:C, uom!B:B, "Not Found")</f>
      </c>
      <c r="M866" s="1" t="s">
        <v>5511</v>
      </c>
      <c r="N866" s="8" t="s">
        <v>5512</v>
      </c>
      <c r="O866" s="1" t="s">
        <v>5513</v>
      </c>
      <c r="P866" s="5">
        <f>XLOOKUP(R866, classification!C:C, classification!B:B, "Not Found")</f>
      </c>
      <c r="Q866" s="1" t="s">
        <v>5514</v>
      </c>
      <c r="R866" s="2"/>
      <c r="S866" s="2"/>
      <c r="T866" s="2"/>
      <c r="U866" s="2"/>
    </row>
    <row x14ac:dyDescent="0.25" r="867" customHeight="1" ht="17.25">
      <c r="A867" s="7">
        <v>866</v>
      </c>
      <c r="B867" s="1" t="s">
        <v>6311</v>
      </c>
      <c r="C867" s="5">
        <f>CONCATENATE("PD", TEXT(A867, "1000000"))</f>
      </c>
      <c r="D867" s="7">
        <v>59</v>
      </c>
      <c r="E867" s="5">
        <f>XLOOKUP(G867, item_category!C:C, item_category!B:B, "Not Found")</f>
      </c>
      <c r="F867" s="1" t="s">
        <v>5527</v>
      </c>
      <c r="G867" s="5">
        <f>XLOOKUP(I867, drug!B:B, drug!A:A, "Not Found")</f>
      </c>
      <c r="H867" s="1" t="s">
        <v>1966</v>
      </c>
      <c r="I867" s="7">
        <v>1</v>
      </c>
      <c r="J867" s="5">
        <f>XLOOKUP(L867, uom!C:C, uom!B:B, "Not Found")</f>
      </c>
      <c r="K867" s="1" t="s">
        <v>5511</v>
      </c>
      <c r="L867" s="5">
        <f>XLOOKUP(N867, uom!C:C, uom!B:B, "Not Found")</f>
      </c>
      <c r="M867" s="1" t="s">
        <v>5511</v>
      </c>
      <c r="N867" s="8" t="s">
        <v>5512</v>
      </c>
      <c r="O867" s="1" t="s">
        <v>5513</v>
      </c>
      <c r="P867" s="5">
        <f>XLOOKUP(R867, classification!C:C, classification!B:B, "Not Found")</f>
      </c>
      <c r="Q867" s="1" t="s">
        <v>5514</v>
      </c>
      <c r="R867" s="2"/>
      <c r="S867" s="2"/>
      <c r="T867" s="2"/>
      <c r="U867" s="2"/>
    </row>
    <row x14ac:dyDescent="0.25" r="868" customHeight="1" ht="17.25">
      <c r="A868" s="7">
        <v>867</v>
      </c>
      <c r="B868" s="1" t="s">
        <v>6312</v>
      </c>
      <c r="C868" s="5">
        <f>CONCATENATE("PD", TEXT(A868, "1000000"))</f>
      </c>
      <c r="D868" s="7">
        <v>59</v>
      </c>
      <c r="E868" s="5">
        <f>XLOOKUP(G868, item_category!C:C, item_category!B:B, "Not Found")</f>
      </c>
      <c r="F868" s="1" t="s">
        <v>5527</v>
      </c>
      <c r="G868" s="5">
        <f>XLOOKUP(I868, drug!B:B, drug!A:A, "Not Found")</f>
      </c>
      <c r="H868" s="1"/>
      <c r="I868" s="7">
        <v>1</v>
      </c>
      <c r="J868" s="5">
        <f>XLOOKUP(L868, uom!C:C, uom!B:B, "Not Found")</f>
      </c>
      <c r="K868" s="1" t="s">
        <v>5511</v>
      </c>
      <c r="L868" s="5">
        <f>XLOOKUP(N868, uom!C:C, uom!B:B, "Not Found")</f>
      </c>
      <c r="M868" s="1" t="s">
        <v>5511</v>
      </c>
      <c r="N868" s="8" t="s">
        <v>5512</v>
      </c>
      <c r="O868" s="1" t="s">
        <v>5513</v>
      </c>
      <c r="P868" s="5">
        <f>XLOOKUP(R868, classification!C:C, classification!B:B, "Not Found")</f>
      </c>
      <c r="Q868" s="1" t="s">
        <v>5514</v>
      </c>
      <c r="R868" s="2"/>
      <c r="S868" s="2"/>
      <c r="T868" s="2"/>
      <c r="U868" s="2"/>
    </row>
    <row x14ac:dyDescent="0.25" r="869" customHeight="1" ht="17.25">
      <c r="A869" s="7">
        <v>868</v>
      </c>
      <c r="B869" s="1" t="s">
        <v>6313</v>
      </c>
      <c r="C869" s="5">
        <f>CONCATENATE("PD", TEXT(A869, "1000000"))</f>
      </c>
      <c r="D869" s="7">
        <v>59</v>
      </c>
      <c r="E869" s="5">
        <f>XLOOKUP(G869, item_category!C:C, item_category!B:B, "Not Found")</f>
      </c>
      <c r="F869" s="1" t="s">
        <v>5527</v>
      </c>
      <c r="G869" s="5">
        <f>XLOOKUP(I869, drug!B:B, drug!A:A, "Not Found")</f>
      </c>
      <c r="H869" s="1"/>
      <c r="I869" s="7">
        <v>1</v>
      </c>
      <c r="J869" s="5">
        <f>XLOOKUP(L869, uom!C:C, uom!B:B, "Not Found")</f>
      </c>
      <c r="K869" s="1" t="s">
        <v>5511</v>
      </c>
      <c r="L869" s="5">
        <f>XLOOKUP(N869, uom!C:C, uom!B:B, "Not Found")</f>
      </c>
      <c r="M869" s="1" t="s">
        <v>5511</v>
      </c>
      <c r="N869" s="8" t="s">
        <v>5512</v>
      </c>
      <c r="O869" s="1" t="s">
        <v>5513</v>
      </c>
      <c r="P869" s="5">
        <f>XLOOKUP(R869, classification!C:C, classification!B:B, "Not Found")</f>
      </c>
      <c r="Q869" s="1" t="s">
        <v>5514</v>
      </c>
      <c r="R869" s="2"/>
      <c r="S869" s="2"/>
      <c r="T869" s="2"/>
      <c r="U869" s="2"/>
    </row>
    <row x14ac:dyDescent="0.25" r="870" customHeight="1" ht="17.25">
      <c r="A870" s="7">
        <v>869</v>
      </c>
      <c r="B870" s="1" t="s">
        <v>6314</v>
      </c>
      <c r="C870" s="5">
        <f>CONCATENATE("PD", TEXT(A870, "1000000"))</f>
      </c>
      <c r="D870" s="7">
        <v>59</v>
      </c>
      <c r="E870" s="5">
        <f>XLOOKUP(G870, item_category!C:C, item_category!B:B, "Not Found")</f>
      </c>
      <c r="F870" s="1" t="s">
        <v>5527</v>
      </c>
      <c r="G870" s="5">
        <f>XLOOKUP(I870, drug!B:B, drug!A:A, "Not Found")</f>
      </c>
      <c r="H870" s="1"/>
      <c r="I870" s="7">
        <v>1</v>
      </c>
      <c r="J870" s="5">
        <f>XLOOKUP(L870, uom!C:C, uom!B:B, "Not Found")</f>
      </c>
      <c r="K870" s="1" t="s">
        <v>5511</v>
      </c>
      <c r="L870" s="5">
        <f>XLOOKUP(N870, uom!C:C, uom!B:B, "Not Found")</f>
      </c>
      <c r="M870" s="1" t="s">
        <v>5511</v>
      </c>
      <c r="N870" s="8" t="s">
        <v>5512</v>
      </c>
      <c r="O870" s="1" t="s">
        <v>5513</v>
      </c>
      <c r="P870" s="5">
        <f>XLOOKUP(R870, classification!C:C, classification!B:B, "Not Found")</f>
      </c>
      <c r="Q870" s="1" t="s">
        <v>5514</v>
      </c>
      <c r="R870" s="2"/>
      <c r="S870" s="2"/>
      <c r="T870" s="2"/>
      <c r="U870" s="2"/>
    </row>
    <row x14ac:dyDescent="0.25" r="871" customHeight="1" ht="17.25">
      <c r="A871" s="7">
        <v>870</v>
      </c>
      <c r="B871" s="1" t="s">
        <v>6315</v>
      </c>
      <c r="C871" s="5">
        <f>CONCATENATE("PD", TEXT(A871, "1000000"))</f>
      </c>
      <c r="D871" s="7">
        <v>59</v>
      </c>
      <c r="E871" s="5">
        <f>XLOOKUP(G871, item_category!C:C, item_category!B:B, "Not Found")</f>
      </c>
      <c r="F871" s="1" t="s">
        <v>5527</v>
      </c>
      <c r="G871" s="5">
        <f>XLOOKUP(I871, drug!B:B, drug!A:A, "Not Found")</f>
      </c>
      <c r="H871" s="1"/>
      <c r="I871" s="7">
        <v>1</v>
      </c>
      <c r="J871" s="5">
        <f>XLOOKUP(L871, uom!C:C, uom!B:B, "Not Found")</f>
      </c>
      <c r="K871" s="1" t="s">
        <v>5511</v>
      </c>
      <c r="L871" s="5">
        <f>XLOOKUP(N871, uom!C:C, uom!B:B, "Not Found")</f>
      </c>
      <c r="M871" s="1" t="s">
        <v>5511</v>
      </c>
      <c r="N871" s="8" t="s">
        <v>5512</v>
      </c>
      <c r="O871" s="1" t="s">
        <v>5513</v>
      </c>
      <c r="P871" s="5">
        <f>XLOOKUP(R871, classification!C:C, classification!B:B, "Not Found")</f>
      </c>
      <c r="Q871" s="1" t="s">
        <v>5514</v>
      </c>
      <c r="R871" s="2"/>
      <c r="S871" s="2"/>
      <c r="T871" s="2"/>
      <c r="U871" s="2"/>
    </row>
    <row x14ac:dyDescent="0.25" r="872" customHeight="1" ht="17.25">
      <c r="A872" s="7">
        <v>871</v>
      </c>
      <c r="B872" s="1" t="s">
        <v>2390</v>
      </c>
      <c r="C872" s="5">
        <f>CONCATENATE("PD", TEXT(A872, "1000000"))</f>
      </c>
      <c r="D872" s="7">
        <v>59</v>
      </c>
      <c r="E872" s="5">
        <f>XLOOKUP(G872, item_category!C:C, item_category!B:B, "Not Found")</f>
      </c>
      <c r="F872" s="1" t="s">
        <v>5527</v>
      </c>
      <c r="G872" s="5">
        <f>XLOOKUP(I872, drug!B:B, drug!A:A, "Not Found")</f>
      </c>
      <c r="H872" s="1"/>
      <c r="I872" s="7">
        <v>1</v>
      </c>
      <c r="J872" s="5">
        <f>XLOOKUP(L872, uom!C:C, uom!B:B, "Not Found")</f>
      </c>
      <c r="K872" s="1" t="s">
        <v>5511</v>
      </c>
      <c r="L872" s="5">
        <f>XLOOKUP(N872, uom!C:C, uom!B:B, "Not Found")</f>
      </c>
      <c r="M872" s="1" t="s">
        <v>5511</v>
      </c>
      <c r="N872" s="8" t="s">
        <v>5512</v>
      </c>
      <c r="O872" s="1" t="s">
        <v>5513</v>
      </c>
      <c r="P872" s="5">
        <f>XLOOKUP(R872, classification!C:C, classification!B:B, "Not Found")</f>
      </c>
      <c r="Q872" s="1" t="s">
        <v>5514</v>
      </c>
      <c r="R872" s="2"/>
      <c r="S872" s="2"/>
      <c r="T872" s="2"/>
      <c r="U872" s="2"/>
    </row>
    <row x14ac:dyDescent="0.25" r="873" customHeight="1" ht="17.25">
      <c r="A873" s="7">
        <v>872</v>
      </c>
      <c r="B873" s="1" t="s">
        <v>6316</v>
      </c>
      <c r="C873" s="5">
        <f>CONCATENATE("PD", TEXT(A873, "1000000"))</f>
      </c>
      <c r="D873" s="7">
        <v>59</v>
      </c>
      <c r="E873" s="5">
        <f>XLOOKUP(G873, item_category!C:C, item_category!B:B, "Not Found")</f>
      </c>
      <c r="F873" s="1" t="s">
        <v>5527</v>
      </c>
      <c r="G873" s="5">
        <f>XLOOKUP(I873, drug!B:B, drug!A:A, "Not Found")</f>
      </c>
      <c r="H873" s="1"/>
      <c r="I873" s="7">
        <v>1</v>
      </c>
      <c r="J873" s="5">
        <f>XLOOKUP(L873, uom!C:C, uom!B:B, "Not Found")</f>
      </c>
      <c r="K873" s="1" t="s">
        <v>5511</v>
      </c>
      <c r="L873" s="5">
        <f>XLOOKUP(N873, uom!C:C, uom!B:B, "Not Found")</f>
      </c>
      <c r="M873" s="1" t="s">
        <v>5511</v>
      </c>
      <c r="N873" s="8" t="s">
        <v>5512</v>
      </c>
      <c r="O873" s="1" t="s">
        <v>5513</v>
      </c>
      <c r="P873" s="5">
        <f>XLOOKUP(R873, classification!C:C, classification!B:B, "Not Found")</f>
      </c>
      <c r="Q873" s="1" t="s">
        <v>5514</v>
      </c>
      <c r="R873" s="2"/>
      <c r="S873" s="2"/>
      <c r="T873" s="2"/>
      <c r="U873" s="2"/>
    </row>
    <row x14ac:dyDescent="0.25" r="874" customHeight="1" ht="17.25">
      <c r="A874" s="7">
        <v>873</v>
      </c>
      <c r="B874" s="1" t="s">
        <v>6317</v>
      </c>
      <c r="C874" s="5">
        <f>CONCATENATE("PD", TEXT(A874, "1000000"))</f>
      </c>
      <c r="D874" s="7">
        <v>59</v>
      </c>
      <c r="E874" s="5">
        <f>XLOOKUP(G874, item_category!C:C, item_category!B:B, "Not Found")</f>
      </c>
      <c r="F874" s="1" t="s">
        <v>5527</v>
      </c>
      <c r="G874" s="5">
        <f>XLOOKUP(I874, drug!B:B, drug!A:A, "Not Found")</f>
      </c>
      <c r="H874" s="1"/>
      <c r="I874" s="7">
        <v>1</v>
      </c>
      <c r="J874" s="5">
        <f>XLOOKUP(L874, uom!C:C, uom!B:B, "Not Found")</f>
      </c>
      <c r="K874" s="1" t="s">
        <v>5511</v>
      </c>
      <c r="L874" s="5">
        <f>XLOOKUP(N874, uom!C:C, uom!B:B, "Not Found")</f>
      </c>
      <c r="M874" s="1" t="s">
        <v>5511</v>
      </c>
      <c r="N874" s="8" t="s">
        <v>5512</v>
      </c>
      <c r="O874" s="1" t="s">
        <v>5513</v>
      </c>
      <c r="P874" s="5">
        <f>XLOOKUP(R874, classification!C:C, classification!B:B, "Not Found")</f>
      </c>
      <c r="Q874" s="1" t="s">
        <v>5514</v>
      </c>
      <c r="R874" s="2"/>
      <c r="S874" s="2"/>
      <c r="T874" s="2"/>
      <c r="U874" s="2"/>
    </row>
    <row x14ac:dyDescent="0.25" r="875" customHeight="1" ht="17.25">
      <c r="A875" s="7">
        <v>874</v>
      </c>
      <c r="B875" s="1" t="s">
        <v>6318</v>
      </c>
      <c r="C875" s="5">
        <f>CONCATENATE("PD", TEXT(A875, "1000000"))</f>
      </c>
      <c r="D875" s="7">
        <v>59</v>
      </c>
      <c r="E875" s="5">
        <f>XLOOKUP(G875, item_category!C:C, item_category!B:B, "Not Found")</f>
      </c>
      <c r="F875" s="1" t="s">
        <v>5527</v>
      </c>
      <c r="G875" s="5">
        <f>XLOOKUP(I875, drug!B:B, drug!A:A, "Not Found")</f>
      </c>
      <c r="H875" s="1"/>
      <c r="I875" s="7">
        <v>1</v>
      </c>
      <c r="J875" s="5">
        <f>XLOOKUP(L875, uom!C:C, uom!B:B, "Not Found")</f>
      </c>
      <c r="K875" s="1" t="s">
        <v>5511</v>
      </c>
      <c r="L875" s="5">
        <f>XLOOKUP(N875, uom!C:C, uom!B:B, "Not Found")</f>
      </c>
      <c r="M875" s="1" t="s">
        <v>5511</v>
      </c>
      <c r="N875" s="8" t="s">
        <v>5512</v>
      </c>
      <c r="O875" s="1" t="s">
        <v>5513</v>
      </c>
      <c r="P875" s="5">
        <f>XLOOKUP(R875, classification!C:C, classification!B:B, "Not Found")</f>
      </c>
      <c r="Q875" s="1" t="s">
        <v>5514</v>
      </c>
      <c r="R875" s="2"/>
      <c r="S875" s="2"/>
      <c r="T875" s="2"/>
      <c r="U875" s="2"/>
    </row>
    <row x14ac:dyDescent="0.25" r="876" customHeight="1" ht="17.25">
      <c r="A876" s="7">
        <v>875</v>
      </c>
      <c r="B876" s="1" t="s">
        <v>6319</v>
      </c>
      <c r="C876" s="5">
        <f>CONCATENATE("PD", TEXT(A876, "1000000"))</f>
      </c>
      <c r="D876" s="7">
        <v>59</v>
      </c>
      <c r="E876" s="5">
        <f>XLOOKUP(G876, item_category!C:C, item_category!B:B, "Not Found")</f>
      </c>
      <c r="F876" s="1" t="s">
        <v>5527</v>
      </c>
      <c r="G876" s="5">
        <f>XLOOKUP(I876, drug!B:B, drug!A:A, "Not Found")</f>
      </c>
      <c r="H876" s="1"/>
      <c r="I876" s="7">
        <v>1</v>
      </c>
      <c r="J876" s="5">
        <f>XLOOKUP(L876, uom!C:C, uom!B:B, "Not Found")</f>
      </c>
      <c r="K876" s="1" t="s">
        <v>5511</v>
      </c>
      <c r="L876" s="5">
        <f>XLOOKUP(N876, uom!C:C, uom!B:B, "Not Found")</f>
      </c>
      <c r="M876" s="1" t="s">
        <v>5511</v>
      </c>
      <c r="N876" s="8" t="s">
        <v>5512</v>
      </c>
      <c r="O876" s="1" t="s">
        <v>5513</v>
      </c>
      <c r="P876" s="5">
        <f>XLOOKUP(R876, classification!C:C, classification!B:B, "Not Found")</f>
      </c>
      <c r="Q876" s="1" t="s">
        <v>5514</v>
      </c>
      <c r="R876" s="2"/>
      <c r="S876" s="2"/>
      <c r="T876" s="2"/>
      <c r="U876" s="2"/>
    </row>
    <row x14ac:dyDescent="0.25" r="877" customHeight="1" ht="17.25">
      <c r="A877" s="7">
        <v>876</v>
      </c>
      <c r="B877" s="1" t="s">
        <v>6320</v>
      </c>
      <c r="C877" s="5">
        <f>CONCATENATE("PD", TEXT(A877, "1000000"))</f>
      </c>
      <c r="D877" s="7">
        <v>59</v>
      </c>
      <c r="E877" s="5">
        <f>XLOOKUP(G877, item_category!C:C, item_category!B:B, "Not Found")</f>
      </c>
      <c r="F877" s="1" t="s">
        <v>5527</v>
      </c>
      <c r="G877" s="5">
        <f>XLOOKUP(I877, drug!B:B, drug!A:A, "Not Found")</f>
      </c>
      <c r="H877" s="1"/>
      <c r="I877" s="7">
        <v>1</v>
      </c>
      <c r="J877" s="5">
        <f>XLOOKUP(L877, uom!C:C, uom!B:B, "Not Found")</f>
      </c>
      <c r="K877" s="1" t="s">
        <v>5511</v>
      </c>
      <c r="L877" s="5">
        <f>XLOOKUP(N877, uom!C:C, uom!B:B, "Not Found")</f>
      </c>
      <c r="M877" s="1" t="s">
        <v>5511</v>
      </c>
      <c r="N877" s="8" t="s">
        <v>5512</v>
      </c>
      <c r="O877" s="1" t="s">
        <v>5513</v>
      </c>
      <c r="P877" s="5">
        <f>XLOOKUP(R877, classification!C:C, classification!B:B, "Not Found")</f>
      </c>
      <c r="Q877" s="1" t="s">
        <v>5514</v>
      </c>
      <c r="R877" s="2"/>
      <c r="S877" s="2"/>
      <c r="T877" s="2"/>
      <c r="U877" s="2"/>
    </row>
    <row x14ac:dyDescent="0.25" r="878" customHeight="1" ht="17.25">
      <c r="A878" s="7">
        <v>877</v>
      </c>
      <c r="B878" s="1" t="s">
        <v>6321</v>
      </c>
      <c r="C878" s="5">
        <f>CONCATENATE("PD", TEXT(A878, "1000000"))</f>
      </c>
      <c r="D878" s="7">
        <v>59</v>
      </c>
      <c r="E878" s="5">
        <f>XLOOKUP(G878, item_category!C:C, item_category!B:B, "Not Found")</f>
      </c>
      <c r="F878" s="1" t="s">
        <v>5527</v>
      </c>
      <c r="G878" s="5">
        <f>XLOOKUP(I878, drug!B:B, drug!A:A, "Not Found")</f>
      </c>
      <c r="H878" s="1" t="s">
        <v>1942</v>
      </c>
      <c r="I878" s="7">
        <v>1</v>
      </c>
      <c r="J878" s="5">
        <f>XLOOKUP(L878, uom!C:C, uom!B:B, "Not Found")</f>
      </c>
      <c r="K878" s="1" t="s">
        <v>5511</v>
      </c>
      <c r="L878" s="5">
        <f>XLOOKUP(N878, uom!C:C, uom!B:B, "Not Found")</f>
      </c>
      <c r="M878" s="1" t="s">
        <v>5511</v>
      </c>
      <c r="N878" s="8" t="s">
        <v>5512</v>
      </c>
      <c r="O878" s="1" t="s">
        <v>5513</v>
      </c>
      <c r="P878" s="5">
        <f>XLOOKUP(R878, classification!C:C, classification!B:B, "Not Found")</f>
      </c>
      <c r="Q878" s="1" t="s">
        <v>5514</v>
      </c>
      <c r="R878" s="2"/>
      <c r="S878" s="2"/>
      <c r="T878" s="2"/>
      <c r="U878" s="2"/>
    </row>
    <row x14ac:dyDescent="0.25" r="879" customHeight="1" ht="17.25">
      <c r="A879" s="7">
        <v>878</v>
      </c>
      <c r="B879" s="1" t="s">
        <v>6322</v>
      </c>
      <c r="C879" s="5">
        <f>CONCATENATE("PD", TEXT(A879, "1000000"))</f>
      </c>
      <c r="D879" s="7">
        <v>59</v>
      </c>
      <c r="E879" s="5">
        <f>XLOOKUP(G879, item_category!C:C, item_category!B:B, "Not Found")</f>
      </c>
      <c r="F879" s="1" t="s">
        <v>5527</v>
      </c>
      <c r="G879" s="5">
        <f>XLOOKUP(I879, drug!B:B, drug!A:A, "Not Found")</f>
      </c>
      <c r="H879" s="1" t="s">
        <v>1994</v>
      </c>
      <c r="I879" s="7">
        <v>1</v>
      </c>
      <c r="J879" s="5">
        <f>XLOOKUP(L879, uom!C:C, uom!B:B, "Not Found")</f>
      </c>
      <c r="K879" s="1" t="s">
        <v>5511</v>
      </c>
      <c r="L879" s="5">
        <f>XLOOKUP(N879, uom!C:C, uom!B:B, "Not Found")</f>
      </c>
      <c r="M879" s="1" t="s">
        <v>5511</v>
      </c>
      <c r="N879" s="8" t="s">
        <v>5512</v>
      </c>
      <c r="O879" s="1" t="s">
        <v>5513</v>
      </c>
      <c r="P879" s="5">
        <f>XLOOKUP(R879, classification!C:C, classification!B:B, "Not Found")</f>
      </c>
      <c r="Q879" s="1" t="s">
        <v>5514</v>
      </c>
      <c r="R879" s="2"/>
      <c r="S879" s="2"/>
      <c r="T879" s="2"/>
      <c r="U879" s="2"/>
    </row>
    <row x14ac:dyDescent="0.25" r="880" customHeight="1" ht="17.25">
      <c r="A880" s="7">
        <v>879</v>
      </c>
      <c r="B880" s="1" t="s">
        <v>6323</v>
      </c>
      <c r="C880" s="5">
        <f>CONCATENATE("PD", TEXT(A880, "1000000"))</f>
      </c>
      <c r="D880" s="7">
        <v>59</v>
      </c>
      <c r="E880" s="5">
        <f>XLOOKUP(G880, item_category!C:C, item_category!B:B, "Not Found")</f>
      </c>
      <c r="F880" s="1" t="s">
        <v>5527</v>
      </c>
      <c r="G880" s="5">
        <f>XLOOKUP(I880, drug!B:B, drug!A:A, "Not Found")</f>
      </c>
      <c r="H880" s="1" t="s">
        <v>1994</v>
      </c>
      <c r="I880" s="7">
        <v>1</v>
      </c>
      <c r="J880" s="5">
        <f>XLOOKUP(L880, uom!C:C, uom!B:B, "Not Found")</f>
      </c>
      <c r="K880" s="1" t="s">
        <v>5511</v>
      </c>
      <c r="L880" s="5">
        <f>XLOOKUP(N880, uom!C:C, uom!B:B, "Not Found")</f>
      </c>
      <c r="M880" s="1" t="s">
        <v>5511</v>
      </c>
      <c r="N880" s="8" t="s">
        <v>5512</v>
      </c>
      <c r="O880" s="1" t="s">
        <v>5513</v>
      </c>
      <c r="P880" s="5">
        <f>XLOOKUP(R880, classification!C:C, classification!B:B, "Not Found")</f>
      </c>
      <c r="Q880" s="1" t="s">
        <v>5514</v>
      </c>
      <c r="R880" s="2"/>
      <c r="S880" s="2"/>
      <c r="T880" s="2"/>
      <c r="U880" s="2"/>
    </row>
    <row x14ac:dyDescent="0.25" r="881" customHeight="1" ht="17.25">
      <c r="A881" s="7">
        <v>880</v>
      </c>
      <c r="B881" s="1" t="s">
        <v>6324</v>
      </c>
      <c r="C881" s="5">
        <f>CONCATENATE("PD", TEXT(A881, "1000000"))</f>
      </c>
      <c r="D881" s="7">
        <v>59</v>
      </c>
      <c r="E881" s="5">
        <f>XLOOKUP(G881, item_category!C:C, item_category!B:B, "Not Found")</f>
      </c>
      <c r="F881" s="1" t="s">
        <v>5527</v>
      </c>
      <c r="G881" s="5">
        <f>XLOOKUP(I881, drug!B:B, drug!A:A, "Not Found")</f>
      </c>
      <c r="H881" s="1"/>
      <c r="I881" s="7">
        <v>1</v>
      </c>
      <c r="J881" s="5">
        <f>XLOOKUP(L881, uom!C:C, uom!B:B, "Not Found")</f>
      </c>
      <c r="K881" s="1" t="s">
        <v>5511</v>
      </c>
      <c r="L881" s="5">
        <f>XLOOKUP(N881, uom!C:C, uom!B:B, "Not Found")</f>
      </c>
      <c r="M881" s="1" t="s">
        <v>5511</v>
      </c>
      <c r="N881" s="8" t="s">
        <v>5512</v>
      </c>
      <c r="O881" s="1" t="s">
        <v>5513</v>
      </c>
      <c r="P881" s="5">
        <f>XLOOKUP(R881, classification!C:C, classification!B:B, "Not Found")</f>
      </c>
      <c r="Q881" s="1" t="s">
        <v>5514</v>
      </c>
      <c r="R881" s="2"/>
      <c r="S881" s="2"/>
      <c r="T881" s="2"/>
      <c r="U881" s="2"/>
    </row>
    <row x14ac:dyDescent="0.25" r="882" customHeight="1" ht="17.25">
      <c r="A882" s="7">
        <v>881</v>
      </c>
      <c r="B882" s="1" t="s">
        <v>6325</v>
      </c>
      <c r="C882" s="5">
        <f>CONCATENATE("PD", TEXT(A882, "1000000"))</f>
      </c>
      <c r="D882" s="7">
        <v>59</v>
      </c>
      <c r="E882" s="5">
        <f>XLOOKUP(G882, item_category!C:C, item_category!B:B, "Not Found")</f>
      </c>
      <c r="F882" s="1" t="s">
        <v>5527</v>
      </c>
      <c r="G882" s="5">
        <f>XLOOKUP(I882, drug!B:B, drug!A:A, "Not Found")</f>
      </c>
      <c r="H882" s="1"/>
      <c r="I882" s="7">
        <v>1</v>
      </c>
      <c r="J882" s="5">
        <f>XLOOKUP(L882, uom!C:C, uom!B:B, "Not Found")</f>
      </c>
      <c r="K882" s="1" t="s">
        <v>5511</v>
      </c>
      <c r="L882" s="5">
        <f>XLOOKUP(N882, uom!C:C, uom!B:B, "Not Found")</f>
      </c>
      <c r="M882" s="1" t="s">
        <v>5511</v>
      </c>
      <c r="N882" s="8" t="s">
        <v>5512</v>
      </c>
      <c r="O882" s="1" t="s">
        <v>5513</v>
      </c>
      <c r="P882" s="5">
        <f>XLOOKUP(R882, classification!C:C, classification!B:B, "Not Found")</f>
      </c>
      <c r="Q882" s="1" t="s">
        <v>5514</v>
      </c>
      <c r="R882" s="2"/>
      <c r="S882" s="2"/>
      <c r="T882" s="2"/>
      <c r="U882" s="2"/>
    </row>
    <row x14ac:dyDescent="0.25" r="883" customHeight="1" ht="17.25">
      <c r="A883" s="7">
        <v>882</v>
      </c>
      <c r="B883" s="1" t="s">
        <v>6326</v>
      </c>
      <c r="C883" s="5">
        <f>CONCATENATE("PD", TEXT(A883, "1000000"))</f>
      </c>
      <c r="D883" s="7">
        <v>58</v>
      </c>
      <c r="E883" s="5">
        <f>XLOOKUP(G883, item_category!C:C, item_category!B:B, "Not Found")</f>
      </c>
      <c r="F883" s="1" t="s">
        <v>5600</v>
      </c>
      <c r="G883" s="5">
        <f>XLOOKUP(I883, drug!B:B, drug!A:A, "Not Found")</f>
      </c>
      <c r="H883" s="1" t="s">
        <v>504</v>
      </c>
      <c r="I883" s="7">
        <v>300</v>
      </c>
      <c r="J883" s="5">
        <f>XLOOKUP(L883, uom!C:C, uom!B:B, "Not Found")</f>
      </c>
      <c r="K883" s="1" t="s">
        <v>5542</v>
      </c>
      <c r="L883" s="5">
        <f>XLOOKUP(N883, uom!C:C, uom!B:B, "Not Found")</f>
      </c>
      <c r="M883" s="1" t="s">
        <v>5542</v>
      </c>
      <c r="N883" s="8" t="s">
        <v>5524</v>
      </c>
      <c r="O883" s="1" t="s">
        <v>5525</v>
      </c>
      <c r="P883" s="5">
        <f>XLOOKUP(R883, classification!C:C, classification!B:B, "Not Found")</f>
      </c>
      <c r="Q883" s="1" t="s">
        <v>5514</v>
      </c>
      <c r="R883" s="2"/>
      <c r="S883" s="2"/>
      <c r="T883" s="2"/>
      <c r="U883" s="2"/>
    </row>
    <row x14ac:dyDescent="0.25" r="884" customHeight="1" ht="17.25">
      <c r="A884" s="7">
        <v>883</v>
      </c>
      <c r="B884" s="1" t="s">
        <v>6327</v>
      </c>
      <c r="C884" s="5">
        <f>CONCATENATE("PD", TEXT(A884, "1000000"))</f>
      </c>
      <c r="D884" s="7">
        <v>59</v>
      </c>
      <c r="E884" s="5">
        <f>XLOOKUP(G884, item_category!C:C, item_category!B:B, "Not Found")</f>
      </c>
      <c r="F884" s="1" t="s">
        <v>5527</v>
      </c>
      <c r="G884" s="5">
        <f>XLOOKUP(I884, drug!B:B, drug!A:A, "Not Found")</f>
      </c>
      <c r="H884" s="1"/>
      <c r="I884" s="7">
        <v>1</v>
      </c>
      <c r="J884" s="5">
        <f>XLOOKUP(L884, uom!C:C, uom!B:B, "Not Found")</f>
      </c>
      <c r="K884" s="1" t="s">
        <v>5511</v>
      </c>
      <c r="L884" s="5">
        <f>XLOOKUP(N884, uom!C:C, uom!B:B, "Not Found")</f>
      </c>
      <c r="M884" s="1" t="s">
        <v>5511</v>
      </c>
      <c r="N884" s="8" t="s">
        <v>5512</v>
      </c>
      <c r="O884" s="1" t="s">
        <v>5513</v>
      </c>
      <c r="P884" s="5">
        <f>XLOOKUP(R884, classification!C:C, classification!B:B, "Not Found")</f>
      </c>
      <c r="Q884" s="1" t="s">
        <v>5514</v>
      </c>
      <c r="R884" s="2"/>
      <c r="S884" s="2"/>
      <c r="T884" s="2"/>
      <c r="U884" s="2"/>
    </row>
    <row x14ac:dyDescent="0.25" r="885" customHeight="1" ht="17.25">
      <c r="A885" s="7">
        <v>884</v>
      </c>
      <c r="B885" s="1" t="s">
        <v>6328</v>
      </c>
      <c r="C885" s="5">
        <f>CONCATENATE("PD", TEXT(A885, "1000000"))</f>
      </c>
      <c r="D885" s="7">
        <v>59</v>
      </c>
      <c r="E885" s="5">
        <f>XLOOKUP(G885, item_category!C:C, item_category!B:B, "Not Found")</f>
      </c>
      <c r="F885" s="1" t="s">
        <v>5527</v>
      </c>
      <c r="G885" s="5">
        <f>XLOOKUP(I885, drug!B:B, drug!A:A, "Not Found")</f>
      </c>
      <c r="H885" s="1"/>
      <c r="I885" s="7">
        <v>1</v>
      </c>
      <c r="J885" s="5">
        <f>XLOOKUP(L885, uom!C:C, uom!B:B, "Not Found")</f>
      </c>
      <c r="K885" s="1" t="s">
        <v>5511</v>
      </c>
      <c r="L885" s="5">
        <f>XLOOKUP(N885, uom!C:C, uom!B:B, "Not Found")</f>
      </c>
      <c r="M885" s="1" t="s">
        <v>5511</v>
      </c>
      <c r="N885" s="8" t="s">
        <v>5512</v>
      </c>
      <c r="O885" s="1" t="s">
        <v>5513</v>
      </c>
      <c r="P885" s="5">
        <f>XLOOKUP(R885, classification!C:C, classification!B:B, "Not Found")</f>
      </c>
      <c r="Q885" s="1" t="s">
        <v>5514</v>
      </c>
      <c r="R885" s="2"/>
      <c r="S885" s="2"/>
      <c r="T885" s="2"/>
      <c r="U885" s="2"/>
    </row>
    <row x14ac:dyDescent="0.25" r="886" customHeight="1" ht="17.25">
      <c r="A886" s="7">
        <v>885</v>
      </c>
      <c r="B886" s="1" t="s">
        <v>6329</v>
      </c>
      <c r="C886" s="5">
        <f>CONCATENATE("PD", TEXT(A886, "1000000"))</f>
      </c>
      <c r="D886" s="7">
        <v>59</v>
      </c>
      <c r="E886" s="5">
        <f>XLOOKUP(G886, item_category!C:C, item_category!B:B, "Not Found")</f>
      </c>
      <c r="F886" s="1" t="s">
        <v>5527</v>
      </c>
      <c r="G886" s="5">
        <f>XLOOKUP(I886, drug!B:B, drug!A:A, "Not Found")</f>
      </c>
      <c r="H886" s="1" t="s">
        <v>1988</v>
      </c>
      <c r="I886" s="7">
        <v>1</v>
      </c>
      <c r="J886" s="5">
        <f>XLOOKUP(L886, uom!C:C, uom!B:B, "Not Found")</f>
      </c>
      <c r="K886" s="1" t="s">
        <v>5511</v>
      </c>
      <c r="L886" s="5">
        <f>XLOOKUP(N886, uom!C:C, uom!B:B, "Not Found")</f>
      </c>
      <c r="M886" s="1" t="s">
        <v>5511</v>
      </c>
      <c r="N886" s="8" t="s">
        <v>5512</v>
      </c>
      <c r="O886" s="1" t="s">
        <v>5513</v>
      </c>
      <c r="P886" s="5">
        <f>XLOOKUP(R886, classification!C:C, classification!B:B, "Not Found")</f>
      </c>
      <c r="Q886" s="1" t="s">
        <v>5514</v>
      </c>
      <c r="R886" s="2"/>
      <c r="S886" s="2"/>
      <c r="T886" s="2"/>
      <c r="U886" s="2"/>
    </row>
    <row x14ac:dyDescent="0.25" r="887" customHeight="1" ht="17.25">
      <c r="A887" s="7">
        <v>886</v>
      </c>
      <c r="B887" s="1" t="s">
        <v>6330</v>
      </c>
      <c r="C887" s="5">
        <f>CONCATENATE("PD", TEXT(A887, "1000000"))</f>
      </c>
      <c r="D887" s="7">
        <v>59</v>
      </c>
      <c r="E887" s="5">
        <f>XLOOKUP(G887, item_category!C:C, item_category!B:B, "Not Found")</f>
      </c>
      <c r="F887" s="1" t="s">
        <v>5527</v>
      </c>
      <c r="G887" s="5">
        <f>XLOOKUP(I887, drug!B:B, drug!A:A, "Not Found")</f>
      </c>
      <c r="H887" s="1"/>
      <c r="I887" s="7">
        <v>1</v>
      </c>
      <c r="J887" s="5">
        <f>XLOOKUP(L887, uom!C:C, uom!B:B, "Not Found")</f>
      </c>
      <c r="K887" s="1" t="s">
        <v>5511</v>
      </c>
      <c r="L887" s="5">
        <f>XLOOKUP(N887, uom!C:C, uom!B:B, "Not Found")</f>
      </c>
      <c r="M887" s="1" t="s">
        <v>5511</v>
      </c>
      <c r="N887" s="8" t="s">
        <v>5512</v>
      </c>
      <c r="O887" s="1" t="s">
        <v>5513</v>
      </c>
      <c r="P887" s="5">
        <f>XLOOKUP(R887, classification!C:C, classification!B:B, "Not Found")</f>
      </c>
      <c r="Q887" s="1" t="s">
        <v>5514</v>
      </c>
      <c r="R887" s="2"/>
      <c r="S887" s="2"/>
      <c r="T887" s="2"/>
      <c r="U887" s="2"/>
    </row>
    <row x14ac:dyDescent="0.25" r="888" customHeight="1" ht="17.25">
      <c r="A888" s="7">
        <v>887</v>
      </c>
      <c r="B888" s="1" t="s">
        <v>6331</v>
      </c>
      <c r="C888" s="5">
        <f>CONCATENATE("PD", TEXT(A888, "1000000"))</f>
      </c>
      <c r="D888" s="7">
        <v>59</v>
      </c>
      <c r="E888" s="5">
        <f>XLOOKUP(G888, item_category!C:C, item_category!B:B, "Not Found")</f>
      </c>
      <c r="F888" s="1" t="s">
        <v>5527</v>
      </c>
      <c r="G888" s="5">
        <f>XLOOKUP(I888, drug!B:B, drug!A:A, "Not Found")</f>
      </c>
      <c r="H888" s="1" t="s">
        <v>1942</v>
      </c>
      <c r="I888" s="7">
        <v>1</v>
      </c>
      <c r="J888" s="5">
        <f>XLOOKUP(L888, uom!C:C, uom!B:B, "Not Found")</f>
      </c>
      <c r="K888" s="1" t="s">
        <v>5511</v>
      </c>
      <c r="L888" s="5">
        <f>XLOOKUP(N888, uom!C:C, uom!B:B, "Not Found")</f>
      </c>
      <c r="M888" s="1" t="s">
        <v>5511</v>
      </c>
      <c r="N888" s="8" t="s">
        <v>5512</v>
      </c>
      <c r="O888" s="1" t="s">
        <v>5513</v>
      </c>
      <c r="P888" s="5">
        <f>XLOOKUP(R888, classification!C:C, classification!B:B, "Not Found")</f>
      </c>
      <c r="Q888" s="1" t="s">
        <v>5514</v>
      </c>
      <c r="R888" s="2"/>
      <c r="S888" s="2"/>
      <c r="T888" s="2"/>
      <c r="U888" s="2"/>
    </row>
    <row x14ac:dyDescent="0.25" r="889" customHeight="1" ht="17.25">
      <c r="A889" s="7">
        <v>888</v>
      </c>
      <c r="B889" s="1" t="s">
        <v>6332</v>
      </c>
      <c r="C889" s="5">
        <f>CONCATENATE("PD", TEXT(A889, "1000000"))</f>
      </c>
      <c r="D889" s="7">
        <v>59</v>
      </c>
      <c r="E889" s="5">
        <f>XLOOKUP(G889, item_category!C:C, item_category!B:B, "Not Found")</f>
      </c>
      <c r="F889" s="1" t="s">
        <v>5527</v>
      </c>
      <c r="G889" s="5">
        <f>XLOOKUP(I889, drug!B:B, drug!A:A, "Not Found")</f>
      </c>
      <c r="H889" s="1" t="s">
        <v>1316</v>
      </c>
      <c r="I889" s="7">
        <v>1</v>
      </c>
      <c r="J889" s="5">
        <f>XLOOKUP(L889, uom!C:C, uom!B:B, "Not Found")</f>
      </c>
      <c r="K889" s="1" t="s">
        <v>5511</v>
      </c>
      <c r="L889" s="5">
        <f>XLOOKUP(N889, uom!C:C, uom!B:B, "Not Found")</f>
      </c>
      <c r="M889" s="1" t="s">
        <v>5511</v>
      </c>
      <c r="N889" s="8" t="s">
        <v>5512</v>
      </c>
      <c r="O889" s="1" t="s">
        <v>5513</v>
      </c>
      <c r="P889" s="5">
        <f>XLOOKUP(R889, classification!C:C, classification!B:B, "Not Found")</f>
      </c>
      <c r="Q889" s="1" t="s">
        <v>5514</v>
      </c>
      <c r="R889" s="2"/>
      <c r="S889" s="2"/>
      <c r="T889" s="2"/>
      <c r="U889" s="2"/>
    </row>
    <row x14ac:dyDescent="0.25" r="890" customHeight="1" ht="17.25">
      <c r="A890" s="7">
        <v>889</v>
      </c>
      <c r="B890" s="1" t="s">
        <v>6333</v>
      </c>
      <c r="C890" s="5">
        <f>CONCATENATE("PD", TEXT(A890, "1000000"))</f>
      </c>
      <c r="D890" s="7">
        <v>59</v>
      </c>
      <c r="E890" s="5">
        <f>XLOOKUP(G890, item_category!C:C, item_category!B:B, "Not Found")</f>
      </c>
      <c r="F890" s="1" t="s">
        <v>5527</v>
      </c>
      <c r="G890" s="5">
        <f>XLOOKUP(I890, drug!B:B, drug!A:A, "Not Found")</f>
      </c>
      <c r="H890" s="1" t="s">
        <v>1942</v>
      </c>
      <c r="I890" s="7">
        <v>1</v>
      </c>
      <c r="J890" s="5">
        <f>XLOOKUP(L890, uom!C:C, uom!B:B, "Not Found")</f>
      </c>
      <c r="K890" s="1" t="s">
        <v>5511</v>
      </c>
      <c r="L890" s="5">
        <f>XLOOKUP(N890, uom!C:C, uom!B:B, "Not Found")</f>
      </c>
      <c r="M890" s="1" t="s">
        <v>5511</v>
      </c>
      <c r="N890" s="8" t="s">
        <v>5512</v>
      </c>
      <c r="O890" s="1" t="s">
        <v>5513</v>
      </c>
      <c r="P890" s="5">
        <f>XLOOKUP(R890, classification!C:C, classification!B:B, "Not Found")</f>
      </c>
      <c r="Q890" s="1" t="s">
        <v>5514</v>
      </c>
      <c r="R890" s="2"/>
      <c r="S890" s="2"/>
      <c r="T890" s="2"/>
      <c r="U890" s="2"/>
    </row>
    <row x14ac:dyDescent="0.25" r="891" customHeight="1" ht="17.25">
      <c r="A891" s="7">
        <v>890</v>
      </c>
      <c r="B891" s="1" t="s">
        <v>6334</v>
      </c>
      <c r="C891" s="5">
        <f>CONCATENATE("PD", TEXT(A891, "1000000"))</f>
      </c>
      <c r="D891" s="7">
        <v>59</v>
      </c>
      <c r="E891" s="5">
        <f>XLOOKUP(G891, item_category!C:C, item_category!B:B, "Not Found")</f>
      </c>
      <c r="F891" s="1" t="s">
        <v>5527</v>
      </c>
      <c r="G891" s="5">
        <f>XLOOKUP(I891, drug!B:B, drug!A:A, "Not Found")</f>
      </c>
      <c r="H891" s="1" t="s">
        <v>245</v>
      </c>
      <c r="I891" s="7">
        <v>1</v>
      </c>
      <c r="J891" s="5">
        <f>XLOOKUP(L891, uom!C:C, uom!B:B, "Not Found")</f>
      </c>
      <c r="K891" s="1" t="s">
        <v>5511</v>
      </c>
      <c r="L891" s="5">
        <f>XLOOKUP(N891, uom!C:C, uom!B:B, "Not Found")</f>
      </c>
      <c r="M891" s="1" t="s">
        <v>5511</v>
      </c>
      <c r="N891" s="8" t="s">
        <v>5512</v>
      </c>
      <c r="O891" s="1" t="s">
        <v>5513</v>
      </c>
      <c r="P891" s="5">
        <f>XLOOKUP(R891, classification!C:C, classification!B:B, "Not Found")</f>
      </c>
      <c r="Q891" s="1" t="s">
        <v>5514</v>
      </c>
      <c r="R891" s="2"/>
      <c r="S891" s="2"/>
      <c r="T891" s="2"/>
      <c r="U891" s="2"/>
    </row>
    <row x14ac:dyDescent="0.25" r="892" customHeight="1" ht="17.25">
      <c r="A892" s="7">
        <v>891</v>
      </c>
      <c r="B892" s="1" t="s">
        <v>6335</v>
      </c>
      <c r="C892" s="5">
        <f>CONCATENATE("PD", TEXT(A892, "1000000"))</f>
      </c>
      <c r="D892" s="7">
        <v>59</v>
      </c>
      <c r="E892" s="5">
        <f>XLOOKUP(G892, item_category!C:C, item_category!B:B, "Not Found")</f>
      </c>
      <c r="F892" s="1" t="s">
        <v>5527</v>
      </c>
      <c r="G892" s="5">
        <f>XLOOKUP(I892, drug!B:B, drug!A:A, "Not Found")</f>
      </c>
      <c r="H892" s="1"/>
      <c r="I892" s="7">
        <v>1</v>
      </c>
      <c r="J892" s="5">
        <f>XLOOKUP(L892, uom!C:C, uom!B:B, "Not Found")</f>
      </c>
      <c r="K892" s="1" t="s">
        <v>5511</v>
      </c>
      <c r="L892" s="5">
        <f>XLOOKUP(N892, uom!C:C, uom!B:B, "Not Found")</f>
      </c>
      <c r="M892" s="1" t="s">
        <v>5511</v>
      </c>
      <c r="N892" s="8" t="s">
        <v>5512</v>
      </c>
      <c r="O892" s="1" t="s">
        <v>5513</v>
      </c>
      <c r="P892" s="5">
        <f>XLOOKUP(R892, classification!C:C, classification!B:B, "Not Found")</f>
      </c>
      <c r="Q892" s="1" t="s">
        <v>5514</v>
      </c>
      <c r="R892" s="2"/>
      <c r="S892" s="2"/>
      <c r="T892" s="2"/>
      <c r="U892" s="2"/>
    </row>
    <row x14ac:dyDescent="0.25" r="893" customHeight="1" ht="17.25">
      <c r="A893" s="7">
        <v>892</v>
      </c>
      <c r="B893" s="1" t="s">
        <v>6336</v>
      </c>
      <c r="C893" s="5">
        <f>CONCATENATE("PD", TEXT(A893, "1000000"))</f>
      </c>
      <c r="D893" s="7">
        <v>59</v>
      </c>
      <c r="E893" s="5">
        <f>XLOOKUP(G893, item_category!C:C, item_category!B:B, "Not Found")</f>
      </c>
      <c r="F893" s="1" t="s">
        <v>5527</v>
      </c>
      <c r="G893" s="5">
        <f>XLOOKUP(I893, drug!B:B, drug!A:A, "Not Found")</f>
      </c>
      <c r="H893" s="1"/>
      <c r="I893" s="7">
        <v>1</v>
      </c>
      <c r="J893" s="5">
        <f>XLOOKUP(L893, uom!C:C, uom!B:B, "Not Found")</f>
      </c>
      <c r="K893" s="1" t="s">
        <v>5511</v>
      </c>
      <c r="L893" s="5">
        <f>XLOOKUP(N893, uom!C:C, uom!B:B, "Not Found")</f>
      </c>
      <c r="M893" s="1" t="s">
        <v>5511</v>
      </c>
      <c r="N893" s="8" t="s">
        <v>5512</v>
      </c>
      <c r="O893" s="1" t="s">
        <v>5513</v>
      </c>
      <c r="P893" s="5">
        <f>XLOOKUP(R893, classification!C:C, classification!B:B, "Not Found")</f>
      </c>
      <c r="Q893" s="1" t="s">
        <v>5514</v>
      </c>
      <c r="R893" s="2"/>
      <c r="S893" s="2"/>
      <c r="T893" s="2"/>
      <c r="U893" s="2"/>
    </row>
    <row x14ac:dyDescent="0.25" r="894" customHeight="1" ht="17.25">
      <c r="A894" s="7">
        <v>893</v>
      </c>
      <c r="B894" s="1" t="s">
        <v>6337</v>
      </c>
      <c r="C894" s="5">
        <f>CONCATENATE("PD", TEXT(A894, "1000000"))</f>
      </c>
      <c r="D894" s="7">
        <v>59</v>
      </c>
      <c r="E894" s="5">
        <f>XLOOKUP(G894, item_category!C:C, item_category!B:B, "Not Found")</f>
      </c>
      <c r="F894" s="1" t="s">
        <v>5527</v>
      </c>
      <c r="G894" s="5">
        <f>XLOOKUP(I894, drug!B:B, drug!A:A, "Not Found")</f>
      </c>
      <c r="H894" s="1"/>
      <c r="I894" s="7">
        <v>1</v>
      </c>
      <c r="J894" s="5">
        <f>XLOOKUP(L894, uom!C:C, uom!B:B, "Not Found")</f>
      </c>
      <c r="K894" s="1" t="s">
        <v>5511</v>
      </c>
      <c r="L894" s="5">
        <f>XLOOKUP(N894, uom!C:C, uom!B:B, "Not Found")</f>
      </c>
      <c r="M894" s="1" t="s">
        <v>5511</v>
      </c>
      <c r="N894" s="8" t="s">
        <v>5512</v>
      </c>
      <c r="O894" s="1" t="s">
        <v>5513</v>
      </c>
      <c r="P894" s="5">
        <f>XLOOKUP(R894, classification!C:C, classification!B:B, "Not Found")</f>
      </c>
      <c r="Q894" s="1" t="s">
        <v>5514</v>
      </c>
      <c r="R894" s="2"/>
      <c r="S894" s="2"/>
      <c r="T894" s="2"/>
      <c r="U894" s="2"/>
    </row>
    <row x14ac:dyDescent="0.25" r="895" customHeight="1" ht="17.25">
      <c r="A895" s="7">
        <v>894</v>
      </c>
      <c r="B895" s="1" t="s">
        <v>2410</v>
      </c>
      <c r="C895" s="5">
        <f>CONCATENATE("PD", TEXT(A895, "1000000"))</f>
      </c>
      <c r="D895" s="7">
        <v>59</v>
      </c>
      <c r="E895" s="5">
        <f>XLOOKUP(G895, item_category!C:C, item_category!B:B, "Not Found")</f>
      </c>
      <c r="F895" s="1" t="s">
        <v>5527</v>
      </c>
      <c r="G895" s="5">
        <f>XLOOKUP(I895, drug!B:B, drug!A:A, "Not Found")</f>
      </c>
      <c r="H895" s="1"/>
      <c r="I895" s="7">
        <v>1</v>
      </c>
      <c r="J895" s="5">
        <f>XLOOKUP(L895, uom!C:C, uom!B:B, "Not Found")</f>
      </c>
      <c r="K895" s="1" t="s">
        <v>5511</v>
      </c>
      <c r="L895" s="5">
        <f>XLOOKUP(N895, uom!C:C, uom!B:B, "Not Found")</f>
      </c>
      <c r="M895" s="1" t="s">
        <v>5511</v>
      </c>
      <c r="N895" s="8" t="s">
        <v>5512</v>
      </c>
      <c r="O895" s="1" t="s">
        <v>5513</v>
      </c>
      <c r="P895" s="5">
        <f>XLOOKUP(R895, classification!C:C, classification!B:B, "Not Found")</f>
      </c>
      <c r="Q895" s="1" t="s">
        <v>5514</v>
      </c>
      <c r="R895" s="2"/>
      <c r="S895" s="2"/>
      <c r="T895" s="2"/>
      <c r="U895" s="2"/>
    </row>
    <row x14ac:dyDescent="0.25" r="896" customHeight="1" ht="17.25">
      <c r="A896" s="7">
        <v>895</v>
      </c>
      <c r="B896" s="1" t="s">
        <v>6338</v>
      </c>
      <c r="C896" s="5">
        <f>CONCATENATE("PD", TEXT(A896, "1000000"))</f>
      </c>
      <c r="D896" s="7">
        <v>59</v>
      </c>
      <c r="E896" s="5">
        <f>XLOOKUP(G896, item_category!C:C, item_category!B:B, "Not Found")</f>
      </c>
      <c r="F896" s="1" t="s">
        <v>5527</v>
      </c>
      <c r="G896" s="5">
        <f>XLOOKUP(I896, drug!B:B, drug!A:A, "Not Found")</f>
      </c>
      <c r="H896" s="1"/>
      <c r="I896" s="7">
        <v>1</v>
      </c>
      <c r="J896" s="5">
        <f>XLOOKUP(L896, uom!C:C, uom!B:B, "Not Found")</f>
      </c>
      <c r="K896" s="1" t="s">
        <v>5511</v>
      </c>
      <c r="L896" s="5">
        <f>XLOOKUP(N896, uom!C:C, uom!B:B, "Not Found")</f>
      </c>
      <c r="M896" s="1" t="s">
        <v>5511</v>
      </c>
      <c r="N896" s="8" t="s">
        <v>5512</v>
      </c>
      <c r="O896" s="1" t="s">
        <v>5513</v>
      </c>
      <c r="P896" s="5">
        <f>XLOOKUP(R896, classification!C:C, classification!B:B, "Not Found")</f>
      </c>
      <c r="Q896" s="1" t="s">
        <v>5514</v>
      </c>
      <c r="R896" s="2"/>
      <c r="S896" s="2"/>
      <c r="T896" s="2"/>
      <c r="U896" s="2"/>
    </row>
    <row x14ac:dyDescent="0.25" r="897" customHeight="1" ht="17.25">
      <c r="A897" s="7">
        <v>896</v>
      </c>
      <c r="B897" s="1" t="s">
        <v>6339</v>
      </c>
      <c r="C897" s="5">
        <f>CONCATENATE("PD", TEXT(A897, "1000000"))</f>
      </c>
      <c r="D897" s="7">
        <v>59</v>
      </c>
      <c r="E897" s="5">
        <f>XLOOKUP(G897, item_category!C:C, item_category!B:B, "Not Found")</f>
      </c>
      <c r="F897" s="1" t="s">
        <v>5527</v>
      </c>
      <c r="G897" s="5">
        <f>XLOOKUP(I897, drug!B:B, drug!A:A, "Not Found")</f>
      </c>
      <c r="H897" s="1" t="s">
        <v>373</v>
      </c>
      <c r="I897" s="7">
        <v>1</v>
      </c>
      <c r="J897" s="5">
        <f>XLOOKUP(L897, uom!C:C, uom!B:B, "Not Found")</f>
      </c>
      <c r="K897" s="1" t="s">
        <v>5511</v>
      </c>
      <c r="L897" s="5">
        <f>XLOOKUP(N897, uom!C:C, uom!B:B, "Not Found")</f>
      </c>
      <c r="M897" s="1" t="s">
        <v>5511</v>
      </c>
      <c r="N897" s="8" t="s">
        <v>5512</v>
      </c>
      <c r="O897" s="1" t="s">
        <v>5513</v>
      </c>
      <c r="P897" s="5">
        <f>XLOOKUP(R897, classification!C:C, classification!B:B, "Not Found")</f>
      </c>
      <c r="Q897" s="1" t="s">
        <v>5514</v>
      </c>
      <c r="R897" s="2"/>
      <c r="S897" s="2"/>
      <c r="T897" s="2"/>
      <c r="U897" s="2"/>
    </row>
    <row x14ac:dyDescent="0.25" r="898" customHeight="1" ht="17.25">
      <c r="A898" s="7">
        <v>897</v>
      </c>
      <c r="B898" s="1" t="s">
        <v>6340</v>
      </c>
      <c r="C898" s="5">
        <f>CONCATENATE("PD", TEXT(A898, "1000000"))</f>
      </c>
      <c r="D898" s="7">
        <v>59</v>
      </c>
      <c r="E898" s="5">
        <f>XLOOKUP(G898, item_category!C:C, item_category!B:B, "Not Found")</f>
      </c>
      <c r="F898" s="1" t="s">
        <v>5527</v>
      </c>
      <c r="G898" s="5">
        <f>XLOOKUP(I898, drug!B:B, drug!A:A, "Not Found")</f>
      </c>
      <c r="H898" s="1"/>
      <c r="I898" s="7">
        <v>1</v>
      </c>
      <c r="J898" s="5">
        <f>XLOOKUP(L898, uom!C:C, uom!B:B, "Not Found")</f>
      </c>
      <c r="K898" s="1" t="s">
        <v>5511</v>
      </c>
      <c r="L898" s="5">
        <f>XLOOKUP(N898, uom!C:C, uom!B:B, "Not Found")</f>
      </c>
      <c r="M898" s="1" t="s">
        <v>5511</v>
      </c>
      <c r="N898" s="8" t="s">
        <v>5512</v>
      </c>
      <c r="O898" s="1" t="s">
        <v>5513</v>
      </c>
      <c r="P898" s="5">
        <f>XLOOKUP(R898, classification!C:C, classification!B:B, "Not Found")</f>
      </c>
      <c r="Q898" s="1" t="s">
        <v>5514</v>
      </c>
      <c r="R898" s="2"/>
      <c r="S898" s="2"/>
      <c r="T898" s="2"/>
      <c r="U898" s="2"/>
    </row>
    <row x14ac:dyDescent="0.25" r="899" customHeight="1" ht="17.25">
      <c r="A899" s="7">
        <v>898</v>
      </c>
      <c r="B899" s="1" t="s">
        <v>6341</v>
      </c>
      <c r="C899" s="5">
        <f>CONCATENATE("PD", TEXT(A899, "1000000"))</f>
      </c>
      <c r="D899" s="7">
        <v>59</v>
      </c>
      <c r="E899" s="5">
        <f>XLOOKUP(G899, item_category!C:C, item_category!B:B, "Not Found")</f>
      </c>
      <c r="F899" s="1" t="s">
        <v>5527</v>
      </c>
      <c r="G899" s="5">
        <f>XLOOKUP(I899, drug!B:B, drug!A:A, "Not Found")</f>
      </c>
      <c r="H899" s="1"/>
      <c r="I899" s="7">
        <v>1</v>
      </c>
      <c r="J899" s="5">
        <f>XLOOKUP(L899, uom!C:C, uom!B:B, "Not Found")</f>
      </c>
      <c r="K899" s="1" t="s">
        <v>5511</v>
      </c>
      <c r="L899" s="5">
        <f>XLOOKUP(N899, uom!C:C, uom!B:B, "Not Found")</f>
      </c>
      <c r="M899" s="1" t="s">
        <v>5511</v>
      </c>
      <c r="N899" s="8" t="s">
        <v>5512</v>
      </c>
      <c r="O899" s="1" t="s">
        <v>5513</v>
      </c>
      <c r="P899" s="5">
        <f>XLOOKUP(R899, classification!C:C, classification!B:B, "Not Found")</f>
      </c>
      <c r="Q899" s="1" t="s">
        <v>5514</v>
      </c>
      <c r="R899" s="2"/>
      <c r="S899" s="2"/>
      <c r="T899" s="2"/>
      <c r="U899" s="2"/>
    </row>
    <row x14ac:dyDescent="0.25" r="900" customHeight="1" ht="17.25">
      <c r="A900" s="7">
        <v>899</v>
      </c>
      <c r="B900" s="1" t="s">
        <v>6342</v>
      </c>
      <c r="C900" s="5">
        <f>CONCATENATE("PD", TEXT(A900, "1000000"))</f>
      </c>
      <c r="D900" s="7">
        <v>59</v>
      </c>
      <c r="E900" s="5">
        <f>XLOOKUP(G900, item_category!C:C, item_category!B:B, "Not Found")</f>
      </c>
      <c r="F900" s="1" t="s">
        <v>5527</v>
      </c>
      <c r="G900" s="5">
        <f>XLOOKUP(I900, drug!B:B, drug!A:A, "Not Found")</f>
      </c>
      <c r="H900" s="1" t="s">
        <v>504</v>
      </c>
      <c r="I900" s="7">
        <v>1</v>
      </c>
      <c r="J900" s="5">
        <f>XLOOKUP(L900, uom!C:C, uom!B:B, "Not Found")</f>
      </c>
      <c r="K900" s="1" t="s">
        <v>5511</v>
      </c>
      <c r="L900" s="5">
        <f>XLOOKUP(N900, uom!C:C, uom!B:B, "Not Found")</f>
      </c>
      <c r="M900" s="1" t="s">
        <v>5511</v>
      </c>
      <c r="N900" s="8" t="s">
        <v>5512</v>
      </c>
      <c r="O900" s="1" t="s">
        <v>5513</v>
      </c>
      <c r="P900" s="5">
        <f>XLOOKUP(R900, classification!C:C, classification!B:B, "Not Found")</f>
      </c>
      <c r="Q900" s="1" t="s">
        <v>5514</v>
      </c>
      <c r="R900" s="2"/>
      <c r="S900" s="2"/>
      <c r="T900" s="2"/>
      <c r="U900" s="2"/>
    </row>
    <row x14ac:dyDescent="0.25" r="901" customHeight="1" ht="17.25">
      <c r="A901" s="7">
        <v>900</v>
      </c>
      <c r="B901" s="1" t="s">
        <v>2416</v>
      </c>
      <c r="C901" s="5">
        <f>CONCATENATE("PD", TEXT(A901, "1000000"))</f>
      </c>
      <c r="D901" s="7">
        <v>59</v>
      </c>
      <c r="E901" s="5">
        <f>XLOOKUP(G901, item_category!C:C, item_category!B:B, "Not Found")</f>
      </c>
      <c r="F901" s="1" t="s">
        <v>5527</v>
      </c>
      <c r="G901" s="5">
        <f>XLOOKUP(I901, drug!B:B, drug!A:A, "Not Found")</f>
      </c>
      <c r="H901" s="1"/>
      <c r="I901" s="7">
        <v>1</v>
      </c>
      <c r="J901" s="5">
        <f>XLOOKUP(L901, uom!C:C, uom!B:B, "Not Found")</f>
      </c>
      <c r="K901" s="1" t="s">
        <v>5511</v>
      </c>
      <c r="L901" s="5">
        <f>XLOOKUP(N901, uom!C:C, uom!B:B, "Not Found")</f>
      </c>
      <c r="M901" s="1" t="s">
        <v>5511</v>
      </c>
      <c r="N901" s="8" t="s">
        <v>5512</v>
      </c>
      <c r="O901" s="1" t="s">
        <v>5513</v>
      </c>
      <c r="P901" s="5">
        <f>XLOOKUP(R901, classification!C:C, classification!B:B, "Not Found")</f>
      </c>
      <c r="Q901" s="1" t="s">
        <v>5514</v>
      </c>
      <c r="R901" s="2"/>
      <c r="S901" s="2"/>
      <c r="T901" s="2"/>
      <c r="U901" s="2"/>
    </row>
    <row x14ac:dyDescent="0.25" r="902" customHeight="1" ht="17.25">
      <c r="A902" s="7">
        <v>901</v>
      </c>
      <c r="B902" s="1" t="s">
        <v>6343</v>
      </c>
      <c r="C902" s="5">
        <f>CONCATENATE("PD", TEXT(A902, "1000000"))</f>
      </c>
      <c r="D902" s="7">
        <v>59</v>
      </c>
      <c r="E902" s="5">
        <f>XLOOKUP(G902, item_category!C:C, item_category!B:B, "Not Found")</f>
      </c>
      <c r="F902" s="1" t="s">
        <v>5527</v>
      </c>
      <c r="G902" s="5">
        <f>XLOOKUP(I902, drug!B:B, drug!A:A, "Not Found")</f>
      </c>
      <c r="H902" s="1" t="s">
        <v>542</v>
      </c>
      <c r="I902" s="7">
        <v>1</v>
      </c>
      <c r="J902" s="5">
        <f>XLOOKUP(L902, uom!C:C, uom!B:B, "Not Found")</f>
      </c>
      <c r="K902" s="1" t="s">
        <v>5511</v>
      </c>
      <c r="L902" s="5">
        <f>XLOOKUP(N902, uom!C:C, uom!B:B, "Not Found")</f>
      </c>
      <c r="M902" s="1" t="s">
        <v>5511</v>
      </c>
      <c r="N902" s="8" t="s">
        <v>5512</v>
      </c>
      <c r="O902" s="1" t="s">
        <v>5513</v>
      </c>
      <c r="P902" s="5">
        <f>XLOOKUP(R902, classification!C:C, classification!B:B, "Not Found")</f>
      </c>
      <c r="Q902" s="1" t="s">
        <v>5514</v>
      </c>
      <c r="R902" s="2"/>
      <c r="S902" s="2"/>
      <c r="T902" s="2"/>
      <c r="U902" s="2"/>
    </row>
    <row x14ac:dyDescent="0.25" r="903" customHeight="1" ht="17.25">
      <c r="A903" s="7">
        <v>902</v>
      </c>
      <c r="B903" s="1" t="s">
        <v>6344</v>
      </c>
      <c r="C903" s="5">
        <f>CONCATENATE("PD", TEXT(A903, "1000000"))</f>
      </c>
      <c r="D903" s="7">
        <v>59</v>
      </c>
      <c r="E903" s="5">
        <f>XLOOKUP(G903, item_category!C:C, item_category!B:B, "Not Found")</f>
      </c>
      <c r="F903" s="1" t="s">
        <v>5527</v>
      </c>
      <c r="G903" s="5">
        <f>XLOOKUP(I903, drug!B:B, drug!A:A, "Not Found")</f>
      </c>
      <c r="H903" s="1" t="s">
        <v>542</v>
      </c>
      <c r="I903" s="7">
        <v>1</v>
      </c>
      <c r="J903" s="5">
        <f>XLOOKUP(L903, uom!C:C, uom!B:B, "Not Found")</f>
      </c>
      <c r="K903" s="1" t="s">
        <v>5511</v>
      </c>
      <c r="L903" s="5">
        <f>XLOOKUP(N903, uom!C:C, uom!B:B, "Not Found")</f>
      </c>
      <c r="M903" s="1" t="s">
        <v>5511</v>
      </c>
      <c r="N903" s="8" t="s">
        <v>5512</v>
      </c>
      <c r="O903" s="1" t="s">
        <v>5513</v>
      </c>
      <c r="P903" s="5">
        <f>XLOOKUP(R903, classification!C:C, classification!B:B, "Not Found")</f>
      </c>
      <c r="Q903" s="1" t="s">
        <v>5514</v>
      </c>
      <c r="R903" s="2"/>
      <c r="S903" s="2"/>
      <c r="T903" s="2"/>
      <c r="U903" s="2"/>
    </row>
    <row x14ac:dyDescent="0.25" r="904" customHeight="1" ht="17.25">
      <c r="A904" s="7">
        <v>903</v>
      </c>
      <c r="B904" s="1" t="s">
        <v>6345</v>
      </c>
      <c r="C904" s="5">
        <f>CONCATENATE("PD", TEXT(A904, "1000000"))</f>
      </c>
      <c r="D904" s="7">
        <v>59</v>
      </c>
      <c r="E904" s="5">
        <f>XLOOKUP(G904, item_category!C:C, item_category!B:B, "Not Found")</f>
      </c>
      <c r="F904" s="1" t="s">
        <v>5527</v>
      </c>
      <c r="G904" s="5">
        <f>XLOOKUP(I904, drug!B:B, drug!A:A, "Not Found")</f>
      </c>
      <c r="H904" s="1" t="s">
        <v>542</v>
      </c>
      <c r="I904" s="7">
        <v>1</v>
      </c>
      <c r="J904" s="5">
        <f>XLOOKUP(L904, uom!C:C, uom!B:B, "Not Found")</f>
      </c>
      <c r="K904" s="1" t="s">
        <v>5511</v>
      </c>
      <c r="L904" s="5">
        <f>XLOOKUP(N904, uom!C:C, uom!B:B, "Not Found")</f>
      </c>
      <c r="M904" s="1" t="s">
        <v>5511</v>
      </c>
      <c r="N904" s="8" t="s">
        <v>5512</v>
      </c>
      <c r="O904" s="1" t="s">
        <v>5513</v>
      </c>
      <c r="P904" s="5">
        <f>XLOOKUP(R904, classification!C:C, classification!B:B, "Not Found")</f>
      </c>
      <c r="Q904" s="1" t="s">
        <v>5514</v>
      </c>
      <c r="R904" s="2"/>
      <c r="S904" s="2"/>
      <c r="T904" s="2"/>
      <c r="U904" s="2"/>
    </row>
    <row x14ac:dyDescent="0.25" r="905" customHeight="1" ht="17.25">
      <c r="A905" s="7">
        <v>904</v>
      </c>
      <c r="B905" s="1" t="s">
        <v>6346</v>
      </c>
      <c r="C905" s="5">
        <f>CONCATENATE("PD", TEXT(A905, "1000000"))</f>
      </c>
      <c r="D905" s="7">
        <v>59</v>
      </c>
      <c r="E905" s="5">
        <f>XLOOKUP(G905, item_category!C:C, item_category!B:B, "Not Found")</f>
      </c>
      <c r="F905" s="1" t="s">
        <v>5527</v>
      </c>
      <c r="G905" s="5">
        <f>XLOOKUP(I905, drug!B:B, drug!A:A, "Not Found")</f>
      </c>
      <c r="H905" s="1"/>
      <c r="I905" s="7">
        <v>1</v>
      </c>
      <c r="J905" s="5">
        <f>XLOOKUP(L905, uom!C:C, uom!B:B, "Not Found")</f>
      </c>
      <c r="K905" s="1" t="s">
        <v>5511</v>
      </c>
      <c r="L905" s="5">
        <f>XLOOKUP(N905, uom!C:C, uom!B:B, "Not Found")</f>
      </c>
      <c r="M905" s="1" t="s">
        <v>5511</v>
      </c>
      <c r="N905" s="8" t="s">
        <v>5512</v>
      </c>
      <c r="O905" s="1" t="s">
        <v>5513</v>
      </c>
      <c r="P905" s="5">
        <f>XLOOKUP(R905, classification!C:C, classification!B:B, "Not Found")</f>
      </c>
      <c r="Q905" s="1" t="s">
        <v>5514</v>
      </c>
      <c r="R905" s="2"/>
      <c r="S905" s="2"/>
      <c r="T905" s="2"/>
      <c r="U905" s="2"/>
    </row>
    <row x14ac:dyDescent="0.25" r="906" customHeight="1" ht="17.25">
      <c r="A906" s="7">
        <v>905</v>
      </c>
      <c r="B906" s="1" t="s">
        <v>6347</v>
      </c>
      <c r="C906" s="5">
        <f>CONCATENATE("PD", TEXT(A906, "1000000"))</f>
      </c>
      <c r="D906" s="7">
        <v>59</v>
      </c>
      <c r="E906" s="5">
        <f>XLOOKUP(G906, item_category!C:C, item_category!B:B, "Not Found")</f>
      </c>
      <c r="F906" s="1" t="s">
        <v>5527</v>
      </c>
      <c r="G906" s="5">
        <f>XLOOKUP(I906, drug!B:B, drug!A:A, "Not Found")</f>
      </c>
      <c r="H906" s="1"/>
      <c r="I906" s="7">
        <v>1</v>
      </c>
      <c r="J906" s="5">
        <f>XLOOKUP(L906, uom!C:C, uom!B:B, "Not Found")</f>
      </c>
      <c r="K906" s="1" t="s">
        <v>5511</v>
      </c>
      <c r="L906" s="5">
        <f>XLOOKUP(N906, uom!C:C, uom!B:B, "Not Found")</f>
      </c>
      <c r="M906" s="1" t="s">
        <v>5511</v>
      </c>
      <c r="N906" s="8" t="s">
        <v>5512</v>
      </c>
      <c r="O906" s="1" t="s">
        <v>5513</v>
      </c>
      <c r="P906" s="5">
        <f>XLOOKUP(R906, classification!C:C, classification!B:B, "Not Found")</f>
      </c>
      <c r="Q906" s="1" t="s">
        <v>5514</v>
      </c>
      <c r="R906" s="2"/>
      <c r="S906" s="2"/>
      <c r="T906" s="2"/>
      <c r="U906" s="2"/>
    </row>
    <row x14ac:dyDescent="0.25" r="907" customHeight="1" ht="17.25">
      <c r="A907" s="7">
        <v>906</v>
      </c>
      <c r="B907" s="1" t="s">
        <v>6348</v>
      </c>
      <c r="C907" s="5">
        <f>CONCATENATE("PD", TEXT(A907, "1000000"))</f>
      </c>
      <c r="D907" s="7">
        <v>59</v>
      </c>
      <c r="E907" s="5">
        <f>XLOOKUP(G907, item_category!C:C, item_category!B:B, "Not Found")</f>
      </c>
      <c r="F907" s="1" t="s">
        <v>5527</v>
      </c>
      <c r="G907" s="5">
        <f>XLOOKUP(I907, drug!B:B, drug!A:A, "Not Found")</f>
      </c>
      <c r="H907" s="1"/>
      <c r="I907" s="7">
        <v>1</v>
      </c>
      <c r="J907" s="5">
        <f>XLOOKUP(L907, uom!C:C, uom!B:B, "Not Found")</f>
      </c>
      <c r="K907" s="1" t="s">
        <v>5511</v>
      </c>
      <c r="L907" s="5">
        <f>XLOOKUP(N907, uom!C:C, uom!B:B, "Not Found")</f>
      </c>
      <c r="M907" s="1" t="s">
        <v>5511</v>
      </c>
      <c r="N907" s="8" t="s">
        <v>5512</v>
      </c>
      <c r="O907" s="1" t="s">
        <v>5513</v>
      </c>
      <c r="P907" s="5">
        <f>XLOOKUP(R907, classification!C:C, classification!B:B, "Not Found")</f>
      </c>
      <c r="Q907" s="1" t="s">
        <v>5514</v>
      </c>
      <c r="R907" s="2"/>
      <c r="S907" s="2"/>
      <c r="T907" s="2"/>
      <c r="U907" s="2"/>
    </row>
    <row x14ac:dyDescent="0.25" r="908" customHeight="1" ht="17.25">
      <c r="A908" s="7">
        <v>907</v>
      </c>
      <c r="B908" s="1" t="s">
        <v>6349</v>
      </c>
      <c r="C908" s="5">
        <f>CONCATENATE("PD", TEXT(A908, "1000000"))</f>
      </c>
      <c r="D908" s="7">
        <v>59</v>
      </c>
      <c r="E908" s="5">
        <f>XLOOKUP(G908, item_category!C:C, item_category!B:B, "Not Found")</f>
      </c>
      <c r="F908" s="1" t="s">
        <v>5527</v>
      </c>
      <c r="G908" s="5">
        <f>XLOOKUP(I908, drug!B:B, drug!A:A, "Not Found")</f>
      </c>
      <c r="H908" s="1"/>
      <c r="I908" s="7">
        <v>1</v>
      </c>
      <c r="J908" s="5">
        <f>XLOOKUP(L908, uom!C:C, uom!B:B, "Not Found")</f>
      </c>
      <c r="K908" s="1" t="s">
        <v>5511</v>
      </c>
      <c r="L908" s="5">
        <f>XLOOKUP(N908, uom!C:C, uom!B:B, "Not Found")</f>
      </c>
      <c r="M908" s="1" t="s">
        <v>5511</v>
      </c>
      <c r="N908" s="8" t="s">
        <v>5512</v>
      </c>
      <c r="O908" s="1" t="s">
        <v>5513</v>
      </c>
      <c r="P908" s="5">
        <f>XLOOKUP(R908, classification!C:C, classification!B:B, "Not Found")</f>
      </c>
      <c r="Q908" s="1" t="s">
        <v>5514</v>
      </c>
      <c r="R908" s="2"/>
      <c r="S908" s="2"/>
      <c r="T908" s="2"/>
      <c r="U908" s="2"/>
    </row>
    <row x14ac:dyDescent="0.25" r="909" customHeight="1" ht="17.25">
      <c r="A909" s="7">
        <v>908</v>
      </c>
      <c r="B909" s="1" t="s">
        <v>6350</v>
      </c>
      <c r="C909" s="5">
        <f>CONCATENATE("PD", TEXT(A909, "1000000"))</f>
      </c>
      <c r="D909" s="7">
        <v>59</v>
      </c>
      <c r="E909" s="5">
        <f>XLOOKUP(G909, item_category!C:C, item_category!B:B, "Not Found")</f>
      </c>
      <c r="F909" s="1" t="s">
        <v>5527</v>
      </c>
      <c r="G909" s="5">
        <f>XLOOKUP(I909, drug!B:B, drug!A:A, "Not Found")</f>
      </c>
      <c r="H909" s="1" t="s">
        <v>769</v>
      </c>
      <c r="I909" s="7">
        <v>2</v>
      </c>
      <c r="J909" s="5">
        <f>XLOOKUP(L909, uom!C:C, uom!B:B, "Not Found")</f>
      </c>
      <c r="K909" s="1" t="s">
        <v>5581</v>
      </c>
      <c r="L909" s="5">
        <f>XLOOKUP(N909, uom!C:C, uom!B:B, "Not Found")</f>
      </c>
      <c r="M909" s="1" t="s">
        <v>5581</v>
      </c>
      <c r="N909" s="8" t="s">
        <v>5524</v>
      </c>
      <c r="O909" s="1" t="s">
        <v>5525</v>
      </c>
      <c r="P909" s="5">
        <f>XLOOKUP(R909, classification!C:C, classification!B:B, "Not Found")</f>
      </c>
      <c r="Q909" s="1" t="s">
        <v>5514</v>
      </c>
      <c r="R909" s="2"/>
      <c r="S909" s="2"/>
      <c r="T909" s="2"/>
      <c r="U909" s="2"/>
    </row>
    <row x14ac:dyDescent="0.25" r="910" customHeight="1" ht="17.25">
      <c r="A910" s="7">
        <v>909</v>
      </c>
      <c r="B910" s="1" t="s">
        <v>6351</v>
      </c>
      <c r="C910" s="5">
        <f>CONCATENATE("PD", TEXT(A910, "1000000"))</f>
      </c>
      <c r="D910" s="7">
        <v>59</v>
      </c>
      <c r="E910" s="5">
        <f>XLOOKUP(G910, item_category!C:C, item_category!B:B, "Not Found")</f>
      </c>
      <c r="F910" s="1" t="s">
        <v>5527</v>
      </c>
      <c r="G910" s="5">
        <f>XLOOKUP(I910, drug!B:B, drug!A:A, "Not Found")</f>
      </c>
      <c r="H910" s="1" t="s">
        <v>1988</v>
      </c>
      <c r="I910" s="7">
        <v>1</v>
      </c>
      <c r="J910" s="5">
        <f>XLOOKUP(L910, uom!C:C, uom!B:B, "Not Found")</f>
      </c>
      <c r="K910" s="1" t="s">
        <v>5537</v>
      </c>
      <c r="L910" s="5">
        <f>XLOOKUP(N910, uom!C:C, uom!B:B, "Not Found")</f>
      </c>
      <c r="M910" s="1" t="s">
        <v>5537</v>
      </c>
      <c r="N910" s="8" t="s">
        <v>5524</v>
      </c>
      <c r="O910" s="1" t="s">
        <v>5525</v>
      </c>
      <c r="P910" s="5">
        <f>XLOOKUP(R910, classification!C:C, classification!B:B, "Not Found")</f>
      </c>
      <c r="Q910" s="1" t="s">
        <v>5514</v>
      </c>
      <c r="R910" s="2"/>
      <c r="S910" s="2"/>
      <c r="T910" s="2"/>
      <c r="U910" s="2"/>
    </row>
    <row x14ac:dyDescent="0.25" r="911" customHeight="1" ht="17.25">
      <c r="A911" s="7">
        <v>910</v>
      </c>
      <c r="B911" s="1" t="s">
        <v>6352</v>
      </c>
      <c r="C911" s="5">
        <f>CONCATENATE("PD", TEXT(A911, "1000000"))</f>
      </c>
      <c r="D911" s="7">
        <v>59</v>
      </c>
      <c r="E911" s="5">
        <f>XLOOKUP(G911, item_category!C:C, item_category!B:B, "Not Found")</f>
      </c>
      <c r="F911" s="1" t="s">
        <v>5527</v>
      </c>
      <c r="G911" s="5">
        <f>XLOOKUP(I911, drug!B:B, drug!A:A, "Not Found")</f>
      </c>
      <c r="H911" s="1"/>
      <c r="I911" s="7">
        <v>1</v>
      </c>
      <c r="J911" s="5">
        <f>XLOOKUP(L911, uom!C:C, uom!B:B, "Not Found")</f>
      </c>
      <c r="K911" s="1" t="s">
        <v>5511</v>
      </c>
      <c r="L911" s="5">
        <f>XLOOKUP(N911, uom!C:C, uom!B:B, "Not Found")</f>
      </c>
      <c r="M911" s="1" t="s">
        <v>5511</v>
      </c>
      <c r="N911" s="8" t="s">
        <v>5512</v>
      </c>
      <c r="O911" s="1" t="s">
        <v>5513</v>
      </c>
      <c r="P911" s="5">
        <f>XLOOKUP(R911, classification!C:C, classification!B:B, "Not Found")</f>
      </c>
      <c r="Q911" s="1" t="s">
        <v>5514</v>
      </c>
      <c r="R911" s="2"/>
      <c r="S911" s="2"/>
      <c r="T911" s="2"/>
      <c r="U911" s="2"/>
    </row>
    <row x14ac:dyDescent="0.25" r="912" customHeight="1" ht="17.25">
      <c r="A912" s="7">
        <v>911</v>
      </c>
      <c r="B912" s="1" t="s">
        <v>6353</v>
      </c>
      <c r="C912" s="5">
        <f>CONCATENATE("PD", TEXT(A912, "1000000"))</f>
      </c>
      <c r="D912" s="7">
        <v>59</v>
      </c>
      <c r="E912" s="5">
        <f>XLOOKUP(G912, item_category!C:C, item_category!B:B, "Not Found")</f>
      </c>
      <c r="F912" s="1" t="s">
        <v>5527</v>
      </c>
      <c r="G912" s="5">
        <f>XLOOKUP(I912, drug!B:B, drug!A:A, "Not Found")</f>
      </c>
      <c r="H912" s="1"/>
      <c r="I912" s="7">
        <v>1</v>
      </c>
      <c r="J912" s="5">
        <f>XLOOKUP(L912, uom!C:C, uom!B:B, "Not Found")</f>
      </c>
      <c r="K912" s="1" t="s">
        <v>5511</v>
      </c>
      <c r="L912" s="5">
        <f>XLOOKUP(N912, uom!C:C, uom!B:B, "Not Found")</f>
      </c>
      <c r="M912" s="1" t="s">
        <v>5511</v>
      </c>
      <c r="N912" s="8" t="s">
        <v>5512</v>
      </c>
      <c r="O912" s="1" t="s">
        <v>5513</v>
      </c>
      <c r="P912" s="5">
        <f>XLOOKUP(R912, classification!C:C, classification!B:B, "Not Found")</f>
      </c>
      <c r="Q912" s="1" t="s">
        <v>5514</v>
      </c>
      <c r="R912" s="2"/>
      <c r="S912" s="2"/>
      <c r="T912" s="2"/>
      <c r="U912" s="2"/>
    </row>
    <row x14ac:dyDescent="0.25" r="913" customHeight="1" ht="17.25">
      <c r="A913" s="7">
        <v>912</v>
      </c>
      <c r="B913" s="1" t="s">
        <v>6354</v>
      </c>
      <c r="C913" s="5">
        <f>CONCATENATE("PD", TEXT(A913, "1000000"))</f>
      </c>
      <c r="D913" s="7">
        <v>59</v>
      </c>
      <c r="E913" s="5">
        <f>XLOOKUP(G913, item_category!C:C, item_category!B:B, "Not Found")</f>
      </c>
      <c r="F913" s="1" t="s">
        <v>5527</v>
      </c>
      <c r="G913" s="5">
        <f>XLOOKUP(I913, drug!B:B, drug!A:A, "Not Found")</f>
      </c>
      <c r="H913" s="1"/>
      <c r="I913" s="7">
        <v>1</v>
      </c>
      <c r="J913" s="5">
        <f>XLOOKUP(L913, uom!C:C, uom!B:B, "Not Found")</f>
      </c>
      <c r="K913" s="1" t="s">
        <v>5511</v>
      </c>
      <c r="L913" s="5">
        <f>XLOOKUP(N913, uom!C:C, uom!B:B, "Not Found")</f>
      </c>
      <c r="M913" s="1" t="s">
        <v>5511</v>
      </c>
      <c r="N913" s="8" t="s">
        <v>5512</v>
      </c>
      <c r="O913" s="1" t="s">
        <v>5513</v>
      </c>
      <c r="P913" s="5">
        <f>XLOOKUP(R913, classification!C:C, classification!B:B, "Not Found")</f>
      </c>
      <c r="Q913" s="1" t="s">
        <v>5514</v>
      </c>
      <c r="R913" s="2"/>
      <c r="S913" s="2"/>
      <c r="T913" s="2"/>
      <c r="U913" s="2"/>
    </row>
    <row x14ac:dyDescent="0.25" r="914" customHeight="1" ht="17.25">
      <c r="A914" s="7">
        <v>913</v>
      </c>
      <c r="B914" s="1" t="s">
        <v>6355</v>
      </c>
      <c r="C914" s="5">
        <f>CONCATENATE("PD", TEXT(A914, "1000000"))</f>
      </c>
      <c r="D914" s="7">
        <v>59</v>
      </c>
      <c r="E914" s="5">
        <f>XLOOKUP(G914, item_category!C:C, item_category!B:B, "Not Found")</f>
      </c>
      <c r="F914" s="1" t="s">
        <v>5527</v>
      </c>
      <c r="G914" s="5">
        <f>XLOOKUP(I914, drug!B:B, drug!A:A, "Not Found")</f>
      </c>
      <c r="H914" s="1"/>
      <c r="I914" s="7">
        <v>1</v>
      </c>
      <c r="J914" s="5">
        <f>XLOOKUP(L914, uom!C:C, uom!B:B, "Not Found")</f>
      </c>
      <c r="K914" s="1" t="s">
        <v>5511</v>
      </c>
      <c r="L914" s="5">
        <f>XLOOKUP(N914, uom!C:C, uom!B:B, "Not Found")</f>
      </c>
      <c r="M914" s="1" t="s">
        <v>5511</v>
      </c>
      <c r="N914" s="8" t="s">
        <v>5512</v>
      </c>
      <c r="O914" s="1" t="s">
        <v>5513</v>
      </c>
      <c r="P914" s="5">
        <f>XLOOKUP(R914, classification!C:C, classification!B:B, "Not Found")</f>
      </c>
      <c r="Q914" s="1" t="s">
        <v>5514</v>
      </c>
      <c r="R914" s="2"/>
      <c r="S914" s="2"/>
      <c r="T914" s="2"/>
      <c r="U914" s="2"/>
    </row>
    <row x14ac:dyDescent="0.25" r="915" customHeight="1" ht="17.25">
      <c r="A915" s="7">
        <v>914</v>
      </c>
      <c r="B915" s="1" t="s">
        <v>6356</v>
      </c>
      <c r="C915" s="5">
        <f>CONCATENATE("PD", TEXT(A915, "1000000"))</f>
      </c>
      <c r="D915" s="7">
        <v>59</v>
      </c>
      <c r="E915" s="5">
        <f>XLOOKUP(G915, item_category!C:C, item_category!B:B, "Not Found")</f>
      </c>
      <c r="F915" s="1" t="s">
        <v>5527</v>
      </c>
      <c r="G915" s="5">
        <f>XLOOKUP(I915, drug!B:B, drug!A:A, "Not Found")</f>
      </c>
      <c r="H915" s="1"/>
      <c r="I915" s="7">
        <v>1</v>
      </c>
      <c r="J915" s="5">
        <f>XLOOKUP(L915, uom!C:C, uom!B:B, "Not Found")</f>
      </c>
      <c r="K915" s="1" t="s">
        <v>5511</v>
      </c>
      <c r="L915" s="5">
        <f>XLOOKUP(N915, uom!C:C, uom!B:B, "Not Found")</f>
      </c>
      <c r="M915" s="1" t="s">
        <v>5511</v>
      </c>
      <c r="N915" s="8" t="s">
        <v>5512</v>
      </c>
      <c r="O915" s="1" t="s">
        <v>5513</v>
      </c>
      <c r="P915" s="5">
        <f>XLOOKUP(R915, classification!C:C, classification!B:B, "Not Found")</f>
      </c>
      <c r="Q915" s="1" t="s">
        <v>5514</v>
      </c>
      <c r="R915" s="2"/>
      <c r="S915" s="2"/>
      <c r="T915" s="2"/>
      <c r="U915" s="2"/>
    </row>
    <row x14ac:dyDescent="0.25" r="916" customHeight="1" ht="17.25">
      <c r="A916" s="7">
        <v>915</v>
      </c>
      <c r="B916" s="1" t="s">
        <v>6357</v>
      </c>
      <c r="C916" s="5">
        <f>CONCATENATE("PD", TEXT(A916, "1000000"))</f>
      </c>
      <c r="D916" s="7">
        <v>59</v>
      </c>
      <c r="E916" s="5">
        <f>XLOOKUP(G916, item_category!C:C, item_category!B:B, "Not Found")</f>
      </c>
      <c r="F916" s="1" t="s">
        <v>5527</v>
      </c>
      <c r="G916" s="5">
        <f>XLOOKUP(I916, drug!B:B, drug!A:A, "Not Found")</f>
      </c>
      <c r="H916" s="1"/>
      <c r="I916" s="7">
        <v>1</v>
      </c>
      <c r="J916" s="5">
        <f>XLOOKUP(L916, uom!C:C, uom!B:B, "Not Found")</f>
      </c>
      <c r="K916" s="1" t="s">
        <v>5511</v>
      </c>
      <c r="L916" s="5">
        <f>XLOOKUP(N916, uom!C:C, uom!B:B, "Not Found")</f>
      </c>
      <c r="M916" s="1" t="s">
        <v>5511</v>
      </c>
      <c r="N916" s="8" t="s">
        <v>5512</v>
      </c>
      <c r="O916" s="1" t="s">
        <v>5513</v>
      </c>
      <c r="P916" s="5">
        <f>XLOOKUP(R916, classification!C:C, classification!B:B, "Not Found")</f>
      </c>
      <c r="Q916" s="1" t="s">
        <v>5514</v>
      </c>
      <c r="R916" s="2"/>
      <c r="S916" s="2"/>
      <c r="T916" s="2"/>
      <c r="U916" s="2"/>
    </row>
    <row x14ac:dyDescent="0.25" r="917" customHeight="1" ht="17.25">
      <c r="A917" s="7">
        <v>916</v>
      </c>
      <c r="B917" s="1" t="s">
        <v>6358</v>
      </c>
      <c r="C917" s="5">
        <f>CONCATENATE("PD", TEXT(A917, "1000000"))</f>
      </c>
      <c r="D917" s="7">
        <v>59</v>
      </c>
      <c r="E917" s="5">
        <f>XLOOKUP(G917, item_category!C:C, item_category!B:B, "Not Found")</f>
      </c>
      <c r="F917" s="1" t="s">
        <v>5527</v>
      </c>
      <c r="G917" s="5">
        <f>XLOOKUP(I917, drug!B:B, drug!A:A, "Not Found")</f>
      </c>
      <c r="H917" s="1"/>
      <c r="I917" s="7">
        <v>1</v>
      </c>
      <c r="J917" s="5">
        <f>XLOOKUP(L917, uom!C:C, uom!B:B, "Not Found")</f>
      </c>
      <c r="K917" s="1" t="s">
        <v>5511</v>
      </c>
      <c r="L917" s="5">
        <f>XLOOKUP(N917, uom!C:C, uom!B:B, "Not Found")</f>
      </c>
      <c r="M917" s="1" t="s">
        <v>5511</v>
      </c>
      <c r="N917" s="8" t="s">
        <v>5512</v>
      </c>
      <c r="O917" s="1" t="s">
        <v>5513</v>
      </c>
      <c r="P917" s="5">
        <f>XLOOKUP(R917, classification!C:C, classification!B:B, "Not Found")</f>
      </c>
      <c r="Q917" s="1" t="s">
        <v>5514</v>
      </c>
      <c r="R917" s="2"/>
      <c r="S917" s="2"/>
      <c r="T917" s="2"/>
      <c r="U917" s="2"/>
    </row>
    <row x14ac:dyDescent="0.25" r="918" customHeight="1" ht="17.25">
      <c r="A918" s="7">
        <v>917</v>
      </c>
      <c r="B918" s="1" t="s">
        <v>6359</v>
      </c>
      <c r="C918" s="5">
        <f>CONCATENATE("PD", TEXT(A918, "1000000"))</f>
      </c>
      <c r="D918" s="7">
        <v>59</v>
      </c>
      <c r="E918" s="5">
        <f>XLOOKUP(G918, item_category!C:C, item_category!B:B, "Not Found")</f>
      </c>
      <c r="F918" s="1" t="s">
        <v>5527</v>
      </c>
      <c r="G918" s="5">
        <f>XLOOKUP(I918, drug!B:B, drug!A:A, "Not Found")</f>
      </c>
      <c r="H918" s="1"/>
      <c r="I918" s="7">
        <v>1</v>
      </c>
      <c r="J918" s="5">
        <f>XLOOKUP(L918, uom!C:C, uom!B:B, "Not Found")</f>
      </c>
      <c r="K918" s="1" t="s">
        <v>5511</v>
      </c>
      <c r="L918" s="5">
        <f>XLOOKUP(N918, uom!C:C, uom!B:B, "Not Found")</f>
      </c>
      <c r="M918" s="1" t="s">
        <v>5511</v>
      </c>
      <c r="N918" s="8" t="s">
        <v>5512</v>
      </c>
      <c r="O918" s="1" t="s">
        <v>5513</v>
      </c>
      <c r="P918" s="5">
        <f>XLOOKUP(R918, classification!C:C, classification!B:B, "Not Found")</f>
      </c>
      <c r="Q918" s="1" t="s">
        <v>5514</v>
      </c>
      <c r="R918" s="2"/>
      <c r="S918" s="2"/>
      <c r="T918" s="2"/>
      <c r="U918" s="2"/>
    </row>
    <row x14ac:dyDescent="0.25" r="919" customHeight="1" ht="17.25">
      <c r="A919" s="7">
        <v>918</v>
      </c>
      <c r="B919" s="1" t="s">
        <v>6360</v>
      </c>
      <c r="C919" s="5">
        <f>CONCATENATE("PD", TEXT(A919, "1000000"))</f>
      </c>
      <c r="D919" s="7">
        <v>59</v>
      </c>
      <c r="E919" s="5">
        <f>XLOOKUP(G919, item_category!C:C, item_category!B:B, "Not Found")</f>
      </c>
      <c r="F919" s="1" t="s">
        <v>5527</v>
      </c>
      <c r="G919" s="5">
        <f>XLOOKUP(I919, drug!B:B, drug!A:A, "Not Found")</f>
      </c>
      <c r="H919" s="1" t="s">
        <v>1228</v>
      </c>
      <c r="I919" s="7">
        <v>1</v>
      </c>
      <c r="J919" s="5">
        <f>XLOOKUP(L919, uom!C:C, uom!B:B, "Not Found")</f>
      </c>
      <c r="K919" s="1" t="s">
        <v>5511</v>
      </c>
      <c r="L919" s="5">
        <f>XLOOKUP(N919, uom!C:C, uom!B:B, "Not Found")</f>
      </c>
      <c r="M919" s="1" t="s">
        <v>5511</v>
      </c>
      <c r="N919" s="8" t="s">
        <v>5512</v>
      </c>
      <c r="O919" s="1" t="s">
        <v>5513</v>
      </c>
      <c r="P919" s="5">
        <f>XLOOKUP(R919, classification!C:C, classification!B:B, "Not Found")</f>
      </c>
      <c r="Q919" s="1" t="s">
        <v>5514</v>
      </c>
      <c r="R919" s="2"/>
      <c r="S919" s="2"/>
      <c r="T919" s="2"/>
      <c r="U919" s="2"/>
    </row>
    <row x14ac:dyDescent="0.25" r="920" customHeight="1" ht="17.25">
      <c r="A920" s="7">
        <v>919</v>
      </c>
      <c r="B920" s="1" t="s">
        <v>6361</v>
      </c>
      <c r="C920" s="5">
        <f>CONCATENATE("PD", TEXT(A920, "1000000"))</f>
      </c>
      <c r="D920" s="7">
        <v>59</v>
      </c>
      <c r="E920" s="5">
        <f>XLOOKUP(G920, item_category!C:C, item_category!B:B, "Not Found")</f>
      </c>
      <c r="F920" s="1" t="s">
        <v>5527</v>
      </c>
      <c r="G920" s="5">
        <f>XLOOKUP(I920, drug!B:B, drug!A:A, "Not Found")</f>
      </c>
      <c r="H920" s="1"/>
      <c r="I920" s="7">
        <v>1</v>
      </c>
      <c r="J920" s="5">
        <f>XLOOKUP(L920, uom!C:C, uom!B:B, "Not Found")</f>
      </c>
      <c r="K920" s="1" t="s">
        <v>5511</v>
      </c>
      <c r="L920" s="5">
        <f>XLOOKUP(N920, uom!C:C, uom!B:B, "Not Found")</f>
      </c>
      <c r="M920" s="1" t="s">
        <v>5511</v>
      </c>
      <c r="N920" s="8" t="s">
        <v>5512</v>
      </c>
      <c r="O920" s="1" t="s">
        <v>5513</v>
      </c>
      <c r="P920" s="5">
        <f>XLOOKUP(R920, classification!C:C, classification!B:B, "Not Found")</f>
      </c>
      <c r="Q920" s="1" t="s">
        <v>5514</v>
      </c>
      <c r="R920" s="2"/>
      <c r="S920" s="2"/>
      <c r="T920" s="2"/>
      <c r="U920" s="2"/>
    </row>
    <row x14ac:dyDescent="0.25" r="921" customHeight="1" ht="17.25">
      <c r="A921" s="7">
        <v>920</v>
      </c>
      <c r="B921" s="1" t="s">
        <v>6362</v>
      </c>
      <c r="C921" s="5">
        <f>CONCATENATE("PD", TEXT(A921, "1000000"))</f>
      </c>
      <c r="D921" s="7">
        <v>59</v>
      </c>
      <c r="E921" s="5">
        <f>XLOOKUP(G921, item_category!C:C, item_category!B:B, "Not Found")</f>
      </c>
      <c r="F921" s="1" t="s">
        <v>5527</v>
      </c>
      <c r="G921" s="5">
        <f>XLOOKUP(I921, drug!B:B, drug!A:A, "Not Found")</f>
      </c>
      <c r="H921" s="1"/>
      <c r="I921" s="7">
        <v>1</v>
      </c>
      <c r="J921" s="5">
        <f>XLOOKUP(L921, uom!C:C, uom!B:B, "Not Found")</f>
      </c>
      <c r="K921" s="1" t="s">
        <v>5511</v>
      </c>
      <c r="L921" s="5">
        <f>XLOOKUP(N921, uom!C:C, uom!B:B, "Not Found")</f>
      </c>
      <c r="M921" s="1" t="s">
        <v>5511</v>
      </c>
      <c r="N921" s="8" t="s">
        <v>5512</v>
      </c>
      <c r="O921" s="1" t="s">
        <v>5513</v>
      </c>
      <c r="P921" s="5">
        <f>XLOOKUP(R921, classification!C:C, classification!B:B, "Not Found")</f>
      </c>
      <c r="Q921" s="1" t="s">
        <v>5514</v>
      </c>
      <c r="R921" s="2"/>
      <c r="S921" s="2"/>
      <c r="T921" s="2"/>
      <c r="U921" s="2"/>
    </row>
    <row x14ac:dyDescent="0.25" r="922" customHeight="1" ht="17.25">
      <c r="A922" s="7">
        <v>921</v>
      </c>
      <c r="B922" s="1" t="s">
        <v>6363</v>
      </c>
      <c r="C922" s="5">
        <f>CONCATENATE("PD", TEXT(A922, "1000000"))</f>
      </c>
      <c r="D922" s="7">
        <v>59</v>
      </c>
      <c r="E922" s="5">
        <f>XLOOKUP(G922, item_category!C:C, item_category!B:B, "Not Found")</f>
      </c>
      <c r="F922" s="1" t="s">
        <v>5527</v>
      </c>
      <c r="G922" s="5">
        <f>XLOOKUP(I922, drug!B:B, drug!A:A, "Not Found")</f>
      </c>
      <c r="H922" s="1"/>
      <c r="I922" s="7">
        <v>1</v>
      </c>
      <c r="J922" s="5">
        <f>XLOOKUP(L922, uom!C:C, uom!B:B, "Not Found")</f>
      </c>
      <c r="K922" s="1" t="s">
        <v>5511</v>
      </c>
      <c r="L922" s="5">
        <f>XLOOKUP(N922, uom!C:C, uom!B:B, "Not Found")</f>
      </c>
      <c r="M922" s="1" t="s">
        <v>5511</v>
      </c>
      <c r="N922" s="8" t="s">
        <v>5512</v>
      </c>
      <c r="O922" s="1" t="s">
        <v>5513</v>
      </c>
      <c r="P922" s="5">
        <f>XLOOKUP(R922, classification!C:C, classification!B:B, "Not Found")</f>
      </c>
      <c r="Q922" s="1" t="s">
        <v>5514</v>
      </c>
      <c r="R922" s="2"/>
      <c r="S922" s="2"/>
      <c r="T922" s="2"/>
      <c r="U922" s="2"/>
    </row>
    <row x14ac:dyDescent="0.25" r="923" customHeight="1" ht="17.25">
      <c r="A923" s="7">
        <v>922</v>
      </c>
      <c r="B923" s="1" t="s">
        <v>6364</v>
      </c>
      <c r="C923" s="5">
        <f>CONCATENATE("PD", TEXT(A923, "1000000"))</f>
      </c>
      <c r="D923" s="7">
        <v>59</v>
      </c>
      <c r="E923" s="5">
        <f>XLOOKUP(G923, item_category!C:C, item_category!B:B, "Not Found")</f>
      </c>
      <c r="F923" s="1" t="s">
        <v>5527</v>
      </c>
      <c r="G923" s="5">
        <f>XLOOKUP(I923, drug!B:B, drug!A:A, "Not Found")</f>
      </c>
      <c r="H923" s="1"/>
      <c r="I923" s="7">
        <v>1</v>
      </c>
      <c r="J923" s="5">
        <f>XLOOKUP(L923, uom!C:C, uom!B:B, "Not Found")</f>
      </c>
      <c r="K923" s="1" t="s">
        <v>5511</v>
      </c>
      <c r="L923" s="5">
        <f>XLOOKUP(N923, uom!C:C, uom!B:B, "Not Found")</f>
      </c>
      <c r="M923" s="1" t="s">
        <v>5511</v>
      </c>
      <c r="N923" s="8" t="s">
        <v>5512</v>
      </c>
      <c r="O923" s="1" t="s">
        <v>5513</v>
      </c>
      <c r="P923" s="5">
        <f>XLOOKUP(R923, classification!C:C, classification!B:B, "Not Found")</f>
      </c>
      <c r="Q923" s="1" t="s">
        <v>5514</v>
      </c>
      <c r="R923" s="2"/>
      <c r="S923" s="2"/>
      <c r="T923" s="2"/>
      <c r="U923" s="2"/>
    </row>
    <row x14ac:dyDescent="0.25" r="924" customHeight="1" ht="17.25">
      <c r="A924" s="7">
        <v>923</v>
      </c>
      <c r="B924" s="1" t="s">
        <v>6365</v>
      </c>
      <c r="C924" s="5">
        <f>CONCATENATE("PD", TEXT(A924, "1000000"))</f>
      </c>
      <c r="D924" s="7">
        <v>59</v>
      </c>
      <c r="E924" s="5">
        <f>XLOOKUP(G924, item_category!C:C, item_category!B:B, "Not Found")</f>
      </c>
      <c r="F924" s="1" t="s">
        <v>5527</v>
      </c>
      <c r="G924" s="5">
        <f>XLOOKUP(I924, drug!B:B, drug!A:A, "Not Found")</f>
      </c>
      <c r="H924" s="1" t="s">
        <v>141</v>
      </c>
      <c r="I924" s="7">
        <v>1</v>
      </c>
      <c r="J924" s="5">
        <f>XLOOKUP(L924, uom!C:C, uom!B:B, "Not Found")</f>
      </c>
      <c r="K924" s="1" t="s">
        <v>5511</v>
      </c>
      <c r="L924" s="5">
        <f>XLOOKUP(N924, uom!C:C, uom!B:B, "Not Found")</f>
      </c>
      <c r="M924" s="1" t="s">
        <v>5511</v>
      </c>
      <c r="N924" s="8" t="s">
        <v>5512</v>
      </c>
      <c r="O924" s="1" t="s">
        <v>5513</v>
      </c>
      <c r="P924" s="5">
        <f>XLOOKUP(R924, classification!C:C, classification!B:B, "Not Found")</f>
      </c>
      <c r="Q924" s="1" t="s">
        <v>5514</v>
      </c>
      <c r="R924" s="2"/>
      <c r="S924" s="2"/>
      <c r="T924" s="2"/>
      <c r="U924" s="2"/>
    </row>
    <row x14ac:dyDescent="0.25" r="925" customHeight="1" ht="17.25">
      <c r="A925" s="7">
        <v>924</v>
      </c>
      <c r="B925" s="1" t="s">
        <v>6366</v>
      </c>
      <c r="C925" s="5">
        <f>CONCATENATE("PD", TEXT(A925, "1000000"))</f>
      </c>
      <c r="D925" s="7">
        <v>59</v>
      </c>
      <c r="E925" s="5">
        <f>XLOOKUP(G925, item_category!C:C, item_category!B:B, "Not Found")</f>
      </c>
      <c r="F925" s="1" t="s">
        <v>5527</v>
      </c>
      <c r="G925" s="5">
        <f>XLOOKUP(I925, drug!B:B, drug!A:A, "Not Found")</f>
      </c>
      <c r="H925" s="1" t="s">
        <v>141</v>
      </c>
      <c r="I925" s="7">
        <v>1</v>
      </c>
      <c r="J925" s="5">
        <f>XLOOKUP(L925, uom!C:C, uom!B:B, "Not Found")</f>
      </c>
      <c r="K925" s="1" t="s">
        <v>5511</v>
      </c>
      <c r="L925" s="5">
        <f>XLOOKUP(N925, uom!C:C, uom!B:B, "Not Found")</f>
      </c>
      <c r="M925" s="1" t="s">
        <v>5511</v>
      </c>
      <c r="N925" s="8" t="s">
        <v>5512</v>
      </c>
      <c r="O925" s="1" t="s">
        <v>5513</v>
      </c>
      <c r="P925" s="5">
        <f>XLOOKUP(R925, classification!C:C, classification!B:B, "Not Found")</f>
      </c>
      <c r="Q925" s="1" t="s">
        <v>5514</v>
      </c>
      <c r="R925" s="2"/>
      <c r="S925" s="2"/>
      <c r="T925" s="2"/>
      <c r="U925" s="2"/>
    </row>
    <row x14ac:dyDescent="0.25" r="926" customHeight="1" ht="17.25">
      <c r="A926" s="7">
        <v>925</v>
      </c>
      <c r="B926" s="1" t="s">
        <v>6367</v>
      </c>
      <c r="C926" s="5">
        <f>CONCATENATE("PD", TEXT(A926, "1000000"))</f>
      </c>
      <c r="D926" s="7">
        <v>59</v>
      </c>
      <c r="E926" s="5">
        <f>XLOOKUP(G926, item_category!C:C, item_category!B:B, "Not Found")</f>
      </c>
      <c r="F926" s="1" t="s">
        <v>5527</v>
      </c>
      <c r="G926" s="5">
        <f>XLOOKUP(I926, drug!B:B, drug!A:A, "Not Found")</f>
      </c>
      <c r="H926" s="1"/>
      <c r="I926" s="7">
        <v>1</v>
      </c>
      <c r="J926" s="5">
        <f>XLOOKUP(L926, uom!C:C, uom!B:B, "Not Found")</f>
      </c>
      <c r="K926" s="1" t="s">
        <v>5511</v>
      </c>
      <c r="L926" s="5">
        <f>XLOOKUP(N926, uom!C:C, uom!B:B, "Not Found")</f>
      </c>
      <c r="M926" s="1" t="s">
        <v>5511</v>
      </c>
      <c r="N926" s="8" t="s">
        <v>5512</v>
      </c>
      <c r="O926" s="1" t="s">
        <v>5513</v>
      </c>
      <c r="P926" s="5">
        <f>XLOOKUP(R926, classification!C:C, classification!B:B, "Not Found")</f>
      </c>
      <c r="Q926" s="1" t="s">
        <v>5514</v>
      </c>
      <c r="R926" s="2"/>
      <c r="S926" s="2"/>
      <c r="T926" s="2"/>
      <c r="U926" s="2"/>
    </row>
    <row x14ac:dyDescent="0.25" r="927" customHeight="1" ht="17.25">
      <c r="A927" s="7">
        <v>926</v>
      </c>
      <c r="B927" s="1" t="s">
        <v>6368</v>
      </c>
      <c r="C927" s="5">
        <f>CONCATENATE("PD", TEXT(A927, "1000000"))</f>
      </c>
      <c r="D927" s="7">
        <v>59</v>
      </c>
      <c r="E927" s="5">
        <f>XLOOKUP(G927, item_category!C:C, item_category!B:B, "Not Found")</f>
      </c>
      <c r="F927" s="1" t="s">
        <v>5527</v>
      </c>
      <c r="G927" s="5">
        <f>XLOOKUP(I927, drug!B:B, drug!A:A, "Not Found")</f>
      </c>
      <c r="H927" s="1" t="s">
        <v>1942</v>
      </c>
      <c r="I927" s="7">
        <v>1</v>
      </c>
      <c r="J927" s="5">
        <f>XLOOKUP(L927, uom!C:C, uom!B:B, "Not Found")</f>
      </c>
      <c r="K927" s="1" t="s">
        <v>5511</v>
      </c>
      <c r="L927" s="5">
        <f>XLOOKUP(N927, uom!C:C, uom!B:B, "Not Found")</f>
      </c>
      <c r="M927" s="1" t="s">
        <v>5511</v>
      </c>
      <c r="N927" s="8" t="s">
        <v>5512</v>
      </c>
      <c r="O927" s="1" t="s">
        <v>5513</v>
      </c>
      <c r="P927" s="5">
        <f>XLOOKUP(R927, classification!C:C, classification!B:B, "Not Found")</f>
      </c>
      <c r="Q927" s="1" t="s">
        <v>5514</v>
      </c>
      <c r="R927" s="2"/>
      <c r="S927" s="2"/>
      <c r="T927" s="2"/>
      <c r="U927" s="2"/>
    </row>
    <row x14ac:dyDescent="0.25" r="928" customHeight="1" ht="17.25">
      <c r="A928" s="7">
        <v>927</v>
      </c>
      <c r="B928" s="1" t="s">
        <v>6369</v>
      </c>
      <c r="C928" s="5">
        <f>CONCATENATE("PD", TEXT(A928, "1000000"))</f>
      </c>
      <c r="D928" s="7">
        <v>59</v>
      </c>
      <c r="E928" s="5">
        <f>XLOOKUP(G928, item_category!C:C, item_category!B:B, "Not Found")</f>
      </c>
      <c r="F928" s="1" t="s">
        <v>5527</v>
      </c>
      <c r="G928" s="5">
        <f>XLOOKUP(I928, drug!B:B, drug!A:A, "Not Found")</f>
      </c>
      <c r="H928" s="1" t="s">
        <v>337</v>
      </c>
      <c r="I928" s="7">
        <v>1</v>
      </c>
      <c r="J928" s="5">
        <f>XLOOKUP(L928, uom!C:C, uom!B:B, "Not Found")</f>
      </c>
      <c r="K928" s="1" t="s">
        <v>5511</v>
      </c>
      <c r="L928" s="5">
        <f>XLOOKUP(N928, uom!C:C, uom!B:B, "Not Found")</f>
      </c>
      <c r="M928" s="1" t="s">
        <v>5511</v>
      </c>
      <c r="N928" s="8" t="s">
        <v>5512</v>
      </c>
      <c r="O928" s="1" t="s">
        <v>5513</v>
      </c>
      <c r="P928" s="5">
        <f>XLOOKUP(R928, classification!C:C, classification!B:B, "Not Found")</f>
      </c>
      <c r="Q928" s="1" t="s">
        <v>5514</v>
      </c>
      <c r="R928" s="2"/>
      <c r="S928" s="2"/>
      <c r="T928" s="2"/>
      <c r="U928" s="2"/>
    </row>
    <row x14ac:dyDescent="0.25" r="929" customHeight="1" ht="17.25">
      <c r="A929" s="7">
        <v>928</v>
      </c>
      <c r="B929" s="1" t="s">
        <v>6370</v>
      </c>
      <c r="C929" s="5">
        <f>CONCATENATE("PD", TEXT(A929, "1000000"))</f>
      </c>
      <c r="D929" s="7">
        <v>59</v>
      </c>
      <c r="E929" s="5">
        <f>XLOOKUP(G929, item_category!C:C, item_category!B:B, "Not Found")</f>
      </c>
      <c r="F929" s="1" t="s">
        <v>5527</v>
      </c>
      <c r="G929" s="5">
        <f>XLOOKUP(I929, drug!B:B, drug!A:A, "Not Found")</f>
      </c>
      <c r="H929" s="1"/>
      <c r="I929" s="7">
        <v>1</v>
      </c>
      <c r="J929" s="5">
        <f>XLOOKUP(L929, uom!C:C, uom!B:B, "Not Found")</f>
      </c>
      <c r="K929" s="1" t="s">
        <v>5511</v>
      </c>
      <c r="L929" s="5">
        <f>XLOOKUP(N929, uom!C:C, uom!B:B, "Not Found")</f>
      </c>
      <c r="M929" s="1" t="s">
        <v>5511</v>
      </c>
      <c r="N929" s="8" t="s">
        <v>5512</v>
      </c>
      <c r="O929" s="1" t="s">
        <v>5513</v>
      </c>
      <c r="P929" s="5">
        <f>XLOOKUP(R929, classification!C:C, classification!B:B, "Not Found")</f>
      </c>
      <c r="Q929" s="1" t="s">
        <v>5514</v>
      </c>
      <c r="R929" s="2"/>
      <c r="S929" s="2"/>
      <c r="T929" s="2"/>
      <c r="U929" s="2"/>
    </row>
    <row x14ac:dyDescent="0.25" r="930" customHeight="1" ht="17.25">
      <c r="A930" s="7">
        <v>929</v>
      </c>
      <c r="B930" s="1" t="s">
        <v>6370</v>
      </c>
      <c r="C930" s="5">
        <f>CONCATENATE("PD", TEXT(A930, "1000000"))</f>
      </c>
      <c r="D930" s="7">
        <v>59</v>
      </c>
      <c r="E930" s="5">
        <f>XLOOKUP(G930, item_category!C:C, item_category!B:B, "Not Found")</f>
      </c>
      <c r="F930" s="1" t="s">
        <v>5527</v>
      </c>
      <c r="G930" s="5">
        <f>XLOOKUP(I930, drug!B:B, drug!A:A, "Not Found")</f>
      </c>
      <c r="H930" s="1"/>
      <c r="I930" s="7">
        <v>1</v>
      </c>
      <c r="J930" s="5">
        <f>XLOOKUP(L930, uom!C:C, uom!B:B, "Not Found")</f>
      </c>
      <c r="K930" s="1" t="s">
        <v>5511</v>
      </c>
      <c r="L930" s="5">
        <f>XLOOKUP(N930, uom!C:C, uom!B:B, "Not Found")</f>
      </c>
      <c r="M930" s="1" t="s">
        <v>5511</v>
      </c>
      <c r="N930" s="8" t="s">
        <v>5512</v>
      </c>
      <c r="O930" s="1" t="s">
        <v>5513</v>
      </c>
      <c r="P930" s="5">
        <f>XLOOKUP(R930, classification!C:C, classification!B:B, "Not Found")</f>
      </c>
      <c r="Q930" s="1" t="s">
        <v>5514</v>
      </c>
      <c r="R930" s="2"/>
      <c r="S930" s="2"/>
      <c r="T930" s="2"/>
      <c r="U930" s="2"/>
    </row>
    <row x14ac:dyDescent="0.25" r="931" customHeight="1" ht="17.25">
      <c r="A931" s="7">
        <v>930</v>
      </c>
      <c r="B931" s="1" t="s">
        <v>6371</v>
      </c>
      <c r="C931" s="5">
        <f>CONCATENATE("PD", TEXT(A931, "1000000"))</f>
      </c>
      <c r="D931" s="7">
        <v>59</v>
      </c>
      <c r="E931" s="5">
        <f>XLOOKUP(G931, item_category!C:C, item_category!B:B, "Not Found")</f>
      </c>
      <c r="F931" s="1" t="s">
        <v>5527</v>
      </c>
      <c r="G931" s="5">
        <f>XLOOKUP(I931, drug!B:B, drug!A:A, "Not Found")</f>
      </c>
      <c r="H931" s="1"/>
      <c r="I931" s="7">
        <v>1</v>
      </c>
      <c r="J931" s="5">
        <f>XLOOKUP(L931, uom!C:C, uom!B:B, "Not Found")</f>
      </c>
      <c r="K931" s="1" t="s">
        <v>5511</v>
      </c>
      <c r="L931" s="5">
        <f>XLOOKUP(N931, uom!C:C, uom!B:B, "Not Found")</f>
      </c>
      <c r="M931" s="1" t="s">
        <v>5511</v>
      </c>
      <c r="N931" s="8" t="s">
        <v>5512</v>
      </c>
      <c r="O931" s="1" t="s">
        <v>5513</v>
      </c>
      <c r="P931" s="5">
        <f>XLOOKUP(R931, classification!C:C, classification!B:B, "Not Found")</f>
      </c>
      <c r="Q931" s="1" t="s">
        <v>5514</v>
      </c>
      <c r="R931" s="2"/>
      <c r="S931" s="2"/>
      <c r="T931" s="2"/>
      <c r="U931" s="2"/>
    </row>
    <row x14ac:dyDescent="0.25" r="932" customHeight="1" ht="17.25">
      <c r="A932" s="7">
        <v>931</v>
      </c>
      <c r="B932" s="1" t="s">
        <v>6372</v>
      </c>
      <c r="C932" s="5">
        <f>CONCATENATE("PD", TEXT(A932, "1000000"))</f>
      </c>
      <c r="D932" s="7">
        <v>59</v>
      </c>
      <c r="E932" s="5">
        <f>XLOOKUP(G932, item_category!C:C, item_category!B:B, "Not Found")</f>
      </c>
      <c r="F932" s="1" t="s">
        <v>5527</v>
      </c>
      <c r="G932" s="5">
        <f>XLOOKUP(I932, drug!B:B, drug!A:A, "Not Found")</f>
      </c>
      <c r="H932" s="1"/>
      <c r="I932" s="7">
        <v>1</v>
      </c>
      <c r="J932" s="5">
        <f>XLOOKUP(L932, uom!C:C, uom!B:B, "Not Found")</f>
      </c>
      <c r="K932" s="1" t="s">
        <v>5511</v>
      </c>
      <c r="L932" s="5">
        <f>XLOOKUP(N932, uom!C:C, uom!B:B, "Not Found")</f>
      </c>
      <c r="M932" s="1" t="s">
        <v>5511</v>
      </c>
      <c r="N932" s="8" t="s">
        <v>5512</v>
      </c>
      <c r="O932" s="1" t="s">
        <v>5513</v>
      </c>
      <c r="P932" s="5">
        <f>XLOOKUP(R932, classification!C:C, classification!B:B, "Not Found")</f>
      </c>
      <c r="Q932" s="1" t="s">
        <v>5514</v>
      </c>
      <c r="R932" s="2"/>
      <c r="S932" s="2"/>
      <c r="T932" s="2"/>
      <c r="U932" s="2"/>
    </row>
    <row x14ac:dyDescent="0.25" r="933" customHeight="1" ht="17.25">
      <c r="A933" s="7">
        <v>932</v>
      </c>
      <c r="B933" s="1" t="s">
        <v>6373</v>
      </c>
      <c r="C933" s="5">
        <f>CONCATENATE("PD", TEXT(A933, "1000000"))</f>
      </c>
      <c r="D933" s="7">
        <v>59</v>
      </c>
      <c r="E933" s="5">
        <f>XLOOKUP(G933, item_category!C:C, item_category!B:B, "Not Found")</f>
      </c>
      <c r="F933" s="1" t="s">
        <v>5527</v>
      </c>
      <c r="G933" s="5">
        <f>XLOOKUP(I933, drug!B:B, drug!A:A, "Not Found")</f>
      </c>
      <c r="H933" s="1" t="s">
        <v>2006</v>
      </c>
      <c r="I933" s="7">
        <v>1</v>
      </c>
      <c r="J933" s="5">
        <f>XLOOKUP(L933, uom!C:C, uom!B:B, "Not Found")</f>
      </c>
      <c r="K933" s="1" t="s">
        <v>5511</v>
      </c>
      <c r="L933" s="5">
        <f>XLOOKUP(N933, uom!C:C, uom!B:B, "Not Found")</f>
      </c>
      <c r="M933" s="1" t="s">
        <v>5511</v>
      </c>
      <c r="N933" s="8" t="s">
        <v>5512</v>
      </c>
      <c r="O933" s="1" t="s">
        <v>5513</v>
      </c>
      <c r="P933" s="5">
        <f>XLOOKUP(R933, classification!C:C, classification!B:B, "Not Found")</f>
      </c>
      <c r="Q933" s="1" t="s">
        <v>5514</v>
      </c>
      <c r="R933" s="2"/>
      <c r="S933" s="2"/>
      <c r="T933" s="2"/>
      <c r="U933" s="2"/>
    </row>
    <row x14ac:dyDescent="0.25" r="934" customHeight="1" ht="17.25">
      <c r="A934" s="7">
        <v>933</v>
      </c>
      <c r="B934" s="1" t="s">
        <v>6374</v>
      </c>
      <c r="C934" s="5">
        <f>CONCATENATE("PD", TEXT(A934, "1000000"))</f>
      </c>
      <c r="D934" s="7">
        <v>59</v>
      </c>
      <c r="E934" s="5">
        <f>XLOOKUP(G934, item_category!C:C, item_category!B:B, "Not Found")</f>
      </c>
      <c r="F934" s="1" t="s">
        <v>5527</v>
      </c>
      <c r="G934" s="5">
        <f>XLOOKUP(I934, drug!B:B, drug!A:A, "Not Found")</f>
      </c>
      <c r="H934" s="1" t="s">
        <v>452</v>
      </c>
      <c r="I934" s="7">
        <v>1</v>
      </c>
      <c r="J934" s="5">
        <f>XLOOKUP(L934, uom!C:C, uom!B:B, "Not Found")</f>
      </c>
      <c r="K934" s="1" t="s">
        <v>5511</v>
      </c>
      <c r="L934" s="5">
        <f>XLOOKUP(N934, uom!C:C, uom!B:B, "Not Found")</f>
      </c>
      <c r="M934" s="1" t="s">
        <v>5511</v>
      </c>
      <c r="N934" s="8" t="s">
        <v>5512</v>
      </c>
      <c r="O934" s="1" t="s">
        <v>5513</v>
      </c>
      <c r="P934" s="5">
        <f>XLOOKUP(R934, classification!C:C, classification!B:B, "Not Found")</f>
      </c>
      <c r="Q934" s="1" t="s">
        <v>5514</v>
      </c>
      <c r="R934" s="2"/>
      <c r="S934" s="2"/>
      <c r="T934" s="2"/>
      <c r="U934" s="2"/>
    </row>
    <row x14ac:dyDescent="0.25" r="935" customHeight="1" ht="17.25">
      <c r="A935" s="7">
        <v>934</v>
      </c>
      <c r="B935" s="1" t="s">
        <v>6375</v>
      </c>
      <c r="C935" s="5">
        <f>CONCATENATE("PD", TEXT(A935, "1000000"))</f>
      </c>
      <c r="D935" s="7">
        <v>59</v>
      </c>
      <c r="E935" s="5">
        <f>XLOOKUP(G935, item_category!C:C, item_category!B:B, "Not Found")</f>
      </c>
      <c r="F935" s="1" t="s">
        <v>5527</v>
      </c>
      <c r="G935" s="5">
        <f>XLOOKUP(I935, drug!B:B, drug!A:A, "Not Found")</f>
      </c>
      <c r="H935" s="1" t="s">
        <v>452</v>
      </c>
      <c r="I935" s="7">
        <v>1</v>
      </c>
      <c r="J935" s="5">
        <f>XLOOKUP(L935, uom!C:C, uom!B:B, "Not Found")</f>
      </c>
      <c r="K935" s="1" t="s">
        <v>5511</v>
      </c>
      <c r="L935" s="5">
        <f>XLOOKUP(N935, uom!C:C, uom!B:B, "Not Found")</f>
      </c>
      <c r="M935" s="1" t="s">
        <v>5511</v>
      </c>
      <c r="N935" s="8" t="s">
        <v>5512</v>
      </c>
      <c r="O935" s="1" t="s">
        <v>5513</v>
      </c>
      <c r="P935" s="5">
        <f>XLOOKUP(R935, classification!C:C, classification!B:B, "Not Found")</f>
      </c>
      <c r="Q935" s="1" t="s">
        <v>5514</v>
      </c>
      <c r="R935" s="2"/>
      <c r="S935" s="2"/>
      <c r="T935" s="2"/>
      <c r="U935" s="2"/>
    </row>
    <row x14ac:dyDescent="0.25" r="936" customHeight="1" ht="17.25">
      <c r="A936" s="7">
        <v>935</v>
      </c>
      <c r="B936" s="1" t="s">
        <v>6376</v>
      </c>
      <c r="C936" s="5">
        <f>CONCATENATE("PD", TEXT(A936, "1000000"))</f>
      </c>
      <c r="D936" s="7">
        <v>59</v>
      </c>
      <c r="E936" s="5">
        <f>XLOOKUP(G936, item_category!C:C, item_category!B:B, "Not Found")</f>
      </c>
      <c r="F936" s="1" t="s">
        <v>5527</v>
      </c>
      <c r="G936" s="5">
        <f>XLOOKUP(I936, drug!B:B, drug!A:A, "Not Found")</f>
      </c>
      <c r="H936" s="1"/>
      <c r="I936" s="7">
        <v>1</v>
      </c>
      <c r="J936" s="5">
        <f>XLOOKUP(L936, uom!C:C, uom!B:B, "Not Found")</f>
      </c>
      <c r="K936" s="1" t="s">
        <v>5511</v>
      </c>
      <c r="L936" s="5">
        <f>XLOOKUP(N936, uom!C:C, uom!B:B, "Not Found")</f>
      </c>
      <c r="M936" s="1" t="s">
        <v>5511</v>
      </c>
      <c r="N936" s="8" t="s">
        <v>5512</v>
      </c>
      <c r="O936" s="1" t="s">
        <v>5513</v>
      </c>
      <c r="P936" s="5">
        <f>XLOOKUP(R936, classification!C:C, classification!B:B, "Not Found")</f>
      </c>
      <c r="Q936" s="1" t="s">
        <v>5514</v>
      </c>
      <c r="R936" s="2"/>
      <c r="S936" s="2"/>
      <c r="T936" s="2"/>
      <c r="U936" s="2"/>
    </row>
    <row x14ac:dyDescent="0.25" r="937" customHeight="1" ht="17.25">
      <c r="A937" s="7">
        <v>936</v>
      </c>
      <c r="B937" s="1" t="s">
        <v>6377</v>
      </c>
      <c r="C937" s="5">
        <f>CONCATENATE("PD", TEXT(A937, "1000000"))</f>
      </c>
      <c r="D937" s="7">
        <v>59</v>
      </c>
      <c r="E937" s="5">
        <f>XLOOKUP(G937, item_category!C:C, item_category!B:B, "Not Found")</f>
      </c>
      <c r="F937" s="1" t="s">
        <v>5527</v>
      </c>
      <c r="G937" s="5">
        <f>XLOOKUP(I937, drug!B:B, drug!A:A, "Not Found")</f>
      </c>
      <c r="H937" s="1"/>
      <c r="I937" s="7">
        <v>1</v>
      </c>
      <c r="J937" s="5">
        <f>XLOOKUP(L937, uom!C:C, uom!B:B, "Not Found")</f>
      </c>
      <c r="K937" s="1" t="s">
        <v>5511</v>
      </c>
      <c r="L937" s="5">
        <f>XLOOKUP(N937, uom!C:C, uom!B:B, "Not Found")</f>
      </c>
      <c r="M937" s="1" t="s">
        <v>5511</v>
      </c>
      <c r="N937" s="8" t="s">
        <v>5512</v>
      </c>
      <c r="O937" s="1" t="s">
        <v>5513</v>
      </c>
      <c r="P937" s="5">
        <f>XLOOKUP(R937, classification!C:C, classification!B:B, "Not Found")</f>
      </c>
      <c r="Q937" s="1" t="s">
        <v>5514</v>
      </c>
      <c r="R937" s="2"/>
      <c r="S937" s="2"/>
      <c r="T937" s="2"/>
      <c r="U937" s="2"/>
    </row>
    <row x14ac:dyDescent="0.25" r="938" customHeight="1" ht="17.25">
      <c r="A938" s="7">
        <v>937</v>
      </c>
      <c r="B938" s="1" t="s">
        <v>6378</v>
      </c>
      <c r="C938" s="5">
        <f>CONCATENATE("PD", TEXT(A938, "1000000"))</f>
      </c>
      <c r="D938" s="7">
        <v>59</v>
      </c>
      <c r="E938" s="5">
        <f>XLOOKUP(G938, item_category!C:C, item_category!B:B, "Not Found")</f>
      </c>
      <c r="F938" s="1" t="s">
        <v>5527</v>
      </c>
      <c r="G938" s="5">
        <f>XLOOKUP(I938, drug!B:B, drug!A:A, "Not Found")</f>
      </c>
      <c r="H938" s="1" t="s">
        <v>769</v>
      </c>
      <c r="I938" s="7">
        <v>1</v>
      </c>
      <c r="J938" s="5">
        <f>XLOOKUP(L938, uom!C:C, uom!B:B, "Not Found")</f>
      </c>
      <c r="K938" s="1" t="s">
        <v>5511</v>
      </c>
      <c r="L938" s="5">
        <f>XLOOKUP(N938, uom!C:C, uom!B:B, "Not Found")</f>
      </c>
      <c r="M938" s="1" t="s">
        <v>5511</v>
      </c>
      <c r="N938" s="8" t="s">
        <v>5512</v>
      </c>
      <c r="O938" s="1" t="s">
        <v>5513</v>
      </c>
      <c r="P938" s="5">
        <f>XLOOKUP(R938, classification!C:C, classification!B:B, "Not Found")</f>
      </c>
      <c r="Q938" s="1" t="s">
        <v>5514</v>
      </c>
      <c r="R938" s="2"/>
      <c r="S938" s="2"/>
      <c r="T938" s="2"/>
      <c r="U938" s="2"/>
    </row>
    <row x14ac:dyDescent="0.25" r="939" customHeight="1" ht="17.25">
      <c r="A939" s="7">
        <v>938</v>
      </c>
      <c r="B939" s="1" t="s">
        <v>6379</v>
      </c>
      <c r="C939" s="5">
        <f>CONCATENATE("PD", TEXT(A939, "1000000"))</f>
      </c>
      <c r="D939" s="7">
        <v>59</v>
      </c>
      <c r="E939" s="5">
        <f>XLOOKUP(G939, item_category!C:C, item_category!B:B, "Not Found")</f>
      </c>
      <c r="F939" s="1" t="s">
        <v>5527</v>
      </c>
      <c r="G939" s="5">
        <f>XLOOKUP(I939, drug!B:B, drug!A:A, "Not Found")</f>
      </c>
      <c r="H939" s="1" t="s">
        <v>542</v>
      </c>
      <c r="I939" s="7">
        <v>1</v>
      </c>
      <c r="J939" s="5">
        <f>XLOOKUP(L939, uom!C:C, uom!B:B, "Not Found")</f>
      </c>
      <c r="K939" s="1" t="s">
        <v>5511</v>
      </c>
      <c r="L939" s="5">
        <f>XLOOKUP(N939, uom!C:C, uom!B:B, "Not Found")</f>
      </c>
      <c r="M939" s="1" t="s">
        <v>5511</v>
      </c>
      <c r="N939" s="8" t="s">
        <v>5512</v>
      </c>
      <c r="O939" s="1" t="s">
        <v>5513</v>
      </c>
      <c r="P939" s="5">
        <f>XLOOKUP(R939, classification!C:C, classification!B:B, "Not Found")</f>
      </c>
      <c r="Q939" s="1" t="s">
        <v>5514</v>
      </c>
      <c r="R939" s="2"/>
      <c r="S939" s="2"/>
      <c r="T939" s="2"/>
      <c r="U939" s="2"/>
    </row>
    <row x14ac:dyDescent="0.25" r="940" customHeight="1" ht="17.25">
      <c r="A940" s="7">
        <v>939</v>
      </c>
      <c r="B940" s="1" t="s">
        <v>6380</v>
      </c>
      <c r="C940" s="5">
        <f>CONCATENATE("PD", TEXT(A940, "1000000"))</f>
      </c>
      <c r="D940" s="7">
        <v>59</v>
      </c>
      <c r="E940" s="5">
        <f>XLOOKUP(G940, item_category!C:C, item_category!B:B, "Not Found")</f>
      </c>
      <c r="F940" s="1" t="s">
        <v>5527</v>
      </c>
      <c r="G940" s="5">
        <f>XLOOKUP(I940, drug!B:B, drug!A:A, "Not Found")</f>
      </c>
      <c r="H940" s="1" t="s">
        <v>1942</v>
      </c>
      <c r="I940" s="7">
        <v>1</v>
      </c>
      <c r="J940" s="5">
        <f>XLOOKUP(L940, uom!C:C, uom!B:B, "Not Found")</f>
      </c>
      <c r="K940" s="1" t="s">
        <v>5511</v>
      </c>
      <c r="L940" s="5">
        <f>XLOOKUP(N940, uom!C:C, uom!B:B, "Not Found")</f>
      </c>
      <c r="M940" s="1" t="s">
        <v>5511</v>
      </c>
      <c r="N940" s="8" t="s">
        <v>5512</v>
      </c>
      <c r="O940" s="1" t="s">
        <v>5513</v>
      </c>
      <c r="P940" s="5">
        <f>XLOOKUP(R940, classification!C:C, classification!B:B, "Not Found")</f>
      </c>
      <c r="Q940" s="1" t="s">
        <v>5514</v>
      </c>
      <c r="R940" s="2"/>
      <c r="S940" s="2"/>
      <c r="T940" s="2"/>
      <c r="U940" s="2"/>
    </row>
    <row x14ac:dyDescent="0.25" r="941" customHeight="1" ht="17.25">
      <c r="A941" s="7">
        <v>940</v>
      </c>
      <c r="B941" s="1" t="s">
        <v>6381</v>
      </c>
      <c r="C941" s="5">
        <f>CONCATENATE("PD", TEXT(A941, "1000000"))</f>
      </c>
      <c r="D941" s="7">
        <v>59</v>
      </c>
      <c r="E941" s="5">
        <f>XLOOKUP(G941, item_category!C:C, item_category!B:B, "Not Found")</f>
      </c>
      <c r="F941" s="1" t="s">
        <v>5527</v>
      </c>
      <c r="G941" s="5">
        <f>XLOOKUP(I941, drug!B:B, drug!A:A, "Not Found")</f>
      </c>
      <c r="H941" s="1" t="s">
        <v>623</v>
      </c>
      <c r="I941" s="7">
        <v>1</v>
      </c>
      <c r="J941" s="5">
        <f>XLOOKUP(L941, uom!C:C, uom!B:B, "Not Found")</f>
      </c>
      <c r="K941" s="1" t="s">
        <v>5511</v>
      </c>
      <c r="L941" s="5">
        <f>XLOOKUP(N941, uom!C:C, uom!B:B, "Not Found")</f>
      </c>
      <c r="M941" s="1" t="s">
        <v>5511</v>
      </c>
      <c r="N941" s="8" t="s">
        <v>5512</v>
      </c>
      <c r="O941" s="1" t="s">
        <v>5513</v>
      </c>
      <c r="P941" s="5">
        <f>XLOOKUP(R941, classification!C:C, classification!B:B, "Not Found")</f>
      </c>
      <c r="Q941" s="1" t="s">
        <v>5514</v>
      </c>
      <c r="R941" s="2"/>
      <c r="S941" s="2"/>
      <c r="T941" s="2"/>
      <c r="U941" s="2"/>
    </row>
    <row x14ac:dyDescent="0.25" r="942" customHeight="1" ht="17.25">
      <c r="A942" s="7">
        <v>941</v>
      </c>
      <c r="B942" s="1" t="s">
        <v>6382</v>
      </c>
      <c r="C942" s="5">
        <f>CONCATENATE("PD", TEXT(A942, "1000000"))</f>
      </c>
      <c r="D942" s="7">
        <v>59</v>
      </c>
      <c r="E942" s="5">
        <f>XLOOKUP(G942, item_category!C:C, item_category!B:B, "Not Found")</f>
      </c>
      <c r="F942" s="1" t="s">
        <v>5527</v>
      </c>
      <c r="G942" s="5">
        <f>XLOOKUP(I942, drug!B:B, drug!A:A, "Not Found")</f>
      </c>
      <c r="H942" s="1" t="s">
        <v>623</v>
      </c>
      <c r="I942" s="7">
        <v>1</v>
      </c>
      <c r="J942" s="5">
        <f>XLOOKUP(L942, uom!C:C, uom!B:B, "Not Found")</f>
      </c>
      <c r="K942" s="1" t="s">
        <v>5511</v>
      </c>
      <c r="L942" s="5">
        <f>XLOOKUP(N942, uom!C:C, uom!B:B, "Not Found")</f>
      </c>
      <c r="M942" s="1" t="s">
        <v>5511</v>
      </c>
      <c r="N942" s="8" t="s">
        <v>5512</v>
      </c>
      <c r="O942" s="1" t="s">
        <v>5513</v>
      </c>
      <c r="P942" s="5">
        <f>XLOOKUP(R942, classification!C:C, classification!B:B, "Not Found")</f>
      </c>
      <c r="Q942" s="1" t="s">
        <v>5514</v>
      </c>
      <c r="R942" s="2"/>
      <c r="S942" s="2"/>
      <c r="T942" s="2"/>
      <c r="U942" s="2"/>
    </row>
    <row x14ac:dyDescent="0.25" r="943" customHeight="1" ht="17.25">
      <c r="A943" s="7">
        <v>942</v>
      </c>
      <c r="B943" s="1" t="s">
        <v>6383</v>
      </c>
      <c r="C943" s="5">
        <f>CONCATENATE("PD", TEXT(A943, "1000000"))</f>
      </c>
      <c r="D943" s="7">
        <v>59</v>
      </c>
      <c r="E943" s="5">
        <f>XLOOKUP(G943, item_category!C:C, item_category!B:B, "Not Found")</f>
      </c>
      <c r="F943" s="1" t="s">
        <v>5527</v>
      </c>
      <c r="G943" s="5">
        <f>XLOOKUP(I943, drug!B:B, drug!A:A, "Not Found")</f>
      </c>
      <c r="H943" s="1"/>
      <c r="I943" s="7">
        <v>1</v>
      </c>
      <c r="J943" s="5">
        <f>XLOOKUP(L943, uom!C:C, uom!B:B, "Not Found")</f>
      </c>
      <c r="K943" s="1" t="s">
        <v>5511</v>
      </c>
      <c r="L943" s="5">
        <f>XLOOKUP(N943, uom!C:C, uom!B:B, "Not Found")</f>
      </c>
      <c r="M943" s="1" t="s">
        <v>5511</v>
      </c>
      <c r="N943" s="8" t="s">
        <v>5512</v>
      </c>
      <c r="O943" s="1" t="s">
        <v>5513</v>
      </c>
      <c r="P943" s="5">
        <f>XLOOKUP(R943, classification!C:C, classification!B:B, "Not Found")</f>
      </c>
      <c r="Q943" s="1" t="s">
        <v>5514</v>
      </c>
      <c r="R943" s="2"/>
      <c r="S943" s="2"/>
      <c r="T943" s="2"/>
      <c r="U943" s="2"/>
    </row>
    <row x14ac:dyDescent="0.25" r="944" customHeight="1" ht="17.25">
      <c r="A944" s="7">
        <v>943</v>
      </c>
      <c r="B944" s="1" t="s">
        <v>6384</v>
      </c>
      <c r="C944" s="5">
        <f>CONCATENATE("PD", TEXT(A944, "1000000"))</f>
      </c>
      <c r="D944" s="7">
        <v>59</v>
      </c>
      <c r="E944" s="5">
        <f>XLOOKUP(G944, item_category!C:C, item_category!B:B, "Not Found")</f>
      </c>
      <c r="F944" s="1" t="s">
        <v>5527</v>
      </c>
      <c r="G944" s="5">
        <f>XLOOKUP(I944, drug!B:B, drug!A:A, "Not Found")</f>
      </c>
      <c r="H944" s="1"/>
      <c r="I944" s="7">
        <v>1</v>
      </c>
      <c r="J944" s="5">
        <f>XLOOKUP(L944, uom!C:C, uom!B:B, "Not Found")</f>
      </c>
      <c r="K944" s="1" t="s">
        <v>5511</v>
      </c>
      <c r="L944" s="5">
        <f>XLOOKUP(N944, uom!C:C, uom!B:B, "Not Found")</f>
      </c>
      <c r="M944" s="1" t="s">
        <v>5511</v>
      </c>
      <c r="N944" s="8" t="s">
        <v>5512</v>
      </c>
      <c r="O944" s="1" t="s">
        <v>5513</v>
      </c>
      <c r="P944" s="5">
        <f>XLOOKUP(R944, classification!C:C, classification!B:B, "Not Found")</f>
      </c>
      <c r="Q944" s="1" t="s">
        <v>5514</v>
      </c>
      <c r="R944" s="2"/>
      <c r="S944" s="2"/>
      <c r="T944" s="2"/>
      <c r="U944" s="2"/>
    </row>
    <row x14ac:dyDescent="0.25" r="945" customHeight="1" ht="17.25">
      <c r="A945" s="7">
        <v>944</v>
      </c>
      <c r="B945" s="1" t="s">
        <v>6385</v>
      </c>
      <c r="C945" s="5">
        <f>CONCATENATE("PD", TEXT(A945, "1000000"))</f>
      </c>
      <c r="D945" s="7">
        <v>59</v>
      </c>
      <c r="E945" s="5">
        <f>XLOOKUP(G945, item_category!C:C, item_category!B:B, "Not Found")</f>
      </c>
      <c r="F945" s="1" t="s">
        <v>5527</v>
      </c>
      <c r="G945" s="5">
        <f>XLOOKUP(I945, drug!B:B, drug!A:A, "Not Found")</f>
      </c>
      <c r="H945" s="1"/>
      <c r="I945" s="7">
        <v>1</v>
      </c>
      <c r="J945" s="5">
        <f>XLOOKUP(L945, uom!C:C, uom!B:B, "Not Found")</f>
      </c>
      <c r="K945" s="1" t="s">
        <v>5511</v>
      </c>
      <c r="L945" s="5">
        <f>XLOOKUP(N945, uom!C:C, uom!B:B, "Not Found")</f>
      </c>
      <c r="M945" s="1" t="s">
        <v>5511</v>
      </c>
      <c r="N945" s="8" t="s">
        <v>5512</v>
      </c>
      <c r="O945" s="1" t="s">
        <v>5513</v>
      </c>
      <c r="P945" s="5">
        <f>XLOOKUP(R945, classification!C:C, classification!B:B, "Not Found")</f>
      </c>
      <c r="Q945" s="1" t="s">
        <v>5514</v>
      </c>
      <c r="R945" s="2"/>
      <c r="S945" s="2"/>
      <c r="T945" s="2"/>
      <c r="U945" s="2"/>
    </row>
    <row x14ac:dyDescent="0.25" r="946" customHeight="1" ht="17.25">
      <c r="A946" s="7">
        <v>945</v>
      </c>
      <c r="B946" s="1" t="s">
        <v>6386</v>
      </c>
      <c r="C946" s="5">
        <f>CONCATENATE("PD", TEXT(A946, "1000000"))</f>
      </c>
      <c r="D946" s="7">
        <v>59</v>
      </c>
      <c r="E946" s="5">
        <f>XLOOKUP(G946, item_category!C:C, item_category!B:B, "Not Found")</f>
      </c>
      <c r="F946" s="1" t="s">
        <v>5527</v>
      </c>
      <c r="G946" s="5">
        <f>XLOOKUP(I946, drug!B:B, drug!A:A, "Not Found")</f>
      </c>
      <c r="H946" s="1"/>
      <c r="I946" s="7">
        <v>1</v>
      </c>
      <c r="J946" s="5">
        <f>XLOOKUP(L946, uom!C:C, uom!B:B, "Not Found")</f>
      </c>
      <c r="K946" s="1" t="s">
        <v>5511</v>
      </c>
      <c r="L946" s="5">
        <f>XLOOKUP(N946, uom!C:C, uom!B:B, "Not Found")</f>
      </c>
      <c r="M946" s="1" t="s">
        <v>5511</v>
      </c>
      <c r="N946" s="8" t="s">
        <v>5512</v>
      </c>
      <c r="O946" s="1" t="s">
        <v>5513</v>
      </c>
      <c r="P946" s="5">
        <f>XLOOKUP(R946, classification!C:C, classification!B:B, "Not Found")</f>
      </c>
      <c r="Q946" s="1" t="s">
        <v>5514</v>
      </c>
      <c r="R946" s="2"/>
      <c r="S946" s="2"/>
      <c r="T946" s="2"/>
      <c r="U946" s="2"/>
    </row>
    <row x14ac:dyDescent="0.25" r="947" customHeight="1" ht="17.25">
      <c r="A947" s="7">
        <v>946</v>
      </c>
      <c r="B947" s="1" t="s">
        <v>2452</v>
      </c>
      <c r="C947" s="5">
        <f>CONCATENATE("PD", TEXT(A947, "1000000"))</f>
      </c>
      <c r="D947" s="7">
        <v>59</v>
      </c>
      <c r="E947" s="5">
        <f>XLOOKUP(G947, item_category!C:C, item_category!B:B, "Not Found")</f>
      </c>
      <c r="F947" s="1" t="s">
        <v>5527</v>
      </c>
      <c r="G947" s="5">
        <f>XLOOKUP(I947, drug!B:B, drug!A:A, "Not Found")</f>
      </c>
      <c r="H947" s="1"/>
      <c r="I947" s="7">
        <v>1</v>
      </c>
      <c r="J947" s="5">
        <f>XLOOKUP(L947, uom!C:C, uom!B:B, "Not Found")</f>
      </c>
      <c r="K947" s="1" t="s">
        <v>5511</v>
      </c>
      <c r="L947" s="5">
        <f>XLOOKUP(N947, uom!C:C, uom!B:B, "Not Found")</f>
      </c>
      <c r="M947" s="1" t="s">
        <v>5511</v>
      </c>
      <c r="N947" s="8" t="s">
        <v>5512</v>
      </c>
      <c r="O947" s="1" t="s">
        <v>5513</v>
      </c>
      <c r="P947" s="5">
        <f>XLOOKUP(R947, classification!C:C, classification!B:B, "Not Found")</f>
      </c>
      <c r="Q947" s="1" t="s">
        <v>5514</v>
      </c>
      <c r="R947" s="2"/>
      <c r="S947" s="2"/>
      <c r="T947" s="2"/>
      <c r="U947" s="2"/>
    </row>
    <row x14ac:dyDescent="0.25" r="948" customHeight="1" ht="17.25">
      <c r="A948" s="7">
        <v>947</v>
      </c>
      <c r="B948" s="1" t="s">
        <v>6387</v>
      </c>
      <c r="C948" s="5">
        <f>CONCATENATE("PD", TEXT(A948, "1000000"))</f>
      </c>
      <c r="D948" s="7">
        <v>59</v>
      </c>
      <c r="E948" s="5">
        <f>XLOOKUP(G948, item_category!C:C, item_category!B:B, "Not Found")</f>
      </c>
      <c r="F948" s="1" t="s">
        <v>5527</v>
      </c>
      <c r="G948" s="5">
        <f>XLOOKUP(I948, drug!B:B, drug!A:A, "Not Found")</f>
      </c>
      <c r="H948" s="1" t="s">
        <v>810</v>
      </c>
      <c r="I948" s="7">
        <v>1</v>
      </c>
      <c r="J948" s="5">
        <f>XLOOKUP(L948, uom!C:C, uom!B:B, "Not Found")</f>
      </c>
      <c r="K948" s="1" t="s">
        <v>5511</v>
      </c>
      <c r="L948" s="5">
        <f>XLOOKUP(N948, uom!C:C, uom!B:B, "Not Found")</f>
      </c>
      <c r="M948" s="1" t="s">
        <v>5511</v>
      </c>
      <c r="N948" s="8" t="s">
        <v>5512</v>
      </c>
      <c r="O948" s="1" t="s">
        <v>5513</v>
      </c>
      <c r="P948" s="5">
        <f>XLOOKUP(R948, classification!C:C, classification!B:B, "Not Found")</f>
      </c>
      <c r="Q948" s="1" t="s">
        <v>5514</v>
      </c>
      <c r="R948" s="2"/>
      <c r="S948" s="2"/>
      <c r="T948" s="2"/>
      <c r="U948" s="2"/>
    </row>
    <row x14ac:dyDescent="0.25" r="949" customHeight="1" ht="17.25">
      <c r="A949" s="7">
        <v>948</v>
      </c>
      <c r="B949" s="1" t="s">
        <v>6388</v>
      </c>
      <c r="C949" s="5">
        <f>CONCATENATE("PD", TEXT(A949, "1000000"))</f>
      </c>
      <c r="D949" s="7">
        <v>59</v>
      </c>
      <c r="E949" s="5">
        <f>XLOOKUP(G949, item_category!C:C, item_category!B:B, "Not Found")</f>
      </c>
      <c r="F949" s="1" t="s">
        <v>5527</v>
      </c>
      <c r="G949" s="5">
        <f>XLOOKUP(I949, drug!B:B, drug!A:A, "Not Found")</f>
      </c>
      <c r="H949" s="1" t="s">
        <v>824</v>
      </c>
      <c r="I949" s="7">
        <v>1</v>
      </c>
      <c r="J949" s="5">
        <f>XLOOKUP(L949, uom!C:C, uom!B:B, "Not Found")</f>
      </c>
      <c r="K949" s="1" t="s">
        <v>5511</v>
      </c>
      <c r="L949" s="5">
        <f>XLOOKUP(N949, uom!C:C, uom!B:B, "Not Found")</f>
      </c>
      <c r="M949" s="1" t="s">
        <v>5511</v>
      </c>
      <c r="N949" s="8" t="s">
        <v>5512</v>
      </c>
      <c r="O949" s="1" t="s">
        <v>5513</v>
      </c>
      <c r="P949" s="5">
        <f>XLOOKUP(R949, classification!C:C, classification!B:B, "Not Found")</f>
      </c>
      <c r="Q949" s="1" t="s">
        <v>5514</v>
      </c>
      <c r="R949" s="2"/>
      <c r="S949" s="2"/>
      <c r="T949" s="2"/>
      <c r="U949" s="2"/>
    </row>
    <row x14ac:dyDescent="0.25" r="950" customHeight="1" ht="17.25">
      <c r="A950" s="7">
        <v>949</v>
      </c>
      <c r="B950" s="1" t="s">
        <v>4063</v>
      </c>
      <c r="C950" s="5">
        <f>CONCATENATE("PD", TEXT(A950, "1000000"))</f>
      </c>
      <c r="D950" s="7">
        <v>59</v>
      </c>
      <c r="E950" s="5">
        <f>XLOOKUP(G950, item_category!C:C, item_category!B:B, "Not Found")</f>
      </c>
      <c r="F950" s="1" t="s">
        <v>5527</v>
      </c>
      <c r="G950" s="5">
        <f>XLOOKUP(I950, drug!B:B, drug!A:A, "Not Found")</f>
      </c>
      <c r="H950" s="1" t="s">
        <v>881</v>
      </c>
      <c r="I950" s="7">
        <v>1</v>
      </c>
      <c r="J950" s="5">
        <f>XLOOKUP(L950, uom!C:C, uom!B:B, "Not Found")</f>
      </c>
      <c r="K950" s="1" t="s">
        <v>5511</v>
      </c>
      <c r="L950" s="5">
        <f>XLOOKUP(N950, uom!C:C, uom!B:B, "Not Found")</f>
      </c>
      <c r="M950" s="1" t="s">
        <v>5511</v>
      </c>
      <c r="N950" s="8" t="s">
        <v>5512</v>
      </c>
      <c r="O950" s="1" t="s">
        <v>5513</v>
      </c>
      <c r="P950" s="5">
        <f>XLOOKUP(R950, classification!C:C, classification!B:B, "Not Found")</f>
      </c>
      <c r="Q950" s="1" t="s">
        <v>5514</v>
      </c>
      <c r="R950" s="2"/>
      <c r="S950" s="2"/>
      <c r="T950" s="2"/>
      <c r="U950" s="2"/>
    </row>
    <row x14ac:dyDescent="0.25" r="951" customHeight="1" ht="17.25">
      <c r="A951" s="7">
        <v>950</v>
      </c>
      <c r="B951" s="1" t="s">
        <v>6389</v>
      </c>
      <c r="C951" s="5">
        <f>CONCATENATE("PD", TEXT(A951, "1000000"))</f>
      </c>
      <c r="D951" s="7">
        <v>59</v>
      </c>
      <c r="E951" s="5">
        <f>XLOOKUP(G951, item_category!C:C, item_category!B:B, "Not Found")</f>
      </c>
      <c r="F951" s="1" t="s">
        <v>5527</v>
      </c>
      <c r="G951" s="5">
        <f>XLOOKUP(I951, drug!B:B, drug!A:A, "Not Found")</f>
      </c>
      <c r="H951" s="1"/>
      <c r="I951" s="7">
        <v>1</v>
      </c>
      <c r="J951" s="5">
        <f>XLOOKUP(L951, uom!C:C, uom!B:B, "Not Found")</f>
      </c>
      <c r="K951" s="1" t="s">
        <v>5511</v>
      </c>
      <c r="L951" s="5">
        <f>XLOOKUP(N951, uom!C:C, uom!B:B, "Not Found")</f>
      </c>
      <c r="M951" s="1" t="s">
        <v>5511</v>
      </c>
      <c r="N951" s="8" t="s">
        <v>5512</v>
      </c>
      <c r="O951" s="1" t="s">
        <v>5513</v>
      </c>
      <c r="P951" s="5">
        <f>XLOOKUP(R951, classification!C:C, classification!B:B, "Not Found")</f>
      </c>
      <c r="Q951" s="1" t="s">
        <v>5514</v>
      </c>
      <c r="R951" s="2"/>
      <c r="S951" s="2"/>
      <c r="T951" s="2"/>
      <c r="U951" s="2"/>
    </row>
    <row x14ac:dyDescent="0.25" r="952" customHeight="1" ht="17.25">
      <c r="A952" s="7">
        <v>951</v>
      </c>
      <c r="B952" s="1" t="s">
        <v>6390</v>
      </c>
      <c r="C952" s="5">
        <f>CONCATENATE("PD", TEXT(A952, "1000000"))</f>
      </c>
      <c r="D952" s="7">
        <v>59</v>
      </c>
      <c r="E952" s="5">
        <f>XLOOKUP(G952, item_category!C:C, item_category!B:B, "Not Found")</f>
      </c>
      <c r="F952" s="1" t="s">
        <v>5527</v>
      </c>
      <c r="G952" s="5">
        <f>XLOOKUP(I952, drug!B:B, drug!A:A, "Not Found")</f>
      </c>
      <c r="H952" s="1"/>
      <c r="I952" s="7">
        <v>1</v>
      </c>
      <c r="J952" s="5">
        <f>XLOOKUP(L952, uom!C:C, uom!B:B, "Not Found")</f>
      </c>
      <c r="K952" s="1" t="s">
        <v>5511</v>
      </c>
      <c r="L952" s="5">
        <f>XLOOKUP(N952, uom!C:C, uom!B:B, "Not Found")</f>
      </c>
      <c r="M952" s="1" t="s">
        <v>5511</v>
      </c>
      <c r="N952" s="8" t="s">
        <v>5512</v>
      </c>
      <c r="O952" s="1" t="s">
        <v>5513</v>
      </c>
      <c r="P952" s="5">
        <f>XLOOKUP(R952, classification!C:C, classification!B:B, "Not Found")</f>
      </c>
      <c r="Q952" s="1" t="s">
        <v>5514</v>
      </c>
      <c r="R952" s="2"/>
      <c r="S952" s="2"/>
      <c r="T952" s="2"/>
      <c r="U952" s="2"/>
    </row>
    <row x14ac:dyDescent="0.25" r="953" customHeight="1" ht="17.25">
      <c r="A953" s="7">
        <v>952</v>
      </c>
      <c r="B953" s="1" t="s">
        <v>6391</v>
      </c>
      <c r="C953" s="5">
        <f>CONCATENATE("PD", TEXT(A953, "1000000"))</f>
      </c>
      <c r="D953" s="7">
        <v>59</v>
      </c>
      <c r="E953" s="5">
        <f>XLOOKUP(G953, item_category!C:C, item_category!B:B, "Not Found")</f>
      </c>
      <c r="F953" s="1" t="s">
        <v>5527</v>
      </c>
      <c r="G953" s="5">
        <f>XLOOKUP(I953, drug!B:B, drug!A:A, "Not Found")</f>
      </c>
      <c r="H953" s="1" t="s">
        <v>945</v>
      </c>
      <c r="I953" s="7">
        <v>1</v>
      </c>
      <c r="J953" s="5">
        <f>XLOOKUP(L953, uom!C:C, uom!B:B, "Not Found")</f>
      </c>
      <c r="K953" s="1" t="s">
        <v>5511</v>
      </c>
      <c r="L953" s="5">
        <f>XLOOKUP(N953, uom!C:C, uom!B:B, "Not Found")</f>
      </c>
      <c r="M953" s="1" t="s">
        <v>5511</v>
      </c>
      <c r="N953" s="8" t="s">
        <v>5512</v>
      </c>
      <c r="O953" s="1" t="s">
        <v>5513</v>
      </c>
      <c r="P953" s="5">
        <f>XLOOKUP(R953, classification!C:C, classification!B:B, "Not Found")</f>
      </c>
      <c r="Q953" s="1" t="s">
        <v>5514</v>
      </c>
      <c r="R953" s="2"/>
      <c r="S953" s="2"/>
      <c r="T953" s="2"/>
      <c r="U953" s="2"/>
    </row>
    <row x14ac:dyDescent="0.25" r="954" customHeight="1" ht="17.25">
      <c r="A954" s="7">
        <v>953</v>
      </c>
      <c r="B954" s="1" t="s">
        <v>6392</v>
      </c>
      <c r="C954" s="5">
        <f>CONCATENATE("PD", TEXT(A954, "1000000"))</f>
      </c>
      <c r="D954" s="7">
        <v>59</v>
      </c>
      <c r="E954" s="5">
        <f>XLOOKUP(G954, item_category!C:C, item_category!B:B, "Not Found")</f>
      </c>
      <c r="F954" s="1" t="s">
        <v>5527</v>
      </c>
      <c r="G954" s="5">
        <f>XLOOKUP(I954, drug!B:B, drug!A:A, "Not Found")</f>
      </c>
      <c r="H954" s="1" t="s">
        <v>945</v>
      </c>
      <c r="I954" s="7">
        <v>1</v>
      </c>
      <c r="J954" s="5">
        <f>XLOOKUP(L954, uom!C:C, uom!B:B, "Not Found")</f>
      </c>
      <c r="K954" s="1" t="s">
        <v>5511</v>
      </c>
      <c r="L954" s="5">
        <f>XLOOKUP(N954, uom!C:C, uom!B:B, "Not Found")</f>
      </c>
      <c r="M954" s="1" t="s">
        <v>5511</v>
      </c>
      <c r="N954" s="8" t="s">
        <v>5512</v>
      </c>
      <c r="O954" s="1" t="s">
        <v>5513</v>
      </c>
      <c r="P954" s="5">
        <f>XLOOKUP(R954, classification!C:C, classification!B:B, "Not Found")</f>
      </c>
      <c r="Q954" s="1" t="s">
        <v>5514</v>
      </c>
      <c r="R954" s="2"/>
      <c r="S954" s="2"/>
      <c r="T954" s="2"/>
      <c r="U954" s="2"/>
    </row>
    <row x14ac:dyDescent="0.25" r="955" customHeight="1" ht="17.25">
      <c r="A955" s="7">
        <v>954</v>
      </c>
      <c r="B955" s="1" t="s">
        <v>6393</v>
      </c>
      <c r="C955" s="5">
        <f>CONCATENATE("PD", TEXT(A955, "1000000"))</f>
      </c>
      <c r="D955" s="7">
        <v>59</v>
      </c>
      <c r="E955" s="5">
        <f>XLOOKUP(G955, item_category!C:C, item_category!B:B, "Not Found")</f>
      </c>
      <c r="F955" s="1" t="s">
        <v>5527</v>
      </c>
      <c r="G955" s="5">
        <f>XLOOKUP(I955, drug!B:B, drug!A:A, "Not Found")</f>
      </c>
      <c r="H955" s="1"/>
      <c r="I955" s="7">
        <v>1</v>
      </c>
      <c r="J955" s="5">
        <f>XLOOKUP(L955, uom!C:C, uom!B:B, "Not Found")</f>
      </c>
      <c r="K955" s="1" t="s">
        <v>5511</v>
      </c>
      <c r="L955" s="5">
        <f>XLOOKUP(N955, uom!C:C, uom!B:B, "Not Found")</f>
      </c>
      <c r="M955" s="1" t="s">
        <v>5511</v>
      </c>
      <c r="N955" s="8" t="s">
        <v>5512</v>
      </c>
      <c r="O955" s="1" t="s">
        <v>5513</v>
      </c>
      <c r="P955" s="5">
        <f>XLOOKUP(R955, classification!C:C, classification!B:B, "Not Found")</f>
      </c>
      <c r="Q955" s="1" t="s">
        <v>5514</v>
      </c>
      <c r="R955" s="2"/>
      <c r="S955" s="2"/>
      <c r="T955" s="2"/>
      <c r="U955" s="2"/>
    </row>
    <row x14ac:dyDescent="0.25" r="956" customHeight="1" ht="17.25">
      <c r="A956" s="7">
        <v>955</v>
      </c>
      <c r="B956" s="1" t="s">
        <v>2460</v>
      </c>
      <c r="C956" s="5">
        <f>CONCATENATE("PD", TEXT(A956, "1000000"))</f>
      </c>
      <c r="D956" s="7">
        <v>59</v>
      </c>
      <c r="E956" s="5">
        <f>XLOOKUP(G956, item_category!C:C, item_category!B:B, "Not Found")</f>
      </c>
      <c r="F956" s="1" t="s">
        <v>5527</v>
      </c>
      <c r="G956" s="5">
        <f>XLOOKUP(I956, drug!B:B, drug!A:A, "Not Found")</f>
      </c>
      <c r="H956" s="1"/>
      <c r="I956" s="7">
        <v>1</v>
      </c>
      <c r="J956" s="5">
        <f>XLOOKUP(L956, uom!C:C, uom!B:B, "Not Found")</f>
      </c>
      <c r="K956" s="1" t="s">
        <v>5511</v>
      </c>
      <c r="L956" s="5">
        <f>XLOOKUP(N956, uom!C:C, uom!B:B, "Not Found")</f>
      </c>
      <c r="M956" s="1" t="s">
        <v>5511</v>
      </c>
      <c r="N956" s="8" t="s">
        <v>5512</v>
      </c>
      <c r="O956" s="1" t="s">
        <v>5513</v>
      </c>
      <c r="P956" s="5">
        <f>XLOOKUP(R956, classification!C:C, classification!B:B, "Not Found")</f>
      </c>
      <c r="Q956" s="1" t="s">
        <v>5514</v>
      </c>
      <c r="R956" s="2"/>
      <c r="S956" s="2"/>
      <c r="T956" s="2"/>
      <c r="U956" s="2"/>
    </row>
    <row x14ac:dyDescent="0.25" r="957" customHeight="1" ht="17.25">
      <c r="A957" s="7">
        <v>956</v>
      </c>
      <c r="B957" s="1" t="s">
        <v>6394</v>
      </c>
      <c r="C957" s="5">
        <f>CONCATENATE("PD", TEXT(A957, "1000000"))</f>
      </c>
      <c r="D957" s="7">
        <v>59</v>
      </c>
      <c r="E957" s="5">
        <f>XLOOKUP(G957, item_category!C:C, item_category!B:B, "Not Found")</f>
      </c>
      <c r="F957" s="1" t="s">
        <v>5527</v>
      </c>
      <c r="G957" s="5">
        <f>XLOOKUP(I957, drug!B:B, drug!A:A, "Not Found")</f>
      </c>
      <c r="H957" s="1"/>
      <c r="I957" s="7">
        <v>1</v>
      </c>
      <c r="J957" s="5">
        <f>XLOOKUP(L957, uom!C:C, uom!B:B, "Not Found")</f>
      </c>
      <c r="K957" s="1" t="s">
        <v>5511</v>
      </c>
      <c r="L957" s="5">
        <f>XLOOKUP(N957, uom!C:C, uom!B:B, "Not Found")</f>
      </c>
      <c r="M957" s="1" t="s">
        <v>5511</v>
      </c>
      <c r="N957" s="8" t="s">
        <v>5512</v>
      </c>
      <c r="O957" s="1" t="s">
        <v>5513</v>
      </c>
      <c r="P957" s="5">
        <f>XLOOKUP(R957, classification!C:C, classification!B:B, "Not Found")</f>
      </c>
      <c r="Q957" s="1" t="s">
        <v>5514</v>
      </c>
      <c r="R957" s="2"/>
      <c r="S957" s="2"/>
      <c r="T957" s="2"/>
      <c r="U957" s="2"/>
    </row>
    <row x14ac:dyDescent="0.25" r="958" customHeight="1" ht="17.25">
      <c r="A958" s="7">
        <v>957</v>
      </c>
      <c r="B958" s="1" t="s">
        <v>6395</v>
      </c>
      <c r="C958" s="5">
        <f>CONCATENATE("PD", TEXT(A958, "1000000"))</f>
      </c>
      <c r="D958" s="7">
        <v>59</v>
      </c>
      <c r="E958" s="5">
        <f>XLOOKUP(G958, item_category!C:C, item_category!B:B, "Not Found")</f>
      </c>
      <c r="F958" s="1" t="s">
        <v>5527</v>
      </c>
      <c r="G958" s="5">
        <f>XLOOKUP(I958, drug!B:B, drug!A:A, "Not Found")</f>
      </c>
      <c r="H958" s="1"/>
      <c r="I958" s="7">
        <v>1</v>
      </c>
      <c r="J958" s="5">
        <f>XLOOKUP(L958, uom!C:C, uom!B:B, "Not Found")</f>
      </c>
      <c r="K958" s="1" t="s">
        <v>5511</v>
      </c>
      <c r="L958" s="5">
        <f>XLOOKUP(N958, uom!C:C, uom!B:B, "Not Found")</f>
      </c>
      <c r="M958" s="1" t="s">
        <v>5511</v>
      </c>
      <c r="N958" s="8" t="s">
        <v>5512</v>
      </c>
      <c r="O958" s="1" t="s">
        <v>5513</v>
      </c>
      <c r="P958" s="5">
        <f>XLOOKUP(R958, classification!C:C, classification!B:B, "Not Found")</f>
      </c>
      <c r="Q958" s="1" t="s">
        <v>5514</v>
      </c>
      <c r="R958" s="2"/>
      <c r="S958" s="2"/>
      <c r="T958" s="2"/>
      <c r="U958" s="2"/>
    </row>
    <row x14ac:dyDescent="0.25" r="959" customHeight="1" ht="17.25">
      <c r="A959" s="7">
        <v>958</v>
      </c>
      <c r="B959" s="1" t="s">
        <v>6396</v>
      </c>
      <c r="C959" s="5">
        <f>CONCATENATE("PD", TEXT(A959, "1000000"))</f>
      </c>
      <c r="D959" s="7">
        <v>59</v>
      </c>
      <c r="E959" s="5">
        <f>XLOOKUP(G959, item_category!C:C, item_category!B:B, "Not Found")</f>
      </c>
      <c r="F959" s="1" t="s">
        <v>5527</v>
      </c>
      <c r="G959" s="5">
        <f>XLOOKUP(I959, drug!B:B, drug!A:A, "Not Found")</f>
      </c>
      <c r="H959" s="1"/>
      <c r="I959" s="7">
        <v>1</v>
      </c>
      <c r="J959" s="5">
        <f>XLOOKUP(L959, uom!C:C, uom!B:B, "Not Found")</f>
      </c>
      <c r="K959" s="1" t="s">
        <v>5511</v>
      </c>
      <c r="L959" s="5">
        <f>XLOOKUP(N959, uom!C:C, uom!B:B, "Not Found")</f>
      </c>
      <c r="M959" s="1" t="s">
        <v>5511</v>
      </c>
      <c r="N959" s="8" t="s">
        <v>5512</v>
      </c>
      <c r="O959" s="1" t="s">
        <v>5513</v>
      </c>
      <c r="P959" s="5">
        <f>XLOOKUP(R959, classification!C:C, classification!B:B, "Not Found")</f>
      </c>
      <c r="Q959" s="1" t="s">
        <v>5514</v>
      </c>
      <c r="R959" s="2"/>
      <c r="S959" s="2"/>
      <c r="T959" s="2"/>
      <c r="U959" s="2"/>
    </row>
    <row x14ac:dyDescent="0.25" r="960" customHeight="1" ht="17.25">
      <c r="A960" s="7">
        <v>959</v>
      </c>
      <c r="B960" s="1" t="s">
        <v>6397</v>
      </c>
      <c r="C960" s="5">
        <f>CONCATENATE("PD", TEXT(A960, "1000000"))</f>
      </c>
      <c r="D960" s="7">
        <v>59</v>
      </c>
      <c r="E960" s="5">
        <f>XLOOKUP(G960, item_category!C:C, item_category!B:B, "Not Found")</f>
      </c>
      <c r="F960" s="1" t="s">
        <v>5527</v>
      </c>
      <c r="G960" s="5">
        <f>XLOOKUP(I960, drug!B:B, drug!A:A, "Not Found")</f>
      </c>
      <c r="H960" s="1" t="s">
        <v>1576</v>
      </c>
      <c r="I960" s="7">
        <v>1</v>
      </c>
      <c r="J960" s="5">
        <f>XLOOKUP(L960, uom!C:C, uom!B:B, "Not Found")</f>
      </c>
      <c r="K960" s="1" t="s">
        <v>5511</v>
      </c>
      <c r="L960" s="5">
        <f>XLOOKUP(N960, uom!C:C, uom!B:B, "Not Found")</f>
      </c>
      <c r="M960" s="1" t="s">
        <v>5511</v>
      </c>
      <c r="N960" s="8" t="s">
        <v>5512</v>
      </c>
      <c r="O960" s="1" t="s">
        <v>5513</v>
      </c>
      <c r="P960" s="5">
        <f>XLOOKUP(R960, classification!C:C, classification!B:B, "Not Found")</f>
      </c>
      <c r="Q960" s="1" t="s">
        <v>5514</v>
      </c>
      <c r="R960" s="2"/>
      <c r="S960" s="2"/>
      <c r="T960" s="2"/>
      <c r="U960" s="2"/>
    </row>
    <row x14ac:dyDescent="0.25" r="961" customHeight="1" ht="17.25">
      <c r="A961" s="7">
        <v>960</v>
      </c>
      <c r="B961" s="1" t="s">
        <v>6398</v>
      </c>
      <c r="C961" s="5">
        <f>CONCATENATE("PD", TEXT(A961, "1000000"))</f>
      </c>
      <c r="D961" s="7">
        <v>59</v>
      </c>
      <c r="E961" s="5">
        <f>XLOOKUP(G961, item_category!C:C, item_category!B:B, "Not Found")</f>
      </c>
      <c r="F961" s="1" t="s">
        <v>5527</v>
      </c>
      <c r="G961" s="5">
        <f>XLOOKUP(I961, drug!B:B, drug!A:A, "Not Found")</f>
      </c>
      <c r="H961" s="1"/>
      <c r="I961" s="7">
        <v>1</v>
      </c>
      <c r="J961" s="5">
        <f>XLOOKUP(L961, uom!C:C, uom!B:B, "Not Found")</f>
      </c>
      <c r="K961" s="1" t="s">
        <v>5511</v>
      </c>
      <c r="L961" s="5">
        <f>XLOOKUP(N961, uom!C:C, uom!B:B, "Not Found")</f>
      </c>
      <c r="M961" s="1" t="s">
        <v>5511</v>
      </c>
      <c r="N961" s="8" t="s">
        <v>5512</v>
      </c>
      <c r="O961" s="1" t="s">
        <v>5513</v>
      </c>
      <c r="P961" s="5">
        <f>XLOOKUP(R961, classification!C:C, classification!B:B, "Not Found")</f>
      </c>
      <c r="Q961" s="1" t="s">
        <v>5514</v>
      </c>
      <c r="R961" s="2"/>
      <c r="S961" s="2"/>
      <c r="T961" s="2"/>
      <c r="U961" s="2"/>
    </row>
    <row x14ac:dyDescent="0.25" r="962" customHeight="1" ht="17.25">
      <c r="A962" s="7">
        <v>961</v>
      </c>
      <c r="B962" s="1" t="s">
        <v>6399</v>
      </c>
      <c r="C962" s="5">
        <f>CONCATENATE("PD", TEXT(A962, "1000000"))</f>
      </c>
      <c r="D962" s="7">
        <v>59</v>
      </c>
      <c r="E962" s="5">
        <f>XLOOKUP(G962, item_category!C:C, item_category!B:B, "Not Found")</f>
      </c>
      <c r="F962" s="1" t="s">
        <v>5527</v>
      </c>
      <c r="G962" s="5">
        <f>XLOOKUP(I962, drug!B:B, drug!A:A, "Not Found")</f>
      </c>
      <c r="H962" s="1"/>
      <c r="I962" s="7">
        <v>1</v>
      </c>
      <c r="J962" s="5">
        <f>XLOOKUP(L962, uom!C:C, uom!B:B, "Not Found")</f>
      </c>
      <c r="K962" s="1" t="s">
        <v>5511</v>
      </c>
      <c r="L962" s="5">
        <f>XLOOKUP(N962, uom!C:C, uom!B:B, "Not Found")</f>
      </c>
      <c r="M962" s="1" t="s">
        <v>5511</v>
      </c>
      <c r="N962" s="8" t="s">
        <v>5512</v>
      </c>
      <c r="O962" s="1" t="s">
        <v>5513</v>
      </c>
      <c r="P962" s="5">
        <f>XLOOKUP(R962, classification!C:C, classification!B:B, "Not Found")</f>
      </c>
      <c r="Q962" s="1" t="s">
        <v>5514</v>
      </c>
      <c r="R962" s="2"/>
      <c r="S962" s="2"/>
      <c r="T962" s="2"/>
      <c r="U962" s="2"/>
    </row>
    <row x14ac:dyDescent="0.25" r="963" customHeight="1" ht="17.25">
      <c r="A963" s="7">
        <v>962</v>
      </c>
      <c r="B963" s="1" t="s">
        <v>1616</v>
      </c>
      <c r="C963" s="5">
        <f>CONCATENATE("PD", TEXT(A963, "1000000"))</f>
      </c>
      <c r="D963" s="7">
        <v>59</v>
      </c>
      <c r="E963" s="5">
        <f>XLOOKUP(G963, item_category!C:C, item_category!B:B, "Not Found")</f>
      </c>
      <c r="F963" s="1" t="s">
        <v>5527</v>
      </c>
      <c r="G963" s="5">
        <f>XLOOKUP(I963, drug!B:B, drug!A:A, "Not Found")</f>
      </c>
      <c r="H963" s="1" t="s">
        <v>1616</v>
      </c>
      <c r="I963" s="7">
        <v>1</v>
      </c>
      <c r="J963" s="5">
        <f>XLOOKUP(L963, uom!C:C, uom!B:B, "Not Found")</f>
      </c>
      <c r="K963" s="1" t="s">
        <v>5511</v>
      </c>
      <c r="L963" s="5">
        <f>XLOOKUP(N963, uom!C:C, uom!B:B, "Not Found")</f>
      </c>
      <c r="M963" s="1" t="s">
        <v>5511</v>
      </c>
      <c r="N963" s="8" t="s">
        <v>5512</v>
      </c>
      <c r="O963" s="1" t="s">
        <v>5513</v>
      </c>
      <c r="P963" s="5">
        <f>XLOOKUP(R963, classification!C:C, classification!B:B, "Not Found")</f>
      </c>
      <c r="Q963" s="1" t="s">
        <v>5514</v>
      </c>
      <c r="R963" s="2"/>
      <c r="S963" s="2"/>
      <c r="T963" s="2"/>
      <c r="U963" s="2"/>
    </row>
    <row x14ac:dyDescent="0.25" r="964" customHeight="1" ht="17.25">
      <c r="A964" s="7">
        <v>963</v>
      </c>
      <c r="B964" s="1" t="s">
        <v>6400</v>
      </c>
      <c r="C964" s="5">
        <f>CONCATENATE("PD", TEXT(A964, "1000000"))</f>
      </c>
      <c r="D964" s="7">
        <v>59</v>
      </c>
      <c r="E964" s="5">
        <f>XLOOKUP(G964, item_category!C:C, item_category!B:B, "Not Found")</f>
      </c>
      <c r="F964" s="1" t="s">
        <v>5527</v>
      </c>
      <c r="G964" s="5">
        <f>XLOOKUP(I964, drug!B:B, drug!A:A, "Not Found")</f>
      </c>
      <c r="H964" s="1" t="s">
        <v>1622</v>
      </c>
      <c r="I964" s="7">
        <v>1</v>
      </c>
      <c r="J964" s="5">
        <f>XLOOKUP(L964, uom!C:C, uom!B:B, "Not Found")</f>
      </c>
      <c r="K964" s="1" t="s">
        <v>5511</v>
      </c>
      <c r="L964" s="5">
        <f>XLOOKUP(N964, uom!C:C, uom!B:B, "Not Found")</f>
      </c>
      <c r="M964" s="1" t="s">
        <v>5511</v>
      </c>
      <c r="N964" s="8" t="s">
        <v>5512</v>
      </c>
      <c r="O964" s="1" t="s">
        <v>5513</v>
      </c>
      <c r="P964" s="5">
        <f>XLOOKUP(R964, classification!C:C, classification!B:B, "Not Found")</f>
      </c>
      <c r="Q964" s="1" t="s">
        <v>5514</v>
      </c>
      <c r="R964" s="2"/>
      <c r="S964" s="2"/>
      <c r="T964" s="2"/>
      <c r="U964" s="2"/>
    </row>
    <row x14ac:dyDescent="0.25" r="965" customHeight="1" ht="17.25">
      <c r="A965" s="7">
        <v>964</v>
      </c>
      <c r="B965" s="1" t="s">
        <v>1082</v>
      </c>
      <c r="C965" s="5">
        <f>CONCATENATE("PD", TEXT(A965, "1000000"))</f>
      </c>
      <c r="D965" s="7">
        <v>59</v>
      </c>
      <c r="E965" s="5">
        <f>XLOOKUP(G965, item_category!C:C, item_category!B:B, "Not Found")</f>
      </c>
      <c r="F965" s="1" t="s">
        <v>5527</v>
      </c>
      <c r="G965" s="5">
        <f>XLOOKUP(I965, drug!B:B, drug!A:A, "Not Found")</f>
      </c>
      <c r="H965" s="1" t="s">
        <v>1082</v>
      </c>
      <c r="I965" s="7">
        <v>1</v>
      </c>
      <c r="J965" s="5">
        <f>XLOOKUP(L965, uom!C:C, uom!B:B, "Not Found")</f>
      </c>
      <c r="K965" s="1" t="s">
        <v>5511</v>
      </c>
      <c r="L965" s="5">
        <f>XLOOKUP(N965, uom!C:C, uom!B:B, "Not Found")</f>
      </c>
      <c r="M965" s="1" t="s">
        <v>5511</v>
      </c>
      <c r="N965" s="8" t="s">
        <v>5512</v>
      </c>
      <c r="O965" s="1" t="s">
        <v>5513</v>
      </c>
      <c r="P965" s="5">
        <f>XLOOKUP(R965, classification!C:C, classification!B:B, "Not Found")</f>
      </c>
      <c r="Q965" s="1" t="s">
        <v>5514</v>
      </c>
      <c r="R965" s="2"/>
      <c r="S965" s="2"/>
      <c r="T965" s="2"/>
      <c r="U965" s="2"/>
    </row>
    <row x14ac:dyDescent="0.25" r="966" customHeight="1" ht="17.25">
      <c r="A966" s="7">
        <v>965</v>
      </c>
      <c r="B966" s="1" t="s">
        <v>6401</v>
      </c>
      <c r="C966" s="5">
        <f>CONCATENATE("PD", TEXT(A966, "1000000"))</f>
      </c>
      <c r="D966" s="7">
        <v>59</v>
      </c>
      <c r="E966" s="5">
        <f>XLOOKUP(G966, item_category!C:C, item_category!B:B, "Not Found")</f>
      </c>
      <c r="F966" s="1" t="s">
        <v>5527</v>
      </c>
      <c r="G966" s="5">
        <f>XLOOKUP(I966, drug!B:B, drug!A:A, "Not Found")</f>
      </c>
      <c r="H966" s="1" t="s">
        <v>1398</v>
      </c>
      <c r="I966" s="7">
        <v>1</v>
      </c>
      <c r="J966" s="5">
        <f>XLOOKUP(L966, uom!C:C, uom!B:B, "Not Found")</f>
      </c>
      <c r="K966" s="1" t="s">
        <v>5511</v>
      </c>
      <c r="L966" s="5">
        <f>XLOOKUP(N966, uom!C:C, uom!B:B, "Not Found")</f>
      </c>
      <c r="M966" s="1" t="s">
        <v>5511</v>
      </c>
      <c r="N966" s="8" t="s">
        <v>5512</v>
      </c>
      <c r="O966" s="1" t="s">
        <v>5513</v>
      </c>
      <c r="P966" s="5">
        <f>XLOOKUP(R966, classification!C:C, classification!B:B, "Not Found")</f>
      </c>
      <c r="Q966" s="1" t="s">
        <v>5514</v>
      </c>
      <c r="R966" s="2"/>
      <c r="S966" s="2"/>
      <c r="T966" s="2"/>
      <c r="U966" s="2"/>
    </row>
    <row x14ac:dyDescent="0.25" r="967" customHeight="1" ht="17.25">
      <c r="A967" s="7">
        <v>966</v>
      </c>
      <c r="B967" s="1" t="s">
        <v>6402</v>
      </c>
      <c r="C967" s="5">
        <f>CONCATENATE("PD", TEXT(A967, "1000000"))</f>
      </c>
      <c r="D967" s="7">
        <v>59</v>
      </c>
      <c r="E967" s="5">
        <f>XLOOKUP(G967, item_category!C:C, item_category!B:B, "Not Found")</f>
      </c>
      <c r="F967" s="1" t="s">
        <v>5527</v>
      </c>
      <c r="G967" s="5">
        <f>XLOOKUP(I967, drug!B:B, drug!A:A, "Not Found")</f>
      </c>
      <c r="H967" s="1" t="s">
        <v>857</v>
      </c>
      <c r="I967" s="7">
        <v>1</v>
      </c>
      <c r="J967" s="5">
        <f>XLOOKUP(L967, uom!C:C, uom!B:B, "Not Found")</f>
      </c>
      <c r="K967" s="1" t="s">
        <v>5511</v>
      </c>
      <c r="L967" s="5">
        <f>XLOOKUP(N967, uom!C:C, uom!B:B, "Not Found")</f>
      </c>
      <c r="M967" s="1" t="s">
        <v>5511</v>
      </c>
      <c r="N967" s="8" t="s">
        <v>5512</v>
      </c>
      <c r="O967" s="1" t="s">
        <v>5513</v>
      </c>
      <c r="P967" s="5">
        <f>XLOOKUP(R967, classification!C:C, classification!B:B, "Not Found")</f>
      </c>
      <c r="Q967" s="1" t="s">
        <v>5514</v>
      </c>
      <c r="R967" s="2"/>
      <c r="S967" s="2"/>
      <c r="T967" s="2"/>
      <c r="U967" s="2"/>
    </row>
    <row x14ac:dyDescent="0.25" r="968" customHeight="1" ht="17.25">
      <c r="A968" s="7">
        <v>967</v>
      </c>
      <c r="B968" s="1" t="s">
        <v>6403</v>
      </c>
      <c r="C968" s="5">
        <f>CONCATENATE("PD", TEXT(A968, "1000000"))</f>
      </c>
      <c r="D968" s="7">
        <v>1</v>
      </c>
      <c r="E968" s="5">
        <f>XLOOKUP(G968, item_category!C:C, item_category!B:B, "Not Found")</f>
      </c>
      <c r="F968" s="1" t="s">
        <v>5514</v>
      </c>
      <c r="G968" s="5">
        <f>XLOOKUP(I968, drug!B:B, drug!A:A, "Not Found")</f>
      </c>
      <c r="H968" s="1" t="s">
        <v>1394</v>
      </c>
      <c r="I968" s="7">
        <v>100</v>
      </c>
      <c r="J968" s="5">
        <f>XLOOKUP(L968, uom!C:C, uom!B:B, "Not Found")</f>
      </c>
      <c r="K968" s="1" t="s">
        <v>5899</v>
      </c>
      <c r="L968" s="5">
        <f>XLOOKUP(N968, uom!C:C, uom!B:B, "Not Found")</f>
      </c>
      <c r="M968" s="1" t="s">
        <v>5544</v>
      </c>
      <c r="N968" s="8" t="s">
        <v>5524</v>
      </c>
      <c r="O968" s="1" t="s">
        <v>5525</v>
      </c>
      <c r="P968" s="5">
        <f>XLOOKUP(R968, classification!C:C, classification!B:B, "Not Found")</f>
      </c>
      <c r="Q968" s="1" t="s">
        <v>5514</v>
      </c>
      <c r="R968" s="2"/>
      <c r="S968" s="2"/>
      <c r="T968" s="2"/>
      <c r="U968" s="2"/>
    </row>
    <row x14ac:dyDescent="0.25" r="969" customHeight="1" ht="17.25">
      <c r="A969" s="7">
        <v>968</v>
      </c>
      <c r="B969" s="1" t="s">
        <v>6404</v>
      </c>
      <c r="C969" s="5">
        <f>CONCATENATE("PD", TEXT(A969, "1000000"))</f>
      </c>
      <c r="D969" s="7">
        <v>59</v>
      </c>
      <c r="E969" s="5">
        <f>XLOOKUP(G969, item_category!C:C, item_category!B:B, "Not Found")</f>
      </c>
      <c r="F969" s="1" t="s">
        <v>5527</v>
      </c>
      <c r="G969" s="5">
        <f>XLOOKUP(I969, drug!B:B, drug!A:A, "Not Found")</f>
      </c>
      <c r="H969" s="1" t="s">
        <v>857</v>
      </c>
      <c r="I969" s="7">
        <v>1</v>
      </c>
      <c r="J969" s="5">
        <f>XLOOKUP(L969, uom!C:C, uom!B:B, "Not Found")</f>
      </c>
      <c r="K969" s="1" t="s">
        <v>5511</v>
      </c>
      <c r="L969" s="5">
        <f>XLOOKUP(N969, uom!C:C, uom!B:B, "Not Found")</f>
      </c>
      <c r="M969" s="1" t="s">
        <v>5511</v>
      </c>
      <c r="N969" s="8" t="s">
        <v>5512</v>
      </c>
      <c r="O969" s="1" t="s">
        <v>5513</v>
      </c>
      <c r="P969" s="5">
        <f>XLOOKUP(R969, classification!C:C, classification!B:B, "Not Found")</f>
      </c>
      <c r="Q969" s="1" t="s">
        <v>5514</v>
      </c>
      <c r="R969" s="2"/>
      <c r="S969" s="2"/>
      <c r="T969" s="2"/>
      <c r="U969" s="2"/>
    </row>
    <row x14ac:dyDescent="0.25" r="970" customHeight="1" ht="17.25">
      <c r="A970" s="7">
        <v>969</v>
      </c>
      <c r="B970" s="1" t="s">
        <v>6405</v>
      </c>
      <c r="C970" s="5">
        <f>CONCATENATE("PD", TEXT(A970, "1000000"))</f>
      </c>
      <c r="D970" s="7">
        <v>59</v>
      </c>
      <c r="E970" s="5">
        <f>XLOOKUP(G970, item_category!C:C, item_category!B:B, "Not Found")</f>
      </c>
      <c r="F970" s="1" t="s">
        <v>5527</v>
      </c>
      <c r="G970" s="5">
        <f>XLOOKUP(I970, drug!B:B, drug!A:A, "Not Found")</f>
      </c>
      <c r="H970" s="1" t="s">
        <v>857</v>
      </c>
      <c r="I970" s="7">
        <v>1</v>
      </c>
      <c r="J970" s="5">
        <f>XLOOKUP(L970, uom!C:C, uom!B:B, "Not Found")</f>
      </c>
      <c r="K970" s="1" t="s">
        <v>5511</v>
      </c>
      <c r="L970" s="5">
        <f>XLOOKUP(N970, uom!C:C, uom!B:B, "Not Found")</f>
      </c>
      <c r="M970" s="1" t="s">
        <v>5511</v>
      </c>
      <c r="N970" s="8" t="s">
        <v>5512</v>
      </c>
      <c r="O970" s="1" t="s">
        <v>5513</v>
      </c>
      <c r="P970" s="5">
        <f>XLOOKUP(R970, classification!C:C, classification!B:B, "Not Found")</f>
      </c>
      <c r="Q970" s="1" t="s">
        <v>5514</v>
      </c>
      <c r="R970" s="2"/>
      <c r="S970" s="2"/>
      <c r="T970" s="2"/>
      <c r="U970" s="2"/>
    </row>
    <row x14ac:dyDescent="0.25" r="971" customHeight="1" ht="17.25">
      <c r="A971" s="7">
        <v>970</v>
      </c>
      <c r="B971" s="1" t="s">
        <v>6406</v>
      </c>
      <c r="C971" s="5">
        <f>CONCATENATE("PD", TEXT(A971, "1000000"))</f>
      </c>
      <c r="D971" s="7">
        <v>59</v>
      </c>
      <c r="E971" s="5">
        <f>XLOOKUP(G971, item_category!C:C, item_category!B:B, "Not Found")</f>
      </c>
      <c r="F971" s="1" t="s">
        <v>5527</v>
      </c>
      <c r="G971" s="5">
        <f>XLOOKUP(I971, drug!B:B, drug!A:A, "Not Found")</f>
      </c>
      <c r="H971" s="1" t="s">
        <v>2038</v>
      </c>
      <c r="I971" s="7">
        <v>1</v>
      </c>
      <c r="J971" s="5">
        <f>XLOOKUP(L971, uom!C:C, uom!B:B, "Not Found")</f>
      </c>
      <c r="K971" s="1" t="s">
        <v>5511</v>
      </c>
      <c r="L971" s="5">
        <f>XLOOKUP(N971, uom!C:C, uom!B:B, "Not Found")</f>
      </c>
      <c r="M971" s="1" t="s">
        <v>5511</v>
      </c>
      <c r="N971" s="8" t="s">
        <v>5512</v>
      </c>
      <c r="O971" s="1" t="s">
        <v>5513</v>
      </c>
      <c r="P971" s="5">
        <f>XLOOKUP(R971, classification!C:C, classification!B:B, "Not Found")</f>
      </c>
      <c r="Q971" s="1" t="s">
        <v>5514</v>
      </c>
      <c r="R971" s="2"/>
      <c r="S971" s="2"/>
      <c r="T971" s="2"/>
      <c r="U971" s="2"/>
    </row>
    <row x14ac:dyDescent="0.25" r="972" customHeight="1" ht="17.25">
      <c r="A972" s="7">
        <v>971</v>
      </c>
      <c r="B972" s="1" t="s">
        <v>6407</v>
      </c>
      <c r="C972" s="5">
        <f>CONCATENATE("PD", TEXT(A972, "1000000"))</f>
      </c>
      <c r="D972" s="7">
        <v>59</v>
      </c>
      <c r="E972" s="5">
        <f>XLOOKUP(G972, item_category!C:C, item_category!B:B, "Not Found")</f>
      </c>
      <c r="F972" s="1" t="s">
        <v>5527</v>
      </c>
      <c r="G972" s="5">
        <f>XLOOKUP(I972, drug!B:B, drug!A:A, "Not Found")</f>
      </c>
      <c r="H972" s="1" t="s">
        <v>2038</v>
      </c>
      <c r="I972" s="7">
        <v>1</v>
      </c>
      <c r="J972" s="5">
        <f>XLOOKUP(L972, uom!C:C, uom!B:B, "Not Found")</f>
      </c>
      <c r="K972" s="1" t="s">
        <v>5511</v>
      </c>
      <c r="L972" s="5">
        <f>XLOOKUP(N972, uom!C:C, uom!B:B, "Not Found")</f>
      </c>
      <c r="M972" s="1" t="s">
        <v>5511</v>
      </c>
      <c r="N972" s="8" t="s">
        <v>5512</v>
      </c>
      <c r="O972" s="1" t="s">
        <v>5513</v>
      </c>
      <c r="P972" s="5">
        <f>XLOOKUP(R972, classification!C:C, classification!B:B, "Not Found")</f>
      </c>
      <c r="Q972" s="1" t="s">
        <v>5514</v>
      </c>
      <c r="R972" s="2"/>
      <c r="S972" s="2"/>
      <c r="T972" s="2"/>
      <c r="U972" s="2"/>
    </row>
    <row x14ac:dyDescent="0.25" r="973" customHeight="1" ht="17.25">
      <c r="A973" s="7">
        <v>972</v>
      </c>
      <c r="B973" s="1" t="s">
        <v>6408</v>
      </c>
      <c r="C973" s="5">
        <f>CONCATENATE("PD", TEXT(A973, "1000000"))</f>
      </c>
      <c r="D973" s="7">
        <v>59</v>
      </c>
      <c r="E973" s="5">
        <f>XLOOKUP(G973, item_category!C:C, item_category!B:B, "Not Found")</f>
      </c>
      <c r="F973" s="1" t="s">
        <v>5527</v>
      </c>
      <c r="G973" s="5">
        <f>XLOOKUP(I973, drug!B:B, drug!A:A, "Not Found")</f>
      </c>
      <c r="H973" s="1" t="s">
        <v>1772</v>
      </c>
      <c r="I973" s="7">
        <v>1</v>
      </c>
      <c r="J973" s="5">
        <f>XLOOKUP(L973, uom!C:C, uom!B:B, "Not Found")</f>
      </c>
      <c r="K973" s="1" t="s">
        <v>5511</v>
      </c>
      <c r="L973" s="5">
        <f>XLOOKUP(N973, uom!C:C, uom!B:B, "Not Found")</f>
      </c>
      <c r="M973" s="1" t="s">
        <v>5511</v>
      </c>
      <c r="N973" s="8" t="s">
        <v>5512</v>
      </c>
      <c r="O973" s="1" t="s">
        <v>5513</v>
      </c>
      <c r="P973" s="5">
        <f>XLOOKUP(R973, classification!C:C, classification!B:B, "Not Found")</f>
      </c>
      <c r="Q973" s="1" t="s">
        <v>5514</v>
      </c>
      <c r="R973" s="2"/>
      <c r="S973" s="2"/>
      <c r="T973" s="2"/>
      <c r="U973" s="2"/>
    </row>
    <row x14ac:dyDescent="0.25" r="974" customHeight="1" ht="17.25">
      <c r="A974" s="7">
        <v>973</v>
      </c>
      <c r="B974" s="1" t="s">
        <v>6409</v>
      </c>
      <c r="C974" s="5">
        <f>CONCATENATE("PD", TEXT(A974, "1000000"))</f>
      </c>
      <c r="D974" s="7">
        <v>59</v>
      </c>
      <c r="E974" s="5">
        <f>XLOOKUP(G974, item_category!C:C, item_category!B:B, "Not Found")</f>
      </c>
      <c r="F974" s="1" t="s">
        <v>5527</v>
      </c>
      <c r="G974" s="5">
        <f>XLOOKUP(I974, drug!B:B, drug!A:A, "Not Found")</f>
      </c>
      <c r="H974" s="1" t="s">
        <v>1772</v>
      </c>
      <c r="I974" s="7">
        <v>1</v>
      </c>
      <c r="J974" s="5">
        <f>XLOOKUP(L974, uom!C:C, uom!B:B, "Not Found")</f>
      </c>
      <c r="K974" s="1" t="s">
        <v>5511</v>
      </c>
      <c r="L974" s="5">
        <f>XLOOKUP(N974, uom!C:C, uom!B:B, "Not Found")</f>
      </c>
      <c r="M974" s="1" t="s">
        <v>5511</v>
      </c>
      <c r="N974" s="8" t="s">
        <v>5512</v>
      </c>
      <c r="O974" s="1" t="s">
        <v>5513</v>
      </c>
      <c r="P974" s="5">
        <f>XLOOKUP(R974, classification!C:C, classification!B:B, "Not Found")</f>
      </c>
      <c r="Q974" s="1" t="s">
        <v>5514</v>
      </c>
      <c r="R974" s="2"/>
      <c r="S974" s="2"/>
      <c r="T974" s="2"/>
      <c r="U974" s="2"/>
    </row>
    <row x14ac:dyDescent="0.25" r="975" customHeight="1" ht="17.25">
      <c r="A975" s="7">
        <v>974</v>
      </c>
      <c r="B975" s="1" t="s">
        <v>6410</v>
      </c>
      <c r="C975" s="5">
        <f>CONCATENATE("PD", TEXT(A975, "1000000"))</f>
      </c>
      <c r="D975" s="7">
        <v>59</v>
      </c>
      <c r="E975" s="5">
        <f>XLOOKUP(G975, item_category!C:C, item_category!B:B, "Not Found")</f>
      </c>
      <c r="F975" s="1" t="s">
        <v>5527</v>
      </c>
      <c r="G975" s="5">
        <f>XLOOKUP(I975, drug!B:B, drug!A:A, "Not Found")</f>
      </c>
      <c r="H975" s="1" t="s">
        <v>908</v>
      </c>
      <c r="I975" s="7">
        <v>1</v>
      </c>
      <c r="J975" s="5">
        <f>XLOOKUP(L975, uom!C:C, uom!B:B, "Not Found")</f>
      </c>
      <c r="K975" s="1" t="s">
        <v>5511</v>
      </c>
      <c r="L975" s="5">
        <f>XLOOKUP(N975, uom!C:C, uom!B:B, "Not Found")</f>
      </c>
      <c r="M975" s="1" t="s">
        <v>5511</v>
      </c>
      <c r="N975" s="8" t="s">
        <v>5512</v>
      </c>
      <c r="O975" s="1" t="s">
        <v>5513</v>
      </c>
      <c r="P975" s="5">
        <f>XLOOKUP(R975, classification!C:C, classification!B:B, "Not Found")</f>
      </c>
      <c r="Q975" s="1" t="s">
        <v>5514</v>
      </c>
      <c r="R975" s="2"/>
      <c r="S975" s="2"/>
      <c r="T975" s="2"/>
      <c r="U975" s="2"/>
    </row>
    <row x14ac:dyDescent="0.25" r="976" customHeight="1" ht="17.25">
      <c r="A976" s="7">
        <v>975</v>
      </c>
      <c r="B976" s="1" t="s">
        <v>6411</v>
      </c>
      <c r="C976" s="5">
        <f>CONCATENATE("PD", TEXT(A976, "1000000"))</f>
      </c>
      <c r="D976" s="7">
        <v>59</v>
      </c>
      <c r="E976" s="5">
        <f>XLOOKUP(G976, item_category!C:C, item_category!B:B, "Not Found")</f>
      </c>
      <c r="F976" s="1" t="s">
        <v>5527</v>
      </c>
      <c r="G976" s="5">
        <f>XLOOKUP(I976, drug!B:B, drug!A:A, "Not Found")</f>
      </c>
      <c r="H976" s="1" t="s">
        <v>908</v>
      </c>
      <c r="I976" s="7">
        <v>1</v>
      </c>
      <c r="J976" s="5">
        <f>XLOOKUP(L976, uom!C:C, uom!B:B, "Not Found")</f>
      </c>
      <c r="K976" s="1" t="s">
        <v>5511</v>
      </c>
      <c r="L976" s="5">
        <f>XLOOKUP(N976, uom!C:C, uom!B:B, "Not Found")</f>
      </c>
      <c r="M976" s="1" t="s">
        <v>5511</v>
      </c>
      <c r="N976" s="8" t="s">
        <v>5512</v>
      </c>
      <c r="O976" s="1" t="s">
        <v>5513</v>
      </c>
      <c r="P976" s="5">
        <f>XLOOKUP(R976, classification!C:C, classification!B:B, "Not Found")</f>
      </c>
      <c r="Q976" s="1" t="s">
        <v>5514</v>
      </c>
      <c r="R976" s="2"/>
      <c r="S976" s="2"/>
      <c r="T976" s="2"/>
      <c r="U976" s="2"/>
    </row>
    <row x14ac:dyDescent="0.25" r="977" customHeight="1" ht="17.25">
      <c r="A977" s="7">
        <v>976</v>
      </c>
      <c r="B977" s="1" t="s">
        <v>6412</v>
      </c>
      <c r="C977" s="5">
        <f>CONCATENATE("PD", TEXT(A977, "1000000"))</f>
      </c>
      <c r="D977" s="7">
        <v>59</v>
      </c>
      <c r="E977" s="5">
        <f>XLOOKUP(G977, item_category!C:C, item_category!B:B, "Not Found")</f>
      </c>
      <c r="F977" s="1" t="s">
        <v>5527</v>
      </c>
      <c r="G977" s="5">
        <f>XLOOKUP(I977, drug!B:B, drug!A:A, "Not Found")</f>
      </c>
      <c r="H977" s="1" t="s">
        <v>927</v>
      </c>
      <c r="I977" s="7">
        <v>1</v>
      </c>
      <c r="J977" s="5">
        <f>XLOOKUP(L977, uom!C:C, uom!B:B, "Not Found")</f>
      </c>
      <c r="K977" s="1" t="s">
        <v>5511</v>
      </c>
      <c r="L977" s="5">
        <f>XLOOKUP(N977, uom!C:C, uom!B:B, "Not Found")</f>
      </c>
      <c r="M977" s="1" t="s">
        <v>5511</v>
      </c>
      <c r="N977" s="8" t="s">
        <v>5512</v>
      </c>
      <c r="O977" s="1" t="s">
        <v>5513</v>
      </c>
      <c r="P977" s="5">
        <f>XLOOKUP(R977, classification!C:C, classification!B:B, "Not Found")</f>
      </c>
      <c r="Q977" s="1" t="s">
        <v>5514</v>
      </c>
      <c r="R977" s="2"/>
      <c r="S977" s="2"/>
      <c r="T977" s="2"/>
      <c r="U977" s="2"/>
    </row>
    <row x14ac:dyDescent="0.25" r="978" customHeight="1" ht="17.25">
      <c r="A978" s="7">
        <v>977</v>
      </c>
      <c r="B978" s="1" t="s">
        <v>6413</v>
      </c>
      <c r="C978" s="5">
        <f>CONCATENATE("PD", TEXT(A978, "1000000"))</f>
      </c>
      <c r="D978" s="7">
        <v>59</v>
      </c>
      <c r="E978" s="5">
        <f>XLOOKUP(G978, item_category!C:C, item_category!B:B, "Not Found")</f>
      </c>
      <c r="F978" s="1" t="s">
        <v>5527</v>
      </c>
      <c r="G978" s="5">
        <f>XLOOKUP(I978, drug!B:B, drug!A:A, "Not Found")</f>
      </c>
      <c r="H978" s="1" t="s">
        <v>927</v>
      </c>
      <c r="I978" s="7">
        <v>1</v>
      </c>
      <c r="J978" s="5">
        <f>XLOOKUP(L978, uom!C:C, uom!B:B, "Not Found")</f>
      </c>
      <c r="K978" s="1" t="s">
        <v>5511</v>
      </c>
      <c r="L978" s="5">
        <f>XLOOKUP(N978, uom!C:C, uom!B:B, "Not Found")</f>
      </c>
      <c r="M978" s="1" t="s">
        <v>5511</v>
      </c>
      <c r="N978" s="8" t="s">
        <v>5512</v>
      </c>
      <c r="O978" s="1" t="s">
        <v>5513</v>
      </c>
      <c r="P978" s="5">
        <f>XLOOKUP(R978, classification!C:C, classification!B:B, "Not Found")</f>
      </c>
      <c r="Q978" s="1" t="s">
        <v>5514</v>
      </c>
      <c r="R978" s="2"/>
      <c r="S978" s="2"/>
      <c r="T978" s="2"/>
      <c r="U978" s="2"/>
    </row>
    <row x14ac:dyDescent="0.25" r="979" customHeight="1" ht="17.25">
      <c r="A979" s="7">
        <v>978</v>
      </c>
      <c r="B979" s="1" t="s">
        <v>6414</v>
      </c>
      <c r="C979" s="5">
        <f>CONCATENATE("PD", TEXT(A979, "1000000"))</f>
      </c>
      <c r="D979" s="7">
        <v>59</v>
      </c>
      <c r="E979" s="5">
        <f>XLOOKUP(G979, item_category!C:C, item_category!B:B, "Not Found")</f>
      </c>
      <c r="F979" s="1" t="s">
        <v>5527</v>
      </c>
      <c r="G979" s="5">
        <f>XLOOKUP(I979, drug!B:B, drug!A:A, "Not Found")</f>
      </c>
      <c r="H979" s="1" t="s">
        <v>1532</v>
      </c>
      <c r="I979" s="7">
        <v>1</v>
      </c>
      <c r="J979" s="5">
        <f>XLOOKUP(L979, uom!C:C, uom!B:B, "Not Found")</f>
      </c>
      <c r="K979" s="1" t="s">
        <v>5511</v>
      </c>
      <c r="L979" s="5">
        <f>XLOOKUP(N979, uom!C:C, uom!B:B, "Not Found")</f>
      </c>
      <c r="M979" s="1" t="s">
        <v>5511</v>
      </c>
      <c r="N979" s="8" t="s">
        <v>5512</v>
      </c>
      <c r="O979" s="1" t="s">
        <v>5513</v>
      </c>
      <c r="P979" s="5">
        <f>XLOOKUP(R979, classification!C:C, classification!B:B, "Not Found")</f>
      </c>
      <c r="Q979" s="1" t="s">
        <v>5514</v>
      </c>
      <c r="R979" s="2"/>
      <c r="S979" s="2"/>
      <c r="T979" s="2"/>
      <c r="U979" s="2"/>
    </row>
    <row x14ac:dyDescent="0.25" r="980" customHeight="1" ht="17.25">
      <c r="A980" s="7">
        <v>979</v>
      </c>
      <c r="B980" s="1" t="s">
        <v>6415</v>
      </c>
      <c r="C980" s="5">
        <f>CONCATENATE("PD", TEXT(A980, "1000000"))</f>
      </c>
      <c r="D980" s="7">
        <v>59</v>
      </c>
      <c r="E980" s="5">
        <f>XLOOKUP(G980, item_category!C:C, item_category!B:B, "Not Found")</f>
      </c>
      <c r="F980" s="1" t="s">
        <v>5527</v>
      </c>
      <c r="G980" s="5">
        <f>XLOOKUP(I980, drug!B:B, drug!A:A, "Not Found")</f>
      </c>
      <c r="H980" s="1" t="s">
        <v>1078</v>
      </c>
      <c r="I980" s="7">
        <v>1</v>
      </c>
      <c r="J980" s="5">
        <f>XLOOKUP(L980, uom!C:C, uom!B:B, "Not Found")</f>
      </c>
      <c r="K980" s="1" t="s">
        <v>5511</v>
      </c>
      <c r="L980" s="5">
        <f>XLOOKUP(N980, uom!C:C, uom!B:B, "Not Found")</f>
      </c>
      <c r="M980" s="1" t="s">
        <v>5511</v>
      </c>
      <c r="N980" s="8" t="s">
        <v>5512</v>
      </c>
      <c r="O980" s="1" t="s">
        <v>5513</v>
      </c>
      <c r="P980" s="5">
        <f>XLOOKUP(R980, classification!C:C, classification!B:B, "Not Found")</f>
      </c>
      <c r="Q980" s="1" t="s">
        <v>5514</v>
      </c>
      <c r="R980" s="2"/>
      <c r="S980" s="2"/>
      <c r="T980" s="2"/>
      <c r="U980" s="2"/>
    </row>
    <row x14ac:dyDescent="0.25" r="981" customHeight="1" ht="17.25">
      <c r="A981" s="7">
        <v>980</v>
      </c>
      <c r="B981" s="1" t="s">
        <v>6416</v>
      </c>
      <c r="C981" s="5">
        <f>CONCATENATE("PD", TEXT(A981, "1000000"))</f>
      </c>
      <c r="D981" s="7">
        <v>59</v>
      </c>
      <c r="E981" s="5">
        <f>XLOOKUP(G981, item_category!C:C, item_category!B:B, "Not Found")</f>
      </c>
      <c r="F981" s="1" t="s">
        <v>5527</v>
      </c>
      <c r="G981" s="5">
        <f>XLOOKUP(I981, drug!B:B, drug!A:A, "Not Found")</f>
      </c>
      <c r="H981" s="1"/>
      <c r="I981" s="7">
        <v>1</v>
      </c>
      <c r="J981" s="5">
        <f>XLOOKUP(L981, uom!C:C, uom!B:B, "Not Found")</f>
      </c>
      <c r="K981" s="1" t="s">
        <v>5511</v>
      </c>
      <c r="L981" s="5">
        <f>XLOOKUP(N981, uom!C:C, uom!B:B, "Not Found")</f>
      </c>
      <c r="M981" s="1" t="s">
        <v>5511</v>
      </c>
      <c r="N981" s="8" t="s">
        <v>5512</v>
      </c>
      <c r="O981" s="1" t="s">
        <v>5513</v>
      </c>
      <c r="P981" s="5">
        <f>XLOOKUP(R981, classification!C:C, classification!B:B, "Not Found")</f>
      </c>
      <c r="Q981" s="1" t="s">
        <v>5514</v>
      </c>
      <c r="R981" s="2"/>
      <c r="S981" s="2"/>
      <c r="T981" s="2"/>
      <c r="U981" s="2"/>
    </row>
    <row x14ac:dyDescent="0.25" r="982" customHeight="1" ht="17.25">
      <c r="A982" s="7">
        <v>981</v>
      </c>
      <c r="B982" s="1" t="s">
        <v>6417</v>
      </c>
      <c r="C982" s="5">
        <f>CONCATENATE("PD", TEXT(A982, "1000000"))</f>
      </c>
      <c r="D982" s="7">
        <v>61</v>
      </c>
      <c r="E982" s="5">
        <f>XLOOKUP(G982, item_category!C:C, item_category!B:B, "Not Found")</f>
      </c>
      <c r="F982" s="1" t="s">
        <v>5610</v>
      </c>
      <c r="G982" s="5">
        <f>XLOOKUP(I982, drug!B:B, drug!A:A, "Not Found")</f>
      </c>
      <c r="H982" s="1" t="s">
        <v>1942</v>
      </c>
      <c r="I982" s="7">
        <v>1</v>
      </c>
      <c r="J982" s="5">
        <f>XLOOKUP(L982, uom!C:C, uom!B:B, "Not Found")</f>
      </c>
      <c r="K982" s="1" t="s">
        <v>5511</v>
      </c>
      <c r="L982" s="5">
        <f>XLOOKUP(N982, uom!C:C, uom!B:B, "Not Found")</f>
      </c>
      <c r="M982" s="1" t="s">
        <v>5511</v>
      </c>
      <c r="N982" s="8" t="s">
        <v>5512</v>
      </c>
      <c r="O982" s="1" t="s">
        <v>5513</v>
      </c>
      <c r="P982" s="5">
        <f>XLOOKUP(R982, classification!C:C, classification!B:B, "Not Found")</f>
      </c>
      <c r="Q982" s="1" t="s">
        <v>5514</v>
      </c>
      <c r="R982" s="2"/>
      <c r="S982" s="2"/>
      <c r="T982" s="2"/>
      <c r="U982" s="2"/>
    </row>
    <row x14ac:dyDescent="0.25" r="983" customHeight="1" ht="17.25">
      <c r="A983" s="7">
        <v>982</v>
      </c>
      <c r="B983" s="1" t="s">
        <v>6418</v>
      </c>
      <c r="C983" s="5">
        <f>CONCATENATE("PD", TEXT(A983, "1000000"))</f>
      </c>
      <c r="D983" s="7">
        <v>59</v>
      </c>
      <c r="E983" s="5">
        <f>XLOOKUP(G983, item_category!C:C, item_category!B:B, "Not Found")</f>
      </c>
      <c r="F983" s="1" t="s">
        <v>5527</v>
      </c>
      <c r="G983" s="5">
        <f>XLOOKUP(I983, drug!B:B, drug!A:A, "Not Found")</f>
      </c>
      <c r="H983" s="1" t="s">
        <v>828</v>
      </c>
      <c r="I983" s="7">
        <v>1</v>
      </c>
      <c r="J983" s="5">
        <f>XLOOKUP(L983, uom!C:C, uom!B:B, "Not Found")</f>
      </c>
      <c r="K983" s="1" t="s">
        <v>5511</v>
      </c>
      <c r="L983" s="5">
        <f>XLOOKUP(N983, uom!C:C, uom!B:B, "Not Found")</f>
      </c>
      <c r="M983" s="1" t="s">
        <v>5511</v>
      </c>
      <c r="N983" s="8" t="s">
        <v>5512</v>
      </c>
      <c r="O983" s="1" t="s">
        <v>5513</v>
      </c>
      <c r="P983" s="5">
        <f>XLOOKUP(R983, classification!C:C, classification!B:B, "Not Found")</f>
      </c>
      <c r="Q983" s="1" t="s">
        <v>5514</v>
      </c>
      <c r="R983" s="2"/>
      <c r="S983" s="2"/>
      <c r="T983" s="2"/>
      <c r="U983" s="2"/>
    </row>
    <row x14ac:dyDescent="0.25" r="984" customHeight="1" ht="17.25">
      <c r="A984" s="7">
        <v>983</v>
      </c>
      <c r="B984" s="1" t="s">
        <v>6419</v>
      </c>
      <c r="C984" s="5">
        <f>CONCATENATE("PD", TEXT(A984, "1000000"))</f>
      </c>
      <c r="D984" s="7">
        <v>59</v>
      </c>
      <c r="E984" s="5">
        <f>XLOOKUP(G984, item_category!C:C, item_category!B:B, "Not Found")</f>
      </c>
      <c r="F984" s="1" t="s">
        <v>5527</v>
      </c>
      <c r="G984" s="5">
        <f>XLOOKUP(I984, drug!B:B, drug!A:A, "Not Found")</f>
      </c>
      <c r="H984" s="1" t="s">
        <v>360</v>
      </c>
      <c r="I984" s="7">
        <v>1</v>
      </c>
      <c r="J984" s="5">
        <f>XLOOKUP(L984, uom!C:C, uom!B:B, "Not Found")</f>
      </c>
      <c r="K984" s="1" t="s">
        <v>5511</v>
      </c>
      <c r="L984" s="5">
        <f>XLOOKUP(N984, uom!C:C, uom!B:B, "Not Found")</f>
      </c>
      <c r="M984" s="1" t="s">
        <v>5511</v>
      </c>
      <c r="N984" s="8" t="s">
        <v>5512</v>
      </c>
      <c r="O984" s="1" t="s">
        <v>5513</v>
      </c>
      <c r="P984" s="5">
        <f>XLOOKUP(R984, classification!C:C, classification!B:B, "Not Found")</f>
      </c>
      <c r="Q984" s="1" t="s">
        <v>5514</v>
      </c>
      <c r="R984" s="2"/>
      <c r="S984" s="2"/>
      <c r="T984" s="2"/>
      <c r="U984" s="2"/>
    </row>
    <row x14ac:dyDescent="0.25" r="985" customHeight="1" ht="17.25">
      <c r="A985" s="7">
        <v>984</v>
      </c>
      <c r="B985" s="1" t="s">
        <v>6420</v>
      </c>
      <c r="C985" s="5">
        <f>CONCATENATE("PD", TEXT(A985, "1000000"))</f>
      </c>
      <c r="D985" s="7">
        <v>59</v>
      </c>
      <c r="E985" s="5">
        <f>XLOOKUP(G985, item_category!C:C, item_category!B:B, "Not Found")</f>
      </c>
      <c r="F985" s="1" t="s">
        <v>5527</v>
      </c>
      <c r="G985" s="5">
        <f>XLOOKUP(I985, drug!B:B, drug!A:A, "Not Found")</f>
      </c>
      <c r="H985" s="1"/>
      <c r="I985" s="7">
        <v>1</v>
      </c>
      <c r="J985" s="5">
        <f>XLOOKUP(L985, uom!C:C, uom!B:B, "Not Found")</f>
      </c>
      <c r="K985" s="1" t="s">
        <v>5511</v>
      </c>
      <c r="L985" s="5">
        <f>XLOOKUP(N985, uom!C:C, uom!B:B, "Not Found")</f>
      </c>
      <c r="M985" s="1" t="s">
        <v>5511</v>
      </c>
      <c r="N985" s="8" t="s">
        <v>5512</v>
      </c>
      <c r="O985" s="1" t="s">
        <v>5513</v>
      </c>
      <c r="P985" s="5">
        <f>XLOOKUP(R985, classification!C:C, classification!B:B, "Not Found")</f>
      </c>
      <c r="Q985" s="1" t="s">
        <v>5514</v>
      </c>
      <c r="R985" s="2"/>
      <c r="S985" s="2"/>
      <c r="T985" s="2"/>
      <c r="U985" s="2"/>
    </row>
    <row x14ac:dyDescent="0.25" r="986" customHeight="1" ht="17.25">
      <c r="A986" s="7">
        <v>985</v>
      </c>
      <c r="B986" s="1" t="s">
        <v>6421</v>
      </c>
      <c r="C986" s="5">
        <f>CONCATENATE("PD", TEXT(A986, "1000000"))</f>
      </c>
      <c r="D986" s="7">
        <v>59</v>
      </c>
      <c r="E986" s="5">
        <f>XLOOKUP(G986, item_category!C:C, item_category!B:B, "Not Found")</f>
      </c>
      <c r="F986" s="1" t="s">
        <v>5527</v>
      </c>
      <c r="G986" s="5">
        <f>XLOOKUP(I986, drug!B:B, drug!A:A, "Not Found")</f>
      </c>
      <c r="H986" s="1"/>
      <c r="I986" s="7">
        <v>1</v>
      </c>
      <c r="J986" s="5">
        <f>XLOOKUP(L986, uom!C:C, uom!B:B, "Not Found")</f>
      </c>
      <c r="K986" s="1" t="s">
        <v>5511</v>
      </c>
      <c r="L986" s="5">
        <f>XLOOKUP(N986, uom!C:C, uom!B:B, "Not Found")</f>
      </c>
      <c r="M986" s="1" t="s">
        <v>5511</v>
      </c>
      <c r="N986" s="8" t="s">
        <v>5512</v>
      </c>
      <c r="O986" s="1" t="s">
        <v>5513</v>
      </c>
      <c r="P986" s="5">
        <f>XLOOKUP(R986, classification!C:C, classification!B:B, "Not Found")</f>
      </c>
      <c r="Q986" s="1" t="s">
        <v>5514</v>
      </c>
      <c r="R986" s="2"/>
      <c r="S986" s="2"/>
      <c r="T986" s="2"/>
      <c r="U986" s="2"/>
    </row>
    <row x14ac:dyDescent="0.25" r="987" customHeight="1" ht="17.25">
      <c r="A987" s="7">
        <v>986</v>
      </c>
      <c r="B987" s="1" t="s">
        <v>6422</v>
      </c>
      <c r="C987" s="5">
        <f>CONCATENATE("PD", TEXT(A987, "1000000"))</f>
      </c>
      <c r="D987" s="7">
        <v>59</v>
      </c>
      <c r="E987" s="5">
        <f>XLOOKUP(G987, item_category!C:C, item_category!B:B, "Not Found")</f>
      </c>
      <c r="F987" s="1" t="s">
        <v>5527</v>
      </c>
      <c r="G987" s="5">
        <f>XLOOKUP(I987, drug!B:B, drug!A:A, "Not Found")</f>
      </c>
      <c r="H987" s="1"/>
      <c r="I987" s="7">
        <v>1</v>
      </c>
      <c r="J987" s="5">
        <f>XLOOKUP(L987, uom!C:C, uom!B:B, "Not Found")</f>
      </c>
      <c r="K987" s="1" t="s">
        <v>5511</v>
      </c>
      <c r="L987" s="5">
        <f>XLOOKUP(N987, uom!C:C, uom!B:B, "Not Found")</f>
      </c>
      <c r="M987" s="1" t="s">
        <v>5511</v>
      </c>
      <c r="N987" s="8" t="s">
        <v>5512</v>
      </c>
      <c r="O987" s="1" t="s">
        <v>5513</v>
      </c>
      <c r="P987" s="5">
        <f>XLOOKUP(R987, classification!C:C, classification!B:B, "Not Found")</f>
      </c>
      <c r="Q987" s="1" t="s">
        <v>5514</v>
      </c>
      <c r="R987" s="2"/>
      <c r="S987" s="2"/>
      <c r="T987" s="2"/>
      <c r="U987" s="2"/>
    </row>
    <row x14ac:dyDescent="0.25" r="988" customHeight="1" ht="17.25">
      <c r="A988" s="7">
        <v>987</v>
      </c>
      <c r="B988" s="1" t="s">
        <v>6423</v>
      </c>
      <c r="C988" s="5">
        <f>CONCATENATE("PD", TEXT(A988, "1000000"))</f>
      </c>
      <c r="D988" s="7">
        <v>59</v>
      </c>
      <c r="E988" s="5">
        <f>XLOOKUP(G988, item_category!C:C, item_category!B:B, "Not Found")</f>
      </c>
      <c r="F988" s="1" t="s">
        <v>5527</v>
      </c>
      <c r="G988" s="5">
        <f>XLOOKUP(I988, drug!B:B, drug!A:A, "Not Found")</f>
      </c>
      <c r="H988" s="1"/>
      <c r="I988" s="7">
        <v>1</v>
      </c>
      <c r="J988" s="5">
        <f>XLOOKUP(L988, uom!C:C, uom!B:B, "Not Found")</f>
      </c>
      <c r="K988" s="1" t="s">
        <v>5511</v>
      </c>
      <c r="L988" s="5">
        <f>XLOOKUP(N988, uom!C:C, uom!B:B, "Not Found")</f>
      </c>
      <c r="M988" s="1" t="s">
        <v>5511</v>
      </c>
      <c r="N988" s="8" t="s">
        <v>5512</v>
      </c>
      <c r="O988" s="1" t="s">
        <v>5513</v>
      </c>
      <c r="P988" s="5">
        <f>XLOOKUP(R988, classification!C:C, classification!B:B, "Not Found")</f>
      </c>
      <c r="Q988" s="1" t="s">
        <v>5514</v>
      </c>
      <c r="R988" s="2"/>
      <c r="S988" s="2"/>
      <c r="T988" s="2"/>
      <c r="U988" s="2"/>
    </row>
    <row x14ac:dyDescent="0.25" r="989" customHeight="1" ht="17.25">
      <c r="A989" s="7">
        <v>988</v>
      </c>
      <c r="B989" s="1" t="s">
        <v>2462</v>
      </c>
      <c r="C989" s="5">
        <f>CONCATENATE("PD", TEXT(A989, "1000000"))</f>
      </c>
      <c r="D989" s="7">
        <v>59</v>
      </c>
      <c r="E989" s="5">
        <f>XLOOKUP(G989, item_category!C:C, item_category!B:B, "Not Found")</f>
      </c>
      <c r="F989" s="1" t="s">
        <v>5527</v>
      </c>
      <c r="G989" s="5">
        <f>XLOOKUP(I989, drug!B:B, drug!A:A, "Not Found")</f>
      </c>
      <c r="H989" s="1"/>
      <c r="I989" s="7">
        <v>1</v>
      </c>
      <c r="J989" s="5">
        <f>XLOOKUP(L989, uom!C:C, uom!B:B, "Not Found")</f>
      </c>
      <c r="K989" s="1" t="s">
        <v>5511</v>
      </c>
      <c r="L989" s="5">
        <f>XLOOKUP(N989, uom!C:C, uom!B:B, "Not Found")</f>
      </c>
      <c r="M989" s="1" t="s">
        <v>5511</v>
      </c>
      <c r="N989" s="8" t="s">
        <v>5512</v>
      </c>
      <c r="O989" s="1" t="s">
        <v>5513</v>
      </c>
      <c r="P989" s="5">
        <f>XLOOKUP(R989, classification!C:C, classification!B:B, "Not Found")</f>
      </c>
      <c r="Q989" s="1" t="s">
        <v>5514</v>
      </c>
      <c r="R989" s="2"/>
      <c r="S989" s="2"/>
      <c r="T989" s="2"/>
      <c r="U989" s="2"/>
    </row>
    <row x14ac:dyDescent="0.25" r="990" customHeight="1" ht="17.25">
      <c r="A990" s="7">
        <v>989</v>
      </c>
      <c r="B990" s="1" t="s">
        <v>6424</v>
      </c>
      <c r="C990" s="5">
        <f>CONCATENATE("PD", TEXT(A990, "1000000"))</f>
      </c>
      <c r="D990" s="7">
        <v>59</v>
      </c>
      <c r="E990" s="5">
        <f>XLOOKUP(G990, item_category!C:C, item_category!B:B, "Not Found")</f>
      </c>
      <c r="F990" s="1" t="s">
        <v>5527</v>
      </c>
      <c r="G990" s="5">
        <f>XLOOKUP(I990, drug!B:B, drug!A:A, "Not Found")</f>
      </c>
      <c r="H990" s="1" t="s">
        <v>504</v>
      </c>
      <c r="I990" s="7">
        <v>1</v>
      </c>
      <c r="J990" s="5">
        <f>XLOOKUP(L990, uom!C:C, uom!B:B, "Not Found")</f>
      </c>
      <c r="K990" s="1" t="s">
        <v>5511</v>
      </c>
      <c r="L990" s="5">
        <f>XLOOKUP(N990, uom!C:C, uom!B:B, "Not Found")</f>
      </c>
      <c r="M990" s="1" t="s">
        <v>5511</v>
      </c>
      <c r="N990" s="8" t="s">
        <v>5512</v>
      </c>
      <c r="O990" s="1" t="s">
        <v>5513</v>
      </c>
      <c r="P990" s="5">
        <f>XLOOKUP(R990, classification!C:C, classification!B:B, "Not Found")</f>
      </c>
      <c r="Q990" s="1" t="s">
        <v>5514</v>
      </c>
      <c r="R990" s="2"/>
      <c r="S990" s="2"/>
      <c r="T990" s="2"/>
      <c r="U990" s="2"/>
    </row>
    <row x14ac:dyDescent="0.25" r="991" customHeight="1" ht="17.25">
      <c r="A991" s="7">
        <v>990</v>
      </c>
      <c r="B991" s="1" t="s">
        <v>6425</v>
      </c>
      <c r="C991" s="5">
        <f>CONCATENATE("PD", TEXT(A991, "1000000"))</f>
      </c>
      <c r="D991" s="7">
        <v>59</v>
      </c>
      <c r="E991" s="5">
        <f>XLOOKUP(G991, item_category!C:C, item_category!B:B, "Not Found")</f>
      </c>
      <c r="F991" s="1" t="s">
        <v>5527</v>
      </c>
      <c r="G991" s="5">
        <f>XLOOKUP(I991, drug!B:B, drug!A:A, "Not Found")</f>
      </c>
      <c r="H991" s="1" t="s">
        <v>360</v>
      </c>
      <c r="I991" s="7">
        <v>400</v>
      </c>
      <c r="J991" s="5">
        <f>XLOOKUP(L991, uom!C:C, uom!B:B, "Not Found")</f>
      </c>
      <c r="K991" s="1" t="s">
        <v>5661</v>
      </c>
      <c r="L991" s="5">
        <f>XLOOKUP(N991, uom!C:C, uom!B:B, "Not Found")</f>
      </c>
      <c r="M991" s="1" t="s">
        <v>5661</v>
      </c>
      <c r="N991" s="8" t="s">
        <v>5524</v>
      </c>
      <c r="O991" s="1" t="s">
        <v>5525</v>
      </c>
      <c r="P991" s="5">
        <f>XLOOKUP(R991, classification!C:C, classification!B:B, "Not Found")</f>
      </c>
      <c r="Q991" s="1" t="s">
        <v>5514</v>
      </c>
      <c r="R991" s="2"/>
      <c r="S991" s="2"/>
      <c r="T991" s="2"/>
      <c r="U991" s="2"/>
    </row>
    <row x14ac:dyDescent="0.25" r="992" customHeight="1" ht="17.25">
      <c r="A992" s="7">
        <v>991</v>
      </c>
      <c r="B992" s="1" t="s">
        <v>6426</v>
      </c>
      <c r="C992" s="5">
        <f>CONCATENATE("PD", TEXT(A992, "1000000"))</f>
      </c>
      <c r="D992" s="7">
        <v>59</v>
      </c>
      <c r="E992" s="5">
        <f>XLOOKUP(G992, item_category!C:C, item_category!B:B, "Not Found")</f>
      </c>
      <c r="F992" s="1" t="s">
        <v>5527</v>
      </c>
      <c r="G992" s="5">
        <f>XLOOKUP(I992, drug!B:B, drug!A:A, "Not Found")</f>
      </c>
      <c r="H992" s="1"/>
      <c r="I992" s="7">
        <v>1</v>
      </c>
      <c r="J992" s="5">
        <f>XLOOKUP(L992, uom!C:C, uom!B:B, "Not Found")</f>
      </c>
      <c r="K992" s="1" t="s">
        <v>5511</v>
      </c>
      <c r="L992" s="5">
        <f>XLOOKUP(N992, uom!C:C, uom!B:B, "Not Found")</f>
      </c>
      <c r="M992" s="1" t="s">
        <v>5511</v>
      </c>
      <c r="N992" s="8" t="s">
        <v>5512</v>
      </c>
      <c r="O992" s="1" t="s">
        <v>5513</v>
      </c>
      <c r="P992" s="5">
        <f>XLOOKUP(R992, classification!C:C, classification!B:B, "Not Found")</f>
      </c>
      <c r="Q992" s="1" t="s">
        <v>5514</v>
      </c>
      <c r="R992" s="2"/>
      <c r="S992" s="2"/>
      <c r="T992" s="2"/>
      <c r="U992" s="2"/>
    </row>
    <row x14ac:dyDescent="0.25" r="993" customHeight="1" ht="17.25">
      <c r="A993" s="7">
        <v>992</v>
      </c>
      <c r="B993" s="1" t="s">
        <v>6427</v>
      </c>
      <c r="C993" s="5">
        <f>CONCATENATE("PD", TEXT(A993, "1000000"))</f>
      </c>
      <c r="D993" s="7">
        <v>59</v>
      </c>
      <c r="E993" s="5">
        <f>XLOOKUP(G993, item_category!C:C, item_category!B:B, "Not Found")</f>
      </c>
      <c r="F993" s="1" t="s">
        <v>5527</v>
      </c>
      <c r="G993" s="5">
        <f>XLOOKUP(I993, drug!B:B, drug!A:A, "Not Found")</f>
      </c>
      <c r="H993" s="1"/>
      <c r="I993" s="7">
        <v>1</v>
      </c>
      <c r="J993" s="5">
        <f>XLOOKUP(L993, uom!C:C, uom!B:B, "Not Found")</f>
      </c>
      <c r="K993" s="1" t="s">
        <v>5511</v>
      </c>
      <c r="L993" s="5">
        <f>XLOOKUP(N993, uom!C:C, uom!B:B, "Not Found")</f>
      </c>
      <c r="M993" s="1" t="s">
        <v>5511</v>
      </c>
      <c r="N993" s="8" t="s">
        <v>5512</v>
      </c>
      <c r="O993" s="1" t="s">
        <v>5513</v>
      </c>
      <c r="P993" s="5">
        <f>XLOOKUP(R993, classification!C:C, classification!B:B, "Not Found")</f>
      </c>
      <c r="Q993" s="1" t="s">
        <v>5514</v>
      </c>
      <c r="R993" s="2"/>
      <c r="S993" s="2"/>
      <c r="T993" s="2"/>
      <c r="U993" s="2"/>
    </row>
    <row x14ac:dyDescent="0.25" r="994" customHeight="1" ht="17.25">
      <c r="A994" s="7">
        <v>993</v>
      </c>
      <c r="B994" s="1" t="s">
        <v>6428</v>
      </c>
      <c r="C994" s="5">
        <f>CONCATENATE("PD", TEXT(A994, "1000000"))</f>
      </c>
      <c r="D994" s="7">
        <v>59</v>
      </c>
      <c r="E994" s="5">
        <f>XLOOKUP(G994, item_category!C:C, item_category!B:B, "Not Found")</f>
      </c>
      <c r="F994" s="1" t="s">
        <v>5527</v>
      </c>
      <c r="G994" s="5">
        <f>XLOOKUP(I994, drug!B:B, drug!A:A, "Not Found")</f>
      </c>
      <c r="H994" s="1"/>
      <c r="I994" s="7">
        <v>1</v>
      </c>
      <c r="J994" s="5">
        <f>XLOOKUP(L994, uom!C:C, uom!B:B, "Not Found")</f>
      </c>
      <c r="K994" s="1" t="s">
        <v>5511</v>
      </c>
      <c r="L994" s="5">
        <f>XLOOKUP(N994, uom!C:C, uom!B:B, "Not Found")</f>
      </c>
      <c r="M994" s="1" t="s">
        <v>5511</v>
      </c>
      <c r="N994" s="8" t="s">
        <v>5512</v>
      </c>
      <c r="O994" s="1" t="s">
        <v>5513</v>
      </c>
      <c r="P994" s="5">
        <f>XLOOKUP(R994, classification!C:C, classification!B:B, "Not Found")</f>
      </c>
      <c r="Q994" s="1" t="s">
        <v>5514</v>
      </c>
      <c r="R994" s="2"/>
      <c r="S994" s="2"/>
      <c r="T994" s="2"/>
      <c r="U994" s="2"/>
    </row>
    <row x14ac:dyDescent="0.25" r="995" customHeight="1" ht="17.25">
      <c r="A995" s="7">
        <v>994</v>
      </c>
      <c r="B995" s="1" t="s">
        <v>6429</v>
      </c>
      <c r="C995" s="5">
        <f>CONCATENATE("PD", TEXT(A995, "1000000"))</f>
      </c>
      <c r="D995" s="7">
        <v>59</v>
      </c>
      <c r="E995" s="5">
        <f>XLOOKUP(G995, item_category!C:C, item_category!B:B, "Not Found")</f>
      </c>
      <c r="F995" s="1" t="s">
        <v>5527</v>
      </c>
      <c r="G995" s="5">
        <f>XLOOKUP(I995, drug!B:B, drug!A:A, "Not Found")</f>
      </c>
      <c r="H995" s="1" t="s">
        <v>504</v>
      </c>
      <c r="I995" s="7">
        <v>1</v>
      </c>
      <c r="J995" s="5">
        <f>XLOOKUP(L995, uom!C:C, uom!B:B, "Not Found")</f>
      </c>
      <c r="K995" s="1" t="s">
        <v>5511</v>
      </c>
      <c r="L995" s="5">
        <f>XLOOKUP(N995, uom!C:C, uom!B:B, "Not Found")</f>
      </c>
      <c r="M995" s="1" t="s">
        <v>5511</v>
      </c>
      <c r="N995" s="8" t="s">
        <v>5512</v>
      </c>
      <c r="O995" s="1" t="s">
        <v>5513</v>
      </c>
      <c r="P995" s="5">
        <f>XLOOKUP(R995, classification!C:C, classification!B:B, "Not Found")</f>
      </c>
      <c r="Q995" s="1" t="s">
        <v>5514</v>
      </c>
      <c r="R995" s="2"/>
      <c r="S995" s="2"/>
      <c r="T995" s="2"/>
      <c r="U995" s="2"/>
    </row>
    <row x14ac:dyDescent="0.25" r="996" customHeight="1" ht="17.25">
      <c r="A996" s="7">
        <v>995</v>
      </c>
      <c r="B996" s="1" t="s">
        <v>6430</v>
      </c>
      <c r="C996" s="5">
        <f>CONCATENATE("PD", TEXT(A996, "1000000"))</f>
      </c>
      <c r="D996" s="7">
        <v>59</v>
      </c>
      <c r="E996" s="5">
        <f>XLOOKUP(G996, item_category!C:C, item_category!B:B, "Not Found")</f>
      </c>
      <c r="F996" s="1" t="s">
        <v>5527</v>
      </c>
      <c r="G996" s="5">
        <f>XLOOKUP(I996, drug!B:B, drug!A:A, "Not Found")</f>
      </c>
      <c r="H996" s="1" t="s">
        <v>1228</v>
      </c>
      <c r="I996" s="7">
        <v>1</v>
      </c>
      <c r="J996" s="5">
        <f>XLOOKUP(L996, uom!C:C, uom!B:B, "Not Found")</f>
      </c>
      <c r="K996" s="1" t="s">
        <v>5511</v>
      </c>
      <c r="L996" s="5">
        <f>XLOOKUP(N996, uom!C:C, uom!B:B, "Not Found")</f>
      </c>
      <c r="M996" s="1" t="s">
        <v>5511</v>
      </c>
      <c r="N996" s="8" t="s">
        <v>5512</v>
      </c>
      <c r="O996" s="1" t="s">
        <v>5513</v>
      </c>
      <c r="P996" s="5">
        <f>XLOOKUP(R996, classification!C:C, classification!B:B, "Not Found")</f>
      </c>
      <c r="Q996" s="1" t="s">
        <v>5514</v>
      </c>
      <c r="R996" s="2"/>
      <c r="S996" s="2"/>
      <c r="T996" s="2"/>
      <c r="U996" s="2"/>
    </row>
    <row x14ac:dyDescent="0.25" r="997" customHeight="1" ht="17.25">
      <c r="A997" s="7">
        <v>996</v>
      </c>
      <c r="B997" s="1" t="s">
        <v>6431</v>
      </c>
      <c r="C997" s="5">
        <f>CONCATENATE("PD", TEXT(A997, "1000000"))</f>
      </c>
      <c r="D997" s="7">
        <v>59</v>
      </c>
      <c r="E997" s="5">
        <f>XLOOKUP(G997, item_category!C:C, item_category!B:B, "Not Found")</f>
      </c>
      <c r="F997" s="1" t="s">
        <v>5527</v>
      </c>
      <c r="G997" s="5">
        <f>XLOOKUP(I997, drug!B:B, drug!A:A, "Not Found")</f>
      </c>
      <c r="H997" s="1" t="s">
        <v>1228</v>
      </c>
      <c r="I997" s="7">
        <v>1</v>
      </c>
      <c r="J997" s="5">
        <f>XLOOKUP(L997, uom!C:C, uom!B:B, "Not Found")</f>
      </c>
      <c r="K997" s="1" t="s">
        <v>5511</v>
      </c>
      <c r="L997" s="5">
        <f>XLOOKUP(N997, uom!C:C, uom!B:B, "Not Found")</f>
      </c>
      <c r="M997" s="1" t="s">
        <v>5511</v>
      </c>
      <c r="N997" s="8" t="s">
        <v>5512</v>
      </c>
      <c r="O997" s="1" t="s">
        <v>5513</v>
      </c>
      <c r="P997" s="5">
        <f>XLOOKUP(R997, classification!C:C, classification!B:B, "Not Found")</f>
      </c>
      <c r="Q997" s="1" t="s">
        <v>5514</v>
      </c>
      <c r="R997" s="2"/>
      <c r="S997" s="2"/>
      <c r="T997" s="2"/>
      <c r="U997" s="2"/>
    </row>
    <row x14ac:dyDescent="0.25" r="998" customHeight="1" ht="17.25">
      <c r="A998" s="7">
        <v>997</v>
      </c>
      <c r="B998" s="1" t="s">
        <v>6432</v>
      </c>
      <c r="C998" s="5">
        <f>CONCATENATE("PD", TEXT(A998, "1000000"))</f>
      </c>
      <c r="D998" s="7">
        <v>59</v>
      </c>
      <c r="E998" s="5">
        <f>XLOOKUP(G998, item_category!C:C, item_category!B:B, "Not Found")</f>
      </c>
      <c r="F998" s="1" t="s">
        <v>5527</v>
      </c>
      <c r="G998" s="5">
        <f>XLOOKUP(I998, drug!B:B, drug!A:A, "Not Found")</f>
      </c>
      <c r="H998" s="1" t="s">
        <v>1139</v>
      </c>
      <c r="I998" s="7">
        <v>1</v>
      </c>
      <c r="J998" s="5">
        <f>XLOOKUP(L998, uom!C:C, uom!B:B, "Not Found")</f>
      </c>
      <c r="K998" s="1" t="s">
        <v>5511</v>
      </c>
      <c r="L998" s="5">
        <f>XLOOKUP(N998, uom!C:C, uom!B:B, "Not Found")</f>
      </c>
      <c r="M998" s="1" t="s">
        <v>5511</v>
      </c>
      <c r="N998" s="8" t="s">
        <v>5512</v>
      </c>
      <c r="O998" s="1" t="s">
        <v>5513</v>
      </c>
      <c r="P998" s="5">
        <f>XLOOKUP(R998, classification!C:C, classification!B:B, "Not Found")</f>
      </c>
      <c r="Q998" s="1" t="s">
        <v>5514</v>
      </c>
      <c r="R998" s="2"/>
      <c r="S998" s="2"/>
      <c r="T998" s="2"/>
      <c r="U998" s="2"/>
    </row>
    <row x14ac:dyDescent="0.25" r="999" customHeight="1" ht="17.25">
      <c r="A999" s="7">
        <v>998</v>
      </c>
      <c r="B999" s="1" t="s">
        <v>6433</v>
      </c>
      <c r="C999" s="5">
        <f>CONCATENATE("PD", TEXT(A999, "1000000"))</f>
      </c>
      <c r="D999" s="7">
        <v>59</v>
      </c>
      <c r="E999" s="5">
        <f>XLOOKUP(G999, item_category!C:C, item_category!B:B, "Not Found")</f>
      </c>
      <c r="F999" s="1" t="s">
        <v>5527</v>
      </c>
      <c r="G999" s="5">
        <f>XLOOKUP(I999, drug!B:B, drug!A:A, "Not Found")</f>
      </c>
      <c r="H999" s="1" t="s">
        <v>1139</v>
      </c>
      <c r="I999" s="7">
        <v>1</v>
      </c>
      <c r="J999" s="5">
        <f>XLOOKUP(L999, uom!C:C, uom!B:B, "Not Found")</f>
      </c>
      <c r="K999" s="1" t="s">
        <v>5511</v>
      </c>
      <c r="L999" s="5">
        <f>XLOOKUP(N999, uom!C:C, uom!B:B, "Not Found")</f>
      </c>
      <c r="M999" s="1" t="s">
        <v>5511</v>
      </c>
      <c r="N999" s="8" t="s">
        <v>5512</v>
      </c>
      <c r="O999" s="1" t="s">
        <v>5513</v>
      </c>
      <c r="P999" s="5">
        <f>XLOOKUP(R999, classification!C:C, classification!B:B, "Not Found")</f>
      </c>
      <c r="Q999" s="1" t="s">
        <v>5514</v>
      </c>
      <c r="R999" s="2"/>
      <c r="S999" s="2"/>
      <c r="T999" s="2"/>
      <c r="U999" s="2"/>
    </row>
    <row x14ac:dyDescent="0.25" r="1000" customHeight="1" ht="17.25">
      <c r="A1000" s="7">
        <v>999</v>
      </c>
      <c r="B1000" s="1" t="s">
        <v>6434</v>
      </c>
      <c r="C1000" s="5">
        <f>CONCATENATE("PD", TEXT(A1000, "1000000"))</f>
      </c>
      <c r="D1000" s="7">
        <v>59</v>
      </c>
      <c r="E1000" s="5">
        <f>XLOOKUP(G1000, item_category!C:C, item_category!B:B, "Not Found")</f>
      </c>
      <c r="F1000" s="1" t="s">
        <v>5527</v>
      </c>
      <c r="G1000" s="5">
        <f>XLOOKUP(I1000, drug!B:B, drug!A:A, "Not Found")</f>
      </c>
      <c r="H1000" s="1" t="s">
        <v>1152</v>
      </c>
      <c r="I1000" s="7">
        <v>1</v>
      </c>
      <c r="J1000" s="5">
        <f>XLOOKUP(L1000, uom!C:C, uom!B:B, "Not Found")</f>
      </c>
      <c r="K1000" s="1" t="s">
        <v>5511</v>
      </c>
      <c r="L1000" s="5">
        <f>XLOOKUP(N1000, uom!C:C, uom!B:B, "Not Found")</f>
      </c>
      <c r="M1000" s="1" t="s">
        <v>5511</v>
      </c>
      <c r="N1000" s="8" t="s">
        <v>5512</v>
      </c>
      <c r="O1000" s="1" t="s">
        <v>5513</v>
      </c>
      <c r="P1000" s="5">
        <f>XLOOKUP(R1000, classification!C:C, classification!B:B, "Not Found")</f>
      </c>
      <c r="Q1000" s="1" t="s">
        <v>5514</v>
      </c>
      <c r="R1000" s="2"/>
      <c r="S1000" s="2"/>
      <c r="T1000" s="2"/>
      <c r="U1000" s="2"/>
    </row>
    <row x14ac:dyDescent="0.25" r="1001" customHeight="1" ht="17.25">
      <c r="A1001" s="7">
        <v>1000</v>
      </c>
      <c r="B1001" s="1" t="s">
        <v>6435</v>
      </c>
      <c r="C1001" s="5">
        <f>CONCATENATE("PD", TEXT(A1001, "1000000"))</f>
      </c>
      <c r="D1001" s="7">
        <v>1</v>
      </c>
      <c r="E1001" s="5">
        <f>XLOOKUP(G1001, item_category!C:C, item_category!B:B, "Not Found")</f>
      </c>
      <c r="F1001" s="1" t="s">
        <v>5514</v>
      </c>
      <c r="G1001" s="5">
        <f>XLOOKUP(I1001, drug!B:B, drug!A:A, "Not Found")</f>
      </c>
      <c r="H1001" s="1"/>
      <c r="I1001" s="7">
        <v>25</v>
      </c>
      <c r="J1001" s="5">
        <f>XLOOKUP(L1001, uom!C:C, uom!B:B, "Not Found")</f>
      </c>
      <c r="K1001" s="1" t="s">
        <v>5899</v>
      </c>
      <c r="L1001" s="5">
        <f>XLOOKUP(N1001, uom!C:C, uom!B:B, "Not Found")</f>
      </c>
      <c r="M1001" s="1" t="s">
        <v>5544</v>
      </c>
      <c r="N1001" s="8" t="s">
        <v>5524</v>
      </c>
      <c r="O1001" s="1" t="s">
        <v>5525</v>
      </c>
      <c r="P1001" s="5">
        <f>XLOOKUP(R1001, classification!C:C, classification!B:B, "Not Found")</f>
      </c>
      <c r="Q1001" s="1" t="s">
        <v>5514</v>
      </c>
      <c r="R1001" s="2"/>
      <c r="S1001" s="2"/>
      <c r="T1001" s="2"/>
      <c r="U1001" s="2"/>
    </row>
    <row x14ac:dyDescent="0.25" r="1002" customHeight="1" ht="17.25">
      <c r="A1002" s="7">
        <v>1001</v>
      </c>
      <c r="B1002" s="1" t="s">
        <v>6436</v>
      </c>
      <c r="C1002" s="5">
        <f>CONCATENATE("PD", TEXT(A1002, "1000000"))</f>
      </c>
      <c r="D1002" s="7">
        <v>59</v>
      </c>
      <c r="E1002" s="5">
        <f>XLOOKUP(G1002, item_category!C:C, item_category!B:B, "Not Found")</f>
      </c>
      <c r="F1002" s="1" t="s">
        <v>5527</v>
      </c>
      <c r="G1002" s="5">
        <f>XLOOKUP(I1002, drug!B:B, drug!A:A, "Not Found")</f>
      </c>
      <c r="H1002" s="1" t="s">
        <v>1152</v>
      </c>
      <c r="I1002" s="7">
        <v>1</v>
      </c>
      <c r="J1002" s="5">
        <f>XLOOKUP(L1002, uom!C:C, uom!B:B, "Not Found")</f>
      </c>
      <c r="K1002" s="1" t="s">
        <v>5511</v>
      </c>
      <c r="L1002" s="5">
        <f>XLOOKUP(N1002, uom!C:C, uom!B:B, "Not Found")</f>
      </c>
      <c r="M1002" s="1" t="s">
        <v>5511</v>
      </c>
      <c r="N1002" s="8" t="s">
        <v>5512</v>
      </c>
      <c r="O1002" s="1" t="s">
        <v>5513</v>
      </c>
      <c r="P1002" s="5">
        <f>XLOOKUP(R1002, classification!C:C, classification!B:B, "Not Found")</f>
      </c>
      <c r="Q1002" s="1" t="s">
        <v>5514</v>
      </c>
      <c r="R1002" s="2"/>
      <c r="S1002" s="2"/>
      <c r="T1002" s="2"/>
      <c r="U1002" s="2"/>
    </row>
    <row x14ac:dyDescent="0.25" r="1003" customHeight="1" ht="17.25">
      <c r="A1003" s="7">
        <v>1002</v>
      </c>
      <c r="B1003" s="1" t="s">
        <v>6437</v>
      </c>
      <c r="C1003" s="5">
        <f>CONCATENATE("PD", TEXT(A1003, "1000000"))</f>
      </c>
      <c r="D1003" s="7">
        <v>59</v>
      </c>
      <c r="E1003" s="5">
        <f>XLOOKUP(G1003, item_category!C:C, item_category!B:B, "Not Found")</f>
      </c>
      <c r="F1003" s="1" t="s">
        <v>5527</v>
      </c>
      <c r="G1003" s="5">
        <f>XLOOKUP(I1003, drug!B:B, drug!A:A, "Not Found")</f>
      </c>
      <c r="H1003" s="1"/>
      <c r="I1003" s="7">
        <v>1</v>
      </c>
      <c r="J1003" s="5">
        <f>XLOOKUP(L1003, uom!C:C, uom!B:B, "Not Found")</f>
      </c>
      <c r="K1003" s="1" t="s">
        <v>5511</v>
      </c>
      <c r="L1003" s="5">
        <f>XLOOKUP(N1003, uom!C:C, uom!B:B, "Not Found")</f>
      </c>
      <c r="M1003" s="1" t="s">
        <v>5511</v>
      </c>
      <c r="N1003" s="8" t="s">
        <v>5512</v>
      </c>
      <c r="O1003" s="1" t="s">
        <v>5513</v>
      </c>
      <c r="P1003" s="5">
        <f>XLOOKUP(R1003, classification!C:C, classification!B:B, "Not Found")</f>
      </c>
      <c r="Q1003" s="1" t="s">
        <v>5514</v>
      </c>
      <c r="R1003" s="2"/>
      <c r="S1003" s="2"/>
      <c r="T1003" s="2"/>
      <c r="U1003" s="2"/>
    </row>
    <row x14ac:dyDescent="0.25" r="1004" customHeight="1" ht="17.25">
      <c r="A1004" s="7">
        <v>1003</v>
      </c>
      <c r="B1004" s="1" t="s">
        <v>6438</v>
      </c>
      <c r="C1004" s="5">
        <f>CONCATENATE("PD", TEXT(A1004, "1000000"))</f>
      </c>
      <c r="D1004" s="7">
        <v>66</v>
      </c>
      <c r="E1004" s="5">
        <f>XLOOKUP(G1004, item_category!C:C, item_category!B:B, "Not Found")</f>
      </c>
      <c r="F1004" s="1" t="s">
        <v>5617</v>
      </c>
      <c r="G1004" s="5">
        <f>XLOOKUP(I1004, drug!B:B, drug!A:A, "Not Found")</f>
      </c>
      <c r="H1004" s="1"/>
      <c r="I1004" s="7">
        <v>1</v>
      </c>
      <c r="J1004" s="5">
        <f>XLOOKUP(L1004, uom!C:C, uom!B:B, "Not Found")</f>
      </c>
      <c r="K1004" s="1" t="s">
        <v>5511</v>
      </c>
      <c r="L1004" s="5">
        <f>XLOOKUP(N1004, uom!C:C, uom!B:B, "Not Found")</f>
      </c>
      <c r="M1004" s="1" t="s">
        <v>5511</v>
      </c>
      <c r="N1004" s="8" t="s">
        <v>5512</v>
      </c>
      <c r="O1004" s="1" t="s">
        <v>5513</v>
      </c>
      <c r="P1004" s="5">
        <f>XLOOKUP(R1004, classification!C:C, classification!B:B, "Not Found")</f>
      </c>
      <c r="Q1004" s="1" t="s">
        <v>5514</v>
      </c>
      <c r="R1004" s="2"/>
      <c r="S1004" s="2"/>
      <c r="T1004" s="2"/>
      <c r="U1004" s="2"/>
    </row>
    <row x14ac:dyDescent="0.25" r="1005" customHeight="1" ht="17.25">
      <c r="A1005" s="7">
        <v>1004</v>
      </c>
      <c r="B1005" s="1" t="s">
        <v>6439</v>
      </c>
      <c r="C1005" s="5">
        <f>CONCATENATE("PD", TEXT(A1005, "1000000"))</f>
      </c>
      <c r="D1005" s="7">
        <v>66</v>
      </c>
      <c r="E1005" s="5">
        <f>XLOOKUP(G1005, item_category!C:C, item_category!B:B, "Not Found")</f>
      </c>
      <c r="F1005" s="1" t="s">
        <v>5617</v>
      </c>
      <c r="G1005" s="5">
        <f>XLOOKUP(I1005, drug!B:B, drug!A:A, "Not Found")</f>
      </c>
      <c r="H1005" s="1"/>
      <c r="I1005" s="7">
        <v>1</v>
      </c>
      <c r="J1005" s="5">
        <f>XLOOKUP(L1005, uom!C:C, uom!B:B, "Not Found")</f>
      </c>
      <c r="K1005" s="1" t="s">
        <v>5511</v>
      </c>
      <c r="L1005" s="5">
        <f>XLOOKUP(N1005, uom!C:C, uom!B:B, "Not Found")</f>
      </c>
      <c r="M1005" s="1" t="s">
        <v>5511</v>
      </c>
      <c r="N1005" s="8" t="s">
        <v>5512</v>
      </c>
      <c r="O1005" s="1" t="s">
        <v>5513</v>
      </c>
      <c r="P1005" s="5">
        <f>XLOOKUP(R1005, classification!C:C, classification!B:B, "Not Found")</f>
      </c>
      <c r="Q1005" s="1" t="s">
        <v>5514</v>
      </c>
      <c r="R1005" s="2"/>
      <c r="S1005" s="2"/>
      <c r="T1005" s="2"/>
      <c r="U1005" s="2"/>
    </row>
    <row x14ac:dyDescent="0.25" r="1006" customHeight="1" ht="17.25">
      <c r="A1006" s="7">
        <v>1005</v>
      </c>
      <c r="B1006" s="1" t="s">
        <v>6440</v>
      </c>
      <c r="C1006" s="5">
        <f>CONCATENATE("PD", TEXT(A1006, "1000000"))</f>
      </c>
      <c r="D1006" s="7">
        <v>66</v>
      </c>
      <c r="E1006" s="5">
        <f>XLOOKUP(G1006, item_category!C:C, item_category!B:B, "Not Found")</f>
      </c>
      <c r="F1006" s="1" t="s">
        <v>5617</v>
      </c>
      <c r="G1006" s="5">
        <f>XLOOKUP(I1006, drug!B:B, drug!A:A, "Not Found")</f>
      </c>
      <c r="H1006" s="1"/>
      <c r="I1006" s="7">
        <v>1</v>
      </c>
      <c r="J1006" s="5">
        <f>XLOOKUP(L1006, uom!C:C, uom!B:B, "Not Found")</f>
      </c>
      <c r="K1006" s="1" t="s">
        <v>5511</v>
      </c>
      <c r="L1006" s="5">
        <f>XLOOKUP(N1006, uom!C:C, uom!B:B, "Not Found")</f>
      </c>
      <c r="M1006" s="1" t="s">
        <v>5511</v>
      </c>
      <c r="N1006" s="8" t="s">
        <v>5512</v>
      </c>
      <c r="O1006" s="1" t="s">
        <v>5513</v>
      </c>
      <c r="P1006" s="5">
        <f>XLOOKUP(R1006, classification!C:C, classification!B:B, "Not Found")</f>
      </c>
      <c r="Q1006" s="1" t="s">
        <v>5514</v>
      </c>
      <c r="R1006" s="2"/>
      <c r="S1006" s="2"/>
      <c r="T1006" s="2"/>
      <c r="U1006" s="2"/>
    </row>
    <row x14ac:dyDescent="0.25" r="1007" customHeight="1" ht="17.25">
      <c r="A1007" s="7">
        <v>1006</v>
      </c>
      <c r="B1007" s="1" t="s">
        <v>6441</v>
      </c>
      <c r="C1007" s="5">
        <f>CONCATENATE("PD", TEXT(A1007, "1000000"))</f>
      </c>
      <c r="D1007" s="7">
        <v>66</v>
      </c>
      <c r="E1007" s="5">
        <f>XLOOKUP(G1007, item_category!C:C, item_category!B:B, "Not Found")</f>
      </c>
      <c r="F1007" s="1" t="s">
        <v>5617</v>
      </c>
      <c r="G1007" s="5">
        <f>XLOOKUP(I1007, drug!B:B, drug!A:A, "Not Found")</f>
      </c>
      <c r="H1007" s="1" t="s">
        <v>75</v>
      </c>
      <c r="I1007" s="7">
        <v>1</v>
      </c>
      <c r="J1007" s="5">
        <f>XLOOKUP(L1007, uom!C:C, uom!B:B, "Not Found")</f>
      </c>
      <c r="K1007" s="1" t="s">
        <v>5511</v>
      </c>
      <c r="L1007" s="5">
        <f>XLOOKUP(N1007, uom!C:C, uom!B:B, "Not Found")</f>
      </c>
      <c r="M1007" s="1" t="s">
        <v>5511</v>
      </c>
      <c r="N1007" s="8" t="s">
        <v>5512</v>
      </c>
      <c r="O1007" s="1" t="s">
        <v>5513</v>
      </c>
      <c r="P1007" s="5">
        <f>XLOOKUP(R1007, classification!C:C, classification!B:B, "Not Found")</f>
      </c>
      <c r="Q1007" s="1" t="s">
        <v>5514</v>
      </c>
      <c r="R1007" s="2"/>
      <c r="S1007" s="2"/>
      <c r="T1007" s="2"/>
      <c r="U1007" s="2"/>
    </row>
    <row x14ac:dyDescent="0.25" r="1008" customHeight="1" ht="17.25">
      <c r="A1008" s="7">
        <v>1007</v>
      </c>
      <c r="B1008" s="1" t="s">
        <v>6442</v>
      </c>
      <c r="C1008" s="5">
        <f>CONCATENATE("PD", TEXT(A1008, "1000000"))</f>
      </c>
      <c r="D1008" s="7">
        <v>66</v>
      </c>
      <c r="E1008" s="5">
        <f>XLOOKUP(G1008, item_category!C:C, item_category!B:B, "Not Found")</f>
      </c>
      <c r="F1008" s="1" t="s">
        <v>5617</v>
      </c>
      <c r="G1008" s="5">
        <f>XLOOKUP(I1008, drug!B:B, drug!A:A, "Not Found")</f>
      </c>
      <c r="H1008" s="1"/>
      <c r="I1008" s="7">
        <v>1</v>
      </c>
      <c r="J1008" s="5">
        <f>XLOOKUP(L1008, uom!C:C, uom!B:B, "Not Found")</f>
      </c>
      <c r="K1008" s="1" t="s">
        <v>5511</v>
      </c>
      <c r="L1008" s="5">
        <f>XLOOKUP(N1008, uom!C:C, uom!B:B, "Not Found")</f>
      </c>
      <c r="M1008" s="1" t="s">
        <v>5511</v>
      </c>
      <c r="N1008" s="8" t="s">
        <v>5512</v>
      </c>
      <c r="O1008" s="1" t="s">
        <v>5513</v>
      </c>
      <c r="P1008" s="5">
        <f>XLOOKUP(R1008, classification!C:C, classification!B:B, "Not Found")</f>
      </c>
      <c r="Q1008" s="1" t="s">
        <v>5514</v>
      </c>
      <c r="R1008" s="2"/>
      <c r="S1008" s="2"/>
      <c r="T1008" s="2"/>
      <c r="U1008" s="2"/>
    </row>
    <row x14ac:dyDescent="0.25" r="1009" customHeight="1" ht="17.25">
      <c r="A1009" s="7">
        <v>1008</v>
      </c>
      <c r="B1009" s="1" t="s">
        <v>6443</v>
      </c>
      <c r="C1009" s="5">
        <f>CONCATENATE("PD", TEXT(A1009, "1000000"))</f>
      </c>
      <c r="D1009" s="7">
        <v>66</v>
      </c>
      <c r="E1009" s="5">
        <f>XLOOKUP(G1009, item_category!C:C, item_category!B:B, "Not Found")</f>
      </c>
      <c r="F1009" s="1" t="s">
        <v>5617</v>
      </c>
      <c r="G1009" s="5">
        <f>XLOOKUP(I1009, drug!B:B, drug!A:A, "Not Found")</f>
      </c>
      <c r="H1009" s="1"/>
      <c r="I1009" s="7">
        <v>1</v>
      </c>
      <c r="J1009" s="5">
        <f>XLOOKUP(L1009, uom!C:C, uom!B:B, "Not Found")</f>
      </c>
      <c r="K1009" s="1" t="s">
        <v>5511</v>
      </c>
      <c r="L1009" s="5">
        <f>XLOOKUP(N1009, uom!C:C, uom!B:B, "Not Found")</f>
      </c>
      <c r="M1009" s="1" t="s">
        <v>5511</v>
      </c>
      <c r="N1009" s="8" t="s">
        <v>5512</v>
      </c>
      <c r="O1009" s="1" t="s">
        <v>5513</v>
      </c>
      <c r="P1009" s="5">
        <f>XLOOKUP(R1009, classification!C:C, classification!B:B, "Not Found")</f>
      </c>
      <c r="Q1009" s="1" t="s">
        <v>5514</v>
      </c>
      <c r="R1009" s="2"/>
      <c r="S1009" s="2"/>
      <c r="T1009" s="2"/>
      <c r="U1009" s="2"/>
    </row>
    <row x14ac:dyDescent="0.25" r="1010" customHeight="1" ht="17.25">
      <c r="A1010" s="7">
        <v>1009</v>
      </c>
      <c r="B1010" s="1" t="s">
        <v>6444</v>
      </c>
      <c r="C1010" s="5">
        <f>CONCATENATE("PD", TEXT(A1010, "1000000"))</f>
      </c>
      <c r="D1010" s="7">
        <v>66</v>
      </c>
      <c r="E1010" s="5">
        <f>XLOOKUP(G1010, item_category!C:C, item_category!B:B, "Not Found")</f>
      </c>
      <c r="F1010" s="1" t="s">
        <v>5617</v>
      </c>
      <c r="G1010" s="5">
        <f>XLOOKUP(I1010, drug!B:B, drug!A:A, "Not Found")</f>
      </c>
      <c r="H1010" s="1"/>
      <c r="I1010" s="7">
        <v>1</v>
      </c>
      <c r="J1010" s="5">
        <f>XLOOKUP(L1010, uom!C:C, uom!B:B, "Not Found")</f>
      </c>
      <c r="K1010" s="1" t="s">
        <v>5511</v>
      </c>
      <c r="L1010" s="5">
        <f>XLOOKUP(N1010, uom!C:C, uom!B:B, "Not Found")</f>
      </c>
      <c r="M1010" s="1" t="s">
        <v>5511</v>
      </c>
      <c r="N1010" s="8" t="s">
        <v>5512</v>
      </c>
      <c r="O1010" s="1" t="s">
        <v>5513</v>
      </c>
      <c r="P1010" s="5">
        <f>XLOOKUP(R1010, classification!C:C, classification!B:B, "Not Found")</f>
      </c>
      <c r="Q1010" s="1" t="s">
        <v>5514</v>
      </c>
      <c r="R1010" s="2"/>
      <c r="S1010" s="2"/>
      <c r="T1010" s="2"/>
      <c r="U1010" s="2"/>
    </row>
    <row x14ac:dyDescent="0.25" r="1011" customHeight="1" ht="17.25">
      <c r="A1011" s="7">
        <v>1010</v>
      </c>
      <c r="B1011" s="1" t="s">
        <v>6445</v>
      </c>
      <c r="C1011" s="5">
        <f>CONCATENATE("PD", TEXT(A1011, "1000000"))</f>
      </c>
      <c r="D1011" s="7">
        <v>66</v>
      </c>
      <c r="E1011" s="5">
        <f>XLOOKUP(G1011, item_category!C:C, item_category!B:B, "Not Found")</f>
      </c>
      <c r="F1011" s="1" t="s">
        <v>5617</v>
      </c>
      <c r="G1011" s="5">
        <f>XLOOKUP(I1011, drug!B:B, drug!A:A, "Not Found")</f>
      </c>
      <c r="H1011" s="1"/>
      <c r="I1011" s="7">
        <v>1</v>
      </c>
      <c r="J1011" s="5">
        <f>XLOOKUP(L1011, uom!C:C, uom!B:B, "Not Found")</f>
      </c>
      <c r="K1011" s="1" t="s">
        <v>5511</v>
      </c>
      <c r="L1011" s="5">
        <f>XLOOKUP(N1011, uom!C:C, uom!B:B, "Not Found")</f>
      </c>
      <c r="M1011" s="1" t="s">
        <v>5511</v>
      </c>
      <c r="N1011" s="8" t="s">
        <v>5512</v>
      </c>
      <c r="O1011" s="1" t="s">
        <v>5513</v>
      </c>
      <c r="P1011" s="5">
        <f>XLOOKUP(R1011, classification!C:C, classification!B:B, "Not Found")</f>
      </c>
      <c r="Q1011" s="1" t="s">
        <v>5514</v>
      </c>
      <c r="R1011" s="2"/>
      <c r="S1011" s="2"/>
      <c r="T1011" s="2"/>
      <c r="U1011" s="2"/>
    </row>
    <row x14ac:dyDescent="0.25" r="1012" customHeight="1" ht="17.25">
      <c r="A1012" s="7">
        <v>1011</v>
      </c>
      <c r="B1012" s="1" t="s">
        <v>6446</v>
      </c>
      <c r="C1012" s="5">
        <f>CONCATENATE("PD", TEXT(A1012, "1000000"))</f>
      </c>
      <c r="D1012" s="7">
        <v>66</v>
      </c>
      <c r="E1012" s="5">
        <f>XLOOKUP(G1012, item_category!C:C, item_category!B:B, "Not Found")</f>
      </c>
      <c r="F1012" s="1" t="s">
        <v>5617</v>
      </c>
      <c r="G1012" s="5">
        <f>XLOOKUP(I1012, drug!B:B, drug!A:A, "Not Found")</f>
      </c>
      <c r="H1012" s="1"/>
      <c r="I1012" s="7">
        <v>1</v>
      </c>
      <c r="J1012" s="5">
        <f>XLOOKUP(L1012, uom!C:C, uom!B:B, "Not Found")</f>
      </c>
      <c r="K1012" s="1" t="s">
        <v>5511</v>
      </c>
      <c r="L1012" s="5">
        <f>XLOOKUP(N1012, uom!C:C, uom!B:B, "Not Found")</f>
      </c>
      <c r="M1012" s="1" t="s">
        <v>5511</v>
      </c>
      <c r="N1012" s="8" t="s">
        <v>5512</v>
      </c>
      <c r="O1012" s="1" t="s">
        <v>5513</v>
      </c>
      <c r="P1012" s="5">
        <f>XLOOKUP(R1012, classification!C:C, classification!B:B, "Not Found")</f>
      </c>
      <c r="Q1012" s="1" t="s">
        <v>5514</v>
      </c>
      <c r="R1012" s="2"/>
      <c r="S1012" s="2"/>
      <c r="T1012" s="2"/>
      <c r="U1012" s="2"/>
    </row>
    <row x14ac:dyDescent="0.25" r="1013" customHeight="1" ht="17.25">
      <c r="A1013" s="7">
        <v>1012</v>
      </c>
      <c r="B1013" s="1" t="s">
        <v>6447</v>
      </c>
      <c r="C1013" s="5">
        <f>CONCATENATE("PD", TEXT(A1013, "1000000"))</f>
      </c>
      <c r="D1013" s="7">
        <v>66</v>
      </c>
      <c r="E1013" s="5">
        <f>XLOOKUP(G1013, item_category!C:C, item_category!B:B, "Not Found")</f>
      </c>
      <c r="F1013" s="1" t="s">
        <v>5617</v>
      </c>
      <c r="G1013" s="5">
        <f>XLOOKUP(I1013, drug!B:B, drug!A:A, "Not Found")</f>
      </c>
      <c r="H1013" s="1"/>
      <c r="I1013" s="7">
        <v>1</v>
      </c>
      <c r="J1013" s="5">
        <f>XLOOKUP(L1013, uom!C:C, uom!B:B, "Not Found")</f>
      </c>
      <c r="K1013" s="1" t="s">
        <v>5511</v>
      </c>
      <c r="L1013" s="5">
        <f>XLOOKUP(N1013, uom!C:C, uom!B:B, "Not Found")</f>
      </c>
      <c r="M1013" s="1" t="s">
        <v>5511</v>
      </c>
      <c r="N1013" s="8" t="s">
        <v>5512</v>
      </c>
      <c r="O1013" s="1" t="s">
        <v>5513</v>
      </c>
      <c r="P1013" s="5">
        <f>XLOOKUP(R1013, classification!C:C, classification!B:B, "Not Found")</f>
      </c>
      <c r="Q1013" s="1" t="s">
        <v>5514</v>
      </c>
      <c r="R1013" s="2"/>
      <c r="S1013" s="2"/>
      <c r="T1013" s="2"/>
      <c r="U1013" s="2"/>
    </row>
    <row x14ac:dyDescent="0.25" r="1014" customHeight="1" ht="17.25">
      <c r="A1014" s="7">
        <v>1013</v>
      </c>
      <c r="B1014" s="1" t="s">
        <v>6448</v>
      </c>
      <c r="C1014" s="5">
        <f>CONCATENATE("PD", TEXT(A1014, "1000000"))</f>
      </c>
      <c r="D1014" s="7">
        <v>66</v>
      </c>
      <c r="E1014" s="5">
        <f>XLOOKUP(G1014, item_category!C:C, item_category!B:B, "Not Found")</f>
      </c>
      <c r="F1014" s="1" t="s">
        <v>5617</v>
      </c>
      <c r="G1014" s="5">
        <f>XLOOKUP(I1014, drug!B:B, drug!A:A, "Not Found")</f>
      </c>
      <c r="H1014" s="1"/>
      <c r="I1014" s="7">
        <v>1</v>
      </c>
      <c r="J1014" s="5">
        <f>XLOOKUP(L1014, uom!C:C, uom!B:B, "Not Found")</f>
      </c>
      <c r="K1014" s="1" t="s">
        <v>5511</v>
      </c>
      <c r="L1014" s="5">
        <f>XLOOKUP(N1014, uom!C:C, uom!B:B, "Not Found")</f>
      </c>
      <c r="M1014" s="1" t="s">
        <v>5511</v>
      </c>
      <c r="N1014" s="8" t="s">
        <v>5512</v>
      </c>
      <c r="O1014" s="1" t="s">
        <v>5513</v>
      </c>
      <c r="P1014" s="5">
        <f>XLOOKUP(R1014, classification!C:C, classification!B:B, "Not Found")</f>
      </c>
      <c r="Q1014" s="1" t="s">
        <v>5514</v>
      </c>
      <c r="R1014" s="2"/>
      <c r="S1014" s="2"/>
      <c r="T1014" s="2"/>
      <c r="U1014" s="2"/>
    </row>
    <row x14ac:dyDescent="0.25" r="1015" customHeight="1" ht="17.25">
      <c r="A1015" s="7">
        <v>1014</v>
      </c>
      <c r="B1015" s="1" t="s">
        <v>6449</v>
      </c>
      <c r="C1015" s="5">
        <f>CONCATENATE("PD", TEXT(A1015, "1000000"))</f>
      </c>
      <c r="D1015" s="7">
        <v>66</v>
      </c>
      <c r="E1015" s="5">
        <f>XLOOKUP(G1015, item_category!C:C, item_category!B:B, "Not Found")</f>
      </c>
      <c r="F1015" s="1" t="s">
        <v>5617</v>
      </c>
      <c r="G1015" s="5">
        <f>XLOOKUP(I1015, drug!B:B, drug!A:A, "Not Found")</f>
      </c>
      <c r="H1015" s="1"/>
      <c r="I1015" s="7">
        <v>1</v>
      </c>
      <c r="J1015" s="5">
        <f>XLOOKUP(L1015, uom!C:C, uom!B:B, "Not Found")</f>
      </c>
      <c r="K1015" s="1" t="s">
        <v>5511</v>
      </c>
      <c r="L1015" s="5">
        <f>XLOOKUP(N1015, uom!C:C, uom!B:B, "Not Found")</f>
      </c>
      <c r="M1015" s="1" t="s">
        <v>5511</v>
      </c>
      <c r="N1015" s="8" t="s">
        <v>5512</v>
      </c>
      <c r="O1015" s="1" t="s">
        <v>5513</v>
      </c>
      <c r="P1015" s="5">
        <f>XLOOKUP(R1015, classification!C:C, classification!B:B, "Not Found")</f>
      </c>
      <c r="Q1015" s="1" t="s">
        <v>5514</v>
      </c>
      <c r="R1015" s="2"/>
      <c r="S1015" s="2"/>
      <c r="T1015" s="2"/>
      <c r="U1015" s="2"/>
    </row>
    <row x14ac:dyDescent="0.25" r="1016" customHeight="1" ht="17.25">
      <c r="A1016" s="7">
        <v>1015</v>
      </c>
      <c r="B1016" s="1" t="s">
        <v>6450</v>
      </c>
      <c r="C1016" s="5">
        <f>CONCATENATE("PD", TEXT(A1016, "1000000"))</f>
      </c>
      <c r="D1016" s="7">
        <v>59</v>
      </c>
      <c r="E1016" s="5">
        <f>XLOOKUP(G1016, item_category!C:C, item_category!B:B, "Not Found")</f>
      </c>
      <c r="F1016" s="1" t="s">
        <v>5527</v>
      </c>
      <c r="G1016" s="5">
        <f>XLOOKUP(I1016, drug!B:B, drug!A:A, "Not Found")</f>
      </c>
      <c r="H1016" s="1"/>
      <c r="I1016" s="7">
        <v>2</v>
      </c>
      <c r="J1016" s="5">
        <f>XLOOKUP(L1016, uom!C:C, uom!B:B, "Not Found")</f>
      </c>
      <c r="K1016" s="1" t="s">
        <v>5581</v>
      </c>
      <c r="L1016" s="5">
        <f>XLOOKUP(N1016, uom!C:C, uom!B:B, "Not Found")</f>
      </c>
      <c r="M1016" s="1" t="s">
        <v>5581</v>
      </c>
      <c r="N1016" s="8" t="s">
        <v>5524</v>
      </c>
      <c r="O1016" s="1" t="s">
        <v>5525</v>
      </c>
      <c r="P1016" s="5">
        <f>XLOOKUP(R1016, classification!C:C, classification!B:B, "Not Found")</f>
      </c>
      <c r="Q1016" s="1" t="s">
        <v>5514</v>
      </c>
      <c r="R1016" s="2"/>
      <c r="S1016" s="2"/>
      <c r="T1016" s="2"/>
      <c r="U1016" s="2"/>
    </row>
    <row x14ac:dyDescent="0.25" r="1017" customHeight="1" ht="17.25">
      <c r="A1017" s="7">
        <v>1016</v>
      </c>
      <c r="B1017" s="1" t="s">
        <v>6451</v>
      </c>
      <c r="C1017" s="5">
        <f>CONCATENATE("PD", TEXT(A1017, "1000000"))</f>
      </c>
      <c r="D1017" s="7">
        <v>66</v>
      </c>
      <c r="E1017" s="5">
        <f>XLOOKUP(G1017, item_category!C:C, item_category!B:B, "Not Found")</f>
      </c>
      <c r="F1017" s="1" t="s">
        <v>5617</v>
      </c>
      <c r="G1017" s="5">
        <f>XLOOKUP(I1017, drug!B:B, drug!A:A, "Not Found")</f>
      </c>
      <c r="H1017" s="1"/>
      <c r="I1017" s="7">
        <v>1</v>
      </c>
      <c r="J1017" s="5">
        <f>XLOOKUP(L1017, uom!C:C, uom!B:B, "Not Found")</f>
      </c>
      <c r="K1017" s="1" t="s">
        <v>5511</v>
      </c>
      <c r="L1017" s="5">
        <f>XLOOKUP(N1017, uom!C:C, uom!B:B, "Not Found")</f>
      </c>
      <c r="M1017" s="1" t="s">
        <v>5511</v>
      </c>
      <c r="N1017" s="8" t="s">
        <v>5512</v>
      </c>
      <c r="O1017" s="1" t="s">
        <v>5513</v>
      </c>
      <c r="P1017" s="5">
        <f>XLOOKUP(R1017, classification!C:C, classification!B:B, "Not Found")</f>
      </c>
      <c r="Q1017" s="1" t="s">
        <v>5514</v>
      </c>
      <c r="R1017" s="2"/>
      <c r="S1017" s="2"/>
      <c r="T1017" s="2"/>
      <c r="U1017" s="2"/>
    </row>
    <row x14ac:dyDescent="0.25" r="1018" customHeight="1" ht="17.25">
      <c r="A1018" s="7">
        <v>1017</v>
      </c>
      <c r="B1018" s="1" t="s">
        <v>6452</v>
      </c>
      <c r="C1018" s="5">
        <f>CONCATENATE("PD", TEXT(A1018, "1000000"))</f>
      </c>
      <c r="D1018" s="7">
        <v>66</v>
      </c>
      <c r="E1018" s="5">
        <f>XLOOKUP(G1018, item_category!C:C, item_category!B:B, "Not Found")</f>
      </c>
      <c r="F1018" s="1" t="s">
        <v>5617</v>
      </c>
      <c r="G1018" s="5">
        <f>XLOOKUP(I1018, drug!B:B, drug!A:A, "Not Found")</f>
      </c>
      <c r="H1018" s="1" t="s">
        <v>235</v>
      </c>
      <c r="I1018" s="7">
        <v>1</v>
      </c>
      <c r="J1018" s="5">
        <f>XLOOKUP(L1018, uom!C:C, uom!B:B, "Not Found")</f>
      </c>
      <c r="K1018" s="1" t="s">
        <v>5511</v>
      </c>
      <c r="L1018" s="5">
        <f>XLOOKUP(N1018, uom!C:C, uom!B:B, "Not Found")</f>
      </c>
      <c r="M1018" s="1" t="s">
        <v>5511</v>
      </c>
      <c r="N1018" s="8" t="s">
        <v>5512</v>
      </c>
      <c r="O1018" s="1" t="s">
        <v>5513</v>
      </c>
      <c r="P1018" s="5">
        <f>XLOOKUP(R1018, classification!C:C, classification!B:B, "Not Found")</f>
      </c>
      <c r="Q1018" s="1" t="s">
        <v>5514</v>
      </c>
      <c r="R1018" s="2"/>
      <c r="S1018" s="2"/>
      <c r="T1018" s="2"/>
      <c r="U1018" s="2"/>
    </row>
    <row x14ac:dyDescent="0.25" r="1019" customHeight="1" ht="17.25">
      <c r="A1019" s="7">
        <v>1018</v>
      </c>
      <c r="B1019" s="1" t="s">
        <v>6453</v>
      </c>
      <c r="C1019" s="5">
        <f>CONCATENATE("PD", TEXT(A1019, "1000000"))</f>
      </c>
      <c r="D1019" s="7">
        <v>66</v>
      </c>
      <c r="E1019" s="5">
        <f>XLOOKUP(G1019, item_category!C:C, item_category!B:B, "Not Found")</f>
      </c>
      <c r="F1019" s="1" t="s">
        <v>5617</v>
      </c>
      <c r="G1019" s="5">
        <f>XLOOKUP(I1019, drug!B:B, drug!A:A, "Not Found")</f>
      </c>
      <c r="H1019" s="1"/>
      <c r="I1019" s="7">
        <v>1</v>
      </c>
      <c r="J1019" s="5">
        <f>XLOOKUP(L1019, uom!C:C, uom!B:B, "Not Found")</f>
      </c>
      <c r="K1019" s="1" t="s">
        <v>5511</v>
      </c>
      <c r="L1019" s="5">
        <f>XLOOKUP(N1019, uom!C:C, uom!B:B, "Not Found")</f>
      </c>
      <c r="M1019" s="1" t="s">
        <v>5511</v>
      </c>
      <c r="N1019" s="8" t="s">
        <v>5512</v>
      </c>
      <c r="O1019" s="1" t="s">
        <v>5513</v>
      </c>
      <c r="P1019" s="5">
        <f>XLOOKUP(R1019, classification!C:C, classification!B:B, "Not Found")</f>
      </c>
      <c r="Q1019" s="1" t="s">
        <v>5514</v>
      </c>
      <c r="R1019" s="2"/>
      <c r="S1019" s="2"/>
      <c r="T1019" s="2"/>
      <c r="U1019" s="2"/>
    </row>
    <row x14ac:dyDescent="0.25" r="1020" customHeight="1" ht="17.25">
      <c r="A1020" s="7">
        <v>1019</v>
      </c>
      <c r="B1020" s="1" t="s">
        <v>6454</v>
      </c>
      <c r="C1020" s="5">
        <f>CONCATENATE("PD", TEXT(A1020, "1000000"))</f>
      </c>
      <c r="D1020" s="7">
        <v>66</v>
      </c>
      <c r="E1020" s="5">
        <f>XLOOKUP(G1020, item_category!C:C, item_category!B:B, "Not Found")</f>
      </c>
      <c r="F1020" s="1" t="s">
        <v>5617</v>
      </c>
      <c r="G1020" s="5">
        <f>XLOOKUP(I1020, drug!B:B, drug!A:A, "Not Found")</f>
      </c>
      <c r="H1020" s="1"/>
      <c r="I1020" s="7">
        <v>1</v>
      </c>
      <c r="J1020" s="5">
        <f>XLOOKUP(L1020, uom!C:C, uom!B:B, "Not Found")</f>
      </c>
      <c r="K1020" s="1" t="s">
        <v>5511</v>
      </c>
      <c r="L1020" s="5">
        <f>XLOOKUP(N1020, uom!C:C, uom!B:B, "Not Found")</f>
      </c>
      <c r="M1020" s="1" t="s">
        <v>5511</v>
      </c>
      <c r="N1020" s="8" t="s">
        <v>5512</v>
      </c>
      <c r="O1020" s="1" t="s">
        <v>5513</v>
      </c>
      <c r="P1020" s="5">
        <f>XLOOKUP(R1020, classification!C:C, classification!B:B, "Not Found")</f>
      </c>
      <c r="Q1020" s="1" t="s">
        <v>5514</v>
      </c>
      <c r="R1020" s="2"/>
      <c r="S1020" s="2"/>
      <c r="T1020" s="2"/>
      <c r="U1020" s="2"/>
    </row>
    <row x14ac:dyDescent="0.25" r="1021" customHeight="1" ht="17.25">
      <c r="A1021" s="7">
        <v>1020</v>
      </c>
      <c r="B1021" s="1" t="s">
        <v>6455</v>
      </c>
      <c r="C1021" s="5">
        <f>CONCATENATE("PD", TEXT(A1021, "1000000"))</f>
      </c>
      <c r="D1021" s="7">
        <v>66</v>
      </c>
      <c r="E1021" s="5">
        <f>XLOOKUP(G1021, item_category!C:C, item_category!B:B, "Not Found")</f>
      </c>
      <c r="F1021" s="1" t="s">
        <v>5617</v>
      </c>
      <c r="G1021" s="5">
        <f>XLOOKUP(I1021, drug!B:B, drug!A:A, "Not Found")</f>
      </c>
      <c r="H1021" s="1" t="s">
        <v>1360</v>
      </c>
      <c r="I1021" s="7">
        <v>1</v>
      </c>
      <c r="J1021" s="5">
        <f>XLOOKUP(L1021, uom!C:C, uom!B:B, "Not Found")</f>
      </c>
      <c r="K1021" s="1" t="s">
        <v>5511</v>
      </c>
      <c r="L1021" s="5">
        <f>XLOOKUP(N1021, uom!C:C, uom!B:B, "Not Found")</f>
      </c>
      <c r="M1021" s="1" t="s">
        <v>5511</v>
      </c>
      <c r="N1021" s="8" t="s">
        <v>5512</v>
      </c>
      <c r="O1021" s="1" t="s">
        <v>5513</v>
      </c>
      <c r="P1021" s="5">
        <f>XLOOKUP(R1021, classification!C:C, classification!B:B, "Not Found")</f>
      </c>
      <c r="Q1021" s="1" t="s">
        <v>5514</v>
      </c>
      <c r="R1021" s="2"/>
      <c r="S1021" s="2"/>
      <c r="T1021" s="2"/>
      <c r="U1021" s="2"/>
    </row>
    <row x14ac:dyDescent="0.25" r="1022" customHeight="1" ht="17.25">
      <c r="A1022" s="7">
        <v>1021</v>
      </c>
      <c r="B1022" s="1" t="s">
        <v>6456</v>
      </c>
      <c r="C1022" s="5">
        <f>CONCATENATE("PD", TEXT(A1022, "1000000"))</f>
      </c>
      <c r="D1022" s="7">
        <v>66</v>
      </c>
      <c r="E1022" s="5">
        <f>XLOOKUP(G1022, item_category!C:C, item_category!B:B, "Not Found")</f>
      </c>
      <c r="F1022" s="1" t="s">
        <v>5617</v>
      </c>
      <c r="G1022" s="5">
        <f>XLOOKUP(I1022, drug!B:B, drug!A:A, "Not Found")</f>
      </c>
      <c r="H1022" s="1"/>
      <c r="I1022" s="7">
        <v>1</v>
      </c>
      <c r="J1022" s="5">
        <f>XLOOKUP(L1022, uom!C:C, uom!B:B, "Not Found")</f>
      </c>
      <c r="K1022" s="1" t="s">
        <v>5511</v>
      </c>
      <c r="L1022" s="5">
        <f>XLOOKUP(N1022, uom!C:C, uom!B:B, "Not Found")</f>
      </c>
      <c r="M1022" s="1" t="s">
        <v>5511</v>
      </c>
      <c r="N1022" s="8" t="s">
        <v>5512</v>
      </c>
      <c r="O1022" s="1" t="s">
        <v>5513</v>
      </c>
      <c r="P1022" s="5">
        <f>XLOOKUP(R1022, classification!C:C, classification!B:B, "Not Found")</f>
      </c>
      <c r="Q1022" s="1" t="s">
        <v>5514</v>
      </c>
      <c r="R1022" s="2"/>
      <c r="S1022" s="2"/>
      <c r="T1022" s="2"/>
      <c r="U1022" s="2"/>
    </row>
    <row x14ac:dyDescent="0.25" r="1023" customHeight="1" ht="17.25">
      <c r="A1023" s="7">
        <v>1022</v>
      </c>
      <c r="B1023" s="1" t="s">
        <v>6457</v>
      </c>
      <c r="C1023" s="5">
        <f>CONCATENATE("PD", TEXT(A1023, "1000000"))</f>
      </c>
      <c r="D1023" s="7">
        <v>1</v>
      </c>
      <c r="E1023" s="5">
        <f>XLOOKUP(G1023, item_category!C:C, item_category!B:B, "Not Found")</f>
      </c>
      <c r="F1023" s="1" t="s">
        <v>5514</v>
      </c>
      <c r="G1023" s="5">
        <f>XLOOKUP(I1023, drug!B:B, drug!A:A, "Not Found")</f>
      </c>
      <c r="H1023" s="1"/>
      <c r="I1023" s="7">
        <v>50</v>
      </c>
      <c r="J1023" s="5">
        <f>XLOOKUP(L1023, uom!C:C, uom!B:B, "Not Found")</f>
      </c>
      <c r="K1023" s="1" t="s">
        <v>5511</v>
      </c>
      <c r="L1023" s="5">
        <f>XLOOKUP(N1023, uom!C:C, uom!B:B, "Not Found")</f>
      </c>
      <c r="M1023" s="1" t="s">
        <v>5511</v>
      </c>
      <c r="N1023" s="8" t="s">
        <v>5524</v>
      </c>
      <c r="O1023" s="1" t="s">
        <v>5525</v>
      </c>
      <c r="P1023" s="5">
        <f>XLOOKUP(R1023, classification!C:C, classification!B:B, "Not Found")</f>
      </c>
      <c r="Q1023" s="1" t="s">
        <v>5514</v>
      </c>
      <c r="R1023" s="2"/>
      <c r="S1023" s="2"/>
      <c r="T1023" s="2"/>
      <c r="U1023" s="2"/>
    </row>
    <row x14ac:dyDescent="0.25" r="1024" customHeight="1" ht="17.25">
      <c r="A1024" s="7">
        <v>1023</v>
      </c>
      <c r="B1024" s="1" t="s">
        <v>6458</v>
      </c>
      <c r="C1024" s="5">
        <f>CONCATENATE("PD", TEXT(A1024, "1000000"))</f>
      </c>
      <c r="D1024" s="7">
        <v>66</v>
      </c>
      <c r="E1024" s="5">
        <f>XLOOKUP(G1024, item_category!C:C, item_category!B:B, "Not Found")</f>
      </c>
      <c r="F1024" s="1" t="s">
        <v>5617</v>
      </c>
      <c r="G1024" s="5">
        <f>XLOOKUP(I1024, drug!B:B, drug!A:A, "Not Found")</f>
      </c>
      <c r="H1024" s="1"/>
      <c r="I1024" s="7">
        <v>1</v>
      </c>
      <c r="J1024" s="5">
        <f>XLOOKUP(L1024, uom!C:C, uom!B:B, "Not Found")</f>
      </c>
      <c r="K1024" s="1" t="s">
        <v>5511</v>
      </c>
      <c r="L1024" s="5">
        <f>XLOOKUP(N1024, uom!C:C, uom!B:B, "Not Found")</f>
      </c>
      <c r="M1024" s="1" t="s">
        <v>5511</v>
      </c>
      <c r="N1024" s="8" t="s">
        <v>5512</v>
      </c>
      <c r="O1024" s="1" t="s">
        <v>5513</v>
      </c>
      <c r="P1024" s="5">
        <f>XLOOKUP(R1024, classification!C:C, classification!B:B, "Not Found")</f>
      </c>
      <c r="Q1024" s="1" t="s">
        <v>5514</v>
      </c>
      <c r="R1024" s="2"/>
      <c r="S1024" s="2"/>
      <c r="T1024" s="2"/>
      <c r="U1024" s="2"/>
    </row>
    <row x14ac:dyDescent="0.25" r="1025" customHeight="1" ht="17.25">
      <c r="A1025" s="7">
        <v>1024</v>
      </c>
      <c r="B1025" s="1" t="s">
        <v>6459</v>
      </c>
      <c r="C1025" s="5">
        <f>CONCATENATE("PD", TEXT(A1025, "1000000"))</f>
      </c>
      <c r="D1025" s="7">
        <v>61</v>
      </c>
      <c r="E1025" s="5">
        <f>XLOOKUP(G1025, item_category!C:C, item_category!B:B, "Not Found")</f>
      </c>
      <c r="F1025" s="1" t="s">
        <v>5610</v>
      </c>
      <c r="G1025" s="5">
        <f>XLOOKUP(I1025, drug!B:B, drug!A:A, "Not Found")</f>
      </c>
      <c r="H1025" s="1" t="s">
        <v>245</v>
      </c>
      <c r="I1025" s="7">
        <v>1</v>
      </c>
      <c r="J1025" s="5">
        <f>XLOOKUP(L1025, uom!C:C, uom!B:B, "Not Found")</f>
      </c>
      <c r="K1025" s="1" t="s">
        <v>5511</v>
      </c>
      <c r="L1025" s="5">
        <f>XLOOKUP(N1025, uom!C:C, uom!B:B, "Not Found")</f>
      </c>
      <c r="M1025" s="1" t="s">
        <v>5511</v>
      </c>
      <c r="N1025" s="8" t="s">
        <v>5512</v>
      </c>
      <c r="O1025" s="1" t="s">
        <v>5513</v>
      </c>
      <c r="P1025" s="5">
        <f>XLOOKUP(R1025, classification!C:C, classification!B:B, "Not Found")</f>
      </c>
      <c r="Q1025" s="1" t="s">
        <v>5514</v>
      </c>
      <c r="R1025" s="2"/>
      <c r="S1025" s="2"/>
      <c r="T1025" s="2"/>
      <c r="U1025" s="2"/>
    </row>
    <row x14ac:dyDescent="0.25" r="1026" customHeight="1" ht="17.25">
      <c r="A1026" s="7">
        <v>1025</v>
      </c>
      <c r="B1026" s="1" t="s">
        <v>6460</v>
      </c>
      <c r="C1026" s="5">
        <f>CONCATENATE("PD", TEXT(A1026, "1000000"))</f>
      </c>
      <c r="D1026" s="7">
        <v>61</v>
      </c>
      <c r="E1026" s="5">
        <f>XLOOKUP(G1026, item_category!C:C, item_category!B:B, "Not Found")</f>
      </c>
      <c r="F1026" s="1" t="s">
        <v>5610</v>
      </c>
      <c r="G1026" s="5">
        <f>XLOOKUP(I1026, drug!B:B, drug!A:A, "Not Found")</f>
      </c>
      <c r="H1026" s="1"/>
      <c r="I1026" s="7">
        <v>1</v>
      </c>
      <c r="J1026" s="5">
        <f>XLOOKUP(L1026, uom!C:C, uom!B:B, "Not Found")</f>
      </c>
      <c r="K1026" s="1" t="s">
        <v>5511</v>
      </c>
      <c r="L1026" s="5">
        <f>XLOOKUP(N1026, uom!C:C, uom!B:B, "Not Found")</f>
      </c>
      <c r="M1026" s="1" t="s">
        <v>5511</v>
      </c>
      <c r="N1026" s="8" t="s">
        <v>5512</v>
      </c>
      <c r="O1026" s="1" t="s">
        <v>5513</v>
      </c>
      <c r="P1026" s="5">
        <f>XLOOKUP(R1026, classification!C:C, classification!B:B, "Not Found")</f>
      </c>
      <c r="Q1026" s="1" t="s">
        <v>5514</v>
      </c>
      <c r="R1026" s="2"/>
      <c r="S1026" s="2"/>
      <c r="T1026" s="2"/>
      <c r="U1026" s="2"/>
    </row>
    <row x14ac:dyDescent="0.25" r="1027" customHeight="1" ht="17.25">
      <c r="A1027" s="7">
        <v>1026</v>
      </c>
      <c r="B1027" s="1" t="s">
        <v>6461</v>
      </c>
      <c r="C1027" s="5">
        <f>CONCATENATE("PD", TEXT(A1027, "1000000"))</f>
      </c>
      <c r="D1027" s="7">
        <v>66</v>
      </c>
      <c r="E1027" s="5">
        <f>XLOOKUP(G1027, item_category!C:C, item_category!B:B, "Not Found")</f>
      </c>
      <c r="F1027" s="1" t="s">
        <v>5617</v>
      </c>
      <c r="G1027" s="5">
        <f>XLOOKUP(I1027, drug!B:B, drug!A:A, "Not Found")</f>
      </c>
      <c r="H1027" s="1" t="s">
        <v>1754</v>
      </c>
      <c r="I1027" s="7">
        <v>1</v>
      </c>
      <c r="J1027" s="5">
        <f>XLOOKUP(L1027, uom!C:C, uom!B:B, "Not Found")</f>
      </c>
      <c r="K1027" s="1" t="s">
        <v>5511</v>
      </c>
      <c r="L1027" s="5">
        <f>XLOOKUP(N1027, uom!C:C, uom!B:B, "Not Found")</f>
      </c>
      <c r="M1027" s="1" t="s">
        <v>5511</v>
      </c>
      <c r="N1027" s="8" t="s">
        <v>5512</v>
      </c>
      <c r="O1027" s="1" t="s">
        <v>5513</v>
      </c>
      <c r="P1027" s="5">
        <f>XLOOKUP(R1027, classification!C:C, classification!B:B, "Not Found")</f>
      </c>
      <c r="Q1027" s="1" t="s">
        <v>5514</v>
      </c>
      <c r="R1027" s="2"/>
      <c r="S1027" s="2"/>
      <c r="T1027" s="2"/>
      <c r="U1027" s="2"/>
    </row>
    <row x14ac:dyDescent="0.25" r="1028" customHeight="1" ht="17.25">
      <c r="A1028" s="7">
        <v>1027</v>
      </c>
      <c r="B1028" s="1" t="s">
        <v>6462</v>
      </c>
      <c r="C1028" s="5">
        <f>CONCATENATE("PD", TEXT(A1028, "1000000"))</f>
      </c>
      <c r="D1028" s="7">
        <v>66</v>
      </c>
      <c r="E1028" s="5">
        <f>XLOOKUP(G1028, item_category!C:C, item_category!B:B, "Not Found")</f>
      </c>
      <c r="F1028" s="1" t="s">
        <v>5617</v>
      </c>
      <c r="G1028" s="5">
        <f>XLOOKUP(I1028, drug!B:B, drug!A:A, "Not Found")</f>
      </c>
      <c r="H1028" s="1"/>
      <c r="I1028" s="7">
        <v>1</v>
      </c>
      <c r="J1028" s="5">
        <f>XLOOKUP(L1028, uom!C:C, uom!B:B, "Not Found")</f>
      </c>
      <c r="K1028" s="1" t="s">
        <v>5511</v>
      </c>
      <c r="L1028" s="5">
        <f>XLOOKUP(N1028, uom!C:C, uom!B:B, "Not Found")</f>
      </c>
      <c r="M1028" s="1" t="s">
        <v>5511</v>
      </c>
      <c r="N1028" s="8" t="s">
        <v>5512</v>
      </c>
      <c r="O1028" s="1" t="s">
        <v>5513</v>
      </c>
      <c r="P1028" s="5">
        <f>XLOOKUP(R1028, classification!C:C, classification!B:B, "Not Found")</f>
      </c>
      <c r="Q1028" s="1" t="s">
        <v>5514</v>
      </c>
      <c r="R1028" s="2"/>
      <c r="S1028" s="2"/>
      <c r="T1028" s="2"/>
      <c r="U1028" s="2"/>
    </row>
    <row x14ac:dyDescent="0.25" r="1029" customHeight="1" ht="17.25">
      <c r="A1029" s="7">
        <v>1028</v>
      </c>
      <c r="B1029" s="1" t="s">
        <v>6463</v>
      </c>
      <c r="C1029" s="5">
        <f>CONCATENATE("PD", TEXT(A1029, "1000000"))</f>
      </c>
      <c r="D1029" s="7">
        <v>66</v>
      </c>
      <c r="E1029" s="5">
        <f>XLOOKUP(G1029, item_category!C:C, item_category!B:B, "Not Found")</f>
      </c>
      <c r="F1029" s="1" t="s">
        <v>5617</v>
      </c>
      <c r="G1029" s="5">
        <f>XLOOKUP(I1029, drug!B:B, drug!A:A, "Not Found")</f>
      </c>
      <c r="H1029" s="1" t="s">
        <v>1758</v>
      </c>
      <c r="I1029" s="7">
        <v>1</v>
      </c>
      <c r="J1029" s="5">
        <f>XLOOKUP(L1029, uom!C:C, uom!B:B, "Not Found")</f>
      </c>
      <c r="K1029" s="1" t="s">
        <v>5511</v>
      </c>
      <c r="L1029" s="5">
        <f>XLOOKUP(N1029, uom!C:C, uom!B:B, "Not Found")</f>
      </c>
      <c r="M1029" s="1" t="s">
        <v>5511</v>
      </c>
      <c r="N1029" s="8" t="s">
        <v>5512</v>
      </c>
      <c r="O1029" s="1" t="s">
        <v>5513</v>
      </c>
      <c r="P1029" s="5">
        <f>XLOOKUP(R1029, classification!C:C, classification!B:B, "Not Found")</f>
      </c>
      <c r="Q1029" s="1" t="s">
        <v>5514</v>
      </c>
      <c r="R1029" s="2"/>
      <c r="S1029" s="2"/>
      <c r="T1029" s="2"/>
      <c r="U1029" s="2"/>
    </row>
    <row x14ac:dyDescent="0.25" r="1030" customHeight="1" ht="17.25">
      <c r="A1030" s="7">
        <v>1029</v>
      </c>
      <c r="B1030" s="1" t="s">
        <v>6464</v>
      </c>
      <c r="C1030" s="5">
        <f>CONCATENATE("PD", TEXT(A1030, "1000000"))</f>
      </c>
      <c r="D1030" s="7">
        <v>66</v>
      </c>
      <c r="E1030" s="5">
        <f>XLOOKUP(G1030, item_category!C:C, item_category!B:B, "Not Found")</f>
      </c>
      <c r="F1030" s="1" t="s">
        <v>5617</v>
      </c>
      <c r="G1030" s="5">
        <f>XLOOKUP(I1030, drug!B:B, drug!A:A, "Not Found")</f>
      </c>
      <c r="H1030" s="1"/>
      <c r="I1030" s="7">
        <v>1</v>
      </c>
      <c r="J1030" s="5">
        <f>XLOOKUP(L1030, uom!C:C, uom!B:B, "Not Found")</f>
      </c>
      <c r="K1030" s="1" t="s">
        <v>5511</v>
      </c>
      <c r="L1030" s="5">
        <f>XLOOKUP(N1030, uom!C:C, uom!B:B, "Not Found")</f>
      </c>
      <c r="M1030" s="1" t="s">
        <v>5511</v>
      </c>
      <c r="N1030" s="8" t="s">
        <v>5512</v>
      </c>
      <c r="O1030" s="1" t="s">
        <v>5513</v>
      </c>
      <c r="P1030" s="5">
        <f>XLOOKUP(R1030, classification!C:C, classification!B:B, "Not Found")</f>
      </c>
      <c r="Q1030" s="1" t="s">
        <v>5514</v>
      </c>
      <c r="R1030" s="2"/>
      <c r="S1030" s="2"/>
      <c r="T1030" s="2"/>
      <c r="U1030" s="2"/>
    </row>
    <row x14ac:dyDescent="0.25" r="1031" customHeight="1" ht="17.25">
      <c r="A1031" s="7">
        <v>1030</v>
      </c>
      <c r="B1031" s="1" t="s">
        <v>6465</v>
      </c>
      <c r="C1031" s="5">
        <f>CONCATENATE("PD", TEXT(A1031, "1000000"))</f>
      </c>
      <c r="D1031" s="7">
        <v>66</v>
      </c>
      <c r="E1031" s="5">
        <f>XLOOKUP(G1031, item_category!C:C, item_category!B:B, "Not Found")</f>
      </c>
      <c r="F1031" s="1" t="s">
        <v>5617</v>
      </c>
      <c r="G1031" s="5">
        <f>XLOOKUP(I1031, drug!B:B, drug!A:A, "Not Found")</f>
      </c>
      <c r="H1031" s="1" t="s">
        <v>1228</v>
      </c>
      <c r="I1031" s="7">
        <v>1</v>
      </c>
      <c r="J1031" s="5">
        <f>XLOOKUP(L1031, uom!C:C, uom!B:B, "Not Found")</f>
      </c>
      <c r="K1031" s="1" t="s">
        <v>5511</v>
      </c>
      <c r="L1031" s="5">
        <f>XLOOKUP(N1031, uom!C:C, uom!B:B, "Not Found")</f>
      </c>
      <c r="M1031" s="1" t="s">
        <v>5511</v>
      </c>
      <c r="N1031" s="8" t="s">
        <v>5512</v>
      </c>
      <c r="O1031" s="1" t="s">
        <v>5513</v>
      </c>
      <c r="P1031" s="5">
        <f>XLOOKUP(R1031, classification!C:C, classification!B:B, "Not Found")</f>
      </c>
      <c r="Q1031" s="1" t="s">
        <v>5514</v>
      </c>
      <c r="R1031" s="2"/>
      <c r="S1031" s="2"/>
      <c r="T1031" s="2"/>
      <c r="U1031" s="2"/>
    </row>
    <row x14ac:dyDescent="0.25" r="1032" customHeight="1" ht="17.25">
      <c r="A1032" s="7">
        <v>1031</v>
      </c>
      <c r="B1032" s="1" t="s">
        <v>6466</v>
      </c>
      <c r="C1032" s="5">
        <f>CONCATENATE("PD", TEXT(A1032, "1000000"))</f>
      </c>
      <c r="D1032" s="7">
        <v>66</v>
      </c>
      <c r="E1032" s="5">
        <f>XLOOKUP(G1032, item_category!C:C, item_category!B:B, "Not Found")</f>
      </c>
      <c r="F1032" s="1" t="s">
        <v>5617</v>
      </c>
      <c r="G1032" s="5">
        <f>XLOOKUP(I1032, drug!B:B, drug!A:A, "Not Found")</f>
      </c>
      <c r="H1032" s="1"/>
      <c r="I1032" s="7">
        <v>1</v>
      </c>
      <c r="J1032" s="5">
        <f>XLOOKUP(L1032, uom!C:C, uom!B:B, "Not Found")</f>
      </c>
      <c r="K1032" s="1" t="s">
        <v>5511</v>
      </c>
      <c r="L1032" s="5">
        <f>XLOOKUP(N1032, uom!C:C, uom!B:B, "Not Found")</f>
      </c>
      <c r="M1032" s="1" t="s">
        <v>5511</v>
      </c>
      <c r="N1032" s="8" t="s">
        <v>5512</v>
      </c>
      <c r="O1032" s="1" t="s">
        <v>5513</v>
      </c>
      <c r="P1032" s="5">
        <f>XLOOKUP(R1032, classification!C:C, classification!B:B, "Not Found")</f>
      </c>
      <c r="Q1032" s="1" t="s">
        <v>5514</v>
      </c>
      <c r="R1032" s="2"/>
      <c r="S1032" s="2"/>
      <c r="T1032" s="2"/>
      <c r="U1032" s="2"/>
    </row>
    <row x14ac:dyDescent="0.25" r="1033" customHeight="1" ht="17.25">
      <c r="A1033" s="7">
        <v>1032</v>
      </c>
      <c r="B1033" s="1" t="s">
        <v>6467</v>
      </c>
      <c r="C1033" s="5">
        <f>CONCATENATE("PD", TEXT(A1033, "1000000"))</f>
      </c>
      <c r="D1033" s="7">
        <v>66</v>
      </c>
      <c r="E1033" s="5">
        <f>XLOOKUP(G1033, item_category!C:C, item_category!B:B, "Not Found")</f>
      </c>
      <c r="F1033" s="1" t="s">
        <v>5617</v>
      </c>
      <c r="G1033" s="5">
        <f>XLOOKUP(I1033, drug!B:B, drug!A:A, "Not Found")</f>
      </c>
      <c r="H1033" s="1"/>
      <c r="I1033" s="7">
        <v>1</v>
      </c>
      <c r="J1033" s="5">
        <f>XLOOKUP(L1033, uom!C:C, uom!B:B, "Not Found")</f>
      </c>
      <c r="K1033" s="1" t="s">
        <v>5511</v>
      </c>
      <c r="L1033" s="5">
        <f>XLOOKUP(N1033, uom!C:C, uom!B:B, "Not Found")</f>
      </c>
      <c r="M1033" s="1" t="s">
        <v>5511</v>
      </c>
      <c r="N1033" s="8" t="s">
        <v>5512</v>
      </c>
      <c r="O1033" s="1" t="s">
        <v>5513</v>
      </c>
      <c r="P1033" s="5">
        <f>XLOOKUP(R1033, classification!C:C, classification!B:B, "Not Found")</f>
      </c>
      <c r="Q1033" s="1" t="s">
        <v>5514</v>
      </c>
      <c r="R1033" s="2"/>
      <c r="S1033" s="2"/>
      <c r="T1033" s="2"/>
      <c r="U1033" s="2"/>
    </row>
    <row x14ac:dyDescent="0.25" r="1034" customHeight="1" ht="17.25">
      <c r="A1034" s="7">
        <v>1033</v>
      </c>
      <c r="B1034" s="1" t="s">
        <v>6468</v>
      </c>
      <c r="C1034" s="5">
        <f>CONCATENATE("PD", TEXT(A1034, "1000000"))</f>
      </c>
      <c r="D1034" s="7">
        <v>66</v>
      </c>
      <c r="E1034" s="5">
        <f>XLOOKUP(G1034, item_category!C:C, item_category!B:B, "Not Found")</f>
      </c>
      <c r="F1034" s="1" t="s">
        <v>5617</v>
      </c>
      <c r="G1034" s="5">
        <f>XLOOKUP(I1034, drug!B:B, drug!A:A, "Not Found")</f>
      </c>
      <c r="H1034" s="1"/>
      <c r="I1034" s="7">
        <v>1</v>
      </c>
      <c r="J1034" s="5">
        <f>XLOOKUP(L1034, uom!C:C, uom!B:B, "Not Found")</f>
      </c>
      <c r="K1034" s="1" t="s">
        <v>5511</v>
      </c>
      <c r="L1034" s="5">
        <f>XLOOKUP(N1034, uom!C:C, uom!B:B, "Not Found")</f>
      </c>
      <c r="M1034" s="1" t="s">
        <v>5511</v>
      </c>
      <c r="N1034" s="8" t="s">
        <v>5512</v>
      </c>
      <c r="O1034" s="1" t="s">
        <v>5513</v>
      </c>
      <c r="P1034" s="5">
        <f>XLOOKUP(R1034, classification!C:C, classification!B:B, "Not Found")</f>
      </c>
      <c r="Q1034" s="1" t="s">
        <v>5514</v>
      </c>
      <c r="R1034" s="2"/>
      <c r="S1034" s="2"/>
      <c r="T1034" s="2"/>
      <c r="U1034" s="2"/>
    </row>
    <row x14ac:dyDescent="0.25" r="1035" customHeight="1" ht="17.25">
      <c r="A1035" s="7">
        <v>1034</v>
      </c>
      <c r="B1035" s="1" t="s">
        <v>6469</v>
      </c>
      <c r="C1035" s="5">
        <f>CONCATENATE("PD", TEXT(A1035, "1000000"))</f>
      </c>
      <c r="D1035" s="7">
        <v>66</v>
      </c>
      <c r="E1035" s="5">
        <f>XLOOKUP(G1035, item_category!C:C, item_category!B:B, "Not Found")</f>
      </c>
      <c r="F1035" s="1" t="s">
        <v>5617</v>
      </c>
      <c r="G1035" s="5">
        <f>XLOOKUP(I1035, drug!B:B, drug!A:A, "Not Found")</f>
      </c>
      <c r="H1035" s="1"/>
      <c r="I1035" s="7">
        <v>1</v>
      </c>
      <c r="J1035" s="5">
        <f>XLOOKUP(L1035, uom!C:C, uom!B:B, "Not Found")</f>
      </c>
      <c r="K1035" s="1" t="s">
        <v>5511</v>
      </c>
      <c r="L1035" s="5">
        <f>XLOOKUP(N1035, uom!C:C, uom!B:B, "Not Found")</f>
      </c>
      <c r="M1035" s="1" t="s">
        <v>5511</v>
      </c>
      <c r="N1035" s="8" t="s">
        <v>5512</v>
      </c>
      <c r="O1035" s="1" t="s">
        <v>5513</v>
      </c>
      <c r="P1035" s="5">
        <f>XLOOKUP(R1035, classification!C:C, classification!B:B, "Not Found")</f>
      </c>
      <c r="Q1035" s="1" t="s">
        <v>5514</v>
      </c>
      <c r="R1035" s="2"/>
      <c r="S1035" s="2"/>
      <c r="T1035" s="2"/>
      <c r="U1035" s="2"/>
    </row>
    <row x14ac:dyDescent="0.25" r="1036" customHeight="1" ht="17.25">
      <c r="A1036" s="7">
        <v>1035</v>
      </c>
      <c r="B1036" s="1" t="s">
        <v>6470</v>
      </c>
      <c r="C1036" s="5">
        <f>CONCATENATE("PD", TEXT(A1036, "1000000"))</f>
      </c>
      <c r="D1036" s="7">
        <v>66</v>
      </c>
      <c r="E1036" s="5">
        <f>XLOOKUP(G1036, item_category!C:C, item_category!B:B, "Not Found")</f>
      </c>
      <c r="F1036" s="1" t="s">
        <v>5617</v>
      </c>
      <c r="G1036" s="5">
        <f>XLOOKUP(I1036, drug!B:B, drug!A:A, "Not Found")</f>
      </c>
      <c r="H1036" s="1" t="s">
        <v>1344</v>
      </c>
      <c r="I1036" s="7">
        <v>1</v>
      </c>
      <c r="J1036" s="5">
        <f>XLOOKUP(L1036, uom!C:C, uom!B:B, "Not Found")</f>
      </c>
      <c r="K1036" s="1" t="s">
        <v>5511</v>
      </c>
      <c r="L1036" s="5">
        <f>XLOOKUP(N1036, uom!C:C, uom!B:B, "Not Found")</f>
      </c>
      <c r="M1036" s="1" t="s">
        <v>5511</v>
      </c>
      <c r="N1036" s="8" t="s">
        <v>5512</v>
      </c>
      <c r="O1036" s="1" t="s">
        <v>5513</v>
      </c>
      <c r="P1036" s="5">
        <f>XLOOKUP(R1036, classification!C:C, classification!B:B, "Not Found")</f>
      </c>
      <c r="Q1036" s="1" t="s">
        <v>5514</v>
      </c>
      <c r="R1036" s="2"/>
      <c r="S1036" s="2"/>
      <c r="T1036" s="2"/>
      <c r="U1036" s="2"/>
    </row>
    <row x14ac:dyDescent="0.25" r="1037" customHeight="1" ht="17.25">
      <c r="A1037" s="7">
        <v>1036</v>
      </c>
      <c r="B1037" s="1" t="s">
        <v>6471</v>
      </c>
      <c r="C1037" s="5">
        <f>CONCATENATE("PD", TEXT(A1037, "1000000"))</f>
      </c>
      <c r="D1037" s="7">
        <v>66</v>
      </c>
      <c r="E1037" s="5">
        <f>XLOOKUP(G1037, item_category!C:C, item_category!B:B, "Not Found")</f>
      </c>
      <c r="F1037" s="1" t="s">
        <v>5617</v>
      </c>
      <c r="G1037" s="5">
        <f>XLOOKUP(I1037, drug!B:B, drug!A:A, "Not Found")</f>
      </c>
      <c r="H1037" s="1" t="s">
        <v>100</v>
      </c>
      <c r="I1037" s="7">
        <v>1</v>
      </c>
      <c r="J1037" s="5">
        <f>XLOOKUP(L1037, uom!C:C, uom!B:B, "Not Found")</f>
      </c>
      <c r="K1037" s="1" t="s">
        <v>5511</v>
      </c>
      <c r="L1037" s="5">
        <f>XLOOKUP(N1037, uom!C:C, uom!B:B, "Not Found")</f>
      </c>
      <c r="M1037" s="1" t="s">
        <v>5511</v>
      </c>
      <c r="N1037" s="8" t="s">
        <v>5512</v>
      </c>
      <c r="O1037" s="1" t="s">
        <v>5513</v>
      </c>
      <c r="P1037" s="5">
        <f>XLOOKUP(R1037, classification!C:C, classification!B:B, "Not Found")</f>
      </c>
      <c r="Q1037" s="1" t="s">
        <v>5514</v>
      </c>
      <c r="R1037" s="2"/>
      <c r="S1037" s="2"/>
      <c r="T1037" s="2"/>
      <c r="U1037" s="2"/>
    </row>
    <row x14ac:dyDescent="0.25" r="1038" customHeight="1" ht="17.25">
      <c r="A1038" s="7">
        <v>1037</v>
      </c>
      <c r="B1038" s="1" t="s">
        <v>6472</v>
      </c>
      <c r="C1038" s="5">
        <f>CONCATENATE("PD", TEXT(A1038, "1000000"))</f>
      </c>
      <c r="D1038" s="7">
        <v>66</v>
      </c>
      <c r="E1038" s="5">
        <f>XLOOKUP(G1038, item_category!C:C, item_category!B:B, "Not Found")</f>
      </c>
      <c r="F1038" s="1" t="s">
        <v>5617</v>
      </c>
      <c r="G1038" s="5">
        <f>XLOOKUP(I1038, drug!B:B, drug!A:A, "Not Found")</f>
      </c>
      <c r="H1038" s="1" t="s">
        <v>100</v>
      </c>
      <c r="I1038" s="7">
        <v>1</v>
      </c>
      <c r="J1038" s="5">
        <f>XLOOKUP(L1038, uom!C:C, uom!B:B, "Not Found")</f>
      </c>
      <c r="K1038" s="1" t="s">
        <v>5511</v>
      </c>
      <c r="L1038" s="5">
        <f>XLOOKUP(N1038, uom!C:C, uom!B:B, "Not Found")</f>
      </c>
      <c r="M1038" s="1" t="s">
        <v>5511</v>
      </c>
      <c r="N1038" s="8" t="s">
        <v>5512</v>
      </c>
      <c r="O1038" s="1" t="s">
        <v>5513</v>
      </c>
      <c r="P1038" s="5">
        <f>XLOOKUP(R1038, classification!C:C, classification!B:B, "Not Found")</f>
      </c>
      <c r="Q1038" s="1" t="s">
        <v>5514</v>
      </c>
      <c r="R1038" s="2"/>
      <c r="S1038" s="2"/>
      <c r="T1038" s="2"/>
      <c r="U1038" s="2"/>
    </row>
    <row x14ac:dyDescent="0.25" r="1039" customHeight="1" ht="17.25">
      <c r="A1039" s="7">
        <v>1038</v>
      </c>
      <c r="B1039" s="1" t="s">
        <v>6473</v>
      </c>
      <c r="C1039" s="5">
        <f>CONCATENATE("PD", TEXT(A1039, "1000000"))</f>
      </c>
      <c r="D1039" s="7">
        <v>66</v>
      </c>
      <c r="E1039" s="5">
        <f>XLOOKUP(G1039, item_category!C:C, item_category!B:B, "Not Found")</f>
      </c>
      <c r="F1039" s="1" t="s">
        <v>5617</v>
      </c>
      <c r="G1039" s="5">
        <f>XLOOKUP(I1039, drug!B:B, drug!A:A, "Not Found")</f>
      </c>
      <c r="H1039" s="1" t="s">
        <v>100</v>
      </c>
      <c r="I1039" s="7">
        <v>1</v>
      </c>
      <c r="J1039" s="5">
        <f>XLOOKUP(L1039, uom!C:C, uom!B:B, "Not Found")</f>
      </c>
      <c r="K1039" s="1" t="s">
        <v>5511</v>
      </c>
      <c r="L1039" s="5">
        <f>XLOOKUP(N1039, uom!C:C, uom!B:B, "Not Found")</f>
      </c>
      <c r="M1039" s="1" t="s">
        <v>5511</v>
      </c>
      <c r="N1039" s="8" t="s">
        <v>5512</v>
      </c>
      <c r="O1039" s="1" t="s">
        <v>5513</v>
      </c>
      <c r="P1039" s="5">
        <f>XLOOKUP(R1039, classification!C:C, classification!B:B, "Not Found")</f>
      </c>
      <c r="Q1039" s="1" t="s">
        <v>5514</v>
      </c>
      <c r="R1039" s="2"/>
      <c r="S1039" s="2"/>
      <c r="T1039" s="2"/>
      <c r="U1039" s="2"/>
    </row>
    <row x14ac:dyDescent="0.25" r="1040" customHeight="1" ht="17.25">
      <c r="A1040" s="7">
        <v>1039</v>
      </c>
      <c r="B1040" s="1" t="s">
        <v>6474</v>
      </c>
      <c r="C1040" s="5">
        <f>CONCATENATE("PD", TEXT(A1040, "1000000"))</f>
      </c>
      <c r="D1040" s="7">
        <v>66</v>
      </c>
      <c r="E1040" s="5">
        <f>XLOOKUP(G1040, item_category!C:C, item_category!B:B, "Not Found")</f>
      </c>
      <c r="F1040" s="1" t="s">
        <v>5617</v>
      </c>
      <c r="G1040" s="5">
        <f>XLOOKUP(I1040, drug!B:B, drug!A:A, "Not Found")</f>
      </c>
      <c r="H1040" s="1" t="s">
        <v>1942</v>
      </c>
      <c r="I1040" s="7">
        <v>1</v>
      </c>
      <c r="J1040" s="5">
        <f>XLOOKUP(L1040, uom!C:C, uom!B:B, "Not Found")</f>
      </c>
      <c r="K1040" s="1" t="s">
        <v>5511</v>
      </c>
      <c r="L1040" s="5">
        <f>XLOOKUP(N1040, uom!C:C, uom!B:B, "Not Found")</f>
      </c>
      <c r="M1040" s="1" t="s">
        <v>5511</v>
      </c>
      <c r="N1040" s="8" t="s">
        <v>5512</v>
      </c>
      <c r="O1040" s="1" t="s">
        <v>5513</v>
      </c>
      <c r="P1040" s="5">
        <f>XLOOKUP(R1040, classification!C:C, classification!B:B, "Not Found")</f>
      </c>
      <c r="Q1040" s="1" t="s">
        <v>5514</v>
      </c>
      <c r="R1040" s="2"/>
      <c r="S1040" s="2"/>
      <c r="T1040" s="2"/>
      <c r="U1040" s="2"/>
    </row>
    <row x14ac:dyDescent="0.25" r="1041" customHeight="1" ht="17.25">
      <c r="A1041" s="7">
        <v>1040</v>
      </c>
      <c r="B1041" s="1" t="s">
        <v>2470</v>
      </c>
      <c r="C1041" s="5">
        <f>CONCATENATE("PD", TEXT(A1041, "1000000"))</f>
      </c>
      <c r="D1041" s="7">
        <v>8</v>
      </c>
      <c r="E1041" s="5">
        <f>XLOOKUP(G1041, item_category!C:C, item_category!B:B, "Not Found")</f>
      </c>
      <c r="F1041" s="1" t="s">
        <v>5517</v>
      </c>
      <c r="G1041" s="5">
        <f>XLOOKUP(I1041, drug!B:B, drug!A:A, "Not Found")</f>
      </c>
      <c r="H1041" s="1"/>
      <c r="I1041" s="9">
        <v>4.8</v>
      </c>
      <c r="J1041" s="5">
        <f>XLOOKUP(L1041, uom!C:C, uom!B:B, "Not Found")</f>
      </c>
      <c r="K1041" s="1" t="s">
        <v>5534</v>
      </c>
      <c r="L1041" s="5">
        <f>XLOOKUP(N1041, uom!C:C, uom!B:B, "Not Found")</f>
      </c>
      <c r="M1041" s="1" t="s">
        <v>5534</v>
      </c>
      <c r="N1041" s="8" t="s">
        <v>5512</v>
      </c>
      <c r="O1041" s="1" t="s">
        <v>5513</v>
      </c>
      <c r="P1041" s="5">
        <f>XLOOKUP(R1041, classification!C:C, classification!B:B, "Not Found")</f>
      </c>
      <c r="Q1041" s="1" t="s">
        <v>5514</v>
      </c>
      <c r="R1041" s="2"/>
      <c r="S1041" s="2"/>
      <c r="T1041" s="2"/>
      <c r="U1041" s="2"/>
    </row>
    <row x14ac:dyDescent="0.25" r="1042" customHeight="1" ht="17.25">
      <c r="A1042" s="7">
        <v>1041</v>
      </c>
      <c r="B1042" s="1" t="s">
        <v>6475</v>
      </c>
      <c r="C1042" s="5">
        <f>CONCATENATE("PD", TEXT(A1042, "1000000"))</f>
      </c>
      <c r="D1042" s="7">
        <v>66</v>
      </c>
      <c r="E1042" s="5">
        <f>XLOOKUP(G1042, item_category!C:C, item_category!B:B, "Not Found")</f>
      </c>
      <c r="F1042" s="1" t="s">
        <v>5617</v>
      </c>
      <c r="G1042" s="5">
        <f>XLOOKUP(I1042, drug!B:B, drug!A:A, "Not Found")</f>
      </c>
      <c r="H1042" s="1"/>
      <c r="I1042" s="7">
        <v>1</v>
      </c>
      <c r="J1042" s="5">
        <f>XLOOKUP(L1042, uom!C:C, uom!B:B, "Not Found")</f>
      </c>
      <c r="K1042" s="1" t="s">
        <v>5511</v>
      </c>
      <c r="L1042" s="5">
        <f>XLOOKUP(N1042, uom!C:C, uom!B:B, "Not Found")</f>
      </c>
      <c r="M1042" s="1" t="s">
        <v>5511</v>
      </c>
      <c r="N1042" s="8" t="s">
        <v>5512</v>
      </c>
      <c r="O1042" s="1" t="s">
        <v>5513</v>
      </c>
      <c r="P1042" s="5">
        <f>XLOOKUP(R1042, classification!C:C, classification!B:B, "Not Found")</f>
      </c>
      <c r="Q1042" s="1" t="s">
        <v>5514</v>
      </c>
      <c r="R1042" s="2"/>
      <c r="S1042" s="2"/>
      <c r="T1042" s="2"/>
      <c r="U1042" s="2"/>
    </row>
    <row x14ac:dyDescent="0.25" r="1043" customHeight="1" ht="17.25">
      <c r="A1043" s="7">
        <v>1042</v>
      </c>
      <c r="B1043" s="1" t="s">
        <v>6476</v>
      </c>
      <c r="C1043" s="5">
        <f>CONCATENATE("PD", TEXT(A1043, "1000000"))</f>
      </c>
      <c r="D1043" s="7">
        <v>66</v>
      </c>
      <c r="E1043" s="5">
        <f>XLOOKUP(G1043, item_category!C:C, item_category!B:B, "Not Found")</f>
      </c>
      <c r="F1043" s="1" t="s">
        <v>5617</v>
      </c>
      <c r="G1043" s="5">
        <f>XLOOKUP(I1043, drug!B:B, drug!A:A, "Not Found")</f>
      </c>
      <c r="H1043" s="1"/>
      <c r="I1043" s="7">
        <v>850</v>
      </c>
      <c r="J1043" s="5">
        <f>XLOOKUP(L1043, uom!C:C, uom!B:B, "Not Found")</f>
      </c>
      <c r="K1043" s="1" t="s">
        <v>5618</v>
      </c>
      <c r="L1043" s="5">
        <f>XLOOKUP(N1043, uom!C:C, uom!B:B, "Not Found")</f>
      </c>
      <c r="M1043" s="1" t="s">
        <v>5618</v>
      </c>
      <c r="N1043" s="8" t="s">
        <v>5524</v>
      </c>
      <c r="O1043" s="1" t="s">
        <v>5525</v>
      </c>
      <c r="P1043" s="5">
        <f>XLOOKUP(R1043, classification!C:C, classification!B:B, "Not Found")</f>
      </c>
      <c r="Q1043" s="1" t="s">
        <v>5514</v>
      </c>
      <c r="R1043" s="2"/>
      <c r="S1043" s="2"/>
      <c r="T1043" s="2"/>
      <c r="U1043" s="2"/>
    </row>
    <row x14ac:dyDescent="0.25" r="1044" customHeight="1" ht="17.25">
      <c r="A1044" s="7">
        <v>1043</v>
      </c>
      <c r="B1044" s="1" t="s">
        <v>6477</v>
      </c>
      <c r="C1044" s="5">
        <f>CONCATENATE("PD", TEXT(A1044, "1000000"))</f>
      </c>
      <c r="D1044" s="7">
        <v>66</v>
      </c>
      <c r="E1044" s="5">
        <f>XLOOKUP(G1044, item_category!C:C, item_category!B:B, "Not Found")</f>
      </c>
      <c r="F1044" s="1" t="s">
        <v>5617</v>
      </c>
      <c r="G1044" s="5">
        <f>XLOOKUP(I1044, drug!B:B, drug!A:A, "Not Found")</f>
      </c>
      <c r="H1044" s="1" t="s">
        <v>954</v>
      </c>
      <c r="I1044" s="7">
        <v>1</v>
      </c>
      <c r="J1044" s="5">
        <f>XLOOKUP(L1044, uom!C:C, uom!B:B, "Not Found")</f>
      </c>
      <c r="K1044" s="1" t="s">
        <v>5511</v>
      </c>
      <c r="L1044" s="5">
        <f>XLOOKUP(N1044, uom!C:C, uom!B:B, "Not Found")</f>
      </c>
      <c r="M1044" s="1" t="s">
        <v>5511</v>
      </c>
      <c r="N1044" s="8" t="s">
        <v>5512</v>
      </c>
      <c r="O1044" s="1" t="s">
        <v>5513</v>
      </c>
      <c r="P1044" s="5">
        <f>XLOOKUP(R1044, classification!C:C, classification!B:B, "Not Found")</f>
      </c>
      <c r="Q1044" s="1" t="s">
        <v>5514</v>
      </c>
      <c r="R1044" s="2"/>
      <c r="S1044" s="2"/>
      <c r="T1044" s="2"/>
      <c r="U1044" s="2"/>
    </row>
    <row x14ac:dyDescent="0.25" r="1045" customHeight="1" ht="17.25">
      <c r="A1045" s="7">
        <v>1044</v>
      </c>
      <c r="B1045" s="1" t="s">
        <v>6478</v>
      </c>
      <c r="C1045" s="5">
        <f>CONCATENATE("PD", TEXT(A1045, "1000000"))</f>
      </c>
      <c r="D1045" s="7">
        <v>66</v>
      </c>
      <c r="E1045" s="5">
        <f>XLOOKUP(G1045, item_category!C:C, item_category!B:B, "Not Found")</f>
      </c>
      <c r="F1045" s="1" t="s">
        <v>5617</v>
      </c>
      <c r="G1045" s="5">
        <f>XLOOKUP(I1045, drug!B:B, drug!A:A, "Not Found")</f>
      </c>
      <c r="H1045" s="1" t="s">
        <v>1322</v>
      </c>
      <c r="I1045" s="7">
        <v>1</v>
      </c>
      <c r="J1045" s="5">
        <f>XLOOKUP(L1045, uom!C:C, uom!B:B, "Not Found")</f>
      </c>
      <c r="K1045" s="1" t="s">
        <v>5511</v>
      </c>
      <c r="L1045" s="5">
        <f>XLOOKUP(N1045, uom!C:C, uom!B:B, "Not Found")</f>
      </c>
      <c r="M1045" s="1" t="s">
        <v>5511</v>
      </c>
      <c r="N1045" s="8" t="s">
        <v>5512</v>
      </c>
      <c r="O1045" s="1" t="s">
        <v>5513</v>
      </c>
      <c r="P1045" s="5">
        <f>XLOOKUP(R1045, classification!C:C, classification!B:B, "Not Found")</f>
      </c>
      <c r="Q1045" s="1" t="s">
        <v>5514</v>
      </c>
      <c r="R1045" s="2"/>
      <c r="S1045" s="2"/>
      <c r="T1045" s="2"/>
      <c r="U1045" s="2"/>
    </row>
    <row x14ac:dyDescent="0.25" r="1046" customHeight="1" ht="17.25">
      <c r="A1046" s="7">
        <v>1045</v>
      </c>
      <c r="B1046" s="1" t="s">
        <v>6479</v>
      </c>
      <c r="C1046" s="5">
        <f>CONCATENATE("PD", TEXT(A1046, "1000000"))</f>
      </c>
      <c r="D1046" s="7">
        <v>66</v>
      </c>
      <c r="E1046" s="5">
        <f>XLOOKUP(G1046, item_category!C:C, item_category!B:B, "Not Found")</f>
      </c>
      <c r="F1046" s="1" t="s">
        <v>5617</v>
      </c>
      <c r="G1046" s="5">
        <f>XLOOKUP(I1046, drug!B:B, drug!A:A, "Not Found")</f>
      </c>
      <c r="H1046" s="1"/>
      <c r="I1046" s="7">
        <v>1</v>
      </c>
      <c r="J1046" s="5">
        <f>XLOOKUP(L1046, uom!C:C, uom!B:B, "Not Found")</f>
      </c>
      <c r="K1046" s="1" t="s">
        <v>5511</v>
      </c>
      <c r="L1046" s="5">
        <f>XLOOKUP(N1046, uom!C:C, uom!B:B, "Not Found")</f>
      </c>
      <c r="M1046" s="1" t="s">
        <v>5511</v>
      </c>
      <c r="N1046" s="8" t="s">
        <v>5512</v>
      </c>
      <c r="O1046" s="1" t="s">
        <v>5513</v>
      </c>
      <c r="P1046" s="5">
        <f>XLOOKUP(R1046, classification!C:C, classification!B:B, "Not Found")</f>
      </c>
      <c r="Q1046" s="1" t="s">
        <v>5514</v>
      </c>
      <c r="R1046" s="2"/>
      <c r="S1046" s="2"/>
      <c r="T1046" s="2"/>
      <c r="U1046" s="2"/>
    </row>
    <row x14ac:dyDescent="0.25" r="1047" customHeight="1" ht="17.25">
      <c r="A1047" s="7">
        <v>1046</v>
      </c>
      <c r="B1047" s="1" t="s">
        <v>6480</v>
      </c>
      <c r="C1047" s="5">
        <f>CONCATENATE("PD", TEXT(A1047, "1000000"))</f>
      </c>
      <c r="D1047" s="7">
        <v>66</v>
      </c>
      <c r="E1047" s="5">
        <f>XLOOKUP(G1047, item_category!C:C, item_category!B:B, "Not Found")</f>
      </c>
      <c r="F1047" s="1" t="s">
        <v>5617</v>
      </c>
      <c r="G1047" s="5">
        <f>XLOOKUP(I1047, drug!B:B, drug!A:A, "Not Found")</f>
      </c>
      <c r="H1047" s="1"/>
      <c r="I1047" s="7">
        <v>1</v>
      </c>
      <c r="J1047" s="5">
        <f>XLOOKUP(L1047, uom!C:C, uom!B:B, "Not Found")</f>
      </c>
      <c r="K1047" s="1" t="s">
        <v>5511</v>
      </c>
      <c r="L1047" s="5">
        <f>XLOOKUP(N1047, uom!C:C, uom!B:B, "Not Found")</f>
      </c>
      <c r="M1047" s="1" t="s">
        <v>5511</v>
      </c>
      <c r="N1047" s="8" t="s">
        <v>5512</v>
      </c>
      <c r="O1047" s="1" t="s">
        <v>5513</v>
      </c>
      <c r="P1047" s="5">
        <f>XLOOKUP(R1047, classification!C:C, classification!B:B, "Not Found")</f>
      </c>
      <c r="Q1047" s="1" t="s">
        <v>5514</v>
      </c>
      <c r="R1047" s="2"/>
      <c r="S1047" s="2"/>
      <c r="T1047" s="2"/>
      <c r="U1047" s="2"/>
    </row>
    <row x14ac:dyDescent="0.25" r="1048" customHeight="1" ht="17.25">
      <c r="A1048" s="7">
        <v>1047</v>
      </c>
      <c r="B1048" s="1" t="s">
        <v>6481</v>
      </c>
      <c r="C1048" s="5">
        <f>CONCATENATE("PD", TEXT(A1048, "1000000"))</f>
      </c>
      <c r="D1048" s="7">
        <v>66</v>
      </c>
      <c r="E1048" s="5">
        <f>XLOOKUP(G1048, item_category!C:C, item_category!B:B, "Not Found")</f>
      </c>
      <c r="F1048" s="1" t="s">
        <v>5617</v>
      </c>
      <c r="G1048" s="5">
        <f>XLOOKUP(I1048, drug!B:B, drug!A:A, "Not Found")</f>
      </c>
      <c r="H1048" s="1"/>
      <c r="I1048" s="7">
        <v>1</v>
      </c>
      <c r="J1048" s="5">
        <f>XLOOKUP(L1048, uom!C:C, uom!B:B, "Not Found")</f>
      </c>
      <c r="K1048" s="1" t="s">
        <v>5511</v>
      </c>
      <c r="L1048" s="5">
        <f>XLOOKUP(N1048, uom!C:C, uom!B:B, "Not Found")</f>
      </c>
      <c r="M1048" s="1" t="s">
        <v>5511</v>
      </c>
      <c r="N1048" s="8" t="s">
        <v>5512</v>
      </c>
      <c r="O1048" s="1" t="s">
        <v>5513</v>
      </c>
      <c r="P1048" s="5">
        <f>XLOOKUP(R1048, classification!C:C, classification!B:B, "Not Found")</f>
      </c>
      <c r="Q1048" s="1" t="s">
        <v>5514</v>
      </c>
      <c r="R1048" s="2"/>
      <c r="S1048" s="2"/>
      <c r="T1048" s="2"/>
      <c r="U1048" s="2"/>
    </row>
    <row x14ac:dyDescent="0.25" r="1049" customHeight="1" ht="17.25">
      <c r="A1049" s="7">
        <v>1048</v>
      </c>
      <c r="B1049" s="1" t="s">
        <v>6482</v>
      </c>
      <c r="C1049" s="5">
        <f>CONCATENATE("PD", TEXT(A1049, "1000000"))</f>
      </c>
      <c r="D1049" s="7">
        <v>66</v>
      </c>
      <c r="E1049" s="5">
        <f>XLOOKUP(G1049, item_category!C:C, item_category!B:B, "Not Found")</f>
      </c>
      <c r="F1049" s="1" t="s">
        <v>5617</v>
      </c>
      <c r="G1049" s="5">
        <f>XLOOKUP(I1049, drug!B:B, drug!A:A, "Not Found")</f>
      </c>
      <c r="H1049" s="1"/>
      <c r="I1049" s="7">
        <v>1</v>
      </c>
      <c r="J1049" s="5">
        <f>XLOOKUP(L1049, uom!C:C, uom!B:B, "Not Found")</f>
      </c>
      <c r="K1049" s="1" t="s">
        <v>5511</v>
      </c>
      <c r="L1049" s="5">
        <f>XLOOKUP(N1049, uom!C:C, uom!B:B, "Not Found")</f>
      </c>
      <c r="M1049" s="1" t="s">
        <v>5511</v>
      </c>
      <c r="N1049" s="8" t="s">
        <v>5512</v>
      </c>
      <c r="O1049" s="1" t="s">
        <v>5513</v>
      </c>
      <c r="P1049" s="5">
        <f>XLOOKUP(R1049, classification!C:C, classification!B:B, "Not Found")</f>
      </c>
      <c r="Q1049" s="1" t="s">
        <v>5514</v>
      </c>
      <c r="R1049" s="2"/>
      <c r="S1049" s="2"/>
      <c r="T1049" s="2"/>
      <c r="U1049" s="2"/>
    </row>
    <row x14ac:dyDescent="0.25" r="1050" customHeight="1" ht="17.25">
      <c r="A1050" s="7">
        <v>1049</v>
      </c>
      <c r="B1050" s="1" t="s">
        <v>6483</v>
      </c>
      <c r="C1050" s="5">
        <f>CONCATENATE("PD", TEXT(A1050, "1000000"))</f>
      </c>
      <c r="D1050" s="7">
        <v>66</v>
      </c>
      <c r="E1050" s="5">
        <f>XLOOKUP(G1050, item_category!C:C, item_category!B:B, "Not Found")</f>
      </c>
      <c r="F1050" s="1" t="s">
        <v>5617</v>
      </c>
      <c r="G1050" s="5">
        <f>XLOOKUP(I1050, drug!B:B, drug!A:A, "Not Found")</f>
      </c>
      <c r="H1050" s="1" t="s">
        <v>1968</v>
      </c>
      <c r="I1050" s="7">
        <v>1</v>
      </c>
      <c r="J1050" s="5">
        <f>XLOOKUP(L1050, uom!C:C, uom!B:B, "Not Found")</f>
      </c>
      <c r="K1050" s="1" t="s">
        <v>5511</v>
      </c>
      <c r="L1050" s="5">
        <f>XLOOKUP(N1050, uom!C:C, uom!B:B, "Not Found")</f>
      </c>
      <c r="M1050" s="1" t="s">
        <v>5511</v>
      </c>
      <c r="N1050" s="8" t="s">
        <v>5512</v>
      </c>
      <c r="O1050" s="1" t="s">
        <v>5513</v>
      </c>
      <c r="P1050" s="5">
        <f>XLOOKUP(R1050, classification!C:C, classification!B:B, "Not Found")</f>
      </c>
      <c r="Q1050" s="1" t="s">
        <v>5514</v>
      </c>
      <c r="R1050" s="2"/>
      <c r="S1050" s="2"/>
      <c r="T1050" s="2"/>
      <c r="U1050" s="2"/>
    </row>
    <row x14ac:dyDescent="0.25" r="1051" customHeight="1" ht="17.25">
      <c r="A1051" s="7">
        <v>1050</v>
      </c>
      <c r="B1051" s="1" t="s">
        <v>6484</v>
      </c>
      <c r="C1051" s="5">
        <f>CONCATENATE("PD", TEXT(A1051, "1000000"))</f>
      </c>
      <c r="D1051" s="7">
        <v>66</v>
      </c>
      <c r="E1051" s="5">
        <f>XLOOKUP(G1051, item_category!C:C, item_category!B:B, "Not Found")</f>
      </c>
      <c r="F1051" s="1" t="s">
        <v>5617</v>
      </c>
      <c r="G1051" s="5">
        <f>XLOOKUP(I1051, drug!B:B, drug!A:A, "Not Found")</f>
      </c>
      <c r="H1051" s="1" t="s">
        <v>1968</v>
      </c>
      <c r="I1051" s="7">
        <v>1</v>
      </c>
      <c r="J1051" s="5">
        <f>XLOOKUP(L1051, uom!C:C, uom!B:B, "Not Found")</f>
      </c>
      <c r="K1051" s="1" t="s">
        <v>5511</v>
      </c>
      <c r="L1051" s="5">
        <f>XLOOKUP(N1051, uom!C:C, uom!B:B, "Not Found")</f>
      </c>
      <c r="M1051" s="1" t="s">
        <v>5511</v>
      </c>
      <c r="N1051" s="8" t="s">
        <v>5512</v>
      </c>
      <c r="O1051" s="1" t="s">
        <v>5513</v>
      </c>
      <c r="P1051" s="5">
        <f>XLOOKUP(R1051, classification!C:C, classification!B:B, "Not Found")</f>
      </c>
      <c r="Q1051" s="1" t="s">
        <v>5514</v>
      </c>
      <c r="R1051" s="2"/>
      <c r="S1051" s="2"/>
      <c r="T1051" s="2"/>
      <c r="U1051" s="2"/>
    </row>
    <row x14ac:dyDescent="0.25" r="1052" customHeight="1" ht="17.25">
      <c r="A1052" s="7">
        <v>1051</v>
      </c>
      <c r="B1052" s="1" t="s">
        <v>6485</v>
      </c>
      <c r="C1052" s="5">
        <f>CONCATENATE("PD", TEXT(A1052, "1000000"))</f>
      </c>
      <c r="D1052" s="7">
        <v>66</v>
      </c>
      <c r="E1052" s="5">
        <f>XLOOKUP(G1052, item_category!C:C, item_category!B:B, "Not Found")</f>
      </c>
      <c r="F1052" s="1" t="s">
        <v>5617</v>
      </c>
      <c r="G1052" s="5">
        <f>XLOOKUP(I1052, drug!B:B, drug!A:A, "Not Found")</f>
      </c>
      <c r="H1052" s="1" t="s">
        <v>1968</v>
      </c>
      <c r="I1052" s="7">
        <v>1</v>
      </c>
      <c r="J1052" s="5">
        <f>XLOOKUP(L1052, uom!C:C, uom!B:B, "Not Found")</f>
      </c>
      <c r="K1052" s="1" t="s">
        <v>5511</v>
      </c>
      <c r="L1052" s="5">
        <f>XLOOKUP(N1052, uom!C:C, uom!B:B, "Not Found")</f>
      </c>
      <c r="M1052" s="1" t="s">
        <v>5511</v>
      </c>
      <c r="N1052" s="8" t="s">
        <v>5512</v>
      </c>
      <c r="O1052" s="1" t="s">
        <v>5513</v>
      </c>
      <c r="P1052" s="5">
        <f>XLOOKUP(R1052, classification!C:C, classification!B:B, "Not Found")</f>
      </c>
      <c r="Q1052" s="1" t="s">
        <v>5514</v>
      </c>
      <c r="R1052" s="2"/>
      <c r="S1052" s="2"/>
      <c r="T1052" s="2"/>
      <c r="U1052" s="2"/>
    </row>
    <row x14ac:dyDescent="0.25" r="1053" customHeight="1" ht="17.25">
      <c r="A1053" s="7">
        <v>1052</v>
      </c>
      <c r="B1053" s="1" t="s">
        <v>6486</v>
      </c>
      <c r="C1053" s="5">
        <f>CONCATENATE("PD", TEXT(A1053, "1000000"))</f>
      </c>
      <c r="D1053" s="7">
        <v>66</v>
      </c>
      <c r="E1053" s="5">
        <f>XLOOKUP(G1053, item_category!C:C, item_category!B:B, "Not Found")</f>
      </c>
      <c r="F1053" s="1" t="s">
        <v>5617</v>
      </c>
      <c r="G1053" s="5">
        <f>XLOOKUP(I1053, drug!B:B, drug!A:A, "Not Found")</f>
      </c>
      <c r="H1053" s="1"/>
      <c r="I1053" s="7">
        <v>1</v>
      </c>
      <c r="J1053" s="5">
        <f>XLOOKUP(L1053, uom!C:C, uom!B:B, "Not Found")</f>
      </c>
      <c r="K1053" s="1" t="s">
        <v>5511</v>
      </c>
      <c r="L1053" s="5">
        <f>XLOOKUP(N1053, uom!C:C, uom!B:B, "Not Found")</f>
      </c>
      <c r="M1053" s="1" t="s">
        <v>5511</v>
      </c>
      <c r="N1053" s="8" t="s">
        <v>5512</v>
      </c>
      <c r="O1053" s="1" t="s">
        <v>5513</v>
      </c>
      <c r="P1053" s="5">
        <f>XLOOKUP(R1053, classification!C:C, classification!B:B, "Not Found")</f>
      </c>
      <c r="Q1053" s="1" t="s">
        <v>5514</v>
      </c>
      <c r="R1053" s="2"/>
      <c r="S1053" s="2"/>
      <c r="T1053" s="2"/>
      <c r="U1053" s="2"/>
    </row>
    <row x14ac:dyDescent="0.25" r="1054" customHeight="1" ht="17.25">
      <c r="A1054" s="7">
        <v>1053</v>
      </c>
      <c r="B1054" s="1" t="s">
        <v>6487</v>
      </c>
      <c r="C1054" s="5">
        <f>CONCATENATE("PD", TEXT(A1054, "1000000"))</f>
      </c>
      <c r="D1054" s="7">
        <v>66</v>
      </c>
      <c r="E1054" s="5">
        <f>XLOOKUP(G1054, item_category!C:C, item_category!B:B, "Not Found")</f>
      </c>
      <c r="F1054" s="1" t="s">
        <v>5617</v>
      </c>
      <c r="G1054" s="5">
        <f>XLOOKUP(I1054, drug!B:B, drug!A:A, "Not Found")</f>
      </c>
      <c r="H1054" s="1"/>
      <c r="I1054" s="7">
        <v>1</v>
      </c>
      <c r="J1054" s="5">
        <f>XLOOKUP(L1054, uom!C:C, uom!B:B, "Not Found")</f>
      </c>
      <c r="K1054" s="1" t="s">
        <v>5511</v>
      </c>
      <c r="L1054" s="5">
        <f>XLOOKUP(N1054, uom!C:C, uom!B:B, "Not Found")</f>
      </c>
      <c r="M1054" s="1" t="s">
        <v>5511</v>
      </c>
      <c r="N1054" s="8" t="s">
        <v>5512</v>
      </c>
      <c r="O1054" s="1" t="s">
        <v>5513</v>
      </c>
      <c r="P1054" s="5">
        <f>XLOOKUP(R1054, classification!C:C, classification!B:B, "Not Found")</f>
      </c>
      <c r="Q1054" s="1" t="s">
        <v>5514</v>
      </c>
      <c r="R1054" s="2"/>
      <c r="S1054" s="2"/>
      <c r="T1054" s="2"/>
      <c r="U1054" s="2"/>
    </row>
    <row x14ac:dyDescent="0.25" r="1055" customHeight="1" ht="17.25">
      <c r="A1055" s="7">
        <v>1054</v>
      </c>
      <c r="B1055" s="1" t="s">
        <v>6488</v>
      </c>
      <c r="C1055" s="5">
        <f>CONCATENATE("PD", TEXT(A1055, "1000000"))</f>
      </c>
      <c r="D1055" s="7">
        <v>66</v>
      </c>
      <c r="E1055" s="5">
        <f>XLOOKUP(G1055, item_category!C:C, item_category!B:B, "Not Found")</f>
      </c>
      <c r="F1055" s="1" t="s">
        <v>5617</v>
      </c>
      <c r="G1055" s="5">
        <f>XLOOKUP(I1055, drug!B:B, drug!A:A, "Not Found")</f>
      </c>
      <c r="H1055" s="1" t="s">
        <v>1984</v>
      </c>
      <c r="I1055" s="7">
        <v>1</v>
      </c>
      <c r="J1055" s="5">
        <f>XLOOKUP(L1055, uom!C:C, uom!B:B, "Not Found")</f>
      </c>
      <c r="K1055" s="1" t="s">
        <v>5511</v>
      </c>
      <c r="L1055" s="5">
        <f>XLOOKUP(N1055, uom!C:C, uom!B:B, "Not Found")</f>
      </c>
      <c r="M1055" s="1" t="s">
        <v>5511</v>
      </c>
      <c r="N1055" s="8" t="s">
        <v>5512</v>
      </c>
      <c r="O1055" s="1" t="s">
        <v>5513</v>
      </c>
      <c r="P1055" s="5">
        <f>XLOOKUP(R1055, classification!C:C, classification!B:B, "Not Found")</f>
      </c>
      <c r="Q1055" s="1" t="s">
        <v>5514</v>
      </c>
      <c r="R1055" s="2"/>
      <c r="S1055" s="2"/>
      <c r="T1055" s="2"/>
      <c r="U1055" s="2"/>
    </row>
    <row x14ac:dyDescent="0.25" r="1056" customHeight="1" ht="17.25">
      <c r="A1056" s="7">
        <v>1055</v>
      </c>
      <c r="B1056" s="1" t="s">
        <v>6489</v>
      </c>
      <c r="C1056" s="5">
        <f>CONCATENATE("PD", TEXT(A1056, "1000000"))</f>
      </c>
      <c r="D1056" s="7">
        <v>66</v>
      </c>
      <c r="E1056" s="5">
        <f>XLOOKUP(G1056, item_category!C:C, item_category!B:B, "Not Found")</f>
      </c>
      <c r="F1056" s="1" t="s">
        <v>5617</v>
      </c>
      <c r="G1056" s="5">
        <f>XLOOKUP(I1056, drug!B:B, drug!A:A, "Not Found")</f>
      </c>
      <c r="H1056" s="1" t="s">
        <v>1984</v>
      </c>
      <c r="I1056" s="7">
        <v>1</v>
      </c>
      <c r="J1056" s="5">
        <f>XLOOKUP(L1056, uom!C:C, uom!B:B, "Not Found")</f>
      </c>
      <c r="K1056" s="1" t="s">
        <v>5511</v>
      </c>
      <c r="L1056" s="5">
        <f>XLOOKUP(N1056, uom!C:C, uom!B:B, "Not Found")</f>
      </c>
      <c r="M1056" s="1" t="s">
        <v>5511</v>
      </c>
      <c r="N1056" s="8" t="s">
        <v>5512</v>
      </c>
      <c r="O1056" s="1" t="s">
        <v>5513</v>
      </c>
      <c r="P1056" s="5">
        <f>XLOOKUP(R1056, classification!C:C, classification!B:B, "Not Found")</f>
      </c>
      <c r="Q1056" s="1" t="s">
        <v>5514</v>
      </c>
      <c r="R1056" s="2"/>
      <c r="S1056" s="2"/>
      <c r="T1056" s="2"/>
      <c r="U1056" s="2"/>
    </row>
    <row x14ac:dyDescent="0.25" r="1057" customHeight="1" ht="17.25">
      <c r="A1057" s="7">
        <v>1056</v>
      </c>
      <c r="B1057" s="1" t="s">
        <v>6490</v>
      </c>
      <c r="C1057" s="5">
        <f>CONCATENATE("PD", TEXT(A1057, "1000000"))</f>
      </c>
      <c r="D1057" s="7">
        <v>66</v>
      </c>
      <c r="E1057" s="5">
        <f>XLOOKUP(G1057, item_category!C:C, item_category!B:B, "Not Found")</f>
      </c>
      <c r="F1057" s="1" t="s">
        <v>5617</v>
      </c>
      <c r="G1057" s="5">
        <f>XLOOKUP(I1057, drug!B:B, drug!A:A, "Not Found")</f>
      </c>
      <c r="H1057" s="1"/>
      <c r="I1057" s="7">
        <v>1</v>
      </c>
      <c r="J1057" s="5">
        <f>XLOOKUP(L1057, uom!C:C, uom!B:B, "Not Found")</f>
      </c>
      <c r="K1057" s="1" t="s">
        <v>5511</v>
      </c>
      <c r="L1057" s="5">
        <f>XLOOKUP(N1057, uom!C:C, uom!B:B, "Not Found")</f>
      </c>
      <c r="M1057" s="1" t="s">
        <v>5511</v>
      </c>
      <c r="N1057" s="8" t="s">
        <v>5512</v>
      </c>
      <c r="O1057" s="1" t="s">
        <v>5513</v>
      </c>
      <c r="P1057" s="5">
        <f>XLOOKUP(R1057, classification!C:C, classification!B:B, "Not Found")</f>
      </c>
      <c r="Q1057" s="1" t="s">
        <v>5514</v>
      </c>
      <c r="R1057" s="2"/>
      <c r="S1057" s="2"/>
      <c r="T1057" s="2"/>
      <c r="U1057" s="2"/>
    </row>
    <row x14ac:dyDescent="0.25" r="1058" customHeight="1" ht="17.25">
      <c r="A1058" s="7">
        <v>1057</v>
      </c>
      <c r="B1058" s="1" t="s">
        <v>6491</v>
      </c>
      <c r="C1058" s="5">
        <f>CONCATENATE("PD", TEXT(A1058, "1000000"))</f>
      </c>
      <c r="D1058" s="7">
        <v>66</v>
      </c>
      <c r="E1058" s="5">
        <f>XLOOKUP(G1058, item_category!C:C, item_category!B:B, "Not Found")</f>
      </c>
      <c r="F1058" s="1" t="s">
        <v>5617</v>
      </c>
      <c r="G1058" s="5">
        <f>XLOOKUP(I1058, drug!B:B, drug!A:A, "Not Found")</f>
      </c>
      <c r="H1058" s="1"/>
      <c r="I1058" s="7">
        <v>1</v>
      </c>
      <c r="J1058" s="5">
        <f>XLOOKUP(L1058, uom!C:C, uom!B:B, "Not Found")</f>
      </c>
      <c r="K1058" s="1" t="s">
        <v>5511</v>
      </c>
      <c r="L1058" s="5">
        <f>XLOOKUP(N1058, uom!C:C, uom!B:B, "Not Found")</f>
      </c>
      <c r="M1058" s="1" t="s">
        <v>5511</v>
      </c>
      <c r="N1058" s="8" t="s">
        <v>5512</v>
      </c>
      <c r="O1058" s="1" t="s">
        <v>5513</v>
      </c>
      <c r="P1058" s="5">
        <f>XLOOKUP(R1058, classification!C:C, classification!B:B, "Not Found")</f>
      </c>
      <c r="Q1058" s="1" t="s">
        <v>5514</v>
      </c>
      <c r="R1058" s="2"/>
      <c r="S1058" s="2"/>
      <c r="T1058" s="2"/>
      <c r="U1058" s="2"/>
    </row>
    <row x14ac:dyDescent="0.25" r="1059" customHeight="1" ht="17.25">
      <c r="A1059" s="7">
        <v>1058</v>
      </c>
      <c r="B1059" s="1" t="s">
        <v>6492</v>
      </c>
      <c r="C1059" s="5">
        <f>CONCATENATE("PD", TEXT(A1059, "1000000"))</f>
      </c>
      <c r="D1059" s="7">
        <v>66</v>
      </c>
      <c r="E1059" s="5">
        <f>XLOOKUP(G1059, item_category!C:C, item_category!B:B, "Not Found")</f>
      </c>
      <c r="F1059" s="1" t="s">
        <v>5617</v>
      </c>
      <c r="G1059" s="5">
        <f>XLOOKUP(I1059, drug!B:B, drug!A:A, "Not Found")</f>
      </c>
      <c r="H1059" s="1"/>
      <c r="I1059" s="7">
        <v>1</v>
      </c>
      <c r="J1059" s="5">
        <f>XLOOKUP(L1059, uom!C:C, uom!B:B, "Not Found")</f>
      </c>
      <c r="K1059" s="1" t="s">
        <v>5511</v>
      </c>
      <c r="L1059" s="5">
        <f>XLOOKUP(N1059, uom!C:C, uom!B:B, "Not Found")</f>
      </c>
      <c r="M1059" s="1" t="s">
        <v>5511</v>
      </c>
      <c r="N1059" s="8" t="s">
        <v>5512</v>
      </c>
      <c r="O1059" s="1" t="s">
        <v>5513</v>
      </c>
      <c r="P1059" s="5">
        <f>XLOOKUP(R1059, classification!C:C, classification!B:B, "Not Found")</f>
      </c>
      <c r="Q1059" s="1" t="s">
        <v>5514</v>
      </c>
      <c r="R1059" s="2"/>
      <c r="S1059" s="2"/>
      <c r="T1059" s="2"/>
      <c r="U1059" s="2"/>
    </row>
    <row x14ac:dyDescent="0.25" r="1060" customHeight="1" ht="17.25">
      <c r="A1060" s="7">
        <v>1059</v>
      </c>
      <c r="B1060" s="1" t="s">
        <v>6493</v>
      </c>
      <c r="C1060" s="5">
        <f>CONCATENATE("PD", TEXT(A1060, "1000000"))</f>
      </c>
      <c r="D1060" s="7">
        <v>66</v>
      </c>
      <c r="E1060" s="5">
        <f>XLOOKUP(G1060, item_category!C:C, item_category!B:B, "Not Found")</f>
      </c>
      <c r="F1060" s="1" t="s">
        <v>5617</v>
      </c>
      <c r="G1060" s="5">
        <f>XLOOKUP(I1060, drug!B:B, drug!A:A, "Not Found")</f>
      </c>
      <c r="H1060" s="1"/>
      <c r="I1060" s="7">
        <v>1</v>
      </c>
      <c r="J1060" s="5">
        <f>XLOOKUP(L1060, uom!C:C, uom!B:B, "Not Found")</f>
      </c>
      <c r="K1060" s="1" t="s">
        <v>5511</v>
      </c>
      <c r="L1060" s="5">
        <f>XLOOKUP(N1060, uom!C:C, uom!B:B, "Not Found")</f>
      </c>
      <c r="M1060" s="1" t="s">
        <v>5511</v>
      </c>
      <c r="N1060" s="8" t="s">
        <v>5512</v>
      </c>
      <c r="O1060" s="1" t="s">
        <v>5513</v>
      </c>
      <c r="P1060" s="5">
        <f>XLOOKUP(R1060, classification!C:C, classification!B:B, "Not Found")</f>
      </c>
      <c r="Q1060" s="1" t="s">
        <v>5514</v>
      </c>
      <c r="R1060" s="2"/>
      <c r="S1060" s="2"/>
      <c r="T1060" s="2"/>
      <c r="U1060" s="2"/>
    </row>
    <row x14ac:dyDescent="0.25" r="1061" customHeight="1" ht="17.25">
      <c r="A1061" s="7">
        <v>1060</v>
      </c>
      <c r="B1061" s="1" t="s">
        <v>6494</v>
      </c>
      <c r="C1061" s="5">
        <f>CONCATENATE("PD", TEXT(A1061, "1000000"))</f>
      </c>
      <c r="D1061" s="7">
        <v>66</v>
      </c>
      <c r="E1061" s="5">
        <f>XLOOKUP(G1061, item_category!C:C, item_category!B:B, "Not Found")</f>
      </c>
      <c r="F1061" s="1" t="s">
        <v>5617</v>
      </c>
      <c r="G1061" s="5">
        <f>XLOOKUP(I1061, drug!B:B, drug!A:A, "Not Found")</f>
      </c>
      <c r="H1061" s="1"/>
      <c r="I1061" s="7">
        <v>1</v>
      </c>
      <c r="J1061" s="5">
        <f>XLOOKUP(L1061, uom!C:C, uom!B:B, "Not Found")</f>
      </c>
      <c r="K1061" s="1" t="s">
        <v>5511</v>
      </c>
      <c r="L1061" s="5">
        <f>XLOOKUP(N1061, uom!C:C, uom!B:B, "Not Found")</f>
      </c>
      <c r="M1061" s="1" t="s">
        <v>5511</v>
      </c>
      <c r="N1061" s="8" t="s">
        <v>5512</v>
      </c>
      <c r="O1061" s="1" t="s">
        <v>5513</v>
      </c>
      <c r="P1061" s="5">
        <f>XLOOKUP(R1061, classification!C:C, classification!B:B, "Not Found")</f>
      </c>
      <c r="Q1061" s="1" t="s">
        <v>5514</v>
      </c>
      <c r="R1061" s="2"/>
      <c r="S1061" s="2"/>
      <c r="T1061" s="2"/>
      <c r="U1061" s="2"/>
    </row>
    <row x14ac:dyDescent="0.25" r="1062" customHeight="1" ht="17.25">
      <c r="A1062" s="7">
        <v>1061</v>
      </c>
      <c r="B1062" s="1" t="s">
        <v>6495</v>
      </c>
      <c r="C1062" s="5">
        <f>CONCATENATE("PD", TEXT(A1062, "1000000"))</f>
      </c>
      <c r="D1062" s="7">
        <v>66</v>
      </c>
      <c r="E1062" s="5">
        <f>XLOOKUP(G1062, item_category!C:C, item_category!B:B, "Not Found")</f>
      </c>
      <c r="F1062" s="1" t="s">
        <v>5617</v>
      </c>
      <c r="G1062" s="5">
        <f>XLOOKUP(I1062, drug!B:B, drug!A:A, "Not Found")</f>
      </c>
      <c r="H1062" s="1"/>
      <c r="I1062" s="7">
        <v>1</v>
      </c>
      <c r="J1062" s="5">
        <f>XLOOKUP(L1062, uom!C:C, uom!B:B, "Not Found")</f>
      </c>
      <c r="K1062" s="1" t="s">
        <v>5511</v>
      </c>
      <c r="L1062" s="5">
        <f>XLOOKUP(N1062, uom!C:C, uom!B:B, "Not Found")</f>
      </c>
      <c r="M1062" s="1" t="s">
        <v>5511</v>
      </c>
      <c r="N1062" s="8" t="s">
        <v>5512</v>
      </c>
      <c r="O1062" s="1" t="s">
        <v>5513</v>
      </c>
      <c r="P1062" s="5">
        <f>XLOOKUP(R1062, classification!C:C, classification!B:B, "Not Found")</f>
      </c>
      <c r="Q1062" s="1" t="s">
        <v>5514</v>
      </c>
      <c r="R1062" s="2"/>
      <c r="S1062" s="2"/>
      <c r="T1062" s="2"/>
      <c r="U1062" s="2"/>
    </row>
    <row x14ac:dyDescent="0.25" r="1063" customHeight="1" ht="17.25">
      <c r="A1063" s="7">
        <v>1062</v>
      </c>
      <c r="B1063" s="1" t="s">
        <v>6496</v>
      </c>
      <c r="C1063" s="5">
        <f>CONCATENATE("PD", TEXT(A1063, "1000000"))</f>
      </c>
      <c r="D1063" s="7">
        <v>66</v>
      </c>
      <c r="E1063" s="5">
        <f>XLOOKUP(G1063, item_category!C:C, item_category!B:B, "Not Found")</f>
      </c>
      <c r="F1063" s="1" t="s">
        <v>5617</v>
      </c>
      <c r="G1063" s="5">
        <f>XLOOKUP(I1063, drug!B:B, drug!A:A, "Not Found")</f>
      </c>
      <c r="H1063" s="1" t="s">
        <v>235</v>
      </c>
      <c r="I1063" s="7">
        <v>1</v>
      </c>
      <c r="J1063" s="5">
        <f>XLOOKUP(L1063, uom!C:C, uom!B:B, "Not Found")</f>
      </c>
      <c r="K1063" s="1" t="s">
        <v>5511</v>
      </c>
      <c r="L1063" s="5">
        <f>XLOOKUP(N1063, uom!C:C, uom!B:B, "Not Found")</f>
      </c>
      <c r="M1063" s="1" t="s">
        <v>5511</v>
      </c>
      <c r="N1063" s="8" t="s">
        <v>5512</v>
      </c>
      <c r="O1063" s="1" t="s">
        <v>5513</v>
      </c>
      <c r="P1063" s="5">
        <f>XLOOKUP(R1063, classification!C:C, classification!B:B, "Not Found")</f>
      </c>
      <c r="Q1063" s="1" t="s">
        <v>5514</v>
      </c>
      <c r="R1063" s="2"/>
      <c r="S1063" s="2"/>
      <c r="T1063" s="2"/>
      <c r="U1063" s="2"/>
    </row>
    <row x14ac:dyDescent="0.25" r="1064" customHeight="1" ht="17.25">
      <c r="A1064" s="7">
        <v>1063</v>
      </c>
      <c r="B1064" s="1" t="s">
        <v>6497</v>
      </c>
      <c r="C1064" s="5">
        <f>CONCATENATE("PD", TEXT(A1064, "1000000"))</f>
      </c>
      <c r="D1064" s="7">
        <v>66</v>
      </c>
      <c r="E1064" s="5">
        <f>XLOOKUP(G1064, item_category!C:C, item_category!B:B, "Not Found")</f>
      </c>
      <c r="F1064" s="1" t="s">
        <v>5617</v>
      </c>
      <c r="G1064" s="5">
        <f>XLOOKUP(I1064, drug!B:B, drug!A:A, "Not Found")</f>
      </c>
      <c r="H1064" s="1"/>
      <c r="I1064" s="7">
        <v>1</v>
      </c>
      <c r="J1064" s="5">
        <f>XLOOKUP(L1064, uom!C:C, uom!B:B, "Not Found")</f>
      </c>
      <c r="K1064" s="1" t="s">
        <v>5511</v>
      </c>
      <c r="L1064" s="5">
        <f>XLOOKUP(N1064, uom!C:C, uom!B:B, "Not Found")</f>
      </c>
      <c r="M1064" s="1" t="s">
        <v>5511</v>
      </c>
      <c r="N1064" s="8" t="s">
        <v>5512</v>
      </c>
      <c r="O1064" s="1" t="s">
        <v>5513</v>
      </c>
      <c r="P1064" s="5">
        <f>XLOOKUP(R1064, classification!C:C, classification!B:B, "Not Found")</f>
      </c>
      <c r="Q1064" s="1" t="s">
        <v>5514</v>
      </c>
      <c r="R1064" s="2"/>
      <c r="S1064" s="2"/>
      <c r="T1064" s="2"/>
      <c r="U1064" s="2"/>
    </row>
    <row x14ac:dyDescent="0.25" r="1065" customHeight="1" ht="17.25">
      <c r="A1065" s="7">
        <v>1064</v>
      </c>
      <c r="B1065" s="1" t="s">
        <v>6498</v>
      </c>
      <c r="C1065" s="5">
        <f>CONCATENATE("PD", TEXT(A1065, "1000000"))</f>
      </c>
      <c r="D1065" s="7">
        <v>66</v>
      </c>
      <c r="E1065" s="5">
        <f>XLOOKUP(G1065, item_category!C:C, item_category!B:B, "Not Found")</f>
      </c>
      <c r="F1065" s="1" t="s">
        <v>5617</v>
      </c>
      <c r="G1065" s="5">
        <f>XLOOKUP(I1065, drug!B:B, drug!A:A, "Not Found")</f>
      </c>
      <c r="H1065" s="1"/>
      <c r="I1065" s="7">
        <v>1</v>
      </c>
      <c r="J1065" s="5">
        <f>XLOOKUP(L1065, uom!C:C, uom!B:B, "Not Found")</f>
      </c>
      <c r="K1065" s="1" t="s">
        <v>5511</v>
      </c>
      <c r="L1065" s="5">
        <f>XLOOKUP(N1065, uom!C:C, uom!B:B, "Not Found")</f>
      </c>
      <c r="M1065" s="1" t="s">
        <v>5511</v>
      </c>
      <c r="N1065" s="8" t="s">
        <v>5512</v>
      </c>
      <c r="O1065" s="1" t="s">
        <v>5513</v>
      </c>
      <c r="P1065" s="5">
        <f>XLOOKUP(R1065, classification!C:C, classification!B:B, "Not Found")</f>
      </c>
      <c r="Q1065" s="1" t="s">
        <v>5514</v>
      </c>
      <c r="R1065" s="2"/>
      <c r="S1065" s="2"/>
      <c r="T1065" s="2"/>
      <c r="U1065" s="2"/>
    </row>
    <row x14ac:dyDescent="0.25" r="1066" customHeight="1" ht="17.25">
      <c r="A1066" s="7">
        <v>1065</v>
      </c>
      <c r="B1066" s="1" t="s">
        <v>6499</v>
      </c>
      <c r="C1066" s="5">
        <f>CONCATENATE("PD", TEXT(A1066, "1000000"))</f>
      </c>
      <c r="D1066" s="7">
        <v>66</v>
      </c>
      <c r="E1066" s="5">
        <f>XLOOKUP(G1066, item_category!C:C, item_category!B:B, "Not Found")</f>
      </c>
      <c r="F1066" s="1" t="s">
        <v>5617</v>
      </c>
      <c r="G1066" s="5">
        <f>XLOOKUP(I1066, drug!B:B, drug!A:A, "Not Found")</f>
      </c>
      <c r="H1066" s="1"/>
      <c r="I1066" s="7">
        <v>1</v>
      </c>
      <c r="J1066" s="5">
        <f>XLOOKUP(L1066, uom!C:C, uom!B:B, "Not Found")</f>
      </c>
      <c r="K1066" s="1" t="s">
        <v>5511</v>
      </c>
      <c r="L1066" s="5">
        <f>XLOOKUP(N1066, uom!C:C, uom!B:B, "Not Found")</f>
      </c>
      <c r="M1066" s="1" t="s">
        <v>5511</v>
      </c>
      <c r="N1066" s="8" t="s">
        <v>5512</v>
      </c>
      <c r="O1066" s="1" t="s">
        <v>5513</v>
      </c>
      <c r="P1066" s="5">
        <f>XLOOKUP(R1066, classification!C:C, classification!B:B, "Not Found")</f>
      </c>
      <c r="Q1066" s="1" t="s">
        <v>5514</v>
      </c>
      <c r="R1066" s="2"/>
      <c r="S1066" s="2"/>
      <c r="T1066" s="2"/>
      <c r="U1066" s="2"/>
    </row>
    <row x14ac:dyDescent="0.25" r="1067" customHeight="1" ht="17.25">
      <c r="A1067" s="7">
        <v>1066</v>
      </c>
      <c r="B1067" s="1" t="s">
        <v>6500</v>
      </c>
      <c r="C1067" s="5">
        <f>CONCATENATE("PD", TEXT(A1067, "1000000"))</f>
      </c>
      <c r="D1067" s="7">
        <v>66</v>
      </c>
      <c r="E1067" s="5">
        <f>XLOOKUP(G1067, item_category!C:C, item_category!B:B, "Not Found")</f>
      </c>
      <c r="F1067" s="1" t="s">
        <v>5617</v>
      </c>
      <c r="G1067" s="5">
        <f>XLOOKUP(I1067, drug!B:B, drug!A:A, "Not Found")</f>
      </c>
      <c r="H1067" s="1"/>
      <c r="I1067" s="7">
        <v>1</v>
      </c>
      <c r="J1067" s="5">
        <f>XLOOKUP(L1067, uom!C:C, uom!B:B, "Not Found")</f>
      </c>
      <c r="K1067" s="1" t="s">
        <v>5511</v>
      </c>
      <c r="L1067" s="5">
        <f>XLOOKUP(N1067, uom!C:C, uom!B:B, "Not Found")</f>
      </c>
      <c r="M1067" s="1" t="s">
        <v>5511</v>
      </c>
      <c r="N1067" s="8" t="s">
        <v>5512</v>
      </c>
      <c r="O1067" s="1" t="s">
        <v>5513</v>
      </c>
      <c r="P1067" s="5">
        <f>XLOOKUP(R1067, classification!C:C, classification!B:B, "Not Found")</f>
      </c>
      <c r="Q1067" s="1" t="s">
        <v>5514</v>
      </c>
      <c r="R1067" s="2"/>
      <c r="S1067" s="2"/>
      <c r="T1067" s="2"/>
      <c r="U1067" s="2"/>
    </row>
    <row x14ac:dyDescent="0.25" r="1068" customHeight="1" ht="17.25">
      <c r="A1068" s="7">
        <v>1067</v>
      </c>
      <c r="B1068" s="1" t="s">
        <v>6501</v>
      </c>
      <c r="C1068" s="5">
        <f>CONCATENATE("PD", TEXT(A1068, "1000000"))</f>
      </c>
      <c r="D1068" s="7">
        <v>66</v>
      </c>
      <c r="E1068" s="5">
        <f>XLOOKUP(G1068, item_category!C:C, item_category!B:B, "Not Found")</f>
      </c>
      <c r="F1068" s="1" t="s">
        <v>5617</v>
      </c>
      <c r="G1068" s="5">
        <f>XLOOKUP(I1068, drug!B:B, drug!A:A, "Not Found")</f>
      </c>
      <c r="H1068" s="1"/>
      <c r="I1068" s="7">
        <v>1</v>
      </c>
      <c r="J1068" s="5">
        <f>XLOOKUP(L1068, uom!C:C, uom!B:B, "Not Found")</f>
      </c>
      <c r="K1068" s="1" t="s">
        <v>5511</v>
      </c>
      <c r="L1068" s="5">
        <f>XLOOKUP(N1068, uom!C:C, uom!B:B, "Not Found")</f>
      </c>
      <c r="M1068" s="1" t="s">
        <v>5511</v>
      </c>
      <c r="N1068" s="8" t="s">
        <v>5512</v>
      </c>
      <c r="O1068" s="1" t="s">
        <v>5513</v>
      </c>
      <c r="P1068" s="5">
        <f>XLOOKUP(R1068, classification!C:C, classification!B:B, "Not Found")</f>
      </c>
      <c r="Q1068" s="1" t="s">
        <v>5514</v>
      </c>
      <c r="R1068" s="2"/>
      <c r="S1068" s="2"/>
      <c r="T1068" s="2"/>
      <c r="U1068" s="2"/>
    </row>
    <row x14ac:dyDescent="0.25" r="1069" customHeight="1" ht="17.25">
      <c r="A1069" s="7">
        <v>1068</v>
      </c>
      <c r="B1069" s="1" t="s">
        <v>6502</v>
      </c>
      <c r="C1069" s="5">
        <f>CONCATENATE("PD", TEXT(A1069, "1000000"))</f>
      </c>
      <c r="D1069" s="7">
        <v>66</v>
      </c>
      <c r="E1069" s="5">
        <f>XLOOKUP(G1069, item_category!C:C, item_category!B:B, "Not Found")</f>
      </c>
      <c r="F1069" s="1" t="s">
        <v>5617</v>
      </c>
      <c r="G1069" s="5">
        <f>XLOOKUP(I1069, drug!B:B, drug!A:A, "Not Found")</f>
      </c>
      <c r="H1069" s="1" t="s">
        <v>1360</v>
      </c>
      <c r="I1069" s="7">
        <v>1</v>
      </c>
      <c r="J1069" s="5">
        <f>XLOOKUP(L1069, uom!C:C, uom!B:B, "Not Found")</f>
      </c>
      <c r="K1069" s="1" t="s">
        <v>5511</v>
      </c>
      <c r="L1069" s="5">
        <f>XLOOKUP(N1069, uom!C:C, uom!B:B, "Not Found")</f>
      </c>
      <c r="M1069" s="1" t="s">
        <v>5511</v>
      </c>
      <c r="N1069" s="8" t="s">
        <v>5512</v>
      </c>
      <c r="O1069" s="1" t="s">
        <v>5513</v>
      </c>
      <c r="P1069" s="5">
        <f>XLOOKUP(R1069, classification!C:C, classification!B:B, "Not Found")</f>
      </c>
      <c r="Q1069" s="1" t="s">
        <v>5514</v>
      </c>
      <c r="R1069" s="2"/>
      <c r="S1069" s="2"/>
      <c r="T1069" s="2"/>
      <c r="U1069" s="2"/>
    </row>
    <row x14ac:dyDescent="0.25" r="1070" customHeight="1" ht="17.25">
      <c r="A1070" s="7">
        <v>1069</v>
      </c>
      <c r="B1070" s="1" t="s">
        <v>6503</v>
      </c>
      <c r="C1070" s="5">
        <f>CONCATENATE("PD", TEXT(A1070, "1000000"))</f>
      </c>
      <c r="D1070" s="7">
        <v>66</v>
      </c>
      <c r="E1070" s="5">
        <f>XLOOKUP(G1070, item_category!C:C, item_category!B:B, "Not Found")</f>
      </c>
      <c r="F1070" s="1" t="s">
        <v>5617</v>
      </c>
      <c r="G1070" s="5">
        <f>XLOOKUP(I1070, drug!B:B, drug!A:A, "Not Found")</f>
      </c>
      <c r="H1070" s="1"/>
      <c r="I1070" s="7">
        <v>1</v>
      </c>
      <c r="J1070" s="5">
        <f>XLOOKUP(L1070, uom!C:C, uom!B:B, "Not Found")</f>
      </c>
      <c r="K1070" s="1" t="s">
        <v>5511</v>
      </c>
      <c r="L1070" s="5">
        <f>XLOOKUP(N1070, uom!C:C, uom!B:B, "Not Found")</f>
      </c>
      <c r="M1070" s="1" t="s">
        <v>5511</v>
      </c>
      <c r="N1070" s="8" t="s">
        <v>5512</v>
      </c>
      <c r="O1070" s="1" t="s">
        <v>5513</v>
      </c>
      <c r="P1070" s="5">
        <f>XLOOKUP(R1070, classification!C:C, classification!B:B, "Not Found")</f>
      </c>
      <c r="Q1070" s="1" t="s">
        <v>5514</v>
      </c>
      <c r="R1070" s="2"/>
      <c r="S1070" s="2"/>
      <c r="T1070" s="2"/>
      <c r="U1070" s="2"/>
    </row>
    <row x14ac:dyDescent="0.25" r="1071" customHeight="1" ht="17.25">
      <c r="A1071" s="7">
        <v>1070</v>
      </c>
      <c r="B1071" s="1" t="s">
        <v>6504</v>
      </c>
      <c r="C1071" s="5">
        <f>CONCATENATE("PD", TEXT(A1071, "1000000"))</f>
      </c>
      <c r="D1071" s="7">
        <v>66</v>
      </c>
      <c r="E1071" s="5">
        <f>XLOOKUP(G1071, item_category!C:C, item_category!B:B, "Not Found")</f>
      </c>
      <c r="F1071" s="1" t="s">
        <v>5617</v>
      </c>
      <c r="G1071" s="5">
        <f>XLOOKUP(I1071, drug!B:B, drug!A:A, "Not Found")</f>
      </c>
      <c r="H1071" s="1"/>
      <c r="I1071" s="7">
        <v>1</v>
      </c>
      <c r="J1071" s="5">
        <f>XLOOKUP(L1071, uom!C:C, uom!B:B, "Not Found")</f>
      </c>
      <c r="K1071" s="1" t="s">
        <v>5511</v>
      </c>
      <c r="L1071" s="5">
        <f>XLOOKUP(N1071, uom!C:C, uom!B:B, "Not Found")</f>
      </c>
      <c r="M1071" s="1" t="s">
        <v>5511</v>
      </c>
      <c r="N1071" s="8" t="s">
        <v>5512</v>
      </c>
      <c r="O1071" s="1" t="s">
        <v>5513</v>
      </c>
      <c r="P1071" s="5">
        <f>XLOOKUP(R1071, classification!C:C, classification!B:B, "Not Found")</f>
      </c>
      <c r="Q1071" s="1" t="s">
        <v>5514</v>
      </c>
      <c r="R1071" s="2"/>
      <c r="S1071" s="2"/>
      <c r="T1071" s="2"/>
      <c r="U1071" s="2"/>
    </row>
    <row x14ac:dyDescent="0.25" r="1072" customHeight="1" ht="17.25">
      <c r="A1072" s="7">
        <v>1071</v>
      </c>
      <c r="B1072" s="1" t="s">
        <v>6505</v>
      </c>
      <c r="C1072" s="5">
        <f>CONCATENATE("PD", TEXT(A1072, "1000000"))</f>
      </c>
      <c r="D1072" s="7">
        <v>66</v>
      </c>
      <c r="E1072" s="5">
        <f>XLOOKUP(G1072, item_category!C:C, item_category!B:B, "Not Found")</f>
      </c>
      <c r="F1072" s="1" t="s">
        <v>5617</v>
      </c>
      <c r="G1072" s="5">
        <f>XLOOKUP(I1072, drug!B:B, drug!A:A, "Not Found")</f>
      </c>
      <c r="H1072" s="1" t="s">
        <v>245</v>
      </c>
      <c r="I1072" s="7">
        <v>1</v>
      </c>
      <c r="J1072" s="5">
        <f>XLOOKUP(L1072, uom!C:C, uom!B:B, "Not Found")</f>
      </c>
      <c r="K1072" s="1" t="s">
        <v>5511</v>
      </c>
      <c r="L1072" s="5">
        <f>XLOOKUP(N1072, uom!C:C, uom!B:B, "Not Found")</f>
      </c>
      <c r="M1072" s="1" t="s">
        <v>5511</v>
      </c>
      <c r="N1072" s="8" t="s">
        <v>5512</v>
      </c>
      <c r="O1072" s="1" t="s">
        <v>5513</v>
      </c>
      <c r="P1072" s="5">
        <f>XLOOKUP(R1072, classification!C:C, classification!B:B, "Not Found")</f>
      </c>
      <c r="Q1072" s="1" t="s">
        <v>5514</v>
      </c>
      <c r="R1072" s="2"/>
      <c r="S1072" s="2"/>
      <c r="T1072" s="2"/>
      <c r="U1072" s="2"/>
    </row>
    <row x14ac:dyDescent="0.25" r="1073" customHeight="1" ht="17.25">
      <c r="A1073" s="7">
        <v>1072</v>
      </c>
      <c r="B1073" s="1" t="s">
        <v>6506</v>
      </c>
      <c r="C1073" s="5">
        <f>CONCATENATE("PD", TEXT(A1073, "1000000"))</f>
      </c>
      <c r="D1073" s="7">
        <v>66</v>
      </c>
      <c r="E1073" s="5">
        <f>XLOOKUP(G1073, item_category!C:C, item_category!B:B, "Not Found")</f>
      </c>
      <c r="F1073" s="1" t="s">
        <v>5617</v>
      </c>
      <c r="G1073" s="5">
        <f>XLOOKUP(I1073, drug!B:B, drug!A:A, "Not Found")</f>
      </c>
      <c r="H1073" s="1" t="s">
        <v>245</v>
      </c>
      <c r="I1073" s="7">
        <v>1</v>
      </c>
      <c r="J1073" s="5">
        <f>XLOOKUP(L1073, uom!C:C, uom!B:B, "Not Found")</f>
      </c>
      <c r="K1073" s="1" t="s">
        <v>5511</v>
      </c>
      <c r="L1073" s="5">
        <f>XLOOKUP(N1073, uom!C:C, uom!B:B, "Not Found")</f>
      </c>
      <c r="M1073" s="1" t="s">
        <v>5511</v>
      </c>
      <c r="N1073" s="8" t="s">
        <v>5512</v>
      </c>
      <c r="O1073" s="1" t="s">
        <v>5513</v>
      </c>
      <c r="P1073" s="5">
        <f>XLOOKUP(R1073, classification!C:C, classification!B:B, "Not Found")</f>
      </c>
      <c r="Q1073" s="1" t="s">
        <v>5514</v>
      </c>
      <c r="R1073" s="2"/>
      <c r="S1073" s="2"/>
      <c r="T1073" s="2"/>
      <c r="U1073" s="2"/>
    </row>
    <row x14ac:dyDescent="0.25" r="1074" customHeight="1" ht="17.25">
      <c r="A1074" s="7">
        <v>1073</v>
      </c>
      <c r="B1074" s="1" t="s">
        <v>6507</v>
      </c>
      <c r="C1074" s="5">
        <f>CONCATENATE("PD", TEXT(A1074, "1000000"))</f>
      </c>
      <c r="D1074" s="7">
        <v>66</v>
      </c>
      <c r="E1074" s="5">
        <f>XLOOKUP(G1074, item_category!C:C, item_category!B:B, "Not Found")</f>
      </c>
      <c r="F1074" s="1" t="s">
        <v>5617</v>
      </c>
      <c r="G1074" s="5">
        <f>XLOOKUP(I1074, drug!B:B, drug!A:A, "Not Found")</f>
      </c>
      <c r="H1074" s="1"/>
      <c r="I1074" s="7">
        <v>1</v>
      </c>
      <c r="J1074" s="5">
        <f>XLOOKUP(L1074, uom!C:C, uom!B:B, "Not Found")</f>
      </c>
      <c r="K1074" s="1" t="s">
        <v>5511</v>
      </c>
      <c r="L1074" s="5">
        <f>XLOOKUP(N1074, uom!C:C, uom!B:B, "Not Found")</f>
      </c>
      <c r="M1074" s="1" t="s">
        <v>5511</v>
      </c>
      <c r="N1074" s="8" t="s">
        <v>5512</v>
      </c>
      <c r="O1074" s="1" t="s">
        <v>5513</v>
      </c>
      <c r="P1074" s="5">
        <f>XLOOKUP(R1074, classification!C:C, classification!B:B, "Not Found")</f>
      </c>
      <c r="Q1074" s="1" t="s">
        <v>5514</v>
      </c>
      <c r="R1074" s="2"/>
      <c r="S1074" s="2"/>
      <c r="T1074" s="2"/>
      <c r="U1074" s="2"/>
    </row>
    <row x14ac:dyDescent="0.25" r="1075" customHeight="1" ht="17.25">
      <c r="A1075" s="7">
        <v>1074</v>
      </c>
      <c r="B1075" s="1" t="s">
        <v>6508</v>
      </c>
      <c r="C1075" s="5">
        <f>CONCATENATE("PD", TEXT(A1075, "1000000"))</f>
      </c>
      <c r="D1075" s="7">
        <v>66</v>
      </c>
      <c r="E1075" s="5">
        <f>XLOOKUP(G1075, item_category!C:C, item_category!B:B, "Not Found")</f>
      </c>
      <c r="F1075" s="1" t="s">
        <v>5617</v>
      </c>
      <c r="G1075" s="5">
        <f>XLOOKUP(I1075, drug!B:B, drug!A:A, "Not Found")</f>
      </c>
      <c r="H1075" s="1"/>
      <c r="I1075" s="7">
        <v>1</v>
      </c>
      <c r="J1075" s="5">
        <f>XLOOKUP(L1075, uom!C:C, uom!B:B, "Not Found")</f>
      </c>
      <c r="K1075" s="1" t="s">
        <v>5511</v>
      </c>
      <c r="L1075" s="5">
        <f>XLOOKUP(N1075, uom!C:C, uom!B:B, "Not Found")</f>
      </c>
      <c r="M1075" s="1" t="s">
        <v>5511</v>
      </c>
      <c r="N1075" s="8" t="s">
        <v>5512</v>
      </c>
      <c r="O1075" s="1" t="s">
        <v>5513</v>
      </c>
      <c r="P1075" s="5">
        <f>XLOOKUP(R1075, classification!C:C, classification!B:B, "Not Found")</f>
      </c>
      <c r="Q1075" s="1" t="s">
        <v>5514</v>
      </c>
      <c r="R1075" s="2"/>
      <c r="S1075" s="2"/>
      <c r="T1075" s="2"/>
      <c r="U1075" s="2"/>
    </row>
    <row x14ac:dyDescent="0.25" r="1076" customHeight="1" ht="17.25">
      <c r="A1076" s="7">
        <v>1075</v>
      </c>
      <c r="B1076" s="1" t="s">
        <v>6509</v>
      </c>
      <c r="C1076" s="5">
        <f>CONCATENATE("PD", TEXT(A1076, "1000000"))</f>
      </c>
      <c r="D1076" s="7">
        <v>66</v>
      </c>
      <c r="E1076" s="5">
        <f>XLOOKUP(G1076, item_category!C:C, item_category!B:B, "Not Found")</f>
      </c>
      <c r="F1076" s="1" t="s">
        <v>5617</v>
      </c>
      <c r="G1076" s="5">
        <f>XLOOKUP(I1076, drug!B:B, drug!A:A, "Not Found")</f>
      </c>
      <c r="H1076" s="1"/>
      <c r="I1076" s="7">
        <v>1</v>
      </c>
      <c r="J1076" s="5">
        <f>XLOOKUP(L1076, uom!C:C, uom!B:B, "Not Found")</f>
      </c>
      <c r="K1076" s="1" t="s">
        <v>5511</v>
      </c>
      <c r="L1076" s="5">
        <f>XLOOKUP(N1076, uom!C:C, uom!B:B, "Not Found")</f>
      </c>
      <c r="M1076" s="1" t="s">
        <v>5511</v>
      </c>
      <c r="N1076" s="8" t="s">
        <v>5512</v>
      </c>
      <c r="O1076" s="1" t="s">
        <v>5513</v>
      </c>
      <c r="P1076" s="5">
        <f>XLOOKUP(R1076, classification!C:C, classification!B:B, "Not Found")</f>
      </c>
      <c r="Q1076" s="1" t="s">
        <v>5514</v>
      </c>
      <c r="R1076" s="2"/>
      <c r="S1076" s="2"/>
      <c r="T1076" s="2"/>
      <c r="U1076" s="2"/>
    </row>
    <row x14ac:dyDescent="0.25" r="1077" customHeight="1" ht="17.25">
      <c r="A1077" s="7">
        <v>1076</v>
      </c>
      <c r="B1077" s="1" t="s">
        <v>6510</v>
      </c>
      <c r="C1077" s="5">
        <f>CONCATENATE("PD", TEXT(A1077, "1000000"))</f>
      </c>
      <c r="D1077" s="7">
        <v>66</v>
      </c>
      <c r="E1077" s="5">
        <f>XLOOKUP(G1077, item_category!C:C, item_category!B:B, "Not Found")</f>
      </c>
      <c r="F1077" s="1" t="s">
        <v>5617</v>
      </c>
      <c r="G1077" s="5">
        <f>XLOOKUP(I1077, drug!B:B, drug!A:A, "Not Found")</f>
      </c>
      <c r="H1077" s="1" t="s">
        <v>1942</v>
      </c>
      <c r="I1077" s="7">
        <v>1</v>
      </c>
      <c r="J1077" s="5">
        <f>XLOOKUP(L1077, uom!C:C, uom!B:B, "Not Found")</f>
      </c>
      <c r="K1077" s="1" t="s">
        <v>5511</v>
      </c>
      <c r="L1077" s="5">
        <f>XLOOKUP(N1077, uom!C:C, uom!B:B, "Not Found")</f>
      </c>
      <c r="M1077" s="1" t="s">
        <v>5511</v>
      </c>
      <c r="N1077" s="8" t="s">
        <v>5512</v>
      </c>
      <c r="O1077" s="1" t="s">
        <v>5513</v>
      </c>
      <c r="P1077" s="5">
        <f>XLOOKUP(R1077, classification!C:C, classification!B:B, "Not Found")</f>
      </c>
      <c r="Q1077" s="1" t="s">
        <v>5514</v>
      </c>
      <c r="R1077" s="2"/>
      <c r="S1077" s="2"/>
      <c r="T1077" s="2"/>
      <c r="U1077" s="2"/>
    </row>
    <row x14ac:dyDescent="0.25" r="1078" customHeight="1" ht="17.25">
      <c r="A1078" s="7">
        <v>1077</v>
      </c>
      <c r="B1078" s="1" t="s">
        <v>6511</v>
      </c>
      <c r="C1078" s="5">
        <f>CONCATENATE("PD", TEXT(A1078, "1000000"))</f>
      </c>
      <c r="D1078" s="7">
        <v>66</v>
      </c>
      <c r="E1078" s="5">
        <f>XLOOKUP(G1078, item_category!C:C, item_category!B:B, "Not Found")</f>
      </c>
      <c r="F1078" s="1" t="s">
        <v>5617</v>
      </c>
      <c r="G1078" s="5">
        <f>XLOOKUP(I1078, drug!B:B, drug!A:A, "Not Found")</f>
      </c>
      <c r="H1078" s="1"/>
      <c r="I1078" s="7">
        <v>1</v>
      </c>
      <c r="J1078" s="5">
        <f>XLOOKUP(L1078, uom!C:C, uom!B:B, "Not Found")</f>
      </c>
      <c r="K1078" s="1" t="s">
        <v>5511</v>
      </c>
      <c r="L1078" s="5">
        <f>XLOOKUP(N1078, uom!C:C, uom!B:B, "Not Found")</f>
      </c>
      <c r="M1078" s="1" t="s">
        <v>5511</v>
      </c>
      <c r="N1078" s="8" t="s">
        <v>5512</v>
      </c>
      <c r="O1078" s="1" t="s">
        <v>5513</v>
      </c>
      <c r="P1078" s="5">
        <f>XLOOKUP(R1078, classification!C:C, classification!B:B, "Not Found")</f>
      </c>
      <c r="Q1078" s="1" t="s">
        <v>5514</v>
      </c>
      <c r="R1078" s="2"/>
      <c r="S1078" s="2"/>
      <c r="T1078" s="2"/>
      <c r="U1078" s="2"/>
    </row>
    <row x14ac:dyDescent="0.25" r="1079" customHeight="1" ht="17.25">
      <c r="A1079" s="7">
        <v>1078</v>
      </c>
      <c r="B1079" s="1" t="s">
        <v>6512</v>
      </c>
      <c r="C1079" s="5">
        <f>CONCATENATE("PD", TEXT(A1079, "1000000"))</f>
      </c>
      <c r="D1079" s="7">
        <v>66</v>
      </c>
      <c r="E1079" s="5">
        <f>XLOOKUP(G1079, item_category!C:C, item_category!B:B, "Not Found")</f>
      </c>
      <c r="F1079" s="1" t="s">
        <v>5617</v>
      </c>
      <c r="G1079" s="5">
        <f>XLOOKUP(I1079, drug!B:B, drug!A:A, "Not Found")</f>
      </c>
      <c r="H1079" s="1"/>
      <c r="I1079" s="7">
        <v>1</v>
      </c>
      <c r="J1079" s="5">
        <f>XLOOKUP(L1079, uom!C:C, uom!B:B, "Not Found")</f>
      </c>
      <c r="K1079" s="1" t="s">
        <v>5511</v>
      </c>
      <c r="L1079" s="5">
        <f>XLOOKUP(N1079, uom!C:C, uom!B:B, "Not Found")</f>
      </c>
      <c r="M1079" s="1" t="s">
        <v>5511</v>
      </c>
      <c r="N1079" s="8" t="s">
        <v>5512</v>
      </c>
      <c r="O1079" s="1" t="s">
        <v>5513</v>
      </c>
      <c r="P1079" s="5">
        <f>XLOOKUP(R1079, classification!C:C, classification!B:B, "Not Found")</f>
      </c>
      <c r="Q1079" s="1" t="s">
        <v>5514</v>
      </c>
      <c r="R1079" s="2"/>
      <c r="S1079" s="2"/>
      <c r="T1079" s="2"/>
      <c r="U1079" s="2"/>
    </row>
    <row x14ac:dyDescent="0.25" r="1080" customHeight="1" ht="17.25">
      <c r="A1080" s="7">
        <v>1079</v>
      </c>
      <c r="B1080" s="1" t="s">
        <v>6513</v>
      </c>
      <c r="C1080" s="5">
        <f>CONCATENATE("PD", TEXT(A1080, "1000000"))</f>
      </c>
      <c r="D1080" s="7">
        <v>66</v>
      </c>
      <c r="E1080" s="5">
        <f>XLOOKUP(G1080, item_category!C:C, item_category!B:B, "Not Found")</f>
      </c>
      <c r="F1080" s="1" t="s">
        <v>5617</v>
      </c>
      <c r="G1080" s="5">
        <f>XLOOKUP(I1080, drug!B:B, drug!A:A, "Not Found")</f>
      </c>
      <c r="H1080" s="1"/>
      <c r="I1080" s="7">
        <v>1</v>
      </c>
      <c r="J1080" s="5">
        <f>XLOOKUP(L1080, uom!C:C, uom!B:B, "Not Found")</f>
      </c>
      <c r="K1080" s="1" t="s">
        <v>5511</v>
      </c>
      <c r="L1080" s="5">
        <f>XLOOKUP(N1080, uom!C:C, uom!B:B, "Not Found")</f>
      </c>
      <c r="M1080" s="1" t="s">
        <v>5511</v>
      </c>
      <c r="N1080" s="8" t="s">
        <v>5512</v>
      </c>
      <c r="O1080" s="1" t="s">
        <v>5513</v>
      </c>
      <c r="P1080" s="5">
        <f>XLOOKUP(R1080, classification!C:C, classification!B:B, "Not Found")</f>
      </c>
      <c r="Q1080" s="1" t="s">
        <v>5514</v>
      </c>
      <c r="R1080" s="2"/>
      <c r="S1080" s="2"/>
      <c r="T1080" s="2"/>
      <c r="U1080" s="2"/>
    </row>
    <row x14ac:dyDescent="0.25" r="1081" customHeight="1" ht="17.25">
      <c r="A1081" s="7">
        <v>1080</v>
      </c>
      <c r="B1081" s="1" t="s">
        <v>6514</v>
      </c>
      <c r="C1081" s="5">
        <f>CONCATENATE("PD", TEXT(A1081, "1000000"))</f>
      </c>
      <c r="D1081" s="7">
        <v>66</v>
      </c>
      <c r="E1081" s="5">
        <f>XLOOKUP(G1081, item_category!C:C, item_category!B:B, "Not Found")</f>
      </c>
      <c r="F1081" s="1" t="s">
        <v>5617</v>
      </c>
      <c r="G1081" s="5">
        <f>XLOOKUP(I1081, drug!B:B, drug!A:A, "Not Found")</f>
      </c>
      <c r="H1081" s="1"/>
      <c r="I1081" s="7">
        <v>1</v>
      </c>
      <c r="J1081" s="5">
        <f>XLOOKUP(L1081, uom!C:C, uom!B:B, "Not Found")</f>
      </c>
      <c r="K1081" s="1" t="s">
        <v>5511</v>
      </c>
      <c r="L1081" s="5">
        <f>XLOOKUP(N1081, uom!C:C, uom!B:B, "Not Found")</f>
      </c>
      <c r="M1081" s="1" t="s">
        <v>5511</v>
      </c>
      <c r="N1081" s="8" t="s">
        <v>5512</v>
      </c>
      <c r="O1081" s="1" t="s">
        <v>5513</v>
      </c>
      <c r="P1081" s="5">
        <f>XLOOKUP(R1081, classification!C:C, classification!B:B, "Not Found")</f>
      </c>
      <c r="Q1081" s="1" t="s">
        <v>5514</v>
      </c>
      <c r="R1081" s="2"/>
      <c r="S1081" s="2"/>
      <c r="T1081" s="2"/>
      <c r="U1081" s="2"/>
    </row>
    <row x14ac:dyDescent="0.25" r="1082" customHeight="1" ht="17.25">
      <c r="A1082" s="7">
        <v>1081</v>
      </c>
      <c r="B1082" s="1" t="s">
        <v>6515</v>
      </c>
      <c r="C1082" s="5">
        <f>CONCATENATE("PD", TEXT(A1082, "1000000"))</f>
      </c>
      <c r="D1082" s="7">
        <v>66</v>
      </c>
      <c r="E1082" s="5">
        <f>XLOOKUP(G1082, item_category!C:C, item_category!B:B, "Not Found")</f>
      </c>
      <c r="F1082" s="1" t="s">
        <v>5617</v>
      </c>
      <c r="G1082" s="5">
        <f>XLOOKUP(I1082, drug!B:B, drug!A:A, "Not Found")</f>
      </c>
      <c r="H1082" s="1" t="s">
        <v>442</v>
      </c>
      <c r="I1082" s="7">
        <v>1</v>
      </c>
      <c r="J1082" s="5">
        <f>XLOOKUP(L1082, uom!C:C, uom!B:B, "Not Found")</f>
      </c>
      <c r="K1082" s="1" t="s">
        <v>5511</v>
      </c>
      <c r="L1082" s="5">
        <f>XLOOKUP(N1082, uom!C:C, uom!B:B, "Not Found")</f>
      </c>
      <c r="M1082" s="1" t="s">
        <v>5511</v>
      </c>
      <c r="N1082" s="8" t="s">
        <v>5512</v>
      </c>
      <c r="O1082" s="1" t="s">
        <v>5513</v>
      </c>
      <c r="P1082" s="5">
        <f>XLOOKUP(R1082, classification!C:C, classification!B:B, "Not Found")</f>
      </c>
      <c r="Q1082" s="1" t="s">
        <v>5514</v>
      </c>
      <c r="R1082" s="2"/>
      <c r="S1082" s="2"/>
      <c r="T1082" s="2"/>
      <c r="U1082" s="2"/>
    </row>
    <row x14ac:dyDescent="0.25" r="1083" customHeight="1" ht="17.25">
      <c r="A1083" s="7">
        <v>1082</v>
      </c>
      <c r="B1083" s="1" t="s">
        <v>6516</v>
      </c>
      <c r="C1083" s="5">
        <f>CONCATENATE("PD", TEXT(A1083, "1000000"))</f>
      </c>
      <c r="D1083" s="7">
        <v>66</v>
      </c>
      <c r="E1083" s="5">
        <f>XLOOKUP(G1083, item_category!C:C, item_category!B:B, "Not Found")</f>
      </c>
      <c r="F1083" s="1" t="s">
        <v>5617</v>
      </c>
      <c r="G1083" s="5">
        <f>XLOOKUP(I1083, drug!B:B, drug!A:A, "Not Found")</f>
      </c>
      <c r="H1083" s="1"/>
      <c r="I1083" s="7">
        <v>1</v>
      </c>
      <c r="J1083" s="5">
        <f>XLOOKUP(L1083, uom!C:C, uom!B:B, "Not Found")</f>
      </c>
      <c r="K1083" s="1" t="s">
        <v>5511</v>
      </c>
      <c r="L1083" s="5">
        <f>XLOOKUP(N1083, uom!C:C, uom!B:B, "Not Found")</f>
      </c>
      <c r="M1083" s="1" t="s">
        <v>5511</v>
      </c>
      <c r="N1083" s="8" t="s">
        <v>5512</v>
      </c>
      <c r="O1083" s="1" t="s">
        <v>5513</v>
      </c>
      <c r="P1083" s="5">
        <f>XLOOKUP(R1083, classification!C:C, classification!B:B, "Not Found")</f>
      </c>
      <c r="Q1083" s="1" t="s">
        <v>5514</v>
      </c>
      <c r="R1083" s="2"/>
      <c r="S1083" s="2"/>
      <c r="T1083" s="2"/>
      <c r="U1083" s="2"/>
    </row>
    <row x14ac:dyDescent="0.25" r="1084" customHeight="1" ht="17.25">
      <c r="A1084" s="7">
        <v>1083</v>
      </c>
      <c r="B1084" s="1" t="s">
        <v>6517</v>
      </c>
      <c r="C1084" s="5">
        <f>CONCATENATE("PD", TEXT(A1084, "1000000"))</f>
      </c>
      <c r="D1084" s="7">
        <v>66</v>
      </c>
      <c r="E1084" s="5">
        <f>XLOOKUP(G1084, item_category!C:C, item_category!B:B, "Not Found")</f>
      </c>
      <c r="F1084" s="1" t="s">
        <v>5617</v>
      </c>
      <c r="G1084" s="5">
        <f>XLOOKUP(I1084, drug!B:B, drug!A:A, "Not Found")</f>
      </c>
      <c r="H1084" s="1"/>
      <c r="I1084" s="7">
        <v>1</v>
      </c>
      <c r="J1084" s="5">
        <f>XLOOKUP(L1084, uom!C:C, uom!B:B, "Not Found")</f>
      </c>
      <c r="K1084" s="1" t="s">
        <v>5511</v>
      </c>
      <c r="L1084" s="5">
        <f>XLOOKUP(N1084, uom!C:C, uom!B:B, "Not Found")</f>
      </c>
      <c r="M1084" s="1" t="s">
        <v>5511</v>
      </c>
      <c r="N1084" s="8" t="s">
        <v>5512</v>
      </c>
      <c r="O1084" s="1" t="s">
        <v>5513</v>
      </c>
      <c r="P1084" s="5">
        <f>XLOOKUP(R1084, classification!C:C, classification!B:B, "Not Found")</f>
      </c>
      <c r="Q1084" s="1" t="s">
        <v>5514</v>
      </c>
      <c r="R1084" s="2"/>
      <c r="S1084" s="2"/>
      <c r="T1084" s="2"/>
      <c r="U1084" s="2"/>
    </row>
    <row x14ac:dyDescent="0.25" r="1085" customHeight="1" ht="17.25">
      <c r="A1085" s="7">
        <v>1084</v>
      </c>
      <c r="B1085" s="1" t="s">
        <v>6518</v>
      </c>
      <c r="C1085" s="5">
        <f>CONCATENATE("PD", TEXT(A1085, "1000000"))</f>
      </c>
      <c r="D1085" s="7">
        <v>66</v>
      </c>
      <c r="E1085" s="5">
        <f>XLOOKUP(G1085, item_category!C:C, item_category!B:B, "Not Found")</f>
      </c>
      <c r="F1085" s="1" t="s">
        <v>5617</v>
      </c>
      <c r="G1085" s="5">
        <f>XLOOKUP(I1085, drug!B:B, drug!A:A, "Not Found")</f>
      </c>
      <c r="H1085" s="1"/>
      <c r="I1085" s="7">
        <v>1</v>
      </c>
      <c r="J1085" s="5">
        <f>XLOOKUP(L1085, uom!C:C, uom!B:B, "Not Found")</f>
      </c>
      <c r="K1085" s="1" t="s">
        <v>5511</v>
      </c>
      <c r="L1085" s="5">
        <f>XLOOKUP(N1085, uom!C:C, uom!B:B, "Not Found")</f>
      </c>
      <c r="M1085" s="1" t="s">
        <v>5511</v>
      </c>
      <c r="N1085" s="8" t="s">
        <v>5512</v>
      </c>
      <c r="O1085" s="1" t="s">
        <v>5513</v>
      </c>
      <c r="P1085" s="5">
        <f>XLOOKUP(R1085, classification!C:C, classification!B:B, "Not Found")</f>
      </c>
      <c r="Q1085" s="1" t="s">
        <v>5514</v>
      </c>
      <c r="R1085" s="2"/>
      <c r="S1085" s="2"/>
      <c r="T1085" s="2"/>
      <c r="U1085" s="2"/>
    </row>
    <row x14ac:dyDescent="0.25" r="1086" customHeight="1" ht="17.25">
      <c r="A1086" s="7">
        <v>1085</v>
      </c>
      <c r="B1086" s="1" t="s">
        <v>6519</v>
      </c>
      <c r="C1086" s="5">
        <f>CONCATENATE("PD", TEXT(A1086, "1000000"))</f>
      </c>
      <c r="D1086" s="7">
        <v>66</v>
      </c>
      <c r="E1086" s="5">
        <f>XLOOKUP(G1086, item_category!C:C, item_category!B:B, "Not Found")</f>
      </c>
      <c r="F1086" s="1" t="s">
        <v>5617</v>
      </c>
      <c r="G1086" s="5">
        <f>XLOOKUP(I1086, drug!B:B, drug!A:A, "Not Found")</f>
      </c>
      <c r="H1086" s="1"/>
      <c r="I1086" s="7">
        <v>1</v>
      </c>
      <c r="J1086" s="5">
        <f>XLOOKUP(L1086, uom!C:C, uom!B:B, "Not Found")</f>
      </c>
      <c r="K1086" s="1" t="s">
        <v>5511</v>
      </c>
      <c r="L1086" s="5">
        <f>XLOOKUP(N1086, uom!C:C, uom!B:B, "Not Found")</f>
      </c>
      <c r="M1086" s="1" t="s">
        <v>5511</v>
      </c>
      <c r="N1086" s="8" t="s">
        <v>5512</v>
      </c>
      <c r="O1086" s="1" t="s">
        <v>5513</v>
      </c>
      <c r="P1086" s="5">
        <f>XLOOKUP(R1086, classification!C:C, classification!B:B, "Not Found")</f>
      </c>
      <c r="Q1086" s="1" t="s">
        <v>5514</v>
      </c>
      <c r="R1086" s="2"/>
      <c r="S1086" s="2"/>
      <c r="T1086" s="2"/>
      <c r="U1086" s="2"/>
    </row>
    <row x14ac:dyDescent="0.25" r="1087" customHeight="1" ht="17.25">
      <c r="A1087" s="7">
        <v>1086</v>
      </c>
      <c r="B1087" s="1" t="s">
        <v>6520</v>
      </c>
      <c r="C1087" s="5">
        <f>CONCATENATE("PD", TEXT(A1087, "1000000"))</f>
      </c>
      <c r="D1087" s="7">
        <v>66</v>
      </c>
      <c r="E1087" s="5">
        <f>XLOOKUP(G1087, item_category!C:C, item_category!B:B, "Not Found")</f>
      </c>
      <c r="F1087" s="1" t="s">
        <v>5617</v>
      </c>
      <c r="G1087" s="5">
        <f>XLOOKUP(I1087, drug!B:B, drug!A:A, "Not Found")</f>
      </c>
      <c r="H1087" s="1" t="s">
        <v>1942</v>
      </c>
      <c r="I1087" s="7">
        <v>1</v>
      </c>
      <c r="J1087" s="5">
        <f>XLOOKUP(L1087, uom!C:C, uom!B:B, "Not Found")</f>
      </c>
      <c r="K1087" s="1" t="s">
        <v>5511</v>
      </c>
      <c r="L1087" s="5">
        <f>XLOOKUP(N1087, uom!C:C, uom!B:B, "Not Found")</f>
      </c>
      <c r="M1087" s="1" t="s">
        <v>5511</v>
      </c>
      <c r="N1087" s="8" t="s">
        <v>5512</v>
      </c>
      <c r="O1087" s="1" t="s">
        <v>5513</v>
      </c>
      <c r="P1087" s="5">
        <f>XLOOKUP(R1087, classification!C:C, classification!B:B, "Not Found")</f>
      </c>
      <c r="Q1087" s="1" t="s">
        <v>5514</v>
      </c>
      <c r="R1087" s="2"/>
      <c r="S1087" s="2"/>
      <c r="T1087" s="2"/>
      <c r="U1087" s="2"/>
    </row>
    <row x14ac:dyDescent="0.25" r="1088" customHeight="1" ht="17.25">
      <c r="A1088" s="7">
        <v>1087</v>
      </c>
      <c r="B1088" s="1" t="s">
        <v>6521</v>
      </c>
      <c r="C1088" s="5">
        <f>CONCATENATE("PD", TEXT(A1088, "1000000"))</f>
      </c>
      <c r="D1088" s="7">
        <v>66</v>
      </c>
      <c r="E1088" s="5">
        <f>XLOOKUP(G1088, item_category!C:C, item_category!B:B, "Not Found")</f>
      </c>
      <c r="F1088" s="1" t="s">
        <v>5617</v>
      </c>
      <c r="G1088" s="5">
        <f>XLOOKUP(I1088, drug!B:B, drug!A:A, "Not Found")</f>
      </c>
      <c r="H1088" s="1"/>
      <c r="I1088" s="7">
        <v>1</v>
      </c>
      <c r="J1088" s="5">
        <f>XLOOKUP(L1088, uom!C:C, uom!B:B, "Not Found")</f>
      </c>
      <c r="K1088" s="1" t="s">
        <v>5511</v>
      </c>
      <c r="L1088" s="5">
        <f>XLOOKUP(N1088, uom!C:C, uom!B:B, "Not Found")</f>
      </c>
      <c r="M1088" s="1" t="s">
        <v>5511</v>
      </c>
      <c r="N1088" s="8" t="s">
        <v>5512</v>
      </c>
      <c r="O1088" s="1" t="s">
        <v>5513</v>
      </c>
      <c r="P1088" s="5">
        <f>XLOOKUP(R1088, classification!C:C, classification!B:B, "Not Found")</f>
      </c>
      <c r="Q1088" s="1" t="s">
        <v>5514</v>
      </c>
      <c r="R1088" s="2"/>
      <c r="S1088" s="2"/>
      <c r="T1088" s="2"/>
      <c r="U1088" s="2"/>
    </row>
    <row x14ac:dyDescent="0.25" r="1089" customHeight="1" ht="17.25">
      <c r="A1089" s="7">
        <v>1088</v>
      </c>
      <c r="B1089" s="1" t="s">
        <v>6522</v>
      </c>
      <c r="C1089" s="5">
        <f>CONCATENATE("PD", TEXT(A1089, "1000000"))</f>
      </c>
      <c r="D1089" s="7">
        <v>66</v>
      </c>
      <c r="E1089" s="5">
        <f>XLOOKUP(G1089, item_category!C:C, item_category!B:B, "Not Found")</f>
      </c>
      <c r="F1089" s="1" t="s">
        <v>5617</v>
      </c>
      <c r="G1089" s="5">
        <f>XLOOKUP(I1089, drug!B:B, drug!A:A, "Not Found")</f>
      </c>
      <c r="H1089" s="1"/>
      <c r="I1089" s="7">
        <v>1</v>
      </c>
      <c r="J1089" s="5">
        <f>XLOOKUP(L1089, uom!C:C, uom!B:B, "Not Found")</f>
      </c>
      <c r="K1089" s="1" t="s">
        <v>5511</v>
      </c>
      <c r="L1089" s="5">
        <f>XLOOKUP(N1089, uom!C:C, uom!B:B, "Not Found")</f>
      </c>
      <c r="M1089" s="1" t="s">
        <v>5511</v>
      </c>
      <c r="N1089" s="8" t="s">
        <v>5512</v>
      </c>
      <c r="O1089" s="1" t="s">
        <v>5513</v>
      </c>
      <c r="P1089" s="5">
        <f>XLOOKUP(R1089, classification!C:C, classification!B:B, "Not Found")</f>
      </c>
      <c r="Q1089" s="1" t="s">
        <v>5514</v>
      </c>
      <c r="R1089" s="2"/>
      <c r="S1089" s="2"/>
      <c r="T1089" s="2"/>
      <c r="U1089" s="2"/>
    </row>
    <row x14ac:dyDescent="0.25" r="1090" customHeight="1" ht="17.25">
      <c r="A1090" s="7">
        <v>1089</v>
      </c>
      <c r="B1090" s="1" t="s">
        <v>6523</v>
      </c>
      <c r="C1090" s="5">
        <f>CONCATENATE("PD", TEXT(A1090, "1000000"))</f>
      </c>
      <c r="D1090" s="7">
        <v>66</v>
      </c>
      <c r="E1090" s="5">
        <f>XLOOKUP(G1090, item_category!C:C, item_category!B:B, "Not Found")</f>
      </c>
      <c r="F1090" s="1" t="s">
        <v>5617</v>
      </c>
      <c r="G1090" s="5">
        <f>XLOOKUP(I1090, drug!B:B, drug!A:A, "Not Found")</f>
      </c>
      <c r="H1090" s="1"/>
      <c r="I1090" s="7">
        <v>1</v>
      </c>
      <c r="J1090" s="5">
        <f>XLOOKUP(L1090, uom!C:C, uom!B:B, "Not Found")</f>
      </c>
      <c r="K1090" s="1" t="s">
        <v>5511</v>
      </c>
      <c r="L1090" s="5">
        <f>XLOOKUP(N1090, uom!C:C, uom!B:B, "Not Found")</f>
      </c>
      <c r="M1090" s="1" t="s">
        <v>5511</v>
      </c>
      <c r="N1090" s="8" t="s">
        <v>5512</v>
      </c>
      <c r="O1090" s="1" t="s">
        <v>5513</v>
      </c>
      <c r="P1090" s="5">
        <f>XLOOKUP(R1090, classification!C:C, classification!B:B, "Not Found")</f>
      </c>
      <c r="Q1090" s="1" t="s">
        <v>5514</v>
      </c>
      <c r="R1090" s="2"/>
      <c r="S1090" s="2"/>
      <c r="T1090" s="2"/>
      <c r="U1090" s="2"/>
    </row>
    <row x14ac:dyDescent="0.25" r="1091" customHeight="1" ht="17.25">
      <c r="A1091" s="7">
        <v>1090</v>
      </c>
      <c r="B1091" s="1" t="s">
        <v>6524</v>
      </c>
      <c r="C1091" s="5">
        <f>CONCATENATE("PD", TEXT(A1091, "1000000"))</f>
      </c>
      <c r="D1091" s="7">
        <v>66</v>
      </c>
      <c r="E1091" s="5">
        <f>XLOOKUP(G1091, item_category!C:C, item_category!B:B, "Not Found")</f>
      </c>
      <c r="F1091" s="1" t="s">
        <v>5617</v>
      </c>
      <c r="G1091" s="5">
        <f>XLOOKUP(I1091, drug!B:B, drug!A:A, "Not Found")</f>
      </c>
      <c r="H1091" s="1"/>
      <c r="I1091" s="7">
        <v>1</v>
      </c>
      <c r="J1091" s="5">
        <f>XLOOKUP(L1091, uom!C:C, uom!B:B, "Not Found")</f>
      </c>
      <c r="K1091" s="1" t="s">
        <v>5511</v>
      </c>
      <c r="L1091" s="5">
        <f>XLOOKUP(N1091, uom!C:C, uom!B:B, "Not Found")</f>
      </c>
      <c r="M1091" s="1" t="s">
        <v>5511</v>
      </c>
      <c r="N1091" s="8" t="s">
        <v>5512</v>
      </c>
      <c r="O1091" s="1" t="s">
        <v>5513</v>
      </c>
      <c r="P1091" s="5">
        <f>XLOOKUP(R1091, classification!C:C, classification!B:B, "Not Found")</f>
      </c>
      <c r="Q1091" s="1" t="s">
        <v>5514</v>
      </c>
      <c r="R1091" s="2"/>
      <c r="S1091" s="2"/>
      <c r="T1091" s="2"/>
      <c r="U1091" s="2"/>
    </row>
    <row x14ac:dyDescent="0.25" r="1092" customHeight="1" ht="17.25">
      <c r="A1092" s="7">
        <v>1091</v>
      </c>
      <c r="B1092" s="1" t="s">
        <v>6525</v>
      </c>
      <c r="C1092" s="5">
        <f>CONCATENATE("PD", TEXT(A1092, "1000000"))</f>
      </c>
      <c r="D1092" s="7">
        <v>66</v>
      </c>
      <c r="E1092" s="5">
        <f>XLOOKUP(G1092, item_category!C:C, item_category!B:B, "Not Found")</f>
      </c>
      <c r="F1092" s="1" t="s">
        <v>5617</v>
      </c>
      <c r="G1092" s="5">
        <f>XLOOKUP(I1092, drug!B:B, drug!A:A, "Not Found")</f>
      </c>
      <c r="H1092" s="1"/>
      <c r="I1092" s="7">
        <v>1</v>
      </c>
      <c r="J1092" s="5">
        <f>XLOOKUP(L1092, uom!C:C, uom!B:B, "Not Found")</f>
      </c>
      <c r="K1092" s="1" t="s">
        <v>5511</v>
      </c>
      <c r="L1092" s="5">
        <f>XLOOKUP(N1092, uom!C:C, uom!B:B, "Not Found")</f>
      </c>
      <c r="M1092" s="1" t="s">
        <v>5511</v>
      </c>
      <c r="N1092" s="8" t="s">
        <v>5512</v>
      </c>
      <c r="O1092" s="1" t="s">
        <v>5513</v>
      </c>
      <c r="P1092" s="5">
        <f>XLOOKUP(R1092, classification!C:C, classification!B:B, "Not Found")</f>
      </c>
      <c r="Q1092" s="1" t="s">
        <v>5514</v>
      </c>
      <c r="R1092" s="2"/>
      <c r="S1092" s="2"/>
      <c r="T1092" s="2"/>
      <c r="U1092" s="2"/>
    </row>
    <row x14ac:dyDescent="0.25" r="1093" customHeight="1" ht="17.25">
      <c r="A1093" s="7">
        <v>1092</v>
      </c>
      <c r="B1093" s="1" t="s">
        <v>6526</v>
      </c>
      <c r="C1093" s="5">
        <f>CONCATENATE("PD", TEXT(A1093, "1000000"))</f>
      </c>
      <c r="D1093" s="7">
        <v>66</v>
      </c>
      <c r="E1093" s="5">
        <f>XLOOKUP(G1093, item_category!C:C, item_category!B:B, "Not Found")</f>
      </c>
      <c r="F1093" s="1" t="s">
        <v>5617</v>
      </c>
      <c r="G1093" s="5">
        <f>XLOOKUP(I1093, drug!B:B, drug!A:A, "Not Found")</f>
      </c>
      <c r="H1093" s="1" t="s">
        <v>1710</v>
      </c>
      <c r="I1093" s="7">
        <v>1</v>
      </c>
      <c r="J1093" s="5">
        <f>XLOOKUP(L1093, uom!C:C, uom!B:B, "Not Found")</f>
      </c>
      <c r="K1093" s="1" t="s">
        <v>5511</v>
      </c>
      <c r="L1093" s="5">
        <f>XLOOKUP(N1093, uom!C:C, uom!B:B, "Not Found")</f>
      </c>
      <c r="M1093" s="1" t="s">
        <v>5511</v>
      </c>
      <c r="N1093" s="8" t="s">
        <v>5512</v>
      </c>
      <c r="O1093" s="1" t="s">
        <v>5513</v>
      </c>
      <c r="P1093" s="5">
        <f>XLOOKUP(R1093, classification!C:C, classification!B:B, "Not Found")</f>
      </c>
      <c r="Q1093" s="1" t="s">
        <v>5514</v>
      </c>
      <c r="R1093" s="2"/>
      <c r="S1093" s="2"/>
      <c r="T1093" s="2"/>
      <c r="U1093" s="2"/>
    </row>
    <row x14ac:dyDescent="0.25" r="1094" customHeight="1" ht="17.25">
      <c r="A1094" s="7">
        <v>1093</v>
      </c>
      <c r="B1094" s="1" t="s">
        <v>6527</v>
      </c>
      <c r="C1094" s="5">
        <f>CONCATENATE("PD", TEXT(A1094, "1000000"))</f>
      </c>
      <c r="D1094" s="7">
        <v>66</v>
      </c>
      <c r="E1094" s="5">
        <f>XLOOKUP(G1094, item_category!C:C, item_category!B:B, "Not Found")</f>
      </c>
      <c r="F1094" s="1" t="s">
        <v>5617</v>
      </c>
      <c r="G1094" s="5">
        <f>XLOOKUP(I1094, drug!B:B, drug!A:A, "Not Found")</f>
      </c>
      <c r="H1094" s="1"/>
      <c r="I1094" s="7">
        <v>1</v>
      </c>
      <c r="J1094" s="5">
        <f>XLOOKUP(L1094, uom!C:C, uom!B:B, "Not Found")</f>
      </c>
      <c r="K1094" s="1" t="s">
        <v>5511</v>
      </c>
      <c r="L1094" s="5">
        <f>XLOOKUP(N1094, uom!C:C, uom!B:B, "Not Found")</f>
      </c>
      <c r="M1094" s="1" t="s">
        <v>5511</v>
      </c>
      <c r="N1094" s="8" t="s">
        <v>5512</v>
      </c>
      <c r="O1094" s="1" t="s">
        <v>5513</v>
      </c>
      <c r="P1094" s="5">
        <f>XLOOKUP(R1094, classification!C:C, classification!B:B, "Not Found")</f>
      </c>
      <c r="Q1094" s="1" t="s">
        <v>5514</v>
      </c>
      <c r="R1094" s="2"/>
      <c r="S1094" s="2"/>
      <c r="T1094" s="2"/>
      <c r="U1094" s="2"/>
    </row>
    <row x14ac:dyDescent="0.25" r="1095" customHeight="1" ht="17.25">
      <c r="A1095" s="7">
        <v>1094</v>
      </c>
      <c r="B1095" s="1" t="s">
        <v>6528</v>
      </c>
      <c r="C1095" s="5">
        <f>CONCATENATE("PD", TEXT(A1095, "1000000"))</f>
      </c>
      <c r="D1095" s="7">
        <v>66</v>
      </c>
      <c r="E1095" s="5">
        <f>XLOOKUP(G1095, item_category!C:C, item_category!B:B, "Not Found")</f>
      </c>
      <c r="F1095" s="1" t="s">
        <v>5617</v>
      </c>
      <c r="G1095" s="5">
        <f>XLOOKUP(I1095, drug!B:B, drug!A:A, "Not Found")</f>
      </c>
      <c r="H1095" s="1"/>
      <c r="I1095" s="7">
        <v>1</v>
      </c>
      <c r="J1095" s="5">
        <f>XLOOKUP(L1095, uom!C:C, uom!B:B, "Not Found")</f>
      </c>
      <c r="K1095" s="1" t="s">
        <v>5511</v>
      </c>
      <c r="L1095" s="5">
        <f>XLOOKUP(N1095, uom!C:C, uom!B:B, "Not Found")</f>
      </c>
      <c r="M1095" s="1" t="s">
        <v>5511</v>
      </c>
      <c r="N1095" s="8" t="s">
        <v>5512</v>
      </c>
      <c r="O1095" s="1" t="s">
        <v>5513</v>
      </c>
      <c r="P1095" s="5">
        <f>XLOOKUP(R1095, classification!C:C, classification!B:B, "Not Found")</f>
      </c>
      <c r="Q1095" s="1" t="s">
        <v>5514</v>
      </c>
      <c r="R1095" s="2"/>
      <c r="S1095" s="2"/>
      <c r="T1095" s="2"/>
      <c r="U1095" s="2"/>
    </row>
    <row x14ac:dyDescent="0.25" r="1096" customHeight="1" ht="17.25">
      <c r="A1096" s="7">
        <v>1095</v>
      </c>
      <c r="B1096" s="1" t="s">
        <v>6529</v>
      </c>
      <c r="C1096" s="5">
        <f>CONCATENATE("PD", TEXT(A1096, "1000000"))</f>
      </c>
      <c r="D1096" s="7">
        <v>66</v>
      </c>
      <c r="E1096" s="5">
        <f>XLOOKUP(G1096, item_category!C:C, item_category!B:B, "Not Found")</f>
      </c>
      <c r="F1096" s="1" t="s">
        <v>5617</v>
      </c>
      <c r="G1096" s="5">
        <f>XLOOKUP(I1096, drug!B:B, drug!A:A, "Not Found")</f>
      </c>
      <c r="H1096" s="1"/>
      <c r="I1096" s="7">
        <v>1</v>
      </c>
      <c r="J1096" s="5">
        <f>XLOOKUP(L1096, uom!C:C, uom!B:B, "Not Found")</f>
      </c>
      <c r="K1096" s="1" t="s">
        <v>5511</v>
      </c>
      <c r="L1096" s="5">
        <f>XLOOKUP(N1096, uom!C:C, uom!B:B, "Not Found")</f>
      </c>
      <c r="M1096" s="1" t="s">
        <v>5511</v>
      </c>
      <c r="N1096" s="8" t="s">
        <v>5512</v>
      </c>
      <c r="O1096" s="1" t="s">
        <v>5513</v>
      </c>
      <c r="P1096" s="5">
        <f>XLOOKUP(R1096, classification!C:C, classification!B:B, "Not Found")</f>
      </c>
      <c r="Q1096" s="1" t="s">
        <v>5514</v>
      </c>
      <c r="R1096" s="2"/>
      <c r="S1096" s="2"/>
      <c r="T1096" s="2"/>
      <c r="U1096" s="2"/>
    </row>
    <row x14ac:dyDescent="0.25" r="1097" customHeight="1" ht="17.25">
      <c r="A1097" s="7">
        <v>1096</v>
      </c>
      <c r="B1097" s="1" t="s">
        <v>6530</v>
      </c>
      <c r="C1097" s="5">
        <f>CONCATENATE("PD", TEXT(A1097, "1000000"))</f>
      </c>
      <c r="D1097" s="7">
        <v>66</v>
      </c>
      <c r="E1097" s="5">
        <f>XLOOKUP(G1097, item_category!C:C, item_category!B:B, "Not Found")</f>
      </c>
      <c r="F1097" s="1" t="s">
        <v>5617</v>
      </c>
      <c r="G1097" s="5">
        <f>XLOOKUP(I1097, drug!B:B, drug!A:A, "Not Found")</f>
      </c>
      <c r="H1097" s="1" t="s">
        <v>2078</v>
      </c>
      <c r="I1097" s="7">
        <v>1</v>
      </c>
      <c r="J1097" s="5">
        <f>XLOOKUP(L1097, uom!C:C, uom!B:B, "Not Found")</f>
      </c>
      <c r="K1097" s="1" t="s">
        <v>5511</v>
      </c>
      <c r="L1097" s="5">
        <f>XLOOKUP(N1097, uom!C:C, uom!B:B, "Not Found")</f>
      </c>
      <c r="M1097" s="1" t="s">
        <v>5511</v>
      </c>
      <c r="N1097" s="8" t="s">
        <v>5512</v>
      </c>
      <c r="O1097" s="1" t="s">
        <v>5513</v>
      </c>
      <c r="P1097" s="5">
        <f>XLOOKUP(R1097, classification!C:C, classification!B:B, "Not Found")</f>
      </c>
      <c r="Q1097" s="1" t="s">
        <v>5514</v>
      </c>
      <c r="R1097" s="2"/>
      <c r="S1097" s="2"/>
      <c r="T1097" s="2"/>
      <c r="U1097" s="2"/>
    </row>
    <row x14ac:dyDescent="0.25" r="1098" customHeight="1" ht="17.25">
      <c r="A1098" s="7">
        <v>1097</v>
      </c>
      <c r="B1098" s="1" t="s">
        <v>6531</v>
      </c>
      <c r="C1098" s="5">
        <f>CONCATENATE("PD", TEXT(A1098, "1000000"))</f>
      </c>
      <c r="D1098" s="7">
        <v>66</v>
      </c>
      <c r="E1098" s="5">
        <f>XLOOKUP(G1098, item_category!C:C, item_category!B:B, "Not Found")</f>
      </c>
      <c r="F1098" s="1" t="s">
        <v>5617</v>
      </c>
      <c r="G1098" s="5">
        <f>XLOOKUP(I1098, drug!B:B, drug!A:A, "Not Found")</f>
      </c>
      <c r="H1098" s="1"/>
      <c r="I1098" s="7">
        <v>1</v>
      </c>
      <c r="J1098" s="5">
        <f>XLOOKUP(L1098, uom!C:C, uom!B:B, "Not Found")</f>
      </c>
      <c r="K1098" s="1" t="s">
        <v>5511</v>
      </c>
      <c r="L1098" s="5">
        <f>XLOOKUP(N1098, uom!C:C, uom!B:B, "Not Found")</f>
      </c>
      <c r="M1098" s="1" t="s">
        <v>5511</v>
      </c>
      <c r="N1098" s="8" t="s">
        <v>5512</v>
      </c>
      <c r="O1098" s="1" t="s">
        <v>5513</v>
      </c>
      <c r="P1098" s="5">
        <f>XLOOKUP(R1098, classification!C:C, classification!B:B, "Not Found")</f>
      </c>
      <c r="Q1098" s="1" t="s">
        <v>5514</v>
      </c>
      <c r="R1098" s="2"/>
      <c r="S1098" s="2"/>
      <c r="T1098" s="2"/>
      <c r="U1098" s="2"/>
    </row>
    <row x14ac:dyDescent="0.25" r="1099" customHeight="1" ht="17.25">
      <c r="A1099" s="7">
        <v>1098</v>
      </c>
      <c r="B1099" s="1" t="s">
        <v>6532</v>
      </c>
      <c r="C1099" s="5">
        <f>CONCATENATE("PD", TEXT(A1099, "1000000"))</f>
      </c>
      <c r="D1099" s="7">
        <v>66</v>
      </c>
      <c r="E1099" s="5">
        <f>XLOOKUP(G1099, item_category!C:C, item_category!B:B, "Not Found")</f>
      </c>
      <c r="F1099" s="1" t="s">
        <v>5617</v>
      </c>
      <c r="G1099" s="5">
        <f>XLOOKUP(I1099, drug!B:B, drug!A:A, "Not Found")</f>
      </c>
      <c r="H1099" s="1"/>
      <c r="I1099" s="7">
        <v>1</v>
      </c>
      <c r="J1099" s="5">
        <f>XLOOKUP(L1099, uom!C:C, uom!B:B, "Not Found")</f>
      </c>
      <c r="K1099" s="1" t="s">
        <v>5511</v>
      </c>
      <c r="L1099" s="5">
        <f>XLOOKUP(N1099, uom!C:C, uom!B:B, "Not Found")</f>
      </c>
      <c r="M1099" s="1" t="s">
        <v>5511</v>
      </c>
      <c r="N1099" s="8" t="s">
        <v>5512</v>
      </c>
      <c r="O1099" s="1" t="s">
        <v>5513</v>
      </c>
      <c r="P1099" s="5">
        <f>XLOOKUP(R1099, classification!C:C, classification!B:B, "Not Found")</f>
      </c>
      <c r="Q1099" s="1" t="s">
        <v>5514</v>
      </c>
      <c r="R1099" s="2"/>
      <c r="S1099" s="2"/>
      <c r="T1099" s="2"/>
      <c r="U1099" s="2"/>
    </row>
    <row x14ac:dyDescent="0.25" r="1100" customHeight="1" ht="17.25">
      <c r="A1100" s="7">
        <v>1099</v>
      </c>
      <c r="B1100" s="1" t="s">
        <v>6533</v>
      </c>
      <c r="C1100" s="5">
        <f>CONCATENATE("PD", TEXT(A1100, "1000000"))</f>
      </c>
      <c r="D1100" s="7">
        <v>66</v>
      </c>
      <c r="E1100" s="5">
        <f>XLOOKUP(G1100, item_category!C:C, item_category!B:B, "Not Found")</f>
      </c>
      <c r="F1100" s="1" t="s">
        <v>5617</v>
      </c>
      <c r="G1100" s="5">
        <f>XLOOKUP(I1100, drug!B:B, drug!A:A, "Not Found")</f>
      </c>
      <c r="H1100" s="1" t="s">
        <v>769</v>
      </c>
      <c r="I1100" s="7">
        <v>1</v>
      </c>
      <c r="J1100" s="5">
        <f>XLOOKUP(L1100, uom!C:C, uom!B:B, "Not Found")</f>
      </c>
      <c r="K1100" s="1" t="s">
        <v>5602</v>
      </c>
      <c r="L1100" s="5">
        <f>XLOOKUP(N1100, uom!C:C, uom!B:B, "Not Found")</f>
      </c>
      <c r="M1100" s="1" t="s">
        <v>5602</v>
      </c>
      <c r="N1100" s="8" t="s">
        <v>5524</v>
      </c>
      <c r="O1100" s="1" t="s">
        <v>5525</v>
      </c>
      <c r="P1100" s="5">
        <f>XLOOKUP(R1100, classification!C:C, classification!B:B, "Not Found")</f>
      </c>
      <c r="Q1100" s="1" t="s">
        <v>5514</v>
      </c>
      <c r="R1100" s="2"/>
      <c r="S1100" s="2"/>
      <c r="T1100" s="2"/>
      <c r="U1100" s="2"/>
    </row>
    <row x14ac:dyDescent="0.25" r="1101" customHeight="1" ht="17.25">
      <c r="A1101" s="7">
        <v>1100</v>
      </c>
      <c r="B1101" s="1" t="s">
        <v>6534</v>
      </c>
      <c r="C1101" s="5">
        <f>CONCATENATE("PD", TEXT(A1101, "1000000"))</f>
      </c>
      <c r="D1101" s="7">
        <v>66</v>
      </c>
      <c r="E1101" s="5">
        <f>XLOOKUP(G1101, item_category!C:C, item_category!B:B, "Not Found")</f>
      </c>
      <c r="F1101" s="1" t="s">
        <v>5617</v>
      </c>
      <c r="G1101" s="5">
        <f>XLOOKUP(I1101, drug!B:B, drug!A:A, "Not Found")</f>
      </c>
      <c r="H1101" s="1"/>
      <c r="I1101" s="7">
        <v>1</v>
      </c>
      <c r="J1101" s="5">
        <f>XLOOKUP(L1101, uom!C:C, uom!B:B, "Not Found")</f>
      </c>
      <c r="K1101" s="1" t="s">
        <v>5511</v>
      </c>
      <c r="L1101" s="5">
        <f>XLOOKUP(N1101, uom!C:C, uom!B:B, "Not Found")</f>
      </c>
      <c r="M1101" s="1" t="s">
        <v>5511</v>
      </c>
      <c r="N1101" s="8" t="s">
        <v>5512</v>
      </c>
      <c r="O1101" s="1" t="s">
        <v>5513</v>
      </c>
      <c r="P1101" s="5">
        <f>XLOOKUP(R1101, classification!C:C, classification!B:B, "Not Found")</f>
      </c>
      <c r="Q1101" s="1" t="s">
        <v>5514</v>
      </c>
      <c r="R1101" s="2"/>
      <c r="S1101" s="2"/>
      <c r="T1101" s="2"/>
      <c r="U1101" s="2"/>
    </row>
    <row x14ac:dyDescent="0.25" r="1102" customHeight="1" ht="17.25">
      <c r="A1102" s="7">
        <v>1101</v>
      </c>
      <c r="B1102" s="1" t="s">
        <v>6535</v>
      </c>
      <c r="C1102" s="5">
        <f>CONCATENATE("PD", TEXT(A1102, "1000000"))</f>
      </c>
      <c r="D1102" s="7">
        <v>66</v>
      </c>
      <c r="E1102" s="5">
        <f>XLOOKUP(G1102, item_category!C:C, item_category!B:B, "Not Found")</f>
      </c>
      <c r="F1102" s="1" t="s">
        <v>5617</v>
      </c>
      <c r="G1102" s="5">
        <f>XLOOKUP(I1102, drug!B:B, drug!A:A, "Not Found")</f>
      </c>
      <c r="H1102" s="1"/>
      <c r="I1102" s="7">
        <v>1</v>
      </c>
      <c r="J1102" s="5">
        <f>XLOOKUP(L1102, uom!C:C, uom!B:B, "Not Found")</f>
      </c>
      <c r="K1102" s="1" t="s">
        <v>5511</v>
      </c>
      <c r="L1102" s="5">
        <f>XLOOKUP(N1102, uom!C:C, uom!B:B, "Not Found")</f>
      </c>
      <c r="M1102" s="1" t="s">
        <v>5511</v>
      </c>
      <c r="N1102" s="8" t="s">
        <v>5512</v>
      </c>
      <c r="O1102" s="1" t="s">
        <v>5513</v>
      </c>
      <c r="P1102" s="5">
        <f>XLOOKUP(R1102, classification!C:C, classification!B:B, "Not Found")</f>
      </c>
      <c r="Q1102" s="1" t="s">
        <v>5514</v>
      </c>
      <c r="R1102" s="2"/>
      <c r="S1102" s="2"/>
      <c r="T1102" s="2"/>
      <c r="U1102" s="2"/>
    </row>
    <row x14ac:dyDescent="0.25" r="1103" customHeight="1" ht="17.25">
      <c r="A1103" s="7">
        <v>1102</v>
      </c>
      <c r="B1103" s="1" t="s">
        <v>6536</v>
      </c>
      <c r="C1103" s="5">
        <f>CONCATENATE("PD", TEXT(A1103, "1000000"))</f>
      </c>
      <c r="D1103" s="7">
        <v>66</v>
      </c>
      <c r="E1103" s="5">
        <f>XLOOKUP(G1103, item_category!C:C, item_category!B:B, "Not Found")</f>
      </c>
      <c r="F1103" s="1" t="s">
        <v>5617</v>
      </c>
      <c r="G1103" s="5">
        <f>XLOOKUP(I1103, drug!B:B, drug!A:A, "Not Found")</f>
      </c>
      <c r="H1103" s="1"/>
      <c r="I1103" s="7">
        <v>1</v>
      </c>
      <c r="J1103" s="5">
        <f>XLOOKUP(L1103, uom!C:C, uom!B:B, "Not Found")</f>
      </c>
      <c r="K1103" s="1" t="s">
        <v>5511</v>
      </c>
      <c r="L1103" s="5">
        <f>XLOOKUP(N1103, uom!C:C, uom!B:B, "Not Found")</f>
      </c>
      <c r="M1103" s="1" t="s">
        <v>5511</v>
      </c>
      <c r="N1103" s="8" t="s">
        <v>5512</v>
      </c>
      <c r="O1103" s="1" t="s">
        <v>5513</v>
      </c>
      <c r="P1103" s="5">
        <f>XLOOKUP(R1103, classification!C:C, classification!B:B, "Not Found")</f>
      </c>
      <c r="Q1103" s="1" t="s">
        <v>5514</v>
      </c>
      <c r="R1103" s="2"/>
      <c r="S1103" s="2"/>
      <c r="T1103" s="2"/>
      <c r="U1103" s="2"/>
    </row>
    <row x14ac:dyDescent="0.25" r="1104" customHeight="1" ht="17.25">
      <c r="A1104" s="7">
        <v>1103</v>
      </c>
      <c r="B1104" s="1" t="s">
        <v>6537</v>
      </c>
      <c r="C1104" s="5">
        <f>CONCATENATE("PD", TEXT(A1104, "1000000"))</f>
      </c>
      <c r="D1104" s="7">
        <v>66</v>
      </c>
      <c r="E1104" s="5">
        <f>XLOOKUP(G1104, item_category!C:C, item_category!B:B, "Not Found")</f>
      </c>
      <c r="F1104" s="1" t="s">
        <v>5617</v>
      </c>
      <c r="G1104" s="5">
        <f>XLOOKUP(I1104, drug!B:B, drug!A:A, "Not Found")</f>
      </c>
      <c r="H1104" s="1"/>
      <c r="I1104" s="7">
        <v>1</v>
      </c>
      <c r="J1104" s="5">
        <f>XLOOKUP(L1104, uom!C:C, uom!B:B, "Not Found")</f>
      </c>
      <c r="K1104" s="1" t="s">
        <v>5511</v>
      </c>
      <c r="L1104" s="5">
        <f>XLOOKUP(N1104, uom!C:C, uom!B:B, "Not Found")</f>
      </c>
      <c r="M1104" s="1" t="s">
        <v>5511</v>
      </c>
      <c r="N1104" s="8" t="s">
        <v>5512</v>
      </c>
      <c r="O1104" s="1" t="s">
        <v>5513</v>
      </c>
      <c r="P1104" s="5">
        <f>XLOOKUP(R1104, classification!C:C, classification!B:B, "Not Found")</f>
      </c>
      <c r="Q1104" s="1" t="s">
        <v>5514</v>
      </c>
      <c r="R1104" s="2"/>
      <c r="S1104" s="2"/>
      <c r="T1104" s="2"/>
      <c r="U1104" s="2"/>
    </row>
    <row x14ac:dyDescent="0.25" r="1105" customHeight="1" ht="17.25">
      <c r="A1105" s="7">
        <v>1104</v>
      </c>
      <c r="B1105" s="1" t="s">
        <v>6538</v>
      </c>
      <c r="C1105" s="5">
        <f>CONCATENATE("PD", TEXT(A1105, "1000000"))</f>
      </c>
      <c r="D1105" s="7">
        <v>66</v>
      </c>
      <c r="E1105" s="5">
        <f>XLOOKUP(G1105, item_category!C:C, item_category!B:B, "Not Found")</f>
      </c>
      <c r="F1105" s="1" t="s">
        <v>5617</v>
      </c>
      <c r="G1105" s="5">
        <f>XLOOKUP(I1105, drug!B:B, drug!A:A, "Not Found")</f>
      </c>
      <c r="H1105" s="1" t="s">
        <v>1228</v>
      </c>
      <c r="I1105" s="7">
        <v>1</v>
      </c>
      <c r="J1105" s="5">
        <f>XLOOKUP(L1105, uom!C:C, uom!B:B, "Not Found")</f>
      </c>
      <c r="K1105" s="1" t="s">
        <v>5511</v>
      </c>
      <c r="L1105" s="5">
        <f>XLOOKUP(N1105, uom!C:C, uom!B:B, "Not Found")</f>
      </c>
      <c r="M1105" s="1" t="s">
        <v>5511</v>
      </c>
      <c r="N1105" s="8" t="s">
        <v>5512</v>
      </c>
      <c r="O1105" s="1" t="s">
        <v>5513</v>
      </c>
      <c r="P1105" s="5">
        <f>XLOOKUP(R1105, classification!C:C, classification!B:B, "Not Found")</f>
      </c>
      <c r="Q1105" s="1" t="s">
        <v>5514</v>
      </c>
      <c r="R1105" s="2"/>
      <c r="S1105" s="2"/>
      <c r="T1105" s="2"/>
      <c r="U1105" s="2"/>
    </row>
    <row x14ac:dyDescent="0.25" r="1106" customHeight="1" ht="17.25">
      <c r="A1106" s="7">
        <v>1105</v>
      </c>
      <c r="B1106" s="1" t="s">
        <v>6539</v>
      </c>
      <c r="C1106" s="5">
        <f>CONCATENATE("PD", TEXT(A1106, "1000000"))</f>
      </c>
      <c r="D1106" s="7">
        <v>66</v>
      </c>
      <c r="E1106" s="5">
        <f>XLOOKUP(G1106, item_category!C:C, item_category!B:B, "Not Found")</f>
      </c>
      <c r="F1106" s="1" t="s">
        <v>5617</v>
      </c>
      <c r="G1106" s="5">
        <f>XLOOKUP(I1106, drug!B:B, drug!A:A, "Not Found")</f>
      </c>
      <c r="H1106" s="1" t="s">
        <v>1228</v>
      </c>
      <c r="I1106" s="7">
        <v>1</v>
      </c>
      <c r="J1106" s="5">
        <f>XLOOKUP(L1106, uom!C:C, uom!B:B, "Not Found")</f>
      </c>
      <c r="K1106" s="1" t="s">
        <v>5511</v>
      </c>
      <c r="L1106" s="5">
        <f>XLOOKUP(N1106, uom!C:C, uom!B:B, "Not Found")</f>
      </c>
      <c r="M1106" s="1" t="s">
        <v>5511</v>
      </c>
      <c r="N1106" s="8" t="s">
        <v>5512</v>
      </c>
      <c r="O1106" s="1" t="s">
        <v>5513</v>
      </c>
      <c r="P1106" s="5">
        <f>XLOOKUP(R1106, classification!C:C, classification!B:B, "Not Found")</f>
      </c>
      <c r="Q1106" s="1" t="s">
        <v>5514</v>
      </c>
      <c r="R1106" s="2"/>
      <c r="S1106" s="2"/>
      <c r="T1106" s="2"/>
      <c r="U1106" s="2"/>
    </row>
    <row x14ac:dyDescent="0.25" r="1107" customHeight="1" ht="17.25">
      <c r="A1107" s="7">
        <v>1106</v>
      </c>
      <c r="B1107" s="1" t="s">
        <v>6540</v>
      </c>
      <c r="C1107" s="5">
        <f>CONCATENATE("PD", TEXT(A1107, "1000000"))</f>
      </c>
      <c r="D1107" s="7">
        <v>66</v>
      </c>
      <c r="E1107" s="5">
        <f>XLOOKUP(G1107, item_category!C:C, item_category!B:B, "Not Found")</f>
      </c>
      <c r="F1107" s="1" t="s">
        <v>5617</v>
      </c>
      <c r="G1107" s="5">
        <f>XLOOKUP(I1107, drug!B:B, drug!A:A, "Not Found")</f>
      </c>
      <c r="H1107" s="1"/>
      <c r="I1107" s="7">
        <v>1</v>
      </c>
      <c r="J1107" s="5">
        <f>XLOOKUP(L1107, uom!C:C, uom!B:B, "Not Found")</f>
      </c>
      <c r="K1107" s="1" t="s">
        <v>5511</v>
      </c>
      <c r="L1107" s="5">
        <f>XLOOKUP(N1107, uom!C:C, uom!B:B, "Not Found")</f>
      </c>
      <c r="M1107" s="1" t="s">
        <v>5511</v>
      </c>
      <c r="N1107" s="8" t="s">
        <v>5512</v>
      </c>
      <c r="O1107" s="1" t="s">
        <v>5513</v>
      </c>
      <c r="P1107" s="5">
        <f>XLOOKUP(R1107, classification!C:C, classification!B:B, "Not Found")</f>
      </c>
      <c r="Q1107" s="1" t="s">
        <v>5514</v>
      </c>
      <c r="R1107" s="2"/>
      <c r="S1107" s="2"/>
      <c r="T1107" s="2"/>
      <c r="U1107" s="2"/>
    </row>
    <row x14ac:dyDescent="0.25" r="1108" customHeight="1" ht="17.25">
      <c r="A1108" s="7">
        <v>1107</v>
      </c>
      <c r="B1108" s="1" t="s">
        <v>6541</v>
      </c>
      <c r="C1108" s="5">
        <f>CONCATENATE("PD", TEXT(A1108, "1000000"))</f>
      </c>
      <c r="D1108" s="7">
        <v>66</v>
      </c>
      <c r="E1108" s="5">
        <f>XLOOKUP(G1108, item_category!C:C, item_category!B:B, "Not Found")</f>
      </c>
      <c r="F1108" s="1" t="s">
        <v>5617</v>
      </c>
      <c r="G1108" s="5">
        <f>XLOOKUP(I1108, drug!B:B, drug!A:A, "Not Found")</f>
      </c>
      <c r="H1108" s="1"/>
      <c r="I1108" s="7">
        <v>1</v>
      </c>
      <c r="J1108" s="5">
        <f>XLOOKUP(L1108, uom!C:C, uom!B:B, "Not Found")</f>
      </c>
      <c r="K1108" s="1" t="s">
        <v>5511</v>
      </c>
      <c r="L1108" s="5">
        <f>XLOOKUP(N1108, uom!C:C, uom!B:B, "Not Found")</f>
      </c>
      <c r="M1108" s="1" t="s">
        <v>5511</v>
      </c>
      <c r="N1108" s="8" t="s">
        <v>5512</v>
      </c>
      <c r="O1108" s="1" t="s">
        <v>5513</v>
      </c>
      <c r="P1108" s="5">
        <f>XLOOKUP(R1108, classification!C:C, classification!B:B, "Not Found")</f>
      </c>
      <c r="Q1108" s="1" t="s">
        <v>5514</v>
      </c>
      <c r="R1108" s="2"/>
      <c r="S1108" s="2"/>
      <c r="T1108" s="2"/>
      <c r="U1108" s="2"/>
    </row>
    <row x14ac:dyDescent="0.25" r="1109" customHeight="1" ht="17.25">
      <c r="A1109" s="7">
        <v>1108</v>
      </c>
      <c r="B1109" s="1" t="s">
        <v>6542</v>
      </c>
      <c r="C1109" s="5">
        <f>CONCATENATE("PD", TEXT(A1109, "1000000"))</f>
      </c>
      <c r="D1109" s="7">
        <v>66</v>
      </c>
      <c r="E1109" s="5">
        <f>XLOOKUP(G1109, item_category!C:C, item_category!B:B, "Not Found")</f>
      </c>
      <c r="F1109" s="1" t="s">
        <v>5617</v>
      </c>
      <c r="G1109" s="5">
        <f>XLOOKUP(I1109, drug!B:B, drug!A:A, "Not Found")</f>
      </c>
      <c r="H1109" s="1"/>
      <c r="I1109" s="7">
        <v>1</v>
      </c>
      <c r="J1109" s="5">
        <f>XLOOKUP(L1109, uom!C:C, uom!B:B, "Not Found")</f>
      </c>
      <c r="K1109" s="1" t="s">
        <v>5511</v>
      </c>
      <c r="L1109" s="5">
        <f>XLOOKUP(N1109, uom!C:C, uom!B:B, "Not Found")</f>
      </c>
      <c r="M1109" s="1" t="s">
        <v>5511</v>
      </c>
      <c r="N1109" s="8" t="s">
        <v>5512</v>
      </c>
      <c r="O1109" s="1" t="s">
        <v>5513</v>
      </c>
      <c r="P1109" s="5">
        <f>XLOOKUP(R1109, classification!C:C, classification!B:B, "Not Found")</f>
      </c>
      <c r="Q1109" s="1" t="s">
        <v>5514</v>
      </c>
      <c r="R1109" s="2"/>
      <c r="S1109" s="2"/>
      <c r="T1109" s="2"/>
      <c r="U1109" s="2"/>
    </row>
    <row x14ac:dyDescent="0.25" r="1110" customHeight="1" ht="17.25">
      <c r="A1110" s="7">
        <v>1109</v>
      </c>
      <c r="B1110" s="1" t="s">
        <v>6543</v>
      </c>
      <c r="C1110" s="5">
        <f>CONCATENATE("PD", TEXT(A1110, "1000000"))</f>
      </c>
      <c r="D1110" s="7">
        <v>66</v>
      </c>
      <c r="E1110" s="5">
        <f>XLOOKUP(G1110, item_category!C:C, item_category!B:B, "Not Found")</f>
      </c>
      <c r="F1110" s="1" t="s">
        <v>5617</v>
      </c>
      <c r="G1110" s="5">
        <f>XLOOKUP(I1110, drug!B:B, drug!A:A, "Not Found")</f>
      </c>
      <c r="H1110" s="1"/>
      <c r="I1110" s="7">
        <v>1</v>
      </c>
      <c r="J1110" s="5">
        <f>XLOOKUP(L1110, uom!C:C, uom!B:B, "Not Found")</f>
      </c>
      <c r="K1110" s="1" t="s">
        <v>5511</v>
      </c>
      <c r="L1110" s="5">
        <f>XLOOKUP(N1110, uom!C:C, uom!B:B, "Not Found")</f>
      </c>
      <c r="M1110" s="1" t="s">
        <v>5511</v>
      </c>
      <c r="N1110" s="8" t="s">
        <v>5512</v>
      </c>
      <c r="O1110" s="1" t="s">
        <v>5513</v>
      </c>
      <c r="P1110" s="5">
        <f>XLOOKUP(R1110, classification!C:C, classification!B:B, "Not Found")</f>
      </c>
      <c r="Q1110" s="1" t="s">
        <v>5514</v>
      </c>
      <c r="R1110" s="2"/>
      <c r="S1110" s="2"/>
      <c r="T1110" s="2"/>
      <c r="U1110" s="2"/>
    </row>
    <row x14ac:dyDescent="0.25" r="1111" customHeight="1" ht="17.25">
      <c r="A1111" s="7">
        <v>1110</v>
      </c>
      <c r="B1111" s="1" t="s">
        <v>6544</v>
      </c>
      <c r="C1111" s="5">
        <f>CONCATENATE("PD", TEXT(A1111, "1000000"))</f>
      </c>
      <c r="D1111" s="7">
        <v>66</v>
      </c>
      <c r="E1111" s="5">
        <f>XLOOKUP(G1111, item_category!C:C, item_category!B:B, "Not Found")</f>
      </c>
      <c r="F1111" s="1" t="s">
        <v>5617</v>
      </c>
      <c r="G1111" s="5">
        <f>XLOOKUP(I1111, drug!B:B, drug!A:A, "Not Found")</f>
      </c>
      <c r="H1111" s="1"/>
      <c r="I1111" s="7">
        <v>1</v>
      </c>
      <c r="J1111" s="5">
        <f>XLOOKUP(L1111, uom!C:C, uom!B:B, "Not Found")</f>
      </c>
      <c r="K1111" s="1" t="s">
        <v>5511</v>
      </c>
      <c r="L1111" s="5">
        <f>XLOOKUP(N1111, uom!C:C, uom!B:B, "Not Found")</f>
      </c>
      <c r="M1111" s="1" t="s">
        <v>5511</v>
      </c>
      <c r="N1111" s="8" t="s">
        <v>5512</v>
      </c>
      <c r="O1111" s="1" t="s">
        <v>5513</v>
      </c>
      <c r="P1111" s="5">
        <f>XLOOKUP(R1111, classification!C:C, classification!B:B, "Not Found")</f>
      </c>
      <c r="Q1111" s="1" t="s">
        <v>5514</v>
      </c>
      <c r="R1111" s="2"/>
      <c r="S1111" s="2"/>
      <c r="T1111" s="2"/>
      <c r="U1111" s="2"/>
    </row>
    <row x14ac:dyDescent="0.25" r="1112" customHeight="1" ht="17.25">
      <c r="A1112" s="7">
        <v>1111</v>
      </c>
      <c r="B1112" s="1" t="s">
        <v>6545</v>
      </c>
      <c r="C1112" s="5">
        <f>CONCATENATE("PD", TEXT(A1112, "1000000"))</f>
      </c>
      <c r="D1112" s="7">
        <v>66</v>
      </c>
      <c r="E1112" s="5">
        <f>XLOOKUP(G1112, item_category!C:C, item_category!B:B, "Not Found")</f>
      </c>
      <c r="F1112" s="1" t="s">
        <v>5617</v>
      </c>
      <c r="G1112" s="5">
        <f>XLOOKUP(I1112, drug!B:B, drug!A:A, "Not Found")</f>
      </c>
      <c r="H1112" s="1"/>
      <c r="I1112" s="7">
        <v>1</v>
      </c>
      <c r="J1112" s="5">
        <f>XLOOKUP(L1112, uom!C:C, uom!B:B, "Not Found")</f>
      </c>
      <c r="K1112" s="1" t="s">
        <v>5511</v>
      </c>
      <c r="L1112" s="5">
        <f>XLOOKUP(N1112, uom!C:C, uom!B:B, "Not Found")</f>
      </c>
      <c r="M1112" s="1" t="s">
        <v>5511</v>
      </c>
      <c r="N1112" s="8" t="s">
        <v>5512</v>
      </c>
      <c r="O1112" s="1" t="s">
        <v>5513</v>
      </c>
      <c r="P1112" s="5">
        <f>XLOOKUP(R1112, classification!C:C, classification!B:B, "Not Found")</f>
      </c>
      <c r="Q1112" s="1" t="s">
        <v>5514</v>
      </c>
      <c r="R1112" s="2"/>
      <c r="S1112" s="2"/>
      <c r="T1112" s="2"/>
      <c r="U1112" s="2"/>
    </row>
    <row x14ac:dyDescent="0.25" r="1113" customHeight="1" ht="17.25">
      <c r="A1113" s="7">
        <v>1112</v>
      </c>
      <c r="B1113" s="1" t="s">
        <v>6546</v>
      </c>
      <c r="C1113" s="5">
        <f>CONCATENATE("PD", TEXT(A1113, "1000000"))</f>
      </c>
      <c r="D1113" s="7">
        <v>66</v>
      </c>
      <c r="E1113" s="5">
        <f>XLOOKUP(G1113, item_category!C:C, item_category!B:B, "Not Found")</f>
      </c>
      <c r="F1113" s="1" t="s">
        <v>5617</v>
      </c>
      <c r="G1113" s="5">
        <f>XLOOKUP(I1113, drug!B:B, drug!A:A, "Not Found")</f>
      </c>
      <c r="H1113" s="1"/>
      <c r="I1113" s="7">
        <v>1</v>
      </c>
      <c r="J1113" s="5">
        <f>XLOOKUP(L1113, uom!C:C, uom!B:B, "Not Found")</f>
      </c>
      <c r="K1113" s="1" t="s">
        <v>5511</v>
      </c>
      <c r="L1113" s="5">
        <f>XLOOKUP(N1113, uom!C:C, uom!B:B, "Not Found")</f>
      </c>
      <c r="M1113" s="1" t="s">
        <v>5511</v>
      </c>
      <c r="N1113" s="8" t="s">
        <v>5512</v>
      </c>
      <c r="O1113" s="1" t="s">
        <v>5513</v>
      </c>
      <c r="P1113" s="5">
        <f>XLOOKUP(R1113, classification!C:C, classification!B:B, "Not Found")</f>
      </c>
      <c r="Q1113" s="1" t="s">
        <v>5514</v>
      </c>
      <c r="R1113" s="2"/>
      <c r="S1113" s="2"/>
      <c r="T1113" s="2"/>
      <c r="U1113" s="2"/>
    </row>
    <row x14ac:dyDescent="0.25" r="1114" customHeight="1" ht="17.25">
      <c r="A1114" s="7">
        <v>1113</v>
      </c>
      <c r="B1114" s="1" t="s">
        <v>6547</v>
      </c>
      <c r="C1114" s="5">
        <f>CONCATENATE("PD", TEXT(A1114, "1000000"))</f>
      </c>
      <c r="D1114" s="7">
        <v>66</v>
      </c>
      <c r="E1114" s="5">
        <f>XLOOKUP(G1114, item_category!C:C, item_category!B:B, "Not Found")</f>
      </c>
      <c r="F1114" s="1" t="s">
        <v>5617</v>
      </c>
      <c r="G1114" s="5">
        <f>XLOOKUP(I1114, drug!B:B, drug!A:A, "Not Found")</f>
      </c>
      <c r="H1114" s="1"/>
      <c r="I1114" s="7">
        <v>1</v>
      </c>
      <c r="J1114" s="5">
        <f>XLOOKUP(L1114, uom!C:C, uom!B:B, "Not Found")</f>
      </c>
      <c r="K1114" s="1" t="s">
        <v>5511</v>
      </c>
      <c r="L1114" s="5">
        <f>XLOOKUP(N1114, uom!C:C, uom!B:B, "Not Found")</f>
      </c>
      <c r="M1114" s="1" t="s">
        <v>5511</v>
      </c>
      <c r="N1114" s="8" t="s">
        <v>5512</v>
      </c>
      <c r="O1114" s="1" t="s">
        <v>5513</v>
      </c>
      <c r="P1114" s="5">
        <f>XLOOKUP(R1114, classification!C:C, classification!B:B, "Not Found")</f>
      </c>
      <c r="Q1114" s="1" t="s">
        <v>5514</v>
      </c>
      <c r="R1114" s="2"/>
      <c r="S1114" s="2"/>
      <c r="T1114" s="2"/>
      <c r="U1114" s="2"/>
    </row>
    <row x14ac:dyDescent="0.25" r="1115" customHeight="1" ht="17.25">
      <c r="A1115" s="7">
        <v>1114</v>
      </c>
      <c r="B1115" s="1" t="s">
        <v>6548</v>
      </c>
      <c r="C1115" s="5">
        <f>CONCATENATE("PD", TEXT(A1115, "1000000"))</f>
      </c>
      <c r="D1115" s="7">
        <v>66</v>
      </c>
      <c r="E1115" s="5">
        <f>XLOOKUP(G1115, item_category!C:C, item_category!B:B, "Not Found")</f>
      </c>
      <c r="F1115" s="1" t="s">
        <v>5617</v>
      </c>
      <c r="G1115" s="5">
        <f>XLOOKUP(I1115, drug!B:B, drug!A:A, "Not Found")</f>
      </c>
      <c r="H1115" s="1"/>
      <c r="I1115" s="7">
        <v>1</v>
      </c>
      <c r="J1115" s="5">
        <f>XLOOKUP(L1115, uom!C:C, uom!B:B, "Not Found")</f>
      </c>
      <c r="K1115" s="1" t="s">
        <v>5511</v>
      </c>
      <c r="L1115" s="5">
        <f>XLOOKUP(N1115, uom!C:C, uom!B:B, "Not Found")</f>
      </c>
      <c r="M1115" s="1" t="s">
        <v>5511</v>
      </c>
      <c r="N1115" s="8" t="s">
        <v>5512</v>
      </c>
      <c r="O1115" s="1" t="s">
        <v>5513</v>
      </c>
      <c r="P1115" s="5">
        <f>XLOOKUP(R1115, classification!C:C, classification!B:B, "Not Found")</f>
      </c>
      <c r="Q1115" s="1" t="s">
        <v>5514</v>
      </c>
      <c r="R1115" s="2"/>
      <c r="S1115" s="2"/>
      <c r="T1115" s="2"/>
      <c r="U1115" s="2"/>
    </row>
    <row x14ac:dyDescent="0.25" r="1116" customHeight="1" ht="17.25">
      <c r="A1116" s="7">
        <v>1115</v>
      </c>
      <c r="B1116" s="1" t="s">
        <v>6549</v>
      </c>
      <c r="C1116" s="5">
        <f>CONCATENATE("PD", TEXT(A1116, "1000000"))</f>
      </c>
      <c r="D1116" s="7">
        <v>66</v>
      </c>
      <c r="E1116" s="5">
        <f>XLOOKUP(G1116, item_category!C:C, item_category!B:B, "Not Found")</f>
      </c>
      <c r="F1116" s="1" t="s">
        <v>5617</v>
      </c>
      <c r="G1116" s="5">
        <f>XLOOKUP(I1116, drug!B:B, drug!A:A, "Not Found")</f>
      </c>
      <c r="H1116" s="1"/>
      <c r="I1116" s="7">
        <v>1</v>
      </c>
      <c r="J1116" s="5">
        <f>XLOOKUP(L1116, uom!C:C, uom!B:B, "Not Found")</f>
      </c>
      <c r="K1116" s="1" t="s">
        <v>5511</v>
      </c>
      <c r="L1116" s="5">
        <f>XLOOKUP(N1116, uom!C:C, uom!B:B, "Not Found")</f>
      </c>
      <c r="M1116" s="1" t="s">
        <v>5511</v>
      </c>
      <c r="N1116" s="8" t="s">
        <v>5512</v>
      </c>
      <c r="O1116" s="1" t="s">
        <v>5513</v>
      </c>
      <c r="P1116" s="5">
        <f>XLOOKUP(R1116, classification!C:C, classification!B:B, "Not Found")</f>
      </c>
      <c r="Q1116" s="1" t="s">
        <v>5514</v>
      </c>
      <c r="R1116" s="2"/>
      <c r="S1116" s="2"/>
      <c r="T1116" s="2"/>
      <c r="U1116" s="2"/>
    </row>
    <row x14ac:dyDescent="0.25" r="1117" customHeight="1" ht="17.25">
      <c r="A1117" s="7">
        <v>1116</v>
      </c>
      <c r="B1117" s="1" t="s">
        <v>6550</v>
      </c>
      <c r="C1117" s="5">
        <f>CONCATENATE("PD", TEXT(A1117, "1000000"))</f>
      </c>
      <c r="D1117" s="7">
        <v>66</v>
      </c>
      <c r="E1117" s="5">
        <f>XLOOKUP(G1117, item_category!C:C, item_category!B:B, "Not Found")</f>
      </c>
      <c r="F1117" s="1" t="s">
        <v>5617</v>
      </c>
      <c r="G1117" s="5">
        <f>XLOOKUP(I1117, drug!B:B, drug!A:A, "Not Found")</f>
      </c>
      <c r="H1117" s="1"/>
      <c r="I1117" s="7">
        <v>1</v>
      </c>
      <c r="J1117" s="5">
        <f>XLOOKUP(L1117, uom!C:C, uom!B:B, "Not Found")</f>
      </c>
      <c r="K1117" s="1" t="s">
        <v>5511</v>
      </c>
      <c r="L1117" s="5">
        <f>XLOOKUP(N1117, uom!C:C, uom!B:B, "Not Found")</f>
      </c>
      <c r="M1117" s="1" t="s">
        <v>5511</v>
      </c>
      <c r="N1117" s="8" t="s">
        <v>5512</v>
      </c>
      <c r="O1117" s="1" t="s">
        <v>5513</v>
      </c>
      <c r="P1117" s="5">
        <f>XLOOKUP(R1117, classification!C:C, classification!B:B, "Not Found")</f>
      </c>
      <c r="Q1117" s="1" t="s">
        <v>5514</v>
      </c>
      <c r="R1117" s="2"/>
      <c r="S1117" s="2"/>
      <c r="T1117" s="2"/>
      <c r="U1117" s="2"/>
    </row>
    <row x14ac:dyDescent="0.25" r="1118" customHeight="1" ht="17.25">
      <c r="A1118" s="7">
        <v>1117</v>
      </c>
      <c r="B1118" s="1" t="s">
        <v>6551</v>
      </c>
      <c r="C1118" s="5">
        <f>CONCATENATE("PD", TEXT(A1118, "1000000"))</f>
      </c>
      <c r="D1118" s="7">
        <v>66</v>
      </c>
      <c r="E1118" s="5">
        <f>XLOOKUP(G1118, item_category!C:C, item_category!B:B, "Not Found")</f>
      </c>
      <c r="F1118" s="1" t="s">
        <v>5617</v>
      </c>
      <c r="G1118" s="5">
        <f>XLOOKUP(I1118, drug!B:B, drug!A:A, "Not Found")</f>
      </c>
      <c r="H1118" s="1"/>
      <c r="I1118" s="7">
        <v>1</v>
      </c>
      <c r="J1118" s="5">
        <f>XLOOKUP(L1118, uom!C:C, uom!B:B, "Not Found")</f>
      </c>
      <c r="K1118" s="1" t="s">
        <v>5511</v>
      </c>
      <c r="L1118" s="5">
        <f>XLOOKUP(N1118, uom!C:C, uom!B:B, "Not Found")</f>
      </c>
      <c r="M1118" s="1" t="s">
        <v>5511</v>
      </c>
      <c r="N1118" s="8" t="s">
        <v>5512</v>
      </c>
      <c r="O1118" s="1" t="s">
        <v>5513</v>
      </c>
      <c r="P1118" s="5">
        <f>XLOOKUP(R1118, classification!C:C, classification!B:B, "Not Found")</f>
      </c>
      <c r="Q1118" s="1" t="s">
        <v>5514</v>
      </c>
      <c r="R1118" s="2"/>
      <c r="S1118" s="2"/>
      <c r="T1118" s="2"/>
      <c r="U1118" s="2"/>
    </row>
    <row x14ac:dyDescent="0.25" r="1119" customHeight="1" ht="17.25">
      <c r="A1119" s="7">
        <v>1118</v>
      </c>
      <c r="B1119" s="1" t="s">
        <v>6552</v>
      </c>
      <c r="C1119" s="5">
        <f>CONCATENATE("PD", TEXT(A1119, "1000000"))</f>
      </c>
      <c r="D1119" s="7">
        <v>66</v>
      </c>
      <c r="E1119" s="5">
        <f>XLOOKUP(G1119, item_category!C:C, item_category!B:B, "Not Found")</f>
      </c>
      <c r="F1119" s="1" t="s">
        <v>5617</v>
      </c>
      <c r="G1119" s="5">
        <f>XLOOKUP(I1119, drug!B:B, drug!A:A, "Not Found")</f>
      </c>
      <c r="H1119" s="1"/>
      <c r="I1119" s="7">
        <v>1</v>
      </c>
      <c r="J1119" s="5">
        <f>XLOOKUP(L1119, uom!C:C, uom!B:B, "Not Found")</f>
      </c>
      <c r="K1119" s="1" t="s">
        <v>5511</v>
      </c>
      <c r="L1119" s="5">
        <f>XLOOKUP(N1119, uom!C:C, uom!B:B, "Not Found")</f>
      </c>
      <c r="M1119" s="1" t="s">
        <v>5511</v>
      </c>
      <c r="N1119" s="8" t="s">
        <v>5512</v>
      </c>
      <c r="O1119" s="1" t="s">
        <v>5513</v>
      </c>
      <c r="P1119" s="5">
        <f>XLOOKUP(R1119, classification!C:C, classification!B:B, "Not Found")</f>
      </c>
      <c r="Q1119" s="1" t="s">
        <v>5514</v>
      </c>
      <c r="R1119" s="2"/>
      <c r="S1119" s="2"/>
      <c r="T1119" s="2"/>
      <c r="U1119" s="2"/>
    </row>
    <row x14ac:dyDescent="0.25" r="1120" customHeight="1" ht="17.25">
      <c r="A1120" s="7">
        <v>1119</v>
      </c>
      <c r="B1120" s="1" t="s">
        <v>6553</v>
      </c>
      <c r="C1120" s="5">
        <f>CONCATENATE("PD", TEXT(A1120, "1000000"))</f>
      </c>
      <c r="D1120" s="7">
        <v>66</v>
      </c>
      <c r="E1120" s="5">
        <f>XLOOKUP(G1120, item_category!C:C, item_category!B:B, "Not Found")</f>
      </c>
      <c r="F1120" s="1" t="s">
        <v>5617</v>
      </c>
      <c r="G1120" s="5">
        <f>XLOOKUP(I1120, drug!B:B, drug!A:A, "Not Found")</f>
      </c>
      <c r="H1120" s="1" t="s">
        <v>1532</v>
      </c>
      <c r="I1120" s="7">
        <v>1</v>
      </c>
      <c r="J1120" s="5">
        <f>XLOOKUP(L1120, uom!C:C, uom!B:B, "Not Found")</f>
      </c>
      <c r="K1120" s="1" t="s">
        <v>5511</v>
      </c>
      <c r="L1120" s="5">
        <f>XLOOKUP(N1120, uom!C:C, uom!B:B, "Not Found")</f>
      </c>
      <c r="M1120" s="1" t="s">
        <v>5511</v>
      </c>
      <c r="N1120" s="8" t="s">
        <v>5512</v>
      </c>
      <c r="O1120" s="1" t="s">
        <v>5513</v>
      </c>
      <c r="P1120" s="5">
        <f>XLOOKUP(R1120, classification!C:C, classification!B:B, "Not Found")</f>
      </c>
      <c r="Q1120" s="1" t="s">
        <v>5514</v>
      </c>
      <c r="R1120" s="2"/>
      <c r="S1120" s="2"/>
      <c r="T1120" s="2"/>
      <c r="U1120" s="2"/>
    </row>
    <row x14ac:dyDescent="0.25" r="1121" customHeight="1" ht="17.25">
      <c r="A1121" s="7">
        <v>1120</v>
      </c>
      <c r="B1121" s="1" t="s">
        <v>6554</v>
      </c>
      <c r="C1121" s="5">
        <f>CONCATENATE("PD", TEXT(A1121, "1000000"))</f>
      </c>
      <c r="D1121" s="7">
        <v>66</v>
      </c>
      <c r="E1121" s="5">
        <f>XLOOKUP(G1121, item_category!C:C, item_category!B:B, "Not Found")</f>
      </c>
      <c r="F1121" s="1" t="s">
        <v>5617</v>
      </c>
      <c r="G1121" s="5">
        <f>XLOOKUP(I1121, drug!B:B, drug!A:A, "Not Found")</f>
      </c>
      <c r="H1121" s="1"/>
      <c r="I1121" s="7">
        <v>1</v>
      </c>
      <c r="J1121" s="5">
        <f>XLOOKUP(L1121, uom!C:C, uom!B:B, "Not Found")</f>
      </c>
      <c r="K1121" s="1" t="s">
        <v>5511</v>
      </c>
      <c r="L1121" s="5">
        <f>XLOOKUP(N1121, uom!C:C, uom!B:B, "Not Found")</f>
      </c>
      <c r="M1121" s="1" t="s">
        <v>5511</v>
      </c>
      <c r="N1121" s="8" t="s">
        <v>5512</v>
      </c>
      <c r="O1121" s="1" t="s">
        <v>5513</v>
      </c>
      <c r="P1121" s="5">
        <f>XLOOKUP(R1121, classification!C:C, classification!B:B, "Not Found")</f>
      </c>
      <c r="Q1121" s="1" t="s">
        <v>5514</v>
      </c>
      <c r="R1121" s="2"/>
      <c r="S1121" s="2"/>
      <c r="T1121" s="2"/>
      <c r="U1121" s="2"/>
    </row>
    <row x14ac:dyDescent="0.25" r="1122" customHeight="1" ht="17.25">
      <c r="A1122" s="7">
        <v>1121</v>
      </c>
      <c r="B1122" s="1" t="s">
        <v>6555</v>
      </c>
      <c r="C1122" s="5">
        <f>CONCATENATE("PD", TEXT(A1122, "1000000"))</f>
      </c>
      <c r="D1122" s="7">
        <v>66</v>
      </c>
      <c r="E1122" s="5">
        <f>XLOOKUP(G1122, item_category!C:C, item_category!B:B, "Not Found")</f>
      </c>
      <c r="F1122" s="1" t="s">
        <v>5617</v>
      </c>
      <c r="G1122" s="5">
        <f>XLOOKUP(I1122, drug!B:B, drug!A:A, "Not Found")</f>
      </c>
      <c r="H1122" s="1"/>
      <c r="I1122" s="7">
        <v>1</v>
      </c>
      <c r="J1122" s="5">
        <f>XLOOKUP(L1122, uom!C:C, uom!B:B, "Not Found")</f>
      </c>
      <c r="K1122" s="1" t="s">
        <v>5511</v>
      </c>
      <c r="L1122" s="5">
        <f>XLOOKUP(N1122, uom!C:C, uom!B:B, "Not Found")</f>
      </c>
      <c r="M1122" s="1" t="s">
        <v>5511</v>
      </c>
      <c r="N1122" s="8" t="s">
        <v>5512</v>
      </c>
      <c r="O1122" s="1" t="s">
        <v>5513</v>
      </c>
      <c r="P1122" s="5">
        <f>XLOOKUP(R1122, classification!C:C, classification!B:B, "Not Found")</f>
      </c>
      <c r="Q1122" s="1" t="s">
        <v>5514</v>
      </c>
      <c r="R1122" s="2"/>
      <c r="S1122" s="2"/>
      <c r="T1122" s="2"/>
      <c r="U1122" s="2"/>
    </row>
    <row x14ac:dyDescent="0.25" r="1123" customHeight="1" ht="17.25">
      <c r="A1123" s="7">
        <v>1122</v>
      </c>
      <c r="B1123" s="1" t="s">
        <v>6556</v>
      </c>
      <c r="C1123" s="5">
        <f>CONCATENATE("PD", TEXT(A1123, "1000000"))</f>
      </c>
      <c r="D1123" s="7">
        <v>66</v>
      </c>
      <c r="E1123" s="5">
        <f>XLOOKUP(G1123, item_category!C:C, item_category!B:B, "Not Found")</f>
      </c>
      <c r="F1123" s="1" t="s">
        <v>5617</v>
      </c>
      <c r="G1123" s="5">
        <f>XLOOKUP(I1123, drug!B:B, drug!A:A, "Not Found")</f>
      </c>
      <c r="H1123" s="1" t="s">
        <v>1942</v>
      </c>
      <c r="I1123" s="7">
        <v>1</v>
      </c>
      <c r="J1123" s="5">
        <f>XLOOKUP(L1123, uom!C:C, uom!B:B, "Not Found")</f>
      </c>
      <c r="K1123" s="1" t="s">
        <v>5511</v>
      </c>
      <c r="L1123" s="5">
        <f>XLOOKUP(N1123, uom!C:C, uom!B:B, "Not Found")</f>
      </c>
      <c r="M1123" s="1" t="s">
        <v>5511</v>
      </c>
      <c r="N1123" s="8" t="s">
        <v>5512</v>
      </c>
      <c r="O1123" s="1" t="s">
        <v>5513</v>
      </c>
      <c r="P1123" s="5">
        <f>XLOOKUP(R1123, classification!C:C, classification!B:B, "Not Found")</f>
      </c>
      <c r="Q1123" s="1" t="s">
        <v>5514</v>
      </c>
      <c r="R1123" s="2"/>
      <c r="S1123" s="2"/>
      <c r="T1123" s="2"/>
      <c r="U1123" s="2"/>
    </row>
    <row x14ac:dyDescent="0.25" r="1124" customHeight="1" ht="17.25">
      <c r="A1124" s="7">
        <v>1123</v>
      </c>
      <c r="B1124" s="1" t="s">
        <v>6557</v>
      </c>
      <c r="C1124" s="5">
        <f>CONCATENATE("PD", TEXT(A1124, "1000000"))</f>
      </c>
      <c r="D1124" s="7">
        <v>66</v>
      </c>
      <c r="E1124" s="5">
        <f>XLOOKUP(G1124, item_category!C:C, item_category!B:B, "Not Found")</f>
      </c>
      <c r="F1124" s="1" t="s">
        <v>5617</v>
      </c>
      <c r="G1124" s="5">
        <f>XLOOKUP(I1124, drug!B:B, drug!A:A, "Not Found")</f>
      </c>
      <c r="H1124" s="1"/>
      <c r="I1124" s="7">
        <v>1</v>
      </c>
      <c r="J1124" s="5">
        <f>XLOOKUP(L1124, uom!C:C, uom!B:B, "Not Found")</f>
      </c>
      <c r="K1124" s="1" t="s">
        <v>5511</v>
      </c>
      <c r="L1124" s="5">
        <f>XLOOKUP(N1124, uom!C:C, uom!B:B, "Not Found")</f>
      </c>
      <c r="M1124" s="1" t="s">
        <v>5511</v>
      </c>
      <c r="N1124" s="8" t="s">
        <v>5512</v>
      </c>
      <c r="O1124" s="1" t="s">
        <v>5513</v>
      </c>
      <c r="P1124" s="5">
        <f>XLOOKUP(R1124, classification!C:C, classification!B:B, "Not Found")</f>
      </c>
      <c r="Q1124" s="1" t="s">
        <v>5514</v>
      </c>
      <c r="R1124" s="2"/>
      <c r="S1124" s="2"/>
      <c r="T1124" s="2"/>
      <c r="U1124" s="2"/>
    </row>
    <row x14ac:dyDescent="0.25" r="1125" customHeight="1" ht="17.25">
      <c r="A1125" s="7">
        <v>1124</v>
      </c>
      <c r="B1125" s="1" t="s">
        <v>6558</v>
      </c>
      <c r="C1125" s="5">
        <f>CONCATENATE("PD", TEXT(A1125, "1000000"))</f>
      </c>
      <c r="D1125" s="7">
        <v>66</v>
      </c>
      <c r="E1125" s="5">
        <f>XLOOKUP(G1125, item_category!C:C, item_category!B:B, "Not Found")</f>
      </c>
      <c r="F1125" s="1" t="s">
        <v>5617</v>
      </c>
      <c r="G1125" s="5">
        <f>XLOOKUP(I1125, drug!B:B, drug!A:A, "Not Found")</f>
      </c>
      <c r="H1125" s="1"/>
      <c r="I1125" s="7">
        <v>1</v>
      </c>
      <c r="J1125" s="5">
        <f>XLOOKUP(L1125, uom!C:C, uom!B:B, "Not Found")</f>
      </c>
      <c r="K1125" s="1" t="s">
        <v>5511</v>
      </c>
      <c r="L1125" s="5">
        <f>XLOOKUP(N1125, uom!C:C, uom!B:B, "Not Found")</f>
      </c>
      <c r="M1125" s="1" t="s">
        <v>5511</v>
      </c>
      <c r="N1125" s="8" t="s">
        <v>5512</v>
      </c>
      <c r="O1125" s="1" t="s">
        <v>5513</v>
      </c>
      <c r="P1125" s="5">
        <f>XLOOKUP(R1125, classification!C:C, classification!B:B, "Not Found")</f>
      </c>
      <c r="Q1125" s="1" t="s">
        <v>5514</v>
      </c>
      <c r="R1125" s="2"/>
      <c r="S1125" s="2"/>
      <c r="T1125" s="2"/>
      <c r="U1125" s="2"/>
    </row>
    <row x14ac:dyDescent="0.25" r="1126" customHeight="1" ht="17.25">
      <c r="A1126" s="7">
        <v>1125</v>
      </c>
      <c r="B1126" s="1" t="s">
        <v>6559</v>
      </c>
      <c r="C1126" s="5">
        <f>CONCATENATE("PD", TEXT(A1126, "1000000"))</f>
      </c>
      <c r="D1126" s="7">
        <v>66</v>
      </c>
      <c r="E1126" s="5">
        <f>XLOOKUP(G1126, item_category!C:C, item_category!B:B, "Not Found")</f>
      </c>
      <c r="F1126" s="1" t="s">
        <v>5617</v>
      </c>
      <c r="G1126" s="5">
        <f>XLOOKUP(I1126, drug!B:B, drug!A:A, "Not Found")</f>
      </c>
      <c r="H1126" s="1"/>
      <c r="I1126" s="7">
        <v>1</v>
      </c>
      <c r="J1126" s="5">
        <f>XLOOKUP(L1126, uom!C:C, uom!B:B, "Not Found")</f>
      </c>
      <c r="K1126" s="1" t="s">
        <v>5511</v>
      </c>
      <c r="L1126" s="5">
        <f>XLOOKUP(N1126, uom!C:C, uom!B:B, "Not Found")</f>
      </c>
      <c r="M1126" s="1" t="s">
        <v>5511</v>
      </c>
      <c r="N1126" s="8" t="s">
        <v>5512</v>
      </c>
      <c r="O1126" s="1" t="s">
        <v>5513</v>
      </c>
      <c r="P1126" s="5">
        <f>XLOOKUP(R1126, classification!C:C, classification!B:B, "Not Found")</f>
      </c>
      <c r="Q1126" s="1" t="s">
        <v>5514</v>
      </c>
      <c r="R1126" s="2"/>
      <c r="S1126" s="2"/>
      <c r="T1126" s="2"/>
      <c r="U1126" s="2"/>
    </row>
    <row x14ac:dyDescent="0.25" r="1127" customHeight="1" ht="17.25">
      <c r="A1127" s="7">
        <v>1126</v>
      </c>
      <c r="B1127" s="1" t="s">
        <v>6560</v>
      </c>
      <c r="C1127" s="5">
        <f>CONCATENATE("PD", TEXT(A1127, "1000000"))</f>
      </c>
      <c r="D1127" s="7">
        <v>66</v>
      </c>
      <c r="E1127" s="5">
        <f>XLOOKUP(G1127, item_category!C:C, item_category!B:B, "Not Found")</f>
      </c>
      <c r="F1127" s="1" t="s">
        <v>5617</v>
      </c>
      <c r="G1127" s="5">
        <f>XLOOKUP(I1127, drug!B:B, drug!A:A, "Not Found")</f>
      </c>
      <c r="H1127" s="1" t="s">
        <v>235</v>
      </c>
      <c r="I1127" s="7">
        <v>1</v>
      </c>
      <c r="J1127" s="5">
        <f>XLOOKUP(L1127, uom!C:C, uom!B:B, "Not Found")</f>
      </c>
      <c r="K1127" s="1" t="s">
        <v>5511</v>
      </c>
      <c r="L1127" s="5">
        <f>XLOOKUP(N1127, uom!C:C, uom!B:B, "Not Found")</f>
      </c>
      <c r="M1127" s="1" t="s">
        <v>5511</v>
      </c>
      <c r="N1127" s="8" t="s">
        <v>5512</v>
      </c>
      <c r="O1127" s="1" t="s">
        <v>5513</v>
      </c>
      <c r="P1127" s="5">
        <f>XLOOKUP(R1127, classification!C:C, classification!B:B, "Not Found")</f>
      </c>
      <c r="Q1127" s="1" t="s">
        <v>5514</v>
      </c>
      <c r="R1127" s="2"/>
      <c r="S1127" s="2"/>
      <c r="T1127" s="2"/>
      <c r="U1127" s="2"/>
    </row>
    <row x14ac:dyDescent="0.25" r="1128" customHeight="1" ht="17.25">
      <c r="A1128" s="7">
        <v>1127</v>
      </c>
      <c r="B1128" s="1" t="s">
        <v>6561</v>
      </c>
      <c r="C1128" s="5">
        <f>CONCATENATE("PD", TEXT(A1128, "1000000"))</f>
      </c>
      <c r="D1128" s="7">
        <v>66</v>
      </c>
      <c r="E1128" s="5">
        <f>XLOOKUP(G1128, item_category!C:C, item_category!B:B, "Not Found")</f>
      </c>
      <c r="F1128" s="1" t="s">
        <v>5617</v>
      </c>
      <c r="G1128" s="5">
        <f>XLOOKUP(I1128, drug!B:B, drug!A:A, "Not Found")</f>
      </c>
      <c r="H1128" s="1"/>
      <c r="I1128" s="7">
        <v>1</v>
      </c>
      <c r="J1128" s="5">
        <f>XLOOKUP(L1128, uom!C:C, uom!B:B, "Not Found")</f>
      </c>
      <c r="K1128" s="1" t="s">
        <v>5511</v>
      </c>
      <c r="L1128" s="5">
        <f>XLOOKUP(N1128, uom!C:C, uom!B:B, "Not Found")</f>
      </c>
      <c r="M1128" s="1" t="s">
        <v>5511</v>
      </c>
      <c r="N1128" s="8" t="s">
        <v>5512</v>
      </c>
      <c r="O1128" s="1" t="s">
        <v>5513</v>
      </c>
      <c r="P1128" s="5">
        <f>XLOOKUP(R1128, classification!C:C, classification!B:B, "Not Found")</f>
      </c>
      <c r="Q1128" s="1" t="s">
        <v>5514</v>
      </c>
      <c r="R1128" s="2"/>
      <c r="S1128" s="2"/>
      <c r="T1128" s="2"/>
      <c r="U1128" s="2"/>
    </row>
    <row x14ac:dyDescent="0.25" r="1129" customHeight="1" ht="17.25">
      <c r="A1129" s="7">
        <v>1128</v>
      </c>
      <c r="B1129" s="1" t="s">
        <v>2478</v>
      </c>
      <c r="C1129" s="5">
        <f>CONCATENATE("PD", TEXT(A1129, "1000000"))</f>
      </c>
      <c r="D1129" s="7">
        <v>66</v>
      </c>
      <c r="E1129" s="5">
        <f>XLOOKUP(G1129, item_category!C:C, item_category!B:B, "Not Found")</f>
      </c>
      <c r="F1129" s="1" t="s">
        <v>5617</v>
      </c>
      <c r="G1129" s="5">
        <f>XLOOKUP(I1129, drug!B:B, drug!A:A, "Not Found")</f>
      </c>
      <c r="H1129" s="1"/>
      <c r="I1129" s="7">
        <v>1</v>
      </c>
      <c r="J1129" s="5">
        <f>XLOOKUP(L1129, uom!C:C, uom!B:B, "Not Found")</f>
      </c>
      <c r="K1129" s="1" t="s">
        <v>5511</v>
      </c>
      <c r="L1129" s="5">
        <f>XLOOKUP(N1129, uom!C:C, uom!B:B, "Not Found")</f>
      </c>
      <c r="M1129" s="1" t="s">
        <v>5511</v>
      </c>
      <c r="N1129" s="8" t="s">
        <v>5512</v>
      </c>
      <c r="O1129" s="1" t="s">
        <v>5513</v>
      </c>
      <c r="P1129" s="5">
        <f>XLOOKUP(R1129, classification!C:C, classification!B:B, "Not Found")</f>
      </c>
      <c r="Q1129" s="1" t="s">
        <v>5514</v>
      </c>
      <c r="R1129" s="2"/>
      <c r="S1129" s="2"/>
      <c r="T1129" s="2"/>
      <c r="U1129" s="2"/>
    </row>
    <row x14ac:dyDescent="0.25" r="1130" customHeight="1" ht="17.25">
      <c r="A1130" s="7">
        <v>1129</v>
      </c>
      <c r="B1130" s="1" t="s">
        <v>2480</v>
      </c>
      <c r="C1130" s="5">
        <f>CONCATENATE("PD", TEXT(A1130, "1000000"))</f>
      </c>
      <c r="D1130" s="7">
        <v>66</v>
      </c>
      <c r="E1130" s="5">
        <f>XLOOKUP(G1130, item_category!C:C, item_category!B:B, "Not Found")</f>
      </c>
      <c r="F1130" s="1" t="s">
        <v>5617</v>
      </c>
      <c r="G1130" s="5">
        <f>XLOOKUP(I1130, drug!B:B, drug!A:A, "Not Found")</f>
      </c>
      <c r="H1130" s="1"/>
      <c r="I1130" s="7">
        <v>1</v>
      </c>
      <c r="J1130" s="5">
        <f>XLOOKUP(L1130, uom!C:C, uom!B:B, "Not Found")</f>
      </c>
      <c r="K1130" s="1" t="s">
        <v>5511</v>
      </c>
      <c r="L1130" s="5">
        <f>XLOOKUP(N1130, uom!C:C, uom!B:B, "Not Found")</f>
      </c>
      <c r="M1130" s="1" t="s">
        <v>5511</v>
      </c>
      <c r="N1130" s="8" t="s">
        <v>5512</v>
      </c>
      <c r="O1130" s="1" t="s">
        <v>5513</v>
      </c>
      <c r="P1130" s="5">
        <f>XLOOKUP(R1130, classification!C:C, classification!B:B, "Not Found")</f>
      </c>
      <c r="Q1130" s="1" t="s">
        <v>5514</v>
      </c>
      <c r="R1130" s="2"/>
      <c r="S1130" s="2"/>
      <c r="T1130" s="2"/>
      <c r="U1130" s="2"/>
    </row>
    <row x14ac:dyDescent="0.25" r="1131" customHeight="1" ht="17.25">
      <c r="A1131" s="7">
        <v>1130</v>
      </c>
      <c r="B1131" s="1" t="s">
        <v>6562</v>
      </c>
      <c r="C1131" s="5">
        <f>CONCATENATE("PD", TEXT(A1131, "1000000"))</f>
      </c>
      <c r="D1131" s="7">
        <v>66</v>
      </c>
      <c r="E1131" s="5">
        <f>XLOOKUP(G1131, item_category!C:C, item_category!B:B, "Not Found")</f>
      </c>
      <c r="F1131" s="1" t="s">
        <v>5617</v>
      </c>
      <c r="G1131" s="5">
        <f>XLOOKUP(I1131, drug!B:B, drug!A:A, "Not Found")</f>
      </c>
      <c r="H1131" s="1" t="s">
        <v>1228</v>
      </c>
      <c r="I1131" s="7">
        <v>1</v>
      </c>
      <c r="J1131" s="5">
        <f>XLOOKUP(L1131, uom!C:C, uom!B:B, "Not Found")</f>
      </c>
      <c r="K1131" s="1" t="s">
        <v>5511</v>
      </c>
      <c r="L1131" s="5">
        <f>XLOOKUP(N1131, uom!C:C, uom!B:B, "Not Found")</f>
      </c>
      <c r="M1131" s="1" t="s">
        <v>5511</v>
      </c>
      <c r="N1131" s="8" t="s">
        <v>5512</v>
      </c>
      <c r="O1131" s="1" t="s">
        <v>5513</v>
      </c>
      <c r="P1131" s="5">
        <f>XLOOKUP(R1131, classification!C:C, classification!B:B, "Not Found")</f>
      </c>
      <c r="Q1131" s="1" t="s">
        <v>5514</v>
      </c>
      <c r="R1131" s="2"/>
      <c r="S1131" s="2"/>
      <c r="T1131" s="2"/>
      <c r="U1131" s="2"/>
    </row>
    <row x14ac:dyDescent="0.25" r="1132" customHeight="1" ht="17.25">
      <c r="A1132" s="7">
        <v>1131</v>
      </c>
      <c r="B1132" s="1" t="s">
        <v>6563</v>
      </c>
      <c r="C1132" s="5">
        <f>CONCATENATE("PD", TEXT(A1132, "1000000"))</f>
      </c>
      <c r="D1132" s="7">
        <v>66</v>
      </c>
      <c r="E1132" s="5">
        <f>XLOOKUP(G1132, item_category!C:C, item_category!B:B, "Not Found")</f>
      </c>
      <c r="F1132" s="1" t="s">
        <v>5617</v>
      </c>
      <c r="G1132" s="5">
        <f>XLOOKUP(I1132, drug!B:B, drug!A:A, "Not Found")</f>
      </c>
      <c r="H1132" s="1"/>
      <c r="I1132" s="7">
        <v>1</v>
      </c>
      <c r="J1132" s="5">
        <f>XLOOKUP(L1132, uom!C:C, uom!B:B, "Not Found")</f>
      </c>
      <c r="K1132" s="1" t="s">
        <v>5511</v>
      </c>
      <c r="L1132" s="5">
        <f>XLOOKUP(N1132, uom!C:C, uom!B:B, "Not Found")</f>
      </c>
      <c r="M1132" s="1" t="s">
        <v>5511</v>
      </c>
      <c r="N1132" s="8" t="s">
        <v>5512</v>
      </c>
      <c r="O1132" s="1" t="s">
        <v>5513</v>
      </c>
      <c r="P1132" s="5">
        <f>XLOOKUP(R1132, classification!C:C, classification!B:B, "Not Found")</f>
      </c>
      <c r="Q1132" s="1" t="s">
        <v>5514</v>
      </c>
      <c r="R1132" s="2"/>
      <c r="S1132" s="2"/>
      <c r="T1132" s="2"/>
      <c r="U1132" s="2"/>
    </row>
    <row x14ac:dyDescent="0.25" r="1133" customHeight="1" ht="17.25">
      <c r="A1133" s="7">
        <v>1132</v>
      </c>
      <c r="B1133" s="1" t="s">
        <v>6564</v>
      </c>
      <c r="C1133" s="5">
        <f>CONCATENATE("PD", TEXT(A1133, "1000000"))</f>
      </c>
      <c r="D1133" s="7">
        <v>66</v>
      </c>
      <c r="E1133" s="5">
        <f>XLOOKUP(G1133, item_category!C:C, item_category!B:B, "Not Found")</f>
      </c>
      <c r="F1133" s="1" t="s">
        <v>5617</v>
      </c>
      <c r="G1133" s="5">
        <f>XLOOKUP(I1133, drug!B:B, drug!A:A, "Not Found")</f>
      </c>
      <c r="H1133" s="1" t="s">
        <v>2114</v>
      </c>
      <c r="I1133" s="7">
        <v>1</v>
      </c>
      <c r="J1133" s="5">
        <f>XLOOKUP(L1133, uom!C:C, uom!B:B, "Not Found")</f>
      </c>
      <c r="K1133" s="1" t="s">
        <v>5511</v>
      </c>
      <c r="L1133" s="5">
        <f>XLOOKUP(N1133, uom!C:C, uom!B:B, "Not Found")</f>
      </c>
      <c r="M1133" s="1" t="s">
        <v>5511</v>
      </c>
      <c r="N1133" s="8" t="s">
        <v>5512</v>
      </c>
      <c r="O1133" s="1" t="s">
        <v>5513</v>
      </c>
      <c r="P1133" s="5">
        <f>XLOOKUP(R1133, classification!C:C, classification!B:B, "Not Found")</f>
      </c>
      <c r="Q1133" s="1" t="s">
        <v>5514</v>
      </c>
      <c r="R1133" s="2"/>
      <c r="S1133" s="2"/>
      <c r="T1133" s="2"/>
      <c r="U1133" s="2"/>
    </row>
    <row x14ac:dyDescent="0.25" r="1134" customHeight="1" ht="17.25">
      <c r="A1134" s="7">
        <v>1133</v>
      </c>
      <c r="B1134" s="1" t="s">
        <v>2484</v>
      </c>
      <c r="C1134" s="5">
        <f>CONCATENATE("PD", TEXT(A1134, "1000000"))</f>
      </c>
      <c r="D1134" s="7">
        <v>66</v>
      </c>
      <c r="E1134" s="5">
        <f>XLOOKUP(G1134, item_category!C:C, item_category!B:B, "Not Found")</f>
      </c>
      <c r="F1134" s="1" t="s">
        <v>5617</v>
      </c>
      <c r="G1134" s="5">
        <f>XLOOKUP(I1134, drug!B:B, drug!A:A, "Not Found")</f>
      </c>
      <c r="H1134" s="1"/>
      <c r="I1134" s="7">
        <v>1</v>
      </c>
      <c r="J1134" s="5">
        <f>XLOOKUP(L1134, uom!C:C, uom!B:B, "Not Found")</f>
      </c>
      <c r="K1134" s="1" t="s">
        <v>5511</v>
      </c>
      <c r="L1134" s="5">
        <f>XLOOKUP(N1134, uom!C:C, uom!B:B, "Not Found")</f>
      </c>
      <c r="M1134" s="1" t="s">
        <v>5511</v>
      </c>
      <c r="N1134" s="8" t="s">
        <v>5512</v>
      </c>
      <c r="O1134" s="1" t="s">
        <v>5513</v>
      </c>
      <c r="P1134" s="5">
        <f>XLOOKUP(R1134, classification!C:C, classification!B:B, "Not Found")</f>
      </c>
      <c r="Q1134" s="1" t="s">
        <v>5514</v>
      </c>
      <c r="R1134" s="2"/>
      <c r="S1134" s="2"/>
      <c r="T1134" s="2"/>
      <c r="U1134" s="2"/>
    </row>
    <row x14ac:dyDescent="0.25" r="1135" customHeight="1" ht="17.25">
      <c r="A1135" s="7">
        <v>1134</v>
      </c>
      <c r="B1135" s="1" t="s">
        <v>2486</v>
      </c>
      <c r="C1135" s="5">
        <f>CONCATENATE("PD", TEXT(A1135, "1000000"))</f>
      </c>
      <c r="D1135" s="7">
        <v>66</v>
      </c>
      <c r="E1135" s="5">
        <f>XLOOKUP(G1135, item_category!C:C, item_category!B:B, "Not Found")</f>
      </c>
      <c r="F1135" s="1" t="s">
        <v>5617</v>
      </c>
      <c r="G1135" s="5">
        <f>XLOOKUP(I1135, drug!B:B, drug!A:A, "Not Found")</f>
      </c>
      <c r="H1135" s="1"/>
      <c r="I1135" s="7">
        <v>1</v>
      </c>
      <c r="J1135" s="5">
        <f>XLOOKUP(L1135, uom!C:C, uom!B:B, "Not Found")</f>
      </c>
      <c r="K1135" s="1" t="s">
        <v>5511</v>
      </c>
      <c r="L1135" s="5">
        <f>XLOOKUP(N1135, uom!C:C, uom!B:B, "Not Found")</f>
      </c>
      <c r="M1135" s="1" t="s">
        <v>5511</v>
      </c>
      <c r="N1135" s="8" t="s">
        <v>5512</v>
      </c>
      <c r="O1135" s="1" t="s">
        <v>5513</v>
      </c>
      <c r="P1135" s="5">
        <f>XLOOKUP(R1135, classification!C:C, classification!B:B, "Not Found")</f>
      </c>
      <c r="Q1135" s="1" t="s">
        <v>5514</v>
      </c>
      <c r="R1135" s="2"/>
      <c r="S1135" s="2"/>
      <c r="T1135" s="2"/>
      <c r="U1135" s="2"/>
    </row>
    <row x14ac:dyDescent="0.25" r="1136" customHeight="1" ht="17.25">
      <c r="A1136" s="7">
        <v>1135</v>
      </c>
      <c r="B1136" s="1" t="s">
        <v>6565</v>
      </c>
      <c r="C1136" s="5">
        <f>CONCATENATE("PD", TEXT(A1136, "1000000"))</f>
      </c>
      <c r="D1136" s="7">
        <v>66</v>
      </c>
      <c r="E1136" s="5">
        <f>XLOOKUP(G1136, item_category!C:C, item_category!B:B, "Not Found")</f>
      </c>
      <c r="F1136" s="1" t="s">
        <v>5617</v>
      </c>
      <c r="G1136" s="5">
        <f>XLOOKUP(I1136, drug!B:B, drug!A:A, "Not Found")</f>
      </c>
      <c r="H1136" s="1"/>
      <c r="I1136" s="7">
        <v>1</v>
      </c>
      <c r="J1136" s="5">
        <f>XLOOKUP(L1136, uom!C:C, uom!B:B, "Not Found")</f>
      </c>
      <c r="K1136" s="1" t="s">
        <v>5511</v>
      </c>
      <c r="L1136" s="5">
        <f>XLOOKUP(N1136, uom!C:C, uom!B:B, "Not Found")</f>
      </c>
      <c r="M1136" s="1" t="s">
        <v>5511</v>
      </c>
      <c r="N1136" s="8" t="s">
        <v>5512</v>
      </c>
      <c r="O1136" s="1" t="s">
        <v>5513</v>
      </c>
      <c r="P1136" s="5">
        <f>XLOOKUP(R1136, classification!C:C, classification!B:B, "Not Found")</f>
      </c>
      <c r="Q1136" s="1" t="s">
        <v>5514</v>
      </c>
      <c r="R1136" s="2"/>
      <c r="S1136" s="2"/>
      <c r="T1136" s="2"/>
      <c r="U1136" s="2"/>
    </row>
    <row x14ac:dyDescent="0.25" r="1137" customHeight="1" ht="17.25">
      <c r="A1137" s="7">
        <v>1136</v>
      </c>
      <c r="B1137" s="1" t="s">
        <v>6566</v>
      </c>
      <c r="C1137" s="5">
        <f>CONCATENATE("PD", TEXT(A1137, "1000000"))</f>
      </c>
      <c r="D1137" s="7">
        <v>66</v>
      </c>
      <c r="E1137" s="5">
        <f>XLOOKUP(G1137, item_category!C:C, item_category!B:B, "Not Found")</f>
      </c>
      <c r="F1137" s="1" t="s">
        <v>5617</v>
      </c>
      <c r="G1137" s="5">
        <f>XLOOKUP(I1137, drug!B:B, drug!A:A, "Not Found")</f>
      </c>
      <c r="H1137" s="1" t="s">
        <v>1228</v>
      </c>
      <c r="I1137" s="7">
        <v>1</v>
      </c>
      <c r="J1137" s="5">
        <f>XLOOKUP(L1137, uom!C:C, uom!B:B, "Not Found")</f>
      </c>
      <c r="K1137" s="1" t="s">
        <v>5511</v>
      </c>
      <c r="L1137" s="5">
        <f>XLOOKUP(N1137, uom!C:C, uom!B:B, "Not Found")</f>
      </c>
      <c r="M1137" s="1" t="s">
        <v>5511</v>
      </c>
      <c r="N1137" s="8" t="s">
        <v>5512</v>
      </c>
      <c r="O1137" s="1" t="s">
        <v>5513</v>
      </c>
      <c r="P1137" s="5">
        <f>XLOOKUP(R1137, classification!C:C, classification!B:B, "Not Found")</f>
      </c>
      <c r="Q1137" s="1" t="s">
        <v>5514</v>
      </c>
      <c r="R1137" s="2"/>
      <c r="S1137" s="2"/>
      <c r="T1137" s="2"/>
      <c r="U1137" s="2"/>
    </row>
    <row x14ac:dyDescent="0.25" r="1138" customHeight="1" ht="17.25">
      <c r="A1138" s="7">
        <v>1137</v>
      </c>
      <c r="B1138" s="1" t="s">
        <v>6567</v>
      </c>
      <c r="C1138" s="5">
        <f>CONCATENATE("PD", TEXT(A1138, "1000000"))</f>
      </c>
      <c r="D1138" s="7">
        <v>66</v>
      </c>
      <c r="E1138" s="5">
        <f>XLOOKUP(G1138, item_category!C:C, item_category!B:B, "Not Found")</f>
      </c>
      <c r="F1138" s="1" t="s">
        <v>5617</v>
      </c>
      <c r="G1138" s="5">
        <f>XLOOKUP(I1138, drug!B:B, drug!A:A, "Not Found")</f>
      </c>
      <c r="H1138" s="1"/>
      <c r="I1138" s="7">
        <v>1</v>
      </c>
      <c r="J1138" s="5">
        <f>XLOOKUP(L1138, uom!C:C, uom!B:B, "Not Found")</f>
      </c>
      <c r="K1138" s="1" t="s">
        <v>5511</v>
      </c>
      <c r="L1138" s="5">
        <f>XLOOKUP(N1138, uom!C:C, uom!B:B, "Not Found")</f>
      </c>
      <c r="M1138" s="1" t="s">
        <v>5511</v>
      </c>
      <c r="N1138" s="8" t="s">
        <v>5512</v>
      </c>
      <c r="O1138" s="1" t="s">
        <v>5513</v>
      </c>
      <c r="P1138" s="5">
        <f>XLOOKUP(R1138, classification!C:C, classification!B:B, "Not Found")</f>
      </c>
      <c r="Q1138" s="1" t="s">
        <v>5514</v>
      </c>
      <c r="R1138" s="2"/>
      <c r="S1138" s="2"/>
      <c r="T1138" s="2"/>
      <c r="U1138" s="2"/>
    </row>
    <row x14ac:dyDescent="0.25" r="1139" customHeight="1" ht="17.25">
      <c r="A1139" s="7">
        <v>1138</v>
      </c>
      <c r="B1139" s="1" t="s">
        <v>6568</v>
      </c>
      <c r="C1139" s="5">
        <f>CONCATENATE("PD", TEXT(A1139, "1000000"))</f>
      </c>
      <c r="D1139" s="7">
        <v>66</v>
      </c>
      <c r="E1139" s="5">
        <f>XLOOKUP(G1139, item_category!C:C, item_category!B:B, "Not Found")</f>
      </c>
      <c r="F1139" s="1" t="s">
        <v>5617</v>
      </c>
      <c r="G1139" s="5">
        <f>XLOOKUP(I1139, drug!B:B, drug!A:A, "Not Found")</f>
      </c>
      <c r="H1139" s="1" t="s">
        <v>1942</v>
      </c>
      <c r="I1139" s="7">
        <v>1</v>
      </c>
      <c r="J1139" s="5">
        <f>XLOOKUP(L1139, uom!C:C, uom!B:B, "Not Found")</f>
      </c>
      <c r="K1139" s="1" t="s">
        <v>5511</v>
      </c>
      <c r="L1139" s="5">
        <f>XLOOKUP(N1139, uom!C:C, uom!B:B, "Not Found")</f>
      </c>
      <c r="M1139" s="1" t="s">
        <v>5511</v>
      </c>
      <c r="N1139" s="8" t="s">
        <v>5512</v>
      </c>
      <c r="O1139" s="1" t="s">
        <v>5513</v>
      </c>
      <c r="P1139" s="5">
        <f>XLOOKUP(R1139, classification!C:C, classification!B:B, "Not Found")</f>
      </c>
      <c r="Q1139" s="1" t="s">
        <v>5514</v>
      </c>
      <c r="R1139" s="2"/>
      <c r="S1139" s="2"/>
      <c r="T1139" s="2"/>
      <c r="U1139" s="2"/>
    </row>
    <row x14ac:dyDescent="0.25" r="1140" customHeight="1" ht="17.25">
      <c r="A1140" s="7">
        <v>1139</v>
      </c>
      <c r="B1140" s="1" t="s">
        <v>6569</v>
      </c>
      <c r="C1140" s="5">
        <f>CONCATENATE("PD", TEXT(A1140, "1000000"))</f>
      </c>
      <c r="D1140" s="7">
        <v>66</v>
      </c>
      <c r="E1140" s="5">
        <f>XLOOKUP(G1140, item_category!C:C, item_category!B:B, "Not Found")</f>
      </c>
      <c r="F1140" s="1" t="s">
        <v>5617</v>
      </c>
      <c r="G1140" s="5">
        <f>XLOOKUP(I1140, drug!B:B, drug!A:A, "Not Found")</f>
      </c>
      <c r="H1140" s="1" t="s">
        <v>442</v>
      </c>
      <c r="I1140" s="7">
        <v>1</v>
      </c>
      <c r="J1140" s="5">
        <f>XLOOKUP(L1140, uom!C:C, uom!B:B, "Not Found")</f>
      </c>
      <c r="K1140" s="1" t="s">
        <v>5511</v>
      </c>
      <c r="L1140" s="5">
        <f>XLOOKUP(N1140, uom!C:C, uom!B:B, "Not Found")</f>
      </c>
      <c r="M1140" s="1" t="s">
        <v>5511</v>
      </c>
      <c r="N1140" s="8" t="s">
        <v>5512</v>
      </c>
      <c r="O1140" s="1" t="s">
        <v>5513</v>
      </c>
      <c r="P1140" s="5">
        <f>XLOOKUP(R1140, classification!C:C, classification!B:B, "Not Found")</f>
      </c>
      <c r="Q1140" s="1" t="s">
        <v>5514</v>
      </c>
      <c r="R1140" s="2"/>
      <c r="S1140" s="2"/>
      <c r="T1140" s="2"/>
      <c r="U1140" s="2"/>
    </row>
    <row x14ac:dyDescent="0.25" r="1141" customHeight="1" ht="17.25">
      <c r="A1141" s="7">
        <v>1140</v>
      </c>
      <c r="B1141" s="1" t="s">
        <v>6570</v>
      </c>
      <c r="C1141" s="5">
        <f>CONCATENATE("PD", TEXT(A1141, "1000000"))</f>
      </c>
      <c r="D1141" s="7">
        <v>66</v>
      </c>
      <c r="E1141" s="5">
        <f>XLOOKUP(G1141, item_category!C:C, item_category!B:B, "Not Found")</f>
      </c>
      <c r="F1141" s="1" t="s">
        <v>5617</v>
      </c>
      <c r="G1141" s="5">
        <f>XLOOKUP(I1141, drug!B:B, drug!A:A, "Not Found")</f>
      </c>
      <c r="H1141" s="1"/>
      <c r="I1141" s="7">
        <v>1</v>
      </c>
      <c r="J1141" s="5">
        <f>XLOOKUP(L1141, uom!C:C, uom!B:B, "Not Found")</f>
      </c>
      <c r="K1141" s="1" t="s">
        <v>5511</v>
      </c>
      <c r="L1141" s="5">
        <f>XLOOKUP(N1141, uom!C:C, uom!B:B, "Not Found")</f>
      </c>
      <c r="M1141" s="1" t="s">
        <v>5511</v>
      </c>
      <c r="N1141" s="8" t="s">
        <v>5512</v>
      </c>
      <c r="O1141" s="1" t="s">
        <v>5513</v>
      </c>
      <c r="P1141" s="5">
        <f>XLOOKUP(R1141, classification!C:C, classification!B:B, "Not Found")</f>
      </c>
      <c r="Q1141" s="1" t="s">
        <v>5514</v>
      </c>
      <c r="R1141" s="2"/>
      <c r="S1141" s="2"/>
      <c r="T1141" s="2"/>
      <c r="U1141" s="2"/>
    </row>
    <row x14ac:dyDescent="0.25" r="1142" customHeight="1" ht="17.25">
      <c r="A1142" s="7">
        <v>1141</v>
      </c>
      <c r="B1142" s="1" t="s">
        <v>6571</v>
      </c>
      <c r="C1142" s="5">
        <f>CONCATENATE("PD", TEXT(A1142, "1000000"))</f>
      </c>
      <c r="D1142" s="7">
        <v>66</v>
      </c>
      <c r="E1142" s="5">
        <f>XLOOKUP(G1142, item_category!C:C, item_category!B:B, "Not Found")</f>
      </c>
      <c r="F1142" s="1" t="s">
        <v>5617</v>
      </c>
      <c r="G1142" s="5">
        <f>XLOOKUP(I1142, drug!B:B, drug!A:A, "Not Found")</f>
      </c>
      <c r="H1142" s="1"/>
      <c r="I1142" s="7">
        <v>1</v>
      </c>
      <c r="J1142" s="5">
        <f>XLOOKUP(L1142, uom!C:C, uom!B:B, "Not Found")</f>
      </c>
      <c r="K1142" s="1" t="s">
        <v>5511</v>
      </c>
      <c r="L1142" s="5">
        <f>XLOOKUP(N1142, uom!C:C, uom!B:B, "Not Found")</f>
      </c>
      <c r="M1142" s="1" t="s">
        <v>5511</v>
      </c>
      <c r="N1142" s="8" t="s">
        <v>5512</v>
      </c>
      <c r="O1142" s="1" t="s">
        <v>5513</v>
      </c>
      <c r="P1142" s="5">
        <f>XLOOKUP(R1142, classification!C:C, classification!B:B, "Not Found")</f>
      </c>
      <c r="Q1142" s="1" t="s">
        <v>5514</v>
      </c>
      <c r="R1142" s="2"/>
      <c r="S1142" s="2"/>
      <c r="T1142" s="2"/>
      <c r="U1142" s="2"/>
    </row>
    <row x14ac:dyDescent="0.25" r="1143" customHeight="1" ht="17.25">
      <c r="A1143" s="7">
        <v>1142</v>
      </c>
      <c r="B1143" s="1" t="s">
        <v>6572</v>
      </c>
      <c r="C1143" s="5">
        <f>CONCATENATE("PD", TEXT(A1143, "1000000"))</f>
      </c>
      <c r="D1143" s="7">
        <v>66</v>
      </c>
      <c r="E1143" s="5">
        <f>XLOOKUP(G1143, item_category!C:C, item_category!B:B, "Not Found")</f>
      </c>
      <c r="F1143" s="1" t="s">
        <v>5617</v>
      </c>
      <c r="G1143" s="5">
        <f>XLOOKUP(I1143, drug!B:B, drug!A:A, "Not Found")</f>
      </c>
      <c r="H1143" s="1"/>
      <c r="I1143" s="7">
        <v>1</v>
      </c>
      <c r="J1143" s="5">
        <f>XLOOKUP(L1143, uom!C:C, uom!B:B, "Not Found")</f>
      </c>
      <c r="K1143" s="1" t="s">
        <v>5511</v>
      </c>
      <c r="L1143" s="5">
        <f>XLOOKUP(N1143, uom!C:C, uom!B:B, "Not Found")</f>
      </c>
      <c r="M1143" s="1" t="s">
        <v>5511</v>
      </c>
      <c r="N1143" s="8" t="s">
        <v>5512</v>
      </c>
      <c r="O1143" s="1" t="s">
        <v>5513</v>
      </c>
      <c r="P1143" s="5">
        <f>XLOOKUP(R1143, classification!C:C, classification!B:B, "Not Found")</f>
      </c>
      <c r="Q1143" s="1" t="s">
        <v>5514</v>
      </c>
      <c r="R1143" s="2"/>
      <c r="S1143" s="2"/>
      <c r="T1143" s="2"/>
      <c r="U1143" s="2"/>
    </row>
    <row x14ac:dyDescent="0.25" r="1144" customHeight="1" ht="17.25">
      <c r="A1144" s="7">
        <v>1143</v>
      </c>
      <c r="B1144" s="1" t="s">
        <v>6573</v>
      </c>
      <c r="C1144" s="5">
        <f>CONCATENATE("PD", TEXT(A1144, "1000000"))</f>
      </c>
      <c r="D1144" s="7">
        <v>66</v>
      </c>
      <c r="E1144" s="5">
        <f>XLOOKUP(G1144, item_category!C:C, item_category!B:B, "Not Found")</f>
      </c>
      <c r="F1144" s="1" t="s">
        <v>5617</v>
      </c>
      <c r="G1144" s="5">
        <f>XLOOKUP(I1144, drug!B:B, drug!A:A, "Not Found")</f>
      </c>
      <c r="H1144" s="1"/>
      <c r="I1144" s="7">
        <v>1</v>
      </c>
      <c r="J1144" s="5">
        <f>XLOOKUP(L1144, uom!C:C, uom!B:B, "Not Found")</f>
      </c>
      <c r="K1144" s="1" t="s">
        <v>5511</v>
      </c>
      <c r="L1144" s="5">
        <f>XLOOKUP(N1144, uom!C:C, uom!B:B, "Not Found")</f>
      </c>
      <c r="M1144" s="1" t="s">
        <v>5511</v>
      </c>
      <c r="N1144" s="8" t="s">
        <v>5512</v>
      </c>
      <c r="O1144" s="1" t="s">
        <v>5513</v>
      </c>
      <c r="P1144" s="5">
        <f>XLOOKUP(R1144, classification!C:C, classification!B:B, "Not Found")</f>
      </c>
      <c r="Q1144" s="1" t="s">
        <v>5514</v>
      </c>
      <c r="R1144" s="2"/>
      <c r="S1144" s="2"/>
      <c r="T1144" s="2"/>
      <c r="U1144" s="2"/>
    </row>
    <row x14ac:dyDescent="0.25" r="1145" customHeight="1" ht="17.25">
      <c r="A1145" s="7">
        <v>1144</v>
      </c>
      <c r="B1145" s="1" t="s">
        <v>6574</v>
      </c>
      <c r="C1145" s="5">
        <f>CONCATENATE("PD", TEXT(A1145, "1000000"))</f>
      </c>
      <c r="D1145" s="7">
        <v>66</v>
      </c>
      <c r="E1145" s="5">
        <f>XLOOKUP(G1145, item_category!C:C, item_category!B:B, "Not Found")</f>
      </c>
      <c r="F1145" s="1" t="s">
        <v>5617</v>
      </c>
      <c r="G1145" s="5">
        <f>XLOOKUP(I1145, drug!B:B, drug!A:A, "Not Found")</f>
      </c>
      <c r="H1145" s="1" t="s">
        <v>2112</v>
      </c>
      <c r="I1145" s="7">
        <v>1</v>
      </c>
      <c r="J1145" s="5">
        <f>XLOOKUP(L1145, uom!C:C, uom!B:B, "Not Found")</f>
      </c>
      <c r="K1145" s="1" t="s">
        <v>5511</v>
      </c>
      <c r="L1145" s="5">
        <f>XLOOKUP(N1145, uom!C:C, uom!B:B, "Not Found")</f>
      </c>
      <c r="M1145" s="1" t="s">
        <v>5511</v>
      </c>
      <c r="N1145" s="8" t="s">
        <v>5512</v>
      </c>
      <c r="O1145" s="1" t="s">
        <v>5513</v>
      </c>
      <c r="P1145" s="5">
        <f>XLOOKUP(R1145, classification!C:C, classification!B:B, "Not Found")</f>
      </c>
      <c r="Q1145" s="1" t="s">
        <v>5514</v>
      </c>
      <c r="R1145" s="2"/>
      <c r="S1145" s="2"/>
      <c r="T1145" s="2"/>
      <c r="U1145" s="2"/>
    </row>
    <row x14ac:dyDescent="0.25" r="1146" customHeight="1" ht="17.25">
      <c r="A1146" s="7">
        <v>1145</v>
      </c>
      <c r="B1146" s="1" t="s">
        <v>6575</v>
      </c>
      <c r="C1146" s="5">
        <f>CONCATENATE("PD", TEXT(A1146, "1000000"))</f>
      </c>
      <c r="D1146" s="7">
        <v>66</v>
      </c>
      <c r="E1146" s="5">
        <f>XLOOKUP(G1146, item_category!C:C, item_category!B:B, "Not Found")</f>
      </c>
      <c r="F1146" s="1" t="s">
        <v>5617</v>
      </c>
      <c r="G1146" s="5">
        <f>XLOOKUP(I1146, drug!B:B, drug!A:A, "Not Found")</f>
      </c>
      <c r="H1146" s="1"/>
      <c r="I1146" s="7">
        <v>1</v>
      </c>
      <c r="J1146" s="5">
        <f>XLOOKUP(L1146, uom!C:C, uom!B:B, "Not Found")</f>
      </c>
      <c r="K1146" s="1" t="s">
        <v>5511</v>
      </c>
      <c r="L1146" s="5">
        <f>XLOOKUP(N1146, uom!C:C, uom!B:B, "Not Found")</f>
      </c>
      <c r="M1146" s="1" t="s">
        <v>5511</v>
      </c>
      <c r="N1146" s="8" t="s">
        <v>5512</v>
      </c>
      <c r="O1146" s="1" t="s">
        <v>5513</v>
      </c>
      <c r="P1146" s="5">
        <f>XLOOKUP(R1146, classification!C:C, classification!B:B, "Not Found")</f>
      </c>
      <c r="Q1146" s="1" t="s">
        <v>5514</v>
      </c>
      <c r="R1146" s="2"/>
      <c r="S1146" s="2"/>
      <c r="T1146" s="2"/>
      <c r="U1146" s="2"/>
    </row>
    <row x14ac:dyDescent="0.25" r="1147" customHeight="1" ht="17.25">
      <c r="A1147" s="7">
        <v>1146</v>
      </c>
      <c r="B1147" s="1" t="s">
        <v>6576</v>
      </c>
      <c r="C1147" s="5">
        <f>CONCATENATE("PD", TEXT(A1147, "1000000"))</f>
      </c>
      <c r="D1147" s="7">
        <v>66</v>
      </c>
      <c r="E1147" s="5">
        <f>XLOOKUP(G1147, item_category!C:C, item_category!B:B, "Not Found")</f>
      </c>
      <c r="F1147" s="1" t="s">
        <v>5617</v>
      </c>
      <c r="G1147" s="5">
        <f>XLOOKUP(I1147, drug!B:B, drug!A:A, "Not Found")</f>
      </c>
      <c r="H1147" s="1"/>
      <c r="I1147" s="7">
        <v>1</v>
      </c>
      <c r="J1147" s="5">
        <f>XLOOKUP(L1147, uom!C:C, uom!B:B, "Not Found")</f>
      </c>
      <c r="K1147" s="1" t="s">
        <v>5511</v>
      </c>
      <c r="L1147" s="5">
        <f>XLOOKUP(N1147, uom!C:C, uom!B:B, "Not Found")</f>
      </c>
      <c r="M1147" s="1" t="s">
        <v>5511</v>
      </c>
      <c r="N1147" s="8" t="s">
        <v>5512</v>
      </c>
      <c r="O1147" s="1" t="s">
        <v>5513</v>
      </c>
      <c r="P1147" s="5">
        <f>XLOOKUP(R1147, classification!C:C, classification!B:B, "Not Found")</f>
      </c>
      <c r="Q1147" s="1" t="s">
        <v>5514</v>
      </c>
      <c r="R1147" s="2"/>
      <c r="S1147" s="2"/>
      <c r="T1147" s="2"/>
      <c r="U1147" s="2"/>
    </row>
    <row x14ac:dyDescent="0.25" r="1148" customHeight="1" ht="17.25">
      <c r="A1148" s="7">
        <v>1147</v>
      </c>
      <c r="B1148" s="1" t="s">
        <v>6577</v>
      </c>
      <c r="C1148" s="5">
        <f>CONCATENATE("PD", TEXT(A1148, "1000000"))</f>
      </c>
      <c r="D1148" s="7">
        <v>66</v>
      </c>
      <c r="E1148" s="5">
        <f>XLOOKUP(G1148, item_category!C:C, item_category!B:B, "Not Found")</f>
      </c>
      <c r="F1148" s="1" t="s">
        <v>5617</v>
      </c>
      <c r="G1148" s="5">
        <f>XLOOKUP(I1148, drug!B:B, drug!A:A, "Not Found")</f>
      </c>
      <c r="H1148" s="1"/>
      <c r="I1148" s="7">
        <v>700</v>
      </c>
      <c r="J1148" s="5">
        <f>XLOOKUP(L1148, uom!C:C, uom!B:B, "Not Found")</f>
      </c>
      <c r="K1148" s="1" t="s">
        <v>5618</v>
      </c>
      <c r="L1148" s="5">
        <f>XLOOKUP(N1148, uom!C:C, uom!B:B, "Not Found")</f>
      </c>
      <c r="M1148" s="1" t="s">
        <v>5618</v>
      </c>
      <c r="N1148" s="8" t="s">
        <v>5524</v>
      </c>
      <c r="O1148" s="1" t="s">
        <v>5525</v>
      </c>
      <c r="P1148" s="5">
        <f>XLOOKUP(R1148, classification!C:C, classification!B:B, "Not Found")</f>
      </c>
      <c r="Q1148" s="1" t="s">
        <v>5514</v>
      </c>
      <c r="R1148" s="2"/>
      <c r="S1148" s="2"/>
      <c r="T1148" s="2"/>
      <c r="U1148" s="2"/>
    </row>
    <row x14ac:dyDescent="0.25" r="1149" customHeight="1" ht="17.25">
      <c r="A1149" s="7">
        <v>1148</v>
      </c>
      <c r="B1149" s="1" t="s">
        <v>6578</v>
      </c>
      <c r="C1149" s="5">
        <f>CONCATENATE("PD", TEXT(A1149, "1000000"))</f>
      </c>
      <c r="D1149" s="7">
        <v>66</v>
      </c>
      <c r="E1149" s="5">
        <f>XLOOKUP(G1149, item_category!C:C, item_category!B:B, "Not Found")</f>
      </c>
      <c r="F1149" s="1" t="s">
        <v>5617</v>
      </c>
      <c r="G1149" s="5">
        <f>XLOOKUP(I1149, drug!B:B, drug!A:A, "Not Found")</f>
      </c>
      <c r="H1149" s="1"/>
      <c r="I1149" s="7">
        <v>1</v>
      </c>
      <c r="J1149" s="5">
        <f>XLOOKUP(L1149, uom!C:C, uom!B:B, "Not Found")</f>
      </c>
      <c r="K1149" s="1" t="s">
        <v>5511</v>
      </c>
      <c r="L1149" s="5">
        <f>XLOOKUP(N1149, uom!C:C, uom!B:B, "Not Found")</f>
      </c>
      <c r="M1149" s="1" t="s">
        <v>5511</v>
      </c>
      <c r="N1149" s="8" t="s">
        <v>5512</v>
      </c>
      <c r="O1149" s="1" t="s">
        <v>5513</v>
      </c>
      <c r="P1149" s="5">
        <f>XLOOKUP(R1149, classification!C:C, classification!B:B, "Not Found")</f>
      </c>
      <c r="Q1149" s="1" t="s">
        <v>5514</v>
      </c>
      <c r="R1149" s="2"/>
      <c r="S1149" s="2"/>
      <c r="T1149" s="2"/>
      <c r="U1149" s="2"/>
    </row>
    <row x14ac:dyDescent="0.25" r="1150" customHeight="1" ht="17.25">
      <c r="A1150" s="7">
        <v>1149</v>
      </c>
      <c r="B1150" s="1" t="s">
        <v>6579</v>
      </c>
      <c r="C1150" s="5">
        <f>CONCATENATE("PD", TEXT(A1150, "1000000"))</f>
      </c>
      <c r="D1150" s="7">
        <v>66</v>
      </c>
      <c r="E1150" s="5">
        <f>XLOOKUP(G1150, item_category!C:C, item_category!B:B, "Not Found")</f>
      </c>
      <c r="F1150" s="1" t="s">
        <v>5617</v>
      </c>
      <c r="G1150" s="5">
        <f>XLOOKUP(I1150, drug!B:B, drug!A:A, "Not Found")</f>
      </c>
      <c r="H1150" s="1"/>
      <c r="I1150" s="7">
        <v>1</v>
      </c>
      <c r="J1150" s="5">
        <f>XLOOKUP(L1150, uom!C:C, uom!B:B, "Not Found")</f>
      </c>
      <c r="K1150" s="1" t="s">
        <v>5511</v>
      </c>
      <c r="L1150" s="5">
        <f>XLOOKUP(N1150, uom!C:C, uom!B:B, "Not Found")</f>
      </c>
      <c r="M1150" s="1" t="s">
        <v>5511</v>
      </c>
      <c r="N1150" s="8" t="s">
        <v>5512</v>
      </c>
      <c r="O1150" s="1" t="s">
        <v>5513</v>
      </c>
      <c r="P1150" s="5">
        <f>XLOOKUP(R1150, classification!C:C, classification!B:B, "Not Found")</f>
      </c>
      <c r="Q1150" s="1" t="s">
        <v>5514</v>
      </c>
      <c r="R1150" s="2"/>
      <c r="S1150" s="2"/>
      <c r="T1150" s="2"/>
      <c r="U1150" s="2"/>
    </row>
    <row x14ac:dyDescent="0.25" r="1151" customHeight="1" ht="17.25">
      <c r="A1151" s="7">
        <v>1150</v>
      </c>
      <c r="B1151" s="1" t="s">
        <v>6580</v>
      </c>
      <c r="C1151" s="5">
        <f>CONCATENATE("PD", TEXT(A1151, "1000000"))</f>
      </c>
      <c r="D1151" s="7">
        <v>66</v>
      </c>
      <c r="E1151" s="5">
        <f>XLOOKUP(G1151, item_category!C:C, item_category!B:B, "Not Found")</f>
      </c>
      <c r="F1151" s="1" t="s">
        <v>5617</v>
      </c>
      <c r="G1151" s="5">
        <f>XLOOKUP(I1151, drug!B:B, drug!A:A, "Not Found")</f>
      </c>
      <c r="H1151" s="1"/>
      <c r="I1151" s="7">
        <v>1</v>
      </c>
      <c r="J1151" s="5">
        <f>XLOOKUP(L1151, uom!C:C, uom!B:B, "Not Found")</f>
      </c>
      <c r="K1151" s="1" t="s">
        <v>5511</v>
      </c>
      <c r="L1151" s="5">
        <f>XLOOKUP(N1151, uom!C:C, uom!B:B, "Not Found")</f>
      </c>
      <c r="M1151" s="1" t="s">
        <v>5511</v>
      </c>
      <c r="N1151" s="8" t="s">
        <v>5512</v>
      </c>
      <c r="O1151" s="1" t="s">
        <v>5513</v>
      </c>
      <c r="P1151" s="5">
        <f>XLOOKUP(R1151, classification!C:C, classification!B:B, "Not Found")</f>
      </c>
      <c r="Q1151" s="1" t="s">
        <v>5514</v>
      </c>
      <c r="R1151" s="2"/>
      <c r="S1151" s="2"/>
      <c r="T1151" s="2"/>
      <c r="U1151" s="2"/>
    </row>
    <row x14ac:dyDescent="0.25" r="1152" customHeight="1" ht="17.25">
      <c r="A1152" s="7">
        <v>1151</v>
      </c>
      <c r="B1152" s="1" t="s">
        <v>6581</v>
      </c>
      <c r="C1152" s="5">
        <f>CONCATENATE("PD", TEXT(A1152, "1000000"))</f>
      </c>
      <c r="D1152" s="7">
        <v>66</v>
      </c>
      <c r="E1152" s="5">
        <f>XLOOKUP(G1152, item_category!C:C, item_category!B:B, "Not Found")</f>
      </c>
      <c r="F1152" s="1" t="s">
        <v>5617</v>
      </c>
      <c r="G1152" s="5">
        <f>XLOOKUP(I1152, drug!B:B, drug!A:A, "Not Found")</f>
      </c>
      <c r="H1152" s="1" t="s">
        <v>676</v>
      </c>
      <c r="I1152" s="7">
        <v>1</v>
      </c>
      <c r="J1152" s="5">
        <f>XLOOKUP(L1152, uom!C:C, uom!B:B, "Not Found")</f>
      </c>
      <c r="K1152" s="1" t="s">
        <v>5511</v>
      </c>
      <c r="L1152" s="5">
        <f>XLOOKUP(N1152, uom!C:C, uom!B:B, "Not Found")</f>
      </c>
      <c r="M1152" s="1" t="s">
        <v>5511</v>
      </c>
      <c r="N1152" s="8" t="s">
        <v>5512</v>
      </c>
      <c r="O1152" s="1" t="s">
        <v>5513</v>
      </c>
      <c r="P1152" s="5">
        <f>XLOOKUP(R1152, classification!C:C, classification!B:B, "Not Found")</f>
      </c>
      <c r="Q1152" s="1" t="s">
        <v>5514</v>
      </c>
      <c r="R1152" s="2"/>
      <c r="S1152" s="2"/>
      <c r="T1152" s="2"/>
      <c r="U1152" s="2"/>
    </row>
    <row x14ac:dyDescent="0.25" r="1153" customHeight="1" ht="17.25">
      <c r="A1153" s="7">
        <v>1152</v>
      </c>
      <c r="B1153" s="1" t="s">
        <v>6582</v>
      </c>
      <c r="C1153" s="5">
        <f>CONCATENATE("PD", TEXT(A1153, "1000000"))</f>
      </c>
      <c r="D1153" s="7">
        <v>66</v>
      </c>
      <c r="E1153" s="5">
        <f>XLOOKUP(G1153, item_category!C:C, item_category!B:B, "Not Found")</f>
      </c>
      <c r="F1153" s="1" t="s">
        <v>5617</v>
      </c>
      <c r="G1153" s="5">
        <f>XLOOKUP(I1153, drug!B:B, drug!A:A, "Not Found")</f>
      </c>
      <c r="H1153" s="1" t="s">
        <v>1532</v>
      </c>
      <c r="I1153" s="7">
        <v>1</v>
      </c>
      <c r="J1153" s="5">
        <f>XLOOKUP(L1153, uom!C:C, uom!B:B, "Not Found")</f>
      </c>
      <c r="K1153" s="1" t="s">
        <v>5511</v>
      </c>
      <c r="L1153" s="5">
        <f>XLOOKUP(N1153, uom!C:C, uom!B:B, "Not Found")</f>
      </c>
      <c r="M1153" s="1" t="s">
        <v>5511</v>
      </c>
      <c r="N1153" s="8" t="s">
        <v>5512</v>
      </c>
      <c r="O1153" s="1" t="s">
        <v>5513</v>
      </c>
      <c r="P1153" s="5">
        <f>XLOOKUP(R1153, classification!C:C, classification!B:B, "Not Found")</f>
      </c>
      <c r="Q1153" s="1" t="s">
        <v>5514</v>
      </c>
      <c r="R1153" s="2"/>
      <c r="S1153" s="2"/>
      <c r="T1153" s="2"/>
      <c r="U1153" s="2"/>
    </row>
    <row x14ac:dyDescent="0.25" r="1154" customHeight="1" ht="17.25">
      <c r="A1154" s="7">
        <v>1153</v>
      </c>
      <c r="B1154" s="1" t="s">
        <v>6583</v>
      </c>
      <c r="C1154" s="5">
        <f>CONCATENATE("PD", TEXT(A1154, "1000000"))</f>
      </c>
      <c r="D1154" s="7">
        <v>66</v>
      </c>
      <c r="E1154" s="5">
        <f>XLOOKUP(G1154, item_category!C:C, item_category!B:B, "Not Found")</f>
      </c>
      <c r="F1154" s="1" t="s">
        <v>5617</v>
      </c>
      <c r="G1154" s="5">
        <f>XLOOKUP(I1154, drug!B:B, drug!A:A, "Not Found")</f>
      </c>
      <c r="H1154" s="1"/>
      <c r="I1154" s="7">
        <v>1</v>
      </c>
      <c r="J1154" s="5">
        <f>XLOOKUP(L1154, uom!C:C, uom!B:B, "Not Found")</f>
      </c>
      <c r="K1154" s="1" t="s">
        <v>5511</v>
      </c>
      <c r="L1154" s="5">
        <f>XLOOKUP(N1154, uom!C:C, uom!B:B, "Not Found")</f>
      </c>
      <c r="M1154" s="1" t="s">
        <v>5511</v>
      </c>
      <c r="N1154" s="8" t="s">
        <v>5512</v>
      </c>
      <c r="O1154" s="1" t="s">
        <v>5513</v>
      </c>
      <c r="P1154" s="5">
        <f>XLOOKUP(R1154, classification!C:C, classification!B:B, "Not Found")</f>
      </c>
      <c r="Q1154" s="1" t="s">
        <v>5514</v>
      </c>
      <c r="R1154" s="2"/>
      <c r="S1154" s="2"/>
      <c r="T1154" s="2"/>
      <c r="U1154" s="2"/>
    </row>
    <row x14ac:dyDescent="0.25" r="1155" customHeight="1" ht="17.25">
      <c r="A1155" s="7">
        <v>1154</v>
      </c>
      <c r="B1155" s="1" t="s">
        <v>2490</v>
      </c>
      <c r="C1155" s="5">
        <f>CONCATENATE("PD", TEXT(A1155, "1000000"))</f>
      </c>
      <c r="D1155" s="7">
        <v>66</v>
      </c>
      <c r="E1155" s="5">
        <f>XLOOKUP(G1155, item_category!C:C, item_category!B:B, "Not Found")</f>
      </c>
      <c r="F1155" s="1" t="s">
        <v>5617</v>
      </c>
      <c r="G1155" s="5">
        <f>XLOOKUP(I1155, drug!B:B, drug!A:A, "Not Found")</f>
      </c>
      <c r="H1155" s="1"/>
      <c r="I1155" s="7">
        <v>1</v>
      </c>
      <c r="J1155" s="5">
        <f>XLOOKUP(L1155, uom!C:C, uom!B:B, "Not Found")</f>
      </c>
      <c r="K1155" s="1" t="s">
        <v>5511</v>
      </c>
      <c r="L1155" s="5">
        <f>XLOOKUP(N1155, uom!C:C, uom!B:B, "Not Found")</f>
      </c>
      <c r="M1155" s="1" t="s">
        <v>5511</v>
      </c>
      <c r="N1155" s="8" t="s">
        <v>5512</v>
      </c>
      <c r="O1155" s="1" t="s">
        <v>5513</v>
      </c>
      <c r="P1155" s="5">
        <f>XLOOKUP(R1155, classification!C:C, classification!B:B, "Not Found")</f>
      </c>
      <c r="Q1155" s="1" t="s">
        <v>5514</v>
      </c>
      <c r="R1155" s="2"/>
      <c r="S1155" s="2"/>
      <c r="T1155" s="2"/>
      <c r="U1155" s="2"/>
    </row>
    <row x14ac:dyDescent="0.25" r="1156" customHeight="1" ht="17.25">
      <c r="A1156" s="7">
        <v>1155</v>
      </c>
      <c r="B1156" s="1" t="s">
        <v>6584</v>
      </c>
      <c r="C1156" s="5">
        <f>CONCATENATE("PD", TEXT(A1156, "1000000"))</f>
      </c>
      <c r="D1156" s="7">
        <v>66</v>
      </c>
      <c r="E1156" s="5">
        <f>XLOOKUP(G1156, item_category!C:C, item_category!B:B, "Not Found")</f>
      </c>
      <c r="F1156" s="1" t="s">
        <v>5617</v>
      </c>
      <c r="G1156" s="5">
        <f>XLOOKUP(I1156, drug!B:B, drug!A:A, "Not Found")</f>
      </c>
      <c r="H1156" s="1"/>
      <c r="I1156" s="7">
        <v>1</v>
      </c>
      <c r="J1156" s="5">
        <f>XLOOKUP(L1156, uom!C:C, uom!B:B, "Not Found")</f>
      </c>
      <c r="K1156" s="1" t="s">
        <v>5511</v>
      </c>
      <c r="L1156" s="5">
        <f>XLOOKUP(N1156, uom!C:C, uom!B:B, "Not Found")</f>
      </c>
      <c r="M1156" s="1" t="s">
        <v>5511</v>
      </c>
      <c r="N1156" s="8" t="s">
        <v>5512</v>
      </c>
      <c r="O1156" s="1" t="s">
        <v>5513</v>
      </c>
      <c r="P1156" s="5">
        <f>XLOOKUP(R1156, classification!C:C, classification!B:B, "Not Found")</f>
      </c>
      <c r="Q1156" s="1" t="s">
        <v>5514</v>
      </c>
      <c r="R1156" s="2"/>
      <c r="S1156" s="2"/>
      <c r="T1156" s="2"/>
      <c r="U1156" s="2"/>
    </row>
    <row x14ac:dyDescent="0.25" r="1157" customHeight="1" ht="17.25">
      <c r="A1157" s="7">
        <v>1156</v>
      </c>
      <c r="B1157" s="1" t="s">
        <v>6585</v>
      </c>
      <c r="C1157" s="5">
        <f>CONCATENATE("PD", TEXT(A1157, "1000000"))</f>
      </c>
      <c r="D1157" s="7">
        <v>66</v>
      </c>
      <c r="E1157" s="5">
        <f>XLOOKUP(G1157, item_category!C:C, item_category!B:B, "Not Found")</f>
      </c>
      <c r="F1157" s="1" t="s">
        <v>5617</v>
      </c>
      <c r="G1157" s="5">
        <f>XLOOKUP(I1157, drug!B:B, drug!A:A, "Not Found")</f>
      </c>
      <c r="H1157" s="1"/>
      <c r="I1157" s="7">
        <v>1</v>
      </c>
      <c r="J1157" s="5">
        <f>XLOOKUP(L1157, uom!C:C, uom!B:B, "Not Found")</f>
      </c>
      <c r="K1157" s="1" t="s">
        <v>5511</v>
      </c>
      <c r="L1157" s="5">
        <f>XLOOKUP(N1157, uom!C:C, uom!B:B, "Not Found")</f>
      </c>
      <c r="M1157" s="1" t="s">
        <v>5511</v>
      </c>
      <c r="N1157" s="8" t="s">
        <v>5512</v>
      </c>
      <c r="O1157" s="1" t="s">
        <v>5513</v>
      </c>
      <c r="P1157" s="5">
        <f>XLOOKUP(R1157, classification!C:C, classification!B:B, "Not Found")</f>
      </c>
      <c r="Q1157" s="1" t="s">
        <v>5514</v>
      </c>
      <c r="R1157" s="2"/>
      <c r="S1157" s="2"/>
      <c r="T1157" s="2"/>
      <c r="U1157" s="2"/>
    </row>
    <row x14ac:dyDescent="0.25" r="1158" customHeight="1" ht="17.25">
      <c r="A1158" s="7">
        <v>1157</v>
      </c>
      <c r="B1158" s="1" t="s">
        <v>6586</v>
      </c>
      <c r="C1158" s="5">
        <f>CONCATENATE("PD", TEXT(A1158, "1000000"))</f>
      </c>
      <c r="D1158" s="7">
        <v>66</v>
      </c>
      <c r="E1158" s="5">
        <f>XLOOKUP(G1158, item_category!C:C, item_category!B:B, "Not Found")</f>
      </c>
      <c r="F1158" s="1" t="s">
        <v>5617</v>
      </c>
      <c r="G1158" s="5">
        <f>XLOOKUP(I1158, drug!B:B, drug!A:A, "Not Found")</f>
      </c>
      <c r="H1158" s="1" t="s">
        <v>1252</v>
      </c>
      <c r="I1158" s="7">
        <v>1</v>
      </c>
      <c r="J1158" s="5">
        <f>XLOOKUP(L1158, uom!C:C, uom!B:B, "Not Found")</f>
      </c>
      <c r="K1158" s="1" t="s">
        <v>5511</v>
      </c>
      <c r="L1158" s="5">
        <f>XLOOKUP(N1158, uom!C:C, uom!B:B, "Not Found")</f>
      </c>
      <c r="M1158" s="1" t="s">
        <v>5511</v>
      </c>
      <c r="N1158" s="8" t="s">
        <v>5512</v>
      </c>
      <c r="O1158" s="1" t="s">
        <v>5513</v>
      </c>
      <c r="P1158" s="5">
        <f>XLOOKUP(R1158, classification!C:C, classification!B:B, "Not Found")</f>
      </c>
      <c r="Q1158" s="1" t="s">
        <v>5514</v>
      </c>
      <c r="R1158" s="2"/>
      <c r="S1158" s="2"/>
      <c r="T1158" s="2"/>
      <c r="U1158" s="2"/>
    </row>
    <row x14ac:dyDescent="0.25" r="1159" customHeight="1" ht="17.25">
      <c r="A1159" s="7">
        <v>1158</v>
      </c>
      <c r="B1159" s="1" t="s">
        <v>6587</v>
      </c>
      <c r="C1159" s="5">
        <f>CONCATENATE("PD", TEXT(A1159, "1000000"))</f>
      </c>
      <c r="D1159" s="7">
        <v>66</v>
      </c>
      <c r="E1159" s="5">
        <f>XLOOKUP(G1159, item_category!C:C, item_category!B:B, "Not Found")</f>
      </c>
      <c r="F1159" s="1" t="s">
        <v>5617</v>
      </c>
      <c r="G1159" s="5">
        <f>XLOOKUP(I1159, drug!B:B, drug!A:A, "Not Found")</f>
      </c>
      <c r="H1159" s="1"/>
      <c r="I1159" s="7">
        <v>1</v>
      </c>
      <c r="J1159" s="5">
        <f>XLOOKUP(L1159, uom!C:C, uom!B:B, "Not Found")</f>
      </c>
      <c r="K1159" s="1" t="s">
        <v>5511</v>
      </c>
      <c r="L1159" s="5">
        <f>XLOOKUP(N1159, uom!C:C, uom!B:B, "Not Found")</f>
      </c>
      <c r="M1159" s="1" t="s">
        <v>5511</v>
      </c>
      <c r="N1159" s="8" t="s">
        <v>5512</v>
      </c>
      <c r="O1159" s="1" t="s">
        <v>5513</v>
      </c>
      <c r="P1159" s="5">
        <f>XLOOKUP(R1159, classification!C:C, classification!B:B, "Not Found")</f>
      </c>
      <c r="Q1159" s="1" t="s">
        <v>5514</v>
      </c>
      <c r="R1159" s="2"/>
      <c r="S1159" s="2"/>
      <c r="T1159" s="2"/>
      <c r="U1159" s="2"/>
    </row>
    <row x14ac:dyDescent="0.25" r="1160" customHeight="1" ht="17.25">
      <c r="A1160" s="7">
        <v>1159</v>
      </c>
      <c r="B1160" s="1" t="s">
        <v>6588</v>
      </c>
      <c r="C1160" s="5">
        <f>CONCATENATE("PD", TEXT(A1160, "1000000"))</f>
      </c>
      <c r="D1160" s="7">
        <v>66</v>
      </c>
      <c r="E1160" s="5">
        <f>XLOOKUP(G1160, item_category!C:C, item_category!B:B, "Not Found")</f>
      </c>
      <c r="F1160" s="1" t="s">
        <v>5617</v>
      </c>
      <c r="G1160" s="5">
        <f>XLOOKUP(I1160, drug!B:B, drug!A:A, "Not Found")</f>
      </c>
      <c r="H1160" s="1"/>
      <c r="I1160" s="7">
        <v>1</v>
      </c>
      <c r="J1160" s="5">
        <f>XLOOKUP(L1160, uom!C:C, uom!B:B, "Not Found")</f>
      </c>
      <c r="K1160" s="1" t="s">
        <v>5511</v>
      </c>
      <c r="L1160" s="5">
        <f>XLOOKUP(N1160, uom!C:C, uom!B:B, "Not Found")</f>
      </c>
      <c r="M1160" s="1" t="s">
        <v>5511</v>
      </c>
      <c r="N1160" s="8" t="s">
        <v>5512</v>
      </c>
      <c r="O1160" s="1" t="s">
        <v>5513</v>
      </c>
      <c r="P1160" s="5">
        <f>XLOOKUP(R1160, classification!C:C, classification!B:B, "Not Found")</f>
      </c>
      <c r="Q1160" s="1" t="s">
        <v>5514</v>
      </c>
      <c r="R1160" s="2"/>
      <c r="S1160" s="2"/>
      <c r="T1160" s="2"/>
      <c r="U1160" s="2"/>
    </row>
    <row x14ac:dyDescent="0.25" r="1161" customHeight="1" ht="17.25">
      <c r="A1161" s="7">
        <v>1160</v>
      </c>
      <c r="B1161" s="1" t="s">
        <v>6589</v>
      </c>
      <c r="C1161" s="5">
        <f>CONCATENATE("PD", TEXT(A1161, "1000000"))</f>
      </c>
      <c r="D1161" s="7">
        <v>66</v>
      </c>
      <c r="E1161" s="5">
        <f>XLOOKUP(G1161, item_category!C:C, item_category!B:B, "Not Found")</f>
      </c>
      <c r="F1161" s="1" t="s">
        <v>5617</v>
      </c>
      <c r="G1161" s="5">
        <f>XLOOKUP(I1161, drug!B:B, drug!A:A, "Not Found")</f>
      </c>
      <c r="H1161" s="1"/>
      <c r="I1161" s="7">
        <v>1</v>
      </c>
      <c r="J1161" s="5">
        <f>XLOOKUP(L1161, uom!C:C, uom!B:B, "Not Found")</f>
      </c>
      <c r="K1161" s="1" t="s">
        <v>5511</v>
      </c>
      <c r="L1161" s="5">
        <f>XLOOKUP(N1161, uom!C:C, uom!B:B, "Not Found")</f>
      </c>
      <c r="M1161" s="1" t="s">
        <v>5511</v>
      </c>
      <c r="N1161" s="8" t="s">
        <v>5512</v>
      </c>
      <c r="O1161" s="1" t="s">
        <v>5513</v>
      </c>
      <c r="P1161" s="5">
        <f>XLOOKUP(R1161, classification!C:C, classification!B:B, "Not Found")</f>
      </c>
      <c r="Q1161" s="1" t="s">
        <v>5514</v>
      </c>
      <c r="R1161" s="2"/>
      <c r="S1161" s="2"/>
      <c r="T1161" s="2"/>
      <c r="U1161" s="2"/>
    </row>
    <row x14ac:dyDescent="0.25" r="1162" customHeight="1" ht="17.25">
      <c r="A1162" s="7">
        <v>1161</v>
      </c>
      <c r="B1162" s="1" t="s">
        <v>6590</v>
      </c>
      <c r="C1162" s="5">
        <f>CONCATENATE("PD", TEXT(A1162, "1000000"))</f>
      </c>
      <c r="D1162" s="7">
        <v>66</v>
      </c>
      <c r="E1162" s="5">
        <f>XLOOKUP(G1162, item_category!C:C, item_category!B:B, "Not Found")</f>
      </c>
      <c r="F1162" s="1" t="s">
        <v>5617</v>
      </c>
      <c r="G1162" s="5">
        <f>XLOOKUP(I1162, drug!B:B, drug!A:A, "Not Found")</f>
      </c>
      <c r="H1162" s="1"/>
      <c r="I1162" s="7">
        <v>1</v>
      </c>
      <c r="J1162" s="5">
        <f>XLOOKUP(L1162, uom!C:C, uom!B:B, "Not Found")</f>
      </c>
      <c r="K1162" s="1" t="s">
        <v>5511</v>
      </c>
      <c r="L1162" s="5">
        <f>XLOOKUP(N1162, uom!C:C, uom!B:B, "Not Found")</f>
      </c>
      <c r="M1162" s="1" t="s">
        <v>5511</v>
      </c>
      <c r="N1162" s="8" t="s">
        <v>5512</v>
      </c>
      <c r="O1162" s="1" t="s">
        <v>5513</v>
      </c>
      <c r="P1162" s="5">
        <f>XLOOKUP(R1162, classification!C:C, classification!B:B, "Not Found")</f>
      </c>
      <c r="Q1162" s="1" t="s">
        <v>5514</v>
      </c>
      <c r="R1162" s="2"/>
      <c r="S1162" s="2"/>
      <c r="T1162" s="2"/>
      <c r="U1162" s="2"/>
    </row>
    <row x14ac:dyDescent="0.25" r="1163" customHeight="1" ht="17.25">
      <c r="A1163" s="7">
        <v>1162</v>
      </c>
      <c r="B1163" s="1" t="s">
        <v>6591</v>
      </c>
      <c r="C1163" s="5">
        <f>CONCATENATE("PD", TEXT(A1163, "1000000"))</f>
      </c>
      <c r="D1163" s="7">
        <v>66</v>
      </c>
      <c r="E1163" s="5">
        <f>XLOOKUP(G1163, item_category!C:C, item_category!B:B, "Not Found")</f>
      </c>
      <c r="F1163" s="1" t="s">
        <v>5617</v>
      </c>
      <c r="G1163" s="5">
        <f>XLOOKUP(I1163, drug!B:B, drug!A:A, "Not Found")</f>
      </c>
      <c r="H1163" s="1" t="s">
        <v>1942</v>
      </c>
      <c r="I1163" s="7">
        <v>1</v>
      </c>
      <c r="J1163" s="5">
        <f>XLOOKUP(L1163, uom!C:C, uom!B:B, "Not Found")</f>
      </c>
      <c r="K1163" s="1" t="s">
        <v>5511</v>
      </c>
      <c r="L1163" s="5">
        <f>XLOOKUP(N1163, uom!C:C, uom!B:B, "Not Found")</f>
      </c>
      <c r="M1163" s="1" t="s">
        <v>5511</v>
      </c>
      <c r="N1163" s="8" t="s">
        <v>5512</v>
      </c>
      <c r="O1163" s="1" t="s">
        <v>5513</v>
      </c>
      <c r="P1163" s="5">
        <f>XLOOKUP(R1163, classification!C:C, classification!B:B, "Not Found")</f>
      </c>
      <c r="Q1163" s="1" t="s">
        <v>5514</v>
      </c>
      <c r="R1163" s="2"/>
      <c r="S1163" s="2"/>
      <c r="T1163" s="2"/>
      <c r="U1163" s="2"/>
    </row>
    <row x14ac:dyDescent="0.25" r="1164" customHeight="1" ht="17.25">
      <c r="A1164" s="7">
        <v>1163</v>
      </c>
      <c r="B1164" s="1" t="s">
        <v>6592</v>
      </c>
      <c r="C1164" s="5">
        <f>CONCATENATE("PD", TEXT(A1164, "1000000"))</f>
      </c>
      <c r="D1164" s="7">
        <v>66</v>
      </c>
      <c r="E1164" s="5">
        <f>XLOOKUP(G1164, item_category!C:C, item_category!B:B, "Not Found")</f>
      </c>
      <c r="F1164" s="1" t="s">
        <v>5617</v>
      </c>
      <c r="G1164" s="5">
        <f>XLOOKUP(I1164, drug!B:B, drug!A:A, "Not Found")</f>
      </c>
      <c r="H1164" s="1"/>
      <c r="I1164" s="7">
        <v>1</v>
      </c>
      <c r="J1164" s="5">
        <f>XLOOKUP(L1164, uom!C:C, uom!B:B, "Not Found")</f>
      </c>
      <c r="K1164" s="1" t="s">
        <v>5511</v>
      </c>
      <c r="L1164" s="5">
        <f>XLOOKUP(N1164, uom!C:C, uom!B:B, "Not Found")</f>
      </c>
      <c r="M1164" s="1" t="s">
        <v>5511</v>
      </c>
      <c r="N1164" s="8" t="s">
        <v>5512</v>
      </c>
      <c r="O1164" s="1" t="s">
        <v>5513</v>
      </c>
      <c r="P1164" s="5">
        <f>XLOOKUP(R1164, classification!C:C, classification!B:B, "Not Found")</f>
      </c>
      <c r="Q1164" s="1" t="s">
        <v>5514</v>
      </c>
      <c r="R1164" s="2"/>
      <c r="S1164" s="2"/>
      <c r="T1164" s="2"/>
      <c r="U1164" s="2"/>
    </row>
    <row x14ac:dyDescent="0.25" r="1165" customHeight="1" ht="17.25">
      <c r="A1165" s="7">
        <v>1164</v>
      </c>
      <c r="B1165" s="1" t="s">
        <v>6593</v>
      </c>
      <c r="C1165" s="5">
        <f>CONCATENATE("PD", TEXT(A1165, "1000000"))</f>
      </c>
      <c r="D1165" s="7">
        <v>66</v>
      </c>
      <c r="E1165" s="5">
        <f>XLOOKUP(G1165, item_category!C:C, item_category!B:B, "Not Found")</f>
      </c>
      <c r="F1165" s="1" t="s">
        <v>5617</v>
      </c>
      <c r="G1165" s="5">
        <f>XLOOKUP(I1165, drug!B:B, drug!A:A, "Not Found")</f>
      </c>
      <c r="H1165" s="1" t="s">
        <v>1532</v>
      </c>
      <c r="I1165" s="7">
        <v>1</v>
      </c>
      <c r="J1165" s="5">
        <f>XLOOKUP(L1165, uom!C:C, uom!B:B, "Not Found")</f>
      </c>
      <c r="K1165" s="1" t="s">
        <v>5511</v>
      </c>
      <c r="L1165" s="5">
        <f>XLOOKUP(N1165, uom!C:C, uom!B:B, "Not Found")</f>
      </c>
      <c r="M1165" s="1" t="s">
        <v>5511</v>
      </c>
      <c r="N1165" s="8" t="s">
        <v>5512</v>
      </c>
      <c r="O1165" s="1" t="s">
        <v>5513</v>
      </c>
      <c r="P1165" s="5">
        <f>XLOOKUP(R1165, classification!C:C, classification!B:B, "Not Found")</f>
      </c>
      <c r="Q1165" s="1" t="s">
        <v>5514</v>
      </c>
      <c r="R1165" s="2"/>
      <c r="S1165" s="2"/>
      <c r="T1165" s="2"/>
      <c r="U1165" s="2"/>
    </row>
    <row x14ac:dyDescent="0.25" r="1166" customHeight="1" ht="17.25">
      <c r="A1166" s="7">
        <v>1165</v>
      </c>
      <c r="B1166" s="1" t="s">
        <v>2492</v>
      </c>
      <c r="C1166" s="5">
        <f>CONCATENATE("PD", TEXT(A1166, "1000000"))</f>
      </c>
      <c r="D1166" s="7">
        <v>66</v>
      </c>
      <c r="E1166" s="5">
        <f>XLOOKUP(G1166, item_category!C:C, item_category!B:B, "Not Found")</f>
      </c>
      <c r="F1166" s="1" t="s">
        <v>5617</v>
      </c>
      <c r="G1166" s="5">
        <f>XLOOKUP(I1166, drug!B:B, drug!A:A, "Not Found")</f>
      </c>
      <c r="H1166" s="1"/>
      <c r="I1166" s="7">
        <v>1</v>
      </c>
      <c r="J1166" s="5">
        <f>XLOOKUP(L1166, uom!C:C, uom!B:B, "Not Found")</f>
      </c>
      <c r="K1166" s="1" t="s">
        <v>5511</v>
      </c>
      <c r="L1166" s="5">
        <f>XLOOKUP(N1166, uom!C:C, uom!B:B, "Not Found")</f>
      </c>
      <c r="M1166" s="1" t="s">
        <v>5511</v>
      </c>
      <c r="N1166" s="8" t="s">
        <v>5512</v>
      </c>
      <c r="O1166" s="1" t="s">
        <v>5513</v>
      </c>
      <c r="P1166" s="5">
        <f>XLOOKUP(R1166, classification!C:C, classification!B:B, "Not Found")</f>
      </c>
      <c r="Q1166" s="1" t="s">
        <v>5514</v>
      </c>
      <c r="R1166" s="2"/>
      <c r="S1166" s="2"/>
      <c r="T1166" s="2"/>
      <c r="U1166" s="2"/>
    </row>
    <row x14ac:dyDescent="0.25" r="1167" customHeight="1" ht="17.25">
      <c r="A1167" s="7">
        <v>1166</v>
      </c>
      <c r="B1167" s="1" t="s">
        <v>6594</v>
      </c>
      <c r="C1167" s="5">
        <f>CONCATENATE("PD", TEXT(A1167, "1000000"))</f>
      </c>
      <c r="D1167" s="7">
        <v>66</v>
      </c>
      <c r="E1167" s="5">
        <f>XLOOKUP(G1167, item_category!C:C, item_category!B:B, "Not Found")</f>
      </c>
      <c r="F1167" s="1" t="s">
        <v>5617</v>
      </c>
      <c r="G1167" s="5">
        <f>XLOOKUP(I1167, drug!B:B, drug!A:A, "Not Found")</f>
      </c>
      <c r="H1167" s="1" t="s">
        <v>1776</v>
      </c>
      <c r="I1167" s="7">
        <v>1</v>
      </c>
      <c r="J1167" s="5">
        <f>XLOOKUP(L1167, uom!C:C, uom!B:B, "Not Found")</f>
      </c>
      <c r="K1167" s="1" t="s">
        <v>5511</v>
      </c>
      <c r="L1167" s="5">
        <f>XLOOKUP(N1167, uom!C:C, uom!B:B, "Not Found")</f>
      </c>
      <c r="M1167" s="1" t="s">
        <v>5511</v>
      </c>
      <c r="N1167" s="8" t="s">
        <v>5512</v>
      </c>
      <c r="O1167" s="1" t="s">
        <v>5513</v>
      </c>
      <c r="P1167" s="5">
        <f>XLOOKUP(R1167, classification!C:C, classification!B:B, "Not Found")</f>
      </c>
      <c r="Q1167" s="1" t="s">
        <v>5514</v>
      </c>
      <c r="R1167" s="2"/>
      <c r="S1167" s="2"/>
      <c r="T1167" s="2"/>
      <c r="U1167" s="2"/>
    </row>
    <row x14ac:dyDescent="0.25" r="1168" customHeight="1" ht="17.25">
      <c r="A1168" s="7">
        <v>1167</v>
      </c>
      <c r="B1168" s="1" t="s">
        <v>6595</v>
      </c>
      <c r="C1168" s="5">
        <f>CONCATENATE("PD", TEXT(A1168, "1000000"))</f>
      </c>
      <c r="D1168" s="7">
        <v>66</v>
      </c>
      <c r="E1168" s="5">
        <f>XLOOKUP(G1168, item_category!C:C, item_category!B:B, "Not Found")</f>
      </c>
      <c r="F1168" s="1" t="s">
        <v>5617</v>
      </c>
      <c r="G1168" s="5">
        <f>XLOOKUP(I1168, drug!B:B, drug!A:A, "Not Found")</f>
      </c>
      <c r="H1168" s="1"/>
      <c r="I1168" s="7">
        <v>1</v>
      </c>
      <c r="J1168" s="5">
        <f>XLOOKUP(L1168, uom!C:C, uom!B:B, "Not Found")</f>
      </c>
      <c r="K1168" s="1" t="s">
        <v>5511</v>
      </c>
      <c r="L1168" s="5">
        <f>XLOOKUP(N1168, uom!C:C, uom!B:B, "Not Found")</f>
      </c>
      <c r="M1168" s="1" t="s">
        <v>5511</v>
      </c>
      <c r="N1168" s="8" t="s">
        <v>5512</v>
      </c>
      <c r="O1168" s="1" t="s">
        <v>5513</v>
      </c>
      <c r="P1168" s="5">
        <f>XLOOKUP(R1168, classification!C:C, classification!B:B, "Not Found")</f>
      </c>
      <c r="Q1168" s="1" t="s">
        <v>5514</v>
      </c>
      <c r="R1168" s="2"/>
      <c r="S1168" s="2"/>
      <c r="T1168" s="2"/>
      <c r="U1168" s="2"/>
    </row>
    <row x14ac:dyDescent="0.25" r="1169" customHeight="1" ht="17.25">
      <c r="A1169" s="7">
        <v>1168</v>
      </c>
      <c r="B1169" s="1" t="s">
        <v>6596</v>
      </c>
      <c r="C1169" s="5">
        <f>CONCATENATE("PD", TEXT(A1169, "1000000"))</f>
      </c>
      <c r="D1169" s="7">
        <v>66</v>
      </c>
      <c r="E1169" s="5">
        <f>XLOOKUP(G1169, item_category!C:C, item_category!B:B, "Not Found")</f>
      </c>
      <c r="F1169" s="1" t="s">
        <v>5617</v>
      </c>
      <c r="G1169" s="5">
        <f>XLOOKUP(I1169, drug!B:B, drug!A:A, "Not Found")</f>
      </c>
      <c r="H1169" s="1"/>
      <c r="I1169" s="7">
        <v>1</v>
      </c>
      <c r="J1169" s="5">
        <f>XLOOKUP(L1169, uom!C:C, uom!B:B, "Not Found")</f>
      </c>
      <c r="K1169" s="1" t="s">
        <v>5511</v>
      </c>
      <c r="L1169" s="5">
        <f>XLOOKUP(N1169, uom!C:C, uom!B:B, "Not Found")</f>
      </c>
      <c r="M1169" s="1" t="s">
        <v>5511</v>
      </c>
      <c r="N1169" s="8" t="s">
        <v>5512</v>
      </c>
      <c r="O1169" s="1" t="s">
        <v>5513</v>
      </c>
      <c r="P1169" s="5">
        <f>XLOOKUP(R1169, classification!C:C, classification!B:B, "Not Found")</f>
      </c>
      <c r="Q1169" s="1" t="s">
        <v>5514</v>
      </c>
      <c r="R1169" s="2"/>
      <c r="S1169" s="2"/>
      <c r="T1169" s="2"/>
      <c r="U1169" s="2"/>
    </row>
    <row x14ac:dyDescent="0.25" r="1170" customHeight="1" ht="17.25">
      <c r="A1170" s="7">
        <v>1169</v>
      </c>
      <c r="B1170" s="1" t="s">
        <v>6597</v>
      </c>
      <c r="C1170" s="5">
        <f>CONCATENATE("PD", TEXT(A1170, "1000000"))</f>
      </c>
      <c r="D1170" s="7">
        <v>66</v>
      </c>
      <c r="E1170" s="5">
        <f>XLOOKUP(G1170, item_category!C:C, item_category!B:B, "Not Found")</f>
      </c>
      <c r="F1170" s="1" t="s">
        <v>5617</v>
      </c>
      <c r="G1170" s="5">
        <f>XLOOKUP(I1170, drug!B:B, drug!A:A, "Not Found")</f>
      </c>
      <c r="H1170" s="1"/>
      <c r="I1170" s="7">
        <v>1</v>
      </c>
      <c r="J1170" s="5">
        <f>XLOOKUP(L1170, uom!C:C, uom!B:B, "Not Found")</f>
      </c>
      <c r="K1170" s="1" t="s">
        <v>5511</v>
      </c>
      <c r="L1170" s="5">
        <f>XLOOKUP(N1170, uom!C:C, uom!B:B, "Not Found")</f>
      </c>
      <c r="M1170" s="1" t="s">
        <v>5511</v>
      </c>
      <c r="N1170" s="8" t="s">
        <v>5512</v>
      </c>
      <c r="O1170" s="1" t="s">
        <v>5513</v>
      </c>
      <c r="P1170" s="5">
        <f>XLOOKUP(R1170, classification!C:C, classification!B:B, "Not Found")</f>
      </c>
      <c r="Q1170" s="1" t="s">
        <v>5514</v>
      </c>
      <c r="R1170" s="2"/>
      <c r="S1170" s="2"/>
      <c r="T1170" s="2"/>
      <c r="U1170" s="2"/>
    </row>
    <row x14ac:dyDescent="0.25" r="1171" customHeight="1" ht="17.25">
      <c r="A1171" s="7">
        <v>1170</v>
      </c>
      <c r="B1171" s="1" t="s">
        <v>6598</v>
      </c>
      <c r="C1171" s="5">
        <f>CONCATENATE("PD", TEXT(A1171, "1000000"))</f>
      </c>
      <c r="D1171" s="7">
        <v>66</v>
      </c>
      <c r="E1171" s="5">
        <f>XLOOKUP(G1171, item_category!C:C, item_category!B:B, "Not Found")</f>
      </c>
      <c r="F1171" s="1" t="s">
        <v>5617</v>
      </c>
      <c r="G1171" s="5">
        <f>XLOOKUP(I1171, drug!B:B, drug!A:A, "Not Found")</f>
      </c>
      <c r="H1171" s="1"/>
      <c r="I1171" s="7">
        <v>1</v>
      </c>
      <c r="J1171" s="5">
        <f>XLOOKUP(L1171, uom!C:C, uom!B:B, "Not Found")</f>
      </c>
      <c r="K1171" s="1" t="s">
        <v>5511</v>
      </c>
      <c r="L1171" s="5">
        <f>XLOOKUP(N1171, uom!C:C, uom!B:B, "Not Found")</f>
      </c>
      <c r="M1171" s="1" t="s">
        <v>5511</v>
      </c>
      <c r="N1171" s="8" t="s">
        <v>5512</v>
      </c>
      <c r="O1171" s="1" t="s">
        <v>5513</v>
      </c>
      <c r="P1171" s="5">
        <f>XLOOKUP(R1171, classification!C:C, classification!B:B, "Not Found")</f>
      </c>
      <c r="Q1171" s="1" t="s">
        <v>5514</v>
      </c>
      <c r="R1171" s="2"/>
      <c r="S1171" s="2"/>
      <c r="T1171" s="2"/>
      <c r="U1171" s="2"/>
    </row>
    <row x14ac:dyDescent="0.25" r="1172" customHeight="1" ht="17.25">
      <c r="A1172" s="7">
        <v>1171</v>
      </c>
      <c r="B1172" s="1" t="s">
        <v>6599</v>
      </c>
      <c r="C1172" s="5">
        <f>CONCATENATE("PD", TEXT(A1172, "1000000"))</f>
      </c>
      <c r="D1172" s="7">
        <v>66</v>
      </c>
      <c r="E1172" s="5">
        <f>XLOOKUP(G1172, item_category!C:C, item_category!B:B, "Not Found")</f>
      </c>
      <c r="F1172" s="1" t="s">
        <v>5617</v>
      </c>
      <c r="G1172" s="5">
        <f>XLOOKUP(I1172, drug!B:B, drug!A:A, "Not Found")</f>
      </c>
      <c r="H1172" s="1"/>
      <c r="I1172" s="7">
        <v>1</v>
      </c>
      <c r="J1172" s="5">
        <f>XLOOKUP(L1172, uom!C:C, uom!B:B, "Not Found")</f>
      </c>
      <c r="K1172" s="1" t="s">
        <v>5511</v>
      </c>
      <c r="L1172" s="5">
        <f>XLOOKUP(N1172, uom!C:C, uom!B:B, "Not Found")</f>
      </c>
      <c r="M1172" s="1" t="s">
        <v>5511</v>
      </c>
      <c r="N1172" s="8" t="s">
        <v>5512</v>
      </c>
      <c r="O1172" s="1" t="s">
        <v>5513</v>
      </c>
      <c r="P1172" s="5">
        <f>XLOOKUP(R1172, classification!C:C, classification!B:B, "Not Found")</f>
      </c>
      <c r="Q1172" s="1" t="s">
        <v>5514</v>
      </c>
      <c r="R1172" s="2"/>
      <c r="S1172" s="2"/>
      <c r="T1172" s="2"/>
      <c r="U1172" s="2"/>
    </row>
    <row x14ac:dyDescent="0.25" r="1173" customHeight="1" ht="17.25">
      <c r="A1173" s="7">
        <v>1172</v>
      </c>
      <c r="B1173" s="1" t="s">
        <v>6600</v>
      </c>
      <c r="C1173" s="5">
        <f>CONCATENATE("PD", TEXT(A1173, "1000000"))</f>
      </c>
      <c r="D1173" s="7">
        <v>66</v>
      </c>
      <c r="E1173" s="5">
        <f>XLOOKUP(G1173, item_category!C:C, item_category!B:B, "Not Found")</f>
      </c>
      <c r="F1173" s="1" t="s">
        <v>5617</v>
      </c>
      <c r="G1173" s="5">
        <f>XLOOKUP(I1173, drug!B:B, drug!A:A, "Not Found")</f>
      </c>
      <c r="H1173" s="1" t="s">
        <v>1228</v>
      </c>
      <c r="I1173" s="7">
        <v>1</v>
      </c>
      <c r="J1173" s="5">
        <f>XLOOKUP(L1173, uom!C:C, uom!B:B, "Not Found")</f>
      </c>
      <c r="K1173" s="1" t="s">
        <v>5511</v>
      </c>
      <c r="L1173" s="5">
        <f>XLOOKUP(N1173, uom!C:C, uom!B:B, "Not Found")</f>
      </c>
      <c r="M1173" s="1" t="s">
        <v>5511</v>
      </c>
      <c r="N1173" s="8" t="s">
        <v>5512</v>
      </c>
      <c r="O1173" s="1" t="s">
        <v>5513</v>
      </c>
      <c r="P1173" s="5">
        <f>XLOOKUP(R1173, classification!C:C, classification!B:B, "Not Found")</f>
      </c>
      <c r="Q1173" s="1" t="s">
        <v>5514</v>
      </c>
      <c r="R1173" s="2"/>
      <c r="S1173" s="2"/>
      <c r="T1173" s="2"/>
      <c r="U1173" s="2"/>
    </row>
    <row x14ac:dyDescent="0.25" r="1174" customHeight="1" ht="17.25">
      <c r="A1174" s="7">
        <v>1173</v>
      </c>
      <c r="B1174" s="1" t="s">
        <v>6601</v>
      </c>
      <c r="C1174" s="5">
        <f>CONCATENATE("PD", TEXT(A1174, "1000000"))</f>
      </c>
      <c r="D1174" s="7">
        <v>66</v>
      </c>
      <c r="E1174" s="5">
        <f>XLOOKUP(G1174, item_category!C:C, item_category!B:B, "Not Found")</f>
      </c>
      <c r="F1174" s="1" t="s">
        <v>5617</v>
      </c>
      <c r="G1174" s="5">
        <f>XLOOKUP(I1174, drug!B:B, drug!A:A, "Not Found")</f>
      </c>
      <c r="H1174" s="1"/>
      <c r="I1174" s="7">
        <v>1</v>
      </c>
      <c r="J1174" s="5">
        <f>XLOOKUP(L1174, uom!C:C, uom!B:B, "Not Found")</f>
      </c>
      <c r="K1174" s="1" t="s">
        <v>5511</v>
      </c>
      <c r="L1174" s="5">
        <f>XLOOKUP(N1174, uom!C:C, uom!B:B, "Not Found")</f>
      </c>
      <c r="M1174" s="1" t="s">
        <v>5511</v>
      </c>
      <c r="N1174" s="8" t="s">
        <v>5512</v>
      </c>
      <c r="O1174" s="1" t="s">
        <v>5513</v>
      </c>
      <c r="P1174" s="5">
        <f>XLOOKUP(R1174, classification!C:C, classification!B:B, "Not Found")</f>
      </c>
      <c r="Q1174" s="1" t="s">
        <v>5514</v>
      </c>
      <c r="R1174" s="2"/>
      <c r="S1174" s="2"/>
      <c r="T1174" s="2"/>
      <c r="U1174" s="2"/>
    </row>
    <row x14ac:dyDescent="0.25" r="1175" customHeight="1" ht="17.25">
      <c r="A1175" s="7">
        <v>1174</v>
      </c>
      <c r="B1175" s="1" t="s">
        <v>6602</v>
      </c>
      <c r="C1175" s="5">
        <f>CONCATENATE("PD", TEXT(A1175, "1000000"))</f>
      </c>
      <c r="D1175" s="7">
        <v>66</v>
      </c>
      <c r="E1175" s="5">
        <f>XLOOKUP(G1175, item_category!C:C, item_category!B:B, "Not Found")</f>
      </c>
      <c r="F1175" s="1" t="s">
        <v>5617</v>
      </c>
      <c r="G1175" s="5">
        <f>XLOOKUP(I1175, drug!B:B, drug!A:A, "Not Found")</f>
      </c>
      <c r="H1175" s="1" t="s">
        <v>1622</v>
      </c>
      <c r="I1175" s="7">
        <v>1</v>
      </c>
      <c r="J1175" s="5">
        <f>XLOOKUP(L1175, uom!C:C, uom!B:B, "Not Found")</f>
      </c>
      <c r="K1175" s="1" t="s">
        <v>5511</v>
      </c>
      <c r="L1175" s="5">
        <f>XLOOKUP(N1175, uom!C:C, uom!B:B, "Not Found")</f>
      </c>
      <c r="M1175" s="1" t="s">
        <v>5511</v>
      </c>
      <c r="N1175" s="8" t="s">
        <v>5512</v>
      </c>
      <c r="O1175" s="1" t="s">
        <v>5513</v>
      </c>
      <c r="P1175" s="5">
        <f>XLOOKUP(R1175, classification!C:C, classification!B:B, "Not Found")</f>
      </c>
      <c r="Q1175" s="1" t="s">
        <v>5514</v>
      </c>
      <c r="R1175" s="2"/>
      <c r="S1175" s="2"/>
      <c r="T1175" s="2"/>
      <c r="U1175" s="2"/>
    </row>
    <row x14ac:dyDescent="0.25" r="1176" customHeight="1" ht="17.25">
      <c r="A1176" s="7">
        <v>1175</v>
      </c>
      <c r="B1176" s="1" t="s">
        <v>6603</v>
      </c>
      <c r="C1176" s="5">
        <f>CONCATENATE("PD", TEXT(A1176, "1000000"))</f>
      </c>
      <c r="D1176" s="7">
        <v>66</v>
      </c>
      <c r="E1176" s="5">
        <f>XLOOKUP(G1176, item_category!C:C, item_category!B:B, "Not Found")</f>
      </c>
      <c r="F1176" s="1" t="s">
        <v>5617</v>
      </c>
      <c r="G1176" s="5">
        <f>XLOOKUP(I1176, drug!B:B, drug!A:A, "Not Found")</f>
      </c>
      <c r="H1176" s="1"/>
      <c r="I1176" s="7">
        <v>1</v>
      </c>
      <c r="J1176" s="5">
        <f>XLOOKUP(L1176, uom!C:C, uom!B:B, "Not Found")</f>
      </c>
      <c r="K1176" s="1" t="s">
        <v>5511</v>
      </c>
      <c r="L1176" s="5">
        <f>XLOOKUP(N1176, uom!C:C, uom!B:B, "Not Found")</f>
      </c>
      <c r="M1176" s="1" t="s">
        <v>5511</v>
      </c>
      <c r="N1176" s="8" t="s">
        <v>5512</v>
      </c>
      <c r="O1176" s="1" t="s">
        <v>5513</v>
      </c>
      <c r="P1176" s="5">
        <f>XLOOKUP(R1176, classification!C:C, classification!B:B, "Not Found")</f>
      </c>
      <c r="Q1176" s="1" t="s">
        <v>5514</v>
      </c>
      <c r="R1176" s="2"/>
      <c r="S1176" s="2"/>
      <c r="T1176" s="2"/>
      <c r="U1176" s="2"/>
    </row>
    <row x14ac:dyDescent="0.25" r="1177" customHeight="1" ht="17.25">
      <c r="A1177" s="7">
        <v>1176</v>
      </c>
      <c r="B1177" s="1" t="s">
        <v>6604</v>
      </c>
      <c r="C1177" s="5">
        <f>CONCATENATE("PD", TEXT(A1177, "1000000"))</f>
      </c>
      <c r="D1177" s="7">
        <v>66</v>
      </c>
      <c r="E1177" s="5">
        <f>XLOOKUP(G1177, item_category!C:C, item_category!B:B, "Not Found")</f>
      </c>
      <c r="F1177" s="1" t="s">
        <v>5617</v>
      </c>
      <c r="G1177" s="5">
        <f>XLOOKUP(I1177, drug!B:B, drug!A:A, "Not Found")</f>
      </c>
      <c r="H1177" s="1"/>
      <c r="I1177" s="7">
        <v>1</v>
      </c>
      <c r="J1177" s="5">
        <f>XLOOKUP(L1177, uom!C:C, uom!B:B, "Not Found")</f>
      </c>
      <c r="K1177" s="1" t="s">
        <v>5511</v>
      </c>
      <c r="L1177" s="5">
        <f>XLOOKUP(N1177, uom!C:C, uom!B:B, "Not Found")</f>
      </c>
      <c r="M1177" s="1" t="s">
        <v>5511</v>
      </c>
      <c r="N1177" s="8" t="s">
        <v>5512</v>
      </c>
      <c r="O1177" s="1" t="s">
        <v>5513</v>
      </c>
      <c r="P1177" s="5">
        <f>XLOOKUP(R1177, classification!C:C, classification!B:B, "Not Found")</f>
      </c>
      <c r="Q1177" s="1" t="s">
        <v>5514</v>
      </c>
      <c r="R1177" s="2"/>
      <c r="S1177" s="2"/>
      <c r="T1177" s="2"/>
      <c r="U1177" s="2"/>
    </row>
    <row x14ac:dyDescent="0.25" r="1178" customHeight="1" ht="17.25">
      <c r="A1178" s="7">
        <v>1177</v>
      </c>
      <c r="B1178" s="1" t="s">
        <v>6605</v>
      </c>
      <c r="C1178" s="5">
        <f>CONCATENATE("PD", TEXT(A1178, "1000000"))</f>
      </c>
      <c r="D1178" s="7">
        <v>66</v>
      </c>
      <c r="E1178" s="5">
        <f>XLOOKUP(G1178, item_category!C:C, item_category!B:B, "Not Found")</f>
      </c>
      <c r="F1178" s="1" t="s">
        <v>5617</v>
      </c>
      <c r="G1178" s="5">
        <f>XLOOKUP(I1178, drug!B:B, drug!A:A, "Not Found")</f>
      </c>
      <c r="H1178" s="1"/>
      <c r="I1178" s="7">
        <v>1</v>
      </c>
      <c r="J1178" s="5">
        <f>XLOOKUP(L1178, uom!C:C, uom!B:B, "Not Found")</f>
      </c>
      <c r="K1178" s="1" t="s">
        <v>5511</v>
      </c>
      <c r="L1178" s="5">
        <f>XLOOKUP(N1178, uom!C:C, uom!B:B, "Not Found")</f>
      </c>
      <c r="M1178" s="1" t="s">
        <v>5511</v>
      </c>
      <c r="N1178" s="8" t="s">
        <v>5512</v>
      </c>
      <c r="O1178" s="1" t="s">
        <v>5513</v>
      </c>
      <c r="P1178" s="5">
        <f>XLOOKUP(R1178, classification!C:C, classification!B:B, "Not Found")</f>
      </c>
      <c r="Q1178" s="1" t="s">
        <v>5514</v>
      </c>
      <c r="R1178" s="2"/>
      <c r="S1178" s="2"/>
      <c r="T1178" s="2"/>
      <c r="U1178" s="2"/>
    </row>
    <row x14ac:dyDescent="0.25" r="1179" customHeight="1" ht="17.25">
      <c r="A1179" s="7">
        <v>1178</v>
      </c>
      <c r="B1179" s="1" t="s">
        <v>6606</v>
      </c>
      <c r="C1179" s="5">
        <f>CONCATENATE("PD", TEXT(A1179, "1000000"))</f>
      </c>
      <c r="D1179" s="7">
        <v>66</v>
      </c>
      <c r="E1179" s="5">
        <f>XLOOKUP(G1179, item_category!C:C, item_category!B:B, "Not Found")</f>
      </c>
      <c r="F1179" s="1" t="s">
        <v>5617</v>
      </c>
      <c r="G1179" s="5">
        <f>XLOOKUP(I1179, drug!B:B, drug!A:A, "Not Found")</f>
      </c>
      <c r="H1179" s="1" t="s">
        <v>1722</v>
      </c>
      <c r="I1179" s="7">
        <v>1</v>
      </c>
      <c r="J1179" s="5">
        <f>XLOOKUP(L1179, uom!C:C, uom!B:B, "Not Found")</f>
      </c>
      <c r="K1179" s="1" t="s">
        <v>5511</v>
      </c>
      <c r="L1179" s="5">
        <f>XLOOKUP(N1179, uom!C:C, uom!B:B, "Not Found")</f>
      </c>
      <c r="M1179" s="1" t="s">
        <v>5511</v>
      </c>
      <c r="N1179" s="8" t="s">
        <v>5512</v>
      </c>
      <c r="O1179" s="1" t="s">
        <v>5513</v>
      </c>
      <c r="P1179" s="5">
        <f>XLOOKUP(R1179, classification!C:C, classification!B:B, "Not Found")</f>
      </c>
      <c r="Q1179" s="1" t="s">
        <v>5514</v>
      </c>
      <c r="R1179" s="2"/>
      <c r="S1179" s="2"/>
      <c r="T1179" s="2"/>
      <c r="U1179" s="2"/>
    </row>
    <row x14ac:dyDescent="0.25" r="1180" customHeight="1" ht="17.25">
      <c r="A1180" s="7">
        <v>1179</v>
      </c>
      <c r="B1180" s="1" t="s">
        <v>6607</v>
      </c>
      <c r="C1180" s="5">
        <f>CONCATENATE("PD", TEXT(A1180, "1000000"))</f>
      </c>
      <c r="D1180" s="7">
        <v>66</v>
      </c>
      <c r="E1180" s="5">
        <f>XLOOKUP(G1180, item_category!C:C, item_category!B:B, "Not Found")</f>
      </c>
      <c r="F1180" s="1" t="s">
        <v>5617</v>
      </c>
      <c r="G1180" s="5">
        <f>XLOOKUP(I1180, drug!B:B, drug!A:A, "Not Found")</f>
      </c>
      <c r="H1180" s="1"/>
      <c r="I1180" s="7">
        <v>1</v>
      </c>
      <c r="J1180" s="5">
        <f>XLOOKUP(L1180, uom!C:C, uom!B:B, "Not Found")</f>
      </c>
      <c r="K1180" s="1" t="s">
        <v>5511</v>
      </c>
      <c r="L1180" s="5">
        <f>XLOOKUP(N1180, uom!C:C, uom!B:B, "Not Found")</f>
      </c>
      <c r="M1180" s="1" t="s">
        <v>5511</v>
      </c>
      <c r="N1180" s="8" t="s">
        <v>5512</v>
      </c>
      <c r="O1180" s="1" t="s">
        <v>5513</v>
      </c>
      <c r="P1180" s="5">
        <f>XLOOKUP(R1180, classification!C:C, classification!B:B, "Not Found")</f>
      </c>
      <c r="Q1180" s="1" t="s">
        <v>5514</v>
      </c>
      <c r="R1180" s="2"/>
      <c r="S1180" s="2"/>
      <c r="T1180" s="2"/>
      <c r="U1180" s="2"/>
    </row>
    <row x14ac:dyDescent="0.25" r="1181" customHeight="1" ht="17.25">
      <c r="A1181" s="7">
        <v>1180</v>
      </c>
      <c r="B1181" s="1" t="s">
        <v>6608</v>
      </c>
      <c r="C1181" s="5">
        <f>CONCATENATE("PD", TEXT(A1181, "1000000"))</f>
      </c>
      <c r="D1181" s="7">
        <v>66</v>
      </c>
      <c r="E1181" s="5">
        <f>XLOOKUP(G1181, item_category!C:C, item_category!B:B, "Not Found")</f>
      </c>
      <c r="F1181" s="1" t="s">
        <v>5617</v>
      </c>
      <c r="G1181" s="5">
        <f>XLOOKUP(I1181, drug!B:B, drug!A:A, "Not Found")</f>
      </c>
      <c r="H1181" s="1" t="s">
        <v>1772</v>
      </c>
      <c r="I1181" s="7">
        <v>1</v>
      </c>
      <c r="J1181" s="5">
        <f>XLOOKUP(L1181, uom!C:C, uom!B:B, "Not Found")</f>
      </c>
      <c r="K1181" s="1" t="s">
        <v>5511</v>
      </c>
      <c r="L1181" s="5">
        <f>XLOOKUP(N1181, uom!C:C, uom!B:B, "Not Found")</f>
      </c>
      <c r="M1181" s="1" t="s">
        <v>5511</v>
      </c>
      <c r="N1181" s="8" t="s">
        <v>5512</v>
      </c>
      <c r="O1181" s="1" t="s">
        <v>5513</v>
      </c>
      <c r="P1181" s="5">
        <f>XLOOKUP(R1181, classification!C:C, classification!B:B, "Not Found")</f>
      </c>
      <c r="Q1181" s="1" t="s">
        <v>5514</v>
      </c>
      <c r="R1181" s="2"/>
      <c r="S1181" s="2"/>
      <c r="T1181" s="2"/>
      <c r="U1181" s="2"/>
    </row>
    <row x14ac:dyDescent="0.25" r="1182" customHeight="1" ht="17.25">
      <c r="A1182" s="7">
        <v>1181</v>
      </c>
      <c r="B1182" s="1" t="s">
        <v>6609</v>
      </c>
      <c r="C1182" s="5">
        <f>CONCATENATE("PD", TEXT(A1182, "1000000"))</f>
      </c>
      <c r="D1182" s="7">
        <v>66</v>
      </c>
      <c r="E1182" s="5">
        <f>XLOOKUP(G1182, item_category!C:C, item_category!B:B, "Not Found")</f>
      </c>
      <c r="F1182" s="1" t="s">
        <v>5617</v>
      </c>
      <c r="G1182" s="5">
        <f>XLOOKUP(I1182, drug!B:B, drug!A:A, "Not Found")</f>
      </c>
      <c r="H1182" s="1" t="s">
        <v>1772</v>
      </c>
      <c r="I1182" s="7">
        <v>1</v>
      </c>
      <c r="J1182" s="5">
        <f>XLOOKUP(L1182, uom!C:C, uom!B:B, "Not Found")</f>
      </c>
      <c r="K1182" s="1" t="s">
        <v>5511</v>
      </c>
      <c r="L1182" s="5">
        <f>XLOOKUP(N1182, uom!C:C, uom!B:B, "Not Found")</f>
      </c>
      <c r="M1182" s="1" t="s">
        <v>5511</v>
      </c>
      <c r="N1182" s="8" t="s">
        <v>5512</v>
      </c>
      <c r="O1182" s="1" t="s">
        <v>5513</v>
      </c>
      <c r="P1182" s="5">
        <f>XLOOKUP(R1182, classification!C:C, classification!B:B, "Not Found")</f>
      </c>
      <c r="Q1182" s="1" t="s">
        <v>5514</v>
      </c>
      <c r="R1182" s="2"/>
      <c r="S1182" s="2"/>
      <c r="T1182" s="2"/>
      <c r="U1182" s="2"/>
    </row>
    <row x14ac:dyDescent="0.25" r="1183" customHeight="1" ht="17.25">
      <c r="A1183" s="7">
        <v>1182</v>
      </c>
      <c r="B1183" s="1" t="s">
        <v>6610</v>
      </c>
      <c r="C1183" s="5">
        <f>CONCATENATE("PD", TEXT(A1183, "1000000"))</f>
      </c>
      <c r="D1183" s="7">
        <v>66</v>
      </c>
      <c r="E1183" s="5">
        <f>XLOOKUP(G1183, item_category!C:C, item_category!B:B, "Not Found")</f>
      </c>
      <c r="F1183" s="1" t="s">
        <v>5617</v>
      </c>
      <c r="G1183" s="5">
        <f>XLOOKUP(I1183, drug!B:B, drug!A:A, "Not Found")</f>
      </c>
      <c r="H1183" s="1" t="s">
        <v>2050</v>
      </c>
      <c r="I1183" s="7">
        <v>1</v>
      </c>
      <c r="J1183" s="5">
        <f>XLOOKUP(L1183, uom!C:C, uom!B:B, "Not Found")</f>
      </c>
      <c r="K1183" s="1" t="s">
        <v>5511</v>
      </c>
      <c r="L1183" s="5">
        <f>XLOOKUP(N1183, uom!C:C, uom!B:B, "Not Found")</f>
      </c>
      <c r="M1183" s="1" t="s">
        <v>5511</v>
      </c>
      <c r="N1183" s="8" t="s">
        <v>5512</v>
      </c>
      <c r="O1183" s="1" t="s">
        <v>5513</v>
      </c>
      <c r="P1183" s="5">
        <f>XLOOKUP(R1183, classification!C:C, classification!B:B, "Not Found")</f>
      </c>
      <c r="Q1183" s="1" t="s">
        <v>5514</v>
      </c>
      <c r="R1183" s="2"/>
      <c r="S1183" s="2"/>
      <c r="T1183" s="2"/>
      <c r="U1183" s="2"/>
    </row>
    <row x14ac:dyDescent="0.25" r="1184" customHeight="1" ht="17.25">
      <c r="A1184" s="7">
        <v>1183</v>
      </c>
      <c r="B1184" s="1" t="s">
        <v>6611</v>
      </c>
      <c r="C1184" s="5">
        <f>CONCATENATE("PD", TEXT(A1184, "1000000"))</f>
      </c>
      <c r="D1184" s="7">
        <v>66</v>
      </c>
      <c r="E1184" s="5">
        <f>XLOOKUP(G1184, item_category!C:C, item_category!B:B, "Not Found")</f>
      </c>
      <c r="F1184" s="1" t="s">
        <v>5617</v>
      </c>
      <c r="G1184" s="5">
        <f>XLOOKUP(I1184, drug!B:B, drug!A:A, "Not Found")</f>
      </c>
      <c r="H1184" s="1"/>
      <c r="I1184" s="7">
        <v>1</v>
      </c>
      <c r="J1184" s="5">
        <f>XLOOKUP(L1184, uom!C:C, uom!B:B, "Not Found")</f>
      </c>
      <c r="K1184" s="1" t="s">
        <v>5511</v>
      </c>
      <c r="L1184" s="5">
        <f>XLOOKUP(N1184, uom!C:C, uom!B:B, "Not Found")</f>
      </c>
      <c r="M1184" s="1" t="s">
        <v>5511</v>
      </c>
      <c r="N1184" s="8" t="s">
        <v>5512</v>
      </c>
      <c r="O1184" s="1" t="s">
        <v>5513</v>
      </c>
      <c r="P1184" s="5">
        <f>XLOOKUP(R1184, classification!C:C, classification!B:B, "Not Found")</f>
      </c>
      <c r="Q1184" s="1" t="s">
        <v>5514</v>
      </c>
      <c r="R1184" s="2"/>
      <c r="S1184" s="2"/>
      <c r="T1184" s="2"/>
      <c r="U1184" s="2"/>
    </row>
    <row x14ac:dyDescent="0.25" r="1185" customHeight="1" ht="17.25">
      <c r="A1185" s="7">
        <v>1184</v>
      </c>
      <c r="B1185" s="1" t="s">
        <v>6612</v>
      </c>
      <c r="C1185" s="5">
        <f>CONCATENATE("PD", TEXT(A1185, "1000000"))</f>
      </c>
      <c r="D1185" s="7">
        <v>66</v>
      </c>
      <c r="E1185" s="5">
        <f>XLOOKUP(G1185, item_category!C:C, item_category!B:B, "Not Found")</f>
      </c>
      <c r="F1185" s="1" t="s">
        <v>5617</v>
      </c>
      <c r="G1185" s="5">
        <f>XLOOKUP(I1185, drug!B:B, drug!A:A, "Not Found")</f>
      </c>
      <c r="H1185" s="1" t="s">
        <v>1942</v>
      </c>
      <c r="I1185" s="7">
        <v>1</v>
      </c>
      <c r="J1185" s="5">
        <f>XLOOKUP(L1185, uom!C:C, uom!B:B, "Not Found")</f>
      </c>
      <c r="K1185" s="1" t="s">
        <v>5511</v>
      </c>
      <c r="L1185" s="5">
        <f>XLOOKUP(N1185, uom!C:C, uom!B:B, "Not Found")</f>
      </c>
      <c r="M1185" s="1" t="s">
        <v>5511</v>
      </c>
      <c r="N1185" s="8" t="s">
        <v>5512</v>
      </c>
      <c r="O1185" s="1" t="s">
        <v>5513</v>
      </c>
      <c r="P1185" s="5">
        <f>XLOOKUP(R1185, classification!C:C, classification!B:B, "Not Found")</f>
      </c>
      <c r="Q1185" s="1" t="s">
        <v>5514</v>
      </c>
      <c r="R1185" s="2"/>
      <c r="S1185" s="2"/>
      <c r="T1185" s="2"/>
      <c r="U1185" s="2"/>
    </row>
    <row x14ac:dyDescent="0.25" r="1186" customHeight="1" ht="17.25">
      <c r="A1186" s="7">
        <v>1185</v>
      </c>
      <c r="B1186" s="1" t="s">
        <v>6613</v>
      </c>
      <c r="C1186" s="5">
        <f>CONCATENATE("PD", TEXT(A1186, "1000000"))</f>
      </c>
      <c r="D1186" s="7">
        <v>66</v>
      </c>
      <c r="E1186" s="5">
        <f>XLOOKUP(G1186, item_category!C:C, item_category!B:B, "Not Found")</f>
      </c>
      <c r="F1186" s="1" t="s">
        <v>5617</v>
      </c>
      <c r="G1186" s="5">
        <f>XLOOKUP(I1186, drug!B:B, drug!A:A, "Not Found")</f>
      </c>
      <c r="H1186" s="1" t="s">
        <v>1774</v>
      </c>
      <c r="I1186" s="7">
        <v>1</v>
      </c>
      <c r="J1186" s="5">
        <f>XLOOKUP(L1186, uom!C:C, uom!B:B, "Not Found")</f>
      </c>
      <c r="K1186" s="1" t="s">
        <v>5511</v>
      </c>
      <c r="L1186" s="5">
        <f>XLOOKUP(N1186, uom!C:C, uom!B:B, "Not Found")</f>
      </c>
      <c r="M1186" s="1" t="s">
        <v>5511</v>
      </c>
      <c r="N1186" s="8" t="s">
        <v>5512</v>
      </c>
      <c r="O1186" s="1" t="s">
        <v>5513</v>
      </c>
      <c r="P1186" s="5">
        <f>XLOOKUP(R1186, classification!C:C, classification!B:B, "Not Found")</f>
      </c>
      <c r="Q1186" s="1" t="s">
        <v>5514</v>
      </c>
      <c r="R1186" s="2"/>
      <c r="S1186" s="2"/>
      <c r="T1186" s="2"/>
      <c r="U1186" s="2"/>
    </row>
    <row x14ac:dyDescent="0.25" r="1187" customHeight="1" ht="17.25">
      <c r="A1187" s="7">
        <v>1186</v>
      </c>
      <c r="B1187" s="1" t="s">
        <v>6614</v>
      </c>
      <c r="C1187" s="5">
        <f>CONCATENATE("PD", TEXT(A1187, "1000000"))</f>
      </c>
      <c r="D1187" s="7">
        <v>70</v>
      </c>
      <c r="E1187" s="5">
        <f>XLOOKUP(G1187, item_category!C:C, item_category!B:B, "Not Found")</f>
      </c>
      <c r="F1187" s="1" t="s">
        <v>6615</v>
      </c>
      <c r="G1187" s="5">
        <f>XLOOKUP(I1187, drug!B:B, drug!A:A, "Not Found")</f>
      </c>
      <c r="H1187" s="1"/>
      <c r="I1187" s="7">
        <v>1</v>
      </c>
      <c r="J1187" s="5">
        <f>XLOOKUP(L1187, uom!C:C, uom!B:B, "Not Found")</f>
      </c>
      <c r="K1187" s="1" t="s">
        <v>5511</v>
      </c>
      <c r="L1187" s="5">
        <f>XLOOKUP(N1187, uom!C:C, uom!B:B, "Not Found")</f>
      </c>
      <c r="M1187" s="1" t="s">
        <v>5511</v>
      </c>
      <c r="N1187" s="8" t="s">
        <v>5512</v>
      </c>
      <c r="O1187" s="1" t="s">
        <v>5513</v>
      </c>
      <c r="P1187" s="5">
        <f>XLOOKUP(R1187, classification!C:C, classification!B:B, "Not Found")</f>
      </c>
      <c r="Q1187" s="1" t="s">
        <v>5514</v>
      </c>
      <c r="R1187" s="2"/>
      <c r="S1187" s="2"/>
      <c r="T1187" s="2"/>
      <c r="U1187" s="2"/>
    </row>
    <row x14ac:dyDescent="0.25" r="1188" customHeight="1" ht="17.25">
      <c r="A1188" s="7">
        <v>1187</v>
      </c>
      <c r="B1188" s="1" t="s">
        <v>6616</v>
      </c>
      <c r="C1188" s="5">
        <f>CONCATENATE("PD", TEXT(A1188, "1000000"))</f>
      </c>
      <c r="D1188" s="7">
        <v>70</v>
      </c>
      <c r="E1188" s="5">
        <f>XLOOKUP(G1188, item_category!C:C, item_category!B:B, "Not Found")</f>
      </c>
      <c r="F1188" s="1" t="s">
        <v>6615</v>
      </c>
      <c r="G1188" s="5">
        <f>XLOOKUP(I1188, drug!B:B, drug!A:A, "Not Found")</f>
      </c>
      <c r="H1188" s="1"/>
      <c r="I1188" s="7">
        <v>1</v>
      </c>
      <c r="J1188" s="5">
        <f>XLOOKUP(L1188, uom!C:C, uom!B:B, "Not Found")</f>
      </c>
      <c r="K1188" s="1" t="s">
        <v>5511</v>
      </c>
      <c r="L1188" s="5">
        <f>XLOOKUP(N1188, uom!C:C, uom!B:B, "Not Found")</f>
      </c>
      <c r="M1188" s="1" t="s">
        <v>5511</v>
      </c>
      <c r="N1188" s="8" t="s">
        <v>5512</v>
      </c>
      <c r="O1188" s="1" t="s">
        <v>5513</v>
      </c>
      <c r="P1188" s="5">
        <f>XLOOKUP(R1188, classification!C:C, classification!B:B, "Not Found")</f>
      </c>
      <c r="Q1188" s="1" t="s">
        <v>5514</v>
      </c>
      <c r="R1188" s="2"/>
      <c r="S1188" s="2"/>
      <c r="T1188" s="2"/>
      <c r="U1188" s="2"/>
    </row>
    <row x14ac:dyDescent="0.25" r="1189" customHeight="1" ht="17.25">
      <c r="A1189" s="7">
        <v>1188</v>
      </c>
      <c r="B1189" s="1" t="s">
        <v>6617</v>
      </c>
      <c r="C1189" s="5">
        <f>CONCATENATE("PD", TEXT(A1189, "1000000"))</f>
      </c>
      <c r="D1189" s="7">
        <v>1</v>
      </c>
      <c r="E1189" s="5">
        <f>XLOOKUP(G1189, item_category!C:C, item_category!B:B, "Not Found")</f>
      </c>
      <c r="F1189" s="1" t="s">
        <v>5514</v>
      </c>
      <c r="G1189" s="5">
        <f>XLOOKUP(I1189, drug!B:B, drug!A:A, "Not Found")</f>
      </c>
      <c r="H1189" s="1"/>
      <c r="I1189" s="7">
        <v>50</v>
      </c>
      <c r="J1189" s="5">
        <f>XLOOKUP(L1189, uom!C:C, uom!B:B, "Not Found")</f>
      </c>
      <c r="K1189" s="1" t="s">
        <v>5511</v>
      </c>
      <c r="L1189" s="5">
        <f>XLOOKUP(N1189, uom!C:C, uom!B:B, "Not Found")</f>
      </c>
      <c r="M1189" s="1" t="s">
        <v>5511</v>
      </c>
      <c r="N1189" s="8" t="s">
        <v>5524</v>
      </c>
      <c r="O1189" s="1" t="s">
        <v>5525</v>
      </c>
      <c r="P1189" s="5">
        <f>XLOOKUP(R1189, classification!C:C, classification!B:B, "Not Found")</f>
      </c>
      <c r="Q1189" s="1" t="s">
        <v>5514</v>
      </c>
      <c r="R1189" s="2"/>
      <c r="S1189" s="2"/>
      <c r="T1189" s="2"/>
      <c r="U1189" s="2"/>
    </row>
    <row x14ac:dyDescent="0.25" r="1190" customHeight="1" ht="17.25">
      <c r="A1190" s="7">
        <v>1189</v>
      </c>
      <c r="B1190" s="1" t="s">
        <v>6618</v>
      </c>
      <c r="C1190" s="5">
        <f>CONCATENATE("PD", TEXT(A1190, "1000000"))</f>
      </c>
      <c r="D1190" s="7">
        <v>74</v>
      </c>
      <c r="E1190" s="5">
        <f>XLOOKUP(G1190, item_category!C:C, item_category!B:B, "Not Found")</f>
      </c>
      <c r="F1190" s="1" t="s">
        <v>5520</v>
      </c>
      <c r="G1190" s="5">
        <f>XLOOKUP(I1190, drug!B:B, drug!A:A, "Not Found")</f>
      </c>
      <c r="H1190" s="1" t="s">
        <v>2094</v>
      </c>
      <c r="I1190" s="7">
        <v>1</v>
      </c>
      <c r="J1190" s="5">
        <f>XLOOKUP(L1190, uom!C:C, uom!B:B, "Not Found")</f>
      </c>
      <c r="K1190" s="1" t="s">
        <v>5511</v>
      </c>
      <c r="L1190" s="5">
        <f>XLOOKUP(N1190, uom!C:C, uom!B:B, "Not Found")</f>
      </c>
      <c r="M1190" s="1" t="s">
        <v>5511</v>
      </c>
      <c r="N1190" s="8" t="s">
        <v>5512</v>
      </c>
      <c r="O1190" s="1" t="s">
        <v>5513</v>
      </c>
      <c r="P1190" s="5">
        <f>XLOOKUP(R1190, classification!C:C, classification!B:B, "Not Found")</f>
      </c>
      <c r="Q1190" s="1" t="s">
        <v>5514</v>
      </c>
      <c r="R1190" s="2"/>
      <c r="S1190" s="2"/>
      <c r="T1190" s="2"/>
      <c r="U1190" s="2"/>
    </row>
    <row x14ac:dyDescent="0.25" r="1191" customHeight="1" ht="17.25">
      <c r="A1191" s="7">
        <v>1190</v>
      </c>
      <c r="B1191" s="1" t="s">
        <v>6619</v>
      </c>
      <c r="C1191" s="5">
        <f>CONCATENATE("PD", TEXT(A1191, "1000000"))</f>
      </c>
      <c r="D1191" s="7">
        <v>74</v>
      </c>
      <c r="E1191" s="5">
        <f>XLOOKUP(G1191, item_category!C:C, item_category!B:B, "Not Found")</f>
      </c>
      <c r="F1191" s="1" t="s">
        <v>5520</v>
      </c>
      <c r="G1191" s="5">
        <f>XLOOKUP(I1191, drug!B:B, drug!A:A, "Not Found")</f>
      </c>
      <c r="H1191" s="1" t="s">
        <v>1394</v>
      </c>
      <c r="I1191" s="7">
        <v>1</v>
      </c>
      <c r="J1191" s="5">
        <f>XLOOKUP(L1191, uom!C:C, uom!B:B, "Not Found")</f>
      </c>
      <c r="K1191" s="1" t="s">
        <v>5511</v>
      </c>
      <c r="L1191" s="5">
        <f>XLOOKUP(N1191, uom!C:C, uom!B:B, "Not Found")</f>
      </c>
      <c r="M1191" s="1" t="s">
        <v>5511</v>
      </c>
      <c r="N1191" s="8" t="s">
        <v>5512</v>
      </c>
      <c r="O1191" s="1" t="s">
        <v>5513</v>
      </c>
      <c r="P1191" s="5">
        <f>XLOOKUP(R1191, classification!C:C, classification!B:B, "Not Found")</f>
      </c>
      <c r="Q1191" s="1" t="s">
        <v>5514</v>
      </c>
      <c r="R1191" s="2"/>
      <c r="S1191" s="2"/>
      <c r="T1191" s="2"/>
      <c r="U1191" s="2"/>
    </row>
    <row x14ac:dyDescent="0.25" r="1192" customHeight="1" ht="17.25">
      <c r="A1192" s="7">
        <v>1191</v>
      </c>
      <c r="B1192" s="1" t="s">
        <v>6620</v>
      </c>
      <c r="C1192" s="5">
        <f>CONCATENATE("PD", TEXT(A1192, "1000000"))</f>
      </c>
      <c r="D1192" s="7">
        <v>74</v>
      </c>
      <c r="E1192" s="5">
        <f>XLOOKUP(G1192, item_category!C:C, item_category!B:B, "Not Found")</f>
      </c>
      <c r="F1192" s="1" t="s">
        <v>5520</v>
      </c>
      <c r="G1192" s="5">
        <f>XLOOKUP(I1192, drug!B:B, drug!A:A, "Not Found")</f>
      </c>
      <c r="H1192" s="1"/>
      <c r="I1192" s="7">
        <v>1</v>
      </c>
      <c r="J1192" s="5">
        <f>XLOOKUP(L1192, uom!C:C, uom!B:B, "Not Found")</f>
      </c>
      <c r="K1192" s="1" t="s">
        <v>5511</v>
      </c>
      <c r="L1192" s="5">
        <f>XLOOKUP(N1192, uom!C:C, uom!B:B, "Not Found")</f>
      </c>
      <c r="M1192" s="1" t="s">
        <v>5511</v>
      </c>
      <c r="N1192" s="8" t="s">
        <v>5512</v>
      </c>
      <c r="O1192" s="1" t="s">
        <v>5513</v>
      </c>
      <c r="P1192" s="5">
        <f>XLOOKUP(R1192, classification!C:C, classification!B:B, "Not Found")</f>
      </c>
      <c r="Q1192" s="1" t="s">
        <v>5514</v>
      </c>
      <c r="R1192" s="2"/>
      <c r="S1192" s="2"/>
      <c r="T1192" s="2"/>
      <c r="U1192" s="2"/>
    </row>
    <row x14ac:dyDescent="0.25" r="1193" customHeight="1" ht="17.25">
      <c r="A1193" s="7">
        <v>1192</v>
      </c>
      <c r="B1193" s="1" t="s">
        <v>6621</v>
      </c>
      <c r="C1193" s="5">
        <f>CONCATENATE("PD", TEXT(A1193, "1000000"))</f>
      </c>
      <c r="D1193" s="7">
        <v>74</v>
      </c>
      <c r="E1193" s="5">
        <f>XLOOKUP(G1193, item_category!C:C, item_category!B:B, "Not Found")</f>
      </c>
      <c r="F1193" s="1" t="s">
        <v>5520</v>
      </c>
      <c r="G1193" s="5">
        <f>XLOOKUP(I1193, drug!B:B, drug!A:A, "Not Found")</f>
      </c>
      <c r="H1193" s="1"/>
      <c r="I1193" s="7">
        <v>1</v>
      </c>
      <c r="J1193" s="5">
        <f>XLOOKUP(L1193, uom!C:C, uom!B:B, "Not Found")</f>
      </c>
      <c r="K1193" s="1" t="s">
        <v>5511</v>
      </c>
      <c r="L1193" s="5">
        <f>XLOOKUP(N1193, uom!C:C, uom!B:B, "Not Found")</f>
      </c>
      <c r="M1193" s="1" t="s">
        <v>5511</v>
      </c>
      <c r="N1193" s="8" t="s">
        <v>5512</v>
      </c>
      <c r="O1193" s="1" t="s">
        <v>5513</v>
      </c>
      <c r="P1193" s="5">
        <f>XLOOKUP(R1193, classification!C:C, classification!B:B, "Not Found")</f>
      </c>
      <c r="Q1193" s="1" t="s">
        <v>5514</v>
      </c>
      <c r="R1193" s="2"/>
      <c r="S1193" s="2"/>
      <c r="T1193" s="2"/>
      <c r="U1193" s="2"/>
    </row>
    <row x14ac:dyDescent="0.25" r="1194" customHeight="1" ht="17.25">
      <c r="A1194" s="7">
        <v>1193</v>
      </c>
      <c r="B1194" s="1" t="s">
        <v>6622</v>
      </c>
      <c r="C1194" s="5">
        <f>CONCATENATE("PD", TEXT(A1194, "1000000"))</f>
      </c>
      <c r="D1194" s="7">
        <v>74</v>
      </c>
      <c r="E1194" s="5">
        <f>XLOOKUP(G1194, item_category!C:C, item_category!B:B, "Not Found")</f>
      </c>
      <c r="F1194" s="1" t="s">
        <v>5520</v>
      </c>
      <c r="G1194" s="5">
        <f>XLOOKUP(I1194, drug!B:B, drug!A:A, "Not Found")</f>
      </c>
      <c r="H1194" s="1"/>
      <c r="I1194" s="7">
        <v>1</v>
      </c>
      <c r="J1194" s="5">
        <f>XLOOKUP(L1194, uom!C:C, uom!B:B, "Not Found")</f>
      </c>
      <c r="K1194" s="1" t="s">
        <v>5511</v>
      </c>
      <c r="L1194" s="5">
        <f>XLOOKUP(N1194, uom!C:C, uom!B:B, "Not Found")</f>
      </c>
      <c r="M1194" s="1" t="s">
        <v>5511</v>
      </c>
      <c r="N1194" s="8" t="s">
        <v>5512</v>
      </c>
      <c r="O1194" s="1" t="s">
        <v>5513</v>
      </c>
      <c r="P1194" s="5">
        <f>XLOOKUP(R1194, classification!C:C, classification!B:B, "Not Found")</f>
      </c>
      <c r="Q1194" s="1" t="s">
        <v>5514</v>
      </c>
      <c r="R1194" s="2"/>
      <c r="S1194" s="2"/>
      <c r="T1194" s="2"/>
      <c r="U1194" s="2"/>
    </row>
    <row x14ac:dyDescent="0.25" r="1195" customHeight="1" ht="17.25">
      <c r="A1195" s="7">
        <v>1194</v>
      </c>
      <c r="B1195" s="1" t="s">
        <v>6623</v>
      </c>
      <c r="C1195" s="5">
        <f>CONCATENATE("PD", TEXT(A1195, "1000000"))</f>
      </c>
      <c r="D1195" s="7">
        <v>74</v>
      </c>
      <c r="E1195" s="5">
        <f>XLOOKUP(G1195, item_category!C:C, item_category!B:B, "Not Found")</f>
      </c>
      <c r="F1195" s="1" t="s">
        <v>5520</v>
      </c>
      <c r="G1195" s="5">
        <f>XLOOKUP(I1195, drug!B:B, drug!A:A, "Not Found")</f>
      </c>
      <c r="H1195" s="1"/>
      <c r="I1195" s="7">
        <v>1</v>
      </c>
      <c r="J1195" s="5">
        <f>XLOOKUP(L1195, uom!C:C, uom!B:B, "Not Found")</f>
      </c>
      <c r="K1195" s="1" t="s">
        <v>5511</v>
      </c>
      <c r="L1195" s="5">
        <f>XLOOKUP(N1195, uom!C:C, uom!B:B, "Not Found")</f>
      </c>
      <c r="M1195" s="1" t="s">
        <v>5511</v>
      </c>
      <c r="N1195" s="8" t="s">
        <v>5512</v>
      </c>
      <c r="O1195" s="1" t="s">
        <v>5513</v>
      </c>
      <c r="P1195" s="5">
        <f>XLOOKUP(R1195, classification!C:C, classification!B:B, "Not Found")</f>
      </c>
      <c r="Q1195" s="1" t="s">
        <v>5514</v>
      </c>
      <c r="R1195" s="2"/>
      <c r="S1195" s="2"/>
      <c r="T1195" s="2"/>
      <c r="U1195" s="2"/>
    </row>
    <row x14ac:dyDescent="0.25" r="1196" customHeight="1" ht="17.25">
      <c r="A1196" s="7">
        <v>1195</v>
      </c>
      <c r="B1196" s="1" t="s">
        <v>6624</v>
      </c>
      <c r="C1196" s="5">
        <f>CONCATENATE("PD", TEXT(A1196, "1000000"))</f>
      </c>
      <c r="D1196" s="7">
        <v>74</v>
      </c>
      <c r="E1196" s="5">
        <f>XLOOKUP(G1196, item_category!C:C, item_category!B:B, "Not Found")</f>
      </c>
      <c r="F1196" s="1" t="s">
        <v>5520</v>
      </c>
      <c r="G1196" s="5">
        <f>XLOOKUP(I1196, drug!B:B, drug!A:A, "Not Found")</f>
      </c>
      <c r="H1196" s="1"/>
      <c r="I1196" s="7">
        <v>1</v>
      </c>
      <c r="J1196" s="5">
        <f>XLOOKUP(L1196, uom!C:C, uom!B:B, "Not Found")</f>
      </c>
      <c r="K1196" s="1" t="s">
        <v>5511</v>
      </c>
      <c r="L1196" s="5">
        <f>XLOOKUP(N1196, uom!C:C, uom!B:B, "Not Found")</f>
      </c>
      <c r="M1196" s="1" t="s">
        <v>5511</v>
      </c>
      <c r="N1196" s="8" t="s">
        <v>5512</v>
      </c>
      <c r="O1196" s="1" t="s">
        <v>5513</v>
      </c>
      <c r="P1196" s="5">
        <f>XLOOKUP(R1196, classification!C:C, classification!B:B, "Not Found")</f>
      </c>
      <c r="Q1196" s="1" t="s">
        <v>5514</v>
      </c>
      <c r="R1196" s="2"/>
      <c r="S1196" s="2"/>
      <c r="T1196" s="2"/>
      <c r="U1196" s="2"/>
    </row>
    <row x14ac:dyDescent="0.25" r="1197" customHeight="1" ht="17.25">
      <c r="A1197" s="7">
        <v>1196</v>
      </c>
      <c r="B1197" s="1" t="s">
        <v>6625</v>
      </c>
      <c r="C1197" s="5">
        <f>CONCATENATE("PD", TEXT(A1197, "1000000"))</f>
      </c>
      <c r="D1197" s="7">
        <v>74</v>
      </c>
      <c r="E1197" s="5">
        <f>XLOOKUP(G1197, item_category!C:C, item_category!B:B, "Not Found")</f>
      </c>
      <c r="F1197" s="1" t="s">
        <v>5520</v>
      </c>
      <c r="G1197" s="5">
        <f>XLOOKUP(I1197, drug!B:B, drug!A:A, "Not Found")</f>
      </c>
      <c r="H1197" s="1" t="s">
        <v>75</v>
      </c>
      <c r="I1197" s="7">
        <v>1</v>
      </c>
      <c r="J1197" s="5">
        <f>XLOOKUP(L1197, uom!C:C, uom!B:B, "Not Found")</f>
      </c>
      <c r="K1197" s="1" t="s">
        <v>5511</v>
      </c>
      <c r="L1197" s="5">
        <f>XLOOKUP(N1197, uom!C:C, uom!B:B, "Not Found")</f>
      </c>
      <c r="M1197" s="1" t="s">
        <v>5511</v>
      </c>
      <c r="N1197" s="8" t="s">
        <v>5512</v>
      </c>
      <c r="O1197" s="1" t="s">
        <v>5513</v>
      </c>
      <c r="P1197" s="5">
        <f>XLOOKUP(R1197, classification!C:C, classification!B:B, "Not Found")</f>
      </c>
      <c r="Q1197" s="1" t="s">
        <v>5514</v>
      </c>
      <c r="R1197" s="2"/>
      <c r="S1197" s="2"/>
      <c r="T1197" s="2"/>
      <c r="U1197" s="2"/>
    </row>
    <row x14ac:dyDescent="0.25" r="1198" customHeight="1" ht="17.25">
      <c r="A1198" s="7">
        <v>1197</v>
      </c>
      <c r="B1198" s="1" t="s">
        <v>6626</v>
      </c>
      <c r="C1198" s="5">
        <f>CONCATENATE("PD", TEXT(A1198, "1000000"))</f>
      </c>
      <c r="D1198" s="7">
        <v>74</v>
      </c>
      <c r="E1198" s="5">
        <f>XLOOKUP(G1198, item_category!C:C, item_category!B:B, "Not Found")</f>
      </c>
      <c r="F1198" s="1" t="s">
        <v>5520</v>
      </c>
      <c r="G1198" s="5">
        <f>XLOOKUP(I1198, drug!B:B, drug!A:A, "Not Found")</f>
      </c>
      <c r="H1198" s="1" t="s">
        <v>75</v>
      </c>
      <c r="I1198" s="7">
        <v>1</v>
      </c>
      <c r="J1198" s="5">
        <f>XLOOKUP(L1198, uom!C:C, uom!B:B, "Not Found")</f>
      </c>
      <c r="K1198" s="1" t="s">
        <v>5511</v>
      </c>
      <c r="L1198" s="5">
        <f>XLOOKUP(N1198, uom!C:C, uom!B:B, "Not Found")</f>
      </c>
      <c r="M1198" s="1" t="s">
        <v>5511</v>
      </c>
      <c r="N1198" s="8" t="s">
        <v>5512</v>
      </c>
      <c r="O1198" s="1" t="s">
        <v>5513</v>
      </c>
      <c r="P1198" s="5">
        <f>XLOOKUP(R1198, classification!C:C, classification!B:B, "Not Found")</f>
      </c>
      <c r="Q1198" s="1" t="s">
        <v>5514</v>
      </c>
      <c r="R1198" s="2"/>
      <c r="S1198" s="2"/>
      <c r="T1198" s="2"/>
      <c r="U1198" s="2"/>
    </row>
    <row x14ac:dyDescent="0.25" r="1199" customHeight="1" ht="17.25">
      <c r="A1199" s="7">
        <v>1198</v>
      </c>
      <c r="B1199" s="1" t="s">
        <v>6627</v>
      </c>
      <c r="C1199" s="5">
        <f>CONCATENATE("PD", TEXT(A1199, "1000000"))</f>
      </c>
      <c r="D1199" s="7">
        <v>74</v>
      </c>
      <c r="E1199" s="5">
        <f>XLOOKUP(G1199, item_category!C:C, item_category!B:B, "Not Found")</f>
      </c>
      <c r="F1199" s="1" t="s">
        <v>5520</v>
      </c>
      <c r="G1199" s="5">
        <f>XLOOKUP(I1199, drug!B:B, drug!A:A, "Not Found")</f>
      </c>
      <c r="H1199" s="1"/>
      <c r="I1199" s="7">
        <v>1</v>
      </c>
      <c r="J1199" s="5">
        <f>XLOOKUP(L1199, uom!C:C, uom!B:B, "Not Found")</f>
      </c>
      <c r="K1199" s="1" t="s">
        <v>5511</v>
      </c>
      <c r="L1199" s="5">
        <f>XLOOKUP(N1199, uom!C:C, uom!B:B, "Not Found")</f>
      </c>
      <c r="M1199" s="1" t="s">
        <v>5511</v>
      </c>
      <c r="N1199" s="8" t="s">
        <v>5512</v>
      </c>
      <c r="O1199" s="1" t="s">
        <v>5513</v>
      </c>
      <c r="P1199" s="5">
        <f>XLOOKUP(R1199, classification!C:C, classification!B:B, "Not Found")</f>
      </c>
      <c r="Q1199" s="1" t="s">
        <v>5514</v>
      </c>
      <c r="R1199" s="2"/>
      <c r="S1199" s="2"/>
      <c r="T1199" s="2"/>
      <c r="U1199" s="2"/>
    </row>
    <row x14ac:dyDescent="0.25" r="1200" customHeight="1" ht="17.25">
      <c r="A1200" s="7">
        <v>1199</v>
      </c>
      <c r="B1200" s="1" t="s">
        <v>6628</v>
      </c>
      <c r="C1200" s="5">
        <f>CONCATENATE("PD", TEXT(A1200, "1000000"))</f>
      </c>
      <c r="D1200" s="7">
        <v>74</v>
      </c>
      <c r="E1200" s="5">
        <f>XLOOKUP(G1200, item_category!C:C, item_category!B:B, "Not Found")</f>
      </c>
      <c r="F1200" s="1" t="s">
        <v>5520</v>
      </c>
      <c r="G1200" s="5">
        <f>XLOOKUP(I1200, drug!B:B, drug!A:A, "Not Found")</f>
      </c>
      <c r="H1200" s="1"/>
      <c r="I1200" s="7">
        <v>1</v>
      </c>
      <c r="J1200" s="5">
        <f>XLOOKUP(L1200, uom!C:C, uom!B:B, "Not Found")</f>
      </c>
      <c r="K1200" s="1" t="s">
        <v>5511</v>
      </c>
      <c r="L1200" s="5">
        <f>XLOOKUP(N1200, uom!C:C, uom!B:B, "Not Found")</f>
      </c>
      <c r="M1200" s="1" t="s">
        <v>5511</v>
      </c>
      <c r="N1200" s="8" t="s">
        <v>5512</v>
      </c>
      <c r="O1200" s="1" t="s">
        <v>5513</v>
      </c>
      <c r="P1200" s="5">
        <f>XLOOKUP(R1200, classification!C:C, classification!B:B, "Not Found")</f>
      </c>
      <c r="Q1200" s="1" t="s">
        <v>5514</v>
      </c>
      <c r="R1200" s="2"/>
      <c r="S1200" s="2"/>
      <c r="T1200" s="2"/>
      <c r="U1200" s="2"/>
    </row>
    <row x14ac:dyDescent="0.25" r="1201" customHeight="1" ht="17.25">
      <c r="A1201" s="7">
        <v>1200</v>
      </c>
      <c r="B1201" s="1" t="s">
        <v>6629</v>
      </c>
      <c r="C1201" s="5">
        <f>CONCATENATE("PD", TEXT(A1201, "1000000"))</f>
      </c>
      <c r="D1201" s="7">
        <v>74</v>
      </c>
      <c r="E1201" s="5">
        <f>XLOOKUP(G1201, item_category!C:C, item_category!B:B, "Not Found")</f>
      </c>
      <c r="F1201" s="1" t="s">
        <v>5520</v>
      </c>
      <c r="G1201" s="5">
        <f>XLOOKUP(I1201, drug!B:B, drug!A:A, "Not Found")</f>
      </c>
      <c r="H1201" s="1"/>
      <c r="I1201" s="7">
        <v>1</v>
      </c>
      <c r="J1201" s="5">
        <f>XLOOKUP(L1201, uom!C:C, uom!B:B, "Not Found")</f>
      </c>
      <c r="K1201" s="1" t="s">
        <v>5511</v>
      </c>
      <c r="L1201" s="5">
        <f>XLOOKUP(N1201, uom!C:C, uom!B:B, "Not Found")</f>
      </c>
      <c r="M1201" s="1" t="s">
        <v>5511</v>
      </c>
      <c r="N1201" s="8" t="s">
        <v>5512</v>
      </c>
      <c r="O1201" s="1" t="s">
        <v>5513</v>
      </c>
      <c r="P1201" s="5">
        <f>XLOOKUP(R1201, classification!C:C, classification!B:B, "Not Found")</f>
      </c>
      <c r="Q1201" s="1" t="s">
        <v>5514</v>
      </c>
      <c r="R1201" s="2"/>
      <c r="S1201" s="2"/>
      <c r="T1201" s="2"/>
      <c r="U1201" s="2"/>
    </row>
    <row x14ac:dyDescent="0.25" r="1202" customHeight="1" ht="17.25">
      <c r="A1202" s="7">
        <v>1201</v>
      </c>
      <c r="B1202" s="1" t="s">
        <v>6630</v>
      </c>
      <c r="C1202" s="5">
        <f>CONCATENATE("PD", TEXT(A1202, "1000000"))</f>
      </c>
      <c r="D1202" s="7">
        <v>74</v>
      </c>
      <c r="E1202" s="5">
        <f>XLOOKUP(G1202, item_category!C:C, item_category!B:B, "Not Found")</f>
      </c>
      <c r="F1202" s="1" t="s">
        <v>5520</v>
      </c>
      <c r="G1202" s="5">
        <f>XLOOKUP(I1202, drug!B:B, drug!A:A, "Not Found")</f>
      </c>
      <c r="H1202" s="1"/>
      <c r="I1202" s="7">
        <v>1</v>
      </c>
      <c r="J1202" s="5">
        <f>XLOOKUP(L1202, uom!C:C, uom!B:B, "Not Found")</f>
      </c>
      <c r="K1202" s="1" t="s">
        <v>5511</v>
      </c>
      <c r="L1202" s="5">
        <f>XLOOKUP(N1202, uom!C:C, uom!B:B, "Not Found")</f>
      </c>
      <c r="M1202" s="1" t="s">
        <v>5511</v>
      </c>
      <c r="N1202" s="8" t="s">
        <v>5512</v>
      </c>
      <c r="O1202" s="1" t="s">
        <v>5513</v>
      </c>
      <c r="P1202" s="5">
        <f>XLOOKUP(R1202, classification!C:C, classification!B:B, "Not Found")</f>
      </c>
      <c r="Q1202" s="1" t="s">
        <v>5514</v>
      </c>
      <c r="R1202" s="2"/>
      <c r="S1202" s="2"/>
      <c r="T1202" s="2"/>
      <c r="U1202" s="2"/>
    </row>
    <row x14ac:dyDescent="0.25" r="1203" customHeight="1" ht="17.25">
      <c r="A1203" s="7">
        <v>1202</v>
      </c>
      <c r="B1203" s="1" t="s">
        <v>6631</v>
      </c>
      <c r="C1203" s="5">
        <f>CONCATENATE("PD", TEXT(A1203, "1000000"))</f>
      </c>
      <c r="D1203" s="7">
        <v>74</v>
      </c>
      <c r="E1203" s="5">
        <f>XLOOKUP(G1203, item_category!C:C, item_category!B:B, "Not Found")</f>
      </c>
      <c r="F1203" s="1" t="s">
        <v>5520</v>
      </c>
      <c r="G1203" s="5">
        <f>XLOOKUP(I1203, drug!B:B, drug!A:A, "Not Found")</f>
      </c>
      <c r="H1203" s="1" t="s">
        <v>1386</v>
      </c>
      <c r="I1203" s="7">
        <v>1</v>
      </c>
      <c r="J1203" s="5">
        <f>XLOOKUP(L1203, uom!C:C, uom!B:B, "Not Found")</f>
      </c>
      <c r="K1203" s="1" t="s">
        <v>5511</v>
      </c>
      <c r="L1203" s="5">
        <f>XLOOKUP(N1203, uom!C:C, uom!B:B, "Not Found")</f>
      </c>
      <c r="M1203" s="1" t="s">
        <v>5511</v>
      </c>
      <c r="N1203" s="8" t="s">
        <v>5512</v>
      </c>
      <c r="O1203" s="1" t="s">
        <v>5513</v>
      </c>
      <c r="P1203" s="5">
        <f>XLOOKUP(R1203, classification!C:C, classification!B:B, "Not Found")</f>
      </c>
      <c r="Q1203" s="1" t="s">
        <v>5514</v>
      </c>
      <c r="R1203" s="2"/>
      <c r="S1203" s="2"/>
      <c r="T1203" s="2"/>
      <c r="U1203" s="2"/>
    </row>
    <row x14ac:dyDescent="0.25" r="1204" customHeight="1" ht="17.25">
      <c r="A1204" s="7">
        <v>1203</v>
      </c>
      <c r="B1204" s="1" t="s">
        <v>6632</v>
      </c>
      <c r="C1204" s="5">
        <f>CONCATENATE("PD", TEXT(A1204, "1000000"))</f>
      </c>
      <c r="D1204" s="7">
        <v>74</v>
      </c>
      <c r="E1204" s="5">
        <f>XLOOKUP(G1204, item_category!C:C, item_category!B:B, "Not Found")</f>
      </c>
      <c r="F1204" s="1" t="s">
        <v>5520</v>
      </c>
      <c r="G1204" s="5">
        <f>XLOOKUP(I1204, drug!B:B, drug!A:A, "Not Found")</f>
      </c>
      <c r="H1204" s="1"/>
      <c r="I1204" s="7">
        <v>1</v>
      </c>
      <c r="J1204" s="5">
        <f>XLOOKUP(L1204, uom!C:C, uom!B:B, "Not Found")</f>
      </c>
      <c r="K1204" s="1" t="s">
        <v>5511</v>
      </c>
      <c r="L1204" s="5">
        <f>XLOOKUP(N1204, uom!C:C, uom!B:B, "Not Found")</f>
      </c>
      <c r="M1204" s="1" t="s">
        <v>5511</v>
      </c>
      <c r="N1204" s="8" t="s">
        <v>5512</v>
      </c>
      <c r="O1204" s="1" t="s">
        <v>5513</v>
      </c>
      <c r="P1204" s="5">
        <f>XLOOKUP(R1204, classification!C:C, classification!B:B, "Not Found")</f>
      </c>
      <c r="Q1204" s="1" t="s">
        <v>5514</v>
      </c>
      <c r="R1204" s="2"/>
      <c r="S1204" s="2"/>
      <c r="T1204" s="2"/>
      <c r="U1204" s="2"/>
    </row>
    <row x14ac:dyDescent="0.25" r="1205" customHeight="1" ht="17.25">
      <c r="A1205" s="7">
        <v>1204</v>
      </c>
      <c r="B1205" s="1" t="s">
        <v>6633</v>
      </c>
      <c r="C1205" s="5">
        <f>CONCATENATE("PD", TEXT(A1205, "1000000"))</f>
      </c>
      <c r="D1205" s="7">
        <v>74</v>
      </c>
      <c r="E1205" s="5">
        <f>XLOOKUP(G1205, item_category!C:C, item_category!B:B, "Not Found")</f>
      </c>
      <c r="F1205" s="1" t="s">
        <v>5520</v>
      </c>
      <c r="G1205" s="5">
        <f>XLOOKUP(I1205, drug!B:B, drug!A:A, "Not Found")</f>
      </c>
      <c r="H1205" s="1" t="s">
        <v>1228</v>
      </c>
      <c r="I1205" s="7">
        <v>1</v>
      </c>
      <c r="J1205" s="5">
        <f>XLOOKUP(L1205, uom!C:C, uom!B:B, "Not Found")</f>
      </c>
      <c r="K1205" s="1" t="s">
        <v>5511</v>
      </c>
      <c r="L1205" s="5">
        <f>XLOOKUP(N1205, uom!C:C, uom!B:B, "Not Found")</f>
      </c>
      <c r="M1205" s="1" t="s">
        <v>5511</v>
      </c>
      <c r="N1205" s="8" t="s">
        <v>5512</v>
      </c>
      <c r="O1205" s="1" t="s">
        <v>5513</v>
      </c>
      <c r="P1205" s="5">
        <f>XLOOKUP(R1205, classification!C:C, classification!B:B, "Not Found")</f>
      </c>
      <c r="Q1205" s="1" t="s">
        <v>5514</v>
      </c>
      <c r="R1205" s="2"/>
      <c r="S1205" s="2"/>
      <c r="T1205" s="2"/>
      <c r="U1205" s="2"/>
    </row>
    <row x14ac:dyDescent="0.25" r="1206" customHeight="1" ht="17.25">
      <c r="A1206" s="7">
        <v>1205</v>
      </c>
      <c r="B1206" s="1" t="s">
        <v>6634</v>
      </c>
      <c r="C1206" s="5">
        <f>CONCATENATE("PD", TEXT(A1206, "1000000"))</f>
      </c>
      <c r="D1206" s="7">
        <v>74</v>
      </c>
      <c r="E1206" s="5">
        <f>XLOOKUP(G1206, item_category!C:C, item_category!B:B, "Not Found")</f>
      </c>
      <c r="F1206" s="1" t="s">
        <v>5520</v>
      </c>
      <c r="G1206" s="5">
        <f>XLOOKUP(I1206, drug!B:B, drug!A:A, "Not Found")</f>
      </c>
      <c r="H1206" s="1"/>
      <c r="I1206" s="7">
        <v>1</v>
      </c>
      <c r="J1206" s="5">
        <f>XLOOKUP(L1206, uom!C:C, uom!B:B, "Not Found")</f>
      </c>
      <c r="K1206" s="1" t="s">
        <v>5511</v>
      </c>
      <c r="L1206" s="5">
        <f>XLOOKUP(N1206, uom!C:C, uom!B:B, "Not Found")</f>
      </c>
      <c r="M1206" s="1" t="s">
        <v>5511</v>
      </c>
      <c r="N1206" s="8" t="s">
        <v>5512</v>
      </c>
      <c r="O1206" s="1" t="s">
        <v>5513</v>
      </c>
      <c r="P1206" s="5">
        <f>XLOOKUP(R1206, classification!C:C, classification!B:B, "Not Found")</f>
      </c>
      <c r="Q1206" s="1" t="s">
        <v>5514</v>
      </c>
      <c r="R1206" s="2"/>
      <c r="S1206" s="2"/>
      <c r="T1206" s="2"/>
      <c r="U1206" s="2"/>
    </row>
    <row x14ac:dyDescent="0.25" r="1207" customHeight="1" ht="17.25">
      <c r="A1207" s="7">
        <v>1206</v>
      </c>
      <c r="B1207" s="1" t="s">
        <v>6635</v>
      </c>
      <c r="C1207" s="5">
        <f>CONCATENATE("PD", TEXT(A1207, "1000000"))</f>
      </c>
      <c r="D1207" s="7">
        <v>74</v>
      </c>
      <c r="E1207" s="5">
        <f>XLOOKUP(G1207, item_category!C:C, item_category!B:B, "Not Found")</f>
      </c>
      <c r="F1207" s="1" t="s">
        <v>5520</v>
      </c>
      <c r="G1207" s="5">
        <f>XLOOKUP(I1207, drug!B:B, drug!A:A, "Not Found")</f>
      </c>
      <c r="H1207" s="1"/>
      <c r="I1207" s="7">
        <v>1500</v>
      </c>
      <c r="J1207" s="5">
        <f>XLOOKUP(L1207, uom!C:C, uom!B:B, "Not Found")</f>
      </c>
      <c r="K1207" s="1" t="s">
        <v>5544</v>
      </c>
      <c r="L1207" s="5">
        <f>XLOOKUP(N1207, uom!C:C, uom!B:B, "Not Found")</f>
      </c>
      <c r="M1207" s="1" t="s">
        <v>5544</v>
      </c>
      <c r="N1207" s="8" t="s">
        <v>5524</v>
      </c>
      <c r="O1207" s="1" t="s">
        <v>5525</v>
      </c>
      <c r="P1207" s="5">
        <f>XLOOKUP(R1207, classification!C:C, classification!B:B, "Not Found")</f>
      </c>
      <c r="Q1207" s="1" t="s">
        <v>5514</v>
      </c>
      <c r="R1207" s="2"/>
      <c r="S1207" s="2"/>
      <c r="T1207" s="2"/>
      <c r="U1207" s="2"/>
    </row>
    <row x14ac:dyDescent="0.25" r="1208" customHeight="1" ht="17.25">
      <c r="A1208" s="7">
        <v>1207</v>
      </c>
      <c r="B1208" s="1" t="s">
        <v>6636</v>
      </c>
      <c r="C1208" s="5">
        <f>CONCATENATE("PD", TEXT(A1208, "1000000"))</f>
      </c>
      <c r="D1208" s="7">
        <v>74</v>
      </c>
      <c r="E1208" s="5">
        <f>XLOOKUP(G1208, item_category!C:C, item_category!B:B, "Not Found")</f>
      </c>
      <c r="F1208" s="1" t="s">
        <v>5520</v>
      </c>
      <c r="G1208" s="5">
        <f>XLOOKUP(I1208, drug!B:B, drug!A:A, "Not Found")</f>
      </c>
      <c r="H1208" s="1"/>
      <c r="I1208" s="7">
        <v>1</v>
      </c>
      <c r="J1208" s="5">
        <f>XLOOKUP(L1208, uom!C:C, uom!B:B, "Not Found")</f>
      </c>
      <c r="K1208" s="1" t="s">
        <v>5511</v>
      </c>
      <c r="L1208" s="5">
        <f>XLOOKUP(N1208, uom!C:C, uom!B:B, "Not Found")</f>
      </c>
      <c r="M1208" s="1" t="s">
        <v>5511</v>
      </c>
      <c r="N1208" s="8" t="s">
        <v>5512</v>
      </c>
      <c r="O1208" s="1" t="s">
        <v>5513</v>
      </c>
      <c r="P1208" s="5">
        <f>XLOOKUP(R1208, classification!C:C, classification!B:B, "Not Found")</f>
      </c>
      <c r="Q1208" s="1" t="s">
        <v>5514</v>
      </c>
      <c r="R1208" s="2"/>
      <c r="S1208" s="2"/>
      <c r="T1208" s="2"/>
      <c r="U1208" s="2"/>
    </row>
    <row x14ac:dyDescent="0.25" r="1209" customHeight="1" ht="17.25">
      <c r="A1209" s="7">
        <v>1208</v>
      </c>
      <c r="B1209" s="1" t="s">
        <v>6637</v>
      </c>
      <c r="C1209" s="5">
        <f>CONCATENATE("PD", TEXT(A1209, "1000000"))</f>
      </c>
      <c r="D1209" s="7">
        <v>74</v>
      </c>
      <c r="E1209" s="5">
        <f>XLOOKUP(G1209, item_category!C:C, item_category!B:B, "Not Found")</f>
      </c>
      <c r="F1209" s="1" t="s">
        <v>5520</v>
      </c>
      <c r="G1209" s="5">
        <f>XLOOKUP(I1209, drug!B:B, drug!A:A, "Not Found")</f>
      </c>
      <c r="H1209" s="1"/>
      <c r="I1209" s="7">
        <v>1</v>
      </c>
      <c r="J1209" s="5">
        <f>XLOOKUP(L1209, uom!C:C, uom!B:B, "Not Found")</f>
      </c>
      <c r="K1209" s="1" t="s">
        <v>5511</v>
      </c>
      <c r="L1209" s="5">
        <f>XLOOKUP(N1209, uom!C:C, uom!B:B, "Not Found")</f>
      </c>
      <c r="M1209" s="1" t="s">
        <v>5511</v>
      </c>
      <c r="N1209" s="8" t="s">
        <v>5512</v>
      </c>
      <c r="O1209" s="1" t="s">
        <v>5513</v>
      </c>
      <c r="P1209" s="5">
        <f>XLOOKUP(R1209, classification!C:C, classification!B:B, "Not Found")</f>
      </c>
      <c r="Q1209" s="1" t="s">
        <v>5514</v>
      </c>
      <c r="R1209" s="2"/>
      <c r="S1209" s="2"/>
      <c r="T1209" s="2"/>
      <c r="U1209" s="2"/>
    </row>
    <row x14ac:dyDescent="0.25" r="1210" customHeight="1" ht="17.25">
      <c r="A1210" s="7">
        <v>1209</v>
      </c>
      <c r="B1210" s="1" t="s">
        <v>6638</v>
      </c>
      <c r="C1210" s="5">
        <f>CONCATENATE("PD", TEXT(A1210, "1000000"))</f>
      </c>
      <c r="D1210" s="7">
        <v>74</v>
      </c>
      <c r="E1210" s="5">
        <f>XLOOKUP(G1210, item_category!C:C, item_category!B:B, "Not Found")</f>
      </c>
      <c r="F1210" s="1" t="s">
        <v>5520</v>
      </c>
      <c r="G1210" s="5">
        <f>XLOOKUP(I1210, drug!B:B, drug!A:A, "Not Found")</f>
      </c>
      <c r="H1210" s="1"/>
      <c r="I1210" s="7">
        <v>1</v>
      </c>
      <c r="J1210" s="5">
        <f>XLOOKUP(L1210, uom!C:C, uom!B:B, "Not Found")</f>
      </c>
      <c r="K1210" s="1" t="s">
        <v>5511</v>
      </c>
      <c r="L1210" s="5">
        <f>XLOOKUP(N1210, uom!C:C, uom!B:B, "Not Found")</f>
      </c>
      <c r="M1210" s="1" t="s">
        <v>5511</v>
      </c>
      <c r="N1210" s="8" t="s">
        <v>5512</v>
      </c>
      <c r="O1210" s="1" t="s">
        <v>5513</v>
      </c>
      <c r="P1210" s="5">
        <f>XLOOKUP(R1210, classification!C:C, classification!B:B, "Not Found")</f>
      </c>
      <c r="Q1210" s="1" t="s">
        <v>5514</v>
      </c>
      <c r="R1210" s="2"/>
      <c r="S1210" s="2"/>
      <c r="T1210" s="2"/>
      <c r="U1210" s="2"/>
    </row>
    <row x14ac:dyDescent="0.25" r="1211" customHeight="1" ht="17.25">
      <c r="A1211" s="7">
        <v>1210</v>
      </c>
      <c r="B1211" s="1" t="s">
        <v>6639</v>
      </c>
      <c r="C1211" s="5">
        <f>CONCATENATE("PD", TEXT(A1211, "1000000"))</f>
      </c>
      <c r="D1211" s="7">
        <v>74</v>
      </c>
      <c r="E1211" s="5">
        <f>XLOOKUP(G1211, item_category!C:C, item_category!B:B, "Not Found")</f>
      </c>
      <c r="F1211" s="1" t="s">
        <v>5520</v>
      </c>
      <c r="G1211" s="5">
        <f>XLOOKUP(I1211, drug!B:B, drug!A:A, "Not Found")</f>
      </c>
      <c r="H1211" s="1"/>
      <c r="I1211" s="7">
        <v>1</v>
      </c>
      <c r="J1211" s="5">
        <f>XLOOKUP(L1211, uom!C:C, uom!B:B, "Not Found")</f>
      </c>
      <c r="K1211" s="1" t="s">
        <v>5511</v>
      </c>
      <c r="L1211" s="5">
        <f>XLOOKUP(N1211, uom!C:C, uom!B:B, "Not Found")</f>
      </c>
      <c r="M1211" s="1" t="s">
        <v>5511</v>
      </c>
      <c r="N1211" s="8" t="s">
        <v>5512</v>
      </c>
      <c r="O1211" s="1" t="s">
        <v>5513</v>
      </c>
      <c r="P1211" s="5">
        <f>XLOOKUP(R1211, classification!C:C, classification!B:B, "Not Found")</f>
      </c>
      <c r="Q1211" s="1" t="s">
        <v>5514</v>
      </c>
      <c r="R1211" s="2"/>
      <c r="S1211" s="2"/>
      <c r="T1211" s="2"/>
      <c r="U1211" s="2"/>
    </row>
    <row x14ac:dyDescent="0.25" r="1212" customHeight="1" ht="17.25">
      <c r="A1212" s="7">
        <v>1211</v>
      </c>
      <c r="B1212" s="1" t="s">
        <v>6640</v>
      </c>
      <c r="C1212" s="5">
        <f>CONCATENATE("PD", TEXT(A1212, "1000000"))</f>
      </c>
      <c r="D1212" s="7">
        <v>74</v>
      </c>
      <c r="E1212" s="5">
        <f>XLOOKUP(G1212, item_category!C:C, item_category!B:B, "Not Found")</f>
      </c>
      <c r="F1212" s="1" t="s">
        <v>5520</v>
      </c>
      <c r="G1212" s="5">
        <f>XLOOKUP(I1212, drug!B:B, drug!A:A, "Not Found")</f>
      </c>
      <c r="H1212" s="1"/>
      <c r="I1212" s="7">
        <v>1</v>
      </c>
      <c r="J1212" s="5">
        <f>XLOOKUP(L1212, uom!C:C, uom!B:B, "Not Found")</f>
      </c>
      <c r="K1212" s="1" t="s">
        <v>5511</v>
      </c>
      <c r="L1212" s="5">
        <f>XLOOKUP(N1212, uom!C:C, uom!B:B, "Not Found")</f>
      </c>
      <c r="M1212" s="1" t="s">
        <v>5511</v>
      </c>
      <c r="N1212" s="8" t="s">
        <v>5512</v>
      </c>
      <c r="O1212" s="1" t="s">
        <v>5513</v>
      </c>
      <c r="P1212" s="5">
        <f>XLOOKUP(R1212, classification!C:C, classification!B:B, "Not Found")</f>
      </c>
      <c r="Q1212" s="1" t="s">
        <v>5514</v>
      </c>
      <c r="R1212" s="2"/>
      <c r="S1212" s="2"/>
      <c r="T1212" s="2"/>
      <c r="U1212" s="2"/>
    </row>
    <row x14ac:dyDescent="0.25" r="1213" customHeight="1" ht="17.25">
      <c r="A1213" s="7">
        <v>1212</v>
      </c>
      <c r="B1213" s="1" t="s">
        <v>6641</v>
      </c>
      <c r="C1213" s="5">
        <f>CONCATENATE("PD", TEXT(A1213, "1000000"))</f>
      </c>
      <c r="D1213" s="7">
        <v>74</v>
      </c>
      <c r="E1213" s="5">
        <f>XLOOKUP(G1213, item_category!C:C, item_category!B:B, "Not Found")</f>
      </c>
      <c r="F1213" s="1" t="s">
        <v>5520</v>
      </c>
      <c r="G1213" s="5">
        <f>XLOOKUP(I1213, drug!B:B, drug!A:A, "Not Found")</f>
      </c>
      <c r="H1213" s="1" t="s">
        <v>1754</v>
      </c>
      <c r="I1213" s="7">
        <v>1</v>
      </c>
      <c r="J1213" s="5">
        <f>XLOOKUP(L1213, uom!C:C, uom!B:B, "Not Found")</f>
      </c>
      <c r="K1213" s="1" t="s">
        <v>5511</v>
      </c>
      <c r="L1213" s="5">
        <f>XLOOKUP(N1213, uom!C:C, uom!B:B, "Not Found")</f>
      </c>
      <c r="M1213" s="1" t="s">
        <v>5511</v>
      </c>
      <c r="N1213" s="8" t="s">
        <v>5512</v>
      </c>
      <c r="O1213" s="1" t="s">
        <v>5513</v>
      </c>
      <c r="P1213" s="5">
        <f>XLOOKUP(R1213, classification!C:C, classification!B:B, "Not Found")</f>
      </c>
      <c r="Q1213" s="1" t="s">
        <v>5514</v>
      </c>
      <c r="R1213" s="2"/>
      <c r="S1213" s="2"/>
      <c r="T1213" s="2"/>
      <c r="U1213" s="2"/>
    </row>
    <row x14ac:dyDescent="0.25" r="1214" customHeight="1" ht="17.25">
      <c r="A1214" s="7">
        <v>1213</v>
      </c>
      <c r="B1214" s="1" t="s">
        <v>6642</v>
      </c>
      <c r="C1214" s="5">
        <f>CONCATENATE("PD", TEXT(A1214, "1000000"))</f>
      </c>
      <c r="D1214" s="7">
        <v>74</v>
      </c>
      <c r="E1214" s="5">
        <f>XLOOKUP(G1214, item_category!C:C, item_category!B:B, "Not Found")</f>
      </c>
      <c r="F1214" s="1" t="s">
        <v>5520</v>
      </c>
      <c r="G1214" s="5">
        <f>XLOOKUP(I1214, drug!B:B, drug!A:A, "Not Found")</f>
      </c>
      <c r="H1214" s="1"/>
      <c r="I1214" s="7">
        <v>1</v>
      </c>
      <c r="J1214" s="5">
        <f>XLOOKUP(L1214, uom!C:C, uom!B:B, "Not Found")</f>
      </c>
      <c r="K1214" s="1" t="s">
        <v>5511</v>
      </c>
      <c r="L1214" s="5">
        <f>XLOOKUP(N1214, uom!C:C, uom!B:B, "Not Found")</f>
      </c>
      <c r="M1214" s="1" t="s">
        <v>5511</v>
      </c>
      <c r="N1214" s="8" t="s">
        <v>5512</v>
      </c>
      <c r="O1214" s="1" t="s">
        <v>5513</v>
      </c>
      <c r="P1214" s="5">
        <f>XLOOKUP(R1214, classification!C:C, classification!B:B, "Not Found")</f>
      </c>
      <c r="Q1214" s="1" t="s">
        <v>5514</v>
      </c>
      <c r="R1214" s="2"/>
      <c r="S1214" s="2"/>
      <c r="T1214" s="2"/>
      <c r="U1214" s="2"/>
    </row>
    <row x14ac:dyDescent="0.25" r="1215" customHeight="1" ht="17.25">
      <c r="A1215" s="7">
        <v>1214</v>
      </c>
      <c r="B1215" s="1" t="s">
        <v>6643</v>
      </c>
      <c r="C1215" s="5">
        <f>CONCATENATE("PD", TEXT(A1215, "1000000"))</f>
      </c>
      <c r="D1215" s="7">
        <v>74</v>
      </c>
      <c r="E1215" s="5">
        <f>XLOOKUP(G1215, item_category!C:C, item_category!B:B, "Not Found")</f>
      </c>
      <c r="F1215" s="1" t="s">
        <v>5520</v>
      </c>
      <c r="G1215" s="5">
        <f>XLOOKUP(I1215, drug!B:B, drug!A:A, "Not Found")</f>
      </c>
      <c r="H1215" s="1"/>
      <c r="I1215" s="7">
        <v>1</v>
      </c>
      <c r="J1215" s="5">
        <f>XLOOKUP(L1215, uom!C:C, uom!B:B, "Not Found")</f>
      </c>
      <c r="K1215" s="1" t="s">
        <v>5511</v>
      </c>
      <c r="L1215" s="5">
        <f>XLOOKUP(N1215, uom!C:C, uom!B:B, "Not Found")</f>
      </c>
      <c r="M1215" s="1" t="s">
        <v>5511</v>
      </c>
      <c r="N1215" s="8" t="s">
        <v>5512</v>
      </c>
      <c r="O1215" s="1" t="s">
        <v>5513</v>
      </c>
      <c r="P1215" s="5">
        <f>XLOOKUP(R1215, classification!C:C, classification!B:B, "Not Found")</f>
      </c>
      <c r="Q1215" s="1" t="s">
        <v>5514</v>
      </c>
      <c r="R1215" s="2"/>
      <c r="S1215" s="2"/>
      <c r="T1215" s="2"/>
      <c r="U1215" s="2"/>
    </row>
    <row x14ac:dyDescent="0.25" r="1216" customHeight="1" ht="17.25">
      <c r="A1216" s="7">
        <v>1215</v>
      </c>
      <c r="B1216" s="1" t="s">
        <v>6644</v>
      </c>
      <c r="C1216" s="5">
        <f>CONCATENATE("PD", TEXT(A1216, "1000000"))</f>
      </c>
      <c r="D1216" s="7">
        <v>74</v>
      </c>
      <c r="E1216" s="5">
        <f>XLOOKUP(G1216, item_category!C:C, item_category!B:B, "Not Found")</f>
      </c>
      <c r="F1216" s="1" t="s">
        <v>5520</v>
      </c>
      <c r="G1216" s="5">
        <f>XLOOKUP(I1216, drug!B:B, drug!A:A, "Not Found")</f>
      </c>
      <c r="H1216" s="1"/>
      <c r="I1216" s="7">
        <v>1</v>
      </c>
      <c r="J1216" s="5">
        <f>XLOOKUP(L1216, uom!C:C, uom!B:B, "Not Found")</f>
      </c>
      <c r="K1216" s="1" t="s">
        <v>5511</v>
      </c>
      <c r="L1216" s="5">
        <f>XLOOKUP(N1216, uom!C:C, uom!B:B, "Not Found")</f>
      </c>
      <c r="M1216" s="1" t="s">
        <v>5511</v>
      </c>
      <c r="N1216" s="8" t="s">
        <v>5512</v>
      </c>
      <c r="O1216" s="1" t="s">
        <v>5513</v>
      </c>
      <c r="P1216" s="5">
        <f>XLOOKUP(R1216, classification!C:C, classification!B:B, "Not Found")</f>
      </c>
      <c r="Q1216" s="1" t="s">
        <v>5514</v>
      </c>
      <c r="R1216" s="2"/>
      <c r="S1216" s="2"/>
      <c r="T1216" s="2"/>
      <c r="U1216" s="2"/>
    </row>
    <row x14ac:dyDescent="0.25" r="1217" customHeight="1" ht="17.25">
      <c r="A1217" s="7">
        <v>1216</v>
      </c>
      <c r="B1217" s="1" t="s">
        <v>6645</v>
      </c>
      <c r="C1217" s="5">
        <f>CONCATENATE("PD", TEXT(A1217, "1000000"))</f>
      </c>
      <c r="D1217" s="7">
        <v>74</v>
      </c>
      <c r="E1217" s="5">
        <f>XLOOKUP(G1217, item_category!C:C, item_category!B:B, "Not Found")</f>
      </c>
      <c r="F1217" s="1" t="s">
        <v>5520</v>
      </c>
      <c r="G1217" s="5">
        <f>XLOOKUP(I1217, drug!B:B, drug!A:A, "Not Found")</f>
      </c>
      <c r="H1217" s="1"/>
      <c r="I1217" s="7">
        <v>1</v>
      </c>
      <c r="J1217" s="5">
        <f>XLOOKUP(L1217, uom!C:C, uom!B:B, "Not Found")</f>
      </c>
      <c r="K1217" s="1" t="s">
        <v>5511</v>
      </c>
      <c r="L1217" s="5">
        <f>XLOOKUP(N1217, uom!C:C, uom!B:B, "Not Found")</f>
      </c>
      <c r="M1217" s="1" t="s">
        <v>5511</v>
      </c>
      <c r="N1217" s="8" t="s">
        <v>5512</v>
      </c>
      <c r="O1217" s="1" t="s">
        <v>5513</v>
      </c>
      <c r="P1217" s="5">
        <f>XLOOKUP(R1217, classification!C:C, classification!B:B, "Not Found")</f>
      </c>
      <c r="Q1217" s="1" t="s">
        <v>5514</v>
      </c>
      <c r="R1217" s="2"/>
      <c r="S1217" s="2"/>
      <c r="T1217" s="2"/>
      <c r="U1217" s="2"/>
    </row>
    <row x14ac:dyDescent="0.25" r="1218" customHeight="1" ht="17.25">
      <c r="A1218" s="7">
        <v>1217</v>
      </c>
      <c r="B1218" s="1" t="s">
        <v>6646</v>
      </c>
      <c r="C1218" s="5">
        <f>CONCATENATE("PD", TEXT(A1218, "1000000"))</f>
      </c>
      <c r="D1218" s="7">
        <v>74</v>
      </c>
      <c r="E1218" s="5">
        <f>XLOOKUP(G1218, item_category!C:C, item_category!B:B, "Not Found")</f>
      </c>
      <c r="F1218" s="1" t="s">
        <v>5520</v>
      </c>
      <c r="G1218" s="5">
        <f>XLOOKUP(I1218, drug!B:B, drug!A:A, "Not Found")</f>
      </c>
      <c r="H1218" s="1" t="s">
        <v>2016</v>
      </c>
      <c r="I1218" s="7">
        <v>1</v>
      </c>
      <c r="J1218" s="5">
        <f>XLOOKUP(L1218, uom!C:C, uom!B:B, "Not Found")</f>
      </c>
      <c r="K1218" s="1" t="s">
        <v>5511</v>
      </c>
      <c r="L1218" s="5">
        <f>XLOOKUP(N1218, uom!C:C, uom!B:B, "Not Found")</f>
      </c>
      <c r="M1218" s="1" t="s">
        <v>5511</v>
      </c>
      <c r="N1218" s="8" t="s">
        <v>5512</v>
      </c>
      <c r="O1218" s="1" t="s">
        <v>5513</v>
      </c>
      <c r="P1218" s="5">
        <f>XLOOKUP(R1218, classification!C:C, classification!B:B, "Not Found")</f>
      </c>
      <c r="Q1218" s="1" t="s">
        <v>5514</v>
      </c>
      <c r="R1218" s="2"/>
      <c r="S1218" s="2"/>
      <c r="T1218" s="2"/>
      <c r="U1218" s="2"/>
    </row>
    <row x14ac:dyDescent="0.25" r="1219" customHeight="1" ht="17.25">
      <c r="A1219" s="7">
        <v>1218</v>
      </c>
      <c r="B1219" s="1" t="s">
        <v>6647</v>
      </c>
      <c r="C1219" s="5">
        <f>CONCATENATE("PD", TEXT(A1219, "1000000"))</f>
      </c>
      <c r="D1219" s="7">
        <v>74</v>
      </c>
      <c r="E1219" s="5">
        <f>XLOOKUP(G1219, item_category!C:C, item_category!B:B, "Not Found")</f>
      </c>
      <c r="F1219" s="1" t="s">
        <v>5520</v>
      </c>
      <c r="G1219" s="5">
        <f>XLOOKUP(I1219, drug!B:B, drug!A:A, "Not Found")</f>
      </c>
      <c r="H1219" s="1" t="s">
        <v>2016</v>
      </c>
      <c r="I1219" s="7">
        <v>1</v>
      </c>
      <c r="J1219" s="5">
        <f>XLOOKUP(L1219, uom!C:C, uom!B:B, "Not Found")</f>
      </c>
      <c r="K1219" s="1" t="s">
        <v>5511</v>
      </c>
      <c r="L1219" s="5">
        <f>XLOOKUP(N1219, uom!C:C, uom!B:B, "Not Found")</f>
      </c>
      <c r="M1219" s="1" t="s">
        <v>5511</v>
      </c>
      <c r="N1219" s="8" t="s">
        <v>5512</v>
      </c>
      <c r="O1219" s="1" t="s">
        <v>5513</v>
      </c>
      <c r="P1219" s="5">
        <f>XLOOKUP(R1219, classification!C:C, classification!B:B, "Not Found")</f>
      </c>
      <c r="Q1219" s="1" t="s">
        <v>5514</v>
      </c>
      <c r="R1219" s="2"/>
      <c r="S1219" s="2"/>
      <c r="T1219" s="2"/>
      <c r="U1219" s="2"/>
    </row>
    <row x14ac:dyDescent="0.25" r="1220" customHeight="1" ht="17.25">
      <c r="A1220" s="7">
        <v>1219</v>
      </c>
      <c r="B1220" s="1" t="s">
        <v>6648</v>
      </c>
      <c r="C1220" s="5">
        <f>CONCATENATE("PD", TEXT(A1220, "1000000"))</f>
      </c>
      <c r="D1220" s="7">
        <v>74</v>
      </c>
      <c r="E1220" s="5">
        <f>XLOOKUP(G1220, item_category!C:C, item_category!B:B, "Not Found")</f>
      </c>
      <c r="F1220" s="1" t="s">
        <v>5520</v>
      </c>
      <c r="G1220" s="5">
        <f>XLOOKUP(I1220, drug!B:B, drug!A:A, "Not Found")</f>
      </c>
      <c r="H1220" s="1"/>
      <c r="I1220" s="7">
        <v>1</v>
      </c>
      <c r="J1220" s="5">
        <f>XLOOKUP(L1220, uom!C:C, uom!B:B, "Not Found")</f>
      </c>
      <c r="K1220" s="1" t="s">
        <v>5511</v>
      </c>
      <c r="L1220" s="5">
        <f>XLOOKUP(N1220, uom!C:C, uom!B:B, "Not Found")</f>
      </c>
      <c r="M1220" s="1" t="s">
        <v>5511</v>
      </c>
      <c r="N1220" s="8" t="s">
        <v>5512</v>
      </c>
      <c r="O1220" s="1" t="s">
        <v>5513</v>
      </c>
      <c r="P1220" s="5">
        <f>XLOOKUP(R1220, classification!C:C, classification!B:B, "Not Found")</f>
      </c>
      <c r="Q1220" s="1" t="s">
        <v>5514</v>
      </c>
      <c r="R1220" s="2"/>
      <c r="S1220" s="2"/>
      <c r="T1220" s="2"/>
      <c r="U1220" s="2"/>
    </row>
    <row x14ac:dyDescent="0.25" r="1221" customHeight="1" ht="17.25">
      <c r="A1221" s="7">
        <v>1220</v>
      </c>
      <c r="B1221" s="1" t="s">
        <v>6649</v>
      </c>
      <c r="C1221" s="5">
        <f>CONCATENATE("PD", TEXT(A1221, "1000000"))</f>
      </c>
      <c r="D1221" s="7">
        <v>74</v>
      </c>
      <c r="E1221" s="5">
        <f>XLOOKUP(G1221, item_category!C:C, item_category!B:B, "Not Found")</f>
      </c>
      <c r="F1221" s="1" t="s">
        <v>5520</v>
      </c>
      <c r="G1221" s="5">
        <f>XLOOKUP(I1221, drug!B:B, drug!A:A, "Not Found")</f>
      </c>
      <c r="H1221" s="1"/>
      <c r="I1221" s="7">
        <v>1</v>
      </c>
      <c r="J1221" s="5">
        <f>XLOOKUP(L1221, uom!C:C, uom!B:B, "Not Found")</f>
      </c>
      <c r="K1221" s="1" t="s">
        <v>5511</v>
      </c>
      <c r="L1221" s="5">
        <f>XLOOKUP(N1221, uom!C:C, uom!B:B, "Not Found")</f>
      </c>
      <c r="M1221" s="1" t="s">
        <v>5511</v>
      </c>
      <c r="N1221" s="8" t="s">
        <v>5512</v>
      </c>
      <c r="O1221" s="1" t="s">
        <v>5513</v>
      </c>
      <c r="P1221" s="5">
        <f>XLOOKUP(R1221, classification!C:C, classification!B:B, "Not Found")</f>
      </c>
      <c r="Q1221" s="1" t="s">
        <v>5514</v>
      </c>
      <c r="R1221" s="2"/>
      <c r="S1221" s="2"/>
      <c r="T1221" s="2"/>
      <c r="U1221" s="2"/>
    </row>
    <row x14ac:dyDescent="0.25" r="1222" customHeight="1" ht="17.25">
      <c r="A1222" s="7">
        <v>1221</v>
      </c>
      <c r="B1222" s="1" t="s">
        <v>6650</v>
      </c>
      <c r="C1222" s="5">
        <f>CONCATENATE("PD", TEXT(A1222, "1000000"))</f>
      </c>
      <c r="D1222" s="7">
        <v>74</v>
      </c>
      <c r="E1222" s="5">
        <f>XLOOKUP(G1222, item_category!C:C, item_category!B:B, "Not Found")</f>
      </c>
      <c r="F1222" s="1" t="s">
        <v>5520</v>
      </c>
      <c r="G1222" s="5">
        <f>XLOOKUP(I1222, drug!B:B, drug!A:A, "Not Found")</f>
      </c>
      <c r="H1222" s="1"/>
      <c r="I1222" s="7">
        <v>1</v>
      </c>
      <c r="J1222" s="5">
        <f>XLOOKUP(L1222, uom!C:C, uom!B:B, "Not Found")</f>
      </c>
      <c r="K1222" s="1" t="s">
        <v>5511</v>
      </c>
      <c r="L1222" s="5">
        <f>XLOOKUP(N1222, uom!C:C, uom!B:B, "Not Found")</f>
      </c>
      <c r="M1222" s="1" t="s">
        <v>5511</v>
      </c>
      <c r="N1222" s="8" t="s">
        <v>5512</v>
      </c>
      <c r="O1222" s="1" t="s">
        <v>5513</v>
      </c>
      <c r="P1222" s="5">
        <f>XLOOKUP(R1222, classification!C:C, classification!B:B, "Not Found")</f>
      </c>
      <c r="Q1222" s="1" t="s">
        <v>5514</v>
      </c>
      <c r="R1222" s="2"/>
      <c r="S1222" s="2"/>
      <c r="T1222" s="2"/>
      <c r="U1222" s="2"/>
    </row>
    <row x14ac:dyDescent="0.25" r="1223" customHeight="1" ht="17.25">
      <c r="A1223" s="7">
        <v>1222</v>
      </c>
      <c r="B1223" s="1" t="s">
        <v>6651</v>
      </c>
      <c r="C1223" s="5">
        <f>CONCATENATE("PD", TEXT(A1223, "1000000"))</f>
      </c>
      <c r="D1223" s="7">
        <v>74</v>
      </c>
      <c r="E1223" s="5">
        <f>XLOOKUP(G1223, item_category!C:C, item_category!B:B, "Not Found")</f>
      </c>
      <c r="F1223" s="1" t="s">
        <v>5520</v>
      </c>
      <c r="G1223" s="5">
        <f>XLOOKUP(I1223, drug!B:B, drug!A:A, "Not Found")</f>
      </c>
      <c r="H1223" s="1"/>
      <c r="I1223" s="7">
        <v>1</v>
      </c>
      <c r="J1223" s="5">
        <f>XLOOKUP(L1223, uom!C:C, uom!B:B, "Not Found")</f>
      </c>
      <c r="K1223" s="1" t="s">
        <v>5511</v>
      </c>
      <c r="L1223" s="5">
        <f>XLOOKUP(N1223, uom!C:C, uom!B:B, "Not Found")</f>
      </c>
      <c r="M1223" s="1" t="s">
        <v>5511</v>
      </c>
      <c r="N1223" s="8" t="s">
        <v>5512</v>
      </c>
      <c r="O1223" s="1" t="s">
        <v>5513</v>
      </c>
      <c r="P1223" s="5">
        <f>XLOOKUP(R1223, classification!C:C, classification!B:B, "Not Found")</f>
      </c>
      <c r="Q1223" s="1" t="s">
        <v>5514</v>
      </c>
      <c r="R1223" s="2"/>
      <c r="S1223" s="2"/>
      <c r="T1223" s="2"/>
      <c r="U1223" s="2"/>
    </row>
    <row x14ac:dyDescent="0.25" r="1224" customHeight="1" ht="17.25">
      <c r="A1224" s="7">
        <v>1223</v>
      </c>
      <c r="B1224" s="1" t="s">
        <v>6652</v>
      </c>
      <c r="C1224" s="5">
        <f>CONCATENATE("PD", TEXT(A1224, "1000000"))</f>
      </c>
      <c r="D1224" s="7">
        <v>74</v>
      </c>
      <c r="E1224" s="5">
        <f>XLOOKUP(G1224, item_category!C:C, item_category!B:B, "Not Found")</f>
      </c>
      <c r="F1224" s="1" t="s">
        <v>5520</v>
      </c>
      <c r="G1224" s="5">
        <f>XLOOKUP(I1224, drug!B:B, drug!A:A, "Not Found")</f>
      </c>
      <c r="H1224" s="1"/>
      <c r="I1224" s="7">
        <v>1</v>
      </c>
      <c r="J1224" s="5">
        <f>XLOOKUP(L1224, uom!C:C, uom!B:B, "Not Found")</f>
      </c>
      <c r="K1224" s="1" t="s">
        <v>5511</v>
      </c>
      <c r="L1224" s="5">
        <f>XLOOKUP(N1224, uom!C:C, uom!B:B, "Not Found")</f>
      </c>
      <c r="M1224" s="1" t="s">
        <v>5511</v>
      </c>
      <c r="N1224" s="8" t="s">
        <v>5512</v>
      </c>
      <c r="O1224" s="1" t="s">
        <v>5513</v>
      </c>
      <c r="P1224" s="5">
        <f>XLOOKUP(R1224, classification!C:C, classification!B:B, "Not Found")</f>
      </c>
      <c r="Q1224" s="1" t="s">
        <v>5514</v>
      </c>
      <c r="R1224" s="2"/>
      <c r="S1224" s="2"/>
      <c r="T1224" s="2"/>
      <c r="U1224" s="2"/>
    </row>
    <row x14ac:dyDescent="0.25" r="1225" customHeight="1" ht="17.25">
      <c r="A1225" s="7">
        <v>1224</v>
      </c>
      <c r="B1225" s="1" t="s">
        <v>6653</v>
      </c>
      <c r="C1225" s="5">
        <f>CONCATENATE("PD", TEXT(A1225, "1000000"))</f>
      </c>
      <c r="D1225" s="7">
        <v>74</v>
      </c>
      <c r="E1225" s="5">
        <f>XLOOKUP(G1225, item_category!C:C, item_category!B:B, "Not Found")</f>
      </c>
      <c r="F1225" s="1" t="s">
        <v>5520</v>
      </c>
      <c r="G1225" s="5">
        <f>XLOOKUP(I1225, drug!B:B, drug!A:A, "Not Found")</f>
      </c>
      <c r="H1225" s="1"/>
      <c r="I1225" s="7">
        <v>1</v>
      </c>
      <c r="J1225" s="5">
        <f>XLOOKUP(L1225, uom!C:C, uom!B:B, "Not Found")</f>
      </c>
      <c r="K1225" s="1" t="s">
        <v>5511</v>
      </c>
      <c r="L1225" s="5">
        <f>XLOOKUP(N1225, uom!C:C, uom!B:B, "Not Found")</f>
      </c>
      <c r="M1225" s="1" t="s">
        <v>5511</v>
      </c>
      <c r="N1225" s="8" t="s">
        <v>5512</v>
      </c>
      <c r="O1225" s="1" t="s">
        <v>5513</v>
      </c>
      <c r="P1225" s="5">
        <f>XLOOKUP(R1225, classification!C:C, classification!B:B, "Not Found")</f>
      </c>
      <c r="Q1225" s="1" t="s">
        <v>5514</v>
      </c>
      <c r="R1225" s="2"/>
      <c r="S1225" s="2"/>
      <c r="T1225" s="2"/>
      <c r="U1225" s="2"/>
    </row>
    <row x14ac:dyDescent="0.25" r="1226" customHeight="1" ht="17.25">
      <c r="A1226" s="7">
        <v>1225</v>
      </c>
      <c r="B1226" s="1" t="s">
        <v>6654</v>
      </c>
      <c r="C1226" s="5">
        <f>CONCATENATE("PD", TEXT(A1226, "1000000"))</f>
      </c>
      <c r="D1226" s="7">
        <v>74</v>
      </c>
      <c r="E1226" s="5">
        <f>XLOOKUP(G1226, item_category!C:C, item_category!B:B, "Not Found")</f>
      </c>
      <c r="F1226" s="1" t="s">
        <v>5520</v>
      </c>
      <c r="G1226" s="5">
        <f>XLOOKUP(I1226, drug!B:B, drug!A:A, "Not Found")</f>
      </c>
      <c r="H1226" s="1" t="s">
        <v>95</v>
      </c>
      <c r="I1226" s="7">
        <v>1</v>
      </c>
      <c r="J1226" s="5">
        <f>XLOOKUP(L1226, uom!C:C, uom!B:B, "Not Found")</f>
      </c>
      <c r="K1226" s="1" t="s">
        <v>5511</v>
      </c>
      <c r="L1226" s="5">
        <f>XLOOKUP(N1226, uom!C:C, uom!B:B, "Not Found")</f>
      </c>
      <c r="M1226" s="1" t="s">
        <v>5511</v>
      </c>
      <c r="N1226" s="8" t="s">
        <v>5512</v>
      </c>
      <c r="O1226" s="1" t="s">
        <v>5513</v>
      </c>
      <c r="P1226" s="5">
        <f>XLOOKUP(R1226, classification!C:C, classification!B:B, "Not Found")</f>
      </c>
      <c r="Q1226" s="1" t="s">
        <v>5514</v>
      </c>
      <c r="R1226" s="2"/>
      <c r="S1226" s="2"/>
      <c r="T1226" s="2"/>
      <c r="U1226" s="2"/>
    </row>
    <row x14ac:dyDescent="0.25" r="1227" customHeight="1" ht="17.25">
      <c r="A1227" s="7">
        <v>1226</v>
      </c>
      <c r="B1227" s="1" t="s">
        <v>6655</v>
      </c>
      <c r="C1227" s="5">
        <f>CONCATENATE("PD", TEXT(A1227, "1000000"))</f>
      </c>
      <c r="D1227" s="7">
        <v>74</v>
      </c>
      <c r="E1227" s="5">
        <f>XLOOKUP(G1227, item_category!C:C, item_category!B:B, "Not Found")</f>
      </c>
      <c r="F1227" s="1" t="s">
        <v>5520</v>
      </c>
      <c r="G1227" s="5">
        <f>XLOOKUP(I1227, drug!B:B, drug!A:A, "Not Found")</f>
      </c>
      <c r="H1227" s="1" t="s">
        <v>95</v>
      </c>
      <c r="I1227" s="7">
        <v>1</v>
      </c>
      <c r="J1227" s="5">
        <f>XLOOKUP(L1227, uom!C:C, uom!B:B, "Not Found")</f>
      </c>
      <c r="K1227" s="1" t="s">
        <v>5511</v>
      </c>
      <c r="L1227" s="5">
        <f>XLOOKUP(N1227, uom!C:C, uom!B:B, "Not Found")</f>
      </c>
      <c r="M1227" s="1" t="s">
        <v>5511</v>
      </c>
      <c r="N1227" s="8" t="s">
        <v>5512</v>
      </c>
      <c r="O1227" s="1" t="s">
        <v>5513</v>
      </c>
      <c r="P1227" s="5">
        <f>XLOOKUP(R1227, classification!C:C, classification!B:B, "Not Found")</f>
      </c>
      <c r="Q1227" s="1" t="s">
        <v>5514</v>
      </c>
      <c r="R1227" s="2"/>
      <c r="S1227" s="2"/>
      <c r="T1227" s="2"/>
      <c r="U1227" s="2"/>
    </row>
    <row x14ac:dyDescent="0.25" r="1228" customHeight="1" ht="17.25">
      <c r="A1228" s="7">
        <v>1227</v>
      </c>
      <c r="B1228" s="1" t="s">
        <v>6656</v>
      </c>
      <c r="C1228" s="5">
        <f>CONCATENATE("PD", TEXT(A1228, "1000000"))</f>
      </c>
      <c r="D1228" s="7">
        <v>74</v>
      </c>
      <c r="E1228" s="5">
        <f>XLOOKUP(G1228, item_category!C:C, item_category!B:B, "Not Found")</f>
      </c>
      <c r="F1228" s="1" t="s">
        <v>5520</v>
      </c>
      <c r="G1228" s="5">
        <f>XLOOKUP(I1228, drug!B:B, drug!A:A, "Not Found")</f>
      </c>
      <c r="H1228" s="1" t="s">
        <v>95</v>
      </c>
      <c r="I1228" s="7">
        <v>1</v>
      </c>
      <c r="J1228" s="5">
        <f>XLOOKUP(L1228, uom!C:C, uom!B:B, "Not Found")</f>
      </c>
      <c r="K1228" s="1" t="s">
        <v>5511</v>
      </c>
      <c r="L1228" s="5">
        <f>XLOOKUP(N1228, uom!C:C, uom!B:B, "Not Found")</f>
      </c>
      <c r="M1228" s="1" t="s">
        <v>5511</v>
      </c>
      <c r="N1228" s="8" t="s">
        <v>5512</v>
      </c>
      <c r="O1228" s="1" t="s">
        <v>5513</v>
      </c>
      <c r="P1228" s="5">
        <f>XLOOKUP(R1228, classification!C:C, classification!B:B, "Not Found")</f>
      </c>
      <c r="Q1228" s="1" t="s">
        <v>5514</v>
      </c>
      <c r="R1228" s="2"/>
      <c r="S1228" s="2"/>
      <c r="T1228" s="2"/>
      <c r="U1228" s="2"/>
    </row>
    <row x14ac:dyDescent="0.25" r="1229" customHeight="1" ht="17.25">
      <c r="A1229" s="7">
        <v>1228</v>
      </c>
      <c r="B1229" s="1" t="s">
        <v>6657</v>
      </c>
      <c r="C1229" s="5">
        <f>CONCATENATE("PD", TEXT(A1229, "1000000"))</f>
      </c>
      <c r="D1229" s="7">
        <v>74</v>
      </c>
      <c r="E1229" s="5">
        <f>XLOOKUP(G1229, item_category!C:C, item_category!B:B, "Not Found")</f>
      </c>
      <c r="F1229" s="1" t="s">
        <v>5520</v>
      </c>
      <c r="G1229" s="5">
        <f>XLOOKUP(I1229, drug!B:B, drug!A:A, "Not Found")</f>
      </c>
      <c r="H1229" s="1"/>
      <c r="I1229" s="7">
        <v>1</v>
      </c>
      <c r="J1229" s="5">
        <f>XLOOKUP(L1229, uom!C:C, uom!B:B, "Not Found")</f>
      </c>
      <c r="K1229" s="1" t="s">
        <v>5511</v>
      </c>
      <c r="L1229" s="5">
        <f>XLOOKUP(N1229, uom!C:C, uom!B:B, "Not Found")</f>
      </c>
      <c r="M1229" s="1" t="s">
        <v>5511</v>
      </c>
      <c r="N1229" s="8" t="s">
        <v>5512</v>
      </c>
      <c r="O1229" s="1" t="s">
        <v>5513</v>
      </c>
      <c r="P1229" s="5">
        <f>XLOOKUP(R1229, classification!C:C, classification!B:B, "Not Found")</f>
      </c>
      <c r="Q1229" s="1" t="s">
        <v>5514</v>
      </c>
      <c r="R1229" s="2"/>
      <c r="S1229" s="2"/>
      <c r="T1229" s="2"/>
      <c r="U1229" s="2"/>
    </row>
    <row x14ac:dyDescent="0.25" r="1230" customHeight="1" ht="17.25">
      <c r="A1230" s="7">
        <v>1229</v>
      </c>
      <c r="B1230" s="1" t="s">
        <v>6658</v>
      </c>
      <c r="C1230" s="5">
        <f>CONCATENATE("PD", TEXT(A1230, "1000000"))</f>
      </c>
      <c r="D1230" s="7">
        <v>74</v>
      </c>
      <c r="E1230" s="5">
        <f>XLOOKUP(G1230, item_category!C:C, item_category!B:B, "Not Found")</f>
      </c>
      <c r="F1230" s="1" t="s">
        <v>5520</v>
      </c>
      <c r="G1230" s="5">
        <f>XLOOKUP(I1230, drug!B:B, drug!A:A, "Not Found")</f>
      </c>
      <c r="H1230" s="1" t="s">
        <v>100</v>
      </c>
      <c r="I1230" s="7">
        <v>1</v>
      </c>
      <c r="J1230" s="5">
        <f>XLOOKUP(L1230, uom!C:C, uom!B:B, "Not Found")</f>
      </c>
      <c r="K1230" s="1" t="s">
        <v>5511</v>
      </c>
      <c r="L1230" s="5">
        <f>XLOOKUP(N1230, uom!C:C, uom!B:B, "Not Found")</f>
      </c>
      <c r="M1230" s="1" t="s">
        <v>5511</v>
      </c>
      <c r="N1230" s="8" t="s">
        <v>5512</v>
      </c>
      <c r="O1230" s="1" t="s">
        <v>5513</v>
      </c>
      <c r="P1230" s="5">
        <f>XLOOKUP(R1230, classification!C:C, classification!B:B, "Not Found")</f>
      </c>
      <c r="Q1230" s="1" t="s">
        <v>5514</v>
      </c>
      <c r="R1230" s="2"/>
      <c r="S1230" s="2"/>
      <c r="T1230" s="2"/>
      <c r="U1230" s="2"/>
    </row>
    <row x14ac:dyDescent="0.25" r="1231" customHeight="1" ht="17.25">
      <c r="A1231" s="7">
        <v>1230</v>
      </c>
      <c r="B1231" s="1" t="s">
        <v>6659</v>
      </c>
      <c r="C1231" s="5">
        <f>CONCATENATE("PD", TEXT(A1231, "1000000"))</f>
      </c>
      <c r="D1231" s="7">
        <v>74</v>
      </c>
      <c r="E1231" s="5">
        <f>XLOOKUP(G1231, item_category!C:C, item_category!B:B, "Not Found")</f>
      </c>
      <c r="F1231" s="1" t="s">
        <v>5520</v>
      </c>
      <c r="G1231" s="5">
        <f>XLOOKUP(I1231, drug!B:B, drug!A:A, "Not Found")</f>
      </c>
      <c r="H1231" s="1"/>
      <c r="I1231" s="7">
        <v>1</v>
      </c>
      <c r="J1231" s="5">
        <f>XLOOKUP(L1231, uom!C:C, uom!B:B, "Not Found")</f>
      </c>
      <c r="K1231" s="1" t="s">
        <v>5511</v>
      </c>
      <c r="L1231" s="5">
        <f>XLOOKUP(N1231, uom!C:C, uom!B:B, "Not Found")</f>
      </c>
      <c r="M1231" s="1" t="s">
        <v>5511</v>
      </c>
      <c r="N1231" s="8" t="s">
        <v>5512</v>
      </c>
      <c r="O1231" s="1" t="s">
        <v>5513</v>
      </c>
      <c r="P1231" s="5">
        <f>XLOOKUP(R1231, classification!C:C, classification!B:B, "Not Found")</f>
      </c>
      <c r="Q1231" s="1" t="s">
        <v>5514</v>
      </c>
      <c r="R1231" s="2"/>
      <c r="S1231" s="2"/>
      <c r="T1231" s="2"/>
      <c r="U1231" s="2"/>
    </row>
    <row x14ac:dyDescent="0.25" r="1232" customHeight="1" ht="17.25">
      <c r="A1232" s="7">
        <v>1231</v>
      </c>
      <c r="B1232" s="1" t="s">
        <v>6660</v>
      </c>
      <c r="C1232" s="5">
        <f>CONCATENATE("PD", TEXT(A1232, "1000000"))</f>
      </c>
      <c r="D1232" s="7">
        <v>74</v>
      </c>
      <c r="E1232" s="5">
        <f>XLOOKUP(G1232, item_category!C:C, item_category!B:B, "Not Found")</f>
      </c>
      <c r="F1232" s="1" t="s">
        <v>5520</v>
      </c>
      <c r="G1232" s="5">
        <f>XLOOKUP(I1232, drug!B:B, drug!A:A, "Not Found")</f>
      </c>
      <c r="H1232" s="1"/>
      <c r="I1232" s="7">
        <v>1</v>
      </c>
      <c r="J1232" s="5">
        <f>XLOOKUP(L1232, uom!C:C, uom!B:B, "Not Found")</f>
      </c>
      <c r="K1232" s="1" t="s">
        <v>5511</v>
      </c>
      <c r="L1232" s="5">
        <f>XLOOKUP(N1232, uom!C:C, uom!B:B, "Not Found")</f>
      </c>
      <c r="M1232" s="1" t="s">
        <v>5511</v>
      </c>
      <c r="N1232" s="8" t="s">
        <v>5512</v>
      </c>
      <c r="O1232" s="1" t="s">
        <v>5513</v>
      </c>
      <c r="P1232" s="5">
        <f>XLOOKUP(R1232, classification!C:C, classification!B:B, "Not Found")</f>
      </c>
      <c r="Q1232" s="1" t="s">
        <v>5514</v>
      </c>
      <c r="R1232" s="2"/>
      <c r="S1232" s="2"/>
      <c r="T1232" s="2"/>
      <c r="U1232" s="2"/>
    </row>
    <row x14ac:dyDescent="0.25" r="1233" customHeight="1" ht="17.25">
      <c r="A1233" s="7">
        <v>1232</v>
      </c>
      <c r="B1233" s="1" t="s">
        <v>6661</v>
      </c>
      <c r="C1233" s="5">
        <f>CONCATENATE("PD", TEXT(A1233, "1000000"))</f>
      </c>
      <c r="D1233" s="7">
        <v>74</v>
      </c>
      <c r="E1233" s="5">
        <f>XLOOKUP(G1233, item_category!C:C, item_category!B:B, "Not Found")</f>
      </c>
      <c r="F1233" s="1" t="s">
        <v>5520</v>
      </c>
      <c r="G1233" s="5">
        <f>XLOOKUP(I1233, drug!B:B, drug!A:A, "Not Found")</f>
      </c>
      <c r="H1233" s="1"/>
      <c r="I1233" s="7">
        <v>1</v>
      </c>
      <c r="J1233" s="5">
        <f>XLOOKUP(L1233, uom!C:C, uom!B:B, "Not Found")</f>
      </c>
      <c r="K1233" s="1" t="s">
        <v>5511</v>
      </c>
      <c r="L1233" s="5">
        <f>XLOOKUP(N1233, uom!C:C, uom!B:B, "Not Found")</f>
      </c>
      <c r="M1233" s="1" t="s">
        <v>5511</v>
      </c>
      <c r="N1233" s="8" t="s">
        <v>5512</v>
      </c>
      <c r="O1233" s="1" t="s">
        <v>5513</v>
      </c>
      <c r="P1233" s="5">
        <f>XLOOKUP(R1233, classification!C:C, classification!B:B, "Not Found")</f>
      </c>
      <c r="Q1233" s="1" t="s">
        <v>5514</v>
      </c>
      <c r="R1233" s="2"/>
      <c r="S1233" s="2"/>
      <c r="T1233" s="2"/>
      <c r="U1233" s="2"/>
    </row>
    <row x14ac:dyDescent="0.25" r="1234" customHeight="1" ht="17.25">
      <c r="A1234" s="7">
        <v>1233</v>
      </c>
      <c r="B1234" s="1" t="s">
        <v>6662</v>
      </c>
      <c r="C1234" s="5">
        <f>CONCATENATE("PD", TEXT(A1234, "1000000"))</f>
      </c>
      <c r="D1234" s="7">
        <v>74</v>
      </c>
      <c r="E1234" s="5">
        <f>XLOOKUP(G1234, item_category!C:C, item_category!B:B, "Not Found")</f>
      </c>
      <c r="F1234" s="1" t="s">
        <v>5520</v>
      </c>
      <c r="G1234" s="5">
        <f>XLOOKUP(I1234, drug!B:B, drug!A:A, "Not Found")</f>
      </c>
      <c r="H1234" s="1"/>
      <c r="I1234" s="7">
        <v>1</v>
      </c>
      <c r="J1234" s="5">
        <f>XLOOKUP(L1234, uom!C:C, uom!B:B, "Not Found")</f>
      </c>
      <c r="K1234" s="1" t="s">
        <v>5511</v>
      </c>
      <c r="L1234" s="5">
        <f>XLOOKUP(N1234, uom!C:C, uom!B:B, "Not Found")</f>
      </c>
      <c r="M1234" s="1" t="s">
        <v>5511</v>
      </c>
      <c r="N1234" s="8" t="s">
        <v>5512</v>
      </c>
      <c r="O1234" s="1" t="s">
        <v>5513</v>
      </c>
      <c r="P1234" s="5">
        <f>XLOOKUP(R1234, classification!C:C, classification!B:B, "Not Found")</f>
      </c>
      <c r="Q1234" s="1" t="s">
        <v>5514</v>
      </c>
      <c r="R1234" s="2"/>
      <c r="S1234" s="2"/>
      <c r="T1234" s="2"/>
      <c r="U1234" s="2"/>
    </row>
    <row x14ac:dyDescent="0.25" r="1235" customHeight="1" ht="17.25">
      <c r="A1235" s="7">
        <v>1234</v>
      </c>
      <c r="B1235" s="1" t="s">
        <v>6663</v>
      </c>
      <c r="C1235" s="5">
        <f>CONCATENATE("PD", TEXT(A1235, "1000000"))</f>
      </c>
      <c r="D1235" s="7">
        <v>74</v>
      </c>
      <c r="E1235" s="5">
        <f>XLOOKUP(G1235, item_category!C:C, item_category!B:B, "Not Found")</f>
      </c>
      <c r="F1235" s="1" t="s">
        <v>5520</v>
      </c>
      <c r="G1235" s="5">
        <f>XLOOKUP(I1235, drug!B:B, drug!A:A, "Not Found")</f>
      </c>
      <c r="H1235" s="1"/>
      <c r="I1235" s="7">
        <v>1</v>
      </c>
      <c r="J1235" s="5">
        <f>XLOOKUP(L1235, uom!C:C, uom!B:B, "Not Found")</f>
      </c>
      <c r="K1235" s="1" t="s">
        <v>5511</v>
      </c>
      <c r="L1235" s="5">
        <f>XLOOKUP(N1235, uom!C:C, uom!B:B, "Not Found")</f>
      </c>
      <c r="M1235" s="1" t="s">
        <v>5511</v>
      </c>
      <c r="N1235" s="8" t="s">
        <v>5512</v>
      </c>
      <c r="O1235" s="1" t="s">
        <v>5513</v>
      </c>
      <c r="P1235" s="5">
        <f>XLOOKUP(R1235, classification!C:C, classification!B:B, "Not Found")</f>
      </c>
      <c r="Q1235" s="1" t="s">
        <v>5514</v>
      </c>
      <c r="R1235" s="2"/>
      <c r="S1235" s="2"/>
      <c r="T1235" s="2"/>
      <c r="U1235" s="2"/>
    </row>
    <row x14ac:dyDescent="0.25" r="1236" customHeight="1" ht="17.25">
      <c r="A1236" s="7">
        <v>1235</v>
      </c>
      <c r="B1236" s="1" t="s">
        <v>2542</v>
      </c>
      <c r="C1236" s="5">
        <f>CONCATENATE("PD", TEXT(A1236, "1000000"))</f>
      </c>
      <c r="D1236" s="7">
        <v>76</v>
      </c>
      <c r="E1236" s="5">
        <f>XLOOKUP(G1236, item_category!C:C, item_category!B:B, "Not Found")</f>
      </c>
      <c r="F1236" s="1" t="s">
        <v>5632</v>
      </c>
      <c r="G1236" s="5">
        <f>XLOOKUP(I1236, drug!B:B, drug!A:A, "Not Found")</f>
      </c>
      <c r="H1236" s="1"/>
      <c r="I1236" s="7">
        <v>1</v>
      </c>
      <c r="J1236" s="5">
        <f>XLOOKUP(L1236, uom!C:C, uom!B:B, "Not Found")</f>
      </c>
      <c r="K1236" s="1" t="s">
        <v>5511</v>
      </c>
      <c r="L1236" s="5">
        <f>XLOOKUP(N1236, uom!C:C, uom!B:B, "Not Found")</f>
      </c>
      <c r="M1236" s="1" t="s">
        <v>5511</v>
      </c>
      <c r="N1236" s="8" t="s">
        <v>5512</v>
      </c>
      <c r="O1236" s="1" t="s">
        <v>5513</v>
      </c>
      <c r="P1236" s="5">
        <f>XLOOKUP(R1236, classification!C:C, classification!B:B, "Not Found")</f>
      </c>
      <c r="Q1236" s="1" t="s">
        <v>5514</v>
      </c>
      <c r="R1236" s="2"/>
      <c r="S1236" s="2"/>
      <c r="T1236" s="2"/>
      <c r="U1236" s="2"/>
    </row>
    <row x14ac:dyDescent="0.25" r="1237" customHeight="1" ht="17.25">
      <c r="A1237" s="7">
        <v>1236</v>
      </c>
      <c r="B1237" s="1" t="s">
        <v>6664</v>
      </c>
      <c r="C1237" s="5">
        <f>CONCATENATE("PD", TEXT(A1237, "1000000"))</f>
      </c>
      <c r="D1237" s="7">
        <v>74</v>
      </c>
      <c r="E1237" s="5">
        <f>XLOOKUP(G1237, item_category!C:C, item_category!B:B, "Not Found")</f>
      </c>
      <c r="F1237" s="1" t="s">
        <v>5520</v>
      </c>
      <c r="G1237" s="5">
        <f>XLOOKUP(I1237, drug!B:B, drug!A:A, "Not Found")</f>
      </c>
      <c r="H1237" s="1"/>
      <c r="I1237" s="7">
        <v>1</v>
      </c>
      <c r="J1237" s="5">
        <f>XLOOKUP(L1237, uom!C:C, uom!B:B, "Not Found")</f>
      </c>
      <c r="K1237" s="1" t="s">
        <v>5511</v>
      </c>
      <c r="L1237" s="5">
        <f>XLOOKUP(N1237, uom!C:C, uom!B:B, "Not Found")</f>
      </c>
      <c r="M1237" s="1" t="s">
        <v>5511</v>
      </c>
      <c r="N1237" s="8" t="s">
        <v>5512</v>
      </c>
      <c r="O1237" s="1" t="s">
        <v>5513</v>
      </c>
      <c r="P1237" s="5">
        <f>XLOOKUP(R1237, classification!C:C, classification!B:B, "Not Found")</f>
      </c>
      <c r="Q1237" s="1" t="s">
        <v>5514</v>
      </c>
      <c r="R1237" s="2"/>
      <c r="S1237" s="2"/>
      <c r="T1237" s="2"/>
      <c r="U1237" s="2"/>
    </row>
    <row x14ac:dyDescent="0.25" r="1238" customHeight="1" ht="17.25">
      <c r="A1238" s="7">
        <v>1237</v>
      </c>
      <c r="B1238" s="1" t="s">
        <v>6665</v>
      </c>
      <c r="C1238" s="5">
        <f>CONCATENATE("PD", TEXT(A1238, "1000000"))</f>
      </c>
      <c r="D1238" s="7">
        <v>74</v>
      </c>
      <c r="E1238" s="5">
        <f>XLOOKUP(G1238, item_category!C:C, item_category!B:B, "Not Found")</f>
      </c>
      <c r="F1238" s="1" t="s">
        <v>5520</v>
      </c>
      <c r="G1238" s="5">
        <f>XLOOKUP(I1238, drug!B:B, drug!A:A, "Not Found")</f>
      </c>
      <c r="H1238" s="1"/>
      <c r="I1238" s="7">
        <v>1</v>
      </c>
      <c r="J1238" s="5">
        <f>XLOOKUP(L1238, uom!C:C, uom!B:B, "Not Found")</f>
      </c>
      <c r="K1238" s="1" t="s">
        <v>5511</v>
      </c>
      <c r="L1238" s="5">
        <f>XLOOKUP(N1238, uom!C:C, uom!B:B, "Not Found")</f>
      </c>
      <c r="M1238" s="1" t="s">
        <v>5511</v>
      </c>
      <c r="N1238" s="8" t="s">
        <v>5512</v>
      </c>
      <c r="O1238" s="1" t="s">
        <v>5513</v>
      </c>
      <c r="P1238" s="5">
        <f>XLOOKUP(R1238, classification!C:C, classification!B:B, "Not Found")</f>
      </c>
      <c r="Q1238" s="1" t="s">
        <v>5514</v>
      </c>
      <c r="R1238" s="2"/>
      <c r="S1238" s="2"/>
      <c r="T1238" s="2"/>
      <c r="U1238" s="2"/>
    </row>
    <row x14ac:dyDescent="0.25" r="1239" customHeight="1" ht="17.25">
      <c r="A1239" s="7">
        <v>1238</v>
      </c>
      <c r="B1239" s="1" t="s">
        <v>6666</v>
      </c>
      <c r="C1239" s="5">
        <f>CONCATENATE("PD", TEXT(A1239, "1000000"))</f>
      </c>
      <c r="D1239" s="7">
        <v>74</v>
      </c>
      <c r="E1239" s="5">
        <f>XLOOKUP(G1239, item_category!C:C, item_category!B:B, "Not Found")</f>
      </c>
      <c r="F1239" s="1" t="s">
        <v>5520</v>
      </c>
      <c r="G1239" s="5">
        <f>XLOOKUP(I1239, drug!B:B, drug!A:A, "Not Found")</f>
      </c>
      <c r="H1239" s="1"/>
      <c r="I1239" s="7">
        <v>1</v>
      </c>
      <c r="J1239" s="5">
        <f>XLOOKUP(L1239, uom!C:C, uom!B:B, "Not Found")</f>
      </c>
      <c r="K1239" s="1" t="s">
        <v>5511</v>
      </c>
      <c r="L1239" s="5">
        <f>XLOOKUP(N1239, uom!C:C, uom!B:B, "Not Found")</f>
      </c>
      <c r="M1239" s="1" t="s">
        <v>5511</v>
      </c>
      <c r="N1239" s="8" t="s">
        <v>5512</v>
      </c>
      <c r="O1239" s="1" t="s">
        <v>5513</v>
      </c>
      <c r="P1239" s="5">
        <f>XLOOKUP(R1239, classification!C:C, classification!B:B, "Not Found")</f>
      </c>
      <c r="Q1239" s="1" t="s">
        <v>5514</v>
      </c>
      <c r="R1239" s="2"/>
      <c r="S1239" s="2"/>
      <c r="T1239" s="2"/>
      <c r="U1239" s="2"/>
    </row>
    <row x14ac:dyDescent="0.25" r="1240" customHeight="1" ht="17.25">
      <c r="A1240" s="7">
        <v>1239</v>
      </c>
      <c r="B1240" s="1" t="s">
        <v>6667</v>
      </c>
      <c r="C1240" s="5">
        <f>CONCATENATE("PD", TEXT(A1240, "1000000"))</f>
      </c>
      <c r="D1240" s="7">
        <v>74</v>
      </c>
      <c r="E1240" s="5">
        <f>XLOOKUP(G1240, item_category!C:C, item_category!B:B, "Not Found")</f>
      </c>
      <c r="F1240" s="1" t="s">
        <v>5520</v>
      </c>
      <c r="G1240" s="5">
        <f>XLOOKUP(I1240, drug!B:B, drug!A:A, "Not Found")</f>
      </c>
      <c r="H1240" s="1"/>
      <c r="I1240" s="7">
        <v>1</v>
      </c>
      <c r="J1240" s="5">
        <f>XLOOKUP(L1240, uom!C:C, uom!B:B, "Not Found")</f>
      </c>
      <c r="K1240" s="1" t="s">
        <v>5511</v>
      </c>
      <c r="L1240" s="5">
        <f>XLOOKUP(N1240, uom!C:C, uom!B:B, "Not Found")</f>
      </c>
      <c r="M1240" s="1" t="s">
        <v>5511</v>
      </c>
      <c r="N1240" s="8" t="s">
        <v>5512</v>
      </c>
      <c r="O1240" s="1" t="s">
        <v>5513</v>
      </c>
      <c r="P1240" s="5">
        <f>XLOOKUP(R1240, classification!C:C, classification!B:B, "Not Found")</f>
      </c>
      <c r="Q1240" s="1" t="s">
        <v>5514</v>
      </c>
      <c r="R1240" s="2"/>
      <c r="S1240" s="2"/>
      <c r="T1240" s="2"/>
      <c r="U1240" s="2"/>
    </row>
    <row x14ac:dyDescent="0.25" r="1241" customHeight="1" ht="17.25">
      <c r="A1241" s="7">
        <v>1240</v>
      </c>
      <c r="B1241" s="1" t="s">
        <v>6668</v>
      </c>
      <c r="C1241" s="5">
        <f>CONCATENATE("PD", TEXT(A1241, "1000000"))</f>
      </c>
      <c r="D1241" s="7">
        <v>74</v>
      </c>
      <c r="E1241" s="5">
        <f>XLOOKUP(G1241, item_category!C:C, item_category!B:B, "Not Found")</f>
      </c>
      <c r="F1241" s="1" t="s">
        <v>5520</v>
      </c>
      <c r="G1241" s="5">
        <f>XLOOKUP(I1241, drug!B:B, drug!A:A, "Not Found")</f>
      </c>
      <c r="H1241" s="1"/>
      <c r="I1241" s="7">
        <v>1</v>
      </c>
      <c r="J1241" s="5">
        <f>XLOOKUP(L1241, uom!C:C, uom!B:B, "Not Found")</f>
      </c>
      <c r="K1241" s="1" t="s">
        <v>5511</v>
      </c>
      <c r="L1241" s="5">
        <f>XLOOKUP(N1241, uom!C:C, uom!B:B, "Not Found")</f>
      </c>
      <c r="M1241" s="1" t="s">
        <v>5511</v>
      </c>
      <c r="N1241" s="8" t="s">
        <v>5512</v>
      </c>
      <c r="O1241" s="1" t="s">
        <v>5513</v>
      </c>
      <c r="P1241" s="5">
        <f>XLOOKUP(R1241, classification!C:C, classification!B:B, "Not Found")</f>
      </c>
      <c r="Q1241" s="1" t="s">
        <v>5514</v>
      </c>
      <c r="R1241" s="2"/>
      <c r="S1241" s="2"/>
      <c r="T1241" s="2"/>
      <c r="U1241" s="2"/>
    </row>
    <row x14ac:dyDescent="0.25" r="1242" customHeight="1" ht="17.25">
      <c r="A1242" s="7">
        <v>1241</v>
      </c>
      <c r="B1242" s="1" t="s">
        <v>6669</v>
      </c>
      <c r="C1242" s="5">
        <f>CONCATENATE("PD", TEXT(A1242, "1000000"))</f>
      </c>
      <c r="D1242" s="7">
        <v>74</v>
      </c>
      <c r="E1242" s="5">
        <f>XLOOKUP(G1242, item_category!C:C, item_category!B:B, "Not Found")</f>
      </c>
      <c r="F1242" s="1" t="s">
        <v>5520</v>
      </c>
      <c r="G1242" s="5">
        <f>XLOOKUP(I1242, drug!B:B, drug!A:A, "Not Found")</f>
      </c>
      <c r="H1242" s="1" t="s">
        <v>695</v>
      </c>
      <c r="I1242" s="7">
        <v>1</v>
      </c>
      <c r="J1242" s="5">
        <f>XLOOKUP(L1242, uom!C:C, uom!B:B, "Not Found")</f>
      </c>
      <c r="K1242" s="1" t="s">
        <v>5511</v>
      </c>
      <c r="L1242" s="5">
        <f>XLOOKUP(N1242, uom!C:C, uom!B:B, "Not Found")</f>
      </c>
      <c r="M1242" s="1" t="s">
        <v>5511</v>
      </c>
      <c r="N1242" s="8" t="s">
        <v>5512</v>
      </c>
      <c r="O1242" s="1" t="s">
        <v>5513</v>
      </c>
      <c r="P1242" s="5">
        <f>XLOOKUP(R1242, classification!C:C, classification!B:B, "Not Found")</f>
      </c>
      <c r="Q1242" s="1" t="s">
        <v>5514</v>
      </c>
      <c r="R1242" s="2"/>
      <c r="S1242" s="2"/>
      <c r="T1242" s="2"/>
      <c r="U1242" s="2"/>
    </row>
    <row x14ac:dyDescent="0.25" r="1243" customHeight="1" ht="17.25">
      <c r="A1243" s="7">
        <v>1242</v>
      </c>
      <c r="B1243" s="1" t="s">
        <v>6670</v>
      </c>
      <c r="C1243" s="5">
        <f>CONCATENATE("PD", TEXT(A1243, "1000000"))</f>
      </c>
      <c r="D1243" s="7">
        <v>74</v>
      </c>
      <c r="E1243" s="5">
        <f>XLOOKUP(G1243, item_category!C:C, item_category!B:B, "Not Found")</f>
      </c>
      <c r="F1243" s="1" t="s">
        <v>5520</v>
      </c>
      <c r="G1243" s="5">
        <f>XLOOKUP(I1243, drug!B:B, drug!A:A, "Not Found")</f>
      </c>
      <c r="H1243" s="1"/>
      <c r="I1243" s="7">
        <v>1</v>
      </c>
      <c r="J1243" s="5">
        <f>XLOOKUP(L1243, uom!C:C, uom!B:B, "Not Found")</f>
      </c>
      <c r="K1243" s="1" t="s">
        <v>5511</v>
      </c>
      <c r="L1243" s="5">
        <f>XLOOKUP(N1243, uom!C:C, uom!B:B, "Not Found")</f>
      </c>
      <c r="M1243" s="1" t="s">
        <v>5511</v>
      </c>
      <c r="N1243" s="8" t="s">
        <v>5512</v>
      </c>
      <c r="O1243" s="1" t="s">
        <v>5513</v>
      </c>
      <c r="P1243" s="5">
        <f>XLOOKUP(R1243, classification!C:C, classification!B:B, "Not Found")</f>
      </c>
      <c r="Q1243" s="1" t="s">
        <v>5514</v>
      </c>
      <c r="R1243" s="2"/>
      <c r="S1243" s="2"/>
      <c r="T1243" s="2"/>
      <c r="U1243" s="2"/>
    </row>
    <row x14ac:dyDescent="0.25" r="1244" customHeight="1" ht="17.25">
      <c r="A1244" s="7">
        <v>1243</v>
      </c>
      <c r="B1244" s="1" t="s">
        <v>6671</v>
      </c>
      <c r="C1244" s="5">
        <f>CONCATENATE("PD", TEXT(A1244, "1000000"))</f>
      </c>
      <c r="D1244" s="7">
        <v>74</v>
      </c>
      <c r="E1244" s="5">
        <f>XLOOKUP(G1244, item_category!C:C, item_category!B:B, "Not Found")</f>
      </c>
      <c r="F1244" s="1" t="s">
        <v>5520</v>
      </c>
      <c r="G1244" s="5">
        <f>XLOOKUP(I1244, drug!B:B, drug!A:A, "Not Found")</f>
      </c>
      <c r="H1244" s="1" t="s">
        <v>2016</v>
      </c>
      <c r="I1244" s="7">
        <v>1</v>
      </c>
      <c r="J1244" s="5">
        <f>XLOOKUP(L1244, uom!C:C, uom!B:B, "Not Found")</f>
      </c>
      <c r="K1244" s="1" t="s">
        <v>5511</v>
      </c>
      <c r="L1244" s="5">
        <f>XLOOKUP(N1244, uom!C:C, uom!B:B, "Not Found")</f>
      </c>
      <c r="M1244" s="1" t="s">
        <v>5511</v>
      </c>
      <c r="N1244" s="8" t="s">
        <v>5512</v>
      </c>
      <c r="O1244" s="1" t="s">
        <v>5513</v>
      </c>
      <c r="P1244" s="5">
        <f>XLOOKUP(R1244, classification!C:C, classification!B:B, "Not Found")</f>
      </c>
      <c r="Q1244" s="1" t="s">
        <v>5514</v>
      </c>
      <c r="R1244" s="2"/>
      <c r="S1244" s="2"/>
      <c r="T1244" s="2"/>
      <c r="U1244" s="2"/>
    </row>
    <row x14ac:dyDescent="0.25" r="1245" customHeight="1" ht="17.25">
      <c r="A1245" s="7">
        <v>1244</v>
      </c>
      <c r="B1245" s="1" t="s">
        <v>6672</v>
      </c>
      <c r="C1245" s="5">
        <f>CONCATENATE("PD", TEXT(A1245, "1000000"))</f>
      </c>
      <c r="D1245" s="7">
        <v>74</v>
      </c>
      <c r="E1245" s="5">
        <f>XLOOKUP(G1245, item_category!C:C, item_category!B:B, "Not Found")</f>
      </c>
      <c r="F1245" s="1" t="s">
        <v>5520</v>
      </c>
      <c r="G1245" s="5">
        <f>XLOOKUP(I1245, drug!B:B, drug!A:A, "Not Found")</f>
      </c>
      <c r="H1245" s="1"/>
      <c r="I1245" s="7">
        <v>1</v>
      </c>
      <c r="J1245" s="5">
        <f>XLOOKUP(L1245, uom!C:C, uom!B:B, "Not Found")</f>
      </c>
      <c r="K1245" s="1" t="s">
        <v>5511</v>
      </c>
      <c r="L1245" s="5">
        <f>XLOOKUP(N1245, uom!C:C, uom!B:B, "Not Found")</f>
      </c>
      <c r="M1245" s="1" t="s">
        <v>5511</v>
      </c>
      <c r="N1245" s="8" t="s">
        <v>5512</v>
      </c>
      <c r="O1245" s="1" t="s">
        <v>5513</v>
      </c>
      <c r="P1245" s="5">
        <f>XLOOKUP(R1245, classification!C:C, classification!B:B, "Not Found")</f>
      </c>
      <c r="Q1245" s="1" t="s">
        <v>5514</v>
      </c>
      <c r="R1245" s="2"/>
      <c r="S1245" s="2"/>
      <c r="T1245" s="2"/>
      <c r="U1245" s="2"/>
    </row>
    <row x14ac:dyDescent="0.25" r="1246" customHeight="1" ht="17.25">
      <c r="A1246" s="7">
        <v>1245</v>
      </c>
      <c r="B1246" s="1" t="s">
        <v>6673</v>
      </c>
      <c r="C1246" s="5">
        <f>CONCATENATE("PD", TEXT(A1246, "1000000"))</f>
      </c>
      <c r="D1246" s="7">
        <v>1</v>
      </c>
      <c r="E1246" s="5">
        <f>XLOOKUP(G1246, item_category!C:C, item_category!B:B, "Not Found")</f>
      </c>
      <c r="F1246" s="1" t="s">
        <v>5514</v>
      </c>
      <c r="G1246" s="5">
        <f>XLOOKUP(I1246, drug!B:B, drug!A:A, "Not Found")</f>
      </c>
      <c r="H1246" s="1" t="s">
        <v>1942</v>
      </c>
      <c r="I1246" s="7">
        <v>10</v>
      </c>
      <c r="J1246" s="5">
        <f>XLOOKUP(L1246, uom!C:C, uom!B:B, "Not Found")</f>
      </c>
      <c r="K1246" s="1" t="s">
        <v>5511</v>
      </c>
      <c r="L1246" s="5">
        <f>XLOOKUP(N1246, uom!C:C, uom!B:B, "Not Found")</f>
      </c>
      <c r="M1246" s="1" t="s">
        <v>5511</v>
      </c>
      <c r="N1246" s="8" t="s">
        <v>5524</v>
      </c>
      <c r="O1246" s="1" t="s">
        <v>5525</v>
      </c>
      <c r="P1246" s="5">
        <f>XLOOKUP(R1246, classification!C:C, classification!B:B, "Not Found")</f>
      </c>
      <c r="Q1246" s="1" t="s">
        <v>5514</v>
      </c>
      <c r="R1246" s="2"/>
      <c r="S1246" s="2"/>
      <c r="T1246" s="2"/>
      <c r="U1246" s="2"/>
    </row>
    <row x14ac:dyDescent="0.25" r="1247" customHeight="1" ht="17.25">
      <c r="A1247" s="7">
        <v>1246</v>
      </c>
      <c r="B1247" s="1" t="s">
        <v>6674</v>
      </c>
      <c r="C1247" s="5">
        <f>CONCATENATE("PD", TEXT(A1247, "1000000"))</f>
      </c>
      <c r="D1247" s="7">
        <v>74</v>
      </c>
      <c r="E1247" s="5">
        <f>XLOOKUP(G1247, item_category!C:C, item_category!B:B, "Not Found")</f>
      </c>
      <c r="F1247" s="1" t="s">
        <v>5520</v>
      </c>
      <c r="G1247" s="5">
        <f>XLOOKUP(I1247, drug!B:B, drug!A:A, "Not Found")</f>
      </c>
      <c r="H1247" s="1" t="s">
        <v>1222</v>
      </c>
      <c r="I1247" s="7">
        <v>1</v>
      </c>
      <c r="J1247" s="5">
        <f>XLOOKUP(L1247, uom!C:C, uom!B:B, "Not Found")</f>
      </c>
      <c r="K1247" s="1" t="s">
        <v>5511</v>
      </c>
      <c r="L1247" s="5">
        <f>XLOOKUP(N1247, uom!C:C, uom!B:B, "Not Found")</f>
      </c>
      <c r="M1247" s="1" t="s">
        <v>5511</v>
      </c>
      <c r="N1247" s="8" t="s">
        <v>5512</v>
      </c>
      <c r="O1247" s="1" t="s">
        <v>5513</v>
      </c>
      <c r="P1247" s="5">
        <f>XLOOKUP(R1247, classification!C:C, classification!B:B, "Not Found")</f>
      </c>
      <c r="Q1247" s="1" t="s">
        <v>5514</v>
      </c>
      <c r="R1247" s="2"/>
      <c r="S1247" s="2"/>
      <c r="T1247" s="2"/>
      <c r="U1247" s="2"/>
    </row>
    <row x14ac:dyDescent="0.25" r="1248" customHeight="1" ht="17.25">
      <c r="A1248" s="7">
        <v>1247</v>
      </c>
      <c r="B1248" s="1" t="s">
        <v>6675</v>
      </c>
      <c r="C1248" s="5">
        <f>CONCATENATE("PD", TEXT(A1248, "1000000"))</f>
      </c>
      <c r="D1248" s="7">
        <v>74</v>
      </c>
      <c r="E1248" s="5">
        <f>XLOOKUP(G1248, item_category!C:C, item_category!B:B, "Not Found")</f>
      </c>
      <c r="F1248" s="1" t="s">
        <v>5520</v>
      </c>
      <c r="G1248" s="5">
        <f>XLOOKUP(I1248, drug!B:B, drug!A:A, "Not Found")</f>
      </c>
      <c r="H1248" s="1" t="s">
        <v>1222</v>
      </c>
      <c r="I1248" s="7">
        <v>1</v>
      </c>
      <c r="J1248" s="5">
        <f>XLOOKUP(L1248, uom!C:C, uom!B:B, "Not Found")</f>
      </c>
      <c r="K1248" s="1" t="s">
        <v>5511</v>
      </c>
      <c r="L1248" s="5">
        <f>XLOOKUP(N1248, uom!C:C, uom!B:B, "Not Found")</f>
      </c>
      <c r="M1248" s="1" t="s">
        <v>5511</v>
      </c>
      <c r="N1248" s="8" t="s">
        <v>5512</v>
      </c>
      <c r="O1248" s="1" t="s">
        <v>5513</v>
      </c>
      <c r="P1248" s="5">
        <f>XLOOKUP(R1248, classification!C:C, classification!B:B, "Not Found")</f>
      </c>
      <c r="Q1248" s="1" t="s">
        <v>5514</v>
      </c>
      <c r="R1248" s="2"/>
      <c r="S1248" s="2"/>
      <c r="T1248" s="2"/>
      <c r="U1248" s="2"/>
    </row>
    <row x14ac:dyDescent="0.25" r="1249" customHeight="1" ht="17.25">
      <c r="A1249" s="7">
        <v>1248</v>
      </c>
      <c r="B1249" s="1" t="s">
        <v>6676</v>
      </c>
      <c r="C1249" s="5">
        <f>CONCATENATE("PD", TEXT(A1249, "1000000"))</f>
      </c>
      <c r="D1249" s="7">
        <v>74</v>
      </c>
      <c r="E1249" s="5">
        <f>XLOOKUP(G1249, item_category!C:C, item_category!B:B, "Not Found")</f>
      </c>
      <c r="F1249" s="1" t="s">
        <v>5520</v>
      </c>
      <c r="G1249" s="5">
        <f>XLOOKUP(I1249, drug!B:B, drug!A:A, "Not Found")</f>
      </c>
      <c r="H1249" s="1" t="s">
        <v>2016</v>
      </c>
      <c r="I1249" s="7">
        <v>1</v>
      </c>
      <c r="J1249" s="5">
        <f>XLOOKUP(L1249, uom!C:C, uom!B:B, "Not Found")</f>
      </c>
      <c r="K1249" s="1" t="s">
        <v>5511</v>
      </c>
      <c r="L1249" s="5">
        <f>XLOOKUP(N1249, uom!C:C, uom!B:B, "Not Found")</f>
      </c>
      <c r="M1249" s="1" t="s">
        <v>5511</v>
      </c>
      <c r="N1249" s="8" t="s">
        <v>5512</v>
      </c>
      <c r="O1249" s="1" t="s">
        <v>5513</v>
      </c>
      <c r="P1249" s="5">
        <f>XLOOKUP(R1249, classification!C:C, classification!B:B, "Not Found")</f>
      </c>
      <c r="Q1249" s="1" t="s">
        <v>5514</v>
      </c>
      <c r="R1249" s="2"/>
      <c r="S1249" s="2"/>
      <c r="T1249" s="2"/>
      <c r="U1249" s="2"/>
    </row>
    <row x14ac:dyDescent="0.25" r="1250" customHeight="1" ht="17.25">
      <c r="A1250" s="7">
        <v>1249</v>
      </c>
      <c r="B1250" s="1" t="s">
        <v>6677</v>
      </c>
      <c r="C1250" s="5">
        <f>CONCATENATE("PD", TEXT(A1250, "1000000"))</f>
      </c>
      <c r="D1250" s="7">
        <v>74</v>
      </c>
      <c r="E1250" s="5">
        <f>XLOOKUP(G1250, item_category!C:C, item_category!B:B, "Not Found")</f>
      </c>
      <c r="F1250" s="1" t="s">
        <v>5520</v>
      </c>
      <c r="G1250" s="5">
        <f>XLOOKUP(I1250, drug!B:B, drug!A:A, "Not Found")</f>
      </c>
      <c r="H1250" s="1" t="s">
        <v>954</v>
      </c>
      <c r="I1250" s="7">
        <v>1</v>
      </c>
      <c r="J1250" s="5">
        <f>XLOOKUP(L1250, uom!C:C, uom!B:B, "Not Found")</f>
      </c>
      <c r="K1250" s="1" t="s">
        <v>5511</v>
      </c>
      <c r="L1250" s="5">
        <f>XLOOKUP(N1250, uom!C:C, uom!B:B, "Not Found")</f>
      </c>
      <c r="M1250" s="1" t="s">
        <v>5511</v>
      </c>
      <c r="N1250" s="8" t="s">
        <v>5512</v>
      </c>
      <c r="O1250" s="1" t="s">
        <v>5513</v>
      </c>
      <c r="P1250" s="5">
        <f>XLOOKUP(R1250, classification!C:C, classification!B:B, "Not Found")</f>
      </c>
      <c r="Q1250" s="1" t="s">
        <v>5514</v>
      </c>
      <c r="R1250" s="2"/>
      <c r="S1250" s="2"/>
      <c r="T1250" s="2"/>
      <c r="U1250" s="2"/>
    </row>
    <row x14ac:dyDescent="0.25" r="1251" customHeight="1" ht="17.25">
      <c r="A1251" s="7">
        <v>1250</v>
      </c>
      <c r="B1251" s="1" t="s">
        <v>6678</v>
      </c>
      <c r="C1251" s="5">
        <f>CONCATENATE("PD", TEXT(A1251, "1000000"))</f>
      </c>
      <c r="D1251" s="7">
        <v>74</v>
      </c>
      <c r="E1251" s="5">
        <f>XLOOKUP(G1251, item_category!C:C, item_category!B:B, "Not Found")</f>
      </c>
      <c r="F1251" s="1" t="s">
        <v>5520</v>
      </c>
      <c r="G1251" s="5">
        <f>XLOOKUP(I1251, drug!B:B, drug!A:A, "Not Found")</f>
      </c>
      <c r="H1251" s="1"/>
      <c r="I1251" s="7">
        <v>1</v>
      </c>
      <c r="J1251" s="5">
        <f>XLOOKUP(L1251, uom!C:C, uom!B:B, "Not Found")</f>
      </c>
      <c r="K1251" s="1" t="s">
        <v>5511</v>
      </c>
      <c r="L1251" s="5">
        <f>XLOOKUP(N1251, uom!C:C, uom!B:B, "Not Found")</f>
      </c>
      <c r="M1251" s="1" t="s">
        <v>5511</v>
      </c>
      <c r="N1251" s="8" t="s">
        <v>5512</v>
      </c>
      <c r="O1251" s="1" t="s">
        <v>5513</v>
      </c>
      <c r="P1251" s="5">
        <f>XLOOKUP(R1251, classification!C:C, classification!B:B, "Not Found")</f>
      </c>
      <c r="Q1251" s="1" t="s">
        <v>5514</v>
      </c>
      <c r="R1251" s="2"/>
      <c r="S1251" s="2"/>
      <c r="T1251" s="2"/>
      <c r="U1251" s="2"/>
    </row>
    <row x14ac:dyDescent="0.25" r="1252" customHeight="1" ht="17.25">
      <c r="A1252" s="7">
        <v>1251</v>
      </c>
      <c r="B1252" s="1" t="s">
        <v>6679</v>
      </c>
      <c r="C1252" s="5">
        <f>CONCATENATE("PD", TEXT(A1252, "1000000"))</f>
      </c>
      <c r="D1252" s="7">
        <v>74</v>
      </c>
      <c r="E1252" s="5">
        <f>XLOOKUP(G1252, item_category!C:C, item_category!B:B, "Not Found")</f>
      </c>
      <c r="F1252" s="1" t="s">
        <v>5520</v>
      </c>
      <c r="G1252" s="5">
        <f>XLOOKUP(I1252, drug!B:B, drug!A:A, "Not Found")</f>
      </c>
      <c r="H1252" s="1"/>
      <c r="I1252" s="7">
        <v>1</v>
      </c>
      <c r="J1252" s="5">
        <f>XLOOKUP(L1252, uom!C:C, uom!B:B, "Not Found")</f>
      </c>
      <c r="K1252" s="1" t="s">
        <v>5511</v>
      </c>
      <c r="L1252" s="5">
        <f>XLOOKUP(N1252, uom!C:C, uom!B:B, "Not Found")</f>
      </c>
      <c r="M1252" s="1" t="s">
        <v>5511</v>
      </c>
      <c r="N1252" s="8" t="s">
        <v>5512</v>
      </c>
      <c r="O1252" s="1" t="s">
        <v>5513</v>
      </c>
      <c r="P1252" s="5">
        <f>XLOOKUP(R1252, classification!C:C, classification!B:B, "Not Found")</f>
      </c>
      <c r="Q1252" s="1" t="s">
        <v>5514</v>
      </c>
      <c r="R1252" s="2"/>
      <c r="S1252" s="2"/>
      <c r="T1252" s="2"/>
      <c r="U1252" s="2"/>
    </row>
    <row x14ac:dyDescent="0.25" r="1253" customHeight="1" ht="17.25">
      <c r="A1253" s="7">
        <v>1252</v>
      </c>
      <c r="B1253" s="1" t="s">
        <v>6680</v>
      </c>
      <c r="C1253" s="5">
        <f>CONCATENATE("PD", TEXT(A1253, "1000000"))</f>
      </c>
      <c r="D1253" s="7">
        <v>74</v>
      </c>
      <c r="E1253" s="5">
        <f>XLOOKUP(G1253, item_category!C:C, item_category!B:B, "Not Found")</f>
      </c>
      <c r="F1253" s="1" t="s">
        <v>5520</v>
      </c>
      <c r="G1253" s="5">
        <f>XLOOKUP(I1253, drug!B:B, drug!A:A, "Not Found")</f>
      </c>
      <c r="H1253" s="1" t="s">
        <v>695</v>
      </c>
      <c r="I1253" s="7">
        <v>1</v>
      </c>
      <c r="J1253" s="5">
        <f>XLOOKUP(L1253, uom!C:C, uom!B:B, "Not Found")</f>
      </c>
      <c r="K1253" s="1" t="s">
        <v>5511</v>
      </c>
      <c r="L1253" s="5">
        <f>XLOOKUP(N1253, uom!C:C, uom!B:B, "Not Found")</f>
      </c>
      <c r="M1253" s="1" t="s">
        <v>5511</v>
      </c>
      <c r="N1253" s="8" t="s">
        <v>5512</v>
      </c>
      <c r="O1253" s="1" t="s">
        <v>5513</v>
      </c>
      <c r="P1253" s="5">
        <f>XLOOKUP(R1253, classification!C:C, classification!B:B, "Not Found")</f>
      </c>
      <c r="Q1253" s="1" t="s">
        <v>5514</v>
      </c>
      <c r="R1253" s="2"/>
      <c r="S1253" s="2"/>
      <c r="T1253" s="2"/>
      <c r="U1253" s="2"/>
    </row>
    <row x14ac:dyDescent="0.25" r="1254" customHeight="1" ht="17.25">
      <c r="A1254" s="7">
        <v>1253</v>
      </c>
      <c r="B1254" s="1" t="s">
        <v>6681</v>
      </c>
      <c r="C1254" s="5">
        <f>CONCATENATE("PD", TEXT(A1254, "1000000"))</f>
      </c>
      <c r="D1254" s="7">
        <v>74</v>
      </c>
      <c r="E1254" s="5">
        <f>XLOOKUP(G1254, item_category!C:C, item_category!B:B, "Not Found")</f>
      </c>
      <c r="F1254" s="1" t="s">
        <v>5520</v>
      </c>
      <c r="G1254" s="5">
        <f>XLOOKUP(I1254, drug!B:B, drug!A:A, "Not Found")</f>
      </c>
      <c r="H1254" s="1" t="s">
        <v>695</v>
      </c>
      <c r="I1254" s="7">
        <v>1</v>
      </c>
      <c r="J1254" s="5">
        <f>XLOOKUP(L1254, uom!C:C, uom!B:B, "Not Found")</f>
      </c>
      <c r="K1254" s="1" t="s">
        <v>5511</v>
      </c>
      <c r="L1254" s="5">
        <f>XLOOKUP(N1254, uom!C:C, uom!B:B, "Not Found")</f>
      </c>
      <c r="M1254" s="1" t="s">
        <v>5511</v>
      </c>
      <c r="N1254" s="8" t="s">
        <v>5512</v>
      </c>
      <c r="O1254" s="1" t="s">
        <v>5513</v>
      </c>
      <c r="P1254" s="5">
        <f>XLOOKUP(R1254, classification!C:C, classification!B:B, "Not Found")</f>
      </c>
      <c r="Q1254" s="1" t="s">
        <v>5514</v>
      </c>
      <c r="R1254" s="2"/>
      <c r="S1254" s="2"/>
      <c r="T1254" s="2"/>
      <c r="U1254" s="2"/>
    </row>
    <row x14ac:dyDescent="0.25" r="1255" customHeight="1" ht="17.25">
      <c r="A1255" s="7">
        <v>1254</v>
      </c>
      <c r="B1255" s="1" t="s">
        <v>6682</v>
      </c>
      <c r="C1255" s="5">
        <f>CONCATENATE("PD", TEXT(A1255, "1000000"))</f>
      </c>
      <c r="D1255" s="7">
        <v>74</v>
      </c>
      <c r="E1255" s="5">
        <f>XLOOKUP(G1255, item_category!C:C, item_category!B:B, "Not Found")</f>
      </c>
      <c r="F1255" s="1" t="s">
        <v>5520</v>
      </c>
      <c r="G1255" s="5">
        <f>XLOOKUP(I1255, drug!B:B, drug!A:A, "Not Found")</f>
      </c>
      <c r="H1255" s="1" t="s">
        <v>98</v>
      </c>
      <c r="I1255" s="7">
        <v>1</v>
      </c>
      <c r="J1255" s="5">
        <f>XLOOKUP(L1255, uom!C:C, uom!B:B, "Not Found")</f>
      </c>
      <c r="K1255" s="1" t="s">
        <v>5511</v>
      </c>
      <c r="L1255" s="5">
        <f>XLOOKUP(N1255, uom!C:C, uom!B:B, "Not Found")</f>
      </c>
      <c r="M1255" s="1" t="s">
        <v>5511</v>
      </c>
      <c r="N1255" s="8" t="s">
        <v>5512</v>
      </c>
      <c r="O1255" s="1" t="s">
        <v>5513</v>
      </c>
      <c r="P1255" s="5">
        <f>XLOOKUP(R1255, classification!C:C, classification!B:B, "Not Found")</f>
      </c>
      <c r="Q1255" s="1" t="s">
        <v>5514</v>
      </c>
      <c r="R1255" s="2"/>
      <c r="S1255" s="2"/>
      <c r="T1255" s="2"/>
      <c r="U1255" s="2"/>
    </row>
    <row x14ac:dyDescent="0.25" r="1256" customHeight="1" ht="17.25">
      <c r="A1256" s="7">
        <v>1255</v>
      </c>
      <c r="B1256" s="1" t="s">
        <v>6683</v>
      </c>
      <c r="C1256" s="5">
        <f>CONCATENATE("PD", TEXT(A1256, "1000000"))</f>
      </c>
      <c r="D1256" s="7">
        <v>74</v>
      </c>
      <c r="E1256" s="5">
        <f>XLOOKUP(G1256, item_category!C:C, item_category!B:B, "Not Found")</f>
      </c>
      <c r="F1256" s="1" t="s">
        <v>5520</v>
      </c>
      <c r="G1256" s="5">
        <f>XLOOKUP(I1256, drug!B:B, drug!A:A, "Not Found")</f>
      </c>
      <c r="H1256" s="1" t="s">
        <v>695</v>
      </c>
      <c r="I1256" s="7">
        <v>1</v>
      </c>
      <c r="J1256" s="5">
        <f>XLOOKUP(L1256, uom!C:C, uom!B:B, "Not Found")</f>
      </c>
      <c r="K1256" s="1" t="s">
        <v>5511</v>
      </c>
      <c r="L1256" s="5">
        <f>XLOOKUP(N1256, uom!C:C, uom!B:B, "Not Found")</f>
      </c>
      <c r="M1256" s="1" t="s">
        <v>5511</v>
      </c>
      <c r="N1256" s="8" t="s">
        <v>5512</v>
      </c>
      <c r="O1256" s="1" t="s">
        <v>5513</v>
      </c>
      <c r="P1256" s="5">
        <f>XLOOKUP(R1256, classification!C:C, classification!B:B, "Not Found")</f>
      </c>
      <c r="Q1256" s="1" t="s">
        <v>5514</v>
      </c>
      <c r="R1256" s="2"/>
      <c r="S1256" s="2"/>
      <c r="T1256" s="2"/>
      <c r="U1256" s="2"/>
    </row>
    <row x14ac:dyDescent="0.25" r="1257" customHeight="1" ht="17.25">
      <c r="A1257" s="7">
        <v>1256</v>
      </c>
      <c r="B1257" s="1" t="s">
        <v>6684</v>
      </c>
      <c r="C1257" s="5">
        <f>CONCATENATE("PD", TEXT(A1257, "1000000"))</f>
      </c>
      <c r="D1257" s="7">
        <v>74</v>
      </c>
      <c r="E1257" s="5">
        <f>XLOOKUP(G1257, item_category!C:C, item_category!B:B, "Not Found")</f>
      </c>
      <c r="F1257" s="1" t="s">
        <v>5520</v>
      </c>
      <c r="G1257" s="5">
        <f>XLOOKUP(I1257, drug!B:B, drug!A:A, "Not Found")</f>
      </c>
      <c r="H1257" s="1" t="s">
        <v>100</v>
      </c>
      <c r="I1257" s="7">
        <v>1</v>
      </c>
      <c r="J1257" s="5">
        <f>XLOOKUP(L1257, uom!C:C, uom!B:B, "Not Found")</f>
      </c>
      <c r="K1257" s="1" t="s">
        <v>5511</v>
      </c>
      <c r="L1257" s="5">
        <f>XLOOKUP(N1257, uom!C:C, uom!B:B, "Not Found")</f>
      </c>
      <c r="M1257" s="1" t="s">
        <v>5511</v>
      </c>
      <c r="N1257" s="8" t="s">
        <v>5512</v>
      </c>
      <c r="O1257" s="1" t="s">
        <v>5513</v>
      </c>
      <c r="P1257" s="5">
        <f>XLOOKUP(R1257, classification!C:C, classification!B:B, "Not Found")</f>
      </c>
      <c r="Q1257" s="1" t="s">
        <v>5514</v>
      </c>
      <c r="R1257" s="2"/>
      <c r="S1257" s="2"/>
      <c r="T1257" s="2"/>
      <c r="U1257" s="2"/>
    </row>
    <row x14ac:dyDescent="0.25" r="1258" customHeight="1" ht="17.25">
      <c r="A1258" s="7">
        <v>1257</v>
      </c>
      <c r="B1258" s="1" t="s">
        <v>6685</v>
      </c>
      <c r="C1258" s="5">
        <f>CONCATENATE("PD", TEXT(A1258, "1000000"))</f>
      </c>
      <c r="D1258" s="7">
        <v>74</v>
      </c>
      <c r="E1258" s="5">
        <f>XLOOKUP(G1258, item_category!C:C, item_category!B:B, "Not Found")</f>
      </c>
      <c r="F1258" s="1" t="s">
        <v>5520</v>
      </c>
      <c r="G1258" s="5">
        <f>XLOOKUP(I1258, drug!B:B, drug!A:A, "Not Found")</f>
      </c>
      <c r="H1258" s="1" t="s">
        <v>100</v>
      </c>
      <c r="I1258" s="7">
        <v>1</v>
      </c>
      <c r="J1258" s="5">
        <f>XLOOKUP(L1258, uom!C:C, uom!B:B, "Not Found")</f>
      </c>
      <c r="K1258" s="1" t="s">
        <v>5511</v>
      </c>
      <c r="L1258" s="5">
        <f>XLOOKUP(N1258, uom!C:C, uom!B:B, "Not Found")</f>
      </c>
      <c r="M1258" s="1" t="s">
        <v>5511</v>
      </c>
      <c r="N1258" s="8" t="s">
        <v>5512</v>
      </c>
      <c r="O1258" s="1" t="s">
        <v>5513</v>
      </c>
      <c r="P1258" s="5">
        <f>XLOOKUP(R1258, classification!C:C, classification!B:B, "Not Found")</f>
      </c>
      <c r="Q1258" s="1" t="s">
        <v>5514</v>
      </c>
      <c r="R1258" s="2"/>
      <c r="S1258" s="2"/>
      <c r="T1258" s="2"/>
      <c r="U1258" s="2"/>
    </row>
    <row x14ac:dyDescent="0.25" r="1259" customHeight="1" ht="17.25">
      <c r="A1259" s="7">
        <v>1258</v>
      </c>
      <c r="B1259" s="1" t="s">
        <v>6686</v>
      </c>
      <c r="C1259" s="5">
        <f>CONCATENATE("PD", TEXT(A1259, "1000000"))</f>
      </c>
      <c r="D1259" s="7">
        <v>74</v>
      </c>
      <c r="E1259" s="5">
        <f>XLOOKUP(G1259, item_category!C:C, item_category!B:B, "Not Found")</f>
      </c>
      <c r="F1259" s="1" t="s">
        <v>5520</v>
      </c>
      <c r="G1259" s="5">
        <f>XLOOKUP(I1259, drug!B:B, drug!A:A, "Not Found")</f>
      </c>
      <c r="H1259" s="1"/>
      <c r="I1259" s="7">
        <v>1</v>
      </c>
      <c r="J1259" s="5">
        <f>XLOOKUP(L1259, uom!C:C, uom!B:B, "Not Found")</f>
      </c>
      <c r="K1259" s="1" t="s">
        <v>5511</v>
      </c>
      <c r="L1259" s="5">
        <f>XLOOKUP(N1259, uom!C:C, uom!B:B, "Not Found")</f>
      </c>
      <c r="M1259" s="1" t="s">
        <v>5511</v>
      </c>
      <c r="N1259" s="8" t="s">
        <v>5512</v>
      </c>
      <c r="O1259" s="1" t="s">
        <v>5513</v>
      </c>
      <c r="P1259" s="5">
        <f>XLOOKUP(R1259, classification!C:C, classification!B:B, "Not Found")</f>
      </c>
      <c r="Q1259" s="1" t="s">
        <v>5514</v>
      </c>
      <c r="R1259" s="2"/>
      <c r="S1259" s="2"/>
      <c r="T1259" s="2"/>
      <c r="U1259" s="2"/>
    </row>
    <row x14ac:dyDescent="0.25" r="1260" customHeight="1" ht="17.25">
      <c r="A1260" s="7">
        <v>1259</v>
      </c>
      <c r="B1260" s="1" t="s">
        <v>6687</v>
      </c>
      <c r="C1260" s="5">
        <f>CONCATENATE("PD", TEXT(A1260, "1000000"))</f>
      </c>
      <c r="D1260" s="7">
        <v>74</v>
      </c>
      <c r="E1260" s="5">
        <f>XLOOKUP(G1260, item_category!C:C, item_category!B:B, "Not Found")</f>
      </c>
      <c r="F1260" s="1" t="s">
        <v>5520</v>
      </c>
      <c r="G1260" s="5">
        <f>XLOOKUP(I1260, drug!B:B, drug!A:A, "Not Found")</f>
      </c>
      <c r="H1260" s="1" t="s">
        <v>1942</v>
      </c>
      <c r="I1260" s="7">
        <v>1</v>
      </c>
      <c r="J1260" s="5">
        <f>XLOOKUP(L1260, uom!C:C, uom!B:B, "Not Found")</f>
      </c>
      <c r="K1260" s="1" t="s">
        <v>5511</v>
      </c>
      <c r="L1260" s="5">
        <f>XLOOKUP(N1260, uom!C:C, uom!B:B, "Not Found")</f>
      </c>
      <c r="M1260" s="1" t="s">
        <v>5511</v>
      </c>
      <c r="N1260" s="8" t="s">
        <v>5512</v>
      </c>
      <c r="O1260" s="1" t="s">
        <v>5513</v>
      </c>
      <c r="P1260" s="5">
        <f>XLOOKUP(R1260, classification!C:C, classification!B:B, "Not Found")</f>
      </c>
      <c r="Q1260" s="1" t="s">
        <v>5514</v>
      </c>
      <c r="R1260" s="2"/>
      <c r="S1260" s="2"/>
      <c r="T1260" s="2"/>
      <c r="U1260" s="2"/>
    </row>
    <row x14ac:dyDescent="0.25" r="1261" customHeight="1" ht="17.25">
      <c r="A1261" s="7">
        <v>1260</v>
      </c>
      <c r="B1261" s="1" t="s">
        <v>2560</v>
      </c>
      <c r="C1261" s="5">
        <f>CONCATENATE("PD", TEXT(A1261, "1000000"))</f>
      </c>
      <c r="D1261" s="7">
        <v>74</v>
      </c>
      <c r="E1261" s="5">
        <f>XLOOKUP(G1261, item_category!C:C, item_category!B:B, "Not Found")</f>
      </c>
      <c r="F1261" s="1" t="s">
        <v>5520</v>
      </c>
      <c r="G1261" s="5">
        <f>XLOOKUP(I1261, drug!B:B, drug!A:A, "Not Found")</f>
      </c>
      <c r="H1261" s="1"/>
      <c r="I1261" s="7">
        <v>1</v>
      </c>
      <c r="J1261" s="5">
        <f>XLOOKUP(L1261, uom!C:C, uom!B:B, "Not Found")</f>
      </c>
      <c r="K1261" s="1" t="s">
        <v>5511</v>
      </c>
      <c r="L1261" s="5">
        <f>XLOOKUP(N1261, uom!C:C, uom!B:B, "Not Found")</f>
      </c>
      <c r="M1261" s="1" t="s">
        <v>5511</v>
      </c>
      <c r="N1261" s="8" t="s">
        <v>5512</v>
      </c>
      <c r="O1261" s="1" t="s">
        <v>5513</v>
      </c>
      <c r="P1261" s="5">
        <f>XLOOKUP(R1261, classification!C:C, classification!B:B, "Not Found")</f>
      </c>
      <c r="Q1261" s="1" t="s">
        <v>5514</v>
      </c>
      <c r="R1261" s="2"/>
      <c r="S1261" s="2"/>
      <c r="T1261" s="2"/>
      <c r="U1261" s="2"/>
    </row>
    <row x14ac:dyDescent="0.25" r="1262" customHeight="1" ht="17.25">
      <c r="A1262" s="7">
        <v>1261</v>
      </c>
      <c r="B1262" s="1" t="s">
        <v>6688</v>
      </c>
      <c r="C1262" s="5">
        <f>CONCATENATE("PD", TEXT(A1262, "1000000"))</f>
      </c>
      <c r="D1262" s="7">
        <v>74</v>
      </c>
      <c r="E1262" s="5">
        <f>XLOOKUP(G1262, item_category!C:C, item_category!B:B, "Not Found")</f>
      </c>
      <c r="F1262" s="1" t="s">
        <v>5520</v>
      </c>
      <c r="G1262" s="5">
        <f>XLOOKUP(I1262, drug!B:B, drug!A:A, "Not Found")</f>
      </c>
      <c r="H1262" s="1" t="s">
        <v>1942</v>
      </c>
      <c r="I1262" s="7">
        <v>550</v>
      </c>
      <c r="J1262" s="5">
        <f>XLOOKUP(L1262, uom!C:C, uom!B:B, "Not Found")</f>
      </c>
      <c r="K1262" s="1" t="s">
        <v>6689</v>
      </c>
      <c r="L1262" s="5">
        <f>XLOOKUP(N1262, uom!C:C, uom!B:B, "Not Found")</f>
      </c>
      <c r="M1262" s="1" t="s">
        <v>6689</v>
      </c>
      <c r="N1262" s="8" t="s">
        <v>5524</v>
      </c>
      <c r="O1262" s="1" t="s">
        <v>5525</v>
      </c>
      <c r="P1262" s="5">
        <f>XLOOKUP(R1262, classification!C:C, classification!B:B, "Not Found")</f>
      </c>
      <c r="Q1262" s="1" t="s">
        <v>5514</v>
      </c>
      <c r="R1262" s="2"/>
      <c r="S1262" s="2"/>
      <c r="T1262" s="2"/>
      <c r="U1262" s="2"/>
    </row>
    <row x14ac:dyDescent="0.25" r="1263" customHeight="1" ht="17.25">
      <c r="A1263" s="7">
        <v>1262</v>
      </c>
      <c r="B1263" s="1" t="s">
        <v>6690</v>
      </c>
      <c r="C1263" s="5">
        <f>CONCATENATE("PD", TEXT(A1263, "1000000"))</f>
      </c>
      <c r="D1263" s="7">
        <v>74</v>
      </c>
      <c r="E1263" s="5">
        <f>XLOOKUP(G1263, item_category!C:C, item_category!B:B, "Not Found")</f>
      </c>
      <c r="F1263" s="1" t="s">
        <v>5520</v>
      </c>
      <c r="G1263" s="5">
        <f>XLOOKUP(I1263, drug!B:B, drug!A:A, "Not Found")</f>
      </c>
      <c r="H1263" s="1"/>
      <c r="I1263" s="7">
        <v>600</v>
      </c>
      <c r="J1263" s="5">
        <f>XLOOKUP(L1263, uom!C:C, uom!B:B, "Not Found")</f>
      </c>
      <c r="K1263" s="1" t="s">
        <v>6691</v>
      </c>
      <c r="L1263" s="5">
        <f>XLOOKUP(N1263, uom!C:C, uom!B:B, "Not Found")</f>
      </c>
      <c r="M1263" s="1" t="s">
        <v>6691</v>
      </c>
      <c r="N1263" s="8" t="s">
        <v>5524</v>
      </c>
      <c r="O1263" s="1" t="s">
        <v>5525</v>
      </c>
      <c r="P1263" s="5">
        <f>XLOOKUP(R1263, classification!C:C, classification!B:B, "Not Found")</f>
      </c>
      <c r="Q1263" s="1" t="s">
        <v>5514</v>
      </c>
      <c r="R1263" s="2"/>
      <c r="S1263" s="2"/>
      <c r="T1263" s="2"/>
      <c r="U1263" s="2"/>
    </row>
    <row x14ac:dyDescent="0.25" r="1264" customHeight="1" ht="17.25">
      <c r="A1264" s="7">
        <v>1263</v>
      </c>
      <c r="B1264" s="1" t="s">
        <v>6692</v>
      </c>
      <c r="C1264" s="5">
        <f>CONCATENATE("PD", TEXT(A1264, "1000000"))</f>
      </c>
      <c r="D1264" s="7">
        <v>74</v>
      </c>
      <c r="E1264" s="5">
        <f>XLOOKUP(G1264, item_category!C:C, item_category!B:B, "Not Found")</f>
      </c>
      <c r="F1264" s="1" t="s">
        <v>5520</v>
      </c>
      <c r="G1264" s="5">
        <f>XLOOKUP(I1264, drug!B:B, drug!A:A, "Not Found")</f>
      </c>
      <c r="H1264" s="1"/>
      <c r="I1264" s="7">
        <v>1</v>
      </c>
      <c r="J1264" s="5">
        <f>XLOOKUP(L1264, uom!C:C, uom!B:B, "Not Found")</f>
      </c>
      <c r="K1264" s="1" t="s">
        <v>5511</v>
      </c>
      <c r="L1264" s="5">
        <f>XLOOKUP(N1264, uom!C:C, uom!B:B, "Not Found")</f>
      </c>
      <c r="M1264" s="1" t="s">
        <v>5511</v>
      </c>
      <c r="N1264" s="8" t="s">
        <v>5512</v>
      </c>
      <c r="O1264" s="1" t="s">
        <v>5513</v>
      </c>
      <c r="P1264" s="5">
        <f>XLOOKUP(R1264, classification!C:C, classification!B:B, "Not Found")</f>
      </c>
      <c r="Q1264" s="1" t="s">
        <v>5514</v>
      </c>
      <c r="R1264" s="2"/>
      <c r="S1264" s="2"/>
      <c r="T1264" s="2"/>
      <c r="U1264" s="2"/>
    </row>
    <row x14ac:dyDescent="0.25" r="1265" customHeight="1" ht="17.25">
      <c r="A1265" s="7">
        <v>1264</v>
      </c>
      <c r="B1265" s="1" t="s">
        <v>6693</v>
      </c>
      <c r="C1265" s="5">
        <f>CONCATENATE("PD", TEXT(A1265, "1000000"))</f>
      </c>
      <c r="D1265" s="7">
        <v>74</v>
      </c>
      <c r="E1265" s="5">
        <f>XLOOKUP(G1265, item_category!C:C, item_category!B:B, "Not Found")</f>
      </c>
      <c r="F1265" s="1" t="s">
        <v>5520</v>
      </c>
      <c r="G1265" s="5">
        <f>XLOOKUP(I1265, drug!B:B, drug!A:A, "Not Found")</f>
      </c>
      <c r="H1265" s="1" t="s">
        <v>1344</v>
      </c>
      <c r="I1265" s="7">
        <v>1</v>
      </c>
      <c r="J1265" s="5">
        <f>XLOOKUP(L1265, uom!C:C, uom!B:B, "Not Found")</f>
      </c>
      <c r="K1265" s="1" t="s">
        <v>5511</v>
      </c>
      <c r="L1265" s="5">
        <f>XLOOKUP(N1265, uom!C:C, uom!B:B, "Not Found")</f>
      </c>
      <c r="M1265" s="1" t="s">
        <v>5511</v>
      </c>
      <c r="N1265" s="8" t="s">
        <v>5512</v>
      </c>
      <c r="O1265" s="1" t="s">
        <v>5513</v>
      </c>
      <c r="P1265" s="5">
        <f>XLOOKUP(R1265, classification!C:C, classification!B:B, "Not Found")</f>
      </c>
      <c r="Q1265" s="1" t="s">
        <v>5514</v>
      </c>
      <c r="R1265" s="2"/>
      <c r="S1265" s="2"/>
      <c r="T1265" s="2"/>
      <c r="U1265" s="2"/>
    </row>
    <row x14ac:dyDescent="0.25" r="1266" customHeight="1" ht="17.25">
      <c r="A1266" s="7">
        <v>1265</v>
      </c>
      <c r="B1266" s="1" t="s">
        <v>6694</v>
      </c>
      <c r="C1266" s="5">
        <f>CONCATENATE("PD", TEXT(A1266, "1000000"))</f>
      </c>
      <c r="D1266" s="7">
        <v>74</v>
      </c>
      <c r="E1266" s="5">
        <f>XLOOKUP(G1266, item_category!C:C, item_category!B:B, "Not Found")</f>
      </c>
      <c r="F1266" s="1" t="s">
        <v>5520</v>
      </c>
      <c r="G1266" s="5">
        <f>XLOOKUP(I1266, drug!B:B, drug!A:A, "Not Found")</f>
      </c>
      <c r="H1266" s="1" t="s">
        <v>1942</v>
      </c>
      <c r="I1266" s="7">
        <v>1</v>
      </c>
      <c r="J1266" s="5">
        <f>XLOOKUP(L1266, uom!C:C, uom!B:B, "Not Found")</f>
      </c>
      <c r="K1266" s="1" t="s">
        <v>5511</v>
      </c>
      <c r="L1266" s="5">
        <f>XLOOKUP(N1266, uom!C:C, uom!B:B, "Not Found")</f>
      </c>
      <c r="M1266" s="1" t="s">
        <v>5511</v>
      </c>
      <c r="N1266" s="8" t="s">
        <v>5512</v>
      </c>
      <c r="O1266" s="1" t="s">
        <v>5513</v>
      </c>
      <c r="P1266" s="5">
        <f>XLOOKUP(R1266, classification!C:C, classification!B:B, "Not Found")</f>
      </c>
      <c r="Q1266" s="1" t="s">
        <v>5514</v>
      </c>
      <c r="R1266" s="2"/>
      <c r="S1266" s="2"/>
      <c r="T1266" s="2"/>
      <c r="U1266" s="2"/>
    </row>
    <row x14ac:dyDescent="0.25" r="1267" customHeight="1" ht="17.25">
      <c r="A1267" s="7">
        <v>1266</v>
      </c>
      <c r="B1267" s="1" t="s">
        <v>6695</v>
      </c>
      <c r="C1267" s="5">
        <f>CONCATENATE("PD", TEXT(A1267, "1000000"))</f>
      </c>
      <c r="D1267" s="7">
        <v>74</v>
      </c>
      <c r="E1267" s="5">
        <f>XLOOKUP(G1267, item_category!C:C, item_category!B:B, "Not Found")</f>
      </c>
      <c r="F1267" s="1" t="s">
        <v>5520</v>
      </c>
      <c r="G1267" s="5">
        <f>XLOOKUP(I1267, drug!B:B, drug!A:A, "Not Found")</f>
      </c>
      <c r="H1267" s="1"/>
      <c r="I1267" s="7">
        <v>1</v>
      </c>
      <c r="J1267" s="5">
        <f>XLOOKUP(L1267, uom!C:C, uom!B:B, "Not Found")</f>
      </c>
      <c r="K1267" s="1" t="s">
        <v>5511</v>
      </c>
      <c r="L1267" s="5">
        <f>XLOOKUP(N1267, uom!C:C, uom!B:B, "Not Found")</f>
      </c>
      <c r="M1267" s="1" t="s">
        <v>5511</v>
      </c>
      <c r="N1267" s="8" t="s">
        <v>5512</v>
      </c>
      <c r="O1267" s="1" t="s">
        <v>5513</v>
      </c>
      <c r="P1267" s="5">
        <f>XLOOKUP(R1267, classification!C:C, classification!B:B, "Not Found")</f>
      </c>
      <c r="Q1267" s="1" t="s">
        <v>5514</v>
      </c>
      <c r="R1267" s="2"/>
      <c r="S1267" s="2"/>
      <c r="T1267" s="2"/>
      <c r="U1267" s="2"/>
    </row>
    <row x14ac:dyDescent="0.25" r="1268" customHeight="1" ht="17.25">
      <c r="A1268" s="7">
        <v>1267</v>
      </c>
      <c r="B1268" s="1" t="s">
        <v>6696</v>
      </c>
      <c r="C1268" s="5">
        <f>CONCATENATE("PD", TEXT(A1268, "1000000"))</f>
      </c>
      <c r="D1268" s="7">
        <v>74</v>
      </c>
      <c r="E1268" s="5">
        <f>XLOOKUP(G1268, item_category!C:C, item_category!B:B, "Not Found")</f>
      </c>
      <c r="F1268" s="1" t="s">
        <v>5520</v>
      </c>
      <c r="G1268" s="5">
        <f>XLOOKUP(I1268, drug!B:B, drug!A:A, "Not Found")</f>
      </c>
      <c r="H1268" s="1"/>
      <c r="I1268" s="7">
        <v>1</v>
      </c>
      <c r="J1268" s="5">
        <f>XLOOKUP(L1268, uom!C:C, uom!B:B, "Not Found")</f>
      </c>
      <c r="K1268" s="1" t="s">
        <v>5511</v>
      </c>
      <c r="L1268" s="5">
        <f>XLOOKUP(N1268, uom!C:C, uom!B:B, "Not Found")</f>
      </c>
      <c r="M1268" s="1" t="s">
        <v>5511</v>
      </c>
      <c r="N1268" s="8" t="s">
        <v>5512</v>
      </c>
      <c r="O1268" s="1" t="s">
        <v>5513</v>
      </c>
      <c r="P1268" s="5">
        <f>XLOOKUP(R1268, classification!C:C, classification!B:B, "Not Found")</f>
      </c>
      <c r="Q1268" s="1" t="s">
        <v>5514</v>
      </c>
      <c r="R1268" s="2"/>
      <c r="S1268" s="2"/>
      <c r="T1268" s="2"/>
      <c r="U1268" s="2"/>
    </row>
    <row x14ac:dyDescent="0.25" r="1269" customHeight="1" ht="17.25">
      <c r="A1269" s="7">
        <v>1268</v>
      </c>
      <c r="B1269" s="1" t="s">
        <v>6697</v>
      </c>
      <c r="C1269" s="5">
        <f>CONCATENATE("PD", TEXT(A1269, "1000000"))</f>
      </c>
      <c r="D1269" s="7">
        <v>74</v>
      </c>
      <c r="E1269" s="5">
        <f>XLOOKUP(G1269, item_category!C:C, item_category!B:B, "Not Found")</f>
      </c>
      <c r="F1269" s="1" t="s">
        <v>5520</v>
      </c>
      <c r="G1269" s="5">
        <f>XLOOKUP(I1269, drug!B:B, drug!A:A, "Not Found")</f>
      </c>
      <c r="H1269" s="1"/>
      <c r="I1269" s="7">
        <v>1</v>
      </c>
      <c r="J1269" s="5">
        <f>XLOOKUP(L1269, uom!C:C, uom!B:B, "Not Found")</f>
      </c>
      <c r="K1269" s="1" t="s">
        <v>5511</v>
      </c>
      <c r="L1269" s="5">
        <f>XLOOKUP(N1269, uom!C:C, uom!B:B, "Not Found")</f>
      </c>
      <c r="M1269" s="1" t="s">
        <v>5511</v>
      </c>
      <c r="N1269" s="8" t="s">
        <v>5512</v>
      </c>
      <c r="O1269" s="1" t="s">
        <v>5513</v>
      </c>
      <c r="P1269" s="5">
        <f>XLOOKUP(R1269, classification!C:C, classification!B:B, "Not Found")</f>
      </c>
      <c r="Q1269" s="1" t="s">
        <v>5514</v>
      </c>
      <c r="R1269" s="2"/>
      <c r="S1269" s="2"/>
      <c r="T1269" s="2"/>
      <c r="U1269" s="2"/>
    </row>
    <row x14ac:dyDescent="0.25" r="1270" customHeight="1" ht="17.25">
      <c r="A1270" s="7">
        <v>1269</v>
      </c>
      <c r="B1270" s="1" t="s">
        <v>6698</v>
      </c>
      <c r="C1270" s="5">
        <f>CONCATENATE("PD", TEXT(A1270, "1000000"))</f>
      </c>
      <c r="D1270" s="7">
        <v>74</v>
      </c>
      <c r="E1270" s="5">
        <f>XLOOKUP(G1270, item_category!C:C, item_category!B:B, "Not Found")</f>
      </c>
      <c r="F1270" s="1" t="s">
        <v>5520</v>
      </c>
      <c r="G1270" s="5">
        <f>XLOOKUP(I1270, drug!B:B, drug!A:A, "Not Found")</f>
      </c>
      <c r="H1270" s="1"/>
      <c r="I1270" s="7">
        <v>1</v>
      </c>
      <c r="J1270" s="5">
        <f>XLOOKUP(L1270, uom!C:C, uom!B:B, "Not Found")</f>
      </c>
      <c r="K1270" s="1" t="s">
        <v>5511</v>
      </c>
      <c r="L1270" s="5">
        <f>XLOOKUP(N1270, uom!C:C, uom!B:B, "Not Found")</f>
      </c>
      <c r="M1270" s="1" t="s">
        <v>5511</v>
      </c>
      <c r="N1270" s="8" t="s">
        <v>5512</v>
      </c>
      <c r="O1270" s="1" t="s">
        <v>5513</v>
      </c>
      <c r="P1270" s="5">
        <f>XLOOKUP(R1270, classification!C:C, classification!B:B, "Not Found")</f>
      </c>
      <c r="Q1270" s="1" t="s">
        <v>5514</v>
      </c>
      <c r="R1270" s="2"/>
      <c r="S1270" s="2"/>
      <c r="T1270" s="2"/>
      <c r="U1270" s="2"/>
    </row>
    <row x14ac:dyDescent="0.25" r="1271" customHeight="1" ht="17.25">
      <c r="A1271" s="7">
        <v>1270</v>
      </c>
      <c r="B1271" s="1" t="s">
        <v>6699</v>
      </c>
      <c r="C1271" s="5">
        <f>CONCATENATE("PD", TEXT(A1271, "1000000"))</f>
      </c>
      <c r="D1271" s="7">
        <v>74</v>
      </c>
      <c r="E1271" s="5">
        <f>XLOOKUP(G1271, item_category!C:C, item_category!B:B, "Not Found")</f>
      </c>
      <c r="F1271" s="1" t="s">
        <v>5520</v>
      </c>
      <c r="G1271" s="5">
        <f>XLOOKUP(I1271, drug!B:B, drug!A:A, "Not Found")</f>
      </c>
      <c r="H1271" s="1" t="s">
        <v>108</v>
      </c>
      <c r="I1271" s="7">
        <v>1</v>
      </c>
      <c r="J1271" s="5">
        <f>XLOOKUP(L1271, uom!C:C, uom!B:B, "Not Found")</f>
      </c>
      <c r="K1271" s="1" t="s">
        <v>5511</v>
      </c>
      <c r="L1271" s="5">
        <f>XLOOKUP(N1271, uom!C:C, uom!B:B, "Not Found")</f>
      </c>
      <c r="M1271" s="1" t="s">
        <v>5511</v>
      </c>
      <c r="N1271" s="8" t="s">
        <v>5512</v>
      </c>
      <c r="O1271" s="1" t="s">
        <v>5513</v>
      </c>
      <c r="P1271" s="5">
        <f>XLOOKUP(R1271, classification!C:C, classification!B:B, "Not Found")</f>
      </c>
      <c r="Q1271" s="1" t="s">
        <v>5514</v>
      </c>
      <c r="R1271" s="2"/>
      <c r="S1271" s="2"/>
      <c r="T1271" s="2"/>
      <c r="U1271" s="2"/>
    </row>
    <row x14ac:dyDescent="0.25" r="1272" customHeight="1" ht="17.25">
      <c r="A1272" s="7">
        <v>1271</v>
      </c>
      <c r="B1272" s="1" t="s">
        <v>6700</v>
      </c>
      <c r="C1272" s="5">
        <f>CONCATENATE("PD", TEXT(A1272, "1000000"))</f>
      </c>
      <c r="D1272" s="7">
        <v>74</v>
      </c>
      <c r="E1272" s="5">
        <f>XLOOKUP(G1272, item_category!C:C, item_category!B:B, "Not Found")</f>
      </c>
      <c r="F1272" s="1" t="s">
        <v>5520</v>
      </c>
      <c r="G1272" s="5">
        <f>XLOOKUP(I1272, drug!B:B, drug!A:A, "Not Found")</f>
      </c>
      <c r="H1272" s="1"/>
      <c r="I1272" s="7">
        <v>150</v>
      </c>
      <c r="J1272" s="5">
        <f>XLOOKUP(L1272, uom!C:C, uom!B:B, "Not Found")</f>
      </c>
      <c r="K1272" s="1" t="s">
        <v>5544</v>
      </c>
      <c r="L1272" s="5">
        <f>XLOOKUP(N1272, uom!C:C, uom!B:B, "Not Found")</f>
      </c>
      <c r="M1272" s="1" t="s">
        <v>5544</v>
      </c>
      <c r="N1272" s="8" t="s">
        <v>5524</v>
      </c>
      <c r="O1272" s="1" t="s">
        <v>5525</v>
      </c>
      <c r="P1272" s="5">
        <f>XLOOKUP(R1272, classification!C:C, classification!B:B, "Not Found")</f>
      </c>
      <c r="Q1272" s="1" t="s">
        <v>5514</v>
      </c>
      <c r="R1272" s="2"/>
      <c r="S1272" s="2"/>
      <c r="T1272" s="2"/>
      <c r="U1272" s="2"/>
    </row>
    <row x14ac:dyDescent="0.25" r="1273" customHeight="1" ht="17.25">
      <c r="A1273" s="7">
        <v>1272</v>
      </c>
      <c r="B1273" s="1" t="s">
        <v>6701</v>
      </c>
      <c r="C1273" s="5">
        <f>CONCATENATE("PD", TEXT(A1273, "1000000"))</f>
      </c>
      <c r="D1273" s="7">
        <v>74</v>
      </c>
      <c r="E1273" s="5">
        <f>XLOOKUP(G1273, item_category!C:C, item_category!B:B, "Not Found")</f>
      </c>
      <c r="F1273" s="1" t="s">
        <v>5520</v>
      </c>
      <c r="G1273" s="5">
        <f>XLOOKUP(I1273, drug!B:B, drug!A:A, "Not Found")</f>
      </c>
      <c r="H1273" s="1"/>
      <c r="I1273" s="7">
        <v>1</v>
      </c>
      <c r="J1273" s="5">
        <f>XLOOKUP(L1273, uom!C:C, uom!B:B, "Not Found")</f>
      </c>
      <c r="K1273" s="1" t="s">
        <v>5511</v>
      </c>
      <c r="L1273" s="5">
        <f>XLOOKUP(N1273, uom!C:C, uom!B:B, "Not Found")</f>
      </c>
      <c r="M1273" s="1" t="s">
        <v>5511</v>
      </c>
      <c r="N1273" s="8" t="s">
        <v>5512</v>
      </c>
      <c r="O1273" s="1" t="s">
        <v>5513</v>
      </c>
      <c r="P1273" s="5">
        <f>XLOOKUP(R1273, classification!C:C, classification!B:B, "Not Found")</f>
      </c>
      <c r="Q1273" s="1" t="s">
        <v>5514</v>
      </c>
      <c r="R1273" s="2"/>
      <c r="S1273" s="2"/>
      <c r="T1273" s="2"/>
      <c r="U1273" s="2"/>
    </row>
    <row x14ac:dyDescent="0.25" r="1274" customHeight="1" ht="17.25">
      <c r="A1274" s="7">
        <v>1273</v>
      </c>
      <c r="B1274" s="1" t="s">
        <v>6702</v>
      </c>
      <c r="C1274" s="5">
        <f>CONCATENATE("PD", TEXT(A1274, "1000000"))</f>
      </c>
      <c r="D1274" s="7">
        <v>74</v>
      </c>
      <c r="E1274" s="5">
        <f>XLOOKUP(G1274, item_category!C:C, item_category!B:B, "Not Found")</f>
      </c>
      <c r="F1274" s="1" t="s">
        <v>5520</v>
      </c>
      <c r="G1274" s="5">
        <f>XLOOKUP(I1274, drug!B:B, drug!A:A, "Not Found")</f>
      </c>
      <c r="H1274" s="1" t="s">
        <v>1968</v>
      </c>
      <c r="I1274" s="7">
        <v>1</v>
      </c>
      <c r="J1274" s="5">
        <f>XLOOKUP(L1274, uom!C:C, uom!B:B, "Not Found")</f>
      </c>
      <c r="K1274" s="1" t="s">
        <v>5511</v>
      </c>
      <c r="L1274" s="5">
        <f>XLOOKUP(N1274, uom!C:C, uom!B:B, "Not Found")</f>
      </c>
      <c r="M1274" s="1" t="s">
        <v>5511</v>
      </c>
      <c r="N1274" s="8" t="s">
        <v>5512</v>
      </c>
      <c r="O1274" s="1" t="s">
        <v>5513</v>
      </c>
      <c r="P1274" s="5">
        <f>XLOOKUP(R1274, classification!C:C, classification!B:B, "Not Found")</f>
      </c>
      <c r="Q1274" s="1" t="s">
        <v>5514</v>
      </c>
      <c r="R1274" s="2"/>
      <c r="S1274" s="2"/>
      <c r="T1274" s="2"/>
      <c r="U1274" s="2"/>
    </row>
    <row x14ac:dyDescent="0.25" r="1275" customHeight="1" ht="17.25">
      <c r="A1275" s="7">
        <v>1274</v>
      </c>
      <c r="B1275" s="1" t="s">
        <v>6703</v>
      </c>
      <c r="C1275" s="5">
        <f>CONCATENATE("PD", TEXT(A1275, "1000000"))</f>
      </c>
      <c r="D1275" s="7">
        <v>74</v>
      </c>
      <c r="E1275" s="5">
        <f>XLOOKUP(G1275, item_category!C:C, item_category!B:B, "Not Found")</f>
      </c>
      <c r="F1275" s="1" t="s">
        <v>5520</v>
      </c>
      <c r="G1275" s="5">
        <f>XLOOKUP(I1275, drug!B:B, drug!A:A, "Not Found")</f>
      </c>
      <c r="H1275" s="1" t="s">
        <v>1968</v>
      </c>
      <c r="I1275" s="7">
        <v>1</v>
      </c>
      <c r="J1275" s="5">
        <f>XLOOKUP(L1275, uom!C:C, uom!B:B, "Not Found")</f>
      </c>
      <c r="K1275" s="1" t="s">
        <v>5511</v>
      </c>
      <c r="L1275" s="5">
        <f>XLOOKUP(N1275, uom!C:C, uom!B:B, "Not Found")</f>
      </c>
      <c r="M1275" s="1" t="s">
        <v>5511</v>
      </c>
      <c r="N1275" s="8" t="s">
        <v>5512</v>
      </c>
      <c r="O1275" s="1" t="s">
        <v>5513</v>
      </c>
      <c r="P1275" s="5">
        <f>XLOOKUP(R1275, classification!C:C, classification!B:B, "Not Found")</f>
      </c>
      <c r="Q1275" s="1" t="s">
        <v>5514</v>
      </c>
      <c r="R1275" s="2"/>
      <c r="S1275" s="2"/>
      <c r="T1275" s="2"/>
      <c r="U1275" s="2"/>
    </row>
    <row x14ac:dyDescent="0.25" r="1276" customHeight="1" ht="17.25">
      <c r="A1276" s="7">
        <v>1275</v>
      </c>
      <c r="B1276" s="1" t="s">
        <v>6704</v>
      </c>
      <c r="C1276" s="5">
        <f>CONCATENATE("PD", TEXT(A1276, "1000000"))</f>
      </c>
      <c r="D1276" s="7">
        <v>74</v>
      </c>
      <c r="E1276" s="5">
        <f>XLOOKUP(G1276, item_category!C:C, item_category!B:B, "Not Found")</f>
      </c>
      <c r="F1276" s="1" t="s">
        <v>5520</v>
      </c>
      <c r="G1276" s="5">
        <f>XLOOKUP(I1276, drug!B:B, drug!A:A, "Not Found")</f>
      </c>
      <c r="H1276" s="1"/>
      <c r="I1276" s="7">
        <v>1</v>
      </c>
      <c r="J1276" s="5">
        <f>XLOOKUP(L1276, uom!C:C, uom!B:B, "Not Found")</f>
      </c>
      <c r="K1276" s="1" t="s">
        <v>5511</v>
      </c>
      <c r="L1276" s="5">
        <f>XLOOKUP(N1276, uom!C:C, uom!B:B, "Not Found")</f>
      </c>
      <c r="M1276" s="1" t="s">
        <v>5511</v>
      </c>
      <c r="N1276" s="8" t="s">
        <v>5512</v>
      </c>
      <c r="O1276" s="1" t="s">
        <v>5513</v>
      </c>
      <c r="P1276" s="5">
        <f>XLOOKUP(R1276, classification!C:C, classification!B:B, "Not Found")</f>
      </c>
      <c r="Q1276" s="1" t="s">
        <v>5514</v>
      </c>
      <c r="R1276" s="2"/>
      <c r="S1276" s="2"/>
      <c r="T1276" s="2"/>
      <c r="U1276" s="2"/>
    </row>
    <row x14ac:dyDescent="0.25" r="1277" customHeight="1" ht="17.25">
      <c r="A1277" s="7">
        <v>1276</v>
      </c>
      <c r="B1277" s="1" t="s">
        <v>6705</v>
      </c>
      <c r="C1277" s="5">
        <f>CONCATENATE("PD", TEXT(A1277, "1000000"))</f>
      </c>
      <c r="D1277" s="7">
        <v>74</v>
      </c>
      <c r="E1277" s="5">
        <f>XLOOKUP(G1277, item_category!C:C, item_category!B:B, "Not Found")</f>
      </c>
      <c r="F1277" s="1" t="s">
        <v>5520</v>
      </c>
      <c r="G1277" s="5">
        <f>XLOOKUP(I1277, drug!B:B, drug!A:A, "Not Found")</f>
      </c>
      <c r="H1277" s="1"/>
      <c r="I1277" s="7">
        <v>1</v>
      </c>
      <c r="J1277" s="5">
        <f>XLOOKUP(L1277, uom!C:C, uom!B:B, "Not Found")</f>
      </c>
      <c r="K1277" s="1" t="s">
        <v>5511</v>
      </c>
      <c r="L1277" s="5">
        <f>XLOOKUP(N1277, uom!C:C, uom!B:B, "Not Found")</f>
      </c>
      <c r="M1277" s="1" t="s">
        <v>5511</v>
      </c>
      <c r="N1277" s="8" t="s">
        <v>5512</v>
      </c>
      <c r="O1277" s="1" t="s">
        <v>5513</v>
      </c>
      <c r="P1277" s="5">
        <f>XLOOKUP(R1277, classification!C:C, classification!B:B, "Not Found")</f>
      </c>
      <c r="Q1277" s="1" t="s">
        <v>5514</v>
      </c>
      <c r="R1277" s="2"/>
      <c r="S1277" s="2"/>
      <c r="T1277" s="2"/>
      <c r="U1277" s="2"/>
    </row>
    <row x14ac:dyDescent="0.25" r="1278" customHeight="1" ht="17.25">
      <c r="A1278" s="7">
        <v>1277</v>
      </c>
      <c r="B1278" s="1" t="s">
        <v>6706</v>
      </c>
      <c r="C1278" s="5">
        <f>CONCATENATE("PD", TEXT(A1278, "1000000"))</f>
      </c>
      <c r="D1278" s="7">
        <v>74</v>
      </c>
      <c r="E1278" s="5">
        <f>XLOOKUP(G1278, item_category!C:C, item_category!B:B, "Not Found")</f>
      </c>
      <c r="F1278" s="1" t="s">
        <v>5520</v>
      </c>
      <c r="G1278" s="5">
        <f>XLOOKUP(I1278, drug!B:B, drug!A:A, "Not Found")</f>
      </c>
      <c r="H1278" s="1"/>
      <c r="I1278" s="7">
        <v>1</v>
      </c>
      <c r="J1278" s="5">
        <f>XLOOKUP(L1278, uom!C:C, uom!B:B, "Not Found")</f>
      </c>
      <c r="K1278" s="1" t="s">
        <v>5511</v>
      </c>
      <c r="L1278" s="5">
        <f>XLOOKUP(N1278, uom!C:C, uom!B:B, "Not Found")</f>
      </c>
      <c r="M1278" s="1" t="s">
        <v>5511</v>
      </c>
      <c r="N1278" s="8" t="s">
        <v>5512</v>
      </c>
      <c r="O1278" s="1" t="s">
        <v>5513</v>
      </c>
      <c r="P1278" s="5">
        <f>XLOOKUP(R1278, classification!C:C, classification!B:B, "Not Found")</f>
      </c>
      <c r="Q1278" s="1" t="s">
        <v>5514</v>
      </c>
      <c r="R1278" s="2"/>
      <c r="S1278" s="2"/>
      <c r="T1278" s="2"/>
      <c r="U1278" s="2"/>
    </row>
    <row x14ac:dyDescent="0.25" r="1279" customHeight="1" ht="17.25">
      <c r="A1279" s="7">
        <v>1278</v>
      </c>
      <c r="B1279" s="1" t="s">
        <v>6707</v>
      </c>
      <c r="C1279" s="5">
        <f>CONCATENATE("PD", TEXT(A1279, "1000000"))</f>
      </c>
      <c r="D1279" s="7">
        <v>74</v>
      </c>
      <c r="E1279" s="5">
        <f>XLOOKUP(G1279, item_category!C:C, item_category!B:B, "Not Found")</f>
      </c>
      <c r="F1279" s="1" t="s">
        <v>5520</v>
      </c>
      <c r="G1279" s="5">
        <f>XLOOKUP(I1279, drug!B:B, drug!A:A, "Not Found")</f>
      </c>
      <c r="H1279" s="1" t="s">
        <v>1984</v>
      </c>
      <c r="I1279" s="7">
        <v>1</v>
      </c>
      <c r="J1279" s="5">
        <f>XLOOKUP(L1279, uom!C:C, uom!B:B, "Not Found")</f>
      </c>
      <c r="K1279" s="1" t="s">
        <v>5511</v>
      </c>
      <c r="L1279" s="5">
        <f>XLOOKUP(N1279, uom!C:C, uom!B:B, "Not Found")</f>
      </c>
      <c r="M1279" s="1" t="s">
        <v>5511</v>
      </c>
      <c r="N1279" s="8" t="s">
        <v>5512</v>
      </c>
      <c r="O1279" s="1" t="s">
        <v>5513</v>
      </c>
      <c r="P1279" s="5">
        <f>XLOOKUP(R1279, classification!C:C, classification!B:B, "Not Found")</f>
      </c>
      <c r="Q1279" s="1" t="s">
        <v>5514</v>
      </c>
      <c r="R1279" s="2"/>
      <c r="S1279" s="2"/>
      <c r="T1279" s="2"/>
      <c r="U1279" s="2"/>
    </row>
    <row x14ac:dyDescent="0.25" r="1280" customHeight="1" ht="17.25">
      <c r="A1280" s="7">
        <v>1279</v>
      </c>
      <c r="B1280" s="1" t="s">
        <v>6708</v>
      </c>
      <c r="C1280" s="5">
        <f>CONCATENATE("PD", TEXT(A1280, "1000000"))</f>
      </c>
      <c r="D1280" s="7">
        <v>74</v>
      </c>
      <c r="E1280" s="5">
        <f>XLOOKUP(G1280, item_category!C:C, item_category!B:B, "Not Found")</f>
      </c>
      <c r="F1280" s="1" t="s">
        <v>5520</v>
      </c>
      <c r="G1280" s="5">
        <f>XLOOKUP(I1280, drug!B:B, drug!A:A, "Not Found")</f>
      </c>
      <c r="H1280" s="1" t="s">
        <v>1984</v>
      </c>
      <c r="I1280" s="7">
        <v>1</v>
      </c>
      <c r="J1280" s="5">
        <f>XLOOKUP(L1280, uom!C:C, uom!B:B, "Not Found")</f>
      </c>
      <c r="K1280" s="1" t="s">
        <v>5511</v>
      </c>
      <c r="L1280" s="5">
        <f>XLOOKUP(N1280, uom!C:C, uom!B:B, "Not Found")</f>
      </c>
      <c r="M1280" s="1" t="s">
        <v>5511</v>
      </c>
      <c r="N1280" s="8" t="s">
        <v>5512</v>
      </c>
      <c r="O1280" s="1" t="s">
        <v>5513</v>
      </c>
      <c r="P1280" s="5">
        <f>XLOOKUP(R1280, classification!C:C, classification!B:B, "Not Found")</f>
      </c>
      <c r="Q1280" s="1" t="s">
        <v>5514</v>
      </c>
      <c r="R1280" s="2"/>
      <c r="S1280" s="2"/>
      <c r="T1280" s="2"/>
      <c r="U1280" s="2"/>
    </row>
    <row x14ac:dyDescent="0.25" r="1281" customHeight="1" ht="17.25">
      <c r="A1281" s="7">
        <v>1280</v>
      </c>
      <c r="B1281" s="1" t="s">
        <v>6709</v>
      </c>
      <c r="C1281" s="5">
        <f>CONCATENATE("PD", TEXT(A1281, "1000000"))</f>
      </c>
      <c r="D1281" s="7">
        <v>74</v>
      </c>
      <c r="E1281" s="5">
        <f>XLOOKUP(G1281, item_category!C:C, item_category!B:B, "Not Found")</f>
      </c>
      <c r="F1281" s="1" t="s">
        <v>5520</v>
      </c>
      <c r="G1281" s="5">
        <f>XLOOKUP(I1281, drug!B:B, drug!A:A, "Not Found")</f>
      </c>
      <c r="H1281" s="1" t="s">
        <v>1984</v>
      </c>
      <c r="I1281" s="7">
        <v>1</v>
      </c>
      <c r="J1281" s="5">
        <f>XLOOKUP(L1281, uom!C:C, uom!B:B, "Not Found")</f>
      </c>
      <c r="K1281" s="1" t="s">
        <v>5511</v>
      </c>
      <c r="L1281" s="5">
        <f>XLOOKUP(N1281, uom!C:C, uom!B:B, "Not Found")</f>
      </c>
      <c r="M1281" s="1" t="s">
        <v>5511</v>
      </c>
      <c r="N1281" s="8" t="s">
        <v>5512</v>
      </c>
      <c r="O1281" s="1" t="s">
        <v>5513</v>
      </c>
      <c r="P1281" s="5">
        <f>XLOOKUP(R1281, classification!C:C, classification!B:B, "Not Found")</f>
      </c>
      <c r="Q1281" s="1" t="s">
        <v>5514</v>
      </c>
      <c r="R1281" s="2"/>
      <c r="S1281" s="2"/>
      <c r="T1281" s="2"/>
      <c r="U1281" s="2"/>
    </row>
    <row x14ac:dyDescent="0.25" r="1282" customHeight="1" ht="17.25">
      <c r="A1282" s="7">
        <v>1281</v>
      </c>
      <c r="B1282" s="1" t="s">
        <v>6710</v>
      </c>
      <c r="C1282" s="5">
        <f>CONCATENATE("PD", TEXT(A1282, "1000000"))</f>
      </c>
      <c r="D1282" s="7">
        <v>74</v>
      </c>
      <c r="E1282" s="5">
        <f>XLOOKUP(G1282, item_category!C:C, item_category!B:B, "Not Found")</f>
      </c>
      <c r="F1282" s="1" t="s">
        <v>5520</v>
      </c>
      <c r="G1282" s="5">
        <f>XLOOKUP(I1282, drug!B:B, drug!A:A, "Not Found")</f>
      </c>
      <c r="H1282" s="1" t="s">
        <v>1336</v>
      </c>
      <c r="I1282" s="7">
        <v>1</v>
      </c>
      <c r="J1282" s="5">
        <f>XLOOKUP(L1282, uom!C:C, uom!B:B, "Not Found")</f>
      </c>
      <c r="K1282" s="1" t="s">
        <v>5511</v>
      </c>
      <c r="L1282" s="5">
        <f>XLOOKUP(N1282, uom!C:C, uom!B:B, "Not Found")</f>
      </c>
      <c r="M1282" s="1" t="s">
        <v>5511</v>
      </c>
      <c r="N1282" s="8" t="s">
        <v>5512</v>
      </c>
      <c r="O1282" s="1" t="s">
        <v>5513</v>
      </c>
      <c r="P1282" s="5">
        <f>XLOOKUP(R1282, classification!C:C, classification!B:B, "Not Found")</f>
      </c>
      <c r="Q1282" s="1" t="s">
        <v>5514</v>
      </c>
      <c r="R1282" s="2"/>
      <c r="S1282" s="2"/>
      <c r="T1282" s="2"/>
      <c r="U1282" s="2"/>
    </row>
    <row x14ac:dyDescent="0.25" r="1283" customHeight="1" ht="17.25">
      <c r="A1283" s="7">
        <v>1282</v>
      </c>
      <c r="B1283" s="1" t="s">
        <v>6711</v>
      </c>
      <c r="C1283" s="5">
        <f>CONCATENATE("PD", TEXT(A1283, "1000000"))</f>
      </c>
      <c r="D1283" s="7">
        <v>1</v>
      </c>
      <c r="E1283" s="5">
        <f>XLOOKUP(G1283, item_category!C:C, item_category!B:B, "Not Found")</f>
      </c>
      <c r="F1283" s="1" t="s">
        <v>5514</v>
      </c>
      <c r="G1283" s="5">
        <f>XLOOKUP(I1283, drug!B:B, drug!A:A, "Not Found")</f>
      </c>
      <c r="H1283" s="1"/>
      <c r="I1283" s="7">
        <v>100</v>
      </c>
      <c r="J1283" s="5">
        <f>XLOOKUP(L1283, uom!C:C, uom!B:B, "Not Found")</f>
      </c>
      <c r="K1283" s="1" t="s">
        <v>5511</v>
      </c>
      <c r="L1283" s="5">
        <f>XLOOKUP(N1283, uom!C:C, uom!B:B, "Not Found")</f>
      </c>
      <c r="M1283" s="1" t="s">
        <v>5511</v>
      </c>
      <c r="N1283" s="8" t="s">
        <v>5524</v>
      </c>
      <c r="O1283" s="1" t="s">
        <v>5525</v>
      </c>
      <c r="P1283" s="5">
        <f>XLOOKUP(R1283, classification!C:C, classification!B:B, "Not Found")</f>
      </c>
      <c r="Q1283" s="1" t="s">
        <v>5514</v>
      </c>
      <c r="R1283" s="2"/>
      <c r="S1283" s="2"/>
      <c r="T1283" s="2"/>
      <c r="U1283" s="2"/>
    </row>
    <row x14ac:dyDescent="0.25" r="1284" customHeight="1" ht="17.25">
      <c r="A1284" s="7">
        <v>1283</v>
      </c>
      <c r="B1284" s="1" t="s">
        <v>6712</v>
      </c>
      <c r="C1284" s="5">
        <f>CONCATENATE("PD", TEXT(A1284, "1000000"))</f>
      </c>
      <c r="D1284" s="7">
        <v>74</v>
      </c>
      <c r="E1284" s="5">
        <f>XLOOKUP(G1284, item_category!C:C, item_category!B:B, "Not Found")</f>
      </c>
      <c r="F1284" s="1" t="s">
        <v>5520</v>
      </c>
      <c r="G1284" s="5">
        <f>XLOOKUP(I1284, drug!B:B, drug!A:A, "Not Found")</f>
      </c>
      <c r="H1284" s="1"/>
      <c r="I1284" s="7">
        <v>1</v>
      </c>
      <c r="J1284" s="5">
        <f>XLOOKUP(L1284, uom!C:C, uom!B:B, "Not Found")</f>
      </c>
      <c r="K1284" s="1" t="s">
        <v>5511</v>
      </c>
      <c r="L1284" s="5">
        <f>XLOOKUP(N1284, uom!C:C, uom!B:B, "Not Found")</f>
      </c>
      <c r="M1284" s="1" t="s">
        <v>5511</v>
      </c>
      <c r="N1284" s="8" t="s">
        <v>5512</v>
      </c>
      <c r="O1284" s="1" t="s">
        <v>5513</v>
      </c>
      <c r="P1284" s="5">
        <f>XLOOKUP(R1284, classification!C:C, classification!B:B, "Not Found")</f>
      </c>
      <c r="Q1284" s="1" t="s">
        <v>5514</v>
      </c>
      <c r="R1284" s="2"/>
      <c r="S1284" s="2"/>
      <c r="T1284" s="2"/>
      <c r="U1284" s="2"/>
    </row>
    <row x14ac:dyDescent="0.25" r="1285" customHeight="1" ht="17.25">
      <c r="A1285" s="7">
        <v>1284</v>
      </c>
      <c r="B1285" s="1" t="s">
        <v>6713</v>
      </c>
      <c r="C1285" s="5">
        <f>CONCATENATE("PD", TEXT(A1285, "1000000"))</f>
      </c>
      <c r="D1285" s="7">
        <v>74</v>
      </c>
      <c r="E1285" s="5">
        <f>XLOOKUP(G1285, item_category!C:C, item_category!B:B, "Not Found")</f>
      </c>
      <c r="F1285" s="1" t="s">
        <v>5520</v>
      </c>
      <c r="G1285" s="5">
        <f>XLOOKUP(I1285, drug!B:B, drug!A:A, "Not Found")</f>
      </c>
      <c r="H1285" s="1" t="s">
        <v>1942</v>
      </c>
      <c r="I1285" s="7">
        <v>1</v>
      </c>
      <c r="J1285" s="5">
        <f>XLOOKUP(L1285, uom!C:C, uom!B:B, "Not Found")</f>
      </c>
      <c r="K1285" s="1" t="s">
        <v>5511</v>
      </c>
      <c r="L1285" s="5">
        <f>XLOOKUP(N1285, uom!C:C, uom!B:B, "Not Found")</f>
      </c>
      <c r="M1285" s="1" t="s">
        <v>5511</v>
      </c>
      <c r="N1285" s="8" t="s">
        <v>5512</v>
      </c>
      <c r="O1285" s="1" t="s">
        <v>5513</v>
      </c>
      <c r="P1285" s="5">
        <f>XLOOKUP(R1285, classification!C:C, classification!B:B, "Not Found")</f>
      </c>
      <c r="Q1285" s="1" t="s">
        <v>5514</v>
      </c>
      <c r="R1285" s="2"/>
      <c r="S1285" s="2"/>
      <c r="T1285" s="2"/>
      <c r="U1285" s="2"/>
    </row>
    <row x14ac:dyDescent="0.25" r="1286" customHeight="1" ht="17.25">
      <c r="A1286" s="7">
        <v>1285</v>
      </c>
      <c r="B1286" s="1" t="s">
        <v>6714</v>
      </c>
      <c r="C1286" s="5">
        <f>CONCATENATE("PD", TEXT(A1286, "1000000"))</f>
      </c>
      <c r="D1286" s="7">
        <v>74</v>
      </c>
      <c r="E1286" s="5">
        <f>XLOOKUP(G1286, item_category!C:C, item_category!B:B, "Not Found")</f>
      </c>
      <c r="F1286" s="1" t="s">
        <v>5520</v>
      </c>
      <c r="G1286" s="5">
        <f>XLOOKUP(I1286, drug!B:B, drug!A:A, "Not Found")</f>
      </c>
      <c r="H1286" s="1" t="s">
        <v>211</v>
      </c>
      <c r="I1286" s="7">
        <v>1</v>
      </c>
      <c r="J1286" s="5">
        <f>XLOOKUP(L1286, uom!C:C, uom!B:B, "Not Found")</f>
      </c>
      <c r="K1286" s="1" t="s">
        <v>5511</v>
      </c>
      <c r="L1286" s="5">
        <f>XLOOKUP(N1286, uom!C:C, uom!B:B, "Not Found")</f>
      </c>
      <c r="M1286" s="1" t="s">
        <v>5511</v>
      </c>
      <c r="N1286" s="8" t="s">
        <v>5512</v>
      </c>
      <c r="O1286" s="1" t="s">
        <v>5513</v>
      </c>
      <c r="P1286" s="5">
        <f>XLOOKUP(R1286, classification!C:C, classification!B:B, "Not Found")</f>
      </c>
      <c r="Q1286" s="1" t="s">
        <v>5514</v>
      </c>
      <c r="R1286" s="2"/>
      <c r="S1286" s="2"/>
      <c r="T1286" s="2"/>
      <c r="U1286" s="2"/>
    </row>
    <row x14ac:dyDescent="0.25" r="1287" customHeight="1" ht="17.25">
      <c r="A1287" s="7">
        <v>1286</v>
      </c>
      <c r="B1287" s="1" t="s">
        <v>6715</v>
      </c>
      <c r="C1287" s="5">
        <f>CONCATENATE("PD", TEXT(A1287, "1000000"))</f>
      </c>
      <c r="D1287" s="7">
        <v>74</v>
      </c>
      <c r="E1287" s="5">
        <f>XLOOKUP(G1287, item_category!C:C, item_category!B:B, "Not Found")</f>
      </c>
      <c r="F1287" s="1" t="s">
        <v>5520</v>
      </c>
      <c r="G1287" s="5">
        <f>XLOOKUP(I1287, drug!B:B, drug!A:A, "Not Found")</f>
      </c>
      <c r="H1287" s="1" t="s">
        <v>1942</v>
      </c>
      <c r="I1287" s="7">
        <v>700</v>
      </c>
      <c r="J1287" s="5">
        <f>XLOOKUP(L1287, uom!C:C, uom!B:B, "Not Found")</f>
      </c>
      <c r="K1287" s="1" t="s">
        <v>5722</v>
      </c>
      <c r="L1287" s="5">
        <f>XLOOKUP(N1287, uom!C:C, uom!B:B, "Not Found")</f>
      </c>
      <c r="M1287" s="1" t="s">
        <v>5722</v>
      </c>
      <c r="N1287" s="8" t="s">
        <v>5524</v>
      </c>
      <c r="O1287" s="1" t="s">
        <v>5525</v>
      </c>
      <c r="P1287" s="5">
        <f>XLOOKUP(R1287, classification!C:C, classification!B:B, "Not Found")</f>
      </c>
      <c r="Q1287" s="1" t="s">
        <v>5514</v>
      </c>
      <c r="R1287" s="2"/>
      <c r="S1287" s="2"/>
      <c r="T1287" s="2"/>
      <c r="U1287" s="2"/>
    </row>
    <row x14ac:dyDescent="0.25" r="1288" customHeight="1" ht="17.25">
      <c r="A1288" s="7">
        <v>1287</v>
      </c>
      <c r="B1288" s="1" t="s">
        <v>6716</v>
      </c>
      <c r="C1288" s="5">
        <f>CONCATENATE("PD", TEXT(A1288, "1000000"))</f>
      </c>
      <c r="D1288" s="7">
        <v>74</v>
      </c>
      <c r="E1288" s="5">
        <f>XLOOKUP(G1288, item_category!C:C, item_category!B:B, "Not Found")</f>
      </c>
      <c r="F1288" s="1" t="s">
        <v>5520</v>
      </c>
      <c r="G1288" s="5">
        <f>XLOOKUP(I1288, drug!B:B, drug!A:A, "Not Found")</f>
      </c>
      <c r="H1288" s="1" t="s">
        <v>211</v>
      </c>
      <c r="I1288" s="7">
        <v>1</v>
      </c>
      <c r="J1288" s="5">
        <f>XLOOKUP(L1288, uom!C:C, uom!B:B, "Not Found")</f>
      </c>
      <c r="K1288" s="1" t="s">
        <v>5511</v>
      </c>
      <c r="L1288" s="5">
        <f>XLOOKUP(N1288, uom!C:C, uom!B:B, "Not Found")</f>
      </c>
      <c r="M1288" s="1" t="s">
        <v>5511</v>
      </c>
      <c r="N1288" s="8" t="s">
        <v>5512</v>
      </c>
      <c r="O1288" s="1" t="s">
        <v>5513</v>
      </c>
      <c r="P1288" s="5">
        <f>XLOOKUP(R1288, classification!C:C, classification!B:B, "Not Found")</f>
      </c>
      <c r="Q1288" s="1" t="s">
        <v>5514</v>
      </c>
      <c r="R1288" s="2"/>
      <c r="S1288" s="2"/>
      <c r="T1288" s="2"/>
      <c r="U1288" s="2"/>
    </row>
    <row x14ac:dyDescent="0.25" r="1289" customHeight="1" ht="17.25">
      <c r="A1289" s="7">
        <v>1288</v>
      </c>
      <c r="B1289" s="1" t="s">
        <v>6717</v>
      </c>
      <c r="C1289" s="5">
        <f>CONCATENATE("PD", TEXT(A1289, "1000000"))</f>
      </c>
      <c r="D1289" s="7">
        <v>74</v>
      </c>
      <c r="E1289" s="5">
        <f>XLOOKUP(G1289, item_category!C:C, item_category!B:B, "Not Found")</f>
      </c>
      <c r="F1289" s="1" t="s">
        <v>5520</v>
      </c>
      <c r="G1289" s="5">
        <f>XLOOKUP(I1289, drug!B:B, drug!A:A, "Not Found")</f>
      </c>
      <c r="H1289" s="1" t="s">
        <v>1942</v>
      </c>
      <c r="I1289" s="7">
        <v>1</v>
      </c>
      <c r="J1289" s="5">
        <f>XLOOKUP(L1289, uom!C:C, uom!B:B, "Not Found")</f>
      </c>
      <c r="K1289" s="1" t="s">
        <v>5511</v>
      </c>
      <c r="L1289" s="5">
        <f>XLOOKUP(N1289, uom!C:C, uom!B:B, "Not Found")</f>
      </c>
      <c r="M1289" s="1" t="s">
        <v>5511</v>
      </c>
      <c r="N1289" s="8" t="s">
        <v>5512</v>
      </c>
      <c r="O1289" s="1" t="s">
        <v>5513</v>
      </c>
      <c r="P1289" s="5">
        <f>XLOOKUP(R1289, classification!C:C, classification!B:B, "Not Found")</f>
      </c>
      <c r="Q1289" s="1" t="s">
        <v>5514</v>
      </c>
      <c r="R1289" s="2"/>
      <c r="S1289" s="2"/>
      <c r="T1289" s="2"/>
      <c r="U1289" s="2"/>
    </row>
    <row x14ac:dyDescent="0.25" r="1290" customHeight="1" ht="17.25">
      <c r="A1290" s="7">
        <v>1289</v>
      </c>
      <c r="B1290" s="1" t="s">
        <v>6718</v>
      </c>
      <c r="C1290" s="5">
        <f>CONCATENATE("PD", TEXT(A1290, "1000000"))</f>
      </c>
      <c r="D1290" s="7">
        <v>74</v>
      </c>
      <c r="E1290" s="5">
        <f>XLOOKUP(G1290, item_category!C:C, item_category!B:B, "Not Found")</f>
      </c>
      <c r="F1290" s="1" t="s">
        <v>5520</v>
      </c>
      <c r="G1290" s="5">
        <f>XLOOKUP(I1290, drug!B:B, drug!A:A, "Not Found")</f>
      </c>
      <c r="H1290" s="1"/>
      <c r="I1290" s="7">
        <v>1</v>
      </c>
      <c r="J1290" s="5">
        <f>XLOOKUP(L1290, uom!C:C, uom!B:B, "Not Found")</f>
      </c>
      <c r="K1290" s="1" t="s">
        <v>5511</v>
      </c>
      <c r="L1290" s="5">
        <f>XLOOKUP(N1290, uom!C:C, uom!B:B, "Not Found")</f>
      </c>
      <c r="M1290" s="1" t="s">
        <v>5511</v>
      </c>
      <c r="N1290" s="8" t="s">
        <v>5512</v>
      </c>
      <c r="O1290" s="1" t="s">
        <v>5513</v>
      </c>
      <c r="P1290" s="5">
        <f>XLOOKUP(R1290, classification!C:C, classification!B:B, "Not Found")</f>
      </c>
      <c r="Q1290" s="1" t="s">
        <v>5514</v>
      </c>
      <c r="R1290" s="2"/>
      <c r="S1290" s="2"/>
      <c r="T1290" s="2"/>
      <c r="U1290" s="2"/>
    </row>
    <row x14ac:dyDescent="0.25" r="1291" customHeight="1" ht="17.25">
      <c r="A1291" s="7">
        <v>1290</v>
      </c>
      <c r="B1291" s="1" t="s">
        <v>6719</v>
      </c>
      <c r="C1291" s="5">
        <f>CONCATENATE("PD", TEXT(A1291, "1000000"))</f>
      </c>
      <c r="D1291" s="7">
        <v>74</v>
      </c>
      <c r="E1291" s="5">
        <f>XLOOKUP(G1291, item_category!C:C, item_category!B:B, "Not Found")</f>
      </c>
      <c r="F1291" s="1" t="s">
        <v>5520</v>
      </c>
      <c r="G1291" s="5">
        <f>XLOOKUP(I1291, drug!B:B, drug!A:A, "Not Found")</f>
      </c>
      <c r="H1291" s="1"/>
      <c r="I1291" s="7">
        <v>1</v>
      </c>
      <c r="J1291" s="5">
        <f>XLOOKUP(L1291, uom!C:C, uom!B:B, "Not Found")</f>
      </c>
      <c r="K1291" s="1" t="s">
        <v>5511</v>
      </c>
      <c r="L1291" s="5">
        <f>XLOOKUP(N1291, uom!C:C, uom!B:B, "Not Found")</f>
      </c>
      <c r="M1291" s="1" t="s">
        <v>5511</v>
      </c>
      <c r="N1291" s="8" t="s">
        <v>5512</v>
      </c>
      <c r="O1291" s="1" t="s">
        <v>5513</v>
      </c>
      <c r="P1291" s="5">
        <f>XLOOKUP(R1291, classification!C:C, classification!B:B, "Not Found")</f>
      </c>
      <c r="Q1291" s="1" t="s">
        <v>5514</v>
      </c>
      <c r="R1291" s="2"/>
      <c r="S1291" s="2"/>
      <c r="T1291" s="2"/>
      <c r="U1291" s="2"/>
    </row>
    <row x14ac:dyDescent="0.25" r="1292" customHeight="1" ht="17.25">
      <c r="A1292" s="7">
        <v>1291</v>
      </c>
      <c r="B1292" s="1" t="s">
        <v>6720</v>
      </c>
      <c r="C1292" s="5">
        <f>CONCATENATE("PD", TEXT(A1292, "1000000"))</f>
      </c>
      <c r="D1292" s="7">
        <v>74</v>
      </c>
      <c r="E1292" s="5">
        <f>XLOOKUP(G1292, item_category!C:C, item_category!B:B, "Not Found")</f>
      </c>
      <c r="F1292" s="1" t="s">
        <v>5520</v>
      </c>
      <c r="G1292" s="5">
        <f>XLOOKUP(I1292, drug!B:B, drug!A:A, "Not Found")</f>
      </c>
      <c r="H1292" s="1" t="s">
        <v>1996</v>
      </c>
      <c r="I1292" s="7">
        <v>1</v>
      </c>
      <c r="J1292" s="5">
        <f>XLOOKUP(L1292, uom!C:C, uom!B:B, "Not Found")</f>
      </c>
      <c r="K1292" s="1" t="s">
        <v>5511</v>
      </c>
      <c r="L1292" s="5">
        <f>XLOOKUP(N1292, uom!C:C, uom!B:B, "Not Found")</f>
      </c>
      <c r="M1292" s="1" t="s">
        <v>5511</v>
      </c>
      <c r="N1292" s="8" t="s">
        <v>5512</v>
      </c>
      <c r="O1292" s="1" t="s">
        <v>5513</v>
      </c>
      <c r="P1292" s="5">
        <f>XLOOKUP(R1292, classification!C:C, classification!B:B, "Not Found")</f>
      </c>
      <c r="Q1292" s="1" t="s">
        <v>5514</v>
      </c>
      <c r="R1292" s="2"/>
      <c r="S1292" s="2"/>
      <c r="T1292" s="2"/>
      <c r="U1292" s="2"/>
    </row>
    <row x14ac:dyDescent="0.25" r="1293" customHeight="1" ht="17.25">
      <c r="A1293" s="7">
        <v>1292</v>
      </c>
      <c r="B1293" s="1" t="s">
        <v>6721</v>
      </c>
      <c r="C1293" s="5">
        <f>CONCATENATE("PD", TEXT(A1293, "1000000"))</f>
      </c>
      <c r="D1293" s="7">
        <v>74</v>
      </c>
      <c r="E1293" s="5">
        <f>XLOOKUP(G1293, item_category!C:C, item_category!B:B, "Not Found")</f>
      </c>
      <c r="F1293" s="1" t="s">
        <v>5520</v>
      </c>
      <c r="G1293" s="5">
        <f>XLOOKUP(I1293, drug!B:B, drug!A:A, "Not Found")</f>
      </c>
      <c r="H1293" s="1" t="s">
        <v>1996</v>
      </c>
      <c r="I1293" s="7">
        <v>1</v>
      </c>
      <c r="J1293" s="5">
        <f>XLOOKUP(L1293, uom!C:C, uom!B:B, "Not Found")</f>
      </c>
      <c r="K1293" s="1" t="s">
        <v>5511</v>
      </c>
      <c r="L1293" s="5">
        <f>XLOOKUP(N1293, uom!C:C, uom!B:B, "Not Found")</f>
      </c>
      <c r="M1293" s="1" t="s">
        <v>5511</v>
      </c>
      <c r="N1293" s="8" t="s">
        <v>5512</v>
      </c>
      <c r="O1293" s="1" t="s">
        <v>5513</v>
      </c>
      <c r="P1293" s="5">
        <f>XLOOKUP(R1293, classification!C:C, classification!B:B, "Not Found")</f>
      </c>
      <c r="Q1293" s="1" t="s">
        <v>5514</v>
      </c>
      <c r="R1293" s="2"/>
      <c r="S1293" s="2"/>
      <c r="T1293" s="2"/>
      <c r="U1293" s="2"/>
    </row>
    <row x14ac:dyDescent="0.25" r="1294" customHeight="1" ht="17.25">
      <c r="A1294" s="7">
        <v>1293</v>
      </c>
      <c r="B1294" s="1" t="s">
        <v>6722</v>
      </c>
      <c r="C1294" s="5">
        <f>CONCATENATE("PD", TEXT(A1294, "1000000"))</f>
      </c>
      <c r="D1294" s="7">
        <v>74</v>
      </c>
      <c r="E1294" s="5">
        <f>XLOOKUP(G1294, item_category!C:C, item_category!B:B, "Not Found")</f>
      </c>
      <c r="F1294" s="1" t="s">
        <v>5520</v>
      </c>
      <c r="G1294" s="5">
        <f>XLOOKUP(I1294, drug!B:B, drug!A:A, "Not Found")</f>
      </c>
      <c r="H1294" s="1"/>
      <c r="I1294" s="7">
        <v>1</v>
      </c>
      <c r="J1294" s="5">
        <f>XLOOKUP(L1294, uom!C:C, uom!B:B, "Not Found")</f>
      </c>
      <c r="K1294" s="1" t="s">
        <v>5511</v>
      </c>
      <c r="L1294" s="5">
        <f>XLOOKUP(N1294, uom!C:C, uom!B:B, "Not Found")</f>
      </c>
      <c r="M1294" s="1" t="s">
        <v>5511</v>
      </c>
      <c r="N1294" s="8" t="s">
        <v>5512</v>
      </c>
      <c r="O1294" s="1" t="s">
        <v>5513</v>
      </c>
      <c r="P1294" s="5">
        <f>XLOOKUP(R1294, classification!C:C, classification!B:B, "Not Found")</f>
      </c>
      <c r="Q1294" s="1" t="s">
        <v>5514</v>
      </c>
      <c r="R1294" s="2"/>
      <c r="S1294" s="2"/>
      <c r="T1294" s="2"/>
      <c r="U1294" s="2"/>
    </row>
    <row x14ac:dyDescent="0.25" r="1295" customHeight="1" ht="17.25">
      <c r="A1295" s="7">
        <v>1294</v>
      </c>
      <c r="B1295" s="1" t="s">
        <v>6723</v>
      </c>
      <c r="C1295" s="5">
        <f>CONCATENATE("PD", TEXT(A1295, "1000000"))</f>
      </c>
      <c r="D1295" s="7">
        <v>74</v>
      </c>
      <c r="E1295" s="5">
        <f>XLOOKUP(G1295, item_category!C:C, item_category!B:B, "Not Found")</f>
      </c>
      <c r="F1295" s="1" t="s">
        <v>5520</v>
      </c>
      <c r="G1295" s="5">
        <f>XLOOKUP(I1295, drug!B:B, drug!A:A, "Not Found")</f>
      </c>
      <c r="H1295" s="1"/>
      <c r="I1295" s="7">
        <v>1</v>
      </c>
      <c r="J1295" s="5">
        <f>XLOOKUP(L1295, uom!C:C, uom!B:B, "Not Found")</f>
      </c>
      <c r="K1295" s="1" t="s">
        <v>5620</v>
      </c>
      <c r="L1295" s="5">
        <f>XLOOKUP(N1295, uom!C:C, uom!B:B, "Not Found")</f>
      </c>
      <c r="M1295" s="1" t="s">
        <v>5620</v>
      </c>
      <c r="N1295" s="8" t="s">
        <v>5524</v>
      </c>
      <c r="O1295" s="1" t="s">
        <v>5525</v>
      </c>
      <c r="P1295" s="5">
        <f>XLOOKUP(R1295, classification!C:C, classification!B:B, "Not Found")</f>
      </c>
      <c r="Q1295" s="1" t="s">
        <v>5514</v>
      </c>
      <c r="R1295" s="2"/>
      <c r="S1295" s="2"/>
      <c r="T1295" s="2"/>
      <c r="U1295" s="2"/>
    </row>
    <row x14ac:dyDescent="0.25" r="1296" customHeight="1" ht="17.25">
      <c r="A1296" s="7">
        <v>1295</v>
      </c>
      <c r="B1296" s="1" t="s">
        <v>6724</v>
      </c>
      <c r="C1296" s="5">
        <f>CONCATENATE("PD", TEXT(A1296, "1000000"))</f>
      </c>
      <c r="D1296" s="7">
        <v>74</v>
      </c>
      <c r="E1296" s="5">
        <f>XLOOKUP(G1296, item_category!C:C, item_category!B:B, "Not Found")</f>
      </c>
      <c r="F1296" s="1" t="s">
        <v>5520</v>
      </c>
      <c r="G1296" s="5">
        <f>XLOOKUP(I1296, drug!B:B, drug!A:A, "Not Found")</f>
      </c>
      <c r="H1296" s="1"/>
      <c r="I1296" s="7">
        <v>1</v>
      </c>
      <c r="J1296" s="5">
        <f>XLOOKUP(L1296, uom!C:C, uom!B:B, "Not Found")</f>
      </c>
      <c r="K1296" s="1" t="s">
        <v>5511</v>
      </c>
      <c r="L1296" s="5">
        <f>XLOOKUP(N1296, uom!C:C, uom!B:B, "Not Found")</f>
      </c>
      <c r="M1296" s="1" t="s">
        <v>5511</v>
      </c>
      <c r="N1296" s="8" t="s">
        <v>5512</v>
      </c>
      <c r="O1296" s="1" t="s">
        <v>5513</v>
      </c>
      <c r="P1296" s="5">
        <f>XLOOKUP(R1296, classification!C:C, classification!B:B, "Not Found")</f>
      </c>
      <c r="Q1296" s="1" t="s">
        <v>5514</v>
      </c>
      <c r="R1296" s="2"/>
      <c r="S1296" s="2"/>
      <c r="T1296" s="2"/>
      <c r="U1296" s="2"/>
    </row>
    <row x14ac:dyDescent="0.25" r="1297" customHeight="1" ht="17.25">
      <c r="A1297" s="7">
        <v>1296</v>
      </c>
      <c r="B1297" s="1" t="s">
        <v>6725</v>
      </c>
      <c r="C1297" s="5">
        <f>CONCATENATE("PD", TEXT(A1297, "1000000"))</f>
      </c>
      <c r="D1297" s="7">
        <v>74</v>
      </c>
      <c r="E1297" s="5">
        <f>XLOOKUP(G1297, item_category!C:C, item_category!B:B, "Not Found")</f>
      </c>
      <c r="F1297" s="1" t="s">
        <v>5520</v>
      </c>
      <c r="G1297" s="5">
        <f>XLOOKUP(I1297, drug!B:B, drug!A:A, "Not Found")</f>
      </c>
      <c r="H1297" s="1"/>
      <c r="I1297" s="7">
        <v>1</v>
      </c>
      <c r="J1297" s="5">
        <f>XLOOKUP(L1297, uom!C:C, uom!B:B, "Not Found")</f>
      </c>
      <c r="K1297" s="1" t="s">
        <v>5511</v>
      </c>
      <c r="L1297" s="5">
        <f>XLOOKUP(N1297, uom!C:C, uom!B:B, "Not Found")</f>
      </c>
      <c r="M1297" s="1" t="s">
        <v>5511</v>
      </c>
      <c r="N1297" s="8" t="s">
        <v>5512</v>
      </c>
      <c r="O1297" s="1" t="s">
        <v>5513</v>
      </c>
      <c r="P1297" s="5">
        <f>XLOOKUP(R1297, classification!C:C, classification!B:B, "Not Found")</f>
      </c>
      <c r="Q1297" s="1" t="s">
        <v>5514</v>
      </c>
      <c r="R1297" s="2"/>
      <c r="S1297" s="2"/>
      <c r="T1297" s="2"/>
      <c r="U1297" s="2"/>
    </row>
    <row x14ac:dyDescent="0.25" r="1298" customHeight="1" ht="17.25">
      <c r="A1298" s="7">
        <v>1297</v>
      </c>
      <c r="B1298" s="1" t="s">
        <v>6726</v>
      </c>
      <c r="C1298" s="5">
        <f>CONCATENATE("PD", TEXT(A1298, "1000000"))</f>
      </c>
      <c r="D1298" s="7">
        <v>74</v>
      </c>
      <c r="E1298" s="5">
        <f>XLOOKUP(G1298, item_category!C:C, item_category!B:B, "Not Found")</f>
      </c>
      <c r="F1298" s="1" t="s">
        <v>5520</v>
      </c>
      <c r="G1298" s="5">
        <f>XLOOKUP(I1298, drug!B:B, drug!A:A, "Not Found")</f>
      </c>
      <c r="H1298" s="1"/>
      <c r="I1298" s="7">
        <v>1</v>
      </c>
      <c r="J1298" s="5">
        <f>XLOOKUP(L1298, uom!C:C, uom!B:B, "Not Found")</f>
      </c>
      <c r="K1298" s="1" t="s">
        <v>5511</v>
      </c>
      <c r="L1298" s="5">
        <f>XLOOKUP(N1298, uom!C:C, uom!B:B, "Not Found")</f>
      </c>
      <c r="M1298" s="1" t="s">
        <v>5511</v>
      </c>
      <c r="N1298" s="8" t="s">
        <v>5512</v>
      </c>
      <c r="O1298" s="1" t="s">
        <v>5513</v>
      </c>
      <c r="P1298" s="5">
        <f>XLOOKUP(R1298, classification!C:C, classification!B:B, "Not Found")</f>
      </c>
      <c r="Q1298" s="1" t="s">
        <v>5514</v>
      </c>
      <c r="R1298" s="2"/>
      <c r="S1298" s="2"/>
      <c r="T1298" s="2"/>
      <c r="U1298" s="2"/>
    </row>
    <row x14ac:dyDescent="0.25" r="1299" customHeight="1" ht="17.25">
      <c r="A1299" s="7">
        <v>1298</v>
      </c>
      <c r="B1299" s="1" t="s">
        <v>6727</v>
      </c>
      <c r="C1299" s="5">
        <f>CONCATENATE("PD", TEXT(A1299, "1000000"))</f>
      </c>
      <c r="D1299" s="7">
        <v>74</v>
      </c>
      <c r="E1299" s="5">
        <f>XLOOKUP(G1299, item_category!C:C, item_category!B:B, "Not Found")</f>
      </c>
      <c r="F1299" s="1" t="s">
        <v>5520</v>
      </c>
      <c r="G1299" s="5">
        <f>XLOOKUP(I1299, drug!B:B, drug!A:A, "Not Found")</f>
      </c>
      <c r="H1299" s="1"/>
      <c r="I1299" s="7">
        <v>1</v>
      </c>
      <c r="J1299" s="5">
        <f>XLOOKUP(L1299, uom!C:C, uom!B:B, "Not Found")</f>
      </c>
      <c r="K1299" s="1" t="s">
        <v>5511</v>
      </c>
      <c r="L1299" s="5">
        <f>XLOOKUP(N1299, uom!C:C, uom!B:B, "Not Found")</f>
      </c>
      <c r="M1299" s="1" t="s">
        <v>5511</v>
      </c>
      <c r="N1299" s="8" t="s">
        <v>5512</v>
      </c>
      <c r="O1299" s="1" t="s">
        <v>5513</v>
      </c>
      <c r="P1299" s="5">
        <f>XLOOKUP(R1299, classification!C:C, classification!B:B, "Not Found")</f>
      </c>
      <c r="Q1299" s="1" t="s">
        <v>5514</v>
      </c>
      <c r="R1299" s="2"/>
      <c r="S1299" s="2"/>
      <c r="T1299" s="2"/>
      <c r="U1299" s="2"/>
    </row>
    <row x14ac:dyDescent="0.25" r="1300" customHeight="1" ht="17.25">
      <c r="A1300" s="7">
        <v>1299</v>
      </c>
      <c r="B1300" s="1" t="s">
        <v>6728</v>
      </c>
      <c r="C1300" s="5">
        <f>CONCATENATE("PD", TEXT(A1300, "1000000"))</f>
      </c>
      <c r="D1300" s="7">
        <v>74</v>
      </c>
      <c r="E1300" s="5">
        <f>XLOOKUP(G1300, item_category!C:C, item_category!B:B, "Not Found")</f>
      </c>
      <c r="F1300" s="1" t="s">
        <v>5520</v>
      </c>
      <c r="G1300" s="5">
        <f>XLOOKUP(I1300, drug!B:B, drug!A:A, "Not Found")</f>
      </c>
      <c r="H1300" s="1"/>
      <c r="I1300" s="7">
        <v>1</v>
      </c>
      <c r="J1300" s="5">
        <f>XLOOKUP(L1300, uom!C:C, uom!B:B, "Not Found")</f>
      </c>
      <c r="K1300" s="1" t="s">
        <v>5511</v>
      </c>
      <c r="L1300" s="5">
        <f>XLOOKUP(N1300, uom!C:C, uom!B:B, "Not Found")</f>
      </c>
      <c r="M1300" s="1" t="s">
        <v>5511</v>
      </c>
      <c r="N1300" s="8" t="s">
        <v>5512</v>
      </c>
      <c r="O1300" s="1" t="s">
        <v>5513</v>
      </c>
      <c r="P1300" s="5">
        <f>XLOOKUP(R1300, classification!C:C, classification!B:B, "Not Found")</f>
      </c>
      <c r="Q1300" s="1" t="s">
        <v>5514</v>
      </c>
      <c r="R1300" s="2"/>
      <c r="S1300" s="2"/>
      <c r="T1300" s="2"/>
      <c r="U1300" s="2"/>
    </row>
    <row x14ac:dyDescent="0.25" r="1301" customHeight="1" ht="17.25">
      <c r="A1301" s="7">
        <v>1300</v>
      </c>
      <c r="B1301" s="1" t="s">
        <v>6729</v>
      </c>
      <c r="C1301" s="5">
        <f>CONCATENATE("PD", TEXT(A1301, "1000000"))</f>
      </c>
      <c r="D1301" s="7">
        <v>74</v>
      </c>
      <c r="E1301" s="5">
        <f>XLOOKUP(G1301, item_category!C:C, item_category!B:B, "Not Found")</f>
      </c>
      <c r="F1301" s="1" t="s">
        <v>5520</v>
      </c>
      <c r="G1301" s="5">
        <f>XLOOKUP(I1301, drug!B:B, drug!A:A, "Not Found")</f>
      </c>
      <c r="H1301" s="1" t="s">
        <v>2004</v>
      </c>
      <c r="I1301" s="7">
        <v>1</v>
      </c>
      <c r="J1301" s="5">
        <f>XLOOKUP(L1301, uom!C:C, uom!B:B, "Not Found")</f>
      </c>
      <c r="K1301" s="1" t="s">
        <v>5511</v>
      </c>
      <c r="L1301" s="5">
        <f>XLOOKUP(N1301, uom!C:C, uom!B:B, "Not Found")</f>
      </c>
      <c r="M1301" s="1" t="s">
        <v>5511</v>
      </c>
      <c r="N1301" s="8" t="s">
        <v>5512</v>
      </c>
      <c r="O1301" s="1" t="s">
        <v>5513</v>
      </c>
      <c r="P1301" s="5">
        <f>XLOOKUP(R1301, classification!C:C, classification!B:B, "Not Found")</f>
      </c>
      <c r="Q1301" s="1" t="s">
        <v>5514</v>
      </c>
      <c r="R1301" s="2"/>
      <c r="S1301" s="2"/>
      <c r="T1301" s="2"/>
      <c r="U1301" s="2"/>
    </row>
    <row x14ac:dyDescent="0.25" r="1302" customHeight="1" ht="17.25">
      <c r="A1302" s="7">
        <v>1301</v>
      </c>
      <c r="B1302" s="1" t="s">
        <v>6730</v>
      </c>
      <c r="C1302" s="5">
        <f>CONCATENATE("PD", TEXT(A1302, "1000000"))</f>
      </c>
      <c r="D1302" s="7">
        <v>74</v>
      </c>
      <c r="E1302" s="5">
        <f>XLOOKUP(G1302, item_category!C:C, item_category!B:B, "Not Found")</f>
      </c>
      <c r="F1302" s="1" t="s">
        <v>5520</v>
      </c>
      <c r="G1302" s="5">
        <f>XLOOKUP(I1302, drug!B:B, drug!A:A, "Not Found")</f>
      </c>
      <c r="H1302" s="1"/>
      <c r="I1302" s="7">
        <v>1</v>
      </c>
      <c r="J1302" s="5">
        <f>XLOOKUP(L1302, uom!C:C, uom!B:B, "Not Found")</f>
      </c>
      <c r="K1302" s="1" t="s">
        <v>5511</v>
      </c>
      <c r="L1302" s="5">
        <f>XLOOKUP(N1302, uom!C:C, uom!B:B, "Not Found")</f>
      </c>
      <c r="M1302" s="1" t="s">
        <v>5511</v>
      </c>
      <c r="N1302" s="8" t="s">
        <v>5512</v>
      </c>
      <c r="O1302" s="1" t="s">
        <v>5513</v>
      </c>
      <c r="P1302" s="5">
        <f>XLOOKUP(R1302, classification!C:C, classification!B:B, "Not Found")</f>
      </c>
      <c r="Q1302" s="1" t="s">
        <v>5514</v>
      </c>
      <c r="R1302" s="2"/>
      <c r="S1302" s="2"/>
      <c r="T1302" s="2"/>
      <c r="U1302" s="2"/>
    </row>
    <row x14ac:dyDescent="0.25" r="1303" customHeight="1" ht="17.25">
      <c r="A1303" s="7">
        <v>1302</v>
      </c>
      <c r="B1303" s="1" t="s">
        <v>6731</v>
      </c>
      <c r="C1303" s="5">
        <f>CONCATENATE("PD", TEXT(A1303, "1000000"))</f>
      </c>
      <c r="D1303" s="7">
        <v>74</v>
      </c>
      <c r="E1303" s="5">
        <f>XLOOKUP(G1303, item_category!C:C, item_category!B:B, "Not Found")</f>
      </c>
      <c r="F1303" s="1" t="s">
        <v>5520</v>
      </c>
      <c r="G1303" s="5">
        <f>XLOOKUP(I1303, drug!B:B, drug!A:A, "Not Found")</f>
      </c>
      <c r="H1303" s="1" t="s">
        <v>373</v>
      </c>
      <c r="I1303" s="7">
        <v>1</v>
      </c>
      <c r="J1303" s="5">
        <f>XLOOKUP(L1303, uom!C:C, uom!B:B, "Not Found")</f>
      </c>
      <c r="K1303" s="1" t="s">
        <v>5511</v>
      </c>
      <c r="L1303" s="5">
        <f>XLOOKUP(N1303, uom!C:C, uom!B:B, "Not Found")</f>
      </c>
      <c r="M1303" s="1" t="s">
        <v>5511</v>
      </c>
      <c r="N1303" s="8" t="s">
        <v>5512</v>
      </c>
      <c r="O1303" s="1" t="s">
        <v>5513</v>
      </c>
      <c r="P1303" s="5">
        <f>XLOOKUP(R1303, classification!C:C, classification!B:B, "Not Found")</f>
      </c>
      <c r="Q1303" s="1" t="s">
        <v>5514</v>
      </c>
      <c r="R1303" s="2"/>
      <c r="S1303" s="2"/>
      <c r="T1303" s="2"/>
      <c r="U1303" s="2"/>
    </row>
    <row x14ac:dyDescent="0.25" r="1304" customHeight="1" ht="17.25">
      <c r="A1304" s="7">
        <v>1303</v>
      </c>
      <c r="B1304" s="1" t="s">
        <v>6732</v>
      </c>
      <c r="C1304" s="5">
        <f>CONCATENATE("PD", TEXT(A1304, "1000000"))</f>
      </c>
      <c r="D1304" s="7">
        <v>74</v>
      </c>
      <c r="E1304" s="5">
        <f>XLOOKUP(G1304, item_category!C:C, item_category!B:B, "Not Found")</f>
      </c>
      <c r="F1304" s="1" t="s">
        <v>5520</v>
      </c>
      <c r="G1304" s="5">
        <f>XLOOKUP(I1304, drug!B:B, drug!A:A, "Not Found")</f>
      </c>
      <c r="H1304" s="1"/>
      <c r="I1304" s="7">
        <v>200</v>
      </c>
      <c r="J1304" s="5">
        <f>XLOOKUP(L1304, uom!C:C, uom!B:B, "Not Found")</f>
      </c>
      <c r="K1304" s="1" t="s">
        <v>6186</v>
      </c>
      <c r="L1304" s="5">
        <f>XLOOKUP(N1304, uom!C:C, uom!B:B, "Not Found")</f>
      </c>
      <c r="M1304" s="1" t="s">
        <v>6186</v>
      </c>
      <c r="N1304" s="8" t="s">
        <v>5524</v>
      </c>
      <c r="O1304" s="1" t="s">
        <v>5525</v>
      </c>
      <c r="P1304" s="5">
        <f>XLOOKUP(R1304, classification!C:C, classification!B:B, "Not Found")</f>
      </c>
      <c r="Q1304" s="1" t="s">
        <v>5514</v>
      </c>
      <c r="R1304" s="2"/>
      <c r="S1304" s="2"/>
      <c r="T1304" s="2"/>
      <c r="U1304" s="2"/>
    </row>
    <row x14ac:dyDescent="0.25" r="1305" customHeight="1" ht="17.25">
      <c r="A1305" s="7">
        <v>1304</v>
      </c>
      <c r="B1305" s="1" t="s">
        <v>6733</v>
      </c>
      <c r="C1305" s="5">
        <f>CONCATENATE("PD", TEXT(A1305, "1000000"))</f>
      </c>
      <c r="D1305" s="7">
        <v>74</v>
      </c>
      <c r="E1305" s="5">
        <f>XLOOKUP(G1305, item_category!C:C, item_category!B:B, "Not Found")</f>
      </c>
      <c r="F1305" s="1" t="s">
        <v>5520</v>
      </c>
      <c r="G1305" s="5">
        <f>XLOOKUP(I1305, drug!B:B, drug!A:A, "Not Found")</f>
      </c>
      <c r="H1305" s="1" t="s">
        <v>442</v>
      </c>
      <c r="I1305" s="7">
        <v>1</v>
      </c>
      <c r="J1305" s="5">
        <f>XLOOKUP(L1305, uom!C:C, uom!B:B, "Not Found")</f>
      </c>
      <c r="K1305" s="1" t="s">
        <v>5511</v>
      </c>
      <c r="L1305" s="5">
        <f>XLOOKUP(N1305, uom!C:C, uom!B:B, "Not Found")</f>
      </c>
      <c r="M1305" s="1" t="s">
        <v>5511</v>
      </c>
      <c r="N1305" s="8" t="s">
        <v>5512</v>
      </c>
      <c r="O1305" s="1" t="s">
        <v>5513</v>
      </c>
      <c r="P1305" s="5">
        <f>XLOOKUP(R1305, classification!C:C, classification!B:B, "Not Found")</f>
      </c>
      <c r="Q1305" s="1" t="s">
        <v>5514</v>
      </c>
      <c r="R1305" s="2"/>
      <c r="S1305" s="2"/>
      <c r="T1305" s="2"/>
      <c r="U1305" s="2"/>
    </row>
    <row x14ac:dyDescent="0.25" r="1306" customHeight="1" ht="17.25">
      <c r="A1306" s="7">
        <v>1305</v>
      </c>
      <c r="B1306" s="1" t="s">
        <v>6734</v>
      </c>
      <c r="C1306" s="5">
        <f>CONCATENATE("PD", TEXT(A1306, "1000000"))</f>
      </c>
      <c r="D1306" s="7">
        <v>74</v>
      </c>
      <c r="E1306" s="5">
        <f>XLOOKUP(G1306, item_category!C:C, item_category!B:B, "Not Found")</f>
      </c>
      <c r="F1306" s="1" t="s">
        <v>5520</v>
      </c>
      <c r="G1306" s="5">
        <f>XLOOKUP(I1306, drug!B:B, drug!A:A, "Not Found")</f>
      </c>
      <c r="H1306" s="1" t="s">
        <v>442</v>
      </c>
      <c r="I1306" s="7">
        <v>1</v>
      </c>
      <c r="J1306" s="5">
        <f>XLOOKUP(L1306, uom!C:C, uom!B:B, "Not Found")</f>
      </c>
      <c r="K1306" s="1" t="s">
        <v>5511</v>
      </c>
      <c r="L1306" s="5">
        <f>XLOOKUP(N1306, uom!C:C, uom!B:B, "Not Found")</f>
      </c>
      <c r="M1306" s="1" t="s">
        <v>5511</v>
      </c>
      <c r="N1306" s="8" t="s">
        <v>5512</v>
      </c>
      <c r="O1306" s="1" t="s">
        <v>5513</v>
      </c>
      <c r="P1306" s="5">
        <f>XLOOKUP(R1306, classification!C:C, classification!B:B, "Not Found")</f>
      </c>
      <c r="Q1306" s="1" t="s">
        <v>5514</v>
      </c>
      <c r="R1306" s="2"/>
      <c r="S1306" s="2"/>
      <c r="T1306" s="2"/>
      <c r="U1306" s="2"/>
    </row>
    <row x14ac:dyDescent="0.25" r="1307" customHeight="1" ht="17.25">
      <c r="A1307" s="7">
        <v>1306</v>
      </c>
      <c r="B1307" s="1" t="s">
        <v>6735</v>
      </c>
      <c r="C1307" s="5">
        <f>CONCATENATE("PD", TEXT(A1307, "1000000"))</f>
      </c>
      <c r="D1307" s="7">
        <v>74</v>
      </c>
      <c r="E1307" s="5">
        <f>XLOOKUP(G1307, item_category!C:C, item_category!B:B, "Not Found")</f>
      </c>
      <c r="F1307" s="1" t="s">
        <v>5520</v>
      </c>
      <c r="G1307" s="5">
        <f>XLOOKUP(I1307, drug!B:B, drug!A:A, "Not Found")</f>
      </c>
      <c r="H1307" s="1"/>
      <c r="I1307" s="7">
        <v>1</v>
      </c>
      <c r="J1307" s="5">
        <f>XLOOKUP(L1307, uom!C:C, uom!B:B, "Not Found")</f>
      </c>
      <c r="K1307" s="1" t="s">
        <v>5511</v>
      </c>
      <c r="L1307" s="5">
        <f>XLOOKUP(N1307, uom!C:C, uom!B:B, "Not Found")</f>
      </c>
      <c r="M1307" s="1" t="s">
        <v>5511</v>
      </c>
      <c r="N1307" s="8" t="s">
        <v>5512</v>
      </c>
      <c r="O1307" s="1" t="s">
        <v>5513</v>
      </c>
      <c r="P1307" s="5">
        <f>XLOOKUP(R1307, classification!C:C, classification!B:B, "Not Found")</f>
      </c>
      <c r="Q1307" s="1" t="s">
        <v>5514</v>
      </c>
      <c r="R1307" s="2"/>
      <c r="S1307" s="2"/>
      <c r="T1307" s="2"/>
      <c r="U1307" s="2"/>
    </row>
    <row x14ac:dyDescent="0.25" r="1308" customHeight="1" ht="17.25">
      <c r="A1308" s="7">
        <v>1307</v>
      </c>
      <c r="B1308" s="1" t="s">
        <v>6736</v>
      </c>
      <c r="C1308" s="5">
        <f>CONCATENATE("PD", TEXT(A1308, "1000000"))</f>
      </c>
      <c r="D1308" s="7">
        <v>74</v>
      </c>
      <c r="E1308" s="5">
        <f>XLOOKUP(G1308, item_category!C:C, item_category!B:B, "Not Found")</f>
      </c>
      <c r="F1308" s="1" t="s">
        <v>5520</v>
      </c>
      <c r="G1308" s="5">
        <f>XLOOKUP(I1308, drug!B:B, drug!A:A, "Not Found")</f>
      </c>
      <c r="H1308" s="1"/>
      <c r="I1308" s="7">
        <v>1</v>
      </c>
      <c r="J1308" s="5">
        <f>XLOOKUP(L1308, uom!C:C, uom!B:B, "Not Found")</f>
      </c>
      <c r="K1308" s="1" t="s">
        <v>5511</v>
      </c>
      <c r="L1308" s="5">
        <f>XLOOKUP(N1308, uom!C:C, uom!B:B, "Not Found")</f>
      </c>
      <c r="M1308" s="1" t="s">
        <v>5511</v>
      </c>
      <c r="N1308" s="8" t="s">
        <v>5512</v>
      </c>
      <c r="O1308" s="1" t="s">
        <v>5513</v>
      </c>
      <c r="P1308" s="5">
        <f>XLOOKUP(R1308, classification!C:C, classification!B:B, "Not Found")</f>
      </c>
      <c r="Q1308" s="1" t="s">
        <v>5514</v>
      </c>
      <c r="R1308" s="2"/>
      <c r="S1308" s="2"/>
      <c r="T1308" s="2"/>
      <c r="U1308" s="2"/>
    </row>
    <row x14ac:dyDescent="0.25" r="1309" customHeight="1" ht="17.25">
      <c r="A1309" s="7">
        <v>1308</v>
      </c>
      <c r="B1309" s="1" t="s">
        <v>6737</v>
      </c>
      <c r="C1309" s="5">
        <f>CONCATENATE("PD", TEXT(A1309, "1000000"))</f>
      </c>
      <c r="D1309" s="7">
        <v>74</v>
      </c>
      <c r="E1309" s="5">
        <f>XLOOKUP(G1309, item_category!C:C, item_category!B:B, "Not Found")</f>
      </c>
      <c r="F1309" s="1" t="s">
        <v>5520</v>
      </c>
      <c r="G1309" s="5">
        <f>XLOOKUP(I1309, drug!B:B, drug!A:A, "Not Found")</f>
      </c>
      <c r="H1309" s="1"/>
      <c r="I1309" s="7">
        <v>1</v>
      </c>
      <c r="J1309" s="5">
        <f>XLOOKUP(L1309, uom!C:C, uom!B:B, "Not Found")</f>
      </c>
      <c r="K1309" s="1" t="s">
        <v>5511</v>
      </c>
      <c r="L1309" s="5">
        <f>XLOOKUP(N1309, uom!C:C, uom!B:B, "Not Found")</f>
      </c>
      <c r="M1309" s="1" t="s">
        <v>5511</v>
      </c>
      <c r="N1309" s="8" t="s">
        <v>5512</v>
      </c>
      <c r="O1309" s="1" t="s">
        <v>5513</v>
      </c>
      <c r="P1309" s="5">
        <f>XLOOKUP(R1309, classification!C:C, classification!B:B, "Not Found")</f>
      </c>
      <c r="Q1309" s="1" t="s">
        <v>5514</v>
      </c>
      <c r="R1309" s="2"/>
      <c r="S1309" s="2"/>
      <c r="T1309" s="2"/>
      <c r="U1309" s="2"/>
    </row>
    <row x14ac:dyDescent="0.25" r="1310" customHeight="1" ht="17.25">
      <c r="A1310" s="7">
        <v>1309</v>
      </c>
      <c r="B1310" s="1" t="s">
        <v>6738</v>
      </c>
      <c r="C1310" s="5">
        <f>CONCATENATE("PD", TEXT(A1310, "1000000"))</f>
      </c>
      <c r="D1310" s="7">
        <v>74</v>
      </c>
      <c r="E1310" s="5">
        <f>XLOOKUP(G1310, item_category!C:C, item_category!B:B, "Not Found")</f>
      </c>
      <c r="F1310" s="1" t="s">
        <v>5520</v>
      </c>
      <c r="G1310" s="5">
        <f>XLOOKUP(I1310, drug!B:B, drug!A:A, "Not Found")</f>
      </c>
      <c r="H1310" s="1" t="s">
        <v>1942</v>
      </c>
      <c r="I1310" s="7">
        <v>1</v>
      </c>
      <c r="J1310" s="5">
        <f>XLOOKUP(L1310, uom!C:C, uom!B:B, "Not Found")</f>
      </c>
      <c r="K1310" s="1" t="s">
        <v>5511</v>
      </c>
      <c r="L1310" s="5">
        <f>XLOOKUP(N1310, uom!C:C, uom!B:B, "Not Found")</f>
      </c>
      <c r="M1310" s="1" t="s">
        <v>5511</v>
      </c>
      <c r="N1310" s="8" t="s">
        <v>5512</v>
      </c>
      <c r="O1310" s="1" t="s">
        <v>5513</v>
      </c>
      <c r="P1310" s="5">
        <f>XLOOKUP(R1310, classification!C:C, classification!B:B, "Not Found")</f>
      </c>
      <c r="Q1310" s="1" t="s">
        <v>5514</v>
      </c>
      <c r="R1310" s="2"/>
      <c r="S1310" s="2"/>
      <c r="T1310" s="2"/>
      <c r="U1310" s="2"/>
    </row>
    <row x14ac:dyDescent="0.25" r="1311" customHeight="1" ht="17.25">
      <c r="A1311" s="7">
        <v>1310</v>
      </c>
      <c r="B1311" s="1" t="s">
        <v>6739</v>
      </c>
      <c r="C1311" s="5">
        <f>CONCATENATE("PD", TEXT(A1311, "1000000"))</f>
      </c>
      <c r="D1311" s="7">
        <v>74</v>
      </c>
      <c r="E1311" s="5">
        <f>XLOOKUP(G1311, item_category!C:C, item_category!B:B, "Not Found")</f>
      </c>
      <c r="F1311" s="1" t="s">
        <v>5520</v>
      </c>
      <c r="G1311" s="5">
        <f>XLOOKUP(I1311, drug!B:B, drug!A:A, "Not Found")</f>
      </c>
      <c r="H1311" s="1" t="s">
        <v>1948</v>
      </c>
      <c r="I1311" s="7">
        <v>350</v>
      </c>
      <c r="J1311" s="5">
        <f>XLOOKUP(L1311, uom!C:C, uom!B:B, "Not Found")</f>
      </c>
      <c r="K1311" s="1" t="s">
        <v>5544</v>
      </c>
      <c r="L1311" s="5">
        <f>XLOOKUP(N1311, uom!C:C, uom!B:B, "Not Found")</f>
      </c>
      <c r="M1311" s="1" t="s">
        <v>5544</v>
      </c>
      <c r="N1311" s="8" t="s">
        <v>5524</v>
      </c>
      <c r="O1311" s="1" t="s">
        <v>5525</v>
      </c>
      <c r="P1311" s="5">
        <f>XLOOKUP(R1311, classification!C:C, classification!B:B, "Not Found")</f>
      </c>
      <c r="Q1311" s="1" t="s">
        <v>5514</v>
      </c>
      <c r="R1311" s="2"/>
      <c r="S1311" s="2"/>
      <c r="T1311" s="2"/>
      <c r="U1311" s="2"/>
    </row>
    <row x14ac:dyDescent="0.25" r="1312" customHeight="1" ht="17.25">
      <c r="A1312" s="7">
        <v>1311</v>
      </c>
      <c r="B1312" s="1" t="s">
        <v>6740</v>
      </c>
      <c r="C1312" s="5">
        <f>CONCATENATE("PD", TEXT(A1312, "1000000"))</f>
      </c>
      <c r="D1312" s="7">
        <v>74</v>
      </c>
      <c r="E1312" s="5">
        <f>XLOOKUP(G1312, item_category!C:C, item_category!B:B, "Not Found")</f>
      </c>
      <c r="F1312" s="1" t="s">
        <v>5520</v>
      </c>
      <c r="G1312" s="5">
        <f>XLOOKUP(I1312, drug!B:B, drug!A:A, "Not Found")</f>
      </c>
      <c r="H1312" s="1"/>
      <c r="I1312" s="7">
        <v>1</v>
      </c>
      <c r="J1312" s="5">
        <f>XLOOKUP(L1312, uom!C:C, uom!B:B, "Not Found")</f>
      </c>
      <c r="K1312" s="1" t="s">
        <v>5511</v>
      </c>
      <c r="L1312" s="5">
        <f>XLOOKUP(N1312, uom!C:C, uom!B:B, "Not Found")</f>
      </c>
      <c r="M1312" s="1" t="s">
        <v>5511</v>
      </c>
      <c r="N1312" s="8" t="s">
        <v>5512</v>
      </c>
      <c r="O1312" s="1" t="s">
        <v>5513</v>
      </c>
      <c r="P1312" s="5">
        <f>XLOOKUP(R1312, classification!C:C, classification!B:B, "Not Found")</f>
      </c>
      <c r="Q1312" s="1" t="s">
        <v>5514</v>
      </c>
      <c r="R1312" s="2"/>
      <c r="S1312" s="2"/>
      <c r="T1312" s="2"/>
      <c r="U1312" s="2"/>
    </row>
    <row x14ac:dyDescent="0.25" r="1313" customHeight="1" ht="17.25">
      <c r="A1313" s="7">
        <v>1312</v>
      </c>
      <c r="B1313" s="1" t="s">
        <v>6741</v>
      </c>
      <c r="C1313" s="5">
        <f>CONCATENATE("PD", TEXT(A1313, "1000000"))</f>
      </c>
      <c r="D1313" s="7">
        <v>74</v>
      </c>
      <c r="E1313" s="5">
        <f>XLOOKUP(G1313, item_category!C:C, item_category!B:B, "Not Found")</f>
      </c>
      <c r="F1313" s="1" t="s">
        <v>5520</v>
      </c>
      <c r="G1313" s="5">
        <f>XLOOKUP(I1313, drug!B:B, drug!A:A, "Not Found")</f>
      </c>
      <c r="H1313" s="1" t="s">
        <v>1942</v>
      </c>
      <c r="I1313" s="7">
        <v>1</v>
      </c>
      <c r="J1313" s="5">
        <f>XLOOKUP(L1313, uom!C:C, uom!B:B, "Not Found")</f>
      </c>
      <c r="K1313" s="1" t="s">
        <v>5511</v>
      </c>
      <c r="L1313" s="5">
        <f>XLOOKUP(N1313, uom!C:C, uom!B:B, "Not Found")</f>
      </c>
      <c r="M1313" s="1" t="s">
        <v>5511</v>
      </c>
      <c r="N1313" s="8" t="s">
        <v>5512</v>
      </c>
      <c r="O1313" s="1" t="s">
        <v>5513</v>
      </c>
      <c r="P1313" s="5">
        <f>XLOOKUP(R1313, classification!C:C, classification!B:B, "Not Found")</f>
      </c>
      <c r="Q1313" s="1" t="s">
        <v>5514</v>
      </c>
      <c r="R1313" s="2"/>
      <c r="S1313" s="2"/>
      <c r="T1313" s="2"/>
      <c r="U1313" s="2"/>
    </row>
    <row x14ac:dyDescent="0.25" r="1314" customHeight="1" ht="17.25">
      <c r="A1314" s="7">
        <v>1313</v>
      </c>
      <c r="B1314" s="1" t="s">
        <v>6742</v>
      </c>
      <c r="C1314" s="5">
        <f>CONCATENATE("PD", TEXT(A1314, "1000000"))</f>
      </c>
      <c r="D1314" s="7">
        <v>74</v>
      </c>
      <c r="E1314" s="5">
        <f>XLOOKUP(G1314, item_category!C:C, item_category!B:B, "Not Found")</f>
      </c>
      <c r="F1314" s="1" t="s">
        <v>5520</v>
      </c>
      <c r="G1314" s="5">
        <f>XLOOKUP(I1314, drug!B:B, drug!A:A, "Not Found")</f>
      </c>
      <c r="H1314" s="1" t="s">
        <v>1942</v>
      </c>
      <c r="I1314" s="7">
        <v>1</v>
      </c>
      <c r="J1314" s="5">
        <f>XLOOKUP(L1314, uom!C:C, uom!B:B, "Not Found")</f>
      </c>
      <c r="K1314" s="1" t="s">
        <v>5511</v>
      </c>
      <c r="L1314" s="5">
        <f>XLOOKUP(N1314, uom!C:C, uom!B:B, "Not Found")</f>
      </c>
      <c r="M1314" s="1" t="s">
        <v>5511</v>
      </c>
      <c r="N1314" s="8" t="s">
        <v>5512</v>
      </c>
      <c r="O1314" s="1" t="s">
        <v>5513</v>
      </c>
      <c r="P1314" s="5">
        <f>XLOOKUP(R1314, classification!C:C, classification!B:B, "Not Found")</f>
      </c>
      <c r="Q1314" s="1" t="s">
        <v>5514</v>
      </c>
      <c r="R1314" s="2"/>
      <c r="S1314" s="2"/>
      <c r="T1314" s="2"/>
      <c r="U1314" s="2"/>
    </row>
    <row x14ac:dyDescent="0.25" r="1315" customHeight="1" ht="17.25">
      <c r="A1315" s="7">
        <v>1314</v>
      </c>
      <c r="B1315" s="1" t="s">
        <v>6743</v>
      </c>
      <c r="C1315" s="5">
        <f>CONCATENATE("PD", TEXT(A1315, "1000000"))</f>
      </c>
      <c r="D1315" s="7">
        <v>74</v>
      </c>
      <c r="E1315" s="5">
        <f>XLOOKUP(G1315, item_category!C:C, item_category!B:B, "Not Found")</f>
      </c>
      <c r="F1315" s="1" t="s">
        <v>5520</v>
      </c>
      <c r="G1315" s="5">
        <f>XLOOKUP(I1315, drug!B:B, drug!A:A, "Not Found")</f>
      </c>
      <c r="H1315" s="1" t="s">
        <v>1942</v>
      </c>
      <c r="I1315" s="7">
        <v>1</v>
      </c>
      <c r="J1315" s="5">
        <f>XLOOKUP(L1315, uom!C:C, uom!B:B, "Not Found")</f>
      </c>
      <c r="K1315" s="1" t="s">
        <v>5511</v>
      </c>
      <c r="L1315" s="5">
        <f>XLOOKUP(N1315, uom!C:C, uom!B:B, "Not Found")</f>
      </c>
      <c r="M1315" s="1" t="s">
        <v>5511</v>
      </c>
      <c r="N1315" s="8" t="s">
        <v>5512</v>
      </c>
      <c r="O1315" s="1" t="s">
        <v>5513</v>
      </c>
      <c r="P1315" s="5">
        <f>XLOOKUP(R1315, classification!C:C, classification!B:B, "Not Found")</f>
      </c>
      <c r="Q1315" s="1" t="s">
        <v>5514</v>
      </c>
      <c r="R1315" s="2"/>
      <c r="S1315" s="2"/>
      <c r="T1315" s="2"/>
      <c r="U1315" s="2"/>
    </row>
    <row x14ac:dyDescent="0.25" r="1316" customHeight="1" ht="17.25">
      <c r="A1316" s="7">
        <v>1315</v>
      </c>
      <c r="B1316" s="1" t="s">
        <v>6744</v>
      </c>
      <c r="C1316" s="5">
        <f>CONCATENATE("PD", TEXT(A1316, "1000000"))</f>
      </c>
      <c r="D1316" s="7">
        <v>74</v>
      </c>
      <c r="E1316" s="5">
        <f>XLOOKUP(G1316, item_category!C:C, item_category!B:B, "Not Found")</f>
      </c>
      <c r="F1316" s="1" t="s">
        <v>5520</v>
      </c>
      <c r="G1316" s="5">
        <f>XLOOKUP(I1316, drug!B:B, drug!A:A, "Not Found")</f>
      </c>
      <c r="H1316" s="1" t="s">
        <v>510</v>
      </c>
      <c r="I1316" s="7">
        <v>1</v>
      </c>
      <c r="J1316" s="5">
        <f>XLOOKUP(L1316, uom!C:C, uom!B:B, "Not Found")</f>
      </c>
      <c r="K1316" s="1" t="s">
        <v>5511</v>
      </c>
      <c r="L1316" s="5">
        <f>XLOOKUP(N1316, uom!C:C, uom!B:B, "Not Found")</f>
      </c>
      <c r="M1316" s="1" t="s">
        <v>5511</v>
      </c>
      <c r="N1316" s="8" t="s">
        <v>5512</v>
      </c>
      <c r="O1316" s="1" t="s">
        <v>5513</v>
      </c>
      <c r="P1316" s="5">
        <f>XLOOKUP(R1316, classification!C:C, classification!B:B, "Not Found")</f>
      </c>
      <c r="Q1316" s="1" t="s">
        <v>5514</v>
      </c>
      <c r="R1316" s="2"/>
      <c r="S1316" s="2"/>
      <c r="T1316" s="2"/>
      <c r="U1316" s="2"/>
    </row>
    <row x14ac:dyDescent="0.25" r="1317" customHeight="1" ht="17.25">
      <c r="A1317" s="7">
        <v>1316</v>
      </c>
      <c r="B1317" s="1" t="s">
        <v>6745</v>
      </c>
      <c r="C1317" s="5">
        <f>CONCATENATE("PD", TEXT(A1317, "1000000"))</f>
      </c>
      <c r="D1317" s="7">
        <v>74</v>
      </c>
      <c r="E1317" s="5">
        <f>XLOOKUP(G1317, item_category!C:C, item_category!B:B, "Not Found")</f>
      </c>
      <c r="F1317" s="1" t="s">
        <v>5520</v>
      </c>
      <c r="G1317" s="5">
        <f>XLOOKUP(I1317, drug!B:B, drug!A:A, "Not Found")</f>
      </c>
      <c r="H1317" s="1"/>
      <c r="I1317" s="7">
        <v>1</v>
      </c>
      <c r="J1317" s="5">
        <f>XLOOKUP(L1317, uom!C:C, uom!B:B, "Not Found")</f>
      </c>
      <c r="K1317" s="1" t="s">
        <v>5511</v>
      </c>
      <c r="L1317" s="5">
        <f>XLOOKUP(N1317, uom!C:C, uom!B:B, "Not Found")</f>
      </c>
      <c r="M1317" s="1" t="s">
        <v>5511</v>
      </c>
      <c r="N1317" s="8" t="s">
        <v>5512</v>
      </c>
      <c r="O1317" s="1" t="s">
        <v>5513</v>
      </c>
      <c r="P1317" s="5">
        <f>XLOOKUP(R1317, classification!C:C, classification!B:B, "Not Found")</f>
      </c>
      <c r="Q1317" s="1" t="s">
        <v>5514</v>
      </c>
      <c r="R1317" s="2"/>
      <c r="S1317" s="2"/>
      <c r="T1317" s="2"/>
      <c r="U1317" s="2"/>
    </row>
    <row x14ac:dyDescent="0.25" r="1318" customHeight="1" ht="17.25">
      <c r="A1318" s="7">
        <v>1317</v>
      </c>
      <c r="B1318" s="1" t="s">
        <v>6746</v>
      </c>
      <c r="C1318" s="5">
        <f>CONCATENATE("PD", TEXT(A1318, "1000000"))</f>
      </c>
      <c r="D1318" s="7">
        <v>74</v>
      </c>
      <c r="E1318" s="5">
        <f>XLOOKUP(G1318, item_category!C:C, item_category!B:B, "Not Found")</f>
      </c>
      <c r="F1318" s="1" t="s">
        <v>5520</v>
      </c>
      <c r="G1318" s="5">
        <f>XLOOKUP(I1318, drug!B:B, drug!A:A, "Not Found")</f>
      </c>
      <c r="H1318" s="1"/>
      <c r="I1318" s="7">
        <v>1</v>
      </c>
      <c r="J1318" s="5">
        <f>XLOOKUP(L1318, uom!C:C, uom!B:B, "Not Found")</f>
      </c>
      <c r="K1318" s="1" t="s">
        <v>5511</v>
      </c>
      <c r="L1318" s="5">
        <f>XLOOKUP(N1318, uom!C:C, uom!B:B, "Not Found")</f>
      </c>
      <c r="M1318" s="1" t="s">
        <v>5511</v>
      </c>
      <c r="N1318" s="8" t="s">
        <v>5512</v>
      </c>
      <c r="O1318" s="1" t="s">
        <v>5513</v>
      </c>
      <c r="P1318" s="5">
        <f>XLOOKUP(R1318, classification!C:C, classification!B:B, "Not Found")</f>
      </c>
      <c r="Q1318" s="1" t="s">
        <v>5514</v>
      </c>
      <c r="R1318" s="2"/>
      <c r="S1318" s="2"/>
      <c r="T1318" s="2"/>
      <c r="U1318" s="2"/>
    </row>
    <row x14ac:dyDescent="0.25" r="1319" customHeight="1" ht="17.25">
      <c r="A1319" s="7">
        <v>1318</v>
      </c>
      <c r="B1319" s="1" t="s">
        <v>6747</v>
      </c>
      <c r="C1319" s="5">
        <f>CONCATENATE("PD", TEXT(A1319, "1000000"))</f>
      </c>
      <c r="D1319" s="7">
        <v>74</v>
      </c>
      <c r="E1319" s="5">
        <f>XLOOKUP(G1319, item_category!C:C, item_category!B:B, "Not Found")</f>
      </c>
      <c r="F1319" s="1" t="s">
        <v>5520</v>
      </c>
      <c r="G1319" s="5">
        <f>XLOOKUP(I1319, drug!B:B, drug!A:A, "Not Found")</f>
      </c>
      <c r="H1319" s="1"/>
      <c r="I1319" s="7">
        <v>1</v>
      </c>
      <c r="J1319" s="5">
        <f>XLOOKUP(L1319, uom!C:C, uom!B:B, "Not Found")</f>
      </c>
      <c r="K1319" s="1" t="s">
        <v>5511</v>
      </c>
      <c r="L1319" s="5">
        <f>XLOOKUP(N1319, uom!C:C, uom!B:B, "Not Found")</f>
      </c>
      <c r="M1319" s="1" t="s">
        <v>5511</v>
      </c>
      <c r="N1319" s="8" t="s">
        <v>5512</v>
      </c>
      <c r="O1319" s="1" t="s">
        <v>5513</v>
      </c>
      <c r="P1319" s="5">
        <f>XLOOKUP(R1319, classification!C:C, classification!B:B, "Not Found")</f>
      </c>
      <c r="Q1319" s="1" t="s">
        <v>5514</v>
      </c>
      <c r="R1319" s="2"/>
      <c r="S1319" s="2"/>
      <c r="T1319" s="2"/>
      <c r="U1319" s="2"/>
    </row>
    <row x14ac:dyDescent="0.25" r="1320" customHeight="1" ht="17.25">
      <c r="A1320" s="7">
        <v>1319</v>
      </c>
      <c r="B1320" s="1" t="s">
        <v>6748</v>
      </c>
      <c r="C1320" s="5">
        <f>CONCATENATE("PD", TEXT(A1320, "1000000"))</f>
      </c>
      <c r="D1320" s="7">
        <v>74</v>
      </c>
      <c r="E1320" s="5">
        <f>XLOOKUP(G1320, item_category!C:C, item_category!B:B, "Not Found")</f>
      </c>
      <c r="F1320" s="1" t="s">
        <v>5520</v>
      </c>
      <c r="G1320" s="5">
        <f>XLOOKUP(I1320, drug!B:B, drug!A:A, "Not Found")</f>
      </c>
      <c r="H1320" s="1"/>
      <c r="I1320" s="7">
        <v>1</v>
      </c>
      <c r="J1320" s="5">
        <f>XLOOKUP(L1320, uom!C:C, uom!B:B, "Not Found")</f>
      </c>
      <c r="K1320" s="1" t="s">
        <v>5511</v>
      </c>
      <c r="L1320" s="5">
        <f>XLOOKUP(N1320, uom!C:C, uom!B:B, "Not Found")</f>
      </c>
      <c r="M1320" s="1" t="s">
        <v>5511</v>
      </c>
      <c r="N1320" s="8" t="s">
        <v>5512</v>
      </c>
      <c r="O1320" s="1" t="s">
        <v>5513</v>
      </c>
      <c r="P1320" s="5">
        <f>XLOOKUP(R1320, classification!C:C, classification!B:B, "Not Found")</f>
      </c>
      <c r="Q1320" s="1" t="s">
        <v>5514</v>
      </c>
      <c r="R1320" s="2"/>
      <c r="S1320" s="2"/>
      <c r="T1320" s="2"/>
      <c r="U1320" s="2"/>
    </row>
    <row x14ac:dyDescent="0.25" r="1321" customHeight="1" ht="17.25">
      <c r="A1321" s="7">
        <v>1320</v>
      </c>
      <c r="B1321" s="1" t="s">
        <v>6749</v>
      </c>
      <c r="C1321" s="5">
        <f>CONCATENATE("PD", TEXT(A1321, "1000000"))</f>
      </c>
      <c r="D1321" s="7">
        <v>74</v>
      </c>
      <c r="E1321" s="5">
        <f>XLOOKUP(G1321, item_category!C:C, item_category!B:B, "Not Found")</f>
      </c>
      <c r="F1321" s="1" t="s">
        <v>5520</v>
      </c>
      <c r="G1321" s="5">
        <f>XLOOKUP(I1321, drug!B:B, drug!A:A, "Not Found")</f>
      </c>
      <c r="H1321" s="1"/>
      <c r="I1321" s="7">
        <v>1</v>
      </c>
      <c r="J1321" s="5">
        <f>XLOOKUP(L1321, uom!C:C, uom!B:B, "Not Found")</f>
      </c>
      <c r="K1321" s="1" t="s">
        <v>5511</v>
      </c>
      <c r="L1321" s="5">
        <f>XLOOKUP(N1321, uom!C:C, uom!B:B, "Not Found")</f>
      </c>
      <c r="M1321" s="1" t="s">
        <v>5511</v>
      </c>
      <c r="N1321" s="8" t="s">
        <v>5512</v>
      </c>
      <c r="O1321" s="1" t="s">
        <v>5513</v>
      </c>
      <c r="P1321" s="5">
        <f>XLOOKUP(R1321, classification!C:C, classification!B:B, "Not Found")</f>
      </c>
      <c r="Q1321" s="1" t="s">
        <v>5514</v>
      </c>
      <c r="R1321" s="2"/>
      <c r="S1321" s="2"/>
      <c r="T1321" s="2"/>
      <c r="U1321" s="2"/>
    </row>
    <row x14ac:dyDescent="0.25" r="1322" customHeight="1" ht="17.25">
      <c r="A1322" s="7">
        <v>1321</v>
      </c>
      <c r="B1322" s="1" t="s">
        <v>6750</v>
      </c>
      <c r="C1322" s="5">
        <f>CONCATENATE("PD", TEXT(A1322, "1000000"))</f>
      </c>
      <c r="D1322" s="7">
        <v>74</v>
      </c>
      <c r="E1322" s="5">
        <f>XLOOKUP(G1322, item_category!C:C, item_category!B:B, "Not Found")</f>
      </c>
      <c r="F1322" s="1" t="s">
        <v>5520</v>
      </c>
      <c r="G1322" s="5">
        <f>XLOOKUP(I1322, drug!B:B, drug!A:A, "Not Found")</f>
      </c>
      <c r="H1322" s="1"/>
      <c r="I1322" s="7">
        <v>1</v>
      </c>
      <c r="J1322" s="5">
        <f>XLOOKUP(L1322, uom!C:C, uom!B:B, "Not Found")</f>
      </c>
      <c r="K1322" s="1" t="s">
        <v>5511</v>
      </c>
      <c r="L1322" s="5">
        <f>XLOOKUP(N1322, uom!C:C, uom!B:B, "Not Found")</f>
      </c>
      <c r="M1322" s="1" t="s">
        <v>5511</v>
      </c>
      <c r="N1322" s="8" t="s">
        <v>5512</v>
      </c>
      <c r="O1322" s="1" t="s">
        <v>5513</v>
      </c>
      <c r="P1322" s="5">
        <f>XLOOKUP(R1322, classification!C:C, classification!B:B, "Not Found")</f>
      </c>
      <c r="Q1322" s="1" t="s">
        <v>5514</v>
      </c>
      <c r="R1322" s="2"/>
      <c r="S1322" s="2"/>
      <c r="T1322" s="2"/>
      <c r="U1322" s="2"/>
    </row>
    <row x14ac:dyDescent="0.25" r="1323" customHeight="1" ht="17.25">
      <c r="A1323" s="7">
        <v>1322</v>
      </c>
      <c r="B1323" s="1" t="s">
        <v>6751</v>
      </c>
      <c r="C1323" s="5">
        <f>CONCATENATE("PD", TEXT(A1323, "1000000"))</f>
      </c>
      <c r="D1323" s="7">
        <v>74</v>
      </c>
      <c r="E1323" s="5">
        <f>XLOOKUP(G1323, item_category!C:C, item_category!B:B, "Not Found")</f>
      </c>
      <c r="F1323" s="1" t="s">
        <v>5520</v>
      </c>
      <c r="G1323" s="5">
        <f>XLOOKUP(I1323, drug!B:B, drug!A:A, "Not Found")</f>
      </c>
      <c r="H1323" s="1"/>
      <c r="I1323" s="7">
        <v>1</v>
      </c>
      <c r="J1323" s="5">
        <f>XLOOKUP(L1323, uom!C:C, uom!B:B, "Not Found")</f>
      </c>
      <c r="K1323" s="1" t="s">
        <v>5511</v>
      </c>
      <c r="L1323" s="5">
        <f>XLOOKUP(N1323, uom!C:C, uom!B:B, "Not Found")</f>
      </c>
      <c r="M1323" s="1" t="s">
        <v>5511</v>
      </c>
      <c r="N1323" s="8" t="s">
        <v>5512</v>
      </c>
      <c r="O1323" s="1" t="s">
        <v>5513</v>
      </c>
      <c r="P1323" s="5">
        <f>XLOOKUP(R1323, classification!C:C, classification!B:B, "Not Found")</f>
      </c>
      <c r="Q1323" s="1" t="s">
        <v>5514</v>
      </c>
      <c r="R1323" s="2"/>
      <c r="S1323" s="2"/>
      <c r="T1323" s="2"/>
      <c r="U1323" s="2"/>
    </row>
    <row x14ac:dyDescent="0.25" r="1324" customHeight="1" ht="17.25">
      <c r="A1324" s="7">
        <v>1323</v>
      </c>
      <c r="B1324" s="1" t="s">
        <v>6752</v>
      </c>
      <c r="C1324" s="5">
        <f>CONCATENATE("PD", TEXT(A1324, "1000000"))</f>
      </c>
      <c r="D1324" s="7">
        <v>74</v>
      </c>
      <c r="E1324" s="5">
        <f>XLOOKUP(G1324, item_category!C:C, item_category!B:B, "Not Found")</f>
      </c>
      <c r="F1324" s="1" t="s">
        <v>5520</v>
      </c>
      <c r="G1324" s="5">
        <f>XLOOKUP(I1324, drug!B:B, drug!A:A, "Not Found")</f>
      </c>
      <c r="H1324" s="1"/>
      <c r="I1324" s="7">
        <v>1</v>
      </c>
      <c r="J1324" s="5">
        <f>XLOOKUP(L1324, uom!C:C, uom!B:B, "Not Found")</f>
      </c>
      <c r="K1324" s="1" t="s">
        <v>5511</v>
      </c>
      <c r="L1324" s="5">
        <f>XLOOKUP(N1324, uom!C:C, uom!B:B, "Not Found")</f>
      </c>
      <c r="M1324" s="1" t="s">
        <v>5511</v>
      </c>
      <c r="N1324" s="8" t="s">
        <v>5512</v>
      </c>
      <c r="O1324" s="1" t="s">
        <v>5513</v>
      </c>
      <c r="P1324" s="5">
        <f>XLOOKUP(R1324, classification!C:C, classification!B:B, "Not Found")</f>
      </c>
      <c r="Q1324" s="1" t="s">
        <v>5514</v>
      </c>
      <c r="R1324" s="2"/>
      <c r="S1324" s="2"/>
      <c r="T1324" s="2"/>
      <c r="U1324" s="2"/>
    </row>
    <row x14ac:dyDescent="0.25" r="1325" customHeight="1" ht="17.25">
      <c r="A1325" s="7">
        <v>1324</v>
      </c>
      <c r="B1325" s="1" t="s">
        <v>6753</v>
      </c>
      <c r="C1325" s="5">
        <f>CONCATENATE("PD", TEXT(A1325, "1000000"))</f>
      </c>
      <c r="D1325" s="7">
        <v>74</v>
      </c>
      <c r="E1325" s="5">
        <f>XLOOKUP(G1325, item_category!C:C, item_category!B:B, "Not Found")</f>
      </c>
      <c r="F1325" s="1" t="s">
        <v>5520</v>
      </c>
      <c r="G1325" s="5">
        <f>XLOOKUP(I1325, drug!B:B, drug!A:A, "Not Found")</f>
      </c>
      <c r="H1325" s="1"/>
      <c r="I1325" s="7">
        <v>1</v>
      </c>
      <c r="J1325" s="5">
        <f>XLOOKUP(L1325, uom!C:C, uom!B:B, "Not Found")</f>
      </c>
      <c r="K1325" s="1" t="s">
        <v>5511</v>
      </c>
      <c r="L1325" s="5">
        <f>XLOOKUP(N1325, uom!C:C, uom!B:B, "Not Found")</f>
      </c>
      <c r="M1325" s="1" t="s">
        <v>5511</v>
      </c>
      <c r="N1325" s="8" t="s">
        <v>5512</v>
      </c>
      <c r="O1325" s="1" t="s">
        <v>5513</v>
      </c>
      <c r="P1325" s="5">
        <f>XLOOKUP(R1325, classification!C:C, classification!B:B, "Not Found")</f>
      </c>
      <c r="Q1325" s="1" t="s">
        <v>5514</v>
      </c>
      <c r="R1325" s="2"/>
      <c r="S1325" s="2"/>
      <c r="T1325" s="2"/>
      <c r="U1325" s="2"/>
    </row>
    <row x14ac:dyDescent="0.25" r="1326" customHeight="1" ht="17.25">
      <c r="A1326" s="7">
        <v>1325</v>
      </c>
      <c r="B1326" s="1" t="s">
        <v>6754</v>
      </c>
      <c r="C1326" s="5">
        <f>CONCATENATE("PD", TEXT(A1326, "1000000"))</f>
      </c>
      <c r="D1326" s="7">
        <v>5</v>
      </c>
      <c r="E1326" s="5">
        <f>XLOOKUP(G1326, item_category!C:C, item_category!B:B, "Not Found")</f>
      </c>
      <c r="F1326" s="1" t="s">
        <v>5533</v>
      </c>
      <c r="G1326" s="5">
        <f>XLOOKUP(I1326, drug!B:B, drug!A:A, "Not Found")</f>
      </c>
      <c r="H1326" s="1"/>
      <c r="I1326" s="7">
        <v>150</v>
      </c>
      <c r="J1326" s="5">
        <f>XLOOKUP(L1326, uom!C:C, uom!B:B, "Not Found")</f>
      </c>
      <c r="K1326" s="1" t="s">
        <v>5511</v>
      </c>
      <c r="L1326" s="5">
        <f>XLOOKUP(N1326, uom!C:C, uom!B:B, "Not Found")</f>
      </c>
      <c r="M1326" s="1" t="s">
        <v>5511</v>
      </c>
      <c r="N1326" s="8" t="s">
        <v>5512</v>
      </c>
      <c r="O1326" s="1" t="s">
        <v>5513</v>
      </c>
      <c r="P1326" s="5">
        <f>XLOOKUP(R1326, classification!C:C, classification!B:B, "Not Found")</f>
      </c>
      <c r="Q1326" s="1" t="s">
        <v>5514</v>
      </c>
      <c r="R1326" s="2"/>
      <c r="S1326" s="2"/>
      <c r="T1326" s="2"/>
      <c r="U1326" s="2"/>
    </row>
    <row x14ac:dyDescent="0.25" r="1327" customHeight="1" ht="17.25">
      <c r="A1327" s="7">
        <v>1326</v>
      </c>
      <c r="B1327" s="1" t="s">
        <v>6755</v>
      </c>
      <c r="C1327" s="5">
        <f>CONCATENATE("PD", TEXT(A1327, "1000000"))</f>
      </c>
      <c r="D1327" s="7">
        <v>74</v>
      </c>
      <c r="E1327" s="5">
        <f>XLOOKUP(G1327, item_category!C:C, item_category!B:B, "Not Found")</f>
      </c>
      <c r="F1327" s="1" t="s">
        <v>5520</v>
      </c>
      <c r="G1327" s="5">
        <f>XLOOKUP(I1327, drug!B:B, drug!A:A, "Not Found")</f>
      </c>
      <c r="H1327" s="1"/>
      <c r="I1327" s="7">
        <v>1</v>
      </c>
      <c r="J1327" s="5">
        <f>XLOOKUP(L1327, uom!C:C, uom!B:B, "Not Found")</f>
      </c>
      <c r="K1327" s="1" t="s">
        <v>5511</v>
      </c>
      <c r="L1327" s="5">
        <f>XLOOKUP(N1327, uom!C:C, uom!B:B, "Not Found")</f>
      </c>
      <c r="M1327" s="1" t="s">
        <v>5511</v>
      </c>
      <c r="N1327" s="8" t="s">
        <v>5512</v>
      </c>
      <c r="O1327" s="1" t="s">
        <v>5513</v>
      </c>
      <c r="P1327" s="5">
        <f>XLOOKUP(R1327, classification!C:C, classification!B:B, "Not Found")</f>
      </c>
      <c r="Q1327" s="1" t="s">
        <v>5514</v>
      </c>
      <c r="R1327" s="2"/>
      <c r="S1327" s="2"/>
      <c r="T1327" s="2"/>
      <c r="U1327" s="2"/>
    </row>
    <row x14ac:dyDescent="0.25" r="1328" customHeight="1" ht="17.25">
      <c r="A1328" s="7">
        <v>1327</v>
      </c>
      <c r="B1328" s="1" t="s">
        <v>6756</v>
      </c>
      <c r="C1328" s="5">
        <f>CONCATENATE("PD", TEXT(A1328, "1000000"))</f>
      </c>
      <c r="D1328" s="7">
        <v>74</v>
      </c>
      <c r="E1328" s="5">
        <f>XLOOKUP(G1328, item_category!C:C, item_category!B:B, "Not Found")</f>
      </c>
      <c r="F1328" s="1" t="s">
        <v>5520</v>
      </c>
      <c r="G1328" s="5">
        <f>XLOOKUP(I1328, drug!B:B, drug!A:A, "Not Found")</f>
      </c>
      <c r="H1328" s="1"/>
      <c r="I1328" s="7">
        <v>1</v>
      </c>
      <c r="J1328" s="5">
        <f>XLOOKUP(L1328, uom!C:C, uom!B:B, "Not Found")</f>
      </c>
      <c r="K1328" s="1" t="s">
        <v>5511</v>
      </c>
      <c r="L1328" s="5">
        <f>XLOOKUP(N1328, uom!C:C, uom!B:B, "Not Found")</f>
      </c>
      <c r="M1328" s="1" t="s">
        <v>5511</v>
      </c>
      <c r="N1328" s="8" t="s">
        <v>5512</v>
      </c>
      <c r="O1328" s="1" t="s">
        <v>5513</v>
      </c>
      <c r="P1328" s="5">
        <f>XLOOKUP(R1328, classification!C:C, classification!B:B, "Not Found")</f>
      </c>
      <c r="Q1328" s="1" t="s">
        <v>5514</v>
      </c>
      <c r="R1328" s="2"/>
      <c r="S1328" s="2"/>
      <c r="T1328" s="2"/>
      <c r="U1328" s="2"/>
    </row>
    <row x14ac:dyDescent="0.25" r="1329" customHeight="1" ht="17.25">
      <c r="A1329" s="7">
        <v>1328</v>
      </c>
      <c r="B1329" s="1" t="s">
        <v>6757</v>
      </c>
      <c r="C1329" s="5">
        <f>CONCATENATE("PD", TEXT(A1329, "1000000"))</f>
      </c>
      <c r="D1329" s="7">
        <v>74</v>
      </c>
      <c r="E1329" s="5">
        <f>XLOOKUP(G1329, item_category!C:C, item_category!B:B, "Not Found")</f>
      </c>
      <c r="F1329" s="1" t="s">
        <v>5520</v>
      </c>
      <c r="G1329" s="5">
        <f>XLOOKUP(I1329, drug!B:B, drug!A:A, "Not Found")</f>
      </c>
      <c r="H1329" s="1"/>
      <c r="I1329" s="7">
        <v>1</v>
      </c>
      <c r="J1329" s="5">
        <f>XLOOKUP(L1329, uom!C:C, uom!B:B, "Not Found")</f>
      </c>
      <c r="K1329" s="1" t="s">
        <v>5511</v>
      </c>
      <c r="L1329" s="5">
        <f>XLOOKUP(N1329, uom!C:C, uom!B:B, "Not Found")</f>
      </c>
      <c r="M1329" s="1" t="s">
        <v>5511</v>
      </c>
      <c r="N1329" s="8" t="s">
        <v>5512</v>
      </c>
      <c r="O1329" s="1" t="s">
        <v>5513</v>
      </c>
      <c r="P1329" s="5">
        <f>XLOOKUP(R1329, classification!C:C, classification!B:B, "Not Found")</f>
      </c>
      <c r="Q1329" s="1" t="s">
        <v>5514</v>
      </c>
      <c r="R1329" s="2"/>
      <c r="S1329" s="2"/>
      <c r="T1329" s="2"/>
      <c r="U1329" s="2"/>
    </row>
    <row x14ac:dyDescent="0.25" r="1330" customHeight="1" ht="17.25">
      <c r="A1330" s="7">
        <v>1329</v>
      </c>
      <c r="B1330" s="1" t="s">
        <v>6758</v>
      </c>
      <c r="C1330" s="5">
        <f>CONCATENATE("PD", TEXT(A1330, "1000000"))</f>
      </c>
      <c r="D1330" s="7">
        <v>74</v>
      </c>
      <c r="E1330" s="5">
        <f>XLOOKUP(G1330, item_category!C:C, item_category!B:B, "Not Found")</f>
      </c>
      <c r="F1330" s="1" t="s">
        <v>5520</v>
      </c>
      <c r="G1330" s="5">
        <f>XLOOKUP(I1330, drug!B:B, drug!A:A, "Not Found")</f>
      </c>
      <c r="H1330" s="1"/>
      <c r="I1330" s="7">
        <v>1</v>
      </c>
      <c r="J1330" s="5">
        <f>XLOOKUP(L1330, uom!C:C, uom!B:B, "Not Found")</f>
      </c>
      <c r="K1330" s="1" t="s">
        <v>5511</v>
      </c>
      <c r="L1330" s="5">
        <f>XLOOKUP(N1330, uom!C:C, uom!B:B, "Not Found")</f>
      </c>
      <c r="M1330" s="1" t="s">
        <v>5511</v>
      </c>
      <c r="N1330" s="8" t="s">
        <v>5512</v>
      </c>
      <c r="O1330" s="1" t="s">
        <v>5513</v>
      </c>
      <c r="P1330" s="5">
        <f>XLOOKUP(R1330, classification!C:C, classification!B:B, "Not Found")</f>
      </c>
      <c r="Q1330" s="1" t="s">
        <v>5514</v>
      </c>
      <c r="R1330" s="2"/>
      <c r="S1330" s="2"/>
      <c r="T1330" s="2"/>
      <c r="U1330" s="2"/>
    </row>
    <row x14ac:dyDescent="0.25" r="1331" customHeight="1" ht="17.25">
      <c r="A1331" s="7">
        <v>1330</v>
      </c>
      <c r="B1331" s="1" t="s">
        <v>6759</v>
      </c>
      <c r="C1331" s="5">
        <f>CONCATENATE("PD", TEXT(A1331, "1000000"))</f>
      </c>
      <c r="D1331" s="7">
        <v>74</v>
      </c>
      <c r="E1331" s="5">
        <f>XLOOKUP(G1331, item_category!C:C, item_category!B:B, "Not Found")</f>
      </c>
      <c r="F1331" s="1" t="s">
        <v>5520</v>
      </c>
      <c r="G1331" s="5">
        <f>XLOOKUP(I1331, drug!B:B, drug!A:A, "Not Found")</f>
      </c>
      <c r="H1331" s="1"/>
      <c r="I1331" s="7">
        <v>1</v>
      </c>
      <c r="J1331" s="5">
        <f>XLOOKUP(L1331, uom!C:C, uom!B:B, "Not Found")</f>
      </c>
      <c r="K1331" s="1" t="s">
        <v>5511</v>
      </c>
      <c r="L1331" s="5">
        <f>XLOOKUP(N1331, uom!C:C, uom!B:B, "Not Found")</f>
      </c>
      <c r="M1331" s="1" t="s">
        <v>5511</v>
      </c>
      <c r="N1331" s="8" t="s">
        <v>5512</v>
      </c>
      <c r="O1331" s="1" t="s">
        <v>5513</v>
      </c>
      <c r="P1331" s="5">
        <f>XLOOKUP(R1331, classification!C:C, classification!B:B, "Not Found")</f>
      </c>
      <c r="Q1331" s="1" t="s">
        <v>5514</v>
      </c>
      <c r="R1331" s="2"/>
      <c r="S1331" s="2"/>
      <c r="T1331" s="2"/>
      <c r="U1331" s="2"/>
    </row>
    <row x14ac:dyDescent="0.25" r="1332" customHeight="1" ht="17.25">
      <c r="A1332" s="7">
        <v>1331</v>
      </c>
      <c r="B1332" s="1" t="s">
        <v>6760</v>
      </c>
      <c r="C1332" s="5">
        <f>CONCATENATE("PD", TEXT(A1332, "1000000"))</f>
      </c>
      <c r="D1332" s="7">
        <v>74</v>
      </c>
      <c r="E1332" s="5">
        <f>XLOOKUP(G1332, item_category!C:C, item_category!B:B, "Not Found")</f>
      </c>
      <c r="F1332" s="1" t="s">
        <v>5520</v>
      </c>
      <c r="G1332" s="5">
        <f>XLOOKUP(I1332, drug!B:B, drug!A:A, "Not Found")</f>
      </c>
      <c r="H1332" s="1" t="s">
        <v>737</v>
      </c>
      <c r="I1332" s="7">
        <v>1</v>
      </c>
      <c r="J1332" s="5">
        <f>XLOOKUP(L1332, uom!C:C, uom!B:B, "Not Found")</f>
      </c>
      <c r="K1332" s="1" t="s">
        <v>5511</v>
      </c>
      <c r="L1332" s="5">
        <f>XLOOKUP(N1332, uom!C:C, uom!B:B, "Not Found")</f>
      </c>
      <c r="M1332" s="1" t="s">
        <v>5511</v>
      </c>
      <c r="N1332" s="8" t="s">
        <v>5512</v>
      </c>
      <c r="O1332" s="1" t="s">
        <v>5513</v>
      </c>
      <c r="P1332" s="5">
        <f>XLOOKUP(R1332, classification!C:C, classification!B:B, "Not Found")</f>
      </c>
      <c r="Q1332" s="1" t="s">
        <v>5514</v>
      </c>
      <c r="R1332" s="2"/>
      <c r="S1332" s="2"/>
      <c r="T1332" s="2"/>
      <c r="U1332" s="2"/>
    </row>
    <row x14ac:dyDescent="0.25" r="1333" customHeight="1" ht="17.25">
      <c r="A1333" s="7">
        <v>1332</v>
      </c>
      <c r="B1333" s="1" t="s">
        <v>6761</v>
      </c>
      <c r="C1333" s="5">
        <f>CONCATENATE("PD", TEXT(A1333, "1000000"))</f>
      </c>
      <c r="D1333" s="7">
        <v>74</v>
      </c>
      <c r="E1333" s="5">
        <f>XLOOKUP(G1333, item_category!C:C, item_category!B:B, "Not Found")</f>
      </c>
      <c r="F1333" s="1" t="s">
        <v>5520</v>
      </c>
      <c r="G1333" s="5">
        <f>XLOOKUP(I1333, drug!B:B, drug!A:A, "Not Found")</f>
      </c>
      <c r="H1333" s="1"/>
      <c r="I1333" s="7">
        <v>1</v>
      </c>
      <c r="J1333" s="5">
        <f>XLOOKUP(L1333, uom!C:C, uom!B:B, "Not Found")</f>
      </c>
      <c r="K1333" s="1" t="s">
        <v>5511</v>
      </c>
      <c r="L1333" s="5">
        <f>XLOOKUP(N1333, uom!C:C, uom!B:B, "Not Found")</f>
      </c>
      <c r="M1333" s="1" t="s">
        <v>5511</v>
      </c>
      <c r="N1333" s="8" t="s">
        <v>5512</v>
      </c>
      <c r="O1333" s="1" t="s">
        <v>5513</v>
      </c>
      <c r="P1333" s="5">
        <f>XLOOKUP(R1333, classification!C:C, classification!B:B, "Not Found")</f>
      </c>
      <c r="Q1333" s="1" t="s">
        <v>5514</v>
      </c>
      <c r="R1333" s="2"/>
      <c r="S1333" s="2"/>
      <c r="T1333" s="2"/>
      <c r="U1333" s="2"/>
    </row>
    <row x14ac:dyDescent="0.25" r="1334" customHeight="1" ht="17.25">
      <c r="A1334" s="7">
        <v>1333</v>
      </c>
      <c r="B1334" s="1" t="s">
        <v>6762</v>
      </c>
      <c r="C1334" s="5">
        <f>CONCATENATE("PD", TEXT(A1334, "1000000"))</f>
      </c>
      <c r="D1334" s="7">
        <v>74</v>
      </c>
      <c r="E1334" s="5">
        <f>XLOOKUP(G1334, item_category!C:C, item_category!B:B, "Not Found")</f>
      </c>
      <c r="F1334" s="1" t="s">
        <v>5520</v>
      </c>
      <c r="G1334" s="5">
        <f>XLOOKUP(I1334, drug!B:B, drug!A:A, "Not Found")</f>
      </c>
      <c r="H1334" s="1" t="s">
        <v>1630</v>
      </c>
      <c r="I1334" s="7">
        <v>1</v>
      </c>
      <c r="J1334" s="5">
        <f>XLOOKUP(L1334, uom!C:C, uom!B:B, "Not Found")</f>
      </c>
      <c r="K1334" s="1" t="s">
        <v>5511</v>
      </c>
      <c r="L1334" s="5">
        <f>XLOOKUP(N1334, uom!C:C, uom!B:B, "Not Found")</f>
      </c>
      <c r="M1334" s="1" t="s">
        <v>5511</v>
      </c>
      <c r="N1334" s="8" t="s">
        <v>5512</v>
      </c>
      <c r="O1334" s="1" t="s">
        <v>5513</v>
      </c>
      <c r="P1334" s="5">
        <f>XLOOKUP(R1334, classification!C:C, classification!B:B, "Not Found")</f>
      </c>
      <c r="Q1334" s="1" t="s">
        <v>5514</v>
      </c>
      <c r="R1334" s="2"/>
      <c r="S1334" s="2"/>
      <c r="T1334" s="2"/>
      <c r="U1334" s="2"/>
    </row>
    <row x14ac:dyDescent="0.25" r="1335" customHeight="1" ht="17.25">
      <c r="A1335" s="7">
        <v>1334</v>
      </c>
      <c r="B1335" s="1" t="s">
        <v>6763</v>
      </c>
      <c r="C1335" s="5">
        <f>CONCATENATE("PD", TEXT(A1335, "1000000"))</f>
      </c>
      <c r="D1335" s="7">
        <v>74</v>
      </c>
      <c r="E1335" s="5">
        <f>XLOOKUP(G1335, item_category!C:C, item_category!B:B, "Not Found")</f>
      </c>
      <c r="F1335" s="1" t="s">
        <v>5520</v>
      </c>
      <c r="G1335" s="5">
        <f>XLOOKUP(I1335, drug!B:B, drug!A:A, "Not Found")</f>
      </c>
      <c r="H1335" s="1"/>
      <c r="I1335" s="7">
        <v>1</v>
      </c>
      <c r="J1335" s="5">
        <f>XLOOKUP(L1335, uom!C:C, uom!B:B, "Not Found")</f>
      </c>
      <c r="K1335" s="1" t="s">
        <v>5511</v>
      </c>
      <c r="L1335" s="5">
        <f>XLOOKUP(N1335, uom!C:C, uom!B:B, "Not Found")</f>
      </c>
      <c r="M1335" s="1" t="s">
        <v>5511</v>
      </c>
      <c r="N1335" s="8" t="s">
        <v>5512</v>
      </c>
      <c r="O1335" s="1" t="s">
        <v>5513</v>
      </c>
      <c r="P1335" s="5">
        <f>XLOOKUP(R1335, classification!C:C, classification!B:B, "Not Found")</f>
      </c>
      <c r="Q1335" s="1" t="s">
        <v>5514</v>
      </c>
      <c r="R1335" s="2"/>
      <c r="S1335" s="2"/>
      <c r="T1335" s="2"/>
      <c r="U1335" s="2"/>
    </row>
    <row x14ac:dyDescent="0.25" r="1336" customHeight="1" ht="17.25">
      <c r="A1336" s="7">
        <v>1335</v>
      </c>
      <c r="B1336" s="1" t="s">
        <v>6764</v>
      </c>
      <c r="C1336" s="5">
        <f>CONCATENATE("PD", TEXT(A1336, "1000000"))</f>
      </c>
      <c r="D1336" s="7">
        <v>74</v>
      </c>
      <c r="E1336" s="5">
        <f>XLOOKUP(G1336, item_category!C:C, item_category!B:B, "Not Found")</f>
      </c>
      <c r="F1336" s="1" t="s">
        <v>5520</v>
      </c>
      <c r="G1336" s="5">
        <f>XLOOKUP(I1336, drug!B:B, drug!A:A, "Not Found")</f>
      </c>
      <c r="H1336" s="1"/>
      <c r="I1336" s="7">
        <v>1</v>
      </c>
      <c r="J1336" s="5">
        <f>XLOOKUP(L1336, uom!C:C, uom!B:B, "Not Found")</f>
      </c>
      <c r="K1336" s="1" t="s">
        <v>5511</v>
      </c>
      <c r="L1336" s="5">
        <f>XLOOKUP(N1336, uom!C:C, uom!B:B, "Not Found")</f>
      </c>
      <c r="M1336" s="1" t="s">
        <v>5511</v>
      </c>
      <c r="N1336" s="8" t="s">
        <v>5512</v>
      </c>
      <c r="O1336" s="1" t="s">
        <v>5513</v>
      </c>
      <c r="P1336" s="5">
        <f>XLOOKUP(R1336, classification!C:C, classification!B:B, "Not Found")</f>
      </c>
      <c r="Q1336" s="1" t="s">
        <v>5514</v>
      </c>
      <c r="R1336" s="2"/>
      <c r="S1336" s="2"/>
      <c r="T1336" s="2"/>
      <c r="U1336" s="2"/>
    </row>
    <row x14ac:dyDescent="0.25" r="1337" customHeight="1" ht="17.25">
      <c r="A1337" s="7">
        <v>1336</v>
      </c>
      <c r="B1337" s="1" t="s">
        <v>6765</v>
      </c>
      <c r="C1337" s="5">
        <f>CONCATENATE("PD", TEXT(A1337, "1000000"))</f>
      </c>
      <c r="D1337" s="7">
        <v>74</v>
      </c>
      <c r="E1337" s="5">
        <f>XLOOKUP(G1337, item_category!C:C, item_category!B:B, "Not Found")</f>
      </c>
      <c r="F1337" s="1" t="s">
        <v>5520</v>
      </c>
      <c r="G1337" s="5">
        <f>XLOOKUP(I1337, drug!B:B, drug!A:A, "Not Found")</f>
      </c>
      <c r="H1337" s="1" t="s">
        <v>181</v>
      </c>
      <c r="I1337" s="7">
        <v>250</v>
      </c>
      <c r="J1337" s="5">
        <f>XLOOKUP(L1337, uom!C:C, uom!B:B, "Not Found")</f>
      </c>
      <c r="K1337" s="1" t="s">
        <v>5544</v>
      </c>
      <c r="L1337" s="5">
        <f>XLOOKUP(N1337, uom!C:C, uom!B:B, "Not Found")</f>
      </c>
      <c r="M1337" s="1" t="s">
        <v>5544</v>
      </c>
      <c r="N1337" s="8" t="s">
        <v>5524</v>
      </c>
      <c r="O1337" s="1" t="s">
        <v>5525</v>
      </c>
      <c r="P1337" s="5">
        <f>XLOOKUP(R1337, classification!C:C, classification!B:B, "Not Found")</f>
      </c>
      <c r="Q1337" s="1" t="s">
        <v>5514</v>
      </c>
      <c r="R1337" s="2"/>
      <c r="S1337" s="2"/>
      <c r="T1337" s="2"/>
      <c r="U1337" s="2"/>
    </row>
    <row x14ac:dyDescent="0.25" r="1338" customHeight="1" ht="17.25">
      <c r="A1338" s="7">
        <v>1337</v>
      </c>
      <c r="B1338" s="1" t="s">
        <v>6766</v>
      </c>
      <c r="C1338" s="5">
        <f>CONCATENATE("PD", TEXT(A1338, "1000000"))</f>
      </c>
      <c r="D1338" s="7">
        <v>74</v>
      </c>
      <c r="E1338" s="5">
        <f>XLOOKUP(G1338, item_category!C:C, item_category!B:B, "Not Found")</f>
      </c>
      <c r="F1338" s="1" t="s">
        <v>5520</v>
      </c>
      <c r="G1338" s="5">
        <f>XLOOKUP(I1338, drug!B:B, drug!A:A, "Not Found")</f>
      </c>
      <c r="H1338" s="1"/>
      <c r="I1338" s="7">
        <v>1</v>
      </c>
      <c r="J1338" s="5">
        <f>XLOOKUP(L1338, uom!C:C, uom!B:B, "Not Found")</f>
      </c>
      <c r="K1338" s="1" t="s">
        <v>5511</v>
      </c>
      <c r="L1338" s="5">
        <f>XLOOKUP(N1338, uom!C:C, uom!B:B, "Not Found")</f>
      </c>
      <c r="M1338" s="1" t="s">
        <v>5511</v>
      </c>
      <c r="N1338" s="8" t="s">
        <v>5512</v>
      </c>
      <c r="O1338" s="1" t="s">
        <v>5513</v>
      </c>
      <c r="P1338" s="5">
        <f>XLOOKUP(R1338, classification!C:C, classification!B:B, "Not Found")</f>
      </c>
      <c r="Q1338" s="1" t="s">
        <v>5514</v>
      </c>
      <c r="R1338" s="2"/>
      <c r="S1338" s="2"/>
      <c r="T1338" s="2"/>
      <c r="U1338" s="2"/>
    </row>
    <row x14ac:dyDescent="0.25" r="1339" customHeight="1" ht="17.25">
      <c r="A1339" s="7">
        <v>1338</v>
      </c>
      <c r="B1339" s="1" t="s">
        <v>6767</v>
      </c>
      <c r="C1339" s="5">
        <f>CONCATENATE("PD", TEXT(A1339, "1000000"))</f>
      </c>
      <c r="D1339" s="7">
        <v>74</v>
      </c>
      <c r="E1339" s="5">
        <f>XLOOKUP(G1339, item_category!C:C, item_category!B:B, "Not Found")</f>
      </c>
      <c r="F1339" s="1" t="s">
        <v>5520</v>
      </c>
      <c r="G1339" s="5">
        <f>XLOOKUP(I1339, drug!B:B, drug!A:A, "Not Found")</f>
      </c>
      <c r="H1339" s="1"/>
      <c r="I1339" s="7">
        <v>1</v>
      </c>
      <c r="J1339" s="5">
        <f>XLOOKUP(L1339, uom!C:C, uom!B:B, "Not Found")</f>
      </c>
      <c r="K1339" s="1" t="s">
        <v>5511</v>
      </c>
      <c r="L1339" s="5">
        <f>XLOOKUP(N1339, uom!C:C, uom!B:B, "Not Found")</f>
      </c>
      <c r="M1339" s="1" t="s">
        <v>5511</v>
      </c>
      <c r="N1339" s="8" t="s">
        <v>5512</v>
      </c>
      <c r="O1339" s="1" t="s">
        <v>5513</v>
      </c>
      <c r="P1339" s="5">
        <f>XLOOKUP(R1339, classification!C:C, classification!B:B, "Not Found")</f>
      </c>
      <c r="Q1339" s="1" t="s">
        <v>5514</v>
      </c>
      <c r="R1339" s="2"/>
      <c r="S1339" s="2"/>
      <c r="T1339" s="2"/>
      <c r="U1339" s="2"/>
    </row>
    <row x14ac:dyDescent="0.25" r="1340" customHeight="1" ht="17.25">
      <c r="A1340" s="7">
        <v>1339</v>
      </c>
      <c r="B1340" s="1" t="s">
        <v>6768</v>
      </c>
      <c r="C1340" s="5">
        <f>CONCATENATE("PD", TEXT(A1340, "1000000"))</f>
      </c>
      <c r="D1340" s="7">
        <v>74</v>
      </c>
      <c r="E1340" s="5">
        <f>XLOOKUP(G1340, item_category!C:C, item_category!B:B, "Not Found")</f>
      </c>
      <c r="F1340" s="1" t="s">
        <v>5520</v>
      </c>
      <c r="G1340" s="5">
        <f>XLOOKUP(I1340, drug!B:B, drug!A:A, "Not Found")</f>
      </c>
      <c r="H1340" s="1" t="s">
        <v>1594</v>
      </c>
      <c r="I1340" s="7">
        <v>1</v>
      </c>
      <c r="J1340" s="5">
        <f>XLOOKUP(L1340, uom!C:C, uom!B:B, "Not Found")</f>
      </c>
      <c r="K1340" s="1" t="s">
        <v>5511</v>
      </c>
      <c r="L1340" s="5">
        <f>XLOOKUP(N1340, uom!C:C, uom!B:B, "Not Found")</f>
      </c>
      <c r="M1340" s="1" t="s">
        <v>5511</v>
      </c>
      <c r="N1340" s="8" t="s">
        <v>5512</v>
      </c>
      <c r="O1340" s="1" t="s">
        <v>5513</v>
      </c>
      <c r="P1340" s="5">
        <f>XLOOKUP(R1340, classification!C:C, classification!B:B, "Not Found")</f>
      </c>
      <c r="Q1340" s="1" t="s">
        <v>5514</v>
      </c>
      <c r="R1340" s="2"/>
      <c r="S1340" s="2"/>
      <c r="T1340" s="2"/>
      <c r="U1340" s="2"/>
    </row>
    <row x14ac:dyDescent="0.25" r="1341" customHeight="1" ht="17.25">
      <c r="A1341" s="7">
        <v>1340</v>
      </c>
      <c r="B1341" s="1" t="s">
        <v>6769</v>
      </c>
      <c r="C1341" s="5">
        <f>CONCATENATE("PD", TEXT(A1341, "1000000"))</f>
      </c>
      <c r="D1341" s="7">
        <v>74</v>
      </c>
      <c r="E1341" s="5">
        <f>XLOOKUP(G1341, item_category!C:C, item_category!B:B, "Not Found")</f>
      </c>
      <c r="F1341" s="1" t="s">
        <v>5520</v>
      </c>
      <c r="G1341" s="5">
        <f>XLOOKUP(I1341, drug!B:B, drug!A:A, "Not Found")</f>
      </c>
      <c r="H1341" s="1"/>
      <c r="I1341" s="7">
        <v>1</v>
      </c>
      <c r="J1341" s="5">
        <f>XLOOKUP(L1341, uom!C:C, uom!B:B, "Not Found")</f>
      </c>
      <c r="K1341" s="1" t="s">
        <v>5511</v>
      </c>
      <c r="L1341" s="5">
        <f>XLOOKUP(N1341, uom!C:C, uom!B:B, "Not Found")</f>
      </c>
      <c r="M1341" s="1" t="s">
        <v>5511</v>
      </c>
      <c r="N1341" s="8" t="s">
        <v>5512</v>
      </c>
      <c r="O1341" s="1" t="s">
        <v>5513</v>
      </c>
      <c r="P1341" s="5">
        <f>XLOOKUP(R1341, classification!C:C, classification!B:B, "Not Found")</f>
      </c>
      <c r="Q1341" s="1" t="s">
        <v>5514</v>
      </c>
      <c r="R1341" s="2"/>
      <c r="S1341" s="2"/>
      <c r="T1341" s="2"/>
      <c r="U1341" s="2"/>
    </row>
    <row x14ac:dyDescent="0.25" r="1342" customHeight="1" ht="17.25">
      <c r="A1342" s="7">
        <v>1341</v>
      </c>
      <c r="B1342" s="1" t="s">
        <v>6770</v>
      </c>
      <c r="C1342" s="5">
        <f>CONCATENATE("PD", TEXT(A1342, "1000000"))</f>
      </c>
      <c r="D1342" s="7">
        <v>74</v>
      </c>
      <c r="E1342" s="5">
        <f>XLOOKUP(G1342, item_category!C:C, item_category!B:B, "Not Found")</f>
      </c>
      <c r="F1342" s="1" t="s">
        <v>5520</v>
      </c>
      <c r="G1342" s="5">
        <f>XLOOKUP(I1342, drug!B:B, drug!A:A, "Not Found")</f>
      </c>
      <c r="H1342" s="1" t="s">
        <v>1228</v>
      </c>
      <c r="I1342" s="7">
        <v>1</v>
      </c>
      <c r="J1342" s="5">
        <f>XLOOKUP(L1342, uom!C:C, uom!B:B, "Not Found")</f>
      </c>
      <c r="K1342" s="1" t="s">
        <v>5511</v>
      </c>
      <c r="L1342" s="5">
        <f>XLOOKUP(N1342, uom!C:C, uom!B:B, "Not Found")</f>
      </c>
      <c r="M1342" s="1" t="s">
        <v>5511</v>
      </c>
      <c r="N1342" s="8" t="s">
        <v>5512</v>
      </c>
      <c r="O1342" s="1" t="s">
        <v>5513</v>
      </c>
      <c r="P1342" s="5">
        <f>XLOOKUP(R1342, classification!C:C, classification!B:B, "Not Found")</f>
      </c>
      <c r="Q1342" s="1" t="s">
        <v>5514</v>
      </c>
      <c r="R1342" s="2"/>
      <c r="S1342" s="2"/>
      <c r="T1342" s="2"/>
      <c r="U1342" s="2"/>
    </row>
    <row x14ac:dyDescent="0.25" r="1343" customHeight="1" ht="17.25">
      <c r="A1343" s="7">
        <v>1342</v>
      </c>
      <c r="B1343" s="1" t="s">
        <v>6771</v>
      </c>
      <c r="C1343" s="5">
        <f>CONCATENATE("PD", TEXT(A1343, "1000000"))</f>
      </c>
      <c r="D1343" s="7">
        <v>74</v>
      </c>
      <c r="E1343" s="5">
        <f>XLOOKUP(G1343, item_category!C:C, item_category!B:B, "Not Found")</f>
      </c>
      <c r="F1343" s="1" t="s">
        <v>5520</v>
      </c>
      <c r="G1343" s="5">
        <f>XLOOKUP(I1343, drug!B:B, drug!A:A, "Not Found")</f>
      </c>
      <c r="H1343" s="1"/>
      <c r="I1343" s="7">
        <v>1</v>
      </c>
      <c r="J1343" s="5">
        <f>XLOOKUP(L1343, uom!C:C, uom!B:B, "Not Found")</f>
      </c>
      <c r="K1343" s="1" t="s">
        <v>5511</v>
      </c>
      <c r="L1343" s="5">
        <f>XLOOKUP(N1343, uom!C:C, uom!B:B, "Not Found")</f>
      </c>
      <c r="M1343" s="1" t="s">
        <v>5511</v>
      </c>
      <c r="N1343" s="8" t="s">
        <v>5512</v>
      </c>
      <c r="O1343" s="1" t="s">
        <v>5513</v>
      </c>
      <c r="P1343" s="5">
        <f>XLOOKUP(R1343, classification!C:C, classification!B:B, "Not Found")</f>
      </c>
      <c r="Q1343" s="1" t="s">
        <v>5514</v>
      </c>
      <c r="R1343" s="2"/>
      <c r="S1343" s="2"/>
      <c r="T1343" s="2"/>
      <c r="U1343" s="2"/>
    </row>
    <row x14ac:dyDescent="0.25" r="1344" customHeight="1" ht="17.25">
      <c r="A1344" s="7">
        <v>1343</v>
      </c>
      <c r="B1344" s="1" t="s">
        <v>6772</v>
      </c>
      <c r="C1344" s="5">
        <f>CONCATENATE("PD", TEXT(A1344, "1000000"))</f>
      </c>
      <c r="D1344" s="7">
        <v>74</v>
      </c>
      <c r="E1344" s="5">
        <f>XLOOKUP(G1344, item_category!C:C, item_category!B:B, "Not Found")</f>
      </c>
      <c r="F1344" s="1" t="s">
        <v>5520</v>
      </c>
      <c r="G1344" s="5">
        <f>XLOOKUP(I1344, drug!B:B, drug!A:A, "Not Found")</f>
      </c>
      <c r="H1344" s="1"/>
      <c r="I1344" s="7">
        <v>1</v>
      </c>
      <c r="J1344" s="5">
        <f>XLOOKUP(L1344, uom!C:C, uom!B:B, "Not Found")</f>
      </c>
      <c r="K1344" s="1" t="s">
        <v>5511</v>
      </c>
      <c r="L1344" s="5">
        <f>XLOOKUP(N1344, uom!C:C, uom!B:B, "Not Found")</f>
      </c>
      <c r="M1344" s="1" t="s">
        <v>5511</v>
      </c>
      <c r="N1344" s="8" t="s">
        <v>5512</v>
      </c>
      <c r="O1344" s="1" t="s">
        <v>5513</v>
      </c>
      <c r="P1344" s="5">
        <f>XLOOKUP(R1344, classification!C:C, classification!B:B, "Not Found")</f>
      </c>
      <c r="Q1344" s="1" t="s">
        <v>5514</v>
      </c>
      <c r="R1344" s="2"/>
      <c r="S1344" s="2"/>
      <c r="T1344" s="2"/>
      <c r="U1344" s="2"/>
    </row>
    <row x14ac:dyDescent="0.25" r="1345" customHeight="1" ht="17.25">
      <c r="A1345" s="7">
        <v>1344</v>
      </c>
      <c r="B1345" s="1" t="s">
        <v>6773</v>
      </c>
      <c r="C1345" s="5">
        <f>CONCATENATE("PD", TEXT(A1345, "1000000"))</f>
      </c>
      <c r="D1345" s="7">
        <v>74</v>
      </c>
      <c r="E1345" s="5">
        <f>XLOOKUP(G1345, item_category!C:C, item_category!B:B, "Not Found")</f>
      </c>
      <c r="F1345" s="1" t="s">
        <v>5520</v>
      </c>
      <c r="G1345" s="5">
        <f>XLOOKUP(I1345, drug!B:B, drug!A:A, "Not Found")</f>
      </c>
      <c r="H1345" s="1"/>
      <c r="I1345" s="7">
        <v>1</v>
      </c>
      <c r="J1345" s="5">
        <f>XLOOKUP(L1345, uom!C:C, uom!B:B, "Not Found")</f>
      </c>
      <c r="K1345" s="1" t="s">
        <v>5511</v>
      </c>
      <c r="L1345" s="5">
        <f>XLOOKUP(N1345, uom!C:C, uom!B:B, "Not Found")</f>
      </c>
      <c r="M1345" s="1" t="s">
        <v>5511</v>
      </c>
      <c r="N1345" s="8" t="s">
        <v>5512</v>
      </c>
      <c r="O1345" s="1" t="s">
        <v>5513</v>
      </c>
      <c r="P1345" s="5">
        <f>XLOOKUP(R1345, classification!C:C, classification!B:B, "Not Found")</f>
      </c>
      <c r="Q1345" s="1" t="s">
        <v>5514</v>
      </c>
      <c r="R1345" s="2"/>
      <c r="S1345" s="2"/>
      <c r="T1345" s="2"/>
      <c r="U1345" s="2"/>
    </row>
    <row x14ac:dyDescent="0.25" r="1346" customHeight="1" ht="17.25">
      <c r="A1346" s="7">
        <v>1345</v>
      </c>
      <c r="B1346" s="1" t="s">
        <v>6774</v>
      </c>
      <c r="C1346" s="5">
        <f>CONCATENATE("PD", TEXT(A1346, "1000000"))</f>
      </c>
      <c r="D1346" s="7">
        <v>74</v>
      </c>
      <c r="E1346" s="5">
        <f>XLOOKUP(G1346, item_category!C:C, item_category!B:B, "Not Found")</f>
      </c>
      <c r="F1346" s="1" t="s">
        <v>5520</v>
      </c>
      <c r="G1346" s="5">
        <f>XLOOKUP(I1346, drug!B:B, drug!A:A, "Not Found")</f>
      </c>
      <c r="H1346" s="1"/>
      <c r="I1346" s="7">
        <v>1</v>
      </c>
      <c r="J1346" s="5">
        <f>XLOOKUP(L1346, uom!C:C, uom!B:B, "Not Found")</f>
      </c>
      <c r="K1346" s="1" t="s">
        <v>5511</v>
      </c>
      <c r="L1346" s="5">
        <f>XLOOKUP(N1346, uom!C:C, uom!B:B, "Not Found")</f>
      </c>
      <c r="M1346" s="1" t="s">
        <v>5511</v>
      </c>
      <c r="N1346" s="8" t="s">
        <v>5512</v>
      </c>
      <c r="O1346" s="1" t="s">
        <v>5513</v>
      </c>
      <c r="P1346" s="5">
        <f>XLOOKUP(R1346, classification!C:C, classification!B:B, "Not Found")</f>
      </c>
      <c r="Q1346" s="1" t="s">
        <v>5514</v>
      </c>
      <c r="R1346" s="2"/>
      <c r="S1346" s="2"/>
      <c r="T1346" s="2"/>
      <c r="U1346" s="2"/>
    </row>
    <row x14ac:dyDescent="0.25" r="1347" customHeight="1" ht="17.25">
      <c r="A1347" s="7">
        <v>1346</v>
      </c>
      <c r="B1347" s="1" t="s">
        <v>6775</v>
      </c>
      <c r="C1347" s="5">
        <f>CONCATENATE("PD", TEXT(A1347, "1000000"))</f>
      </c>
      <c r="D1347" s="7">
        <v>74</v>
      </c>
      <c r="E1347" s="5">
        <f>XLOOKUP(G1347, item_category!C:C, item_category!B:B, "Not Found")</f>
      </c>
      <c r="F1347" s="1" t="s">
        <v>5520</v>
      </c>
      <c r="G1347" s="5">
        <f>XLOOKUP(I1347, drug!B:B, drug!A:A, "Not Found")</f>
      </c>
      <c r="H1347" s="1"/>
      <c r="I1347" s="7">
        <v>1</v>
      </c>
      <c r="J1347" s="5">
        <f>XLOOKUP(L1347, uom!C:C, uom!B:B, "Not Found")</f>
      </c>
      <c r="K1347" s="1" t="s">
        <v>5511</v>
      </c>
      <c r="L1347" s="5">
        <f>XLOOKUP(N1347, uom!C:C, uom!B:B, "Not Found")</f>
      </c>
      <c r="M1347" s="1" t="s">
        <v>5511</v>
      </c>
      <c r="N1347" s="8" t="s">
        <v>5512</v>
      </c>
      <c r="O1347" s="1" t="s">
        <v>5513</v>
      </c>
      <c r="P1347" s="5">
        <f>XLOOKUP(R1347, classification!C:C, classification!B:B, "Not Found")</f>
      </c>
      <c r="Q1347" s="1" t="s">
        <v>5514</v>
      </c>
      <c r="R1347" s="2"/>
      <c r="S1347" s="2"/>
      <c r="T1347" s="2"/>
      <c r="U1347" s="2"/>
    </row>
    <row x14ac:dyDescent="0.25" r="1348" customHeight="1" ht="17.25">
      <c r="A1348" s="7">
        <v>1347</v>
      </c>
      <c r="B1348" s="1" t="s">
        <v>6776</v>
      </c>
      <c r="C1348" s="5">
        <f>CONCATENATE("PD", TEXT(A1348, "1000000"))</f>
      </c>
      <c r="D1348" s="7">
        <v>74</v>
      </c>
      <c r="E1348" s="5">
        <f>XLOOKUP(G1348, item_category!C:C, item_category!B:B, "Not Found")</f>
      </c>
      <c r="F1348" s="1" t="s">
        <v>5520</v>
      </c>
      <c r="G1348" s="5">
        <f>XLOOKUP(I1348, drug!B:B, drug!A:A, "Not Found")</f>
      </c>
      <c r="H1348" s="1"/>
      <c r="I1348" s="7">
        <v>1</v>
      </c>
      <c r="J1348" s="5">
        <f>XLOOKUP(L1348, uom!C:C, uom!B:B, "Not Found")</f>
      </c>
      <c r="K1348" s="1" t="s">
        <v>5511</v>
      </c>
      <c r="L1348" s="5">
        <f>XLOOKUP(N1348, uom!C:C, uom!B:B, "Not Found")</f>
      </c>
      <c r="M1348" s="1" t="s">
        <v>5511</v>
      </c>
      <c r="N1348" s="8" t="s">
        <v>5512</v>
      </c>
      <c r="O1348" s="1" t="s">
        <v>5513</v>
      </c>
      <c r="P1348" s="5">
        <f>XLOOKUP(R1348, classification!C:C, classification!B:B, "Not Found")</f>
      </c>
      <c r="Q1348" s="1" t="s">
        <v>5514</v>
      </c>
      <c r="R1348" s="2"/>
      <c r="S1348" s="2"/>
      <c r="T1348" s="2"/>
      <c r="U1348" s="2"/>
    </row>
    <row x14ac:dyDescent="0.25" r="1349" customHeight="1" ht="17.25">
      <c r="A1349" s="7">
        <v>1348</v>
      </c>
      <c r="B1349" s="1" t="s">
        <v>6777</v>
      </c>
      <c r="C1349" s="5">
        <f>CONCATENATE("PD", TEXT(A1349, "1000000"))</f>
      </c>
      <c r="D1349" s="7">
        <v>74</v>
      </c>
      <c r="E1349" s="5">
        <f>XLOOKUP(G1349, item_category!C:C, item_category!B:B, "Not Found")</f>
      </c>
      <c r="F1349" s="1" t="s">
        <v>5520</v>
      </c>
      <c r="G1349" s="5">
        <f>XLOOKUP(I1349, drug!B:B, drug!A:A, "Not Found")</f>
      </c>
      <c r="H1349" s="1"/>
      <c r="I1349" s="7">
        <v>1</v>
      </c>
      <c r="J1349" s="5">
        <f>XLOOKUP(L1349, uom!C:C, uom!B:B, "Not Found")</f>
      </c>
      <c r="K1349" s="1" t="s">
        <v>5511</v>
      </c>
      <c r="L1349" s="5">
        <f>XLOOKUP(N1349, uom!C:C, uom!B:B, "Not Found")</f>
      </c>
      <c r="M1349" s="1" t="s">
        <v>5511</v>
      </c>
      <c r="N1349" s="8" t="s">
        <v>5512</v>
      </c>
      <c r="O1349" s="1" t="s">
        <v>5513</v>
      </c>
      <c r="P1349" s="5">
        <f>XLOOKUP(R1349, classification!C:C, classification!B:B, "Not Found")</f>
      </c>
      <c r="Q1349" s="1" t="s">
        <v>5514</v>
      </c>
      <c r="R1349" s="2"/>
      <c r="S1349" s="2"/>
      <c r="T1349" s="2"/>
      <c r="U1349" s="2"/>
    </row>
    <row x14ac:dyDescent="0.25" r="1350" customHeight="1" ht="17.25">
      <c r="A1350" s="7">
        <v>1349</v>
      </c>
      <c r="B1350" s="1" t="s">
        <v>6778</v>
      </c>
      <c r="C1350" s="5">
        <f>CONCATENATE("PD", TEXT(A1350, "1000000"))</f>
      </c>
      <c r="D1350" s="7">
        <v>74</v>
      </c>
      <c r="E1350" s="5">
        <f>XLOOKUP(G1350, item_category!C:C, item_category!B:B, "Not Found")</f>
      </c>
      <c r="F1350" s="1" t="s">
        <v>5520</v>
      </c>
      <c r="G1350" s="5">
        <f>XLOOKUP(I1350, drug!B:B, drug!A:A, "Not Found")</f>
      </c>
      <c r="H1350" s="1"/>
      <c r="I1350" s="7">
        <v>1</v>
      </c>
      <c r="J1350" s="5">
        <f>XLOOKUP(L1350, uom!C:C, uom!B:B, "Not Found")</f>
      </c>
      <c r="K1350" s="1" t="s">
        <v>5511</v>
      </c>
      <c r="L1350" s="5">
        <f>XLOOKUP(N1350, uom!C:C, uom!B:B, "Not Found")</f>
      </c>
      <c r="M1350" s="1" t="s">
        <v>5511</v>
      </c>
      <c r="N1350" s="8" t="s">
        <v>5512</v>
      </c>
      <c r="O1350" s="1" t="s">
        <v>5513</v>
      </c>
      <c r="P1350" s="5">
        <f>XLOOKUP(R1350, classification!C:C, classification!B:B, "Not Found")</f>
      </c>
      <c r="Q1350" s="1" t="s">
        <v>5514</v>
      </c>
      <c r="R1350" s="2"/>
      <c r="S1350" s="2"/>
      <c r="T1350" s="2"/>
      <c r="U1350" s="2"/>
    </row>
    <row x14ac:dyDescent="0.25" r="1351" customHeight="1" ht="17.25">
      <c r="A1351" s="7">
        <v>1350</v>
      </c>
      <c r="B1351" s="1" t="s">
        <v>6779</v>
      </c>
      <c r="C1351" s="5">
        <f>CONCATENATE("PD", TEXT(A1351, "1000000"))</f>
      </c>
      <c r="D1351" s="7">
        <v>74</v>
      </c>
      <c r="E1351" s="5">
        <f>XLOOKUP(G1351, item_category!C:C, item_category!B:B, "Not Found")</f>
      </c>
      <c r="F1351" s="1" t="s">
        <v>5520</v>
      </c>
      <c r="G1351" s="5">
        <f>XLOOKUP(I1351, drug!B:B, drug!A:A, "Not Found")</f>
      </c>
      <c r="H1351" s="1"/>
      <c r="I1351" s="7">
        <v>1</v>
      </c>
      <c r="J1351" s="5">
        <f>XLOOKUP(L1351, uom!C:C, uom!B:B, "Not Found")</f>
      </c>
      <c r="K1351" s="1" t="s">
        <v>5511</v>
      </c>
      <c r="L1351" s="5">
        <f>XLOOKUP(N1351, uom!C:C, uom!B:B, "Not Found")</f>
      </c>
      <c r="M1351" s="1" t="s">
        <v>5511</v>
      </c>
      <c r="N1351" s="8" t="s">
        <v>5512</v>
      </c>
      <c r="O1351" s="1" t="s">
        <v>5513</v>
      </c>
      <c r="P1351" s="5">
        <f>XLOOKUP(R1351, classification!C:C, classification!B:B, "Not Found")</f>
      </c>
      <c r="Q1351" s="1" t="s">
        <v>5514</v>
      </c>
      <c r="R1351" s="2"/>
      <c r="S1351" s="2"/>
      <c r="T1351" s="2"/>
      <c r="U1351" s="2"/>
    </row>
    <row x14ac:dyDescent="0.25" r="1352" customHeight="1" ht="17.25">
      <c r="A1352" s="7">
        <v>1351</v>
      </c>
      <c r="B1352" s="1" t="s">
        <v>6780</v>
      </c>
      <c r="C1352" s="5">
        <f>CONCATENATE("PD", TEXT(A1352, "1000000"))</f>
      </c>
      <c r="D1352" s="7">
        <v>74</v>
      </c>
      <c r="E1352" s="5">
        <f>XLOOKUP(G1352, item_category!C:C, item_category!B:B, "Not Found")</f>
      </c>
      <c r="F1352" s="1" t="s">
        <v>5520</v>
      </c>
      <c r="G1352" s="5">
        <f>XLOOKUP(I1352, drug!B:B, drug!A:A, "Not Found")</f>
      </c>
      <c r="H1352" s="1"/>
      <c r="I1352" s="7">
        <v>1</v>
      </c>
      <c r="J1352" s="5">
        <f>XLOOKUP(L1352, uom!C:C, uom!B:B, "Not Found")</f>
      </c>
      <c r="K1352" s="1" t="s">
        <v>5511</v>
      </c>
      <c r="L1352" s="5">
        <f>XLOOKUP(N1352, uom!C:C, uom!B:B, "Not Found")</f>
      </c>
      <c r="M1352" s="1" t="s">
        <v>5511</v>
      </c>
      <c r="N1352" s="8" t="s">
        <v>5512</v>
      </c>
      <c r="O1352" s="1" t="s">
        <v>5513</v>
      </c>
      <c r="P1352" s="5">
        <f>XLOOKUP(R1352, classification!C:C, classification!B:B, "Not Found")</f>
      </c>
      <c r="Q1352" s="1" t="s">
        <v>5514</v>
      </c>
      <c r="R1352" s="2"/>
      <c r="S1352" s="2"/>
      <c r="T1352" s="2"/>
      <c r="U1352" s="2"/>
    </row>
    <row x14ac:dyDescent="0.25" r="1353" customHeight="1" ht="17.25">
      <c r="A1353" s="7">
        <v>1352</v>
      </c>
      <c r="B1353" s="1" t="s">
        <v>6781</v>
      </c>
      <c r="C1353" s="5">
        <f>CONCATENATE("PD", TEXT(A1353, "1000000"))</f>
      </c>
      <c r="D1353" s="7">
        <v>74</v>
      </c>
      <c r="E1353" s="5">
        <f>XLOOKUP(G1353, item_category!C:C, item_category!B:B, "Not Found")</f>
      </c>
      <c r="F1353" s="1" t="s">
        <v>5520</v>
      </c>
      <c r="G1353" s="5">
        <f>XLOOKUP(I1353, drug!B:B, drug!A:A, "Not Found")</f>
      </c>
      <c r="H1353" s="1"/>
      <c r="I1353" s="7">
        <v>1</v>
      </c>
      <c r="J1353" s="5">
        <f>XLOOKUP(L1353, uom!C:C, uom!B:B, "Not Found")</f>
      </c>
      <c r="K1353" s="1" t="s">
        <v>5511</v>
      </c>
      <c r="L1353" s="5">
        <f>XLOOKUP(N1353, uom!C:C, uom!B:B, "Not Found")</f>
      </c>
      <c r="M1353" s="1" t="s">
        <v>5511</v>
      </c>
      <c r="N1353" s="8" t="s">
        <v>5512</v>
      </c>
      <c r="O1353" s="1" t="s">
        <v>5513</v>
      </c>
      <c r="P1353" s="5">
        <f>XLOOKUP(R1353, classification!C:C, classification!B:B, "Not Found")</f>
      </c>
      <c r="Q1353" s="1" t="s">
        <v>5514</v>
      </c>
      <c r="R1353" s="2"/>
      <c r="S1353" s="2"/>
      <c r="T1353" s="2"/>
      <c r="U1353" s="2"/>
    </row>
    <row x14ac:dyDescent="0.25" r="1354" customHeight="1" ht="17.25">
      <c r="A1354" s="7">
        <v>1353</v>
      </c>
      <c r="B1354" s="1" t="s">
        <v>6782</v>
      </c>
      <c r="C1354" s="5">
        <f>CONCATENATE("PD", TEXT(A1354, "1000000"))</f>
      </c>
      <c r="D1354" s="7">
        <v>74</v>
      </c>
      <c r="E1354" s="5">
        <f>XLOOKUP(G1354, item_category!C:C, item_category!B:B, "Not Found")</f>
      </c>
      <c r="F1354" s="1" t="s">
        <v>5520</v>
      </c>
      <c r="G1354" s="5">
        <f>XLOOKUP(I1354, drug!B:B, drug!A:A, "Not Found")</f>
      </c>
      <c r="H1354" s="1"/>
      <c r="I1354" s="7">
        <v>1</v>
      </c>
      <c r="J1354" s="5">
        <f>XLOOKUP(L1354, uom!C:C, uom!B:B, "Not Found")</f>
      </c>
      <c r="K1354" s="1" t="s">
        <v>5511</v>
      </c>
      <c r="L1354" s="5">
        <f>XLOOKUP(N1354, uom!C:C, uom!B:B, "Not Found")</f>
      </c>
      <c r="M1354" s="1" t="s">
        <v>5511</v>
      </c>
      <c r="N1354" s="8" t="s">
        <v>5512</v>
      </c>
      <c r="O1354" s="1" t="s">
        <v>5513</v>
      </c>
      <c r="P1354" s="5">
        <f>XLOOKUP(R1354, classification!C:C, classification!B:B, "Not Found")</f>
      </c>
      <c r="Q1354" s="1" t="s">
        <v>5514</v>
      </c>
      <c r="R1354" s="2"/>
      <c r="S1354" s="2"/>
      <c r="T1354" s="2"/>
      <c r="U1354" s="2"/>
    </row>
    <row x14ac:dyDescent="0.25" r="1355" customHeight="1" ht="17.25">
      <c r="A1355" s="7">
        <v>1354</v>
      </c>
      <c r="B1355" s="1" t="s">
        <v>6783</v>
      </c>
      <c r="C1355" s="5">
        <f>CONCATENATE("PD", TEXT(A1355, "1000000"))</f>
      </c>
      <c r="D1355" s="7">
        <v>74</v>
      </c>
      <c r="E1355" s="5">
        <f>XLOOKUP(G1355, item_category!C:C, item_category!B:B, "Not Found")</f>
      </c>
      <c r="F1355" s="1" t="s">
        <v>5520</v>
      </c>
      <c r="G1355" s="5">
        <f>XLOOKUP(I1355, drug!B:B, drug!A:A, "Not Found")</f>
      </c>
      <c r="H1355" s="1"/>
      <c r="I1355" s="7">
        <v>1</v>
      </c>
      <c r="J1355" s="5">
        <f>XLOOKUP(L1355, uom!C:C, uom!B:B, "Not Found")</f>
      </c>
      <c r="K1355" s="1" t="s">
        <v>5511</v>
      </c>
      <c r="L1355" s="5">
        <f>XLOOKUP(N1355, uom!C:C, uom!B:B, "Not Found")</f>
      </c>
      <c r="M1355" s="1" t="s">
        <v>5511</v>
      </c>
      <c r="N1355" s="8" t="s">
        <v>5512</v>
      </c>
      <c r="O1355" s="1" t="s">
        <v>5513</v>
      </c>
      <c r="P1355" s="5">
        <f>XLOOKUP(R1355, classification!C:C, classification!B:B, "Not Found")</f>
      </c>
      <c r="Q1355" s="1" t="s">
        <v>5514</v>
      </c>
      <c r="R1355" s="2"/>
      <c r="S1355" s="2"/>
      <c r="T1355" s="2"/>
      <c r="U1355" s="2"/>
    </row>
    <row x14ac:dyDescent="0.25" r="1356" customHeight="1" ht="17.25">
      <c r="A1356" s="7">
        <v>1355</v>
      </c>
      <c r="B1356" s="1" t="s">
        <v>6784</v>
      </c>
      <c r="C1356" s="5">
        <f>CONCATENATE("PD", TEXT(A1356, "1000000"))</f>
      </c>
      <c r="D1356" s="7">
        <v>74</v>
      </c>
      <c r="E1356" s="5">
        <f>XLOOKUP(G1356, item_category!C:C, item_category!B:B, "Not Found")</f>
      </c>
      <c r="F1356" s="1" t="s">
        <v>5520</v>
      </c>
      <c r="G1356" s="5">
        <f>XLOOKUP(I1356, drug!B:B, drug!A:A, "Not Found")</f>
      </c>
      <c r="H1356" s="1"/>
      <c r="I1356" s="7">
        <v>1</v>
      </c>
      <c r="J1356" s="5">
        <f>XLOOKUP(L1356, uom!C:C, uom!B:B, "Not Found")</f>
      </c>
      <c r="K1356" s="1" t="s">
        <v>5511</v>
      </c>
      <c r="L1356" s="5">
        <f>XLOOKUP(N1356, uom!C:C, uom!B:B, "Not Found")</f>
      </c>
      <c r="M1356" s="1" t="s">
        <v>5511</v>
      </c>
      <c r="N1356" s="8" t="s">
        <v>5512</v>
      </c>
      <c r="O1356" s="1" t="s">
        <v>5513</v>
      </c>
      <c r="P1356" s="5">
        <f>XLOOKUP(R1356, classification!C:C, classification!B:B, "Not Found")</f>
      </c>
      <c r="Q1356" s="1" t="s">
        <v>5514</v>
      </c>
      <c r="R1356" s="2"/>
      <c r="S1356" s="2"/>
      <c r="T1356" s="2"/>
      <c r="U1356" s="2"/>
    </row>
    <row x14ac:dyDescent="0.25" r="1357" customHeight="1" ht="17.25">
      <c r="A1357" s="7">
        <v>1356</v>
      </c>
      <c r="B1357" s="1" t="s">
        <v>6785</v>
      </c>
      <c r="C1357" s="5">
        <f>CONCATENATE("PD", TEXT(A1357, "1000000"))</f>
      </c>
      <c r="D1357" s="7">
        <v>74</v>
      </c>
      <c r="E1357" s="5">
        <f>XLOOKUP(G1357, item_category!C:C, item_category!B:B, "Not Found")</f>
      </c>
      <c r="F1357" s="1" t="s">
        <v>5520</v>
      </c>
      <c r="G1357" s="5">
        <f>XLOOKUP(I1357, drug!B:B, drug!A:A, "Not Found")</f>
      </c>
      <c r="H1357" s="1"/>
      <c r="I1357" s="7">
        <v>1</v>
      </c>
      <c r="J1357" s="5">
        <f>XLOOKUP(L1357, uom!C:C, uom!B:B, "Not Found")</f>
      </c>
      <c r="K1357" s="1" t="s">
        <v>5511</v>
      </c>
      <c r="L1357" s="5">
        <f>XLOOKUP(N1357, uom!C:C, uom!B:B, "Not Found")</f>
      </c>
      <c r="M1357" s="1" t="s">
        <v>5511</v>
      </c>
      <c r="N1357" s="8" t="s">
        <v>5512</v>
      </c>
      <c r="O1357" s="1" t="s">
        <v>5513</v>
      </c>
      <c r="P1357" s="5">
        <f>XLOOKUP(R1357, classification!C:C, classification!B:B, "Not Found")</f>
      </c>
      <c r="Q1357" s="1" t="s">
        <v>5514</v>
      </c>
      <c r="R1357" s="2"/>
      <c r="S1357" s="2"/>
      <c r="T1357" s="2"/>
      <c r="U1357" s="2"/>
    </row>
    <row x14ac:dyDescent="0.25" r="1358" customHeight="1" ht="17.25">
      <c r="A1358" s="7">
        <v>1357</v>
      </c>
      <c r="B1358" s="1" t="s">
        <v>6786</v>
      </c>
      <c r="C1358" s="5">
        <f>CONCATENATE("PD", TEXT(A1358, "1000000"))</f>
      </c>
      <c r="D1358" s="7">
        <v>74</v>
      </c>
      <c r="E1358" s="5">
        <f>XLOOKUP(G1358, item_category!C:C, item_category!B:B, "Not Found")</f>
      </c>
      <c r="F1358" s="1" t="s">
        <v>5520</v>
      </c>
      <c r="G1358" s="5">
        <f>XLOOKUP(I1358, drug!B:B, drug!A:A, "Not Found")</f>
      </c>
      <c r="H1358" s="1"/>
      <c r="I1358" s="7">
        <v>1</v>
      </c>
      <c r="J1358" s="5">
        <f>XLOOKUP(L1358, uom!C:C, uom!B:B, "Not Found")</f>
      </c>
      <c r="K1358" s="1" t="s">
        <v>5511</v>
      </c>
      <c r="L1358" s="5">
        <f>XLOOKUP(N1358, uom!C:C, uom!B:B, "Not Found")</f>
      </c>
      <c r="M1358" s="1" t="s">
        <v>5511</v>
      </c>
      <c r="N1358" s="8" t="s">
        <v>5512</v>
      </c>
      <c r="O1358" s="1" t="s">
        <v>5513</v>
      </c>
      <c r="P1358" s="5">
        <f>XLOOKUP(R1358, classification!C:C, classification!B:B, "Not Found")</f>
      </c>
      <c r="Q1358" s="1" t="s">
        <v>5514</v>
      </c>
      <c r="R1358" s="2"/>
      <c r="S1358" s="2"/>
      <c r="T1358" s="2"/>
      <c r="U1358" s="2"/>
    </row>
    <row x14ac:dyDescent="0.25" r="1359" customHeight="1" ht="17.25">
      <c r="A1359" s="7">
        <v>1358</v>
      </c>
      <c r="B1359" s="1" t="s">
        <v>6787</v>
      </c>
      <c r="C1359" s="5">
        <f>CONCATENATE("PD", TEXT(A1359, "1000000"))</f>
      </c>
      <c r="D1359" s="7">
        <v>74</v>
      </c>
      <c r="E1359" s="5">
        <f>XLOOKUP(G1359, item_category!C:C, item_category!B:B, "Not Found")</f>
      </c>
      <c r="F1359" s="1" t="s">
        <v>5520</v>
      </c>
      <c r="G1359" s="5">
        <f>XLOOKUP(I1359, drug!B:B, drug!A:A, "Not Found")</f>
      </c>
      <c r="H1359" s="1"/>
      <c r="I1359" s="7">
        <v>1</v>
      </c>
      <c r="J1359" s="5">
        <f>XLOOKUP(L1359, uom!C:C, uom!B:B, "Not Found")</f>
      </c>
      <c r="K1359" s="1" t="s">
        <v>5511</v>
      </c>
      <c r="L1359" s="5">
        <f>XLOOKUP(N1359, uom!C:C, uom!B:B, "Not Found")</f>
      </c>
      <c r="M1359" s="1" t="s">
        <v>5511</v>
      </c>
      <c r="N1359" s="8" t="s">
        <v>5512</v>
      </c>
      <c r="O1359" s="1" t="s">
        <v>5513</v>
      </c>
      <c r="P1359" s="5">
        <f>XLOOKUP(R1359, classification!C:C, classification!B:B, "Not Found")</f>
      </c>
      <c r="Q1359" s="1" t="s">
        <v>5514</v>
      </c>
      <c r="R1359" s="2"/>
      <c r="S1359" s="2"/>
      <c r="T1359" s="2"/>
      <c r="U1359" s="2"/>
    </row>
    <row x14ac:dyDescent="0.25" r="1360" customHeight="1" ht="17.25">
      <c r="A1360" s="7">
        <v>1359</v>
      </c>
      <c r="B1360" s="1" t="s">
        <v>6788</v>
      </c>
      <c r="C1360" s="5">
        <f>CONCATENATE("PD", TEXT(A1360, "1000000"))</f>
      </c>
      <c r="D1360" s="7">
        <v>74</v>
      </c>
      <c r="E1360" s="5">
        <f>XLOOKUP(G1360, item_category!C:C, item_category!B:B, "Not Found")</f>
      </c>
      <c r="F1360" s="1" t="s">
        <v>5520</v>
      </c>
      <c r="G1360" s="5">
        <f>XLOOKUP(I1360, drug!B:B, drug!A:A, "Not Found")</f>
      </c>
      <c r="H1360" s="1"/>
      <c r="I1360" s="7">
        <v>1</v>
      </c>
      <c r="J1360" s="5">
        <f>XLOOKUP(L1360, uom!C:C, uom!B:B, "Not Found")</f>
      </c>
      <c r="K1360" s="1" t="s">
        <v>5511</v>
      </c>
      <c r="L1360" s="5">
        <f>XLOOKUP(N1360, uom!C:C, uom!B:B, "Not Found")</f>
      </c>
      <c r="M1360" s="1" t="s">
        <v>5511</v>
      </c>
      <c r="N1360" s="8" t="s">
        <v>5512</v>
      </c>
      <c r="O1360" s="1" t="s">
        <v>5513</v>
      </c>
      <c r="P1360" s="5">
        <f>XLOOKUP(R1360, classification!C:C, classification!B:B, "Not Found")</f>
      </c>
      <c r="Q1360" s="1" t="s">
        <v>5514</v>
      </c>
      <c r="R1360" s="2"/>
      <c r="S1360" s="2"/>
      <c r="T1360" s="2"/>
      <c r="U1360" s="2"/>
    </row>
    <row x14ac:dyDescent="0.25" r="1361" customHeight="1" ht="17.25">
      <c r="A1361" s="7">
        <v>1360</v>
      </c>
      <c r="B1361" s="1" t="s">
        <v>6789</v>
      </c>
      <c r="C1361" s="5">
        <f>CONCATENATE("PD", TEXT(A1361, "1000000"))</f>
      </c>
      <c r="D1361" s="7">
        <v>74</v>
      </c>
      <c r="E1361" s="5">
        <f>XLOOKUP(G1361, item_category!C:C, item_category!B:B, "Not Found")</f>
      </c>
      <c r="F1361" s="1" t="s">
        <v>5520</v>
      </c>
      <c r="G1361" s="5">
        <f>XLOOKUP(I1361, drug!B:B, drug!A:A, "Not Found")</f>
      </c>
      <c r="H1361" s="1"/>
      <c r="I1361" s="7">
        <v>1</v>
      </c>
      <c r="J1361" s="5">
        <f>XLOOKUP(L1361, uom!C:C, uom!B:B, "Not Found")</f>
      </c>
      <c r="K1361" s="1" t="s">
        <v>5511</v>
      </c>
      <c r="L1361" s="5">
        <f>XLOOKUP(N1361, uom!C:C, uom!B:B, "Not Found")</f>
      </c>
      <c r="M1361" s="1" t="s">
        <v>5511</v>
      </c>
      <c r="N1361" s="8" t="s">
        <v>5512</v>
      </c>
      <c r="O1361" s="1" t="s">
        <v>5513</v>
      </c>
      <c r="P1361" s="5">
        <f>XLOOKUP(R1361, classification!C:C, classification!B:B, "Not Found")</f>
      </c>
      <c r="Q1361" s="1" t="s">
        <v>5514</v>
      </c>
      <c r="R1361" s="2"/>
      <c r="S1361" s="2"/>
      <c r="T1361" s="2"/>
      <c r="U1361" s="2"/>
    </row>
    <row x14ac:dyDescent="0.25" r="1362" customHeight="1" ht="17.25">
      <c r="A1362" s="7">
        <v>1361</v>
      </c>
      <c r="B1362" s="1" t="s">
        <v>6790</v>
      </c>
      <c r="C1362" s="5">
        <f>CONCATENATE("PD", TEXT(A1362, "1000000"))</f>
      </c>
      <c r="D1362" s="7">
        <v>74</v>
      </c>
      <c r="E1362" s="5">
        <f>XLOOKUP(G1362, item_category!C:C, item_category!B:B, "Not Found")</f>
      </c>
      <c r="F1362" s="1" t="s">
        <v>5520</v>
      </c>
      <c r="G1362" s="5">
        <f>XLOOKUP(I1362, drug!B:B, drug!A:A, "Not Found")</f>
      </c>
      <c r="H1362" s="1" t="s">
        <v>1942</v>
      </c>
      <c r="I1362" s="7">
        <v>1</v>
      </c>
      <c r="J1362" s="5">
        <f>XLOOKUP(L1362, uom!C:C, uom!B:B, "Not Found")</f>
      </c>
      <c r="K1362" s="1" t="s">
        <v>5511</v>
      </c>
      <c r="L1362" s="5">
        <f>XLOOKUP(N1362, uom!C:C, uom!B:B, "Not Found")</f>
      </c>
      <c r="M1362" s="1" t="s">
        <v>5511</v>
      </c>
      <c r="N1362" s="8" t="s">
        <v>5512</v>
      </c>
      <c r="O1362" s="1" t="s">
        <v>5513</v>
      </c>
      <c r="P1362" s="5">
        <f>XLOOKUP(R1362, classification!C:C, classification!B:B, "Not Found")</f>
      </c>
      <c r="Q1362" s="1" t="s">
        <v>5514</v>
      </c>
      <c r="R1362" s="2"/>
      <c r="S1362" s="2"/>
      <c r="T1362" s="2"/>
      <c r="U1362" s="2"/>
    </row>
    <row x14ac:dyDescent="0.25" r="1363" customHeight="1" ht="17.25">
      <c r="A1363" s="7">
        <v>1362</v>
      </c>
      <c r="B1363" s="1" t="s">
        <v>6791</v>
      </c>
      <c r="C1363" s="5">
        <f>CONCATENATE("PD", TEXT(A1363, "1000000"))</f>
      </c>
      <c r="D1363" s="7">
        <v>74</v>
      </c>
      <c r="E1363" s="5">
        <f>XLOOKUP(G1363, item_category!C:C, item_category!B:B, "Not Found")</f>
      </c>
      <c r="F1363" s="1" t="s">
        <v>5520</v>
      </c>
      <c r="G1363" s="5">
        <f>XLOOKUP(I1363, drug!B:B, drug!A:A, "Not Found")</f>
      </c>
      <c r="H1363" s="1" t="s">
        <v>1942</v>
      </c>
      <c r="I1363" s="7">
        <v>1</v>
      </c>
      <c r="J1363" s="5">
        <f>XLOOKUP(L1363, uom!C:C, uom!B:B, "Not Found")</f>
      </c>
      <c r="K1363" s="1" t="s">
        <v>5511</v>
      </c>
      <c r="L1363" s="5">
        <f>XLOOKUP(N1363, uom!C:C, uom!B:B, "Not Found")</f>
      </c>
      <c r="M1363" s="1" t="s">
        <v>5511</v>
      </c>
      <c r="N1363" s="8" t="s">
        <v>5512</v>
      </c>
      <c r="O1363" s="1" t="s">
        <v>5513</v>
      </c>
      <c r="P1363" s="5">
        <f>XLOOKUP(R1363, classification!C:C, classification!B:B, "Not Found")</f>
      </c>
      <c r="Q1363" s="1" t="s">
        <v>5514</v>
      </c>
      <c r="R1363" s="2"/>
      <c r="S1363" s="2"/>
      <c r="T1363" s="2"/>
      <c r="U1363" s="2"/>
    </row>
    <row x14ac:dyDescent="0.25" r="1364" customHeight="1" ht="17.25">
      <c r="A1364" s="7">
        <v>1363</v>
      </c>
      <c r="B1364" s="1" t="s">
        <v>6792</v>
      </c>
      <c r="C1364" s="5">
        <f>CONCATENATE("PD", TEXT(A1364, "1000000"))</f>
      </c>
      <c r="D1364" s="7">
        <v>74</v>
      </c>
      <c r="E1364" s="5">
        <f>XLOOKUP(G1364, item_category!C:C, item_category!B:B, "Not Found")</f>
      </c>
      <c r="F1364" s="1" t="s">
        <v>5520</v>
      </c>
      <c r="G1364" s="5">
        <f>XLOOKUP(I1364, drug!B:B, drug!A:A, "Not Found")</f>
      </c>
      <c r="H1364" s="1"/>
      <c r="I1364" s="7">
        <v>1</v>
      </c>
      <c r="J1364" s="5">
        <f>XLOOKUP(L1364, uom!C:C, uom!B:B, "Not Found")</f>
      </c>
      <c r="K1364" s="1" t="s">
        <v>5511</v>
      </c>
      <c r="L1364" s="5">
        <f>XLOOKUP(N1364, uom!C:C, uom!B:B, "Not Found")</f>
      </c>
      <c r="M1364" s="1" t="s">
        <v>5511</v>
      </c>
      <c r="N1364" s="8" t="s">
        <v>5512</v>
      </c>
      <c r="O1364" s="1" t="s">
        <v>5513</v>
      </c>
      <c r="P1364" s="5">
        <f>XLOOKUP(R1364, classification!C:C, classification!B:B, "Not Found")</f>
      </c>
      <c r="Q1364" s="1" t="s">
        <v>5514</v>
      </c>
      <c r="R1364" s="2"/>
      <c r="S1364" s="2"/>
      <c r="T1364" s="2"/>
      <c r="U1364" s="2"/>
    </row>
    <row x14ac:dyDescent="0.25" r="1365" customHeight="1" ht="17.25">
      <c r="A1365" s="7">
        <v>1364</v>
      </c>
      <c r="B1365" s="1" t="s">
        <v>6793</v>
      </c>
      <c r="C1365" s="5">
        <f>CONCATENATE("PD", TEXT(A1365, "1000000"))</f>
      </c>
      <c r="D1365" s="7">
        <v>74</v>
      </c>
      <c r="E1365" s="5">
        <f>XLOOKUP(G1365, item_category!C:C, item_category!B:B, "Not Found")</f>
      </c>
      <c r="F1365" s="1" t="s">
        <v>5520</v>
      </c>
      <c r="G1365" s="5">
        <f>XLOOKUP(I1365, drug!B:B, drug!A:A, "Not Found")</f>
      </c>
      <c r="H1365" s="1"/>
      <c r="I1365" s="7">
        <v>1</v>
      </c>
      <c r="J1365" s="5">
        <f>XLOOKUP(L1365, uom!C:C, uom!B:B, "Not Found")</f>
      </c>
      <c r="K1365" s="1" t="s">
        <v>5511</v>
      </c>
      <c r="L1365" s="5">
        <f>XLOOKUP(N1365, uom!C:C, uom!B:B, "Not Found")</f>
      </c>
      <c r="M1365" s="1" t="s">
        <v>5511</v>
      </c>
      <c r="N1365" s="8" t="s">
        <v>5512</v>
      </c>
      <c r="O1365" s="1" t="s">
        <v>5513</v>
      </c>
      <c r="P1365" s="5">
        <f>XLOOKUP(R1365, classification!C:C, classification!B:B, "Not Found")</f>
      </c>
      <c r="Q1365" s="1" t="s">
        <v>5514</v>
      </c>
      <c r="R1365" s="2"/>
      <c r="S1365" s="2"/>
      <c r="T1365" s="2"/>
      <c r="U1365" s="2"/>
    </row>
    <row x14ac:dyDescent="0.25" r="1366" customHeight="1" ht="17.25">
      <c r="A1366" s="7">
        <v>1365</v>
      </c>
      <c r="B1366" s="1" t="s">
        <v>6794</v>
      </c>
      <c r="C1366" s="5">
        <f>CONCATENATE("PD", TEXT(A1366, "1000000"))</f>
      </c>
      <c r="D1366" s="7">
        <v>74</v>
      </c>
      <c r="E1366" s="5">
        <f>XLOOKUP(G1366, item_category!C:C, item_category!B:B, "Not Found")</f>
      </c>
      <c r="F1366" s="1" t="s">
        <v>5520</v>
      </c>
      <c r="G1366" s="5">
        <f>XLOOKUP(I1366, drug!B:B, drug!A:A, "Not Found")</f>
      </c>
      <c r="H1366" s="1"/>
      <c r="I1366" s="7">
        <v>1</v>
      </c>
      <c r="J1366" s="5">
        <f>XLOOKUP(L1366, uom!C:C, uom!B:B, "Not Found")</f>
      </c>
      <c r="K1366" s="1" t="s">
        <v>5511</v>
      </c>
      <c r="L1366" s="5">
        <f>XLOOKUP(N1366, uom!C:C, uom!B:B, "Not Found")</f>
      </c>
      <c r="M1366" s="1" t="s">
        <v>5511</v>
      </c>
      <c r="N1366" s="8" t="s">
        <v>5512</v>
      </c>
      <c r="O1366" s="1" t="s">
        <v>5513</v>
      </c>
      <c r="P1366" s="5">
        <f>XLOOKUP(R1366, classification!C:C, classification!B:B, "Not Found")</f>
      </c>
      <c r="Q1366" s="1" t="s">
        <v>5514</v>
      </c>
      <c r="R1366" s="2"/>
      <c r="S1366" s="2"/>
      <c r="T1366" s="2"/>
      <c r="U1366" s="2"/>
    </row>
    <row x14ac:dyDescent="0.25" r="1367" customHeight="1" ht="17.25">
      <c r="A1367" s="7">
        <v>1366</v>
      </c>
      <c r="B1367" s="1" t="s">
        <v>6795</v>
      </c>
      <c r="C1367" s="5">
        <f>CONCATENATE("PD", TEXT(A1367, "1000000"))</f>
      </c>
      <c r="D1367" s="7">
        <v>74</v>
      </c>
      <c r="E1367" s="5">
        <f>XLOOKUP(G1367, item_category!C:C, item_category!B:B, "Not Found")</f>
      </c>
      <c r="F1367" s="1" t="s">
        <v>5520</v>
      </c>
      <c r="G1367" s="5">
        <f>XLOOKUP(I1367, drug!B:B, drug!A:A, "Not Found")</f>
      </c>
      <c r="H1367" s="1"/>
      <c r="I1367" s="7">
        <v>1</v>
      </c>
      <c r="J1367" s="5">
        <f>XLOOKUP(L1367, uom!C:C, uom!B:B, "Not Found")</f>
      </c>
      <c r="K1367" s="1" t="s">
        <v>5511</v>
      </c>
      <c r="L1367" s="5">
        <f>XLOOKUP(N1367, uom!C:C, uom!B:B, "Not Found")</f>
      </c>
      <c r="M1367" s="1" t="s">
        <v>5511</v>
      </c>
      <c r="N1367" s="8" t="s">
        <v>5512</v>
      </c>
      <c r="O1367" s="1" t="s">
        <v>5513</v>
      </c>
      <c r="P1367" s="5">
        <f>XLOOKUP(R1367, classification!C:C, classification!B:B, "Not Found")</f>
      </c>
      <c r="Q1367" s="1" t="s">
        <v>5514</v>
      </c>
      <c r="R1367" s="2"/>
      <c r="S1367" s="2"/>
      <c r="T1367" s="2"/>
      <c r="U1367" s="2"/>
    </row>
    <row x14ac:dyDescent="0.25" r="1368" customHeight="1" ht="17.25">
      <c r="A1368" s="7">
        <v>1367</v>
      </c>
      <c r="B1368" s="1" t="s">
        <v>6796</v>
      </c>
      <c r="C1368" s="5">
        <f>CONCATENATE("PD", TEXT(A1368, "1000000"))</f>
      </c>
      <c r="D1368" s="7">
        <v>74</v>
      </c>
      <c r="E1368" s="5">
        <f>XLOOKUP(G1368, item_category!C:C, item_category!B:B, "Not Found")</f>
      </c>
      <c r="F1368" s="1" t="s">
        <v>5520</v>
      </c>
      <c r="G1368" s="5">
        <f>XLOOKUP(I1368, drug!B:B, drug!A:A, "Not Found")</f>
      </c>
      <c r="H1368" s="1"/>
      <c r="I1368" s="7">
        <v>1</v>
      </c>
      <c r="J1368" s="5">
        <f>XLOOKUP(L1368, uom!C:C, uom!B:B, "Not Found")</f>
      </c>
      <c r="K1368" s="1" t="s">
        <v>5511</v>
      </c>
      <c r="L1368" s="5">
        <f>XLOOKUP(N1368, uom!C:C, uom!B:B, "Not Found")</f>
      </c>
      <c r="M1368" s="1" t="s">
        <v>5511</v>
      </c>
      <c r="N1368" s="8" t="s">
        <v>5512</v>
      </c>
      <c r="O1368" s="1" t="s">
        <v>5513</v>
      </c>
      <c r="P1368" s="5">
        <f>XLOOKUP(R1368, classification!C:C, classification!B:B, "Not Found")</f>
      </c>
      <c r="Q1368" s="1" t="s">
        <v>5514</v>
      </c>
      <c r="R1368" s="2"/>
      <c r="S1368" s="2"/>
      <c r="T1368" s="2"/>
      <c r="U1368" s="2"/>
    </row>
    <row x14ac:dyDescent="0.25" r="1369" customHeight="1" ht="17.25">
      <c r="A1369" s="7">
        <v>1368</v>
      </c>
      <c r="B1369" s="1" t="s">
        <v>6797</v>
      </c>
      <c r="C1369" s="5">
        <f>CONCATENATE("PD", TEXT(A1369, "1000000"))</f>
      </c>
      <c r="D1369" s="7">
        <v>74</v>
      </c>
      <c r="E1369" s="5">
        <f>XLOOKUP(G1369, item_category!C:C, item_category!B:B, "Not Found")</f>
      </c>
      <c r="F1369" s="1" t="s">
        <v>5520</v>
      </c>
      <c r="G1369" s="5">
        <f>XLOOKUP(I1369, drug!B:B, drug!A:A, "Not Found")</f>
      </c>
      <c r="H1369" s="1"/>
      <c r="I1369" s="7">
        <v>1</v>
      </c>
      <c r="J1369" s="5">
        <f>XLOOKUP(L1369, uom!C:C, uom!B:B, "Not Found")</f>
      </c>
      <c r="K1369" s="1" t="s">
        <v>5511</v>
      </c>
      <c r="L1369" s="5">
        <f>XLOOKUP(N1369, uom!C:C, uom!B:B, "Not Found")</f>
      </c>
      <c r="M1369" s="1" t="s">
        <v>5511</v>
      </c>
      <c r="N1369" s="8" t="s">
        <v>5512</v>
      </c>
      <c r="O1369" s="1" t="s">
        <v>5513</v>
      </c>
      <c r="P1369" s="5">
        <f>XLOOKUP(R1369, classification!C:C, classification!B:B, "Not Found")</f>
      </c>
      <c r="Q1369" s="1" t="s">
        <v>5514</v>
      </c>
      <c r="R1369" s="2"/>
      <c r="S1369" s="2"/>
      <c r="T1369" s="2"/>
      <c r="U1369" s="2"/>
    </row>
    <row x14ac:dyDescent="0.25" r="1370" customHeight="1" ht="17.25">
      <c r="A1370" s="7">
        <v>1369</v>
      </c>
      <c r="B1370" s="1" t="s">
        <v>6798</v>
      </c>
      <c r="C1370" s="5">
        <f>CONCATENATE("PD", TEXT(A1370, "1000000"))</f>
      </c>
      <c r="D1370" s="7">
        <v>74</v>
      </c>
      <c r="E1370" s="5">
        <f>XLOOKUP(G1370, item_category!C:C, item_category!B:B, "Not Found")</f>
      </c>
      <c r="F1370" s="1" t="s">
        <v>5520</v>
      </c>
      <c r="G1370" s="5">
        <f>XLOOKUP(I1370, drug!B:B, drug!A:A, "Not Found")</f>
      </c>
      <c r="H1370" s="1"/>
      <c r="I1370" s="7">
        <v>1</v>
      </c>
      <c r="J1370" s="5">
        <f>XLOOKUP(L1370, uom!C:C, uom!B:B, "Not Found")</f>
      </c>
      <c r="K1370" s="1" t="s">
        <v>5511</v>
      </c>
      <c r="L1370" s="5">
        <f>XLOOKUP(N1370, uom!C:C, uom!B:B, "Not Found")</f>
      </c>
      <c r="M1370" s="1" t="s">
        <v>5511</v>
      </c>
      <c r="N1370" s="8" t="s">
        <v>5512</v>
      </c>
      <c r="O1370" s="1" t="s">
        <v>5513</v>
      </c>
      <c r="P1370" s="5">
        <f>XLOOKUP(R1370, classification!C:C, classification!B:B, "Not Found")</f>
      </c>
      <c r="Q1370" s="1" t="s">
        <v>5514</v>
      </c>
      <c r="R1370" s="2"/>
      <c r="S1370" s="2"/>
      <c r="T1370" s="2"/>
      <c r="U1370" s="2"/>
    </row>
    <row x14ac:dyDescent="0.25" r="1371" customHeight="1" ht="17.25">
      <c r="A1371" s="7">
        <v>1370</v>
      </c>
      <c r="B1371" s="1" t="s">
        <v>6799</v>
      </c>
      <c r="C1371" s="5">
        <f>CONCATENATE("PD", TEXT(A1371, "1000000"))</f>
      </c>
      <c r="D1371" s="7">
        <v>74</v>
      </c>
      <c r="E1371" s="5">
        <f>XLOOKUP(G1371, item_category!C:C, item_category!B:B, "Not Found")</f>
      </c>
      <c r="F1371" s="1" t="s">
        <v>5520</v>
      </c>
      <c r="G1371" s="5">
        <f>XLOOKUP(I1371, drug!B:B, drug!A:A, "Not Found")</f>
      </c>
      <c r="H1371" s="1"/>
      <c r="I1371" s="7">
        <v>1</v>
      </c>
      <c r="J1371" s="5">
        <f>XLOOKUP(L1371, uom!C:C, uom!B:B, "Not Found")</f>
      </c>
      <c r="K1371" s="1" t="s">
        <v>5511</v>
      </c>
      <c r="L1371" s="5">
        <f>XLOOKUP(N1371, uom!C:C, uom!B:B, "Not Found")</f>
      </c>
      <c r="M1371" s="1" t="s">
        <v>5511</v>
      </c>
      <c r="N1371" s="8" t="s">
        <v>5512</v>
      </c>
      <c r="O1371" s="1" t="s">
        <v>5513</v>
      </c>
      <c r="P1371" s="5">
        <f>XLOOKUP(R1371, classification!C:C, classification!B:B, "Not Found")</f>
      </c>
      <c r="Q1371" s="1" t="s">
        <v>5514</v>
      </c>
      <c r="R1371" s="2"/>
      <c r="S1371" s="2"/>
      <c r="T1371" s="2"/>
      <c r="U1371" s="2"/>
    </row>
    <row x14ac:dyDescent="0.25" r="1372" customHeight="1" ht="17.25">
      <c r="A1372" s="7">
        <v>1371</v>
      </c>
      <c r="B1372" s="1" t="s">
        <v>6800</v>
      </c>
      <c r="C1372" s="5">
        <f>CONCATENATE("PD", TEXT(A1372, "1000000"))</f>
      </c>
      <c r="D1372" s="7">
        <v>74</v>
      </c>
      <c r="E1372" s="5">
        <f>XLOOKUP(G1372, item_category!C:C, item_category!B:B, "Not Found")</f>
      </c>
      <c r="F1372" s="1" t="s">
        <v>5520</v>
      </c>
      <c r="G1372" s="5">
        <f>XLOOKUP(I1372, drug!B:B, drug!A:A, "Not Found")</f>
      </c>
      <c r="H1372" s="1" t="s">
        <v>1942</v>
      </c>
      <c r="I1372" s="7">
        <v>1</v>
      </c>
      <c r="J1372" s="5">
        <f>XLOOKUP(L1372, uom!C:C, uom!B:B, "Not Found")</f>
      </c>
      <c r="K1372" s="1" t="s">
        <v>5511</v>
      </c>
      <c r="L1372" s="5">
        <f>XLOOKUP(N1372, uom!C:C, uom!B:B, "Not Found")</f>
      </c>
      <c r="M1372" s="1" t="s">
        <v>5511</v>
      </c>
      <c r="N1372" s="8" t="s">
        <v>5512</v>
      </c>
      <c r="O1372" s="1" t="s">
        <v>5513</v>
      </c>
      <c r="P1372" s="5">
        <f>XLOOKUP(R1372, classification!C:C, classification!B:B, "Not Found")</f>
      </c>
      <c r="Q1372" s="1" t="s">
        <v>5514</v>
      </c>
      <c r="R1372" s="2"/>
      <c r="S1372" s="2"/>
      <c r="T1372" s="2"/>
      <c r="U1372" s="2"/>
    </row>
    <row x14ac:dyDescent="0.25" r="1373" customHeight="1" ht="17.25">
      <c r="A1373" s="7">
        <v>1372</v>
      </c>
      <c r="B1373" s="1" t="s">
        <v>6801</v>
      </c>
      <c r="C1373" s="5">
        <f>CONCATENATE("PD", TEXT(A1373, "1000000"))</f>
      </c>
      <c r="D1373" s="7">
        <v>74</v>
      </c>
      <c r="E1373" s="5">
        <f>XLOOKUP(G1373, item_category!C:C, item_category!B:B, "Not Found")</f>
      </c>
      <c r="F1373" s="1" t="s">
        <v>5520</v>
      </c>
      <c r="G1373" s="5">
        <f>XLOOKUP(I1373, drug!B:B, drug!A:A, "Not Found")</f>
      </c>
      <c r="H1373" s="1"/>
      <c r="I1373" s="7">
        <v>1</v>
      </c>
      <c r="J1373" s="5">
        <f>XLOOKUP(L1373, uom!C:C, uom!B:B, "Not Found")</f>
      </c>
      <c r="K1373" s="1" t="s">
        <v>5511</v>
      </c>
      <c r="L1373" s="5">
        <f>XLOOKUP(N1373, uom!C:C, uom!B:B, "Not Found")</f>
      </c>
      <c r="M1373" s="1" t="s">
        <v>5511</v>
      </c>
      <c r="N1373" s="8" t="s">
        <v>5512</v>
      </c>
      <c r="O1373" s="1" t="s">
        <v>5513</v>
      </c>
      <c r="P1373" s="5">
        <f>XLOOKUP(R1373, classification!C:C, classification!B:B, "Not Found")</f>
      </c>
      <c r="Q1373" s="1" t="s">
        <v>5514</v>
      </c>
      <c r="R1373" s="2"/>
      <c r="S1373" s="2"/>
      <c r="T1373" s="2"/>
      <c r="U1373" s="2"/>
    </row>
    <row x14ac:dyDescent="0.25" r="1374" customHeight="1" ht="17.25">
      <c r="A1374" s="7">
        <v>1373</v>
      </c>
      <c r="B1374" s="1" t="s">
        <v>6802</v>
      </c>
      <c r="C1374" s="5">
        <f>CONCATENATE("PD", TEXT(A1374, "1000000"))</f>
      </c>
      <c r="D1374" s="7">
        <v>74</v>
      </c>
      <c r="E1374" s="5">
        <f>XLOOKUP(G1374, item_category!C:C, item_category!B:B, "Not Found")</f>
      </c>
      <c r="F1374" s="1" t="s">
        <v>5520</v>
      </c>
      <c r="G1374" s="5">
        <f>XLOOKUP(I1374, drug!B:B, drug!A:A, "Not Found")</f>
      </c>
      <c r="H1374" s="1"/>
      <c r="I1374" s="7">
        <v>1</v>
      </c>
      <c r="J1374" s="5">
        <f>XLOOKUP(L1374, uom!C:C, uom!B:B, "Not Found")</f>
      </c>
      <c r="K1374" s="1" t="s">
        <v>5511</v>
      </c>
      <c r="L1374" s="5">
        <f>XLOOKUP(N1374, uom!C:C, uom!B:B, "Not Found")</f>
      </c>
      <c r="M1374" s="1" t="s">
        <v>5511</v>
      </c>
      <c r="N1374" s="8" t="s">
        <v>5512</v>
      </c>
      <c r="O1374" s="1" t="s">
        <v>5513</v>
      </c>
      <c r="P1374" s="5">
        <f>XLOOKUP(R1374, classification!C:C, classification!B:B, "Not Found")</f>
      </c>
      <c r="Q1374" s="1" t="s">
        <v>5514</v>
      </c>
      <c r="R1374" s="2"/>
      <c r="S1374" s="2"/>
      <c r="T1374" s="2"/>
      <c r="U1374" s="2"/>
    </row>
    <row x14ac:dyDescent="0.25" r="1375" customHeight="1" ht="17.25">
      <c r="A1375" s="7">
        <v>1374</v>
      </c>
      <c r="B1375" s="1" t="s">
        <v>6803</v>
      </c>
      <c r="C1375" s="5">
        <f>CONCATENATE("PD", TEXT(A1375, "1000000"))</f>
      </c>
      <c r="D1375" s="7">
        <v>74</v>
      </c>
      <c r="E1375" s="5">
        <f>XLOOKUP(G1375, item_category!C:C, item_category!B:B, "Not Found")</f>
      </c>
      <c r="F1375" s="1" t="s">
        <v>5520</v>
      </c>
      <c r="G1375" s="5">
        <f>XLOOKUP(I1375, drug!B:B, drug!A:A, "Not Found")</f>
      </c>
      <c r="H1375" s="1"/>
      <c r="I1375" s="7">
        <v>1</v>
      </c>
      <c r="J1375" s="5">
        <f>XLOOKUP(L1375, uom!C:C, uom!B:B, "Not Found")</f>
      </c>
      <c r="K1375" s="1" t="s">
        <v>5511</v>
      </c>
      <c r="L1375" s="5">
        <f>XLOOKUP(N1375, uom!C:C, uom!B:B, "Not Found")</f>
      </c>
      <c r="M1375" s="1" t="s">
        <v>5511</v>
      </c>
      <c r="N1375" s="8" t="s">
        <v>5512</v>
      </c>
      <c r="O1375" s="1" t="s">
        <v>5513</v>
      </c>
      <c r="P1375" s="5">
        <f>XLOOKUP(R1375, classification!C:C, classification!B:B, "Not Found")</f>
      </c>
      <c r="Q1375" s="1" t="s">
        <v>5514</v>
      </c>
      <c r="R1375" s="2"/>
      <c r="S1375" s="2"/>
      <c r="T1375" s="2"/>
      <c r="U1375" s="2"/>
    </row>
    <row x14ac:dyDescent="0.25" r="1376" customHeight="1" ht="17.25">
      <c r="A1376" s="7">
        <v>1375</v>
      </c>
      <c r="B1376" s="1" t="s">
        <v>6804</v>
      </c>
      <c r="C1376" s="5">
        <f>CONCATENATE("PD", TEXT(A1376, "1000000"))</f>
      </c>
      <c r="D1376" s="7">
        <v>74</v>
      </c>
      <c r="E1376" s="5">
        <f>XLOOKUP(G1376, item_category!C:C, item_category!B:B, "Not Found")</f>
      </c>
      <c r="F1376" s="1" t="s">
        <v>5520</v>
      </c>
      <c r="G1376" s="5">
        <f>XLOOKUP(I1376, drug!B:B, drug!A:A, "Not Found")</f>
      </c>
      <c r="H1376" s="1"/>
      <c r="I1376" s="7">
        <v>1</v>
      </c>
      <c r="J1376" s="5">
        <f>XLOOKUP(L1376, uom!C:C, uom!B:B, "Not Found")</f>
      </c>
      <c r="K1376" s="1" t="s">
        <v>5511</v>
      </c>
      <c r="L1376" s="5">
        <f>XLOOKUP(N1376, uom!C:C, uom!B:B, "Not Found")</f>
      </c>
      <c r="M1376" s="1" t="s">
        <v>5511</v>
      </c>
      <c r="N1376" s="8" t="s">
        <v>5512</v>
      </c>
      <c r="O1376" s="1" t="s">
        <v>5513</v>
      </c>
      <c r="P1376" s="5">
        <f>XLOOKUP(R1376, classification!C:C, classification!B:B, "Not Found")</f>
      </c>
      <c r="Q1376" s="1" t="s">
        <v>5514</v>
      </c>
      <c r="R1376" s="2"/>
      <c r="S1376" s="2"/>
      <c r="T1376" s="2"/>
      <c r="U1376" s="2"/>
    </row>
    <row x14ac:dyDescent="0.25" r="1377" customHeight="1" ht="17.25">
      <c r="A1377" s="7">
        <v>1376</v>
      </c>
      <c r="B1377" s="1" t="s">
        <v>6805</v>
      </c>
      <c r="C1377" s="5">
        <f>CONCATENATE("PD", TEXT(A1377, "1000000"))</f>
      </c>
      <c r="D1377" s="7">
        <v>74</v>
      </c>
      <c r="E1377" s="5">
        <f>XLOOKUP(G1377, item_category!C:C, item_category!B:B, "Not Found")</f>
      </c>
      <c r="F1377" s="1" t="s">
        <v>5520</v>
      </c>
      <c r="G1377" s="5">
        <f>XLOOKUP(I1377, drug!B:B, drug!A:A, "Not Found")</f>
      </c>
      <c r="H1377" s="1" t="s">
        <v>75</v>
      </c>
      <c r="I1377" s="7">
        <v>1</v>
      </c>
      <c r="J1377" s="5">
        <f>XLOOKUP(L1377, uom!C:C, uom!B:B, "Not Found")</f>
      </c>
      <c r="K1377" s="1" t="s">
        <v>5511</v>
      </c>
      <c r="L1377" s="5">
        <f>XLOOKUP(N1377, uom!C:C, uom!B:B, "Not Found")</f>
      </c>
      <c r="M1377" s="1" t="s">
        <v>5511</v>
      </c>
      <c r="N1377" s="8" t="s">
        <v>5512</v>
      </c>
      <c r="O1377" s="1" t="s">
        <v>5513</v>
      </c>
      <c r="P1377" s="5">
        <f>XLOOKUP(R1377, classification!C:C, classification!B:B, "Not Found")</f>
      </c>
      <c r="Q1377" s="1" t="s">
        <v>5514</v>
      </c>
      <c r="R1377" s="2"/>
      <c r="S1377" s="2"/>
      <c r="T1377" s="2"/>
      <c r="U1377" s="2"/>
    </row>
    <row x14ac:dyDescent="0.25" r="1378" customHeight="1" ht="17.25">
      <c r="A1378" s="7">
        <v>1377</v>
      </c>
      <c r="B1378" s="1" t="s">
        <v>6806</v>
      </c>
      <c r="C1378" s="5">
        <f>CONCATENATE("PD", TEXT(A1378, "1000000"))</f>
      </c>
      <c r="D1378" s="7">
        <v>74</v>
      </c>
      <c r="E1378" s="5">
        <f>XLOOKUP(G1378, item_category!C:C, item_category!B:B, "Not Found")</f>
      </c>
      <c r="F1378" s="1" t="s">
        <v>5520</v>
      </c>
      <c r="G1378" s="5">
        <f>XLOOKUP(I1378, drug!B:B, drug!A:A, "Not Found")</f>
      </c>
      <c r="H1378" s="1"/>
      <c r="I1378" s="7">
        <v>1</v>
      </c>
      <c r="J1378" s="5">
        <f>XLOOKUP(L1378, uom!C:C, uom!B:B, "Not Found")</f>
      </c>
      <c r="K1378" s="1" t="s">
        <v>5511</v>
      </c>
      <c r="L1378" s="5">
        <f>XLOOKUP(N1378, uom!C:C, uom!B:B, "Not Found")</f>
      </c>
      <c r="M1378" s="1" t="s">
        <v>5511</v>
      </c>
      <c r="N1378" s="8" t="s">
        <v>5512</v>
      </c>
      <c r="O1378" s="1" t="s">
        <v>5513</v>
      </c>
      <c r="P1378" s="5">
        <f>XLOOKUP(R1378, classification!C:C, classification!B:B, "Not Found")</f>
      </c>
      <c r="Q1378" s="1" t="s">
        <v>5514</v>
      </c>
      <c r="R1378" s="2"/>
      <c r="S1378" s="2"/>
      <c r="T1378" s="2"/>
      <c r="U1378" s="2"/>
    </row>
    <row x14ac:dyDescent="0.25" r="1379" customHeight="1" ht="17.25">
      <c r="A1379" s="7">
        <v>1378</v>
      </c>
      <c r="B1379" s="1" t="s">
        <v>6807</v>
      </c>
      <c r="C1379" s="5">
        <f>CONCATENATE("PD", TEXT(A1379, "1000000"))</f>
      </c>
      <c r="D1379" s="7">
        <v>74</v>
      </c>
      <c r="E1379" s="5">
        <f>XLOOKUP(G1379, item_category!C:C, item_category!B:B, "Not Found")</f>
      </c>
      <c r="F1379" s="1" t="s">
        <v>5520</v>
      </c>
      <c r="G1379" s="5">
        <f>XLOOKUP(I1379, drug!B:B, drug!A:A, "Not Found")</f>
      </c>
      <c r="H1379" s="1"/>
      <c r="I1379" s="7">
        <v>1</v>
      </c>
      <c r="J1379" s="5">
        <f>XLOOKUP(L1379, uom!C:C, uom!B:B, "Not Found")</f>
      </c>
      <c r="K1379" s="1" t="s">
        <v>5511</v>
      </c>
      <c r="L1379" s="5">
        <f>XLOOKUP(N1379, uom!C:C, uom!B:B, "Not Found")</f>
      </c>
      <c r="M1379" s="1" t="s">
        <v>5511</v>
      </c>
      <c r="N1379" s="8" t="s">
        <v>5512</v>
      </c>
      <c r="O1379" s="1" t="s">
        <v>5513</v>
      </c>
      <c r="P1379" s="5">
        <f>XLOOKUP(R1379, classification!C:C, classification!B:B, "Not Found")</f>
      </c>
      <c r="Q1379" s="1" t="s">
        <v>5514</v>
      </c>
      <c r="R1379" s="2"/>
      <c r="S1379" s="2"/>
      <c r="T1379" s="2"/>
      <c r="U1379" s="2"/>
    </row>
    <row x14ac:dyDescent="0.25" r="1380" customHeight="1" ht="17.25">
      <c r="A1380" s="7">
        <v>1379</v>
      </c>
      <c r="B1380" s="1" t="s">
        <v>6808</v>
      </c>
      <c r="C1380" s="5">
        <f>CONCATENATE("PD", TEXT(A1380, "1000000"))</f>
      </c>
      <c r="D1380" s="7">
        <v>74</v>
      </c>
      <c r="E1380" s="5">
        <f>XLOOKUP(G1380, item_category!C:C, item_category!B:B, "Not Found")</f>
      </c>
      <c r="F1380" s="1" t="s">
        <v>5520</v>
      </c>
      <c r="G1380" s="5">
        <f>XLOOKUP(I1380, drug!B:B, drug!A:A, "Not Found")</f>
      </c>
      <c r="H1380" s="1"/>
      <c r="I1380" s="7">
        <v>1</v>
      </c>
      <c r="J1380" s="5">
        <f>XLOOKUP(L1380, uom!C:C, uom!B:B, "Not Found")</f>
      </c>
      <c r="K1380" s="1" t="s">
        <v>5511</v>
      </c>
      <c r="L1380" s="5">
        <f>XLOOKUP(N1380, uom!C:C, uom!B:B, "Not Found")</f>
      </c>
      <c r="M1380" s="1" t="s">
        <v>5511</v>
      </c>
      <c r="N1380" s="8" t="s">
        <v>5512</v>
      </c>
      <c r="O1380" s="1" t="s">
        <v>5513</v>
      </c>
      <c r="P1380" s="5">
        <f>XLOOKUP(R1380, classification!C:C, classification!B:B, "Not Found")</f>
      </c>
      <c r="Q1380" s="1" t="s">
        <v>5514</v>
      </c>
      <c r="R1380" s="2"/>
      <c r="S1380" s="2"/>
      <c r="T1380" s="2"/>
      <c r="U1380" s="2"/>
    </row>
    <row x14ac:dyDescent="0.25" r="1381" customHeight="1" ht="17.25">
      <c r="A1381" s="7">
        <v>1380</v>
      </c>
      <c r="B1381" s="1" t="s">
        <v>2650</v>
      </c>
      <c r="C1381" s="5">
        <f>CONCATENATE("PD", TEXT(A1381, "1000000"))</f>
      </c>
      <c r="D1381" s="7">
        <v>74</v>
      </c>
      <c r="E1381" s="5">
        <f>XLOOKUP(G1381, item_category!C:C, item_category!B:B, "Not Found")</f>
      </c>
      <c r="F1381" s="1" t="s">
        <v>5520</v>
      </c>
      <c r="G1381" s="5">
        <f>XLOOKUP(I1381, drug!B:B, drug!A:A, "Not Found")</f>
      </c>
      <c r="H1381" s="1"/>
      <c r="I1381" s="7">
        <v>1</v>
      </c>
      <c r="J1381" s="5">
        <f>XLOOKUP(L1381, uom!C:C, uom!B:B, "Not Found")</f>
      </c>
      <c r="K1381" s="1" t="s">
        <v>5511</v>
      </c>
      <c r="L1381" s="5">
        <f>XLOOKUP(N1381, uom!C:C, uom!B:B, "Not Found")</f>
      </c>
      <c r="M1381" s="1" t="s">
        <v>5511</v>
      </c>
      <c r="N1381" s="8" t="s">
        <v>5512</v>
      </c>
      <c r="O1381" s="1" t="s">
        <v>5513</v>
      </c>
      <c r="P1381" s="5">
        <f>XLOOKUP(R1381, classification!C:C, classification!B:B, "Not Found")</f>
      </c>
      <c r="Q1381" s="1" t="s">
        <v>5514</v>
      </c>
      <c r="R1381" s="2"/>
      <c r="S1381" s="2"/>
      <c r="T1381" s="2"/>
      <c r="U1381" s="2"/>
    </row>
    <row x14ac:dyDescent="0.25" r="1382" customHeight="1" ht="17.25">
      <c r="A1382" s="7">
        <v>1381</v>
      </c>
      <c r="B1382" s="1" t="s">
        <v>6809</v>
      </c>
      <c r="C1382" s="5">
        <f>CONCATENATE("PD", TEXT(A1382, "1000000"))</f>
      </c>
      <c r="D1382" s="7">
        <v>74</v>
      </c>
      <c r="E1382" s="5">
        <f>XLOOKUP(G1382, item_category!C:C, item_category!B:B, "Not Found")</f>
      </c>
      <c r="F1382" s="1" t="s">
        <v>5520</v>
      </c>
      <c r="G1382" s="5">
        <f>XLOOKUP(I1382, drug!B:B, drug!A:A, "Not Found")</f>
      </c>
      <c r="H1382" s="1"/>
      <c r="I1382" s="7">
        <v>1</v>
      </c>
      <c r="J1382" s="5">
        <f>XLOOKUP(L1382, uom!C:C, uom!B:B, "Not Found")</f>
      </c>
      <c r="K1382" s="1" t="s">
        <v>5511</v>
      </c>
      <c r="L1382" s="5">
        <f>XLOOKUP(N1382, uom!C:C, uom!B:B, "Not Found")</f>
      </c>
      <c r="M1382" s="1" t="s">
        <v>5511</v>
      </c>
      <c r="N1382" s="8" t="s">
        <v>5512</v>
      </c>
      <c r="O1382" s="1" t="s">
        <v>5513</v>
      </c>
      <c r="P1382" s="5">
        <f>XLOOKUP(R1382, classification!C:C, classification!B:B, "Not Found")</f>
      </c>
      <c r="Q1382" s="1" t="s">
        <v>5514</v>
      </c>
      <c r="R1382" s="2"/>
      <c r="S1382" s="2"/>
      <c r="T1382" s="2"/>
      <c r="U1382" s="2"/>
    </row>
    <row x14ac:dyDescent="0.25" r="1383" customHeight="1" ht="17.25">
      <c r="A1383" s="7">
        <v>1382</v>
      </c>
      <c r="B1383" s="1" t="s">
        <v>6810</v>
      </c>
      <c r="C1383" s="5">
        <f>CONCATENATE("PD", TEXT(A1383, "1000000"))</f>
      </c>
      <c r="D1383" s="7">
        <v>74</v>
      </c>
      <c r="E1383" s="5">
        <f>XLOOKUP(G1383, item_category!C:C, item_category!B:B, "Not Found")</f>
      </c>
      <c r="F1383" s="1" t="s">
        <v>5520</v>
      </c>
      <c r="G1383" s="5">
        <f>XLOOKUP(I1383, drug!B:B, drug!A:A, "Not Found")</f>
      </c>
      <c r="H1383" s="1"/>
      <c r="I1383" s="7">
        <v>1</v>
      </c>
      <c r="J1383" s="5">
        <f>XLOOKUP(L1383, uom!C:C, uom!B:B, "Not Found")</f>
      </c>
      <c r="K1383" s="1" t="s">
        <v>5511</v>
      </c>
      <c r="L1383" s="5">
        <f>XLOOKUP(N1383, uom!C:C, uom!B:B, "Not Found")</f>
      </c>
      <c r="M1383" s="1" t="s">
        <v>5511</v>
      </c>
      <c r="N1383" s="8" t="s">
        <v>5512</v>
      </c>
      <c r="O1383" s="1" t="s">
        <v>5513</v>
      </c>
      <c r="P1383" s="5">
        <f>XLOOKUP(R1383, classification!C:C, classification!B:B, "Not Found")</f>
      </c>
      <c r="Q1383" s="1" t="s">
        <v>5514</v>
      </c>
      <c r="R1383" s="2"/>
      <c r="S1383" s="2"/>
      <c r="T1383" s="2"/>
      <c r="U1383" s="2"/>
    </row>
    <row x14ac:dyDescent="0.25" r="1384" customHeight="1" ht="17.25">
      <c r="A1384" s="7">
        <v>1383</v>
      </c>
      <c r="B1384" s="1" t="s">
        <v>6811</v>
      </c>
      <c r="C1384" s="5">
        <f>CONCATENATE("PD", TEXT(A1384, "1000000"))</f>
      </c>
      <c r="D1384" s="7">
        <v>74</v>
      </c>
      <c r="E1384" s="5">
        <f>XLOOKUP(G1384, item_category!C:C, item_category!B:B, "Not Found")</f>
      </c>
      <c r="F1384" s="1" t="s">
        <v>5520</v>
      </c>
      <c r="G1384" s="5">
        <f>XLOOKUP(I1384, drug!B:B, drug!A:A, "Not Found")</f>
      </c>
      <c r="H1384" s="1"/>
      <c r="I1384" s="7">
        <v>1</v>
      </c>
      <c r="J1384" s="5">
        <f>XLOOKUP(L1384, uom!C:C, uom!B:B, "Not Found")</f>
      </c>
      <c r="K1384" s="1" t="s">
        <v>5511</v>
      </c>
      <c r="L1384" s="5">
        <f>XLOOKUP(N1384, uom!C:C, uom!B:B, "Not Found")</f>
      </c>
      <c r="M1384" s="1" t="s">
        <v>5511</v>
      </c>
      <c r="N1384" s="8" t="s">
        <v>5512</v>
      </c>
      <c r="O1384" s="1" t="s">
        <v>5513</v>
      </c>
      <c r="P1384" s="5">
        <f>XLOOKUP(R1384, classification!C:C, classification!B:B, "Not Found")</f>
      </c>
      <c r="Q1384" s="1" t="s">
        <v>5514</v>
      </c>
      <c r="R1384" s="2"/>
      <c r="S1384" s="2"/>
      <c r="T1384" s="2"/>
      <c r="U1384" s="2"/>
    </row>
    <row x14ac:dyDescent="0.25" r="1385" customHeight="1" ht="17.25">
      <c r="A1385" s="7">
        <v>1384</v>
      </c>
      <c r="B1385" s="1" t="s">
        <v>6812</v>
      </c>
      <c r="C1385" s="5">
        <f>CONCATENATE("PD", TEXT(A1385, "1000000"))</f>
      </c>
      <c r="D1385" s="7">
        <v>74</v>
      </c>
      <c r="E1385" s="5">
        <f>XLOOKUP(G1385, item_category!C:C, item_category!B:B, "Not Found")</f>
      </c>
      <c r="F1385" s="1" t="s">
        <v>5520</v>
      </c>
      <c r="G1385" s="5">
        <f>XLOOKUP(I1385, drug!B:B, drug!A:A, "Not Found")</f>
      </c>
      <c r="H1385" s="1"/>
      <c r="I1385" s="7">
        <v>1</v>
      </c>
      <c r="J1385" s="5">
        <f>XLOOKUP(L1385, uom!C:C, uom!B:B, "Not Found")</f>
      </c>
      <c r="K1385" s="1" t="s">
        <v>5511</v>
      </c>
      <c r="L1385" s="5">
        <f>XLOOKUP(N1385, uom!C:C, uom!B:B, "Not Found")</f>
      </c>
      <c r="M1385" s="1" t="s">
        <v>5511</v>
      </c>
      <c r="N1385" s="8" t="s">
        <v>5512</v>
      </c>
      <c r="O1385" s="1" t="s">
        <v>5513</v>
      </c>
      <c r="P1385" s="5">
        <f>XLOOKUP(R1385, classification!C:C, classification!B:B, "Not Found")</f>
      </c>
      <c r="Q1385" s="1" t="s">
        <v>5514</v>
      </c>
      <c r="R1385" s="2"/>
      <c r="S1385" s="2"/>
      <c r="T1385" s="2"/>
      <c r="U1385" s="2"/>
    </row>
    <row x14ac:dyDescent="0.25" r="1386" customHeight="1" ht="17.25">
      <c r="A1386" s="7">
        <v>1385</v>
      </c>
      <c r="B1386" s="1" t="s">
        <v>6813</v>
      </c>
      <c r="C1386" s="5">
        <f>CONCATENATE("PD", TEXT(A1386, "1000000"))</f>
      </c>
      <c r="D1386" s="7">
        <v>74</v>
      </c>
      <c r="E1386" s="5">
        <f>XLOOKUP(G1386, item_category!C:C, item_category!B:B, "Not Found")</f>
      </c>
      <c r="F1386" s="1" t="s">
        <v>5520</v>
      </c>
      <c r="G1386" s="5">
        <f>XLOOKUP(I1386, drug!B:B, drug!A:A, "Not Found")</f>
      </c>
      <c r="H1386" s="1" t="s">
        <v>95</v>
      </c>
      <c r="I1386" s="7">
        <v>1</v>
      </c>
      <c r="J1386" s="5">
        <f>XLOOKUP(L1386, uom!C:C, uom!B:B, "Not Found")</f>
      </c>
      <c r="K1386" s="1" t="s">
        <v>5511</v>
      </c>
      <c r="L1386" s="5">
        <f>XLOOKUP(N1386, uom!C:C, uom!B:B, "Not Found")</f>
      </c>
      <c r="M1386" s="1" t="s">
        <v>5511</v>
      </c>
      <c r="N1386" s="8" t="s">
        <v>5512</v>
      </c>
      <c r="O1386" s="1" t="s">
        <v>5513</v>
      </c>
      <c r="P1386" s="5">
        <f>XLOOKUP(R1386, classification!C:C, classification!B:B, "Not Found")</f>
      </c>
      <c r="Q1386" s="1" t="s">
        <v>5514</v>
      </c>
      <c r="R1386" s="2"/>
      <c r="S1386" s="2"/>
      <c r="T1386" s="2"/>
      <c r="U1386" s="2"/>
    </row>
    <row x14ac:dyDescent="0.25" r="1387" customHeight="1" ht="17.25">
      <c r="A1387" s="7">
        <v>1386</v>
      </c>
      <c r="B1387" s="1" t="s">
        <v>6814</v>
      </c>
      <c r="C1387" s="5">
        <f>CONCATENATE("PD", TEXT(A1387, "1000000"))</f>
      </c>
      <c r="D1387" s="7">
        <v>74</v>
      </c>
      <c r="E1387" s="5">
        <f>XLOOKUP(G1387, item_category!C:C, item_category!B:B, "Not Found")</f>
      </c>
      <c r="F1387" s="1" t="s">
        <v>5520</v>
      </c>
      <c r="G1387" s="5">
        <f>XLOOKUP(I1387, drug!B:B, drug!A:A, "Not Found")</f>
      </c>
      <c r="H1387" s="1" t="s">
        <v>95</v>
      </c>
      <c r="I1387" s="7">
        <v>1</v>
      </c>
      <c r="J1387" s="5">
        <f>XLOOKUP(L1387, uom!C:C, uom!B:B, "Not Found")</f>
      </c>
      <c r="K1387" s="1" t="s">
        <v>5511</v>
      </c>
      <c r="L1387" s="5">
        <f>XLOOKUP(N1387, uom!C:C, uom!B:B, "Not Found")</f>
      </c>
      <c r="M1387" s="1" t="s">
        <v>5511</v>
      </c>
      <c r="N1387" s="8" t="s">
        <v>5512</v>
      </c>
      <c r="O1387" s="1" t="s">
        <v>5513</v>
      </c>
      <c r="P1387" s="5">
        <f>XLOOKUP(R1387, classification!C:C, classification!B:B, "Not Found")</f>
      </c>
      <c r="Q1387" s="1" t="s">
        <v>5514</v>
      </c>
      <c r="R1387" s="2"/>
      <c r="S1387" s="2"/>
      <c r="T1387" s="2"/>
      <c r="U1387" s="2"/>
    </row>
    <row x14ac:dyDescent="0.25" r="1388" customHeight="1" ht="17.25">
      <c r="A1388" s="7">
        <v>1387</v>
      </c>
      <c r="B1388" s="1" t="s">
        <v>6815</v>
      </c>
      <c r="C1388" s="5">
        <f>CONCATENATE("PD", TEXT(A1388, "1000000"))</f>
      </c>
      <c r="D1388" s="7">
        <v>74</v>
      </c>
      <c r="E1388" s="5">
        <f>XLOOKUP(G1388, item_category!C:C, item_category!B:B, "Not Found")</f>
      </c>
      <c r="F1388" s="1" t="s">
        <v>5520</v>
      </c>
      <c r="G1388" s="5">
        <f>XLOOKUP(I1388, drug!B:B, drug!A:A, "Not Found")</f>
      </c>
      <c r="H1388" s="1"/>
      <c r="I1388" s="7">
        <v>1</v>
      </c>
      <c r="J1388" s="5">
        <f>XLOOKUP(L1388, uom!C:C, uom!B:B, "Not Found")</f>
      </c>
      <c r="K1388" s="1" t="s">
        <v>5511</v>
      </c>
      <c r="L1388" s="5">
        <f>XLOOKUP(N1388, uom!C:C, uom!B:B, "Not Found")</f>
      </c>
      <c r="M1388" s="1" t="s">
        <v>5511</v>
      </c>
      <c r="N1388" s="8" t="s">
        <v>5512</v>
      </c>
      <c r="O1388" s="1" t="s">
        <v>5513</v>
      </c>
      <c r="P1388" s="5">
        <f>XLOOKUP(R1388, classification!C:C, classification!B:B, "Not Found")</f>
      </c>
      <c r="Q1388" s="1" t="s">
        <v>5514</v>
      </c>
      <c r="R1388" s="2"/>
      <c r="S1388" s="2"/>
      <c r="T1388" s="2"/>
      <c r="U1388" s="2"/>
    </row>
    <row x14ac:dyDescent="0.25" r="1389" customHeight="1" ht="17.25">
      <c r="A1389" s="7">
        <v>1388</v>
      </c>
      <c r="B1389" s="1" t="s">
        <v>6816</v>
      </c>
      <c r="C1389" s="5">
        <f>CONCATENATE("PD", TEXT(A1389, "1000000"))</f>
      </c>
      <c r="D1389" s="7">
        <v>74</v>
      </c>
      <c r="E1389" s="5">
        <f>XLOOKUP(G1389, item_category!C:C, item_category!B:B, "Not Found")</f>
      </c>
      <c r="F1389" s="1" t="s">
        <v>5520</v>
      </c>
      <c r="G1389" s="5">
        <f>XLOOKUP(I1389, drug!B:B, drug!A:A, "Not Found")</f>
      </c>
      <c r="H1389" s="1" t="s">
        <v>1942</v>
      </c>
      <c r="I1389" s="7">
        <v>1</v>
      </c>
      <c r="J1389" s="5">
        <f>XLOOKUP(L1389, uom!C:C, uom!B:B, "Not Found")</f>
      </c>
      <c r="K1389" s="1" t="s">
        <v>5511</v>
      </c>
      <c r="L1389" s="5">
        <f>XLOOKUP(N1389, uom!C:C, uom!B:B, "Not Found")</f>
      </c>
      <c r="M1389" s="1" t="s">
        <v>5511</v>
      </c>
      <c r="N1389" s="8" t="s">
        <v>5512</v>
      </c>
      <c r="O1389" s="1" t="s">
        <v>5513</v>
      </c>
      <c r="P1389" s="5">
        <f>XLOOKUP(R1389, classification!C:C, classification!B:B, "Not Found")</f>
      </c>
      <c r="Q1389" s="1" t="s">
        <v>5514</v>
      </c>
      <c r="R1389" s="2"/>
      <c r="S1389" s="2"/>
      <c r="T1389" s="2"/>
      <c r="U1389" s="2"/>
    </row>
    <row x14ac:dyDescent="0.25" r="1390" customHeight="1" ht="17.25">
      <c r="A1390" s="7">
        <v>1389</v>
      </c>
      <c r="B1390" s="1" t="s">
        <v>6817</v>
      </c>
      <c r="C1390" s="5">
        <f>CONCATENATE("PD", TEXT(A1390, "1000000"))</f>
      </c>
      <c r="D1390" s="7">
        <v>74</v>
      </c>
      <c r="E1390" s="5">
        <f>XLOOKUP(G1390, item_category!C:C, item_category!B:B, "Not Found")</f>
      </c>
      <c r="F1390" s="1" t="s">
        <v>5520</v>
      </c>
      <c r="G1390" s="5">
        <f>XLOOKUP(I1390, drug!B:B, drug!A:A, "Not Found")</f>
      </c>
      <c r="H1390" s="1"/>
      <c r="I1390" s="7">
        <v>1</v>
      </c>
      <c r="J1390" s="5">
        <f>XLOOKUP(L1390, uom!C:C, uom!B:B, "Not Found")</f>
      </c>
      <c r="K1390" s="1" t="s">
        <v>5511</v>
      </c>
      <c r="L1390" s="5">
        <f>XLOOKUP(N1390, uom!C:C, uom!B:B, "Not Found")</f>
      </c>
      <c r="M1390" s="1" t="s">
        <v>5511</v>
      </c>
      <c r="N1390" s="8" t="s">
        <v>5512</v>
      </c>
      <c r="O1390" s="1" t="s">
        <v>5513</v>
      </c>
      <c r="P1390" s="5">
        <f>XLOOKUP(R1390, classification!C:C, classification!B:B, "Not Found")</f>
      </c>
      <c r="Q1390" s="1" t="s">
        <v>5514</v>
      </c>
      <c r="R1390" s="2"/>
      <c r="S1390" s="2"/>
      <c r="T1390" s="2"/>
      <c r="U1390" s="2"/>
    </row>
    <row x14ac:dyDescent="0.25" r="1391" customHeight="1" ht="17.25">
      <c r="A1391" s="7">
        <v>1390</v>
      </c>
      <c r="B1391" s="1" t="s">
        <v>6818</v>
      </c>
      <c r="C1391" s="5">
        <f>CONCATENATE("PD", TEXT(A1391, "1000000"))</f>
      </c>
      <c r="D1391" s="7">
        <v>74</v>
      </c>
      <c r="E1391" s="5">
        <f>XLOOKUP(G1391, item_category!C:C, item_category!B:B, "Not Found")</f>
      </c>
      <c r="F1391" s="1" t="s">
        <v>5520</v>
      </c>
      <c r="G1391" s="5">
        <f>XLOOKUP(I1391, drug!B:B, drug!A:A, "Not Found")</f>
      </c>
      <c r="H1391" s="1"/>
      <c r="I1391" s="7">
        <v>1</v>
      </c>
      <c r="J1391" s="5">
        <f>XLOOKUP(L1391, uom!C:C, uom!B:B, "Not Found")</f>
      </c>
      <c r="K1391" s="1" t="s">
        <v>5511</v>
      </c>
      <c r="L1391" s="5">
        <f>XLOOKUP(N1391, uom!C:C, uom!B:B, "Not Found")</f>
      </c>
      <c r="M1391" s="1" t="s">
        <v>5511</v>
      </c>
      <c r="N1391" s="8" t="s">
        <v>5512</v>
      </c>
      <c r="O1391" s="1" t="s">
        <v>5513</v>
      </c>
      <c r="P1391" s="5">
        <f>XLOOKUP(R1391, classification!C:C, classification!B:B, "Not Found")</f>
      </c>
      <c r="Q1391" s="1" t="s">
        <v>5514</v>
      </c>
      <c r="R1391" s="2"/>
      <c r="S1391" s="2"/>
      <c r="T1391" s="2"/>
      <c r="U1391" s="2"/>
    </row>
    <row x14ac:dyDescent="0.25" r="1392" customHeight="1" ht="17.25">
      <c r="A1392" s="7">
        <v>1391</v>
      </c>
      <c r="B1392" s="1" t="s">
        <v>6819</v>
      </c>
      <c r="C1392" s="5">
        <f>CONCATENATE("PD", TEXT(A1392, "1000000"))</f>
      </c>
      <c r="D1392" s="7">
        <v>74</v>
      </c>
      <c r="E1392" s="5">
        <f>XLOOKUP(G1392, item_category!C:C, item_category!B:B, "Not Found")</f>
      </c>
      <c r="F1392" s="1" t="s">
        <v>5520</v>
      </c>
      <c r="G1392" s="5">
        <f>XLOOKUP(I1392, drug!B:B, drug!A:A, "Not Found")</f>
      </c>
      <c r="H1392" s="1" t="s">
        <v>1336</v>
      </c>
      <c r="I1392" s="7">
        <v>1</v>
      </c>
      <c r="J1392" s="5">
        <f>XLOOKUP(L1392, uom!C:C, uom!B:B, "Not Found")</f>
      </c>
      <c r="K1392" s="1" t="s">
        <v>5511</v>
      </c>
      <c r="L1392" s="5">
        <f>XLOOKUP(N1392, uom!C:C, uom!B:B, "Not Found")</f>
      </c>
      <c r="M1392" s="1" t="s">
        <v>5511</v>
      </c>
      <c r="N1392" s="8" t="s">
        <v>5512</v>
      </c>
      <c r="O1392" s="1" t="s">
        <v>5513</v>
      </c>
      <c r="P1392" s="5">
        <f>XLOOKUP(R1392, classification!C:C, classification!B:B, "Not Found")</f>
      </c>
      <c r="Q1392" s="1" t="s">
        <v>5514</v>
      </c>
      <c r="R1392" s="2"/>
      <c r="S1392" s="2"/>
      <c r="T1392" s="2"/>
      <c r="U1392" s="2"/>
    </row>
    <row x14ac:dyDescent="0.25" r="1393" customHeight="1" ht="17.25">
      <c r="A1393" s="7">
        <v>1392</v>
      </c>
      <c r="B1393" s="1" t="s">
        <v>6820</v>
      </c>
      <c r="C1393" s="5">
        <f>CONCATENATE("PD", TEXT(A1393, "1000000"))</f>
      </c>
      <c r="D1393" s="7">
        <v>74</v>
      </c>
      <c r="E1393" s="5">
        <f>XLOOKUP(G1393, item_category!C:C, item_category!B:B, "Not Found")</f>
      </c>
      <c r="F1393" s="1" t="s">
        <v>5520</v>
      </c>
      <c r="G1393" s="5">
        <f>XLOOKUP(I1393, drug!B:B, drug!A:A, "Not Found")</f>
      </c>
      <c r="H1393" s="1"/>
      <c r="I1393" s="7">
        <v>1</v>
      </c>
      <c r="J1393" s="5">
        <f>XLOOKUP(L1393, uom!C:C, uom!B:B, "Not Found")</f>
      </c>
      <c r="K1393" s="1" t="s">
        <v>5511</v>
      </c>
      <c r="L1393" s="5">
        <f>XLOOKUP(N1393, uom!C:C, uom!B:B, "Not Found")</f>
      </c>
      <c r="M1393" s="1" t="s">
        <v>5511</v>
      </c>
      <c r="N1393" s="8" t="s">
        <v>5512</v>
      </c>
      <c r="O1393" s="1" t="s">
        <v>5513</v>
      </c>
      <c r="P1393" s="5">
        <f>XLOOKUP(R1393, classification!C:C, classification!B:B, "Not Found")</f>
      </c>
      <c r="Q1393" s="1" t="s">
        <v>5514</v>
      </c>
      <c r="R1393" s="2"/>
      <c r="S1393" s="2"/>
      <c r="T1393" s="2"/>
      <c r="U1393" s="2"/>
    </row>
    <row x14ac:dyDescent="0.25" r="1394" customHeight="1" ht="17.25">
      <c r="A1394" s="7">
        <v>1393</v>
      </c>
      <c r="B1394" s="1" t="s">
        <v>6821</v>
      </c>
      <c r="C1394" s="5">
        <f>CONCATENATE("PD", TEXT(A1394, "1000000"))</f>
      </c>
      <c r="D1394" s="7">
        <v>74</v>
      </c>
      <c r="E1394" s="5">
        <f>XLOOKUP(G1394, item_category!C:C, item_category!B:B, "Not Found")</f>
      </c>
      <c r="F1394" s="1" t="s">
        <v>5520</v>
      </c>
      <c r="G1394" s="5">
        <f>XLOOKUP(I1394, drug!B:B, drug!A:A, "Not Found")</f>
      </c>
      <c r="H1394" s="1"/>
      <c r="I1394" s="7">
        <v>1</v>
      </c>
      <c r="J1394" s="5">
        <f>XLOOKUP(L1394, uom!C:C, uom!B:B, "Not Found")</f>
      </c>
      <c r="K1394" s="1" t="s">
        <v>5511</v>
      </c>
      <c r="L1394" s="5">
        <f>XLOOKUP(N1394, uom!C:C, uom!B:B, "Not Found")</f>
      </c>
      <c r="M1394" s="1" t="s">
        <v>5511</v>
      </c>
      <c r="N1394" s="8" t="s">
        <v>5512</v>
      </c>
      <c r="O1394" s="1" t="s">
        <v>5513</v>
      </c>
      <c r="P1394" s="5">
        <f>XLOOKUP(R1394, classification!C:C, classification!B:B, "Not Found")</f>
      </c>
      <c r="Q1394" s="1" t="s">
        <v>5514</v>
      </c>
      <c r="R1394" s="2"/>
      <c r="S1394" s="2"/>
      <c r="T1394" s="2"/>
      <c r="U1394" s="2"/>
    </row>
    <row x14ac:dyDescent="0.25" r="1395" customHeight="1" ht="17.25">
      <c r="A1395" s="7">
        <v>1394</v>
      </c>
      <c r="B1395" s="1" t="s">
        <v>6822</v>
      </c>
      <c r="C1395" s="5">
        <f>CONCATENATE("PD", TEXT(A1395, "1000000"))</f>
      </c>
      <c r="D1395" s="7">
        <v>74</v>
      </c>
      <c r="E1395" s="5">
        <f>XLOOKUP(G1395, item_category!C:C, item_category!B:B, "Not Found")</f>
      </c>
      <c r="F1395" s="1" t="s">
        <v>5520</v>
      </c>
      <c r="G1395" s="5">
        <f>XLOOKUP(I1395, drug!B:B, drug!A:A, "Not Found")</f>
      </c>
      <c r="H1395" s="1"/>
      <c r="I1395" s="7">
        <v>1</v>
      </c>
      <c r="J1395" s="5">
        <f>XLOOKUP(L1395, uom!C:C, uom!B:B, "Not Found")</f>
      </c>
      <c r="K1395" s="1" t="s">
        <v>5511</v>
      </c>
      <c r="L1395" s="5">
        <f>XLOOKUP(N1395, uom!C:C, uom!B:B, "Not Found")</f>
      </c>
      <c r="M1395" s="1" t="s">
        <v>5511</v>
      </c>
      <c r="N1395" s="8" t="s">
        <v>5512</v>
      </c>
      <c r="O1395" s="1" t="s">
        <v>5513</v>
      </c>
      <c r="P1395" s="5">
        <f>XLOOKUP(R1395, classification!C:C, classification!B:B, "Not Found")</f>
      </c>
      <c r="Q1395" s="1" t="s">
        <v>5514</v>
      </c>
      <c r="R1395" s="2"/>
      <c r="S1395" s="2"/>
      <c r="T1395" s="2"/>
      <c r="U1395" s="2"/>
    </row>
    <row x14ac:dyDescent="0.25" r="1396" customHeight="1" ht="17.25">
      <c r="A1396" s="7">
        <v>1395</v>
      </c>
      <c r="B1396" s="1" t="s">
        <v>6823</v>
      </c>
      <c r="C1396" s="5">
        <f>CONCATENATE("PD", TEXT(A1396, "1000000"))</f>
      </c>
      <c r="D1396" s="7">
        <v>74</v>
      </c>
      <c r="E1396" s="5">
        <f>XLOOKUP(G1396, item_category!C:C, item_category!B:B, "Not Found")</f>
      </c>
      <c r="F1396" s="1" t="s">
        <v>5520</v>
      </c>
      <c r="G1396" s="5">
        <f>XLOOKUP(I1396, drug!B:B, drug!A:A, "Not Found")</f>
      </c>
      <c r="H1396" s="1"/>
      <c r="I1396" s="7">
        <v>1</v>
      </c>
      <c r="J1396" s="5">
        <f>XLOOKUP(L1396, uom!C:C, uom!B:B, "Not Found")</f>
      </c>
      <c r="K1396" s="1" t="s">
        <v>5511</v>
      </c>
      <c r="L1396" s="5">
        <f>XLOOKUP(N1396, uom!C:C, uom!B:B, "Not Found")</f>
      </c>
      <c r="M1396" s="1" t="s">
        <v>5511</v>
      </c>
      <c r="N1396" s="8" t="s">
        <v>5512</v>
      </c>
      <c r="O1396" s="1" t="s">
        <v>5513</v>
      </c>
      <c r="P1396" s="5">
        <f>XLOOKUP(R1396, classification!C:C, classification!B:B, "Not Found")</f>
      </c>
      <c r="Q1396" s="1" t="s">
        <v>5514</v>
      </c>
      <c r="R1396" s="2"/>
      <c r="S1396" s="2"/>
      <c r="T1396" s="2"/>
      <c r="U1396" s="2"/>
    </row>
    <row x14ac:dyDescent="0.25" r="1397" customHeight="1" ht="17.25">
      <c r="A1397" s="7">
        <v>1396</v>
      </c>
      <c r="B1397" s="1" t="s">
        <v>6824</v>
      </c>
      <c r="C1397" s="5">
        <f>CONCATENATE("PD", TEXT(A1397, "1000000"))</f>
      </c>
      <c r="D1397" s="7">
        <v>74</v>
      </c>
      <c r="E1397" s="5">
        <f>XLOOKUP(G1397, item_category!C:C, item_category!B:B, "Not Found")</f>
      </c>
      <c r="F1397" s="1" t="s">
        <v>5520</v>
      </c>
      <c r="G1397" s="5">
        <f>XLOOKUP(I1397, drug!B:B, drug!A:A, "Not Found")</f>
      </c>
      <c r="H1397" s="1" t="s">
        <v>1942</v>
      </c>
      <c r="I1397" s="7">
        <v>1</v>
      </c>
      <c r="J1397" s="5">
        <f>XLOOKUP(L1397, uom!C:C, uom!B:B, "Not Found")</f>
      </c>
      <c r="K1397" s="1" t="s">
        <v>5511</v>
      </c>
      <c r="L1397" s="5">
        <f>XLOOKUP(N1397, uom!C:C, uom!B:B, "Not Found")</f>
      </c>
      <c r="M1397" s="1" t="s">
        <v>5511</v>
      </c>
      <c r="N1397" s="8" t="s">
        <v>5512</v>
      </c>
      <c r="O1397" s="1" t="s">
        <v>5513</v>
      </c>
      <c r="P1397" s="5">
        <f>XLOOKUP(R1397, classification!C:C, classification!B:B, "Not Found")</f>
      </c>
      <c r="Q1397" s="1" t="s">
        <v>5514</v>
      </c>
      <c r="R1397" s="2"/>
      <c r="S1397" s="2"/>
      <c r="T1397" s="2"/>
      <c r="U1397" s="2"/>
    </row>
    <row x14ac:dyDescent="0.25" r="1398" customHeight="1" ht="17.25">
      <c r="A1398" s="7">
        <v>1397</v>
      </c>
      <c r="B1398" s="1" t="s">
        <v>6825</v>
      </c>
      <c r="C1398" s="5">
        <f>CONCATENATE("PD", TEXT(A1398, "1000000"))</f>
      </c>
      <c r="D1398" s="7">
        <v>74</v>
      </c>
      <c r="E1398" s="5">
        <f>XLOOKUP(G1398, item_category!C:C, item_category!B:B, "Not Found")</f>
      </c>
      <c r="F1398" s="1" t="s">
        <v>5520</v>
      </c>
      <c r="G1398" s="5">
        <f>XLOOKUP(I1398, drug!B:B, drug!A:A, "Not Found")</f>
      </c>
      <c r="H1398" s="1"/>
      <c r="I1398" s="7">
        <v>1</v>
      </c>
      <c r="J1398" s="5">
        <f>XLOOKUP(L1398, uom!C:C, uom!B:B, "Not Found")</f>
      </c>
      <c r="K1398" s="1" t="s">
        <v>5511</v>
      </c>
      <c r="L1398" s="5">
        <f>XLOOKUP(N1398, uom!C:C, uom!B:B, "Not Found")</f>
      </c>
      <c r="M1398" s="1" t="s">
        <v>5511</v>
      </c>
      <c r="N1398" s="8" t="s">
        <v>5512</v>
      </c>
      <c r="O1398" s="1" t="s">
        <v>5513</v>
      </c>
      <c r="P1398" s="5">
        <f>XLOOKUP(R1398, classification!C:C, classification!B:B, "Not Found")</f>
      </c>
      <c r="Q1398" s="1" t="s">
        <v>5514</v>
      </c>
      <c r="R1398" s="2"/>
      <c r="S1398" s="2"/>
      <c r="T1398" s="2"/>
      <c r="U1398" s="2"/>
    </row>
    <row x14ac:dyDescent="0.25" r="1399" customHeight="1" ht="17.25">
      <c r="A1399" s="7">
        <v>1398</v>
      </c>
      <c r="B1399" s="1" t="s">
        <v>6826</v>
      </c>
      <c r="C1399" s="5">
        <f>CONCATENATE("PD", TEXT(A1399, "1000000"))</f>
      </c>
      <c r="D1399" s="7">
        <v>74</v>
      </c>
      <c r="E1399" s="5">
        <f>XLOOKUP(G1399, item_category!C:C, item_category!B:B, "Not Found")</f>
      </c>
      <c r="F1399" s="1" t="s">
        <v>5520</v>
      </c>
      <c r="G1399" s="5">
        <f>XLOOKUP(I1399, drug!B:B, drug!A:A, "Not Found")</f>
      </c>
      <c r="H1399" s="1"/>
      <c r="I1399" s="7">
        <v>1</v>
      </c>
      <c r="J1399" s="5">
        <f>XLOOKUP(L1399, uom!C:C, uom!B:B, "Not Found")</f>
      </c>
      <c r="K1399" s="1" t="s">
        <v>5511</v>
      </c>
      <c r="L1399" s="5">
        <f>XLOOKUP(N1399, uom!C:C, uom!B:B, "Not Found")</f>
      </c>
      <c r="M1399" s="1" t="s">
        <v>5511</v>
      </c>
      <c r="N1399" s="8" t="s">
        <v>5512</v>
      </c>
      <c r="O1399" s="1" t="s">
        <v>5513</v>
      </c>
      <c r="P1399" s="5">
        <f>XLOOKUP(R1399, classification!C:C, classification!B:B, "Not Found")</f>
      </c>
      <c r="Q1399" s="1" t="s">
        <v>5514</v>
      </c>
      <c r="R1399" s="2"/>
      <c r="S1399" s="2"/>
      <c r="T1399" s="2"/>
      <c r="U1399" s="2"/>
    </row>
    <row x14ac:dyDescent="0.25" r="1400" customHeight="1" ht="17.25">
      <c r="A1400" s="7">
        <v>1399</v>
      </c>
      <c r="B1400" s="1" t="s">
        <v>6827</v>
      </c>
      <c r="C1400" s="5">
        <f>CONCATENATE("PD", TEXT(A1400, "1000000"))</f>
      </c>
      <c r="D1400" s="7">
        <v>74</v>
      </c>
      <c r="E1400" s="5">
        <f>XLOOKUP(G1400, item_category!C:C, item_category!B:B, "Not Found")</f>
      </c>
      <c r="F1400" s="1" t="s">
        <v>5520</v>
      </c>
      <c r="G1400" s="5">
        <f>XLOOKUP(I1400, drug!B:B, drug!A:A, "Not Found")</f>
      </c>
      <c r="H1400" s="1"/>
      <c r="I1400" s="7">
        <v>1</v>
      </c>
      <c r="J1400" s="5">
        <f>XLOOKUP(L1400, uom!C:C, uom!B:B, "Not Found")</f>
      </c>
      <c r="K1400" s="1" t="s">
        <v>5511</v>
      </c>
      <c r="L1400" s="5">
        <f>XLOOKUP(N1400, uom!C:C, uom!B:B, "Not Found")</f>
      </c>
      <c r="M1400" s="1" t="s">
        <v>5511</v>
      </c>
      <c r="N1400" s="8" t="s">
        <v>5512</v>
      </c>
      <c r="O1400" s="1" t="s">
        <v>5513</v>
      </c>
      <c r="P1400" s="5">
        <f>XLOOKUP(R1400, classification!C:C, classification!B:B, "Not Found")</f>
      </c>
      <c r="Q1400" s="1" t="s">
        <v>5514</v>
      </c>
      <c r="R1400" s="2"/>
      <c r="S1400" s="2"/>
      <c r="T1400" s="2"/>
      <c r="U1400" s="2"/>
    </row>
    <row x14ac:dyDescent="0.25" r="1401" customHeight="1" ht="17.25">
      <c r="A1401" s="7">
        <v>1400</v>
      </c>
      <c r="B1401" s="1" t="s">
        <v>6828</v>
      </c>
      <c r="C1401" s="5">
        <f>CONCATENATE("PD", TEXT(A1401, "1000000"))</f>
      </c>
      <c r="D1401" s="7">
        <v>74</v>
      </c>
      <c r="E1401" s="5">
        <f>XLOOKUP(G1401, item_category!C:C, item_category!B:B, "Not Found")</f>
      </c>
      <c r="F1401" s="1" t="s">
        <v>5520</v>
      </c>
      <c r="G1401" s="5">
        <f>XLOOKUP(I1401, drug!B:B, drug!A:A, "Not Found")</f>
      </c>
      <c r="H1401" s="1"/>
      <c r="I1401" s="7">
        <v>1</v>
      </c>
      <c r="J1401" s="5">
        <f>XLOOKUP(L1401, uom!C:C, uom!B:B, "Not Found")</f>
      </c>
      <c r="K1401" s="1" t="s">
        <v>5511</v>
      </c>
      <c r="L1401" s="5">
        <f>XLOOKUP(N1401, uom!C:C, uom!B:B, "Not Found")</f>
      </c>
      <c r="M1401" s="1" t="s">
        <v>5511</v>
      </c>
      <c r="N1401" s="8" t="s">
        <v>5512</v>
      </c>
      <c r="O1401" s="1" t="s">
        <v>5513</v>
      </c>
      <c r="P1401" s="5">
        <f>XLOOKUP(R1401, classification!C:C, classification!B:B, "Not Found")</f>
      </c>
      <c r="Q1401" s="1" t="s">
        <v>5514</v>
      </c>
      <c r="R1401" s="2"/>
      <c r="S1401" s="2"/>
      <c r="T1401" s="2"/>
      <c r="U1401" s="2"/>
    </row>
    <row x14ac:dyDescent="0.25" r="1402" customHeight="1" ht="17.25">
      <c r="A1402" s="7">
        <v>1401</v>
      </c>
      <c r="B1402" s="1" t="s">
        <v>6829</v>
      </c>
      <c r="C1402" s="5">
        <f>CONCATENATE("PD", TEXT(A1402, "1000000"))</f>
      </c>
      <c r="D1402" s="7">
        <v>74</v>
      </c>
      <c r="E1402" s="5">
        <f>XLOOKUP(G1402, item_category!C:C, item_category!B:B, "Not Found")</f>
      </c>
      <c r="F1402" s="1" t="s">
        <v>5520</v>
      </c>
      <c r="G1402" s="5">
        <f>XLOOKUP(I1402, drug!B:B, drug!A:A, "Not Found")</f>
      </c>
      <c r="H1402" s="1"/>
      <c r="I1402" s="7">
        <v>1</v>
      </c>
      <c r="J1402" s="5">
        <f>XLOOKUP(L1402, uom!C:C, uom!B:B, "Not Found")</f>
      </c>
      <c r="K1402" s="1" t="s">
        <v>5511</v>
      </c>
      <c r="L1402" s="5">
        <f>XLOOKUP(N1402, uom!C:C, uom!B:B, "Not Found")</f>
      </c>
      <c r="M1402" s="1" t="s">
        <v>5511</v>
      </c>
      <c r="N1402" s="8" t="s">
        <v>5512</v>
      </c>
      <c r="O1402" s="1" t="s">
        <v>5513</v>
      </c>
      <c r="P1402" s="5">
        <f>XLOOKUP(R1402, classification!C:C, classification!B:B, "Not Found")</f>
      </c>
      <c r="Q1402" s="1" t="s">
        <v>5514</v>
      </c>
      <c r="R1402" s="2"/>
      <c r="S1402" s="2"/>
      <c r="T1402" s="2"/>
      <c r="U1402" s="2"/>
    </row>
    <row x14ac:dyDescent="0.25" r="1403" customHeight="1" ht="17.25">
      <c r="A1403" s="7">
        <v>1402</v>
      </c>
      <c r="B1403" s="1" t="s">
        <v>6830</v>
      </c>
      <c r="C1403" s="5">
        <f>CONCATENATE("PD", TEXT(A1403, "1000000"))</f>
      </c>
      <c r="D1403" s="7">
        <v>74</v>
      </c>
      <c r="E1403" s="5">
        <f>XLOOKUP(G1403, item_category!C:C, item_category!B:B, "Not Found")</f>
      </c>
      <c r="F1403" s="1" t="s">
        <v>5520</v>
      </c>
      <c r="G1403" s="5">
        <f>XLOOKUP(I1403, drug!B:B, drug!A:A, "Not Found")</f>
      </c>
      <c r="H1403" s="1"/>
      <c r="I1403" s="7">
        <v>1</v>
      </c>
      <c r="J1403" s="5">
        <f>XLOOKUP(L1403, uom!C:C, uom!B:B, "Not Found")</f>
      </c>
      <c r="K1403" s="1" t="s">
        <v>5511</v>
      </c>
      <c r="L1403" s="5">
        <f>XLOOKUP(N1403, uom!C:C, uom!B:B, "Not Found")</f>
      </c>
      <c r="M1403" s="1" t="s">
        <v>5511</v>
      </c>
      <c r="N1403" s="8" t="s">
        <v>5512</v>
      </c>
      <c r="O1403" s="1" t="s">
        <v>5513</v>
      </c>
      <c r="P1403" s="5">
        <f>XLOOKUP(R1403, classification!C:C, classification!B:B, "Not Found")</f>
      </c>
      <c r="Q1403" s="1" t="s">
        <v>5514</v>
      </c>
      <c r="R1403" s="2"/>
      <c r="S1403" s="2"/>
      <c r="T1403" s="2"/>
      <c r="U1403" s="2"/>
    </row>
    <row x14ac:dyDescent="0.25" r="1404" customHeight="1" ht="17.25">
      <c r="A1404" s="7">
        <v>1403</v>
      </c>
      <c r="B1404" s="1" t="s">
        <v>6831</v>
      </c>
      <c r="C1404" s="5">
        <f>CONCATENATE("PD", TEXT(A1404, "1000000"))</f>
      </c>
      <c r="D1404" s="7">
        <v>74</v>
      </c>
      <c r="E1404" s="5">
        <f>XLOOKUP(G1404, item_category!C:C, item_category!B:B, "Not Found")</f>
      </c>
      <c r="F1404" s="1" t="s">
        <v>5520</v>
      </c>
      <c r="G1404" s="5">
        <f>XLOOKUP(I1404, drug!B:B, drug!A:A, "Not Found")</f>
      </c>
      <c r="H1404" s="1"/>
      <c r="I1404" s="7">
        <v>1</v>
      </c>
      <c r="J1404" s="5">
        <f>XLOOKUP(L1404, uom!C:C, uom!B:B, "Not Found")</f>
      </c>
      <c r="K1404" s="1" t="s">
        <v>5511</v>
      </c>
      <c r="L1404" s="5">
        <f>XLOOKUP(N1404, uom!C:C, uom!B:B, "Not Found")</f>
      </c>
      <c r="M1404" s="1" t="s">
        <v>5511</v>
      </c>
      <c r="N1404" s="8" t="s">
        <v>5512</v>
      </c>
      <c r="O1404" s="1" t="s">
        <v>5513</v>
      </c>
      <c r="P1404" s="5">
        <f>XLOOKUP(R1404, classification!C:C, classification!B:B, "Not Found")</f>
      </c>
      <c r="Q1404" s="1" t="s">
        <v>5514</v>
      </c>
      <c r="R1404" s="2"/>
      <c r="S1404" s="2"/>
      <c r="T1404" s="2"/>
      <c r="U1404" s="2"/>
    </row>
    <row x14ac:dyDescent="0.25" r="1405" customHeight="1" ht="17.25">
      <c r="A1405" s="7">
        <v>1404</v>
      </c>
      <c r="B1405" s="1" t="s">
        <v>6832</v>
      </c>
      <c r="C1405" s="5">
        <f>CONCATENATE("PD", TEXT(A1405, "1000000"))</f>
      </c>
      <c r="D1405" s="7">
        <v>74</v>
      </c>
      <c r="E1405" s="5">
        <f>XLOOKUP(G1405, item_category!C:C, item_category!B:B, "Not Found")</f>
      </c>
      <c r="F1405" s="1" t="s">
        <v>5520</v>
      </c>
      <c r="G1405" s="5">
        <f>XLOOKUP(I1405, drug!B:B, drug!A:A, "Not Found")</f>
      </c>
      <c r="H1405" s="1"/>
      <c r="I1405" s="7">
        <v>1</v>
      </c>
      <c r="J1405" s="5">
        <f>XLOOKUP(L1405, uom!C:C, uom!B:B, "Not Found")</f>
      </c>
      <c r="K1405" s="1" t="s">
        <v>5511</v>
      </c>
      <c r="L1405" s="5">
        <f>XLOOKUP(N1405, uom!C:C, uom!B:B, "Not Found")</f>
      </c>
      <c r="M1405" s="1" t="s">
        <v>5511</v>
      </c>
      <c r="N1405" s="8" t="s">
        <v>5512</v>
      </c>
      <c r="O1405" s="1" t="s">
        <v>5513</v>
      </c>
      <c r="P1405" s="5">
        <f>XLOOKUP(R1405, classification!C:C, classification!B:B, "Not Found")</f>
      </c>
      <c r="Q1405" s="1" t="s">
        <v>5514</v>
      </c>
      <c r="R1405" s="2"/>
      <c r="S1405" s="2"/>
      <c r="T1405" s="2"/>
      <c r="U1405" s="2"/>
    </row>
    <row x14ac:dyDescent="0.25" r="1406" customHeight="1" ht="17.25">
      <c r="A1406" s="7">
        <v>1405</v>
      </c>
      <c r="B1406" s="1" t="s">
        <v>6833</v>
      </c>
      <c r="C1406" s="5">
        <f>CONCATENATE("PD", TEXT(A1406, "1000000"))</f>
      </c>
      <c r="D1406" s="7">
        <v>74</v>
      </c>
      <c r="E1406" s="5">
        <f>XLOOKUP(G1406, item_category!C:C, item_category!B:B, "Not Found")</f>
      </c>
      <c r="F1406" s="1" t="s">
        <v>5520</v>
      </c>
      <c r="G1406" s="5">
        <f>XLOOKUP(I1406, drug!B:B, drug!A:A, "Not Found")</f>
      </c>
      <c r="H1406" s="1"/>
      <c r="I1406" s="7">
        <v>1</v>
      </c>
      <c r="J1406" s="5">
        <f>XLOOKUP(L1406, uom!C:C, uom!B:B, "Not Found")</f>
      </c>
      <c r="K1406" s="1" t="s">
        <v>5511</v>
      </c>
      <c r="L1406" s="5">
        <f>XLOOKUP(N1406, uom!C:C, uom!B:B, "Not Found")</f>
      </c>
      <c r="M1406" s="1" t="s">
        <v>5511</v>
      </c>
      <c r="N1406" s="8" t="s">
        <v>5512</v>
      </c>
      <c r="O1406" s="1" t="s">
        <v>5513</v>
      </c>
      <c r="P1406" s="5">
        <f>XLOOKUP(R1406, classification!C:C, classification!B:B, "Not Found")</f>
      </c>
      <c r="Q1406" s="1" t="s">
        <v>5514</v>
      </c>
      <c r="R1406" s="2"/>
      <c r="S1406" s="2"/>
      <c r="T1406" s="2"/>
      <c r="U1406" s="2"/>
    </row>
    <row x14ac:dyDescent="0.25" r="1407" customHeight="1" ht="17.25">
      <c r="A1407" s="7">
        <v>1406</v>
      </c>
      <c r="B1407" s="1" t="s">
        <v>6833</v>
      </c>
      <c r="C1407" s="5">
        <f>CONCATENATE("PD", TEXT(A1407, "1000000"))</f>
      </c>
      <c r="D1407" s="7">
        <v>74</v>
      </c>
      <c r="E1407" s="5">
        <f>XLOOKUP(G1407, item_category!C:C, item_category!B:B, "Not Found")</f>
      </c>
      <c r="F1407" s="1" t="s">
        <v>5520</v>
      </c>
      <c r="G1407" s="5">
        <f>XLOOKUP(I1407, drug!B:B, drug!A:A, "Not Found")</f>
      </c>
      <c r="H1407" s="1"/>
      <c r="I1407" s="7">
        <v>1</v>
      </c>
      <c r="J1407" s="5">
        <f>XLOOKUP(L1407, uom!C:C, uom!B:B, "Not Found")</f>
      </c>
      <c r="K1407" s="1" t="s">
        <v>5511</v>
      </c>
      <c r="L1407" s="5">
        <f>XLOOKUP(N1407, uom!C:C, uom!B:B, "Not Found")</f>
      </c>
      <c r="M1407" s="1" t="s">
        <v>5511</v>
      </c>
      <c r="N1407" s="8" t="s">
        <v>5512</v>
      </c>
      <c r="O1407" s="1" t="s">
        <v>5513</v>
      </c>
      <c r="P1407" s="5">
        <f>XLOOKUP(R1407, classification!C:C, classification!B:B, "Not Found")</f>
      </c>
      <c r="Q1407" s="1" t="s">
        <v>5514</v>
      </c>
      <c r="R1407" s="2"/>
      <c r="S1407" s="2"/>
      <c r="T1407" s="2"/>
      <c r="U1407" s="2"/>
    </row>
    <row x14ac:dyDescent="0.25" r="1408" customHeight="1" ht="17.25">
      <c r="A1408" s="7">
        <v>1407</v>
      </c>
      <c r="B1408" s="1" t="s">
        <v>6834</v>
      </c>
      <c r="C1408" s="5">
        <f>CONCATENATE("PD", TEXT(A1408, "1000000"))</f>
      </c>
      <c r="D1408" s="7">
        <v>74</v>
      </c>
      <c r="E1408" s="5">
        <f>XLOOKUP(G1408, item_category!C:C, item_category!B:B, "Not Found")</f>
      </c>
      <c r="F1408" s="1" t="s">
        <v>5520</v>
      </c>
      <c r="G1408" s="5">
        <f>XLOOKUP(I1408, drug!B:B, drug!A:A, "Not Found")</f>
      </c>
      <c r="H1408" s="1" t="s">
        <v>1942</v>
      </c>
      <c r="I1408" s="7">
        <v>1</v>
      </c>
      <c r="J1408" s="5">
        <f>XLOOKUP(L1408, uom!C:C, uom!B:B, "Not Found")</f>
      </c>
      <c r="K1408" s="1" t="s">
        <v>5511</v>
      </c>
      <c r="L1408" s="5">
        <f>XLOOKUP(N1408, uom!C:C, uom!B:B, "Not Found")</f>
      </c>
      <c r="M1408" s="1" t="s">
        <v>5511</v>
      </c>
      <c r="N1408" s="8" t="s">
        <v>5512</v>
      </c>
      <c r="O1408" s="1" t="s">
        <v>5513</v>
      </c>
      <c r="P1408" s="5">
        <f>XLOOKUP(R1408, classification!C:C, classification!B:B, "Not Found")</f>
      </c>
      <c r="Q1408" s="1" t="s">
        <v>5514</v>
      </c>
      <c r="R1408" s="2"/>
      <c r="S1408" s="2"/>
      <c r="T1408" s="2"/>
      <c r="U1408" s="2"/>
    </row>
    <row x14ac:dyDescent="0.25" r="1409" customHeight="1" ht="17.25">
      <c r="A1409" s="7">
        <v>1408</v>
      </c>
      <c r="B1409" s="1" t="s">
        <v>6835</v>
      </c>
      <c r="C1409" s="5">
        <f>CONCATENATE("PD", TEXT(A1409, "1000000"))</f>
      </c>
      <c r="D1409" s="7">
        <v>74</v>
      </c>
      <c r="E1409" s="5">
        <f>XLOOKUP(G1409, item_category!C:C, item_category!B:B, "Not Found")</f>
      </c>
      <c r="F1409" s="1" t="s">
        <v>5520</v>
      </c>
      <c r="G1409" s="5">
        <f>XLOOKUP(I1409, drug!B:B, drug!A:A, "Not Found")</f>
      </c>
      <c r="H1409" s="1"/>
      <c r="I1409" s="7">
        <v>1</v>
      </c>
      <c r="J1409" s="5">
        <f>XLOOKUP(L1409, uom!C:C, uom!B:B, "Not Found")</f>
      </c>
      <c r="K1409" s="1" t="s">
        <v>5511</v>
      </c>
      <c r="L1409" s="5">
        <f>XLOOKUP(N1409, uom!C:C, uom!B:B, "Not Found")</f>
      </c>
      <c r="M1409" s="1" t="s">
        <v>5511</v>
      </c>
      <c r="N1409" s="8" t="s">
        <v>5512</v>
      </c>
      <c r="O1409" s="1" t="s">
        <v>5513</v>
      </c>
      <c r="P1409" s="5">
        <f>XLOOKUP(R1409, classification!C:C, classification!B:B, "Not Found")</f>
      </c>
      <c r="Q1409" s="1" t="s">
        <v>5514</v>
      </c>
      <c r="R1409" s="2"/>
      <c r="S1409" s="2"/>
      <c r="T1409" s="2"/>
      <c r="U1409" s="2"/>
    </row>
    <row x14ac:dyDescent="0.25" r="1410" customHeight="1" ht="17.25">
      <c r="A1410" s="7">
        <v>1409</v>
      </c>
      <c r="B1410" s="1" t="s">
        <v>6835</v>
      </c>
      <c r="C1410" s="5">
        <f>CONCATENATE("PD", TEXT(A1410, "1000000"))</f>
      </c>
      <c r="D1410" s="7">
        <v>74</v>
      </c>
      <c r="E1410" s="5">
        <f>XLOOKUP(G1410, item_category!C:C, item_category!B:B, "Not Found")</f>
      </c>
      <c r="F1410" s="1" t="s">
        <v>5520</v>
      </c>
      <c r="G1410" s="5">
        <f>XLOOKUP(I1410, drug!B:B, drug!A:A, "Not Found")</f>
      </c>
      <c r="H1410" s="1"/>
      <c r="I1410" s="7">
        <v>1</v>
      </c>
      <c r="J1410" s="5">
        <f>XLOOKUP(L1410, uom!C:C, uom!B:B, "Not Found")</f>
      </c>
      <c r="K1410" s="1" t="s">
        <v>5511</v>
      </c>
      <c r="L1410" s="5">
        <f>XLOOKUP(N1410, uom!C:C, uom!B:B, "Not Found")</f>
      </c>
      <c r="M1410" s="1" t="s">
        <v>5511</v>
      </c>
      <c r="N1410" s="8" t="s">
        <v>5512</v>
      </c>
      <c r="O1410" s="1" t="s">
        <v>5513</v>
      </c>
      <c r="P1410" s="5">
        <f>XLOOKUP(R1410, classification!C:C, classification!B:B, "Not Found")</f>
      </c>
      <c r="Q1410" s="1" t="s">
        <v>5514</v>
      </c>
      <c r="R1410" s="2"/>
      <c r="S1410" s="2"/>
      <c r="T1410" s="2"/>
      <c r="U1410" s="2"/>
    </row>
    <row x14ac:dyDescent="0.25" r="1411" customHeight="1" ht="17.25">
      <c r="A1411" s="7">
        <v>1410</v>
      </c>
      <c r="B1411" s="1" t="s">
        <v>6836</v>
      </c>
      <c r="C1411" s="5">
        <f>CONCATENATE("PD", TEXT(A1411, "1000000"))</f>
      </c>
      <c r="D1411" s="7">
        <v>74</v>
      </c>
      <c r="E1411" s="5">
        <f>XLOOKUP(G1411, item_category!C:C, item_category!B:B, "Not Found")</f>
      </c>
      <c r="F1411" s="1" t="s">
        <v>5520</v>
      </c>
      <c r="G1411" s="5">
        <f>XLOOKUP(I1411, drug!B:B, drug!A:A, "Not Found")</f>
      </c>
      <c r="H1411" s="1"/>
      <c r="I1411" s="7">
        <v>1</v>
      </c>
      <c r="J1411" s="5">
        <f>XLOOKUP(L1411, uom!C:C, uom!B:B, "Not Found")</f>
      </c>
      <c r="K1411" s="1" t="s">
        <v>5511</v>
      </c>
      <c r="L1411" s="5">
        <f>XLOOKUP(N1411, uom!C:C, uom!B:B, "Not Found")</f>
      </c>
      <c r="M1411" s="1" t="s">
        <v>5511</v>
      </c>
      <c r="N1411" s="8" t="s">
        <v>5512</v>
      </c>
      <c r="O1411" s="1" t="s">
        <v>5513</v>
      </c>
      <c r="P1411" s="5">
        <f>XLOOKUP(R1411, classification!C:C, classification!B:B, "Not Found")</f>
      </c>
      <c r="Q1411" s="1" t="s">
        <v>5514</v>
      </c>
      <c r="R1411" s="2"/>
      <c r="S1411" s="2"/>
      <c r="T1411" s="2"/>
      <c r="U1411" s="2"/>
    </row>
    <row x14ac:dyDescent="0.25" r="1412" customHeight="1" ht="17.25">
      <c r="A1412" s="7">
        <v>1411</v>
      </c>
      <c r="B1412" s="1" t="s">
        <v>2674</v>
      </c>
      <c r="C1412" s="5">
        <f>CONCATENATE("PD", TEXT(A1412, "1000000"))</f>
      </c>
      <c r="D1412" s="7">
        <v>74</v>
      </c>
      <c r="E1412" s="5">
        <f>XLOOKUP(G1412, item_category!C:C, item_category!B:B, "Not Found")</f>
      </c>
      <c r="F1412" s="1" t="s">
        <v>5520</v>
      </c>
      <c r="G1412" s="5">
        <f>XLOOKUP(I1412, drug!B:B, drug!A:A, "Not Found")</f>
      </c>
      <c r="H1412" s="1"/>
      <c r="I1412" s="7">
        <v>1</v>
      </c>
      <c r="J1412" s="5">
        <f>XLOOKUP(L1412, uom!C:C, uom!B:B, "Not Found")</f>
      </c>
      <c r="K1412" s="1" t="s">
        <v>5511</v>
      </c>
      <c r="L1412" s="5">
        <f>XLOOKUP(N1412, uom!C:C, uom!B:B, "Not Found")</f>
      </c>
      <c r="M1412" s="1" t="s">
        <v>5511</v>
      </c>
      <c r="N1412" s="8" t="s">
        <v>5512</v>
      </c>
      <c r="O1412" s="1" t="s">
        <v>5513</v>
      </c>
      <c r="P1412" s="5">
        <f>XLOOKUP(R1412, classification!C:C, classification!B:B, "Not Found")</f>
      </c>
      <c r="Q1412" s="1" t="s">
        <v>5514</v>
      </c>
      <c r="R1412" s="2"/>
      <c r="S1412" s="2"/>
      <c r="T1412" s="2"/>
      <c r="U1412" s="2"/>
    </row>
    <row x14ac:dyDescent="0.25" r="1413" customHeight="1" ht="17.25">
      <c r="A1413" s="7">
        <v>1412</v>
      </c>
      <c r="B1413" s="1" t="s">
        <v>6837</v>
      </c>
      <c r="C1413" s="5">
        <f>CONCATENATE("PD", TEXT(A1413, "1000000"))</f>
      </c>
      <c r="D1413" s="7">
        <v>74</v>
      </c>
      <c r="E1413" s="5">
        <f>XLOOKUP(G1413, item_category!C:C, item_category!B:B, "Not Found")</f>
      </c>
      <c r="F1413" s="1" t="s">
        <v>5520</v>
      </c>
      <c r="G1413" s="5">
        <f>XLOOKUP(I1413, drug!B:B, drug!A:A, "Not Found")</f>
      </c>
      <c r="H1413" s="1"/>
      <c r="I1413" s="7">
        <v>1</v>
      </c>
      <c r="J1413" s="5">
        <f>XLOOKUP(L1413, uom!C:C, uom!B:B, "Not Found")</f>
      </c>
      <c r="K1413" s="1" t="s">
        <v>5511</v>
      </c>
      <c r="L1413" s="5">
        <f>XLOOKUP(N1413, uom!C:C, uom!B:B, "Not Found")</f>
      </c>
      <c r="M1413" s="1" t="s">
        <v>5511</v>
      </c>
      <c r="N1413" s="8" t="s">
        <v>5512</v>
      </c>
      <c r="O1413" s="1" t="s">
        <v>5513</v>
      </c>
      <c r="P1413" s="5">
        <f>XLOOKUP(R1413, classification!C:C, classification!B:B, "Not Found")</f>
      </c>
      <c r="Q1413" s="1" t="s">
        <v>5514</v>
      </c>
      <c r="R1413" s="2"/>
      <c r="S1413" s="2"/>
      <c r="T1413" s="2"/>
      <c r="U1413" s="2"/>
    </row>
    <row x14ac:dyDescent="0.25" r="1414" customHeight="1" ht="17.25">
      <c r="A1414" s="7">
        <v>1413</v>
      </c>
      <c r="B1414" s="1" t="s">
        <v>6838</v>
      </c>
      <c r="C1414" s="5">
        <f>CONCATENATE("PD", TEXT(A1414, "1000000"))</f>
      </c>
      <c r="D1414" s="7">
        <v>74</v>
      </c>
      <c r="E1414" s="5">
        <f>XLOOKUP(G1414, item_category!C:C, item_category!B:B, "Not Found")</f>
      </c>
      <c r="F1414" s="1" t="s">
        <v>5520</v>
      </c>
      <c r="G1414" s="5">
        <f>XLOOKUP(I1414, drug!B:B, drug!A:A, "Not Found")</f>
      </c>
      <c r="H1414" s="1"/>
      <c r="I1414" s="7">
        <v>1</v>
      </c>
      <c r="J1414" s="5">
        <f>XLOOKUP(L1414, uom!C:C, uom!B:B, "Not Found")</f>
      </c>
      <c r="K1414" s="1" t="s">
        <v>5511</v>
      </c>
      <c r="L1414" s="5">
        <f>XLOOKUP(N1414, uom!C:C, uom!B:B, "Not Found")</f>
      </c>
      <c r="M1414" s="1" t="s">
        <v>5511</v>
      </c>
      <c r="N1414" s="8" t="s">
        <v>5512</v>
      </c>
      <c r="O1414" s="1" t="s">
        <v>5513</v>
      </c>
      <c r="P1414" s="5">
        <f>XLOOKUP(R1414, classification!C:C, classification!B:B, "Not Found")</f>
      </c>
      <c r="Q1414" s="1" t="s">
        <v>5514</v>
      </c>
      <c r="R1414" s="2"/>
      <c r="S1414" s="2"/>
      <c r="T1414" s="2"/>
      <c r="U1414" s="2"/>
    </row>
    <row x14ac:dyDescent="0.25" r="1415" customHeight="1" ht="17.25">
      <c r="A1415" s="7">
        <v>1414</v>
      </c>
      <c r="B1415" s="1" t="s">
        <v>6839</v>
      </c>
      <c r="C1415" s="5">
        <f>CONCATENATE("PD", TEXT(A1415, "1000000"))</f>
      </c>
      <c r="D1415" s="7">
        <v>74</v>
      </c>
      <c r="E1415" s="5">
        <f>XLOOKUP(G1415, item_category!C:C, item_category!B:B, "Not Found")</f>
      </c>
      <c r="F1415" s="1" t="s">
        <v>5520</v>
      </c>
      <c r="G1415" s="5">
        <f>XLOOKUP(I1415, drug!B:B, drug!A:A, "Not Found")</f>
      </c>
      <c r="H1415" s="1" t="s">
        <v>1942</v>
      </c>
      <c r="I1415" s="7">
        <v>1</v>
      </c>
      <c r="J1415" s="5">
        <f>XLOOKUP(L1415, uom!C:C, uom!B:B, "Not Found")</f>
      </c>
      <c r="K1415" s="1" t="s">
        <v>5511</v>
      </c>
      <c r="L1415" s="5">
        <f>XLOOKUP(N1415, uom!C:C, uom!B:B, "Not Found")</f>
      </c>
      <c r="M1415" s="1" t="s">
        <v>5511</v>
      </c>
      <c r="N1415" s="8" t="s">
        <v>5512</v>
      </c>
      <c r="O1415" s="1" t="s">
        <v>5513</v>
      </c>
      <c r="P1415" s="5">
        <f>XLOOKUP(R1415, classification!C:C, classification!B:B, "Not Found")</f>
      </c>
      <c r="Q1415" s="1" t="s">
        <v>5514</v>
      </c>
      <c r="R1415" s="2"/>
      <c r="S1415" s="2"/>
      <c r="T1415" s="2"/>
      <c r="U1415" s="2"/>
    </row>
    <row x14ac:dyDescent="0.25" r="1416" customHeight="1" ht="17.25">
      <c r="A1416" s="7">
        <v>1415</v>
      </c>
      <c r="B1416" s="1" t="s">
        <v>6840</v>
      </c>
      <c r="C1416" s="5">
        <f>CONCATENATE("PD", TEXT(A1416, "1000000"))</f>
      </c>
      <c r="D1416" s="7">
        <v>74</v>
      </c>
      <c r="E1416" s="5">
        <f>XLOOKUP(G1416, item_category!C:C, item_category!B:B, "Not Found")</f>
      </c>
      <c r="F1416" s="1" t="s">
        <v>5520</v>
      </c>
      <c r="G1416" s="5">
        <f>XLOOKUP(I1416, drug!B:B, drug!A:A, "Not Found")</f>
      </c>
      <c r="H1416" s="1"/>
      <c r="I1416" s="7">
        <v>1</v>
      </c>
      <c r="J1416" s="5">
        <f>XLOOKUP(L1416, uom!C:C, uom!B:B, "Not Found")</f>
      </c>
      <c r="K1416" s="1" t="s">
        <v>5511</v>
      </c>
      <c r="L1416" s="5">
        <f>XLOOKUP(N1416, uom!C:C, uom!B:B, "Not Found")</f>
      </c>
      <c r="M1416" s="1" t="s">
        <v>5511</v>
      </c>
      <c r="N1416" s="8" t="s">
        <v>5512</v>
      </c>
      <c r="O1416" s="1" t="s">
        <v>5513</v>
      </c>
      <c r="P1416" s="5">
        <f>XLOOKUP(R1416, classification!C:C, classification!B:B, "Not Found")</f>
      </c>
      <c r="Q1416" s="1" t="s">
        <v>5514</v>
      </c>
      <c r="R1416" s="2"/>
      <c r="S1416" s="2"/>
      <c r="T1416" s="2"/>
      <c r="U1416" s="2"/>
    </row>
    <row x14ac:dyDescent="0.25" r="1417" customHeight="1" ht="17.25">
      <c r="A1417" s="7">
        <v>1416</v>
      </c>
      <c r="B1417" s="1" t="s">
        <v>6841</v>
      </c>
      <c r="C1417" s="5">
        <f>CONCATENATE("PD", TEXT(A1417, "1000000"))</f>
      </c>
      <c r="D1417" s="7">
        <v>74</v>
      </c>
      <c r="E1417" s="5">
        <f>XLOOKUP(G1417, item_category!C:C, item_category!B:B, "Not Found")</f>
      </c>
      <c r="F1417" s="1" t="s">
        <v>5520</v>
      </c>
      <c r="G1417" s="5">
        <f>XLOOKUP(I1417, drug!B:B, drug!A:A, "Not Found")</f>
      </c>
      <c r="H1417" s="1"/>
      <c r="I1417" s="7">
        <v>1</v>
      </c>
      <c r="J1417" s="5">
        <f>XLOOKUP(L1417, uom!C:C, uom!B:B, "Not Found")</f>
      </c>
      <c r="K1417" s="1" t="s">
        <v>5511</v>
      </c>
      <c r="L1417" s="5">
        <f>XLOOKUP(N1417, uom!C:C, uom!B:B, "Not Found")</f>
      </c>
      <c r="M1417" s="1" t="s">
        <v>5511</v>
      </c>
      <c r="N1417" s="8" t="s">
        <v>5512</v>
      </c>
      <c r="O1417" s="1" t="s">
        <v>5513</v>
      </c>
      <c r="P1417" s="5">
        <f>XLOOKUP(R1417, classification!C:C, classification!B:B, "Not Found")</f>
      </c>
      <c r="Q1417" s="1" t="s">
        <v>5514</v>
      </c>
      <c r="R1417" s="2"/>
      <c r="S1417" s="2"/>
      <c r="T1417" s="2"/>
      <c r="U1417" s="2"/>
    </row>
    <row x14ac:dyDescent="0.25" r="1418" customHeight="1" ht="17.25">
      <c r="A1418" s="7">
        <v>1417</v>
      </c>
      <c r="B1418" s="1" t="s">
        <v>6842</v>
      </c>
      <c r="C1418" s="5">
        <f>CONCATENATE("PD", TEXT(A1418, "1000000"))</f>
      </c>
      <c r="D1418" s="7">
        <v>74</v>
      </c>
      <c r="E1418" s="5">
        <f>XLOOKUP(G1418, item_category!C:C, item_category!B:B, "Not Found")</f>
      </c>
      <c r="F1418" s="1" t="s">
        <v>5520</v>
      </c>
      <c r="G1418" s="5">
        <f>XLOOKUP(I1418, drug!B:B, drug!A:A, "Not Found")</f>
      </c>
      <c r="H1418" s="1"/>
      <c r="I1418" s="7">
        <v>1</v>
      </c>
      <c r="J1418" s="5">
        <f>XLOOKUP(L1418, uom!C:C, uom!B:B, "Not Found")</f>
      </c>
      <c r="K1418" s="1" t="s">
        <v>5511</v>
      </c>
      <c r="L1418" s="5">
        <f>XLOOKUP(N1418, uom!C:C, uom!B:B, "Not Found")</f>
      </c>
      <c r="M1418" s="1" t="s">
        <v>5511</v>
      </c>
      <c r="N1418" s="8" t="s">
        <v>5512</v>
      </c>
      <c r="O1418" s="1" t="s">
        <v>5513</v>
      </c>
      <c r="P1418" s="5">
        <f>XLOOKUP(R1418, classification!C:C, classification!B:B, "Not Found")</f>
      </c>
      <c r="Q1418" s="1" t="s">
        <v>5514</v>
      </c>
      <c r="R1418" s="2"/>
      <c r="S1418" s="2"/>
      <c r="T1418" s="2"/>
      <c r="U1418" s="2"/>
    </row>
    <row x14ac:dyDescent="0.25" r="1419" customHeight="1" ht="17.25">
      <c r="A1419" s="7">
        <v>1418</v>
      </c>
      <c r="B1419" s="1" t="s">
        <v>6843</v>
      </c>
      <c r="C1419" s="5">
        <f>CONCATENATE("PD", TEXT(A1419, "1000000"))</f>
      </c>
      <c r="D1419" s="7">
        <v>74</v>
      </c>
      <c r="E1419" s="5">
        <f>XLOOKUP(G1419, item_category!C:C, item_category!B:B, "Not Found")</f>
      </c>
      <c r="F1419" s="1" t="s">
        <v>5520</v>
      </c>
      <c r="G1419" s="5">
        <f>XLOOKUP(I1419, drug!B:B, drug!A:A, "Not Found")</f>
      </c>
      <c r="H1419" s="1"/>
      <c r="I1419" s="7">
        <v>1</v>
      </c>
      <c r="J1419" s="5">
        <f>XLOOKUP(L1419, uom!C:C, uom!B:B, "Not Found")</f>
      </c>
      <c r="K1419" s="1" t="s">
        <v>5511</v>
      </c>
      <c r="L1419" s="5">
        <f>XLOOKUP(N1419, uom!C:C, uom!B:B, "Not Found")</f>
      </c>
      <c r="M1419" s="1" t="s">
        <v>5511</v>
      </c>
      <c r="N1419" s="8" t="s">
        <v>5512</v>
      </c>
      <c r="O1419" s="1" t="s">
        <v>5513</v>
      </c>
      <c r="P1419" s="5">
        <f>XLOOKUP(R1419, classification!C:C, classification!B:B, "Not Found")</f>
      </c>
      <c r="Q1419" s="1" t="s">
        <v>5514</v>
      </c>
      <c r="R1419" s="2"/>
      <c r="S1419" s="2"/>
      <c r="T1419" s="2"/>
      <c r="U1419" s="2"/>
    </row>
    <row x14ac:dyDescent="0.25" r="1420" customHeight="1" ht="17.25">
      <c r="A1420" s="7">
        <v>1419</v>
      </c>
      <c r="B1420" s="1" t="s">
        <v>2684</v>
      </c>
      <c r="C1420" s="5">
        <f>CONCATENATE("PD", TEXT(A1420, "1000000"))</f>
      </c>
      <c r="D1420" s="7">
        <v>76</v>
      </c>
      <c r="E1420" s="5">
        <f>XLOOKUP(G1420, item_category!C:C, item_category!B:B, "Not Found")</f>
      </c>
      <c r="F1420" s="1" t="s">
        <v>5632</v>
      </c>
      <c r="G1420" s="5">
        <f>XLOOKUP(I1420, drug!B:B, drug!A:A, "Not Found")</f>
      </c>
      <c r="H1420" s="1"/>
      <c r="I1420" s="7">
        <v>1</v>
      </c>
      <c r="J1420" s="5">
        <f>XLOOKUP(L1420, uom!C:C, uom!B:B, "Not Found")</f>
      </c>
      <c r="K1420" s="1" t="s">
        <v>5511</v>
      </c>
      <c r="L1420" s="5">
        <f>XLOOKUP(N1420, uom!C:C, uom!B:B, "Not Found")</f>
      </c>
      <c r="M1420" s="1" t="s">
        <v>5511</v>
      </c>
      <c r="N1420" s="8" t="s">
        <v>5512</v>
      </c>
      <c r="O1420" s="1" t="s">
        <v>5513</v>
      </c>
      <c r="P1420" s="5">
        <f>XLOOKUP(R1420, classification!C:C, classification!B:B, "Not Found")</f>
      </c>
      <c r="Q1420" s="1" t="s">
        <v>5514</v>
      </c>
      <c r="R1420" s="2"/>
      <c r="S1420" s="2"/>
      <c r="T1420" s="2"/>
      <c r="U1420" s="2"/>
    </row>
    <row x14ac:dyDescent="0.25" r="1421" customHeight="1" ht="17.25">
      <c r="A1421" s="7">
        <v>1420</v>
      </c>
      <c r="B1421" s="1" t="s">
        <v>6844</v>
      </c>
      <c r="C1421" s="5">
        <f>CONCATENATE("PD", TEXT(A1421, "1000000"))</f>
      </c>
      <c r="D1421" s="7">
        <v>74</v>
      </c>
      <c r="E1421" s="5">
        <f>XLOOKUP(G1421, item_category!C:C, item_category!B:B, "Not Found")</f>
      </c>
      <c r="F1421" s="1" t="s">
        <v>5520</v>
      </c>
      <c r="G1421" s="5">
        <f>XLOOKUP(I1421, drug!B:B, drug!A:A, "Not Found")</f>
      </c>
      <c r="H1421" s="1" t="s">
        <v>108</v>
      </c>
      <c r="I1421" s="7">
        <v>1</v>
      </c>
      <c r="J1421" s="5">
        <f>XLOOKUP(L1421, uom!C:C, uom!B:B, "Not Found")</f>
      </c>
      <c r="K1421" s="1" t="s">
        <v>5620</v>
      </c>
      <c r="L1421" s="5">
        <f>XLOOKUP(N1421, uom!C:C, uom!B:B, "Not Found")</f>
      </c>
      <c r="M1421" s="1" t="s">
        <v>5620</v>
      </c>
      <c r="N1421" s="8" t="s">
        <v>5524</v>
      </c>
      <c r="O1421" s="1" t="s">
        <v>5525</v>
      </c>
      <c r="P1421" s="5">
        <f>XLOOKUP(R1421, classification!C:C, classification!B:B, "Not Found")</f>
      </c>
      <c r="Q1421" s="1" t="s">
        <v>5514</v>
      </c>
      <c r="R1421" s="2"/>
      <c r="S1421" s="2"/>
      <c r="T1421" s="2"/>
      <c r="U1421" s="2"/>
    </row>
    <row x14ac:dyDescent="0.25" r="1422" customHeight="1" ht="17.25">
      <c r="A1422" s="7">
        <v>1421</v>
      </c>
      <c r="B1422" s="1" t="s">
        <v>2686</v>
      </c>
      <c r="C1422" s="5">
        <f>CONCATENATE("PD", TEXT(A1422, "1000000"))</f>
      </c>
      <c r="D1422" s="7">
        <v>74</v>
      </c>
      <c r="E1422" s="5">
        <f>XLOOKUP(G1422, item_category!C:C, item_category!B:B, "Not Found")</f>
      </c>
      <c r="F1422" s="1" t="s">
        <v>5520</v>
      </c>
      <c r="G1422" s="5">
        <f>XLOOKUP(I1422, drug!B:B, drug!A:A, "Not Found")</f>
      </c>
      <c r="H1422" s="1"/>
      <c r="I1422" s="7">
        <v>1</v>
      </c>
      <c r="J1422" s="5">
        <f>XLOOKUP(L1422, uom!C:C, uom!B:B, "Not Found")</f>
      </c>
      <c r="K1422" s="1" t="s">
        <v>5511</v>
      </c>
      <c r="L1422" s="5">
        <f>XLOOKUP(N1422, uom!C:C, uom!B:B, "Not Found")</f>
      </c>
      <c r="M1422" s="1" t="s">
        <v>5511</v>
      </c>
      <c r="N1422" s="8" t="s">
        <v>5512</v>
      </c>
      <c r="O1422" s="1" t="s">
        <v>5513</v>
      </c>
      <c r="P1422" s="5">
        <f>XLOOKUP(R1422, classification!C:C, classification!B:B, "Not Found")</f>
      </c>
      <c r="Q1422" s="1" t="s">
        <v>5514</v>
      </c>
      <c r="R1422" s="2"/>
      <c r="S1422" s="2"/>
      <c r="T1422" s="2"/>
      <c r="U1422" s="2"/>
    </row>
    <row x14ac:dyDescent="0.25" r="1423" customHeight="1" ht="17.25">
      <c r="A1423" s="7">
        <v>1422</v>
      </c>
      <c r="B1423" s="1" t="s">
        <v>6845</v>
      </c>
      <c r="C1423" s="5">
        <f>CONCATENATE("PD", TEXT(A1423, "1000000"))</f>
      </c>
      <c r="D1423" s="7">
        <v>74</v>
      </c>
      <c r="E1423" s="5">
        <f>XLOOKUP(G1423, item_category!C:C, item_category!B:B, "Not Found")</f>
      </c>
      <c r="F1423" s="1" t="s">
        <v>5520</v>
      </c>
      <c r="G1423" s="5">
        <f>XLOOKUP(I1423, drug!B:B, drug!A:A, "Not Found")</f>
      </c>
      <c r="H1423" s="1"/>
      <c r="I1423" s="7">
        <v>1</v>
      </c>
      <c r="J1423" s="5">
        <f>XLOOKUP(L1423, uom!C:C, uom!B:B, "Not Found")</f>
      </c>
      <c r="K1423" s="1" t="s">
        <v>5511</v>
      </c>
      <c r="L1423" s="5">
        <f>XLOOKUP(N1423, uom!C:C, uom!B:B, "Not Found")</f>
      </c>
      <c r="M1423" s="1" t="s">
        <v>5511</v>
      </c>
      <c r="N1423" s="8" t="s">
        <v>5512</v>
      </c>
      <c r="O1423" s="1" t="s">
        <v>5513</v>
      </c>
      <c r="P1423" s="5">
        <f>XLOOKUP(R1423, classification!C:C, classification!B:B, "Not Found")</f>
      </c>
      <c r="Q1423" s="1" t="s">
        <v>5514</v>
      </c>
      <c r="R1423" s="2"/>
      <c r="S1423" s="2"/>
      <c r="T1423" s="2"/>
      <c r="U1423" s="2"/>
    </row>
    <row x14ac:dyDescent="0.25" r="1424" customHeight="1" ht="17.25">
      <c r="A1424" s="7">
        <v>1423</v>
      </c>
      <c r="B1424" s="1" t="s">
        <v>6846</v>
      </c>
      <c r="C1424" s="5">
        <f>CONCATENATE("PD", TEXT(A1424, "1000000"))</f>
      </c>
      <c r="D1424" s="7">
        <v>74</v>
      </c>
      <c r="E1424" s="5">
        <f>XLOOKUP(G1424, item_category!C:C, item_category!B:B, "Not Found")</f>
      </c>
      <c r="F1424" s="1" t="s">
        <v>5520</v>
      </c>
      <c r="G1424" s="5">
        <f>XLOOKUP(I1424, drug!B:B, drug!A:A, "Not Found")</f>
      </c>
      <c r="H1424" s="1" t="s">
        <v>1942</v>
      </c>
      <c r="I1424" s="7">
        <v>1</v>
      </c>
      <c r="J1424" s="5">
        <f>XLOOKUP(L1424, uom!C:C, uom!B:B, "Not Found")</f>
      </c>
      <c r="K1424" s="1" t="s">
        <v>5511</v>
      </c>
      <c r="L1424" s="5">
        <f>XLOOKUP(N1424, uom!C:C, uom!B:B, "Not Found")</f>
      </c>
      <c r="M1424" s="1" t="s">
        <v>5511</v>
      </c>
      <c r="N1424" s="8" t="s">
        <v>5512</v>
      </c>
      <c r="O1424" s="1" t="s">
        <v>5513</v>
      </c>
      <c r="P1424" s="5">
        <f>XLOOKUP(R1424, classification!C:C, classification!B:B, "Not Found")</f>
      </c>
      <c r="Q1424" s="1" t="s">
        <v>5514</v>
      </c>
      <c r="R1424" s="2"/>
      <c r="S1424" s="2"/>
      <c r="T1424" s="2"/>
      <c r="U1424" s="2"/>
    </row>
    <row x14ac:dyDescent="0.25" r="1425" customHeight="1" ht="17.25">
      <c r="A1425" s="7">
        <v>1424</v>
      </c>
      <c r="B1425" s="1" t="s">
        <v>6847</v>
      </c>
      <c r="C1425" s="5">
        <f>CONCATENATE("PD", TEXT(A1425, "1000000"))</f>
      </c>
      <c r="D1425" s="7">
        <v>74</v>
      </c>
      <c r="E1425" s="5">
        <f>XLOOKUP(G1425, item_category!C:C, item_category!B:B, "Not Found")</f>
      </c>
      <c r="F1425" s="1" t="s">
        <v>5520</v>
      </c>
      <c r="G1425" s="5">
        <f>XLOOKUP(I1425, drug!B:B, drug!A:A, "Not Found")</f>
      </c>
      <c r="H1425" s="1" t="s">
        <v>1942</v>
      </c>
      <c r="I1425" s="7">
        <v>1</v>
      </c>
      <c r="J1425" s="5">
        <f>XLOOKUP(L1425, uom!C:C, uom!B:B, "Not Found")</f>
      </c>
      <c r="K1425" s="1" t="s">
        <v>5511</v>
      </c>
      <c r="L1425" s="5">
        <f>XLOOKUP(N1425, uom!C:C, uom!B:B, "Not Found")</f>
      </c>
      <c r="M1425" s="1" t="s">
        <v>5511</v>
      </c>
      <c r="N1425" s="8" t="s">
        <v>5512</v>
      </c>
      <c r="O1425" s="1" t="s">
        <v>5513</v>
      </c>
      <c r="P1425" s="5">
        <f>XLOOKUP(R1425, classification!C:C, classification!B:B, "Not Found")</f>
      </c>
      <c r="Q1425" s="1" t="s">
        <v>5514</v>
      </c>
      <c r="R1425" s="2"/>
      <c r="S1425" s="2"/>
      <c r="T1425" s="2"/>
      <c r="U1425" s="2"/>
    </row>
    <row x14ac:dyDescent="0.25" r="1426" customHeight="1" ht="17.25">
      <c r="A1426" s="7">
        <v>1425</v>
      </c>
      <c r="B1426" s="1" t="s">
        <v>6848</v>
      </c>
      <c r="C1426" s="5">
        <f>CONCATENATE("PD", TEXT(A1426, "1000000"))</f>
      </c>
      <c r="D1426" s="7">
        <v>74</v>
      </c>
      <c r="E1426" s="5">
        <f>XLOOKUP(G1426, item_category!C:C, item_category!B:B, "Not Found")</f>
      </c>
      <c r="F1426" s="1" t="s">
        <v>5520</v>
      </c>
      <c r="G1426" s="5">
        <f>XLOOKUP(I1426, drug!B:B, drug!A:A, "Not Found")</f>
      </c>
      <c r="H1426" s="1" t="s">
        <v>1942</v>
      </c>
      <c r="I1426" s="7">
        <v>1</v>
      </c>
      <c r="J1426" s="5">
        <f>XLOOKUP(L1426, uom!C:C, uom!B:B, "Not Found")</f>
      </c>
      <c r="K1426" s="1" t="s">
        <v>5511</v>
      </c>
      <c r="L1426" s="5">
        <f>XLOOKUP(N1426, uom!C:C, uom!B:B, "Not Found")</f>
      </c>
      <c r="M1426" s="1" t="s">
        <v>5511</v>
      </c>
      <c r="N1426" s="8" t="s">
        <v>5512</v>
      </c>
      <c r="O1426" s="1" t="s">
        <v>5513</v>
      </c>
      <c r="P1426" s="5">
        <f>XLOOKUP(R1426, classification!C:C, classification!B:B, "Not Found")</f>
      </c>
      <c r="Q1426" s="1" t="s">
        <v>5514</v>
      </c>
      <c r="R1426" s="2"/>
      <c r="S1426" s="2"/>
      <c r="T1426" s="2"/>
      <c r="U1426" s="2"/>
    </row>
    <row x14ac:dyDescent="0.25" r="1427" customHeight="1" ht="17.25">
      <c r="A1427" s="7">
        <v>1426</v>
      </c>
      <c r="B1427" s="1" t="s">
        <v>6849</v>
      </c>
      <c r="C1427" s="5">
        <f>CONCATENATE("PD", TEXT(A1427, "1000000"))</f>
      </c>
      <c r="D1427" s="7">
        <v>74</v>
      </c>
      <c r="E1427" s="5">
        <f>XLOOKUP(G1427, item_category!C:C, item_category!B:B, "Not Found")</f>
      </c>
      <c r="F1427" s="1" t="s">
        <v>5520</v>
      </c>
      <c r="G1427" s="5">
        <f>XLOOKUP(I1427, drug!B:B, drug!A:A, "Not Found")</f>
      </c>
      <c r="H1427" s="1" t="s">
        <v>1942</v>
      </c>
      <c r="I1427" s="7">
        <v>1</v>
      </c>
      <c r="J1427" s="5">
        <f>XLOOKUP(L1427, uom!C:C, uom!B:B, "Not Found")</f>
      </c>
      <c r="K1427" s="1" t="s">
        <v>5511</v>
      </c>
      <c r="L1427" s="5">
        <f>XLOOKUP(N1427, uom!C:C, uom!B:B, "Not Found")</f>
      </c>
      <c r="M1427" s="1" t="s">
        <v>5511</v>
      </c>
      <c r="N1427" s="8" t="s">
        <v>5512</v>
      </c>
      <c r="O1427" s="1" t="s">
        <v>5513</v>
      </c>
      <c r="P1427" s="5">
        <f>XLOOKUP(R1427, classification!C:C, classification!B:B, "Not Found")</f>
      </c>
      <c r="Q1427" s="1" t="s">
        <v>5514</v>
      </c>
      <c r="R1427" s="2"/>
      <c r="S1427" s="2"/>
      <c r="T1427" s="2"/>
      <c r="U1427" s="2"/>
    </row>
    <row x14ac:dyDescent="0.25" r="1428" customHeight="1" ht="17.25">
      <c r="A1428" s="7">
        <v>1427</v>
      </c>
      <c r="B1428" s="1" t="s">
        <v>6850</v>
      </c>
      <c r="C1428" s="5">
        <f>CONCATENATE("PD", TEXT(A1428, "1000000"))</f>
      </c>
      <c r="D1428" s="7">
        <v>74</v>
      </c>
      <c r="E1428" s="5">
        <f>XLOOKUP(G1428, item_category!C:C, item_category!B:B, "Not Found")</f>
      </c>
      <c r="F1428" s="1" t="s">
        <v>5520</v>
      </c>
      <c r="G1428" s="5">
        <f>XLOOKUP(I1428, drug!B:B, drug!A:A, "Not Found")</f>
      </c>
      <c r="H1428" s="1" t="s">
        <v>1942</v>
      </c>
      <c r="I1428" s="7">
        <v>1</v>
      </c>
      <c r="J1428" s="5">
        <f>XLOOKUP(L1428, uom!C:C, uom!B:B, "Not Found")</f>
      </c>
      <c r="K1428" s="1" t="s">
        <v>5511</v>
      </c>
      <c r="L1428" s="5">
        <f>XLOOKUP(N1428, uom!C:C, uom!B:B, "Not Found")</f>
      </c>
      <c r="M1428" s="1" t="s">
        <v>5511</v>
      </c>
      <c r="N1428" s="8" t="s">
        <v>5512</v>
      </c>
      <c r="O1428" s="1" t="s">
        <v>5513</v>
      </c>
      <c r="P1428" s="5">
        <f>XLOOKUP(R1428, classification!C:C, classification!B:B, "Not Found")</f>
      </c>
      <c r="Q1428" s="1" t="s">
        <v>5514</v>
      </c>
      <c r="R1428" s="2"/>
      <c r="S1428" s="2"/>
      <c r="T1428" s="2"/>
      <c r="U1428" s="2"/>
    </row>
    <row x14ac:dyDescent="0.25" r="1429" customHeight="1" ht="17.25">
      <c r="A1429" s="7">
        <v>1428</v>
      </c>
      <c r="B1429" s="1" t="s">
        <v>6851</v>
      </c>
      <c r="C1429" s="5">
        <f>CONCATENATE("PD", TEXT(A1429, "1000000"))</f>
      </c>
      <c r="D1429" s="7">
        <v>74</v>
      </c>
      <c r="E1429" s="5">
        <f>XLOOKUP(G1429, item_category!C:C, item_category!B:B, "Not Found")</f>
      </c>
      <c r="F1429" s="1" t="s">
        <v>5520</v>
      </c>
      <c r="G1429" s="5">
        <f>XLOOKUP(I1429, drug!B:B, drug!A:A, "Not Found")</f>
      </c>
      <c r="H1429" s="1" t="s">
        <v>1942</v>
      </c>
      <c r="I1429" s="7">
        <v>1</v>
      </c>
      <c r="J1429" s="5">
        <f>XLOOKUP(L1429, uom!C:C, uom!B:B, "Not Found")</f>
      </c>
      <c r="K1429" s="1" t="s">
        <v>5511</v>
      </c>
      <c r="L1429" s="5">
        <f>XLOOKUP(N1429, uom!C:C, uom!B:B, "Not Found")</f>
      </c>
      <c r="M1429" s="1" t="s">
        <v>5511</v>
      </c>
      <c r="N1429" s="8" t="s">
        <v>5512</v>
      </c>
      <c r="O1429" s="1" t="s">
        <v>5513</v>
      </c>
      <c r="P1429" s="5">
        <f>XLOOKUP(R1429, classification!C:C, classification!B:B, "Not Found")</f>
      </c>
      <c r="Q1429" s="1" t="s">
        <v>5514</v>
      </c>
      <c r="R1429" s="2"/>
      <c r="S1429" s="2"/>
      <c r="T1429" s="2"/>
      <c r="U1429" s="2"/>
    </row>
    <row x14ac:dyDescent="0.25" r="1430" customHeight="1" ht="17.25">
      <c r="A1430" s="7">
        <v>1429</v>
      </c>
      <c r="B1430" s="1" t="s">
        <v>6852</v>
      </c>
      <c r="C1430" s="5">
        <f>CONCATENATE("PD", TEXT(A1430, "1000000"))</f>
      </c>
      <c r="D1430" s="7">
        <v>74</v>
      </c>
      <c r="E1430" s="5">
        <f>XLOOKUP(G1430, item_category!C:C, item_category!B:B, "Not Found")</f>
      </c>
      <c r="F1430" s="1" t="s">
        <v>5520</v>
      </c>
      <c r="G1430" s="5">
        <f>XLOOKUP(I1430, drug!B:B, drug!A:A, "Not Found")</f>
      </c>
      <c r="H1430" s="1" t="s">
        <v>1942</v>
      </c>
      <c r="I1430" s="7">
        <v>1</v>
      </c>
      <c r="J1430" s="5">
        <f>XLOOKUP(L1430, uom!C:C, uom!B:B, "Not Found")</f>
      </c>
      <c r="K1430" s="1" t="s">
        <v>5511</v>
      </c>
      <c r="L1430" s="5">
        <f>XLOOKUP(N1430, uom!C:C, uom!B:B, "Not Found")</f>
      </c>
      <c r="M1430" s="1" t="s">
        <v>5511</v>
      </c>
      <c r="N1430" s="8" t="s">
        <v>5512</v>
      </c>
      <c r="O1430" s="1" t="s">
        <v>5513</v>
      </c>
      <c r="P1430" s="5">
        <f>XLOOKUP(R1430, classification!C:C, classification!B:B, "Not Found")</f>
      </c>
      <c r="Q1430" s="1" t="s">
        <v>5514</v>
      </c>
      <c r="R1430" s="2"/>
      <c r="S1430" s="2"/>
      <c r="T1430" s="2"/>
      <c r="U1430" s="2"/>
    </row>
    <row x14ac:dyDescent="0.25" r="1431" customHeight="1" ht="17.25">
      <c r="A1431" s="7">
        <v>1430</v>
      </c>
      <c r="B1431" s="1" t="s">
        <v>6853</v>
      </c>
      <c r="C1431" s="5">
        <f>CONCATENATE("PD", TEXT(A1431, "1000000"))</f>
      </c>
      <c r="D1431" s="7">
        <v>74</v>
      </c>
      <c r="E1431" s="5">
        <f>XLOOKUP(G1431, item_category!C:C, item_category!B:B, "Not Found")</f>
      </c>
      <c r="F1431" s="1" t="s">
        <v>5520</v>
      </c>
      <c r="G1431" s="5">
        <f>XLOOKUP(I1431, drug!B:B, drug!A:A, "Not Found")</f>
      </c>
      <c r="H1431" s="1" t="s">
        <v>1942</v>
      </c>
      <c r="I1431" s="7">
        <v>1</v>
      </c>
      <c r="J1431" s="5">
        <f>XLOOKUP(L1431, uom!C:C, uom!B:B, "Not Found")</f>
      </c>
      <c r="K1431" s="1" t="s">
        <v>5511</v>
      </c>
      <c r="L1431" s="5">
        <f>XLOOKUP(N1431, uom!C:C, uom!B:B, "Not Found")</f>
      </c>
      <c r="M1431" s="1" t="s">
        <v>5511</v>
      </c>
      <c r="N1431" s="8" t="s">
        <v>5512</v>
      </c>
      <c r="O1431" s="1" t="s">
        <v>5513</v>
      </c>
      <c r="P1431" s="5">
        <f>XLOOKUP(R1431, classification!C:C, classification!B:B, "Not Found")</f>
      </c>
      <c r="Q1431" s="1" t="s">
        <v>5514</v>
      </c>
      <c r="R1431" s="2"/>
      <c r="S1431" s="2"/>
      <c r="T1431" s="2"/>
      <c r="U1431" s="2"/>
    </row>
    <row x14ac:dyDescent="0.25" r="1432" customHeight="1" ht="17.25">
      <c r="A1432" s="7">
        <v>1431</v>
      </c>
      <c r="B1432" s="1" t="s">
        <v>6854</v>
      </c>
      <c r="C1432" s="5">
        <f>CONCATENATE("PD", TEXT(A1432, "1000000"))</f>
      </c>
      <c r="D1432" s="7">
        <v>74</v>
      </c>
      <c r="E1432" s="5">
        <f>XLOOKUP(G1432, item_category!C:C, item_category!B:B, "Not Found")</f>
      </c>
      <c r="F1432" s="1" t="s">
        <v>5520</v>
      </c>
      <c r="G1432" s="5">
        <f>XLOOKUP(I1432, drug!B:B, drug!A:A, "Not Found")</f>
      </c>
      <c r="H1432" s="1" t="s">
        <v>1942</v>
      </c>
      <c r="I1432" s="7">
        <v>1</v>
      </c>
      <c r="J1432" s="5">
        <f>XLOOKUP(L1432, uom!C:C, uom!B:B, "Not Found")</f>
      </c>
      <c r="K1432" s="1" t="s">
        <v>5511</v>
      </c>
      <c r="L1432" s="5">
        <f>XLOOKUP(N1432, uom!C:C, uom!B:B, "Not Found")</f>
      </c>
      <c r="M1432" s="1" t="s">
        <v>5511</v>
      </c>
      <c r="N1432" s="8" t="s">
        <v>5512</v>
      </c>
      <c r="O1432" s="1" t="s">
        <v>5513</v>
      </c>
      <c r="P1432" s="5">
        <f>XLOOKUP(R1432, classification!C:C, classification!B:B, "Not Found")</f>
      </c>
      <c r="Q1432" s="1" t="s">
        <v>5514</v>
      </c>
      <c r="R1432" s="2"/>
      <c r="S1432" s="2"/>
      <c r="T1432" s="2"/>
      <c r="U1432" s="2"/>
    </row>
    <row x14ac:dyDescent="0.25" r="1433" customHeight="1" ht="17.25">
      <c r="A1433" s="7">
        <v>1432</v>
      </c>
      <c r="B1433" s="1" t="s">
        <v>6855</v>
      </c>
      <c r="C1433" s="5">
        <f>CONCATENATE("PD", TEXT(A1433, "1000000"))</f>
      </c>
      <c r="D1433" s="7">
        <v>74</v>
      </c>
      <c r="E1433" s="5">
        <f>XLOOKUP(G1433, item_category!C:C, item_category!B:B, "Not Found")</f>
      </c>
      <c r="F1433" s="1" t="s">
        <v>5520</v>
      </c>
      <c r="G1433" s="5">
        <f>XLOOKUP(I1433, drug!B:B, drug!A:A, "Not Found")</f>
      </c>
      <c r="H1433" s="1" t="s">
        <v>226</v>
      </c>
      <c r="I1433" s="7">
        <v>1</v>
      </c>
      <c r="J1433" s="5">
        <f>XLOOKUP(L1433, uom!C:C, uom!B:B, "Not Found")</f>
      </c>
      <c r="K1433" s="1" t="s">
        <v>5511</v>
      </c>
      <c r="L1433" s="5">
        <f>XLOOKUP(N1433, uom!C:C, uom!B:B, "Not Found")</f>
      </c>
      <c r="M1433" s="1" t="s">
        <v>5511</v>
      </c>
      <c r="N1433" s="8" t="s">
        <v>5512</v>
      </c>
      <c r="O1433" s="1" t="s">
        <v>5513</v>
      </c>
      <c r="P1433" s="5">
        <f>XLOOKUP(R1433, classification!C:C, classification!B:B, "Not Found")</f>
      </c>
      <c r="Q1433" s="1" t="s">
        <v>5514</v>
      </c>
      <c r="R1433" s="2"/>
      <c r="S1433" s="2"/>
      <c r="T1433" s="2"/>
      <c r="U1433" s="2"/>
    </row>
    <row x14ac:dyDescent="0.25" r="1434" customHeight="1" ht="17.25">
      <c r="A1434" s="7">
        <v>1433</v>
      </c>
      <c r="B1434" s="1" t="s">
        <v>6856</v>
      </c>
      <c r="C1434" s="5">
        <f>CONCATENATE("PD", TEXT(A1434, "1000000"))</f>
      </c>
      <c r="D1434" s="7">
        <v>74</v>
      </c>
      <c r="E1434" s="5">
        <f>XLOOKUP(G1434, item_category!C:C, item_category!B:B, "Not Found")</f>
      </c>
      <c r="F1434" s="1" t="s">
        <v>5520</v>
      </c>
      <c r="G1434" s="5">
        <f>XLOOKUP(I1434, drug!B:B, drug!A:A, "Not Found")</f>
      </c>
      <c r="H1434" s="1"/>
      <c r="I1434" s="7">
        <v>1</v>
      </c>
      <c r="J1434" s="5">
        <f>XLOOKUP(L1434, uom!C:C, uom!B:B, "Not Found")</f>
      </c>
      <c r="K1434" s="1" t="s">
        <v>5511</v>
      </c>
      <c r="L1434" s="5">
        <f>XLOOKUP(N1434, uom!C:C, uom!B:B, "Not Found")</f>
      </c>
      <c r="M1434" s="1" t="s">
        <v>5511</v>
      </c>
      <c r="N1434" s="8" t="s">
        <v>5512</v>
      </c>
      <c r="O1434" s="1" t="s">
        <v>5513</v>
      </c>
      <c r="P1434" s="5">
        <f>XLOOKUP(R1434, classification!C:C, classification!B:B, "Not Found")</f>
      </c>
      <c r="Q1434" s="1" t="s">
        <v>5514</v>
      </c>
      <c r="R1434" s="2"/>
      <c r="S1434" s="2"/>
      <c r="T1434" s="2"/>
      <c r="U1434" s="2"/>
    </row>
    <row x14ac:dyDescent="0.25" r="1435" customHeight="1" ht="17.25">
      <c r="A1435" s="7">
        <v>1434</v>
      </c>
      <c r="B1435" s="1" t="s">
        <v>6857</v>
      </c>
      <c r="C1435" s="5">
        <f>CONCATENATE("PD", TEXT(A1435, "1000000"))</f>
      </c>
      <c r="D1435" s="7">
        <v>74</v>
      </c>
      <c r="E1435" s="5">
        <f>XLOOKUP(G1435, item_category!C:C, item_category!B:B, "Not Found")</f>
      </c>
      <c r="F1435" s="1" t="s">
        <v>5520</v>
      </c>
      <c r="G1435" s="5">
        <f>XLOOKUP(I1435, drug!B:B, drug!A:A, "Not Found")</f>
      </c>
      <c r="H1435" s="1"/>
      <c r="I1435" s="7">
        <v>1</v>
      </c>
      <c r="J1435" s="5">
        <f>XLOOKUP(L1435, uom!C:C, uom!B:B, "Not Found")</f>
      </c>
      <c r="K1435" s="1" t="s">
        <v>5511</v>
      </c>
      <c r="L1435" s="5">
        <f>XLOOKUP(N1435, uom!C:C, uom!B:B, "Not Found")</f>
      </c>
      <c r="M1435" s="1" t="s">
        <v>5511</v>
      </c>
      <c r="N1435" s="8" t="s">
        <v>5512</v>
      </c>
      <c r="O1435" s="1" t="s">
        <v>5513</v>
      </c>
      <c r="P1435" s="5">
        <f>XLOOKUP(R1435, classification!C:C, classification!B:B, "Not Found")</f>
      </c>
      <c r="Q1435" s="1" t="s">
        <v>5514</v>
      </c>
      <c r="R1435" s="2"/>
      <c r="S1435" s="2"/>
      <c r="T1435" s="2"/>
      <c r="U1435" s="2"/>
    </row>
    <row x14ac:dyDescent="0.25" r="1436" customHeight="1" ht="17.25">
      <c r="A1436" s="7">
        <v>1435</v>
      </c>
      <c r="B1436" s="1" t="s">
        <v>6858</v>
      </c>
      <c r="C1436" s="5">
        <f>CONCATENATE("PD", TEXT(A1436, "1000000"))</f>
      </c>
      <c r="D1436" s="7">
        <v>74</v>
      </c>
      <c r="E1436" s="5">
        <f>XLOOKUP(G1436, item_category!C:C, item_category!B:B, "Not Found")</f>
      </c>
      <c r="F1436" s="1" t="s">
        <v>5520</v>
      </c>
      <c r="G1436" s="5">
        <f>XLOOKUP(I1436, drug!B:B, drug!A:A, "Not Found")</f>
      </c>
      <c r="H1436" s="1"/>
      <c r="I1436" s="7">
        <v>1</v>
      </c>
      <c r="J1436" s="5">
        <f>XLOOKUP(L1436, uom!C:C, uom!B:B, "Not Found")</f>
      </c>
      <c r="K1436" s="1" t="s">
        <v>5511</v>
      </c>
      <c r="L1436" s="5">
        <f>XLOOKUP(N1436, uom!C:C, uom!B:B, "Not Found")</f>
      </c>
      <c r="M1436" s="1" t="s">
        <v>5511</v>
      </c>
      <c r="N1436" s="8" t="s">
        <v>5512</v>
      </c>
      <c r="O1436" s="1" t="s">
        <v>5513</v>
      </c>
      <c r="P1436" s="5">
        <f>XLOOKUP(R1436, classification!C:C, classification!B:B, "Not Found")</f>
      </c>
      <c r="Q1436" s="1" t="s">
        <v>5514</v>
      </c>
      <c r="R1436" s="2"/>
      <c r="S1436" s="2"/>
      <c r="T1436" s="2"/>
      <c r="U1436" s="2"/>
    </row>
    <row x14ac:dyDescent="0.25" r="1437" customHeight="1" ht="17.25">
      <c r="A1437" s="7">
        <v>1436</v>
      </c>
      <c r="B1437" s="1" t="s">
        <v>6859</v>
      </c>
      <c r="C1437" s="5">
        <f>CONCATENATE("PD", TEXT(A1437, "1000000"))</f>
      </c>
      <c r="D1437" s="7">
        <v>74</v>
      </c>
      <c r="E1437" s="5">
        <f>XLOOKUP(G1437, item_category!C:C, item_category!B:B, "Not Found")</f>
      </c>
      <c r="F1437" s="1" t="s">
        <v>5520</v>
      </c>
      <c r="G1437" s="5">
        <f>XLOOKUP(I1437, drug!B:B, drug!A:A, "Not Found")</f>
      </c>
      <c r="H1437" s="1"/>
      <c r="I1437" s="7">
        <v>1</v>
      </c>
      <c r="J1437" s="5">
        <f>XLOOKUP(L1437, uom!C:C, uom!B:B, "Not Found")</f>
      </c>
      <c r="K1437" s="1" t="s">
        <v>5511</v>
      </c>
      <c r="L1437" s="5">
        <f>XLOOKUP(N1437, uom!C:C, uom!B:B, "Not Found")</f>
      </c>
      <c r="M1437" s="1" t="s">
        <v>5511</v>
      </c>
      <c r="N1437" s="8" t="s">
        <v>5512</v>
      </c>
      <c r="O1437" s="1" t="s">
        <v>5513</v>
      </c>
      <c r="P1437" s="5">
        <f>XLOOKUP(R1437, classification!C:C, classification!B:B, "Not Found")</f>
      </c>
      <c r="Q1437" s="1" t="s">
        <v>5514</v>
      </c>
      <c r="R1437" s="2"/>
      <c r="S1437" s="2"/>
      <c r="T1437" s="2"/>
      <c r="U1437" s="2"/>
    </row>
    <row x14ac:dyDescent="0.25" r="1438" customHeight="1" ht="17.25">
      <c r="A1438" s="7">
        <v>1437</v>
      </c>
      <c r="B1438" s="1" t="s">
        <v>6860</v>
      </c>
      <c r="C1438" s="5">
        <f>CONCATENATE("PD", TEXT(A1438, "1000000"))</f>
      </c>
      <c r="D1438" s="7">
        <v>74</v>
      </c>
      <c r="E1438" s="5">
        <f>XLOOKUP(G1438, item_category!C:C, item_category!B:B, "Not Found")</f>
      </c>
      <c r="F1438" s="1" t="s">
        <v>5520</v>
      </c>
      <c r="G1438" s="5">
        <f>XLOOKUP(I1438, drug!B:B, drug!A:A, "Not Found")</f>
      </c>
      <c r="H1438" s="1"/>
      <c r="I1438" s="7">
        <v>1</v>
      </c>
      <c r="J1438" s="5">
        <f>XLOOKUP(L1438, uom!C:C, uom!B:B, "Not Found")</f>
      </c>
      <c r="K1438" s="1" t="s">
        <v>5511</v>
      </c>
      <c r="L1438" s="5">
        <f>XLOOKUP(N1438, uom!C:C, uom!B:B, "Not Found")</f>
      </c>
      <c r="M1438" s="1" t="s">
        <v>5511</v>
      </c>
      <c r="N1438" s="8" t="s">
        <v>5512</v>
      </c>
      <c r="O1438" s="1" t="s">
        <v>5513</v>
      </c>
      <c r="P1438" s="5">
        <f>XLOOKUP(R1438, classification!C:C, classification!B:B, "Not Found")</f>
      </c>
      <c r="Q1438" s="1" t="s">
        <v>5514</v>
      </c>
      <c r="R1438" s="2"/>
      <c r="S1438" s="2"/>
      <c r="T1438" s="2"/>
      <c r="U1438" s="2"/>
    </row>
    <row x14ac:dyDescent="0.25" r="1439" customHeight="1" ht="17.25">
      <c r="A1439" s="7">
        <v>1438</v>
      </c>
      <c r="B1439" s="1" t="s">
        <v>6861</v>
      </c>
      <c r="C1439" s="5">
        <f>CONCATENATE("PD", TEXT(A1439, "1000000"))</f>
      </c>
      <c r="D1439" s="7">
        <v>74</v>
      </c>
      <c r="E1439" s="5">
        <f>XLOOKUP(G1439, item_category!C:C, item_category!B:B, "Not Found")</f>
      </c>
      <c r="F1439" s="1" t="s">
        <v>5520</v>
      </c>
      <c r="G1439" s="5">
        <f>XLOOKUP(I1439, drug!B:B, drug!A:A, "Not Found")</f>
      </c>
      <c r="H1439" s="1"/>
      <c r="I1439" s="7">
        <v>1</v>
      </c>
      <c r="J1439" s="5">
        <f>XLOOKUP(L1439, uom!C:C, uom!B:B, "Not Found")</f>
      </c>
      <c r="K1439" s="1" t="s">
        <v>5511</v>
      </c>
      <c r="L1439" s="5">
        <f>XLOOKUP(N1439, uom!C:C, uom!B:B, "Not Found")</f>
      </c>
      <c r="M1439" s="1" t="s">
        <v>5511</v>
      </c>
      <c r="N1439" s="8" t="s">
        <v>5512</v>
      </c>
      <c r="O1439" s="1" t="s">
        <v>5513</v>
      </c>
      <c r="P1439" s="5">
        <f>XLOOKUP(R1439, classification!C:C, classification!B:B, "Not Found")</f>
      </c>
      <c r="Q1439" s="1" t="s">
        <v>5514</v>
      </c>
      <c r="R1439" s="2"/>
      <c r="S1439" s="2"/>
      <c r="T1439" s="2"/>
      <c r="U1439" s="2"/>
    </row>
    <row x14ac:dyDescent="0.25" r="1440" customHeight="1" ht="17.25">
      <c r="A1440" s="7">
        <v>1439</v>
      </c>
      <c r="B1440" s="1" t="s">
        <v>2694</v>
      </c>
      <c r="C1440" s="5">
        <f>CONCATENATE("PD", TEXT(A1440, "1000000"))</f>
      </c>
      <c r="D1440" s="7">
        <v>74</v>
      </c>
      <c r="E1440" s="5">
        <f>XLOOKUP(G1440, item_category!C:C, item_category!B:B, "Not Found")</f>
      </c>
      <c r="F1440" s="1" t="s">
        <v>5520</v>
      </c>
      <c r="G1440" s="5">
        <f>XLOOKUP(I1440, drug!B:B, drug!A:A, "Not Found")</f>
      </c>
      <c r="H1440" s="1"/>
      <c r="I1440" s="7">
        <v>1</v>
      </c>
      <c r="J1440" s="5">
        <f>XLOOKUP(L1440, uom!C:C, uom!B:B, "Not Found")</f>
      </c>
      <c r="K1440" s="1" t="s">
        <v>5511</v>
      </c>
      <c r="L1440" s="5">
        <f>XLOOKUP(N1440, uom!C:C, uom!B:B, "Not Found")</f>
      </c>
      <c r="M1440" s="1" t="s">
        <v>5511</v>
      </c>
      <c r="N1440" s="8" t="s">
        <v>5512</v>
      </c>
      <c r="O1440" s="1" t="s">
        <v>5513</v>
      </c>
      <c r="P1440" s="5">
        <f>XLOOKUP(R1440, classification!C:C, classification!B:B, "Not Found")</f>
      </c>
      <c r="Q1440" s="1" t="s">
        <v>5514</v>
      </c>
      <c r="R1440" s="2"/>
      <c r="S1440" s="2"/>
      <c r="T1440" s="2"/>
      <c r="U1440" s="2"/>
    </row>
    <row x14ac:dyDescent="0.25" r="1441" customHeight="1" ht="17.25">
      <c r="A1441" s="7">
        <v>1440</v>
      </c>
      <c r="B1441" s="1" t="s">
        <v>6862</v>
      </c>
      <c r="C1441" s="5">
        <f>CONCATENATE("PD", TEXT(A1441, "1000000"))</f>
      </c>
      <c r="D1441" s="7">
        <v>74</v>
      </c>
      <c r="E1441" s="5">
        <f>XLOOKUP(G1441, item_category!C:C, item_category!B:B, "Not Found")</f>
      </c>
      <c r="F1441" s="1" t="s">
        <v>5520</v>
      </c>
      <c r="G1441" s="5">
        <f>XLOOKUP(I1441, drug!B:B, drug!A:A, "Not Found")</f>
      </c>
      <c r="H1441" s="1"/>
      <c r="I1441" s="7">
        <v>1</v>
      </c>
      <c r="J1441" s="5">
        <f>XLOOKUP(L1441, uom!C:C, uom!B:B, "Not Found")</f>
      </c>
      <c r="K1441" s="1" t="s">
        <v>5511</v>
      </c>
      <c r="L1441" s="5">
        <f>XLOOKUP(N1441, uom!C:C, uom!B:B, "Not Found")</f>
      </c>
      <c r="M1441" s="1" t="s">
        <v>5511</v>
      </c>
      <c r="N1441" s="8" t="s">
        <v>5512</v>
      </c>
      <c r="O1441" s="1" t="s">
        <v>5513</v>
      </c>
      <c r="P1441" s="5">
        <f>XLOOKUP(R1441, classification!C:C, classification!B:B, "Not Found")</f>
      </c>
      <c r="Q1441" s="1" t="s">
        <v>5514</v>
      </c>
      <c r="R1441" s="2"/>
      <c r="S1441" s="2"/>
      <c r="T1441" s="2"/>
      <c r="U1441" s="2"/>
    </row>
    <row x14ac:dyDescent="0.25" r="1442" customHeight="1" ht="17.25">
      <c r="A1442" s="7">
        <v>1441</v>
      </c>
      <c r="B1442" s="1" t="s">
        <v>6863</v>
      </c>
      <c r="C1442" s="5">
        <f>CONCATENATE("PD", TEXT(A1442, "1000000"))</f>
      </c>
      <c r="D1442" s="7">
        <v>74</v>
      </c>
      <c r="E1442" s="5">
        <f>XLOOKUP(G1442, item_category!C:C, item_category!B:B, "Not Found")</f>
      </c>
      <c r="F1442" s="1" t="s">
        <v>5520</v>
      </c>
      <c r="G1442" s="5">
        <f>XLOOKUP(I1442, drug!B:B, drug!A:A, "Not Found")</f>
      </c>
      <c r="H1442" s="1"/>
      <c r="I1442" s="7">
        <v>1</v>
      </c>
      <c r="J1442" s="5">
        <f>XLOOKUP(L1442, uom!C:C, uom!B:B, "Not Found")</f>
      </c>
      <c r="K1442" s="1" t="s">
        <v>5511</v>
      </c>
      <c r="L1442" s="5">
        <f>XLOOKUP(N1442, uom!C:C, uom!B:B, "Not Found")</f>
      </c>
      <c r="M1442" s="1" t="s">
        <v>5511</v>
      </c>
      <c r="N1442" s="8" t="s">
        <v>5512</v>
      </c>
      <c r="O1442" s="1" t="s">
        <v>5513</v>
      </c>
      <c r="P1442" s="5">
        <f>XLOOKUP(R1442, classification!C:C, classification!B:B, "Not Found")</f>
      </c>
      <c r="Q1442" s="1" t="s">
        <v>5514</v>
      </c>
      <c r="R1442" s="2"/>
      <c r="S1442" s="2"/>
      <c r="T1442" s="2"/>
      <c r="U1442" s="2"/>
    </row>
    <row x14ac:dyDescent="0.25" r="1443" customHeight="1" ht="17.25">
      <c r="A1443" s="7">
        <v>1442</v>
      </c>
      <c r="B1443" s="1" t="s">
        <v>6864</v>
      </c>
      <c r="C1443" s="5">
        <f>CONCATENATE("PD", TEXT(A1443, "1000000"))</f>
      </c>
      <c r="D1443" s="7">
        <v>74</v>
      </c>
      <c r="E1443" s="5">
        <f>XLOOKUP(G1443, item_category!C:C, item_category!B:B, "Not Found")</f>
      </c>
      <c r="F1443" s="1" t="s">
        <v>5520</v>
      </c>
      <c r="G1443" s="5">
        <f>XLOOKUP(I1443, drug!B:B, drug!A:A, "Not Found")</f>
      </c>
      <c r="H1443" s="1"/>
      <c r="I1443" s="7">
        <v>1</v>
      </c>
      <c r="J1443" s="5">
        <f>XLOOKUP(L1443, uom!C:C, uom!B:B, "Not Found")</f>
      </c>
      <c r="K1443" s="1" t="s">
        <v>5511</v>
      </c>
      <c r="L1443" s="5">
        <f>XLOOKUP(N1443, uom!C:C, uom!B:B, "Not Found")</f>
      </c>
      <c r="M1443" s="1" t="s">
        <v>5511</v>
      </c>
      <c r="N1443" s="8" t="s">
        <v>5512</v>
      </c>
      <c r="O1443" s="1" t="s">
        <v>5513</v>
      </c>
      <c r="P1443" s="5">
        <f>XLOOKUP(R1443, classification!C:C, classification!B:B, "Not Found")</f>
      </c>
      <c r="Q1443" s="1" t="s">
        <v>5514</v>
      </c>
      <c r="R1443" s="2"/>
      <c r="S1443" s="2"/>
      <c r="T1443" s="2"/>
      <c r="U1443" s="2"/>
    </row>
    <row x14ac:dyDescent="0.25" r="1444" customHeight="1" ht="17.25">
      <c r="A1444" s="7">
        <v>1443</v>
      </c>
      <c r="B1444" s="1" t="s">
        <v>6865</v>
      </c>
      <c r="C1444" s="5">
        <f>CONCATENATE("PD", TEXT(A1444, "1000000"))</f>
      </c>
      <c r="D1444" s="7">
        <v>74</v>
      </c>
      <c r="E1444" s="5">
        <f>XLOOKUP(G1444, item_category!C:C, item_category!B:B, "Not Found")</f>
      </c>
      <c r="F1444" s="1" t="s">
        <v>5520</v>
      </c>
      <c r="G1444" s="5">
        <f>XLOOKUP(I1444, drug!B:B, drug!A:A, "Not Found")</f>
      </c>
      <c r="H1444" s="1"/>
      <c r="I1444" s="7">
        <v>1</v>
      </c>
      <c r="J1444" s="5">
        <f>XLOOKUP(L1444, uom!C:C, uom!B:B, "Not Found")</f>
      </c>
      <c r="K1444" s="1" t="s">
        <v>5511</v>
      </c>
      <c r="L1444" s="5">
        <f>XLOOKUP(N1444, uom!C:C, uom!B:B, "Not Found")</f>
      </c>
      <c r="M1444" s="1" t="s">
        <v>5511</v>
      </c>
      <c r="N1444" s="8" t="s">
        <v>5512</v>
      </c>
      <c r="O1444" s="1" t="s">
        <v>5513</v>
      </c>
      <c r="P1444" s="5">
        <f>XLOOKUP(R1444, classification!C:C, classification!B:B, "Not Found")</f>
      </c>
      <c r="Q1444" s="1" t="s">
        <v>5514</v>
      </c>
      <c r="R1444" s="2"/>
      <c r="S1444" s="2"/>
      <c r="T1444" s="2"/>
      <c r="U1444" s="2"/>
    </row>
    <row x14ac:dyDescent="0.25" r="1445" customHeight="1" ht="17.25">
      <c r="A1445" s="7">
        <v>1444</v>
      </c>
      <c r="B1445" s="1" t="s">
        <v>6866</v>
      </c>
      <c r="C1445" s="5">
        <f>CONCATENATE("PD", TEXT(A1445, "1000000"))</f>
      </c>
      <c r="D1445" s="7">
        <v>74</v>
      </c>
      <c r="E1445" s="5">
        <f>XLOOKUP(G1445, item_category!C:C, item_category!B:B, "Not Found")</f>
      </c>
      <c r="F1445" s="1" t="s">
        <v>5520</v>
      </c>
      <c r="G1445" s="5">
        <f>XLOOKUP(I1445, drug!B:B, drug!A:A, "Not Found")</f>
      </c>
      <c r="H1445" s="1"/>
      <c r="I1445" s="7">
        <v>1</v>
      </c>
      <c r="J1445" s="5">
        <f>XLOOKUP(L1445, uom!C:C, uom!B:B, "Not Found")</f>
      </c>
      <c r="K1445" s="1" t="s">
        <v>5511</v>
      </c>
      <c r="L1445" s="5">
        <f>XLOOKUP(N1445, uom!C:C, uom!B:B, "Not Found")</f>
      </c>
      <c r="M1445" s="1" t="s">
        <v>5511</v>
      </c>
      <c r="N1445" s="8" t="s">
        <v>5512</v>
      </c>
      <c r="O1445" s="1" t="s">
        <v>5513</v>
      </c>
      <c r="P1445" s="5">
        <f>XLOOKUP(R1445, classification!C:C, classification!B:B, "Not Found")</f>
      </c>
      <c r="Q1445" s="1" t="s">
        <v>5514</v>
      </c>
      <c r="R1445" s="2"/>
      <c r="S1445" s="2"/>
      <c r="T1445" s="2"/>
      <c r="U1445" s="2"/>
    </row>
    <row x14ac:dyDescent="0.25" r="1446" customHeight="1" ht="17.25">
      <c r="A1446" s="7">
        <v>1445</v>
      </c>
      <c r="B1446" s="1" t="s">
        <v>6867</v>
      </c>
      <c r="C1446" s="5">
        <f>CONCATENATE("PD", TEXT(A1446, "1000000"))</f>
      </c>
      <c r="D1446" s="7">
        <v>74</v>
      </c>
      <c r="E1446" s="5">
        <f>XLOOKUP(G1446, item_category!C:C, item_category!B:B, "Not Found")</f>
      </c>
      <c r="F1446" s="1" t="s">
        <v>5520</v>
      </c>
      <c r="G1446" s="5">
        <f>XLOOKUP(I1446, drug!B:B, drug!A:A, "Not Found")</f>
      </c>
      <c r="H1446" s="1" t="s">
        <v>1996</v>
      </c>
      <c r="I1446" s="7">
        <v>1</v>
      </c>
      <c r="J1446" s="5">
        <f>XLOOKUP(L1446, uom!C:C, uom!B:B, "Not Found")</f>
      </c>
      <c r="K1446" s="1" t="s">
        <v>5511</v>
      </c>
      <c r="L1446" s="5">
        <f>XLOOKUP(N1446, uom!C:C, uom!B:B, "Not Found")</f>
      </c>
      <c r="M1446" s="1" t="s">
        <v>5511</v>
      </c>
      <c r="N1446" s="8" t="s">
        <v>5512</v>
      </c>
      <c r="O1446" s="1" t="s">
        <v>5513</v>
      </c>
      <c r="P1446" s="5">
        <f>XLOOKUP(R1446, classification!C:C, classification!B:B, "Not Found")</f>
      </c>
      <c r="Q1446" s="1" t="s">
        <v>5514</v>
      </c>
      <c r="R1446" s="2"/>
      <c r="S1446" s="2"/>
      <c r="T1446" s="2"/>
      <c r="U1446" s="2"/>
    </row>
    <row x14ac:dyDescent="0.25" r="1447" customHeight="1" ht="17.25">
      <c r="A1447" s="7">
        <v>1446</v>
      </c>
      <c r="B1447" s="1" t="s">
        <v>6868</v>
      </c>
      <c r="C1447" s="5">
        <f>CONCATENATE("PD", TEXT(A1447, "1000000"))</f>
      </c>
      <c r="D1447" s="7">
        <v>74</v>
      </c>
      <c r="E1447" s="5">
        <f>XLOOKUP(G1447, item_category!C:C, item_category!B:B, "Not Found")</f>
      </c>
      <c r="F1447" s="1" t="s">
        <v>5520</v>
      </c>
      <c r="G1447" s="5">
        <f>XLOOKUP(I1447, drug!B:B, drug!A:A, "Not Found")</f>
      </c>
      <c r="H1447" s="1" t="s">
        <v>272</v>
      </c>
      <c r="I1447" s="7">
        <v>1</v>
      </c>
      <c r="J1447" s="5">
        <f>XLOOKUP(L1447, uom!C:C, uom!B:B, "Not Found")</f>
      </c>
      <c r="K1447" s="1" t="s">
        <v>5511</v>
      </c>
      <c r="L1447" s="5">
        <f>XLOOKUP(N1447, uom!C:C, uom!B:B, "Not Found")</f>
      </c>
      <c r="M1447" s="1" t="s">
        <v>5511</v>
      </c>
      <c r="N1447" s="8" t="s">
        <v>5512</v>
      </c>
      <c r="O1447" s="1" t="s">
        <v>5513</v>
      </c>
      <c r="P1447" s="5">
        <f>XLOOKUP(R1447, classification!C:C, classification!B:B, "Not Found")</f>
      </c>
      <c r="Q1447" s="1" t="s">
        <v>5514</v>
      </c>
      <c r="R1447" s="2"/>
      <c r="S1447" s="2"/>
      <c r="T1447" s="2"/>
      <c r="U1447" s="2"/>
    </row>
    <row x14ac:dyDescent="0.25" r="1448" customHeight="1" ht="17.25">
      <c r="A1448" s="7">
        <v>1447</v>
      </c>
      <c r="B1448" s="1" t="s">
        <v>6869</v>
      </c>
      <c r="C1448" s="5">
        <f>CONCATENATE("PD", TEXT(A1448, "1000000"))</f>
      </c>
      <c r="D1448" s="7">
        <v>74</v>
      </c>
      <c r="E1448" s="5">
        <f>XLOOKUP(G1448, item_category!C:C, item_category!B:B, "Not Found")</f>
      </c>
      <c r="F1448" s="1" t="s">
        <v>5520</v>
      </c>
      <c r="G1448" s="5">
        <f>XLOOKUP(I1448, drug!B:B, drug!A:A, "Not Found")</f>
      </c>
      <c r="H1448" s="1"/>
      <c r="I1448" s="7">
        <v>1</v>
      </c>
      <c r="J1448" s="5">
        <f>XLOOKUP(L1448, uom!C:C, uom!B:B, "Not Found")</f>
      </c>
      <c r="K1448" s="1" t="s">
        <v>5511</v>
      </c>
      <c r="L1448" s="5">
        <f>XLOOKUP(N1448, uom!C:C, uom!B:B, "Not Found")</f>
      </c>
      <c r="M1448" s="1" t="s">
        <v>5511</v>
      </c>
      <c r="N1448" s="8" t="s">
        <v>5512</v>
      </c>
      <c r="O1448" s="1" t="s">
        <v>5513</v>
      </c>
      <c r="P1448" s="5">
        <f>XLOOKUP(R1448, classification!C:C, classification!B:B, "Not Found")</f>
      </c>
      <c r="Q1448" s="1" t="s">
        <v>5514</v>
      </c>
      <c r="R1448" s="2"/>
      <c r="S1448" s="2"/>
      <c r="T1448" s="2"/>
      <c r="U1448" s="2"/>
    </row>
    <row x14ac:dyDescent="0.25" r="1449" customHeight="1" ht="17.25">
      <c r="A1449" s="7">
        <v>1448</v>
      </c>
      <c r="B1449" s="1" t="s">
        <v>6870</v>
      </c>
      <c r="C1449" s="5">
        <f>CONCATENATE("PD", TEXT(A1449, "1000000"))</f>
      </c>
      <c r="D1449" s="7">
        <v>74</v>
      </c>
      <c r="E1449" s="5">
        <f>XLOOKUP(G1449, item_category!C:C, item_category!B:B, "Not Found")</f>
      </c>
      <c r="F1449" s="1" t="s">
        <v>5520</v>
      </c>
      <c r="G1449" s="5">
        <f>XLOOKUP(I1449, drug!B:B, drug!A:A, "Not Found")</f>
      </c>
      <c r="H1449" s="1"/>
      <c r="I1449" s="7">
        <v>1</v>
      </c>
      <c r="J1449" s="5">
        <f>XLOOKUP(L1449, uom!C:C, uom!B:B, "Not Found")</f>
      </c>
      <c r="K1449" s="1" t="s">
        <v>5511</v>
      </c>
      <c r="L1449" s="5">
        <f>XLOOKUP(N1449, uom!C:C, uom!B:B, "Not Found")</f>
      </c>
      <c r="M1449" s="1" t="s">
        <v>5511</v>
      </c>
      <c r="N1449" s="8" t="s">
        <v>5512</v>
      </c>
      <c r="O1449" s="1" t="s">
        <v>5513</v>
      </c>
      <c r="P1449" s="5">
        <f>XLOOKUP(R1449, classification!C:C, classification!B:B, "Not Found")</f>
      </c>
      <c r="Q1449" s="1" t="s">
        <v>5514</v>
      </c>
      <c r="R1449" s="2"/>
      <c r="S1449" s="2"/>
      <c r="T1449" s="2"/>
      <c r="U1449" s="2"/>
    </row>
    <row x14ac:dyDescent="0.25" r="1450" customHeight="1" ht="17.25">
      <c r="A1450" s="7">
        <v>1449</v>
      </c>
      <c r="B1450" s="1" t="s">
        <v>6871</v>
      </c>
      <c r="C1450" s="5">
        <f>CONCATENATE("PD", TEXT(A1450, "1000000"))</f>
      </c>
      <c r="D1450" s="7">
        <v>74</v>
      </c>
      <c r="E1450" s="5">
        <f>XLOOKUP(G1450, item_category!C:C, item_category!B:B, "Not Found")</f>
      </c>
      <c r="F1450" s="1" t="s">
        <v>5520</v>
      </c>
      <c r="G1450" s="5">
        <f>XLOOKUP(I1450, drug!B:B, drug!A:A, "Not Found")</f>
      </c>
      <c r="H1450" s="1"/>
      <c r="I1450" s="7">
        <v>1</v>
      </c>
      <c r="J1450" s="5">
        <f>XLOOKUP(L1450, uom!C:C, uom!B:B, "Not Found")</f>
      </c>
      <c r="K1450" s="1" t="s">
        <v>5511</v>
      </c>
      <c r="L1450" s="5">
        <f>XLOOKUP(N1450, uom!C:C, uom!B:B, "Not Found")</f>
      </c>
      <c r="M1450" s="1" t="s">
        <v>5511</v>
      </c>
      <c r="N1450" s="8" t="s">
        <v>5512</v>
      </c>
      <c r="O1450" s="1" t="s">
        <v>5513</v>
      </c>
      <c r="P1450" s="5">
        <f>XLOOKUP(R1450, classification!C:C, classification!B:B, "Not Found")</f>
      </c>
      <c r="Q1450" s="1" t="s">
        <v>5514</v>
      </c>
      <c r="R1450" s="2"/>
      <c r="S1450" s="2"/>
      <c r="T1450" s="2"/>
      <c r="U1450" s="2"/>
    </row>
    <row x14ac:dyDescent="0.25" r="1451" customHeight="1" ht="17.25">
      <c r="A1451" s="7">
        <v>1450</v>
      </c>
      <c r="B1451" s="1" t="s">
        <v>6872</v>
      </c>
      <c r="C1451" s="5">
        <f>CONCATENATE("PD", TEXT(A1451, "1000000"))</f>
      </c>
      <c r="D1451" s="7">
        <v>74</v>
      </c>
      <c r="E1451" s="5">
        <f>XLOOKUP(G1451, item_category!C:C, item_category!B:B, "Not Found")</f>
      </c>
      <c r="F1451" s="1" t="s">
        <v>5520</v>
      </c>
      <c r="G1451" s="5">
        <f>XLOOKUP(I1451, drug!B:B, drug!A:A, "Not Found")</f>
      </c>
      <c r="H1451" s="1"/>
      <c r="I1451" s="7">
        <v>1</v>
      </c>
      <c r="J1451" s="5">
        <f>XLOOKUP(L1451, uom!C:C, uom!B:B, "Not Found")</f>
      </c>
      <c r="K1451" s="1" t="s">
        <v>5511</v>
      </c>
      <c r="L1451" s="5">
        <f>XLOOKUP(N1451, uom!C:C, uom!B:B, "Not Found")</f>
      </c>
      <c r="M1451" s="1" t="s">
        <v>5511</v>
      </c>
      <c r="N1451" s="8" t="s">
        <v>5512</v>
      </c>
      <c r="O1451" s="1" t="s">
        <v>5513</v>
      </c>
      <c r="P1451" s="5">
        <f>XLOOKUP(R1451, classification!C:C, classification!B:B, "Not Found")</f>
      </c>
      <c r="Q1451" s="1" t="s">
        <v>5514</v>
      </c>
      <c r="R1451" s="2"/>
      <c r="S1451" s="2"/>
      <c r="T1451" s="2"/>
      <c r="U1451" s="2"/>
    </row>
    <row x14ac:dyDescent="0.25" r="1452" customHeight="1" ht="17.25">
      <c r="A1452" s="7">
        <v>1451</v>
      </c>
      <c r="B1452" s="1" t="s">
        <v>6873</v>
      </c>
      <c r="C1452" s="5">
        <f>CONCATENATE("PD", TEXT(A1452, "1000000"))</f>
      </c>
      <c r="D1452" s="7">
        <v>74</v>
      </c>
      <c r="E1452" s="5">
        <f>XLOOKUP(G1452, item_category!C:C, item_category!B:B, "Not Found")</f>
      </c>
      <c r="F1452" s="1" t="s">
        <v>5520</v>
      </c>
      <c r="G1452" s="5">
        <f>XLOOKUP(I1452, drug!B:B, drug!A:A, "Not Found")</f>
      </c>
      <c r="H1452" s="1"/>
      <c r="I1452" s="7">
        <v>1</v>
      </c>
      <c r="J1452" s="5">
        <f>XLOOKUP(L1452, uom!C:C, uom!B:B, "Not Found")</f>
      </c>
      <c r="K1452" s="1" t="s">
        <v>5511</v>
      </c>
      <c r="L1452" s="5">
        <f>XLOOKUP(N1452, uom!C:C, uom!B:B, "Not Found")</f>
      </c>
      <c r="M1452" s="1" t="s">
        <v>5511</v>
      </c>
      <c r="N1452" s="8" t="s">
        <v>5512</v>
      </c>
      <c r="O1452" s="1" t="s">
        <v>5513</v>
      </c>
      <c r="P1452" s="5">
        <f>XLOOKUP(R1452, classification!C:C, classification!B:B, "Not Found")</f>
      </c>
      <c r="Q1452" s="1" t="s">
        <v>5514</v>
      </c>
      <c r="R1452" s="2"/>
      <c r="S1452" s="2"/>
      <c r="T1452" s="2"/>
      <c r="U1452" s="2"/>
    </row>
    <row x14ac:dyDescent="0.25" r="1453" customHeight="1" ht="17.25">
      <c r="A1453" s="7">
        <v>1452</v>
      </c>
      <c r="B1453" s="1" t="s">
        <v>6874</v>
      </c>
      <c r="C1453" s="5">
        <f>CONCATENATE("PD", TEXT(A1453, "1000000"))</f>
      </c>
      <c r="D1453" s="7">
        <v>74</v>
      </c>
      <c r="E1453" s="5">
        <f>XLOOKUP(G1453, item_category!C:C, item_category!B:B, "Not Found")</f>
      </c>
      <c r="F1453" s="1" t="s">
        <v>5520</v>
      </c>
      <c r="G1453" s="5">
        <f>XLOOKUP(I1453, drug!B:B, drug!A:A, "Not Found")</f>
      </c>
      <c r="H1453" s="1"/>
      <c r="I1453" s="7">
        <v>1</v>
      </c>
      <c r="J1453" s="5">
        <f>XLOOKUP(L1453, uom!C:C, uom!B:B, "Not Found")</f>
      </c>
      <c r="K1453" s="1" t="s">
        <v>5511</v>
      </c>
      <c r="L1453" s="5">
        <f>XLOOKUP(N1453, uom!C:C, uom!B:B, "Not Found")</f>
      </c>
      <c r="M1453" s="1" t="s">
        <v>5511</v>
      </c>
      <c r="N1453" s="8" t="s">
        <v>5512</v>
      </c>
      <c r="O1453" s="1" t="s">
        <v>5513</v>
      </c>
      <c r="P1453" s="5">
        <f>XLOOKUP(R1453, classification!C:C, classification!B:B, "Not Found")</f>
      </c>
      <c r="Q1453" s="1" t="s">
        <v>5514</v>
      </c>
      <c r="R1453" s="2"/>
      <c r="S1453" s="2"/>
      <c r="T1453" s="2"/>
      <c r="U1453" s="2"/>
    </row>
    <row x14ac:dyDescent="0.25" r="1454" customHeight="1" ht="17.25">
      <c r="A1454" s="7">
        <v>1453</v>
      </c>
      <c r="B1454" s="1" t="s">
        <v>6875</v>
      </c>
      <c r="C1454" s="5">
        <f>CONCATENATE("PD", TEXT(A1454, "1000000"))</f>
      </c>
      <c r="D1454" s="7">
        <v>74</v>
      </c>
      <c r="E1454" s="5">
        <f>XLOOKUP(G1454, item_category!C:C, item_category!B:B, "Not Found")</f>
      </c>
      <c r="F1454" s="1" t="s">
        <v>5520</v>
      </c>
      <c r="G1454" s="5">
        <f>XLOOKUP(I1454, drug!B:B, drug!A:A, "Not Found")</f>
      </c>
      <c r="H1454" s="1"/>
      <c r="I1454" s="7">
        <v>1</v>
      </c>
      <c r="J1454" s="5">
        <f>XLOOKUP(L1454, uom!C:C, uom!B:B, "Not Found")</f>
      </c>
      <c r="K1454" s="1" t="s">
        <v>5511</v>
      </c>
      <c r="L1454" s="5">
        <f>XLOOKUP(N1454, uom!C:C, uom!B:B, "Not Found")</f>
      </c>
      <c r="M1454" s="1" t="s">
        <v>5511</v>
      </c>
      <c r="N1454" s="8" t="s">
        <v>5512</v>
      </c>
      <c r="O1454" s="1" t="s">
        <v>5513</v>
      </c>
      <c r="P1454" s="5">
        <f>XLOOKUP(R1454, classification!C:C, classification!B:B, "Not Found")</f>
      </c>
      <c r="Q1454" s="1" t="s">
        <v>5514</v>
      </c>
      <c r="R1454" s="2"/>
      <c r="S1454" s="2"/>
      <c r="T1454" s="2"/>
      <c r="U1454" s="2"/>
    </row>
    <row x14ac:dyDescent="0.25" r="1455" customHeight="1" ht="17.25">
      <c r="A1455" s="7">
        <v>1454</v>
      </c>
      <c r="B1455" s="1" t="s">
        <v>6876</v>
      </c>
      <c r="C1455" s="5">
        <f>CONCATENATE("PD", TEXT(A1455, "1000000"))</f>
      </c>
      <c r="D1455" s="7">
        <v>74</v>
      </c>
      <c r="E1455" s="5">
        <f>XLOOKUP(G1455, item_category!C:C, item_category!B:B, "Not Found")</f>
      </c>
      <c r="F1455" s="1" t="s">
        <v>5520</v>
      </c>
      <c r="G1455" s="5">
        <f>XLOOKUP(I1455, drug!B:B, drug!A:A, "Not Found")</f>
      </c>
      <c r="H1455" s="1"/>
      <c r="I1455" s="7">
        <v>1</v>
      </c>
      <c r="J1455" s="5">
        <f>XLOOKUP(L1455, uom!C:C, uom!B:B, "Not Found")</f>
      </c>
      <c r="K1455" s="1" t="s">
        <v>5511</v>
      </c>
      <c r="L1455" s="5">
        <f>XLOOKUP(N1455, uom!C:C, uom!B:B, "Not Found")</f>
      </c>
      <c r="M1455" s="1" t="s">
        <v>5511</v>
      </c>
      <c r="N1455" s="8" t="s">
        <v>5512</v>
      </c>
      <c r="O1455" s="1" t="s">
        <v>5513</v>
      </c>
      <c r="P1455" s="5">
        <f>XLOOKUP(R1455, classification!C:C, classification!B:B, "Not Found")</f>
      </c>
      <c r="Q1455" s="1" t="s">
        <v>5514</v>
      </c>
      <c r="R1455" s="2"/>
      <c r="S1455" s="2"/>
      <c r="T1455" s="2"/>
      <c r="U1455" s="2"/>
    </row>
    <row x14ac:dyDescent="0.25" r="1456" customHeight="1" ht="17.25">
      <c r="A1456" s="7">
        <v>1455</v>
      </c>
      <c r="B1456" s="1" t="s">
        <v>6877</v>
      </c>
      <c r="C1456" s="5">
        <f>CONCATENATE("PD", TEXT(A1456, "1000000"))</f>
      </c>
      <c r="D1456" s="7">
        <v>74</v>
      </c>
      <c r="E1456" s="5">
        <f>XLOOKUP(G1456, item_category!C:C, item_category!B:B, "Not Found")</f>
      </c>
      <c r="F1456" s="1" t="s">
        <v>5520</v>
      </c>
      <c r="G1456" s="5">
        <f>XLOOKUP(I1456, drug!B:B, drug!A:A, "Not Found")</f>
      </c>
      <c r="H1456" s="1"/>
      <c r="I1456" s="7">
        <v>1</v>
      </c>
      <c r="J1456" s="5">
        <f>XLOOKUP(L1456, uom!C:C, uom!B:B, "Not Found")</f>
      </c>
      <c r="K1456" s="1" t="s">
        <v>5511</v>
      </c>
      <c r="L1456" s="5">
        <f>XLOOKUP(N1456, uom!C:C, uom!B:B, "Not Found")</f>
      </c>
      <c r="M1456" s="1" t="s">
        <v>5511</v>
      </c>
      <c r="N1456" s="8" t="s">
        <v>5512</v>
      </c>
      <c r="O1456" s="1" t="s">
        <v>5513</v>
      </c>
      <c r="P1456" s="5">
        <f>XLOOKUP(R1456, classification!C:C, classification!B:B, "Not Found")</f>
      </c>
      <c r="Q1456" s="1" t="s">
        <v>5514</v>
      </c>
      <c r="R1456" s="2"/>
      <c r="S1456" s="2"/>
      <c r="T1456" s="2"/>
      <c r="U1456" s="2"/>
    </row>
    <row x14ac:dyDescent="0.25" r="1457" customHeight="1" ht="17.25">
      <c r="A1457" s="7">
        <v>1456</v>
      </c>
      <c r="B1457" s="1" t="s">
        <v>6878</v>
      </c>
      <c r="C1457" s="5">
        <f>CONCATENATE("PD", TEXT(A1457, "1000000"))</f>
      </c>
      <c r="D1457" s="7">
        <v>74</v>
      </c>
      <c r="E1457" s="5">
        <f>XLOOKUP(G1457, item_category!C:C, item_category!B:B, "Not Found")</f>
      </c>
      <c r="F1457" s="1" t="s">
        <v>5520</v>
      </c>
      <c r="G1457" s="5">
        <f>XLOOKUP(I1457, drug!B:B, drug!A:A, "Not Found")</f>
      </c>
      <c r="H1457" s="1"/>
      <c r="I1457" s="7">
        <v>1</v>
      </c>
      <c r="J1457" s="5">
        <f>XLOOKUP(L1457, uom!C:C, uom!B:B, "Not Found")</f>
      </c>
      <c r="K1457" s="1" t="s">
        <v>5511</v>
      </c>
      <c r="L1457" s="5">
        <f>XLOOKUP(N1457, uom!C:C, uom!B:B, "Not Found")</f>
      </c>
      <c r="M1457" s="1" t="s">
        <v>5511</v>
      </c>
      <c r="N1457" s="8" t="s">
        <v>5512</v>
      </c>
      <c r="O1457" s="1" t="s">
        <v>5513</v>
      </c>
      <c r="P1457" s="5">
        <f>XLOOKUP(R1457, classification!C:C, classification!B:B, "Not Found")</f>
      </c>
      <c r="Q1457" s="1" t="s">
        <v>5514</v>
      </c>
      <c r="R1457" s="2"/>
      <c r="S1457" s="2"/>
      <c r="T1457" s="2"/>
      <c r="U1457" s="2"/>
    </row>
    <row x14ac:dyDescent="0.25" r="1458" customHeight="1" ht="17.25">
      <c r="A1458" s="7">
        <v>1457</v>
      </c>
      <c r="B1458" s="1" t="s">
        <v>6879</v>
      </c>
      <c r="C1458" s="5">
        <f>CONCATENATE("PD", TEXT(A1458, "1000000"))</f>
      </c>
      <c r="D1458" s="7">
        <v>74</v>
      </c>
      <c r="E1458" s="5">
        <f>XLOOKUP(G1458, item_category!C:C, item_category!B:B, "Not Found")</f>
      </c>
      <c r="F1458" s="1" t="s">
        <v>5520</v>
      </c>
      <c r="G1458" s="5">
        <f>XLOOKUP(I1458, drug!B:B, drug!A:A, "Not Found")</f>
      </c>
      <c r="H1458" s="1"/>
      <c r="I1458" s="7">
        <v>1</v>
      </c>
      <c r="J1458" s="5">
        <f>XLOOKUP(L1458, uom!C:C, uom!B:B, "Not Found")</f>
      </c>
      <c r="K1458" s="1" t="s">
        <v>5511</v>
      </c>
      <c r="L1458" s="5">
        <f>XLOOKUP(N1458, uom!C:C, uom!B:B, "Not Found")</f>
      </c>
      <c r="M1458" s="1" t="s">
        <v>5511</v>
      </c>
      <c r="N1458" s="8" t="s">
        <v>5512</v>
      </c>
      <c r="O1458" s="1" t="s">
        <v>5513</v>
      </c>
      <c r="P1458" s="5">
        <f>XLOOKUP(R1458, classification!C:C, classification!B:B, "Not Found")</f>
      </c>
      <c r="Q1458" s="1" t="s">
        <v>5514</v>
      </c>
      <c r="R1458" s="2"/>
      <c r="S1458" s="2"/>
      <c r="T1458" s="2"/>
      <c r="U1458" s="2"/>
    </row>
    <row x14ac:dyDescent="0.25" r="1459" customHeight="1" ht="17.25">
      <c r="A1459" s="7">
        <v>1458</v>
      </c>
      <c r="B1459" s="1" t="s">
        <v>6880</v>
      </c>
      <c r="C1459" s="5">
        <f>CONCATENATE("PD", TEXT(A1459, "1000000"))</f>
      </c>
      <c r="D1459" s="7">
        <v>74</v>
      </c>
      <c r="E1459" s="5">
        <f>XLOOKUP(G1459, item_category!C:C, item_category!B:B, "Not Found")</f>
      </c>
      <c r="F1459" s="1" t="s">
        <v>5520</v>
      </c>
      <c r="G1459" s="5">
        <f>XLOOKUP(I1459, drug!B:B, drug!A:A, "Not Found")</f>
      </c>
      <c r="H1459" s="1"/>
      <c r="I1459" s="7">
        <v>1</v>
      </c>
      <c r="J1459" s="5">
        <f>XLOOKUP(L1459, uom!C:C, uom!B:B, "Not Found")</f>
      </c>
      <c r="K1459" s="1" t="s">
        <v>5511</v>
      </c>
      <c r="L1459" s="5">
        <f>XLOOKUP(N1459, uom!C:C, uom!B:B, "Not Found")</f>
      </c>
      <c r="M1459" s="1" t="s">
        <v>5511</v>
      </c>
      <c r="N1459" s="8" t="s">
        <v>5512</v>
      </c>
      <c r="O1459" s="1" t="s">
        <v>5513</v>
      </c>
      <c r="P1459" s="5">
        <f>XLOOKUP(R1459, classification!C:C, classification!B:B, "Not Found")</f>
      </c>
      <c r="Q1459" s="1" t="s">
        <v>5514</v>
      </c>
      <c r="R1459" s="2"/>
      <c r="S1459" s="2"/>
      <c r="T1459" s="2"/>
      <c r="U1459" s="2"/>
    </row>
    <row x14ac:dyDescent="0.25" r="1460" customHeight="1" ht="17.25">
      <c r="A1460" s="7">
        <v>1459</v>
      </c>
      <c r="B1460" s="1" t="s">
        <v>6881</v>
      </c>
      <c r="C1460" s="5">
        <f>CONCATENATE("PD", TEXT(A1460, "1000000"))</f>
      </c>
      <c r="D1460" s="7">
        <v>74</v>
      </c>
      <c r="E1460" s="5">
        <f>XLOOKUP(G1460, item_category!C:C, item_category!B:B, "Not Found")</f>
      </c>
      <c r="F1460" s="1" t="s">
        <v>5520</v>
      </c>
      <c r="G1460" s="5">
        <f>XLOOKUP(I1460, drug!B:B, drug!A:A, "Not Found")</f>
      </c>
      <c r="H1460" s="1"/>
      <c r="I1460" s="7">
        <v>1</v>
      </c>
      <c r="J1460" s="5">
        <f>XLOOKUP(L1460, uom!C:C, uom!B:B, "Not Found")</f>
      </c>
      <c r="K1460" s="1" t="s">
        <v>5511</v>
      </c>
      <c r="L1460" s="5">
        <f>XLOOKUP(N1460, uom!C:C, uom!B:B, "Not Found")</f>
      </c>
      <c r="M1460" s="1" t="s">
        <v>5511</v>
      </c>
      <c r="N1460" s="8" t="s">
        <v>5512</v>
      </c>
      <c r="O1460" s="1" t="s">
        <v>5513</v>
      </c>
      <c r="P1460" s="5">
        <f>XLOOKUP(R1460, classification!C:C, classification!B:B, "Not Found")</f>
      </c>
      <c r="Q1460" s="1" t="s">
        <v>5514</v>
      </c>
      <c r="R1460" s="2"/>
      <c r="S1460" s="2"/>
      <c r="T1460" s="2"/>
      <c r="U1460" s="2"/>
    </row>
    <row x14ac:dyDescent="0.25" r="1461" customHeight="1" ht="17.25">
      <c r="A1461" s="7">
        <v>1460</v>
      </c>
      <c r="B1461" s="1" t="s">
        <v>6882</v>
      </c>
      <c r="C1461" s="5">
        <f>CONCATENATE("PD", TEXT(A1461, "1000000"))</f>
      </c>
      <c r="D1461" s="7">
        <v>74</v>
      </c>
      <c r="E1461" s="5">
        <f>XLOOKUP(G1461, item_category!C:C, item_category!B:B, "Not Found")</f>
      </c>
      <c r="F1461" s="1" t="s">
        <v>5520</v>
      </c>
      <c r="G1461" s="5">
        <f>XLOOKUP(I1461, drug!B:B, drug!A:A, "Not Found")</f>
      </c>
      <c r="H1461" s="1"/>
      <c r="I1461" s="7">
        <v>1</v>
      </c>
      <c r="J1461" s="5">
        <f>XLOOKUP(L1461, uom!C:C, uom!B:B, "Not Found")</f>
      </c>
      <c r="K1461" s="1" t="s">
        <v>5511</v>
      </c>
      <c r="L1461" s="5">
        <f>XLOOKUP(N1461, uom!C:C, uom!B:B, "Not Found")</f>
      </c>
      <c r="M1461" s="1" t="s">
        <v>5511</v>
      </c>
      <c r="N1461" s="8" t="s">
        <v>5512</v>
      </c>
      <c r="O1461" s="1" t="s">
        <v>5513</v>
      </c>
      <c r="P1461" s="5">
        <f>XLOOKUP(R1461, classification!C:C, classification!B:B, "Not Found")</f>
      </c>
      <c r="Q1461" s="1" t="s">
        <v>5514</v>
      </c>
      <c r="R1461" s="2"/>
      <c r="S1461" s="2"/>
      <c r="T1461" s="2"/>
      <c r="U1461" s="2"/>
    </row>
    <row x14ac:dyDescent="0.25" r="1462" customHeight="1" ht="17.25">
      <c r="A1462" s="7">
        <v>1461</v>
      </c>
      <c r="B1462" s="1" t="s">
        <v>6883</v>
      </c>
      <c r="C1462" s="5">
        <f>CONCATENATE("PD", TEXT(A1462, "1000000"))</f>
      </c>
      <c r="D1462" s="7">
        <v>74</v>
      </c>
      <c r="E1462" s="5">
        <f>XLOOKUP(G1462, item_category!C:C, item_category!B:B, "Not Found")</f>
      </c>
      <c r="F1462" s="1" t="s">
        <v>5520</v>
      </c>
      <c r="G1462" s="5">
        <f>XLOOKUP(I1462, drug!B:B, drug!A:A, "Not Found")</f>
      </c>
      <c r="H1462" s="1"/>
      <c r="I1462" s="7">
        <v>1</v>
      </c>
      <c r="J1462" s="5">
        <f>XLOOKUP(L1462, uom!C:C, uom!B:B, "Not Found")</f>
      </c>
      <c r="K1462" s="1" t="s">
        <v>5511</v>
      </c>
      <c r="L1462" s="5">
        <f>XLOOKUP(N1462, uom!C:C, uom!B:B, "Not Found")</f>
      </c>
      <c r="M1462" s="1" t="s">
        <v>5511</v>
      </c>
      <c r="N1462" s="8" t="s">
        <v>5512</v>
      </c>
      <c r="O1462" s="1" t="s">
        <v>5513</v>
      </c>
      <c r="P1462" s="5">
        <f>XLOOKUP(R1462, classification!C:C, classification!B:B, "Not Found")</f>
      </c>
      <c r="Q1462" s="1" t="s">
        <v>5514</v>
      </c>
      <c r="R1462" s="2"/>
      <c r="S1462" s="2"/>
      <c r="T1462" s="2"/>
      <c r="U1462" s="2"/>
    </row>
    <row x14ac:dyDescent="0.25" r="1463" customHeight="1" ht="17.25">
      <c r="A1463" s="7">
        <v>1462</v>
      </c>
      <c r="B1463" s="1" t="s">
        <v>6884</v>
      </c>
      <c r="C1463" s="5">
        <f>CONCATENATE("PD", TEXT(A1463, "1000000"))</f>
      </c>
      <c r="D1463" s="7">
        <v>74</v>
      </c>
      <c r="E1463" s="5">
        <f>XLOOKUP(G1463, item_category!C:C, item_category!B:B, "Not Found")</f>
      </c>
      <c r="F1463" s="1" t="s">
        <v>5520</v>
      </c>
      <c r="G1463" s="5">
        <f>XLOOKUP(I1463, drug!B:B, drug!A:A, "Not Found")</f>
      </c>
      <c r="H1463" s="1"/>
      <c r="I1463" s="7">
        <v>1</v>
      </c>
      <c r="J1463" s="5">
        <f>XLOOKUP(L1463, uom!C:C, uom!B:B, "Not Found")</f>
      </c>
      <c r="K1463" s="1" t="s">
        <v>5511</v>
      </c>
      <c r="L1463" s="5">
        <f>XLOOKUP(N1463, uom!C:C, uom!B:B, "Not Found")</f>
      </c>
      <c r="M1463" s="1" t="s">
        <v>5511</v>
      </c>
      <c r="N1463" s="8" t="s">
        <v>5512</v>
      </c>
      <c r="O1463" s="1" t="s">
        <v>5513</v>
      </c>
      <c r="P1463" s="5">
        <f>XLOOKUP(R1463, classification!C:C, classification!B:B, "Not Found")</f>
      </c>
      <c r="Q1463" s="1" t="s">
        <v>5514</v>
      </c>
      <c r="R1463" s="2"/>
      <c r="S1463" s="2"/>
      <c r="T1463" s="2"/>
      <c r="U1463" s="2"/>
    </row>
    <row x14ac:dyDescent="0.25" r="1464" customHeight="1" ht="17.25">
      <c r="A1464" s="7">
        <v>1463</v>
      </c>
      <c r="B1464" s="1" t="s">
        <v>6885</v>
      </c>
      <c r="C1464" s="5">
        <f>CONCATENATE("PD", TEXT(A1464, "1000000"))</f>
      </c>
      <c r="D1464" s="7">
        <v>74</v>
      </c>
      <c r="E1464" s="5">
        <f>XLOOKUP(G1464, item_category!C:C, item_category!B:B, "Not Found")</f>
      </c>
      <c r="F1464" s="1" t="s">
        <v>5520</v>
      </c>
      <c r="G1464" s="5">
        <f>XLOOKUP(I1464, drug!B:B, drug!A:A, "Not Found")</f>
      </c>
      <c r="H1464" s="1"/>
      <c r="I1464" s="7">
        <v>1</v>
      </c>
      <c r="J1464" s="5">
        <f>XLOOKUP(L1464, uom!C:C, uom!B:B, "Not Found")</f>
      </c>
      <c r="K1464" s="1" t="s">
        <v>5511</v>
      </c>
      <c r="L1464" s="5">
        <f>XLOOKUP(N1464, uom!C:C, uom!B:B, "Not Found")</f>
      </c>
      <c r="M1464" s="1" t="s">
        <v>5511</v>
      </c>
      <c r="N1464" s="8" t="s">
        <v>5512</v>
      </c>
      <c r="O1464" s="1" t="s">
        <v>5513</v>
      </c>
      <c r="P1464" s="5">
        <f>XLOOKUP(R1464, classification!C:C, classification!B:B, "Not Found")</f>
      </c>
      <c r="Q1464" s="1" t="s">
        <v>5514</v>
      </c>
      <c r="R1464" s="2"/>
      <c r="S1464" s="2"/>
      <c r="T1464" s="2"/>
      <c r="U1464" s="2"/>
    </row>
    <row x14ac:dyDescent="0.25" r="1465" customHeight="1" ht="17.25">
      <c r="A1465" s="7">
        <v>1464</v>
      </c>
      <c r="B1465" s="1" t="s">
        <v>6886</v>
      </c>
      <c r="C1465" s="5">
        <f>CONCATENATE("PD", TEXT(A1465, "1000000"))</f>
      </c>
      <c r="D1465" s="7">
        <v>74</v>
      </c>
      <c r="E1465" s="5">
        <f>XLOOKUP(G1465, item_category!C:C, item_category!B:B, "Not Found")</f>
      </c>
      <c r="F1465" s="1" t="s">
        <v>5520</v>
      </c>
      <c r="G1465" s="5">
        <f>XLOOKUP(I1465, drug!B:B, drug!A:A, "Not Found")</f>
      </c>
      <c r="H1465" s="1"/>
      <c r="I1465" s="7">
        <v>1</v>
      </c>
      <c r="J1465" s="5">
        <f>XLOOKUP(L1465, uom!C:C, uom!B:B, "Not Found")</f>
      </c>
      <c r="K1465" s="1" t="s">
        <v>5511</v>
      </c>
      <c r="L1465" s="5">
        <f>XLOOKUP(N1465, uom!C:C, uom!B:B, "Not Found")</f>
      </c>
      <c r="M1465" s="1" t="s">
        <v>5511</v>
      </c>
      <c r="N1465" s="8" t="s">
        <v>5512</v>
      </c>
      <c r="O1465" s="1" t="s">
        <v>5513</v>
      </c>
      <c r="P1465" s="5">
        <f>XLOOKUP(R1465, classification!C:C, classification!B:B, "Not Found")</f>
      </c>
      <c r="Q1465" s="1" t="s">
        <v>5514</v>
      </c>
      <c r="R1465" s="2"/>
      <c r="S1465" s="2"/>
      <c r="T1465" s="2"/>
      <c r="U1465" s="2"/>
    </row>
    <row x14ac:dyDescent="0.25" r="1466" customHeight="1" ht="17.25">
      <c r="A1466" s="7">
        <v>1465</v>
      </c>
      <c r="B1466" s="1" t="s">
        <v>6887</v>
      </c>
      <c r="C1466" s="5">
        <f>CONCATENATE("PD", TEXT(A1466, "1000000"))</f>
      </c>
      <c r="D1466" s="7">
        <v>74</v>
      </c>
      <c r="E1466" s="5">
        <f>XLOOKUP(G1466, item_category!C:C, item_category!B:B, "Not Found")</f>
      </c>
      <c r="F1466" s="1" t="s">
        <v>5520</v>
      </c>
      <c r="G1466" s="5">
        <f>XLOOKUP(I1466, drug!B:B, drug!A:A, "Not Found")</f>
      </c>
      <c r="H1466" s="1"/>
      <c r="I1466" s="7">
        <v>1</v>
      </c>
      <c r="J1466" s="5">
        <f>XLOOKUP(L1466, uom!C:C, uom!B:B, "Not Found")</f>
      </c>
      <c r="K1466" s="1" t="s">
        <v>5511</v>
      </c>
      <c r="L1466" s="5">
        <f>XLOOKUP(N1466, uom!C:C, uom!B:B, "Not Found")</f>
      </c>
      <c r="M1466" s="1" t="s">
        <v>5511</v>
      </c>
      <c r="N1466" s="8" t="s">
        <v>5512</v>
      </c>
      <c r="O1466" s="1" t="s">
        <v>5513</v>
      </c>
      <c r="P1466" s="5">
        <f>XLOOKUP(R1466, classification!C:C, classification!B:B, "Not Found")</f>
      </c>
      <c r="Q1466" s="1" t="s">
        <v>5514</v>
      </c>
      <c r="R1466" s="2"/>
      <c r="S1466" s="2"/>
      <c r="T1466" s="2"/>
      <c r="U1466" s="2"/>
    </row>
    <row x14ac:dyDescent="0.25" r="1467" customHeight="1" ht="17.25">
      <c r="A1467" s="7">
        <v>1466</v>
      </c>
      <c r="B1467" s="1" t="s">
        <v>6888</v>
      </c>
      <c r="C1467" s="5">
        <f>CONCATENATE("PD", TEXT(A1467, "1000000"))</f>
      </c>
      <c r="D1467" s="7">
        <v>74</v>
      </c>
      <c r="E1467" s="5">
        <f>XLOOKUP(G1467, item_category!C:C, item_category!B:B, "Not Found")</f>
      </c>
      <c r="F1467" s="1" t="s">
        <v>5520</v>
      </c>
      <c r="G1467" s="5">
        <f>XLOOKUP(I1467, drug!B:B, drug!A:A, "Not Found")</f>
      </c>
      <c r="H1467" s="1"/>
      <c r="I1467" s="7">
        <v>1</v>
      </c>
      <c r="J1467" s="5">
        <f>XLOOKUP(L1467, uom!C:C, uom!B:B, "Not Found")</f>
      </c>
      <c r="K1467" s="1" t="s">
        <v>5511</v>
      </c>
      <c r="L1467" s="5">
        <f>XLOOKUP(N1467, uom!C:C, uom!B:B, "Not Found")</f>
      </c>
      <c r="M1467" s="1" t="s">
        <v>5511</v>
      </c>
      <c r="N1467" s="8" t="s">
        <v>5512</v>
      </c>
      <c r="O1467" s="1" t="s">
        <v>5513</v>
      </c>
      <c r="P1467" s="5">
        <f>XLOOKUP(R1467, classification!C:C, classification!B:B, "Not Found")</f>
      </c>
      <c r="Q1467" s="1" t="s">
        <v>5514</v>
      </c>
      <c r="R1467" s="2"/>
      <c r="S1467" s="2"/>
      <c r="T1467" s="2"/>
      <c r="U1467" s="2"/>
    </row>
    <row x14ac:dyDescent="0.25" r="1468" customHeight="1" ht="17.25">
      <c r="A1468" s="7">
        <v>1467</v>
      </c>
      <c r="B1468" s="1" t="s">
        <v>6889</v>
      </c>
      <c r="C1468" s="5">
        <f>CONCATENATE("PD", TEXT(A1468, "1000000"))</f>
      </c>
      <c r="D1468" s="7">
        <v>74</v>
      </c>
      <c r="E1468" s="5">
        <f>XLOOKUP(G1468, item_category!C:C, item_category!B:B, "Not Found")</f>
      </c>
      <c r="F1468" s="1" t="s">
        <v>5520</v>
      </c>
      <c r="G1468" s="5">
        <f>XLOOKUP(I1468, drug!B:B, drug!A:A, "Not Found")</f>
      </c>
      <c r="H1468" s="1"/>
      <c r="I1468" s="7">
        <v>1</v>
      </c>
      <c r="J1468" s="5">
        <f>XLOOKUP(L1468, uom!C:C, uom!B:B, "Not Found")</f>
      </c>
      <c r="K1468" s="1" t="s">
        <v>5511</v>
      </c>
      <c r="L1468" s="5">
        <f>XLOOKUP(N1468, uom!C:C, uom!B:B, "Not Found")</f>
      </c>
      <c r="M1468" s="1" t="s">
        <v>5511</v>
      </c>
      <c r="N1468" s="8" t="s">
        <v>5512</v>
      </c>
      <c r="O1468" s="1" t="s">
        <v>5513</v>
      </c>
      <c r="P1468" s="5">
        <f>XLOOKUP(R1468, classification!C:C, classification!B:B, "Not Found")</f>
      </c>
      <c r="Q1468" s="1" t="s">
        <v>5514</v>
      </c>
      <c r="R1468" s="2"/>
      <c r="S1468" s="2"/>
      <c r="T1468" s="2"/>
      <c r="U1468" s="2"/>
    </row>
    <row x14ac:dyDescent="0.25" r="1469" customHeight="1" ht="17.25">
      <c r="A1469" s="7">
        <v>1468</v>
      </c>
      <c r="B1469" s="1" t="s">
        <v>6890</v>
      </c>
      <c r="C1469" s="5">
        <f>CONCATENATE("PD", TEXT(A1469, "1000000"))</f>
      </c>
      <c r="D1469" s="7">
        <v>74</v>
      </c>
      <c r="E1469" s="5">
        <f>XLOOKUP(G1469, item_category!C:C, item_category!B:B, "Not Found")</f>
      </c>
      <c r="F1469" s="1" t="s">
        <v>5520</v>
      </c>
      <c r="G1469" s="5">
        <f>XLOOKUP(I1469, drug!B:B, drug!A:A, "Not Found")</f>
      </c>
      <c r="H1469" s="1"/>
      <c r="I1469" s="7">
        <v>1</v>
      </c>
      <c r="J1469" s="5">
        <f>XLOOKUP(L1469, uom!C:C, uom!B:B, "Not Found")</f>
      </c>
      <c r="K1469" s="1" t="s">
        <v>5511</v>
      </c>
      <c r="L1469" s="5">
        <f>XLOOKUP(N1469, uom!C:C, uom!B:B, "Not Found")</f>
      </c>
      <c r="M1469" s="1" t="s">
        <v>5511</v>
      </c>
      <c r="N1469" s="8" t="s">
        <v>5512</v>
      </c>
      <c r="O1469" s="1" t="s">
        <v>5513</v>
      </c>
      <c r="P1469" s="5">
        <f>XLOOKUP(R1469, classification!C:C, classification!B:B, "Not Found")</f>
      </c>
      <c r="Q1469" s="1" t="s">
        <v>5514</v>
      </c>
      <c r="R1469" s="2"/>
      <c r="S1469" s="2"/>
      <c r="T1469" s="2"/>
      <c r="U1469" s="2"/>
    </row>
    <row x14ac:dyDescent="0.25" r="1470" customHeight="1" ht="17.25">
      <c r="A1470" s="7">
        <v>1469</v>
      </c>
      <c r="B1470" s="1" t="s">
        <v>6891</v>
      </c>
      <c r="C1470" s="5">
        <f>CONCATENATE("PD", TEXT(A1470, "1000000"))</f>
      </c>
      <c r="D1470" s="7">
        <v>74</v>
      </c>
      <c r="E1470" s="5">
        <f>XLOOKUP(G1470, item_category!C:C, item_category!B:B, "Not Found")</f>
      </c>
      <c r="F1470" s="1" t="s">
        <v>5520</v>
      </c>
      <c r="G1470" s="5">
        <f>XLOOKUP(I1470, drug!B:B, drug!A:A, "Not Found")</f>
      </c>
      <c r="H1470" s="1" t="s">
        <v>1942</v>
      </c>
      <c r="I1470" s="7">
        <v>1</v>
      </c>
      <c r="J1470" s="5">
        <f>XLOOKUP(L1470, uom!C:C, uom!B:B, "Not Found")</f>
      </c>
      <c r="K1470" s="1" t="s">
        <v>5511</v>
      </c>
      <c r="L1470" s="5">
        <f>XLOOKUP(N1470, uom!C:C, uom!B:B, "Not Found")</f>
      </c>
      <c r="M1470" s="1" t="s">
        <v>5511</v>
      </c>
      <c r="N1470" s="8" t="s">
        <v>5512</v>
      </c>
      <c r="O1470" s="1" t="s">
        <v>5513</v>
      </c>
      <c r="P1470" s="5">
        <f>XLOOKUP(R1470, classification!C:C, classification!B:B, "Not Found")</f>
      </c>
      <c r="Q1470" s="1" t="s">
        <v>5514</v>
      </c>
      <c r="R1470" s="2"/>
      <c r="S1470" s="2"/>
      <c r="T1470" s="2"/>
      <c r="U1470" s="2"/>
    </row>
    <row x14ac:dyDescent="0.25" r="1471" customHeight="1" ht="17.25">
      <c r="A1471" s="7">
        <v>1470</v>
      </c>
      <c r="B1471" s="1" t="s">
        <v>6892</v>
      </c>
      <c r="C1471" s="5">
        <f>CONCATENATE("PD", TEXT(A1471, "1000000"))</f>
      </c>
      <c r="D1471" s="7">
        <v>74</v>
      </c>
      <c r="E1471" s="5">
        <f>XLOOKUP(G1471, item_category!C:C, item_category!B:B, "Not Found")</f>
      </c>
      <c r="F1471" s="1" t="s">
        <v>5520</v>
      </c>
      <c r="G1471" s="5">
        <f>XLOOKUP(I1471, drug!B:B, drug!A:A, "Not Found")</f>
      </c>
      <c r="H1471" s="1"/>
      <c r="I1471" s="7">
        <v>1</v>
      </c>
      <c r="J1471" s="5">
        <f>XLOOKUP(L1471, uom!C:C, uom!B:B, "Not Found")</f>
      </c>
      <c r="K1471" s="1" t="s">
        <v>5511</v>
      </c>
      <c r="L1471" s="5">
        <f>XLOOKUP(N1471, uom!C:C, uom!B:B, "Not Found")</f>
      </c>
      <c r="M1471" s="1" t="s">
        <v>5511</v>
      </c>
      <c r="N1471" s="8" t="s">
        <v>5512</v>
      </c>
      <c r="O1471" s="1" t="s">
        <v>5513</v>
      </c>
      <c r="P1471" s="5">
        <f>XLOOKUP(R1471, classification!C:C, classification!B:B, "Not Found")</f>
      </c>
      <c r="Q1471" s="1" t="s">
        <v>5514</v>
      </c>
      <c r="R1471" s="2"/>
      <c r="S1471" s="2"/>
      <c r="T1471" s="2"/>
      <c r="U1471" s="2"/>
    </row>
    <row x14ac:dyDescent="0.25" r="1472" customHeight="1" ht="17.25">
      <c r="A1472" s="7">
        <v>1471</v>
      </c>
      <c r="B1472" s="1" t="s">
        <v>6893</v>
      </c>
      <c r="C1472" s="5">
        <f>CONCATENATE("PD", TEXT(A1472, "1000000"))</f>
      </c>
      <c r="D1472" s="7">
        <v>74</v>
      </c>
      <c r="E1472" s="5">
        <f>XLOOKUP(G1472, item_category!C:C, item_category!B:B, "Not Found")</f>
      </c>
      <c r="F1472" s="1" t="s">
        <v>5520</v>
      </c>
      <c r="G1472" s="5">
        <f>XLOOKUP(I1472, drug!B:B, drug!A:A, "Not Found")</f>
      </c>
      <c r="H1472" s="1" t="s">
        <v>98</v>
      </c>
      <c r="I1472" s="7">
        <v>1</v>
      </c>
      <c r="J1472" s="5">
        <f>XLOOKUP(L1472, uom!C:C, uom!B:B, "Not Found")</f>
      </c>
      <c r="K1472" s="1" t="s">
        <v>5511</v>
      </c>
      <c r="L1472" s="5">
        <f>XLOOKUP(N1472, uom!C:C, uom!B:B, "Not Found")</f>
      </c>
      <c r="M1472" s="1" t="s">
        <v>5511</v>
      </c>
      <c r="N1472" s="8" t="s">
        <v>5512</v>
      </c>
      <c r="O1472" s="1" t="s">
        <v>5513</v>
      </c>
      <c r="P1472" s="5">
        <f>XLOOKUP(R1472, classification!C:C, classification!B:B, "Not Found")</f>
      </c>
      <c r="Q1472" s="1" t="s">
        <v>5514</v>
      </c>
      <c r="R1472" s="2"/>
      <c r="S1472" s="2"/>
      <c r="T1472" s="2"/>
      <c r="U1472" s="2"/>
    </row>
    <row x14ac:dyDescent="0.25" r="1473" customHeight="1" ht="17.25">
      <c r="A1473" s="7">
        <v>1472</v>
      </c>
      <c r="B1473" s="1" t="s">
        <v>6894</v>
      </c>
      <c r="C1473" s="5">
        <f>CONCATENATE("PD", TEXT(A1473, "1000000"))</f>
      </c>
      <c r="D1473" s="7">
        <v>74</v>
      </c>
      <c r="E1473" s="5">
        <f>XLOOKUP(G1473, item_category!C:C, item_category!B:B, "Not Found")</f>
      </c>
      <c r="F1473" s="1" t="s">
        <v>5520</v>
      </c>
      <c r="G1473" s="5">
        <f>XLOOKUP(I1473, drug!B:B, drug!A:A, "Not Found")</f>
      </c>
      <c r="H1473" s="1" t="s">
        <v>98</v>
      </c>
      <c r="I1473" s="7">
        <v>1</v>
      </c>
      <c r="J1473" s="5">
        <f>XLOOKUP(L1473, uom!C:C, uom!B:B, "Not Found")</f>
      </c>
      <c r="K1473" s="1" t="s">
        <v>5511</v>
      </c>
      <c r="L1473" s="5">
        <f>XLOOKUP(N1473, uom!C:C, uom!B:B, "Not Found")</f>
      </c>
      <c r="M1473" s="1" t="s">
        <v>5511</v>
      </c>
      <c r="N1473" s="8" t="s">
        <v>5512</v>
      </c>
      <c r="O1473" s="1" t="s">
        <v>5513</v>
      </c>
      <c r="P1473" s="5">
        <f>XLOOKUP(R1473, classification!C:C, classification!B:B, "Not Found")</f>
      </c>
      <c r="Q1473" s="1" t="s">
        <v>5514</v>
      </c>
      <c r="R1473" s="2"/>
      <c r="S1473" s="2"/>
      <c r="T1473" s="2"/>
      <c r="U1473" s="2"/>
    </row>
    <row x14ac:dyDescent="0.25" r="1474" customHeight="1" ht="17.25">
      <c r="A1474" s="7">
        <v>1473</v>
      </c>
      <c r="B1474" s="1" t="s">
        <v>6895</v>
      </c>
      <c r="C1474" s="5">
        <f>CONCATENATE("PD", TEXT(A1474, "1000000"))</f>
      </c>
      <c r="D1474" s="7">
        <v>74</v>
      </c>
      <c r="E1474" s="5">
        <f>XLOOKUP(G1474, item_category!C:C, item_category!B:B, "Not Found")</f>
      </c>
      <c r="F1474" s="1" t="s">
        <v>5520</v>
      </c>
      <c r="G1474" s="5">
        <f>XLOOKUP(I1474, drug!B:B, drug!A:A, "Not Found")</f>
      </c>
      <c r="H1474" s="1" t="s">
        <v>308</v>
      </c>
      <c r="I1474" s="7">
        <v>1</v>
      </c>
      <c r="J1474" s="5">
        <f>XLOOKUP(L1474, uom!C:C, uom!B:B, "Not Found")</f>
      </c>
      <c r="K1474" s="1" t="s">
        <v>5511</v>
      </c>
      <c r="L1474" s="5">
        <f>XLOOKUP(N1474, uom!C:C, uom!B:B, "Not Found")</f>
      </c>
      <c r="M1474" s="1" t="s">
        <v>5511</v>
      </c>
      <c r="N1474" s="8" t="s">
        <v>5512</v>
      </c>
      <c r="O1474" s="1" t="s">
        <v>5513</v>
      </c>
      <c r="P1474" s="5">
        <f>XLOOKUP(R1474, classification!C:C, classification!B:B, "Not Found")</f>
      </c>
      <c r="Q1474" s="1" t="s">
        <v>5514</v>
      </c>
      <c r="R1474" s="2"/>
      <c r="S1474" s="2"/>
      <c r="T1474" s="2"/>
      <c r="U1474" s="2"/>
    </row>
    <row x14ac:dyDescent="0.25" r="1475" customHeight="1" ht="17.25">
      <c r="A1475" s="7">
        <v>1474</v>
      </c>
      <c r="B1475" s="1" t="s">
        <v>6896</v>
      </c>
      <c r="C1475" s="5">
        <f>CONCATENATE("PD", TEXT(A1475, "1000000"))</f>
      </c>
      <c r="D1475" s="7">
        <v>74</v>
      </c>
      <c r="E1475" s="5">
        <f>XLOOKUP(G1475, item_category!C:C, item_category!B:B, "Not Found")</f>
      </c>
      <c r="F1475" s="1" t="s">
        <v>5520</v>
      </c>
      <c r="G1475" s="5">
        <f>XLOOKUP(I1475, drug!B:B, drug!A:A, "Not Found")</f>
      </c>
      <c r="H1475" s="1"/>
      <c r="I1475" s="7">
        <v>1</v>
      </c>
      <c r="J1475" s="5">
        <f>XLOOKUP(L1475, uom!C:C, uom!B:B, "Not Found")</f>
      </c>
      <c r="K1475" s="1" t="s">
        <v>5511</v>
      </c>
      <c r="L1475" s="5">
        <f>XLOOKUP(N1475, uom!C:C, uom!B:B, "Not Found")</f>
      </c>
      <c r="M1475" s="1" t="s">
        <v>5511</v>
      </c>
      <c r="N1475" s="8" t="s">
        <v>5512</v>
      </c>
      <c r="O1475" s="1" t="s">
        <v>5513</v>
      </c>
      <c r="P1475" s="5">
        <f>XLOOKUP(R1475, classification!C:C, classification!B:B, "Not Found")</f>
      </c>
      <c r="Q1475" s="1" t="s">
        <v>5514</v>
      </c>
      <c r="R1475" s="2"/>
      <c r="S1475" s="2"/>
      <c r="T1475" s="2"/>
      <c r="U1475" s="2"/>
    </row>
    <row x14ac:dyDescent="0.25" r="1476" customHeight="1" ht="17.25">
      <c r="A1476" s="7">
        <v>1475</v>
      </c>
      <c r="B1476" s="1" t="s">
        <v>6897</v>
      </c>
      <c r="C1476" s="5">
        <f>CONCATENATE("PD", TEXT(A1476, "1000000"))</f>
      </c>
      <c r="D1476" s="7">
        <v>74</v>
      </c>
      <c r="E1476" s="5">
        <f>XLOOKUP(G1476, item_category!C:C, item_category!B:B, "Not Found")</f>
      </c>
      <c r="F1476" s="1" t="s">
        <v>5520</v>
      </c>
      <c r="G1476" s="5">
        <f>XLOOKUP(I1476, drug!B:B, drug!A:A, "Not Found")</f>
      </c>
      <c r="H1476" s="1"/>
      <c r="I1476" s="7">
        <v>100</v>
      </c>
      <c r="J1476" s="5">
        <f>XLOOKUP(L1476, uom!C:C, uom!B:B, "Not Found")</f>
      </c>
      <c r="K1476" s="1" t="s">
        <v>5544</v>
      </c>
      <c r="L1476" s="5">
        <f>XLOOKUP(N1476, uom!C:C, uom!B:B, "Not Found")</f>
      </c>
      <c r="M1476" s="1" t="s">
        <v>5544</v>
      </c>
      <c r="N1476" s="8" t="s">
        <v>5524</v>
      </c>
      <c r="O1476" s="1" t="s">
        <v>5525</v>
      </c>
      <c r="P1476" s="5">
        <f>XLOOKUP(R1476, classification!C:C, classification!B:B, "Not Found")</f>
      </c>
      <c r="Q1476" s="1" t="s">
        <v>5514</v>
      </c>
      <c r="R1476" s="2"/>
      <c r="S1476" s="2"/>
      <c r="T1476" s="2"/>
      <c r="U1476" s="2"/>
    </row>
    <row x14ac:dyDescent="0.25" r="1477" customHeight="1" ht="17.25">
      <c r="A1477" s="7">
        <v>1476</v>
      </c>
      <c r="B1477" s="1" t="s">
        <v>6898</v>
      </c>
      <c r="C1477" s="5">
        <f>CONCATENATE("PD", TEXT(A1477, "1000000"))</f>
      </c>
      <c r="D1477" s="7">
        <v>74</v>
      </c>
      <c r="E1477" s="5">
        <f>XLOOKUP(G1477, item_category!C:C, item_category!B:B, "Not Found")</f>
      </c>
      <c r="F1477" s="1" t="s">
        <v>5520</v>
      </c>
      <c r="G1477" s="5">
        <f>XLOOKUP(I1477, drug!B:B, drug!A:A, "Not Found")</f>
      </c>
      <c r="H1477" s="1"/>
      <c r="I1477" s="7">
        <v>1</v>
      </c>
      <c r="J1477" s="5">
        <f>XLOOKUP(L1477, uom!C:C, uom!B:B, "Not Found")</f>
      </c>
      <c r="K1477" s="1" t="s">
        <v>5511</v>
      </c>
      <c r="L1477" s="5">
        <f>XLOOKUP(N1477, uom!C:C, uom!B:B, "Not Found")</f>
      </c>
      <c r="M1477" s="1" t="s">
        <v>5511</v>
      </c>
      <c r="N1477" s="8" t="s">
        <v>5512</v>
      </c>
      <c r="O1477" s="1" t="s">
        <v>5513</v>
      </c>
      <c r="P1477" s="5">
        <f>XLOOKUP(R1477, classification!C:C, classification!B:B, "Not Found")</f>
      </c>
      <c r="Q1477" s="1" t="s">
        <v>5514</v>
      </c>
      <c r="R1477" s="2"/>
      <c r="S1477" s="2"/>
      <c r="T1477" s="2"/>
      <c r="U1477" s="2"/>
    </row>
    <row x14ac:dyDescent="0.25" r="1478" customHeight="1" ht="17.25">
      <c r="A1478" s="7">
        <v>1477</v>
      </c>
      <c r="B1478" s="1" t="s">
        <v>6899</v>
      </c>
      <c r="C1478" s="5">
        <f>CONCATENATE("PD", TEXT(A1478, "1000000"))</f>
      </c>
      <c r="D1478" s="7">
        <v>74</v>
      </c>
      <c r="E1478" s="5">
        <f>XLOOKUP(G1478, item_category!C:C, item_category!B:B, "Not Found")</f>
      </c>
      <c r="F1478" s="1" t="s">
        <v>5520</v>
      </c>
      <c r="G1478" s="5">
        <f>XLOOKUP(I1478, drug!B:B, drug!A:A, "Not Found")</f>
      </c>
      <c r="H1478" s="1"/>
      <c r="I1478" s="7">
        <v>1</v>
      </c>
      <c r="J1478" s="5">
        <f>XLOOKUP(L1478, uom!C:C, uom!B:B, "Not Found")</f>
      </c>
      <c r="K1478" s="1" t="s">
        <v>5511</v>
      </c>
      <c r="L1478" s="5">
        <f>XLOOKUP(N1478, uom!C:C, uom!B:B, "Not Found")</f>
      </c>
      <c r="M1478" s="1" t="s">
        <v>5511</v>
      </c>
      <c r="N1478" s="8" t="s">
        <v>5512</v>
      </c>
      <c r="O1478" s="1" t="s">
        <v>5513</v>
      </c>
      <c r="P1478" s="5">
        <f>XLOOKUP(R1478, classification!C:C, classification!B:B, "Not Found")</f>
      </c>
      <c r="Q1478" s="1" t="s">
        <v>5514</v>
      </c>
      <c r="R1478" s="2"/>
      <c r="S1478" s="2"/>
      <c r="T1478" s="2"/>
      <c r="U1478" s="2"/>
    </row>
    <row x14ac:dyDescent="0.25" r="1479" customHeight="1" ht="17.25">
      <c r="A1479" s="7">
        <v>1478</v>
      </c>
      <c r="B1479" s="1" t="s">
        <v>6900</v>
      </c>
      <c r="C1479" s="5">
        <f>CONCATENATE("PD", TEXT(A1479, "1000000"))</f>
      </c>
      <c r="D1479" s="7">
        <v>74</v>
      </c>
      <c r="E1479" s="5">
        <f>XLOOKUP(G1479, item_category!C:C, item_category!B:B, "Not Found")</f>
      </c>
      <c r="F1479" s="1" t="s">
        <v>5520</v>
      </c>
      <c r="G1479" s="5">
        <f>XLOOKUP(I1479, drug!B:B, drug!A:A, "Not Found")</f>
      </c>
      <c r="H1479" s="1"/>
      <c r="I1479" s="7">
        <v>1</v>
      </c>
      <c r="J1479" s="5">
        <f>XLOOKUP(L1479, uom!C:C, uom!B:B, "Not Found")</f>
      </c>
      <c r="K1479" s="1" t="s">
        <v>5511</v>
      </c>
      <c r="L1479" s="5">
        <f>XLOOKUP(N1479, uom!C:C, uom!B:B, "Not Found")</f>
      </c>
      <c r="M1479" s="1" t="s">
        <v>5511</v>
      </c>
      <c r="N1479" s="8" t="s">
        <v>5512</v>
      </c>
      <c r="O1479" s="1" t="s">
        <v>5513</v>
      </c>
      <c r="P1479" s="5">
        <f>XLOOKUP(R1479, classification!C:C, classification!B:B, "Not Found")</f>
      </c>
      <c r="Q1479" s="1" t="s">
        <v>5514</v>
      </c>
      <c r="R1479" s="2"/>
      <c r="S1479" s="2"/>
      <c r="T1479" s="2"/>
      <c r="U1479" s="2"/>
    </row>
    <row x14ac:dyDescent="0.25" r="1480" customHeight="1" ht="17.25">
      <c r="A1480" s="7">
        <v>1479</v>
      </c>
      <c r="B1480" s="1" t="s">
        <v>6901</v>
      </c>
      <c r="C1480" s="5">
        <f>CONCATENATE("PD", TEXT(A1480, "1000000"))</f>
      </c>
      <c r="D1480" s="7">
        <v>74</v>
      </c>
      <c r="E1480" s="5">
        <f>XLOOKUP(G1480, item_category!C:C, item_category!B:B, "Not Found")</f>
      </c>
      <c r="F1480" s="1" t="s">
        <v>5520</v>
      </c>
      <c r="G1480" s="5">
        <f>XLOOKUP(I1480, drug!B:B, drug!A:A, "Not Found")</f>
      </c>
      <c r="H1480" s="1" t="s">
        <v>2078</v>
      </c>
      <c r="I1480" s="7">
        <v>1</v>
      </c>
      <c r="J1480" s="5">
        <f>XLOOKUP(L1480, uom!C:C, uom!B:B, "Not Found")</f>
      </c>
      <c r="K1480" s="1" t="s">
        <v>5511</v>
      </c>
      <c r="L1480" s="5">
        <f>XLOOKUP(N1480, uom!C:C, uom!B:B, "Not Found")</f>
      </c>
      <c r="M1480" s="1" t="s">
        <v>5511</v>
      </c>
      <c r="N1480" s="8" t="s">
        <v>5512</v>
      </c>
      <c r="O1480" s="1" t="s">
        <v>5513</v>
      </c>
      <c r="P1480" s="5">
        <f>XLOOKUP(R1480, classification!C:C, classification!B:B, "Not Found")</f>
      </c>
      <c r="Q1480" s="1" t="s">
        <v>5514</v>
      </c>
      <c r="R1480" s="2"/>
      <c r="S1480" s="2"/>
      <c r="T1480" s="2"/>
      <c r="U1480" s="2"/>
    </row>
    <row x14ac:dyDescent="0.25" r="1481" customHeight="1" ht="17.25">
      <c r="A1481" s="7">
        <v>1480</v>
      </c>
      <c r="B1481" s="1" t="s">
        <v>6902</v>
      </c>
      <c r="C1481" s="5">
        <f>CONCATENATE("PD", TEXT(A1481, "1000000"))</f>
      </c>
      <c r="D1481" s="7">
        <v>74</v>
      </c>
      <c r="E1481" s="5">
        <f>XLOOKUP(G1481, item_category!C:C, item_category!B:B, "Not Found")</f>
      </c>
      <c r="F1481" s="1" t="s">
        <v>5520</v>
      </c>
      <c r="G1481" s="5">
        <f>XLOOKUP(I1481, drug!B:B, drug!A:A, "Not Found")</f>
      </c>
      <c r="H1481" s="1" t="s">
        <v>2078</v>
      </c>
      <c r="I1481" s="7">
        <v>1</v>
      </c>
      <c r="J1481" s="5">
        <f>XLOOKUP(L1481, uom!C:C, uom!B:B, "Not Found")</f>
      </c>
      <c r="K1481" s="1" t="s">
        <v>5511</v>
      </c>
      <c r="L1481" s="5">
        <f>XLOOKUP(N1481, uom!C:C, uom!B:B, "Not Found")</f>
      </c>
      <c r="M1481" s="1" t="s">
        <v>5511</v>
      </c>
      <c r="N1481" s="8" t="s">
        <v>5512</v>
      </c>
      <c r="O1481" s="1" t="s">
        <v>5513</v>
      </c>
      <c r="P1481" s="5">
        <f>XLOOKUP(R1481, classification!C:C, classification!B:B, "Not Found")</f>
      </c>
      <c r="Q1481" s="1" t="s">
        <v>5514</v>
      </c>
      <c r="R1481" s="2"/>
      <c r="S1481" s="2"/>
      <c r="T1481" s="2"/>
      <c r="U1481" s="2"/>
    </row>
    <row x14ac:dyDescent="0.25" r="1482" customHeight="1" ht="17.25">
      <c r="A1482" s="7">
        <v>1481</v>
      </c>
      <c r="B1482" s="1" t="s">
        <v>6903</v>
      </c>
      <c r="C1482" s="5">
        <f>CONCATENATE("PD", TEXT(A1482, "1000000"))</f>
      </c>
      <c r="D1482" s="7">
        <v>74</v>
      </c>
      <c r="E1482" s="5">
        <f>XLOOKUP(G1482, item_category!C:C, item_category!B:B, "Not Found")</f>
      </c>
      <c r="F1482" s="1" t="s">
        <v>5520</v>
      </c>
      <c r="G1482" s="5">
        <f>XLOOKUP(I1482, drug!B:B, drug!A:A, "Not Found")</f>
      </c>
      <c r="H1482" s="1"/>
      <c r="I1482" s="7">
        <v>1</v>
      </c>
      <c r="J1482" s="5">
        <f>XLOOKUP(L1482, uom!C:C, uom!B:B, "Not Found")</f>
      </c>
      <c r="K1482" s="1" t="s">
        <v>5511</v>
      </c>
      <c r="L1482" s="5">
        <f>XLOOKUP(N1482, uom!C:C, uom!B:B, "Not Found")</f>
      </c>
      <c r="M1482" s="1" t="s">
        <v>5511</v>
      </c>
      <c r="N1482" s="8" t="s">
        <v>5512</v>
      </c>
      <c r="O1482" s="1" t="s">
        <v>5513</v>
      </c>
      <c r="P1482" s="5">
        <f>XLOOKUP(R1482, classification!C:C, classification!B:B, "Not Found")</f>
      </c>
      <c r="Q1482" s="1" t="s">
        <v>5514</v>
      </c>
      <c r="R1482" s="2"/>
      <c r="S1482" s="2"/>
      <c r="T1482" s="2"/>
      <c r="U1482" s="2"/>
    </row>
    <row x14ac:dyDescent="0.25" r="1483" customHeight="1" ht="17.25">
      <c r="A1483" s="7">
        <v>1482</v>
      </c>
      <c r="B1483" s="1" t="s">
        <v>6904</v>
      </c>
      <c r="C1483" s="5">
        <f>CONCATENATE("PD", TEXT(A1483, "1000000"))</f>
      </c>
      <c r="D1483" s="7">
        <v>74</v>
      </c>
      <c r="E1483" s="5">
        <f>XLOOKUP(G1483, item_category!C:C, item_category!B:B, "Not Found")</f>
      </c>
      <c r="F1483" s="1" t="s">
        <v>5520</v>
      </c>
      <c r="G1483" s="5">
        <f>XLOOKUP(I1483, drug!B:B, drug!A:A, "Not Found")</f>
      </c>
      <c r="H1483" s="1" t="s">
        <v>1942</v>
      </c>
      <c r="I1483" s="7">
        <v>1</v>
      </c>
      <c r="J1483" s="5">
        <f>XLOOKUP(L1483, uom!C:C, uom!B:B, "Not Found")</f>
      </c>
      <c r="K1483" s="1" t="s">
        <v>5511</v>
      </c>
      <c r="L1483" s="5">
        <f>XLOOKUP(N1483, uom!C:C, uom!B:B, "Not Found")</f>
      </c>
      <c r="M1483" s="1" t="s">
        <v>5511</v>
      </c>
      <c r="N1483" s="8" t="s">
        <v>5512</v>
      </c>
      <c r="O1483" s="1" t="s">
        <v>5513</v>
      </c>
      <c r="P1483" s="5">
        <f>XLOOKUP(R1483, classification!C:C, classification!B:B, "Not Found")</f>
      </c>
      <c r="Q1483" s="1" t="s">
        <v>5514</v>
      </c>
      <c r="R1483" s="2"/>
      <c r="S1483" s="2"/>
      <c r="T1483" s="2"/>
      <c r="U1483" s="2"/>
    </row>
    <row x14ac:dyDescent="0.25" r="1484" customHeight="1" ht="17.25">
      <c r="A1484" s="7">
        <v>1483</v>
      </c>
      <c r="B1484" s="1" t="s">
        <v>6905</v>
      </c>
      <c r="C1484" s="5">
        <f>CONCATENATE("PD", TEXT(A1484, "1000000"))</f>
      </c>
      <c r="D1484" s="7">
        <v>74</v>
      </c>
      <c r="E1484" s="5">
        <f>XLOOKUP(G1484, item_category!C:C, item_category!B:B, "Not Found")</f>
      </c>
      <c r="F1484" s="1" t="s">
        <v>5520</v>
      </c>
      <c r="G1484" s="5">
        <f>XLOOKUP(I1484, drug!B:B, drug!A:A, "Not Found")</f>
      </c>
      <c r="H1484" s="1"/>
      <c r="I1484" s="7">
        <v>1</v>
      </c>
      <c r="J1484" s="5">
        <f>XLOOKUP(L1484, uom!C:C, uom!B:B, "Not Found")</f>
      </c>
      <c r="K1484" s="1" t="s">
        <v>5511</v>
      </c>
      <c r="L1484" s="5">
        <f>XLOOKUP(N1484, uom!C:C, uom!B:B, "Not Found")</f>
      </c>
      <c r="M1484" s="1" t="s">
        <v>5511</v>
      </c>
      <c r="N1484" s="8" t="s">
        <v>5512</v>
      </c>
      <c r="O1484" s="1" t="s">
        <v>5513</v>
      </c>
      <c r="P1484" s="5">
        <f>XLOOKUP(R1484, classification!C:C, classification!B:B, "Not Found")</f>
      </c>
      <c r="Q1484" s="1" t="s">
        <v>5514</v>
      </c>
      <c r="R1484" s="2"/>
      <c r="S1484" s="2"/>
      <c r="T1484" s="2"/>
      <c r="U1484" s="2"/>
    </row>
    <row x14ac:dyDescent="0.25" r="1485" customHeight="1" ht="17.25">
      <c r="A1485" s="7">
        <v>1484</v>
      </c>
      <c r="B1485" s="1" t="s">
        <v>6906</v>
      </c>
      <c r="C1485" s="5">
        <f>CONCATENATE("PD", TEXT(A1485, "1000000"))</f>
      </c>
      <c r="D1485" s="7">
        <v>74</v>
      </c>
      <c r="E1485" s="5">
        <f>XLOOKUP(G1485, item_category!C:C, item_category!B:B, "Not Found")</f>
      </c>
      <c r="F1485" s="1" t="s">
        <v>5520</v>
      </c>
      <c r="G1485" s="5">
        <f>XLOOKUP(I1485, drug!B:B, drug!A:A, "Not Found")</f>
      </c>
      <c r="H1485" s="1"/>
      <c r="I1485" s="7">
        <v>1</v>
      </c>
      <c r="J1485" s="5">
        <f>XLOOKUP(L1485, uom!C:C, uom!B:B, "Not Found")</f>
      </c>
      <c r="K1485" s="1" t="s">
        <v>5511</v>
      </c>
      <c r="L1485" s="5">
        <f>XLOOKUP(N1485, uom!C:C, uom!B:B, "Not Found")</f>
      </c>
      <c r="M1485" s="1" t="s">
        <v>5511</v>
      </c>
      <c r="N1485" s="8" t="s">
        <v>5512</v>
      </c>
      <c r="O1485" s="1" t="s">
        <v>5513</v>
      </c>
      <c r="P1485" s="5">
        <f>XLOOKUP(R1485, classification!C:C, classification!B:B, "Not Found")</f>
      </c>
      <c r="Q1485" s="1" t="s">
        <v>5514</v>
      </c>
      <c r="R1485" s="2"/>
      <c r="S1485" s="2"/>
      <c r="T1485" s="2"/>
      <c r="U1485" s="2"/>
    </row>
    <row x14ac:dyDescent="0.25" r="1486" customHeight="1" ht="17.25">
      <c r="A1486" s="7">
        <v>1485</v>
      </c>
      <c r="B1486" s="1" t="s">
        <v>6907</v>
      </c>
      <c r="C1486" s="5">
        <f>CONCATENATE("PD", TEXT(A1486, "1000000"))</f>
      </c>
      <c r="D1486" s="7">
        <v>74</v>
      </c>
      <c r="E1486" s="5">
        <f>XLOOKUP(G1486, item_category!C:C, item_category!B:B, "Not Found")</f>
      </c>
      <c r="F1486" s="1" t="s">
        <v>5520</v>
      </c>
      <c r="G1486" s="5">
        <f>XLOOKUP(I1486, drug!B:B, drug!A:A, "Not Found")</f>
      </c>
      <c r="H1486" s="1" t="s">
        <v>1364</v>
      </c>
      <c r="I1486" s="7">
        <v>1</v>
      </c>
      <c r="J1486" s="5">
        <f>XLOOKUP(L1486, uom!C:C, uom!B:B, "Not Found")</f>
      </c>
      <c r="K1486" s="1" t="s">
        <v>5511</v>
      </c>
      <c r="L1486" s="5">
        <f>XLOOKUP(N1486, uom!C:C, uom!B:B, "Not Found")</f>
      </c>
      <c r="M1486" s="1" t="s">
        <v>5511</v>
      </c>
      <c r="N1486" s="8" t="s">
        <v>5512</v>
      </c>
      <c r="O1486" s="1" t="s">
        <v>5513</v>
      </c>
      <c r="P1486" s="5">
        <f>XLOOKUP(R1486, classification!C:C, classification!B:B, "Not Found")</f>
      </c>
      <c r="Q1486" s="1" t="s">
        <v>5514</v>
      </c>
      <c r="R1486" s="2"/>
      <c r="S1486" s="2"/>
      <c r="T1486" s="2"/>
      <c r="U1486" s="2"/>
    </row>
    <row x14ac:dyDescent="0.25" r="1487" customHeight="1" ht="17.25">
      <c r="A1487" s="7">
        <v>1486</v>
      </c>
      <c r="B1487" s="1" t="s">
        <v>6908</v>
      </c>
      <c r="C1487" s="5">
        <f>CONCATENATE("PD", TEXT(A1487, "1000000"))</f>
      </c>
      <c r="D1487" s="7">
        <v>74</v>
      </c>
      <c r="E1487" s="5">
        <f>XLOOKUP(G1487, item_category!C:C, item_category!B:B, "Not Found")</f>
      </c>
      <c r="F1487" s="1" t="s">
        <v>5520</v>
      </c>
      <c r="G1487" s="5">
        <f>XLOOKUP(I1487, drug!B:B, drug!A:A, "Not Found")</f>
      </c>
      <c r="H1487" s="1"/>
      <c r="I1487" s="7">
        <v>1</v>
      </c>
      <c r="J1487" s="5">
        <f>XLOOKUP(L1487, uom!C:C, uom!B:B, "Not Found")</f>
      </c>
      <c r="K1487" s="1" t="s">
        <v>5511</v>
      </c>
      <c r="L1487" s="5">
        <f>XLOOKUP(N1487, uom!C:C, uom!B:B, "Not Found")</f>
      </c>
      <c r="M1487" s="1" t="s">
        <v>5511</v>
      </c>
      <c r="N1487" s="8" t="s">
        <v>5512</v>
      </c>
      <c r="O1487" s="1" t="s">
        <v>5513</v>
      </c>
      <c r="P1487" s="5">
        <f>XLOOKUP(R1487, classification!C:C, classification!B:B, "Not Found")</f>
      </c>
      <c r="Q1487" s="1" t="s">
        <v>5514</v>
      </c>
      <c r="R1487" s="2"/>
      <c r="S1487" s="2"/>
      <c r="T1487" s="2"/>
      <c r="U1487" s="2"/>
    </row>
    <row x14ac:dyDescent="0.25" r="1488" customHeight="1" ht="17.25">
      <c r="A1488" s="7">
        <v>1487</v>
      </c>
      <c r="B1488" s="1" t="s">
        <v>6909</v>
      </c>
      <c r="C1488" s="5">
        <f>CONCATENATE("PD", TEXT(A1488, "1000000"))</f>
      </c>
      <c r="D1488" s="7">
        <v>74</v>
      </c>
      <c r="E1488" s="5">
        <f>XLOOKUP(G1488, item_category!C:C, item_category!B:B, "Not Found")</f>
      </c>
      <c r="F1488" s="1" t="s">
        <v>5520</v>
      </c>
      <c r="G1488" s="5">
        <f>XLOOKUP(I1488, drug!B:B, drug!A:A, "Not Found")</f>
      </c>
      <c r="H1488" s="1"/>
      <c r="I1488" s="7">
        <v>1</v>
      </c>
      <c r="J1488" s="5">
        <f>XLOOKUP(L1488, uom!C:C, uom!B:B, "Not Found")</f>
      </c>
      <c r="K1488" s="1" t="s">
        <v>5511</v>
      </c>
      <c r="L1488" s="5">
        <f>XLOOKUP(N1488, uom!C:C, uom!B:B, "Not Found")</f>
      </c>
      <c r="M1488" s="1" t="s">
        <v>5511</v>
      </c>
      <c r="N1488" s="8" t="s">
        <v>5512</v>
      </c>
      <c r="O1488" s="1" t="s">
        <v>5513</v>
      </c>
      <c r="P1488" s="5">
        <f>XLOOKUP(R1488, classification!C:C, classification!B:B, "Not Found")</f>
      </c>
      <c r="Q1488" s="1" t="s">
        <v>5514</v>
      </c>
      <c r="R1488" s="2"/>
      <c r="S1488" s="2"/>
      <c r="T1488" s="2"/>
      <c r="U1488" s="2"/>
    </row>
    <row x14ac:dyDescent="0.25" r="1489" customHeight="1" ht="17.25">
      <c r="A1489" s="7">
        <v>1488</v>
      </c>
      <c r="B1489" s="1" t="s">
        <v>6910</v>
      </c>
      <c r="C1489" s="5">
        <f>CONCATENATE("PD", TEXT(A1489, "1000000"))</f>
      </c>
      <c r="D1489" s="7">
        <v>74</v>
      </c>
      <c r="E1489" s="5">
        <f>XLOOKUP(G1489, item_category!C:C, item_category!B:B, "Not Found")</f>
      </c>
      <c r="F1489" s="1" t="s">
        <v>5520</v>
      </c>
      <c r="G1489" s="5">
        <f>XLOOKUP(I1489, drug!B:B, drug!A:A, "Not Found")</f>
      </c>
      <c r="H1489" s="1" t="s">
        <v>2046</v>
      </c>
      <c r="I1489" s="7">
        <v>1</v>
      </c>
      <c r="J1489" s="5">
        <f>XLOOKUP(L1489, uom!C:C, uom!B:B, "Not Found")</f>
      </c>
      <c r="K1489" s="1" t="s">
        <v>5511</v>
      </c>
      <c r="L1489" s="5">
        <f>XLOOKUP(N1489, uom!C:C, uom!B:B, "Not Found")</f>
      </c>
      <c r="M1489" s="1" t="s">
        <v>5511</v>
      </c>
      <c r="N1489" s="8" t="s">
        <v>5512</v>
      </c>
      <c r="O1489" s="1" t="s">
        <v>5513</v>
      </c>
      <c r="P1489" s="5">
        <f>XLOOKUP(R1489, classification!C:C, classification!B:B, "Not Found")</f>
      </c>
      <c r="Q1489" s="1" t="s">
        <v>5514</v>
      </c>
      <c r="R1489" s="2"/>
      <c r="S1489" s="2"/>
      <c r="T1489" s="2"/>
      <c r="U1489" s="2"/>
    </row>
    <row x14ac:dyDescent="0.25" r="1490" customHeight="1" ht="17.25">
      <c r="A1490" s="7">
        <v>1489</v>
      </c>
      <c r="B1490" s="1" t="s">
        <v>6911</v>
      </c>
      <c r="C1490" s="5">
        <f>CONCATENATE("PD", TEXT(A1490, "1000000"))</f>
      </c>
      <c r="D1490" s="7">
        <v>74</v>
      </c>
      <c r="E1490" s="5">
        <f>XLOOKUP(G1490, item_category!C:C, item_category!B:B, "Not Found")</f>
      </c>
      <c r="F1490" s="1" t="s">
        <v>5520</v>
      </c>
      <c r="G1490" s="5">
        <f>XLOOKUP(I1490, drug!B:B, drug!A:A, "Not Found")</f>
      </c>
      <c r="H1490" s="1"/>
      <c r="I1490" s="7">
        <v>1</v>
      </c>
      <c r="J1490" s="5">
        <f>XLOOKUP(L1490, uom!C:C, uom!B:B, "Not Found")</f>
      </c>
      <c r="K1490" s="1" t="s">
        <v>5511</v>
      </c>
      <c r="L1490" s="5">
        <f>XLOOKUP(N1490, uom!C:C, uom!B:B, "Not Found")</f>
      </c>
      <c r="M1490" s="1" t="s">
        <v>5511</v>
      </c>
      <c r="N1490" s="8" t="s">
        <v>5512</v>
      </c>
      <c r="O1490" s="1" t="s">
        <v>5513</v>
      </c>
      <c r="P1490" s="5">
        <f>XLOOKUP(R1490, classification!C:C, classification!B:B, "Not Found")</f>
      </c>
      <c r="Q1490" s="1" t="s">
        <v>5514</v>
      </c>
      <c r="R1490" s="2"/>
      <c r="S1490" s="2"/>
      <c r="T1490" s="2"/>
      <c r="U1490" s="2"/>
    </row>
    <row x14ac:dyDescent="0.25" r="1491" customHeight="1" ht="17.25">
      <c r="A1491" s="7">
        <v>1490</v>
      </c>
      <c r="B1491" s="1" t="s">
        <v>2760</v>
      </c>
      <c r="C1491" s="5">
        <f>CONCATENATE("PD", TEXT(A1491, "1000000"))</f>
      </c>
      <c r="D1491" s="7">
        <v>74</v>
      </c>
      <c r="E1491" s="5">
        <f>XLOOKUP(G1491, item_category!C:C, item_category!B:B, "Not Found")</f>
      </c>
      <c r="F1491" s="1" t="s">
        <v>5520</v>
      </c>
      <c r="G1491" s="5">
        <f>XLOOKUP(I1491, drug!B:B, drug!A:A, "Not Found")</f>
      </c>
      <c r="H1491" s="1"/>
      <c r="I1491" s="7">
        <v>1</v>
      </c>
      <c r="J1491" s="5">
        <f>XLOOKUP(L1491, uom!C:C, uom!B:B, "Not Found")</f>
      </c>
      <c r="K1491" s="1" t="s">
        <v>5511</v>
      </c>
      <c r="L1491" s="5">
        <f>XLOOKUP(N1491, uom!C:C, uom!B:B, "Not Found")</f>
      </c>
      <c r="M1491" s="1" t="s">
        <v>5511</v>
      </c>
      <c r="N1491" s="8" t="s">
        <v>5512</v>
      </c>
      <c r="O1491" s="1" t="s">
        <v>5513</v>
      </c>
      <c r="P1491" s="5">
        <f>XLOOKUP(R1491, classification!C:C, classification!B:B, "Not Found")</f>
      </c>
      <c r="Q1491" s="1" t="s">
        <v>5514</v>
      </c>
      <c r="R1491" s="2"/>
      <c r="S1491" s="2"/>
      <c r="T1491" s="2"/>
      <c r="U1491" s="2"/>
    </row>
    <row x14ac:dyDescent="0.25" r="1492" customHeight="1" ht="17.25">
      <c r="A1492" s="7">
        <v>1491</v>
      </c>
      <c r="B1492" s="1" t="s">
        <v>6912</v>
      </c>
      <c r="C1492" s="5">
        <f>CONCATENATE("PD", TEXT(A1492, "1000000"))</f>
      </c>
      <c r="D1492" s="7">
        <v>74</v>
      </c>
      <c r="E1492" s="5">
        <f>XLOOKUP(G1492, item_category!C:C, item_category!B:B, "Not Found")</f>
      </c>
      <c r="F1492" s="1" t="s">
        <v>5520</v>
      </c>
      <c r="G1492" s="5">
        <f>XLOOKUP(I1492, drug!B:B, drug!A:A, "Not Found")</f>
      </c>
      <c r="H1492" s="1"/>
      <c r="I1492" s="7">
        <v>1</v>
      </c>
      <c r="J1492" s="5">
        <f>XLOOKUP(L1492, uom!C:C, uom!B:B, "Not Found")</f>
      </c>
      <c r="K1492" s="1" t="s">
        <v>5511</v>
      </c>
      <c r="L1492" s="5">
        <f>XLOOKUP(N1492, uom!C:C, uom!B:B, "Not Found")</f>
      </c>
      <c r="M1492" s="1" t="s">
        <v>5511</v>
      </c>
      <c r="N1492" s="8" t="s">
        <v>5512</v>
      </c>
      <c r="O1492" s="1" t="s">
        <v>5513</v>
      </c>
      <c r="P1492" s="5">
        <f>XLOOKUP(R1492, classification!C:C, classification!B:B, "Not Found")</f>
      </c>
      <c r="Q1492" s="1" t="s">
        <v>5514</v>
      </c>
      <c r="R1492" s="2"/>
      <c r="S1492" s="2"/>
      <c r="T1492" s="2"/>
      <c r="U1492" s="2"/>
    </row>
    <row x14ac:dyDescent="0.25" r="1493" customHeight="1" ht="17.25">
      <c r="A1493" s="7">
        <v>1492</v>
      </c>
      <c r="B1493" s="1" t="s">
        <v>6913</v>
      </c>
      <c r="C1493" s="5">
        <f>CONCATENATE("PD", TEXT(A1493, "1000000"))</f>
      </c>
      <c r="D1493" s="7">
        <v>74</v>
      </c>
      <c r="E1493" s="5">
        <f>XLOOKUP(G1493, item_category!C:C, item_category!B:B, "Not Found")</f>
      </c>
      <c r="F1493" s="1" t="s">
        <v>5520</v>
      </c>
      <c r="G1493" s="5">
        <f>XLOOKUP(I1493, drug!B:B, drug!A:A, "Not Found")</f>
      </c>
      <c r="H1493" s="1"/>
      <c r="I1493" s="7">
        <v>1</v>
      </c>
      <c r="J1493" s="5">
        <f>XLOOKUP(L1493, uom!C:C, uom!B:B, "Not Found")</f>
      </c>
      <c r="K1493" s="1" t="s">
        <v>5511</v>
      </c>
      <c r="L1493" s="5">
        <f>XLOOKUP(N1493, uom!C:C, uom!B:B, "Not Found")</f>
      </c>
      <c r="M1493" s="1" t="s">
        <v>5511</v>
      </c>
      <c r="N1493" s="8" t="s">
        <v>5512</v>
      </c>
      <c r="O1493" s="1" t="s">
        <v>5513</v>
      </c>
      <c r="P1493" s="5">
        <f>XLOOKUP(R1493, classification!C:C, classification!B:B, "Not Found")</f>
      </c>
      <c r="Q1493" s="1" t="s">
        <v>5514</v>
      </c>
      <c r="R1493" s="2"/>
      <c r="S1493" s="2"/>
      <c r="T1493" s="2"/>
      <c r="U1493" s="2"/>
    </row>
    <row x14ac:dyDescent="0.25" r="1494" customHeight="1" ht="17.25">
      <c r="A1494" s="7">
        <v>1493</v>
      </c>
      <c r="B1494" s="1" t="s">
        <v>6914</v>
      </c>
      <c r="C1494" s="5">
        <f>CONCATENATE("PD", TEXT(A1494, "1000000"))</f>
      </c>
      <c r="D1494" s="7">
        <v>74</v>
      </c>
      <c r="E1494" s="5">
        <f>XLOOKUP(G1494, item_category!C:C, item_category!B:B, "Not Found")</f>
      </c>
      <c r="F1494" s="1" t="s">
        <v>5520</v>
      </c>
      <c r="G1494" s="5">
        <f>XLOOKUP(I1494, drug!B:B, drug!A:A, "Not Found")</f>
      </c>
      <c r="H1494" s="1"/>
      <c r="I1494" s="7">
        <v>1</v>
      </c>
      <c r="J1494" s="5">
        <f>XLOOKUP(L1494, uom!C:C, uom!B:B, "Not Found")</f>
      </c>
      <c r="K1494" s="1" t="s">
        <v>5511</v>
      </c>
      <c r="L1494" s="5">
        <f>XLOOKUP(N1494, uom!C:C, uom!B:B, "Not Found")</f>
      </c>
      <c r="M1494" s="1" t="s">
        <v>5511</v>
      </c>
      <c r="N1494" s="8" t="s">
        <v>5512</v>
      </c>
      <c r="O1494" s="1" t="s">
        <v>5513</v>
      </c>
      <c r="P1494" s="5">
        <f>XLOOKUP(R1494, classification!C:C, classification!B:B, "Not Found")</f>
      </c>
      <c r="Q1494" s="1" t="s">
        <v>5514</v>
      </c>
      <c r="R1494" s="2"/>
      <c r="S1494" s="2"/>
      <c r="T1494" s="2"/>
      <c r="U1494" s="2"/>
    </row>
    <row x14ac:dyDescent="0.25" r="1495" customHeight="1" ht="17.25">
      <c r="A1495" s="7">
        <v>1494</v>
      </c>
      <c r="B1495" s="1" t="s">
        <v>6915</v>
      </c>
      <c r="C1495" s="5">
        <f>CONCATENATE("PD", TEXT(A1495, "1000000"))</f>
      </c>
      <c r="D1495" s="7">
        <v>74</v>
      </c>
      <c r="E1495" s="5">
        <f>XLOOKUP(G1495, item_category!C:C, item_category!B:B, "Not Found")</f>
      </c>
      <c r="F1495" s="1" t="s">
        <v>5520</v>
      </c>
      <c r="G1495" s="5">
        <f>XLOOKUP(I1495, drug!B:B, drug!A:A, "Not Found")</f>
      </c>
      <c r="H1495" s="1"/>
      <c r="I1495" s="7">
        <v>1</v>
      </c>
      <c r="J1495" s="5">
        <f>XLOOKUP(L1495, uom!C:C, uom!B:B, "Not Found")</f>
      </c>
      <c r="K1495" s="1" t="s">
        <v>5511</v>
      </c>
      <c r="L1495" s="5">
        <f>XLOOKUP(N1495, uom!C:C, uom!B:B, "Not Found")</f>
      </c>
      <c r="M1495" s="1" t="s">
        <v>5511</v>
      </c>
      <c r="N1495" s="8" t="s">
        <v>5512</v>
      </c>
      <c r="O1495" s="1" t="s">
        <v>5513</v>
      </c>
      <c r="P1495" s="5">
        <f>XLOOKUP(R1495, classification!C:C, classification!B:B, "Not Found")</f>
      </c>
      <c r="Q1495" s="1" t="s">
        <v>5514</v>
      </c>
      <c r="R1495" s="2"/>
      <c r="S1495" s="2"/>
      <c r="T1495" s="2"/>
      <c r="U1495" s="2"/>
    </row>
    <row x14ac:dyDescent="0.25" r="1496" customHeight="1" ht="17.25">
      <c r="A1496" s="7">
        <v>1495</v>
      </c>
      <c r="B1496" s="1" t="s">
        <v>6916</v>
      </c>
      <c r="C1496" s="5">
        <f>CONCATENATE("PD", TEXT(A1496, "1000000"))</f>
      </c>
      <c r="D1496" s="7">
        <v>74</v>
      </c>
      <c r="E1496" s="5">
        <f>XLOOKUP(G1496, item_category!C:C, item_category!B:B, "Not Found")</f>
      </c>
      <c r="F1496" s="1" t="s">
        <v>5520</v>
      </c>
      <c r="G1496" s="5">
        <f>XLOOKUP(I1496, drug!B:B, drug!A:A, "Not Found")</f>
      </c>
      <c r="H1496" s="1"/>
      <c r="I1496" s="7">
        <v>1</v>
      </c>
      <c r="J1496" s="5">
        <f>XLOOKUP(L1496, uom!C:C, uom!B:B, "Not Found")</f>
      </c>
      <c r="K1496" s="1" t="s">
        <v>5511</v>
      </c>
      <c r="L1496" s="5">
        <f>XLOOKUP(N1496, uom!C:C, uom!B:B, "Not Found")</f>
      </c>
      <c r="M1496" s="1" t="s">
        <v>5511</v>
      </c>
      <c r="N1496" s="8" t="s">
        <v>5512</v>
      </c>
      <c r="O1496" s="1" t="s">
        <v>5513</v>
      </c>
      <c r="P1496" s="5">
        <f>XLOOKUP(R1496, classification!C:C, classification!B:B, "Not Found")</f>
      </c>
      <c r="Q1496" s="1" t="s">
        <v>5514</v>
      </c>
      <c r="R1496" s="2"/>
      <c r="S1496" s="2"/>
      <c r="T1496" s="2"/>
      <c r="U1496" s="2"/>
    </row>
    <row x14ac:dyDescent="0.25" r="1497" customHeight="1" ht="17.25">
      <c r="A1497" s="7">
        <v>1496</v>
      </c>
      <c r="B1497" s="1" t="s">
        <v>6917</v>
      </c>
      <c r="C1497" s="5">
        <f>CONCATENATE("PD", TEXT(A1497, "1000000"))</f>
      </c>
      <c r="D1497" s="7">
        <v>74</v>
      </c>
      <c r="E1497" s="5">
        <f>XLOOKUP(G1497, item_category!C:C, item_category!B:B, "Not Found")</f>
      </c>
      <c r="F1497" s="1" t="s">
        <v>5520</v>
      </c>
      <c r="G1497" s="5">
        <f>XLOOKUP(I1497, drug!B:B, drug!A:A, "Not Found")</f>
      </c>
      <c r="H1497" s="1"/>
      <c r="I1497" s="7">
        <v>1</v>
      </c>
      <c r="J1497" s="5">
        <f>XLOOKUP(L1497, uom!C:C, uom!B:B, "Not Found")</f>
      </c>
      <c r="K1497" s="1" t="s">
        <v>5511</v>
      </c>
      <c r="L1497" s="5">
        <f>XLOOKUP(N1497, uom!C:C, uom!B:B, "Not Found")</f>
      </c>
      <c r="M1497" s="1" t="s">
        <v>5511</v>
      </c>
      <c r="N1497" s="8" t="s">
        <v>5512</v>
      </c>
      <c r="O1497" s="1" t="s">
        <v>5513</v>
      </c>
      <c r="P1497" s="5">
        <f>XLOOKUP(R1497, classification!C:C, classification!B:B, "Not Found")</f>
      </c>
      <c r="Q1497" s="1" t="s">
        <v>5514</v>
      </c>
      <c r="R1497" s="2"/>
      <c r="S1497" s="2"/>
      <c r="T1497" s="2"/>
      <c r="U1497" s="2"/>
    </row>
    <row x14ac:dyDescent="0.25" r="1498" customHeight="1" ht="17.25">
      <c r="A1498" s="7">
        <v>1497</v>
      </c>
      <c r="B1498" s="1" t="s">
        <v>6918</v>
      </c>
      <c r="C1498" s="5">
        <f>CONCATENATE("PD", TEXT(A1498, "1000000"))</f>
      </c>
      <c r="D1498" s="7">
        <v>74</v>
      </c>
      <c r="E1498" s="5">
        <f>XLOOKUP(G1498, item_category!C:C, item_category!B:B, "Not Found")</f>
      </c>
      <c r="F1498" s="1" t="s">
        <v>5520</v>
      </c>
      <c r="G1498" s="5">
        <f>XLOOKUP(I1498, drug!B:B, drug!A:A, "Not Found")</f>
      </c>
      <c r="H1498" s="1"/>
      <c r="I1498" s="7">
        <v>1</v>
      </c>
      <c r="J1498" s="5">
        <f>XLOOKUP(L1498, uom!C:C, uom!B:B, "Not Found")</f>
      </c>
      <c r="K1498" s="1" t="s">
        <v>5511</v>
      </c>
      <c r="L1498" s="5">
        <f>XLOOKUP(N1498, uom!C:C, uom!B:B, "Not Found")</f>
      </c>
      <c r="M1498" s="1" t="s">
        <v>5511</v>
      </c>
      <c r="N1498" s="8" t="s">
        <v>5512</v>
      </c>
      <c r="O1498" s="1" t="s">
        <v>5513</v>
      </c>
      <c r="P1498" s="5">
        <f>XLOOKUP(R1498, classification!C:C, classification!B:B, "Not Found")</f>
      </c>
      <c r="Q1498" s="1" t="s">
        <v>5514</v>
      </c>
      <c r="R1498" s="2"/>
      <c r="S1498" s="2"/>
      <c r="T1498" s="2"/>
      <c r="U1498" s="2"/>
    </row>
    <row x14ac:dyDescent="0.25" r="1499" customHeight="1" ht="17.25">
      <c r="A1499" s="7">
        <v>1498</v>
      </c>
      <c r="B1499" s="1" t="s">
        <v>6919</v>
      </c>
      <c r="C1499" s="5">
        <f>CONCATENATE("PD", TEXT(A1499, "1000000"))</f>
      </c>
      <c r="D1499" s="7">
        <v>74</v>
      </c>
      <c r="E1499" s="5">
        <f>XLOOKUP(G1499, item_category!C:C, item_category!B:B, "Not Found")</f>
      </c>
      <c r="F1499" s="1" t="s">
        <v>5520</v>
      </c>
      <c r="G1499" s="5">
        <f>XLOOKUP(I1499, drug!B:B, drug!A:A, "Not Found")</f>
      </c>
      <c r="H1499" s="1" t="s">
        <v>354</v>
      </c>
      <c r="I1499" s="7">
        <v>1</v>
      </c>
      <c r="J1499" s="5">
        <f>XLOOKUP(L1499, uom!C:C, uom!B:B, "Not Found")</f>
      </c>
      <c r="K1499" s="1" t="s">
        <v>5511</v>
      </c>
      <c r="L1499" s="5">
        <f>XLOOKUP(N1499, uom!C:C, uom!B:B, "Not Found")</f>
      </c>
      <c r="M1499" s="1" t="s">
        <v>5511</v>
      </c>
      <c r="N1499" s="8" t="s">
        <v>5512</v>
      </c>
      <c r="O1499" s="1" t="s">
        <v>5513</v>
      </c>
      <c r="P1499" s="5">
        <f>XLOOKUP(R1499, classification!C:C, classification!B:B, "Not Found")</f>
      </c>
      <c r="Q1499" s="1" t="s">
        <v>5514</v>
      </c>
      <c r="R1499" s="2"/>
      <c r="S1499" s="2"/>
      <c r="T1499" s="2"/>
      <c r="U1499" s="2"/>
    </row>
    <row x14ac:dyDescent="0.25" r="1500" customHeight="1" ht="17.25">
      <c r="A1500" s="7">
        <v>1499</v>
      </c>
      <c r="B1500" s="1" t="s">
        <v>6920</v>
      </c>
      <c r="C1500" s="5">
        <f>CONCATENATE("PD", TEXT(A1500, "1000000"))</f>
      </c>
      <c r="D1500" s="7">
        <v>74</v>
      </c>
      <c r="E1500" s="5">
        <f>XLOOKUP(G1500, item_category!C:C, item_category!B:B, "Not Found")</f>
      </c>
      <c r="F1500" s="1" t="s">
        <v>5520</v>
      </c>
      <c r="G1500" s="5">
        <f>XLOOKUP(I1500, drug!B:B, drug!A:A, "Not Found")</f>
      </c>
      <c r="H1500" s="1"/>
      <c r="I1500" s="7">
        <v>1</v>
      </c>
      <c r="J1500" s="5">
        <f>XLOOKUP(L1500, uom!C:C, uom!B:B, "Not Found")</f>
      </c>
      <c r="K1500" s="1" t="s">
        <v>5511</v>
      </c>
      <c r="L1500" s="5">
        <f>XLOOKUP(N1500, uom!C:C, uom!B:B, "Not Found")</f>
      </c>
      <c r="M1500" s="1" t="s">
        <v>5511</v>
      </c>
      <c r="N1500" s="8" t="s">
        <v>5512</v>
      </c>
      <c r="O1500" s="1" t="s">
        <v>5513</v>
      </c>
      <c r="P1500" s="5">
        <f>XLOOKUP(R1500, classification!C:C, classification!B:B, "Not Found")</f>
      </c>
      <c r="Q1500" s="1" t="s">
        <v>5514</v>
      </c>
      <c r="R1500" s="2"/>
      <c r="S1500" s="2"/>
      <c r="T1500" s="2"/>
      <c r="U1500" s="2"/>
    </row>
    <row x14ac:dyDescent="0.25" r="1501" customHeight="1" ht="17.25">
      <c r="A1501" s="7">
        <v>1500</v>
      </c>
      <c r="B1501" s="1" t="s">
        <v>2768</v>
      </c>
      <c r="C1501" s="5">
        <f>CONCATENATE("PD", TEXT(A1501, "1000000"))</f>
      </c>
      <c r="D1501" s="7">
        <v>74</v>
      </c>
      <c r="E1501" s="5">
        <f>XLOOKUP(G1501, item_category!C:C, item_category!B:B, "Not Found")</f>
      </c>
      <c r="F1501" s="1" t="s">
        <v>5520</v>
      </c>
      <c r="G1501" s="5">
        <f>XLOOKUP(I1501, drug!B:B, drug!A:A, "Not Found")</f>
      </c>
      <c r="H1501" s="1"/>
      <c r="I1501" s="7">
        <v>1</v>
      </c>
      <c r="J1501" s="5">
        <f>XLOOKUP(L1501, uom!C:C, uom!B:B, "Not Found")</f>
      </c>
      <c r="K1501" s="1" t="s">
        <v>5511</v>
      </c>
      <c r="L1501" s="5">
        <f>XLOOKUP(N1501, uom!C:C, uom!B:B, "Not Found")</f>
      </c>
      <c r="M1501" s="1" t="s">
        <v>5511</v>
      </c>
      <c r="N1501" s="8" t="s">
        <v>5512</v>
      </c>
      <c r="O1501" s="1" t="s">
        <v>5513</v>
      </c>
      <c r="P1501" s="5">
        <f>XLOOKUP(R1501, classification!C:C, classification!B:B, "Not Found")</f>
      </c>
      <c r="Q1501" s="1" t="s">
        <v>5514</v>
      </c>
      <c r="R1501" s="2"/>
      <c r="S1501" s="2"/>
      <c r="T1501" s="2"/>
      <c r="U1501" s="2"/>
    </row>
    <row x14ac:dyDescent="0.25" r="1502" customHeight="1" ht="17.25">
      <c r="A1502" s="7">
        <v>1501</v>
      </c>
      <c r="B1502" s="1" t="s">
        <v>6921</v>
      </c>
      <c r="C1502" s="5">
        <f>CONCATENATE("PD", TEXT(A1502, "1000000"))</f>
      </c>
      <c r="D1502" s="7">
        <v>74</v>
      </c>
      <c r="E1502" s="5">
        <f>XLOOKUP(G1502, item_category!C:C, item_category!B:B, "Not Found")</f>
      </c>
      <c r="F1502" s="1" t="s">
        <v>5520</v>
      </c>
      <c r="G1502" s="5">
        <f>XLOOKUP(I1502, drug!B:B, drug!A:A, "Not Found")</f>
      </c>
      <c r="H1502" s="1"/>
      <c r="I1502" s="7">
        <v>1</v>
      </c>
      <c r="J1502" s="5">
        <f>XLOOKUP(L1502, uom!C:C, uom!B:B, "Not Found")</f>
      </c>
      <c r="K1502" s="1" t="s">
        <v>5511</v>
      </c>
      <c r="L1502" s="5">
        <f>XLOOKUP(N1502, uom!C:C, uom!B:B, "Not Found")</f>
      </c>
      <c r="M1502" s="1" t="s">
        <v>5511</v>
      </c>
      <c r="N1502" s="8" t="s">
        <v>5512</v>
      </c>
      <c r="O1502" s="1" t="s">
        <v>5513</v>
      </c>
      <c r="P1502" s="5">
        <f>XLOOKUP(R1502, classification!C:C, classification!B:B, "Not Found")</f>
      </c>
      <c r="Q1502" s="1" t="s">
        <v>5514</v>
      </c>
      <c r="R1502" s="2"/>
      <c r="S1502" s="2"/>
      <c r="T1502" s="2"/>
      <c r="U1502" s="2"/>
    </row>
    <row x14ac:dyDescent="0.25" r="1503" customHeight="1" ht="17.25">
      <c r="A1503" s="7">
        <v>1502</v>
      </c>
      <c r="B1503" s="1" t="s">
        <v>6922</v>
      </c>
      <c r="C1503" s="5">
        <f>CONCATENATE("PD", TEXT(A1503, "1000000"))</f>
      </c>
      <c r="D1503" s="7">
        <v>74</v>
      </c>
      <c r="E1503" s="5">
        <f>XLOOKUP(G1503, item_category!C:C, item_category!B:B, "Not Found")</f>
      </c>
      <c r="F1503" s="1" t="s">
        <v>5520</v>
      </c>
      <c r="G1503" s="5">
        <f>XLOOKUP(I1503, drug!B:B, drug!A:A, "Not Found")</f>
      </c>
      <c r="H1503" s="1"/>
      <c r="I1503" s="7">
        <v>1</v>
      </c>
      <c r="J1503" s="5">
        <f>XLOOKUP(L1503, uom!C:C, uom!B:B, "Not Found")</f>
      </c>
      <c r="K1503" s="1" t="s">
        <v>5511</v>
      </c>
      <c r="L1503" s="5">
        <f>XLOOKUP(N1503, uom!C:C, uom!B:B, "Not Found")</f>
      </c>
      <c r="M1503" s="1" t="s">
        <v>5511</v>
      </c>
      <c r="N1503" s="8" t="s">
        <v>5512</v>
      </c>
      <c r="O1503" s="1" t="s">
        <v>5513</v>
      </c>
      <c r="P1503" s="5">
        <f>XLOOKUP(R1503, classification!C:C, classification!B:B, "Not Found")</f>
      </c>
      <c r="Q1503" s="1" t="s">
        <v>5514</v>
      </c>
      <c r="R1503" s="2"/>
      <c r="S1503" s="2"/>
      <c r="T1503" s="2"/>
      <c r="U1503" s="2"/>
    </row>
    <row x14ac:dyDescent="0.25" r="1504" customHeight="1" ht="17.25">
      <c r="A1504" s="7">
        <v>1503</v>
      </c>
      <c r="B1504" s="1" t="s">
        <v>6923</v>
      </c>
      <c r="C1504" s="5">
        <f>CONCATENATE("PD", TEXT(A1504, "1000000"))</f>
      </c>
      <c r="D1504" s="7">
        <v>74</v>
      </c>
      <c r="E1504" s="5">
        <f>XLOOKUP(G1504, item_category!C:C, item_category!B:B, "Not Found")</f>
      </c>
      <c r="F1504" s="1" t="s">
        <v>5520</v>
      </c>
      <c r="G1504" s="5">
        <f>XLOOKUP(I1504, drug!B:B, drug!A:A, "Not Found")</f>
      </c>
      <c r="H1504" s="1"/>
      <c r="I1504" s="7">
        <v>1</v>
      </c>
      <c r="J1504" s="5">
        <f>XLOOKUP(L1504, uom!C:C, uom!B:B, "Not Found")</f>
      </c>
      <c r="K1504" s="1" t="s">
        <v>5511</v>
      </c>
      <c r="L1504" s="5">
        <f>XLOOKUP(N1504, uom!C:C, uom!B:B, "Not Found")</f>
      </c>
      <c r="M1504" s="1" t="s">
        <v>5511</v>
      </c>
      <c r="N1504" s="8" t="s">
        <v>5512</v>
      </c>
      <c r="O1504" s="1" t="s">
        <v>5513</v>
      </c>
      <c r="P1504" s="5">
        <f>XLOOKUP(R1504, classification!C:C, classification!B:B, "Not Found")</f>
      </c>
      <c r="Q1504" s="1" t="s">
        <v>5514</v>
      </c>
      <c r="R1504" s="2"/>
      <c r="S1504" s="2"/>
      <c r="T1504" s="2"/>
      <c r="U1504" s="2"/>
    </row>
    <row x14ac:dyDescent="0.25" r="1505" customHeight="1" ht="17.25">
      <c r="A1505" s="7">
        <v>1504</v>
      </c>
      <c r="B1505" s="1" t="s">
        <v>6924</v>
      </c>
      <c r="C1505" s="5">
        <f>CONCATENATE("PD", TEXT(A1505, "1000000"))</f>
      </c>
      <c r="D1505" s="7">
        <v>74</v>
      </c>
      <c r="E1505" s="5">
        <f>XLOOKUP(G1505, item_category!C:C, item_category!B:B, "Not Found")</f>
      </c>
      <c r="F1505" s="1" t="s">
        <v>5520</v>
      </c>
      <c r="G1505" s="5">
        <f>XLOOKUP(I1505, drug!B:B, drug!A:A, "Not Found")</f>
      </c>
      <c r="H1505" s="1"/>
      <c r="I1505" s="7">
        <v>1</v>
      </c>
      <c r="J1505" s="5">
        <f>XLOOKUP(L1505, uom!C:C, uom!B:B, "Not Found")</f>
      </c>
      <c r="K1505" s="1" t="s">
        <v>5511</v>
      </c>
      <c r="L1505" s="5">
        <f>XLOOKUP(N1505, uom!C:C, uom!B:B, "Not Found")</f>
      </c>
      <c r="M1505" s="1" t="s">
        <v>5511</v>
      </c>
      <c r="N1505" s="8" t="s">
        <v>5512</v>
      </c>
      <c r="O1505" s="1" t="s">
        <v>5513</v>
      </c>
      <c r="P1505" s="5">
        <f>XLOOKUP(R1505, classification!C:C, classification!B:B, "Not Found")</f>
      </c>
      <c r="Q1505" s="1" t="s">
        <v>5514</v>
      </c>
      <c r="R1505" s="2"/>
      <c r="S1505" s="2"/>
      <c r="T1505" s="2"/>
      <c r="U1505" s="2"/>
    </row>
    <row x14ac:dyDescent="0.25" r="1506" customHeight="1" ht="17.25">
      <c r="A1506" s="7">
        <v>1505</v>
      </c>
      <c r="B1506" s="1" t="s">
        <v>6925</v>
      </c>
      <c r="C1506" s="5">
        <f>CONCATENATE("PD", TEXT(A1506, "1000000"))</f>
      </c>
      <c r="D1506" s="7">
        <v>74</v>
      </c>
      <c r="E1506" s="5">
        <f>XLOOKUP(G1506, item_category!C:C, item_category!B:B, "Not Found")</f>
      </c>
      <c r="F1506" s="1" t="s">
        <v>5520</v>
      </c>
      <c r="G1506" s="5">
        <f>XLOOKUP(I1506, drug!B:B, drug!A:A, "Not Found")</f>
      </c>
      <c r="H1506" s="1"/>
      <c r="I1506" s="7">
        <v>1</v>
      </c>
      <c r="J1506" s="5">
        <f>XLOOKUP(L1506, uom!C:C, uom!B:B, "Not Found")</f>
      </c>
      <c r="K1506" s="1" t="s">
        <v>5511</v>
      </c>
      <c r="L1506" s="5">
        <f>XLOOKUP(N1506, uom!C:C, uom!B:B, "Not Found")</f>
      </c>
      <c r="M1506" s="1" t="s">
        <v>5511</v>
      </c>
      <c r="N1506" s="8" t="s">
        <v>5512</v>
      </c>
      <c r="O1506" s="1" t="s">
        <v>5513</v>
      </c>
      <c r="P1506" s="5">
        <f>XLOOKUP(R1506, classification!C:C, classification!B:B, "Not Found")</f>
      </c>
      <c r="Q1506" s="1" t="s">
        <v>5514</v>
      </c>
      <c r="R1506" s="2"/>
      <c r="S1506" s="2"/>
      <c r="T1506" s="2"/>
      <c r="U1506" s="2"/>
    </row>
    <row x14ac:dyDescent="0.25" r="1507" customHeight="1" ht="17.25">
      <c r="A1507" s="7">
        <v>1506</v>
      </c>
      <c r="B1507" s="1" t="s">
        <v>6926</v>
      </c>
      <c r="C1507" s="5">
        <f>CONCATENATE("PD", TEXT(A1507, "1000000"))</f>
      </c>
      <c r="D1507" s="7">
        <v>74</v>
      </c>
      <c r="E1507" s="5">
        <f>XLOOKUP(G1507, item_category!C:C, item_category!B:B, "Not Found")</f>
      </c>
      <c r="F1507" s="1" t="s">
        <v>5520</v>
      </c>
      <c r="G1507" s="5">
        <f>XLOOKUP(I1507, drug!B:B, drug!A:A, "Not Found")</f>
      </c>
      <c r="H1507" s="1"/>
      <c r="I1507" s="7">
        <v>1</v>
      </c>
      <c r="J1507" s="5">
        <f>XLOOKUP(L1507, uom!C:C, uom!B:B, "Not Found")</f>
      </c>
      <c r="K1507" s="1" t="s">
        <v>5511</v>
      </c>
      <c r="L1507" s="5">
        <f>XLOOKUP(N1507, uom!C:C, uom!B:B, "Not Found")</f>
      </c>
      <c r="M1507" s="1" t="s">
        <v>5511</v>
      </c>
      <c r="N1507" s="8" t="s">
        <v>5512</v>
      </c>
      <c r="O1507" s="1" t="s">
        <v>5513</v>
      </c>
      <c r="P1507" s="5">
        <f>XLOOKUP(R1507, classification!C:C, classification!B:B, "Not Found")</f>
      </c>
      <c r="Q1507" s="1" t="s">
        <v>5514</v>
      </c>
      <c r="R1507" s="2"/>
      <c r="S1507" s="2"/>
      <c r="T1507" s="2"/>
      <c r="U1507" s="2"/>
    </row>
    <row x14ac:dyDescent="0.25" r="1508" customHeight="1" ht="17.25">
      <c r="A1508" s="7">
        <v>1507</v>
      </c>
      <c r="B1508" s="1" t="s">
        <v>6927</v>
      </c>
      <c r="C1508" s="5">
        <f>CONCATENATE("PD", TEXT(A1508, "1000000"))</f>
      </c>
      <c r="D1508" s="7">
        <v>74</v>
      </c>
      <c r="E1508" s="5">
        <f>XLOOKUP(G1508, item_category!C:C, item_category!B:B, "Not Found")</f>
      </c>
      <c r="F1508" s="1" t="s">
        <v>5520</v>
      </c>
      <c r="G1508" s="5">
        <f>XLOOKUP(I1508, drug!B:B, drug!A:A, "Not Found")</f>
      </c>
      <c r="H1508" s="1"/>
      <c r="I1508" s="7">
        <v>1</v>
      </c>
      <c r="J1508" s="5">
        <f>XLOOKUP(L1508, uom!C:C, uom!B:B, "Not Found")</f>
      </c>
      <c r="K1508" s="1" t="s">
        <v>5511</v>
      </c>
      <c r="L1508" s="5">
        <f>XLOOKUP(N1508, uom!C:C, uom!B:B, "Not Found")</f>
      </c>
      <c r="M1508" s="1" t="s">
        <v>5511</v>
      </c>
      <c r="N1508" s="8" t="s">
        <v>5512</v>
      </c>
      <c r="O1508" s="1" t="s">
        <v>5513</v>
      </c>
      <c r="P1508" s="5">
        <f>XLOOKUP(R1508, classification!C:C, classification!B:B, "Not Found")</f>
      </c>
      <c r="Q1508" s="1" t="s">
        <v>5514</v>
      </c>
      <c r="R1508" s="2"/>
      <c r="S1508" s="2"/>
      <c r="T1508" s="2"/>
      <c r="U1508" s="2"/>
    </row>
    <row x14ac:dyDescent="0.25" r="1509" customHeight="1" ht="17.25">
      <c r="A1509" s="7">
        <v>1508</v>
      </c>
      <c r="B1509" s="1" t="s">
        <v>6928</v>
      </c>
      <c r="C1509" s="5">
        <f>CONCATENATE("PD", TEXT(A1509, "1000000"))</f>
      </c>
      <c r="D1509" s="7">
        <v>74</v>
      </c>
      <c r="E1509" s="5">
        <f>XLOOKUP(G1509, item_category!C:C, item_category!B:B, "Not Found")</f>
      </c>
      <c r="F1509" s="1" t="s">
        <v>5520</v>
      </c>
      <c r="G1509" s="5">
        <f>XLOOKUP(I1509, drug!B:B, drug!A:A, "Not Found")</f>
      </c>
      <c r="H1509" s="1"/>
      <c r="I1509" s="7">
        <v>1</v>
      </c>
      <c r="J1509" s="5">
        <f>XLOOKUP(L1509, uom!C:C, uom!B:B, "Not Found")</f>
      </c>
      <c r="K1509" s="1" t="s">
        <v>5511</v>
      </c>
      <c r="L1509" s="5">
        <f>XLOOKUP(N1509, uom!C:C, uom!B:B, "Not Found")</f>
      </c>
      <c r="M1509" s="1" t="s">
        <v>5511</v>
      </c>
      <c r="N1509" s="8" t="s">
        <v>5512</v>
      </c>
      <c r="O1509" s="1" t="s">
        <v>5513</v>
      </c>
      <c r="P1509" s="5">
        <f>XLOOKUP(R1509, classification!C:C, classification!B:B, "Not Found")</f>
      </c>
      <c r="Q1509" s="1" t="s">
        <v>5514</v>
      </c>
      <c r="R1509" s="2"/>
      <c r="S1509" s="2"/>
      <c r="T1509" s="2"/>
      <c r="U1509" s="2"/>
    </row>
    <row x14ac:dyDescent="0.25" r="1510" customHeight="1" ht="17.25">
      <c r="A1510" s="7">
        <v>1509</v>
      </c>
      <c r="B1510" s="1" t="s">
        <v>6929</v>
      </c>
      <c r="C1510" s="5">
        <f>CONCATENATE("PD", TEXT(A1510, "1000000"))</f>
      </c>
      <c r="D1510" s="7">
        <v>74</v>
      </c>
      <c r="E1510" s="5">
        <f>XLOOKUP(G1510, item_category!C:C, item_category!B:B, "Not Found")</f>
      </c>
      <c r="F1510" s="1" t="s">
        <v>5520</v>
      </c>
      <c r="G1510" s="5">
        <f>XLOOKUP(I1510, drug!B:B, drug!A:A, "Not Found")</f>
      </c>
      <c r="H1510" s="1" t="s">
        <v>364</v>
      </c>
      <c r="I1510" s="7">
        <v>1</v>
      </c>
      <c r="J1510" s="5">
        <f>XLOOKUP(L1510, uom!C:C, uom!B:B, "Not Found")</f>
      </c>
      <c r="K1510" s="1" t="s">
        <v>5511</v>
      </c>
      <c r="L1510" s="5">
        <f>XLOOKUP(N1510, uom!C:C, uom!B:B, "Not Found")</f>
      </c>
      <c r="M1510" s="1" t="s">
        <v>5511</v>
      </c>
      <c r="N1510" s="8" t="s">
        <v>5512</v>
      </c>
      <c r="O1510" s="1" t="s">
        <v>5513</v>
      </c>
      <c r="P1510" s="5">
        <f>XLOOKUP(R1510, classification!C:C, classification!B:B, "Not Found")</f>
      </c>
      <c r="Q1510" s="1" t="s">
        <v>5514</v>
      </c>
      <c r="R1510" s="2"/>
      <c r="S1510" s="2"/>
      <c r="T1510" s="2"/>
      <c r="U1510" s="2"/>
    </row>
    <row x14ac:dyDescent="0.25" r="1511" customHeight="1" ht="17.25">
      <c r="A1511" s="7">
        <v>1510</v>
      </c>
      <c r="B1511" s="1" t="s">
        <v>6930</v>
      </c>
      <c r="C1511" s="5">
        <f>CONCATENATE("PD", TEXT(A1511, "1000000"))</f>
      </c>
      <c r="D1511" s="7">
        <v>74</v>
      </c>
      <c r="E1511" s="5">
        <f>XLOOKUP(G1511, item_category!C:C, item_category!B:B, "Not Found")</f>
      </c>
      <c r="F1511" s="1" t="s">
        <v>5520</v>
      </c>
      <c r="G1511" s="5">
        <f>XLOOKUP(I1511, drug!B:B, drug!A:A, "Not Found")</f>
      </c>
      <c r="H1511" s="1" t="s">
        <v>364</v>
      </c>
      <c r="I1511" s="7">
        <v>1</v>
      </c>
      <c r="J1511" s="5">
        <f>XLOOKUP(L1511, uom!C:C, uom!B:B, "Not Found")</f>
      </c>
      <c r="K1511" s="1" t="s">
        <v>5511</v>
      </c>
      <c r="L1511" s="5">
        <f>XLOOKUP(N1511, uom!C:C, uom!B:B, "Not Found")</f>
      </c>
      <c r="M1511" s="1" t="s">
        <v>5511</v>
      </c>
      <c r="N1511" s="8" t="s">
        <v>5512</v>
      </c>
      <c r="O1511" s="1" t="s">
        <v>5513</v>
      </c>
      <c r="P1511" s="5">
        <f>XLOOKUP(R1511, classification!C:C, classification!B:B, "Not Found")</f>
      </c>
      <c r="Q1511" s="1" t="s">
        <v>5514</v>
      </c>
      <c r="R1511" s="2"/>
      <c r="S1511" s="2"/>
      <c r="T1511" s="2"/>
      <c r="U1511" s="2"/>
    </row>
    <row x14ac:dyDescent="0.25" r="1512" customHeight="1" ht="17.25">
      <c r="A1512" s="7">
        <v>1511</v>
      </c>
      <c r="B1512" s="1" t="s">
        <v>6931</v>
      </c>
      <c r="C1512" s="5">
        <f>CONCATENATE("PD", TEXT(A1512, "1000000"))</f>
      </c>
      <c r="D1512" s="7">
        <v>74</v>
      </c>
      <c r="E1512" s="5">
        <f>XLOOKUP(G1512, item_category!C:C, item_category!B:B, "Not Found")</f>
      </c>
      <c r="F1512" s="1" t="s">
        <v>5520</v>
      </c>
      <c r="G1512" s="5">
        <f>XLOOKUP(I1512, drug!B:B, drug!A:A, "Not Found")</f>
      </c>
      <c r="H1512" s="1" t="s">
        <v>364</v>
      </c>
      <c r="I1512" s="7">
        <v>1</v>
      </c>
      <c r="J1512" s="5">
        <f>XLOOKUP(L1512, uom!C:C, uom!B:B, "Not Found")</f>
      </c>
      <c r="K1512" s="1" t="s">
        <v>5511</v>
      </c>
      <c r="L1512" s="5">
        <f>XLOOKUP(N1512, uom!C:C, uom!B:B, "Not Found")</f>
      </c>
      <c r="M1512" s="1" t="s">
        <v>5511</v>
      </c>
      <c r="N1512" s="8" t="s">
        <v>5512</v>
      </c>
      <c r="O1512" s="1" t="s">
        <v>5513</v>
      </c>
      <c r="P1512" s="5">
        <f>XLOOKUP(R1512, classification!C:C, classification!B:B, "Not Found")</f>
      </c>
      <c r="Q1512" s="1" t="s">
        <v>5514</v>
      </c>
      <c r="R1512" s="2"/>
      <c r="S1512" s="2"/>
      <c r="T1512" s="2"/>
      <c r="U1512" s="2"/>
    </row>
    <row x14ac:dyDescent="0.25" r="1513" customHeight="1" ht="17.25">
      <c r="A1513" s="7">
        <v>1512</v>
      </c>
      <c r="B1513" s="1" t="s">
        <v>6932</v>
      </c>
      <c r="C1513" s="5">
        <f>CONCATENATE("PD", TEXT(A1513, "1000000"))</f>
      </c>
      <c r="D1513" s="7">
        <v>74</v>
      </c>
      <c r="E1513" s="5">
        <f>XLOOKUP(G1513, item_category!C:C, item_category!B:B, "Not Found")</f>
      </c>
      <c r="F1513" s="1" t="s">
        <v>5520</v>
      </c>
      <c r="G1513" s="5">
        <f>XLOOKUP(I1513, drug!B:B, drug!A:A, "Not Found")</f>
      </c>
      <c r="H1513" s="1" t="s">
        <v>364</v>
      </c>
      <c r="I1513" s="7">
        <v>1</v>
      </c>
      <c r="J1513" s="5">
        <f>XLOOKUP(L1513, uom!C:C, uom!B:B, "Not Found")</f>
      </c>
      <c r="K1513" s="1" t="s">
        <v>5511</v>
      </c>
      <c r="L1513" s="5">
        <f>XLOOKUP(N1513, uom!C:C, uom!B:B, "Not Found")</f>
      </c>
      <c r="M1513" s="1" t="s">
        <v>5511</v>
      </c>
      <c r="N1513" s="8" t="s">
        <v>5512</v>
      </c>
      <c r="O1513" s="1" t="s">
        <v>5513</v>
      </c>
      <c r="P1513" s="5">
        <f>XLOOKUP(R1513, classification!C:C, classification!B:B, "Not Found")</f>
      </c>
      <c r="Q1513" s="1" t="s">
        <v>5514</v>
      </c>
      <c r="R1513" s="2"/>
      <c r="S1513" s="2"/>
      <c r="T1513" s="2"/>
      <c r="U1513" s="2"/>
    </row>
    <row x14ac:dyDescent="0.25" r="1514" customHeight="1" ht="17.25">
      <c r="A1514" s="7">
        <v>1513</v>
      </c>
      <c r="B1514" s="1" t="s">
        <v>6933</v>
      </c>
      <c r="C1514" s="5">
        <f>CONCATENATE("PD", TEXT(A1514, "1000000"))</f>
      </c>
      <c r="D1514" s="7">
        <v>74</v>
      </c>
      <c r="E1514" s="5">
        <f>XLOOKUP(G1514, item_category!C:C, item_category!B:B, "Not Found")</f>
      </c>
      <c r="F1514" s="1" t="s">
        <v>5520</v>
      </c>
      <c r="G1514" s="5">
        <f>XLOOKUP(I1514, drug!B:B, drug!A:A, "Not Found")</f>
      </c>
      <c r="H1514" s="1"/>
      <c r="I1514" s="7">
        <v>1</v>
      </c>
      <c r="J1514" s="5">
        <f>XLOOKUP(L1514, uom!C:C, uom!B:B, "Not Found")</f>
      </c>
      <c r="K1514" s="1" t="s">
        <v>5511</v>
      </c>
      <c r="L1514" s="5">
        <f>XLOOKUP(N1514, uom!C:C, uom!B:B, "Not Found")</f>
      </c>
      <c r="M1514" s="1" t="s">
        <v>5511</v>
      </c>
      <c r="N1514" s="8" t="s">
        <v>5512</v>
      </c>
      <c r="O1514" s="1" t="s">
        <v>5513</v>
      </c>
      <c r="P1514" s="5">
        <f>XLOOKUP(R1514, classification!C:C, classification!B:B, "Not Found")</f>
      </c>
      <c r="Q1514" s="1" t="s">
        <v>5514</v>
      </c>
      <c r="R1514" s="2"/>
      <c r="S1514" s="2"/>
      <c r="T1514" s="2"/>
      <c r="U1514" s="2"/>
    </row>
    <row x14ac:dyDescent="0.25" r="1515" customHeight="1" ht="17.25">
      <c r="A1515" s="7">
        <v>1514</v>
      </c>
      <c r="B1515" s="1" t="s">
        <v>6934</v>
      </c>
      <c r="C1515" s="5">
        <f>CONCATENATE("PD", TEXT(A1515, "1000000"))</f>
      </c>
      <c r="D1515" s="7">
        <v>74</v>
      </c>
      <c r="E1515" s="5">
        <f>XLOOKUP(G1515, item_category!C:C, item_category!B:B, "Not Found")</f>
      </c>
      <c r="F1515" s="1" t="s">
        <v>5520</v>
      </c>
      <c r="G1515" s="5">
        <f>XLOOKUP(I1515, drug!B:B, drug!A:A, "Not Found")</f>
      </c>
      <c r="H1515" s="1" t="s">
        <v>1942</v>
      </c>
      <c r="I1515" s="7">
        <v>1</v>
      </c>
      <c r="J1515" s="5">
        <f>XLOOKUP(L1515, uom!C:C, uom!B:B, "Not Found")</f>
      </c>
      <c r="K1515" s="1" t="s">
        <v>5511</v>
      </c>
      <c r="L1515" s="5">
        <f>XLOOKUP(N1515, uom!C:C, uom!B:B, "Not Found")</f>
      </c>
      <c r="M1515" s="1" t="s">
        <v>5511</v>
      </c>
      <c r="N1515" s="8" t="s">
        <v>5512</v>
      </c>
      <c r="O1515" s="1" t="s">
        <v>5513</v>
      </c>
      <c r="P1515" s="5">
        <f>XLOOKUP(R1515, classification!C:C, classification!B:B, "Not Found")</f>
      </c>
      <c r="Q1515" s="1" t="s">
        <v>5514</v>
      </c>
      <c r="R1515" s="2"/>
      <c r="S1515" s="2"/>
      <c r="T1515" s="2"/>
      <c r="U1515" s="2"/>
    </row>
    <row x14ac:dyDescent="0.25" r="1516" customHeight="1" ht="17.25">
      <c r="A1516" s="7">
        <v>1515</v>
      </c>
      <c r="B1516" s="1" t="s">
        <v>6935</v>
      </c>
      <c r="C1516" s="5">
        <f>CONCATENATE("PD", TEXT(A1516, "1000000"))</f>
      </c>
      <c r="D1516" s="7">
        <v>74</v>
      </c>
      <c r="E1516" s="5">
        <f>XLOOKUP(G1516, item_category!C:C, item_category!B:B, "Not Found")</f>
      </c>
      <c r="F1516" s="1" t="s">
        <v>5520</v>
      </c>
      <c r="G1516" s="5">
        <f>XLOOKUP(I1516, drug!B:B, drug!A:A, "Not Found")</f>
      </c>
      <c r="H1516" s="1" t="s">
        <v>2000</v>
      </c>
      <c r="I1516" s="7">
        <v>1</v>
      </c>
      <c r="J1516" s="5">
        <f>XLOOKUP(L1516, uom!C:C, uom!B:B, "Not Found")</f>
      </c>
      <c r="K1516" s="1" t="s">
        <v>5511</v>
      </c>
      <c r="L1516" s="5">
        <f>XLOOKUP(N1516, uom!C:C, uom!B:B, "Not Found")</f>
      </c>
      <c r="M1516" s="1" t="s">
        <v>5511</v>
      </c>
      <c r="N1516" s="8" t="s">
        <v>5512</v>
      </c>
      <c r="O1516" s="1" t="s">
        <v>5513</v>
      </c>
      <c r="P1516" s="5">
        <f>XLOOKUP(R1516, classification!C:C, classification!B:B, "Not Found")</f>
      </c>
      <c r="Q1516" s="1" t="s">
        <v>5514</v>
      </c>
      <c r="R1516" s="2"/>
      <c r="S1516" s="2"/>
      <c r="T1516" s="2"/>
      <c r="U1516" s="2"/>
    </row>
    <row x14ac:dyDescent="0.25" r="1517" customHeight="1" ht="17.25">
      <c r="A1517" s="7">
        <v>1516</v>
      </c>
      <c r="B1517" s="1" t="s">
        <v>6936</v>
      </c>
      <c r="C1517" s="5">
        <f>CONCATENATE("PD", TEXT(A1517, "1000000"))</f>
      </c>
      <c r="D1517" s="7">
        <v>74</v>
      </c>
      <c r="E1517" s="5">
        <f>XLOOKUP(G1517, item_category!C:C, item_category!B:B, "Not Found")</f>
      </c>
      <c r="F1517" s="1" t="s">
        <v>5520</v>
      </c>
      <c r="G1517" s="5">
        <f>XLOOKUP(I1517, drug!B:B, drug!A:A, "Not Found")</f>
      </c>
      <c r="H1517" s="1" t="s">
        <v>2000</v>
      </c>
      <c r="I1517" s="7">
        <v>1</v>
      </c>
      <c r="J1517" s="5">
        <f>XLOOKUP(L1517, uom!C:C, uom!B:B, "Not Found")</f>
      </c>
      <c r="K1517" s="1" t="s">
        <v>5511</v>
      </c>
      <c r="L1517" s="5">
        <f>XLOOKUP(N1517, uom!C:C, uom!B:B, "Not Found")</f>
      </c>
      <c r="M1517" s="1" t="s">
        <v>5511</v>
      </c>
      <c r="N1517" s="8" t="s">
        <v>5512</v>
      </c>
      <c r="O1517" s="1" t="s">
        <v>5513</v>
      </c>
      <c r="P1517" s="5">
        <f>XLOOKUP(R1517, classification!C:C, classification!B:B, "Not Found")</f>
      </c>
      <c r="Q1517" s="1" t="s">
        <v>5514</v>
      </c>
      <c r="R1517" s="2"/>
      <c r="S1517" s="2"/>
      <c r="T1517" s="2"/>
      <c r="U1517" s="2"/>
    </row>
    <row x14ac:dyDescent="0.25" r="1518" customHeight="1" ht="17.25">
      <c r="A1518" s="7">
        <v>1517</v>
      </c>
      <c r="B1518" s="1" t="s">
        <v>6937</v>
      </c>
      <c r="C1518" s="5">
        <f>CONCATENATE("PD", TEXT(A1518, "1000000"))</f>
      </c>
      <c r="D1518" s="7">
        <v>74</v>
      </c>
      <c r="E1518" s="5">
        <f>XLOOKUP(G1518, item_category!C:C, item_category!B:B, "Not Found")</f>
      </c>
      <c r="F1518" s="1" t="s">
        <v>5520</v>
      </c>
      <c r="G1518" s="5">
        <f>XLOOKUP(I1518, drug!B:B, drug!A:A, "Not Found")</f>
      </c>
      <c r="H1518" s="1" t="s">
        <v>1336</v>
      </c>
      <c r="I1518" s="7">
        <v>1</v>
      </c>
      <c r="J1518" s="5">
        <f>XLOOKUP(L1518, uom!C:C, uom!B:B, "Not Found")</f>
      </c>
      <c r="K1518" s="1" t="s">
        <v>5511</v>
      </c>
      <c r="L1518" s="5">
        <f>XLOOKUP(N1518, uom!C:C, uom!B:B, "Not Found")</f>
      </c>
      <c r="M1518" s="1" t="s">
        <v>5511</v>
      </c>
      <c r="N1518" s="8" t="s">
        <v>5512</v>
      </c>
      <c r="O1518" s="1" t="s">
        <v>5513</v>
      </c>
      <c r="P1518" s="5">
        <f>XLOOKUP(R1518, classification!C:C, classification!B:B, "Not Found")</f>
      </c>
      <c r="Q1518" s="1" t="s">
        <v>5514</v>
      </c>
      <c r="R1518" s="2"/>
      <c r="S1518" s="2"/>
      <c r="T1518" s="2"/>
      <c r="U1518" s="2"/>
    </row>
    <row x14ac:dyDescent="0.25" r="1519" customHeight="1" ht="17.25">
      <c r="A1519" s="7">
        <v>1518</v>
      </c>
      <c r="B1519" s="1" t="s">
        <v>6938</v>
      </c>
      <c r="C1519" s="5">
        <f>CONCATENATE("PD", TEXT(A1519, "1000000"))</f>
      </c>
      <c r="D1519" s="7">
        <v>74</v>
      </c>
      <c r="E1519" s="5">
        <f>XLOOKUP(G1519, item_category!C:C, item_category!B:B, "Not Found")</f>
      </c>
      <c r="F1519" s="1" t="s">
        <v>5520</v>
      </c>
      <c r="G1519" s="5">
        <f>XLOOKUP(I1519, drug!B:B, drug!A:A, "Not Found")</f>
      </c>
      <c r="H1519" s="1" t="s">
        <v>1336</v>
      </c>
      <c r="I1519" s="7">
        <v>1</v>
      </c>
      <c r="J1519" s="5">
        <f>XLOOKUP(L1519, uom!C:C, uom!B:B, "Not Found")</f>
      </c>
      <c r="K1519" s="1" t="s">
        <v>5511</v>
      </c>
      <c r="L1519" s="5">
        <f>XLOOKUP(N1519, uom!C:C, uom!B:B, "Not Found")</f>
      </c>
      <c r="M1519" s="1" t="s">
        <v>5511</v>
      </c>
      <c r="N1519" s="8" t="s">
        <v>5512</v>
      </c>
      <c r="O1519" s="1" t="s">
        <v>5513</v>
      </c>
      <c r="P1519" s="5">
        <f>XLOOKUP(R1519, classification!C:C, classification!B:B, "Not Found")</f>
      </c>
      <c r="Q1519" s="1" t="s">
        <v>5514</v>
      </c>
      <c r="R1519" s="2"/>
      <c r="S1519" s="2"/>
      <c r="T1519" s="2"/>
      <c r="U1519" s="2"/>
    </row>
    <row x14ac:dyDescent="0.25" r="1520" customHeight="1" ht="17.25">
      <c r="A1520" s="7">
        <v>1519</v>
      </c>
      <c r="B1520" s="1" t="s">
        <v>6939</v>
      </c>
      <c r="C1520" s="5">
        <f>CONCATENATE("PD", TEXT(A1520, "1000000"))</f>
      </c>
      <c r="D1520" s="7">
        <v>74</v>
      </c>
      <c r="E1520" s="5">
        <f>XLOOKUP(G1520, item_category!C:C, item_category!B:B, "Not Found")</f>
      </c>
      <c r="F1520" s="1" t="s">
        <v>5520</v>
      </c>
      <c r="G1520" s="5">
        <f>XLOOKUP(I1520, drug!B:B, drug!A:A, "Not Found")</f>
      </c>
      <c r="H1520" s="1" t="s">
        <v>377</v>
      </c>
      <c r="I1520" s="7">
        <v>1</v>
      </c>
      <c r="J1520" s="5">
        <f>XLOOKUP(L1520, uom!C:C, uom!B:B, "Not Found")</f>
      </c>
      <c r="K1520" s="1" t="s">
        <v>5511</v>
      </c>
      <c r="L1520" s="5">
        <f>XLOOKUP(N1520, uom!C:C, uom!B:B, "Not Found")</f>
      </c>
      <c r="M1520" s="1" t="s">
        <v>5511</v>
      </c>
      <c r="N1520" s="8" t="s">
        <v>5512</v>
      </c>
      <c r="O1520" s="1" t="s">
        <v>5513</v>
      </c>
      <c r="P1520" s="5">
        <f>XLOOKUP(R1520, classification!C:C, classification!B:B, "Not Found")</f>
      </c>
      <c r="Q1520" s="1" t="s">
        <v>5514</v>
      </c>
      <c r="R1520" s="2"/>
      <c r="S1520" s="2"/>
      <c r="T1520" s="2"/>
      <c r="U1520" s="2"/>
    </row>
    <row x14ac:dyDescent="0.25" r="1521" customHeight="1" ht="17.25">
      <c r="A1521" s="7">
        <v>1520</v>
      </c>
      <c r="B1521" s="1" t="s">
        <v>6940</v>
      </c>
      <c r="C1521" s="5">
        <f>CONCATENATE("PD", TEXT(A1521, "1000000"))</f>
      </c>
      <c r="D1521" s="7">
        <v>74</v>
      </c>
      <c r="E1521" s="5">
        <f>XLOOKUP(G1521, item_category!C:C, item_category!B:B, "Not Found")</f>
      </c>
      <c r="F1521" s="1" t="s">
        <v>5520</v>
      </c>
      <c r="G1521" s="5">
        <f>XLOOKUP(I1521, drug!B:B, drug!A:A, "Not Found")</f>
      </c>
      <c r="H1521" s="1"/>
      <c r="I1521" s="7">
        <v>1</v>
      </c>
      <c r="J1521" s="5">
        <f>XLOOKUP(L1521, uom!C:C, uom!B:B, "Not Found")</f>
      </c>
      <c r="K1521" s="1" t="s">
        <v>5511</v>
      </c>
      <c r="L1521" s="5">
        <f>XLOOKUP(N1521, uom!C:C, uom!B:B, "Not Found")</f>
      </c>
      <c r="M1521" s="1" t="s">
        <v>5511</v>
      </c>
      <c r="N1521" s="8" t="s">
        <v>5512</v>
      </c>
      <c r="O1521" s="1" t="s">
        <v>5513</v>
      </c>
      <c r="P1521" s="5">
        <f>XLOOKUP(R1521, classification!C:C, classification!B:B, "Not Found")</f>
      </c>
      <c r="Q1521" s="1" t="s">
        <v>5514</v>
      </c>
      <c r="R1521" s="2"/>
      <c r="S1521" s="2"/>
      <c r="T1521" s="2"/>
      <c r="U1521" s="2"/>
    </row>
    <row x14ac:dyDescent="0.25" r="1522" customHeight="1" ht="17.25">
      <c r="A1522" s="7">
        <v>1521</v>
      </c>
      <c r="B1522" s="1" t="s">
        <v>6941</v>
      </c>
      <c r="C1522" s="5">
        <f>CONCATENATE("PD", TEXT(A1522, "1000000"))</f>
      </c>
      <c r="D1522" s="7">
        <v>74</v>
      </c>
      <c r="E1522" s="5">
        <f>XLOOKUP(G1522, item_category!C:C, item_category!B:B, "Not Found")</f>
      </c>
      <c r="F1522" s="1" t="s">
        <v>5520</v>
      </c>
      <c r="G1522" s="5">
        <f>XLOOKUP(I1522, drug!B:B, drug!A:A, "Not Found")</f>
      </c>
      <c r="H1522" s="1"/>
      <c r="I1522" s="7">
        <v>1</v>
      </c>
      <c r="J1522" s="5">
        <f>XLOOKUP(L1522, uom!C:C, uom!B:B, "Not Found")</f>
      </c>
      <c r="K1522" s="1" t="s">
        <v>5511</v>
      </c>
      <c r="L1522" s="5">
        <f>XLOOKUP(N1522, uom!C:C, uom!B:B, "Not Found")</f>
      </c>
      <c r="M1522" s="1" t="s">
        <v>5511</v>
      </c>
      <c r="N1522" s="8" t="s">
        <v>5512</v>
      </c>
      <c r="O1522" s="1" t="s">
        <v>5513</v>
      </c>
      <c r="P1522" s="5">
        <f>XLOOKUP(R1522, classification!C:C, classification!B:B, "Not Found")</f>
      </c>
      <c r="Q1522" s="1" t="s">
        <v>5514</v>
      </c>
      <c r="R1522" s="2"/>
      <c r="S1522" s="2"/>
      <c r="T1522" s="2"/>
      <c r="U1522" s="2"/>
    </row>
    <row x14ac:dyDescent="0.25" r="1523" customHeight="1" ht="17.25">
      <c r="A1523" s="7">
        <v>1522</v>
      </c>
      <c r="B1523" s="1" t="s">
        <v>6942</v>
      </c>
      <c r="C1523" s="5">
        <f>CONCATENATE("PD", TEXT(A1523, "1000000"))</f>
      </c>
      <c r="D1523" s="7">
        <v>74</v>
      </c>
      <c r="E1523" s="5">
        <f>XLOOKUP(G1523, item_category!C:C, item_category!B:B, "Not Found")</f>
      </c>
      <c r="F1523" s="1" t="s">
        <v>5520</v>
      </c>
      <c r="G1523" s="5">
        <f>XLOOKUP(I1523, drug!B:B, drug!A:A, "Not Found")</f>
      </c>
      <c r="H1523" s="1"/>
      <c r="I1523" s="7">
        <v>1</v>
      </c>
      <c r="J1523" s="5">
        <f>XLOOKUP(L1523, uom!C:C, uom!B:B, "Not Found")</f>
      </c>
      <c r="K1523" s="1" t="s">
        <v>5511</v>
      </c>
      <c r="L1523" s="5">
        <f>XLOOKUP(N1523, uom!C:C, uom!B:B, "Not Found")</f>
      </c>
      <c r="M1523" s="1" t="s">
        <v>5511</v>
      </c>
      <c r="N1523" s="8" t="s">
        <v>5512</v>
      </c>
      <c r="O1523" s="1" t="s">
        <v>5513</v>
      </c>
      <c r="P1523" s="5">
        <f>XLOOKUP(R1523, classification!C:C, classification!B:B, "Not Found")</f>
      </c>
      <c r="Q1523" s="1" t="s">
        <v>5514</v>
      </c>
      <c r="R1523" s="2"/>
      <c r="S1523" s="2"/>
      <c r="T1523" s="2"/>
      <c r="U1523" s="2"/>
    </row>
    <row x14ac:dyDescent="0.25" r="1524" customHeight="1" ht="17.25">
      <c r="A1524" s="7">
        <v>1523</v>
      </c>
      <c r="B1524" s="1" t="s">
        <v>6943</v>
      </c>
      <c r="C1524" s="5">
        <f>CONCATENATE("PD", TEXT(A1524, "1000000"))</f>
      </c>
      <c r="D1524" s="7">
        <v>74</v>
      </c>
      <c r="E1524" s="5">
        <f>XLOOKUP(G1524, item_category!C:C, item_category!B:B, "Not Found")</f>
      </c>
      <c r="F1524" s="1" t="s">
        <v>5520</v>
      </c>
      <c r="G1524" s="5">
        <f>XLOOKUP(I1524, drug!B:B, drug!A:A, "Not Found")</f>
      </c>
      <c r="H1524" s="1"/>
      <c r="I1524" s="7">
        <v>1</v>
      </c>
      <c r="J1524" s="5">
        <f>XLOOKUP(L1524, uom!C:C, uom!B:B, "Not Found")</f>
      </c>
      <c r="K1524" s="1" t="s">
        <v>5511</v>
      </c>
      <c r="L1524" s="5">
        <f>XLOOKUP(N1524, uom!C:C, uom!B:B, "Not Found")</f>
      </c>
      <c r="M1524" s="1" t="s">
        <v>5511</v>
      </c>
      <c r="N1524" s="8" t="s">
        <v>5512</v>
      </c>
      <c r="O1524" s="1" t="s">
        <v>5513</v>
      </c>
      <c r="P1524" s="5">
        <f>XLOOKUP(R1524, classification!C:C, classification!B:B, "Not Found")</f>
      </c>
      <c r="Q1524" s="1" t="s">
        <v>5514</v>
      </c>
      <c r="R1524" s="2"/>
      <c r="S1524" s="2"/>
      <c r="T1524" s="2"/>
      <c r="U1524" s="2"/>
    </row>
    <row x14ac:dyDescent="0.25" r="1525" customHeight="1" ht="17.25">
      <c r="A1525" s="7">
        <v>1524</v>
      </c>
      <c r="B1525" s="1" t="s">
        <v>6944</v>
      </c>
      <c r="C1525" s="5">
        <f>CONCATENATE("PD", TEXT(A1525, "1000000"))</f>
      </c>
      <c r="D1525" s="7">
        <v>74</v>
      </c>
      <c r="E1525" s="5">
        <f>XLOOKUP(G1525, item_category!C:C, item_category!B:B, "Not Found")</f>
      </c>
      <c r="F1525" s="1" t="s">
        <v>5520</v>
      </c>
      <c r="G1525" s="5">
        <f>XLOOKUP(I1525, drug!B:B, drug!A:A, "Not Found")</f>
      </c>
      <c r="H1525" s="1" t="s">
        <v>1222</v>
      </c>
      <c r="I1525" s="7">
        <v>1</v>
      </c>
      <c r="J1525" s="5">
        <f>XLOOKUP(L1525, uom!C:C, uom!B:B, "Not Found")</f>
      </c>
      <c r="K1525" s="1" t="s">
        <v>5511</v>
      </c>
      <c r="L1525" s="5">
        <f>XLOOKUP(N1525, uom!C:C, uom!B:B, "Not Found")</f>
      </c>
      <c r="M1525" s="1" t="s">
        <v>5511</v>
      </c>
      <c r="N1525" s="8" t="s">
        <v>5512</v>
      </c>
      <c r="O1525" s="1" t="s">
        <v>5513</v>
      </c>
      <c r="P1525" s="5">
        <f>XLOOKUP(R1525, classification!C:C, classification!B:B, "Not Found")</f>
      </c>
      <c r="Q1525" s="1" t="s">
        <v>5514</v>
      </c>
      <c r="R1525" s="2"/>
      <c r="S1525" s="2"/>
      <c r="T1525" s="2"/>
      <c r="U1525" s="2"/>
    </row>
    <row x14ac:dyDescent="0.25" r="1526" customHeight="1" ht="17.25">
      <c r="A1526" s="7">
        <v>1525</v>
      </c>
      <c r="B1526" s="1" t="s">
        <v>6945</v>
      </c>
      <c r="C1526" s="5">
        <f>CONCATENATE("PD", TEXT(A1526, "1000000"))</f>
      </c>
      <c r="D1526" s="7">
        <v>74</v>
      </c>
      <c r="E1526" s="5">
        <f>XLOOKUP(G1526, item_category!C:C, item_category!B:B, "Not Found")</f>
      </c>
      <c r="F1526" s="1" t="s">
        <v>5520</v>
      </c>
      <c r="G1526" s="5">
        <f>XLOOKUP(I1526, drug!B:B, drug!A:A, "Not Found")</f>
      </c>
      <c r="H1526" s="1"/>
      <c r="I1526" s="7">
        <v>1</v>
      </c>
      <c r="J1526" s="5">
        <f>XLOOKUP(L1526, uom!C:C, uom!B:B, "Not Found")</f>
      </c>
      <c r="K1526" s="1" t="s">
        <v>5511</v>
      </c>
      <c r="L1526" s="5">
        <f>XLOOKUP(N1526, uom!C:C, uom!B:B, "Not Found")</f>
      </c>
      <c r="M1526" s="1" t="s">
        <v>5511</v>
      </c>
      <c r="N1526" s="8" t="s">
        <v>5512</v>
      </c>
      <c r="O1526" s="1" t="s">
        <v>5513</v>
      </c>
      <c r="P1526" s="5">
        <f>XLOOKUP(R1526, classification!C:C, classification!B:B, "Not Found")</f>
      </c>
      <c r="Q1526" s="1" t="s">
        <v>5514</v>
      </c>
      <c r="R1526" s="2"/>
      <c r="S1526" s="2"/>
      <c r="T1526" s="2"/>
      <c r="U1526" s="2"/>
    </row>
    <row x14ac:dyDescent="0.25" r="1527" customHeight="1" ht="17.25">
      <c r="A1527" s="7">
        <v>1526</v>
      </c>
      <c r="B1527" s="1" t="s">
        <v>6946</v>
      </c>
      <c r="C1527" s="5">
        <f>CONCATENATE("PD", TEXT(A1527, "1000000"))</f>
      </c>
      <c r="D1527" s="7">
        <v>74</v>
      </c>
      <c r="E1527" s="5">
        <f>XLOOKUP(G1527, item_category!C:C, item_category!B:B, "Not Found")</f>
      </c>
      <c r="F1527" s="1" t="s">
        <v>5520</v>
      </c>
      <c r="G1527" s="5">
        <f>XLOOKUP(I1527, drug!B:B, drug!A:A, "Not Found")</f>
      </c>
      <c r="H1527" s="1" t="s">
        <v>1942</v>
      </c>
      <c r="I1527" s="7">
        <v>1</v>
      </c>
      <c r="J1527" s="5">
        <f>XLOOKUP(L1527, uom!C:C, uom!B:B, "Not Found")</f>
      </c>
      <c r="K1527" s="1" t="s">
        <v>5511</v>
      </c>
      <c r="L1527" s="5">
        <f>XLOOKUP(N1527, uom!C:C, uom!B:B, "Not Found")</f>
      </c>
      <c r="M1527" s="1" t="s">
        <v>5511</v>
      </c>
      <c r="N1527" s="8" t="s">
        <v>5512</v>
      </c>
      <c r="O1527" s="1" t="s">
        <v>5513</v>
      </c>
      <c r="P1527" s="5">
        <f>XLOOKUP(R1527, classification!C:C, classification!B:B, "Not Found")</f>
      </c>
      <c r="Q1527" s="1" t="s">
        <v>5514</v>
      </c>
      <c r="R1527" s="2"/>
      <c r="S1527" s="2"/>
      <c r="T1527" s="2"/>
      <c r="U1527" s="2"/>
    </row>
    <row x14ac:dyDescent="0.25" r="1528" customHeight="1" ht="17.25">
      <c r="A1528" s="7">
        <v>1527</v>
      </c>
      <c r="B1528" s="1" t="s">
        <v>6947</v>
      </c>
      <c r="C1528" s="5">
        <f>CONCATENATE("PD", TEXT(A1528, "1000000"))</f>
      </c>
      <c r="D1528" s="7">
        <v>74</v>
      </c>
      <c r="E1528" s="5">
        <f>XLOOKUP(G1528, item_category!C:C, item_category!B:B, "Not Found")</f>
      </c>
      <c r="F1528" s="1" t="s">
        <v>5520</v>
      </c>
      <c r="G1528" s="5">
        <f>XLOOKUP(I1528, drug!B:B, drug!A:A, "Not Found")</f>
      </c>
      <c r="H1528" s="1"/>
      <c r="I1528" s="7">
        <v>1</v>
      </c>
      <c r="J1528" s="5">
        <f>XLOOKUP(L1528, uom!C:C, uom!B:B, "Not Found")</f>
      </c>
      <c r="K1528" s="1" t="s">
        <v>5511</v>
      </c>
      <c r="L1528" s="5">
        <f>XLOOKUP(N1528, uom!C:C, uom!B:B, "Not Found")</f>
      </c>
      <c r="M1528" s="1" t="s">
        <v>5511</v>
      </c>
      <c r="N1528" s="8" t="s">
        <v>5512</v>
      </c>
      <c r="O1528" s="1" t="s">
        <v>5513</v>
      </c>
      <c r="P1528" s="5">
        <f>XLOOKUP(R1528, classification!C:C, classification!B:B, "Not Found")</f>
      </c>
      <c r="Q1528" s="1" t="s">
        <v>5514</v>
      </c>
      <c r="R1528" s="2"/>
      <c r="S1528" s="2"/>
      <c r="T1528" s="2"/>
      <c r="U1528" s="2"/>
    </row>
    <row x14ac:dyDescent="0.25" r="1529" customHeight="1" ht="17.25">
      <c r="A1529" s="7">
        <v>1528</v>
      </c>
      <c r="B1529" s="1" t="s">
        <v>6948</v>
      </c>
      <c r="C1529" s="5">
        <f>CONCATENATE("PD", TEXT(A1529, "1000000"))</f>
      </c>
      <c r="D1529" s="7">
        <v>74</v>
      </c>
      <c r="E1529" s="5">
        <f>XLOOKUP(G1529, item_category!C:C, item_category!B:B, "Not Found")</f>
      </c>
      <c r="F1529" s="1" t="s">
        <v>5520</v>
      </c>
      <c r="G1529" s="5">
        <f>XLOOKUP(I1529, drug!B:B, drug!A:A, "Not Found")</f>
      </c>
      <c r="H1529" s="1"/>
      <c r="I1529" s="7">
        <v>1</v>
      </c>
      <c r="J1529" s="5">
        <f>XLOOKUP(L1529, uom!C:C, uom!B:B, "Not Found")</f>
      </c>
      <c r="K1529" s="1" t="s">
        <v>5511</v>
      </c>
      <c r="L1529" s="5">
        <f>XLOOKUP(N1529, uom!C:C, uom!B:B, "Not Found")</f>
      </c>
      <c r="M1529" s="1" t="s">
        <v>5511</v>
      </c>
      <c r="N1529" s="8" t="s">
        <v>5512</v>
      </c>
      <c r="O1529" s="1" t="s">
        <v>5513</v>
      </c>
      <c r="P1529" s="5">
        <f>XLOOKUP(R1529, classification!C:C, classification!B:B, "Not Found")</f>
      </c>
      <c r="Q1529" s="1" t="s">
        <v>5514</v>
      </c>
      <c r="R1529" s="2"/>
      <c r="S1529" s="2"/>
      <c r="T1529" s="2"/>
      <c r="U1529" s="2"/>
    </row>
    <row x14ac:dyDescent="0.25" r="1530" customHeight="1" ht="17.25">
      <c r="A1530" s="7">
        <v>1529</v>
      </c>
      <c r="B1530" s="1" t="s">
        <v>6949</v>
      </c>
      <c r="C1530" s="5">
        <f>CONCATENATE("PD", TEXT(A1530, "1000000"))</f>
      </c>
      <c r="D1530" s="7">
        <v>74</v>
      </c>
      <c r="E1530" s="5">
        <f>XLOOKUP(G1530, item_category!C:C, item_category!B:B, "Not Found")</f>
      </c>
      <c r="F1530" s="1" t="s">
        <v>5520</v>
      </c>
      <c r="G1530" s="5">
        <f>XLOOKUP(I1530, drug!B:B, drug!A:A, "Not Found")</f>
      </c>
      <c r="H1530" s="1" t="s">
        <v>1942</v>
      </c>
      <c r="I1530" s="7">
        <v>1</v>
      </c>
      <c r="J1530" s="5">
        <f>XLOOKUP(L1530, uom!C:C, uom!B:B, "Not Found")</f>
      </c>
      <c r="K1530" s="1" t="s">
        <v>5511</v>
      </c>
      <c r="L1530" s="5">
        <f>XLOOKUP(N1530, uom!C:C, uom!B:B, "Not Found")</f>
      </c>
      <c r="M1530" s="1" t="s">
        <v>5511</v>
      </c>
      <c r="N1530" s="8" t="s">
        <v>5512</v>
      </c>
      <c r="O1530" s="1" t="s">
        <v>5513</v>
      </c>
      <c r="P1530" s="5">
        <f>XLOOKUP(R1530, classification!C:C, classification!B:B, "Not Found")</f>
      </c>
      <c r="Q1530" s="1" t="s">
        <v>5514</v>
      </c>
      <c r="R1530" s="2"/>
      <c r="S1530" s="2"/>
      <c r="T1530" s="2"/>
      <c r="U1530" s="2"/>
    </row>
    <row x14ac:dyDescent="0.25" r="1531" customHeight="1" ht="17.25">
      <c r="A1531" s="7">
        <v>1530</v>
      </c>
      <c r="B1531" s="1" t="s">
        <v>2786</v>
      </c>
      <c r="C1531" s="5">
        <f>CONCATENATE("PD", TEXT(A1531, "1000000"))</f>
      </c>
      <c r="D1531" s="7">
        <v>74</v>
      </c>
      <c r="E1531" s="5">
        <f>XLOOKUP(G1531, item_category!C:C, item_category!B:B, "Not Found")</f>
      </c>
      <c r="F1531" s="1" t="s">
        <v>5520</v>
      </c>
      <c r="G1531" s="5">
        <f>XLOOKUP(I1531, drug!B:B, drug!A:A, "Not Found")</f>
      </c>
      <c r="H1531" s="1"/>
      <c r="I1531" s="7">
        <v>1</v>
      </c>
      <c r="J1531" s="5">
        <f>XLOOKUP(L1531, uom!C:C, uom!B:B, "Not Found")</f>
      </c>
      <c r="K1531" s="1" t="s">
        <v>5511</v>
      </c>
      <c r="L1531" s="5">
        <f>XLOOKUP(N1531, uom!C:C, uom!B:B, "Not Found")</f>
      </c>
      <c r="M1531" s="1" t="s">
        <v>5511</v>
      </c>
      <c r="N1531" s="8" t="s">
        <v>5512</v>
      </c>
      <c r="O1531" s="1" t="s">
        <v>5513</v>
      </c>
      <c r="P1531" s="5">
        <f>XLOOKUP(R1531, classification!C:C, classification!B:B, "Not Found")</f>
      </c>
      <c r="Q1531" s="1" t="s">
        <v>5514</v>
      </c>
      <c r="R1531" s="2"/>
      <c r="S1531" s="2"/>
      <c r="T1531" s="2"/>
      <c r="U1531" s="2"/>
    </row>
    <row x14ac:dyDescent="0.25" r="1532" customHeight="1" ht="17.25">
      <c r="A1532" s="7">
        <v>1531</v>
      </c>
      <c r="B1532" s="1" t="s">
        <v>6950</v>
      </c>
      <c r="C1532" s="5">
        <f>CONCATENATE("PD", TEXT(A1532, "1000000"))</f>
      </c>
      <c r="D1532" s="7">
        <v>74</v>
      </c>
      <c r="E1532" s="5">
        <f>XLOOKUP(G1532, item_category!C:C, item_category!B:B, "Not Found")</f>
      </c>
      <c r="F1532" s="1" t="s">
        <v>5520</v>
      </c>
      <c r="G1532" s="5">
        <f>XLOOKUP(I1532, drug!B:B, drug!A:A, "Not Found")</f>
      </c>
      <c r="H1532" s="1"/>
      <c r="I1532" s="7">
        <v>1</v>
      </c>
      <c r="J1532" s="5">
        <f>XLOOKUP(L1532, uom!C:C, uom!B:B, "Not Found")</f>
      </c>
      <c r="K1532" s="1" t="s">
        <v>5511</v>
      </c>
      <c r="L1532" s="5">
        <f>XLOOKUP(N1532, uom!C:C, uom!B:B, "Not Found")</f>
      </c>
      <c r="M1532" s="1" t="s">
        <v>5511</v>
      </c>
      <c r="N1532" s="8" t="s">
        <v>5512</v>
      </c>
      <c r="O1532" s="1" t="s">
        <v>5513</v>
      </c>
      <c r="P1532" s="5">
        <f>XLOOKUP(R1532, classification!C:C, classification!B:B, "Not Found")</f>
      </c>
      <c r="Q1532" s="1" t="s">
        <v>5514</v>
      </c>
      <c r="R1532" s="2"/>
      <c r="S1532" s="2"/>
      <c r="T1532" s="2"/>
      <c r="U1532" s="2"/>
    </row>
    <row x14ac:dyDescent="0.25" r="1533" customHeight="1" ht="17.25">
      <c r="A1533" s="7">
        <v>1532</v>
      </c>
      <c r="B1533" s="1" t="s">
        <v>6951</v>
      </c>
      <c r="C1533" s="5">
        <f>CONCATENATE("PD", TEXT(A1533, "1000000"))</f>
      </c>
      <c r="D1533" s="7">
        <v>74</v>
      </c>
      <c r="E1533" s="5">
        <f>XLOOKUP(G1533, item_category!C:C, item_category!B:B, "Not Found")</f>
      </c>
      <c r="F1533" s="1" t="s">
        <v>5520</v>
      </c>
      <c r="G1533" s="5">
        <f>XLOOKUP(I1533, drug!B:B, drug!A:A, "Not Found")</f>
      </c>
      <c r="H1533" s="1" t="s">
        <v>1222</v>
      </c>
      <c r="I1533" s="7">
        <v>200</v>
      </c>
      <c r="J1533" s="5">
        <f>XLOOKUP(L1533, uom!C:C, uom!B:B, "Not Found")</f>
      </c>
      <c r="K1533" s="1" t="s">
        <v>5544</v>
      </c>
      <c r="L1533" s="5">
        <f>XLOOKUP(N1533, uom!C:C, uom!B:B, "Not Found")</f>
      </c>
      <c r="M1533" s="1" t="s">
        <v>5544</v>
      </c>
      <c r="N1533" s="8" t="s">
        <v>5524</v>
      </c>
      <c r="O1533" s="1" t="s">
        <v>5525</v>
      </c>
      <c r="P1533" s="5">
        <f>XLOOKUP(R1533, classification!C:C, classification!B:B, "Not Found")</f>
      </c>
      <c r="Q1533" s="1" t="s">
        <v>5514</v>
      </c>
      <c r="R1533" s="2"/>
      <c r="S1533" s="2"/>
      <c r="T1533" s="2"/>
      <c r="U1533" s="2"/>
    </row>
    <row x14ac:dyDescent="0.25" r="1534" customHeight="1" ht="17.25">
      <c r="A1534" s="7">
        <v>1533</v>
      </c>
      <c r="B1534" s="1" t="s">
        <v>6952</v>
      </c>
      <c r="C1534" s="5">
        <f>CONCATENATE("PD", TEXT(A1534, "1000000"))</f>
      </c>
      <c r="D1534" s="7">
        <v>74</v>
      </c>
      <c r="E1534" s="5">
        <f>XLOOKUP(G1534, item_category!C:C, item_category!B:B, "Not Found")</f>
      </c>
      <c r="F1534" s="1" t="s">
        <v>5520</v>
      </c>
      <c r="G1534" s="5">
        <f>XLOOKUP(I1534, drug!B:B, drug!A:A, "Not Found")</f>
      </c>
      <c r="H1534" s="1"/>
      <c r="I1534" s="7">
        <v>1</v>
      </c>
      <c r="J1534" s="5">
        <f>XLOOKUP(L1534, uom!C:C, uom!B:B, "Not Found")</f>
      </c>
      <c r="K1534" s="1" t="s">
        <v>5511</v>
      </c>
      <c r="L1534" s="5">
        <f>XLOOKUP(N1534, uom!C:C, uom!B:B, "Not Found")</f>
      </c>
      <c r="M1534" s="1" t="s">
        <v>5511</v>
      </c>
      <c r="N1534" s="8" t="s">
        <v>5512</v>
      </c>
      <c r="O1534" s="1" t="s">
        <v>5513</v>
      </c>
      <c r="P1534" s="5">
        <f>XLOOKUP(R1534, classification!C:C, classification!B:B, "Not Found")</f>
      </c>
      <c r="Q1534" s="1" t="s">
        <v>5514</v>
      </c>
      <c r="R1534" s="2"/>
      <c r="S1534" s="2"/>
      <c r="T1534" s="2"/>
      <c r="U1534" s="2"/>
    </row>
    <row x14ac:dyDescent="0.25" r="1535" customHeight="1" ht="17.25">
      <c r="A1535" s="7">
        <v>1534</v>
      </c>
      <c r="B1535" s="1" t="s">
        <v>2790</v>
      </c>
      <c r="C1535" s="5">
        <f>CONCATENATE("PD", TEXT(A1535, "1000000"))</f>
      </c>
      <c r="D1535" s="7">
        <v>74</v>
      </c>
      <c r="E1535" s="5">
        <f>XLOOKUP(G1535, item_category!C:C, item_category!B:B, "Not Found")</f>
      </c>
      <c r="F1535" s="1" t="s">
        <v>5520</v>
      </c>
      <c r="G1535" s="5">
        <f>XLOOKUP(I1535, drug!B:B, drug!A:A, "Not Found")</f>
      </c>
      <c r="H1535" s="1"/>
      <c r="I1535" s="7">
        <v>1</v>
      </c>
      <c r="J1535" s="5">
        <f>XLOOKUP(L1535, uom!C:C, uom!B:B, "Not Found")</f>
      </c>
      <c r="K1535" s="1" t="s">
        <v>5511</v>
      </c>
      <c r="L1535" s="5">
        <f>XLOOKUP(N1535, uom!C:C, uom!B:B, "Not Found")</f>
      </c>
      <c r="M1535" s="1" t="s">
        <v>5511</v>
      </c>
      <c r="N1535" s="8" t="s">
        <v>5512</v>
      </c>
      <c r="O1535" s="1" t="s">
        <v>5513</v>
      </c>
      <c r="P1535" s="5">
        <f>XLOOKUP(R1535, classification!C:C, classification!B:B, "Not Found")</f>
      </c>
      <c r="Q1535" s="1" t="s">
        <v>5514</v>
      </c>
      <c r="R1535" s="2"/>
      <c r="S1535" s="2"/>
      <c r="T1535" s="2"/>
      <c r="U1535" s="2"/>
    </row>
    <row x14ac:dyDescent="0.25" r="1536" customHeight="1" ht="17.25">
      <c r="A1536" s="7">
        <v>1535</v>
      </c>
      <c r="B1536" s="1" t="s">
        <v>6953</v>
      </c>
      <c r="C1536" s="5">
        <f>CONCATENATE("PD", TEXT(A1536, "1000000"))</f>
      </c>
      <c r="D1536" s="7">
        <v>74</v>
      </c>
      <c r="E1536" s="5">
        <f>XLOOKUP(G1536, item_category!C:C, item_category!B:B, "Not Found")</f>
      </c>
      <c r="F1536" s="1" t="s">
        <v>5520</v>
      </c>
      <c r="G1536" s="5">
        <f>XLOOKUP(I1536, drug!B:B, drug!A:A, "Not Found")</f>
      </c>
      <c r="H1536" s="1" t="s">
        <v>1588</v>
      </c>
      <c r="I1536" s="7">
        <v>1</v>
      </c>
      <c r="J1536" s="5">
        <f>XLOOKUP(L1536, uom!C:C, uom!B:B, "Not Found")</f>
      </c>
      <c r="K1536" s="1" t="s">
        <v>5511</v>
      </c>
      <c r="L1536" s="5">
        <f>XLOOKUP(N1536, uom!C:C, uom!B:B, "Not Found")</f>
      </c>
      <c r="M1536" s="1" t="s">
        <v>5511</v>
      </c>
      <c r="N1536" s="8" t="s">
        <v>5512</v>
      </c>
      <c r="O1536" s="1" t="s">
        <v>5513</v>
      </c>
      <c r="P1536" s="5">
        <f>XLOOKUP(R1536, classification!C:C, classification!B:B, "Not Found")</f>
      </c>
      <c r="Q1536" s="1" t="s">
        <v>5514</v>
      </c>
      <c r="R1536" s="2"/>
      <c r="S1536" s="2"/>
      <c r="T1536" s="2"/>
      <c r="U1536" s="2"/>
    </row>
    <row x14ac:dyDescent="0.25" r="1537" customHeight="1" ht="17.25">
      <c r="A1537" s="7">
        <v>1536</v>
      </c>
      <c r="B1537" s="1" t="s">
        <v>6954</v>
      </c>
      <c r="C1537" s="5">
        <f>CONCATENATE("PD", TEXT(A1537, "1000000"))</f>
      </c>
      <c r="D1537" s="7">
        <v>74</v>
      </c>
      <c r="E1537" s="5">
        <f>XLOOKUP(G1537, item_category!C:C, item_category!B:B, "Not Found")</f>
      </c>
      <c r="F1537" s="1" t="s">
        <v>5520</v>
      </c>
      <c r="G1537" s="5">
        <f>XLOOKUP(I1537, drug!B:B, drug!A:A, "Not Found")</f>
      </c>
      <c r="H1537" s="1" t="s">
        <v>1588</v>
      </c>
      <c r="I1537" s="7">
        <v>1</v>
      </c>
      <c r="J1537" s="5">
        <f>XLOOKUP(L1537, uom!C:C, uom!B:B, "Not Found")</f>
      </c>
      <c r="K1537" s="1" t="s">
        <v>5511</v>
      </c>
      <c r="L1537" s="5">
        <f>XLOOKUP(N1537, uom!C:C, uom!B:B, "Not Found")</f>
      </c>
      <c r="M1537" s="1" t="s">
        <v>5511</v>
      </c>
      <c r="N1537" s="8" t="s">
        <v>5512</v>
      </c>
      <c r="O1537" s="1" t="s">
        <v>5513</v>
      </c>
      <c r="P1537" s="5">
        <f>XLOOKUP(R1537, classification!C:C, classification!B:B, "Not Found")</f>
      </c>
      <c r="Q1537" s="1" t="s">
        <v>5514</v>
      </c>
      <c r="R1537" s="2"/>
      <c r="S1537" s="2"/>
      <c r="T1537" s="2"/>
      <c r="U1537" s="2"/>
    </row>
    <row x14ac:dyDescent="0.25" r="1538" customHeight="1" ht="17.25">
      <c r="A1538" s="7">
        <v>1537</v>
      </c>
      <c r="B1538" s="1" t="s">
        <v>6955</v>
      </c>
      <c r="C1538" s="5">
        <f>CONCATENATE("PD", TEXT(A1538, "1000000"))</f>
      </c>
      <c r="D1538" s="7">
        <v>74</v>
      </c>
      <c r="E1538" s="5">
        <f>XLOOKUP(G1538, item_category!C:C, item_category!B:B, "Not Found")</f>
      </c>
      <c r="F1538" s="1" t="s">
        <v>5520</v>
      </c>
      <c r="G1538" s="5">
        <f>XLOOKUP(I1538, drug!B:B, drug!A:A, "Not Found")</f>
      </c>
      <c r="H1538" s="1"/>
      <c r="I1538" s="7">
        <v>1</v>
      </c>
      <c r="J1538" s="5">
        <f>XLOOKUP(L1538, uom!C:C, uom!B:B, "Not Found")</f>
      </c>
      <c r="K1538" s="1" t="s">
        <v>5511</v>
      </c>
      <c r="L1538" s="5">
        <f>XLOOKUP(N1538, uom!C:C, uom!B:B, "Not Found")</f>
      </c>
      <c r="M1538" s="1" t="s">
        <v>5511</v>
      </c>
      <c r="N1538" s="8" t="s">
        <v>5512</v>
      </c>
      <c r="O1538" s="1" t="s">
        <v>5513</v>
      </c>
      <c r="P1538" s="5">
        <f>XLOOKUP(R1538, classification!C:C, classification!B:B, "Not Found")</f>
      </c>
      <c r="Q1538" s="1" t="s">
        <v>5514</v>
      </c>
      <c r="R1538" s="2"/>
      <c r="S1538" s="2"/>
      <c r="T1538" s="2"/>
      <c r="U1538" s="2"/>
    </row>
    <row x14ac:dyDescent="0.25" r="1539" customHeight="1" ht="17.25">
      <c r="A1539" s="7">
        <v>1538</v>
      </c>
      <c r="B1539" s="1" t="s">
        <v>6956</v>
      </c>
      <c r="C1539" s="5">
        <f>CONCATENATE("PD", TEXT(A1539, "1000000"))</f>
      </c>
      <c r="D1539" s="7">
        <v>74</v>
      </c>
      <c r="E1539" s="5">
        <f>XLOOKUP(G1539, item_category!C:C, item_category!B:B, "Not Found")</f>
      </c>
      <c r="F1539" s="1" t="s">
        <v>5520</v>
      </c>
      <c r="G1539" s="5">
        <f>XLOOKUP(I1539, drug!B:B, drug!A:A, "Not Found")</f>
      </c>
      <c r="H1539" s="1"/>
      <c r="I1539" s="7">
        <v>1</v>
      </c>
      <c r="J1539" s="5">
        <f>XLOOKUP(L1539, uom!C:C, uom!B:B, "Not Found")</f>
      </c>
      <c r="K1539" s="1" t="s">
        <v>5511</v>
      </c>
      <c r="L1539" s="5">
        <f>XLOOKUP(N1539, uom!C:C, uom!B:B, "Not Found")</f>
      </c>
      <c r="M1539" s="1" t="s">
        <v>5511</v>
      </c>
      <c r="N1539" s="8" t="s">
        <v>5512</v>
      </c>
      <c r="O1539" s="1" t="s">
        <v>5513</v>
      </c>
      <c r="P1539" s="5">
        <f>XLOOKUP(R1539, classification!C:C, classification!B:B, "Not Found")</f>
      </c>
      <c r="Q1539" s="1" t="s">
        <v>5514</v>
      </c>
      <c r="R1539" s="2"/>
      <c r="S1539" s="2"/>
      <c r="T1539" s="2"/>
      <c r="U1539" s="2"/>
    </row>
    <row x14ac:dyDescent="0.25" r="1540" customHeight="1" ht="17.25">
      <c r="A1540" s="7">
        <v>1539</v>
      </c>
      <c r="B1540" s="1" t="s">
        <v>6957</v>
      </c>
      <c r="C1540" s="5">
        <f>CONCATENATE("PD", TEXT(A1540, "1000000"))</f>
      </c>
      <c r="D1540" s="7">
        <v>74</v>
      </c>
      <c r="E1540" s="5">
        <f>XLOOKUP(G1540, item_category!C:C, item_category!B:B, "Not Found")</f>
      </c>
      <c r="F1540" s="1" t="s">
        <v>5520</v>
      </c>
      <c r="G1540" s="5">
        <f>XLOOKUP(I1540, drug!B:B, drug!A:A, "Not Found")</f>
      </c>
      <c r="H1540" s="1" t="s">
        <v>426</v>
      </c>
      <c r="I1540" s="7">
        <v>1</v>
      </c>
      <c r="J1540" s="5">
        <f>XLOOKUP(L1540, uom!C:C, uom!B:B, "Not Found")</f>
      </c>
      <c r="K1540" s="1" t="s">
        <v>5511</v>
      </c>
      <c r="L1540" s="5">
        <f>XLOOKUP(N1540, uom!C:C, uom!B:B, "Not Found")</f>
      </c>
      <c r="M1540" s="1" t="s">
        <v>5511</v>
      </c>
      <c r="N1540" s="8" t="s">
        <v>5512</v>
      </c>
      <c r="O1540" s="1" t="s">
        <v>5513</v>
      </c>
      <c r="P1540" s="5">
        <f>XLOOKUP(R1540, classification!C:C, classification!B:B, "Not Found")</f>
      </c>
      <c r="Q1540" s="1" t="s">
        <v>5514</v>
      </c>
      <c r="R1540" s="2"/>
      <c r="S1540" s="2"/>
      <c r="T1540" s="2"/>
      <c r="U1540" s="2"/>
    </row>
    <row x14ac:dyDescent="0.25" r="1541" customHeight="1" ht="17.25">
      <c r="A1541" s="7">
        <v>1540</v>
      </c>
      <c r="B1541" s="1" t="s">
        <v>6958</v>
      </c>
      <c r="C1541" s="5">
        <f>CONCATENATE("PD", TEXT(A1541, "1000000"))</f>
      </c>
      <c r="D1541" s="7">
        <v>74</v>
      </c>
      <c r="E1541" s="5">
        <f>XLOOKUP(G1541, item_category!C:C, item_category!B:B, "Not Found")</f>
      </c>
      <c r="F1541" s="1" t="s">
        <v>5520</v>
      </c>
      <c r="G1541" s="5">
        <f>XLOOKUP(I1541, drug!B:B, drug!A:A, "Not Found")</f>
      </c>
      <c r="H1541" s="1"/>
      <c r="I1541" s="7">
        <v>1</v>
      </c>
      <c r="J1541" s="5">
        <f>XLOOKUP(L1541, uom!C:C, uom!B:B, "Not Found")</f>
      </c>
      <c r="K1541" s="1" t="s">
        <v>5511</v>
      </c>
      <c r="L1541" s="5">
        <f>XLOOKUP(N1541, uom!C:C, uom!B:B, "Not Found")</f>
      </c>
      <c r="M1541" s="1" t="s">
        <v>5511</v>
      </c>
      <c r="N1541" s="8" t="s">
        <v>5512</v>
      </c>
      <c r="O1541" s="1" t="s">
        <v>5513</v>
      </c>
      <c r="P1541" s="5">
        <f>XLOOKUP(R1541, classification!C:C, classification!B:B, "Not Found")</f>
      </c>
      <c r="Q1541" s="1" t="s">
        <v>5514</v>
      </c>
      <c r="R1541" s="2"/>
      <c r="S1541" s="2"/>
      <c r="T1541" s="2"/>
      <c r="U1541" s="2"/>
    </row>
    <row x14ac:dyDescent="0.25" r="1542" customHeight="1" ht="17.25">
      <c r="A1542" s="7">
        <v>1541</v>
      </c>
      <c r="B1542" s="1" t="s">
        <v>6959</v>
      </c>
      <c r="C1542" s="5">
        <f>CONCATENATE("PD", TEXT(A1542, "1000000"))</f>
      </c>
      <c r="D1542" s="7">
        <v>74</v>
      </c>
      <c r="E1542" s="5">
        <f>XLOOKUP(G1542, item_category!C:C, item_category!B:B, "Not Found")</f>
      </c>
      <c r="F1542" s="1" t="s">
        <v>5520</v>
      </c>
      <c r="G1542" s="5">
        <f>XLOOKUP(I1542, drug!B:B, drug!A:A, "Not Found")</f>
      </c>
      <c r="H1542" s="1"/>
      <c r="I1542" s="7">
        <v>1</v>
      </c>
      <c r="J1542" s="5">
        <f>XLOOKUP(L1542, uom!C:C, uom!B:B, "Not Found")</f>
      </c>
      <c r="K1542" s="1" t="s">
        <v>5511</v>
      </c>
      <c r="L1542" s="5">
        <f>XLOOKUP(N1542, uom!C:C, uom!B:B, "Not Found")</f>
      </c>
      <c r="M1542" s="1" t="s">
        <v>5511</v>
      </c>
      <c r="N1542" s="8" t="s">
        <v>5512</v>
      </c>
      <c r="O1542" s="1" t="s">
        <v>5513</v>
      </c>
      <c r="P1542" s="5">
        <f>XLOOKUP(R1542, classification!C:C, classification!B:B, "Not Found")</f>
      </c>
      <c r="Q1542" s="1" t="s">
        <v>5514</v>
      </c>
      <c r="R1542" s="2"/>
      <c r="S1542" s="2"/>
      <c r="T1542" s="2"/>
      <c r="U1542" s="2"/>
    </row>
    <row x14ac:dyDescent="0.25" r="1543" customHeight="1" ht="17.25">
      <c r="A1543" s="7">
        <v>1542</v>
      </c>
      <c r="B1543" s="1" t="s">
        <v>6960</v>
      </c>
      <c r="C1543" s="5">
        <f>CONCATENATE("PD", TEXT(A1543, "1000000"))</f>
      </c>
      <c r="D1543" s="7">
        <v>74</v>
      </c>
      <c r="E1543" s="5">
        <f>XLOOKUP(G1543, item_category!C:C, item_category!B:B, "Not Found")</f>
      </c>
      <c r="F1543" s="1" t="s">
        <v>5520</v>
      </c>
      <c r="G1543" s="5">
        <f>XLOOKUP(I1543, drug!B:B, drug!A:A, "Not Found")</f>
      </c>
      <c r="H1543" s="1"/>
      <c r="I1543" s="7">
        <v>1</v>
      </c>
      <c r="J1543" s="5">
        <f>XLOOKUP(L1543, uom!C:C, uom!B:B, "Not Found")</f>
      </c>
      <c r="K1543" s="1" t="s">
        <v>5511</v>
      </c>
      <c r="L1543" s="5">
        <f>XLOOKUP(N1543, uom!C:C, uom!B:B, "Not Found")</f>
      </c>
      <c r="M1543" s="1" t="s">
        <v>5511</v>
      </c>
      <c r="N1543" s="8" t="s">
        <v>5512</v>
      </c>
      <c r="O1543" s="1" t="s">
        <v>5513</v>
      </c>
      <c r="P1543" s="5">
        <f>XLOOKUP(R1543, classification!C:C, classification!B:B, "Not Found")</f>
      </c>
      <c r="Q1543" s="1" t="s">
        <v>5514</v>
      </c>
      <c r="R1543" s="2"/>
      <c r="S1543" s="2"/>
      <c r="T1543" s="2"/>
      <c r="U1543" s="2"/>
    </row>
    <row x14ac:dyDescent="0.25" r="1544" customHeight="1" ht="17.25">
      <c r="A1544" s="7">
        <v>1543</v>
      </c>
      <c r="B1544" s="1" t="s">
        <v>6961</v>
      </c>
      <c r="C1544" s="5">
        <f>CONCATENATE("PD", TEXT(A1544, "1000000"))</f>
      </c>
      <c r="D1544" s="7">
        <v>74</v>
      </c>
      <c r="E1544" s="5">
        <f>XLOOKUP(G1544, item_category!C:C, item_category!B:B, "Not Found")</f>
      </c>
      <c r="F1544" s="1" t="s">
        <v>5520</v>
      </c>
      <c r="G1544" s="5">
        <f>XLOOKUP(I1544, drug!B:B, drug!A:A, "Not Found")</f>
      </c>
      <c r="H1544" s="1"/>
      <c r="I1544" s="7">
        <v>1</v>
      </c>
      <c r="J1544" s="5">
        <f>XLOOKUP(L1544, uom!C:C, uom!B:B, "Not Found")</f>
      </c>
      <c r="K1544" s="1" t="s">
        <v>5511</v>
      </c>
      <c r="L1544" s="5">
        <f>XLOOKUP(N1544, uom!C:C, uom!B:B, "Not Found")</f>
      </c>
      <c r="M1544" s="1" t="s">
        <v>5511</v>
      </c>
      <c r="N1544" s="8" t="s">
        <v>5512</v>
      </c>
      <c r="O1544" s="1" t="s">
        <v>5513</v>
      </c>
      <c r="P1544" s="5">
        <f>XLOOKUP(R1544, classification!C:C, classification!B:B, "Not Found")</f>
      </c>
      <c r="Q1544" s="1" t="s">
        <v>5514</v>
      </c>
      <c r="R1544" s="2"/>
      <c r="S1544" s="2"/>
      <c r="T1544" s="2"/>
      <c r="U1544" s="2"/>
    </row>
    <row x14ac:dyDescent="0.25" r="1545" customHeight="1" ht="17.25">
      <c r="A1545" s="7">
        <v>1544</v>
      </c>
      <c r="B1545" s="1" t="s">
        <v>6962</v>
      </c>
      <c r="C1545" s="5">
        <f>CONCATENATE("PD", TEXT(A1545, "1000000"))</f>
      </c>
      <c r="D1545" s="7">
        <v>74</v>
      </c>
      <c r="E1545" s="5">
        <f>XLOOKUP(G1545, item_category!C:C, item_category!B:B, "Not Found")</f>
      </c>
      <c r="F1545" s="1" t="s">
        <v>5520</v>
      </c>
      <c r="G1545" s="5">
        <f>XLOOKUP(I1545, drug!B:B, drug!A:A, "Not Found")</f>
      </c>
      <c r="H1545" s="1"/>
      <c r="I1545" s="7">
        <v>1</v>
      </c>
      <c r="J1545" s="5">
        <f>XLOOKUP(L1545, uom!C:C, uom!B:B, "Not Found")</f>
      </c>
      <c r="K1545" s="1" t="s">
        <v>5511</v>
      </c>
      <c r="L1545" s="5">
        <f>XLOOKUP(N1545, uom!C:C, uom!B:B, "Not Found")</f>
      </c>
      <c r="M1545" s="1" t="s">
        <v>5511</v>
      </c>
      <c r="N1545" s="8" t="s">
        <v>5512</v>
      </c>
      <c r="O1545" s="1" t="s">
        <v>5513</v>
      </c>
      <c r="P1545" s="5">
        <f>XLOOKUP(R1545, classification!C:C, classification!B:B, "Not Found")</f>
      </c>
      <c r="Q1545" s="1" t="s">
        <v>5514</v>
      </c>
      <c r="R1545" s="2"/>
      <c r="S1545" s="2"/>
      <c r="T1545" s="2"/>
      <c r="U1545" s="2"/>
    </row>
    <row x14ac:dyDescent="0.25" r="1546" customHeight="1" ht="17.25">
      <c r="A1546" s="7">
        <v>1545</v>
      </c>
      <c r="B1546" s="1" t="s">
        <v>6963</v>
      </c>
      <c r="C1546" s="5">
        <f>CONCATENATE("PD", TEXT(A1546, "1000000"))</f>
      </c>
      <c r="D1546" s="7">
        <v>74</v>
      </c>
      <c r="E1546" s="5">
        <f>XLOOKUP(G1546, item_category!C:C, item_category!B:B, "Not Found")</f>
      </c>
      <c r="F1546" s="1" t="s">
        <v>5520</v>
      </c>
      <c r="G1546" s="5">
        <f>XLOOKUP(I1546, drug!B:B, drug!A:A, "Not Found")</f>
      </c>
      <c r="H1546" s="1"/>
      <c r="I1546" s="7">
        <v>1</v>
      </c>
      <c r="J1546" s="5">
        <f>XLOOKUP(L1546, uom!C:C, uom!B:B, "Not Found")</f>
      </c>
      <c r="K1546" s="1" t="s">
        <v>5511</v>
      </c>
      <c r="L1546" s="5">
        <f>XLOOKUP(N1546, uom!C:C, uom!B:B, "Not Found")</f>
      </c>
      <c r="M1546" s="1" t="s">
        <v>5511</v>
      </c>
      <c r="N1546" s="8" t="s">
        <v>5512</v>
      </c>
      <c r="O1546" s="1" t="s">
        <v>5513</v>
      </c>
      <c r="P1546" s="5">
        <f>XLOOKUP(R1546, classification!C:C, classification!B:B, "Not Found")</f>
      </c>
      <c r="Q1546" s="1" t="s">
        <v>5514</v>
      </c>
      <c r="R1546" s="2"/>
      <c r="S1546" s="2"/>
      <c r="T1546" s="2"/>
      <c r="U1546" s="2"/>
    </row>
    <row x14ac:dyDescent="0.25" r="1547" customHeight="1" ht="17.25">
      <c r="A1547" s="7">
        <v>1546</v>
      </c>
      <c r="B1547" s="1" t="s">
        <v>6964</v>
      </c>
      <c r="C1547" s="5">
        <f>CONCATENATE("PD", TEXT(A1547, "1000000"))</f>
      </c>
      <c r="D1547" s="7">
        <v>74</v>
      </c>
      <c r="E1547" s="5">
        <f>XLOOKUP(G1547, item_category!C:C, item_category!B:B, "Not Found")</f>
      </c>
      <c r="F1547" s="1" t="s">
        <v>5520</v>
      </c>
      <c r="G1547" s="5">
        <f>XLOOKUP(I1547, drug!B:B, drug!A:A, "Not Found")</f>
      </c>
      <c r="H1547" s="1"/>
      <c r="I1547" s="7">
        <v>1</v>
      </c>
      <c r="J1547" s="5">
        <f>XLOOKUP(L1547, uom!C:C, uom!B:B, "Not Found")</f>
      </c>
      <c r="K1547" s="1" t="s">
        <v>5511</v>
      </c>
      <c r="L1547" s="5">
        <f>XLOOKUP(N1547, uom!C:C, uom!B:B, "Not Found")</f>
      </c>
      <c r="M1547" s="1" t="s">
        <v>5511</v>
      </c>
      <c r="N1547" s="8" t="s">
        <v>5512</v>
      </c>
      <c r="O1547" s="1" t="s">
        <v>5513</v>
      </c>
      <c r="P1547" s="5">
        <f>XLOOKUP(R1547, classification!C:C, classification!B:B, "Not Found")</f>
      </c>
      <c r="Q1547" s="1" t="s">
        <v>5514</v>
      </c>
      <c r="R1547" s="2"/>
      <c r="S1547" s="2"/>
      <c r="T1547" s="2"/>
      <c r="U1547" s="2"/>
    </row>
    <row x14ac:dyDescent="0.25" r="1548" customHeight="1" ht="17.25">
      <c r="A1548" s="7">
        <v>1547</v>
      </c>
      <c r="B1548" s="1" t="s">
        <v>6965</v>
      </c>
      <c r="C1548" s="5">
        <f>CONCATENATE("PD", TEXT(A1548, "1000000"))</f>
      </c>
      <c r="D1548" s="7">
        <v>74</v>
      </c>
      <c r="E1548" s="5">
        <f>XLOOKUP(G1548, item_category!C:C, item_category!B:B, "Not Found")</f>
      </c>
      <c r="F1548" s="1" t="s">
        <v>5520</v>
      </c>
      <c r="G1548" s="5">
        <f>XLOOKUP(I1548, drug!B:B, drug!A:A, "Not Found")</f>
      </c>
      <c r="H1548" s="1"/>
      <c r="I1548" s="7">
        <v>1</v>
      </c>
      <c r="J1548" s="5">
        <f>XLOOKUP(L1548, uom!C:C, uom!B:B, "Not Found")</f>
      </c>
      <c r="K1548" s="1" t="s">
        <v>5511</v>
      </c>
      <c r="L1548" s="5">
        <f>XLOOKUP(N1548, uom!C:C, uom!B:B, "Not Found")</f>
      </c>
      <c r="M1548" s="1" t="s">
        <v>5511</v>
      </c>
      <c r="N1548" s="8" t="s">
        <v>5512</v>
      </c>
      <c r="O1548" s="1" t="s">
        <v>5513</v>
      </c>
      <c r="P1548" s="5">
        <f>XLOOKUP(R1548, classification!C:C, classification!B:B, "Not Found")</f>
      </c>
      <c r="Q1548" s="1" t="s">
        <v>5514</v>
      </c>
      <c r="R1548" s="2"/>
      <c r="S1548" s="2"/>
      <c r="T1548" s="2"/>
      <c r="U1548" s="2"/>
    </row>
    <row x14ac:dyDescent="0.25" r="1549" customHeight="1" ht="17.25">
      <c r="A1549" s="7">
        <v>1548</v>
      </c>
      <c r="B1549" s="1" t="s">
        <v>6966</v>
      </c>
      <c r="C1549" s="5">
        <f>CONCATENATE("PD", TEXT(A1549, "1000000"))</f>
      </c>
      <c r="D1549" s="7">
        <v>74</v>
      </c>
      <c r="E1549" s="5">
        <f>XLOOKUP(G1549, item_category!C:C, item_category!B:B, "Not Found")</f>
      </c>
      <c r="F1549" s="1" t="s">
        <v>5520</v>
      </c>
      <c r="G1549" s="5">
        <f>XLOOKUP(I1549, drug!B:B, drug!A:A, "Not Found")</f>
      </c>
      <c r="H1549" s="1"/>
      <c r="I1549" s="7">
        <v>1</v>
      </c>
      <c r="J1549" s="5">
        <f>XLOOKUP(L1549, uom!C:C, uom!B:B, "Not Found")</f>
      </c>
      <c r="K1549" s="1" t="s">
        <v>5511</v>
      </c>
      <c r="L1549" s="5">
        <f>XLOOKUP(N1549, uom!C:C, uom!B:B, "Not Found")</f>
      </c>
      <c r="M1549" s="1" t="s">
        <v>5511</v>
      </c>
      <c r="N1549" s="8" t="s">
        <v>5512</v>
      </c>
      <c r="O1549" s="1" t="s">
        <v>5513</v>
      </c>
      <c r="P1549" s="5">
        <f>XLOOKUP(R1549, classification!C:C, classification!B:B, "Not Found")</f>
      </c>
      <c r="Q1549" s="1" t="s">
        <v>5514</v>
      </c>
      <c r="R1549" s="2"/>
      <c r="S1549" s="2"/>
      <c r="T1549" s="2"/>
      <c r="U1549" s="2"/>
    </row>
    <row x14ac:dyDescent="0.25" r="1550" customHeight="1" ht="17.25">
      <c r="A1550" s="7">
        <v>1549</v>
      </c>
      <c r="B1550" s="1" t="s">
        <v>6967</v>
      </c>
      <c r="C1550" s="5">
        <f>CONCATENATE("PD", TEXT(A1550, "1000000"))</f>
      </c>
      <c r="D1550" s="7">
        <v>74</v>
      </c>
      <c r="E1550" s="5">
        <f>XLOOKUP(G1550, item_category!C:C, item_category!B:B, "Not Found")</f>
      </c>
      <c r="F1550" s="1" t="s">
        <v>5520</v>
      </c>
      <c r="G1550" s="5">
        <f>XLOOKUP(I1550, drug!B:B, drug!A:A, "Not Found")</f>
      </c>
      <c r="H1550" s="1"/>
      <c r="I1550" s="7">
        <v>1</v>
      </c>
      <c r="J1550" s="5">
        <f>XLOOKUP(L1550, uom!C:C, uom!B:B, "Not Found")</f>
      </c>
      <c r="K1550" s="1" t="s">
        <v>5511</v>
      </c>
      <c r="L1550" s="5">
        <f>XLOOKUP(N1550, uom!C:C, uom!B:B, "Not Found")</f>
      </c>
      <c r="M1550" s="1" t="s">
        <v>5511</v>
      </c>
      <c r="N1550" s="8" t="s">
        <v>5512</v>
      </c>
      <c r="O1550" s="1" t="s">
        <v>5513</v>
      </c>
      <c r="P1550" s="5">
        <f>XLOOKUP(R1550, classification!C:C, classification!B:B, "Not Found")</f>
      </c>
      <c r="Q1550" s="1" t="s">
        <v>5514</v>
      </c>
      <c r="R1550" s="2"/>
      <c r="S1550" s="2"/>
      <c r="T1550" s="2"/>
      <c r="U1550" s="2"/>
    </row>
    <row x14ac:dyDescent="0.25" r="1551" customHeight="1" ht="17.25">
      <c r="A1551" s="7">
        <v>1550</v>
      </c>
      <c r="B1551" s="1" t="s">
        <v>6968</v>
      </c>
      <c r="C1551" s="5">
        <f>CONCATENATE("PD", TEXT(A1551, "1000000"))</f>
      </c>
      <c r="D1551" s="7">
        <v>74</v>
      </c>
      <c r="E1551" s="5">
        <f>XLOOKUP(G1551, item_category!C:C, item_category!B:B, "Not Found")</f>
      </c>
      <c r="F1551" s="1" t="s">
        <v>5520</v>
      </c>
      <c r="G1551" s="5">
        <f>XLOOKUP(I1551, drug!B:B, drug!A:A, "Not Found")</f>
      </c>
      <c r="H1551" s="1"/>
      <c r="I1551" s="7">
        <v>1</v>
      </c>
      <c r="J1551" s="5">
        <f>XLOOKUP(L1551, uom!C:C, uom!B:B, "Not Found")</f>
      </c>
      <c r="K1551" s="1" t="s">
        <v>5511</v>
      </c>
      <c r="L1551" s="5">
        <f>XLOOKUP(N1551, uom!C:C, uom!B:B, "Not Found")</f>
      </c>
      <c r="M1551" s="1" t="s">
        <v>5511</v>
      </c>
      <c r="N1551" s="8" t="s">
        <v>5512</v>
      </c>
      <c r="O1551" s="1" t="s">
        <v>5513</v>
      </c>
      <c r="P1551" s="5">
        <f>XLOOKUP(R1551, classification!C:C, classification!B:B, "Not Found")</f>
      </c>
      <c r="Q1551" s="1" t="s">
        <v>5514</v>
      </c>
      <c r="R1551" s="2"/>
      <c r="S1551" s="2"/>
      <c r="T1551" s="2"/>
      <c r="U1551" s="2"/>
    </row>
    <row x14ac:dyDescent="0.25" r="1552" customHeight="1" ht="17.25">
      <c r="A1552" s="7">
        <v>1551</v>
      </c>
      <c r="B1552" s="1" t="s">
        <v>6969</v>
      </c>
      <c r="C1552" s="5">
        <f>CONCATENATE("PD", TEXT(A1552, "1000000"))</f>
      </c>
      <c r="D1552" s="7">
        <v>74</v>
      </c>
      <c r="E1552" s="5">
        <f>XLOOKUP(G1552, item_category!C:C, item_category!B:B, "Not Found")</f>
      </c>
      <c r="F1552" s="1" t="s">
        <v>5520</v>
      </c>
      <c r="G1552" s="5">
        <f>XLOOKUP(I1552, drug!B:B, drug!A:A, "Not Found")</f>
      </c>
      <c r="H1552" s="1"/>
      <c r="I1552" s="7">
        <v>1</v>
      </c>
      <c r="J1552" s="5">
        <f>XLOOKUP(L1552, uom!C:C, uom!B:B, "Not Found")</f>
      </c>
      <c r="K1552" s="1" t="s">
        <v>5511</v>
      </c>
      <c r="L1552" s="5">
        <f>XLOOKUP(N1552, uom!C:C, uom!B:B, "Not Found")</f>
      </c>
      <c r="M1552" s="1" t="s">
        <v>5511</v>
      </c>
      <c r="N1552" s="8" t="s">
        <v>5512</v>
      </c>
      <c r="O1552" s="1" t="s">
        <v>5513</v>
      </c>
      <c r="P1552" s="5">
        <f>XLOOKUP(R1552, classification!C:C, classification!B:B, "Not Found")</f>
      </c>
      <c r="Q1552" s="1" t="s">
        <v>5514</v>
      </c>
      <c r="R1552" s="2"/>
      <c r="S1552" s="2"/>
      <c r="T1552" s="2"/>
      <c r="U1552" s="2"/>
    </row>
    <row x14ac:dyDescent="0.25" r="1553" customHeight="1" ht="17.25">
      <c r="A1553" s="7">
        <v>1552</v>
      </c>
      <c r="B1553" s="1" t="s">
        <v>6970</v>
      </c>
      <c r="C1553" s="5">
        <f>CONCATENATE("PD", TEXT(A1553, "1000000"))</f>
      </c>
      <c r="D1553" s="7">
        <v>74</v>
      </c>
      <c r="E1553" s="5">
        <f>XLOOKUP(G1553, item_category!C:C, item_category!B:B, "Not Found")</f>
      </c>
      <c r="F1553" s="1" t="s">
        <v>5520</v>
      </c>
      <c r="G1553" s="5">
        <f>XLOOKUP(I1553, drug!B:B, drug!A:A, "Not Found")</f>
      </c>
      <c r="H1553" s="1"/>
      <c r="I1553" s="7">
        <v>1</v>
      </c>
      <c r="J1553" s="5">
        <f>XLOOKUP(L1553, uom!C:C, uom!B:B, "Not Found")</f>
      </c>
      <c r="K1553" s="1" t="s">
        <v>5511</v>
      </c>
      <c r="L1553" s="5">
        <f>XLOOKUP(N1553, uom!C:C, uom!B:B, "Not Found")</f>
      </c>
      <c r="M1553" s="1" t="s">
        <v>5511</v>
      </c>
      <c r="N1553" s="8" t="s">
        <v>5512</v>
      </c>
      <c r="O1553" s="1" t="s">
        <v>5513</v>
      </c>
      <c r="P1553" s="5">
        <f>XLOOKUP(R1553, classification!C:C, classification!B:B, "Not Found")</f>
      </c>
      <c r="Q1553" s="1" t="s">
        <v>5514</v>
      </c>
      <c r="R1553" s="2"/>
      <c r="S1553" s="2"/>
      <c r="T1553" s="2"/>
      <c r="U1553" s="2"/>
    </row>
    <row x14ac:dyDescent="0.25" r="1554" customHeight="1" ht="17.25">
      <c r="A1554" s="7">
        <v>1553</v>
      </c>
      <c r="B1554" s="1" t="s">
        <v>6971</v>
      </c>
      <c r="C1554" s="5">
        <f>CONCATENATE("PD", TEXT(A1554, "1000000"))</f>
      </c>
      <c r="D1554" s="7">
        <v>74</v>
      </c>
      <c r="E1554" s="5">
        <f>XLOOKUP(G1554, item_category!C:C, item_category!B:B, "Not Found")</f>
      </c>
      <c r="F1554" s="1" t="s">
        <v>5520</v>
      </c>
      <c r="G1554" s="5">
        <f>XLOOKUP(I1554, drug!B:B, drug!A:A, "Not Found")</f>
      </c>
      <c r="H1554" s="1"/>
      <c r="I1554" s="7">
        <v>1</v>
      </c>
      <c r="J1554" s="5">
        <f>XLOOKUP(L1554, uom!C:C, uom!B:B, "Not Found")</f>
      </c>
      <c r="K1554" s="1" t="s">
        <v>5511</v>
      </c>
      <c r="L1554" s="5">
        <f>XLOOKUP(N1554, uom!C:C, uom!B:B, "Not Found")</f>
      </c>
      <c r="M1554" s="1" t="s">
        <v>5511</v>
      </c>
      <c r="N1554" s="8" t="s">
        <v>5512</v>
      </c>
      <c r="O1554" s="1" t="s">
        <v>5513</v>
      </c>
      <c r="P1554" s="5">
        <f>XLOOKUP(R1554, classification!C:C, classification!B:B, "Not Found")</f>
      </c>
      <c r="Q1554" s="1" t="s">
        <v>5514</v>
      </c>
      <c r="R1554" s="2"/>
      <c r="S1554" s="2"/>
      <c r="T1554" s="2"/>
      <c r="U1554" s="2"/>
    </row>
    <row x14ac:dyDescent="0.25" r="1555" customHeight="1" ht="17.25">
      <c r="A1555" s="7">
        <v>1554</v>
      </c>
      <c r="B1555" s="1" t="s">
        <v>6972</v>
      </c>
      <c r="C1555" s="5">
        <f>CONCATENATE("PD", TEXT(A1555, "1000000"))</f>
      </c>
      <c r="D1555" s="7">
        <v>74</v>
      </c>
      <c r="E1555" s="5">
        <f>XLOOKUP(G1555, item_category!C:C, item_category!B:B, "Not Found")</f>
      </c>
      <c r="F1555" s="1" t="s">
        <v>5520</v>
      </c>
      <c r="G1555" s="5">
        <f>XLOOKUP(I1555, drug!B:B, drug!A:A, "Not Found")</f>
      </c>
      <c r="H1555" s="1"/>
      <c r="I1555" s="7">
        <v>1</v>
      </c>
      <c r="J1555" s="5">
        <f>XLOOKUP(L1555, uom!C:C, uom!B:B, "Not Found")</f>
      </c>
      <c r="K1555" s="1" t="s">
        <v>5511</v>
      </c>
      <c r="L1555" s="5">
        <f>XLOOKUP(N1555, uom!C:C, uom!B:B, "Not Found")</f>
      </c>
      <c r="M1555" s="1" t="s">
        <v>5511</v>
      </c>
      <c r="N1555" s="8" t="s">
        <v>5512</v>
      </c>
      <c r="O1555" s="1" t="s">
        <v>5513</v>
      </c>
      <c r="P1555" s="5">
        <f>XLOOKUP(R1555, classification!C:C, classification!B:B, "Not Found")</f>
      </c>
      <c r="Q1555" s="1" t="s">
        <v>5514</v>
      </c>
      <c r="R1555" s="2"/>
      <c r="S1555" s="2"/>
      <c r="T1555" s="2"/>
      <c r="U1555" s="2"/>
    </row>
    <row x14ac:dyDescent="0.25" r="1556" customHeight="1" ht="17.25">
      <c r="A1556" s="7">
        <v>1555</v>
      </c>
      <c r="B1556" s="1" t="s">
        <v>6973</v>
      </c>
      <c r="C1556" s="5">
        <f>CONCATENATE("PD", TEXT(A1556, "1000000"))</f>
      </c>
      <c r="D1556" s="7">
        <v>74</v>
      </c>
      <c r="E1556" s="5">
        <f>XLOOKUP(G1556, item_category!C:C, item_category!B:B, "Not Found")</f>
      </c>
      <c r="F1556" s="1" t="s">
        <v>5520</v>
      </c>
      <c r="G1556" s="5">
        <f>XLOOKUP(I1556, drug!B:B, drug!A:A, "Not Found")</f>
      </c>
      <c r="H1556" s="1"/>
      <c r="I1556" s="7">
        <v>1</v>
      </c>
      <c r="J1556" s="5">
        <f>XLOOKUP(L1556, uom!C:C, uom!B:B, "Not Found")</f>
      </c>
      <c r="K1556" s="1" t="s">
        <v>5511</v>
      </c>
      <c r="L1556" s="5">
        <f>XLOOKUP(N1556, uom!C:C, uom!B:B, "Not Found")</f>
      </c>
      <c r="M1556" s="1" t="s">
        <v>5511</v>
      </c>
      <c r="N1556" s="8" t="s">
        <v>5512</v>
      </c>
      <c r="O1556" s="1" t="s">
        <v>5513</v>
      </c>
      <c r="P1556" s="5">
        <f>XLOOKUP(R1556, classification!C:C, classification!B:B, "Not Found")</f>
      </c>
      <c r="Q1556" s="1" t="s">
        <v>5514</v>
      </c>
      <c r="R1556" s="2"/>
      <c r="S1556" s="2"/>
      <c r="T1556" s="2"/>
      <c r="U1556" s="2"/>
    </row>
    <row x14ac:dyDescent="0.25" r="1557" customHeight="1" ht="17.25">
      <c r="A1557" s="7">
        <v>1556</v>
      </c>
      <c r="B1557" s="1" t="s">
        <v>6974</v>
      </c>
      <c r="C1557" s="5">
        <f>CONCATENATE("PD", TEXT(A1557, "1000000"))</f>
      </c>
      <c r="D1557" s="7">
        <v>74</v>
      </c>
      <c r="E1557" s="5">
        <f>XLOOKUP(G1557, item_category!C:C, item_category!B:B, "Not Found")</f>
      </c>
      <c r="F1557" s="1" t="s">
        <v>5520</v>
      </c>
      <c r="G1557" s="5">
        <f>XLOOKUP(I1557, drug!B:B, drug!A:A, "Not Found")</f>
      </c>
      <c r="H1557" s="1"/>
      <c r="I1557" s="7">
        <v>1</v>
      </c>
      <c r="J1557" s="5">
        <f>XLOOKUP(L1557, uom!C:C, uom!B:B, "Not Found")</f>
      </c>
      <c r="K1557" s="1" t="s">
        <v>5511</v>
      </c>
      <c r="L1557" s="5">
        <f>XLOOKUP(N1557, uom!C:C, uom!B:B, "Not Found")</f>
      </c>
      <c r="M1557" s="1" t="s">
        <v>5511</v>
      </c>
      <c r="N1557" s="8" t="s">
        <v>5512</v>
      </c>
      <c r="O1557" s="1" t="s">
        <v>5513</v>
      </c>
      <c r="P1557" s="5">
        <f>XLOOKUP(R1557, classification!C:C, classification!B:B, "Not Found")</f>
      </c>
      <c r="Q1557" s="1" t="s">
        <v>5514</v>
      </c>
      <c r="R1557" s="2"/>
      <c r="S1557" s="2"/>
      <c r="T1557" s="2"/>
      <c r="U1557" s="2"/>
    </row>
    <row x14ac:dyDescent="0.25" r="1558" customHeight="1" ht="17.25">
      <c r="A1558" s="7">
        <v>1557</v>
      </c>
      <c r="B1558" s="1" t="s">
        <v>6975</v>
      </c>
      <c r="C1558" s="5">
        <f>CONCATENATE("PD", TEXT(A1558, "1000000"))</f>
      </c>
      <c r="D1558" s="7">
        <v>74</v>
      </c>
      <c r="E1558" s="5">
        <f>XLOOKUP(G1558, item_category!C:C, item_category!B:B, "Not Found")</f>
      </c>
      <c r="F1558" s="1" t="s">
        <v>5520</v>
      </c>
      <c r="G1558" s="5">
        <f>XLOOKUP(I1558, drug!B:B, drug!A:A, "Not Found")</f>
      </c>
      <c r="H1558" s="1"/>
      <c r="I1558" s="7">
        <v>1</v>
      </c>
      <c r="J1558" s="5">
        <f>XLOOKUP(L1558, uom!C:C, uom!B:B, "Not Found")</f>
      </c>
      <c r="K1558" s="1" t="s">
        <v>5511</v>
      </c>
      <c r="L1558" s="5">
        <f>XLOOKUP(N1558, uom!C:C, uom!B:B, "Not Found")</f>
      </c>
      <c r="M1558" s="1" t="s">
        <v>5511</v>
      </c>
      <c r="N1558" s="8" t="s">
        <v>5512</v>
      </c>
      <c r="O1558" s="1" t="s">
        <v>5513</v>
      </c>
      <c r="P1558" s="5">
        <f>XLOOKUP(R1558, classification!C:C, classification!B:B, "Not Found")</f>
      </c>
      <c r="Q1558" s="1" t="s">
        <v>5514</v>
      </c>
      <c r="R1558" s="2"/>
      <c r="S1558" s="2"/>
      <c r="T1558" s="2"/>
      <c r="U1558" s="2"/>
    </row>
    <row x14ac:dyDescent="0.25" r="1559" customHeight="1" ht="17.25">
      <c r="A1559" s="7">
        <v>1558</v>
      </c>
      <c r="B1559" s="1" t="s">
        <v>6976</v>
      </c>
      <c r="C1559" s="5">
        <f>CONCATENATE("PD", TEXT(A1559, "1000000"))</f>
      </c>
      <c r="D1559" s="7">
        <v>74</v>
      </c>
      <c r="E1559" s="5">
        <f>XLOOKUP(G1559, item_category!C:C, item_category!B:B, "Not Found")</f>
      </c>
      <c r="F1559" s="1" t="s">
        <v>5520</v>
      </c>
      <c r="G1559" s="5">
        <f>XLOOKUP(I1559, drug!B:B, drug!A:A, "Not Found")</f>
      </c>
      <c r="H1559" s="1"/>
      <c r="I1559" s="7">
        <v>1</v>
      </c>
      <c r="J1559" s="5">
        <f>XLOOKUP(L1559, uom!C:C, uom!B:B, "Not Found")</f>
      </c>
      <c r="K1559" s="1" t="s">
        <v>5511</v>
      </c>
      <c r="L1559" s="5">
        <f>XLOOKUP(N1559, uom!C:C, uom!B:B, "Not Found")</f>
      </c>
      <c r="M1559" s="1" t="s">
        <v>5511</v>
      </c>
      <c r="N1559" s="8" t="s">
        <v>5512</v>
      </c>
      <c r="O1559" s="1" t="s">
        <v>5513</v>
      </c>
      <c r="P1559" s="5">
        <f>XLOOKUP(R1559, classification!C:C, classification!B:B, "Not Found")</f>
      </c>
      <c r="Q1559" s="1" t="s">
        <v>5514</v>
      </c>
      <c r="R1559" s="2"/>
      <c r="S1559" s="2"/>
      <c r="T1559" s="2"/>
      <c r="U1559" s="2"/>
    </row>
    <row x14ac:dyDescent="0.25" r="1560" customHeight="1" ht="17.25">
      <c r="A1560" s="7">
        <v>1559</v>
      </c>
      <c r="B1560" s="1" t="s">
        <v>6977</v>
      </c>
      <c r="C1560" s="5">
        <f>CONCATENATE("PD", TEXT(A1560, "1000000"))</f>
      </c>
      <c r="D1560" s="7">
        <v>74</v>
      </c>
      <c r="E1560" s="5">
        <f>XLOOKUP(G1560, item_category!C:C, item_category!B:B, "Not Found")</f>
      </c>
      <c r="F1560" s="1" t="s">
        <v>5520</v>
      </c>
      <c r="G1560" s="5">
        <f>XLOOKUP(I1560, drug!B:B, drug!A:A, "Not Found")</f>
      </c>
      <c r="H1560" s="1" t="s">
        <v>1336</v>
      </c>
      <c r="I1560" s="7">
        <v>1</v>
      </c>
      <c r="J1560" s="5">
        <f>XLOOKUP(L1560, uom!C:C, uom!B:B, "Not Found")</f>
      </c>
      <c r="K1560" s="1" t="s">
        <v>5511</v>
      </c>
      <c r="L1560" s="5">
        <f>XLOOKUP(N1560, uom!C:C, uom!B:B, "Not Found")</f>
      </c>
      <c r="M1560" s="1" t="s">
        <v>5511</v>
      </c>
      <c r="N1560" s="8" t="s">
        <v>5512</v>
      </c>
      <c r="O1560" s="1" t="s">
        <v>5513</v>
      </c>
      <c r="P1560" s="5">
        <f>XLOOKUP(R1560, classification!C:C, classification!B:B, "Not Found")</f>
      </c>
      <c r="Q1560" s="1" t="s">
        <v>5514</v>
      </c>
      <c r="R1560" s="2"/>
      <c r="S1560" s="2"/>
      <c r="T1560" s="2"/>
      <c r="U1560" s="2"/>
    </row>
    <row x14ac:dyDescent="0.25" r="1561" customHeight="1" ht="17.25">
      <c r="A1561" s="7">
        <v>1560</v>
      </c>
      <c r="B1561" s="1" t="s">
        <v>6978</v>
      </c>
      <c r="C1561" s="5">
        <f>CONCATENATE("PD", TEXT(A1561, "1000000"))</f>
      </c>
      <c r="D1561" s="7">
        <v>74</v>
      </c>
      <c r="E1561" s="5">
        <f>XLOOKUP(G1561, item_category!C:C, item_category!B:B, "Not Found")</f>
      </c>
      <c r="F1561" s="1" t="s">
        <v>5520</v>
      </c>
      <c r="G1561" s="5">
        <f>XLOOKUP(I1561, drug!B:B, drug!A:A, "Not Found")</f>
      </c>
      <c r="H1561" s="1"/>
      <c r="I1561" s="7">
        <v>1</v>
      </c>
      <c r="J1561" s="5">
        <f>XLOOKUP(L1561, uom!C:C, uom!B:B, "Not Found")</f>
      </c>
      <c r="K1561" s="1" t="s">
        <v>5511</v>
      </c>
      <c r="L1561" s="5">
        <f>XLOOKUP(N1561, uom!C:C, uom!B:B, "Not Found")</f>
      </c>
      <c r="M1561" s="1" t="s">
        <v>5511</v>
      </c>
      <c r="N1561" s="8" t="s">
        <v>5512</v>
      </c>
      <c r="O1561" s="1" t="s">
        <v>5513</v>
      </c>
      <c r="P1561" s="5">
        <f>XLOOKUP(R1561, classification!C:C, classification!B:B, "Not Found")</f>
      </c>
      <c r="Q1561" s="1" t="s">
        <v>5514</v>
      </c>
      <c r="R1561" s="2"/>
      <c r="S1561" s="2"/>
      <c r="T1561" s="2"/>
      <c r="U1561" s="2"/>
    </row>
    <row x14ac:dyDescent="0.25" r="1562" customHeight="1" ht="17.25">
      <c r="A1562" s="7">
        <v>1561</v>
      </c>
      <c r="B1562" s="1" t="s">
        <v>6979</v>
      </c>
      <c r="C1562" s="5">
        <f>CONCATENATE("PD", TEXT(A1562, "1000000"))</f>
      </c>
      <c r="D1562" s="7">
        <v>74</v>
      </c>
      <c r="E1562" s="5">
        <f>XLOOKUP(G1562, item_category!C:C, item_category!B:B, "Not Found")</f>
      </c>
      <c r="F1562" s="1" t="s">
        <v>5520</v>
      </c>
      <c r="G1562" s="5">
        <f>XLOOKUP(I1562, drug!B:B, drug!A:A, "Not Found")</f>
      </c>
      <c r="H1562" s="1" t="s">
        <v>124</v>
      </c>
      <c r="I1562" s="7">
        <v>1</v>
      </c>
      <c r="J1562" s="5">
        <f>XLOOKUP(L1562, uom!C:C, uom!B:B, "Not Found")</f>
      </c>
      <c r="K1562" s="1" t="s">
        <v>5511</v>
      </c>
      <c r="L1562" s="5">
        <f>XLOOKUP(N1562, uom!C:C, uom!B:B, "Not Found")</f>
      </c>
      <c r="M1562" s="1" t="s">
        <v>5511</v>
      </c>
      <c r="N1562" s="8" t="s">
        <v>5512</v>
      </c>
      <c r="O1562" s="1" t="s">
        <v>5513</v>
      </c>
      <c r="P1562" s="5">
        <f>XLOOKUP(R1562, classification!C:C, classification!B:B, "Not Found")</f>
      </c>
      <c r="Q1562" s="1" t="s">
        <v>5514</v>
      </c>
      <c r="R1562" s="2"/>
      <c r="S1562" s="2"/>
      <c r="T1562" s="2"/>
      <c r="U1562" s="2"/>
    </row>
    <row x14ac:dyDescent="0.25" r="1563" customHeight="1" ht="17.25">
      <c r="A1563" s="7">
        <v>1562</v>
      </c>
      <c r="B1563" s="1" t="s">
        <v>6980</v>
      </c>
      <c r="C1563" s="5">
        <f>CONCATENATE("PD", TEXT(A1563, "1000000"))</f>
      </c>
      <c r="D1563" s="7">
        <v>74</v>
      </c>
      <c r="E1563" s="5">
        <f>XLOOKUP(G1563, item_category!C:C, item_category!B:B, "Not Found")</f>
      </c>
      <c r="F1563" s="1" t="s">
        <v>5520</v>
      </c>
      <c r="G1563" s="5">
        <f>XLOOKUP(I1563, drug!B:B, drug!A:A, "Not Found")</f>
      </c>
      <c r="H1563" s="1"/>
      <c r="I1563" s="7">
        <v>1</v>
      </c>
      <c r="J1563" s="5">
        <f>XLOOKUP(L1563, uom!C:C, uom!B:B, "Not Found")</f>
      </c>
      <c r="K1563" s="1" t="s">
        <v>5511</v>
      </c>
      <c r="L1563" s="5">
        <f>XLOOKUP(N1563, uom!C:C, uom!B:B, "Not Found")</f>
      </c>
      <c r="M1563" s="1" t="s">
        <v>5511</v>
      </c>
      <c r="N1563" s="8" t="s">
        <v>5512</v>
      </c>
      <c r="O1563" s="1" t="s">
        <v>5513</v>
      </c>
      <c r="P1563" s="5">
        <f>XLOOKUP(R1563, classification!C:C, classification!B:B, "Not Found")</f>
      </c>
      <c r="Q1563" s="1" t="s">
        <v>5514</v>
      </c>
      <c r="R1563" s="2"/>
      <c r="S1563" s="2"/>
      <c r="T1563" s="2"/>
      <c r="U1563" s="2"/>
    </row>
    <row x14ac:dyDescent="0.25" r="1564" customHeight="1" ht="17.25">
      <c r="A1564" s="7">
        <v>1563</v>
      </c>
      <c r="B1564" s="1" t="s">
        <v>6981</v>
      </c>
      <c r="C1564" s="5">
        <f>CONCATENATE("PD", TEXT(A1564, "1000000"))</f>
      </c>
      <c r="D1564" s="7">
        <v>74</v>
      </c>
      <c r="E1564" s="5">
        <f>XLOOKUP(G1564, item_category!C:C, item_category!B:B, "Not Found")</f>
      </c>
      <c r="F1564" s="1" t="s">
        <v>5520</v>
      </c>
      <c r="G1564" s="5">
        <f>XLOOKUP(I1564, drug!B:B, drug!A:A, "Not Found")</f>
      </c>
      <c r="H1564" s="1"/>
      <c r="I1564" s="7">
        <v>1</v>
      </c>
      <c r="J1564" s="5">
        <f>XLOOKUP(L1564, uom!C:C, uom!B:B, "Not Found")</f>
      </c>
      <c r="K1564" s="1" t="s">
        <v>5511</v>
      </c>
      <c r="L1564" s="5">
        <f>XLOOKUP(N1564, uom!C:C, uom!B:B, "Not Found")</f>
      </c>
      <c r="M1564" s="1" t="s">
        <v>5511</v>
      </c>
      <c r="N1564" s="8" t="s">
        <v>5512</v>
      </c>
      <c r="O1564" s="1" t="s">
        <v>5513</v>
      </c>
      <c r="P1564" s="5">
        <f>XLOOKUP(R1564, classification!C:C, classification!B:B, "Not Found")</f>
      </c>
      <c r="Q1564" s="1" t="s">
        <v>5514</v>
      </c>
      <c r="R1564" s="2"/>
      <c r="S1564" s="2"/>
      <c r="T1564" s="2"/>
      <c r="U1564" s="2"/>
    </row>
    <row x14ac:dyDescent="0.25" r="1565" customHeight="1" ht="17.25">
      <c r="A1565" s="7">
        <v>1564</v>
      </c>
      <c r="B1565" s="1" t="s">
        <v>6982</v>
      </c>
      <c r="C1565" s="5">
        <f>CONCATENATE("PD", TEXT(A1565, "1000000"))</f>
      </c>
      <c r="D1565" s="7">
        <v>74</v>
      </c>
      <c r="E1565" s="5">
        <f>XLOOKUP(G1565, item_category!C:C, item_category!B:B, "Not Found")</f>
      </c>
      <c r="F1565" s="1" t="s">
        <v>5520</v>
      </c>
      <c r="G1565" s="5">
        <f>XLOOKUP(I1565, drug!B:B, drug!A:A, "Not Found")</f>
      </c>
      <c r="H1565" s="1"/>
      <c r="I1565" s="7">
        <v>1</v>
      </c>
      <c r="J1565" s="5">
        <f>XLOOKUP(L1565, uom!C:C, uom!B:B, "Not Found")</f>
      </c>
      <c r="K1565" s="1" t="s">
        <v>5511</v>
      </c>
      <c r="L1565" s="5">
        <f>XLOOKUP(N1565, uom!C:C, uom!B:B, "Not Found")</f>
      </c>
      <c r="M1565" s="1" t="s">
        <v>5511</v>
      </c>
      <c r="N1565" s="8" t="s">
        <v>5512</v>
      </c>
      <c r="O1565" s="1" t="s">
        <v>5513</v>
      </c>
      <c r="P1565" s="5">
        <f>XLOOKUP(R1565, classification!C:C, classification!B:B, "Not Found")</f>
      </c>
      <c r="Q1565" s="1" t="s">
        <v>5514</v>
      </c>
      <c r="R1565" s="2"/>
      <c r="S1565" s="2"/>
      <c r="T1565" s="2"/>
      <c r="U1565" s="2"/>
    </row>
    <row x14ac:dyDescent="0.25" r="1566" customHeight="1" ht="17.25">
      <c r="A1566" s="7">
        <v>1565</v>
      </c>
      <c r="B1566" s="1" t="s">
        <v>6983</v>
      </c>
      <c r="C1566" s="5">
        <f>CONCATENATE("PD", TEXT(A1566, "1000000"))</f>
      </c>
      <c r="D1566" s="7">
        <v>74</v>
      </c>
      <c r="E1566" s="5">
        <f>XLOOKUP(G1566, item_category!C:C, item_category!B:B, "Not Found")</f>
      </c>
      <c r="F1566" s="1" t="s">
        <v>5520</v>
      </c>
      <c r="G1566" s="5">
        <f>XLOOKUP(I1566, drug!B:B, drug!A:A, "Not Found")</f>
      </c>
      <c r="H1566" s="1"/>
      <c r="I1566" s="7">
        <v>1</v>
      </c>
      <c r="J1566" s="5">
        <f>XLOOKUP(L1566, uom!C:C, uom!B:B, "Not Found")</f>
      </c>
      <c r="K1566" s="1" t="s">
        <v>5511</v>
      </c>
      <c r="L1566" s="5">
        <f>XLOOKUP(N1566, uom!C:C, uom!B:B, "Not Found")</f>
      </c>
      <c r="M1566" s="1" t="s">
        <v>5511</v>
      </c>
      <c r="N1566" s="8" t="s">
        <v>5512</v>
      </c>
      <c r="O1566" s="1" t="s">
        <v>5513</v>
      </c>
      <c r="P1566" s="5">
        <f>XLOOKUP(R1566, classification!C:C, classification!B:B, "Not Found")</f>
      </c>
      <c r="Q1566" s="1" t="s">
        <v>5514</v>
      </c>
      <c r="R1566" s="2"/>
      <c r="S1566" s="2"/>
      <c r="T1566" s="2"/>
      <c r="U1566" s="2"/>
    </row>
    <row x14ac:dyDescent="0.25" r="1567" customHeight="1" ht="17.25">
      <c r="A1567" s="7">
        <v>1566</v>
      </c>
      <c r="B1567" s="1" t="s">
        <v>6984</v>
      </c>
      <c r="C1567" s="5">
        <f>CONCATENATE("PD", TEXT(A1567, "1000000"))</f>
      </c>
      <c r="D1567" s="7">
        <v>74</v>
      </c>
      <c r="E1567" s="5">
        <f>XLOOKUP(G1567, item_category!C:C, item_category!B:B, "Not Found")</f>
      </c>
      <c r="F1567" s="1" t="s">
        <v>5520</v>
      </c>
      <c r="G1567" s="5">
        <f>XLOOKUP(I1567, drug!B:B, drug!A:A, "Not Found")</f>
      </c>
      <c r="H1567" s="1"/>
      <c r="I1567" s="7">
        <v>1</v>
      </c>
      <c r="J1567" s="5">
        <f>XLOOKUP(L1567, uom!C:C, uom!B:B, "Not Found")</f>
      </c>
      <c r="K1567" s="1" t="s">
        <v>5511</v>
      </c>
      <c r="L1567" s="5">
        <f>XLOOKUP(N1567, uom!C:C, uom!B:B, "Not Found")</f>
      </c>
      <c r="M1567" s="1" t="s">
        <v>5511</v>
      </c>
      <c r="N1567" s="8" t="s">
        <v>5512</v>
      </c>
      <c r="O1567" s="1" t="s">
        <v>5513</v>
      </c>
      <c r="P1567" s="5">
        <f>XLOOKUP(R1567, classification!C:C, classification!B:B, "Not Found")</f>
      </c>
      <c r="Q1567" s="1" t="s">
        <v>5514</v>
      </c>
      <c r="R1567" s="2"/>
      <c r="S1567" s="2"/>
      <c r="T1567" s="2"/>
      <c r="U1567" s="2"/>
    </row>
    <row x14ac:dyDescent="0.25" r="1568" customHeight="1" ht="17.25">
      <c r="A1568" s="7">
        <v>1567</v>
      </c>
      <c r="B1568" s="1" t="s">
        <v>6985</v>
      </c>
      <c r="C1568" s="5">
        <f>CONCATENATE("PD", TEXT(A1568, "1000000"))</f>
      </c>
      <c r="D1568" s="7">
        <v>74</v>
      </c>
      <c r="E1568" s="5">
        <f>XLOOKUP(G1568, item_category!C:C, item_category!B:B, "Not Found")</f>
      </c>
      <c r="F1568" s="1" t="s">
        <v>5520</v>
      </c>
      <c r="G1568" s="5">
        <f>XLOOKUP(I1568, drug!B:B, drug!A:A, "Not Found")</f>
      </c>
      <c r="H1568" s="1"/>
      <c r="I1568" s="7">
        <v>1</v>
      </c>
      <c r="J1568" s="5">
        <f>XLOOKUP(L1568, uom!C:C, uom!B:B, "Not Found")</f>
      </c>
      <c r="K1568" s="1" t="s">
        <v>5511</v>
      </c>
      <c r="L1568" s="5">
        <f>XLOOKUP(N1568, uom!C:C, uom!B:B, "Not Found")</f>
      </c>
      <c r="M1568" s="1" t="s">
        <v>5511</v>
      </c>
      <c r="N1568" s="8" t="s">
        <v>5512</v>
      </c>
      <c r="O1568" s="1" t="s">
        <v>5513</v>
      </c>
      <c r="P1568" s="5">
        <f>XLOOKUP(R1568, classification!C:C, classification!B:B, "Not Found")</f>
      </c>
      <c r="Q1568" s="1" t="s">
        <v>5514</v>
      </c>
      <c r="R1568" s="2"/>
      <c r="S1568" s="2"/>
      <c r="T1568" s="2"/>
      <c r="U1568" s="2"/>
    </row>
    <row x14ac:dyDescent="0.25" r="1569" customHeight="1" ht="17.25">
      <c r="A1569" s="7">
        <v>1568</v>
      </c>
      <c r="B1569" s="1" t="s">
        <v>6986</v>
      </c>
      <c r="C1569" s="5">
        <f>CONCATENATE("PD", TEXT(A1569, "1000000"))</f>
      </c>
      <c r="D1569" s="7">
        <v>74</v>
      </c>
      <c r="E1569" s="5">
        <f>XLOOKUP(G1569, item_category!C:C, item_category!B:B, "Not Found")</f>
      </c>
      <c r="F1569" s="1" t="s">
        <v>5520</v>
      </c>
      <c r="G1569" s="5">
        <f>XLOOKUP(I1569, drug!B:B, drug!A:A, "Not Found")</f>
      </c>
      <c r="H1569" s="1"/>
      <c r="I1569" s="7">
        <v>1</v>
      </c>
      <c r="J1569" s="5">
        <f>XLOOKUP(L1569, uom!C:C, uom!B:B, "Not Found")</f>
      </c>
      <c r="K1569" s="1" t="s">
        <v>5511</v>
      </c>
      <c r="L1569" s="5">
        <f>XLOOKUP(N1569, uom!C:C, uom!B:B, "Not Found")</f>
      </c>
      <c r="M1569" s="1" t="s">
        <v>5511</v>
      </c>
      <c r="N1569" s="8" t="s">
        <v>5512</v>
      </c>
      <c r="O1569" s="1" t="s">
        <v>5513</v>
      </c>
      <c r="P1569" s="5">
        <f>XLOOKUP(R1569, classification!C:C, classification!B:B, "Not Found")</f>
      </c>
      <c r="Q1569" s="1" t="s">
        <v>5514</v>
      </c>
      <c r="R1569" s="2"/>
      <c r="S1569" s="2"/>
      <c r="T1569" s="2"/>
      <c r="U1569" s="2"/>
    </row>
    <row x14ac:dyDescent="0.25" r="1570" customHeight="1" ht="17.25">
      <c r="A1570" s="7">
        <v>1569</v>
      </c>
      <c r="B1570" s="1" t="s">
        <v>6987</v>
      </c>
      <c r="C1570" s="5">
        <f>CONCATENATE("PD", TEXT(A1570, "1000000"))</f>
      </c>
      <c r="D1570" s="7">
        <v>74</v>
      </c>
      <c r="E1570" s="5">
        <f>XLOOKUP(G1570, item_category!C:C, item_category!B:B, "Not Found")</f>
      </c>
      <c r="F1570" s="1" t="s">
        <v>5520</v>
      </c>
      <c r="G1570" s="5">
        <f>XLOOKUP(I1570, drug!B:B, drug!A:A, "Not Found")</f>
      </c>
      <c r="H1570" s="1" t="s">
        <v>1942</v>
      </c>
      <c r="I1570" s="7">
        <v>1</v>
      </c>
      <c r="J1570" s="5">
        <f>XLOOKUP(L1570, uom!C:C, uom!B:B, "Not Found")</f>
      </c>
      <c r="K1570" s="1" t="s">
        <v>5511</v>
      </c>
      <c r="L1570" s="5">
        <f>XLOOKUP(N1570, uom!C:C, uom!B:B, "Not Found")</f>
      </c>
      <c r="M1570" s="1" t="s">
        <v>5511</v>
      </c>
      <c r="N1570" s="8" t="s">
        <v>5512</v>
      </c>
      <c r="O1570" s="1" t="s">
        <v>5513</v>
      </c>
      <c r="P1570" s="5">
        <f>XLOOKUP(R1570, classification!C:C, classification!B:B, "Not Found")</f>
      </c>
      <c r="Q1570" s="1" t="s">
        <v>5514</v>
      </c>
      <c r="R1570" s="2"/>
      <c r="S1570" s="2"/>
      <c r="T1570" s="2"/>
      <c r="U1570" s="2"/>
    </row>
    <row x14ac:dyDescent="0.25" r="1571" customHeight="1" ht="17.25">
      <c r="A1571" s="7">
        <v>1570</v>
      </c>
      <c r="B1571" s="1" t="s">
        <v>6988</v>
      </c>
      <c r="C1571" s="5">
        <f>CONCATENATE("PD", TEXT(A1571, "1000000"))</f>
      </c>
      <c r="D1571" s="7">
        <v>74</v>
      </c>
      <c r="E1571" s="5">
        <f>XLOOKUP(G1571, item_category!C:C, item_category!B:B, "Not Found")</f>
      </c>
      <c r="F1571" s="1" t="s">
        <v>5520</v>
      </c>
      <c r="G1571" s="5">
        <f>XLOOKUP(I1571, drug!B:B, drug!A:A, "Not Found")</f>
      </c>
      <c r="H1571" s="1"/>
      <c r="I1571" s="7">
        <v>1</v>
      </c>
      <c r="J1571" s="5">
        <f>XLOOKUP(L1571, uom!C:C, uom!B:B, "Not Found")</f>
      </c>
      <c r="K1571" s="1" t="s">
        <v>5511</v>
      </c>
      <c r="L1571" s="5">
        <f>XLOOKUP(N1571, uom!C:C, uom!B:B, "Not Found")</f>
      </c>
      <c r="M1571" s="1" t="s">
        <v>5511</v>
      </c>
      <c r="N1571" s="8" t="s">
        <v>5512</v>
      </c>
      <c r="O1571" s="1" t="s">
        <v>5513</v>
      </c>
      <c r="P1571" s="5">
        <f>XLOOKUP(R1571, classification!C:C, classification!B:B, "Not Found")</f>
      </c>
      <c r="Q1571" s="1" t="s">
        <v>5514</v>
      </c>
      <c r="R1571" s="2"/>
      <c r="S1571" s="2"/>
      <c r="T1571" s="2"/>
      <c r="U1571" s="2"/>
    </row>
    <row x14ac:dyDescent="0.25" r="1572" customHeight="1" ht="17.25">
      <c r="A1572" s="7">
        <v>1571</v>
      </c>
      <c r="B1572" s="1" t="s">
        <v>6989</v>
      </c>
      <c r="C1572" s="5">
        <f>CONCATENATE("PD", TEXT(A1572, "1000000"))</f>
      </c>
      <c r="D1572" s="7">
        <v>74</v>
      </c>
      <c r="E1572" s="5">
        <f>XLOOKUP(G1572, item_category!C:C, item_category!B:B, "Not Found")</f>
      </c>
      <c r="F1572" s="1" t="s">
        <v>5520</v>
      </c>
      <c r="G1572" s="5">
        <f>XLOOKUP(I1572, drug!B:B, drug!A:A, "Not Found")</f>
      </c>
      <c r="H1572" s="1"/>
      <c r="I1572" s="7">
        <v>1</v>
      </c>
      <c r="J1572" s="5">
        <f>XLOOKUP(L1572, uom!C:C, uom!B:B, "Not Found")</f>
      </c>
      <c r="K1572" s="1" t="s">
        <v>5511</v>
      </c>
      <c r="L1572" s="5">
        <f>XLOOKUP(N1572, uom!C:C, uom!B:B, "Not Found")</f>
      </c>
      <c r="M1572" s="1" t="s">
        <v>5511</v>
      </c>
      <c r="N1572" s="8" t="s">
        <v>5512</v>
      </c>
      <c r="O1572" s="1" t="s">
        <v>5513</v>
      </c>
      <c r="P1572" s="5">
        <f>XLOOKUP(R1572, classification!C:C, classification!B:B, "Not Found")</f>
      </c>
      <c r="Q1572" s="1" t="s">
        <v>5514</v>
      </c>
      <c r="R1572" s="2"/>
      <c r="S1572" s="2"/>
      <c r="T1572" s="2"/>
      <c r="U1572" s="2"/>
    </row>
    <row x14ac:dyDescent="0.25" r="1573" customHeight="1" ht="17.25">
      <c r="A1573" s="7">
        <v>1572</v>
      </c>
      <c r="B1573" s="1" t="s">
        <v>2826</v>
      </c>
      <c r="C1573" s="5">
        <f>CONCATENATE("PD", TEXT(A1573, "1000000"))</f>
      </c>
      <c r="D1573" s="7">
        <v>74</v>
      </c>
      <c r="E1573" s="5">
        <f>XLOOKUP(G1573, item_category!C:C, item_category!B:B, "Not Found")</f>
      </c>
      <c r="F1573" s="1" t="s">
        <v>5520</v>
      </c>
      <c r="G1573" s="5">
        <f>XLOOKUP(I1573, drug!B:B, drug!A:A, "Not Found")</f>
      </c>
      <c r="H1573" s="1"/>
      <c r="I1573" s="7">
        <v>1</v>
      </c>
      <c r="J1573" s="5">
        <f>XLOOKUP(L1573, uom!C:C, uom!B:B, "Not Found")</f>
      </c>
      <c r="K1573" s="1" t="s">
        <v>5511</v>
      </c>
      <c r="L1573" s="5">
        <f>XLOOKUP(N1573, uom!C:C, uom!B:B, "Not Found")</f>
      </c>
      <c r="M1573" s="1" t="s">
        <v>5511</v>
      </c>
      <c r="N1573" s="8" t="s">
        <v>5512</v>
      </c>
      <c r="O1573" s="1" t="s">
        <v>5513</v>
      </c>
      <c r="P1573" s="5">
        <f>XLOOKUP(R1573, classification!C:C, classification!B:B, "Not Found")</f>
      </c>
      <c r="Q1573" s="1" t="s">
        <v>5514</v>
      </c>
      <c r="R1573" s="2"/>
      <c r="S1573" s="2"/>
      <c r="T1573" s="2"/>
      <c r="U1573" s="2"/>
    </row>
    <row x14ac:dyDescent="0.25" r="1574" customHeight="1" ht="17.25">
      <c r="A1574" s="7">
        <v>1573</v>
      </c>
      <c r="B1574" s="1" t="s">
        <v>6990</v>
      </c>
      <c r="C1574" s="5">
        <f>CONCATENATE("PD", TEXT(A1574, "1000000"))</f>
      </c>
      <c r="D1574" s="7">
        <v>74</v>
      </c>
      <c r="E1574" s="5">
        <f>XLOOKUP(G1574, item_category!C:C, item_category!B:B, "Not Found")</f>
      </c>
      <c r="F1574" s="1" t="s">
        <v>5520</v>
      </c>
      <c r="G1574" s="5">
        <f>XLOOKUP(I1574, drug!B:B, drug!A:A, "Not Found")</f>
      </c>
      <c r="H1574" s="1"/>
      <c r="I1574" s="7">
        <v>1</v>
      </c>
      <c r="J1574" s="5">
        <f>XLOOKUP(L1574, uom!C:C, uom!B:B, "Not Found")</f>
      </c>
      <c r="K1574" s="1" t="s">
        <v>5511</v>
      </c>
      <c r="L1574" s="5">
        <f>XLOOKUP(N1574, uom!C:C, uom!B:B, "Not Found")</f>
      </c>
      <c r="M1574" s="1" t="s">
        <v>5511</v>
      </c>
      <c r="N1574" s="8" t="s">
        <v>5512</v>
      </c>
      <c r="O1574" s="1" t="s">
        <v>5513</v>
      </c>
      <c r="P1574" s="5">
        <f>XLOOKUP(R1574, classification!C:C, classification!B:B, "Not Found")</f>
      </c>
      <c r="Q1574" s="1" t="s">
        <v>5514</v>
      </c>
      <c r="R1574" s="2"/>
      <c r="S1574" s="2"/>
      <c r="T1574" s="2"/>
      <c r="U1574" s="2"/>
    </row>
    <row x14ac:dyDescent="0.25" r="1575" customHeight="1" ht="17.25">
      <c r="A1575" s="7">
        <v>1574</v>
      </c>
      <c r="B1575" s="1" t="s">
        <v>473</v>
      </c>
      <c r="C1575" s="5">
        <f>CONCATENATE("PD", TEXT(A1575, "1000000"))</f>
      </c>
      <c r="D1575" s="7">
        <v>74</v>
      </c>
      <c r="E1575" s="5">
        <f>XLOOKUP(G1575, item_category!C:C, item_category!B:B, "Not Found")</f>
      </c>
      <c r="F1575" s="1" t="s">
        <v>5520</v>
      </c>
      <c r="G1575" s="5">
        <f>XLOOKUP(I1575, drug!B:B, drug!A:A, "Not Found")</f>
      </c>
      <c r="H1575" s="1" t="s">
        <v>473</v>
      </c>
      <c r="I1575" s="7">
        <v>1</v>
      </c>
      <c r="J1575" s="5">
        <f>XLOOKUP(L1575, uom!C:C, uom!B:B, "Not Found")</f>
      </c>
      <c r="K1575" s="1" t="s">
        <v>5511</v>
      </c>
      <c r="L1575" s="5">
        <f>XLOOKUP(N1575, uom!C:C, uom!B:B, "Not Found")</f>
      </c>
      <c r="M1575" s="1" t="s">
        <v>5511</v>
      </c>
      <c r="N1575" s="8" t="s">
        <v>5512</v>
      </c>
      <c r="O1575" s="1" t="s">
        <v>5513</v>
      </c>
      <c r="P1575" s="5">
        <f>XLOOKUP(R1575, classification!C:C, classification!B:B, "Not Found")</f>
      </c>
      <c r="Q1575" s="1" t="s">
        <v>5514</v>
      </c>
      <c r="R1575" s="2"/>
      <c r="S1575" s="2"/>
      <c r="T1575" s="2"/>
      <c r="U1575" s="2"/>
    </row>
    <row x14ac:dyDescent="0.25" r="1576" customHeight="1" ht="17.25">
      <c r="A1576" s="7">
        <v>1575</v>
      </c>
      <c r="B1576" s="1" t="s">
        <v>6991</v>
      </c>
      <c r="C1576" s="5">
        <f>CONCATENATE("PD", TEXT(A1576, "1000000"))</f>
      </c>
      <c r="D1576" s="7">
        <v>74</v>
      </c>
      <c r="E1576" s="5">
        <f>XLOOKUP(G1576, item_category!C:C, item_category!B:B, "Not Found")</f>
      </c>
      <c r="F1576" s="1" t="s">
        <v>5520</v>
      </c>
      <c r="G1576" s="5">
        <f>XLOOKUP(I1576, drug!B:B, drug!A:A, "Not Found")</f>
      </c>
      <c r="H1576" s="1"/>
      <c r="I1576" s="7">
        <v>1</v>
      </c>
      <c r="J1576" s="5">
        <f>XLOOKUP(L1576, uom!C:C, uom!B:B, "Not Found")</f>
      </c>
      <c r="K1576" s="1" t="s">
        <v>5511</v>
      </c>
      <c r="L1576" s="5">
        <f>XLOOKUP(N1576, uom!C:C, uom!B:B, "Not Found")</f>
      </c>
      <c r="M1576" s="1" t="s">
        <v>5511</v>
      </c>
      <c r="N1576" s="8" t="s">
        <v>5512</v>
      </c>
      <c r="O1576" s="1" t="s">
        <v>5513</v>
      </c>
      <c r="P1576" s="5">
        <f>XLOOKUP(R1576, classification!C:C, classification!B:B, "Not Found")</f>
      </c>
      <c r="Q1576" s="1" t="s">
        <v>5514</v>
      </c>
      <c r="R1576" s="2"/>
      <c r="S1576" s="2"/>
      <c r="T1576" s="2"/>
      <c r="U1576" s="2"/>
    </row>
    <row x14ac:dyDescent="0.25" r="1577" customHeight="1" ht="17.25">
      <c r="A1577" s="7">
        <v>1576</v>
      </c>
      <c r="B1577" s="1" t="s">
        <v>6992</v>
      </c>
      <c r="C1577" s="5">
        <f>CONCATENATE("PD", TEXT(A1577, "1000000"))</f>
      </c>
      <c r="D1577" s="7">
        <v>74</v>
      </c>
      <c r="E1577" s="5">
        <f>XLOOKUP(G1577, item_category!C:C, item_category!B:B, "Not Found")</f>
      </c>
      <c r="F1577" s="1" t="s">
        <v>5520</v>
      </c>
      <c r="G1577" s="5">
        <f>XLOOKUP(I1577, drug!B:B, drug!A:A, "Not Found")</f>
      </c>
      <c r="H1577" s="1"/>
      <c r="I1577" s="7">
        <v>1</v>
      </c>
      <c r="J1577" s="5">
        <f>XLOOKUP(L1577, uom!C:C, uom!B:B, "Not Found")</f>
      </c>
      <c r="K1577" s="1" t="s">
        <v>5511</v>
      </c>
      <c r="L1577" s="5">
        <f>XLOOKUP(N1577, uom!C:C, uom!B:B, "Not Found")</f>
      </c>
      <c r="M1577" s="1" t="s">
        <v>5511</v>
      </c>
      <c r="N1577" s="8" t="s">
        <v>5512</v>
      </c>
      <c r="O1577" s="1" t="s">
        <v>5513</v>
      </c>
      <c r="P1577" s="5">
        <f>XLOOKUP(R1577, classification!C:C, classification!B:B, "Not Found")</f>
      </c>
      <c r="Q1577" s="1" t="s">
        <v>5514</v>
      </c>
      <c r="R1577" s="2"/>
      <c r="S1577" s="2"/>
      <c r="T1577" s="2"/>
      <c r="U1577" s="2"/>
    </row>
    <row x14ac:dyDescent="0.25" r="1578" customHeight="1" ht="17.25">
      <c r="A1578" s="7">
        <v>1577</v>
      </c>
      <c r="B1578" s="1" t="s">
        <v>6993</v>
      </c>
      <c r="C1578" s="5">
        <f>CONCATENATE("PD", TEXT(A1578, "1000000"))</f>
      </c>
      <c r="D1578" s="7">
        <v>74</v>
      </c>
      <c r="E1578" s="5">
        <f>XLOOKUP(G1578, item_category!C:C, item_category!B:B, "Not Found")</f>
      </c>
      <c r="F1578" s="1" t="s">
        <v>5520</v>
      </c>
      <c r="G1578" s="5">
        <f>XLOOKUP(I1578, drug!B:B, drug!A:A, "Not Found")</f>
      </c>
      <c r="H1578" s="1" t="s">
        <v>1942</v>
      </c>
      <c r="I1578" s="7">
        <v>1</v>
      </c>
      <c r="J1578" s="5">
        <f>XLOOKUP(L1578, uom!C:C, uom!B:B, "Not Found")</f>
      </c>
      <c r="K1578" s="1" t="s">
        <v>5511</v>
      </c>
      <c r="L1578" s="5">
        <f>XLOOKUP(N1578, uom!C:C, uom!B:B, "Not Found")</f>
      </c>
      <c r="M1578" s="1" t="s">
        <v>5511</v>
      </c>
      <c r="N1578" s="8" t="s">
        <v>5512</v>
      </c>
      <c r="O1578" s="1" t="s">
        <v>5513</v>
      </c>
      <c r="P1578" s="5">
        <f>XLOOKUP(R1578, classification!C:C, classification!B:B, "Not Found")</f>
      </c>
      <c r="Q1578" s="1" t="s">
        <v>5514</v>
      </c>
      <c r="R1578" s="2"/>
      <c r="S1578" s="2"/>
      <c r="T1578" s="2"/>
      <c r="U1578" s="2"/>
    </row>
    <row x14ac:dyDescent="0.25" r="1579" customHeight="1" ht="17.25">
      <c r="A1579" s="7">
        <v>1578</v>
      </c>
      <c r="B1579" s="1" t="s">
        <v>6994</v>
      </c>
      <c r="C1579" s="5">
        <f>CONCATENATE("PD", TEXT(A1579, "1000000"))</f>
      </c>
      <c r="D1579" s="7">
        <v>74</v>
      </c>
      <c r="E1579" s="5">
        <f>XLOOKUP(G1579, item_category!C:C, item_category!B:B, "Not Found")</f>
      </c>
      <c r="F1579" s="1" t="s">
        <v>5520</v>
      </c>
      <c r="G1579" s="5">
        <f>XLOOKUP(I1579, drug!B:B, drug!A:A, "Not Found")</f>
      </c>
      <c r="H1579" s="1"/>
      <c r="I1579" s="7">
        <v>1</v>
      </c>
      <c r="J1579" s="5">
        <f>XLOOKUP(L1579, uom!C:C, uom!B:B, "Not Found")</f>
      </c>
      <c r="K1579" s="1" t="s">
        <v>5511</v>
      </c>
      <c r="L1579" s="5">
        <f>XLOOKUP(N1579, uom!C:C, uom!B:B, "Not Found")</f>
      </c>
      <c r="M1579" s="1" t="s">
        <v>5511</v>
      </c>
      <c r="N1579" s="8" t="s">
        <v>5512</v>
      </c>
      <c r="O1579" s="1" t="s">
        <v>5513</v>
      </c>
      <c r="P1579" s="5">
        <f>XLOOKUP(R1579, classification!C:C, classification!B:B, "Not Found")</f>
      </c>
      <c r="Q1579" s="1" t="s">
        <v>5514</v>
      </c>
      <c r="R1579" s="2"/>
      <c r="S1579" s="2"/>
      <c r="T1579" s="2"/>
      <c r="U1579" s="2"/>
    </row>
    <row x14ac:dyDescent="0.25" r="1580" customHeight="1" ht="17.25">
      <c r="A1580" s="7">
        <v>1579</v>
      </c>
      <c r="B1580" s="1" t="s">
        <v>6995</v>
      </c>
      <c r="C1580" s="5">
        <f>CONCATENATE("PD", TEXT(A1580, "1000000"))</f>
      </c>
      <c r="D1580" s="7">
        <v>74</v>
      </c>
      <c r="E1580" s="5">
        <f>XLOOKUP(G1580, item_category!C:C, item_category!B:B, "Not Found")</f>
      </c>
      <c r="F1580" s="1" t="s">
        <v>5520</v>
      </c>
      <c r="G1580" s="5">
        <f>XLOOKUP(I1580, drug!B:B, drug!A:A, "Not Found")</f>
      </c>
      <c r="H1580" s="1"/>
      <c r="I1580" s="7">
        <v>1</v>
      </c>
      <c r="J1580" s="5">
        <f>XLOOKUP(L1580, uom!C:C, uom!B:B, "Not Found")</f>
      </c>
      <c r="K1580" s="1" t="s">
        <v>5511</v>
      </c>
      <c r="L1580" s="5">
        <f>XLOOKUP(N1580, uom!C:C, uom!B:B, "Not Found")</f>
      </c>
      <c r="M1580" s="1" t="s">
        <v>5511</v>
      </c>
      <c r="N1580" s="8" t="s">
        <v>5512</v>
      </c>
      <c r="O1580" s="1" t="s">
        <v>5513</v>
      </c>
      <c r="P1580" s="5">
        <f>XLOOKUP(R1580, classification!C:C, classification!B:B, "Not Found")</f>
      </c>
      <c r="Q1580" s="1" t="s">
        <v>5514</v>
      </c>
      <c r="R1580" s="2"/>
      <c r="S1580" s="2"/>
      <c r="T1580" s="2"/>
      <c r="U1580" s="2"/>
    </row>
    <row x14ac:dyDescent="0.25" r="1581" customHeight="1" ht="17.25">
      <c r="A1581" s="7">
        <v>1580</v>
      </c>
      <c r="B1581" s="1" t="s">
        <v>6996</v>
      </c>
      <c r="C1581" s="5">
        <f>CONCATENATE("PD", TEXT(A1581, "1000000"))</f>
      </c>
      <c r="D1581" s="7">
        <v>74</v>
      </c>
      <c r="E1581" s="5">
        <f>XLOOKUP(G1581, item_category!C:C, item_category!B:B, "Not Found")</f>
      </c>
      <c r="F1581" s="1" t="s">
        <v>5520</v>
      </c>
      <c r="G1581" s="5">
        <f>XLOOKUP(I1581, drug!B:B, drug!A:A, "Not Found")</f>
      </c>
      <c r="H1581" s="1"/>
      <c r="I1581" s="7">
        <v>1</v>
      </c>
      <c r="J1581" s="5">
        <f>XLOOKUP(L1581, uom!C:C, uom!B:B, "Not Found")</f>
      </c>
      <c r="K1581" s="1" t="s">
        <v>5511</v>
      </c>
      <c r="L1581" s="5">
        <f>XLOOKUP(N1581, uom!C:C, uom!B:B, "Not Found")</f>
      </c>
      <c r="M1581" s="1" t="s">
        <v>5511</v>
      </c>
      <c r="N1581" s="8" t="s">
        <v>5512</v>
      </c>
      <c r="O1581" s="1" t="s">
        <v>5513</v>
      </c>
      <c r="P1581" s="5">
        <f>XLOOKUP(R1581, classification!C:C, classification!B:B, "Not Found")</f>
      </c>
      <c r="Q1581" s="1" t="s">
        <v>5514</v>
      </c>
      <c r="R1581" s="2"/>
      <c r="S1581" s="2"/>
      <c r="T1581" s="2"/>
      <c r="U1581" s="2"/>
    </row>
    <row x14ac:dyDescent="0.25" r="1582" customHeight="1" ht="17.25">
      <c r="A1582" s="7">
        <v>1581</v>
      </c>
      <c r="B1582" s="1" t="s">
        <v>6997</v>
      </c>
      <c r="C1582" s="5">
        <f>CONCATENATE("PD", TEXT(A1582, "1000000"))</f>
      </c>
      <c r="D1582" s="7">
        <v>74</v>
      </c>
      <c r="E1582" s="5">
        <f>XLOOKUP(G1582, item_category!C:C, item_category!B:B, "Not Found")</f>
      </c>
      <c r="F1582" s="1" t="s">
        <v>5520</v>
      </c>
      <c r="G1582" s="5">
        <f>XLOOKUP(I1582, drug!B:B, drug!A:A, "Not Found")</f>
      </c>
      <c r="H1582" s="1"/>
      <c r="I1582" s="7">
        <v>1</v>
      </c>
      <c r="J1582" s="5">
        <f>XLOOKUP(L1582, uom!C:C, uom!B:B, "Not Found")</f>
      </c>
      <c r="K1582" s="1" t="s">
        <v>5511</v>
      </c>
      <c r="L1582" s="5">
        <f>XLOOKUP(N1582, uom!C:C, uom!B:B, "Not Found")</f>
      </c>
      <c r="M1582" s="1" t="s">
        <v>5511</v>
      </c>
      <c r="N1582" s="8" t="s">
        <v>5512</v>
      </c>
      <c r="O1582" s="1" t="s">
        <v>5513</v>
      </c>
      <c r="P1582" s="5">
        <f>XLOOKUP(R1582, classification!C:C, classification!B:B, "Not Found")</f>
      </c>
      <c r="Q1582" s="1" t="s">
        <v>5514</v>
      </c>
      <c r="R1582" s="2"/>
      <c r="S1582" s="2"/>
      <c r="T1582" s="2"/>
      <c r="U1582" s="2"/>
    </row>
    <row x14ac:dyDescent="0.25" r="1583" customHeight="1" ht="17.25">
      <c r="A1583" s="7">
        <v>1582</v>
      </c>
      <c r="B1583" s="1" t="s">
        <v>6998</v>
      </c>
      <c r="C1583" s="5">
        <f>CONCATENATE("PD", TEXT(A1583, "1000000"))</f>
      </c>
      <c r="D1583" s="7">
        <v>74</v>
      </c>
      <c r="E1583" s="5">
        <f>XLOOKUP(G1583, item_category!C:C, item_category!B:B, "Not Found")</f>
      </c>
      <c r="F1583" s="1" t="s">
        <v>5520</v>
      </c>
      <c r="G1583" s="5">
        <f>XLOOKUP(I1583, drug!B:B, drug!A:A, "Not Found")</f>
      </c>
      <c r="H1583" s="1"/>
      <c r="I1583" s="7">
        <v>1</v>
      </c>
      <c r="J1583" s="5">
        <f>XLOOKUP(L1583, uom!C:C, uom!B:B, "Not Found")</f>
      </c>
      <c r="K1583" s="1" t="s">
        <v>5511</v>
      </c>
      <c r="L1583" s="5">
        <f>XLOOKUP(N1583, uom!C:C, uom!B:B, "Not Found")</f>
      </c>
      <c r="M1583" s="1" t="s">
        <v>5511</v>
      </c>
      <c r="N1583" s="8" t="s">
        <v>5512</v>
      </c>
      <c r="O1583" s="1" t="s">
        <v>5513</v>
      </c>
      <c r="P1583" s="5">
        <f>XLOOKUP(R1583, classification!C:C, classification!B:B, "Not Found")</f>
      </c>
      <c r="Q1583" s="1" t="s">
        <v>5514</v>
      </c>
      <c r="R1583" s="2"/>
      <c r="S1583" s="2"/>
      <c r="T1583" s="2"/>
      <c r="U1583" s="2"/>
    </row>
    <row x14ac:dyDescent="0.25" r="1584" customHeight="1" ht="17.25">
      <c r="A1584" s="7">
        <v>1583</v>
      </c>
      <c r="B1584" s="1" t="s">
        <v>6999</v>
      </c>
      <c r="C1584" s="5">
        <f>CONCATENATE("PD", TEXT(A1584, "1000000"))</f>
      </c>
      <c r="D1584" s="7">
        <v>74</v>
      </c>
      <c r="E1584" s="5">
        <f>XLOOKUP(G1584, item_category!C:C, item_category!B:B, "Not Found")</f>
      </c>
      <c r="F1584" s="1" t="s">
        <v>5520</v>
      </c>
      <c r="G1584" s="5">
        <f>XLOOKUP(I1584, drug!B:B, drug!A:A, "Not Found")</f>
      </c>
      <c r="H1584" s="1"/>
      <c r="I1584" s="7">
        <v>1</v>
      </c>
      <c r="J1584" s="5">
        <f>XLOOKUP(L1584, uom!C:C, uom!B:B, "Not Found")</f>
      </c>
      <c r="K1584" s="1" t="s">
        <v>5511</v>
      </c>
      <c r="L1584" s="5">
        <f>XLOOKUP(N1584, uom!C:C, uom!B:B, "Not Found")</f>
      </c>
      <c r="M1584" s="1" t="s">
        <v>5511</v>
      </c>
      <c r="N1584" s="8" t="s">
        <v>5512</v>
      </c>
      <c r="O1584" s="1" t="s">
        <v>5513</v>
      </c>
      <c r="P1584" s="5">
        <f>XLOOKUP(R1584, classification!C:C, classification!B:B, "Not Found")</f>
      </c>
      <c r="Q1584" s="1" t="s">
        <v>5514</v>
      </c>
      <c r="R1584" s="2"/>
      <c r="S1584" s="2"/>
      <c r="T1584" s="2"/>
      <c r="U1584" s="2"/>
    </row>
    <row x14ac:dyDescent="0.25" r="1585" customHeight="1" ht="17.25">
      <c r="A1585" s="7">
        <v>1584</v>
      </c>
      <c r="B1585" s="1" t="s">
        <v>7000</v>
      </c>
      <c r="C1585" s="5">
        <f>CONCATENATE("PD", TEXT(A1585, "1000000"))</f>
      </c>
      <c r="D1585" s="7">
        <v>74</v>
      </c>
      <c r="E1585" s="5">
        <f>XLOOKUP(G1585, item_category!C:C, item_category!B:B, "Not Found")</f>
      </c>
      <c r="F1585" s="1" t="s">
        <v>5520</v>
      </c>
      <c r="G1585" s="5">
        <f>XLOOKUP(I1585, drug!B:B, drug!A:A, "Not Found")</f>
      </c>
      <c r="H1585" s="1"/>
      <c r="I1585" s="7">
        <v>1</v>
      </c>
      <c r="J1585" s="5">
        <f>XLOOKUP(L1585, uom!C:C, uom!B:B, "Not Found")</f>
      </c>
      <c r="K1585" s="1" t="s">
        <v>5511</v>
      </c>
      <c r="L1585" s="5">
        <f>XLOOKUP(N1585, uom!C:C, uom!B:B, "Not Found")</f>
      </c>
      <c r="M1585" s="1" t="s">
        <v>5511</v>
      </c>
      <c r="N1585" s="8" t="s">
        <v>5512</v>
      </c>
      <c r="O1585" s="1" t="s">
        <v>5513</v>
      </c>
      <c r="P1585" s="5">
        <f>XLOOKUP(R1585, classification!C:C, classification!B:B, "Not Found")</f>
      </c>
      <c r="Q1585" s="1" t="s">
        <v>5514</v>
      </c>
      <c r="R1585" s="2"/>
      <c r="S1585" s="2"/>
      <c r="T1585" s="2"/>
      <c r="U1585" s="2"/>
    </row>
    <row x14ac:dyDescent="0.25" r="1586" customHeight="1" ht="17.25">
      <c r="A1586" s="7">
        <v>1585</v>
      </c>
      <c r="B1586" s="1" t="s">
        <v>7001</v>
      </c>
      <c r="C1586" s="5">
        <f>CONCATENATE("PD", TEXT(A1586, "1000000"))</f>
      </c>
      <c r="D1586" s="7">
        <v>74</v>
      </c>
      <c r="E1586" s="5">
        <f>XLOOKUP(G1586, item_category!C:C, item_category!B:B, "Not Found")</f>
      </c>
      <c r="F1586" s="1" t="s">
        <v>5520</v>
      </c>
      <c r="G1586" s="5">
        <f>XLOOKUP(I1586, drug!B:B, drug!A:A, "Not Found")</f>
      </c>
      <c r="H1586" s="1"/>
      <c r="I1586" s="7">
        <v>1</v>
      </c>
      <c r="J1586" s="5">
        <f>XLOOKUP(L1586, uom!C:C, uom!B:B, "Not Found")</f>
      </c>
      <c r="K1586" s="1" t="s">
        <v>5511</v>
      </c>
      <c r="L1586" s="5">
        <f>XLOOKUP(N1586, uom!C:C, uom!B:B, "Not Found")</f>
      </c>
      <c r="M1586" s="1" t="s">
        <v>5511</v>
      </c>
      <c r="N1586" s="8" t="s">
        <v>5512</v>
      </c>
      <c r="O1586" s="1" t="s">
        <v>5513</v>
      </c>
      <c r="P1586" s="5">
        <f>XLOOKUP(R1586, classification!C:C, classification!B:B, "Not Found")</f>
      </c>
      <c r="Q1586" s="1" t="s">
        <v>5514</v>
      </c>
      <c r="R1586" s="2"/>
      <c r="S1586" s="2"/>
      <c r="T1586" s="2"/>
      <c r="U1586" s="2"/>
    </row>
    <row x14ac:dyDescent="0.25" r="1587" customHeight="1" ht="17.25">
      <c r="A1587" s="7">
        <v>1586</v>
      </c>
      <c r="B1587" s="1" t="s">
        <v>7002</v>
      </c>
      <c r="C1587" s="5">
        <f>CONCATENATE("PD", TEXT(A1587, "1000000"))</f>
      </c>
      <c r="D1587" s="7">
        <v>74</v>
      </c>
      <c r="E1587" s="5">
        <f>XLOOKUP(G1587, item_category!C:C, item_category!B:B, "Not Found")</f>
      </c>
      <c r="F1587" s="1" t="s">
        <v>5520</v>
      </c>
      <c r="G1587" s="5">
        <f>XLOOKUP(I1587, drug!B:B, drug!A:A, "Not Found")</f>
      </c>
      <c r="H1587" s="1"/>
      <c r="I1587" s="7">
        <v>1</v>
      </c>
      <c r="J1587" s="5">
        <f>XLOOKUP(L1587, uom!C:C, uom!B:B, "Not Found")</f>
      </c>
      <c r="K1587" s="1" t="s">
        <v>5511</v>
      </c>
      <c r="L1587" s="5">
        <f>XLOOKUP(N1587, uom!C:C, uom!B:B, "Not Found")</f>
      </c>
      <c r="M1587" s="1" t="s">
        <v>5511</v>
      </c>
      <c r="N1587" s="8" t="s">
        <v>5512</v>
      </c>
      <c r="O1587" s="1" t="s">
        <v>5513</v>
      </c>
      <c r="P1587" s="5">
        <f>XLOOKUP(R1587, classification!C:C, classification!B:B, "Not Found")</f>
      </c>
      <c r="Q1587" s="1" t="s">
        <v>5514</v>
      </c>
      <c r="R1587" s="2"/>
      <c r="S1587" s="2"/>
      <c r="T1587" s="2"/>
      <c r="U1587" s="2"/>
    </row>
    <row x14ac:dyDescent="0.25" r="1588" customHeight="1" ht="17.25">
      <c r="A1588" s="7">
        <v>1587</v>
      </c>
      <c r="B1588" s="1" t="s">
        <v>7003</v>
      </c>
      <c r="C1588" s="5">
        <f>CONCATENATE("PD", TEXT(A1588, "1000000"))</f>
      </c>
      <c r="D1588" s="7">
        <v>74</v>
      </c>
      <c r="E1588" s="5">
        <f>XLOOKUP(G1588, item_category!C:C, item_category!B:B, "Not Found")</f>
      </c>
      <c r="F1588" s="1" t="s">
        <v>5520</v>
      </c>
      <c r="G1588" s="5">
        <f>XLOOKUP(I1588, drug!B:B, drug!A:A, "Not Found")</f>
      </c>
      <c r="H1588" s="1"/>
      <c r="I1588" s="7">
        <v>1</v>
      </c>
      <c r="J1588" s="5">
        <f>XLOOKUP(L1588, uom!C:C, uom!B:B, "Not Found")</f>
      </c>
      <c r="K1588" s="1" t="s">
        <v>5511</v>
      </c>
      <c r="L1588" s="5">
        <f>XLOOKUP(N1588, uom!C:C, uom!B:B, "Not Found")</f>
      </c>
      <c r="M1588" s="1" t="s">
        <v>5511</v>
      </c>
      <c r="N1588" s="8" t="s">
        <v>5512</v>
      </c>
      <c r="O1588" s="1" t="s">
        <v>5513</v>
      </c>
      <c r="P1588" s="5">
        <f>XLOOKUP(R1588, classification!C:C, classification!B:B, "Not Found")</f>
      </c>
      <c r="Q1588" s="1" t="s">
        <v>5514</v>
      </c>
      <c r="R1588" s="2"/>
      <c r="S1588" s="2"/>
      <c r="T1588" s="2"/>
      <c r="U1588" s="2"/>
    </row>
    <row x14ac:dyDescent="0.25" r="1589" customHeight="1" ht="17.25">
      <c r="A1589" s="7">
        <v>1588</v>
      </c>
      <c r="B1589" s="1" t="s">
        <v>7004</v>
      </c>
      <c r="C1589" s="5">
        <f>CONCATENATE("PD", TEXT(A1589, "1000000"))</f>
      </c>
      <c r="D1589" s="7">
        <v>74</v>
      </c>
      <c r="E1589" s="5">
        <f>XLOOKUP(G1589, item_category!C:C, item_category!B:B, "Not Found")</f>
      </c>
      <c r="F1589" s="1" t="s">
        <v>5520</v>
      </c>
      <c r="G1589" s="5">
        <f>XLOOKUP(I1589, drug!B:B, drug!A:A, "Not Found")</f>
      </c>
      <c r="H1589" s="1"/>
      <c r="I1589" s="7">
        <v>1</v>
      </c>
      <c r="J1589" s="5">
        <f>XLOOKUP(L1589, uom!C:C, uom!B:B, "Not Found")</f>
      </c>
      <c r="K1589" s="1" t="s">
        <v>5511</v>
      </c>
      <c r="L1589" s="5">
        <f>XLOOKUP(N1589, uom!C:C, uom!B:B, "Not Found")</f>
      </c>
      <c r="M1589" s="1" t="s">
        <v>5511</v>
      </c>
      <c r="N1589" s="8" t="s">
        <v>5512</v>
      </c>
      <c r="O1589" s="1" t="s">
        <v>5513</v>
      </c>
      <c r="P1589" s="5">
        <f>XLOOKUP(R1589, classification!C:C, classification!B:B, "Not Found")</f>
      </c>
      <c r="Q1589" s="1" t="s">
        <v>5514</v>
      </c>
      <c r="R1589" s="2"/>
      <c r="S1589" s="2"/>
      <c r="T1589" s="2"/>
      <c r="U1589" s="2"/>
    </row>
    <row x14ac:dyDescent="0.25" r="1590" customHeight="1" ht="17.25">
      <c r="A1590" s="7">
        <v>1589</v>
      </c>
      <c r="B1590" s="1" t="s">
        <v>7005</v>
      </c>
      <c r="C1590" s="5">
        <f>CONCATENATE("PD", TEXT(A1590, "1000000"))</f>
      </c>
      <c r="D1590" s="7">
        <v>74</v>
      </c>
      <c r="E1590" s="5">
        <f>XLOOKUP(G1590, item_category!C:C, item_category!B:B, "Not Found")</f>
      </c>
      <c r="F1590" s="1" t="s">
        <v>5520</v>
      </c>
      <c r="G1590" s="5">
        <f>XLOOKUP(I1590, drug!B:B, drug!A:A, "Not Found")</f>
      </c>
      <c r="H1590" s="1" t="s">
        <v>2112</v>
      </c>
      <c r="I1590" s="7">
        <v>1</v>
      </c>
      <c r="J1590" s="5">
        <f>XLOOKUP(L1590, uom!C:C, uom!B:B, "Not Found")</f>
      </c>
      <c r="K1590" s="1" t="s">
        <v>5511</v>
      </c>
      <c r="L1590" s="5">
        <f>XLOOKUP(N1590, uom!C:C, uom!B:B, "Not Found")</f>
      </c>
      <c r="M1590" s="1" t="s">
        <v>5511</v>
      </c>
      <c r="N1590" s="8" t="s">
        <v>5512</v>
      </c>
      <c r="O1590" s="1" t="s">
        <v>5513</v>
      </c>
      <c r="P1590" s="5">
        <f>XLOOKUP(R1590, classification!C:C, classification!B:B, "Not Found")</f>
      </c>
      <c r="Q1590" s="1" t="s">
        <v>5514</v>
      </c>
      <c r="R1590" s="2"/>
      <c r="S1590" s="2"/>
      <c r="T1590" s="2"/>
      <c r="U1590" s="2"/>
    </row>
    <row x14ac:dyDescent="0.25" r="1591" customHeight="1" ht="17.25">
      <c r="A1591" s="7">
        <v>1590</v>
      </c>
      <c r="B1591" s="1" t="s">
        <v>7006</v>
      </c>
      <c r="C1591" s="5">
        <f>CONCATENATE("PD", TEXT(A1591, "1000000"))</f>
      </c>
      <c r="D1591" s="7">
        <v>74</v>
      </c>
      <c r="E1591" s="5">
        <f>XLOOKUP(G1591, item_category!C:C, item_category!B:B, "Not Found")</f>
      </c>
      <c r="F1591" s="1" t="s">
        <v>5520</v>
      </c>
      <c r="G1591" s="5">
        <f>XLOOKUP(I1591, drug!B:B, drug!A:A, "Not Found")</f>
      </c>
      <c r="H1591" s="1"/>
      <c r="I1591" s="7">
        <v>1</v>
      </c>
      <c r="J1591" s="5">
        <f>XLOOKUP(L1591, uom!C:C, uom!B:B, "Not Found")</f>
      </c>
      <c r="K1591" s="1" t="s">
        <v>5511</v>
      </c>
      <c r="L1591" s="5">
        <f>XLOOKUP(N1591, uom!C:C, uom!B:B, "Not Found")</f>
      </c>
      <c r="M1591" s="1" t="s">
        <v>5511</v>
      </c>
      <c r="N1591" s="8" t="s">
        <v>5512</v>
      </c>
      <c r="O1591" s="1" t="s">
        <v>5513</v>
      </c>
      <c r="P1591" s="5">
        <f>XLOOKUP(R1591, classification!C:C, classification!B:B, "Not Found")</f>
      </c>
      <c r="Q1591" s="1" t="s">
        <v>5514</v>
      </c>
      <c r="R1591" s="2"/>
      <c r="S1591" s="2"/>
      <c r="T1591" s="2"/>
      <c r="U1591" s="2"/>
    </row>
    <row x14ac:dyDescent="0.25" r="1592" customHeight="1" ht="17.25">
      <c r="A1592" s="7">
        <v>1591</v>
      </c>
      <c r="B1592" s="1" t="s">
        <v>7007</v>
      </c>
      <c r="C1592" s="5">
        <f>CONCATENATE("PD", TEXT(A1592, "1000000"))</f>
      </c>
      <c r="D1592" s="7">
        <v>74</v>
      </c>
      <c r="E1592" s="5">
        <f>XLOOKUP(G1592, item_category!C:C, item_category!B:B, "Not Found")</f>
      </c>
      <c r="F1592" s="1" t="s">
        <v>5520</v>
      </c>
      <c r="G1592" s="5">
        <f>XLOOKUP(I1592, drug!B:B, drug!A:A, "Not Found")</f>
      </c>
      <c r="H1592" s="1" t="s">
        <v>1336</v>
      </c>
      <c r="I1592" s="7">
        <v>1</v>
      </c>
      <c r="J1592" s="5">
        <f>XLOOKUP(L1592, uom!C:C, uom!B:B, "Not Found")</f>
      </c>
      <c r="K1592" s="1" t="s">
        <v>5511</v>
      </c>
      <c r="L1592" s="5">
        <f>XLOOKUP(N1592, uom!C:C, uom!B:B, "Not Found")</f>
      </c>
      <c r="M1592" s="1" t="s">
        <v>5511</v>
      </c>
      <c r="N1592" s="8" t="s">
        <v>5512</v>
      </c>
      <c r="O1592" s="1" t="s">
        <v>5513</v>
      </c>
      <c r="P1592" s="5">
        <f>XLOOKUP(R1592, classification!C:C, classification!B:B, "Not Found")</f>
      </c>
      <c r="Q1592" s="1" t="s">
        <v>5514</v>
      </c>
      <c r="R1592" s="2"/>
      <c r="S1592" s="2"/>
      <c r="T1592" s="2"/>
      <c r="U1592" s="2"/>
    </row>
    <row x14ac:dyDescent="0.25" r="1593" customHeight="1" ht="17.25">
      <c r="A1593" s="7">
        <v>1592</v>
      </c>
      <c r="B1593" s="1" t="s">
        <v>7008</v>
      </c>
      <c r="C1593" s="5">
        <f>CONCATENATE("PD", TEXT(A1593, "1000000"))</f>
      </c>
      <c r="D1593" s="7">
        <v>74</v>
      </c>
      <c r="E1593" s="5">
        <f>XLOOKUP(G1593, item_category!C:C, item_category!B:B, "Not Found")</f>
      </c>
      <c r="F1593" s="1" t="s">
        <v>5520</v>
      </c>
      <c r="G1593" s="5">
        <f>XLOOKUP(I1593, drug!B:B, drug!A:A, "Not Found")</f>
      </c>
      <c r="H1593" s="1" t="s">
        <v>477</v>
      </c>
      <c r="I1593" s="7">
        <v>1</v>
      </c>
      <c r="J1593" s="5">
        <f>XLOOKUP(L1593, uom!C:C, uom!B:B, "Not Found")</f>
      </c>
      <c r="K1593" s="1" t="s">
        <v>5511</v>
      </c>
      <c r="L1593" s="5">
        <f>XLOOKUP(N1593, uom!C:C, uom!B:B, "Not Found")</f>
      </c>
      <c r="M1593" s="1" t="s">
        <v>5511</v>
      </c>
      <c r="N1593" s="8" t="s">
        <v>5512</v>
      </c>
      <c r="O1593" s="1" t="s">
        <v>5513</v>
      </c>
      <c r="P1593" s="5">
        <f>XLOOKUP(R1593, classification!C:C, classification!B:B, "Not Found")</f>
      </c>
      <c r="Q1593" s="1" t="s">
        <v>5514</v>
      </c>
      <c r="R1593" s="2"/>
      <c r="S1593" s="2"/>
      <c r="T1593" s="2"/>
      <c r="U1593" s="2"/>
    </row>
    <row x14ac:dyDescent="0.25" r="1594" customHeight="1" ht="17.25">
      <c r="A1594" s="7">
        <v>1593</v>
      </c>
      <c r="B1594" s="1" t="s">
        <v>7009</v>
      </c>
      <c r="C1594" s="5">
        <f>CONCATENATE("PD", TEXT(A1594, "1000000"))</f>
      </c>
      <c r="D1594" s="7">
        <v>74</v>
      </c>
      <c r="E1594" s="5">
        <f>XLOOKUP(G1594, item_category!C:C, item_category!B:B, "Not Found")</f>
      </c>
      <c r="F1594" s="1" t="s">
        <v>5520</v>
      </c>
      <c r="G1594" s="5">
        <f>XLOOKUP(I1594, drug!B:B, drug!A:A, "Not Found")</f>
      </c>
      <c r="H1594" s="1" t="s">
        <v>477</v>
      </c>
      <c r="I1594" s="7">
        <v>1</v>
      </c>
      <c r="J1594" s="5">
        <f>XLOOKUP(L1594, uom!C:C, uom!B:B, "Not Found")</f>
      </c>
      <c r="K1594" s="1" t="s">
        <v>5511</v>
      </c>
      <c r="L1594" s="5">
        <f>XLOOKUP(N1594, uom!C:C, uom!B:B, "Not Found")</f>
      </c>
      <c r="M1594" s="1" t="s">
        <v>5511</v>
      </c>
      <c r="N1594" s="8" t="s">
        <v>5512</v>
      </c>
      <c r="O1594" s="1" t="s">
        <v>5513</v>
      </c>
      <c r="P1594" s="5">
        <f>XLOOKUP(R1594, classification!C:C, classification!B:B, "Not Found")</f>
      </c>
      <c r="Q1594" s="1" t="s">
        <v>5514</v>
      </c>
      <c r="R1594" s="2"/>
      <c r="S1594" s="2"/>
      <c r="T1594" s="2"/>
      <c r="U1594" s="2"/>
    </row>
    <row x14ac:dyDescent="0.25" r="1595" customHeight="1" ht="17.25">
      <c r="A1595" s="7">
        <v>1594</v>
      </c>
      <c r="B1595" s="1" t="s">
        <v>7010</v>
      </c>
      <c r="C1595" s="5">
        <f>CONCATENATE("PD", TEXT(A1595, "1000000"))</f>
      </c>
      <c r="D1595" s="7">
        <v>74</v>
      </c>
      <c r="E1595" s="5">
        <f>XLOOKUP(G1595, item_category!C:C, item_category!B:B, "Not Found")</f>
      </c>
      <c r="F1595" s="1" t="s">
        <v>5520</v>
      </c>
      <c r="G1595" s="5">
        <f>XLOOKUP(I1595, drug!B:B, drug!A:A, "Not Found")</f>
      </c>
      <c r="H1595" s="1" t="s">
        <v>477</v>
      </c>
      <c r="I1595" s="7">
        <v>1</v>
      </c>
      <c r="J1595" s="5">
        <f>XLOOKUP(L1595, uom!C:C, uom!B:B, "Not Found")</f>
      </c>
      <c r="K1595" s="1" t="s">
        <v>5511</v>
      </c>
      <c r="L1595" s="5">
        <f>XLOOKUP(N1595, uom!C:C, uom!B:B, "Not Found")</f>
      </c>
      <c r="M1595" s="1" t="s">
        <v>5511</v>
      </c>
      <c r="N1595" s="8" t="s">
        <v>5512</v>
      </c>
      <c r="O1595" s="1" t="s">
        <v>5513</v>
      </c>
      <c r="P1595" s="5">
        <f>XLOOKUP(R1595, classification!C:C, classification!B:B, "Not Found")</f>
      </c>
      <c r="Q1595" s="1" t="s">
        <v>5514</v>
      </c>
      <c r="R1595" s="2"/>
      <c r="S1595" s="2"/>
      <c r="T1595" s="2"/>
      <c r="U1595" s="2"/>
    </row>
    <row x14ac:dyDescent="0.25" r="1596" customHeight="1" ht="17.25">
      <c r="A1596" s="7">
        <v>1595</v>
      </c>
      <c r="B1596" s="1" t="s">
        <v>7011</v>
      </c>
      <c r="C1596" s="5">
        <f>CONCATENATE("PD", TEXT(A1596, "1000000"))</f>
      </c>
      <c r="D1596" s="7">
        <v>74</v>
      </c>
      <c r="E1596" s="5">
        <f>XLOOKUP(G1596, item_category!C:C, item_category!B:B, "Not Found")</f>
      </c>
      <c r="F1596" s="1" t="s">
        <v>5520</v>
      </c>
      <c r="G1596" s="5">
        <f>XLOOKUP(I1596, drug!B:B, drug!A:A, "Not Found")</f>
      </c>
      <c r="H1596" s="1" t="s">
        <v>477</v>
      </c>
      <c r="I1596" s="7">
        <v>1</v>
      </c>
      <c r="J1596" s="5">
        <f>XLOOKUP(L1596, uom!C:C, uom!B:B, "Not Found")</f>
      </c>
      <c r="K1596" s="1" t="s">
        <v>5511</v>
      </c>
      <c r="L1596" s="5">
        <f>XLOOKUP(N1596, uom!C:C, uom!B:B, "Not Found")</f>
      </c>
      <c r="M1596" s="1" t="s">
        <v>5511</v>
      </c>
      <c r="N1596" s="8" t="s">
        <v>5512</v>
      </c>
      <c r="O1596" s="1" t="s">
        <v>5513</v>
      </c>
      <c r="P1596" s="5">
        <f>XLOOKUP(R1596, classification!C:C, classification!B:B, "Not Found")</f>
      </c>
      <c r="Q1596" s="1" t="s">
        <v>5514</v>
      </c>
      <c r="R1596" s="2"/>
      <c r="S1596" s="2"/>
      <c r="T1596" s="2"/>
      <c r="U1596" s="2"/>
    </row>
    <row x14ac:dyDescent="0.25" r="1597" customHeight="1" ht="17.25">
      <c r="A1597" s="7">
        <v>1596</v>
      </c>
      <c r="B1597" s="1" t="s">
        <v>7012</v>
      </c>
      <c r="C1597" s="5">
        <f>CONCATENATE("PD", TEXT(A1597, "1000000"))</f>
      </c>
      <c r="D1597" s="7">
        <v>74</v>
      </c>
      <c r="E1597" s="5">
        <f>XLOOKUP(G1597, item_category!C:C, item_category!B:B, "Not Found")</f>
      </c>
      <c r="F1597" s="1" t="s">
        <v>5520</v>
      </c>
      <c r="G1597" s="5">
        <f>XLOOKUP(I1597, drug!B:B, drug!A:A, "Not Found")</f>
      </c>
      <c r="H1597" s="1" t="s">
        <v>1336</v>
      </c>
      <c r="I1597" s="7">
        <v>1</v>
      </c>
      <c r="J1597" s="5">
        <f>XLOOKUP(L1597, uom!C:C, uom!B:B, "Not Found")</f>
      </c>
      <c r="K1597" s="1" t="s">
        <v>5511</v>
      </c>
      <c r="L1597" s="5">
        <f>XLOOKUP(N1597, uom!C:C, uom!B:B, "Not Found")</f>
      </c>
      <c r="M1597" s="1" t="s">
        <v>5511</v>
      </c>
      <c r="N1597" s="8" t="s">
        <v>5512</v>
      </c>
      <c r="O1597" s="1" t="s">
        <v>5513</v>
      </c>
      <c r="P1597" s="5">
        <f>XLOOKUP(R1597, classification!C:C, classification!B:B, "Not Found")</f>
      </c>
      <c r="Q1597" s="1" t="s">
        <v>5514</v>
      </c>
      <c r="R1597" s="2"/>
      <c r="S1597" s="2"/>
      <c r="T1597" s="2"/>
      <c r="U1597" s="2"/>
    </row>
    <row x14ac:dyDescent="0.25" r="1598" customHeight="1" ht="17.25">
      <c r="A1598" s="7">
        <v>1597</v>
      </c>
      <c r="B1598" s="1" t="s">
        <v>7013</v>
      </c>
      <c r="C1598" s="5">
        <f>CONCATENATE("PD", TEXT(A1598, "1000000"))</f>
      </c>
      <c r="D1598" s="7">
        <v>74</v>
      </c>
      <c r="E1598" s="5">
        <f>XLOOKUP(G1598, item_category!C:C, item_category!B:B, "Not Found")</f>
      </c>
      <c r="F1598" s="1" t="s">
        <v>5520</v>
      </c>
      <c r="G1598" s="5">
        <f>XLOOKUP(I1598, drug!B:B, drug!A:A, "Not Found")</f>
      </c>
      <c r="H1598" s="1" t="s">
        <v>1336</v>
      </c>
      <c r="I1598" s="7">
        <v>1</v>
      </c>
      <c r="J1598" s="5">
        <f>XLOOKUP(L1598, uom!C:C, uom!B:B, "Not Found")</f>
      </c>
      <c r="K1598" s="1" t="s">
        <v>5511</v>
      </c>
      <c r="L1598" s="5">
        <f>XLOOKUP(N1598, uom!C:C, uom!B:B, "Not Found")</f>
      </c>
      <c r="M1598" s="1" t="s">
        <v>5511</v>
      </c>
      <c r="N1598" s="8" t="s">
        <v>5512</v>
      </c>
      <c r="O1598" s="1" t="s">
        <v>5513</v>
      </c>
      <c r="P1598" s="5">
        <f>XLOOKUP(R1598, classification!C:C, classification!B:B, "Not Found")</f>
      </c>
      <c r="Q1598" s="1" t="s">
        <v>5514</v>
      </c>
      <c r="R1598" s="2"/>
      <c r="S1598" s="2"/>
      <c r="T1598" s="2"/>
      <c r="U1598" s="2"/>
    </row>
    <row x14ac:dyDescent="0.25" r="1599" customHeight="1" ht="17.25">
      <c r="A1599" s="7">
        <v>1598</v>
      </c>
      <c r="B1599" s="1" t="s">
        <v>7014</v>
      </c>
      <c r="C1599" s="5">
        <f>CONCATENATE("PD", TEXT(A1599, "1000000"))</f>
      </c>
      <c r="D1599" s="7">
        <v>74</v>
      </c>
      <c r="E1599" s="5">
        <f>XLOOKUP(G1599, item_category!C:C, item_category!B:B, "Not Found")</f>
      </c>
      <c r="F1599" s="1" t="s">
        <v>5520</v>
      </c>
      <c r="G1599" s="5">
        <f>XLOOKUP(I1599, drug!B:B, drug!A:A, "Not Found")</f>
      </c>
      <c r="H1599" s="1" t="s">
        <v>1336</v>
      </c>
      <c r="I1599" s="7">
        <v>1</v>
      </c>
      <c r="J1599" s="5">
        <f>XLOOKUP(L1599, uom!C:C, uom!B:B, "Not Found")</f>
      </c>
      <c r="K1599" s="1" t="s">
        <v>5511</v>
      </c>
      <c r="L1599" s="5">
        <f>XLOOKUP(N1599, uom!C:C, uom!B:B, "Not Found")</f>
      </c>
      <c r="M1599" s="1" t="s">
        <v>5511</v>
      </c>
      <c r="N1599" s="8" t="s">
        <v>5512</v>
      </c>
      <c r="O1599" s="1" t="s">
        <v>5513</v>
      </c>
      <c r="P1599" s="5">
        <f>XLOOKUP(R1599, classification!C:C, classification!B:B, "Not Found")</f>
      </c>
      <c r="Q1599" s="1" t="s">
        <v>5514</v>
      </c>
      <c r="R1599" s="2"/>
      <c r="S1599" s="2"/>
      <c r="T1599" s="2"/>
      <c r="U1599" s="2"/>
    </row>
    <row x14ac:dyDescent="0.25" r="1600" customHeight="1" ht="17.25">
      <c r="A1600" s="7">
        <v>1599</v>
      </c>
      <c r="B1600" s="1" t="s">
        <v>7015</v>
      </c>
      <c r="C1600" s="5">
        <f>CONCATENATE("PD", TEXT(A1600, "1000000"))</f>
      </c>
      <c r="D1600" s="7">
        <v>74</v>
      </c>
      <c r="E1600" s="5">
        <f>XLOOKUP(G1600, item_category!C:C, item_category!B:B, "Not Found")</f>
      </c>
      <c r="F1600" s="1" t="s">
        <v>5520</v>
      </c>
      <c r="G1600" s="5">
        <f>XLOOKUP(I1600, drug!B:B, drug!A:A, "Not Found")</f>
      </c>
      <c r="H1600" s="1" t="s">
        <v>1336</v>
      </c>
      <c r="I1600" s="7">
        <v>1</v>
      </c>
      <c r="J1600" s="5">
        <f>XLOOKUP(L1600, uom!C:C, uom!B:B, "Not Found")</f>
      </c>
      <c r="K1600" s="1" t="s">
        <v>5511</v>
      </c>
      <c r="L1600" s="5">
        <f>XLOOKUP(N1600, uom!C:C, uom!B:B, "Not Found")</f>
      </c>
      <c r="M1600" s="1" t="s">
        <v>5511</v>
      </c>
      <c r="N1600" s="8" t="s">
        <v>5512</v>
      </c>
      <c r="O1600" s="1" t="s">
        <v>5513</v>
      </c>
      <c r="P1600" s="5">
        <f>XLOOKUP(R1600, classification!C:C, classification!B:B, "Not Found")</f>
      </c>
      <c r="Q1600" s="1" t="s">
        <v>5514</v>
      </c>
      <c r="R1600" s="2"/>
      <c r="S1600" s="2"/>
      <c r="T1600" s="2"/>
      <c r="U1600" s="2"/>
    </row>
    <row x14ac:dyDescent="0.25" r="1601" customHeight="1" ht="17.25">
      <c r="A1601" s="7">
        <v>1600</v>
      </c>
      <c r="B1601" s="1" t="s">
        <v>7016</v>
      </c>
      <c r="C1601" s="5">
        <f>CONCATENATE("PD", TEXT(A1601, "1000000"))</f>
      </c>
      <c r="D1601" s="7">
        <v>74</v>
      </c>
      <c r="E1601" s="5">
        <f>XLOOKUP(G1601, item_category!C:C, item_category!B:B, "Not Found")</f>
      </c>
      <c r="F1601" s="1" t="s">
        <v>5520</v>
      </c>
      <c r="G1601" s="5">
        <f>XLOOKUP(I1601, drug!B:B, drug!A:A, "Not Found")</f>
      </c>
      <c r="H1601" s="1" t="s">
        <v>1336</v>
      </c>
      <c r="I1601" s="7">
        <v>1</v>
      </c>
      <c r="J1601" s="5">
        <f>XLOOKUP(L1601, uom!C:C, uom!B:B, "Not Found")</f>
      </c>
      <c r="K1601" s="1" t="s">
        <v>5511</v>
      </c>
      <c r="L1601" s="5">
        <f>XLOOKUP(N1601, uom!C:C, uom!B:B, "Not Found")</f>
      </c>
      <c r="M1601" s="1" t="s">
        <v>5511</v>
      </c>
      <c r="N1601" s="8" t="s">
        <v>5512</v>
      </c>
      <c r="O1601" s="1" t="s">
        <v>5513</v>
      </c>
      <c r="P1601" s="5">
        <f>XLOOKUP(R1601, classification!C:C, classification!B:B, "Not Found")</f>
      </c>
      <c r="Q1601" s="1" t="s">
        <v>5514</v>
      </c>
      <c r="R1601" s="2"/>
      <c r="S1601" s="2"/>
      <c r="T1601" s="2"/>
      <c r="U1601" s="2"/>
    </row>
    <row x14ac:dyDescent="0.25" r="1602" customHeight="1" ht="17.25">
      <c r="A1602" s="7">
        <v>1601</v>
      </c>
      <c r="B1602" s="1" t="s">
        <v>7017</v>
      </c>
      <c r="C1602" s="5">
        <f>CONCATENATE("PD", TEXT(A1602, "1000000"))</f>
      </c>
      <c r="D1602" s="7">
        <v>74</v>
      </c>
      <c r="E1602" s="5">
        <f>XLOOKUP(G1602, item_category!C:C, item_category!B:B, "Not Found")</f>
      </c>
      <c r="F1602" s="1" t="s">
        <v>5520</v>
      </c>
      <c r="G1602" s="5">
        <f>XLOOKUP(I1602, drug!B:B, drug!A:A, "Not Found")</f>
      </c>
      <c r="H1602" s="1" t="s">
        <v>1336</v>
      </c>
      <c r="I1602" s="7">
        <v>1</v>
      </c>
      <c r="J1602" s="5">
        <f>XLOOKUP(L1602, uom!C:C, uom!B:B, "Not Found")</f>
      </c>
      <c r="K1602" s="1" t="s">
        <v>5511</v>
      </c>
      <c r="L1602" s="5">
        <f>XLOOKUP(N1602, uom!C:C, uom!B:B, "Not Found")</f>
      </c>
      <c r="M1602" s="1" t="s">
        <v>5511</v>
      </c>
      <c r="N1602" s="8" t="s">
        <v>5512</v>
      </c>
      <c r="O1602" s="1" t="s">
        <v>5513</v>
      </c>
      <c r="P1602" s="5">
        <f>XLOOKUP(R1602, classification!C:C, classification!B:B, "Not Found")</f>
      </c>
      <c r="Q1602" s="1" t="s">
        <v>5514</v>
      </c>
      <c r="R1602" s="2"/>
      <c r="S1602" s="2"/>
      <c r="T1602" s="2"/>
      <c r="U1602" s="2"/>
    </row>
    <row x14ac:dyDescent="0.25" r="1603" customHeight="1" ht="17.25">
      <c r="A1603" s="7">
        <v>1602</v>
      </c>
      <c r="B1603" s="1" t="s">
        <v>7018</v>
      </c>
      <c r="C1603" s="5">
        <f>CONCATENATE("PD", TEXT(A1603, "1000000"))</f>
      </c>
      <c r="D1603" s="7">
        <v>74</v>
      </c>
      <c r="E1603" s="5">
        <f>XLOOKUP(G1603, item_category!C:C, item_category!B:B, "Not Found")</f>
      </c>
      <c r="F1603" s="1" t="s">
        <v>5520</v>
      </c>
      <c r="G1603" s="5">
        <f>XLOOKUP(I1603, drug!B:B, drug!A:A, "Not Found")</f>
      </c>
      <c r="H1603" s="1"/>
      <c r="I1603" s="7">
        <v>1</v>
      </c>
      <c r="J1603" s="5">
        <f>XLOOKUP(L1603, uom!C:C, uom!B:B, "Not Found")</f>
      </c>
      <c r="K1603" s="1" t="s">
        <v>5511</v>
      </c>
      <c r="L1603" s="5">
        <f>XLOOKUP(N1603, uom!C:C, uom!B:B, "Not Found")</f>
      </c>
      <c r="M1603" s="1" t="s">
        <v>5511</v>
      </c>
      <c r="N1603" s="8" t="s">
        <v>5512</v>
      </c>
      <c r="O1603" s="1" t="s">
        <v>5513</v>
      </c>
      <c r="P1603" s="5">
        <f>XLOOKUP(R1603, classification!C:C, classification!B:B, "Not Found")</f>
      </c>
      <c r="Q1603" s="1" t="s">
        <v>5514</v>
      </c>
      <c r="R1603" s="2"/>
      <c r="S1603" s="2"/>
      <c r="T1603" s="2"/>
      <c r="U1603" s="2"/>
    </row>
    <row x14ac:dyDescent="0.25" r="1604" customHeight="1" ht="17.25">
      <c r="A1604" s="7">
        <v>1603</v>
      </c>
      <c r="B1604" s="1" t="s">
        <v>7019</v>
      </c>
      <c r="C1604" s="5">
        <f>CONCATENATE("PD", TEXT(A1604, "1000000"))</f>
      </c>
      <c r="D1604" s="7">
        <v>74</v>
      </c>
      <c r="E1604" s="5">
        <f>XLOOKUP(G1604, item_category!C:C, item_category!B:B, "Not Found")</f>
      </c>
      <c r="F1604" s="1" t="s">
        <v>5520</v>
      </c>
      <c r="G1604" s="5">
        <f>XLOOKUP(I1604, drug!B:B, drug!A:A, "Not Found")</f>
      </c>
      <c r="H1604" s="1"/>
      <c r="I1604" s="7">
        <v>1</v>
      </c>
      <c r="J1604" s="5">
        <f>XLOOKUP(L1604, uom!C:C, uom!B:B, "Not Found")</f>
      </c>
      <c r="K1604" s="1" t="s">
        <v>5511</v>
      </c>
      <c r="L1604" s="5">
        <f>XLOOKUP(N1604, uom!C:C, uom!B:B, "Not Found")</f>
      </c>
      <c r="M1604" s="1" t="s">
        <v>5511</v>
      </c>
      <c r="N1604" s="8" t="s">
        <v>5512</v>
      </c>
      <c r="O1604" s="1" t="s">
        <v>5513</v>
      </c>
      <c r="P1604" s="5">
        <f>XLOOKUP(R1604, classification!C:C, classification!B:B, "Not Found")</f>
      </c>
      <c r="Q1604" s="1" t="s">
        <v>5514</v>
      </c>
      <c r="R1604" s="2"/>
      <c r="S1604" s="2"/>
      <c r="T1604" s="2"/>
      <c r="U1604" s="2"/>
    </row>
    <row x14ac:dyDescent="0.25" r="1605" customHeight="1" ht="17.25">
      <c r="A1605" s="7">
        <v>1604</v>
      </c>
      <c r="B1605" s="1" t="s">
        <v>7020</v>
      </c>
      <c r="C1605" s="5">
        <f>CONCATENATE("PD", TEXT(A1605, "1000000"))</f>
      </c>
      <c r="D1605" s="7">
        <v>74</v>
      </c>
      <c r="E1605" s="5">
        <f>XLOOKUP(G1605, item_category!C:C, item_category!B:B, "Not Found")</f>
      </c>
      <c r="F1605" s="1" t="s">
        <v>5520</v>
      </c>
      <c r="G1605" s="5">
        <f>XLOOKUP(I1605, drug!B:B, drug!A:A, "Not Found")</f>
      </c>
      <c r="H1605" s="1" t="s">
        <v>477</v>
      </c>
      <c r="I1605" s="7">
        <v>1</v>
      </c>
      <c r="J1605" s="5">
        <f>XLOOKUP(L1605, uom!C:C, uom!B:B, "Not Found")</f>
      </c>
      <c r="K1605" s="1" t="s">
        <v>5511</v>
      </c>
      <c r="L1605" s="5">
        <f>XLOOKUP(N1605, uom!C:C, uom!B:B, "Not Found")</f>
      </c>
      <c r="M1605" s="1" t="s">
        <v>5511</v>
      </c>
      <c r="N1605" s="8" t="s">
        <v>5512</v>
      </c>
      <c r="O1605" s="1" t="s">
        <v>5513</v>
      </c>
      <c r="P1605" s="5">
        <f>XLOOKUP(R1605, classification!C:C, classification!B:B, "Not Found")</f>
      </c>
      <c r="Q1605" s="1" t="s">
        <v>5514</v>
      </c>
      <c r="R1605" s="2"/>
      <c r="S1605" s="2"/>
      <c r="T1605" s="2"/>
      <c r="U1605" s="2"/>
    </row>
    <row x14ac:dyDescent="0.25" r="1606" customHeight="1" ht="17.25">
      <c r="A1606" s="7">
        <v>1605</v>
      </c>
      <c r="B1606" s="1" t="s">
        <v>7021</v>
      </c>
      <c r="C1606" s="5">
        <f>CONCATENATE("PD", TEXT(A1606, "1000000"))</f>
      </c>
      <c r="D1606" s="7">
        <v>74</v>
      </c>
      <c r="E1606" s="5">
        <f>XLOOKUP(G1606, item_category!C:C, item_category!B:B, "Not Found")</f>
      </c>
      <c r="F1606" s="1" t="s">
        <v>5520</v>
      </c>
      <c r="G1606" s="5">
        <f>XLOOKUP(I1606, drug!B:B, drug!A:A, "Not Found")</f>
      </c>
      <c r="H1606" s="1"/>
      <c r="I1606" s="7">
        <v>1</v>
      </c>
      <c r="J1606" s="5">
        <f>XLOOKUP(L1606, uom!C:C, uom!B:B, "Not Found")</f>
      </c>
      <c r="K1606" s="1" t="s">
        <v>5511</v>
      </c>
      <c r="L1606" s="5">
        <f>XLOOKUP(N1606, uom!C:C, uom!B:B, "Not Found")</f>
      </c>
      <c r="M1606" s="1" t="s">
        <v>5511</v>
      </c>
      <c r="N1606" s="8" t="s">
        <v>5512</v>
      </c>
      <c r="O1606" s="1" t="s">
        <v>5513</v>
      </c>
      <c r="P1606" s="5">
        <f>XLOOKUP(R1606, classification!C:C, classification!B:B, "Not Found")</f>
      </c>
      <c r="Q1606" s="1" t="s">
        <v>5514</v>
      </c>
      <c r="R1606" s="2"/>
      <c r="S1606" s="2"/>
      <c r="T1606" s="2"/>
      <c r="U1606" s="2"/>
    </row>
    <row x14ac:dyDescent="0.25" r="1607" customHeight="1" ht="17.25">
      <c r="A1607" s="7">
        <v>1606</v>
      </c>
      <c r="B1607" s="1" t="s">
        <v>7022</v>
      </c>
      <c r="C1607" s="5">
        <f>CONCATENATE("PD", TEXT(A1607, "1000000"))</f>
      </c>
      <c r="D1607" s="7">
        <v>74</v>
      </c>
      <c r="E1607" s="5">
        <f>XLOOKUP(G1607, item_category!C:C, item_category!B:B, "Not Found")</f>
      </c>
      <c r="F1607" s="1" t="s">
        <v>5520</v>
      </c>
      <c r="G1607" s="5">
        <f>XLOOKUP(I1607, drug!B:B, drug!A:A, "Not Found")</f>
      </c>
      <c r="H1607" s="1"/>
      <c r="I1607" s="7">
        <v>1</v>
      </c>
      <c r="J1607" s="5">
        <f>XLOOKUP(L1607, uom!C:C, uom!B:B, "Not Found")</f>
      </c>
      <c r="K1607" s="1" t="s">
        <v>5511</v>
      </c>
      <c r="L1607" s="5">
        <f>XLOOKUP(N1607, uom!C:C, uom!B:B, "Not Found")</f>
      </c>
      <c r="M1607" s="1" t="s">
        <v>5511</v>
      </c>
      <c r="N1607" s="8" t="s">
        <v>5512</v>
      </c>
      <c r="O1607" s="1" t="s">
        <v>5513</v>
      </c>
      <c r="P1607" s="5">
        <f>XLOOKUP(R1607, classification!C:C, classification!B:B, "Not Found")</f>
      </c>
      <c r="Q1607" s="1" t="s">
        <v>5514</v>
      </c>
      <c r="R1607" s="2"/>
      <c r="S1607" s="2"/>
      <c r="T1607" s="2"/>
      <c r="U1607" s="2"/>
    </row>
    <row x14ac:dyDescent="0.25" r="1608" customHeight="1" ht="17.25">
      <c r="A1608" s="7">
        <v>1607</v>
      </c>
      <c r="B1608" s="1" t="s">
        <v>7023</v>
      </c>
      <c r="C1608" s="5">
        <f>CONCATENATE("PD", TEXT(A1608, "1000000"))</f>
      </c>
      <c r="D1608" s="7">
        <v>74</v>
      </c>
      <c r="E1608" s="5">
        <f>XLOOKUP(G1608, item_category!C:C, item_category!B:B, "Not Found")</f>
      </c>
      <c r="F1608" s="1" t="s">
        <v>5520</v>
      </c>
      <c r="G1608" s="5">
        <f>XLOOKUP(I1608, drug!B:B, drug!A:A, "Not Found")</f>
      </c>
      <c r="H1608" s="1"/>
      <c r="I1608" s="7">
        <v>1</v>
      </c>
      <c r="J1608" s="5">
        <f>XLOOKUP(L1608, uom!C:C, uom!B:B, "Not Found")</f>
      </c>
      <c r="K1608" s="1" t="s">
        <v>5511</v>
      </c>
      <c r="L1608" s="5">
        <f>XLOOKUP(N1608, uom!C:C, uom!B:B, "Not Found")</f>
      </c>
      <c r="M1608" s="1" t="s">
        <v>5511</v>
      </c>
      <c r="N1608" s="8" t="s">
        <v>5512</v>
      </c>
      <c r="O1608" s="1" t="s">
        <v>5513</v>
      </c>
      <c r="P1608" s="5">
        <f>XLOOKUP(R1608, classification!C:C, classification!B:B, "Not Found")</f>
      </c>
      <c r="Q1608" s="1" t="s">
        <v>5514</v>
      </c>
      <c r="R1608" s="2"/>
      <c r="S1608" s="2"/>
      <c r="T1608" s="2"/>
      <c r="U1608" s="2"/>
    </row>
    <row x14ac:dyDescent="0.25" r="1609" customHeight="1" ht="17.25">
      <c r="A1609" s="7">
        <v>1608</v>
      </c>
      <c r="B1609" s="1" t="s">
        <v>7024</v>
      </c>
      <c r="C1609" s="5">
        <f>CONCATENATE("PD", TEXT(A1609, "1000000"))</f>
      </c>
      <c r="D1609" s="7">
        <v>74</v>
      </c>
      <c r="E1609" s="5">
        <f>XLOOKUP(G1609, item_category!C:C, item_category!B:B, "Not Found")</f>
      </c>
      <c r="F1609" s="1" t="s">
        <v>5520</v>
      </c>
      <c r="G1609" s="5">
        <f>XLOOKUP(I1609, drug!B:B, drug!A:A, "Not Found")</f>
      </c>
      <c r="H1609" s="1"/>
      <c r="I1609" s="7">
        <v>1</v>
      </c>
      <c r="J1609" s="5">
        <f>XLOOKUP(L1609, uom!C:C, uom!B:B, "Not Found")</f>
      </c>
      <c r="K1609" s="1" t="s">
        <v>5511</v>
      </c>
      <c r="L1609" s="5">
        <f>XLOOKUP(N1609, uom!C:C, uom!B:B, "Not Found")</f>
      </c>
      <c r="M1609" s="1" t="s">
        <v>5511</v>
      </c>
      <c r="N1609" s="8" t="s">
        <v>5512</v>
      </c>
      <c r="O1609" s="1" t="s">
        <v>5513</v>
      </c>
      <c r="P1609" s="5">
        <f>XLOOKUP(R1609, classification!C:C, classification!B:B, "Not Found")</f>
      </c>
      <c r="Q1609" s="1" t="s">
        <v>5514</v>
      </c>
      <c r="R1609" s="2"/>
      <c r="S1609" s="2"/>
      <c r="T1609" s="2"/>
      <c r="U1609" s="2"/>
    </row>
    <row x14ac:dyDescent="0.25" r="1610" customHeight="1" ht="17.25">
      <c r="A1610" s="7">
        <v>1609</v>
      </c>
      <c r="B1610" s="1" t="s">
        <v>7025</v>
      </c>
      <c r="C1610" s="5">
        <f>CONCATENATE("PD", TEXT(A1610, "1000000"))</f>
      </c>
      <c r="D1610" s="7">
        <v>74</v>
      </c>
      <c r="E1610" s="5">
        <f>XLOOKUP(G1610, item_category!C:C, item_category!B:B, "Not Found")</f>
      </c>
      <c r="F1610" s="1" t="s">
        <v>5520</v>
      </c>
      <c r="G1610" s="5">
        <f>XLOOKUP(I1610, drug!B:B, drug!A:A, "Not Found")</f>
      </c>
      <c r="H1610" s="1"/>
      <c r="I1610" s="7">
        <v>1</v>
      </c>
      <c r="J1610" s="5">
        <f>XLOOKUP(L1610, uom!C:C, uom!B:B, "Not Found")</f>
      </c>
      <c r="K1610" s="1" t="s">
        <v>5511</v>
      </c>
      <c r="L1610" s="5">
        <f>XLOOKUP(N1610, uom!C:C, uom!B:B, "Not Found")</f>
      </c>
      <c r="M1610" s="1" t="s">
        <v>5511</v>
      </c>
      <c r="N1610" s="8" t="s">
        <v>5512</v>
      </c>
      <c r="O1610" s="1" t="s">
        <v>5513</v>
      </c>
      <c r="P1610" s="5">
        <f>XLOOKUP(R1610, classification!C:C, classification!B:B, "Not Found")</f>
      </c>
      <c r="Q1610" s="1" t="s">
        <v>5514</v>
      </c>
      <c r="R1610" s="2"/>
      <c r="S1610" s="2"/>
      <c r="T1610" s="2"/>
      <c r="U1610" s="2"/>
    </row>
    <row x14ac:dyDescent="0.25" r="1611" customHeight="1" ht="17.25">
      <c r="A1611" s="7">
        <v>1610</v>
      </c>
      <c r="B1611" s="1" t="s">
        <v>7026</v>
      </c>
      <c r="C1611" s="5">
        <f>CONCATENATE("PD", TEXT(A1611, "1000000"))</f>
      </c>
      <c r="D1611" s="7">
        <v>74</v>
      </c>
      <c r="E1611" s="5">
        <f>XLOOKUP(G1611, item_category!C:C, item_category!B:B, "Not Found")</f>
      </c>
      <c r="F1611" s="1" t="s">
        <v>5520</v>
      </c>
      <c r="G1611" s="5">
        <f>XLOOKUP(I1611, drug!B:B, drug!A:A, "Not Found")</f>
      </c>
      <c r="H1611" s="1"/>
      <c r="I1611" s="7">
        <v>1</v>
      </c>
      <c r="J1611" s="5">
        <f>XLOOKUP(L1611, uom!C:C, uom!B:B, "Not Found")</f>
      </c>
      <c r="K1611" s="1" t="s">
        <v>5511</v>
      </c>
      <c r="L1611" s="5">
        <f>XLOOKUP(N1611, uom!C:C, uom!B:B, "Not Found")</f>
      </c>
      <c r="M1611" s="1" t="s">
        <v>5511</v>
      </c>
      <c r="N1611" s="8" t="s">
        <v>5512</v>
      </c>
      <c r="O1611" s="1" t="s">
        <v>5513</v>
      </c>
      <c r="P1611" s="5">
        <f>XLOOKUP(R1611, classification!C:C, classification!B:B, "Not Found")</f>
      </c>
      <c r="Q1611" s="1" t="s">
        <v>5514</v>
      </c>
      <c r="R1611" s="2"/>
      <c r="S1611" s="2"/>
      <c r="T1611" s="2"/>
      <c r="U1611" s="2"/>
    </row>
    <row x14ac:dyDescent="0.25" r="1612" customHeight="1" ht="17.25">
      <c r="A1612" s="7">
        <v>1611</v>
      </c>
      <c r="B1612" s="1" t="s">
        <v>7027</v>
      </c>
      <c r="C1612" s="5">
        <f>CONCATENATE("PD", TEXT(A1612, "1000000"))</f>
      </c>
      <c r="D1612" s="7">
        <v>74</v>
      </c>
      <c r="E1612" s="5">
        <f>XLOOKUP(G1612, item_category!C:C, item_category!B:B, "Not Found")</f>
      </c>
      <c r="F1612" s="1" t="s">
        <v>5520</v>
      </c>
      <c r="G1612" s="5">
        <f>XLOOKUP(I1612, drug!B:B, drug!A:A, "Not Found")</f>
      </c>
      <c r="H1612" s="1"/>
      <c r="I1612" s="7">
        <v>1</v>
      </c>
      <c r="J1612" s="5">
        <f>XLOOKUP(L1612, uom!C:C, uom!B:B, "Not Found")</f>
      </c>
      <c r="K1612" s="1" t="s">
        <v>5511</v>
      </c>
      <c r="L1612" s="5">
        <f>XLOOKUP(N1612, uom!C:C, uom!B:B, "Not Found")</f>
      </c>
      <c r="M1612" s="1" t="s">
        <v>5511</v>
      </c>
      <c r="N1612" s="8" t="s">
        <v>5512</v>
      </c>
      <c r="O1612" s="1" t="s">
        <v>5513</v>
      </c>
      <c r="P1612" s="5">
        <f>XLOOKUP(R1612, classification!C:C, classification!B:B, "Not Found")</f>
      </c>
      <c r="Q1612" s="1" t="s">
        <v>5514</v>
      </c>
      <c r="R1612" s="2"/>
      <c r="S1612" s="2"/>
      <c r="T1612" s="2"/>
      <c r="U1612" s="2"/>
    </row>
    <row x14ac:dyDescent="0.25" r="1613" customHeight="1" ht="17.25">
      <c r="A1613" s="7">
        <v>1612</v>
      </c>
      <c r="B1613" s="1" t="s">
        <v>7028</v>
      </c>
      <c r="C1613" s="5">
        <f>CONCATENATE("PD", TEXT(A1613, "1000000"))</f>
      </c>
      <c r="D1613" s="7">
        <v>74</v>
      </c>
      <c r="E1613" s="5">
        <f>XLOOKUP(G1613, item_category!C:C, item_category!B:B, "Not Found")</f>
      </c>
      <c r="F1613" s="1" t="s">
        <v>5520</v>
      </c>
      <c r="G1613" s="5">
        <f>XLOOKUP(I1613, drug!B:B, drug!A:A, "Not Found")</f>
      </c>
      <c r="H1613" s="1"/>
      <c r="I1613" s="7">
        <v>1</v>
      </c>
      <c r="J1613" s="5">
        <f>XLOOKUP(L1613, uom!C:C, uom!B:B, "Not Found")</f>
      </c>
      <c r="K1613" s="1" t="s">
        <v>5511</v>
      </c>
      <c r="L1613" s="5">
        <f>XLOOKUP(N1613, uom!C:C, uom!B:B, "Not Found")</f>
      </c>
      <c r="M1613" s="1" t="s">
        <v>5511</v>
      </c>
      <c r="N1613" s="8" t="s">
        <v>5512</v>
      </c>
      <c r="O1613" s="1" t="s">
        <v>5513</v>
      </c>
      <c r="P1613" s="5">
        <f>XLOOKUP(R1613, classification!C:C, classification!B:B, "Not Found")</f>
      </c>
      <c r="Q1613" s="1" t="s">
        <v>5514</v>
      </c>
      <c r="R1613" s="2"/>
      <c r="S1613" s="2"/>
      <c r="T1613" s="2"/>
      <c r="U1613" s="2"/>
    </row>
    <row x14ac:dyDescent="0.25" r="1614" customHeight="1" ht="17.25">
      <c r="A1614" s="7">
        <v>1613</v>
      </c>
      <c r="B1614" s="1" t="s">
        <v>7029</v>
      </c>
      <c r="C1614" s="5">
        <f>CONCATENATE("PD", TEXT(A1614, "1000000"))</f>
      </c>
      <c r="D1614" s="7">
        <v>74</v>
      </c>
      <c r="E1614" s="5">
        <f>XLOOKUP(G1614, item_category!C:C, item_category!B:B, "Not Found")</f>
      </c>
      <c r="F1614" s="1" t="s">
        <v>5520</v>
      </c>
      <c r="G1614" s="5">
        <f>XLOOKUP(I1614, drug!B:B, drug!A:A, "Not Found")</f>
      </c>
      <c r="H1614" s="1"/>
      <c r="I1614" s="7">
        <v>1</v>
      </c>
      <c r="J1614" s="5">
        <f>XLOOKUP(L1614, uom!C:C, uom!B:B, "Not Found")</f>
      </c>
      <c r="K1614" s="1" t="s">
        <v>5511</v>
      </c>
      <c r="L1614" s="5">
        <f>XLOOKUP(N1614, uom!C:C, uom!B:B, "Not Found")</f>
      </c>
      <c r="M1614" s="1" t="s">
        <v>5511</v>
      </c>
      <c r="N1614" s="8" t="s">
        <v>5512</v>
      </c>
      <c r="O1614" s="1" t="s">
        <v>5513</v>
      </c>
      <c r="P1614" s="5">
        <f>XLOOKUP(R1614, classification!C:C, classification!B:B, "Not Found")</f>
      </c>
      <c r="Q1614" s="1" t="s">
        <v>5514</v>
      </c>
      <c r="R1614" s="2"/>
      <c r="S1614" s="2"/>
      <c r="T1614" s="2"/>
      <c r="U1614" s="2"/>
    </row>
    <row x14ac:dyDescent="0.25" r="1615" customHeight="1" ht="17.25">
      <c r="A1615" s="7">
        <v>1614</v>
      </c>
      <c r="B1615" s="1" t="s">
        <v>7030</v>
      </c>
      <c r="C1615" s="5">
        <f>CONCATENATE("PD", TEXT(A1615, "1000000"))</f>
      </c>
      <c r="D1615" s="7">
        <v>74</v>
      </c>
      <c r="E1615" s="5">
        <f>XLOOKUP(G1615, item_category!C:C, item_category!B:B, "Not Found")</f>
      </c>
      <c r="F1615" s="1" t="s">
        <v>5520</v>
      </c>
      <c r="G1615" s="5">
        <f>XLOOKUP(I1615, drug!B:B, drug!A:A, "Not Found")</f>
      </c>
      <c r="H1615" s="1"/>
      <c r="I1615" s="7">
        <v>1</v>
      </c>
      <c r="J1615" s="5">
        <f>XLOOKUP(L1615, uom!C:C, uom!B:B, "Not Found")</f>
      </c>
      <c r="K1615" s="1" t="s">
        <v>5511</v>
      </c>
      <c r="L1615" s="5">
        <f>XLOOKUP(N1615, uom!C:C, uom!B:B, "Not Found")</f>
      </c>
      <c r="M1615" s="1" t="s">
        <v>5511</v>
      </c>
      <c r="N1615" s="8" t="s">
        <v>5512</v>
      </c>
      <c r="O1615" s="1" t="s">
        <v>5513</v>
      </c>
      <c r="P1615" s="5">
        <f>XLOOKUP(R1615, classification!C:C, classification!B:B, "Not Found")</f>
      </c>
      <c r="Q1615" s="1" t="s">
        <v>5514</v>
      </c>
      <c r="R1615" s="2"/>
      <c r="S1615" s="2"/>
      <c r="T1615" s="2"/>
      <c r="U1615" s="2"/>
    </row>
    <row x14ac:dyDescent="0.25" r="1616" customHeight="1" ht="17.25">
      <c r="A1616" s="7">
        <v>1615</v>
      </c>
      <c r="B1616" s="1" t="s">
        <v>7031</v>
      </c>
      <c r="C1616" s="5">
        <f>CONCATENATE("PD", TEXT(A1616, "1000000"))</f>
      </c>
      <c r="D1616" s="7">
        <v>74</v>
      </c>
      <c r="E1616" s="5">
        <f>XLOOKUP(G1616, item_category!C:C, item_category!B:B, "Not Found")</f>
      </c>
      <c r="F1616" s="1" t="s">
        <v>5520</v>
      </c>
      <c r="G1616" s="5">
        <f>XLOOKUP(I1616, drug!B:B, drug!A:A, "Not Found")</f>
      </c>
      <c r="H1616" s="1"/>
      <c r="I1616" s="7">
        <v>1</v>
      </c>
      <c r="J1616" s="5">
        <f>XLOOKUP(L1616, uom!C:C, uom!B:B, "Not Found")</f>
      </c>
      <c r="K1616" s="1" t="s">
        <v>5511</v>
      </c>
      <c r="L1616" s="5">
        <f>XLOOKUP(N1616, uom!C:C, uom!B:B, "Not Found")</f>
      </c>
      <c r="M1616" s="1" t="s">
        <v>5511</v>
      </c>
      <c r="N1616" s="8" t="s">
        <v>5512</v>
      </c>
      <c r="O1616" s="1" t="s">
        <v>5513</v>
      </c>
      <c r="P1616" s="5">
        <f>XLOOKUP(R1616, classification!C:C, classification!B:B, "Not Found")</f>
      </c>
      <c r="Q1616" s="1" t="s">
        <v>5514</v>
      </c>
      <c r="R1616" s="2"/>
      <c r="S1616" s="2"/>
      <c r="T1616" s="2"/>
      <c r="U1616" s="2"/>
    </row>
    <row x14ac:dyDescent="0.25" r="1617" customHeight="1" ht="17.25">
      <c r="A1617" s="7">
        <v>1616</v>
      </c>
      <c r="B1617" s="1" t="s">
        <v>7032</v>
      </c>
      <c r="C1617" s="5">
        <f>CONCATENATE("PD", TEXT(A1617, "1000000"))</f>
      </c>
      <c r="D1617" s="7">
        <v>74</v>
      </c>
      <c r="E1617" s="5">
        <f>XLOOKUP(G1617, item_category!C:C, item_category!B:B, "Not Found")</f>
      </c>
      <c r="F1617" s="1" t="s">
        <v>5520</v>
      </c>
      <c r="G1617" s="5">
        <f>XLOOKUP(I1617, drug!B:B, drug!A:A, "Not Found")</f>
      </c>
      <c r="H1617" s="1"/>
      <c r="I1617" s="7">
        <v>1</v>
      </c>
      <c r="J1617" s="5">
        <f>XLOOKUP(L1617, uom!C:C, uom!B:B, "Not Found")</f>
      </c>
      <c r="K1617" s="1" t="s">
        <v>5511</v>
      </c>
      <c r="L1617" s="5">
        <f>XLOOKUP(N1617, uom!C:C, uom!B:B, "Not Found")</f>
      </c>
      <c r="M1617" s="1" t="s">
        <v>5511</v>
      </c>
      <c r="N1617" s="8" t="s">
        <v>5512</v>
      </c>
      <c r="O1617" s="1" t="s">
        <v>5513</v>
      </c>
      <c r="P1617" s="5">
        <f>XLOOKUP(R1617, classification!C:C, classification!B:B, "Not Found")</f>
      </c>
      <c r="Q1617" s="1" t="s">
        <v>5514</v>
      </c>
      <c r="R1617" s="2"/>
      <c r="S1617" s="2"/>
      <c r="T1617" s="2"/>
      <c r="U1617" s="2"/>
    </row>
    <row x14ac:dyDescent="0.25" r="1618" customHeight="1" ht="17.25">
      <c r="A1618" s="7">
        <v>1617</v>
      </c>
      <c r="B1618" s="1" t="s">
        <v>7033</v>
      </c>
      <c r="C1618" s="5">
        <f>CONCATENATE("PD", TEXT(A1618, "1000000"))</f>
      </c>
      <c r="D1618" s="7">
        <v>74</v>
      </c>
      <c r="E1618" s="5">
        <f>XLOOKUP(G1618, item_category!C:C, item_category!B:B, "Not Found")</f>
      </c>
      <c r="F1618" s="1" t="s">
        <v>5520</v>
      </c>
      <c r="G1618" s="5">
        <f>XLOOKUP(I1618, drug!B:B, drug!A:A, "Not Found")</f>
      </c>
      <c r="H1618" s="1"/>
      <c r="I1618" s="7">
        <v>1</v>
      </c>
      <c r="J1618" s="5">
        <f>XLOOKUP(L1618, uom!C:C, uom!B:B, "Not Found")</f>
      </c>
      <c r="K1618" s="1" t="s">
        <v>5511</v>
      </c>
      <c r="L1618" s="5">
        <f>XLOOKUP(N1618, uom!C:C, uom!B:B, "Not Found")</f>
      </c>
      <c r="M1618" s="1" t="s">
        <v>5511</v>
      </c>
      <c r="N1618" s="8" t="s">
        <v>5512</v>
      </c>
      <c r="O1618" s="1" t="s">
        <v>5513</v>
      </c>
      <c r="P1618" s="5">
        <f>XLOOKUP(R1618, classification!C:C, classification!B:B, "Not Found")</f>
      </c>
      <c r="Q1618" s="1" t="s">
        <v>5514</v>
      </c>
      <c r="R1618" s="2"/>
      <c r="S1618" s="2"/>
      <c r="T1618" s="2"/>
      <c r="U1618" s="2"/>
    </row>
    <row x14ac:dyDescent="0.25" r="1619" customHeight="1" ht="17.25">
      <c r="A1619" s="7">
        <v>1618</v>
      </c>
      <c r="B1619" s="1" t="s">
        <v>7034</v>
      </c>
      <c r="C1619" s="5">
        <f>CONCATENATE("PD", TEXT(A1619, "1000000"))</f>
      </c>
      <c r="D1619" s="7">
        <v>74</v>
      </c>
      <c r="E1619" s="5">
        <f>XLOOKUP(G1619, item_category!C:C, item_category!B:B, "Not Found")</f>
      </c>
      <c r="F1619" s="1" t="s">
        <v>5520</v>
      </c>
      <c r="G1619" s="5">
        <f>XLOOKUP(I1619, drug!B:B, drug!A:A, "Not Found")</f>
      </c>
      <c r="H1619" s="1"/>
      <c r="I1619" s="7">
        <v>1</v>
      </c>
      <c r="J1619" s="5">
        <f>XLOOKUP(L1619, uom!C:C, uom!B:B, "Not Found")</f>
      </c>
      <c r="K1619" s="1" t="s">
        <v>5511</v>
      </c>
      <c r="L1619" s="5">
        <f>XLOOKUP(N1619, uom!C:C, uom!B:B, "Not Found")</f>
      </c>
      <c r="M1619" s="1" t="s">
        <v>5511</v>
      </c>
      <c r="N1619" s="8" t="s">
        <v>5512</v>
      </c>
      <c r="O1619" s="1" t="s">
        <v>5513</v>
      </c>
      <c r="P1619" s="5">
        <f>XLOOKUP(R1619, classification!C:C, classification!B:B, "Not Found")</f>
      </c>
      <c r="Q1619" s="1" t="s">
        <v>5514</v>
      </c>
      <c r="R1619" s="2"/>
      <c r="S1619" s="2"/>
      <c r="T1619" s="2"/>
      <c r="U1619" s="2"/>
    </row>
    <row x14ac:dyDescent="0.25" r="1620" customHeight="1" ht="17.25">
      <c r="A1620" s="7">
        <v>1619</v>
      </c>
      <c r="B1620" s="1" t="s">
        <v>7035</v>
      </c>
      <c r="C1620" s="5">
        <f>CONCATENATE("PD", TEXT(A1620, "1000000"))</f>
      </c>
      <c r="D1620" s="7">
        <v>74</v>
      </c>
      <c r="E1620" s="5">
        <f>XLOOKUP(G1620, item_category!C:C, item_category!B:B, "Not Found")</f>
      </c>
      <c r="F1620" s="1" t="s">
        <v>5520</v>
      </c>
      <c r="G1620" s="5">
        <f>XLOOKUP(I1620, drug!B:B, drug!A:A, "Not Found")</f>
      </c>
      <c r="H1620" s="1"/>
      <c r="I1620" s="7">
        <v>1</v>
      </c>
      <c r="J1620" s="5">
        <f>XLOOKUP(L1620, uom!C:C, uom!B:B, "Not Found")</f>
      </c>
      <c r="K1620" s="1" t="s">
        <v>5511</v>
      </c>
      <c r="L1620" s="5">
        <f>XLOOKUP(N1620, uom!C:C, uom!B:B, "Not Found")</f>
      </c>
      <c r="M1620" s="1" t="s">
        <v>5511</v>
      </c>
      <c r="N1620" s="8" t="s">
        <v>5512</v>
      </c>
      <c r="O1620" s="1" t="s">
        <v>5513</v>
      </c>
      <c r="P1620" s="5">
        <f>XLOOKUP(R1620, classification!C:C, classification!B:B, "Not Found")</f>
      </c>
      <c r="Q1620" s="1" t="s">
        <v>5514</v>
      </c>
      <c r="R1620" s="2"/>
      <c r="S1620" s="2"/>
      <c r="T1620" s="2"/>
      <c r="U1620" s="2"/>
    </row>
    <row x14ac:dyDescent="0.25" r="1621" customHeight="1" ht="17.25">
      <c r="A1621" s="7">
        <v>1620</v>
      </c>
      <c r="B1621" s="1" t="s">
        <v>7036</v>
      </c>
      <c r="C1621" s="5">
        <f>CONCATENATE("PD", TEXT(A1621, "1000000"))</f>
      </c>
      <c r="D1621" s="7">
        <v>74</v>
      </c>
      <c r="E1621" s="5">
        <f>XLOOKUP(G1621, item_category!C:C, item_category!B:B, "Not Found")</f>
      </c>
      <c r="F1621" s="1" t="s">
        <v>5520</v>
      </c>
      <c r="G1621" s="5">
        <f>XLOOKUP(I1621, drug!B:B, drug!A:A, "Not Found")</f>
      </c>
      <c r="H1621" s="1" t="s">
        <v>1228</v>
      </c>
      <c r="I1621" s="7">
        <v>1</v>
      </c>
      <c r="J1621" s="5">
        <f>XLOOKUP(L1621, uom!C:C, uom!B:B, "Not Found")</f>
      </c>
      <c r="K1621" s="1" t="s">
        <v>5511</v>
      </c>
      <c r="L1621" s="5">
        <f>XLOOKUP(N1621, uom!C:C, uom!B:B, "Not Found")</f>
      </c>
      <c r="M1621" s="1" t="s">
        <v>5511</v>
      </c>
      <c r="N1621" s="8" t="s">
        <v>5512</v>
      </c>
      <c r="O1621" s="1" t="s">
        <v>5513</v>
      </c>
      <c r="P1621" s="5">
        <f>XLOOKUP(R1621, classification!C:C, classification!B:B, "Not Found")</f>
      </c>
      <c r="Q1621" s="1" t="s">
        <v>5514</v>
      </c>
      <c r="R1621" s="2"/>
      <c r="S1621" s="2"/>
      <c r="T1621" s="2"/>
      <c r="U1621" s="2"/>
    </row>
    <row x14ac:dyDescent="0.25" r="1622" customHeight="1" ht="17.25">
      <c r="A1622" s="7">
        <v>1621</v>
      </c>
      <c r="B1622" s="1" t="s">
        <v>7037</v>
      </c>
      <c r="C1622" s="5">
        <f>CONCATENATE("PD", TEXT(A1622, "1000000"))</f>
      </c>
      <c r="D1622" s="7">
        <v>74</v>
      </c>
      <c r="E1622" s="5">
        <f>XLOOKUP(G1622, item_category!C:C, item_category!B:B, "Not Found")</f>
      </c>
      <c r="F1622" s="1" t="s">
        <v>5520</v>
      </c>
      <c r="G1622" s="5">
        <f>XLOOKUP(I1622, drug!B:B, drug!A:A, "Not Found")</f>
      </c>
      <c r="H1622" s="1"/>
      <c r="I1622" s="7">
        <v>1</v>
      </c>
      <c r="J1622" s="5">
        <f>XLOOKUP(L1622, uom!C:C, uom!B:B, "Not Found")</f>
      </c>
      <c r="K1622" s="1" t="s">
        <v>5511</v>
      </c>
      <c r="L1622" s="5">
        <f>XLOOKUP(N1622, uom!C:C, uom!B:B, "Not Found")</f>
      </c>
      <c r="M1622" s="1" t="s">
        <v>5511</v>
      </c>
      <c r="N1622" s="8" t="s">
        <v>5512</v>
      </c>
      <c r="O1622" s="1" t="s">
        <v>5513</v>
      </c>
      <c r="P1622" s="5">
        <f>XLOOKUP(R1622, classification!C:C, classification!B:B, "Not Found")</f>
      </c>
      <c r="Q1622" s="1" t="s">
        <v>5514</v>
      </c>
      <c r="R1622" s="2"/>
      <c r="S1622" s="2"/>
      <c r="T1622" s="2"/>
      <c r="U1622" s="2"/>
    </row>
    <row x14ac:dyDescent="0.25" r="1623" customHeight="1" ht="17.25">
      <c r="A1623" s="7">
        <v>1622</v>
      </c>
      <c r="B1623" s="1" t="s">
        <v>7038</v>
      </c>
      <c r="C1623" s="5">
        <f>CONCATENATE("PD", TEXT(A1623, "1000000"))</f>
      </c>
      <c r="D1623" s="7">
        <v>74</v>
      </c>
      <c r="E1623" s="5">
        <f>XLOOKUP(G1623, item_category!C:C, item_category!B:B, "Not Found")</f>
      </c>
      <c r="F1623" s="1" t="s">
        <v>5520</v>
      </c>
      <c r="G1623" s="5">
        <f>XLOOKUP(I1623, drug!B:B, drug!A:A, "Not Found")</f>
      </c>
      <c r="H1623" s="1"/>
      <c r="I1623" s="7">
        <v>1</v>
      </c>
      <c r="J1623" s="5">
        <f>XLOOKUP(L1623, uom!C:C, uom!B:B, "Not Found")</f>
      </c>
      <c r="K1623" s="1" t="s">
        <v>5511</v>
      </c>
      <c r="L1623" s="5">
        <f>XLOOKUP(N1623, uom!C:C, uom!B:B, "Not Found")</f>
      </c>
      <c r="M1623" s="1" t="s">
        <v>5511</v>
      </c>
      <c r="N1623" s="8" t="s">
        <v>5512</v>
      </c>
      <c r="O1623" s="1" t="s">
        <v>5513</v>
      </c>
      <c r="P1623" s="5">
        <f>XLOOKUP(R1623, classification!C:C, classification!B:B, "Not Found")</f>
      </c>
      <c r="Q1623" s="1" t="s">
        <v>5514</v>
      </c>
      <c r="R1623" s="2"/>
      <c r="S1623" s="2"/>
      <c r="T1623" s="2"/>
      <c r="U1623" s="2"/>
    </row>
    <row x14ac:dyDescent="0.25" r="1624" customHeight="1" ht="17.25">
      <c r="A1624" s="7">
        <v>1623</v>
      </c>
      <c r="B1624" s="1" t="s">
        <v>7039</v>
      </c>
      <c r="C1624" s="5">
        <f>CONCATENATE("PD", TEXT(A1624, "1000000"))</f>
      </c>
      <c r="D1624" s="7">
        <v>74</v>
      </c>
      <c r="E1624" s="5">
        <f>XLOOKUP(G1624, item_category!C:C, item_category!B:B, "Not Found")</f>
      </c>
      <c r="F1624" s="1" t="s">
        <v>5520</v>
      </c>
      <c r="G1624" s="5">
        <f>XLOOKUP(I1624, drug!B:B, drug!A:A, "Not Found")</f>
      </c>
      <c r="H1624" s="1" t="s">
        <v>1942</v>
      </c>
      <c r="I1624" s="7">
        <v>1</v>
      </c>
      <c r="J1624" s="5">
        <f>XLOOKUP(L1624, uom!C:C, uom!B:B, "Not Found")</f>
      </c>
      <c r="K1624" s="1" t="s">
        <v>5511</v>
      </c>
      <c r="L1624" s="5">
        <f>XLOOKUP(N1624, uom!C:C, uom!B:B, "Not Found")</f>
      </c>
      <c r="M1624" s="1" t="s">
        <v>5511</v>
      </c>
      <c r="N1624" s="8" t="s">
        <v>5512</v>
      </c>
      <c r="O1624" s="1" t="s">
        <v>5513</v>
      </c>
      <c r="P1624" s="5">
        <f>XLOOKUP(R1624, classification!C:C, classification!B:B, "Not Found")</f>
      </c>
      <c r="Q1624" s="1" t="s">
        <v>5514</v>
      </c>
      <c r="R1624" s="2"/>
      <c r="S1624" s="2"/>
      <c r="T1624" s="2"/>
      <c r="U1624" s="2"/>
    </row>
    <row x14ac:dyDescent="0.25" r="1625" customHeight="1" ht="17.25">
      <c r="A1625" s="7">
        <v>1624</v>
      </c>
      <c r="B1625" s="1" t="s">
        <v>7040</v>
      </c>
      <c r="C1625" s="5">
        <f>CONCATENATE("PD", TEXT(A1625, "1000000"))</f>
      </c>
      <c r="D1625" s="7">
        <v>74</v>
      </c>
      <c r="E1625" s="5">
        <f>XLOOKUP(G1625, item_category!C:C, item_category!B:B, "Not Found")</f>
      </c>
      <c r="F1625" s="1" t="s">
        <v>5520</v>
      </c>
      <c r="G1625" s="5">
        <f>XLOOKUP(I1625, drug!B:B, drug!A:A, "Not Found")</f>
      </c>
      <c r="H1625" s="1"/>
      <c r="I1625" s="7">
        <v>1</v>
      </c>
      <c r="J1625" s="5">
        <f>XLOOKUP(L1625, uom!C:C, uom!B:B, "Not Found")</f>
      </c>
      <c r="K1625" s="1" t="s">
        <v>5511</v>
      </c>
      <c r="L1625" s="5">
        <f>XLOOKUP(N1625, uom!C:C, uom!B:B, "Not Found")</f>
      </c>
      <c r="M1625" s="1" t="s">
        <v>5511</v>
      </c>
      <c r="N1625" s="8" t="s">
        <v>5512</v>
      </c>
      <c r="O1625" s="1" t="s">
        <v>5513</v>
      </c>
      <c r="P1625" s="5">
        <f>XLOOKUP(R1625, classification!C:C, classification!B:B, "Not Found")</f>
      </c>
      <c r="Q1625" s="1" t="s">
        <v>5514</v>
      </c>
      <c r="R1625" s="2"/>
      <c r="S1625" s="2"/>
      <c r="T1625" s="2"/>
      <c r="U1625" s="2"/>
    </row>
    <row x14ac:dyDescent="0.25" r="1626" customHeight="1" ht="17.25">
      <c r="A1626" s="7">
        <v>1625</v>
      </c>
      <c r="B1626" s="1" t="s">
        <v>7041</v>
      </c>
      <c r="C1626" s="5">
        <f>CONCATENATE("PD", TEXT(A1626, "1000000"))</f>
      </c>
      <c r="D1626" s="7">
        <v>74</v>
      </c>
      <c r="E1626" s="5">
        <f>XLOOKUP(G1626, item_category!C:C, item_category!B:B, "Not Found")</f>
      </c>
      <c r="F1626" s="1" t="s">
        <v>5520</v>
      </c>
      <c r="G1626" s="5">
        <f>XLOOKUP(I1626, drug!B:B, drug!A:A, "Not Found")</f>
      </c>
      <c r="H1626" s="1" t="s">
        <v>521</v>
      </c>
      <c r="I1626" s="7">
        <v>1</v>
      </c>
      <c r="J1626" s="5">
        <f>XLOOKUP(L1626, uom!C:C, uom!B:B, "Not Found")</f>
      </c>
      <c r="K1626" s="1" t="s">
        <v>5511</v>
      </c>
      <c r="L1626" s="5">
        <f>XLOOKUP(N1626, uom!C:C, uom!B:B, "Not Found")</f>
      </c>
      <c r="M1626" s="1" t="s">
        <v>5511</v>
      </c>
      <c r="N1626" s="8" t="s">
        <v>5512</v>
      </c>
      <c r="O1626" s="1" t="s">
        <v>5513</v>
      </c>
      <c r="P1626" s="5">
        <f>XLOOKUP(R1626, classification!C:C, classification!B:B, "Not Found")</f>
      </c>
      <c r="Q1626" s="1" t="s">
        <v>5514</v>
      </c>
      <c r="R1626" s="2"/>
      <c r="S1626" s="2"/>
      <c r="T1626" s="2"/>
      <c r="U1626" s="2"/>
    </row>
    <row x14ac:dyDescent="0.25" r="1627" customHeight="1" ht="17.25">
      <c r="A1627" s="7">
        <v>1626</v>
      </c>
      <c r="B1627" s="1" t="s">
        <v>7042</v>
      </c>
      <c r="C1627" s="5">
        <f>CONCATENATE("PD", TEXT(A1627, "1000000"))</f>
      </c>
      <c r="D1627" s="7">
        <v>74</v>
      </c>
      <c r="E1627" s="5">
        <f>XLOOKUP(G1627, item_category!C:C, item_category!B:B, "Not Found")</f>
      </c>
      <c r="F1627" s="1" t="s">
        <v>5520</v>
      </c>
      <c r="G1627" s="5">
        <f>XLOOKUP(I1627, drug!B:B, drug!A:A, "Not Found")</f>
      </c>
      <c r="H1627" s="1"/>
      <c r="I1627" s="7">
        <v>1</v>
      </c>
      <c r="J1627" s="5">
        <f>XLOOKUP(L1627, uom!C:C, uom!B:B, "Not Found")</f>
      </c>
      <c r="K1627" s="1" t="s">
        <v>5511</v>
      </c>
      <c r="L1627" s="5">
        <f>XLOOKUP(N1627, uom!C:C, uom!B:B, "Not Found")</f>
      </c>
      <c r="M1627" s="1" t="s">
        <v>5511</v>
      </c>
      <c r="N1627" s="8" t="s">
        <v>5512</v>
      </c>
      <c r="O1627" s="1" t="s">
        <v>5513</v>
      </c>
      <c r="P1627" s="5">
        <f>XLOOKUP(R1627, classification!C:C, classification!B:B, "Not Found")</f>
      </c>
      <c r="Q1627" s="1" t="s">
        <v>5514</v>
      </c>
      <c r="R1627" s="2"/>
      <c r="S1627" s="2"/>
      <c r="T1627" s="2"/>
      <c r="U1627" s="2"/>
    </row>
    <row x14ac:dyDescent="0.25" r="1628" customHeight="1" ht="17.25">
      <c r="A1628" s="7">
        <v>1627</v>
      </c>
      <c r="B1628" s="1" t="s">
        <v>7042</v>
      </c>
      <c r="C1628" s="5">
        <f>CONCATENATE("PD", TEXT(A1628, "1000000"))</f>
      </c>
      <c r="D1628" s="7">
        <v>74</v>
      </c>
      <c r="E1628" s="5">
        <f>XLOOKUP(G1628, item_category!C:C, item_category!B:B, "Not Found")</f>
      </c>
      <c r="F1628" s="1" t="s">
        <v>5520</v>
      </c>
      <c r="G1628" s="5">
        <f>XLOOKUP(I1628, drug!B:B, drug!A:A, "Not Found")</f>
      </c>
      <c r="H1628" s="1"/>
      <c r="I1628" s="7">
        <v>1</v>
      </c>
      <c r="J1628" s="5">
        <f>XLOOKUP(L1628, uom!C:C, uom!B:B, "Not Found")</f>
      </c>
      <c r="K1628" s="1" t="s">
        <v>5511</v>
      </c>
      <c r="L1628" s="5">
        <f>XLOOKUP(N1628, uom!C:C, uom!B:B, "Not Found")</f>
      </c>
      <c r="M1628" s="1" t="s">
        <v>5511</v>
      </c>
      <c r="N1628" s="8" t="s">
        <v>5512</v>
      </c>
      <c r="O1628" s="1" t="s">
        <v>5513</v>
      </c>
      <c r="P1628" s="5">
        <f>XLOOKUP(R1628, classification!C:C, classification!B:B, "Not Found")</f>
      </c>
      <c r="Q1628" s="1" t="s">
        <v>5514</v>
      </c>
      <c r="R1628" s="2"/>
      <c r="S1628" s="2"/>
      <c r="T1628" s="2"/>
      <c r="U1628" s="2"/>
    </row>
    <row x14ac:dyDescent="0.25" r="1629" customHeight="1" ht="17.25">
      <c r="A1629" s="7">
        <v>1628</v>
      </c>
      <c r="B1629" s="1" t="s">
        <v>2872</v>
      </c>
      <c r="C1629" s="5">
        <f>CONCATENATE("PD", TEXT(A1629, "1000000"))</f>
      </c>
      <c r="D1629" s="7">
        <v>74</v>
      </c>
      <c r="E1629" s="5">
        <f>XLOOKUP(G1629, item_category!C:C, item_category!B:B, "Not Found")</f>
      </c>
      <c r="F1629" s="1" t="s">
        <v>5520</v>
      </c>
      <c r="G1629" s="5">
        <f>XLOOKUP(I1629, drug!B:B, drug!A:A, "Not Found")</f>
      </c>
      <c r="H1629" s="1"/>
      <c r="I1629" s="7">
        <v>1</v>
      </c>
      <c r="J1629" s="5">
        <f>XLOOKUP(L1629, uom!C:C, uom!B:B, "Not Found")</f>
      </c>
      <c r="K1629" s="1" t="s">
        <v>5511</v>
      </c>
      <c r="L1629" s="5">
        <f>XLOOKUP(N1629, uom!C:C, uom!B:B, "Not Found")</f>
      </c>
      <c r="M1629" s="1" t="s">
        <v>5511</v>
      </c>
      <c r="N1629" s="8" t="s">
        <v>5512</v>
      </c>
      <c r="O1629" s="1" t="s">
        <v>5513</v>
      </c>
      <c r="P1629" s="5">
        <f>XLOOKUP(R1629, classification!C:C, classification!B:B, "Not Found")</f>
      </c>
      <c r="Q1629" s="1" t="s">
        <v>5514</v>
      </c>
      <c r="R1629" s="2"/>
      <c r="S1629" s="2"/>
      <c r="T1629" s="2"/>
      <c r="U1629" s="2"/>
    </row>
    <row x14ac:dyDescent="0.25" r="1630" customHeight="1" ht="17.25">
      <c r="A1630" s="7">
        <v>1629</v>
      </c>
      <c r="B1630" s="1" t="s">
        <v>7043</v>
      </c>
      <c r="C1630" s="5">
        <f>CONCATENATE("PD", TEXT(A1630, "1000000"))</f>
      </c>
      <c r="D1630" s="7">
        <v>74</v>
      </c>
      <c r="E1630" s="5">
        <f>XLOOKUP(G1630, item_category!C:C, item_category!B:B, "Not Found")</f>
      </c>
      <c r="F1630" s="1" t="s">
        <v>5520</v>
      </c>
      <c r="G1630" s="5">
        <f>XLOOKUP(I1630, drug!B:B, drug!A:A, "Not Found")</f>
      </c>
      <c r="H1630" s="1"/>
      <c r="I1630" s="7">
        <v>1</v>
      </c>
      <c r="J1630" s="5">
        <f>XLOOKUP(L1630, uom!C:C, uom!B:B, "Not Found")</f>
      </c>
      <c r="K1630" s="1" t="s">
        <v>5511</v>
      </c>
      <c r="L1630" s="5">
        <f>XLOOKUP(N1630, uom!C:C, uom!B:B, "Not Found")</f>
      </c>
      <c r="M1630" s="1" t="s">
        <v>5511</v>
      </c>
      <c r="N1630" s="8" t="s">
        <v>5512</v>
      </c>
      <c r="O1630" s="1" t="s">
        <v>5513</v>
      </c>
      <c r="P1630" s="5">
        <f>XLOOKUP(R1630, classification!C:C, classification!B:B, "Not Found")</f>
      </c>
      <c r="Q1630" s="1" t="s">
        <v>5514</v>
      </c>
      <c r="R1630" s="2"/>
      <c r="S1630" s="2"/>
      <c r="T1630" s="2"/>
      <c r="U1630" s="2"/>
    </row>
    <row x14ac:dyDescent="0.25" r="1631" customHeight="1" ht="17.25">
      <c r="A1631" s="7">
        <v>1630</v>
      </c>
      <c r="B1631" s="1" t="s">
        <v>7044</v>
      </c>
      <c r="C1631" s="5">
        <f>CONCATENATE("PD", TEXT(A1631, "1000000"))</f>
      </c>
      <c r="D1631" s="7">
        <v>74</v>
      </c>
      <c r="E1631" s="5">
        <f>XLOOKUP(G1631, item_category!C:C, item_category!B:B, "Not Found")</f>
      </c>
      <c r="F1631" s="1" t="s">
        <v>5520</v>
      </c>
      <c r="G1631" s="5">
        <f>XLOOKUP(I1631, drug!B:B, drug!A:A, "Not Found")</f>
      </c>
      <c r="H1631" s="1"/>
      <c r="I1631" s="7">
        <v>1</v>
      </c>
      <c r="J1631" s="5">
        <f>XLOOKUP(L1631, uom!C:C, uom!B:B, "Not Found")</f>
      </c>
      <c r="K1631" s="1" t="s">
        <v>5511</v>
      </c>
      <c r="L1631" s="5">
        <f>XLOOKUP(N1631, uom!C:C, uom!B:B, "Not Found")</f>
      </c>
      <c r="M1631" s="1" t="s">
        <v>5511</v>
      </c>
      <c r="N1631" s="8" t="s">
        <v>5512</v>
      </c>
      <c r="O1631" s="1" t="s">
        <v>5513</v>
      </c>
      <c r="P1631" s="5">
        <f>XLOOKUP(R1631, classification!C:C, classification!B:B, "Not Found")</f>
      </c>
      <c r="Q1631" s="1" t="s">
        <v>5514</v>
      </c>
      <c r="R1631" s="2"/>
      <c r="S1631" s="2"/>
      <c r="T1631" s="2"/>
      <c r="U1631" s="2"/>
    </row>
    <row x14ac:dyDescent="0.25" r="1632" customHeight="1" ht="17.25">
      <c r="A1632" s="7">
        <v>1631</v>
      </c>
      <c r="B1632" s="1" t="s">
        <v>7045</v>
      </c>
      <c r="C1632" s="5">
        <f>CONCATENATE("PD", TEXT(A1632, "1000000"))</f>
      </c>
      <c r="D1632" s="7">
        <v>74</v>
      </c>
      <c r="E1632" s="5">
        <f>XLOOKUP(G1632, item_category!C:C, item_category!B:B, "Not Found")</f>
      </c>
      <c r="F1632" s="1" t="s">
        <v>5520</v>
      </c>
      <c r="G1632" s="5">
        <f>XLOOKUP(I1632, drug!B:B, drug!A:A, "Not Found")</f>
      </c>
      <c r="H1632" s="1"/>
      <c r="I1632" s="7">
        <v>1</v>
      </c>
      <c r="J1632" s="5">
        <f>XLOOKUP(L1632, uom!C:C, uom!B:B, "Not Found")</f>
      </c>
      <c r="K1632" s="1" t="s">
        <v>5511</v>
      </c>
      <c r="L1632" s="5">
        <f>XLOOKUP(N1632, uom!C:C, uom!B:B, "Not Found")</f>
      </c>
      <c r="M1632" s="1" t="s">
        <v>5511</v>
      </c>
      <c r="N1632" s="8" t="s">
        <v>5512</v>
      </c>
      <c r="O1632" s="1" t="s">
        <v>5513</v>
      </c>
      <c r="P1632" s="5">
        <f>XLOOKUP(R1632, classification!C:C, classification!B:B, "Not Found")</f>
      </c>
      <c r="Q1632" s="1" t="s">
        <v>5514</v>
      </c>
      <c r="R1632" s="2"/>
      <c r="S1632" s="2"/>
      <c r="T1632" s="2"/>
      <c r="U1632" s="2"/>
    </row>
    <row x14ac:dyDescent="0.25" r="1633" customHeight="1" ht="17.25">
      <c r="A1633" s="7">
        <v>1632</v>
      </c>
      <c r="B1633" s="1" t="s">
        <v>7046</v>
      </c>
      <c r="C1633" s="5">
        <f>CONCATENATE("PD", TEXT(A1633, "1000000"))</f>
      </c>
      <c r="D1633" s="7">
        <v>8</v>
      </c>
      <c r="E1633" s="5">
        <f>XLOOKUP(G1633, item_category!C:C, item_category!B:B, "Not Found")</f>
      </c>
      <c r="F1633" s="1" t="s">
        <v>5517</v>
      </c>
      <c r="G1633" s="5">
        <f>XLOOKUP(I1633, drug!B:B, drug!A:A, "Not Found")</f>
      </c>
      <c r="H1633" s="1"/>
      <c r="I1633" s="7">
        <v>12</v>
      </c>
      <c r="J1633" s="5">
        <f>XLOOKUP(L1633, uom!C:C, uom!B:B, "Not Found")</f>
      </c>
      <c r="K1633" s="1" t="s">
        <v>5511</v>
      </c>
      <c r="L1633" s="5">
        <f>XLOOKUP(N1633, uom!C:C, uom!B:B, "Not Found")</f>
      </c>
      <c r="M1633" s="1" t="s">
        <v>5511</v>
      </c>
      <c r="N1633" s="8" t="s">
        <v>5512</v>
      </c>
      <c r="O1633" s="1" t="s">
        <v>5513</v>
      </c>
      <c r="P1633" s="5">
        <f>XLOOKUP(R1633, classification!C:C, classification!B:B, "Not Found")</f>
      </c>
      <c r="Q1633" s="1" t="s">
        <v>5514</v>
      </c>
      <c r="R1633" s="2"/>
      <c r="S1633" s="2"/>
      <c r="T1633" s="2"/>
      <c r="U1633" s="2"/>
    </row>
    <row x14ac:dyDescent="0.25" r="1634" customHeight="1" ht="17.25">
      <c r="A1634" s="7">
        <v>1633</v>
      </c>
      <c r="B1634" s="1" t="s">
        <v>7047</v>
      </c>
      <c r="C1634" s="5">
        <f>CONCATENATE("PD", TEXT(A1634, "1000000"))</f>
      </c>
      <c r="D1634" s="7">
        <v>74</v>
      </c>
      <c r="E1634" s="5">
        <f>XLOOKUP(G1634, item_category!C:C, item_category!B:B, "Not Found")</f>
      </c>
      <c r="F1634" s="1" t="s">
        <v>5520</v>
      </c>
      <c r="G1634" s="5">
        <f>XLOOKUP(I1634, drug!B:B, drug!A:A, "Not Found")</f>
      </c>
      <c r="H1634" s="1"/>
      <c r="I1634" s="7">
        <v>1</v>
      </c>
      <c r="J1634" s="5">
        <f>XLOOKUP(L1634, uom!C:C, uom!B:B, "Not Found")</f>
      </c>
      <c r="K1634" s="1" t="s">
        <v>5511</v>
      </c>
      <c r="L1634" s="5">
        <f>XLOOKUP(N1634, uom!C:C, uom!B:B, "Not Found")</f>
      </c>
      <c r="M1634" s="1" t="s">
        <v>5511</v>
      </c>
      <c r="N1634" s="8" t="s">
        <v>5512</v>
      </c>
      <c r="O1634" s="1" t="s">
        <v>5513</v>
      </c>
      <c r="P1634" s="5">
        <f>XLOOKUP(R1634, classification!C:C, classification!B:B, "Not Found")</f>
      </c>
      <c r="Q1634" s="1" t="s">
        <v>5514</v>
      </c>
      <c r="R1634" s="2"/>
      <c r="S1634" s="2"/>
      <c r="T1634" s="2"/>
      <c r="U1634" s="2"/>
    </row>
    <row x14ac:dyDescent="0.25" r="1635" customHeight="1" ht="17.25">
      <c r="A1635" s="7">
        <v>1634</v>
      </c>
      <c r="B1635" s="1" t="s">
        <v>7048</v>
      </c>
      <c r="C1635" s="5">
        <f>CONCATENATE("PD", TEXT(A1635, "1000000"))</f>
      </c>
      <c r="D1635" s="7">
        <v>74</v>
      </c>
      <c r="E1635" s="5">
        <f>XLOOKUP(G1635, item_category!C:C, item_category!B:B, "Not Found")</f>
      </c>
      <c r="F1635" s="1" t="s">
        <v>5520</v>
      </c>
      <c r="G1635" s="5">
        <f>XLOOKUP(I1635, drug!B:B, drug!A:A, "Not Found")</f>
      </c>
      <c r="H1635" s="1"/>
      <c r="I1635" s="7">
        <v>1</v>
      </c>
      <c r="J1635" s="5">
        <f>XLOOKUP(L1635, uom!C:C, uom!B:B, "Not Found")</f>
      </c>
      <c r="K1635" s="1" t="s">
        <v>5511</v>
      </c>
      <c r="L1635" s="5">
        <f>XLOOKUP(N1635, uom!C:C, uom!B:B, "Not Found")</f>
      </c>
      <c r="M1635" s="1" t="s">
        <v>5511</v>
      </c>
      <c r="N1635" s="8" t="s">
        <v>5512</v>
      </c>
      <c r="O1635" s="1" t="s">
        <v>5513</v>
      </c>
      <c r="P1635" s="5">
        <f>XLOOKUP(R1635, classification!C:C, classification!B:B, "Not Found")</f>
      </c>
      <c r="Q1635" s="1" t="s">
        <v>5514</v>
      </c>
      <c r="R1635" s="2"/>
      <c r="S1635" s="2"/>
      <c r="T1635" s="2"/>
      <c r="U1635" s="2"/>
    </row>
    <row x14ac:dyDescent="0.25" r="1636" customHeight="1" ht="17.25">
      <c r="A1636" s="7">
        <v>1635</v>
      </c>
      <c r="B1636" s="1" t="s">
        <v>7049</v>
      </c>
      <c r="C1636" s="5">
        <f>CONCATENATE("PD", TEXT(A1636, "1000000"))</f>
      </c>
      <c r="D1636" s="7">
        <v>74</v>
      </c>
      <c r="E1636" s="5">
        <f>XLOOKUP(G1636, item_category!C:C, item_category!B:B, "Not Found")</f>
      </c>
      <c r="F1636" s="1" t="s">
        <v>5520</v>
      </c>
      <c r="G1636" s="5">
        <f>XLOOKUP(I1636, drug!B:B, drug!A:A, "Not Found")</f>
      </c>
      <c r="H1636" s="1"/>
      <c r="I1636" s="7">
        <v>1</v>
      </c>
      <c r="J1636" s="5">
        <f>XLOOKUP(L1636, uom!C:C, uom!B:B, "Not Found")</f>
      </c>
      <c r="K1636" s="1" t="s">
        <v>5511</v>
      </c>
      <c r="L1636" s="5">
        <f>XLOOKUP(N1636, uom!C:C, uom!B:B, "Not Found")</f>
      </c>
      <c r="M1636" s="1" t="s">
        <v>5511</v>
      </c>
      <c r="N1636" s="8" t="s">
        <v>5512</v>
      </c>
      <c r="O1636" s="1" t="s">
        <v>5513</v>
      </c>
      <c r="P1636" s="5">
        <f>XLOOKUP(R1636, classification!C:C, classification!B:B, "Not Found")</f>
      </c>
      <c r="Q1636" s="1" t="s">
        <v>5514</v>
      </c>
      <c r="R1636" s="2"/>
      <c r="S1636" s="2"/>
      <c r="T1636" s="2"/>
      <c r="U1636" s="2"/>
    </row>
    <row x14ac:dyDescent="0.25" r="1637" customHeight="1" ht="17.25">
      <c r="A1637" s="7">
        <v>1636</v>
      </c>
      <c r="B1637" s="1" t="s">
        <v>7050</v>
      </c>
      <c r="C1637" s="5">
        <f>CONCATENATE("PD", TEXT(A1637, "1000000"))</f>
      </c>
      <c r="D1637" s="7">
        <v>74</v>
      </c>
      <c r="E1637" s="5">
        <f>XLOOKUP(G1637, item_category!C:C, item_category!B:B, "Not Found")</f>
      </c>
      <c r="F1637" s="1" t="s">
        <v>5520</v>
      </c>
      <c r="G1637" s="5">
        <f>XLOOKUP(I1637, drug!B:B, drug!A:A, "Not Found")</f>
      </c>
      <c r="H1637" s="1"/>
      <c r="I1637" s="7">
        <v>1</v>
      </c>
      <c r="J1637" s="5">
        <f>XLOOKUP(L1637, uom!C:C, uom!B:B, "Not Found")</f>
      </c>
      <c r="K1637" s="1" t="s">
        <v>5511</v>
      </c>
      <c r="L1637" s="5">
        <f>XLOOKUP(N1637, uom!C:C, uom!B:B, "Not Found")</f>
      </c>
      <c r="M1637" s="1" t="s">
        <v>5511</v>
      </c>
      <c r="N1637" s="8" t="s">
        <v>5512</v>
      </c>
      <c r="O1637" s="1" t="s">
        <v>5513</v>
      </c>
      <c r="P1637" s="5">
        <f>XLOOKUP(R1637, classification!C:C, classification!B:B, "Not Found")</f>
      </c>
      <c r="Q1637" s="1" t="s">
        <v>5514</v>
      </c>
      <c r="R1637" s="2"/>
      <c r="S1637" s="2"/>
      <c r="T1637" s="2"/>
      <c r="U1637" s="2"/>
    </row>
    <row x14ac:dyDescent="0.25" r="1638" customHeight="1" ht="17.25">
      <c r="A1638" s="7">
        <v>1637</v>
      </c>
      <c r="B1638" s="1" t="s">
        <v>7051</v>
      </c>
      <c r="C1638" s="5">
        <f>CONCATENATE("PD", TEXT(A1638, "1000000"))</f>
      </c>
      <c r="D1638" s="7">
        <v>74</v>
      </c>
      <c r="E1638" s="5">
        <f>XLOOKUP(G1638, item_category!C:C, item_category!B:B, "Not Found")</f>
      </c>
      <c r="F1638" s="1" t="s">
        <v>5520</v>
      </c>
      <c r="G1638" s="5">
        <f>XLOOKUP(I1638, drug!B:B, drug!A:A, "Not Found")</f>
      </c>
      <c r="H1638" s="1"/>
      <c r="I1638" s="7">
        <v>1</v>
      </c>
      <c r="J1638" s="5">
        <f>XLOOKUP(L1638, uom!C:C, uom!B:B, "Not Found")</f>
      </c>
      <c r="K1638" s="1" t="s">
        <v>5511</v>
      </c>
      <c r="L1638" s="5">
        <f>XLOOKUP(N1638, uom!C:C, uom!B:B, "Not Found")</f>
      </c>
      <c r="M1638" s="1" t="s">
        <v>5511</v>
      </c>
      <c r="N1638" s="8" t="s">
        <v>5512</v>
      </c>
      <c r="O1638" s="1" t="s">
        <v>5513</v>
      </c>
      <c r="P1638" s="5">
        <f>XLOOKUP(R1638, classification!C:C, classification!B:B, "Not Found")</f>
      </c>
      <c r="Q1638" s="1" t="s">
        <v>5514</v>
      </c>
      <c r="R1638" s="2"/>
      <c r="S1638" s="2"/>
      <c r="T1638" s="2"/>
      <c r="U1638" s="2"/>
    </row>
    <row x14ac:dyDescent="0.25" r="1639" customHeight="1" ht="17.25">
      <c r="A1639" s="7">
        <v>1638</v>
      </c>
      <c r="B1639" s="1" t="s">
        <v>7052</v>
      </c>
      <c r="C1639" s="5">
        <f>CONCATENATE("PD", TEXT(A1639, "1000000"))</f>
      </c>
      <c r="D1639" s="7">
        <v>74</v>
      </c>
      <c r="E1639" s="5">
        <f>XLOOKUP(G1639, item_category!C:C, item_category!B:B, "Not Found")</f>
      </c>
      <c r="F1639" s="1" t="s">
        <v>5520</v>
      </c>
      <c r="G1639" s="5">
        <f>XLOOKUP(I1639, drug!B:B, drug!A:A, "Not Found")</f>
      </c>
      <c r="H1639" s="1"/>
      <c r="I1639" s="7">
        <v>1</v>
      </c>
      <c r="J1639" s="5">
        <f>XLOOKUP(L1639, uom!C:C, uom!B:B, "Not Found")</f>
      </c>
      <c r="K1639" s="1" t="s">
        <v>5511</v>
      </c>
      <c r="L1639" s="5">
        <f>XLOOKUP(N1639, uom!C:C, uom!B:B, "Not Found")</f>
      </c>
      <c r="M1639" s="1" t="s">
        <v>5511</v>
      </c>
      <c r="N1639" s="8" t="s">
        <v>5512</v>
      </c>
      <c r="O1639" s="1" t="s">
        <v>5513</v>
      </c>
      <c r="P1639" s="5">
        <f>XLOOKUP(R1639, classification!C:C, classification!B:B, "Not Found")</f>
      </c>
      <c r="Q1639" s="1" t="s">
        <v>5514</v>
      </c>
      <c r="R1639" s="2"/>
      <c r="S1639" s="2"/>
      <c r="T1639" s="2"/>
      <c r="U1639" s="2"/>
    </row>
    <row x14ac:dyDescent="0.25" r="1640" customHeight="1" ht="17.25">
      <c r="A1640" s="7">
        <v>1639</v>
      </c>
      <c r="B1640" s="1" t="s">
        <v>7053</v>
      </c>
      <c r="C1640" s="5">
        <f>CONCATENATE("PD", TEXT(A1640, "1000000"))</f>
      </c>
      <c r="D1640" s="7">
        <v>74</v>
      </c>
      <c r="E1640" s="5">
        <f>XLOOKUP(G1640, item_category!C:C, item_category!B:B, "Not Found")</f>
      </c>
      <c r="F1640" s="1" t="s">
        <v>5520</v>
      </c>
      <c r="G1640" s="5">
        <f>XLOOKUP(I1640, drug!B:B, drug!A:A, "Not Found")</f>
      </c>
      <c r="H1640" s="1"/>
      <c r="I1640" s="7">
        <v>1</v>
      </c>
      <c r="J1640" s="5">
        <f>XLOOKUP(L1640, uom!C:C, uom!B:B, "Not Found")</f>
      </c>
      <c r="K1640" s="1" t="s">
        <v>5511</v>
      </c>
      <c r="L1640" s="5">
        <f>XLOOKUP(N1640, uom!C:C, uom!B:B, "Not Found")</f>
      </c>
      <c r="M1640" s="1" t="s">
        <v>5511</v>
      </c>
      <c r="N1640" s="8" t="s">
        <v>5512</v>
      </c>
      <c r="O1640" s="1" t="s">
        <v>5513</v>
      </c>
      <c r="P1640" s="5">
        <f>XLOOKUP(R1640, classification!C:C, classification!B:B, "Not Found")</f>
      </c>
      <c r="Q1640" s="1" t="s">
        <v>5514</v>
      </c>
      <c r="R1640" s="2"/>
      <c r="S1640" s="2"/>
      <c r="T1640" s="2"/>
      <c r="U1640" s="2"/>
    </row>
    <row x14ac:dyDescent="0.25" r="1641" customHeight="1" ht="17.25">
      <c r="A1641" s="7">
        <v>1640</v>
      </c>
      <c r="B1641" s="1" t="s">
        <v>7054</v>
      </c>
      <c r="C1641" s="5">
        <f>CONCATENATE("PD", TEXT(A1641, "1000000"))</f>
      </c>
      <c r="D1641" s="7">
        <v>74</v>
      </c>
      <c r="E1641" s="5">
        <f>XLOOKUP(G1641, item_category!C:C, item_category!B:B, "Not Found")</f>
      </c>
      <c r="F1641" s="1" t="s">
        <v>5520</v>
      </c>
      <c r="G1641" s="5">
        <f>XLOOKUP(I1641, drug!B:B, drug!A:A, "Not Found")</f>
      </c>
      <c r="H1641" s="1"/>
      <c r="I1641" s="7">
        <v>1</v>
      </c>
      <c r="J1641" s="5">
        <f>XLOOKUP(L1641, uom!C:C, uom!B:B, "Not Found")</f>
      </c>
      <c r="K1641" s="1" t="s">
        <v>5511</v>
      </c>
      <c r="L1641" s="5">
        <f>XLOOKUP(N1641, uom!C:C, uom!B:B, "Not Found")</f>
      </c>
      <c r="M1641" s="1" t="s">
        <v>5511</v>
      </c>
      <c r="N1641" s="8" t="s">
        <v>5512</v>
      </c>
      <c r="O1641" s="1" t="s">
        <v>5513</v>
      </c>
      <c r="P1641" s="5">
        <f>XLOOKUP(R1641, classification!C:C, classification!B:B, "Not Found")</f>
      </c>
      <c r="Q1641" s="1" t="s">
        <v>5514</v>
      </c>
      <c r="R1641" s="2"/>
      <c r="S1641" s="2"/>
      <c r="T1641" s="2"/>
      <c r="U1641" s="2"/>
    </row>
    <row x14ac:dyDescent="0.25" r="1642" customHeight="1" ht="17.25">
      <c r="A1642" s="7">
        <v>1641</v>
      </c>
      <c r="B1642" s="1" t="s">
        <v>7055</v>
      </c>
      <c r="C1642" s="5">
        <f>CONCATENATE("PD", TEXT(A1642, "1000000"))</f>
      </c>
      <c r="D1642" s="7">
        <v>74</v>
      </c>
      <c r="E1642" s="5">
        <f>XLOOKUP(G1642, item_category!C:C, item_category!B:B, "Not Found")</f>
      </c>
      <c r="F1642" s="1" t="s">
        <v>5520</v>
      </c>
      <c r="G1642" s="5">
        <f>XLOOKUP(I1642, drug!B:B, drug!A:A, "Not Found")</f>
      </c>
      <c r="H1642" s="1"/>
      <c r="I1642" s="7">
        <v>1</v>
      </c>
      <c r="J1642" s="5">
        <f>XLOOKUP(L1642, uom!C:C, uom!B:B, "Not Found")</f>
      </c>
      <c r="K1642" s="1" t="s">
        <v>5511</v>
      </c>
      <c r="L1642" s="5">
        <f>XLOOKUP(N1642, uom!C:C, uom!B:B, "Not Found")</f>
      </c>
      <c r="M1642" s="1" t="s">
        <v>5511</v>
      </c>
      <c r="N1642" s="8" t="s">
        <v>5512</v>
      </c>
      <c r="O1642" s="1" t="s">
        <v>5513</v>
      </c>
      <c r="P1642" s="5">
        <f>XLOOKUP(R1642, classification!C:C, classification!B:B, "Not Found")</f>
      </c>
      <c r="Q1642" s="1" t="s">
        <v>5514</v>
      </c>
      <c r="R1642" s="2"/>
      <c r="S1642" s="2"/>
      <c r="T1642" s="2"/>
      <c r="U1642" s="2"/>
    </row>
    <row x14ac:dyDescent="0.25" r="1643" customHeight="1" ht="17.25">
      <c r="A1643" s="7">
        <v>1642</v>
      </c>
      <c r="B1643" s="1" t="s">
        <v>7056</v>
      </c>
      <c r="C1643" s="5">
        <f>CONCATENATE("PD", TEXT(A1643, "1000000"))</f>
      </c>
      <c r="D1643" s="7">
        <v>74</v>
      </c>
      <c r="E1643" s="5">
        <f>XLOOKUP(G1643, item_category!C:C, item_category!B:B, "Not Found")</f>
      </c>
      <c r="F1643" s="1" t="s">
        <v>5520</v>
      </c>
      <c r="G1643" s="5">
        <f>XLOOKUP(I1643, drug!B:B, drug!A:A, "Not Found")</f>
      </c>
      <c r="H1643" s="1"/>
      <c r="I1643" s="7">
        <v>1</v>
      </c>
      <c r="J1643" s="5">
        <f>XLOOKUP(L1643, uom!C:C, uom!B:B, "Not Found")</f>
      </c>
      <c r="K1643" s="1" t="s">
        <v>5511</v>
      </c>
      <c r="L1643" s="5">
        <f>XLOOKUP(N1643, uom!C:C, uom!B:B, "Not Found")</f>
      </c>
      <c r="M1643" s="1" t="s">
        <v>5511</v>
      </c>
      <c r="N1643" s="8" t="s">
        <v>5512</v>
      </c>
      <c r="O1643" s="1" t="s">
        <v>5513</v>
      </c>
      <c r="P1643" s="5">
        <f>XLOOKUP(R1643, classification!C:C, classification!B:B, "Not Found")</f>
      </c>
      <c r="Q1643" s="1" t="s">
        <v>5514</v>
      </c>
      <c r="R1643" s="2"/>
      <c r="S1643" s="2"/>
      <c r="T1643" s="2"/>
      <c r="U1643" s="2"/>
    </row>
    <row x14ac:dyDescent="0.25" r="1644" customHeight="1" ht="17.25">
      <c r="A1644" s="7">
        <v>1643</v>
      </c>
      <c r="B1644" s="1" t="s">
        <v>7057</v>
      </c>
      <c r="C1644" s="5">
        <f>CONCATENATE("PD", TEXT(A1644, "1000000"))</f>
      </c>
      <c r="D1644" s="7">
        <v>74</v>
      </c>
      <c r="E1644" s="5">
        <f>XLOOKUP(G1644, item_category!C:C, item_category!B:B, "Not Found")</f>
      </c>
      <c r="F1644" s="1" t="s">
        <v>5520</v>
      </c>
      <c r="G1644" s="5">
        <f>XLOOKUP(I1644, drug!B:B, drug!A:A, "Not Found")</f>
      </c>
      <c r="H1644" s="1"/>
      <c r="I1644" s="7">
        <v>1</v>
      </c>
      <c r="J1644" s="5">
        <f>XLOOKUP(L1644, uom!C:C, uom!B:B, "Not Found")</f>
      </c>
      <c r="K1644" s="1" t="s">
        <v>5511</v>
      </c>
      <c r="L1644" s="5">
        <f>XLOOKUP(N1644, uom!C:C, uom!B:B, "Not Found")</f>
      </c>
      <c r="M1644" s="1" t="s">
        <v>5511</v>
      </c>
      <c r="N1644" s="8" t="s">
        <v>5512</v>
      </c>
      <c r="O1644" s="1" t="s">
        <v>5513</v>
      </c>
      <c r="P1644" s="5">
        <f>XLOOKUP(R1644, classification!C:C, classification!B:B, "Not Found")</f>
      </c>
      <c r="Q1644" s="1" t="s">
        <v>5514</v>
      </c>
      <c r="R1644" s="2"/>
      <c r="S1644" s="2"/>
      <c r="T1644" s="2"/>
      <c r="U1644" s="2"/>
    </row>
    <row x14ac:dyDescent="0.25" r="1645" customHeight="1" ht="17.25">
      <c r="A1645" s="7">
        <v>1644</v>
      </c>
      <c r="B1645" s="1" t="s">
        <v>7058</v>
      </c>
      <c r="C1645" s="5">
        <f>CONCATENATE("PD", TEXT(A1645, "1000000"))</f>
      </c>
      <c r="D1645" s="7">
        <v>74</v>
      </c>
      <c r="E1645" s="5">
        <f>XLOOKUP(G1645, item_category!C:C, item_category!B:B, "Not Found")</f>
      </c>
      <c r="F1645" s="1" t="s">
        <v>5520</v>
      </c>
      <c r="G1645" s="5">
        <f>XLOOKUP(I1645, drug!B:B, drug!A:A, "Not Found")</f>
      </c>
      <c r="H1645" s="1"/>
      <c r="I1645" s="7">
        <v>1</v>
      </c>
      <c r="J1645" s="5">
        <f>XLOOKUP(L1645, uom!C:C, uom!B:B, "Not Found")</f>
      </c>
      <c r="K1645" s="1" t="s">
        <v>5511</v>
      </c>
      <c r="L1645" s="5">
        <f>XLOOKUP(N1645, uom!C:C, uom!B:B, "Not Found")</f>
      </c>
      <c r="M1645" s="1" t="s">
        <v>5511</v>
      </c>
      <c r="N1645" s="8" t="s">
        <v>5512</v>
      </c>
      <c r="O1645" s="1" t="s">
        <v>5513</v>
      </c>
      <c r="P1645" s="5">
        <f>XLOOKUP(R1645, classification!C:C, classification!B:B, "Not Found")</f>
      </c>
      <c r="Q1645" s="1" t="s">
        <v>5514</v>
      </c>
      <c r="R1645" s="2"/>
      <c r="S1645" s="2"/>
      <c r="T1645" s="2"/>
      <c r="U1645" s="2"/>
    </row>
    <row x14ac:dyDescent="0.25" r="1646" customHeight="1" ht="17.25">
      <c r="A1646" s="7">
        <v>1645</v>
      </c>
      <c r="B1646" s="1" t="s">
        <v>7059</v>
      </c>
      <c r="C1646" s="5">
        <f>CONCATENATE("PD", TEXT(A1646, "1000000"))</f>
      </c>
      <c r="D1646" s="7">
        <v>74</v>
      </c>
      <c r="E1646" s="5">
        <f>XLOOKUP(G1646, item_category!C:C, item_category!B:B, "Not Found")</f>
      </c>
      <c r="F1646" s="1" t="s">
        <v>5520</v>
      </c>
      <c r="G1646" s="5">
        <f>XLOOKUP(I1646, drug!B:B, drug!A:A, "Not Found")</f>
      </c>
      <c r="H1646" s="1"/>
      <c r="I1646" s="7">
        <v>1</v>
      </c>
      <c r="J1646" s="5">
        <f>XLOOKUP(L1646, uom!C:C, uom!B:B, "Not Found")</f>
      </c>
      <c r="K1646" s="1" t="s">
        <v>5511</v>
      </c>
      <c r="L1646" s="5">
        <f>XLOOKUP(N1646, uom!C:C, uom!B:B, "Not Found")</f>
      </c>
      <c r="M1646" s="1" t="s">
        <v>5511</v>
      </c>
      <c r="N1646" s="8" t="s">
        <v>5512</v>
      </c>
      <c r="O1646" s="1" t="s">
        <v>5513</v>
      </c>
      <c r="P1646" s="5">
        <f>XLOOKUP(R1646, classification!C:C, classification!B:B, "Not Found")</f>
      </c>
      <c r="Q1646" s="1" t="s">
        <v>5514</v>
      </c>
      <c r="R1646" s="2"/>
      <c r="S1646" s="2"/>
      <c r="T1646" s="2"/>
      <c r="U1646" s="2"/>
    </row>
    <row x14ac:dyDescent="0.25" r="1647" customHeight="1" ht="17.25">
      <c r="A1647" s="7">
        <v>1646</v>
      </c>
      <c r="B1647" s="1" t="s">
        <v>7060</v>
      </c>
      <c r="C1647" s="5">
        <f>CONCATENATE("PD", TEXT(A1647, "1000000"))</f>
      </c>
      <c r="D1647" s="7">
        <v>74</v>
      </c>
      <c r="E1647" s="5">
        <f>XLOOKUP(G1647, item_category!C:C, item_category!B:B, "Not Found")</f>
      </c>
      <c r="F1647" s="1" t="s">
        <v>5520</v>
      </c>
      <c r="G1647" s="5">
        <f>XLOOKUP(I1647, drug!B:B, drug!A:A, "Not Found")</f>
      </c>
      <c r="H1647" s="1"/>
      <c r="I1647" s="7">
        <v>1</v>
      </c>
      <c r="J1647" s="5">
        <f>XLOOKUP(L1647, uom!C:C, uom!B:B, "Not Found")</f>
      </c>
      <c r="K1647" s="1" t="s">
        <v>5511</v>
      </c>
      <c r="L1647" s="5">
        <f>XLOOKUP(N1647, uom!C:C, uom!B:B, "Not Found")</f>
      </c>
      <c r="M1647" s="1" t="s">
        <v>5511</v>
      </c>
      <c r="N1647" s="8" t="s">
        <v>5512</v>
      </c>
      <c r="O1647" s="1" t="s">
        <v>5513</v>
      </c>
      <c r="P1647" s="5">
        <f>XLOOKUP(R1647, classification!C:C, classification!B:B, "Not Found")</f>
      </c>
      <c r="Q1647" s="1" t="s">
        <v>5514</v>
      </c>
      <c r="R1647" s="2"/>
      <c r="S1647" s="2"/>
      <c r="T1647" s="2"/>
      <c r="U1647" s="2"/>
    </row>
    <row x14ac:dyDescent="0.25" r="1648" customHeight="1" ht="17.25">
      <c r="A1648" s="7">
        <v>1647</v>
      </c>
      <c r="B1648" s="1" t="s">
        <v>7061</v>
      </c>
      <c r="C1648" s="5">
        <f>CONCATENATE("PD", TEXT(A1648, "1000000"))</f>
      </c>
      <c r="D1648" s="7">
        <v>74</v>
      </c>
      <c r="E1648" s="5">
        <f>XLOOKUP(G1648, item_category!C:C, item_category!B:B, "Not Found")</f>
      </c>
      <c r="F1648" s="1" t="s">
        <v>5520</v>
      </c>
      <c r="G1648" s="5">
        <f>XLOOKUP(I1648, drug!B:B, drug!A:A, "Not Found")</f>
      </c>
      <c r="H1648" s="1"/>
      <c r="I1648" s="7">
        <v>1</v>
      </c>
      <c r="J1648" s="5">
        <f>XLOOKUP(L1648, uom!C:C, uom!B:B, "Not Found")</f>
      </c>
      <c r="K1648" s="1" t="s">
        <v>5511</v>
      </c>
      <c r="L1648" s="5">
        <f>XLOOKUP(N1648, uom!C:C, uom!B:B, "Not Found")</f>
      </c>
      <c r="M1648" s="1" t="s">
        <v>5511</v>
      </c>
      <c r="N1648" s="8" t="s">
        <v>5512</v>
      </c>
      <c r="O1648" s="1" t="s">
        <v>5513</v>
      </c>
      <c r="P1648" s="5">
        <f>XLOOKUP(R1648, classification!C:C, classification!B:B, "Not Found")</f>
      </c>
      <c r="Q1648" s="1" t="s">
        <v>5514</v>
      </c>
      <c r="R1648" s="2"/>
      <c r="S1648" s="2"/>
      <c r="T1648" s="2"/>
      <c r="U1648" s="2"/>
    </row>
    <row x14ac:dyDescent="0.25" r="1649" customHeight="1" ht="17.25">
      <c r="A1649" s="7">
        <v>1648</v>
      </c>
      <c r="B1649" s="1" t="s">
        <v>7062</v>
      </c>
      <c r="C1649" s="5">
        <f>CONCATENATE("PD", TEXT(A1649, "1000000"))</f>
      </c>
      <c r="D1649" s="7">
        <v>74</v>
      </c>
      <c r="E1649" s="5">
        <f>XLOOKUP(G1649, item_category!C:C, item_category!B:B, "Not Found")</f>
      </c>
      <c r="F1649" s="1" t="s">
        <v>5520</v>
      </c>
      <c r="G1649" s="5">
        <f>XLOOKUP(I1649, drug!B:B, drug!A:A, "Not Found")</f>
      </c>
      <c r="H1649" s="1"/>
      <c r="I1649" s="7">
        <v>1</v>
      </c>
      <c r="J1649" s="5">
        <f>XLOOKUP(L1649, uom!C:C, uom!B:B, "Not Found")</f>
      </c>
      <c r="K1649" s="1" t="s">
        <v>5511</v>
      </c>
      <c r="L1649" s="5">
        <f>XLOOKUP(N1649, uom!C:C, uom!B:B, "Not Found")</f>
      </c>
      <c r="M1649" s="1" t="s">
        <v>5511</v>
      </c>
      <c r="N1649" s="8" t="s">
        <v>5512</v>
      </c>
      <c r="O1649" s="1" t="s">
        <v>5513</v>
      </c>
      <c r="P1649" s="5">
        <f>XLOOKUP(R1649, classification!C:C, classification!B:B, "Not Found")</f>
      </c>
      <c r="Q1649" s="1" t="s">
        <v>5514</v>
      </c>
      <c r="R1649" s="2"/>
      <c r="S1649" s="2"/>
      <c r="T1649" s="2"/>
      <c r="U1649" s="2"/>
    </row>
    <row x14ac:dyDescent="0.25" r="1650" customHeight="1" ht="17.25">
      <c r="A1650" s="7">
        <v>1649</v>
      </c>
      <c r="B1650" s="1" t="s">
        <v>7063</v>
      </c>
      <c r="C1650" s="5">
        <f>CONCATENATE("PD", TEXT(A1650, "1000000"))</f>
      </c>
      <c r="D1650" s="7">
        <v>74</v>
      </c>
      <c r="E1650" s="5">
        <f>XLOOKUP(G1650, item_category!C:C, item_category!B:B, "Not Found")</f>
      </c>
      <c r="F1650" s="1" t="s">
        <v>5520</v>
      </c>
      <c r="G1650" s="5">
        <f>XLOOKUP(I1650, drug!B:B, drug!A:A, "Not Found")</f>
      </c>
      <c r="H1650" s="1"/>
      <c r="I1650" s="7">
        <v>1</v>
      </c>
      <c r="J1650" s="5">
        <f>XLOOKUP(L1650, uom!C:C, uom!B:B, "Not Found")</f>
      </c>
      <c r="K1650" s="1" t="s">
        <v>5511</v>
      </c>
      <c r="L1650" s="5">
        <f>XLOOKUP(N1650, uom!C:C, uom!B:B, "Not Found")</f>
      </c>
      <c r="M1650" s="1" t="s">
        <v>5511</v>
      </c>
      <c r="N1650" s="8" t="s">
        <v>5512</v>
      </c>
      <c r="O1650" s="1" t="s">
        <v>5513</v>
      </c>
      <c r="P1650" s="5">
        <f>XLOOKUP(R1650, classification!C:C, classification!B:B, "Not Found")</f>
      </c>
      <c r="Q1650" s="1" t="s">
        <v>5514</v>
      </c>
      <c r="R1650" s="2"/>
      <c r="S1650" s="2"/>
      <c r="T1650" s="2"/>
      <c r="U1650" s="2"/>
    </row>
    <row x14ac:dyDescent="0.25" r="1651" customHeight="1" ht="17.25">
      <c r="A1651" s="7">
        <v>1650</v>
      </c>
      <c r="B1651" s="1" t="s">
        <v>7064</v>
      </c>
      <c r="C1651" s="5">
        <f>CONCATENATE("PD", TEXT(A1651, "1000000"))</f>
      </c>
      <c r="D1651" s="7">
        <v>74</v>
      </c>
      <c r="E1651" s="5">
        <f>XLOOKUP(G1651, item_category!C:C, item_category!B:B, "Not Found")</f>
      </c>
      <c r="F1651" s="1" t="s">
        <v>5520</v>
      </c>
      <c r="G1651" s="5">
        <f>XLOOKUP(I1651, drug!B:B, drug!A:A, "Not Found")</f>
      </c>
      <c r="H1651" s="1"/>
      <c r="I1651" s="7">
        <v>1</v>
      </c>
      <c r="J1651" s="5">
        <f>XLOOKUP(L1651, uom!C:C, uom!B:B, "Not Found")</f>
      </c>
      <c r="K1651" s="1" t="s">
        <v>5511</v>
      </c>
      <c r="L1651" s="5">
        <f>XLOOKUP(N1651, uom!C:C, uom!B:B, "Not Found")</f>
      </c>
      <c r="M1651" s="1" t="s">
        <v>5511</v>
      </c>
      <c r="N1651" s="8" t="s">
        <v>5512</v>
      </c>
      <c r="O1651" s="1" t="s">
        <v>5513</v>
      </c>
      <c r="P1651" s="5">
        <f>XLOOKUP(R1651, classification!C:C, classification!B:B, "Not Found")</f>
      </c>
      <c r="Q1651" s="1" t="s">
        <v>5514</v>
      </c>
      <c r="R1651" s="2"/>
      <c r="S1651" s="2"/>
      <c r="T1651" s="2"/>
      <c r="U1651" s="2"/>
    </row>
    <row x14ac:dyDescent="0.25" r="1652" customHeight="1" ht="17.25">
      <c r="A1652" s="7">
        <v>1651</v>
      </c>
      <c r="B1652" s="1" t="s">
        <v>7065</v>
      </c>
      <c r="C1652" s="5">
        <f>CONCATENATE("PD", TEXT(A1652, "1000000"))</f>
      </c>
      <c r="D1652" s="7">
        <v>74</v>
      </c>
      <c r="E1652" s="5">
        <f>XLOOKUP(G1652, item_category!C:C, item_category!B:B, "Not Found")</f>
      </c>
      <c r="F1652" s="1" t="s">
        <v>5520</v>
      </c>
      <c r="G1652" s="5">
        <f>XLOOKUP(I1652, drug!B:B, drug!A:A, "Not Found")</f>
      </c>
      <c r="H1652" s="1"/>
      <c r="I1652" s="7">
        <v>1</v>
      </c>
      <c r="J1652" s="5">
        <f>XLOOKUP(L1652, uom!C:C, uom!B:B, "Not Found")</f>
      </c>
      <c r="K1652" s="1" t="s">
        <v>5511</v>
      </c>
      <c r="L1652" s="5">
        <f>XLOOKUP(N1652, uom!C:C, uom!B:B, "Not Found")</f>
      </c>
      <c r="M1652" s="1" t="s">
        <v>5511</v>
      </c>
      <c r="N1652" s="8" t="s">
        <v>5512</v>
      </c>
      <c r="O1652" s="1" t="s">
        <v>5513</v>
      </c>
      <c r="P1652" s="5">
        <f>XLOOKUP(R1652, classification!C:C, classification!B:B, "Not Found")</f>
      </c>
      <c r="Q1652" s="1" t="s">
        <v>5514</v>
      </c>
      <c r="R1652" s="2"/>
      <c r="S1652" s="2"/>
      <c r="T1652" s="2"/>
      <c r="U1652" s="2"/>
    </row>
    <row x14ac:dyDescent="0.25" r="1653" customHeight="1" ht="17.25">
      <c r="A1653" s="7">
        <v>1652</v>
      </c>
      <c r="B1653" s="1" t="s">
        <v>7066</v>
      </c>
      <c r="C1653" s="5">
        <f>CONCATENATE("PD", TEXT(A1653, "1000000"))</f>
      </c>
      <c r="D1653" s="7">
        <v>74</v>
      </c>
      <c r="E1653" s="5">
        <f>XLOOKUP(G1653, item_category!C:C, item_category!B:B, "Not Found")</f>
      </c>
      <c r="F1653" s="1" t="s">
        <v>5520</v>
      </c>
      <c r="G1653" s="5">
        <f>XLOOKUP(I1653, drug!B:B, drug!A:A, "Not Found")</f>
      </c>
      <c r="H1653" s="1"/>
      <c r="I1653" s="7">
        <v>1</v>
      </c>
      <c r="J1653" s="5">
        <f>XLOOKUP(L1653, uom!C:C, uom!B:B, "Not Found")</f>
      </c>
      <c r="K1653" s="1" t="s">
        <v>5511</v>
      </c>
      <c r="L1653" s="5">
        <f>XLOOKUP(N1653, uom!C:C, uom!B:B, "Not Found")</f>
      </c>
      <c r="M1653" s="1" t="s">
        <v>5511</v>
      </c>
      <c r="N1653" s="8" t="s">
        <v>5512</v>
      </c>
      <c r="O1653" s="1" t="s">
        <v>5513</v>
      </c>
      <c r="P1653" s="5">
        <f>XLOOKUP(R1653, classification!C:C, classification!B:B, "Not Found")</f>
      </c>
      <c r="Q1653" s="1" t="s">
        <v>5514</v>
      </c>
      <c r="R1653" s="2"/>
      <c r="S1653" s="2"/>
      <c r="T1653" s="2"/>
      <c r="U1653" s="2"/>
    </row>
    <row x14ac:dyDescent="0.25" r="1654" customHeight="1" ht="17.25">
      <c r="A1654" s="7">
        <v>1653</v>
      </c>
      <c r="B1654" s="1" t="s">
        <v>7067</v>
      </c>
      <c r="C1654" s="5">
        <f>CONCATENATE("PD", TEXT(A1654, "1000000"))</f>
      </c>
      <c r="D1654" s="7">
        <v>74</v>
      </c>
      <c r="E1654" s="5">
        <f>XLOOKUP(G1654, item_category!C:C, item_category!B:B, "Not Found")</f>
      </c>
      <c r="F1654" s="1" t="s">
        <v>5520</v>
      </c>
      <c r="G1654" s="5">
        <f>XLOOKUP(I1654, drug!B:B, drug!A:A, "Not Found")</f>
      </c>
      <c r="H1654" s="1" t="s">
        <v>1942</v>
      </c>
      <c r="I1654" s="7">
        <v>1</v>
      </c>
      <c r="J1654" s="5">
        <f>XLOOKUP(L1654, uom!C:C, uom!B:B, "Not Found")</f>
      </c>
      <c r="K1654" s="1" t="s">
        <v>5511</v>
      </c>
      <c r="L1654" s="5">
        <f>XLOOKUP(N1654, uom!C:C, uom!B:B, "Not Found")</f>
      </c>
      <c r="M1654" s="1" t="s">
        <v>5511</v>
      </c>
      <c r="N1654" s="8" t="s">
        <v>5512</v>
      </c>
      <c r="O1654" s="1" t="s">
        <v>5513</v>
      </c>
      <c r="P1654" s="5">
        <f>XLOOKUP(R1654, classification!C:C, classification!B:B, "Not Found")</f>
      </c>
      <c r="Q1654" s="1" t="s">
        <v>5514</v>
      </c>
      <c r="R1654" s="2"/>
      <c r="S1654" s="2"/>
      <c r="T1654" s="2"/>
      <c r="U1654" s="2"/>
    </row>
    <row x14ac:dyDescent="0.25" r="1655" customHeight="1" ht="17.25">
      <c r="A1655" s="7">
        <v>1654</v>
      </c>
      <c r="B1655" s="1" t="s">
        <v>7068</v>
      </c>
      <c r="C1655" s="5">
        <f>CONCATENATE("PD", TEXT(A1655, "1000000"))</f>
      </c>
      <c r="D1655" s="7">
        <v>74</v>
      </c>
      <c r="E1655" s="5">
        <f>XLOOKUP(G1655, item_category!C:C, item_category!B:B, "Not Found")</f>
      </c>
      <c r="F1655" s="1" t="s">
        <v>5520</v>
      </c>
      <c r="G1655" s="5">
        <f>XLOOKUP(I1655, drug!B:B, drug!A:A, "Not Found")</f>
      </c>
      <c r="H1655" s="1"/>
      <c r="I1655" s="7">
        <v>1</v>
      </c>
      <c r="J1655" s="5">
        <f>XLOOKUP(L1655, uom!C:C, uom!B:B, "Not Found")</f>
      </c>
      <c r="K1655" s="1" t="s">
        <v>5511</v>
      </c>
      <c r="L1655" s="5">
        <f>XLOOKUP(N1655, uom!C:C, uom!B:B, "Not Found")</f>
      </c>
      <c r="M1655" s="1" t="s">
        <v>5511</v>
      </c>
      <c r="N1655" s="8" t="s">
        <v>5512</v>
      </c>
      <c r="O1655" s="1" t="s">
        <v>5513</v>
      </c>
      <c r="P1655" s="5">
        <f>XLOOKUP(R1655, classification!C:C, classification!B:B, "Not Found")</f>
      </c>
      <c r="Q1655" s="1" t="s">
        <v>5514</v>
      </c>
      <c r="R1655" s="2"/>
      <c r="S1655" s="2"/>
      <c r="T1655" s="2"/>
      <c r="U1655" s="2"/>
    </row>
    <row x14ac:dyDescent="0.25" r="1656" customHeight="1" ht="17.25">
      <c r="A1656" s="7">
        <v>1655</v>
      </c>
      <c r="B1656" s="1" t="s">
        <v>7069</v>
      </c>
      <c r="C1656" s="5">
        <f>CONCATENATE("PD", TEXT(A1656, "1000000"))</f>
      </c>
      <c r="D1656" s="7">
        <v>74</v>
      </c>
      <c r="E1656" s="5">
        <f>XLOOKUP(G1656, item_category!C:C, item_category!B:B, "Not Found")</f>
      </c>
      <c r="F1656" s="1" t="s">
        <v>5520</v>
      </c>
      <c r="G1656" s="5">
        <f>XLOOKUP(I1656, drug!B:B, drug!A:A, "Not Found")</f>
      </c>
      <c r="H1656" s="1"/>
      <c r="I1656" s="7">
        <v>1</v>
      </c>
      <c r="J1656" s="5">
        <f>XLOOKUP(L1656, uom!C:C, uom!B:B, "Not Found")</f>
      </c>
      <c r="K1656" s="1" t="s">
        <v>5511</v>
      </c>
      <c r="L1656" s="5">
        <f>XLOOKUP(N1656, uom!C:C, uom!B:B, "Not Found")</f>
      </c>
      <c r="M1656" s="1" t="s">
        <v>5511</v>
      </c>
      <c r="N1656" s="8" t="s">
        <v>5512</v>
      </c>
      <c r="O1656" s="1" t="s">
        <v>5513</v>
      </c>
      <c r="P1656" s="5">
        <f>XLOOKUP(R1656, classification!C:C, classification!B:B, "Not Found")</f>
      </c>
      <c r="Q1656" s="1" t="s">
        <v>5514</v>
      </c>
      <c r="R1656" s="2"/>
      <c r="S1656" s="2"/>
      <c r="T1656" s="2"/>
      <c r="U1656" s="2"/>
    </row>
    <row x14ac:dyDescent="0.25" r="1657" customHeight="1" ht="17.25">
      <c r="A1657" s="7">
        <v>1656</v>
      </c>
      <c r="B1657" s="1" t="s">
        <v>7070</v>
      </c>
      <c r="C1657" s="5">
        <f>CONCATENATE("PD", TEXT(A1657, "1000000"))</f>
      </c>
      <c r="D1657" s="7">
        <v>74</v>
      </c>
      <c r="E1657" s="5">
        <f>XLOOKUP(G1657, item_category!C:C, item_category!B:B, "Not Found")</f>
      </c>
      <c r="F1657" s="1" t="s">
        <v>5520</v>
      </c>
      <c r="G1657" s="5">
        <f>XLOOKUP(I1657, drug!B:B, drug!A:A, "Not Found")</f>
      </c>
      <c r="H1657" s="1"/>
      <c r="I1657" s="7">
        <v>1</v>
      </c>
      <c r="J1657" s="5">
        <f>XLOOKUP(L1657, uom!C:C, uom!B:B, "Not Found")</f>
      </c>
      <c r="K1657" s="1" t="s">
        <v>5511</v>
      </c>
      <c r="L1657" s="5">
        <f>XLOOKUP(N1657, uom!C:C, uom!B:B, "Not Found")</f>
      </c>
      <c r="M1657" s="1" t="s">
        <v>5511</v>
      </c>
      <c r="N1657" s="8" t="s">
        <v>5512</v>
      </c>
      <c r="O1657" s="1" t="s">
        <v>5513</v>
      </c>
      <c r="P1657" s="5">
        <f>XLOOKUP(R1657, classification!C:C, classification!B:B, "Not Found")</f>
      </c>
      <c r="Q1657" s="1" t="s">
        <v>5514</v>
      </c>
      <c r="R1657" s="2"/>
      <c r="S1657" s="2"/>
      <c r="T1657" s="2"/>
      <c r="U1657" s="2"/>
    </row>
    <row x14ac:dyDescent="0.25" r="1658" customHeight="1" ht="17.25">
      <c r="A1658" s="7">
        <v>1657</v>
      </c>
      <c r="B1658" s="1" t="s">
        <v>7071</v>
      </c>
      <c r="C1658" s="5">
        <f>CONCATENATE("PD", TEXT(A1658, "1000000"))</f>
      </c>
      <c r="D1658" s="7">
        <v>74</v>
      </c>
      <c r="E1658" s="5">
        <f>XLOOKUP(G1658, item_category!C:C, item_category!B:B, "Not Found")</f>
      </c>
      <c r="F1658" s="1" t="s">
        <v>5520</v>
      </c>
      <c r="G1658" s="5">
        <f>XLOOKUP(I1658, drug!B:B, drug!A:A, "Not Found")</f>
      </c>
      <c r="H1658" s="1"/>
      <c r="I1658" s="7">
        <v>1</v>
      </c>
      <c r="J1658" s="5">
        <f>XLOOKUP(L1658, uom!C:C, uom!B:B, "Not Found")</f>
      </c>
      <c r="K1658" s="1" t="s">
        <v>5511</v>
      </c>
      <c r="L1658" s="5">
        <f>XLOOKUP(N1658, uom!C:C, uom!B:B, "Not Found")</f>
      </c>
      <c r="M1658" s="1" t="s">
        <v>5511</v>
      </c>
      <c r="N1658" s="8" t="s">
        <v>5512</v>
      </c>
      <c r="O1658" s="1" t="s">
        <v>5513</v>
      </c>
      <c r="P1658" s="5">
        <f>XLOOKUP(R1658, classification!C:C, classification!B:B, "Not Found")</f>
      </c>
      <c r="Q1658" s="1" t="s">
        <v>5514</v>
      </c>
      <c r="R1658" s="2"/>
      <c r="S1658" s="2"/>
      <c r="T1658" s="2"/>
      <c r="U1658" s="2"/>
    </row>
    <row x14ac:dyDescent="0.25" r="1659" customHeight="1" ht="17.25">
      <c r="A1659" s="7">
        <v>1658</v>
      </c>
      <c r="B1659" s="1" t="s">
        <v>7072</v>
      </c>
      <c r="C1659" s="5">
        <f>CONCATENATE("PD", TEXT(A1659, "1000000"))</f>
      </c>
      <c r="D1659" s="7">
        <v>74</v>
      </c>
      <c r="E1659" s="5">
        <f>XLOOKUP(G1659, item_category!C:C, item_category!B:B, "Not Found")</f>
      </c>
      <c r="F1659" s="1" t="s">
        <v>5520</v>
      </c>
      <c r="G1659" s="5">
        <f>XLOOKUP(I1659, drug!B:B, drug!A:A, "Not Found")</f>
      </c>
      <c r="H1659" s="1"/>
      <c r="I1659" s="7">
        <v>1</v>
      </c>
      <c r="J1659" s="5">
        <f>XLOOKUP(L1659, uom!C:C, uom!B:B, "Not Found")</f>
      </c>
      <c r="K1659" s="1" t="s">
        <v>5511</v>
      </c>
      <c r="L1659" s="5">
        <f>XLOOKUP(N1659, uom!C:C, uom!B:B, "Not Found")</f>
      </c>
      <c r="M1659" s="1" t="s">
        <v>5511</v>
      </c>
      <c r="N1659" s="8" t="s">
        <v>5512</v>
      </c>
      <c r="O1659" s="1" t="s">
        <v>5513</v>
      </c>
      <c r="P1659" s="5">
        <f>XLOOKUP(R1659, classification!C:C, classification!B:B, "Not Found")</f>
      </c>
      <c r="Q1659" s="1" t="s">
        <v>5514</v>
      </c>
      <c r="R1659" s="2"/>
      <c r="S1659" s="2"/>
      <c r="T1659" s="2"/>
      <c r="U1659" s="2"/>
    </row>
    <row x14ac:dyDescent="0.25" r="1660" customHeight="1" ht="17.25">
      <c r="A1660" s="7">
        <v>1659</v>
      </c>
      <c r="B1660" s="1" t="s">
        <v>7073</v>
      </c>
      <c r="C1660" s="5">
        <f>CONCATENATE("PD", TEXT(A1660, "1000000"))</f>
      </c>
      <c r="D1660" s="7">
        <v>74</v>
      </c>
      <c r="E1660" s="5">
        <f>XLOOKUP(G1660, item_category!C:C, item_category!B:B, "Not Found")</f>
      </c>
      <c r="F1660" s="1" t="s">
        <v>5520</v>
      </c>
      <c r="G1660" s="5">
        <f>XLOOKUP(I1660, drug!B:B, drug!A:A, "Not Found")</f>
      </c>
      <c r="H1660" s="1"/>
      <c r="I1660" s="7">
        <v>1</v>
      </c>
      <c r="J1660" s="5">
        <f>XLOOKUP(L1660, uom!C:C, uom!B:B, "Not Found")</f>
      </c>
      <c r="K1660" s="1" t="s">
        <v>5511</v>
      </c>
      <c r="L1660" s="5">
        <f>XLOOKUP(N1660, uom!C:C, uom!B:B, "Not Found")</f>
      </c>
      <c r="M1660" s="1" t="s">
        <v>5511</v>
      </c>
      <c r="N1660" s="8" t="s">
        <v>5512</v>
      </c>
      <c r="O1660" s="1" t="s">
        <v>5513</v>
      </c>
      <c r="P1660" s="5">
        <f>XLOOKUP(R1660, classification!C:C, classification!B:B, "Not Found")</f>
      </c>
      <c r="Q1660" s="1" t="s">
        <v>5514</v>
      </c>
      <c r="R1660" s="2"/>
      <c r="S1660" s="2"/>
      <c r="T1660" s="2"/>
      <c r="U1660" s="2"/>
    </row>
    <row x14ac:dyDescent="0.25" r="1661" customHeight="1" ht="17.25">
      <c r="A1661" s="7">
        <v>1660</v>
      </c>
      <c r="B1661" s="1" t="s">
        <v>7074</v>
      </c>
      <c r="C1661" s="5">
        <f>CONCATENATE("PD", TEXT(A1661, "1000000"))</f>
      </c>
      <c r="D1661" s="7">
        <v>74</v>
      </c>
      <c r="E1661" s="5">
        <f>XLOOKUP(G1661, item_category!C:C, item_category!B:B, "Not Found")</f>
      </c>
      <c r="F1661" s="1" t="s">
        <v>5520</v>
      </c>
      <c r="G1661" s="5">
        <f>XLOOKUP(I1661, drug!B:B, drug!A:A, "Not Found")</f>
      </c>
      <c r="H1661" s="1"/>
      <c r="I1661" s="7">
        <v>1</v>
      </c>
      <c r="J1661" s="5">
        <f>XLOOKUP(L1661, uom!C:C, uom!B:B, "Not Found")</f>
      </c>
      <c r="K1661" s="1" t="s">
        <v>5511</v>
      </c>
      <c r="L1661" s="5">
        <f>XLOOKUP(N1661, uom!C:C, uom!B:B, "Not Found")</f>
      </c>
      <c r="M1661" s="1" t="s">
        <v>5511</v>
      </c>
      <c r="N1661" s="8" t="s">
        <v>5512</v>
      </c>
      <c r="O1661" s="1" t="s">
        <v>5513</v>
      </c>
      <c r="P1661" s="5">
        <f>XLOOKUP(R1661, classification!C:C, classification!B:B, "Not Found")</f>
      </c>
      <c r="Q1661" s="1" t="s">
        <v>5514</v>
      </c>
      <c r="R1661" s="2"/>
      <c r="S1661" s="2"/>
      <c r="T1661" s="2"/>
      <c r="U1661" s="2"/>
    </row>
    <row x14ac:dyDescent="0.25" r="1662" customHeight="1" ht="17.25">
      <c r="A1662" s="7">
        <v>1661</v>
      </c>
      <c r="B1662" s="1" t="s">
        <v>2910</v>
      </c>
      <c r="C1662" s="5">
        <f>CONCATENATE("PD", TEXT(A1662, "1000000"))</f>
      </c>
      <c r="D1662" s="7">
        <v>74</v>
      </c>
      <c r="E1662" s="5">
        <f>XLOOKUP(G1662, item_category!C:C, item_category!B:B, "Not Found")</f>
      </c>
      <c r="F1662" s="1" t="s">
        <v>5520</v>
      </c>
      <c r="G1662" s="5">
        <f>XLOOKUP(I1662, drug!B:B, drug!A:A, "Not Found")</f>
      </c>
      <c r="H1662" s="1"/>
      <c r="I1662" s="7">
        <v>1</v>
      </c>
      <c r="J1662" s="5">
        <f>XLOOKUP(L1662, uom!C:C, uom!B:B, "Not Found")</f>
      </c>
      <c r="K1662" s="1" t="s">
        <v>5511</v>
      </c>
      <c r="L1662" s="5">
        <f>XLOOKUP(N1662, uom!C:C, uom!B:B, "Not Found")</f>
      </c>
      <c r="M1662" s="1" t="s">
        <v>5511</v>
      </c>
      <c r="N1662" s="8" t="s">
        <v>5512</v>
      </c>
      <c r="O1662" s="1" t="s">
        <v>5513</v>
      </c>
      <c r="P1662" s="5">
        <f>XLOOKUP(R1662, classification!C:C, classification!B:B, "Not Found")</f>
      </c>
      <c r="Q1662" s="1" t="s">
        <v>5514</v>
      </c>
      <c r="R1662" s="2"/>
      <c r="S1662" s="2"/>
      <c r="T1662" s="2"/>
      <c r="U1662" s="2"/>
    </row>
    <row x14ac:dyDescent="0.25" r="1663" customHeight="1" ht="17.25">
      <c r="A1663" s="7">
        <v>1662</v>
      </c>
      <c r="B1663" s="1" t="s">
        <v>7075</v>
      </c>
      <c r="C1663" s="5">
        <f>CONCATENATE("PD", TEXT(A1663, "1000000"))</f>
      </c>
      <c r="D1663" s="7">
        <v>74</v>
      </c>
      <c r="E1663" s="5">
        <f>XLOOKUP(G1663, item_category!C:C, item_category!B:B, "Not Found")</f>
      </c>
      <c r="F1663" s="1" t="s">
        <v>5520</v>
      </c>
      <c r="G1663" s="5">
        <f>XLOOKUP(I1663, drug!B:B, drug!A:A, "Not Found")</f>
      </c>
      <c r="H1663" s="1"/>
      <c r="I1663" s="7">
        <v>1</v>
      </c>
      <c r="J1663" s="5">
        <f>XLOOKUP(L1663, uom!C:C, uom!B:B, "Not Found")</f>
      </c>
      <c r="K1663" s="1" t="s">
        <v>5511</v>
      </c>
      <c r="L1663" s="5">
        <f>XLOOKUP(N1663, uom!C:C, uom!B:B, "Not Found")</f>
      </c>
      <c r="M1663" s="1" t="s">
        <v>5511</v>
      </c>
      <c r="N1663" s="8" t="s">
        <v>5512</v>
      </c>
      <c r="O1663" s="1" t="s">
        <v>5513</v>
      </c>
      <c r="P1663" s="5">
        <f>XLOOKUP(R1663, classification!C:C, classification!B:B, "Not Found")</f>
      </c>
      <c r="Q1663" s="1" t="s">
        <v>5514</v>
      </c>
      <c r="R1663" s="2"/>
      <c r="S1663" s="2"/>
      <c r="T1663" s="2"/>
      <c r="U1663" s="2"/>
    </row>
    <row x14ac:dyDescent="0.25" r="1664" customHeight="1" ht="17.25">
      <c r="A1664" s="7">
        <v>1663</v>
      </c>
      <c r="B1664" s="1" t="s">
        <v>7076</v>
      </c>
      <c r="C1664" s="5">
        <f>CONCATENATE("PD", TEXT(A1664, "1000000"))</f>
      </c>
      <c r="D1664" s="7">
        <v>74</v>
      </c>
      <c r="E1664" s="5">
        <f>XLOOKUP(G1664, item_category!C:C, item_category!B:B, "Not Found")</f>
      </c>
      <c r="F1664" s="1" t="s">
        <v>5520</v>
      </c>
      <c r="G1664" s="5">
        <f>XLOOKUP(I1664, drug!B:B, drug!A:A, "Not Found")</f>
      </c>
      <c r="H1664" s="1"/>
      <c r="I1664" s="7">
        <v>1</v>
      </c>
      <c r="J1664" s="5">
        <f>XLOOKUP(L1664, uom!C:C, uom!B:B, "Not Found")</f>
      </c>
      <c r="K1664" s="1" t="s">
        <v>5511</v>
      </c>
      <c r="L1664" s="5">
        <f>XLOOKUP(N1664, uom!C:C, uom!B:B, "Not Found")</f>
      </c>
      <c r="M1664" s="1" t="s">
        <v>5511</v>
      </c>
      <c r="N1664" s="8" t="s">
        <v>5512</v>
      </c>
      <c r="O1664" s="1" t="s">
        <v>5513</v>
      </c>
      <c r="P1664" s="5">
        <f>XLOOKUP(R1664, classification!C:C, classification!B:B, "Not Found")</f>
      </c>
      <c r="Q1664" s="1" t="s">
        <v>5514</v>
      </c>
      <c r="R1664" s="2"/>
      <c r="S1664" s="2"/>
      <c r="T1664" s="2"/>
      <c r="U1664" s="2"/>
    </row>
    <row x14ac:dyDescent="0.25" r="1665" customHeight="1" ht="17.25">
      <c r="A1665" s="7">
        <v>1664</v>
      </c>
      <c r="B1665" s="1" t="s">
        <v>7077</v>
      </c>
      <c r="C1665" s="5">
        <f>CONCATENATE("PD", TEXT(A1665, "1000000"))</f>
      </c>
      <c r="D1665" s="7">
        <v>74</v>
      </c>
      <c r="E1665" s="5">
        <f>XLOOKUP(G1665, item_category!C:C, item_category!B:B, "Not Found")</f>
      </c>
      <c r="F1665" s="1" t="s">
        <v>5520</v>
      </c>
      <c r="G1665" s="5">
        <f>XLOOKUP(I1665, drug!B:B, drug!A:A, "Not Found")</f>
      </c>
      <c r="H1665" s="1"/>
      <c r="I1665" s="7">
        <v>1</v>
      </c>
      <c r="J1665" s="5">
        <f>XLOOKUP(L1665, uom!C:C, uom!B:B, "Not Found")</f>
      </c>
      <c r="K1665" s="1" t="s">
        <v>5511</v>
      </c>
      <c r="L1665" s="5">
        <f>XLOOKUP(N1665, uom!C:C, uom!B:B, "Not Found")</f>
      </c>
      <c r="M1665" s="1" t="s">
        <v>5511</v>
      </c>
      <c r="N1665" s="8" t="s">
        <v>5512</v>
      </c>
      <c r="O1665" s="1" t="s">
        <v>5513</v>
      </c>
      <c r="P1665" s="5">
        <f>XLOOKUP(R1665, classification!C:C, classification!B:B, "Not Found")</f>
      </c>
      <c r="Q1665" s="1" t="s">
        <v>5514</v>
      </c>
      <c r="R1665" s="2"/>
      <c r="S1665" s="2"/>
      <c r="T1665" s="2"/>
      <c r="U1665" s="2"/>
    </row>
    <row x14ac:dyDescent="0.25" r="1666" customHeight="1" ht="17.25">
      <c r="A1666" s="7">
        <v>1665</v>
      </c>
      <c r="B1666" s="1" t="s">
        <v>7078</v>
      </c>
      <c r="C1666" s="5">
        <f>CONCATENATE("PD", TEXT(A1666, "1000000"))</f>
      </c>
      <c r="D1666" s="7">
        <v>74</v>
      </c>
      <c r="E1666" s="5">
        <f>XLOOKUP(G1666, item_category!C:C, item_category!B:B, "Not Found")</f>
      </c>
      <c r="F1666" s="1" t="s">
        <v>5520</v>
      </c>
      <c r="G1666" s="5">
        <f>XLOOKUP(I1666, drug!B:B, drug!A:A, "Not Found")</f>
      </c>
      <c r="H1666" s="1"/>
      <c r="I1666" s="7">
        <v>1</v>
      </c>
      <c r="J1666" s="5">
        <f>XLOOKUP(L1666, uom!C:C, uom!B:B, "Not Found")</f>
      </c>
      <c r="K1666" s="1" t="s">
        <v>5511</v>
      </c>
      <c r="L1666" s="5">
        <f>XLOOKUP(N1666, uom!C:C, uom!B:B, "Not Found")</f>
      </c>
      <c r="M1666" s="1" t="s">
        <v>5511</v>
      </c>
      <c r="N1666" s="8" t="s">
        <v>5512</v>
      </c>
      <c r="O1666" s="1" t="s">
        <v>5513</v>
      </c>
      <c r="P1666" s="5">
        <f>XLOOKUP(R1666, classification!C:C, classification!B:B, "Not Found")</f>
      </c>
      <c r="Q1666" s="1" t="s">
        <v>5514</v>
      </c>
      <c r="R1666" s="2"/>
      <c r="S1666" s="2"/>
      <c r="T1666" s="2"/>
      <c r="U1666" s="2"/>
    </row>
    <row x14ac:dyDescent="0.25" r="1667" customHeight="1" ht="17.25">
      <c r="A1667" s="7">
        <v>1666</v>
      </c>
      <c r="B1667" s="1" t="s">
        <v>7079</v>
      </c>
      <c r="C1667" s="5">
        <f>CONCATENATE("PD", TEXT(A1667, "1000000"))</f>
      </c>
      <c r="D1667" s="7">
        <v>74</v>
      </c>
      <c r="E1667" s="5">
        <f>XLOOKUP(G1667, item_category!C:C, item_category!B:B, "Not Found")</f>
      </c>
      <c r="F1667" s="1" t="s">
        <v>5520</v>
      </c>
      <c r="G1667" s="5">
        <f>XLOOKUP(I1667, drug!B:B, drug!A:A, "Not Found")</f>
      </c>
      <c r="H1667" s="1"/>
      <c r="I1667" s="7">
        <v>1</v>
      </c>
      <c r="J1667" s="5">
        <f>XLOOKUP(L1667, uom!C:C, uom!B:B, "Not Found")</f>
      </c>
      <c r="K1667" s="1" t="s">
        <v>5511</v>
      </c>
      <c r="L1667" s="5">
        <f>XLOOKUP(N1667, uom!C:C, uom!B:B, "Not Found")</f>
      </c>
      <c r="M1667" s="1" t="s">
        <v>5511</v>
      </c>
      <c r="N1667" s="8" t="s">
        <v>5512</v>
      </c>
      <c r="O1667" s="1" t="s">
        <v>5513</v>
      </c>
      <c r="P1667" s="5">
        <f>XLOOKUP(R1667, classification!C:C, classification!B:B, "Not Found")</f>
      </c>
      <c r="Q1667" s="1" t="s">
        <v>5514</v>
      </c>
      <c r="R1667" s="2"/>
      <c r="S1667" s="2"/>
      <c r="T1667" s="2"/>
      <c r="U1667" s="2"/>
    </row>
    <row x14ac:dyDescent="0.25" r="1668" customHeight="1" ht="17.25">
      <c r="A1668" s="7">
        <v>1667</v>
      </c>
      <c r="B1668" s="1" t="s">
        <v>7080</v>
      </c>
      <c r="C1668" s="5">
        <f>CONCATENATE("PD", TEXT(A1668, "1000000"))</f>
      </c>
      <c r="D1668" s="7">
        <v>74</v>
      </c>
      <c r="E1668" s="5">
        <f>XLOOKUP(G1668, item_category!C:C, item_category!B:B, "Not Found")</f>
      </c>
      <c r="F1668" s="1" t="s">
        <v>5520</v>
      </c>
      <c r="G1668" s="5">
        <f>XLOOKUP(I1668, drug!B:B, drug!A:A, "Not Found")</f>
      </c>
      <c r="H1668" s="1" t="s">
        <v>1942</v>
      </c>
      <c r="I1668" s="7">
        <v>1</v>
      </c>
      <c r="J1668" s="5">
        <f>XLOOKUP(L1668, uom!C:C, uom!B:B, "Not Found")</f>
      </c>
      <c r="K1668" s="1" t="s">
        <v>5511</v>
      </c>
      <c r="L1668" s="5">
        <f>XLOOKUP(N1668, uom!C:C, uom!B:B, "Not Found")</f>
      </c>
      <c r="M1668" s="1" t="s">
        <v>5511</v>
      </c>
      <c r="N1668" s="8" t="s">
        <v>5512</v>
      </c>
      <c r="O1668" s="1" t="s">
        <v>5513</v>
      </c>
      <c r="P1668" s="5">
        <f>XLOOKUP(R1668, classification!C:C, classification!B:B, "Not Found")</f>
      </c>
      <c r="Q1668" s="1" t="s">
        <v>5514</v>
      </c>
      <c r="R1668" s="2"/>
      <c r="S1668" s="2"/>
      <c r="T1668" s="2"/>
      <c r="U1668" s="2"/>
    </row>
    <row x14ac:dyDescent="0.25" r="1669" customHeight="1" ht="17.25">
      <c r="A1669" s="7">
        <v>1668</v>
      </c>
      <c r="B1669" s="1" t="s">
        <v>7081</v>
      </c>
      <c r="C1669" s="5">
        <f>CONCATENATE("PD", TEXT(A1669, "1000000"))</f>
      </c>
      <c r="D1669" s="7">
        <v>74</v>
      </c>
      <c r="E1669" s="5">
        <f>XLOOKUP(G1669, item_category!C:C, item_category!B:B, "Not Found")</f>
      </c>
      <c r="F1669" s="1" t="s">
        <v>5520</v>
      </c>
      <c r="G1669" s="5">
        <f>XLOOKUP(I1669, drug!B:B, drug!A:A, "Not Found")</f>
      </c>
      <c r="H1669" s="1"/>
      <c r="I1669" s="7">
        <v>1</v>
      </c>
      <c r="J1669" s="5">
        <f>XLOOKUP(L1669, uom!C:C, uom!B:B, "Not Found")</f>
      </c>
      <c r="K1669" s="1" t="s">
        <v>5511</v>
      </c>
      <c r="L1669" s="5">
        <f>XLOOKUP(N1669, uom!C:C, uom!B:B, "Not Found")</f>
      </c>
      <c r="M1669" s="1" t="s">
        <v>5511</v>
      </c>
      <c r="N1669" s="8" t="s">
        <v>5512</v>
      </c>
      <c r="O1669" s="1" t="s">
        <v>5513</v>
      </c>
      <c r="P1669" s="5">
        <f>XLOOKUP(R1669, classification!C:C, classification!B:B, "Not Found")</f>
      </c>
      <c r="Q1669" s="1" t="s">
        <v>5514</v>
      </c>
      <c r="R1669" s="2"/>
      <c r="S1669" s="2"/>
      <c r="T1669" s="2"/>
      <c r="U1669" s="2"/>
    </row>
    <row x14ac:dyDescent="0.25" r="1670" customHeight="1" ht="17.25">
      <c r="A1670" s="7">
        <v>1669</v>
      </c>
      <c r="B1670" s="1" t="s">
        <v>7082</v>
      </c>
      <c r="C1670" s="5">
        <f>CONCATENATE("PD", TEXT(A1670, "1000000"))</f>
      </c>
      <c r="D1670" s="7">
        <v>74</v>
      </c>
      <c r="E1670" s="5">
        <f>XLOOKUP(G1670, item_category!C:C, item_category!B:B, "Not Found")</f>
      </c>
      <c r="F1670" s="1" t="s">
        <v>5520</v>
      </c>
      <c r="G1670" s="5">
        <f>XLOOKUP(I1670, drug!B:B, drug!A:A, "Not Found")</f>
      </c>
      <c r="H1670" s="1"/>
      <c r="I1670" s="7">
        <v>1</v>
      </c>
      <c r="J1670" s="5">
        <f>XLOOKUP(L1670, uom!C:C, uom!B:B, "Not Found")</f>
      </c>
      <c r="K1670" s="1" t="s">
        <v>5511</v>
      </c>
      <c r="L1670" s="5">
        <f>XLOOKUP(N1670, uom!C:C, uom!B:B, "Not Found")</f>
      </c>
      <c r="M1670" s="1" t="s">
        <v>5511</v>
      </c>
      <c r="N1670" s="8" t="s">
        <v>5512</v>
      </c>
      <c r="O1670" s="1" t="s">
        <v>5513</v>
      </c>
      <c r="P1670" s="5">
        <f>XLOOKUP(R1670, classification!C:C, classification!B:B, "Not Found")</f>
      </c>
      <c r="Q1670" s="1" t="s">
        <v>5514</v>
      </c>
      <c r="R1670" s="2"/>
      <c r="S1670" s="2"/>
      <c r="T1670" s="2"/>
      <c r="U1670" s="2"/>
    </row>
    <row x14ac:dyDescent="0.25" r="1671" customHeight="1" ht="17.25">
      <c r="A1671" s="7">
        <v>1670</v>
      </c>
      <c r="B1671" s="1" t="s">
        <v>7083</v>
      </c>
      <c r="C1671" s="5">
        <f>CONCATENATE("PD", TEXT(A1671, "1000000"))</f>
      </c>
      <c r="D1671" s="7">
        <v>74</v>
      </c>
      <c r="E1671" s="5">
        <f>XLOOKUP(G1671, item_category!C:C, item_category!B:B, "Not Found")</f>
      </c>
      <c r="F1671" s="1" t="s">
        <v>5520</v>
      </c>
      <c r="G1671" s="5">
        <f>XLOOKUP(I1671, drug!B:B, drug!A:A, "Not Found")</f>
      </c>
      <c r="H1671" s="1"/>
      <c r="I1671" s="7">
        <v>1</v>
      </c>
      <c r="J1671" s="5">
        <f>XLOOKUP(L1671, uom!C:C, uom!B:B, "Not Found")</f>
      </c>
      <c r="K1671" s="1" t="s">
        <v>5511</v>
      </c>
      <c r="L1671" s="5">
        <f>XLOOKUP(N1671, uom!C:C, uom!B:B, "Not Found")</f>
      </c>
      <c r="M1671" s="1" t="s">
        <v>5511</v>
      </c>
      <c r="N1671" s="8" t="s">
        <v>5512</v>
      </c>
      <c r="O1671" s="1" t="s">
        <v>5513</v>
      </c>
      <c r="P1671" s="5">
        <f>XLOOKUP(R1671, classification!C:C, classification!B:B, "Not Found")</f>
      </c>
      <c r="Q1671" s="1" t="s">
        <v>5514</v>
      </c>
      <c r="R1671" s="2"/>
      <c r="S1671" s="2"/>
      <c r="T1671" s="2"/>
      <c r="U1671" s="2"/>
    </row>
    <row x14ac:dyDescent="0.25" r="1672" customHeight="1" ht="17.25">
      <c r="A1672" s="7">
        <v>1671</v>
      </c>
      <c r="B1672" s="1" t="s">
        <v>7084</v>
      </c>
      <c r="C1672" s="5">
        <f>CONCATENATE("PD", TEXT(A1672, "1000000"))</f>
      </c>
      <c r="D1672" s="7">
        <v>74</v>
      </c>
      <c r="E1672" s="5">
        <f>XLOOKUP(G1672, item_category!C:C, item_category!B:B, "Not Found")</f>
      </c>
      <c r="F1672" s="1" t="s">
        <v>5520</v>
      </c>
      <c r="G1672" s="5">
        <f>XLOOKUP(I1672, drug!B:B, drug!A:A, "Not Found")</f>
      </c>
      <c r="H1672" s="1"/>
      <c r="I1672" s="7">
        <v>1</v>
      </c>
      <c r="J1672" s="5">
        <f>XLOOKUP(L1672, uom!C:C, uom!B:B, "Not Found")</f>
      </c>
      <c r="K1672" s="1" t="s">
        <v>5511</v>
      </c>
      <c r="L1672" s="5">
        <f>XLOOKUP(N1672, uom!C:C, uom!B:B, "Not Found")</f>
      </c>
      <c r="M1672" s="1" t="s">
        <v>5511</v>
      </c>
      <c r="N1672" s="8" t="s">
        <v>5512</v>
      </c>
      <c r="O1672" s="1" t="s">
        <v>5513</v>
      </c>
      <c r="P1672" s="5">
        <f>XLOOKUP(R1672, classification!C:C, classification!B:B, "Not Found")</f>
      </c>
      <c r="Q1672" s="1" t="s">
        <v>5514</v>
      </c>
      <c r="R1672" s="2"/>
      <c r="S1672" s="2"/>
      <c r="T1672" s="2"/>
      <c r="U1672" s="2"/>
    </row>
    <row x14ac:dyDescent="0.25" r="1673" customHeight="1" ht="17.25">
      <c r="A1673" s="7">
        <v>1672</v>
      </c>
      <c r="B1673" s="1" t="s">
        <v>7085</v>
      </c>
      <c r="C1673" s="5">
        <f>CONCATENATE("PD", TEXT(A1673, "1000000"))</f>
      </c>
      <c r="D1673" s="7">
        <v>74</v>
      </c>
      <c r="E1673" s="5">
        <f>XLOOKUP(G1673, item_category!C:C, item_category!B:B, "Not Found")</f>
      </c>
      <c r="F1673" s="1" t="s">
        <v>5520</v>
      </c>
      <c r="G1673" s="5">
        <f>XLOOKUP(I1673, drug!B:B, drug!A:A, "Not Found")</f>
      </c>
      <c r="H1673" s="1"/>
      <c r="I1673" s="7">
        <v>1</v>
      </c>
      <c r="J1673" s="5">
        <f>XLOOKUP(L1673, uom!C:C, uom!B:B, "Not Found")</f>
      </c>
      <c r="K1673" s="1" t="s">
        <v>5511</v>
      </c>
      <c r="L1673" s="5">
        <f>XLOOKUP(N1673, uom!C:C, uom!B:B, "Not Found")</f>
      </c>
      <c r="M1673" s="1" t="s">
        <v>5511</v>
      </c>
      <c r="N1673" s="8" t="s">
        <v>5512</v>
      </c>
      <c r="O1673" s="1" t="s">
        <v>5513</v>
      </c>
      <c r="P1673" s="5">
        <f>XLOOKUP(R1673, classification!C:C, classification!B:B, "Not Found")</f>
      </c>
      <c r="Q1673" s="1" t="s">
        <v>5514</v>
      </c>
      <c r="R1673" s="2"/>
      <c r="S1673" s="2"/>
      <c r="T1673" s="2"/>
      <c r="U1673" s="2"/>
    </row>
    <row x14ac:dyDescent="0.25" r="1674" customHeight="1" ht="17.25">
      <c r="A1674" s="7">
        <v>1673</v>
      </c>
      <c r="B1674" s="1" t="s">
        <v>7086</v>
      </c>
      <c r="C1674" s="5">
        <f>CONCATENATE("PD", TEXT(A1674, "1000000"))</f>
      </c>
      <c r="D1674" s="7">
        <v>74</v>
      </c>
      <c r="E1674" s="5">
        <f>XLOOKUP(G1674, item_category!C:C, item_category!B:B, "Not Found")</f>
      </c>
      <c r="F1674" s="1" t="s">
        <v>5520</v>
      </c>
      <c r="G1674" s="5">
        <f>XLOOKUP(I1674, drug!B:B, drug!A:A, "Not Found")</f>
      </c>
      <c r="H1674" s="1"/>
      <c r="I1674" s="7">
        <v>1</v>
      </c>
      <c r="J1674" s="5">
        <f>XLOOKUP(L1674, uom!C:C, uom!B:B, "Not Found")</f>
      </c>
      <c r="K1674" s="1" t="s">
        <v>5511</v>
      </c>
      <c r="L1674" s="5">
        <f>XLOOKUP(N1674, uom!C:C, uom!B:B, "Not Found")</f>
      </c>
      <c r="M1674" s="1" t="s">
        <v>5511</v>
      </c>
      <c r="N1674" s="8" t="s">
        <v>5512</v>
      </c>
      <c r="O1674" s="1" t="s">
        <v>5513</v>
      </c>
      <c r="P1674" s="5">
        <f>XLOOKUP(R1674, classification!C:C, classification!B:B, "Not Found")</f>
      </c>
      <c r="Q1674" s="1" t="s">
        <v>5514</v>
      </c>
      <c r="R1674" s="2"/>
      <c r="S1674" s="2"/>
      <c r="T1674" s="2"/>
      <c r="U1674" s="2"/>
    </row>
    <row x14ac:dyDescent="0.25" r="1675" customHeight="1" ht="17.25">
      <c r="A1675" s="7">
        <v>1674</v>
      </c>
      <c r="B1675" s="1" t="s">
        <v>7087</v>
      </c>
      <c r="C1675" s="5">
        <f>CONCATENATE("PD", TEXT(A1675, "1000000"))</f>
      </c>
      <c r="D1675" s="7">
        <v>74</v>
      </c>
      <c r="E1675" s="5">
        <f>XLOOKUP(G1675, item_category!C:C, item_category!B:B, "Not Found")</f>
      </c>
      <c r="F1675" s="1" t="s">
        <v>5520</v>
      </c>
      <c r="G1675" s="5">
        <f>XLOOKUP(I1675, drug!B:B, drug!A:A, "Not Found")</f>
      </c>
      <c r="H1675" s="1"/>
      <c r="I1675" s="7">
        <v>1</v>
      </c>
      <c r="J1675" s="5">
        <f>XLOOKUP(L1675, uom!C:C, uom!B:B, "Not Found")</f>
      </c>
      <c r="K1675" s="1" t="s">
        <v>5511</v>
      </c>
      <c r="L1675" s="5">
        <f>XLOOKUP(N1675, uom!C:C, uom!B:B, "Not Found")</f>
      </c>
      <c r="M1675" s="1" t="s">
        <v>5511</v>
      </c>
      <c r="N1675" s="8" t="s">
        <v>5512</v>
      </c>
      <c r="O1675" s="1" t="s">
        <v>5513</v>
      </c>
      <c r="P1675" s="5">
        <f>XLOOKUP(R1675, classification!C:C, classification!B:B, "Not Found")</f>
      </c>
      <c r="Q1675" s="1" t="s">
        <v>5514</v>
      </c>
      <c r="R1675" s="2"/>
      <c r="S1675" s="2"/>
      <c r="T1675" s="2"/>
      <c r="U1675" s="2"/>
    </row>
    <row x14ac:dyDescent="0.25" r="1676" customHeight="1" ht="17.25">
      <c r="A1676" s="7">
        <v>1675</v>
      </c>
      <c r="B1676" s="1" t="s">
        <v>2684</v>
      </c>
      <c r="C1676" s="5">
        <f>CONCATENATE("PD", TEXT(A1676, "1000000"))</f>
      </c>
      <c r="D1676" s="7">
        <v>76</v>
      </c>
      <c r="E1676" s="5">
        <f>XLOOKUP(G1676, item_category!C:C, item_category!B:B, "Not Found")</f>
      </c>
      <c r="F1676" s="1" t="s">
        <v>5632</v>
      </c>
      <c r="G1676" s="5">
        <f>XLOOKUP(I1676, drug!B:B, drug!A:A, "Not Found")</f>
      </c>
      <c r="H1676" s="1"/>
      <c r="I1676" s="7">
        <v>1</v>
      </c>
      <c r="J1676" s="5">
        <f>XLOOKUP(L1676, uom!C:C, uom!B:B, "Not Found")</f>
      </c>
      <c r="K1676" s="1" t="s">
        <v>5511</v>
      </c>
      <c r="L1676" s="5">
        <f>XLOOKUP(N1676, uom!C:C, uom!B:B, "Not Found")</f>
      </c>
      <c r="M1676" s="1" t="s">
        <v>5511</v>
      </c>
      <c r="N1676" s="8" t="s">
        <v>5512</v>
      </c>
      <c r="O1676" s="1" t="s">
        <v>5513</v>
      </c>
      <c r="P1676" s="5">
        <f>XLOOKUP(R1676, classification!C:C, classification!B:B, "Not Found")</f>
      </c>
      <c r="Q1676" s="1" t="s">
        <v>5514</v>
      </c>
      <c r="R1676" s="2"/>
      <c r="S1676" s="2"/>
      <c r="T1676" s="2"/>
      <c r="U1676" s="2"/>
    </row>
    <row x14ac:dyDescent="0.25" r="1677" customHeight="1" ht="17.25">
      <c r="A1677" s="7">
        <v>1676</v>
      </c>
      <c r="B1677" s="1" t="s">
        <v>7088</v>
      </c>
      <c r="C1677" s="5">
        <f>CONCATENATE("PD", TEXT(A1677, "1000000"))</f>
      </c>
      <c r="D1677" s="7">
        <v>74</v>
      </c>
      <c r="E1677" s="5">
        <f>XLOOKUP(G1677, item_category!C:C, item_category!B:B, "Not Found")</f>
      </c>
      <c r="F1677" s="1" t="s">
        <v>5520</v>
      </c>
      <c r="G1677" s="5">
        <f>XLOOKUP(I1677, drug!B:B, drug!A:A, "Not Found")</f>
      </c>
      <c r="H1677" s="1"/>
      <c r="I1677" s="7">
        <v>1</v>
      </c>
      <c r="J1677" s="5">
        <f>XLOOKUP(L1677, uom!C:C, uom!B:B, "Not Found")</f>
      </c>
      <c r="K1677" s="1" t="s">
        <v>5511</v>
      </c>
      <c r="L1677" s="5">
        <f>XLOOKUP(N1677, uom!C:C, uom!B:B, "Not Found")</f>
      </c>
      <c r="M1677" s="1" t="s">
        <v>5511</v>
      </c>
      <c r="N1677" s="8" t="s">
        <v>5512</v>
      </c>
      <c r="O1677" s="1" t="s">
        <v>5513</v>
      </c>
      <c r="P1677" s="5">
        <f>XLOOKUP(R1677, classification!C:C, classification!B:B, "Not Found")</f>
      </c>
      <c r="Q1677" s="1" t="s">
        <v>5514</v>
      </c>
      <c r="R1677" s="2"/>
      <c r="S1677" s="2"/>
      <c r="T1677" s="2"/>
      <c r="U1677" s="2"/>
    </row>
    <row x14ac:dyDescent="0.25" r="1678" customHeight="1" ht="17.25">
      <c r="A1678" s="7">
        <v>1677</v>
      </c>
      <c r="B1678" s="1" t="s">
        <v>7089</v>
      </c>
      <c r="C1678" s="5">
        <f>CONCATENATE("PD", TEXT(A1678, "1000000"))</f>
      </c>
      <c r="D1678" s="7">
        <v>74</v>
      </c>
      <c r="E1678" s="5">
        <f>XLOOKUP(G1678, item_category!C:C, item_category!B:B, "Not Found")</f>
      </c>
      <c r="F1678" s="1" t="s">
        <v>5520</v>
      </c>
      <c r="G1678" s="5">
        <f>XLOOKUP(I1678, drug!B:B, drug!A:A, "Not Found")</f>
      </c>
      <c r="H1678" s="1"/>
      <c r="I1678" s="7">
        <v>1</v>
      </c>
      <c r="J1678" s="5">
        <f>XLOOKUP(L1678, uom!C:C, uom!B:B, "Not Found")</f>
      </c>
      <c r="K1678" s="1" t="s">
        <v>5511</v>
      </c>
      <c r="L1678" s="5">
        <f>XLOOKUP(N1678, uom!C:C, uom!B:B, "Not Found")</f>
      </c>
      <c r="M1678" s="1" t="s">
        <v>5511</v>
      </c>
      <c r="N1678" s="8" t="s">
        <v>5512</v>
      </c>
      <c r="O1678" s="1" t="s">
        <v>5513</v>
      </c>
      <c r="P1678" s="5">
        <f>XLOOKUP(R1678, classification!C:C, classification!B:B, "Not Found")</f>
      </c>
      <c r="Q1678" s="1" t="s">
        <v>5514</v>
      </c>
      <c r="R1678" s="2"/>
      <c r="S1678" s="2"/>
      <c r="T1678" s="2"/>
      <c r="U1678" s="2"/>
    </row>
    <row x14ac:dyDescent="0.25" r="1679" customHeight="1" ht="17.25">
      <c r="A1679" s="7">
        <v>1678</v>
      </c>
      <c r="B1679" s="1" t="s">
        <v>7090</v>
      </c>
      <c r="C1679" s="5">
        <f>CONCATENATE("PD", TEXT(A1679, "1000000"))</f>
      </c>
      <c r="D1679" s="7">
        <v>74</v>
      </c>
      <c r="E1679" s="5">
        <f>XLOOKUP(G1679, item_category!C:C, item_category!B:B, "Not Found")</f>
      </c>
      <c r="F1679" s="1" t="s">
        <v>5520</v>
      </c>
      <c r="G1679" s="5">
        <f>XLOOKUP(I1679, drug!B:B, drug!A:A, "Not Found")</f>
      </c>
      <c r="H1679" s="1"/>
      <c r="I1679" s="7">
        <v>1</v>
      </c>
      <c r="J1679" s="5">
        <f>XLOOKUP(L1679, uom!C:C, uom!B:B, "Not Found")</f>
      </c>
      <c r="K1679" s="1" t="s">
        <v>5511</v>
      </c>
      <c r="L1679" s="5">
        <f>XLOOKUP(N1679, uom!C:C, uom!B:B, "Not Found")</f>
      </c>
      <c r="M1679" s="1" t="s">
        <v>5511</v>
      </c>
      <c r="N1679" s="8" t="s">
        <v>5512</v>
      </c>
      <c r="O1679" s="1" t="s">
        <v>5513</v>
      </c>
      <c r="P1679" s="5">
        <f>XLOOKUP(R1679, classification!C:C, classification!B:B, "Not Found")</f>
      </c>
      <c r="Q1679" s="1" t="s">
        <v>5514</v>
      </c>
      <c r="R1679" s="2"/>
      <c r="S1679" s="2"/>
      <c r="T1679" s="2"/>
      <c r="U1679" s="2"/>
    </row>
    <row x14ac:dyDescent="0.25" r="1680" customHeight="1" ht="17.25">
      <c r="A1680" s="7">
        <v>1679</v>
      </c>
      <c r="B1680" s="1" t="s">
        <v>7091</v>
      </c>
      <c r="C1680" s="5">
        <f>CONCATENATE("PD", TEXT(A1680, "1000000"))</f>
      </c>
      <c r="D1680" s="7">
        <v>74</v>
      </c>
      <c r="E1680" s="5">
        <f>XLOOKUP(G1680, item_category!C:C, item_category!B:B, "Not Found")</f>
      </c>
      <c r="F1680" s="1" t="s">
        <v>5520</v>
      </c>
      <c r="G1680" s="5">
        <f>XLOOKUP(I1680, drug!B:B, drug!A:A, "Not Found")</f>
      </c>
      <c r="H1680" s="1"/>
      <c r="I1680" s="7">
        <v>1</v>
      </c>
      <c r="J1680" s="5">
        <f>XLOOKUP(L1680, uom!C:C, uom!B:B, "Not Found")</f>
      </c>
      <c r="K1680" s="1" t="s">
        <v>5511</v>
      </c>
      <c r="L1680" s="5">
        <f>XLOOKUP(N1680, uom!C:C, uom!B:B, "Not Found")</f>
      </c>
      <c r="M1680" s="1" t="s">
        <v>5511</v>
      </c>
      <c r="N1680" s="8" t="s">
        <v>5512</v>
      </c>
      <c r="O1680" s="1" t="s">
        <v>5513</v>
      </c>
      <c r="P1680" s="5">
        <f>XLOOKUP(R1680, classification!C:C, classification!B:B, "Not Found")</f>
      </c>
      <c r="Q1680" s="1" t="s">
        <v>5514</v>
      </c>
      <c r="R1680" s="2"/>
      <c r="S1680" s="2"/>
      <c r="T1680" s="2"/>
      <c r="U1680" s="2"/>
    </row>
    <row x14ac:dyDescent="0.25" r="1681" customHeight="1" ht="17.25">
      <c r="A1681" s="7">
        <v>1680</v>
      </c>
      <c r="B1681" s="1" t="s">
        <v>7092</v>
      </c>
      <c r="C1681" s="5">
        <f>CONCATENATE("PD", TEXT(A1681, "1000000"))</f>
      </c>
      <c r="D1681" s="7">
        <v>74</v>
      </c>
      <c r="E1681" s="5">
        <f>XLOOKUP(G1681, item_category!C:C, item_category!B:B, "Not Found")</f>
      </c>
      <c r="F1681" s="1" t="s">
        <v>5520</v>
      </c>
      <c r="G1681" s="5">
        <f>XLOOKUP(I1681, drug!B:B, drug!A:A, "Not Found")</f>
      </c>
      <c r="H1681" s="1"/>
      <c r="I1681" s="7">
        <v>1</v>
      </c>
      <c r="J1681" s="5">
        <f>XLOOKUP(L1681, uom!C:C, uom!B:B, "Not Found")</f>
      </c>
      <c r="K1681" s="1" t="s">
        <v>5511</v>
      </c>
      <c r="L1681" s="5">
        <f>XLOOKUP(N1681, uom!C:C, uom!B:B, "Not Found")</f>
      </c>
      <c r="M1681" s="1" t="s">
        <v>5511</v>
      </c>
      <c r="N1681" s="8" t="s">
        <v>5512</v>
      </c>
      <c r="O1681" s="1" t="s">
        <v>5513</v>
      </c>
      <c r="P1681" s="5">
        <f>XLOOKUP(R1681, classification!C:C, classification!B:B, "Not Found")</f>
      </c>
      <c r="Q1681" s="1" t="s">
        <v>5514</v>
      </c>
      <c r="R1681" s="2"/>
      <c r="S1681" s="2"/>
      <c r="T1681" s="2"/>
      <c r="U1681" s="2"/>
    </row>
    <row x14ac:dyDescent="0.25" r="1682" customHeight="1" ht="17.25">
      <c r="A1682" s="7">
        <v>1681</v>
      </c>
      <c r="B1682" s="1" t="s">
        <v>7093</v>
      </c>
      <c r="C1682" s="5">
        <f>CONCATENATE("PD", TEXT(A1682, "1000000"))</f>
      </c>
      <c r="D1682" s="7">
        <v>74</v>
      </c>
      <c r="E1682" s="5">
        <f>XLOOKUP(G1682, item_category!C:C, item_category!B:B, "Not Found")</f>
      </c>
      <c r="F1682" s="1" t="s">
        <v>5520</v>
      </c>
      <c r="G1682" s="5">
        <f>XLOOKUP(I1682, drug!B:B, drug!A:A, "Not Found")</f>
      </c>
      <c r="H1682" s="1"/>
      <c r="I1682" s="7">
        <v>1</v>
      </c>
      <c r="J1682" s="5">
        <f>XLOOKUP(L1682, uom!C:C, uom!B:B, "Not Found")</f>
      </c>
      <c r="K1682" s="1" t="s">
        <v>5511</v>
      </c>
      <c r="L1682" s="5">
        <f>XLOOKUP(N1682, uom!C:C, uom!B:B, "Not Found")</f>
      </c>
      <c r="M1682" s="1" t="s">
        <v>5511</v>
      </c>
      <c r="N1682" s="8" t="s">
        <v>5512</v>
      </c>
      <c r="O1682" s="1" t="s">
        <v>5513</v>
      </c>
      <c r="P1682" s="5">
        <f>XLOOKUP(R1682, classification!C:C, classification!B:B, "Not Found")</f>
      </c>
      <c r="Q1682" s="1" t="s">
        <v>5514</v>
      </c>
      <c r="R1682" s="2"/>
      <c r="S1682" s="2"/>
      <c r="T1682" s="2"/>
      <c r="U1682" s="2"/>
    </row>
    <row x14ac:dyDescent="0.25" r="1683" customHeight="1" ht="17.25">
      <c r="A1683" s="7">
        <v>1682</v>
      </c>
      <c r="B1683" s="1" t="s">
        <v>7094</v>
      </c>
      <c r="C1683" s="5">
        <f>CONCATENATE("PD", TEXT(A1683, "1000000"))</f>
      </c>
      <c r="D1683" s="7">
        <v>74</v>
      </c>
      <c r="E1683" s="5">
        <f>XLOOKUP(G1683, item_category!C:C, item_category!B:B, "Not Found")</f>
      </c>
      <c r="F1683" s="1" t="s">
        <v>5520</v>
      </c>
      <c r="G1683" s="5">
        <f>XLOOKUP(I1683, drug!B:B, drug!A:A, "Not Found")</f>
      </c>
      <c r="H1683" s="1"/>
      <c r="I1683" s="7">
        <v>1</v>
      </c>
      <c r="J1683" s="5">
        <f>XLOOKUP(L1683, uom!C:C, uom!B:B, "Not Found")</f>
      </c>
      <c r="K1683" s="1" t="s">
        <v>5511</v>
      </c>
      <c r="L1683" s="5">
        <f>XLOOKUP(N1683, uom!C:C, uom!B:B, "Not Found")</f>
      </c>
      <c r="M1683" s="1" t="s">
        <v>5511</v>
      </c>
      <c r="N1683" s="8" t="s">
        <v>5512</v>
      </c>
      <c r="O1683" s="1" t="s">
        <v>5513</v>
      </c>
      <c r="P1683" s="5">
        <f>XLOOKUP(R1683, classification!C:C, classification!B:B, "Not Found")</f>
      </c>
      <c r="Q1683" s="1" t="s">
        <v>5514</v>
      </c>
      <c r="R1683" s="2"/>
      <c r="S1683" s="2"/>
      <c r="T1683" s="2"/>
      <c r="U1683" s="2"/>
    </row>
    <row x14ac:dyDescent="0.25" r="1684" customHeight="1" ht="17.25">
      <c r="A1684" s="7">
        <v>1683</v>
      </c>
      <c r="B1684" s="1" t="s">
        <v>7095</v>
      </c>
      <c r="C1684" s="5">
        <f>CONCATENATE("PD", TEXT(A1684, "1000000"))</f>
      </c>
      <c r="D1684" s="7">
        <v>74</v>
      </c>
      <c r="E1684" s="5">
        <f>XLOOKUP(G1684, item_category!C:C, item_category!B:B, "Not Found")</f>
      </c>
      <c r="F1684" s="1" t="s">
        <v>5520</v>
      </c>
      <c r="G1684" s="5">
        <f>XLOOKUP(I1684, drug!B:B, drug!A:A, "Not Found")</f>
      </c>
      <c r="H1684" s="1"/>
      <c r="I1684" s="7">
        <v>1</v>
      </c>
      <c r="J1684" s="5">
        <f>XLOOKUP(L1684, uom!C:C, uom!B:B, "Not Found")</f>
      </c>
      <c r="K1684" s="1" t="s">
        <v>5511</v>
      </c>
      <c r="L1684" s="5">
        <f>XLOOKUP(N1684, uom!C:C, uom!B:B, "Not Found")</f>
      </c>
      <c r="M1684" s="1" t="s">
        <v>5511</v>
      </c>
      <c r="N1684" s="8" t="s">
        <v>5512</v>
      </c>
      <c r="O1684" s="1" t="s">
        <v>5513</v>
      </c>
      <c r="P1684" s="5">
        <f>XLOOKUP(R1684, classification!C:C, classification!B:B, "Not Found")</f>
      </c>
      <c r="Q1684" s="1" t="s">
        <v>5514</v>
      </c>
      <c r="R1684" s="2"/>
      <c r="S1684" s="2"/>
      <c r="T1684" s="2"/>
      <c r="U1684" s="2"/>
    </row>
    <row x14ac:dyDescent="0.25" r="1685" customHeight="1" ht="17.25">
      <c r="A1685" s="7">
        <v>1684</v>
      </c>
      <c r="B1685" s="1" t="s">
        <v>7096</v>
      </c>
      <c r="C1685" s="5">
        <f>CONCATENATE("PD", TEXT(A1685, "1000000"))</f>
      </c>
      <c r="D1685" s="7">
        <v>74</v>
      </c>
      <c r="E1685" s="5">
        <f>XLOOKUP(G1685, item_category!C:C, item_category!B:B, "Not Found")</f>
      </c>
      <c r="F1685" s="1" t="s">
        <v>5520</v>
      </c>
      <c r="G1685" s="5">
        <f>XLOOKUP(I1685, drug!B:B, drug!A:A, "Not Found")</f>
      </c>
      <c r="H1685" s="1"/>
      <c r="I1685" s="7">
        <v>1</v>
      </c>
      <c r="J1685" s="5">
        <f>XLOOKUP(L1685, uom!C:C, uom!B:B, "Not Found")</f>
      </c>
      <c r="K1685" s="1" t="s">
        <v>5511</v>
      </c>
      <c r="L1685" s="5">
        <f>XLOOKUP(N1685, uom!C:C, uom!B:B, "Not Found")</f>
      </c>
      <c r="M1685" s="1" t="s">
        <v>5511</v>
      </c>
      <c r="N1685" s="8" t="s">
        <v>5512</v>
      </c>
      <c r="O1685" s="1" t="s">
        <v>5513</v>
      </c>
      <c r="P1685" s="5">
        <f>XLOOKUP(R1685, classification!C:C, classification!B:B, "Not Found")</f>
      </c>
      <c r="Q1685" s="1" t="s">
        <v>5514</v>
      </c>
      <c r="R1685" s="2"/>
      <c r="S1685" s="2"/>
      <c r="T1685" s="2"/>
      <c r="U1685" s="2"/>
    </row>
    <row x14ac:dyDescent="0.25" r="1686" customHeight="1" ht="17.25">
      <c r="A1686" s="7">
        <v>1685</v>
      </c>
      <c r="B1686" s="1" t="s">
        <v>7097</v>
      </c>
      <c r="C1686" s="5">
        <f>CONCATENATE("PD", TEXT(A1686, "1000000"))</f>
      </c>
      <c r="D1686" s="7">
        <v>74</v>
      </c>
      <c r="E1686" s="5">
        <f>XLOOKUP(G1686, item_category!C:C, item_category!B:B, "Not Found")</f>
      </c>
      <c r="F1686" s="1" t="s">
        <v>5520</v>
      </c>
      <c r="G1686" s="5">
        <f>XLOOKUP(I1686, drug!B:B, drug!A:A, "Not Found")</f>
      </c>
      <c r="H1686" s="1"/>
      <c r="I1686" s="7">
        <v>1</v>
      </c>
      <c r="J1686" s="5">
        <f>XLOOKUP(L1686, uom!C:C, uom!B:B, "Not Found")</f>
      </c>
      <c r="K1686" s="1" t="s">
        <v>5511</v>
      </c>
      <c r="L1686" s="5">
        <f>XLOOKUP(N1686, uom!C:C, uom!B:B, "Not Found")</f>
      </c>
      <c r="M1686" s="1" t="s">
        <v>5511</v>
      </c>
      <c r="N1686" s="8" t="s">
        <v>5512</v>
      </c>
      <c r="O1686" s="1" t="s">
        <v>5513</v>
      </c>
      <c r="P1686" s="5">
        <f>XLOOKUP(R1686, classification!C:C, classification!B:B, "Not Found")</f>
      </c>
      <c r="Q1686" s="1" t="s">
        <v>5514</v>
      </c>
      <c r="R1686" s="2"/>
      <c r="S1686" s="2"/>
      <c r="T1686" s="2"/>
      <c r="U1686" s="2"/>
    </row>
    <row x14ac:dyDescent="0.25" r="1687" customHeight="1" ht="17.25">
      <c r="A1687" s="7">
        <v>1686</v>
      </c>
      <c r="B1687" s="1" t="s">
        <v>7098</v>
      </c>
      <c r="C1687" s="5">
        <f>CONCATENATE("PD", TEXT(A1687, "1000000"))</f>
      </c>
      <c r="D1687" s="7">
        <v>74</v>
      </c>
      <c r="E1687" s="5">
        <f>XLOOKUP(G1687, item_category!C:C, item_category!B:B, "Not Found")</f>
      </c>
      <c r="F1687" s="1" t="s">
        <v>5520</v>
      </c>
      <c r="G1687" s="5">
        <f>XLOOKUP(I1687, drug!B:B, drug!A:A, "Not Found")</f>
      </c>
      <c r="H1687" s="1" t="s">
        <v>1490</v>
      </c>
      <c r="I1687" s="7">
        <v>1</v>
      </c>
      <c r="J1687" s="5">
        <f>XLOOKUP(L1687, uom!C:C, uom!B:B, "Not Found")</f>
      </c>
      <c r="K1687" s="1" t="s">
        <v>5511</v>
      </c>
      <c r="L1687" s="5">
        <f>XLOOKUP(N1687, uom!C:C, uom!B:B, "Not Found")</f>
      </c>
      <c r="M1687" s="1" t="s">
        <v>5511</v>
      </c>
      <c r="N1687" s="8" t="s">
        <v>5512</v>
      </c>
      <c r="O1687" s="1" t="s">
        <v>5513</v>
      </c>
      <c r="P1687" s="5">
        <f>XLOOKUP(R1687, classification!C:C, classification!B:B, "Not Found")</f>
      </c>
      <c r="Q1687" s="1" t="s">
        <v>5514</v>
      </c>
      <c r="R1687" s="2"/>
      <c r="S1687" s="2"/>
      <c r="T1687" s="2"/>
      <c r="U1687" s="2"/>
    </row>
    <row x14ac:dyDescent="0.25" r="1688" customHeight="1" ht="17.25">
      <c r="A1688" s="7">
        <v>1687</v>
      </c>
      <c r="B1688" s="1" t="s">
        <v>7099</v>
      </c>
      <c r="C1688" s="5">
        <f>CONCATENATE("PD", TEXT(A1688, "1000000"))</f>
      </c>
      <c r="D1688" s="7">
        <v>74</v>
      </c>
      <c r="E1688" s="5">
        <f>XLOOKUP(G1688, item_category!C:C, item_category!B:B, "Not Found")</f>
      </c>
      <c r="F1688" s="1" t="s">
        <v>5520</v>
      </c>
      <c r="G1688" s="5">
        <f>XLOOKUP(I1688, drug!B:B, drug!A:A, "Not Found")</f>
      </c>
      <c r="H1688" s="1" t="s">
        <v>2114</v>
      </c>
      <c r="I1688" s="7">
        <v>1</v>
      </c>
      <c r="J1688" s="5">
        <f>XLOOKUP(L1688, uom!C:C, uom!B:B, "Not Found")</f>
      </c>
      <c r="K1688" s="1" t="s">
        <v>5511</v>
      </c>
      <c r="L1688" s="5">
        <f>XLOOKUP(N1688, uom!C:C, uom!B:B, "Not Found")</f>
      </c>
      <c r="M1688" s="1" t="s">
        <v>5511</v>
      </c>
      <c r="N1688" s="8" t="s">
        <v>5512</v>
      </c>
      <c r="O1688" s="1" t="s">
        <v>5513</v>
      </c>
      <c r="P1688" s="5">
        <f>XLOOKUP(R1688, classification!C:C, classification!B:B, "Not Found")</f>
      </c>
      <c r="Q1688" s="1" t="s">
        <v>5514</v>
      </c>
      <c r="R1688" s="2"/>
      <c r="S1688" s="2"/>
      <c r="T1688" s="2"/>
      <c r="U1688" s="2"/>
    </row>
    <row x14ac:dyDescent="0.25" r="1689" customHeight="1" ht="17.25">
      <c r="A1689" s="7">
        <v>1688</v>
      </c>
      <c r="B1689" s="1" t="s">
        <v>7100</v>
      </c>
      <c r="C1689" s="5">
        <f>CONCATENATE("PD", TEXT(A1689, "1000000"))</f>
      </c>
      <c r="D1689" s="7">
        <v>74</v>
      </c>
      <c r="E1689" s="5">
        <f>XLOOKUP(G1689, item_category!C:C, item_category!B:B, "Not Found")</f>
      </c>
      <c r="F1689" s="1" t="s">
        <v>5520</v>
      </c>
      <c r="G1689" s="5">
        <f>XLOOKUP(I1689, drug!B:B, drug!A:A, "Not Found")</f>
      </c>
      <c r="H1689" s="1" t="s">
        <v>806</v>
      </c>
      <c r="I1689" s="7">
        <v>1</v>
      </c>
      <c r="J1689" s="5">
        <f>XLOOKUP(L1689, uom!C:C, uom!B:B, "Not Found")</f>
      </c>
      <c r="K1689" s="1" t="s">
        <v>5511</v>
      </c>
      <c r="L1689" s="5">
        <f>XLOOKUP(N1689, uom!C:C, uom!B:B, "Not Found")</f>
      </c>
      <c r="M1689" s="1" t="s">
        <v>5511</v>
      </c>
      <c r="N1689" s="8" t="s">
        <v>5512</v>
      </c>
      <c r="O1689" s="1" t="s">
        <v>5513</v>
      </c>
      <c r="P1689" s="5">
        <f>XLOOKUP(R1689, classification!C:C, classification!B:B, "Not Found")</f>
      </c>
      <c r="Q1689" s="1" t="s">
        <v>5514</v>
      </c>
      <c r="R1689" s="2"/>
      <c r="S1689" s="2"/>
      <c r="T1689" s="2"/>
      <c r="U1689" s="2"/>
    </row>
    <row x14ac:dyDescent="0.25" r="1690" customHeight="1" ht="17.25">
      <c r="A1690" s="7">
        <v>1689</v>
      </c>
      <c r="B1690" s="1" t="s">
        <v>7101</v>
      </c>
      <c r="C1690" s="5">
        <f>CONCATENATE("PD", TEXT(A1690, "1000000"))</f>
      </c>
      <c r="D1690" s="7">
        <v>74</v>
      </c>
      <c r="E1690" s="5">
        <f>XLOOKUP(G1690, item_category!C:C, item_category!B:B, "Not Found")</f>
      </c>
      <c r="F1690" s="1" t="s">
        <v>5520</v>
      </c>
      <c r="G1690" s="5">
        <f>XLOOKUP(I1690, drug!B:B, drug!A:A, "Not Found")</f>
      </c>
      <c r="H1690" s="1"/>
      <c r="I1690" s="7">
        <v>1</v>
      </c>
      <c r="J1690" s="5">
        <f>XLOOKUP(L1690, uom!C:C, uom!B:B, "Not Found")</f>
      </c>
      <c r="K1690" s="1" t="s">
        <v>5511</v>
      </c>
      <c r="L1690" s="5">
        <f>XLOOKUP(N1690, uom!C:C, uom!B:B, "Not Found")</f>
      </c>
      <c r="M1690" s="1" t="s">
        <v>5511</v>
      </c>
      <c r="N1690" s="8" t="s">
        <v>5512</v>
      </c>
      <c r="O1690" s="1" t="s">
        <v>5513</v>
      </c>
      <c r="P1690" s="5">
        <f>XLOOKUP(R1690, classification!C:C, classification!B:B, "Not Found")</f>
      </c>
      <c r="Q1690" s="1" t="s">
        <v>5514</v>
      </c>
      <c r="R1690" s="2"/>
      <c r="S1690" s="2"/>
      <c r="T1690" s="2"/>
      <c r="U1690" s="2"/>
    </row>
    <row x14ac:dyDescent="0.25" r="1691" customHeight="1" ht="17.25">
      <c r="A1691" s="7">
        <v>1690</v>
      </c>
      <c r="B1691" s="1" t="s">
        <v>7102</v>
      </c>
      <c r="C1691" s="5">
        <f>CONCATENATE("PD", TEXT(A1691, "1000000"))</f>
      </c>
      <c r="D1691" s="7">
        <v>74</v>
      </c>
      <c r="E1691" s="5">
        <f>XLOOKUP(G1691, item_category!C:C, item_category!B:B, "Not Found")</f>
      </c>
      <c r="F1691" s="1" t="s">
        <v>5520</v>
      </c>
      <c r="G1691" s="5">
        <f>XLOOKUP(I1691, drug!B:B, drug!A:A, "Not Found")</f>
      </c>
      <c r="H1691" s="1"/>
      <c r="I1691" s="7">
        <v>1</v>
      </c>
      <c r="J1691" s="5">
        <f>XLOOKUP(L1691, uom!C:C, uom!B:B, "Not Found")</f>
      </c>
      <c r="K1691" s="1" t="s">
        <v>5511</v>
      </c>
      <c r="L1691" s="5">
        <f>XLOOKUP(N1691, uom!C:C, uom!B:B, "Not Found")</f>
      </c>
      <c r="M1691" s="1" t="s">
        <v>5511</v>
      </c>
      <c r="N1691" s="8" t="s">
        <v>5512</v>
      </c>
      <c r="O1691" s="1" t="s">
        <v>5513</v>
      </c>
      <c r="P1691" s="5">
        <f>XLOOKUP(R1691, classification!C:C, classification!B:B, "Not Found")</f>
      </c>
      <c r="Q1691" s="1" t="s">
        <v>5514</v>
      </c>
      <c r="R1691" s="2"/>
      <c r="S1691" s="2"/>
      <c r="T1691" s="2"/>
      <c r="U1691" s="2"/>
    </row>
    <row x14ac:dyDescent="0.25" r="1692" customHeight="1" ht="17.25">
      <c r="A1692" s="7">
        <v>1691</v>
      </c>
      <c r="B1692" s="1" t="s">
        <v>7103</v>
      </c>
      <c r="C1692" s="5">
        <f>CONCATENATE("PD", TEXT(A1692, "1000000"))</f>
      </c>
      <c r="D1692" s="7">
        <v>74</v>
      </c>
      <c r="E1692" s="5">
        <f>XLOOKUP(G1692, item_category!C:C, item_category!B:B, "Not Found")</f>
      </c>
      <c r="F1692" s="1" t="s">
        <v>5520</v>
      </c>
      <c r="G1692" s="5">
        <f>XLOOKUP(I1692, drug!B:B, drug!A:A, "Not Found")</f>
      </c>
      <c r="H1692" s="1"/>
      <c r="I1692" s="7">
        <v>1</v>
      </c>
      <c r="J1692" s="5">
        <f>XLOOKUP(L1692, uom!C:C, uom!B:B, "Not Found")</f>
      </c>
      <c r="K1692" s="1" t="s">
        <v>5511</v>
      </c>
      <c r="L1692" s="5">
        <f>XLOOKUP(N1692, uom!C:C, uom!B:B, "Not Found")</f>
      </c>
      <c r="M1692" s="1" t="s">
        <v>5511</v>
      </c>
      <c r="N1692" s="8" t="s">
        <v>5512</v>
      </c>
      <c r="O1692" s="1" t="s">
        <v>5513</v>
      </c>
      <c r="P1692" s="5">
        <f>XLOOKUP(R1692, classification!C:C, classification!B:B, "Not Found")</f>
      </c>
      <c r="Q1692" s="1" t="s">
        <v>5514</v>
      </c>
      <c r="R1692" s="2"/>
      <c r="S1692" s="2"/>
      <c r="T1692" s="2"/>
      <c r="U1692" s="2"/>
    </row>
    <row x14ac:dyDescent="0.25" r="1693" customHeight="1" ht="17.25">
      <c r="A1693" s="7">
        <v>1692</v>
      </c>
      <c r="B1693" s="1" t="s">
        <v>7104</v>
      </c>
      <c r="C1693" s="5">
        <f>CONCATENATE("PD", TEXT(A1693, "1000000"))</f>
      </c>
      <c r="D1693" s="7">
        <v>74</v>
      </c>
      <c r="E1693" s="5">
        <f>XLOOKUP(G1693, item_category!C:C, item_category!B:B, "Not Found")</f>
      </c>
      <c r="F1693" s="1" t="s">
        <v>5520</v>
      </c>
      <c r="G1693" s="5">
        <f>XLOOKUP(I1693, drug!B:B, drug!A:A, "Not Found")</f>
      </c>
      <c r="H1693" s="1" t="s">
        <v>663</v>
      </c>
      <c r="I1693" s="7">
        <v>500</v>
      </c>
      <c r="J1693" s="5">
        <f>XLOOKUP(L1693, uom!C:C, uom!B:B, "Not Found")</f>
      </c>
      <c r="K1693" s="1" t="s">
        <v>5544</v>
      </c>
      <c r="L1693" s="5">
        <f>XLOOKUP(N1693, uom!C:C, uom!B:B, "Not Found")</f>
      </c>
      <c r="M1693" s="1" t="s">
        <v>5544</v>
      </c>
      <c r="N1693" s="8" t="s">
        <v>5524</v>
      </c>
      <c r="O1693" s="1" t="s">
        <v>5525</v>
      </c>
      <c r="P1693" s="5">
        <f>XLOOKUP(R1693, classification!C:C, classification!B:B, "Not Found")</f>
      </c>
      <c r="Q1693" s="1" t="s">
        <v>5514</v>
      </c>
      <c r="R1693" s="2"/>
      <c r="S1693" s="2"/>
      <c r="T1693" s="2"/>
      <c r="U1693" s="2"/>
    </row>
    <row x14ac:dyDescent="0.25" r="1694" customHeight="1" ht="17.25">
      <c r="A1694" s="7">
        <v>1693</v>
      </c>
      <c r="B1694" s="1" t="s">
        <v>7105</v>
      </c>
      <c r="C1694" s="5">
        <f>CONCATENATE("PD", TEXT(A1694, "1000000"))</f>
      </c>
      <c r="D1694" s="7">
        <v>74</v>
      </c>
      <c r="E1694" s="5">
        <f>XLOOKUP(G1694, item_category!C:C, item_category!B:B, "Not Found")</f>
      </c>
      <c r="F1694" s="1" t="s">
        <v>5520</v>
      </c>
      <c r="G1694" s="5">
        <f>XLOOKUP(I1694, drug!B:B, drug!A:A, "Not Found")</f>
      </c>
      <c r="H1694" s="1"/>
      <c r="I1694" s="7">
        <v>1</v>
      </c>
      <c r="J1694" s="5">
        <f>XLOOKUP(L1694, uom!C:C, uom!B:B, "Not Found")</f>
      </c>
      <c r="K1694" s="1" t="s">
        <v>5511</v>
      </c>
      <c r="L1694" s="5">
        <f>XLOOKUP(N1694, uom!C:C, uom!B:B, "Not Found")</f>
      </c>
      <c r="M1694" s="1" t="s">
        <v>5511</v>
      </c>
      <c r="N1694" s="8" t="s">
        <v>5512</v>
      </c>
      <c r="O1694" s="1" t="s">
        <v>5513</v>
      </c>
      <c r="P1694" s="5">
        <f>XLOOKUP(R1694, classification!C:C, classification!B:B, "Not Found")</f>
      </c>
      <c r="Q1694" s="1" t="s">
        <v>5514</v>
      </c>
      <c r="R1694" s="2"/>
      <c r="S1694" s="2"/>
      <c r="T1694" s="2"/>
      <c r="U1694" s="2"/>
    </row>
    <row x14ac:dyDescent="0.25" r="1695" customHeight="1" ht="17.25">
      <c r="A1695" s="7">
        <v>1694</v>
      </c>
      <c r="B1695" s="1" t="s">
        <v>7106</v>
      </c>
      <c r="C1695" s="5">
        <f>CONCATENATE("PD", TEXT(A1695, "1000000"))</f>
      </c>
      <c r="D1695" s="7">
        <v>74</v>
      </c>
      <c r="E1695" s="5">
        <f>XLOOKUP(G1695, item_category!C:C, item_category!B:B, "Not Found")</f>
      </c>
      <c r="F1695" s="1" t="s">
        <v>5520</v>
      </c>
      <c r="G1695" s="5">
        <f>XLOOKUP(I1695, drug!B:B, drug!A:A, "Not Found")</f>
      </c>
      <c r="H1695" s="1" t="s">
        <v>667</v>
      </c>
      <c r="I1695" s="7">
        <v>1</v>
      </c>
      <c r="J1695" s="5">
        <f>XLOOKUP(L1695, uom!C:C, uom!B:B, "Not Found")</f>
      </c>
      <c r="K1695" s="1" t="s">
        <v>5511</v>
      </c>
      <c r="L1695" s="5">
        <f>XLOOKUP(N1695, uom!C:C, uom!B:B, "Not Found")</f>
      </c>
      <c r="M1695" s="1" t="s">
        <v>5511</v>
      </c>
      <c r="N1695" s="8" t="s">
        <v>5512</v>
      </c>
      <c r="O1695" s="1" t="s">
        <v>5513</v>
      </c>
      <c r="P1695" s="5">
        <f>XLOOKUP(R1695, classification!C:C, classification!B:B, "Not Found")</f>
      </c>
      <c r="Q1695" s="1" t="s">
        <v>5514</v>
      </c>
      <c r="R1695" s="2"/>
      <c r="S1695" s="2"/>
      <c r="T1695" s="2"/>
      <c r="U1695" s="2"/>
    </row>
    <row x14ac:dyDescent="0.25" r="1696" customHeight="1" ht="17.25">
      <c r="A1696" s="7">
        <v>1695</v>
      </c>
      <c r="B1696" s="1" t="s">
        <v>7107</v>
      </c>
      <c r="C1696" s="5">
        <f>CONCATENATE("PD", TEXT(A1696, "1000000"))</f>
      </c>
      <c r="D1696" s="7">
        <v>74</v>
      </c>
      <c r="E1696" s="5">
        <f>XLOOKUP(G1696, item_category!C:C, item_category!B:B, "Not Found")</f>
      </c>
      <c r="F1696" s="1" t="s">
        <v>5520</v>
      </c>
      <c r="G1696" s="5">
        <f>XLOOKUP(I1696, drug!B:B, drug!A:A, "Not Found")</f>
      </c>
      <c r="H1696" s="1" t="s">
        <v>667</v>
      </c>
      <c r="I1696" s="7">
        <v>1</v>
      </c>
      <c r="J1696" s="5">
        <f>XLOOKUP(L1696, uom!C:C, uom!B:B, "Not Found")</f>
      </c>
      <c r="K1696" s="1" t="s">
        <v>5511</v>
      </c>
      <c r="L1696" s="5">
        <f>XLOOKUP(N1696, uom!C:C, uom!B:B, "Not Found")</f>
      </c>
      <c r="M1696" s="1" t="s">
        <v>5511</v>
      </c>
      <c r="N1696" s="8" t="s">
        <v>5512</v>
      </c>
      <c r="O1696" s="1" t="s">
        <v>5513</v>
      </c>
      <c r="P1696" s="5">
        <f>XLOOKUP(R1696, classification!C:C, classification!B:B, "Not Found")</f>
      </c>
      <c r="Q1696" s="1" t="s">
        <v>5514</v>
      </c>
      <c r="R1696" s="2"/>
      <c r="S1696" s="2"/>
      <c r="T1696" s="2"/>
      <c r="U1696" s="2"/>
    </row>
    <row x14ac:dyDescent="0.25" r="1697" customHeight="1" ht="17.25">
      <c r="A1697" s="7">
        <v>1696</v>
      </c>
      <c r="B1697" s="1" t="s">
        <v>7108</v>
      </c>
      <c r="C1697" s="5">
        <f>CONCATENATE("PD", TEXT(A1697, "1000000"))</f>
      </c>
      <c r="D1697" s="7">
        <v>74</v>
      </c>
      <c r="E1697" s="5">
        <f>XLOOKUP(G1697, item_category!C:C, item_category!B:B, "Not Found")</f>
      </c>
      <c r="F1697" s="1" t="s">
        <v>5520</v>
      </c>
      <c r="G1697" s="5">
        <f>XLOOKUP(I1697, drug!B:B, drug!A:A, "Not Found")</f>
      </c>
      <c r="H1697" s="1"/>
      <c r="I1697" s="7">
        <v>1</v>
      </c>
      <c r="J1697" s="5">
        <f>XLOOKUP(L1697, uom!C:C, uom!B:B, "Not Found")</f>
      </c>
      <c r="K1697" s="1" t="s">
        <v>5511</v>
      </c>
      <c r="L1697" s="5">
        <f>XLOOKUP(N1697, uom!C:C, uom!B:B, "Not Found")</f>
      </c>
      <c r="M1697" s="1" t="s">
        <v>5511</v>
      </c>
      <c r="N1697" s="8" t="s">
        <v>5512</v>
      </c>
      <c r="O1697" s="1" t="s">
        <v>5513</v>
      </c>
      <c r="P1697" s="5">
        <f>XLOOKUP(R1697, classification!C:C, classification!B:B, "Not Found")</f>
      </c>
      <c r="Q1697" s="1" t="s">
        <v>5514</v>
      </c>
      <c r="R1697" s="2"/>
      <c r="S1697" s="2"/>
      <c r="T1697" s="2"/>
      <c r="U1697" s="2"/>
    </row>
    <row x14ac:dyDescent="0.25" r="1698" customHeight="1" ht="17.25">
      <c r="A1698" s="7">
        <v>1697</v>
      </c>
      <c r="B1698" s="1" t="s">
        <v>7109</v>
      </c>
      <c r="C1698" s="5">
        <f>CONCATENATE("PD", TEXT(A1698, "1000000"))</f>
      </c>
      <c r="D1698" s="7">
        <v>74</v>
      </c>
      <c r="E1698" s="5">
        <f>XLOOKUP(G1698, item_category!C:C, item_category!B:B, "Not Found")</f>
      </c>
      <c r="F1698" s="1" t="s">
        <v>5520</v>
      </c>
      <c r="G1698" s="5">
        <f>XLOOKUP(I1698, drug!B:B, drug!A:A, "Not Found")</f>
      </c>
      <c r="H1698" s="1"/>
      <c r="I1698" s="7">
        <v>1</v>
      </c>
      <c r="J1698" s="5">
        <f>XLOOKUP(L1698, uom!C:C, uom!B:B, "Not Found")</f>
      </c>
      <c r="K1698" s="1" t="s">
        <v>5511</v>
      </c>
      <c r="L1698" s="5">
        <f>XLOOKUP(N1698, uom!C:C, uom!B:B, "Not Found")</f>
      </c>
      <c r="M1698" s="1" t="s">
        <v>5511</v>
      </c>
      <c r="N1698" s="8" t="s">
        <v>5512</v>
      </c>
      <c r="O1698" s="1" t="s">
        <v>5513</v>
      </c>
      <c r="P1698" s="5">
        <f>XLOOKUP(R1698, classification!C:C, classification!B:B, "Not Found")</f>
      </c>
      <c r="Q1698" s="1" t="s">
        <v>5514</v>
      </c>
      <c r="R1698" s="2"/>
      <c r="S1698" s="2"/>
      <c r="T1698" s="2"/>
      <c r="U1698" s="2"/>
    </row>
    <row x14ac:dyDescent="0.25" r="1699" customHeight="1" ht="17.25">
      <c r="A1699" s="7">
        <v>1698</v>
      </c>
      <c r="B1699" s="1" t="s">
        <v>7110</v>
      </c>
      <c r="C1699" s="5">
        <f>CONCATENATE("PD", TEXT(A1699, "1000000"))</f>
      </c>
      <c r="D1699" s="7">
        <v>74</v>
      </c>
      <c r="E1699" s="5">
        <f>XLOOKUP(G1699, item_category!C:C, item_category!B:B, "Not Found")</f>
      </c>
      <c r="F1699" s="1" t="s">
        <v>5520</v>
      </c>
      <c r="G1699" s="5">
        <f>XLOOKUP(I1699, drug!B:B, drug!A:A, "Not Found")</f>
      </c>
      <c r="H1699" s="1"/>
      <c r="I1699" s="7">
        <v>1</v>
      </c>
      <c r="J1699" s="5">
        <f>XLOOKUP(L1699, uom!C:C, uom!B:B, "Not Found")</f>
      </c>
      <c r="K1699" s="1" t="s">
        <v>5511</v>
      </c>
      <c r="L1699" s="5">
        <f>XLOOKUP(N1699, uom!C:C, uom!B:B, "Not Found")</f>
      </c>
      <c r="M1699" s="1" t="s">
        <v>5511</v>
      </c>
      <c r="N1699" s="8" t="s">
        <v>5512</v>
      </c>
      <c r="O1699" s="1" t="s">
        <v>5513</v>
      </c>
      <c r="P1699" s="5">
        <f>XLOOKUP(R1699, classification!C:C, classification!B:B, "Not Found")</f>
      </c>
      <c r="Q1699" s="1" t="s">
        <v>5514</v>
      </c>
      <c r="R1699" s="2"/>
      <c r="S1699" s="2"/>
      <c r="T1699" s="2"/>
      <c r="U1699" s="2"/>
    </row>
    <row x14ac:dyDescent="0.25" r="1700" customHeight="1" ht="17.25">
      <c r="A1700" s="7">
        <v>1699</v>
      </c>
      <c r="B1700" s="1" t="s">
        <v>2944</v>
      </c>
      <c r="C1700" s="5">
        <f>CONCATENATE("PD", TEXT(A1700, "1000000"))</f>
      </c>
      <c r="D1700" s="7">
        <v>74</v>
      </c>
      <c r="E1700" s="5">
        <f>XLOOKUP(G1700, item_category!C:C, item_category!B:B, "Not Found")</f>
      </c>
      <c r="F1700" s="1" t="s">
        <v>5520</v>
      </c>
      <c r="G1700" s="5">
        <f>XLOOKUP(I1700, drug!B:B, drug!A:A, "Not Found")</f>
      </c>
      <c r="H1700" s="1"/>
      <c r="I1700" s="7">
        <v>1</v>
      </c>
      <c r="J1700" s="5">
        <f>XLOOKUP(L1700, uom!C:C, uom!B:B, "Not Found")</f>
      </c>
      <c r="K1700" s="1" t="s">
        <v>5511</v>
      </c>
      <c r="L1700" s="5">
        <f>XLOOKUP(N1700, uom!C:C, uom!B:B, "Not Found")</f>
      </c>
      <c r="M1700" s="1" t="s">
        <v>5511</v>
      </c>
      <c r="N1700" s="8" t="s">
        <v>5512</v>
      </c>
      <c r="O1700" s="1" t="s">
        <v>5513</v>
      </c>
      <c r="P1700" s="5">
        <f>XLOOKUP(R1700, classification!C:C, classification!B:B, "Not Found")</f>
      </c>
      <c r="Q1700" s="1" t="s">
        <v>5514</v>
      </c>
      <c r="R1700" s="2"/>
      <c r="S1700" s="2"/>
      <c r="T1700" s="2"/>
      <c r="U1700" s="2"/>
    </row>
    <row x14ac:dyDescent="0.25" r="1701" customHeight="1" ht="17.25">
      <c r="A1701" s="7">
        <v>1700</v>
      </c>
      <c r="B1701" s="1" t="s">
        <v>7111</v>
      </c>
      <c r="C1701" s="5">
        <f>CONCATENATE("PD", TEXT(A1701, "1000000"))</f>
      </c>
      <c r="D1701" s="7">
        <v>74</v>
      </c>
      <c r="E1701" s="5">
        <f>XLOOKUP(G1701, item_category!C:C, item_category!B:B, "Not Found")</f>
      </c>
      <c r="F1701" s="1" t="s">
        <v>5520</v>
      </c>
      <c r="G1701" s="5">
        <f>XLOOKUP(I1701, drug!B:B, drug!A:A, "Not Found")</f>
      </c>
      <c r="H1701" s="1"/>
      <c r="I1701" s="7">
        <v>1</v>
      </c>
      <c r="J1701" s="5">
        <f>XLOOKUP(L1701, uom!C:C, uom!B:B, "Not Found")</f>
      </c>
      <c r="K1701" s="1" t="s">
        <v>5511</v>
      </c>
      <c r="L1701" s="5">
        <f>XLOOKUP(N1701, uom!C:C, uom!B:B, "Not Found")</f>
      </c>
      <c r="M1701" s="1" t="s">
        <v>5511</v>
      </c>
      <c r="N1701" s="8" t="s">
        <v>5512</v>
      </c>
      <c r="O1701" s="1" t="s">
        <v>5513</v>
      </c>
      <c r="P1701" s="5">
        <f>XLOOKUP(R1701, classification!C:C, classification!B:B, "Not Found")</f>
      </c>
      <c r="Q1701" s="1" t="s">
        <v>5514</v>
      </c>
      <c r="R1701" s="2"/>
      <c r="S1701" s="2"/>
      <c r="T1701" s="2"/>
      <c r="U1701" s="2"/>
    </row>
    <row x14ac:dyDescent="0.25" r="1702" customHeight="1" ht="17.25">
      <c r="A1702" s="7">
        <v>1701</v>
      </c>
      <c r="B1702" s="1" t="s">
        <v>7112</v>
      </c>
      <c r="C1702" s="5">
        <f>CONCATENATE("PD", TEXT(A1702, "1000000"))</f>
      </c>
      <c r="D1702" s="7">
        <v>74</v>
      </c>
      <c r="E1702" s="5">
        <f>XLOOKUP(G1702, item_category!C:C, item_category!B:B, "Not Found")</f>
      </c>
      <c r="F1702" s="1" t="s">
        <v>5520</v>
      </c>
      <c r="G1702" s="5">
        <f>XLOOKUP(I1702, drug!B:B, drug!A:A, "Not Found")</f>
      </c>
      <c r="H1702" s="1"/>
      <c r="I1702" s="7">
        <v>1</v>
      </c>
      <c r="J1702" s="5">
        <f>XLOOKUP(L1702, uom!C:C, uom!B:B, "Not Found")</f>
      </c>
      <c r="K1702" s="1" t="s">
        <v>5511</v>
      </c>
      <c r="L1702" s="5">
        <f>XLOOKUP(N1702, uom!C:C, uom!B:B, "Not Found")</f>
      </c>
      <c r="M1702" s="1" t="s">
        <v>5511</v>
      </c>
      <c r="N1702" s="8" t="s">
        <v>5512</v>
      </c>
      <c r="O1702" s="1" t="s">
        <v>5513</v>
      </c>
      <c r="P1702" s="5">
        <f>XLOOKUP(R1702, classification!C:C, classification!B:B, "Not Found")</f>
      </c>
      <c r="Q1702" s="1" t="s">
        <v>5514</v>
      </c>
      <c r="R1702" s="2"/>
      <c r="S1702" s="2"/>
      <c r="T1702" s="2"/>
      <c r="U1702" s="2"/>
    </row>
    <row x14ac:dyDescent="0.25" r="1703" customHeight="1" ht="17.25">
      <c r="A1703" s="7">
        <v>1702</v>
      </c>
      <c r="B1703" s="1" t="s">
        <v>7113</v>
      </c>
      <c r="C1703" s="5">
        <f>CONCATENATE("PD", TEXT(A1703, "1000000"))</f>
      </c>
      <c r="D1703" s="7">
        <v>74</v>
      </c>
      <c r="E1703" s="5">
        <f>XLOOKUP(G1703, item_category!C:C, item_category!B:B, "Not Found")</f>
      </c>
      <c r="F1703" s="1" t="s">
        <v>5520</v>
      </c>
      <c r="G1703" s="5">
        <f>XLOOKUP(I1703, drug!B:B, drug!A:A, "Not Found")</f>
      </c>
      <c r="H1703" s="1"/>
      <c r="I1703" s="7">
        <v>1</v>
      </c>
      <c r="J1703" s="5">
        <f>XLOOKUP(L1703, uom!C:C, uom!B:B, "Not Found")</f>
      </c>
      <c r="K1703" s="1" t="s">
        <v>5511</v>
      </c>
      <c r="L1703" s="5">
        <f>XLOOKUP(N1703, uom!C:C, uom!B:B, "Not Found")</f>
      </c>
      <c r="M1703" s="1" t="s">
        <v>5511</v>
      </c>
      <c r="N1703" s="8" t="s">
        <v>5512</v>
      </c>
      <c r="O1703" s="1" t="s">
        <v>5513</v>
      </c>
      <c r="P1703" s="5">
        <f>XLOOKUP(R1703, classification!C:C, classification!B:B, "Not Found")</f>
      </c>
      <c r="Q1703" s="1" t="s">
        <v>5514</v>
      </c>
      <c r="R1703" s="2"/>
      <c r="S1703" s="2"/>
      <c r="T1703" s="2"/>
      <c r="U1703" s="2"/>
    </row>
    <row x14ac:dyDescent="0.25" r="1704" customHeight="1" ht="17.25">
      <c r="A1704" s="7">
        <v>1703</v>
      </c>
      <c r="B1704" s="1" t="s">
        <v>7114</v>
      </c>
      <c r="C1704" s="5">
        <f>CONCATENATE("PD", TEXT(A1704, "1000000"))</f>
      </c>
      <c r="D1704" s="7">
        <v>74</v>
      </c>
      <c r="E1704" s="5">
        <f>XLOOKUP(G1704, item_category!C:C, item_category!B:B, "Not Found")</f>
      </c>
      <c r="F1704" s="1" t="s">
        <v>5520</v>
      </c>
      <c r="G1704" s="5">
        <f>XLOOKUP(I1704, drug!B:B, drug!A:A, "Not Found")</f>
      </c>
      <c r="H1704" s="1"/>
      <c r="I1704" s="7">
        <v>1</v>
      </c>
      <c r="J1704" s="5">
        <f>XLOOKUP(L1704, uom!C:C, uom!B:B, "Not Found")</f>
      </c>
      <c r="K1704" s="1" t="s">
        <v>5511</v>
      </c>
      <c r="L1704" s="5">
        <f>XLOOKUP(N1704, uom!C:C, uom!B:B, "Not Found")</f>
      </c>
      <c r="M1704" s="1" t="s">
        <v>5511</v>
      </c>
      <c r="N1704" s="8" t="s">
        <v>5512</v>
      </c>
      <c r="O1704" s="1" t="s">
        <v>5513</v>
      </c>
      <c r="P1704" s="5">
        <f>XLOOKUP(R1704, classification!C:C, classification!B:B, "Not Found")</f>
      </c>
      <c r="Q1704" s="1" t="s">
        <v>5514</v>
      </c>
      <c r="R1704" s="2"/>
      <c r="S1704" s="2"/>
      <c r="T1704" s="2"/>
      <c r="U1704" s="2"/>
    </row>
    <row x14ac:dyDescent="0.25" r="1705" customHeight="1" ht="17.25">
      <c r="A1705" s="7">
        <v>1704</v>
      </c>
      <c r="B1705" s="1" t="s">
        <v>7115</v>
      </c>
      <c r="C1705" s="5">
        <f>CONCATENATE("PD", TEXT(A1705, "1000000"))</f>
      </c>
      <c r="D1705" s="7">
        <v>74</v>
      </c>
      <c r="E1705" s="5">
        <f>XLOOKUP(G1705, item_category!C:C, item_category!B:B, "Not Found")</f>
      </c>
      <c r="F1705" s="1" t="s">
        <v>5520</v>
      </c>
      <c r="G1705" s="5">
        <f>XLOOKUP(I1705, drug!B:B, drug!A:A, "Not Found")</f>
      </c>
      <c r="H1705" s="1"/>
      <c r="I1705" s="7">
        <v>1</v>
      </c>
      <c r="J1705" s="5">
        <f>XLOOKUP(L1705, uom!C:C, uom!B:B, "Not Found")</f>
      </c>
      <c r="K1705" s="1" t="s">
        <v>5511</v>
      </c>
      <c r="L1705" s="5">
        <f>XLOOKUP(N1705, uom!C:C, uom!B:B, "Not Found")</f>
      </c>
      <c r="M1705" s="1" t="s">
        <v>5511</v>
      </c>
      <c r="N1705" s="8" t="s">
        <v>5512</v>
      </c>
      <c r="O1705" s="1" t="s">
        <v>5513</v>
      </c>
      <c r="P1705" s="5">
        <f>XLOOKUP(R1705, classification!C:C, classification!B:B, "Not Found")</f>
      </c>
      <c r="Q1705" s="1" t="s">
        <v>5514</v>
      </c>
      <c r="R1705" s="2"/>
      <c r="S1705" s="2"/>
      <c r="T1705" s="2"/>
      <c r="U1705" s="2"/>
    </row>
    <row x14ac:dyDescent="0.25" r="1706" customHeight="1" ht="17.25">
      <c r="A1706" s="7">
        <v>1705</v>
      </c>
      <c r="B1706" s="1" t="s">
        <v>7116</v>
      </c>
      <c r="C1706" s="5">
        <f>CONCATENATE("PD", TEXT(A1706, "1000000"))</f>
      </c>
      <c r="D1706" s="7">
        <v>74</v>
      </c>
      <c r="E1706" s="5">
        <f>XLOOKUP(G1706, item_category!C:C, item_category!B:B, "Not Found")</f>
      </c>
      <c r="F1706" s="1" t="s">
        <v>5520</v>
      </c>
      <c r="G1706" s="5">
        <f>XLOOKUP(I1706, drug!B:B, drug!A:A, "Not Found")</f>
      </c>
      <c r="H1706" s="1" t="s">
        <v>678</v>
      </c>
      <c r="I1706" s="7">
        <v>1</v>
      </c>
      <c r="J1706" s="5">
        <f>XLOOKUP(L1706, uom!C:C, uom!B:B, "Not Found")</f>
      </c>
      <c r="K1706" s="1" t="s">
        <v>5511</v>
      </c>
      <c r="L1706" s="5">
        <f>XLOOKUP(N1706, uom!C:C, uom!B:B, "Not Found")</f>
      </c>
      <c r="M1706" s="1" t="s">
        <v>5511</v>
      </c>
      <c r="N1706" s="8" t="s">
        <v>5512</v>
      </c>
      <c r="O1706" s="1" t="s">
        <v>5513</v>
      </c>
      <c r="P1706" s="5">
        <f>XLOOKUP(R1706, classification!C:C, classification!B:B, "Not Found")</f>
      </c>
      <c r="Q1706" s="1" t="s">
        <v>5514</v>
      </c>
      <c r="R1706" s="2"/>
      <c r="S1706" s="2"/>
      <c r="T1706" s="2"/>
      <c r="U1706" s="2"/>
    </row>
    <row x14ac:dyDescent="0.25" r="1707" customHeight="1" ht="17.25">
      <c r="A1707" s="7">
        <v>1706</v>
      </c>
      <c r="B1707" s="1" t="s">
        <v>7117</v>
      </c>
      <c r="C1707" s="5">
        <f>CONCATENATE("PD", TEXT(A1707, "1000000"))</f>
      </c>
      <c r="D1707" s="7">
        <v>74</v>
      </c>
      <c r="E1707" s="5">
        <f>XLOOKUP(G1707, item_category!C:C, item_category!B:B, "Not Found")</f>
      </c>
      <c r="F1707" s="1" t="s">
        <v>5520</v>
      </c>
      <c r="G1707" s="5">
        <f>XLOOKUP(I1707, drug!B:B, drug!A:A, "Not Found")</f>
      </c>
      <c r="H1707" s="1" t="s">
        <v>678</v>
      </c>
      <c r="I1707" s="7">
        <v>1</v>
      </c>
      <c r="J1707" s="5">
        <f>XLOOKUP(L1707, uom!C:C, uom!B:B, "Not Found")</f>
      </c>
      <c r="K1707" s="1" t="s">
        <v>5511</v>
      </c>
      <c r="L1707" s="5">
        <f>XLOOKUP(N1707, uom!C:C, uom!B:B, "Not Found")</f>
      </c>
      <c r="M1707" s="1" t="s">
        <v>5511</v>
      </c>
      <c r="N1707" s="8" t="s">
        <v>5512</v>
      </c>
      <c r="O1707" s="1" t="s">
        <v>5513</v>
      </c>
      <c r="P1707" s="5">
        <f>XLOOKUP(R1707, classification!C:C, classification!B:B, "Not Found")</f>
      </c>
      <c r="Q1707" s="1" t="s">
        <v>5514</v>
      </c>
      <c r="R1707" s="2"/>
      <c r="S1707" s="2"/>
      <c r="T1707" s="2"/>
      <c r="U1707" s="2"/>
    </row>
    <row x14ac:dyDescent="0.25" r="1708" customHeight="1" ht="17.25">
      <c r="A1708" s="7">
        <v>1707</v>
      </c>
      <c r="B1708" s="1" t="s">
        <v>7118</v>
      </c>
      <c r="C1708" s="5">
        <f>CONCATENATE("PD", TEXT(A1708, "1000000"))</f>
      </c>
      <c r="D1708" s="7">
        <v>74</v>
      </c>
      <c r="E1708" s="5">
        <f>XLOOKUP(G1708, item_category!C:C, item_category!B:B, "Not Found")</f>
      </c>
      <c r="F1708" s="1" t="s">
        <v>5520</v>
      </c>
      <c r="G1708" s="5">
        <f>XLOOKUP(I1708, drug!B:B, drug!A:A, "Not Found")</f>
      </c>
      <c r="H1708" s="1"/>
      <c r="I1708" s="7">
        <v>1</v>
      </c>
      <c r="J1708" s="5">
        <f>XLOOKUP(L1708, uom!C:C, uom!B:B, "Not Found")</f>
      </c>
      <c r="K1708" s="1" t="s">
        <v>5511</v>
      </c>
      <c r="L1708" s="5">
        <f>XLOOKUP(N1708, uom!C:C, uom!B:B, "Not Found")</f>
      </c>
      <c r="M1708" s="1" t="s">
        <v>5511</v>
      </c>
      <c r="N1708" s="8" t="s">
        <v>5512</v>
      </c>
      <c r="O1708" s="1" t="s">
        <v>5513</v>
      </c>
      <c r="P1708" s="5">
        <f>XLOOKUP(R1708, classification!C:C, classification!B:B, "Not Found")</f>
      </c>
      <c r="Q1708" s="1" t="s">
        <v>5514</v>
      </c>
      <c r="R1708" s="2"/>
      <c r="S1708" s="2"/>
      <c r="T1708" s="2"/>
      <c r="U1708" s="2"/>
    </row>
    <row x14ac:dyDescent="0.25" r="1709" customHeight="1" ht="17.25">
      <c r="A1709" s="7">
        <v>1708</v>
      </c>
      <c r="B1709" s="1" t="s">
        <v>7119</v>
      </c>
      <c r="C1709" s="5">
        <f>CONCATENATE("PD", TEXT(A1709, "1000000"))</f>
      </c>
      <c r="D1709" s="7">
        <v>74</v>
      </c>
      <c r="E1709" s="5">
        <f>XLOOKUP(G1709, item_category!C:C, item_category!B:B, "Not Found")</f>
      </c>
      <c r="F1709" s="1" t="s">
        <v>5520</v>
      </c>
      <c r="G1709" s="5">
        <f>XLOOKUP(I1709, drug!B:B, drug!A:A, "Not Found")</f>
      </c>
      <c r="H1709" s="1"/>
      <c r="I1709" s="7">
        <v>1</v>
      </c>
      <c r="J1709" s="5">
        <f>XLOOKUP(L1709, uom!C:C, uom!B:B, "Not Found")</f>
      </c>
      <c r="K1709" s="1" t="s">
        <v>5511</v>
      </c>
      <c r="L1709" s="5">
        <f>XLOOKUP(N1709, uom!C:C, uom!B:B, "Not Found")</f>
      </c>
      <c r="M1709" s="1" t="s">
        <v>5511</v>
      </c>
      <c r="N1709" s="8" t="s">
        <v>5512</v>
      </c>
      <c r="O1709" s="1" t="s">
        <v>5513</v>
      </c>
      <c r="P1709" s="5">
        <f>XLOOKUP(R1709, classification!C:C, classification!B:B, "Not Found")</f>
      </c>
      <c r="Q1709" s="1" t="s">
        <v>5514</v>
      </c>
      <c r="R1709" s="2"/>
      <c r="S1709" s="2"/>
      <c r="T1709" s="2"/>
      <c r="U1709" s="2"/>
    </row>
    <row x14ac:dyDescent="0.25" r="1710" customHeight="1" ht="17.25">
      <c r="A1710" s="7">
        <v>1709</v>
      </c>
      <c r="B1710" s="1" t="s">
        <v>7120</v>
      </c>
      <c r="C1710" s="5">
        <f>CONCATENATE("PD", TEXT(A1710, "1000000"))</f>
      </c>
      <c r="D1710" s="7">
        <v>74</v>
      </c>
      <c r="E1710" s="5">
        <f>XLOOKUP(G1710, item_category!C:C, item_category!B:B, "Not Found")</f>
      </c>
      <c r="F1710" s="1" t="s">
        <v>5520</v>
      </c>
      <c r="G1710" s="5">
        <f>XLOOKUP(I1710, drug!B:B, drug!A:A, "Not Found")</f>
      </c>
      <c r="H1710" s="1"/>
      <c r="I1710" s="7">
        <v>1</v>
      </c>
      <c r="J1710" s="5">
        <f>XLOOKUP(L1710, uom!C:C, uom!B:B, "Not Found")</f>
      </c>
      <c r="K1710" s="1" t="s">
        <v>5511</v>
      </c>
      <c r="L1710" s="5">
        <f>XLOOKUP(N1710, uom!C:C, uom!B:B, "Not Found")</f>
      </c>
      <c r="M1710" s="1" t="s">
        <v>5511</v>
      </c>
      <c r="N1710" s="8" t="s">
        <v>5512</v>
      </c>
      <c r="O1710" s="1" t="s">
        <v>5513</v>
      </c>
      <c r="P1710" s="5">
        <f>XLOOKUP(R1710, classification!C:C, classification!B:B, "Not Found")</f>
      </c>
      <c r="Q1710" s="1" t="s">
        <v>5514</v>
      </c>
      <c r="R1710" s="2"/>
      <c r="S1710" s="2"/>
      <c r="T1710" s="2"/>
      <c r="U1710" s="2"/>
    </row>
    <row x14ac:dyDescent="0.25" r="1711" customHeight="1" ht="17.25">
      <c r="A1711" s="7">
        <v>1710</v>
      </c>
      <c r="B1711" s="1" t="s">
        <v>7121</v>
      </c>
      <c r="C1711" s="5">
        <f>CONCATENATE("PD", TEXT(A1711, "1000000"))</f>
      </c>
      <c r="D1711" s="7">
        <v>74</v>
      </c>
      <c r="E1711" s="5">
        <f>XLOOKUP(G1711, item_category!C:C, item_category!B:B, "Not Found")</f>
      </c>
      <c r="F1711" s="1" t="s">
        <v>5520</v>
      </c>
      <c r="G1711" s="5">
        <f>XLOOKUP(I1711, drug!B:B, drug!A:A, "Not Found")</f>
      </c>
      <c r="H1711" s="1"/>
      <c r="I1711" s="7">
        <v>1</v>
      </c>
      <c r="J1711" s="5">
        <f>XLOOKUP(L1711, uom!C:C, uom!B:B, "Not Found")</f>
      </c>
      <c r="K1711" s="1" t="s">
        <v>5511</v>
      </c>
      <c r="L1711" s="5">
        <f>XLOOKUP(N1711, uom!C:C, uom!B:B, "Not Found")</f>
      </c>
      <c r="M1711" s="1" t="s">
        <v>5511</v>
      </c>
      <c r="N1711" s="8" t="s">
        <v>5512</v>
      </c>
      <c r="O1711" s="1" t="s">
        <v>5513</v>
      </c>
      <c r="P1711" s="5">
        <f>XLOOKUP(R1711, classification!C:C, classification!B:B, "Not Found")</f>
      </c>
      <c r="Q1711" s="1" t="s">
        <v>5514</v>
      </c>
      <c r="R1711" s="2"/>
      <c r="S1711" s="2"/>
      <c r="T1711" s="2"/>
      <c r="U1711" s="2"/>
    </row>
    <row x14ac:dyDescent="0.25" r="1712" customHeight="1" ht="17.25">
      <c r="A1712" s="7">
        <v>1711</v>
      </c>
      <c r="B1712" s="1" t="s">
        <v>7122</v>
      </c>
      <c r="C1712" s="5">
        <f>CONCATENATE("PD", TEXT(A1712, "1000000"))</f>
      </c>
      <c r="D1712" s="7">
        <v>74</v>
      </c>
      <c r="E1712" s="5">
        <f>XLOOKUP(G1712, item_category!C:C, item_category!B:B, "Not Found")</f>
      </c>
      <c r="F1712" s="1" t="s">
        <v>5520</v>
      </c>
      <c r="G1712" s="5">
        <f>XLOOKUP(I1712, drug!B:B, drug!A:A, "Not Found")</f>
      </c>
      <c r="H1712" s="1"/>
      <c r="I1712" s="7">
        <v>1</v>
      </c>
      <c r="J1712" s="5">
        <f>XLOOKUP(L1712, uom!C:C, uom!B:B, "Not Found")</f>
      </c>
      <c r="K1712" s="1" t="s">
        <v>5511</v>
      </c>
      <c r="L1712" s="5">
        <f>XLOOKUP(N1712, uom!C:C, uom!B:B, "Not Found")</f>
      </c>
      <c r="M1712" s="1" t="s">
        <v>5511</v>
      </c>
      <c r="N1712" s="8" t="s">
        <v>5512</v>
      </c>
      <c r="O1712" s="1" t="s">
        <v>5513</v>
      </c>
      <c r="P1712" s="5">
        <f>XLOOKUP(R1712, classification!C:C, classification!B:B, "Not Found")</f>
      </c>
      <c r="Q1712" s="1" t="s">
        <v>5514</v>
      </c>
      <c r="R1712" s="2"/>
      <c r="S1712" s="2"/>
      <c r="T1712" s="2"/>
      <c r="U1712" s="2"/>
    </row>
    <row x14ac:dyDescent="0.25" r="1713" customHeight="1" ht="17.25">
      <c r="A1713" s="7">
        <v>1712</v>
      </c>
      <c r="B1713" s="1" t="s">
        <v>7123</v>
      </c>
      <c r="C1713" s="5">
        <f>CONCATENATE("PD", TEXT(A1713, "1000000"))</f>
      </c>
      <c r="D1713" s="7">
        <v>74</v>
      </c>
      <c r="E1713" s="5">
        <f>XLOOKUP(G1713, item_category!C:C, item_category!B:B, "Not Found")</f>
      </c>
      <c r="F1713" s="1" t="s">
        <v>5520</v>
      </c>
      <c r="G1713" s="5">
        <f>XLOOKUP(I1713, drug!B:B, drug!A:A, "Not Found")</f>
      </c>
      <c r="H1713" s="1"/>
      <c r="I1713" s="7">
        <v>1</v>
      </c>
      <c r="J1713" s="5">
        <f>XLOOKUP(L1713, uom!C:C, uom!B:B, "Not Found")</f>
      </c>
      <c r="K1713" s="1" t="s">
        <v>5511</v>
      </c>
      <c r="L1713" s="5">
        <f>XLOOKUP(N1713, uom!C:C, uom!B:B, "Not Found")</f>
      </c>
      <c r="M1713" s="1" t="s">
        <v>5511</v>
      </c>
      <c r="N1713" s="8" t="s">
        <v>5512</v>
      </c>
      <c r="O1713" s="1" t="s">
        <v>5513</v>
      </c>
      <c r="P1713" s="5">
        <f>XLOOKUP(R1713, classification!C:C, classification!B:B, "Not Found")</f>
      </c>
      <c r="Q1713" s="1" t="s">
        <v>5514</v>
      </c>
      <c r="R1713" s="2"/>
      <c r="S1713" s="2"/>
      <c r="T1713" s="2"/>
      <c r="U1713" s="2"/>
    </row>
    <row x14ac:dyDescent="0.25" r="1714" customHeight="1" ht="17.25">
      <c r="A1714" s="7">
        <v>1713</v>
      </c>
      <c r="B1714" s="1" t="s">
        <v>2960</v>
      </c>
      <c r="C1714" s="5">
        <f>CONCATENATE("PD", TEXT(A1714, "1000000"))</f>
      </c>
      <c r="D1714" s="7">
        <v>74</v>
      </c>
      <c r="E1714" s="5">
        <f>XLOOKUP(G1714, item_category!C:C, item_category!B:B, "Not Found")</f>
      </c>
      <c r="F1714" s="1" t="s">
        <v>5520</v>
      </c>
      <c r="G1714" s="5">
        <f>XLOOKUP(I1714, drug!B:B, drug!A:A, "Not Found")</f>
      </c>
      <c r="H1714" s="1"/>
      <c r="I1714" s="7">
        <v>1</v>
      </c>
      <c r="J1714" s="5">
        <f>XLOOKUP(L1714, uom!C:C, uom!B:B, "Not Found")</f>
      </c>
      <c r="K1714" s="1" t="s">
        <v>5511</v>
      </c>
      <c r="L1714" s="5">
        <f>XLOOKUP(N1714, uom!C:C, uom!B:B, "Not Found")</f>
      </c>
      <c r="M1714" s="1" t="s">
        <v>5511</v>
      </c>
      <c r="N1714" s="8" t="s">
        <v>5512</v>
      </c>
      <c r="O1714" s="1" t="s">
        <v>5513</v>
      </c>
      <c r="P1714" s="5">
        <f>XLOOKUP(R1714, classification!C:C, classification!B:B, "Not Found")</f>
      </c>
      <c r="Q1714" s="1" t="s">
        <v>5514</v>
      </c>
      <c r="R1714" s="2"/>
      <c r="S1714" s="2"/>
      <c r="T1714" s="2"/>
      <c r="U1714" s="2"/>
    </row>
    <row x14ac:dyDescent="0.25" r="1715" customHeight="1" ht="17.25">
      <c r="A1715" s="7">
        <v>1714</v>
      </c>
      <c r="B1715" s="1" t="s">
        <v>2962</v>
      </c>
      <c r="C1715" s="5">
        <f>CONCATENATE("PD", TEXT(A1715, "1000000"))</f>
      </c>
      <c r="D1715" s="7">
        <v>74</v>
      </c>
      <c r="E1715" s="5">
        <f>XLOOKUP(G1715, item_category!C:C, item_category!B:B, "Not Found")</f>
      </c>
      <c r="F1715" s="1" t="s">
        <v>5520</v>
      </c>
      <c r="G1715" s="5">
        <f>XLOOKUP(I1715, drug!B:B, drug!A:A, "Not Found")</f>
      </c>
      <c r="H1715" s="1"/>
      <c r="I1715" s="7">
        <v>1</v>
      </c>
      <c r="J1715" s="5">
        <f>XLOOKUP(L1715, uom!C:C, uom!B:B, "Not Found")</f>
      </c>
      <c r="K1715" s="1" t="s">
        <v>5511</v>
      </c>
      <c r="L1715" s="5">
        <f>XLOOKUP(N1715, uom!C:C, uom!B:B, "Not Found")</f>
      </c>
      <c r="M1715" s="1" t="s">
        <v>5511</v>
      </c>
      <c r="N1715" s="8" t="s">
        <v>5512</v>
      </c>
      <c r="O1715" s="1" t="s">
        <v>5513</v>
      </c>
      <c r="P1715" s="5">
        <f>XLOOKUP(R1715, classification!C:C, classification!B:B, "Not Found")</f>
      </c>
      <c r="Q1715" s="1" t="s">
        <v>5514</v>
      </c>
      <c r="R1715" s="2"/>
      <c r="S1715" s="2"/>
      <c r="T1715" s="2"/>
      <c r="U1715" s="2"/>
    </row>
    <row x14ac:dyDescent="0.25" r="1716" customHeight="1" ht="17.25">
      <c r="A1716" s="7">
        <v>1715</v>
      </c>
      <c r="B1716" s="1" t="s">
        <v>7124</v>
      </c>
      <c r="C1716" s="5">
        <f>CONCATENATE("PD", TEXT(A1716, "1000000"))</f>
      </c>
      <c r="D1716" s="7">
        <v>74</v>
      </c>
      <c r="E1716" s="5">
        <f>XLOOKUP(G1716, item_category!C:C, item_category!B:B, "Not Found")</f>
      </c>
      <c r="F1716" s="1" t="s">
        <v>5520</v>
      </c>
      <c r="G1716" s="5">
        <f>XLOOKUP(I1716, drug!B:B, drug!A:A, "Not Found")</f>
      </c>
      <c r="H1716" s="1"/>
      <c r="I1716" s="7">
        <v>1</v>
      </c>
      <c r="J1716" s="5">
        <f>XLOOKUP(L1716, uom!C:C, uom!B:B, "Not Found")</f>
      </c>
      <c r="K1716" s="1" t="s">
        <v>5511</v>
      </c>
      <c r="L1716" s="5">
        <f>XLOOKUP(N1716, uom!C:C, uom!B:B, "Not Found")</f>
      </c>
      <c r="M1716" s="1" t="s">
        <v>5511</v>
      </c>
      <c r="N1716" s="8" t="s">
        <v>5512</v>
      </c>
      <c r="O1716" s="1" t="s">
        <v>5513</v>
      </c>
      <c r="P1716" s="5">
        <f>XLOOKUP(R1716, classification!C:C, classification!B:B, "Not Found")</f>
      </c>
      <c r="Q1716" s="1" t="s">
        <v>5514</v>
      </c>
      <c r="R1716" s="2"/>
      <c r="S1716" s="2"/>
      <c r="T1716" s="2"/>
      <c r="U1716" s="2"/>
    </row>
    <row x14ac:dyDescent="0.25" r="1717" customHeight="1" ht="17.25">
      <c r="A1717" s="7">
        <v>1716</v>
      </c>
      <c r="B1717" s="1" t="s">
        <v>7125</v>
      </c>
      <c r="C1717" s="5">
        <f>CONCATENATE("PD", TEXT(A1717, "1000000"))</f>
      </c>
      <c r="D1717" s="7">
        <v>74</v>
      </c>
      <c r="E1717" s="5">
        <f>XLOOKUP(G1717, item_category!C:C, item_category!B:B, "Not Found")</f>
      </c>
      <c r="F1717" s="1" t="s">
        <v>5520</v>
      </c>
      <c r="G1717" s="5">
        <f>XLOOKUP(I1717, drug!B:B, drug!A:A, "Not Found")</f>
      </c>
      <c r="H1717" s="1"/>
      <c r="I1717" s="7">
        <v>1</v>
      </c>
      <c r="J1717" s="5">
        <f>XLOOKUP(L1717, uom!C:C, uom!B:B, "Not Found")</f>
      </c>
      <c r="K1717" s="1" t="s">
        <v>5511</v>
      </c>
      <c r="L1717" s="5">
        <f>XLOOKUP(N1717, uom!C:C, uom!B:B, "Not Found")</f>
      </c>
      <c r="M1717" s="1" t="s">
        <v>5511</v>
      </c>
      <c r="N1717" s="8" t="s">
        <v>5512</v>
      </c>
      <c r="O1717" s="1" t="s">
        <v>5513</v>
      </c>
      <c r="P1717" s="5">
        <f>XLOOKUP(R1717, classification!C:C, classification!B:B, "Not Found")</f>
      </c>
      <c r="Q1717" s="1" t="s">
        <v>5514</v>
      </c>
      <c r="R1717" s="2"/>
      <c r="S1717" s="2"/>
      <c r="T1717" s="2"/>
      <c r="U1717" s="2"/>
    </row>
    <row x14ac:dyDescent="0.25" r="1718" customHeight="1" ht="17.25">
      <c r="A1718" s="7">
        <v>1717</v>
      </c>
      <c r="B1718" s="1" t="s">
        <v>7126</v>
      </c>
      <c r="C1718" s="5">
        <f>CONCATENATE("PD", TEXT(A1718, "1000000"))</f>
      </c>
      <c r="D1718" s="7">
        <v>74</v>
      </c>
      <c r="E1718" s="5">
        <f>XLOOKUP(G1718, item_category!C:C, item_category!B:B, "Not Found")</f>
      </c>
      <c r="F1718" s="1" t="s">
        <v>5520</v>
      </c>
      <c r="G1718" s="5">
        <f>XLOOKUP(I1718, drug!B:B, drug!A:A, "Not Found")</f>
      </c>
      <c r="H1718" s="1"/>
      <c r="I1718" s="7">
        <v>1</v>
      </c>
      <c r="J1718" s="5">
        <f>XLOOKUP(L1718, uom!C:C, uom!B:B, "Not Found")</f>
      </c>
      <c r="K1718" s="1" t="s">
        <v>5511</v>
      </c>
      <c r="L1718" s="5">
        <f>XLOOKUP(N1718, uom!C:C, uom!B:B, "Not Found")</f>
      </c>
      <c r="M1718" s="1" t="s">
        <v>5511</v>
      </c>
      <c r="N1718" s="8" t="s">
        <v>5512</v>
      </c>
      <c r="O1718" s="1" t="s">
        <v>5513</v>
      </c>
      <c r="P1718" s="5">
        <f>XLOOKUP(R1718, classification!C:C, classification!B:B, "Not Found")</f>
      </c>
      <c r="Q1718" s="1" t="s">
        <v>5514</v>
      </c>
      <c r="R1718" s="2"/>
      <c r="S1718" s="2"/>
      <c r="T1718" s="2"/>
      <c r="U1718" s="2"/>
    </row>
    <row x14ac:dyDescent="0.25" r="1719" customHeight="1" ht="17.25">
      <c r="A1719" s="7">
        <v>1718</v>
      </c>
      <c r="B1719" s="1" t="s">
        <v>7127</v>
      </c>
      <c r="C1719" s="5">
        <f>CONCATENATE("PD", TEXT(A1719, "1000000"))</f>
      </c>
      <c r="D1719" s="7">
        <v>74</v>
      </c>
      <c r="E1719" s="5">
        <f>XLOOKUP(G1719, item_category!C:C, item_category!B:B, "Not Found")</f>
      </c>
      <c r="F1719" s="1" t="s">
        <v>5520</v>
      </c>
      <c r="G1719" s="5">
        <f>XLOOKUP(I1719, drug!B:B, drug!A:A, "Not Found")</f>
      </c>
      <c r="H1719" s="1"/>
      <c r="I1719" s="7">
        <v>1</v>
      </c>
      <c r="J1719" s="5">
        <f>XLOOKUP(L1719, uom!C:C, uom!B:B, "Not Found")</f>
      </c>
      <c r="K1719" s="1" t="s">
        <v>5511</v>
      </c>
      <c r="L1719" s="5">
        <f>XLOOKUP(N1719, uom!C:C, uom!B:B, "Not Found")</f>
      </c>
      <c r="M1719" s="1" t="s">
        <v>5511</v>
      </c>
      <c r="N1719" s="8" t="s">
        <v>5512</v>
      </c>
      <c r="O1719" s="1" t="s">
        <v>5513</v>
      </c>
      <c r="P1719" s="5">
        <f>XLOOKUP(R1719, classification!C:C, classification!B:B, "Not Found")</f>
      </c>
      <c r="Q1719" s="1" t="s">
        <v>5514</v>
      </c>
      <c r="R1719" s="2"/>
      <c r="S1719" s="2"/>
      <c r="T1719" s="2"/>
      <c r="U1719" s="2"/>
    </row>
    <row x14ac:dyDescent="0.25" r="1720" customHeight="1" ht="17.25">
      <c r="A1720" s="7">
        <v>1719</v>
      </c>
      <c r="B1720" s="1" t="s">
        <v>7128</v>
      </c>
      <c r="C1720" s="5">
        <f>CONCATENATE("PD", TEXT(A1720, "1000000"))</f>
      </c>
      <c r="D1720" s="7">
        <v>74</v>
      </c>
      <c r="E1720" s="5">
        <f>XLOOKUP(G1720, item_category!C:C, item_category!B:B, "Not Found")</f>
      </c>
      <c r="F1720" s="1" t="s">
        <v>5520</v>
      </c>
      <c r="G1720" s="5">
        <f>XLOOKUP(I1720, drug!B:B, drug!A:A, "Not Found")</f>
      </c>
      <c r="H1720" s="1"/>
      <c r="I1720" s="7">
        <v>1</v>
      </c>
      <c r="J1720" s="5">
        <f>XLOOKUP(L1720, uom!C:C, uom!B:B, "Not Found")</f>
      </c>
      <c r="K1720" s="1" t="s">
        <v>5511</v>
      </c>
      <c r="L1720" s="5">
        <f>XLOOKUP(N1720, uom!C:C, uom!B:B, "Not Found")</f>
      </c>
      <c r="M1720" s="1" t="s">
        <v>5511</v>
      </c>
      <c r="N1720" s="8" t="s">
        <v>5512</v>
      </c>
      <c r="O1720" s="1" t="s">
        <v>5513</v>
      </c>
      <c r="P1720" s="5">
        <f>XLOOKUP(R1720, classification!C:C, classification!B:B, "Not Found")</f>
      </c>
      <c r="Q1720" s="1" t="s">
        <v>5514</v>
      </c>
      <c r="R1720" s="2"/>
      <c r="S1720" s="2"/>
      <c r="T1720" s="2"/>
      <c r="U1720" s="2"/>
    </row>
    <row x14ac:dyDescent="0.25" r="1721" customHeight="1" ht="17.25">
      <c r="A1721" s="7">
        <v>1720</v>
      </c>
      <c r="B1721" s="1" t="s">
        <v>7129</v>
      </c>
      <c r="C1721" s="5">
        <f>CONCATENATE("PD", TEXT(A1721, "1000000"))</f>
      </c>
      <c r="D1721" s="7">
        <v>74</v>
      </c>
      <c r="E1721" s="5">
        <f>XLOOKUP(G1721, item_category!C:C, item_category!B:B, "Not Found")</f>
      </c>
      <c r="F1721" s="1" t="s">
        <v>5520</v>
      </c>
      <c r="G1721" s="5">
        <f>XLOOKUP(I1721, drug!B:B, drug!A:A, "Not Found")</f>
      </c>
      <c r="H1721" s="1"/>
      <c r="I1721" s="7">
        <v>1</v>
      </c>
      <c r="J1721" s="5">
        <f>XLOOKUP(L1721, uom!C:C, uom!B:B, "Not Found")</f>
      </c>
      <c r="K1721" s="1" t="s">
        <v>5511</v>
      </c>
      <c r="L1721" s="5">
        <f>XLOOKUP(N1721, uom!C:C, uom!B:B, "Not Found")</f>
      </c>
      <c r="M1721" s="1" t="s">
        <v>5511</v>
      </c>
      <c r="N1721" s="8" t="s">
        <v>5512</v>
      </c>
      <c r="O1721" s="1" t="s">
        <v>5513</v>
      </c>
      <c r="P1721" s="5">
        <f>XLOOKUP(R1721, classification!C:C, classification!B:B, "Not Found")</f>
      </c>
      <c r="Q1721" s="1" t="s">
        <v>5514</v>
      </c>
      <c r="R1721" s="2"/>
      <c r="S1721" s="2"/>
      <c r="T1721" s="2"/>
      <c r="U1721" s="2"/>
    </row>
    <row x14ac:dyDescent="0.25" r="1722" customHeight="1" ht="17.25">
      <c r="A1722" s="7">
        <v>1721</v>
      </c>
      <c r="B1722" s="1" t="s">
        <v>7130</v>
      </c>
      <c r="C1722" s="5">
        <f>CONCATENATE("PD", TEXT(A1722, "1000000"))</f>
      </c>
      <c r="D1722" s="7">
        <v>74</v>
      </c>
      <c r="E1722" s="5">
        <f>XLOOKUP(G1722, item_category!C:C, item_category!B:B, "Not Found")</f>
      </c>
      <c r="F1722" s="1" t="s">
        <v>5520</v>
      </c>
      <c r="G1722" s="5">
        <f>XLOOKUP(I1722, drug!B:B, drug!A:A, "Not Found")</f>
      </c>
      <c r="H1722" s="1"/>
      <c r="I1722" s="7">
        <v>1</v>
      </c>
      <c r="J1722" s="5">
        <f>XLOOKUP(L1722, uom!C:C, uom!B:B, "Not Found")</f>
      </c>
      <c r="K1722" s="1" t="s">
        <v>5511</v>
      </c>
      <c r="L1722" s="5">
        <f>XLOOKUP(N1722, uom!C:C, uom!B:B, "Not Found")</f>
      </c>
      <c r="M1722" s="1" t="s">
        <v>5511</v>
      </c>
      <c r="N1722" s="8" t="s">
        <v>5512</v>
      </c>
      <c r="O1722" s="1" t="s">
        <v>5513</v>
      </c>
      <c r="P1722" s="5">
        <f>XLOOKUP(R1722, classification!C:C, classification!B:B, "Not Found")</f>
      </c>
      <c r="Q1722" s="1" t="s">
        <v>5514</v>
      </c>
      <c r="R1722" s="2"/>
      <c r="S1722" s="2"/>
      <c r="T1722" s="2"/>
      <c r="U1722" s="2"/>
    </row>
    <row x14ac:dyDescent="0.25" r="1723" customHeight="1" ht="17.25">
      <c r="A1723" s="7">
        <v>1722</v>
      </c>
      <c r="B1723" s="1" t="s">
        <v>7131</v>
      </c>
      <c r="C1723" s="5">
        <f>CONCATENATE("PD", TEXT(A1723, "1000000"))</f>
      </c>
      <c r="D1723" s="7">
        <v>74</v>
      </c>
      <c r="E1723" s="5">
        <f>XLOOKUP(G1723, item_category!C:C, item_category!B:B, "Not Found")</f>
      </c>
      <c r="F1723" s="1" t="s">
        <v>5520</v>
      </c>
      <c r="G1723" s="5">
        <f>XLOOKUP(I1723, drug!B:B, drug!A:A, "Not Found")</f>
      </c>
      <c r="H1723" s="1"/>
      <c r="I1723" s="7">
        <v>1</v>
      </c>
      <c r="J1723" s="5">
        <f>XLOOKUP(L1723, uom!C:C, uom!B:B, "Not Found")</f>
      </c>
      <c r="K1723" s="1" t="s">
        <v>5511</v>
      </c>
      <c r="L1723" s="5">
        <f>XLOOKUP(N1723, uom!C:C, uom!B:B, "Not Found")</f>
      </c>
      <c r="M1723" s="1" t="s">
        <v>5511</v>
      </c>
      <c r="N1723" s="8" t="s">
        <v>5512</v>
      </c>
      <c r="O1723" s="1" t="s">
        <v>5513</v>
      </c>
      <c r="P1723" s="5">
        <f>XLOOKUP(R1723, classification!C:C, classification!B:B, "Not Found")</f>
      </c>
      <c r="Q1723" s="1" t="s">
        <v>5514</v>
      </c>
      <c r="R1723" s="2"/>
      <c r="S1723" s="2"/>
      <c r="T1723" s="2"/>
      <c r="U1723" s="2"/>
    </row>
    <row x14ac:dyDescent="0.25" r="1724" customHeight="1" ht="17.25">
      <c r="A1724" s="7">
        <v>1723</v>
      </c>
      <c r="B1724" s="1" t="s">
        <v>7132</v>
      </c>
      <c r="C1724" s="5">
        <f>CONCATENATE("PD", TEXT(A1724, "1000000"))</f>
      </c>
      <c r="D1724" s="7">
        <v>74</v>
      </c>
      <c r="E1724" s="5">
        <f>XLOOKUP(G1724, item_category!C:C, item_category!B:B, "Not Found")</f>
      </c>
      <c r="F1724" s="1" t="s">
        <v>5520</v>
      </c>
      <c r="G1724" s="5">
        <f>XLOOKUP(I1724, drug!B:B, drug!A:A, "Not Found")</f>
      </c>
      <c r="H1724" s="1"/>
      <c r="I1724" s="7">
        <v>1</v>
      </c>
      <c r="J1724" s="5">
        <f>XLOOKUP(L1724, uom!C:C, uom!B:B, "Not Found")</f>
      </c>
      <c r="K1724" s="1" t="s">
        <v>5511</v>
      </c>
      <c r="L1724" s="5">
        <f>XLOOKUP(N1724, uom!C:C, uom!B:B, "Not Found")</f>
      </c>
      <c r="M1724" s="1" t="s">
        <v>5511</v>
      </c>
      <c r="N1724" s="8" t="s">
        <v>5512</v>
      </c>
      <c r="O1724" s="1" t="s">
        <v>5513</v>
      </c>
      <c r="P1724" s="5">
        <f>XLOOKUP(R1724, classification!C:C, classification!B:B, "Not Found")</f>
      </c>
      <c r="Q1724" s="1" t="s">
        <v>5514</v>
      </c>
      <c r="R1724" s="2"/>
      <c r="S1724" s="2"/>
      <c r="T1724" s="2"/>
      <c r="U1724" s="2"/>
    </row>
    <row x14ac:dyDescent="0.25" r="1725" customHeight="1" ht="17.25">
      <c r="A1725" s="7">
        <v>1724</v>
      </c>
      <c r="B1725" s="1" t="s">
        <v>7133</v>
      </c>
      <c r="C1725" s="5">
        <f>CONCATENATE("PD", TEXT(A1725, "1000000"))</f>
      </c>
      <c r="D1725" s="7">
        <v>74</v>
      </c>
      <c r="E1725" s="5">
        <f>XLOOKUP(G1725, item_category!C:C, item_category!B:B, "Not Found")</f>
      </c>
      <c r="F1725" s="1" t="s">
        <v>5520</v>
      </c>
      <c r="G1725" s="5">
        <f>XLOOKUP(I1725, drug!B:B, drug!A:A, "Not Found")</f>
      </c>
      <c r="H1725" s="1"/>
      <c r="I1725" s="7">
        <v>1</v>
      </c>
      <c r="J1725" s="5">
        <f>XLOOKUP(L1725, uom!C:C, uom!B:B, "Not Found")</f>
      </c>
      <c r="K1725" s="1" t="s">
        <v>5511</v>
      </c>
      <c r="L1725" s="5">
        <f>XLOOKUP(N1725, uom!C:C, uom!B:B, "Not Found")</f>
      </c>
      <c r="M1725" s="1" t="s">
        <v>5511</v>
      </c>
      <c r="N1725" s="8" t="s">
        <v>5512</v>
      </c>
      <c r="O1725" s="1" t="s">
        <v>5513</v>
      </c>
      <c r="P1725" s="5">
        <f>XLOOKUP(R1725, classification!C:C, classification!B:B, "Not Found")</f>
      </c>
      <c r="Q1725" s="1" t="s">
        <v>5514</v>
      </c>
      <c r="R1725" s="2"/>
      <c r="S1725" s="2"/>
      <c r="T1725" s="2"/>
      <c r="U1725" s="2"/>
    </row>
    <row x14ac:dyDescent="0.25" r="1726" customHeight="1" ht="17.25">
      <c r="A1726" s="7">
        <v>1725</v>
      </c>
      <c r="B1726" s="1" t="s">
        <v>7134</v>
      </c>
      <c r="C1726" s="5">
        <f>CONCATENATE("PD", TEXT(A1726, "1000000"))</f>
      </c>
      <c r="D1726" s="7">
        <v>74</v>
      </c>
      <c r="E1726" s="5">
        <f>XLOOKUP(G1726, item_category!C:C, item_category!B:B, "Not Found")</f>
      </c>
      <c r="F1726" s="1" t="s">
        <v>5520</v>
      </c>
      <c r="G1726" s="5">
        <f>XLOOKUP(I1726, drug!B:B, drug!A:A, "Not Found")</f>
      </c>
      <c r="H1726" s="1"/>
      <c r="I1726" s="7">
        <v>1</v>
      </c>
      <c r="J1726" s="5">
        <f>XLOOKUP(L1726, uom!C:C, uom!B:B, "Not Found")</f>
      </c>
      <c r="K1726" s="1" t="s">
        <v>5511</v>
      </c>
      <c r="L1726" s="5">
        <f>XLOOKUP(N1726, uom!C:C, uom!B:B, "Not Found")</f>
      </c>
      <c r="M1726" s="1" t="s">
        <v>5511</v>
      </c>
      <c r="N1726" s="8" t="s">
        <v>5512</v>
      </c>
      <c r="O1726" s="1" t="s">
        <v>5513</v>
      </c>
      <c r="P1726" s="5">
        <f>XLOOKUP(R1726, classification!C:C, classification!B:B, "Not Found")</f>
      </c>
      <c r="Q1726" s="1" t="s">
        <v>5514</v>
      </c>
      <c r="R1726" s="2"/>
      <c r="S1726" s="2"/>
      <c r="T1726" s="2"/>
      <c r="U1726" s="2"/>
    </row>
    <row x14ac:dyDescent="0.25" r="1727" customHeight="1" ht="17.25">
      <c r="A1727" s="7">
        <v>1726</v>
      </c>
      <c r="B1727" s="1" t="s">
        <v>7135</v>
      </c>
      <c r="C1727" s="5">
        <f>CONCATENATE("PD", TEXT(A1727, "1000000"))</f>
      </c>
      <c r="D1727" s="7">
        <v>74</v>
      </c>
      <c r="E1727" s="5">
        <f>XLOOKUP(G1727, item_category!C:C, item_category!B:B, "Not Found")</f>
      </c>
      <c r="F1727" s="1" t="s">
        <v>5520</v>
      </c>
      <c r="G1727" s="5">
        <f>XLOOKUP(I1727, drug!B:B, drug!A:A, "Not Found")</f>
      </c>
      <c r="H1727" s="1"/>
      <c r="I1727" s="7">
        <v>1</v>
      </c>
      <c r="J1727" s="5">
        <f>XLOOKUP(L1727, uom!C:C, uom!B:B, "Not Found")</f>
      </c>
      <c r="K1727" s="1" t="s">
        <v>5511</v>
      </c>
      <c r="L1727" s="5">
        <f>XLOOKUP(N1727, uom!C:C, uom!B:B, "Not Found")</f>
      </c>
      <c r="M1727" s="1" t="s">
        <v>5511</v>
      </c>
      <c r="N1727" s="8" t="s">
        <v>5512</v>
      </c>
      <c r="O1727" s="1" t="s">
        <v>5513</v>
      </c>
      <c r="P1727" s="5">
        <f>XLOOKUP(R1727, classification!C:C, classification!B:B, "Not Found")</f>
      </c>
      <c r="Q1727" s="1" t="s">
        <v>5514</v>
      </c>
      <c r="R1727" s="2"/>
      <c r="S1727" s="2"/>
      <c r="T1727" s="2"/>
      <c r="U1727" s="2"/>
    </row>
    <row x14ac:dyDescent="0.25" r="1728" customHeight="1" ht="17.25">
      <c r="A1728" s="7">
        <v>1727</v>
      </c>
      <c r="B1728" s="1" t="s">
        <v>7136</v>
      </c>
      <c r="C1728" s="5">
        <f>CONCATENATE("PD", TEXT(A1728, "1000000"))</f>
      </c>
      <c r="D1728" s="7">
        <v>74</v>
      </c>
      <c r="E1728" s="5">
        <f>XLOOKUP(G1728, item_category!C:C, item_category!B:B, "Not Found")</f>
      </c>
      <c r="F1728" s="1" t="s">
        <v>5520</v>
      </c>
      <c r="G1728" s="5">
        <f>XLOOKUP(I1728, drug!B:B, drug!A:A, "Not Found")</f>
      </c>
      <c r="H1728" s="1" t="s">
        <v>1352</v>
      </c>
      <c r="I1728" s="7">
        <v>1</v>
      </c>
      <c r="J1728" s="5">
        <f>XLOOKUP(L1728, uom!C:C, uom!B:B, "Not Found")</f>
      </c>
      <c r="K1728" s="1" t="s">
        <v>5511</v>
      </c>
      <c r="L1728" s="5">
        <f>XLOOKUP(N1728, uom!C:C, uom!B:B, "Not Found")</f>
      </c>
      <c r="M1728" s="1" t="s">
        <v>5511</v>
      </c>
      <c r="N1728" s="8" t="s">
        <v>5512</v>
      </c>
      <c r="O1728" s="1" t="s">
        <v>5513</v>
      </c>
      <c r="P1728" s="5">
        <f>XLOOKUP(R1728, classification!C:C, classification!B:B, "Not Found")</f>
      </c>
      <c r="Q1728" s="1" t="s">
        <v>5514</v>
      </c>
      <c r="R1728" s="2"/>
      <c r="S1728" s="2"/>
      <c r="T1728" s="2"/>
      <c r="U1728" s="2"/>
    </row>
    <row x14ac:dyDescent="0.25" r="1729" customHeight="1" ht="17.25">
      <c r="A1729" s="7">
        <v>1728</v>
      </c>
      <c r="B1729" s="1" t="s">
        <v>7137</v>
      </c>
      <c r="C1729" s="5">
        <f>CONCATENATE("PD", TEXT(A1729, "1000000"))</f>
      </c>
      <c r="D1729" s="7">
        <v>74</v>
      </c>
      <c r="E1729" s="5">
        <f>XLOOKUP(G1729, item_category!C:C, item_category!B:B, "Not Found")</f>
      </c>
      <c r="F1729" s="1" t="s">
        <v>5520</v>
      </c>
      <c r="G1729" s="5">
        <f>XLOOKUP(I1729, drug!B:B, drug!A:A, "Not Found")</f>
      </c>
      <c r="H1729" s="1" t="s">
        <v>1942</v>
      </c>
      <c r="I1729" s="7">
        <v>1</v>
      </c>
      <c r="J1729" s="5">
        <f>XLOOKUP(L1729, uom!C:C, uom!B:B, "Not Found")</f>
      </c>
      <c r="K1729" s="1" t="s">
        <v>5511</v>
      </c>
      <c r="L1729" s="5">
        <f>XLOOKUP(N1729, uom!C:C, uom!B:B, "Not Found")</f>
      </c>
      <c r="M1729" s="1" t="s">
        <v>5511</v>
      </c>
      <c r="N1729" s="8" t="s">
        <v>5512</v>
      </c>
      <c r="O1729" s="1" t="s">
        <v>5513</v>
      </c>
      <c r="P1729" s="5">
        <f>XLOOKUP(R1729, classification!C:C, classification!B:B, "Not Found")</f>
      </c>
      <c r="Q1729" s="1" t="s">
        <v>5514</v>
      </c>
      <c r="R1729" s="2"/>
      <c r="S1729" s="2"/>
      <c r="T1729" s="2"/>
      <c r="U1729" s="2"/>
    </row>
    <row x14ac:dyDescent="0.25" r="1730" customHeight="1" ht="17.25">
      <c r="A1730" s="7">
        <v>1729</v>
      </c>
      <c r="B1730" s="1" t="s">
        <v>7138</v>
      </c>
      <c r="C1730" s="5">
        <f>CONCATENATE("PD", TEXT(A1730, "1000000"))</f>
      </c>
      <c r="D1730" s="7">
        <v>74</v>
      </c>
      <c r="E1730" s="5">
        <f>XLOOKUP(G1730, item_category!C:C, item_category!B:B, "Not Found")</f>
      </c>
      <c r="F1730" s="1" t="s">
        <v>5520</v>
      </c>
      <c r="G1730" s="5">
        <f>XLOOKUP(I1730, drug!B:B, drug!A:A, "Not Found")</f>
      </c>
      <c r="H1730" s="1"/>
      <c r="I1730" s="7">
        <v>1</v>
      </c>
      <c r="J1730" s="5">
        <f>XLOOKUP(L1730, uom!C:C, uom!B:B, "Not Found")</f>
      </c>
      <c r="K1730" s="1" t="s">
        <v>5511</v>
      </c>
      <c r="L1730" s="5">
        <f>XLOOKUP(N1730, uom!C:C, uom!B:B, "Not Found")</f>
      </c>
      <c r="M1730" s="1" t="s">
        <v>5511</v>
      </c>
      <c r="N1730" s="8" t="s">
        <v>5512</v>
      </c>
      <c r="O1730" s="1" t="s">
        <v>5513</v>
      </c>
      <c r="P1730" s="5">
        <f>XLOOKUP(R1730, classification!C:C, classification!B:B, "Not Found")</f>
      </c>
      <c r="Q1730" s="1" t="s">
        <v>5514</v>
      </c>
      <c r="R1730" s="2"/>
      <c r="S1730" s="2"/>
      <c r="T1730" s="2"/>
      <c r="U1730" s="2"/>
    </row>
    <row x14ac:dyDescent="0.25" r="1731" customHeight="1" ht="17.25">
      <c r="A1731" s="7">
        <v>1730</v>
      </c>
      <c r="B1731" s="1" t="s">
        <v>7139</v>
      </c>
      <c r="C1731" s="5">
        <f>CONCATENATE("PD", TEXT(A1731, "1000000"))</f>
      </c>
      <c r="D1731" s="7">
        <v>74</v>
      </c>
      <c r="E1731" s="5">
        <f>XLOOKUP(G1731, item_category!C:C, item_category!B:B, "Not Found")</f>
      </c>
      <c r="F1731" s="1" t="s">
        <v>5520</v>
      </c>
      <c r="G1731" s="5">
        <f>XLOOKUP(I1731, drug!B:B, drug!A:A, "Not Found")</f>
      </c>
      <c r="H1731" s="1"/>
      <c r="I1731" s="7">
        <v>1000</v>
      </c>
      <c r="J1731" s="5">
        <f>XLOOKUP(L1731, uom!C:C, uom!B:B, "Not Found")</f>
      </c>
      <c r="K1731" s="1" t="s">
        <v>5604</v>
      </c>
      <c r="L1731" s="5">
        <f>XLOOKUP(N1731, uom!C:C, uom!B:B, "Not Found")</f>
      </c>
      <c r="M1731" s="1" t="s">
        <v>5604</v>
      </c>
      <c r="N1731" s="8" t="s">
        <v>5524</v>
      </c>
      <c r="O1731" s="1" t="s">
        <v>5525</v>
      </c>
      <c r="P1731" s="5">
        <f>XLOOKUP(R1731, classification!C:C, classification!B:B, "Not Found")</f>
      </c>
      <c r="Q1731" s="1" t="s">
        <v>5514</v>
      </c>
      <c r="R1731" s="2"/>
      <c r="S1731" s="2"/>
      <c r="T1731" s="2"/>
      <c r="U1731" s="2"/>
    </row>
    <row x14ac:dyDescent="0.25" r="1732" customHeight="1" ht="17.25">
      <c r="A1732" s="7">
        <v>1731</v>
      </c>
      <c r="B1732" s="1" t="s">
        <v>7140</v>
      </c>
      <c r="C1732" s="5">
        <f>CONCATENATE("PD", TEXT(A1732, "1000000"))</f>
      </c>
      <c r="D1732" s="7">
        <v>74</v>
      </c>
      <c r="E1732" s="5">
        <f>XLOOKUP(G1732, item_category!C:C, item_category!B:B, "Not Found")</f>
      </c>
      <c r="F1732" s="1" t="s">
        <v>5520</v>
      </c>
      <c r="G1732" s="5">
        <f>XLOOKUP(I1732, drug!B:B, drug!A:A, "Not Found")</f>
      </c>
      <c r="H1732" s="1" t="s">
        <v>954</v>
      </c>
      <c r="I1732" s="7">
        <v>1</v>
      </c>
      <c r="J1732" s="5">
        <f>XLOOKUP(L1732, uom!C:C, uom!B:B, "Not Found")</f>
      </c>
      <c r="K1732" s="1" t="s">
        <v>5511</v>
      </c>
      <c r="L1732" s="5">
        <f>XLOOKUP(N1732, uom!C:C, uom!B:B, "Not Found")</f>
      </c>
      <c r="M1732" s="1" t="s">
        <v>5511</v>
      </c>
      <c r="N1732" s="8" t="s">
        <v>5512</v>
      </c>
      <c r="O1732" s="1" t="s">
        <v>5513</v>
      </c>
      <c r="P1732" s="5">
        <f>XLOOKUP(R1732, classification!C:C, classification!B:B, "Not Found")</f>
      </c>
      <c r="Q1732" s="1" t="s">
        <v>5514</v>
      </c>
      <c r="R1732" s="2"/>
      <c r="S1732" s="2"/>
      <c r="T1732" s="2"/>
      <c r="U1732" s="2"/>
    </row>
    <row x14ac:dyDescent="0.25" r="1733" customHeight="1" ht="17.25">
      <c r="A1733" s="7">
        <v>1732</v>
      </c>
      <c r="B1733" s="1" t="s">
        <v>7141</v>
      </c>
      <c r="C1733" s="5">
        <f>CONCATENATE("PD", TEXT(A1733, "1000000"))</f>
      </c>
      <c r="D1733" s="7">
        <v>74</v>
      </c>
      <c r="E1733" s="5">
        <f>XLOOKUP(G1733, item_category!C:C, item_category!B:B, "Not Found")</f>
      </c>
      <c r="F1733" s="1" t="s">
        <v>5520</v>
      </c>
      <c r="G1733" s="5">
        <f>XLOOKUP(I1733, drug!B:B, drug!A:A, "Not Found")</f>
      </c>
      <c r="H1733" s="1"/>
      <c r="I1733" s="7">
        <v>1</v>
      </c>
      <c r="J1733" s="5">
        <f>XLOOKUP(L1733, uom!C:C, uom!B:B, "Not Found")</f>
      </c>
      <c r="K1733" s="1" t="s">
        <v>5511</v>
      </c>
      <c r="L1733" s="5">
        <f>XLOOKUP(N1733, uom!C:C, uom!B:B, "Not Found")</f>
      </c>
      <c r="M1733" s="1" t="s">
        <v>5511</v>
      </c>
      <c r="N1733" s="8" t="s">
        <v>5512</v>
      </c>
      <c r="O1733" s="1" t="s">
        <v>5513</v>
      </c>
      <c r="P1733" s="5">
        <f>XLOOKUP(R1733, classification!C:C, classification!B:B, "Not Found")</f>
      </c>
      <c r="Q1733" s="1" t="s">
        <v>5514</v>
      </c>
      <c r="R1733" s="2"/>
      <c r="S1733" s="2"/>
      <c r="T1733" s="2"/>
      <c r="U1733" s="2"/>
    </row>
    <row x14ac:dyDescent="0.25" r="1734" customHeight="1" ht="17.25">
      <c r="A1734" s="7">
        <v>1733</v>
      </c>
      <c r="B1734" s="1" t="s">
        <v>7142</v>
      </c>
      <c r="C1734" s="5">
        <f>CONCATENATE("PD", TEXT(A1734, "1000000"))</f>
      </c>
      <c r="D1734" s="7">
        <v>74</v>
      </c>
      <c r="E1734" s="5">
        <f>XLOOKUP(G1734, item_category!C:C, item_category!B:B, "Not Found")</f>
      </c>
      <c r="F1734" s="1" t="s">
        <v>5520</v>
      </c>
      <c r="G1734" s="5">
        <f>XLOOKUP(I1734, drug!B:B, drug!A:A, "Not Found")</f>
      </c>
      <c r="H1734" s="1"/>
      <c r="I1734" s="7">
        <v>1</v>
      </c>
      <c r="J1734" s="5">
        <f>XLOOKUP(L1734, uom!C:C, uom!B:B, "Not Found")</f>
      </c>
      <c r="K1734" s="1" t="s">
        <v>5511</v>
      </c>
      <c r="L1734" s="5">
        <f>XLOOKUP(N1734, uom!C:C, uom!B:B, "Not Found")</f>
      </c>
      <c r="M1734" s="1" t="s">
        <v>5511</v>
      </c>
      <c r="N1734" s="8" t="s">
        <v>5512</v>
      </c>
      <c r="O1734" s="1" t="s">
        <v>5513</v>
      </c>
      <c r="P1734" s="5">
        <f>XLOOKUP(R1734, classification!C:C, classification!B:B, "Not Found")</f>
      </c>
      <c r="Q1734" s="1" t="s">
        <v>5514</v>
      </c>
      <c r="R1734" s="2"/>
      <c r="S1734" s="2"/>
      <c r="T1734" s="2"/>
      <c r="U1734" s="2"/>
    </row>
    <row x14ac:dyDescent="0.25" r="1735" customHeight="1" ht="17.25">
      <c r="A1735" s="7">
        <v>1734</v>
      </c>
      <c r="B1735" s="1" t="s">
        <v>7143</v>
      </c>
      <c r="C1735" s="5">
        <f>CONCATENATE("PD", TEXT(A1735, "1000000"))</f>
      </c>
      <c r="D1735" s="7">
        <v>74</v>
      </c>
      <c r="E1735" s="5">
        <f>XLOOKUP(G1735, item_category!C:C, item_category!B:B, "Not Found")</f>
      </c>
      <c r="F1735" s="1" t="s">
        <v>5520</v>
      </c>
      <c r="G1735" s="5">
        <f>XLOOKUP(I1735, drug!B:B, drug!A:A, "Not Found")</f>
      </c>
      <c r="H1735" s="1"/>
      <c r="I1735" s="7">
        <v>1</v>
      </c>
      <c r="J1735" s="5">
        <f>XLOOKUP(L1735, uom!C:C, uom!B:B, "Not Found")</f>
      </c>
      <c r="K1735" s="1" t="s">
        <v>5511</v>
      </c>
      <c r="L1735" s="5">
        <f>XLOOKUP(N1735, uom!C:C, uom!B:B, "Not Found")</f>
      </c>
      <c r="M1735" s="1" t="s">
        <v>5511</v>
      </c>
      <c r="N1735" s="8" t="s">
        <v>5512</v>
      </c>
      <c r="O1735" s="1" t="s">
        <v>5513</v>
      </c>
      <c r="P1735" s="5">
        <f>XLOOKUP(R1735, classification!C:C, classification!B:B, "Not Found")</f>
      </c>
      <c r="Q1735" s="1" t="s">
        <v>5514</v>
      </c>
      <c r="R1735" s="2"/>
      <c r="S1735" s="2"/>
      <c r="T1735" s="2"/>
      <c r="U1735" s="2"/>
    </row>
    <row x14ac:dyDescent="0.25" r="1736" customHeight="1" ht="17.25">
      <c r="A1736" s="7">
        <v>1735</v>
      </c>
      <c r="B1736" s="1" t="s">
        <v>7144</v>
      </c>
      <c r="C1736" s="5">
        <f>CONCATENATE("PD", TEXT(A1736, "1000000"))</f>
      </c>
      <c r="D1736" s="7">
        <v>74</v>
      </c>
      <c r="E1736" s="5">
        <f>XLOOKUP(G1736, item_category!C:C, item_category!B:B, "Not Found")</f>
      </c>
      <c r="F1736" s="1" t="s">
        <v>5520</v>
      </c>
      <c r="G1736" s="5">
        <f>XLOOKUP(I1736, drug!B:B, drug!A:A, "Not Found")</f>
      </c>
      <c r="H1736" s="1"/>
      <c r="I1736" s="7">
        <v>1</v>
      </c>
      <c r="J1736" s="5">
        <f>XLOOKUP(L1736, uom!C:C, uom!B:B, "Not Found")</f>
      </c>
      <c r="K1736" s="1" t="s">
        <v>5511</v>
      </c>
      <c r="L1736" s="5">
        <f>XLOOKUP(N1736, uom!C:C, uom!B:B, "Not Found")</f>
      </c>
      <c r="M1736" s="1" t="s">
        <v>5511</v>
      </c>
      <c r="N1736" s="8" t="s">
        <v>5512</v>
      </c>
      <c r="O1736" s="1" t="s">
        <v>5513</v>
      </c>
      <c r="P1736" s="5">
        <f>XLOOKUP(R1736, classification!C:C, classification!B:B, "Not Found")</f>
      </c>
      <c r="Q1736" s="1" t="s">
        <v>5514</v>
      </c>
      <c r="R1736" s="2"/>
      <c r="S1736" s="2"/>
      <c r="T1736" s="2"/>
      <c r="U1736" s="2"/>
    </row>
    <row x14ac:dyDescent="0.25" r="1737" customHeight="1" ht="17.25">
      <c r="A1737" s="7">
        <v>1736</v>
      </c>
      <c r="B1737" s="1" t="s">
        <v>7145</v>
      </c>
      <c r="C1737" s="5">
        <f>CONCATENATE("PD", TEXT(A1737, "1000000"))</f>
      </c>
      <c r="D1737" s="7">
        <v>74</v>
      </c>
      <c r="E1737" s="5">
        <f>XLOOKUP(G1737, item_category!C:C, item_category!B:B, "Not Found")</f>
      </c>
      <c r="F1737" s="1" t="s">
        <v>5520</v>
      </c>
      <c r="G1737" s="5">
        <f>XLOOKUP(I1737, drug!B:B, drug!A:A, "Not Found")</f>
      </c>
      <c r="H1737" s="1"/>
      <c r="I1737" s="7">
        <v>1</v>
      </c>
      <c r="J1737" s="5">
        <f>XLOOKUP(L1737, uom!C:C, uom!B:B, "Not Found")</f>
      </c>
      <c r="K1737" s="1" t="s">
        <v>5511</v>
      </c>
      <c r="L1737" s="5">
        <f>XLOOKUP(N1737, uom!C:C, uom!B:B, "Not Found")</f>
      </c>
      <c r="M1737" s="1" t="s">
        <v>5511</v>
      </c>
      <c r="N1737" s="8" t="s">
        <v>5512</v>
      </c>
      <c r="O1737" s="1" t="s">
        <v>5513</v>
      </c>
      <c r="P1737" s="5">
        <f>XLOOKUP(R1737, classification!C:C, classification!B:B, "Not Found")</f>
      </c>
      <c r="Q1737" s="1" t="s">
        <v>5514</v>
      </c>
      <c r="R1737" s="2"/>
      <c r="S1737" s="2"/>
      <c r="T1737" s="2"/>
      <c r="U1737" s="2"/>
    </row>
    <row x14ac:dyDescent="0.25" r="1738" customHeight="1" ht="17.25">
      <c r="A1738" s="7">
        <v>1737</v>
      </c>
      <c r="B1738" s="1" t="s">
        <v>7146</v>
      </c>
      <c r="C1738" s="5">
        <f>CONCATENATE("PD", TEXT(A1738, "1000000"))</f>
      </c>
      <c r="D1738" s="7">
        <v>74</v>
      </c>
      <c r="E1738" s="5">
        <f>XLOOKUP(G1738, item_category!C:C, item_category!B:B, "Not Found")</f>
      </c>
      <c r="F1738" s="1" t="s">
        <v>5520</v>
      </c>
      <c r="G1738" s="5">
        <f>XLOOKUP(I1738, drug!B:B, drug!A:A, "Not Found")</f>
      </c>
      <c r="H1738" s="1"/>
      <c r="I1738" s="7">
        <v>1</v>
      </c>
      <c r="J1738" s="5">
        <f>XLOOKUP(L1738, uom!C:C, uom!B:B, "Not Found")</f>
      </c>
      <c r="K1738" s="1" t="s">
        <v>5511</v>
      </c>
      <c r="L1738" s="5">
        <f>XLOOKUP(N1738, uom!C:C, uom!B:B, "Not Found")</f>
      </c>
      <c r="M1738" s="1" t="s">
        <v>5511</v>
      </c>
      <c r="N1738" s="8" t="s">
        <v>5512</v>
      </c>
      <c r="O1738" s="1" t="s">
        <v>5513</v>
      </c>
      <c r="P1738" s="5">
        <f>XLOOKUP(R1738, classification!C:C, classification!B:B, "Not Found")</f>
      </c>
      <c r="Q1738" s="1" t="s">
        <v>5514</v>
      </c>
      <c r="R1738" s="2"/>
      <c r="S1738" s="2"/>
      <c r="T1738" s="2"/>
      <c r="U1738" s="2"/>
    </row>
    <row x14ac:dyDescent="0.25" r="1739" customHeight="1" ht="17.25">
      <c r="A1739" s="7">
        <v>1738</v>
      </c>
      <c r="B1739" s="1" t="s">
        <v>7147</v>
      </c>
      <c r="C1739" s="5">
        <f>CONCATENATE("PD", TEXT(A1739, "1000000"))</f>
      </c>
      <c r="D1739" s="7">
        <v>74</v>
      </c>
      <c r="E1739" s="5">
        <f>XLOOKUP(G1739, item_category!C:C, item_category!B:B, "Not Found")</f>
      </c>
      <c r="F1739" s="1" t="s">
        <v>5520</v>
      </c>
      <c r="G1739" s="5">
        <f>XLOOKUP(I1739, drug!B:B, drug!A:A, "Not Found")</f>
      </c>
      <c r="H1739" s="1"/>
      <c r="I1739" s="7">
        <v>1</v>
      </c>
      <c r="J1739" s="5">
        <f>XLOOKUP(L1739, uom!C:C, uom!B:B, "Not Found")</f>
      </c>
      <c r="K1739" s="1" t="s">
        <v>5511</v>
      </c>
      <c r="L1739" s="5">
        <f>XLOOKUP(N1739, uom!C:C, uom!B:B, "Not Found")</f>
      </c>
      <c r="M1739" s="1" t="s">
        <v>5511</v>
      </c>
      <c r="N1739" s="8" t="s">
        <v>5512</v>
      </c>
      <c r="O1739" s="1" t="s">
        <v>5513</v>
      </c>
      <c r="P1739" s="5">
        <f>XLOOKUP(R1739, classification!C:C, classification!B:B, "Not Found")</f>
      </c>
      <c r="Q1739" s="1" t="s">
        <v>5514</v>
      </c>
      <c r="R1739" s="2"/>
      <c r="S1739" s="2"/>
      <c r="T1739" s="2"/>
      <c r="U1739" s="2"/>
    </row>
    <row x14ac:dyDescent="0.25" r="1740" customHeight="1" ht="17.25">
      <c r="A1740" s="7">
        <v>1739</v>
      </c>
      <c r="B1740" s="1" t="s">
        <v>2986</v>
      </c>
      <c r="C1740" s="5">
        <f>CONCATENATE("PD", TEXT(A1740, "1000000"))</f>
      </c>
      <c r="D1740" s="7">
        <v>74</v>
      </c>
      <c r="E1740" s="5">
        <f>XLOOKUP(G1740, item_category!C:C, item_category!B:B, "Not Found")</f>
      </c>
      <c r="F1740" s="1" t="s">
        <v>5520</v>
      </c>
      <c r="G1740" s="5">
        <f>XLOOKUP(I1740, drug!B:B, drug!A:A, "Not Found")</f>
      </c>
      <c r="H1740" s="1"/>
      <c r="I1740" s="7">
        <v>1</v>
      </c>
      <c r="J1740" s="5">
        <f>XLOOKUP(L1740, uom!C:C, uom!B:B, "Not Found")</f>
      </c>
      <c r="K1740" s="1" t="s">
        <v>5511</v>
      </c>
      <c r="L1740" s="5">
        <f>XLOOKUP(N1740, uom!C:C, uom!B:B, "Not Found")</f>
      </c>
      <c r="M1740" s="1" t="s">
        <v>5511</v>
      </c>
      <c r="N1740" s="8" t="s">
        <v>5512</v>
      </c>
      <c r="O1740" s="1" t="s">
        <v>5513</v>
      </c>
      <c r="P1740" s="5">
        <f>XLOOKUP(R1740, classification!C:C, classification!B:B, "Not Found")</f>
      </c>
      <c r="Q1740" s="1" t="s">
        <v>5514</v>
      </c>
      <c r="R1740" s="2"/>
      <c r="S1740" s="2"/>
      <c r="T1740" s="2"/>
      <c r="U1740" s="2"/>
    </row>
    <row x14ac:dyDescent="0.25" r="1741" customHeight="1" ht="17.25">
      <c r="A1741" s="7">
        <v>1740</v>
      </c>
      <c r="B1741" s="1" t="s">
        <v>7148</v>
      </c>
      <c r="C1741" s="5">
        <f>CONCATENATE("PD", TEXT(A1741, "1000000"))</f>
      </c>
      <c r="D1741" s="7">
        <v>74</v>
      </c>
      <c r="E1741" s="5">
        <f>XLOOKUP(G1741, item_category!C:C, item_category!B:B, "Not Found")</f>
      </c>
      <c r="F1741" s="1" t="s">
        <v>5520</v>
      </c>
      <c r="G1741" s="5">
        <f>XLOOKUP(I1741, drug!B:B, drug!A:A, "Not Found")</f>
      </c>
      <c r="H1741" s="1"/>
      <c r="I1741" s="7">
        <v>1</v>
      </c>
      <c r="J1741" s="5">
        <f>XLOOKUP(L1741, uom!C:C, uom!B:B, "Not Found")</f>
      </c>
      <c r="K1741" s="1" t="s">
        <v>5511</v>
      </c>
      <c r="L1741" s="5">
        <f>XLOOKUP(N1741, uom!C:C, uom!B:B, "Not Found")</f>
      </c>
      <c r="M1741" s="1" t="s">
        <v>5511</v>
      </c>
      <c r="N1741" s="8" t="s">
        <v>5512</v>
      </c>
      <c r="O1741" s="1" t="s">
        <v>5513</v>
      </c>
      <c r="P1741" s="5">
        <f>XLOOKUP(R1741, classification!C:C, classification!B:B, "Not Found")</f>
      </c>
      <c r="Q1741" s="1" t="s">
        <v>5514</v>
      </c>
      <c r="R1741" s="2"/>
      <c r="S1741" s="2"/>
      <c r="T1741" s="2"/>
      <c r="U1741" s="2"/>
    </row>
    <row x14ac:dyDescent="0.25" r="1742" customHeight="1" ht="17.25">
      <c r="A1742" s="7">
        <v>1741</v>
      </c>
      <c r="B1742" s="1" t="s">
        <v>7149</v>
      </c>
      <c r="C1742" s="5">
        <f>CONCATENATE("PD", TEXT(A1742, "1000000"))</f>
      </c>
      <c r="D1742" s="7">
        <v>74</v>
      </c>
      <c r="E1742" s="5">
        <f>XLOOKUP(G1742, item_category!C:C, item_category!B:B, "Not Found")</f>
      </c>
      <c r="F1742" s="1" t="s">
        <v>5520</v>
      </c>
      <c r="G1742" s="5">
        <f>XLOOKUP(I1742, drug!B:B, drug!A:A, "Not Found")</f>
      </c>
      <c r="H1742" s="1"/>
      <c r="I1742" s="7">
        <v>1</v>
      </c>
      <c r="J1742" s="5">
        <f>XLOOKUP(L1742, uom!C:C, uom!B:B, "Not Found")</f>
      </c>
      <c r="K1742" s="1" t="s">
        <v>5511</v>
      </c>
      <c r="L1742" s="5">
        <f>XLOOKUP(N1742, uom!C:C, uom!B:B, "Not Found")</f>
      </c>
      <c r="M1742" s="1" t="s">
        <v>5511</v>
      </c>
      <c r="N1742" s="8" t="s">
        <v>5512</v>
      </c>
      <c r="O1742" s="1" t="s">
        <v>5513</v>
      </c>
      <c r="P1742" s="5">
        <f>XLOOKUP(R1742, classification!C:C, classification!B:B, "Not Found")</f>
      </c>
      <c r="Q1742" s="1" t="s">
        <v>5514</v>
      </c>
      <c r="R1742" s="2"/>
      <c r="S1742" s="2"/>
      <c r="T1742" s="2"/>
      <c r="U1742" s="2"/>
    </row>
    <row x14ac:dyDescent="0.25" r="1743" customHeight="1" ht="17.25">
      <c r="A1743" s="7">
        <v>1742</v>
      </c>
      <c r="B1743" s="1" t="s">
        <v>7150</v>
      </c>
      <c r="C1743" s="5">
        <f>CONCATENATE("PD", TEXT(A1743, "1000000"))</f>
      </c>
      <c r="D1743" s="7">
        <v>74</v>
      </c>
      <c r="E1743" s="5">
        <f>XLOOKUP(G1743, item_category!C:C, item_category!B:B, "Not Found")</f>
      </c>
      <c r="F1743" s="1" t="s">
        <v>5520</v>
      </c>
      <c r="G1743" s="5">
        <f>XLOOKUP(I1743, drug!B:B, drug!A:A, "Not Found")</f>
      </c>
      <c r="H1743" s="1" t="s">
        <v>2102</v>
      </c>
      <c r="I1743" s="7">
        <v>1</v>
      </c>
      <c r="J1743" s="5">
        <f>XLOOKUP(L1743, uom!C:C, uom!B:B, "Not Found")</f>
      </c>
      <c r="K1743" s="1" t="s">
        <v>5511</v>
      </c>
      <c r="L1743" s="5">
        <f>XLOOKUP(N1743, uom!C:C, uom!B:B, "Not Found")</f>
      </c>
      <c r="M1743" s="1" t="s">
        <v>5511</v>
      </c>
      <c r="N1743" s="8" t="s">
        <v>5512</v>
      </c>
      <c r="O1743" s="1" t="s">
        <v>5513</v>
      </c>
      <c r="P1743" s="5">
        <f>XLOOKUP(R1743, classification!C:C, classification!B:B, "Not Found")</f>
      </c>
      <c r="Q1743" s="1" t="s">
        <v>5514</v>
      </c>
      <c r="R1743" s="2"/>
      <c r="S1743" s="2"/>
      <c r="T1743" s="2"/>
      <c r="U1743" s="2"/>
    </row>
    <row x14ac:dyDescent="0.25" r="1744" customHeight="1" ht="17.25">
      <c r="A1744" s="7">
        <v>1743</v>
      </c>
      <c r="B1744" s="1" t="s">
        <v>7151</v>
      </c>
      <c r="C1744" s="5">
        <f>CONCATENATE("PD", TEXT(A1744, "1000000"))</f>
      </c>
      <c r="D1744" s="7">
        <v>74</v>
      </c>
      <c r="E1744" s="5">
        <f>XLOOKUP(G1744, item_category!C:C, item_category!B:B, "Not Found")</f>
      </c>
      <c r="F1744" s="1" t="s">
        <v>5520</v>
      </c>
      <c r="G1744" s="5">
        <f>XLOOKUP(I1744, drug!B:B, drug!A:A, "Not Found")</f>
      </c>
      <c r="H1744" s="1"/>
      <c r="I1744" s="7">
        <v>1</v>
      </c>
      <c r="J1744" s="5">
        <f>XLOOKUP(L1744, uom!C:C, uom!B:B, "Not Found")</f>
      </c>
      <c r="K1744" s="1" t="s">
        <v>5511</v>
      </c>
      <c r="L1744" s="5">
        <f>XLOOKUP(N1744, uom!C:C, uom!B:B, "Not Found")</f>
      </c>
      <c r="M1744" s="1" t="s">
        <v>5511</v>
      </c>
      <c r="N1744" s="8" t="s">
        <v>5512</v>
      </c>
      <c r="O1744" s="1" t="s">
        <v>5513</v>
      </c>
      <c r="P1744" s="5">
        <f>XLOOKUP(R1744, classification!C:C, classification!B:B, "Not Found")</f>
      </c>
      <c r="Q1744" s="1" t="s">
        <v>5514</v>
      </c>
      <c r="R1744" s="2"/>
      <c r="S1744" s="2"/>
      <c r="T1744" s="2"/>
      <c r="U1744" s="2"/>
    </row>
    <row x14ac:dyDescent="0.25" r="1745" customHeight="1" ht="17.25">
      <c r="A1745" s="7">
        <v>1744</v>
      </c>
      <c r="B1745" s="1" t="s">
        <v>7152</v>
      </c>
      <c r="C1745" s="5">
        <f>CONCATENATE("PD", TEXT(A1745, "1000000"))</f>
      </c>
      <c r="D1745" s="7">
        <v>74</v>
      </c>
      <c r="E1745" s="5">
        <f>XLOOKUP(G1745, item_category!C:C, item_category!B:B, "Not Found")</f>
      </c>
      <c r="F1745" s="1" t="s">
        <v>5520</v>
      </c>
      <c r="G1745" s="5">
        <f>XLOOKUP(I1745, drug!B:B, drug!A:A, "Not Found")</f>
      </c>
      <c r="H1745" s="1"/>
      <c r="I1745" s="7">
        <v>1</v>
      </c>
      <c r="J1745" s="5">
        <f>XLOOKUP(L1745, uom!C:C, uom!B:B, "Not Found")</f>
      </c>
      <c r="K1745" s="1" t="s">
        <v>5511</v>
      </c>
      <c r="L1745" s="5">
        <f>XLOOKUP(N1745, uom!C:C, uom!B:B, "Not Found")</f>
      </c>
      <c r="M1745" s="1" t="s">
        <v>5511</v>
      </c>
      <c r="N1745" s="8" t="s">
        <v>5512</v>
      </c>
      <c r="O1745" s="1" t="s">
        <v>5513</v>
      </c>
      <c r="P1745" s="5">
        <f>XLOOKUP(R1745, classification!C:C, classification!B:B, "Not Found")</f>
      </c>
      <c r="Q1745" s="1" t="s">
        <v>5514</v>
      </c>
      <c r="R1745" s="2"/>
      <c r="S1745" s="2"/>
      <c r="T1745" s="2"/>
      <c r="U1745" s="2"/>
    </row>
    <row x14ac:dyDescent="0.25" r="1746" customHeight="1" ht="17.25">
      <c r="A1746" s="7">
        <v>1745</v>
      </c>
      <c r="B1746" s="1" t="s">
        <v>7153</v>
      </c>
      <c r="C1746" s="5">
        <f>CONCATENATE("PD", TEXT(A1746, "1000000"))</f>
      </c>
      <c r="D1746" s="7">
        <v>74</v>
      </c>
      <c r="E1746" s="5">
        <f>XLOOKUP(G1746, item_category!C:C, item_category!B:B, "Not Found")</f>
      </c>
      <c r="F1746" s="1" t="s">
        <v>5520</v>
      </c>
      <c r="G1746" s="5">
        <f>XLOOKUP(I1746, drug!B:B, drug!A:A, "Not Found")</f>
      </c>
      <c r="H1746" s="1" t="s">
        <v>1942</v>
      </c>
      <c r="I1746" s="7">
        <v>1</v>
      </c>
      <c r="J1746" s="5">
        <f>XLOOKUP(L1746, uom!C:C, uom!B:B, "Not Found")</f>
      </c>
      <c r="K1746" s="1" t="s">
        <v>5511</v>
      </c>
      <c r="L1746" s="5">
        <f>XLOOKUP(N1746, uom!C:C, uom!B:B, "Not Found")</f>
      </c>
      <c r="M1746" s="1" t="s">
        <v>5511</v>
      </c>
      <c r="N1746" s="8" t="s">
        <v>5512</v>
      </c>
      <c r="O1746" s="1" t="s">
        <v>5513</v>
      </c>
      <c r="P1746" s="5">
        <f>XLOOKUP(R1746, classification!C:C, classification!B:B, "Not Found")</f>
      </c>
      <c r="Q1746" s="1" t="s">
        <v>5514</v>
      </c>
      <c r="R1746" s="2"/>
      <c r="S1746" s="2"/>
      <c r="T1746" s="2"/>
      <c r="U1746" s="2"/>
    </row>
    <row x14ac:dyDescent="0.25" r="1747" customHeight="1" ht="17.25">
      <c r="A1747" s="7">
        <v>1746</v>
      </c>
      <c r="B1747" s="1" t="s">
        <v>7154</v>
      </c>
      <c r="C1747" s="5">
        <f>CONCATENATE("PD", TEXT(A1747, "1000000"))</f>
      </c>
      <c r="D1747" s="7">
        <v>74</v>
      </c>
      <c r="E1747" s="5">
        <f>XLOOKUP(G1747, item_category!C:C, item_category!B:B, "Not Found")</f>
      </c>
      <c r="F1747" s="1" t="s">
        <v>5520</v>
      </c>
      <c r="G1747" s="5">
        <f>XLOOKUP(I1747, drug!B:B, drug!A:A, "Not Found")</f>
      </c>
      <c r="H1747" s="1" t="s">
        <v>2028</v>
      </c>
      <c r="I1747" s="7">
        <v>1</v>
      </c>
      <c r="J1747" s="5">
        <f>XLOOKUP(L1747, uom!C:C, uom!B:B, "Not Found")</f>
      </c>
      <c r="K1747" s="1" t="s">
        <v>5511</v>
      </c>
      <c r="L1747" s="5">
        <f>XLOOKUP(N1747, uom!C:C, uom!B:B, "Not Found")</f>
      </c>
      <c r="M1747" s="1" t="s">
        <v>5511</v>
      </c>
      <c r="N1747" s="8" t="s">
        <v>5512</v>
      </c>
      <c r="O1747" s="1" t="s">
        <v>5513</v>
      </c>
      <c r="P1747" s="5">
        <f>XLOOKUP(R1747, classification!C:C, classification!B:B, "Not Found")</f>
      </c>
      <c r="Q1747" s="1" t="s">
        <v>5514</v>
      </c>
      <c r="R1747" s="2"/>
      <c r="S1747" s="2"/>
      <c r="T1747" s="2"/>
      <c r="U1747" s="2"/>
    </row>
    <row x14ac:dyDescent="0.25" r="1748" customHeight="1" ht="17.25">
      <c r="A1748" s="7">
        <v>1747</v>
      </c>
      <c r="B1748" s="1" t="s">
        <v>7155</v>
      </c>
      <c r="C1748" s="5">
        <f>CONCATENATE("PD", TEXT(A1748, "1000000"))</f>
      </c>
      <c r="D1748" s="7">
        <v>67</v>
      </c>
      <c r="E1748" s="5">
        <f>XLOOKUP(G1748, item_category!C:C, item_category!B:B, "Not Found")</f>
      </c>
      <c r="F1748" s="1" t="s">
        <v>5516</v>
      </c>
      <c r="G1748" s="5">
        <f>XLOOKUP(I1748, drug!B:B, drug!A:A, "Not Found")</f>
      </c>
      <c r="H1748" s="1"/>
      <c r="I1748" s="7">
        <v>1</v>
      </c>
      <c r="J1748" s="5">
        <f>XLOOKUP(L1748, uom!C:C, uom!B:B, "Not Found")</f>
      </c>
      <c r="K1748" s="1" t="s">
        <v>5511</v>
      </c>
      <c r="L1748" s="5">
        <f>XLOOKUP(N1748, uom!C:C, uom!B:B, "Not Found")</f>
      </c>
      <c r="M1748" s="1" t="s">
        <v>5511</v>
      </c>
      <c r="N1748" s="8" t="s">
        <v>5512</v>
      </c>
      <c r="O1748" s="1" t="s">
        <v>5513</v>
      </c>
      <c r="P1748" s="5">
        <f>XLOOKUP(R1748, classification!C:C, classification!B:B, "Not Found")</f>
      </c>
      <c r="Q1748" s="1" t="s">
        <v>5514</v>
      </c>
      <c r="R1748" s="2"/>
      <c r="S1748" s="2"/>
      <c r="T1748" s="2"/>
      <c r="U1748" s="2"/>
    </row>
    <row x14ac:dyDescent="0.25" r="1749" customHeight="1" ht="17.25">
      <c r="A1749" s="7">
        <v>1748</v>
      </c>
      <c r="B1749" s="1" t="s">
        <v>7156</v>
      </c>
      <c r="C1749" s="5">
        <f>CONCATENATE("PD", TEXT(A1749, "1000000"))</f>
      </c>
      <c r="D1749" s="7">
        <v>67</v>
      </c>
      <c r="E1749" s="5">
        <f>XLOOKUP(G1749, item_category!C:C, item_category!B:B, "Not Found")</f>
      </c>
      <c r="F1749" s="1" t="s">
        <v>5516</v>
      </c>
      <c r="G1749" s="5">
        <f>XLOOKUP(I1749, drug!B:B, drug!A:A, "Not Found")</f>
      </c>
      <c r="H1749" s="1"/>
      <c r="I1749" s="7">
        <v>1</v>
      </c>
      <c r="J1749" s="5">
        <f>XLOOKUP(L1749, uom!C:C, uom!B:B, "Not Found")</f>
      </c>
      <c r="K1749" s="1" t="s">
        <v>5511</v>
      </c>
      <c r="L1749" s="5">
        <f>XLOOKUP(N1749, uom!C:C, uom!B:B, "Not Found")</f>
      </c>
      <c r="M1749" s="1" t="s">
        <v>5511</v>
      </c>
      <c r="N1749" s="8" t="s">
        <v>5512</v>
      </c>
      <c r="O1749" s="1" t="s">
        <v>5513</v>
      </c>
      <c r="P1749" s="5">
        <f>XLOOKUP(R1749, classification!C:C, classification!B:B, "Not Found")</f>
      </c>
      <c r="Q1749" s="1" t="s">
        <v>5514</v>
      </c>
      <c r="R1749" s="2"/>
      <c r="S1749" s="2"/>
      <c r="T1749" s="2"/>
      <c r="U1749" s="2"/>
    </row>
    <row x14ac:dyDescent="0.25" r="1750" customHeight="1" ht="17.25">
      <c r="A1750" s="7">
        <v>1749</v>
      </c>
      <c r="B1750" s="1" t="s">
        <v>7157</v>
      </c>
      <c r="C1750" s="5">
        <f>CONCATENATE("PD", TEXT(A1750, "1000000"))</f>
      </c>
      <c r="D1750" s="7">
        <v>67</v>
      </c>
      <c r="E1750" s="5">
        <f>XLOOKUP(G1750, item_category!C:C, item_category!B:B, "Not Found")</f>
      </c>
      <c r="F1750" s="1" t="s">
        <v>5516</v>
      </c>
      <c r="G1750" s="5">
        <f>XLOOKUP(I1750, drug!B:B, drug!A:A, "Not Found")</f>
      </c>
      <c r="H1750" s="1"/>
      <c r="I1750" s="7">
        <v>1</v>
      </c>
      <c r="J1750" s="5">
        <f>XLOOKUP(L1750, uom!C:C, uom!B:B, "Not Found")</f>
      </c>
      <c r="K1750" s="1" t="s">
        <v>5511</v>
      </c>
      <c r="L1750" s="5">
        <f>XLOOKUP(N1750, uom!C:C, uom!B:B, "Not Found")</f>
      </c>
      <c r="M1750" s="1" t="s">
        <v>5511</v>
      </c>
      <c r="N1750" s="8" t="s">
        <v>5512</v>
      </c>
      <c r="O1750" s="1" t="s">
        <v>5513</v>
      </c>
      <c r="P1750" s="5">
        <f>XLOOKUP(R1750, classification!C:C, classification!B:B, "Not Found")</f>
      </c>
      <c r="Q1750" s="1" t="s">
        <v>5514</v>
      </c>
      <c r="R1750" s="2"/>
      <c r="S1750" s="2"/>
      <c r="T1750" s="2"/>
      <c r="U1750" s="2"/>
    </row>
    <row x14ac:dyDescent="0.25" r="1751" customHeight="1" ht="17.25">
      <c r="A1751" s="7">
        <v>1750</v>
      </c>
      <c r="B1751" s="1" t="s">
        <v>7158</v>
      </c>
      <c r="C1751" s="5">
        <f>CONCATENATE("PD", TEXT(A1751, "1000000"))</f>
      </c>
      <c r="D1751" s="7">
        <v>67</v>
      </c>
      <c r="E1751" s="5">
        <f>XLOOKUP(G1751, item_category!C:C, item_category!B:B, "Not Found")</f>
      </c>
      <c r="F1751" s="1" t="s">
        <v>5516</v>
      </c>
      <c r="G1751" s="5">
        <f>XLOOKUP(I1751, drug!B:B, drug!A:A, "Not Found")</f>
      </c>
      <c r="H1751" s="1"/>
      <c r="I1751" s="7">
        <v>1</v>
      </c>
      <c r="J1751" s="5">
        <f>XLOOKUP(L1751, uom!C:C, uom!B:B, "Not Found")</f>
      </c>
      <c r="K1751" s="1" t="s">
        <v>5511</v>
      </c>
      <c r="L1751" s="5">
        <f>XLOOKUP(N1751, uom!C:C, uom!B:B, "Not Found")</f>
      </c>
      <c r="M1751" s="1" t="s">
        <v>5511</v>
      </c>
      <c r="N1751" s="8" t="s">
        <v>5512</v>
      </c>
      <c r="O1751" s="1" t="s">
        <v>5513</v>
      </c>
      <c r="P1751" s="5">
        <f>XLOOKUP(R1751, classification!C:C, classification!B:B, "Not Found")</f>
      </c>
      <c r="Q1751" s="1" t="s">
        <v>5514</v>
      </c>
      <c r="R1751" s="2"/>
      <c r="S1751" s="2"/>
      <c r="T1751" s="2"/>
      <c r="U1751" s="2"/>
    </row>
    <row x14ac:dyDescent="0.25" r="1752" customHeight="1" ht="17.25">
      <c r="A1752" s="7">
        <v>1751</v>
      </c>
      <c r="B1752" s="1" t="s">
        <v>7159</v>
      </c>
      <c r="C1752" s="5">
        <f>CONCATENATE("PD", TEXT(A1752, "1000000"))</f>
      </c>
      <c r="D1752" s="7">
        <v>67</v>
      </c>
      <c r="E1752" s="5">
        <f>XLOOKUP(G1752, item_category!C:C, item_category!B:B, "Not Found")</f>
      </c>
      <c r="F1752" s="1" t="s">
        <v>5516</v>
      </c>
      <c r="G1752" s="5">
        <f>XLOOKUP(I1752, drug!B:B, drug!A:A, "Not Found")</f>
      </c>
      <c r="H1752" s="1"/>
      <c r="I1752" s="7">
        <v>1</v>
      </c>
      <c r="J1752" s="5">
        <f>XLOOKUP(L1752, uom!C:C, uom!B:B, "Not Found")</f>
      </c>
      <c r="K1752" s="1" t="s">
        <v>5511</v>
      </c>
      <c r="L1752" s="5">
        <f>XLOOKUP(N1752, uom!C:C, uom!B:B, "Not Found")</f>
      </c>
      <c r="M1752" s="1" t="s">
        <v>5511</v>
      </c>
      <c r="N1752" s="8" t="s">
        <v>5512</v>
      </c>
      <c r="O1752" s="1" t="s">
        <v>5513</v>
      </c>
      <c r="P1752" s="5">
        <f>XLOOKUP(R1752, classification!C:C, classification!B:B, "Not Found")</f>
      </c>
      <c r="Q1752" s="1" t="s">
        <v>5514</v>
      </c>
      <c r="R1752" s="2"/>
      <c r="S1752" s="2"/>
      <c r="T1752" s="2"/>
      <c r="U1752" s="2"/>
    </row>
    <row x14ac:dyDescent="0.25" r="1753" customHeight="1" ht="17.25">
      <c r="A1753" s="7">
        <v>1752</v>
      </c>
      <c r="B1753" s="1" t="s">
        <v>7160</v>
      </c>
      <c r="C1753" s="5">
        <f>CONCATENATE("PD", TEXT(A1753, "1000000"))</f>
      </c>
      <c r="D1753" s="7">
        <v>67</v>
      </c>
      <c r="E1753" s="5">
        <f>XLOOKUP(G1753, item_category!C:C, item_category!B:B, "Not Found")</f>
      </c>
      <c r="F1753" s="1" t="s">
        <v>5516</v>
      </c>
      <c r="G1753" s="5">
        <f>XLOOKUP(I1753, drug!B:B, drug!A:A, "Not Found")</f>
      </c>
      <c r="H1753" s="1"/>
      <c r="I1753" s="7">
        <v>1</v>
      </c>
      <c r="J1753" s="5">
        <f>XLOOKUP(L1753, uom!C:C, uom!B:B, "Not Found")</f>
      </c>
      <c r="K1753" s="1" t="s">
        <v>5511</v>
      </c>
      <c r="L1753" s="5">
        <f>XLOOKUP(N1753, uom!C:C, uom!B:B, "Not Found")</f>
      </c>
      <c r="M1753" s="1" t="s">
        <v>5511</v>
      </c>
      <c r="N1753" s="8" t="s">
        <v>5512</v>
      </c>
      <c r="O1753" s="1" t="s">
        <v>5513</v>
      </c>
      <c r="P1753" s="5">
        <f>XLOOKUP(R1753, classification!C:C, classification!B:B, "Not Found")</f>
      </c>
      <c r="Q1753" s="1" t="s">
        <v>5514</v>
      </c>
      <c r="R1753" s="2"/>
      <c r="S1753" s="2"/>
      <c r="T1753" s="2"/>
      <c r="U1753" s="2"/>
    </row>
    <row x14ac:dyDescent="0.25" r="1754" customHeight="1" ht="17.25">
      <c r="A1754" s="7">
        <v>1753</v>
      </c>
      <c r="B1754" s="1" t="s">
        <v>7161</v>
      </c>
      <c r="C1754" s="5">
        <f>CONCATENATE("PD", TEXT(A1754, "1000000"))</f>
      </c>
      <c r="D1754" s="7">
        <v>67</v>
      </c>
      <c r="E1754" s="5">
        <f>XLOOKUP(G1754, item_category!C:C, item_category!B:B, "Not Found")</f>
      </c>
      <c r="F1754" s="1" t="s">
        <v>5516</v>
      </c>
      <c r="G1754" s="5">
        <f>XLOOKUP(I1754, drug!B:B, drug!A:A, "Not Found")</f>
      </c>
      <c r="H1754" s="1"/>
      <c r="I1754" s="7">
        <v>1</v>
      </c>
      <c r="J1754" s="5">
        <f>XLOOKUP(L1754, uom!C:C, uom!B:B, "Not Found")</f>
      </c>
      <c r="K1754" s="1" t="s">
        <v>5511</v>
      </c>
      <c r="L1754" s="5">
        <f>XLOOKUP(N1754, uom!C:C, uom!B:B, "Not Found")</f>
      </c>
      <c r="M1754" s="1" t="s">
        <v>5511</v>
      </c>
      <c r="N1754" s="8" t="s">
        <v>5512</v>
      </c>
      <c r="O1754" s="1" t="s">
        <v>5513</v>
      </c>
      <c r="P1754" s="5">
        <f>XLOOKUP(R1754, classification!C:C, classification!B:B, "Not Found")</f>
      </c>
      <c r="Q1754" s="1" t="s">
        <v>5514</v>
      </c>
      <c r="R1754" s="2"/>
      <c r="S1754" s="2"/>
      <c r="T1754" s="2"/>
      <c r="U1754" s="2"/>
    </row>
    <row x14ac:dyDescent="0.25" r="1755" customHeight="1" ht="17.25">
      <c r="A1755" s="7">
        <v>1754</v>
      </c>
      <c r="B1755" s="1" t="s">
        <v>7162</v>
      </c>
      <c r="C1755" s="5">
        <f>CONCATENATE("PD", TEXT(A1755, "1000000"))</f>
      </c>
      <c r="D1755" s="7">
        <v>67</v>
      </c>
      <c r="E1755" s="5">
        <f>XLOOKUP(G1755, item_category!C:C, item_category!B:B, "Not Found")</f>
      </c>
      <c r="F1755" s="1" t="s">
        <v>5516</v>
      </c>
      <c r="G1755" s="5">
        <f>XLOOKUP(I1755, drug!B:B, drug!A:A, "Not Found")</f>
      </c>
      <c r="H1755" s="1"/>
      <c r="I1755" s="7">
        <v>1</v>
      </c>
      <c r="J1755" s="5">
        <f>XLOOKUP(L1755, uom!C:C, uom!B:B, "Not Found")</f>
      </c>
      <c r="K1755" s="1" t="s">
        <v>5511</v>
      </c>
      <c r="L1755" s="5">
        <f>XLOOKUP(N1755, uom!C:C, uom!B:B, "Not Found")</f>
      </c>
      <c r="M1755" s="1" t="s">
        <v>5511</v>
      </c>
      <c r="N1755" s="8" t="s">
        <v>5512</v>
      </c>
      <c r="O1755" s="1" t="s">
        <v>5513</v>
      </c>
      <c r="P1755" s="5">
        <f>XLOOKUP(R1755, classification!C:C, classification!B:B, "Not Found")</f>
      </c>
      <c r="Q1755" s="1" t="s">
        <v>5514</v>
      </c>
      <c r="R1755" s="2"/>
      <c r="S1755" s="2"/>
      <c r="T1755" s="2"/>
      <c r="U1755" s="2"/>
    </row>
    <row x14ac:dyDescent="0.25" r="1756" customHeight="1" ht="17.25">
      <c r="A1756" s="7">
        <v>1755</v>
      </c>
      <c r="B1756" s="1" t="s">
        <v>7163</v>
      </c>
      <c r="C1756" s="5">
        <f>CONCATENATE("PD", TEXT(A1756, "1000000"))</f>
      </c>
      <c r="D1756" s="7">
        <v>67</v>
      </c>
      <c r="E1756" s="5">
        <f>XLOOKUP(G1756, item_category!C:C, item_category!B:B, "Not Found")</f>
      </c>
      <c r="F1756" s="1" t="s">
        <v>5516</v>
      </c>
      <c r="G1756" s="5">
        <f>XLOOKUP(I1756, drug!B:B, drug!A:A, "Not Found")</f>
      </c>
      <c r="H1756" s="1"/>
      <c r="I1756" s="7">
        <v>1</v>
      </c>
      <c r="J1756" s="5">
        <f>XLOOKUP(L1756, uom!C:C, uom!B:B, "Not Found")</f>
      </c>
      <c r="K1756" s="1" t="s">
        <v>5511</v>
      </c>
      <c r="L1756" s="5">
        <f>XLOOKUP(N1756, uom!C:C, uom!B:B, "Not Found")</f>
      </c>
      <c r="M1756" s="1" t="s">
        <v>5511</v>
      </c>
      <c r="N1756" s="8" t="s">
        <v>5512</v>
      </c>
      <c r="O1756" s="1" t="s">
        <v>5513</v>
      </c>
      <c r="P1756" s="5">
        <f>XLOOKUP(R1756, classification!C:C, classification!B:B, "Not Found")</f>
      </c>
      <c r="Q1756" s="1" t="s">
        <v>5514</v>
      </c>
      <c r="R1756" s="2"/>
      <c r="S1756" s="2"/>
      <c r="T1756" s="2"/>
      <c r="U1756" s="2"/>
    </row>
    <row x14ac:dyDescent="0.25" r="1757" customHeight="1" ht="17.25">
      <c r="A1757" s="7">
        <v>1756</v>
      </c>
      <c r="B1757" s="1" t="s">
        <v>7164</v>
      </c>
      <c r="C1757" s="5">
        <f>CONCATENATE("PD", TEXT(A1757, "1000000"))</f>
      </c>
      <c r="D1757" s="7">
        <v>67</v>
      </c>
      <c r="E1757" s="5">
        <f>XLOOKUP(G1757, item_category!C:C, item_category!B:B, "Not Found")</f>
      </c>
      <c r="F1757" s="1" t="s">
        <v>5516</v>
      </c>
      <c r="G1757" s="5">
        <f>XLOOKUP(I1757, drug!B:B, drug!A:A, "Not Found")</f>
      </c>
      <c r="H1757" s="1"/>
      <c r="I1757" s="7">
        <v>1</v>
      </c>
      <c r="J1757" s="5">
        <f>XLOOKUP(L1757, uom!C:C, uom!B:B, "Not Found")</f>
      </c>
      <c r="K1757" s="1" t="s">
        <v>5511</v>
      </c>
      <c r="L1757" s="5">
        <f>XLOOKUP(N1757, uom!C:C, uom!B:B, "Not Found")</f>
      </c>
      <c r="M1757" s="1" t="s">
        <v>5511</v>
      </c>
      <c r="N1757" s="8" t="s">
        <v>5512</v>
      </c>
      <c r="O1757" s="1" t="s">
        <v>5513</v>
      </c>
      <c r="P1757" s="5">
        <f>XLOOKUP(R1757, classification!C:C, classification!B:B, "Not Found")</f>
      </c>
      <c r="Q1757" s="1" t="s">
        <v>5514</v>
      </c>
      <c r="R1757" s="2"/>
      <c r="S1757" s="2"/>
      <c r="T1757" s="2"/>
      <c r="U1757" s="2"/>
    </row>
    <row x14ac:dyDescent="0.25" r="1758" customHeight="1" ht="17.25">
      <c r="A1758" s="7">
        <v>1757</v>
      </c>
      <c r="B1758" s="1" t="s">
        <v>7165</v>
      </c>
      <c r="C1758" s="5">
        <f>CONCATENATE("PD", TEXT(A1758, "1000000"))</f>
      </c>
      <c r="D1758" s="7">
        <v>74</v>
      </c>
      <c r="E1758" s="5">
        <f>XLOOKUP(G1758, item_category!C:C, item_category!B:B, "Not Found")</f>
      </c>
      <c r="F1758" s="1" t="s">
        <v>5520</v>
      </c>
      <c r="G1758" s="5">
        <f>XLOOKUP(I1758, drug!B:B, drug!A:A, "Not Found")</f>
      </c>
      <c r="H1758" s="1"/>
      <c r="I1758" s="7">
        <v>50</v>
      </c>
      <c r="J1758" s="5">
        <f>XLOOKUP(L1758, uom!C:C, uom!B:B, "Not Found")</f>
      </c>
      <c r="K1758" s="1" t="s">
        <v>6689</v>
      </c>
      <c r="L1758" s="5">
        <f>XLOOKUP(N1758, uom!C:C, uom!B:B, "Not Found")</f>
      </c>
      <c r="M1758" s="1" t="s">
        <v>6689</v>
      </c>
      <c r="N1758" s="8" t="s">
        <v>5524</v>
      </c>
      <c r="O1758" s="1" t="s">
        <v>5525</v>
      </c>
      <c r="P1758" s="5">
        <f>XLOOKUP(R1758, classification!C:C, classification!B:B, "Not Found")</f>
      </c>
      <c r="Q1758" s="1" t="s">
        <v>5514</v>
      </c>
      <c r="R1758" s="2"/>
      <c r="S1758" s="2"/>
      <c r="T1758" s="2"/>
      <c r="U1758" s="2"/>
    </row>
    <row x14ac:dyDescent="0.25" r="1759" customHeight="1" ht="17.25">
      <c r="A1759" s="7">
        <v>1758</v>
      </c>
      <c r="B1759" s="1" t="s">
        <v>2994</v>
      </c>
      <c r="C1759" s="5">
        <f>CONCATENATE("PD", TEXT(A1759, "1000000"))</f>
      </c>
      <c r="D1759" s="7">
        <v>67</v>
      </c>
      <c r="E1759" s="5">
        <f>XLOOKUP(G1759, item_category!C:C, item_category!B:B, "Not Found")</f>
      </c>
      <c r="F1759" s="1" t="s">
        <v>5516</v>
      </c>
      <c r="G1759" s="5">
        <f>XLOOKUP(I1759, drug!B:B, drug!A:A, "Not Found")</f>
      </c>
      <c r="H1759" s="1"/>
      <c r="I1759" s="7">
        <v>1</v>
      </c>
      <c r="J1759" s="5">
        <f>XLOOKUP(L1759, uom!C:C, uom!B:B, "Not Found")</f>
      </c>
      <c r="K1759" s="1" t="s">
        <v>5511</v>
      </c>
      <c r="L1759" s="5">
        <f>XLOOKUP(N1759, uom!C:C, uom!B:B, "Not Found")</f>
      </c>
      <c r="M1759" s="1" t="s">
        <v>5511</v>
      </c>
      <c r="N1759" s="8" t="s">
        <v>5512</v>
      </c>
      <c r="O1759" s="1" t="s">
        <v>5513</v>
      </c>
      <c r="P1759" s="5">
        <f>XLOOKUP(R1759, classification!C:C, classification!B:B, "Not Found")</f>
      </c>
      <c r="Q1759" s="1" t="s">
        <v>5514</v>
      </c>
      <c r="R1759" s="2"/>
      <c r="S1759" s="2"/>
      <c r="T1759" s="2"/>
      <c r="U1759" s="2"/>
    </row>
    <row x14ac:dyDescent="0.25" r="1760" customHeight="1" ht="17.25">
      <c r="A1760" s="7">
        <v>1759</v>
      </c>
      <c r="B1760" s="1" t="s">
        <v>7166</v>
      </c>
      <c r="C1760" s="5">
        <f>CONCATENATE("PD", TEXT(A1760, "1000000"))</f>
      </c>
      <c r="D1760" s="7">
        <v>67</v>
      </c>
      <c r="E1760" s="5">
        <f>XLOOKUP(G1760, item_category!C:C, item_category!B:B, "Not Found")</f>
      </c>
      <c r="F1760" s="1" t="s">
        <v>5516</v>
      </c>
      <c r="G1760" s="5">
        <f>XLOOKUP(I1760, drug!B:B, drug!A:A, "Not Found")</f>
      </c>
      <c r="H1760" s="1"/>
      <c r="I1760" s="7">
        <v>1</v>
      </c>
      <c r="J1760" s="5">
        <f>XLOOKUP(L1760, uom!C:C, uom!B:B, "Not Found")</f>
      </c>
      <c r="K1760" s="1" t="s">
        <v>5511</v>
      </c>
      <c r="L1760" s="5">
        <f>XLOOKUP(N1760, uom!C:C, uom!B:B, "Not Found")</f>
      </c>
      <c r="M1760" s="1" t="s">
        <v>5511</v>
      </c>
      <c r="N1760" s="8" t="s">
        <v>5512</v>
      </c>
      <c r="O1760" s="1" t="s">
        <v>5513</v>
      </c>
      <c r="P1760" s="5">
        <f>XLOOKUP(R1760, classification!C:C, classification!B:B, "Not Found")</f>
      </c>
      <c r="Q1760" s="1" t="s">
        <v>5514</v>
      </c>
      <c r="R1760" s="2"/>
      <c r="S1760" s="2"/>
      <c r="T1760" s="2"/>
      <c r="U1760" s="2"/>
    </row>
    <row x14ac:dyDescent="0.25" r="1761" customHeight="1" ht="17.25">
      <c r="A1761" s="7">
        <v>1760</v>
      </c>
      <c r="B1761" s="1" t="s">
        <v>7167</v>
      </c>
      <c r="C1761" s="5">
        <f>CONCATENATE("PD", TEXT(A1761, "1000000"))</f>
      </c>
      <c r="D1761" s="7">
        <v>67</v>
      </c>
      <c r="E1761" s="5">
        <f>XLOOKUP(G1761, item_category!C:C, item_category!B:B, "Not Found")</f>
      </c>
      <c r="F1761" s="1" t="s">
        <v>5516</v>
      </c>
      <c r="G1761" s="5">
        <f>XLOOKUP(I1761, drug!B:B, drug!A:A, "Not Found")</f>
      </c>
      <c r="H1761" s="1"/>
      <c r="I1761" s="7">
        <v>1</v>
      </c>
      <c r="J1761" s="5">
        <f>XLOOKUP(L1761, uom!C:C, uom!B:B, "Not Found")</f>
      </c>
      <c r="K1761" s="1" t="s">
        <v>5511</v>
      </c>
      <c r="L1761" s="5">
        <f>XLOOKUP(N1761, uom!C:C, uom!B:B, "Not Found")</f>
      </c>
      <c r="M1761" s="1" t="s">
        <v>5511</v>
      </c>
      <c r="N1761" s="8" t="s">
        <v>5512</v>
      </c>
      <c r="O1761" s="1" t="s">
        <v>5513</v>
      </c>
      <c r="P1761" s="5">
        <f>XLOOKUP(R1761, classification!C:C, classification!B:B, "Not Found")</f>
      </c>
      <c r="Q1761" s="1" t="s">
        <v>5514</v>
      </c>
      <c r="R1761" s="2"/>
      <c r="S1761" s="2"/>
      <c r="T1761" s="2"/>
      <c r="U1761" s="2"/>
    </row>
    <row x14ac:dyDescent="0.25" r="1762" customHeight="1" ht="17.25">
      <c r="A1762" s="7">
        <v>1761</v>
      </c>
      <c r="B1762" s="1" t="s">
        <v>7168</v>
      </c>
      <c r="C1762" s="5">
        <f>CONCATENATE("PD", TEXT(A1762, "1000000"))</f>
      </c>
      <c r="D1762" s="7">
        <v>67</v>
      </c>
      <c r="E1762" s="5">
        <f>XLOOKUP(G1762, item_category!C:C, item_category!B:B, "Not Found")</f>
      </c>
      <c r="F1762" s="1" t="s">
        <v>5516</v>
      </c>
      <c r="G1762" s="5">
        <f>XLOOKUP(I1762, drug!B:B, drug!A:A, "Not Found")</f>
      </c>
      <c r="H1762" s="1" t="s">
        <v>1942</v>
      </c>
      <c r="I1762" s="7">
        <v>1</v>
      </c>
      <c r="J1762" s="5">
        <f>XLOOKUP(L1762, uom!C:C, uom!B:B, "Not Found")</f>
      </c>
      <c r="K1762" s="1" t="s">
        <v>5511</v>
      </c>
      <c r="L1762" s="5">
        <f>XLOOKUP(N1762, uom!C:C, uom!B:B, "Not Found")</f>
      </c>
      <c r="M1762" s="1" t="s">
        <v>5511</v>
      </c>
      <c r="N1762" s="8" t="s">
        <v>5512</v>
      </c>
      <c r="O1762" s="1" t="s">
        <v>5513</v>
      </c>
      <c r="P1762" s="5">
        <f>XLOOKUP(R1762, classification!C:C, classification!B:B, "Not Found")</f>
      </c>
      <c r="Q1762" s="1" t="s">
        <v>5514</v>
      </c>
      <c r="R1762" s="2"/>
      <c r="S1762" s="2"/>
      <c r="T1762" s="2"/>
      <c r="U1762" s="2"/>
    </row>
    <row x14ac:dyDescent="0.25" r="1763" customHeight="1" ht="17.25">
      <c r="A1763" s="7">
        <v>1762</v>
      </c>
      <c r="B1763" s="1" t="s">
        <v>7169</v>
      </c>
      <c r="C1763" s="5">
        <f>CONCATENATE("PD", TEXT(A1763, "1000000"))</f>
      </c>
      <c r="D1763" s="7">
        <v>67</v>
      </c>
      <c r="E1763" s="5">
        <f>XLOOKUP(G1763, item_category!C:C, item_category!B:B, "Not Found")</f>
      </c>
      <c r="F1763" s="1" t="s">
        <v>5516</v>
      </c>
      <c r="G1763" s="5">
        <f>XLOOKUP(I1763, drug!B:B, drug!A:A, "Not Found")</f>
      </c>
      <c r="H1763" s="1"/>
      <c r="I1763" s="7">
        <v>1</v>
      </c>
      <c r="J1763" s="5">
        <f>XLOOKUP(L1763, uom!C:C, uom!B:B, "Not Found")</f>
      </c>
      <c r="K1763" s="1" t="s">
        <v>5511</v>
      </c>
      <c r="L1763" s="5">
        <f>XLOOKUP(N1763, uom!C:C, uom!B:B, "Not Found")</f>
      </c>
      <c r="M1763" s="1" t="s">
        <v>5511</v>
      </c>
      <c r="N1763" s="8" t="s">
        <v>5512</v>
      </c>
      <c r="O1763" s="1" t="s">
        <v>5513</v>
      </c>
      <c r="P1763" s="5">
        <f>XLOOKUP(R1763, classification!C:C, classification!B:B, "Not Found")</f>
      </c>
      <c r="Q1763" s="1" t="s">
        <v>5514</v>
      </c>
      <c r="R1763" s="2"/>
      <c r="S1763" s="2"/>
      <c r="T1763" s="2"/>
      <c r="U1763" s="2"/>
    </row>
    <row x14ac:dyDescent="0.25" r="1764" customHeight="1" ht="17.25">
      <c r="A1764" s="7">
        <v>1763</v>
      </c>
      <c r="B1764" s="1" t="s">
        <v>7170</v>
      </c>
      <c r="C1764" s="5">
        <f>CONCATENATE("PD", TEXT(A1764, "1000000"))</f>
      </c>
      <c r="D1764" s="7">
        <v>67</v>
      </c>
      <c r="E1764" s="5">
        <f>XLOOKUP(G1764, item_category!C:C, item_category!B:B, "Not Found")</f>
      </c>
      <c r="F1764" s="1" t="s">
        <v>5516</v>
      </c>
      <c r="G1764" s="5">
        <f>XLOOKUP(I1764, drug!B:B, drug!A:A, "Not Found")</f>
      </c>
      <c r="H1764" s="1"/>
      <c r="I1764" s="7">
        <v>1</v>
      </c>
      <c r="J1764" s="5">
        <f>XLOOKUP(L1764, uom!C:C, uom!B:B, "Not Found")</f>
      </c>
      <c r="K1764" s="1" t="s">
        <v>5511</v>
      </c>
      <c r="L1764" s="5">
        <f>XLOOKUP(N1764, uom!C:C, uom!B:B, "Not Found")</f>
      </c>
      <c r="M1764" s="1" t="s">
        <v>5511</v>
      </c>
      <c r="N1764" s="8" t="s">
        <v>5512</v>
      </c>
      <c r="O1764" s="1" t="s">
        <v>5513</v>
      </c>
      <c r="P1764" s="5">
        <f>XLOOKUP(R1764, classification!C:C, classification!B:B, "Not Found")</f>
      </c>
      <c r="Q1764" s="1" t="s">
        <v>5514</v>
      </c>
      <c r="R1764" s="2"/>
      <c r="S1764" s="2"/>
      <c r="T1764" s="2"/>
      <c r="U1764" s="2"/>
    </row>
    <row x14ac:dyDescent="0.25" r="1765" customHeight="1" ht="17.25">
      <c r="A1765" s="7">
        <v>1764</v>
      </c>
      <c r="B1765" s="1" t="s">
        <v>7171</v>
      </c>
      <c r="C1765" s="5">
        <f>CONCATENATE("PD", TEXT(A1765, "1000000"))</f>
      </c>
      <c r="D1765" s="7">
        <v>67</v>
      </c>
      <c r="E1765" s="5">
        <f>XLOOKUP(G1765, item_category!C:C, item_category!B:B, "Not Found")</f>
      </c>
      <c r="F1765" s="1" t="s">
        <v>5516</v>
      </c>
      <c r="G1765" s="5">
        <f>XLOOKUP(I1765, drug!B:B, drug!A:A, "Not Found")</f>
      </c>
      <c r="H1765" s="1"/>
      <c r="I1765" s="7">
        <v>1</v>
      </c>
      <c r="J1765" s="5">
        <f>XLOOKUP(L1765, uom!C:C, uom!B:B, "Not Found")</f>
      </c>
      <c r="K1765" s="1" t="s">
        <v>5511</v>
      </c>
      <c r="L1765" s="5">
        <f>XLOOKUP(N1765, uom!C:C, uom!B:B, "Not Found")</f>
      </c>
      <c r="M1765" s="1" t="s">
        <v>5511</v>
      </c>
      <c r="N1765" s="8" t="s">
        <v>5512</v>
      </c>
      <c r="O1765" s="1" t="s">
        <v>5513</v>
      </c>
      <c r="P1765" s="5">
        <f>XLOOKUP(R1765, classification!C:C, classification!B:B, "Not Found")</f>
      </c>
      <c r="Q1765" s="1" t="s">
        <v>5514</v>
      </c>
      <c r="R1765" s="2"/>
      <c r="S1765" s="2"/>
      <c r="T1765" s="2"/>
      <c r="U1765" s="2"/>
    </row>
    <row x14ac:dyDescent="0.25" r="1766" customHeight="1" ht="17.25">
      <c r="A1766" s="7">
        <v>1765</v>
      </c>
      <c r="B1766" s="1" t="s">
        <v>7172</v>
      </c>
      <c r="C1766" s="5">
        <f>CONCATENATE("PD", TEXT(A1766, "1000000"))</f>
      </c>
      <c r="D1766" s="7">
        <v>67</v>
      </c>
      <c r="E1766" s="5">
        <f>XLOOKUP(G1766, item_category!C:C, item_category!B:B, "Not Found")</f>
      </c>
      <c r="F1766" s="1" t="s">
        <v>5516</v>
      </c>
      <c r="G1766" s="5">
        <f>XLOOKUP(I1766, drug!B:B, drug!A:A, "Not Found")</f>
      </c>
      <c r="H1766" s="1"/>
      <c r="I1766" s="7">
        <v>1</v>
      </c>
      <c r="J1766" s="5">
        <f>XLOOKUP(L1766, uom!C:C, uom!B:B, "Not Found")</f>
      </c>
      <c r="K1766" s="1" t="s">
        <v>5511</v>
      </c>
      <c r="L1766" s="5">
        <f>XLOOKUP(N1766, uom!C:C, uom!B:B, "Not Found")</f>
      </c>
      <c r="M1766" s="1" t="s">
        <v>5511</v>
      </c>
      <c r="N1766" s="8" t="s">
        <v>5512</v>
      </c>
      <c r="O1766" s="1" t="s">
        <v>5513</v>
      </c>
      <c r="P1766" s="5">
        <f>XLOOKUP(R1766, classification!C:C, classification!B:B, "Not Found")</f>
      </c>
      <c r="Q1766" s="1" t="s">
        <v>5514</v>
      </c>
      <c r="R1766" s="2"/>
      <c r="S1766" s="2"/>
      <c r="T1766" s="2"/>
      <c r="U1766" s="2"/>
    </row>
    <row x14ac:dyDescent="0.25" r="1767" customHeight="1" ht="17.25">
      <c r="A1767" s="7">
        <v>1766</v>
      </c>
      <c r="B1767" s="1" t="s">
        <v>7173</v>
      </c>
      <c r="C1767" s="5">
        <f>CONCATENATE("PD", TEXT(A1767, "1000000"))</f>
      </c>
      <c r="D1767" s="7">
        <v>67</v>
      </c>
      <c r="E1767" s="5">
        <f>XLOOKUP(G1767, item_category!C:C, item_category!B:B, "Not Found")</f>
      </c>
      <c r="F1767" s="1" t="s">
        <v>5516</v>
      </c>
      <c r="G1767" s="5">
        <f>XLOOKUP(I1767, drug!B:B, drug!A:A, "Not Found")</f>
      </c>
      <c r="H1767" s="1"/>
      <c r="I1767" s="7">
        <v>1</v>
      </c>
      <c r="J1767" s="5">
        <f>XLOOKUP(L1767, uom!C:C, uom!B:B, "Not Found")</f>
      </c>
      <c r="K1767" s="1" t="s">
        <v>5511</v>
      </c>
      <c r="L1767" s="5">
        <f>XLOOKUP(N1767, uom!C:C, uom!B:B, "Not Found")</f>
      </c>
      <c r="M1767" s="1" t="s">
        <v>5511</v>
      </c>
      <c r="N1767" s="8" t="s">
        <v>5512</v>
      </c>
      <c r="O1767" s="1" t="s">
        <v>5513</v>
      </c>
      <c r="P1767" s="5">
        <f>XLOOKUP(R1767, classification!C:C, classification!B:B, "Not Found")</f>
      </c>
      <c r="Q1767" s="1" t="s">
        <v>5514</v>
      </c>
      <c r="R1767" s="2"/>
      <c r="S1767" s="2"/>
      <c r="T1767" s="2"/>
      <c r="U1767" s="2"/>
    </row>
    <row x14ac:dyDescent="0.25" r="1768" customHeight="1" ht="17.25">
      <c r="A1768" s="7">
        <v>1767</v>
      </c>
      <c r="B1768" s="1" t="s">
        <v>7174</v>
      </c>
      <c r="C1768" s="5">
        <f>CONCATENATE("PD", TEXT(A1768, "1000000"))</f>
      </c>
      <c r="D1768" s="7">
        <v>67</v>
      </c>
      <c r="E1768" s="5">
        <f>XLOOKUP(G1768, item_category!C:C, item_category!B:B, "Not Found")</f>
      </c>
      <c r="F1768" s="1" t="s">
        <v>5516</v>
      </c>
      <c r="G1768" s="5">
        <f>XLOOKUP(I1768, drug!B:B, drug!A:A, "Not Found")</f>
      </c>
      <c r="H1768" s="1"/>
      <c r="I1768" s="7">
        <v>1</v>
      </c>
      <c r="J1768" s="5">
        <f>XLOOKUP(L1768, uom!C:C, uom!B:B, "Not Found")</f>
      </c>
      <c r="K1768" s="1" t="s">
        <v>5511</v>
      </c>
      <c r="L1768" s="5">
        <f>XLOOKUP(N1768, uom!C:C, uom!B:B, "Not Found")</f>
      </c>
      <c r="M1768" s="1" t="s">
        <v>5511</v>
      </c>
      <c r="N1768" s="8" t="s">
        <v>5512</v>
      </c>
      <c r="O1768" s="1" t="s">
        <v>5513</v>
      </c>
      <c r="P1768" s="5">
        <f>XLOOKUP(R1768, classification!C:C, classification!B:B, "Not Found")</f>
      </c>
      <c r="Q1768" s="1" t="s">
        <v>5514</v>
      </c>
      <c r="R1768" s="2"/>
      <c r="S1768" s="2"/>
      <c r="T1768" s="2"/>
      <c r="U1768" s="2"/>
    </row>
    <row x14ac:dyDescent="0.25" r="1769" customHeight="1" ht="17.25">
      <c r="A1769" s="7">
        <v>1768</v>
      </c>
      <c r="B1769" s="1" t="s">
        <v>7175</v>
      </c>
      <c r="C1769" s="5">
        <f>CONCATENATE("PD", TEXT(A1769, "1000000"))</f>
      </c>
      <c r="D1769" s="7">
        <v>67</v>
      </c>
      <c r="E1769" s="5">
        <f>XLOOKUP(G1769, item_category!C:C, item_category!B:B, "Not Found")</f>
      </c>
      <c r="F1769" s="1" t="s">
        <v>5516</v>
      </c>
      <c r="G1769" s="5">
        <f>XLOOKUP(I1769, drug!B:B, drug!A:A, "Not Found")</f>
      </c>
      <c r="H1769" s="1"/>
      <c r="I1769" s="7">
        <v>1</v>
      </c>
      <c r="J1769" s="5">
        <f>XLOOKUP(L1769, uom!C:C, uom!B:B, "Not Found")</f>
      </c>
      <c r="K1769" s="1" t="s">
        <v>5511</v>
      </c>
      <c r="L1769" s="5">
        <f>XLOOKUP(N1769, uom!C:C, uom!B:B, "Not Found")</f>
      </c>
      <c r="M1769" s="1" t="s">
        <v>5511</v>
      </c>
      <c r="N1769" s="8" t="s">
        <v>5512</v>
      </c>
      <c r="O1769" s="1" t="s">
        <v>5513</v>
      </c>
      <c r="P1769" s="5">
        <f>XLOOKUP(R1769, classification!C:C, classification!B:B, "Not Found")</f>
      </c>
      <c r="Q1769" s="1" t="s">
        <v>5514</v>
      </c>
      <c r="R1769" s="2"/>
      <c r="S1769" s="2"/>
      <c r="T1769" s="2"/>
      <c r="U1769" s="2"/>
    </row>
    <row x14ac:dyDescent="0.25" r="1770" customHeight="1" ht="17.25">
      <c r="A1770" s="7">
        <v>1769</v>
      </c>
      <c r="B1770" s="1" t="s">
        <v>7176</v>
      </c>
      <c r="C1770" s="5">
        <f>CONCATENATE("PD", TEXT(A1770, "1000000"))</f>
      </c>
      <c r="D1770" s="7">
        <v>67</v>
      </c>
      <c r="E1770" s="5">
        <f>XLOOKUP(G1770, item_category!C:C, item_category!B:B, "Not Found")</f>
      </c>
      <c r="F1770" s="1" t="s">
        <v>5516</v>
      </c>
      <c r="G1770" s="5">
        <f>XLOOKUP(I1770, drug!B:B, drug!A:A, "Not Found")</f>
      </c>
      <c r="H1770" s="1"/>
      <c r="I1770" s="7">
        <v>1</v>
      </c>
      <c r="J1770" s="5">
        <f>XLOOKUP(L1770, uom!C:C, uom!B:B, "Not Found")</f>
      </c>
      <c r="K1770" s="1" t="s">
        <v>5511</v>
      </c>
      <c r="L1770" s="5">
        <f>XLOOKUP(N1770, uom!C:C, uom!B:B, "Not Found")</f>
      </c>
      <c r="M1770" s="1" t="s">
        <v>5511</v>
      </c>
      <c r="N1770" s="8" t="s">
        <v>5512</v>
      </c>
      <c r="O1770" s="1" t="s">
        <v>5513</v>
      </c>
      <c r="P1770" s="5">
        <f>XLOOKUP(R1770, classification!C:C, classification!B:B, "Not Found")</f>
      </c>
      <c r="Q1770" s="1" t="s">
        <v>5514</v>
      </c>
      <c r="R1770" s="2"/>
      <c r="S1770" s="2"/>
      <c r="T1770" s="2"/>
      <c r="U1770" s="2"/>
    </row>
    <row x14ac:dyDescent="0.25" r="1771" customHeight="1" ht="17.25">
      <c r="A1771" s="7">
        <v>1770</v>
      </c>
      <c r="B1771" s="1" t="s">
        <v>7177</v>
      </c>
      <c r="C1771" s="5">
        <f>CONCATENATE("PD", TEXT(A1771, "1000000"))</f>
      </c>
      <c r="D1771" s="7">
        <v>67</v>
      </c>
      <c r="E1771" s="5">
        <f>XLOOKUP(G1771, item_category!C:C, item_category!B:B, "Not Found")</f>
      </c>
      <c r="F1771" s="1" t="s">
        <v>5516</v>
      </c>
      <c r="G1771" s="5">
        <f>XLOOKUP(I1771, drug!B:B, drug!A:A, "Not Found")</f>
      </c>
      <c r="H1771" s="1"/>
      <c r="I1771" s="7">
        <v>1</v>
      </c>
      <c r="J1771" s="5">
        <f>XLOOKUP(L1771, uom!C:C, uom!B:B, "Not Found")</f>
      </c>
      <c r="K1771" s="1" t="s">
        <v>5511</v>
      </c>
      <c r="L1771" s="5">
        <f>XLOOKUP(N1771, uom!C:C, uom!B:B, "Not Found")</f>
      </c>
      <c r="M1771" s="1" t="s">
        <v>5511</v>
      </c>
      <c r="N1771" s="8" t="s">
        <v>5512</v>
      </c>
      <c r="O1771" s="1" t="s">
        <v>5513</v>
      </c>
      <c r="P1771" s="5">
        <f>XLOOKUP(R1771, classification!C:C, classification!B:B, "Not Found")</f>
      </c>
      <c r="Q1771" s="1" t="s">
        <v>5514</v>
      </c>
      <c r="R1771" s="2"/>
      <c r="S1771" s="2"/>
      <c r="T1771" s="2"/>
      <c r="U1771" s="2"/>
    </row>
    <row x14ac:dyDescent="0.25" r="1772" customHeight="1" ht="17.25">
      <c r="A1772" s="7">
        <v>1771</v>
      </c>
      <c r="B1772" s="1" t="s">
        <v>7178</v>
      </c>
      <c r="C1772" s="5">
        <f>CONCATENATE("PD", TEXT(A1772, "1000000"))</f>
      </c>
      <c r="D1772" s="7">
        <v>67</v>
      </c>
      <c r="E1772" s="5">
        <f>XLOOKUP(G1772, item_category!C:C, item_category!B:B, "Not Found")</f>
      </c>
      <c r="F1772" s="1" t="s">
        <v>5516</v>
      </c>
      <c r="G1772" s="5">
        <f>XLOOKUP(I1772, drug!B:B, drug!A:A, "Not Found")</f>
      </c>
      <c r="H1772" s="1" t="s">
        <v>1228</v>
      </c>
      <c r="I1772" s="7">
        <v>1</v>
      </c>
      <c r="J1772" s="5">
        <f>XLOOKUP(L1772, uom!C:C, uom!B:B, "Not Found")</f>
      </c>
      <c r="K1772" s="1" t="s">
        <v>5511</v>
      </c>
      <c r="L1772" s="5">
        <f>XLOOKUP(N1772, uom!C:C, uom!B:B, "Not Found")</f>
      </c>
      <c r="M1772" s="1" t="s">
        <v>5511</v>
      </c>
      <c r="N1772" s="8" t="s">
        <v>5512</v>
      </c>
      <c r="O1772" s="1" t="s">
        <v>5513</v>
      </c>
      <c r="P1772" s="5">
        <f>XLOOKUP(R1772, classification!C:C, classification!B:B, "Not Found")</f>
      </c>
      <c r="Q1772" s="1" t="s">
        <v>5514</v>
      </c>
      <c r="R1772" s="2"/>
      <c r="S1772" s="2"/>
      <c r="T1772" s="2"/>
      <c r="U1772" s="2"/>
    </row>
    <row x14ac:dyDescent="0.25" r="1773" customHeight="1" ht="17.25">
      <c r="A1773" s="7">
        <v>1772</v>
      </c>
      <c r="B1773" s="1" t="s">
        <v>7179</v>
      </c>
      <c r="C1773" s="5">
        <f>CONCATENATE("PD", TEXT(A1773, "1000000"))</f>
      </c>
      <c r="D1773" s="7">
        <v>67</v>
      </c>
      <c r="E1773" s="5">
        <f>XLOOKUP(G1773, item_category!C:C, item_category!B:B, "Not Found")</f>
      </c>
      <c r="F1773" s="1" t="s">
        <v>5516</v>
      </c>
      <c r="G1773" s="5">
        <f>XLOOKUP(I1773, drug!B:B, drug!A:A, "Not Found")</f>
      </c>
      <c r="H1773" s="1" t="s">
        <v>1228</v>
      </c>
      <c r="I1773" s="7">
        <v>1</v>
      </c>
      <c r="J1773" s="5">
        <f>XLOOKUP(L1773, uom!C:C, uom!B:B, "Not Found")</f>
      </c>
      <c r="K1773" s="1" t="s">
        <v>5511</v>
      </c>
      <c r="L1773" s="5">
        <f>XLOOKUP(N1773, uom!C:C, uom!B:B, "Not Found")</f>
      </c>
      <c r="M1773" s="1" t="s">
        <v>5511</v>
      </c>
      <c r="N1773" s="8" t="s">
        <v>5512</v>
      </c>
      <c r="O1773" s="1" t="s">
        <v>5513</v>
      </c>
      <c r="P1773" s="5">
        <f>XLOOKUP(R1773, classification!C:C, classification!B:B, "Not Found")</f>
      </c>
      <c r="Q1773" s="1" t="s">
        <v>5514</v>
      </c>
      <c r="R1773" s="2"/>
      <c r="S1773" s="2"/>
      <c r="T1773" s="2"/>
      <c r="U1773" s="2"/>
    </row>
    <row x14ac:dyDescent="0.25" r="1774" customHeight="1" ht="17.25">
      <c r="A1774" s="7">
        <v>1773</v>
      </c>
      <c r="B1774" s="1" t="s">
        <v>7180</v>
      </c>
      <c r="C1774" s="5">
        <f>CONCATENATE("PD", TEXT(A1774, "1000000"))</f>
      </c>
      <c r="D1774" s="7">
        <v>67</v>
      </c>
      <c r="E1774" s="5">
        <f>XLOOKUP(G1774, item_category!C:C, item_category!B:B, "Not Found")</f>
      </c>
      <c r="F1774" s="1" t="s">
        <v>5516</v>
      </c>
      <c r="G1774" s="5">
        <f>XLOOKUP(I1774, drug!B:B, drug!A:A, "Not Found")</f>
      </c>
      <c r="H1774" s="1"/>
      <c r="I1774" s="7">
        <v>1</v>
      </c>
      <c r="J1774" s="5">
        <f>XLOOKUP(L1774, uom!C:C, uom!B:B, "Not Found")</f>
      </c>
      <c r="K1774" s="1" t="s">
        <v>5511</v>
      </c>
      <c r="L1774" s="5">
        <f>XLOOKUP(N1774, uom!C:C, uom!B:B, "Not Found")</f>
      </c>
      <c r="M1774" s="1" t="s">
        <v>5511</v>
      </c>
      <c r="N1774" s="8" t="s">
        <v>5512</v>
      </c>
      <c r="O1774" s="1" t="s">
        <v>5513</v>
      </c>
      <c r="P1774" s="5">
        <f>XLOOKUP(R1774, classification!C:C, classification!B:B, "Not Found")</f>
      </c>
      <c r="Q1774" s="1" t="s">
        <v>5514</v>
      </c>
      <c r="R1774" s="2"/>
      <c r="S1774" s="2"/>
      <c r="T1774" s="2"/>
      <c r="U1774" s="2"/>
    </row>
    <row x14ac:dyDescent="0.25" r="1775" customHeight="1" ht="17.25">
      <c r="A1775" s="7">
        <v>1774</v>
      </c>
      <c r="B1775" s="1" t="s">
        <v>7181</v>
      </c>
      <c r="C1775" s="5">
        <f>CONCATENATE("PD", TEXT(A1775, "1000000"))</f>
      </c>
      <c r="D1775" s="7">
        <v>67</v>
      </c>
      <c r="E1775" s="5">
        <f>XLOOKUP(G1775, item_category!C:C, item_category!B:B, "Not Found")</f>
      </c>
      <c r="F1775" s="1" t="s">
        <v>5516</v>
      </c>
      <c r="G1775" s="5">
        <f>XLOOKUP(I1775, drug!B:B, drug!A:A, "Not Found")</f>
      </c>
      <c r="H1775" s="1"/>
      <c r="I1775" s="7">
        <v>1</v>
      </c>
      <c r="J1775" s="5">
        <f>XLOOKUP(L1775, uom!C:C, uom!B:B, "Not Found")</f>
      </c>
      <c r="K1775" s="1" t="s">
        <v>5511</v>
      </c>
      <c r="L1775" s="5">
        <f>XLOOKUP(N1775, uom!C:C, uom!B:B, "Not Found")</f>
      </c>
      <c r="M1775" s="1" t="s">
        <v>5511</v>
      </c>
      <c r="N1775" s="8" t="s">
        <v>5512</v>
      </c>
      <c r="O1775" s="1" t="s">
        <v>5513</v>
      </c>
      <c r="P1775" s="5">
        <f>XLOOKUP(R1775, classification!C:C, classification!B:B, "Not Found")</f>
      </c>
      <c r="Q1775" s="1" t="s">
        <v>5514</v>
      </c>
      <c r="R1775" s="2"/>
      <c r="S1775" s="2"/>
      <c r="T1775" s="2"/>
      <c r="U1775" s="2"/>
    </row>
    <row x14ac:dyDescent="0.25" r="1776" customHeight="1" ht="17.25">
      <c r="A1776" s="7">
        <v>1775</v>
      </c>
      <c r="B1776" s="1" t="s">
        <v>7182</v>
      </c>
      <c r="C1776" s="5">
        <f>CONCATENATE("PD", TEXT(A1776, "1000000"))</f>
      </c>
      <c r="D1776" s="7">
        <v>67</v>
      </c>
      <c r="E1776" s="5">
        <f>XLOOKUP(G1776, item_category!C:C, item_category!B:B, "Not Found")</f>
      </c>
      <c r="F1776" s="1" t="s">
        <v>5516</v>
      </c>
      <c r="G1776" s="5">
        <f>XLOOKUP(I1776, drug!B:B, drug!A:A, "Not Found")</f>
      </c>
      <c r="H1776" s="1"/>
      <c r="I1776" s="7">
        <v>1</v>
      </c>
      <c r="J1776" s="5">
        <f>XLOOKUP(L1776, uom!C:C, uom!B:B, "Not Found")</f>
      </c>
      <c r="K1776" s="1" t="s">
        <v>5511</v>
      </c>
      <c r="L1776" s="5">
        <f>XLOOKUP(N1776, uom!C:C, uom!B:B, "Not Found")</f>
      </c>
      <c r="M1776" s="1" t="s">
        <v>5511</v>
      </c>
      <c r="N1776" s="8" t="s">
        <v>5512</v>
      </c>
      <c r="O1776" s="1" t="s">
        <v>5513</v>
      </c>
      <c r="P1776" s="5">
        <f>XLOOKUP(R1776, classification!C:C, classification!B:B, "Not Found")</f>
      </c>
      <c r="Q1776" s="1" t="s">
        <v>5514</v>
      </c>
      <c r="R1776" s="2"/>
      <c r="S1776" s="2"/>
      <c r="T1776" s="2"/>
      <c r="U1776" s="2"/>
    </row>
    <row x14ac:dyDescent="0.25" r="1777" customHeight="1" ht="17.25">
      <c r="A1777" s="7">
        <v>1776</v>
      </c>
      <c r="B1777" s="1" t="s">
        <v>7183</v>
      </c>
      <c r="C1777" s="5">
        <f>CONCATENATE("PD", TEXT(A1777, "1000000"))</f>
      </c>
      <c r="D1777" s="7">
        <v>67</v>
      </c>
      <c r="E1777" s="5">
        <f>XLOOKUP(G1777, item_category!C:C, item_category!B:B, "Not Found")</f>
      </c>
      <c r="F1777" s="1" t="s">
        <v>5516</v>
      </c>
      <c r="G1777" s="5">
        <f>XLOOKUP(I1777, drug!B:B, drug!A:A, "Not Found")</f>
      </c>
      <c r="H1777" s="1"/>
      <c r="I1777" s="7">
        <v>1</v>
      </c>
      <c r="J1777" s="5">
        <f>XLOOKUP(L1777, uom!C:C, uom!B:B, "Not Found")</f>
      </c>
      <c r="K1777" s="1" t="s">
        <v>5511</v>
      </c>
      <c r="L1777" s="5">
        <f>XLOOKUP(N1777, uom!C:C, uom!B:B, "Not Found")</f>
      </c>
      <c r="M1777" s="1" t="s">
        <v>5511</v>
      </c>
      <c r="N1777" s="8" t="s">
        <v>5512</v>
      </c>
      <c r="O1777" s="1" t="s">
        <v>5513</v>
      </c>
      <c r="P1777" s="5">
        <f>XLOOKUP(R1777, classification!C:C, classification!B:B, "Not Found")</f>
      </c>
      <c r="Q1777" s="1" t="s">
        <v>5514</v>
      </c>
      <c r="R1777" s="2"/>
      <c r="S1777" s="2"/>
      <c r="T1777" s="2"/>
      <c r="U1777" s="2"/>
    </row>
    <row x14ac:dyDescent="0.25" r="1778" customHeight="1" ht="17.25">
      <c r="A1778" s="7">
        <v>1777</v>
      </c>
      <c r="B1778" s="1" t="s">
        <v>7184</v>
      </c>
      <c r="C1778" s="5">
        <f>CONCATENATE("PD", TEXT(A1778, "1000000"))</f>
      </c>
      <c r="D1778" s="7">
        <v>67</v>
      </c>
      <c r="E1778" s="5">
        <f>XLOOKUP(G1778, item_category!C:C, item_category!B:B, "Not Found")</f>
      </c>
      <c r="F1778" s="1" t="s">
        <v>5516</v>
      </c>
      <c r="G1778" s="5">
        <f>XLOOKUP(I1778, drug!B:B, drug!A:A, "Not Found")</f>
      </c>
      <c r="H1778" s="1" t="s">
        <v>1320</v>
      </c>
      <c r="I1778" s="7">
        <v>1</v>
      </c>
      <c r="J1778" s="5">
        <f>XLOOKUP(L1778, uom!C:C, uom!B:B, "Not Found")</f>
      </c>
      <c r="K1778" s="1" t="s">
        <v>5511</v>
      </c>
      <c r="L1778" s="5">
        <f>XLOOKUP(N1778, uom!C:C, uom!B:B, "Not Found")</f>
      </c>
      <c r="M1778" s="1" t="s">
        <v>5511</v>
      </c>
      <c r="N1778" s="8" t="s">
        <v>5512</v>
      </c>
      <c r="O1778" s="1" t="s">
        <v>5513</v>
      </c>
      <c r="P1778" s="5">
        <f>XLOOKUP(R1778, classification!C:C, classification!B:B, "Not Found")</f>
      </c>
      <c r="Q1778" s="1" t="s">
        <v>5514</v>
      </c>
      <c r="R1778" s="2"/>
      <c r="S1778" s="2"/>
      <c r="T1778" s="2"/>
      <c r="U1778" s="2"/>
    </row>
    <row x14ac:dyDescent="0.25" r="1779" customHeight="1" ht="17.25">
      <c r="A1779" s="7">
        <v>1778</v>
      </c>
      <c r="B1779" s="1" t="s">
        <v>7185</v>
      </c>
      <c r="C1779" s="5">
        <f>CONCATENATE("PD", TEXT(A1779, "1000000"))</f>
      </c>
      <c r="D1779" s="7">
        <v>67</v>
      </c>
      <c r="E1779" s="5">
        <f>XLOOKUP(G1779, item_category!C:C, item_category!B:B, "Not Found")</f>
      </c>
      <c r="F1779" s="1" t="s">
        <v>5516</v>
      </c>
      <c r="G1779" s="5">
        <f>XLOOKUP(I1779, drug!B:B, drug!A:A, "Not Found")</f>
      </c>
      <c r="H1779" s="1"/>
      <c r="I1779" s="7">
        <v>1</v>
      </c>
      <c r="J1779" s="5">
        <f>XLOOKUP(L1779, uom!C:C, uom!B:B, "Not Found")</f>
      </c>
      <c r="K1779" s="1" t="s">
        <v>5511</v>
      </c>
      <c r="L1779" s="5">
        <f>XLOOKUP(N1779, uom!C:C, uom!B:B, "Not Found")</f>
      </c>
      <c r="M1779" s="1" t="s">
        <v>5511</v>
      </c>
      <c r="N1779" s="8" t="s">
        <v>5512</v>
      </c>
      <c r="O1779" s="1" t="s">
        <v>5513</v>
      </c>
      <c r="P1779" s="5">
        <f>XLOOKUP(R1779, classification!C:C, classification!B:B, "Not Found")</f>
      </c>
      <c r="Q1779" s="1" t="s">
        <v>5514</v>
      </c>
      <c r="R1779" s="2"/>
      <c r="S1779" s="2"/>
      <c r="T1779" s="2"/>
      <c r="U1779" s="2"/>
    </row>
    <row x14ac:dyDescent="0.25" r="1780" customHeight="1" ht="17.25">
      <c r="A1780" s="7">
        <v>1779</v>
      </c>
      <c r="B1780" s="1" t="s">
        <v>7186</v>
      </c>
      <c r="C1780" s="5">
        <f>CONCATENATE("PD", TEXT(A1780, "1000000"))</f>
      </c>
      <c r="D1780" s="7">
        <v>67</v>
      </c>
      <c r="E1780" s="5">
        <f>XLOOKUP(G1780, item_category!C:C, item_category!B:B, "Not Found")</f>
      </c>
      <c r="F1780" s="1" t="s">
        <v>5516</v>
      </c>
      <c r="G1780" s="5">
        <f>XLOOKUP(I1780, drug!B:B, drug!A:A, "Not Found")</f>
      </c>
      <c r="H1780" s="1"/>
      <c r="I1780" s="7">
        <v>1</v>
      </c>
      <c r="J1780" s="5">
        <f>XLOOKUP(L1780, uom!C:C, uom!B:B, "Not Found")</f>
      </c>
      <c r="K1780" s="1" t="s">
        <v>5511</v>
      </c>
      <c r="L1780" s="5">
        <f>XLOOKUP(N1780, uom!C:C, uom!B:B, "Not Found")</f>
      </c>
      <c r="M1780" s="1" t="s">
        <v>5511</v>
      </c>
      <c r="N1780" s="8" t="s">
        <v>5512</v>
      </c>
      <c r="O1780" s="1" t="s">
        <v>5513</v>
      </c>
      <c r="P1780" s="5">
        <f>XLOOKUP(R1780, classification!C:C, classification!B:B, "Not Found")</f>
      </c>
      <c r="Q1780" s="1" t="s">
        <v>5514</v>
      </c>
      <c r="R1780" s="2"/>
      <c r="S1780" s="2"/>
      <c r="T1780" s="2"/>
      <c r="U1780" s="2"/>
    </row>
    <row x14ac:dyDescent="0.25" r="1781" customHeight="1" ht="17.25">
      <c r="A1781" s="7">
        <v>1780</v>
      </c>
      <c r="B1781" s="1" t="s">
        <v>7187</v>
      </c>
      <c r="C1781" s="5">
        <f>CONCATENATE("PD", TEXT(A1781, "1000000"))</f>
      </c>
      <c r="D1781" s="7">
        <v>67</v>
      </c>
      <c r="E1781" s="5">
        <f>XLOOKUP(G1781, item_category!C:C, item_category!B:B, "Not Found")</f>
      </c>
      <c r="F1781" s="1" t="s">
        <v>5516</v>
      </c>
      <c r="G1781" s="5">
        <f>XLOOKUP(I1781, drug!B:B, drug!A:A, "Not Found")</f>
      </c>
      <c r="H1781" s="1"/>
      <c r="I1781" s="7">
        <v>1</v>
      </c>
      <c r="J1781" s="5">
        <f>XLOOKUP(L1781, uom!C:C, uom!B:B, "Not Found")</f>
      </c>
      <c r="K1781" s="1" t="s">
        <v>5511</v>
      </c>
      <c r="L1781" s="5">
        <f>XLOOKUP(N1781, uom!C:C, uom!B:B, "Not Found")</f>
      </c>
      <c r="M1781" s="1" t="s">
        <v>5511</v>
      </c>
      <c r="N1781" s="8" t="s">
        <v>5512</v>
      </c>
      <c r="O1781" s="1" t="s">
        <v>5513</v>
      </c>
      <c r="P1781" s="5">
        <f>XLOOKUP(R1781, classification!C:C, classification!B:B, "Not Found")</f>
      </c>
      <c r="Q1781" s="1" t="s">
        <v>5514</v>
      </c>
      <c r="R1781" s="2"/>
      <c r="S1781" s="2"/>
      <c r="T1781" s="2"/>
      <c r="U1781" s="2"/>
    </row>
    <row x14ac:dyDescent="0.25" r="1782" customHeight="1" ht="17.25">
      <c r="A1782" s="7">
        <v>1781</v>
      </c>
      <c r="B1782" s="1" t="s">
        <v>7188</v>
      </c>
      <c r="C1782" s="5">
        <f>CONCATENATE("PD", TEXT(A1782, "1000000"))</f>
      </c>
      <c r="D1782" s="7">
        <v>67</v>
      </c>
      <c r="E1782" s="5">
        <f>XLOOKUP(G1782, item_category!C:C, item_category!B:B, "Not Found")</f>
      </c>
      <c r="F1782" s="1" t="s">
        <v>5516</v>
      </c>
      <c r="G1782" s="5">
        <f>XLOOKUP(I1782, drug!B:B, drug!A:A, "Not Found")</f>
      </c>
      <c r="H1782" s="1"/>
      <c r="I1782" s="7">
        <v>1</v>
      </c>
      <c r="J1782" s="5">
        <f>XLOOKUP(L1782, uom!C:C, uom!B:B, "Not Found")</f>
      </c>
      <c r="K1782" s="1" t="s">
        <v>5511</v>
      </c>
      <c r="L1782" s="5">
        <f>XLOOKUP(N1782, uom!C:C, uom!B:B, "Not Found")</f>
      </c>
      <c r="M1782" s="1" t="s">
        <v>5511</v>
      </c>
      <c r="N1782" s="8" t="s">
        <v>5512</v>
      </c>
      <c r="O1782" s="1" t="s">
        <v>5513</v>
      </c>
      <c r="P1782" s="5">
        <f>XLOOKUP(R1782, classification!C:C, classification!B:B, "Not Found")</f>
      </c>
      <c r="Q1782" s="1" t="s">
        <v>5514</v>
      </c>
      <c r="R1782" s="2"/>
      <c r="S1782" s="2"/>
      <c r="T1782" s="2"/>
      <c r="U1782" s="2"/>
    </row>
    <row x14ac:dyDescent="0.25" r="1783" customHeight="1" ht="17.25">
      <c r="A1783" s="7">
        <v>1782</v>
      </c>
      <c r="B1783" s="1" t="s">
        <v>7189</v>
      </c>
      <c r="C1783" s="5">
        <f>CONCATENATE("PD", TEXT(A1783, "1000000"))</f>
      </c>
      <c r="D1783" s="7">
        <v>67</v>
      </c>
      <c r="E1783" s="5">
        <f>XLOOKUP(G1783, item_category!C:C, item_category!B:B, "Not Found")</f>
      </c>
      <c r="F1783" s="1" t="s">
        <v>5516</v>
      </c>
      <c r="G1783" s="5">
        <f>XLOOKUP(I1783, drug!B:B, drug!A:A, "Not Found")</f>
      </c>
      <c r="H1783" s="1"/>
      <c r="I1783" s="7">
        <v>300</v>
      </c>
      <c r="J1783" s="5">
        <f>XLOOKUP(L1783, uom!C:C, uom!B:B, "Not Found")</f>
      </c>
      <c r="K1783" s="1" t="s">
        <v>5602</v>
      </c>
      <c r="L1783" s="5">
        <f>XLOOKUP(N1783, uom!C:C, uom!B:B, "Not Found")</f>
      </c>
      <c r="M1783" s="1" t="s">
        <v>5602</v>
      </c>
      <c r="N1783" s="8" t="s">
        <v>5524</v>
      </c>
      <c r="O1783" s="1" t="s">
        <v>5525</v>
      </c>
      <c r="P1783" s="5">
        <f>XLOOKUP(R1783, classification!C:C, classification!B:B, "Not Found")</f>
      </c>
      <c r="Q1783" s="1" t="s">
        <v>5514</v>
      </c>
      <c r="R1783" s="2"/>
      <c r="S1783" s="2"/>
      <c r="T1783" s="2"/>
      <c r="U1783" s="2"/>
    </row>
    <row x14ac:dyDescent="0.25" r="1784" customHeight="1" ht="17.25">
      <c r="A1784" s="7">
        <v>1783</v>
      </c>
      <c r="B1784" s="1" t="s">
        <v>7190</v>
      </c>
      <c r="C1784" s="5">
        <f>CONCATENATE("PD", TEXT(A1784, "1000000"))</f>
      </c>
      <c r="D1784" s="7">
        <v>67</v>
      </c>
      <c r="E1784" s="5">
        <f>XLOOKUP(G1784, item_category!C:C, item_category!B:B, "Not Found")</f>
      </c>
      <c r="F1784" s="1" t="s">
        <v>5516</v>
      </c>
      <c r="G1784" s="5">
        <f>XLOOKUP(I1784, drug!B:B, drug!A:A, "Not Found")</f>
      </c>
      <c r="H1784" s="1"/>
      <c r="I1784" s="7">
        <v>330</v>
      </c>
      <c r="J1784" s="5">
        <f>XLOOKUP(L1784, uom!C:C, uom!B:B, "Not Found")</f>
      </c>
      <c r="K1784" s="1" t="s">
        <v>5602</v>
      </c>
      <c r="L1784" s="5">
        <f>XLOOKUP(N1784, uom!C:C, uom!B:B, "Not Found")</f>
      </c>
      <c r="M1784" s="1" t="s">
        <v>5602</v>
      </c>
      <c r="N1784" s="8" t="s">
        <v>5524</v>
      </c>
      <c r="O1784" s="1" t="s">
        <v>5525</v>
      </c>
      <c r="P1784" s="5">
        <f>XLOOKUP(R1784, classification!C:C, classification!B:B, "Not Found")</f>
      </c>
      <c r="Q1784" s="1" t="s">
        <v>5514</v>
      </c>
      <c r="R1784" s="2"/>
      <c r="S1784" s="2"/>
      <c r="T1784" s="2"/>
      <c r="U1784" s="2"/>
    </row>
    <row x14ac:dyDescent="0.25" r="1785" customHeight="1" ht="17.25">
      <c r="A1785" s="7">
        <v>1784</v>
      </c>
      <c r="B1785" s="1" t="s">
        <v>7191</v>
      </c>
      <c r="C1785" s="5">
        <f>CONCATENATE("PD", TEXT(A1785, "1000000"))</f>
      </c>
      <c r="D1785" s="7">
        <v>67</v>
      </c>
      <c r="E1785" s="5">
        <f>XLOOKUP(G1785, item_category!C:C, item_category!B:B, "Not Found")</f>
      </c>
      <c r="F1785" s="1" t="s">
        <v>5516</v>
      </c>
      <c r="G1785" s="5">
        <f>XLOOKUP(I1785, drug!B:B, drug!A:A, "Not Found")</f>
      </c>
      <c r="H1785" s="1"/>
      <c r="I1785" s="7">
        <v>1</v>
      </c>
      <c r="J1785" s="5">
        <f>XLOOKUP(L1785, uom!C:C, uom!B:B, "Not Found")</f>
      </c>
      <c r="K1785" s="1" t="s">
        <v>5511</v>
      </c>
      <c r="L1785" s="5">
        <f>XLOOKUP(N1785, uom!C:C, uom!B:B, "Not Found")</f>
      </c>
      <c r="M1785" s="1" t="s">
        <v>5511</v>
      </c>
      <c r="N1785" s="8" t="s">
        <v>5512</v>
      </c>
      <c r="O1785" s="1" t="s">
        <v>5513</v>
      </c>
      <c r="P1785" s="5">
        <f>XLOOKUP(R1785, classification!C:C, classification!B:B, "Not Found")</f>
      </c>
      <c r="Q1785" s="1" t="s">
        <v>5514</v>
      </c>
      <c r="R1785" s="2"/>
      <c r="S1785" s="2"/>
      <c r="T1785" s="2"/>
      <c r="U1785" s="2"/>
    </row>
    <row x14ac:dyDescent="0.25" r="1786" customHeight="1" ht="17.25">
      <c r="A1786" s="7">
        <v>1785</v>
      </c>
      <c r="B1786" s="1" t="s">
        <v>3002</v>
      </c>
      <c r="C1786" s="5">
        <f>CONCATENATE("PD", TEXT(A1786, "1000000"))</f>
      </c>
      <c r="D1786" s="7">
        <v>67</v>
      </c>
      <c r="E1786" s="5">
        <f>XLOOKUP(G1786, item_category!C:C, item_category!B:B, "Not Found")</f>
      </c>
      <c r="F1786" s="1" t="s">
        <v>5516</v>
      </c>
      <c r="G1786" s="5">
        <f>XLOOKUP(I1786, drug!B:B, drug!A:A, "Not Found")</f>
      </c>
      <c r="H1786" s="1"/>
      <c r="I1786" s="7">
        <v>1</v>
      </c>
      <c r="J1786" s="5">
        <f>XLOOKUP(L1786, uom!C:C, uom!B:B, "Not Found")</f>
      </c>
      <c r="K1786" s="1" t="s">
        <v>5511</v>
      </c>
      <c r="L1786" s="5">
        <f>XLOOKUP(N1786, uom!C:C, uom!B:B, "Not Found")</f>
      </c>
      <c r="M1786" s="1" t="s">
        <v>5511</v>
      </c>
      <c r="N1786" s="8" t="s">
        <v>5512</v>
      </c>
      <c r="O1786" s="1" t="s">
        <v>5513</v>
      </c>
      <c r="P1786" s="5">
        <f>XLOOKUP(R1786, classification!C:C, classification!B:B, "Not Found")</f>
      </c>
      <c r="Q1786" s="1" t="s">
        <v>5514</v>
      </c>
      <c r="R1786" s="2"/>
      <c r="S1786" s="2"/>
      <c r="T1786" s="2"/>
      <c r="U1786" s="2"/>
    </row>
    <row x14ac:dyDescent="0.25" r="1787" customHeight="1" ht="17.25">
      <c r="A1787" s="7">
        <v>1786</v>
      </c>
      <c r="B1787" s="1" t="s">
        <v>7192</v>
      </c>
      <c r="C1787" s="5">
        <f>CONCATENATE("PD", TEXT(A1787, "1000000"))</f>
      </c>
      <c r="D1787" s="7">
        <v>67</v>
      </c>
      <c r="E1787" s="5">
        <f>XLOOKUP(G1787, item_category!C:C, item_category!B:B, "Not Found")</f>
      </c>
      <c r="F1787" s="1" t="s">
        <v>5516</v>
      </c>
      <c r="G1787" s="5">
        <f>XLOOKUP(I1787, drug!B:B, drug!A:A, "Not Found")</f>
      </c>
      <c r="H1787" s="1"/>
      <c r="I1787" s="7">
        <v>1</v>
      </c>
      <c r="J1787" s="5">
        <f>XLOOKUP(L1787, uom!C:C, uom!B:B, "Not Found")</f>
      </c>
      <c r="K1787" s="1" t="s">
        <v>5511</v>
      </c>
      <c r="L1787" s="5">
        <f>XLOOKUP(N1787, uom!C:C, uom!B:B, "Not Found")</f>
      </c>
      <c r="M1787" s="1" t="s">
        <v>5511</v>
      </c>
      <c r="N1787" s="8" t="s">
        <v>5512</v>
      </c>
      <c r="O1787" s="1" t="s">
        <v>5513</v>
      </c>
      <c r="P1787" s="5">
        <f>XLOOKUP(R1787, classification!C:C, classification!B:B, "Not Found")</f>
      </c>
      <c r="Q1787" s="1" t="s">
        <v>5514</v>
      </c>
      <c r="R1787" s="2"/>
      <c r="S1787" s="2"/>
      <c r="T1787" s="2"/>
      <c r="U1787" s="2"/>
    </row>
    <row x14ac:dyDescent="0.25" r="1788" customHeight="1" ht="17.25">
      <c r="A1788" s="7">
        <v>1787</v>
      </c>
      <c r="B1788" s="1" t="s">
        <v>7193</v>
      </c>
      <c r="C1788" s="5">
        <f>CONCATENATE("PD", TEXT(A1788, "1000000"))</f>
      </c>
      <c r="D1788" s="7">
        <v>67</v>
      </c>
      <c r="E1788" s="5">
        <f>XLOOKUP(G1788, item_category!C:C, item_category!B:B, "Not Found")</f>
      </c>
      <c r="F1788" s="1" t="s">
        <v>5516</v>
      </c>
      <c r="G1788" s="5">
        <f>XLOOKUP(I1788, drug!B:B, drug!A:A, "Not Found")</f>
      </c>
      <c r="H1788" s="1"/>
      <c r="I1788" s="7">
        <v>1</v>
      </c>
      <c r="J1788" s="5">
        <f>XLOOKUP(L1788, uom!C:C, uom!B:B, "Not Found")</f>
      </c>
      <c r="K1788" s="1" t="s">
        <v>5511</v>
      </c>
      <c r="L1788" s="5">
        <f>XLOOKUP(N1788, uom!C:C, uom!B:B, "Not Found")</f>
      </c>
      <c r="M1788" s="1" t="s">
        <v>5511</v>
      </c>
      <c r="N1788" s="8" t="s">
        <v>5512</v>
      </c>
      <c r="O1788" s="1" t="s">
        <v>5513</v>
      </c>
      <c r="P1788" s="5">
        <f>XLOOKUP(R1788, classification!C:C, classification!B:B, "Not Found")</f>
      </c>
      <c r="Q1788" s="1" t="s">
        <v>5514</v>
      </c>
      <c r="R1788" s="2"/>
      <c r="S1788" s="2"/>
      <c r="T1788" s="2"/>
      <c r="U1788" s="2"/>
    </row>
    <row x14ac:dyDescent="0.25" r="1789" customHeight="1" ht="17.25">
      <c r="A1789" s="7">
        <v>1788</v>
      </c>
      <c r="B1789" s="1" t="s">
        <v>7194</v>
      </c>
      <c r="C1789" s="5">
        <f>CONCATENATE("PD", TEXT(A1789, "1000000"))</f>
      </c>
      <c r="D1789" s="7">
        <v>67</v>
      </c>
      <c r="E1789" s="5">
        <f>XLOOKUP(G1789, item_category!C:C, item_category!B:B, "Not Found")</f>
      </c>
      <c r="F1789" s="1" t="s">
        <v>5516</v>
      </c>
      <c r="G1789" s="5">
        <f>XLOOKUP(I1789, drug!B:B, drug!A:A, "Not Found")</f>
      </c>
      <c r="H1789" s="1"/>
      <c r="I1789" s="7">
        <v>1</v>
      </c>
      <c r="J1789" s="5">
        <f>XLOOKUP(L1789, uom!C:C, uom!B:B, "Not Found")</f>
      </c>
      <c r="K1789" s="1" t="s">
        <v>5511</v>
      </c>
      <c r="L1789" s="5">
        <f>XLOOKUP(N1789, uom!C:C, uom!B:B, "Not Found")</f>
      </c>
      <c r="M1789" s="1" t="s">
        <v>5511</v>
      </c>
      <c r="N1789" s="8" t="s">
        <v>5512</v>
      </c>
      <c r="O1789" s="1" t="s">
        <v>5513</v>
      </c>
      <c r="P1789" s="5">
        <f>XLOOKUP(R1789, classification!C:C, classification!B:B, "Not Found")</f>
      </c>
      <c r="Q1789" s="1" t="s">
        <v>5514</v>
      </c>
      <c r="R1789" s="2"/>
      <c r="S1789" s="2"/>
      <c r="T1789" s="2"/>
      <c r="U1789" s="2"/>
    </row>
    <row x14ac:dyDescent="0.25" r="1790" customHeight="1" ht="17.25">
      <c r="A1790" s="7">
        <v>1789</v>
      </c>
      <c r="B1790" s="1" t="s">
        <v>7195</v>
      </c>
      <c r="C1790" s="5">
        <f>CONCATENATE("PD", TEXT(A1790, "1000000"))</f>
      </c>
      <c r="D1790" s="7">
        <v>67</v>
      </c>
      <c r="E1790" s="5">
        <f>XLOOKUP(G1790, item_category!C:C, item_category!B:B, "Not Found")</f>
      </c>
      <c r="F1790" s="1" t="s">
        <v>5516</v>
      </c>
      <c r="G1790" s="5">
        <f>XLOOKUP(I1790, drug!B:B, drug!A:A, "Not Found")</f>
      </c>
      <c r="H1790" s="1"/>
      <c r="I1790" s="7">
        <v>1</v>
      </c>
      <c r="J1790" s="5">
        <f>XLOOKUP(L1790, uom!C:C, uom!B:B, "Not Found")</f>
      </c>
      <c r="K1790" s="1" t="s">
        <v>5511</v>
      </c>
      <c r="L1790" s="5">
        <f>XLOOKUP(N1790, uom!C:C, uom!B:B, "Not Found")</f>
      </c>
      <c r="M1790" s="1" t="s">
        <v>5511</v>
      </c>
      <c r="N1790" s="8" t="s">
        <v>5512</v>
      </c>
      <c r="O1790" s="1" t="s">
        <v>5513</v>
      </c>
      <c r="P1790" s="5">
        <f>XLOOKUP(R1790, classification!C:C, classification!B:B, "Not Found")</f>
      </c>
      <c r="Q1790" s="1" t="s">
        <v>5514</v>
      </c>
      <c r="R1790" s="2"/>
      <c r="S1790" s="2"/>
      <c r="T1790" s="2"/>
      <c r="U1790" s="2"/>
    </row>
    <row x14ac:dyDescent="0.25" r="1791" customHeight="1" ht="17.25">
      <c r="A1791" s="7">
        <v>1790</v>
      </c>
      <c r="B1791" s="1" t="s">
        <v>3004</v>
      </c>
      <c r="C1791" s="5">
        <f>CONCATENATE("PD", TEXT(A1791, "1000000"))</f>
      </c>
      <c r="D1791" s="7">
        <v>67</v>
      </c>
      <c r="E1791" s="5">
        <f>XLOOKUP(G1791, item_category!C:C, item_category!B:B, "Not Found")</f>
      </c>
      <c r="F1791" s="1" t="s">
        <v>5516</v>
      </c>
      <c r="G1791" s="5">
        <f>XLOOKUP(I1791, drug!B:B, drug!A:A, "Not Found")</f>
      </c>
      <c r="H1791" s="1"/>
      <c r="I1791" s="7">
        <v>1</v>
      </c>
      <c r="J1791" s="5">
        <f>XLOOKUP(L1791, uom!C:C, uom!B:B, "Not Found")</f>
      </c>
      <c r="K1791" s="1" t="s">
        <v>5511</v>
      </c>
      <c r="L1791" s="5">
        <f>XLOOKUP(N1791, uom!C:C, uom!B:B, "Not Found")</f>
      </c>
      <c r="M1791" s="1" t="s">
        <v>5511</v>
      </c>
      <c r="N1791" s="8" t="s">
        <v>5512</v>
      </c>
      <c r="O1791" s="1" t="s">
        <v>5513</v>
      </c>
      <c r="P1791" s="5">
        <f>XLOOKUP(R1791, classification!C:C, classification!B:B, "Not Found")</f>
      </c>
      <c r="Q1791" s="1" t="s">
        <v>5514</v>
      </c>
      <c r="R1791" s="2"/>
      <c r="S1791" s="2"/>
      <c r="T1791" s="2"/>
      <c r="U1791" s="2"/>
    </row>
    <row x14ac:dyDescent="0.25" r="1792" customHeight="1" ht="17.25">
      <c r="A1792" s="7">
        <v>1791</v>
      </c>
      <c r="B1792" s="1" t="s">
        <v>7196</v>
      </c>
      <c r="C1792" s="5">
        <f>CONCATENATE("PD", TEXT(A1792, "1000000"))</f>
      </c>
      <c r="D1792" s="7">
        <v>67</v>
      </c>
      <c r="E1792" s="5">
        <f>XLOOKUP(G1792, item_category!C:C, item_category!B:B, "Not Found")</f>
      </c>
      <c r="F1792" s="1" t="s">
        <v>5516</v>
      </c>
      <c r="G1792" s="5">
        <f>XLOOKUP(I1792, drug!B:B, drug!A:A, "Not Found")</f>
      </c>
      <c r="H1792" s="1"/>
      <c r="I1792" s="7">
        <v>1</v>
      </c>
      <c r="J1792" s="5">
        <f>XLOOKUP(L1792, uom!C:C, uom!B:B, "Not Found")</f>
      </c>
      <c r="K1792" s="1" t="s">
        <v>5511</v>
      </c>
      <c r="L1792" s="5">
        <f>XLOOKUP(N1792, uom!C:C, uom!B:B, "Not Found")</f>
      </c>
      <c r="M1792" s="1" t="s">
        <v>5511</v>
      </c>
      <c r="N1792" s="8" t="s">
        <v>5512</v>
      </c>
      <c r="O1792" s="1" t="s">
        <v>5513</v>
      </c>
      <c r="P1792" s="5">
        <f>XLOOKUP(R1792, classification!C:C, classification!B:B, "Not Found")</f>
      </c>
      <c r="Q1792" s="1" t="s">
        <v>5514</v>
      </c>
      <c r="R1792" s="2"/>
      <c r="S1792" s="2"/>
      <c r="T1792" s="2"/>
      <c r="U1792" s="2"/>
    </row>
    <row x14ac:dyDescent="0.25" r="1793" customHeight="1" ht="17.25">
      <c r="A1793" s="7">
        <v>1792</v>
      </c>
      <c r="B1793" s="1" t="s">
        <v>7197</v>
      </c>
      <c r="C1793" s="5">
        <f>CONCATENATE("PD", TEXT(A1793, "1000000"))</f>
      </c>
      <c r="D1793" s="7">
        <v>67</v>
      </c>
      <c r="E1793" s="5">
        <f>XLOOKUP(G1793, item_category!C:C, item_category!B:B, "Not Found")</f>
      </c>
      <c r="F1793" s="1" t="s">
        <v>5516</v>
      </c>
      <c r="G1793" s="5">
        <f>XLOOKUP(I1793, drug!B:B, drug!A:A, "Not Found")</f>
      </c>
      <c r="H1793" s="1"/>
      <c r="I1793" s="7">
        <v>1</v>
      </c>
      <c r="J1793" s="5">
        <f>XLOOKUP(L1793, uom!C:C, uom!B:B, "Not Found")</f>
      </c>
      <c r="K1793" s="1" t="s">
        <v>5511</v>
      </c>
      <c r="L1793" s="5">
        <f>XLOOKUP(N1793, uom!C:C, uom!B:B, "Not Found")</f>
      </c>
      <c r="M1793" s="1" t="s">
        <v>5511</v>
      </c>
      <c r="N1793" s="8" t="s">
        <v>5512</v>
      </c>
      <c r="O1793" s="1" t="s">
        <v>5513</v>
      </c>
      <c r="P1793" s="5">
        <f>XLOOKUP(R1793, classification!C:C, classification!B:B, "Not Found")</f>
      </c>
      <c r="Q1793" s="1" t="s">
        <v>5514</v>
      </c>
      <c r="R1793" s="2"/>
      <c r="S1793" s="2"/>
      <c r="T1793" s="2"/>
      <c r="U1793" s="2"/>
    </row>
    <row x14ac:dyDescent="0.25" r="1794" customHeight="1" ht="17.25">
      <c r="A1794" s="7">
        <v>1793</v>
      </c>
      <c r="B1794" s="1" t="s">
        <v>7198</v>
      </c>
      <c r="C1794" s="5">
        <f>CONCATENATE("PD", TEXT(A1794, "1000000"))</f>
      </c>
      <c r="D1794" s="7">
        <v>67</v>
      </c>
      <c r="E1794" s="5">
        <f>XLOOKUP(G1794, item_category!C:C, item_category!B:B, "Not Found")</f>
      </c>
      <c r="F1794" s="1" t="s">
        <v>5516</v>
      </c>
      <c r="G1794" s="5">
        <f>XLOOKUP(I1794, drug!B:B, drug!A:A, "Not Found")</f>
      </c>
      <c r="H1794" s="1"/>
      <c r="I1794" s="7">
        <v>1</v>
      </c>
      <c r="J1794" s="5">
        <f>XLOOKUP(L1794, uom!C:C, uom!B:B, "Not Found")</f>
      </c>
      <c r="K1794" s="1" t="s">
        <v>5511</v>
      </c>
      <c r="L1794" s="5">
        <f>XLOOKUP(N1794, uom!C:C, uom!B:B, "Not Found")</f>
      </c>
      <c r="M1794" s="1" t="s">
        <v>5511</v>
      </c>
      <c r="N1794" s="8" t="s">
        <v>5512</v>
      </c>
      <c r="O1794" s="1" t="s">
        <v>5513</v>
      </c>
      <c r="P1794" s="5">
        <f>XLOOKUP(R1794, classification!C:C, classification!B:B, "Not Found")</f>
      </c>
      <c r="Q1794" s="1" t="s">
        <v>5514</v>
      </c>
      <c r="R1794" s="2"/>
      <c r="S1794" s="2"/>
      <c r="T1794" s="2"/>
      <c r="U1794" s="2"/>
    </row>
    <row x14ac:dyDescent="0.25" r="1795" customHeight="1" ht="17.25">
      <c r="A1795" s="7">
        <v>1794</v>
      </c>
      <c r="B1795" s="1" t="s">
        <v>7199</v>
      </c>
      <c r="C1795" s="5">
        <f>CONCATENATE("PD", TEXT(A1795, "1000000"))</f>
      </c>
      <c r="D1795" s="7">
        <v>67</v>
      </c>
      <c r="E1795" s="5">
        <f>XLOOKUP(G1795, item_category!C:C, item_category!B:B, "Not Found")</f>
      </c>
      <c r="F1795" s="1" t="s">
        <v>5516</v>
      </c>
      <c r="G1795" s="5">
        <f>XLOOKUP(I1795, drug!B:B, drug!A:A, "Not Found")</f>
      </c>
      <c r="H1795" s="1"/>
      <c r="I1795" s="7">
        <v>1</v>
      </c>
      <c r="J1795" s="5">
        <f>XLOOKUP(L1795, uom!C:C, uom!B:B, "Not Found")</f>
      </c>
      <c r="K1795" s="1" t="s">
        <v>5511</v>
      </c>
      <c r="L1795" s="5">
        <f>XLOOKUP(N1795, uom!C:C, uom!B:B, "Not Found")</f>
      </c>
      <c r="M1795" s="1" t="s">
        <v>5511</v>
      </c>
      <c r="N1795" s="8" t="s">
        <v>5512</v>
      </c>
      <c r="O1795" s="1" t="s">
        <v>5513</v>
      </c>
      <c r="P1795" s="5">
        <f>XLOOKUP(R1795, classification!C:C, classification!B:B, "Not Found")</f>
      </c>
      <c r="Q1795" s="1" t="s">
        <v>5514</v>
      </c>
      <c r="R1795" s="2"/>
      <c r="S1795" s="2"/>
      <c r="T1795" s="2"/>
      <c r="U1795" s="2"/>
    </row>
    <row x14ac:dyDescent="0.25" r="1796" customHeight="1" ht="17.25">
      <c r="A1796" s="7">
        <v>1795</v>
      </c>
      <c r="B1796" s="1" t="s">
        <v>7200</v>
      </c>
      <c r="C1796" s="5">
        <f>CONCATENATE("PD", TEXT(A1796, "1000000"))</f>
      </c>
      <c r="D1796" s="7">
        <v>67</v>
      </c>
      <c r="E1796" s="5">
        <f>XLOOKUP(G1796, item_category!C:C, item_category!B:B, "Not Found")</f>
      </c>
      <c r="F1796" s="1" t="s">
        <v>5516</v>
      </c>
      <c r="G1796" s="5">
        <f>XLOOKUP(I1796, drug!B:B, drug!A:A, "Not Found")</f>
      </c>
      <c r="H1796" s="1" t="s">
        <v>442</v>
      </c>
      <c r="I1796" s="7">
        <v>1</v>
      </c>
      <c r="J1796" s="5">
        <f>XLOOKUP(L1796, uom!C:C, uom!B:B, "Not Found")</f>
      </c>
      <c r="K1796" s="1" t="s">
        <v>5511</v>
      </c>
      <c r="L1796" s="5">
        <f>XLOOKUP(N1796, uom!C:C, uom!B:B, "Not Found")</f>
      </c>
      <c r="M1796" s="1" t="s">
        <v>5511</v>
      </c>
      <c r="N1796" s="8" t="s">
        <v>5512</v>
      </c>
      <c r="O1796" s="1" t="s">
        <v>5513</v>
      </c>
      <c r="P1796" s="5">
        <f>XLOOKUP(R1796, classification!C:C, classification!B:B, "Not Found")</f>
      </c>
      <c r="Q1796" s="1" t="s">
        <v>5514</v>
      </c>
      <c r="R1796" s="2"/>
      <c r="S1796" s="2"/>
      <c r="T1796" s="2"/>
      <c r="U1796" s="2"/>
    </row>
    <row x14ac:dyDescent="0.25" r="1797" customHeight="1" ht="17.25">
      <c r="A1797" s="7">
        <v>1796</v>
      </c>
      <c r="B1797" s="1" t="s">
        <v>7201</v>
      </c>
      <c r="C1797" s="5">
        <f>CONCATENATE("PD", TEXT(A1797, "1000000"))</f>
      </c>
      <c r="D1797" s="7">
        <v>67</v>
      </c>
      <c r="E1797" s="5">
        <f>XLOOKUP(G1797, item_category!C:C, item_category!B:B, "Not Found")</f>
      </c>
      <c r="F1797" s="1" t="s">
        <v>5516</v>
      </c>
      <c r="G1797" s="5">
        <f>XLOOKUP(I1797, drug!B:B, drug!A:A, "Not Found")</f>
      </c>
      <c r="H1797" s="1" t="s">
        <v>442</v>
      </c>
      <c r="I1797" s="7">
        <v>1</v>
      </c>
      <c r="J1797" s="5">
        <f>XLOOKUP(L1797, uom!C:C, uom!B:B, "Not Found")</f>
      </c>
      <c r="K1797" s="1" t="s">
        <v>5511</v>
      </c>
      <c r="L1797" s="5">
        <f>XLOOKUP(N1797, uom!C:C, uom!B:B, "Not Found")</f>
      </c>
      <c r="M1797" s="1" t="s">
        <v>5511</v>
      </c>
      <c r="N1797" s="8" t="s">
        <v>5512</v>
      </c>
      <c r="O1797" s="1" t="s">
        <v>5513</v>
      </c>
      <c r="P1797" s="5">
        <f>XLOOKUP(R1797, classification!C:C, classification!B:B, "Not Found")</f>
      </c>
      <c r="Q1797" s="1" t="s">
        <v>5514</v>
      </c>
      <c r="R1797" s="2"/>
      <c r="S1797" s="2"/>
      <c r="T1797" s="2"/>
      <c r="U1797" s="2"/>
    </row>
    <row x14ac:dyDescent="0.25" r="1798" customHeight="1" ht="17.25">
      <c r="A1798" s="7">
        <v>1797</v>
      </c>
      <c r="B1798" s="1" t="s">
        <v>7202</v>
      </c>
      <c r="C1798" s="5">
        <f>CONCATENATE("PD", TEXT(A1798, "1000000"))</f>
      </c>
      <c r="D1798" s="7">
        <v>67</v>
      </c>
      <c r="E1798" s="5">
        <f>XLOOKUP(G1798, item_category!C:C, item_category!B:B, "Not Found")</f>
      </c>
      <c r="F1798" s="1" t="s">
        <v>5516</v>
      </c>
      <c r="G1798" s="5">
        <f>XLOOKUP(I1798, drug!B:B, drug!A:A, "Not Found")</f>
      </c>
      <c r="H1798" s="1" t="s">
        <v>442</v>
      </c>
      <c r="I1798" s="7">
        <v>1</v>
      </c>
      <c r="J1798" s="5">
        <f>XLOOKUP(L1798, uom!C:C, uom!B:B, "Not Found")</f>
      </c>
      <c r="K1798" s="1" t="s">
        <v>5511</v>
      </c>
      <c r="L1798" s="5">
        <f>XLOOKUP(N1798, uom!C:C, uom!B:B, "Not Found")</f>
      </c>
      <c r="M1798" s="1" t="s">
        <v>5511</v>
      </c>
      <c r="N1798" s="8" t="s">
        <v>5512</v>
      </c>
      <c r="O1798" s="1" t="s">
        <v>5513</v>
      </c>
      <c r="P1798" s="5">
        <f>XLOOKUP(R1798, classification!C:C, classification!B:B, "Not Found")</f>
      </c>
      <c r="Q1798" s="1" t="s">
        <v>5514</v>
      </c>
      <c r="R1798" s="2"/>
      <c r="S1798" s="2"/>
      <c r="T1798" s="2"/>
      <c r="U1798" s="2"/>
    </row>
    <row x14ac:dyDescent="0.25" r="1799" customHeight="1" ht="17.25">
      <c r="A1799" s="7">
        <v>1798</v>
      </c>
      <c r="B1799" s="1" t="s">
        <v>7203</v>
      </c>
      <c r="C1799" s="5">
        <f>CONCATENATE("PD", TEXT(A1799, "1000000"))</f>
      </c>
      <c r="D1799" s="7">
        <v>67</v>
      </c>
      <c r="E1799" s="5">
        <f>XLOOKUP(G1799, item_category!C:C, item_category!B:B, "Not Found")</f>
      </c>
      <c r="F1799" s="1" t="s">
        <v>5516</v>
      </c>
      <c r="G1799" s="5">
        <f>XLOOKUP(I1799, drug!B:B, drug!A:A, "Not Found")</f>
      </c>
      <c r="H1799" s="1" t="s">
        <v>442</v>
      </c>
      <c r="I1799" s="7">
        <v>1</v>
      </c>
      <c r="J1799" s="5">
        <f>XLOOKUP(L1799, uom!C:C, uom!B:B, "Not Found")</f>
      </c>
      <c r="K1799" s="1" t="s">
        <v>5511</v>
      </c>
      <c r="L1799" s="5">
        <f>XLOOKUP(N1799, uom!C:C, uom!B:B, "Not Found")</f>
      </c>
      <c r="M1799" s="1" t="s">
        <v>5511</v>
      </c>
      <c r="N1799" s="8" t="s">
        <v>5512</v>
      </c>
      <c r="O1799" s="1" t="s">
        <v>5513</v>
      </c>
      <c r="P1799" s="5">
        <f>XLOOKUP(R1799, classification!C:C, classification!B:B, "Not Found")</f>
      </c>
      <c r="Q1799" s="1" t="s">
        <v>5514</v>
      </c>
      <c r="R1799" s="2"/>
      <c r="S1799" s="2"/>
      <c r="T1799" s="2"/>
      <c r="U1799" s="2"/>
    </row>
    <row x14ac:dyDescent="0.25" r="1800" customHeight="1" ht="17.25">
      <c r="A1800" s="7">
        <v>1799</v>
      </c>
      <c r="B1800" s="1" t="s">
        <v>7204</v>
      </c>
      <c r="C1800" s="5">
        <f>CONCATENATE("PD", TEXT(A1800, "1000000"))</f>
      </c>
      <c r="D1800" s="7">
        <v>67</v>
      </c>
      <c r="E1800" s="5">
        <f>XLOOKUP(G1800, item_category!C:C, item_category!B:B, "Not Found")</f>
      </c>
      <c r="F1800" s="1" t="s">
        <v>5516</v>
      </c>
      <c r="G1800" s="5">
        <f>XLOOKUP(I1800, drug!B:B, drug!A:A, "Not Found")</f>
      </c>
      <c r="H1800" s="1" t="s">
        <v>504</v>
      </c>
      <c r="I1800" s="7">
        <v>400</v>
      </c>
      <c r="J1800" s="5">
        <f>XLOOKUP(L1800, uom!C:C, uom!B:B, "Not Found")</f>
      </c>
      <c r="K1800" s="1" t="s">
        <v>5602</v>
      </c>
      <c r="L1800" s="5">
        <f>XLOOKUP(N1800, uom!C:C, uom!B:B, "Not Found")</f>
      </c>
      <c r="M1800" s="1" t="s">
        <v>5602</v>
      </c>
      <c r="N1800" s="8" t="s">
        <v>5524</v>
      </c>
      <c r="O1800" s="1" t="s">
        <v>5525</v>
      </c>
      <c r="P1800" s="5">
        <f>XLOOKUP(R1800, classification!C:C, classification!B:B, "Not Found")</f>
      </c>
      <c r="Q1800" s="1" t="s">
        <v>5514</v>
      </c>
      <c r="R1800" s="2"/>
      <c r="S1800" s="2"/>
      <c r="T1800" s="2"/>
      <c r="U1800" s="2"/>
    </row>
    <row x14ac:dyDescent="0.25" r="1801" customHeight="1" ht="17.25">
      <c r="A1801" s="7">
        <v>1800</v>
      </c>
      <c r="B1801" s="1" t="s">
        <v>7205</v>
      </c>
      <c r="C1801" s="5">
        <f>CONCATENATE("PD", TEXT(A1801, "1000000"))</f>
      </c>
      <c r="D1801" s="7">
        <v>67</v>
      </c>
      <c r="E1801" s="5">
        <f>XLOOKUP(G1801, item_category!C:C, item_category!B:B, "Not Found")</f>
      </c>
      <c r="F1801" s="1" t="s">
        <v>5516</v>
      </c>
      <c r="G1801" s="5">
        <f>XLOOKUP(I1801, drug!B:B, drug!A:A, "Not Found")</f>
      </c>
      <c r="H1801" s="1" t="s">
        <v>504</v>
      </c>
      <c r="I1801" s="7">
        <v>1</v>
      </c>
      <c r="J1801" s="5">
        <f>XLOOKUP(L1801, uom!C:C, uom!B:B, "Not Found")</f>
      </c>
      <c r="K1801" s="1" t="s">
        <v>5511</v>
      </c>
      <c r="L1801" s="5">
        <f>XLOOKUP(N1801, uom!C:C, uom!B:B, "Not Found")</f>
      </c>
      <c r="M1801" s="1" t="s">
        <v>5511</v>
      </c>
      <c r="N1801" s="8" t="s">
        <v>5512</v>
      </c>
      <c r="O1801" s="1" t="s">
        <v>5513</v>
      </c>
      <c r="P1801" s="5">
        <f>XLOOKUP(R1801, classification!C:C, classification!B:B, "Not Found")</f>
      </c>
      <c r="Q1801" s="1" t="s">
        <v>5514</v>
      </c>
      <c r="R1801" s="2"/>
      <c r="S1801" s="2"/>
      <c r="T1801" s="2"/>
      <c r="U1801" s="2"/>
    </row>
    <row x14ac:dyDescent="0.25" r="1802" customHeight="1" ht="17.25">
      <c r="A1802" s="7">
        <v>1801</v>
      </c>
      <c r="B1802" s="1" t="s">
        <v>7206</v>
      </c>
      <c r="C1802" s="5">
        <f>CONCATENATE("PD", TEXT(A1802, "1000000"))</f>
      </c>
      <c r="D1802" s="7">
        <v>67</v>
      </c>
      <c r="E1802" s="5">
        <f>XLOOKUP(G1802, item_category!C:C, item_category!B:B, "Not Found")</f>
      </c>
      <c r="F1802" s="1" t="s">
        <v>5516</v>
      </c>
      <c r="G1802" s="5">
        <f>XLOOKUP(I1802, drug!B:B, drug!A:A, "Not Found")</f>
      </c>
      <c r="H1802" s="1"/>
      <c r="I1802" s="7">
        <v>1</v>
      </c>
      <c r="J1802" s="5">
        <f>XLOOKUP(L1802, uom!C:C, uom!B:B, "Not Found")</f>
      </c>
      <c r="K1802" s="1" t="s">
        <v>5511</v>
      </c>
      <c r="L1802" s="5">
        <f>XLOOKUP(N1802, uom!C:C, uom!B:B, "Not Found")</f>
      </c>
      <c r="M1802" s="1" t="s">
        <v>5511</v>
      </c>
      <c r="N1802" s="8" t="s">
        <v>5512</v>
      </c>
      <c r="O1802" s="1" t="s">
        <v>5513</v>
      </c>
      <c r="P1802" s="5">
        <f>XLOOKUP(R1802, classification!C:C, classification!B:B, "Not Found")</f>
      </c>
      <c r="Q1802" s="1" t="s">
        <v>5514</v>
      </c>
      <c r="R1802" s="2"/>
      <c r="S1802" s="2"/>
      <c r="T1802" s="2"/>
      <c r="U1802" s="2"/>
    </row>
    <row x14ac:dyDescent="0.25" r="1803" customHeight="1" ht="17.25">
      <c r="A1803" s="7">
        <v>1802</v>
      </c>
      <c r="B1803" s="1" t="s">
        <v>7207</v>
      </c>
      <c r="C1803" s="5">
        <f>CONCATENATE("PD", TEXT(A1803, "1000000"))</f>
      </c>
      <c r="D1803" s="7">
        <v>67</v>
      </c>
      <c r="E1803" s="5">
        <f>XLOOKUP(G1803, item_category!C:C, item_category!B:B, "Not Found")</f>
      </c>
      <c r="F1803" s="1" t="s">
        <v>5516</v>
      </c>
      <c r="G1803" s="5">
        <f>XLOOKUP(I1803, drug!B:B, drug!A:A, "Not Found")</f>
      </c>
      <c r="H1803" s="1"/>
      <c r="I1803" s="7">
        <v>1</v>
      </c>
      <c r="J1803" s="5">
        <f>XLOOKUP(L1803, uom!C:C, uom!B:B, "Not Found")</f>
      </c>
      <c r="K1803" s="1" t="s">
        <v>5511</v>
      </c>
      <c r="L1803" s="5">
        <f>XLOOKUP(N1803, uom!C:C, uom!B:B, "Not Found")</f>
      </c>
      <c r="M1803" s="1" t="s">
        <v>5511</v>
      </c>
      <c r="N1803" s="8" t="s">
        <v>5512</v>
      </c>
      <c r="O1803" s="1" t="s">
        <v>5513</v>
      </c>
      <c r="P1803" s="5">
        <f>XLOOKUP(R1803, classification!C:C, classification!B:B, "Not Found")</f>
      </c>
      <c r="Q1803" s="1" t="s">
        <v>5514</v>
      </c>
      <c r="R1803" s="2"/>
      <c r="S1803" s="2"/>
      <c r="T1803" s="2"/>
      <c r="U1803" s="2"/>
    </row>
    <row x14ac:dyDescent="0.25" r="1804" customHeight="1" ht="17.25">
      <c r="A1804" s="7">
        <v>1803</v>
      </c>
      <c r="B1804" s="1" t="s">
        <v>7208</v>
      </c>
      <c r="C1804" s="5">
        <f>CONCATENATE("PD", TEXT(A1804, "1000000"))</f>
      </c>
      <c r="D1804" s="7">
        <v>67</v>
      </c>
      <c r="E1804" s="5">
        <f>XLOOKUP(G1804, item_category!C:C, item_category!B:B, "Not Found")</f>
      </c>
      <c r="F1804" s="1" t="s">
        <v>5516</v>
      </c>
      <c r="G1804" s="5">
        <f>XLOOKUP(I1804, drug!B:B, drug!A:A, "Not Found")</f>
      </c>
      <c r="H1804" s="1"/>
      <c r="I1804" s="7">
        <v>1</v>
      </c>
      <c r="J1804" s="5">
        <f>XLOOKUP(L1804, uom!C:C, uom!B:B, "Not Found")</f>
      </c>
      <c r="K1804" s="1" t="s">
        <v>5511</v>
      </c>
      <c r="L1804" s="5">
        <f>XLOOKUP(N1804, uom!C:C, uom!B:B, "Not Found")</f>
      </c>
      <c r="M1804" s="1" t="s">
        <v>5511</v>
      </c>
      <c r="N1804" s="8" t="s">
        <v>5512</v>
      </c>
      <c r="O1804" s="1" t="s">
        <v>5513</v>
      </c>
      <c r="P1804" s="5">
        <f>XLOOKUP(R1804, classification!C:C, classification!B:B, "Not Found")</f>
      </c>
      <c r="Q1804" s="1" t="s">
        <v>5514</v>
      </c>
      <c r="R1804" s="2"/>
      <c r="S1804" s="2"/>
      <c r="T1804" s="2"/>
      <c r="U1804" s="2"/>
    </row>
    <row x14ac:dyDescent="0.25" r="1805" customHeight="1" ht="17.25">
      <c r="A1805" s="7">
        <v>1804</v>
      </c>
      <c r="B1805" s="1" t="s">
        <v>7209</v>
      </c>
      <c r="C1805" s="5">
        <f>CONCATENATE("PD", TEXT(A1805, "1000000"))</f>
      </c>
      <c r="D1805" s="7">
        <v>67</v>
      </c>
      <c r="E1805" s="5">
        <f>XLOOKUP(G1805, item_category!C:C, item_category!B:B, "Not Found")</f>
      </c>
      <c r="F1805" s="1" t="s">
        <v>5516</v>
      </c>
      <c r="G1805" s="5">
        <f>XLOOKUP(I1805, drug!B:B, drug!A:A, "Not Found")</f>
      </c>
      <c r="H1805" s="1"/>
      <c r="I1805" s="7">
        <v>1</v>
      </c>
      <c r="J1805" s="5">
        <f>XLOOKUP(L1805, uom!C:C, uom!B:B, "Not Found")</f>
      </c>
      <c r="K1805" s="1" t="s">
        <v>5511</v>
      </c>
      <c r="L1805" s="5">
        <f>XLOOKUP(N1805, uom!C:C, uom!B:B, "Not Found")</f>
      </c>
      <c r="M1805" s="1" t="s">
        <v>5511</v>
      </c>
      <c r="N1805" s="8" t="s">
        <v>5512</v>
      </c>
      <c r="O1805" s="1" t="s">
        <v>5513</v>
      </c>
      <c r="P1805" s="5">
        <f>XLOOKUP(R1805, classification!C:C, classification!B:B, "Not Found")</f>
      </c>
      <c r="Q1805" s="1" t="s">
        <v>5514</v>
      </c>
      <c r="R1805" s="2"/>
      <c r="S1805" s="2"/>
      <c r="T1805" s="2"/>
      <c r="U1805" s="2"/>
    </row>
    <row x14ac:dyDescent="0.25" r="1806" customHeight="1" ht="17.25">
      <c r="A1806" s="7">
        <v>1805</v>
      </c>
      <c r="B1806" s="1" t="s">
        <v>7210</v>
      </c>
      <c r="C1806" s="5">
        <f>CONCATENATE("PD", TEXT(A1806, "1000000"))</f>
      </c>
      <c r="D1806" s="7">
        <v>67</v>
      </c>
      <c r="E1806" s="5">
        <f>XLOOKUP(G1806, item_category!C:C, item_category!B:B, "Not Found")</f>
      </c>
      <c r="F1806" s="1" t="s">
        <v>5516</v>
      </c>
      <c r="G1806" s="5">
        <f>XLOOKUP(I1806, drug!B:B, drug!A:A, "Not Found")</f>
      </c>
      <c r="H1806" s="1"/>
      <c r="I1806" s="7">
        <v>1</v>
      </c>
      <c r="J1806" s="5">
        <f>XLOOKUP(L1806, uom!C:C, uom!B:B, "Not Found")</f>
      </c>
      <c r="K1806" s="1" t="s">
        <v>5511</v>
      </c>
      <c r="L1806" s="5">
        <f>XLOOKUP(N1806, uom!C:C, uom!B:B, "Not Found")</f>
      </c>
      <c r="M1806" s="1" t="s">
        <v>5511</v>
      </c>
      <c r="N1806" s="8" t="s">
        <v>5512</v>
      </c>
      <c r="O1806" s="1" t="s">
        <v>5513</v>
      </c>
      <c r="P1806" s="5">
        <f>XLOOKUP(R1806, classification!C:C, classification!B:B, "Not Found")</f>
      </c>
      <c r="Q1806" s="1" t="s">
        <v>5514</v>
      </c>
      <c r="R1806" s="2"/>
      <c r="S1806" s="2"/>
      <c r="T1806" s="2"/>
      <c r="U1806" s="2"/>
    </row>
    <row x14ac:dyDescent="0.25" r="1807" customHeight="1" ht="17.25">
      <c r="A1807" s="7">
        <v>1806</v>
      </c>
      <c r="B1807" s="1" t="s">
        <v>7211</v>
      </c>
      <c r="C1807" s="5">
        <f>CONCATENATE("PD", TEXT(A1807, "1000000"))</f>
      </c>
      <c r="D1807" s="7">
        <v>67</v>
      </c>
      <c r="E1807" s="5">
        <f>XLOOKUP(G1807, item_category!C:C, item_category!B:B, "Not Found")</f>
      </c>
      <c r="F1807" s="1" t="s">
        <v>5516</v>
      </c>
      <c r="G1807" s="5">
        <f>XLOOKUP(I1807, drug!B:B, drug!A:A, "Not Found")</f>
      </c>
      <c r="H1807" s="1" t="s">
        <v>461</v>
      </c>
      <c r="I1807" s="7">
        <v>1</v>
      </c>
      <c r="J1807" s="5">
        <f>XLOOKUP(L1807, uom!C:C, uom!B:B, "Not Found")</f>
      </c>
      <c r="K1807" s="1" t="s">
        <v>7212</v>
      </c>
      <c r="L1807" s="5">
        <f>XLOOKUP(N1807, uom!C:C, uom!B:B, "Not Found")</f>
      </c>
      <c r="M1807" s="1" t="s">
        <v>7212</v>
      </c>
      <c r="N1807" s="8" t="s">
        <v>5512</v>
      </c>
      <c r="O1807" s="1" t="s">
        <v>5513</v>
      </c>
      <c r="P1807" s="5">
        <f>XLOOKUP(R1807, classification!C:C, classification!B:B, "Not Found")</f>
      </c>
      <c r="Q1807" s="1" t="s">
        <v>5514</v>
      </c>
      <c r="R1807" s="2"/>
      <c r="S1807" s="2"/>
      <c r="T1807" s="2"/>
      <c r="U1807" s="2"/>
    </row>
    <row x14ac:dyDescent="0.25" r="1808" customHeight="1" ht="17.25">
      <c r="A1808" s="7">
        <v>1807</v>
      </c>
      <c r="B1808" s="1" t="s">
        <v>7213</v>
      </c>
      <c r="C1808" s="5">
        <f>CONCATENATE("PD", TEXT(A1808, "1000000"))</f>
      </c>
      <c r="D1808" s="7">
        <v>67</v>
      </c>
      <c r="E1808" s="5">
        <f>XLOOKUP(G1808, item_category!C:C, item_category!B:B, "Not Found")</f>
      </c>
      <c r="F1808" s="1" t="s">
        <v>5516</v>
      </c>
      <c r="G1808" s="5">
        <f>XLOOKUP(I1808, drug!B:B, drug!A:A, "Not Found")</f>
      </c>
      <c r="H1808" s="1"/>
      <c r="I1808" s="7">
        <v>1</v>
      </c>
      <c r="J1808" s="5">
        <f>XLOOKUP(L1808, uom!C:C, uom!B:B, "Not Found")</f>
      </c>
      <c r="K1808" s="1" t="s">
        <v>5602</v>
      </c>
      <c r="L1808" s="5">
        <f>XLOOKUP(N1808, uom!C:C, uom!B:B, "Not Found")</f>
      </c>
      <c r="M1808" s="1" t="s">
        <v>5602</v>
      </c>
      <c r="N1808" s="8" t="s">
        <v>5524</v>
      </c>
      <c r="O1808" s="1" t="s">
        <v>5525</v>
      </c>
      <c r="P1808" s="5">
        <f>XLOOKUP(R1808, classification!C:C, classification!B:B, "Not Found")</f>
      </c>
      <c r="Q1808" s="1" t="s">
        <v>5514</v>
      </c>
      <c r="R1808" s="2"/>
      <c r="S1808" s="2"/>
      <c r="T1808" s="2"/>
      <c r="U1808" s="2"/>
    </row>
    <row x14ac:dyDescent="0.25" r="1809" customHeight="1" ht="17.25">
      <c r="A1809" s="7">
        <v>1808</v>
      </c>
      <c r="B1809" s="1" t="s">
        <v>7214</v>
      </c>
      <c r="C1809" s="5">
        <f>CONCATENATE("PD", TEXT(A1809, "1000000"))</f>
      </c>
      <c r="D1809" s="7">
        <v>67</v>
      </c>
      <c r="E1809" s="5">
        <f>XLOOKUP(G1809, item_category!C:C, item_category!B:B, "Not Found")</f>
      </c>
      <c r="F1809" s="1" t="s">
        <v>5516</v>
      </c>
      <c r="G1809" s="5">
        <f>XLOOKUP(I1809, drug!B:B, drug!A:A, "Not Found")</f>
      </c>
      <c r="H1809" s="1"/>
      <c r="I1809" s="7">
        <v>1</v>
      </c>
      <c r="J1809" s="5">
        <f>XLOOKUP(L1809, uom!C:C, uom!B:B, "Not Found")</f>
      </c>
      <c r="K1809" s="1" t="s">
        <v>5511</v>
      </c>
      <c r="L1809" s="5">
        <f>XLOOKUP(N1809, uom!C:C, uom!B:B, "Not Found")</f>
      </c>
      <c r="M1809" s="1" t="s">
        <v>5511</v>
      </c>
      <c r="N1809" s="8" t="s">
        <v>5512</v>
      </c>
      <c r="O1809" s="1" t="s">
        <v>5513</v>
      </c>
      <c r="P1809" s="5">
        <f>XLOOKUP(R1809, classification!C:C, classification!B:B, "Not Found")</f>
      </c>
      <c r="Q1809" s="1" t="s">
        <v>5514</v>
      </c>
      <c r="R1809" s="2"/>
      <c r="S1809" s="2"/>
      <c r="T1809" s="2"/>
      <c r="U1809" s="2"/>
    </row>
    <row x14ac:dyDescent="0.25" r="1810" customHeight="1" ht="17.25">
      <c r="A1810" s="7">
        <v>1809</v>
      </c>
      <c r="B1810" s="1" t="s">
        <v>7215</v>
      </c>
      <c r="C1810" s="5">
        <f>CONCATENATE("PD", TEXT(A1810, "1000000"))</f>
      </c>
      <c r="D1810" s="7">
        <v>67</v>
      </c>
      <c r="E1810" s="5">
        <f>XLOOKUP(G1810, item_category!C:C, item_category!B:B, "Not Found")</f>
      </c>
      <c r="F1810" s="1" t="s">
        <v>5516</v>
      </c>
      <c r="G1810" s="5">
        <f>XLOOKUP(I1810, drug!B:B, drug!A:A, "Not Found")</f>
      </c>
      <c r="H1810" s="1" t="s">
        <v>676</v>
      </c>
      <c r="I1810" s="7">
        <v>1</v>
      </c>
      <c r="J1810" s="5">
        <f>XLOOKUP(L1810, uom!C:C, uom!B:B, "Not Found")</f>
      </c>
      <c r="K1810" s="1" t="s">
        <v>5511</v>
      </c>
      <c r="L1810" s="5">
        <f>XLOOKUP(N1810, uom!C:C, uom!B:B, "Not Found")</f>
      </c>
      <c r="M1810" s="1" t="s">
        <v>5511</v>
      </c>
      <c r="N1810" s="8" t="s">
        <v>5512</v>
      </c>
      <c r="O1810" s="1" t="s">
        <v>5513</v>
      </c>
      <c r="P1810" s="5">
        <f>XLOOKUP(R1810, classification!C:C, classification!B:B, "Not Found")</f>
      </c>
      <c r="Q1810" s="1" t="s">
        <v>5514</v>
      </c>
      <c r="R1810" s="2"/>
      <c r="S1810" s="2"/>
      <c r="T1810" s="2"/>
      <c r="U1810" s="2"/>
    </row>
    <row x14ac:dyDescent="0.25" r="1811" customHeight="1" ht="17.25">
      <c r="A1811" s="7">
        <v>1810</v>
      </c>
      <c r="B1811" s="1" t="s">
        <v>7216</v>
      </c>
      <c r="C1811" s="5">
        <f>CONCATENATE("PD", TEXT(A1811, "1000000"))</f>
      </c>
      <c r="D1811" s="7">
        <v>67</v>
      </c>
      <c r="E1811" s="5">
        <f>XLOOKUP(G1811, item_category!C:C, item_category!B:B, "Not Found")</f>
      </c>
      <c r="F1811" s="1" t="s">
        <v>5516</v>
      </c>
      <c r="G1811" s="5">
        <f>XLOOKUP(I1811, drug!B:B, drug!A:A, "Not Found")</f>
      </c>
      <c r="H1811" s="1" t="s">
        <v>676</v>
      </c>
      <c r="I1811" s="7">
        <v>1</v>
      </c>
      <c r="J1811" s="5">
        <f>XLOOKUP(L1811, uom!C:C, uom!B:B, "Not Found")</f>
      </c>
      <c r="K1811" s="1" t="s">
        <v>5511</v>
      </c>
      <c r="L1811" s="5">
        <f>XLOOKUP(N1811, uom!C:C, uom!B:B, "Not Found")</f>
      </c>
      <c r="M1811" s="1" t="s">
        <v>5511</v>
      </c>
      <c r="N1811" s="8" t="s">
        <v>5512</v>
      </c>
      <c r="O1811" s="1" t="s">
        <v>5513</v>
      </c>
      <c r="P1811" s="5">
        <f>XLOOKUP(R1811, classification!C:C, classification!B:B, "Not Found")</f>
      </c>
      <c r="Q1811" s="1" t="s">
        <v>5514</v>
      </c>
      <c r="R1811" s="2"/>
      <c r="S1811" s="2"/>
      <c r="T1811" s="2"/>
      <c r="U1811" s="2"/>
    </row>
    <row x14ac:dyDescent="0.25" r="1812" customHeight="1" ht="17.25">
      <c r="A1812" s="7">
        <v>1811</v>
      </c>
      <c r="B1812" s="1" t="s">
        <v>7217</v>
      </c>
      <c r="C1812" s="5">
        <f>CONCATENATE("PD", TEXT(A1812, "1000000"))</f>
      </c>
      <c r="D1812" s="7">
        <v>67</v>
      </c>
      <c r="E1812" s="5">
        <f>XLOOKUP(G1812, item_category!C:C, item_category!B:B, "Not Found")</f>
      </c>
      <c r="F1812" s="1" t="s">
        <v>5516</v>
      </c>
      <c r="G1812" s="5">
        <f>XLOOKUP(I1812, drug!B:B, drug!A:A, "Not Found")</f>
      </c>
      <c r="H1812" s="1" t="s">
        <v>1402</v>
      </c>
      <c r="I1812" s="7">
        <v>1</v>
      </c>
      <c r="J1812" s="5">
        <f>XLOOKUP(L1812, uom!C:C, uom!B:B, "Not Found")</f>
      </c>
      <c r="K1812" s="1" t="s">
        <v>5511</v>
      </c>
      <c r="L1812" s="5">
        <f>XLOOKUP(N1812, uom!C:C, uom!B:B, "Not Found")</f>
      </c>
      <c r="M1812" s="1" t="s">
        <v>5511</v>
      </c>
      <c r="N1812" s="8" t="s">
        <v>5512</v>
      </c>
      <c r="O1812" s="1" t="s">
        <v>5513</v>
      </c>
      <c r="P1812" s="5">
        <f>XLOOKUP(R1812, classification!C:C, classification!B:B, "Not Found")</f>
      </c>
      <c r="Q1812" s="1" t="s">
        <v>5514</v>
      </c>
      <c r="R1812" s="2"/>
      <c r="S1812" s="2"/>
      <c r="T1812" s="2"/>
      <c r="U1812" s="2"/>
    </row>
    <row x14ac:dyDescent="0.25" r="1813" customHeight="1" ht="17.25">
      <c r="A1813" s="7">
        <v>1812</v>
      </c>
      <c r="B1813" s="1" t="s">
        <v>7218</v>
      </c>
      <c r="C1813" s="5">
        <f>CONCATENATE("PD", TEXT(A1813, "1000000"))</f>
      </c>
      <c r="D1813" s="7">
        <v>67</v>
      </c>
      <c r="E1813" s="5">
        <f>XLOOKUP(G1813, item_category!C:C, item_category!B:B, "Not Found")</f>
      </c>
      <c r="F1813" s="1" t="s">
        <v>5516</v>
      </c>
      <c r="G1813" s="5">
        <f>XLOOKUP(I1813, drug!B:B, drug!A:A, "Not Found")</f>
      </c>
      <c r="H1813" s="1"/>
      <c r="I1813" s="7">
        <v>1</v>
      </c>
      <c r="J1813" s="5">
        <f>XLOOKUP(L1813, uom!C:C, uom!B:B, "Not Found")</f>
      </c>
      <c r="K1813" s="1" t="s">
        <v>5511</v>
      </c>
      <c r="L1813" s="5">
        <f>XLOOKUP(N1813, uom!C:C, uom!B:B, "Not Found")</f>
      </c>
      <c r="M1813" s="1" t="s">
        <v>5511</v>
      </c>
      <c r="N1813" s="8" t="s">
        <v>5512</v>
      </c>
      <c r="O1813" s="1" t="s">
        <v>5513</v>
      </c>
      <c r="P1813" s="5">
        <f>XLOOKUP(R1813, classification!C:C, classification!B:B, "Not Found")</f>
      </c>
      <c r="Q1813" s="1" t="s">
        <v>5514</v>
      </c>
      <c r="R1813" s="2"/>
      <c r="S1813" s="2"/>
      <c r="T1813" s="2"/>
      <c r="U1813" s="2"/>
    </row>
    <row x14ac:dyDescent="0.25" r="1814" customHeight="1" ht="17.25">
      <c r="A1814" s="7">
        <v>1813</v>
      </c>
      <c r="B1814" s="1" t="s">
        <v>7219</v>
      </c>
      <c r="C1814" s="5">
        <f>CONCATENATE("PD", TEXT(A1814, "1000000"))</f>
      </c>
      <c r="D1814" s="7">
        <v>67</v>
      </c>
      <c r="E1814" s="5">
        <f>XLOOKUP(G1814, item_category!C:C, item_category!B:B, "Not Found")</f>
      </c>
      <c r="F1814" s="1" t="s">
        <v>5516</v>
      </c>
      <c r="G1814" s="5">
        <f>XLOOKUP(I1814, drug!B:B, drug!A:A, "Not Found")</f>
      </c>
      <c r="H1814" s="1"/>
      <c r="I1814" s="7">
        <v>1</v>
      </c>
      <c r="J1814" s="5">
        <f>XLOOKUP(L1814, uom!C:C, uom!B:B, "Not Found")</f>
      </c>
      <c r="K1814" s="1" t="s">
        <v>5511</v>
      </c>
      <c r="L1814" s="5">
        <f>XLOOKUP(N1814, uom!C:C, uom!B:B, "Not Found")</f>
      </c>
      <c r="M1814" s="1" t="s">
        <v>5511</v>
      </c>
      <c r="N1814" s="8" t="s">
        <v>5512</v>
      </c>
      <c r="O1814" s="1" t="s">
        <v>5513</v>
      </c>
      <c r="P1814" s="5">
        <f>XLOOKUP(R1814, classification!C:C, classification!B:B, "Not Found")</f>
      </c>
      <c r="Q1814" s="1" t="s">
        <v>5514</v>
      </c>
      <c r="R1814" s="2"/>
      <c r="S1814" s="2"/>
      <c r="T1814" s="2"/>
      <c r="U1814" s="2"/>
    </row>
    <row x14ac:dyDescent="0.25" r="1815" customHeight="1" ht="17.25">
      <c r="A1815" s="7">
        <v>1814</v>
      </c>
      <c r="B1815" s="1" t="s">
        <v>7220</v>
      </c>
      <c r="C1815" s="5">
        <f>CONCATENATE("PD", TEXT(A1815, "1000000"))</f>
      </c>
      <c r="D1815" s="7">
        <v>67</v>
      </c>
      <c r="E1815" s="5">
        <f>XLOOKUP(G1815, item_category!C:C, item_category!B:B, "Not Found")</f>
      </c>
      <c r="F1815" s="1" t="s">
        <v>5516</v>
      </c>
      <c r="G1815" s="5">
        <f>XLOOKUP(I1815, drug!B:B, drug!A:A, "Not Found")</f>
      </c>
      <c r="H1815" s="1"/>
      <c r="I1815" s="7">
        <v>1</v>
      </c>
      <c r="J1815" s="5">
        <f>XLOOKUP(L1815, uom!C:C, uom!B:B, "Not Found")</f>
      </c>
      <c r="K1815" s="1" t="s">
        <v>5511</v>
      </c>
      <c r="L1815" s="5">
        <f>XLOOKUP(N1815, uom!C:C, uom!B:B, "Not Found")</f>
      </c>
      <c r="M1815" s="1" t="s">
        <v>5511</v>
      </c>
      <c r="N1815" s="8" t="s">
        <v>5512</v>
      </c>
      <c r="O1815" s="1" t="s">
        <v>5513</v>
      </c>
      <c r="P1815" s="5">
        <f>XLOOKUP(R1815, classification!C:C, classification!B:B, "Not Found")</f>
      </c>
      <c r="Q1815" s="1" t="s">
        <v>5514</v>
      </c>
      <c r="R1815" s="2"/>
      <c r="S1815" s="2"/>
      <c r="T1815" s="2"/>
      <c r="U1815" s="2"/>
    </row>
    <row x14ac:dyDescent="0.25" r="1816" customHeight="1" ht="17.25">
      <c r="A1816" s="7">
        <v>1815</v>
      </c>
      <c r="B1816" s="1" t="s">
        <v>7221</v>
      </c>
      <c r="C1816" s="5">
        <f>CONCATENATE("PD", TEXT(A1816, "1000000"))</f>
      </c>
      <c r="D1816" s="7">
        <v>67</v>
      </c>
      <c r="E1816" s="5">
        <f>XLOOKUP(G1816, item_category!C:C, item_category!B:B, "Not Found")</f>
      </c>
      <c r="F1816" s="1" t="s">
        <v>5516</v>
      </c>
      <c r="G1816" s="5">
        <f>XLOOKUP(I1816, drug!B:B, drug!A:A, "Not Found")</f>
      </c>
      <c r="H1816" s="1"/>
      <c r="I1816" s="7">
        <v>1</v>
      </c>
      <c r="J1816" s="5">
        <f>XLOOKUP(L1816, uom!C:C, uom!B:B, "Not Found")</f>
      </c>
      <c r="K1816" s="1" t="s">
        <v>5511</v>
      </c>
      <c r="L1816" s="5">
        <f>XLOOKUP(N1816, uom!C:C, uom!B:B, "Not Found")</f>
      </c>
      <c r="M1816" s="1" t="s">
        <v>5511</v>
      </c>
      <c r="N1816" s="8" t="s">
        <v>5512</v>
      </c>
      <c r="O1816" s="1" t="s">
        <v>5513</v>
      </c>
      <c r="P1816" s="5">
        <f>XLOOKUP(R1816, classification!C:C, classification!B:B, "Not Found")</f>
      </c>
      <c r="Q1816" s="1" t="s">
        <v>5514</v>
      </c>
      <c r="R1816" s="2"/>
      <c r="S1816" s="2"/>
      <c r="T1816" s="2"/>
      <c r="U1816" s="2"/>
    </row>
    <row x14ac:dyDescent="0.25" r="1817" customHeight="1" ht="17.25">
      <c r="A1817" s="7">
        <v>1816</v>
      </c>
      <c r="B1817" s="1" t="s">
        <v>7222</v>
      </c>
      <c r="C1817" s="5">
        <f>CONCATENATE("PD", TEXT(A1817, "1000000"))</f>
      </c>
      <c r="D1817" s="7">
        <v>67</v>
      </c>
      <c r="E1817" s="5">
        <f>XLOOKUP(G1817, item_category!C:C, item_category!B:B, "Not Found")</f>
      </c>
      <c r="F1817" s="1" t="s">
        <v>5516</v>
      </c>
      <c r="G1817" s="5">
        <f>XLOOKUP(I1817, drug!B:B, drug!A:A, "Not Found")</f>
      </c>
      <c r="H1817" s="1"/>
      <c r="I1817" s="7">
        <v>1</v>
      </c>
      <c r="J1817" s="5">
        <f>XLOOKUP(L1817, uom!C:C, uom!B:B, "Not Found")</f>
      </c>
      <c r="K1817" s="1" t="s">
        <v>5511</v>
      </c>
      <c r="L1817" s="5">
        <f>XLOOKUP(N1817, uom!C:C, uom!B:B, "Not Found")</f>
      </c>
      <c r="M1817" s="1" t="s">
        <v>5511</v>
      </c>
      <c r="N1817" s="8" t="s">
        <v>5512</v>
      </c>
      <c r="O1817" s="1" t="s">
        <v>5513</v>
      </c>
      <c r="P1817" s="5">
        <f>XLOOKUP(R1817, classification!C:C, classification!B:B, "Not Found")</f>
      </c>
      <c r="Q1817" s="1" t="s">
        <v>5514</v>
      </c>
      <c r="R1817" s="2"/>
      <c r="S1817" s="2"/>
      <c r="T1817" s="2"/>
      <c r="U1817" s="2"/>
    </row>
    <row x14ac:dyDescent="0.25" r="1818" customHeight="1" ht="17.25">
      <c r="A1818" s="7">
        <v>1817</v>
      </c>
      <c r="B1818" s="1" t="s">
        <v>7223</v>
      </c>
      <c r="C1818" s="5">
        <f>CONCATENATE("PD", TEXT(A1818, "1000000"))</f>
      </c>
      <c r="D1818" s="7">
        <v>67</v>
      </c>
      <c r="E1818" s="5">
        <f>XLOOKUP(G1818, item_category!C:C, item_category!B:B, "Not Found")</f>
      </c>
      <c r="F1818" s="1" t="s">
        <v>5516</v>
      </c>
      <c r="G1818" s="5">
        <f>XLOOKUP(I1818, drug!B:B, drug!A:A, "Not Found")</f>
      </c>
      <c r="H1818" s="1"/>
      <c r="I1818" s="7">
        <v>1</v>
      </c>
      <c r="J1818" s="5">
        <f>XLOOKUP(L1818, uom!C:C, uom!B:B, "Not Found")</f>
      </c>
      <c r="K1818" s="1" t="s">
        <v>5511</v>
      </c>
      <c r="L1818" s="5">
        <f>XLOOKUP(N1818, uom!C:C, uom!B:B, "Not Found")</f>
      </c>
      <c r="M1818" s="1" t="s">
        <v>5511</v>
      </c>
      <c r="N1818" s="8" t="s">
        <v>5512</v>
      </c>
      <c r="O1818" s="1" t="s">
        <v>5513</v>
      </c>
      <c r="P1818" s="5">
        <f>XLOOKUP(R1818, classification!C:C, classification!B:B, "Not Found")</f>
      </c>
      <c r="Q1818" s="1" t="s">
        <v>5514</v>
      </c>
      <c r="R1818" s="2"/>
      <c r="S1818" s="2"/>
      <c r="T1818" s="2"/>
      <c r="U1818" s="2"/>
    </row>
    <row x14ac:dyDescent="0.25" r="1819" customHeight="1" ht="17.25">
      <c r="A1819" s="7">
        <v>1818</v>
      </c>
      <c r="B1819" s="1" t="s">
        <v>7224</v>
      </c>
      <c r="C1819" s="5">
        <f>CONCATENATE("PD", TEXT(A1819, "1000000"))</f>
      </c>
      <c r="D1819" s="7">
        <v>67</v>
      </c>
      <c r="E1819" s="5">
        <f>XLOOKUP(G1819, item_category!C:C, item_category!B:B, "Not Found")</f>
      </c>
      <c r="F1819" s="1" t="s">
        <v>5516</v>
      </c>
      <c r="G1819" s="5">
        <f>XLOOKUP(I1819, drug!B:B, drug!A:A, "Not Found")</f>
      </c>
      <c r="H1819" s="1"/>
      <c r="I1819" s="7">
        <v>1</v>
      </c>
      <c r="J1819" s="5">
        <f>XLOOKUP(L1819, uom!C:C, uom!B:B, "Not Found")</f>
      </c>
      <c r="K1819" s="1" t="s">
        <v>5511</v>
      </c>
      <c r="L1819" s="5">
        <f>XLOOKUP(N1819, uom!C:C, uom!B:B, "Not Found")</f>
      </c>
      <c r="M1819" s="1" t="s">
        <v>5511</v>
      </c>
      <c r="N1819" s="8" t="s">
        <v>5512</v>
      </c>
      <c r="O1819" s="1" t="s">
        <v>5513</v>
      </c>
      <c r="P1819" s="5">
        <f>XLOOKUP(R1819, classification!C:C, classification!B:B, "Not Found")</f>
      </c>
      <c r="Q1819" s="1" t="s">
        <v>5514</v>
      </c>
      <c r="R1819" s="2"/>
      <c r="S1819" s="2"/>
      <c r="T1819" s="2"/>
      <c r="U1819" s="2"/>
    </row>
    <row x14ac:dyDescent="0.25" r="1820" customHeight="1" ht="17.25">
      <c r="A1820" s="7">
        <v>1819</v>
      </c>
      <c r="B1820" s="1" t="s">
        <v>7225</v>
      </c>
      <c r="C1820" s="5">
        <f>CONCATENATE("PD", TEXT(A1820, "1000000"))</f>
      </c>
      <c r="D1820" s="7">
        <v>67</v>
      </c>
      <c r="E1820" s="5">
        <f>XLOOKUP(G1820, item_category!C:C, item_category!B:B, "Not Found")</f>
      </c>
      <c r="F1820" s="1" t="s">
        <v>5516</v>
      </c>
      <c r="G1820" s="5">
        <f>XLOOKUP(I1820, drug!B:B, drug!A:A, "Not Found")</f>
      </c>
      <c r="H1820" s="1"/>
      <c r="I1820" s="7">
        <v>1</v>
      </c>
      <c r="J1820" s="5">
        <f>XLOOKUP(L1820, uom!C:C, uom!B:B, "Not Found")</f>
      </c>
      <c r="K1820" s="1" t="s">
        <v>5511</v>
      </c>
      <c r="L1820" s="5">
        <f>XLOOKUP(N1820, uom!C:C, uom!B:B, "Not Found")</f>
      </c>
      <c r="M1820" s="1" t="s">
        <v>5511</v>
      </c>
      <c r="N1820" s="8" t="s">
        <v>5512</v>
      </c>
      <c r="O1820" s="1" t="s">
        <v>5513</v>
      </c>
      <c r="P1820" s="5">
        <f>XLOOKUP(R1820, classification!C:C, classification!B:B, "Not Found")</f>
      </c>
      <c r="Q1820" s="1" t="s">
        <v>5514</v>
      </c>
      <c r="R1820" s="2"/>
      <c r="S1820" s="2"/>
      <c r="T1820" s="2"/>
      <c r="U1820" s="2"/>
    </row>
    <row x14ac:dyDescent="0.25" r="1821" customHeight="1" ht="17.25">
      <c r="A1821" s="7">
        <v>1820</v>
      </c>
      <c r="B1821" s="1" t="s">
        <v>7226</v>
      </c>
      <c r="C1821" s="5">
        <f>CONCATENATE("PD", TEXT(A1821, "1000000"))</f>
      </c>
      <c r="D1821" s="7">
        <v>67</v>
      </c>
      <c r="E1821" s="5">
        <f>XLOOKUP(G1821, item_category!C:C, item_category!B:B, "Not Found")</f>
      </c>
      <c r="F1821" s="1" t="s">
        <v>5516</v>
      </c>
      <c r="G1821" s="5">
        <f>XLOOKUP(I1821, drug!B:B, drug!A:A, "Not Found")</f>
      </c>
      <c r="H1821" s="1"/>
      <c r="I1821" s="7">
        <v>1</v>
      </c>
      <c r="J1821" s="5">
        <f>XLOOKUP(L1821, uom!C:C, uom!B:B, "Not Found")</f>
      </c>
      <c r="K1821" s="1" t="s">
        <v>5511</v>
      </c>
      <c r="L1821" s="5">
        <f>XLOOKUP(N1821, uom!C:C, uom!B:B, "Not Found")</f>
      </c>
      <c r="M1821" s="1" t="s">
        <v>5511</v>
      </c>
      <c r="N1821" s="8" t="s">
        <v>5512</v>
      </c>
      <c r="O1821" s="1" t="s">
        <v>5513</v>
      </c>
      <c r="P1821" s="5">
        <f>XLOOKUP(R1821, classification!C:C, classification!B:B, "Not Found")</f>
      </c>
      <c r="Q1821" s="1" t="s">
        <v>5514</v>
      </c>
      <c r="R1821" s="2"/>
      <c r="S1821" s="2"/>
      <c r="T1821" s="2"/>
      <c r="U1821" s="2"/>
    </row>
    <row x14ac:dyDescent="0.25" r="1822" customHeight="1" ht="17.25">
      <c r="A1822" s="7">
        <v>1821</v>
      </c>
      <c r="B1822" s="1" t="s">
        <v>7227</v>
      </c>
      <c r="C1822" s="5">
        <f>CONCATENATE("PD", TEXT(A1822, "1000000"))</f>
      </c>
      <c r="D1822" s="7">
        <v>67</v>
      </c>
      <c r="E1822" s="5">
        <f>XLOOKUP(G1822, item_category!C:C, item_category!B:B, "Not Found")</f>
      </c>
      <c r="F1822" s="1" t="s">
        <v>5516</v>
      </c>
      <c r="G1822" s="5">
        <f>XLOOKUP(I1822, drug!B:B, drug!A:A, "Not Found")</f>
      </c>
      <c r="H1822" s="1"/>
      <c r="I1822" s="7">
        <v>1</v>
      </c>
      <c r="J1822" s="5">
        <f>XLOOKUP(L1822, uom!C:C, uom!B:B, "Not Found")</f>
      </c>
      <c r="K1822" s="1" t="s">
        <v>5511</v>
      </c>
      <c r="L1822" s="5">
        <f>XLOOKUP(N1822, uom!C:C, uom!B:B, "Not Found")</f>
      </c>
      <c r="M1822" s="1" t="s">
        <v>5511</v>
      </c>
      <c r="N1822" s="8" t="s">
        <v>5512</v>
      </c>
      <c r="O1822" s="1" t="s">
        <v>5513</v>
      </c>
      <c r="P1822" s="5">
        <f>XLOOKUP(R1822, classification!C:C, classification!B:B, "Not Found")</f>
      </c>
      <c r="Q1822" s="1" t="s">
        <v>5514</v>
      </c>
      <c r="R1822" s="2"/>
      <c r="S1822" s="2"/>
      <c r="T1822" s="2"/>
      <c r="U1822" s="2"/>
    </row>
    <row x14ac:dyDescent="0.25" r="1823" customHeight="1" ht="17.25">
      <c r="A1823" s="7">
        <v>1822</v>
      </c>
      <c r="B1823" s="1" t="s">
        <v>7228</v>
      </c>
      <c r="C1823" s="5">
        <f>CONCATENATE("PD", TEXT(A1823, "1000000"))</f>
      </c>
      <c r="D1823" s="7">
        <v>67</v>
      </c>
      <c r="E1823" s="5">
        <f>XLOOKUP(G1823, item_category!C:C, item_category!B:B, "Not Found")</f>
      </c>
      <c r="F1823" s="1" t="s">
        <v>5516</v>
      </c>
      <c r="G1823" s="5">
        <f>XLOOKUP(I1823, drug!B:B, drug!A:A, "Not Found")</f>
      </c>
      <c r="H1823" s="1"/>
      <c r="I1823" s="7">
        <v>1</v>
      </c>
      <c r="J1823" s="5">
        <f>XLOOKUP(L1823, uom!C:C, uom!B:B, "Not Found")</f>
      </c>
      <c r="K1823" s="1" t="s">
        <v>5511</v>
      </c>
      <c r="L1823" s="5">
        <f>XLOOKUP(N1823, uom!C:C, uom!B:B, "Not Found")</f>
      </c>
      <c r="M1823" s="1" t="s">
        <v>5511</v>
      </c>
      <c r="N1823" s="8" t="s">
        <v>5512</v>
      </c>
      <c r="O1823" s="1" t="s">
        <v>5513</v>
      </c>
      <c r="P1823" s="5">
        <f>XLOOKUP(R1823, classification!C:C, classification!B:B, "Not Found")</f>
      </c>
      <c r="Q1823" s="1" t="s">
        <v>5514</v>
      </c>
      <c r="R1823" s="2"/>
      <c r="S1823" s="2"/>
      <c r="T1823" s="2"/>
      <c r="U1823" s="2"/>
    </row>
    <row x14ac:dyDescent="0.25" r="1824" customHeight="1" ht="17.25">
      <c r="A1824" s="7">
        <v>1823</v>
      </c>
      <c r="B1824" s="1" t="s">
        <v>7229</v>
      </c>
      <c r="C1824" s="5">
        <f>CONCATENATE("PD", TEXT(A1824, "1000000"))</f>
      </c>
      <c r="D1824" s="7">
        <v>67</v>
      </c>
      <c r="E1824" s="5">
        <f>XLOOKUP(G1824, item_category!C:C, item_category!B:B, "Not Found")</f>
      </c>
      <c r="F1824" s="1" t="s">
        <v>5516</v>
      </c>
      <c r="G1824" s="5">
        <f>XLOOKUP(I1824, drug!B:B, drug!A:A, "Not Found")</f>
      </c>
      <c r="H1824" s="1"/>
      <c r="I1824" s="7">
        <v>1</v>
      </c>
      <c r="J1824" s="5">
        <f>XLOOKUP(L1824, uom!C:C, uom!B:B, "Not Found")</f>
      </c>
      <c r="K1824" s="1" t="s">
        <v>5511</v>
      </c>
      <c r="L1824" s="5">
        <f>XLOOKUP(N1824, uom!C:C, uom!B:B, "Not Found")</f>
      </c>
      <c r="M1824" s="1" t="s">
        <v>5511</v>
      </c>
      <c r="N1824" s="8" t="s">
        <v>5512</v>
      </c>
      <c r="O1824" s="1" t="s">
        <v>5513</v>
      </c>
      <c r="P1824" s="5">
        <f>XLOOKUP(R1824, classification!C:C, classification!B:B, "Not Found")</f>
      </c>
      <c r="Q1824" s="1" t="s">
        <v>5514</v>
      </c>
      <c r="R1824" s="2"/>
      <c r="S1824" s="2"/>
      <c r="T1824" s="2"/>
      <c r="U1824" s="2"/>
    </row>
    <row x14ac:dyDescent="0.25" r="1825" customHeight="1" ht="17.25">
      <c r="A1825" s="7">
        <v>1824</v>
      </c>
      <c r="B1825" s="1" t="s">
        <v>7230</v>
      </c>
      <c r="C1825" s="5">
        <f>CONCATENATE("PD", TEXT(A1825, "1000000"))</f>
      </c>
      <c r="D1825" s="7">
        <v>67</v>
      </c>
      <c r="E1825" s="5">
        <f>XLOOKUP(G1825, item_category!C:C, item_category!B:B, "Not Found")</f>
      </c>
      <c r="F1825" s="1" t="s">
        <v>5516</v>
      </c>
      <c r="G1825" s="5">
        <f>XLOOKUP(I1825, drug!B:B, drug!A:A, "Not Found")</f>
      </c>
      <c r="H1825" s="1"/>
      <c r="I1825" s="7">
        <v>1</v>
      </c>
      <c r="J1825" s="5">
        <f>XLOOKUP(L1825, uom!C:C, uom!B:B, "Not Found")</f>
      </c>
      <c r="K1825" s="1" t="s">
        <v>5511</v>
      </c>
      <c r="L1825" s="5">
        <f>XLOOKUP(N1825, uom!C:C, uom!B:B, "Not Found")</f>
      </c>
      <c r="M1825" s="1" t="s">
        <v>5511</v>
      </c>
      <c r="N1825" s="8" t="s">
        <v>5512</v>
      </c>
      <c r="O1825" s="1" t="s">
        <v>5513</v>
      </c>
      <c r="P1825" s="5">
        <f>XLOOKUP(R1825, classification!C:C, classification!B:B, "Not Found")</f>
      </c>
      <c r="Q1825" s="1" t="s">
        <v>5514</v>
      </c>
      <c r="R1825" s="2"/>
      <c r="S1825" s="2"/>
      <c r="T1825" s="2"/>
      <c r="U1825" s="2"/>
    </row>
    <row x14ac:dyDescent="0.25" r="1826" customHeight="1" ht="17.25">
      <c r="A1826" s="7">
        <v>1825</v>
      </c>
      <c r="B1826" s="1" t="s">
        <v>7231</v>
      </c>
      <c r="C1826" s="5">
        <f>CONCATENATE("PD", TEXT(A1826, "1000000"))</f>
      </c>
      <c r="D1826" s="7">
        <v>67</v>
      </c>
      <c r="E1826" s="5">
        <f>XLOOKUP(G1826, item_category!C:C, item_category!B:B, "Not Found")</f>
      </c>
      <c r="F1826" s="1" t="s">
        <v>5516</v>
      </c>
      <c r="G1826" s="5">
        <f>XLOOKUP(I1826, drug!B:B, drug!A:A, "Not Found")</f>
      </c>
      <c r="H1826" s="1"/>
      <c r="I1826" s="7">
        <v>1</v>
      </c>
      <c r="J1826" s="5">
        <f>XLOOKUP(L1826, uom!C:C, uom!B:B, "Not Found")</f>
      </c>
      <c r="K1826" s="1" t="s">
        <v>5511</v>
      </c>
      <c r="L1826" s="5">
        <f>XLOOKUP(N1826, uom!C:C, uom!B:B, "Not Found")</f>
      </c>
      <c r="M1826" s="1" t="s">
        <v>5511</v>
      </c>
      <c r="N1826" s="8" t="s">
        <v>5512</v>
      </c>
      <c r="O1826" s="1" t="s">
        <v>5513</v>
      </c>
      <c r="P1826" s="5">
        <f>XLOOKUP(R1826, classification!C:C, classification!B:B, "Not Found")</f>
      </c>
      <c r="Q1826" s="1" t="s">
        <v>5514</v>
      </c>
      <c r="R1826" s="2"/>
      <c r="S1826" s="2"/>
      <c r="T1826" s="2"/>
      <c r="U1826" s="2"/>
    </row>
    <row x14ac:dyDescent="0.25" r="1827" customHeight="1" ht="17.25">
      <c r="A1827" s="7">
        <v>1826</v>
      </c>
      <c r="B1827" s="1" t="s">
        <v>7232</v>
      </c>
      <c r="C1827" s="5">
        <f>CONCATENATE("PD", TEXT(A1827, "1000000"))</f>
      </c>
      <c r="D1827" s="7">
        <v>67</v>
      </c>
      <c r="E1827" s="5">
        <f>XLOOKUP(G1827, item_category!C:C, item_category!B:B, "Not Found")</f>
      </c>
      <c r="F1827" s="1" t="s">
        <v>5516</v>
      </c>
      <c r="G1827" s="5">
        <f>XLOOKUP(I1827, drug!B:B, drug!A:A, "Not Found")</f>
      </c>
      <c r="H1827" s="1"/>
      <c r="I1827" s="7">
        <v>1</v>
      </c>
      <c r="J1827" s="5">
        <f>XLOOKUP(L1827, uom!C:C, uom!B:B, "Not Found")</f>
      </c>
      <c r="K1827" s="1" t="s">
        <v>5511</v>
      </c>
      <c r="L1827" s="5">
        <f>XLOOKUP(N1827, uom!C:C, uom!B:B, "Not Found")</f>
      </c>
      <c r="M1827" s="1" t="s">
        <v>5511</v>
      </c>
      <c r="N1827" s="8" t="s">
        <v>5512</v>
      </c>
      <c r="O1827" s="1" t="s">
        <v>5513</v>
      </c>
      <c r="P1827" s="5">
        <f>XLOOKUP(R1827, classification!C:C, classification!B:B, "Not Found")</f>
      </c>
      <c r="Q1827" s="1" t="s">
        <v>5514</v>
      </c>
      <c r="R1827" s="2"/>
      <c r="S1827" s="2"/>
      <c r="T1827" s="2"/>
      <c r="U1827" s="2"/>
    </row>
    <row x14ac:dyDescent="0.25" r="1828" customHeight="1" ht="17.25">
      <c r="A1828" s="7">
        <v>1827</v>
      </c>
      <c r="B1828" s="1" t="s">
        <v>3010</v>
      </c>
      <c r="C1828" s="5">
        <f>CONCATENATE("PD", TEXT(A1828, "1000000"))</f>
      </c>
      <c r="D1828" s="7">
        <v>67</v>
      </c>
      <c r="E1828" s="5">
        <f>XLOOKUP(G1828, item_category!C:C, item_category!B:B, "Not Found")</f>
      </c>
      <c r="F1828" s="1" t="s">
        <v>5516</v>
      </c>
      <c r="G1828" s="5">
        <f>XLOOKUP(I1828, drug!B:B, drug!A:A, "Not Found")</f>
      </c>
      <c r="H1828" s="1"/>
      <c r="I1828" s="7">
        <v>1</v>
      </c>
      <c r="J1828" s="5">
        <f>XLOOKUP(L1828, uom!C:C, uom!B:B, "Not Found")</f>
      </c>
      <c r="K1828" s="1" t="s">
        <v>5511</v>
      </c>
      <c r="L1828" s="5">
        <f>XLOOKUP(N1828, uom!C:C, uom!B:B, "Not Found")</f>
      </c>
      <c r="M1828" s="1" t="s">
        <v>5511</v>
      </c>
      <c r="N1828" s="8" t="s">
        <v>5512</v>
      </c>
      <c r="O1828" s="1" t="s">
        <v>5513</v>
      </c>
      <c r="P1828" s="5">
        <f>XLOOKUP(R1828, classification!C:C, classification!B:B, "Not Found")</f>
      </c>
      <c r="Q1828" s="1" t="s">
        <v>5514</v>
      </c>
      <c r="R1828" s="2"/>
      <c r="S1828" s="2"/>
      <c r="T1828" s="2"/>
      <c r="U1828" s="2"/>
    </row>
    <row x14ac:dyDescent="0.25" r="1829" customHeight="1" ht="17.25">
      <c r="A1829" s="7">
        <v>1828</v>
      </c>
      <c r="B1829" s="1" t="s">
        <v>7233</v>
      </c>
      <c r="C1829" s="5">
        <f>CONCATENATE("PD", TEXT(A1829, "1000000"))</f>
      </c>
      <c r="D1829" s="7">
        <v>67</v>
      </c>
      <c r="E1829" s="5">
        <f>XLOOKUP(G1829, item_category!C:C, item_category!B:B, "Not Found")</f>
      </c>
      <c r="F1829" s="1" t="s">
        <v>5516</v>
      </c>
      <c r="G1829" s="5">
        <f>XLOOKUP(I1829, drug!B:B, drug!A:A, "Not Found")</f>
      </c>
      <c r="H1829" s="1"/>
      <c r="I1829" s="7">
        <v>1</v>
      </c>
      <c r="J1829" s="5">
        <f>XLOOKUP(L1829, uom!C:C, uom!B:B, "Not Found")</f>
      </c>
      <c r="K1829" s="1" t="s">
        <v>5511</v>
      </c>
      <c r="L1829" s="5">
        <f>XLOOKUP(N1829, uom!C:C, uom!B:B, "Not Found")</f>
      </c>
      <c r="M1829" s="1" t="s">
        <v>5511</v>
      </c>
      <c r="N1829" s="8" t="s">
        <v>5512</v>
      </c>
      <c r="O1829" s="1" t="s">
        <v>5513</v>
      </c>
      <c r="P1829" s="5">
        <f>XLOOKUP(R1829, classification!C:C, classification!B:B, "Not Found")</f>
      </c>
      <c r="Q1829" s="1" t="s">
        <v>5514</v>
      </c>
      <c r="R1829" s="2"/>
      <c r="S1829" s="2"/>
      <c r="T1829" s="2"/>
      <c r="U1829" s="2"/>
    </row>
    <row x14ac:dyDescent="0.25" r="1830" customHeight="1" ht="17.25">
      <c r="A1830" s="7">
        <v>1829</v>
      </c>
      <c r="B1830" s="1" t="s">
        <v>7234</v>
      </c>
      <c r="C1830" s="5">
        <f>CONCATENATE("PD", TEXT(A1830, "1000000"))</f>
      </c>
      <c r="D1830" s="7">
        <v>67</v>
      </c>
      <c r="E1830" s="5">
        <f>XLOOKUP(G1830, item_category!C:C, item_category!B:B, "Not Found")</f>
      </c>
      <c r="F1830" s="1" t="s">
        <v>5516</v>
      </c>
      <c r="G1830" s="5">
        <f>XLOOKUP(I1830, drug!B:B, drug!A:A, "Not Found")</f>
      </c>
      <c r="H1830" s="1"/>
      <c r="I1830" s="7">
        <v>1</v>
      </c>
      <c r="J1830" s="5">
        <f>XLOOKUP(L1830, uom!C:C, uom!B:B, "Not Found")</f>
      </c>
      <c r="K1830" s="1" t="s">
        <v>5511</v>
      </c>
      <c r="L1830" s="5">
        <f>XLOOKUP(N1830, uom!C:C, uom!B:B, "Not Found")</f>
      </c>
      <c r="M1830" s="1" t="s">
        <v>5511</v>
      </c>
      <c r="N1830" s="8" t="s">
        <v>5512</v>
      </c>
      <c r="O1830" s="1" t="s">
        <v>5513</v>
      </c>
      <c r="P1830" s="5">
        <f>XLOOKUP(R1830, classification!C:C, classification!B:B, "Not Found")</f>
      </c>
      <c r="Q1830" s="1" t="s">
        <v>5514</v>
      </c>
      <c r="R1830" s="2"/>
      <c r="S1830" s="2"/>
      <c r="T1830" s="2"/>
      <c r="U1830" s="2"/>
    </row>
    <row x14ac:dyDescent="0.25" r="1831" customHeight="1" ht="17.25">
      <c r="A1831" s="7">
        <v>1830</v>
      </c>
      <c r="B1831" s="1" t="s">
        <v>7235</v>
      </c>
      <c r="C1831" s="5">
        <f>CONCATENATE("PD", TEXT(A1831, "1000000"))</f>
      </c>
      <c r="D1831" s="7">
        <v>67</v>
      </c>
      <c r="E1831" s="5">
        <f>XLOOKUP(G1831, item_category!C:C, item_category!B:B, "Not Found")</f>
      </c>
      <c r="F1831" s="1" t="s">
        <v>5516</v>
      </c>
      <c r="G1831" s="5">
        <f>XLOOKUP(I1831, drug!B:B, drug!A:A, "Not Found")</f>
      </c>
      <c r="H1831" s="1" t="s">
        <v>676</v>
      </c>
      <c r="I1831" s="7">
        <v>450</v>
      </c>
      <c r="J1831" s="5">
        <f>XLOOKUP(L1831, uom!C:C, uom!B:B, "Not Found")</f>
      </c>
      <c r="K1831" s="1" t="s">
        <v>7212</v>
      </c>
      <c r="L1831" s="5">
        <f>XLOOKUP(N1831, uom!C:C, uom!B:B, "Not Found")</f>
      </c>
      <c r="M1831" s="1" t="s">
        <v>7212</v>
      </c>
      <c r="N1831" s="8" t="s">
        <v>5524</v>
      </c>
      <c r="O1831" s="1" t="s">
        <v>5525</v>
      </c>
      <c r="P1831" s="5">
        <f>XLOOKUP(R1831, classification!C:C, classification!B:B, "Not Found")</f>
      </c>
      <c r="Q1831" s="1" t="s">
        <v>5514</v>
      </c>
      <c r="R1831" s="2"/>
      <c r="S1831" s="2"/>
      <c r="T1831" s="2"/>
      <c r="U1831" s="2"/>
    </row>
    <row x14ac:dyDescent="0.25" r="1832" customHeight="1" ht="17.25">
      <c r="A1832" s="7">
        <v>1831</v>
      </c>
      <c r="B1832" s="1" t="s">
        <v>7236</v>
      </c>
      <c r="C1832" s="5">
        <f>CONCATENATE("PD", TEXT(A1832, "1000000"))</f>
      </c>
      <c r="D1832" s="7">
        <v>67</v>
      </c>
      <c r="E1832" s="5">
        <f>XLOOKUP(G1832, item_category!C:C, item_category!B:B, "Not Found")</f>
      </c>
      <c r="F1832" s="1" t="s">
        <v>5516</v>
      </c>
      <c r="G1832" s="5">
        <f>XLOOKUP(I1832, drug!B:B, drug!A:A, "Not Found")</f>
      </c>
      <c r="H1832" s="1"/>
      <c r="I1832" s="7">
        <v>250</v>
      </c>
      <c r="J1832" s="5">
        <f>XLOOKUP(L1832, uom!C:C, uom!B:B, "Not Found")</f>
      </c>
      <c r="K1832" s="1" t="s">
        <v>5511</v>
      </c>
      <c r="L1832" s="5">
        <f>XLOOKUP(N1832, uom!C:C, uom!B:B, "Not Found")</f>
      </c>
      <c r="M1832" s="1" t="s">
        <v>5511</v>
      </c>
      <c r="N1832" s="8" t="s">
        <v>5524</v>
      </c>
      <c r="O1832" s="1" t="s">
        <v>5525</v>
      </c>
      <c r="P1832" s="5">
        <f>XLOOKUP(R1832, classification!C:C, classification!B:B, "Not Found")</f>
      </c>
      <c r="Q1832" s="1" t="s">
        <v>5514</v>
      </c>
      <c r="R1832" s="2"/>
      <c r="S1832" s="2"/>
      <c r="T1832" s="2"/>
      <c r="U1832" s="2"/>
    </row>
    <row x14ac:dyDescent="0.25" r="1833" customHeight="1" ht="17.25">
      <c r="A1833" s="7">
        <v>1832</v>
      </c>
      <c r="B1833" s="1" t="s">
        <v>7237</v>
      </c>
      <c r="C1833" s="5">
        <f>CONCATENATE("PD", TEXT(A1833, "1000000"))</f>
      </c>
      <c r="D1833" s="7">
        <v>67</v>
      </c>
      <c r="E1833" s="5">
        <f>XLOOKUP(G1833, item_category!C:C, item_category!B:B, "Not Found")</f>
      </c>
      <c r="F1833" s="1" t="s">
        <v>5516</v>
      </c>
      <c r="G1833" s="5">
        <f>XLOOKUP(I1833, drug!B:B, drug!A:A, "Not Found")</f>
      </c>
      <c r="H1833" s="1"/>
      <c r="I1833" s="7">
        <v>1</v>
      </c>
      <c r="J1833" s="5">
        <f>XLOOKUP(L1833, uom!C:C, uom!B:B, "Not Found")</f>
      </c>
      <c r="K1833" s="1" t="s">
        <v>5511</v>
      </c>
      <c r="L1833" s="5">
        <f>XLOOKUP(N1833, uom!C:C, uom!B:B, "Not Found")</f>
      </c>
      <c r="M1833" s="1" t="s">
        <v>5511</v>
      </c>
      <c r="N1833" s="8" t="s">
        <v>5512</v>
      </c>
      <c r="O1833" s="1" t="s">
        <v>5513</v>
      </c>
      <c r="P1833" s="5">
        <f>XLOOKUP(R1833, classification!C:C, classification!B:B, "Not Found")</f>
      </c>
      <c r="Q1833" s="1" t="s">
        <v>5514</v>
      </c>
      <c r="R1833" s="2"/>
      <c r="S1833" s="2"/>
      <c r="T1833" s="2"/>
      <c r="U1833" s="2"/>
    </row>
    <row x14ac:dyDescent="0.25" r="1834" customHeight="1" ht="17.25">
      <c r="A1834" s="7">
        <v>1833</v>
      </c>
      <c r="B1834" s="1" t="s">
        <v>7238</v>
      </c>
      <c r="C1834" s="5">
        <f>CONCATENATE("PD", TEXT(A1834, "1000000"))</f>
      </c>
      <c r="D1834" s="7">
        <v>67</v>
      </c>
      <c r="E1834" s="5">
        <f>XLOOKUP(G1834, item_category!C:C, item_category!B:B, "Not Found")</f>
      </c>
      <c r="F1834" s="1" t="s">
        <v>5516</v>
      </c>
      <c r="G1834" s="5">
        <f>XLOOKUP(I1834, drug!B:B, drug!A:A, "Not Found")</f>
      </c>
      <c r="H1834" s="1" t="s">
        <v>1500</v>
      </c>
      <c r="I1834" s="7">
        <v>1</v>
      </c>
      <c r="J1834" s="5">
        <f>XLOOKUP(L1834, uom!C:C, uom!B:B, "Not Found")</f>
      </c>
      <c r="K1834" s="1" t="s">
        <v>5511</v>
      </c>
      <c r="L1834" s="5">
        <f>XLOOKUP(N1834, uom!C:C, uom!B:B, "Not Found")</f>
      </c>
      <c r="M1834" s="1" t="s">
        <v>5511</v>
      </c>
      <c r="N1834" s="8" t="s">
        <v>5512</v>
      </c>
      <c r="O1834" s="1" t="s">
        <v>5513</v>
      </c>
      <c r="P1834" s="5">
        <f>XLOOKUP(R1834, classification!C:C, classification!B:B, "Not Found")</f>
      </c>
      <c r="Q1834" s="1" t="s">
        <v>5514</v>
      </c>
      <c r="R1834" s="2"/>
      <c r="S1834" s="2"/>
      <c r="T1834" s="2"/>
      <c r="U1834" s="2"/>
    </row>
    <row x14ac:dyDescent="0.25" r="1835" customHeight="1" ht="17.25">
      <c r="A1835" s="7">
        <v>1834</v>
      </c>
      <c r="B1835" s="1" t="s">
        <v>7239</v>
      </c>
      <c r="C1835" s="5">
        <f>CONCATENATE("PD", TEXT(A1835, "1000000"))</f>
      </c>
      <c r="D1835" s="7">
        <v>67</v>
      </c>
      <c r="E1835" s="5">
        <f>XLOOKUP(G1835, item_category!C:C, item_category!B:B, "Not Found")</f>
      </c>
      <c r="F1835" s="1" t="s">
        <v>5516</v>
      </c>
      <c r="G1835" s="5">
        <f>XLOOKUP(I1835, drug!B:B, drug!A:A, "Not Found")</f>
      </c>
      <c r="H1835" s="1"/>
      <c r="I1835" s="7">
        <v>1</v>
      </c>
      <c r="J1835" s="5">
        <f>XLOOKUP(L1835, uom!C:C, uom!B:B, "Not Found")</f>
      </c>
      <c r="K1835" s="1" t="s">
        <v>5511</v>
      </c>
      <c r="L1835" s="5">
        <f>XLOOKUP(N1835, uom!C:C, uom!B:B, "Not Found")</f>
      </c>
      <c r="M1835" s="1" t="s">
        <v>5511</v>
      </c>
      <c r="N1835" s="8" t="s">
        <v>5512</v>
      </c>
      <c r="O1835" s="1" t="s">
        <v>5513</v>
      </c>
      <c r="P1835" s="5">
        <f>XLOOKUP(R1835, classification!C:C, classification!B:B, "Not Found")</f>
      </c>
      <c r="Q1835" s="1" t="s">
        <v>5514</v>
      </c>
      <c r="R1835" s="2"/>
      <c r="S1835" s="2"/>
      <c r="T1835" s="2"/>
      <c r="U1835" s="2"/>
    </row>
    <row x14ac:dyDescent="0.25" r="1836" customHeight="1" ht="17.25">
      <c r="A1836" s="7">
        <v>1835</v>
      </c>
      <c r="B1836" s="1" t="s">
        <v>7240</v>
      </c>
      <c r="C1836" s="5">
        <f>CONCATENATE("PD", TEXT(A1836, "1000000"))</f>
      </c>
      <c r="D1836" s="7">
        <v>67</v>
      </c>
      <c r="E1836" s="5">
        <f>XLOOKUP(G1836, item_category!C:C, item_category!B:B, "Not Found")</f>
      </c>
      <c r="F1836" s="1" t="s">
        <v>5516</v>
      </c>
      <c r="G1836" s="5">
        <f>XLOOKUP(I1836, drug!B:B, drug!A:A, "Not Found")</f>
      </c>
      <c r="H1836" s="1" t="s">
        <v>1228</v>
      </c>
      <c r="I1836" s="7">
        <v>1</v>
      </c>
      <c r="J1836" s="5">
        <f>XLOOKUP(L1836, uom!C:C, uom!B:B, "Not Found")</f>
      </c>
      <c r="K1836" s="1" t="s">
        <v>5511</v>
      </c>
      <c r="L1836" s="5">
        <f>XLOOKUP(N1836, uom!C:C, uom!B:B, "Not Found")</f>
      </c>
      <c r="M1836" s="1" t="s">
        <v>5511</v>
      </c>
      <c r="N1836" s="8" t="s">
        <v>5512</v>
      </c>
      <c r="O1836" s="1" t="s">
        <v>5513</v>
      </c>
      <c r="P1836" s="5">
        <f>XLOOKUP(R1836, classification!C:C, classification!B:B, "Not Found")</f>
      </c>
      <c r="Q1836" s="1" t="s">
        <v>5514</v>
      </c>
      <c r="R1836" s="2"/>
      <c r="S1836" s="2"/>
      <c r="T1836" s="2"/>
      <c r="U1836" s="2"/>
    </row>
    <row x14ac:dyDescent="0.25" r="1837" customHeight="1" ht="17.25">
      <c r="A1837" s="7">
        <v>1836</v>
      </c>
      <c r="B1837" s="1" t="s">
        <v>7241</v>
      </c>
      <c r="C1837" s="5">
        <f>CONCATENATE("PD", TEXT(A1837, "1000000"))</f>
      </c>
      <c r="D1837" s="7">
        <v>67</v>
      </c>
      <c r="E1837" s="5">
        <f>XLOOKUP(G1837, item_category!C:C, item_category!B:B, "Not Found")</f>
      </c>
      <c r="F1837" s="1" t="s">
        <v>5516</v>
      </c>
      <c r="G1837" s="5">
        <f>XLOOKUP(I1837, drug!B:B, drug!A:A, "Not Found")</f>
      </c>
      <c r="H1837" s="1"/>
      <c r="I1837" s="7">
        <v>1</v>
      </c>
      <c r="J1837" s="5">
        <f>XLOOKUP(L1837, uom!C:C, uom!B:B, "Not Found")</f>
      </c>
      <c r="K1837" s="1" t="s">
        <v>5511</v>
      </c>
      <c r="L1837" s="5">
        <f>XLOOKUP(N1837, uom!C:C, uom!B:B, "Not Found")</f>
      </c>
      <c r="M1837" s="1" t="s">
        <v>5511</v>
      </c>
      <c r="N1837" s="8" t="s">
        <v>5512</v>
      </c>
      <c r="O1837" s="1" t="s">
        <v>5513</v>
      </c>
      <c r="P1837" s="5">
        <f>XLOOKUP(R1837, classification!C:C, classification!B:B, "Not Found")</f>
      </c>
      <c r="Q1837" s="1" t="s">
        <v>5514</v>
      </c>
      <c r="R1837" s="2"/>
      <c r="S1837" s="2"/>
      <c r="T1837" s="2"/>
      <c r="U1837" s="2"/>
    </row>
    <row x14ac:dyDescent="0.25" r="1838" customHeight="1" ht="17.25">
      <c r="A1838" s="7">
        <v>1837</v>
      </c>
      <c r="B1838" s="1" t="s">
        <v>7242</v>
      </c>
      <c r="C1838" s="5">
        <f>CONCATENATE("PD", TEXT(A1838, "1000000"))</f>
      </c>
      <c r="D1838" s="7">
        <v>67</v>
      </c>
      <c r="E1838" s="5">
        <f>XLOOKUP(G1838, item_category!C:C, item_category!B:B, "Not Found")</f>
      </c>
      <c r="F1838" s="1" t="s">
        <v>5516</v>
      </c>
      <c r="G1838" s="5">
        <f>XLOOKUP(I1838, drug!B:B, drug!A:A, "Not Found")</f>
      </c>
      <c r="H1838" s="1" t="s">
        <v>1228</v>
      </c>
      <c r="I1838" s="7">
        <v>1</v>
      </c>
      <c r="J1838" s="5">
        <f>XLOOKUP(L1838, uom!C:C, uom!B:B, "Not Found")</f>
      </c>
      <c r="K1838" s="1" t="s">
        <v>5511</v>
      </c>
      <c r="L1838" s="5">
        <f>XLOOKUP(N1838, uom!C:C, uom!B:B, "Not Found")</f>
      </c>
      <c r="M1838" s="1" t="s">
        <v>5511</v>
      </c>
      <c r="N1838" s="8" t="s">
        <v>5512</v>
      </c>
      <c r="O1838" s="1" t="s">
        <v>5513</v>
      </c>
      <c r="P1838" s="5">
        <f>XLOOKUP(R1838, classification!C:C, classification!B:B, "Not Found")</f>
      </c>
      <c r="Q1838" s="1" t="s">
        <v>5514</v>
      </c>
      <c r="R1838" s="2"/>
      <c r="S1838" s="2"/>
      <c r="T1838" s="2"/>
      <c r="U1838" s="2"/>
    </row>
    <row x14ac:dyDescent="0.25" r="1839" customHeight="1" ht="17.25">
      <c r="A1839" s="7">
        <v>1838</v>
      </c>
      <c r="B1839" s="1" t="s">
        <v>7243</v>
      </c>
      <c r="C1839" s="5">
        <f>CONCATENATE("PD", TEXT(A1839, "1000000"))</f>
      </c>
      <c r="D1839" s="7">
        <v>67</v>
      </c>
      <c r="E1839" s="5">
        <f>XLOOKUP(G1839, item_category!C:C, item_category!B:B, "Not Found")</f>
      </c>
      <c r="F1839" s="1" t="s">
        <v>5516</v>
      </c>
      <c r="G1839" s="5">
        <f>XLOOKUP(I1839, drug!B:B, drug!A:A, "Not Found")</f>
      </c>
      <c r="H1839" s="1" t="s">
        <v>1228</v>
      </c>
      <c r="I1839" s="7">
        <v>1</v>
      </c>
      <c r="J1839" s="5">
        <f>XLOOKUP(L1839, uom!C:C, uom!B:B, "Not Found")</f>
      </c>
      <c r="K1839" s="1" t="s">
        <v>5511</v>
      </c>
      <c r="L1839" s="5">
        <f>XLOOKUP(N1839, uom!C:C, uom!B:B, "Not Found")</f>
      </c>
      <c r="M1839" s="1" t="s">
        <v>5511</v>
      </c>
      <c r="N1839" s="8" t="s">
        <v>5512</v>
      </c>
      <c r="O1839" s="1" t="s">
        <v>5513</v>
      </c>
      <c r="P1839" s="5">
        <f>XLOOKUP(R1839, classification!C:C, classification!B:B, "Not Found")</f>
      </c>
      <c r="Q1839" s="1" t="s">
        <v>5514</v>
      </c>
      <c r="R1839" s="2"/>
      <c r="S1839" s="2"/>
      <c r="T1839" s="2"/>
      <c r="U1839" s="2"/>
    </row>
    <row x14ac:dyDescent="0.25" r="1840" customHeight="1" ht="17.25">
      <c r="A1840" s="7">
        <v>1839</v>
      </c>
      <c r="B1840" s="1" t="s">
        <v>7244</v>
      </c>
      <c r="C1840" s="5">
        <f>CONCATENATE("PD", TEXT(A1840, "1000000"))</f>
      </c>
      <c r="D1840" s="7">
        <v>67</v>
      </c>
      <c r="E1840" s="5">
        <f>XLOOKUP(G1840, item_category!C:C, item_category!B:B, "Not Found")</f>
      </c>
      <c r="F1840" s="1" t="s">
        <v>5516</v>
      </c>
      <c r="G1840" s="5">
        <f>XLOOKUP(I1840, drug!B:B, drug!A:A, "Not Found")</f>
      </c>
      <c r="H1840" s="1" t="s">
        <v>1228</v>
      </c>
      <c r="I1840" s="7">
        <v>1</v>
      </c>
      <c r="J1840" s="5">
        <f>XLOOKUP(L1840, uom!C:C, uom!B:B, "Not Found")</f>
      </c>
      <c r="K1840" s="1" t="s">
        <v>5511</v>
      </c>
      <c r="L1840" s="5">
        <f>XLOOKUP(N1840, uom!C:C, uom!B:B, "Not Found")</f>
      </c>
      <c r="M1840" s="1" t="s">
        <v>5511</v>
      </c>
      <c r="N1840" s="8" t="s">
        <v>5512</v>
      </c>
      <c r="O1840" s="1" t="s">
        <v>5513</v>
      </c>
      <c r="P1840" s="5">
        <f>XLOOKUP(R1840, classification!C:C, classification!B:B, "Not Found")</f>
      </c>
      <c r="Q1840" s="1" t="s">
        <v>5514</v>
      </c>
      <c r="R1840" s="2"/>
      <c r="S1840" s="2"/>
      <c r="T1840" s="2"/>
      <c r="U1840" s="2"/>
    </row>
    <row x14ac:dyDescent="0.25" r="1841" customHeight="1" ht="17.25">
      <c r="A1841" s="7">
        <v>1840</v>
      </c>
      <c r="B1841" s="1" t="s">
        <v>7245</v>
      </c>
      <c r="C1841" s="5">
        <f>CONCATENATE("PD", TEXT(A1841, "1000000"))</f>
      </c>
      <c r="D1841" s="7">
        <v>67</v>
      </c>
      <c r="E1841" s="5">
        <f>XLOOKUP(G1841, item_category!C:C, item_category!B:B, "Not Found")</f>
      </c>
      <c r="F1841" s="1" t="s">
        <v>5516</v>
      </c>
      <c r="G1841" s="5">
        <f>XLOOKUP(I1841, drug!B:B, drug!A:A, "Not Found")</f>
      </c>
      <c r="H1841" s="1" t="s">
        <v>1228</v>
      </c>
      <c r="I1841" s="7">
        <v>1</v>
      </c>
      <c r="J1841" s="5">
        <f>XLOOKUP(L1841, uom!C:C, uom!B:B, "Not Found")</f>
      </c>
      <c r="K1841" s="1" t="s">
        <v>5511</v>
      </c>
      <c r="L1841" s="5">
        <f>XLOOKUP(N1841, uom!C:C, uom!B:B, "Not Found")</f>
      </c>
      <c r="M1841" s="1" t="s">
        <v>5511</v>
      </c>
      <c r="N1841" s="8" t="s">
        <v>5512</v>
      </c>
      <c r="O1841" s="1" t="s">
        <v>5513</v>
      </c>
      <c r="P1841" s="5">
        <f>XLOOKUP(R1841, classification!C:C, classification!B:B, "Not Found")</f>
      </c>
      <c r="Q1841" s="1" t="s">
        <v>5514</v>
      </c>
      <c r="R1841" s="2"/>
      <c r="S1841" s="2"/>
      <c r="T1841" s="2"/>
      <c r="U1841" s="2"/>
    </row>
    <row x14ac:dyDescent="0.25" r="1842" customHeight="1" ht="17.25">
      <c r="A1842" s="7">
        <v>1841</v>
      </c>
      <c r="B1842" s="1" t="s">
        <v>7246</v>
      </c>
      <c r="C1842" s="5">
        <f>CONCATENATE("PD", TEXT(A1842, "1000000"))</f>
      </c>
      <c r="D1842" s="7">
        <v>67</v>
      </c>
      <c r="E1842" s="5">
        <f>XLOOKUP(G1842, item_category!C:C, item_category!B:B, "Not Found")</f>
      </c>
      <c r="F1842" s="1" t="s">
        <v>5516</v>
      </c>
      <c r="G1842" s="5">
        <f>XLOOKUP(I1842, drug!B:B, drug!A:A, "Not Found")</f>
      </c>
      <c r="H1842" s="1" t="s">
        <v>1228</v>
      </c>
      <c r="I1842" s="7">
        <v>1</v>
      </c>
      <c r="J1842" s="5">
        <f>XLOOKUP(L1842, uom!C:C, uom!B:B, "Not Found")</f>
      </c>
      <c r="K1842" s="1" t="s">
        <v>5511</v>
      </c>
      <c r="L1842" s="5">
        <f>XLOOKUP(N1842, uom!C:C, uom!B:B, "Not Found")</f>
      </c>
      <c r="M1842" s="1" t="s">
        <v>5511</v>
      </c>
      <c r="N1842" s="8" t="s">
        <v>5512</v>
      </c>
      <c r="O1842" s="1" t="s">
        <v>5513</v>
      </c>
      <c r="P1842" s="5">
        <f>XLOOKUP(R1842, classification!C:C, classification!B:B, "Not Found")</f>
      </c>
      <c r="Q1842" s="1" t="s">
        <v>5514</v>
      </c>
      <c r="R1842" s="2"/>
      <c r="S1842" s="2"/>
      <c r="T1842" s="2"/>
      <c r="U1842" s="2"/>
    </row>
    <row x14ac:dyDescent="0.25" r="1843" customHeight="1" ht="17.25">
      <c r="A1843" s="7">
        <v>1842</v>
      </c>
      <c r="B1843" s="1" t="s">
        <v>7247</v>
      </c>
      <c r="C1843" s="5">
        <f>CONCATENATE("PD", TEXT(A1843, "1000000"))</f>
      </c>
      <c r="D1843" s="7">
        <v>67</v>
      </c>
      <c r="E1843" s="5">
        <f>XLOOKUP(G1843, item_category!C:C, item_category!B:B, "Not Found")</f>
      </c>
      <c r="F1843" s="1" t="s">
        <v>5516</v>
      </c>
      <c r="G1843" s="5">
        <f>XLOOKUP(I1843, drug!B:B, drug!A:A, "Not Found")</f>
      </c>
      <c r="H1843" s="1"/>
      <c r="I1843" s="7">
        <v>1</v>
      </c>
      <c r="J1843" s="5">
        <f>XLOOKUP(L1843, uom!C:C, uom!B:B, "Not Found")</f>
      </c>
      <c r="K1843" s="1" t="s">
        <v>5511</v>
      </c>
      <c r="L1843" s="5">
        <f>XLOOKUP(N1843, uom!C:C, uom!B:B, "Not Found")</f>
      </c>
      <c r="M1843" s="1" t="s">
        <v>5511</v>
      </c>
      <c r="N1843" s="8" t="s">
        <v>5512</v>
      </c>
      <c r="O1843" s="1" t="s">
        <v>5513</v>
      </c>
      <c r="P1843" s="5">
        <f>XLOOKUP(R1843, classification!C:C, classification!B:B, "Not Found")</f>
      </c>
      <c r="Q1843" s="1" t="s">
        <v>5514</v>
      </c>
      <c r="R1843" s="2"/>
      <c r="S1843" s="2"/>
      <c r="T1843" s="2"/>
      <c r="U1843" s="2"/>
    </row>
    <row x14ac:dyDescent="0.25" r="1844" customHeight="1" ht="17.25">
      <c r="A1844" s="7">
        <v>1843</v>
      </c>
      <c r="B1844" s="1" t="s">
        <v>7248</v>
      </c>
      <c r="C1844" s="5">
        <f>CONCATENATE("PD", TEXT(A1844, "1000000"))</f>
      </c>
      <c r="D1844" s="7">
        <v>67</v>
      </c>
      <c r="E1844" s="5">
        <f>XLOOKUP(G1844, item_category!C:C, item_category!B:B, "Not Found")</f>
      </c>
      <c r="F1844" s="1" t="s">
        <v>5516</v>
      </c>
      <c r="G1844" s="5">
        <f>XLOOKUP(I1844, drug!B:B, drug!A:A, "Not Found")</f>
      </c>
      <c r="H1844" s="1" t="s">
        <v>1228</v>
      </c>
      <c r="I1844" s="7">
        <v>1</v>
      </c>
      <c r="J1844" s="5">
        <f>XLOOKUP(L1844, uom!C:C, uom!B:B, "Not Found")</f>
      </c>
      <c r="K1844" s="1" t="s">
        <v>5511</v>
      </c>
      <c r="L1844" s="5">
        <f>XLOOKUP(N1844, uom!C:C, uom!B:B, "Not Found")</f>
      </c>
      <c r="M1844" s="1" t="s">
        <v>5511</v>
      </c>
      <c r="N1844" s="8" t="s">
        <v>5512</v>
      </c>
      <c r="O1844" s="1" t="s">
        <v>5513</v>
      </c>
      <c r="P1844" s="5">
        <f>XLOOKUP(R1844, classification!C:C, classification!B:B, "Not Found")</f>
      </c>
      <c r="Q1844" s="1" t="s">
        <v>5514</v>
      </c>
      <c r="R1844" s="2"/>
      <c r="S1844" s="2"/>
      <c r="T1844" s="2"/>
      <c r="U1844" s="2"/>
    </row>
    <row x14ac:dyDescent="0.25" r="1845" customHeight="1" ht="17.25">
      <c r="A1845" s="7">
        <v>1844</v>
      </c>
      <c r="B1845" s="1" t="s">
        <v>7249</v>
      </c>
      <c r="C1845" s="5">
        <f>CONCATENATE("PD", TEXT(A1845, "1000000"))</f>
      </c>
      <c r="D1845" s="7">
        <v>67</v>
      </c>
      <c r="E1845" s="5">
        <f>XLOOKUP(G1845, item_category!C:C, item_category!B:B, "Not Found")</f>
      </c>
      <c r="F1845" s="1" t="s">
        <v>5516</v>
      </c>
      <c r="G1845" s="5">
        <f>XLOOKUP(I1845, drug!B:B, drug!A:A, "Not Found")</f>
      </c>
      <c r="H1845" s="1" t="s">
        <v>1228</v>
      </c>
      <c r="I1845" s="7">
        <v>1</v>
      </c>
      <c r="J1845" s="5">
        <f>XLOOKUP(L1845, uom!C:C, uom!B:B, "Not Found")</f>
      </c>
      <c r="K1845" s="1" t="s">
        <v>5511</v>
      </c>
      <c r="L1845" s="5">
        <f>XLOOKUP(N1845, uom!C:C, uom!B:B, "Not Found")</f>
      </c>
      <c r="M1845" s="1" t="s">
        <v>5511</v>
      </c>
      <c r="N1845" s="8" t="s">
        <v>5512</v>
      </c>
      <c r="O1845" s="1" t="s">
        <v>5513</v>
      </c>
      <c r="P1845" s="5">
        <f>XLOOKUP(R1845, classification!C:C, classification!B:B, "Not Found")</f>
      </c>
      <c r="Q1845" s="1" t="s">
        <v>5514</v>
      </c>
      <c r="R1845" s="2"/>
      <c r="S1845" s="2"/>
      <c r="T1845" s="2"/>
      <c r="U1845" s="2"/>
    </row>
    <row x14ac:dyDescent="0.25" r="1846" customHeight="1" ht="17.25">
      <c r="A1846" s="7">
        <v>1845</v>
      </c>
      <c r="B1846" s="1" t="s">
        <v>7250</v>
      </c>
      <c r="C1846" s="5">
        <f>CONCATENATE("PD", TEXT(A1846, "1000000"))</f>
      </c>
      <c r="D1846" s="7">
        <v>67</v>
      </c>
      <c r="E1846" s="5">
        <f>XLOOKUP(G1846, item_category!C:C, item_category!B:B, "Not Found")</f>
      </c>
      <c r="F1846" s="1" t="s">
        <v>5516</v>
      </c>
      <c r="G1846" s="5">
        <f>XLOOKUP(I1846, drug!B:B, drug!A:A, "Not Found")</f>
      </c>
      <c r="H1846" s="1"/>
      <c r="I1846" s="7">
        <v>1</v>
      </c>
      <c r="J1846" s="5">
        <f>XLOOKUP(L1846, uom!C:C, uom!B:B, "Not Found")</f>
      </c>
      <c r="K1846" s="1" t="s">
        <v>5511</v>
      </c>
      <c r="L1846" s="5">
        <f>XLOOKUP(N1846, uom!C:C, uom!B:B, "Not Found")</f>
      </c>
      <c r="M1846" s="1" t="s">
        <v>5511</v>
      </c>
      <c r="N1846" s="8" t="s">
        <v>5512</v>
      </c>
      <c r="O1846" s="1" t="s">
        <v>5513</v>
      </c>
      <c r="P1846" s="5">
        <f>XLOOKUP(R1846, classification!C:C, classification!B:B, "Not Found")</f>
      </c>
      <c r="Q1846" s="1" t="s">
        <v>5514</v>
      </c>
      <c r="R1846" s="2"/>
      <c r="S1846" s="2"/>
      <c r="T1846" s="2"/>
      <c r="U1846" s="2"/>
    </row>
    <row x14ac:dyDescent="0.25" r="1847" customHeight="1" ht="17.25">
      <c r="A1847" s="7">
        <v>1846</v>
      </c>
      <c r="B1847" s="1" t="s">
        <v>7251</v>
      </c>
      <c r="C1847" s="5">
        <f>CONCATENATE("PD", TEXT(A1847, "1000000"))</f>
      </c>
      <c r="D1847" s="7">
        <v>67</v>
      </c>
      <c r="E1847" s="5">
        <f>XLOOKUP(G1847, item_category!C:C, item_category!B:B, "Not Found")</f>
      </c>
      <c r="F1847" s="1" t="s">
        <v>5516</v>
      </c>
      <c r="G1847" s="5">
        <f>XLOOKUP(I1847, drug!B:B, drug!A:A, "Not Found")</f>
      </c>
      <c r="H1847" s="1"/>
      <c r="I1847" s="7">
        <v>1</v>
      </c>
      <c r="J1847" s="5">
        <f>XLOOKUP(L1847, uom!C:C, uom!B:B, "Not Found")</f>
      </c>
      <c r="K1847" s="1" t="s">
        <v>5511</v>
      </c>
      <c r="L1847" s="5">
        <f>XLOOKUP(N1847, uom!C:C, uom!B:B, "Not Found")</f>
      </c>
      <c r="M1847" s="1" t="s">
        <v>5511</v>
      </c>
      <c r="N1847" s="8" t="s">
        <v>5512</v>
      </c>
      <c r="O1847" s="1" t="s">
        <v>5513</v>
      </c>
      <c r="P1847" s="5">
        <f>XLOOKUP(R1847, classification!C:C, classification!B:B, "Not Found")</f>
      </c>
      <c r="Q1847" s="1" t="s">
        <v>5514</v>
      </c>
      <c r="R1847" s="2"/>
      <c r="S1847" s="2"/>
      <c r="T1847" s="2"/>
      <c r="U1847" s="2"/>
    </row>
    <row x14ac:dyDescent="0.25" r="1848" customHeight="1" ht="17.25">
      <c r="A1848" s="7">
        <v>1847</v>
      </c>
      <c r="B1848" s="1" t="s">
        <v>3014</v>
      </c>
      <c r="C1848" s="5">
        <f>CONCATENATE("PD", TEXT(A1848, "1000000"))</f>
      </c>
      <c r="D1848" s="7">
        <v>67</v>
      </c>
      <c r="E1848" s="5">
        <f>XLOOKUP(G1848, item_category!C:C, item_category!B:B, "Not Found")</f>
      </c>
      <c r="F1848" s="1" t="s">
        <v>5516</v>
      </c>
      <c r="G1848" s="5">
        <f>XLOOKUP(I1848, drug!B:B, drug!A:A, "Not Found")</f>
      </c>
      <c r="H1848" s="1"/>
      <c r="I1848" s="7">
        <v>1</v>
      </c>
      <c r="J1848" s="5">
        <f>XLOOKUP(L1848, uom!C:C, uom!B:B, "Not Found")</f>
      </c>
      <c r="K1848" s="1" t="s">
        <v>5511</v>
      </c>
      <c r="L1848" s="5">
        <f>XLOOKUP(N1848, uom!C:C, uom!B:B, "Not Found")</f>
      </c>
      <c r="M1848" s="1" t="s">
        <v>5511</v>
      </c>
      <c r="N1848" s="8" t="s">
        <v>5512</v>
      </c>
      <c r="O1848" s="1" t="s">
        <v>5513</v>
      </c>
      <c r="P1848" s="5">
        <f>XLOOKUP(R1848, classification!C:C, classification!B:B, "Not Found")</f>
      </c>
      <c r="Q1848" s="1" t="s">
        <v>5514</v>
      </c>
      <c r="R1848" s="2"/>
      <c r="S1848" s="2"/>
      <c r="T1848" s="2"/>
      <c r="U1848" s="2"/>
    </row>
    <row x14ac:dyDescent="0.25" r="1849" customHeight="1" ht="17.25">
      <c r="A1849" s="7">
        <v>1848</v>
      </c>
      <c r="B1849" s="1" t="s">
        <v>7252</v>
      </c>
      <c r="C1849" s="5">
        <f>CONCATENATE("PD", TEXT(A1849, "1000000"))</f>
      </c>
      <c r="D1849" s="7">
        <v>67</v>
      </c>
      <c r="E1849" s="5">
        <f>XLOOKUP(G1849, item_category!C:C, item_category!B:B, "Not Found")</f>
      </c>
      <c r="F1849" s="1" t="s">
        <v>5516</v>
      </c>
      <c r="G1849" s="5">
        <f>XLOOKUP(I1849, drug!B:B, drug!A:A, "Not Found")</f>
      </c>
      <c r="H1849" s="1" t="s">
        <v>1594</v>
      </c>
      <c r="I1849" s="7">
        <v>1</v>
      </c>
      <c r="J1849" s="5">
        <f>XLOOKUP(L1849, uom!C:C, uom!B:B, "Not Found")</f>
      </c>
      <c r="K1849" s="1" t="s">
        <v>5511</v>
      </c>
      <c r="L1849" s="5">
        <f>XLOOKUP(N1849, uom!C:C, uom!B:B, "Not Found")</f>
      </c>
      <c r="M1849" s="1" t="s">
        <v>5511</v>
      </c>
      <c r="N1849" s="8" t="s">
        <v>5512</v>
      </c>
      <c r="O1849" s="1" t="s">
        <v>5513</v>
      </c>
      <c r="P1849" s="5">
        <f>XLOOKUP(R1849, classification!C:C, classification!B:B, "Not Found")</f>
      </c>
      <c r="Q1849" s="1" t="s">
        <v>5514</v>
      </c>
      <c r="R1849" s="2"/>
      <c r="S1849" s="2"/>
      <c r="T1849" s="2"/>
      <c r="U1849" s="2"/>
    </row>
    <row x14ac:dyDescent="0.25" r="1850" customHeight="1" ht="17.25">
      <c r="A1850" s="7">
        <v>1849</v>
      </c>
      <c r="B1850" s="1" t="s">
        <v>7253</v>
      </c>
      <c r="C1850" s="5">
        <f>CONCATENATE("PD", TEXT(A1850, "1000000"))</f>
      </c>
      <c r="D1850" s="7">
        <v>67</v>
      </c>
      <c r="E1850" s="5">
        <f>XLOOKUP(G1850, item_category!C:C, item_category!B:B, "Not Found")</f>
      </c>
      <c r="F1850" s="1" t="s">
        <v>5516</v>
      </c>
      <c r="G1850" s="5">
        <f>XLOOKUP(I1850, drug!B:B, drug!A:A, "Not Found")</f>
      </c>
      <c r="H1850" s="1" t="s">
        <v>1228</v>
      </c>
      <c r="I1850" s="7">
        <v>1</v>
      </c>
      <c r="J1850" s="5">
        <f>XLOOKUP(L1850, uom!C:C, uom!B:B, "Not Found")</f>
      </c>
      <c r="K1850" s="1" t="s">
        <v>5511</v>
      </c>
      <c r="L1850" s="5">
        <f>XLOOKUP(N1850, uom!C:C, uom!B:B, "Not Found")</f>
      </c>
      <c r="M1850" s="1" t="s">
        <v>5511</v>
      </c>
      <c r="N1850" s="8" t="s">
        <v>5512</v>
      </c>
      <c r="O1850" s="1" t="s">
        <v>5513</v>
      </c>
      <c r="P1850" s="5">
        <f>XLOOKUP(R1850, classification!C:C, classification!B:B, "Not Found")</f>
      </c>
      <c r="Q1850" s="1" t="s">
        <v>5514</v>
      </c>
      <c r="R1850" s="2"/>
      <c r="S1850" s="2"/>
      <c r="T1850" s="2"/>
      <c r="U1850" s="2"/>
    </row>
    <row x14ac:dyDescent="0.25" r="1851" customHeight="1" ht="17.25">
      <c r="A1851" s="7">
        <v>1850</v>
      </c>
      <c r="B1851" s="1" t="s">
        <v>7254</v>
      </c>
      <c r="C1851" s="5">
        <f>CONCATENATE("PD", TEXT(A1851, "1000000"))</f>
      </c>
      <c r="D1851" s="7">
        <v>67</v>
      </c>
      <c r="E1851" s="5">
        <f>XLOOKUP(G1851, item_category!C:C, item_category!B:B, "Not Found")</f>
      </c>
      <c r="F1851" s="1" t="s">
        <v>5516</v>
      </c>
      <c r="G1851" s="5">
        <f>XLOOKUP(I1851, drug!B:B, drug!A:A, "Not Found")</f>
      </c>
      <c r="H1851" s="1"/>
      <c r="I1851" s="7">
        <v>1</v>
      </c>
      <c r="J1851" s="5">
        <f>XLOOKUP(L1851, uom!C:C, uom!B:B, "Not Found")</f>
      </c>
      <c r="K1851" s="1" t="s">
        <v>5511</v>
      </c>
      <c r="L1851" s="5">
        <f>XLOOKUP(N1851, uom!C:C, uom!B:B, "Not Found")</f>
      </c>
      <c r="M1851" s="1" t="s">
        <v>5511</v>
      </c>
      <c r="N1851" s="8" t="s">
        <v>5512</v>
      </c>
      <c r="O1851" s="1" t="s">
        <v>5513</v>
      </c>
      <c r="P1851" s="5">
        <f>XLOOKUP(R1851, classification!C:C, classification!B:B, "Not Found")</f>
      </c>
      <c r="Q1851" s="1" t="s">
        <v>5514</v>
      </c>
      <c r="R1851" s="2"/>
      <c r="S1851" s="2"/>
      <c r="T1851" s="2"/>
      <c r="U1851" s="2"/>
    </row>
    <row x14ac:dyDescent="0.25" r="1852" customHeight="1" ht="17.25">
      <c r="A1852" s="7">
        <v>1851</v>
      </c>
      <c r="B1852" s="1" t="s">
        <v>7255</v>
      </c>
      <c r="C1852" s="5">
        <f>CONCATENATE("PD", TEXT(A1852, "1000000"))</f>
      </c>
      <c r="D1852" s="7">
        <v>67</v>
      </c>
      <c r="E1852" s="5">
        <f>XLOOKUP(G1852, item_category!C:C, item_category!B:B, "Not Found")</f>
      </c>
      <c r="F1852" s="1" t="s">
        <v>5516</v>
      </c>
      <c r="G1852" s="5">
        <f>XLOOKUP(I1852, drug!B:B, drug!A:A, "Not Found")</f>
      </c>
      <c r="H1852" s="1" t="s">
        <v>1228</v>
      </c>
      <c r="I1852" s="7">
        <v>1</v>
      </c>
      <c r="J1852" s="5">
        <f>XLOOKUP(L1852, uom!C:C, uom!B:B, "Not Found")</f>
      </c>
      <c r="K1852" s="1" t="s">
        <v>5511</v>
      </c>
      <c r="L1852" s="5">
        <f>XLOOKUP(N1852, uom!C:C, uom!B:B, "Not Found")</f>
      </c>
      <c r="M1852" s="1" t="s">
        <v>5511</v>
      </c>
      <c r="N1852" s="8" t="s">
        <v>5512</v>
      </c>
      <c r="O1852" s="1" t="s">
        <v>5513</v>
      </c>
      <c r="P1852" s="5">
        <f>XLOOKUP(R1852, classification!C:C, classification!B:B, "Not Found")</f>
      </c>
      <c r="Q1852" s="1" t="s">
        <v>5514</v>
      </c>
      <c r="R1852" s="2"/>
      <c r="S1852" s="2"/>
      <c r="T1852" s="2"/>
      <c r="U1852" s="2"/>
    </row>
    <row x14ac:dyDescent="0.25" r="1853" customHeight="1" ht="17.25">
      <c r="A1853" s="7">
        <v>1852</v>
      </c>
      <c r="B1853" s="1" t="s">
        <v>7256</v>
      </c>
      <c r="C1853" s="5">
        <f>CONCATENATE("PD", TEXT(A1853, "1000000"))</f>
      </c>
      <c r="D1853" s="7">
        <v>67</v>
      </c>
      <c r="E1853" s="5">
        <f>XLOOKUP(G1853, item_category!C:C, item_category!B:B, "Not Found")</f>
      </c>
      <c r="F1853" s="1" t="s">
        <v>5516</v>
      </c>
      <c r="G1853" s="5">
        <f>XLOOKUP(I1853, drug!B:B, drug!A:A, "Not Found")</f>
      </c>
      <c r="H1853" s="1" t="s">
        <v>1228</v>
      </c>
      <c r="I1853" s="7">
        <v>1</v>
      </c>
      <c r="J1853" s="5">
        <f>XLOOKUP(L1853, uom!C:C, uom!B:B, "Not Found")</f>
      </c>
      <c r="K1853" s="1" t="s">
        <v>5511</v>
      </c>
      <c r="L1853" s="5">
        <f>XLOOKUP(N1853, uom!C:C, uom!B:B, "Not Found")</f>
      </c>
      <c r="M1853" s="1" t="s">
        <v>5511</v>
      </c>
      <c r="N1853" s="8" t="s">
        <v>5512</v>
      </c>
      <c r="O1853" s="1" t="s">
        <v>5513</v>
      </c>
      <c r="P1853" s="5">
        <f>XLOOKUP(R1853, classification!C:C, classification!B:B, "Not Found")</f>
      </c>
      <c r="Q1853" s="1" t="s">
        <v>5514</v>
      </c>
      <c r="R1853" s="2"/>
      <c r="S1853" s="2"/>
      <c r="T1853" s="2"/>
      <c r="U1853" s="2"/>
    </row>
    <row x14ac:dyDescent="0.25" r="1854" customHeight="1" ht="17.25">
      <c r="A1854" s="7">
        <v>1853</v>
      </c>
      <c r="B1854" s="1" t="s">
        <v>7257</v>
      </c>
      <c r="C1854" s="5">
        <f>CONCATENATE("PD", TEXT(A1854, "1000000"))</f>
      </c>
      <c r="D1854" s="7">
        <v>67</v>
      </c>
      <c r="E1854" s="5">
        <f>XLOOKUP(G1854, item_category!C:C, item_category!B:B, "Not Found")</f>
      </c>
      <c r="F1854" s="1" t="s">
        <v>5516</v>
      </c>
      <c r="G1854" s="5">
        <f>XLOOKUP(I1854, drug!B:B, drug!A:A, "Not Found")</f>
      </c>
      <c r="H1854" s="1"/>
      <c r="I1854" s="7">
        <v>1</v>
      </c>
      <c r="J1854" s="5">
        <f>XLOOKUP(L1854, uom!C:C, uom!B:B, "Not Found")</f>
      </c>
      <c r="K1854" s="1" t="s">
        <v>5511</v>
      </c>
      <c r="L1854" s="5">
        <f>XLOOKUP(N1854, uom!C:C, uom!B:B, "Not Found")</f>
      </c>
      <c r="M1854" s="1" t="s">
        <v>5511</v>
      </c>
      <c r="N1854" s="8" t="s">
        <v>5512</v>
      </c>
      <c r="O1854" s="1" t="s">
        <v>5513</v>
      </c>
      <c r="P1854" s="5">
        <f>XLOOKUP(R1854, classification!C:C, classification!B:B, "Not Found")</f>
      </c>
      <c r="Q1854" s="1" t="s">
        <v>5514</v>
      </c>
      <c r="R1854" s="2"/>
      <c r="S1854" s="2"/>
      <c r="T1854" s="2"/>
      <c r="U1854" s="2"/>
    </row>
    <row x14ac:dyDescent="0.25" r="1855" customHeight="1" ht="17.25">
      <c r="A1855" s="7">
        <v>1854</v>
      </c>
      <c r="B1855" s="1" t="s">
        <v>7258</v>
      </c>
      <c r="C1855" s="5">
        <f>CONCATENATE("PD", TEXT(A1855, "1000000"))</f>
      </c>
      <c r="D1855" s="7">
        <v>67</v>
      </c>
      <c r="E1855" s="5">
        <f>XLOOKUP(G1855, item_category!C:C, item_category!B:B, "Not Found")</f>
      </c>
      <c r="F1855" s="1" t="s">
        <v>5516</v>
      </c>
      <c r="G1855" s="5">
        <f>XLOOKUP(I1855, drug!B:B, drug!A:A, "Not Found")</f>
      </c>
      <c r="H1855" s="1"/>
      <c r="I1855" s="7">
        <v>1</v>
      </c>
      <c r="J1855" s="5">
        <f>XLOOKUP(L1855, uom!C:C, uom!B:B, "Not Found")</f>
      </c>
      <c r="K1855" s="1" t="s">
        <v>5511</v>
      </c>
      <c r="L1855" s="5">
        <f>XLOOKUP(N1855, uom!C:C, uom!B:B, "Not Found")</f>
      </c>
      <c r="M1855" s="1" t="s">
        <v>5511</v>
      </c>
      <c r="N1855" s="8" t="s">
        <v>5512</v>
      </c>
      <c r="O1855" s="1" t="s">
        <v>5513</v>
      </c>
      <c r="P1855" s="5">
        <f>XLOOKUP(R1855, classification!C:C, classification!B:B, "Not Found")</f>
      </c>
      <c r="Q1855" s="1" t="s">
        <v>5514</v>
      </c>
      <c r="R1855" s="2"/>
      <c r="S1855" s="2"/>
      <c r="T1855" s="2"/>
      <c r="U1855" s="2"/>
    </row>
    <row x14ac:dyDescent="0.25" r="1856" customHeight="1" ht="17.25">
      <c r="A1856" s="7">
        <v>1855</v>
      </c>
      <c r="B1856" s="1" t="s">
        <v>7259</v>
      </c>
      <c r="C1856" s="5">
        <f>CONCATENATE("PD", TEXT(A1856, "1000000"))</f>
      </c>
      <c r="D1856" s="7">
        <v>67</v>
      </c>
      <c r="E1856" s="5">
        <f>XLOOKUP(G1856, item_category!C:C, item_category!B:B, "Not Found")</f>
      </c>
      <c r="F1856" s="1" t="s">
        <v>5516</v>
      </c>
      <c r="G1856" s="5">
        <f>XLOOKUP(I1856, drug!B:B, drug!A:A, "Not Found")</f>
      </c>
      <c r="H1856" s="1"/>
      <c r="I1856" s="7">
        <v>1100</v>
      </c>
      <c r="J1856" s="5">
        <f>XLOOKUP(L1856, uom!C:C, uom!B:B, "Not Found")</f>
      </c>
      <c r="K1856" s="1" t="s">
        <v>5602</v>
      </c>
      <c r="L1856" s="5">
        <f>XLOOKUP(N1856, uom!C:C, uom!B:B, "Not Found")</f>
      </c>
      <c r="M1856" s="1" t="s">
        <v>5602</v>
      </c>
      <c r="N1856" s="8" t="s">
        <v>5524</v>
      </c>
      <c r="O1856" s="1" t="s">
        <v>5525</v>
      </c>
      <c r="P1856" s="5">
        <f>XLOOKUP(R1856, classification!C:C, classification!B:B, "Not Found")</f>
      </c>
      <c r="Q1856" s="1" t="s">
        <v>5514</v>
      </c>
      <c r="R1856" s="2"/>
      <c r="S1856" s="2"/>
      <c r="T1856" s="2"/>
      <c r="U1856" s="2"/>
    </row>
    <row x14ac:dyDescent="0.25" r="1857" customHeight="1" ht="17.25">
      <c r="A1857" s="7">
        <v>1856</v>
      </c>
      <c r="B1857" s="1" t="s">
        <v>7260</v>
      </c>
      <c r="C1857" s="5">
        <f>CONCATENATE("PD", TEXT(A1857, "1000000"))</f>
      </c>
      <c r="D1857" s="7">
        <v>67</v>
      </c>
      <c r="E1857" s="5">
        <f>XLOOKUP(G1857, item_category!C:C, item_category!B:B, "Not Found")</f>
      </c>
      <c r="F1857" s="1" t="s">
        <v>5516</v>
      </c>
      <c r="G1857" s="5">
        <f>XLOOKUP(I1857, drug!B:B, drug!A:A, "Not Found")</f>
      </c>
      <c r="H1857" s="1"/>
      <c r="I1857" s="7">
        <v>1</v>
      </c>
      <c r="J1857" s="5">
        <f>XLOOKUP(L1857, uom!C:C, uom!B:B, "Not Found")</f>
      </c>
      <c r="K1857" s="1" t="s">
        <v>5511</v>
      </c>
      <c r="L1857" s="5">
        <f>XLOOKUP(N1857, uom!C:C, uom!B:B, "Not Found")</f>
      </c>
      <c r="M1857" s="1" t="s">
        <v>5511</v>
      </c>
      <c r="N1857" s="8" t="s">
        <v>5512</v>
      </c>
      <c r="O1857" s="1" t="s">
        <v>5513</v>
      </c>
      <c r="P1857" s="5">
        <f>XLOOKUP(R1857, classification!C:C, classification!B:B, "Not Found")</f>
      </c>
      <c r="Q1857" s="1" t="s">
        <v>5514</v>
      </c>
      <c r="R1857" s="2"/>
      <c r="S1857" s="2"/>
      <c r="T1857" s="2"/>
      <c r="U1857" s="2"/>
    </row>
    <row x14ac:dyDescent="0.25" r="1858" customHeight="1" ht="17.25">
      <c r="A1858" s="7">
        <v>1857</v>
      </c>
      <c r="B1858" s="1" t="s">
        <v>6990</v>
      </c>
      <c r="C1858" s="5">
        <f>CONCATENATE("PD", TEXT(A1858, "1000000"))</f>
      </c>
      <c r="D1858" s="7">
        <v>67</v>
      </c>
      <c r="E1858" s="5">
        <f>XLOOKUP(G1858, item_category!C:C, item_category!B:B, "Not Found")</f>
      </c>
      <c r="F1858" s="1" t="s">
        <v>5516</v>
      </c>
      <c r="G1858" s="5">
        <f>XLOOKUP(I1858, drug!B:B, drug!A:A, "Not Found")</f>
      </c>
      <c r="H1858" s="1"/>
      <c r="I1858" s="7">
        <v>1</v>
      </c>
      <c r="J1858" s="5">
        <f>XLOOKUP(L1858, uom!C:C, uom!B:B, "Not Found")</f>
      </c>
      <c r="K1858" s="1" t="s">
        <v>5511</v>
      </c>
      <c r="L1858" s="5">
        <f>XLOOKUP(N1858, uom!C:C, uom!B:B, "Not Found")</f>
      </c>
      <c r="M1858" s="1" t="s">
        <v>5511</v>
      </c>
      <c r="N1858" s="8" t="s">
        <v>5512</v>
      </c>
      <c r="O1858" s="1" t="s">
        <v>5513</v>
      </c>
      <c r="P1858" s="5">
        <f>XLOOKUP(R1858, classification!C:C, classification!B:B, "Not Found")</f>
      </c>
      <c r="Q1858" s="1" t="s">
        <v>5514</v>
      </c>
      <c r="R1858" s="2"/>
      <c r="S1858" s="2"/>
      <c r="T1858" s="2"/>
      <c r="U1858" s="2"/>
    </row>
    <row x14ac:dyDescent="0.25" r="1859" customHeight="1" ht="17.25">
      <c r="A1859" s="7">
        <v>1858</v>
      </c>
      <c r="B1859" s="1" t="s">
        <v>7261</v>
      </c>
      <c r="C1859" s="5">
        <f>CONCATENATE("PD", TEXT(A1859, "1000000"))</f>
      </c>
      <c r="D1859" s="7">
        <v>67</v>
      </c>
      <c r="E1859" s="5">
        <f>XLOOKUP(G1859, item_category!C:C, item_category!B:B, "Not Found")</f>
      </c>
      <c r="F1859" s="1" t="s">
        <v>5516</v>
      </c>
      <c r="G1859" s="5">
        <f>XLOOKUP(I1859, drug!B:B, drug!A:A, "Not Found")</f>
      </c>
      <c r="H1859" s="1"/>
      <c r="I1859" s="7">
        <v>1</v>
      </c>
      <c r="J1859" s="5">
        <f>XLOOKUP(L1859, uom!C:C, uom!B:B, "Not Found")</f>
      </c>
      <c r="K1859" s="1" t="s">
        <v>5511</v>
      </c>
      <c r="L1859" s="5">
        <f>XLOOKUP(N1859, uom!C:C, uom!B:B, "Not Found")</f>
      </c>
      <c r="M1859" s="1" t="s">
        <v>5511</v>
      </c>
      <c r="N1859" s="8" t="s">
        <v>5512</v>
      </c>
      <c r="O1859" s="1" t="s">
        <v>5513</v>
      </c>
      <c r="P1859" s="5">
        <f>XLOOKUP(R1859, classification!C:C, classification!B:B, "Not Found")</f>
      </c>
      <c r="Q1859" s="1" t="s">
        <v>5514</v>
      </c>
      <c r="R1859" s="2"/>
      <c r="S1859" s="2"/>
      <c r="T1859" s="2"/>
      <c r="U1859" s="2"/>
    </row>
    <row x14ac:dyDescent="0.25" r="1860" customHeight="1" ht="17.25">
      <c r="A1860" s="7">
        <v>1859</v>
      </c>
      <c r="B1860" s="1" t="s">
        <v>7262</v>
      </c>
      <c r="C1860" s="5">
        <f>CONCATENATE("PD", TEXT(A1860, "1000000"))</f>
      </c>
      <c r="D1860" s="7">
        <v>67</v>
      </c>
      <c r="E1860" s="5">
        <f>XLOOKUP(G1860, item_category!C:C, item_category!B:B, "Not Found")</f>
      </c>
      <c r="F1860" s="1" t="s">
        <v>5516</v>
      </c>
      <c r="G1860" s="5">
        <f>XLOOKUP(I1860, drug!B:B, drug!A:A, "Not Found")</f>
      </c>
      <c r="H1860" s="1"/>
      <c r="I1860" s="7">
        <v>1</v>
      </c>
      <c r="J1860" s="5">
        <f>XLOOKUP(L1860, uom!C:C, uom!B:B, "Not Found")</f>
      </c>
      <c r="K1860" s="1" t="s">
        <v>5511</v>
      </c>
      <c r="L1860" s="5">
        <f>XLOOKUP(N1860, uom!C:C, uom!B:B, "Not Found")</f>
      </c>
      <c r="M1860" s="1" t="s">
        <v>5511</v>
      </c>
      <c r="N1860" s="8" t="s">
        <v>5512</v>
      </c>
      <c r="O1860" s="1" t="s">
        <v>5513</v>
      </c>
      <c r="P1860" s="5">
        <f>XLOOKUP(R1860, classification!C:C, classification!B:B, "Not Found")</f>
      </c>
      <c r="Q1860" s="1" t="s">
        <v>5514</v>
      </c>
      <c r="R1860" s="2"/>
      <c r="S1860" s="2"/>
      <c r="T1860" s="2"/>
      <c r="U1860" s="2"/>
    </row>
    <row x14ac:dyDescent="0.25" r="1861" customHeight="1" ht="17.25">
      <c r="A1861" s="7">
        <v>1860</v>
      </c>
      <c r="B1861" s="1" t="s">
        <v>7263</v>
      </c>
      <c r="C1861" s="5">
        <f>CONCATENATE("PD", TEXT(A1861, "1000000"))</f>
      </c>
      <c r="D1861" s="7">
        <v>67</v>
      </c>
      <c r="E1861" s="5">
        <f>XLOOKUP(G1861, item_category!C:C, item_category!B:B, "Not Found")</f>
      </c>
      <c r="F1861" s="1" t="s">
        <v>5516</v>
      </c>
      <c r="G1861" s="5">
        <f>XLOOKUP(I1861, drug!B:B, drug!A:A, "Not Found")</f>
      </c>
      <c r="H1861" s="1" t="s">
        <v>2128</v>
      </c>
      <c r="I1861" s="7">
        <v>1</v>
      </c>
      <c r="J1861" s="5">
        <f>XLOOKUP(L1861, uom!C:C, uom!B:B, "Not Found")</f>
      </c>
      <c r="K1861" s="1" t="s">
        <v>5511</v>
      </c>
      <c r="L1861" s="5">
        <f>XLOOKUP(N1861, uom!C:C, uom!B:B, "Not Found")</f>
      </c>
      <c r="M1861" s="1" t="s">
        <v>5511</v>
      </c>
      <c r="N1861" s="8" t="s">
        <v>5512</v>
      </c>
      <c r="O1861" s="1" t="s">
        <v>5513</v>
      </c>
      <c r="P1861" s="5">
        <f>XLOOKUP(R1861, classification!C:C, classification!B:B, "Not Found")</f>
      </c>
      <c r="Q1861" s="1" t="s">
        <v>5514</v>
      </c>
      <c r="R1861" s="2"/>
      <c r="S1861" s="2"/>
      <c r="T1861" s="2"/>
      <c r="U1861" s="2"/>
    </row>
    <row x14ac:dyDescent="0.25" r="1862" customHeight="1" ht="17.25">
      <c r="A1862" s="7">
        <v>1861</v>
      </c>
      <c r="B1862" s="1" t="s">
        <v>7264</v>
      </c>
      <c r="C1862" s="5">
        <f>CONCATENATE("PD", TEXT(A1862, "1000000"))</f>
      </c>
      <c r="D1862" s="7">
        <v>67</v>
      </c>
      <c r="E1862" s="5">
        <f>XLOOKUP(G1862, item_category!C:C, item_category!B:B, "Not Found")</f>
      </c>
      <c r="F1862" s="1" t="s">
        <v>5516</v>
      </c>
      <c r="G1862" s="5">
        <f>XLOOKUP(I1862, drug!B:B, drug!A:A, "Not Found")</f>
      </c>
      <c r="H1862" s="1"/>
      <c r="I1862" s="7">
        <v>1</v>
      </c>
      <c r="J1862" s="5">
        <f>XLOOKUP(L1862, uom!C:C, uom!B:B, "Not Found")</f>
      </c>
      <c r="K1862" s="1" t="s">
        <v>5511</v>
      </c>
      <c r="L1862" s="5">
        <f>XLOOKUP(N1862, uom!C:C, uom!B:B, "Not Found")</f>
      </c>
      <c r="M1862" s="1" t="s">
        <v>5511</v>
      </c>
      <c r="N1862" s="8" t="s">
        <v>5512</v>
      </c>
      <c r="O1862" s="1" t="s">
        <v>5513</v>
      </c>
      <c r="P1862" s="5">
        <f>XLOOKUP(R1862, classification!C:C, classification!B:B, "Not Found")</f>
      </c>
      <c r="Q1862" s="1" t="s">
        <v>5514</v>
      </c>
      <c r="R1862" s="2"/>
      <c r="S1862" s="2"/>
      <c r="T1862" s="2"/>
      <c r="U1862" s="2"/>
    </row>
    <row x14ac:dyDescent="0.25" r="1863" customHeight="1" ht="17.25">
      <c r="A1863" s="7">
        <v>1862</v>
      </c>
      <c r="B1863" s="1" t="s">
        <v>7265</v>
      </c>
      <c r="C1863" s="5">
        <f>CONCATENATE("PD", TEXT(A1863, "1000000"))</f>
      </c>
      <c r="D1863" s="7">
        <v>67</v>
      </c>
      <c r="E1863" s="5">
        <f>XLOOKUP(G1863, item_category!C:C, item_category!B:B, "Not Found")</f>
      </c>
      <c r="F1863" s="1" t="s">
        <v>5516</v>
      </c>
      <c r="G1863" s="5">
        <f>XLOOKUP(I1863, drug!B:B, drug!A:A, "Not Found")</f>
      </c>
      <c r="H1863" s="1" t="s">
        <v>1228</v>
      </c>
      <c r="I1863" s="7">
        <v>1</v>
      </c>
      <c r="J1863" s="5">
        <f>XLOOKUP(L1863, uom!C:C, uom!B:B, "Not Found")</f>
      </c>
      <c r="K1863" s="1" t="s">
        <v>5511</v>
      </c>
      <c r="L1863" s="5">
        <f>XLOOKUP(N1863, uom!C:C, uom!B:B, "Not Found")</f>
      </c>
      <c r="M1863" s="1" t="s">
        <v>5511</v>
      </c>
      <c r="N1863" s="8" t="s">
        <v>5512</v>
      </c>
      <c r="O1863" s="1" t="s">
        <v>5513</v>
      </c>
      <c r="P1863" s="5">
        <f>XLOOKUP(R1863, classification!C:C, classification!B:B, "Not Found")</f>
      </c>
      <c r="Q1863" s="1" t="s">
        <v>5514</v>
      </c>
      <c r="R1863" s="2"/>
      <c r="S1863" s="2"/>
      <c r="T1863" s="2"/>
      <c r="U1863" s="2"/>
    </row>
    <row x14ac:dyDescent="0.25" r="1864" customHeight="1" ht="17.25">
      <c r="A1864" s="7">
        <v>1863</v>
      </c>
      <c r="B1864" s="1" t="s">
        <v>7266</v>
      </c>
      <c r="C1864" s="5">
        <f>CONCATENATE("PD", TEXT(A1864, "1000000"))</f>
      </c>
      <c r="D1864" s="7">
        <v>67</v>
      </c>
      <c r="E1864" s="5">
        <f>XLOOKUP(G1864, item_category!C:C, item_category!B:B, "Not Found")</f>
      </c>
      <c r="F1864" s="1" t="s">
        <v>5516</v>
      </c>
      <c r="G1864" s="5">
        <f>XLOOKUP(I1864, drug!B:B, drug!A:A, "Not Found")</f>
      </c>
      <c r="H1864" s="1"/>
      <c r="I1864" s="7">
        <v>1</v>
      </c>
      <c r="J1864" s="5">
        <f>XLOOKUP(L1864, uom!C:C, uom!B:B, "Not Found")</f>
      </c>
      <c r="K1864" s="1" t="s">
        <v>5511</v>
      </c>
      <c r="L1864" s="5">
        <f>XLOOKUP(N1864, uom!C:C, uom!B:B, "Not Found")</f>
      </c>
      <c r="M1864" s="1" t="s">
        <v>5511</v>
      </c>
      <c r="N1864" s="8" t="s">
        <v>5512</v>
      </c>
      <c r="O1864" s="1" t="s">
        <v>5513</v>
      </c>
      <c r="P1864" s="5">
        <f>XLOOKUP(R1864, classification!C:C, classification!B:B, "Not Found")</f>
      </c>
      <c r="Q1864" s="1" t="s">
        <v>5514</v>
      </c>
      <c r="R1864" s="2"/>
      <c r="S1864" s="2"/>
      <c r="T1864" s="2"/>
      <c r="U1864" s="2"/>
    </row>
    <row x14ac:dyDescent="0.25" r="1865" customHeight="1" ht="17.25">
      <c r="A1865" s="7">
        <v>1864</v>
      </c>
      <c r="B1865" s="1" t="s">
        <v>7267</v>
      </c>
      <c r="C1865" s="5">
        <f>CONCATENATE("PD", TEXT(A1865, "1000000"))</f>
      </c>
      <c r="D1865" s="7">
        <v>67</v>
      </c>
      <c r="E1865" s="5">
        <f>XLOOKUP(G1865, item_category!C:C, item_category!B:B, "Not Found")</f>
      </c>
      <c r="F1865" s="1" t="s">
        <v>5516</v>
      </c>
      <c r="G1865" s="5">
        <f>XLOOKUP(I1865, drug!B:B, drug!A:A, "Not Found")</f>
      </c>
      <c r="H1865" s="1"/>
      <c r="I1865" s="7">
        <v>1</v>
      </c>
      <c r="J1865" s="5">
        <f>XLOOKUP(L1865, uom!C:C, uom!B:B, "Not Found")</f>
      </c>
      <c r="K1865" s="1" t="s">
        <v>5511</v>
      </c>
      <c r="L1865" s="5">
        <f>XLOOKUP(N1865, uom!C:C, uom!B:B, "Not Found")</f>
      </c>
      <c r="M1865" s="1" t="s">
        <v>5511</v>
      </c>
      <c r="N1865" s="8" t="s">
        <v>5512</v>
      </c>
      <c r="O1865" s="1" t="s">
        <v>5513</v>
      </c>
      <c r="P1865" s="5">
        <f>XLOOKUP(R1865, classification!C:C, classification!B:B, "Not Found")</f>
      </c>
      <c r="Q1865" s="1" t="s">
        <v>5514</v>
      </c>
      <c r="R1865" s="2"/>
      <c r="S1865" s="2"/>
      <c r="T1865" s="2"/>
      <c r="U1865" s="2"/>
    </row>
    <row x14ac:dyDescent="0.25" r="1866" customHeight="1" ht="17.25">
      <c r="A1866" s="7">
        <v>1865</v>
      </c>
      <c r="B1866" s="1" t="s">
        <v>7268</v>
      </c>
      <c r="C1866" s="5">
        <f>CONCATENATE("PD", TEXT(A1866, "1000000"))</f>
      </c>
      <c r="D1866" s="7">
        <v>67</v>
      </c>
      <c r="E1866" s="5">
        <f>XLOOKUP(G1866, item_category!C:C, item_category!B:B, "Not Found")</f>
      </c>
      <c r="F1866" s="1" t="s">
        <v>5516</v>
      </c>
      <c r="G1866" s="5">
        <f>XLOOKUP(I1866, drug!B:B, drug!A:A, "Not Found")</f>
      </c>
      <c r="H1866" s="1"/>
      <c r="I1866" s="7">
        <v>1</v>
      </c>
      <c r="J1866" s="5">
        <f>XLOOKUP(L1866, uom!C:C, uom!B:B, "Not Found")</f>
      </c>
      <c r="K1866" s="1" t="s">
        <v>5511</v>
      </c>
      <c r="L1866" s="5">
        <f>XLOOKUP(N1866, uom!C:C, uom!B:B, "Not Found")</f>
      </c>
      <c r="M1866" s="1" t="s">
        <v>5511</v>
      </c>
      <c r="N1866" s="8" t="s">
        <v>5512</v>
      </c>
      <c r="O1866" s="1" t="s">
        <v>5513</v>
      </c>
      <c r="P1866" s="5">
        <f>XLOOKUP(R1866, classification!C:C, classification!B:B, "Not Found")</f>
      </c>
      <c r="Q1866" s="1" t="s">
        <v>5514</v>
      </c>
      <c r="R1866" s="2"/>
      <c r="S1866" s="2"/>
      <c r="T1866" s="2"/>
      <c r="U1866" s="2"/>
    </row>
    <row x14ac:dyDescent="0.25" r="1867" customHeight="1" ht="17.25">
      <c r="A1867" s="7">
        <v>1866</v>
      </c>
      <c r="B1867" s="1" t="s">
        <v>7269</v>
      </c>
      <c r="C1867" s="5">
        <f>CONCATENATE("PD", TEXT(A1867, "1000000"))</f>
      </c>
      <c r="D1867" s="7">
        <v>67</v>
      </c>
      <c r="E1867" s="5">
        <f>XLOOKUP(G1867, item_category!C:C, item_category!B:B, "Not Found")</f>
      </c>
      <c r="F1867" s="1" t="s">
        <v>5516</v>
      </c>
      <c r="G1867" s="5">
        <f>XLOOKUP(I1867, drug!B:B, drug!A:A, "Not Found")</f>
      </c>
      <c r="H1867" s="1"/>
      <c r="I1867" s="7">
        <v>1</v>
      </c>
      <c r="J1867" s="5">
        <f>XLOOKUP(L1867, uom!C:C, uom!B:B, "Not Found")</f>
      </c>
      <c r="K1867" s="1" t="s">
        <v>5511</v>
      </c>
      <c r="L1867" s="5">
        <f>XLOOKUP(N1867, uom!C:C, uom!B:B, "Not Found")</f>
      </c>
      <c r="M1867" s="1" t="s">
        <v>5511</v>
      </c>
      <c r="N1867" s="8" t="s">
        <v>5512</v>
      </c>
      <c r="O1867" s="1" t="s">
        <v>5513</v>
      </c>
      <c r="P1867" s="5">
        <f>XLOOKUP(R1867, classification!C:C, classification!B:B, "Not Found")</f>
      </c>
      <c r="Q1867" s="1" t="s">
        <v>5514</v>
      </c>
      <c r="R1867" s="2"/>
      <c r="S1867" s="2"/>
      <c r="T1867" s="2"/>
      <c r="U1867" s="2"/>
    </row>
    <row x14ac:dyDescent="0.25" r="1868" customHeight="1" ht="17.25">
      <c r="A1868" s="7">
        <v>1867</v>
      </c>
      <c r="B1868" s="1" t="s">
        <v>7270</v>
      </c>
      <c r="C1868" s="5">
        <f>CONCATENATE("PD", TEXT(A1868, "1000000"))</f>
      </c>
      <c r="D1868" s="7">
        <v>67</v>
      </c>
      <c r="E1868" s="5">
        <f>XLOOKUP(G1868, item_category!C:C, item_category!B:B, "Not Found")</f>
      </c>
      <c r="F1868" s="1" t="s">
        <v>5516</v>
      </c>
      <c r="G1868" s="5">
        <f>XLOOKUP(I1868, drug!B:B, drug!A:A, "Not Found")</f>
      </c>
      <c r="H1868" s="1"/>
      <c r="I1868" s="7">
        <v>1</v>
      </c>
      <c r="J1868" s="5">
        <f>XLOOKUP(L1868, uom!C:C, uom!B:B, "Not Found")</f>
      </c>
      <c r="K1868" s="1" t="s">
        <v>5511</v>
      </c>
      <c r="L1868" s="5">
        <f>XLOOKUP(N1868, uom!C:C, uom!B:B, "Not Found")</f>
      </c>
      <c r="M1868" s="1" t="s">
        <v>5511</v>
      </c>
      <c r="N1868" s="8" t="s">
        <v>5512</v>
      </c>
      <c r="O1868" s="1" t="s">
        <v>5513</v>
      </c>
      <c r="P1868" s="5">
        <f>XLOOKUP(R1868, classification!C:C, classification!B:B, "Not Found")</f>
      </c>
      <c r="Q1868" s="1" t="s">
        <v>5514</v>
      </c>
      <c r="R1868" s="2"/>
      <c r="S1868" s="2"/>
      <c r="T1868" s="2"/>
      <c r="U1868" s="2"/>
    </row>
    <row x14ac:dyDescent="0.25" r="1869" customHeight="1" ht="17.25">
      <c r="A1869" s="7">
        <v>1868</v>
      </c>
      <c r="B1869" s="1" t="s">
        <v>7271</v>
      </c>
      <c r="C1869" s="5">
        <f>CONCATENATE("PD", TEXT(A1869, "1000000"))</f>
      </c>
      <c r="D1869" s="7">
        <v>67</v>
      </c>
      <c r="E1869" s="5">
        <f>XLOOKUP(G1869, item_category!C:C, item_category!B:B, "Not Found")</f>
      </c>
      <c r="F1869" s="1" t="s">
        <v>5516</v>
      </c>
      <c r="G1869" s="5">
        <f>XLOOKUP(I1869, drug!B:B, drug!A:A, "Not Found")</f>
      </c>
      <c r="H1869" s="1"/>
      <c r="I1869" s="7">
        <v>1</v>
      </c>
      <c r="J1869" s="5">
        <f>XLOOKUP(L1869, uom!C:C, uom!B:B, "Not Found")</f>
      </c>
      <c r="K1869" s="1" t="s">
        <v>5511</v>
      </c>
      <c r="L1869" s="5">
        <f>XLOOKUP(N1869, uom!C:C, uom!B:B, "Not Found")</f>
      </c>
      <c r="M1869" s="1" t="s">
        <v>5511</v>
      </c>
      <c r="N1869" s="8" t="s">
        <v>5512</v>
      </c>
      <c r="O1869" s="1" t="s">
        <v>5513</v>
      </c>
      <c r="P1869" s="5">
        <f>XLOOKUP(R1869, classification!C:C, classification!B:B, "Not Found")</f>
      </c>
      <c r="Q1869" s="1" t="s">
        <v>5514</v>
      </c>
      <c r="R1869" s="2"/>
      <c r="S1869" s="2"/>
      <c r="T1869" s="2"/>
      <c r="U1869" s="2"/>
    </row>
    <row x14ac:dyDescent="0.25" r="1870" customHeight="1" ht="17.25">
      <c r="A1870" s="7">
        <v>1869</v>
      </c>
      <c r="B1870" s="1" t="s">
        <v>6167</v>
      </c>
      <c r="C1870" s="5">
        <f>CONCATENATE("PD", TEXT(A1870, "1000000"))</f>
      </c>
      <c r="D1870" s="7">
        <v>67</v>
      </c>
      <c r="E1870" s="5">
        <f>XLOOKUP(G1870, item_category!C:C, item_category!B:B, "Not Found")</f>
      </c>
      <c r="F1870" s="1" t="s">
        <v>5516</v>
      </c>
      <c r="G1870" s="5">
        <f>XLOOKUP(I1870, drug!B:B, drug!A:A, "Not Found")</f>
      </c>
      <c r="H1870" s="1"/>
      <c r="I1870" s="7">
        <v>1</v>
      </c>
      <c r="J1870" s="5">
        <f>XLOOKUP(L1870, uom!C:C, uom!B:B, "Not Found")</f>
      </c>
      <c r="K1870" s="1" t="s">
        <v>5511</v>
      </c>
      <c r="L1870" s="5">
        <f>XLOOKUP(N1870, uom!C:C, uom!B:B, "Not Found")</f>
      </c>
      <c r="M1870" s="1" t="s">
        <v>5511</v>
      </c>
      <c r="N1870" s="8" t="s">
        <v>5512</v>
      </c>
      <c r="O1870" s="1" t="s">
        <v>5513</v>
      </c>
      <c r="P1870" s="5">
        <f>XLOOKUP(R1870, classification!C:C, classification!B:B, "Not Found")</f>
      </c>
      <c r="Q1870" s="1" t="s">
        <v>5514</v>
      </c>
      <c r="R1870" s="2"/>
      <c r="S1870" s="2"/>
      <c r="T1870" s="2"/>
      <c r="U1870" s="2"/>
    </row>
    <row x14ac:dyDescent="0.25" r="1871" customHeight="1" ht="17.25">
      <c r="A1871" s="7">
        <v>1870</v>
      </c>
      <c r="B1871" s="1" t="s">
        <v>7272</v>
      </c>
      <c r="C1871" s="5">
        <f>CONCATENATE("PD", TEXT(A1871, "1000000"))</f>
      </c>
      <c r="D1871" s="7">
        <v>67</v>
      </c>
      <c r="E1871" s="5">
        <f>XLOOKUP(G1871, item_category!C:C, item_category!B:B, "Not Found")</f>
      </c>
      <c r="F1871" s="1" t="s">
        <v>5516</v>
      </c>
      <c r="G1871" s="5">
        <f>XLOOKUP(I1871, drug!B:B, drug!A:A, "Not Found")</f>
      </c>
      <c r="H1871" s="1" t="s">
        <v>2078</v>
      </c>
      <c r="I1871" s="7">
        <v>1</v>
      </c>
      <c r="J1871" s="5">
        <f>XLOOKUP(L1871, uom!C:C, uom!B:B, "Not Found")</f>
      </c>
      <c r="K1871" s="1" t="s">
        <v>5511</v>
      </c>
      <c r="L1871" s="5">
        <f>XLOOKUP(N1871, uom!C:C, uom!B:B, "Not Found")</f>
      </c>
      <c r="M1871" s="1" t="s">
        <v>5511</v>
      </c>
      <c r="N1871" s="8" t="s">
        <v>5512</v>
      </c>
      <c r="O1871" s="1" t="s">
        <v>5513</v>
      </c>
      <c r="P1871" s="5">
        <f>XLOOKUP(R1871, classification!C:C, classification!B:B, "Not Found")</f>
      </c>
      <c r="Q1871" s="1" t="s">
        <v>5514</v>
      </c>
      <c r="R1871" s="2"/>
      <c r="S1871" s="2"/>
      <c r="T1871" s="2"/>
      <c r="U1871" s="2"/>
    </row>
    <row x14ac:dyDescent="0.25" r="1872" customHeight="1" ht="17.25">
      <c r="A1872" s="7">
        <v>1871</v>
      </c>
      <c r="B1872" s="1" t="s">
        <v>7273</v>
      </c>
      <c r="C1872" s="5">
        <f>CONCATENATE("PD", TEXT(A1872, "1000000"))</f>
      </c>
      <c r="D1872" s="7">
        <v>67</v>
      </c>
      <c r="E1872" s="5">
        <f>XLOOKUP(G1872, item_category!C:C, item_category!B:B, "Not Found")</f>
      </c>
      <c r="F1872" s="1" t="s">
        <v>5516</v>
      </c>
      <c r="G1872" s="5">
        <f>XLOOKUP(I1872, drug!B:B, drug!A:A, "Not Found")</f>
      </c>
      <c r="H1872" s="1"/>
      <c r="I1872" s="7">
        <v>1</v>
      </c>
      <c r="J1872" s="5">
        <f>XLOOKUP(L1872, uom!C:C, uom!B:B, "Not Found")</f>
      </c>
      <c r="K1872" s="1" t="s">
        <v>5511</v>
      </c>
      <c r="L1872" s="5">
        <f>XLOOKUP(N1872, uom!C:C, uom!B:B, "Not Found")</f>
      </c>
      <c r="M1872" s="1" t="s">
        <v>5511</v>
      </c>
      <c r="N1872" s="8" t="s">
        <v>5512</v>
      </c>
      <c r="O1872" s="1" t="s">
        <v>5513</v>
      </c>
      <c r="P1872" s="5">
        <f>XLOOKUP(R1872, classification!C:C, classification!B:B, "Not Found")</f>
      </c>
      <c r="Q1872" s="1" t="s">
        <v>5514</v>
      </c>
      <c r="R1872" s="2"/>
      <c r="S1872" s="2"/>
      <c r="T1872" s="2"/>
      <c r="U1872" s="2"/>
    </row>
    <row x14ac:dyDescent="0.25" r="1873" customHeight="1" ht="17.25">
      <c r="A1873" s="7">
        <v>1872</v>
      </c>
      <c r="B1873" s="1" t="s">
        <v>7274</v>
      </c>
      <c r="C1873" s="5">
        <f>CONCATENATE("PD", TEXT(A1873, "1000000"))</f>
      </c>
      <c r="D1873" s="7">
        <v>67</v>
      </c>
      <c r="E1873" s="5">
        <f>XLOOKUP(G1873, item_category!C:C, item_category!B:B, "Not Found")</f>
      </c>
      <c r="F1873" s="1" t="s">
        <v>5516</v>
      </c>
      <c r="G1873" s="5">
        <f>XLOOKUP(I1873, drug!B:B, drug!A:A, "Not Found")</f>
      </c>
      <c r="H1873" s="1" t="s">
        <v>1710</v>
      </c>
      <c r="I1873" s="7">
        <v>1</v>
      </c>
      <c r="J1873" s="5">
        <f>XLOOKUP(L1873, uom!C:C, uom!B:B, "Not Found")</f>
      </c>
      <c r="K1873" s="1" t="s">
        <v>5511</v>
      </c>
      <c r="L1873" s="5">
        <f>XLOOKUP(N1873, uom!C:C, uom!B:B, "Not Found")</f>
      </c>
      <c r="M1873" s="1" t="s">
        <v>5511</v>
      </c>
      <c r="N1873" s="8" t="s">
        <v>5512</v>
      </c>
      <c r="O1873" s="1" t="s">
        <v>5513</v>
      </c>
      <c r="P1873" s="5">
        <f>XLOOKUP(R1873, classification!C:C, classification!B:B, "Not Found")</f>
      </c>
      <c r="Q1873" s="1" t="s">
        <v>5514</v>
      </c>
      <c r="R1873" s="2"/>
      <c r="S1873" s="2"/>
      <c r="T1873" s="2"/>
      <c r="U1873" s="2"/>
    </row>
    <row x14ac:dyDescent="0.25" r="1874" customHeight="1" ht="17.25">
      <c r="A1874" s="7">
        <v>1873</v>
      </c>
      <c r="B1874" s="1" t="s">
        <v>7275</v>
      </c>
      <c r="C1874" s="5">
        <f>CONCATENATE("PD", TEXT(A1874, "1000000"))</f>
      </c>
      <c r="D1874" s="7">
        <v>76</v>
      </c>
      <c r="E1874" s="5">
        <f>XLOOKUP(G1874, item_category!C:C, item_category!B:B, "Not Found")</f>
      </c>
      <c r="F1874" s="1" t="s">
        <v>5632</v>
      </c>
      <c r="G1874" s="5">
        <f>XLOOKUP(I1874, drug!B:B, drug!A:A, "Not Found")</f>
      </c>
      <c r="H1874" s="1"/>
      <c r="I1874" s="7">
        <v>1</v>
      </c>
      <c r="J1874" s="5">
        <f>XLOOKUP(L1874, uom!C:C, uom!B:B, "Not Found")</f>
      </c>
      <c r="K1874" s="1" t="s">
        <v>5511</v>
      </c>
      <c r="L1874" s="5">
        <f>XLOOKUP(N1874, uom!C:C, uom!B:B, "Not Found")</f>
      </c>
      <c r="M1874" s="1" t="s">
        <v>5511</v>
      </c>
      <c r="N1874" s="8" t="s">
        <v>5512</v>
      </c>
      <c r="O1874" s="1" t="s">
        <v>5513</v>
      </c>
      <c r="P1874" s="5">
        <f>XLOOKUP(R1874, classification!C:C, classification!B:B, "Not Found")</f>
      </c>
      <c r="Q1874" s="1" t="s">
        <v>5514</v>
      </c>
      <c r="R1874" s="2"/>
      <c r="S1874" s="2"/>
      <c r="T1874" s="2"/>
      <c r="U1874" s="2"/>
    </row>
    <row x14ac:dyDescent="0.25" r="1875" customHeight="1" ht="17.25">
      <c r="A1875" s="7">
        <v>1874</v>
      </c>
      <c r="B1875" s="1" t="s">
        <v>7276</v>
      </c>
      <c r="C1875" s="5">
        <f>CONCATENATE("PD", TEXT(A1875, "1000000"))</f>
      </c>
      <c r="D1875" s="7">
        <v>76</v>
      </c>
      <c r="E1875" s="5">
        <f>XLOOKUP(G1875, item_category!C:C, item_category!B:B, "Not Found")</f>
      </c>
      <c r="F1875" s="1" t="s">
        <v>5632</v>
      </c>
      <c r="G1875" s="5">
        <f>XLOOKUP(I1875, drug!B:B, drug!A:A, "Not Found")</f>
      </c>
      <c r="H1875" s="1"/>
      <c r="I1875" s="7">
        <v>1</v>
      </c>
      <c r="J1875" s="5">
        <f>XLOOKUP(L1875, uom!C:C, uom!B:B, "Not Found")</f>
      </c>
      <c r="K1875" s="1" t="s">
        <v>5511</v>
      </c>
      <c r="L1875" s="5">
        <f>XLOOKUP(N1875, uom!C:C, uom!B:B, "Not Found")</f>
      </c>
      <c r="M1875" s="1" t="s">
        <v>5511</v>
      </c>
      <c r="N1875" s="8" t="s">
        <v>5512</v>
      </c>
      <c r="O1875" s="1" t="s">
        <v>5513</v>
      </c>
      <c r="P1875" s="5">
        <f>XLOOKUP(R1875, classification!C:C, classification!B:B, "Not Found")</f>
      </c>
      <c r="Q1875" s="1" t="s">
        <v>5514</v>
      </c>
      <c r="R1875" s="2"/>
      <c r="S1875" s="2"/>
      <c r="T1875" s="2"/>
      <c r="U1875" s="2"/>
    </row>
    <row x14ac:dyDescent="0.25" r="1876" customHeight="1" ht="17.25">
      <c r="A1876" s="7">
        <v>1875</v>
      </c>
      <c r="B1876" s="1" t="s">
        <v>7277</v>
      </c>
      <c r="C1876" s="5">
        <f>CONCATENATE("PD", TEXT(A1876, "1000000"))</f>
      </c>
      <c r="D1876" s="7">
        <v>76</v>
      </c>
      <c r="E1876" s="5">
        <f>XLOOKUP(G1876, item_category!C:C, item_category!B:B, "Not Found")</f>
      </c>
      <c r="F1876" s="1" t="s">
        <v>5632</v>
      </c>
      <c r="G1876" s="5">
        <f>XLOOKUP(I1876, drug!B:B, drug!A:A, "Not Found")</f>
      </c>
      <c r="H1876" s="1"/>
      <c r="I1876" s="7">
        <v>1</v>
      </c>
      <c r="J1876" s="5">
        <f>XLOOKUP(L1876, uom!C:C, uom!B:B, "Not Found")</f>
      </c>
      <c r="K1876" s="1" t="s">
        <v>5511</v>
      </c>
      <c r="L1876" s="5">
        <f>XLOOKUP(N1876, uom!C:C, uom!B:B, "Not Found")</f>
      </c>
      <c r="M1876" s="1" t="s">
        <v>5511</v>
      </c>
      <c r="N1876" s="8" t="s">
        <v>5512</v>
      </c>
      <c r="O1876" s="1" t="s">
        <v>5513</v>
      </c>
      <c r="P1876" s="5">
        <f>XLOOKUP(R1876, classification!C:C, classification!B:B, "Not Found")</f>
      </c>
      <c r="Q1876" s="1" t="s">
        <v>5514</v>
      </c>
      <c r="R1876" s="2"/>
      <c r="S1876" s="2"/>
      <c r="T1876" s="2"/>
      <c r="U1876" s="2"/>
    </row>
    <row x14ac:dyDescent="0.25" r="1877" customHeight="1" ht="17.25">
      <c r="A1877" s="7">
        <v>1876</v>
      </c>
      <c r="B1877" s="1" t="s">
        <v>7278</v>
      </c>
      <c r="C1877" s="5">
        <f>CONCATENATE("PD", TEXT(A1877, "1000000"))</f>
      </c>
      <c r="D1877" s="7">
        <v>76</v>
      </c>
      <c r="E1877" s="5">
        <f>XLOOKUP(G1877, item_category!C:C, item_category!B:B, "Not Found")</f>
      </c>
      <c r="F1877" s="1" t="s">
        <v>5632</v>
      </c>
      <c r="G1877" s="5">
        <f>XLOOKUP(I1877, drug!B:B, drug!A:A, "Not Found")</f>
      </c>
      <c r="H1877" s="1"/>
      <c r="I1877" s="7">
        <v>1</v>
      </c>
      <c r="J1877" s="5">
        <f>XLOOKUP(L1877, uom!C:C, uom!B:B, "Not Found")</f>
      </c>
      <c r="K1877" s="1" t="s">
        <v>5511</v>
      </c>
      <c r="L1877" s="5">
        <f>XLOOKUP(N1877, uom!C:C, uom!B:B, "Not Found")</f>
      </c>
      <c r="M1877" s="1" t="s">
        <v>5511</v>
      </c>
      <c r="N1877" s="8" t="s">
        <v>5512</v>
      </c>
      <c r="O1877" s="1" t="s">
        <v>5513</v>
      </c>
      <c r="P1877" s="5">
        <f>XLOOKUP(R1877, classification!C:C, classification!B:B, "Not Found")</f>
      </c>
      <c r="Q1877" s="1" t="s">
        <v>5514</v>
      </c>
      <c r="R1877" s="2"/>
      <c r="S1877" s="2"/>
      <c r="T1877" s="2"/>
      <c r="U1877" s="2"/>
    </row>
    <row x14ac:dyDescent="0.25" r="1878" customHeight="1" ht="17.25">
      <c r="A1878" s="7">
        <v>1877</v>
      </c>
      <c r="B1878" s="1" t="s">
        <v>7279</v>
      </c>
      <c r="C1878" s="5">
        <f>CONCATENATE("PD", TEXT(A1878, "1000000"))</f>
      </c>
      <c r="D1878" s="7">
        <v>76</v>
      </c>
      <c r="E1878" s="5">
        <f>XLOOKUP(G1878, item_category!C:C, item_category!B:B, "Not Found")</f>
      </c>
      <c r="F1878" s="1" t="s">
        <v>5632</v>
      </c>
      <c r="G1878" s="5">
        <f>XLOOKUP(I1878, drug!B:B, drug!A:A, "Not Found")</f>
      </c>
      <c r="H1878" s="1"/>
      <c r="I1878" s="7">
        <v>1</v>
      </c>
      <c r="J1878" s="5">
        <f>XLOOKUP(L1878, uom!C:C, uom!B:B, "Not Found")</f>
      </c>
      <c r="K1878" s="1" t="s">
        <v>5511</v>
      </c>
      <c r="L1878" s="5">
        <f>XLOOKUP(N1878, uom!C:C, uom!B:B, "Not Found")</f>
      </c>
      <c r="M1878" s="1" t="s">
        <v>5511</v>
      </c>
      <c r="N1878" s="8" t="s">
        <v>5512</v>
      </c>
      <c r="O1878" s="1" t="s">
        <v>5513</v>
      </c>
      <c r="P1878" s="5">
        <f>XLOOKUP(R1878, classification!C:C, classification!B:B, "Not Found")</f>
      </c>
      <c r="Q1878" s="1" t="s">
        <v>5514</v>
      </c>
      <c r="R1878" s="2"/>
      <c r="S1878" s="2"/>
      <c r="T1878" s="2"/>
      <c r="U1878" s="2"/>
    </row>
    <row x14ac:dyDescent="0.25" r="1879" customHeight="1" ht="17.25">
      <c r="A1879" s="7">
        <v>1878</v>
      </c>
      <c r="B1879" s="1" t="s">
        <v>7280</v>
      </c>
      <c r="C1879" s="5">
        <f>CONCATENATE("PD", TEXT(A1879, "1000000"))</f>
      </c>
      <c r="D1879" s="7">
        <v>76</v>
      </c>
      <c r="E1879" s="5">
        <f>XLOOKUP(G1879, item_category!C:C, item_category!B:B, "Not Found")</f>
      </c>
      <c r="F1879" s="1" t="s">
        <v>5632</v>
      </c>
      <c r="G1879" s="5">
        <f>XLOOKUP(I1879, drug!B:B, drug!A:A, "Not Found")</f>
      </c>
      <c r="H1879" s="1"/>
      <c r="I1879" s="7">
        <v>1</v>
      </c>
      <c r="J1879" s="5">
        <f>XLOOKUP(L1879, uom!C:C, uom!B:B, "Not Found")</f>
      </c>
      <c r="K1879" s="1" t="s">
        <v>5511</v>
      </c>
      <c r="L1879" s="5">
        <f>XLOOKUP(N1879, uom!C:C, uom!B:B, "Not Found")</f>
      </c>
      <c r="M1879" s="1" t="s">
        <v>5511</v>
      </c>
      <c r="N1879" s="8" t="s">
        <v>5512</v>
      </c>
      <c r="O1879" s="1" t="s">
        <v>5513</v>
      </c>
      <c r="P1879" s="5">
        <f>XLOOKUP(R1879, classification!C:C, classification!B:B, "Not Found")</f>
      </c>
      <c r="Q1879" s="1" t="s">
        <v>5514</v>
      </c>
      <c r="R1879" s="2"/>
      <c r="S1879" s="2"/>
      <c r="T1879" s="2"/>
      <c r="U1879" s="2"/>
    </row>
    <row x14ac:dyDescent="0.25" r="1880" customHeight="1" ht="17.25">
      <c r="A1880" s="7">
        <v>1879</v>
      </c>
      <c r="B1880" s="1" t="s">
        <v>7281</v>
      </c>
      <c r="C1880" s="5">
        <f>CONCATENATE("PD", TEXT(A1880, "1000000"))</f>
      </c>
      <c r="D1880" s="7">
        <v>76</v>
      </c>
      <c r="E1880" s="5">
        <f>XLOOKUP(G1880, item_category!C:C, item_category!B:B, "Not Found")</f>
      </c>
      <c r="F1880" s="1" t="s">
        <v>5632</v>
      </c>
      <c r="G1880" s="5">
        <f>XLOOKUP(I1880, drug!B:B, drug!A:A, "Not Found")</f>
      </c>
      <c r="H1880" s="1"/>
      <c r="I1880" s="7">
        <v>1</v>
      </c>
      <c r="J1880" s="5">
        <f>XLOOKUP(L1880, uom!C:C, uom!B:B, "Not Found")</f>
      </c>
      <c r="K1880" s="1" t="s">
        <v>5511</v>
      </c>
      <c r="L1880" s="5">
        <f>XLOOKUP(N1880, uom!C:C, uom!B:B, "Not Found")</f>
      </c>
      <c r="M1880" s="1" t="s">
        <v>5511</v>
      </c>
      <c r="N1880" s="8" t="s">
        <v>5512</v>
      </c>
      <c r="O1880" s="1" t="s">
        <v>5513</v>
      </c>
      <c r="P1880" s="5">
        <f>XLOOKUP(R1880, classification!C:C, classification!B:B, "Not Found")</f>
      </c>
      <c r="Q1880" s="1" t="s">
        <v>5514</v>
      </c>
      <c r="R1880" s="2"/>
      <c r="S1880" s="2"/>
      <c r="T1880" s="2"/>
      <c r="U1880" s="2"/>
    </row>
    <row x14ac:dyDescent="0.25" r="1881" customHeight="1" ht="17.25">
      <c r="A1881" s="7">
        <v>1880</v>
      </c>
      <c r="B1881" s="1" t="s">
        <v>7282</v>
      </c>
      <c r="C1881" s="5">
        <f>CONCATENATE("PD", TEXT(A1881, "1000000"))</f>
      </c>
      <c r="D1881" s="7">
        <v>76</v>
      </c>
      <c r="E1881" s="5">
        <f>XLOOKUP(G1881, item_category!C:C, item_category!B:B, "Not Found")</f>
      </c>
      <c r="F1881" s="1" t="s">
        <v>5632</v>
      </c>
      <c r="G1881" s="5">
        <f>XLOOKUP(I1881, drug!B:B, drug!A:A, "Not Found")</f>
      </c>
      <c r="H1881" s="1"/>
      <c r="I1881" s="7">
        <v>1</v>
      </c>
      <c r="J1881" s="5">
        <f>XLOOKUP(L1881, uom!C:C, uom!B:B, "Not Found")</f>
      </c>
      <c r="K1881" s="1" t="s">
        <v>5511</v>
      </c>
      <c r="L1881" s="5">
        <f>XLOOKUP(N1881, uom!C:C, uom!B:B, "Not Found")</f>
      </c>
      <c r="M1881" s="1" t="s">
        <v>5511</v>
      </c>
      <c r="N1881" s="8" t="s">
        <v>5512</v>
      </c>
      <c r="O1881" s="1" t="s">
        <v>5513</v>
      </c>
      <c r="P1881" s="5">
        <f>XLOOKUP(R1881, classification!C:C, classification!B:B, "Not Found")</f>
      </c>
      <c r="Q1881" s="1" t="s">
        <v>5514</v>
      </c>
      <c r="R1881" s="2"/>
      <c r="S1881" s="2"/>
      <c r="T1881" s="2"/>
      <c r="U1881" s="2"/>
    </row>
    <row x14ac:dyDescent="0.25" r="1882" customHeight="1" ht="17.25">
      <c r="A1882" s="7">
        <v>1881</v>
      </c>
      <c r="B1882" s="1" t="s">
        <v>7283</v>
      </c>
      <c r="C1882" s="5">
        <f>CONCATENATE("PD", TEXT(A1882, "1000000"))</f>
      </c>
      <c r="D1882" s="7">
        <v>76</v>
      </c>
      <c r="E1882" s="5">
        <f>XLOOKUP(G1882, item_category!C:C, item_category!B:B, "Not Found")</f>
      </c>
      <c r="F1882" s="1" t="s">
        <v>5632</v>
      </c>
      <c r="G1882" s="5">
        <f>XLOOKUP(I1882, drug!B:B, drug!A:A, "Not Found")</f>
      </c>
      <c r="H1882" s="1"/>
      <c r="I1882" s="7">
        <v>1</v>
      </c>
      <c r="J1882" s="5">
        <f>XLOOKUP(L1882, uom!C:C, uom!B:B, "Not Found")</f>
      </c>
      <c r="K1882" s="1" t="s">
        <v>5511</v>
      </c>
      <c r="L1882" s="5">
        <f>XLOOKUP(N1882, uom!C:C, uom!B:B, "Not Found")</f>
      </c>
      <c r="M1882" s="1" t="s">
        <v>5511</v>
      </c>
      <c r="N1882" s="8" t="s">
        <v>5512</v>
      </c>
      <c r="O1882" s="1" t="s">
        <v>5513</v>
      </c>
      <c r="P1882" s="5">
        <f>XLOOKUP(R1882, classification!C:C, classification!B:B, "Not Found")</f>
      </c>
      <c r="Q1882" s="1" t="s">
        <v>5514</v>
      </c>
      <c r="R1882" s="2"/>
      <c r="S1882" s="2"/>
      <c r="T1882" s="2"/>
      <c r="U1882" s="2"/>
    </row>
    <row x14ac:dyDescent="0.25" r="1883" customHeight="1" ht="17.25">
      <c r="A1883" s="7">
        <v>1882</v>
      </c>
      <c r="B1883" s="1" t="s">
        <v>7284</v>
      </c>
      <c r="C1883" s="5">
        <f>CONCATENATE("PD", TEXT(A1883, "1000000"))</f>
      </c>
      <c r="D1883" s="7">
        <v>76</v>
      </c>
      <c r="E1883" s="5">
        <f>XLOOKUP(G1883, item_category!C:C, item_category!B:B, "Not Found")</f>
      </c>
      <c r="F1883" s="1" t="s">
        <v>5632</v>
      </c>
      <c r="G1883" s="5">
        <f>XLOOKUP(I1883, drug!B:B, drug!A:A, "Not Found")</f>
      </c>
      <c r="H1883" s="1" t="s">
        <v>1942</v>
      </c>
      <c r="I1883" s="7">
        <v>1</v>
      </c>
      <c r="J1883" s="5">
        <f>XLOOKUP(L1883, uom!C:C, uom!B:B, "Not Found")</f>
      </c>
      <c r="K1883" s="1" t="s">
        <v>5511</v>
      </c>
      <c r="L1883" s="5">
        <f>XLOOKUP(N1883, uom!C:C, uom!B:B, "Not Found")</f>
      </c>
      <c r="M1883" s="1" t="s">
        <v>5511</v>
      </c>
      <c r="N1883" s="8" t="s">
        <v>5512</v>
      </c>
      <c r="O1883" s="1" t="s">
        <v>5513</v>
      </c>
      <c r="P1883" s="5">
        <f>XLOOKUP(R1883, classification!C:C, classification!B:B, "Not Found")</f>
      </c>
      <c r="Q1883" s="1" t="s">
        <v>5514</v>
      </c>
      <c r="R1883" s="2"/>
      <c r="S1883" s="2"/>
      <c r="T1883" s="2"/>
      <c r="U1883" s="2"/>
    </row>
    <row x14ac:dyDescent="0.25" r="1884" customHeight="1" ht="17.25">
      <c r="A1884" s="7">
        <v>1883</v>
      </c>
      <c r="B1884" s="1" t="s">
        <v>7285</v>
      </c>
      <c r="C1884" s="5">
        <f>CONCATENATE("PD", TEXT(A1884, "1000000"))</f>
      </c>
      <c r="D1884" s="7">
        <v>76</v>
      </c>
      <c r="E1884" s="5">
        <f>XLOOKUP(G1884, item_category!C:C, item_category!B:B, "Not Found")</f>
      </c>
      <c r="F1884" s="1" t="s">
        <v>5632</v>
      </c>
      <c r="G1884" s="5">
        <f>XLOOKUP(I1884, drug!B:B, drug!A:A, "Not Found")</f>
      </c>
      <c r="H1884" s="1"/>
      <c r="I1884" s="7">
        <v>1</v>
      </c>
      <c r="J1884" s="5">
        <f>XLOOKUP(L1884, uom!C:C, uom!B:B, "Not Found")</f>
      </c>
      <c r="K1884" s="1" t="s">
        <v>5511</v>
      </c>
      <c r="L1884" s="5">
        <f>XLOOKUP(N1884, uom!C:C, uom!B:B, "Not Found")</f>
      </c>
      <c r="M1884" s="1" t="s">
        <v>5511</v>
      </c>
      <c r="N1884" s="8" t="s">
        <v>5512</v>
      </c>
      <c r="O1884" s="1" t="s">
        <v>5513</v>
      </c>
      <c r="P1884" s="5">
        <f>XLOOKUP(R1884, classification!C:C, classification!B:B, "Not Found")</f>
      </c>
      <c r="Q1884" s="1" t="s">
        <v>5514</v>
      </c>
      <c r="R1884" s="2"/>
      <c r="S1884" s="2"/>
      <c r="T1884" s="2"/>
      <c r="U1884" s="2"/>
    </row>
    <row x14ac:dyDescent="0.25" r="1885" customHeight="1" ht="17.25">
      <c r="A1885" s="7">
        <v>1884</v>
      </c>
      <c r="B1885" s="1" t="s">
        <v>7286</v>
      </c>
      <c r="C1885" s="5">
        <f>CONCATENATE("PD", TEXT(A1885, "1000000"))</f>
      </c>
      <c r="D1885" s="7">
        <v>76</v>
      </c>
      <c r="E1885" s="5">
        <f>XLOOKUP(G1885, item_category!C:C, item_category!B:B, "Not Found")</f>
      </c>
      <c r="F1885" s="1" t="s">
        <v>5632</v>
      </c>
      <c r="G1885" s="5">
        <f>XLOOKUP(I1885, drug!B:B, drug!A:A, "Not Found")</f>
      </c>
      <c r="H1885" s="1"/>
      <c r="I1885" s="7">
        <v>1</v>
      </c>
      <c r="J1885" s="5">
        <f>XLOOKUP(L1885, uom!C:C, uom!B:B, "Not Found")</f>
      </c>
      <c r="K1885" s="1" t="s">
        <v>5511</v>
      </c>
      <c r="L1885" s="5">
        <f>XLOOKUP(N1885, uom!C:C, uom!B:B, "Not Found")</f>
      </c>
      <c r="M1885" s="1" t="s">
        <v>5511</v>
      </c>
      <c r="N1885" s="8" t="s">
        <v>5512</v>
      </c>
      <c r="O1885" s="1" t="s">
        <v>5513</v>
      </c>
      <c r="P1885" s="5">
        <f>XLOOKUP(R1885, classification!C:C, classification!B:B, "Not Found")</f>
      </c>
      <c r="Q1885" s="1" t="s">
        <v>5514</v>
      </c>
      <c r="R1885" s="2"/>
      <c r="S1885" s="2"/>
      <c r="T1885" s="2"/>
      <c r="U1885" s="2"/>
    </row>
    <row x14ac:dyDescent="0.25" r="1886" customHeight="1" ht="17.25">
      <c r="A1886" s="7">
        <v>1885</v>
      </c>
      <c r="B1886" s="1" t="s">
        <v>3022</v>
      </c>
      <c r="C1886" s="5">
        <f>CONCATENATE("PD", TEXT(A1886, "1000000"))</f>
      </c>
      <c r="D1886" s="7">
        <v>76</v>
      </c>
      <c r="E1886" s="5">
        <f>XLOOKUP(G1886, item_category!C:C, item_category!B:B, "Not Found")</f>
      </c>
      <c r="F1886" s="1" t="s">
        <v>5632</v>
      </c>
      <c r="G1886" s="5">
        <f>XLOOKUP(I1886, drug!B:B, drug!A:A, "Not Found")</f>
      </c>
      <c r="H1886" s="1"/>
      <c r="I1886" s="7">
        <v>1</v>
      </c>
      <c r="J1886" s="5">
        <f>XLOOKUP(L1886, uom!C:C, uom!B:B, "Not Found")</f>
      </c>
      <c r="K1886" s="1" t="s">
        <v>5511</v>
      </c>
      <c r="L1886" s="5">
        <f>XLOOKUP(N1886, uom!C:C, uom!B:B, "Not Found")</f>
      </c>
      <c r="M1886" s="1" t="s">
        <v>5511</v>
      </c>
      <c r="N1886" s="8" t="s">
        <v>5512</v>
      </c>
      <c r="O1886" s="1" t="s">
        <v>5513</v>
      </c>
      <c r="P1886" s="5">
        <f>XLOOKUP(R1886, classification!C:C, classification!B:B, "Not Found")</f>
      </c>
      <c r="Q1886" s="1" t="s">
        <v>5514</v>
      </c>
      <c r="R1886" s="2"/>
      <c r="S1886" s="2"/>
      <c r="T1886" s="2"/>
      <c r="U1886" s="2"/>
    </row>
    <row x14ac:dyDescent="0.25" r="1887" customHeight="1" ht="17.25">
      <c r="A1887" s="7">
        <v>1886</v>
      </c>
      <c r="B1887" s="1" t="s">
        <v>7287</v>
      </c>
      <c r="C1887" s="5">
        <f>CONCATENATE("PD", TEXT(A1887, "1000000"))</f>
      </c>
      <c r="D1887" s="7">
        <v>76</v>
      </c>
      <c r="E1887" s="5">
        <f>XLOOKUP(G1887, item_category!C:C, item_category!B:B, "Not Found")</f>
      </c>
      <c r="F1887" s="1" t="s">
        <v>5632</v>
      </c>
      <c r="G1887" s="5">
        <f>XLOOKUP(I1887, drug!B:B, drug!A:A, "Not Found")</f>
      </c>
      <c r="H1887" s="1"/>
      <c r="I1887" s="7">
        <v>1</v>
      </c>
      <c r="J1887" s="5">
        <f>XLOOKUP(L1887, uom!C:C, uom!B:B, "Not Found")</f>
      </c>
      <c r="K1887" s="1" t="s">
        <v>5511</v>
      </c>
      <c r="L1887" s="5">
        <f>XLOOKUP(N1887, uom!C:C, uom!B:B, "Not Found")</f>
      </c>
      <c r="M1887" s="1" t="s">
        <v>5511</v>
      </c>
      <c r="N1887" s="8" t="s">
        <v>5512</v>
      </c>
      <c r="O1887" s="1" t="s">
        <v>5513</v>
      </c>
      <c r="P1887" s="5">
        <f>XLOOKUP(R1887, classification!C:C, classification!B:B, "Not Found")</f>
      </c>
      <c r="Q1887" s="1" t="s">
        <v>5514</v>
      </c>
      <c r="R1887" s="2"/>
      <c r="S1887" s="2"/>
      <c r="T1887" s="2"/>
      <c r="U1887" s="2"/>
    </row>
    <row x14ac:dyDescent="0.25" r="1888" customHeight="1" ht="17.25">
      <c r="A1888" s="7">
        <v>1887</v>
      </c>
      <c r="B1888" s="1" t="s">
        <v>7288</v>
      </c>
      <c r="C1888" s="5">
        <f>CONCATENATE("PD", TEXT(A1888, "1000000"))</f>
      </c>
      <c r="D1888" s="7">
        <v>76</v>
      </c>
      <c r="E1888" s="5">
        <f>XLOOKUP(G1888, item_category!C:C, item_category!B:B, "Not Found")</f>
      </c>
      <c r="F1888" s="1" t="s">
        <v>5632</v>
      </c>
      <c r="G1888" s="5">
        <f>XLOOKUP(I1888, drug!B:B, drug!A:A, "Not Found")</f>
      </c>
      <c r="H1888" s="1"/>
      <c r="I1888" s="7">
        <v>1</v>
      </c>
      <c r="J1888" s="5">
        <f>XLOOKUP(L1888, uom!C:C, uom!B:B, "Not Found")</f>
      </c>
      <c r="K1888" s="1" t="s">
        <v>5511</v>
      </c>
      <c r="L1888" s="5">
        <f>XLOOKUP(N1888, uom!C:C, uom!B:B, "Not Found")</f>
      </c>
      <c r="M1888" s="1" t="s">
        <v>5511</v>
      </c>
      <c r="N1888" s="8" t="s">
        <v>5512</v>
      </c>
      <c r="O1888" s="1" t="s">
        <v>5513</v>
      </c>
      <c r="P1888" s="5">
        <f>XLOOKUP(R1888, classification!C:C, classification!B:B, "Not Found")</f>
      </c>
      <c r="Q1888" s="1" t="s">
        <v>5514</v>
      </c>
      <c r="R1888" s="2"/>
      <c r="S1888" s="2"/>
      <c r="T1888" s="2"/>
      <c r="U1888" s="2"/>
    </row>
    <row x14ac:dyDescent="0.25" r="1889" customHeight="1" ht="17.25">
      <c r="A1889" s="7">
        <v>1888</v>
      </c>
      <c r="B1889" s="1" t="s">
        <v>7289</v>
      </c>
      <c r="C1889" s="5">
        <f>CONCATENATE("PD", TEXT(A1889, "1000000"))</f>
      </c>
      <c r="D1889" s="7">
        <v>76</v>
      </c>
      <c r="E1889" s="5">
        <f>XLOOKUP(G1889, item_category!C:C, item_category!B:B, "Not Found")</f>
      </c>
      <c r="F1889" s="1" t="s">
        <v>5632</v>
      </c>
      <c r="G1889" s="5">
        <f>XLOOKUP(I1889, drug!B:B, drug!A:A, "Not Found")</f>
      </c>
      <c r="H1889" s="1"/>
      <c r="I1889" s="7">
        <v>1</v>
      </c>
      <c r="J1889" s="5">
        <f>XLOOKUP(L1889, uom!C:C, uom!B:B, "Not Found")</f>
      </c>
      <c r="K1889" s="1" t="s">
        <v>5511</v>
      </c>
      <c r="L1889" s="5">
        <f>XLOOKUP(N1889, uom!C:C, uom!B:B, "Not Found")</f>
      </c>
      <c r="M1889" s="1" t="s">
        <v>5511</v>
      </c>
      <c r="N1889" s="8" t="s">
        <v>5512</v>
      </c>
      <c r="O1889" s="1" t="s">
        <v>5513</v>
      </c>
      <c r="P1889" s="5">
        <f>XLOOKUP(R1889, classification!C:C, classification!B:B, "Not Found")</f>
      </c>
      <c r="Q1889" s="1" t="s">
        <v>5514</v>
      </c>
      <c r="R1889" s="2"/>
      <c r="S1889" s="2"/>
      <c r="T1889" s="2"/>
      <c r="U1889" s="2"/>
    </row>
    <row x14ac:dyDescent="0.25" r="1890" customHeight="1" ht="17.25">
      <c r="A1890" s="7">
        <v>1889</v>
      </c>
      <c r="B1890" s="1" t="s">
        <v>7290</v>
      </c>
      <c r="C1890" s="5">
        <f>CONCATENATE("PD", TEXT(A1890, "1000000"))</f>
      </c>
      <c r="D1890" s="7">
        <v>76</v>
      </c>
      <c r="E1890" s="5">
        <f>XLOOKUP(G1890, item_category!C:C, item_category!B:B, "Not Found")</f>
      </c>
      <c r="F1890" s="1" t="s">
        <v>5632</v>
      </c>
      <c r="G1890" s="5">
        <f>XLOOKUP(I1890, drug!B:B, drug!A:A, "Not Found")</f>
      </c>
      <c r="H1890" s="1"/>
      <c r="I1890" s="7">
        <v>1</v>
      </c>
      <c r="J1890" s="5">
        <f>XLOOKUP(L1890, uom!C:C, uom!B:B, "Not Found")</f>
      </c>
      <c r="K1890" s="1" t="s">
        <v>5511</v>
      </c>
      <c r="L1890" s="5">
        <f>XLOOKUP(N1890, uom!C:C, uom!B:B, "Not Found")</f>
      </c>
      <c r="M1890" s="1" t="s">
        <v>5511</v>
      </c>
      <c r="N1890" s="8" t="s">
        <v>5512</v>
      </c>
      <c r="O1890" s="1" t="s">
        <v>5513</v>
      </c>
      <c r="P1890" s="5">
        <f>XLOOKUP(R1890, classification!C:C, classification!B:B, "Not Found")</f>
      </c>
      <c r="Q1890" s="1" t="s">
        <v>5514</v>
      </c>
      <c r="R1890" s="2"/>
      <c r="S1890" s="2"/>
      <c r="T1890" s="2"/>
      <c r="U1890" s="2"/>
    </row>
    <row x14ac:dyDescent="0.25" r="1891" customHeight="1" ht="17.25">
      <c r="A1891" s="7">
        <v>1890</v>
      </c>
      <c r="B1891" s="1" t="s">
        <v>7291</v>
      </c>
      <c r="C1891" s="5">
        <f>CONCATENATE("PD", TEXT(A1891, "1000000"))</f>
      </c>
      <c r="D1891" s="7">
        <v>76</v>
      </c>
      <c r="E1891" s="5">
        <f>XLOOKUP(G1891, item_category!C:C, item_category!B:B, "Not Found")</f>
      </c>
      <c r="F1891" s="1" t="s">
        <v>5632</v>
      </c>
      <c r="G1891" s="5">
        <f>XLOOKUP(I1891, drug!B:B, drug!A:A, "Not Found")</f>
      </c>
      <c r="H1891" s="1"/>
      <c r="I1891" s="7">
        <v>1</v>
      </c>
      <c r="J1891" s="5">
        <f>XLOOKUP(L1891, uom!C:C, uom!B:B, "Not Found")</f>
      </c>
      <c r="K1891" s="1" t="s">
        <v>5511</v>
      </c>
      <c r="L1891" s="5">
        <f>XLOOKUP(N1891, uom!C:C, uom!B:B, "Not Found")</f>
      </c>
      <c r="M1891" s="1" t="s">
        <v>5511</v>
      </c>
      <c r="N1891" s="8" t="s">
        <v>5512</v>
      </c>
      <c r="O1891" s="1" t="s">
        <v>5513</v>
      </c>
      <c r="P1891" s="5">
        <f>XLOOKUP(R1891, classification!C:C, classification!B:B, "Not Found")</f>
      </c>
      <c r="Q1891" s="1" t="s">
        <v>5514</v>
      </c>
      <c r="R1891" s="2"/>
      <c r="S1891" s="2"/>
      <c r="T1891" s="2"/>
      <c r="U1891" s="2"/>
    </row>
    <row x14ac:dyDescent="0.25" r="1892" customHeight="1" ht="17.25">
      <c r="A1892" s="7">
        <v>1891</v>
      </c>
      <c r="B1892" s="1" t="s">
        <v>7292</v>
      </c>
      <c r="C1892" s="5">
        <f>CONCATENATE("PD", TEXT(A1892, "1000000"))</f>
      </c>
      <c r="D1892" s="7">
        <v>76</v>
      </c>
      <c r="E1892" s="5">
        <f>XLOOKUP(G1892, item_category!C:C, item_category!B:B, "Not Found")</f>
      </c>
      <c r="F1892" s="1" t="s">
        <v>5632</v>
      </c>
      <c r="G1892" s="5">
        <f>XLOOKUP(I1892, drug!B:B, drug!A:A, "Not Found")</f>
      </c>
      <c r="H1892" s="1" t="s">
        <v>1942</v>
      </c>
      <c r="I1892" s="7">
        <v>1</v>
      </c>
      <c r="J1892" s="5">
        <f>XLOOKUP(L1892, uom!C:C, uom!B:B, "Not Found")</f>
      </c>
      <c r="K1892" s="1" t="s">
        <v>5511</v>
      </c>
      <c r="L1892" s="5">
        <f>XLOOKUP(N1892, uom!C:C, uom!B:B, "Not Found")</f>
      </c>
      <c r="M1892" s="1" t="s">
        <v>5511</v>
      </c>
      <c r="N1892" s="8" t="s">
        <v>5512</v>
      </c>
      <c r="O1892" s="1" t="s">
        <v>5513</v>
      </c>
      <c r="P1892" s="5">
        <f>XLOOKUP(R1892, classification!C:C, classification!B:B, "Not Found")</f>
      </c>
      <c r="Q1892" s="1" t="s">
        <v>5514</v>
      </c>
      <c r="R1892" s="2"/>
      <c r="S1892" s="2"/>
      <c r="T1892" s="2"/>
      <c r="U1892" s="2"/>
    </row>
    <row x14ac:dyDescent="0.25" r="1893" customHeight="1" ht="17.25">
      <c r="A1893" s="7">
        <v>1892</v>
      </c>
      <c r="B1893" s="1" t="s">
        <v>7293</v>
      </c>
      <c r="C1893" s="5">
        <f>CONCATENATE("PD", TEXT(A1893, "1000000"))</f>
      </c>
      <c r="D1893" s="7">
        <v>76</v>
      </c>
      <c r="E1893" s="5">
        <f>XLOOKUP(G1893, item_category!C:C, item_category!B:B, "Not Found")</f>
      </c>
      <c r="F1893" s="1" t="s">
        <v>5632</v>
      </c>
      <c r="G1893" s="5">
        <f>XLOOKUP(I1893, drug!B:B, drug!A:A, "Not Found")</f>
      </c>
      <c r="H1893" s="1"/>
      <c r="I1893" s="7">
        <v>1</v>
      </c>
      <c r="J1893" s="5">
        <f>XLOOKUP(L1893, uom!C:C, uom!B:B, "Not Found")</f>
      </c>
      <c r="K1893" s="1" t="s">
        <v>5511</v>
      </c>
      <c r="L1893" s="5">
        <f>XLOOKUP(N1893, uom!C:C, uom!B:B, "Not Found")</f>
      </c>
      <c r="M1893" s="1" t="s">
        <v>5511</v>
      </c>
      <c r="N1893" s="8" t="s">
        <v>5512</v>
      </c>
      <c r="O1893" s="1" t="s">
        <v>5513</v>
      </c>
      <c r="P1893" s="5">
        <f>XLOOKUP(R1893, classification!C:C, classification!B:B, "Not Found")</f>
      </c>
      <c r="Q1893" s="1" t="s">
        <v>5514</v>
      </c>
      <c r="R1893" s="2"/>
      <c r="S1893" s="2"/>
      <c r="T1893" s="2"/>
      <c r="U1893" s="2"/>
    </row>
    <row x14ac:dyDescent="0.25" r="1894" customHeight="1" ht="17.25">
      <c r="A1894" s="7">
        <v>1893</v>
      </c>
      <c r="B1894" s="1" t="s">
        <v>7294</v>
      </c>
      <c r="C1894" s="5">
        <f>CONCATENATE("PD", TEXT(A1894, "1000000"))</f>
      </c>
      <c r="D1894" s="7">
        <v>76</v>
      </c>
      <c r="E1894" s="5">
        <f>XLOOKUP(G1894, item_category!C:C, item_category!B:B, "Not Found")</f>
      </c>
      <c r="F1894" s="1" t="s">
        <v>5632</v>
      </c>
      <c r="G1894" s="5">
        <f>XLOOKUP(I1894, drug!B:B, drug!A:A, "Not Found")</f>
      </c>
      <c r="H1894" s="1"/>
      <c r="I1894" s="7">
        <v>1</v>
      </c>
      <c r="J1894" s="5">
        <f>XLOOKUP(L1894, uom!C:C, uom!B:B, "Not Found")</f>
      </c>
      <c r="K1894" s="1" t="s">
        <v>5511</v>
      </c>
      <c r="L1894" s="5">
        <f>XLOOKUP(N1894, uom!C:C, uom!B:B, "Not Found")</f>
      </c>
      <c r="M1894" s="1" t="s">
        <v>5511</v>
      </c>
      <c r="N1894" s="8" t="s">
        <v>5512</v>
      </c>
      <c r="O1894" s="1" t="s">
        <v>5513</v>
      </c>
      <c r="P1894" s="5">
        <f>XLOOKUP(R1894, classification!C:C, classification!B:B, "Not Found")</f>
      </c>
      <c r="Q1894" s="1" t="s">
        <v>5514</v>
      </c>
      <c r="R1894" s="2"/>
      <c r="S1894" s="2"/>
      <c r="T1894" s="2"/>
      <c r="U1894" s="2"/>
    </row>
    <row x14ac:dyDescent="0.25" r="1895" customHeight="1" ht="17.25">
      <c r="A1895" s="7">
        <v>1894</v>
      </c>
      <c r="B1895" s="1" t="s">
        <v>7295</v>
      </c>
      <c r="C1895" s="5">
        <f>CONCATENATE("PD", TEXT(A1895, "1000000"))</f>
      </c>
      <c r="D1895" s="7">
        <v>76</v>
      </c>
      <c r="E1895" s="5">
        <f>XLOOKUP(G1895, item_category!C:C, item_category!B:B, "Not Found")</f>
      </c>
      <c r="F1895" s="1" t="s">
        <v>5632</v>
      </c>
      <c r="G1895" s="5">
        <f>XLOOKUP(I1895, drug!B:B, drug!A:A, "Not Found")</f>
      </c>
      <c r="H1895" s="1"/>
      <c r="I1895" s="7">
        <v>1</v>
      </c>
      <c r="J1895" s="5">
        <f>XLOOKUP(L1895, uom!C:C, uom!B:B, "Not Found")</f>
      </c>
      <c r="K1895" s="1" t="s">
        <v>5511</v>
      </c>
      <c r="L1895" s="5">
        <f>XLOOKUP(N1895, uom!C:C, uom!B:B, "Not Found")</f>
      </c>
      <c r="M1895" s="1" t="s">
        <v>5511</v>
      </c>
      <c r="N1895" s="8" t="s">
        <v>5512</v>
      </c>
      <c r="O1895" s="1" t="s">
        <v>5513</v>
      </c>
      <c r="P1895" s="5">
        <f>XLOOKUP(R1895, classification!C:C, classification!B:B, "Not Found")</f>
      </c>
      <c r="Q1895" s="1" t="s">
        <v>5514</v>
      </c>
      <c r="R1895" s="2"/>
      <c r="S1895" s="2"/>
      <c r="T1895" s="2"/>
      <c r="U1895" s="2"/>
    </row>
    <row x14ac:dyDescent="0.25" r="1896" customHeight="1" ht="17.25">
      <c r="A1896" s="7">
        <v>1895</v>
      </c>
      <c r="B1896" s="1" t="s">
        <v>7296</v>
      </c>
      <c r="C1896" s="5">
        <f>CONCATENATE("PD", TEXT(A1896, "1000000"))</f>
      </c>
      <c r="D1896" s="7">
        <v>76</v>
      </c>
      <c r="E1896" s="5">
        <f>XLOOKUP(G1896, item_category!C:C, item_category!B:B, "Not Found")</f>
      </c>
      <c r="F1896" s="1" t="s">
        <v>5632</v>
      </c>
      <c r="G1896" s="5">
        <f>XLOOKUP(I1896, drug!B:B, drug!A:A, "Not Found")</f>
      </c>
      <c r="H1896" s="1"/>
      <c r="I1896" s="7">
        <v>1</v>
      </c>
      <c r="J1896" s="5">
        <f>XLOOKUP(L1896, uom!C:C, uom!B:B, "Not Found")</f>
      </c>
      <c r="K1896" s="1" t="s">
        <v>5511</v>
      </c>
      <c r="L1896" s="5">
        <f>XLOOKUP(N1896, uom!C:C, uom!B:B, "Not Found")</f>
      </c>
      <c r="M1896" s="1" t="s">
        <v>5511</v>
      </c>
      <c r="N1896" s="8" t="s">
        <v>5512</v>
      </c>
      <c r="O1896" s="1" t="s">
        <v>5513</v>
      </c>
      <c r="P1896" s="5">
        <f>XLOOKUP(R1896, classification!C:C, classification!B:B, "Not Found")</f>
      </c>
      <c r="Q1896" s="1" t="s">
        <v>5514</v>
      </c>
      <c r="R1896" s="2"/>
      <c r="S1896" s="2"/>
      <c r="T1896" s="2"/>
      <c r="U1896" s="2"/>
    </row>
    <row x14ac:dyDescent="0.25" r="1897" customHeight="1" ht="17.25">
      <c r="A1897" s="7">
        <v>1896</v>
      </c>
      <c r="B1897" s="1" t="s">
        <v>7297</v>
      </c>
      <c r="C1897" s="5">
        <f>CONCATENATE("PD", TEXT(A1897, "1000000"))</f>
      </c>
      <c r="D1897" s="7">
        <v>76</v>
      </c>
      <c r="E1897" s="5">
        <f>XLOOKUP(G1897, item_category!C:C, item_category!B:B, "Not Found")</f>
      </c>
      <c r="F1897" s="1" t="s">
        <v>5632</v>
      </c>
      <c r="G1897" s="5">
        <f>XLOOKUP(I1897, drug!B:B, drug!A:A, "Not Found")</f>
      </c>
      <c r="H1897" s="1"/>
      <c r="I1897" s="7">
        <v>1</v>
      </c>
      <c r="J1897" s="5">
        <f>XLOOKUP(L1897, uom!C:C, uom!B:B, "Not Found")</f>
      </c>
      <c r="K1897" s="1" t="s">
        <v>5511</v>
      </c>
      <c r="L1897" s="5">
        <f>XLOOKUP(N1897, uom!C:C, uom!B:B, "Not Found")</f>
      </c>
      <c r="M1897" s="1" t="s">
        <v>5511</v>
      </c>
      <c r="N1897" s="8" t="s">
        <v>5512</v>
      </c>
      <c r="O1897" s="1" t="s">
        <v>5513</v>
      </c>
      <c r="P1897" s="5">
        <f>XLOOKUP(R1897, classification!C:C, classification!B:B, "Not Found")</f>
      </c>
      <c r="Q1897" s="1" t="s">
        <v>5514</v>
      </c>
      <c r="R1897" s="2"/>
      <c r="S1897" s="2"/>
      <c r="T1897" s="2"/>
      <c r="U1897" s="2"/>
    </row>
    <row x14ac:dyDescent="0.25" r="1898" customHeight="1" ht="17.25">
      <c r="A1898" s="7">
        <v>1897</v>
      </c>
      <c r="B1898" s="1" t="s">
        <v>7298</v>
      </c>
      <c r="C1898" s="5">
        <f>CONCATENATE("PD", TEXT(A1898, "1000000"))</f>
      </c>
      <c r="D1898" s="7">
        <v>76</v>
      </c>
      <c r="E1898" s="5">
        <f>XLOOKUP(G1898, item_category!C:C, item_category!B:B, "Not Found")</f>
      </c>
      <c r="F1898" s="1" t="s">
        <v>5632</v>
      </c>
      <c r="G1898" s="5">
        <f>XLOOKUP(I1898, drug!B:B, drug!A:A, "Not Found")</f>
      </c>
      <c r="H1898" s="1"/>
      <c r="I1898" s="7">
        <v>1</v>
      </c>
      <c r="J1898" s="5">
        <f>XLOOKUP(L1898, uom!C:C, uom!B:B, "Not Found")</f>
      </c>
      <c r="K1898" s="1" t="s">
        <v>5511</v>
      </c>
      <c r="L1898" s="5">
        <f>XLOOKUP(N1898, uom!C:C, uom!B:B, "Not Found")</f>
      </c>
      <c r="M1898" s="1" t="s">
        <v>5511</v>
      </c>
      <c r="N1898" s="8" t="s">
        <v>5512</v>
      </c>
      <c r="O1898" s="1" t="s">
        <v>5513</v>
      </c>
      <c r="P1898" s="5">
        <f>XLOOKUP(R1898, classification!C:C, classification!B:B, "Not Found")</f>
      </c>
      <c r="Q1898" s="1" t="s">
        <v>5514</v>
      </c>
      <c r="R1898" s="2"/>
      <c r="S1898" s="2"/>
      <c r="T1898" s="2"/>
      <c r="U1898" s="2"/>
    </row>
    <row x14ac:dyDescent="0.25" r="1899" customHeight="1" ht="17.25">
      <c r="A1899" s="7">
        <v>1898</v>
      </c>
      <c r="B1899" s="1" t="s">
        <v>7299</v>
      </c>
      <c r="C1899" s="5">
        <f>CONCATENATE("PD", TEXT(A1899, "1000000"))</f>
      </c>
      <c r="D1899" s="7">
        <v>76</v>
      </c>
      <c r="E1899" s="5">
        <f>XLOOKUP(G1899, item_category!C:C, item_category!B:B, "Not Found")</f>
      </c>
      <c r="F1899" s="1" t="s">
        <v>5632</v>
      </c>
      <c r="G1899" s="5">
        <f>XLOOKUP(I1899, drug!B:B, drug!A:A, "Not Found")</f>
      </c>
      <c r="H1899" s="1"/>
      <c r="I1899" s="7">
        <v>1</v>
      </c>
      <c r="J1899" s="5">
        <f>XLOOKUP(L1899, uom!C:C, uom!B:B, "Not Found")</f>
      </c>
      <c r="K1899" s="1" t="s">
        <v>5511</v>
      </c>
      <c r="L1899" s="5">
        <f>XLOOKUP(N1899, uom!C:C, uom!B:B, "Not Found")</f>
      </c>
      <c r="M1899" s="1" t="s">
        <v>5511</v>
      </c>
      <c r="N1899" s="8" t="s">
        <v>5512</v>
      </c>
      <c r="O1899" s="1" t="s">
        <v>5513</v>
      </c>
      <c r="P1899" s="5">
        <f>XLOOKUP(R1899, classification!C:C, classification!B:B, "Not Found")</f>
      </c>
      <c r="Q1899" s="1" t="s">
        <v>5514</v>
      </c>
      <c r="R1899" s="2"/>
      <c r="S1899" s="2"/>
      <c r="T1899" s="2"/>
      <c r="U1899" s="2"/>
    </row>
    <row x14ac:dyDescent="0.25" r="1900" customHeight="1" ht="17.25">
      <c r="A1900" s="7">
        <v>1899</v>
      </c>
      <c r="B1900" s="1" t="s">
        <v>7300</v>
      </c>
      <c r="C1900" s="5">
        <f>CONCATENATE("PD", TEXT(A1900, "1000000"))</f>
      </c>
      <c r="D1900" s="7">
        <v>76</v>
      </c>
      <c r="E1900" s="5">
        <f>XLOOKUP(G1900, item_category!C:C, item_category!B:B, "Not Found")</f>
      </c>
      <c r="F1900" s="1" t="s">
        <v>5632</v>
      </c>
      <c r="G1900" s="5">
        <f>XLOOKUP(I1900, drug!B:B, drug!A:A, "Not Found")</f>
      </c>
      <c r="H1900" s="1"/>
      <c r="I1900" s="7">
        <v>1</v>
      </c>
      <c r="J1900" s="5">
        <f>XLOOKUP(L1900, uom!C:C, uom!B:B, "Not Found")</f>
      </c>
      <c r="K1900" s="1" t="s">
        <v>5511</v>
      </c>
      <c r="L1900" s="5">
        <f>XLOOKUP(N1900, uom!C:C, uom!B:B, "Not Found")</f>
      </c>
      <c r="M1900" s="1" t="s">
        <v>5511</v>
      </c>
      <c r="N1900" s="8" t="s">
        <v>5512</v>
      </c>
      <c r="O1900" s="1" t="s">
        <v>5513</v>
      </c>
      <c r="P1900" s="5">
        <f>XLOOKUP(R1900, classification!C:C, classification!B:B, "Not Found")</f>
      </c>
      <c r="Q1900" s="1" t="s">
        <v>5514</v>
      </c>
      <c r="R1900" s="2"/>
      <c r="S1900" s="2"/>
      <c r="T1900" s="2"/>
      <c r="U1900" s="2"/>
    </row>
    <row x14ac:dyDescent="0.25" r="1901" customHeight="1" ht="17.25">
      <c r="A1901" s="7">
        <v>1900</v>
      </c>
      <c r="B1901" s="1" t="s">
        <v>7301</v>
      </c>
      <c r="C1901" s="5">
        <f>CONCATENATE("PD", TEXT(A1901, "1000000"))</f>
      </c>
      <c r="D1901" s="7">
        <v>76</v>
      </c>
      <c r="E1901" s="5">
        <f>XLOOKUP(G1901, item_category!C:C, item_category!B:B, "Not Found")</f>
      </c>
      <c r="F1901" s="1" t="s">
        <v>5632</v>
      </c>
      <c r="G1901" s="5">
        <f>XLOOKUP(I1901, drug!B:B, drug!A:A, "Not Found")</f>
      </c>
      <c r="H1901" s="1"/>
      <c r="I1901" s="7">
        <v>1</v>
      </c>
      <c r="J1901" s="5">
        <f>XLOOKUP(L1901, uom!C:C, uom!B:B, "Not Found")</f>
      </c>
      <c r="K1901" s="1" t="s">
        <v>5511</v>
      </c>
      <c r="L1901" s="5">
        <f>XLOOKUP(N1901, uom!C:C, uom!B:B, "Not Found")</f>
      </c>
      <c r="M1901" s="1" t="s">
        <v>5511</v>
      </c>
      <c r="N1901" s="8" t="s">
        <v>5512</v>
      </c>
      <c r="O1901" s="1" t="s">
        <v>5513</v>
      </c>
      <c r="P1901" s="5">
        <f>XLOOKUP(R1901, classification!C:C, classification!B:B, "Not Found")</f>
      </c>
      <c r="Q1901" s="1" t="s">
        <v>5514</v>
      </c>
      <c r="R1901" s="2"/>
      <c r="S1901" s="2"/>
      <c r="T1901" s="2"/>
      <c r="U1901" s="2"/>
    </row>
    <row x14ac:dyDescent="0.25" r="1902" customHeight="1" ht="17.25">
      <c r="A1902" s="7">
        <v>1901</v>
      </c>
      <c r="B1902" s="1" t="s">
        <v>7302</v>
      </c>
      <c r="C1902" s="5">
        <f>CONCATENATE("PD", TEXT(A1902, "1000000"))</f>
      </c>
      <c r="D1902" s="7">
        <v>76</v>
      </c>
      <c r="E1902" s="5">
        <f>XLOOKUP(G1902, item_category!C:C, item_category!B:B, "Not Found")</f>
      </c>
      <c r="F1902" s="1" t="s">
        <v>5632</v>
      </c>
      <c r="G1902" s="5">
        <f>XLOOKUP(I1902, drug!B:B, drug!A:A, "Not Found")</f>
      </c>
      <c r="H1902" s="1"/>
      <c r="I1902" s="7">
        <v>1</v>
      </c>
      <c r="J1902" s="5">
        <f>XLOOKUP(L1902, uom!C:C, uom!B:B, "Not Found")</f>
      </c>
      <c r="K1902" s="1" t="s">
        <v>5511</v>
      </c>
      <c r="L1902" s="5">
        <f>XLOOKUP(N1902, uom!C:C, uom!B:B, "Not Found")</f>
      </c>
      <c r="M1902" s="1" t="s">
        <v>5511</v>
      </c>
      <c r="N1902" s="8" t="s">
        <v>5512</v>
      </c>
      <c r="O1902" s="1" t="s">
        <v>5513</v>
      </c>
      <c r="P1902" s="5">
        <f>XLOOKUP(R1902, classification!C:C, classification!B:B, "Not Found")</f>
      </c>
      <c r="Q1902" s="1" t="s">
        <v>5514</v>
      </c>
      <c r="R1902" s="2"/>
      <c r="S1902" s="2"/>
      <c r="T1902" s="2"/>
      <c r="U1902" s="2"/>
    </row>
    <row x14ac:dyDescent="0.25" r="1903" customHeight="1" ht="17.25">
      <c r="A1903" s="7">
        <v>1902</v>
      </c>
      <c r="B1903" s="1" t="s">
        <v>7303</v>
      </c>
      <c r="C1903" s="5">
        <f>CONCATENATE("PD", TEXT(A1903, "1000000"))</f>
      </c>
      <c r="D1903" s="7">
        <v>76</v>
      </c>
      <c r="E1903" s="5">
        <f>XLOOKUP(G1903, item_category!C:C, item_category!B:B, "Not Found")</f>
      </c>
      <c r="F1903" s="1" t="s">
        <v>5632</v>
      </c>
      <c r="G1903" s="5">
        <f>XLOOKUP(I1903, drug!B:B, drug!A:A, "Not Found")</f>
      </c>
      <c r="H1903" s="1"/>
      <c r="I1903" s="7">
        <v>1</v>
      </c>
      <c r="J1903" s="5">
        <f>XLOOKUP(L1903, uom!C:C, uom!B:B, "Not Found")</f>
      </c>
      <c r="K1903" s="1" t="s">
        <v>5511</v>
      </c>
      <c r="L1903" s="5">
        <f>XLOOKUP(N1903, uom!C:C, uom!B:B, "Not Found")</f>
      </c>
      <c r="M1903" s="1" t="s">
        <v>5511</v>
      </c>
      <c r="N1903" s="8" t="s">
        <v>5512</v>
      </c>
      <c r="O1903" s="1" t="s">
        <v>5513</v>
      </c>
      <c r="P1903" s="5">
        <f>XLOOKUP(R1903, classification!C:C, classification!B:B, "Not Found")</f>
      </c>
      <c r="Q1903" s="1" t="s">
        <v>5514</v>
      </c>
      <c r="R1903" s="2"/>
      <c r="S1903" s="2"/>
      <c r="T1903" s="2"/>
      <c r="U1903" s="2"/>
    </row>
    <row x14ac:dyDescent="0.25" r="1904" customHeight="1" ht="17.25">
      <c r="A1904" s="7">
        <v>1903</v>
      </c>
      <c r="B1904" s="1" t="s">
        <v>7304</v>
      </c>
      <c r="C1904" s="5">
        <f>CONCATENATE("PD", TEXT(A1904, "1000000"))</f>
      </c>
      <c r="D1904" s="7">
        <v>76</v>
      </c>
      <c r="E1904" s="5">
        <f>XLOOKUP(G1904, item_category!C:C, item_category!B:B, "Not Found")</f>
      </c>
      <c r="F1904" s="1" t="s">
        <v>5632</v>
      </c>
      <c r="G1904" s="5">
        <f>XLOOKUP(I1904, drug!B:B, drug!A:A, "Not Found")</f>
      </c>
      <c r="H1904" s="1"/>
      <c r="I1904" s="7">
        <v>1</v>
      </c>
      <c r="J1904" s="5">
        <f>XLOOKUP(L1904, uom!C:C, uom!B:B, "Not Found")</f>
      </c>
      <c r="K1904" s="1" t="s">
        <v>5511</v>
      </c>
      <c r="L1904" s="5">
        <f>XLOOKUP(N1904, uom!C:C, uom!B:B, "Not Found")</f>
      </c>
      <c r="M1904" s="1" t="s">
        <v>5511</v>
      </c>
      <c r="N1904" s="8" t="s">
        <v>5512</v>
      </c>
      <c r="O1904" s="1" t="s">
        <v>5513</v>
      </c>
      <c r="P1904" s="5">
        <f>XLOOKUP(R1904, classification!C:C, classification!B:B, "Not Found")</f>
      </c>
      <c r="Q1904" s="1" t="s">
        <v>5514</v>
      </c>
      <c r="R1904" s="2"/>
      <c r="S1904" s="2"/>
      <c r="T1904" s="2"/>
      <c r="U1904" s="2"/>
    </row>
    <row x14ac:dyDescent="0.25" r="1905" customHeight="1" ht="17.25">
      <c r="A1905" s="7">
        <v>1904</v>
      </c>
      <c r="B1905" s="1" t="s">
        <v>7305</v>
      </c>
      <c r="C1905" s="5">
        <f>CONCATENATE("PD", TEXT(A1905, "1000000"))</f>
      </c>
      <c r="D1905" s="7">
        <v>76</v>
      </c>
      <c r="E1905" s="5">
        <f>XLOOKUP(G1905, item_category!C:C, item_category!B:B, "Not Found")</f>
      </c>
      <c r="F1905" s="1" t="s">
        <v>5632</v>
      </c>
      <c r="G1905" s="5">
        <f>XLOOKUP(I1905, drug!B:B, drug!A:A, "Not Found")</f>
      </c>
      <c r="H1905" s="1"/>
      <c r="I1905" s="7">
        <v>1</v>
      </c>
      <c r="J1905" s="5">
        <f>XLOOKUP(L1905, uom!C:C, uom!B:B, "Not Found")</f>
      </c>
      <c r="K1905" s="1" t="s">
        <v>5511</v>
      </c>
      <c r="L1905" s="5">
        <f>XLOOKUP(N1905, uom!C:C, uom!B:B, "Not Found")</f>
      </c>
      <c r="M1905" s="1" t="s">
        <v>5511</v>
      </c>
      <c r="N1905" s="8" t="s">
        <v>5512</v>
      </c>
      <c r="O1905" s="1" t="s">
        <v>5513</v>
      </c>
      <c r="P1905" s="5">
        <f>XLOOKUP(R1905, classification!C:C, classification!B:B, "Not Found")</f>
      </c>
      <c r="Q1905" s="1" t="s">
        <v>5514</v>
      </c>
      <c r="R1905" s="2"/>
      <c r="S1905" s="2"/>
      <c r="T1905" s="2"/>
      <c r="U1905" s="2"/>
    </row>
    <row x14ac:dyDescent="0.25" r="1906" customHeight="1" ht="17.25">
      <c r="A1906" s="7">
        <v>1905</v>
      </c>
      <c r="B1906" s="1" t="s">
        <v>7306</v>
      </c>
      <c r="C1906" s="5">
        <f>CONCATENATE("PD", TEXT(A1906, "1000000"))</f>
      </c>
      <c r="D1906" s="7">
        <v>76</v>
      </c>
      <c r="E1906" s="5">
        <f>XLOOKUP(G1906, item_category!C:C, item_category!B:B, "Not Found")</f>
      </c>
      <c r="F1906" s="1" t="s">
        <v>5632</v>
      </c>
      <c r="G1906" s="5">
        <f>XLOOKUP(I1906, drug!B:B, drug!A:A, "Not Found")</f>
      </c>
      <c r="H1906" s="1"/>
      <c r="I1906" s="7">
        <v>1</v>
      </c>
      <c r="J1906" s="5">
        <f>XLOOKUP(L1906, uom!C:C, uom!B:B, "Not Found")</f>
      </c>
      <c r="K1906" s="1" t="s">
        <v>5511</v>
      </c>
      <c r="L1906" s="5">
        <f>XLOOKUP(N1906, uom!C:C, uom!B:B, "Not Found")</f>
      </c>
      <c r="M1906" s="1" t="s">
        <v>5511</v>
      </c>
      <c r="N1906" s="8" t="s">
        <v>5512</v>
      </c>
      <c r="O1906" s="1" t="s">
        <v>5513</v>
      </c>
      <c r="P1906" s="5">
        <f>XLOOKUP(R1906, classification!C:C, classification!B:B, "Not Found")</f>
      </c>
      <c r="Q1906" s="1" t="s">
        <v>5514</v>
      </c>
      <c r="R1906" s="2"/>
      <c r="S1906" s="2"/>
      <c r="T1906" s="2"/>
      <c r="U1906" s="2"/>
    </row>
    <row x14ac:dyDescent="0.25" r="1907" customHeight="1" ht="17.25">
      <c r="A1907" s="7">
        <v>1906</v>
      </c>
      <c r="B1907" s="1" t="s">
        <v>7307</v>
      </c>
      <c r="C1907" s="5">
        <f>CONCATENATE("PD", TEXT(A1907, "1000000"))</f>
      </c>
      <c r="D1907" s="7">
        <v>76</v>
      </c>
      <c r="E1907" s="5">
        <f>XLOOKUP(G1907, item_category!C:C, item_category!B:B, "Not Found")</f>
      </c>
      <c r="F1907" s="1" t="s">
        <v>5632</v>
      </c>
      <c r="G1907" s="5">
        <f>XLOOKUP(I1907, drug!B:B, drug!A:A, "Not Found")</f>
      </c>
      <c r="H1907" s="1"/>
      <c r="I1907" s="7">
        <v>1</v>
      </c>
      <c r="J1907" s="5">
        <f>XLOOKUP(L1907, uom!C:C, uom!B:B, "Not Found")</f>
      </c>
      <c r="K1907" s="1" t="s">
        <v>5511</v>
      </c>
      <c r="L1907" s="5">
        <f>XLOOKUP(N1907, uom!C:C, uom!B:B, "Not Found")</f>
      </c>
      <c r="M1907" s="1" t="s">
        <v>5511</v>
      </c>
      <c r="N1907" s="8" t="s">
        <v>5512</v>
      </c>
      <c r="O1907" s="1" t="s">
        <v>5513</v>
      </c>
      <c r="P1907" s="5">
        <f>XLOOKUP(R1907, classification!C:C, classification!B:B, "Not Found")</f>
      </c>
      <c r="Q1907" s="1" t="s">
        <v>5514</v>
      </c>
      <c r="R1907" s="2"/>
      <c r="S1907" s="2"/>
      <c r="T1907" s="2"/>
      <c r="U1907" s="2"/>
    </row>
    <row x14ac:dyDescent="0.25" r="1908" customHeight="1" ht="17.25">
      <c r="A1908" s="7">
        <v>1907</v>
      </c>
      <c r="B1908" s="1" t="s">
        <v>7308</v>
      </c>
      <c r="C1908" s="5">
        <f>CONCATENATE("PD", TEXT(A1908, "1000000"))</f>
      </c>
      <c r="D1908" s="7">
        <v>76</v>
      </c>
      <c r="E1908" s="5">
        <f>XLOOKUP(G1908, item_category!C:C, item_category!B:B, "Not Found")</f>
      </c>
      <c r="F1908" s="1" t="s">
        <v>5632</v>
      </c>
      <c r="G1908" s="5">
        <f>XLOOKUP(I1908, drug!B:B, drug!A:A, "Not Found")</f>
      </c>
      <c r="H1908" s="1"/>
      <c r="I1908" s="7">
        <v>1</v>
      </c>
      <c r="J1908" s="5">
        <f>XLOOKUP(L1908, uom!C:C, uom!B:B, "Not Found")</f>
      </c>
      <c r="K1908" s="1" t="s">
        <v>5511</v>
      </c>
      <c r="L1908" s="5">
        <f>XLOOKUP(N1908, uom!C:C, uom!B:B, "Not Found")</f>
      </c>
      <c r="M1908" s="1" t="s">
        <v>5511</v>
      </c>
      <c r="N1908" s="8" t="s">
        <v>5512</v>
      </c>
      <c r="O1908" s="1" t="s">
        <v>5513</v>
      </c>
      <c r="P1908" s="5">
        <f>XLOOKUP(R1908, classification!C:C, classification!B:B, "Not Found")</f>
      </c>
      <c r="Q1908" s="1" t="s">
        <v>5514</v>
      </c>
      <c r="R1908" s="2"/>
      <c r="S1908" s="2"/>
      <c r="T1908" s="2"/>
      <c r="U1908" s="2"/>
    </row>
    <row x14ac:dyDescent="0.25" r="1909" customHeight="1" ht="17.25">
      <c r="A1909" s="7">
        <v>1908</v>
      </c>
      <c r="B1909" s="1" t="s">
        <v>7309</v>
      </c>
      <c r="C1909" s="5">
        <f>CONCATENATE("PD", TEXT(A1909, "1000000"))</f>
      </c>
      <c r="D1909" s="7">
        <v>76</v>
      </c>
      <c r="E1909" s="5">
        <f>XLOOKUP(G1909, item_category!C:C, item_category!B:B, "Not Found")</f>
      </c>
      <c r="F1909" s="1" t="s">
        <v>5632</v>
      </c>
      <c r="G1909" s="5">
        <f>XLOOKUP(I1909, drug!B:B, drug!A:A, "Not Found")</f>
      </c>
      <c r="H1909" s="1"/>
      <c r="I1909" s="7">
        <v>1</v>
      </c>
      <c r="J1909" s="5">
        <f>XLOOKUP(L1909, uom!C:C, uom!B:B, "Not Found")</f>
      </c>
      <c r="K1909" s="1" t="s">
        <v>5511</v>
      </c>
      <c r="L1909" s="5">
        <f>XLOOKUP(N1909, uom!C:C, uom!B:B, "Not Found")</f>
      </c>
      <c r="M1909" s="1" t="s">
        <v>5511</v>
      </c>
      <c r="N1909" s="8" t="s">
        <v>5512</v>
      </c>
      <c r="O1909" s="1" t="s">
        <v>5513</v>
      </c>
      <c r="P1909" s="5">
        <f>XLOOKUP(R1909, classification!C:C, classification!B:B, "Not Found")</f>
      </c>
      <c r="Q1909" s="1" t="s">
        <v>5514</v>
      </c>
      <c r="R1909" s="2"/>
      <c r="S1909" s="2"/>
      <c r="T1909" s="2"/>
      <c r="U1909" s="2"/>
    </row>
    <row x14ac:dyDescent="0.25" r="1910" customHeight="1" ht="17.25">
      <c r="A1910" s="7">
        <v>1909</v>
      </c>
      <c r="B1910" s="1" t="s">
        <v>7310</v>
      </c>
      <c r="C1910" s="5">
        <f>CONCATENATE("PD", TEXT(A1910, "1000000"))</f>
      </c>
      <c r="D1910" s="7">
        <v>76</v>
      </c>
      <c r="E1910" s="5">
        <f>XLOOKUP(G1910, item_category!C:C, item_category!B:B, "Not Found")</f>
      </c>
      <c r="F1910" s="1" t="s">
        <v>5632</v>
      </c>
      <c r="G1910" s="5">
        <f>XLOOKUP(I1910, drug!B:B, drug!A:A, "Not Found")</f>
      </c>
      <c r="H1910" s="1"/>
      <c r="I1910" s="7">
        <v>1</v>
      </c>
      <c r="J1910" s="5">
        <f>XLOOKUP(L1910, uom!C:C, uom!B:B, "Not Found")</f>
      </c>
      <c r="K1910" s="1" t="s">
        <v>5511</v>
      </c>
      <c r="L1910" s="5">
        <f>XLOOKUP(N1910, uom!C:C, uom!B:B, "Not Found")</f>
      </c>
      <c r="M1910" s="1" t="s">
        <v>5511</v>
      </c>
      <c r="N1910" s="8" t="s">
        <v>5512</v>
      </c>
      <c r="O1910" s="1" t="s">
        <v>5513</v>
      </c>
      <c r="P1910" s="5">
        <f>XLOOKUP(R1910, classification!C:C, classification!B:B, "Not Found")</f>
      </c>
      <c r="Q1910" s="1" t="s">
        <v>5514</v>
      </c>
      <c r="R1910" s="2"/>
      <c r="S1910" s="2"/>
      <c r="T1910" s="2"/>
      <c r="U1910" s="2"/>
    </row>
    <row x14ac:dyDescent="0.25" r="1911" customHeight="1" ht="17.25">
      <c r="A1911" s="7">
        <v>1910</v>
      </c>
      <c r="B1911" s="1" t="s">
        <v>3038</v>
      </c>
      <c r="C1911" s="5">
        <f>CONCATENATE("PD", TEXT(A1911, "1000000"))</f>
      </c>
      <c r="D1911" s="7">
        <v>76</v>
      </c>
      <c r="E1911" s="5">
        <f>XLOOKUP(G1911, item_category!C:C, item_category!B:B, "Not Found")</f>
      </c>
      <c r="F1911" s="1" t="s">
        <v>5632</v>
      </c>
      <c r="G1911" s="5">
        <f>XLOOKUP(I1911, drug!B:B, drug!A:A, "Not Found")</f>
      </c>
      <c r="H1911" s="1"/>
      <c r="I1911" s="7">
        <v>1</v>
      </c>
      <c r="J1911" s="5">
        <f>XLOOKUP(L1911, uom!C:C, uom!B:B, "Not Found")</f>
      </c>
      <c r="K1911" s="1" t="s">
        <v>5511</v>
      </c>
      <c r="L1911" s="5">
        <f>XLOOKUP(N1911, uom!C:C, uom!B:B, "Not Found")</f>
      </c>
      <c r="M1911" s="1" t="s">
        <v>5511</v>
      </c>
      <c r="N1911" s="8" t="s">
        <v>5512</v>
      </c>
      <c r="O1911" s="1" t="s">
        <v>5513</v>
      </c>
      <c r="P1911" s="5">
        <f>XLOOKUP(R1911, classification!C:C, classification!B:B, "Not Found")</f>
      </c>
      <c r="Q1911" s="1" t="s">
        <v>5514</v>
      </c>
      <c r="R1911" s="2"/>
      <c r="S1911" s="2"/>
      <c r="T1911" s="2"/>
      <c r="U1911" s="2"/>
    </row>
    <row x14ac:dyDescent="0.25" r="1912" customHeight="1" ht="17.25">
      <c r="A1912" s="7">
        <v>1911</v>
      </c>
      <c r="B1912" s="1" t="s">
        <v>7311</v>
      </c>
      <c r="C1912" s="5">
        <f>CONCATENATE("PD", TEXT(A1912, "1000000"))</f>
      </c>
      <c r="D1912" s="7">
        <v>76</v>
      </c>
      <c r="E1912" s="5">
        <f>XLOOKUP(G1912, item_category!C:C, item_category!B:B, "Not Found")</f>
      </c>
      <c r="F1912" s="1" t="s">
        <v>5632</v>
      </c>
      <c r="G1912" s="5">
        <f>XLOOKUP(I1912, drug!B:B, drug!A:A, "Not Found")</f>
      </c>
      <c r="H1912" s="1"/>
      <c r="I1912" s="7">
        <v>1</v>
      </c>
      <c r="J1912" s="5">
        <f>XLOOKUP(L1912, uom!C:C, uom!B:B, "Not Found")</f>
      </c>
      <c r="K1912" s="1" t="s">
        <v>5511</v>
      </c>
      <c r="L1912" s="5">
        <f>XLOOKUP(N1912, uom!C:C, uom!B:B, "Not Found")</f>
      </c>
      <c r="M1912" s="1" t="s">
        <v>5511</v>
      </c>
      <c r="N1912" s="8" t="s">
        <v>5512</v>
      </c>
      <c r="O1912" s="1" t="s">
        <v>5513</v>
      </c>
      <c r="P1912" s="5">
        <f>XLOOKUP(R1912, classification!C:C, classification!B:B, "Not Found")</f>
      </c>
      <c r="Q1912" s="1" t="s">
        <v>5514</v>
      </c>
      <c r="R1912" s="2"/>
      <c r="S1912" s="2"/>
      <c r="T1912" s="2"/>
      <c r="U1912" s="2"/>
    </row>
    <row x14ac:dyDescent="0.25" r="1913" customHeight="1" ht="17.25">
      <c r="A1913" s="7">
        <v>1912</v>
      </c>
      <c r="B1913" s="1" t="s">
        <v>7312</v>
      </c>
      <c r="C1913" s="5">
        <f>CONCATENATE("PD", TEXT(A1913, "1000000"))</f>
      </c>
      <c r="D1913" s="7">
        <v>76</v>
      </c>
      <c r="E1913" s="5">
        <f>XLOOKUP(G1913, item_category!C:C, item_category!B:B, "Not Found")</f>
      </c>
      <c r="F1913" s="1" t="s">
        <v>5632</v>
      </c>
      <c r="G1913" s="5">
        <f>XLOOKUP(I1913, drug!B:B, drug!A:A, "Not Found")</f>
      </c>
      <c r="H1913" s="1"/>
      <c r="I1913" s="7">
        <v>1</v>
      </c>
      <c r="J1913" s="5">
        <f>XLOOKUP(L1913, uom!C:C, uom!B:B, "Not Found")</f>
      </c>
      <c r="K1913" s="1" t="s">
        <v>5511</v>
      </c>
      <c r="L1913" s="5">
        <f>XLOOKUP(N1913, uom!C:C, uom!B:B, "Not Found")</f>
      </c>
      <c r="M1913" s="1" t="s">
        <v>5511</v>
      </c>
      <c r="N1913" s="8" t="s">
        <v>5512</v>
      </c>
      <c r="O1913" s="1" t="s">
        <v>5513</v>
      </c>
      <c r="P1913" s="5">
        <f>XLOOKUP(R1913, classification!C:C, classification!B:B, "Not Found")</f>
      </c>
      <c r="Q1913" s="1" t="s">
        <v>5514</v>
      </c>
      <c r="R1913" s="2"/>
      <c r="S1913" s="2"/>
      <c r="T1913" s="2"/>
      <c r="U1913" s="2"/>
    </row>
    <row x14ac:dyDescent="0.25" r="1914" customHeight="1" ht="17.25">
      <c r="A1914" s="7">
        <v>1913</v>
      </c>
      <c r="B1914" s="1" t="s">
        <v>7313</v>
      </c>
      <c r="C1914" s="5">
        <f>CONCATENATE("PD", TEXT(A1914, "1000000"))</f>
      </c>
      <c r="D1914" s="7">
        <v>76</v>
      </c>
      <c r="E1914" s="5">
        <f>XLOOKUP(G1914, item_category!C:C, item_category!B:B, "Not Found")</f>
      </c>
      <c r="F1914" s="1" t="s">
        <v>5632</v>
      </c>
      <c r="G1914" s="5">
        <f>XLOOKUP(I1914, drug!B:B, drug!A:A, "Not Found")</f>
      </c>
      <c r="H1914" s="1"/>
      <c r="I1914" s="7">
        <v>1</v>
      </c>
      <c r="J1914" s="5">
        <f>XLOOKUP(L1914, uom!C:C, uom!B:B, "Not Found")</f>
      </c>
      <c r="K1914" s="1" t="s">
        <v>5511</v>
      </c>
      <c r="L1914" s="5">
        <f>XLOOKUP(N1914, uom!C:C, uom!B:B, "Not Found")</f>
      </c>
      <c r="M1914" s="1" t="s">
        <v>5511</v>
      </c>
      <c r="N1914" s="8" t="s">
        <v>5512</v>
      </c>
      <c r="O1914" s="1" t="s">
        <v>5513</v>
      </c>
      <c r="P1914" s="5">
        <f>XLOOKUP(R1914, classification!C:C, classification!B:B, "Not Found")</f>
      </c>
      <c r="Q1914" s="1" t="s">
        <v>5514</v>
      </c>
      <c r="R1914" s="2"/>
      <c r="S1914" s="2"/>
      <c r="T1914" s="2"/>
      <c r="U1914" s="2"/>
    </row>
    <row x14ac:dyDescent="0.25" r="1915" customHeight="1" ht="17.25">
      <c r="A1915" s="7">
        <v>1914</v>
      </c>
      <c r="B1915" s="1" t="s">
        <v>7314</v>
      </c>
      <c r="C1915" s="5">
        <f>CONCATENATE("PD", TEXT(A1915, "1000000"))</f>
      </c>
      <c r="D1915" s="7">
        <v>76</v>
      </c>
      <c r="E1915" s="5">
        <f>XLOOKUP(G1915, item_category!C:C, item_category!B:B, "Not Found")</f>
      </c>
      <c r="F1915" s="1" t="s">
        <v>5632</v>
      </c>
      <c r="G1915" s="5">
        <f>XLOOKUP(I1915, drug!B:B, drug!A:A, "Not Found")</f>
      </c>
      <c r="H1915" s="1"/>
      <c r="I1915" s="7">
        <v>1</v>
      </c>
      <c r="J1915" s="5">
        <f>XLOOKUP(L1915, uom!C:C, uom!B:B, "Not Found")</f>
      </c>
      <c r="K1915" s="1" t="s">
        <v>5511</v>
      </c>
      <c r="L1915" s="5">
        <f>XLOOKUP(N1915, uom!C:C, uom!B:B, "Not Found")</f>
      </c>
      <c r="M1915" s="1" t="s">
        <v>5511</v>
      </c>
      <c r="N1915" s="8" t="s">
        <v>5512</v>
      </c>
      <c r="O1915" s="1" t="s">
        <v>5513</v>
      </c>
      <c r="P1915" s="5">
        <f>XLOOKUP(R1915, classification!C:C, classification!B:B, "Not Found")</f>
      </c>
      <c r="Q1915" s="1" t="s">
        <v>5514</v>
      </c>
      <c r="R1915" s="2"/>
      <c r="S1915" s="2"/>
      <c r="T1915" s="2"/>
      <c r="U1915" s="2"/>
    </row>
    <row x14ac:dyDescent="0.25" r="1916" customHeight="1" ht="17.25">
      <c r="A1916" s="7">
        <v>1915</v>
      </c>
      <c r="B1916" s="1" t="s">
        <v>7315</v>
      </c>
      <c r="C1916" s="5">
        <f>CONCATENATE("PD", TEXT(A1916, "1000000"))</f>
      </c>
      <c r="D1916" s="7">
        <v>76</v>
      </c>
      <c r="E1916" s="5">
        <f>XLOOKUP(G1916, item_category!C:C, item_category!B:B, "Not Found")</f>
      </c>
      <c r="F1916" s="1" t="s">
        <v>5632</v>
      </c>
      <c r="G1916" s="5">
        <f>XLOOKUP(I1916, drug!B:B, drug!A:A, "Not Found")</f>
      </c>
      <c r="H1916" s="1"/>
      <c r="I1916" s="7">
        <v>1</v>
      </c>
      <c r="J1916" s="5">
        <f>XLOOKUP(L1916, uom!C:C, uom!B:B, "Not Found")</f>
      </c>
      <c r="K1916" s="1" t="s">
        <v>5511</v>
      </c>
      <c r="L1916" s="5">
        <f>XLOOKUP(N1916, uom!C:C, uom!B:B, "Not Found")</f>
      </c>
      <c r="M1916" s="1" t="s">
        <v>5511</v>
      </c>
      <c r="N1916" s="8" t="s">
        <v>5512</v>
      </c>
      <c r="O1916" s="1" t="s">
        <v>5513</v>
      </c>
      <c r="P1916" s="5">
        <f>XLOOKUP(R1916, classification!C:C, classification!B:B, "Not Found")</f>
      </c>
      <c r="Q1916" s="1" t="s">
        <v>5514</v>
      </c>
      <c r="R1916" s="2"/>
      <c r="S1916" s="2"/>
      <c r="T1916" s="2"/>
      <c r="U1916" s="2"/>
    </row>
    <row x14ac:dyDescent="0.25" r="1917" customHeight="1" ht="17.25">
      <c r="A1917" s="7">
        <v>1916</v>
      </c>
      <c r="B1917" s="1" t="s">
        <v>7316</v>
      </c>
      <c r="C1917" s="5">
        <f>CONCATENATE("PD", TEXT(A1917, "1000000"))</f>
      </c>
      <c r="D1917" s="7">
        <v>76</v>
      </c>
      <c r="E1917" s="5">
        <f>XLOOKUP(G1917, item_category!C:C, item_category!B:B, "Not Found")</f>
      </c>
      <c r="F1917" s="1" t="s">
        <v>5632</v>
      </c>
      <c r="G1917" s="5">
        <f>XLOOKUP(I1917, drug!B:B, drug!A:A, "Not Found")</f>
      </c>
      <c r="H1917" s="1"/>
      <c r="I1917" s="7">
        <v>1</v>
      </c>
      <c r="J1917" s="5">
        <f>XLOOKUP(L1917, uom!C:C, uom!B:B, "Not Found")</f>
      </c>
      <c r="K1917" s="1" t="s">
        <v>5511</v>
      </c>
      <c r="L1917" s="5">
        <f>XLOOKUP(N1917, uom!C:C, uom!B:B, "Not Found")</f>
      </c>
      <c r="M1917" s="1" t="s">
        <v>5511</v>
      </c>
      <c r="N1917" s="8" t="s">
        <v>5512</v>
      </c>
      <c r="O1917" s="1" t="s">
        <v>5513</v>
      </c>
      <c r="P1917" s="5">
        <f>XLOOKUP(R1917, classification!C:C, classification!B:B, "Not Found")</f>
      </c>
      <c r="Q1917" s="1" t="s">
        <v>5514</v>
      </c>
      <c r="R1917" s="2"/>
      <c r="S1917" s="2"/>
      <c r="T1917" s="2"/>
      <c r="U1917" s="2"/>
    </row>
    <row x14ac:dyDescent="0.25" r="1918" customHeight="1" ht="17.25">
      <c r="A1918" s="7">
        <v>1917</v>
      </c>
      <c r="B1918" s="1" t="s">
        <v>7317</v>
      </c>
      <c r="C1918" s="5">
        <f>CONCATENATE("PD", TEXT(A1918, "1000000"))</f>
      </c>
      <c r="D1918" s="7">
        <v>76</v>
      </c>
      <c r="E1918" s="5">
        <f>XLOOKUP(G1918, item_category!C:C, item_category!B:B, "Not Found")</f>
      </c>
      <c r="F1918" s="1" t="s">
        <v>5632</v>
      </c>
      <c r="G1918" s="5">
        <f>XLOOKUP(I1918, drug!B:B, drug!A:A, "Not Found")</f>
      </c>
      <c r="H1918" s="1"/>
      <c r="I1918" s="7">
        <v>1</v>
      </c>
      <c r="J1918" s="5">
        <f>XLOOKUP(L1918, uom!C:C, uom!B:B, "Not Found")</f>
      </c>
      <c r="K1918" s="1" t="s">
        <v>5511</v>
      </c>
      <c r="L1918" s="5">
        <f>XLOOKUP(N1918, uom!C:C, uom!B:B, "Not Found")</f>
      </c>
      <c r="M1918" s="1" t="s">
        <v>5511</v>
      </c>
      <c r="N1918" s="8" t="s">
        <v>5512</v>
      </c>
      <c r="O1918" s="1" t="s">
        <v>5513</v>
      </c>
      <c r="P1918" s="5">
        <f>XLOOKUP(R1918, classification!C:C, classification!B:B, "Not Found")</f>
      </c>
      <c r="Q1918" s="1" t="s">
        <v>5514</v>
      </c>
      <c r="R1918" s="2"/>
      <c r="S1918" s="2"/>
      <c r="T1918" s="2"/>
      <c r="U1918" s="2"/>
    </row>
    <row x14ac:dyDescent="0.25" r="1919" customHeight="1" ht="17.25">
      <c r="A1919" s="7">
        <v>1918</v>
      </c>
      <c r="B1919" s="1" t="s">
        <v>7318</v>
      </c>
      <c r="C1919" s="5">
        <f>CONCATENATE("PD", TEXT(A1919, "1000000"))</f>
      </c>
      <c r="D1919" s="7">
        <v>76</v>
      </c>
      <c r="E1919" s="5">
        <f>XLOOKUP(G1919, item_category!C:C, item_category!B:B, "Not Found")</f>
      </c>
      <c r="F1919" s="1" t="s">
        <v>5632</v>
      </c>
      <c r="G1919" s="5">
        <f>XLOOKUP(I1919, drug!B:B, drug!A:A, "Not Found")</f>
      </c>
      <c r="H1919" s="1"/>
      <c r="I1919" s="7">
        <v>1</v>
      </c>
      <c r="J1919" s="5">
        <f>XLOOKUP(L1919, uom!C:C, uom!B:B, "Not Found")</f>
      </c>
      <c r="K1919" s="1" t="s">
        <v>5511</v>
      </c>
      <c r="L1919" s="5">
        <f>XLOOKUP(N1919, uom!C:C, uom!B:B, "Not Found")</f>
      </c>
      <c r="M1919" s="1" t="s">
        <v>5511</v>
      </c>
      <c r="N1919" s="8" t="s">
        <v>5512</v>
      </c>
      <c r="O1919" s="1" t="s">
        <v>5513</v>
      </c>
      <c r="P1919" s="5">
        <f>XLOOKUP(R1919, classification!C:C, classification!B:B, "Not Found")</f>
      </c>
      <c r="Q1919" s="1" t="s">
        <v>5514</v>
      </c>
      <c r="R1919" s="2"/>
      <c r="S1919" s="2"/>
      <c r="T1919" s="2"/>
      <c r="U1919" s="2"/>
    </row>
    <row x14ac:dyDescent="0.25" r="1920" customHeight="1" ht="17.25">
      <c r="A1920" s="7">
        <v>1919</v>
      </c>
      <c r="B1920" s="1" t="s">
        <v>7319</v>
      </c>
      <c r="C1920" s="5">
        <f>CONCATENATE("PD", TEXT(A1920, "1000000"))</f>
      </c>
      <c r="D1920" s="7">
        <v>76</v>
      </c>
      <c r="E1920" s="5">
        <f>XLOOKUP(G1920, item_category!C:C, item_category!B:B, "Not Found")</f>
      </c>
      <c r="F1920" s="1" t="s">
        <v>5632</v>
      </c>
      <c r="G1920" s="5">
        <f>XLOOKUP(I1920, drug!B:B, drug!A:A, "Not Found")</f>
      </c>
      <c r="H1920" s="1"/>
      <c r="I1920" s="7">
        <v>1</v>
      </c>
      <c r="J1920" s="5">
        <f>XLOOKUP(L1920, uom!C:C, uom!B:B, "Not Found")</f>
      </c>
      <c r="K1920" s="1" t="s">
        <v>5511</v>
      </c>
      <c r="L1920" s="5">
        <f>XLOOKUP(N1920, uom!C:C, uom!B:B, "Not Found")</f>
      </c>
      <c r="M1920" s="1" t="s">
        <v>5511</v>
      </c>
      <c r="N1920" s="8" t="s">
        <v>5512</v>
      </c>
      <c r="O1920" s="1" t="s">
        <v>5513</v>
      </c>
      <c r="P1920" s="5">
        <f>XLOOKUP(R1920, classification!C:C, classification!B:B, "Not Found")</f>
      </c>
      <c r="Q1920" s="1" t="s">
        <v>5514</v>
      </c>
      <c r="R1920" s="2"/>
      <c r="S1920" s="2"/>
      <c r="T1920" s="2"/>
      <c r="U1920" s="2"/>
    </row>
    <row x14ac:dyDescent="0.25" r="1921" customHeight="1" ht="17.25">
      <c r="A1921" s="7">
        <v>1920</v>
      </c>
      <c r="B1921" s="1" t="s">
        <v>7320</v>
      </c>
      <c r="C1921" s="5">
        <f>CONCATENATE("PD", TEXT(A1921, "1000000"))</f>
      </c>
      <c r="D1921" s="7">
        <v>76</v>
      </c>
      <c r="E1921" s="5">
        <f>XLOOKUP(G1921, item_category!C:C, item_category!B:B, "Not Found")</f>
      </c>
      <c r="F1921" s="1" t="s">
        <v>5632</v>
      </c>
      <c r="G1921" s="5">
        <f>XLOOKUP(I1921, drug!B:B, drug!A:A, "Not Found")</f>
      </c>
      <c r="H1921" s="1"/>
      <c r="I1921" s="7">
        <v>1</v>
      </c>
      <c r="J1921" s="5">
        <f>XLOOKUP(L1921, uom!C:C, uom!B:B, "Not Found")</f>
      </c>
      <c r="K1921" s="1" t="s">
        <v>5511</v>
      </c>
      <c r="L1921" s="5">
        <f>XLOOKUP(N1921, uom!C:C, uom!B:B, "Not Found")</f>
      </c>
      <c r="M1921" s="1" t="s">
        <v>5511</v>
      </c>
      <c r="N1921" s="8" t="s">
        <v>5512</v>
      </c>
      <c r="O1921" s="1" t="s">
        <v>5513</v>
      </c>
      <c r="P1921" s="5">
        <f>XLOOKUP(R1921, classification!C:C, classification!B:B, "Not Found")</f>
      </c>
      <c r="Q1921" s="1" t="s">
        <v>5514</v>
      </c>
      <c r="R1921" s="2"/>
      <c r="S1921" s="2"/>
      <c r="T1921" s="2"/>
      <c r="U1921" s="2"/>
    </row>
    <row x14ac:dyDescent="0.25" r="1922" customHeight="1" ht="17.25">
      <c r="A1922" s="7">
        <v>1921</v>
      </c>
      <c r="B1922" s="1" t="s">
        <v>7321</v>
      </c>
      <c r="C1922" s="5">
        <f>CONCATENATE("PD", TEXT(A1922, "1000000"))</f>
      </c>
      <c r="D1922" s="7">
        <v>76</v>
      </c>
      <c r="E1922" s="5">
        <f>XLOOKUP(G1922, item_category!C:C, item_category!B:B, "Not Found")</f>
      </c>
      <c r="F1922" s="1" t="s">
        <v>5632</v>
      </c>
      <c r="G1922" s="5">
        <f>XLOOKUP(I1922, drug!B:B, drug!A:A, "Not Found")</f>
      </c>
      <c r="H1922" s="1"/>
      <c r="I1922" s="7">
        <v>1</v>
      </c>
      <c r="J1922" s="5">
        <f>XLOOKUP(L1922, uom!C:C, uom!B:B, "Not Found")</f>
      </c>
      <c r="K1922" s="1" t="s">
        <v>5511</v>
      </c>
      <c r="L1922" s="5">
        <f>XLOOKUP(N1922, uom!C:C, uom!B:B, "Not Found")</f>
      </c>
      <c r="M1922" s="1" t="s">
        <v>5511</v>
      </c>
      <c r="N1922" s="8" t="s">
        <v>5512</v>
      </c>
      <c r="O1922" s="1" t="s">
        <v>5513</v>
      </c>
      <c r="P1922" s="5">
        <f>XLOOKUP(R1922, classification!C:C, classification!B:B, "Not Found")</f>
      </c>
      <c r="Q1922" s="1" t="s">
        <v>5514</v>
      </c>
      <c r="R1922" s="2"/>
      <c r="S1922" s="2"/>
      <c r="T1922" s="2"/>
      <c r="U1922" s="2"/>
    </row>
    <row x14ac:dyDescent="0.25" r="1923" customHeight="1" ht="17.25">
      <c r="A1923" s="7">
        <v>1922</v>
      </c>
      <c r="B1923" s="1" t="s">
        <v>7322</v>
      </c>
      <c r="C1923" s="5">
        <f>CONCATENATE("PD", TEXT(A1923, "1000000"))</f>
      </c>
      <c r="D1923" s="7">
        <v>76</v>
      </c>
      <c r="E1923" s="5">
        <f>XLOOKUP(G1923, item_category!C:C, item_category!B:B, "Not Found")</f>
      </c>
      <c r="F1923" s="1" t="s">
        <v>5632</v>
      </c>
      <c r="G1923" s="5">
        <f>XLOOKUP(I1923, drug!B:B, drug!A:A, "Not Found")</f>
      </c>
      <c r="H1923" s="1"/>
      <c r="I1923" s="7">
        <v>1</v>
      </c>
      <c r="J1923" s="5">
        <f>XLOOKUP(L1923, uom!C:C, uom!B:B, "Not Found")</f>
      </c>
      <c r="K1923" s="1" t="s">
        <v>5511</v>
      </c>
      <c r="L1923" s="5">
        <f>XLOOKUP(N1923, uom!C:C, uom!B:B, "Not Found")</f>
      </c>
      <c r="M1923" s="1" t="s">
        <v>5511</v>
      </c>
      <c r="N1923" s="8" t="s">
        <v>5512</v>
      </c>
      <c r="O1923" s="1" t="s">
        <v>5513</v>
      </c>
      <c r="P1923" s="5">
        <f>XLOOKUP(R1923, classification!C:C, classification!B:B, "Not Found")</f>
      </c>
      <c r="Q1923" s="1" t="s">
        <v>5514</v>
      </c>
      <c r="R1923" s="2"/>
      <c r="S1923" s="2"/>
      <c r="T1923" s="2"/>
      <c r="U1923" s="2"/>
    </row>
    <row x14ac:dyDescent="0.25" r="1924" customHeight="1" ht="17.25">
      <c r="A1924" s="7">
        <v>1923</v>
      </c>
      <c r="B1924" s="1" t="s">
        <v>7323</v>
      </c>
      <c r="C1924" s="5">
        <f>CONCATENATE("PD", TEXT(A1924, "1000000"))</f>
      </c>
      <c r="D1924" s="7">
        <v>76</v>
      </c>
      <c r="E1924" s="5">
        <f>XLOOKUP(G1924, item_category!C:C, item_category!B:B, "Not Found")</f>
      </c>
      <c r="F1924" s="1" t="s">
        <v>5632</v>
      </c>
      <c r="G1924" s="5">
        <f>XLOOKUP(I1924, drug!B:B, drug!A:A, "Not Found")</f>
      </c>
      <c r="H1924" s="1"/>
      <c r="I1924" s="7">
        <v>1</v>
      </c>
      <c r="J1924" s="5">
        <f>XLOOKUP(L1924, uom!C:C, uom!B:B, "Not Found")</f>
      </c>
      <c r="K1924" s="1" t="s">
        <v>5511</v>
      </c>
      <c r="L1924" s="5">
        <f>XLOOKUP(N1924, uom!C:C, uom!B:B, "Not Found")</f>
      </c>
      <c r="M1924" s="1" t="s">
        <v>5511</v>
      </c>
      <c r="N1924" s="8" t="s">
        <v>5512</v>
      </c>
      <c r="O1924" s="1" t="s">
        <v>5513</v>
      </c>
      <c r="P1924" s="5">
        <f>XLOOKUP(R1924, classification!C:C, classification!B:B, "Not Found")</f>
      </c>
      <c r="Q1924" s="1" t="s">
        <v>5514</v>
      </c>
      <c r="R1924" s="2"/>
      <c r="S1924" s="2"/>
      <c r="T1924" s="2"/>
      <c r="U1924" s="2"/>
    </row>
    <row x14ac:dyDescent="0.25" r="1925" customHeight="1" ht="17.25">
      <c r="A1925" s="7">
        <v>1924</v>
      </c>
      <c r="B1925" s="1" t="s">
        <v>7324</v>
      </c>
      <c r="C1925" s="5">
        <f>CONCATENATE("PD", TEXT(A1925, "1000000"))</f>
      </c>
      <c r="D1925" s="7">
        <v>76</v>
      </c>
      <c r="E1925" s="5">
        <f>XLOOKUP(G1925, item_category!C:C, item_category!B:B, "Not Found")</f>
      </c>
      <c r="F1925" s="1" t="s">
        <v>5632</v>
      </c>
      <c r="G1925" s="5">
        <f>XLOOKUP(I1925, drug!B:B, drug!A:A, "Not Found")</f>
      </c>
      <c r="H1925" s="1"/>
      <c r="I1925" s="7">
        <v>1</v>
      </c>
      <c r="J1925" s="5">
        <f>XLOOKUP(L1925, uom!C:C, uom!B:B, "Not Found")</f>
      </c>
      <c r="K1925" s="1" t="s">
        <v>5511</v>
      </c>
      <c r="L1925" s="5">
        <f>XLOOKUP(N1925, uom!C:C, uom!B:B, "Not Found")</f>
      </c>
      <c r="M1925" s="1" t="s">
        <v>5511</v>
      </c>
      <c r="N1925" s="8" t="s">
        <v>5512</v>
      </c>
      <c r="O1925" s="1" t="s">
        <v>5513</v>
      </c>
      <c r="P1925" s="5">
        <f>XLOOKUP(R1925, classification!C:C, classification!B:B, "Not Found")</f>
      </c>
      <c r="Q1925" s="1" t="s">
        <v>5514</v>
      </c>
      <c r="R1925" s="2"/>
      <c r="S1925" s="2"/>
      <c r="T1925" s="2"/>
      <c r="U1925" s="2"/>
    </row>
    <row x14ac:dyDescent="0.25" r="1926" customHeight="1" ht="17.25">
      <c r="A1926" s="7">
        <v>1925</v>
      </c>
      <c r="B1926" s="1" t="s">
        <v>7325</v>
      </c>
      <c r="C1926" s="5">
        <f>CONCATENATE("PD", TEXT(A1926, "1000000"))</f>
      </c>
      <c r="D1926" s="7">
        <v>76</v>
      </c>
      <c r="E1926" s="5">
        <f>XLOOKUP(G1926, item_category!C:C, item_category!B:B, "Not Found")</f>
      </c>
      <c r="F1926" s="1" t="s">
        <v>5632</v>
      </c>
      <c r="G1926" s="5">
        <f>XLOOKUP(I1926, drug!B:B, drug!A:A, "Not Found")</f>
      </c>
      <c r="H1926" s="1"/>
      <c r="I1926" s="7">
        <v>1</v>
      </c>
      <c r="J1926" s="5">
        <f>XLOOKUP(L1926, uom!C:C, uom!B:B, "Not Found")</f>
      </c>
      <c r="K1926" s="1" t="s">
        <v>5511</v>
      </c>
      <c r="L1926" s="5">
        <f>XLOOKUP(N1926, uom!C:C, uom!B:B, "Not Found")</f>
      </c>
      <c r="M1926" s="1" t="s">
        <v>5511</v>
      </c>
      <c r="N1926" s="8" t="s">
        <v>5512</v>
      </c>
      <c r="O1926" s="1" t="s">
        <v>5513</v>
      </c>
      <c r="P1926" s="5">
        <f>XLOOKUP(R1926, classification!C:C, classification!B:B, "Not Found")</f>
      </c>
      <c r="Q1926" s="1" t="s">
        <v>5514</v>
      </c>
      <c r="R1926" s="2"/>
      <c r="S1926" s="2"/>
      <c r="T1926" s="2"/>
      <c r="U1926" s="2"/>
    </row>
    <row x14ac:dyDescent="0.25" r="1927" customHeight="1" ht="17.25">
      <c r="A1927" s="7">
        <v>1926</v>
      </c>
      <c r="B1927" s="1" t="s">
        <v>7326</v>
      </c>
      <c r="C1927" s="5">
        <f>CONCATENATE("PD", TEXT(A1927, "1000000"))</f>
      </c>
      <c r="D1927" s="7">
        <v>76</v>
      </c>
      <c r="E1927" s="5">
        <f>XLOOKUP(G1927, item_category!C:C, item_category!B:B, "Not Found")</f>
      </c>
      <c r="F1927" s="1" t="s">
        <v>5632</v>
      </c>
      <c r="G1927" s="5">
        <f>XLOOKUP(I1927, drug!B:B, drug!A:A, "Not Found")</f>
      </c>
      <c r="H1927" s="1"/>
      <c r="I1927" s="7">
        <v>1</v>
      </c>
      <c r="J1927" s="5">
        <f>XLOOKUP(L1927, uom!C:C, uom!B:B, "Not Found")</f>
      </c>
      <c r="K1927" s="1" t="s">
        <v>5511</v>
      </c>
      <c r="L1927" s="5">
        <f>XLOOKUP(N1927, uom!C:C, uom!B:B, "Not Found")</f>
      </c>
      <c r="M1927" s="1" t="s">
        <v>5511</v>
      </c>
      <c r="N1927" s="8" t="s">
        <v>5512</v>
      </c>
      <c r="O1927" s="1" t="s">
        <v>5513</v>
      </c>
      <c r="P1927" s="5">
        <f>XLOOKUP(R1927, classification!C:C, classification!B:B, "Not Found")</f>
      </c>
      <c r="Q1927" s="1" t="s">
        <v>5514</v>
      </c>
      <c r="R1927" s="2"/>
      <c r="S1927" s="2"/>
      <c r="T1927" s="2"/>
      <c r="U1927" s="2"/>
    </row>
    <row x14ac:dyDescent="0.25" r="1928" customHeight="1" ht="17.25">
      <c r="A1928" s="7">
        <v>1927</v>
      </c>
      <c r="B1928" s="1" t="s">
        <v>7327</v>
      </c>
      <c r="C1928" s="5">
        <f>CONCATENATE("PD", TEXT(A1928, "1000000"))</f>
      </c>
      <c r="D1928" s="7">
        <v>76</v>
      </c>
      <c r="E1928" s="5">
        <f>XLOOKUP(G1928, item_category!C:C, item_category!B:B, "Not Found")</f>
      </c>
      <c r="F1928" s="1" t="s">
        <v>5632</v>
      </c>
      <c r="G1928" s="5">
        <f>XLOOKUP(I1928, drug!B:B, drug!A:A, "Not Found")</f>
      </c>
      <c r="H1928" s="1"/>
      <c r="I1928" s="7">
        <v>1</v>
      </c>
      <c r="J1928" s="5">
        <f>XLOOKUP(L1928, uom!C:C, uom!B:B, "Not Found")</f>
      </c>
      <c r="K1928" s="1" t="s">
        <v>5511</v>
      </c>
      <c r="L1928" s="5">
        <f>XLOOKUP(N1928, uom!C:C, uom!B:B, "Not Found")</f>
      </c>
      <c r="M1928" s="1" t="s">
        <v>5511</v>
      </c>
      <c r="N1928" s="8" t="s">
        <v>5512</v>
      </c>
      <c r="O1928" s="1" t="s">
        <v>5513</v>
      </c>
      <c r="P1928" s="5">
        <f>XLOOKUP(R1928, classification!C:C, classification!B:B, "Not Found")</f>
      </c>
      <c r="Q1928" s="1" t="s">
        <v>5514</v>
      </c>
      <c r="R1928" s="2"/>
      <c r="S1928" s="2"/>
      <c r="T1928" s="2"/>
      <c r="U1928" s="2"/>
    </row>
    <row x14ac:dyDescent="0.25" r="1929" customHeight="1" ht="17.25">
      <c r="A1929" s="7">
        <v>1928</v>
      </c>
      <c r="B1929" s="1" t="s">
        <v>7328</v>
      </c>
      <c r="C1929" s="5">
        <f>CONCATENATE("PD", TEXT(A1929, "1000000"))</f>
      </c>
      <c r="D1929" s="7">
        <v>76</v>
      </c>
      <c r="E1929" s="5">
        <f>XLOOKUP(G1929, item_category!C:C, item_category!B:B, "Not Found")</f>
      </c>
      <c r="F1929" s="1" t="s">
        <v>5632</v>
      </c>
      <c r="G1929" s="5">
        <f>XLOOKUP(I1929, drug!B:B, drug!A:A, "Not Found")</f>
      </c>
      <c r="H1929" s="1"/>
      <c r="I1929" s="7">
        <v>1</v>
      </c>
      <c r="J1929" s="5">
        <f>XLOOKUP(L1929, uom!C:C, uom!B:B, "Not Found")</f>
      </c>
      <c r="K1929" s="1" t="s">
        <v>5511</v>
      </c>
      <c r="L1929" s="5">
        <f>XLOOKUP(N1929, uom!C:C, uom!B:B, "Not Found")</f>
      </c>
      <c r="M1929" s="1" t="s">
        <v>5511</v>
      </c>
      <c r="N1929" s="8" t="s">
        <v>5512</v>
      </c>
      <c r="O1929" s="1" t="s">
        <v>5513</v>
      </c>
      <c r="P1929" s="5">
        <f>XLOOKUP(R1929, classification!C:C, classification!B:B, "Not Found")</f>
      </c>
      <c r="Q1929" s="1" t="s">
        <v>5514</v>
      </c>
      <c r="R1929" s="2"/>
      <c r="S1929" s="2"/>
      <c r="T1929" s="2"/>
      <c r="U1929" s="2"/>
    </row>
    <row x14ac:dyDescent="0.25" r="1930" customHeight="1" ht="17.25">
      <c r="A1930" s="7">
        <v>1929</v>
      </c>
      <c r="B1930" s="1" t="s">
        <v>7329</v>
      </c>
      <c r="C1930" s="5">
        <f>CONCATENATE("PD", TEXT(A1930, "1000000"))</f>
      </c>
      <c r="D1930" s="7">
        <v>76</v>
      </c>
      <c r="E1930" s="5">
        <f>XLOOKUP(G1930, item_category!C:C, item_category!B:B, "Not Found")</f>
      </c>
      <c r="F1930" s="1" t="s">
        <v>5632</v>
      </c>
      <c r="G1930" s="5">
        <f>XLOOKUP(I1930, drug!B:B, drug!A:A, "Not Found")</f>
      </c>
      <c r="H1930" s="1"/>
      <c r="I1930" s="7">
        <v>1</v>
      </c>
      <c r="J1930" s="5">
        <f>XLOOKUP(L1930, uom!C:C, uom!B:B, "Not Found")</f>
      </c>
      <c r="K1930" s="1" t="s">
        <v>5511</v>
      </c>
      <c r="L1930" s="5">
        <f>XLOOKUP(N1930, uom!C:C, uom!B:B, "Not Found")</f>
      </c>
      <c r="M1930" s="1" t="s">
        <v>5511</v>
      </c>
      <c r="N1930" s="8" t="s">
        <v>5512</v>
      </c>
      <c r="O1930" s="1" t="s">
        <v>5513</v>
      </c>
      <c r="P1930" s="5">
        <f>XLOOKUP(R1930, classification!C:C, classification!B:B, "Not Found")</f>
      </c>
      <c r="Q1930" s="1" t="s">
        <v>5514</v>
      </c>
      <c r="R1930" s="2"/>
      <c r="S1930" s="2"/>
      <c r="T1930" s="2"/>
      <c r="U1930" s="2"/>
    </row>
    <row x14ac:dyDescent="0.25" r="1931" customHeight="1" ht="17.25">
      <c r="A1931" s="7">
        <v>1930</v>
      </c>
      <c r="B1931" s="1" t="s">
        <v>7330</v>
      </c>
      <c r="C1931" s="5">
        <f>CONCATENATE("PD", TEXT(A1931, "1000000"))</f>
      </c>
      <c r="D1931" s="7">
        <v>76</v>
      </c>
      <c r="E1931" s="5">
        <f>XLOOKUP(G1931, item_category!C:C, item_category!B:B, "Not Found")</f>
      </c>
      <c r="F1931" s="1" t="s">
        <v>5632</v>
      </c>
      <c r="G1931" s="5">
        <f>XLOOKUP(I1931, drug!B:B, drug!A:A, "Not Found")</f>
      </c>
      <c r="H1931" s="1"/>
      <c r="I1931" s="7">
        <v>1</v>
      </c>
      <c r="J1931" s="5">
        <f>XLOOKUP(L1931, uom!C:C, uom!B:B, "Not Found")</f>
      </c>
      <c r="K1931" s="1" t="s">
        <v>5511</v>
      </c>
      <c r="L1931" s="5">
        <f>XLOOKUP(N1931, uom!C:C, uom!B:B, "Not Found")</f>
      </c>
      <c r="M1931" s="1" t="s">
        <v>5511</v>
      </c>
      <c r="N1931" s="8" t="s">
        <v>5512</v>
      </c>
      <c r="O1931" s="1" t="s">
        <v>5513</v>
      </c>
      <c r="P1931" s="5">
        <f>XLOOKUP(R1931, classification!C:C, classification!B:B, "Not Found")</f>
      </c>
      <c r="Q1931" s="1" t="s">
        <v>5514</v>
      </c>
      <c r="R1931" s="2"/>
      <c r="S1931" s="2"/>
      <c r="T1931" s="2"/>
      <c r="U1931" s="2"/>
    </row>
    <row x14ac:dyDescent="0.25" r="1932" customHeight="1" ht="17.25">
      <c r="A1932" s="7">
        <v>1931</v>
      </c>
      <c r="B1932" s="1" t="s">
        <v>7331</v>
      </c>
      <c r="C1932" s="5">
        <f>CONCATENATE("PD", TEXT(A1932, "1000000"))</f>
      </c>
      <c r="D1932" s="7">
        <v>76</v>
      </c>
      <c r="E1932" s="5">
        <f>XLOOKUP(G1932, item_category!C:C, item_category!B:B, "Not Found")</f>
      </c>
      <c r="F1932" s="1" t="s">
        <v>5632</v>
      </c>
      <c r="G1932" s="5">
        <f>XLOOKUP(I1932, drug!B:B, drug!A:A, "Not Found")</f>
      </c>
      <c r="H1932" s="1"/>
      <c r="I1932" s="7">
        <v>1</v>
      </c>
      <c r="J1932" s="5">
        <f>XLOOKUP(L1932, uom!C:C, uom!B:B, "Not Found")</f>
      </c>
      <c r="K1932" s="1" t="s">
        <v>5511</v>
      </c>
      <c r="L1932" s="5">
        <f>XLOOKUP(N1932, uom!C:C, uom!B:B, "Not Found")</f>
      </c>
      <c r="M1932" s="1" t="s">
        <v>5511</v>
      </c>
      <c r="N1932" s="8" t="s">
        <v>5512</v>
      </c>
      <c r="O1932" s="1" t="s">
        <v>5513</v>
      </c>
      <c r="P1932" s="5">
        <f>XLOOKUP(R1932, classification!C:C, classification!B:B, "Not Found")</f>
      </c>
      <c r="Q1932" s="1" t="s">
        <v>5514</v>
      </c>
      <c r="R1932" s="2"/>
      <c r="S1932" s="2"/>
      <c r="T1932" s="2"/>
      <c r="U1932" s="2"/>
    </row>
    <row x14ac:dyDescent="0.25" r="1933" customHeight="1" ht="17.25">
      <c r="A1933" s="7">
        <v>1932</v>
      </c>
      <c r="B1933" s="1" t="s">
        <v>7332</v>
      </c>
      <c r="C1933" s="5">
        <f>CONCATENATE("PD", TEXT(A1933, "1000000"))</f>
      </c>
      <c r="D1933" s="7">
        <v>76</v>
      </c>
      <c r="E1933" s="5">
        <f>XLOOKUP(G1933, item_category!C:C, item_category!B:B, "Not Found")</f>
      </c>
      <c r="F1933" s="1" t="s">
        <v>5632</v>
      </c>
      <c r="G1933" s="5">
        <f>XLOOKUP(I1933, drug!B:B, drug!A:A, "Not Found")</f>
      </c>
      <c r="H1933" s="1"/>
      <c r="I1933" s="7">
        <v>1</v>
      </c>
      <c r="J1933" s="5">
        <f>XLOOKUP(L1933, uom!C:C, uom!B:B, "Not Found")</f>
      </c>
      <c r="K1933" s="1" t="s">
        <v>5511</v>
      </c>
      <c r="L1933" s="5">
        <f>XLOOKUP(N1933, uom!C:C, uom!B:B, "Not Found")</f>
      </c>
      <c r="M1933" s="1" t="s">
        <v>5511</v>
      </c>
      <c r="N1933" s="8" t="s">
        <v>5512</v>
      </c>
      <c r="O1933" s="1" t="s">
        <v>5513</v>
      </c>
      <c r="P1933" s="5">
        <f>XLOOKUP(R1933, classification!C:C, classification!B:B, "Not Found")</f>
      </c>
      <c r="Q1933" s="1" t="s">
        <v>5514</v>
      </c>
      <c r="R1933" s="2"/>
      <c r="S1933" s="2"/>
      <c r="T1933" s="2"/>
      <c r="U1933" s="2"/>
    </row>
    <row x14ac:dyDescent="0.25" r="1934" customHeight="1" ht="17.25">
      <c r="A1934" s="7">
        <v>1933</v>
      </c>
      <c r="B1934" s="1" t="s">
        <v>7333</v>
      </c>
      <c r="C1934" s="5">
        <f>CONCATENATE("PD", TEXT(A1934, "1000000"))</f>
      </c>
      <c r="D1934" s="7">
        <v>76</v>
      </c>
      <c r="E1934" s="5">
        <f>XLOOKUP(G1934, item_category!C:C, item_category!B:B, "Not Found")</f>
      </c>
      <c r="F1934" s="1" t="s">
        <v>5632</v>
      </c>
      <c r="G1934" s="5">
        <f>XLOOKUP(I1934, drug!B:B, drug!A:A, "Not Found")</f>
      </c>
      <c r="H1934" s="1"/>
      <c r="I1934" s="7">
        <v>1</v>
      </c>
      <c r="J1934" s="5">
        <f>XLOOKUP(L1934, uom!C:C, uom!B:B, "Not Found")</f>
      </c>
      <c r="K1934" s="1" t="s">
        <v>5511</v>
      </c>
      <c r="L1934" s="5">
        <f>XLOOKUP(N1934, uom!C:C, uom!B:B, "Not Found")</f>
      </c>
      <c r="M1934" s="1" t="s">
        <v>5511</v>
      </c>
      <c r="N1934" s="8" t="s">
        <v>5512</v>
      </c>
      <c r="O1934" s="1" t="s">
        <v>5513</v>
      </c>
      <c r="P1934" s="5">
        <f>XLOOKUP(R1934, classification!C:C, classification!B:B, "Not Found")</f>
      </c>
      <c r="Q1934" s="1" t="s">
        <v>5514</v>
      </c>
      <c r="R1934" s="2"/>
      <c r="S1934" s="2"/>
      <c r="T1934" s="2"/>
      <c r="U1934" s="2"/>
    </row>
    <row x14ac:dyDescent="0.25" r="1935" customHeight="1" ht="17.25">
      <c r="A1935" s="7">
        <v>1934</v>
      </c>
      <c r="B1935" s="1" t="s">
        <v>3044</v>
      </c>
      <c r="C1935" s="5">
        <f>CONCATENATE("PD", TEXT(A1935, "1000000"))</f>
      </c>
      <c r="D1935" s="7">
        <v>76</v>
      </c>
      <c r="E1935" s="5">
        <f>XLOOKUP(G1935, item_category!C:C, item_category!B:B, "Not Found")</f>
      </c>
      <c r="F1935" s="1" t="s">
        <v>5632</v>
      </c>
      <c r="G1935" s="5">
        <f>XLOOKUP(I1935, drug!B:B, drug!A:A, "Not Found")</f>
      </c>
      <c r="H1935" s="1"/>
      <c r="I1935" s="7">
        <v>1</v>
      </c>
      <c r="J1935" s="5">
        <f>XLOOKUP(L1935, uom!C:C, uom!B:B, "Not Found")</f>
      </c>
      <c r="K1935" s="1" t="s">
        <v>5511</v>
      </c>
      <c r="L1935" s="5">
        <f>XLOOKUP(N1935, uom!C:C, uom!B:B, "Not Found")</f>
      </c>
      <c r="M1935" s="1" t="s">
        <v>5511</v>
      </c>
      <c r="N1935" s="8" t="s">
        <v>5512</v>
      </c>
      <c r="O1935" s="1" t="s">
        <v>5513</v>
      </c>
      <c r="P1935" s="5">
        <f>XLOOKUP(R1935, classification!C:C, classification!B:B, "Not Found")</f>
      </c>
      <c r="Q1935" s="1" t="s">
        <v>5514</v>
      </c>
      <c r="R1935" s="2"/>
      <c r="S1935" s="2"/>
      <c r="T1935" s="2"/>
      <c r="U1935" s="2"/>
    </row>
    <row x14ac:dyDescent="0.25" r="1936" customHeight="1" ht="17.25">
      <c r="A1936" s="7">
        <v>1935</v>
      </c>
      <c r="B1936" s="1" t="s">
        <v>7334</v>
      </c>
      <c r="C1936" s="5">
        <f>CONCATENATE("PD", TEXT(A1936, "1000000"))</f>
      </c>
      <c r="D1936" s="7">
        <v>76</v>
      </c>
      <c r="E1936" s="5">
        <f>XLOOKUP(G1936, item_category!C:C, item_category!B:B, "Not Found")</f>
      </c>
      <c r="F1936" s="1" t="s">
        <v>5632</v>
      </c>
      <c r="G1936" s="5">
        <f>XLOOKUP(I1936, drug!B:B, drug!A:A, "Not Found")</f>
      </c>
      <c r="H1936" s="1"/>
      <c r="I1936" s="7">
        <v>1</v>
      </c>
      <c r="J1936" s="5">
        <f>XLOOKUP(L1936, uom!C:C, uom!B:B, "Not Found")</f>
      </c>
      <c r="K1936" s="1" t="s">
        <v>5511</v>
      </c>
      <c r="L1936" s="5">
        <f>XLOOKUP(N1936, uom!C:C, uom!B:B, "Not Found")</f>
      </c>
      <c r="M1936" s="1" t="s">
        <v>5511</v>
      </c>
      <c r="N1936" s="8" t="s">
        <v>5512</v>
      </c>
      <c r="O1936" s="1" t="s">
        <v>5513</v>
      </c>
      <c r="P1936" s="5">
        <f>XLOOKUP(R1936, classification!C:C, classification!B:B, "Not Found")</f>
      </c>
      <c r="Q1936" s="1" t="s">
        <v>5514</v>
      </c>
      <c r="R1936" s="2"/>
      <c r="S1936" s="2"/>
      <c r="T1936" s="2"/>
      <c r="U1936" s="2"/>
    </row>
    <row x14ac:dyDescent="0.25" r="1937" customHeight="1" ht="17.25">
      <c r="A1937" s="7">
        <v>1936</v>
      </c>
      <c r="B1937" s="1" t="s">
        <v>7335</v>
      </c>
      <c r="C1937" s="5">
        <f>CONCATENATE("PD", TEXT(A1937, "1000000"))</f>
      </c>
      <c r="D1937" s="7">
        <v>76</v>
      </c>
      <c r="E1937" s="5">
        <f>XLOOKUP(G1937, item_category!C:C, item_category!B:B, "Not Found")</f>
      </c>
      <c r="F1937" s="1" t="s">
        <v>5632</v>
      </c>
      <c r="G1937" s="5">
        <f>XLOOKUP(I1937, drug!B:B, drug!A:A, "Not Found")</f>
      </c>
      <c r="H1937" s="1"/>
      <c r="I1937" s="7">
        <v>1</v>
      </c>
      <c r="J1937" s="5">
        <f>XLOOKUP(L1937, uom!C:C, uom!B:B, "Not Found")</f>
      </c>
      <c r="K1937" s="1" t="s">
        <v>5511</v>
      </c>
      <c r="L1937" s="5">
        <f>XLOOKUP(N1937, uom!C:C, uom!B:B, "Not Found")</f>
      </c>
      <c r="M1937" s="1" t="s">
        <v>5511</v>
      </c>
      <c r="N1937" s="8" t="s">
        <v>5512</v>
      </c>
      <c r="O1937" s="1" t="s">
        <v>5513</v>
      </c>
      <c r="P1937" s="5">
        <f>XLOOKUP(R1937, classification!C:C, classification!B:B, "Not Found")</f>
      </c>
      <c r="Q1937" s="1" t="s">
        <v>5514</v>
      </c>
      <c r="R1937" s="2"/>
      <c r="S1937" s="2"/>
      <c r="T1937" s="2"/>
      <c r="U1937" s="2"/>
    </row>
    <row x14ac:dyDescent="0.25" r="1938" customHeight="1" ht="17.25">
      <c r="A1938" s="7">
        <v>1937</v>
      </c>
      <c r="B1938" s="1" t="s">
        <v>7335</v>
      </c>
      <c r="C1938" s="5">
        <f>CONCATENATE("PD", TEXT(A1938, "1000000"))</f>
      </c>
      <c r="D1938" s="7">
        <v>76</v>
      </c>
      <c r="E1938" s="5">
        <f>XLOOKUP(G1938, item_category!C:C, item_category!B:B, "Not Found")</f>
      </c>
      <c r="F1938" s="1" t="s">
        <v>5632</v>
      </c>
      <c r="G1938" s="5">
        <f>XLOOKUP(I1938, drug!B:B, drug!A:A, "Not Found")</f>
      </c>
      <c r="H1938" s="1"/>
      <c r="I1938" s="7">
        <v>1</v>
      </c>
      <c r="J1938" s="5">
        <f>XLOOKUP(L1938, uom!C:C, uom!B:B, "Not Found")</f>
      </c>
      <c r="K1938" s="1" t="s">
        <v>5511</v>
      </c>
      <c r="L1938" s="5">
        <f>XLOOKUP(N1938, uom!C:C, uom!B:B, "Not Found")</f>
      </c>
      <c r="M1938" s="1" t="s">
        <v>5511</v>
      </c>
      <c r="N1938" s="8" t="s">
        <v>5512</v>
      </c>
      <c r="O1938" s="1" t="s">
        <v>5513</v>
      </c>
      <c r="P1938" s="5">
        <f>XLOOKUP(R1938, classification!C:C, classification!B:B, "Not Found")</f>
      </c>
      <c r="Q1938" s="1" t="s">
        <v>5514</v>
      </c>
      <c r="R1938" s="2"/>
      <c r="S1938" s="2"/>
      <c r="T1938" s="2"/>
      <c r="U1938" s="2"/>
    </row>
    <row x14ac:dyDescent="0.25" r="1939" customHeight="1" ht="17.25">
      <c r="A1939" s="7">
        <v>1938</v>
      </c>
      <c r="B1939" s="1" t="s">
        <v>7336</v>
      </c>
      <c r="C1939" s="5">
        <f>CONCATENATE("PD", TEXT(A1939, "1000000"))</f>
      </c>
      <c r="D1939" s="7">
        <v>76</v>
      </c>
      <c r="E1939" s="5">
        <f>XLOOKUP(G1939, item_category!C:C, item_category!B:B, "Not Found")</f>
      </c>
      <c r="F1939" s="1" t="s">
        <v>5632</v>
      </c>
      <c r="G1939" s="5">
        <f>XLOOKUP(I1939, drug!B:B, drug!A:A, "Not Found")</f>
      </c>
      <c r="H1939" s="1"/>
      <c r="I1939" s="7">
        <v>900</v>
      </c>
      <c r="J1939" s="5">
        <f>XLOOKUP(L1939, uom!C:C, uom!B:B, "Not Found")</f>
      </c>
      <c r="K1939" s="1" t="s">
        <v>5511</v>
      </c>
      <c r="L1939" s="5">
        <f>XLOOKUP(N1939, uom!C:C, uom!B:B, "Not Found")</f>
      </c>
      <c r="M1939" s="1" t="s">
        <v>5511</v>
      </c>
      <c r="N1939" s="8" t="s">
        <v>5524</v>
      </c>
      <c r="O1939" s="1" t="s">
        <v>5525</v>
      </c>
      <c r="P1939" s="5">
        <f>XLOOKUP(R1939, classification!C:C, classification!B:B, "Not Found")</f>
      </c>
      <c r="Q1939" s="1" t="s">
        <v>5514</v>
      </c>
      <c r="R1939" s="2"/>
      <c r="S1939" s="2"/>
      <c r="T1939" s="2"/>
      <c r="U1939" s="2"/>
    </row>
    <row x14ac:dyDescent="0.25" r="1940" customHeight="1" ht="17.25">
      <c r="A1940" s="7">
        <v>1939</v>
      </c>
      <c r="B1940" s="1" t="s">
        <v>7337</v>
      </c>
      <c r="C1940" s="5">
        <f>CONCATENATE("PD", TEXT(A1940, "1000000"))</f>
      </c>
      <c r="D1940" s="7">
        <v>76</v>
      </c>
      <c r="E1940" s="5">
        <f>XLOOKUP(G1940, item_category!C:C, item_category!B:B, "Not Found")</f>
      </c>
      <c r="F1940" s="1" t="s">
        <v>5632</v>
      </c>
      <c r="G1940" s="5">
        <f>XLOOKUP(I1940, drug!B:B, drug!A:A, "Not Found")</f>
      </c>
      <c r="H1940" s="1"/>
      <c r="I1940" s="7">
        <v>1000</v>
      </c>
      <c r="J1940" s="5">
        <f>XLOOKUP(L1940, uom!C:C, uom!B:B, "Not Found")</f>
      </c>
      <c r="K1940" s="1" t="s">
        <v>5511</v>
      </c>
      <c r="L1940" s="5">
        <f>XLOOKUP(N1940, uom!C:C, uom!B:B, "Not Found")</f>
      </c>
      <c r="M1940" s="1" t="s">
        <v>5511</v>
      </c>
      <c r="N1940" s="8" t="s">
        <v>5512</v>
      </c>
      <c r="O1940" s="1" t="s">
        <v>5525</v>
      </c>
      <c r="P1940" s="5">
        <f>XLOOKUP(R1940, classification!C:C, classification!B:B, "Not Found")</f>
      </c>
      <c r="Q1940" s="1" t="s">
        <v>5514</v>
      </c>
      <c r="R1940" s="2"/>
      <c r="S1940" s="2"/>
      <c r="T1940" s="2"/>
      <c r="U1940" s="2"/>
    </row>
    <row x14ac:dyDescent="0.25" r="1941" customHeight="1" ht="17.25">
      <c r="A1941" s="7">
        <v>1940</v>
      </c>
      <c r="B1941" s="1" t="s">
        <v>7338</v>
      </c>
      <c r="C1941" s="5">
        <f>CONCATENATE("PD", TEXT(A1941, "1000000"))</f>
      </c>
      <c r="D1941" s="7">
        <v>76</v>
      </c>
      <c r="E1941" s="5">
        <f>XLOOKUP(G1941, item_category!C:C, item_category!B:B, "Not Found")</f>
      </c>
      <c r="F1941" s="1" t="s">
        <v>5632</v>
      </c>
      <c r="G1941" s="5">
        <f>XLOOKUP(I1941, drug!B:B, drug!A:A, "Not Found")</f>
      </c>
      <c r="H1941" s="1"/>
      <c r="I1941" s="7">
        <v>1</v>
      </c>
      <c r="J1941" s="5">
        <f>XLOOKUP(L1941, uom!C:C, uom!B:B, "Not Found")</f>
      </c>
      <c r="K1941" s="1" t="s">
        <v>5511</v>
      </c>
      <c r="L1941" s="5">
        <f>XLOOKUP(N1941, uom!C:C, uom!B:B, "Not Found")</f>
      </c>
      <c r="M1941" s="1" t="s">
        <v>5511</v>
      </c>
      <c r="N1941" s="8" t="s">
        <v>5512</v>
      </c>
      <c r="O1941" s="1" t="s">
        <v>5513</v>
      </c>
      <c r="P1941" s="5">
        <f>XLOOKUP(R1941, classification!C:C, classification!B:B, "Not Found")</f>
      </c>
      <c r="Q1941" s="1" t="s">
        <v>5514</v>
      </c>
      <c r="R1941" s="2"/>
      <c r="S1941" s="2"/>
      <c r="T1941" s="2"/>
      <c r="U1941" s="2"/>
    </row>
    <row x14ac:dyDescent="0.25" r="1942" customHeight="1" ht="17.25">
      <c r="A1942" s="7">
        <v>1941</v>
      </c>
      <c r="B1942" s="1" t="s">
        <v>7339</v>
      </c>
      <c r="C1942" s="5">
        <f>CONCATENATE("PD", TEXT(A1942, "1000000"))</f>
      </c>
      <c r="D1942" s="7">
        <v>76</v>
      </c>
      <c r="E1942" s="5">
        <f>XLOOKUP(G1942, item_category!C:C, item_category!B:B, "Not Found")</f>
      </c>
      <c r="F1942" s="1" t="s">
        <v>5632</v>
      </c>
      <c r="G1942" s="5">
        <f>XLOOKUP(I1942, drug!B:B, drug!A:A, "Not Found")</f>
      </c>
      <c r="H1942" s="1"/>
      <c r="I1942" s="7">
        <v>1</v>
      </c>
      <c r="J1942" s="5">
        <f>XLOOKUP(L1942, uom!C:C, uom!B:B, "Not Found")</f>
      </c>
      <c r="K1942" s="1" t="s">
        <v>5511</v>
      </c>
      <c r="L1942" s="5">
        <f>XLOOKUP(N1942, uom!C:C, uom!B:B, "Not Found")</f>
      </c>
      <c r="M1942" s="1" t="s">
        <v>5511</v>
      </c>
      <c r="N1942" s="8" t="s">
        <v>5512</v>
      </c>
      <c r="O1942" s="1" t="s">
        <v>5513</v>
      </c>
      <c r="P1942" s="5">
        <f>XLOOKUP(R1942, classification!C:C, classification!B:B, "Not Found")</f>
      </c>
      <c r="Q1942" s="1" t="s">
        <v>5514</v>
      </c>
      <c r="R1942" s="2"/>
      <c r="S1942" s="2"/>
      <c r="T1942" s="2"/>
      <c r="U1942" s="2"/>
    </row>
    <row x14ac:dyDescent="0.25" r="1943" customHeight="1" ht="17.25">
      <c r="A1943" s="7">
        <v>1942</v>
      </c>
      <c r="B1943" s="1" t="s">
        <v>3050</v>
      </c>
      <c r="C1943" s="5">
        <f>CONCATENATE("PD", TEXT(A1943, "1000000"))</f>
      </c>
      <c r="D1943" s="7">
        <v>76</v>
      </c>
      <c r="E1943" s="5">
        <f>XLOOKUP(G1943, item_category!C:C, item_category!B:B, "Not Found")</f>
      </c>
      <c r="F1943" s="1" t="s">
        <v>5632</v>
      </c>
      <c r="G1943" s="5">
        <f>XLOOKUP(I1943, drug!B:B, drug!A:A, "Not Found")</f>
      </c>
      <c r="H1943" s="1"/>
      <c r="I1943" s="7">
        <v>1</v>
      </c>
      <c r="J1943" s="5">
        <f>XLOOKUP(L1943, uom!C:C, uom!B:B, "Not Found")</f>
      </c>
      <c r="K1943" s="1" t="s">
        <v>5511</v>
      </c>
      <c r="L1943" s="5">
        <f>XLOOKUP(N1943, uom!C:C, uom!B:B, "Not Found")</f>
      </c>
      <c r="M1943" s="1" t="s">
        <v>5511</v>
      </c>
      <c r="N1943" s="8" t="s">
        <v>5512</v>
      </c>
      <c r="O1943" s="1" t="s">
        <v>5513</v>
      </c>
      <c r="P1943" s="5">
        <f>XLOOKUP(R1943, classification!C:C, classification!B:B, "Not Found")</f>
      </c>
      <c r="Q1943" s="1" t="s">
        <v>5514</v>
      </c>
      <c r="R1943" s="2"/>
      <c r="S1943" s="2"/>
      <c r="T1943" s="2"/>
      <c r="U1943" s="2"/>
    </row>
    <row x14ac:dyDescent="0.25" r="1944" customHeight="1" ht="17.25">
      <c r="A1944" s="7">
        <v>1943</v>
      </c>
      <c r="B1944" s="1" t="s">
        <v>3052</v>
      </c>
      <c r="C1944" s="5">
        <f>CONCATENATE("PD", TEXT(A1944, "1000000"))</f>
      </c>
      <c r="D1944" s="7">
        <v>76</v>
      </c>
      <c r="E1944" s="5">
        <f>XLOOKUP(G1944, item_category!C:C, item_category!B:B, "Not Found")</f>
      </c>
      <c r="F1944" s="1" t="s">
        <v>5632</v>
      </c>
      <c r="G1944" s="5">
        <f>XLOOKUP(I1944, drug!B:B, drug!A:A, "Not Found")</f>
      </c>
      <c r="H1944" s="1"/>
      <c r="I1944" s="7">
        <v>1</v>
      </c>
      <c r="J1944" s="5">
        <f>XLOOKUP(L1944, uom!C:C, uom!B:B, "Not Found")</f>
      </c>
      <c r="K1944" s="1" t="s">
        <v>5511</v>
      </c>
      <c r="L1944" s="5">
        <f>XLOOKUP(N1944, uom!C:C, uom!B:B, "Not Found")</f>
      </c>
      <c r="M1944" s="1" t="s">
        <v>5511</v>
      </c>
      <c r="N1944" s="8" t="s">
        <v>5512</v>
      </c>
      <c r="O1944" s="1" t="s">
        <v>5513</v>
      </c>
      <c r="P1944" s="5">
        <f>XLOOKUP(R1944, classification!C:C, classification!B:B, "Not Found")</f>
      </c>
      <c r="Q1944" s="1" t="s">
        <v>5514</v>
      </c>
      <c r="R1944" s="2"/>
      <c r="S1944" s="2"/>
      <c r="T1944" s="2"/>
      <c r="U1944" s="2"/>
    </row>
    <row x14ac:dyDescent="0.25" r="1945" customHeight="1" ht="17.25">
      <c r="A1945" s="7">
        <v>1944</v>
      </c>
      <c r="B1945" s="1" t="s">
        <v>3054</v>
      </c>
      <c r="C1945" s="5">
        <f>CONCATENATE("PD", TEXT(A1945, "1000000"))</f>
      </c>
      <c r="D1945" s="7">
        <v>76</v>
      </c>
      <c r="E1945" s="5">
        <f>XLOOKUP(G1945, item_category!C:C, item_category!B:B, "Not Found")</f>
      </c>
      <c r="F1945" s="1" t="s">
        <v>5632</v>
      </c>
      <c r="G1945" s="5">
        <f>XLOOKUP(I1945, drug!B:B, drug!A:A, "Not Found")</f>
      </c>
      <c r="H1945" s="1"/>
      <c r="I1945" s="7">
        <v>1</v>
      </c>
      <c r="J1945" s="5">
        <f>XLOOKUP(L1945, uom!C:C, uom!B:B, "Not Found")</f>
      </c>
      <c r="K1945" s="1" t="s">
        <v>5511</v>
      </c>
      <c r="L1945" s="5">
        <f>XLOOKUP(N1945, uom!C:C, uom!B:B, "Not Found")</f>
      </c>
      <c r="M1945" s="1" t="s">
        <v>5511</v>
      </c>
      <c r="N1945" s="8" t="s">
        <v>5512</v>
      </c>
      <c r="O1945" s="1" t="s">
        <v>5513</v>
      </c>
      <c r="P1945" s="5">
        <f>XLOOKUP(R1945, classification!C:C, classification!B:B, "Not Found")</f>
      </c>
      <c r="Q1945" s="1" t="s">
        <v>5514</v>
      </c>
      <c r="R1945" s="2"/>
      <c r="S1945" s="2"/>
      <c r="T1945" s="2"/>
      <c r="U1945" s="2"/>
    </row>
    <row x14ac:dyDescent="0.25" r="1946" customHeight="1" ht="17.25">
      <c r="A1946" s="7">
        <v>1945</v>
      </c>
      <c r="B1946" s="1" t="s">
        <v>7340</v>
      </c>
      <c r="C1946" s="5">
        <f>CONCATENATE("PD", TEXT(A1946, "1000000"))</f>
      </c>
      <c r="D1946" s="7">
        <v>76</v>
      </c>
      <c r="E1946" s="5">
        <f>XLOOKUP(G1946, item_category!C:C, item_category!B:B, "Not Found")</f>
      </c>
      <c r="F1946" s="1" t="s">
        <v>5632</v>
      </c>
      <c r="G1946" s="5">
        <f>XLOOKUP(I1946, drug!B:B, drug!A:A, "Not Found")</f>
      </c>
      <c r="H1946" s="1"/>
      <c r="I1946" s="7">
        <v>1</v>
      </c>
      <c r="J1946" s="5">
        <f>XLOOKUP(L1946, uom!C:C, uom!B:B, "Not Found")</f>
      </c>
      <c r="K1946" s="1" t="s">
        <v>5511</v>
      </c>
      <c r="L1946" s="5">
        <f>XLOOKUP(N1946, uom!C:C, uom!B:B, "Not Found")</f>
      </c>
      <c r="M1946" s="1" t="s">
        <v>5511</v>
      </c>
      <c r="N1946" s="8" t="s">
        <v>5512</v>
      </c>
      <c r="O1946" s="1" t="s">
        <v>5513</v>
      </c>
      <c r="P1946" s="5">
        <f>XLOOKUP(R1946, classification!C:C, classification!B:B, "Not Found")</f>
      </c>
      <c r="Q1946" s="1" t="s">
        <v>5514</v>
      </c>
      <c r="R1946" s="2"/>
      <c r="S1946" s="2"/>
      <c r="T1946" s="2"/>
      <c r="U1946" s="2"/>
    </row>
    <row x14ac:dyDescent="0.25" r="1947" customHeight="1" ht="17.25">
      <c r="A1947" s="7">
        <v>1946</v>
      </c>
      <c r="B1947" s="1" t="s">
        <v>7341</v>
      </c>
      <c r="C1947" s="5">
        <f>CONCATENATE("PD", TEXT(A1947, "1000000"))</f>
      </c>
      <c r="D1947" s="7">
        <v>76</v>
      </c>
      <c r="E1947" s="5">
        <f>XLOOKUP(G1947, item_category!C:C, item_category!B:B, "Not Found")</f>
      </c>
      <c r="F1947" s="1" t="s">
        <v>5632</v>
      </c>
      <c r="G1947" s="5">
        <f>XLOOKUP(I1947, drug!B:B, drug!A:A, "Not Found")</f>
      </c>
      <c r="H1947" s="1" t="s">
        <v>1228</v>
      </c>
      <c r="I1947" s="7">
        <v>1</v>
      </c>
      <c r="J1947" s="5">
        <f>XLOOKUP(L1947, uom!C:C, uom!B:B, "Not Found")</f>
      </c>
      <c r="K1947" s="1" t="s">
        <v>5511</v>
      </c>
      <c r="L1947" s="5">
        <f>XLOOKUP(N1947, uom!C:C, uom!B:B, "Not Found")</f>
      </c>
      <c r="M1947" s="1" t="s">
        <v>5511</v>
      </c>
      <c r="N1947" s="8" t="s">
        <v>5512</v>
      </c>
      <c r="O1947" s="1" t="s">
        <v>5513</v>
      </c>
      <c r="P1947" s="5">
        <f>XLOOKUP(R1947, classification!C:C, classification!B:B, "Not Found")</f>
      </c>
      <c r="Q1947" s="1" t="s">
        <v>5514</v>
      </c>
      <c r="R1947" s="2"/>
      <c r="S1947" s="2"/>
      <c r="T1947" s="2"/>
      <c r="U1947" s="2"/>
    </row>
    <row x14ac:dyDescent="0.25" r="1948" customHeight="1" ht="17.25">
      <c r="A1948" s="7">
        <v>1947</v>
      </c>
      <c r="B1948" s="1" t="s">
        <v>7342</v>
      </c>
      <c r="C1948" s="5">
        <f>CONCATENATE("PD", TEXT(A1948, "1000000"))</f>
      </c>
      <c r="D1948" s="7">
        <v>76</v>
      </c>
      <c r="E1948" s="5">
        <f>XLOOKUP(G1948, item_category!C:C, item_category!B:B, "Not Found")</f>
      </c>
      <c r="F1948" s="1" t="s">
        <v>5632</v>
      </c>
      <c r="G1948" s="5">
        <f>XLOOKUP(I1948, drug!B:B, drug!A:A, "Not Found")</f>
      </c>
      <c r="H1948" s="1"/>
      <c r="I1948" s="7">
        <v>1</v>
      </c>
      <c r="J1948" s="5">
        <f>XLOOKUP(L1948, uom!C:C, uom!B:B, "Not Found")</f>
      </c>
      <c r="K1948" s="1" t="s">
        <v>5511</v>
      </c>
      <c r="L1948" s="5">
        <f>XLOOKUP(N1948, uom!C:C, uom!B:B, "Not Found")</f>
      </c>
      <c r="M1948" s="1" t="s">
        <v>5511</v>
      </c>
      <c r="N1948" s="8" t="s">
        <v>5512</v>
      </c>
      <c r="O1948" s="1" t="s">
        <v>5513</v>
      </c>
      <c r="P1948" s="5">
        <f>XLOOKUP(R1948, classification!C:C, classification!B:B, "Not Found")</f>
      </c>
      <c r="Q1948" s="1" t="s">
        <v>5514</v>
      </c>
      <c r="R1948" s="2"/>
      <c r="S1948" s="2"/>
      <c r="T1948" s="2"/>
      <c r="U1948" s="2"/>
    </row>
    <row x14ac:dyDescent="0.25" r="1949" customHeight="1" ht="17.25">
      <c r="A1949" s="7">
        <v>1948</v>
      </c>
      <c r="B1949" s="1" t="s">
        <v>7343</v>
      </c>
      <c r="C1949" s="5">
        <f>CONCATENATE("PD", TEXT(A1949, "1000000"))</f>
      </c>
      <c r="D1949" s="7">
        <v>76</v>
      </c>
      <c r="E1949" s="5">
        <f>XLOOKUP(G1949, item_category!C:C, item_category!B:B, "Not Found")</f>
      </c>
      <c r="F1949" s="1" t="s">
        <v>5632</v>
      </c>
      <c r="G1949" s="5">
        <f>XLOOKUP(I1949, drug!B:B, drug!A:A, "Not Found")</f>
      </c>
      <c r="H1949" s="1"/>
      <c r="I1949" s="7">
        <v>1</v>
      </c>
      <c r="J1949" s="5">
        <f>XLOOKUP(L1949, uom!C:C, uom!B:B, "Not Found")</f>
      </c>
      <c r="K1949" s="1" t="s">
        <v>5511</v>
      </c>
      <c r="L1949" s="5">
        <f>XLOOKUP(N1949, uom!C:C, uom!B:B, "Not Found")</f>
      </c>
      <c r="M1949" s="1" t="s">
        <v>5511</v>
      </c>
      <c r="N1949" s="8" t="s">
        <v>5512</v>
      </c>
      <c r="O1949" s="1" t="s">
        <v>5513</v>
      </c>
      <c r="P1949" s="5">
        <f>XLOOKUP(R1949, classification!C:C, classification!B:B, "Not Found")</f>
      </c>
      <c r="Q1949" s="1" t="s">
        <v>5514</v>
      </c>
      <c r="R1949" s="2"/>
      <c r="S1949" s="2"/>
      <c r="T1949" s="2"/>
      <c r="U1949" s="2"/>
    </row>
    <row x14ac:dyDescent="0.25" r="1950" customHeight="1" ht="17.25">
      <c r="A1950" s="7">
        <v>1949</v>
      </c>
      <c r="B1950" s="1" t="s">
        <v>7344</v>
      </c>
      <c r="C1950" s="5">
        <f>CONCATENATE("PD", TEXT(A1950, "1000000"))</f>
      </c>
      <c r="D1950" s="7">
        <v>76</v>
      </c>
      <c r="E1950" s="5">
        <f>XLOOKUP(G1950, item_category!C:C, item_category!B:B, "Not Found")</f>
      </c>
      <c r="F1950" s="1" t="s">
        <v>5632</v>
      </c>
      <c r="G1950" s="5">
        <f>XLOOKUP(I1950, drug!B:B, drug!A:A, "Not Found")</f>
      </c>
      <c r="H1950" s="1"/>
      <c r="I1950" s="7">
        <v>1</v>
      </c>
      <c r="J1950" s="5">
        <f>XLOOKUP(L1950, uom!C:C, uom!B:B, "Not Found")</f>
      </c>
      <c r="K1950" s="1" t="s">
        <v>5511</v>
      </c>
      <c r="L1950" s="5">
        <f>XLOOKUP(N1950, uom!C:C, uom!B:B, "Not Found")</f>
      </c>
      <c r="M1950" s="1" t="s">
        <v>5511</v>
      </c>
      <c r="N1950" s="8" t="s">
        <v>5512</v>
      </c>
      <c r="O1950" s="1" t="s">
        <v>5513</v>
      </c>
      <c r="P1950" s="5">
        <f>XLOOKUP(R1950, classification!C:C, classification!B:B, "Not Found")</f>
      </c>
      <c r="Q1950" s="1" t="s">
        <v>5514</v>
      </c>
      <c r="R1950" s="2"/>
      <c r="S1950" s="2"/>
      <c r="T1950" s="2"/>
      <c r="U1950" s="2"/>
    </row>
    <row x14ac:dyDescent="0.25" r="1951" customHeight="1" ht="17.25">
      <c r="A1951" s="7">
        <v>1950</v>
      </c>
      <c r="B1951" s="1" t="s">
        <v>7345</v>
      </c>
      <c r="C1951" s="5">
        <f>CONCATENATE("PD", TEXT(A1951, "1000000"))</f>
      </c>
      <c r="D1951" s="7">
        <v>76</v>
      </c>
      <c r="E1951" s="5">
        <f>XLOOKUP(G1951, item_category!C:C, item_category!B:B, "Not Found")</f>
      </c>
      <c r="F1951" s="1" t="s">
        <v>5632</v>
      </c>
      <c r="G1951" s="5">
        <f>XLOOKUP(I1951, drug!B:B, drug!A:A, "Not Found")</f>
      </c>
      <c r="H1951" s="1"/>
      <c r="I1951" s="7">
        <v>1</v>
      </c>
      <c r="J1951" s="5">
        <f>XLOOKUP(L1951, uom!C:C, uom!B:B, "Not Found")</f>
      </c>
      <c r="K1951" s="1" t="s">
        <v>5511</v>
      </c>
      <c r="L1951" s="5">
        <f>XLOOKUP(N1951, uom!C:C, uom!B:B, "Not Found")</f>
      </c>
      <c r="M1951" s="1" t="s">
        <v>5511</v>
      </c>
      <c r="N1951" s="8" t="s">
        <v>5512</v>
      </c>
      <c r="O1951" s="1" t="s">
        <v>5513</v>
      </c>
      <c r="P1951" s="5">
        <f>XLOOKUP(R1951, classification!C:C, classification!B:B, "Not Found")</f>
      </c>
      <c r="Q1951" s="1" t="s">
        <v>5514</v>
      </c>
      <c r="R1951" s="2"/>
      <c r="S1951" s="2"/>
      <c r="T1951" s="2"/>
      <c r="U1951" s="2"/>
    </row>
    <row x14ac:dyDescent="0.25" r="1952" customHeight="1" ht="17.25">
      <c r="A1952" s="7">
        <v>1951</v>
      </c>
      <c r="B1952" s="1" t="s">
        <v>7346</v>
      </c>
      <c r="C1952" s="5">
        <f>CONCATENATE("PD", TEXT(A1952, "1000000"))</f>
      </c>
      <c r="D1952" s="7">
        <v>76</v>
      </c>
      <c r="E1952" s="5">
        <f>XLOOKUP(G1952, item_category!C:C, item_category!B:B, "Not Found")</f>
      </c>
      <c r="F1952" s="1" t="s">
        <v>5632</v>
      </c>
      <c r="G1952" s="5">
        <f>XLOOKUP(I1952, drug!B:B, drug!A:A, "Not Found")</f>
      </c>
      <c r="H1952" s="1" t="s">
        <v>1942</v>
      </c>
      <c r="I1952" s="7">
        <v>1</v>
      </c>
      <c r="J1952" s="5">
        <f>XLOOKUP(L1952, uom!C:C, uom!B:B, "Not Found")</f>
      </c>
      <c r="K1952" s="1" t="s">
        <v>5511</v>
      </c>
      <c r="L1952" s="5">
        <f>XLOOKUP(N1952, uom!C:C, uom!B:B, "Not Found")</f>
      </c>
      <c r="M1952" s="1" t="s">
        <v>5511</v>
      </c>
      <c r="N1952" s="8" t="s">
        <v>5512</v>
      </c>
      <c r="O1952" s="1" t="s">
        <v>5513</v>
      </c>
      <c r="P1952" s="5">
        <f>XLOOKUP(R1952, classification!C:C, classification!B:B, "Not Found")</f>
      </c>
      <c r="Q1952" s="1" t="s">
        <v>5514</v>
      </c>
      <c r="R1952" s="2"/>
      <c r="S1952" s="2"/>
      <c r="T1952" s="2"/>
      <c r="U1952" s="2"/>
    </row>
    <row x14ac:dyDescent="0.25" r="1953" customHeight="1" ht="17.25">
      <c r="A1953" s="7">
        <v>1952</v>
      </c>
      <c r="B1953" s="1" t="s">
        <v>7347</v>
      </c>
      <c r="C1953" s="5">
        <f>CONCATENATE("PD", TEXT(A1953, "1000000"))</f>
      </c>
      <c r="D1953" s="7">
        <v>76</v>
      </c>
      <c r="E1953" s="5">
        <f>XLOOKUP(G1953, item_category!C:C, item_category!B:B, "Not Found")</f>
      </c>
      <c r="F1953" s="1" t="s">
        <v>5632</v>
      </c>
      <c r="G1953" s="5">
        <f>XLOOKUP(I1953, drug!B:B, drug!A:A, "Not Found")</f>
      </c>
      <c r="H1953" s="1"/>
      <c r="I1953" s="7">
        <v>1</v>
      </c>
      <c r="J1953" s="5">
        <f>XLOOKUP(L1953, uom!C:C, uom!B:B, "Not Found")</f>
      </c>
      <c r="K1953" s="1" t="s">
        <v>5511</v>
      </c>
      <c r="L1953" s="5">
        <f>XLOOKUP(N1953, uom!C:C, uom!B:B, "Not Found")</f>
      </c>
      <c r="M1953" s="1" t="s">
        <v>5511</v>
      </c>
      <c r="N1953" s="8" t="s">
        <v>5512</v>
      </c>
      <c r="O1953" s="1" t="s">
        <v>5513</v>
      </c>
      <c r="P1953" s="5">
        <f>XLOOKUP(R1953, classification!C:C, classification!B:B, "Not Found")</f>
      </c>
      <c r="Q1953" s="1" t="s">
        <v>5514</v>
      </c>
      <c r="R1953" s="2"/>
      <c r="S1953" s="2"/>
      <c r="T1953" s="2"/>
      <c r="U1953" s="2"/>
    </row>
    <row x14ac:dyDescent="0.25" r="1954" customHeight="1" ht="17.25">
      <c r="A1954" s="7">
        <v>1953</v>
      </c>
      <c r="B1954" s="1" t="s">
        <v>7348</v>
      </c>
      <c r="C1954" s="5">
        <f>CONCATENATE("PD", TEXT(A1954, "1000000"))</f>
      </c>
      <c r="D1954" s="7">
        <v>76</v>
      </c>
      <c r="E1954" s="5">
        <f>XLOOKUP(G1954, item_category!C:C, item_category!B:B, "Not Found")</f>
      </c>
      <c r="F1954" s="1" t="s">
        <v>5632</v>
      </c>
      <c r="G1954" s="5">
        <f>XLOOKUP(I1954, drug!B:B, drug!A:A, "Not Found")</f>
      </c>
      <c r="H1954" s="1"/>
      <c r="I1954" s="7">
        <v>1</v>
      </c>
      <c r="J1954" s="5">
        <f>XLOOKUP(L1954, uom!C:C, uom!B:B, "Not Found")</f>
      </c>
      <c r="K1954" s="1" t="s">
        <v>5511</v>
      </c>
      <c r="L1954" s="5">
        <f>XLOOKUP(N1954, uom!C:C, uom!B:B, "Not Found")</f>
      </c>
      <c r="M1954" s="1" t="s">
        <v>5511</v>
      </c>
      <c r="N1954" s="8" t="s">
        <v>5512</v>
      </c>
      <c r="O1954" s="1" t="s">
        <v>5513</v>
      </c>
      <c r="P1954" s="5">
        <f>XLOOKUP(R1954, classification!C:C, classification!B:B, "Not Found")</f>
      </c>
      <c r="Q1954" s="1" t="s">
        <v>5514</v>
      </c>
      <c r="R1954" s="2"/>
      <c r="S1954" s="2"/>
      <c r="T1954" s="2"/>
      <c r="U1954" s="2"/>
    </row>
    <row x14ac:dyDescent="0.25" r="1955" customHeight="1" ht="17.25">
      <c r="A1955" s="7">
        <v>1954</v>
      </c>
      <c r="B1955" s="1" t="s">
        <v>7349</v>
      </c>
      <c r="C1955" s="5">
        <f>CONCATENATE("PD", TEXT(A1955, "1000000"))</f>
      </c>
      <c r="D1955" s="7">
        <v>76</v>
      </c>
      <c r="E1955" s="5">
        <f>XLOOKUP(G1955, item_category!C:C, item_category!B:B, "Not Found")</f>
      </c>
      <c r="F1955" s="1" t="s">
        <v>5632</v>
      </c>
      <c r="G1955" s="5">
        <f>XLOOKUP(I1955, drug!B:B, drug!A:A, "Not Found")</f>
      </c>
      <c r="H1955" s="1"/>
      <c r="I1955" s="7">
        <v>1</v>
      </c>
      <c r="J1955" s="5">
        <f>XLOOKUP(L1955, uom!C:C, uom!B:B, "Not Found")</f>
      </c>
      <c r="K1955" s="1" t="s">
        <v>5511</v>
      </c>
      <c r="L1955" s="5">
        <f>XLOOKUP(N1955, uom!C:C, uom!B:B, "Not Found")</f>
      </c>
      <c r="M1955" s="1" t="s">
        <v>5511</v>
      </c>
      <c r="N1955" s="8" t="s">
        <v>5512</v>
      </c>
      <c r="O1955" s="1" t="s">
        <v>5513</v>
      </c>
      <c r="P1955" s="5">
        <f>XLOOKUP(R1955, classification!C:C, classification!B:B, "Not Found")</f>
      </c>
      <c r="Q1955" s="1" t="s">
        <v>5514</v>
      </c>
      <c r="R1955" s="2"/>
      <c r="S1955" s="2"/>
      <c r="T1955" s="2"/>
      <c r="U1955" s="2"/>
    </row>
    <row x14ac:dyDescent="0.25" r="1956" customHeight="1" ht="17.25">
      <c r="A1956" s="7">
        <v>1955</v>
      </c>
      <c r="B1956" s="1" t="s">
        <v>7350</v>
      </c>
      <c r="C1956" s="5">
        <f>CONCATENATE("PD", TEXT(A1956, "1000000"))</f>
      </c>
      <c r="D1956" s="7">
        <v>76</v>
      </c>
      <c r="E1956" s="5">
        <f>XLOOKUP(G1956, item_category!C:C, item_category!B:B, "Not Found")</f>
      </c>
      <c r="F1956" s="1" t="s">
        <v>5632</v>
      </c>
      <c r="G1956" s="5">
        <f>XLOOKUP(I1956, drug!B:B, drug!A:A, "Not Found")</f>
      </c>
      <c r="H1956" s="1"/>
      <c r="I1956" s="7">
        <v>1</v>
      </c>
      <c r="J1956" s="5">
        <f>XLOOKUP(L1956, uom!C:C, uom!B:B, "Not Found")</f>
      </c>
      <c r="K1956" s="1" t="s">
        <v>5511</v>
      </c>
      <c r="L1956" s="5">
        <f>XLOOKUP(N1956, uom!C:C, uom!B:B, "Not Found")</f>
      </c>
      <c r="M1956" s="1" t="s">
        <v>5511</v>
      </c>
      <c r="N1956" s="8" t="s">
        <v>5512</v>
      </c>
      <c r="O1956" s="1" t="s">
        <v>5513</v>
      </c>
      <c r="P1956" s="5">
        <f>XLOOKUP(R1956, classification!C:C, classification!B:B, "Not Found")</f>
      </c>
      <c r="Q1956" s="1" t="s">
        <v>5514</v>
      </c>
      <c r="R1956" s="2"/>
      <c r="S1956" s="2"/>
      <c r="T1956" s="2"/>
      <c r="U1956" s="2"/>
    </row>
    <row x14ac:dyDescent="0.25" r="1957" customHeight="1" ht="17.25">
      <c r="A1957" s="7">
        <v>1956</v>
      </c>
      <c r="B1957" s="1" t="s">
        <v>7351</v>
      </c>
      <c r="C1957" s="5">
        <f>CONCATENATE("PD", TEXT(A1957, "1000000"))</f>
      </c>
      <c r="D1957" s="7">
        <v>76</v>
      </c>
      <c r="E1957" s="5">
        <f>XLOOKUP(G1957, item_category!C:C, item_category!B:B, "Not Found")</f>
      </c>
      <c r="F1957" s="1" t="s">
        <v>5632</v>
      </c>
      <c r="G1957" s="5">
        <f>XLOOKUP(I1957, drug!B:B, drug!A:A, "Not Found")</f>
      </c>
      <c r="H1957" s="1"/>
      <c r="I1957" s="7">
        <v>1</v>
      </c>
      <c r="J1957" s="5">
        <f>XLOOKUP(L1957, uom!C:C, uom!B:B, "Not Found")</f>
      </c>
      <c r="K1957" s="1" t="s">
        <v>5511</v>
      </c>
      <c r="L1957" s="5">
        <f>XLOOKUP(N1957, uom!C:C, uom!B:B, "Not Found")</f>
      </c>
      <c r="M1957" s="1" t="s">
        <v>5511</v>
      </c>
      <c r="N1957" s="8" t="s">
        <v>5512</v>
      </c>
      <c r="O1957" s="1" t="s">
        <v>5513</v>
      </c>
      <c r="P1957" s="5">
        <f>XLOOKUP(R1957, classification!C:C, classification!B:B, "Not Found")</f>
      </c>
      <c r="Q1957" s="1" t="s">
        <v>5514</v>
      </c>
      <c r="R1957" s="2"/>
      <c r="S1957" s="2"/>
      <c r="T1957" s="2"/>
      <c r="U1957" s="2"/>
    </row>
    <row x14ac:dyDescent="0.25" r="1958" customHeight="1" ht="17.25">
      <c r="A1958" s="7">
        <v>1957</v>
      </c>
      <c r="B1958" s="1" t="s">
        <v>7352</v>
      </c>
      <c r="C1958" s="5">
        <f>CONCATENATE("PD", TEXT(A1958, "1000000"))</f>
      </c>
      <c r="D1958" s="7">
        <v>76</v>
      </c>
      <c r="E1958" s="5">
        <f>XLOOKUP(G1958, item_category!C:C, item_category!B:B, "Not Found")</f>
      </c>
      <c r="F1958" s="1" t="s">
        <v>5632</v>
      </c>
      <c r="G1958" s="5">
        <f>XLOOKUP(I1958, drug!B:B, drug!A:A, "Not Found")</f>
      </c>
      <c r="H1958" s="1"/>
      <c r="I1958" s="7">
        <v>1</v>
      </c>
      <c r="J1958" s="5">
        <f>XLOOKUP(L1958, uom!C:C, uom!B:B, "Not Found")</f>
      </c>
      <c r="K1958" s="1" t="s">
        <v>5511</v>
      </c>
      <c r="L1958" s="5">
        <f>XLOOKUP(N1958, uom!C:C, uom!B:B, "Not Found")</f>
      </c>
      <c r="M1958" s="1" t="s">
        <v>5511</v>
      </c>
      <c r="N1958" s="8" t="s">
        <v>5512</v>
      </c>
      <c r="O1958" s="1" t="s">
        <v>5513</v>
      </c>
      <c r="P1958" s="5">
        <f>XLOOKUP(R1958, classification!C:C, classification!B:B, "Not Found")</f>
      </c>
      <c r="Q1958" s="1" t="s">
        <v>5514</v>
      </c>
      <c r="R1958" s="2"/>
      <c r="S1958" s="2"/>
      <c r="T1958" s="2"/>
      <c r="U1958" s="2"/>
    </row>
    <row x14ac:dyDescent="0.25" r="1959" customHeight="1" ht="17.25">
      <c r="A1959" s="7">
        <v>1958</v>
      </c>
      <c r="B1959" s="1" t="s">
        <v>7353</v>
      </c>
      <c r="C1959" s="5">
        <f>CONCATENATE("PD", TEXT(A1959, "1000000"))</f>
      </c>
      <c r="D1959" s="7">
        <v>76</v>
      </c>
      <c r="E1959" s="5">
        <f>XLOOKUP(G1959, item_category!C:C, item_category!B:B, "Not Found")</f>
      </c>
      <c r="F1959" s="1" t="s">
        <v>5632</v>
      </c>
      <c r="G1959" s="5">
        <f>XLOOKUP(I1959, drug!B:B, drug!A:A, "Not Found")</f>
      </c>
      <c r="H1959" s="1"/>
      <c r="I1959" s="7">
        <v>1</v>
      </c>
      <c r="J1959" s="5">
        <f>XLOOKUP(L1959, uom!C:C, uom!B:B, "Not Found")</f>
      </c>
      <c r="K1959" s="1" t="s">
        <v>5511</v>
      </c>
      <c r="L1959" s="5">
        <f>XLOOKUP(N1959, uom!C:C, uom!B:B, "Not Found")</f>
      </c>
      <c r="M1959" s="1" t="s">
        <v>5511</v>
      </c>
      <c r="N1959" s="8" t="s">
        <v>5512</v>
      </c>
      <c r="O1959" s="1" t="s">
        <v>5513</v>
      </c>
      <c r="P1959" s="5">
        <f>XLOOKUP(R1959, classification!C:C, classification!B:B, "Not Found")</f>
      </c>
      <c r="Q1959" s="1" t="s">
        <v>5514</v>
      </c>
      <c r="R1959" s="2"/>
      <c r="S1959" s="2"/>
      <c r="T1959" s="2"/>
      <c r="U1959" s="2"/>
    </row>
    <row x14ac:dyDescent="0.25" r="1960" customHeight="1" ht="17.25">
      <c r="A1960" s="7">
        <v>1959</v>
      </c>
      <c r="B1960" s="1" t="s">
        <v>3060</v>
      </c>
      <c r="C1960" s="5">
        <f>CONCATENATE("PD", TEXT(A1960, "1000000"))</f>
      </c>
      <c r="D1960" s="7">
        <v>76</v>
      </c>
      <c r="E1960" s="5">
        <f>XLOOKUP(G1960, item_category!C:C, item_category!B:B, "Not Found")</f>
      </c>
      <c r="F1960" s="1" t="s">
        <v>5632</v>
      </c>
      <c r="G1960" s="5">
        <f>XLOOKUP(I1960, drug!B:B, drug!A:A, "Not Found")</f>
      </c>
      <c r="H1960" s="1"/>
      <c r="I1960" s="7">
        <v>1</v>
      </c>
      <c r="J1960" s="5">
        <f>XLOOKUP(L1960, uom!C:C, uom!B:B, "Not Found")</f>
      </c>
      <c r="K1960" s="1" t="s">
        <v>5511</v>
      </c>
      <c r="L1960" s="5">
        <f>XLOOKUP(N1960, uom!C:C, uom!B:B, "Not Found")</f>
      </c>
      <c r="M1960" s="1" t="s">
        <v>5511</v>
      </c>
      <c r="N1960" s="8" t="s">
        <v>5512</v>
      </c>
      <c r="O1960" s="1" t="s">
        <v>5513</v>
      </c>
      <c r="P1960" s="5">
        <f>XLOOKUP(R1960, classification!C:C, classification!B:B, "Not Found")</f>
      </c>
      <c r="Q1960" s="1" t="s">
        <v>5514</v>
      </c>
      <c r="R1960" s="2"/>
      <c r="S1960" s="2"/>
      <c r="T1960" s="2"/>
      <c r="U1960" s="2"/>
    </row>
    <row x14ac:dyDescent="0.25" r="1961" customHeight="1" ht="17.25">
      <c r="A1961" s="7">
        <v>1960</v>
      </c>
      <c r="B1961" s="1" t="s">
        <v>7354</v>
      </c>
      <c r="C1961" s="5">
        <f>CONCATENATE("PD", TEXT(A1961, "1000000"))</f>
      </c>
      <c r="D1961" s="7">
        <v>76</v>
      </c>
      <c r="E1961" s="5">
        <f>XLOOKUP(G1961, item_category!C:C, item_category!B:B, "Not Found")</f>
      </c>
      <c r="F1961" s="1" t="s">
        <v>5632</v>
      </c>
      <c r="G1961" s="5">
        <f>XLOOKUP(I1961, drug!B:B, drug!A:A, "Not Found")</f>
      </c>
      <c r="H1961" s="1"/>
      <c r="I1961" s="7">
        <v>1</v>
      </c>
      <c r="J1961" s="5">
        <f>XLOOKUP(L1961, uom!C:C, uom!B:B, "Not Found")</f>
      </c>
      <c r="K1961" s="1" t="s">
        <v>5511</v>
      </c>
      <c r="L1961" s="5">
        <f>XLOOKUP(N1961, uom!C:C, uom!B:B, "Not Found")</f>
      </c>
      <c r="M1961" s="1" t="s">
        <v>5511</v>
      </c>
      <c r="N1961" s="8" t="s">
        <v>5512</v>
      </c>
      <c r="O1961" s="1" t="s">
        <v>5513</v>
      </c>
      <c r="P1961" s="5">
        <f>XLOOKUP(R1961, classification!C:C, classification!B:B, "Not Found")</f>
      </c>
      <c r="Q1961" s="1" t="s">
        <v>5514</v>
      </c>
      <c r="R1961" s="2"/>
      <c r="S1961" s="2"/>
      <c r="T1961" s="2"/>
      <c r="U1961" s="2"/>
    </row>
    <row x14ac:dyDescent="0.25" r="1962" customHeight="1" ht="17.25">
      <c r="A1962" s="7">
        <v>1961</v>
      </c>
      <c r="B1962" s="1" t="s">
        <v>7355</v>
      </c>
      <c r="C1962" s="5">
        <f>CONCATENATE("PD", TEXT(A1962, "1000000"))</f>
      </c>
      <c r="D1962" s="7">
        <v>76</v>
      </c>
      <c r="E1962" s="5">
        <f>XLOOKUP(G1962, item_category!C:C, item_category!B:B, "Not Found")</f>
      </c>
      <c r="F1962" s="1" t="s">
        <v>5632</v>
      </c>
      <c r="G1962" s="5">
        <f>XLOOKUP(I1962, drug!B:B, drug!A:A, "Not Found")</f>
      </c>
      <c r="H1962" s="1"/>
      <c r="I1962" s="7">
        <v>350</v>
      </c>
      <c r="J1962" s="5">
        <f>XLOOKUP(L1962, uom!C:C, uom!B:B, "Not Found")</f>
      </c>
      <c r="K1962" s="1" t="s">
        <v>5511</v>
      </c>
      <c r="L1962" s="5">
        <f>XLOOKUP(N1962, uom!C:C, uom!B:B, "Not Found")</f>
      </c>
      <c r="M1962" s="1" t="s">
        <v>5511</v>
      </c>
      <c r="N1962" s="8" t="s">
        <v>5524</v>
      </c>
      <c r="O1962" s="1" t="s">
        <v>5525</v>
      </c>
      <c r="P1962" s="5">
        <f>XLOOKUP(R1962, classification!C:C, classification!B:B, "Not Found")</f>
      </c>
      <c r="Q1962" s="1" t="s">
        <v>5514</v>
      </c>
      <c r="R1962" s="2"/>
      <c r="S1962" s="2"/>
      <c r="T1962" s="2"/>
      <c r="U1962" s="2"/>
    </row>
    <row x14ac:dyDescent="0.25" r="1963" customHeight="1" ht="17.25">
      <c r="A1963" s="7">
        <v>1962</v>
      </c>
      <c r="B1963" s="1" t="s">
        <v>7356</v>
      </c>
      <c r="C1963" s="5">
        <f>CONCATENATE("PD", TEXT(A1963, "1000000"))</f>
      </c>
      <c r="D1963" s="7">
        <v>76</v>
      </c>
      <c r="E1963" s="5">
        <f>XLOOKUP(G1963, item_category!C:C, item_category!B:B, "Not Found")</f>
      </c>
      <c r="F1963" s="1" t="s">
        <v>5632</v>
      </c>
      <c r="G1963" s="5">
        <f>XLOOKUP(I1963, drug!B:B, drug!A:A, "Not Found")</f>
      </c>
      <c r="H1963" s="1"/>
      <c r="I1963" s="7">
        <v>1</v>
      </c>
      <c r="J1963" s="5">
        <f>XLOOKUP(L1963, uom!C:C, uom!B:B, "Not Found")</f>
      </c>
      <c r="K1963" s="1" t="s">
        <v>5511</v>
      </c>
      <c r="L1963" s="5">
        <f>XLOOKUP(N1963, uom!C:C, uom!B:B, "Not Found")</f>
      </c>
      <c r="M1963" s="1" t="s">
        <v>5511</v>
      </c>
      <c r="N1963" s="8" t="s">
        <v>5512</v>
      </c>
      <c r="O1963" s="1" t="s">
        <v>5513</v>
      </c>
      <c r="P1963" s="5">
        <f>XLOOKUP(R1963, classification!C:C, classification!B:B, "Not Found")</f>
      </c>
      <c r="Q1963" s="1" t="s">
        <v>5514</v>
      </c>
      <c r="R1963" s="2"/>
      <c r="S1963" s="2"/>
      <c r="T1963" s="2"/>
      <c r="U1963" s="2"/>
    </row>
    <row x14ac:dyDescent="0.25" r="1964" customHeight="1" ht="17.25">
      <c r="A1964" s="7">
        <v>1963</v>
      </c>
      <c r="B1964" s="1" t="s">
        <v>7357</v>
      </c>
      <c r="C1964" s="5">
        <f>CONCATENATE("PD", TEXT(A1964, "1000000"))</f>
      </c>
      <c r="D1964" s="7">
        <v>76</v>
      </c>
      <c r="E1964" s="5">
        <f>XLOOKUP(G1964, item_category!C:C, item_category!B:B, "Not Found")</f>
      </c>
      <c r="F1964" s="1" t="s">
        <v>5632</v>
      </c>
      <c r="G1964" s="5">
        <f>XLOOKUP(I1964, drug!B:B, drug!A:A, "Not Found")</f>
      </c>
      <c r="H1964" s="1"/>
      <c r="I1964" s="7">
        <v>1</v>
      </c>
      <c r="J1964" s="5">
        <f>XLOOKUP(L1964, uom!C:C, uom!B:B, "Not Found")</f>
      </c>
      <c r="K1964" s="1" t="s">
        <v>5511</v>
      </c>
      <c r="L1964" s="5">
        <f>XLOOKUP(N1964, uom!C:C, uom!B:B, "Not Found")</f>
      </c>
      <c r="M1964" s="1" t="s">
        <v>5511</v>
      </c>
      <c r="N1964" s="8" t="s">
        <v>5512</v>
      </c>
      <c r="O1964" s="1" t="s">
        <v>5513</v>
      </c>
      <c r="P1964" s="5">
        <f>XLOOKUP(R1964, classification!C:C, classification!B:B, "Not Found")</f>
      </c>
      <c r="Q1964" s="1" t="s">
        <v>5514</v>
      </c>
      <c r="R1964" s="2"/>
      <c r="S1964" s="2"/>
      <c r="T1964" s="2"/>
      <c r="U1964" s="2"/>
    </row>
    <row x14ac:dyDescent="0.25" r="1965" customHeight="1" ht="17.25">
      <c r="A1965" s="7">
        <v>1964</v>
      </c>
      <c r="B1965" s="1" t="s">
        <v>7358</v>
      </c>
      <c r="C1965" s="5">
        <f>CONCATENATE("PD", TEXT(A1965, "1000000"))</f>
      </c>
      <c r="D1965" s="7">
        <v>76</v>
      </c>
      <c r="E1965" s="5">
        <f>XLOOKUP(G1965, item_category!C:C, item_category!B:B, "Not Found")</f>
      </c>
      <c r="F1965" s="1" t="s">
        <v>5632</v>
      </c>
      <c r="G1965" s="5">
        <f>XLOOKUP(I1965, drug!B:B, drug!A:A, "Not Found")</f>
      </c>
      <c r="H1965" s="1"/>
      <c r="I1965" s="7">
        <v>1</v>
      </c>
      <c r="J1965" s="5">
        <f>XLOOKUP(L1965, uom!C:C, uom!B:B, "Not Found")</f>
      </c>
      <c r="K1965" s="1" t="s">
        <v>5511</v>
      </c>
      <c r="L1965" s="5">
        <f>XLOOKUP(N1965, uom!C:C, uom!B:B, "Not Found")</f>
      </c>
      <c r="M1965" s="1" t="s">
        <v>5511</v>
      </c>
      <c r="N1965" s="8" t="s">
        <v>5512</v>
      </c>
      <c r="O1965" s="1" t="s">
        <v>5513</v>
      </c>
      <c r="P1965" s="5">
        <f>XLOOKUP(R1965, classification!C:C, classification!B:B, "Not Found")</f>
      </c>
      <c r="Q1965" s="1" t="s">
        <v>5514</v>
      </c>
      <c r="R1965" s="2"/>
      <c r="S1965" s="2"/>
      <c r="T1965" s="2"/>
      <c r="U1965" s="2"/>
    </row>
    <row x14ac:dyDescent="0.25" r="1966" customHeight="1" ht="17.25">
      <c r="A1966" s="7">
        <v>1965</v>
      </c>
      <c r="B1966" s="1" t="s">
        <v>7359</v>
      </c>
      <c r="C1966" s="5">
        <f>CONCATENATE("PD", TEXT(A1966, "1000000"))</f>
      </c>
      <c r="D1966" s="7">
        <v>76</v>
      </c>
      <c r="E1966" s="5">
        <f>XLOOKUP(G1966, item_category!C:C, item_category!B:B, "Not Found")</f>
      </c>
      <c r="F1966" s="1" t="s">
        <v>5632</v>
      </c>
      <c r="G1966" s="5">
        <f>XLOOKUP(I1966, drug!B:B, drug!A:A, "Not Found")</f>
      </c>
      <c r="H1966" s="1"/>
      <c r="I1966" s="7">
        <v>1</v>
      </c>
      <c r="J1966" s="5">
        <f>XLOOKUP(L1966, uom!C:C, uom!B:B, "Not Found")</f>
      </c>
      <c r="K1966" s="1" t="s">
        <v>5511</v>
      </c>
      <c r="L1966" s="5">
        <f>XLOOKUP(N1966, uom!C:C, uom!B:B, "Not Found")</f>
      </c>
      <c r="M1966" s="1" t="s">
        <v>5511</v>
      </c>
      <c r="N1966" s="8" t="s">
        <v>5512</v>
      </c>
      <c r="O1966" s="1" t="s">
        <v>5513</v>
      </c>
      <c r="P1966" s="5">
        <f>XLOOKUP(R1966, classification!C:C, classification!B:B, "Not Found")</f>
      </c>
      <c r="Q1966" s="1" t="s">
        <v>5514</v>
      </c>
      <c r="R1966" s="2"/>
      <c r="S1966" s="2"/>
      <c r="T1966" s="2"/>
      <c r="U1966" s="2"/>
    </row>
    <row x14ac:dyDescent="0.25" r="1967" customHeight="1" ht="17.25">
      <c r="A1967" s="7">
        <v>1966</v>
      </c>
      <c r="B1967" s="1" t="s">
        <v>7360</v>
      </c>
      <c r="C1967" s="5">
        <f>CONCATENATE("PD", TEXT(A1967, "1000000"))</f>
      </c>
      <c r="D1967" s="7">
        <v>76</v>
      </c>
      <c r="E1967" s="5">
        <f>XLOOKUP(G1967, item_category!C:C, item_category!B:B, "Not Found")</f>
      </c>
      <c r="F1967" s="1" t="s">
        <v>5632</v>
      </c>
      <c r="G1967" s="5">
        <f>XLOOKUP(I1967, drug!B:B, drug!A:A, "Not Found")</f>
      </c>
      <c r="H1967" s="1"/>
      <c r="I1967" s="7">
        <v>400</v>
      </c>
      <c r="J1967" s="5">
        <f>XLOOKUP(L1967, uom!C:C, uom!B:B, "Not Found")</f>
      </c>
      <c r="K1967" s="1" t="s">
        <v>7361</v>
      </c>
      <c r="L1967" s="5">
        <f>XLOOKUP(N1967, uom!C:C, uom!B:B, "Not Found")</f>
      </c>
      <c r="M1967" s="1" t="s">
        <v>7361</v>
      </c>
      <c r="N1967" s="8" t="s">
        <v>5524</v>
      </c>
      <c r="O1967" s="1" t="s">
        <v>5525</v>
      </c>
      <c r="P1967" s="5">
        <f>XLOOKUP(R1967, classification!C:C, classification!B:B, "Not Found")</f>
      </c>
      <c r="Q1967" s="1" t="s">
        <v>5514</v>
      </c>
      <c r="R1967" s="2"/>
      <c r="S1967" s="2"/>
      <c r="T1967" s="2"/>
      <c r="U1967" s="2"/>
    </row>
    <row x14ac:dyDescent="0.25" r="1968" customHeight="1" ht="17.25">
      <c r="A1968" s="7">
        <v>1967</v>
      </c>
      <c r="B1968" s="1" t="s">
        <v>7362</v>
      </c>
      <c r="C1968" s="5">
        <f>CONCATENATE("PD", TEXT(A1968, "1000000"))</f>
      </c>
      <c r="D1968" s="7">
        <v>76</v>
      </c>
      <c r="E1968" s="5">
        <f>XLOOKUP(G1968, item_category!C:C, item_category!B:B, "Not Found")</f>
      </c>
      <c r="F1968" s="1" t="s">
        <v>5632</v>
      </c>
      <c r="G1968" s="5">
        <f>XLOOKUP(I1968, drug!B:B, drug!A:A, "Not Found")</f>
      </c>
      <c r="H1968" s="1"/>
      <c r="I1968" s="7">
        <v>1</v>
      </c>
      <c r="J1968" s="5">
        <f>XLOOKUP(L1968, uom!C:C, uom!B:B, "Not Found")</f>
      </c>
      <c r="K1968" s="1" t="s">
        <v>5511</v>
      </c>
      <c r="L1968" s="5">
        <f>XLOOKUP(N1968, uom!C:C, uom!B:B, "Not Found")</f>
      </c>
      <c r="M1968" s="1" t="s">
        <v>5511</v>
      </c>
      <c r="N1968" s="8" t="s">
        <v>5512</v>
      </c>
      <c r="O1968" s="1" t="s">
        <v>5513</v>
      </c>
      <c r="P1968" s="5">
        <f>XLOOKUP(R1968, classification!C:C, classification!B:B, "Not Found")</f>
      </c>
      <c r="Q1968" s="1" t="s">
        <v>5514</v>
      </c>
      <c r="R1968" s="2"/>
      <c r="S1968" s="2"/>
      <c r="T1968" s="2"/>
      <c r="U1968" s="2"/>
    </row>
    <row x14ac:dyDescent="0.25" r="1969" customHeight="1" ht="17.25">
      <c r="A1969" s="7">
        <v>1968</v>
      </c>
      <c r="B1969" s="1" t="s">
        <v>7363</v>
      </c>
      <c r="C1969" s="5">
        <f>CONCATENATE("PD", TEXT(A1969, "1000000"))</f>
      </c>
      <c r="D1969" s="7">
        <v>76</v>
      </c>
      <c r="E1969" s="5">
        <f>XLOOKUP(G1969, item_category!C:C, item_category!B:B, "Not Found")</f>
      </c>
      <c r="F1969" s="1" t="s">
        <v>5632</v>
      </c>
      <c r="G1969" s="5">
        <f>XLOOKUP(I1969, drug!B:B, drug!A:A, "Not Found")</f>
      </c>
      <c r="H1969" s="1"/>
      <c r="I1969" s="7">
        <v>1</v>
      </c>
      <c r="J1969" s="5">
        <f>XLOOKUP(L1969, uom!C:C, uom!B:B, "Not Found")</f>
      </c>
      <c r="K1969" s="1" t="s">
        <v>5511</v>
      </c>
      <c r="L1969" s="5">
        <f>XLOOKUP(N1969, uom!C:C, uom!B:B, "Not Found")</f>
      </c>
      <c r="M1969" s="1" t="s">
        <v>5511</v>
      </c>
      <c r="N1969" s="8" t="s">
        <v>5512</v>
      </c>
      <c r="O1969" s="1" t="s">
        <v>5513</v>
      </c>
      <c r="P1969" s="5">
        <f>XLOOKUP(R1969, classification!C:C, classification!B:B, "Not Found")</f>
      </c>
      <c r="Q1969" s="1" t="s">
        <v>5514</v>
      </c>
      <c r="R1969" s="2"/>
      <c r="S1969" s="2"/>
      <c r="T1969" s="2"/>
      <c r="U1969" s="2"/>
    </row>
    <row x14ac:dyDescent="0.25" r="1970" customHeight="1" ht="17.25">
      <c r="A1970" s="7">
        <v>1969</v>
      </c>
      <c r="B1970" s="1" t="s">
        <v>7364</v>
      </c>
      <c r="C1970" s="5">
        <f>CONCATENATE("PD", TEXT(A1970, "1000000"))</f>
      </c>
      <c r="D1970" s="7">
        <v>76</v>
      </c>
      <c r="E1970" s="5">
        <f>XLOOKUP(G1970, item_category!C:C, item_category!B:B, "Not Found")</f>
      </c>
      <c r="F1970" s="1" t="s">
        <v>5632</v>
      </c>
      <c r="G1970" s="5">
        <f>XLOOKUP(I1970, drug!B:B, drug!A:A, "Not Found")</f>
      </c>
      <c r="H1970" s="1" t="s">
        <v>1152</v>
      </c>
      <c r="I1970" s="7">
        <v>1</v>
      </c>
      <c r="J1970" s="5">
        <f>XLOOKUP(L1970, uom!C:C, uom!B:B, "Not Found")</f>
      </c>
      <c r="K1970" s="1" t="s">
        <v>5511</v>
      </c>
      <c r="L1970" s="5">
        <f>XLOOKUP(N1970, uom!C:C, uom!B:B, "Not Found")</f>
      </c>
      <c r="M1970" s="1" t="s">
        <v>5511</v>
      </c>
      <c r="N1970" s="8" t="s">
        <v>5512</v>
      </c>
      <c r="O1970" s="1" t="s">
        <v>5513</v>
      </c>
      <c r="P1970" s="5">
        <f>XLOOKUP(R1970, classification!C:C, classification!B:B, "Not Found")</f>
      </c>
      <c r="Q1970" s="1" t="s">
        <v>5514</v>
      </c>
      <c r="R1970" s="2"/>
      <c r="S1970" s="2"/>
      <c r="T1970" s="2"/>
      <c r="U1970" s="2"/>
    </row>
    <row x14ac:dyDescent="0.25" r="1971" customHeight="1" ht="17.25">
      <c r="A1971" s="7">
        <v>1970</v>
      </c>
      <c r="B1971" s="1" t="s">
        <v>7365</v>
      </c>
      <c r="C1971" s="5">
        <f>CONCATENATE("PD", TEXT(A1971, "1000000"))</f>
      </c>
      <c r="D1971" s="7">
        <v>76</v>
      </c>
      <c r="E1971" s="5">
        <f>XLOOKUP(G1971, item_category!C:C, item_category!B:B, "Not Found")</f>
      </c>
      <c r="F1971" s="1" t="s">
        <v>5632</v>
      </c>
      <c r="G1971" s="5">
        <f>XLOOKUP(I1971, drug!B:B, drug!A:A, "Not Found")</f>
      </c>
      <c r="H1971" s="1"/>
      <c r="I1971" s="7">
        <v>1</v>
      </c>
      <c r="J1971" s="5">
        <f>XLOOKUP(L1971, uom!C:C, uom!B:B, "Not Found")</f>
      </c>
      <c r="K1971" s="1" t="s">
        <v>5511</v>
      </c>
      <c r="L1971" s="5">
        <f>XLOOKUP(N1971, uom!C:C, uom!B:B, "Not Found")</f>
      </c>
      <c r="M1971" s="1" t="s">
        <v>5511</v>
      </c>
      <c r="N1971" s="8" t="s">
        <v>5512</v>
      </c>
      <c r="O1971" s="1" t="s">
        <v>5513</v>
      </c>
      <c r="P1971" s="5">
        <f>XLOOKUP(R1971, classification!C:C, classification!B:B, "Not Found")</f>
      </c>
      <c r="Q1971" s="1" t="s">
        <v>5514</v>
      </c>
      <c r="R1971" s="2"/>
      <c r="S1971" s="2"/>
      <c r="T1971" s="2"/>
      <c r="U1971" s="2"/>
    </row>
    <row x14ac:dyDescent="0.25" r="1972" customHeight="1" ht="17.25">
      <c r="A1972" s="7">
        <v>1971</v>
      </c>
      <c r="B1972" s="1" t="s">
        <v>7366</v>
      </c>
      <c r="C1972" s="5">
        <f>CONCATENATE("PD", TEXT(A1972, "1000000"))</f>
      </c>
      <c r="D1972" s="7">
        <v>76</v>
      </c>
      <c r="E1972" s="5">
        <f>XLOOKUP(G1972, item_category!C:C, item_category!B:B, "Not Found")</f>
      </c>
      <c r="F1972" s="1" t="s">
        <v>5632</v>
      </c>
      <c r="G1972" s="5">
        <f>XLOOKUP(I1972, drug!B:B, drug!A:A, "Not Found")</f>
      </c>
      <c r="H1972" s="1"/>
      <c r="I1972" s="7">
        <v>1</v>
      </c>
      <c r="J1972" s="5">
        <f>XLOOKUP(L1972, uom!C:C, uom!B:B, "Not Found")</f>
      </c>
      <c r="K1972" s="1" t="s">
        <v>5511</v>
      </c>
      <c r="L1972" s="5">
        <f>XLOOKUP(N1972, uom!C:C, uom!B:B, "Not Found")</f>
      </c>
      <c r="M1972" s="1" t="s">
        <v>5511</v>
      </c>
      <c r="N1972" s="8" t="s">
        <v>5512</v>
      </c>
      <c r="O1972" s="1" t="s">
        <v>5513</v>
      </c>
      <c r="P1972" s="5">
        <f>XLOOKUP(R1972, classification!C:C, classification!B:B, "Not Found")</f>
      </c>
      <c r="Q1972" s="1" t="s">
        <v>5514</v>
      </c>
      <c r="R1972" s="2"/>
      <c r="S1972" s="2"/>
      <c r="T1972" s="2"/>
      <c r="U1972" s="2"/>
    </row>
    <row x14ac:dyDescent="0.25" r="1973" customHeight="1" ht="17.25">
      <c r="A1973" s="7">
        <v>1972</v>
      </c>
      <c r="B1973" s="1" t="s">
        <v>7367</v>
      </c>
      <c r="C1973" s="5">
        <f>CONCATENATE("PD", TEXT(A1973, "1000000"))</f>
      </c>
      <c r="D1973" s="7">
        <v>76</v>
      </c>
      <c r="E1973" s="5">
        <f>XLOOKUP(G1973, item_category!C:C, item_category!B:B, "Not Found")</f>
      </c>
      <c r="F1973" s="1" t="s">
        <v>5632</v>
      </c>
      <c r="G1973" s="5">
        <f>XLOOKUP(I1973, drug!B:B, drug!A:A, "Not Found")</f>
      </c>
      <c r="H1973" s="1"/>
      <c r="I1973" s="7">
        <v>1</v>
      </c>
      <c r="J1973" s="5">
        <f>XLOOKUP(L1973, uom!C:C, uom!B:B, "Not Found")</f>
      </c>
      <c r="K1973" s="1" t="s">
        <v>5511</v>
      </c>
      <c r="L1973" s="5">
        <f>XLOOKUP(N1973, uom!C:C, uom!B:B, "Not Found")</f>
      </c>
      <c r="M1973" s="1" t="s">
        <v>5511</v>
      </c>
      <c r="N1973" s="8" t="s">
        <v>5512</v>
      </c>
      <c r="O1973" s="1" t="s">
        <v>5513</v>
      </c>
      <c r="P1973" s="5">
        <f>XLOOKUP(R1973, classification!C:C, classification!B:B, "Not Found")</f>
      </c>
      <c r="Q1973" s="1" t="s">
        <v>5514</v>
      </c>
      <c r="R1973" s="2"/>
      <c r="S1973" s="2"/>
      <c r="T1973" s="2"/>
      <c r="U1973" s="2"/>
    </row>
    <row x14ac:dyDescent="0.25" r="1974" customHeight="1" ht="17.25">
      <c r="A1974" s="7">
        <v>1973</v>
      </c>
      <c r="B1974" s="1" t="s">
        <v>7368</v>
      </c>
      <c r="C1974" s="5">
        <f>CONCATENATE("PD", TEXT(A1974, "1000000"))</f>
      </c>
      <c r="D1974" s="7">
        <v>76</v>
      </c>
      <c r="E1974" s="5">
        <f>XLOOKUP(G1974, item_category!C:C, item_category!B:B, "Not Found")</f>
      </c>
      <c r="F1974" s="1" t="s">
        <v>5632</v>
      </c>
      <c r="G1974" s="5">
        <f>XLOOKUP(I1974, drug!B:B, drug!A:A, "Not Found")</f>
      </c>
      <c r="H1974" s="1"/>
      <c r="I1974" s="7">
        <v>1</v>
      </c>
      <c r="J1974" s="5">
        <f>XLOOKUP(L1974, uom!C:C, uom!B:B, "Not Found")</f>
      </c>
      <c r="K1974" s="1" t="s">
        <v>5511</v>
      </c>
      <c r="L1974" s="5">
        <f>XLOOKUP(N1974, uom!C:C, uom!B:B, "Not Found")</f>
      </c>
      <c r="M1974" s="1" t="s">
        <v>5511</v>
      </c>
      <c r="N1974" s="8" t="s">
        <v>5512</v>
      </c>
      <c r="O1974" s="1" t="s">
        <v>5513</v>
      </c>
      <c r="P1974" s="5">
        <f>XLOOKUP(R1974, classification!C:C, classification!B:B, "Not Found")</f>
      </c>
      <c r="Q1974" s="1" t="s">
        <v>5514</v>
      </c>
      <c r="R1974" s="2"/>
      <c r="S1974" s="2"/>
      <c r="T1974" s="2"/>
      <c r="U1974" s="2"/>
    </row>
    <row x14ac:dyDescent="0.25" r="1975" customHeight="1" ht="17.25">
      <c r="A1975" s="7">
        <v>1974</v>
      </c>
      <c r="B1975" s="1" t="s">
        <v>7369</v>
      </c>
      <c r="C1975" s="5">
        <f>CONCATENATE("PD", TEXT(A1975, "1000000"))</f>
      </c>
      <c r="D1975" s="7">
        <v>76</v>
      </c>
      <c r="E1975" s="5">
        <f>XLOOKUP(G1975, item_category!C:C, item_category!B:B, "Not Found")</f>
      </c>
      <c r="F1975" s="1" t="s">
        <v>5632</v>
      </c>
      <c r="G1975" s="5">
        <f>XLOOKUP(I1975, drug!B:B, drug!A:A, "Not Found")</f>
      </c>
      <c r="H1975" s="1"/>
      <c r="I1975" s="7">
        <v>1</v>
      </c>
      <c r="J1975" s="5">
        <f>XLOOKUP(L1975, uom!C:C, uom!B:B, "Not Found")</f>
      </c>
      <c r="K1975" s="1" t="s">
        <v>5511</v>
      </c>
      <c r="L1975" s="5">
        <f>XLOOKUP(N1975, uom!C:C, uom!B:B, "Not Found")</f>
      </c>
      <c r="M1975" s="1" t="s">
        <v>5511</v>
      </c>
      <c r="N1975" s="8" t="s">
        <v>5512</v>
      </c>
      <c r="O1975" s="1" t="s">
        <v>5513</v>
      </c>
      <c r="P1975" s="5">
        <f>XLOOKUP(R1975, classification!C:C, classification!B:B, "Not Found")</f>
      </c>
      <c r="Q1975" s="1" t="s">
        <v>5514</v>
      </c>
      <c r="R1975" s="2"/>
      <c r="S1975" s="2"/>
      <c r="T1975" s="2"/>
      <c r="U1975" s="2"/>
    </row>
    <row x14ac:dyDescent="0.25" r="1976" customHeight="1" ht="17.25">
      <c r="A1976" s="7">
        <v>1975</v>
      </c>
      <c r="B1976" s="1" t="s">
        <v>7370</v>
      </c>
      <c r="C1976" s="5">
        <f>CONCATENATE("PD", TEXT(A1976, "1000000"))</f>
      </c>
      <c r="D1976" s="7">
        <v>76</v>
      </c>
      <c r="E1976" s="5">
        <f>XLOOKUP(G1976, item_category!C:C, item_category!B:B, "Not Found")</f>
      </c>
      <c r="F1976" s="1" t="s">
        <v>5632</v>
      </c>
      <c r="G1976" s="5">
        <f>XLOOKUP(I1976, drug!B:B, drug!A:A, "Not Found")</f>
      </c>
      <c r="H1976" s="1" t="s">
        <v>1552</v>
      </c>
      <c r="I1976" s="7">
        <v>1</v>
      </c>
      <c r="J1976" s="5">
        <f>XLOOKUP(L1976, uom!C:C, uom!B:B, "Not Found")</f>
      </c>
      <c r="K1976" s="1" t="s">
        <v>5511</v>
      </c>
      <c r="L1976" s="5">
        <f>XLOOKUP(N1976, uom!C:C, uom!B:B, "Not Found")</f>
      </c>
      <c r="M1976" s="1" t="s">
        <v>5511</v>
      </c>
      <c r="N1976" s="8" t="s">
        <v>5512</v>
      </c>
      <c r="O1976" s="1" t="s">
        <v>5513</v>
      </c>
      <c r="P1976" s="5">
        <f>XLOOKUP(R1976, classification!C:C, classification!B:B, "Not Found")</f>
      </c>
      <c r="Q1976" s="1" t="s">
        <v>5514</v>
      </c>
      <c r="R1976" s="2"/>
      <c r="S1976" s="2"/>
      <c r="T1976" s="2"/>
      <c r="U1976" s="2"/>
    </row>
    <row x14ac:dyDescent="0.25" r="1977" customHeight="1" ht="17.25">
      <c r="A1977" s="7">
        <v>1976</v>
      </c>
      <c r="B1977" s="1" t="s">
        <v>7371</v>
      </c>
      <c r="C1977" s="5">
        <f>CONCATENATE("PD", TEXT(A1977, "1000000"))</f>
      </c>
      <c r="D1977" s="7">
        <v>76</v>
      </c>
      <c r="E1977" s="5">
        <f>XLOOKUP(G1977, item_category!C:C, item_category!B:B, "Not Found")</f>
      </c>
      <c r="F1977" s="1" t="s">
        <v>5632</v>
      </c>
      <c r="G1977" s="5">
        <f>XLOOKUP(I1977, drug!B:B, drug!A:A, "Not Found")</f>
      </c>
      <c r="H1977" s="1"/>
      <c r="I1977" s="7">
        <v>1</v>
      </c>
      <c r="J1977" s="5">
        <f>XLOOKUP(L1977, uom!C:C, uom!B:B, "Not Found")</f>
      </c>
      <c r="K1977" s="1" t="s">
        <v>5511</v>
      </c>
      <c r="L1977" s="5">
        <f>XLOOKUP(N1977, uom!C:C, uom!B:B, "Not Found")</f>
      </c>
      <c r="M1977" s="1" t="s">
        <v>5511</v>
      </c>
      <c r="N1977" s="8" t="s">
        <v>5512</v>
      </c>
      <c r="O1977" s="1" t="s">
        <v>5513</v>
      </c>
      <c r="P1977" s="5">
        <f>XLOOKUP(R1977, classification!C:C, classification!B:B, "Not Found")</f>
      </c>
      <c r="Q1977" s="1" t="s">
        <v>5514</v>
      </c>
      <c r="R1977" s="2"/>
      <c r="S1977" s="2"/>
      <c r="T1977" s="2"/>
      <c r="U1977" s="2"/>
    </row>
    <row x14ac:dyDescent="0.25" r="1978" customHeight="1" ht="17.25">
      <c r="A1978" s="7">
        <v>1977</v>
      </c>
      <c r="B1978" s="1" t="s">
        <v>7372</v>
      </c>
      <c r="C1978" s="5">
        <f>CONCATENATE("PD", TEXT(A1978, "1000000"))</f>
      </c>
      <c r="D1978" s="7">
        <v>76</v>
      </c>
      <c r="E1978" s="5">
        <f>XLOOKUP(G1978, item_category!C:C, item_category!B:B, "Not Found")</f>
      </c>
      <c r="F1978" s="1" t="s">
        <v>5632</v>
      </c>
      <c r="G1978" s="5">
        <f>XLOOKUP(I1978, drug!B:B, drug!A:A, "Not Found")</f>
      </c>
      <c r="H1978" s="1"/>
      <c r="I1978" s="7">
        <v>1</v>
      </c>
      <c r="J1978" s="5">
        <f>XLOOKUP(L1978, uom!C:C, uom!B:B, "Not Found")</f>
      </c>
      <c r="K1978" s="1" t="s">
        <v>5511</v>
      </c>
      <c r="L1978" s="5">
        <f>XLOOKUP(N1978, uom!C:C, uom!B:B, "Not Found")</f>
      </c>
      <c r="M1978" s="1" t="s">
        <v>5511</v>
      </c>
      <c r="N1978" s="8" t="s">
        <v>5512</v>
      </c>
      <c r="O1978" s="1" t="s">
        <v>5513</v>
      </c>
      <c r="P1978" s="5">
        <f>XLOOKUP(R1978, classification!C:C, classification!B:B, "Not Found")</f>
      </c>
      <c r="Q1978" s="1" t="s">
        <v>5514</v>
      </c>
      <c r="R1978" s="2"/>
      <c r="S1978" s="2"/>
      <c r="T1978" s="2"/>
      <c r="U1978" s="2"/>
    </row>
    <row x14ac:dyDescent="0.25" r="1979" customHeight="1" ht="17.25">
      <c r="A1979" s="7">
        <v>1978</v>
      </c>
      <c r="B1979" s="1" t="s">
        <v>7373</v>
      </c>
      <c r="C1979" s="5">
        <f>CONCATENATE("PD", TEXT(A1979, "1000000"))</f>
      </c>
      <c r="D1979" s="7">
        <v>76</v>
      </c>
      <c r="E1979" s="5">
        <f>XLOOKUP(G1979, item_category!C:C, item_category!B:B, "Not Found")</f>
      </c>
      <c r="F1979" s="1" t="s">
        <v>5632</v>
      </c>
      <c r="G1979" s="5">
        <f>XLOOKUP(I1979, drug!B:B, drug!A:A, "Not Found")</f>
      </c>
      <c r="H1979" s="1" t="s">
        <v>1942</v>
      </c>
      <c r="I1979" s="7">
        <v>1</v>
      </c>
      <c r="J1979" s="5">
        <f>XLOOKUP(L1979, uom!C:C, uom!B:B, "Not Found")</f>
      </c>
      <c r="K1979" s="1" t="s">
        <v>5511</v>
      </c>
      <c r="L1979" s="5">
        <f>XLOOKUP(N1979, uom!C:C, uom!B:B, "Not Found")</f>
      </c>
      <c r="M1979" s="1" t="s">
        <v>5511</v>
      </c>
      <c r="N1979" s="8" t="s">
        <v>5512</v>
      </c>
      <c r="O1979" s="1" t="s">
        <v>5513</v>
      </c>
      <c r="P1979" s="5">
        <f>XLOOKUP(R1979, classification!C:C, classification!B:B, "Not Found")</f>
      </c>
      <c r="Q1979" s="1" t="s">
        <v>5514</v>
      </c>
      <c r="R1979" s="2"/>
      <c r="S1979" s="2"/>
      <c r="T1979" s="2"/>
      <c r="U1979" s="2"/>
    </row>
    <row x14ac:dyDescent="0.25" r="1980" customHeight="1" ht="17.25">
      <c r="A1980" s="7">
        <v>1979</v>
      </c>
      <c r="B1980" s="1" t="s">
        <v>7374</v>
      </c>
      <c r="C1980" s="5">
        <f>CONCATENATE("PD", TEXT(A1980, "1000000"))</f>
      </c>
      <c r="D1980" s="7">
        <v>76</v>
      </c>
      <c r="E1980" s="5">
        <f>XLOOKUP(G1980, item_category!C:C, item_category!B:B, "Not Found")</f>
      </c>
      <c r="F1980" s="1" t="s">
        <v>5632</v>
      </c>
      <c r="G1980" s="5">
        <f>XLOOKUP(I1980, drug!B:B, drug!A:A, "Not Found")</f>
      </c>
      <c r="H1980" s="1" t="s">
        <v>1942</v>
      </c>
      <c r="I1980" s="7">
        <v>1</v>
      </c>
      <c r="J1980" s="5">
        <f>XLOOKUP(L1980, uom!C:C, uom!B:B, "Not Found")</f>
      </c>
      <c r="K1980" s="1" t="s">
        <v>5511</v>
      </c>
      <c r="L1980" s="5">
        <f>XLOOKUP(N1980, uom!C:C, uom!B:B, "Not Found")</f>
      </c>
      <c r="M1980" s="1" t="s">
        <v>5511</v>
      </c>
      <c r="N1980" s="8" t="s">
        <v>5512</v>
      </c>
      <c r="O1980" s="1" t="s">
        <v>5513</v>
      </c>
      <c r="P1980" s="5">
        <f>XLOOKUP(R1980, classification!C:C, classification!B:B, "Not Found")</f>
      </c>
      <c r="Q1980" s="1" t="s">
        <v>5514</v>
      </c>
      <c r="R1980" s="2"/>
      <c r="S1980" s="2"/>
      <c r="T1980" s="2"/>
      <c r="U1980" s="2"/>
    </row>
    <row x14ac:dyDescent="0.25" r="1981" customHeight="1" ht="17.25">
      <c r="A1981" s="7">
        <v>1980</v>
      </c>
      <c r="B1981" s="1" t="s">
        <v>7375</v>
      </c>
      <c r="C1981" s="5">
        <f>CONCATENATE("PD", TEXT(A1981, "1000000"))</f>
      </c>
      <c r="D1981" s="7">
        <v>76</v>
      </c>
      <c r="E1981" s="5">
        <f>XLOOKUP(G1981, item_category!C:C, item_category!B:B, "Not Found")</f>
      </c>
      <c r="F1981" s="1" t="s">
        <v>5632</v>
      </c>
      <c r="G1981" s="5">
        <f>XLOOKUP(I1981, drug!B:B, drug!A:A, "Not Found")</f>
      </c>
      <c r="H1981" s="1" t="s">
        <v>1942</v>
      </c>
      <c r="I1981" s="7">
        <v>1</v>
      </c>
      <c r="J1981" s="5">
        <f>XLOOKUP(L1981, uom!C:C, uom!B:B, "Not Found")</f>
      </c>
      <c r="K1981" s="1" t="s">
        <v>5511</v>
      </c>
      <c r="L1981" s="5">
        <f>XLOOKUP(N1981, uom!C:C, uom!B:B, "Not Found")</f>
      </c>
      <c r="M1981" s="1" t="s">
        <v>5511</v>
      </c>
      <c r="N1981" s="8" t="s">
        <v>5512</v>
      </c>
      <c r="O1981" s="1" t="s">
        <v>5513</v>
      </c>
      <c r="P1981" s="5">
        <f>XLOOKUP(R1981, classification!C:C, classification!B:B, "Not Found")</f>
      </c>
      <c r="Q1981" s="1" t="s">
        <v>5514</v>
      </c>
      <c r="R1981" s="2"/>
      <c r="S1981" s="2"/>
      <c r="T1981" s="2"/>
      <c r="U1981" s="2"/>
    </row>
    <row x14ac:dyDescent="0.25" r="1982" customHeight="1" ht="17.25">
      <c r="A1982" s="7">
        <v>1981</v>
      </c>
      <c r="B1982" s="1" t="s">
        <v>7376</v>
      </c>
      <c r="C1982" s="5">
        <f>CONCATENATE("PD", TEXT(A1982, "1000000"))</f>
      </c>
      <c r="D1982" s="7">
        <v>76</v>
      </c>
      <c r="E1982" s="5">
        <f>XLOOKUP(G1982, item_category!C:C, item_category!B:B, "Not Found")</f>
      </c>
      <c r="F1982" s="1" t="s">
        <v>5632</v>
      </c>
      <c r="G1982" s="5">
        <f>XLOOKUP(I1982, drug!B:B, drug!A:A, "Not Found")</f>
      </c>
      <c r="H1982" s="1" t="s">
        <v>1942</v>
      </c>
      <c r="I1982" s="7">
        <v>1</v>
      </c>
      <c r="J1982" s="5">
        <f>XLOOKUP(L1982, uom!C:C, uom!B:B, "Not Found")</f>
      </c>
      <c r="K1982" s="1" t="s">
        <v>5511</v>
      </c>
      <c r="L1982" s="5">
        <f>XLOOKUP(N1982, uom!C:C, uom!B:B, "Not Found")</f>
      </c>
      <c r="M1982" s="1" t="s">
        <v>5511</v>
      </c>
      <c r="N1982" s="8" t="s">
        <v>5512</v>
      </c>
      <c r="O1982" s="1" t="s">
        <v>5513</v>
      </c>
      <c r="P1982" s="5">
        <f>XLOOKUP(R1982, classification!C:C, classification!B:B, "Not Found")</f>
      </c>
      <c r="Q1982" s="1" t="s">
        <v>5514</v>
      </c>
      <c r="R1982" s="2"/>
      <c r="S1982" s="2"/>
      <c r="T1982" s="2"/>
      <c r="U1982" s="2"/>
    </row>
    <row x14ac:dyDescent="0.25" r="1983" customHeight="1" ht="17.25">
      <c r="A1983" s="7">
        <v>1982</v>
      </c>
      <c r="B1983" s="1" t="s">
        <v>7377</v>
      </c>
      <c r="C1983" s="5">
        <f>CONCATENATE("PD", TEXT(A1983, "1000000"))</f>
      </c>
      <c r="D1983" s="7">
        <v>76</v>
      </c>
      <c r="E1983" s="5">
        <f>XLOOKUP(G1983, item_category!C:C, item_category!B:B, "Not Found")</f>
      </c>
      <c r="F1983" s="1" t="s">
        <v>5632</v>
      </c>
      <c r="G1983" s="5">
        <f>XLOOKUP(I1983, drug!B:B, drug!A:A, "Not Found")</f>
      </c>
      <c r="H1983" s="1"/>
      <c r="I1983" s="7">
        <v>1</v>
      </c>
      <c r="J1983" s="5">
        <f>XLOOKUP(L1983, uom!C:C, uom!B:B, "Not Found")</f>
      </c>
      <c r="K1983" s="1" t="s">
        <v>5511</v>
      </c>
      <c r="L1983" s="5">
        <f>XLOOKUP(N1983, uom!C:C, uom!B:B, "Not Found")</f>
      </c>
      <c r="M1983" s="1" t="s">
        <v>5511</v>
      </c>
      <c r="N1983" s="8" t="s">
        <v>5512</v>
      </c>
      <c r="O1983" s="1" t="s">
        <v>5513</v>
      </c>
      <c r="P1983" s="5">
        <f>XLOOKUP(R1983, classification!C:C, classification!B:B, "Not Found")</f>
      </c>
      <c r="Q1983" s="1" t="s">
        <v>5514</v>
      </c>
      <c r="R1983" s="2"/>
      <c r="S1983" s="2"/>
      <c r="T1983" s="2"/>
      <c r="U1983" s="2"/>
    </row>
    <row x14ac:dyDescent="0.25" r="1984" customHeight="1" ht="17.25">
      <c r="A1984" s="7">
        <v>1983</v>
      </c>
      <c r="B1984" s="1" t="s">
        <v>7378</v>
      </c>
      <c r="C1984" s="5">
        <f>CONCATENATE("PD", TEXT(A1984, "1000000"))</f>
      </c>
      <c r="D1984" s="7">
        <v>76</v>
      </c>
      <c r="E1984" s="5">
        <f>XLOOKUP(G1984, item_category!C:C, item_category!B:B, "Not Found")</f>
      </c>
      <c r="F1984" s="1" t="s">
        <v>5632</v>
      </c>
      <c r="G1984" s="5">
        <f>XLOOKUP(I1984, drug!B:B, drug!A:A, "Not Found")</f>
      </c>
      <c r="H1984" s="1"/>
      <c r="I1984" s="7">
        <v>1</v>
      </c>
      <c r="J1984" s="5">
        <f>XLOOKUP(L1984, uom!C:C, uom!B:B, "Not Found")</f>
      </c>
      <c r="K1984" s="1" t="s">
        <v>5511</v>
      </c>
      <c r="L1984" s="5">
        <f>XLOOKUP(N1984, uom!C:C, uom!B:B, "Not Found")</f>
      </c>
      <c r="M1984" s="1" t="s">
        <v>5511</v>
      </c>
      <c r="N1984" s="8" t="s">
        <v>5512</v>
      </c>
      <c r="O1984" s="1" t="s">
        <v>5513</v>
      </c>
      <c r="P1984" s="5">
        <f>XLOOKUP(R1984, classification!C:C, classification!B:B, "Not Found")</f>
      </c>
      <c r="Q1984" s="1" t="s">
        <v>5514</v>
      </c>
      <c r="R1984" s="2"/>
      <c r="S1984" s="2"/>
      <c r="T1984" s="2"/>
      <c r="U1984" s="2"/>
    </row>
    <row x14ac:dyDescent="0.25" r="1985" customHeight="1" ht="17.25">
      <c r="A1985" s="7">
        <v>1984</v>
      </c>
      <c r="B1985" s="1" t="s">
        <v>7379</v>
      </c>
      <c r="C1985" s="5">
        <f>CONCATENATE("PD", TEXT(A1985, "1000000"))</f>
      </c>
      <c r="D1985" s="7">
        <v>76</v>
      </c>
      <c r="E1985" s="5">
        <f>XLOOKUP(G1985, item_category!C:C, item_category!B:B, "Not Found")</f>
      </c>
      <c r="F1985" s="1" t="s">
        <v>5632</v>
      </c>
      <c r="G1985" s="5">
        <f>XLOOKUP(I1985, drug!B:B, drug!A:A, "Not Found")</f>
      </c>
      <c r="H1985" s="1"/>
      <c r="I1985" s="7">
        <v>1</v>
      </c>
      <c r="J1985" s="5">
        <f>XLOOKUP(L1985, uom!C:C, uom!B:B, "Not Found")</f>
      </c>
      <c r="K1985" s="1" t="s">
        <v>5511</v>
      </c>
      <c r="L1985" s="5">
        <f>XLOOKUP(N1985, uom!C:C, uom!B:B, "Not Found")</f>
      </c>
      <c r="M1985" s="1" t="s">
        <v>5511</v>
      </c>
      <c r="N1985" s="8" t="s">
        <v>5512</v>
      </c>
      <c r="O1985" s="1" t="s">
        <v>5513</v>
      </c>
      <c r="P1985" s="5">
        <f>XLOOKUP(R1985, classification!C:C, classification!B:B, "Not Found")</f>
      </c>
      <c r="Q1985" s="1" t="s">
        <v>5514</v>
      </c>
      <c r="R1985" s="2"/>
      <c r="S1985" s="2"/>
      <c r="T1985" s="2"/>
      <c r="U1985" s="2"/>
    </row>
    <row x14ac:dyDescent="0.25" r="1986" customHeight="1" ht="17.25">
      <c r="A1986" s="7">
        <v>1985</v>
      </c>
      <c r="B1986" s="1" t="s">
        <v>7380</v>
      </c>
      <c r="C1986" s="5">
        <f>CONCATENATE("PD", TEXT(A1986, "1000000"))</f>
      </c>
      <c r="D1986" s="7">
        <v>76</v>
      </c>
      <c r="E1986" s="5">
        <f>XLOOKUP(G1986, item_category!C:C, item_category!B:B, "Not Found")</f>
      </c>
      <c r="F1986" s="1" t="s">
        <v>5632</v>
      </c>
      <c r="G1986" s="5">
        <f>XLOOKUP(I1986, drug!B:B, drug!A:A, "Not Found")</f>
      </c>
      <c r="H1986" s="1"/>
      <c r="I1986" s="7">
        <v>1</v>
      </c>
      <c r="J1986" s="5">
        <f>XLOOKUP(L1986, uom!C:C, uom!B:B, "Not Found")</f>
      </c>
      <c r="K1986" s="1" t="s">
        <v>5511</v>
      </c>
      <c r="L1986" s="5">
        <f>XLOOKUP(N1986, uom!C:C, uom!B:B, "Not Found")</f>
      </c>
      <c r="M1986" s="1" t="s">
        <v>5511</v>
      </c>
      <c r="N1986" s="8" t="s">
        <v>5512</v>
      </c>
      <c r="O1986" s="1" t="s">
        <v>5513</v>
      </c>
      <c r="P1986" s="5">
        <f>XLOOKUP(R1986, classification!C:C, classification!B:B, "Not Found")</f>
      </c>
      <c r="Q1986" s="1" t="s">
        <v>5514</v>
      </c>
      <c r="R1986" s="2"/>
      <c r="S1986" s="2"/>
      <c r="T1986" s="2"/>
      <c r="U1986" s="2"/>
    </row>
    <row x14ac:dyDescent="0.25" r="1987" customHeight="1" ht="17.25">
      <c r="A1987" s="7">
        <v>1986</v>
      </c>
      <c r="B1987" s="1" t="s">
        <v>7381</v>
      </c>
      <c r="C1987" s="5">
        <f>CONCATENATE("PD", TEXT(A1987, "1000000"))</f>
      </c>
      <c r="D1987" s="7">
        <v>76</v>
      </c>
      <c r="E1987" s="5">
        <f>XLOOKUP(G1987, item_category!C:C, item_category!B:B, "Not Found")</f>
      </c>
      <c r="F1987" s="1" t="s">
        <v>5632</v>
      </c>
      <c r="G1987" s="5">
        <f>XLOOKUP(I1987, drug!B:B, drug!A:A, "Not Found")</f>
      </c>
      <c r="H1987" s="1"/>
      <c r="I1987" s="7">
        <v>1</v>
      </c>
      <c r="J1987" s="5">
        <f>XLOOKUP(L1987, uom!C:C, uom!B:B, "Not Found")</f>
      </c>
      <c r="K1987" s="1" t="s">
        <v>5511</v>
      </c>
      <c r="L1987" s="5">
        <f>XLOOKUP(N1987, uom!C:C, uom!B:B, "Not Found")</f>
      </c>
      <c r="M1987" s="1" t="s">
        <v>5511</v>
      </c>
      <c r="N1987" s="8" t="s">
        <v>5512</v>
      </c>
      <c r="O1987" s="1" t="s">
        <v>5513</v>
      </c>
      <c r="P1987" s="5">
        <f>XLOOKUP(R1987, classification!C:C, classification!B:B, "Not Found")</f>
      </c>
      <c r="Q1987" s="1" t="s">
        <v>5514</v>
      </c>
      <c r="R1987" s="2"/>
      <c r="S1987" s="2"/>
      <c r="T1987" s="2"/>
      <c r="U1987" s="2"/>
    </row>
    <row x14ac:dyDescent="0.25" r="1988" customHeight="1" ht="17.25">
      <c r="A1988" s="7">
        <v>1987</v>
      </c>
      <c r="B1988" s="1" t="s">
        <v>7382</v>
      </c>
      <c r="C1988" s="5">
        <f>CONCATENATE("PD", TEXT(A1988, "1000000"))</f>
      </c>
      <c r="D1988" s="7">
        <v>76</v>
      </c>
      <c r="E1988" s="5">
        <f>XLOOKUP(G1988, item_category!C:C, item_category!B:B, "Not Found")</f>
      </c>
      <c r="F1988" s="1" t="s">
        <v>5632</v>
      </c>
      <c r="G1988" s="5">
        <f>XLOOKUP(I1988, drug!B:B, drug!A:A, "Not Found")</f>
      </c>
      <c r="H1988" s="1"/>
      <c r="I1988" s="7">
        <v>1</v>
      </c>
      <c r="J1988" s="5">
        <f>XLOOKUP(L1988, uom!C:C, uom!B:B, "Not Found")</f>
      </c>
      <c r="K1988" s="1" t="s">
        <v>5511</v>
      </c>
      <c r="L1988" s="5">
        <f>XLOOKUP(N1988, uom!C:C, uom!B:B, "Not Found")</f>
      </c>
      <c r="M1988" s="1" t="s">
        <v>5511</v>
      </c>
      <c r="N1988" s="8" t="s">
        <v>5512</v>
      </c>
      <c r="O1988" s="1" t="s">
        <v>5513</v>
      </c>
      <c r="P1988" s="5">
        <f>XLOOKUP(R1988, classification!C:C, classification!B:B, "Not Found")</f>
      </c>
      <c r="Q1988" s="1" t="s">
        <v>5514</v>
      </c>
      <c r="R1988" s="2"/>
      <c r="S1988" s="2"/>
      <c r="T1988" s="2"/>
      <c r="U1988" s="2"/>
    </row>
    <row x14ac:dyDescent="0.25" r="1989" customHeight="1" ht="17.25">
      <c r="A1989" s="7">
        <v>1988</v>
      </c>
      <c r="B1989" s="1" t="s">
        <v>7383</v>
      </c>
      <c r="C1989" s="5">
        <f>CONCATENATE("PD", TEXT(A1989, "1000000"))</f>
      </c>
      <c r="D1989" s="7">
        <v>76</v>
      </c>
      <c r="E1989" s="5">
        <f>XLOOKUP(G1989, item_category!C:C, item_category!B:B, "Not Found")</f>
      </c>
      <c r="F1989" s="1" t="s">
        <v>5632</v>
      </c>
      <c r="G1989" s="5">
        <f>XLOOKUP(I1989, drug!B:B, drug!A:A, "Not Found")</f>
      </c>
      <c r="H1989" s="1"/>
      <c r="I1989" s="7">
        <v>1</v>
      </c>
      <c r="J1989" s="5">
        <f>XLOOKUP(L1989, uom!C:C, uom!B:B, "Not Found")</f>
      </c>
      <c r="K1989" s="1" t="s">
        <v>5511</v>
      </c>
      <c r="L1989" s="5">
        <f>XLOOKUP(N1989, uom!C:C, uom!B:B, "Not Found")</f>
      </c>
      <c r="M1989" s="1" t="s">
        <v>5511</v>
      </c>
      <c r="N1989" s="8" t="s">
        <v>5512</v>
      </c>
      <c r="O1989" s="1" t="s">
        <v>5513</v>
      </c>
      <c r="P1989" s="5">
        <f>XLOOKUP(R1989, classification!C:C, classification!B:B, "Not Found")</f>
      </c>
      <c r="Q1989" s="1" t="s">
        <v>5514</v>
      </c>
      <c r="R1989" s="2"/>
      <c r="S1989" s="2"/>
      <c r="T1989" s="2"/>
      <c r="U1989" s="2"/>
    </row>
    <row x14ac:dyDescent="0.25" r="1990" customHeight="1" ht="17.25">
      <c r="A1990" s="7">
        <v>1989</v>
      </c>
      <c r="B1990" s="1" t="s">
        <v>7384</v>
      </c>
      <c r="C1990" s="5">
        <f>CONCATENATE("PD", TEXT(A1990, "1000000"))</f>
      </c>
      <c r="D1990" s="7">
        <v>76</v>
      </c>
      <c r="E1990" s="5">
        <f>XLOOKUP(G1990, item_category!C:C, item_category!B:B, "Not Found")</f>
      </c>
      <c r="F1990" s="1" t="s">
        <v>5632</v>
      </c>
      <c r="G1990" s="5">
        <f>XLOOKUP(I1990, drug!B:B, drug!A:A, "Not Found")</f>
      </c>
      <c r="H1990" s="1"/>
      <c r="I1990" s="7">
        <v>1</v>
      </c>
      <c r="J1990" s="5">
        <f>XLOOKUP(L1990, uom!C:C, uom!B:B, "Not Found")</f>
      </c>
      <c r="K1990" s="1" t="s">
        <v>5511</v>
      </c>
      <c r="L1990" s="5">
        <f>XLOOKUP(N1990, uom!C:C, uom!B:B, "Not Found")</f>
      </c>
      <c r="M1990" s="1" t="s">
        <v>5511</v>
      </c>
      <c r="N1990" s="8" t="s">
        <v>5512</v>
      </c>
      <c r="O1990" s="1" t="s">
        <v>5513</v>
      </c>
      <c r="P1990" s="5">
        <f>XLOOKUP(R1990, classification!C:C, classification!B:B, "Not Found")</f>
      </c>
      <c r="Q1990" s="1" t="s">
        <v>5514</v>
      </c>
      <c r="R1990" s="2"/>
      <c r="S1990" s="2"/>
      <c r="T1990" s="2"/>
      <c r="U1990" s="2"/>
    </row>
    <row x14ac:dyDescent="0.25" r="1991" customHeight="1" ht="17.25">
      <c r="A1991" s="7">
        <v>1990</v>
      </c>
      <c r="B1991" s="1" t="s">
        <v>7385</v>
      </c>
      <c r="C1991" s="5">
        <f>CONCATENATE("PD", TEXT(A1991, "1000000"))</f>
      </c>
      <c r="D1991" s="7">
        <v>76</v>
      </c>
      <c r="E1991" s="5">
        <f>XLOOKUP(G1991, item_category!C:C, item_category!B:B, "Not Found")</f>
      </c>
      <c r="F1991" s="1" t="s">
        <v>5632</v>
      </c>
      <c r="G1991" s="5">
        <f>XLOOKUP(I1991, drug!B:B, drug!A:A, "Not Found")</f>
      </c>
      <c r="H1991" s="1" t="s">
        <v>1552</v>
      </c>
      <c r="I1991" s="7">
        <v>1</v>
      </c>
      <c r="J1991" s="5">
        <f>XLOOKUP(L1991, uom!C:C, uom!B:B, "Not Found")</f>
      </c>
      <c r="K1991" s="1" t="s">
        <v>5511</v>
      </c>
      <c r="L1991" s="5">
        <f>XLOOKUP(N1991, uom!C:C, uom!B:B, "Not Found")</f>
      </c>
      <c r="M1991" s="1" t="s">
        <v>5511</v>
      </c>
      <c r="N1991" s="8" t="s">
        <v>5512</v>
      </c>
      <c r="O1991" s="1" t="s">
        <v>5513</v>
      </c>
      <c r="P1991" s="5">
        <f>XLOOKUP(R1991, classification!C:C, classification!B:B, "Not Found")</f>
      </c>
      <c r="Q1991" s="1" t="s">
        <v>5514</v>
      </c>
      <c r="R1991" s="2"/>
      <c r="S1991" s="2"/>
      <c r="T1991" s="2"/>
      <c r="U1991" s="2"/>
    </row>
    <row x14ac:dyDescent="0.25" r="1992" customHeight="1" ht="17.25">
      <c r="A1992" s="7">
        <v>1991</v>
      </c>
      <c r="B1992" s="1" t="s">
        <v>7386</v>
      </c>
      <c r="C1992" s="5">
        <f>CONCATENATE("PD", TEXT(A1992, "1000000"))</f>
      </c>
      <c r="D1992" s="7">
        <v>76</v>
      </c>
      <c r="E1992" s="5">
        <f>XLOOKUP(G1992, item_category!C:C, item_category!B:B, "Not Found")</f>
      </c>
      <c r="F1992" s="1" t="s">
        <v>5632</v>
      </c>
      <c r="G1992" s="5">
        <f>XLOOKUP(I1992, drug!B:B, drug!A:A, "Not Found")</f>
      </c>
      <c r="H1992" s="1" t="s">
        <v>1552</v>
      </c>
      <c r="I1992" s="7">
        <v>1</v>
      </c>
      <c r="J1992" s="5">
        <f>XLOOKUP(L1992, uom!C:C, uom!B:B, "Not Found")</f>
      </c>
      <c r="K1992" s="1" t="s">
        <v>5511</v>
      </c>
      <c r="L1992" s="5">
        <f>XLOOKUP(N1992, uom!C:C, uom!B:B, "Not Found")</f>
      </c>
      <c r="M1992" s="1" t="s">
        <v>5511</v>
      </c>
      <c r="N1992" s="8" t="s">
        <v>5512</v>
      </c>
      <c r="O1992" s="1" t="s">
        <v>5513</v>
      </c>
      <c r="P1992" s="5">
        <f>XLOOKUP(R1992, classification!C:C, classification!B:B, "Not Found")</f>
      </c>
      <c r="Q1992" s="1" t="s">
        <v>5514</v>
      </c>
      <c r="R1992" s="2"/>
      <c r="S1992" s="2"/>
      <c r="T1992" s="2"/>
      <c r="U1992" s="2"/>
    </row>
    <row x14ac:dyDescent="0.25" r="1993" customHeight="1" ht="17.25">
      <c r="A1993" s="7">
        <v>1992</v>
      </c>
      <c r="B1993" s="1" t="s">
        <v>7387</v>
      </c>
      <c r="C1993" s="5">
        <f>CONCATENATE("PD", TEXT(A1993, "1000000"))</f>
      </c>
      <c r="D1993" s="7">
        <v>76</v>
      </c>
      <c r="E1993" s="5">
        <f>XLOOKUP(G1993, item_category!C:C, item_category!B:B, "Not Found")</f>
      </c>
      <c r="F1993" s="1" t="s">
        <v>5632</v>
      </c>
      <c r="G1993" s="5">
        <f>XLOOKUP(I1993, drug!B:B, drug!A:A, "Not Found")</f>
      </c>
      <c r="H1993" s="1"/>
      <c r="I1993" s="7">
        <v>1</v>
      </c>
      <c r="J1993" s="5">
        <f>XLOOKUP(L1993, uom!C:C, uom!B:B, "Not Found")</f>
      </c>
      <c r="K1993" s="1" t="s">
        <v>5511</v>
      </c>
      <c r="L1993" s="5">
        <f>XLOOKUP(N1993, uom!C:C, uom!B:B, "Not Found")</f>
      </c>
      <c r="M1993" s="1" t="s">
        <v>5511</v>
      </c>
      <c r="N1993" s="8" t="s">
        <v>5512</v>
      </c>
      <c r="O1993" s="1" t="s">
        <v>5513</v>
      </c>
      <c r="P1993" s="5">
        <f>XLOOKUP(R1993, classification!C:C, classification!B:B, "Not Found")</f>
      </c>
      <c r="Q1993" s="1" t="s">
        <v>5514</v>
      </c>
      <c r="R1993" s="2"/>
      <c r="S1993" s="2"/>
      <c r="T1993" s="2"/>
      <c r="U1993" s="2"/>
    </row>
    <row x14ac:dyDescent="0.25" r="1994" customHeight="1" ht="17.25">
      <c r="A1994" s="7">
        <v>1993</v>
      </c>
      <c r="B1994" s="1" t="s">
        <v>7388</v>
      </c>
      <c r="C1994" s="5">
        <f>CONCATENATE("PD", TEXT(A1994, "1000000"))</f>
      </c>
      <c r="D1994" s="7">
        <v>76</v>
      </c>
      <c r="E1994" s="5">
        <f>XLOOKUP(G1994, item_category!C:C, item_category!B:B, "Not Found")</f>
      </c>
      <c r="F1994" s="1" t="s">
        <v>5632</v>
      </c>
      <c r="G1994" s="5">
        <f>XLOOKUP(I1994, drug!B:B, drug!A:A, "Not Found")</f>
      </c>
      <c r="H1994" s="1"/>
      <c r="I1994" s="7">
        <v>1</v>
      </c>
      <c r="J1994" s="5">
        <f>XLOOKUP(L1994, uom!C:C, uom!B:B, "Not Found")</f>
      </c>
      <c r="K1994" s="1" t="s">
        <v>5511</v>
      </c>
      <c r="L1994" s="5">
        <f>XLOOKUP(N1994, uom!C:C, uom!B:B, "Not Found")</f>
      </c>
      <c r="M1994" s="1" t="s">
        <v>5511</v>
      </c>
      <c r="N1994" s="8" t="s">
        <v>5512</v>
      </c>
      <c r="O1994" s="1" t="s">
        <v>5513</v>
      </c>
      <c r="P1994" s="5">
        <f>XLOOKUP(R1994, classification!C:C, classification!B:B, "Not Found")</f>
      </c>
      <c r="Q1994" s="1" t="s">
        <v>5514</v>
      </c>
      <c r="R1994" s="2"/>
      <c r="S1994" s="2"/>
      <c r="T1994" s="2"/>
      <c r="U1994" s="2"/>
    </row>
    <row x14ac:dyDescent="0.25" r="1995" customHeight="1" ht="17.25">
      <c r="A1995" s="7">
        <v>1994</v>
      </c>
      <c r="B1995" s="1" t="s">
        <v>7389</v>
      </c>
      <c r="C1995" s="5">
        <f>CONCATENATE("PD", TEXT(A1995, "1000000"))</f>
      </c>
      <c r="D1995" s="7">
        <v>76</v>
      </c>
      <c r="E1995" s="5">
        <f>XLOOKUP(G1995, item_category!C:C, item_category!B:B, "Not Found")</f>
      </c>
      <c r="F1995" s="1" t="s">
        <v>5632</v>
      </c>
      <c r="G1995" s="5">
        <f>XLOOKUP(I1995, drug!B:B, drug!A:A, "Not Found")</f>
      </c>
      <c r="H1995" s="1"/>
      <c r="I1995" s="7">
        <v>1</v>
      </c>
      <c r="J1995" s="5">
        <f>XLOOKUP(L1995, uom!C:C, uom!B:B, "Not Found")</f>
      </c>
      <c r="K1995" s="1" t="s">
        <v>5511</v>
      </c>
      <c r="L1995" s="5">
        <f>XLOOKUP(N1995, uom!C:C, uom!B:B, "Not Found")</f>
      </c>
      <c r="M1995" s="1" t="s">
        <v>5511</v>
      </c>
      <c r="N1995" s="8" t="s">
        <v>5512</v>
      </c>
      <c r="O1995" s="1" t="s">
        <v>5513</v>
      </c>
      <c r="P1995" s="5">
        <f>XLOOKUP(R1995, classification!C:C, classification!B:B, "Not Found")</f>
      </c>
      <c r="Q1995" s="1" t="s">
        <v>5514</v>
      </c>
      <c r="R1995" s="2"/>
      <c r="S1995" s="2"/>
      <c r="T1995" s="2"/>
      <c r="U1995" s="2"/>
    </row>
    <row x14ac:dyDescent="0.25" r="1996" customHeight="1" ht="17.25">
      <c r="A1996" s="7">
        <v>1995</v>
      </c>
      <c r="B1996" s="1" t="s">
        <v>7390</v>
      </c>
      <c r="C1996" s="5">
        <f>CONCATENATE("PD", TEXT(A1996, "1000000"))</f>
      </c>
      <c r="D1996" s="7">
        <v>76</v>
      </c>
      <c r="E1996" s="5">
        <f>XLOOKUP(G1996, item_category!C:C, item_category!B:B, "Not Found")</f>
      </c>
      <c r="F1996" s="1" t="s">
        <v>5632</v>
      </c>
      <c r="G1996" s="5">
        <f>XLOOKUP(I1996, drug!B:B, drug!A:A, "Not Found")</f>
      </c>
      <c r="H1996" s="1"/>
      <c r="I1996" s="7">
        <v>1</v>
      </c>
      <c r="J1996" s="5">
        <f>XLOOKUP(L1996, uom!C:C, uom!B:B, "Not Found")</f>
      </c>
      <c r="K1996" s="1" t="s">
        <v>5511</v>
      </c>
      <c r="L1996" s="5">
        <f>XLOOKUP(N1996, uom!C:C, uom!B:B, "Not Found")</f>
      </c>
      <c r="M1996" s="1" t="s">
        <v>5511</v>
      </c>
      <c r="N1996" s="8" t="s">
        <v>5512</v>
      </c>
      <c r="O1996" s="1" t="s">
        <v>5513</v>
      </c>
      <c r="P1996" s="5">
        <f>XLOOKUP(R1996, classification!C:C, classification!B:B, "Not Found")</f>
      </c>
      <c r="Q1996" s="1" t="s">
        <v>5514</v>
      </c>
      <c r="R1996" s="2"/>
      <c r="S1996" s="2"/>
      <c r="T1996" s="2"/>
      <c r="U1996" s="2"/>
    </row>
    <row x14ac:dyDescent="0.25" r="1997" customHeight="1" ht="17.25">
      <c r="A1997" s="7">
        <v>1996</v>
      </c>
      <c r="B1997" s="1" t="s">
        <v>7391</v>
      </c>
      <c r="C1997" s="5">
        <f>CONCATENATE("PD", TEXT(A1997, "1000000"))</f>
      </c>
      <c r="D1997" s="7">
        <v>76</v>
      </c>
      <c r="E1997" s="5">
        <f>XLOOKUP(G1997, item_category!C:C, item_category!B:B, "Not Found")</f>
      </c>
      <c r="F1997" s="1" t="s">
        <v>5632</v>
      </c>
      <c r="G1997" s="5">
        <f>XLOOKUP(I1997, drug!B:B, drug!A:A, "Not Found")</f>
      </c>
      <c r="H1997" s="1"/>
      <c r="I1997" s="7">
        <v>1</v>
      </c>
      <c r="J1997" s="5">
        <f>XLOOKUP(L1997, uom!C:C, uom!B:B, "Not Found")</f>
      </c>
      <c r="K1997" s="1" t="s">
        <v>5511</v>
      </c>
      <c r="L1997" s="5">
        <f>XLOOKUP(N1997, uom!C:C, uom!B:B, "Not Found")</f>
      </c>
      <c r="M1997" s="1" t="s">
        <v>5511</v>
      </c>
      <c r="N1997" s="8" t="s">
        <v>5512</v>
      </c>
      <c r="O1997" s="1" t="s">
        <v>5513</v>
      </c>
      <c r="P1997" s="5">
        <f>XLOOKUP(R1997, classification!C:C, classification!B:B, "Not Found")</f>
      </c>
      <c r="Q1997" s="1" t="s">
        <v>5514</v>
      </c>
      <c r="R1997" s="2"/>
      <c r="S1997" s="2"/>
      <c r="T1997" s="2"/>
      <c r="U1997" s="2"/>
    </row>
    <row x14ac:dyDescent="0.25" r="1998" customHeight="1" ht="17.25">
      <c r="A1998" s="7">
        <v>1997</v>
      </c>
      <c r="B1998" s="1" t="s">
        <v>7392</v>
      </c>
      <c r="C1998" s="5">
        <f>CONCATENATE("PD", TEXT(A1998, "1000000"))</f>
      </c>
      <c r="D1998" s="7">
        <v>76</v>
      </c>
      <c r="E1998" s="5">
        <f>XLOOKUP(G1998, item_category!C:C, item_category!B:B, "Not Found")</f>
      </c>
      <c r="F1998" s="1" t="s">
        <v>5632</v>
      </c>
      <c r="G1998" s="5">
        <f>XLOOKUP(I1998, drug!B:B, drug!A:A, "Not Found")</f>
      </c>
      <c r="H1998" s="1"/>
      <c r="I1998" s="7">
        <v>1</v>
      </c>
      <c r="J1998" s="5">
        <f>XLOOKUP(L1998, uom!C:C, uom!B:B, "Not Found")</f>
      </c>
      <c r="K1998" s="1" t="s">
        <v>5511</v>
      </c>
      <c r="L1998" s="5">
        <f>XLOOKUP(N1998, uom!C:C, uom!B:B, "Not Found")</f>
      </c>
      <c r="M1998" s="1" t="s">
        <v>5511</v>
      </c>
      <c r="N1998" s="8" t="s">
        <v>5512</v>
      </c>
      <c r="O1998" s="1" t="s">
        <v>5513</v>
      </c>
      <c r="P1998" s="5">
        <f>XLOOKUP(R1998, classification!C:C, classification!B:B, "Not Found")</f>
      </c>
      <c r="Q1998" s="1" t="s">
        <v>5514</v>
      </c>
      <c r="R1998" s="2"/>
      <c r="S1998" s="2"/>
      <c r="T1998" s="2"/>
      <c r="U1998" s="2"/>
    </row>
    <row x14ac:dyDescent="0.25" r="1999" customHeight="1" ht="17.25">
      <c r="A1999" s="7">
        <v>1998</v>
      </c>
      <c r="B1999" s="1" t="s">
        <v>7393</v>
      </c>
      <c r="C1999" s="5">
        <f>CONCATENATE("PD", TEXT(A1999, "1000000"))</f>
      </c>
      <c r="D1999" s="7">
        <v>76</v>
      </c>
      <c r="E1999" s="5">
        <f>XLOOKUP(G1999, item_category!C:C, item_category!B:B, "Not Found")</f>
      </c>
      <c r="F1999" s="1" t="s">
        <v>5632</v>
      </c>
      <c r="G1999" s="5">
        <f>XLOOKUP(I1999, drug!B:B, drug!A:A, "Not Found")</f>
      </c>
      <c r="H1999" s="1" t="s">
        <v>1942</v>
      </c>
      <c r="I1999" s="7">
        <v>1</v>
      </c>
      <c r="J1999" s="5">
        <f>XLOOKUP(L1999, uom!C:C, uom!B:B, "Not Found")</f>
      </c>
      <c r="K1999" s="1" t="s">
        <v>5511</v>
      </c>
      <c r="L1999" s="5">
        <f>XLOOKUP(N1999, uom!C:C, uom!B:B, "Not Found")</f>
      </c>
      <c r="M1999" s="1" t="s">
        <v>5511</v>
      </c>
      <c r="N1999" s="8" t="s">
        <v>5512</v>
      </c>
      <c r="O1999" s="1" t="s">
        <v>5513</v>
      </c>
      <c r="P1999" s="5">
        <f>XLOOKUP(R1999, classification!C:C, classification!B:B, "Not Found")</f>
      </c>
      <c r="Q1999" s="1" t="s">
        <v>5514</v>
      </c>
      <c r="R1999" s="2"/>
      <c r="S1999" s="2"/>
      <c r="T1999" s="2"/>
      <c r="U1999" s="2"/>
    </row>
    <row x14ac:dyDescent="0.25" r="2000" customHeight="1" ht="17.25">
      <c r="A2000" s="7">
        <v>1999</v>
      </c>
      <c r="B2000" s="1" t="s">
        <v>7394</v>
      </c>
      <c r="C2000" s="5">
        <f>CONCATENATE("PD", TEXT(A2000, "1000000"))</f>
      </c>
      <c r="D2000" s="7">
        <v>76</v>
      </c>
      <c r="E2000" s="5">
        <f>XLOOKUP(G2000, item_category!C:C, item_category!B:B, "Not Found")</f>
      </c>
      <c r="F2000" s="1" t="s">
        <v>5632</v>
      </c>
      <c r="G2000" s="5">
        <f>XLOOKUP(I2000, drug!B:B, drug!A:A, "Not Found")</f>
      </c>
      <c r="H2000" s="1"/>
      <c r="I2000" s="7">
        <v>1</v>
      </c>
      <c r="J2000" s="5">
        <f>XLOOKUP(L2000, uom!C:C, uom!B:B, "Not Found")</f>
      </c>
      <c r="K2000" s="1" t="s">
        <v>5511</v>
      </c>
      <c r="L2000" s="5">
        <f>XLOOKUP(N2000, uom!C:C, uom!B:B, "Not Found")</f>
      </c>
      <c r="M2000" s="1" t="s">
        <v>5511</v>
      </c>
      <c r="N2000" s="8" t="s">
        <v>5512</v>
      </c>
      <c r="O2000" s="1" t="s">
        <v>5513</v>
      </c>
      <c r="P2000" s="5">
        <f>XLOOKUP(R2000, classification!C:C, classification!B:B, "Not Found")</f>
      </c>
      <c r="Q2000" s="1" t="s">
        <v>5514</v>
      </c>
      <c r="R2000" s="2"/>
      <c r="S2000" s="2"/>
      <c r="T2000" s="2"/>
      <c r="U2000" s="2"/>
    </row>
    <row x14ac:dyDescent="0.25" r="2001" customHeight="1" ht="17.25">
      <c r="A2001" s="7">
        <v>2000</v>
      </c>
      <c r="B2001" s="1" t="s">
        <v>7395</v>
      </c>
      <c r="C2001" s="5">
        <f>CONCATENATE("PD", TEXT(A2001, "1000000"))</f>
      </c>
      <c r="D2001" s="7">
        <v>76</v>
      </c>
      <c r="E2001" s="5">
        <f>XLOOKUP(G2001, item_category!C:C, item_category!B:B, "Not Found")</f>
      </c>
      <c r="F2001" s="1" t="s">
        <v>5632</v>
      </c>
      <c r="G2001" s="5">
        <f>XLOOKUP(I2001, drug!B:B, drug!A:A, "Not Found")</f>
      </c>
      <c r="H2001" s="1"/>
      <c r="I2001" s="7">
        <v>1</v>
      </c>
      <c r="J2001" s="5">
        <f>XLOOKUP(L2001, uom!C:C, uom!B:B, "Not Found")</f>
      </c>
      <c r="K2001" s="1" t="s">
        <v>5511</v>
      </c>
      <c r="L2001" s="5">
        <f>XLOOKUP(N2001, uom!C:C, uom!B:B, "Not Found")</f>
      </c>
      <c r="M2001" s="1" t="s">
        <v>5511</v>
      </c>
      <c r="N2001" s="8" t="s">
        <v>5512</v>
      </c>
      <c r="O2001" s="1" t="s">
        <v>5513</v>
      </c>
      <c r="P2001" s="5">
        <f>XLOOKUP(R2001, classification!C:C, classification!B:B, "Not Found")</f>
      </c>
      <c r="Q2001" s="1" t="s">
        <v>5514</v>
      </c>
      <c r="R2001" s="2"/>
      <c r="S2001" s="2"/>
      <c r="T2001" s="2"/>
      <c r="U2001" s="2"/>
    </row>
    <row x14ac:dyDescent="0.25" r="2002" customHeight="1" ht="17.25">
      <c r="A2002" s="7">
        <v>2001</v>
      </c>
      <c r="B2002" s="1" t="s">
        <v>7396</v>
      </c>
      <c r="C2002" s="5">
        <f>CONCATENATE("PD", TEXT(A2002, "1000000"))</f>
      </c>
      <c r="D2002" s="7">
        <v>76</v>
      </c>
      <c r="E2002" s="5">
        <f>XLOOKUP(G2002, item_category!C:C, item_category!B:B, "Not Found")</f>
      </c>
      <c r="F2002" s="1" t="s">
        <v>5632</v>
      </c>
      <c r="G2002" s="5">
        <f>XLOOKUP(I2002, drug!B:B, drug!A:A, "Not Found")</f>
      </c>
      <c r="H2002" s="1"/>
      <c r="I2002" s="7">
        <v>1</v>
      </c>
      <c r="J2002" s="5">
        <f>XLOOKUP(L2002, uom!C:C, uom!B:B, "Not Found")</f>
      </c>
      <c r="K2002" s="1" t="s">
        <v>5511</v>
      </c>
      <c r="L2002" s="5">
        <f>XLOOKUP(N2002, uom!C:C, uom!B:B, "Not Found")</f>
      </c>
      <c r="M2002" s="1" t="s">
        <v>5511</v>
      </c>
      <c r="N2002" s="8" t="s">
        <v>5512</v>
      </c>
      <c r="O2002" s="1" t="s">
        <v>5513</v>
      </c>
      <c r="P2002" s="5">
        <f>XLOOKUP(R2002, classification!C:C, classification!B:B, "Not Found")</f>
      </c>
      <c r="Q2002" s="1" t="s">
        <v>5514</v>
      </c>
      <c r="R2002" s="2"/>
      <c r="S2002" s="2"/>
      <c r="T2002" s="2"/>
      <c r="U2002" s="2"/>
    </row>
    <row x14ac:dyDescent="0.25" r="2003" customHeight="1" ht="17.25">
      <c r="A2003" s="7">
        <v>2002</v>
      </c>
      <c r="B2003" s="1" t="s">
        <v>7397</v>
      </c>
      <c r="C2003" s="5">
        <f>CONCATENATE("PD", TEXT(A2003, "1000000"))</f>
      </c>
      <c r="D2003" s="7">
        <v>76</v>
      </c>
      <c r="E2003" s="5">
        <f>XLOOKUP(G2003, item_category!C:C, item_category!B:B, "Not Found")</f>
      </c>
      <c r="F2003" s="1" t="s">
        <v>5632</v>
      </c>
      <c r="G2003" s="5">
        <f>XLOOKUP(I2003, drug!B:B, drug!A:A, "Not Found")</f>
      </c>
      <c r="H2003" s="1"/>
      <c r="I2003" s="7">
        <v>1</v>
      </c>
      <c r="J2003" s="5">
        <f>XLOOKUP(L2003, uom!C:C, uom!B:B, "Not Found")</f>
      </c>
      <c r="K2003" s="1" t="s">
        <v>5511</v>
      </c>
      <c r="L2003" s="5">
        <f>XLOOKUP(N2003, uom!C:C, uom!B:B, "Not Found")</f>
      </c>
      <c r="M2003" s="1" t="s">
        <v>5511</v>
      </c>
      <c r="N2003" s="8" t="s">
        <v>5512</v>
      </c>
      <c r="O2003" s="1" t="s">
        <v>5513</v>
      </c>
      <c r="P2003" s="5">
        <f>XLOOKUP(R2003, classification!C:C, classification!B:B, "Not Found")</f>
      </c>
      <c r="Q2003" s="1" t="s">
        <v>5514</v>
      </c>
      <c r="R2003" s="2"/>
      <c r="S2003" s="2"/>
      <c r="T2003" s="2"/>
      <c r="U2003" s="2"/>
    </row>
    <row x14ac:dyDescent="0.25" r="2004" customHeight="1" ht="17.25">
      <c r="A2004" s="7">
        <v>2003</v>
      </c>
      <c r="B2004" s="1" t="s">
        <v>7398</v>
      </c>
      <c r="C2004" s="5">
        <f>CONCATENATE("PD", TEXT(A2004, "1000000"))</f>
      </c>
      <c r="D2004" s="7">
        <v>76</v>
      </c>
      <c r="E2004" s="5">
        <f>XLOOKUP(G2004, item_category!C:C, item_category!B:B, "Not Found")</f>
      </c>
      <c r="F2004" s="1" t="s">
        <v>5632</v>
      </c>
      <c r="G2004" s="5">
        <f>XLOOKUP(I2004, drug!B:B, drug!A:A, "Not Found")</f>
      </c>
      <c r="H2004" s="1"/>
      <c r="I2004" s="7">
        <v>1</v>
      </c>
      <c r="J2004" s="5">
        <f>XLOOKUP(L2004, uom!C:C, uom!B:B, "Not Found")</f>
      </c>
      <c r="K2004" s="1" t="s">
        <v>5511</v>
      </c>
      <c r="L2004" s="5">
        <f>XLOOKUP(N2004, uom!C:C, uom!B:B, "Not Found")</f>
      </c>
      <c r="M2004" s="1" t="s">
        <v>5511</v>
      </c>
      <c r="N2004" s="8" t="s">
        <v>5512</v>
      </c>
      <c r="O2004" s="1" t="s">
        <v>5513</v>
      </c>
      <c r="P2004" s="5">
        <f>XLOOKUP(R2004, classification!C:C, classification!B:B, "Not Found")</f>
      </c>
      <c r="Q2004" s="1" t="s">
        <v>5514</v>
      </c>
      <c r="R2004" s="2"/>
      <c r="S2004" s="2"/>
      <c r="T2004" s="2"/>
      <c r="U2004" s="2"/>
    </row>
    <row x14ac:dyDescent="0.25" r="2005" customHeight="1" ht="17.25">
      <c r="A2005" s="7">
        <v>2004</v>
      </c>
      <c r="B2005" s="1" t="s">
        <v>7399</v>
      </c>
      <c r="C2005" s="5">
        <f>CONCATENATE("PD", TEXT(A2005, "1000000"))</f>
      </c>
      <c r="D2005" s="7">
        <v>76</v>
      </c>
      <c r="E2005" s="5">
        <f>XLOOKUP(G2005, item_category!C:C, item_category!B:B, "Not Found")</f>
      </c>
      <c r="F2005" s="1" t="s">
        <v>5632</v>
      </c>
      <c r="G2005" s="5">
        <f>XLOOKUP(I2005, drug!B:B, drug!A:A, "Not Found")</f>
      </c>
      <c r="H2005" s="1" t="s">
        <v>1942</v>
      </c>
      <c r="I2005" s="7">
        <v>1</v>
      </c>
      <c r="J2005" s="5">
        <f>XLOOKUP(L2005, uom!C:C, uom!B:B, "Not Found")</f>
      </c>
      <c r="K2005" s="1" t="s">
        <v>5511</v>
      </c>
      <c r="L2005" s="5">
        <f>XLOOKUP(N2005, uom!C:C, uom!B:B, "Not Found")</f>
      </c>
      <c r="M2005" s="1" t="s">
        <v>5511</v>
      </c>
      <c r="N2005" s="8" t="s">
        <v>5512</v>
      </c>
      <c r="O2005" s="1" t="s">
        <v>5513</v>
      </c>
      <c r="P2005" s="5">
        <f>XLOOKUP(R2005, classification!C:C, classification!B:B, "Not Found")</f>
      </c>
      <c r="Q2005" s="1" t="s">
        <v>5514</v>
      </c>
      <c r="R2005" s="2"/>
      <c r="S2005" s="2"/>
      <c r="T2005" s="2"/>
      <c r="U2005" s="2"/>
    </row>
    <row x14ac:dyDescent="0.25" r="2006" customHeight="1" ht="17.25">
      <c r="A2006" s="7">
        <v>2005</v>
      </c>
      <c r="B2006" s="1" t="s">
        <v>7400</v>
      </c>
      <c r="C2006" s="5">
        <f>CONCATENATE("PD", TEXT(A2006, "1000000"))</f>
      </c>
      <c r="D2006" s="7">
        <v>76</v>
      </c>
      <c r="E2006" s="5">
        <f>XLOOKUP(G2006, item_category!C:C, item_category!B:B, "Not Found")</f>
      </c>
      <c r="F2006" s="1" t="s">
        <v>5632</v>
      </c>
      <c r="G2006" s="5">
        <f>XLOOKUP(I2006, drug!B:B, drug!A:A, "Not Found")</f>
      </c>
      <c r="H2006" s="1"/>
      <c r="I2006" s="7">
        <v>1</v>
      </c>
      <c r="J2006" s="5">
        <f>XLOOKUP(L2006, uom!C:C, uom!B:B, "Not Found")</f>
      </c>
      <c r="K2006" s="1" t="s">
        <v>5511</v>
      </c>
      <c r="L2006" s="5">
        <f>XLOOKUP(N2006, uom!C:C, uom!B:B, "Not Found")</f>
      </c>
      <c r="M2006" s="1" t="s">
        <v>5511</v>
      </c>
      <c r="N2006" s="8" t="s">
        <v>5512</v>
      </c>
      <c r="O2006" s="1" t="s">
        <v>5513</v>
      </c>
      <c r="P2006" s="5">
        <f>XLOOKUP(R2006, classification!C:C, classification!B:B, "Not Found")</f>
      </c>
      <c r="Q2006" s="1" t="s">
        <v>5514</v>
      </c>
      <c r="R2006" s="2"/>
      <c r="S2006" s="2"/>
      <c r="T2006" s="2"/>
      <c r="U2006" s="2"/>
    </row>
    <row x14ac:dyDescent="0.25" r="2007" customHeight="1" ht="17.25">
      <c r="A2007" s="7">
        <v>2006</v>
      </c>
      <c r="B2007" s="1" t="s">
        <v>7401</v>
      </c>
      <c r="C2007" s="5">
        <f>CONCATENATE("PD", TEXT(A2007, "1000000"))</f>
      </c>
      <c r="D2007" s="7">
        <v>76</v>
      </c>
      <c r="E2007" s="5">
        <f>XLOOKUP(G2007, item_category!C:C, item_category!B:B, "Not Found")</f>
      </c>
      <c r="F2007" s="1" t="s">
        <v>5632</v>
      </c>
      <c r="G2007" s="5">
        <f>XLOOKUP(I2007, drug!B:B, drug!A:A, "Not Found")</f>
      </c>
      <c r="H2007" s="1"/>
      <c r="I2007" s="7">
        <v>1</v>
      </c>
      <c r="J2007" s="5">
        <f>XLOOKUP(L2007, uom!C:C, uom!B:B, "Not Found")</f>
      </c>
      <c r="K2007" s="1" t="s">
        <v>5511</v>
      </c>
      <c r="L2007" s="5">
        <f>XLOOKUP(N2007, uom!C:C, uom!B:B, "Not Found")</f>
      </c>
      <c r="M2007" s="1" t="s">
        <v>5511</v>
      </c>
      <c r="N2007" s="8" t="s">
        <v>5512</v>
      </c>
      <c r="O2007" s="1" t="s">
        <v>5513</v>
      </c>
      <c r="P2007" s="5">
        <f>XLOOKUP(R2007, classification!C:C, classification!B:B, "Not Found")</f>
      </c>
      <c r="Q2007" s="1" t="s">
        <v>5514</v>
      </c>
      <c r="R2007" s="2"/>
      <c r="S2007" s="2"/>
      <c r="T2007" s="2"/>
      <c r="U2007" s="2"/>
    </row>
    <row x14ac:dyDescent="0.25" r="2008" customHeight="1" ht="17.25">
      <c r="A2008" s="7">
        <v>2007</v>
      </c>
      <c r="B2008" s="1" t="s">
        <v>7402</v>
      </c>
      <c r="C2008" s="5">
        <f>CONCATENATE("PD", TEXT(A2008, "1000000"))</f>
      </c>
      <c r="D2008" s="7">
        <v>76</v>
      </c>
      <c r="E2008" s="5">
        <f>XLOOKUP(G2008, item_category!C:C, item_category!B:B, "Not Found")</f>
      </c>
      <c r="F2008" s="1" t="s">
        <v>5632</v>
      </c>
      <c r="G2008" s="5">
        <f>XLOOKUP(I2008, drug!B:B, drug!A:A, "Not Found")</f>
      </c>
      <c r="H2008" s="1"/>
      <c r="I2008" s="7">
        <v>1</v>
      </c>
      <c r="J2008" s="5">
        <f>XLOOKUP(L2008, uom!C:C, uom!B:B, "Not Found")</f>
      </c>
      <c r="K2008" s="1" t="s">
        <v>5511</v>
      </c>
      <c r="L2008" s="5">
        <f>XLOOKUP(N2008, uom!C:C, uom!B:B, "Not Found")</f>
      </c>
      <c r="M2008" s="1" t="s">
        <v>5511</v>
      </c>
      <c r="N2008" s="8" t="s">
        <v>5512</v>
      </c>
      <c r="O2008" s="1" t="s">
        <v>5513</v>
      </c>
      <c r="P2008" s="5">
        <f>XLOOKUP(R2008, classification!C:C, classification!B:B, "Not Found")</f>
      </c>
      <c r="Q2008" s="1" t="s">
        <v>5514</v>
      </c>
      <c r="R2008" s="2"/>
      <c r="S2008" s="2"/>
      <c r="T2008" s="2"/>
      <c r="U2008" s="2"/>
    </row>
    <row x14ac:dyDescent="0.25" r="2009" customHeight="1" ht="17.25">
      <c r="A2009" s="7">
        <v>2008</v>
      </c>
      <c r="B2009" s="1" t="s">
        <v>7403</v>
      </c>
      <c r="C2009" s="5">
        <f>CONCATENATE("PD", TEXT(A2009, "1000000"))</f>
      </c>
      <c r="D2009" s="7">
        <v>76</v>
      </c>
      <c r="E2009" s="5">
        <f>XLOOKUP(G2009, item_category!C:C, item_category!B:B, "Not Found")</f>
      </c>
      <c r="F2009" s="1" t="s">
        <v>5632</v>
      </c>
      <c r="G2009" s="5">
        <f>XLOOKUP(I2009, drug!B:B, drug!A:A, "Not Found")</f>
      </c>
      <c r="H2009" s="1"/>
      <c r="I2009" s="7">
        <v>1</v>
      </c>
      <c r="J2009" s="5">
        <f>XLOOKUP(L2009, uom!C:C, uom!B:B, "Not Found")</f>
      </c>
      <c r="K2009" s="1" t="s">
        <v>5511</v>
      </c>
      <c r="L2009" s="5">
        <f>XLOOKUP(N2009, uom!C:C, uom!B:B, "Not Found")</f>
      </c>
      <c r="M2009" s="1" t="s">
        <v>5511</v>
      </c>
      <c r="N2009" s="8" t="s">
        <v>5512</v>
      </c>
      <c r="O2009" s="1" t="s">
        <v>5513</v>
      </c>
      <c r="P2009" s="5">
        <f>XLOOKUP(R2009, classification!C:C, classification!B:B, "Not Found")</f>
      </c>
      <c r="Q2009" s="1" t="s">
        <v>5514</v>
      </c>
      <c r="R2009" s="2"/>
      <c r="S2009" s="2"/>
      <c r="T2009" s="2"/>
      <c r="U2009" s="2"/>
    </row>
    <row x14ac:dyDescent="0.25" r="2010" customHeight="1" ht="17.25">
      <c r="A2010" s="7">
        <v>2009</v>
      </c>
      <c r="B2010" s="1" t="s">
        <v>7404</v>
      </c>
      <c r="C2010" s="5">
        <f>CONCATENATE("PD", TEXT(A2010, "1000000"))</f>
      </c>
      <c r="D2010" s="7">
        <v>76</v>
      </c>
      <c r="E2010" s="5">
        <f>XLOOKUP(G2010, item_category!C:C, item_category!B:B, "Not Found")</f>
      </c>
      <c r="F2010" s="1" t="s">
        <v>5632</v>
      </c>
      <c r="G2010" s="5">
        <f>XLOOKUP(I2010, drug!B:B, drug!A:A, "Not Found")</f>
      </c>
      <c r="H2010" s="1"/>
      <c r="I2010" s="7">
        <v>1</v>
      </c>
      <c r="J2010" s="5">
        <f>XLOOKUP(L2010, uom!C:C, uom!B:B, "Not Found")</f>
      </c>
      <c r="K2010" s="1" t="s">
        <v>5511</v>
      </c>
      <c r="L2010" s="5">
        <f>XLOOKUP(N2010, uom!C:C, uom!B:B, "Not Found")</f>
      </c>
      <c r="M2010" s="1" t="s">
        <v>5511</v>
      </c>
      <c r="N2010" s="8" t="s">
        <v>5512</v>
      </c>
      <c r="O2010" s="1" t="s">
        <v>5513</v>
      </c>
      <c r="P2010" s="5">
        <f>XLOOKUP(R2010, classification!C:C, classification!B:B, "Not Found")</f>
      </c>
      <c r="Q2010" s="1" t="s">
        <v>5514</v>
      </c>
      <c r="R2010" s="2"/>
      <c r="S2010" s="2"/>
      <c r="T2010" s="2"/>
      <c r="U2010" s="2"/>
    </row>
    <row x14ac:dyDescent="0.25" r="2011" customHeight="1" ht="17.25">
      <c r="A2011" s="7">
        <v>2010</v>
      </c>
      <c r="B2011" s="1" t="s">
        <v>7405</v>
      </c>
      <c r="C2011" s="5">
        <f>CONCATENATE("PD", TEXT(A2011, "1000000"))</f>
      </c>
      <c r="D2011" s="7">
        <v>76</v>
      </c>
      <c r="E2011" s="5">
        <f>XLOOKUP(G2011, item_category!C:C, item_category!B:B, "Not Found")</f>
      </c>
      <c r="F2011" s="1" t="s">
        <v>5632</v>
      </c>
      <c r="G2011" s="5">
        <f>XLOOKUP(I2011, drug!B:B, drug!A:A, "Not Found")</f>
      </c>
      <c r="H2011" s="1" t="s">
        <v>1552</v>
      </c>
      <c r="I2011" s="7">
        <v>1</v>
      </c>
      <c r="J2011" s="5">
        <f>XLOOKUP(L2011, uom!C:C, uom!B:B, "Not Found")</f>
      </c>
      <c r="K2011" s="1" t="s">
        <v>5511</v>
      </c>
      <c r="L2011" s="5">
        <f>XLOOKUP(N2011, uom!C:C, uom!B:B, "Not Found")</f>
      </c>
      <c r="M2011" s="1" t="s">
        <v>5511</v>
      </c>
      <c r="N2011" s="8" t="s">
        <v>5512</v>
      </c>
      <c r="O2011" s="1" t="s">
        <v>5513</v>
      </c>
      <c r="P2011" s="5">
        <f>XLOOKUP(R2011, classification!C:C, classification!B:B, "Not Found")</f>
      </c>
      <c r="Q2011" s="1" t="s">
        <v>5514</v>
      </c>
      <c r="R2011" s="2"/>
      <c r="S2011" s="2"/>
      <c r="T2011" s="2"/>
      <c r="U2011" s="2"/>
    </row>
    <row x14ac:dyDescent="0.25" r="2012" customHeight="1" ht="17.25">
      <c r="A2012" s="7">
        <v>2011</v>
      </c>
      <c r="B2012" s="1" t="s">
        <v>7406</v>
      </c>
      <c r="C2012" s="5">
        <f>CONCATENATE("PD", TEXT(A2012, "1000000"))</f>
      </c>
      <c r="D2012" s="7">
        <v>76</v>
      </c>
      <c r="E2012" s="5">
        <f>XLOOKUP(G2012, item_category!C:C, item_category!B:B, "Not Found")</f>
      </c>
      <c r="F2012" s="1" t="s">
        <v>5632</v>
      </c>
      <c r="G2012" s="5">
        <f>XLOOKUP(I2012, drug!B:B, drug!A:A, "Not Found")</f>
      </c>
      <c r="H2012" s="1"/>
      <c r="I2012" s="7">
        <v>1</v>
      </c>
      <c r="J2012" s="5">
        <f>XLOOKUP(L2012, uom!C:C, uom!B:B, "Not Found")</f>
      </c>
      <c r="K2012" s="1" t="s">
        <v>5511</v>
      </c>
      <c r="L2012" s="5">
        <f>XLOOKUP(N2012, uom!C:C, uom!B:B, "Not Found")</f>
      </c>
      <c r="M2012" s="1" t="s">
        <v>5511</v>
      </c>
      <c r="N2012" s="8" t="s">
        <v>5512</v>
      </c>
      <c r="O2012" s="1" t="s">
        <v>5513</v>
      </c>
      <c r="P2012" s="5">
        <f>XLOOKUP(R2012, classification!C:C, classification!B:B, "Not Found")</f>
      </c>
      <c r="Q2012" s="1" t="s">
        <v>5514</v>
      </c>
      <c r="R2012" s="2"/>
      <c r="S2012" s="2"/>
      <c r="T2012" s="2"/>
      <c r="U2012" s="2"/>
    </row>
    <row x14ac:dyDescent="0.25" r="2013" customHeight="1" ht="17.25">
      <c r="A2013" s="7">
        <v>2012</v>
      </c>
      <c r="B2013" s="1" t="s">
        <v>7407</v>
      </c>
      <c r="C2013" s="5">
        <f>CONCATENATE("PD", TEXT(A2013, "1000000"))</f>
      </c>
      <c r="D2013" s="7">
        <v>76</v>
      </c>
      <c r="E2013" s="5">
        <f>XLOOKUP(G2013, item_category!C:C, item_category!B:B, "Not Found")</f>
      </c>
      <c r="F2013" s="1" t="s">
        <v>5632</v>
      </c>
      <c r="G2013" s="5">
        <f>XLOOKUP(I2013, drug!B:B, drug!A:A, "Not Found")</f>
      </c>
      <c r="H2013" s="1"/>
      <c r="I2013" s="7">
        <v>1</v>
      </c>
      <c r="J2013" s="5">
        <f>XLOOKUP(L2013, uom!C:C, uom!B:B, "Not Found")</f>
      </c>
      <c r="K2013" s="1" t="s">
        <v>5511</v>
      </c>
      <c r="L2013" s="5">
        <f>XLOOKUP(N2013, uom!C:C, uom!B:B, "Not Found")</f>
      </c>
      <c r="M2013" s="1" t="s">
        <v>5511</v>
      </c>
      <c r="N2013" s="8" t="s">
        <v>5512</v>
      </c>
      <c r="O2013" s="1" t="s">
        <v>5513</v>
      </c>
      <c r="P2013" s="5">
        <f>XLOOKUP(R2013, classification!C:C, classification!B:B, "Not Found")</f>
      </c>
      <c r="Q2013" s="1" t="s">
        <v>5514</v>
      </c>
      <c r="R2013" s="2"/>
      <c r="S2013" s="2"/>
      <c r="T2013" s="2"/>
      <c r="U2013" s="2"/>
    </row>
    <row x14ac:dyDescent="0.25" r="2014" customHeight="1" ht="17.25">
      <c r="A2014" s="7">
        <v>2013</v>
      </c>
      <c r="B2014" s="1" t="s">
        <v>7408</v>
      </c>
      <c r="C2014" s="5">
        <f>CONCATENATE("PD", TEXT(A2014, "1000000"))</f>
      </c>
      <c r="D2014" s="7">
        <v>76</v>
      </c>
      <c r="E2014" s="5">
        <f>XLOOKUP(G2014, item_category!C:C, item_category!B:B, "Not Found")</f>
      </c>
      <c r="F2014" s="1" t="s">
        <v>5632</v>
      </c>
      <c r="G2014" s="5">
        <f>XLOOKUP(I2014, drug!B:B, drug!A:A, "Not Found")</f>
      </c>
      <c r="H2014" s="1"/>
      <c r="I2014" s="7">
        <v>1</v>
      </c>
      <c r="J2014" s="5">
        <f>XLOOKUP(L2014, uom!C:C, uom!B:B, "Not Found")</f>
      </c>
      <c r="K2014" s="1" t="s">
        <v>5511</v>
      </c>
      <c r="L2014" s="5">
        <f>XLOOKUP(N2014, uom!C:C, uom!B:B, "Not Found")</f>
      </c>
      <c r="M2014" s="1" t="s">
        <v>5511</v>
      </c>
      <c r="N2014" s="8" t="s">
        <v>5512</v>
      </c>
      <c r="O2014" s="1" t="s">
        <v>5513</v>
      </c>
      <c r="P2014" s="5">
        <f>XLOOKUP(R2014, classification!C:C, classification!B:B, "Not Found")</f>
      </c>
      <c r="Q2014" s="1" t="s">
        <v>5514</v>
      </c>
      <c r="R2014" s="2"/>
      <c r="S2014" s="2"/>
      <c r="T2014" s="2"/>
      <c r="U2014" s="2"/>
    </row>
    <row x14ac:dyDescent="0.25" r="2015" customHeight="1" ht="17.25">
      <c r="A2015" s="7">
        <v>2014</v>
      </c>
      <c r="B2015" s="1" t="s">
        <v>7409</v>
      </c>
      <c r="C2015" s="5">
        <f>CONCATENATE("PD", TEXT(A2015, "1000000"))</f>
      </c>
      <c r="D2015" s="7">
        <v>76</v>
      </c>
      <c r="E2015" s="5">
        <f>XLOOKUP(G2015, item_category!C:C, item_category!B:B, "Not Found")</f>
      </c>
      <c r="F2015" s="1" t="s">
        <v>5632</v>
      </c>
      <c r="G2015" s="5">
        <f>XLOOKUP(I2015, drug!B:B, drug!A:A, "Not Found")</f>
      </c>
      <c r="H2015" s="1" t="s">
        <v>1552</v>
      </c>
      <c r="I2015" s="7">
        <v>1</v>
      </c>
      <c r="J2015" s="5">
        <f>XLOOKUP(L2015, uom!C:C, uom!B:B, "Not Found")</f>
      </c>
      <c r="K2015" s="1" t="s">
        <v>5511</v>
      </c>
      <c r="L2015" s="5">
        <f>XLOOKUP(N2015, uom!C:C, uom!B:B, "Not Found")</f>
      </c>
      <c r="M2015" s="1" t="s">
        <v>5511</v>
      </c>
      <c r="N2015" s="8" t="s">
        <v>5512</v>
      </c>
      <c r="O2015" s="1" t="s">
        <v>5513</v>
      </c>
      <c r="P2015" s="5">
        <f>XLOOKUP(R2015, classification!C:C, classification!B:B, "Not Found")</f>
      </c>
      <c r="Q2015" s="1" t="s">
        <v>5514</v>
      </c>
      <c r="R2015" s="2"/>
      <c r="S2015" s="2"/>
      <c r="T2015" s="2"/>
      <c r="U2015" s="2"/>
    </row>
    <row x14ac:dyDescent="0.25" r="2016" customHeight="1" ht="17.25">
      <c r="A2016" s="7">
        <v>2015</v>
      </c>
      <c r="B2016" s="1" t="s">
        <v>7410</v>
      </c>
      <c r="C2016" s="5">
        <f>CONCATENATE("PD", TEXT(A2016, "1000000"))</f>
      </c>
      <c r="D2016" s="7">
        <v>76</v>
      </c>
      <c r="E2016" s="5">
        <f>XLOOKUP(G2016, item_category!C:C, item_category!B:B, "Not Found")</f>
      </c>
      <c r="F2016" s="1" t="s">
        <v>5632</v>
      </c>
      <c r="G2016" s="5">
        <f>XLOOKUP(I2016, drug!B:B, drug!A:A, "Not Found")</f>
      </c>
      <c r="H2016" s="1" t="s">
        <v>1552</v>
      </c>
      <c r="I2016" s="7">
        <v>1</v>
      </c>
      <c r="J2016" s="5">
        <f>XLOOKUP(L2016, uom!C:C, uom!B:B, "Not Found")</f>
      </c>
      <c r="K2016" s="1" t="s">
        <v>5511</v>
      </c>
      <c r="L2016" s="5">
        <f>XLOOKUP(N2016, uom!C:C, uom!B:B, "Not Found")</f>
      </c>
      <c r="M2016" s="1" t="s">
        <v>5511</v>
      </c>
      <c r="N2016" s="8" t="s">
        <v>5512</v>
      </c>
      <c r="O2016" s="1" t="s">
        <v>5513</v>
      </c>
      <c r="P2016" s="5">
        <f>XLOOKUP(R2016, classification!C:C, classification!B:B, "Not Found")</f>
      </c>
      <c r="Q2016" s="1" t="s">
        <v>5514</v>
      </c>
      <c r="R2016" s="2"/>
      <c r="S2016" s="2"/>
      <c r="T2016" s="2"/>
      <c r="U2016" s="2"/>
    </row>
    <row x14ac:dyDescent="0.25" r="2017" customHeight="1" ht="17.25">
      <c r="A2017" s="7">
        <v>2016</v>
      </c>
      <c r="B2017" s="1" t="s">
        <v>7411</v>
      </c>
      <c r="C2017" s="5">
        <f>CONCATENATE("PD", TEXT(A2017, "1000000"))</f>
      </c>
      <c r="D2017" s="7">
        <v>76</v>
      </c>
      <c r="E2017" s="5">
        <f>XLOOKUP(G2017, item_category!C:C, item_category!B:B, "Not Found")</f>
      </c>
      <c r="F2017" s="1" t="s">
        <v>5632</v>
      </c>
      <c r="G2017" s="5">
        <f>XLOOKUP(I2017, drug!B:B, drug!A:A, "Not Found")</f>
      </c>
      <c r="H2017" s="1" t="s">
        <v>1552</v>
      </c>
      <c r="I2017" s="7">
        <v>1</v>
      </c>
      <c r="J2017" s="5">
        <f>XLOOKUP(L2017, uom!C:C, uom!B:B, "Not Found")</f>
      </c>
      <c r="K2017" s="1" t="s">
        <v>5511</v>
      </c>
      <c r="L2017" s="5">
        <f>XLOOKUP(N2017, uom!C:C, uom!B:B, "Not Found")</f>
      </c>
      <c r="M2017" s="1" t="s">
        <v>5511</v>
      </c>
      <c r="N2017" s="8" t="s">
        <v>5512</v>
      </c>
      <c r="O2017" s="1" t="s">
        <v>5513</v>
      </c>
      <c r="P2017" s="5">
        <f>XLOOKUP(R2017, classification!C:C, classification!B:B, "Not Found")</f>
      </c>
      <c r="Q2017" s="1" t="s">
        <v>5514</v>
      </c>
      <c r="R2017" s="2"/>
      <c r="S2017" s="2"/>
      <c r="T2017" s="2"/>
      <c r="U2017" s="2"/>
    </row>
    <row x14ac:dyDescent="0.25" r="2018" customHeight="1" ht="17.25">
      <c r="A2018" s="7">
        <v>2017</v>
      </c>
      <c r="B2018" s="1" t="s">
        <v>7412</v>
      </c>
      <c r="C2018" s="5">
        <f>CONCATENATE("PD", TEXT(A2018, "1000000"))</f>
      </c>
      <c r="D2018" s="7">
        <v>76</v>
      </c>
      <c r="E2018" s="5">
        <f>XLOOKUP(G2018, item_category!C:C, item_category!B:B, "Not Found")</f>
      </c>
      <c r="F2018" s="1" t="s">
        <v>5632</v>
      </c>
      <c r="G2018" s="5">
        <f>XLOOKUP(I2018, drug!B:B, drug!A:A, "Not Found")</f>
      </c>
      <c r="H2018" s="1" t="s">
        <v>1552</v>
      </c>
      <c r="I2018" s="7">
        <v>1</v>
      </c>
      <c r="J2018" s="5">
        <f>XLOOKUP(L2018, uom!C:C, uom!B:B, "Not Found")</f>
      </c>
      <c r="K2018" s="1" t="s">
        <v>5511</v>
      </c>
      <c r="L2018" s="5">
        <f>XLOOKUP(N2018, uom!C:C, uom!B:B, "Not Found")</f>
      </c>
      <c r="M2018" s="1" t="s">
        <v>5511</v>
      </c>
      <c r="N2018" s="8" t="s">
        <v>5512</v>
      </c>
      <c r="O2018" s="1" t="s">
        <v>5513</v>
      </c>
      <c r="P2018" s="5">
        <f>XLOOKUP(R2018, classification!C:C, classification!B:B, "Not Found")</f>
      </c>
      <c r="Q2018" s="1" t="s">
        <v>5514</v>
      </c>
      <c r="R2018" s="2"/>
      <c r="S2018" s="2"/>
      <c r="T2018" s="2"/>
      <c r="U2018" s="2"/>
    </row>
    <row x14ac:dyDescent="0.25" r="2019" customHeight="1" ht="17.25">
      <c r="A2019" s="7">
        <v>2018</v>
      </c>
      <c r="B2019" s="1" t="s">
        <v>7413</v>
      </c>
      <c r="C2019" s="5">
        <f>CONCATENATE("PD", TEXT(A2019, "1000000"))</f>
      </c>
      <c r="D2019" s="7">
        <v>76</v>
      </c>
      <c r="E2019" s="5">
        <f>XLOOKUP(G2019, item_category!C:C, item_category!B:B, "Not Found")</f>
      </c>
      <c r="F2019" s="1" t="s">
        <v>5632</v>
      </c>
      <c r="G2019" s="5">
        <f>XLOOKUP(I2019, drug!B:B, drug!A:A, "Not Found")</f>
      </c>
      <c r="H2019" s="1"/>
      <c r="I2019" s="7">
        <v>1</v>
      </c>
      <c r="J2019" s="5">
        <f>XLOOKUP(L2019, uom!C:C, uom!B:B, "Not Found")</f>
      </c>
      <c r="K2019" s="1" t="s">
        <v>5511</v>
      </c>
      <c r="L2019" s="5">
        <f>XLOOKUP(N2019, uom!C:C, uom!B:B, "Not Found")</f>
      </c>
      <c r="M2019" s="1" t="s">
        <v>5511</v>
      </c>
      <c r="N2019" s="8" t="s">
        <v>5512</v>
      </c>
      <c r="O2019" s="1" t="s">
        <v>5513</v>
      </c>
      <c r="P2019" s="5">
        <f>XLOOKUP(R2019, classification!C:C, classification!B:B, "Not Found")</f>
      </c>
      <c r="Q2019" s="1" t="s">
        <v>5514</v>
      </c>
      <c r="R2019" s="2"/>
      <c r="S2019" s="2"/>
      <c r="T2019" s="2"/>
      <c r="U2019" s="2"/>
    </row>
    <row x14ac:dyDescent="0.25" r="2020" customHeight="1" ht="17.25">
      <c r="A2020" s="7">
        <v>2019</v>
      </c>
      <c r="B2020" s="1" t="s">
        <v>7414</v>
      </c>
      <c r="C2020" s="5">
        <f>CONCATENATE("PD", TEXT(A2020, "1000000"))</f>
      </c>
      <c r="D2020" s="7">
        <v>76</v>
      </c>
      <c r="E2020" s="5">
        <f>XLOOKUP(G2020, item_category!C:C, item_category!B:B, "Not Found")</f>
      </c>
      <c r="F2020" s="1" t="s">
        <v>5632</v>
      </c>
      <c r="G2020" s="5">
        <f>XLOOKUP(I2020, drug!B:B, drug!A:A, "Not Found")</f>
      </c>
      <c r="H2020" s="1"/>
      <c r="I2020" s="7">
        <v>1</v>
      </c>
      <c r="J2020" s="5">
        <f>XLOOKUP(L2020, uom!C:C, uom!B:B, "Not Found")</f>
      </c>
      <c r="K2020" s="1" t="s">
        <v>5511</v>
      </c>
      <c r="L2020" s="5">
        <f>XLOOKUP(N2020, uom!C:C, uom!B:B, "Not Found")</f>
      </c>
      <c r="M2020" s="1" t="s">
        <v>5511</v>
      </c>
      <c r="N2020" s="8" t="s">
        <v>5512</v>
      </c>
      <c r="O2020" s="1" t="s">
        <v>5513</v>
      </c>
      <c r="P2020" s="5">
        <f>XLOOKUP(R2020, classification!C:C, classification!B:B, "Not Found")</f>
      </c>
      <c r="Q2020" s="1" t="s">
        <v>5514</v>
      </c>
      <c r="R2020" s="2"/>
      <c r="S2020" s="2"/>
      <c r="T2020" s="2"/>
      <c r="U2020" s="2"/>
    </row>
    <row x14ac:dyDescent="0.25" r="2021" customHeight="1" ht="17.25">
      <c r="A2021" s="7">
        <v>2020</v>
      </c>
      <c r="B2021" s="1" t="s">
        <v>7415</v>
      </c>
      <c r="C2021" s="5">
        <f>CONCATENATE("PD", TEXT(A2021, "1000000"))</f>
      </c>
      <c r="D2021" s="7">
        <v>76</v>
      </c>
      <c r="E2021" s="5">
        <f>XLOOKUP(G2021, item_category!C:C, item_category!B:B, "Not Found")</f>
      </c>
      <c r="F2021" s="1" t="s">
        <v>5632</v>
      </c>
      <c r="G2021" s="5">
        <f>XLOOKUP(I2021, drug!B:B, drug!A:A, "Not Found")</f>
      </c>
      <c r="H2021" s="1"/>
      <c r="I2021" s="7">
        <v>1</v>
      </c>
      <c r="J2021" s="5">
        <f>XLOOKUP(L2021, uom!C:C, uom!B:B, "Not Found")</f>
      </c>
      <c r="K2021" s="1" t="s">
        <v>5511</v>
      </c>
      <c r="L2021" s="5">
        <f>XLOOKUP(N2021, uom!C:C, uom!B:B, "Not Found")</f>
      </c>
      <c r="M2021" s="1" t="s">
        <v>5511</v>
      </c>
      <c r="N2021" s="8" t="s">
        <v>5512</v>
      </c>
      <c r="O2021" s="1" t="s">
        <v>5513</v>
      </c>
      <c r="P2021" s="5">
        <f>XLOOKUP(R2021, classification!C:C, classification!B:B, "Not Found")</f>
      </c>
      <c r="Q2021" s="1" t="s">
        <v>5514</v>
      </c>
      <c r="R2021" s="2"/>
      <c r="S2021" s="2"/>
      <c r="T2021" s="2"/>
      <c r="U2021" s="2"/>
    </row>
    <row x14ac:dyDescent="0.25" r="2022" customHeight="1" ht="17.25">
      <c r="A2022" s="7">
        <v>2021</v>
      </c>
      <c r="B2022" s="1" t="s">
        <v>7416</v>
      </c>
      <c r="C2022" s="5">
        <f>CONCATENATE("PD", TEXT(A2022, "1000000"))</f>
      </c>
      <c r="D2022" s="7">
        <v>76</v>
      </c>
      <c r="E2022" s="5">
        <f>XLOOKUP(G2022, item_category!C:C, item_category!B:B, "Not Found")</f>
      </c>
      <c r="F2022" s="1" t="s">
        <v>5632</v>
      </c>
      <c r="G2022" s="5">
        <f>XLOOKUP(I2022, drug!B:B, drug!A:A, "Not Found")</f>
      </c>
      <c r="H2022" s="1"/>
      <c r="I2022" s="7">
        <v>1</v>
      </c>
      <c r="J2022" s="5">
        <f>XLOOKUP(L2022, uom!C:C, uom!B:B, "Not Found")</f>
      </c>
      <c r="K2022" s="1" t="s">
        <v>5511</v>
      </c>
      <c r="L2022" s="5">
        <f>XLOOKUP(N2022, uom!C:C, uom!B:B, "Not Found")</f>
      </c>
      <c r="M2022" s="1" t="s">
        <v>5511</v>
      </c>
      <c r="N2022" s="8" t="s">
        <v>5512</v>
      </c>
      <c r="O2022" s="1" t="s">
        <v>5513</v>
      </c>
      <c r="P2022" s="5">
        <f>XLOOKUP(R2022, classification!C:C, classification!B:B, "Not Found")</f>
      </c>
      <c r="Q2022" s="1" t="s">
        <v>5514</v>
      </c>
      <c r="R2022" s="2"/>
      <c r="S2022" s="2"/>
      <c r="T2022" s="2"/>
      <c r="U2022" s="2"/>
    </row>
    <row x14ac:dyDescent="0.25" r="2023" customHeight="1" ht="17.25">
      <c r="A2023" s="7">
        <v>2022</v>
      </c>
      <c r="B2023" s="1" t="s">
        <v>7417</v>
      </c>
      <c r="C2023" s="5">
        <f>CONCATENATE("PD", TEXT(A2023, "1000000"))</f>
      </c>
      <c r="D2023" s="7">
        <v>76</v>
      </c>
      <c r="E2023" s="5">
        <f>XLOOKUP(G2023, item_category!C:C, item_category!B:B, "Not Found")</f>
      </c>
      <c r="F2023" s="1" t="s">
        <v>5632</v>
      </c>
      <c r="G2023" s="5">
        <f>XLOOKUP(I2023, drug!B:B, drug!A:A, "Not Found")</f>
      </c>
      <c r="H2023" s="1"/>
      <c r="I2023" s="7">
        <v>1</v>
      </c>
      <c r="J2023" s="5">
        <f>XLOOKUP(L2023, uom!C:C, uom!B:B, "Not Found")</f>
      </c>
      <c r="K2023" s="1" t="s">
        <v>5511</v>
      </c>
      <c r="L2023" s="5">
        <f>XLOOKUP(N2023, uom!C:C, uom!B:B, "Not Found")</f>
      </c>
      <c r="M2023" s="1" t="s">
        <v>5511</v>
      </c>
      <c r="N2023" s="8" t="s">
        <v>5512</v>
      </c>
      <c r="O2023" s="1" t="s">
        <v>5513</v>
      </c>
      <c r="P2023" s="5">
        <f>XLOOKUP(R2023, classification!C:C, classification!B:B, "Not Found")</f>
      </c>
      <c r="Q2023" s="1" t="s">
        <v>5514</v>
      </c>
      <c r="R2023" s="2"/>
      <c r="S2023" s="2"/>
      <c r="T2023" s="2"/>
      <c r="U2023" s="2"/>
    </row>
    <row x14ac:dyDescent="0.25" r="2024" customHeight="1" ht="17.25">
      <c r="A2024" s="7">
        <v>2023</v>
      </c>
      <c r="B2024" s="1" t="s">
        <v>7418</v>
      </c>
      <c r="C2024" s="5">
        <f>CONCATENATE("PD", TEXT(A2024, "1000000"))</f>
      </c>
      <c r="D2024" s="7">
        <v>76</v>
      </c>
      <c r="E2024" s="5">
        <f>XLOOKUP(G2024, item_category!C:C, item_category!B:B, "Not Found")</f>
      </c>
      <c r="F2024" s="1" t="s">
        <v>5632</v>
      </c>
      <c r="G2024" s="5">
        <f>XLOOKUP(I2024, drug!B:B, drug!A:A, "Not Found")</f>
      </c>
      <c r="H2024" s="1"/>
      <c r="I2024" s="7">
        <v>1</v>
      </c>
      <c r="J2024" s="5">
        <f>XLOOKUP(L2024, uom!C:C, uom!B:B, "Not Found")</f>
      </c>
      <c r="K2024" s="1" t="s">
        <v>5511</v>
      </c>
      <c r="L2024" s="5">
        <f>XLOOKUP(N2024, uom!C:C, uom!B:B, "Not Found")</f>
      </c>
      <c r="M2024" s="1" t="s">
        <v>5511</v>
      </c>
      <c r="N2024" s="8" t="s">
        <v>5512</v>
      </c>
      <c r="O2024" s="1" t="s">
        <v>5513</v>
      </c>
      <c r="P2024" s="5">
        <f>XLOOKUP(R2024, classification!C:C, classification!B:B, "Not Found")</f>
      </c>
      <c r="Q2024" s="1" t="s">
        <v>5514</v>
      </c>
      <c r="R2024" s="2"/>
      <c r="S2024" s="2"/>
      <c r="T2024" s="2"/>
      <c r="U2024" s="2"/>
    </row>
    <row x14ac:dyDescent="0.25" r="2025" customHeight="1" ht="17.25">
      <c r="A2025" s="7">
        <v>2024</v>
      </c>
      <c r="B2025" s="1" t="s">
        <v>7419</v>
      </c>
      <c r="C2025" s="5">
        <f>CONCATENATE("PD", TEXT(A2025, "1000000"))</f>
      </c>
      <c r="D2025" s="7">
        <v>76</v>
      </c>
      <c r="E2025" s="5">
        <f>XLOOKUP(G2025, item_category!C:C, item_category!B:B, "Not Found")</f>
      </c>
      <c r="F2025" s="1" t="s">
        <v>5632</v>
      </c>
      <c r="G2025" s="5">
        <f>XLOOKUP(I2025, drug!B:B, drug!A:A, "Not Found")</f>
      </c>
      <c r="H2025" s="1"/>
      <c r="I2025" s="7">
        <v>1</v>
      </c>
      <c r="J2025" s="5">
        <f>XLOOKUP(L2025, uom!C:C, uom!B:B, "Not Found")</f>
      </c>
      <c r="K2025" s="1" t="s">
        <v>5511</v>
      </c>
      <c r="L2025" s="5">
        <f>XLOOKUP(N2025, uom!C:C, uom!B:B, "Not Found")</f>
      </c>
      <c r="M2025" s="1" t="s">
        <v>5511</v>
      </c>
      <c r="N2025" s="8" t="s">
        <v>5512</v>
      </c>
      <c r="O2025" s="1" t="s">
        <v>5513</v>
      </c>
      <c r="P2025" s="5">
        <f>XLOOKUP(R2025, classification!C:C, classification!B:B, "Not Found")</f>
      </c>
      <c r="Q2025" s="1" t="s">
        <v>5514</v>
      </c>
      <c r="R2025" s="2"/>
      <c r="S2025" s="2"/>
      <c r="T2025" s="2"/>
      <c r="U2025" s="2"/>
    </row>
    <row x14ac:dyDescent="0.25" r="2026" customHeight="1" ht="17.25">
      <c r="A2026" s="7">
        <v>2025</v>
      </c>
      <c r="B2026" s="1" t="s">
        <v>7420</v>
      </c>
      <c r="C2026" s="5">
        <f>CONCATENATE("PD", TEXT(A2026, "1000000"))</f>
      </c>
      <c r="D2026" s="7">
        <v>76</v>
      </c>
      <c r="E2026" s="5">
        <f>XLOOKUP(G2026, item_category!C:C, item_category!B:B, "Not Found")</f>
      </c>
      <c r="F2026" s="1" t="s">
        <v>5632</v>
      </c>
      <c r="G2026" s="5">
        <f>XLOOKUP(I2026, drug!B:B, drug!A:A, "Not Found")</f>
      </c>
      <c r="H2026" s="1"/>
      <c r="I2026" s="7">
        <v>1</v>
      </c>
      <c r="J2026" s="5">
        <f>XLOOKUP(L2026, uom!C:C, uom!B:B, "Not Found")</f>
      </c>
      <c r="K2026" s="1" t="s">
        <v>5511</v>
      </c>
      <c r="L2026" s="5">
        <f>XLOOKUP(N2026, uom!C:C, uom!B:B, "Not Found")</f>
      </c>
      <c r="M2026" s="1" t="s">
        <v>5511</v>
      </c>
      <c r="N2026" s="8" t="s">
        <v>5512</v>
      </c>
      <c r="O2026" s="1" t="s">
        <v>5513</v>
      </c>
      <c r="P2026" s="5">
        <f>XLOOKUP(R2026, classification!C:C, classification!B:B, "Not Found")</f>
      </c>
      <c r="Q2026" s="1" t="s">
        <v>5514</v>
      </c>
      <c r="R2026" s="2"/>
      <c r="S2026" s="2"/>
      <c r="T2026" s="2"/>
      <c r="U2026" s="2"/>
    </row>
    <row x14ac:dyDescent="0.25" r="2027" customHeight="1" ht="17.25">
      <c r="A2027" s="7">
        <v>2026</v>
      </c>
      <c r="B2027" s="1" t="s">
        <v>7421</v>
      </c>
      <c r="C2027" s="5">
        <f>CONCATENATE("PD", TEXT(A2027, "1000000"))</f>
      </c>
      <c r="D2027" s="7">
        <v>76</v>
      </c>
      <c r="E2027" s="5">
        <f>XLOOKUP(G2027, item_category!C:C, item_category!B:B, "Not Found")</f>
      </c>
      <c r="F2027" s="1" t="s">
        <v>5632</v>
      </c>
      <c r="G2027" s="5">
        <f>XLOOKUP(I2027, drug!B:B, drug!A:A, "Not Found")</f>
      </c>
      <c r="H2027" s="1"/>
      <c r="I2027" s="7">
        <v>1</v>
      </c>
      <c r="J2027" s="5">
        <f>XLOOKUP(L2027, uom!C:C, uom!B:B, "Not Found")</f>
      </c>
      <c r="K2027" s="1" t="s">
        <v>5511</v>
      </c>
      <c r="L2027" s="5">
        <f>XLOOKUP(N2027, uom!C:C, uom!B:B, "Not Found")</f>
      </c>
      <c r="M2027" s="1" t="s">
        <v>5511</v>
      </c>
      <c r="N2027" s="8" t="s">
        <v>5512</v>
      </c>
      <c r="O2027" s="1" t="s">
        <v>5513</v>
      </c>
      <c r="P2027" s="5">
        <f>XLOOKUP(R2027, classification!C:C, classification!B:B, "Not Found")</f>
      </c>
      <c r="Q2027" s="1" t="s">
        <v>5514</v>
      </c>
      <c r="R2027" s="2"/>
      <c r="S2027" s="2"/>
      <c r="T2027" s="2"/>
      <c r="U2027" s="2"/>
    </row>
    <row x14ac:dyDescent="0.25" r="2028" customHeight="1" ht="17.25">
      <c r="A2028" s="7">
        <v>2027</v>
      </c>
      <c r="B2028" s="1" t="s">
        <v>7422</v>
      </c>
      <c r="C2028" s="5">
        <f>CONCATENATE("PD", TEXT(A2028, "1000000"))</f>
      </c>
      <c r="D2028" s="7">
        <v>76</v>
      </c>
      <c r="E2028" s="5">
        <f>XLOOKUP(G2028, item_category!C:C, item_category!B:B, "Not Found")</f>
      </c>
      <c r="F2028" s="1" t="s">
        <v>5632</v>
      </c>
      <c r="G2028" s="5">
        <f>XLOOKUP(I2028, drug!B:B, drug!A:A, "Not Found")</f>
      </c>
      <c r="H2028" s="1"/>
      <c r="I2028" s="7">
        <v>1</v>
      </c>
      <c r="J2028" s="5">
        <f>XLOOKUP(L2028, uom!C:C, uom!B:B, "Not Found")</f>
      </c>
      <c r="K2028" s="1" t="s">
        <v>5511</v>
      </c>
      <c r="L2028" s="5">
        <f>XLOOKUP(N2028, uom!C:C, uom!B:B, "Not Found")</f>
      </c>
      <c r="M2028" s="1" t="s">
        <v>5511</v>
      </c>
      <c r="N2028" s="8" t="s">
        <v>5512</v>
      </c>
      <c r="O2028" s="1" t="s">
        <v>5513</v>
      </c>
      <c r="P2028" s="5">
        <f>XLOOKUP(R2028, classification!C:C, classification!B:B, "Not Found")</f>
      </c>
      <c r="Q2028" s="1" t="s">
        <v>5514</v>
      </c>
      <c r="R2028" s="2"/>
      <c r="S2028" s="2"/>
      <c r="T2028" s="2"/>
      <c r="U2028" s="2"/>
    </row>
    <row x14ac:dyDescent="0.25" r="2029" customHeight="1" ht="17.25">
      <c r="A2029" s="7">
        <v>2028</v>
      </c>
      <c r="B2029" s="1" t="s">
        <v>7423</v>
      </c>
      <c r="C2029" s="5">
        <f>CONCATENATE("PD", TEXT(A2029, "1000000"))</f>
      </c>
      <c r="D2029" s="7">
        <v>76</v>
      </c>
      <c r="E2029" s="5">
        <f>XLOOKUP(G2029, item_category!C:C, item_category!B:B, "Not Found")</f>
      </c>
      <c r="F2029" s="1" t="s">
        <v>5632</v>
      </c>
      <c r="G2029" s="5">
        <f>XLOOKUP(I2029, drug!B:B, drug!A:A, "Not Found")</f>
      </c>
      <c r="H2029" s="1"/>
      <c r="I2029" s="7">
        <v>1</v>
      </c>
      <c r="J2029" s="5">
        <f>XLOOKUP(L2029, uom!C:C, uom!B:B, "Not Found")</f>
      </c>
      <c r="K2029" s="1" t="s">
        <v>5511</v>
      </c>
      <c r="L2029" s="5">
        <f>XLOOKUP(N2029, uom!C:C, uom!B:B, "Not Found")</f>
      </c>
      <c r="M2029" s="1" t="s">
        <v>5511</v>
      </c>
      <c r="N2029" s="8" t="s">
        <v>5512</v>
      </c>
      <c r="O2029" s="1" t="s">
        <v>5513</v>
      </c>
      <c r="P2029" s="5">
        <f>XLOOKUP(R2029, classification!C:C, classification!B:B, "Not Found")</f>
      </c>
      <c r="Q2029" s="1" t="s">
        <v>5514</v>
      </c>
      <c r="R2029" s="2"/>
      <c r="S2029" s="2"/>
      <c r="T2029" s="2"/>
      <c r="U2029" s="2"/>
    </row>
    <row x14ac:dyDescent="0.25" r="2030" customHeight="1" ht="17.25">
      <c r="A2030" s="7">
        <v>2029</v>
      </c>
      <c r="B2030" s="1" t="s">
        <v>3088</v>
      </c>
      <c r="C2030" s="5">
        <f>CONCATENATE("PD", TEXT(A2030, "1000000"))</f>
      </c>
      <c r="D2030" s="7">
        <v>76</v>
      </c>
      <c r="E2030" s="5">
        <f>XLOOKUP(G2030, item_category!C:C, item_category!B:B, "Not Found")</f>
      </c>
      <c r="F2030" s="1" t="s">
        <v>5632</v>
      </c>
      <c r="G2030" s="5">
        <f>XLOOKUP(I2030, drug!B:B, drug!A:A, "Not Found")</f>
      </c>
      <c r="H2030" s="1"/>
      <c r="I2030" s="7">
        <v>1</v>
      </c>
      <c r="J2030" s="5">
        <f>XLOOKUP(L2030, uom!C:C, uom!B:B, "Not Found")</f>
      </c>
      <c r="K2030" s="1" t="s">
        <v>5511</v>
      </c>
      <c r="L2030" s="5">
        <f>XLOOKUP(N2030, uom!C:C, uom!B:B, "Not Found")</f>
      </c>
      <c r="M2030" s="1" t="s">
        <v>5511</v>
      </c>
      <c r="N2030" s="8" t="s">
        <v>5512</v>
      </c>
      <c r="O2030" s="1" t="s">
        <v>5513</v>
      </c>
      <c r="P2030" s="5">
        <f>XLOOKUP(R2030, classification!C:C, classification!B:B, "Not Found")</f>
      </c>
      <c r="Q2030" s="1" t="s">
        <v>5514</v>
      </c>
      <c r="R2030" s="2"/>
      <c r="S2030" s="2"/>
      <c r="T2030" s="2"/>
      <c r="U2030" s="2"/>
    </row>
    <row x14ac:dyDescent="0.25" r="2031" customHeight="1" ht="17.25">
      <c r="A2031" s="7">
        <v>2030</v>
      </c>
      <c r="B2031" s="1" t="s">
        <v>7424</v>
      </c>
      <c r="C2031" s="5">
        <f>CONCATENATE("PD", TEXT(A2031, "1000000"))</f>
      </c>
      <c r="D2031" s="7">
        <v>76</v>
      </c>
      <c r="E2031" s="5">
        <f>XLOOKUP(G2031, item_category!C:C, item_category!B:B, "Not Found")</f>
      </c>
      <c r="F2031" s="1" t="s">
        <v>5632</v>
      </c>
      <c r="G2031" s="5">
        <f>XLOOKUP(I2031, drug!B:B, drug!A:A, "Not Found")</f>
      </c>
      <c r="H2031" s="1"/>
      <c r="I2031" s="7">
        <v>1</v>
      </c>
      <c r="J2031" s="5">
        <f>XLOOKUP(L2031, uom!C:C, uom!B:B, "Not Found")</f>
      </c>
      <c r="K2031" s="1" t="s">
        <v>5511</v>
      </c>
      <c r="L2031" s="5">
        <f>XLOOKUP(N2031, uom!C:C, uom!B:B, "Not Found")</f>
      </c>
      <c r="M2031" s="1" t="s">
        <v>5511</v>
      </c>
      <c r="N2031" s="8" t="s">
        <v>5512</v>
      </c>
      <c r="O2031" s="1" t="s">
        <v>5513</v>
      </c>
      <c r="P2031" s="5">
        <f>XLOOKUP(R2031, classification!C:C, classification!B:B, "Not Found")</f>
      </c>
      <c r="Q2031" s="1" t="s">
        <v>5514</v>
      </c>
      <c r="R2031" s="2"/>
      <c r="S2031" s="2"/>
      <c r="T2031" s="2"/>
      <c r="U2031" s="2"/>
    </row>
    <row x14ac:dyDescent="0.25" r="2032" customHeight="1" ht="17.25">
      <c r="A2032" s="7">
        <v>2031</v>
      </c>
      <c r="B2032" s="1" t="s">
        <v>7425</v>
      </c>
      <c r="C2032" s="5">
        <f>CONCATENATE("PD", TEXT(A2032, "1000000"))</f>
      </c>
      <c r="D2032" s="7">
        <v>76</v>
      </c>
      <c r="E2032" s="5">
        <f>XLOOKUP(G2032, item_category!C:C, item_category!B:B, "Not Found")</f>
      </c>
      <c r="F2032" s="1" t="s">
        <v>5632</v>
      </c>
      <c r="G2032" s="5">
        <f>XLOOKUP(I2032, drug!B:B, drug!A:A, "Not Found")</f>
      </c>
      <c r="H2032" s="1"/>
      <c r="I2032" s="7">
        <v>1</v>
      </c>
      <c r="J2032" s="5">
        <f>XLOOKUP(L2032, uom!C:C, uom!B:B, "Not Found")</f>
      </c>
      <c r="K2032" s="1" t="s">
        <v>5511</v>
      </c>
      <c r="L2032" s="5">
        <f>XLOOKUP(N2032, uom!C:C, uom!B:B, "Not Found")</f>
      </c>
      <c r="M2032" s="1" t="s">
        <v>5511</v>
      </c>
      <c r="N2032" s="8" t="s">
        <v>5512</v>
      </c>
      <c r="O2032" s="1" t="s">
        <v>5513</v>
      </c>
      <c r="P2032" s="5">
        <f>XLOOKUP(R2032, classification!C:C, classification!B:B, "Not Found")</f>
      </c>
      <c r="Q2032" s="1" t="s">
        <v>5514</v>
      </c>
      <c r="R2032" s="2"/>
      <c r="S2032" s="2"/>
      <c r="T2032" s="2"/>
      <c r="U2032" s="2"/>
    </row>
    <row x14ac:dyDescent="0.25" r="2033" customHeight="1" ht="17.25">
      <c r="A2033" s="7">
        <v>2032</v>
      </c>
      <c r="B2033" s="1" t="s">
        <v>7426</v>
      </c>
      <c r="C2033" s="5">
        <f>CONCATENATE("PD", TEXT(A2033, "1000000"))</f>
      </c>
      <c r="D2033" s="7">
        <v>76</v>
      </c>
      <c r="E2033" s="5">
        <f>XLOOKUP(G2033, item_category!C:C, item_category!B:B, "Not Found")</f>
      </c>
      <c r="F2033" s="1" t="s">
        <v>5632</v>
      </c>
      <c r="G2033" s="5">
        <f>XLOOKUP(I2033, drug!B:B, drug!A:A, "Not Found")</f>
      </c>
      <c r="H2033" s="1"/>
      <c r="I2033" s="7">
        <v>1</v>
      </c>
      <c r="J2033" s="5">
        <f>XLOOKUP(L2033, uom!C:C, uom!B:B, "Not Found")</f>
      </c>
      <c r="K2033" s="1" t="s">
        <v>5511</v>
      </c>
      <c r="L2033" s="5">
        <f>XLOOKUP(N2033, uom!C:C, uom!B:B, "Not Found")</f>
      </c>
      <c r="M2033" s="1" t="s">
        <v>5511</v>
      </c>
      <c r="N2033" s="8" t="s">
        <v>5512</v>
      </c>
      <c r="O2033" s="1" t="s">
        <v>5513</v>
      </c>
      <c r="P2033" s="5">
        <f>XLOOKUP(R2033, classification!C:C, classification!B:B, "Not Found")</f>
      </c>
      <c r="Q2033" s="1" t="s">
        <v>5514</v>
      </c>
      <c r="R2033" s="2"/>
      <c r="S2033" s="2"/>
      <c r="T2033" s="2"/>
      <c r="U2033" s="2"/>
    </row>
    <row x14ac:dyDescent="0.25" r="2034" customHeight="1" ht="17.25">
      <c r="A2034" s="7">
        <v>2033</v>
      </c>
      <c r="B2034" s="1" t="s">
        <v>7427</v>
      </c>
      <c r="C2034" s="5">
        <f>CONCATENATE("PD", TEXT(A2034, "1000000"))</f>
      </c>
      <c r="D2034" s="7">
        <v>76</v>
      </c>
      <c r="E2034" s="5">
        <f>XLOOKUP(G2034, item_category!C:C, item_category!B:B, "Not Found")</f>
      </c>
      <c r="F2034" s="1" t="s">
        <v>5632</v>
      </c>
      <c r="G2034" s="5">
        <f>XLOOKUP(I2034, drug!B:B, drug!A:A, "Not Found")</f>
      </c>
      <c r="H2034" s="1"/>
      <c r="I2034" s="7">
        <v>1</v>
      </c>
      <c r="J2034" s="5">
        <f>XLOOKUP(L2034, uom!C:C, uom!B:B, "Not Found")</f>
      </c>
      <c r="K2034" s="1" t="s">
        <v>5511</v>
      </c>
      <c r="L2034" s="5">
        <f>XLOOKUP(N2034, uom!C:C, uom!B:B, "Not Found")</f>
      </c>
      <c r="M2034" s="1" t="s">
        <v>5511</v>
      </c>
      <c r="N2034" s="8" t="s">
        <v>5512</v>
      </c>
      <c r="O2034" s="1" t="s">
        <v>5513</v>
      </c>
      <c r="P2034" s="5">
        <f>XLOOKUP(R2034, classification!C:C, classification!B:B, "Not Found")</f>
      </c>
      <c r="Q2034" s="1" t="s">
        <v>5514</v>
      </c>
      <c r="R2034" s="2"/>
      <c r="S2034" s="2"/>
      <c r="T2034" s="2"/>
      <c r="U2034" s="2"/>
    </row>
    <row x14ac:dyDescent="0.25" r="2035" customHeight="1" ht="17.25">
      <c r="A2035" s="7">
        <v>2034</v>
      </c>
      <c r="B2035" s="1" t="s">
        <v>7428</v>
      </c>
      <c r="C2035" s="5">
        <f>CONCATENATE("PD", TEXT(A2035, "1000000"))</f>
      </c>
      <c r="D2035" s="7">
        <v>76</v>
      </c>
      <c r="E2035" s="5">
        <f>XLOOKUP(G2035, item_category!C:C, item_category!B:B, "Not Found")</f>
      </c>
      <c r="F2035" s="1" t="s">
        <v>5632</v>
      </c>
      <c r="G2035" s="5">
        <f>XLOOKUP(I2035, drug!B:B, drug!A:A, "Not Found")</f>
      </c>
      <c r="H2035" s="1"/>
      <c r="I2035" s="7">
        <v>1</v>
      </c>
      <c r="J2035" s="5">
        <f>XLOOKUP(L2035, uom!C:C, uom!B:B, "Not Found")</f>
      </c>
      <c r="K2035" s="1" t="s">
        <v>5511</v>
      </c>
      <c r="L2035" s="5">
        <f>XLOOKUP(N2035, uom!C:C, uom!B:B, "Not Found")</f>
      </c>
      <c r="M2035" s="1" t="s">
        <v>5511</v>
      </c>
      <c r="N2035" s="8" t="s">
        <v>5512</v>
      </c>
      <c r="O2035" s="1" t="s">
        <v>5513</v>
      </c>
      <c r="P2035" s="5">
        <f>XLOOKUP(R2035, classification!C:C, classification!B:B, "Not Found")</f>
      </c>
      <c r="Q2035" s="1" t="s">
        <v>5514</v>
      </c>
      <c r="R2035" s="2"/>
      <c r="S2035" s="2"/>
      <c r="T2035" s="2"/>
      <c r="U2035" s="2"/>
    </row>
    <row x14ac:dyDescent="0.25" r="2036" customHeight="1" ht="17.25">
      <c r="A2036" s="7">
        <v>2035</v>
      </c>
      <c r="B2036" s="1" t="s">
        <v>7429</v>
      </c>
      <c r="C2036" s="5">
        <f>CONCATENATE("PD", TEXT(A2036, "1000000"))</f>
      </c>
      <c r="D2036" s="7">
        <v>76</v>
      </c>
      <c r="E2036" s="5">
        <f>XLOOKUP(G2036, item_category!C:C, item_category!B:B, "Not Found")</f>
      </c>
      <c r="F2036" s="1" t="s">
        <v>5632</v>
      </c>
      <c r="G2036" s="5">
        <f>XLOOKUP(I2036, drug!B:B, drug!A:A, "Not Found")</f>
      </c>
      <c r="H2036" s="1"/>
      <c r="I2036" s="7">
        <v>1</v>
      </c>
      <c r="J2036" s="5">
        <f>XLOOKUP(L2036, uom!C:C, uom!B:B, "Not Found")</f>
      </c>
      <c r="K2036" s="1" t="s">
        <v>5511</v>
      </c>
      <c r="L2036" s="5">
        <f>XLOOKUP(N2036, uom!C:C, uom!B:B, "Not Found")</f>
      </c>
      <c r="M2036" s="1" t="s">
        <v>5511</v>
      </c>
      <c r="N2036" s="8" t="s">
        <v>5512</v>
      </c>
      <c r="O2036" s="1" t="s">
        <v>5513</v>
      </c>
      <c r="P2036" s="5">
        <f>XLOOKUP(R2036, classification!C:C, classification!B:B, "Not Found")</f>
      </c>
      <c r="Q2036" s="1" t="s">
        <v>5514</v>
      </c>
      <c r="R2036" s="2"/>
      <c r="S2036" s="2"/>
      <c r="T2036" s="2"/>
      <c r="U2036" s="2"/>
    </row>
    <row x14ac:dyDescent="0.25" r="2037" customHeight="1" ht="17.25">
      <c r="A2037" s="7">
        <v>2036</v>
      </c>
      <c r="B2037" s="1" t="s">
        <v>7430</v>
      </c>
      <c r="C2037" s="5">
        <f>CONCATENATE("PD", TEXT(A2037, "1000000"))</f>
      </c>
      <c r="D2037" s="7">
        <v>76</v>
      </c>
      <c r="E2037" s="5">
        <f>XLOOKUP(G2037, item_category!C:C, item_category!B:B, "Not Found")</f>
      </c>
      <c r="F2037" s="1" t="s">
        <v>5632</v>
      </c>
      <c r="G2037" s="5">
        <f>XLOOKUP(I2037, drug!B:B, drug!A:A, "Not Found")</f>
      </c>
      <c r="H2037" s="1"/>
      <c r="I2037" s="7">
        <v>1</v>
      </c>
      <c r="J2037" s="5">
        <f>XLOOKUP(L2037, uom!C:C, uom!B:B, "Not Found")</f>
      </c>
      <c r="K2037" s="1" t="s">
        <v>5511</v>
      </c>
      <c r="L2037" s="5">
        <f>XLOOKUP(N2037, uom!C:C, uom!B:B, "Not Found")</f>
      </c>
      <c r="M2037" s="1" t="s">
        <v>5511</v>
      </c>
      <c r="N2037" s="8" t="s">
        <v>5512</v>
      </c>
      <c r="O2037" s="1" t="s">
        <v>5513</v>
      </c>
      <c r="P2037" s="5">
        <f>XLOOKUP(R2037, classification!C:C, classification!B:B, "Not Found")</f>
      </c>
      <c r="Q2037" s="1" t="s">
        <v>5514</v>
      </c>
      <c r="R2037" s="2"/>
      <c r="S2037" s="2"/>
      <c r="T2037" s="2"/>
      <c r="U2037" s="2"/>
    </row>
    <row x14ac:dyDescent="0.25" r="2038" customHeight="1" ht="17.25">
      <c r="A2038" s="7">
        <v>2037</v>
      </c>
      <c r="B2038" s="1" t="s">
        <v>7431</v>
      </c>
      <c r="C2038" s="5">
        <f>CONCATENATE("PD", TEXT(A2038, "1000000"))</f>
      </c>
      <c r="D2038" s="7">
        <v>76</v>
      </c>
      <c r="E2038" s="5">
        <f>XLOOKUP(G2038, item_category!C:C, item_category!B:B, "Not Found")</f>
      </c>
      <c r="F2038" s="1" t="s">
        <v>5632</v>
      </c>
      <c r="G2038" s="5">
        <f>XLOOKUP(I2038, drug!B:B, drug!A:A, "Not Found")</f>
      </c>
      <c r="H2038" s="1"/>
      <c r="I2038" s="7">
        <v>1</v>
      </c>
      <c r="J2038" s="5">
        <f>XLOOKUP(L2038, uom!C:C, uom!B:B, "Not Found")</f>
      </c>
      <c r="K2038" s="1" t="s">
        <v>5511</v>
      </c>
      <c r="L2038" s="5">
        <f>XLOOKUP(N2038, uom!C:C, uom!B:B, "Not Found")</f>
      </c>
      <c r="M2038" s="1" t="s">
        <v>5511</v>
      </c>
      <c r="N2038" s="8" t="s">
        <v>5512</v>
      </c>
      <c r="O2038" s="1" t="s">
        <v>5513</v>
      </c>
      <c r="P2038" s="5">
        <f>XLOOKUP(R2038, classification!C:C, classification!B:B, "Not Found")</f>
      </c>
      <c r="Q2038" s="1" t="s">
        <v>5514</v>
      </c>
      <c r="R2038" s="2"/>
      <c r="S2038" s="2"/>
      <c r="T2038" s="2"/>
      <c r="U2038" s="2"/>
    </row>
    <row x14ac:dyDescent="0.25" r="2039" customHeight="1" ht="17.25">
      <c r="A2039" s="7">
        <v>2038</v>
      </c>
      <c r="B2039" s="1" t="s">
        <v>7432</v>
      </c>
      <c r="C2039" s="5">
        <f>CONCATENATE("PD", TEXT(A2039, "1000000"))</f>
      </c>
      <c r="D2039" s="7">
        <v>76</v>
      </c>
      <c r="E2039" s="5">
        <f>XLOOKUP(G2039, item_category!C:C, item_category!B:B, "Not Found")</f>
      </c>
      <c r="F2039" s="1" t="s">
        <v>5632</v>
      </c>
      <c r="G2039" s="5">
        <f>XLOOKUP(I2039, drug!B:B, drug!A:A, "Not Found")</f>
      </c>
      <c r="H2039" s="1"/>
      <c r="I2039" s="7">
        <v>1</v>
      </c>
      <c r="J2039" s="5">
        <f>XLOOKUP(L2039, uom!C:C, uom!B:B, "Not Found")</f>
      </c>
      <c r="K2039" s="1" t="s">
        <v>5511</v>
      </c>
      <c r="L2039" s="5">
        <f>XLOOKUP(N2039, uom!C:C, uom!B:B, "Not Found")</f>
      </c>
      <c r="M2039" s="1" t="s">
        <v>5511</v>
      </c>
      <c r="N2039" s="8" t="s">
        <v>5512</v>
      </c>
      <c r="O2039" s="1" t="s">
        <v>5513</v>
      </c>
      <c r="P2039" s="5">
        <f>XLOOKUP(R2039, classification!C:C, classification!B:B, "Not Found")</f>
      </c>
      <c r="Q2039" s="1" t="s">
        <v>5514</v>
      </c>
      <c r="R2039" s="2"/>
      <c r="S2039" s="2"/>
      <c r="T2039" s="2"/>
      <c r="U2039" s="2"/>
    </row>
    <row x14ac:dyDescent="0.25" r="2040" customHeight="1" ht="17.25">
      <c r="A2040" s="7">
        <v>2039</v>
      </c>
      <c r="B2040" s="1" t="s">
        <v>7433</v>
      </c>
      <c r="C2040" s="5">
        <f>CONCATENATE("PD", TEXT(A2040, "1000000"))</f>
      </c>
      <c r="D2040" s="7">
        <v>76</v>
      </c>
      <c r="E2040" s="5">
        <f>XLOOKUP(G2040, item_category!C:C, item_category!B:B, "Not Found")</f>
      </c>
      <c r="F2040" s="1" t="s">
        <v>5632</v>
      </c>
      <c r="G2040" s="5">
        <f>XLOOKUP(I2040, drug!B:B, drug!A:A, "Not Found")</f>
      </c>
      <c r="H2040" s="1"/>
      <c r="I2040" s="7">
        <v>1</v>
      </c>
      <c r="J2040" s="5">
        <f>XLOOKUP(L2040, uom!C:C, uom!B:B, "Not Found")</f>
      </c>
      <c r="K2040" s="1" t="s">
        <v>5511</v>
      </c>
      <c r="L2040" s="5">
        <f>XLOOKUP(N2040, uom!C:C, uom!B:B, "Not Found")</f>
      </c>
      <c r="M2040" s="1" t="s">
        <v>5511</v>
      </c>
      <c r="N2040" s="8" t="s">
        <v>5512</v>
      </c>
      <c r="O2040" s="1" t="s">
        <v>5513</v>
      </c>
      <c r="P2040" s="5">
        <f>XLOOKUP(R2040, classification!C:C, classification!B:B, "Not Found")</f>
      </c>
      <c r="Q2040" s="1" t="s">
        <v>5514</v>
      </c>
      <c r="R2040" s="2"/>
      <c r="S2040" s="2"/>
      <c r="T2040" s="2"/>
      <c r="U2040" s="2"/>
    </row>
    <row x14ac:dyDescent="0.25" r="2041" customHeight="1" ht="17.25">
      <c r="A2041" s="7">
        <v>2040</v>
      </c>
      <c r="B2041" s="1" t="s">
        <v>7434</v>
      </c>
      <c r="C2041" s="5">
        <f>CONCATENATE("PD", TEXT(A2041, "1000000"))</f>
      </c>
      <c r="D2041" s="7">
        <v>76</v>
      </c>
      <c r="E2041" s="5">
        <f>XLOOKUP(G2041, item_category!C:C, item_category!B:B, "Not Found")</f>
      </c>
      <c r="F2041" s="1" t="s">
        <v>5632</v>
      </c>
      <c r="G2041" s="5">
        <f>XLOOKUP(I2041, drug!B:B, drug!A:A, "Not Found")</f>
      </c>
      <c r="H2041" s="1"/>
      <c r="I2041" s="7">
        <v>1</v>
      </c>
      <c r="J2041" s="5">
        <f>XLOOKUP(L2041, uom!C:C, uom!B:B, "Not Found")</f>
      </c>
      <c r="K2041" s="1" t="s">
        <v>5511</v>
      </c>
      <c r="L2041" s="5">
        <f>XLOOKUP(N2041, uom!C:C, uom!B:B, "Not Found")</f>
      </c>
      <c r="M2041" s="1" t="s">
        <v>5511</v>
      </c>
      <c r="N2041" s="8" t="s">
        <v>5512</v>
      </c>
      <c r="O2041" s="1" t="s">
        <v>5513</v>
      </c>
      <c r="P2041" s="5">
        <f>XLOOKUP(R2041, classification!C:C, classification!B:B, "Not Found")</f>
      </c>
      <c r="Q2041" s="1" t="s">
        <v>5514</v>
      </c>
      <c r="R2041" s="2"/>
      <c r="S2041" s="2"/>
      <c r="T2041" s="2"/>
      <c r="U2041" s="2"/>
    </row>
    <row x14ac:dyDescent="0.25" r="2042" customHeight="1" ht="17.25">
      <c r="A2042" s="7">
        <v>2041</v>
      </c>
      <c r="B2042" s="1" t="s">
        <v>7435</v>
      </c>
      <c r="C2042" s="5">
        <f>CONCATENATE("PD", TEXT(A2042, "1000000"))</f>
      </c>
      <c r="D2042" s="7">
        <v>76</v>
      </c>
      <c r="E2042" s="5">
        <f>XLOOKUP(G2042, item_category!C:C, item_category!B:B, "Not Found")</f>
      </c>
      <c r="F2042" s="1" t="s">
        <v>5632</v>
      </c>
      <c r="G2042" s="5">
        <f>XLOOKUP(I2042, drug!B:B, drug!A:A, "Not Found")</f>
      </c>
      <c r="H2042" s="1"/>
      <c r="I2042" s="7">
        <v>1</v>
      </c>
      <c r="J2042" s="5">
        <f>XLOOKUP(L2042, uom!C:C, uom!B:B, "Not Found")</f>
      </c>
      <c r="K2042" s="1" t="s">
        <v>5511</v>
      </c>
      <c r="L2042" s="5">
        <f>XLOOKUP(N2042, uom!C:C, uom!B:B, "Not Found")</f>
      </c>
      <c r="M2042" s="1" t="s">
        <v>5511</v>
      </c>
      <c r="N2042" s="8" t="s">
        <v>5512</v>
      </c>
      <c r="O2042" s="1" t="s">
        <v>5513</v>
      </c>
      <c r="P2042" s="5">
        <f>XLOOKUP(R2042, classification!C:C, classification!B:B, "Not Found")</f>
      </c>
      <c r="Q2042" s="1" t="s">
        <v>5514</v>
      </c>
      <c r="R2042" s="2"/>
      <c r="S2042" s="2"/>
      <c r="T2042" s="2"/>
      <c r="U2042" s="2"/>
    </row>
    <row x14ac:dyDescent="0.25" r="2043" customHeight="1" ht="17.25">
      <c r="A2043" s="7">
        <v>2042</v>
      </c>
      <c r="B2043" s="1" t="s">
        <v>3090</v>
      </c>
      <c r="C2043" s="5">
        <f>CONCATENATE("PD", TEXT(A2043, "1000000"))</f>
      </c>
      <c r="D2043" s="7">
        <v>76</v>
      </c>
      <c r="E2043" s="5">
        <f>XLOOKUP(G2043, item_category!C:C, item_category!B:B, "Not Found")</f>
      </c>
      <c r="F2043" s="1" t="s">
        <v>5632</v>
      </c>
      <c r="G2043" s="5">
        <f>XLOOKUP(I2043, drug!B:B, drug!A:A, "Not Found")</f>
      </c>
      <c r="H2043" s="1"/>
      <c r="I2043" s="7">
        <v>1</v>
      </c>
      <c r="J2043" s="5">
        <f>XLOOKUP(L2043, uom!C:C, uom!B:B, "Not Found")</f>
      </c>
      <c r="K2043" s="1" t="s">
        <v>5511</v>
      </c>
      <c r="L2043" s="5">
        <f>XLOOKUP(N2043, uom!C:C, uom!B:B, "Not Found")</f>
      </c>
      <c r="M2043" s="1" t="s">
        <v>5511</v>
      </c>
      <c r="N2043" s="8" t="s">
        <v>5512</v>
      </c>
      <c r="O2043" s="1" t="s">
        <v>5513</v>
      </c>
      <c r="P2043" s="5">
        <f>XLOOKUP(R2043, classification!C:C, classification!B:B, "Not Found")</f>
      </c>
      <c r="Q2043" s="1" t="s">
        <v>5514</v>
      </c>
      <c r="R2043" s="2"/>
      <c r="S2043" s="2"/>
      <c r="T2043" s="2"/>
      <c r="U2043" s="2"/>
    </row>
    <row x14ac:dyDescent="0.25" r="2044" customHeight="1" ht="17.25">
      <c r="A2044" s="7">
        <v>2043</v>
      </c>
      <c r="B2044" s="1" t="s">
        <v>7436</v>
      </c>
      <c r="C2044" s="5">
        <f>CONCATENATE("PD", TEXT(A2044, "1000000"))</f>
      </c>
      <c r="D2044" s="7">
        <v>76</v>
      </c>
      <c r="E2044" s="5">
        <f>XLOOKUP(G2044, item_category!C:C, item_category!B:B, "Not Found")</f>
      </c>
      <c r="F2044" s="1" t="s">
        <v>5632</v>
      </c>
      <c r="G2044" s="5">
        <f>XLOOKUP(I2044, drug!B:B, drug!A:A, "Not Found")</f>
      </c>
      <c r="H2044" s="1"/>
      <c r="I2044" s="7">
        <v>1</v>
      </c>
      <c r="J2044" s="5">
        <f>XLOOKUP(L2044, uom!C:C, uom!B:B, "Not Found")</f>
      </c>
      <c r="K2044" s="1" t="s">
        <v>5511</v>
      </c>
      <c r="L2044" s="5">
        <f>XLOOKUP(N2044, uom!C:C, uom!B:B, "Not Found")</f>
      </c>
      <c r="M2044" s="1" t="s">
        <v>5511</v>
      </c>
      <c r="N2044" s="8" t="s">
        <v>5512</v>
      </c>
      <c r="O2044" s="1" t="s">
        <v>5513</v>
      </c>
      <c r="P2044" s="5">
        <f>XLOOKUP(R2044, classification!C:C, classification!B:B, "Not Found")</f>
      </c>
      <c r="Q2044" s="1" t="s">
        <v>5514</v>
      </c>
      <c r="R2044" s="2"/>
      <c r="S2044" s="2"/>
      <c r="T2044" s="2"/>
      <c r="U2044" s="2"/>
    </row>
    <row x14ac:dyDescent="0.25" r="2045" customHeight="1" ht="17.25">
      <c r="A2045" s="7">
        <v>2044</v>
      </c>
      <c r="B2045" s="1" t="s">
        <v>7437</v>
      </c>
      <c r="C2045" s="5">
        <f>CONCATENATE("PD", TEXT(A2045, "1000000"))</f>
      </c>
      <c r="D2045" s="7">
        <v>76</v>
      </c>
      <c r="E2045" s="5">
        <f>XLOOKUP(G2045, item_category!C:C, item_category!B:B, "Not Found")</f>
      </c>
      <c r="F2045" s="1" t="s">
        <v>5632</v>
      </c>
      <c r="G2045" s="5">
        <f>XLOOKUP(I2045, drug!B:B, drug!A:A, "Not Found")</f>
      </c>
      <c r="H2045" s="1"/>
      <c r="I2045" s="7">
        <v>1</v>
      </c>
      <c r="J2045" s="5">
        <f>XLOOKUP(L2045, uom!C:C, uom!B:B, "Not Found")</f>
      </c>
      <c r="K2045" s="1" t="s">
        <v>5511</v>
      </c>
      <c r="L2045" s="5">
        <f>XLOOKUP(N2045, uom!C:C, uom!B:B, "Not Found")</f>
      </c>
      <c r="M2045" s="1" t="s">
        <v>5511</v>
      </c>
      <c r="N2045" s="8" t="s">
        <v>5512</v>
      </c>
      <c r="O2045" s="1" t="s">
        <v>5513</v>
      </c>
      <c r="P2045" s="5">
        <f>XLOOKUP(R2045, classification!C:C, classification!B:B, "Not Found")</f>
      </c>
      <c r="Q2045" s="1" t="s">
        <v>5514</v>
      </c>
      <c r="R2045" s="2"/>
      <c r="S2045" s="2"/>
      <c r="T2045" s="2"/>
      <c r="U2045" s="2"/>
    </row>
    <row x14ac:dyDescent="0.25" r="2046" customHeight="1" ht="17.25">
      <c r="A2046" s="7">
        <v>2045</v>
      </c>
      <c r="B2046" s="1" t="s">
        <v>7438</v>
      </c>
      <c r="C2046" s="5">
        <f>CONCATENATE("PD", TEXT(A2046, "1000000"))</f>
      </c>
      <c r="D2046" s="7">
        <v>76</v>
      </c>
      <c r="E2046" s="5">
        <f>XLOOKUP(G2046, item_category!C:C, item_category!B:B, "Not Found")</f>
      </c>
      <c r="F2046" s="1" t="s">
        <v>5632</v>
      </c>
      <c r="G2046" s="5">
        <f>XLOOKUP(I2046, drug!B:B, drug!A:A, "Not Found")</f>
      </c>
      <c r="H2046" s="1"/>
      <c r="I2046" s="7">
        <v>1</v>
      </c>
      <c r="J2046" s="5">
        <f>XLOOKUP(L2046, uom!C:C, uom!B:B, "Not Found")</f>
      </c>
      <c r="K2046" s="1" t="s">
        <v>5511</v>
      </c>
      <c r="L2046" s="5">
        <f>XLOOKUP(N2046, uom!C:C, uom!B:B, "Not Found")</f>
      </c>
      <c r="M2046" s="1" t="s">
        <v>5511</v>
      </c>
      <c r="N2046" s="8" t="s">
        <v>5512</v>
      </c>
      <c r="O2046" s="1" t="s">
        <v>5513</v>
      </c>
      <c r="P2046" s="5">
        <f>XLOOKUP(R2046, classification!C:C, classification!B:B, "Not Found")</f>
      </c>
      <c r="Q2046" s="1" t="s">
        <v>5514</v>
      </c>
      <c r="R2046" s="2"/>
      <c r="S2046" s="2"/>
      <c r="T2046" s="2"/>
      <c r="U2046" s="2"/>
    </row>
    <row x14ac:dyDescent="0.25" r="2047" customHeight="1" ht="17.25">
      <c r="A2047" s="7">
        <v>2046</v>
      </c>
      <c r="B2047" s="1" t="s">
        <v>7439</v>
      </c>
      <c r="C2047" s="5">
        <f>CONCATENATE("PD", TEXT(A2047, "1000000"))</f>
      </c>
      <c r="D2047" s="7">
        <v>76</v>
      </c>
      <c r="E2047" s="5">
        <f>XLOOKUP(G2047, item_category!C:C, item_category!B:B, "Not Found")</f>
      </c>
      <c r="F2047" s="1" t="s">
        <v>5632</v>
      </c>
      <c r="G2047" s="5">
        <f>XLOOKUP(I2047, drug!B:B, drug!A:A, "Not Found")</f>
      </c>
      <c r="H2047" s="1"/>
      <c r="I2047" s="7">
        <v>1</v>
      </c>
      <c r="J2047" s="5">
        <f>XLOOKUP(L2047, uom!C:C, uom!B:B, "Not Found")</f>
      </c>
      <c r="K2047" s="1" t="s">
        <v>5511</v>
      </c>
      <c r="L2047" s="5">
        <f>XLOOKUP(N2047, uom!C:C, uom!B:B, "Not Found")</f>
      </c>
      <c r="M2047" s="1" t="s">
        <v>5511</v>
      </c>
      <c r="N2047" s="8" t="s">
        <v>5512</v>
      </c>
      <c r="O2047" s="1" t="s">
        <v>5513</v>
      </c>
      <c r="P2047" s="5">
        <f>XLOOKUP(R2047, classification!C:C, classification!B:B, "Not Found")</f>
      </c>
      <c r="Q2047" s="1" t="s">
        <v>5514</v>
      </c>
      <c r="R2047" s="2"/>
      <c r="S2047" s="2"/>
      <c r="T2047" s="2"/>
      <c r="U2047" s="2"/>
    </row>
    <row x14ac:dyDescent="0.25" r="2048" customHeight="1" ht="17.25">
      <c r="A2048" s="7">
        <v>2047</v>
      </c>
      <c r="B2048" s="1" t="s">
        <v>3094</v>
      </c>
      <c r="C2048" s="5">
        <f>CONCATENATE("PD", TEXT(A2048, "1000000"))</f>
      </c>
      <c r="D2048" s="7">
        <v>76</v>
      </c>
      <c r="E2048" s="5">
        <f>XLOOKUP(G2048, item_category!C:C, item_category!B:B, "Not Found")</f>
      </c>
      <c r="F2048" s="1" t="s">
        <v>5632</v>
      </c>
      <c r="G2048" s="5">
        <f>XLOOKUP(I2048, drug!B:B, drug!A:A, "Not Found")</f>
      </c>
      <c r="H2048" s="1"/>
      <c r="I2048" s="7">
        <v>1</v>
      </c>
      <c r="J2048" s="5">
        <f>XLOOKUP(L2048, uom!C:C, uom!B:B, "Not Found")</f>
      </c>
      <c r="K2048" s="1" t="s">
        <v>5511</v>
      </c>
      <c r="L2048" s="5">
        <f>XLOOKUP(N2048, uom!C:C, uom!B:B, "Not Found")</f>
      </c>
      <c r="M2048" s="1" t="s">
        <v>5511</v>
      </c>
      <c r="N2048" s="8" t="s">
        <v>5512</v>
      </c>
      <c r="O2048" s="1" t="s">
        <v>5513</v>
      </c>
      <c r="P2048" s="5">
        <f>XLOOKUP(R2048, classification!C:C, classification!B:B, "Not Found")</f>
      </c>
      <c r="Q2048" s="1" t="s">
        <v>5514</v>
      </c>
      <c r="R2048" s="2"/>
      <c r="S2048" s="2"/>
      <c r="T2048" s="2"/>
      <c r="U2048" s="2"/>
    </row>
    <row x14ac:dyDescent="0.25" r="2049" customHeight="1" ht="17.25">
      <c r="A2049" s="7">
        <v>2048</v>
      </c>
      <c r="B2049" s="1" t="s">
        <v>7440</v>
      </c>
      <c r="C2049" s="5">
        <f>CONCATENATE("PD", TEXT(A2049, "1000000"))</f>
      </c>
      <c r="D2049" s="7">
        <v>76</v>
      </c>
      <c r="E2049" s="5">
        <f>XLOOKUP(G2049, item_category!C:C, item_category!B:B, "Not Found")</f>
      </c>
      <c r="F2049" s="1" t="s">
        <v>5632</v>
      </c>
      <c r="G2049" s="5">
        <f>XLOOKUP(I2049, drug!B:B, drug!A:A, "Not Found")</f>
      </c>
      <c r="H2049" s="1"/>
      <c r="I2049" s="7">
        <v>1</v>
      </c>
      <c r="J2049" s="5">
        <f>XLOOKUP(L2049, uom!C:C, uom!B:B, "Not Found")</f>
      </c>
      <c r="K2049" s="1" t="s">
        <v>5511</v>
      </c>
      <c r="L2049" s="5">
        <f>XLOOKUP(N2049, uom!C:C, uom!B:B, "Not Found")</f>
      </c>
      <c r="M2049" s="1" t="s">
        <v>5511</v>
      </c>
      <c r="N2049" s="8" t="s">
        <v>5512</v>
      </c>
      <c r="O2049" s="1" t="s">
        <v>5513</v>
      </c>
      <c r="P2049" s="5">
        <f>XLOOKUP(R2049, classification!C:C, classification!B:B, "Not Found")</f>
      </c>
      <c r="Q2049" s="1" t="s">
        <v>5514</v>
      </c>
      <c r="R2049" s="2"/>
      <c r="S2049" s="2"/>
      <c r="T2049" s="2"/>
      <c r="U2049" s="2"/>
    </row>
    <row x14ac:dyDescent="0.25" r="2050" customHeight="1" ht="17.25">
      <c r="A2050" s="7">
        <v>2049</v>
      </c>
      <c r="B2050" s="1" t="s">
        <v>7441</v>
      </c>
      <c r="C2050" s="5">
        <f>CONCATENATE("PD", TEXT(A2050, "1000000"))</f>
      </c>
      <c r="D2050" s="7">
        <v>76</v>
      </c>
      <c r="E2050" s="5">
        <f>XLOOKUP(G2050, item_category!C:C, item_category!B:B, "Not Found")</f>
      </c>
      <c r="F2050" s="1" t="s">
        <v>5632</v>
      </c>
      <c r="G2050" s="5">
        <f>XLOOKUP(I2050, drug!B:B, drug!A:A, "Not Found")</f>
      </c>
      <c r="H2050" s="1"/>
      <c r="I2050" s="7">
        <v>1</v>
      </c>
      <c r="J2050" s="5">
        <f>XLOOKUP(L2050, uom!C:C, uom!B:B, "Not Found")</f>
      </c>
      <c r="K2050" s="1" t="s">
        <v>5511</v>
      </c>
      <c r="L2050" s="5">
        <f>XLOOKUP(N2050, uom!C:C, uom!B:B, "Not Found")</f>
      </c>
      <c r="M2050" s="1" t="s">
        <v>5511</v>
      </c>
      <c r="N2050" s="8" t="s">
        <v>5512</v>
      </c>
      <c r="O2050" s="1" t="s">
        <v>5513</v>
      </c>
      <c r="P2050" s="5">
        <f>XLOOKUP(R2050, classification!C:C, classification!B:B, "Not Found")</f>
      </c>
      <c r="Q2050" s="1" t="s">
        <v>5514</v>
      </c>
      <c r="R2050" s="2"/>
      <c r="S2050" s="2"/>
      <c r="T2050" s="2"/>
      <c r="U2050" s="2"/>
    </row>
    <row x14ac:dyDescent="0.25" r="2051" customHeight="1" ht="17.25">
      <c r="A2051" s="7">
        <v>2050</v>
      </c>
      <c r="B2051" s="1" t="s">
        <v>7442</v>
      </c>
      <c r="C2051" s="5">
        <f>CONCATENATE("PD", TEXT(A2051, "1000000"))</f>
      </c>
      <c r="D2051" s="7">
        <v>76</v>
      </c>
      <c r="E2051" s="5">
        <f>XLOOKUP(G2051, item_category!C:C, item_category!B:B, "Not Found")</f>
      </c>
      <c r="F2051" s="1" t="s">
        <v>5632</v>
      </c>
      <c r="G2051" s="5">
        <f>XLOOKUP(I2051, drug!B:B, drug!A:A, "Not Found")</f>
      </c>
      <c r="H2051" s="1"/>
      <c r="I2051" s="7">
        <v>1</v>
      </c>
      <c r="J2051" s="5">
        <f>XLOOKUP(L2051, uom!C:C, uom!B:B, "Not Found")</f>
      </c>
      <c r="K2051" s="1" t="s">
        <v>5511</v>
      </c>
      <c r="L2051" s="5">
        <f>XLOOKUP(N2051, uom!C:C, uom!B:B, "Not Found")</f>
      </c>
      <c r="M2051" s="1" t="s">
        <v>5511</v>
      </c>
      <c r="N2051" s="8" t="s">
        <v>5512</v>
      </c>
      <c r="O2051" s="1" t="s">
        <v>5513</v>
      </c>
      <c r="P2051" s="5">
        <f>XLOOKUP(R2051, classification!C:C, classification!B:B, "Not Found")</f>
      </c>
      <c r="Q2051" s="1" t="s">
        <v>5514</v>
      </c>
      <c r="R2051" s="2"/>
      <c r="S2051" s="2"/>
      <c r="T2051" s="2"/>
      <c r="U2051" s="2"/>
    </row>
    <row x14ac:dyDescent="0.25" r="2052" customHeight="1" ht="17.25">
      <c r="A2052" s="7">
        <v>2051</v>
      </c>
      <c r="B2052" s="1" t="s">
        <v>3100</v>
      </c>
      <c r="C2052" s="5">
        <f>CONCATENATE("PD", TEXT(A2052, "1000000"))</f>
      </c>
      <c r="D2052" s="7">
        <v>76</v>
      </c>
      <c r="E2052" s="5">
        <f>XLOOKUP(G2052, item_category!C:C, item_category!B:B, "Not Found")</f>
      </c>
      <c r="F2052" s="1" t="s">
        <v>5632</v>
      </c>
      <c r="G2052" s="5">
        <f>XLOOKUP(I2052, drug!B:B, drug!A:A, "Not Found")</f>
      </c>
      <c r="H2052" s="1"/>
      <c r="I2052" s="7">
        <v>1</v>
      </c>
      <c r="J2052" s="5">
        <f>XLOOKUP(L2052, uom!C:C, uom!B:B, "Not Found")</f>
      </c>
      <c r="K2052" s="1" t="s">
        <v>5511</v>
      </c>
      <c r="L2052" s="5">
        <f>XLOOKUP(N2052, uom!C:C, uom!B:B, "Not Found")</f>
      </c>
      <c r="M2052" s="1" t="s">
        <v>5511</v>
      </c>
      <c r="N2052" s="8" t="s">
        <v>5512</v>
      </c>
      <c r="O2052" s="1" t="s">
        <v>5513</v>
      </c>
      <c r="P2052" s="5">
        <f>XLOOKUP(R2052, classification!C:C, classification!B:B, "Not Found")</f>
      </c>
      <c r="Q2052" s="1" t="s">
        <v>5514</v>
      </c>
      <c r="R2052" s="2"/>
      <c r="S2052" s="2"/>
      <c r="T2052" s="2"/>
      <c r="U2052" s="2"/>
    </row>
    <row x14ac:dyDescent="0.25" r="2053" customHeight="1" ht="17.25">
      <c r="A2053" s="7">
        <v>2052</v>
      </c>
      <c r="B2053" s="1" t="s">
        <v>7443</v>
      </c>
      <c r="C2053" s="5">
        <f>CONCATENATE("PD", TEXT(A2053, "1000000"))</f>
      </c>
      <c r="D2053" s="7">
        <v>76</v>
      </c>
      <c r="E2053" s="5">
        <f>XLOOKUP(G2053, item_category!C:C, item_category!B:B, "Not Found")</f>
      </c>
      <c r="F2053" s="1" t="s">
        <v>5632</v>
      </c>
      <c r="G2053" s="5">
        <f>XLOOKUP(I2053, drug!B:B, drug!A:A, "Not Found")</f>
      </c>
      <c r="H2053" s="1"/>
      <c r="I2053" s="7">
        <v>1</v>
      </c>
      <c r="J2053" s="5">
        <f>XLOOKUP(L2053, uom!C:C, uom!B:B, "Not Found")</f>
      </c>
      <c r="K2053" s="1" t="s">
        <v>5511</v>
      </c>
      <c r="L2053" s="5">
        <f>XLOOKUP(N2053, uom!C:C, uom!B:B, "Not Found")</f>
      </c>
      <c r="M2053" s="1" t="s">
        <v>5511</v>
      </c>
      <c r="N2053" s="8" t="s">
        <v>5512</v>
      </c>
      <c r="O2053" s="1" t="s">
        <v>5513</v>
      </c>
      <c r="P2053" s="5">
        <f>XLOOKUP(R2053, classification!C:C, classification!B:B, "Not Found")</f>
      </c>
      <c r="Q2053" s="1" t="s">
        <v>5514</v>
      </c>
      <c r="R2053" s="2"/>
      <c r="S2053" s="2"/>
      <c r="T2053" s="2"/>
      <c r="U2053" s="2"/>
    </row>
    <row x14ac:dyDescent="0.25" r="2054" customHeight="1" ht="17.25">
      <c r="A2054" s="7">
        <v>2053</v>
      </c>
      <c r="B2054" s="1" t="s">
        <v>7444</v>
      </c>
      <c r="C2054" s="5">
        <f>CONCATENATE("PD", TEXT(A2054, "1000000"))</f>
      </c>
      <c r="D2054" s="7">
        <v>76</v>
      </c>
      <c r="E2054" s="5">
        <f>XLOOKUP(G2054, item_category!C:C, item_category!B:B, "Not Found")</f>
      </c>
      <c r="F2054" s="1" t="s">
        <v>5632</v>
      </c>
      <c r="G2054" s="5">
        <f>XLOOKUP(I2054, drug!B:B, drug!A:A, "Not Found")</f>
      </c>
      <c r="H2054" s="1"/>
      <c r="I2054" s="7">
        <v>1</v>
      </c>
      <c r="J2054" s="5">
        <f>XLOOKUP(L2054, uom!C:C, uom!B:B, "Not Found")</f>
      </c>
      <c r="K2054" s="1" t="s">
        <v>5511</v>
      </c>
      <c r="L2054" s="5">
        <f>XLOOKUP(N2054, uom!C:C, uom!B:B, "Not Found")</f>
      </c>
      <c r="M2054" s="1" t="s">
        <v>5511</v>
      </c>
      <c r="N2054" s="8" t="s">
        <v>5512</v>
      </c>
      <c r="O2054" s="1" t="s">
        <v>5513</v>
      </c>
      <c r="P2054" s="5">
        <f>XLOOKUP(R2054, classification!C:C, classification!B:B, "Not Found")</f>
      </c>
      <c r="Q2054" s="1" t="s">
        <v>5514</v>
      </c>
      <c r="R2054" s="2"/>
      <c r="S2054" s="2"/>
      <c r="T2054" s="2"/>
      <c r="U2054" s="2"/>
    </row>
    <row x14ac:dyDescent="0.25" r="2055" customHeight="1" ht="17.25">
      <c r="A2055" s="7">
        <v>2054</v>
      </c>
      <c r="B2055" s="1" t="s">
        <v>7445</v>
      </c>
      <c r="C2055" s="5">
        <f>CONCATENATE("PD", TEXT(A2055, "1000000"))</f>
      </c>
      <c r="D2055" s="7">
        <v>76</v>
      </c>
      <c r="E2055" s="5">
        <f>XLOOKUP(G2055, item_category!C:C, item_category!B:B, "Not Found")</f>
      </c>
      <c r="F2055" s="1" t="s">
        <v>5632</v>
      </c>
      <c r="G2055" s="5">
        <f>XLOOKUP(I2055, drug!B:B, drug!A:A, "Not Found")</f>
      </c>
      <c r="H2055" s="1"/>
      <c r="I2055" s="7">
        <v>1</v>
      </c>
      <c r="J2055" s="5">
        <f>XLOOKUP(L2055, uom!C:C, uom!B:B, "Not Found")</f>
      </c>
      <c r="K2055" s="1" t="s">
        <v>5511</v>
      </c>
      <c r="L2055" s="5">
        <f>XLOOKUP(N2055, uom!C:C, uom!B:B, "Not Found")</f>
      </c>
      <c r="M2055" s="1" t="s">
        <v>5511</v>
      </c>
      <c r="N2055" s="8" t="s">
        <v>5512</v>
      </c>
      <c r="O2055" s="1" t="s">
        <v>5513</v>
      </c>
      <c r="P2055" s="5">
        <f>XLOOKUP(R2055, classification!C:C, classification!B:B, "Not Found")</f>
      </c>
      <c r="Q2055" s="1" t="s">
        <v>5514</v>
      </c>
      <c r="R2055" s="2"/>
      <c r="S2055" s="2"/>
      <c r="T2055" s="2"/>
      <c r="U2055" s="2"/>
    </row>
    <row x14ac:dyDescent="0.25" r="2056" customHeight="1" ht="17.25">
      <c r="A2056" s="7">
        <v>2055</v>
      </c>
      <c r="B2056" s="1" t="s">
        <v>7446</v>
      </c>
      <c r="C2056" s="5">
        <f>CONCATENATE("PD", TEXT(A2056, "1000000"))</f>
      </c>
      <c r="D2056" s="7">
        <v>76</v>
      </c>
      <c r="E2056" s="5">
        <f>XLOOKUP(G2056, item_category!C:C, item_category!B:B, "Not Found")</f>
      </c>
      <c r="F2056" s="1" t="s">
        <v>5632</v>
      </c>
      <c r="G2056" s="5">
        <f>XLOOKUP(I2056, drug!B:B, drug!A:A, "Not Found")</f>
      </c>
      <c r="H2056" s="1"/>
      <c r="I2056" s="7">
        <v>1</v>
      </c>
      <c r="J2056" s="5">
        <f>XLOOKUP(L2056, uom!C:C, uom!B:B, "Not Found")</f>
      </c>
      <c r="K2056" s="1" t="s">
        <v>5511</v>
      </c>
      <c r="L2056" s="5">
        <f>XLOOKUP(N2056, uom!C:C, uom!B:B, "Not Found")</f>
      </c>
      <c r="M2056" s="1" t="s">
        <v>5511</v>
      </c>
      <c r="N2056" s="8" t="s">
        <v>5512</v>
      </c>
      <c r="O2056" s="1" t="s">
        <v>5513</v>
      </c>
      <c r="P2056" s="5">
        <f>XLOOKUP(R2056, classification!C:C, classification!B:B, "Not Found")</f>
      </c>
      <c r="Q2056" s="1" t="s">
        <v>5514</v>
      </c>
      <c r="R2056" s="2"/>
      <c r="S2056" s="2"/>
      <c r="T2056" s="2"/>
      <c r="U2056" s="2"/>
    </row>
    <row x14ac:dyDescent="0.25" r="2057" customHeight="1" ht="17.25">
      <c r="A2057" s="7">
        <v>2056</v>
      </c>
      <c r="B2057" s="1" t="s">
        <v>7446</v>
      </c>
      <c r="C2057" s="5">
        <f>CONCATENATE("PD", TEXT(A2057, "1000000"))</f>
      </c>
      <c r="D2057" s="7">
        <v>76</v>
      </c>
      <c r="E2057" s="5">
        <f>XLOOKUP(G2057, item_category!C:C, item_category!B:B, "Not Found")</f>
      </c>
      <c r="F2057" s="1" t="s">
        <v>5632</v>
      </c>
      <c r="G2057" s="5">
        <f>XLOOKUP(I2057, drug!B:B, drug!A:A, "Not Found")</f>
      </c>
      <c r="H2057" s="1"/>
      <c r="I2057" s="7">
        <v>1</v>
      </c>
      <c r="J2057" s="5">
        <f>XLOOKUP(L2057, uom!C:C, uom!B:B, "Not Found")</f>
      </c>
      <c r="K2057" s="1" t="s">
        <v>5511</v>
      </c>
      <c r="L2057" s="5">
        <f>XLOOKUP(N2057, uom!C:C, uom!B:B, "Not Found")</f>
      </c>
      <c r="M2057" s="1" t="s">
        <v>5511</v>
      </c>
      <c r="N2057" s="8" t="s">
        <v>5512</v>
      </c>
      <c r="O2057" s="1" t="s">
        <v>5513</v>
      </c>
      <c r="P2057" s="5">
        <f>XLOOKUP(R2057, classification!C:C, classification!B:B, "Not Found")</f>
      </c>
      <c r="Q2057" s="1" t="s">
        <v>5514</v>
      </c>
      <c r="R2057" s="2"/>
      <c r="S2057" s="2"/>
      <c r="T2057" s="2"/>
      <c r="U2057" s="2"/>
    </row>
    <row x14ac:dyDescent="0.25" r="2058" customHeight="1" ht="17.25">
      <c r="A2058" s="7">
        <v>2057</v>
      </c>
      <c r="B2058" s="1" t="s">
        <v>7446</v>
      </c>
      <c r="C2058" s="5">
        <f>CONCATENATE("PD", TEXT(A2058, "1000000"))</f>
      </c>
      <c r="D2058" s="7">
        <v>76</v>
      </c>
      <c r="E2058" s="5">
        <f>XLOOKUP(G2058, item_category!C:C, item_category!B:B, "Not Found")</f>
      </c>
      <c r="F2058" s="1" t="s">
        <v>5632</v>
      </c>
      <c r="G2058" s="5">
        <f>XLOOKUP(I2058, drug!B:B, drug!A:A, "Not Found")</f>
      </c>
      <c r="H2058" s="1"/>
      <c r="I2058" s="7">
        <v>1</v>
      </c>
      <c r="J2058" s="5">
        <f>XLOOKUP(L2058, uom!C:C, uom!B:B, "Not Found")</f>
      </c>
      <c r="K2058" s="1" t="s">
        <v>5511</v>
      </c>
      <c r="L2058" s="5">
        <f>XLOOKUP(N2058, uom!C:C, uom!B:B, "Not Found")</f>
      </c>
      <c r="M2058" s="1" t="s">
        <v>5511</v>
      </c>
      <c r="N2058" s="8" t="s">
        <v>5512</v>
      </c>
      <c r="O2058" s="1" t="s">
        <v>5513</v>
      </c>
      <c r="P2058" s="5">
        <f>XLOOKUP(R2058, classification!C:C, classification!B:B, "Not Found")</f>
      </c>
      <c r="Q2058" s="1" t="s">
        <v>5514</v>
      </c>
      <c r="R2058" s="2"/>
      <c r="S2058" s="2"/>
      <c r="T2058" s="2"/>
      <c r="U2058" s="2"/>
    </row>
    <row x14ac:dyDescent="0.25" r="2059" customHeight="1" ht="17.25">
      <c r="A2059" s="7">
        <v>2058</v>
      </c>
      <c r="B2059" s="1" t="s">
        <v>7447</v>
      </c>
      <c r="C2059" s="5">
        <f>CONCATENATE("PD", TEXT(A2059, "1000000"))</f>
      </c>
      <c r="D2059" s="7">
        <v>76</v>
      </c>
      <c r="E2059" s="5">
        <f>XLOOKUP(G2059, item_category!C:C, item_category!B:B, "Not Found")</f>
      </c>
      <c r="F2059" s="1" t="s">
        <v>5632</v>
      </c>
      <c r="G2059" s="5">
        <f>XLOOKUP(I2059, drug!B:B, drug!A:A, "Not Found")</f>
      </c>
      <c r="H2059" s="1"/>
      <c r="I2059" s="7">
        <v>1</v>
      </c>
      <c r="J2059" s="5">
        <f>XLOOKUP(L2059, uom!C:C, uom!B:B, "Not Found")</f>
      </c>
      <c r="K2059" s="1" t="s">
        <v>5511</v>
      </c>
      <c r="L2059" s="5">
        <f>XLOOKUP(N2059, uom!C:C, uom!B:B, "Not Found")</f>
      </c>
      <c r="M2059" s="1" t="s">
        <v>5511</v>
      </c>
      <c r="N2059" s="8" t="s">
        <v>5512</v>
      </c>
      <c r="O2059" s="1" t="s">
        <v>5513</v>
      </c>
      <c r="P2059" s="5">
        <f>XLOOKUP(R2059, classification!C:C, classification!B:B, "Not Found")</f>
      </c>
      <c r="Q2059" s="1" t="s">
        <v>5514</v>
      </c>
      <c r="R2059" s="2"/>
      <c r="S2059" s="2"/>
      <c r="T2059" s="2"/>
      <c r="U2059" s="2"/>
    </row>
    <row x14ac:dyDescent="0.25" r="2060" customHeight="1" ht="17.25">
      <c r="A2060" s="7">
        <v>2059</v>
      </c>
      <c r="B2060" s="1" t="s">
        <v>7448</v>
      </c>
      <c r="C2060" s="5">
        <f>CONCATENATE("PD", TEXT(A2060, "1000000"))</f>
      </c>
      <c r="D2060" s="7">
        <v>76</v>
      </c>
      <c r="E2060" s="5">
        <f>XLOOKUP(G2060, item_category!C:C, item_category!B:B, "Not Found")</f>
      </c>
      <c r="F2060" s="1" t="s">
        <v>5632</v>
      </c>
      <c r="G2060" s="5">
        <f>XLOOKUP(I2060, drug!B:B, drug!A:A, "Not Found")</f>
      </c>
      <c r="H2060" s="1"/>
      <c r="I2060" s="7">
        <v>1</v>
      </c>
      <c r="J2060" s="5">
        <f>XLOOKUP(L2060, uom!C:C, uom!B:B, "Not Found")</f>
      </c>
      <c r="K2060" s="1" t="s">
        <v>5511</v>
      </c>
      <c r="L2060" s="5">
        <f>XLOOKUP(N2060, uom!C:C, uom!B:B, "Not Found")</f>
      </c>
      <c r="M2060" s="1" t="s">
        <v>5511</v>
      </c>
      <c r="N2060" s="8" t="s">
        <v>5512</v>
      </c>
      <c r="O2060" s="1" t="s">
        <v>5513</v>
      </c>
      <c r="P2060" s="5">
        <f>XLOOKUP(R2060, classification!C:C, classification!B:B, "Not Found")</f>
      </c>
      <c r="Q2060" s="1" t="s">
        <v>5514</v>
      </c>
      <c r="R2060" s="2"/>
      <c r="S2060" s="2"/>
      <c r="T2060" s="2"/>
      <c r="U2060" s="2"/>
    </row>
    <row x14ac:dyDescent="0.25" r="2061" customHeight="1" ht="17.25">
      <c r="A2061" s="7">
        <v>2060</v>
      </c>
      <c r="B2061" s="1" t="s">
        <v>7449</v>
      </c>
      <c r="C2061" s="5">
        <f>CONCATENATE("PD", TEXT(A2061, "1000000"))</f>
      </c>
      <c r="D2061" s="7">
        <v>76</v>
      </c>
      <c r="E2061" s="5">
        <f>XLOOKUP(G2061, item_category!C:C, item_category!B:B, "Not Found")</f>
      </c>
      <c r="F2061" s="1" t="s">
        <v>5632</v>
      </c>
      <c r="G2061" s="5">
        <f>XLOOKUP(I2061, drug!B:B, drug!A:A, "Not Found")</f>
      </c>
      <c r="H2061" s="1"/>
      <c r="I2061" s="7">
        <v>1</v>
      </c>
      <c r="J2061" s="5">
        <f>XLOOKUP(L2061, uom!C:C, uom!B:B, "Not Found")</f>
      </c>
      <c r="K2061" s="1" t="s">
        <v>5511</v>
      </c>
      <c r="L2061" s="5">
        <f>XLOOKUP(N2061, uom!C:C, uom!B:B, "Not Found")</f>
      </c>
      <c r="M2061" s="1" t="s">
        <v>5511</v>
      </c>
      <c r="N2061" s="8" t="s">
        <v>5512</v>
      </c>
      <c r="O2061" s="1" t="s">
        <v>5513</v>
      </c>
      <c r="P2061" s="5">
        <f>XLOOKUP(R2061, classification!C:C, classification!B:B, "Not Found")</f>
      </c>
      <c r="Q2061" s="1" t="s">
        <v>5514</v>
      </c>
      <c r="R2061" s="2"/>
      <c r="S2061" s="2"/>
      <c r="T2061" s="2"/>
      <c r="U2061" s="2"/>
    </row>
    <row x14ac:dyDescent="0.25" r="2062" customHeight="1" ht="17.25">
      <c r="A2062" s="7">
        <v>2061</v>
      </c>
      <c r="B2062" s="1" t="s">
        <v>7450</v>
      </c>
      <c r="C2062" s="5">
        <f>CONCATENATE("PD", TEXT(A2062, "1000000"))</f>
      </c>
      <c r="D2062" s="7">
        <v>76</v>
      </c>
      <c r="E2062" s="5">
        <f>XLOOKUP(G2062, item_category!C:C, item_category!B:B, "Not Found")</f>
      </c>
      <c r="F2062" s="1" t="s">
        <v>5632</v>
      </c>
      <c r="G2062" s="5">
        <f>XLOOKUP(I2062, drug!B:B, drug!A:A, "Not Found")</f>
      </c>
      <c r="H2062" s="1"/>
      <c r="I2062" s="7">
        <v>1</v>
      </c>
      <c r="J2062" s="5">
        <f>XLOOKUP(L2062, uom!C:C, uom!B:B, "Not Found")</f>
      </c>
      <c r="K2062" s="1" t="s">
        <v>5511</v>
      </c>
      <c r="L2062" s="5">
        <f>XLOOKUP(N2062, uom!C:C, uom!B:B, "Not Found")</f>
      </c>
      <c r="M2062" s="1" t="s">
        <v>5511</v>
      </c>
      <c r="N2062" s="8" t="s">
        <v>5512</v>
      </c>
      <c r="O2062" s="1" t="s">
        <v>5513</v>
      </c>
      <c r="P2062" s="5">
        <f>XLOOKUP(R2062, classification!C:C, classification!B:B, "Not Found")</f>
      </c>
      <c r="Q2062" s="1" t="s">
        <v>5514</v>
      </c>
      <c r="R2062" s="2"/>
      <c r="S2062" s="2"/>
      <c r="T2062" s="2"/>
      <c r="U2062" s="2"/>
    </row>
    <row x14ac:dyDescent="0.25" r="2063" customHeight="1" ht="17.25">
      <c r="A2063" s="7">
        <v>2062</v>
      </c>
      <c r="B2063" s="1" t="s">
        <v>7451</v>
      </c>
      <c r="C2063" s="5">
        <f>CONCATENATE("PD", TEXT(A2063, "1000000"))</f>
      </c>
      <c r="D2063" s="7">
        <v>76</v>
      </c>
      <c r="E2063" s="5">
        <f>XLOOKUP(G2063, item_category!C:C, item_category!B:B, "Not Found")</f>
      </c>
      <c r="F2063" s="1" t="s">
        <v>5632</v>
      </c>
      <c r="G2063" s="5">
        <f>XLOOKUP(I2063, drug!B:B, drug!A:A, "Not Found")</f>
      </c>
      <c r="H2063" s="1"/>
      <c r="I2063" s="7">
        <v>1</v>
      </c>
      <c r="J2063" s="5">
        <f>XLOOKUP(L2063, uom!C:C, uom!B:B, "Not Found")</f>
      </c>
      <c r="K2063" s="1" t="s">
        <v>5511</v>
      </c>
      <c r="L2063" s="5">
        <f>XLOOKUP(N2063, uom!C:C, uom!B:B, "Not Found")</f>
      </c>
      <c r="M2063" s="1" t="s">
        <v>5511</v>
      </c>
      <c r="N2063" s="8" t="s">
        <v>5512</v>
      </c>
      <c r="O2063" s="1" t="s">
        <v>5513</v>
      </c>
      <c r="P2063" s="5">
        <f>XLOOKUP(R2063, classification!C:C, classification!B:B, "Not Found")</f>
      </c>
      <c r="Q2063" s="1" t="s">
        <v>5514</v>
      </c>
      <c r="R2063" s="2"/>
      <c r="S2063" s="2"/>
      <c r="T2063" s="2"/>
      <c r="U2063" s="2"/>
    </row>
    <row x14ac:dyDescent="0.25" r="2064" customHeight="1" ht="17.25">
      <c r="A2064" s="7">
        <v>2063</v>
      </c>
      <c r="B2064" s="1" t="s">
        <v>7452</v>
      </c>
      <c r="C2064" s="5">
        <f>CONCATENATE("PD", TEXT(A2064, "1000000"))</f>
      </c>
      <c r="D2064" s="7">
        <v>76</v>
      </c>
      <c r="E2064" s="5">
        <f>XLOOKUP(G2064, item_category!C:C, item_category!B:B, "Not Found")</f>
      </c>
      <c r="F2064" s="1" t="s">
        <v>5632</v>
      </c>
      <c r="G2064" s="5">
        <f>XLOOKUP(I2064, drug!B:B, drug!A:A, "Not Found")</f>
      </c>
      <c r="H2064" s="1"/>
      <c r="I2064" s="7">
        <v>1</v>
      </c>
      <c r="J2064" s="5">
        <f>XLOOKUP(L2064, uom!C:C, uom!B:B, "Not Found")</f>
      </c>
      <c r="K2064" s="1" t="s">
        <v>5511</v>
      </c>
      <c r="L2064" s="5">
        <f>XLOOKUP(N2064, uom!C:C, uom!B:B, "Not Found")</f>
      </c>
      <c r="M2064" s="1" t="s">
        <v>5511</v>
      </c>
      <c r="N2064" s="8" t="s">
        <v>5512</v>
      </c>
      <c r="O2064" s="1" t="s">
        <v>5513</v>
      </c>
      <c r="P2064" s="5">
        <f>XLOOKUP(R2064, classification!C:C, classification!B:B, "Not Found")</f>
      </c>
      <c r="Q2064" s="1" t="s">
        <v>5514</v>
      </c>
      <c r="R2064" s="2"/>
      <c r="S2064" s="2"/>
      <c r="T2064" s="2"/>
      <c r="U2064" s="2"/>
    </row>
    <row x14ac:dyDescent="0.25" r="2065" customHeight="1" ht="17.25">
      <c r="A2065" s="7">
        <v>2064</v>
      </c>
      <c r="B2065" s="1" t="s">
        <v>7453</v>
      </c>
      <c r="C2065" s="5">
        <f>CONCATENATE("PD", TEXT(A2065, "1000000"))</f>
      </c>
      <c r="D2065" s="7">
        <v>76</v>
      </c>
      <c r="E2065" s="5">
        <f>XLOOKUP(G2065, item_category!C:C, item_category!B:B, "Not Found")</f>
      </c>
      <c r="F2065" s="1" t="s">
        <v>5632</v>
      </c>
      <c r="G2065" s="5">
        <f>XLOOKUP(I2065, drug!B:B, drug!A:A, "Not Found")</f>
      </c>
      <c r="H2065" s="1"/>
      <c r="I2065" s="7">
        <v>1</v>
      </c>
      <c r="J2065" s="5">
        <f>XLOOKUP(L2065, uom!C:C, uom!B:B, "Not Found")</f>
      </c>
      <c r="K2065" s="1" t="s">
        <v>5511</v>
      </c>
      <c r="L2065" s="5">
        <f>XLOOKUP(N2065, uom!C:C, uom!B:B, "Not Found")</f>
      </c>
      <c r="M2065" s="1" t="s">
        <v>5511</v>
      </c>
      <c r="N2065" s="8" t="s">
        <v>5512</v>
      </c>
      <c r="O2065" s="1" t="s">
        <v>5513</v>
      </c>
      <c r="P2065" s="5">
        <f>XLOOKUP(R2065, classification!C:C, classification!B:B, "Not Found")</f>
      </c>
      <c r="Q2065" s="1" t="s">
        <v>5514</v>
      </c>
      <c r="R2065" s="2"/>
      <c r="S2065" s="2"/>
      <c r="T2065" s="2"/>
      <c r="U2065" s="2"/>
    </row>
    <row x14ac:dyDescent="0.25" r="2066" customHeight="1" ht="17.25">
      <c r="A2066" s="7">
        <v>2065</v>
      </c>
      <c r="B2066" s="1" t="s">
        <v>3108</v>
      </c>
      <c r="C2066" s="5">
        <f>CONCATENATE("PD", TEXT(A2066, "1000000"))</f>
      </c>
      <c r="D2066" s="7">
        <v>76</v>
      </c>
      <c r="E2066" s="5">
        <f>XLOOKUP(G2066, item_category!C:C, item_category!B:B, "Not Found")</f>
      </c>
      <c r="F2066" s="1" t="s">
        <v>5632</v>
      </c>
      <c r="G2066" s="5">
        <f>XLOOKUP(I2066, drug!B:B, drug!A:A, "Not Found")</f>
      </c>
      <c r="H2066" s="1"/>
      <c r="I2066" s="7">
        <v>1</v>
      </c>
      <c r="J2066" s="5">
        <f>XLOOKUP(L2066, uom!C:C, uom!B:B, "Not Found")</f>
      </c>
      <c r="K2066" s="1" t="s">
        <v>5511</v>
      </c>
      <c r="L2066" s="5">
        <f>XLOOKUP(N2066, uom!C:C, uom!B:B, "Not Found")</f>
      </c>
      <c r="M2066" s="1" t="s">
        <v>5511</v>
      </c>
      <c r="N2066" s="8" t="s">
        <v>5512</v>
      </c>
      <c r="O2066" s="1" t="s">
        <v>5513</v>
      </c>
      <c r="P2066" s="5">
        <f>XLOOKUP(R2066, classification!C:C, classification!B:B, "Not Found")</f>
      </c>
      <c r="Q2066" s="1" t="s">
        <v>5514</v>
      </c>
      <c r="R2066" s="2"/>
      <c r="S2066" s="2"/>
      <c r="T2066" s="2"/>
      <c r="U2066" s="2"/>
    </row>
    <row x14ac:dyDescent="0.25" r="2067" customHeight="1" ht="17.25">
      <c r="A2067" s="7">
        <v>2066</v>
      </c>
      <c r="B2067" s="1" t="s">
        <v>7454</v>
      </c>
      <c r="C2067" s="5">
        <f>CONCATENATE("PD", TEXT(A2067, "1000000"))</f>
      </c>
      <c r="D2067" s="7">
        <v>76</v>
      </c>
      <c r="E2067" s="5">
        <f>XLOOKUP(G2067, item_category!C:C, item_category!B:B, "Not Found")</f>
      </c>
      <c r="F2067" s="1" t="s">
        <v>5632</v>
      </c>
      <c r="G2067" s="5">
        <f>XLOOKUP(I2067, drug!B:B, drug!A:A, "Not Found")</f>
      </c>
      <c r="H2067" s="1"/>
      <c r="I2067" s="7">
        <v>1</v>
      </c>
      <c r="J2067" s="5">
        <f>XLOOKUP(L2067, uom!C:C, uom!B:B, "Not Found")</f>
      </c>
      <c r="K2067" s="1" t="s">
        <v>5511</v>
      </c>
      <c r="L2067" s="5">
        <f>XLOOKUP(N2067, uom!C:C, uom!B:B, "Not Found")</f>
      </c>
      <c r="M2067" s="1" t="s">
        <v>5511</v>
      </c>
      <c r="N2067" s="8" t="s">
        <v>5512</v>
      </c>
      <c r="O2067" s="1" t="s">
        <v>5513</v>
      </c>
      <c r="P2067" s="5">
        <f>XLOOKUP(R2067, classification!C:C, classification!B:B, "Not Found")</f>
      </c>
      <c r="Q2067" s="1" t="s">
        <v>5514</v>
      </c>
      <c r="R2067" s="2"/>
      <c r="S2067" s="2"/>
      <c r="T2067" s="2"/>
      <c r="U2067" s="2"/>
    </row>
    <row x14ac:dyDescent="0.25" r="2068" customHeight="1" ht="17.25">
      <c r="A2068" s="7">
        <v>2067</v>
      </c>
      <c r="B2068" s="1" t="s">
        <v>3112</v>
      </c>
      <c r="C2068" s="5">
        <f>CONCATENATE("PD", TEXT(A2068, "1000000"))</f>
      </c>
      <c r="D2068" s="7">
        <v>76</v>
      </c>
      <c r="E2068" s="5">
        <f>XLOOKUP(G2068, item_category!C:C, item_category!B:B, "Not Found")</f>
      </c>
      <c r="F2068" s="1" t="s">
        <v>5632</v>
      </c>
      <c r="G2068" s="5">
        <f>XLOOKUP(I2068, drug!B:B, drug!A:A, "Not Found")</f>
      </c>
      <c r="H2068" s="1"/>
      <c r="I2068" s="7">
        <v>1</v>
      </c>
      <c r="J2068" s="5">
        <f>XLOOKUP(L2068, uom!C:C, uom!B:B, "Not Found")</f>
      </c>
      <c r="K2068" s="1" t="s">
        <v>5511</v>
      </c>
      <c r="L2068" s="5">
        <f>XLOOKUP(N2068, uom!C:C, uom!B:B, "Not Found")</f>
      </c>
      <c r="M2068" s="1" t="s">
        <v>5511</v>
      </c>
      <c r="N2068" s="8" t="s">
        <v>5512</v>
      </c>
      <c r="O2068" s="1" t="s">
        <v>5513</v>
      </c>
      <c r="P2068" s="5">
        <f>XLOOKUP(R2068, classification!C:C, classification!B:B, "Not Found")</f>
      </c>
      <c r="Q2068" s="1" t="s">
        <v>5514</v>
      </c>
      <c r="R2068" s="2"/>
      <c r="S2068" s="2"/>
      <c r="T2068" s="2"/>
      <c r="U2068" s="2"/>
    </row>
    <row x14ac:dyDescent="0.25" r="2069" customHeight="1" ht="17.25">
      <c r="A2069" s="7">
        <v>2068</v>
      </c>
      <c r="B2069" s="1" t="s">
        <v>7455</v>
      </c>
      <c r="C2069" s="5">
        <f>CONCATENATE("PD", TEXT(A2069, "1000000"))</f>
      </c>
      <c r="D2069" s="7">
        <v>76</v>
      </c>
      <c r="E2069" s="5">
        <f>XLOOKUP(G2069, item_category!C:C, item_category!B:B, "Not Found")</f>
      </c>
      <c r="F2069" s="1" t="s">
        <v>5632</v>
      </c>
      <c r="G2069" s="5">
        <f>XLOOKUP(I2069, drug!B:B, drug!A:A, "Not Found")</f>
      </c>
      <c r="H2069" s="1"/>
      <c r="I2069" s="7">
        <v>1</v>
      </c>
      <c r="J2069" s="5">
        <f>XLOOKUP(L2069, uom!C:C, uom!B:B, "Not Found")</f>
      </c>
      <c r="K2069" s="1" t="s">
        <v>5511</v>
      </c>
      <c r="L2069" s="5">
        <f>XLOOKUP(N2069, uom!C:C, uom!B:B, "Not Found")</f>
      </c>
      <c r="M2069" s="1" t="s">
        <v>5511</v>
      </c>
      <c r="N2069" s="8" t="s">
        <v>5512</v>
      </c>
      <c r="O2069" s="1" t="s">
        <v>5513</v>
      </c>
      <c r="P2069" s="5">
        <f>XLOOKUP(R2069, classification!C:C, classification!B:B, "Not Found")</f>
      </c>
      <c r="Q2069" s="1" t="s">
        <v>5514</v>
      </c>
      <c r="R2069" s="2"/>
      <c r="S2069" s="2"/>
      <c r="T2069" s="2"/>
      <c r="U2069" s="2"/>
    </row>
    <row x14ac:dyDescent="0.25" r="2070" customHeight="1" ht="17.25">
      <c r="A2070" s="7">
        <v>2069</v>
      </c>
      <c r="B2070" s="1" t="s">
        <v>7456</v>
      </c>
      <c r="C2070" s="5">
        <f>CONCATENATE("PD", TEXT(A2070, "1000000"))</f>
      </c>
      <c r="D2070" s="7">
        <v>76</v>
      </c>
      <c r="E2070" s="5">
        <f>XLOOKUP(G2070, item_category!C:C, item_category!B:B, "Not Found")</f>
      </c>
      <c r="F2070" s="1" t="s">
        <v>5632</v>
      </c>
      <c r="G2070" s="5">
        <f>XLOOKUP(I2070, drug!B:B, drug!A:A, "Not Found")</f>
      </c>
      <c r="H2070" s="1"/>
      <c r="I2070" s="7">
        <v>1</v>
      </c>
      <c r="J2070" s="5">
        <f>XLOOKUP(L2070, uom!C:C, uom!B:B, "Not Found")</f>
      </c>
      <c r="K2070" s="1" t="s">
        <v>5511</v>
      </c>
      <c r="L2070" s="5">
        <f>XLOOKUP(N2070, uom!C:C, uom!B:B, "Not Found")</f>
      </c>
      <c r="M2070" s="1" t="s">
        <v>5511</v>
      </c>
      <c r="N2070" s="8" t="s">
        <v>5512</v>
      </c>
      <c r="O2070" s="1" t="s">
        <v>5513</v>
      </c>
      <c r="P2070" s="5">
        <f>XLOOKUP(R2070, classification!C:C, classification!B:B, "Not Found")</f>
      </c>
      <c r="Q2070" s="1" t="s">
        <v>5514</v>
      </c>
      <c r="R2070" s="2"/>
      <c r="S2070" s="2"/>
      <c r="T2070" s="2"/>
      <c r="U2070" s="2"/>
    </row>
    <row x14ac:dyDescent="0.25" r="2071" customHeight="1" ht="17.25">
      <c r="A2071" s="7">
        <v>2070</v>
      </c>
      <c r="B2071" s="1" t="s">
        <v>7457</v>
      </c>
      <c r="C2071" s="5">
        <f>CONCATENATE("PD", TEXT(A2071, "1000000"))</f>
      </c>
      <c r="D2071" s="7">
        <v>76</v>
      </c>
      <c r="E2071" s="5">
        <f>XLOOKUP(G2071, item_category!C:C, item_category!B:B, "Not Found")</f>
      </c>
      <c r="F2071" s="1" t="s">
        <v>5632</v>
      </c>
      <c r="G2071" s="5">
        <f>XLOOKUP(I2071, drug!B:B, drug!A:A, "Not Found")</f>
      </c>
      <c r="H2071" s="1"/>
      <c r="I2071" s="7">
        <v>1</v>
      </c>
      <c r="J2071" s="5">
        <f>XLOOKUP(L2071, uom!C:C, uom!B:B, "Not Found")</f>
      </c>
      <c r="K2071" s="1" t="s">
        <v>5511</v>
      </c>
      <c r="L2071" s="5">
        <f>XLOOKUP(N2071, uom!C:C, uom!B:B, "Not Found")</f>
      </c>
      <c r="M2071" s="1" t="s">
        <v>5511</v>
      </c>
      <c r="N2071" s="8" t="s">
        <v>5512</v>
      </c>
      <c r="O2071" s="1" t="s">
        <v>5513</v>
      </c>
      <c r="P2071" s="5">
        <f>XLOOKUP(R2071, classification!C:C, classification!B:B, "Not Found")</f>
      </c>
      <c r="Q2071" s="1" t="s">
        <v>5514</v>
      </c>
      <c r="R2071" s="2"/>
      <c r="S2071" s="2"/>
      <c r="T2071" s="2"/>
      <c r="U2071" s="2"/>
    </row>
    <row x14ac:dyDescent="0.25" r="2072" customHeight="1" ht="17.25">
      <c r="A2072" s="7">
        <v>2071</v>
      </c>
      <c r="B2072" s="1" t="s">
        <v>7458</v>
      </c>
      <c r="C2072" s="5">
        <f>CONCATENATE("PD", TEXT(A2072, "1000000"))</f>
      </c>
      <c r="D2072" s="7">
        <v>76</v>
      </c>
      <c r="E2072" s="5">
        <f>XLOOKUP(G2072, item_category!C:C, item_category!B:B, "Not Found")</f>
      </c>
      <c r="F2072" s="1" t="s">
        <v>5632</v>
      </c>
      <c r="G2072" s="5">
        <f>XLOOKUP(I2072, drug!B:B, drug!A:A, "Not Found")</f>
      </c>
      <c r="H2072" s="1"/>
      <c r="I2072" s="7">
        <v>1</v>
      </c>
      <c r="J2072" s="5">
        <f>XLOOKUP(L2072, uom!C:C, uom!B:B, "Not Found")</f>
      </c>
      <c r="K2072" s="1" t="s">
        <v>5511</v>
      </c>
      <c r="L2072" s="5">
        <f>XLOOKUP(N2072, uom!C:C, uom!B:B, "Not Found")</f>
      </c>
      <c r="M2072" s="1" t="s">
        <v>5511</v>
      </c>
      <c r="N2072" s="8" t="s">
        <v>5512</v>
      </c>
      <c r="O2072" s="1" t="s">
        <v>5513</v>
      </c>
      <c r="P2072" s="5">
        <f>XLOOKUP(R2072, classification!C:C, classification!B:B, "Not Found")</f>
      </c>
      <c r="Q2072" s="1" t="s">
        <v>5514</v>
      </c>
      <c r="R2072" s="2"/>
      <c r="S2072" s="2"/>
      <c r="T2072" s="2"/>
      <c r="U2072" s="2"/>
    </row>
    <row x14ac:dyDescent="0.25" r="2073" customHeight="1" ht="17.25">
      <c r="A2073" s="7">
        <v>2072</v>
      </c>
      <c r="B2073" s="1" t="s">
        <v>7459</v>
      </c>
      <c r="C2073" s="5">
        <f>CONCATENATE("PD", TEXT(A2073, "1000000"))</f>
      </c>
      <c r="D2073" s="7">
        <v>76</v>
      </c>
      <c r="E2073" s="5">
        <f>XLOOKUP(G2073, item_category!C:C, item_category!B:B, "Not Found")</f>
      </c>
      <c r="F2073" s="1" t="s">
        <v>5632</v>
      </c>
      <c r="G2073" s="5">
        <f>XLOOKUP(I2073, drug!B:B, drug!A:A, "Not Found")</f>
      </c>
      <c r="H2073" s="1"/>
      <c r="I2073" s="7">
        <v>1</v>
      </c>
      <c r="J2073" s="5">
        <f>XLOOKUP(L2073, uom!C:C, uom!B:B, "Not Found")</f>
      </c>
      <c r="K2073" s="1" t="s">
        <v>5511</v>
      </c>
      <c r="L2073" s="5">
        <f>XLOOKUP(N2073, uom!C:C, uom!B:B, "Not Found")</f>
      </c>
      <c r="M2073" s="1" t="s">
        <v>5511</v>
      </c>
      <c r="N2073" s="8" t="s">
        <v>5512</v>
      </c>
      <c r="O2073" s="1" t="s">
        <v>5513</v>
      </c>
      <c r="P2073" s="5">
        <f>XLOOKUP(R2073, classification!C:C, classification!B:B, "Not Found")</f>
      </c>
      <c r="Q2073" s="1" t="s">
        <v>5514</v>
      </c>
      <c r="R2073" s="2"/>
      <c r="S2073" s="2"/>
      <c r="T2073" s="2"/>
      <c r="U2073" s="2"/>
    </row>
    <row x14ac:dyDescent="0.25" r="2074" customHeight="1" ht="17.25">
      <c r="A2074" s="7">
        <v>2073</v>
      </c>
      <c r="B2074" s="1" t="s">
        <v>3114</v>
      </c>
      <c r="C2074" s="5">
        <f>CONCATENATE("PD", TEXT(A2074, "1000000"))</f>
      </c>
      <c r="D2074" s="7">
        <v>76</v>
      </c>
      <c r="E2074" s="5">
        <f>XLOOKUP(G2074, item_category!C:C, item_category!B:B, "Not Found")</f>
      </c>
      <c r="F2074" s="1" t="s">
        <v>5632</v>
      </c>
      <c r="G2074" s="5">
        <f>XLOOKUP(I2074, drug!B:B, drug!A:A, "Not Found")</f>
      </c>
      <c r="H2074" s="1"/>
      <c r="I2074" s="7">
        <v>1</v>
      </c>
      <c r="J2074" s="5">
        <f>XLOOKUP(L2074, uom!C:C, uom!B:B, "Not Found")</f>
      </c>
      <c r="K2074" s="1" t="s">
        <v>5511</v>
      </c>
      <c r="L2074" s="5">
        <f>XLOOKUP(N2074, uom!C:C, uom!B:B, "Not Found")</f>
      </c>
      <c r="M2074" s="1" t="s">
        <v>5511</v>
      </c>
      <c r="N2074" s="8" t="s">
        <v>5512</v>
      </c>
      <c r="O2074" s="1" t="s">
        <v>5513</v>
      </c>
      <c r="P2074" s="5">
        <f>XLOOKUP(R2074, classification!C:C, classification!B:B, "Not Found")</f>
      </c>
      <c r="Q2074" s="1" t="s">
        <v>5514</v>
      </c>
      <c r="R2074" s="2"/>
      <c r="S2074" s="2"/>
      <c r="T2074" s="2"/>
      <c r="U2074" s="2"/>
    </row>
    <row x14ac:dyDescent="0.25" r="2075" customHeight="1" ht="17.25">
      <c r="A2075" s="7">
        <v>2074</v>
      </c>
      <c r="B2075" s="1" t="s">
        <v>7460</v>
      </c>
      <c r="C2075" s="5">
        <f>CONCATENATE("PD", TEXT(A2075, "1000000"))</f>
      </c>
      <c r="D2075" s="7">
        <v>76</v>
      </c>
      <c r="E2075" s="5">
        <f>XLOOKUP(G2075, item_category!C:C, item_category!B:B, "Not Found")</f>
      </c>
      <c r="F2075" s="1" t="s">
        <v>5632</v>
      </c>
      <c r="G2075" s="5">
        <f>XLOOKUP(I2075, drug!B:B, drug!A:A, "Not Found")</f>
      </c>
      <c r="H2075" s="1"/>
      <c r="I2075" s="7">
        <v>1</v>
      </c>
      <c r="J2075" s="5">
        <f>XLOOKUP(L2075, uom!C:C, uom!B:B, "Not Found")</f>
      </c>
      <c r="K2075" s="1" t="s">
        <v>5511</v>
      </c>
      <c r="L2075" s="5">
        <f>XLOOKUP(N2075, uom!C:C, uom!B:B, "Not Found")</f>
      </c>
      <c r="M2075" s="1" t="s">
        <v>5511</v>
      </c>
      <c r="N2075" s="8" t="s">
        <v>5512</v>
      </c>
      <c r="O2075" s="1" t="s">
        <v>5513</v>
      </c>
      <c r="P2075" s="5">
        <f>XLOOKUP(R2075, classification!C:C, classification!B:B, "Not Found")</f>
      </c>
      <c r="Q2075" s="1" t="s">
        <v>5514</v>
      </c>
      <c r="R2075" s="2"/>
      <c r="S2075" s="2"/>
      <c r="T2075" s="2"/>
      <c r="U2075" s="2"/>
    </row>
    <row x14ac:dyDescent="0.25" r="2076" customHeight="1" ht="17.25">
      <c r="A2076" s="7">
        <v>2075</v>
      </c>
      <c r="B2076" s="1" t="s">
        <v>7461</v>
      </c>
      <c r="C2076" s="5">
        <f>CONCATENATE("PD", TEXT(A2076, "1000000"))</f>
      </c>
      <c r="D2076" s="7">
        <v>76</v>
      </c>
      <c r="E2076" s="5">
        <f>XLOOKUP(G2076, item_category!C:C, item_category!B:B, "Not Found")</f>
      </c>
      <c r="F2076" s="1" t="s">
        <v>5632</v>
      </c>
      <c r="G2076" s="5">
        <f>XLOOKUP(I2076, drug!B:B, drug!A:A, "Not Found")</f>
      </c>
      <c r="H2076" s="1"/>
      <c r="I2076" s="7">
        <v>1</v>
      </c>
      <c r="J2076" s="5">
        <f>XLOOKUP(L2076, uom!C:C, uom!B:B, "Not Found")</f>
      </c>
      <c r="K2076" s="1" t="s">
        <v>5511</v>
      </c>
      <c r="L2076" s="5">
        <f>XLOOKUP(N2076, uom!C:C, uom!B:B, "Not Found")</f>
      </c>
      <c r="M2076" s="1" t="s">
        <v>5511</v>
      </c>
      <c r="N2076" s="8" t="s">
        <v>5512</v>
      </c>
      <c r="O2076" s="1" t="s">
        <v>5513</v>
      </c>
      <c r="P2076" s="5">
        <f>XLOOKUP(R2076, classification!C:C, classification!B:B, "Not Found")</f>
      </c>
      <c r="Q2076" s="1" t="s">
        <v>5514</v>
      </c>
      <c r="R2076" s="2"/>
      <c r="S2076" s="2"/>
      <c r="T2076" s="2"/>
      <c r="U2076" s="2"/>
    </row>
    <row x14ac:dyDescent="0.25" r="2077" customHeight="1" ht="17.25">
      <c r="A2077" s="7">
        <v>2076</v>
      </c>
      <c r="B2077" s="1" t="s">
        <v>3120</v>
      </c>
      <c r="C2077" s="5">
        <f>CONCATENATE("PD", TEXT(A2077, "1000000"))</f>
      </c>
      <c r="D2077" s="7">
        <v>76</v>
      </c>
      <c r="E2077" s="5">
        <f>XLOOKUP(G2077, item_category!C:C, item_category!B:B, "Not Found")</f>
      </c>
      <c r="F2077" s="1" t="s">
        <v>5632</v>
      </c>
      <c r="G2077" s="5">
        <f>XLOOKUP(I2077, drug!B:B, drug!A:A, "Not Found")</f>
      </c>
      <c r="H2077" s="1"/>
      <c r="I2077" s="7">
        <v>1</v>
      </c>
      <c r="J2077" s="5">
        <f>XLOOKUP(L2077, uom!C:C, uom!B:B, "Not Found")</f>
      </c>
      <c r="K2077" s="1" t="s">
        <v>5511</v>
      </c>
      <c r="L2077" s="5">
        <f>XLOOKUP(N2077, uom!C:C, uom!B:B, "Not Found")</f>
      </c>
      <c r="M2077" s="1" t="s">
        <v>5511</v>
      </c>
      <c r="N2077" s="8" t="s">
        <v>5512</v>
      </c>
      <c r="O2077" s="1" t="s">
        <v>5513</v>
      </c>
      <c r="P2077" s="5">
        <f>XLOOKUP(R2077, classification!C:C, classification!B:B, "Not Found")</f>
      </c>
      <c r="Q2077" s="1" t="s">
        <v>5514</v>
      </c>
      <c r="R2077" s="2"/>
      <c r="S2077" s="2"/>
      <c r="T2077" s="2"/>
      <c r="U2077" s="2"/>
    </row>
    <row x14ac:dyDescent="0.25" r="2078" customHeight="1" ht="17.25">
      <c r="A2078" s="7">
        <v>2077</v>
      </c>
      <c r="B2078" s="1" t="s">
        <v>7462</v>
      </c>
      <c r="C2078" s="5">
        <f>CONCATENATE("PD", TEXT(A2078, "1000000"))</f>
      </c>
      <c r="D2078" s="7">
        <v>76</v>
      </c>
      <c r="E2078" s="5">
        <f>XLOOKUP(G2078, item_category!C:C, item_category!B:B, "Not Found")</f>
      </c>
      <c r="F2078" s="1" t="s">
        <v>5632</v>
      </c>
      <c r="G2078" s="5">
        <f>XLOOKUP(I2078, drug!B:B, drug!A:A, "Not Found")</f>
      </c>
      <c r="H2078" s="1"/>
      <c r="I2078" s="7">
        <v>1</v>
      </c>
      <c r="J2078" s="5">
        <f>XLOOKUP(L2078, uom!C:C, uom!B:B, "Not Found")</f>
      </c>
      <c r="K2078" s="1" t="s">
        <v>5511</v>
      </c>
      <c r="L2078" s="5">
        <f>XLOOKUP(N2078, uom!C:C, uom!B:B, "Not Found")</f>
      </c>
      <c r="M2078" s="1" t="s">
        <v>5511</v>
      </c>
      <c r="N2078" s="8" t="s">
        <v>5512</v>
      </c>
      <c r="O2078" s="1" t="s">
        <v>5513</v>
      </c>
      <c r="P2078" s="5">
        <f>XLOOKUP(R2078, classification!C:C, classification!B:B, "Not Found")</f>
      </c>
      <c r="Q2078" s="1" t="s">
        <v>5514</v>
      </c>
      <c r="R2078" s="2"/>
      <c r="S2078" s="2"/>
      <c r="T2078" s="2"/>
      <c r="U2078" s="2"/>
    </row>
    <row x14ac:dyDescent="0.25" r="2079" customHeight="1" ht="17.25">
      <c r="A2079" s="7">
        <v>2078</v>
      </c>
      <c r="B2079" s="1" t="s">
        <v>3124</v>
      </c>
      <c r="C2079" s="5">
        <f>CONCATENATE("PD", TEXT(A2079, "1000000"))</f>
      </c>
      <c r="D2079" s="7">
        <v>76</v>
      </c>
      <c r="E2079" s="5">
        <f>XLOOKUP(G2079, item_category!C:C, item_category!B:B, "Not Found")</f>
      </c>
      <c r="F2079" s="1" t="s">
        <v>5632</v>
      </c>
      <c r="G2079" s="5">
        <f>XLOOKUP(I2079, drug!B:B, drug!A:A, "Not Found")</f>
      </c>
      <c r="H2079" s="1"/>
      <c r="I2079" s="7">
        <v>1</v>
      </c>
      <c r="J2079" s="5">
        <f>XLOOKUP(L2079, uom!C:C, uom!B:B, "Not Found")</f>
      </c>
      <c r="K2079" s="1" t="s">
        <v>5511</v>
      </c>
      <c r="L2079" s="5">
        <f>XLOOKUP(N2079, uom!C:C, uom!B:B, "Not Found")</f>
      </c>
      <c r="M2079" s="1" t="s">
        <v>5511</v>
      </c>
      <c r="N2079" s="8" t="s">
        <v>5512</v>
      </c>
      <c r="O2079" s="1" t="s">
        <v>5513</v>
      </c>
      <c r="P2079" s="5">
        <f>XLOOKUP(R2079, classification!C:C, classification!B:B, "Not Found")</f>
      </c>
      <c r="Q2079" s="1" t="s">
        <v>5514</v>
      </c>
      <c r="R2079" s="2"/>
      <c r="S2079" s="2"/>
      <c r="T2079" s="2"/>
      <c r="U2079" s="2"/>
    </row>
    <row x14ac:dyDescent="0.25" r="2080" customHeight="1" ht="17.25">
      <c r="A2080" s="7">
        <v>2079</v>
      </c>
      <c r="B2080" s="1" t="s">
        <v>7463</v>
      </c>
      <c r="C2080" s="5">
        <f>CONCATENATE("PD", TEXT(A2080, "1000000"))</f>
      </c>
      <c r="D2080" s="7">
        <v>76</v>
      </c>
      <c r="E2080" s="5">
        <f>XLOOKUP(G2080, item_category!C:C, item_category!B:B, "Not Found")</f>
      </c>
      <c r="F2080" s="1" t="s">
        <v>5632</v>
      </c>
      <c r="G2080" s="5">
        <f>XLOOKUP(I2080, drug!B:B, drug!A:A, "Not Found")</f>
      </c>
      <c r="H2080" s="1"/>
      <c r="I2080" s="7">
        <v>1</v>
      </c>
      <c r="J2080" s="5">
        <f>XLOOKUP(L2080, uom!C:C, uom!B:B, "Not Found")</f>
      </c>
      <c r="K2080" s="1" t="s">
        <v>5511</v>
      </c>
      <c r="L2080" s="5">
        <f>XLOOKUP(N2080, uom!C:C, uom!B:B, "Not Found")</f>
      </c>
      <c r="M2080" s="1" t="s">
        <v>5511</v>
      </c>
      <c r="N2080" s="8" t="s">
        <v>5512</v>
      </c>
      <c r="O2080" s="1" t="s">
        <v>5513</v>
      </c>
      <c r="P2080" s="5">
        <f>XLOOKUP(R2080, classification!C:C, classification!B:B, "Not Found")</f>
      </c>
      <c r="Q2080" s="1" t="s">
        <v>5514</v>
      </c>
      <c r="R2080" s="2"/>
      <c r="S2080" s="2"/>
      <c r="T2080" s="2"/>
      <c r="U2080" s="2"/>
    </row>
    <row x14ac:dyDescent="0.25" r="2081" customHeight="1" ht="17.25">
      <c r="A2081" s="7">
        <v>2080</v>
      </c>
      <c r="B2081" s="1" t="s">
        <v>7464</v>
      </c>
      <c r="C2081" s="5">
        <f>CONCATENATE("PD", TEXT(A2081, "1000000"))</f>
      </c>
      <c r="D2081" s="7">
        <v>76</v>
      </c>
      <c r="E2081" s="5">
        <f>XLOOKUP(G2081, item_category!C:C, item_category!B:B, "Not Found")</f>
      </c>
      <c r="F2081" s="1" t="s">
        <v>5632</v>
      </c>
      <c r="G2081" s="5">
        <f>XLOOKUP(I2081, drug!B:B, drug!A:A, "Not Found")</f>
      </c>
      <c r="H2081" s="1"/>
      <c r="I2081" s="7">
        <v>1</v>
      </c>
      <c r="J2081" s="5">
        <f>XLOOKUP(L2081, uom!C:C, uom!B:B, "Not Found")</f>
      </c>
      <c r="K2081" s="1" t="s">
        <v>5511</v>
      </c>
      <c r="L2081" s="5">
        <f>XLOOKUP(N2081, uom!C:C, uom!B:B, "Not Found")</f>
      </c>
      <c r="M2081" s="1" t="s">
        <v>5511</v>
      </c>
      <c r="N2081" s="8" t="s">
        <v>5512</v>
      </c>
      <c r="O2081" s="1" t="s">
        <v>5513</v>
      </c>
      <c r="P2081" s="5">
        <f>XLOOKUP(R2081, classification!C:C, classification!B:B, "Not Found")</f>
      </c>
      <c r="Q2081" s="1" t="s">
        <v>5514</v>
      </c>
      <c r="R2081" s="2"/>
      <c r="S2081" s="2"/>
      <c r="T2081" s="2"/>
      <c r="U2081" s="2"/>
    </row>
    <row x14ac:dyDescent="0.25" r="2082" customHeight="1" ht="17.25">
      <c r="A2082" s="7">
        <v>2081</v>
      </c>
      <c r="B2082" s="1" t="s">
        <v>7465</v>
      </c>
      <c r="C2082" s="5">
        <f>CONCATENATE("PD", TEXT(A2082, "1000000"))</f>
      </c>
      <c r="D2082" s="7">
        <v>76</v>
      </c>
      <c r="E2082" s="5">
        <f>XLOOKUP(G2082, item_category!C:C, item_category!B:B, "Not Found")</f>
      </c>
      <c r="F2082" s="1" t="s">
        <v>5632</v>
      </c>
      <c r="G2082" s="5">
        <f>XLOOKUP(I2082, drug!B:B, drug!A:A, "Not Found")</f>
      </c>
      <c r="H2082" s="1"/>
      <c r="I2082" s="7">
        <v>1</v>
      </c>
      <c r="J2082" s="5">
        <f>XLOOKUP(L2082, uom!C:C, uom!B:B, "Not Found")</f>
      </c>
      <c r="K2082" s="1" t="s">
        <v>5511</v>
      </c>
      <c r="L2082" s="5">
        <f>XLOOKUP(N2082, uom!C:C, uom!B:B, "Not Found")</f>
      </c>
      <c r="M2082" s="1" t="s">
        <v>5511</v>
      </c>
      <c r="N2082" s="8" t="s">
        <v>5512</v>
      </c>
      <c r="O2082" s="1" t="s">
        <v>5513</v>
      </c>
      <c r="P2082" s="5">
        <f>XLOOKUP(R2082, classification!C:C, classification!B:B, "Not Found")</f>
      </c>
      <c r="Q2082" s="1" t="s">
        <v>5514</v>
      </c>
      <c r="R2082" s="2"/>
      <c r="S2082" s="2"/>
      <c r="T2082" s="2"/>
      <c r="U2082" s="2"/>
    </row>
    <row x14ac:dyDescent="0.25" r="2083" customHeight="1" ht="17.25">
      <c r="A2083" s="7">
        <v>2082</v>
      </c>
      <c r="B2083" s="1" t="s">
        <v>7466</v>
      </c>
      <c r="C2083" s="5">
        <f>CONCATENATE("PD", TEXT(A2083, "1000000"))</f>
      </c>
      <c r="D2083" s="7">
        <v>76</v>
      </c>
      <c r="E2083" s="5">
        <f>XLOOKUP(G2083, item_category!C:C, item_category!B:B, "Not Found")</f>
      </c>
      <c r="F2083" s="1" t="s">
        <v>5632</v>
      </c>
      <c r="G2083" s="5">
        <f>XLOOKUP(I2083, drug!B:B, drug!A:A, "Not Found")</f>
      </c>
      <c r="H2083" s="1"/>
      <c r="I2083" s="7">
        <v>1</v>
      </c>
      <c r="J2083" s="5">
        <f>XLOOKUP(L2083, uom!C:C, uom!B:B, "Not Found")</f>
      </c>
      <c r="K2083" s="1" t="s">
        <v>5511</v>
      </c>
      <c r="L2083" s="5">
        <f>XLOOKUP(N2083, uom!C:C, uom!B:B, "Not Found")</f>
      </c>
      <c r="M2083" s="1" t="s">
        <v>5511</v>
      </c>
      <c r="N2083" s="8" t="s">
        <v>5512</v>
      </c>
      <c r="O2083" s="1" t="s">
        <v>5513</v>
      </c>
      <c r="P2083" s="5">
        <f>XLOOKUP(R2083, classification!C:C, classification!B:B, "Not Found")</f>
      </c>
      <c r="Q2083" s="1" t="s">
        <v>5514</v>
      </c>
      <c r="R2083" s="2"/>
      <c r="S2083" s="2"/>
      <c r="T2083" s="2"/>
      <c r="U2083" s="2"/>
    </row>
    <row x14ac:dyDescent="0.25" r="2084" customHeight="1" ht="17.25">
      <c r="A2084" s="7">
        <v>2083</v>
      </c>
      <c r="B2084" s="1" t="s">
        <v>7467</v>
      </c>
      <c r="C2084" s="5">
        <f>CONCATENATE("PD", TEXT(A2084, "1000000"))</f>
      </c>
      <c r="D2084" s="7">
        <v>76</v>
      </c>
      <c r="E2084" s="5">
        <f>XLOOKUP(G2084, item_category!C:C, item_category!B:B, "Not Found")</f>
      </c>
      <c r="F2084" s="1" t="s">
        <v>5632</v>
      </c>
      <c r="G2084" s="5">
        <f>XLOOKUP(I2084, drug!B:B, drug!A:A, "Not Found")</f>
      </c>
      <c r="H2084" s="1"/>
      <c r="I2084" s="7">
        <v>1</v>
      </c>
      <c r="J2084" s="5">
        <f>XLOOKUP(L2084, uom!C:C, uom!B:B, "Not Found")</f>
      </c>
      <c r="K2084" s="1" t="s">
        <v>5511</v>
      </c>
      <c r="L2084" s="5">
        <f>XLOOKUP(N2084, uom!C:C, uom!B:B, "Not Found")</f>
      </c>
      <c r="M2084" s="1" t="s">
        <v>5511</v>
      </c>
      <c r="N2084" s="8" t="s">
        <v>5512</v>
      </c>
      <c r="O2084" s="1" t="s">
        <v>5513</v>
      </c>
      <c r="P2084" s="5">
        <f>XLOOKUP(R2084, classification!C:C, classification!B:B, "Not Found")</f>
      </c>
      <c r="Q2084" s="1" t="s">
        <v>5514</v>
      </c>
      <c r="R2084" s="2"/>
      <c r="S2084" s="2"/>
      <c r="T2084" s="2"/>
      <c r="U2084" s="2"/>
    </row>
    <row x14ac:dyDescent="0.25" r="2085" customHeight="1" ht="17.25">
      <c r="A2085" s="7">
        <v>2084</v>
      </c>
      <c r="B2085" s="1" t="s">
        <v>7468</v>
      </c>
      <c r="C2085" s="5">
        <f>CONCATENATE("PD", TEXT(A2085, "1000000"))</f>
      </c>
      <c r="D2085" s="7">
        <v>76</v>
      </c>
      <c r="E2085" s="5">
        <f>XLOOKUP(G2085, item_category!C:C, item_category!B:B, "Not Found")</f>
      </c>
      <c r="F2085" s="1" t="s">
        <v>5632</v>
      </c>
      <c r="G2085" s="5">
        <f>XLOOKUP(I2085, drug!B:B, drug!A:A, "Not Found")</f>
      </c>
      <c r="H2085" s="1"/>
      <c r="I2085" s="7">
        <v>1</v>
      </c>
      <c r="J2085" s="5">
        <f>XLOOKUP(L2085, uom!C:C, uom!B:B, "Not Found")</f>
      </c>
      <c r="K2085" s="1" t="s">
        <v>5511</v>
      </c>
      <c r="L2085" s="5">
        <f>XLOOKUP(N2085, uom!C:C, uom!B:B, "Not Found")</f>
      </c>
      <c r="M2085" s="1" t="s">
        <v>5511</v>
      </c>
      <c r="N2085" s="8" t="s">
        <v>5512</v>
      </c>
      <c r="O2085" s="1" t="s">
        <v>5513</v>
      </c>
      <c r="P2085" s="5">
        <f>XLOOKUP(R2085, classification!C:C, classification!B:B, "Not Found")</f>
      </c>
      <c r="Q2085" s="1" t="s">
        <v>5514</v>
      </c>
      <c r="R2085" s="2"/>
      <c r="S2085" s="2"/>
      <c r="T2085" s="2"/>
      <c r="U2085" s="2"/>
    </row>
    <row x14ac:dyDescent="0.25" r="2086" customHeight="1" ht="17.25">
      <c r="A2086" s="7">
        <v>2085</v>
      </c>
      <c r="B2086" s="1" t="s">
        <v>7469</v>
      </c>
      <c r="C2086" s="5">
        <f>CONCATENATE("PD", TEXT(A2086, "1000000"))</f>
      </c>
      <c r="D2086" s="7">
        <v>76</v>
      </c>
      <c r="E2086" s="5">
        <f>XLOOKUP(G2086, item_category!C:C, item_category!B:B, "Not Found")</f>
      </c>
      <c r="F2086" s="1" t="s">
        <v>5632</v>
      </c>
      <c r="G2086" s="5">
        <f>XLOOKUP(I2086, drug!B:B, drug!A:A, "Not Found")</f>
      </c>
      <c r="H2086" s="1"/>
      <c r="I2086" s="7">
        <v>1</v>
      </c>
      <c r="J2086" s="5">
        <f>XLOOKUP(L2086, uom!C:C, uom!B:B, "Not Found")</f>
      </c>
      <c r="K2086" s="1" t="s">
        <v>5511</v>
      </c>
      <c r="L2086" s="5">
        <f>XLOOKUP(N2086, uom!C:C, uom!B:B, "Not Found")</f>
      </c>
      <c r="M2086" s="1" t="s">
        <v>5511</v>
      </c>
      <c r="N2086" s="8" t="s">
        <v>5512</v>
      </c>
      <c r="O2086" s="1" t="s">
        <v>5513</v>
      </c>
      <c r="P2086" s="5">
        <f>XLOOKUP(R2086, classification!C:C, classification!B:B, "Not Found")</f>
      </c>
      <c r="Q2086" s="1" t="s">
        <v>5514</v>
      </c>
      <c r="R2086" s="2"/>
      <c r="S2086" s="2"/>
      <c r="T2086" s="2"/>
      <c r="U2086" s="2"/>
    </row>
    <row x14ac:dyDescent="0.25" r="2087" customHeight="1" ht="17.25">
      <c r="A2087" s="7">
        <v>2086</v>
      </c>
      <c r="B2087" s="1" t="s">
        <v>3134</v>
      </c>
      <c r="C2087" s="5">
        <f>CONCATENATE("PD", TEXT(A2087, "1000000"))</f>
      </c>
      <c r="D2087" s="7">
        <v>76</v>
      </c>
      <c r="E2087" s="5">
        <f>XLOOKUP(G2087, item_category!C:C, item_category!B:B, "Not Found")</f>
      </c>
      <c r="F2087" s="1" t="s">
        <v>5632</v>
      </c>
      <c r="G2087" s="5">
        <f>XLOOKUP(I2087, drug!B:B, drug!A:A, "Not Found")</f>
      </c>
      <c r="H2087" s="1"/>
      <c r="I2087" s="7">
        <v>1</v>
      </c>
      <c r="J2087" s="5">
        <f>XLOOKUP(L2087, uom!C:C, uom!B:B, "Not Found")</f>
      </c>
      <c r="K2087" s="1" t="s">
        <v>5511</v>
      </c>
      <c r="L2087" s="5">
        <f>XLOOKUP(N2087, uom!C:C, uom!B:B, "Not Found")</f>
      </c>
      <c r="M2087" s="1" t="s">
        <v>5511</v>
      </c>
      <c r="N2087" s="8" t="s">
        <v>5512</v>
      </c>
      <c r="O2087" s="1" t="s">
        <v>5513</v>
      </c>
      <c r="P2087" s="5">
        <f>XLOOKUP(R2087, classification!C:C, classification!B:B, "Not Found")</f>
      </c>
      <c r="Q2087" s="1" t="s">
        <v>5514</v>
      </c>
      <c r="R2087" s="2"/>
      <c r="S2087" s="2"/>
      <c r="T2087" s="2"/>
      <c r="U2087" s="2"/>
    </row>
    <row x14ac:dyDescent="0.25" r="2088" customHeight="1" ht="17.25">
      <c r="A2088" s="7">
        <v>2087</v>
      </c>
      <c r="B2088" s="1" t="s">
        <v>7470</v>
      </c>
      <c r="C2088" s="5">
        <f>CONCATENATE("PD", TEXT(A2088, "1000000"))</f>
      </c>
      <c r="D2088" s="7">
        <v>76</v>
      </c>
      <c r="E2088" s="5">
        <f>XLOOKUP(G2088, item_category!C:C, item_category!B:B, "Not Found")</f>
      </c>
      <c r="F2088" s="1" t="s">
        <v>5632</v>
      </c>
      <c r="G2088" s="5">
        <f>XLOOKUP(I2088, drug!B:B, drug!A:A, "Not Found")</f>
      </c>
      <c r="H2088" s="1"/>
      <c r="I2088" s="7">
        <v>1</v>
      </c>
      <c r="J2088" s="5">
        <f>XLOOKUP(L2088, uom!C:C, uom!B:B, "Not Found")</f>
      </c>
      <c r="K2088" s="1" t="s">
        <v>5511</v>
      </c>
      <c r="L2088" s="5">
        <f>XLOOKUP(N2088, uom!C:C, uom!B:B, "Not Found")</f>
      </c>
      <c r="M2088" s="1" t="s">
        <v>5511</v>
      </c>
      <c r="N2088" s="8" t="s">
        <v>5512</v>
      </c>
      <c r="O2088" s="1" t="s">
        <v>5513</v>
      </c>
      <c r="P2088" s="5">
        <f>XLOOKUP(R2088, classification!C:C, classification!B:B, "Not Found")</f>
      </c>
      <c r="Q2088" s="1" t="s">
        <v>5514</v>
      </c>
      <c r="R2088" s="2"/>
      <c r="S2088" s="2"/>
      <c r="T2088" s="2"/>
      <c r="U2088" s="2"/>
    </row>
    <row x14ac:dyDescent="0.25" r="2089" customHeight="1" ht="17.25">
      <c r="A2089" s="7">
        <v>2088</v>
      </c>
      <c r="B2089" s="1" t="s">
        <v>7471</v>
      </c>
      <c r="C2089" s="5">
        <f>CONCATENATE("PD", TEXT(A2089, "1000000"))</f>
      </c>
      <c r="D2089" s="7">
        <v>76</v>
      </c>
      <c r="E2089" s="5">
        <f>XLOOKUP(G2089, item_category!C:C, item_category!B:B, "Not Found")</f>
      </c>
      <c r="F2089" s="1" t="s">
        <v>5632</v>
      </c>
      <c r="G2089" s="5">
        <f>XLOOKUP(I2089, drug!B:B, drug!A:A, "Not Found")</f>
      </c>
      <c r="H2089" s="1"/>
      <c r="I2089" s="7">
        <v>1</v>
      </c>
      <c r="J2089" s="5">
        <f>XLOOKUP(L2089, uom!C:C, uom!B:B, "Not Found")</f>
      </c>
      <c r="K2089" s="1" t="s">
        <v>5511</v>
      </c>
      <c r="L2089" s="5">
        <f>XLOOKUP(N2089, uom!C:C, uom!B:B, "Not Found")</f>
      </c>
      <c r="M2089" s="1" t="s">
        <v>5511</v>
      </c>
      <c r="N2089" s="8" t="s">
        <v>5512</v>
      </c>
      <c r="O2089" s="1" t="s">
        <v>5513</v>
      </c>
      <c r="P2089" s="5">
        <f>XLOOKUP(R2089, classification!C:C, classification!B:B, "Not Found")</f>
      </c>
      <c r="Q2089" s="1" t="s">
        <v>5514</v>
      </c>
      <c r="R2089" s="2"/>
      <c r="S2089" s="2"/>
      <c r="T2089" s="2"/>
      <c r="U2089" s="2"/>
    </row>
    <row x14ac:dyDescent="0.25" r="2090" customHeight="1" ht="17.25">
      <c r="A2090" s="7">
        <v>2089</v>
      </c>
      <c r="B2090" s="1" t="s">
        <v>7472</v>
      </c>
      <c r="C2090" s="5">
        <f>CONCATENATE("PD", TEXT(A2090, "1000000"))</f>
      </c>
      <c r="D2090" s="7">
        <v>76</v>
      </c>
      <c r="E2090" s="5">
        <f>XLOOKUP(G2090, item_category!C:C, item_category!B:B, "Not Found")</f>
      </c>
      <c r="F2090" s="1" t="s">
        <v>5632</v>
      </c>
      <c r="G2090" s="5">
        <f>XLOOKUP(I2090, drug!B:B, drug!A:A, "Not Found")</f>
      </c>
      <c r="H2090" s="1"/>
      <c r="I2090" s="7">
        <v>1</v>
      </c>
      <c r="J2090" s="5">
        <f>XLOOKUP(L2090, uom!C:C, uom!B:B, "Not Found")</f>
      </c>
      <c r="K2090" s="1" t="s">
        <v>5511</v>
      </c>
      <c r="L2090" s="5">
        <f>XLOOKUP(N2090, uom!C:C, uom!B:B, "Not Found")</f>
      </c>
      <c r="M2090" s="1" t="s">
        <v>5511</v>
      </c>
      <c r="N2090" s="8" t="s">
        <v>5512</v>
      </c>
      <c r="O2090" s="1" t="s">
        <v>5513</v>
      </c>
      <c r="P2090" s="5">
        <f>XLOOKUP(R2090, classification!C:C, classification!B:B, "Not Found")</f>
      </c>
      <c r="Q2090" s="1" t="s">
        <v>5514</v>
      </c>
      <c r="R2090" s="2"/>
      <c r="S2090" s="2"/>
      <c r="T2090" s="2"/>
      <c r="U2090" s="2"/>
    </row>
    <row x14ac:dyDescent="0.25" r="2091" customHeight="1" ht="17.25">
      <c r="A2091" s="7">
        <v>2090</v>
      </c>
      <c r="B2091" s="1" t="s">
        <v>7473</v>
      </c>
      <c r="C2091" s="5">
        <f>CONCATENATE("PD", TEXT(A2091, "1000000"))</f>
      </c>
      <c r="D2091" s="7">
        <v>76</v>
      </c>
      <c r="E2091" s="5">
        <f>XLOOKUP(G2091, item_category!C:C, item_category!B:B, "Not Found")</f>
      </c>
      <c r="F2091" s="1" t="s">
        <v>5632</v>
      </c>
      <c r="G2091" s="5">
        <f>XLOOKUP(I2091, drug!B:B, drug!A:A, "Not Found")</f>
      </c>
      <c r="H2091" s="1"/>
      <c r="I2091" s="7">
        <v>1</v>
      </c>
      <c r="J2091" s="5">
        <f>XLOOKUP(L2091, uom!C:C, uom!B:B, "Not Found")</f>
      </c>
      <c r="K2091" s="1" t="s">
        <v>5511</v>
      </c>
      <c r="L2091" s="5">
        <f>XLOOKUP(N2091, uom!C:C, uom!B:B, "Not Found")</f>
      </c>
      <c r="M2091" s="1" t="s">
        <v>5511</v>
      </c>
      <c r="N2091" s="8" t="s">
        <v>5512</v>
      </c>
      <c r="O2091" s="1" t="s">
        <v>5513</v>
      </c>
      <c r="P2091" s="5">
        <f>XLOOKUP(R2091, classification!C:C, classification!B:B, "Not Found")</f>
      </c>
      <c r="Q2091" s="1" t="s">
        <v>5514</v>
      </c>
      <c r="R2091" s="2"/>
      <c r="S2091" s="2"/>
      <c r="T2091" s="2"/>
      <c r="U2091" s="2"/>
    </row>
    <row x14ac:dyDescent="0.25" r="2092" customHeight="1" ht="17.25">
      <c r="A2092" s="7">
        <v>2091</v>
      </c>
      <c r="B2092" s="1" t="s">
        <v>7474</v>
      </c>
      <c r="C2092" s="5">
        <f>CONCATENATE("PD", TEXT(A2092, "1000000"))</f>
      </c>
      <c r="D2092" s="7">
        <v>76</v>
      </c>
      <c r="E2092" s="5">
        <f>XLOOKUP(G2092, item_category!C:C, item_category!B:B, "Not Found")</f>
      </c>
      <c r="F2092" s="1" t="s">
        <v>5632</v>
      </c>
      <c r="G2092" s="5">
        <f>XLOOKUP(I2092, drug!B:B, drug!A:A, "Not Found")</f>
      </c>
      <c r="H2092" s="1"/>
      <c r="I2092" s="7">
        <v>1</v>
      </c>
      <c r="J2092" s="5">
        <f>XLOOKUP(L2092, uom!C:C, uom!B:B, "Not Found")</f>
      </c>
      <c r="K2092" s="1" t="s">
        <v>5511</v>
      </c>
      <c r="L2092" s="5">
        <f>XLOOKUP(N2092, uom!C:C, uom!B:B, "Not Found")</f>
      </c>
      <c r="M2092" s="1" t="s">
        <v>5511</v>
      </c>
      <c r="N2092" s="8" t="s">
        <v>5512</v>
      </c>
      <c r="O2092" s="1" t="s">
        <v>5513</v>
      </c>
      <c r="P2092" s="5">
        <f>XLOOKUP(R2092, classification!C:C, classification!B:B, "Not Found")</f>
      </c>
      <c r="Q2092" s="1" t="s">
        <v>5514</v>
      </c>
      <c r="R2092" s="2"/>
      <c r="S2092" s="2"/>
      <c r="T2092" s="2"/>
      <c r="U2092" s="2"/>
    </row>
    <row x14ac:dyDescent="0.25" r="2093" customHeight="1" ht="17.25">
      <c r="A2093" s="7">
        <v>2092</v>
      </c>
      <c r="B2093" s="1" t="s">
        <v>7475</v>
      </c>
      <c r="C2093" s="5">
        <f>CONCATENATE("PD", TEXT(A2093, "1000000"))</f>
      </c>
      <c r="D2093" s="7">
        <v>76</v>
      </c>
      <c r="E2093" s="5">
        <f>XLOOKUP(G2093, item_category!C:C, item_category!B:B, "Not Found")</f>
      </c>
      <c r="F2093" s="1" t="s">
        <v>5632</v>
      </c>
      <c r="G2093" s="5">
        <f>XLOOKUP(I2093, drug!B:B, drug!A:A, "Not Found")</f>
      </c>
      <c r="H2093" s="1"/>
      <c r="I2093" s="7">
        <v>1</v>
      </c>
      <c r="J2093" s="5">
        <f>XLOOKUP(L2093, uom!C:C, uom!B:B, "Not Found")</f>
      </c>
      <c r="K2093" s="1" t="s">
        <v>5511</v>
      </c>
      <c r="L2093" s="5">
        <f>XLOOKUP(N2093, uom!C:C, uom!B:B, "Not Found")</f>
      </c>
      <c r="M2093" s="1" t="s">
        <v>5511</v>
      </c>
      <c r="N2093" s="8" t="s">
        <v>5512</v>
      </c>
      <c r="O2093" s="1" t="s">
        <v>5513</v>
      </c>
      <c r="P2093" s="5">
        <f>XLOOKUP(R2093, classification!C:C, classification!B:B, "Not Found")</f>
      </c>
      <c r="Q2093" s="1" t="s">
        <v>5514</v>
      </c>
      <c r="R2093" s="2"/>
      <c r="S2093" s="2"/>
      <c r="T2093" s="2"/>
      <c r="U2093" s="2"/>
    </row>
    <row x14ac:dyDescent="0.25" r="2094" customHeight="1" ht="17.25">
      <c r="A2094" s="7">
        <v>2093</v>
      </c>
      <c r="B2094" s="1" t="s">
        <v>7476</v>
      </c>
      <c r="C2094" s="5">
        <f>CONCATENATE("PD", TEXT(A2094, "1000000"))</f>
      </c>
      <c r="D2094" s="7">
        <v>76</v>
      </c>
      <c r="E2094" s="5">
        <f>XLOOKUP(G2094, item_category!C:C, item_category!B:B, "Not Found")</f>
      </c>
      <c r="F2094" s="1" t="s">
        <v>5632</v>
      </c>
      <c r="G2094" s="5">
        <f>XLOOKUP(I2094, drug!B:B, drug!A:A, "Not Found")</f>
      </c>
      <c r="H2094" s="1" t="s">
        <v>1942</v>
      </c>
      <c r="I2094" s="7">
        <v>1</v>
      </c>
      <c r="J2094" s="5">
        <f>XLOOKUP(L2094, uom!C:C, uom!B:B, "Not Found")</f>
      </c>
      <c r="K2094" s="1" t="s">
        <v>5511</v>
      </c>
      <c r="L2094" s="5">
        <f>XLOOKUP(N2094, uom!C:C, uom!B:B, "Not Found")</f>
      </c>
      <c r="M2094" s="1" t="s">
        <v>5511</v>
      </c>
      <c r="N2094" s="8" t="s">
        <v>5512</v>
      </c>
      <c r="O2094" s="1" t="s">
        <v>5513</v>
      </c>
      <c r="P2094" s="5">
        <f>XLOOKUP(R2094, classification!C:C, classification!B:B, "Not Found")</f>
      </c>
      <c r="Q2094" s="1" t="s">
        <v>5514</v>
      </c>
      <c r="R2094" s="2"/>
      <c r="S2094" s="2"/>
      <c r="T2094" s="2"/>
      <c r="U2094" s="2"/>
    </row>
    <row x14ac:dyDescent="0.25" r="2095" customHeight="1" ht="17.25">
      <c r="A2095" s="7">
        <v>2094</v>
      </c>
      <c r="B2095" s="1" t="s">
        <v>7477</v>
      </c>
      <c r="C2095" s="5">
        <f>CONCATENATE("PD", TEXT(A2095, "1000000"))</f>
      </c>
      <c r="D2095" s="7">
        <v>76</v>
      </c>
      <c r="E2095" s="5">
        <f>XLOOKUP(G2095, item_category!C:C, item_category!B:B, "Not Found")</f>
      </c>
      <c r="F2095" s="1" t="s">
        <v>5632</v>
      </c>
      <c r="G2095" s="5">
        <f>XLOOKUP(I2095, drug!B:B, drug!A:A, "Not Found")</f>
      </c>
      <c r="H2095" s="1" t="s">
        <v>1942</v>
      </c>
      <c r="I2095" s="7">
        <v>1</v>
      </c>
      <c r="J2095" s="5">
        <f>XLOOKUP(L2095, uom!C:C, uom!B:B, "Not Found")</f>
      </c>
      <c r="K2095" s="1" t="s">
        <v>5511</v>
      </c>
      <c r="L2095" s="5">
        <f>XLOOKUP(N2095, uom!C:C, uom!B:B, "Not Found")</f>
      </c>
      <c r="M2095" s="1" t="s">
        <v>5511</v>
      </c>
      <c r="N2095" s="8" t="s">
        <v>5512</v>
      </c>
      <c r="O2095" s="1" t="s">
        <v>5513</v>
      </c>
      <c r="P2095" s="5">
        <f>XLOOKUP(R2095, classification!C:C, classification!B:B, "Not Found")</f>
      </c>
      <c r="Q2095" s="1" t="s">
        <v>5514</v>
      </c>
      <c r="R2095" s="2"/>
      <c r="S2095" s="2"/>
      <c r="T2095" s="2"/>
      <c r="U2095" s="2"/>
    </row>
    <row x14ac:dyDescent="0.25" r="2096" customHeight="1" ht="17.25">
      <c r="A2096" s="7">
        <v>2095</v>
      </c>
      <c r="B2096" s="1" t="s">
        <v>7478</v>
      </c>
      <c r="C2096" s="5">
        <f>CONCATENATE("PD", TEXT(A2096, "1000000"))</f>
      </c>
      <c r="D2096" s="7">
        <v>76</v>
      </c>
      <c r="E2096" s="5">
        <f>XLOOKUP(G2096, item_category!C:C, item_category!B:B, "Not Found")</f>
      </c>
      <c r="F2096" s="1" t="s">
        <v>5632</v>
      </c>
      <c r="G2096" s="5">
        <f>XLOOKUP(I2096, drug!B:B, drug!A:A, "Not Found")</f>
      </c>
      <c r="H2096" s="1" t="s">
        <v>1942</v>
      </c>
      <c r="I2096" s="7">
        <v>1</v>
      </c>
      <c r="J2096" s="5">
        <f>XLOOKUP(L2096, uom!C:C, uom!B:B, "Not Found")</f>
      </c>
      <c r="K2096" s="1" t="s">
        <v>5511</v>
      </c>
      <c r="L2096" s="5">
        <f>XLOOKUP(N2096, uom!C:C, uom!B:B, "Not Found")</f>
      </c>
      <c r="M2096" s="1" t="s">
        <v>5511</v>
      </c>
      <c r="N2096" s="8" t="s">
        <v>5512</v>
      </c>
      <c r="O2096" s="1" t="s">
        <v>5513</v>
      </c>
      <c r="P2096" s="5">
        <f>XLOOKUP(R2096, classification!C:C, classification!B:B, "Not Found")</f>
      </c>
      <c r="Q2096" s="1" t="s">
        <v>5514</v>
      </c>
      <c r="R2096" s="2"/>
      <c r="S2096" s="2"/>
      <c r="T2096" s="2"/>
      <c r="U2096" s="2"/>
    </row>
    <row x14ac:dyDescent="0.25" r="2097" customHeight="1" ht="17.25">
      <c r="A2097" s="7">
        <v>2096</v>
      </c>
      <c r="B2097" s="1" t="s">
        <v>3144</v>
      </c>
      <c r="C2097" s="5">
        <f>CONCATENATE("PD", TEXT(A2097, "1000000"))</f>
      </c>
      <c r="D2097" s="7">
        <v>76</v>
      </c>
      <c r="E2097" s="5">
        <f>XLOOKUP(G2097, item_category!C:C, item_category!B:B, "Not Found")</f>
      </c>
      <c r="F2097" s="1" t="s">
        <v>5632</v>
      </c>
      <c r="G2097" s="5">
        <f>XLOOKUP(I2097, drug!B:B, drug!A:A, "Not Found")</f>
      </c>
      <c r="H2097" s="1"/>
      <c r="I2097" s="7">
        <v>1</v>
      </c>
      <c r="J2097" s="5">
        <f>XLOOKUP(L2097, uom!C:C, uom!B:B, "Not Found")</f>
      </c>
      <c r="K2097" s="1" t="s">
        <v>5511</v>
      </c>
      <c r="L2097" s="5">
        <f>XLOOKUP(N2097, uom!C:C, uom!B:B, "Not Found")</f>
      </c>
      <c r="M2097" s="1" t="s">
        <v>5511</v>
      </c>
      <c r="N2097" s="8" t="s">
        <v>5512</v>
      </c>
      <c r="O2097" s="1" t="s">
        <v>5513</v>
      </c>
      <c r="P2097" s="5">
        <f>XLOOKUP(R2097, classification!C:C, classification!B:B, "Not Found")</f>
      </c>
      <c r="Q2097" s="1" t="s">
        <v>5514</v>
      </c>
      <c r="R2097" s="2"/>
      <c r="S2097" s="2"/>
      <c r="T2097" s="2"/>
      <c r="U2097" s="2"/>
    </row>
    <row x14ac:dyDescent="0.25" r="2098" customHeight="1" ht="17.25">
      <c r="A2098" s="7">
        <v>2097</v>
      </c>
      <c r="B2098" s="1" t="s">
        <v>7479</v>
      </c>
      <c r="C2098" s="5">
        <f>CONCATENATE("PD", TEXT(A2098, "1000000"))</f>
      </c>
      <c r="D2098" s="7">
        <v>76</v>
      </c>
      <c r="E2098" s="5">
        <f>XLOOKUP(G2098, item_category!C:C, item_category!B:B, "Not Found")</f>
      </c>
      <c r="F2098" s="1" t="s">
        <v>5632</v>
      </c>
      <c r="G2098" s="5">
        <f>XLOOKUP(I2098, drug!B:B, drug!A:A, "Not Found")</f>
      </c>
      <c r="H2098" s="1"/>
      <c r="I2098" s="7">
        <v>1</v>
      </c>
      <c r="J2098" s="5">
        <f>XLOOKUP(L2098, uom!C:C, uom!B:B, "Not Found")</f>
      </c>
      <c r="K2098" s="1" t="s">
        <v>5511</v>
      </c>
      <c r="L2098" s="5">
        <f>XLOOKUP(N2098, uom!C:C, uom!B:B, "Not Found")</f>
      </c>
      <c r="M2098" s="1" t="s">
        <v>5511</v>
      </c>
      <c r="N2098" s="8" t="s">
        <v>5512</v>
      </c>
      <c r="O2098" s="1" t="s">
        <v>5513</v>
      </c>
      <c r="P2098" s="5">
        <f>XLOOKUP(R2098, classification!C:C, classification!B:B, "Not Found")</f>
      </c>
      <c r="Q2098" s="1" t="s">
        <v>5514</v>
      </c>
      <c r="R2098" s="2"/>
      <c r="S2098" s="2"/>
      <c r="T2098" s="2"/>
      <c r="U2098" s="2"/>
    </row>
    <row x14ac:dyDescent="0.25" r="2099" customHeight="1" ht="17.25">
      <c r="A2099" s="7">
        <v>2098</v>
      </c>
      <c r="B2099" s="1" t="s">
        <v>7480</v>
      </c>
      <c r="C2099" s="5">
        <f>CONCATENATE("PD", TEXT(A2099, "1000000"))</f>
      </c>
      <c r="D2099" s="7">
        <v>76</v>
      </c>
      <c r="E2099" s="5">
        <f>XLOOKUP(G2099, item_category!C:C, item_category!B:B, "Not Found")</f>
      </c>
      <c r="F2099" s="1" t="s">
        <v>5632</v>
      </c>
      <c r="G2099" s="5">
        <f>XLOOKUP(I2099, drug!B:B, drug!A:A, "Not Found")</f>
      </c>
      <c r="H2099" s="1" t="s">
        <v>1942</v>
      </c>
      <c r="I2099" s="7">
        <v>1</v>
      </c>
      <c r="J2099" s="5">
        <f>XLOOKUP(L2099, uom!C:C, uom!B:B, "Not Found")</f>
      </c>
      <c r="K2099" s="1" t="s">
        <v>5511</v>
      </c>
      <c r="L2099" s="5">
        <f>XLOOKUP(N2099, uom!C:C, uom!B:B, "Not Found")</f>
      </c>
      <c r="M2099" s="1" t="s">
        <v>5511</v>
      </c>
      <c r="N2099" s="8" t="s">
        <v>5512</v>
      </c>
      <c r="O2099" s="1" t="s">
        <v>5513</v>
      </c>
      <c r="P2099" s="5">
        <f>XLOOKUP(R2099, classification!C:C, classification!B:B, "Not Found")</f>
      </c>
      <c r="Q2099" s="1" t="s">
        <v>5514</v>
      </c>
      <c r="R2099" s="2"/>
      <c r="S2099" s="2"/>
      <c r="T2099" s="2"/>
      <c r="U2099" s="2"/>
    </row>
    <row x14ac:dyDescent="0.25" r="2100" customHeight="1" ht="17.25">
      <c r="A2100" s="7">
        <v>2099</v>
      </c>
      <c r="B2100" s="1" t="s">
        <v>3146</v>
      </c>
      <c r="C2100" s="5">
        <f>CONCATENATE("PD", TEXT(A2100, "1000000"))</f>
      </c>
      <c r="D2100" s="7">
        <v>76</v>
      </c>
      <c r="E2100" s="5">
        <f>XLOOKUP(G2100, item_category!C:C, item_category!B:B, "Not Found")</f>
      </c>
      <c r="F2100" s="1" t="s">
        <v>5632</v>
      </c>
      <c r="G2100" s="5">
        <f>XLOOKUP(I2100, drug!B:B, drug!A:A, "Not Found")</f>
      </c>
      <c r="H2100" s="1"/>
      <c r="I2100" s="7">
        <v>1</v>
      </c>
      <c r="J2100" s="5">
        <f>XLOOKUP(L2100, uom!C:C, uom!B:B, "Not Found")</f>
      </c>
      <c r="K2100" s="1" t="s">
        <v>5511</v>
      </c>
      <c r="L2100" s="5">
        <f>XLOOKUP(N2100, uom!C:C, uom!B:B, "Not Found")</f>
      </c>
      <c r="M2100" s="1" t="s">
        <v>5511</v>
      </c>
      <c r="N2100" s="8" t="s">
        <v>5512</v>
      </c>
      <c r="O2100" s="1" t="s">
        <v>5513</v>
      </c>
      <c r="P2100" s="5">
        <f>XLOOKUP(R2100, classification!C:C, classification!B:B, "Not Found")</f>
      </c>
      <c r="Q2100" s="1" t="s">
        <v>5514</v>
      </c>
      <c r="R2100" s="2"/>
      <c r="S2100" s="2"/>
      <c r="T2100" s="2"/>
      <c r="U2100" s="2"/>
    </row>
    <row x14ac:dyDescent="0.25" r="2101" customHeight="1" ht="17.25">
      <c r="A2101" s="7">
        <v>2100</v>
      </c>
      <c r="B2101" s="1" t="s">
        <v>3148</v>
      </c>
      <c r="C2101" s="5">
        <f>CONCATENATE("PD", TEXT(A2101, "1000000"))</f>
      </c>
      <c r="D2101" s="7">
        <v>76</v>
      </c>
      <c r="E2101" s="5">
        <f>XLOOKUP(G2101, item_category!C:C, item_category!B:B, "Not Found")</f>
      </c>
      <c r="F2101" s="1" t="s">
        <v>5632</v>
      </c>
      <c r="G2101" s="5">
        <f>XLOOKUP(I2101, drug!B:B, drug!A:A, "Not Found")</f>
      </c>
      <c r="H2101" s="1"/>
      <c r="I2101" s="7">
        <v>1</v>
      </c>
      <c r="J2101" s="5">
        <f>XLOOKUP(L2101, uom!C:C, uom!B:B, "Not Found")</f>
      </c>
      <c r="K2101" s="1" t="s">
        <v>5511</v>
      </c>
      <c r="L2101" s="5">
        <f>XLOOKUP(N2101, uom!C:C, uom!B:B, "Not Found")</f>
      </c>
      <c r="M2101" s="1" t="s">
        <v>5511</v>
      </c>
      <c r="N2101" s="8" t="s">
        <v>5512</v>
      </c>
      <c r="O2101" s="1" t="s">
        <v>5513</v>
      </c>
      <c r="P2101" s="5">
        <f>XLOOKUP(R2101, classification!C:C, classification!B:B, "Not Found")</f>
      </c>
      <c r="Q2101" s="1" t="s">
        <v>5514</v>
      </c>
      <c r="R2101" s="2"/>
      <c r="S2101" s="2"/>
      <c r="T2101" s="2"/>
      <c r="U2101" s="2"/>
    </row>
    <row x14ac:dyDescent="0.25" r="2102" customHeight="1" ht="17.25">
      <c r="A2102" s="7">
        <v>2101</v>
      </c>
      <c r="B2102" s="1" t="s">
        <v>3150</v>
      </c>
      <c r="C2102" s="5">
        <f>CONCATENATE("PD", TEXT(A2102, "1000000"))</f>
      </c>
      <c r="D2102" s="7">
        <v>76</v>
      </c>
      <c r="E2102" s="5">
        <f>XLOOKUP(G2102, item_category!C:C, item_category!B:B, "Not Found")</f>
      </c>
      <c r="F2102" s="1" t="s">
        <v>5632</v>
      </c>
      <c r="G2102" s="5">
        <f>XLOOKUP(I2102, drug!B:B, drug!A:A, "Not Found")</f>
      </c>
      <c r="H2102" s="1"/>
      <c r="I2102" s="7">
        <v>1</v>
      </c>
      <c r="J2102" s="5">
        <f>XLOOKUP(L2102, uom!C:C, uom!B:B, "Not Found")</f>
      </c>
      <c r="K2102" s="1" t="s">
        <v>5511</v>
      </c>
      <c r="L2102" s="5">
        <f>XLOOKUP(N2102, uom!C:C, uom!B:B, "Not Found")</f>
      </c>
      <c r="M2102" s="1" t="s">
        <v>5511</v>
      </c>
      <c r="N2102" s="8" t="s">
        <v>5512</v>
      </c>
      <c r="O2102" s="1" t="s">
        <v>5513</v>
      </c>
      <c r="P2102" s="5">
        <f>XLOOKUP(R2102, classification!C:C, classification!B:B, "Not Found")</f>
      </c>
      <c r="Q2102" s="1" t="s">
        <v>5514</v>
      </c>
      <c r="R2102" s="2"/>
      <c r="S2102" s="2"/>
      <c r="T2102" s="2"/>
      <c r="U2102" s="2"/>
    </row>
    <row x14ac:dyDescent="0.25" r="2103" customHeight="1" ht="17.25">
      <c r="A2103" s="7">
        <v>2102</v>
      </c>
      <c r="B2103" s="1" t="s">
        <v>7481</v>
      </c>
      <c r="C2103" s="5">
        <f>CONCATENATE("PD", TEXT(A2103, "1000000"))</f>
      </c>
      <c r="D2103" s="7">
        <v>76</v>
      </c>
      <c r="E2103" s="5">
        <f>XLOOKUP(G2103, item_category!C:C, item_category!B:B, "Not Found")</f>
      </c>
      <c r="F2103" s="1" t="s">
        <v>5632</v>
      </c>
      <c r="G2103" s="5">
        <f>XLOOKUP(I2103, drug!B:B, drug!A:A, "Not Found")</f>
      </c>
      <c r="H2103" s="1" t="s">
        <v>1942</v>
      </c>
      <c r="I2103" s="7">
        <v>1</v>
      </c>
      <c r="J2103" s="5">
        <f>XLOOKUP(L2103, uom!C:C, uom!B:B, "Not Found")</f>
      </c>
      <c r="K2103" s="1" t="s">
        <v>5511</v>
      </c>
      <c r="L2103" s="5">
        <f>XLOOKUP(N2103, uom!C:C, uom!B:B, "Not Found")</f>
      </c>
      <c r="M2103" s="1" t="s">
        <v>5511</v>
      </c>
      <c r="N2103" s="8" t="s">
        <v>5512</v>
      </c>
      <c r="O2103" s="1" t="s">
        <v>5513</v>
      </c>
      <c r="P2103" s="5">
        <f>XLOOKUP(R2103, classification!C:C, classification!B:B, "Not Found")</f>
      </c>
      <c r="Q2103" s="1" t="s">
        <v>5514</v>
      </c>
      <c r="R2103" s="2"/>
      <c r="S2103" s="2"/>
      <c r="T2103" s="2"/>
      <c r="U2103" s="2"/>
    </row>
    <row x14ac:dyDescent="0.25" r="2104" customHeight="1" ht="17.25">
      <c r="A2104" s="7">
        <v>2103</v>
      </c>
      <c r="B2104" s="1" t="s">
        <v>7482</v>
      </c>
      <c r="C2104" s="5">
        <f>CONCATENATE("PD", TEXT(A2104, "1000000"))</f>
      </c>
      <c r="D2104" s="7">
        <v>76</v>
      </c>
      <c r="E2104" s="5">
        <f>XLOOKUP(G2104, item_category!C:C, item_category!B:B, "Not Found")</f>
      </c>
      <c r="F2104" s="1" t="s">
        <v>5632</v>
      </c>
      <c r="G2104" s="5">
        <f>XLOOKUP(I2104, drug!B:B, drug!A:A, "Not Found")</f>
      </c>
      <c r="H2104" s="1"/>
      <c r="I2104" s="7">
        <v>1</v>
      </c>
      <c r="J2104" s="5">
        <f>XLOOKUP(L2104, uom!C:C, uom!B:B, "Not Found")</f>
      </c>
      <c r="K2104" s="1" t="s">
        <v>5511</v>
      </c>
      <c r="L2104" s="5">
        <f>XLOOKUP(N2104, uom!C:C, uom!B:B, "Not Found")</f>
      </c>
      <c r="M2104" s="1" t="s">
        <v>5511</v>
      </c>
      <c r="N2104" s="8" t="s">
        <v>5512</v>
      </c>
      <c r="O2104" s="1" t="s">
        <v>5513</v>
      </c>
      <c r="P2104" s="5">
        <f>XLOOKUP(R2104, classification!C:C, classification!B:B, "Not Found")</f>
      </c>
      <c r="Q2104" s="1" t="s">
        <v>5514</v>
      </c>
      <c r="R2104" s="2"/>
      <c r="S2104" s="2"/>
      <c r="T2104" s="2"/>
      <c r="U2104" s="2"/>
    </row>
    <row x14ac:dyDescent="0.25" r="2105" customHeight="1" ht="17.25">
      <c r="A2105" s="7">
        <v>2104</v>
      </c>
      <c r="B2105" s="1" t="s">
        <v>7483</v>
      </c>
      <c r="C2105" s="5">
        <f>CONCATENATE("PD", TEXT(A2105, "1000000"))</f>
      </c>
      <c r="D2105" s="7">
        <v>76</v>
      </c>
      <c r="E2105" s="5">
        <f>XLOOKUP(G2105, item_category!C:C, item_category!B:B, "Not Found")</f>
      </c>
      <c r="F2105" s="1" t="s">
        <v>5632</v>
      </c>
      <c r="G2105" s="5">
        <f>XLOOKUP(I2105, drug!B:B, drug!A:A, "Not Found")</f>
      </c>
      <c r="H2105" s="1"/>
      <c r="I2105" s="7">
        <v>1</v>
      </c>
      <c r="J2105" s="5">
        <f>XLOOKUP(L2105, uom!C:C, uom!B:B, "Not Found")</f>
      </c>
      <c r="K2105" s="1" t="s">
        <v>5511</v>
      </c>
      <c r="L2105" s="5">
        <f>XLOOKUP(N2105, uom!C:C, uom!B:B, "Not Found")</f>
      </c>
      <c r="M2105" s="1" t="s">
        <v>5511</v>
      </c>
      <c r="N2105" s="8" t="s">
        <v>5512</v>
      </c>
      <c r="O2105" s="1" t="s">
        <v>5513</v>
      </c>
      <c r="P2105" s="5">
        <f>XLOOKUP(R2105, classification!C:C, classification!B:B, "Not Found")</f>
      </c>
      <c r="Q2105" s="1" t="s">
        <v>5514</v>
      </c>
      <c r="R2105" s="2"/>
      <c r="S2105" s="2"/>
      <c r="T2105" s="2"/>
      <c r="U2105" s="2"/>
    </row>
    <row x14ac:dyDescent="0.25" r="2106" customHeight="1" ht="17.25">
      <c r="A2106" s="7">
        <v>2105</v>
      </c>
      <c r="B2106" s="1" t="s">
        <v>7484</v>
      </c>
      <c r="C2106" s="5">
        <f>CONCATENATE("PD", TEXT(A2106, "1000000"))</f>
      </c>
      <c r="D2106" s="7">
        <v>76</v>
      </c>
      <c r="E2106" s="5">
        <f>XLOOKUP(G2106, item_category!C:C, item_category!B:B, "Not Found")</f>
      </c>
      <c r="F2106" s="1" t="s">
        <v>5632</v>
      </c>
      <c r="G2106" s="5">
        <f>XLOOKUP(I2106, drug!B:B, drug!A:A, "Not Found")</f>
      </c>
      <c r="H2106" s="1"/>
      <c r="I2106" s="7">
        <v>1</v>
      </c>
      <c r="J2106" s="5">
        <f>XLOOKUP(L2106, uom!C:C, uom!B:B, "Not Found")</f>
      </c>
      <c r="K2106" s="1" t="s">
        <v>5511</v>
      </c>
      <c r="L2106" s="5">
        <f>XLOOKUP(N2106, uom!C:C, uom!B:B, "Not Found")</f>
      </c>
      <c r="M2106" s="1" t="s">
        <v>5511</v>
      </c>
      <c r="N2106" s="8" t="s">
        <v>5512</v>
      </c>
      <c r="O2106" s="1" t="s">
        <v>5513</v>
      </c>
      <c r="P2106" s="5">
        <f>XLOOKUP(R2106, classification!C:C, classification!B:B, "Not Found")</f>
      </c>
      <c r="Q2106" s="1" t="s">
        <v>5514</v>
      </c>
      <c r="R2106" s="2"/>
      <c r="S2106" s="2"/>
      <c r="T2106" s="2"/>
      <c r="U2106" s="2"/>
    </row>
    <row x14ac:dyDescent="0.25" r="2107" customHeight="1" ht="17.25">
      <c r="A2107" s="7">
        <v>2106</v>
      </c>
      <c r="B2107" s="1" t="s">
        <v>7485</v>
      </c>
      <c r="C2107" s="5">
        <f>CONCATENATE("PD", TEXT(A2107, "1000000"))</f>
      </c>
      <c r="D2107" s="7">
        <v>76</v>
      </c>
      <c r="E2107" s="5">
        <f>XLOOKUP(G2107, item_category!C:C, item_category!B:B, "Not Found")</f>
      </c>
      <c r="F2107" s="1" t="s">
        <v>5632</v>
      </c>
      <c r="G2107" s="5">
        <f>XLOOKUP(I2107, drug!B:B, drug!A:A, "Not Found")</f>
      </c>
      <c r="H2107" s="1"/>
      <c r="I2107" s="7">
        <v>1</v>
      </c>
      <c r="J2107" s="5">
        <f>XLOOKUP(L2107, uom!C:C, uom!B:B, "Not Found")</f>
      </c>
      <c r="K2107" s="1" t="s">
        <v>5511</v>
      </c>
      <c r="L2107" s="5">
        <f>XLOOKUP(N2107, uom!C:C, uom!B:B, "Not Found")</f>
      </c>
      <c r="M2107" s="1" t="s">
        <v>5511</v>
      </c>
      <c r="N2107" s="8" t="s">
        <v>5512</v>
      </c>
      <c r="O2107" s="1" t="s">
        <v>5513</v>
      </c>
      <c r="P2107" s="5">
        <f>XLOOKUP(R2107, classification!C:C, classification!B:B, "Not Found")</f>
      </c>
      <c r="Q2107" s="1" t="s">
        <v>5514</v>
      </c>
      <c r="R2107" s="2"/>
      <c r="S2107" s="2"/>
      <c r="T2107" s="2"/>
      <c r="U2107" s="2"/>
    </row>
    <row x14ac:dyDescent="0.25" r="2108" customHeight="1" ht="17.25">
      <c r="A2108" s="7">
        <v>2107</v>
      </c>
      <c r="B2108" s="1" t="s">
        <v>7486</v>
      </c>
      <c r="C2108" s="5">
        <f>CONCATENATE("PD", TEXT(A2108, "1000000"))</f>
      </c>
      <c r="D2108" s="7">
        <v>76</v>
      </c>
      <c r="E2108" s="5">
        <f>XLOOKUP(G2108, item_category!C:C, item_category!B:B, "Not Found")</f>
      </c>
      <c r="F2108" s="1" t="s">
        <v>5632</v>
      </c>
      <c r="G2108" s="5">
        <f>XLOOKUP(I2108, drug!B:B, drug!A:A, "Not Found")</f>
      </c>
      <c r="H2108" s="1"/>
      <c r="I2108" s="7">
        <v>150</v>
      </c>
      <c r="J2108" s="5">
        <f>XLOOKUP(L2108, uom!C:C, uom!B:B, "Not Found")</f>
      </c>
      <c r="K2108" s="1" t="s">
        <v>5511</v>
      </c>
      <c r="L2108" s="5">
        <f>XLOOKUP(N2108, uom!C:C, uom!B:B, "Not Found")</f>
      </c>
      <c r="M2108" s="1" t="s">
        <v>5511</v>
      </c>
      <c r="N2108" s="8" t="s">
        <v>5524</v>
      </c>
      <c r="O2108" s="1" t="s">
        <v>5525</v>
      </c>
      <c r="P2108" s="5">
        <f>XLOOKUP(R2108, classification!C:C, classification!B:B, "Not Found")</f>
      </c>
      <c r="Q2108" s="1" t="s">
        <v>5514</v>
      </c>
      <c r="R2108" s="2"/>
      <c r="S2108" s="2"/>
      <c r="T2108" s="2"/>
      <c r="U2108" s="2"/>
    </row>
    <row x14ac:dyDescent="0.25" r="2109" customHeight="1" ht="17.25">
      <c r="A2109" s="7">
        <v>2108</v>
      </c>
      <c r="B2109" s="1" t="s">
        <v>7487</v>
      </c>
      <c r="C2109" s="5">
        <f>CONCATENATE("PD", TEXT(A2109, "1000000"))</f>
      </c>
      <c r="D2109" s="7">
        <v>76</v>
      </c>
      <c r="E2109" s="5">
        <f>XLOOKUP(G2109, item_category!C:C, item_category!B:B, "Not Found")</f>
      </c>
      <c r="F2109" s="1" t="s">
        <v>5632</v>
      </c>
      <c r="G2109" s="5">
        <f>XLOOKUP(I2109, drug!B:B, drug!A:A, "Not Found")</f>
      </c>
      <c r="H2109" s="1"/>
      <c r="I2109" s="7">
        <v>1</v>
      </c>
      <c r="J2109" s="5">
        <f>XLOOKUP(L2109, uom!C:C, uom!B:B, "Not Found")</f>
      </c>
      <c r="K2109" s="1" t="s">
        <v>5511</v>
      </c>
      <c r="L2109" s="5">
        <f>XLOOKUP(N2109, uom!C:C, uom!B:B, "Not Found")</f>
      </c>
      <c r="M2109" s="1" t="s">
        <v>5511</v>
      </c>
      <c r="N2109" s="8" t="s">
        <v>5512</v>
      </c>
      <c r="O2109" s="1" t="s">
        <v>5513</v>
      </c>
      <c r="P2109" s="5">
        <f>XLOOKUP(R2109, classification!C:C, classification!B:B, "Not Found")</f>
      </c>
      <c r="Q2109" s="1" t="s">
        <v>5514</v>
      </c>
      <c r="R2109" s="2"/>
      <c r="S2109" s="2"/>
      <c r="T2109" s="2"/>
      <c r="U2109" s="2"/>
    </row>
    <row x14ac:dyDescent="0.25" r="2110" customHeight="1" ht="17.25">
      <c r="A2110" s="7">
        <v>2109</v>
      </c>
      <c r="B2110" s="1" t="s">
        <v>7488</v>
      </c>
      <c r="C2110" s="5">
        <f>CONCATENATE("PD", TEXT(A2110, "1000000"))</f>
      </c>
      <c r="D2110" s="7">
        <v>76</v>
      </c>
      <c r="E2110" s="5">
        <f>XLOOKUP(G2110, item_category!C:C, item_category!B:B, "Not Found")</f>
      </c>
      <c r="F2110" s="1" t="s">
        <v>5632</v>
      </c>
      <c r="G2110" s="5">
        <f>XLOOKUP(I2110, drug!B:B, drug!A:A, "Not Found")</f>
      </c>
      <c r="H2110" s="1"/>
      <c r="I2110" s="7">
        <v>1</v>
      </c>
      <c r="J2110" s="5">
        <f>XLOOKUP(L2110, uom!C:C, uom!B:B, "Not Found")</f>
      </c>
      <c r="K2110" s="1" t="s">
        <v>5511</v>
      </c>
      <c r="L2110" s="5">
        <f>XLOOKUP(N2110, uom!C:C, uom!B:B, "Not Found")</f>
      </c>
      <c r="M2110" s="1" t="s">
        <v>5511</v>
      </c>
      <c r="N2110" s="8" t="s">
        <v>5512</v>
      </c>
      <c r="O2110" s="1" t="s">
        <v>5513</v>
      </c>
      <c r="P2110" s="5">
        <f>XLOOKUP(R2110, classification!C:C, classification!B:B, "Not Found")</f>
      </c>
      <c r="Q2110" s="1" t="s">
        <v>5514</v>
      </c>
      <c r="R2110" s="2"/>
      <c r="S2110" s="2"/>
      <c r="T2110" s="2"/>
      <c r="U2110" s="2"/>
    </row>
    <row x14ac:dyDescent="0.25" r="2111" customHeight="1" ht="17.25">
      <c r="A2111" s="7">
        <v>2110</v>
      </c>
      <c r="B2111" s="1" t="s">
        <v>7489</v>
      </c>
      <c r="C2111" s="5">
        <f>CONCATENATE("PD", TEXT(A2111, "1000000"))</f>
      </c>
      <c r="D2111" s="7">
        <v>76</v>
      </c>
      <c r="E2111" s="5">
        <f>XLOOKUP(G2111, item_category!C:C, item_category!B:B, "Not Found")</f>
      </c>
      <c r="F2111" s="1" t="s">
        <v>5632</v>
      </c>
      <c r="G2111" s="5">
        <f>XLOOKUP(I2111, drug!B:B, drug!A:A, "Not Found")</f>
      </c>
      <c r="H2111" s="1"/>
      <c r="I2111" s="7">
        <v>1</v>
      </c>
      <c r="J2111" s="5">
        <f>XLOOKUP(L2111, uom!C:C, uom!B:B, "Not Found")</f>
      </c>
      <c r="K2111" s="1" t="s">
        <v>5511</v>
      </c>
      <c r="L2111" s="5">
        <f>XLOOKUP(N2111, uom!C:C, uom!B:B, "Not Found")</f>
      </c>
      <c r="M2111" s="1" t="s">
        <v>5511</v>
      </c>
      <c r="N2111" s="8" t="s">
        <v>5512</v>
      </c>
      <c r="O2111" s="1" t="s">
        <v>5513</v>
      </c>
      <c r="P2111" s="5">
        <f>XLOOKUP(R2111, classification!C:C, classification!B:B, "Not Found")</f>
      </c>
      <c r="Q2111" s="1" t="s">
        <v>5514</v>
      </c>
      <c r="R2111" s="2"/>
      <c r="S2111" s="2"/>
      <c r="T2111" s="2"/>
      <c r="U2111" s="2"/>
    </row>
    <row x14ac:dyDescent="0.25" r="2112" customHeight="1" ht="17.25">
      <c r="A2112" s="7">
        <v>2111</v>
      </c>
      <c r="B2112" s="1" t="s">
        <v>7490</v>
      </c>
      <c r="C2112" s="5">
        <f>CONCATENATE("PD", TEXT(A2112, "1000000"))</f>
      </c>
      <c r="D2112" s="7">
        <v>76</v>
      </c>
      <c r="E2112" s="5">
        <f>XLOOKUP(G2112, item_category!C:C, item_category!B:B, "Not Found")</f>
      </c>
      <c r="F2112" s="1" t="s">
        <v>5632</v>
      </c>
      <c r="G2112" s="5">
        <f>XLOOKUP(I2112, drug!B:B, drug!A:A, "Not Found")</f>
      </c>
      <c r="H2112" s="1"/>
      <c r="I2112" s="7">
        <v>1</v>
      </c>
      <c r="J2112" s="5">
        <f>XLOOKUP(L2112, uom!C:C, uom!B:B, "Not Found")</f>
      </c>
      <c r="K2112" s="1" t="s">
        <v>5511</v>
      </c>
      <c r="L2112" s="5">
        <f>XLOOKUP(N2112, uom!C:C, uom!B:B, "Not Found")</f>
      </c>
      <c r="M2112" s="1" t="s">
        <v>5511</v>
      </c>
      <c r="N2112" s="8" t="s">
        <v>5512</v>
      </c>
      <c r="O2112" s="1" t="s">
        <v>5513</v>
      </c>
      <c r="P2112" s="5">
        <f>XLOOKUP(R2112, classification!C:C, classification!B:B, "Not Found")</f>
      </c>
      <c r="Q2112" s="1" t="s">
        <v>5514</v>
      </c>
      <c r="R2112" s="2"/>
      <c r="S2112" s="2"/>
      <c r="T2112" s="2"/>
      <c r="U2112" s="2"/>
    </row>
    <row x14ac:dyDescent="0.25" r="2113" customHeight="1" ht="17.25">
      <c r="A2113" s="7">
        <v>2112</v>
      </c>
      <c r="B2113" s="1" t="s">
        <v>7491</v>
      </c>
      <c r="C2113" s="5">
        <f>CONCATENATE("PD", TEXT(A2113, "1000000"))</f>
      </c>
      <c r="D2113" s="7">
        <v>76</v>
      </c>
      <c r="E2113" s="5">
        <f>XLOOKUP(G2113, item_category!C:C, item_category!B:B, "Not Found")</f>
      </c>
      <c r="F2113" s="1" t="s">
        <v>5632</v>
      </c>
      <c r="G2113" s="5">
        <f>XLOOKUP(I2113, drug!B:B, drug!A:A, "Not Found")</f>
      </c>
      <c r="H2113" s="1"/>
      <c r="I2113" s="7">
        <v>1</v>
      </c>
      <c r="J2113" s="5">
        <f>XLOOKUP(L2113, uom!C:C, uom!B:B, "Not Found")</f>
      </c>
      <c r="K2113" s="1" t="s">
        <v>5511</v>
      </c>
      <c r="L2113" s="5">
        <f>XLOOKUP(N2113, uom!C:C, uom!B:B, "Not Found")</f>
      </c>
      <c r="M2113" s="1" t="s">
        <v>5511</v>
      </c>
      <c r="N2113" s="8" t="s">
        <v>5512</v>
      </c>
      <c r="O2113" s="1" t="s">
        <v>5513</v>
      </c>
      <c r="P2113" s="5">
        <f>XLOOKUP(R2113, classification!C:C, classification!B:B, "Not Found")</f>
      </c>
      <c r="Q2113" s="1" t="s">
        <v>5514</v>
      </c>
      <c r="R2113" s="2"/>
      <c r="S2113" s="2"/>
      <c r="T2113" s="2"/>
      <c r="U2113" s="2"/>
    </row>
    <row x14ac:dyDescent="0.25" r="2114" customHeight="1" ht="17.25">
      <c r="A2114" s="7">
        <v>2113</v>
      </c>
      <c r="B2114" s="1" t="s">
        <v>7492</v>
      </c>
      <c r="C2114" s="5">
        <f>CONCATENATE("PD", TEXT(A2114, "1000000"))</f>
      </c>
      <c r="D2114" s="7">
        <v>76</v>
      </c>
      <c r="E2114" s="5">
        <f>XLOOKUP(G2114, item_category!C:C, item_category!B:B, "Not Found")</f>
      </c>
      <c r="F2114" s="1" t="s">
        <v>5632</v>
      </c>
      <c r="G2114" s="5">
        <f>XLOOKUP(I2114, drug!B:B, drug!A:A, "Not Found")</f>
      </c>
      <c r="H2114" s="1"/>
      <c r="I2114" s="7">
        <v>1</v>
      </c>
      <c r="J2114" s="5">
        <f>XLOOKUP(L2114, uom!C:C, uom!B:B, "Not Found")</f>
      </c>
      <c r="K2114" s="1" t="s">
        <v>5511</v>
      </c>
      <c r="L2114" s="5">
        <f>XLOOKUP(N2114, uom!C:C, uom!B:B, "Not Found")</f>
      </c>
      <c r="M2114" s="1" t="s">
        <v>5511</v>
      </c>
      <c r="N2114" s="8" t="s">
        <v>5512</v>
      </c>
      <c r="O2114" s="1" t="s">
        <v>5513</v>
      </c>
      <c r="P2114" s="5">
        <f>XLOOKUP(R2114, classification!C:C, classification!B:B, "Not Found")</f>
      </c>
      <c r="Q2114" s="1" t="s">
        <v>5514</v>
      </c>
      <c r="R2114" s="2"/>
      <c r="S2114" s="2"/>
      <c r="T2114" s="2"/>
      <c r="U2114" s="2"/>
    </row>
    <row x14ac:dyDescent="0.25" r="2115" customHeight="1" ht="17.25">
      <c r="A2115" s="7">
        <v>2114</v>
      </c>
      <c r="B2115" s="1" t="s">
        <v>7493</v>
      </c>
      <c r="C2115" s="5">
        <f>CONCATENATE("PD", TEXT(A2115, "1000000"))</f>
      </c>
      <c r="D2115" s="7">
        <v>76</v>
      </c>
      <c r="E2115" s="5">
        <f>XLOOKUP(G2115, item_category!C:C, item_category!B:B, "Not Found")</f>
      </c>
      <c r="F2115" s="1" t="s">
        <v>5632</v>
      </c>
      <c r="G2115" s="5">
        <f>XLOOKUP(I2115, drug!B:B, drug!A:A, "Not Found")</f>
      </c>
      <c r="H2115" s="1"/>
      <c r="I2115" s="7">
        <v>1</v>
      </c>
      <c r="J2115" s="5">
        <f>XLOOKUP(L2115, uom!C:C, uom!B:B, "Not Found")</f>
      </c>
      <c r="K2115" s="1" t="s">
        <v>5511</v>
      </c>
      <c r="L2115" s="5">
        <f>XLOOKUP(N2115, uom!C:C, uom!B:B, "Not Found")</f>
      </c>
      <c r="M2115" s="1" t="s">
        <v>5511</v>
      </c>
      <c r="N2115" s="8" t="s">
        <v>5512</v>
      </c>
      <c r="O2115" s="1" t="s">
        <v>5513</v>
      </c>
      <c r="P2115" s="5">
        <f>XLOOKUP(R2115, classification!C:C, classification!B:B, "Not Found")</f>
      </c>
      <c r="Q2115" s="1" t="s">
        <v>5514</v>
      </c>
      <c r="R2115" s="2"/>
      <c r="S2115" s="2"/>
      <c r="T2115" s="2"/>
      <c r="U2115" s="2"/>
    </row>
    <row x14ac:dyDescent="0.25" r="2116" customHeight="1" ht="17.25">
      <c r="A2116" s="7">
        <v>2115</v>
      </c>
      <c r="B2116" s="1" t="s">
        <v>7494</v>
      </c>
      <c r="C2116" s="5">
        <f>CONCATENATE("PD", TEXT(A2116, "1000000"))</f>
      </c>
      <c r="D2116" s="7">
        <v>76</v>
      </c>
      <c r="E2116" s="5">
        <f>XLOOKUP(G2116, item_category!C:C, item_category!B:B, "Not Found")</f>
      </c>
      <c r="F2116" s="1" t="s">
        <v>5632</v>
      </c>
      <c r="G2116" s="5">
        <f>XLOOKUP(I2116, drug!B:B, drug!A:A, "Not Found")</f>
      </c>
      <c r="H2116" s="1"/>
      <c r="I2116" s="7">
        <v>1</v>
      </c>
      <c r="J2116" s="5">
        <f>XLOOKUP(L2116, uom!C:C, uom!B:B, "Not Found")</f>
      </c>
      <c r="K2116" s="1" t="s">
        <v>5511</v>
      </c>
      <c r="L2116" s="5">
        <f>XLOOKUP(N2116, uom!C:C, uom!B:B, "Not Found")</f>
      </c>
      <c r="M2116" s="1" t="s">
        <v>5511</v>
      </c>
      <c r="N2116" s="8" t="s">
        <v>5512</v>
      </c>
      <c r="O2116" s="1" t="s">
        <v>5513</v>
      </c>
      <c r="P2116" s="5">
        <f>XLOOKUP(R2116, classification!C:C, classification!B:B, "Not Found")</f>
      </c>
      <c r="Q2116" s="1" t="s">
        <v>5514</v>
      </c>
      <c r="R2116" s="2"/>
      <c r="S2116" s="2"/>
      <c r="T2116" s="2"/>
      <c r="U2116" s="2"/>
    </row>
    <row x14ac:dyDescent="0.25" r="2117" customHeight="1" ht="17.25">
      <c r="A2117" s="7">
        <v>2116</v>
      </c>
      <c r="B2117" s="1" t="s">
        <v>7495</v>
      </c>
      <c r="C2117" s="5">
        <f>CONCATENATE("PD", TEXT(A2117, "1000000"))</f>
      </c>
      <c r="D2117" s="7">
        <v>76</v>
      </c>
      <c r="E2117" s="5">
        <f>XLOOKUP(G2117, item_category!C:C, item_category!B:B, "Not Found")</f>
      </c>
      <c r="F2117" s="1" t="s">
        <v>5632</v>
      </c>
      <c r="G2117" s="5">
        <f>XLOOKUP(I2117, drug!B:B, drug!A:A, "Not Found")</f>
      </c>
      <c r="H2117" s="1"/>
      <c r="I2117" s="7">
        <v>1</v>
      </c>
      <c r="J2117" s="5">
        <f>XLOOKUP(L2117, uom!C:C, uom!B:B, "Not Found")</f>
      </c>
      <c r="K2117" s="1" t="s">
        <v>5511</v>
      </c>
      <c r="L2117" s="5">
        <f>XLOOKUP(N2117, uom!C:C, uom!B:B, "Not Found")</f>
      </c>
      <c r="M2117" s="1" t="s">
        <v>5511</v>
      </c>
      <c r="N2117" s="8" t="s">
        <v>5512</v>
      </c>
      <c r="O2117" s="1" t="s">
        <v>5513</v>
      </c>
      <c r="P2117" s="5">
        <f>XLOOKUP(R2117, classification!C:C, classification!B:B, "Not Found")</f>
      </c>
      <c r="Q2117" s="1" t="s">
        <v>5514</v>
      </c>
      <c r="R2117" s="2"/>
      <c r="S2117" s="2"/>
      <c r="T2117" s="2"/>
      <c r="U2117" s="2"/>
    </row>
    <row x14ac:dyDescent="0.25" r="2118" customHeight="1" ht="17.25">
      <c r="A2118" s="7">
        <v>2117</v>
      </c>
      <c r="B2118" s="1" t="s">
        <v>7496</v>
      </c>
      <c r="C2118" s="5">
        <f>CONCATENATE("PD", TEXT(A2118, "1000000"))</f>
      </c>
      <c r="D2118" s="7">
        <v>76</v>
      </c>
      <c r="E2118" s="5">
        <f>XLOOKUP(G2118, item_category!C:C, item_category!B:B, "Not Found")</f>
      </c>
      <c r="F2118" s="1" t="s">
        <v>5632</v>
      </c>
      <c r="G2118" s="5">
        <f>XLOOKUP(I2118, drug!B:B, drug!A:A, "Not Found")</f>
      </c>
      <c r="H2118" s="1"/>
      <c r="I2118" s="7">
        <v>1</v>
      </c>
      <c r="J2118" s="5">
        <f>XLOOKUP(L2118, uom!C:C, uom!B:B, "Not Found")</f>
      </c>
      <c r="K2118" s="1" t="s">
        <v>5511</v>
      </c>
      <c r="L2118" s="5">
        <f>XLOOKUP(N2118, uom!C:C, uom!B:B, "Not Found")</f>
      </c>
      <c r="M2118" s="1" t="s">
        <v>5511</v>
      </c>
      <c r="N2118" s="8" t="s">
        <v>5512</v>
      </c>
      <c r="O2118" s="1" t="s">
        <v>5513</v>
      </c>
      <c r="P2118" s="5">
        <f>XLOOKUP(R2118, classification!C:C, classification!B:B, "Not Found")</f>
      </c>
      <c r="Q2118" s="1" t="s">
        <v>5514</v>
      </c>
      <c r="R2118" s="2"/>
      <c r="S2118" s="2"/>
      <c r="T2118" s="2"/>
      <c r="U2118" s="2"/>
    </row>
    <row x14ac:dyDescent="0.25" r="2119" customHeight="1" ht="17.25">
      <c r="A2119" s="7">
        <v>2118</v>
      </c>
      <c r="B2119" s="1" t="s">
        <v>7497</v>
      </c>
      <c r="C2119" s="5">
        <f>CONCATENATE("PD", TEXT(A2119, "1000000"))</f>
      </c>
      <c r="D2119" s="7">
        <v>76</v>
      </c>
      <c r="E2119" s="5">
        <f>XLOOKUP(G2119, item_category!C:C, item_category!B:B, "Not Found")</f>
      </c>
      <c r="F2119" s="1" t="s">
        <v>5632</v>
      </c>
      <c r="G2119" s="5">
        <f>XLOOKUP(I2119, drug!B:B, drug!A:A, "Not Found")</f>
      </c>
      <c r="H2119" s="1"/>
      <c r="I2119" s="7">
        <v>1</v>
      </c>
      <c r="J2119" s="5">
        <f>XLOOKUP(L2119, uom!C:C, uom!B:B, "Not Found")</f>
      </c>
      <c r="K2119" s="1" t="s">
        <v>5511</v>
      </c>
      <c r="L2119" s="5">
        <f>XLOOKUP(N2119, uom!C:C, uom!B:B, "Not Found")</f>
      </c>
      <c r="M2119" s="1" t="s">
        <v>5511</v>
      </c>
      <c r="N2119" s="8" t="s">
        <v>5512</v>
      </c>
      <c r="O2119" s="1" t="s">
        <v>5513</v>
      </c>
      <c r="P2119" s="5">
        <f>XLOOKUP(R2119, classification!C:C, classification!B:B, "Not Found")</f>
      </c>
      <c r="Q2119" s="1" t="s">
        <v>5514</v>
      </c>
      <c r="R2119" s="2"/>
      <c r="S2119" s="2"/>
      <c r="T2119" s="2"/>
      <c r="U2119" s="2"/>
    </row>
    <row x14ac:dyDescent="0.25" r="2120" customHeight="1" ht="17.25">
      <c r="A2120" s="7">
        <v>2119</v>
      </c>
      <c r="B2120" s="1" t="s">
        <v>7498</v>
      </c>
      <c r="C2120" s="5">
        <f>CONCATENATE("PD", TEXT(A2120, "1000000"))</f>
      </c>
      <c r="D2120" s="7">
        <v>76</v>
      </c>
      <c r="E2120" s="5">
        <f>XLOOKUP(G2120, item_category!C:C, item_category!B:B, "Not Found")</f>
      </c>
      <c r="F2120" s="1" t="s">
        <v>5632</v>
      </c>
      <c r="G2120" s="5">
        <f>XLOOKUP(I2120, drug!B:B, drug!A:A, "Not Found")</f>
      </c>
      <c r="H2120" s="1"/>
      <c r="I2120" s="7">
        <v>1</v>
      </c>
      <c r="J2120" s="5">
        <f>XLOOKUP(L2120, uom!C:C, uom!B:B, "Not Found")</f>
      </c>
      <c r="K2120" s="1" t="s">
        <v>5511</v>
      </c>
      <c r="L2120" s="5">
        <f>XLOOKUP(N2120, uom!C:C, uom!B:B, "Not Found")</f>
      </c>
      <c r="M2120" s="1" t="s">
        <v>5511</v>
      </c>
      <c r="N2120" s="8" t="s">
        <v>5512</v>
      </c>
      <c r="O2120" s="1" t="s">
        <v>5513</v>
      </c>
      <c r="P2120" s="5">
        <f>XLOOKUP(R2120, classification!C:C, classification!B:B, "Not Found")</f>
      </c>
      <c r="Q2120" s="1" t="s">
        <v>5514</v>
      </c>
      <c r="R2120" s="2"/>
      <c r="S2120" s="2"/>
      <c r="T2120" s="2"/>
      <c r="U2120" s="2"/>
    </row>
    <row x14ac:dyDescent="0.25" r="2121" customHeight="1" ht="17.25">
      <c r="A2121" s="7">
        <v>2120</v>
      </c>
      <c r="B2121" s="1" t="s">
        <v>7499</v>
      </c>
      <c r="C2121" s="5">
        <f>CONCATENATE("PD", TEXT(A2121, "1000000"))</f>
      </c>
      <c r="D2121" s="7">
        <v>76</v>
      </c>
      <c r="E2121" s="5">
        <f>XLOOKUP(G2121, item_category!C:C, item_category!B:B, "Not Found")</f>
      </c>
      <c r="F2121" s="1" t="s">
        <v>5632</v>
      </c>
      <c r="G2121" s="5">
        <f>XLOOKUP(I2121, drug!B:B, drug!A:A, "Not Found")</f>
      </c>
      <c r="H2121" s="1"/>
      <c r="I2121" s="7">
        <v>1</v>
      </c>
      <c r="J2121" s="5">
        <f>XLOOKUP(L2121, uom!C:C, uom!B:B, "Not Found")</f>
      </c>
      <c r="K2121" s="1" t="s">
        <v>5511</v>
      </c>
      <c r="L2121" s="5">
        <f>XLOOKUP(N2121, uom!C:C, uom!B:B, "Not Found")</f>
      </c>
      <c r="M2121" s="1" t="s">
        <v>5511</v>
      </c>
      <c r="N2121" s="8" t="s">
        <v>5512</v>
      </c>
      <c r="O2121" s="1" t="s">
        <v>5513</v>
      </c>
      <c r="P2121" s="5">
        <f>XLOOKUP(R2121, classification!C:C, classification!B:B, "Not Found")</f>
      </c>
      <c r="Q2121" s="1" t="s">
        <v>5514</v>
      </c>
      <c r="R2121" s="2"/>
      <c r="S2121" s="2"/>
      <c r="T2121" s="2"/>
      <c r="U2121" s="2"/>
    </row>
    <row x14ac:dyDescent="0.25" r="2122" customHeight="1" ht="17.25">
      <c r="A2122" s="7">
        <v>2121</v>
      </c>
      <c r="B2122" s="1" t="s">
        <v>7500</v>
      </c>
      <c r="C2122" s="5">
        <f>CONCATENATE("PD", TEXT(A2122, "1000000"))</f>
      </c>
      <c r="D2122" s="7">
        <v>76</v>
      </c>
      <c r="E2122" s="5">
        <f>XLOOKUP(G2122, item_category!C:C, item_category!B:B, "Not Found")</f>
      </c>
      <c r="F2122" s="1" t="s">
        <v>5632</v>
      </c>
      <c r="G2122" s="5">
        <f>XLOOKUP(I2122, drug!B:B, drug!A:A, "Not Found")</f>
      </c>
      <c r="H2122" s="1"/>
      <c r="I2122" s="7">
        <v>1</v>
      </c>
      <c r="J2122" s="5">
        <f>XLOOKUP(L2122, uom!C:C, uom!B:B, "Not Found")</f>
      </c>
      <c r="K2122" s="1" t="s">
        <v>5511</v>
      </c>
      <c r="L2122" s="5">
        <f>XLOOKUP(N2122, uom!C:C, uom!B:B, "Not Found")</f>
      </c>
      <c r="M2122" s="1" t="s">
        <v>5511</v>
      </c>
      <c r="N2122" s="8" t="s">
        <v>5512</v>
      </c>
      <c r="O2122" s="1" t="s">
        <v>5513</v>
      </c>
      <c r="P2122" s="5">
        <f>XLOOKUP(R2122, classification!C:C, classification!B:B, "Not Found")</f>
      </c>
      <c r="Q2122" s="1" t="s">
        <v>5514</v>
      </c>
      <c r="R2122" s="2"/>
      <c r="S2122" s="2"/>
      <c r="T2122" s="2"/>
      <c r="U2122" s="2"/>
    </row>
    <row x14ac:dyDescent="0.25" r="2123" customHeight="1" ht="17.25">
      <c r="A2123" s="7">
        <v>2122</v>
      </c>
      <c r="B2123" s="1" t="s">
        <v>7501</v>
      </c>
      <c r="C2123" s="5">
        <f>CONCATENATE("PD", TEXT(A2123, "1000000"))</f>
      </c>
      <c r="D2123" s="7">
        <v>76</v>
      </c>
      <c r="E2123" s="5">
        <f>XLOOKUP(G2123, item_category!C:C, item_category!B:B, "Not Found")</f>
      </c>
      <c r="F2123" s="1" t="s">
        <v>5632</v>
      </c>
      <c r="G2123" s="5">
        <f>XLOOKUP(I2123, drug!B:B, drug!A:A, "Not Found")</f>
      </c>
      <c r="H2123" s="1"/>
      <c r="I2123" s="7">
        <v>1</v>
      </c>
      <c r="J2123" s="5">
        <f>XLOOKUP(L2123, uom!C:C, uom!B:B, "Not Found")</f>
      </c>
      <c r="K2123" s="1" t="s">
        <v>5511</v>
      </c>
      <c r="L2123" s="5">
        <f>XLOOKUP(N2123, uom!C:C, uom!B:B, "Not Found")</f>
      </c>
      <c r="M2123" s="1" t="s">
        <v>5511</v>
      </c>
      <c r="N2123" s="8" t="s">
        <v>5512</v>
      </c>
      <c r="O2123" s="1" t="s">
        <v>5513</v>
      </c>
      <c r="P2123" s="5">
        <f>XLOOKUP(R2123, classification!C:C, classification!B:B, "Not Found")</f>
      </c>
      <c r="Q2123" s="1" t="s">
        <v>5514</v>
      </c>
      <c r="R2123" s="2"/>
      <c r="S2123" s="2"/>
      <c r="T2123" s="2"/>
      <c r="U2123" s="2"/>
    </row>
    <row x14ac:dyDescent="0.25" r="2124" customHeight="1" ht="17.25">
      <c r="A2124" s="7">
        <v>2123</v>
      </c>
      <c r="B2124" s="1" t="s">
        <v>7502</v>
      </c>
      <c r="C2124" s="5">
        <f>CONCATENATE("PD", TEXT(A2124, "1000000"))</f>
      </c>
      <c r="D2124" s="7">
        <v>76</v>
      </c>
      <c r="E2124" s="5">
        <f>XLOOKUP(G2124, item_category!C:C, item_category!B:B, "Not Found")</f>
      </c>
      <c r="F2124" s="1" t="s">
        <v>5632</v>
      </c>
      <c r="G2124" s="5">
        <f>XLOOKUP(I2124, drug!B:B, drug!A:A, "Not Found")</f>
      </c>
      <c r="H2124" s="1"/>
      <c r="I2124" s="7">
        <v>1</v>
      </c>
      <c r="J2124" s="5">
        <f>XLOOKUP(L2124, uom!C:C, uom!B:B, "Not Found")</f>
      </c>
      <c r="K2124" s="1" t="s">
        <v>5511</v>
      </c>
      <c r="L2124" s="5">
        <f>XLOOKUP(N2124, uom!C:C, uom!B:B, "Not Found")</f>
      </c>
      <c r="M2124" s="1" t="s">
        <v>5511</v>
      </c>
      <c r="N2124" s="8" t="s">
        <v>5512</v>
      </c>
      <c r="O2124" s="1" t="s">
        <v>5513</v>
      </c>
      <c r="P2124" s="5">
        <f>XLOOKUP(R2124, classification!C:C, classification!B:B, "Not Found")</f>
      </c>
      <c r="Q2124" s="1" t="s">
        <v>5514</v>
      </c>
      <c r="R2124" s="2"/>
      <c r="S2124" s="2"/>
      <c r="T2124" s="2"/>
      <c r="U2124" s="2"/>
    </row>
    <row x14ac:dyDescent="0.25" r="2125" customHeight="1" ht="17.25">
      <c r="A2125" s="7">
        <v>2124</v>
      </c>
      <c r="B2125" s="1" t="s">
        <v>7503</v>
      </c>
      <c r="C2125" s="5">
        <f>CONCATENATE("PD", TEXT(A2125, "1000000"))</f>
      </c>
      <c r="D2125" s="7">
        <v>76</v>
      </c>
      <c r="E2125" s="5">
        <f>XLOOKUP(G2125, item_category!C:C, item_category!B:B, "Not Found")</f>
      </c>
      <c r="F2125" s="1" t="s">
        <v>5632</v>
      </c>
      <c r="G2125" s="5">
        <f>XLOOKUP(I2125, drug!B:B, drug!A:A, "Not Found")</f>
      </c>
      <c r="H2125" s="1"/>
      <c r="I2125" s="7">
        <v>1</v>
      </c>
      <c r="J2125" s="5">
        <f>XLOOKUP(L2125, uom!C:C, uom!B:B, "Not Found")</f>
      </c>
      <c r="K2125" s="1" t="s">
        <v>5511</v>
      </c>
      <c r="L2125" s="5">
        <f>XLOOKUP(N2125, uom!C:C, uom!B:B, "Not Found")</f>
      </c>
      <c r="M2125" s="1" t="s">
        <v>5511</v>
      </c>
      <c r="N2125" s="8" t="s">
        <v>5512</v>
      </c>
      <c r="O2125" s="1" t="s">
        <v>5513</v>
      </c>
      <c r="P2125" s="5">
        <f>XLOOKUP(R2125, classification!C:C, classification!B:B, "Not Found")</f>
      </c>
      <c r="Q2125" s="1" t="s">
        <v>5514</v>
      </c>
      <c r="R2125" s="2"/>
      <c r="S2125" s="2"/>
      <c r="T2125" s="2"/>
      <c r="U2125" s="2"/>
    </row>
    <row x14ac:dyDescent="0.25" r="2126" customHeight="1" ht="17.25">
      <c r="A2126" s="7">
        <v>2125</v>
      </c>
      <c r="B2126" s="1" t="s">
        <v>7504</v>
      </c>
      <c r="C2126" s="5">
        <f>CONCATENATE("PD", TEXT(A2126, "1000000"))</f>
      </c>
      <c r="D2126" s="7">
        <v>76</v>
      </c>
      <c r="E2126" s="5">
        <f>XLOOKUP(G2126, item_category!C:C, item_category!B:B, "Not Found")</f>
      </c>
      <c r="F2126" s="1" t="s">
        <v>5632</v>
      </c>
      <c r="G2126" s="5">
        <f>XLOOKUP(I2126, drug!B:B, drug!A:A, "Not Found")</f>
      </c>
      <c r="H2126" s="1"/>
      <c r="I2126" s="7">
        <v>1</v>
      </c>
      <c r="J2126" s="5">
        <f>XLOOKUP(L2126, uom!C:C, uom!B:B, "Not Found")</f>
      </c>
      <c r="K2126" s="1" t="s">
        <v>5511</v>
      </c>
      <c r="L2126" s="5">
        <f>XLOOKUP(N2126, uom!C:C, uom!B:B, "Not Found")</f>
      </c>
      <c r="M2126" s="1" t="s">
        <v>5511</v>
      </c>
      <c r="N2126" s="8" t="s">
        <v>5512</v>
      </c>
      <c r="O2126" s="1" t="s">
        <v>5513</v>
      </c>
      <c r="P2126" s="5">
        <f>XLOOKUP(R2126, classification!C:C, classification!B:B, "Not Found")</f>
      </c>
      <c r="Q2126" s="1" t="s">
        <v>5514</v>
      </c>
      <c r="R2126" s="2"/>
      <c r="S2126" s="2"/>
      <c r="T2126" s="2"/>
      <c r="U2126" s="2"/>
    </row>
    <row x14ac:dyDescent="0.25" r="2127" customHeight="1" ht="17.25">
      <c r="A2127" s="7">
        <v>2126</v>
      </c>
      <c r="B2127" s="1" t="s">
        <v>7505</v>
      </c>
      <c r="C2127" s="5">
        <f>CONCATENATE("PD", TEXT(A2127, "1000000"))</f>
      </c>
      <c r="D2127" s="7">
        <v>76</v>
      </c>
      <c r="E2127" s="5">
        <f>XLOOKUP(G2127, item_category!C:C, item_category!B:B, "Not Found")</f>
      </c>
      <c r="F2127" s="1" t="s">
        <v>5632</v>
      </c>
      <c r="G2127" s="5">
        <f>XLOOKUP(I2127, drug!B:B, drug!A:A, "Not Found")</f>
      </c>
      <c r="H2127" s="1"/>
      <c r="I2127" s="7">
        <v>1</v>
      </c>
      <c r="J2127" s="5">
        <f>XLOOKUP(L2127, uom!C:C, uom!B:B, "Not Found")</f>
      </c>
      <c r="K2127" s="1" t="s">
        <v>5511</v>
      </c>
      <c r="L2127" s="5">
        <f>XLOOKUP(N2127, uom!C:C, uom!B:B, "Not Found")</f>
      </c>
      <c r="M2127" s="1" t="s">
        <v>5511</v>
      </c>
      <c r="N2127" s="8" t="s">
        <v>5512</v>
      </c>
      <c r="O2127" s="1" t="s">
        <v>5513</v>
      </c>
      <c r="P2127" s="5">
        <f>XLOOKUP(R2127, classification!C:C, classification!B:B, "Not Found")</f>
      </c>
      <c r="Q2127" s="1" t="s">
        <v>5514</v>
      </c>
      <c r="R2127" s="2"/>
      <c r="S2127" s="2"/>
      <c r="T2127" s="2"/>
      <c r="U2127" s="2"/>
    </row>
    <row x14ac:dyDescent="0.25" r="2128" customHeight="1" ht="17.25">
      <c r="A2128" s="7">
        <v>2127</v>
      </c>
      <c r="B2128" s="1" t="s">
        <v>7506</v>
      </c>
      <c r="C2128" s="5">
        <f>CONCATENATE("PD", TEXT(A2128, "1000000"))</f>
      </c>
      <c r="D2128" s="7">
        <v>76</v>
      </c>
      <c r="E2128" s="5">
        <f>XLOOKUP(G2128, item_category!C:C, item_category!B:B, "Not Found")</f>
      </c>
      <c r="F2128" s="1" t="s">
        <v>5632</v>
      </c>
      <c r="G2128" s="5">
        <f>XLOOKUP(I2128, drug!B:B, drug!A:A, "Not Found")</f>
      </c>
      <c r="H2128" s="1"/>
      <c r="I2128" s="7">
        <v>1</v>
      </c>
      <c r="J2128" s="5">
        <f>XLOOKUP(L2128, uom!C:C, uom!B:B, "Not Found")</f>
      </c>
      <c r="K2128" s="1" t="s">
        <v>5511</v>
      </c>
      <c r="L2128" s="5">
        <f>XLOOKUP(N2128, uom!C:C, uom!B:B, "Not Found")</f>
      </c>
      <c r="M2128" s="1" t="s">
        <v>5511</v>
      </c>
      <c r="N2128" s="8" t="s">
        <v>5512</v>
      </c>
      <c r="O2128" s="1" t="s">
        <v>5513</v>
      </c>
      <c r="P2128" s="5">
        <f>XLOOKUP(R2128, classification!C:C, classification!B:B, "Not Found")</f>
      </c>
      <c r="Q2128" s="1" t="s">
        <v>5514</v>
      </c>
      <c r="R2128" s="2"/>
      <c r="S2128" s="2"/>
      <c r="T2128" s="2"/>
      <c r="U2128" s="2"/>
    </row>
    <row x14ac:dyDescent="0.25" r="2129" customHeight="1" ht="17.25">
      <c r="A2129" s="7">
        <v>2128</v>
      </c>
      <c r="B2129" s="1" t="s">
        <v>3156</v>
      </c>
      <c r="C2129" s="5">
        <f>CONCATENATE("PD", TEXT(A2129, "1000000"))</f>
      </c>
      <c r="D2129" s="7">
        <v>76</v>
      </c>
      <c r="E2129" s="5">
        <f>XLOOKUP(G2129, item_category!C:C, item_category!B:B, "Not Found")</f>
      </c>
      <c r="F2129" s="1" t="s">
        <v>5632</v>
      </c>
      <c r="G2129" s="5">
        <f>XLOOKUP(I2129, drug!B:B, drug!A:A, "Not Found")</f>
      </c>
      <c r="H2129" s="1"/>
      <c r="I2129" s="7">
        <v>1</v>
      </c>
      <c r="J2129" s="5">
        <f>XLOOKUP(L2129, uom!C:C, uom!B:B, "Not Found")</f>
      </c>
      <c r="K2129" s="1" t="s">
        <v>5511</v>
      </c>
      <c r="L2129" s="5">
        <f>XLOOKUP(N2129, uom!C:C, uom!B:B, "Not Found")</f>
      </c>
      <c r="M2129" s="1" t="s">
        <v>5511</v>
      </c>
      <c r="N2129" s="8" t="s">
        <v>5512</v>
      </c>
      <c r="O2129" s="1" t="s">
        <v>5513</v>
      </c>
      <c r="P2129" s="5">
        <f>XLOOKUP(R2129, classification!C:C, classification!B:B, "Not Found")</f>
      </c>
      <c r="Q2129" s="1" t="s">
        <v>5514</v>
      </c>
      <c r="R2129" s="2"/>
      <c r="S2129" s="2"/>
      <c r="T2129" s="2"/>
      <c r="U2129" s="2"/>
    </row>
    <row x14ac:dyDescent="0.25" r="2130" customHeight="1" ht="17.25">
      <c r="A2130" s="7">
        <v>2129</v>
      </c>
      <c r="B2130" s="1" t="s">
        <v>7507</v>
      </c>
      <c r="C2130" s="5">
        <f>CONCATENATE("PD", TEXT(A2130, "1000000"))</f>
      </c>
      <c r="D2130" s="7">
        <v>76</v>
      </c>
      <c r="E2130" s="5">
        <f>XLOOKUP(G2130, item_category!C:C, item_category!B:B, "Not Found")</f>
      </c>
      <c r="F2130" s="1" t="s">
        <v>5632</v>
      </c>
      <c r="G2130" s="5">
        <f>XLOOKUP(I2130, drug!B:B, drug!A:A, "Not Found")</f>
      </c>
      <c r="H2130" s="1"/>
      <c r="I2130" s="7">
        <v>1</v>
      </c>
      <c r="J2130" s="5">
        <f>XLOOKUP(L2130, uom!C:C, uom!B:B, "Not Found")</f>
      </c>
      <c r="K2130" s="1" t="s">
        <v>5511</v>
      </c>
      <c r="L2130" s="5">
        <f>XLOOKUP(N2130, uom!C:C, uom!B:B, "Not Found")</f>
      </c>
      <c r="M2130" s="1" t="s">
        <v>5511</v>
      </c>
      <c r="N2130" s="8" t="s">
        <v>5512</v>
      </c>
      <c r="O2130" s="1" t="s">
        <v>5513</v>
      </c>
      <c r="P2130" s="5">
        <f>XLOOKUP(R2130, classification!C:C, classification!B:B, "Not Found")</f>
      </c>
      <c r="Q2130" s="1" t="s">
        <v>5514</v>
      </c>
      <c r="R2130" s="2"/>
      <c r="S2130" s="2"/>
      <c r="T2130" s="2"/>
      <c r="U2130" s="2"/>
    </row>
    <row x14ac:dyDescent="0.25" r="2131" customHeight="1" ht="17.25">
      <c r="A2131" s="7">
        <v>2130</v>
      </c>
      <c r="B2131" s="1" t="s">
        <v>7508</v>
      </c>
      <c r="C2131" s="5">
        <f>CONCATENATE("PD", TEXT(A2131, "1000000"))</f>
      </c>
      <c r="D2131" s="7">
        <v>76</v>
      </c>
      <c r="E2131" s="5">
        <f>XLOOKUP(G2131, item_category!C:C, item_category!B:B, "Not Found")</f>
      </c>
      <c r="F2131" s="1" t="s">
        <v>5632</v>
      </c>
      <c r="G2131" s="5">
        <f>XLOOKUP(I2131, drug!B:B, drug!A:A, "Not Found")</f>
      </c>
      <c r="H2131" s="1"/>
      <c r="I2131" s="7">
        <v>1</v>
      </c>
      <c r="J2131" s="5">
        <f>XLOOKUP(L2131, uom!C:C, uom!B:B, "Not Found")</f>
      </c>
      <c r="K2131" s="1" t="s">
        <v>5511</v>
      </c>
      <c r="L2131" s="5">
        <f>XLOOKUP(N2131, uom!C:C, uom!B:B, "Not Found")</f>
      </c>
      <c r="M2131" s="1" t="s">
        <v>5511</v>
      </c>
      <c r="N2131" s="8" t="s">
        <v>5512</v>
      </c>
      <c r="O2131" s="1" t="s">
        <v>5513</v>
      </c>
      <c r="P2131" s="5">
        <f>XLOOKUP(R2131, classification!C:C, classification!B:B, "Not Found")</f>
      </c>
      <c r="Q2131" s="1" t="s">
        <v>5514</v>
      </c>
      <c r="R2131" s="2"/>
      <c r="S2131" s="2"/>
      <c r="T2131" s="2"/>
      <c r="U2131" s="2"/>
    </row>
    <row x14ac:dyDescent="0.25" r="2132" customHeight="1" ht="17.25">
      <c r="A2132" s="7">
        <v>2131</v>
      </c>
      <c r="B2132" s="1" t="s">
        <v>7509</v>
      </c>
      <c r="C2132" s="5">
        <f>CONCATENATE("PD", TEXT(A2132, "1000000"))</f>
      </c>
      <c r="D2132" s="7">
        <v>76</v>
      </c>
      <c r="E2132" s="5">
        <f>XLOOKUP(G2132, item_category!C:C, item_category!B:B, "Not Found")</f>
      </c>
      <c r="F2132" s="1" t="s">
        <v>5632</v>
      </c>
      <c r="G2132" s="5">
        <f>XLOOKUP(I2132, drug!B:B, drug!A:A, "Not Found")</f>
      </c>
      <c r="H2132" s="1"/>
      <c r="I2132" s="7">
        <v>1</v>
      </c>
      <c r="J2132" s="5">
        <f>XLOOKUP(L2132, uom!C:C, uom!B:B, "Not Found")</f>
      </c>
      <c r="K2132" s="1" t="s">
        <v>5511</v>
      </c>
      <c r="L2132" s="5">
        <f>XLOOKUP(N2132, uom!C:C, uom!B:B, "Not Found")</f>
      </c>
      <c r="M2132" s="1" t="s">
        <v>5511</v>
      </c>
      <c r="N2132" s="8" t="s">
        <v>5512</v>
      </c>
      <c r="O2132" s="1" t="s">
        <v>5513</v>
      </c>
      <c r="P2132" s="5">
        <f>XLOOKUP(R2132, classification!C:C, classification!B:B, "Not Found")</f>
      </c>
      <c r="Q2132" s="1" t="s">
        <v>5514</v>
      </c>
      <c r="R2132" s="2"/>
      <c r="S2132" s="2"/>
      <c r="T2132" s="2"/>
      <c r="U2132" s="2"/>
    </row>
    <row x14ac:dyDescent="0.25" r="2133" customHeight="1" ht="17.25">
      <c r="A2133" s="7">
        <v>2132</v>
      </c>
      <c r="B2133" s="1" t="s">
        <v>7510</v>
      </c>
      <c r="C2133" s="5">
        <f>CONCATENATE("PD", TEXT(A2133, "1000000"))</f>
      </c>
      <c r="D2133" s="7">
        <v>76</v>
      </c>
      <c r="E2133" s="5">
        <f>XLOOKUP(G2133, item_category!C:C, item_category!B:B, "Not Found")</f>
      </c>
      <c r="F2133" s="1" t="s">
        <v>5632</v>
      </c>
      <c r="G2133" s="5">
        <f>XLOOKUP(I2133, drug!B:B, drug!A:A, "Not Found")</f>
      </c>
      <c r="H2133" s="1"/>
      <c r="I2133" s="7">
        <v>1</v>
      </c>
      <c r="J2133" s="5">
        <f>XLOOKUP(L2133, uom!C:C, uom!B:B, "Not Found")</f>
      </c>
      <c r="K2133" s="1" t="s">
        <v>5511</v>
      </c>
      <c r="L2133" s="5">
        <f>XLOOKUP(N2133, uom!C:C, uom!B:B, "Not Found")</f>
      </c>
      <c r="M2133" s="1" t="s">
        <v>5511</v>
      </c>
      <c r="N2133" s="8" t="s">
        <v>5512</v>
      </c>
      <c r="O2133" s="1" t="s">
        <v>5513</v>
      </c>
      <c r="P2133" s="5">
        <f>XLOOKUP(R2133, classification!C:C, classification!B:B, "Not Found")</f>
      </c>
      <c r="Q2133" s="1" t="s">
        <v>5514</v>
      </c>
      <c r="R2133" s="2"/>
      <c r="S2133" s="2"/>
      <c r="T2133" s="2"/>
      <c r="U2133" s="2"/>
    </row>
    <row x14ac:dyDescent="0.25" r="2134" customHeight="1" ht="17.25">
      <c r="A2134" s="7">
        <v>2133</v>
      </c>
      <c r="B2134" s="1" t="s">
        <v>7511</v>
      </c>
      <c r="C2134" s="5">
        <f>CONCATENATE("PD", TEXT(A2134, "1000000"))</f>
      </c>
      <c r="D2134" s="7">
        <v>76</v>
      </c>
      <c r="E2134" s="5">
        <f>XLOOKUP(G2134, item_category!C:C, item_category!B:B, "Not Found")</f>
      </c>
      <c r="F2134" s="1" t="s">
        <v>5632</v>
      </c>
      <c r="G2134" s="5">
        <f>XLOOKUP(I2134, drug!B:B, drug!A:A, "Not Found")</f>
      </c>
      <c r="H2134" s="1"/>
      <c r="I2134" s="7">
        <v>1</v>
      </c>
      <c r="J2134" s="5">
        <f>XLOOKUP(L2134, uom!C:C, uom!B:B, "Not Found")</f>
      </c>
      <c r="K2134" s="1" t="s">
        <v>5511</v>
      </c>
      <c r="L2134" s="5">
        <f>XLOOKUP(N2134, uom!C:C, uom!B:B, "Not Found")</f>
      </c>
      <c r="M2134" s="1" t="s">
        <v>5511</v>
      </c>
      <c r="N2134" s="8" t="s">
        <v>5512</v>
      </c>
      <c r="O2134" s="1" t="s">
        <v>5513</v>
      </c>
      <c r="P2134" s="5">
        <f>XLOOKUP(R2134, classification!C:C, classification!B:B, "Not Found")</f>
      </c>
      <c r="Q2134" s="1" t="s">
        <v>5514</v>
      </c>
      <c r="R2134" s="2"/>
      <c r="S2134" s="2"/>
      <c r="T2134" s="2"/>
      <c r="U2134" s="2"/>
    </row>
    <row x14ac:dyDescent="0.25" r="2135" customHeight="1" ht="17.25">
      <c r="A2135" s="7">
        <v>2134</v>
      </c>
      <c r="B2135" s="1" t="s">
        <v>7512</v>
      </c>
      <c r="C2135" s="5">
        <f>CONCATENATE("PD", TEXT(A2135, "1000000"))</f>
      </c>
      <c r="D2135" s="7">
        <v>76</v>
      </c>
      <c r="E2135" s="5">
        <f>XLOOKUP(G2135, item_category!C:C, item_category!B:B, "Not Found")</f>
      </c>
      <c r="F2135" s="1" t="s">
        <v>5632</v>
      </c>
      <c r="G2135" s="5">
        <f>XLOOKUP(I2135, drug!B:B, drug!A:A, "Not Found")</f>
      </c>
      <c r="H2135" s="1"/>
      <c r="I2135" s="7">
        <v>50</v>
      </c>
      <c r="J2135" s="5">
        <f>XLOOKUP(L2135, uom!C:C, uom!B:B, "Not Found")</f>
      </c>
      <c r="K2135" s="1" t="s">
        <v>5511</v>
      </c>
      <c r="L2135" s="5">
        <f>XLOOKUP(N2135, uom!C:C, uom!B:B, "Not Found")</f>
      </c>
      <c r="M2135" s="1" t="s">
        <v>5511</v>
      </c>
      <c r="N2135" s="8" t="s">
        <v>5524</v>
      </c>
      <c r="O2135" s="1" t="s">
        <v>5525</v>
      </c>
      <c r="P2135" s="5">
        <f>XLOOKUP(R2135, classification!C:C, classification!B:B, "Not Found")</f>
      </c>
      <c r="Q2135" s="1" t="s">
        <v>5514</v>
      </c>
      <c r="R2135" s="2"/>
      <c r="S2135" s="2"/>
      <c r="T2135" s="2"/>
      <c r="U2135" s="2"/>
    </row>
    <row x14ac:dyDescent="0.25" r="2136" customHeight="1" ht="17.25">
      <c r="A2136" s="7">
        <v>2135</v>
      </c>
      <c r="B2136" s="1" t="s">
        <v>7513</v>
      </c>
      <c r="C2136" s="5">
        <f>CONCATENATE("PD", TEXT(A2136, "1000000"))</f>
      </c>
      <c r="D2136" s="7">
        <v>76</v>
      </c>
      <c r="E2136" s="5">
        <f>XLOOKUP(G2136, item_category!C:C, item_category!B:B, "Not Found")</f>
      </c>
      <c r="F2136" s="1" t="s">
        <v>5632</v>
      </c>
      <c r="G2136" s="5">
        <f>XLOOKUP(I2136, drug!B:B, drug!A:A, "Not Found")</f>
      </c>
      <c r="H2136" s="1" t="s">
        <v>1588</v>
      </c>
      <c r="I2136" s="7">
        <v>1</v>
      </c>
      <c r="J2136" s="5">
        <f>XLOOKUP(L2136, uom!C:C, uom!B:B, "Not Found")</f>
      </c>
      <c r="K2136" s="1" t="s">
        <v>5511</v>
      </c>
      <c r="L2136" s="5">
        <f>XLOOKUP(N2136, uom!C:C, uom!B:B, "Not Found")</f>
      </c>
      <c r="M2136" s="1" t="s">
        <v>5511</v>
      </c>
      <c r="N2136" s="8" t="s">
        <v>5512</v>
      </c>
      <c r="O2136" s="1" t="s">
        <v>5513</v>
      </c>
      <c r="P2136" s="5">
        <f>XLOOKUP(R2136, classification!C:C, classification!B:B, "Not Found")</f>
      </c>
      <c r="Q2136" s="1" t="s">
        <v>5514</v>
      </c>
      <c r="R2136" s="2"/>
      <c r="S2136" s="2"/>
      <c r="T2136" s="2"/>
      <c r="U2136" s="2"/>
    </row>
    <row x14ac:dyDescent="0.25" r="2137" customHeight="1" ht="17.25">
      <c r="A2137" s="7">
        <v>2136</v>
      </c>
      <c r="B2137" s="1" t="s">
        <v>7514</v>
      </c>
      <c r="C2137" s="5">
        <f>CONCATENATE("PD", TEXT(A2137, "1000000"))</f>
      </c>
      <c r="D2137" s="7">
        <v>76</v>
      </c>
      <c r="E2137" s="5">
        <f>XLOOKUP(G2137, item_category!C:C, item_category!B:B, "Not Found")</f>
      </c>
      <c r="F2137" s="1" t="s">
        <v>5632</v>
      </c>
      <c r="G2137" s="5">
        <f>XLOOKUP(I2137, drug!B:B, drug!A:A, "Not Found")</f>
      </c>
      <c r="H2137" s="1"/>
      <c r="I2137" s="7">
        <v>1</v>
      </c>
      <c r="J2137" s="5">
        <f>XLOOKUP(L2137, uom!C:C, uom!B:B, "Not Found")</f>
      </c>
      <c r="K2137" s="1" t="s">
        <v>5511</v>
      </c>
      <c r="L2137" s="5">
        <f>XLOOKUP(N2137, uom!C:C, uom!B:B, "Not Found")</f>
      </c>
      <c r="M2137" s="1" t="s">
        <v>5511</v>
      </c>
      <c r="N2137" s="8" t="s">
        <v>5512</v>
      </c>
      <c r="O2137" s="1" t="s">
        <v>5513</v>
      </c>
      <c r="P2137" s="5">
        <f>XLOOKUP(R2137, classification!C:C, classification!B:B, "Not Found")</f>
      </c>
      <c r="Q2137" s="1" t="s">
        <v>5514</v>
      </c>
      <c r="R2137" s="2"/>
      <c r="S2137" s="2"/>
      <c r="T2137" s="2"/>
      <c r="U2137" s="2"/>
    </row>
    <row x14ac:dyDescent="0.25" r="2138" customHeight="1" ht="17.25">
      <c r="A2138" s="7">
        <v>2137</v>
      </c>
      <c r="B2138" s="1" t="s">
        <v>7515</v>
      </c>
      <c r="C2138" s="5">
        <f>CONCATENATE("PD", TEXT(A2138, "1000000"))</f>
      </c>
      <c r="D2138" s="7">
        <v>76</v>
      </c>
      <c r="E2138" s="5">
        <f>XLOOKUP(G2138, item_category!C:C, item_category!B:B, "Not Found")</f>
      </c>
      <c r="F2138" s="1" t="s">
        <v>5632</v>
      </c>
      <c r="G2138" s="5">
        <f>XLOOKUP(I2138, drug!B:B, drug!A:A, "Not Found")</f>
      </c>
      <c r="H2138" s="1" t="s">
        <v>1588</v>
      </c>
      <c r="I2138" s="7">
        <v>1</v>
      </c>
      <c r="J2138" s="5">
        <f>XLOOKUP(L2138, uom!C:C, uom!B:B, "Not Found")</f>
      </c>
      <c r="K2138" s="1" t="s">
        <v>5511</v>
      </c>
      <c r="L2138" s="5">
        <f>XLOOKUP(N2138, uom!C:C, uom!B:B, "Not Found")</f>
      </c>
      <c r="M2138" s="1" t="s">
        <v>5511</v>
      </c>
      <c r="N2138" s="8" t="s">
        <v>5512</v>
      </c>
      <c r="O2138" s="1" t="s">
        <v>5513</v>
      </c>
      <c r="P2138" s="5">
        <f>XLOOKUP(R2138, classification!C:C, classification!B:B, "Not Found")</f>
      </c>
      <c r="Q2138" s="1" t="s">
        <v>5514</v>
      </c>
      <c r="R2138" s="2"/>
      <c r="S2138" s="2"/>
      <c r="T2138" s="2"/>
      <c r="U2138" s="2"/>
    </row>
    <row x14ac:dyDescent="0.25" r="2139" customHeight="1" ht="17.25">
      <c r="A2139" s="7">
        <v>2138</v>
      </c>
      <c r="B2139" s="1" t="s">
        <v>7516</v>
      </c>
      <c r="C2139" s="5">
        <f>CONCATENATE("PD", TEXT(A2139, "1000000"))</f>
      </c>
      <c r="D2139" s="7">
        <v>76</v>
      </c>
      <c r="E2139" s="5">
        <f>XLOOKUP(G2139, item_category!C:C, item_category!B:B, "Not Found")</f>
      </c>
      <c r="F2139" s="1" t="s">
        <v>5632</v>
      </c>
      <c r="G2139" s="5">
        <f>XLOOKUP(I2139, drug!B:B, drug!A:A, "Not Found")</f>
      </c>
      <c r="H2139" s="1" t="s">
        <v>1588</v>
      </c>
      <c r="I2139" s="7">
        <v>1</v>
      </c>
      <c r="J2139" s="5">
        <f>XLOOKUP(L2139, uom!C:C, uom!B:B, "Not Found")</f>
      </c>
      <c r="K2139" s="1" t="s">
        <v>5511</v>
      </c>
      <c r="L2139" s="5">
        <f>XLOOKUP(N2139, uom!C:C, uom!B:B, "Not Found")</f>
      </c>
      <c r="M2139" s="1" t="s">
        <v>5511</v>
      </c>
      <c r="N2139" s="8" t="s">
        <v>5512</v>
      </c>
      <c r="O2139" s="1" t="s">
        <v>5513</v>
      </c>
      <c r="P2139" s="5">
        <f>XLOOKUP(R2139, classification!C:C, classification!B:B, "Not Found")</f>
      </c>
      <c r="Q2139" s="1" t="s">
        <v>5514</v>
      </c>
      <c r="R2139" s="2"/>
      <c r="S2139" s="2"/>
      <c r="T2139" s="2"/>
      <c r="U2139" s="2"/>
    </row>
    <row x14ac:dyDescent="0.25" r="2140" customHeight="1" ht="17.25">
      <c r="A2140" s="7">
        <v>2139</v>
      </c>
      <c r="B2140" s="1" t="s">
        <v>7517</v>
      </c>
      <c r="C2140" s="5">
        <f>CONCATENATE("PD", TEXT(A2140, "1000000"))</f>
      </c>
      <c r="D2140" s="7">
        <v>76</v>
      </c>
      <c r="E2140" s="5">
        <f>XLOOKUP(G2140, item_category!C:C, item_category!B:B, "Not Found")</f>
      </c>
      <c r="F2140" s="1" t="s">
        <v>5632</v>
      </c>
      <c r="G2140" s="5">
        <f>XLOOKUP(I2140, drug!B:B, drug!A:A, "Not Found")</f>
      </c>
      <c r="H2140" s="1"/>
      <c r="I2140" s="7">
        <v>1</v>
      </c>
      <c r="J2140" s="5">
        <f>XLOOKUP(L2140, uom!C:C, uom!B:B, "Not Found")</f>
      </c>
      <c r="K2140" s="1" t="s">
        <v>5511</v>
      </c>
      <c r="L2140" s="5">
        <f>XLOOKUP(N2140, uom!C:C, uom!B:B, "Not Found")</f>
      </c>
      <c r="M2140" s="1" t="s">
        <v>5511</v>
      </c>
      <c r="N2140" s="8" t="s">
        <v>5512</v>
      </c>
      <c r="O2140" s="1" t="s">
        <v>5513</v>
      </c>
      <c r="P2140" s="5">
        <f>XLOOKUP(R2140, classification!C:C, classification!B:B, "Not Found")</f>
      </c>
      <c r="Q2140" s="1" t="s">
        <v>5514</v>
      </c>
      <c r="R2140" s="2"/>
      <c r="S2140" s="2"/>
      <c r="T2140" s="2"/>
      <c r="U2140" s="2"/>
    </row>
    <row x14ac:dyDescent="0.25" r="2141" customHeight="1" ht="17.25">
      <c r="A2141" s="7">
        <v>2140</v>
      </c>
      <c r="B2141" s="1" t="s">
        <v>3160</v>
      </c>
      <c r="C2141" s="5">
        <f>CONCATENATE("PD", TEXT(A2141, "1000000"))</f>
      </c>
      <c r="D2141" s="7">
        <v>76</v>
      </c>
      <c r="E2141" s="5">
        <f>XLOOKUP(G2141, item_category!C:C, item_category!B:B, "Not Found")</f>
      </c>
      <c r="F2141" s="1" t="s">
        <v>5632</v>
      </c>
      <c r="G2141" s="5">
        <f>XLOOKUP(I2141, drug!B:B, drug!A:A, "Not Found")</f>
      </c>
      <c r="H2141" s="1"/>
      <c r="I2141" s="7">
        <v>1</v>
      </c>
      <c r="J2141" s="5">
        <f>XLOOKUP(L2141, uom!C:C, uom!B:B, "Not Found")</f>
      </c>
      <c r="K2141" s="1" t="s">
        <v>5511</v>
      </c>
      <c r="L2141" s="5">
        <f>XLOOKUP(N2141, uom!C:C, uom!B:B, "Not Found")</f>
      </c>
      <c r="M2141" s="1" t="s">
        <v>5511</v>
      </c>
      <c r="N2141" s="8" t="s">
        <v>5512</v>
      </c>
      <c r="O2141" s="1" t="s">
        <v>5513</v>
      </c>
      <c r="P2141" s="5">
        <f>XLOOKUP(R2141, classification!C:C, classification!B:B, "Not Found")</f>
      </c>
      <c r="Q2141" s="1" t="s">
        <v>5514</v>
      </c>
      <c r="R2141" s="2"/>
      <c r="S2141" s="2"/>
      <c r="T2141" s="2"/>
      <c r="U2141" s="2"/>
    </row>
    <row x14ac:dyDescent="0.25" r="2142" customHeight="1" ht="17.25">
      <c r="A2142" s="7">
        <v>2141</v>
      </c>
      <c r="B2142" s="1" t="s">
        <v>3162</v>
      </c>
      <c r="C2142" s="5">
        <f>CONCATENATE("PD", TEXT(A2142, "1000000"))</f>
      </c>
      <c r="D2142" s="7">
        <v>76</v>
      </c>
      <c r="E2142" s="5">
        <f>XLOOKUP(G2142, item_category!C:C, item_category!B:B, "Not Found")</f>
      </c>
      <c r="F2142" s="1" t="s">
        <v>5632</v>
      </c>
      <c r="G2142" s="5">
        <f>XLOOKUP(I2142, drug!B:B, drug!A:A, "Not Found")</f>
      </c>
      <c r="H2142" s="1"/>
      <c r="I2142" s="7">
        <v>1</v>
      </c>
      <c r="J2142" s="5">
        <f>XLOOKUP(L2142, uom!C:C, uom!B:B, "Not Found")</f>
      </c>
      <c r="K2142" s="1" t="s">
        <v>5511</v>
      </c>
      <c r="L2142" s="5">
        <f>XLOOKUP(N2142, uom!C:C, uom!B:B, "Not Found")</f>
      </c>
      <c r="M2142" s="1" t="s">
        <v>5511</v>
      </c>
      <c r="N2142" s="8" t="s">
        <v>5512</v>
      </c>
      <c r="O2142" s="1" t="s">
        <v>5513</v>
      </c>
      <c r="P2142" s="5">
        <f>XLOOKUP(R2142, classification!C:C, classification!B:B, "Not Found")</f>
      </c>
      <c r="Q2142" s="1" t="s">
        <v>5514</v>
      </c>
      <c r="R2142" s="2"/>
      <c r="S2142" s="2"/>
      <c r="T2142" s="2"/>
      <c r="U2142" s="2"/>
    </row>
    <row x14ac:dyDescent="0.25" r="2143" customHeight="1" ht="17.25">
      <c r="A2143" s="7">
        <v>2142</v>
      </c>
      <c r="B2143" s="1" t="s">
        <v>7518</v>
      </c>
      <c r="C2143" s="5">
        <f>CONCATENATE("PD", TEXT(A2143, "1000000"))</f>
      </c>
      <c r="D2143" s="7">
        <v>76</v>
      </c>
      <c r="E2143" s="5">
        <f>XLOOKUP(G2143, item_category!C:C, item_category!B:B, "Not Found")</f>
      </c>
      <c r="F2143" s="1" t="s">
        <v>5632</v>
      </c>
      <c r="G2143" s="5">
        <f>XLOOKUP(I2143, drug!B:B, drug!A:A, "Not Found")</f>
      </c>
      <c r="H2143" s="1"/>
      <c r="I2143" s="7">
        <v>1</v>
      </c>
      <c r="J2143" s="5">
        <f>XLOOKUP(L2143, uom!C:C, uom!B:B, "Not Found")</f>
      </c>
      <c r="K2143" s="1" t="s">
        <v>5511</v>
      </c>
      <c r="L2143" s="5">
        <f>XLOOKUP(N2143, uom!C:C, uom!B:B, "Not Found")</f>
      </c>
      <c r="M2143" s="1" t="s">
        <v>5511</v>
      </c>
      <c r="N2143" s="8" t="s">
        <v>5512</v>
      </c>
      <c r="O2143" s="1" t="s">
        <v>5513</v>
      </c>
      <c r="P2143" s="5">
        <f>XLOOKUP(R2143, classification!C:C, classification!B:B, "Not Found")</f>
      </c>
      <c r="Q2143" s="1" t="s">
        <v>5514</v>
      </c>
      <c r="R2143" s="2"/>
      <c r="S2143" s="2"/>
      <c r="T2143" s="2"/>
      <c r="U2143" s="2"/>
    </row>
    <row x14ac:dyDescent="0.25" r="2144" customHeight="1" ht="17.25">
      <c r="A2144" s="7">
        <v>2143</v>
      </c>
      <c r="B2144" s="1" t="s">
        <v>3164</v>
      </c>
      <c r="C2144" s="5">
        <f>CONCATENATE("PD", TEXT(A2144, "1000000"))</f>
      </c>
      <c r="D2144" s="7">
        <v>76</v>
      </c>
      <c r="E2144" s="5">
        <f>XLOOKUP(G2144, item_category!C:C, item_category!B:B, "Not Found")</f>
      </c>
      <c r="F2144" s="1" t="s">
        <v>5632</v>
      </c>
      <c r="G2144" s="5">
        <f>XLOOKUP(I2144, drug!B:B, drug!A:A, "Not Found")</f>
      </c>
      <c r="H2144" s="1"/>
      <c r="I2144" s="7">
        <v>1</v>
      </c>
      <c r="J2144" s="5">
        <f>XLOOKUP(L2144, uom!C:C, uom!B:B, "Not Found")</f>
      </c>
      <c r="K2144" s="1" t="s">
        <v>5511</v>
      </c>
      <c r="L2144" s="5">
        <f>XLOOKUP(N2144, uom!C:C, uom!B:B, "Not Found")</f>
      </c>
      <c r="M2144" s="1" t="s">
        <v>5511</v>
      </c>
      <c r="N2144" s="8" t="s">
        <v>5512</v>
      </c>
      <c r="O2144" s="1" t="s">
        <v>5513</v>
      </c>
      <c r="P2144" s="5">
        <f>XLOOKUP(R2144, classification!C:C, classification!B:B, "Not Found")</f>
      </c>
      <c r="Q2144" s="1" t="s">
        <v>5514</v>
      </c>
      <c r="R2144" s="2"/>
      <c r="S2144" s="2"/>
      <c r="T2144" s="2"/>
      <c r="U2144" s="2"/>
    </row>
    <row x14ac:dyDescent="0.25" r="2145" customHeight="1" ht="17.25">
      <c r="A2145" s="7">
        <v>2144</v>
      </c>
      <c r="B2145" s="1" t="s">
        <v>7519</v>
      </c>
      <c r="C2145" s="5">
        <f>CONCATENATE("PD", TEXT(A2145, "1000000"))</f>
      </c>
      <c r="D2145" s="7">
        <v>76</v>
      </c>
      <c r="E2145" s="5">
        <f>XLOOKUP(G2145, item_category!C:C, item_category!B:B, "Not Found")</f>
      </c>
      <c r="F2145" s="1" t="s">
        <v>5632</v>
      </c>
      <c r="G2145" s="5">
        <f>XLOOKUP(I2145, drug!B:B, drug!A:A, "Not Found")</f>
      </c>
      <c r="H2145" s="1"/>
      <c r="I2145" s="7">
        <v>1</v>
      </c>
      <c r="J2145" s="5">
        <f>XLOOKUP(L2145, uom!C:C, uom!B:B, "Not Found")</f>
      </c>
      <c r="K2145" s="1" t="s">
        <v>5511</v>
      </c>
      <c r="L2145" s="5">
        <f>XLOOKUP(N2145, uom!C:C, uom!B:B, "Not Found")</f>
      </c>
      <c r="M2145" s="1" t="s">
        <v>5511</v>
      </c>
      <c r="N2145" s="8" t="s">
        <v>5512</v>
      </c>
      <c r="O2145" s="1" t="s">
        <v>5513</v>
      </c>
      <c r="P2145" s="5">
        <f>XLOOKUP(R2145, classification!C:C, classification!B:B, "Not Found")</f>
      </c>
      <c r="Q2145" s="1" t="s">
        <v>5514</v>
      </c>
      <c r="R2145" s="2"/>
      <c r="S2145" s="2"/>
      <c r="T2145" s="2"/>
      <c r="U2145" s="2"/>
    </row>
    <row x14ac:dyDescent="0.25" r="2146" customHeight="1" ht="17.25">
      <c r="A2146" s="7">
        <v>2145</v>
      </c>
      <c r="B2146" s="1" t="s">
        <v>7520</v>
      </c>
      <c r="C2146" s="5">
        <f>CONCATENATE("PD", TEXT(A2146, "1000000"))</f>
      </c>
      <c r="D2146" s="7">
        <v>76</v>
      </c>
      <c r="E2146" s="5">
        <f>XLOOKUP(G2146, item_category!C:C, item_category!B:B, "Not Found")</f>
      </c>
      <c r="F2146" s="1" t="s">
        <v>5632</v>
      </c>
      <c r="G2146" s="5">
        <f>XLOOKUP(I2146, drug!B:B, drug!A:A, "Not Found")</f>
      </c>
      <c r="H2146" s="1"/>
      <c r="I2146" s="7">
        <v>1</v>
      </c>
      <c r="J2146" s="5">
        <f>XLOOKUP(L2146, uom!C:C, uom!B:B, "Not Found")</f>
      </c>
      <c r="K2146" s="1" t="s">
        <v>5511</v>
      </c>
      <c r="L2146" s="5">
        <f>XLOOKUP(N2146, uom!C:C, uom!B:B, "Not Found")</f>
      </c>
      <c r="M2146" s="1" t="s">
        <v>5511</v>
      </c>
      <c r="N2146" s="8" t="s">
        <v>5512</v>
      </c>
      <c r="O2146" s="1" t="s">
        <v>5513</v>
      </c>
      <c r="P2146" s="5">
        <f>XLOOKUP(R2146, classification!C:C, classification!B:B, "Not Found")</f>
      </c>
      <c r="Q2146" s="1" t="s">
        <v>5514</v>
      </c>
      <c r="R2146" s="2"/>
      <c r="S2146" s="2"/>
      <c r="T2146" s="2"/>
      <c r="U2146" s="2"/>
    </row>
    <row x14ac:dyDescent="0.25" r="2147" customHeight="1" ht="17.25">
      <c r="A2147" s="7">
        <v>2146</v>
      </c>
      <c r="B2147" s="1" t="s">
        <v>7521</v>
      </c>
      <c r="C2147" s="5">
        <f>CONCATENATE("PD", TEXT(A2147, "1000000"))</f>
      </c>
      <c r="D2147" s="7">
        <v>76</v>
      </c>
      <c r="E2147" s="5">
        <f>XLOOKUP(G2147, item_category!C:C, item_category!B:B, "Not Found")</f>
      </c>
      <c r="F2147" s="1" t="s">
        <v>5632</v>
      </c>
      <c r="G2147" s="5">
        <f>XLOOKUP(I2147, drug!B:B, drug!A:A, "Not Found")</f>
      </c>
      <c r="H2147" s="1"/>
      <c r="I2147" s="7">
        <v>1</v>
      </c>
      <c r="J2147" s="5">
        <f>XLOOKUP(L2147, uom!C:C, uom!B:B, "Not Found")</f>
      </c>
      <c r="K2147" s="1" t="s">
        <v>5511</v>
      </c>
      <c r="L2147" s="5">
        <f>XLOOKUP(N2147, uom!C:C, uom!B:B, "Not Found")</f>
      </c>
      <c r="M2147" s="1" t="s">
        <v>5511</v>
      </c>
      <c r="N2147" s="8" t="s">
        <v>5512</v>
      </c>
      <c r="O2147" s="1" t="s">
        <v>5513</v>
      </c>
      <c r="P2147" s="5">
        <f>XLOOKUP(R2147, classification!C:C, classification!B:B, "Not Found")</f>
      </c>
      <c r="Q2147" s="1" t="s">
        <v>5514</v>
      </c>
      <c r="R2147" s="2"/>
      <c r="S2147" s="2"/>
      <c r="T2147" s="2"/>
      <c r="U2147" s="2"/>
    </row>
    <row x14ac:dyDescent="0.25" r="2148" customHeight="1" ht="17.25">
      <c r="A2148" s="7">
        <v>2147</v>
      </c>
      <c r="B2148" s="1" t="s">
        <v>7522</v>
      </c>
      <c r="C2148" s="5">
        <f>CONCATENATE("PD", TEXT(A2148, "1000000"))</f>
      </c>
      <c r="D2148" s="7">
        <v>76</v>
      </c>
      <c r="E2148" s="5">
        <f>XLOOKUP(G2148, item_category!C:C, item_category!B:B, "Not Found")</f>
      </c>
      <c r="F2148" s="1" t="s">
        <v>5632</v>
      </c>
      <c r="G2148" s="5">
        <f>XLOOKUP(I2148, drug!B:B, drug!A:A, "Not Found")</f>
      </c>
      <c r="H2148" s="1"/>
      <c r="I2148" s="7">
        <v>1</v>
      </c>
      <c r="J2148" s="5">
        <f>XLOOKUP(L2148, uom!C:C, uom!B:B, "Not Found")</f>
      </c>
      <c r="K2148" s="1" t="s">
        <v>5511</v>
      </c>
      <c r="L2148" s="5">
        <f>XLOOKUP(N2148, uom!C:C, uom!B:B, "Not Found")</f>
      </c>
      <c r="M2148" s="1" t="s">
        <v>5511</v>
      </c>
      <c r="N2148" s="8" t="s">
        <v>5512</v>
      </c>
      <c r="O2148" s="1" t="s">
        <v>5513</v>
      </c>
      <c r="P2148" s="5">
        <f>XLOOKUP(R2148, classification!C:C, classification!B:B, "Not Found")</f>
      </c>
      <c r="Q2148" s="1" t="s">
        <v>5514</v>
      </c>
      <c r="R2148" s="2"/>
      <c r="S2148" s="2"/>
      <c r="T2148" s="2"/>
      <c r="U2148" s="2"/>
    </row>
    <row x14ac:dyDescent="0.25" r="2149" customHeight="1" ht="17.25">
      <c r="A2149" s="7">
        <v>2148</v>
      </c>
      <c r="B2149" s="1" t="s">
        <v>7523</v>
      </c>
      <c r="C2149" s="5">
        <f>CONCATENATE("PD", TEXT(A2149, "1000000"))</f>
      </c>
      <c r="D2149" s="7">
        <v>76</v>
      </c>
      <c r="E2149" s="5">
        <f>XLOOKUP(G2149, item_category!C:C, item_category!B:B, "Not Found")</f>
      </c>
      <c r="F2149" s="1" t="s">
        <v>5632</v>
      </c>
      <c r="G2149" s="5">
        <f>XLOOKUP(I2149, drug!B:B, drug!A:A, "Not Found")</f>
      </c>
      <c r="H2149" s="1"/>
      <c r="I2149" s="7">
        <v>1</v>
      </c>
      <c r="J2149" s="5">
        <f>XLOOKUP(L2149, uom!C:C, uom!B:B, "Not Found")</f>
      </c>
      <c r="K2149" s="1" t="s">
        <v>5511</v>
      </c>
      <c r="L2149" s="5">
        <f>XLOOKUP(N2149, uom!C:C, uom!B:B, "Not Found")</f>
      </c>
      <c r="M2149" s="1" t="s">
        <v>5511</v>
      </c>
      <c r="N2149" s="8" t="s">
        <v>5512</v>
      </c>
      <c r="O2149" s="1" t="s">
        <v>5513</v>
      </c>
      <c r="P2149" s="5">
        <f>XLOOKUP(R2149, classification!C:C, classification!B:B, "Not Found")</f>
      </c>
      <c r="Q2149" s="1" t="s">
        <v>5514</v>
      </c>
      <c r="R2149" s="2"/>
      <c r="S2149" s="2"/>
      <c r="T2149" s="2"/>
      <c r="U2149" s="2"/>
    </row>
    <row x14ac:dyDescent="0.25" r="2150" customHeight="1" ht="17.25">
      <c r="A2150" s="7">
        <v>2149</v>
      </c>
      <c r="B2150" s="1" t="s">
        <v>7524</v>
      </c>
      <c r="C2150" s="5">
        <f>CONCATENATE("PD", TEXT(A2150, "1000000"))</f>
      </c>
      <c r="D2150" s="7">
        <v>76</v>
      </c>
      <c r="E2150" s="5">
        <f>XLOOKUP(G2150, item_category!C:C, item_category!B:B, "Not Found")</f>
      </c>
      <c r="F2150" s="1" t="s">
        <v>5632</v>
      </c>
      <c r="G2150" s="5">
        <f>XLOOKUP(I2150, drug!B:B, drug!A:A, "Not Found")</f>
      </c>
      <c r="H2150" s="1"/>
      <c r="I2150" s="7">
        <v>1</v>
      </c>
      <c r="J2150" s="5">
        <f>XLOOKUP(L2150, uom!C:C, uom!B:B, "Not Found")</f>
      </c>
      <c r="K2150" s="1" t="s">
        <v>5511</v>
      </c>
      <c r="L2150" s="5">
        <f>XLOOKUP(N2150, uom!C:C, uom!B:B, "Not Found")</f>
      </c>
      <c r="M2150" s="1" t="s">
        <v>5511</v>
      </c>
      <c r="N2150" s="8" t="s">
        <v>5512</v>
      </c>
      <c r="O2150" s="1" t="s">
        <v>5513</v>
      </c>
      <c r="P2150" s="5">
        <f>XLOOKUP(R2150, classification!C:C, classification!B:B, "Not Found")</f>
      </c>
      <c r="Q2150" s="1" t="s">
        <v>5514</v>
      </c>
      <c r="R2150" s="2"/>
      <c r="S2150" s="2"/>
      <c r="T2150" s="2"/>
      <c r="U2150" s="2"/>
    </row>
    <row x14ac:dyDescent="0.25" r="2151" customHeight="1" ht="17.25">
      <c r="A2151" s="7">
        <v>2150</v>
      </c>
      <c r="B2151" s="1" t="s">
        <v>7525</v>
      </c>
      <c r="C2151" s="5">
        <f>CONCATENATE("PD", TEXT(A2151, "1000000"))</f>
      </c>
      <c r="D2151" s="7">
        <v>76</v>
      </c>
      <c r="E2151" s="5">
        <f>XLOOKUP(G2151, item_category!C:C, item_category!B:B, "Not Found")</f>
      </c>
      <c r="F2151" s="1" t="s">
        <v>5632</v>
      </c>
      <c r="G2151" s="5">
        <f>XLOOKUP(I2151, drug!B:B, drug!A:A, "Not Found")</f>
      </c>
      <c r="H2151" s="1"/>
      <c r="I2151" s="7">
        <v>1</v>
      </c>
      <c r="J2151" s="5">
        <f>XLOOKUP(L2151, uom!C:C, uom!B:B, "Not Found")</f>
      </c>
      <c r="K2151" s="1" t="s">
        <v>5511</v>
      </c>
      <c r="L2151" s="5">
        <f>XLOOKUP(N2151, uom!C:C, uom!B:B, "Not Found")</f>
      </c>
      <c r="M2151" s="1" t="s">
        <v>5511</v>
      </c>
      <c r="N2151" s="8" t="s">
        <v>5512</v>
      </c>
      <c r="O2151" s="1" t="s">
        <v>5513</v>
      </c>
      <c r="P2151" s="5">
        <f>XLOOKUP(R2151, classification!C:C, classification!B:B, "Not Found")</f>
      </c>
      <c r="Q2151" s="1" t="s">
        <v>5514</v>
      </c>
      <c r="R2151" s="2"/>
      <c r="S2151" s="2"/>
      <c r="T2151" s="2"/>
      <c r="U2151" s="2"/>
    </row>
    <row x14ac:dyDescent="0.25" r="2152" customHeight="1" ht="17.25">
      <c r="A2152" s="7">
        <v>2151</v>
      </c>
      <c r="B2152" s="1" t="s">
        <v>7526</v>
      </c>
      <c r="C2152" s="5">
        <f>CONCATENATE("PD", TEXT(A2152, "1000000"))</f>
      </c>
      <c r="D2152" s="7">
        <v>76</v>
      </c>
      <c r="E2152" s="5">
        <f>XLOOKUP(G2152, item_category!C:C, item_category!B:B, "Not Found")</f>
      </c>
      <c r="F2152" s="1" t="s">
        <v>5632</v>
      </c>
      <c r="G2152" s="5">
        <f>XLOOKUP(I2152, drug!B:B, drug!A:A, "Not Found")</f>
      </c>
      <c r="H2152" s="1"/>
      <c r="I2152" s="7">
        <v>1</v>
      </c>
      <c r="J2152" s="5">
        <f>XLOOKUP(L2152, uom!C:C, uom!B:B, "Not Found")</f>
      </c>
      <c r="K2152" s="1" t="s">
        <v>5511</v>
      </c>
      <c r="L2152" s="5">
        <f>XLOOKUP(N2152, uom!C:C, uom!B:B, "Not Found")</f>
      </c>
      <c r="M2152" s="1" t="s">
        <v>5511</v>
      </c>
      <c r="N2152" s="8" t="s">
        <v>5512</v>
      </c>
      <c r="O2152" s="1" t="s">
        <v>5513</v>
      </c>
      <c r="P2152" s="5">
        <f>XLOOKUP(R2152, classification!C:C, classification!B:B, "Not Found")</f>
      </c>
      <c r="Q2152" s="1" t="s">
        <v>5514</v>
      </c>
      <c r="R2152" s="2"/>
      <c r="S2152" s="2"/>
      <c r="T2152" s="2"/>
      <c r="U2152" s="2"/>
    </row>
    <row x14ac:dyDescent="0.25" r="2153" customHeight="1" ht="17.25">
      <c r="A2153" s="7">
        <v>2152</v>
      </c>
      <c r="B2153" s="1" t="s">
        <v>7527</v>
      </c>
      <c r="C2153" s="5">
        <f>CONCATENATE("PD", TEXT(A2153, "1000000"))</f>
      </c>
      <c r="D2153" s="7">
        <v>76</v>
      </c>
      <c r="E2153" s="5">
        <f>XLOOKUP(G2153, item_category!C:C, item_category!B:B, "Not Found")</f>
      </c>
      <c r="F2153" s="1" t="s">
        <v>5632</v>
      </c>
      <c r="G2153" s="5">
        <f>XLOOKUP(I2153, drug!B:B, drug!A:A, "Not Found")</f>
      </c>
      <c r="H2153" s="1"/>
      <c r="I2153" s="7">
        <v>1</v>
      </c>
      <c r="J2153" s="5">
        <f>XLOOKUP(L2153, uom!C:C, uom!B:B, "Not Found")</f>
      </c>
      <c r="K2153" s="1" t="s">
        <v>5511</v>
      </c>
      <c r="L2153" s="5">
        <f>XLOOKUP(N2153, uom!C:C, uom!B:B, "Not Found")</f>
      </c>
      <c r="M2153" s="1" t="s">
        <v>5511</v>
      </c>
      <c r="N2153" s="8" t="s">
        <v>5512</v>
      </c>
      <c r="O2153" s="1" t="s">
        <v>5513</v>
      </c>
      <c r="P2153" s="5">
        <f>XLOOKUP(R2153, classification!C:C, classification!B:B, "Not Found")</f>
      </c>
      <c r="Q2153" s="1" t="s">
        <v>5514</v>
      </c>
      <c r="R2153" s="2"/>
      <c r="S2153" s="2"/>
      <c r="T2153" s="2"/>
      <c r="U2153" s="2"/>
    </row>
    <row x14ac:dyDescent="0.25" r="2154" customHeight="1" ht="17.25">
      <c r="A2154" s="7">
        <v>2153</v>
      </c>
      <c r="B2154" s="1" t="s">
        <v>7528</v>
      </c>
      <c r="C2154" s="5">
        <f>CONCATENATE("PD", TEXT(A2154, "1000000"))</f>
      </c>
      <c r="D2154" s="7">
        <v>76</v>
      </c>
      <c r="E2154" s="5">
        <f>XLOOKUP(G2154, item_category!C:C, item_category!B:B, "Not Found")</f>
      </c>
      <c r="F2154" s="1" t="s">
        <v>5632</v>
      </c>
      <c r="G2154" s="5">
        <f>XLOOKUP(I2154, drug!B:B, drug!A:A, "Not Found")</f>
      </c>
      <c r="H2154" s="1"/>
      <c r="I2154" s="7">
        <v>1</v>
      </c>
      <c r="J2154" s="5">
        <f>XLOOKUP(L2154, uom!C:C, uom!B:B, "Not Found")</f>
      </c>
      <c r="K2154" s="1" t="s">
        <v>5511</v>
      </c>
      <c r="L2154" s="5">
        <f>XLOOKUP(N2154, uom!C:C, uom!B:B, "Not Found")</f>
      </c>
      <c r="M2154" s="1" t="s">
        <v>5511</v>
      </c>
      <c r="N2154" s="8" t="s">
        <v>5512</v>
      </c>
      <c r="O2154" s="1" t="s">
        <v>5513</v>
      </c>
      <c r="P2154" s="5">
        <f>XLOOKUP(R2154, classification!C:C, classification!B:B, "Not Found")</f>
      </c>
      <c r="Q2154" s="1" t="s">
        <v>5514</v>
      </c>
      <c r="R2154" s="2"/>
      <c r="S2154" s="2"/>
      <c r="T2154" s="2"/>
      <c r="U2154" s="2"/>
    </row>
    <row x14ac:dyDescent="0.25" r="2155" customHeight="1" ht="17.25">
      <c r="A2155" s="7">
        <v>2154</v>
      </c>
      <c r="B2155" s="1" t="s">
        <v>7529</v>
      </c>
      <c r="C2155" s="5">
        <f>CONCATENATE("PD", TEXT(A2155, "1000000"))</f>
      </c>
      <c r="D2155" s="7">
        <v>76</v>
      </c>
      <c r="E2155" s="5">
        <f>XLOOKUP(G2155, item_category!C:C, item_category!B:B, "Not Found")</f>
      </c>
      <c r="F2155" s="1" t="s">
        <v>5632</v>
      </c>
      <c r="G2155" s="5">
        <f>XLOOKUP(I2155, drug!B:B, drug!A:A, "Not Found")</f>
      </c>
      <c r="H2155" s="1"/>
      <c r="I2155" s="7">
        <v>1</v>
      </c>
      <c r="J2155" s="5">
        <f>XLOOKUP(L2155, uom!C:C, uom!B:B, "Not Found")</f>
      </c>
      <c r="K2155" s="1" t="s">
        <v>5511</v>
      </c>
      <c r="L2155" s="5">
        <f>XLOOKUP(N2155, uom!C:C, uom!B:B, "Not Found")</f>
      </c>
      <c r="M2155" s="1" t="s">
        <v>5511</v>
      </c>
      <c r="N2155" s="8" t="s">
        <v>5512</v>
      </c>
      <c r="O2155" s="1" t="s">
        <v>5513</v>
      </c>
      <c r="P2155" s="5">
        <f>XLOOKUP(R2155, classification!C:C, classification!B:B, "Not Found")</f>
      </c>
      <c r="Q2155" s="1" t="s">
        <v>5514</v>
      </c>
      <c r="R2155" s="2"/>
      <c r="S2155" s="2"/>
      <c r="T2155" s="2"/>
      <c r="U2155" s="2"/>
    </row>
    <row x14ac:dyDescent="0.25" r="2156" customHeight="1" ht="17.25">
      <c r="A2156" s="7">
        <v>2155</v>
      </c>
      <c r="B2156" s="1" t="s">
        <v>7530</v>
      </c>
      <c r="C2156" s="5">
        <f>CONCATENATE("PD", TEXT(A2156, "1000000"))</f>
      </c>
      <c r="D2156" s="7">
        <v>76</v>
      </c>
      <c r="E2156" s="5">
        <f>XLOOKUP(G2156, item_category!C:C, item_category!B:B, "Not Found")</f>
      </c>
      <c r="F2156" s="1" t="s">
        <v>5632</v>
      </c>
      <c r="G2156" s="5">
        <f>XLOOKUP(I2156, drug!B:B, drug!A:A, "Not Found")</f>
      </c>
      <c r="H2156" s="1"/>
      <c r="I2156" s="7">
        <v>1</v>
      </c>
      <c r="J2156" s="5">
        <f>XLOOKUP(L2156, uom!C:C, uom!B:B, "Not Found")</f>
      </c>
      <c r="K2156" s="1" t="s">
        <v>5511</v>
      </c>
      <c r="L2156" s="5">
        <f>XLOOKUP(N2156, uom!C:C, uom!B:B, "Not Found")</f>
      </c>
      <c r="M2156" s="1" t="s">
        <v>5511</v>
      </c>
      <c r="N2156" s="8" t="s">
        <v>5512</v>
      </c>
      <c r="O2156" s="1" t="s">
        <v>5513</v>
      </c>
      <c r="P2156" s="5">
        <f>XLOOKUP(R2156, classification!C:C, classification!B:B, "Not Found")</f>
      </c>
      <c r="Q2156" s="1" t="s">
        <v>5514</v>
      </c>
      <c r="R2156" s="2"/>
      <c r="S2156" s="2"/>
      <c r="T2156" s="2"/>
      <c r="U2156" s="2"/>
    </row>
    <row x14ac:dyDescent="0.25" r="2157" customHeight="1" ht="17.25">
      <c r="A2157" s="7">
        <v>2156</v>
      </c>
      <c r="B2157" s="1" t="s">
        <v>7531</v>
      </c>
      <c r="C2157" s="5">
        <f>CONCATENATE("PD", TEXT(A2157, "1000000"))</f>
      </c>
      <c r="D2157" s="7">
        <v>76</v>
      </c>
      <c r="E2157" s="5">
        <f>XLOOKUP(G2157, item_category!C:C, item_category!B:B, "Not Found")</f>
      </c>
      <c r="F2157" s="1" t="s">
        <v>5632</v>
      </c>
      <c r="G2157" s="5">
        <f>XLOOKUP(I2157, drug!B:B, drug!A:A, "Not Found")</f>
      </c>
      <c r="H2157" s="1"/>
      <c r="I2157" s="7">
        <v>1</v>
      </c>
      <c r="J2157" s="5">
        <f>XLOOKUP(L2157, uom!C:C, uom!B:B, "Not Found")</f>
      </c>
      <c r="K2157" s="1" t="s">
        <v>5511</v>
      </c>
      <c r="L2157" s="5">
        <f>XLOOKUP(N2157, uom!C:C, uom!B:B, "Not Found")</f>
      </c>
      <c r="M2157" s="1" t="s">
        <v>5511</v>
      </c>
      <c r="N2157" s="8" t="s">
        <v>5512</v>
      </c>
      <c r="O2157" s="1" t="s">
        <v>5513</v>
      </c>
      <c r="P2157" s="5">
        <f>XLOOKUP(R2157, classification!C:C, classification!B:B, "Not Found")</f>
      </c>
      <c r="Q2157" s="1" t="s">
        <v>5514</v>
      </c>
      <c r="R2157" s="2"/>
      <c r="S2157" s="2"/>
      <c r="T2157" s="2"/>
      <c r="U2157" s="2"/>
    </row>
    <row x14ac:dyDescent="0.25" r="2158" customHeight="1" ht="17.25">
      <c r="A2158" s="7">
        <v>2157</v>
      </c>
      <c r="B2158" s="1" t="s">
        <v>7532</v>
      </c>
      <c r="C2158" s="5">
        <f>CONCATENATE("PD", TEXT(A2158, "1000000"))</f>
      </c>
      <c r="D2158" s="7">
        <v>76</v>
      </c>
      <c r="E2158" s="5">
        <f>XLOOKUP(G2158, item_category!C:C, item_category!B:B, "Not Found")</f>
      </c>
      <c r="F2158" s="1" t="s">
        <v>5632</v>
      </c>
      <c r="G2158" s="5">
        <f>XLOOKUP(I2158, drug!B:B, drug!A:A, "Not Found")</f>
      </c>
      <c r="H2158" s="1"/>
      <c r="I2158" s="7">
        <v>1</v>
      </c>
      <c r="J2158" s="5">
        <f>XLOOKUP(L2158, uom!C:C, uom!B:B, "Not Found")</f>
      </c>
      <c r="K2158" s="1" t="s">
        <v>5511</v>
      </c>
      <c r="L2158" s="5">
        <f>XLOOKUP(N2158, uom!C:C, uom!B:B, "Not Found")</f>
      </c>
      <c r="M2158" s="1" t="s">
        <v>5511</v>
      </c>
      <c r="N2158" s="8" t="s">
        <v>5512</v>
      </c>
      <c r="O2158" s="1" t="s">
        <v>5513</v>
      </c>
      <c r="P2158" s="5">
        <f>XLOOKUP(R2158, classification!C:C, classification!B:B, "Not Found")</f>
      </c>
      <c r="Q2158" s="1" t="s">
        <v>5514</v>
      </c>
      <c r="R2158" s="2"/>
      <c r="S2158" s="2"/>
      <c r="T2158" s="2"/>
      <c r="U2158" s="2"/>
    </row>
    <row x14ac:dyDescent="0.25" r="2159" customHeight="1" ht="17.25">
      <c r="A2159" s="7">
        <v>2158</v>
      </c>
      <c r="B2159" s="1" t="s">
        <v>7533</v>
      </c>
      <c r="C2159" s="5">
        <f>CONCATENATE("PD", TEXT(A2159, "1000000"))</f>
      </c>
      <c r="D2159" s="7">
        <v>76</v>
      </c>
      <c r="E2159" s="5">
        <f>XLOOKUP(G2159, item_category!C:C, item_category!B:B, "Not Found")</f>
      </c>
      <c r="F2159" s="1" t="s">
        <v>5632</v>
      </c>
      <c r="G2159" s="5">
        <f>XLOOKUP(I2159, drug!B:B, drug!A:A, "Not Found")</f>
      </c>
      <c r="H2159" s="1"/>
      <c r="I2159" s="7">
        <v>1</v>
      </c>
      <c r="J2159" s="5">
        <f>XLOOKUP(L2159, uom!C:C, uom!B:B, "Not Found")</f>
      </c>
      <c r="K2159" s="1" t="s">
        <v>5511</v>
      </c>
      <c r="L2159" s="5">
        <f>XLOOKUP(N2159, uom!C:C, uom!B:B, "Not Found")</f>
      </c>
      <c r="M2159" s="1" t="s">
        <v>5511</v>
      </c>
      <c r="N2159" s="8" t="s">
        <v>5512</v>
      </c>
      <c r="O2159" s="1" t="s">
        <v>5513</v>
      </c>
      <c r="P2159" s="5">
        <f>XLOOKUP(R2159, classification!C:C, classification!B:B, "Not Found")</f>
      </c>
      <c r="Q2159" s="1" t="s">
        <v>5514</v>
      </c>
      <c r="R2159" s="2"/>
      <c r="S2159" s="2"/>
      <c r="T2159" s="2"/>
      <c r="U2159" s="2"/>
    </row>
    <row x14ac:dyDescent="0.25" r="2160" customHeight="1" ht="17.25">
      <c r="A2160" s="7">
        <v>2159</v>
      </c>
      <c r="B2160" s="1" t="s">
        <v>7534</v>
      </c>
      <c r="C2160" s="5">
        <f>CONCATENATE("PD", TEXT(A2160, "1000000"))</f>
      </c>
      <c r="D2160" s="7">
        <v>76</v>
      </c>
      <c r="E2160" s="5">
        <f>XLOOKUP(G2160, item_category!C:C, item_category!B:B, "Not Found")</f>
      </c>
      <c r="F2160" s="1" t="s">
        <v>5632</v>
      </c>
      <c r="G2160" s="5">
        <f>XLOOKUP(I2160, drug!B:B, drug!A:A, "Not Found")</f>
      </c>
      <c r="H2160" s="1"/>
      <c r="I2160" s="7">
        <v>1</v>
      </c>
      <c r="J2160" s="5">
        <f>XLOOKUP(L2160, uom!C:C, uom!B:B, "Not Found")</f>
      </c>
      <c r="K2160" s="1" t="s">
        <v>5511</v>
      </c>
      <c r="L2160" s="5">
        <f>XLOOKUP(N2160, uom!C:C, uom!B:B, "Not Found")</f>
      </c>
      <c r="M2160" s="1" t="s">
        <v>5511</v>
      </c>
      <c r="N2160" s="8" t="s">
        <v>5512</v>
      </c>
      <c r="O2160" s="1" t="s">
        <v>5513</v>
      </c>
      <c r="P2160" s="5">
        <f>XLOOKUP(R2160, classification!C:C, classification!B:B, "Not Found")</f>
      </c>
      <c r="Q2160" s="1" t="s">
        <v>5514</v>
      </c>
      <c r="R2160" s="2"/>
      <c r="S2160" s="2"/>
      <c r="T2160" s="2"/>
      <c r="U2160" s="2"/>
    </row>
    <row x14ac:dyDescent="0.25" r="2161" customHeight="1" ht="17.25">
      <c r="A2161" s="7">
        <v>2160</v>
      </c>
      <c r="B2161" s="1" t="s">
        <v>7535</v>
      </c>
      <c r="C2161" s="5">
        <f>CONCATENATE("PD", TEXT(A2161, "1000000"))</f>
      </c>
      <c r="D2161" s="7">
        <v>76</v>
      </c>
      <c r="E2161" s="5">
        <f>XLOOKUP(G2161, item_category!C:C, item_category!B:B, "Not Found")</f>
      </c>
      <c r="F2161" s="1" t="s">
        <v>5632</v>
      </c>
      <c r="G2161" s="5">
        <f>XLOOKUP(I2161, drug!B:B, drug!A:A, "Not Found")</f>
      </c>
      <c r="H2161" s="1"/>
      <c r="I2161" s="7">
        <v>400</v>
      </c>
      <c r="J2161" s="5">
        <f>XLOOKUP(L2161, uom!C:C, uom!B:B, "Not Found")</f>
      </c>
      <c r="K2161" s="1" t="s">
        <v>5511</v>
      </c>
      <c r="L2161" s="5">
        <f>XLOOKUP(N2161, uom!C:C, uom!B:B, "Not Found")</f>
      </c>
      <c r="M2161" s="1" t="s">
        <v>5511</v>
      </c>
      <c r="N2161" s="8" t="s">
        <v>5524</v>
      </c>
      <c r="O2161" s="1" t="s">
        <v>5525</v>
      </c>
      <c r="P2161" s="5">
        <f>XLOOKUP(R2161, classification!C:C, classification!B:B, "Not Found")</f>
      </c>
      <c r="Q2161" s="1" t="s">
        <v>5514</v>
      </c>
      <c r="R2161" s="2"/>
      <c r="S2161" s="2"/>
      <c r="T2161" s="2"/>
      <c r="U2161" s="2"/>
    </row>
    <row x14ac:dyDescent="0.25" r="2162" customHeight="1" ht="17.25">
      <c r="A2162" s="7">
        <v>2161</v>
      </c>
      <c r="B2162" s="1" t="s">
        <v>7536</v>
      </c>
      <c r="C2162" s="5">
        <f>CONCATENATE("PD", TEXT(A2162, "1000000"))</f>
      </c>
      <c r="D2162" s="7">
        <v>76</v>
      </c>
      <c r="E2162" s="5">
        <f>XLOOKUP(G2162, item_category!C:C, item_category!B:B, "Not Found")</f>
      </c>
      <c r="F2162" s="1" t="s">
        <v>5632</v>
      </c>
      <c r="G2162" s="5">
        <f>XLOOKUP(I2162, drug!B:B, drug!A:A, "Not Found")</f>
      </c>
      <c r="H2162" s="1"/>
      <c r="I2162" s="7">
        <v>1</v>
      </c>
      <c r="J2162" s="5">
        <f>XLOOKUP(L2162, uom!C:C, uom!B:B, "Not Found")</f>
      </c>
      <c r="K2162" s="1" t="s">
        <v>5511</v>
      </c>
      <c r="L2162" s="5">
        <f>XLOOKUP(N2162, uom!C:C, uom!B:B, "Not Found")</f>
      </c>
      <c r="M2162" s="1" t="s">
        <v>5511</v>
      </c>
      <c r="N2162" s="8" t="s">
        <v>5512</v>
      </c>
      <c r="O2162" s="1" t="s">
        <v>5513</v>
      </c>
      <c r="P2162" s="5">
        <f>XLOOKUP(R2162, classification!C:C, classification!B:B, "Not Found")</f>
      </c>
      <c r="Q2162" s="1" t="s">
        <v>5514</v>
      </c>
      <c r="R2162" s="2"/>
      <c r="S2162" s="2"/>
      <c r="T2162" s="2"/>
      <c r="U2162" s="2"/>
    </row>
    <row x14ac:dyDescent="0.25" r="2163" customHeight="1" ht="17.25">
      <c r="A2163" s="7">
        <v>2162</v>
      </c>
      <c r="B2163" s="1" t="s">
        <v>7537</v>
      </c>
      <c r="C2163" s="5">
        <f>CONCATENATE("PD", TEXT(A2163, "1000000"))</f>
      </c>
      <c r="D2163" s="7">
        <v>76</v>
      </c>
      <c r="E2163" s="5">
        <f>XLOOKUP(G2163, item_category!C:C, item_category!B:B, "Not Found")</f>
      </c>
      <c r="F2163" s="1" t="s">
        <v>5632</v>
      </c>
      <c r="G2163" s="5">
        <f>XLOOKUP(I2163, drug!B:B, drug!A:A, "Not Found")</f>
      </c>
      <c r="H2163" s="1"/>
      <c r="I2163" s="7">
        <v>1</v>
      </c>
      <c r="J2163" s="5">
        <f>XLOOKUP(L2163, uom!C:C, uom!B:B, "Not Found")</f>
      </c>
      <c r="K2163" s="1" t="s">
        <v>5511</v>
      </c>
      <c r="L2163" s="5">
        <f>XLOOKUP(N2163, uom!C:C, uom!B:B, "Not Found")</f>
      </c>
      <c r="M2163" s="1" t="s">
        <v>5511</v>
      </c>
      <c r="N2163" s="8" t="s">
        <v>5512</v>
      </c>
      <c r="O2163" s="1" t="s">
        <v>5513</v>
      </c>
      <c r="P2163" s="5">
        <f>XLOOKUP(R2163, classification!C:C, classification!B:B, "Not Found")</f>
      </c>
      <c r="Q2163" s="1" t="s">
        <v>5514</v>
      </c>
      <c r="R2163" s="2"/>
      <c r="S2163" s="2"/>
      <c r="T2163" s="2"/>
      <c r="U2163" s="2"/>
    </row>
    <row x14ac:dyDescent="0.25" r="2164" customHeight="1" ht="17.25">
      <c r="A2164" s="7">
        <v>2163</v>
      </c>
      <c r="B2164" s="1" t="s">
        <v>7538</v>
      </c>
      <c r="C2164" s="5">
        <f>CONCATENATE("PD", TEXT(A2164, "1000000"))</f>
      </c>
      <c r="D2164" s="7">
        <v>76</v>
      </c>
      <c r="E2164" s="5">
        <f>XLOOKUP(G2164, item_category!C:C, item_category!B:B, "Not Found")</f>
      </c>
      <c r="F2164" s="1" t="s">
        <v>5632</v>
      </c>
      <c r="G2164" s="5">
        <f>XLOOKUP(I2164, drug!B:B, drug!A:A, "Not Found")</f>
      </c>
      <c r="H2164" s="1"/>
      <c r="I2164" s="7">
        <v>1</v>
      </c>
      <c r="J2164" s="5">
        <f>XLOOKUP(L2164, uom!C:C, uom!B:B, "Not Found")</f>
      </c>
      <c r="K2164" s="1" t="s">
        <v>5511</v>
      </c>
      <c r="L2164" s="5">
        <f>XLOOKUP(N2164, uom!C:C, uom!B:B, "Not Found")</f>
      </c>
      <c r="M2164" s="1" t="s">
        <v>5511</v>
      </c>
      <c r="N2164" s="8" t="s">
        <v>5512</v>
      </c>
      <c r="O2164" s="1" t="s">
        <v>5513</v>
      </c>
      <c r="P2164" s="5">
        <f>XLOOKUP(R2164, classification!C:C, classification!B:B, "Not Found")</f>
      </c>
      <c r="Q2164" s="1" t="s">
        <v>5514</v>
      </c>
      <c r="R2164" s="2"/>
      <c r="S2164" s="2"/>
      <c r="T2164" s="2"/>
      <c r="U2164" s="2"/>
    </row>
    <row x14ac:dyDescent="0.25" r="2165" customHeight="1" ht="17.25">
      <c r="A2165" s="7">
        <v>2164</v>
      </c>
      <c r="B2165" s="1" t="s">
        <v>7539</v>
      </c>
      <c r="C2165" s="5">
        <f>CONCATENATE("PD", TEXT(A2165, "1000000"))</f>
      </c>
      <c r="D2165" s="7">
        <v>76</v>
      </c>
      <c r="E2165" s="5">
        <f>XLOOKUP(G2165, item_category!C:C, item_category!B:B, "Not Found")</f>
      </c>
      <c r="F2165" s="1" t="s">
        <v>5632</v>
      </c>
      <c r="G2165" s="5">
        <f>XLOOKUP(I2165, drug!B:B, drug!A:A, "Not Found")</f>
      </c>
      <c r="H2165" s="1"/>
      <c r="I2165" s="7">
        <v>1</v>
      </c>
      <c r="J2165" s="5">
        <f>XLOOKUP(L2165, uom!C:C, uom!B:B, "Not Found")</f>
      </c>
      <c r="K2165" s="1" t="s">
        <v>5511</v>
      </c>
      <c r="L2165" s="5">
        <f>XLOOKUP(N2165, uom!C:C, uom!B:B, "Not Found")</f>
      </c>
      <c r="M2165" s="1" t="s">
        <v>5511</v>
      </c>
      <c r="N2165" s="8" t="s">
        <v>5512</v>
      </c>
      <c r="O2165" s="1" t="s">
        <v>5513</v>
      </c>
      <c r="P2165" s="5">
        <f>XLOOKUP(R2165, classification!C:C, classification!B:B, "Not Found")</f>
      </c>
      <c r="Q2165" s="1" t="s">
        <v>5514</v>
      </c>
      <c r="R2165" s="2"/>
      <c r="S2165" s="2"/>
      <c r="T2165" s="2"/>
      <c r="U2165" s="2"/>
    </row>
    <row x14ac:dyDescent="0.25" r="2166" customHeight="1" ht="17.25">
      <c r="A2166" s="7">
        <v>2165</v>
      </c>
      <c r="B2166" s="1" t="s">
        <v>7540</v>
      </c>
      <c r="C2166" s="5">
        <f>CONCATENATE("PD", TEXT(A2166, "1000000"))</f>
      </c>
      <c r="D2166" s="7">
        <v>76</v>
      </c>
      <c r="E2166" s="5">
        <f>XLOOKUP(G2166, item_category!C:C, item_category!B:B, "Not Found")</f>
      </c>
      <c r="F2166" s="1" t="s">
        <v>5632</v>
      </c>
      <c r="G2166" s="5">
        <f>XLOOKUP(I2166, drug!B:B, drug!A:A, "Not Found")</f>
      </c>
      <c r="H2166" s="1"/>
      <c r="I2166" s="7">
        <v>1</v>
      </c>
      <c r="J2166" s="5">
        <f>XLOOKUP(L2166, uom!C:C, uom!B:B, "Not Found")</f>
      </c>
      <c r="K2166" s="1" t="s">
        <v>5511</v>
      </c>
      <c r="L2166" s="5">
        <f>XLOOKUP(N2166, uom!C:C, uom!B:B, "Not Found")</f>
      </c>
      <c r="M2166" s="1" t="s">
        <v>5511</v>
      </c>
      <c r="N2166" s="8" t="s">
        <v>5512</v>
      </c>
      <c r="O2166" s="1" t="s">
        <v>5513</v>
      </c>
      <c r="P2166" s="5">
        <f>XLOOKUP(R2166, classification!C:C, classification!B:B, "Not Found")</f>
      </c>
      <c r="Q2166" s="1" t="s">
        <v>5514</v>
      </c>
      <c r="R2166" s="2"/>
      <c r="S2166" s="2"/>
      <c r="T2166" s="2"/>
      <c r="U2166" s="2"/>
    </row>
    <row x14ac:dyDescent="0.25" r="2167" customHeight="1" ht="17.25">
      <c r="A2167" s="7">
        <v>2166</v>
      </c>
      <c r="B2167" s="1" t="s">
        <v>7541</v>
      </c>
      <c r="C2167" s="5">
        <f>CONCATENATE("PD", TEXT(A2167, "1000000"))</f>
      </c>
      <c r="D2167" s="7">
        <v>76</v>
      </c>
      <c r="E2167" s="5">
        <f>XLOOKUP(G2167, item_category!C:C, item_category!B:B, "Not Found")</f>
      </c>
      <c r="F2167" s="1" t="s">
        <v>5632</v>
      </c>
      <c r="G2167" s="5">
        <f>XLOOKUP(I2167, drug!B:B, drug!A:A, "Not Found")</f>
      </c>
      <c r="H2167" s="1" t="s">
        <v>1228</v>
      </c>
      <c r="I2167" s="7">
        <v>1</v>
      </c>
      <c r="J2167" s="5">
        <f>XLOOKUP(L2167, uom!C:C, uom!B:B, "Not Found")</f>
      </c>
      <c r="K2167" s="1" t="s">
        <v>5511</v>
      </c>
      <c r="L2167" s="5">
        <f>XLOOKUP(N2167, uom!C:C, uom!B:B, "Not Found")</f>
      </c>
      <c r="M2167" s="1" t="s">
        <v>5511</v>
      </c>
      <c r="N2167" s="8" t="s">
        <v>5512</v>
      </c>
      <c r="O2167" s="1" t="s">
        <v>5513</v>
      </c>
      <c r="P2167" s="5">
        <f>XLOOKUP(R2167, classification!C:C, classification!B:B, "Not Found")</f>
      </c>
      <c r="Q2167" s="1" t="s">
        <v>5514</v>
      </c>
      <c r="R2167" s="2"/>
      <c r="S2167" s="2"/>
      <c r="T2167" s="2"/>
      <c r="U2167" s="2"/>
    </row>
    <row x14ac:dyDescent="0.25" r="2168" customHeight="1" ht="17.25">
      <c r="A2168" s="7">
        <v>2167</v>
      </c>
      <c r="B2168" s="1" t="s">
        <v>7542</v>
      </c>
      <c r="C2168" s="5">
        <f>CONCATENATE("PD", TEXT(A2168, "1000000"))</f>
      </c>
      <c r="D2168" s="7">
        <v>76</v>
      </c>
      <c r="E2168" s="5">
        <f>XLOOKUP(G2168, item_category!C:C, item_category!B:B, "Not Found")</f>
      </c>
      <c r="F2168" s="1" t="s">
        <v>5632</v>
      </c>
      <c r="G2168" s="5">
        <f>XLOOKUP(I2168, drug!B:B, drug!A:A, "Not Found")</f>
      </c>
      <c r="H2168" s="1"/>
      <c r="I2168" s="7">
        <v>1</v>
      </c>
      <c r="J2168" s="5">
        <f>XLOOKUP(L2168, uom!C:C, uom!B:B, "Not Found")</f>
      </c>
      <c r="K2168" s="1" t="s">
        <v>5511</v>
      </c>
      <c r="L2168" s="5">
        <f>XLOOKUP(N2168, uom!C:C, uom!B:B, "Not Found")</f>
      </c>
      <c r="M2168" s="1" t="s">
        <v>5511</v>
      </c>
      <c r="N2168" s="8" t="s">
        <v>5512</v>
      </c>
      <c r="O2168" s="1" t="s">
        <v>5513</v>
      </c>
      <c r="P2168" s="5">
        <f>XLOOKUP(R2168, classification!C:C, classification!B:B, "Not Found")</f>
      </c>
      <c r="Q2168" s="1" t="s">
        <v>5514</v>
      </c>
      <c r="R2168" s="2"/>
      <c r="S2168" s="2"/>
      <c r="T2168" s="2"/>
      <c r="U2168" s="2"/>
    </row>
    <row x14ac:dyDescent="0.25" r="2169" customHeight="1" ht="17.25">
      <c r="A2169" s="7">
        <v>2168</v>
      </c>
      <c r="B2169" s="1" t="s">
        <v>7543</v>
      </c>
      <c r="C2169" s="5">
        <f>CONCATENATE("PD", TEXT(A2169, "1000000"))</f>
      </c>
      <c r="D2169" s="7">
        <v>76</v>
      </c>
      <c r="E2169" s="5">
        <f>XLOOKUP(G2169, item_category!C:C, item_category!B:B, "Not Found")</f>
      </c>
      <c r="F2169" s="1" t="s">
        <v>5632</v>
      </c>
      <c r="G2169" s="5">
        <f>XLOOKUP(I2169, drug!B:B, drug!A:A, "Not Found")</f>
      </c>
      <c r="H2169" s="1"/>
      <c r="I2169" s="7">
        <v>1</v>
      </c>
      <c r="J2169" s="5">
        <f>XLOOKUP(L2169, uom!C:C, uom!B:B, "Not Found")</f>
      </c>
      <c r="K2169" s="1" t="s">
        <v>5511</v>
      </c>
      <c r="L2169" s="5">
        <f>XLOOKUP(N2169, uom!C:C, uom!B:B, "Not Found")</f>
      </c>
      <c r="M2169" s="1" t="s">
        <v>5511</v>
      </c>
      <c r="N2169" s="8" t="s">
        <v>5512</v>
      </c>
      <c r="O2169" s="1" t="s">
        <v>5513</v>
      </c>
      <c r="P2169" s="5">
        <f>XLOOKUP(R2169, classification!C:C, classification!B:B, "Not Found")</f>
      </c>
      <c r="Q2169" s="1" t="s">
        <v>5514</v>
      </c>
      <c r="R2169" s="2"/>
      <c r="S2169" s="2"/>
      <c r="T2169" s="2"/>
      <c r="U2169" s="2"/>
    </row>
    <row x14ac:dyDescent="0.25" r="2170" customHeight="1" ht="17.25">
      <c r="A2170" s="7">
        <v>2169</v>
      </c>
      <c r="B2170" s="1" t="s">
        <v>7544</v>
      </c>
      <c r="C2170" s="5">
        <f>CONCATENATE("PD", TEXT(A2170, "1000000"))</f>
      </c>
      <c r="D2170" s="7">
        <v>76</v>
      </c>
      <c r="E2170" s="5">
        <f>XLOOKUP(G2170, item_category!C:C, item_category!B:B, "Not Found")</f>
      </c>
      <c r="F2170" s="1" t="s">
        <v>5632</v>
      </c>
      <c r="G2170" s="5">
        <f>XLOOKUP(I2170, drug!B:B, drug!A:A, "Not Found")</f>
      </c>
      <c r="H2170" s="1"/>
      <c r="I2170" s="7">
        <v>1</v>
      </c>
      <c r="J2170" s="5">
        <f>XLOOKUP(L2170, uom!C:C, uom!B:B, "Not Found")</f>
      </c>
      <c r="K2170" s="1" t="s">
        <v>5511</v>
      </c>
      <c r="L2170" s="5">
        <f>XLOOKUP(N2170, uom!C:C, uom!B:B, "Not Found")</f>
      </c>
      <c r="M2170" s="1" t="s">
        <v>5511</v>
      </c>
      <c r="N2170" s="8" t="s">
        <v>5512</v>
      </c>
      <c r="O2170" s="1" t="s">
        <v>5513</v>
      </c>
      <c r="P2170" s="5">
        <f>XLOOKUP(R2170, classification!C:C, classification!B:B, "Not Found")</f>
      </c>
      <c r="Q2170" s="1" t="s">
        <v>5514</v>
      </c>
      <c r="R2170" s="2"/>
      <c r="S2170" s="2"/>
      <c r="T2170" s="2"/>
      <c r="U2170" s="2"/>
    </row>
    <row x14ac:dyDescent="0.25" r="2171" customHeight="1" ht="17.25">
      <c r="A2171" s="7">
        <v>2170</v>
      </c>
      <c r="B2171" s="1" t="s">
        <v>7545</v>
      </c>
      <c r="C2171" s="5">
        <f>CONCATENATE("PD", TEXT(A2171, "1000000"))</f>
      </c>
      <c r="D2171" s="7">
        <v>76</v>
      </c>
      <c r="E2171" s="5">
        <f>XLOOKUP(G2171, item_category!C:C, item_category!B:B, "Not Found")</f>
      </c>
      <c r="F2171" s="1" t="s">
        <v>5632</v>
      </c>
      <c r="G2171" s="5">
        <f>XLOOKUP(I2171, drug!B:B, drug!A:A, "Not Found")</f>
      </c>
      <c r="H2171" s="1"/>
      <c r="I2171" s="7">
        <v>1</v>
      </c>
      <c r="J2171" s="5">
        <f>XLOOKUP(L2171, uom!C:C, uom!B:B, "Not Found")</f>
      </c>
      <c r="K2171" s="1" t="s">
        <v>5511</v>
      </c>
      <c r="L2171" s="5">
        <f>XLOOKUP(N2171, uom!C:C, uom!B:B, "Not Found")</f>
      </c>
      <c r="M2171" s="1" t="s">
        <v>5511</v>
      </c>
      <c r="N2171" s="8" t="s">
        <v>5512</v>
      </c>
      <c r="O2171" s="1" t="s">
        <v>5513</v>
      </c>
      <c r="P2171" s="5">
        <f>XLOOKUP(R2171, classification!C:C, classification!B:B, "Not Found")</f>
      </c>
      <c r="Q2171" s="1" t="s">
        <v>5514</v>
      </c>
      <c r="R2171" s="2"/>
      <c r="S2171" s="2"/>
      <c r="T2171" s="2"/>
      <c r="U2171" s="2"/>
    </row>
    <row x14ac:dyDescent="0.25" r="2172" customHeight="1" ht="17.25">
      <c r="A2172" s="7">
        <v>2171</v>
      </c>
      <c r="B2172" s="1" t="s">
        <v>7546</v>
      </c>
      <c r="C2172" s="5">
        <f>CONCATENATE("PD", TEXT(A2172, "1000000"))</f>
      </c>
      <c r="D2172" s="7">
        <v>76</v>
      </c>
      <c r="E2172" s="5">
        <f>XLOOKUP(G2172, item_category!C:C, item_category!B:B, "Not Found")</f>
      </c>
      <c r="F2172" s="1" t="s">
        <v>5632</v>
      </c>
      <c r="G2172" s="5">
        <f>XLOOKUP(I2172, drug!B:B, drug!A:A, "Not Found")</f>
      </c>
      <c r="H2172" s="1"/>
      <c r="I2172" s="7">
        <v>1</v>
      </c>
      <c r="J2172" s="5">
        <f>XLOOKUP(L2172, uom!C:C, uom!B:B, "Not Found")</f>
      </c>
      <c r="K2172" s="1" t="s">
        <v>5511</v>
      </c>
      <c r="L2172" s="5">
        <f>XLOOKUP(N2172, uom!C:C, uom!B:B, "Not Found")</f>
      </c>
      <c r="M2172" s="1" t="s">
        <v>5511</v>
      </c>
      <c r="N2172" s="8" t="s">
        <v>5512</v>
      </c>
      <c r="O2172" s="1" t="s">
        <v>5513</v>
      </c>
      <c r="P2172" s="5">
        <f>XLOOKUP(R2172, classification!C:C, classification!B:B, "Not Found")</f>
      </c>
      <c r="Q2172" s="1" t="s">
        <v>5514</v>
      </c>
      <c r="R2172" s="2"/>
      <c r="S2172" s="2"/>
      <c r="T2172" s="2"/>
      <c r="U2172" s="2"/>
    </row>
    <row x14ac:dyDescent="0.25" r="2173" customHeight="1" ht="17.25">
      <c r="A2173" s="7">
        <v>2172</v>
      </c>
      <c r="B2173" s="1" t="s">
        <v>7547</v>
      </c>
      <c r="C2173" s="5">
        <f>CONCATENATE("PD", TEXT(A2173, "1000000"))</f>
      </c>
      <c r="D2173" s="7">
        <v>76</v>
      </c>
      <c r="E2173" s="5">
        <f>XLOOKUP(G2173, item_category!C:C, item_category!B:B, "Not Found")</f>
      </c>
      <c r="F2173" s="1" t="s">
        <v>5632</v>
      </c>
      <c r="G2173" s="5">
        <f>XLOOKUP(I2173, drug!B:B, drug!A:A, "Not Found")</f>
      </c>
      <c r="H2173" s="1"/>
      <c r="I2173" s="7">
        <v>1</v>
      </c>
      <c r="J2173" s="5">
        <f>XLOOKUP(L2173, uom!C:C, uom!B:B, "Not Found")</f>
      </c>
      <c r="K2173" s="1" t="s">
        <v>5511</v>
      </c>
      <c r="L2173" s="5">
        <f>XLOOKUP(N2173, uom!C:C, uom!B:B, "Not Found")</f>
      </c>
      <c r="M2173" s="1" t="s">
        <v>5511</v>
      </c>
      <c r="N2173" s="8" t="s">
        <v>5512</v>
      </c>
      <c r="O2173" s="1" t="s">
        <v>5513</v>
      </c>
      <c r="P2173" s="5">
        <f>XLOOKUP(R2173, classification!C:C, classification!B:B, "Not Found")</f>
      </c>
      <c r="Q2173" s="1" t="s">
        <v>5514</v>
      </c>
      <c r="R2173" s="2"/>
      <c r="S2173" s="2"/>
      <c r="T2173" s="2"/>
      <c r="U2173" s="2"/>
    </row>
    <row x14ac:dyDescent="0.25" r="2174" customHeight="1" ht="17.25">
      <c r="A2174" s="7">
        <v>2173</v>
      </c>
      <c r="B2174" s="1" t="s">
        <v>7548</v>
      </c>
      <c r="C2174" s="5">
        <f>CONCATENATE("PD", TEXT(A2174, "1000000"))</f>
      </c>
      <c r="D2174" s="7">
        <v>76</v>
      </c>
      <c r="E2174" s="5">
        <f>XLOOKUP(G2174, item_category!C:C, item_category!B:B, "Not Found")</f>
      </c>
      <c r="F2174" s="1" t="s">
        <v>5632</v>
      </c>
      <c r="G2174" s="5">
        <f>XLOOKUP(I2174, drug!B:B, drug!A:A, "Not Found")</f>
      </c>
      <c r="H2174" s="1"/>
      <c r="I2174" s="7">
        <v>1</v>
      </c>
      <c r="J2174" s="5">
        <f>XLOOKUP(L2174, uom!C:C, uom!B:B, "Not Found")</f>
      </c>
      <c r="K2174" s="1" t="s">
        <v>5511</v>
      </c>
      <c r="L2174" s="5">
        <f>XLOOKUP(N2174, uom!C:C, uom!B:B, "Not Found")</f>
      </c>
      <c r="M2174" s="1" t="s">
        <v>5511</v>
      </c>
      <c r="N2174" s="8" t="s">
        <v>5512</v>
      </c>
      <c r="O2174" s="1" t="s">
        <v>5513</v>
      </c>
      <c r="P2174" s="5">
        <f>XLOOKUP(R2174, classification!C:C, classification!B:B, "Not Found")</f>
      </c>
      <c r="Q2174" s="1" t="s">
        <v>5514</v>
      </c>
      <c r="R2174" s="2"/>
      <c r="S2174" s="2"/>
      <c r="T2174" s="2"/>
      <c r="U2174" s="2"/>
    </row>
    <row x14ac:dyDescent="0.25" r="2175" customHeight="1" ht="17.25">
      <c r="A2175" s="7">
        <v>2174</v>
      </c>
      <c r="B2175" s="1" t="s">
        <v>7549</v>
      </c>
      <c r="C2175" s="5">
        <f>CONCATENATE("PD", TEXT(A2175, "1000000"))</f>
      </c>
      <c r="D2175" s="7">
        <v>76</v>
      </c>
      <c r="E2175" s="5">
        <f>XLOOKUP(G2175, item_category!C:C, item_category!B:B, "Not Found")</f>
      </c>
      <c r="F2175" s="1" t="s">
        <v>5632</v>
      </c>
      <c r="G2175" s="5">
        <f>XLOOKUP(I2175, drug!B:B, drug!A:A, "Not Found")</f>
      </c>
      <c r="H2175" s="1"/>
      <c r="I2175" s="7">
        <v>1</v>
      </c>
      <c r="J2175" s="5">
        <f>XLOOKUP(L2175, uom!C:C, uom!B:B, "Not Found")</f>
      </c>
      <c r="K2175" s="1" t="s">
        <v>5511</v>
      </c>
      <c r="L2175" s="5">
        <f>XLOOKUP(N2175, uom!C:C, uom!B:B, "Not Found")</f>
      </c>
      <c r="M2175" s="1" t="s">
        <v>5511</v>
      </c>
      <c r="N2175" s="8" t="s">
        <v>5512</v>
      </c>
      <c r="O2175" s="1" t="s">
        <v>5513</v>
      </c>
      <c r="P2175" s="5">
        <f>XLOOKUP(R2175, classification!C:C, classification!B:B, "Not Found")</f>
      </c>
      <c r="Q2175" s="1" t="s">
        <v>5514</v>
      </c>
      <c r="R2175" s="2"/>
      <c r="S2175" s="2"/>
      <c r="T2175" s="2"/>
      <c r="U2175" s="2"/>
    </row>
    <row x14ac:dyDescent="0.25" r="2176" customHeight="1" ht="17.25">
      <c r="A2176" s="7">
        <v>2175</v>
      </c>
      <c r="B2176" s="1" t="s">
        <v>7550</v>
      </c>
      <c r="C2176" s="5">
        <f>CONCATENATE("PD", TEXT(A2176, "1000000"))</f>
      </c>
      <c r="D2176" s="7">
        <v>76</v>
      </c>
      <c r="E2176" s="5">
        <f>XLOOKUP(G2176, item_category!C:C, item_category!B:B, "Not Found")</f>
      </c>
      <c r="F2176" s="1" t="s">
        <v>5632</v>
      </c>
      <c r="G2176" s="5">
        <f>XLOOKUP(I2176, drug!B:B, drug!A:A, "Not Found")</f>
      </c>
      <c r="H2176" s="1"/>
      <c r="I2176" s="7">
        <v>1</v>
      </c>
      <c r="J2176" s="5">
        <f>XLOOKUP(L2176, uom!C:C, uom!B:B, "Not Found")</f>
      </c>
      <c r="K2176" s="1" t="s">
        <v>5511</v>
      </c>
      <c r="L2176" s="5">
        <f>XLOOKUP(N2176, uom!C:C, uom!B:B, "Not Found")</f>
      </c>
      <c r="M2176" s="1" t="s">
        <v>5511</v>
      </c>
      <c r="N2176" s="8" t="s">
        <v>5512</v>
      </c>
      <c r="O2176" s="1" t="s">
        <v>5513</v>
      </c>
      <c r="P2176" s="5">
        <f>XLOOKUP(R2176, classification!C:C, classification!B:B, "Not Found")</f>
      </c>
      <c r="Q2176" s="1" t="s">
        <v>5514</v>
      </c>
      <c r="R2176" s="2"/>
      <c r="S2176" s="2"/>
      <c r="T2176" s="2"/>
      <c r="U2176" s="2"/>
    </row>
    <row x14ac:dyDescent="0.25" r="2177" customHeight="1" ht="17.25">
      <c r="A2177" s="7">
        <v>2176</v>
      </c>
      <c r="B2177" s="1" t="s">
        <v>7551</v>
      </c>
      <c r="C2177" s="5">
        <f>CONCATENATE("PD", TEXT(A2177, "1000000"))</f>
      </c>
      <c r="D2177" s="7">
        <v>76</v>
      </c>
      <c r="E2177" s="5">
        <f>XLOOKUP(G2177, item_category!C:C, item_category!B:B, "Not Found")</f>
      </c>
      <c r="F2177" s="1" t="s">
        <v>5632</v>
      </c>
      <c r="G2177" s="5">
        <f>XLOOKUP(I2177, drug!B:B, drug!A:A, "Not Found")</f>
      </c>
      <c r="H2177" s="1"/>
      <c r="I2177" s="7">
        <v>1</v>
      </c>
      <c r="J2177" s="5">
        <f>XLOOKUP(L2177, uom!C:C, uom!B:B, "Not Found")</f>
      </c>
      <c r="K2177" s="1" t="s">
        <v>5511</v>
      </c>
      <c r="L2177" s="5">
        <f>XLOOKUP(N2177, uom!C:C, uom!B:B, "Not Found")</f>
      </c>
      <c r="M2177" s="1" t="s">
        <v>5511</v>
      </c>
      <c r="N2177" s="8" t="s">
        <v>5512</v>
      </c>
      <c r="O2177" s="1" t="s">
        <v>5513</v>
      </c>
      <c r="P2177" s="5">
        <f>XLOOKUP(R2177, classification!C:C, classification!B:B, "Not Found")</f>
      </c>
      <c r="Q2177" s="1" t="s">
        <v>5514</v>
      </c>
      <c r="R2177" s="2"/>
      <c r="S2177" s="2"/>
      <c r="T2177" s="2"/>
      <c r="U2177" s="2"/>
    </row>
    <row x14ac:dyDescent="0.25" r="2178" customHeight="1" ht="17.25">
      <c r="A2178" s="7">
        <v>2177</v>
      </c>
      <c r="B2178" s="1" t="s">
        <v>7552</v>
      </c>
      <c r="C2178" s="5">
        <f>CONCATENATE("PD", TEXT(A2178, "1000000"))</f>
      </c>
      <c r="D2178" s="7">
        <v>76</v>
      </c>
      <c r="E2178" s="5">
        <f>XLOOKUP(G2178, item_category!C:C, item_category!B:B, "Not Found")</f>
      </c>
      <c r="F2178" s="1" t="s">
        <v>5632</v>
      </c>
      <c r="G2178" s="5">
        <f>XLOOKUP(I2178, drug!B:B, drug!A:A, "Not Found")</f>
      </c>
      <c r="H2178" s="1"/>
      <c r="I2178" s="7">
        <v>1</v>
      </c>
      <c r="J2178" s="5">
        <f>XLOOKUP(L2178, uom!C:C, uom!B:B, "Not Found")</f>
      </c>
      <c r="K2178" s="1" t="s">
        <v>5511</v>
      </c>
      <c r="L2178" s="5">
        <f>XLOOKUP(N2178, uom!C:C, uom!B:B, "Not Found")</f>
      </c>
      <c r="M2178" s="1" t="s">
        <v>5511</v>
      </c>
      <c r="N2178" s="8" t="s">
        <v>5512</v>
      </c>
      <c r="O2178" s="1" t="s">
        <v>5513</v>
      </c>
      <c r="P2178" s="5">
        <f>XLOOKUP(R2178, classification!C:C, classification!B:B, "Not Found")</f>
      </c>
      <c r="Q2178" s="1" t="s">
        <v>5514</v>
      </c>
      <c r="R2178" s="2"/>
      <c r="S2178" s="2"/>
      <c r="T2178" s="2"/>
      <c r="U2178" s="2"/>
    </row>
    <row x14ac:dyDescent="0.25" r="2179" customHeight="1" ht="17.25">
      <c r="A2179" s="7">
        <v>2178</v>
      </c>
      <c r="B2179" s="1" t="s">
        <v>7553</v>
      </c>
      <c r="C2179" s="5">
        <f>CONCATENATE("PD", TEXT(A2179, "1000000"))</f>
      </c>
      <c r="D2179" s="7">
        <v>76</v>
      </c>
      <c r="E2179" s="5">
        <f>XLOOKUP(G2179, item_category!C:C, item_category!B:B, "Not Found")</f>
      </c>
      <c r="F2179" s="1" t="s">
        <v>5632</v>
      </c>
      <c r="G2179" s="5">
        <f>XLOOKUP(I2179, drug!B:B, drug!A:A, "Not Found")</f>
      </c>
      <c r="H2179" s="1"/>
      <c r="I2179" s="7">
        <v>1</v>
      </c>
      <c r="J2179" s="5">
        <f>XLOOKUP(L2179, uom!C:C, uom!B:B, "Not Found")</f>
      </c>
      <c r="K2179" s="1" t="s">
        <v>5511</v>
      </c>
      <c r="L2179" s="5">
        <f>XLOOKUP(N2179, uom!C:C, uom!B:B, "Not Found")</f>
      </c>
      <c r="M2179" s="1" t="s">
        <v>5511</v>
      </c>
      <c r="N2179" s="8" t="s">
        <v>5512</v>
      </c>
      <c r="O2179" s="1" t="s">
        <v>5513</v>
      </c>
      <c r="P2179" s="5">
        <f>XLOOKUP(R2179, classification!C:C, classification!B:B, "Not Found")</f>
      </c>
      <c r="Q2179" s="1" t="s">
        <v>5514</v>
      </c>
      <c r="R2179" s="2"/>
      <c r="S2179" s="2"/>
      <c r="T2179" s="2"/>
      <c r="U2179" s="2"/>
    </row>
    <row x14ac:dyDescent="0.25" r="2180" customHeight="1" ht="17.25">
      <c r="A2180" s="7">
        <v>2179</v>
      </c>
      <c r="B2180" s="1" t="s">
        <v>7554</v>
      </c>
      <c r="C2180" s="5">
        <f>CONCATENATE("PD", TEXT(A2180, "1000000"))</f>
      </c>
      <c r="D2180" s="7">
        <v>76</v>
      </c>
      <c r="E2180" s="5">
        <f>XLOOKUP(G2180, item_category!C:C, item_category!B:B, "Not Found")</f>
      </c>
      <c r="F2180" s="1" t="s">
        <v>5632</v>
      </c>
      <c r="G2180" s="5">
        <f>XLOOKUP(I2180, drug!B:B, drug!A:A, "Not Found")</f>
      </c>
      <c r="H2180" s="1"/>
      <c r="I2180" s="7">
        <v>1</v>
      </c>
      <c r="J2180" s="5">
        <f>XLOOKUP(L2180, uom!C:C, uom!B:B, "Not Found")</f>
      </c>
      <c r="K2180" s="1" t="s">
        <v>5511</v>
      </c>
      <c r="L2180" s="5">
        <f>XLOOKUP(N2180, uom!C:C, uom!B:B, "Not Found")</f>
      </c>
      <c r="M2180" s="1" t="s">
        <v>5511</v>
      </c>
      <c r="N2180" s="8" t="s">
        <v>5512</v>
      </c>
      <c r="O2180" s="1" t="s">
        <v>5513</v>
      </c>
      <c r="P2180" s="5">
        <f>XLOOKUP(R2180, classification!C:C, classification!B:B, "Not Found")</f>
      </c>
      <c r="Q2180" s="1" t="s">
        <v>5514</v>
      </c>
      <c r="R2180" s="2"/>
      <c r="S2180" s="2"/>
      <c r="T2180" s="2"/>
      <c r="U2180" s="2"/>
    </row>
    <row x14ac:dyDescent="0.25" r="2181" customHeight="1" ht="17.25">
      <c r="A2181" s="7">
        <v>2180</v>
      </c>
      <c r="B2181" s="1" t="s">
        <v>7555</v>
      </c>
      <c r="C2181" s="5">
        <f>CONCATENATE("PD", TEXT(A2181, "1000000"))</f>
      </c>
      <c r="D2181" s="7">
        <v>76</v>
      </c>
      <c r="E2181" s="5">
        <f>XLOOKUP(G2181, item_category!C:C, item_category!B:B, "Not Found")</f>
      </c>
      <c r="F2181" s="1" t="s">
        <v>5632</v>
      </c>
      <c r="G2181" s="5">
        <f>XLOOKUP(I2181, drug!B:B, drug!A:A, "Not Found")</f>
      </c>
      <c r="H2181" s="1"/>
      <c r="I2181" s="7">
        <v>1</v>
      </c>
      <c r="J2181" s="5">
        <f>XLOOKUP(L2181, uom!C:C, uom!B:B, "Not Found")</f>
      </c>
      <c r="K2181" s="1" t="s">
        <v>5511</v>
      </c>
      <c r="L2181" s="5">
        <f>XLOOKUP(N2181, uom!C:C, uom!B:B, "Not Found")</f>
      </c>
      <c r="M2181" s="1" t="s">
        <v>5511</v>
      </c>
      <c r="N2181" s="8" t="s">
        <v>5512</v>
      </c>
      <c r="O2181" s="1" t="s">
        <v>5513</v>
      </c>
      <c r="P2181" s="5">
        <f>XLOOKUP(R2181, classification!C:C, classification!B:B, "Not Found")</f>
      </c>
      <c r="Q2181" s="1" t="s">
        <v>5514</v>
      </c>
      <c r="R2181" s="2"/>
      <c r="S2181" s="2"/>
      <c r="T2181" s="2"/>
      <c r="U2181" s="2"/>
    </row>
    <row x14ac:dyDescent="0.25" r="2182" customHeight="1" ht="17.25">
      <c r="A2182" s="7">
        <v>2181</v>
      </c>
      <c r="B2182" s="1" t="s">
        <v>7556</v>
      </c>
      <c r="C2182" s="5">
        <f>CONCATENATE("PD", TEXT(A2182, "1000000"))</f>
      </c>
      <c r="D2182" s="7">
        <v>76</v>
      </c>
      <c r="E2182" s="5">
        <f>XLOOKUP(G2182, item_category!C:C, item_category!B:B, "Not Found")</f>
      </c>
      <c r="F2182" s="1" t="s">
        <v>5632</v>
      </c>
      <c r="G2182" s="5">
        <f>XLOOKUP(I2182, drug!B:B, drug!A:A, "Not Found")</f>
      </c>
      <c r="H2182" s="1"/>
      <c r="I2182" s="7">
        <v>1</v>
      </c>
      <c r="J2182" s="5">
        <f>XLOOKUP(L2182, uom!C:C, uom!B:B, "Not Found")</f>
      </c>
      <c r="K2182" s="1" t="s">
        <v>5511</v>
      </c>
      <c r="L2182" s="5">
        <f>XLOOKUP(N2182, uom!C:C, uom!B:B, "Not Found")</f>
      </c>
      <c r="M2182" s="1" t="s">
        <v>5511</v>
      </c>
      <c r="N2182" s="8" t="s">
        <v>5512</v>
      </c>
      <c r="O2182" s="1" t="s">
        <v>5513</v>
      </c>
      <c r="P2182" s="5">
        <f>XLOOKUP(R2182, classification!C:C, classification!B:B, "Not Found")</f>
      </c>
      <c r="Q2182" s="1" t="s">
        <v>5514</v>
      </c>
      <c r="R2182" s="2"/>
      <c r="S2182" s="2"/>
      <c r="T2182" s="2"/>
      <c r="U2182" s="2"/>
    </row>
    <row x14ac:dyDescent="0.25" r="2183" customHeight="1" ht="17.25">
      <c r="A2183" s="7">
        <v>2182</v>
      </c>
      <c r="B2183" s="1" t="s">
        <v>7557</v>
      </c>
      <c r="C2183" s="5">
        <f>CONCATENATE("PD", TEXT(A2183, "1000000"))</f>
      </c>
      <c r="D2183" s="7">
        <v>76</v>
      </c>
      <c r="E2183" s="5">
        <f>XLOOKUP(G2183, item_category!C:C, item_category!B:B, "Not Found")</f>
      </c>
      <c r="F2183" s="1" t="s">
        <v>5632</v>
      </c>
      <c r="G2183" s="5">
        <f>XLOOKUP(I2183, drug!B:B, drug!A:A, "Not Found")</f>
      </c>
      <c r="H2183" s="1"/>
      <c r="I2183" s="7">
        <v>1</v>
      </c>
      <c r="J2183" s="5">
        <f>XLOOKUP(L2183, uom!C:C, uom!B:B, "Not Found")</f>
      </c>
      <c r="K2183" s="1" t="s">
        <v>5511</v>
      </c>
      <c r="L2183" s="5">
        <f>XLOOKUP(N2183, uom!C:C, uom!B:B, "Not Found")</f>
      </c>
      <c r="M2183" s="1" t="s">
        <v>5511</v>
      </c>
      <c r="N2183" s="8" t="s">
        <v>5512</v>
      </c>
      <c r="O2183" s="1" t="s">
        <v>5513</v>
      </c>
      <c r="P2183" s="5">
        <f>XLOOKUP(R2183, classification!C:C, classification!B:B, "Not Found")</f>
      </c>
      <c r="Q2183" s="1" t="s">
        <v>5514</v>
      </c>
      <c r="R2183" s="2"/>
      <c r="S2183" s="2"/>
      <c r="T2183" s="2"/>
      <c r="U2183" s="2"/>
    </row>
    <row x14ac:dyDescent="0.25" r="2184" customHeight="1" ht="17.25">
      <c r="A2184" s="7">
        <v>2183</v>
      </c>
      <c r="B2184" s="1" t="s">
        <v>7558</v>
      </c>
      <c r="C2184" s="5">
        <f>CONCATENATE("PD", TEXT(A2184, "1000000"))</f>
      </c>
      <c r="D2184" s="7">
        <v>76</v>
      </c>
      <c r="E2184" s="5">
        <f>XLOOKUP(G2184, item_category!C:C, item_category!B:B, "Not Found")</f>
      </c>
      <c r="F2184" s="1" t="s">
        <v>5632</v>
      </c>
      <c r="G2184" s="5">
        <f>XLOOKUP(I2184, drug!B:B, drug!A:A, "Not Found")</f>
      </c>
      <c r="H2184" s="1"/>
      <c r="I2184" s="7">
        <v>1</v>
      </c>
      <c r="J2184" s="5">
        <f>XLOOKUP(L2184, uom!C:C, uom!B:B, "Not Found")</f>
      </c>
      <c r="K2184" s="1" t="s">
        <v>5511</v>
      </c>
      <c r="L2184" s="5">
        <f>XLOOKUP(N2184, uom!C:C, uom!B:B, "Not Found")</f>
      </c>
      <c r="M2184" s="1" t="s">
        <v>5511</v>
      </c>
      <c r="N2184" s="8" t="s">
        <v>5512</v>
      </c>
      <c r="O2184" s="1" t="s">
        <v>5513</v>
      </c>
      <c r="P2184" s="5">
        <f>XLOOKUP(R2184, classification!C:C, classification!B:B, "Not Found")</f>
      </c>
      <c r="Q2184" s="1" t="s">
        <v>5514</v>
      </c>
      <c r="R2184" s="2"/>
      <c r="S2184" s="2"/>
      <c r="T2184" s="2"/>
      <c r="U2184" s="2"/>
    </row>
    <row x14ac:dyDescent="0.25" r="2185" customHeight="1" ht="17.25">
      <c r="A2185" s="7">
        <v>2184</v>
      </c>
      <c r="B2185" s="1" t="s">
        <v>7559</v>
      </c>
      <c r="C2185" s="5">
        <f>CONCATENATE("PD", TEXT(A2185, "1000000"))</f>
      </c>
      <c r="D2185" s="7">
        <v>76</v>
      </c>
      <c r="E2185" s="5">
        <f>XLOOKUP(G2185, item_category!C:C, item_category!B:B, "Not Found")</f>
      </c>
      <c r="F2185" s="1" t="s">
        <v>5632</v>
      </c>
      <c r="G2185" s="5">
        <f>XLOOKUP(I2185, drug!B:B, drug!A:A, "Not Found")</f>
      </c>
      <c r="H2185" s="1"/>
      <c r="I2185" s="7">
        <v>1</v>
      </c>
      <c r="J2185" s="5">
        <f>XLOOKUP(L2185, uom!C:C, uom!B:B, "Not Found")</f>
      </c>
      <c r="K2185" s="1" t="s">
        <v>5511</v>
      </c>
      <c r="L2185" s="5">
        <f>XLOOKUP(N2185, uom!C:C, uom!B:B, "Not Found")</f>
      </c>
      <c r="M2185" s="1" t="s">
        <v>5511</v>
      </c>
      <c r="N2185" s="8" t="s">
        <v>5512</v>
      </c>
      <c r="O2185" s="1" t="s">
        <v>5513</v>
      </c>
      <c r="P2185" s="5">
        <f>XLOOKUP(R2185, classification!C:C, classification!B:B, "Not Found")</f>
      </c>
      <c r="Q2185" s="1" t="s">
        <v>5514</v>
      </c>
      <c r="R2185" s="2"/>
      <c r="S2185" s="2"/>
      <c r="T2185" s="2"/>
      <c r="U2185" s="2"/>
    </row>
    <row x14ac:dyDescent="0.25" r="2186" customHeight="1" ht="17.25">
      <c r="A2186" s="7">
        <v>2185</v>
      </c>
      <c r="B2186" s="1" t="s">
        <v>7560</v>
      </c>
      <c r="C2186" s="5">
        <f>CONCATENATE("PD", TEXT(A2186, "1000000"))</f>
      </c>
      <c r="D2186" s="7">
        <v>76</v>
      </c>
      <c r="E2186" s="5">
        <f>XLOOKUP(G2186, item_category!C:C, item_category!B:B, "Not Found")</f>
      </c>
      <c r="F2186" s="1" t="s">
        <v>5632</v>
      </c>
      <c r="G2186" s="5">
        <f>XLOOKUP(I2186, drug!B:B, drug!A:A, "Not Found")</f>
      </c>
      <c r="H2186" s="1"/>
      <c r="I2186" s="7">
        <v>1</v>
      </c>
      <c r="J2186" s="5">
        <f>XLOOKUP(L2186, uom!C:C, uom!B:B, "Not Found")</f>
      </c>
      <c r="K2186" s="1" t="s">
        <v>5511</v>
      </c>
      <c r="L2186" s="5">
        <f>XLOOKUP(N2186, uom!C:C, uom!B:B, "Not Found")</f>
      </c>
      <c r="M2186" s="1" t="s">
        <v>5511</v>
      </c>
      <c r="N2186" s="8" t="s">
        <v>5512</v>
      </c>
      <c r="O2186" s="1" t="s">
        <v>5513</v>
      </c>
      <c r="P2186" s="5">
        <f>XLOOKUP(R2186, classification!C:C, classification!B:B, "Not Found")</f>
      </c>
      <c r="Q2186" s="1" t="s">
        <v>5514</v>
      </c>
      <c r="R2186" s="2"/>
      <c r="S2186" s="2"/>
      <c r="T2186" s="2"/>
      <c r="U2186" s="2"/>
    </row>
    <row x14ac:dyDescent="0.25" r="2187" customHeight="1" ht="17.25">
      <c r="A2187" s="7">
        <v>2186</v>
      </c>
      <c r="B2187" s="1" t="s">
        <v>7561</v>
      </c>
      <c r="C2187" s="5">
        <f>CONCATENATE("PD", TEXT(A2187, "1000000"))</f>
      </c>
      <c r="D2187" s="7">
        <v>76</v>
      </c>
      <c r="E2187" s="5">
        <f>XLOOKUP(G2187, item_category!C:C, item_category!B:B, "Not Found")</f>
      </c>
      <c r="F2187" s="1" t="s">
        <v>5632</v>
      </c>
      <c r="G2187" s="5">
        <f>XLOOKUP(I2187, drug!B:B, drug!A:A, "Not Found")</f>
      </c>
      <c r="H2187" s="1"/>
      <c r="I2187" s="7">
        <v>1</v>
      </c>
      <c r="J2187" s="5">
        <f>XLOOKUP(L2187, uom!C:C, uom!B:B, "Not Found")</f>
      </c>
      <c r="K2187" s="1" t="s">
        <v>5511</v>
      </c>
      <c r="L2187" s="5">
        <f>XLOOKUP(N2187, uom!C:C, uom!B:B, "Not Found")</f>
      </c>
      <c r="M2187" s="1" t="s">
        <v>5511</v>
      </c>
      <c r="N2187" s="8" t="s">
        <v>5512</v>
      </c>
      <c r="O2187" s="1" t="s">
        <v>5513</v>
      </c>
      <c r="P2187" s="5">
        <f>XLOOKUP(R2187, classification!C:C, classification!B:B, "Not Found")</f>
      </c>
      <c r="Q2187" s="1" t="s">
        <v>5514</v>
      </c>
      <c r="R2187" s="2"/>
      <c r="S2187" s="2"/>
      <c r="T2187" s="2"/>
      <c r="U2187" s="2"/>
    </row>
    <row x14ac:dyDescent="0.25" r="2188" customHeight="1" ht="17.25">
      <c r="A2188" s="7">
        <v>2187</v>
      </c>
      <c r="B2188" s="1" t="s">
        <v>7562</v>
      </c>
      <c r="C2188" s="5">
        <f>CONCATENATE("PD", TEXT(A2188, "1000000"))</f>
      </c>
      <c r="D2188" s="7">
        <v>76</v>
      </c>
      <c r="E2188" s="5">
        <f>XLOOKUP(G2188, item_category!C:C, item_category!B:B, "Not Found")</f>
      </c>
      <c r="F2188" s="1" t="s">
        <v>5632</v>
      </c>
      <c r="G2188" s="5">
        <f>XLOOKUP(I2188, drug!B:B, drug!A:A, "Not Found")</f>
      </c>
      <c r="H2188" s="1"/>
      <c r="I2188" s="7">
        <v>1</v>
      </c>
      <c r="J2188" s="5">
        <f>XLOOKUP(L2188, uom!C:C, uom!B:B, "Not Found")</f>
      </c>
      <c r="K2188" s="1" t="s">
        <v>5511</v>
      </c>
      <c r="L2188" s="5">
        <f>XLOOKUP(N2188, uom!C:C, uom!B:B, "Not Found")</f>
      </c>
      <c r="M2188" s="1" t="s">
        <v>5511</v>
      </c>
      <c r="N2188" s="8" t="s">
        <v>5512</v>
      </c>
      <c r="O2188" s="1" t="s">
        <v>5513</v>
      </c>
      <c r="P2188" s="5">
        <f>XLOOKUP(R2188, classification!C:C, classification!B:B, "Not Found")</f>
      </c>
      <c r="Q2188" s="1" t="s">
        <v>5514</v>
      </c>
      <c r="R2188" s="2"/>
      <c r="S2188" s="2"/>
      <c r="T2188" s="2"/>
      <c r="U2188" s="2"/>
    </row>
    <row x14ac:dyDescent="0.25" r="2189" customHeight="1" ht="17.25">
      <c r="A2189" s="7">
        <v>2188</v>
      </c>
      <c r="B2189" s="1" t="s">
        <v>7563</v>
      </c>
      <c r="C2189" s="5">
        <f>CONCATENATE("PD", TEXT(A2189, "1000000"))</f>
      </c>
      <c r="D2189" s="7">
        <v>76</v>
      </c>
      <c r="E2189" s="5">
        <f>XLOOKUP(G2189, item_category!C:C, item_category!B:B, "Not Found")</f>
      </c>
      <c r="F2189" s="1" t="s">
        <v>5632</v>
      </c>
      <c r="G2189" s="5">
        <f>XLOOKUP(I2189, drug!B:B, drug!A:A, "Not Found")</f>
      </c>
      <c r="H2189" s="1"/>
      <c r="I2189" s="7">
        <v>1</v>
      </c>
      <c r="J2189" s="5">
        <f>XLOOKUP(L2189, uom!C:C, uom!B:B, "Not Found")</f>
      </c>
      <c r="K2189" s="1" t="s">
        <v>5511</v>
      </c>
      <c r="L2189" s="5">
        <f>XLOOKUP(N2189, uom!C:C, uom!B:B, "Not Found")</f>
      </c>
      <c r="M2189" s="1" t="s">
        <v>5511</v>
      </c>
      <c r="N2189" s="8" t="s">
        <v>5512</v>
      </c>
      <c r="O2189" s="1" t="s">
        <v>5513</v>
      </c>
      <c r="P2189" s="5">
        <f>XLOOKUP(R2189, classification!C:C, classification!B:B, "Not Found")</f>
      </c>
      <c r="Q2189" s="1" t="s">
        <v>5514</v>
      </c>
      <c r="R2189" s="2"/>
      <c r="S2189" s="2"/>
      <c r="T2189" s="2"/>
      <c r="U2189" s="2"/>
    </row>
    <row x14ac:dyDescent="0.25" r="2190" customHeight="1" ht="17.25">
      <c r="A2190" s="7">
        <v>2189</v>
      </c>
      <c r="B2190" s="1" t="s">
        <v>7564</v>
      </c>
      <c r="C2190" s="5">
        <f>CONCATENATE("PD", TEXT(A2190, "1000000"))</f>
      </c>
      <c r="D2190" s="7">
        <v>76</v>
      </c>
      <c r="E2190" s="5">
        <f>XLOOKUP(G2190, item_category!C:C, item_category!B:B, "Not Found")</f>
      </c>
      <c r="F2190" s="1" t="s">
        <v>5632</v>
      </c>
      <c r="G2190" s="5">
        <f>XLOOKUP(I2190, drug!B:B, drug!A:A, "Not Found")</f>
      </c>
      <c r="H2190" s="1"/>
      <c r="I2190" s="7">
        <v>1</v>
      </c>
      <c r="J2190" s="5">
        <f>XLOOKUP(L2190, uom!C:C, uom!B:B, "Not Found")</f>
      </c>
      <c r="K2190" s="1" t="s">
        <v>5511</v>
      </c>
      <c r="L2190" s="5">
        <f>XLOOKUP(N2190, uom!C:C, uom!B:B, "Not Found")</f>
      </c>
      <c r="M2190" s="1" t="s">
        <v>5511</v>
      </c>
      <c r="N2190" s="8" t="s">
        <v>5512</v>
      </c>
      <c r="O2190" s="1" t="s">
        <v>5513</v>
      </c>
      <c r="P2190" s="5">
        <f>XLOOKUP(R2190, classification!C:C, classification!B:B, "Not Found")</f>
      </c>
      <c r="Q2190" s="1" t="s">
        <v>5514</v>
      </c>
      <c r="R2190" s="2"/>
      <c r="S2190" s="2"/>
      <c r="T2190" s="2"/>
      <c r="U2190" s="2"/>
    </row>
    <row x14ac:dyDescent="0.25" r="2191" customHeight="1" ht="17.25">
      <c r="A2191" s="7">
        <v>2190</v>
      </c>
      <c r="B2191" s="1" t="s">
        <v>7565</v>
      </c>
      <c r="C2191" s="5">
        <f>CONCATENATE("PD", TEXT(A2191, "1000000"))</f>
      </c>
      <c r="D2191" s="7">
        <v>76</v>
      </c>
      <c r="E2191" s="5">
        <f>XLOOKUP(G2191, item_category!C:C, item_category!B:B, "Not Found")</f>
      </c>
      <c r="F2191" s="1" t="s">
        <v>5632</v>
      </c>
      <c r="G2191" s="5">
        <f>XLOOKUP(I2191, drug!B:B, drug!A:A, "Not Found")</f>
      </c>
      <c r="H2191" s="1"/>
      <c r="I2191" s="7">
        <v>1</v>
      </c>
      <c r="J2191" s="5">
        <f>XLOOKUP(L2191, uom!C:C, uom!B:B, "Not Found")</f>
      </c>
      <c r="K2191" s="1" t="s">
        <v>5511</v>
      </c>
      <c r="L2191" s="5">
        <f>XLOOKUP(N2191, uom!C:C, uom!B:B, "Not Found")</f>
      </c>
      <c r="M2191" s="1" t="s">
        <v>5511</v>
      </c>
      <c r="N2191" s="8" t="s">
        <v>5512</v>
      </c>
      <c r="O2191" s="1" t="s">
        <v>5513</v>
      </c>
      <c r="P2191" s="5">
        <f>XLOOKUP(R2191, classification!C:C, classification!B:B, "Not Found")</f>
      </c>
      <c r="Q2191" s="1" t="s">
        <v>5514</v>
      </c>
      <c r="R2191" s="2"/>
      <c r="S2191" s="2"/>
      <c r="T2191" s="2"/>
      <c r="U2191" s="2"/>
    </row>
    <row x14ac:dyDescent="0.25" r="2192" customHeight="1" ht="17.25">
      <c r="A2192" s="7">
        <v>2191</v>
      </c>
      <c r="B2192" s="1" t="s">
        <v>7566</v>
      </c>
      <c r="C2192" s="5">
        <f>CONCATENATE("PD", TEXT(A2192, "1000000"))</f>
      </c>
      <c r="D2192" s="7">
        <v>76</v>
      </c>
      <c r="E2192" s="5">
        <f>XLOOKUP(G2192, item_category!C:C, item_category!B:B, "Not Found")</f>
      </c>
      <c r="F2192" s="1" t="s">
        <v>5632</v>
      </c>
      <c r="G2192" s="5">
        <f>XLOOKUP(I2192, drug!B:B, drug!A:A, "Not Found")</f>
      </c>
      <c r="H2192" s="1"/>
      <c r="I2192" s="7">
        <v>1</v>
      </c>
      <c r="J2192" s="5">
        <f>XLOOKUP(L2192, uom!C:C, uom!B:B, "Not Found")</f>
      </c>
      <c r="K2192" s="1" t="s">
        <v>5511</v>
      </c>
      <c r="L2192" s="5">
        <f>XLOOKUP(N2192, uom!C:C, uom!B:B, "Not Found")</f>
      </c>
      <c r="M2192" s="1" t="s">
        <v>5511</v>
      </c>
      <c r="N2192" s="8" t="s">
        <v>5512</v>
      </c>
      <c r="O2192" s="1" t="s">
        <v>5513</v>
      </c>
      <c r="P2192" s="5">
        <f>XLOOKUP(R2192, classification!C:C, classification!B:B, "Not Found")</f>
      </c>
      <c r="Q2192" s="1" t="s">
        <v>5514</v>
      </c>
      <c r="R2192" s="2"/>
      <c r="S2192" s="2"/>
      <c r="T2192" s="2"/>
      <c r="U2192" s="2"/>
    </row>
    <row x14ac:dyDescent="0.25" r="2193" customHeight="1" ht="17.25">
      <c r="A2193" s="7">
        <v>2192</v>
      </c>
      <c r="B2193" s="1" t="s">
        <v>7567</v>
      </c>
      <c r="C2193" s="5">
        <f>CONCATENATE("PD", TEXT(A2193, "1000000"))</f>
      </c>
      <c r="D2193" s="7">
        <v>76</v>
      </c>
      <c r="E2193" s="5">
        <f>XLOOKUP(G2193, item_category!C:C, item_category!B:B, "Not Found")</f>
      </c>
      <c r="F2193" s="1" t="s">
        <v>5632</v>
      </c>
      <c r="G2193" s="5">
        <f>XLOOKUP(I2193, drug!B:B, drug!A:A, "Not Found")</f>
      </c>
      <c r="H2193" s="1"/>
      <c r="I2193" s="7">
        <v>1</v>
      </c>
      <c r="J2193" s="5">
        <f>XLOOKUP(L2193, uom!C:C, uom!B:B, "Not Found")</f>
      </c>
      <c r="K2193" s="1" t="s">
        <v>5511</v>
      </c>
      <c r="L2193" s="5">
        <f>XLOOKUP(N2193, uom!C:C, uom!B:B, "Not Found")</f>
      </c>
      <c r="M2193" s="1" t="s">
        <v>5511</v>
      </c>
      <c r="N2193" s="8" t="s">
        <v>5512</v>
      </c>
      <c r="O2193" s="1" t="s">
        <v>5513</v>
      </c>
      <c r="P2193" s="5">
        <f>XLOOKUP(R2193, classification!C:C, classification!B:B, "Not Found")</f>
      </c>
      <c r="Q2193" s="1" t="s">
        <v>5514</v>
      </c>
      <c r="R2193" s="2"/>
      <c r="S2193" s="2"/>
      <c r="T2193" s="2"/>
      <c r="U2193" s="2"/>
    </row>
    <row x14ac:dyDescent="0.25" r="2194" customHeight="1" ht="17.25">
      <c r="A2194" s="7">
        <v>2193</v>
      </c>
      <c r="B2194" s="1" t="s">
        <v>7568</v>
      </c>
      <c r="C2194" s="5">
        <f>CONCATENATE("PD", TEXT(A2194, "1000000"))</f>
      </c>
      <c r="D2194" s="7">
        <v>76</v>
      </c>
      <c r="E2194" s="5">
        <f>XLOOKUP(G2194, item_category!C:C, item_category!B:B, "Not Found")</f>
      </c>
      <c r="F2194" s="1" t="s">
        <v>5632</v>
      </c>
      <c r="G2194" s="5">
        <f>XLOOKUP(I2194, drug!B:B, drug!A:A, "Not Found")</f>
      </c>
      <c r="H2194" s="1"/>
      <c r="I2194" s="7">
        <v>1</v>
      </c>
      <c r="J2194" s="5">
        <f>XLOOKUP(L2194, uom!C:C, uom!B:B, "Not Found")</f>
      </c>
      <c r="K2194" s="1" t="s">
        <v>5511</v>
      </c>
      <c r="L2194" s="5">
        <f>XLOOKUP(N2194, uom!C:C, uom!B:B, "Not Found")</f>
      </c>
      <c r="M2194" s="1" t="s">
        <v>5511</v>
      </c>
      <c r="N2194" s="8" t="s">
        <v>5512</v>
      </c>
      <c r="O2194" s="1" t="s">
        <v>5513</v>
      </c>
      <c r="P2194" s="5">
        <f>XLOOKUP(R2194, classification!C:C, classification!B:B, "Not Found")</f>
      </c>
      <c r="Q2194" s="1" t="s">
        <v>5514</v>
      </c>
      <c r="R2194" s="2"/>
      <c r="S2194" s="2"/>
      <c r="T2194" s="2"/>
      <c r="U2194" s="2"/>
    </row>
    <row x14ac:dyDescent="0.25" r="2195" customHeight="1" ht="17.25">
      <c r="A2195" s="7">
        <v>2194</v>
      </c>
      <c r="B2195" s="1" t="s">
        <v>7569</v>
      </c>
      <c r="C2195" s="5">
        <f>CONCATENATE("PD", TEXT(A2195, "1000000"))</f>
      </c>
      <c r="D2195" s="7">
        <v>76</v>
      </c>
      <c r="E2195" s="5">
        <f>XLOOKUP(G2195, item_category!C:C, item_category!B:B, "Not Found")</f>
      </c>
      <c r="F2195" s="1" t="s">
        <v>5632</v>
      </c>
      <c r="G2195" s="5">
        <f>XLOOKUP(I2195, drug!B:B, drug!A:A, "Not Found")</f>
      </c>
      <c r="H2195" s="1"/>
      <c r="I2195" s="7">
        <v>1</v>
      </c>
      <c r="J2195" s="5">
        <f>XLOOKUP(L2195, uom!C:C, uom!B:B, "Not Found")</f>
      </c>
      <c r="K2195" s="1" t="s">
        <v>5511</v>
      </c>
      <c r="L2195" s="5">
        <f>XLOOKUP(N2195, uom!C:C, uom!B:B, "Not Found")</f>
      </c>
      <c r="M2195" s="1" t="s">
        <v>5511</v>
      </c>
      <c r="N2195" s="8" t="s">
        <v>5512</v>
      </c>
      <c r="O2195" s="1" t="s">
        <v>5513</v>
      </c>
      <c r="P2195" s="5">
        <f>XLOOKUP(R2195, classification!C:C, classification!B:B, "Not Found")</f>
      </c>
      <c r="Q2195" s="1" t="s">
        <v>5514</v>
      </c>
      <c r="R2195" s="2"/>
      <c r="S2195" s="2"/>
      <c r="T2195" s="2"/>
      <c r="U2195" s="2"/>
    </row>
    <row x14ac:dyDescent="0.25" r="2196" customHeight="1" ht="17.25">
      <c r="A2196" s="7">
        <v>2195</v>
      </c>
      <c r="B2196" s="1" t="s">
        <v>7570</v>
      </c>
      <c r="C2196" s="5">
        <f>CONCATENATE("PD", TEXT(A2196, "1000000"))</f>
      </c>
      <c r="D2196" s="7">
        <v>76</v>
      </c>
      <c r="E2196" s="5">
        <f>XLOOKUP(G2196, item_category!C:C, item_category!B:B, "Not Found")</f>
      </c>
      <c r="F2196" s="1" t="s">
        <v>5632</v>
      </c>
      <c r="G2196" s="5">
        <f>XLOOKUP(I2196, drug!B:B, drug!A:A, "Not Found")</f>
      </c>
      <c r="H2196" s="1"/>
      <c r="I2196" s="7">
        <v>1</v>
      </c>
      <c r="J2196" s="5">
        <f>XLOOKUP(L2196, uom!C:C, uom!B:B, "Not Found")</f>
      </c>
      <c r="K2196" s="1" t="s">
        <v>5511</v>
      </c>
      <c r="L2196" s="5">
        <f>XLOOKUP(N2196, uom!C:C, uom!B:B, "Not Found")</f>
      </c>
      <c r="M2196" s="1" t="s">
        <v>5511</v>
      </c>
      <c r="N2196" s="8" t="s">
        <v>5512</v>
      </c>
      <c r="O2196" s="1" t="s">
        <v>5513</v>
      </c>
      <c r="P2196" s="5">
        <f>XLOOKUP(R2196, classification!C:C, classification!B:B, "Not Found")</f>
      </c>
      <c r="Q2196" s="1" t="s">
        <v>5514</v>
      </c>
      <c r="R2196" s="2"/>
      <c r="S2196" s="2"/>
      <c r="T2196" s="2"/>
      <c r="U2196" s="2"/>
    </row>
    <row x14ac:dyDescent="0.25" r="2197" customHeight="1" ht="17.25">
      <c r="A2197" s="7">
        <v>2196</v>
      </c>
      <c r="B2197" s="1" t="s">
        <v>7571</v>
      </c>
      <c r="C2197" s="5">
        <f>CONCATENATE("PD", TEXT(A2197, "1000000"))</f>
      </c>
      <c r="D2197" s="7">
        <v>76</v>
      </c>
      <c r="E2197" s="5">
        <f>XLOOKUP(G2197, item_category!C:C, item_category!B:B, "Not Found")</f>
      </c>
      <c r="F2197" s="1" t="s">
        <v>5632</v>
      </c>
      <c r="G2197" s="5">
        <f>XLOOKUP(I2197, drug!B:B, drug!A:A, "Not Found")</f>
      </c>
      <c r="H2197" s="1"/>
      <c r="I2197" s="7">
        <v>1</v>
      </c>
      <c r="J2197" s="5">
        <f>XLOOKUP(L2197, uom!C:C, uom!B:B, "Not Found")</f>
      </c>
      <c r="K2197" s="1" t="s">
        <v>5511</v>
      </c>
      <c r="L2197" s="5">
        <f>XLOOKUP(N2197, uom!C:C, uom!B:B, "Not Found")</f>
      </c>
      <c r="M2197" s="1" t="s">
        <v>5511</v>
      </c>
      <c r="N2197" s="8" t="s">
        <v>5512</v>
      </c>
      <c r="O2197" s="1" t="s">
        <v>5513</v>
      </c>
      <c r="P2197" s="5">
        <f>XLOOKUP(R2197, classification!C:C, classification!B:B, "Not Found")</f>
      </c>
      <c r="Q2197" s="1" t="s">
        <v>5514</v>
      </c>
      <c r="R2197" s="2"/>
      <c r="S2197" s="2"/>
      <c r="T2197" s="2"/>
      <c r="U2197" s="2"/>
    </row>
    <row x14ac:dyDescent="0.25" r="2198" customHeight="1" ht="17.25">
      <c r="A2198" s="7">
        <v>2197</v>
      </c>
      <c r="B2198" s="1" t="s">
        <v>7572</v>
      </c>
      <c r="C2198" s="5">
        <f>CONCATENATE("PD", TEXT(A2198, "1000000"))</f>
      </c>
      <c r="D2198" s="7">
        <v>76</v>
      </c>
      <c r="E2198" s="5">
        <f>XLOOKUP(G2198, item_category!C:C, item_category!B:B, "Not Found")</f>
      </c>
      <c r="F2198" s="1" t="s">
        <v>5632</v>
      </c>
      <c r="G2198" s="5">
        <f>XLOOKUP(I2198, drug!B:B, drug!A:A, "Not Found")</f>
      </c>
      <c r="H2198" s="1"/>
      <c r="I2198" s="7">
        <v>1</v>
      </c>
      <c r="J2198" s="5">
        <f>XLOOKUP(L2198, uom!C:C, uom!B:B, "Not Found")</f>
      </c>
      <c r="K2198" s="1" t="s">
        <v>5511</v>
      </c>
      <c r="L2198" s="5">
        <f>XLOOKUP(N2198, uom!C:C, uom!B:B, "Not Found")</f>
      </c>
      <c r="M2198" s="1" t="s">
        <v>5511</v>
      </c>
      <c r="N2198" s="8" t="s">
        <v>5512</v>
      </c>
      <c r="O2198" s="1" t="s">
        <v>5513</v>
      </c>
      <c r="P2198" s="5">
        <f>XLOOKUP(R2198, classification!C:C, classification!B:B, "Not Found")</f>
      </c>
      <c r="Q2198" s="1" t="s">
        <v>5514</v>
      </c>
      <c r="R2198" s="2"/>
      <c r="S2198" s="2"/>
      <c r="T2198" s="2"/>
      <c r="U2198" s="2"/>
    </row>
    <row x14ac:dyDescent="0.25" r="2199" customHeight="1" ht="17.25">
      <c r="A2199" s="7">
        <v>2198</v>
      </c>
      <c r="B2199" s="1" t="s">
        <v>7573</v>
      </c>
      <c r="C2199" s="5">
        <f>CONCATENATE("PD", TEXT(A2199, "1000000"))</f>
      </c>
      <c r="D2199" s="7">
        <v>76</v>
      </c>
      <c r="E2199" s="5">
        <f>XLOOKUP(G2199, item_category!C:C, item_category!B:B, "Not Found")</f>
      </c>
      <c r="F2199" s="1" t="s">
        <v>5632</v>
      </c>
      <c r="G2199" s="5">
        <f>XLOOKUP(I2199, drug!B:B, drug!A:A, "Not Found")</f>
      </c>
      <c r="H2199" s="1"/>
      <c r="I2199" s="7">
        <v>1</v>
      </c>
      <c r="J2199" s="5">
        <f>XLOOKUP(L2199, uom!C:C, uom!B:B, "Not Found")</f>
      </c>
      <c r="K2199" s="1" t="s">
        <v>5511</v>
      </c>
      <c r="L2199" s="5">
        <f>XLOOKUP(N2199, uom!C:C, uom!B:B, "Not Found")</f>
      </c>
      <c r="M2199" s="1" t="s">
        <v>5511</v>
      </c>
      <c r="N2199" s="8" t="s">
        <v>5512</v>
      </c>
      <c r="O2199" s="1" t="s">
        <v>5513</v>
      </c>
      <c r="P2199" s="5">
        <f>XLOOKUP(R2199, classification!C:C, classification!B:B, "Not Found")</f>
      </c>
      <c r="Q2199" s="1" t="s">
        <v>5514</v>
      </c>
      <c r="R2199" s="2"/>
      <c r="S2199" s="2"/>
      <c r="T2199" s="2"/>
      <c r="U2199" s="2"/>
    </row>
    <row x14ac:dyDescent="0.25" r="2200" customHeight="1" ht="17.25">
      <c r="A2200" s="7">
        <v>2199</v>
      </c>
      <c r="B2200" s="1" t="s">
        <v>7574</v>
      </c>
      <c r="C2200" s="5">
        <f>CONCATENATE("PD", TEXT(A2200, "1000000"))</f>
      </c>
      <c r="D2200" s="7">
        <v>76</v>
      </c>
      <c r="E2200" s="5">
        <f>XLOOKUP(G2200, item_category!C:C, item_category!B:B, "Not Found")</f>
      </c>
      <c r="F2200" s="1" t="s">
        <v>5632</v>
      </c>
      <c r="G2200" s="5">
        <f>XLOOKUP(I2200, drug!B:B, drug!A:A, "Not Found")</f>
      </c>
      <c r="H2200" s="1"/>
      <c r="I2200" s="7">
        <v>1</v>
      </c>
      <c r="J2200" s="5">
        <f>XLOOKUP(L2200, uom!C:C, uom!B:B, "Not Found")</f>
      </c>
      <c r="K2200" s="1" t="s">
        <v>5511</v>
      </c>
      <c r="L2200" s="5">
        <f>XLOOKUP(N2200, uom!C:C, uom!B:B, "Not Found")</f>
      </c>
      <c r="M2200" s="1" t="s">
        <v>5511</v>
      </c>
      <c r="N2200" s="8" t="s">
        <v>5512</v>
      </c>
      <c r="O2200" s="1" t="s">
        <v>5513</v>
      </c>
      <c r="P2200" s="5">
        <f>XLOOKUP(R2200, classification!C:C, classification!B:B, "Not Found")</f>
      </c>
      <c r="Q2200" s="1" t="s">
        <v>5514</v>
      </c>
      <c r="R2200" s="2"/>
      <c r="S2200" s="2"/>
      <c r="T2200" s="2"/>
      <c r="U2200" s="2"/>
    </row>
    <row x14ac:dyDescent="0.25" r="2201" customHeight="1" ht="17.25">
      <c r="A2201" s="7">
        <v>2200</v>
      </c>
      <c r="B2201" s="1" t="s">
        <v>7575</v>
      </c>
      <c r="C2201" s="5">
        <f>CONCATENATE("PD", TEXT(A2201, "1000000"))</f>
      </c>
      <c r="D2201" s="7">
        <v>76</v>
      </c>
      <c r="E2201" s="5">
        <f>XLOOKUP(G2201, item_category!C:C, item_category!B:B, "Not Found")</f>
      </c>
      <c r="F2201" s="1" t="s">
        <v>5632</v>
      </c>
      <c r="G2201" s="5">
        <f>XLOOKUP(I2201, drug!B:B, drug!A:A, "Not Found")</f>
      </c>
      <c r="H2201" s="1"/>
      <c r="I2201" s="7">
        <v>1</v>
      </c>
      <c r="J2201" s="5">
        <f>XLOOKUP(L2201, uom!C:C, uom!B:B, "Not Found")</f>
      </c>
      <c r="K2201" s="1" t="s">
        <v>5511</v>
      </c>
      <c r="L2201" s="5">
        <f>XLOOKUP(N2201, uom!C:C, uom!B:B, "Not Found")</f>
      </c>
      <c r="M2201" s="1" t="s">
        <v>5511</v>
      </c>
      <c r="N2201" s="8" t="s">
        <v>5512</v>
      </c>
      <c r="O2201" s="1" t="s">
        <v>5513</v>
      </c>
      <c r="P2201" s="5">
        <f>XLOOKUP(R2201, classification!C:C, classification!B:B, "Not Found")</f>
      </c>
      <c r="Q2201" s="1" t="s">
        <v>5514</v>
      </c>
      <c r="R2201" s="2"/>
      <c r="S2201" s="2"/>
      <c r="T2201" s="2"/>
      <c r="U2201" s="2"/>
    </row>
    <row x14ac:dyDescent="0.25" r="2202" customHeight="1" ht="17.25">
      <c r="A2202" s="7">
        <v>2201</v>
      </c>
      <c r="B2202" s="1" t="s">
        <v>7576</v>
      </c>
      <c r="C2202" s="5">
        <f>CONCATENATE("PD", TEXT(A2202, "1000000"))</f>
      </c>
      <c r="D2202" s="7">
        <v>76</v>
      </c>
      <c r="E2202" s="5">
        <f>XLOOKUP(G2202, item_category!C:C, item_category!B:B, "Not Found")</f>
      </c>
      <c r="F2202" s="1" t="s">
        <v>5632</v>
      </c>
      <c r="G2202" s="5">
        <f>XLOOKUP(I2202, drug!B:B, drug!A:A, "Not Found")</f>
      </c>
      <c r="H2202" s="1"/>
      <c r="I2202" s="7">
        <v>1</v>
      </c>
      <c r="J2202" s="5">
        <f>XLOOKUP(L2202, uom!C:C, uom!B:B, "Not Found")</f>
      </c>
      <c r="K2202" s="1" t="s">
        <v>5511</v>
      </c>
      <c r="L2202" s="5">
        <f>XLOOKUP(N2202, uom!C:C, uom!B:B, "Not Found")</f>
      </c>
      <c r="M2202" s="1" t="s">
        <v>5511</v>
      </c>
      <c r="N2202" s="8" t="s">
        <v>5512</v>
      </c>
      <c r="O2202" s="1" t="s">
        <v>5513</v>
      </c>
      <c r="P2202" s="5">
        <f>XLOOKUP(R2202, classification!C:C, classification!B:B, "Not Found")</f>
      </c>
      <c r="Q2202" s="1" t="s">
        <v>5514</v>
      </c>
      <c r="R2202" s="2"/>
      <c r="S2202" s="2"/>
      <c r="T2202" s="2"/>
      <c r="U2202" s="2"/>
    </row>
    <row x14ac:dyDescent="0.25" r="2203" customHeight="1" ht="17.25">
      <c r="A2203" s="7">
        <v>2202</v>
      </c>
      <c r="B2203" s="1" t="s">
        <v>7576</v>
      </c>
      <c r="C2203" s="5">
        <f>CONCATENATE("PD", TEXT(A2203, "1000000"))</f>
      </c>
      <c r="D2203" s="7">
        <v>76</v>
      </c>
      <c r="E2203" s="5">
        <f>XLOOKUP(G2203, item_category!C:C, item_category!B:B, "Not Found")</f>
      </c>
      <c r="F2203" s="1" t="s">
        <v>5632</v>
      </c>
      <c r="G2203" s="5">
        <f>XLOOKUP(I2203, drug!B:B, drug!A:A, "Not Found")</f>
      </c>
      <c r="H2203" s="1"/>
      <c r="I2203" s="7">
        <v>1</v>
      </c>
      <c r="J2203" s="5">
        <f>XLOOKUP(L2203, uom!C:C, uom!B:B, "Not Found")</f>
      </c>
      <c r="K2203" s="1" t="s">
        <v>5511</v>
      </c>
      <c r="L2203" s="5">
        <f>XLOOKUP(N2203, uom!C:C, uom!B:B, "Not Found")</f>
      </c>
      <c r="M2203" s="1" t="s">
        <v>5511</v>
      </c>
      <c r="N2203" s="8" t="s">
        <v>5512</v>
      </c>
      <c r="O2203" s="1" t="s">
        <v>5513</v>
      </c>
      <c r="P2203" s="5">
        <f>XLOOKUP(R2203, classification!C:C, classification!B:B, "Not Found")</f>
      </c>
      <c r="Q2203" s="1" t="s">
        <v>5514</v>
      </c>
      <c r="R2203" s="2"/>
      <c r="S2203" s="2"/>
      <c r="T2203" s="2"/>
      <c r="U2203" s="2"/>
    </row>
    <row x14ac:dyDescent="0.25" r="2204" customHeight="1" ht="17.25">
      <c r="A2204" s="7">
        <v>2203</v>
      </c>
      <c r="B2204" s="1" t="s">
        <v>7577</v>
      </c>
      <c r="C2204" s="5">
        <f>CONCATENATE("PD", TEXT(A2204, "1000000"))</f>
      </c>
      <c r="D2204" s="7">
        <v>76</v>
      </c>
      <c r="E2204" s="5">
        <f>XLOOKUP(G2204, item_category!C:C, item_category!B:B, "Not Found")</f>
      </c>
      <c r="F2204" s="1" t="s">
        <v>5632</v>
      </c>
      <c r="G2204" s="5">
        <f>XLOOKUP(I2204, drug!B:B, drug!A:A, "Not Found")</f>
      </c>
      <c r="H2204" s="1"/>
      <c r="I2204" s="7">
        <v>1</v>
      </c>
      <c r="J2204" s="5">
        <f>XLOOKUP(L2204, uom!C:C, uom!B:B, "Not Found")</f>
      </c>
      <c r="K2204" s="1" t="s">
        <v>5511</v>
      </c>
      <c r="L2204" s="5">
        <f>XLOOKUP(N2204, uom!C:C, uom!B:B, "Not Found")</f>
      </c>
      <c r="M2204" s="1" t="s">
        <v>5511</v>
      </c>
      <c r="N2204" s="8" t="s">
        <v>5512</v>
      </c>
      <c r="O2204" s="1" t="s">
        <v>5513</v>
      </c>
      <c r="P2204" s="5">
        <f>XLOOKUP(R2204, classification!C:C, classification!B:B, "Not Found")</f>
      </c>
      <c r="Q2204" s="1" t="s">
        <v>5514</v>
      </c>
      <c r="R2204" s="2"/>
      <c r="S2204" s="2"/>
      <c r="T2204" s="2"/>
      <c r="U2204" s="2"/>
    </row>
    <row x14ac:dyDescent="0.25" r="2205" customHeight="1" ht="17.25">
      <c r="A2205" s="7">
        <v>2204</v>
      </c>
      <c r="B2205" s="1" t="s">
        <v>7578</v>
      </c>
      <c r="C2205" s="5">
        <f>CONCATENATE("PD", TEXT(A2205, "1000000"))</f>
      </c>
      <c r="D2205" s="7">
        <v>76</v>
      </c>
      <c r="E2205" s="5">
        <f>XLOOKUP(G2205, item_category!C:C, item_category!B:B, "Not Found")</f>
      </c>
      <c r="F2205" s="1" t="s">
        <v>5632</v>
      </c>
      <c r="G2205" s="5">
        <f>XLOOKUP(I2205, drug!B:B, drug!A:A, "Not Found")</f>
      </c>
      <c r="H2205" s="1"/>
      <c r="I2205" s="7">
        <v>1</v>
      </c>
      <c r="J2205" s="5">
        <f>XLOOKUP(L2205, uom!C:C, uom!B:B, "Not Found")</f>
      </c>
      <c r="K2205" s="1" t="s">
        <v>5511</v>
      </c>
      <c r="L2205" s="5">
        <f>XLOOKUP(N2205, uom!C:C, uom!B:B, "Not Found")</f>
      </c>
      <c r="M2205" s="1" t="s">
        <v>5511</v>
      </c>
      <c r="N2205" s="8" t="s">
        <v>5512</v>
      </c>
      <c r="O2205" s="1" t="s">
        <v>5513</v>
      </c>
      <c r="P2205" s="5">
        <f>XLOOKUP(R2205, classification!C:C, classification!B:B, "Not Found")</f>
      </c>
      <c r="Q2205" s="1" t="s">
        <v>5514</v>
      </c>
      <c r="R2205" s="2"/>
      <c r="S2205" s="2"/>
      <c r="T2205" s="2"/>
      <c r="U2205" s="2"/>
    </row>
    <row x14ac:dyDescent="0.25" r="2206" customHeight="1" ht="17.25">
      <c r="A2206" s="7">
        <v>2205</v>
      </c>
      <c r="B2206" s="1" t="s">
        <v>7579</v>
      </c>
      <c r="C2206" s="5">
        <f>CONCATENATE("PD", TEXT(A2206, "1000000"))</f>
      </c>
      <c r="D2206" s="7">
        <v>76</v>
      </c>
      <c r="E2206" s="5">
        <f>XLOOKUP(G2206, item_category!C:C, item_category!B:B, "Not Found")</f>
      </c>
      <c r="F2206" s="1" t="s">
        <v>5632</v>
      </c>
      <c r="G2206" s="5">
        <f>XLOOKUP(I2206, drug!B:B, drug!A:A, "Not Found")</f>
      </c>
      <c r="H2206" s="1"/>
      <c r="I2206" s="7">
        <v>1</v>
      </c>
      <c r="J2206" s="5">
        <f>XLOOKUP(L2206, uom!C:C, uom!B:B, "Not Found")</f>
      </c>
      <c r="K2206" s="1" t="s">
        <v>5511</v>
      </c>
      <c r="L2206" s="5">
        <f>XLOOKUP(N2206, uom!C:C, uom!B:B, "Not Found")</f>
      </c>
      <c r="M2206" s="1" t="s">
        <v>5511</v>
      </c>
      <c r="N2206" s="8" t="s">
        <v>5512</v>
      </c>
      <c r="O2206" s="1" t="s">
        <v>5513</v>
      </c>
      <c r="P2206" s="5">
        <f>XLOOKUP(R2206, classification!C:C, classification!B:B, "Not Found")</f>
      </c>
      <c r="Q2206" s="1" t="s">
        <v>5514</v>
      </c>
      <c r="R2206" s="2"/>
      <c r="S2206" s="2"/>
      <c r="T2206" s="2"/>
      <c r="U2206" s="2"/>
    </row>
    <row x14ac:dyDescent="0.25" r="2207" customHeight="1" ht="17.25">
      <c r="A2207" s="7">
        <v>2206</v>
      </c>
      <c r="B2207" s="1" t="s">
        <v>7580</v>
      </c>
      <c r="C2207" s="5">
        <f>CONCATENATE("PD", TEXT(A2207, "1000000"))</f>
      </c>
      <c r="D2207" s="7">
        <v>76</v>
      </c>
      <c r="E2207" s="5">
        <f>XLOOKUP(G2207, item_category!C:C, item_category!B:B, "Not Found")</f>
      </c>
      <c r="F2207" s="1" t="s">
        <v>5632</v>
      </c>
      <c r="G2207" s="5">
        <f>XLOOKUP(I2207, drug!B:B, drug!A:A, "Not Found")</f>
      </c>
      <c r="H2207" s="1"/>
      <c r="I2207" s="7">
        <v>1</v>
      </c>
      <c r="J2207" s="5">
        <f>XLOOKUP(L2207, uom!C:C, uom!B:B, "Not Found")</f>
      </c>
      <c r="K2207" s="1" t="s">
        <v>5511</v>
      </c>
      <c r="L2207" s="5">
        <f>XLOOKUP(N2207, uom!C:C, uom!B:B, "Not Found")</f>
      </c>
      <c r="M2207" s="1" t="s">
        <v>5511</v>
      </c>
      <c r="N2207" s="8" t="s">
        <v>5512</v>
      </c>
      <c r="O2207" s="1" t="s">
        <v>5513</v>
      </c>
      <c r="P2207" s="5">
        <f>XLOOKUP(R2207, classification!C:C, classification!B:B, "Not Found")</f>
      </c>
      <c r="Q2207" s="1" t="s">
        <v>5514</v>
      </c>
      <c r="R2207" s="2"/>
      <c r="S2207" s="2"/>
      <c r="T2207" s="2"/>
      <c r="U2207" s="2"/>
    </row>
    <row x14ac:dyDescent="0.25" r="2208" customHeight="1" ht="17.25">
      <c r="A2208" s="7">
        <v>2207</v>
      </c>
      <c r="B2208" s="1" t="s">
        <v>7581</v>
      </c>
      <c r="C2208" s="5">
        <f>CONCATENATE("PD", TEXT(A2208, "1000000"))</f>
      </c>
      <c r="D2208" s="7">
        <v>76</v>
      </c>
      <c r="E2208" s="5">
        <f>XLOOKUP(G2208, item_category!C:C, item_category!B:B, "Not Found")</f>
      </c>
      <c r="F2208" s="1" t="s">
        <v>5632</v>
      </c>
      <c r="G2208" s="5">
        <f>XLOOKUP(I2208, drug!B:B, drug!A:A, "Not Found")</f>
      </c>
      <c r="H2208" s="1"/>
      <c r="I2208" s="7">
        <v>1</v>
      </c>
      <c r="J2208" s="5">
        <f>XLOOKUP(L2208, uom!C:C, uom!B:B, "Not Found")</f>
      </c>
      <c r="K2208" s="1" t="s">
        <v>5511</v>
      </c>
      <c r="L2208" s="5">
        <f>XLOOKUP(N2208, uom!C:C, uom!B:B, "Not Found")</f>
      </c>
      <c r="M2208" s="1" t="s">
        <v>5511</v>
      </c>
      <c r="N2208" s="8" t="s">
        <v>5512</v>
      </c>
      <c r="O2208" s="1" t="s">
        <v>5513</v>
      </c>
      <c r="P2208" s="5">
        <f>XLOOKUP(R2208, classification!C:C, classification!B:B, "Not Found")</f>
      </c>
      <c r="Q2208" s="1" t="s">
        <v>5514</v>
      </c>
      <c r="R2208" s="2"/>
      <c r="S2208" s="2"/>
      <c r="T2208" s="2"/>
      <c r="U2208" s="2"/>
    </row>
    <row x14ac:dyDescent="0.25" r="2209" customHeight="1" ht="17.25">
      <c r="A2209" s="7">
        <v>2208</v>
      </c>
      <c r="B2209" s="1" t="s">
        <v>7582</v>
      </c>
      <c r="C2209" s="5">
        <f>CONCATENATE("PD", TEXT(A2209, "1000000"))</f>
      </c>
      <c r="D2209" s="7">
        <v>76</v>
      </c>
      <c r="E2209" s="5">
        <f>XLOOKUP(G2209, item_category!C:C, item_category!B:B, "Not Found")</f>
      </c>
      <c r="F2209" s="1" t="s">
        <v>5632</v>
      </c>
      <c r="G2209" s="5">
        <f>XLOOKUP(I2209, drug!B:B, drug!A:A, "Not Found")</f>
      </c>
      <c r="H2209" s="1"/>
      <c r="I2209" s="7">
        <v>1</v>
      </c>
      <c r="J2209" s="5">
        <f>XLOOKUP(L2209, uom!C:C, uom!B:B, "Not Found")</f>
      </c>
      <c r="K2209" s="1" t="s">
        <v>5511</v>
      </c>
      <c r="L2209" s="5">
        <f>XLOOKUP(N2209, uom!C:C, uom!B:B, "Not Found")</f>
      </c>
      <c r="M2209" s="1" t="s">
        <v>5511</v>
      </c>
      <c r="N2209" s="8" t="s">
        <v>5512</v>
      </c>
      <c r="O2209" s="1" t="s">
        <v>5513</v>
      </c>
      <c r="P2209" s="5">
        <f>XLOOKUP(R2209, classification!C:C, classification!B:B, "Not Found")</f>
      </c>
      <c r="Q2209" s="1" t="s">
        <v>5514</v>
      </c>
      <c r="R2209" s="2"/>
      <c r="S2209" s="2"/>
      <c r="T2209" s="2"/>
      <c r="U2209" s="2"/>
    </row>
    <row x14ac:dyDescent="0.25" r="2210" customHeight="1" ht="17.25">
      <c r="A2210" s="7">
        <v>2209</v>
      </c>
      <c r="B2210" s="1" t="s">
        <v>7583</v>
      </c>
      <c r="C2210" s="5">
        <f>CONCATENATE("PD", TEXT(A2210, "1000000"))</f>
      </c>
      <c r="D2210" s="7">
        <v>76</v>
      </c>
      <c r="E2210" s="5">
        <f>XLOOKUP(G2210, item_category!C:C, item_category!B:B, "Not Found")</f>
      </c>
      <c r="F2210" s="1" t="s">
        <v>5632</v>
      </c>
      <c r="G2210" s="5">
        <f>XLOOKUP(I2210, drug!B:B, drug!A:A, "Not Found")</f>
      </c>
      <c r="H2210" s="1"/>
      <c r="I2210" s="7">
        <v>1</v>
      </c>
      <c r="J2210" s="5">
        <f>XLOOKUP(L2210, uom!C:C, uom!B:B, "Not Found")</f>
      </c>
      <c r="K2210" s="1" t="s">
        <v>5511</v>
      </c>
      <c r="L2210" s="5">
        <f>XLOOKUP(N2210, uom!C:C, uom!B:B, "Not Found")</f>
      </c>
      <c r="M2210" s="1" t="s">
        <v>5511</v>
      </c>
      <c r="N2210" s="8" t="s">
        <v>5512</v>
      </c>
      <c r="O2210" s="1" t="s">
        <v>5513</v>
      </c>
      <c r="P2210" s="5">
        <f>XLOOKUP(R2210, classification!C:C, classification!B:B, "Not Found")</f>
      </c>
      <c r="Q2210" s="1" t="s">
        <v>5514</v>
      </c>
      <c r="R2210" s="2"/>
      <c r="S2210" s="2"/>
      <c r="T2210" s="2"/>
      <c r="U2210" s="2"/>
    </row>
    <row x14ac:dyDescent="0.25" r="2211" customHeight="1" ht="17.25">
      <c r="A2211" s="7">
        <v>2210</v>
      </c>
      <c r="B2211" s="1" t="s">
        <v>7582</v>
      </c>
      <c r="C2211" s="5">
        <f>CONCATENATE("PD", TEXT(A2211, "1000000"))</f>
      </c>
      <c r="D2211" s="7">
        <v>76</v>
      </c>
      <c r="E2211" s="5">
        <f>XLOOKUP(G2211, item_category!C:C, item_category!B:B, "Not Found")</f>
      </c>
      <c r="F2211" s="1" t="s">
        <v>5632</v>
      </c>
      <c r="G2211" s="5">
        <f>XLOOKUP(I2211, drug!B:B, drug!A:A, "Not Found")</f>
      </c>
      <c r="H2211" s="1"/>
      <c r="I2211" s="7">
        <v>1</v>
      </c>
      <c r="J2211" s="5">
        <f>XLOOKUP(L2211, uom!C:C, uom!B:B, "Not Found")</f>
      </c>
      <c r="K2211" s="1" t="s">
        <v>5511</v>
      </c>
      <c r="L2211" s="5">
        <f>XLOOKUP(N2211, uom!C:C, uom!B:B, "Not Found")</f>
      </c>
      <c r="M2211" s="1" t="s">
        <v>5511</v>
      </c>
      <c r="N2211" s="8" t="s">
        <v>5512</v>
      </c>
      <c r="O2211" s="1" t="s">
        <v>5513</v>
      </c>
      <c r="P2211" s="5">
        <f>XLOOKUP(R2211, classification!C:C, classification!B:B, "Not Found")</f>
      </c>
      <c r="Q2211" s="1" t="s">
        <v>5514</v>
      </c>
      <c r="R2211" s="2"/>
      <c r="S2211" s="2"/>
      <c r="T2211" s="2"/>
      <c r="U2211" s="2"/>
    </row>
    <row x14ac:dyDescent="0.25" r="2212" customHeight="1" ht="17.25">
      <c r="A2212" s="7">
        <v>2211</v>
      </c>
      <c r="B2212" s="1" t="s">
        <v>7584</v>
      </c>
      <c r="C2212" s="5">
        <f>CONCATENATE("PD", TEXT(A2212, "1000000"))</f>
      </c>
      <c r="D2212" s="7">
        <v>76</v>
      </c>
      <c r="E2212" s="5">
        <f>XLOOKUP(G2212, item_category!C:C, item_category!B:B, "Not Found")</f>
      </c>
      <c r="F2212" s="1" t="s">
        <v>5632</v>
      </c>
      <c r="G2212" s="5">
        <f>XLOOKUP(I2212, drug!B:B, drug!A:A, "Not Found")</f>
      </c>
      <c r="H2212" s="1"/>
      <c r="I2212" s="7">
        <v>1</v>
      </c>
      <c r="J2212" s="5">
        <f>XLOOKUP(L2212, uom!C:C, uom!B:B, "Not Found")</f>
      </c>
      <c r="K2212" s="1" t="s">
        <v>5511</v>
      </c>
      <c r="L2212" s="5">
        <f>XLOOKUP(N2212, uom!C:C, uom!B:B, "Not Found")</f>
      </c>
      <c r="M2212" s="1" t="s">
        <v>5511</v>
      </c>
      <c r="N2212" s="8" t="s">
        <v>5512</v>
      </c>
      <c r="O2212" s="1" t="s">
        <v>5513</v>
      </c>
      <c r="P2212" s="5">
        <f>XLOOKUP(R2212, classification!C:C, classification!B:B, "Not Found")</f>
      </c>
      <c r="Q2212" s="1" t="s">
        <v>5514</v>
      </c>
      <c r="R2212" s="2"/>
      <c r="S2212" s="2"/>
      <c r="T2212" s="2"/>
      <c r="U2212" s="2"/>
    </row>
    <row x14ac:dyDescent="0.25" r="2213" customHeight="1" ht="17.25">
      <c r="A2213" s="7">
        <v>2212</v>
      </c>
      <c r="B2213" s="1" t="s">
        <v>7585</v>
      </c>
      <c r="C2213" s="5">
        <f>CONCATENATE("PD", TEXT(A2213, "1000000"))</f>
      </c>
      <c r="D2213" s="7">
        <v>76</v>
      </c>
      <c r="E2213" s="5">
        <f>XLOOKUP(G2213, item_category!C:C, item_category!B:B, "Not Found")</f>
      </c>
      <c r="F2213" s="1" t="s">
        <v>5632</v>
      </c>
      <c r="G2213" s="5">
        <f>XLOOKUP(I2213, drug!B:B, drug!A:A, "Not Found")</f>
      </c>
      <c r="H2213" s="1"/>
      <c r="I2213" s="7">
        <v>1</v>
      </c>
      <c r="J2213" s="5">
        <f>XLOOKUP(L2213, uom!C:C, uom!B:B, "Not Found")</f>
      </c>
      <c r="K2213" s="1" t="s">
        <v>5511</v>
      </c>
      <c r="L2213" s="5">
        <f>XLOOKUP(N2213, uom!C:C, uom!B:B, "Not Found")</f>
      </c>
      <c r="M2213" s="1" t="s">
        <v>5511</v>
      </c>
      <c r="N2213" s="8" t="s">
        <v>5512</v>
      </c>
      <c r="O2213" s="1" t="s">
        <v>5513</v>
      </c>
      <c r="P2213" s="5">
        <f>XLOOKUP(R2213, classification!C:C, classification!B:B, "Not Found")</f>
      </c>
      <c r="Q2213" s="1" t="s">
        <v>5514</v>
      </c>
      <c r="R2213" s="2"/>
      <c r="S2213" s="2"/>
      <c r="T2213" s="2"/>
      <c r="U2213" s="2"/>
    </row>
    <row x14ac:dyDescent="0.25" r="2214" customHeight="1" ht="17.25">
      <c r="A2214" s="7">
        <v>2213</v>
      </c>
      <c r="B2214" s="1" t="s">
        <v>7586</v>
      </c>
      <c r="C2214" s="5">
        <f>CONCATENATE("PD", TEXT(A2214, "1000000"))</f>
      </c>
      <c r="D2214" s="7">
        <v>76</v>
      </c>
      <c r="E2214" s="5">
        <f>XLOOKUP(G2214, item_category!C:C, item_category!B:B, "Not Found")</f>
      </c>
      <c r="F2214" s="1" t="s">
        <v>5632</v>
      </c>
      <c r="G2214" s="5">
        <f>XLOOKUP(I2214, drug!B:B, drug!A:A, "Not Found")</f>
      </c>
      <c r="H2214" s="1"/>
      <c r="I2214" s="7">
        <v>1</v>
      </c>
      <c r="J2214" s="5">
        <f>XLOOKUP(L2214, uom!C:C, uom!B:B, "Not Found")</f>
      </c>
      <c r="K2214" s="1" t="s">
        <v>5511</v>
      </c>
      <c r="L2214" s="5">
        <f>XLOOKUP(N2214, uom!C:C, uom!B:B, "Not Found")</f>
      </c>
      <c r="M2214" s="1" t="s">
        <v>5511</v>
      </c>
      <c r="N2214" s="8" t="s">
        <v>5512</v>
      </c>
      <c r="O2214" s="1" t="s">
        <v>5513</v>
      </c>
      <c r="P2214" s="5">
        <f>XLOOKUP(R2214, classification!C:C, classification!B:B, "Not Found")</f>
      </c>
      <c r="Q2214" s="1" t="s">
        <v>5514</v>
      </c>
      <c r="R2214" s="2"/>
      <c r="S2214" s="2"/>
      <c r="T2214" s="2"/>
      <c r="U2214" s="2"/>
    </row>
    <row x14ac:dyDescent="0.25" r="2215" customHeight="1" ht="17.25">
      <c r="A2215" s="7">
        <v>2214</v>
      </c>
      <c r="B2215" s="1" t="s">
        <v>7587</v>
      </c>
      <c r="C2215" s="5">
        <f>CONCATENATE("PD", TEXT(A2215, "1000000"))</f>
      </c>
      <c r="D2215" s="7">
        <v>76</v>
      </c>
      <c r="E2215" s="5">
        <f>XLOOKUP(G2215, item_category!C:C, item_category!B:B, "Not Found")</f>
      </c>
      <c r="F2215" s="1" t="s">
        <v>5632</v>
      </c>
      <c r="G2215" s="5">
        <f>XLOOKUP(I2215, drug!B:B, drug!A:A, "Not Found")</f>
      </c>
      <c r="H2215" s="1"/>
      <c r="I2215" s="7">
        <v>1</v>
      </c>
      <c r="J2215" s="5">
        <f>XLOOKUP(L2215, uom!C:C, uom!B:B, "Not Found")</f>
      </c>
      <c r="K2215" s="1" t="s">
        <v>5511</v>
      </c>
      <c r="L2215" s="5">
        <f>XLOOKUP(N2215, uom!C:C, uom!B:B, "Not Found")</f>
      </c>
      <c r="M2215" s="1" t="s">
        <v>5511</v>
      </c>
      <c r="N2215" s="8" t="s">
        <v>5512</v>
      </c>
      <c r="O2215" s="1" t="s">
        <v>5513</v>
      </c>
      <c r="P2215" s="5">
        <f>XLOOKUP(R2215, classification!C:C, classification!B:B, "Not Found")</f>
      </c>
      <c r="Q2215" s="1" t="s">
        <v>5514</v>
      </c>
      <c r="R2215" s="2"/>
      <c r="S2215" s="2"/>
      <c r="T2215" s="2"/>
      <c r="U2215" s="2"/>
    </row>
    <row x14ac:dyDescent="0.25" r="2216" customHeight="1" ht="17.25">
      <c r="A2216" s="7">
        <v>2215</v>
      </c>
      <c r="B2216" s="1" t="s">
        <v>7588</v>
      </c>
      <c r="C2216" s="5">
        <f>CONCATENATE("PD", TEXT(A2216, "1000000"))</f>
      </c>
      <c r="D2216" s="7">
        <v>76</v>
      </c>
      <c r="E2216" s="5">
        <f>XLOOKUP(G2216, item_category!C:C, item_category!B:B, "Not Found")</f>
      </c>
      <c r="F2216" s="1" t="s">
        <v>5632</v>
      </c>
      <c r="G2216" s="5">
        <f>XLOOKUP(I2216, drug!B:B, drug!A:A, "Not Found")</f>
      </c>
      <c r="H2216" s="1"/>
      <c r="I2216" s="7">
        <v>1</v>
      </c>
      <c r="J2216" s="5">
        <f>XLOOKUP(L2216, uom!C:C, uom!B:B, "Not Found")</f>
      </c>
      <c r="K2216" s="1" t="s">
        <v>5511</v>
      </c>
      <c r="L2216" s="5">
        <f>XLOOKUP(N2216, uom!C:C, uom!B:B, "Not Found")</f>
      </c>
      <c r="M2216" s="1" t="s">
        <v>5511</v>
      </c>
      <c r="N2216" s="8" t="s">
        <v>5512</v>
      </c>
      <c r="O2216" s="1" t="s">
        <v>5513</v>
      </c>
      <c r="P2216" s="5">
        <f>XLOOKUP(R2216, classification!C:C, classification!B:B, "Not Found")</f>
      </c>
      <c r="Q2216" s="1" t="s">
        <v>5514</v>
      </c>
      <c r="R2216" s="2"/>
      <c r="S2216" s="2"/>
      <c r="T2216" s="2"/>
      <c r="U2216" s="2"/>
    </row>
    <row x14ac:dyDescent="0.25" r="2217" customHeight="1" ht="17.25">
      <c r="A2217" s="7">
        <v>2216</v>
      </c>
      <c r="B2217" s="1" t="s">
        <v>7589</v>
      </c>
      <c r="C2217" s="5">
        <f>CONCATENATE("PD", TEXT(A2217, "1000000"))</f>
      </c>
      <c r="D2217" s="7">
        <v>76</v>
      </c>
      <c r="E2217" s="5">
        <f>XLOOKUP(G2217, item_category!C:C, item_category!B:B, "Not Found")</f>
      </c>
      <c r="F2217" s="1" t="s">
        <v>5632</v>
      </c>
      <c r="G2217" s="5">
        <f>XLOOKUP(I2217, drug!B:B, drug!A:A, "Not Found")</f>
      </c>
      <c r="H2217" s="1"/>
      <c r="I2217" s="7">
        <v>1</v>
      </c>
      <c r="J2217" s="5">
        <f>XLOOKUP(L2217, uom!C:C, uom!B:B, "Not Found")</f>
      </c>
      <c r="K2217" s="1" t="s">
        <v>5511</v>
      </c>
      <c r="L2217" s="5">
        <f>XLOOKUP(N2217, uom!C:C, uom!B:B, "Not Found")</f>
      </c>
      <c r="M2217" s="1" t="s">
        <v>5511</v>
      </c>
      <c r="N2217" s="8" t="s">
        <v>5512</v>
      </c>
      <c r="O2217" s="1" t="s">
        <v>5513</v>
      </c>
      <c r="P2217" s="5">
        <f>XLOOKUP(R2217, classification!C:C, classification!B:B, "Not Found")</f>
      </c>
      <c r="Q2217" s="1" t="s">
        <v>5514</v>
      </c>
      <c r="R2217" s="2"/>
      <c r="S2217" s="2"/>
      <c r="T2217" s="2"/>
      <c r="U2217" s="2"/>
    </row>
    <row x14ac:dyDescent="0.25" r="2218" customHeight="1" ht="17.25">
      <c r="A2218" s="7">
        <v>2217</v>
      </c>
      <c r="B2218" s="1" t="s">
        <v>7590</v>
      </c>
      <c r="C2218" s="5">
        <f>CONCATENATE("PD", TEXT(A2218, "1000000"))</f>
      </c>
      <c r="D2218" s="7">
        <v>76</v>
      </c>
      <c r="E2218" s="5">
        <f>XLOOKUP(G2218, item_category!C:C, item_category!B:B, "Not Found")</f>
      </c>
      <c r="F2218" s="1" t="s">
        <v>5632</v>
      </c>
      <c r="G2218" s="5">
        <f>XLOOKUP(I2218, drug!B:B, drug!A:A, "Not Found")</f>
      </c>
      <c r="H2218" s="1"/>
      <c r="I2218" s="7">
        <v>1</v>
      </c>
      <c r="J2218" s="5">
        <f>XLOOKUP(L2218, uom!C:C, uom!B:B, "Not Found")</f>
      </c>
      <c r="K2218" s="1" t="s">
        <v>5511</v>
      </c>
      <c r="L2218" s="5">
        <f>XLOOKUP(N2218, uom!C:C, uom!B:B, "Not Found")</f>
      </c>
      <c r="M2218" s="1" t="s">
        <v>5511</v>
      </c>
      <c r="N2218" s="8" t="s">
        <v>5512</v>
      </c>
      <c r="O2218" s="1" t="s">
        <v>5513</v>
      </c>
      <c r="P2218" s="5">
        <f>XLOOKUP(R2218, classification!C:C, classification!B:B, "Not Found")</f>
      </c>
      <c r="Q2218" s="1" t="s">
        <v>5514</v>
      </c>
      <c r="R2218" s="2"/>
      <c r="S2218" s="2"/>
      <c r="T2218" s="2"/>
      <c r="U2218" s="2"/>
    </row>
    <row x14ac:dyDescent="0.25" r="2219" customHeight="1" ht="17.25">
      <c r="A2219" s="7">
        <v>2218</v>
      </c>
      <c r="B2219" s="1" t="s">
        <v>7591</v>
      </c>
      <c r="C2219" s="5">
        <f>CONCATENATE("PD", TEXT(A2219, "1000000"))</f>
      </c>
      <c r="D2219" s="7">
        <v>76</v>
      </c>
      <c r="E2219" s="5">
        <f>XLOOKUP(G2219, item_category!C:C, item_category!B:B, "Not Found")</f>
      </c>
      <c r="F2219" s="1" t="s">
        <v>5632</v>
      </c>
      <c r="G2219" s="5">
        <f>XLOOKUP(I2219, drug!B:B, drug!A:A, "Not Found")</f>
      </c>
      <c r="H2219" s="1"/>
      <c r="I2219" s="7">
        <v>1</v>
      </c>
      <c r="J2219" s="5">
        <f>XLOOKUP(L2219, uom!C:C, uom!B:B, "Not Found")</f>
      </c>
      <c r="K2219" s="1" t="s">
        <v>5511</v>
      </c>
      <c r="L2219" s="5">
        <f>XLOOKUP(N2219, uom!C:C, uom!B:B, "Not Found")</f>
      </c>
      <c r="M2219" s="1" t="s">
        <v>5511</v>
      </c>
      <c r="N2219" s="8" t="s">
        <v>5512</v>
      </c>
      <c r="O2219" s="1" t="s">
        <v>5513</v>
      </c>
      <c r="P2219" s="5">
        <f>XLOOKUP(R2219, classification!C:C, classification!B:B, "Not Found")</f>
      </c>
      <c r="Q2219" s="1" t="s">
        <v>5514</v>
      </c>
      <c r="R2219" s="2"/>
      <c r="S2219" s="2"/>
      <c r="T2219" s="2"/>
      <c r="U2219" s="2"/>
    </row>
    <row x14ac:dyDescent="0.25" r="2220" customHeight="1" ht="17.25">
      <c r="A2220" s="7">
        <v>2219</v>
      </c>
      <c r="B2220" s="1" t="s">
        <v>7592</v>
      </c>
      <c r="C2220" s="5">
        <f>CONCATENATE("PD", TEXT(A2220, "1000000"))</f>
      </c>
      <c r="D2220" s="7">
        <v>76</v>
      </c>
      <c r="E2220" s="5">
        <f>XLOOKUP(G2220, item_category!C:C, item_category!B:B, "Not Found")</f>
      </c>
      <c r="F2220" s="1" t="s">
        <v>5632</v>
      </c>
      <c r="G2220" s="5">
        <f>XLOOKUP(I2220, drug!B:B, drug!A:A, "Not Found")</f>
      </c>
      <c r="H2220" s="1"/>
      <c r="I2220" s="7">
        <v>1</v>
      </c>
      <c r="J2220" s="5">
        <f>XLOOKUP(L2220, uom!C:C, uom!B:B, "Not Found")</f>
      </c>
      <c r="K2220" s="1" t="s">
        <v>5511</v>
      </c>
      <c r="L2220" s="5">
        <f>XLOOKUP(N2220, uom!C:C, uom!B:B, "Not Found")</f>
      </c>
      <c r="M2220" s="1" t="s">
        <v>5511</v>
      </c>
      <c r="N2220" s="8" t="s">
        <v>5512</v>
      </c>
      <c r="O2220" s="1" t="s">
        <v>5513</v>
      </c>
      <c r="P2220" s="5">
        <f>XLOOKUP(R2220, classification!C:C, classification!B:B, "Not Found")</f>
      </c>
      <c r="Q2220" s="1" t="s">
        <v>5514</v>
      </c>
      <c r="R2220" s="2"/>
      <c r="S2220" s="2"/>
      <c r="T2220" s="2"/>
      <c r="U2220" s="2"/>
    </row>
    <row x14ac:dyDescent="0.25" r="2221" customHeight="1" ht="17.25">
      <c r="A2221" s="7">
        <v>2220</v>
      </c>
      <c r="B2221" s="1" t="s">
        <v>7593</v>
      </c>
      <c r="C2221" s="5">
        <f>CONCATENATE("PD", TEXT(A2221, "1000000"))</f>
      </c>
      <c r="D2221" s="7">
        <v>76</v>
      </c>
      <c r="E2221" s="5">
        <f>XLOOKUP(G2221, item_category!C:C, item_category!B:B, "Not Found")</f>
      </c>
      <c r="F2221" s="1" t="s">
        <v>5632</v>
      </c>
      <c r="G2221" s="5">
        <f>XLOOKUP(I2221, drug!B:B, drug!A:A, "Not Found")</f>
      </c>
      <c r="H2221" s="1"/>
      <c r="I2221" s="7">
        <v>1</v>
      </c>
      <c r="J2221" s="5">
        <f>XLOOKUP(L2221, uom!C:C, uom!B:B, "Not Found")</f>
      </c>
      <c r="K2221" s="1" t="s">
        <v>5511</v>
      </c>
      <c r="L2221" s="5">
        <f>XLOOKUP(N2221, uom!C:C, uom!B:B, "Not Found")</f>
      </c>
      <c r="M2221" s="1" t="s">
        <v>5511</v>
      </c>
      <c r="N2221" s="8" t="s">
        <v>5512</v>
      </c>
      <c r="O2221" s="1" t="s">
        <v>5513</v>
      </c>
      <c r="P2221" s="5">
        <f>XLOOKUP(R2221, classification!C:C, classification!B:B, "Not Found")</f>
      </c>
      <c r="Q2221" s="1" t="s">
        <v>5514</v>
      </c>
      <c r="R2221" s="2"/>
      <c r="S2221" s="2"/>
      <c r="T2221" s="2"/>
      <c r="U2221" s="2"/>
    </row>
    <row x14ac:dyDescent="0.25" r="2222" customHeight="1" ht="17.25">
      <c r="A2222" s="7">
        <v>2221</v>
      </c>
      <c r="B2222" s="1" t="s">
        <v>7594</v>
      </c>
      <c r="C2222" s="5">
        <f>CONCATENATE("PD", TEXT(A2222, "1000000"))</f>
      </c>
      <c r="D2222" s="7">
        <v>76</v>
      </c>
      <c r="E2222" s="5">
        <f>XLOOKUP(G2222, item_category!C:C, item_category!B:B, "Not Found")</f>
      </c>
      <c r="F2222" s="1" t="s">
        <v>5632</v>
      </c>
      <c r="G2222" s="5">
        <f>XLOOKUP(I2222, drug!B:B, drug!A:A, "Not Found")</f>
      </c>
      <c r="H2222" s="1"/>
      <c r="I2222" s="7">
        <v>1</v>
      </c>
      <c r="J2222" s="5">
        <f>XLOOKUP(L2222, uom!C:C, uom!B:B, "Not Found")</f>
      </c>
      <c r="K2222" s="1" t="s">
        <v>5511</v>
      </c>
      <c r="L2222" s="5">
        <f>XLOOKUP(N2222, uom!C:C, uom!B:B, "Not Found")</f>
      </c>
      <c r="M2222" s="1" t="s">
        <v>5511</v>
      </c>
      <c r="N2222" s="8" t="s">
        <v>5512</v>
      </c>
      <c r="O2222" s="1" t="s">
        <v>5513</v>
      </c>
      <c r="P2222" s="5">
        <f>XLOOKUP(R2222, classification!C:C, classification!B:B, "Not Found")</f>
      </c>
      <c r="Q2222" s="1" t="s">
        <v>5514</v>
      </c>
      <c r="R2222" s="2"/>
      <c r="S2222" s="2"/>
      <c r="T2222" s="2"/>
      <c r="U2222" s="2"/>
    </row>
    <row x14ac:dyDescent="0.25" r="2223" customHeight="1" ht="17.25">
      <c r="A2223" s="7">
        <v>2222</v>
      </c>
      <c r="B2223" s="1" t="s">
        <v>7595</v>
      </c>
      <c r="C2223" s="5">
        <f>CONCATENATE("PD", TEXT(A2223, "1000000"))</f>
      </c>
      <c r="D2223" s="7">
        <v>76</v>
      </c>
      <c r="E2223" s="5">
        <f>XLOOKUP(G2223, item_category!C:C, item_category!B:B, "Not Found")</f>
      </c>
      <c r="F2223" s="1" t="s">
        <v>5632</v>
      </c>
      <c r="G2223" s="5">
        <f>XLOOKUP(I2223, drug!B:B, drug!A:A, "Not Found")</f>
      </c>
      <c r="H2223" s="1"/>
      <c r="I2223" s="7">
        <v>1</v>
      </c>
      <c r="J2223" s="5">
        <f>XLOOKUP(L2223, uom!C:C, uom!B:B, "Not Found")</f>
      </c>
      <c r="K2223" s="1" t="s">
        <v>5511</v>
      </c>
      <c r="L2223" s="5">
        <f>XLOOKUP(N2223, uom!C:C, uom!B:B, "Not Found")</f>
      </c>
      <c r="M2223" s="1" t="s">
        <v>5511</v>
      </c>
      <c r="N2223" s="8" t="s">
        <v>5512</v>
      </c>
      <c r="O2223" s="1" t="s">
        <v>5513</v>
      </c>
      <c r="P2223" s="5">
        <f>XLOOKUP(R2223, classification!C:C, classification!B:B, "Not Found")</f>
      </c>
      <c r="Q2223" s="1" t="s">
        <v>5514</v>
      </c>
      <c r="R2223" s="2"/>
      <c r="S2223" s="2"/>
      <c r="T2223" s="2"/>
      <c r="U2223" s="2"/>
    </row>
    <row x14ac:dyDescent="0.25" r="2224" customHeight="1" ht="17.25">
      <c r="A2224" s="7">
        <v>2223</v>
      </c>
      <c r="B2224" s="1" t="s">
        <v>7596</v>
      </c>
      <c r="C2224" s="5">
        <f>CONCATENATE("PD", TEXT(A2224, "1000000"))</f>
      </c>
      <c r="D2224" s="7">
        <v>76</v>
      </c>
      <c r="E2224" s="5">
        <f>XLOOKUP(G2224, item_category!C:C, item_category!B:B, "Not Found")</f>
      </c>
      <c r="F2224" s="1" t="s">
        <v>5632</v>
      </c>
      <c r="G2224" s="5">
        <f>XLOOKUP(I2224, drug!B:B, drug!A:A, "Not Found")</f>
      </c>
      <c r="H2224" s="1"/>
      <c r="I2224" s="7">
        <v>1</v>
      </c>
      <c r="J2224" s="5">
        <f>XLOOKUP(L2224, uom!C:C, uom!B:B, "Not Found")</f>
      </c>
      <c r="K2224" s="1" t="s">
        <v>5511</v>
      </c>
      <c r="L2224" s="5">
        <f>XLOOKUP(N2224, uom!C:C, uom!B:B, "Not Found")</f>
      </c>
      <c r="M2224" s="1" t="s">
        <v>5511</v>
      </c>
      <c r="N2224" s="8" t="s">
        <v>5512</v>
      </c>
      <c r="O2224" s="1" t="s">
        <v>5513</v>
      </c>
      <c r="P2224" s="5">
        <f>XLOOKUP(R2224, classification!C:C, classification!B:B, "Not Found")</f>
      </c>
      <c r="Q2224" s="1" t="s">
        <v>5514</v>
      </c>
      <c r="R2224" s="2"/>
      <c r="S2224" s="2"/>
      <c r="T2224" s="2"/>
      <c r="U2224" s="2"/>
    </row>
    <row x14ac:dyDescent="0.25" r="2225" customHeight="1" ht="17.25">
      <c r="A2225" s="7">
        <v>2224</v>
      </c>
      <c r="B2225" s="1" t="s">
        <v>7597</v>
      </c>
      <c r="C2225" s="5">
        <f>CONCATENATE("PD", TEXT(A2225, "1000000"))</f>
      </c>
      <c r="D2225" s="7">
        <v>76</v>
      </c>
      <c r="E2225" s="5">
        <f>XLOOKUP(G2225, item_category!C:C, item_category!B:B, "Not Found")</f>
      </c>
      <c r="F2225" s="1" t="s">
        <v>5632</v>
      </c>
      <c r="G2225" s="5">
        <f>XLOOKUP(I2225, drug!B:B, drug!A:A, "Not Found")</f>
      </c>
      <c r="H2225" s="1"/>
      <c r="I2225" s="7">
        <v>1</v>
      </c>
      <c r="J2225" s="5">
        <f>XLOOKUP(L2225, uom!C:C, uom!B:B, "Not Found")</f>
      </c>
      <c r="K2225" s="1" t="s">
        <v>5511</v>
      </c>
      <c r="L2225" s="5">
        <f>XLOOKUP(N2225, uom!C:C, uom!B:B, "Not Found")</f>
      </c>
      <c r="M2225" s="1" t="s">
        <v>5511</v>
      </c>
      <c r="N2225" s="8" t="s">
        <v>5512</v>
      </c>
      <c r="O2225" s="1" t="s">
        <v>5513</v>
      </c>
      <c r="P2225" s="5">
        <f>XLOOKUP(R2225, classification!C:C, classification!B:B, "Not Found")</f>
      </c>
      <c r="Q2225" s="1" t="s">
        <v>5514</v>
      </c>
      <c r="R2225" s="2"/>
      <c r="S2225" s="2"/>
      <c r="T2225" s="2"/>
      <c r="U2225" s="2"/>
    </row>
    <row x14ac:dyDescent="0.25" r="2226" customHeight="1" ht="17.25">
      <c r="A2226" s="7">
        <v>2225</v>
      </c>
      <c r="B2226" s="1" t="s">
        <v>7598</v>
      </c>
      <c r="C2226" s="5">
        <f>CONCATENATE("PD", TEXT(A2226, "1000000"))</f>
      </c>
      <c r="D2226" s="7">
        <v>76</v>
      </c>
      <c r="E2226" s="5">
        <f>XLOOKUP(G2226, item_category!C:C, item_category!B:B, "Not Found")</f>
      </c>
      <c r="F2226" s="1" t="s">
        <v>5632</v>
      </c>
      <c r="G2226" s="5">
        <f>XLOOKUP(I2226, drug!B:B, drug!A:A, "Not Found")</f>
      </c>
      <c r="H2226" s="1"/>
      <c r="I2226" s="7">
        <v>1</v>
      </c>
      <c r="J2226" s="5">
        <f>XLOOKUP(L2226, uom!C:C, uom!B:B, "Not Found")</f>
      </c>
      <c r="K2226" s="1" t="s">
        <v>5511</v>
      </c>
      <c r="L2226" s="5">
        <f>XLOOKUP(N2226, uom!C:C, uom!B:B, "Not Found")</f>
      </c>
      <c r="M2226" s="1" t="s">
        <v>5511</v>
      </c>
      <c r="N2226" s="8" t="s">
        <v>5512</v>
      </c>
      <c r="O2226" s="1" t="s">
        <v>5513</v>
      </c>
      <c r="P2226" s="5">
        <f>XLOOKUP(R2226, classification!C:C, classification!B:B, "Not Found")</f>
      </c>
      <c r="Q2226" s="1" t="s">
        <v>5514</v>
      </c>
      <c r="R2226" s="2"/>
      <c r="S2226" s="2"/>
      <c r="T2226" s="2"/>
      <c r="U2226" s="2"/>
    </row>
    <row x14ac:dyDescent="0.25" r="2227" customHeight="1" ht="17.25">
      <c r="A2227" s="7">
        <v>2226</v>
      </c>
      <c r="B2227" s="1" t="s">
        <v>7599</v>
      </c>
      <c r="C2227" s="5">
        <f>CONCATENATE("PD", TEXT(A2227, "1000000"))</f>
      </c>
      <c r="D2227" s="7">
        <v>76</v>
      </c>
      <c r="E2227" s="5">
        <f>XLOOKUP(G2227, item_category!C:C, item_category!B:B, "Not Found")</f>
      </c>
      <c r="F2227" s="1" t="s">
        <v>5632</v>
      </c>
      <c r="G2227" s="5">
        <f>XLOOKUP(I2227, drug!B:B, drug!A:A, "Not Found")</f>
      </c>
      <c r="H2227" s="1"/>
      <c r="I2227" s="7">
        <v>1</v>
      </c>
      <c r="J2227" s="5">
        <f>XLOOKUP(L2227, uom!C:C, uom!B:B, "Not Found")</f>
      </c>
      <c r="K2227" s="1" t="s">
        <v>5511</v>
      </c>
      <c r="L2227" s="5">
        <f>XLOOKUP(N2227, uom!C:C, uom!B:B, "Not Found")</f>
      </c>
      <c r="M2227" s="1" t="s">
        <v>5511</v>
      </c>
      <c r="N2227" s="8" t="s">
        <v>5512</v>
      </c>
      <c r="O2227" s="1" t="s">
        <v>5513</v>
      </c>
      <c r="P2227" s="5">
        <f>XLOOKUP(R2227, classification!C:C, classification!B:B, "Not Found")</f>
      </c>
      <c r="Q2227" s="1" t="s">
        <v>5514</v>
      </c>
      <c r="R2227" s="2"/>
      <c r="S2227" s="2"/>
      <c r="T2227" s="2"/>
      <c r="U2227" s="2"/>
    </row>
    <row x14ac:dyDescent="0.25" r="2228" customHeight="1" ht="17.25">
      <c r="A2228" s="7">
        <v>2227</v>
      </c>
      <c r="B2228" s="1" t="s">
        <v>7600</v>
      </c>
      <c r="C2228" s="5">
        <f>CONCATENATE("PD", TEXT(A2228, "1000000"))</f>
      </c>
      <c r="D2228" s="7">
        <v>76</v>
      </c>
      <c r="E2228" s="5">
        <f>XLOOKUP(G2228, item_category!C:C, item_category!B:B, "Not Found")</f>
      </c>
      <c r="F2228" s="1" t="s">
        <v>5632</v>
      </c>
      <c r="G2228" s="5">
        <f>XLOOKUP(I2228, drug!B:B, drug!A:A, "Not Found")</f>
      </c>
      <c r="H2228" s="1"/>
      <c r="I2228" s="7">
        <v>1</v>
      </c>
      <c r="J2228" s="5">
        <f>XLOOKUP(L2228, uom!C:C, uom!B:B, "Not Found")</f>
      </c>
      <c r="K2228" s="1" t="s">
        <v>5511</v>
      </c>
      <c r="L2228" s="5">
        <f>XLOOKUP(N2228, uom!C:C, uom!B:B, "Not Found")</f>
      </c>
      <c r="M2228" s="1" t="s">
        <v>5511</v>
      </c>
      <c r="N2228" s="8" t="s">
        <v>5512</v>
      </c>
      <c r="O2228" s="1" t="s">
        <v>5513</v>
      </c>
      <c r="P2228" s="5">
        <f>XLOOKUP(R2228, classification!C:C, classification!B:B, "Not Found")</f>
      </c>
      <c r="Q2228" s="1" t="s">
        <v>5514</v>
      </c>
      <c r="R2228" s="2"/>
      <c r="S2228" s="2"/>
      <c r="T2228" s="2"/>
      <c r="U2228" s="2"/>
    </row>
    <row x14ac:dyDescent="0.25" r="2229" customHeight="1" ht="17.25">
      <c r="A2229" s="7">
        <v>2228</v>
      </c>
      <c r="B2229" s="1" t="s">
        <v>7601</v>
      </c>
      <c r="C2229" s="5">
        <f>CONCATENATE("PD", TEXT(A2229, "1000000"))</f>
      </c>
      <c r="D2229" s="7">
        <v>76</v>
      </c>
      <c r="E2229" s="5">
        <f>XLOOKUP(G2229, item_category!C:C, item_category!B:B, "Not Found")</f>
      </c>
      <c r="F2229" s="1" t="s">
        <v>5632</v>
      </c>
      <c r="G2229" s="5">
        <f>XLOOKUP(I2229, drug!B:B, drug!A:A, "Not Found")</f>
      </c>
      <c r="H2229" s="1"/>
      <c r="I2229" s="7">
        <v>1</v>
      </c>
      <c r="J2229" s="5">
        <f>XLOOKUP(L2229, uom!C:C, uom!B:B, "Not Found")</f>
      </c>
      <c r="K2229" s="1" t="s">
        <v>5511</v>
      </c>
      <c r="L2229" s="5">
        <f>XLOOKUP(N2229, uom!C:C, uom!B:B, "Not Found")</f>
      </c>
      <c r="M2229" s="1" t="s">
        <v>5511</v>
      </c>
      <c r="N2229" s="8" t="s">
        <v>5512</v>
      </c>
      <c r="O2229" s="1" t="s">
        <v>5513</v>
      </c>
      <c r="P2229" s="5">
        <f>XLOOKUP(R2229, classification!C:C, classification!B:B, "Not Found")</f>
      </c>
      <c r="Q2229" s="1" t="s">
        <v>5514</v>
      </c>
      <c r="R2229" s="2"/>
      <c r="S2229" s="2"/>
      <c r="T2229" s="2"/>
      <c r="U2229" s="2"/>
    </row>
    <row x14ac:dyDescent="0.25" r="2230" customHeight="1" ht="17.25">
      <c r="A2230" s="7">
        <v>2229</v>
      </c>
      <c r="B2230" s="1" t="s">
        <v>7602</v>
      </c>
      <c r="C2230" s="5">
        <f>CONCATENATE("PD", TEXT(A2230, "1000000"))</f>
      </c>
      <c r="D2230" s="7">
        <v>76</v>
      </c>
      <c r="E2230" s="5">
        <f>XLOOKUP(G2230, item_category!C:C, item_category!B:B, "Not Found")</f>
      </c>
      <c r="F2230" s="1" t="s">
        <v>5632</v>
      </c>
      <c r="G2230" s="5">
        <f>XLOOKUP(I2230, drug!B:B, drug!A:A, "Not Found")</f>
      </c>
      <c r="H2230" s="1"/>
      <c r="I2230" s="7">
        <v>1</v>
      </c>
      <c r="J2230" s="5">
        <f>XLOOKUP(L2230, uom!C:C, uom!B:B, "Not Found")</f>
      </c>
      <c r="K2230" s="1" t="s">
        <v>5511</v>
      </c>
      <c r="L2230" s="5">
        <f>XLOOKUP(N2230, uom!C:C, uom!B:B, "Not Found")</f>
      </c>
      <c r="M2230" s="1" t="s">
        <v>5511</v>
      </c>
      <c r="N2230" s="8" t="s">
        <v>5512</v>
      </c>
      <c r="O2230" s="1" t="s">
        <v>5513</v>
      </c>
      <c r="P2230" s="5">
        <f>XLOOKUP(R2230, classification!C:C, classification!B:B, "Not Found")</f>
      </c>
      <c r="Q2230" s="1" t="s">
        <v>5514</v>
      </c>
      <c r="R2230" s="2"/>
      <c r="S2230" s="2"/>
      <c r="T2230" s="2"/>
      <c r="U2230" s="2"/>
    </row>
    <row x14ac:dyDescent="0.25" r="2231" customHeight="1" ht="17.25">
      <c r="A2231" s="7">
        <v>2230</v>
      </c>
      <c r="B2231" s="1" t="s">
        <v>7603</v>
      </c>
      <c r="C2231" s="5">
        <f>CONCATENATE("PD", TEXT(A2231, "1000000"))</f>
      </c>
      <c r="D2231" s="7">
        <v>76</v>
      </c>
      <c r="E2231" s="5">
        <f>XLOOKUP(G2231, item_category!C:C, item_category!B:B, "Not Found")</f>
      </c>
      <c r="F2231" s="1" t="s">
        <v>5632</v>
      </c>
      <c r="G2231" s="5">
        <f>XLOOKUP(I2231, drug!B:B, drug!A:A, "Not Found")</f>
      </c>
      <c r="H2231" s="1"/>
      <c r="I2231" s="7">
        <v>1</v>
      </c>
      <c r="J2231" s="5">
        <f>XLOOKUP(L2231, uom!C:C, uom!B:B, "Not Found")</f>
      </c>
      <c r="K2231" s="1" t="s">
        <v>5511</v>
      </c>
      <c r="L2231" s="5">
        <f>XLOOKUP(N2231, uom!C:C, uom!B:B, "Not Found")</f>
      </c>
      <c r="M2231" s="1" t="s">
        <v>5511</v>
      </c>
      <c r="N2231" s="8" t="s">
        <v>5512</v>
      </c>
      <c r="O2231" s="1" t="s">
        <v>5513</v>
      </c>
      <c r="P2231" s="5">
        <f>XLOOKUP(R2231, classification!C:C, classification!B:B, "Not Found")</f>
      </c>
      <c r="Q2231" s="1" t="s">
        <v>5514</v>
      </c>
      <c r="R2231" s="2"/>
      <c r="S2231" s="2"/>
      <c r="T2231" s="2"/>
      <c r="U2231" s="2"/>
    </row>
    <row x14ac:dyDescent="0.25" r="2232" customHeight="1" ht="17.25">
      <c r="A2232" s="7">
        <v>2231</v>
      </c>
      <c r="B2232" s="1" t="s">
        <v>7604</v>
      </c>
      <c r="C2232" s="5">
        <f>CONCATENATE("PD", TEXT(A2232, "1000000"))</f>
      </c>
      <c r="D2232" s="7">
        <v>76</v>
      </c>
      <c r="E2232" s="5">
        <f>XLOOKUP(G2232, item_category!C:C, item_category!B:B, "Not Found")</f>
      </c>
      <c r="F2232" s="1" t="s">
        <v>5632</v>
      </c>
      <c r="G2232" s="5">
        <f>XLOOKUP(I2232, drug!B:B, drug!A:A, "Not Found")</f>
      </c>
      <c r="H2232" s="1"/>
      <c r="I2232" s="7">
        <v>1</v>
      </c>
      <c r="J2232" s="5">
        <f>XLOOKUP(L2232, uom!C:C, uom!B:B, "Not Found")</f>
      </c>
      <c r="K2232" s="1" t="s">
        <v>5511</v>
      </c>
      <c r="L2232" s="5">
        <f>XLOOKUP(N2232, uom!C:C, uom!B:B, "Not Found")</f>
      </c>
      <c r="M2232" s="1" t="s">
        <v>5511</v>
      </c>
      <c r="N2232" s="8" t="s">
        <v>5512</v>
      </c>
      <c r="O2232" s="1" t="s">
        <v>5513</v>
      </c>
      <c r="P2232" s="5">
        <f>XLOOKUP(R2232, classification!C:C, classification!B:B, "Not Found")</f>
      </c>
      <c r="Q2232" s="1" t="s">
        <v>5514</v>
      </c>
      <c r="R2232" s="2"/>
      <c r="S2232" s="2"/>
      <c r="T2232" s="2"/>
      <c r="U2232" s="2"/>
    </row>
    <row x14ac:dyDescent="0.25" r="2233" customHeight="1" ht="17.25">
      <c r="A2233" s="7">
        <v>2232</v>
      </c>
      <c r="B2233" s="1" t="s">
        <v>7605</v>
      </c>
      <c r="C2233" s="5">
        <f>CONCATENATE("PD", TEXT(A2233, "1000000"))</f>
      </c>
      <c r="D2233" s="7">
        <v>76</v>
      </c>
      <c r="E2233" s="5">
        <f>XLOOKUP(G2233, item_category!C:C, item_category!B:B, "Not Found")</f>
      </c>
      <c r="F2233" s="1" t="s">
        <v>5632</v>
      </c>
      <c r="G2233" s="5">
        <f>XLOOKUP(I2233, drug!B:B, drug!A:A, "Not Found")</f>
      </c>
      <c r="H2233" s="1"/>
      <c r="I2233" s="7">
        <v>1</v>
      </c>
      <c r="J2233" s="5">
        <f>XLOOKUP(L2233, uom!C:C, uom!B:B, "Not Found")</f>
      </c>
      <c r="K2233" s="1" t="s">
        <v>5511</v>
      </c>
      <c r="L2233" s="5">
        <f>XLOOKUP(N2233, uom!C:C, uom!B:B, "Not Found")</f>
      </c>
      <c r="M2233" s="1" t="s">
        <v>5511</v>
      </c>
      <c r="N2233" s="8" t="s">
        <v>5512</v>
      </c>
      <c r="O2233" s="1" t="s">
        <v>5513</v>
      </c>
      <c r="P2233" s="5">
        <f>XLOOKUP(R2233, classification!C:C, classification!B:B, "Not Found")</f>
      </c>
      <c r="Q2233" s="1" t="s">
        <v>5514</v>
      </c>
      <c r="R2233" s="2"/>
      <c r="S2233" s="2"/>
      <c r="T2233" s="2"/>
      <c r="U2233" s="2"/>
    </row>
    <row x14ac:dyDescent="0.25" r="2234" customHeight="1" ht="17.25">
      <c r="A2234" s="7">
        <v>2233</v>
      </c>
      <c r="B2234" s="1" t="s">
        <v>7606</v>
      </c>
      <c r="C2234" s="5">
        <f>CONCATENATE("PD", TEXT(A2234, "1000000"))</f>
      </c>
      <c r="D2234" s="7">
        <v>76</v>
      </c>
      <c r="E2234" s="5">
        <f>XLOOKUP(G2234, item_category!C:C, item_category!B:B, "Not Found")</f>
      </c>
      <c r="F2234" s="1" t="s">
        <v>5632</v>
      </c>
      <c r="G2234" s="5">
        <f>XLOOKUP(I2234, drug!B:B, drug!A:A, "Not Found")</f>
      </c>
      <c r="H2234" s="1"/>
      <c r="I2234" s="7">
        <v>1</v>
      </c>
      <c r="J2234" s="5">
        <f>XLOOKUP(L2234, uom!C:C, uom!B:B, "Not Found")</f>
      </c>
      <c r="K2234" s="1" t="s">
        <v>5511</v>
      </c>
      <c r="L2234" s="5">
        <f>XLOOKUP(N2234, uom!C:C, uom!B:B, "Not Found")</f>
      </c>
      <c r="M2234" s="1" t="s">
        <v>5511</v>
      </c>
      <c r="N2234" s="8" t="s">
        <v>5512</v>
      </c>
      <c r="O2234" s="1" t="s">
        <v>5513</v>
      </c>
      <c r="P2234" s="5">
        <f>XLOOKUP(R2234, classification!C:C, classification!B:B, "Not Found")</f>
      </c>
      <c r="Q2234" s="1" t="s">
        <v>5514</v>
      </c>
      <c r="R2234" s="2"/>
      <c r="S2234" s="2"/>
      <c r="T2234" s="2"/>
      <c r="U2234" s="2"/>
    </row>
    <row x14ac:dyDescent="0.25" r="2235" customHeight="1" ht="17.25">
      <c r="A2235" s="7">
        <v>2234</v>
      </c>
      <c r="B2235" s="1" t="s">
        <v>7607</v>
      </c>
      <c r="C2235" s="5">
        <f>CONCATENATE("PD", TEXT(A2235, "1000000"))</f>
      </c>
      <c r="D2235" s="7">
        <v>76</v>
      </c>
      <c r="E2235" s="5">
        <f>XLOOKUP(G2235, item_category!C:C, item_category!B:B, "Not Found")</f>
      </c>
      <c r="F2235" s="1" t="s">
        <v>5632</v>
      </c>
      <c r="G2235" s="5">
        <f>XLOOKUP(I2235, drug!B:B, drug!A:A, "Not Found")</f>
      </c>
      <c r="H2235" s="1"/>
      <c r="I2235" s="7">
        <v>1</v>
      </c>
      <c r="J2235" s="5">
        <f>XLOOKUP(L2235, uom!C:C, uom!B:B, "Not Found")</f>
      </c>
      <c r="K2235" s="1" t="s">
        <v>5511</v>
      </c>
      <c r="L2235" s="5">
        <f>XLOOKUP(N2235, uom!C:C, uom!B:B, "Not Found")</f>
      </c>
      <c r="M2235" s="1" t="s">
        <v>5511</v>
      </c>
      <c r="N2235" s="8" t="s">
        <v>5512</v>
      </c>
      <c r="O2235" s="1" t="s">
        <v>5513</v>
      </c>
      <c r="P2235" s="5">
        <f>XLOOKUP(R2235, classification!C:C, classification!B:B, "Not Found")</f>
      </c>
      <c r="Q2235" s="1" t="s">
        <v>5514</v>
      </c>
      <c r="R2235" s="2"/>
      <c r="S2235" s="2"/>
      <c r="T2235" s="2"/>
      <c r="U2235" s="2"/>
    </row>
    <row x14ac:dyDescent="0.25" r="2236" customHeight="1" ht="17.25">
      <c r="A2236" s="7">
        <v>2235</v>
      </c>
      <c r="B2236" s="1" t="s">
        <v>7608</v>
      </c>
      <c r="C2236" s="5">
        <f>CONCATENATE("PD", TEXT(A2236, "1000000"))</f>
      </c>
      <c r="D2236" s="7">
        <v>76</v>
      </c>
      <c r="E2236" s="5">
        <f>XLOOKUP(G2236, item_category!C:C, item_category!B:B, "Not Found")</f>
      </c>
      <c r="F2236" s="1" t="s">
        <v>5632</v>
      </c>
      <c r="G2236" s="5">
        <f>XLOOKUP(I2236, drug!B:B, drug!A:A, "Not Found")</f>
      </c>
      <c r="H2236" s="1"/>
      <c r="I2236" s="7">
        <v>1</v>
      </c>
      <c r="J2236" s="5">
        <f>XLOOKUP(L2236, uom!C:C, uom!B:B, "Not Found")</f>
      </c>
      <c r="K2236" s="1" t="s">
        <v>5511</v>
      </c>
      <c r="L2236" s="5">
        <f>XLOOKUP(N2236, uom!C:C, uom!B:B, "Not Found")</f>
      </c>
      <c r="M2236" s="1" t="s">
        <v>5511</v>
      </c>
      <c r="N2236" s="8" t="s">
        <v>5512</v>
      </c>
      <c r="O2236" s="1" t="s">
        <v>5513</v>
      </c>
      <c r="P2236" s="5">
        <f>XLOOKUP(R2236, classification!C:C, classification!B:B, "Not Found")</f>
      </c>
      <c r="Q2236" s="1" t="s">
        <v>5514</v>
      </c>
      <c r="R2236" s="2"/>
      <c r="S2236" s="2"/>
      <c r="T2236" s="2"/>
      <c r="U2236" s="2"/>
    </row>
    <row x14ac:dyDescent="0.25" r="2237" customHeight="1" ht="17.25">
      <c r="A2237" s="7">
        <v>2236</v>
      </c>
      <c r="B2237" s="1" t="s">
        <v>7609</v>
      </c>
      <c r="C2237" s="5">
        <f>CONCATENATE("PD", TEXT(A2237, "1000000"))</f>
      </c>
      <c r="D2237" s="7">
        <v>76</v>
      </c>
      <c r="E2237" s="5">
        <f>XLOOKUP(G2237, item_category!C:C, item_category!B:B, "Not Found")</f>
      </c>
      <c r="F2237" s="1" t="s">
        <v>5632</v>
      </c>
      <c r="G2237" s="5">
        <f>XLOOKUP(I2237, drug!B:B, drug!A:A, "Not Found")</f>
      </c>
      <c r="H2237" s="1"/>
      <c r="I2237" s="7">
        <v>1</v>
      </c>
      <c r="J2237" s="5">
        <f>XLOOKUP(L2237, uom!C:C, uom!B:B, "Not Found")</f>
      </c>
      <c r="K2237" s="1" t="s">
        <v>5511</v>
      </c>
      <c r="L2237" s="5">
        <f>XLOOKUP(N2237, uom!C:C, uom!B:B, "Not Found")</f>
      </c>
      <c r="M2237" s="1" t="s">
        <v>5511</v>
      </c>
      <c r="N2237" s="8" t="s">
        <v>5512</v>
      </c>
      <c r="O2237" s="1" t="s">
        <v>5513</v>
      </c>
      <c r="P2237" s="5">
        <f>XLOOKUP(R2237, classification!C:C, classification!B:B, "Not Found")</f>
      </c>
      <c r="Q2237" s="1" t="s">
        <v>5514</v>
      </c>
      <c r="R2237" s="2"/>
      <c r="S2237" s="2"/>
      <c r="T2237" s="2"/>
      <c r="U2237" s="2"/>
    </row>
    <row x14ac:dyDescent="0.25" r="2238" customHeight="1" ht="17.25">
      <c r="A2238" s="7">
        <v>2237</v>
      </c>
      <c r="B2238" s="1" t="s">
        <v>7610</v>
      </c>
      <c r="C2238" s="5">
        <f>CONCATENATE("PD", TEXT(A2238, "1000000"))</f>
      </c>
      <c r="D2238" s="7">
        <v>76</v>
      </c>
      <c r="E2238" s="5">
        <f>XLOOKUP(G2238, item_category!C:C, item_category!B:B, "Not Found")</f>
      </c>
      <c r="F2238" s="1" t="s">
        <v>5632</v>
      </c>
      <c r="G2238" s="5">
        <f>XLOOKUP(I2238, drug!B:B, drug!A:A, "Not Found")</f>
      </c>
      <c r="H2238" s="1"/>
      <c r="I2238" s="7">
        <v>1</v>
      </c>
      <c r="J2238" s="5">
        <f>XLOOKUP(L2238, uom!C:C, uom!B:B, "Not Found")</f>
      </c>
      <c r="K2238" s="1" t="s">
        <v>5511</v>
      </c>
      <c r="L2238" s="5">
        <f>XLOOKUP(N2238, uom!C:C, uom!B:B, "Not Found")</f>
      </c>
      <c r="M2238" s="1" t="s">
        <v>5511</v>
      </c>
      <c r="N2238" s="8" t="s">
        <v>5512</v>
      </c>
      <c r="O2238" s="1" t="s">
        <v>5513</v>
      </c>
      <c r="P2238" s="5">
        <f>XLOOKUP(R2238, classification!C:C, classification!B:B, "Not Found")</f>
      </c>
      <c r="Q2238" s="1" t="s">
        <v>5514</v>
      </c>
      <c r="R2238" s="2"/>
      <c r="S2238" s="2"/>
      <c r="T2238" s="2"/>
      <c r="U2238" s="2"/>
    </row>
    <row x14ac:dyDescent="0.25" r="2239" customHeight="1" ht="17.25">
      <c r="A2239" s="7">
        <v>2238</v>
      </c>
      <c r="B2239" s="1" t="s">
        <v>3170</v>
      </c>
      <c r="C2239" s="5">
        <f>CONCATENATE("PD", TEXT(A2239, "1000000"))</f>
      </c>
      <c r="D2239" s="7">
        <v>76</v>
      </c>
      <c r="E2239" s="5">
        <f>XLOOKUP(G2239, item_category!C:C, item_category!B:B, "Not Found")</f>
      </c>
      <c r="F2239" s="1" t="s">
        <v>5632</v>
      </c>
      <c r="G2239" s="5">
        <f>XLOOKUP(I2239, drug!B:B, drug!A:A, "Not Found")</f>
      </c>
      <c r="H2239" s="1"/>
      <c r="I2239" s="7">
        <v>1</v>
      </c>
      <c r="J2239" s="5">
        <f>XLOOKUP(L2239, uom!C:C, uom!B:B, "Not Found")</f>
      </c>
      <c r="K2239" s="1" t="s">
        <v>5511</v>
      </c>
      <c r="L2239" s="5">
        <f>XLOOKUP(N2239, uom!C:C, uom!B:B, "Not Found")</f>
      </c>
      <c r="M2239" s="1" t="s">
        <v>5511</v>
      </c>
      <c r="N2239" s="8" t="s">
        <v>5512</v>
      </c>
      <c r="O2239" s="1" t="s">
        <v>5513</v>
      </c>
      <c r="P2239" s="5">
        <f>XLOOKUP(R2239, classification!C:C, classification!B:B, "Not Found")</f>
      </c>
      <c r="Q2239" s="1" t="s">
        <v>5514</v>
      </c>
      <c r="R2239" s="2"/>
      <c r="S2239" s="2"/>
      <c r="T2239" s="2"/>
      <c r="U2239" s="2"/>
    </row>
    <row x14ac:dyDescent="0.25" r="2240" customHeight="1" ht="17.25">
      <c r="A2240" s="7">
        <v>2239</v>
      </c>
      <c r="B2240" s="1" t="s">
        <v>7611</v>
      </c>
      <c r="C2240" s="5">
        <f>CONCATENATE("PD", TEXT(A2240, "1000000"))</f>
      </c>
      <c r="D2240" s="7">
        <v>76</v>
      </c>
      <c r="E2240" s="5">
        <f>XLOOKUP(G2240, item_category!C:C, item_category!B:B, "Not Found")</f>
      </c>
      <c r="F2240" s="1" t="s">
        <v>5632</v>
      </c>
      <c r="G2240" s="5">
        <f>XLOOKUP(I2240, drug!B:B, drug!A:A, "Not Found")</f>
      </c>
      <c r="H2240" s="1"/>
      <c r="I2240" s="7">
        <v>1</v>
      </c>
      <c r="J2240" s="5">
        <f>XLOOKUP(L2240, uom!C:C, uom!B:B, "Not Found")</f>
      </c>
      <c r="K2240" s="1" t="s">
        <v>5511</v>
      </c>
      <c r="L2240" s="5">
        <f>XLOOKUP(N2240, uom!C:C, uom!B:B, "Not Found")</f>
      </c>
      <c r="M2240" s="1" t="s">
        <v>5511</v>
      </c>
      <c r="N2240" s="8" t="s">
        <v>5512</v>
      </c>
      <c r="O2240" s="1" t="s">
        <v>5513</v>
      </c>
      <c r="P2240" s="5">
        <f>XLOOKUP(R2240, classification!C:C, classification!B:B, "Not Found")</f>
      </c>
      <c r="Q2240" s="1" t="s">
        <v>5514</v>
      </c>
      <c r="R2240" s="2"/>
      <c r="S2240" s="2"/>
      <c r="T2240" s="2"/>
      <c r="U2240" s="2"/>
    </row>
    <row x14ac:dyDescent="0.25" r="2241" customHeight="1" ht="17.25">
      <c r="A2241" s="7">
        <v>2240</v>
      </c>
      <c r="B2241" s="1" t="s">
        <v>7612</v>
      </c>
      <c r="C2241" s="5">
        <f>CONCATENATE("PD", TEXT(A2241, "1000000"))</f>
      </c>
      <c r="D2241" s="7">
        <v>76</v>
      </c>
      <c r="E2241" s="5">
        <f>XLOOKUP(G2241, item_category!C:C, item_category!B:B, "Not Found")</f>
      </c>
      <c r="F2241" s="1" t="s">
        <v>5632</v>
      </c>
      <c r="G2241" s="5">
        <f>XLOOKUP(I2241, drug!B:B, drug!A:A, "Not Found")</f>
      </c>
      <c r="H2241" s="1"/>
      <c r="I2241" s="7">
        <v>1</v>
      </c>
      <c r="J2241" s="5">
        <f>XLOOKUP(L2241, uom!C:C, uom!B:B, "Not Found")</f>
      </c>
      <c r="K2241" s="1" t="s">
        <v>5511</v>
      </c>
      <c r="L2241" s="5">
        <f>XLOOKUP(N2241, uom!C:C, uom!B:B, "Not Found")</f>
      </c>
      <c r="M2241" s="1" t="s">
        <v>5511</v>
      </c>
      <c r="N2241" s="8" t="s">
        <v>5512</v>
      </c>
      <c r="O2241" s="1" t="s">
        <v>5513</v>
      </c>
      <c r="P2241" s="5">
        <f>XLOOKUP(R2241, classification!C:C, classification!B:B, "Not Found")</f>
      </c>
      <c r="Q2241" s="1" t="s">
        <v>5514</v>
      </c>
      <c r="R2241" s="2"/>
      <c r="S2241" s="2"/>
      <c r="T2241" s="2"/>
      <c r="U2241" s="2"/>
    </row>
    <row x14ac:dyDescent="0.25" r="2242" customHeight="1" ht="17.25">
      <c r="A2242" s="7">
        <v>2241</v>
      </c>
      <c r="B2242" s="1" t="s">
        <v>7613</v>
      </c>
      <c r="C2242" s="5">
        <f>CONCATENATE("PD", TEXT(A2242, "1000000"))</f>
      </c>
      <c r="D2242" s="7">
        <v>76</v>
      </c>
      <c r="E2242" s="5">
        <f>XLOOKUP(G2242, item_category!C:C, item_category!B:B, "Not Found")</f>
      </c>
      <c r="F2242" s="1" t="s">
        <v>5632</v>
      </c>
      <c r="G2242" s="5">
        <f>XLOOKUP(I2242, drug!B:B, drug!A:A, "Not Found")</f>
      </c>
      <c r="H2242" s="1"/>
      <c r="I2242" s="7">
        <v>1</v>
      </c>
      <c r="J2242" s="5">
        <f>XLOOKUP(L2242, uom!C:C, uom!B:B, "Not Found")</f>
      </c>
      <c r="K2242" s="1" t="s">
        <v>5511</v>
      </c>
      <c r="L2242" s="5">
        <f>XLOOKUP(N2242, uom!C:C, uom!B:B, "Not Found")</f>
      </c>
      <c r="M2242" s="1" t="s">
        <v>5511</v>
      </c>
      <c r="N2242" s="8" t="s">
        <v>5512</v>
      </c>
      <c r="O2242" s="1" t="s">
        <v>5513</v>
      </c>
      <c r="P2242" s="5">
        <f>XLOOKUP(R2242, classification!C:C, classification!B:B, "Not Found")</f>
      </c>
      <c r="Q2242" s="1" t="s">
        <v>5514</v>
      </c>
      <c r="R2242" s="2"/>
      <c r="S2242" s="2"/>
      <c r="T2242" s="2"/>
      <c r="U2242" s="2"/>
    </row>
    <row x14ac:dyDescent="0.25" r="2243" customHeight="1" ht="17.25">
      <c r="A2243" s="7">
        <v>2242</v>
      </c>
      <c r="B2243" s="1" t="s">
        <v>7613</v>
      </c>
      <c r="C2243" s="5">
        <f>CONCATENATE("PD", TEXT(A2243, "1000000"))</f>
      </c>
      <c r="D2243" s="7">
        <v>76</v>
      </c>
      <c r="E2243" s="5">
        <f>XLOOKUP(G2243, item_category!C:C, item_category!B:B, "Not Found")</f>
      </c>
      <c r="F2243" s="1" t="s">
        <v>5632</v>
      </c>
      <c r="G2243" s="5">
        <f>XLOOKUP(I2243, drug!B:B, drug!A:A, "Not Found")</f>
      </c>
      <c r="H2243" s="1"/>
      <c r="I2243" s="7">
        <v>1</v>
      </c>
      <c r="J2243" s="5">
        <f>XLOOKUP(L2243, uom!C:C, uom!B:B, "Not Found")</f>
      </c>
      <c r="K2243" s="1" t="s">
        <v>5511</v>
      </c>
      <c r="L2243" s="5">
        <f>XLOOKUP(N2243, uom!C:C, uom!B:B, "Not Found")</f>
      </c>
      <c r="M2243" s="1" t="s">
        <v>5511</v>
      </c>
      <c r="N2243" s="8" t="s">
        <v>5512</v>
      </c>
      <c r="O2243" s="1" t="s">
        <v>5513</v>
      </c>
      <c r="P2243" s="5">
        <f>XLOOKUP(R2243, classification!C:C, classification!B:B, "Not Found")</f>
      </c>
      <c r="Q2243" s="1" t="s">
        <v>5514</v>
      </c>
      <c r="R2243" s="2"/>
      <c r="S2243" s="2"/>
      <c r="T2243" s="2"/>
      <c r="U2243" s="2"/>
    </row>
    <row x14ac:dyDescent="0.25" r="2244" customHeight="1" ht="17.25">
      <c r="A2244" s="7">
        <v>2243</v>
      </c>
      <c r="B2244" s="1" t="s">
        <v>7614</v>
      </c>
      <c r="C2244" s="5">
        <f>CONCATENATE("PD", TEXT(A2244, "1000000"))</f>
      </c>
      <c r="D2244" s="7">
        <v>76</v>
      </c>
      <c r="E2244" s="5">
        <f>XLOOKUP(G2244, item_category!C:C, item_category!B:B, "Not Found")</f>
      </c>
      <c r="F2244" s="1" t="s">
        <v>5632</v>
      </c>
      <c r="G2244" s="5">
        <f>XLOOKUP(I2244, drug!B:B, drug!A:A, "Not Found")</f>
      </c>
      <c r="H2244" s="1"/>
      <c r="I2244" s="7">
        <v>1</v>
      </c>
      <c r="J2244" s="5">
        <f>XLOOKUP(L2244, uom!C:C, uom!B:B, "Not Found")</f>
      </c>
      <c r="K2244" s="1" t="s">
        <v>5511</v>
      </c>
      <c r="L2244" s="5">
        <f>XLOOKUP(N2244, uom!C:C, uom!B:B, "Not Found")</f>
      </c>
      <c r="M2244" s="1" t="s">
        <v>5511</v>
      </c>
      <c r="N2244" s="8" t="s">
        <v>5512</v>
      </c>
      <c r="O2244" s="1" t="s">
        <v>5513</v>
      </c>
      <c r="P2244" s="5">
        <f>XLOOKUP(R2244, classification!C:C, classification!B:B, "Not Found")</f>
      </c>
      <c r="Q2244" s="1" t="s">
        <v>5514</v>
      </c>
      <c r="R2244" s="2"/>
      <c r="S2244" s="2"/>
      <c r="T2244" s="2"/>
      <c r="U2244" s="2"/>
    </row>
    <row x14ac:dyDescent="0.25" r="2245" customHeight="1" ht="17.25">
      <c r="A2245" s="7">
        <v>2244</v>
      </c>
      <c r="B2245" s="1" t="s">
        <v>7615</v>
      </c>
      <c r="C2245" s="5">
        <f>CONCATENATE("PD", TEXT(A2245, "1000000"))</f>
      </c>
      <c r="D2245" s="7">
        <v>76</v>
      </c>
      <c r="E2245" s="5">
        <f>XLOOKUP(G2245, item_category!C:C, item_category!B:B, "Not Found")</f>
      </c>
      <c r="F2245" s="1" t="s">
        <v>5632</v>
      </c>
      <c r="G2245" s="5">
        <f>XLOOKUP(I2245, drug!B:B, drug!A:A, "Not Found")</f>
      </c>
      <c r="H2245" s="1"/>
      <c r="I2245" s="7">
        <v>1</v>
      </c>
      <c r="J2245" s="5">
        <f>XLOOKUP(L2245, uom!C:C, uom!B:B, "Not Found")</f>
      </c>
      <c r="K2245" s="1" t="s">
        <v>5511</v>
      </c>
      <c r="L2245" s="5">
        <f>XLOOKUP(N2245, uom!C:C, uom!B:B, "Not Found")</f>
      </c>
      <c r="M2245" s="1" t="s">
        <v>5511</v>
      </c>
      <c r="N2245" s="8" t="s">
        <v>5512</v>
      </c>
      <c r="O2245" s="1" t="s">
        <v>5513</v>
      </c>
      <c r="P2245" s="5">
        <f>XLOOKUP(R2245, classification!C:C, classification!B:B, "Not Found")</f>
      </c>
      <c r="Q2245" s="1" t="s">
        <v>5514</v>
      </c>
      <c r="R2245" s="2"/>
      <c r="S2245" s="2"/>
      <c r="T2245" s="2"/>
      <c r="U2245" s="2"/>
    </row>
    <row x14ac:dyDescent="0.25" r="2246" customHeight="1" ht="17.25">
      <c r="A2246" s="7">
        <v>2245</v>
      </c>
      <c r="B2246" s="1" t="s">
        <v>7616</v>
      </c>
      <c r="C2246" s="5">
        <f>CONCATENATE("PD", TEXT(A2246, "1000000"))</f>
      </c>
      <c r="D2246" s="7">
        <v>76</v>
      </c>
      <c r="E2246" s="5">
        <f>XLOOKUP(G2246, item_category!C:C, item_category!B:B, "Not Found")</f>
      </c>
      <c r="F2246" s="1" t="s">
        <v>5632</v>
      </c>
      <c r="G2246" s="5">
        <f>XLOOKUP(I2246, drug!B:B, drug!A:A, "Not Found")</f>
      </c>
      <c r="H2246" s="1"/>
      <c r="I2246" s="7">
        <v>1</v>
      </c>
      <c r="J2246" s="5">
        <f>XLOOKUP(L2246, uom!C:C, uom!B:B, "Not Found")</f>
      </c>
      <c r="K2246" s="1" t="s">
        <v>5511</v>
      </c>
      <c r="L2246" s="5">
        <f>XLOOKUP(N2246, uom!C:C, uom!B:B, "Not Found")</f>
      </c>
      <c r="M2246" s="1" t="s">
        <v>5511</v>
      </c>
      <c r="N2246" s="8" t="s">
        <v>5512</v>
      </c>
      <c r="O2246" s="1" t="s">
        <v>5513</v>
      </c>
      <c r="P2246" s="5">
        <f>XLOOKUP(R2246, classification!C:C, classification!B:B, "Not Found")</f>
      </c>
      <c r="Q2246" s="1" t="s">
        <v>5514</v>
      </c>
      <c r="R2246" s="2"/>
      <c r="S2246" s="2"/>
      <c r="T2246" s="2"/>
      <c r="U2246" s="2"/>
    </row>
    <row x14ac:dyDescent="0.25" r="2247" customHeight="1" ht="17.25">
      <c r="A2247" s="7">
        <v>2246</v>
      </c>
      <c r="B2247" s="1" t="s">
        <v>7617</v>
      </c>
      <c r="C2247" s="5">
        <f>CONCATENATE("PD", TEXT(A2247, "1000000"))</f>
      </c>
      <c r="D2247" s="7">
        <v>76</v>
      </c>
      <c r="E2247" s="5">
        <f>XLOOKUP(G2247, item_category!C:C, item_category!B:B, "Not Found")</f>
      </c>
      <c r="F2247" s="1" t="s">
        <v>5632</v>
      </c>
      <c r="G2247" s="5">
        <f>XLOOKUP(I2247, drug!B:B, drug!A:A, "Not Found")</f>
      </c>
      <c r="H2247" s="1"/>
      <c r="I2247" s="7">
        <v>1</v>
      </c>
      <c r="J2247" s="5">
        <f>XLOOKUP(L2247, uom!C:C, uom!B:B, "Not Found")</f>
      </c>
      <c r="K2247" s="1" t="s">
        <v>5511</v>
      </c>
      <c r="L2247" s="5">
        <f>XLOOKUP(N2247, uom!C:C, uom!B:B, "Not Found")</f>
      </c>
      <c r="M2247" s="1" t="s">
        <v>5511</v>
      </c>
      <c r="N2247" s="8" t="s">
        <v>5512</v>
      </c>
      <c r="O2247" s="1" t="s">
        <v>5513</v>
      </c>
      <c r="P2247" s="5">
        <f>XLOOKUP(R2247, classification!C:C, classification!B:B, "Not Found")</f>
      </c>
      <c r="Q2247" s="1" t="s">
        <v>5514</v>
      </c>
      <c r="R2247" s="2"/>
      <c r="S2247" s="2"/>
      <c r="T2247" s="2"/>
      <c r="U2247" s="2"/>
    </row>
    <row x14ac:dyDescent="0.25" r="2248" customHeight="1" ht="17.25">
      <c r="A2248" s="7">
        <v>2247</v>
      </c>
      <c r="B2248" s="1" t="s">
        <v>7618</v>
      </c>
      <c r="C2248" s="5">
        <f>CONCATENATE("PD", TEXT(A2248, "1000000"))</f>
      </c>
      <c r="D2248" s="7">
        <v>76</v>
      </c>
      <c r="E2248" s="5">
        <f>XLOOKUP(G2248, item_category!C:C, item_category!B:B, "Not Found")</f>
      </c>
      <c r="F2248" s="1" t="s">
        <v>5632</v>
      </c>
      <c r="G2248" s="5">
        <f>XLOOKUP(I2248, drug!B:B, drug!A:A, "Not Found")</f>
      </c>
      <c r="H2248" s="1"/>
      <c r="I2248" s="7">
        <v>1</v>
      </c>
      <c r="J2248" s="5">
        <f>XLOOKUP(L2248, uom!C:C, uom!B:B, "Not Found")</f>
      </c>
      <c r="K2248" s="1" t="s">
        <v>5511</v>
      </c>
      <c r="L2248" s="5">
        <f>XLOOKUP(N2248, uom!C:C, uom!B:B, "Not Found")</f>
      </c>
      <c r="M2248" s="1" t="s">
        <v>5511</v>
      </c>
      <c r="N2248" s="8" t="s">
        <v>5512</v>
      </c>
      <c r="O2248" s="1" t="s">
        <v>5513</v>
      </c>
      <c r="P2248" s="5">
        <f>XLOOKUP(R2248, classification!C:C, classification!B:B, "Not Found")</f>
      </c>
      <c r="Q2248" s="1" t="s">
        <v>5514</v>
      </c>
      <c r="R2248" s="2"/>
      <c r="S2248" s="2"/>
      <c r="T2248" s="2"/>
      <c r="U2248" s="2"/>
    </row>
    <row x14ac:dyDescent="0.25" r="2249" customHeight="1" ht="17.25">
      <c r="A2249" s="7">
        <v>2248</v>
      </c>
      <c r="B2249" s="1" t="s">
        <v>7619</v>
      </c>
      <c r="C2249" s="5">
        <f>CONCATENATE("PD", TEXT(A2249, "1000000"))</f>
      </c>
      <c r="D2249" s="7">
        <v>76</v>
      </c>
      <c r="E2249" s="5">
        <f>XLOOKUP(G2249, item_category!C:C, item_category!B:B, "Not Found")</f>
      </c>
      <c r="F2249" s="1" t="s">
        <v>5632</v>
      </c>
      <c r="G2249" s="5">
        <f>XLOOKUP(I2249, drug!B:B, drug!A:A, "Not Found")</f>
      </c>
      <c r="H2249" s="1"/>
      <c r="I2249" s="7">
        <v>1</v>
      </c>
      <c r="J2249" s="5">
        <f>XLOOKUP(L2249, uom!C:C, uom!B:B, "Not Found")</f>
      </c>
      <c r="K2249" s="1" t="s">
        <v>5511</v>
      </c>
      <c r="L2249" s="5">
        <f>XLOOKUP(N2249, uom!C:C, uom!B:B, "Not Found")</f>
      </c>
      <c r="M2249" s="1" t="s">
        <v>5511</v>
      </c>
      <c r="N2249" s="8" t="s">
        <v>5512</v>
      </c>
      <c r="O2249" s="1" t="s">
        <v>5513</v>
      </c>
      <c r="P2249" s="5">
        <f>XLOOKUP(R2249, classification!C:C, classification!B:B, "Not Found")</f>
      </c>
      <c r="Q2249" s="1" t="s">
        <v>5514</v>
      </c>
      <c r="R2249" s="2"/>
      <c r="S2249" s="2"/>
      <c r="T2249" s="2"/>
      <c r="U2249" s="2"/>
    </row>
    <row x14ac:dyDescent="0.25" r="2250" customHeight="1" ht="17.25">
      <c r="A2250" s="7">
        <v>2249</v>
      </c>
      <c r="B2250" s="1" t="s">
        <v>7620</v>
      </c>
      <c r="C2250" s="5">
        <f>CONCATENATE("PD", TEXT(A2250, "1000000"))</f>
      </c>
      <c r="D2250" s="7">
        <v>76</v>
      </c>
      <c r="E2250" s="5">
        <f>XLOOKUP(G2250, item_category!C:C, item_category!B:B, "Not Found")</f>
      </c>
      <c r="F2250" s="1" t="s">
        <v>5632</v>
      </c>
      <c r="G2250" s="5">
        <f>XLOOKUP(I2250, drug!B:B, drug!A:A, "Not Found")</f>
      </c>
      <c r="H2250" s="1" t="s">
        <v>413</v>
      </c>
      <c r="I2250" s="7">
        <v>1</v>
      </c>
      <c r="J2250" s="5">
        <f>XLOOKUP(L2250, uom!C:C, uom!B:B, "Not Found")</f>
      </c>
      <c r="K2250" s="1" t="s">
        <v>5511</v>
      </c>
      <c r="L2250" s="5">
        <f>XLOOKUP(N2250, uom!C:C, uom!B:B, "Not Found")</f>
      </c>
      <c r="M2250" s="1" t="s">
        <v>5511</v>
      </c>
      <c r="N2250" s="8" t="s">
        <v>5512</v>
      </c>
      <c r="O2250" s="1" t="s">
        <v>5513</v>
      </c>
      <c r="P2250" s="5">
        <f>XLOOKUP(R2250, classification!C:C, classification!B:B, "Not Found")</f>
      </c>
      <c r="Q2250" s="1" t="s">
        <v>5514</v>
      </c>
      <c r="R2250" s="2"/>
      <c r="S2250" s="2"/>
      <c r="T2250" s="2"/>
      <c r="U2250" s="2"/>
    </row>
    <row x14ac:dyDescent="0.25" r="2251" customHeight="1" ht="17.25">
      <c r="A2251" s="7">
        <v>2250</v>
      </c>
      <c r="B2251" s="1" t="s">
        <v>7621</v>
      </c>
      <c r="C2251" s="5">
        <f>CONCATENATE("PD", TEXT(A2251, "1000000"))</f>
      </c>
      <c r="D2251" s="7">
        <v>76</v>
      </c>
      <c r="E2251" s="5">
        <f>XLOOKUP(G2251, item_category!C:C, item_category!B:B, "Not Found")</f>
      </c>
      <c r="F2251" s="1" t="s">
        <v>5632</v>
      </c>
      <c r="G2251" s="5">
        <f>XLOOKUP(I2251, drug!B:B, drug!A:A, "Not Found")</f>
      </c>
      <c r="H2251" s="1"/>
      <c r="I2251" s="7">
        <v>1</v>
      </c>
      <c r="J2251" s="5">
        <f>XLOOKUP(L2251, uom!C:C, uom!B:B, "Not Found")</f>
      </c>
      <c r="K2251" s="1" t="s">
        <v>5511</v>
      </c>
      <c r="L2251" s="5">
        <f>XLOOKUP(N2251, uom!C:C, uom!B:B, "Not Found")</f>
      </c>
      <c r="M2251" s="1" t="s">
        <v>5511</v>
      </c>
      <c r="N2251" s="8" t="s">
        <v>5512</v>
      </c>
      <c r="O2251" s="1" t="s">
        <v>5513</v>
      </c>
      <c r="P2251" s="5">
        <f>XLOOKUP(R2251, classification!C:C, classification!B:B, "Not Found")</f>
      </c>
      <c r="Q2251" s="1" t="s">
        <v>5514</v>
      </c>
      <c r="R2251" s="2"/>
      <c r="S2251" s="2"/>
      <c r="T2251" s="2"/>
      <c r="U2251" s="2"/>
    </row>
    <row x14ac:dyDescent="0.25" r="2252" customHeight="1" ht="17.25">
      <c r="A2252" s="7">
        <v>2251</v>
      </c>
      <c r="B2252" s="1" t="s">
        <v>7622</v>
      </c>
      <c r="C2252" s="5">
        <f>CONCATENATE("PD", TEXT(A2252, "1000000"))</f>
      </c>
      <c r="D2252" s="7">
        <v>76</v>
      </c>
      <c r="E2252" s="5">
        <f>XLOOKUP(G2252, item_category!C:C, item_category!B:B, "Not Found")</f>
      </c>
      <c r="F2252" s="1" t="s">
        <v>5632</v>
      </c>
      <c r="G2252" s="5">
        <f>XLOOKUP(I2252, drug!B:B, drug!A:A, "Not Found")</f>
      </c>
      <c r="H2252" s="1"/>
      <c r="I2252" s="7">
        <v>1</v>
      </c>
      <c r="J2252" s="5">
        <f>XLOOKUP(L2252, uom!C:C, uom!B:B, "Not Found")</f>
      </c>
      <c r="K2252" s="1" t="s">
        <v>5511</v>
      </c>
      <c r="L2252" s="5">
        <f>XLOOKUP(N2252, uom!C:C, uom!B:B, "Not Found")</f>
      </c>
      <c r="M2252" s="1" t="s">
        <v>5511</v>
      </c>
      <c r="N2252" s="8" t="s">
        <v>5512</v>
      </c>
      <c r="O2252" s="1" t="s">
        <v>5513</v>
      </c>
      <c r="P2252" s="5">
        <f>XLOOKUP(R2252, classification!C:C, classification!B:B, "Not Found")</f>
      </c>
      <c r="Q2252" s="1" t="s">
        <v>5514</v>
      </c>
      <c r="R2252" s="2"/>
      <c r="S2252" s="2"/>
      <c r="T2252" s="2"/>
      <c r="U2252" s="2"/>
    </row>
    <row x14ac:dyDescent="0.25" r="2253" customHeight="1" ht="17.25">
      <c r="A2253" s="7">
        <v>2252</v>
      </c>
      <c r="B2253" s="1" t="s">
        <v>7623</v>
      </c>
      <c r="C2253" s="5">
        <f>CONCATENATE("PD", TEXT(A2253, "1000000"))</f>
      </c>
      <c r="D2253" s="7">
        <v>76</v>
      </c>
      <c r="E2253" s="5">
        <f>XLOOKUP(G2253, item_category!C:C, item_category!B:B, "Not Found")</f>
      </c>
      <c r="F2253" s="1" t="s">
        <v>5632</v>
      </c>
      <c r="G2253" s="5">
        <f>XLOOKUP(I2253, drug!B:B, drug!A:A, "Not Found")</f>
      </c>
      <c r="H2253" s="1"/>
      <c r="I2253" s="7">
        <v>1</v>
      </c>
      <c r="J2253" s="5">
        <f>XLOOKUP(L2253, uom!C:C, uom!B:B, "Not Found")</f>
      </c>
      <c r="K2253" s="1" t="s">
        <v>5511</v>
      </c>
      <c r="L2253" s="5">
        <f>XLOOKUP(N2253, uom!C:C, uom!B:B, "Not Found")</f>
      </c>
      <c r="M2253" s="1" t="s">
        <v>5511</v>
      </c>
      <c r="N2253" s="8" t="s">
        <v>5512</v>
      </c>
      <c r="O2253" s="1" t="s">
        <v>5513</v>
      </c>
      <c r="P2253" s="5">
        <f>XLOOKUP(R2253, classification!C:C, classification!B:B, "Not Found")</f>
      </c>
      <c r="Q2253" s="1" t="s">
        <v>5514</v>
      </c>
      <c r="R2253" s="2"/>
      <c r="S2253" s="2"/>
      <c r="T2253" s="2"/>
      <c r="U2253" s="2"/>
    </row>
    <row x14ac:dyDescent="0.25" r="2254" customHeight="1" ht="17.25">
      <c r="A2254" s="7">
        <v>2253</v>
      </c>
      <c r="B2254" s="1" t="s">
        <v>7624</v>
      </c>
      <c r="C2254" s="5">
        <f>CONCATENATE("PD", TEXT(A2254, "1000000"))</f>
      </c>
      <c r="D2254" s="7">
        <v>76</v>
      </c>
      <c r="E2254" s="5">
        <f>XLOOKUP(G2254, item_category!C:C, item_category!B:B, "Not Found")</f>
      </c>
      <c r="F2254" s="1" t="s">
        <v>5632</v>
      </c>
      <c r="G2254" s="5">
        <f>XLOOKUP(I2254, drug!B:B, drug!A:A, "Not Found")</f>
      </c>
      <c r="H2254" s="1"/>
      <c r="I2254" s="7">
        <v>1</v>
      </c>
      <c r="J2254" s="5">
        <f>XLOOKUP(L2254, uom!C:C, uom!B:B, "Not Found")</f>
      </c>
      <c r="K2254" s="1" t="s">
        <v>5511</v>
      </c>
      <c r="L2254" s="5">
        <f>XLOOKUP(N2254, uom!C:C, uom!B:B, "Not Found")</f>
      </c>
      <c r="M2254" s="1" t="s">
        <v>5511</v>
      </c>
      <c r="N2254" s="8" t="s">
        <v>5512</v>
      </c>
      <c r="O2254" s="1" t="s">
        <v>5513</v>
      </c>
      <c r="P2254" s="5">
        <f>XLOOKUP(R2254, classification!C:C, classification!B:B, "Not Found")</f>
      </c>
      <c r="Q2254" s="1" t="s">
        <v>5514</v>
      </c>
      <c r="R2254" s="2"/>
      <c r="S2254" s="2"/>
      <c r="T2254" s="2"/>
      <c r="U2254" s="2"/>
    </row>
    <row x14ac:dyDescent="0.25" r="2255" customHeight="1" ht="17.25">
      <c r="A2255" s="7">
        <v>2254</v>
      </c>
      <c r="B2255" s="1" t="s">
        <v>7625</v>
      </c>
      <c r="C2255" s="5">
        <f>CONCATENATE("PD", TEXT(A2255, "1000000"))</f>
      </c>
      <c r="D2255" s="7">
        <v>76</v>
      </c>
      <c r="E2255" s="5">
        <f>XLOOKUP(G2255, item_category!C:C, item_category!B:B, "Not Found")</f>
      </c>
      <c r="F2255" s="1" t="s">
        <v>5632</v>
      </c>
      <c r="G2255" s="5">
        <f>XLOOKUP(I2255, drug!B:B, drug!A:A, "Not Found")</f>
      </c>
      <c r="H2255" s="1"/>
      <c r="I2255" s="7">
        <v>1</v>
      </c>
      <c r="J2255" s="5">
        <f>XLOOKUP(L2255, uom!C:C, uom!B:B, "Not Found")</f>
      </c>
      <c r="K2255" s="1" t="s">
        <v>5511</v>
      </c>
      <c r="L2255" s="5">
        <f>XLOOKUP(N2255, uom!C:C, uom!B:B, "Not Found")</f>
      </c>
      <c r="M2255" s="1" t="s">
        <v>5511</v>
      </c>
      <c r="N2255" s="8" t="s">
        <v>5512</v>
      </c>
      <c r="O2255" s="1" t="s">
        <v>5513</v>
      </c>
      <c r="P2255" s="5">
        <f>XLOOKUP(R2255, classification!C:C, classification!B:B, "Not Found")</f>
      </c>
      <c r="Q2255" s="1" t="s">
        <v>5514</v>
      </c>
      <c r="R2255" s="2"/>
      <c r="S2255" s="2"/>
      <c r="T2255" s="2"/>
      <c r="U2255" s="2"/>
    </row>
    <row x14ac:dyDescent="0.25" r="2256" customHeight="1" ht="17.25">
      <c r="A2256" s="7">
        <v>2255</v>
      </c>
      <c r="B2256" s="1" t="s">
        <v>7626</v>
      </c>
      <c r="C2256" s="5">
        <f>CONCATENATE("PD", TEXT(A2256, "1000000"))</f>
      </c>
      <c r="D2256" s="7">
        <v>76</v>
      </c>
      <c r="E2256" s="5">
        <f>XLOOKUP(G2256, item_category!C:C, item_category!B:B, "Not Found")</f>
      </c>
      <c r="F2256" s="1" t="s">
        <v>5632</v>
      </c>
      <c r="G2256" s="5">
        <f>XLOOKUP(I2256, drug!B:B, drug!A:A, "Not Found")</f>
      </c>
      <c r="H2256" s="1"/>
      <c r="I2256" s="7">
        <v>1</v>
      </c>
      <c r="J2256" s="5">
        <f>XLOOKUP(L2256, uom!C:C, uom!B:B, "Not Found")</f>
      </c>
      <c r="K2256" s="1" t="s">
        <v>5511</v>
      </c>
      <c r="L2256" s="5">
        <f>XLOOKUP(N2256, uom!C:C, uom!B:B, "Not Found")</f>
      </c>
      <c r="M2256" s="1" t="s">
        <v>5511</v>
      </c>
      <c r="N2256" s="8" t="s">
        <v>5512</v>
      </c>
      <c r="O2256" s="1" t="s">
        <v>5513</v>
      </c>
      <c r="P2256" s="5">
        <f>XLOOKUP(R2256, classification!C:C, classification!B:B, "Not Found")</f>
      </c>
      <c r="Q2256" s="1" t="s">
        <v>5514</v>
      </c>
      <c r="R2256" s="2"/>
      <c r="S2256" s="2"/>
      <c r="T2256" s="2"/>
      <c r="U2256" s="2"/>
    </row>
    <row x14ac:dyDescent="0.25" r="2257" customHeight="1" ht="17.25">
      <c r="A2257" s="7">
        <v>2256</v>
      </c>
      <c r="B2257" s="1" t="s">
        <v>7627</v>
      </c>
      <c r="C2257" s="5">
        <f>CONCATENATE("PD", TEXT(A2257, "1000000"))</f>
      </c>
      <c r="D2257" s="7">
        <v>76</v>
      </c>
      <c r="E2257" s="5">
        <f>XLOOKUP(G2257, item_category!C:C, item_category!B:B, "Not Found")</f>
      </c>
      <c r="F2257" s="1" t="s">
        <v>5632</v>
      </c>
      <c r="G2257" s="5">
        <f>XLOOKUP(I2257, drug!B:B, drug!A:A, "Not Found")</f>
      </c>
      <c r="H2257" s="1"/>
      <c r="I2257" s="7">
        <v>1</v>
      </c>
      <c r="J2257" s="5">
        <f>XLOOKUP(L2257, uom!C:C, uom!B:B, "Not Found")</f>
      </c>
      <c r="K2257" s="1" t="s">
        <v>5511</v>
      </c>
      <c r="L2257" s="5">
        <f>XLOOKUP(N2257, uom!C:C, uom!B:B, "Not Found")</f>
      </c>
      <c r="M2257" s="1" t="s">
        <v>5511</v>
      </c>
      <c r="N2257" s="8" t="s">
        <v>5512</v>
      </c>
      <c r="O2257" s="1" t="s">
        <v>5513</v>
      </c>
      <c r="P2257" s="5">
        <f>XLOOKUP(R2257, classification!C:C, classification!B:B, "Not Found")</f>
      </c>
      <c r="Q2257" s="1" t="s">
        <v>5514</v>
      </c>
      <c r="R2257" s="2"/>
      <c r="S2257" s="2"/>
      <c r="T2257" s="2"/>
      <c r="U2257" s="2"/>
    </row>
    <row x14ac:dyDescent="0.25" r="2258" customHeight="1" ht="17.25">
      <c r="A2258" s="7">
        <v>2257</v>
      </c>
      <c r="B2258" s="1" t="s">
        <v>7628</v>
      </c>
      <c r="C2258" s="5">
        <f>CONCATENATE("PD", TEXT(A2258, "1000000"))</f>
      </c>
      <c r="D2258" s="7">
        <v>76</v>
      </c>
      <c r="E2258" s="5">
        <f>XLOOKUP(G2258, item_category!C:C, item_category!B:B, "Not Found")</f>
      </c>
      <c r="F2258" s="1" t="s">
        <v>5632</v>
      </c>
      <c r="G2258" s="5">
        <f>XLOOKUP(I2258, drug!B:B, drug!A:A, "Not Found")</f>
      </c>
      <c r="H2258" s="1"/>
      <c r="I2258" s="7">
        <v>1</v>
      </c>
      <c r="J2258" s="5">
        <f>XLOOKUP(L2258, uom!C:C, uom!B:B, "Not Found")</f>
      </c>
      <c r="K2258" s="1" t="s">
        <v>5511</v>
      </c>
      <c r="L2258" s="5">
        <f>XLOOKUP(N2258, uom!C:C, uom!B:B, "Not Found")</f>
      </c>
      <c r="M2258" s="1" t="s">
        <v>5511</v>
      </c>
      <c r="N2258" s="8" t="s">
        <v>5512</v>
      </c>
      <c r="O2258" s="1" t="s">
        <v>5513</v>
      </c>
      <c r="P2258" s="5">
        <f>XLOOKUP(R2258, classification!C:C, classification!B:B, "Not Found")</f>
      </c>
      <c r="Q2258" s="1" t="s">
        <v>5514</v>
      </c>
      <c r="R2258" s="2"/>
      <c r="S2258" s="2"/>
      <c r="T2258" s="2"/>
      <c r="U2258" s="2"/>
    </row>
    <row x14ac:dyDescent="0.25" r="2259" customHeight="1" ht="17.25">
      <c r="A2259" s="7">
        <v>2258</v>
      </c>
      <c r="B2259" s="1" t="s">
        <v>7629</v>
      </c>
      <c r="C2259" s="5">
        <f>CONCATENATE("PD", TEXT(A2259, "1000000"))</f>
      </c>
      <c r="D2259" s="7">
        <v>76</v>
      </c>
      <c r="E2259" s="5">
        <f>XLOOKUP(G2259, item_category!C:C, item_category!B:B, "Not Found")</f>
      </c>
      <c r="F2259" s="1" t="s">
        <v>5632</v>
      </c>
      <c r="G2259" s="5">
        <f>XLOOKUP(I2259, drug!B:B, drug!A:A, "Not Found")</f>
      </c>
      <c r="H2259" s="1"/>
      <c r="I2259" s="7">
        <v>1</v>
      </c>
      <c r="J2259" s="5">
        <f>XLOOKUP(L2259, uom!C:C, uom!B:B, "Not Found")</f>
      </c>
      <c r="K2259" s="1" t="s">
        <v>5511</v>
      </c>
      <c r="L2259" s="5">
        <f>XLOOKUP(N2259, uom!C:C, uom!B:B, "Not Found")</f>
      </c>
      <c r="M2259" s="1" t="s">
        <v>5511</v>
      </c>
      <c r="N2259" s="8" t="s">
        <v>5512</v>
      </c>
      <c r="O2259" s="1" t="s">
        <v>5513</v>
      </c>
      <c r="P2259" s="5">
        <f>XLOOKUP(R2259, classification!C:C, classification!B:B, "Not Found")</f>
      </c>
      <c r="Q2259" s="1" t="s">
        <v>5514</v>
      </c>
      <c r="R2259" s="2"/>
      <c r="S2259" s="2"/>
      <c r="T2259" s="2"/>
      <c r="U2259" s="2"/>
    </row>
    <row x14ac:dyDescent="0.25" r="2260" customHeight="1" ht="17.25">
      <c r="A2260" s="7">
        <v>2259</v>
      </c>
      <c r="B2260" s="1" t="s">
        <v>7630</v>
      </c>
      <c r="C2260" s="5">
        <f>CONCATENATE("PD", TEXT(A2260, "1000000"))</f>
      </c>
      <c r="D2260" s="7">
        <v>76</v>
      </c>
      <c r="E2260" s="5">
        <f>XLOOKUP(G2260, item_category!C:C, item_category!B:B, "Not Found")</f>
      </c>
      <c r="F2260" s="1" t="s">
        <v>5632</v>
      </c>
      <c r="G2260" s="5">
        <f>XLOOKUP(I2260, drug!B:B, drug!A:A, "Not Found")</f>
      </c>
      <c r="H2260" s="1"/>
      <c r="I2260" s="7">
        <v>1</v>
      </c>
      <c r="J2260" s="5">
        <f>XLOOKUP(L2260, uom!C:C, uom!B:B, "Not Found")</f>
      </c>
      <c r="K2260" s="1" t="s">
        <v>5511</v>
      </c>
      <c r="L2260" s="5">
        <f>XLOOKUP(N2260, uom!C:C, uom!B:B, "Not Found")</f>
      </c>
      <c r="M2260" s="1" t="s">
        <v>5511</v>
      </c>
      <c r="N2260" s="8" t="s">
        <v>5512</v>
      </c>
      <c r="O2260" s="1" t="s">
        <v>5513</v>
      </c>
      <c r="P2260" s="5">
        <f>XLOOKUP(R2260, classification!C:C, classification!B:B, "Not Found")</f>
      </c>
      <c r="Q2260" s="1" t="s">
        <v>5514</v>
      </c>
      <c r="R2260" s="2"/>
      <c r="S2260" s="2"/>
      <c r="T2260" s="2"/>
      <c r="U2260" s="2"/>
    </row>
    <row x14ac:dyDescent="0.25" r="2261" customHeight="1" ht="17.25">
      <c r="A2261" s="7">
        <v>2260</v>
      </c>
      <c r="B2261" s="1" t="s">
        <v>7631</v>
      </c>
      <c r="C2261" s="5">
        <f>CONCATENATE("PD", TEXT(A2261, "1000000"))</f>
      </c>
      <c r="D2261" s="7">
        <v>76</v>
      </c>
      <c r="E2261" s="5">
        <f>XLOOKUP(G2261, item_category!C:C, item_category!B:B, "Not Found")</f>
      </c>
      <c r="F2261" s="1" t="s">
        <v>5632</v>
      </c>
      <c r="G2261" s="5">
        <f>XLOOKUP(I2261, drug!B:B, drug!A:A, "Not Found")</f>
      </c>
      <c r="H2261" s="1"/>
      <c r="I2261" s="7">
        <v>1</v>
      </c>
      <c r="J2261" s="5">
        <f>XLOOKUP(L2261, uom!C:C, uom!B:B, "Not Found")</f>
      </c>
      <c r="K2261" s="1" t="s">
        <v>5511</v>
      </c>
      <c r="L2261" s="5">
        <f>XLOOKUP(N2261, uom!C:C, uom!B:B, "Not Found")</f>
      </c>
      <c r="M2261" s="1" t="s">
        <v>5511</v>
      </c>
      <c r="N2261" s="8" t="s">
        <v>5512</v>
      </c>
      <c r="O2261" s="1" t="s">
        <v>5513</v>
      </c>
      <c r="P2261" s="5">
        <f>XLOOKUP(R2261, classification!C:C, classification!B:B, "Not Found")</f>
      </c>
      <c r="Q2261" s="1" t="s">
        <v>5514</v>
      </c>
      <c r="R2261" s="2"/>
      <c r="S2261" s="2"/>
      <c r="T2261" s="2"/>
      <c r="U2261" s="2"/>
    </row>
    <row x14ac:dyDescent="0.25" r="2262" customHeight="1" ht="17.25">
      <c r="A2262" s="7">
        <v>2261</v>
      </c>
      <c r="B2262" s="1" t="s">
        <v>7632</v>
      </c>
      <c r="C2262" s="5">
        <f>CONCATENATE("PD", TEXT(A2262, "1000000"))</f>
      </c>
      <c r="D2262" s="7">
        <v>76</v>
      </c>
      <c r="E2262" s="5">
        <f>XLOOKUP(G2262, item_category!C:C, item_category!B:B, "Not Found")</f>
      </c>
      <c r="F2262" s="1" t="s">
        <v>5632</v>
      </c>
      <c r="G2262" s="5">
        <f>XLOOKUP(I2262, drug!B:B, drug!A:A, "Not Found")</f>
      </c>
      <c r="H2262" s="1"/>
      <c r="I2262" s="7">
        <v>1</v>
      </c>
      <c r="J2262" s="5">
        <f>XLOOKUP(L2262, uom!C:C, uom!B:B, "Not Found")</f>
      </c>
      <c r="K2262" s="1" t="s">
        <v>5511</v>
      </c>
      <c r="L2262" s="5">
        <f>XLOOKUP(N2262, uom!C:C, uom!B:B, "Not Found")</f>
      </c>
      <c r="M2262" s="1" t="s">
        <v>5511</v>
      </c>
      <c r="N2262" s="8" t="s">
        <v>5512</v>
      </c>
      <c r="O2262" s="1" t="s">
        <v>5513</v>
      </c>
      <c r="P2262" s="5">
        <f>XLOOKUP(R2262, classification!C:C, classification!B:B, "Not Found")</f>
      </c>
      <c r="Q2262" s="1" t="s">
        <v>5514</v>
      </c>
      <c r="R2262" s="2"/>
      <c r="S2262" s="2"/>
      <c r="T2262" s="2"/>
      <c r="U2262" s="2"/>
    </row>
    <row x14ac:dyDescent="0.25" r="2263" customHeight="1" ht="17.25">
      <c r="A2263" s="7">
        <v>2262</v>
      </c>
      <c r="B2263" s="1" t="s">
        <v>7633</v>
      </c>
      <c r="C2263" s="5">
        <f>CONCATENATE("PD", TEXT(A2263, "1000000"))</f>
      </c>
      <c r="D2263" s="7">
        <v>76</v>
      </c>
      <c r="E2263" s="5">
        <f>XLOOKUP(G2263, item_category!C:C, item_category!B:B, "Not Found")</f>
      </c>
      <c r="F2263" s="1" t="s">
        <v>5632</v>
      </c>
      <c r="G2263" s="5">
        <f>XLOOKUP(I2263, drug!B:B, drug!A:A, "Not Found")</f>
      </c>
      <c r="H2263" s="1"/>
      <c r="I2263" s="7">
        <v>1</v>
      </c>
      <c r="J2263" s="5">
        <f>XLOOKUP(L2263, uom!C:C, uom!B:B, "Not Found")</f>
      </c>
      <c r="K2263" s="1" t="s">
        <v>5511</v>
      </c>
      <c r="L2263" s="5">
        <f>XLOOKUP(N2263, uom!C:C, uom!B:B, "Not Found")</f>
      </c>
      <c r="M2263" s="1" t="s">
        <v>5511</v>
      </c>
      <c r="N2263" s="8" t="s">
        <v>5512</v>
      </c>
      <c r="O2263" s="1" t="s">
        <v>5513</v>
      </c>
      <c r="P2263" s="5">
        <f>XLOOKUP(R2263, classification!C:C, classification!B:B, "Not Found")</f>
      </c>
      <c r="Q2263" s="1" t="s">
        <v>5514</v>
      </c>
      <c r="R2263" s="2"/>
      <c r="S2263" s="2"/>
      <c r="T2263" s="2"/>
      <c r="U2263" s="2"/>
    </row>
    <row x14ac:dyDescent="0.25" r="2264" customHeight="1" ht="17.25">
      <c r="A2264" s="7">
        <v>2263</v>
      </c>
      <c r="B2264" s="1" t="s">
        <v>7634</v>
      </c>
      <c r="C2264" s="5">
        <f>CONCATENATE("PD", TEXT(A2264, "1000000"))</f>
      </c>
      <c r="D2264" s="7">
        <v>76</v>
      </c>
      <c r="E2264" s="5">
        <f>XLOOKUP(G2264, item_category!C:C, item_category!B:B, "Not Found")</f>
      </c>
      <c r="F2264" s="1" t="s">
        <v>5632</v>
      </c>
      <c r="G2264" s="5">
        <f>XLOOKUP(I2264, drug!B:B, drug!A:A, "Not Found")</f>
      </c>
      <c r="H2264" s="1"/>
      <c r="I2264" s="7">
        <v>1</v>
      </c>
      <c r="J2264" s="5">
        <f>XLOOKUP(L2264, uom!C:C, uom!B:B, "Not Found")</f>
      </c>
      <c r="K2264" s="1" t="s">
        <v>5511</v>
      </c>
      <c r="L2264" s="5">
        <f>XLOOKUP(N2264, uom!C:C, uom!B:B, "Not Found")</f>
      </c>
      <c r="M2264" s="1" t="s">
        <v>5511</v>
      </c>
      <c r="N2264" s="8" t="s">
        <v>5512</v>
      </c>
      <c r="O2264" s="1" t="s">
        <v>5513</v>
      </c>
      <c r="P2264" s="5">
        <f>XLOOKUP(R2264, classification!C:C, classification!B:B, "Not Found")</f>
      </c>
      <c r="Q2264" s="1" t="s">
        <v>5514</v>
      </c>
      <c r="R2264" s="2"/>
      <c r="S2264" s="2"/>
      <c r="T2264" s="2"/>
      <c r="U2264" s="2"/>
    </row>
    <row x14ac:dyDescent="0.25" r="2265" customHeight="1" ht="17.25">
      <c r="A2265" s="7">
        <v>2264</v>
      </c>
      <c r="B2265" s="1" t="s">
        <v>7635</v>
      </c>
      <c r="C2265" s="5">
        <f>CONCATENATE("PD", TEXT(A2265, "1000000"))</f>
      </c>
      <c r="D2265" s="7">
        <v>76</v>
      </c>
      <c r="E2265" s="5">
        <f>XLOOKUP(G2265, item_category!C:C, item_category!B:B, "Not Found")</f>
      </c>
      <c r="F2265" s="1" t="s">
        <v>5632</v>
      </c>
      <c r="G2265" s="5">
        <f>XLOOKUP(I2265, drug!B:B, drug!A:A, "Not Found")</f>
      </c>
      <c r="H2265" s="1"/>
      <c r="I2265" s="7">
        <v>1</v>
      </c>
      <c r="J2265" s="5">
        <f>XLOOKUP(L2265, uom!C:C, uom!B:B, "Not Found")</f>
      </c>
      <c r="K2265" s="1" t="s">
        <v>5511</v>
      </c>
      <c r="L2265" s="5">
        <f>XLOOKUP(N2265, uom!C:C, uom!B:B, "Not Found")</f>
      </c>
      <c r="M2265" s="1" t="s">
        <v>5511</v>
      </c>
      <c r="N2265" s="8" t="s">
        <v>5512</v>
      </c>
      <c r="O2265" s="1" t="s">
        <v>5513</v>
      </c>
      <c r="P2265" s="5">
        <f>XLOOKUP(R2265, classification!C:C, classification!B:B, "Not Found")</f>
      </c>
      <c r="Q2265" s="1" t="s">
        <v>5514</v>
      </c>
      <c r="R2265" s="2"/>
      <c r="S2265" s="2"/>
      <c r="T2265" s="2"/>
      <c r="U2265" s="2"/>
    </row>
    <row x14ac:dyDescent="0.25" r="2266" customHeight="1" ht="17.25">
      <c r="A2266" s="7">
        <v>2265</v>
      </c>
      <c r="B2266" s="1" t="s">
        <v>7635</v>
      </c>
      <c r="C2266" s="5">
        <f>CONCATENATE("PD", TEXT(A2266, "1000000"))</f>
      </c>
      <c r="D2266" s="7">
        <v>76</v>
      </c>
      <c r="E2266" s="5">
        <f>XLOOKUP(G2266, item_category!C:C, item_category!B:B, "Not Found")</f>
      </c>
      <c r="F2266" s="1" t="s">
        <v>5632</v>
      </c>
      <c r="G2266" s="5">
        <f>XLOOKUP(I2266, drug!B:B, drug!A:A, "Not Found")</f>
      </c>
      <c r="H2266" s="1"/>
      <c r="I2266" s="7">
        <v>1</v>
      </c>
      <c r="J2266" s="5">
        <f>XLOOKUP(L2266, uom!C:C, uom!B:B, "Not Found")</f>
      </c>
      <c r="K2266" s="1" t="s">
        <v>5511</v>
      </c>
      <c r="L2266" s="5">
        <f>XLOOKUP(N2266, uom!C:C, uom!B:B, "Not Found")</f>
      </c>
      <c r="M2266" s="1" t="s">
        <v>5511</v>
      </c>
      <c r="N2266" s="8" t="s">
        <v>5512</v>
      </c>
      <c r="O2266" s="1" t="s">
        <v>5513</v>
      </c>
      <c r="P2266" s="5">
        <f>XLOOKUP(R2266, classification!C:C, classification!B:B, "Not Found")</f>
      </c>
      <c r="Q2266" s="1" t="s">
        <v>5514</v>
      </c>
      <c r="R2266" s="2"/>
      <c r="S2266" s="2"/>
      <c r="T2266" s="2"/>
      <c r="U2266" s="2"/>
    </row>
    <row x14ac:dyDescent="0.25" r="2267" customHeight="1" ht="17.25">
      <c r="A2267" s="7">
        <v>2266</v>
      </c>
      <c r="B2267" s="1" t="s">
        <v>7636</v>
      </c>
      <c r="C2267" s="5">
        <f>CONCATENATE("PD", TEXT(A2267, "1000000"))</f>
      </c>
      <c r="D2267" s="7">
        <v>76</v>
      </c>
      <c r="E2267" s="5">
        <f>XLOOKUP(G2267, item_category!C:C, item_category!B:B, "Not Found")</f>
      </c>
      <c r="F2267" s="1" t="s">
        <v>5632</v>
      </c>
      <c r="G2267" s="5">
        <f>XLOOKUP(I2267, drug!B:B, drug!A:A, "Not Found")</f>
      </c>
      <c r="H2267" s="1" t="s">
        <v>1942</v>
      </c>
      <c r="I2267" s="7">
        <v>1</v>
      </c>
      <c r="J2267" s="5">
        <f>XLOOKUP(L2267, uom!C:C, uom!B:B, "Not Found")</f>
      </c>
      <c r="K2267" s="1" t="s">
        <v>5511</v>
      </c>
      <c r="L2267" s="5">
        <f>XLOOKUP(N2267, uom!C:C, uom!B:B, "Not Found")</f>
      </c>
      <c r="M2267" s="1" t="s">
        <v>5511</v>
      </c>
      <c r="N2267" s="8" t="s">
        <v>5512</v>
      </c>
      <c r="O2267" s="1" t="s">
        <v>5513</v>
      </c>
      <c r="P2267" s="5">
        <f>XLOOKUP(R2267, classification!C:C, classification!B:B, "Not Found")</f>
      </c>
      <c r="Q2267" s="1" t="s">
        <v>5514</v>
      </c>
      <c r="R2267" s="2"/>
      <c r="S2267" s="2"/>
      <c r="T2267" s="2"/>
      <c r="U2267" s="2"/>
    </row>
    <row x14ac:dyDescent="0.25" r="2268" customHeight="1" ht="17.25">
      <c r="A2268" s="7">
        <v>2267</v>
      </c>
      <c r="B2268" s="1" t="s">
        <v>7637</v>
      </c>
      <c r="C2268" s="5">
        <f>CONCATENATE("PD", TEXT(A2268, "1000000"))</f>
      </c>
      <c r="D2268" s="7">
        <v>76</v>
      </c>
      <c r="E2268" s="5">
        <f>XLOOKUP(G2268, item_category!C:C, item_category!B:B, "Not Found")</f>
      </c>
      <c r="F2268" s="1" t="s">
        <v>5632</v>
      </c>
      <c r="G2268" s="5">
        <f>XLOOKUP(I2268, drug!B:B, drug!A:A, "Not Found")</f>
      </c>
      <c r="H2268" s="1"/>
      <c r="I2268" s="7">
        <v>1</v>
      </c>
      <c r="J2268" s="5">
        <f>XLOOKUP(L2268, uom!C:C, uom!B:B, "Not Found")</f>
      </c>
      <c r="K2268" s="1" t="s">
        <v>5511</v>
      </c>
      <c r="L2268" s="5">
        <f>XLOOKUP(N2268, uom!C:C, uom!B:B, "Not Found")</f>
      </c>
      <c r="M2268" s="1" t="s">
        <v>5511</v>
      </c>
      <c r="N2268" s="8" t="s">
        <v>5512</v>
      </c>
      <c r="O2268" s="1" t="s">
        <v>5513</v>
      </c>
      <c r="P2268" s="5">
        <f>XLOOKUP(R2268, classification!C:C, classification!B:B, "Not Found")</f>
      </c>
      <c r="Q2268" s="1" t="s">
        <v>5514</v>
      </c>
      <c r="R2268" s="2"/>
      <c r="S2268" s="2"/>
      <c r="T2268" s="2"/>
      <c r="U2268" s="2"/>
    </row>
    <row x14ac:dyDescent="0.25" r="2269" customHeight="1" ht="17.25">
      <c r="A2269" s="7">
        <v>2268</v>
      </c>
      <c r="B2269" s="1" t="s">
        <v>7638</v>
      </c>
      <c r="C2269" s="5">
        <f>CONCATENATE("PD", TEXT(A2269, "1000000"))</f>
      </c>
      <c r="D2269" s="7">
        <v>76</v>
      </c>
      <c r="E2269" s="5">
        <f>XLOOKUP(G2269, item_category!C:C, item_category!B:B, "Not Found")</f>
      </c>
      <c r="F2269" s="1" t="s">
        <v>5632</v>
      </c>
      <c r="G2269" s="5">
        <f>XLOOKUP(I2269, drug!B:B, drug!A:A, "Not Found")</f>
      </c>
      <c r="H2269" s="1"/>
      <c r="I2269" s="7">
        <v>1</v>
      </c>
      <c r="J2269" s="5">
        <f>XLOOKUP(L2269, uom!C:C, uom!B:B, "Not Found")</f>
      </c>
      <c r="K2269" s="1" t="s">
        <v>5511</v>
      </c>
      <c r="L2269" s="5">
        <f>XLOOKUP(N2269, uom!C:C, uom!B:B, "Not Found")</f>
      </c>
      <c r="M2269" s="1" t="s">
        <v>5511</v>
      </c>
      <c r="N2269" s="8" t="s">
        <v>5512</v>
      </c>
      <c r="O2269" s="1" t="s">
        <v>5513</v>
      </c>
      <c r="P2269" s="5">
        <f>XLOOKUP(R2269, classification!C:C, classification!B:B, "Not Found")</f>
      </c>
      <c r="Q2269" s="1" t="s">
        <v>5514</v>
      </c>
      <c r="R2269" s="2"/>
      <c r="S2269" s="2"/>
      <c r="T2269" s="2"/>
      <c r="U2269" s="2"/>
    </row>
    <row x14ac:dyDescent="0.25" r="2270" customHeight="1" ht="17.25">
      <c r="A2270" s="7">
        <v>2269</v>
      </c>
      <c r="B2270" s="1" t="s">
        <v>7639</v>
      </c>
      <c r="C2270" s="5">
        <f>CONCATENATE("PD", TEXT(A2270, "1000000"))</f>
      </c>
      <c r="D2270" s="7">
        <v>76</v>
      </c>
      <c r="E2270" s="5">
        <f>XLOOKUP(G2270, item_category!C:C, item_category!B:B, "Not Found")</f>
      </c>
      <c r="F2270" s="1" t="s">
        <v>5632</v>
      </c>
      <c r="G2270" s="5">
        <f>XLOOKUP(I2270, drug!B:B, drug!A:A, "Not Found")</f>
      </c>
      <c r="H2270" s="1"/>
      <c r="I2270" s="7">
        <v>1</v>
      </c>
      <c r="J2270" s="5">
        <f>XLOOKUP(L2270, uom!C:C, uom!B:B, "Not Found")</f>
      </c>
      <c r="K2270" s="1" t="s">
        <v>5511</v>
      </c>
      <c r="L2270" s="5">
        <f>XLOOKUP(N2270, uom!C:C, uom!B:B, "Not Found")</f>
      </c>
      <c r="M2270" s="1" t="s">
        <v>5511</v>
      </c>
      <c r="N2270" s="8" t="s">
        <v>5512</v>
      </c>
      <c r="O2270" s="1" t="s">
        <v>5513</v>
      </c>
      <c r="P2270" s="5">
        <f>XLOOKUP(R2270, classification!C:C, classification!B:B, "Not Found")</f>
      </c>
      <c r="Q2270" s="1" t="s">
        <v>5514</v>
      </c>
      <c r="R2270" s="2"/>
      <c r="S2270" s="2"/>
      <c r="T2270" s="2"/>
      <c r="U2270" s="2"/>
    </row>
    <row x14ac:dyDescent="0.25" r="2271" customHeight="1" ht="17.25">
      <c r="A2271" s="7">
        <v>2270</v>
      </c>
      <c r="B2271" s="1" t="s">
        <v>7640</v>
      </c>
      <c r="C2271" s="5">
        <f>CONCATENATE("PD", TEXT(A2271, "1000000"))</f>
      </c>
      <c r="D2271" s="7">
        <v>76</v>
      </c>
      <c r="E2271" s="5">
        <f>XLOOKUP(G2271, item_category!C:C, item_category!B:B, "Not Found")</f>
      </c>
      <c r="F2271" s="1" t="s">
        <v>5632</v>
      </c>
      <c r="G2271" s="5">
        <f>XLOOKUP(I2271, drug!B:B, drug!A:A, "Not Found")</f>
      </c>
      <c r="H2271" s="1"/>
      <c r="I2271" s="7">
        <v>1</v>
      </c>
      <c r="J2271" s="5">
        <f>XLOOKUP(L2271, uom!C:C, uom!B:B, "Not Found")</f>
      </c>
      <c r="K2271" s="1" t="s">
        <v>5511</v>
      </c>
      <c r="L2271" s="5">
        <f>XLOOKUP(N2271, uom!C:C, uom!B:B, "Not Found")</f>
      </c>
      <c r="M2271" s="1" t="s">
        <v>5511</v>
      </c>
      <c r="N2271" s="8" t="s">
        <v>5512</v>
      </c>
      <c r="O2271" s="1" t="s">
        <v>5513</v>
      </c>
      <c r="P2271" s="5">
        <f>XLOOKUP(R2271, classification!C:C, classification!B:B, "Not Found")</f>
      </c>
      <c r="Q2271" s="1" t="s">
        <v>5514</v>
      </c>
      <c r="R2271" s="2"/>
      <c r="S2271" s="2"/>
      <c r="T2271" s="2"/>
      <c r="U2271" s="2"/>
    </row>
    <row x14ac:dyDescent="0.25" r="2272" customHeight="1" ht="17.25">
      <c r="A2272" s="7">
        <v>2271</v>
      </c>
      <c r="B2272" s="1" t="s">
        <v>7641</v>
      </c>
      <c r="C2272" s="5">
        <f>CONCATENATE("PD", TEXT(A2272, "1000000"))</f>
      </c>
      <c r="D2272" s="7">
        <v>76</v>
      </c>
      <c r="E2272" s="5">
        <f>XLOOKUP(G2272, item_category!C:C, item_category!B:B, "Not Found")</f>
      </c>
      <c r="F2272" s="1" t="s">
        <v>5632</v>
      </c>
      <c r="G2272" s="5">
        <f>XLOOKUP(I2272, drug!B:B, drug!A:A, "Not Found")</f>
      </c>
      <c r="H2272" s="1"/>
      <c r="I2272" s="7">
        <v>1</v>
      </c>
      <c r="J2272" s="5">
        <f>XLOOKUP(L2272, uom!C:C, uom!B:B, "Not Found")</f>
      </c>
      <c r="K2272" s="1" t="s">
        <v>5511</v>
      </c>
      <c r="L2272" s="5">
        <f>XLOOKUP(N2272, uom!C:C, uom!B:B, "Not Found")</f>
      </c>
      <c r="M2272" s="1" t="s">
        <v>5511</v>
      </c>
      <c r="N2272" s="8" t="s">
        <v>5512</v>
      </c>
      <c r="O2272" s="1" t="s">
        <v>5513</v>
      </c>
      <c r="P2272" s="5">
        <f>XLOOKUP(R2272, classification!C:C, classification!B:B, "Not Found")</f>
      </c>
      <c r="Q2272" s="1" t="s">
        <v>5514</v>
      </c>
      <c r="R2272" s="2"/>
      <c r="S2272" s="2"/>
      <c r="T2272" s="2"/>
      <c r="U2272" s="2"/>
    </row>
    <row x14ac:dyDescent="0.25" r="2273" customHeight="1" ht="17.25">
      <c r="A2273" s="7">
        <v>2272</v>
      </c>
      <c r="B2273" s="1" t="s">
        <v>7642</v>
      </c>
      <c r="C2273" s="5">
        <f>CONCATENATE("PD", TEXT(A2273, "1000000"))</f>
      </c>
      <c r="D2273" s="7">
        <v>76</v>
      </c>
      <c r="E2273" s="5">
        <f>XLOOKUP(G2273, item_category!C:C, item_category!B:B, "Not Found")</f>
      </c>
      <c r="F2273" s="1" t="s">
        <v>5632</v>
      </c>
      <c r="G2273" s="5">
        <f>XLOOKUP(I2273, drug!B:B, drug!A:A, "Not Found")</f>
      </c>
      <c r="H2273" s="1"/>
      <c r="I2273" s="7">
        <v>1</v>
      </c>
      <c r="J2273" s="5">
        <f>XLOOKUP(L2273, uom!C:C, uom!B:B, "Not Found")</f>
      </c>
      <c r="K2273" s="1" t="s">
        <v>5511</v>
      </c>
      <c r="L2273" s="5">
        <f>XLOOKUP(N2273, uom!C:C, uom!B:B, "Not Found")</f>
      </c>
      <c r="M2273" s="1" t="s">
        <v>5511</v>
      </c>
      <c r="N2273" s="8" t="s">
        <v>5512</v>
      </c>
      <c r="O2273" s="1" t="s">
        <v>5513</v>
      </c>
      <c r="P2273" s="5">
        <f>XLOOKUP(R2273, classification!C:C, classification!B:B, "Not Found")</f>
      </c>
      <c r="Q2273" s="1" t="s">
        <v>5514</v>
      </c>
      <c r="R2273" s="2"/>
      <c r="S2273" s="2"/>
      <c r="T2273" s="2"/>
      <c r="U2273" s="2"/>
    </row>
    <row x14ac:dyDescent="0.25" r="2274" customHeight="1" ht="17.25">
      <c r="A2274" s="7">
        <v>2273</v>
      </c>
      <c r="B2274" s="1" t="s">
        <v>7643</v>
      </c>
      <c r="C2274" s="5">
        <f>CONCATENATE("PD", TEXT(A2274, "1000000"))</f>
      </c>
      <c r="D2274" s="7">
        <v>76</v>
      </c>
      <c r="E2274" s="5">
        <f>XLOOKUP(G2274, item_category!C:C, item_category!B:B, "Not Found")</f>
      </c>
      <c r="F2274" s="1" t="s">
        <v>5632</v>
      </c>
      <c r="G2274" s="5">
        <f>XLOOKUP(I2274, drug!B:B, drug!A:A, "Not Found")</f>
      </c>
      <c r="H2274" s="1"/>
      <c r="I2274" s="7">
        <v>1</v>
      </c>
      <c r="J2274" s="5">
        <f>XLOOKUP(L2274, uom!C:C, uom!B:B, "Not Found")</f>
      </c>
      <c r="K2274" s="1" t="s">
        <v>5511</v>
      </c>
      <c r="L2274" s="5">
        <f>XLOOKUP(N2274, uom!C:C, uom!B:B, "Not Found")</f>
      </c>
      <c r="M2274" s="1" t="s">
        <v>5511</v>
      </c>
      <c r="N2274" s="8" t="s">
        <v>5512</v>
      </c>
      <c r="O2274" s="1" t="s">
        <v>5513</v>
      </c>
      <c r="P2274" s="5">
        <f>XLOOKUP(R2274, classification!C:C, classification!B:B, "Not Found")</f>
      </c>
      <c r="Q2274" s="1" t="s">
        <v>5514</v>
      </c>
      <c r="R2274" s="2"/>
      <c r="S2274" s="2"/>
      <c r="T2274" s="2"/>
      <c r="U2274" s="2"/>
    </row>
    <row x14ac:dyDescent="0.25" r="2275" customHeight="1" ht="17.25">
      <c r="A2275" s="7">
        <v>2274</v>
      </c>
      <c r="B2275" s="1" t="s">
        <v>7644</v>
      </c>
      <c r="C2275" s="5">
        <f>CONCATENATE("PD", TEXT(A2275, "1000000"))</f>
      </c>
      <c r="D2275" s="7">
        <v>76</v>
      </c>
      <c r="E2275" s="5">
        <f>XLOOKUP(G2275, item_category!C:C, item_category!B:B, "Not Found")</f>
      </c>
      <c r="F2275" s="1" t="s">
        <v>5632</v>
      </c>
      <c r="G2275" s="5">
        <f>XLOOKUP(I2275, drug!B:B, drug!A:A, "Not Found")</f>
      </c>
      <c r="H2275" s="1"/>
      <c r="I2275" s="7">
        <v>1</v>
      </c>
      <c r="J2275" s="5">
        <f>XLOOKUP(L2275, uom!C:C, uom!B:B, "Not Found")</f>
      </c>
      <c r="K2275" s="1" t="s">
        <v>5511</v>
      </c>
      <c r="L2275" s="5">
        <f>XLOOKUP(N2275, uom!C:C, uom!B:B, "Not Found")</f>
      </c>
      <c r="M2275" s="1" t="s">
        <v>5511</v>
      </c>
      <c r="N2275" s="8" t="s">
        <v>5512</v>
      </c>
      <c r="O2275" s="1" t="s">
        <v>5513</v>
      </c>
      <c r="P2275" s="5">
        <f>XLOOKUP(R2275, classification!C:C, classification!B:B, "Not Found")</f>
      </c>
      <c r="Q2275" s="1" t="s">
        <v>5514</v>
      </c>
      <c r="R2275" s="2"/>
      <c r="S2275" s="2"/>
      <c r="T2275" s="2"/>
      <c r="U2275" s="2"/>
    </row>
    <row x14ac:dyDescent="0.25" r="2276" customHeight="1" ht="17.25">
      <c r="A2276" s="7">
        <v>2275</v>
      </c>
      <c r="B2276" s="1" t="s">
        <v>7645</v>
      </c>
      <c r="C2276" s="5">
        <f>CONCATENATE("PD", TEXT(A2276, "1000000"))</f>
      </c>
      <c r="D2276" s="7">
        <v>76</v>
      </c>
      <c r="E2276" s="5">
        <f>XLOOKUP(G2276, item_category!C:C, item_category!B:B, "Not Found")</f>
      </c>
      <c r="F2276" s="1" t="s">
        <v>5632</v>
      </c>
      <c r="G2276" s="5">
        <f>XLOOKUP(I2276, drug!B:B, drug!A:A, "Not Found")</f>
      </c>
      <c r="H2276" s="1"/>
      <c r="I2276" s="7">
        <v>1</v>
      </c>
      <c r="J2276" s="5">
        <f>XLOOKUP(L2276, uom!C:C, uom!B:B, "Not Found")</f>
      </c>
      <c r="K2276" s="1" t="s">
        <v>5511</v>
      </c>
      <c r="L2276" s="5">
        <f>XLOOKUP(N2276, uom!C:C, uom!B:B, "Not Found")</f>
      </c>
      <c r="M2276" s="1" t="s">
        <v>5511</v>
      </c>
      <c r="N2276" s="8" t="s">
        <v>5512</v>
      </c>
      <c r="O2276" s="1" t="s">
        <v>5513</v>
      </c>
      <c r="P2276" s="5">
        <f>XLOOKUP(R2276, classification!C:C, classification!B:B, "Not Found")</f>
      </c>
      <c r="Q2276" s="1" t="s">
        <v>5514</v>
      </c>
      <c r="R2276" s="2"/>
      <c r="S2276" s="2"/>
      <c r="T2276" s="2"/>
      <c r="U2276" s="2"/>
    </row>
    <row x14ac:dyDescent="0.25" r="2277" customHeight="1" ht="17.25">
      <c r="A2277" s="7">
        <v>2276</v>
      </c>
      <c r="B2277" s="1" t="s">
        <v>7646</v>
      </c>
      <c r="C2277" s="5">
        <f>CONCATENATE("PD", TEXT(A2277, "1000000"))</f>
      </c>
      <c r="D2277" s="7">
        <v>76</v>
      </c>
      <c r="E2277" s="5">
        <f>XLOOKUP(G2277, item_category!C:C, item_category!B:B, "Not Found")</f>
      </c>
      <c r="F2277" s="1" t="s">
        <v>5632</v>
      </c>
      <c r="G2277" s="5">
        <f>XLOOKUP(I2277, drug!B:B, drug!A:A, "Not Found")</f>
      </c>
      <c r="H2277" s="1"/>
      <c r="I2277" s="7">
        <v>1</v>
      </c>
      <c r="J2277" s="5">
        <f>XLOOKUP(L2277, uom!C:C, uom!B:B, "Not Found")</f>
      </c>
      <c r="K2277" s="1" t="s">
        <v>5511</v>
      </c>
      <c r="L2277" s="5">
        <f>XLOOKUP(N2277, uom!C:C, uom!B:B, "Not Found")</f>
      </c>
      <c r="M2277" s="1" t="s">
        <v>5511</v>
      </c>
      <c r="N2277" s="8" t="s">
        <v>5512</v>
      </c>
      <c r="O2277" s="1" t="s">
        <v>5513</v>
      </c>
      <c r="P2277" s="5">
        <f>XLOOKUP(R2277, classification!C:C, classification!B:B, "Not Found")</f>
      </c>
      <c r="Q2277" s="1" t="s">
        <v>5514</v>
      </c>
      <c r="R2277" s="2"/>
      <c r="S2277" s="2"/>
      <c r="T2277" s="2"/>
      <c r="U2277" s="2"/>
    </row>
    <row x14ac:dyDescent="0.25" r="2278" customHeight="1" ht="17.25">
      <c r="A2278" s="7">
        <v>2277</v>
      </c>
      <c r="B2278" s="1" t="s">
        <v>7647</v>
      </c>
      <c r="C2278" s="5">
        <f>CONCATENATE("PD", TEXT(A2278, "1000000"))</f>
      </c>
      <c r="D2278" s="7">
        <v>76</v>
      </c>
      <c r="E2278" s="5">
        <f>XLOOKUP(G2278, item_category!C:C, item_category!B:B, "Not Found")</f>
      </c>
      <c r="F2278" s="1" t="s">
        <v>5632</v>
      </c>
      <c r="G2278" s="5">
        <f>XLOOKUP(I2278, drug!B:B, drug!A:A, "Not Found")</f>
      </c>
      <c r="H2278" s="1"/>
      <c r="I2278" s="7">
        <v>1</v>
      </c>
      <c r="J2278" s="5">
        <f>XLOOKUP(L2278, uom!C:C, uom!B:B, "Not Found")</f>
      </c>
      <c r="K2278" s="1" t="s">
        <v>5511</v>
      </c>
      <c r="L2278" s="5">
        <f>XLOOKUP(N2278, uom!C:C, uom!B:B, "Not Found")</f>
      </c>
      <c r="M2278" s="1" t="s">
        <v>5511</v>
      </c>
      <c r="N2278" s="8" t="s">
        <v>5512</v>
      </c>
      <c r="O2278" s="1" t="s">
        <v>5513</v>
      </c>
      <c r="P2278" s="5">
        <f>XLOOKUP(R2278, classification!C:C, classification!B:B, "Not Found")</f>
      </c>
      <c r="Q2278" s="1" t="s">
        <v>5514</v>
      </c>
      <c r="R2278" s="2"/>
      <c r="S2278" s="2"/>
      <c r="T2278" s="2"/>
      <c r="U2278" s="2"/>
    </row>
    <row x14ac:dyDescent="0.25" r="2279" customHeight="1" ht="17.25">
      <c r="A2279" s="7">
        <v>2278</v>
      </c>
      <c r="B2279" s="1" t="s">
        <v>7648</v>
      </c>
      <c r="C2279" s="5">
        <f>CONCATENATE("PD", TEXT(A2279, "1000000"))</f>
      </c>
      <c r="D2279" s="7">
        <v>76</v>
      </c>
      <c r="E2279" s="5">
        <f>XLOOKUP(G2279, item_category!C:C, item_category!B:B, "Not Found")</f>
      </c>
      <c r="F2279" s="1" t="s">
        <v>5632</v>
      </c>
      <c r="G2279" s="5">
        <f>XLOOKUP(I2279, drug!B:B, drug!A:A, "Not Found")</f>
      </c>
      <c r="H2279" s="1"/>
      <c r="I2279" s="7">
        <v>1</v>
      </c>
      <c r="J2279" s="5">
        <f>XLOOKUP(L2279, uom!C:C, uom!B:B, "Not Found")</f>
      </c>
      <c r="K2279" s="1" t="s">
        <v>5511</v>
      </c>
      <c r="L2279" s="5">
        <f>XLOOKUP(N2279, uom!C:C, uom!B:B, "Not Found")</f>
      </c>
      <c r="M2279" s="1" t="s">
        <v>5511</v>
      </c>
      <c r="N2279" s="8" t="s">
        <v>5512</v>
      </c>
      <c r="O2279" s="1" t="s">
        <v>5513</v>
      </c>
      <c r="P2279" s="5">
        <f>XLOOKUP(R2279, classification!C:C, classification!B:B, "Not Found")</f>
      </c>
      <c r="Q2279" s="1" t="s">
        <v>5514</v>
      </c>
      <c r="R2279" s="2"/>
      <c r="S2279" s="2"/>
      <c r="T2279" s="2"/>
      <c r="U2279" s="2"/>
    </row>
    <row x14ac:dyDescent="0.25" r="2280" customHeight="1" ht="17.25">
      <c r="A2280" s="7">
        <v>2279</v>
      </c>
      <c r="B2280" s="1" t="s">
        <v>7649</v>
      </c>
      <c r="C2280" s="5">
        <f>CONCATENATE("PD", TEXT(A2280, "1000000"))</f>
      </c>
      <c r="D2280" s="7">
        <v>76</v>
      </c>
      <c r="E2280" s="5">
        <f>XLOOKUP(G2280, item_category!C:C, item_category!B:B, "Not Found")</f>
      </c>
      <c r="F2280" s="1" t="s">
        <v>5632</v>
      </c>
      <c r="G2280" s="5">
        <f>XLOOKUP(I2280, drug!B:B, drug!A:A, "Not Found")</f>
      </c>
      <c r="H2280" s="1"/>
      <c r="I2280" s="7">
        <v>1</v>
      </c>
      <c r="J2280" s="5">
        <f>XLOOKUP(L2280, uom!C:C, uom!B:B, "Not Found")</f>
      </c>
      <c r="K2280" s="1" t="s">
        <v>5511</v>
      </c>
      <c r="L2280" s="5">
        <f>XLOOKUP(N2280, uom!C:C, uom!B:B, "Not Found")</f>
      </c>
      <c r="M2280" s="1" t="s">
        <v>5511</v>
      </c>
      <c r="N2280" s="8" t="s">
        <v>5512</v>
      </c>
      <c r="O2280" s="1" t="s">
        <v>5513</v>
      </c>
      <c r="P2280" s="5">
        <f>XLOOKUP(R2280, classification!C:C, classification!B:B, "Not Found")</f>
      </c>
      <c r="Q2280" s="1" t="s">
        <v>5514</v>
      </c>
      <c r="R2280" s="2"/>
      <c r="S2280" s="2"/>
      <c r="T2280" s="2"/>
      <c r="U2280" s="2"/>
    </row>
    <row x14ac:dyDescent="0.25" r="2281" customHeight="1" ht="17.25">
      <c r="A2281" s="7">
        <v>2280</v>
      </c>
      <c r="B2281" s="1" t="s">
        <v>7650</v>
      </c>
      <c r="C2281" s="5">
        <f>CONCATENATE("PD", TEXT(A2281, "1000000"))</f>
      </c>
      <c r="D2281" s="7">
        <v>76</v>
      </c>
      <c r="E2281" s="5">
        <f>XLOOKUP(G2281, item_category!C:C, item_category!B:B, "Not Found")</f>
      </c>
      <c r="F2281" s="1" t="s">
        <v>5632</v>
      </c>
      <c r="G2281" s="5">
        <f>XLOOKUP(I2281, drug!B:B, drug!A:A, "Not Found")</f>
      </c>
      <c r="H2281" s="1"/>
      <c r="I2281" s="7">
        <v>1</v>
      </c>
      <c r="J2281" s="5">
        <f>XLOOKUP(L2281, uom!C:C, uom!B:B, "Not Found")</f>
      </c>
      <c r="K2281" s="1" t="s">
        <v>5511</v>
      </c>
      <c r="L2281" s="5">
        <f>XLOOKUP(N2281, uom!C:C, uom!B:B, "Not Found")</f>
      </c>
      <c r="M2281" s="1" t="s">
        <v>5511</v>
      </c>
      <c r="N2281" s="8" t="s">
        <v>5512</v>
      </c>
      <c r="O2281" s="1" t="s">
        <v>5513</v>
      </c>
      <c r="P2281" s="5">
        <f>XLOOKUP(R2281, classification!C:C, classification!B:B, "Not Found")</f>
      </c>
      <c r="Q2281" s="1" t="s">
        <v>5514</v>
      </c>
      <c r="R2281" s="2"/>
      <c r="S2281" s="2"/>
      <c r="T2281" s="2"/>
      <c r="U2281" s="2"/>
    </row>
    <row x14ac:dyDescent="0.25" r="2282" customHeight="1" ht="17.25">
      <c r="A2282" s="7">
        <v>2281</v>
      </c>
      <c r="B2282" s="1" t="s">
        <v>7651</v>
      </c>
      <c r="C2282" s="5">
        <f>CONCATENATE("PD", TEXT(A2282, "1000000"))</f>
      </c>
      <c r="D2282" s="7">
        <v>76</v>
      </c>
      <c r="E2282" s="5">
        <f>XLOOKUP(G2282, item_category!C:C, item_category!B:B, "Not Found")</f>
      </c>
      <c r="F2282" s="1" t="s">
        <v>5632</v>
      </c>
      <c r="G2282" s="5">
        <f>XLOOKUP(I2282, drug!B:B, drug!A:A, "Not Found")</f>
      </c>
      <c r="H2282" s="1"/>
      <c r="I2282" s="7">
        <v>1</v>
      </c>
      <c r="J2282" s="5">
        <f>XLOOKUP(L2282, uom!C:C, uom!B:B, "Not Found")</f>
      </c>
      <c r="K2282" s="1" t="s">
        <v>5511</v>
      </c>
      <c r="L2282" s="5">
        <f>XLOOKUP(N2282, uom!C:C, uom!B:B, "Not Found")</f>
      </c>
      <c r="M2282" s="1" t="s">
        <v>5511</v>
      </c>
      <c r="N2282" s="8" t="s">
        <v>5512</v>
      </c>
      <c r="O2282" s="1" t="s">
        <v>5513</v>
      </c>
      <c r="P2282" s="5">
        <f>XLOOKUP(R2282, classification!C:C, classification!B:B, "Not Found")</f>
      </c>
      <c r="Q2282" s="1" t="s">
        <v>5514</v>
      </c>
      <c r="R2282" s="2"/>
      <c r="S2282" s="2"/>
      <c r="T2282" s="2"/>
      <c r="U2282" s="2"/>
    </row>
    <row x14ac:dyDescent="0.25" r="2283" customHeight="1" ht="17.25">
      <c r="A2283" s="7">
        <v>2282</v>
      </c>
      <c r="B2283" s="1" t="s">
        <v>7652</v>
      </c>
      <c r="C2283" s="5">
        <f>CONCATENATE("PD", TEXT(A2283, "1000000"))</f>
      </c>
      <c r="D2283" s="7">
        <v>76</v>
      </c>
      <c r="E2283" s="5">
        <f>XLOOKUP(G2283, item_category!C:C, item_category!B:B, "Not Found")</f>
      </c>
      <c r="F2283" s="1" t="s">
        <v>5632</v>
      </c>
      <c r="G2283" s="5">
        <f>XLOOKUP(I2283, drug!B:B, drug!A:A, "Not Found")</f>
      </c>
      <c r="H2283" s="1"/>
      <c r="I2283" s="7">
        <v>1</v>
      </c>
      <c r="J2283" s="5">
        <f>XLOOKUP(L2283, uom!C:C, uom!B:B, "Not Found")</f>
      </c>
      <c r="K2283" s="1" t="s">
        <v>5511</v>
      </c>
      <c r="L2283" s="5">
        <f>XLOOKUP(N2283, uom!C:C, uom!B:B, "Not Found")</f>
      </c>
      <c r="M2283" s="1" t="s">
        <v>5511</v>
      </c>
      <c r="N2283" s="8" t="s">
        <v>5512</v>
      </c>
      <c r="O2283" s="1" t="s">
        <v>5513</v>
      </c>
      <c r="P2283" s="5">
        <f>XLOOKUP(R2283, classification!C:C, classification!B:B, "Not Found")</f>
      </c>
      <c r="Q2283" s="1" t="s">
        <v>5514</v>
      </c>
      <c r="R2283" s="2"/>
      <c r="S2283" s="2"/>
      <c r="T2283" s="2"/>
      <c r="U2283" s="2"/>
    </row>
    <row x14ac:dyDescent="0.25" r="2284" customHeight="1" ht="17.25">
      <c r="A2284" s="7">
        <v>2283</v>
      </c>
      <c r="B2284" s="1" t="s">
        <v>7653</v>
      </c>
      <c r="C2284" s="5">
        <f>CONCATENATE("PD", TEXT(A2284, "1000000"))</f>
      </c>
      <c r="D2284" s="7">
        <v>76</v>
      </c>
      <c r="E2284" s="5">
        <f>XLOOKUP(G2284, item_category!C:C, item_category!B:B, "Not Found")</f>
      </c>
      <c r="F2284" s="1" t="s">
        <v>5632</v>
      </c>
      <c r="G2284" s="5">
        <f>XLOOKUP(I2284, drug!B:B, drug!A:A, "Not Found")</f>
      </c>
      <c r="H2284" s="1"/>
      <c r="I2284" s="7">
        <v>1</v>
      </c>
      <c r="J2284" s="5">
        <f>XLOOKUP(L2284, uom!C:C, uom!B:B, "Not Found")</f>
      </c>
      <c r="K2284" s="1" t="s">
        <v>5511</v>
      </c>
      <c r="L2284" s="5">
        <f>XLOOKUP(N2284, uom!C:C, uom!B:B, "Not Found")</f>
      </c>
      <c r="M2284" s="1" t="s">
        <v>5511</v>
      </c>
      <c r="N2284" s="8" t="s">
        <v>5512</v>
      </c>
      <c r="O2284" s="1" t="s">
        <v>5513</v>
      </c>
      <c r="P2284" s="5">
        <f>XLOOKUP(R2284, classification!C:C, classification!B:B, "Not Found")</f>
      </c>
      <c r="Q2284" s="1" t="s">
        <v>5514</v>
      </c>
      <c r="R2284" s="2"/>
      <c r="S2284" s="2"/>
      <c r="T2284" s="2"/>
      <c r="U2284" s="2"/>
    </row>
    <row x14ac:dyDescent="0.25" r="2285" customHeight="1" ht="17.25">
      <c r="A2285" s="7">
        <v>2284</v>
      </c>
      <c r="B2285" s="1" t="s">
        <v>7654</v>
      </c>
      <c r="C2285" s="5">
        <f>CONCATENATE("PD", TEXT(A2285, "1000000"))</f>
      </c>
      <c r="D2285" s="7">
        <v>76</v>
      </c>
      <c r="E2285" s="5">
        <f>XLOOKUP(G2285, item_category!C:C, item_category!B:B, "Not Found")</f>
      </c>
      <c r="F2285" s="1" t="s">
        <v>5632</v>
      </c>
      <c r="G2285" s="5">
        <f>XLOOKUP(I2285, drug!B:B, drug!A:A, "Not Found")</f>
      </c>
      <c r="H2285" s="1"/>
      <c r="I2285" s="7">
        <v>1</v>
      </c>
      <c r="J2285" s="5">
        <f>XLOOKUP(L2285, uom!C:C, uom!B:B, "Not Found")</f>
      </c>
      <c r="K2285" s="1" t="s">
        <v>5511</v>
      </c>
      <c r="L2285" s="5">
        <f>XLOOKUP(N2285, uom!C:C, uom!B:B, "Not Found")</f>
      </c>
      <c r="M2285" s="1" t="s">
        <v>5511</v>
      </c>
      <c r="N2285" s="8" t="s">
        <v>5512</v>
      </c>
      <c r="O2285" s="1" t="s">
        <v>5513</v>
      </c>
      <c r="P2285" s="5">
        <f>XLOOKUP(R2285, classification!C:C, classification!B:B, "Not Found")</f>
      </c>
      <c r="Q2285" s="1" t="s">
        <v>5514</v>
      </c>
      <c r="R2285" s="2"/>
      <c r="S2285" s="2"/>
      <c r="T2285" s="2"/>
      <c r="U2285" s="2"/>
    </row>
    <row x14ac:dyDescent="0.25" r="2286" customHeight="1" ht="17.25">
      <c r="A2286" s="7">
        <v>2285</v>
      </c>
      <c r="B2286" s="1" t="s">
        <v>7655</v>
      </c>
      <c r="C2286" s="5">
        <f>CONCATENATE("PD", TEXT(A2286, "1000000"))</f>
      </c>
      <c r="D2286" s="7">
        <v>76</v>
      </c>
      <c r="E2286" s="5">
        <f>XLOOKUP(G2286, item_category!C:C, item_category!B:B, "Not Found")</f>
      </c>
      <c r="F2286" s="1" t="s">
        <v>5632</v>
      </c>
      <c r="G2286" s="5">
        <f>XLOOKUP(I2286, drug!B:B, drug!A:A, "Not Found")</f>
      </c>
      <c r="H2286" s="1"/>
      <c r="I2286" s="7">
        <v>1</v>
      </c>
      <c r="J2286" s="5">
        <f>XLOOKUP(L2286, uom!C:C, uom!B:B, "Not Found")</f>
      </c>
      <c r="K2286" s="1" t="s">
        <v>5511</v>
      </c>
      <c r="L2286" s="5">
        <f>XLOOKUP(N2286, uom!C:C, uom!B:B, "Not Found")</f>
      </c>
      <c r="M2286" s="1" t="s">
        <v>5511</v>
      </c>
      <c r="N2286" s="8" t="s">
        <v>5512</v>
      </c>
      <c r="O2286" s="1" t="s">
        <v>5513</v>
      </c>
      <c r="P2286" s="5">
        <f>XLOOKUP(R2286, classification!C:C, classification!B:B, "Not Found")</f>
      </c>
      <c r="Q2286" s="1" t="s">
        <v>5514</v>
      </c>
      <c r="R2286" s="2"/>
      <c r="S2286" s="2"/>
      <c r="T2286" s="2"/>
      <c r="U2286" s="2"/>
    </row>
    <row x14ac:dyDescent="0.25" r="2287" customHeight="1" ht="17.25">
      <c r="A2287" s="7">
        <v>2286</v>
      </c>
      <c r="B2287" s="1" t="s">
        <v>7656</v>
      </c>
      <c r="C2287" s="5">
        <f>CONCATENATE("PD", TEXT(A2287, "1000000"))</f>
      </c>
      <c r="D2287" s="7">
        <v>76</v>
      </c>
      <c r="E2287" s="5">
        <f>XLOOKUP(G2287, item_category!C:C, item_category!B:B, "Not Found")</f>
      </c>
      <c r="F2287" s="1" t="s">
        <v>5632</v>
      </c>
      <c r="G2287" s="5">
        <f>XLOOKUP(I2287, drug!B:B, drug!A:A, "Not Found")</f>
      </c>
      <c r="H2287" s="1"/>
      <c r="I2287" s="7">
        <v>1</v>
      </c>
      <c r="J2287" s="5">
        <f>XLOOKUP(L2287, uom!C:C, uom!B:B, "Not Found")</f>
      </c>
      <c r="K2287" s="1" t="s">
        <v>5511</v>
      </c>
      <c r="L2287" s="5">
        <f>XLOOKUP(N2287, uom!C:C, uom!B:B, "Not Found")</f>
      </c>
      <c r="M2287" s="1" t="s">
        <v>5511</v>
      </c>
      <c r="N2287" s="8" t="s">
        <v>5512</v>
      </c>
      <c r="O2287" s="1" t="s">
        <v>5513</v>
      </c>
      <c r="P2287" s="5">
        <f>XLOOKUP(R2287, classification!C:C, classification!B:B, "Not Found")</f>
      </c>
      <c r="Q2287" s="1" t="s">
        <v>5514</v>
      </c>
      <c r="R2287" s="2"/>
      <c r="S2287" s="2"/>
      <c r="T2287" s="2"/>
      <c r="U2287" s="2"/>
    </row>
    <row x14ac:dyDescent="0.25" r="2288" customHeight="1" ht="17.25">
      <c r="A2288" s="7">
        <v>2287</v>
      </c>
      <c r="B2288" s="1" t="s">
        <v>7657</v>
      </c>
      <c r="C2288" s="5">
        <f>CONCATENATE("PD", TEXT(A2288, "1000000"))</f>
      </c>
      <c r="D2288" s="7">
        <v>76</v>
      </c>
      <c r="E2288" s="5">
        <f>XLOOKUP(G2288, item_category!C:C, item_category!B:B, "Not Found")</f>
      </c>
      <c r="F2288" s="1" t="s">
        <v>5632</v>
      </c>
      <c r="G2288" s="5">
        <f>XLOOKUP(I2288, drug!B:B, drug!A:A, "Not Found")</f>
      </c>
      <c r="H2288" s="1"/>
      <c r="I2288" s="7">
        <v>1</v>
      </c>
      <c r="J2288" s="5">
        <f>XLOOKUP(L2288, uom!C:C, uom!B:B, "Not Found")</f>
      </c>
      <c r="K2288" s="1" t="s">
        <v>5511</v>
      </c>
      <c r="L2288" s="5">
        <f>XLOOKUP(N2288, uom!C:C, uom!B:B, "Not Found")</f>
      </c>
      <c r="M2288" s="1" t="s">
        <v>5511</v>
      </c>
      <c r="N2288" s="8" t="s">
        <v>5512</v>
      </c>
      <c r="O2288" s="1" t="s">
        <v>5513</v>
      </c>
      <c r="P2288" s="5">
        <f>XLOOKUP(R2288, classification!C:C, classification!B:B, "Not Found")</f>
      </c>
      <c r="Q2288" s="1" t="s">
        <v>5514</v>
      </c>
      <c r="R2288" s="2"/>
      <c r="S2288" s="2"/>
      <c r="T2288" s="2"/>
      <c r="U2288" s="2"/>
    </row>
    <row x14ac:dyDescent="0.25" r="2289" customHeight="1" ht="17.25">
      <c r="A2289" s="7">
        <v>2288</v>
      </c>
      <c r="B2289" s="1" t="s">
        <v>7658</v>
      </c>
      <c r="C2289" s="5">
        <f>CONCATENATE("PD", TEXT(A2289, "1000000"))</f>
      </c>
      <c r="D2289" s="7">
        <v>76</v>
      </c>
      <c r="E2289" s="5">
        <f>XLOOKUP(G2289, item_category!C:C, item_category!B:B, "Not Found")</f>
      </c>
      <c r="F2289" s="1" t="s">
        <v>5632</v>
      </c>
      <c r="G2289" s="5">
        <f>XLOOKUP(I2289, drug!B:B, drug!A:A, "Not Found")</f>
      </c>
      <c r="H2289" s="1"/>
      <c r="I2289" s="7">
        <v>1</v>
      </c>
      <c r="J2289" s="5">
        <f>XLOOKUP(L2289, uom!C:C, uom!B:B, "Not Found")</f>
      </c>
      <c r="K2289" s="1" t="s">
        <v>5511</v>
      </c>
      <c r="L2289" s="5">
        <f>XLOOKUP(N2289, uom!C:C, uom!B:B, "Not Found")</f>
      </c>
      <c r="M2289" s="1" t="s">
        <v>5511</v>
      </c>
      <c r="N2289" s="8" t="s">
        <v>5512</v>
      </c>
      <c r="O2289" s="1" t="s">
        <v>5513</v>
      </c>
      <c r="P2289" s="5">
        <f>XLOOKUP(R2289, classification!C:C, classification!B:B, "Not Found")</f>
      </c>
      <c r="Q2289" s="1" t="s">
        <v>5514</v>
      </c>
      <c r="R2289" s="2"/>
      <c r="S2289" s="2"/>
      <c r="T2289" s="2"/>
      <c r="U2289" s="2"/>
    </row>
    <row x14ac:dyDescent="0.25" r="2290" customHeight="1" ht="17.25">
      <c r="A2290" s="7">
        <v>2289</v>
      </c>
      <c r="B2290" s="1" t="s">
        <v>7659</v>
      </c>
      <c r="C2290" s="5">
        <f>CONCATENATE("PD", TEXT(A2290, "1000000"))</f>
      </c>
      <c r="D2290" s="7">
        <v>76</v>
      </c>
      <c r="E2290" s="5">
        <f>XLOOKUP(G2290, item_category!C:C, item_category!B:B, "Not Found")</f>
      </c>
      <c r="F2290" s="1" t="s">
        <v>5632</v>
      </c>
      <c r="G2290" s="5">
        <f>XLOOKUP(I2290, drug!B:B, drug!A:A, "Not Found")</f>
      </c>
      <c r="H2290" s="1"/>
      <c r="I2290" s="7">
        <v>1</v>
      </c>
      <c r="J2290" s="5">
        <f>XLOOKUP(L2290, uom!C:C, uom!B:B, "Not Found")</f>
      </c>
      <c r="K2290" s="1" t="s">
        <v>5511</v>
      </c>
      <c r="L2290" s="5">
        <f>XLOOKUP(N2290, uom!C:C, uom!B:B, "Not Found")</f>
      </c>
      <c r="M2290" s="1" t="s">
        <v>5511</v>
      </c>
      <c r="N2290" s="8" t="s">
        <v>5512</v>
      </c>
      <c r="O2290" s="1" t="s">
        <v>5513</v>
      </c>
      <c r="P2290" s="5">
        <f>XLOOKUP(R2290, classification!C:C, classification!B:B, "Not Found")</f>
      </c>
      <c r="Q2290" s="1" t="s">
        <v>5514</v>
      </c>
      <c r="R2290" s="2"/>
      <c r="S2290" s="2"/>
      <c r="T2290" s="2"/>
      <c r="U2290" s="2"/>
    </row>
    <row x14ac:dyDescent="0.25" r="2291" customHeight="1" ht="17.25">
      <c r="A2291" s="7">
        <v>2290</v>
      </c>
      <c r="B2291" s="1" t="s">
        <v>7660</v>
      </c>
      <c r="C2291" s="5">
        <f>CONCATENATE("PD", TEXT(A2291, "1000000"))</f>
      </c>
      <c r="D2291" s="7">
        <v>76</v>
      </c>
      <c r="E2291" s="5">
        <f>XLOOKUP(G2291, item_category!C:C, item_category!B:B, "Not Found")</f>
      </c>
      <c r="F2291" s="1" t="s">
        <v>5632</v>
      </c>
      <c r="G2291" s="5">
        <f>XLOOKUP(I2291, drug!B:B, drug!A:A, "Not Found")</f>
      </c>
      <c r="H2291" s="1"/>
      <c r="I2291" s="7">
        <v>1</v>
      </c>
      <c r="J2291" s="5">
        <f>XLOOKUP(L2291, uom!C:C, uom!B:B, "Not Found")</f>
      </c>
      <c r="K2291" s="1" t="s">
        <v>5511</v>
      </c>
      <c r="L2291" s="5">
        <f>XLOOKUP(N2291, uom!C:C, uom!B:B, "Not Found")</f>
      </c>
      <c r="M2291" s="1" t="s">
        <v>5511</v>
      </c>
      <c r="N2291" s="8" t="s">
        <v>5512</v>
      </c>
      <c r="O2291" s="1" t="s">
        <v>5513</v>
      </c>
      <c r="P2291" s="5">
        <f>XLOOKUP(R2291, classification!C:C, classification!B:B, "Not Found")</f>
      </c>
      <c r="Q2291" s="1" t="s">
        <v>5514</v>
      </c>
      <c r="R2291" s="2"/>
      <c r="S2291" s="2"/>
      <c r="T2291" s="2"/>
      <c r="U2291" s="2"/>
    </row>
    <row x14ac:dyDescent="0.25" r="2292" customHeight="1" ht="17.25">
      <c r="A2292" s="7">
        <v>2291</v>
      </c>
      <c r="B2292" s="1" t="s">
        <v>7661</v>
      </c>
      <c r="C2292" s="5">
        <f>CONCATENATE("PD", TEXT(A2292, "1000000"))</f>
      </c>
      <c r="D2292" s="7">
        <v>76</v>
      </c>
      <c r="E2292" s="5">
        <f>XLOOKUP(G2292, item_category!C:C, item_category!B:B, "Not Found")</f>
      </c>
      <c r="F2292" s="1" t="s">
        <v>5632</v>
      </c>
      <c r="G2292" s="5">
        <f>XLOOKUP(I2292, drug!B:B, drug!A:A, "Not Found")</f>
      </c>
      <c r="H2292" s="1"/>
      <c r="I2292" s="7">
        <v>1</v>
      </c>
      <c r="J2292" s="5">
        <f>XLOOKUP(L2292, uom!C:C, uom!B:B, "Not Found")</f>
      </c>
      <c r="K2292" s="1" t="s">
        <v>5511</v>
      </c>
      <c r="L2292" s="5">
        <f>XLOOKUP(N2292, uom!C:C, uom!B:B, "Not Found")</f>
      </c>
      <c r="M2292" s="1" t="s">
        <v>5511</v>
      </c>
      <c r="N2292" s="8" t="s">
        <v>5512</v>
      </c>
      <c r="O2292" s="1" t="s">
        <v>5513</v>
      </c>
      <c r="P2292" s="5">
        <f>XLOOKUP(R2292, classification!C:C, classification!B:B, "Not Found")</f>
      </c>
      <c r="Q2292" s="1" t="s">
        <v>5514</v>
      </c>
      <c r="R2292" s="2"/>
      <c r="S2292" s="2"/>
      <c r="T2292" s="2"/>
      <c r="U2292" s="2"/>
    </row>
    <row x14ac:dyDescent="0.25" r="2293" customHeight="1" ht="17.25">
      <c r="A2293" s="7">
        <v>2292</v>
      </c>
      <c r="B2293" s="1" t="s">
        <v>7662</v>
      </c>
      <c r="C2293" s="5">
        <f>CONCATENATE("PD", TEXT(A2293, "1000000"))</f>
      </c>
      <c r="D2293" s="7">
        <v>76</v>
      </c>
      <c r="E2293" s="5">
        <f>XLOOKUP(G2293, item_category!C:C, item_category!B:B, "Not Found")</f>
      </c>
      <c r="F2293" s="1" t="s">
        <v>5632</v>
      </c>
      <c r="G2293" s="5">
        <f>XLOOKUP(I2293, drug!B:B, drug!A:A, "Not Found")</f>
      </c>
      <c r="H2293" s="1"/>
      <c r="I2293" s="7">
        <v>1</v>
      </c>
      <c r="J2293" s="5">
        <f>XLOOKUP(L2293, uom!C:C, uom!B:B, "Not Found")</f>
      </c>
      <c r="K2293" s="1" t="s">
        <v>5511</v>
      </c>
      <c r="L2293" s="5">
        <f>XLOOKUP(N2293, uom!C:C, uom!B:B, "Not Found")</f>
      </c>
      <c r="M2293" s="1" t="s">
        <v>5511</v>
      </c>
      <c r="N2293" s="8" t="s">
        <v>5512</v>
      </c>
      <c r="O2293" s="1" t="s">
        <v>5513</v>
      </c>
      <c r="P2293" s="5">
        <f>XLOOKUP(R2293, classification!C:C, classification!B:B, "Not Found")</f>
      </c>
      <c r="Q2293" s="1" t="s">
        <v>5514</v>
      </c>
      <c r="R2293" s="2"/>
      <c r="S2293" s="2"/>
      <c r="T2293" s="2"/>
      <c r="U2293" s="2"/>
    </row>
    <row x14ac:dyDescent="0.25" r="2294" customHeight="1" ht="17.25">
      <c r="A2294" s="7">
        <v>2293</v>
      </c>
      <c r="B2294" s="1" t="s">
        <v>7663</v>
      </c>
      <c r="C2294" s="5">
        <f>CONCATENATE("PD", TEXT(A2294, "1000000"))</f>
      </c>
      <c r="D2294" s="7">
        <v>76</v>
      </c>
      <c r="E2294" s="5">
        <f>XLOOKUP(G2294, item_category!C:C, item_category!B:B, "Not Found")</f>
      </c>
      <c r="F2294" s="1" t="s">
        <v>5632</v>
      </c>
      <c r="G2294" s="5">
        <f>XLOOKUP(I2294, drug!B:B, drug!A:A, "Not Found")</f>
      </c>
      <c r="H2294" s="1"/>
      <c r="I2294" s="7">
        <v>1</v>
      </c>
      <c r="J2294" s="5">
        <f>XLOOKUP(L2294, uom!C:C, uom!B:B, "Not Found")</f>
      </c>
      <c r="K2294" s="1" t="s">
        <v>5511</v>
      </c>
      <c r="L2294" s="5">
        <f>XLOOKUP(N2294, uom!C:C, uom!B:B, "Not Found")</f>
      </c>
      <c r="M2294" s="1" t="s">
        <v>5511</v>
      </c>
      <c r="N2294" s="8" t="s">
        <v>5512</v>
      </c>
      <c r="O2294" s="1" t="s">
        <v>5513</v>
      </c>
      <c r="P2294" s="5">
        <f>XLOOKUP(R2294, classification!C:C, classification!B:B, "Not Found")</f>
      </c>
      <c r="Q2294" s="1" t="s">
        <v>5514</v>
      </c>
      <c r="R2294" s="2"/>
      <c r="S2294" s="2"/>
      <c r="T2294" s="2"/>
      <c r="U2294" s="2"/>
    </row>
    <row x14ac:dyDescent="0.25" r="2295" customHeight="1" ht="17.25">
      <c r="A2295" s="7">
        <v>2294</v>
      </c>
      <c r="B2295" s="1" t="s">
        <v>7664</v>
      </c>
      <c r="C2295" s="5">
        <f>CONCATENATE("PD", TEXT(A2295, "1000000"))</f>
      </c>
      <c r="D2295" s="7">
        <v>76</v>
      </c>
      <c r="E2295" s="5">
        <f>XLOOKUP(G2295, item_category!C:C, item_category!B:B, "Not Found")</f>
      </c>
      <c r="F2295" s="1" t="s">
        <v>5632</v>
      </c>
      <c r="G2295" s="5">
        <f>XLOOKUP(I2295, drug!B:B, drug!A:A, "Not Found")</f>
      </c>
      <c r="H2295" s="1"/>
      <c r="I2295" s="7">
        <v>1</v>
      </c>
      <c r="J2295" s="5">
        <f>XLOOKUP(L2295, uom!C:C, uom!B:B, "Not Found")</f>
      </c>
      <c r="K2295" s="1" t="s">
        <v>5511</v>
      </c>
      <c r="L2295" s="5">
        <f>XLOOKUP(N2295, uom!C:C, uom!B:B, "Not Found")</f>
      </c>
      <c r="M2295" s="1" t="s">
        <v>5511</v>
      </c>
      <c r="N2295" s="8" t="s">
        <v>5512</v>
      </c>
      <c r="O2295" s="1" t="s">
        <v>5513</v>
      </c>
      <c r="P2295" s="5">
        <f>XLOOKUP(R2295, classification!C:C, classification!B:B, "Not Found")</f>
      </c>
      <c r="Q2295" s="1" t="s">
        <v>5514</v>
      </c>
      <c r="R2295" s="2"/>
      <c r="S2295" s="2"/>
      <c r="T2295" s="2"/>
      <c r="U2295" s="2"/>
    </row>
    <row x14ac:dyDescent="0.25" r="2296" customHeight="1" ht="17.25">
      <c r="A2296" s="7">
        <v>2295</v>
      </c>
      <c r="B2296" s="1" t="s">
        <v>7665</v>
      </c>
      <c r="C2296" s="5">
        <f>CONCATENATE("PD", TEXT(A2296, "1000000"))</f>
      </c>
      <c r="D2296" s="7">
        <v>76</v>
      </c>
      <c r="E2296" s="5">
        <f>XLOOKUP(G2296, item_category!C:C, item_category!B:B, "Not Found")</f>
      </c>
      <c r="F2296" s="1" t="s">
        <v>5632</v>
      </c>
      <c r="G2296" s="5">
        <f>XLOOKUP(I2296, drug!B:B, drug!A:A, "Not Found")</f>
      </c>
      <c r="H2296" s="1"/>
      <c r="I2296" s="7">
        <v>1</v>
      </c>
      <c r="J2296" s="5">
        <f>XLOOKUP(L2296, uom!C:C, uom!B:B, "Not Found")</f>
      </c>
      <c r="K2296" s="1" t="s">
        <v>5511</v>
      </c>
      <c r="L2296" s="5">
        <f>XLOOKUP(N2296, uom!C:C, uom!B:B, "Not Found")</f>
      </c>
      <c r="M2296" s="1" t="s">
        <v>5511</v>
      </c>
      <c r="N2296" s="8" t="s">
        <v>5512</v>
      </c>
      <c r="O2296" s="1" t="s">
        <v>5513</v>
      </c>
      <c r="P2296" s="5">
        <f>XLOOKUP(R2296, classification!C:C, classification!B:B, "Not Found")</f>
      </c>
      <c r="Q2296" s="1" t="s">
        <v>5514</v>
      </c>
      <c r="R2296" s="2"/>
      <c r="S2296" s="2"/>
      <c r="T2296" s="2"/>
      <c r="U2296" s="2"/>
    </row>
    <row x14ac:dyDescent="0.25" r="2297" customHeight="1" ht="17.25">
      <c r="A2297" s="7">
        <v>2296</v>
      </c>
      <c r="B2297" s="1" t="s">
        <v>7666</v>
      </c>
      <c r="C2297" s="5">
        <f>CONCATENATE("PD", TEXT(A2297, "1000000"))</f>
      </c>
      <c r="D2297" s="7">
        <v>76</v>
      </c>
      <c r="E2297" s="5">
        <f>XLOOKUP(G2297, item_category!C:C, item_category!B:B, "Not Found")</f>
      </c>
      <c r="F2297" s="1" t="s">
        <v>5632</v>
      </c>
      <c r="G2297" s="5">
        <f>XLOOKUP(I2297, drug!B:B, drug!A:A, "Not Found")</f>
      </c>
      <c r="H2297" s="1"/>
      <c r="I2297" s="7">
        <v>1</v>
      </c>
      <c r="J2297" s="5">
        <f>XLOOKUP(L2297, uom!C:C, uom!B:B, "Not Found")</f>
      </c>
      <c r="K2297" s="1" t="s">
        <v>5511</v>
      </c>
      <c r="L2297" s="5">
        <f>XLOOKUP(N2297, uom!C:C, uom!B:B, "Not Found")</f>
      </c>
      <c r="M2297" s="1" t="s">
        <v>5511</v>
      </c>
      <c r="N2297" s="8" t="s">
        <v>5512</v>
      </c>
      <c r="O2297" s="1" t="s">
        <v>5513</v>
      </c>
      <c r="P2297" s="5">
        <f>XLOOKUP(R2297, classification!C:C, classification!B:B, "Not Found")</f>
      </c>
      <c r="Q2297" s="1" t="s">
        <v>5514</v>
      </c>
      <c r="R2297" s="2"/>
      <c r="S2297" s="2"/>
      <c r="T2297" s="2"/>
      <c r="U2297" s="2"/>
    </row>
    <row x14ac:dyDescent="0.25" r="2298" customHeight="1" ht="17.25">
      <c r="A2298" s="7">
        <v>2297</v>
      </c>
      <c r="B2298" s="1" t="s">
        <v>7667</v>
      </c>
      <c r="C2298" s="5">
        <f>CONCATENATE("PD", TEXT(A2298, "1000000"))</f>
      </c>
      <c r="D2298" s="7">
        <v>76</v>
      </c>
      <c r="E2298" s="5">
        <f>XLOOKUP(G2298, item_category!C:C, item_category!B:B, "Not Found")</f>
      </c>
      <c r="F2298" s="1" t="s">
        <v>5632</v>
      </c>
      <c r="G2298" s="5">
        <f>XLOOKUP(I2298, drug!B:B, drug!A:A, "Not Found")</f>
      </c>
      <c r="H2298" s="1"/>
      <c r="I2298" s="7">
        <v>1</v>
      </c>
      <c r="J2298" s="5">
        <f>XLOOKUP(L2298, uom!C:C, uom!B:B, "Not Found")</f>
      </c>
      <c r="K2298" s="1" t="s">
        <v>5511</v>
      </c>
      <c r="L2298" s="5">
        <f>XLOOKUP(N2298, uom!C:C, uom!B:B, "Not Found")</f>
      </c>
      <c r="M2298" s="1" t="s">
        <v>5511</v>
      </c>
      <c r="N2298" s="8" t="s">
        <v>5512</v>
      </c>
      <c r="O2298" s="1" t="s">
        <v>5513</v>
      </c>
      <c r="P2298" s="5">
        <f>XLOOKUP(R2298, classification!C:C, classification!B:B, "Not Found")</f>
      </c>
      <c r="Q2298" s="1" t="s">
        <v>5514</v>
      </c>
      <c r="R2298" s="2"/>
      <c r="S2298" s="2"/>
      <c r="T2298" s="2"/>
      <c r="U2298" s="2"/>
    </row>
    <row x14ac:dyDescent="0.25" r="2299" customHeight="1" ht="17.25">
      <c r="A2299" s="7">
        <v>2298</v>
      </c>
      <c r="B2299" s="1" t="s">
        <v>7668</v>
      </c>
      <c r="C2299" s="5">
        <f>CONCATENATE("PD", TEXT(A2299, "1000000"))</f>
      </c>
      <c r="D2299" s="7">
        <v>76</v>
      </c>
      <c r="E2299" s="5">
        <f>XLOOKUP(G2299, item_category!C:C, item_category!B:B, "Not Found")</f>
      </c>
      <c r="F2299" s="1" t="s">
        <v>5632</v>
      </c>
      <c r="G2299" s="5">
        <f>XLOOKUP(I2299, drug!B:B, drug!A:A, "Not Found")</f>
      </c>
      <c r="H2299" s="1"/>
      <c r="I2299" s="7">
        <v>1</v>
      </c>
      <c r="J2299" s="5">
        <f>XLOOKUP(L2299, uom!C:C, uom!B:B, "Not Found")</f>
      </c>
      <c r="K2299" s="1" t="s">
        <v>5511</v>
      </c>
      <c r="L2299" s="5">
        <f>XLOOKUP(N2299, uom!C:C, uom!B:B, "Not Found")</f>
      </c>
      <c r="M2299" s="1" t="s">
        <v>5511</v>
      </c>
      <c r="N2299" s="8" t="s">
        <v>5512</v>
      </c>
      <c r="O2299" s="1" t="s">
        <v>5513</v>
      </c>
      <c r="P2299" s="5">
        <f>XLOOKUP(R2299, classification!C:C, classification!B:B, "Not Found")</f>
      </c>
      <c r="Q2299" s="1" t="s">
        <v>5514</v>
      </c>
      <c r="R2299" s="2"/>
      <c r="S2299" s="2"/>
      <c r="T2299" s="2"/>
      <c r="U2299" s="2"/>
    </row>
    <row x14ac:dyDescent="0.25" r="2300" customHeight="1" ht="17.25">
      <c r="A2300" s="7">
        <v>2299</v>
      </c>
      <c r="B2300" s="1" t="s">
        <v>7669</v>
      </c>
      <c r="C2300" s="5">
        <f>CONCATENATE("PD", TEXT(A2300, "1000000"))</f>
      </c>
      <c r="D2300" s="7">
        <v>76</v>
      </c>
      <c r="E2300" s="5">
        <f>XLOOKUP(G2300, item_category!C:C, item_category!B:B, "Not Found")</f>
      </c>
      <c r="F2300" s="1" t="s">
        <v>5632</v>
      </c>
      <c r="G2300" s="5">
        <f>XLOOKUP(I2300, drug!B:B, drug!A:A, "Not Found")</f>
      </c>
      <c r="H2300" s="1"/>
      <c r="I2300" s="7">
        <v>1</v>
      </c>
      <c r="J2300" s="5">
        <f>XLOOKUP(L2300, uom!C:C, uom!B:B, "Not Found")</f>
      </c>
      <c r="K2300" s="1" t="s">
        <v>5511</v>
      </c>
      <c r="L2300" s="5">
        <f>XLOOKUP(N2300, uom!C:C, uom!B:B, "Not Found")</f>
      </c>
      <c r="M2300" s="1" t="s">
        <v>5511</v>
      </c>
      <c r="N2300" s="8" t="s">
        <v>5512</v>
      </c>
      <c r="O2300" s="1" t="s">
        <v>5513</v>
      </c>
      <c r="P2300" s="5">
        <f>XLOOKUP(R2300, classification!C:C, classification!B:B, "Not Found")</f>
      </c>
      <c r="Q2300" s="1" t="s">
        <v>5514</v>
      </c>
      <c r="R2300" s="2"/>
      <c r="S2300" s="2"/>
      <c r="T2300" s="2"/>
      <c r="U2300" s="2"/>
    </row>
    <row x14ac:dyDescent="0.25" r="2301" customHeight="1" ht="17.25">
      <c r="A2301" s="7">
        <v>2300</v>
      </c>
      <c r="B2301" s="1" t="s">
        <v>7670</v>
      </c>
      <c r="C2301" s="5">
        <f>CONCATENATE("PD", TEXT(A2301, "1000000"))</f>
      </c>
      <c r="D2301" s="7">
        <v>76</v>
      </c>
      <c r="E2301" s="5">
        <f>XLOOKUP(G2301, item_category!C:C, item_category!B:B, "Not Found")</f>
      </c>
      <c r="F2301" s="1" t="s">
        <v>5632</v>
      </c>
      <c r="G2301" s="5">
        <f>XLOOKUP(I2301, drug!B:B, drug!A:A, "Not Found")</f>
      </c>
      <c r="H2301" s="1"/>
      <c r="I2301" s="7">
        <v>1</v>
      </c>
      <c r="J2301" s="5">
        <f>XLOOKUP(L2301, uom!C:C, uom!B:B, "Not Found")</f>
      </c>
      <c r="K2301" s="1" t="s">
        <v>5511</v>
      </c>
      <c r="L2301" s="5">
        <f>XLOOKUP(N2301, uom!C:C, uom!B:B, "Not Found")</f>
      </c>
      <c r="M2301" s="1" t="s">
        <v>5511</v>
      </c>
      <c r="N2301" s="8" t="s">
        <v>5512</v>
      </c>
      <c r="O2301" s="1" t="s">
        <v>5513</v>
      </c>
      <c r="P2301" s="5">
        <f>XLOOKUP(R2301, classification!C:C, classification!B:B, "Not Found")</f>
      </c>
      <c r="Q2301" s="1" t="s">
        <v>5514</v>
      </c>
      <c r="R2301" s="2"/>
      <c r="S2301" s="2"/>
      <c r="T2301" s="2"/>
      <c r="U2301" s="2"/>
    </row>
    <row x14ac:dyDescent="0.25" r="2302" customHeight="1" ht="17.25">
      <c r="A2302" s="7">
        <v>2301</v>
      </c>
      <c r="B2302" s="1" t="s">
        <v>7671</v>
      </c>
      <c r="C2302" s="5">
        <f>CONCATENATE("PD", TEXT(A2302, "1000000"))</f>
      </c>
      <c r="D2302" s="7">
        <v>76</v>
      </c>
      <c r="E2302" s="5">
        <f>XLOOKUP(G2302, item_category!C:C, item_category!B:B, "Not Found")</f>
      </c>
      <c r="F2302" s="1" t="s">
        <v>5632</v>
      </c>
      <c r="G2302" s="5">
        <f>XLOOKUP(I2302, drug!B:B, drug!A:A, "Not Found")</f>
      </c>
      <c r="H2302" s="1"/>
      <c r="I2302" s="7">
        <v>1</v>
      </c>
      <c r="J2302" s="5">
        <f>XLOOKUP(L2302, uom!C:C, uom!B:B, "Not Found")</f>
      </c>
      <c r="K2302" s="1" t="s">
        <v>5511</v>
      </c>
      <c r="L2302" s="5">
        <f>XLOOKUP(N2302, uom!C:C, uom!B:B, "Not Found")</f>
      </c>
      <c r="M2302" s="1" t="s">
        <v>5511</v>
      </c>
      <c r="N2302" s="8" t="s">
        <v>5512</v>
      </c>
      <c r="O2302" s="1" t="s">
        <v>5513</v>
      </c>
      <c r="P2302" s="5">
        <f>XLOOKUP(R2302, classification!C:C, classification!B:B, "Not Found")</f>
      </c>
      <c r="Q2302" s="1" t="s">
        <v>5514</v>
      </c>
      <c r="R2302" s="2"/>
      <c r="S2302" s="2"/>
      <c r="T2302" s="2"/>
      <c r="U2302" s="2"/>
    </row>
    <row x14ac:dyDescent="0.25" r="2303" customHeight="1" ht="17.25">
      <c r="A2303" s="7">
        <v>2302</v>
      </c>
      <c r="B2303" s="1" t="s">
        <v>7672</v>
      </c>
      <c r="C2303" s="5">
        <f>CONCATENATE("PD", TEXT(A2303, "1000000"))</f>
      </c>
      <c r="D2303" s="7">
        <v>76</v>
      </c>
      <c r="E2303" s="5">
        <f>XLOOKUP(G2303, item_category!C:C, item_category!B:B, "Not Found")</f>
      </c>
      <c r="F2303" s="1" t="s">
        <v>5632</v>
      </c>
      <c r="G2303" s="5">
        <f>XLOOKUP(I2303, drug!B:B, drug!A:A, "Not Found")</f>
      </c>
      <c r="H2303" s="1"/>
      <c r="I2303" s="7">
        <v>1</v>
      </c>
      <c r="J2303" s="5">
        <f>XLOOKUP(L2303, uom!C:C, uom!B:B, "Not Found")</f>
      </c>
      <c r="K2303" s="1" t="s">
        <v>5511</v>
      </c>
      <c r="L2303" s="5">
        <f>XLOOKUP(N2303, uom!C:C, uom!B:B, "Not Found")</f>
      </c>
      <c r="M2303" s="1" t="s">
        <v>5511</v>
      </c>
      <c r="N2303" s="8" t="s">
        <v>5512</v>
      </c>
      <c r="O2303" s="1" t="s">
        <v>5513</v>
      </c>
      <c r="P2303" s="5">
        <f>XLOOKUP(R2303, classification!C:C, classification!B:B, "Not Found")</f>
      </c>
      <c r="Q2303" s="1" t="s">
        <v>5514</v>
      </c>
      <c r="R2303" s="2"/>
      <c r="S2303" s="2"/>
      <c r="T2303" s="2"/>
      <c r="U2303" s="2"/>
    </row>
    <row x14ac:dyDescent="0.25" r="2304" customHeight="1" ht="17.25">
      <c r="A2304" s="7">
        <v>2303</v>
      </c>
      <c r="B2304" s="1" t="s">
        <v>7673</v>
      </c>
      <c r="C2304" s="5">
        <f>CONCATENATE("PD", TEXT(A2304, "1000000"))</f>
      </c>
      <c r="D2304" s="7">
        <v>76</v>
      </c>
      <c r="E2304" s="5">
        <f>XLOOKUP(G2304, item_category!C:C, item_category!B:B, "Not Found")</f>
      </c>
      <c r="F2304" s="1" t="s">
        <v>5632</v>
      </c>
      <c r="G2304" s="5">
        <f>XLOOKUP(I2304, drug!B:B, drug!A:A, "Not Found")</f>
      </c>
      <c r="H2304" s="1"/>
      <c r="I2304" s="7">
        <v>1</v>
      </c>
      <c r="J2304" s="5">
        <f>XLOOKUP(L2304, uom!C:C, uom!B:B, "Not Found")</f>
      </c>
      <c r="K2304" s="1" t="s">
        <v>5511</v>
      </c>
      <c r="L2304" s="5">
        <f>XLOOKUP(N2304, uom!C:C, uom!B:B, "Not Found")</f>
      </c>
      <c r="M2304" s="1" t="s">
        <v>5511</v>
      </c>
      <c r="N2304" s="8" t="s">
        <v>5512</v>
      </c>
      <c r="O2304" s="1" t="s">
        <v>5513</v>
      </c>
      <c r="P2304" s="5">
        <f>XLOOKUP(R2304, classification!C:C, classification!B:B, "Not Found")</f>
      </c>
      <c r="Q2304" s="1" t="s">
        <v>5514</v>
      </c>
      <c r="R2304" s="2"/>
      <c r="S2304" s="2"/>
      <c r="T2304" s="2"/>
      <c r="U2304" s="2"/>
    </row>
    <row x14ac:dyDescent="0.25" r="2305" customHeight="1" ht="17.25">
      <c r="A2305" s="7">
        <v>2304</v>
      </c>
      <c r="B2305" s="1" t="s">
        <v>7674</v>
      </c>
      <c r="C2305" s="5">
        <f>CONCATENATE("PD", TEXT(A2305, "1000000"))</f>
      </c>
      <c r="D2305" s="7">
        <v>76</v>
      </c>
      <c r="E2305" s="5">
        <f>XLOOKUP(G2305, item_category!C:C, item_category!B:B, "Not Found")</f>
      </c>
      <c r="F2305" s="1" t="s">
        <v>5632</v>
      </c>
      <c r="G2305" s="5">
        <f>XLOOKUP(I2305, drug!B:B, drug!A:A, "Not Found")</f>
      </c>
      <c r="H2305" s="1"/>
      <c r="I2305" s="7">
        <v>1</v>
      </c>
      <c r="J2305" s="5">
        <f>XLOOKUP(L2305, uom!C:C, uom!B:B, "Not Found")</f>
      </c>
      <c r="K2305" s="1" t="s">
        <v>5511</v>
      </c>
      <c r="L2305" s="5">
        <f>XLOOKUP(N2305, uom!C:C, uom!B:B, "Not Found")</f>
      </c>
      <c r="M2305" s="1" t="s">
        <v>5511</v>
      </c>
      <c r="N2305" s="8" t="s">
        <v>5512</v>
      </c>
      <c r="O2305" s="1" t="s">
        <v>5513</v>
      </c>
      <c r="P2305" s="5">
        <f>XLOOKUP(R2305, classification!C:C, classification!B:B, "Not Found")</f>
      </c>
      <c r="Q2305" s="1" t="s">
        <v>5514</v>
      </c>
      <c r="R2305" s="2"/>
      <c r="S2305" s="2"/>
      <c r="T2305" s="2"/>
      <c r="U2305" s="2"/>
    </row>
    <row x14ac:dyDescent="0.25" r="2306" customHeight="1" ht="17.25">
      <c r="A2306" s="7">
        <v>2305</v>
      </c>
      <c r="B2306" s="1" t="s">
        <v>7675</v>
      </c>
      <c r="C2306" s="5">
        <f>CONCATENATE("PD", TEXT(A2306, "1000000"))</f>
      </c>
      <c r="D2306" s="7">
        <v>76</v>
      </c>
      <c r="E2306" s="5">
        <f>XLOOKUP(G2306, item_category!C:C, item_category!B:B, "Not Found")</f>
      </c>
      <c r="F2306" s="1" t="s">
        <v>5632</v>
      </c>
      <c r="G2306" s="5">
        <f>XLOOKUP(I2306, drug!B:B, drug!A:A, "Not Found")</f>
      </c>
      <c r="H2306" s="1"/>
      <c r="I2306" s="7">
        <v>1</v>
      </c>
      <c r="J2306" s="5">
        <f>XLOOKUP(L2306, uom!C:C, uom!B:B, "Not Found")</f>
      </c>
      <c r="K2306" s="1" t="s">
        <v>5511</v>
      </c>
      <c r="L2306" s="5">
        <f>XLOOKUP(N2306, uom!C:C, uom!B:B, "Not Found")</f>
      </c>
      <c r="M2306" s="1" t="s">
        <v>5511</v>
      </c>
      <c r="N2306" s="8" t="s">
        <v>5512</v>
      </c>
      <c r="O2306" s="1" t="s">
        <v>5513</v>
      </c>
      <c r="P2306" s="5">
        <f>XLOOKUP(R2306, classification!C:C, classification!B:B, "Not Found")</f>
      </c>
      <c r="Q2306" s="1" t="s">
        <v>5514</v>
      </c>
      <c r="R2306" s="2"/>
      <c r="S2306" s="2"/>
      <c r="T2306" s="2"/>
      <c r="U2306" s="2"/>
    </row>
    <row x14ac:dyDescent="0.25" r="2307" customHeight="1" ht="17.25">
      <c r="A2307" s="7">
        <v>2306</v>
      </c>
      <c r="B2307" s="1" t="s">
        <v>7676</v>
      </c>
      <c r="C2307" s="5">
        <f>CONCATENATE("PD", TEXT(A2307, "1000000"))</f>
      </c>
      <c r="D2307" s="7">
        <v>76</v>
      </c>
      <c r="E2307" s="5">
        <f>XLOOKUP(G2307, item_category!C:C, item_category!B:B, "Not Found")</f>
      </c>
      <c r="F2307" s="1" t="s">
        <v>5632</v>
      </c>
      <c r="G2307" s="5">
        <f>XLOOKUP(I2307, drug!B:B, drug!A:A, "Not Found")</f>
      </c>
      <c r="H2307" s="1"/>
      <c r="I2307" s="7">
        <v>1</v>
      </c>
      <c r="J2307" s="5">
        <f>XLOOKUP(L2307, uom!C:C, uom!B:B, "Not Found")</f>
      </c>
      <c r="K2307" s="1" t="s">
        <v>5511</v>
      </c>
      <c r="L2307" s="5">
        <f>XLOOKUP(N2307, uom!C:C, uom!B:B, "Not Found")</f>
      </c>
      <c r="M2307" s="1" t="s">
        <v>5511</v>
      </c>
      <c r="N2307" s="8" t="s">
        <v>5512</v>
      </c>
      <c r="O2307" s="1" t="s">
        <v>5513</v>
      </c>
      <c r="P2307" s="5">
        <f>XLOOKUP(R2307, classification!C:C, classification!B:B, "Not Found")</f>
      </c>
      <c r="Q2307" s="1" t="s">
        <v>5514</v>
      </c>
      <c r="R2307" s="2"/>
      <c r="S2307" s="2"/>
      <c r="T2307" s="2"/>
      <c r="U2307" s="2"/>
    </row>
    <row x14ac:dyDescent="0.25" r="2308" customHeight="1" ht="17.25">
      <c r="A2308" s="7">
        <v>2307</v>
      </c>
      <c r="B2308" s="1" t="s">
        <v>7677</v>
      </c>
      <c r="C2308" s="5">
        <f>CONCATENATE("PD", TEXT(A2308, "1000000"))</f>
      </c>
      <c r="D2308" s="7">
        <v>76</v>
      </c>
      <c r="E2308" s="5">
        <f>XLOOKUP(G2308, item_category!C:C, item_category!B:B, "Not Found")</f>
      </c>
      <c r="F2308" s="1" t="s">
        <v>5632</v>
      </c>
      <c r="G2308" s="5">
        <f>XLOOKUP(I2308, drug!B:B, drug!A:A, "Not Found")</f>
      </c>
      <c r="H2308" s="1"/>
      <c r="I2308" s="7">
        <v>1</v>
      </c>
      <c r="J2308" s="5">
        <f>XLOOKUP(L2308, uom!C:C, uom!B:B, "Not Found")</f>
      </c>
      <c r="K2308" s="1" t="s">
        <v>5511</v>
      </c>
      <c r="L2308" s="5">
        <f>XLOOKUP(N2308, uom!C:C, uom!B:B, "Not Found")</f>
      </c>
      <c r="M2308" s="1" t="s">
        <v>5511</v>
      </c>
      <c r="N2308" s="8" t="s">
        <v>5512</v>
      </c>
      <c r="O2308" s="1" t="s">
        <v>5513</v>
      </c>
      <c r="P2308" s="5">
        <f>XLOOKUP(R2308, classification!C:C, classification!B:B, "Not Found")</f>
      </c>
      <c r="Q2308" s="1" t="s">
        <v>5514</v>
      </c>
      <c r="R2308" s="2"/>
      <c r="S2308" s="2"/>
      <c r="T2308" s="2"/>
      <c r="U2308" s="2"/>
    </row>
    <row x14ac:dyDescent="0.25" r="2309" customHeight="1" ht="17.25">
      <c r="A2309" s="7">
        <v>2308</v>
      </c>
      <c r="B2309" s="1" t="s">
        <v>7678</v>
      </c>
      <c r="C2309" s="5">
        <f>CONCATENATE("PD", TEXT(A2309, "1000000"))</f>
      </c>
      <c r="D2309" s="7">
        <v>76</v>
      </c>
      <c r="E2309" s="5">
        <f>XLOOKUP(G2309, item_category!C:C, item_category!B:B, "Not Found")</f>
      </c>
      <c r="F2309" s="1" t="s">
        <v>5632</v>
      </c>
      <c r="G2309" s="5">
        <f>XLOOKUP(I2309, drug!B:B, drug!A:A, "Not Found")</f>
      </c>
      <c r="H2309" s="1"/>
      <c r="I2309" s="7">
        <v>1</v>
      </c>
      <c r="J2309" s="5">
        <f>XLOOKUP(L2309, uom!C:C, uom!B:B, "Not Found")</f>
      </c>
      <c r="K2309" s="1" t="s">
        <v>5511</v>
      </c>
      <c r="L2309" s="5">
        <f>XLOOKUP(N2309, uom!C:C, uom!B:B, "Not Found")</f>
      </c>
      <c r="M2309" s="1" t="s">
        <v>5511</v>
      </c>
      <c r="N2309" s="8" t="s">
        <v>5512</v>
      </c>
      <c r="O2309" s="1" t="s">
        <v>5513</v>
      </c>
      <c r="P2309" s="5">
        <f>XLOOKUP(R2309, classification!C:C, classification!B:B, "Not Found")</f>
      </c>
      <c r="Q2309" s="1" t="s">
        <v>5514</v>
      </c>
      <c r="R2309" s="2"/>
      <c r="S2309" s="2"/>
      <c r="T2309" s="2"/>
      <c r="U2309" s="2"/>
    </row>
    <row x14ac:dyDescent="0.25" r="2310" customHeight="1" ht="17.25">
      <c r="A2310" s="7">
        <v>2309</v>
      </c>
      <c r="B2310" s="1" t="s">
        <v>7679</v>
      </c>
      <c r="C2310" s="5">
        <f>CONCATENATE("PD", TEXT(A2310, "1000000"))</f>
      </c>
      <c r="D2310" s="7">
        <v>76</v>
      </c>
      <c r="E2310" s="5">
        <f>XLOOKUP(G2310, item_category!C:C, item_category!B:B, "Not Found")</f>
      </c>
      <c r="F2310" s="1" t="s">
        <v>5632</v>
      </c>
      <c r="G2310" s="5">
        <f>XLOOKUP(I2310, drug!B:B, drug!A:A, "Not Found")</f>
      </c>
      <c r="H2310" s="1"/>
      <c r="I2310" s="7">
        <v>1</v>
      </c>
      <c r="J2310" s="5">
        <f>XLOOKUP(L2310, uom!C:C, uom!B:B, "Not Found")</f>
      </c>
      <c r="K2310" s="1" t="s">
        <v>5511</v>
      </c>
      <c r="L2310" s="5">
        <f>XLOOKUP(N2310, uom!C:C, uom!B:B, "Not Found")</f>
      </c>
      <c r="M2310" s="1" t="s">
        <v>5511</v>
      </c>
      <c r="N2310" s="8" t="s">
        <v>5512</v>
      </c>
      <c r="O2310" s="1" t="s">
        <v>5513</v>
      </c>
      <c r="P2310" s="5">
        <f>XLOOKUP(R2310, classification!C:C, classification!B:B, "Not Found")</f>
      </c>
      <c r="Q2310" s="1" t="s">
        <v>5514</v>
      </c>
      <c r="R2310" s="2"/>
      <c r="S2310" s="2"/>
      <c r="T2310" s="2"/>
      <c r="U2310" s="2"/>
    </row>
    <row x14ac:dyDescent="0.25" r="2311" customHeight="1" ht="17.25">
      <c r="A2311" s="7">
        <v>2310</v>
      </c>
      <c r="B2311" s="1" t="s">
        <v>7680</v>
      </c>
      <c r="C2311" s="5">
        <f>CONCATENATE("PD", TEXT(A2311, "1000000"))</f>
      </c>
      <c r="D2311" s="7">
        <v>76</v>
      </c>
      <c r="E2311" s="5">
        <f>XLOOKUP(G2311, item_category!C:C, item_category!B:B, "Not Found")</f>
      </c>
      <c r="F2311" s="1" t="s">
        <v>5632</v>
      </c>
      <c r="G2311" s="5">
        <f>XLOOKUP(I2311, drug!B:B, drug!A:A, "Not Found")</f>
      </c>
      <c r="H2311" s="1"/>
      <c r="I2311" s="7">
        <v>1</v>
      </c>
      <c r="J2311" s="5">
        <f>XLOOKUP(L2311, uom!C:C, uom!B:B, "Not Found")</f>
      </c>
      <c r="K2311" s="1" t="s">
        <v>5511</v>
      </c>
      <c r="L2311" s="5">
        <f>XLOOKUP(N2311, uom!C:C, uom!B:B, "Not Found")</f>
      </c>
      <c r="M2311" s="1" t="s">
        <v>5511</v>
      </c>
      <c r="N2311" s="8" t="s">
        <v>5512</v>
      </c>
      <c r="O2311" s="1" t="s">
        <v>5513</v>
      </c>
      <c r="P2311" s="5">
        <f>XLOOKUP(R2311, classification!C:C, classification!B:B, "Not Found")</f>
      </c>
      <c r="Q2311" s="1" t="s">
        <v>5514</v>
      </c>
      <c r="R2311" s="2"/>
      <c r="S2311" s="2"/>
      <c r="T2311" s="2"/>
      <c r="U2311" s="2"/>
    </row>
    <row x14ac:dyDescent="0.25" r="2312" customHeight="1" ht="17.25">
      <c r="A2312" s="7">
        <v>2311</v>
      </c>
      <c r="B2312" s="1" t="s">
        <v>7681</v>
      </c>
      <c r="C2312" s="5">
        <f>CONCATENATE("PD", TEXT(A2312, "1000000"))</f>
      </c>
      <c r="D2312" s="7">
        <v>76</v>
      </c>
      <c r="E2312" s="5">
        <f>XLOOKUP(G2312, item_category!C:C, item_category!B:B, "Not Found")</f>
      </c>
      <c r="F2312" s="1" t="s">
        <v>5632</v>
      </c>
      <c r="G2312" s="5">
        <f>XLOOKUP(I2312, drug!B:B, drug!A:A, "Not Found")</f>
      </c>
      <c r="H2312" s="1"/>
      <c r="I2312" s="7">
        <v>1</v>
      </c>
      <c r="J2312" s="5">
        <f>XLOOKUP(L2312, uom!C:C, uom!B:B, "Not Found")</f>
      </c>
      <c r="K2312" s="1" t="s">
        <v>5511</v>
      </c>
      <c r="L2312" s="5">
        <f>XLOOKUP(N2312, uom!C:C, uom!B:B, "Not Found")</f>
      </c>
      <c r="M2312" s="1" t="s">
        <v>5511</v>
      </c>
      <c r="N2312" s="8" t="s">
        <v>5512</v>
      </c>
      <c r="O2312" s="1" t="s">
        <v>5513</v>
      </c>
      <c r="P2312" s="5">
        <f>XLOOKUP(R2312, classification!C:C, classification!B:B, "Not Found")</f>
      </c>
      <c r="Q2312" s="1" t="s">
        <v>5514</v>
      </c>
      <c r="R2312" s="2"/>
      <c r="S2312" s="2"/>
      <c r="T2312" s="2"/>
      <c r="U2312" s="2"/>
    </row>
    <row x14ac:dyDescent="0.25" r="2313" customHeight="1" ht="17.25">
      <c r="A2313" s="7">
        <v>2312</v>
      </c>
      <c r="B2313" s="1" t="s">
        <v>7682</v>
      </c>
      <c r="C2313" s="5">
        <f>CONCATENATE("PD", TEXT(A2313, "1000000"))</f>
      </c>
      <c r="D2313" s="7">
        <v>76</v>
      </c>
      <c r="E2313" s="5">
        <f>XLOOKUP(G2313, item_category!C:C, item_category!B:B, "Not Found")</f>
      </c>
      <c r="F2313" s="1" t="s">
        <v>5632</v>
      </c>
      <c r="G2313" s="5">
        <f>XLOOKUP(I2313, drug!B:B, drug!A:A, "Not Found")</f>
      </c>
      <c r="H2313" s="1"/>
      <c r="I2313" s="7">
        <v>1</v>
      </c>
      <c r="J2313" s="5">
        <f>XLOOKUP(L2313, uom!C:C, uom!B:B, "Not Found")</f>
      </c>
      <c r="K2313" s="1" t="s">
        <v>5511</v>
      </c>
      <c r="L2313" s="5">
        <f>XLOOKUP(N2313, uom!C:C, uom!B:B, "Not Found")</f>
      </c>
      <c r="M2313" s="1" t="s">
        <v>5511</v>
      </c>
      <c r="N2313" s="8" t="s">
        <v>5512</v>
      </c>
      <c r="O2313" s="1" t="s">
        <v>5513</v>
      </c>
      <c r="P2313" s="5">
        <f>XLOOKUP(R2313, classification!C:C, classification!B:B, "Not Found")</f>
      </c>
      <c r="Q2313" s="1" t="s">
        <v>5514</v>
      </c>
      <c r="R2313" s="2"/>
      <c r="S2313" s="2"/>
      <c r="T2313" s="2"/>
      <c r="U2313" s="2"/>
    </row>
    <row x14ac:dyDescent="0.25" r="2314" customHeight="1" ht="17.25">
      <c r="A2314" s="7">
        <v>2313</v>
      </c>
      <c r="B2314" s="1" t="s">
        <v>7683</v>
      </c>
      <c r="C2314" s="5">
        <f>CONCATENATE("PD", TEXT(A2314, "1000000"))</f>
      </c>
      <c r="D2314" s="7">
        <v>76</v>
      </c>
      <c r="E2314" s="5">
        <f>XLOOKUP(G2314, item_category!C:C, item_category!B:B, "Not Found")</f>
      </c>
      <c r="F2314" s="1" t="s">
        <v>5632</v>
      </c>
      <c r="G2314" s="5">
        <f>XLOOKUP(I2314, drug!B:B, drug!A:A, "Not Found")</f>
      </c>
      <c r="H2314" s="1"/>
      <c r="I2314" s="7">
        <v>1</v>
      </c>
      <c r="J2314" s="5">
        <f>XLOOKUP(L2314, uom!C:C, uom!B:B, "Not Found")</f>
      </c>
      <c r="K2314" s="1" t="s">
        <v>5511</v>
      </c>
      <c r="L2314" s="5">
        <f>XLOOKUP(N2314, uom!C:C, uom!B:B, "Not Found")</f>
      </c>
      <c r="M2314" s="1" t="s">
        <v>5511</v>
      </c>
      <c r="N2314" s="8" t="s">
        <v>5512</v>
      </c>
      <c r="O2314" s="1" t="s">
        <v>5513</v>
      </c>
      <c r="P2314" s="5">
        <f>XLOOKUP(R2314, classification!C:C, classification!B:B, "Not Found")</f>
      </c>
      <c r="Q2314" s="1" t="s">
        <v>5514</v>
      </c>
      <c r="R2314" s="2"/>
      <c r="S2314" s="2"/>
      <c r="T2314" s="2"/>
      <c r="U2314" s="2"/>
    </row>
    <row x14ac:dyDescent="0.25" r="2315" customHeight="1" ht="17.25">
      <c r="A2315" s="7">
        <v>2314</v>
      </c>
      <c r="B2315" s="1" t="s">
        <v>7684</v>
      </c>
      <c r="C2315" s="5">
        <f>CONCATENATE("PD", TEXT(A2315, "1000000"))</f>
      </c>
      <c r="D2315" s="7">
        <v>76</v>
      </c>
      <c r="E2315" s="5">
        <f>XLOOKUP(G2315, item_category!C:C, item_category!B:B, "Not Found")</f>
      </c>
      <c r="F2315" s="1" t="s">
        <v>5632</v>
      </c>
      <c r="G2315" s="5">
        <f>XLOOKUP(I2315, drug!B:B, drug!A:A, "Not Found")</f>
      </c>
      <c r="H2315" s="1"/>
      <c r="I2315" s="7">
        <v>1</v>
      </c>
      <c r="J2315" s="5">
        <f>XLOOKUP(L2315, uom!C:C, uom!B:B, "Not Found")</f>
      </c>
      <c r="K2315" s="1" t="s">
        <v>5511</v>
      </c>
      <c r="L2315" s="5">
        <f>XLOOKUP(N2315, uom!C:C, uom!B:B, "Not Found")</f>
      </c>
      <c r="M2315" s="1" t="s">
        <v>5511</v>
      </c>
      <c r="N2315" s="8" t="s">
        <v>5512</v>
      </c>
      <c r="O2315" s="1" t="s">
        <v>5513</v>
      </c>
      <c r="P2315" s="5">
        <f>XLOOKUP(R2315, classification!C:C, classification!B:B, "Not Found")</f>
      </c>
      <c r="Q2315" s="1" t="s">
        <v>5514</v>
      </c>
      <c r="R2315" s="2"/>
      <c r="S2315" s="2"/>
      <c r="T2315" s="2"/>
      <c r="U2315" s="2"/>
    </row>
    <row x14ac:dyDescent="0.25" r="2316" customHeight="1" ht="17.25">
      <c r="A2316" s="7">
        <v>2315</v>
      </c>
      <c r="B2316" s="1" t="s">
        <v>7685</v>
      </c>
      <c r="C2316" s="5">
        <f>CONCATENATE("PD", TEXT(A2316, "1000000"))</f>
      </c>
      <c r="D2316" s="7">
        <v>76</v>
      </c>
      <c r="E2316" s="5">
        <f>XLOOKUP(G2316, item_category!C:C, item_category!B:B, "Not Found")</f>
      </c>
      <c r="F2316" s="1" t="s">
        <v>5632</v>
      </c>
      <c r="G2316" s="5">
        <f>XLOOKUP(I2316, drug!B:B, drug!A:A, "Not Found")</f>
      </c>
      <c r="H2316" s="1"/>
      <c r="I2316" s="7">
        <v>1</v>
      </c>
      <c r="J2316" s="5">
        <f>XLOOKUP(L2316, uom!C:C, uom!B:B, "Not Found")</f>
      </c>
      <c r="K2316" s="1" t="s">
        <v>5511</v>
      </c>
      <c r="L2316" s="5">
        <f>XLOOKUP(N2316, uom!C:C, uom!B:B, "Not Found")</f>
      </c>
      <c r="M2316" s="1" t="s">
        <v>5511</v>
      </c>
      <c r="N2316" s="8" t="s">
        <v>5512</v>
      </c>
      <c r="O2316" s="1" t="s">
        <v>5513</v>
      </c>
      <c r="P2316" s="5">
        <f>XLOOKUP(R2316, classification!C:C, classification!B:B, "Not Found")</f>
      </c>
      <c r="Q2316" s="1" t="s">
        <v>5514</v>
      </c>
      <c r="R2316" s="2"/>
      <c r="S2316" s="2"/>
      <c r="T2316" s="2"/>
      <c r="U2316" s="2"/>
    </row>
    <row x14ac:dyDescent="0.25" r="2317" customHeight="1" ht="17.25">
      <c r="A2317" s="7">
        <v>2316</v>
      </c>
      <c r="B2317" s="1" t="s">
        <v>7686</v>
      </c>
      <c r="C2317" s="5">
        <f>CONCATENATE("PD", TEXT(A2317, "1000000"))</f>
      </c>
      <c r="D2317" s="7">
        <v>76</v>
      </c>
      <c r="E2317" s="5">
        <f>XLOOKUP(G2317, item_category!C:C, item_category!B:B, "Not Found")</f>
      </c>
      <c r="F2317" s="1" t="s">
        <v>5632</v>
      </c>
      <c r="G2317" s="5">
        <f>XLOOKUP(I2317, drug!B:B, drug!A:A, "Not Found")</f>
      </c>
      <c r="H2317" s="1"/>
      <c r="I2317" s="7">
        <v>1</v>
      </c>
      <c r="J2317" s="5">
        <f>XLOOKUP(L2317, uom!C:C, uom!B:B, "Not Found")</f>
      </c>
      <c r="K2317" s="1" t="s">
        <v>5511</v>
      </c>
      <c r="L2317" s="5">
        <f>XLOOKUP(N2317, uom!C:C, uom!B:B, "Not Found")</f>
      </c>
      <c r="M2317" s="1" t="s">
        <v>5511</v>
      </c>
      <c r="N2317" s="8" t="s">
        <v>5512</v>
      </c>
      <c r="O2317" s="1" t="s">
        <v>5513</v>
      </c>
      <c r="P2317" s="5">
        <f>XLOOKUP(R2317, classification!C:C, classification!B:B, "Not Found")</f>
      </c>
      <c r="Q2317" s="1" t="s">
        <v>5514</v>
      </c>
      <c r="R2317" s="2"/>
      <c r="S2317" s="2"/>
      <c r="T2317" s="2"/>
      <c r="U2317" s="2"/>
    </row>
    <row x14ac:dyDescent="0.25" r="2318" customHeight="1" ht="17.25">
      <c r="A2318" s="7">
        <v>2317</v>
      </c>
      <c r="B2318" s="1" t="s">
        <v>7687</v>
      </c>
      <c r="C2318" s="5">
        <f>CONCATENATE("PD", TEXT(A2318, "1000000"))</f>
      </c>
      <c r="D2318" s="7">
        <v>76</v>
      </c>
      <c r="E2318" s="5">
        <f>XLOOKUP(G2318, item_category!C:C, item_category!B:B, "Not Found")</f>
      </c>
      <c r="F2318" s="1" t="s">
        <v>5632</v>
      </c>
      <c r="G2318" s="5">
        <f>XLOOKUP(I2318, drug!B:B, drug!A:A, "Not Found")</f>
      </c>
      <c r="H2318" s="1"/>
      <c r="I2318" s="7">
        <v>1</v>
      </c>
      <c r="J2318" s="5">
        <f>XLOOKUP(L2318, uom!C:C, uom!B:B, "Not Found")</f>
      </c>
      <c r="K2318" s="1" t="s">
        <v>5511</v>
      </c>
      <c r="L2318" s="5">
        <f>XLOOKUP(N2318, uom!C:C, uom!B:B, "Not Found")</f>
      </c>
      <c r="M2318" s="1" t="s">
        <v>5511</v>
      </c>
      <c r="N2318" s="8" t="s">
        <v>5512</v>
      </c>
      <c r="O2318" s="1" t="s">
        <v>5513</v>
      </c>
      <c r="P2318" s="5">
        <f>XLOOKUP(R2318, classification!C:C, classification!B:B, "Not Found")</f>
      </c>
      <c r="Q2318" s="1" t="s">
        <v>5514</v>
      </c>
      <c r="R2318" s="2"/>
      <c r="S2318" s="2"/>
      <c r="T2318" s="2"/>
      <c r="U2318" s="2"/>
    </row>
    <row x14ac:dyDescent="0.25" r="2319" customHeight="1" ht="17.25">
      <c r="A2319" s="7">
        <v>2318</v>
      </c>
      <c r="B2319" s="1" t="s">
        <v>3190</v>
      </c>
      <c r="C2319" s="5">
        <f>CONCATENATE("PD", TEXT(A2319, "1000000"))</f>
      </c>
      <c r="D2319" s="7">
        <v>76</v>
      </c>
      <c r="E2319" s="5">
        <f>XLOOKUP(G2319, item_category!C:C, item_category!B:B, "Not Found")</f>
      </c>
      <c r="F2319" s="1" t="s">
        <v>5632</v>
      </c>
      <c r="G2319" s="5">
        <f>XLOOKUP(I2319, drug!B:B, drug!A:A, "Not Found")</f>
      </c>
      <c r="H2319" s="1"/>
      <c r="I2319" s="7">
        <v>1</v>
      </c>
      <c r="J2319" s="5">
        <f>XLOOKUP(L2319, uom!C:C, uom!B:B, "Not Found")</f>
      </c>
      <c r="K2319" s="1" t="s">
        <v>5511</v>
      </c>
      <c r="L2319" s="5">
        <f>XLOOKUP(N2319, uom!C:C, uom!B:B, "Not Found")</f>
      </c>
      <c r="M2319" s="1" t="s">
        <v>5511</v>
      </c>
      <c r="N2319" s="8" t="s">
        <v>5512</v>
      </c>
      <c r="O2319" s="1" t="s">
        <v>5513</v>
      </c>
      <c r="P2319" s="5">
        <f>XLOOKUP(R2319, classification!C:C, classification!B:B, "Not Found")</f>
      </c>
      <c r="Q2319" s="1" t="s">
        <v>5514</v>
      </c>
      <c r="R2319" s="2"/>
      <c r="S2319" s="2"/>
      <c r="T2319" s="2"/>
      <c r="U2319" s="2"/>
    </row>
    <row x14ac:dyDescent="0.25" r="2320" customHeight="1" ht="17.25">
      <c r="A2320" s="7">
        <v>2319</v>
      </c>
      <c r="B2320" s="1" t="s">
        <v>3192</v>
      </c>
      <c r="C2320" s="5">
        <f>CONCATENATE("PD", TEXT(A2320, "1000000"))</f>
      </c>
      <c r="D2320" s="7">
        <v>76</v>
      </c>
      <c r="E2320" s="5">
        <f>XLOOKUP(G2320, item_category!C:C, item_category!B:B, "Not Found")</f>
      </c>
      <c r="F2320" s="1" t="s">
        <v>5632</v>
      </c>
      <c r="G2320" s="5">
        <f>XLOOKUP(I2320, drug!B:B, drug!A:A, "Not Found")</f>
      </c>
      <c r="H2320" s="1"/>
      <c r="I2320" s="7">
        <v>1</v>
      </c>
      <c r="J2320" s="5">
        <f>XLOOKUP(L2320, uom!C:C, uom!B:B, "Not Found")</f>
      </c>
      <c r="K2320" s="1" t="s">
        <v>5511</v>
      </c>
      <c r="L2320" s="5">
        <f>XLOOKUP(N2320, uom!C:C, uom!B:B, "Not Found")</f>
      </c>
      <c r="M2320" s="1" t="s">
        <v>5511</v>
      </c>
      <c r="N2320" s="8" t="s">
        <v>5512</v>
      </c>
      <c r="O2320" s="1" t="s">
        <v>5513</v>
      </c>
      <c r="P2320" s="5">
        <f>XLOOKUP(R2320, classification!C:C, classification!B:B, "Not Found")</f>
      </c>
      <c r="Q2320" s="1" t="s">
        <v>5514</v>
      </c>
      <c r="R2320" s="2"/>
      <c r="S2320" s="2"/>
      <c r="T2320" s="2"/>
      <c r="U2320" s="2"/>
    </row>
    <row x14ac:dyDescent="0.25" r="2321" customHeight="1" ht="17.25">
      <c r="A2321" s="7">
        <v>2320</v>
      </c>
      <c r="B2321" s="1" t="s">
        <v>7688</v>
      </c>
      <c r="C2321" s="5">
        <f>CONCATENATE("PD", TEXT(A2321, "1000000"))</f>
      </c>
      <c r="D2321" s="7">
        <v>76</v>
      </c>
      <c r="E2321" s="5">
        <f>XLOOKUP(G2321, item_category!C:C, item_category!B:B, "Not Found")</f>
      </c>
      <c r="F2321" s="1" t="s">
        <v>5632</v>
      </c>
      <c r="G2321" s="5">
        <f>XLOOKUP(I2321, drug!B:B, drug!A:A, "Not Found")</f>
      </c>
      <c r="H2321" s="1" t="s">
        <v>725</v>
      </c>
      <c r="I2321" s="7">
        <v>1</v>
      </c>
      <c r="J2321" s="5">
        <f>XLOOKUP(L2321, uom!C:C, uom!B:B, "Not Found")</f>
      </c>
      <c r="K2321" s="1" t="s">
        <v>5511</v>
      </c>
      <c r="L2321" s="5">
        <f>XLOOKUP(N2321, uom!C:C, uom!B:B, "Not Found")</f>
      </c>
      <c r="M2321" s="1" t="s">
        <v>5511</v>
      </c>
      <c r="N2321" s="8" t="s">
        <v>5512</v>
      </c>
      <c r="O2321" s="1" t="s">
        <v>5513</v>
      </c>
      <c r="P2321" s="5">
        <f>XLOOKUP(R2321, classification!C:C, classification!B:B, "Not Found")</f>
      </c>
      <c r="Q2321" s="1" t="s">
        <v>5514</v>
      </c>
      <c r="R2321" s="2"/>
      <c r="S2321" s="2"/>
      <c r="T2321" s="2"/>
      <c r="U2321" s="2"/>
    </row>
    <row x14ac:dyDescent="0.25" r="2322" customHeight="1" ht="17.25">
      <c r="A2322" s="7">
        <v>2321</v>
      </c>
      <c r="B2322" s="1" t="s">
        <v>7689</v>
      </c>
      <c r="C2322" s="5">
        <f>CONCATENATE("PD", TEXT(A2322, "1000000"))</f>
      </c>
      <c r="D2322" s="7">
        <v>76</v>
      </c>
      <c r="E2322" s="5">
        <f>XLOOKUP(G2322, item_category!C:C, item_category!B:B, "Not Found")</f>
      </c>
      <c r="F2322" s="1" t="s">
        <v>5632</v>
      </c>
      <c r="G2322" s="5">
        <f>XLOOKUP(I2322, drug!B:B, drug!A:A, "Not Found")</f>
      </c>
      <c r="H2322" s="1" t="s">
        <v>725</v>
      </c>
      <c r="I2322" s="7">
        <v>1</v>
      </c>
      <c r="J2322" s="5">
        <f>XLOOKUP(L2322, uom!C:C, uom!B:B, "Not Found")</f>
      </c>
      <c r="K2322" s="1" t="s">
        <v>5511</v>
      </c>
      <c r="L2322" s="5">
        <f>XLOOKUP(N2322, uom!C:C, uom!B:B, "Not Found")</f>
      </c>
      <c r="M2322" s="1" t="s">
        <v>5511</v>
      </c>
      <c r="N2322" s="8" t="s">
        <v>5512</v>
      </c>
      <c r="O2322" s="1" t="s">
        <v>5513</v>
      </c>
      <c r="P2322" s="5">
        <f>XLOOKUP(R2322, classification!C:C, classification!B:B, "Not Found")</f>
      </c>
      <c r="Q2322" s="1" t="s">
        <v>5514</v>
      </c>
      <c r="R2322" s="2"/>
      <c r="S2322" s="2"/>
      <c r="T2322" s="2"/>
      <c r="U2322" s="2"/>
    </row>
    <row x14ac:dyDescent="0.25" r="2323" customHeight="1" ht="17.25">
      <c r="A2323" s="7">
        <v>2322</v>
      </c>
      <c r="B2323" s="1" t="s">
        <v>7690</v>
      </c>
      <c r="C2323" s="5">
        <f>CONCATENATE("PD", TEXT(A2323, "1000000"))</f>
      </c>
      <c r="D2323" s="7">
        <v>76</v>
      </c>
      <c r="E2323" s="5">
        <f>XLOOKUP(G2323, item_category!C:C, item_category!B:B, "Not Found")</f>
      </c>
      <c r="F2323" s="1" t="s">
        <v>5632</v>
      </c>
      <c r="G2323" s="5">
        <f>XLOOKUP(I2323, drug!B:B, drug!A:A, "Not Found")</f>
      </c>
      <c r="H2323" s="1" t="s">
        <v>1386</v>
      </c>
      <c r="I2323" s="7">
        <v>1</v>
      </c>
      <c r="J2323" s="5">
        <f>XLOOKUP(L2323, uom!C:C, uom!B:B, "Not Found")</f>
      </c>
      <c r="K2323" s="1" t="s">
        <v>5511</v>
      </c>
      <c r="L2323" s="5">
        <f>XLOOKUP(N2323, uom!C:C, uom!B:B, "Not Found")</f>
      </c>
      <c r="M2323" s="1" t="s">
        <v>5511</v>
      </c>
      <c r="N2323" s="8" t="s">
        <v>5512</v>
      </c>
      <c r="O2323" s="1" t="s">
        <v>5513</v>
      </c>
      <c r="P2323" s="5">
        <f>XLOOKUP(R2323, classification!C:C, classification!B:B, "Not Found")</f>
      </c>
      <c r="Q2323" s="1" t="s">
        <v>5514</v>
      </c>
      <c r="R2323" s="2"/>
      <c r="S2323" s="2"/>
      <c r="T2323" s="2"/>
      <c r="U2323" s="2"/>
    </row>
    <row x14ac:dyDescent="0.25" r="2324" customHeight="1" ht="17.25">
      <c r="A2324" s="7">
        <v>2323</v>
      </c>
      <c r="B2324" s="1" t="s">
        <v>3194</v>
      </c>
      <c r="C2324" s="5">
        <f>CONCATENATE("PD", TEXT(A2324, "1000000"))</f>
      </c>
      <c r="D2324" s="7">
        <v>76</v>
      </c>
      <c r="E2324" s="5">
        <f>XLOOKUP(G2324, item_category!C:C, item_category!B:B, "Not Found")</f>
      </c>
      <c r="F2324" s="1" t="s">
        <v>5632</v>
      </c>
      <c r="G2324" s="5">
        <f>XLOOKUP(I2324, drug!B:B, drug!A:A, "Not Found")</f>
      </c>
      <c r="H2324" s="1"/>
      <c r="I2324" s="7">
        <v>1</v>
      </c>
      <c r="J2324" s="5">
        <f>XLOOKUP(L2324, uom!C:C, uom!B:B, "Not Found")</f>
      </c>
      <c r="K2324" s="1" t="s">
        <v>5511</v>
      </c>
      <c r="L2324" s="5">
        <f>XLOOKUP(N2324, uom!C:C, uom!B:B, "Not Found")</f>
      </c>
      <c r="M2324" s="1" t="s">
        <v>5511</v>
      </c>
      <c r="N2324" s="8" t="s">
        <v>5512</v>
      </c>
      <c r="O2324" s="1" t="s">
        <v>5513</v>
      </c>
      <c r="P2324" s="5">
        <f>XLOOKUP(R2324, classification!C:C, classification!B:B, "Not Found")</f>
      </c>
      <c r="Q2324" s="1" t="s">
        <v>5514</v>
      </c>
      <c r="R2324" s="2"/>
      <c r="S2324" s="2"/>
      <c r="T2324" s="2"/>
      <c r="U2324" s="2"/>
    </row>
    <row x14ac:dyDescent="0.25" r="2325" customHeight="1" ht="17.25">
      <c r="A2325" s="7">
        <v>2324</v>
      </c>
      <c r="B2325" s="1" t="s">
        <v>7691</v>
      </c>
      <c r="C2325" s="5">
        <f>CONCATENATE("PD", TEXT(A2325, "1000000"))</f>
      </c>
      <c r="D2325" s="7">
        <v>76</v>
      </c>
      <c r="E2325" s="5">
        <f>XLOOKUP(G2325, item_category!C:C, item_category!B:B, "Not Found")</f>
      </c>
      <c r="F2325" s="1" t="s">
        <v>5632</v>
      </c>
      <c r="G2325" s="5">
        <f>XLOOKUP(I2325, drug!B:B, drug!A:A, "Not Found")</f>
      </c>
      <c r="H2325" s="1"/>
      <c r="I2325" s="7">
        <v>1</v>
      </c>
      <c r="J2325" s="5">
        <f>XLOOKUP(L2325, uom!C:C, uom!B:B, "Not Found")</f>
      </c>
      <c r="K2325" s="1" t="s">
        <v>5511</v>
      </c>
      <c r="L2325" s="5">
        <f>XLOOKUP(N2325, uom!C:C, uom!B:B, "Not Found")</f>
      </c>
      <c r="M2325" s="1" t="s">
        <v>5511</v>
      </c>
      <c r="N2325" s="8" t="s">
        <v>5512</v>
      </c>
      <c r="O2325" s="1" t="s">
        <v>5513</v>
      </c>
      <c r="P2325" s="5">
        <f>XLOOKUP(R2325, classification!C:C, classification!B:B, "Not Found")</f>
      </c>
      <c r="Q2325" s="1" t="s">
        <v>5514</v>
      </c>
      <c r="R2325" s="2"/>
      <c r="S2325" s="2"/>
      <c r="T2325" s="2"/>
      <c r="U2325" s="2"/>
    </row>
    <row x14ac:dyDescent="0.25" r="2326" customHeight="1" ht="17.25">
      <c r="A2326" s="7">
        <v>2325</v>
      </c>
      <c r="B2326" s="1" t="s">
        <v>3198</v>
      </c>
      <c r="C2326" s="5">
        <f>CONCATENATE("PD", TEXT(A2326, "1000000"))</f>
      </c>
      <c r="D2326" s="7">
        <v>76</v>
      </c>
      <c r="E2326" s="5">
        <f>XLOOKUP(G2326, item_category!C:C, item_category!B:B, "Not Found")</f>
      </c>
      <c r="F2326" s="1" t="s">
        <v>5632</v>
      </c>
      <c r="G2326" s="5">
        <f>XLOOKUP(I2326, drug!B:B, drug!A:A, "Not Found")</f>
      </c>
      <c r="H2326" s="1"/>
      <c r="I2326" s="7">
        <v>1</v>
      </c>
      <c r="J2326" s="5">
        <f>XLOOKUP(L2326, uom!C:C, uom!B:B, "Not Found")</f>
      </c>
      <c r="K2326" s="1" t="s">
        <v>5511</v>
      </c>
      <c r="L2326" s="5">
        <f>XLOOKUP(N2326, uom!C:C, uom!B:B, "Not Found")</f>
      </c>
      <c r="M2326" s="1" t="s">
        <v>5511</v>
      </c>
      <c r="N2326" s="8" t="s">
        <v>5512</v>
      </c>
      <c r="O2326" s="1" t="s">
        <v>5513</v>
      </c>
      <c r="P2326" s="5">
        <f>XLOOKUP(R2326, classification!C:C, classification!B:B, "Not Found")</f>
      </c>
      <c r="Q2326" s="1" t="s">
        <v>5514</v>
      </c>
      <c r="R2326" s="2"/>
      <c r="S2326" s="2"/>
      <c r="T2326" s="2"/>
      <c r="U2326" s="2"/>
    </row>
    <row x14ac:dyDescent="0.25" r="2327" customHeight="1" ht="17.25">
      <c r="A2327" s="7">
        <v>2326</v>
      </c>
      <c r="B2327" s="1" t="s">
        <v>3200</v>
      </c>
      <c r="C2327" s="5">
        <f>CONCATENATE("PD", TEXT(A2327, "1000000"))</f>
      </c>
      <c r="D2327" s="7">
        <v>76</v>
      </c>
      <c r="E2327" s="5">
        <f>XLOOKUP(G2327, item_category!C:C, item_category!B:B, "Not Found")</f>
      </c>
      <c r="F2327" s="1" t="s">
        <v>5632</v>
      </c>
      <c r="G2327" s="5">
        <f>XLOOKUP(I2327, drug!B:B, drug!A:A, "Not Found")</f>
      </c>
      <c r="H2327" s="1"/>
      <c r="I2327" s="7">
        <v>1</v>
      </c>
      <c r="J2327" s="5">
        <f>XLOOKUP(L2327, uom!C:C, uom!B:B, "Not Found")</f>
      </c>
      <c r="K2327" s="1" t="s">
        <v>5511</v>
      </c>
      <c r="L2327" s="5">
        <f>XLOOKUP(N2327, uom!C:C, uom!B:B, "Not Found")</f>
      </c>
      <c r="M2327" s="1" t="s">
        <v>5511</v>
      </c>
      <c r="N2327" s="8" t="s">
        <v>5512</v>
      </c>
      <c r="O2327" s="1" t="s">
        <v>5513</v>
      </c>
      <c r="P2327" s="5">
        <f>XLOOKUP(R2327, classification!C:C, classification!B:B, "Not Found")</f>
      </c>
      <c r="Q2327" s="1" t="s">
        <v>5514</v>
      </c>
      <c r="R2327" s="2"/>
      <c r="S2327" s="2"/>
      <c r="T2327" s="2"/>
      <c r="U2327" s="2"/>
    </row>
    <row x14ac:dyDescent="0.25" r="2328" customHeight="1" ht="17.25">
      <c r="A2328" s="7">
        <v>2327</v>
      </c>
      <c r="B2328" s="1" t="s">
        <v>7692</v>
      </c>
      <c r="C2328" s="5">
        <f>CONCATENATE("PD", TEXT(A2328, "1000000"))</f>
      </c>
      <c r="D2328" s="7">
        <v>76</v>
      </c>
      <c r="E2328" s="5">
        <f>XLOOKUP(G2328, item_category!C:C, item_category!B:B, "Not Found")</f>
      </c>
      <c r="F2328" s="1" t="s">
        <v>5632</v>
      </c>
      <c r="G2328" s="5">
        <f>XLOOKUP(I2328, drug!B:B, drug!A:A, "Not Found")</f>
      </c>
      <c r="H2328" s="1"/>
      <c r="I2328" s="7">
        <v>1</v>
      </c>
      <c r="J2328" s="5">
        <f>XLOOKUP(L2328, uom!C:C, uom!B:B, "Not Found")</f>
      </c>
      <c r="K2328" s="1" t="s">
        <v>5511</v>
      </c>
      <c r="L2328" s="5">
        <f>XLOOKUP(N2328, uom!C:C, uom!B:B, "Not Found")</f>
      </c>
      <c r="M2328" s="1" t="s">
        <v>5511</v>
      </c>
      <c r="N2328" s="8" t="s">
        <v>5512</v>
      </c>
      <c r="O2328" s="1" t="s">
        <v>5513</v>
      </c>
      <c r="P2328" s="5">
        <f>XLOOKUP(R2328, classification!C:C, classification!B:B, "Not Found")</f>
      </c>
      <c r="Q2328" s="1" t="s">
        <v>5514</v>
      </c>
      <c r="R2328" s="2"/>
      <c r="S2328" s="2"/>
      <c r="T2328" s="2"/>
      <c r="U2328" s="2"/>
    </row>
    <row x14ac:dyDescent="0.25" r="2329" customHeight="1" ht="17.25">
      <c r="A2329" s="7">
        <v>2328</v>
      </c>
      <c r="B2329" s="1" t="s">
        <v>7693</v>
      </c>
      <c r="C2329" s="5">
        <f>CONCATENATE("PD", TEXT(A2329, "1000000"))</f>
      </c>
      <c r="D2329" s="7">
        <v>76</v>
      </c>
      <c r="E2329" s="5">
        <f>XLOOKUP(G2329, item_category!C:C, item_category!B:B, "Not Found")</f>
      </c>
      <c r="F2329" s="1" t="s">
        <v>5632</v>
      </c>
      <c r="G2329" s="5">
        <f>XLOOKUP(I2329, drug!B:B, drug!A:A, "Not Found")</f>
      </c>
      <c r="H2329" s="1"/>
      <c r="I2329" s="7">
        <v>1</v>
      </c>
      <c r="J2329" s="5">
        <f>XLOOKUP(L2329, uom!C:C, uom!B:B, "Not Found")</f>
      </c>
      <c r="K2329" s="1" t="s">
        <v>5511</v>
      </c>
      <c r="L2329" s="5">
        <f>XLOOKUP(N2329, uom!C:C, uom!B:B, "Not Found")</f>
      </c>
      <c r="M2329" s="1" t="s">
        <v>5511</v>
      </c>
      <c r="N2329" s="8" t="s">
        <v>5512</v>
      </c>
      <c r="O2329" s="1" t="s">
        <v>5513</v>
      </c>
      <c r="P2329" s="5">
        <f>XLOOKUP(R2329, classification!C:C, classification!B:B, "Not Found")</f>
      </c>
      <c r="Q2329" s="1" t="s">
        <v>5514</v>
      </c>
      <c r="R2329" s="2"/>
      <c r="S2329" s="2"/>
      <c r="T2329" s="2"/>
      <c r="U2329" s="2"/>
    </row>
    <row x14ac:dyDescent="0.25" r="2330" customHeight="1" ht="17.25">
      <c r="A2330" s="7">
        <v>2329</v>
      </c>
      <c r="B2330" s="1" t="s">
        <v>7694</v>
      </c>
      <c r="C2330" s="5">
        <f>CONCATENATE("PD", TEXT(A2330, "1000000"))</f>
      </c>
      <c r="D2330" s="7">
        <v>76</v>
      </c>
      <c r="E2330" s="5">
        <f>XLOOKUP(G2330, item_category!C:C, item_category!B:B, "Not Found")</f>
      </c>
      <c r="F2330" s="1" t="s">
        <v>5632</v>
      </c>
      <c r="G2330" s="5">
        <f>XLOOKUP(I2330, drug!B:B, drug!A:A, "Not Found")</f>
      </c>
      <c r="H2330" s="1" t="s">
        <v>1588</v>
      </c>
      <c r="I2330" s="7">
        <v>1</v>
      </c>
      <c r="J2330" s="5">
        <f>XLOOKUP(L2330, uom!C:C, uom!B:B, "Not Found")</f>
      </c>
      <c r="K2330" s="1" t="s">
        <v>5511</v>
      </c>
      <c r="L2330" s="5">
        <f>XLOOKUP(N2330, uom!C:C, uom!B:B, "Not Found")</f>
      </c>
      <c r="M2330" s="1" t="s">
        <v>5511</v>
      </c>
      <c r="N2330" s="8" t="s">
        <v>5512</v>
      </c>
      <c r="O2330" s="1" t="s">
        <v>5513</v>
      </c>
      <c r="P2330" s="5">
        <f>XLOOKUP(R2330, classification!C:C, classification!B:B, "Not Found")</f>
      </c>
      <c r="Q2330" s="1" t="s">
        <v>5514</v>
      </c>
      <c r="R2330" s="2"/>
      <c r="S2330" s="2"/>
      <c r="T2330" s="2"/>
      <c r="U2330" s="2"/>
    </row>
    <row x14ac:dyDescent="0.25" r="2331" customHeight="1" ht="17.25">
      <c r="A2331" s="7">
        <v>2330</v>
      </c>
      <c r="B2331" s="1" t="s">
        <v>3202</v>
      </c>
      <c r="C2331" s="5">
        <f>CONCATENATE("PD", TEXT(A2331, "1000000"))</f>
      </c>
      <c r="D2331" s="7">
        <v>76</v>
      </c>
      <c r="E2331" s="5">
        <f>XLOOKUP(G2331, item_category!C:C, item_category!B:B, "Not Found")</f>
      </c>
      <c r="F2331" s="1" t="s">
        <v>5632</v>
      </c>
      <c r="G2331" s="5">
        <f>XLOOKUP(I2331, drug!B:B, drug!A:A, "Not Found")</f>
      </c>
      <c r="H2331" s="1"/>
      <c r="I2331" s="7">
        <v>1</v>
      </c>
      <c r="J2331" s="5">
        <f>XLOOKUP(L2331, uom!C:C, uom!B:B, "Not Found")</f>
      </c>
      <c r="K2331" s="1" t="s">
        <v>5511</v>
      </c>
      <c r="L2331" s="5">
        <f>XLOOKUP(N2331, uom!C:C, uom!B:B, "Not Found")</f>
      </c>
      <c r="M2331" s="1" t="s">
        <v>5511</v>
      </c>
      <c r="N2331" s="8" t="s">
        <v>5512</v>
      </c>
      <c r="O2331" s="1" t="s">
        <v>5513</v>
      </c>
      <c r="P2331" s="5">
        <f>XLOOKUP(R2331, classification!C:C, classification!B:B, "Not Found")</f>
      </c>
      <c r="Q2331" s="1" t="s">
        <v>5514</v>
      </c>
      <c r="R2331" s="2"/>
      <c r="S2331" s="2"/>
      <c r="T2331" s="2"/>
      <c r="U2331" s="2"/>
    </row>
    <row x14ac:dyDescent="0.25" r="2332" customHeight="1" ht="17.25">
      <c r="A2332" s="7">
        <v>2331</v>
      </c>
      <c r="B2332" s="1" t="s">
        <v>7695</v>
      </c>
      <c r="C2332" s="5">
        <f>CONCATENATE("PD", TEXT(A2332, "1000000"))</f>
      </c>
      <c r="D2332" s="7">
        <v>76</v>
      </c>
      <c r="E2332" s="5">
        <f>XLOOKUP(G2332, item_category!C:C, item_category!B:B, "Not Found")</f>
      </c>
      <c r="F2332" s="1" t="s">
        <v>5632</v>
      </c>
      <c r="G2332" s="5">
        <f>XLOOKUP(I2332, drug!B:B, drug!A:A, "Not Found")</f>
      </c>
      <c r="H2332" s="1"/>
      <c r="I2332" s="7">
        <v>50</v>
      </c>
      <c r="J2332" s="5">
        <f>XLOOKUP(L2332, uom!C:C, uom!B:B, "Not Found")</f>
      </c>
      <c r="K2332" s="1" t="s">
        <v>7696</v>
      </c>
      <c r="L2332" s="5">
        <f>XLOOKUP(N2332, uom!C:C, uom!B:B, "Not Found")</f>
      </c>
      <c r="M2332" s="1" t="s">
        <v>7696</v>
      </c>
      <c r="N2332" s="8" t="s">
        <v>5524</v>
      </c>
      <c r="O2332" s="1" t="s">
        <v>5525</v>
      </c>
      <c r="P2332" s="5">
        <f>XLOOKUP(R2332, classification!C:C, classification!B:B, "Not Found")</f>
      </c>
      <c r="Q2332" s="1" t="s">
        <v>5514</v>
      </c>
      <c r="R2332" s="2"/>
      <c r="S2332" s="2"/>
      <c r="T2332" s="2"/>
      <c r="U2332" s="2"/>
    </row>
    <row x14ac:dyDescent="0.25" r="2333" customHeight="1" ht="17.25">
      <c r="A2333" s="7">
        <v>2332</v>
      </c>
      <c r="B2333" s="1" t="s">
        <v>7697</v>
      </c>
      <c r="C2333" s="5">
        <f>CONCATENATE("PD", TEXT(A2333, "1000000"))</f>
      </c>
      <c r="D2333" s="7">
        <v>76</v>
      </c>
      <c r="E2333" s="5">
        <f>XLOOKUP(G2333, item_category!C:C, item_category!B:B, "Not Found")</f>
      </c>
      <c r="F2333" s="1" t="s">
        <v>5632</v>
      </c>
      <c r="G2333" s="5">
        <f>XLOOKUP(I2333, drug!B:B, drug!A:A, "Not Found")</f>
      </c>
      <c r="H2333" s="1"/>
      <c r="I2333" s="7">
        <v>1</v>
      </c>
      <c r="J2333" s="5">
        <f>XLOOKUP(L2333, uom!C:C, uom!B:B, "Not Found")</f>
      </c>
      <c r="K2333" s="1" t="s">
        <v>5511</v>
      </c>
      <c r="L2333" s="5">
        <f>XLOOKUP(N2333, uom!C:C, uom!B:B, "Not Found")</f>
      </c>
      <c r="M2333" s="1" t="s">
        <v>5511</v>
      </c>
      <c r="N2333" s="8" t="s">
        <v>5512</v>
      </c>
      <c r="O2333" s="1" t="s">
        <v>5513</v>
      </c>
      <c r="P2333" s="5">
        <f>XLOOKUP(R2333, classification!C:C, classification!B:B, "Not Found")</f>
      </c>
      <c r="Q2333" s="1" t="s">
        <v>5514</v>
      </c>
      <c r="R2333" s="2"/>
      <c r="S2333" s="2"/>
      <c r="T2333" s="2"/>
      <c r="U2333" s="2"/>
    </row>
    <row x14ac:dyDescent="0.25" r="2334" customHeight="1" ht="17.25">
      <c r="A2334" s="7">
        <v>2333</v>
      </c>
      <c r="B2334" s="1" t="s">
        <v>7698</v>
      </c>
      <c r="C2334" s="5">
        <f>CONCATENATE("PD", TEXT(A2334, "1000000"))</f>
      </c>
      <c r="D2334" s="7">
        <v>76</v>
      </c>
      <c r="E2334" s="5">
        <f>XLOOKUP(G2334, item_category!C:C, item_category!B:B, "Not Found")</f>
      </c>
      <c r="F2334" s="1" t="s">
        <v>5632</v>
      </c>
      <c r="G2334" s="5">
        <f>XLOOKUP(I2334, drug!B:B, drug!A:A, "Not Found")</f>
      </c>
      <c r="H2334" s="1"/>
      <c r="I2334" s="7">
        <v>1</v>
      </c>
      <c r="J2334" s="5">
        <f>XLOOKUP(L2334, uom!C:C, uom!B:B, "Not Found")</f>
      </c>
      <c r="K2334" s="1" t="s">
        <v>5511</v>
      </c>
      <c r="L2334" s="5">
        <f>XLOOKUP(N2334, uom!C:C, uom!B:B, "Not Found")</f>
      </c>
      <c r="M2334" s="1" t="s">
        <v>5511</v>
      </c>
      <c r="N2334" s="8" t="s">
        <v>5512</v>
      </c>
      <c r="O2334" s="1" t="s">
        <v>5513</v>
      </c>
      <c r="P2334" s="5">
        <f>XLOOKUP(R2334, classification!C:C, classification!B:B, "Not Found")</f>
      </c>
      <c r="Q2334" s="1" t="s">
        <v>5514</v>
      </c>
      <c r="R2334" s="2"/>
      <c r="S2334" s="2"/>
      <c r="T2334" s="2"/>
      <c r="U2334" s="2"/>
    </row>
    <row x14ac:dyDescent="0.25" r="2335" customHeight="1" ht="17.25">
      <c r="A2335" s="7">
        <v>2334</v>
      </c>
      <c r="B2335" s="1" t="s">
        <v>7699</v>
      </c>
      <c r="C2335" s="5">
        <f>CONCATENATE("PD", TEXT(A2335, "1000000"))</f>
      </c>
      <c r="D2335" s="7">
        <v>76</v>
      </c>
      <c r="E2335" s="5">
        <f>XLOOKUP(G2335, item_category!C:C, item_category!B:B, "Not Found")</f>
      </c>
      <c r="F2335" s="1" t="s">
        <v>5632</v>
      </c>
      <c r="G2335" s="5">
        <f>XLOOKUP(I2335, drug!B:B, drug!A:A, "Not Found")</f>
      </c>
      <c r="H2335" s="1"/>
      <c r="I2335" s="7">
        <v>1</v>
      </c>
      <c r="J2335" s="5">
        <f>XLOOKUP(L2335, uom!C:C, uom!B:B, "Not Found")</f>
      </c>
      <c r="K2335" s="1" t="s">
        <v>5511</v>
      </c>
      <c r="L2335" s="5">
        <f>XLOOKUP(N2335, uom!C:C, uom!B:B, "Not Found")</f>
      </c>
      <c r="M2335" s="1" t="s">
        <v>5511</v>
      </c>
      <c r="N2335" s="8" t="s">
        <v>5512</v>
      </c>
      <c r="O2335" s="1" t="s">
        <v>5513</v>
      </c>
      <c r="P2335" s="5">
        <f>XLOOKUP(R2335, classification!C:C, classification!B:B, "Not Found")</f>
      </c>
      <c r="Q2335" s="1" t="s">
        <v>5514</v>
      </c>
      <c r="R2335" s="2"/>
      <c r="S2335" s="2"/>
      <c r="T2335" s="2"/>
      <c r="U2335" s="2"/>
    </row>
    <row x14ac:dyDescent="0.25" r="2336" customHeight="1" ht="17.25">
      <c r="A2336" s="7">
        <v>2335</v>
      </c>
      <c r="B2336" s="1" t="s">
        <v>7700</v>
      </c>
      <c r="C2336" s="5">
        <f>CONCATENATE("PD", TEXT(A2336, "1000000"))</f>
      </c>
      <c r="D2336" s="7">
        <v>76</v>
      </c>
      <c r="E2336" s="5">
        <f>XLOOKUP(G2336, item_category!C:C, item_category!B:B, "Not Found")</f>
      </c>
      <c r="F2336" s="1" t="s">
        <v>5632</v>
      </c>
      <c r="G2336" s="5">
        <f>XLOOKUP(I2336, drug!B:B, drug!A:A, "Not Found")</f>
      </c>
      <c r="H2336" s="1"/>
      <c r="I2336" s="7">
        <v>1</v>
      </c>
      <c r="J2336" s="5">
        <f>XLOOKUP(L2336, uom!C:C, uom!B:B, "Not Found")</f>
      </c>
      <c r="K2336" s="1" t="s">
        <v>5511</v>
      </c>
      <c r="L2336" s="5">
        <f>XLOOKUP(N2336, uom!C:C, uom!B:B, "Not Found")</f>
      </c>
      <c r="M2336" s="1" t="s">
        <v>5511</v>
      </c>
      <c r="N2336" s="8" t="s">
        <v>5512</v>
      </c>
      <c r="O2336" s="1" t="s">
        <v>5513</v>
      </c>
      <c r="P2336" s="5">
        <f>XLOOKUP(R2336, classification!C:C, classification!B:B, "Not Found")</f>
      </c>
      <c r="Q2336" s="1" t="s">
        <v>5514</v>
      </c>
      <c r="R2336" s="2"/>
      <c r="S2336" s="2"/>
      <c r="T2336" s="2"/>
      <c r="U2336" s="2"/>
    </row>
    <row x14ac:dyDescent="0.25" r="2337" customHeight="1" ht="17.25">
      <c r="A2337" s="7">
        <v>2336</v>
      </c>
      <c r="B2337" s="1" t="s">
        <v>7701</v>
      </c>
      <c r="C2337" s="5">
        <f>CONCATENATE("PD", TEXT(A2337, "1000000"))</f>
      </c>
      <c r="D2337" s="7">
        <v>76</v>
      </c>
      <c r="E2337" s="5">
        <f>XLOOKUP(G2337, item_category!C:C, item_category!B:B, "Not Found")</f>
      </c>
      <c r="F2337" s="1" t="s">
        <v>5632</v>
      </c>
      <c r="G2337" s="5">
        <f>XLOOKUP(I2337, drug!B:B, drug!A:A, "Not Found")</f>
      </c>
      <c r="H2337" s="1" t="s">
        <v>1942</v>
      </c>
      <c r="I2337" s="7">
        <v>1</v>
      </c>
      <c r="J2337" s="5">
        <f>XLOOKUP(L2337, uom!C:C, uom!B:B, "Not Found")</f>
      </c>
      <c r="K2337" s="1" t="s">
        <v>5511</v>
      </c>
      <c r="L2337" s="5">
        <f>XLOOKUP(N2337, uom!C:C, uom!B:B, "Not Found")</f>
      </c>
      <c r="M2337" s="1" t="s">
        <v>5511</v>
      </c>
      <c r="N2337" s="8" t="s">
        <v>5512</v>
      </c>
      <c r="O2337" s="1" t="s">
        <v>5513</v>
      </c>
      <c r="P2337" s="5">
        <f>XLOOKUP(R2337, classification!C:C, classification!B:B, "Not Found")</f>
      </c>
      <c r="Q2337" s="1" t="s">
        <v>5514</v>
      </c>
      <c r="R2337" s="2"/>
      <c r="S2337" s="2"/>
      <c r="T2337" s="2"/>
      <c r="U2337" s="2"/>
    </row>
    <row x14ac:dyDescent="0.25" r="2338" customHeight="1" ht="17.25">
      <c r="A2338" s="7">
        <v>2337</v>
      </c>
      <c r="B2338" s="1" t="s">
        <v>7702</v>
      </c>
      <c r="C2338" s="5">
        <f>CONCATENATE("PD", TEXT(A2338, "1000000"))</f>
      </c>
      <c r="D2338" s="7">
        <v>76</v>
      </c>
      <c r="E2338" s="5">
        <f>XLOOKUP(G2338, item_category!C:C, item_category!B:B, "Not Found")</f>
      </c>
      <c r="F2338" s="1" t="s">
        <v>5632</v>
      </c>
      <c r="G2338" s="5">
        <f>XLOOKUP(I2338, drug!B:B, drug!A:A, "Not Found")</f>
      </c>
      <c r="H2338" s="1"/>
      <c r="I2338" s="7">
        <v>1</v>
      </c>
      <c r="J2338" s="5">
        <f>XLOOKUP(L2338, uom!C:C, uom!B:B, "Not Found")</f>
      </c>
      <c r="K2338" s="1" t="s">
        <v>5511</v>
      </c>
      <c r="L2338" s="5">
        <f>XLOOKUP(N2338, uom!C:C, uom!B:B, "Not Found")</f>
      </c>
      <c r="M2338" s="1" t="s">
        <v>5511</v>
      </c>
      <c r="N2338" s="8" t="s">
        <v>5512</v>
      </c>
      <c r="O2338" s="1" t="s">
        <v>5513</v>
      </c>
      <c r="P2338" s="5">
        <f>XLOOKUP(R2338, classification!C:C, classification!B:B, "Not Found")</f>
      </c>
      <c r="Q2338" s="1" t="s">
        <v>5514</v>
      </c>
      <c r="R2338" s="2"/>
      <c r="S2338" s="2"/>
      <c r="T2338" s="2"/>
      <c r="U2338" s="2"/>
    </row>
    <row x14ac:dyDescent="0.25" r="2339" customHeight="1" ht="17.25">
      <c r="A2339" s="7">
        <v>2338</v>
      </c>
      <c r="B2339" s="1" t="s">
        <v>7703</v>
      </c>
      <c r="C2339" s="5">
        <f>CONCATENATE("PD", TEXT(A2339, "1000000"))</f>
      </c>
      <c r="D2339" s="7">
        <v>76</v>
      </c>
      <c r="E2339" s="5">
        <f>XLOOKUP(G2339, item_category!C:C, item_category!B:B, "Not Found")</f>
      </c>
      <c r="F2339" s="1" t="s">
        <v>5632</v>
      </c>
      <c r="G2339" s="5">
        <f>XLOOKUP(I2339, drug!B:B, drug!A:A, "Not Found")</f>
      </c>
      <c r="H2339" s="1"/>
      <c r="I2339" s="7">
        <v>1</v>
      </c>
      <c r="J2339" s="5">
        <f>XLOOKUP(L2339, uom!C:C, uom!B:B, "Not Found")</f>
      </c>
      <c r="K2339" s="1" t="s">
        <v>5511</v>
      </c>
      <c r="L2339" s="5">
        <f>XLOOKUP(N2339, uom!C:C, uom!B:B, "Not Found")</f>
      </c>
      <c r="M2339" s="1" t="s">
        <v>5511</v>
      </c>
      <c r="N2339" s="8" t="s">
        <v>5512</v>
      </c>
      <c r="O2339" s="1" t="s">
        <v>5513</v>
      </c>
      <c r="P2339" s="5">
        <f>XLOOKUP(R2339, classification!C:C, classification!B:B, "Not Found")</f>
      </c>
      <c r="Q2339" s="1" t="s">
        <v>5514</v>
      </c>
      <c r="R2339" s="2"/>
      <c r="S2339" s="2"/>
      <c r="T2339" s="2"/>
      <c r="U2339" s="2"/>
    </row>
    <row x14ac:dyDescent="0.25" r="2340" customHeight="1" ht="17.25">
      <c r="A2340" s="7">
        <v>2339</v>
      </c>
      <c r="B2340" s="1" t="s">
        <v>7704</v>
      </c>
      <c r="C2340" s="5">
        <f>CONCATENATE("PD", TEXT(A2340, "1000000"))</f>
      </c>
      <c r="D2340" s="7">
        <v>76</v>
      </c>
      <c r="E2340" s="5">
        <f>XLOOKUP(G2340, item_category!C:C, item_category!B:B, "Not Found")</f>
      </c>
      <c r="F2340" s="1" t="s">
        <v>5632</v>
      </c>
      <c r="G2340" s="5">
        <f>XLOOKUP(I2340, drug!B:B, drug!A:A, "Not Found")</f>
      </c>
      <c r="H2340" s="1"/>
      <c r="I2340" s="7">
        <v>1</v>
      </c>
      <c r="J2340" s="5">
        <f>XLOOKUP(L2340, uom!C:C, uom!B:B, "Not Found")</f>
      </c>
      <c r="K2340" s="1" t="s">
        <v>5511</v>
      </c>
      <c r="L2340" s="5">
        <f>XLOOKUP(N2340, uom!C:C, uom!B:B, "Not Found")</f>
      </c>
      <c r="M2340" s="1" t="s">
        <v>5511</v>
      </c>
      <c r="N2340" s="8" t="s">
        <v>5512</v>
      </c>
      <c r="O2340" s="1" t="s">
        <v>5513</v>
      </c>
      <c r="P2340" s="5">
        <f>XLOOKUP(R2340, classification!C:C, classification!B:B, "Not Found")</f>
      </c>
      <c r="Q2340" s="1" t="s">
        <v>5514</v>
      </c>
      <c r="R2340" s="2"/>
      <c r="S2340" s="2"/>
      <c r="T2340" s="2"/>
      <c r="U2340" s="2"/>
    </row>
    <row x14ac:dyDescent="0.25" r="2341" customHeight="1" ht="17.25">
      <c r="A2341" s="7">
        <v>2340</v>
      </c>
      <c r="B2341" s="1" t="s">
        <v>7705</v>
      </c>
      <c r="C2341" s="5">
        <f>CONCATENATE("PD", TEXT(A2341, "1000000"))</f>
      </c>
      <c r="D2341" s="7">
        <v>76</v>
      </c>
      <c r="E2341" s="5">
        <f>XLOOKUP(G2341, item_category!C:C, item_category!B:B, "Not Found")</f>
      </c>
      <c r="F2341" s="1" t="s">
        <v>5632</v>
      </c>
      <c r="G2341" s="5">
        <f>XLOOKUP(I2341, drug!B:B, drug!A:A, "Not Found")</f>
      </c>
      <c r="H2341" s="1"/>
      <c r="I2341" s="7">
        <v>1</v>
      </c>
      <c r="J2341" s="5">
        <f>XLOOKUP(L2341, uom!C:C, uom!B:B, "Not Found")</f>
      </c>
      <c r="K2341" s="1" t="s">
        <v>5511</v>
      </c>
      <c r="L2341" s="5">
        <f>XLOOKUP(N2341, uom!C:C, uom!B:B, "Not Found")</f>
      </c>
      <c r="M2341" s="1" t="s">
        <v>5511</v>
      </c>
      <c r="N2341" s="8" t="s">
        <v>5512</v>
      </c>
      <c r="O2341" s="1" t="s">
        <v>5513</v>
      </c>
      <c r="P2341" s="5">
        <f>XLOOKUP(R2341, classification!C:C, classification!B:B, "Not Found")</f>
      </c>
      <c r="Q2341" s="1" t="s">
        <v>5514</v>
      </c>
      <c r="R2341" s="2"/>
      <c r="S2341" s="2"/>
      <c r="T2341" s="2"/>
      <c r="U2341" s="2"/>
    </row>
    <row x14ac:dyDescent="0.25" r="2342" customHeight="1" ht="17.25">
      <c r="A2342" s="7">
        <v>2341</v>
      </c>
      <c r="B2342" s="1" t="s">
        <v>7706</v>
      </c>
      <c r="C2342" s="5">
        <f>CONCATENATE("PD", TEXT(A2342, "1000000"))</f>
      </c>
      <c r="D2342" s="7">
        <v>76</v>
      </c>
      <c r="E2342" s="5">
        <f>XLOOKUP(G2342, item_category!C:C, item_category!B:B, "Not Found")</f>
      </c>
      <c r="F2342" s="1" t="s">
        <v>5632</v>
      </c>
      <c r="G2342" s="5">
        <f>XLOOKUP(I2342, drug!B:B, drug!A:A, "Not Found")</f>
      </c>
      <c r="H2342" s="1"/>
      <c r="I2342" s="7">
        <v>1</v>
      </c>
      <c r="J2342" s="5">
        <f>XLOOKUP(L2342, uom!C:C, uom!B:B, "Not Found")</f>
      </c>
      <c r="K2342" s="1" t="s">
        <v>5511</v>
      </c>
      <c r="L2342" s="5">
        <f>XLOOKUP(N2342, uom!C:C, uom!B:B, "Not Found")</f>
      </c>
      <c r="M2342" s="1" t="s">
        <v>5511</v>
      </c>
      <c r="N2342" s="8" t="s">
        <v>5512</v>
      </c>
      <c r="O2342" s="1" t="s">
        <v>5513</v>
      </c>
      <c r="P2342" s="5">
        <f>XLOOKUP(R2342, classification!C:C, classification!B:B, "Not Found")</f>
      </c>
      <c r="Q2342" s="1" t="s">
        <v>5514</v>
      </c>
      <c r="R2342" s="2"/>
      <c r="S2342" s="2"/>
      <c r="T2342" s="2"/>
      <c r="U2342" s="2"/>
    </row>
    <row x14ac:dyDescent="0.25" r="2343" customHeight="1" ht="17.25">
      <c r="A2343" s="7">
        <v>2342</v>
      </c>
      <c r="B2343" s="1" t="s">
        <v>7707</v>
      </c>
      <c r="C2343" s="5">
        <f>CONCATENATE("PD", TEXT(A2343, "1000000"))</f>
      </c>
      <c r="D2343" s="7">
        <v>76</v>
      </c>
      <c r="E2343" s="5">
        <f>XLOOKUP(G2343, item_category!C:C, item_category!B:B, "Not Found")</f>
      </c>
      <c r="F2343" s="1" t="s">
        <v>5632</v>
      </c>
      <c r="G2343" s="5">
        <f>XLOOKUP(I2343, drug!B:B, drug!A:A, "Not Found")</f>
      </c>
      <c r="H2343" s="1"/>
      <c r="I2343" s="7">
        <v>1</v>
      </c>
      <c r="J2343" s="5">
        <f>XLOOKUP(L2343, uom!C:C, uom!B:B, "Not Found")</f>
      </c>
      <c r="K2343" s="1" t="s">
        <v>5511</v>
      </c>
      <c r="L2343" s="5">
        <f>XLOOKUP(N2343, uom!C:C, uom!B:B, "Not Found")</f>
      </c>
      <c r="M2343" s="1" t="s">
        <v>5511</v>
      </c>
      <c r="N2343" s="8" t="s">
        <v>5512</v>
      </c>
      <c r="O2343" s="1" t="s">
        <v>5513</v>
      </c>
      <c r="P2343" s="5">
        <f>XLOOKUP(R2343, classification!C:C, classification!B:B, "Not Found")</f>
      </c>
      <c r="Q2343" s="1" t="s">
        <v>5514</v>
      </c>
      <c r="R2343" s="2"/>
      <c r="S2343" s="2"/>
      <c r="T2343" s="2"/>
      <c r="U2343" s="2"/>
    </row>
    <row x14ac:dyDescent="0.25" r="2344" customHeight="1" ht="17.25">
      <c r="A2344" s="7">
        <v>2343</v>
      </c>
      <c r="B2344" s="1" t="s">
        <v>7708</v>
      </c>
      <c r="C2344" s="5">
        <f>CONCATENATE("PD", TEXT(A2344, "1000000"))</f>
      </c>
      <c r="D2344" s="7">
        <v>76</v>
      </c>
      <c r="E2344" s="5">
        <f>XLOOKUP(G2344, item_category!C:C, item_category!B:B, "Not Found")</f>
      </c>
      <c r="F2344" s="1" t="s">
        <v>5632</v>
      </c>
      <c r="G2344" s="5">
        <f>XLOOKUP(I2344, drug!B:B, drug!A:A, "Not Found")</f>
      </c>
      <c r="H2344" s="1"/>
      <c r="I2344" s="7">
        <v>1</v>
      </c>
      <c r="J2344" s="5">
        <f>XLOOKUP(L2344, uom!C:C, uom!B:B, "Not Found")</f>
      </c>
      <c r="K2344" s="1" t="s">
        <v>5511</v>
      </c>
      <c r="L2344" s="5">
        <f>XLOOKUP(N2344, uom!C:C, uom!B:B, "Not Found")</f>
      </c>
      <c r="M2344" s="1" t="s">
        <v>5511</v>
      </c>
      <c r="N2344" s="8" t="s">
        <v>5512</v>
      </c>
      <c r="O2344" s="1" t="s">
        <v>5513</v>
      </c>
      <c r="P2344" s="5">
        <f>XLOOKUP(R2344, classification!C:C, classification!B:B, "Not Found")</f>
      </c>
      <c r="Q2344" s="1" t="s">
        <v>5514</v>
      </c>
      <c r="R2344" s="2"/>
      <c r="S2344" s="2"/>
      <c r="T2344" s="2"/>
      <c r="U2344" s="2"/>
    </row>
    <row x14ac:dyDescent="0.25" r="2345" customHeight="1" ht="17.25">
      <c r="A2345" s="7">
        <v>2344</v>
      </c>
      <c r="B2345" s="1" t="s">
        <v>7709</v>
      </c>
      <c r="C2345" s="5">
        <f>CONCATENATE("PD", TEXT(A2345, "1000000"))</f>
      </c>
      <c r="D2345" s="7">
        <v>76</v>
      </c>
      <c r="E2345" s="5">
        <f>XLOOKUP(G2345, item_category!C:C, item_category!B:B, "Not Found")</f>
      </c>
      <c r="F2345" s="1" t="s">
        <v>5632</v>
      </c>
      <c r="G2345" s="5">
        <f>XLOOKUP(I2345, drug!B:B, drug!A:A, "Not Found")</f>
      </c>
      <c r="H2345" s="1"/>
      <c r="I2345" s="7">
        <v>1</v>
      </c>
      <c r="J2345" s="5">
        <f>XLOOKUP(L2345, uom!C:C, uom!B:B, "Not Found")</f>
      </c>
      <c r="K2345" s="1" t="s">
        <v>5511</v>
      </c>
      <c r="L2345" s="5">
        <f>XLOOKUP(N2345, uom!C:C, uom!B:B, "Not Found")</f>
      </c>
      <c r="M2345" s="1" t="s">
        <v>5511</v>
      </c>
      <c r="N2345" s="8" t="s">
        <v>5512</v>
      </c>
      <c r="O2345" s="1" t="s">
        <v>5513</v>
      </c>
      <c r="P2345" s="5">
        <f>XLOOKUP(R2345, classification!C:C, classification!B:B, "Not Found")</f>
      </c>
      <c r="Q2345" s="1" t="s">
        <v>5514</v>
      </c>
      <c r="R2345" s="2"/>
      <c r="S2345" s="2"/>
      <c r="T2345" s="2"/>
      <c r="U2345" s="2"/>
    </row>
    <row x14ac:dyDescent="0.25" r="2346" customHeight="1" ht="17.25">
      <c r="A2346" s="7">
        <v>2345</v>
      </c>
      <c r="B2346" s="1" t="s">
        <v>7710</v>
      </c>
      <c r="C2346" s="5">
        <f>CONCATENATE("PD", TEXT(A2346, "1000000"))</f>
      </c>
      <c r="D2346" s="7">
        <v>76</v>
      </c>
      <c r="E2346" s="5">
        <f>XLOOKUP(G2346, item_category!C:C, item_category!B:B, "Not Found")</f>
      </c>
      <c r="F2346" s="1" t="s">
        <v>5632</v>
      </c>
      <c r="G2346" s="5">
        <f>XLOOKUP(I2346, drug!B:B, drug!A:A, "Not Found")</f>
      </c>
      <c r="H2346" s="1"/>
      <c r="I2346" s="7">
        <v>1</v>
      </c>
      <c r="J2346" s="5">
        <f>XLOOKUP(L2346, uom!C:C, uom!B:B, "Not Found")</f>
      </c>
      <c r="K2346" s="1" t="s">
        <v>5511</v>
      </c>
      <c r="L2346" s="5">
        <f>XLOOKUP(N2346, uom!C:C, uom!B:B, "Not Found")</f>
      </c>
      <c r="M2346" s="1" t="s">
        <v>5511</v>
      </c>
      <c r="N2346" s="8" t="s">
        <v>5512</v>
      </c>
      <c r="O2346" s="1" t="s">
        <v>5513</v>
      </c>
      <c r="P2346" s="5">
        <f>XLOOKUP(R2346, classification!C:C, classification!B:B, "Not Found")</f>
      </c>
      <c r="Q2346" s="1" t="s">
        <v>5514</v>
      </c>
      <c r="R2346" s="2"/>
      <c r="S2346" s="2"/>
      <c r="T2346" s="2"/>
      <c r="U2346" s="2"/>
    </row>
    <row x14ac:dyDescent="0.25" r="2347" customHeight="1" ht="17.25">
      <c r="A2347" s="7">
        <v>2346</v>
      </c>
      <c r="B2347" s="1" t="s">
        <v>3224</v>
      </c>
      <c r="C2347" s="5">
        <f>CONCATENATE("PD", TEXT(A2347, "1000000"))</f>
      </c>
      <c r="D2347" s="7">
        <v>76</v>
      </c>
      <c r="E2347" s="5">
        <f>XLOOKUP(G2347, item_category!C:C, item_category!B:B, "Not Found")</f>
      </c>
      <c r="F2347" s="1" t="s">
        <v>5632</v>
      </c>
      <c r="G2347" s="5">
        <f>XLOOKUP(I2347, drug!B:B, drug!A:A, "Not Found")</f>
      </c>
      <c r="H2347" s="1"/>
      <c r="I2347" s="7">
        <v>1</v>
      </c>
      <c r="J2347" s="5">
        <f>XLOOKUP(L2347, uom!C:C, uom!B:B, "Not Found")</f>
      </c>
      <c r="K2347" s="1" t="s">
        <v>5511</v>
      </c>
      <c r="L2347" s="5">
        <f>XLOOKUP(N2347, uom!C:C, uom!B:B, "Not Found")</f>
      </c>
      <c r="M2347" s="1" t="s">
        <v>5511</v>
      </c>
      <c r="N2347" s="8" t="s">
        <v>5512</v>
      </c>
      <c r="O2347" s="1" t="s">
        <v>5513</v>
      </c>
      <c r="P2347" s="5">
        <f>XLOOKUP(R2347, classification!C:C, classification!B:B, "Not Found")</f>
      </c>
      <c r="Q2347" s="1" t="s">
        <v>5514</v>
      </c>
      <c r="R2347" s="2"/>
      <c r="S2347" s="2"/>
      <c r="T2347" s="2"/>
      <c r="U2347" s="2"/>
    </row>
    <row x14ac:dyDescent="0.25" r="2348" customHeight="1" ht="17.25">
      <c r="A2348" s="7">
        <v>2347</v>
      </c>
      <c r="B2348" s="1" t="s">
        <v>7711</v>
      </c>
      <c r="C2348" s="5">
        <f>CONCATENATE("PD", TEXT(A2348, "1000000"))</f>
      </c>
      <c r="D2348" s="7">
        <v>76</v>
      </c>
      <c r="E2348" s="5">
        <f>XLOOKUP(G2348, item_category!C:C, item_category!B:B, "Not Found")</f>
      </c>
      <c r="F2348" s="1" t="s">
        <v>5632</v>
      </c>
      <c r="G2348" s="5">
        <f>XLOOKUP(I2348, drug!B:B, drug!A:A, "Not Found")</f>
      </c>
      <c r="H2348" s="1" t="s">
        <v>1228</v>
      </c>
      <c r="I2348" s="7">
        <v>1</v>
      </c>
      <c r="J2348" s="5">
        <f>XLOOKUP(L2348, uom!C:C, uom!B:B, "Not Found")</f>
      </c>
      <c r="K2348" s="1" t="s">
        <v>5511</v>
      </c>
      <c r="L2348" s="5">
        <f>XLOOKUP(N2348, uom!C:C, uom!B:B, "Not Found")</f>
      </c>
      <c r="M2348" s="1" t="s">
        <v>5511</v>
      </c>
      <c r="N2348" s="8" t="s">
        <v>5512</v>
      </c>
      <c r="O2348" s="1" t="s">
        <v>5513</v>
      </c>
      <c r="P2348" s="5">
        <f>XLOOKUP(R2348, classification!C:C, classification!B:B, "Not Found")</f>
      </c>
      <c r="Q2348" s="1" t="s">
        <v>5514</v>
      </c>
      <c r="R2348" s="2"/>
      <c r="S2348" s="2"/>
      <c r="T2348" s="2"/>
      <c r="U2348" s="2"/>
    </row>
    <row x14ac:dyDescent="0.25" r="2349" customHeight="1" ht="17.25">
      <c r="A2349" s="7">
        <v>2348</v>
      </c>
      <c r="B2349" s="1" t="s">
        <v>7712</v>
      </c>
      <c r="C2349" s="5">
        <f>CONCATENATE("PD", TEXT(A2349, "1000000"))</f>
      </c>
      <c r="D2349" s="7">
        <v>76</v>
      </c>
      <c r="E2349" s="5">
        <f>XLOOKUP(G2349, item_category!C:C, item_category!B:B, "Not Found")</f>
      </c>
      <c r="F2349" s="1" t="s">
        <v>5632</v>
      </c>
      <c r="G2349" s="5">
        <f>XLOOKUP(I2349, drug!B:B, drug!A:A, "Not Found")</f>
      </c>
      <c r="H2349" s="1"/>
      <c r="I2349" s="7">
        <v>1</v>
      </c>
      <c r="J2349" s="5">
        <f>XLOOKUP(L2349, uom!C:C, uom!B:B, "Not Found")</f>
      </c>
      <c r="K2349" s="1" t="s">
        <v>5511</v>
      </c>
      <c r="L2349" s="5">
        <f>XLOOKUP(N2349, uom!C:C, uom!B:B, "Not Found")</f>
      </c>
      <c r="M2349" s="1" t="s">
        <v>5511</v>
      </c>
      <c r="N2349" s="8" t="s">
        <v>5512</v>
      </c>
      <c r="O2349" s="1" t="s">
        <v>5513</v>
      </c>
      <c r="P2349" s="5">
        <f>XLOOKUP(R2349, classification!C:C, classification!B:B, "Not Found")</f>
      </c>
      <c r="Q2349" s="1" t="s">
        <v>5514</v>
      </c>
      <c r="R2349" s="2"/>
      <c r="S2349" s="2"/>
      <c r="T2349" s="2"/>
      <c r="U2349" s="2"/>
    </row>
    <row x14ac:dyDescent="0.25" r="2350" customHeight="1" ht="17.25">
      <c r="A2350" s="7">
        <v>2349</v>
      </c>
      <c r="B2350" s="1" t="s">
        <v>7713</v>
      </c>
      <c r="C2350" s="5">
        <f>CONCATENATE("PD", TEXT(A2350, "1000000"))</f>
      </c>
      <c r="D2350" s="7">
        <v>76</v>
      </c>
      <c r="E2350" s="5">
        <f>XLOOKUP(G2350, item_category!C:C, item_category!B:B, "Not Found")</f>
      </c>
      <c r="F2350" s="1" t="s">
        <v>5632</v>
      </c>
      <c r="G2350" s="5">
        <f>XLOOKUP(I2350, drug!B:B, drug!A:A, "Not Found")</f>
      </c>
      <c r="H2350" s="1"/>
      <c r="I2350" s="7">
        <v>1</v>
      </c>
      <c r="J2350" s="5">
        <f>XLOOKUP(L2350, uom!C:C, uom!B:B, "Not Found")</f>
      </c>
      <c r="K2350" s="1" t="s">
        <v>5511</v>
      </c>
      <c r="L2350" s="5">
        <f>XLOOKUP(N2350, uom!C:C, uom!B:B, "Not Found")</f>
      </c>
      <c r="M2350" s="1" t="s">
        <v>5511</v>
      </c>
      <c r="N2350" s="8" t="s">
        <v>5512</v>
      </c>
      <c r="O2350" s="1" t="s">
        <v>5513</v>
      </c>
      <c r="P2350" s="5">
        <f>XLOOKUP(R2350, classification!C:C, classification!B:B, "Not Found")</f>
      </c>
      <c r="Q2350" s="1" t="s">
        <v>5514</v>
      </c>
      <c r="R2350" s="2"/>
      <c r="S2350" s="2"/>
      <c r="T2350" s="2"/>
      <c r="U2350" s="2"/>
    </row>
    <row x14ac:dyDescent="0.25" r="2351" customHeight="1" ht="17.25">
      <c r="A2351" s="7">
        <v>2350</v>
      </c>
      <c r="B2351" s="1" t="s">
        <v>7714</v>
      </c>
      <c r="C2351" s="5">
        <f>CONCATENATE("PD", TEXT(A2351, "1000000"))</f>
      </c>
      <c r="D2351" s="7">
        <v>76</v>
      </c>
      <c r="E2351" s="5">
        <f>XLOOKUP(G2351, item_category!C:C, item_category!B:B, "Not Found")</f>
      </c>
      <c r="F2351" s="1" t="s">
        <v>5632</v>
      </c>
      <c r="G2351" s="5">
        <f>XLOOKUP(I2351, drug!B:B, drug!A:A, "Not Found")</f>
      </c>
      <c r="H2351" s="1"/>
      <c r="I2351" s="7">
        <v>1</v>
      </c>
      <c r="J2351" s="5">
        <f>XLOOKUP(L2351, uom!C:C, uom!B:B, "Not Found")</f>
      </c>
      <c r="K2351" s="1" t="s">
        <v>5511</v>
      </c>
      <c r="L2351" s="5">
        <f>XLOOKUP(N2351, uom!C:C, uom!B:B, "Not Found")</f>
      </c>
      <c r="M2351" s="1" t="s">
        <v>5511</v>
      </c>
      <c r="N2351" s="8" t="s">
        <v>5512</v>
      </c>
      <c r="O2351" s="1" t="s">
        <v>5513</v>
      </c>
      <c r="P2351" s="5">
        <f>XLOOKUP(R2351, classification!C:C, classification!B:B, "Not Found")</f>
      </c>
      <c r="Q2351" s="1" t="s">
        <v>5514</v>
      </c>
      <c r="R2351" s="2"/>
      <c r="S2351" s="2"/>
      <c r="T2351" s="2"/>
      <c r="U2351" s="2"/>
    </row>
    <row x14ac:dyDescent="0.25" r="2352" customHeight="1" ht="17.25">
      <c r="A2352" s="7">
        <v>2351</v>
      </c>
      <c r="B2352" s="1" t="s">
        <v>7715</v>
      </c>
      <c r="C2352" s="5">
        <f>CONCATENATE("PD", TEXT(A2352, "1000000"))</f>
      </c>
      <c r="D2352" s="7">
        <v>76</v>
      </c>
      <c r="E2352" s="5">
        <f>XLOOKUP(G2352, item_category!C:C, item_category!B:B, "Not Found")</f>
      </c>
      <c r="F2352" s="1" t="s">
        <v>5632</v>
      </c>
      <c r="G2352" s="5">
        <f>XLOOKUP(I2352, drug!B:B, drug!A:A, "Not Found")</f>
      </c>
      <c r="H2352" s="1"/>
      <c r="I2352" s="7">
        <v>1</v>
      </c>
      <c r="J2352" s="5">
        <f>XLOOKUP(L2352, uom!C:C, uom!B:B, "Not Found")</f>
      </c>
      <c r="K2352" s="1" t="s">
        <v>5511</v>
      </c>
      <c r="L2352" s="5">
        <f>XLOOKUP(N2352, uom!C:C, uom!B:B, "Not Found")</f>
      </c>
      <c r="M2352" s="1" t="s">
        <v>5511</v>
      </c>
      <c r="N2352" s="8" t="s">
        <v>5512</v>
      </c>
      <c r="O2352" s="1" t="s">
        <v>5513</v>
      </c>
      <c r="P2352" s="5">
        <f>XLOOKUP(R2352, classification!C:C, classification!B:B, "Not Found")</f>
      </c>
      <c r="Q2352" s="1" t="s">
        <v>5514</v>
      </c>
      <c r="R2352" s="2"/>
      <c r="S2352" s="2"/>
      <c r="T2352" s="2"/>
      <c r="U2352" s="2"/>
    </row>
    <row x14ac:dyDescent="0.25" r="2353" customHeight="1" ht="17.25">
      <c r="A2353" s="7">
        <v>2352</v>
      </c>
      <c r="B2353" s="1" t="s">
        <v>7716</v>
      </c>
      <c r="C2353" s="5">
        <f>CONCATENATE("PD", TEXT(A2353, "1000000"))</f>
      </c>
      <c r="D2353" s="7">
        <v>76</v>
      </c>
      <c r="E2353" s="5">
        <f>XLOOKUP(G2353, item_category!C:C, item_category!B:B, "Not Found")</f>
      </c>
      <c r="F2353" s="1" t="s">
        <v>5632</v>
      </c>
      <c r="G2353" s="5">
        <f>XLOOKUP(I2353, drug!B:B, drug!A:A, "Not Found")</f>
      </c>
      <c r="H2353" s="1"/>
      <c r="I2353" s="7">
        <v>1</v>
      </c>
      <c r="J2353" s="5">
        <f>XLOOKUP(L2353, uom!C:C, uom!B:B, "Not Found")</f>
      </c>
      <c r="K2353" s="1" t="s">
        <v>5511</v>
      </c>
      <c r="L2353" s="5">
        <f>XLOOKUP(N2353, uom!C:C, uom!B:B, "Not Found")</f>
      </c>
      <c r="M2353" s="1" t="s">
        <v>5511</v>
      </c>
      <c r="N2353" s="8" t="s">
        <v>5512</v>
      </c>
      <c r="O2353" s="1" t="s">
        <v>5513</v>
      </c>
      <c r="P2353" s="5">
        <f>XLOOKUP(R2353, classification!C:C, classification!B:B, "Not Found")</f>
      </c>
      <c r="Q2353" s="1" t="s">
        <v>5514</v>
      </c>
      <c r="R2353" s="2"/>
      <c r="S2353" s="2"/>
      <c r="T2353" s="2"/>
      <c r="U2353" s="2"/>
    </row>
    <row x14ac:dyDescent="0.25" r="2354" customHeight="1" ht="17.25">
      <c r="A2354" s="7">
        <v>2353</v>
      </c>
      <c r="B2354" s="1" t="s">
        <v>7717</v>
      </c>
      <c r="C2354" s="5">
        <f>CONCATENATE("PD", TEXT(A2354, "1000000"))</f>
      </c>
      <c r="D2354" s="7">
        <v>76</v>
      </c>
      <c r="E2354" s="5">
        <f>XLOOKUP(G2354, item_category!C:C, item_category!B:B, "Not Found")</f>
      </c>
      <c r="F2354" s="1" t="s">
        <v>5632</v>
      </c>
      <c r="G2354" s="5">
        <f>XLOOKUP(I2354, drug!B:B, drug!A:A, "Not Found")</f>
      </c>
      <c r="H2354" s="1"/>
      <c r="I2354" s="7">
        <v>1</v>
      </c>
      <c r="J2354" s="5">
        <f>XLOOKUP(L2354, uom!C:C, uom!B:B, "Not Found")</f>
      </c>
      <c r="K2354" s="1" t="s">
        <v>5511</v>
      </c>
      <c r="L2354" s="5">
        <f>XLOOKUP(N2354, uom!C:C, uom!B:B, "Not Found")</f>
      </c>
      <c r="M2354" s="1" t="s">
        <v>5511</v>
      </c>
      <c r="N2354" s="8" t="s">
        <v>5512</v>
      </c>
      <c r="O2354" s="1" t="s">
        <v>5513</v>
      </c>
      <c r="P2354" s="5">
        <f>XLOOKUP(R2354, classification!C:C, classification!B:B, "Not Found")</f>
      </c>
      <c r="Q2354" s="1" t="s">
        <v>5514</v>
      </c>
      <c r="R2354" s="2"/>
      <c r="S2354" s="2"/>
      <c r="T2354" s="2"/>
      <c r="U2354" s="2"/>
    </row>
    <row x14ac:dyDescent="0.25" r="2355" customHeight="1" ht="17.25">
      <c r="A2355" s="7">
        <v>2354</v>
      </c>
      <c r="B2355" s="1" t="s">
        <v>7718</v>
      </c>
      <c r="C2355" s="5">
        <f>CONCATENATE("PD", TEXT(A2355, "1000000"))</f>
      </c>
      <c r="D2355" s="7">
        <v>76</v>
      </c>
      <c r="E2355" s="5">
        <f>XLOOKUP(G2355, item_category!C:C, item_category!B:B, "Not Found")</f>
      </c>
      <c r="F2355" s="1" t="s">
        <v>5632</v>
      </c>
      <c r="G2355" s="5">
        <f>XLOOKUP(I2355, drug!B:B, drug!A:A, "Not Found")</f>
      </c>
      <c r="H2355" s="1"/>
      <c r="I2355" s="7">
        <v>1</v>
      </c>
      <c r="J2355" s="5">
        <f>XLOOKUP(L2355, uom!C:C, uom!B:B, "Not Found")</f>
      </c>
      <c r="K2355" s="1" t="s">
        <v>5511</v>
      </c>
      <c r="L2355" s="5">
        <f>XLOOKUP(N2355, uom!C:C, uom!B:B, "Not Found")</f>
      </c>
      <c r="M2355" s="1" t="s">
        <v>5511</v>
      </c>
      <c r="N2355" s="8" t="s">
        <v>5512</v>
      </c>
      <c r="O2355" s="1" t="s">
        <v>5513</v>
      </c>
      <c r="P2355" s="5">
        <f>XLOOKUP(R2355, classification!C:C, classification!B:B, "Not Found")</f>
      </c>
      <c r="Q2355" s="1" t="s">
        <v>5514</v>
      </c>
      <c r="R2355" s="2"/>
      <c r="S2355" s="2"/>
      <c r="T2355" s="2"/>
      <c r="U2355" s="2"/>
    </row>
    <row x14ac:dyDescent="0.25" r="2356" customHeight="1" ht="17.25">
      <c r="A2356" s="7">
        <v>2355</v>
      </c>
      <c r="B2356" s="1" t="s">
        <v>7719</v>
      </c>
      <c r="C2356" s="5">
        <f>CONCATENATE("PD", TEXT(A2356, "1000000"))</f>
      </c>
      <c r="D2356" s="7">
        <v>76</v>
      </c>
      <c r="E2356" s="5">
        <f>XLOOKUP(G2356, item_category!C:C, item_category!B:B, "Not Found")</f>
      </c>
      <c r="F2356" s="1" t="s">
        <v>5632</v>
      </c>
      <c r="G2356" s="5">
        <f>XLOOKUP(I2356, drug!B:B, drug!A:A, "Not Found")</f>
      </c>
      <c r="H2356" s="1"/>
      <c r="I2356" s="7">
        <v>1</v>
      </c>
      <c r="J2356" s="5">
        <f>XLOOKUP(L2356, uom!C:C, uom!B:B, "Not Found")</f>
      </c>
      <c r="K2356" s="1" t="s">
        <v>5511</v>
      </c>
      <c r="L2356" s="5">
        <f>XLOOKUP(N2356, uom!C:C, uom!B:B, "Not Found")</f>
      </c>
      <c r="M2356" s="1" t="s">
        <v>5511</v>
      </c>
      <c r="N2356" s="8" t="s">
        <v>5512</v>
      </c>
      <c r="O2356" s="1" t="s">
        <v>5513</v>
      </c>
      <c r="P2356" s="5">
        <f>XLOOKUP(R2356, classification!C:C, classification!B:B, "Not Found")</f>
      </c>
      <c r="Q2356" s="1" t="s">
        <v>5514</v>
      </c>
      <c r="R2356" s="2"/>
      <c r="S2356" s="2"/>
      <c r="T2356" s="2"/>
      <c r="U2356" s="2"/>
    </row>
    <row x14ac:dyDescent="0.25" r="2357" customHeight="1" ht="17.25">
      <c r="A2357" s="7">
        <v>2356</v>
      </c>
      <c r="B2357" s="1" t="s">
        <v>7720</v>
      </c>
      <c r="C2357" s="5">
        <f>CONCATENATE("PD", TEXT(A2357, "1000000"))</f>
      </c>
      <c r="D2357" s="7">
        <v>76</v>
      </c>
      <c r="E2357" s="5">
        <f>XLOOKUP(G2357, item_category!C:C, item_category!B:B, "Not Found")</f>
      </c>
      <c r="F2357" s="1" t="s">
        <v>5632</v>
      </c>
      <c r="G2357" s="5">
        <f>XLOOKUP(I2357, drug!B:B, drug!A:A, "Not Found")</f>
      </c>
      <c r="H2357" s="1"/>
      <c r="I2357" s="7">
        <v>1</v>
      </c>
      <c r="J2357" s="5">
        <f>XLOOKUP(L2357, uom!C:C, uom!B:B, "Not Found")</f>
      </c>
      <c r="K2357" s="1" t="s">
        <v>5511</v>
      </c>
      <c r="L2357" s="5">
        <f>XLOOKUP(N2357, uom!C:C, uom!B:B, "Not Found")</f>
      </c>
      <c r="M2357" s="1" t="s">
        <v>5511</v>
      </c>
      <c r="N2357" s="8" t="s">
        <v>5512</v>
      </c>
      <c r="O2357" s="1" t="s">
        <v>5513</v>
      </c>
      <c r="P2357" s="5">
        <f>XLOOKUP(R2357, classification!C:C, classification!B:B, "Not Found")</f>
      </c>
      <c r="Q2357" s="1" t="s">
        <v>5514</v>
      </c>
      <c r="R2357" s="2"/>
      <c r="S2357" s="2"/>
      <c r="T2357" s="2"/>
      <c r="U2357" s="2"/>
    </row>
    <row x14ac:dyDescent="0.25" r="2358" customHeight="1" ht="17.25">
      <c r="A2358" s="7">
        <v>2357</v>
      </c>
      <c r="B2358" s="1" t="s">
        <v>7721</v>
      </c>
      <c r="C2358" s="5">
        <f>CONCATENATE("PD", TEXT(A2358, "1000000"))</f>
      </c>
      <c r="D2358" s="7">
        <v>76</v>
      </c>
      <c r="E2358" s="5">
        <f>XLOOKUP(G2358, item_category!C:C, item_category!B:B, "Not Found")</f>
      </c>
      <c r="F2358" s="1" t="s">
        <v>5632</v>
      </c>
      <c r="G2358" s="5">
        <f>XLOOKUP(I2358, drug!B:B, drug!A:A, "Not Found")</f>
      </c>
      <c r="H2358" s="1"/>
      <c r="I2358" s="7">
        <v>1</v>
      </c>
      <c r="J2358" s="5">
        <f>XLOOKUP(L2358, uom!C:C, uom!B:B, "Not Found")</f>
      </c>
      <c r="K2358" s="1" t="s">
        <v>5511</v>
      </c>
      <c r="L2358" s="5">
        <f>XLOOKUP(N2358, uom!C:C, uom!B:B, "Not Found")</f>
      </c>
      <c r="M2358" s="1" t="s">
        <v>5511</v>
      </c>
      <c r="N2358" s="8" t="s">
        <v>5512</v>
      </c>
      <c r="O2358" s="1" t="s">
        <v>5513</v>
      </c>
      <c r="P2358" s="5">
        <f>XLOOKUP(R2358, classification!C:C, classification!B:B, "Not Found")</f>
      </c>
      <c r="Q2358" s="1" t="s">
        <v>5514</v>
      </c>
      <c r="R2358" s="2"/>
      <c r="S2358" s="2"/>
      <c r="T2358" s="2"/>
      <c r="U2358" s="2"/>
    </row>
    <row x14ac:dyDescent="0.25" r="2359" customHeight="1" ht="17.25">
      <c r="A2359" s="7">
        <v>2358</v>
      </c>
      <c r="B2359" s="1" t="s">
        <v>7722</v>
      </c>
      <c r="C2359" s="5">
        <f>CONCATENATE("PD", TEXT(A2359, "1000000"))</f>
      </c>
      <c r="D2359" s="7">
        <v>76</v>
      </c>
      <c r="E2359" s="5">
        <f>XLOOKUP(G2359, item_category!C:C, item_category!B:B, "Not Found")</f>
      </c>
      <c r="F2359" s="1" t="s">
        <v>5632</v>
      </c>
      <c r="G2359" s="5">
        <f>XLOOKUP(I2359, drug!B:B, drug!A:A, "Not Found")</f>
      </c>
      <c r="H2359" s="1"/>
      <c r="I2359" s="7">
        <v>1</v>
      </c>
      <c r="J2359" s="5">
        <f>XLOOKUP(L2359, uom!C:C, uom!B:B, "Not Found")</f>
      </c>
      <c r="K2359" s="1" t="s">
        <v>5511</v>
      </c>
      <c r="L2359" s="5">
        <f>XLOOKUP(N2359, uom!C:C, uom!B:B, "Not Found")</f>
      </c>
      <c r="M2359" s="1" t="s">
        <v>5511</v>
      </c>
      <c r="N2359" s="8" t="s">
        <v>5512</v>
      </c>
      <c r="O2359" s="1" t="s">
        <v>5513</v>
      </c>
      <c r="P2359" s="5">
        <f>XLOOKUP(R2359, classification!C:C, classification!B:B, "Not Found")</f>
      </c>
      <c r="Q2359" s="1" t="s">
        <v>5514</v>
      </c>
      <c r="R2359" s="2"/>
      <c r="S2359" s="2"/>
      <c r="T2359" s="2"/>
      <c r="U2359" s="2"/>
    </row>
    <row x14ac:dyDescent="0.25" r="2360" customHeight="1" ht="17.25">
      <c r="A2360" s="7">
        <v>2359</v>
      </c>
      <c r="B2360" s="1" t="s">
        <v>7723</v>
      </c>
      <c r="C2360" s="5">
        <f>CONCATENATE("PD", TEXT(A2360, "1000000"))</f>
      </c>
      <c r="D2360" s="7">
        <v>76</v>
      </c>
      <c r="E2360" s="5">
        <f>XLOOKUP(G2360, item_category!C:C, item_category!B:B, "Not Found")</f>
      </c>
      <c r="F2360" s="1" t="s">
        <v>5632</v>
      </c>
      <c r="G2360" s="5">
        <f>XLOOKUP(I2360, drug!B:B, drug!A:A, "Not Found")</f>
      </c>
      <c r="H2360" s="1"/>
      <c r="I2360" s="7">
        <v>1</v>
      </c>
      <c r="J2360" s="5">
        <f>XLOOKUP(L2360, uom!C:C, uom!B:B, "Not Found")</f>
      </c>
      <c r="K2360" s="1" t="s">
        <v>5511</v>
      </c>
      <c r="L2360" s="5">
        <f>XLOOKUP(N2360, uom!C:C, uom!B:B, "Not Found")</f>
      </c>
      <c r="M2360" s="1" t="s">
        <v>5511</v>
      </c>
      <c r="N2360" s="8" t="s">
        <v>5512</v>
      </c>
      <c r="O2360" s="1" t="s">
        <v>5513</v>
      </c>
      <c r="P2360" s="5">
        <f>XLOOKUP(R2360, classification!C:C, classification!B:B, "Not Found")</f>
      </c>
      <c r="Q2360" s="1" t="s">
        <v>5514</v>
      </c>
      <c r="R2360" s="2"/>
      <c r="S2360" s="2"/>
      <c r="T2360" s="2"/>
      <c r="U2360" s="2"/>
    </row>
    <row x14ac:dyDescent="0.25" r="2361" customHeight="1" ht="17.25">
      <c r="A2361" s="7">
        <v>2360</v>
      </c>
      <c r="B2361" s="1" t="s">
        <v>7724</v>
      </c>
      <c r="C2361" s="5">
        <f>CONCATENATE("PD", TEXT(A2361, "1000000"))</f>
      </c>
      <c r="D2361" s="7">
        <v>76</v>
      </c>
      <c r="E2361" s="5">
        <f>XLOOKUP(G2361, item_category!C:C, item_category!B:B, "Not Found")</f>
      </c>
      <c r="F2361" s="1" t="s">
        <v>5632</v>
      </c>
      <c r="G2361" s="5">
        <f>XLOOKUP(I2361, drug!B:B, drug!A:A, "Not Found")</f>
      </c>
      <c r="H2361" s="1"/>
      <c r="I2361" s="7">
        <v>1</v>
      </c>
      <c r="J2361" s="5">
        <f>XLOOKUP(L2361, uom!C:C, uom!B:B, "Not Found")</f>
      </c>
      <c r="K2361" s="1" t="s">
        <v>5511</v>
      </c>
      <c r="L2361" s="5">
        <f>XLOOKUP(N2361, uom!C:C, uom!B:B, "Not Found")</f>
      </c>
      <c r="M2361" s="1" t="s">
        <v>5511</v>
      </c>
      <c r="N2361" s="8" t="s">
        <v>5512</v>
      </c>
      <c r="O2361" s="1" t="s">
        <v>5513</v>
      </c>
      <c r="P2361" s="5">
        <f>XLOOKUP(R2361, classification!C:C, classification!B:B, "Not Found")</f>
      </c>
      <c r="Q2361" s="1" t="s">
        <v>5514</v>
      </c>
      <c r="R2361" s="2"/>
      <c r="S2361" s="2"/>
      <c r="T2361" s="2"/>
      <c r="U2361" s="2"/>
    </row>
    <row x14ac:dyDescent="0.25" r="2362" customHeight="1" ht="17.25">
      <c r="A2362" s="7">
        <v>2361</v>
      </c>
      <c r="B2362" s="1" t="s">
        <v>7725</v>
      </c>
      <c r="C2362" s="5">
        <f>CONCATENATE("PD", TEXT(A2362, "1000000"))</f>
      </c>
      <c r="D2362" s="7">
        <v>76</v>
      </c>
      <c r="E2362" s="5">
        <f>XLOOKUP(G2362, item_category!C:C, item_category!B:B, "Not Found")</f>
      </c>
      <c r="F2362" s="1" t="s">
        <v>5632</v>
      </c>
      <c r="G2362" s="5">
        <f>XLOOKUP(I2362, drug!B:B, drug!A:A, "Not Found")</f>
      </c>
      <c r="H2362" s="1"/>
      <c r="I2362" s="7">
        <v>1</v>
      </c>
      <c r="J2362" s="5">
        <f>XLOOKUP(L2362, uom!C:C, uom!B:B, "Not Found")</f>
      </c>
      <c r="K2362" s="1" t="s">
        <v>5511</v>
      </c>
      <c r="L2362" s="5">
        <f>XLOOKUP(N2362, uom!C:C, uom!B:B, "Not Found")</f>
      </c>
      <c r="M2362" s="1" t="s">
        <v>5511</v>
      </c>
      <c r="N2362" s="8" t="s">
        <v>5512</v>
      </c>
      <c r="O2362" s="1" t="s">
        <v>5513</v>
      </c>
      <c r="P2362" s="5">
        <f>XLOOKUP(R2362, classification!C:C, classification!B:B, "Not Found")</f>
      </c>
      <c r="Q2362" s="1" t="s">
        <v>5514</v>
      </c>
      <c r="R2362" s="2"/>
      <c r="S2362" s="2"/>
      <c r="T2362" s="2"/>
      <c r="U2362" s="2"/>
    </row>
    <row x14ac:dyDescent="0.25" r="2363" customHeight="1" ht="17.25">
      <c r="A2363" s="7">
        <v>2362</v>
      </c>
      <c r="B2363" s="1" t="s">
        <v>7726</v>
      </c>
      <c r="C2363" s="5">
        <f>CONCATENATE("PD", TEXT(A2363, "1000000"))</f>
      </c>
      <c r="D2363" s="7">
        <v>76</v>
      </c>
      <c r="E2363" s="5">
        <f>XLOOKUP(G2363, item_category!C:C, item_category!B:B, "Not Found")</f>
      </c>
      <c r="F2363" s="1" t="s">
        <v>5632</v>
      </c>
      <c r="G2363" s="5">
        <f>XLOOKUP(I2363, drug!B:B, drug!A:A, "Not Found")</f>
      </c>
      <c r="H2363" s="1"/>
      <c r="I2363" s="7">
        <v>1</v>
      </c>
      <c r="J2363" s="5">
        <f>XLOOKUP(L2363, uom!C:C, uom!B:B, "Not Found")</f>
      </c>
      <c r="K2363" s="1" t="s">
        <v>5511</v>
      </c>
      <c r="L2363" s="5">
        <f>XLOOKUP(N2363, uom!C:C, uom!B:B, "Not Found")</f>
      </c>
      <c r="M2363" s="1" t="s">
        <v>5511</v>
      </c>
      <c r="N2363" s="8" t="s">
        <v>5512</v>
      </c>
      <c r="O2363" s="1" t="s">
        <v>5513</v>
      </c>
      <c r="P2363" s="5">
        <f>XLOOKUP(R2363, classification!C:C, classification!B:B, "Not Found")</f>
      </c>
      <c r="Q2363" s="1" t="s">
        <v>5514</v>
      </c>
      <c r="R2363" s="2"/>
      <c r="S2363" s="2"/>
      <c r="T2363" s="2"/>
      <c r="U2363" s="2"/>
    </row>
    <row x14ac:dyDescent="0.25" r="2364" customHeight="1" ht="17.25">
      <c r="A2364" s="7">
        <v>2363</v>
      </c>
      <c r="B2364" s="1" t="s">
        <v>7727</v>
      </c>
      <c r="C2364" s="5">
        <f>CONCATENATE("PD", TEXT(A2364, "1000000"))</f>
      </c>
      <c r="D2364" s="7">
        <v>76</v>
      </c>
      <c r="E2364" s="5">
        <f>XLOOKUP(G2364, item_category!C:C, item_category!B:B, "Not Found")</f>
      </c>
      <c r="F2364" s="1" t="s">
        <v>5632</v>
      </c>
      <c r="G2364" s="5">
        <f>XLOOKUP(I2364, drug!B:B, drug!A:A, "Not Found")</f>
      </c>
      <c r="H2364" s="1" t="s">
        <v>1942</v>
      </c>
      <c r="I2364" s="7">
        <v>1</v>
      </c>
      <c r="J2364" s="5">
        <f>XLOOKUP(L2364, uom!C:C, uom!B:B, "Not Found")</f>
      </c>
      <c r="K2364" s="1" t="s">
        <v>5511</v>
      </c>
      <c r="L2364" s="5">
        <f>XLOOKUP(N2364, uom!C:C, uom!B:B, "Not Found")</f>
      </c>
      <c r="M2364" s="1" t="s">
        <v>5511</v>
      </c>
      <c r="N2364" s="8" t="s">
        <v>5512</v>
      </c>
      <c r="O2364" s="1" t="s">
        <v>5513</v>
      </c>
      <c r="P2364" s="5">
        <f>XLOOKUP(R2364, classification!C:C, classification!B:B, "Not Found")</f>
      </c>
      <c r="Q2364" s="1" t="s">
        <v>5514</v>
      </c>
      <c r="R2364" s="2"/>
      <c r="S2364" s="2"/>
      <c r="T2364" s="2"/>
      <c r="U2364" s="2"/>
    </row>
    <row x14ac:dyDescent="0.25" r="2365" customHeight="1" ht="17.25">
      <c r="A2365" s="7">
        <v>2364</v>
      </c>
      <c r="B2365" s="1" t="s">
        <v>7728</v>
      </c>
      <c r="C2365" s="5">
        <f>CONCATENATE("PD", TEXT(A2365, "1000000"))</f>
      </c>
      <c r="D2365" s="7">
        <v>76</v>
      </c>
      <c r="E2365" s="5">
        <f>XLOOKUP(G2365, item_category!C:C, item_category!B:B, "Not Found")</f>
      </c>
      <c r="F2365" s="1" t="s">
        <v>5632</v>
      </c>
      <c r="G2365" s="5">
        <f>XLOOKUP(I2365, drug!B:B, drug!A:A, "Not Found")</f>
      </c>
      <c r="H2365" s="1"/>
      <c r="I2365" s="7">
        <v>1</v>
      </c>
      <c r="J2365" s="5">
        <f>XLOOKUP(L2365, uom!C:C, uom!B:B, "Not Found")</f>
      </c>
      <c r="K2365" s="1" t="s">
        <v>5511</v>
      </c>
      <c r="L2365" s="5">
        <f>XLOOKUP(N2365, uom!C:C, uom!B:B, "Not Found")</f>
      </c>
      <c r="M2365" s="1" t="s">
        <v>5511</v>
      </c>
      <c r="N2365" s="8" t="s">
        <v>5512</v>
      </c>
      <c r="O2365" s="1" t="s">
        <v>5513</v>
      </c>
      <c r="P2365" s="5">
        <f>XLOOKUP(R2365, classification!C:C, classification!B:B, "Not Found")</f>
      </c>
      <c r="Q2365" s="1" t="s">
        <v>5514</v>
      </c>
      <c r="R2365" s="2"/>
      <c r="S2365" s="2"/>
      <c r="T2365" s="2"/>
      <c r="U2365" s="2"/>
    </row>
    <row x14ac:dyDescent="0.25" r="2366" customHeight="1" ht="17.25">
      <c r="A2366" s="7">
        <v>2365</v>
      </c>
      <c r="B2366" s="1" t="s">
        <v>7729</v>
      </c>
      <c r="C2366" s="5">
        <f>CONCATENATE("PD", TEXT(A2366, "1000000"))</f>
      </c>
      <c r="D2366" s="7">
        <v>76</v>
      </c>
      <c r="E2366" s="5">
        <f>XLOOKUP(G2366, item_category!C:C, item_category!B:B, "Not Found")</f>
      </c>
      <c r="F2366" s="1" t="s">
        <v>5632</v>
      </c>
      <c r="G2366" s="5">
        <f>XLOOKUP(I2366, drug!B:B, drug!A:A, "Not Found")</f>
      </c>
      <c r="H2366" s="1"/>
      <c r="I2366" s="7">
        <v>1</v>
      </c>
      <c r="J2366" s="5">
        <f>XLOOKUP(L2366, uom!C:C, uom!B:B, "Not Found")</f>
      </c>
      <c r="K2366" s="1" t="s">
        <v>5511</v>
      </c>
      <c r="L2366" s="5">
        <f>XLOOKUP(N2366, uom!C:C, uom!B:B, "Not Found")</f>
      </c>
      <c r="M2366" s="1" t="s">
        <v>5511</v>
      </c>
      <c r="N2366" s="8" t="s">
        <v>5512</v>
      </c>
      <c r="O2366" s="1" t="s">
        <v>5513</v>
      </c>
      <c r="P2366" s="5">
        <f>XLOOKUP(R2366, classification!C:C, classification!B:B, "Not Found")</f>
      </c>
      <c r="Q2366" s="1" t="s">
        <v>5514</v>
      </c>
      <c r="R2366" s="2"/>
      <c r="S2366" s="2"/>
      <c r="T2366" s="2"/>
      <c r="U2366" s="2"/>
    </row>
    <row x14ac:dyDescent="0.25" r="2367" customHeight="1" ht="17.25">
      <c r="A2367" s="7">
        <v>2366</v>
      </c>
      <c r="B2367" s="1" t="s">
        <v>7730</v>
      </c>
      <c r="C2367" s="5">
        <f>CONCATENATE("PD", TEXT(A2367, "1000000"))</f>
      </c>
      <c r="D2367" s="7">
        <v>76</v>
      </c>
      <c r="E2367" s="5">
        <f>XLOOKUP(G2367, item_category!C:C, item_category!B:B, "Not Found")</f>
      </c>
      <c r="F2367" s="1" t="s">
        <v>5632</v>
      </c>
      <c r="G2367" s="5">
        <f>XLOOKUP(I2367, drug!B:B, drug!A:A, "Not Found")</f>
      </c>
      <c r="H2367" s="1"/>
      <c r="I2367" s="7">
        <v>1</v>
      </c>
      <c r="J2367" s="5">
        <f>XLOOKUP(L2367, uom!C:C, uom!B:B, "Not Found")</f>
      </c>
      <c r="K2367" s="1" t="s">
        <v>5511</v>
      </c>
      <c r="L2367" s="5">
        <f>XLOOKUP(N2367, uom!C:C, uom!B:B, "Not Found")</f>
      </c>
      <c r="M2367" s="1" t="s">
        <v>5511</v>
      </c>
      <c r="N2367" s="8" t="s">
        <v>5512</v>
      </c>
      <c r="O2367" s="1" t="s">
        <v>5513</v>
      </c>
      <c r="P2367" s="5">
        <f>XLOOKUP(R2367, classification!C:C, classification!B:B, "Not Found")</f>
      </c>
      <c r="Q2367" s="1" t="s">
        <v>5514</v>
      </c>
      <c r="R2367" s="2"/>
      <c r="S2367" s="2"/>
      <c r="T2367" s="2"/>
      <c r="U2367" s="2"/>
    </row>
    <row x14ac:dyDescent="0.25" r="2368" customHeight="1" ht="17.25">
      <c r="A2368" s="7">
        <v>2367</v>
      </c>
      <c r="B2368" s="1" t="s">
        <v>7731</v>
      </c>
      <c r="C2368" s="5">
        <f>CONCATENATE("PD", TEXT(A2368, "1000000"))</f>
      </c>
      <c r="D2368" s="7">
        <v>76</v>
      </c>
      <c r="E2368" s="5">
        <f>XLOOKUP(G2368, item_category!C:C, item_category!B:B, "Not Found")</f>
      </c>
      <c r="F2368" s="1" t="s">
        <v>5632</v>
      </c>
      <c r="G2368" s="5">
        <f>XLOOKUP(I2368, drug!B:B, drug!A:A, "Not Found")</f>
      </c>
      <c r="H2368" s="1"/>
      <c r="I2368" s="7">
        <v>1</v>
      </c>
      <c r="J2368" s="5">
        <f>XLOOKUP(L2368, uom!C:C, uom!B:B, "Not Found")</f>
      </c>
      <c r="K2368" s="1" t="s">
        <v>5511</v>
      </c>
      <c r="L2368" s="5">
        <f>XLOOKUP(N2368, uom!C:C, uom!B:B, "Not Found")</f>
      </c>
      <c r="M2368" s="1" t="s">
        <v>5511</v>
      </c>
      <c r="N2368" s="8" t="s">
        <v>5512</v>
      </c>
      <c r="O2368" s="1" t="s">
        <v>5513</v>
      </c>
      <c r="P2368" s="5">
        <f>XLOOKUP(R2368, classification!C:C, classification!B:B, "Not Found")</f>
      </c>
      <c r="Q2368" s="1" t="s">
        <v>5514</v>
      </c>
      <c r="R2368" s="2"/>
      <c r="S2368" s="2"/>
      <c r="T2368" s="2"/>
      <c r="U2368" s="2"/>
    </row>
    <row x14ac:dyDescent="0.25" r="2369" customHeight="1" ht="17.25">
      <c r="A2369" s="7">
        <v>2368</v>
      </c>
      <c r="B2369" s="1" t="s">
        <v>7732</v>
      </c>
      <c r="C2369" s="5">
        <f>CONCATENATE("PD", TEXT(A2369, "1000000"))</f>
      </c>
      <c r="D2369" s="7">
        <v>76</v>
      </c>
      <c r="E2369" s="5">
        <f>XLOOKUP(G2369, item_category!C:C, item_category!B:B, "Not Found")</f>
      </c>
      <c r="F2369" s="1" t="s">
        <v>5632</v>
      </c>
      <c r="G2369" s="5">
        <f>XLOOKUP(I2369, drug!B:B, drug!A:A, "Not Found")</f>
      </c>
      <c r="H2369" s="1"/>
      <c r="I2369" s="7">
        <v>1</v>
      </c>
      <c r="J2369" s="5">
        <f>XLOOKUP(L2369, uom!C:C, uom!B:B, "Not Found")</f>
      </c>
      <c r="K2369" s="1" t="s">
        <v>5511</v>
      </c>
      <c r="L2369" s="5">
        <f>XLOOKUP(N2369, uom!C:C, uom!B:B, "Not Found")</f>
      </c>
      <c r="M2369" s="1" t="s">
        <v>5511</v>
      </c>
      <c r="N2369" s="8" t="s">
        <v>5512</v>
      </c>
      <c r="O2369" s="1" t="s">
        <v>5513</v>
      </c>
      <c r="P2369" s="5">
        <f>XLOOKUP(R2369, classification!C:C, classification!B:B, "Not Found")</f>
      </c>
      <c r="Q2369" s="1" t="s">
        <v>5514</v>
      </c>
      <c r="R2369" s="2"/>
      <c r="S2369" s="2"/>
      <c r="T2369" s="2"/>
      <c r="U2369" s="2"/>
    </row>
    <row x14ac:dyDescent="0.25" r="2370" customHeight="1" ht="17.25">
      <c r="A2370" s="7">
        <v>2369</v>
      </c>
      <c r="B2370" s="1" t="s">
        <v>7732</v>
      </c>
      <c r="C2370" s="5">
        <f>CONCATENATE("PD", TEXT(A2370, "1000000"))</f>
      </c>
      <c r="D2370" s="7">
        <v>76</v>
      </c>
      <c r="E2370" s="5">
        <f>XLOOKUP(G2370, item_category!C:C, item_category!B:B, "Not Found")</f>
      </c>
      <c r="F2370" s="1" t="s">
        <v>5632</v>
      </c>
      <c r="G2370" s="5">
        <f>XLOOKUP(I2370, drug!B:B, drug!A:A, "Not Found")</f>
      </c>
      <c r="H2370" s="1"/>
      <c r="I2370" s="7">
        <v>1</v>
      </c>
      <c r="J2370" s="5">
        <f>XLOOKUP(L2370, uom!C:C, uom!B:B, "Not Found")</f>
      </c>
      <c r="K2370" s="1" t="s">
        <v>5511</v>
      </c>
      <c r="L2370" s="5">
        <f>XLOOKUP(N2370, uom!C:C, uom!B:B, "Not Found")</f>
      </c>
      <c r="M2370" s="1" t="s">
        <v>5511</v>
      </c>
      <c r="N2370" s="8" t="s">
        <v>5512</v>
      </c>
      <c r="O2370" s="1" t="s">
        <v>5513</v>
      </c>
      <c r="P2370" s="5">
        <f>XLOOKUP(R2370, classification!C:C, classification!B:B, "Not Found")</f>
      </c>
      <c r="Q2370" s="1" t="s">
        <v>5514</v>
      </c>
      <c r="R2370" s="2"/>
      <c r="S2370" s="2"/>
      <c r="T2370" s="2"/>
      <c r="U2370" s="2"/>
    </row>
    <row x14ac:dyDescent="0.25" r="2371" customHeight="1" ht="17.25">
      <c r="A2371" s="7">
        <v>2370</v>
      </c>
      <c r="B2371" s="1" t="s">
        <v>7733</v>
      </c>
      <c r="C2371" s="5">
        <f>CONCATENATE("PD", TEXT(A2371, "1000000"))</f>
      </c>
      <c r="D2371" s="7">
        <v>76</v>
      </c>
      <c r="E2371" s="5">
        <f>XLOOKUP(G2371, item_category!C:C, item_category!B:B, "Not Found")</f>
      </c>
      <c r="F2371" s="1" t="s">
        <v>5632</v>
      </c>
      <c r="G2371" s="5">
        <f>XLOOKUP(I2371, drug!B:B, drug!A:A, "Not Found")</f>
      </c>
      <c r="H2371" s="1"/>
      <c r="I2371" s="7">
        <v>1</v>
      </c>
      <c r="J2371" s="5">
        <f>XLOOKUP(L2371, uom!C:C, uom!B:B, "Not Found")</f>
      </c>
      <c r="K2371" s="1" t="s">
        <v>5511</v>
      </c>
      <c r="L2371" s="5">
        <f>XLOOKUP(N2371, uom!C:C, uom!B:B, "Not Found")</f>
      </c>
      <c r="M2371" s="1" t="s">
        <v>5511</v>
      </c>
      <c r="N2371" s="8" t="s">
        <v>5512</v>
      </c>
      <c r="O2371" s="1" t="s">
        <v>5513</v>
      </c>
      <c r="P2371" s="5">
        <f>XLOOKUP(R2371, classification!C:C, classification!B:B, "Not Found")</f>
      </c>
      <c r="Q2371" s="1" t="s">
        <v>5514</v>
      </c>
      <c r="R2371" s="2"/>
      <c r="S2371" s="2"/>
      <c r="T2371" s="2"/>
      <c r="U2371" s="2"/>
    </row>
    <row x14ac:dyDescent="0.25" r="2372" customHeight="1" ht="17.25">
      <c r="A2372" s="7">
        <v>2371</v>
      </c>
      <c r="B2372" s="1" t="s">
        <v>7734</v>
      </c>
      <c r="C2372" s="5">
        <f>CONCATENATE("PD", TEXT(A2372, "1000000"))</f>
      </c>
      <c r="D2372" s="7">
        <v>76</v>
      </c>
      <c r="E2372" s="5">
        <f>XLOOKUP(G2372, item_category!C:C, item_category!B:B, "Not Found")</f>
      </c>
      <c r="F2372" s="1" t="s">
        <v>5632</v>
      </c>
      <c r="G2372" s="5">
        <f>XLOOKUP(I2372, drug!B:B, drug!A:A, "Not Found")</f>
      </c>
      <c r="H2372" s="1"/>
      <c r="I2372" s="7">
        <v>1</v>
      </c>
      <c r="J2372" s="5">
        <f>XLOOKUP(L2372, uom!C:C, uom!B:B, "Not Found")</f>
      </c>
      <c r="K2372" s="1" t="s">
        <v>5511</v>
      </c>
      <c r="L2372" s="5">
        <f>XLOOKUP(N2372, uom!C:C, uom!B:B, "Not Found")</f>
      </c>
      <c r="M2372" s="1" t="s">
        <v>5511</v>
      </c>
      <c r="N2372" s="8" t="s">
        <v>5512</v>
      </c>
      <c r="O2372" s="1" t="s">
        <v>5513</v>
      </c>
      <c r="P2372" s="5">
        <f>XLOOKUP(R2372, classification!C:C, classification!B:B, "Not Found")</f>
      </c>
      <c r="Q2372" s="1" t="s">
        <v>5514</v>
      </c>
      <c r="R2372" s="2"/>
      <c r="S2372" s="2"/>
      <c r="T2372" s="2"/>
      <c r="U2372" s="2"/>
    </row>
    <row x14ac:dyDescent="0.25" r="2373" customHeight="1" ht="17.25">
      <c r="A2373" s="7">
        <v>2372</v>
      </c>
      <c r="B2373" s="1" t="s">
        <v>7735</v>
      </c>
      <c r="C2373" s="5">
        <f>CONCATENATE("PD", TEXT(A2373, "1000000"))</f>
      </c>
      <c r="D2373" s="7">
        <v>76</v>
      </c>
      <c r="E2373" s="5">
        <f>XLOOKUP(G2373, item_category!C:C, item_category!B:B, "Not Found")</f>
      </c>
      <c r="F2373" s="1" t="s">
        <v>5632</v>
      </c>
      <c r="G2373" s="5">
        <f>XLOOKUP(I2373, drug!B:B, drug!A:A, "Not Found")</f>
      </c>
      <c r="H2373" s="1"/>
      <c r="I2373" s="7">
        <v>1</v>
      </c>
      <c r="J2373" s="5">
        <f>XLOOKUP(L2373, uom!C:C, uom!B:B, "Not Found")</f>
      </c>
      <c r="K2373" s="1" t="s">
        <v>5511</v>
      </c>
      <c r="L2373" s="5">
        <f>XLOOKUP(N2373, uom!C:C, uom!B:B, "Not Found")</f>
      </c>
      <c r="M2373" s="1" t="s">
        <v>5511</v>
      </c>
      <c r="N2373" s="8" t="s">
        <v>5512</v>
      </c>
      <c r="O2373" s="1" t="s">
        <v>5513</v>
      </c>
      <c r="P2373" s="5">
        <f>XLOOKUP(R2373, classification!C:C, classification!B:B, "Not Found")</f>
      </c>
      <c r="Q2373" s="1" t="s">
        <v>5514</v>
      </c>
      <c r="R2373" s="2"/>
      <c r="S2373" s="2"/>
      <c r="T2373" s="2"/>
      <c r="U2373" s="2"/>
    </row>
    <row x14ac:dyDescent="0.25" r="2374" customHeight="1" ht="17.25">
      <c r="A2374" s="7">
        <v>2373</v>
      </c>
      <c r="B2374" s="1" t="s">
        <v>7736</v>
      </c>
      <c r="C2374" s="5">
        <f>CONCATENATE("PD", TEXT(A2374, "1000000"))</f>
      </c>
      <c r="D2374" s="7">
        <v>76</v>
      </c>
      <c r="E2374" s="5">
        <f>XLOOKUP(G2374, item_category!C:C, item_category!B:B, "Not Found")</f>
      </c>
      <c r="F2374" s="1" t="s">
        <v>5632</v>
      </c>
      <c r="G2374" s="5">
        <f>XLOOKUP(I2374, drug!B:B, drug!A:A, "Not Found")</f>
      </c>
      <c r="H2374" s="1"/>
      <c r="I2374" s="7">
        <v>1</v>
      </c>
      <c r="J2374" s="5">
        <f>XLOOKUP(L2374, uom!C:C, uom!B:B, "Not Found")</f>
      </c>
      <c r="K2374" s="1" t="s">
        <v>5511</v>
      </c>
      <c r="L2374" s="5">
        <f>XLOOKUP(N2374, uom!C:C, uom!B:B, "Not Found")</f>
      </c>
      <c r="M2374" s="1" t="s">
        <v>5511</v>
      </c>
      <c r="N2374" s="8" t="s">
        <v>5512</v>
      </c>
      <c r="O2374" s="1" t="s">
        <v>5513</v>
      </c>
      <c r="P2374" s="5">
        <f>XLOOKUP(R2374, classification!C:C, classification!B:B, "Not Found")</f>
      </c>
      <c r="Q2374" s="1" t="s">
        <v>5514</v>
      </c>
      <c r="R2374" s="2"/>
      <c r="S2374" s="2"/>
      <c r="T2374" s="2"/>
      <c r="U2374" s="2"/>
    </row>
    <row x14ac:dyDescent="0.25" r="2375" customHeight="1" ht="17.25">
      <c r="A2375" s="7">
        <v>2374</v>
      </c>
      <c r="B2375" s="1" t="s">
        <v>7737</v>
      </c>
      <c r="C2375" s="5">
        <f>CONCATENATE("PD", TEXT(A2375, "1000000"))</f>
      </c>
      <c r="D2375" s="7">
        <v>76</v>
      </c>
      <c r="E2375" s="5">
        <f>XLOOKUP(G2375, item_category!C:C, item_category!B:B, "Not Found")</f>
      </c>
      <c r="F2375" s="1" t="s">
        <v>5632</v>
      </c>
      <c r="G2375" s="5">
        <f>XLOOKUP(I2375, drug!B:B, drug!A:A, "Not Found")</f>
      </c>
      <c r="H2375" s="1"/>
      <c r="I2375" s="7">
        <v>1</v>
      </c>
      <c r="J2375" s="5">
        <f>XLOOKUP(L2375, uom!C:C, uom!B:B, "Not Found")</f>
      </c>
      <c r="K2375" s="1" t="s">
        <v>5511</v>
      </c>
      <c r="L2375" s="5">
        <f>XLOOKUP(N2375, uom!C:C, uom!B:B, "Not Found")</f>
      </c>
      <c r="M2375" s="1" t="s">
        <v>5511</v>
      </c>
      <c r="N2375" s="8" t="s">
        <v>5512</v>
      </c>
      <c r="O2375" s="1" t="s">
        <v>5513</v>
      </c>
      <c r="P2375" s="5">
        <f>XLOOKUP(R2375, classification!C:C, classification!B:B, "Not Found")</f>
      </c>
      <c r="Q2375" s="1" t="s">
        <v>5514</v>
      </c>
      <c r="R2375" s="2"/>
      <c r="S2375" s="2"/>
      <c r="T2375" s="2"/>
      <c r="U2375" s="2"/>
    </row>
    <row x14ac:dyDescent="0.25" r="2376" customHeight="1" ht="17.25">
      <c r="A2376" s="7">
        <v>2375</v>
      </c>
      <c r="B2376" s="1" t="s">
        <v>7738</v>
      </c>
      <c r="C2376" s="5">
        <f>CONCATENATE("PD", TEXT(A2376, "1000000"))</f>
      </c>
      <c r="D2376" s="7">
        <v>76</v>
      </c>
      <c r="E2376" s="5">
        <f>XLOOKUP(G2376, item_category!C:C, item_category!B:B, "Not Found")</f>
      </c>
      <c r="F2376" s="1" t="s">
        <v>5632</v>
      </c>
      <c r="G2376" s="5">
        <f>XLOOKUP(I2376, drug!B:B, drug!A:A, "Not Found")</f>
      </c>
      <c r="H2376" s="1"/>
      <c r="I2376" s="7">
        <v>1</v>
      </c>
      <c r="J2376" s="5">
        <f>XLOOKUP(L2376, uom!C:C, uom!B:B, "Not Found")</f>
      </c>
      <c r="K2376" s="1" t="s">
        <v>5511</v>
      </c>
      <c r="L2376" s="5">
        <f>XLOOKUP(N2376, uom!C:C, uom!B:B, "Not Found")</f>
      </c>
      <c r="M2376" s="1" t="s">
        <v>5511</v>
      </c>
      <c r="N2376" s="8" t="s">
        <v>5512</v>
      </c>
      <c r="O2376" s="1" t="s">
        <v>5513</v>
      </c>
      <c r="P2376" s="5">
        <f>XLOOKUP(R2376, classification!C:C, classification!B:B, "Not Found")</f>
      </c>
      <c r="Q2376" s="1" t="s">
        <v>5514</v>
      </c>
      <c r="R2376" s="2"/>
      <c r="S2376" s="2"/>
      <c r="T2376" s="2"/>
      <c r="U2376" s="2"/>
    </row>
    <row x14ac:dyDescent="0.25" r="2377" customHeight="1" ht="17.25">
      <c r="A2377" s="7">
        <v>2376</v>
      </c>
      <c r="B2377" s="1" t="s">
        <v>7739</v>
      </c>
      <c r="C2377" s="5">
        <f>CONCATENATE("PD", TEXT(A2377, "1000000"))</f>
      </c>
      <c r="D2377" s="7">
        <v>76</v>
      </c>
      <c r="E2377" s="5">
        <f>XLOOKUP(G2377, item_category!C:C, item_category!B:B, "Not Found")</f>
      </c>
      <c r="F2377" s="1" t="s">
        <v>5632</v>
      </c>
      <c r="G2377" s="5">
        <f>XLOOKUP(I2377, drug!B:B, drug!A:A, "Not Found")</f>
      </c>
      <c r="H2377" s="1"/>
      <c r="I2377" s="7">
        <v>1</v>
      </c>
      <c r="J2377" s="5">
        <f>XLOOKUP(L2377, uom!C:C, uom!B:B, "Not Found")</f>
      </c>
      <c r="K2377" s="1" t="s">
        <v>5511</v>
      </c>
      <c r="L2377" s="5">
        <f>XLOOKUP(N2377, uom!C:C, uom!B:B, "Not Found")</f>
      </c>
      <c r="M2377" s="1" t="s">
        <v>5511</v>
      </c>
      <c r="N2377" s="8" t="s">
        <v>5512</v>
      </c>
      <c r="O2377" s="1" t="s">
        <v>5513</v>
      </c>
      <c r="P2377" s="5">
        <f>XLOOKUP(R2377, classification!C:C, classification!B:B, "Not Found")</f>
      </c>
      <c r="Q2377" s="1" t="s">
        <v>5514</v>
      </c>
      <c r="R2377" s="2"/>
      <c r="S2377" s="2"/>
      <c r="T2377" s="2"/>
      <c r="U2377" s="2"/>
    </row>
    <row x14ac:dyDescent="0.25" r="2378" customHeight="1" ht="17.25">
      <c r="A2378" s="7">
        <v>2377</v>
      </c>
      <c r="B2378" s="1" t="s">
        <v>7740</v>
      </c>
      <c r="C2378" s="5">
        <f>CONCATENATE("PD", TEXT(A2378, "1000000"))</f>
      </c>
      <c r="D2378" s="7">
        <v>76</v>
      </c>
      <c r="E2378" s="5">
        <f>XLOOKUP(G2378, item_category!C:C, item_category!B:B, "Not Found")</f>
      </c>
      <c r="F2378" s="1" t="s">
        <v>5632</v>
      </c>
      <c r="G2378" s="5">
        <f>XLOOKUP(I2378, drug!B:B, drug!A:A, "Not Found")</f>
      </c>
      <c r="H2378" s="1"/>
      <c r="I2378" s="7">
        <v>1</v>
      </c>
      <c r="J2378" s="5">
        <f>XLOOKUP(L2378, uom!C:C, uom!B:B, "Not Found")</f>
      </c>
      <c r="K2378" s="1" t="s">
        <v>5511</v>
      </c>
      <c r="L2378" s="5">
        <f>XLOOKUP(N2378, uom!C:C, uom!B:B, "Not Found")</f>
      </c>
      <c r="M2378" s="1" t="s">
        <v>5511</v>
      </c>
      <c r="N2378" s="8" t="s">
        <v>5512</v>
      </c>
      <c r="O2378" s="1" t="s">
        <v>5513</v>
      </c>
      <c r="P2378" s="5">
        <f>XLOOKUP(R2378, classification!C:C, classification!B:B, "Not Found")</f>
      </c>
      <c r="Q2378" s="1" t="s">
        <v>5514</v>
      </c>
      <c r="R2378" s="2"/>
      <c r="S2378" s="2"/>
      <c r="T2378" s="2"/>
      <c r="U2378" s="2"/>
    </row>
    <row x14ac:dyDescent="0.25" r="2379" customHeight="1" ht="17.25">
      <c r="A2379" s="7">
        <v>2378</v>
      </c>
      <c r="B2379" s="1" t="s">
        <v>7741</v>
      </c>
      <c r="C2379" s="5">
        <f>CONCATENATE("PD", TEXT(A2379, "1000000"))</f>
      </c>
      <c r="D2379" s="7">
        <v>76</v>
      </c>
      <c r="E2379" s="5">
        <f>XLOOKUP(G2379, item_category!C:C, item_category!B:B, "Not Found")</f>
      </c>
      <c r="F2379" s="1" t="s">
        <v>5632</v>
      </c>
      <c r="G2379" s="5">
        <f>XLOOKUP(I2379, drug!B:B, drug!A:A, "Not Found")</f>
      </c>
      <c r="H2379" s="1"/>
      <c r="I2379" s="7">
        <v>1</v>
      </c>
      <c r="J2379" s="5">
        <f>XLOOKUP(L2379, uom!C:C, uom!B:B, "Not Found")</f>
      </c>
      <c r="K2379" s="1" t="s">
        <v>5511</v>
      </c>
      <c r="L2379" s="5">
        <f>XLOOKUP(N2379, uom!C:C, uom!B:B, "Not Found")</f>
      </c>
      <c r="M2379" s="1" t="s">
        <v>5511</v>
      </c>
      <c r="N2379" s="8" t="s">
        <v>5512</v>
      </c>
      <c r="O2379" s="1" t="s">
        <v>5513</v>
      </c>
      <c r="P2379" s="5">
        <f>XLOOKUP(R2379, classification!C:C, classification!B:B, "Not Found")</f>
      </c>
      <c r="Q2379" s="1" t="s">
        <v>5514</v>
      </c>
      <c r="R2379" s="2"/>
      <c r="S2379" s="2"/>
      <c r="T2379" s="2"/>
      <c r="U2379" s="2"/>
    </row>
    <row x14ac:dyDescent="0.25" r="2380" customHeight="1" ht="17.25">
      <c r="A2380" s="7">
        <v>2379</v>
      </c>
      <c r="B2380" s="1" t="s">
        <v>7742</v>
      </c>
      <c r="C2380" s="5">
        <f>CONCATENATE("PD", TEXT(A2380, "1000000"))</f>
      </c>
      <c r="D2380" s="7">
        <v>76</v>
      </c>
      <c r="E2380" s="5">
        <f>XLOOKUP(G2380, item_category!C:C, item_category!B:B, "Not Found")</f>
      </c>
      <c r="F2380" s="1" t="s">
        <v>5632</v>
      </c>
      <c r="G2380" s="5">
        <f>XLOOKUP(I2380, drug!B:B, drug!A:A, "Not Found")</f>
      </c>
      <c r="H2380" s="1"/>
      <c r="I2380" s="7">
        <v>1</v>
      </c>
      <c r="J2380" s="5">
        <f>XLOOKUP(L2380, uom!C:C, uom!B:B, "Not Found")</f>
      </c>
      <c r="K2380" s="1" t="s">
        <v>5511</v>
      </c>
      <c r="L2380" s="5">
        <f>XLOOKUP(N2380, uom!C:C, uom!B:B, "Not Found")</f>
      </c>
      <c r="M2380" s="1" t="s">
        <v>5511</v>
      </c>
      <c r="N2380" s="8" t="s">
        <v>5512</v>
      </c>
      <c r="O2380" s="1" t="s">
        <v>5513</v>
      </c>
      <c r="P2380" s="5">
        <f>XLOOKUP(R2380, classification!C:C, classification!B:B, "Not Found")</f>
      </c>
      <c r="Q2380" s="1" t="s">
        <v>5514</v>
      </c>
      <c r="R2380" s="2"/>
      <c r="S2380" s="2"/>
      <c r="T2380" s="2"/>
      <c r="U2380" s="2"/>
    </row>
    <row x14ac:dyDescent="0.25" r="2381" customHeight="1" ht="17.25">
      <c r="A2381" s="7">
        <v>2380</v>
      </c>
      <c r="B2381" s="1" t="s">
        <v>7743</v>
      </c>
      <c r="C2381" s="5">
        <f>CONCATENATE("PD", TEXT(A2381, "1000000"))</f>
      </c>
      <c r="D2381" s="7">
        <v>76</v>
      </c>
      <c r="E2381" s="5">
        <f>XLOOKUP(G2381, item_category!C:C, item_category!B:B, "Not Found")</f>
      </c>
      <c r="F2381" s="1" t="s">
        <v>5632</v>
      </c>
      <c r="G2381" s="5">
        <f>XLOOKUP(I2381, drug!B:B, drug!A:A, "Not Found")</f>
      </c>
      <c r="H2381" s="1"/>
      <c r="I2381" s="7">
        <v>1</v>
      </c>
      <c r="J2381" s="5">
        <f>XLOOKUP(L2381, uom!C:C, uom!B:B, "Not Found")</f>
      </c>
      <c r="K2381" s="1" t="s">
        <v>5511</v>
      </c>
      <c r="L2381" s="5">
        <f>XLOOKUP(N2381, uom!C:C, uom!B:B, "Not Found")</f>
      </c>
      <c r="M2381" s="1" t="s">
        <v>5511</v>
      </c>
      <c r="N2381" s="8" t="s">
        <v>5512</v>
      </c>
      <c r="O2381" s="1" t="s">
        <v>5513</v>
      </c>
      <c r="P2381" s="5">
        <f>XLOOKUP(R2381, classification!C:C, classification!B:B, "Not Found")</f>
      </c>
      <c r="Q2381" s="1" t="s">
        <v>5514</v>
      </c>
      <c r="R2381" s="2"/>
      <c r="S2381" s="2"/>
      <c r="T2381" s="2"/>
      <c r="U2381" s="2"/>
    </row>
    <row x14ac:dyDescent="0.25" r="2382" customHeight="1" ht="17.25">
      <c r="A2382" s="7">
        <v>2381</v>
      </c>
      <c r="B2382" s="1" t="s">
        <v>7744</v>
      </c>
      <c r="C2382" s="5">
        <f>CONCATENATE("PD", TEXT(A2382, "1000000"))</f>
      </c>
      <c r="D2382" s="7">
        <v>76</v>
      </c>
      <c r="E2382" s="5">
        <f>XLOOKUP(G2382, item_category!C:C, item_category!B:B, "Not Found")</f>
      </c>
      <c r="F2382" s="1" t="s">
        <v>5632</v>
      </c>
      <c r="G2382" s="5">
        <f>XLOOKUP(I2382, drug!B:B, drug!A:A, "Not Found")</f>
      </c>
      <c r="H2382" s="1"/>
      <c r="I2382" s="7">
        <v>1</v>
      </c>
      <c r="J2382" s="5">
        <f>XLOOKUP(L2382, uom!C:C, uom!B:B, "Not Found")</f>
      </c>
      <c r="K2382" s="1" t="s">
        <v>5511</v>
      </c>
      <c r="L2382" s="5">
        <f>XLOOKUP(N2382, uom!C:C, uom!B:B, "Not Found")</f>
      </c>
      <c r="M2382" s="1" t="s">
        <v>5511</v>
      </c>
      <c r="N2382" s="8" t="s">
        <v>5512</v>
      </c>
      <c r="O2382" s="1" t="s">
        <v>5513</v>
      </c>
      <c r="P2382" s="5">
        <f>XLOOKUP(R2382, classification!C:C, classification!B:B, "Not Found")</f>
      </c>
      <c r="Q2382" s="1" t="s">
        <v>5514</v>
      </c>
      <c r="R2382" s="2"/>
      <c r="S2382" s="2"/>
      <c r="T2382" s="2"/>
      <c r="U2382" s="2"/>
    </row>
    <row x14ac:dyDescent="0.25" r="2383" customHeight="1" ht="17.25">
      <c r="A2383" s="7">
        <v>2382</v>
      </c>
      <c r="B2383" s="1" t="s">
        <v>7745</v>
      </c>
      <c r="C2383" s="5">
        <f>CONCATENATE("PD", TEXT(A2383, "1000000"))</f>
      </c>
      <c r="D2383" s="7">
        <v>76</v>
      </c>
      <c r="E2383" s="5">
        <f>XLOOKUP(G2383, item_category!C:C, item_category!B:B, "Not Found")</f>
      </c>
      <c r="F2383" s="1" t="s">
        <v>5632</v>
      </c>
      <c r="G2383" s="5">
        <f>XLOOKUP(I2383, drug!B:B, drug!A:A, "Not Found")</f>
      </c>
      <c r="H2383" s="1"/>
      <c r="I2383" s="7">
        <v>1</v>
      </c>
      <c r="J2383" s="5">
        <f>XLOOKUP(L2383, uom!C:C, uom!B:B, "Not Found")</f>
      </c>
      <c r="K2383" s="1" t="s">
        <v>5511</v>
      </c>
      <c r="L2383" s="5">
        <f>XLOOKUP(N2383, uom!C:C, uom!B:B, "Not Found")</f>
      </c>
      <c r="M2383" s="1" t="s">
        <v>5511</v>
      </c>
      <c r="N2383" s="8" t="s">
        <v>5512</v>
      </c>
      <c r="O2383" s="1" t="s">
        <v>5513</v>
      </c>
      <c r="P2383" s="5">
        <f>XLOOKUP(R2383, classification!C:C, classification!B:B, "Not Found")</f>
      </c>
      <c r="Q2383" s="1" t="s">
        <v>5514</v>
      </c>
      <c r="R2383" s="2"/>
      <c r="S2383" s="2"/>
      <c r="T2383" s="2"/>
      <c r="U2383" s="2"/>
    </row>
    <row x14ac:dyDescent="0.25" r="2384" customHeight="1" ht="17.25">
      <c r="A2384" s="7">
        <v>2383</v>
      </c>
      <c r="B2384" s="1" t="s">
        <v>7746</v>
      </c>
      <c r="C2384" s="5">
        <f>CONCATENATE("PD", TEXT(A2384, "1000000"))</f>
      </c>
      <c r="D2384" s="7">
        <v>76</v>
      </c>
      <c r="E2384" s="5">
        <f>XLOOKUP(G2384, item_category!C:C, item_category!B:B, "Not Found")</f>
      </c>
      <c r="F2384" s="1" t="s">
        <v>5632</v>
      </c>
      <c r="G2384" s="5">
        <f>XLOOKUP(I2384, drug!B:B, drug!A:A, "Not Found")</f>
      </c>
      <c r="H2384" s="1"/>
      <c r="I2384" s="7">
        <v>1</v>
      </c>
      <c r="J2384" s="5">
        <f>XLOOKUP(L2384, uom!C:C, uom!B:B, "Not Found")</f>
      </c>
      <c r="K2384" s="1" t="s">
        <v>5511</v>
      </c>
      <c r="L2384" s="5">
        <f>XLOOKUP(N2384, uom!C:C, uom!B:B, "Not Found")</f>
      </c>
      <c r="M2384" s="1" t="s">
        <v>5511</v>
      </c>
      <c r="N2384" s="8" t="s">
        <v>5512</v>
      </c>
      <c r="O2384" s="1" t="s">
        <v>5513</v>
      </c>
      <c r="P2384" s="5">
        <f>XLOOKUP(R2384, classification!C:C, classification!B:B, "Not Found")</f>
      </c>
      <c r="Q2384" s="1" t="s">
        <v>5514</v>
      </c>
      <c r="R2384" s="2"/>
      <c r="S2384" s="2"/>
      <c r="T2384" s="2"/>
      <c r="U2384" s="2"/>
    </row>
    <row x14ac:dyDescent="0.25" r="2385" customHeight="1" ht="17.25">
      <c r="A2385" s="7">
        <v>2384</v>
      </c>
      <c r="B2385" s="1" t="s">
        <v>7747</v>
      </c>
      <c r="C2385" s="5">
        <f>CONCATENATE("PD", TEXT(A2385, "1000000"))</f>
      </c>
      <c r="D2385" s="7">
        <v>76</v>
      </c>
      <c r="E2385" s="5">
        <f>XLOOKUP(G2385, item_category!C:C, item_category!B:B, "Not Found")</f>
      </c>
      <c r="F2385" s="1" t="s">
        <v>5632</v>
      </c>
      <c r="G2385" s="5">
        <f>XLOOKUP(I2385, drug!B:B, drug!A:A, "Not Found")</f>
      </c>
      <c r="H2385" s="1" t="s">
        <v>1942</v>
      </c>
      <c r="I2385" s="7">
        <v>1</v>
      </c>
      <c r="J2385" s="5">
        <f>XLOOKUP(L2385, uom!C:C, uom!B:B, "Not Found")</f>
      </c>
      <c r="K2385" s="1" t="s">
        <v>5511</v>
      </c>
      <c r="L2385" s="5">
        <f>XLOOKUP(N2385, uom!C:C, uom!B:B, "Not Found")</f>
      </c>
      <c r="M2385" s="1" t="s">
        <v>5511</v>
      </c>
      <c r="N2385" s="8" t="s">
        <v>5512</v>
      </c>
      <c r="O2385" s="1" t="s">
        <v>5513</v>
      </c>
      <c r="P2385" s="5">
        <f>XLOOKUP(R2385, classification!C:C, classification!B:B, "Not Found")</f>
      </c>
      <c r="Q2385" s="1" t="s">
        <v>5514</v>
      </c>
      <c r="R2385" s="2"/>
      <c r="S2385" s="2"/>
      <c r="T2385" s="2"/>
      <c r="U2385" s="2"/>
    </row>
    <row x14ac:dyDescent="0.25" r="2386" customHeight="1" ht="17.25">
      <c r="A2386" s="7">
        <v>2385</v>
      </c>
      <c r="B2386" s="1" t="s">
        <v>7748</v>
      </c>
      <c r="C2386" s="5">
        <f>CONCATENATE("PD", TEXT(A2386, "1000000"))</f>
      </c>
      <c r="D2386" s="7">
        <v>76</v>
      </c>
      <c r="E2386" s="5">
        <f>XLOOKUP(G2386, item_category!C:C, item_category!B:B, "Not Found")</f>
      </c>
      <c r="F2386" s="1" t="s">
        <v>5632</v>
      </c>
      <c r="G2386" s="5">
        <f>XLOOKUP(I2386, drug!B:B, drug!A:A, "Not Found")</f>
      </c>
      <c r="H2386" s="1" t="s">
        <v>1942</v>
      </c>
      <c r="I2386" s="7">
        <v>1</v>
      </c>
      <c r="J2386" s="5">
        <f>XLOOKUP(L2386, uom!C:C, uom!B:B, "Not Found")</f>
      </c>
      <c r="K2386" s="1" t="s">
        <v>5511</v>
      </c>
      <c r="L2386" s="5">
        <f>XLOOKUP(N2386, uom!C:C, uom!B:B, "Not Found")</f>
      </c>
      <c r="M2386" s="1" t="s">
        <v>5511</v>
      </c>
      <c r="N2386" s="8" t="s">
        <v>5512</v>
      </c>
      <c r="O2386" s="1" t="s">
        <v>5513</v>
      </c>
      <c r="P2386" s="5">
        <f>XLOOKUP(R2386, classification!C:C, classification!B:B, "Not Found")</f>
      </c>
      <c r="Q2386" s="1" t="s">
        <v>5514</v>
      </c>
      <c r="R2386" s="2"/>
      <c r="S2386" s="2"/>
      <c r="T2386" s="2"/>
      <c r="U2386" s="2"/>
    </row>
    <row x14ac:dyDescent="0.25" r="2387" customHeight="1" ht="17.25">
      <c r="A2387" s="7">
        <v>2386</v>
      </c>
      <c r="B2387" s="1" t="s">
        <v>7749</v>
      </c>
      <c r="C2387" s="5">
        <f>CONCATENATE("PD", TEXT(A2387, "1000000"))</f>
      </c>
      <c r="D2387" s="7">
        <v>76</v>
      </c>
      <c r="E2387" s="5">
        <f>XLOOKUP(G2387, item_category!C:C, item_category!B:B, "Not Found")</f>
      </c>
      <c r="F2387" s="1" t="s">
        <v>5632</v>
      </c>
      <c r="G2387" s="5">
        <f>XLOOKUP(I2387, drug!B:B, drug!A:A, "Not Found")</f>
      </c>
      <c r="H2387" s="1"/>
      <c r="I2387" s="7">
        <v>0</v>
      </c>
      <c r="J2387" s="5">
        <f>XLOOKUP(L2387, uom!C:C, uom!B:B, "Not Found")</f>
      </c>
      <c r="K2387" s="1" t="s">
        <v>5511</v>
      </c>
      <c r="L2387" s="5">
        <f>XLOOKUP(N2387, uom!C:C, uom!B:B, "Not Found")</f>
      </c>
      <c r="M2387" s="1" t="s">
        <v>5511</v>
      </c>
      <c r="N2387" s="8" t="s">
        <v>5524</v>
      </c>
      <c r="O2387" s="1" t="s">
        <v>5525</v>
      </c>
      <c r="P2387" s="5">
        <f>XLOOKUP(R2387, classification!C:C, classification!B:B, "Not Found")</f>
      </c>
      <c r="Q2387" s="1" t="s">
        <v>5514</v>
      </c>
      <c r="R2387" s="2"/>
      <c r="S2387" s="2"/>
      <c r="T2387" s="2"/>
      <c r="U2387" s="2"/>
    </row>
    <row x14ac:dyDescent="0.25" r="2388" customHeight="1" ht="17.25">
      <c r="A2388" s="7">
        <v>2387</v>
      </c>
      <c r="B2388" s="1" t="s">
        <v>7750</v>
      </c>
      <c r="C2388" s="5">
        <f>CONCATENATE("PD", TEXT(A2388, "1000000"))</f>
      </c>
      <c r="D2388" s="7">
        <v>76</v>
      </c>
      <c r="E2388" s="5">
        <f>XLOOKUP(G2388, item_category!C:C, item_category!B:B, "Not Found")</f>
      </c>
      <c r="F2388" s="1" t="s">
        <v>5632</v>
      </c>
      <c r="G2388" s="5">
        <f>XLOOKUP(I2388, drug!B:B, drug!A:A, "Not Found")</f>
      </c>
      <c r="H2388" s="1" t="s">
        <v>1942</v>
      </c>
      <c r="I2388" s="7">
        <v>1</v>
      </c>
      <c r="J2388" s="5">
        <f>XLOOKUP(L2388, uom!C:C, uom!B:B, "Not Found")</f>
      </c>
      <c r="K2388" s="1" t="s">
        <v>5511</v>
      </c>
      <c r="L2388" s="5">
        <f>XLOOKUP(N2388, uom!C:C, uom!B:B, "Not Found")</f>
      </c>
      <c r="M2388" s="1" t="s">
        <v>5511</v>
      </c>
      <c r="N2388" s="8" t="s">
        <v>5512</v>
      </c>
      <c r="O2388" s="1" t="s">
        <v>5513</v>
      </c>
      <c r="P2388" s="5">
        <f>XLOOKUP(R2388, classification!C:C, classification!B:B, "Not Found")</f>
      </c>
      <c r="Q2388" s="1" t="s">
        <v>5514</v>
      </c>
      <c r="R2388" s="2"/>
      <c r="S2388" s="2"/>
      <c r="T2388" s="2"/>
      <c r="U2388" s="2"/>
    </row>
    <row x14ac:dyDescent="0.25" r="2389" customHeight="1" ht="17.25">
      <c r="A2389" s="7">
        <v>2388</v>
      </c>
      <c r="B2389" s="1" t="s">
        <v>7751</v>
      </c>
      <c r="C2389" s="5">
        <f>CONCATENATE("PD", TEXT(A2389, "1000000"))</f>
      </c>
      <c r="D2389" s="7">
        <v>76</v>
      </c>
      <c r="E2389" s="5">
        <f>XLOOKUP(G2389, item_category!C:C, item_category!B:B, "Not Found")</f>
      </c>
      <c r="F2389" s="1" t="s">
        <v>5632</v>
      </c>
      <c r="G2389" s="5">
        <f>XLOOKUP(I2389, drug!B:B, drug!A:A, "Not Found")</f>
      </c>
      <c r="H2389" s="1" t="s">
        <v>1942</v>
      </c>
      <c r="I2389" s="7">
        <v>1</v>
      </c>
      <c r="J2389" s="5">
        <f>XLOOKUP(L2389, uom!C:C, uom!B:B, "Not Found")</f>
      </c>
      <c r="K2389" s="1" t="s">
        <v>5511</v>
      </c>
      <c r="L2389" s="5">
        <f>XLOOKUP(N2389, uom!C:C, uom!B:B, "Not Found")</f>
      </c>
      <c r="M2389" s="1" t="s">
        <v>5511</v>
      </c>
      <c r="N2389" s="8" t="s">
        <v>5512</v>
      </c>
      <c r="O2389" s="1" t="s">
        <v>5513</v>
      </c>
      <c r="P2389" s="5">
        <f>XLOOKUP(R2389, classification!C:C, classification!B:B, "Not Found")</f>
      </c>
      <c r="Q2389" s="1" t="s">
        <v>5514</v>
      </c>
      <c r="R2389" s="2"/>
      <c r="S2389" s="2"/>
      <c r="T2389" s="2"/>
      <c r="U2389" s="2"/>
    </row>
    <row x14ac:dyDescent="0.25" r="2390" customHeight="1" ht="17.25">
      <c r="A2390" s="7">
        <v>2389</v>
      </c>
      <c r="B2390" s="1" t="s">
        <v>7752</v>
      </c>
      <c r="C2390" s="5">
        <f>CONCATENATE("PD", TEXT(A2390, "1000000"))</f>
      </c>
      <c r="D2390" s="7">
        <v>76</v>
      </c>
      <c r="E2390" s="5">
        <f>XLOOKUP(G2390, item_category!C:C, item_category!B:B, "Not Found")</f>
      </c>
      <c r="F2390" s="1" t="s">
        <v>5632</v>
      </c>
      <c r="G2390" s="5">
        <f>XLOOKUP(I2390, drug!B:B, drug!A:A, "Not Found")</f>
      </c>
      <c r="H2390" s="1" t="s">
        <v>1942</v>
      </c>
      <c r="I2390" s="7">
        <v>1</v>
      </c>
      <c r="J2390" s="5">
        <f>XLOOKUP(L2390, uom!C:C, uom!B:B, "Not Found")</f>
      </c>
      <c r="K2390" s="1" t="s">
        <v>5511</v>
      </c>
      <c r="L2390" s="5">
        <f>XLOOKUP(N2390, uom!C:C, uom!B:B, "Not Found")</f>
      </c>
      <c r="M2390" s="1" t="s">
        <v>5511</v>
      </c>
      <c r="N2390" s="8" t="s">
        <v>5512</v>
      </c>
      <c r="O2390" s="1" t="s">
        <v>5513</v>
      </c>
      <c r="P2390" s="5">
        <f>XLOOKUP(R2390, classification!C:C, classification!B:B, "Not Found")</f>
      </c>
      <c r="Q2390" s="1" t="s">
        <v>5514</v>
      </c>
      <c r="R2390" s="2"/>
      <c r="S2390" s="2"/>
      <c r="T2390" s="2"/>
      <c r="U2390" s="2"/>
    </row>
    <row x14ac:dyDescent="0.25" r="2391" customHeight="1" ht="17.25">
      <c r="A2391" s="7">
        <v>2390</v>
      </c>
      <c r="B2391" s="1" t="s">
        <v>7753</v>
      </c>
      <c r="C2391" s="5">
        <f>CONCATENATE("PD", TEXT(A2391, "1000000"))</f>
      </c>
      <c r="D2391" s="7">
        <v>76</v>
      </c>
      <c r="E2391" s="5">
        <f>XLOOKUP(G2391, item_category!C:C, item_category!B:B, "Not Found")</f>
      </c>
      <c r="F2391" s="1" t="s">
        <v>5632</v>
      </c>
      <c r="G2391" s="5">
        <f>XLOOKUP(I2391, drug!B:B, drug!A:A, "Not Found")</f>
      </c>
      <c r="H2391" s="1" t="s">
        <v>1942</v>
      </c>
      <c r="I2391" s="7">
        <v>1</v>
      </c>
      <c r="J2391" s="5">
        <f>XLOOKUP(L2391, uom!C:C, uom!B:B, "Not Found")</f>
      </c>
      <c r="K2391" s="1" t="s">
        <v>5511</v>
      </c>
      <c r="L2391" s="5">
        <f>XLOOKUP(N2391, uom!C:C, uom!B:B, "Not Found")</f>
      </c>
      <c r="M2391" s="1" t="s">
        <v>5511</v>
      </c>
      <c r="N2391" s="8" t="s">
        <v>5512</v>
      </c>
      <c r="O2391" s="1" t="s">
        <v>5513</v>
      </c>
      <c r="P2391" s="5">
        <f>XLOOKUP(R2391, classification!C:C, classification!B:B, "Not Found")</f>
      </c>
      <c r="Q2391" s="1" t="s">
        <v>5514</v>
      </c>
      <c r="R2391" s="2"/>
      <c r="S2391" s="2"/>
      <c r="T2391" s="2"/>
      <c r="U2391" s="2"/>
    </row>
    <row x14ac:dyDescent="0.25" r="2392" customHeight="1" ht="17.25">
      <c r="A2392" s="7">
        <v>2391</v>
      </c>
      <c r="B2392" s="1" t="s">
        <v>7754</v>
      </c>
      <c r="C2392" s="5">
        <f>CONCATENATE("PD", TEXT(A2392, "1000000"))</f>
      </c>
      <c r="D2392" s="7">
        <v>76</v>
      </c>
      <c r="E2392" s="5">
        <f>XLOOKUP(G2392, item_category!C:C, item_category!B:B, "Not Found")</f>
      </c>
      <c r="F2392" s="1" t="s">
        <v>5632</v>
      </c>
      <c r="G2392" s="5">
        <f>XLOOKUP(I2392, drug!B:B, drug!A:A, "Not Found")</f>
      </c>
      <c r="H2392" s="1"/>
      <c r="I2392" s="7">
        <v>1</v>
      </c>
      <c r="J2392" s="5">
        <f>XLOOKUP(L2392, uom!C:C, uom!B:B, "Not Found")</f>
      </c>
      <c r="K2392" s="1" t="s">
        <v>5511</v>
      </c>
      <c r="L2392" s="5">
        <f>XLOOKUP(N2392, uom!C:C, uom!B:B, "Not Found")</f>
      </c>
      <c r="M2392" s="1" t="s">
        <v>5511</v>
      </c>
      <c r="N2392" s="8" t="s">
        <v>5512</v>
      </c>
      <c r="O2392" s="1" t="s">
        <v>5513</v>
      </c>
      <c r="P2392" s="5">
        <f>XLOOKUP(R2392, classification!C:C, classification!B:B, "Not Found")</f>
      </c>
      <c r="Q2392" s="1" t="s">
        <v>5514</v>
      </c>
      <c r="R2392" s="2"/>
      <c r="S2392" s="2"/>
      <c r="T2392" s="2"/>
      <c r="U2392" s="2"/>
    </row>
    <row x14ac:dyDescent="0.25" r="2393" customHeight="1" ht="17.25">
      <c r="A2393" s="7">
        <v>2392</v>
      </c>
      <c r="B2393" s="1" t="s">
        <v>7755</v>
      </c>
      <c r="C2393" s="5">
        <f>CONCATENATE("PD", TEXT(A2393, "1000000"))</f>
      </c>
      <c r="D2393" s="7">
        <v>76</v>
      </c>
      <c r="E2393" s="5">
        <f>XLOOKUP(G2393, item_category!C:C, item_category!B:B, "Not Found")</f>
      </c>
      <c r="F2393" s="1" t="s">
        <v>5632</v>
      </c>
      <c r="G2393" s="5">
        <f>XLOOKUP(I2393, drug!B:B, drug!A:A, "Not Found")</f>
      </c>
      <c r="H2393" s="1"/>
      <c r="I2393" s="7">
        <v>1</v>
      </c>
      <c r="J2393" s="5">
        <f>XLOOKUP(L2393, uom!C:C, uom!B:B, "Not Found")</f>
      </c>
      <c r="K2393" s="1" t="s">
        <v>5511</v>
      </c>
      <c r="L2393" s="5">
        <f>XLOOKUP(N2393, uom!C:C, uom!B:B, "Not Found")</f>
      </c>
      <c r="M2393" s="1" t="s">
        <v>5511</v>
      </c>
      <c r="N2393" s="8" t="s">
        <v>5512</v>
      </c>
      <c r="O2393" s="1" t="s">
        <v>5513</v>
      </c>
      <c r="P2393" s="5">
        <f>XLOOKUP(R2393, classification!C:C, classification!B:B, "Not Found")</f>
      </c>
      <c r="Q2393" s="1" t="s">
        <v>5514</v>
      </c>
      <c r="R2393" s="2"/>
      <c r="S2393" s="2"/>
      <c r="T2393" s="2"/>
      <c r="U2393" s="2"/>
    </row>
    <row x14ac:dyDescent="0.25" r="2394" customHeight="1" ht="17.25">
      <c r="A2394" s="7">
        <v>2393</v>
      </c>
      <c r="B2394" s="1" t="s">
        <v>7756</v>
      </c>
      <c r="C2394" s="5">
        <f>CONCATENATE("PD", TEXT(A2394, "1000000"))</f>
      </c>
      <c r="D2394" s="7">
        <v>76</v>
      </c>
      <c r="E2394" s="5">
        <f>XLOOKUP(G2394, item_category!C:C, item_category!B:B, "Not Found")</f>
      </c>
      <c r="F2394" s="1" t="s">
        <v>5632</v>
      </c>
      <c r="G2394" s="5">
        <f>XLOOKUP(I2394, drug!B:B, drug!A:A, "Not Found")</f>
      </c>
      <c r="H2394" s="1"/>
      <c r="I2394" s="7">
        <v>1</v>
      </c>
      <c r="J2394" s="5">
        <f>XLOOKUP(L2394, uom!C:C, uom!B:B, "Not Found")</f>
      </c>
      <c r="K2394" s="1" t="s">
        <v>5511</v>
      </c>
      <c r="L2394" s="5">
        <f>XLOOKUP(N2394, uom!C:C, uom!B:B, "Not Found")</f>
      </c>
      <c r="M2394" s="1" t="s">
        <v>5511</v>
      </c>
      <c r="N2394" s="8" t="s">
        <v>5512</v>
      </c>
      <c r="O2394" s="1" t="s">
        <v>5513</v>
      </c>
      <c r="P2394" s="5">
        <f>XLOOKUP(R2394, classification!C:C, classification!B:B, "Not Found")</f>
      </c>
      <c r="Q2394" s="1" t="s">
        <v>5514</v>
      </c>
      <c r="R2394" s="2"/>
      <c r="S2394" s="2"/>
      <c r="T2394" s="2"/>
      <c r="U2394" s="2"/>
    </row>
    <row x14ac:dyDescent="0.25" r="2395" customHeight="1" ht="17.25">
      <c r="A2395" s="7">
        <v>2394</v>
      </c>
      <c r="B2395" s="1" t="s">
        <v>7757</v>
      </c>
      <c r="C2395" s="5">
        <f>CONCATENATE("PD", TEXT(A2395, "1000000"))</f>
      </c>
      <c r="D2395" s="7">
        <v>76</v>
      </c>
      <c r="E2395" s="5">
        <f>XLOOKUP(G2395, item_category!C:C, item_category!B:B, "Not Found")</f>
      </c>
      <c r="F2395" s="1" t="s">
        <v>5632</v>
      </c>
      <c r="G2395" s="5">
        <f>XLOOKUP(I2395, drug!B:B, drug!A:A, "Not Found")</f>
      </c>
      <c r="H2395" s="1" t="s">
        <v>1942</v>
      </c>
      <c r="I2395" s="7">
        <v>1</v>
      </c>
      <c r="J2395" s="5">
        <f>XLOOKUP(L2395, uom!C:C, uom!B:B, "Not Found")</f>
      </c>
      <c r="K2395" s="1" t="s">
        <v>5511</v>
      </c>
      <c r="L2395" s="5">
        <f>XLOOKUP(N2395, uom!C:C, uom!B:B, "Not Found")</f>
      </c>
      <c r="M2395" s="1" t="s">
        <v>5511</v>
      </c>
      <c r="N2395" s="8" t="s">
        <v>5512</v>
      </c>
      <c r="O2395" s="1" t="s">
        <v>5513</v>
      </c>
      <c r="P2395" s="5">
        <f>XLOOKUP(R2395, classification!C:C, classification!B:B, "Not Found")</f>
      </c>
      <c r="Q2395" s="1" t="s">
        <v>5514</v>
      </c>
      <c r="R2395" s="2"/>
      <c r="S2395" s="2"/>
      <c r="T2395" s="2"/>
      <c r="U2395" s="2"/>
    </row>
    <row x14ac:dyDescent="0.25" r="2396" customHeight="1" ht="17.25">
      <c r="A2396" s="7">
        <v>2395</v>
      </c>
      <c r="B2396" s="1" t="s">
        <v>7758</v>
      </c>
      <c r="C2396" s="5">
        <f>CONCATENATE("PD", TEXT(A2396, "1000000"))</f>
      </c>
      <c r="D2396" s="7">
        <v>76</v>
      </c>
      <c r="E2396" s="5">
        <f>XLOOKUP(G2396, item_category!C:C, item_category!B:B, "Not Found")</f>
      </c>
      <c r="F2396" s="1" t="s">
        <v>5632</v>
      </c>
      <c r="G2396" s="5">
        <f>XLOOKUP(I2396, drug!B:B, drug!A:A, "Not Found")</f>
      </c>
      <c r="H2396" s="1"/>
      <c r="I2396" s="7">
        <v>1</v>
      </c>
      <c r="J2396" s="5">
        <f>XLOOKUP(L2396, uom!C:C, uom!B:B, "Not Found")</f>
      </c>
      <c r="K2396" s="1" t="s">
        <v>5511</v>
      </c>
      <c r="L2396" s="5">
        <f>XLOOKUP(N2396, uom!C:C, uom!B:B, "Not Found")</f>
      </c>
      <c r="M2396" s="1" t="s">
        <v>5511</v>
      </c>
      <c r="N2396" s="8" t="s">
        <v>5512</v>
      </c>
      <c r="O2396" s="1" t="s">
        <v>5513</v>
      </c>
      <c r="P2396" s="5">
        <f>XLOOKUP(R2396, classification!C:C, classification!B:B, "Not Found")</f>
      </c>
      <c r="Q2396" s="1" t="s">
        <v>5514</v>
      </c>
      <c r="R2396" s="2"/>
      <c r="S2396" s="2"/>
      <c r="T2396" s="2"/>
      <c r="U2396" s="2"/>
    </row>
    <row x14ac:dyDescent="0.25" r="2397" customHeight="1" ht="17.25">
      <c r="A2397" s="7">
        <v>2396</v>
      </c>
      <c r="B2397" s="1" t="s">
        <v>7759</v>
      </c>
      <c r="C2397" s="5">
        <f>CONCATENATE("PD", TEXT(A2397, "1000000"))</f>
      </c>
      <c r="D2397" s="7">
        <v>76</v>
      </c>
      <c r="E2397" s="5">
        <f>XLOOKUP(G2397, item_category!C:C, item_category!B:B, "Not Found")</f>
      </c>
      <c r="F2397" s="1" t="s">
        <v>5632</v>
      </c>
      <c r="G2397" s="5">
        <f>XLOOKUP(I2397, drug!B:B, drug!A:A, "Not Found")</f>
      </c>
      <c r="H2397" s="1"/>
      <c r="I2397" s="7">
        <v>1</v>
      </c>
      <c r="J2397" s="5">
        <f>XLOOKUP(L2397, uom!C:C, uom!B:B, "Not Found")</f>
      </c>
      <c r="K2397" s="1" t="s">
        <v>5511</v>
      </c>
      <c r="L2397" s="5">
        <f>XLOOKUP(N2397, uom!C:C, uom!B:B, "Not Found")</f>
      </c>
      <c r="M2397" s="1" t="s">
        <v>5511</v>
      </c>
      <c r="N2397" s="8" t="s">
        <v>5512</v>
      </c>
      <c r="O2397" s="1" t="s">
        <v>5513</v>
      </c>
      <c r="P2397" s="5">
        <f>XLOOKUP(R2397, classification!C:C, classification!B:B, "Not Found")</f>
      </c>
      <c r="Q2397" s="1" t="s">
        <v>5514</v>
      </c>
      <c r="R2397" s="2"/>
      <c r="S2397" s="2"/>
      <c r="T2397" s="2"/>
      <c r="U2397" s="2"/>
    </row>
    <row x14ac:dyDescent="0.25" r="2398" customHeight="1" ht="17.25">
      <c r="A2398" s="7">
        <v>2397</v>
      </c>
      <c r="B2398" s="1" t="s">
        <v>7760</v>
      </c>
      <c r="C2398" s="5">
        <f>CONCATENATE("PD", TEXT(A2398, "1000000"))</f>
      </c>
      <c r="D2398" s="7">
        <v>76</v>
      </c>
      <c r="E2398" s="5">
        <f>XLOOKUP(G2398, item_category!C:C, item_category!B:B, "Not Found")</f>
      </c>
      <c r="F2398" s="1" t="s">
        <v>5632</v>
      </c>
      <c r="G2398" s="5">
        <f>XLOOKUP(I2398, drug!B:B, drug!A:A, "Not Found")</f>
      </c>
      <c r="H2398" s="1"/>
      <c r="I2398" s="7">
        <v>1</v>
      </c>
      <c r="J2398" s="5">
        <f>XLOOKUP(L2398, uom!C:C, uom!B:B, "Not Found")</f>
      </c>
      <c r="K2398" s="1" t="s">
        <v>5511</v>
      </c>
      <c r="L2398" s="5">
        <f>XLOOKUP(N2398, uom!C:C, uom!B:B, "Not Found")</f>
      </c>
      <c r="M2398" s="1" t="s">
        <v>5511</v>
      </c>
      <c r="N2398" s="8" t="s">
        <v>5512</v>
      </c>
      <c r="O2398" s="1" t="s">
        <v>5513</v>
      </c>
      <c r="P2398" s="5">
        <f>XLOOKUP(R2398, classification!C:C, classification!B:B, "Not Found")</f>
      </c>
      <c r="Q2398" s="1" t="s">
        <v>5514</v>
      </c>
      <c r="R2398" s="2"/>
      <c r="S2398" s="2"/>
      <c r="T2398" s="2"/>
      <c r="U2398" s="2"/>
    </row>
    <row x14ac:dyDescent="0.25" r="2399" customHeight="1" ht="17.25">
      <c r="A2399" s="7">
        <v>2398</v>
      </c>
      <c r="B2399" s="1" t="s">
        <v>7761</v>
      </c>
      <c r="C2399" s="5">
        <f>CONCATENATE("PD", TEXT(A2399, "1000000"))</f>
      </c>
      <c r="D2399" s="7">
        <v>76</v>
      </c>
      <c r="E2399" s="5">
        <f>XLOOKUP(G2399, item_category!C:C, item_category!B:B, "Not Found")</f>
      </c>
      <c r="F2399" s="1" t="s">
        <v>5632</v>
      </c>
      <c r="G2399" s="5">
        <f>XLOOKUP(I2399, drug!B:B, drug!A:A, "Not Found")</f>
      </c>
      <c r="H2399" s="1"/>
      <c r="I2399" s="7">
        <v>1</v>
      </c>
      <c r="J2399" s="5">
        <f>XLOOKUP(L2399, uom!C:C, uom!B:B, "Not Found")</f>
      </c>
      <c r="K2399" s="1" t="s">
        <v>5511</v>
      </c>
      <c r="L2399" s="5">
        <f>XLOOKUP(N2399, uom!C:C, uom!B:B, "Not Found")</f>
      </c>
      <c r="M2399" s="1" t="s">
        <v>5511</v>
      </c>
      <c r="N2399" s="8" t="s">
        <v>5512</v>
      </c>
      <c r="O2399" s="1" t="s">
        <v>5513</v>
      </c>
      <c r="P2399" s="5">
        <f>XLOOKUP(R2399, classification!C:C, classification!B:B, "Not Found")</f>
      </c>
      <c r="Q2399" s="1" t="s">
        <v>5514</v>
      </c>
      <c r="R2399" s="2"/>
      <c r="S2399" s="2"/>
      <c r="T2399" s="2"/>
      <c r="U2399" s="2"/>
    </row>
    <row x14ac:dyDescent="0.25" r="2400" customHeight="1" ht="17.25">
      <c r="A2400" s="7">
        <v>2399</v>
      </c>
      <c r="B2400" s="1" t="s">
        <v>7762</v>
      </c>
      <c r="C2400" s="5">
        <f>CONCATENATE("PD", TEXT(A2400, "1000000"))</f>
      </c>
      <c r="D2400" s="7">
        <v>76</v>
      </c>
      <c r="E2400" s="5">
        <f>XLOOKUP(G2400, item_category!C:C, item_category!B:B, "Not Found")</f>
      </c>
      <c r="F2400" s="1" t="s">
        <v>5632</v>
      </c>
      <c r="G2400" s="5">
        <f>XLOOKUP(I2400, drug!B:B, drug!A:A, "Not Found")</f>
      </c>
      <c r="H2400" s="1"/>
      <c r="I2400" s="7">
        <v>1</v>
      </c>
      <c r="J2400" s="5">
        <f>XLOOKUP(L2400, uom!C:C, uom!B:B, "Not Found")</f>
      </c>
      <c r="K2400" s="1" t="s">
        <v>5511</v>
      </c>
      <c r="L2400" s="5">
        <f>XLOOKUP(N2400, uom!C:C, uom!B:B, "Not Found")</f>
      </c>
      <c r="M2400" s="1" t="s">
        <v>5511</v>
      </c>
      <c r="N2400" s="8" t="s">
        <v>5512</v>
      </c>
      <c r="O2400" s="1" t="s">
        <v>5513</v>
      </c>
      <c r="P2400" s="5">
        <f>XLOOKUP(R2400, classification!C:C, classification!B:B, "Not Found")</f>
      </c>
      <c r="Q2400" s="1" t="s">
        <v>5514</v>
      </c>
      <c r="R2400" s="2"/>
      <c r="S2400" s="2"/>
      <c r="T2400" s="2"/>
      <c r="U2400" s="2"/>
    </row>
    <row x14ac:dyDescent="0.25" r="2401" customHeight="1" ht="17.25">
      <c r="A2401" s="7">
        <v>2400</v>
      </c>
      <c r="B2401" s="1" t="s">
        <v>7763</v>
      </c>
      <c r="C2401" s="5">
        <f>CONCATENATE("PD", TEXT(A2401, "1000000"))</f>
      </c>
      <c r="D2401" s="7">
        <v>76</v>
      </c>
      <c r="E2401" s="5">
        <f>XLOOKUP(G2401, item_category!C:C, item_category!B:B, "Not Found")</f>
      </c>
      <c r="F2401" s="1" t="s">
        <v>5632</v>
      </c>
      <c r="G2401" s="5">
        <f>XLOOKUP(I2401, drug!B:B, drug!A:A, "Not Found")</f>
      </c>
      <c r="H2401" s="1"/>
      <c r="I2401" s="7">
        <v>1</v>
      </c>
      <c r="J2401" s="5">
        <f>XLOOKUP(L2401, uom!C:C, uom!B:B, "Not Found")</f>
      </c>
      <c r="K2401" s="1" t="s">
        <v>5511</v>
      </c>
      <c r="L2401" s="5">
        <f>XLOOKUP(N2401, uom!C:C, uom!B:B, "Not Found")</f>
      </c>
      <c r="M2401" s="1" t="s">
        <v>5511</v>
      </c>
      <c r="N2401" s="8" t="s">
        <v>5512</v>
      </c>
      <c r="O2401" s="1" t="s">
        <v>5513</v>
      </c>
      <c r="P2401" s="5">
        <f>XLOOKUP(R2401, classification!C:C, classification!B:B, "Not Found")</f>
      </c>
      <c r="Q2401" s="1" t="s">
        <v>5514</v>
      </c>
      <c r="R2401" s="2"/>
      <c r="S2401" s="2"/>
      <c r="T2401" s="2"/>
      <c r="U2401" s="2"/>
    </row>
    <row x14ac:dyDescent="0.25" r="2402" customHeight="1" ht="17.25">
      <c r="A2402" s="7">
        <v>2401</v>
      </c>
      <c r="B2402" s="1" t="s">
        <v>7764</v>
      </c>
      <c r="C2402" s="5">
        <f>CONCATENATE("PD", TEXT(A2402, "1000000"))</f>
      </c>
      <c r="D2402" s="7">
        <v>76</v>
      </c>
      <c r="E2402" s="5">
        <f>XLOOKUP(G2402, item_category!C:C, item_category!B:B, "Not Found")</f>
      </c>
      <c r="F2402" s="1" t="s">
        <v>5632</v>
      </c>
      <c r="G2402" s="5">
        <f>XLOOKUP(I2402, drug!B:B, drug!A:A, "Not Found")</f>
      </c>
      <c r="H2402" s="1"/>
      <c r="I2402" s="7">
        <v>1</v>
      </c>
      <c r="J2402" s="5">
        <f>XLOOKUP(L2402, uom!C:C, uom!B:B, "Not Found")</f>
      </c>
      <c r="K2402" s="1" t="s">
        <v>5511</v>
      </c>
      <c r="L2402" s="5">
        <f>XLOOKUP(N2402, uom!C:C, uom!B:B, "Not Found")</f>
      </c>
      <c r="M2402" s="1" t="s">
        <v>5511</v>
      </c>
      <c r="N2402" s="8" t="s">
        <v>5512</v>
      </c>
      <c r="O2402" s="1" t="s">
        <v>5513</v>
      </c>
      <c r="P2402" s="5">
        <f>XLOOKUP(R2402, classification!C:C, classification!B:B, "Not Found")</f>
      </c>
      <c r="Q2402" s="1" t="s">
        <v>5514</v>
      </c>
      <c r="R2402" s="2"/>
      <c r="S2402" s="2"/>
      <c r="T2402" s="2"/>
      <c r="U2402" s="2"/>
    </row>
    <row x14ac:dyDescent="0.25" r="2403" customHeight="1" ht="17.25">
      <c r="A2403" s="7">
        <v>2402</v>
      </c>
      <c r="B2403" s="1" t="s">
        <v>7765</v>
      </c>
      <c r="C2403" s="5">
        <f>CONCATENATE("PD", TEXT(A2403, "1000000"))</f>
      </c>
      <c r="D2403" s="7">
        <v>76</v>
      </c>
      <c r="E2403" s="5">
        <f>XLOOKUP(G2403, item_category!C:C, item_category!B:B, "Not Found")</f>
      </c>
      <c r="F2403" s="1" t="s">
        <v>5632</v>
      </c>
      <c r="G2403" s="5">
        <f>XLOOKUP(I2403, drug!B:B, drug!A:A, "Not Found")</f>
      </c>
      <c r="H2403" s="1"/>
      <c r="I2403" s="7">
        <v>1</v>
      </c>
      <c r="J2403" s="5">
        <f>XLOOKUP(L2403, uom!C:C, uom!B:B, "Not Found")</f>
      </c>
      <c r="K2403" s="1" t="s">
        <v>5511</v>
      </c>
      <c r="L2403" s="5">
        <f>XLOOKUP(N2403, uom!C:C, uom!B:B, "Not Found")</f>
      </c>
      <c r="M2403" s="1" t="s">
        <v>5511</v>
      </c>
      <c r="N2403" s="8" t="s">
        <v>5512</v>
      </c>
      <c r="O2403" s="1" t="s">
        <v>5513</v>
      </c>
      <c r="P2403" s="5">
        <f>XLOOKUP(R2403, classification!C:C, classification!B:B, "Not Found")</f>
      </c>
      <c r="Q2403" s="1" t="s">
        <v>5514</v>
      </c>
      <c r="R2403" s="2"/>
      <c r="S2403" s="2"/>
      <c r="T2403" s="2"/>
      <c r="U2403" s="2"/>
    </row>
    <row x14ac:dyDescent="0.25" r="2404" customHeight="1" ht="17.25">
      <c r="A2404" s="7">
        <v>2403</v>
      </c>
      <c r="B2404" s="1" t="s">
        <v>7766</v>
      </c>
      <c r="C2404" s="5">
        <f>CONCATENATE("PD", TEXT(A2404, "1000000"))</f>
      </c>
      <c r="D2404" s="7">
        <v>76</v>
      </c>
      <c r="E2404" s="5">
        <f>XLOOKUP(G2404, item_category!C:C, item_category!B:B, "Not Found")</f>
      </c>
      <c r="F2404" s="1" t="s">
        <v>5632</v>
      </c>
      <c r="G2404" s="5">
        <f>XLOOKUP(I2404, drug!B:B, drug!A:A, "Not Found")</f>
      </c>
      <c r="H2404" s="1"/>
      <c r="I2404" s="7">
        <v>1</v>
      </c>
      <c r="J2404" s="5">
        <f>XLOOKUP(L2404, uom!C:C, uom!B:B, "Not Found")</f>
      </c>
      <c r="K2404" s="1" t="s">
        <v>5511</v>
      </c>
      <c r="L2404" s="5">
        <f>XLOOKUP(N2404, uom!C:C, uom!B:B, "Not Found")</f>
      </c>
      <c r="M2404" s="1" t="s">
        <v>5511</v>
      </c>
      <c r="N2404" s="8" t="s">
        <v>5512</v>
      </c>
      <c r="O2404" s="1" t="s">
        <v>5513</v>
      </c>
      <c r="P2404" s="5">
        <f>XLOOKUP(R2404, classification!C:C, classification!B:B, "Not Found")</f>
      </c>
      <c r="Q2404" s="1" t="s">
        <v>5514</v>
      </c>
      <c r="R2404" s="2"/>
      <c r="S2404" s="2"/>
      <c r="T2404" s="2"/>
      <c r="U2404" s="2"/>
    </row>
    <row x14ac:dyDescent="0.25" r="2405" customHeight="1" ht="17.25">
      <c r="A2405" s="7">
        <v>2404</v>
      </c>
      <c r="B2405" s="1" t="s">
        <v>7767</v>
      </c>
      <c r="C2405" s="5">
        <f>CONCATENATE("PD", TEXT(A2405, "1000000"))</f>
      </c>
      <c r="D2405" s="7">
        <v>76</v>
      </c>
      <c r="E2405" s="5">
        <f>XLOOKUP(G2405, item_category!C:C, item_category!B:B, "Not Found")</f>
      </c>
      <c r="F2405" s="1" t="s">
        <v>5632</v>
      </c>
      <c r="G2405" s="5">
        <f>XLOOKUP(I2405, drug!B:B, drug!A:A, "Not Found")</f>
      </c>
      <c r="H2405" s="1"/>
      <c r="I2405" s="7">
        <v>1</v>
      </c>
      <c r="J2405" s="5">
        <f>XLOOKUP(L2405, uom!C:C, uom!B:B, "Not Found")</f>
      </c>
      <c r="K2405" s="1" t="s">
        <v>5511</v>
      </c>
      <c r="L2405" s="5">
        <f>XLOOKUP(N2405, uom!C:C, uom!B:B, "Not Found")</f>
      </c>
      <c r="M2405" s="1" t="s">
        <v>5511</v>
      </c>
      <c r="N2405" s="8" t="s">
        <v>5512</v>
      </c>
      <c r="O2405" s="1" t="s">
        <v>5513</v>
      </c>
      <c r="P2405" s="5">
        <f>XLOOKUP(R2405, classification!C:C, classification!B:B, "Not Found")</f>
      </c>
      <c r="Q2405" s="1" t="s">
        <v>5514</v>
      </c>
      <c r="R2405" s="2"/>
      <c r="S2405" s="2"/>
      <c r="T2405" s="2"/>
      <c r="U2405" s="2"/>
    </row>
    <row x14ac:dyDescent="0.25" r="2406" customHeight="1" ht="17.25">
      <c r="A2406" s="7">
        <v>2405</v>
      </c>
      <c r="B2406" s="1" t="s">
        <v>7768</v>
      </c>
      <c r="C2406" s="5">
        <f>CONCATENATE("PD", TEXT(A2406, "1000000"))</f>
      </c>
      <c r="D2406" s="7">
        <v>76</v>
      </c>
      <c r="E2406" s="5">
        <f>XLOOKUP(G2406, item_category!C:C, item_category!B:B, "Not Found")</f>
      </c>
      <c r="F2406" s="1" t="s">
        <v>5632</v>
      </c>
      <c r="G2406" s="5">
        <f>XLOOKUP(I2406, drug!B:B, drug!A:A, "Not Found")</f>
      </c>
      <c r="H2406" s="1"/>
      <c r="I2406" s="7">
        <v>1</v>
      </c>
      <c r="J2406" s="5">
        <f>XLOOKUP(L2406, uom!C:C, uom!B:B, "Not Found")</f>
      </c>
      <c r="K2406" s="1" t="s">
        <v>5511</v>
      </c>
      <c r="L2406" s="5">
        <f>XLOOKUP(N2406, uom!C:C, uom!B:B, "Not Found")</f>
      </c>
      <c r="M2406" s="1" t="s">
        <v>5511</v>
      </c>
      <c r="N2406" s="8" t="s">
        <v>5512</v>
      </c>
      <c r="O2406" s="1" t="s">
        <v>5513</v>
      </c>
      <c r="P2406" s="5">
        <f>XLOOKUP(R2406, classification!C:C, classification!B:B, "Not Found")</f>
      </c>
      <c r="Q2406" s="1" t="s">
        <v>5514</v>
      </c>
      <c r="R2406" s="2"/>
      <c r="S2406" s="2"/>
      <c r="T2406" s="2"/>
      <c r="U2406" s="2"/>
    </row>
    <row x14ac:dyDescent="0.25" r="2407" customHeight="1" ht="17.25">
      <c r="A2407" s="7">
        <v>2406</v>
      </c>
      <c r="B2407" s="1" t="s">
        <v>7769</v>
      </c>
      <c r="C2407" s="5">
        <f>CONCATENATE("PD", TEXT(A2407, "1000000"))</f>
      </c>
      <c r="D2407" s="7">
        <v>76</v>
      </c>
      <c r="E2407" s="5">
        <f>XLOOKUP(G2407, item_category!C:C, item_category!B:B, "Not Found")</f>
      </c>
      <c r="F2407" s="1" t="s">
        <v>5632</v>
      </c>
      <c r="G2407" s="5">
        <f>XLOOKUP(I2407, drug!B:B, drug!A:A, "Not Found")</f>
      </c>
      <c r="H2407" s="1"/>
      <c r="I2407" s="7">
        <v>1</v>
      </c>
      <c r="J2407" s="5">
        <f>XLOOKUP(L2407, uom!C:C, uom!B:B, "Not Found")</f>
      </c>
      <c r="K2407" s="1" t="s">
        <v>5511</v>
      </c>
      <c r="L2407" s="5">
        <f>XLOOKUP(N2407, uom!C:C, uom!B:B, "Not Found")</f>
      </c>
      <c r="M2407" s="1" t="s">
        <v>5511</v>
      </c>
      <c r="N2407" s="8" t="s">
        <v>5512</v>
      </c>
      <c r="O2407" s="1" t="s">
        <v>5513</v>
      </c>
      <c r="P2407" s="5">
        <f>XLOOKUP(R2407, classification!C:C, classification!B:B, "Not Found")</f>
      </c>
      <c r="Q2407" s="1" t="s">
        <v>5514</v>
      </c>
      <c r="R2407" s="2"/>
      <c r="S2407" s="2"/>
      <c r="T2407" s="2"/>
      <c r="U2407" s="2"/>
    </row>
    <row x14ac:dyDescent="0.25" r="2408" customHeight="1" ht="17.25">
      <c r="A2408" s="7">
        <v>2407</v>
      </c>
      <c r="B2408" s="1" t="s">
        <v>7770</v>
      </c>
      <c r="C2408" s="5">
        <f>CONCATENATE("PD", TEXT(A2408, "1000000"))</f>
      </c>
      <c r="D2408" s="7">
        <v>76</v>
      </c>
      <c r="E2408" s="5">
        <f>XLOOKUP(G2408, item_category!C:C, item_category!B:B, "Not Found")</f>
      </c>
      <c r="F2408" s="1" t="s">
        <v>5632</v>
      </c>
      <c r="G2408" s="5">
        <f>XLOOKUP(I2408, drug!B:B, drug!A:A, "Not Found")</f>
      </c>
      <c r="H2408" s="1"/>
      <c r="I2408" s="7">
        <v>1</v>
      </c>
      <c r="J2408" s="5">
        <f>XLOOKUP(L2408, uom!C:C, uom!B:B, "Not Found")</f>
      </c>
      <c r="K2408" s="1" t="s">
        <v>5511</v>
      </c>
      <c r="L2408" s="5">
        <f>XLOOKUP(N2408, uom!C:C, uom!B:B, "Not Found")</f>
      </c>
      <c r="M2408" s="1" t="s">
        <v>5511</v>
      </c>
      <c r="N2408" s="8" t="s">
        <v>5512</v>
      </c>
      <c r="O2408" s="1" t="s">
        <v>5513</v>
      </c>
      <c r="P2408" s="5">
        <f>XLOOKUP(R2408, classification!C:C, classification!B:B, "Not Found")</f>
      </c>
      <c r="Q2408" s="1" t="s">
        <v>5514</v>
      </c>
      <c r="R2408" s="2"/>
      <c r="S2408" s="2"/>
      <c r="T2408" s="2"/>
      <c r="U2408" s="2"/>
    </row>
    <row x14ac:dyDescent="0.25" r="2409" customHeight="1" ht="17.25">
      <c r="A2409" s="7">
        <v>2408</v>
      </c>
      <c r="B2409" s="1" t="s">
        <v>7771</v>
      </c>
      <c r="C2409" s="5">
        <f>CONCATENATE("PD", TEXT(A2409, "1000000"))</f>
      </c>
      <c r="D2409" s="7">
        <v>76</v>
      </c>
      <c r="E2409" s="5">
        <f>XLOOKUP(G2409, item_category!C:C, item_category!B:B, "Not Found")</f>
      </c>
      <c r="F2409" s="1" t="s">
        <v>5632</v>
      </c>
      <c r="G2409" s="5">
        <f>XLOOKUP(I2409, drug!B:B, drug!A:A, "Not Found")</f>
      </c>
      <c r="H2409" s="1"/>
      <c r="I2409" s="7">
        <v>1</v>
      </c>
      <c r="J2409" s="5">
        <f>XLOOKUP(L2409, uom!C:C, uom!B:B, "Not Found")</f>
      </c>
      <c r="K2409" s="1" t="s">
        <v>5511</v>
      </c>
      <c r="L2409" s="5">
        <f>XLOOKUP(N2409, uom!C:C, uom!B:B, "Not Found")</f>
      </c>
      <c r="M2409" s="1" t="s">
        <v>5511</v>
      </c>
      <c r="N2409" s="8" t="s">
        <v>5512</v>
      </c>
      <c r="O2409" s="1" t="s">
        <v>5513</v>
      </c>
      <c r="P2409" s="5">
        <f>XLOOKUP(R2409, classification!C:C, classification!B:B, "Not Found")</f>
      </c>
      <c r="Q2409" s="1" t="s">
        <v>5514</v>
      </c>
      <c r="R2409" s="2"/>
      <c r="S2409" s="2"/>
      <c r="T2409" s="2"/>
      <c r="U2409" s="2"/>
    </row>
    <row x14ac:dyDescent="0.25" r="2410" customHeight="1" ht="17.25">
      <c r="A2410" s="7">
        <v>2409</v>
      </c>
      <c r="B2410" s="1" t="s">
        <v>7772</v>
      </c>
      <c r="C2410" s="5">
        <f>CONCATENATE("PD", TEXT(A2410, "1000000"))</f>
      </c>
      <c r="D2410" s="7">
        <v>76</v>
      </c>
      <c r="E2410" s="5">
        <f>XLOOKUP(G2410, item_category!C:C, item_category!B:B, "Not Found")</f>
      </c>
      <c r="F2410" s="1" t="s">
        <v>5632</v>
      </c>
      <c r="G2410" s="5">
        <f>XLOOKUP(I2410, drug!B:B, drug!A:A, "Not Found")</f>
      </c>
      <c r="H2410" s="1"/>
      <c r="I2410" s="7">
        <v>1</v>
      </c>
      <c r="J2410" s="5">
        <f>XLOOKUP(L2410, uom!C:C, uom!B:B, "Not Found")</f>
      </c>
      <c r="K2410" s="1" t="s">
        <v>5511</v>
      </c>
      <c r="L2410" s="5">
        <f>XLOOKUP(N2410, uom!C:C, uom!B:B, "Not Found")</f>
      </c>
      <c r="M2410" s="1" t="s">
        <v>5511</v>
      </c>
      <c r="N2410" s="8" t="s">
        <v>5512</v>
      </c>
      <c r="O2410" s="1" t="s">
        <v>5513</v>
      </c>
      <c r="P2410" s="5">
        <f>XLOOKUP(R2410, classification!C:C, classification!B:B, "Not Found")</f>
      </c>
      <c r="Q2410" s="1" t="s">
        <v>5514</v>
      </c>
      <c r="R2410" s="2"/>
      <c r="S2410" s="2"/>
      <c r="T2410" s="2"/>
      <c r="U2410" s="2"/>
    </row>
    <row x14ac:dyDescent="0.25" r="2411" customHeight="1" ht="17.25">
      <c r="A2411" s="7">
        <v>2410</v>
      </c>
      <c r="B2411" s="1" t="s">
        <v>7773</v>
      </c>
      <c r="C2411" s="5">
        <f>CONCATENATE("PD", TEXT(A2411, "1000000"))</f>
      </c>
      <c r="D2411" s="7">
        <v>76</v>
      </c>
      <c r="E2411" s="5">
        <f>XLOOKUP(G2411, item_category!C:C, item_category!B:B, "Not Found")</f>
      </c>
      <c r="F2411" s="1" t="s">
        <v>5632</v>
      </c>
      <c r="G2411" s="5">
        <f>XLOOKUP(I2411, drug!B:B, drug!A:A, "Not Found")</f>
      </c>
      <c r="H2411" s="1"/>
      <c r="I2411" s="7">
        <v>1</v>
      </c>
      <c r="J2411" s="5">
        <f>XLOOKUP(L2411, uom!C:C, uom!B:B, "Not Found")</f>
      </c>
      <c r="K2411" s="1" t="s">
        <v>5511</v>
      </c>
      <c r="L2411" s="5">
        <f>XLOOKUP(N2411, uom!C:C, uom!B:B, "Not Found")</f>
      </c>
      <c r="M2411" s="1" t="s">
        <v>5511</v>
      </c>
      <c r="N2411" s="8" t="s">
        <v>5512</v>
      </c>
      <c r="O2411" s="1" t="s">
        <v>5513</v>
      </c>
      <c r="P2411" s="5">
        <f>XLOOKUP(R2411, classification!C:C, classification!B:B, "Not Found")</f>
      </c>
      <c r="Q2411" s="1" t="s">
        <v>5514</v>
      </c>
      <c r="R2411" s="2"/>
      <c r="S2411" s="2"/>
      <c r="T2411" s="2"/>
      <c r="U2411" s="2"/>
    </row>
    <row x14ac:dyDescent="0.25" r="2412" customHeight="1" ht="17.25">
      <c r="A2412" s="7">
        <v>2411</v>
      </c>
      <c r="B2412" s="1" t="s">
        <v>7774</v>
      </c>
      <c r="C2412" s="5">
        <f>CONCATENATE("PD", TEXT(A2412, "1000000"))</f>
      </c>
      <c r="D2412" s="7">
        <v>76</v>
      </c>
      <c r="E2412" s="5">
        <f>XLOOKUP(G2412, item_category!C:C, item_category!B:B, "Not Found")</f>
      </c>
      <c r="F2412" s="1" t="s">
        <v>5632</v>
      </c>
      <c r="G2412" s="5">
        <f>XLOOKUP(I2412, drug!B:B, drug!A:A, "Not Found")</f>
      </c>
      <c r="H2412" s="1"/>
      <c r="I2412" s="7">
        <v>1</v>
      </c>
      <c r="J2412" s="5">
        <f>XLOOKUP(L2412, uom!C:C, uom!B:B, "Not Found")</f>
      </c>
      <c r="K2412" s="1" t="s">
        <v>5511</v>
      </c>
      <c r="L2412" s="5">
        <f>XLOOKUP(N2412, uom!C:C, uom!B:B, "Not Found")</f>
      </c>
      <c r="M2412" s="1" t="s">
        <v>5511</v>
      </c>
      <c r="N2412" s="8" t="s">
        <v>5512</v>
      </c>
      <c r="O2412" s="1" t="s">
        <v>5513</v>
      </c>
      <c r="P2412" s="5">
        <f>XLOOKUP(R2412, classification!C:C, classification!B:B, "Not Found")</f>
      </c>
      <c r="Q2412" s="1" t="s">
        <v>5514</v>
      </c>
      <c r="R2412" s="2"/>
      <c r="S2412" s="2"/>
      <c r="T2412" s="2"/>
      <c r="U2412" s="2"/>
    </row>
    <row x14ac:dyDescent="0.25" r="2413" customHeight="1" ht="17.25">
      <c r="A2413" s="7">
        <v>2412</v>
      </c>
      <c r="B2413" s="1" t="s">
        <v>7775</v>
      </c>
      <c r="C2413" s="5">
        <f>CONCATENATE("PD", TEXT(A2413, "1000000"))</f>
      </c>
      <c r="D2413" s="7">
        <v>76</v>
      </c>
      <c r="E2413" s="5">
        <f>XLOOKUP(G2413, item_category!C:C, item_category!B:B, "Not Found")</f>
      </c>
      <c r="F2413" s="1" t="s">
        <v>5632</v>
      </c>
      <c r="G2413" s="5">
        <f>XLOOKUP(I2413, drug!B:B, drug!A:A, "Not Found")</f>
      </c>
      <c r="H2413" s="1"/>
      <c r="I2413" s="7">
        <v>1</v>
      </c>
      <c r="J2413" s="5">
        <f>XLOOKUP(L2413, uom!C:C, uom!B:B, "Not Found")</f>
      </c>
      <c r="K2413" s="1" t="s">
        <v>5511</v>
      </c>
      <c r="L2413" s="5">
        <f>XLOOKUP(N2413, uom!C:C, uom!B:B, "Not Found")</f>
      </c>
      <c r="M2413" s="1" t="s">
        <v>5511</v>
      </c>
      <c r="N2413" s="8" t="s">
        <v>5512</v>
      </c>
      <c r="O2413" s="1" t="s">
        <v>5513</v>
      </c>
      <c r="P2413" s="5">
        <f>XLOOKUP(R2413, classification!C:C, classification!B:B, "Not Found")</f>
      </c>
      <c r="Q2413" s="1" t="s">
        <v>5514</v>
      </c>
      <c r="R2413" s="2"/>
      <c r="S2413" s="2"/>
      <c r="T2413" s="2"/>
      <c r="U2413" s="2"/>
    </row>
    <row x14ac:dyDescent="0.25" r="2414" customHeight="1" ht="17.25">
      <c r="A2414" s="7">
        <v>2413</v>
      </c>
      <c r="B2414" s="1" t="s">
        <v>7776</v>
      </c>
      <c r="C2414" s="5">
        <f>CONCATENATE("PD", TEXT(A2414, "1000000"))</f>
      </c>
      <c r="D2414" s="7">
        <v>76</v>
      </c>
      <c r="E2414" s="5">
        <f>XLOOKUP(G2414, item_category!C:C, item_category!B:B, "Not Found")</f>
      </c>
      <c r="F2414" s="1" t="s">
        <v>5632</v>
      </c>
      <c r="G2414" s="5">
        <f>XLOOKUP(I2414, drug!B:B, drug!A:A, "Not Found")</f>
      </c>
      <c r="H2414" s="1"/>
      <c r="I2414" s="7">
        <v>1</v>
      </c>
      <c r="J2414" s="5">
        <f>XLOOKUP(L2414, uom!C:C, uom!B:B, "Not Found")</f>
      </c>
      <c r="K2414" s="1" t="s">
        <v>5511</v>
      </c>
      <c r="L2414" s="5">
        <f>XLOOKUP(N2414, uom!C:C, uom!B:B, "Not Found")</f>
      </c>
      <c r="M2414" s="1" t="s">
        <v>5511</v>
      </c>
      <c r="N2414" s="8" t="s">
        <v>5512</v>
      </c>
      <c r="O2414" s="1" t="s">
        <v>5513</v>
      </c>
      <c r="P2414" s="5">
        <f>XLOOKUP(R2414, classification!C:C, classification!B:B, "Not Found")</f>
      </c>
      <c r="Q2414" s="1" t="s">
        <v>5514</v>
      </c>
      <c r="R2414" s="2"/>
      <c r="S2414" s="2"/>
      <c r="T2414" s="2"/>
      <c r="U2414" s="2"/>
    </row>
    <row x14ac:dyDescent="0.25" r="2415" customHeight="1" ht="17.25">
      <c r="A2415" s="7">
        <v>2414</v>
      </c>
      <c r="B2415" s="1" t="s">
        <v>7777</v>
      </c>
      <c r="C2415" s="5">
        <f>CONCATENATE("PD", TEXT(A2415, "1000000"))</f>
      </c>
      <c r="D2415" s="7">
        <v>76</v>
      </c>
      <c r="E2415" s="5">
        <f>XLOOKUP(G2415, item_category!C:C, item_category!B:B, "Not Found")</f>
      </c>
      <c r="F2415" s="1" t="s">
        <v>5632</v>
      </c>
      <c r="G2415" s="5">
        <f>XLOOKUP(I2415, drug!B:B, drug!A:A, "Not Found")</f>
      </c>
      <c r="H2415" s="1"/>
      <c r="I2415" s="7">
        <v>1</v>
      </c>
      <c r="J2415" s="5">
        <f>XLOOKUP(L2415, uom!C:C, uom!B:B, "Not Found")</f>
      </c>
      <c r="K2415" s="1" t="s">
        <v>5511</v>
      </c>
      <c r="L2415" s="5">
        <f>XLOOKUP(N2415, uom!C:C, uom!B:B, "Not Found")</f>
      </c>
      <c r="M2415" s="1" t="s">
        <v>5511</v>
      </c>
      <c r="N2415" s="8" t="s">
        <v>5512</v>
      </c>
      <c r="O2415" s="1" t="s">
        <v>5513</v>
      </c>
      <c r="P2415" s="5">
        <f>XLOOKUP(R2415, classification!C:C, classification!B:B, "Not Found")</f>
      </c>
      <c r="Q2415" s="1" t="s">
        <v>5514</v>
      </c>
      <c r="R2415" s="2"/>
      <c r="S2415" s="2"/>
      <c r="T2415" s="2"/>
      <c r="U2415" s="2"/>
    </row>
    <row x14ac:dyDescent="0.25" r="2416" customHeight="1" ht="17.25">
      <c r="A2416" s="7">
        <v>2415</v>
      </c>
      <c r="B2416" s="1" t="s">
        <v>7778</v>
      </c>
      <c r="C2416" s="5">
        <f>CONCATENATE("PD", TEXT(A2416, "1000000"))</f>
      </c>
      <c r="D2416" s="7">
        <v>76</v>
      </c>
      <c r="E2416" s="5">
        <f>XLOOKUP(G2416, item_category!C:C, item_category!B:B, "Not Found")</f>
      </c>
      <c r="F2416" s="1" t="s">
        <v>5632</v>
      </c>
      <c r="G2416" s="5">
        <f>XLOOKUP(I2416, drug!B:B, drug!A:A, "Not Found")</f>
      </c>
      <c r="H2416" s="1"/>
      <c r="I2416" s="7">
        <v>1</v>
      </c>
      <c r="J2416" s="5">
        <f>XLOOKUP(L2416, uom!C:C, uom!B:B, "Not Found")</f>
      </c>
      <c r="K2416" s="1" t="s">
        <v>5511</v>
      </c>
      <c r="L2416" s="5">
        <f>XLOOKUP(N2416, uom!C:C, uom!B:B, "Not Found")</f>
      </c>
      <c r="M2416" s="1" t="s">
        <v>5511</v>
      </c>
      <c r="N2416" s="8" t="s">
        <v>5512</v>
      </c>
      <c r="O2416" s="1" t="s">
        <v>5513</v>
      </c>
      <c r="P2416" s="5">
        <f>XLOOKUP(R2416, classification!C:C, classification!B:B, "Not Found")</f>
      </c>
      <c r="Q2416" s="1" t="s">
        <v>5514</v>
      </c>
      <c r="R2416" s="2"/>
      <c r="S2416" s="2"/>
      <c r="T2416" s="2"/>
      <c r="U2416" s="2"/>
    </row>
    <row x14ac:dyDescent="0.25" r="2417" customHeight="1" ht="17.25">
      <c r="A2417" s="7">
        <v>2416</v>
      </c>
      <c r="B2417" s="1" t="s">
        <v>3226</v>
      </c>
      <c r="C2417" s="5">
        <f>CONCATENATE("PD", TEXT(A2417, "1000000"))</f>
      </c>
      <c r="D2417" s="7">
        <v>76</v>
      </c>
      <c r="E2417" s="5">
        <f>XLOOKUP(G2417, item_category!C:C, item_category!B:B, "Not Found")</f>
      </c>
      <c r="F2417" s="1" t="s">
        <v>5632</v>
      </c>
      <c r="G2417" s="5">
        <f>XLOOKUP(I2417, drug!B:B, drug!A:A, "Not Found")</f>
      </c>
      <c r="H2417" s="1"/>
      <c r="I2417" s="7">
        <v>1</v>
      </c>
      <c r="J2417" s="5">
        <f>XLOOKUP(L2417, uom!C:C, uom!B:B, "Not Found")</f>
      </c>
      <c r="K2417" s="1" t="s">
        <v>5511</v>
      </c>
      <c r="L2417" s="5">
        <f>XLOOKUP(N2417, uom!C:C, uom!B:B, "Not Found")</f>
      </c>
      <c r="M2417" s="1" t="s">
        <v>5511</v>
      </c>
      <c r="N2417" s="8" t="s">
        <v>5512</v>
      </c>
      <c r="O2417" s="1" t="s">
        <v>5513</v>
      </c>
      <c r="P2417" s="5">
        <f>XLOOKUP(R2417, classification!C:C, classification!B:B, "Not Found")</f>
      </c>
      <c r="Q2417" s="1" t="s">
        <v>5514</v>
      </c>
      <c r="R2417" s="2"/>
      <c r="S2417" s="2"/>
      <c r="T2417" s="2"/>
      <c r="U2417" s="2"/>
    </row>
    <row x14ac:dyDescent="0.25" r="2418" customHeight="1" ht="17.25">
      <c r="A2418" s="7">
        <v>2417</v>
      </c>
      <c r="B2418" s="1" t="s">
        <v>7779</v>
      </c>
      <c r="C2418" s="5">
        <f>CONCATENATE("PD", TEXT(A2418, "1000000"))</f>
      </c>
      <c r="D2418" s="7">
        <v>76</v>
      </c>
      <c r="E2418" s="5">
        <f>XLOOKUP(G2418, item_category!C:C, item_category!B:B, "Not Found")</f>
      </c>
      <c r="F2418" s="1" t="s">
        <v>5632</v>
      </c>
      <c r="G2418" s="5">
        <f>XLOOKUP(I2418, drug!B:B, drug!A:A, "Not Found")</f>
      </c>
      <c r="H2418" s="1"/>
      <c r="I2418" s="7">
        <v>1</v>
      </c>
      <c r="J2418" s="5">
        <f>XLOOKUP(L2418, uom!C:C, uom!B:B, "Not Found")</f>
      </c>
      <c r="K2418" s="1" t="s">
        <v>5511</v>
      </c>
      <c r="L2418" s="5">
        <f>XLOOKUP(N2418, uom!C:C, uom!B:B, "Not Found")</f>
      </c>
      <c r="M2418" s="1" t="s">
        <v>5511</v>
      </c>
      <c r="N2418" s="8" t="s">
        <v>5512</v>
      </c>
      <c r="O2418" s="1" t="s">
        <v>5513</v>
      </c>
      <c r="P2418" s="5">
        <f>XLOOKUP(R2418, classification!C:C, classification!B:B, "Not Found")</f>
      </c>
      <c r="Q2418" s="1" t="s">
        <v>5514</v>
      </c>
      <c r="R2418" s="2"/>
      <c r="S2418" s="2"/>
      <c r="T2418" s="2"/>
      <c r="U2418" s="2"/>
    </row>
    <row x14ac:dyDescent="0.25" r="2419" customHeight="1" ht="17.25">
      <c r="A2419" s="7">
        <v>2418</v>
      </c>
      <c r="B2419" s="1" t="s">
        <v>7780</v>
      </c>
      <c r="C2419" s="5">
        <f>CONCATENATE("PD", TEXT(A2419, "1000000"))</f>
      </c>
      <c r="D2419" s="7">
        <v>76</v>
      </c>
      <c r="E2419" s="5">
        <f>XLOOKUP(G2419, item_category!C:C, item_category!B:B, "Not Found")</f>
      </c>
      <c r="F2419" s="1" t="s">
        <v>5632</v>
      </c>
      <c r="G2419" s="5">
        <f>XLOOKUP(I2419, drug!B:B, drug!A:A, "Not Found")</f>
      </c>
      <c r="H2419" s="1"/>
      <c r="I2419" s="7">
        <v>1</v>
      </c>
      <c r="J2419" s="5">
        <f>XLOOKUP(L2419, uom!C:C, uom!B:B, "Not Found")</f>
      </c>
      <c r="K2419" s="1" t="s">
        <v>5511</v>
      </c>
      <c r="L2419" s="5">
        <f>XLOOKUP(N2419, uom!C:C, uom!B:B, "Not Found")</f>
      </c>
      <c r="M2419" s="1" t="s">
        <v>5511</v>
      </c>
      <c r="N2419" s="8" t="s">
        <v>5512</v>
      </c>
      <c r="O2419" s="1" t="s">
        <v>5513</v>
      </c>
      <c r="P2419" s="5">
        <f>XLOOKUP(R2419, classification!C:C, classification!B:B, "Not Found")</f>
      </c>
      <c r="Q2419" s="1" t="s">
        <v>5514</v>
      </c>
      <c r="R2419" s="2"/>
      <c r="S2419" s="2"/>
      <c r="T2419" s="2"/>
      <c r="U2419" s="2"/>
    </row>
    <row x14ac:dyDescent="0.25" r="2420" customHeight="1" ht="17.25">
      <c r="A2420" s="7">
        <v>2419</v>
      </c>
      <c r="B2420" s="1" t="s">
        <v>7781</v>
      </c>
      <c r="C2420" s="5">
        <f>CONCATENATE("PD", TEXT(A2420, "1000000"))</f>
      </c>
      <c r="D2420" s="7">
        <v>76</v>
      </c>
      <c r="E2420" s="5">
        <f>XLOOKUP(G2420, item_category!C:C, item_category!B:B, "Not Found")</f>
      </c>
      <c r="F2420" s="1" t="s">
        <v>5632</v>
      </c>
      <c r="G2420" s="5">
        <f>XLOOKUP(I2420, drug!B:B, drug!A:A, "Not Found")</f>
      </c>
      <c r="H2420" s="1"/>
      <c r="I2420" s="7">
        <v>1</v>
      </c>
      <c r="J2420" s="5">
        <f>XLOOKUP(L2420, uom!C:C, uom!B:B, "Not Found")</f>
      </c>
      <c r="K2420" s="1" t="s">
        <v>5511</v>
      </c>
      <c r="L2420" s="5">
        <f>XLOOKUP(N2420, uom!C:C, uom!B:B, "Not Found")</f>
      </c>
      <c r="M2420" s="1" t="s">
        <v>5511</v>
      </c>
      <c r="N2420" s="8" t="s">
        <v>5512</v>
      </c>
      <c r="O2420" s="1" t="s">
        <v>5513</v>
      </c>
      <c r="P2420" s="5">
        <f>XLOOKUP(R2420, classification!C:C, classification!B:B, "Not Found")</f>
      </c>
      <c r="Q2420" s="1" t="s">
        <v>5514</v>
      </c>
      <c r="R2420" s="2"/>
      <c r="S2420" s="2"/>
      <c r="T2420" s="2"/>
      <c r="U2420" s="2"/>
    </row>
    <row x14ac:dyDescent="0.25" r="2421" customHeight="1" ht="17.25">
      <c r="A2421" s="7">
        <v>2420</v>
      </c>
      <c r="B2421" s="1" t="s">
        <v>7782</v>
      </c>
      <c r="C2421" s="5">
        <f>CONCATENATE("PD", TEXT(A2421, "1000000"))</f>
      </c>
      <c r="D2421" s="7">
        <v>76</v>
      </c>
      <c r="E2421" s="5">
        <f>XLOOKUP(G2421, item_category!C:C, item_category!B:B, "Not Found")</f>
      </c>
      <c r="F2421" s="1" t="s">
        <v>5632</v>
      </c>
      <c r="G2421" s="5">
        <f>XLOOKUP(I2421, drug!B:B, drug!A:A, "Not Found")</f>
      </c>
      <c r="H2421" s="1"/>
      <c r="I2421" s="7">
        <v>1</v>
      </c>
      <c r="J2421" s="5">
        <f>XLOOKUP(L2421, uom!C:C, uom!B:B, "Not Found")</f>
      </c>
      <c r="K2421" s="1" t="s">
        <v>5511</v>
      </c>
      <c r="L2421" s="5">
        <f>XLOOKUP(N2421, uom!C:C, uom!B:B, "Not Found")</f>
      </c>
      <c r="M2421" s="1" t="s">
        <v>5511</v>
      </c>
      <c r="N2421" s="8" t="s">
        <v>5512</v>
      </c>
      <c r="O2421" s="1" t="s">
        <v>5513</v>
      </c>
      <c r="P2421" s="5">
        <f>XLOOKUP(R2421, classification!C:C, classification!B:B, "Not Found")</f>
      </c>
      <c r="Q2421" s="1" t="s">
        <v>5514</v>
      </c>
      <c r="R2421" s="2"/>
      <c r="S2421" s="2"/>
      <c r="T2421" s="2"/>
      <c r="U2421" s="2"/>
    </row>
    <row x14ac:dyDescent="0.25" r="2422" customHeight="1" ht="17.25">
      <c r="A2422" s="7">
        <v>2421</v>
      </c>
      <c r="B2422" s="1" t="s">
        <v>7783</v>
      </c>
      <c r="C2422" s="5">
        <f>CONCATENATE("PD", TEXT(A2422, "1000000"))</f>
      </c>
      <c r="D2422" s="7">
        <v>76</v>
      </c>
      <c r="E2422" s="5">
        <f>XLOOKUP(G2422, item_category!C:C, item_category!B:B, "Not Found")</f>
      </c>
      <c r="F2422" s="1" t="s">
        <v>5632</v>
      </c>
      <c r="G2422" s="5">
        <f>XLOOKUP(I2422, drug!B:B, drug!A:A, "Not Found")</f>
      </c>
      <c r="H2422" s="1"/>
      <c r="I2422" s="7">
        <v>1</v>
      </c>
      <c r="J2422" s="5">
        <f>XLOOKUP(L2422, uom!C:C, uom!B:B, "Not Found")</f>
      </c>
      <c r="K2422" s="1" t="s">
        <v>5511</v>
      </c>
      <c r="L2422" s="5">
        <f>XLOOKUP(N2422, uom!C:C, uom!B:B, "Not Found")</f>
      </c>
      <c r="M2422" s="1" t="s">
        <v>5511</v>
      </c>
      <c r="N2422" s="8" t="s">
        <v>5512</v>
      </c>
      <c r="O2422" s="1" t="s">
        <v>5513</v>
      </c>
      <c r="P2422" s="5">
        <f>XLOOKUP(R2422, classification!C:C, classification!B:B, "Not Found")</f>
      </c>
      <c r="Q2422" s="1" t="s">
        <v>5514</v>
      </c>
      <c r="R2422" s="2"/>
      <c r="S2422" s="2"/>
      <c r="T2422" s="2"/>
      <c r="U2422" s="2"/>
    </row>
    <row x14ac:dyDescent="0.25" r="2423" customHeight="1" ht="17.25">
      <c r="A2423" s="7">
        <v>2422</v>
      </c>
      <c r="B2423" s="1" t="s">
        <v>7784</v>
      </c>
      <c r="C2423" s="5">
        <f>CONCATENATE("PD", TEXT(A2423, "1000000"))</f>
      </c>
      <c r="D2423" s="7">
        <v>76</v>
      </c>
      <c r="E2423" s="5">
        <f>XLOOKUP(G2423, item_category!C:C, item_category!B:B, "Not Found")</f>
      </c>
      <c r="F2423" s="1" t="s">
        <v>5632</v>
      </c>
      <c r="G2423" s="5">
        <f>XLOOKUP(I2423, drug!B:B, drug!A:A, "Not Found")</f>
      </c>
      <c r="H2423" s="1"/>
      <c r="I2423" s="7">
        <v>1</v>
      </c>
      <c r="J2423" s="5">
        <f>XLOOKUP(L2423, uom!C:C, uom!B:B, "Not Found")</f>
      </c>
      <c r="K2423" s="1" t="s">
        <v>5511</v>
      </c>
      <c r="L2423" s="5">
        <f>XLOOKUP(N2423, uom!C:C, uom!B:B, "Not Found")</f>
      </c>
      <c r="M2423" s="1" t="s">
        <v>5511</v>
      </c>
      <c r="N2423" s="8" t="s">
        <v>5512</v>
      </c>
      <c r="O2423" s="1" t="s">
        <v>5513</v>
      </c>
      <c r="P2423" s="5">
        <f>XLOOKUP(R2423, classification!C:C, classification!B:B, "Not Found")</f>
      </c>
      <c r="Q2423" s="1" t="s">
        <v>5514</v>
      </c>
      <c r="R2423" s="2"/>
      <c r="S2423" s="2"/>
      <c r="T2423" s="2"/>
      <c r="U2423" s="2"/>
    </row>
    <row x14ac:dyDescent="0.25" r="2424" customHeight="1" ht="17.25">
      <c r="A2424" s="7">
        <v>2423</v>
      </c>
      <c r="B2424" s="1" t="s">
        <v>7785</v>
      </c>
      <c r="C2424" s="5">
        <f>CONCATENATE("PD", TEXT(A2424, "1000000"))</f>
      </c>
      <c r="D2424" s="7">
        <v>76</v>
      </c>
      <c r="E2424" s="5">
        <f>XLOOKUP(G2424, item_category!C:C, item_category!B:B, "Not Found")</f>
      </c>
      <c r="F2424" s="1" t="s">
        <v>5632</v>
      </c>
      <c r="G2424" s="5">
        <f>XLOOKUP(I2424, drug!B:B, drug!A:A, "Not Found")</f>
      </c>
      <c r="H2424" s="1"/>
      <c r="I2424" s="7">
        <v>1</v>
      </c>
      <c r="J2424" s="5">
        <f>XLOOKUP(L2424, uom!C:C, uom!B:B, "Not Found")</f>
      </c>
      <c r="K2424" s="1" t="s">
        <v>5511</v>
      </c>
      <c r="L2424" s="5">
        <f>XLOOKUP(N2424, uom!C:C, uom!B:B, "Not Found")</f>
      </c>
      <c r="M2424" s="1" t="s">
        <v>5511</v>
      </c>
      <c r="N2424" s="8" t="s">
        <v>5512</v>
      </c>
      <c r="O2424" s="1" t="s">
        <v>5513</v>
      </c>
      <c r="P2424" s="5">
        <f>XLOOKUP(R2424, classification!C:C, classification!B:B, "Not Found")</f>
      </c>
      <c r="Q2424" s="1" t="s">
        <v>5514</v>
      </c>
      <c r="R2424" s="2"/>
      <c r="S2424" s="2"/>
      <c r="T2424" s="2"/>
      <c r="U2424" s="2"/>
    </row>
    <row x14ac:dyDescent="0.25" r="2425" customHeight="1" ht="17.25">
      <c r="A2425" s="7">
        <v>2424</v>
      </c>
      <c r="B2425" s="1" t="s">
        <v>7786</v>
      </c>
      <c r="C2425" s="5">
        <f>CONCATENATE("PD", TEXT(A2425, "1000000"))</f>
      </c>
      <c r="D2425" s="7">
        <v>76</v>
      </c>
      <c r="E2425" s="5">
        <f>XLOOKUP(G2425, item_category!C:C, item_category!B:B, "Not Found")</f>
      </c>
      <c r="F2425" s="1" t="s">
        <v>5632</v>
      </c>
      <c r="G2425" s="5">
        <f>XLOOKUP(I2425, drug!B:B, drug!A:A, "Not Found")</f>
      </c>
      <c r="H2425" s="1"/>
      <c r="I2425" s="7">
        <v>1</v>
      </c>
      <c r="J2425" s="5">
        <f>XLOOKUP(L2425, uom!C:C, uom!B:B, "Not Found")</f>
      </c>
      <c r="K2425" s="1" t="s">
        <v>5511</v>
      </c>
      <c r="L2425" s="5">
        <f>XLOOKUP(N2425, uom!C:C, uom!B:B, "Not Found")</f>
      </c>
      <c r="M2425" s="1" t="s">
        <v>5511</v>
      </c>
      <c r="N2425" s="8" t="s">
        <v>5512</v>
      </c>
      <c r="O2425" s="1" t="s">
        <v>5513</v>
      </c>
      <c r="P2425" s="5">
        <f>XLOOKUP(R2425, classification!C:C, classification!B:B, "Not Found")</f>
      </c>
      <c r="Q2425" s="1" t="s">
        <v>5514</v>
      </c>
      <c r="R2425" s="2"/>
      <c r="S2425" s="2"/>
      <c r="T2425" s="2"/>
      <c r="U2425" s="2"/>
    </row>
    <row x14ac:dyDescent="0.25" r="2426" customHeight="1" ht="17.25">
      <c r="A2426" s="7">
        <v>2425</v>
      </c>
      <c r="B2426" s="1" t="s">
        <v>7787</v>
      </c>
      <c r="C2426" s="5">
        <f>CONCATENATE("PD", TEXT(A2426, "1000000"))</f>
      </c>
      <c r="D2426" s="7">
        <v>76</v>
      </c>
      <c r="E2426" s="5">
        <f>XLOOKUP(G2426, item_category!C:C, item_category!B:B, "Not Found")</f>
      </c>
      <c r="F2426" s="1" t="s">
        <v>5632</v>
      </c>
      <c r="G2426" s="5">
        <f>XLOOKUP(I2426, drug!B:B, drug!A:A, "Not Found")</f>
      </c>
      <c r="H2426" s="1"/>
      <c r="I2426" s="7">
        <v>1</v>
      </c>
      <c r="J2426" s="5">
        <f>XLOOKUP(L2426, uom!C:C, uom!B:B, "Not Found")</f>
      </c>
      <c r="K2426" s="1" t="s">
        <v>5511</v>
      </c>
      <c r="L2426" s="5">
        <f>XLOOKUP(N2426, uom!C:C, uom!B:B, "Not Found")</f>
      </c>
      <c r="M2426" s="1" t="s">
        <v>5511</v>
      </c>
      <c r="N2426" s="8" t="s">
        <v>5512</v>
      </c>
      <c r="O2426" s="1" t="s">
        <v>5513</v>
      </c>
      <c r="P2426" s="5">
        <f>XLOOKUP(R2426, classification!C:C, classification!B:B, "Not Found")</f>
      </c>
      <c r="Q2426" s="1" t="s">
        <v>5514</v>
      </c>
      <c r="R2426" s="2"/>
      <c r="S2426" s="2"/>
      <c r="T2426" s="2"/>
      <c r="U2426" s="2"/>
    </row>
    <row x14ac:dyDescent="0.25" r="2427" customHeight="1" ht="17.25">
      <c r="A2427" s="7">
        <v>2426</v>
      </c>
      <c r="B2427" s="1" t="s">
        <v>7788</v>
      </c>
      <c r="C2427" s="5">
        <f>CONCATENATE("PD", TEXT(A2427, "1000000"))</f>
      </c>
      <c r="D2427" s="7">
        <v>76</v>
      </c>
      <c r="E2427" s="5">
        <f>XLOOKUP(G2427, item_category!C:C, item_category!B:B, "Not Found")</f>
      </c>
      <c r="F2427" s="1" t="s">
        <v>5632</v>
      </c>
      <c r="G2427" s="5">
        <f>XLOOKUP(I2427, drug!B:B, drug!A:A, "Not Found")</f>
      </c>
      <c r="H2427" s="1"/>
      <c r="I2427" s="7">
        <v>1</v>
      </c>
      <c r="J2427" s="5">
        <f>XLOOKUP(L2427, uom!C:C, uom!B:B, "Not Found")</f>
      </c>
      <c r="K2427" s="1" t="s">
        <v>5511</v>
      </c>
      <c r="L2427" s="5">
        <f>XLOOKUP(N2427, uom!C:C, uom!B:B, "Not Found")</f>
      </c>
      <c r="M2427" s="1" t="s">
        <v>5511</v>
      </c>
      <c r="N2427" s="8" t="s">
        <v>5512</v>
      </c>
      <c r="O2427" s="1" t="s">
        <v>5513</v>
      </c>
      <c r="P2427" s="5">
        <f>XLOOKUP(R2427, classification!C:C, classification!B:B, "Not Found")</f>
      </c>
      <c r="Q2427" s="1" t="s">
        <v>5514</v>
      </c>
      <c r="R2427" s="2"/>
      <c r="S2427" s="2"/>
      <c r="T2427" s="2"/>
      <c r="U2427" s="2"/>
    </row>
    <row x14ac:dyDescent="0.25" r="2428" customHeight="1" ht="17.25">
      <c r="A2428" s="7">
        <v>2427</v>
      </c>
      <c r="B2428" s="1" t="s">
        <v>7789</v>
      </c>
      <c r="C2428" s="5">
        <f>CONCATENATE("PD", TEXT(A2428, "1000000"))</f>
      </c>
      <c r="D2428" s="7">
        <v>76</v>
      </c>
      <c r="E2428" s="5">
        <f>XLOOKUP(G2428, item_category!C:C, item_category!B:B, "Not Found")</f>
      </c>
      <c r="F2428" s="1" t="s">
        <v>5632</v>
      </c>
      <c r="G2428" s="5">
        <f>XLOOKUP(I2428, drug!B:B, drug!A:A, "Not Found")</f>
      </c>
      <c r="H2428" s="1"/>
      <c r="I2428" s="7">
        <v>1</v>
      </c>
      <c r="J2428" s="5">
        <f>XLOOKUP(L2428, uom!C:C, uom!B:B, "Not Found")</f>
      </c>
      <c r="K2428" s="1" t="s">
        <v>5511</v>
      </c>
      <c r="L2428" s="5">
        <f>XLOOKUP(N2428, uom!C:C, uom!B:B, "Not Found")</f>
      </c>
      <c r="M2428" s="1" t="s">
        <v>5511</v>
      </c>
      <c r="N2428" s="8" t="s">
        <v>5512</v>
      </c>
      <c r="O2428" s="1" t="s">
        <v>5513</v>
      </c>
      <c r="P2428" s="5">
        <f>XLOOKUP(R2428, classification!C:C, classification!B:B, "Not Found")</f>
      </c>
      <c r="Q2428" s="1" t="s">
        <v>5514</v>
      </c>
      <c r="R2428" s="2"/>
      <c r="S2428" s="2"/>
      <c r="T2428" s="2"/>
      <c r="U2428" s="2"/>
    </row>
    <row x14ac:dyDescent="0.25" r="2429" customHeight="1" ht="17.25">
      <c r="A2429" s="7">
        <v>2428</v>
      </c>
      <c r="B2429" s="1" t="s">
        <v>7790</v>
      </c>
      <c r="C2429" s="5">
        <f>CONCATENATE("PD", TEXT(A2429, "1000000"))</f>
      </c>
      <c r="D2429" s="7">
        <v>76</v>
      </c>
      <c r="E2429" s="5">
        <f>XLOOKUP(G2429, item_category!C:C, item_category!B:B, "Not Found")</f>
      </c>
      <c r="F2429" s="1" t="s">
        <v>5632</v>
      </c>
      <c r="G2429" s="5">
        <f>XLOOKUP(I2429, drug!B:B, drug!A:A, "Not Found")</f>
      </c>
      <c r="H2429" s="1"/>
      <c r="I2429" s="7">
        <v>1</v>
      </c>
      <c r="J2429" s="5">
        <f>XLOOKUP(L2429, uom!C:C, uom!B:B, "Not Found")</f>
      </c>
      <c r="K2429" s="1" t="s">
        <v>5511</v>
      </c>
      <c r="L2429" s="5">
        <f>XLOOKUP(N2429, uom!C:C, uom!B:B, "Not Found")</f>
      </c>
      <c r="M2429" s="1" t="s">
        <v>5511</v>
      </c>
      <c r="N2429" s="8" t="s">
        <v>5512</v>
      </c>
      <c r="O2429" s="1" t="s">
        <v>5513</v>
      </c>
      <c r="P2429" s="5">
        <f>XLOOKUP(R2429, classification!C:C, classification!B:B, "Not Found")</f>
      </c>
      <c r="Q2429" s="1" t="s">
        <v>5514</v>
      </c>
      <c r="R2429" s="2"/>
      <c r="S2429" s="2"/>
      <c r="T2429" s="2"/>
      <c r="U2429" s="2"/>
    </row>
    <row x14ac:dyDescent="0.25" r="2430" customHeight="1" ht="17.25">
      <c r="A2430" s="7">
        <v>2429</v>
      </c>
      <c r="B2430" s="1" t="s">
        <v>7791</v>
      </c>
      <c r="C2430" s="5">
        <f>CONCATENATE("PD", TEXT(A2430, "1000000"))</f>
      </c>
      <c r="D2430" s="7">
        <v>76</v>
      </c>
      <c r="E2430" s="5">
        <f>XLOOKUP(G2430, item_category!C:C, item_category!B:B, "Not Found")</f>
      </c>
      <c r="F2430" s="1" t="s">
        <v>5632</v>
      </c>
      <c r="G2430" s="5">
        <f>XLOOKUP(I2430, drug!B:B, drug!A:A, "Not Found")</f>
      </c>
      <c r="H2430" s="1"/>
      <c r="I2430" s="7">
        <v>1</v>
      </c>
      <c r="J2430" s="5">
        <f>XLOOKUP(L2430, uom!C:C, uom!B:B, "Not Found")</f>
      </c>
      <c r="K2430" s="1" t="s">
        <v>5511</v>
      </c>
      <c r="L2430" s="5">
        <f>XLOOKUP(N2430, uom!C:C, uom!B:B, "Not Found")</f>
      </c>
      <c r="M2430" s="1" t="s">
        <v>5511</v>
      </c>
      <c r="N2430" s="8" t="s">
        <v>5512</v>
      </c>
      <c r="O2430" s="1" t="s">
        <v>5513</v>
      </c>
      <c r="P2430" s="5">
        <f>XLOOKUP(R2430, classification!C:C, classification!B:B, "Not Found")</f>
      </c>
      <c r="Q2430" s="1" t="s">
        <v>5514</v>
      </c>
      <c r="R2430" s="2"/>
      <c r="S2430" s="2"/>
      <c r="T2430" s="2"/>
      <c r="U2430" s="2"/>
    </row>
    <row x14ac:dyDescent="0.25" r="2431" customHeight="1" ht="17.25">
      <c r="A2431" s="7">
        <v>2430</v>
      </c>
      <c r="B2431" s="1" t="s">
        <v>7792</v>
      </c>
      <c r="C2431" s="5">
        <f>CONCATENATE("PD", TEXT(A2431, "1000000"))</f>
      </c>
      <c r="D2431" s="7">
        <v>76</v>
      </c>
      <c r="E2431" s="5">
        <f>XLOOKUP(G2431, item_category!C:C, item_category!B:B, "Not Found")</f>
      </c>
      <c r="F2431" s="1" t="s">
        <v>5632</v>
      </c>
      <c r="G2431" s="5">
        <f>XLOOKUP(I2431, drug!B:B, drug!A:A, "Not Found")</f>
      </c>
      <c r="H2431" s="1"/>
      <c r="I2431" s="7">
        <v>1</v>
      </c>
      <c r="J2431" s="5">
        <f>XLOOKUP(L2431, uom!C:C, uom!B:B, "Not Found")</f>
      </c>
      <c r="K2431" s="1" t="s">
        <v>5511</v>
      </c>
      <c r="L2431" s="5">
        <f>XLOOKUP(N2431, uom!C:C, uom!B:B, "Not Found")</f>
      </c>
      <c r="M2431" s="1" t="s">
        <v>5511</v>
      </c>
      <c r="N2431" s="8" t="s">
        <v>5512</v>
      </c>
      <c r="O2431" s="1" t="s">
        <v>5513</v>
      </c>
      <c r="P2431" s="5">
        <f>XLOOKUP(R2431, classification!C:C, classification!B:B, "Not Found")</f>
      </c>
      <c r="Q2431" s="1" t="s">
        <v>5514</v>
      </c>
      <c r="R2431" s="2"/>
      <c r="S2431" s="2"/>
      <c r="T2431" s="2"/>
      <c r="U2431" s="2"/>
    </row>
    <row x14ac:dyDescent="0.25" r="2432" customHeight="1" ht="17.25">
      <c r="A2432" s="7">
        <v>2431</v>
      </c>
      <c r="B2432" s="1" t="s">
        <v>7793</v>
      </c>
      <c r="C2432" s="5">
        <f>CONCATENATE("PD", TEXT(A2432, "1000000"))</f>
      </c>
      <c r="D2432" s="7">
        <v>76</v>
      </c>
      <c r="E2432" s="5">
        <f>XLOOKUP(G2432, item_category!C:C, item_category!B:B, "Not Found")</f>
      </c>
      <c r="F2432" s="1" t="s">
        <v>5632</v>
      </c>
      <c r="G2432" s="5">
        <f>XLOOKUP(I2432, drug!B:B, drug!A:A, "Not Found")</f>
      </c>
      <c r="H2432" s="1"/>
      <c r="I2432" s="7">
        <v>1</v>
      </c>
      <c r="J2432" s="5">
        <f>XLOOKUP(L2432, uom!C:C, uom!B:B, "Not Found")</f>
      </c>
      <c r="K2432" s="1" t="s">
        <v>5511</v>
      </c>
      <c r="L2432" s="5">
        <f>XLOOKUP(N2432, uom!C:C, uom!B:B, "Not Found")</f>
      </c>
      <c r="M2432" s="1" t="s">
        <v>5511</v>
      </c>
      <c r="N2432" s="8" t="s">
        <v>5512</v>
      </c>
      <c r="O2432" s="1" t="s">
        <v>5513</v>
      </c>
      <c r="P2432" s="5">
        <f>XLOOKUP(R2432, classification!C:C, classification!B:B, "Not Found")</f>
      </c>
      <c r="Q2432" s="1" t="s">
        <v>5514</v>
      </c>
      <c r="R2432" s="2"/>
      <c r="S2432" s="2"/>
      <c r="T2432" s="2"/>
      <c r="U2432" s="2"/>
    </row>
    <row x14ac:dyDescent="0.25" r="2433" customHeight="1" ht="17.25">
      <c r="A2433" s="7">
        <v>2432</v>
      </c>
      <c r="B2433" s="1" t="s">
        <v>7794</v>
      </c>
      <c r="C2433" s="5">
        <f>CONCATENATE("PD", TEXT(A2433, "1000000"))</f>
      </c>
      <c r="D2433" s="7">
        <v>76</v>
      </c>
      <c r="E2433" s="5">
        <f>XLOOKUP(G2433, item_category!C:C, item_category!B:B, "Not Found")</f>
      </c>
      <c r="F2433" s="1" t="s">
        <v>5632</v>
      </c>
      <c r="G2433" s="5">
        <f>XLOOKUP(I2433, drug!B:B, drug!A:A, "Not Found")</f>
      </c>
      <c r="H2433" s="1"/>
      <c r="I2433" s="7">
        <v>1</v>
      </c>
      <c r="J2433" s="5">
        <f>XLOOKUP(L2433, uom!C:C, uom!B:B, "Not Found")</f>
      </c>
      <c r="K2433" s="1" t="s">
        <v>5511</v>
      </c>
      <c r="L2433" s="5">
        <f>XLOOKUP(N2433, uom!C:C, uom!B:B, "Not Found")</f>
      </c>
      <c r="M2433" s="1" t="s">
        <v>5511</v>
      </c>
      <c r="N2433" s="8" t="s">
        <v>5512</v>
      </c>
      <c r="O2433" s="1" t="s">
        <v>5513</v>
      </c>
      <c r="P2433" s="5">
        <f>XLOOKUP(R2433, classification!C:C, classification!B:B, "Not Found")</f>
      </c>
      <c r="Q2433" s="1" t="s">
        <v>5514</v>
      </c>
      <c r="R2433" s="2"/>
      <c r="S2433" s="2"/>
      <c r="T2433" s="2"/>
      <c r="U2433" s="2"/>
    </row>
    <row x14ac:dyDescent="0.25" r="2434" customHeight="1" ht="17.25">
      <c r="A2434" s="7">
        <v>2433</v>
      </c>
      <c r="B2434" s="1" t="s">
        <v>7795</v>
      </c>
      <c r="C2434" s="5">
        <f>CONCATENATE("PD", TEXT(A2434, "1000000"))</f>
      </c>
      <c r="D2434" s="7">
        <v>76</v>
      </c>
      <c r="E2434" s="5">
        <f>XLOOKUP(G2434, item_category!C:C, item_category!B:B, "Not Found")</f>
      </c>
      <c r="F2434" s="1" t="s">
        <v>5632</v>
      </c>
      <c r="G2434" s="5">
        <f>XLOOKUP(I2434, drug!B:B, drug!A:A, "Not Found")</f>
      </c>
      <c r="H2434" s="1"/>
      <c r="I2434" s="7">
        <v>1</v>
      </c>
      <c r="J2434" s="5">
        <f>XLOOKUP(L2434, uom!C:C, uom!B:B, "Not Found")</f>
      </c>
      <c r="K2434" s="1" t="s">
        <v>5511</v>
      </c>
      <c r="L2434" s="5">
        <f>XLOOKUP(N2434, uom!C:C, uom!B:B, "Not Found")</f>
      </c>
      <c r="M2434" s="1" t="s">
        <v>5511</v>
      </c>
      <c r="N2434" s="8" t="s">
        <v>5512</v>
      </c>
      <c r="O2434" s="1" t="s">
        <v>5513</v>
      </c>
      <c r="P2434" s="5">
        <f>XLOOKUP(R2434, classification!C:C, classification!B:B, "Not Found")</f>
      </c>
      <c r="Q2434" s="1" t="s">
        <v>5514</v>
      </c>
      <c r="R2434" s="2"/>
      <c r="S2434" s="2"/>
      <c r="T2434" s="2"/>
      <c r="U2434" s="2"/>
    </row>
    <row x14ac:dyDescent="0.25" r="2435" customHeight="1" ht="17.25">
      <c r="A2435" s="7">
        <v>2434</v>
      </c>
      <c r="B2435" s="1" t="s">
        <v>7796</v>
      </c>
      <c r="C2435" s="5">
        <f>CONCATENATE("PD", TEXT(A2435, "1000000"))</f>
      </c>
      <c r="D2435" s="7">
        <v>76</v>
      </c>
      <c r="E2435" s="5">
        <f>XLOOKUP(G2435, item_category!C:C, item_category!B:B, "Not Found")</f>
      </c>
      <c r="F2435" s="1" t="s">
        <v>5632</v>
      </c>
      <c r="G2435" s="5">
        <f>XLOOKUP(I2435, drug!B:B, drug!A:A, "Not Found")</f>
      </c>
      <c r="H2435" s="1"/>
      <c r="I2435" s="7">
        <v>1</v>
      </c>
      <c r="J2435" s="5">
        <f>XLOOKUP(L2435, uom!C:C, uom!B:B, "Not Found")</f>
      </c>
      <c r="K2435" s="1" t="s">
        <v>5511</v>
      </c>
      <c r="L2435" s="5">
        <f>XLOOKUP(N2435, uom!C:C, uom!B:B, "Not Found")</f>
      </c>
      <c r="M2435" s="1" t="s">
        <v>5511</v>
      </c>
      <c r="N2435" s="8" t="s">
        <v>5512</v>
      </c>
      <c r="O2435" s="1" t="s">
        <v>5513</v>
      </c>
      <c r="P2435" s="5">
        <f>XLOOKUP(R2435, classification!C:C, classification!B:B, "Not Found")</f>
      </c>
      <c r="Q2435" s="1" t="s">
        <v>5514</v>
      </c>
      <c r="R2435" s="2"/>
      <c r="S2435" s="2"/>
      <c r="T2435" s="2"/>
      <c r="U2435" s="2"/>
    </row>
    <row x14ac:dyDescent="0.25" r="2436" customHeight="1" ht="17.25">
      <c r="A2436" s="7">
        <v>2435</v>
      </c>
      <c r="B2436" s="1" t="s">
        <v>7797</v>
      </c>
      <c r="C2436" s="5">
        <f>CONCATENATE("PD", TEXT(A2436, "1000000"))</f>
      </c>
      <c r="D2436" s="7">
        <v>76</v>
      </c>
      <c r="E2436" s="5">
        <f>XLOOKUP(G2436, item_category!C:C, item_category!B:B, "Not Found")</f>
      </c>
      <c r="F2436" s="1" t="s">
        <v>5632</v>
      </c>
      <c r="G2436" s="5">
        <f>XLOOKUP(I2436, drug!B:B, drug!A:A, "Not Found")</f>
      </c>
      <c r="H2436" s="1"/>
      <c r="I2436" s="7">
        <v>1</v>
      </c>
      <c r="J2436" s="5">
        <f>XLOOKUP(L2436, uom!C:C, uom!B:B, "Not Found")</f>
      </c>
      <c r="K2436" s="1" t="s">
        <v>5511</v>
      </c>
      <c r="L2436" s="5">
        <f>XLOOKUP(N2436, uom!C:C, uom!B:B, "Not Found")</f>
      </c>
      <c r="M2436" s="1" t="s">
        <v>5511</v>
      </c>
      <c r="N2436" s="8" t="s">
        <v>5512</v>
      </c>
      <c r="O2436" s="1" t="s">
        <v>5513</v>
      </c>
      <c r="P2436" s="5">
        <f>XLOOKUP(R2436, classification!C:C, classification!B:B, "Not Found")</f>
      </c>
      <c r="Q2436" s="1" t="s">
        <v>5514</v>
      </c>
      <c r="R2436" s="2"/>
      <c r="S2436" s="2"/>
      <c r="T2436" s="2"/>
      <c r="U2436" s="2"/>
    </row>
    <row x14ac:dyDescent="0.25" r="2437" customHeight="1" ht="17.25">
      <c r="A2437" s="7">
        <v>2436</v>
      </c>
      <c r="B2437" s="1" t="s">
        <v>7798</v>
      </c>
      <c r="C2437" s="5">
        <f>CONCATENATE("PD", TEXT(A2437, "1000000"))</f>
      </c>
      <c r="D2437" s="7">
        <v>76</v>
      </c>
      <c r="E2437" s="5">
        <f>XLOOKUP(G2437, item_category!C:C, item_category!B:B, "Not Found")</f>
      </c>
      <c r="F2437" s="1" t="s">
        <v>5632</v>
      </c>
      <c r="G2437" s="5">
        <f>XLOOKUP(I2437, drug!B:B, drug!A:A, "Not Found")</f>
      </c>
      <c r="H2437" s="1"/>
      <c r="I2437" s="7">
        <v>1</v>
      </c>
      <c r="J2437" s="5">
        <f>XLOOKUP(L2437, uom!C:C, uom!B:B, "Not Found")</f>
      </c>
      <c r="K2437" s="1" t="s">
        <v>5511</v>
      </c>
      <c r="L2437" s="5">
        <f>XLOOKUP(N2437, uom!C:C, uom!B:B, "Not Found")</f>
      </c>
      <c r="M2437" s="1" t="s">
        <v>5511</v>
      </c>
      <c r="N2437" s="8" t="s">
        <v>5512</v>
      </c>
      <c r="O2437" s="1" t="s">
        <v>5513</v>
      </c>
      <c r="P2437" s="5">
        <f>XLOOKUP(R2437, classification!C:C, classification!B:B, "Not Found")</f>
      </c>
      <c r="Q2437" s="1" t="s">
        <v>5514</v>
      </c>
      <c r="R2437" s="2"/>
      <c r="S2437" s="2"/>
      <c r="T2437" s="2"/>
      <c r="U2437" s="2"/>
    </row>
    <row x14ac:dyDescent="0.25" r="2438" customHeight="1" ht="17.25">
      <c r="A2438" s="7">
        <v>2437</v>
      </c>
      <c r="B2438" s="1" t="s">
        <v>7799</v>
      </c>
      <c r="C2438" s="5">
        <f>CONCATENATE("PD", TEXT(A2438, "1000000"))</f>
      </c>
      <c r="D2438" s="7">
        <v>76</v>
      </c>
      <c r="E2438" s="5">
        <f>XLOOKUP(G2438, item_category!C:C, item_category!B:B, "Not Found")</f>
      </c>
      <c r="F2438" s="1" t="s">
        <v>5632</v>
      </c>
      <c r="G2438" s="5">
        <f>XLOOKUP(I2438, drug!B:B, drug!A:A, "Not Found")</f>
      </c>
      <c r="H2438" s="1"/>
      <c r="I2438" s="7">
        <v>1</v>
      </c>
      <c r="J2438" s="5">
        <f>XLOOKUP(L2438, uom!C:C, uom!B:B, "Not Found")</f>
      </c>
      <c r="K2438" s="1" t="s">
        <v>5511</v>
      </c>
      <c r="L2438" s="5">
        <f>XLOOKUP(N2438, uom!C:C, uom!B:B, "Not Found")</f>
      </c>
      <c r="M2438" s="1" t="s">
        <v>5511</v>
      </c>
      <c r="N2438" s="8" t="s">
        <v>5512</v>
      </c>
      <c r="O2438" s="1" t="s">
        <v>5513</v>
      </c>
      <c r="P2438" s="5">
        <f>XLOOKUP(R2438, classification!C:C, classification!B:B, "Not Found")</f>
      </c>
      <c r="Q2438" s="1" t="s">
        <v>5514</v>
      </c>
      <c r="R2438" s="2"/>
      <c r="S2438" s="2"/>
      <c r="T2438" s="2"/>
      <c r="U2438" s="2"/>
    </row>
    <row x14ac:dyDescent="0.25" r="2439" customHeight="1" ht="17.25">
      <c r="A2439" s="7">
        <v>2438</v>
      </c>
      <c r="B2439" s="1" t="s">
        <v>7800</v>
      </c>
      <c r="C2439" s="5">
        <f>CONCATENATE("PD", TEXT(A2439, "1000000"))</f>
      </c>
      <c r="D2439" s="7">
        <v>76</v>
      </c>
      <c r="E2439" s="5">
        <f>XLOOKUP(G2439, item_category!C:C, item_category!B:B, "Not Found")</f>
      </c>
      <c r="F2439" s="1" t="s">
        <v>5632</v>
      </c>
      <c r="G2439" s="5">
        <f>XLOOKUP(I2439, drug!B:B, drug!A:A, "Not Found")</f>
      </c>
      <c r="H2439" s="1"/>
      <c r="I2439" s="7">
        <v>1</v>
      </c>
      <c r="J2439" s="5">
        <f>XLOOKUP(L2439, uom!C:C, uom!B:B, "Not Found")</f>
      </c>
      <c r="K2439" s="1" t="s">
        <v>5511</v>
      </c>
      <c r="L2439" s="5">
        <f>XLOOKUP(N2439, uom!C:C, uom!B:B, "Not Found")</f>
      </c>
      <c r="M2439" s="1" t="s">
        <v>5511</v>
      </c>
      <c r="N2439" s="8" t="s">
        <v>5512</v>
      </c>
      <c r="O2439" s="1" t="s">
        <v>5513</v>
      </c>
      <c r="P2439" s="5">
        <f>XLOOKUP(R2439, classification!C:C, classification!B:B, "Not Found")</f>
      </c>
      <c r="Q2439" s="1" t="s">
        <v>5514</v>
      </c>
      <c r="R2439" s="2"/>
      <c r="S2439" s="2"/>
      <c r="T2439" s="2"/>
      <c r="U2439" s="2"/>
    </row>
    <row x14ac:dyDescent="0.25" r="2440" customHeight="1" ht="17.25">
      <c r="A2440" s="7">
        <v>2439</v>
      </c>
      <c r="B2440" s="1" t="s">
        <v>7801</v>
      </c>
      <c r="C2440" s="5">
        <f>CONCATENATE("PD", TEXT(A2440, "1000000"))</f>
      </c>
      <c r="D2440" s="7">
        <v>76</v>
      </c>
      <c r="E2440" s="5">
        <f>XLOOKUP(G2440, item_category!C:C, item_category!B:B, "Not Found")</f>
      </c>
      <c r="F2440" s="1" t="s">
        <v>5632</v>
      </c>
      <c r="G2440" s="5">
        <f>XLOOKUP(I2440, drug!B:B, drug!A:A, "Not Found")</f>
      </c>
      <c r="H2440" s="1"/>
      <c r="I2440" s="7">
        <v>1</v>
      </c>
      <c r="J2440" s="5">
        <f>XLOOKUP(L2440, uom!C:C, uom!B:B, "Not Found")</f>
      </c>
      <c r="K2440" s="1" t="s">
        <v>5511</v>
      </c>
      <c r="L2440" s="5">
        <f>XLOOKUP(N2440, uom!C:C, uom!B:B, "Not Found")</f>
      </c>
      <c r="M2440" s="1" t="s">
        <v>5511</v>
      </c>
      <c r="N2440" s="8" t="s">
        <v>5512</v>
      </c>
      <c r="O2440" s="1" t="s">
        <v>5513</v>
      </c>
      <c r="P2440" s="5">
        <f>XLOOKUP(R2440, classification!C:C, classification!B:B, "Not Found")</f>
      </c>
      <c r="Q2440" s="1" t="s">
        <v>5514</v>
      </c>
      <c r="R2440" s="2"/>
      <c r="S2440" s="2"/>
      <c r="T2440" s="2"/>
      <c r="U2440" s="2"/>
    </row>
    <row x14ac:dyDescent="0.25" r="2441" customHeight="1" ht="17.25">
      <c r="A2441" s="7">
        <v>2440</v>
      </c>
      <c r="B2441" s="1" t="s">
        <v>7802</v>
      </c>
      <c r="C2441" s="5">
        <f>CONCATENATE("PD", TEXT(A2441, "1000000"))</f>
      </c>
      <c r="D2441" s="7">
        <v>76</v>
      </c>
      <c r="E2441" s="5">
        <f>XLOOKUP(G2441, item_category!C:C, item_category!B:B, "Not Found")</f>
      </c>
      <c r="F2441" s="1" t="s">
        <v>5632</v>
      </c>
      <c r="G2441" s="5">
        <f>XLOOKUP(I2441, drug!B:B, drug!A:A, "Not Found")</f>
      </c>
      <c r="H2441" s="1"/>
      <c r="I2441" s="7">
        <v>100</v>
      </c>
      <c r="J2441" s="5">
        <f>XLOOKUP(L2441, uom!C:C, uom!B:B, "Not Found")</f>
      </c>
      <c r="K2441" s="1" t="s">
        <v>5511</v>
      </c>
      <c r="L2441" s="5">
        <f>XLOOKUP(N2441, uom!C:C, uom!B:B, "Not Found")</f>
      </c>
      <c r="M2441" s="1" t="s">
        <v>5511</v>
      </c>
      <c r="N2441" s="8" t="s">
        <v>5524</v>
      </c>
      <c r="O2441" s="1" t="s">
        <v>5525</v>
      </c>
      <c r="P2441" s="5">
        <f>XLOOKUP(R2441, classification!C:C, classification!B:B, "Not Found")</f>
      </c>
      <c r="Q2441" s="1" t="s">
        <v>5514</v>
      </c>
      <c r="R2441" s="2"/>
      <c r="S2441" s="2"/>
      <c r="T2441" s="2"/>
      <c r="U2441" s="2"/>
    </row>
    <row x14ac:dyDescent="0.25" r="2442" customHeight="1" ht="17.25">
      <c r="A2442" s="7">
        <v>2441</v>
      </c>
      <c r="B2442" s="1" t="s">
        <v>7803</v>
      </c>
      <c r="C2442" s="5">
        <f>CONCATENATE("PD", TEXT(A2442, "1000000"))</f>
      </c>
      <c r="D2442" s="7">
        <v>76</v>
      </c>
      <c r="E2442" s="5">
        <f>XLOOKUP(G2442, item_category!C:C, item_category!B:B, "Not Found")</f>
      </c>
      <c r="F2442" s="1" t="s">
        <v>5632</v>
      </c>
      <c r="G2442" s="5">
        <f>XLOOKUP(I2442, drug!B:B, drug!A:A, "Not Found")</f>
      </c>
      <c r="H2442" s="1"/>
      <c r="I2442" s="7">
        <v>1</v>
      </c>
      <c r="J2442" s="5">
        <f>XLOOKUP(L2442, uom!C:C, uom!B:B, "Not Found")</f>
      </c>
      <c r="K2442" s="1" t="s">
        <v>5511</v>
      </c>
      <c r="L2442" s="5">
        <f>XLOOKUP(N2442, uom!C:C, uom!B:B, "Not Found")</f>
      </c>
      <c r="M2442" s="1" t="s">
        <v>5511</v>
      </c>
      <c r="N2442" s="8" t="s">
        <v>5512</v>
      </c>
      <c r="O2442" s="1" t="s">
        <v>5513</v>
      </c>
      <c r="P2442" s="5">
        <f>XLOOKUP(R2442, classification!C:C, classification!B:B, "Not Found")</f>
      </c>
      <c r="Q2442" s="1" t="s">
        <v>5514</v>
      </c>
      <c r="R2442" s="2"/>
      <c r="S2442" s="2"/>
      <c r="T2442" s="2"/>
      <c r="U2442" s="2"/>
    </row>
    <row x14ac:dyDescent="0.25" r="2443" customHeight="1" ht="17.25">
      <c r="A2443" s="7">
        <v>2442</v>
      </c>
      <c r="B2443" s="1" t="s">
        <v>7804</v>
      </c>
      <c r="C2443" s="5">
        <f>CONCATENATE("PD", TEXT(A2443, "1000000"))</f>
      </c>
      <c r="D2443" s="7">
        <v>76</v>
      </c>
      <c r="E2443" s="5">
        <f>XLOOKUP(G2443, item_category!C:C, item_category!B:B, "Not Found")</f>
      </c>
      <c r="F2443" s="1" t="s">
        <v>5632</v>
      </c>
      <c r="G2443" s="5">
        <f>XLOOKUP(I2443, drug!B:B, drug!A:A, "Not Found")</f>
      </c>
      <c r="H2443" s="1"/>
      <c r="I2443" s="7">
        <v>1</v>
      </c>
      <c r="J2443" s="5">
        <f>XLOOKUP(L2443, uom!C:C, uom!B:B, "Not Found")</f>
      </c>
      <c r="K2443" s="1" t="s">
        <v>5511</v>
      </c>
      <c r="L2443" s="5">
        <f>XLOOKUP(N2443, uom!C:C, uom!B:B, "Not Found")</f>
      </c>
      <c r="M2443" s="1" t="s">
        <v>5511</v>
      </c>
      <c r="N2443" s="8" t="s">
        <v>5512</v>
      </c>
      <c r="O2443" s="1" t="s">
        <v>5513</v>
      </c>
      <c r="P2443" s="5">
        <f>XLOOKUP(R2443, classification!C:C, classification!B:B, "Not Found")</f>
      </c>
      <c r="Q2443" s="1" t="s">
        <v>5514</v>
      </c>
      <c r="R2443" s="2"/>
      <c r="S2443" s="2"/>
      <c r="T2443" s="2"/>
      <c r="U2443" s="2"/>
    </row>
    <row x14ac:dyDescent="0.25" r="2444" customHeight="1" ht="17.25">
      <c r="A2444" s="7">
        <v>2443</v>
      </c>
      <c r="B2444" s="1" t="s">
        <v>7805</v>
      </c>
      <c r="C2444" s="5">
        <f>CONCATENATE("PD", TEXT(A2444, "1000000"))</f>
      </c>
      <c r="D2444" s="7">
        <v>76</v>
      </c>
      <c r="E2444" s="5">
        <f>XLOOKUP(G2444, item_category!C:C, item_category!B:B, "Not Found")</f>
      </c>
      <c r="F2444" s="1" t="s">
        <v>5632</v>
      </c>
      <c r="G2444" s="5">
        <f>XLOOKUP(I2444, drug!B:B, drug!A:A, "Not Found")</f>
      </c>
      <c r="H2444" s="1"/>
      <c r="I2444" s="7">
        <v>1</v>
      </c>
      <c r="J2444" s="5">
        <f>XLOOKUP(L2444, uom!C:C, uom!B:B, "Not Found")</f>
      </c>
      <c r="K2444" s="1" t="s">
        <v>5511</v>
      </c>
      <c r="L2444" s="5">
        <f>XLOOKUP(N2444, uom!C:C, uom!B:B, "Not Found")</f>
      </c>
      <c r="M2444" s="1" t="s">
        <v>5511</v>
      </c>
      <c r="N2444" s="8" t="s">
        <v>5512</v>
      </c>
      <c r="O2444" s="1" t="s">
        <v>5513</v>
      </c>
      <c r="P2444" s="5">
        <f>XLOOKUP(R2444, classification!C:C, classification!B:B, "Not Found")</f>
      </c>
      <c r="Q2444" s="1" t="s">
        <v>5514</v>
      </c>
      <c r="R2444" s="2"/>
      <c r="S2444" s="2"/>
      <c r="T2444" s="2"/>
      <c r="U2444" s="2"/>
    </row>
    <row x14ac:dyDescent="0.25" r="2445" customHeight="1" ht="17.25">
      <c r="A2445" s="7">
        <v>2444</v>
      </c>
      <c r="B2445" s="1" t="s">
        <v>7806</v>
      </c>
      <c r="C2445" s="5">
        <f>CONCATENATE("PD", TEXT(A2445, "1000000"))</f>
      </c>
      <c r="D2445" s="7">
        <v>76</v>
      </c>
      <c r="E2445" s="5">
        <f>XLOOKUP(G2445, item_category!C:C, item_category!B:B, "Not Found")</f>
      </c>
      <c r="F2445" s="1" t="s">
        <v>5632</v>
      </c>
      <c r="G2445" s="5">
        <f>XLOOKUP(I2445, drug!B:B, drug!A:A, "Not Found")</f>
      </c>
      <c r="H2445" s="1"/>
      <c r="I2445" s="7">
        <v>1</v>
      </c>
      <c r="J2445" s="5">
        <f>XLOOKUP(L2445, uom!C:C, uom!B:B, "Not Found")</f>
      </c>
      <c r="K2445" s="1" t="s">
        <v>5511</v>
      </c>
      <c r="L2445" s="5">
        <f>XLOOKUP(N2445, uom!C:C, uom!B:B, "Not Found")</f>
      </c>
      <c r="M2445" s="1" t="s">
        <v>5511</v>
      </c>
      <c r="N2445" s="8" t="s">
        <v>5512</v>
      </c>
      <c r="O2445" s="1" t="s">
        <v>5513</v>
      </c>
      <c r="P2445" s="5">
        <f>XLOOKUP(R2445, classification!C:C, classification!B:B, "Not Found")</f>
      </c>
      <c r="Q2445" s="1" t="s">
        <v>5514</v>
      </c>
      <c r="R2445" s="2"/>
      <c r="S2445" s="2"/>
      <c r="T2445" s="2"/>
      <c r="U2445" s="2"/>
    </row>
    <row x14ac:dyDescent="0.25" r="2446" customHeight="1" ht="17.25">
      <c r="A2446" s="7">
        <v>2445</v>
      </c>
      <c r="B2446" s="1" t="s">
        <v>7807</v>
      </c>
      <c r="C2446" s="5">
        <f>CONCATENATE("PD", TEXT(A2446, "1000000"))</f>
      </c>
      <c r="D2446" s="7">
        <v>76</v>
      </c>
      <c r="E2446" s="5">
        <f>XLOOKUP(G2446, item_category!C:C, item_category!B:B, "Not Found")</f>
      </c>
      <c r="F2446" s="1" t="s">
        <v>5632</v>
      </c>
      <c r="G2446" s="5">
        <f>XLOOKUP(I2446, drug!B:B, drug!A:A, "Not Found")</f>
      </c>
      <c r="H2446" s="1"/>
      <c r="I2446" s="7">
        <v>1</v>
      </c>
      <c r="J2446" s="5">
        <f>XLOOKUP(L2446, uom!C:C, uom!B:B, "Not Found")</f>
      </c>
      <c r="K2446" s="1" t="s">
        <v>5511</v>
      </c>
      <c r="L2446" s="5">
        <f>XLOOKUP(N2446, uom!C:C, uom!B:B, "Not Found")</f>
      </c>
      <c r="M2446" s="1" t="s">
        <v>5511</v>
      </c>
      <c r="N2446" s="8" t="s">
        <v>5512</v>
      </c>
      <c r="O2446" s="1" t="s">
        <v>5513</v>
      </c>
      <c r="P2446" s="5">
        <f>XLOOKUP(R2446, classification!C:C, classification!B:B, "Not Found")</f>
      </c>
      <c r="Q2446" s="1" t="s">
        <v>5514</v>
      </c>
      <c r="R2446" s="2"/>
      <c r="S2446" s="2"/>
      <c r="T2446" s="2"/>
      <c r="U2446" s="2"/>
    </row>
    <row x14ac:dyDescent="0.25" r="2447" customHeight="1" ht="17.25">
      <c r="A2447" s="7">
        <v>2446</v>
      </c>
      <c r="B2447" s="1" t="s">
        <v>7808</v>
      </c>
      <c r="C2447" s="5">
        <f>CONCATENATE("PD", TEXT(A2447, "1000000"))</f>
      </c>
      <c r="D2447" s="7">
        <v>76</v>
      </c>
      <c r="E2447" s="5">
        <f>XLOOKUP(G2447, item_category!C:C, item_category!B:B, "Not Found")</f>
      </c>
      <c r="F2447" s="1" t="s">
        <v>5632</v>
      </c>
      <c r="G2447" s="5">
        <f>XLOOKUP(I2447, drug!B:B, drug!A:A, "Not Found")</f>
      </c>
      <c r="H2447" s="1" t="s">
        <v>1942</v>
      </c>
      <c r="I2447" s="7">
        <v>1</v>
      </c>
      <c r="J2447" s="5">
        <f>XLOOKUP(L2447, uom!C:C, uom!B:B, "Not Found")</f>
      </c>
      <c r="K2447" s="1" t="s">
        <v>5511</v>
      </c>
      <c r="L2447" s="5">
        <f>XLOOKUP(N2447, uom!C:C, uom!B:B, "Not Found")</f>
      </c>
      <c r="M2447" s="1" t="s">
        <v>5511</v>
      </c>
      <c r="N2447" s="8" t="s">
        <v>5512</v>
      </c>
      <c r="O2447" s="1" t="s">
        <v>5513</v>
      </c>
      <c r="P2447" s="5">
        <f>XLOOKUP(R2447, classification!C:C, classification!B:B, "Not Found")</f>
      </c>
      <c r="Q2447" s="1" t="s">
        <v>5514</v>
      </c>
      <c r="R2447" s="2"/>
      <c r="S2447" s="2"/>
      <c r="T2447" s="2"/>
      <c r="U2447" s="2"/>
    </row>
    <row x14ac:dyDescent="0.25" r="2448" customHeight="1" ht="17.25">
      <c r="A2448" s="7">
        <v>2447</v>
      </c>
      <c r="B2448" s="1" t="s">
        <v>7809</v>
      </c>
      <c r="C2448" s="5">
        <f>CONCATENATE("PD", TEXT(A2448, "1000000"))</f>
      </c>
      <c r="D2448" s="7">
        <v>76</v>
      </c>
      <c r="E2448" s="5">
        <f>XLOOKUP(G2448, item_category!C:C, item_category!B:B, "Not Found")</f>
      </c>
      <c r="F2448" s="1" t="s">
        <v>5632</v>
      </c>
      <c r="G2448" s="5">
        <f>XLOOKUP(I2448, drug!B:B, drug!A:A, "Not Found")</f>
      </c>
      <c r="H2448" s="1"/>
      <c r="I2448" s="7">
        <v>1</v>
      </c>
      <c r="J2448" s="5">
        <f>XLOOKUP(L2448, uom!C:C, uom!B:B, "Not Found")</f>
      </c>
      <c r="K2448" s="1" t="s">
        <v>5511</v>
      </c>
      <c r="L2448" s="5">
        <f>XLOOKUP(N2448, uom!C:C, uom!B:B, "Not Found")</f>
      </c>
      <c r="M2448" s="1" t="s">
        <v>5511</v>
      </c>
      <c r="N2448" s="8" t="s">
        <v>5512</v>
      </c>
      <c r="O2448" s="1" t="s">
        <v>5513</v>
      </c>
      <c r="P2448" s="5">
        <f>XLOOKUP(R2448, classification!C:C, classification!B:B, "Not Found")</f>
      </c>
      <c r="Q2448" s="1" t="s">
        <v>5514</v>
      </c>
      <c r="R2448" s="2"/>
      <c r="S2448" s="2"/>
      <c r="T2448" s="2"/>
      <c r="U2448" s="2"/>
    </row>
    <row x14ac:dyDescent="0.25" r="2449" customHeight="1" ht="17.25">
      <c r="A2449" s="7">
        <v>2448</v>
      </c>
      <c r="B2449" s="1" t="s">
        <v>7810</v>
      </c>
      <c r="C2449" s="5">
        <f>CONCATENATE("PD", TEXT(A2449, "1000000"))</f>
      </c>
      <c r="D2449" s="7">
        <v>76</v>
      </c>
      <c r="E2449" s="5">
        <f>XLOOKUP(G2449, item_category!C:C, item_category!B:B, "Not Found")</f>
      </c>
      <c r="F2449" s="1" t="s">
        <v>5632</v>
      </c>
      <c r="G2449" s="5">
        <f>XLOOKUP(I2449, drug!B:B, drug!A:A, "Not Found")</f>
      </c>
      <c r="H2449" s="1"/>
      <c r="I2449" s="7">
        <v>1</v>
      </c>
      <c r="J2449" s="5">
        <f>XLOOKUP(L2449, uom!C:C, uom!B:B, "Not Found")</f>
      </c>
      <c r="K2449" s="1" t="s">
        <v>5511</v>
      </c>
      <c r="L2449" s="5">
        <f>XLOOKUP(N2449, uom!C:C, uom!B:B, "Not Found")</f>
      </c>
      <c r="M2449" s="1" t="s">
        <v>5511</v>
      </c>
      <c r="N2449" s="8" t="s">
        <v>5512</v>
      </c>
      <c r="O2449" s="1" t="s">
        <v>5513</v>
      </c>
      <c r="P2449" s="5">
        <f>XLOOKUP(R2449, classification!C:C, classification!B:B, "Not Found")</f>
      </c>
      <c r="Q2449" s="1" t="s">
        <v>5514</v>
      </c>
      <c r="R2449" s="2"/>
      <c r="S2449" s="2"/>
      <c r="T2449" s="2"/>
      <c r="U2449" s="2"/>
    </row>
    <row x14ac:dyDescent="0.25" r="2450" customHeight="1" ht="17.25">
      <c r="A2450" s="7">
        <v>2449</v>
      </c>
      <c r="B2450" s="1" t="s">
        <v>7811</v>
      </c>
      <c r="C2450" s="5">
        <f>CONCATENATE("PD", TEXT(A2450, "1000000"))</f>
      </c>
      <c r="D2450" s="7">
        <v>76</v>
      </c>
      <c r="E2450" s="5">
        <f>XLOOKUP(G2450, item_category!C:C, item_category!B:B, "Not Found")</f>
      </c>
      <c r="F2450" s="1" t="s">
        <v>5632</v>
      </c>
      <c r="G2450" s="5">
        <f>XLOOKUP(I2450, drug!B:B, drug!A:A, "Not Found")</f>
      </c>
      <c r="H2450" s="1"/>
      <c r="I2450" s="7">
        <v>1</v>
      </c>
      <c r="J2450" s="5">
        <f>XLOOKUP(L2450, uom!C:C, uom!B:B, "Not Found")</f>
      </c>
      <c r="K2450" s="1" t="s">
        <v>5511</v>
      </c>
      <c r="L2450" s="5">
        <f>XLOOKUP(N2450, uom!C:C, uom!B:B, "Not Found")</f>
      </c>
      <c r="M2450" s="1" t="s">
        <v>5511</v>
      </c>
      <c r="N2450" s="8" t="s">
        <v>5512</v>
      </c>
      <c r="O2450" s="1" t="s">
        <v>5513</v>
      </c>
      <c r="P2450" s="5">
        <f>XLOOKUP(R2450, classification!C:C, classification!B:B, "Not Found")</f>
      </c>
      <c r="Q2450" s="1" t="s">
        <v>5514</v>
      </c>
      <c r="R2450" s="2"/>
      <c r="S2450" s="2"/>
      <c r="T2450" s="2"/>
      <c r="U2450" s="2"/>
    </row>
    <row x14ac:dyDescent="0.25" r="2451" customHeight="1" ht="17.25">
      <c r="A2451" s="7">
        <v>2450</v>
      </c>
      <c r="B2451" s="1" t="s">
        <v>7812</v>
      </c>
      <c r="C2451" s="5">
        <f>CONCATENATE("PD", TEXT(A2451, "1000000"))</f>
      </c>
      <c r="D2451" s="7">
        <v>76</v>
      </c>
      <c r="E2451" s="5">
        <f>XLOOKUP(G2451, item_category!C:C, item_category!B:B, "Not Found")</f>
      </c>
      <c r="F2451" s="1" t="s">
        <v>5632</v>
      </c>
      <c r="G2451" s="5">
        <f>XLOOKUP(I2451, drug!B:B, drug!A:A, "Not Found")</f>
      </c>
      <c r="H2451" s="1"/>
      <c r="I2451" s="7">
        <v>1</v>
      </c>
      <c r="J2451" s="5">
        <f>XLOOKUP(L2451, uom!C:C, uom!B:B, "Not Found")</f>
      </c>
      <c r="K2451" s="1" t="s">
        <v>5511</v>
      </c>
      <c r="L2451" s="5">
        <f>XLOOKUP(N2451, uom!C:C, uom!B:B, "Not Found")</f>
      </c>
      <c r="M2451" s="1" t="s">
        <v>5511</v>
      </c>
      <c r="N2451" s="8" t="s">
        <v>5512</v>
      </c>
      <c r="O2451" s="1" t="s">
        <v>5513</v>
      </c>
      <c r="P2451" s="5">
        <f>XLOOKUP(R2451, classification!C:C, classification!B:B, "Not Found")</f>
      </c>
      <c r="Q2451" s="1" t="s">
        <v>5514</v>
      </c>
      <c r="R2451" s="2"/>
      <c r="S2451" s="2"/>
      <c r="T2451" s="2"/>
      <c r="U2451" s="2"/>
    </row>
    <row x14ac:dyDescent="0.25" r="2452" customHeight="1" ht="17.25">
      <c r="A2452" s="7">
        <v>2451</v>
      </c>
      <c r="B2452" s="1" t="s">
        <v>7813</v>
      </c>
      <c r="C2452" s="5">
        <f>CONCATENATE("PD", TEXT(A2452, "1000000"))</f>
      </c>
      <c r="D2452" s="7">
        <v>76</v>
      </c>
      <c r="E2452" s="5">
        <f>XLOOKUP(G2452, item_category!C:C, item_category!B:B, "Not Found")</f>
      </c>
      <c r="F2452" s="1" t="s">
        <v>5632</v>
      </c>
      <c r="G2452" s="5">
        <f>XLOOKUP(I2452, drug!B:B, drug!A:A, "Not Found")</f>
      </c>
      <c r="H2452" s="1"/>
      <c r="I2452" s="7">
        <v>1</v>
      </c>
      <c r="J2452" s="5">
        <f>XLOOKUP(L2452, uom!C:C, uom!B:B, "Not Found")</f>
      </c>
      <c r="K2452" s="1" t="s">
        <v>5511</v>
      </c>
      <c r="L2452" s="5">
        <f>XLOOKUP(N2452, uom!C:C, uom!B:B, "Not Found")</f>
      </c>
      <c r="M2452" s="1" t="s">
        <v>5511</v>
      </c>
      <c r="N2452" s="8" t="s">
        <v>5512</v>
      </c>
      <c r="O2452" s="1" t="s">
        <v>5513</v>
      </c>
      <c r="P2452" s="5">
        <f>XLOOKUP(R2452, classification!C:C, classification!B:B, "Not Found")</f>
      </c>
      <c r="Q2452" s="1" t="s">
        <v>5514</v>
      </c>
      <c r="R2452" s="2"/>
      <c r="S2452" s="2"/>
      <c r="T2452" s="2"/>
      <c r="U2452" s="2"/>
    </row>
    <row x14ac:dyDescent="0.25" r="2453" customHeight="1" ht="17.25">
      <c r="A2453" s="7">
        <v>2452</v>
      </c>
      <c r="B2453" s="1" t="s">
        <v>7814</v>
      </c>
      <c r="C2453" s="5">
        <f>CONCATENATE("PD", TEXT(A2453, "1000000"))</f>
      </c>
      <c r="D2453" s="7">
        <v>76</v>
      </c>
      <c r="E2453" s="5">
        <f>XLOOKUP(G2453, item_category!C:C, item_category!B:B, "Not Found")</f>
      </c>
      <c r="F2453" s="1" t="s">
        <v>5632</v>
      </c>
      <c r="G2453" s="5">
        <f>XLOOKUP(I2453, drug!B:B, drug!A:A, "Not Found")</f>
      </c>
      <c r="H2453" s="1" t="s">
        <v>1552</v>
      </c>
      <c r="I2453" s="7">
        <v>1</v>
      </c>
      <c r="J2453" s="5">
        <f>XLOOKUP(L2453, uom!C:C, uom!B:B, "Not Found")</f>
      </c>
      <c r="K2453" s="1" t="s">
        <v>5511</v>
      </c>
      <c r="L2453" s="5">
        <f>XLOOKUP(N2453, uom!C:C, uom!B:B, "Not Found")</f>
      </c>
      <c r="M2453" s="1" t="s">
        <v>5511</v>
      </c>
      <c r="N2453" s="8" t="s">
        <v>5512</v>
      </c>
      <c r="O2453" s="1" t="s">
        <v>5513</v>
      </c>
      <c r="P2453" s="5">
        <f>XLOOKUP(R2453, classification!C:C, classification!B:B, "Not Found")</f>
      </c>
      <c r="Q2453" s="1" t="s">
        <v>5514</v>
      </c>
      <c r="R2453" s="2"/>
      <c r="S2453" s="2"/>
      <c r="T2453" s="2"/>
      <c r="U2453" s="2"/>
    </row>
    <row x14ac:dyDescent="0.25" r="2454" customHeight="1" ht="17.25">
      <c r="A2454" s="7">
        <v>2453</v>
      </c>
      <c r="B2454" s="1" t="s">
        <v>7815</v>
      </c>
      <c r="C2454" s="5">
        <f>CONCATENATE("PD", TEXT(A2454, "1000000"))</f>
      </c>
      <c r="D2454" s="7">
        <v>76</v>
      </c>
      <c r="E2454" s="5">
        <f>XLOOKUP(G2454, item_category!C:C, item_category!B:B, "Not Found")</f>
      </c>
      <c r="F2454" s="1" t="s">
        <v>5632</v>
      </c>
      <c r="G2454" s="5">
        <f>XLOOKUP(I2454, drug!B:B, drug!A:A, "Not Found")</f>
      </c>
      <c r="H2454" s="1"/>
      <c r="I2454" s="7">
        <v>1</v>
      </c>
      <c r="J2454" s="5">
        <f>XLOOKUP(L2454, uom!C:C, uom!B:B, "Not Found")</f>
      </c>
      <c r="K2454" s="1" t="s">
        <v>5511</v>
      </c>
      <c r="L2454" s="5">
        <f>XLOOKUP(N2454, uom!C:C, uom!B:B, "Not Found")</f>
      </c>
      <c r="M2454" s="1" t="s">
        <v>5511</v>
      </c>
      <c r="N2454" s="8" t="s">
        <v>5512</v>
      </c>
      <c r="O2454" s="1" t="s">
        <v>5513</v>
      </c>
      <c r="P2454" s="5">
        <f>XLOOKUP(R2454, classification!C:C, classification!B:B, "Not Found")</f>
      </c>
      <c r="Q2454" s="1" t="s">
        <v>5514</v>
      </c>
      <c r="R2454" s="2"/>
      <c r="S2454" s="2"/>
      <c r="T2454" s="2"/>
      <c r="U2454" s="2"/>
    </row>
    <row x14ac:dyDescent="0.25" r="2455" customHeight="1" ht="17.25">
      <c r="A2455" s="7">
        <v>2454</v>
      </c>
      <c r="B2455" s="1" t="s">
        <v>7816</v>
      </c>
      <c r="C2455" s="5">
        <f>CONCATENATE("PD", TEXT(A2455, "1000000"))</f>
      </c>
      <c r="D2455" s="7">
        <v>76</v>
      </c>
      <c r="E2455" s="5">
        <f>XLOOKUP(G2455, item_category!C:C, item_category!B:B, "Not Found")</f>
      </c>
      <c r="F2455" s="1" t="s">
        <v>5632</v>
      </c>
      <c r="G2455" s="5">
        <f>XLOOKUP(I2455, drug!B:B, drug!A:A, "Not Found")</f>
      </c>
      <c r="H2455" s="1"/>
      <c r="I2455" s="7">
        <v>1</v>
      </c>
      <c r="J2455" s="5">
        <f>XLOOKUP(L2455, uom!C:C, uom!B:B, "Not Found")</f>
      </c>
      <c r="K2455" s="1" t="s">
        <v>5511</v>
      </c>
      <c r="L2455" s="5">
        <f>XLOOKUP(N2455, uom!C:C, uom!B:B, "Not Found")</f>
      </c>
      <c r="M2455" s="1" t="s">
        <v>5511</v>
      </c>
      <c r="N2455" s="8" t="s">
        <v>5512</v>
      </c>
      <c r="O2455" s="1" t="s">
        <v>5513</v>
      </c>
      <c r="P2455" s="5">
        <f>XLOOKUP(R2455, classification!C:C, classification!B:B, "Not Found")</f>
      </c>
      <c r="Q2455" s="1" t="s">
        <v>5514</v>
      </c>
      <c r="R2455" s="2"/>
      <c r="S2455" s="2"/>
      <c r="T2455" s="2"/>
      <c r="U2455" s="2"/>
    </row>
    <row x14ac:dyDescent="0.25" r="2456" customHeight="1" ht="17.25">
      <c r="A2456" s="7">
        <v>2455</v>
      </c>
      <c r="B2456" s="1" t="s">
        <v>7817</v>
      </c>
      <c r="C2456" s="5">
        <f>CONCATENATE("PD", TEXT(A2456, "1000000"))</f>
      </c>
      <c r="D2456" s="7">
        <v>76</v>
      </c>
      <c r="E2456" s="5">
        <f>XLOOKUP(G2456, item_category!C:C, item_category!B:B, "Not Found")</f>
      </c>
      <c r="F2456" s="1" t="s">
        <v>5632</v>
      </c>
      <c r="G2456" s="5">
        <f>XLOOKUP(I2456, drug!B:B, drug!A:A, "Not Found")</f>
      </c>
      <c r="H2456" s="1"/>
      <c r="I2456" s="7">
        <v>1</v>
      </c>
      <c r="J2456" s="5">
        <f>XLOOKUP(L2456, uom!C:C, uom!B:B, "Not Found")</f>
      </c>
      <c r="K2456" s="1" t="s">
        <v>5511</v>
      </c>
      <c r="L2456" s="5">
        <f>XLOOKUP(N2456, uom!C:C, uom!B:B, "Not Found")</f>
      </c>
      <c r="M2456" s="1" t="s">
        <v>5511</v>
      </c>
      <c r="N2456" s="8" t="s">
        <v>5512</v>
      </c>
      <c r="O2456" s="1" t="s">
        <v>5513</v>
      </c>
      <c r="P2456" s="5">
        <f>XLOOKUP(R2456, classification!C:C, classification!B:B, "Not Found")</f>
      </c>
      <c r="Q2456" s="1" t="s">
        <v>5514</v>
      </c>
      <c r="R2456" s="2"/>
      <c r="S2456" s="2"/>
      <c r="T2456" s="2"/>
      <c r="U2456" s="2"/>
    </row>
    <row x14ac:dyDescent="0.25" r="2457" customHeight="1" ht="17.25">
      <c r="A2457" s="7">
        <v>2456</v>
      </c>
      <c r="B2457" s="1" t="s">
        <v>7818</v>
      </c>
      <c r="C2457" s="5">
        <f>CONCATENATE("PD", TEXT(A2457, "1000000"))</f>
      </c>
      <c r="D2457" s="7">
        <v>76</v>
      </c>
      <c r="E2457" s="5">
        <f>XLOOKUP(G2457, item_category!C:C, item_category!B:B, "Not Found")</f>
      </c>
      <c r="F2457" s="1" t="s">
        <v>5632</v>
      </c>
      <c r="G2457" s="5">
        <f>XLOOKUP(I2457, drug!B:B, drug!A:A, "Not Found")</f>
      </c>
      <c r="H2457" s="1"/>
      <c r="I2457" s="7">
        <v>1</v>
      </c>
      <c r="J2457" s="5">
        <f>XLOOKUP(L2457, uom!C:C, uom!B:B, "Not Found")</f>
      </c>
      <c r="K2457" s="1" t="s">
        <v>5511</v>
      </c>
      <c r="L2457" s="5">
        <f>XLOOKUP(N2457, uom!C:C, uom!B:B, "Not Found")</f>
      </c>
      <c r="M2457" s="1" t="s">
        <v>5511</v>
      </c>
      <c r="N2457" s="8" t="s">
        <v>5512</v>
      </c>
      <c r="O2457" s="1" t="s">
        <v>5513</v>
      </c>
      <c r="P2457" s="5">
        <f>XLOOKUP(R2457, classification!C:C, classification!B:B, "Not Found")</f>
      </c>
      <c r="Q2457" s="1" t="s">
        <v>5514</v>
      </c>
      <c r="R2457" s="2"/>
      <c r="S2457" s="2"/>
      <c r="T2457" s="2"/>
      <c r="U2457" s="2"/>
    </row>
    <row x14ac:dyDescent="0.25" r="2458" customHeight="1" ht="17.25">
      <c r="A2458" s="7">
        <v>2457</v>
      </c>
      <c r="B2458" s="1" t="s">
        <v>7819</v>
      </c>
      <c r="C2458" s="5">
        <f>CONCATENATE("PD", TEXT(A2458, "1000000"))</f>
      </c>
      <c r="D2458" s="7">
        <v>76</v>
      </c>
      <c r="E2458" s="5">
        <f>XLOOKUP(G2458, item_category!C:C, item_category!B:B, "Not Found")</f>
      </c>
      <c r="F2458" s="1" t="s">
        <v>5632</v>
      </c>
      <c r="G2458" s="5">
        <f>XLOOKUP(I2458, drug!B:B, drug!A:A, "Not Found")</f>
      </c>
      <c r="H2458" s="1"/>
      <c r="I2458" s="7">
        <v>1</v>
      </c>
      <c r="J2458" s="5">
        <f>XLOOKUP(L2458, uom!C:C, uom!B:B, "Not Found")</f>
      </c>
      <c r="K2458" s="1" t="s">
        <v>5511</v>
      </c>
      <c r="L2458" s="5">
        <f>XLOOKUP(N2458, uom!C:C, uom!B:B, "Not Found")</f>
      </c>
      <c r="M2458" s="1" t="s">
        <v>5511</v>
      </c>
      <c r="N2458" s="8" t="s">
        <v>5512</v>
      </c>
      <c r="O2458" s="1" t="s">
        <v>5513</v>
      </c>
      <c r="P2458" s="5">
        <f>XLOOKUP(R2458, classification!C:C, classification!B:B, "Not Found")</f>
      </c>
      <c r="Q2458" s="1" t="s">
        <v>5514</v>
      </c>
      <c r="R2458" s="2"/>
      <c r="S2458" s="2"/>
      <c r="T2458" s="2"/>
      <c r="U2458" s="2"/>
    </row>
    <row x14ac:dyDescent="0.25" r="2459" customHeight="1" ht="17.25">
      <c r="A2459" s="7">
        <v>2458</v>
      </c>
      <c r="B2459" s="1" t="s">
        <v>7820</v>
      </c>
      <c r="C2459" s="5">
        <f>CONCATENATE("PD", TEXT(A2459, "1000000"))</f>
      </c>
      <c r="D2459" s="7">
        <v>76</v>
      </c>
      <c r="E2459" s="5">
        <f>XLOOKUP(G2459, item_category!C:C, item_category!B:B, "Not Found")</f>
      </c>
      <c r="F2459" s="1" t="s">
        <v>5632</v>
      </c>
      <c r="G2459" s="5">
        <f>XLOOKUP(I2459, drug!B:B, drug!A:A, "Not Found")</f>
      </c>
      <c r="H2459" s="1"/>
      <c r="I2459" s="7">
        <v>1</v>
      </c>
      <c r="J2459" s="5">
        <f>XLOOKUP(L2459, uom!C:C, uom!B:B, "Not Found")</f>
      </c>
      <c r="K2459" s="1" t="s">
        <v>5511</v>
      </c>
      <c r="L2459" s="5">
        <f>XLOOKUP(N2459, uom!C:C, uom!B:B, "Not Found")</f>
      </c>
      <c r="M2459" s="1" t="s">
        <v>5511</v>
      </c>
      <c r="N2459" s="8" t="s">
        <v>5512</v>
      </c>
      <c r="O2459" s="1" t="s">
        <v>5513</v>
      </c>
      <c r="P2459" s="5">
        <f>XLOOKUP(R2459, classification!C:C, classification!B:B, "Not Found")</f>
      </c>
      <c r="Q2459" s="1" t="s">
        <v>5514</v>
      </c>
      <c r="R2459" s="2"/>
      <c r="S2459" s="2"/>
      <c r="T2459" s="2"/>
      <c r="U2459" s="2"/>
    </row>
    <row x14ac:dyDescent="0.25" r="2460" customHeight="1" ht="17.25">
      <c r="A2460" s="7">
        <v>2459</v>
      </c>
      <c r="B2460" s="1" t="s">
        <v>7821</v>
      </c>
      <c r="C2460" s="5">
        <f>CONCATENATE("PD", TEXT(A2460, "1000000"))</f>
      </c>
      <c r="D2460" s="7">
        <v>76</v>
      </c>
      <c r="E2460" s="5">
        <f>XLOOKUP(G2460, item_category!C:C, item_category!B:B, "Not Found")</f>
      </c>
      <c r="F2460" s="1" t="s">
        <v>5632</v>
      </c>
      <c r="G2460" s="5">
        <f>XLOOKUP(I2460, drug!B:B, drug!A:A, "Not Found")</f>
      </c>
      <c r="H2460" s="1"/>
      <c r="I2460" s="7">
        <v>1</v>
      </c>
      <c r="J2460" s="5">
        <f>XLOOKUP(L2460, uom!C:C, uom!B:B, "Not Found")</f>
      </c>
      <c r="K2460" s="1" t="s">
        <v>5511</v>
      </c>
      <c r="L2460" s="5">
        <f>XLOOKUP(N2460, uom!C:C, uom!B:B, "Not Found")</f>
      </c>
      <c r="M2460" s="1" t="s">
        <v>5511</v>
      </c>
      <c r="N2460" s="8" t="s">
        <v>5512</v>
      </c>
      <c r="O2460" s="1" t="s">
        <v>5513</v>
      </c>
      <c r="P2460" s="5">
        <f>XLOOKUP(R2460, classification!C:C, classification!B:B, "Not Found")</f>
      </c>
      <c r="Q2460" s="1" t="s">
        <v>5514</v>
      </c>
      <c r="R2460" s="2"/>
      <c r="S2460" s="2"/>
      <c r="T2460" s="2"/>
      <c r="U2460" s="2"/>
    </row>
    <row x14ac:dyDescent="0.25" r="2461" customHeight="1" ht="17.25">
      <c r="A2461" s="7">
        <v>2460</v>
      </c>
      <c r="B2461" s="1" t="s">
        <v>7822</v>
      </c>
      <c r="C2461" s="5">
        <f>CONCATENATE("PD", TEXT(A2461, "1000000"))</f>
      </c>
      <c r="D2461" s="7">
        <v>76</v>
      </c>
      <c r="E2461" s="5">
        <f>XLOOKUP(G2461, item_category!C:C, item_category!B:B, "Not Found")</f>
      </c>
      <c r="F2461" s="1" t="s">
        <v>5632</v>
      </c>
      <c r="G2461" s="5">
        <f>XLOOKUP(I2461, drug!B:B, drug!A:A, "Not Found")</f>
      </c>
      <c r="H2461" s="1"/>
      <c r="I2461" s="7">
        <v>1</v>
      </c>
      <c r="J2461" s="5">
        <f>XLOOKUP(L2461, uom!C:C, uom!B:B, "Not Found")</f>
      </c>
      <c r="K2461" s="1" t="s">
        <v>5511</v>
      </c>
      <c r="L2461" s="5">
        <f>XLOOKUP(N2461, uom!C:C, uom!B:B, "Not Found")</f>
      </c>
      <c r="M2461" s="1" t="s">
        <v>5511</v>
      </c>
      <c r="N2461" s="8" t="s">
        <v>5512</v>
      </c>
      <c r="O2461" s="1" t="s">
        <v>5513</v>
      </c>
      <c r="P2461" s="5">
        <f>XLOOKUP(R2461, classification!C:C, classification!B:B, "Not Found")</f>
      </c>
      <c r="Q2461" s="1" t="s">
        <v>5514</v>
      </c>
      <c r="R2461" s="2"/>
      <c r="S2461" s="2"/>
      <c r="T2461" s="2"/>
      <c r="U2461" s="2"/>
    </row>
    <row x14ac:dyDescent="0.25" r="2462" customHeight="1" ht="17.25">
      <c r="A2462" s="7">
        <v>2461</v>
      </c>
      <c r="B2462" s="1" t="s">
        <v>7823</v>
      </c>
      <c r="C2462" s="5">
        <f>CONCATENATE("PD", TEXT(A2462, "1000000"))</f>
      </c>
      <c r="D2462" s="7">
        <v>76</v>
      </c>
      <c r="E2462" s="5">
        <f>XLOOKUP(G2462, item_category!C:C, item_category!B:B, "Not Found")</f>
      </c>
      <c r="F2462" s="1" t="s">
        <v>5632</v>
      </c>
      <c r="G2462" s="5">
        <f>XLOOKUP(I2462, drug!B:B, drug!A:A, "Not Found")</f>
      </c>
      <c r="H2462" s="1"/>
      <c r="I2462" s="7">
        <v>1</v>
      </c>
      <c r="J2462" s="5">
        <f>XLOOKUP(L2462, uom!C:C, uom!B:B, "Not Found")</f>
      </c>
      <c r="K2462" s="1" t="s">
        <v>5511</v>
      </c>
      <c r="L2462" s="5">
        <f>XLOOKUP(N2462, uom!C:C, uom!B:B, "Not Found")</f>
      </c>
      <c r="M2462" s="1" t="s">
        <v>5511</v>
      </c>
      <c r="N2462" s="8" t="s">
        <v>5512</v>
      </c>
      <c r="O2462" s="1" t="s">
        <v>5513</v>
      </c>
      <c r="P2462" s="5">
        <f>XLOOKUP(R2462, classification!C:C, classification!B:B, "Not Found")</f>
      </c>
      <c r="Q2462" s="1" t="s">
        <v>5514</v>
      </c>
      <c r="R2462" s="2"/>
      <c r="S2462" s="2"/>
      <c r="T2462" s="2"/>
      <c r="U2462" s="2"/>
    </row>
    <row x14ac:dyDescent="0.25" r="2463" customHeight="1" ht="17.25">
      <c r="A2463" s="7">
        <v>2462</v>
      </c>
      <c r="B2463" s="1" t="s">
        <v>7824</v>
      </c>
      <c r="C2463" s="5">
        <f>CONCATENATE("PD", TEXT(A2463, "1000000"))</f>
      </c>
      <c r="D2463" s="7">
        <v>76</v>
      </c>
      <c r="E2463" s="5">
        <f>XLOOKUP(G2463, item_category!C:C, item_category!B:B, "Not Found")</f>
      </c>
      <c r="F2463" s="1" t="s">
        <v>5632</v>
      </c>
      <c r="G2463" s="5">
        <f>XLOOKUP(I2463, drug!B:B, drug!A:A, "Not Found")</f>
      </c>
      <c r="H2463" s="1"/>
      <c r="I2463" s="7">
        <v>1</v>
      </c>
      <c r="J2463" s="5">
        <f>XLOOKUP(L2463, uom!C:C, uom!B:B, "Not Found")</f>
      </c>
      <c r="K2463" s="1" t="s">
        <v>5511</v>
      </c>
      <c r="L2463" s="5">
        <f>XLOOKUP(N2463, uom!C:C, uom!B:B, "Not Found")</f>
      </c>
      <c r="M2463" s="1" t="s">
        <v>5511</v>
      </c>
      <c r="N2463" s="8" t="s">
        <v>5512</v>
      </c>
      <c r="O2463" s="1" t="s">
        <v>5513</v>
      </c>
      <c r="P2463" s="5">
        <f>XLOOKUP(R2463, classification!C:C, classification!B:B, "Not Found")</f>
      </c>
      <c r="Q2463" s="1" t="s">
        <v>5514</v>
      </c>
      <c r="R2463" s="2"/>
      <c r="S2463" s="2"/>
      <c r="T2463" s="2"/>
      <c r="U2463" s="2"/>
    </row>
    <row x14ac:dyDescent="0.25" r="2464" customHeight="1" ht="17.25">
      <c r="A2464" s="7">
        <v>2463</v>
      </c>
      <c r="B2464" s="1" t="s">
        <v>7825</v>
      </c>
      <c r="C2464" s="5">
        <f>CONCATENATE("PD", TEXT(A2464, "1000000"))</f>
      </c>
      <c r="D2464" s="7">
        <v>76</v>
      </c>
      <c r="E2464" s="5">
        <f>XLOOKUP(G2464, item_category!C:C, item_category!B:B, "Not Found")</f>
      </c>
      <c r="F2464" s="1" t="s">
        <v>5632</v>
      </c>
      <c r="G2464" s="5">
        <f>XLOOKUP(I2464, drug!B:B, drug!A:A, "Not Found")</f>
      </c>
      <c r="H2464" s="1"/>
      <c r="I2464" s="7">
        <v>1</v>
      </c>
      <c r="J2464" s="5">
        <f>XLOOKUP(L2464, uom!C:C, uom!B:B, "Not Found")</f>
      </c>
      <c r="K2464" s="1" t="s">
        <v>5511</v>
      </c>
      <c r="L2464" s="5">
        <f>XLOOKUP(N2464, uom!C:C, uom!B:B, "Not Found")</f>
      </c>
      <c r="M2464" s="1" t="s">
        <v>5511</v>
      </c>
      <c r="N2464" s="8" t="s">
        <v>5512</v>
      </c>
      <c r="O2464" s="1" t="s">
        <v>5513</v>
      </c>
      <c r="P2464" s="5">
        <f>XLOOKUP(R2464, classification!C:C, classification!B:B, "Not Found")</f>
      </c>
      <c r="Q2464" s="1" t="s">
        <v>5514</v>
      </c>
      <c r="R2464" s="2"/>
      <c r="S2464" s="2"/>
      <c r="T2464" s="2"/>
      <c r="U2464" s="2"/>
    </row>
    <row x14ac:dyDescent="0.25" r="2465" customHeight="1" ht="17.25">
      <c r="A2465" s="7">
        <v>2464</v>
      </c>
      <c r="B2465" s="1" t="s">
        <v>7826</v>
      </c>
      <c r="C2465" s="5">
        <f>CONCATENATE("PD", TEXT(A2465, "1000000"))</f>
      </c>
      <c r="D2465" s="7">
        <v>76</v>
      </c>
      <c r="E2465" s="5">
        <f>XLOOKUP(G2465, item_category!C:C, item_category!B:B, "Not Found")</f>
      </c>
      <c r="F2465" s="1" t="s">
        <v>5632</v>
      </c>
      <c r="G2465" s="5">
        <f>XLOOKUP(I2465, drug!B:B, drug!A:A, "Not Found")</f>
      </c>
      <c r="H2465" s="1"/>
      <c r="I2465" s="7">
        <v>1</v>
      </c>
      <c r="J2465" s="5">
        <f>XLOOKUP(L2465, uom!C:C, uom!B:B, "Not Found")</f>
      </c>
      <c r="K2465" s="1" t="s">
        <v>5511</v>
      </c>
      <c r="L2465" s="5">
        <f>XLOOKUP(N2465, uom!C:C, uom!B:B, "Not Found")</f>
      </c>
      <c r="M2465" s="1" t="s">
        <v>5511</v>
      </c>
      <c r="N2465" s="8" t="s">
        <v>5512</v>
      </c>
      <c r="O2465" s="1" t="s">
        <v>5513</v>
      </c>
      <c r="P2465" s="5">
        <f>XLOOKUP(R2465, classification!C:C, classification!B:B, "Not Found")</f>
      </c>
      <c r="Q2465" s="1" t="s">
        <v>5514</v>
      </c>
      <c r="R2465" s="2"/>
      <c r="S2465" s="2"/>
      <c r="T2465" s="2"/>
      <c r="U2465" s="2"/>
    </row>
    <row x14ac:dyDescent="0.25" r="2466" customHeight="1" ht="17.25">
      <c r="A2466" s="7">
        <v>2465</v>
      </c>
      <c r="B2466" s="1" t="s">
        <v>7827</v>
      </c>
      <c r="C2466" s="5">
        <f>CONCATENATE("PD", TEXT(A2466, "1000000"))</f>
      </c>
      <c r="D2466" s="7">
        <v>76</v>
      </c>
      <c r="E2466" s="5">
        <f>XLOOKUP(G2466, item_category!C:C, item_category!B:B, "Not Found")</f>
      </c>
      <c r="F2466" s="1" t="s">
        <v>5632</v>
      </c>
      <c r="G2466" s="5">
        <f>XLOOKUP(I2466, drug!B:B, drug!A:A, "Not Found")</f>
      </c>
      <c r="H2466" s="1"/>
      <c r="I2466" s="7">
        <v>1</v>
      </c>
      <c r="J2466" s="5">
        <f>XLOOKUP(L2466, uom!C:C, uom!B:B, "Not Found")</f>
      </c>
      <c r="K2466" s="1" t="s">
        <v>5511</v>
      </c>
      <c r="L2466" s="5">
        <f>XLOOKUP(N2466, uom!C:C, uom!B:B, "Not Found")</f>
      </c>
      <c r="M2466" s="1" t="s">
        <v>5511</v>
      </c>
      <c r="N2466" s="8" t="s">
        <v>5512</v>
      </c>
      <c r="O2466" s="1" t="s">
        <v>5513</v>
      </c>
      <c r="P2466" s="5">
        <f>XLOOKUP(R2466, classification!C:C, classification!B:B, "Not Found")</f>
      </c>
      <c r="Q2466" s="1" t="s">
        <v>5514</v>
      </c>
      <c r="R2466" s="2"/>
      <c r="S2466" s="2"/>
      <c r="T2466" s="2"/>
      <c r="U2466" s="2"/>
    </row>
    <row x14ac:dyDescent="0.25" r="2467" customHeight="1" ht="17.25">
      <c r="A2467" s="7">
        <v>2466</v>
      </c>
      <c r="B2467" s="1" t="s">
        <v>7828</v>
      </c>
      <c r="C2467" s="5">
        <f>CONCATENATE("PD", TEXT(A2467, "1000000"))</f>
      </c>
      <c r="D2467" s="7">
        <v>76</v>
      </c>
      <c r="E2467" s="5">
        <f>XLOOKUP(G2467, item_category!C:C, item_category!B:B, "Not Found")</f>
      </c>
      <c r="F2467" s="1" t="s">
        <v>5632</v>
      </c>
      <c r="G2467" s="5">
        <f>XLOOKUP(I2467, drug!B:B, drug!A:A, "Not Found")</f>
      </c>
      <c r="H2467" s="1"/>
      <c r="I2467" s="7">
        <v>0</v>
      </c>
      <c r="J2467" s="5">
        <f>XLOOKUP(L2467, uom!C:C, uom!B:B, "Not Found")</f>
      </c>
      <c r="K2467" s="1" t="s">
        <v>5511</v>
      </c>
      <c r="L2467" s="5">
        <f>XLOOKUP(N2467, uom!C:C, uom!B:B, "Not Found")</f>
      </c>
      <c r="M2467" s="1" t="s">
        <v>5511</v>
      </c>
      <c r="N2467" s="8" t="s">
        <v>5512</v>
      </c>
      <c r="O2467" s="1" t="s">
        <v>5525</v>
      </c>
      <c r="P2467" s="5">
        <f>XLOOKUP(R2467, classification!C:C, classification!B:B, "Not Found")</f>
      </c>
      <c r="Q2467" s="1" t="s">
        <v>5514</v>
      </c>
      <c r="R2467" s="2"/>
      <c r="S2467" s="2"/>
      <c r="T2467" s="2"/>
      <c r="U2467" s="2"/>
    </row>
    <row x14ac:dyDescent="0.25" r="2468" customHeight="1" ht="17.25">
      <c r="A2468" s="7">
        <v>2467</v>
      </c>
      <c r="B2468" s="1" t="s">
        <v>7829</v>
      </c>
      <c r="C2468" s="5">
        <f>CONCATENATE("PD", TEXT(A2468, "1000000"))</f>
      </c>
      <c r="D2468" s="7">
        <v>76</v>
      </c>
      <c r="E2468" s="5">
        <f>XLOOKUP(G2468, item_category!C:C, item_category!B:B, "Not Found")</f>
      </c>
      <c r="F2468" s="1" t="s">
        <v>5632</v>
      </c>
      <c r="G2468" s="5">
        <f>XLOOKUP(I2468, drug!B:B, drug!A:A, "Not Found")</f>
      </c>
      <c r="H2468" s="1"/>
      <c r="I2468" s="7">
        <v>200</v>
      </c>
      <c r="J2468" s="5">
        <f>XLOOKUP(L2468, uom!C:C, uom!B:B, "Not Found")</f>
      </c>
      <c r="K2468" s="1" t="s">
        <v>5511</v>
      </c>
      <c r="L2468" s="5">
        <f>XLOOKUP(N2468, uom!C:C, uom!B:B, "Not Found")</f>
      </c>
      <c r="M2468" s="1" t="s">
        <v>5511</v>
      </c>
      <c r="N2468" s="8" t="s">
        <v>5524</v>
      </c>
      <c r="O2468" s="1" t="s">
        <v>5525</v>
      </c>
      <c r="P2468" s="5">
        <f>XLOOKUP(R2468, classification!C:C, classification!B:B, "Not Found")</f>
      </c>
      <c r="Q2468" s="1" t="s">
        <v>5514</v>
      </c>
      <c r="R2468" s="2"/>
      <c r="S2468" s="2"/>
      <c r="T2468" s="2"/>
      <c r="U2468" s="2"/>
    </row>
    <row x14ac:dyDescent="0.25" r="2469" customHeight="1" ht="17.25">
      <c r="A2469" s="7">
        <v>2468</v>
      </c>
      <c r="B2469" s="1" t="s">
        <v>7830</v>
      </c>
      <c r="C2469" s="5">
        <f>CONCATENATE("PD", TEXT(A2469, "1000000"))</f>
      </c>
      <c r="D2469" s="7">
        <v>76</v>
      </c>
      <c r="E2469" s="5">
        <f>XLOOKUP(G2469, item_category!C:C, item_category!B:B, "Not Found")</f>
      </c>
      <c r="F2469" s="1" t="s">
        <v>5632</v>
      </c>
      <c r="G2469" s="5">
        <f>XLOOKUP(I2469, drug!B:B, drug!A:A, "Not Found")</f>
      </c>
      <c r="H2469" s="1"/>
      <c r="I2469" s="7">
        <v>1</v>
      </c>
      <c r="J2469" s="5">
        <f>XLOOKUP(L2469, uom!C:C, uom!B:B, "Not Found")</f>
      </c>
      <c r="K2469" s="1" t="s">
        <v>5511</v>
      </c>
      <c r="L2469" s="5">
        <f>XLOOKUP(N2469, uom!C:C, uom!B:B, "Not Found")</f>
      </c>
      <c r="M2469" s="1" t="s">
        <v>5511</v>
      </c>
      <c r="N2469" s="8" t="s">
        <v>5512</v>
      </c>
      <c r="O2469" s="1" t="s">
        <v>5513</v>
      </c>
      <c r="P2469" s="5">
        <f>XLOOKUP(R2469, classification!C:C, classification!B:B, "Not Found")</f>
      </c>
      <c r="Q2469" s="1" t="s">
        <v>5514</v>
      </c>
      <c r="R2469" s="2"/>
      <c r="S2469" s="2"/>
      <c r="T2469" s="2"/>
      <c r="U2469" s="2"/>
    </row>
    <row x14ac:dyDescent="0.25" r="2470" customHeight="1" ht="17.25">
      <c r="A2470" s="7">
        <v>2469</v>
      </c>
      <c r="B2470" s="1" t="s">
        <v>7831</v>
      </c>
      <c r="C2470" s="5">
        <f>CONCATENATE("PD", TEXT(A2470, "1000000"))</f>
      </c>
      <c r="D2470" s="7">
        <v>76</v>
      </c>
      <c r="E2470" s="5">
        <f>XLOOKUP(G2470, item_category!C:C, item_category!B:B, "Not Found")</f>
      </c>
      <c r="F2470" s="1" t="s">
        <v>5632</v>
      </c>
      <c r="G2470" s="5">
        <f>XLOOKUP(I2470, drug!B:B, drug!A:A, "Not Found")</f>
      </c>
      <c r="H2470" s="1"/>
      <c r="I2470" s="7">
        <v>1</v>
      </c>
      <c r="J2470" s="5">
        <f>XLOOKUP(L2470, uom!C:C, uom!B:B, "Not Found")</f>
      </c>
      <c r="K2470" s="1" t="s">
        <v>5511</v>
      </c>
      <c r="L2470" s="5">
        <f>XLOOKUP(N2470, uom!C:C, uom!B:B, "Not Found")</f>
      </c>
      <c r="M2470" s="1" t="s">
        <v>5511</v>
      </c>
      <c r="N2470" s="8" t="s">
        <v>5512</v>
      </c>
      <c r="O2470" s="1" t="s">
        <v>5513</v>
      </c>
      <c r="P2470" s="5">
        <f>XLOOKUP(R2470, classification!C:C, classification!B:B, "Not Found")</f>
      </c>
      <c r="Q2470" s="1" t="s">
        <v>5514</v>
      </c>
      <c r="R2470" s="2"/>
      <c r="S2470" s="2"/>
      <c r="T2470" s="2"/>
      <c r="U2470" s="2"/>
    </row>
    <row x14ac:dyDescent="0.25" r="2471" customHeight="1" ht="17.25">
      <c r="A2471" s="7">
        <v>2470</v>
      </c>
      <c r="B2471" s="1" t="s">
        <v>7832</v>
      </c>
      <c r="C2471" s="5">
        <f>CONCATENATE("PD", TEXT(A2471, "1000000"))</f>
      </c>
      <c r="D2471" s="7">
        <v>76</v>
      </c>
      <c r="E2471" s="5">
        <f>XLOOKUP(G2471, item_category!C:C, item_category!B:B, "Not Found")</f>
      </c>
      <c r="F2471" s="1" t="s">
        <v>5632</v>
      </c>
      <c r="G2471" s="5">
        <f>XLOOKUP(I2471, drug!B:B, drug!A:A, "Not Found")</f>
      </c>
      <c r="H2471" s="1"/>
      <c r="I2471" s="7">
        <v>1</v>
      </c>
      <c r="J2471" s="5">
        <f>XLOOKUP(L2471, uom!C:C, uom!B:B, "Not Found")</f>
      </c>
      <c r="K2471" s="1" t="s">
        <v>5511</v>
      </c>
      <c r="L2471" s="5">
        <f>XLOOKUP(N2471, uom!C:C, uom!B:B, "Not Found")</f>
      </c>
      <c r="M2471" s="1" t="s">
        <v>5511</v>
      </c>
      <c r="N2471" s="8" t="s">
        <v>5512</v>
      </c>
      <c r="O2471" s="1" t="s">
        <v>5513</v>
      </c>
      <c r="P2471" s="5">
        <f>XLOOKUP(R2471, classification!C:C, classification!B:B, "Not Found")</f>
      </c>
      <c r="Q2471" s="1" t="s">
        <v>5514</v>
      </c>
      <c r="R2471" s="2"/>
      <c r="S2471" s="2"/>
      <c r="T2471" s="2"/>
      <c r="U2471" s="2"/>
    </row>
    <row x14ac:dyDescent="0.25" r="2472" customHeight="1" ht="17.25">
      <c r="A2472" s="7">
        <v>2471</v>
      </c>
      <c r="B2472" s="1" t="s">
        <v>7833</v>
      </c>
      <c r="C2472" s="5">
        <f>CONCATENATE("PD", TEXT(A2472, "1000000"))</f>
      </c>
      <c r="D2472" s="7">
        <v>76</v>
      </c>
      <c r="E2472" s="5">
        <f>XLOOKUP(G2472, item_category!C:C, item_category!B:B, "Not Found")</f>
      </c>
      <c r="F2472" s="1" t="s">
        <v>5632</v>
      </c>
      <c r="G2472" s="5">
        <f>XLOOKUP(I2472, drug!B:B, drug!A:A, "Not Found")</f>
      </c>
      <c r="H2472" s="1"/>
      <c r="I2472" s="7">
        <v>1</v>
      </c>
      <c r="J2472" s="5">
        <f>XLOOKUP(L2472, uom!C:C, uom!B:B, "Not Found")</f>
      </c>
      <c r="K2472" s="1" t="s">
        <v>5511</v>
      </c>
      <c r="L2472" s="5">
        <f>XLOOKUP(N2472, uom!C:C, uom!B:B, "Not Found")</f>
      </c>
      <c r="M2472" s="1" t="s">
        <v>5511</v>
      </c>
      <c r="N2472" s="8" t="s">
        <v>5512</v>
      </c>
      <c r="O2472" s="1" t="s">
        <v>5513</v>
      </c>
      <c r="P2472" s="5">
        <f>XLOOKUP(R2472, classification!C:C, classification!B:B, "Not Found")</f>
      </c>
      <c r="Q2472" s="1" t="s">
        <v>5514</v>
      </c>
      <c r="R2472" s="2"/>
      <c r="S2472" s="2"/>
      <c r="T2472" s="2"/>
      <c r="U2472" s="2"/>
    </row>
    <row x14ac:dyDescent="0.25" r="2473" customHeight="1" ht="17.25">
      <c r="A2473" s="7">
        <v>2472</v>
      </c>
      <c r="B2473" s="1" t="s">
        <v>7834</v>
      </c>
      <c r="C2473" s="5">
        <f>CONCATENATE("PD", TEXT(A2473, "1000000"))</f>
      </c>
      <c r="D2473" s="7">
        <v>76</v>
      </c>
      <c r="E2473" s="5">
        <f>XLOOKUP(G2473, item_category!C:C, item_category!B:B, "Not Found")</f>
      </c>
      <c r="F2473" s="1" t="s">
        <v>5632</v>
      </c>
      <c r="G2473" s="5">
        <f>XLOOKUP(I2473, drug!B:B, drug!A:A, "Not Found")</f>
      </c>
      <c r="H2473" s="1"/>
      <c r="I2473" s="7">
        <v>1</v>
      </c>
      <c r="J2473" s="5">
        <f>XLOOKUP(L2473, uom!C:C, uom!B:B, "Not Found")</f>
      </c>
      <c r="K2473" s="1" t="s">
        <v>5511</v>
      </c>
      <c r="L2473" s="5">
        <f>XLOOKUP(N2473, uom!C:C, uom!B:B, "Not Found")</f>
      </c>
      <c r="M2473" s="1" t="s">
        <v>5511</v>
      </c>
      <c r="N2473" s="8" t="s">
        <v>5512</v>
      </c>
      <c r="O2473" s="1" t="s">
        <v>5513</v>
      </c>
      <c r="P2473" s="5">
        <f>XLOOKUP(R2473, classification!C:C, classification!B:B, "Not Found")</f>
      </c>
      <c r="Q2473" s="1" t="s">
        <v>5514</v>
      </c>
      <c r="R2473" s="2"/>
      <c r="S2473" s="2"/>
      <c r="T2473" s="2"/>
      <c r="U2473" s="2"/>
    </row>
    <row x14ac:dyDescent="0.25" r="2474" customHeight="1" ht="17.25">
      <c r="A2474" s="7">
        <v>2473</v>
      </c>
      <c r="B2474" s="1" t="s">
        <v>7835</v>
      </c>
      <c r="C2474" s="5">
        <f>CONCATENATE("PD", TEXT(A2474, "1000000"))</f>
      </c>
      <c r="D2474" s="7">
        <v>76</v>
      </c>
      <c r="E2474" s="5">
        <f>XLOOKUP(G2474, item_category!C:C, item_category!B:B, "Not Found")</f>
      </c>
      <c r="F2474" s="1" t="s">
        <v>5632</v>
      </c>
      <c r="G2474" s="5">
        <f>XLOOKUP(I2474, drug!B:B, drug!A:A, "Not Found")</f>
      </c>
      <c r="H2474" s="1"/>
      <c r="I2474" s="7">
        <v>1</v>
      </c>
      <c r="J2474" s="5">
        <f>XLOOKUP(L2474, uom!C:C, uom!B:B, "Not Found")</f>
      </c>
      <c r="K2474" s="1" t="s">
        <v>5511</v>
      </c>
      <c r="L2474" s="5">
        <f>XLOOKUP(N2474, uom!C:C, uom!B:B, "Not Found")</f>
      </c>
      <c r="M2474" s="1" t="s">
        <v>5511</v>
      </c>
      <c r="N2474" s="8" t="s">
        <v>5512</v>
      </c>
      <c r="O2474" s="1" t="s">
        <v>5513</v>
      </c>
      <c r="P2474" s="5">
        <f>XLOOKUP(R2474, classification!C:C, classification!B:B, "Not Found")</f>
      </c>
      <c r="Q2474" s="1" t="s">
        <v>5514</v>
      </c>
      <c r="R2474" s="2"/>
      <c r="S2474" s="2"/>
      <c r="T2474" s="2"/>
      <c r="U2474" s="2"/>
    </row>
    <row x14ac:dyDescent="0.25" r="2475" customHeight="1" ht="17.25">
      <c r="A2475" s="7">
        <v>2474</v>
      </c>
      <c r="B2475" s="1" t="s">
        <v>7836</v>
      </c>
      <c r="C2475" s="5">
        <f>CONCATENATE("PD", TEXT(A2475, "1000000"))</f>
      </c>
      <c r="D2475" s="7">
        <v>76</v>
      </c>
      <c r="E2475" s="5">
        <f>XLOOKUP(G2475, item_category!C:C, item_category!B:B, "Not Found")</f>
      </c>
      <c r="F2475" s="1" t="s">
        <v>5632</v>
      </c>
      <c r="G2475" s="5">
        <f>XLOOKUP(I2475, drug!B:B, drug!A:A, "Not Found")</f>
      </c>
      <c r="H2475" s="1"/>
      <c r="I2475" s="7">
        <v>1</v>
      </c>
      <c r="J2475" s="5">
        <f>XLOOKUP(L2475, uom!C:C, uom!B:B, "Not Found")</f>
      </c>
      <c r="K2475" s="1" t="s">
        <v>5511</v>
      </c>
      <c r="L2475" s="5">
        <f>XLOOKUP(N2475, uom!C:C, uom!B:B, "Not Found")</f>
      </c>
      <c r="M2475" s="1" t="s">
        <v>5511</v>
      </c>
      <c r="N2475" s="8" t="s">
        <v>5512</v>
      </c>
      <c r="O2475" s="1" t="s">
        <v>5513</v>
      </c>
      <c r="P2475" s="5">
        <f>XLOOKUP(R2475, classification!C:C, classification!B:B, "Not Found")</f>
      </c>
      <c r="Q2475" s="1" t="s">
        <v>5514</v>
      </c>
      <c r="R2475" s="2"/>
      <c r="S2475" s="2"/>
      <c r="T2475" s="2"/>
      <c r="U2475" s="2"/>
    </row>
    <row x14ac:dyDescent="0.25" r="2476" customHeight="1" ht="17.25">
      <c r="A2476" s="7">
        <v>2475</v>
      </c>
      <c r="B2476" s="1" t="s">
        <v>7837</v>
      </c>
      <c r="C2476" s="5">
        <f>CONCATENATE("PD", TEXT(A2476, "1000000"))</f>
      </c>
      <c r="D2476" s="7">
        <v>76</v>
      </c>
      <c r="E2476" s="5">
        <f>XLOOKUP(G2476, item_category!C:C, item_category!B:B, "Not Found")</f>
      </c>
      <c r="F2476" s="1" t="s">
        <v>5632</v>
      </c>
      <c r="G2476" s="5">
        <f>XLOOKUP(I2476, drug!B:B, drug!A:A, "Not Found")</f>
      </c>
      <c r="H2476" s="1"/>
      <c r="I2476" s="7">
        <v>1</v>
      </c>
      <c r="J2476" s="5">
        <f>XLOOKUP(L2476, uom!C:C, uom!B:B, "Not Found")</f>
      </c>
      <c r="K2476" s="1" t="s">
        <v>5511</v>
      </c>
      <c r="L2476" s="5">
        <f>XLOOKUP(N2476, uom!C:C, uom!B:B, "Not Found")</f>
      </c>
      <c r="M2476" s="1" t="s">
        <v>5511</v>
      </c>
      <c r="N2476" s="8" t="s">
        <v>5512</v>
      </c>
      <c r="O2476" s="1" t="s">
        <v>5513</v>
      </c>
      <c r="P2476" s="5">
        <f>XLOOKUP(R2476, classification!C:C, classification!B:B, "Not Found")</f>
      </c>
      <c r="Q2476" s="1" t="s">
        <v>5514</v>
      </c>
      <c r="R2476" s="2"/>
      <c r="S2476" s="2"/>
      <c r="T2476" s="2"/>
      <c r="U2476" s="2"/>
    </row>
    <row x14ac:dyDescent="0.25" r="2477" customHeight="1" ht="17.25">
      <c r="A2477" s="7">
        <v>2476</v>
      </c>
      <c r="B2477" s="1" t="s">
        <v>7838</v>
      </c>
      <c r="C2477" s="5">
        <f>CONCATENATE("PD", TEXT(A2477, "1000000"))</f>
      </c>
      <c r="D2477" s="7">
        <v>76</v>
      </c>
      <c r="E2477" s="5">
        <f>XLOOKUP(G2477, item_category!C:C, item_category!B:B, "Not Found")</f>
      </c>
      <c r="F2477" s="1" t="s">
        <v>5632</v>
      </c>
      <c r="G2477" s="5">
        <f>XLOOKUP(I2477, drug!B:B, drug!A:A, "Not Found")</f>
      </c>
      <c r="H2477" s="1"/>
      <c r="I2477" s="7">
        <v>1</v>
      </c>
      <c r="J2477" s="5">
        <f>XLOOKUP(L2477, uom!C:C, uom!B:B, "Not Found")</f>
      </c>
      <c r="K2477" s="1" t="s">
        <v>5511</v>
      </c>
      <c r="L2477" s="5">
        <f>XLOOKUP(N2477, uom!C:C, uom!B:B, "Not Found")</f>
      </c>
      <c r="M2477" s="1" t="s">
        <v>5511</v>
      </c>
      <c r="N2477" s="8" t="s">
        <v>5512</v>
      </c>
      <c r="O2477" s="1" t="s">
        <v>5513</v>
      </c>
      <c r="P2477" s="5">
        <f>XLOOKUP(R2477, classification!C:C, classification!B:B, "Not Found")</f>
      </c>
      <c r="Q2477" s="1" t="s">
        <v>5514</v>
      </c>
      <c r="R2477" s="2"/>
      <c r="S2477" s="2"/>
      <c r="T2477" s="2"/>
      <c r="U2477" s="2"/>
    </row>
    <row x14ac:dyDescent="0.25" r="2478" customHeight="1" ht="17.25">
      <c r="A2478" s="7">
        <v>2477</v>
      </c>
      <c r="B2478" s="1" t="s">
        <v>7839</v>
      </c>
      <c r="C2478" s="5">
        <f>CONCATENATE("PD", TEXT(A2478, "1000000"))</f>
      </c>
      <c r="D2478" s="7">
        <v>76</v>
      </c>
      <c r="E2478" s="5">
        <f>XLOOKUP(G2478, item_category!C:C, item_category!B:B, "Not Found")</f>
      </c>
      <c r="F2478" s="1" t="s">
        <v>5632</v>
      </c>
      <c r="G2478" s="5">
        <f>XLOOKUP(I2478, drug!B:B, drug!A:A, "Not Found")</f>
      </c>
      <c r="H2478" s="1"/>
      <c r="I2478" s="7">
        <v>400</v>
      </c>
      <c r="J2478" s="5">
        <f>XLOOKUP(L2478, uom!C:C, uom!B:B, "Not Found")</f>
      </c>
      <c r="K2478" s="1" t="s">
        <v>7840</v>
      </c>
      <c r="L2478" s="5">
        <f>XLOOKUP(N2478, uom!C:C, uom!B:B, "Not Found")</f>
      </c>
      <c r="M2478" s="1" t="s">
        <v>7840</v>
      </c>
      <c r="N2478" s="8" t="s">
        <v>5524</v>
      </c>
      <c r="O2478" s="1" t="s">
        <v>5525</v>
      </c>
      <c r="P2478" s="5">
        <f>XLOOKUP(R2478, classification!C:C, classification!B:B, "Not Found")</f>
      </c>
      <c r="Q2478" s="1" t="s">
        <v>5514</v>
      </c>
      <c r="R2478" s="2"/>
      <c r="S2478" s="2"/>
      <c r="T2478" s="2"/>
      <c r="U2478" s="2"/>
    </row>
    <row x14ac:dyDescent="0.25" r="2479" customHeight="1" ht="17.25">
      <c r="A2479" s="7">
        <v>2478</v>
      </c>
      <c r="B2479" s="1" t="s">
        <v>7841</v>
      </c>
      <c r="C2479" s="5">
        <f>CONCATENATE("PD", TEXT(A2479, "1000000"))</f>
      </c>
      <c r="D2479" s="7">
        <v>76</v>
      </c>
      <c r="E2479" s="5">
        <f>XLOOKUP(G2479, item_category!C:C, item_category!B:B, "Not Found")</f>
      </c>
      <c r="F2479" s="1" t="s">
        <v>5632</v>
      </c>
      <c r="G2479" s="5">
        <f>XLOOKUP(I2479, drug!B:B, drug!A:A, "Not Found")</f>
      </c>
      <c r="H2479" s="1" t="s">
        <v>1942</v>
      </c>
      <c r="I2479" s="7">
        <v>1</v>
      </c>
      <c r="J2479" s="5">
        <f>XLOOKUP(L2479, uom!C:C, uom!B:B, "Not Found")</f>
      </c>
      <c r="K2479" s="1" t="s">
        <v>5511</v>
      </c>
      <c r="L2479" s="5">
        <f>XLOOKUP(N2479, uom!C:C, uom!B:B, "Not Found")</f>
      </c>
      <c r="M2479" s="1" t="s">
        <v>5511</v>
      </c>
      <c r="N2479" s="8" t="s">
        <v>5512</v>
      </c>
      <c r="O2479" s="1" t="s">
        <v>5513</v>
      </c>
      <c r="P2479" s="5">
        <f>XLOOKUP(R2479, classification!C:C, classification!B:B, "Not Found")</f>
      </c>
      <c r="Q2479" s="1" t="s">
        <v>5514</v>
      </c>
      <c r="R2479" s="2"/>
      <c r="S2479" s="2"/>
      <c r="T2479" s="2"/>
      <c r="U2479" s="2"/>
    </row>
    <row x14ac:dyDescent="0.25" r="2480" customHeight="1" ht="17.25">
      <c r="A2480" s="7">
        <v>2479</v>
      </c>
      <c r="B2480" s="1" t="s">
        <v>3236</v>
      </c>
      <c r="C2480" s="5">
        <f>CONCATENATE("PD", TEXT(A2480, "1000000"))</f>
      </c>
      <c r="D2480" s="7">
        <v>76</v>
      </c>
      <c r="E2480" s="5">
        <f>XLOOKUP(G2480, item_category!C:C, item_category!B:B, "Not Found")</f>
      </c>
      <c r="F2480" s="1" t="s">
        <v>5632</v>
      </c>
      <c r="G2480" s="5">
        <f>XLOOKUP(I2480, drug!B:B, drug!A:A, "Not Found")</f>
      </c>
      <c r="H2480" s="1"/>
      <c r="I2480" s="7">
        <v>1</v>
      </c>
      <c r="J2480" s="5">
        <f>XLOOKUP(L2480, uom!C:C, uom!B:B, "Not Found")</f>
      </c>
      <c r="K2480" s="1" t="s">
        <v>5511</v>
      </c>
      <c r="L2480" s="5">
        <f>XLOOKUP(N2480, uom!C:C, uom!B:B, "Not Found")</f>
      </c>
      <c r="M2480" s="1" t="s">
        <v>5511</v>
      </c>
      <c r="N2480" s="8" t="s">
        <v>5512</v>
      </c>
      <c r="O2480" s="1" t="s">
        <v>5513</v>
      </c>
      <c r="P2480" s="5">
        <f>XLOOKUP(R2480, classification!C:C, classification!B:B, "Not Found")</f>
      </c>
      <c r="Q2480" s="1" t="s">
        <v>5514</v>
      </c>
      <c r="R2480" s="2"/>
      <c r="S2480" s="2"/>
      <c r="T2480" s="2"/>
      <c r="U2480" s="2"/>
    </row>
    <row x14ac:dyDescent="0.25" r="2481" customHeight="1" ht="17.25">
      <c r="A2481" s="7">
        <v>2480</v>
      </c>
      <c r="B2481" s="1" t="s">
        <v>7842</v>
      </c>
      <c r="C2481" s="5">
        <f>CONCATENATE("PD", TEXT(A2481, "1000000"))</f>
      </c>
      <c r="D2481" s="7">
        <v>76</v>
      </c>
      <c r="E2481" s="5">
        <f>XLOOKUP(G2481, item_category!C:C, item_category!B:B, "Not Found")</f>
      </c>
      <c r="F2481" s="1" t="s">
        <v>5632</v>
      </c>
      <c r="G2481" s="5">
        <f>XLOOKUP(I2481, drug!B:B, drug!A:A, "Not Found")</f>
      </c>
      <c r="H2481" s="1"/>
      <c r="I2481" s="7">
        <v>1</v>
      </c>
      <c r="J2481" s="5">
        <f>XLOOKUP(L2481, uom!C:C, uom!B:B, "Not Found")</f>
      </c>
      <c r="K2481" s="1" t="s">
        <v>5511</v>
      </c>
      <c r="L2481" s="5">
        <f>XLOOKUP(N2481, uom!C:C, uom!B:B, "Not Found")</f>
      </c>
      <c r="M2481" s="1" t="s">
        <v>5511</v>
      </c>
      <c r="N2481" s="8" t="s">
        <v>5512</v>
      </c>
      <c r="O2481" s="1" t="s">
        <v>5513</v>
      </c>
      <c r="P2481" s="5">
        <f>XLOOKUP(R2481, classification!C:C, classification!B:B, "Not Found")</f>
      </c>
      <c r="Q2481" s="1" t="s">
        <v>5514</v>
      </c>
      <c r="R2481" s="2"/>
      <c r="S2481" s="2"/>
      <c r="T2481" s="2"/>
      <c r="U2481" s="2"/>
    </row>
    <row x14ac:dyDescent="0.25" r="2482" customHeight="1" ht="17.25">
      <c r="A2482" s="7">
        <v>2481</v>
      </c>
      <c r="B2482" s="1" t="s">
        <v>7843</v>
      </c>
      <c r="C2482" s="5">
        <f>CONCATENATE("PD", TEXT(A2482, "1000000"))</f>
      </c>
      <c r="D2482" s="7">
        <v>76</v>
      </c>
      <c r="E2482" s="5">
        <f>XLOOKUP(G2482, item_category!C:C, item_category!B:B, "Not Found")</f>
      </c>
      <c r="F2482" s="1" t="s">
        <v>5632</v>
      </c>
      <c r="G2482" s="5">
        <f>XLOOKUP(I2482, drug!B:B, drug!A:A, "Not Found")</f>
      </c>
      <c r="H2482" s="1"/>
      <c r="I2482" s="7">
        <v>1</v>
      </c>
      <c r="J2482" s="5">
        <f>XLOOKUP(L2482, uom!C:C, uom!B:B, "Not Found")</f>
      </c>
      <c r="K2482" s="1" t="s">
        <v>5511</v>
      </c>
      <c r="L2482" s="5">
        <f>XLOOKUP(N2482, uom!C:C, uom!B:B, "Not Found")</f>
      </c>
      <c r="M2482" s="1" t="s">
        <v>5511</v>
      </c>
      <c r="N2482" s="8" t="s">
        <v>5512</v>
      </c>
      <c r="O2482" s="1" t="s">
        <v>5513</v>
      </c>
      <c r="P2482" s="5">
        <f>XLOOKUP(R2482, classification!C:C, classification!B:B, "Not Found")</f>
      </c>
      <c r="Q2482" s="1" t="s">
        <v>5514</v>
      </c>
      <c r="R2482" s="2"/>
      <c r="S2482" s="2"/>
      <c r="T2482" s="2"/>
      <c r="U2482" s="2"/>
    </row>
    <row x14ac:dyDescent="0.25" r="2483" customHeight="1" ht="17.25">
      <c r="A2483" s="7">
        <v>2482</v>
      </c>
      <c r="B2483" s="1" t="s">
        <v>7844</v>
      </c>
      <c r="C2483" s="5">
        <f>CONCATENATE("PD", TEXT(A2483, "1000000"))</f>
      </c>
      <c r="D2483" s="7">
        <v>76</v>
      </c>
      <c r="E2483" s="5">
        <f>XLOOKUP(G2483, item_category!C:C, item_category!B:B, "Not Found")</f>
      </c>
      <c r="F2483" s="1" t="s">
        <v>5632</v>
      </c>
      <c r="G2483" s="5">
        <f>XLOOKUP(I2483, drug!B:B, drug!A:A, "Not Found")</f>
      </c>
      <c r="H2483" s="1"/>
      <c r="I2483" s="7">
        <v>1</v>
      </c>
      <c r="J2483" s="5">
        <f>XLOOKUP(L2483, uom!C:C, uom!B:B, "Not Found")</f>
      </c>
      <c r="K2483" s="1" t="s">
        <v>5511</v>
      </c>
      <c r="L2483" s="5">
        <f>XLOOKUP(N2483, uom!C:C, uom!B:B, "Not Found")</f>
      </c>
      <c r="M2483" s="1" t="s">
        <v>5511</v>
      </c>
      <c r="N2483" s="8" t="s">
        <v>5512</v>
      </c>
      <c r="O2483" s="1" t="s">
        <v>5513</v>
      </c>
      <c r="P2483" s="5">
        <f>XLOOKUP(R2483, classification!C:C, classification!B:B, "Not Found")</f>
      </c>
      <c r="Q2483" s="1" t="s">
        <v>5514</v>
      </c>
      <c r="R2483" s="2"/>
      <c r="S2483" s="2"/>
      <c r="T2483" s="2"/>
      <c r="U2483" s="2"/>
    </row>
    <row x14ac:dyDescent="0.25" r="2484" customHeight="1" ht="17.25">
      <c r="A2484" s="7">
        <v>2483</v>
      </c>
      <c r="B2484" s="1" t="s">
        <v>7845</v>
      </c>
      <c r="C2484" s="5">
        <f>CONCATENATE("PD", TEXT(A2484, "1000000"))</f>
      </c>
      <c r="D2484" s="7">
        <v>76</v>
      </c>
      <c r="E2484" s="5">
        <f>XLOOKUP(G2484, item_category!C:C, item_category!B:B, "Not Found")</f>
      </c>
      <c r="F2484" s="1" t="s">
        <v>5632</v>
      </c>
      <c r="G2484" s="5">
        <f>XLOOKUP(I2484, drug!B:B, drug!A:A, "Not Found")</f>
      </c>
      <c r="H2484" s="1"/>
      <c r="I2484" s="7">
        <v>1</v>
      </c>
      <c r="J2484" s="5">
        <f>XLOOKUP(L2484, uom!C:C, uom!B:B, "Not Found")</f>
      </c>
      <c r="K2484" s="1" t="s">
        <v>5511</v>
      </c>
      <c r="L2484" s="5">
        <f>XLOOKUP(N2484, uom!C:C, uom!B:B, "Not Found")</f>
      </c>
      <c r="M2484" s="1" t="s">
        <v>5511</v>
      </c>
      <c r="N2484" s="8" t="s">
        <v>5512</v>
      </c>
      <c r="O2484" s="1" t="s">
        <v>5513</v>
      </c>
      <c r="P2484" s="5">
        <f>XLOOKUP(R2484, classification!C:C, classification!B:B, "Not Found")</f>
      </c>
      <c r="Q2484" s="1" t="s">
        <v>5514</v>
      </c>
      <c r="R2484" s="2"/>
      <c r="S2484" s="2"/>
      <c r="T2484" s="2"/>
      <c r="U2484" s="2"/>
    </row>
    <row x14ac:dyDescent="0.25" r="2485" customHeight="1" ht="17.25">
      <c r="A2485" s="7">
        <v>2484</v>
      </c>
      <c r="B2485" s="1" t="s">
        <v>7846</v>
      </c>
      <c r="C2485" s="5">
        <f>CONCATENATE("PD", TEXT(A2485, "1000000"))</f>
      </c>
      <c r="D2485" s="7">
        <v>76</v>
      </c>
      <c r="E2485" s="5">
        <f>XLOOKUP(G2485, item_category!C:C, item_category!B:B, "Not Found")</f>
      </c>
      <c r="F2485" s="1" t="s">
        <v>5632</v>
      </c>
      <c r="G2485" s="5">
        <f>XLOOKUP(I2485, drug!B:B, drug!A:A, "Not Found")</f>
      </c>
      <c r="H2485" s="1"/>
      <c r="I2485" s="7">
        <v>1</v>
      </c>
      <c r="J2485" s="5">
        <f>XLOOKUP(L2485, uom!C:C, uom!B:B, "Not Found")</f>
      </c>
      <c r="K2485" s="1" t="s">
        <v>5511</v>
      </c>
      <c r="L2485" s="5">
        <f>XLOOKUP(N2485, uom!C:C, uom!B:B, "Not Found")</f>
      </c>
      <c r="M2485" s="1" t="s">
        <v>5511</v>
      </c>
      <c r="N2485" s="8" t="s">
        <v>5512</v>
      </c>
      <c r="O2485" s="1" t="s">
        <v>5513</v>
      </c>
      <c r="P2485" s="5">
        <f>XLOOKUP(R2485, classification!C:C, classification!B:B, "Not Found")</f>
      </c>
      <c r="Q2485" s="1" t="s">
        <v>5514</v>
      </c>
      <c r="R2485" s="2"/>
      <c r="S2485" s="2"/>
      <c r="T2485" s="2"/>
      <c r="U2485" s="2"/>
    </row>
    <row x14ac:dyDescent="0.25" r="2486" customHeight="1" ht="17.25">
      <c r="A2486" s="7">
        <v>2485</v>
      </c>
      <c r="B2486" s="1" t="s">
        <v>7847</v>
      </c>
      <c r="C2486" s="5">
        <f>CONCATENATE("PD", TEXT(A2486, "1000000"))</f>
      </c>
      <c r="D2486" s="7">
        <v>76</v>
      </c>
      <c r="E2486" s="5">
        <f>XLOOKUP(G2486, item_category!C:C, item_category!B:B, "Not Found")</f>
      </c>
      <c r="F2486" s="1" t="s">
        <v>5632</v>
      </c>
      <c r="G2486" s="5">
        <f>XLOOKUP(I2486, drug!B:B, drug!A:A, "Not Found")</f>
      </c>
      <c r="H2486" s="1" t="s">
        <v>1336</v>
      </c>
      <c r="I2486" s="7">
        <v>1</v>
      </c>
      <c r="J2486" s="5">
        <f>XLOOKUP(L2486, uom!C:C, uom!B:B, "Not Found")</f>
      </c>
      <c r="K2486" s="1" t="s">
        <v>5511</v>
      </c>
      <c r="L2486" s="5">
        <f>XLOOKUP(N2486, uom!C:C, uom!B:B, "Not Found")</f>
      </c>
      <c r="M2486" s="1" t="s">
        <v>5511</v>
      </c>
      <c r="N2486" s="8" t="s">
        <v>5512</v>
      </c>
      <c r="O2486" s="1" t="s">
        <v>5513</v>
      </c>
      <c r="P2486" s="5">
        <f>XLOOKUP(R2486, classification!C:C, classification!B:B, "Not Found")</f>
      </c>
      <c r="Q2486" s="1" t="s">
        <v>5514</v>
      </c>
      <c r="R2486" s="2"/>
      <c r="S2486" s="2"/>
      <c r="T2486" s="2"/>
      <c r="U2486" s="2"/>
    </row>
    <row x14ac:dyDescent="0.25" r="2487" customHeight="1" ht="17.25">
      <c r="A2487" s="7">
        <v>2486</v>
      </c>
      <c r="B2487" s="1" t="s">
        <v>7848</v>
      </c>
      <c r="C2487" s="5">
        <f>CONCATENATE("PD", TEXT(A2487, "1000000"))</f>
      </c>
      <c r="D2487" s="7">
        <v>76</v>
      </c>
      <c r="E2487" s="5">
        <f>XLOOKUP(G2487, item_category!C:C, item_category!B:B, "Not Found")</f>
      </c>
      <c r="F2487" s="1" t="s">
        <v>5632</v>
      </c>
      <c r="G2487" s="5">
        <f>XLOOKUP(I2487, drug!B:B, drug!A:A, "Not Found")</f>
      </c>
      <c r="H2487" s="1"/>
      <c r="I2487" s="7">
        <v>1</v>
      </c>
      <c r="J2487" s="5">
        <f>XLOOKUP(L2487, uom!C:C, uom!B:B, "Not Found")</f>
      </c>
      <c r="K2487" s="1" t="s">
        <v>5511</v>
      </c>
      <c r="L2487" s="5">
        <f>XLOOKUP(N2487, uom!C:C, uom!B:B, "Not Found")</f>
      </c>
      <c r="M2487" s="1" t="s">
        <v>5511</v>
      </c>
      <c r="N2487" s="8" t="s">
        <v>5512</v>
      </c>
      <c r="O2487" s="1" t="s">
        <v>5513</v>
      </c>
      <c r="P2487" s="5">
        <f>XLOOKUP(R2487, classification!C:C, classification!B:B, "Not Found")</f>
      </c>
      <c r="Q2487" s="1" t="s">
        <v>5514</v>
      </c>
      <c r="R2487" s="2"/>
      <c r="S2487" s="2"/>
      <c r="T2487" s="2"/>
      <c r="U2487" s="2"/>
    </row>
    <row x14ac:dyDescent="0.25" r="2488" customHeight="1" ht="17.25">
      <c r="A2488" s="7">
        <v>2487</v>
      </c>
      <c r="B2488" s="1" t="s">
        <v>7849</v>
      </c>
      <c r="C2488" s="5">
        <f>CONCATENATE("PD", TEXT(A2488, "1000000"))</f>
      </c>
      <c r="D2488" s="7">
        <v>76</v>
      </c>
      <c r="E2488" s="5">
        <f>XLOOKUP(G2488, item_category!C:C, item_category!B:B, "Not Found")</f>
      </c>
      <c r="F2488" s="1" t="s">
        <v>5632</v>
      </c>
      <c r="G2488" s="5">
        <f>XLOOKUP(I2488, drug!B:B, drug!A:A, "Not Found")</f>
      </c>
      <c r="H2488" s="1"/>
      <c r="I2488" s="7">
        <v>1</v>
      </c>
      <c r="J2488" s="5">
        <f>XLOOKUP(L2488, uom!C:C, uom!B:B, "Not Found")</f>
      </c>
      <c r="K2488" s="1" t="s">
        <v>5511</v>
      </c>
      <c r="L2488" s="5">
        <f>XLOOKUP(N2488, uom!C:C, uom!B:B, "Not Found")</f>
      </c>
      <c r="M2488" s="1" t="s">
        <v>5511</v>
      </c>
      <c r="N2488" s="8" t="s">
        <v>5512</v>
      </c>
      <c r="O2488" s="1" t="s">
        <v>5513</v>
      </c>
      <c r="P2488" s="5">
        <f>XLOOKUP(R2488, classification!C:C, classification!B:B, "Not Found")</f>
      </c>
      <c r="Q2488" s="1" t="s">
        <v>5514</v>
      </c>
      <c r="R2488" s="2"/>
      <c r="S2488" s="2"/>
      <c r="T2488" s="2"/>
      <c r="U2488" s="2"/>
    </row>
    <row x14ac:dyDescent="0.25" r="2489" customHeight="1" ht="17.25">
      <c r="A2489" s="7">
        <v>2488</v>
      </c>
      <c r="B2489" s="1" t="s">
        <v>7850</v>
      </c>
      <c r="C2489" s="5">
        <f>CONCATENATE("PD", TEXT(A2489, "1000000"))</f>
      </c>
      <c r="D2489" s="7">
        <v>76</v>
      </c>
      <c r="E2489" s="5">
        <f>XLOOKUP(G2489, item_category!C:C, item_category!B:B, "Not Found")</f>
      </c>
      <c r="F2489" s="1" t="s">
        <v>5632</v>
      </c>
      <c r="G2489" s="5">
        <f>XLOOKUP(I2489, drug!B:B, drug!A:A, "Not Found")</f>
      </c>
      <c r="H2489" s="1"/>
      <c r="I2489" s="7">
        <v>1</v>
      </c>
      <c r="J2489" s="5">
        <f>XLOOKUP(L2489, uom!C:C, uom!B:B, "Not Found")</f>
      </c>
      <c r="K2489" s="1" t="s">
        <v>5511</v>
      </c>
      <c r="L2489" s="5">
        <f>XLOOKUP(N2489, uom!C:C, uom!B:B, "Not Found")</f>
      </c>
      <c r="M2489" s="1" t="s">
        <v>5511</v>
      </c>
      <c r="N2489" s="8" t="s">
        <v>5512</v>
      </c>
      <c r="O2489" s="1" t="s">
        <v>5513</v>
      </c>
      <c r="P2489" s="5">
        <f>XLOOKUP(R2489, classification!C:C, classification!B:B, "Not Found")</f>
      </c>
      <c r="Q2489" s="1" t="s">
        <v>5514</v>
      </c>
      <c r="R2489" s="2"/>
      <c r="S2489" s="2"/>
      <c r="T2489" s="2"/>
      <c r="U2489" s="2"/>
    </row>
    <row x14ac:dyDescent="0.25" r="2490" customHeight="1" ht="17.25">
      <c r="A2490" s="7">
        <v>2489</v>
      </c>
      <c r="B2490" s="1" t="s">
        <v>7851</v>
      </c>
      <c r="C2490" s="5">
        <f>CONCATENATE("PD", TEXT(A2490, "1000000"))</f>
      </c>
      <c r="D2490" s="7">
        <v>76</v>
      </c>
      <c r="E2490" s="5">
        <f>XLOOKUP(G2490, item_category!C:C, item_category!B:B, "Not Found")</f>
      </c>
      <c r="F2490" s="1" t="s">
        <v>5632</v>
      </c>
      <c r="G2490" s="5">
        <f>XLOOKUP(I2490, drug!B:B, drug!A:A, "Not Found")</f>
      </c>
      <c r="H2490" s="1" t="s">
        <v>1942</v>
      </c>
      <c r="I2490" s="7">
        <v>1</v>
      </c>
      <c r="J2490" s="5">
        <f>XLOOKUP(L2490, uom!C:C, uom!B:B, "Not Found")</f>
      </c>
      <c r="K2490" s="1" t="s">
        <v>5511</v>
      </c>
      <c r="L2490" s="5">
        <f>XLOOKUP(N2490, uom!C:C, uom!B:B, "Not Found")</f>
      </c>
      <c r="M2490" s="1" t="s">
        <v>5511</v>
      </c>
      <c r="N2490" s="8" t="s">
        <v>5512</v>
      </c>
      <c r="O2490" s="1" t="s">
        <v>5513</v>
      </c>
      <c r="P2490" s="5">
        <f>XLOOKUP(R2490, classification!C:C, classification!B:B, "Not Found")</f>
      </c>
      <c r="Q2490" s="1" t="s">
        <v>5514</v>
      </c>
      <c r="R2490" s="2"/>
      <c r="S2490" s="2"/>
      <c r="T2490" s="2"/>
      <c r="U2490" s="2"/>
    </row>
    <row x14ac:dyDescent="0.25" r="2491" customHeight="1" ht="17.25">
      <c r="A2491" s="7">
        <v>2490</v>
      </c>
      <c r="B2491" s="1" t="s">
        <v>7852</v>
      </c>
      <c r="C2491" s="5">
        <f>CONCATENATE("PD", TEXT(A2491, "1000000"))</f>
      </c>
      <c r="D2491" s="7">
        <v>76</v>
      </c>
      <c r="E2491" s="5">
        <f>XLOOKUP(G2491, item_category!C:C, item_category!B:B, "Not Found")</f>
      </c>
      <c r="F2491" s="1" t="s">
        <v>5632</v>
      </c>
      <c r="G2491" s="5">
        <f>XLOOKUP(I2491, drug!B:B, drug!A:A, "Not Found")</f>
      </c>
      <c r="H2491" s="1"/>
      <c r="I2491" s="7">
        <v>1</v>
      </c>
      <c r="J2491" s="5">
        <f>XLOOKUP(L2491, uom!C:C, uom!B:B, "Not Found")</f>
      </c>
      <c r="K2491" s="1" t="s">
        <v>5511</v>
      </c>
      <c r="L2491" s="5">
        <f>XLOOKUP(N2491, uom!C:C, uom!B:B, "Not Found")</f>
      </c>
      <c r="M2491" s="1" t="s">
        <v>5511</v>
      </c>
      <c r="N2491" s="8" t="s">
        <v>5512</v>
      </c>
      <c r="O2491" s="1" t="s">
        <v>5513</v>
      </c>
      <c r="P2491" s="5">
        <f>XLOOKUP(R2491, classification!C:C, classification!B:B, "Not Found")</f>
      </c>
      <c r="Q2491" s="1" t="s">
        <v>5514</v>
      </c>
      <c r="R2491" s="2"/>
      <c r="S2491" s="2"/>
      <c r="T2491" s="2"/>
      <c r="U2491" s="2"/>
    </row>
    <row x14ac:dyDescent="0.25" r="2492" customHeight="1" ht="17.25">
      <c r="A2492" s="7">
        <v>2491</v>
      </c>
      <c r="B2492" s="1" t="s">
        <v>7853</v>
      </c>
      <c r="C2492" s="5">
        <f>CONCATENATE("PD", TEXT(A2492, "1000000"))</f>
      </c>
      <c r="D2492" s="7">
        <v>76</v>
      </c>
      <c r="E2492" s="5">
        <f>XLOOKUP(G2492, item_category!C:C, item_category!B:B, "Not Found")</f>
      </c>
      <c r="F2492" s="1" t="s">
        <v>5632</v>
      </c>
      <c r="G2492" s="5">
        <f>XLOOKUP(I2492, drug!B:B, drug!A:A, "Not Found")</f>
      </c>
      <c r="H2492" s="1"/>
      <c r="I2492" s="7">
        <v>1</v>
      </c>
      <c r="J2492" s="5">
        <f>XLOOKUP(L2492, uom!C:C, uom!B:B, "Not Found")</f>
      </c>
      <c r="K2492" s="1" t="s">
        <v>5511</v>
      </c>
      <c r="L2492" s="5">
        <f>XLOOKUP(N2492, uom!C:C, uom!B:B, "Not Found")</f>
      </c>
      <c r="M2492" s="1" t="s">
        <v>5511</v>
      </c>
      <c r="N2492" s="8" t="s">
        <v>5512</v>
      </c>
      <c r="O2492" s="1" t="s">
        <v>5513</v>
      </c>
      <c r="P2492" s="5">
        <f>XLOOKUP(R2492, classification!C:C, classification!B:B, "Not Found")</f>
      </c>
      <c r="Q2492" s="1" t="s">
        <v>5514</v>
      </c>
      <c r="R2492" s="2"/>
      <c r="S2492" s="2"/>
      <c r="T2492" s="2"/>
      <c r="U2492" s="2"/>
    </row>
    <row x14ac:dyDescent="0.25" r="2493" customHeight="1" ht="17.25">
      <c r="A2493" s="7">
        <v>2492</v>
      </c>
      <c r="B2493" s="1" t="s">
        <v>3246</v>
      </c>
      <c r="C2493" s="5">
        <f>CONCATENATE("PD", TEXT(A2493, "1000000"))</f>
      </c>
      <c r="D2493" s="7">
        <v>76</v>
      </c>
      <c r="E2493" s="5">
        <f>XLOOKUP(G2493, item_category!C:C, item_category!B:B, "Not Found")</f>
      </c>
      <c r="F2493" s="1" t="s">
        <v>5632</v>
      </c>
      <c r="G2493" s="5">
        <f>XLOOKUP(I2493, drug!B:B, drug!A:A, "Not Found")</f>
      </c>
      <c r="H2493" s="1"/>
      <c r="I2493" s="7">
        <v>1</v>
      </c>
      <c r="J2493" s="5">
        <f>XLOOKUP(L2493, uom!C:C, uom!B:B, "Not Found")</f>
      </c>
      <c r="K2493" s="1" t="s">
        <v>5511</v>
      </c>
      <c r="L2493" s="5">
        <f>XLOOKUP(N2493, uom!C:C, uom!B:B, "Not Found")</f>
      </c>
      <c r="M2493" s="1" t="s">
        <v>5511</v>
      </c>
      <c r="N2493" s="8" t="s">
        <v>5512</v>
      </c>
      <c r="O2493" s="1" t="s">
        <v>5513</v>
      </c>
      <c r="P2493" s="5">
        <f>XLOOKUP(R2493, classification!C:C, classification!B:B, "Not Found")</f>
      </c>
      <c r="Q2493" s="1" t="s">
        <v>5514</v>
      </c>
      <c r="R2493" s="2"/>
      <c r="S2493" s="2"/>
      <c r="T2493" s="2"/>
      <c r="U2493" s="2"/>
    </row>
    <row x14ac:dyDescent="0.25" r="2494" customHeight="1" ht="17.25">
      <c r="A2494" s="7">
        <v>2493</v>
      </c>
      <c r="B2494" s="1" t="s">
        <v>7854</v>
      </c>
      <c r="C2494" s="5">
        <f>CONCATENATE("PD", TEXT(A2494, "1000000"))</f>
      </c>
      <c r="D2494" s="7">
        <v>76</v>
      </c>
      <c r="E2494" s="5">
        <f>XLOOKUP(G2494, item_category!C:C, item_category!B:B, "Not Found")</f>
      </c>
      <c r="F2494" s="1" t="s">
        <v>5632</v>
      </c>
      <c r="G2494" s="5">
        <f>XLOOKUP(I2494, drug!B:B, drug!A:A, "Not Found")</f>
      </c>
      <c r="H2494" s="1"/>
      <c r="I2494" s="7">
        <v>1</v>
      </c>
      <c r="J2494" s="5">
        <f>XLOOKUP(L2494, uom!C:C, uom!B:B, "Not Found")</f>
      </c>
      <c r="K2494" s="1" t="s">
        <v>5511</v>
      </c>
      <c r="L2494" s="5">
        <f>XLOOKUP(N2494, uom!C:C, uom!B:B, "Not Found")</f>
      </c>
      <c r="M2494" s="1" t="s">
        <v>5511</v>
      </c>
      <c r="N2494" s="8" t="s">
        <v>5512</v>
      </c>
      <c r="O2494" s="1" t="s">
        <v>5513</v>
      </c>
      <c r="P2494" s="5">
        <f>XLOOKUP(R2494, classification!C:C, classification!B:B, "Not Found")</f>
      </c>
      <c r="Q2494" s="1" t="s">
        <v>5514</v>
      </c>
      <c r="R2494" s="2"/>
      <c r="S2494" s="2"/>
      <c r="T2494" s="2"/>
      <c r="U2494" s="2"/>
    </row>
    <row x14ac:dyDescent="0.25" r="2495" customHeight="1" ht="17.25">
      <c r="A2495" s="7">
        <v>2494</v>
      </c>
      <c r="B2495" s="1" t="s">
        <v>3248</v>
      </c>
      <c r="C2495" s="5">
        <f>CONCATENATE("PD", TEXT(A2495, "1000000"))</f>
      </c>
      <c r="D2495" s="7">
        <v>76</v>
      </c>
      <c r="E2495" s="5">
        <f>XLOOKUP(G2495, item_category!C:C, item_category!B:B, "Not Found")</f>
      </c>
      <c r="F2495" s="1" t="s">
        <v>5632</v>
      </c>
      <c r="G2495" s="5">
        <f>XLOOKUP(I2495, drug!B:B, drug!A:A, "Not Found")</f>
      </c>
      <c r="H2495" s="1"/>
      <c r="I2495" s="7">
        <v>1</v>
      </c>
      <c r="J2495" s="5">
        <f>XLOOKUP(L2495, uom!C:C, uom!B:B, "Not Found")</f>
      </c>
      <c r="K2495" s="1" t="s">
        <v>5511</v>
      </c>
      <c r="L2495" s="5">
        <f>XLOOKUP(N2495, uom!C:C, uom!B:B, "Not Found")</f>
      </c>
      <c r="M2495" s="1" t="s">
        <v>5511</v>
      </c>
      <c r="N2495" s="8" t="s">
        <v>5512</v>
      </c>
      <c r="O2495" s="1" t="s">
        <v>5513</v>
      </c>
      <c r="P2495" s="5">
        <f>XLOOKUP(R2495, classification!C:C, classification!B:B, "Not Found")</f>
      </c>
      <c r="Q2495" s="1" t="s">
        <v>5514</v>
      </c>
      <c r="R2495" s="2"/>
      <c r="S2495" s="2"/>
      <c r="T2495" s="2"/>
      <c r="U2495" s="2"/>
    </row>
    <row x14ac:dyDescent="0.25" r="2496" customHeight="1" ht="17.25">
      <c r="A2496" s="7">
        <v>2495</v>
      </c>
      <c r="B2496" s="1" t="s">
        <v>7855</v>
      </c>
      <c r="C2496" s="5">
        <f>CONCATENATE("PD", TEXT(A2496, "1000000"))</f>
      </c>
      <c r="D2496" s="7">
        <v>76</v>
      </c>
      <c r="E2496" s="5">
        <f>XLOOKUP(G2496, item_category!C:C, item_category!B:B, "Not Found")</f>
      </c>
      <c r="F2496" s="1" t="s">
        <v>5632</v>
      </c>
      <c r="G2496" s="5">
        <f>XLOOKUP(I2496, drug!B:B, drug!A:A, "Not Found")</f>
      </c>
      <c r="H2496" s="1"/>
      <c r="I2496" s="7">
        <v>1</v>
      </c>
      <c r="J2496" s="5">
        <f>XLOOKUP(L2496, uom!C:C, uom!B:B, "Not Found")</f>
      </c>
      <c r="K2496" s="1" t="s">
        <v>5511</v>
      </c>
      <c r="L2496" s="5">
        <f>XLOOKUP(N2496, uom!C:C, uom!B:B, "Not Found")</f>
      </c>
      <c r="M2496" s="1" t="s">
        <v>5511</v>
      </c>
      <c r="N2496" s="8" t="s">
        <v>5512</v>
      </c>
      <c r="O2496" s="1" t="s">
        <v>5513</v>
      </c>
      <c r="P2496" s="5">
        <f>XLOOKUP(R2496, classification!C:C, classification!B:B, "Not Found")</f>
      </c>
      <c r="Q2496" s="1" t="s">
        <v>5514</v>
      </c>
      <c r="R2496" s="2"/>
      <c r="S2496" s="2"/>
      <c r="T2496" s="2"/>
      <c r="U2496" s="2"/>
    </row>
    <row x14ac:dyDescent="0.25" r="2497" customHeight="1" ht="17.25">
      <c r="A2497" s="7">
        <v>2496</v>
      </c>
      <c r="B2497" s="1" t="s">
        <v>7856</v>
      </c>
      <c r="C2497" s="5">
        <f>CONCATENATE("PD", TEXT(A2497, "1000000"))</f>
      </c>
      <c r="D2497" s="7">
        <v>76</v>
      </c>
      <c r="E2497" s="5">
        <f>XLOOKUP(G2497, item_category!C:C, item_category!B:B, "Not Found")</f>
      </c>
      <c r="F2497" s="1" t="s">
        <v>5632</v>
      </c>
      <c r="G2497" s="5">
        <f>XLOOKUP(I2497, drug!B:B, drug!A:A, "Not Found")</f>
      </c>
      <c r="H2497" s="1"/>
      <c r="I2497" s="7">
        <v>1</v>
      </c>
      <c r="J2497" s="5">
        <f>XLOOKUP(L2497, uom!C:C, uom!B:B, "Not Found")</f>
      </c>
      <c r="K2497" s="1" t="s">
        <v>5511</v>
      </c>
      <c r="L2497" s="5">
        <f>XLOOKUP(N2497, uom!C:C, uom!B:B, "Not Found")</f>
      </c>
      <c r="M2497" s="1" t="s">
        <v>5511</v>
      </c>
      <c r="N2497" s="8" t="s">
        <v>5512</v>
      </c>
      <c r="O2497" s="1" t="s">
        <v>5513</v>
      </c>
      <c r="P2497" s="5">
        <f>XLOOKUP(R2497, classification!C:C, classification!B:B, "Not Found")</f>
      </c>
      <c r="Q2497" s="1" t="s">
        <v>5514</v>
      </c>
      <c r="R2497" s="2"/>
      <c r="S2497" s="2"/>
      <c r="T2497" s="2"/>
      <c r="U2497" s="2"/>
    </row>
    <row x14ac:dyDescent="0.25" r="2498" customHeight="1" ht="17.25">
      <c r="A2498" s="7">
        <v>2497</v>
      </c>
      <c r="B2498" s="1" t="s">
        <v>7857</v>
      </c>
      <c r="C2498" s="5">
        <f>CONCATENATE("PD", TEXT(A2498, "1000000"))</f>
      </c>
      <c r="D2498" s="7">
        <v>76</v>
      </c>
      <c r="E2498" s="5">
        <f>XLOOKUP(G2498, item_category!C:C, item_category!B:B, "Not Found")</f>
      </c>
      <c r="F2498" s="1" t="s">
        <v>5632</v>
      </c>
      <c r="G2498" s="5">
        <f>XLOOKUP(I2498, drug!B:B, drug!A:A, "Not Found")</f>
      </c>
      <c r="H2498" s="1"/>
      <c r="I2498" s="7">
        <v>1</v>
      </c>
      <c r="J2498" s="5">
        <f>XLOOKUP(L2498, uom!C:C, uom!B:B, "Not Found")</f>
      </c>
      <c r="K2498" s="1" t="s">
        <v>5511</v>
      </c>
      <c r="L2498" s="5">
        <f>XLOOKUP(N2498, uom!C:C, uom!B:B, "Not Found")</f>
      </c>
      <c r="M2498" s="1" t="s">
        <v>5511</v>
      </c>
      <c r="N2498" s="8" t="s">
        <v>5512</v>
      </c>
      <c r="O2498" s="1" t="s">
        <v>5513</v>
      </c>
      <c r="P2498" s="5">
        <f>XLOOKUP(R2498, classification!C:C, classification!B:B, "Not Found")</f>
      </c>
      <c r="Q2498" s="1" t="s">
        <v>5514</v>
      </c>
      <c r="R2498" s="2"/>
      <c r="S2498" s="2"/>
      <c r="T2498" s="2"/>
      <c r="U2498" s="2"/>
    </row>
    <row x14ac:dyDescent="0.25" r="2499" customHeight="1" ht="17.25">
      <c r="A2499" s="7">
        <v>2498</v>
      </c>
      <c r="B2499" s="1" t="s">
        <v>7858</v>
      </c>
      <c r="C2499" s="5">
        <f>CONCATENATE("PD", TEXT(A2499, "1000000"))</f>
      </c>
      <c r="D2499" s="7">
        <v>76</v>
      </c>
      <c r="E2499" s="5">
        <f>XLOOKUP(G2499, item_category!C:C, item_category!B:B, "Not Found")</f>
      </c>
      <c r="F2499" s="1" t="s">
        <v>5632</v>
      </c>
      <c r="G2499" s="5">
        <f>XLOOKUP(I2499, drug!B:B, drug!A:A, "Not Found")</f>
      </c>
      <c r="H2499" s="1"/>
      <c r="I2499" s="7">
        <v>1</v>
      </c>
      <c r="J2499" s="5">
        <f>XLOOKUP(L2499, uom!C:C, uom!B:B, "Not Found")</f>
      </c>
      <c r="K2499" s="1" t="s">
        <v>5511</v>
      </c>
      <c r="L2499" s="5">
        <f>XLOOKUP(N2499, uom!C:C, uom!B:B, "Not Found")</f>
      </c>
      <c r="M2499" s="1" t="s">
        <v>5511</v>
      </c>
      <c r="N2499" s="8" t="s">
        <v>5512</v>
      </c>
      <c r="O2499" s="1" t="s">
        <v>5513</v>
      </c>
      <c r="P2499" s="5">
        <f>XLOOKUP(R2499, classification!C:C, classification!B:B, "Not Found")</f>
      </c>
      <c r="Q2499" s="1" t="s">
        <v>5514</v>
      </c>
      <c r="R2499" s="2"/>
      <c r="S2499" s="2"/>
      <c r="T2499" s="2"/>
      <c r="U2499" s="2"/>
    </row>
    <row x14ac:dyDescent="0.25" r="2500" customHeight="1" ht="17.25">
      <c r="A2500" s="7">
        <v>2499</v>
      </c>
      <c r="B2500" s="1" t="s">
        <v>7859</v>
      </c>
      <c r="C2500" s="5">
        <f>CONCATENATE("PD", TEXT(A2500, "1000000"))</f>
      </c>
      <c r="D2500" s="7">
        <v>76</v>
      </c>
      <c r="E2500" s="5">
        <f>XLOOKUP(G2500, item_category!C:C, item_category!B:B, "Not Found")</f>
      </c>
      <c r="F2500" s="1" t="s">
        <v>5632</v>
      </c>
      <c r="G2500" s="5">
        <f>XLOOKUP(I2500, drug!B:B, drug!A:A, "Not Found")</f>
      </c>
      <c r="H2500" s="1"/>
      <c r="I2500" s="7">
        <v>1</v>
      </c>
      <c r="J2500" s="5">
        <f>XLOOKUP(L2500, uom!C:C, uom!B:B, "Not Found")</f>
      </c>
      <c r="K2500" s="1" t="s">
        <v>5511</v>
      </c>
      <c r="L2500" s="5">
        <f>XLOOKUP(N2500, uom!C:C, uom!B:B, "Not Found")</f>
      </c>
      <c r="M2500" s="1" t="s">
        <v>5511</v>
      </c>
      <c r="N2500" s="8" t="s">
        <v>5512</v>
      </c>
      <c r="O2500" s="1" t="s">
        <v>5513</v>
      </c>
      <c r="P2500" s="5">
        <f>XLOOKUP(R2500, classification!C:C, classification!B:B, "Not Found")</f>
      </c>
      <c r="Q2500" s="1" t="s">
        <v>5514</v>
      </c>
      <c r="R2500" s="2"/>
      <c r="S2500" s="2"/>
      <c r="T2500" s="2"/>
      <c r="U2500" s="2"/>
    </row>
    <row x14ac:dyDescent="0.25" r="2501" customHeight="1" ht="17.25">
      <c r="A2501" s="7">
        <v>2500</v>
      </c>
      <c r="B2501" s="1" t="s">
        <v>7860</v>
      </c>
      <c r="C2501" s="5">
        <f>CONCATENATE("PD", TEXT(A2501, "1000000"))</f>
      </c>
      <c r="D2501" s="7">
        <v>76</v>
      </c>
      <c r="E2501" s="5">
        <f>XLOOKUP(G2501, item_category!C:C, item_category!B:B, "Not Found")</f>
      </c>
      <c r="F2501" s="1" t="s">
        <v>5632</v>
      </c>
      <c r="G2501" s="5">
        <f>XLOOKUP(I2501, drug!B:B, drug!A:A, "Not Found")</f>
      </c>
      <c r="H2501" s="1"/>
      <c r="I2501" s="7">
        <v>1</v>
      </c>
      <c r="J2501" s="5">
        <f>XLOOKUP(L2501, uom!C:C, uom!B:B, "Not Found")</f>
      </c>
      <c r="K2501" s="1" t="s">
        <v>5511</v>
      </c>
      <c r="L2501" s="5">
        <f>XLOOKUP(N2501, uom!C:C, uom!B:B, "Not Found")</f>
      </c>
      <c r="M2501" s="1" t="s">
        <v>5511</v>
      </c>
      <c r="N2501" s="8" t="s">
        <v>5512</v>
      </c>
      <c r="O2501" s="1" t="s">
        <v>5513</v>
      </c>
      <c r="P2501" s="5">
        <f>XLOOKUP(R2501, classification!C:C, classification!B:B, "Not Found")</f>
      </c>
      <c r="Q2501" s="1" t="s">
        <v>5514</v>
      </c>
      <c r="R2501" s="2"/>
      <c r="S2501" s="2"/>
      <c r="T2501" s="2"/>
      <c r="U2501" s="2"/>
    </row>
    <row x14ac:dyDescent="0.25" r="2502" customHeight="1" ht="17.25">
      <c r="A2502" s="7">
        <v>2501</v>
      </c>
      <c r="B2502" s="1" t="s">
        <v>7861</v>
      </c>
      <c r="C2502" s="5">
        <f>CONCATENATE("PD", TEXT(A2502, "1000000"))</f>
      </c>
      <c r="D2502" s="7">
        <v>76</v>
      </c>
      <c r="E2502" s="5">
        <f>XLOOKUP(G2502, item_category!C:C, item_category!B:B, "Not Found")</f>
      </c>
      <c r="F2502" s="1" t="s">
        <v>5632</v>
      </c>
      <c r="G2502" s="5">
        <f>XLOOKUP(I2502, drug!B:B, drug!A:A, "Not Found")</f>
      </c>
      <c r="H2502" s="1"/>
      <c r="I2502" s="7">
        <v>1</v>
      </c>
      <c r="J2502" s="5">
        <f>XLOOKUP(L2502, uom!C:C, uom!B:B, "Not Found")</f>
      </c>
      <c r="K2502" s="1" t="s">
        <v>5511</v>
      </c>
      <c r="L2502" s="5">
        <f>XLOOKUP(N2502, uom!C:C, uom!B:B, "Not Found")</f>
      </c>
      <c r="M2502" s="1" t="s">
        <v>5511</v>
      </c>
      <c r="N2502" s="8" t="s">
        <v>5512</v>
      </c>
      <c r="O2502" s="1" t="s">
        <v>5513</v>
      </c>
      <c r="P2502" s="5">
        <f>XLOOKUP(R2502, classification!C:C, classification!B:B, "Not Found")</f>
      </c>
      <c r="Q2502" s="1" t="s">
        <v>5514</v>
      </c>
      <c r="R2502" s="2"/>
      <c r="S2502" s="2"/>
      <c r="T2502" s="2"/>
      <c r="U2502" s="2"/>
    </row>
    <row x14ac:dyDescent="0.25" r="2503" customHeight="1" ht="17.25">
      <c r="A2503" s="7">
        <v>2502</v>
      </c>
      <c r="B2503" s="1" t="s">
        <v>7862</v>
      </c>
      <c r="C2503" s="5">
        <f>CONCATENATE("PD", TEXT(A2503, "1000000"))</f>
      </c>
      <c r="D2503" s="7">
        <v>76</v>
      </c>
      <c r="E2503" s="5">
        <f>XLOOKUP(G2503, item_category!C:C, item_category!B:B, "Not Found")</f>
      </c>
      <c r="F2503" s="1" t="s">
        <v>5632</v>
      </c>
      <c r="G2503" s="5">
        <f>XLOOKUP(I2503, drug!B:B, drug!A:A, "Not Found")</f>
      </c>
      <c r="H2503" s="1"/>
      <c r="I2503" s="7">
        <v>1</v>
      </c>
      <c r="J2503" s="5">
        <f>XLOOKUP(L2503, uom!C:C, uom!B:B, "Not Found")</f>
      </c>
      <c r="K2503" s="1" t="s">
        <v>5511</v>
      </c>
      <c r="L2503" s="5">
        <f>XLOOKUP(N2503, uom!C:C, uom!B:B, "Not Found")</f>
      </c>
      <c r="M2503" s="1" t="s">
        <v>5511</v>
      </c>
      <c r="N2503" s="8" t="s">
        <v>5512</v>
      </c>
      <c r="O2503" s="1" t="s">
        <v>5513</v>
      </c>
      <c r="P2503" s="5">
        <f>XLOOKUP(R2503, classification!C:C, classification!B:B, "Not Found")</f>
      </c>
      <c r="Q2503" s="1" t="s">
        <v>5514</v>
      </c>
      <c r="R2503" s="2"/>
      <c r="S2503" s="2"/>
      <c r="T2503" s="2"/>
      <c r="U2503" s="2"/>
    </row>
    <row x14ac:dyDescent="0.25" r="2504" customHeight="1" ht="17.25">
      <c r="A2504" s="7">
        <v>2503</v>
      </c>
      <c r="B2504" s="1" t="s">
        <v>7863</v>
      </c>
      <c r="C2504" s="5">
        <f>CONCATENATE("PD", TEXT(A2504, "1000000"))</f>
      </c>
      <c r="D2504" s="7">
        <v>76</v>
      </c>
      <c r="E2504" s="5">
        <f>XLOOKUP(G2504, item_category!C:C, item_category!B:B, "Not Found")</f>
      </c>
      <c r="F2504" s="1" t="s">
        <v>5632</v>
      </c>
      <c r="G2504" s="5">
        <f>XLOOKUP(I2504, drug!B:B, drug!A:A, "Not Found")</f>
      </c>
      <c r="H2504" s="1"/>
      <c r="I2504" s="7">
        <v>1</v>
      </c>
      <c r="J2504" s="5">
        <f>XLOOKUP(L2504, uom!C:C, uom!B:B, "Not Found")</f>
      </c>
      <c r="K2504" s="1" t="s">
        <v>5511</v>
      </c>
      <c r="L2504" s="5">
        <f>XLOOKUP(N2504, uom!C:C, uom!B:B, "Not Found")</f>
      </c>
      <c r="M2504" s="1" t="s">
        <v>5511</v>
      </c>
      <c r="N2504" s="8" t="s">
        <v>5512</v>
      </c>
      <c r="O2504" s="1" t="s">
        <v>5513</v>
      </c>
      <c r="P2504" s="5">
        <f>XLOOKUP(R2504, classification!C:C, classification!B:B, "Not Found")</f>
      </c>
      <c r="Q2504" s="1" t="s">
        <v>5514</v>
      </c>
      <c r="R2504" s="2"/>
      <c r="S2504" s="2"/>
      <c r="T2504" s="2"/>
      <c r="U2504" s="2"/>
    </row>
    <row x14ac:dyDescent="0.25" r="2505" customHeight="1" ht="17.25">
      <c r="A2505" s="7">
        <v>2504</v>
      </c>
      <c r="B2505" s="1" t="s">
        <v>7864</v>
      </c>
      <c r="C2505" s="5">
        <f>CONCATENATE("PD", TEXT(A2505, "1000000"))</f>
      </c>
      <c r="D2505" s="7">
        <v>76</v>
      </c>
      <c r="E2505" s="5">
        <f>XLOOKUP(G2505, item_category!C:C, item_category!B:B, "Not Found")</f>
      </c>
      <c r="F2505" s="1" t="s">
        <v>5632</v>
      </c>
      <c r="G2505" s="5">
        <f>XLOOKUP(I2505, drug!B:B, drug!A:A, "Not Found")</f>
      </c>
      <c r="H2505" s="1"/>
      <c r="I2505" s="7">
        <v>1</v>
      </c>
      <c r="J2505" s="5">
        <f>XLOOKUP(L2505, uom!C:C, uom!B:B, "Not Found")</f>
      </c>
      <c r="K2505" s="1" t="s">
        <v>5511</v>
      </c>
      <c r="L2505" s="5">
        <f>XLOOKUP(N2505, uom!C:C, uom!B:B, "Not Found")</f>
      </c>
      <c r="M2505" s="1" t="s">
        <v>5511</v>
      </c>
      <c r="N2505" s="8" t="s">
        <v>5512</v>
      </c>
      <c r="O2505" s="1" t="s">
        <v>5513</v>
      </c>
      <c r="P2505" s="5">
        <f>XLOOKUP(R2505, classification!C:C, classification!B:B, "Not Found")</f>
      </c>
      <c r="Q2505" s="1" t="s">
        <v>5514</v>
      </c>
      <c r="R2505" s="2"/>
      <c r="S2505" s="2"/>
      <c r="T2505" s="2"/>
      <c r="U2505" s="2"/>
    </row>
    <row x14ac:dyDescent="0.25" r="2506" customHeight="1" ht="17.25">
      <c r="A2506" s="7">
        <v>2505</v>
      </c>
      <c r="B2506" s="1" t="s">
        <v>7865</v>
      </c>
      <c r="C2506" s="5">
        <f>CONCATENATE("PD", TEXT(A2506, "1000000"))</f>
      </c>
      <c r="D2506" s="7">
        <v>76</v>
      </c>
      <c r="E2506" s="5">
        <f>XLOOKUP(G2506, item_category!C:C, item_category!B:B, "Not Found")</f>
      </c>
      <c r="F2506" s="1" t="s">
        <v>5632</v>
      </c>
      <c r="G2506" s="5">
        <f>XLOOKUP(I2506, drug!B:B, drug!A:A, "Not Found")</f>
      </c>
      <c r="H2506" s="1"/>
      <c r="I2506" s="7">
        <v>1</v>
      </c>
      <c r="J2506" s="5">
        <f>XLOOKUP(L2506, uom!C:C, uom!B:B, "Not Found")</f>
      </c>
      <c r="K2506" s="1" t="s">
        <v>5511</v>
      </c>
      <c r="L2506" s="5">
        <f>XLOOKUP(N2506, uom!C:C, uom!B:B, "Not Found")</f>
      </c>
      <c r="M2506" s="1" t="s">
        <v>5511</v>
      </c>
      <c r="N2506" s="8" t="s">
        <v>5512</v>
      </c>
      <c r="O2506" s="1" t="s">
        <v>5513</v>
      </c>
      <c r="P2506" s="5">
        <f>XLOOKUP(R2506, classification!C:C, classification!B:B, "Not Found")</f>
      </c>
      <c r="Q2506" s="1" t="s">
        <v>5514</v>
      </c>
      <c r="R2506" s="2"/>
      <c r="S2506" s="2"/>
      <c r="T2506" s="2"/>
      <c r="U2506" s="2"/>
    </row>
    <row x14ac:dyDescent="0.25" r="2507" customHeight="1" ht="17.25">
      <c r="A2507" s="7">
        <v>2506</v>
      </c>
      <c r="B2507" s="1" t="s">
        <v>7866</v>
      </c>
      <c r="C2507" s="5">
        <f>CONCATENATE("PD", TEXT(A2507, "1000000"))</f>
      </c>
      <c r="D2507" s="7">
        <v>76</v>
      </c>
      <c r="E2507" s="5">
        <f>XLOOKUP(G2507, item_category!C:C, item_category!B:B, "Not Found")</f>
      </c>
      <c r="F2507" s="1" t="s">
        <v>5632</v>
      </c>
      <c r="G2507" s="5">
        <f>XLOOKUP(I2507, drug!B:B, drug!A:A, "Not Found")</f>
      </c>
      <c r="H2507" s="1"/>
      <c r="I2507" s="7">
        <v>1</v>
      </c>
      <c r="J2507" s="5">
        <f>XLOOKUP(L2507, uom!C:C, uom!B:B, "Not Found")</f>
      </c>
      <c r="K2507" s="1" t="s">
        <v>5511</v>
      </c>
      <c r="L2507" s="5">
        <f>XLOOKUP(N2507, uom!C:C, uom!B:B, "Not Found")</f>
      </c>
      <c r="M2507" s="1" t="s">
        <v>5511</v>
      </c>
      <c r="N2507" s="8" t="s">
        <v>5512</v>
      </c>
      <c r="O2507" s="1" t="s">
        <v>5513</v>
      </c>
      <c r="P2507" s="5">
        <f>XLOOKUP(R2507, classification!C:C, classification!B:B, "Not Found")</f>
      </c>
      <c r="Q2507" s="1" t="s">
        <v>5514</v>
      </c>
      <c r="R2507" s="2"/>
      <c r="S2507" s="2"/>
      <c r="T2507" s="2"/>
      <c r="U2507" s="2"/>
    </row>
    <row x14ac:dyDescent="0.25" r="2508" customHeight="1" ht="17.25">
      <c r="A2508" s="7">
        <v>2507</v>
      </c>
      <c r="B2508" s="1" t="s">
        <v>7867</v>
      </c>
      <c r="C2508" s="5">
        <f>CONCATENATE("PD", TEXT(A2508, "1000000"))</f>
      </c>
      <c r="D2508" s="7">
        <v>76</v>
      </c>
      <c r="E2508" s="5">
        <f>XLOOKUP(G2508, item_category!C:C, item_category!B:B, "Not Found")</f>
      </c>
      <c r="F2508" s="1" t="s">
        <v>5632</v>
      </c>
      <c r="G2508" s="5">
        <f>XLOOKUP(I2508, drug!B:B, drug!A:A, "Not Found")</f>
      </c>
      <c r="H2508" s="1"/>
      <c r="I2508" s="7">
        <v>1</v>
      </c>
      <c r="J2508" s="5">
        <f>XLOOKUP(L2508, uom!C:C, uom!B:B, "Not Found")</f>
      </c>
      <c r="K2508" s="1" t="s">
        <v>5511</v>
      </c>
      <c r="L2508" s="5">
        <f>XLOOKUP(N2508, uom!C:C, uom!B:B, "Not Found")</f>
      </c>
      <c r="M2508" s="1" t="s">
        <v>5511</v>
      </c>
      <c r="N2508" s="8" t="s">
        <v>5512</v>
      </c>
      <c r="O2508" s="1" t="s">
        <v>5513</v>
      </c>
      <c r="P2508" s="5">
        <f>XLOOKUP(R2508, classification!C:C, classification!B:B, "Not Found")</f>
      </c>
      <c r="Q2508" s="1" t="s">
        <v>5514</v>
      </c>
      <c r="R2508" s="2"/>
      <c r="S2508" s="2"/>
      <c r="T2508" s="2"/>
      <c r="U2508" s="2"/>
    </row>
    <row x14ac:dyDescent="0.25" r="2509" customHeight="1" ht="17.25">
      <c r="A2509" s="7">
        <v>2508</v>
      </c>
      <c r="B2509" s="1" t="s">
        <v>7868</v>
      </c>
      <c r="C2509" s="5">
        <f>CONCATENATE("PD", TEXT(A2509, "1000000"))</f>
      </c>
      <c r="D2509" s="7">
        <v>76</v>
      </c>
      <c r="E2509" s="5">
        <f>XLOOKUP(G2509, item_category!C:C, item_category!B:B, "Not Found")</f>
      </c>
      <c r="F2509" s="1" t="s">
        <v>5632</v>
      </c>
      <c r="G2509" s="5">
        <f>XLOOKUP(I2509, drug!B:B, drug!A:A, "Not Found")</f>
      </c>
      <c r="H2509" s="1"/>
      <c r="I2509" s="7">
        <v>1</v>
      </c>
      <c r="J2509" s="5">
        <f>XLOOKUP(L2509, uom!C:C, uom!B:B, "Not Found")</f>
      </c>
      <c r="K2509" s="1" t="s">
        <v>5511</v>
      </c>
      <c r="L2509" s="5">
        <f>XLOOKUP(N2509, uom!C:C, uom!B:B, "Not Found")</f>
      </c>
      <c r="M2509" s="1" t="s">
        <v>5511</v>
      </c>
      <c r="N2509" s="8" t="s">
        <v>5512</v>
      </c>
      <c r="O2509" s="1" t="s">
        <v>5513</v>
      </c>
      <c r="P2509" s="5">
        <f>XLOOKUP(R2509, classification!C:C, classification!B:B, "Not Found")</f>
      </c>
      <c r="Q2509" s="1" t="s">
        <v>5514</v>
      </c>
      <c r="R2509" s="2"/>
      <c r="S2509" s="2"/>
      <c r="T2509" s="2"/>
      <c r="U2509" s="2"/>
    </row>
    <row x14ac:dyDescent="0.25" r="2510" customHeight="1" ht="17.25">
      <c r="A2510" s="7">
        <v>2509</v>
      </c>
      <c r="B2510" s="1" t="s">
        <v>7869</v>
      </c>
      <c r="C2510" s="5">
        <f>CONCATENATE("PD", TEXT(A2510, "1000000"))</f>
      </c>
      <c r="D2510" s="7">
        <v>76</v>
      </c>
      <c r="E2510" s="5">
        <f>XLOOKUP(G2510, item_category!C:C, item_category!B:B, "Not Found")</f>
      </c>
      <c r="F2510" s="1" t="s">
        <v>5632</v>
      </c>
      <c r="G2510" s="5">
        <f>XLOOKUP(I2510, drug!B:B, drug!A:A, "Not Found")</f>
      </c>
      <c r="H2510" s="1" t="s">
        <v>1942</v>
      </c>
      <c r="I2510" s="7">
        <v>1</v>
      </c>
      <c r="J2510" s="5">
        <f>XLOOKUP(L2510, uom!C:C, uom!B:B, "Not Found")</f>
      </c>
      <c r="K2510" s="1" t="s">
        <v>5511</v>
      </c>
      <c r="L2510" s="5">
        <f>XLOOKUP(N2510, uom!C:C, uom!B:B, "Not Found")</f>
      </c>
      <c r="M2510" s="1" t="s">
        <v>5511</v>
      </c>
      <c r="N2510" s="8" t="s">
        <v>5512</v>
      </c>
      <c r="O2510" s="1" t="s">
        <v>5513</v>
      </c>
      <c r="P2510" s="5">
        <f>XLOOKUP(R2510, classification!C:C, classification!B:B, "Not Found")</f>
      </c>
      <c r="Q2510" s="1" t="s">
        <v>5514</v>
      </c>
      <c r="R2510" s="2"/>
      <c r="S2510" s="2"/>
      <c r="T2510" s="2"/>
      <c r="U2510" s="2"/>
    </row>
    <row x14ac:dyDescent="0.25" r="2511" customHeight="1" ht="17.25">
      <c r="A2511" s="7">
        <v>2510</v>
      </c>
      <c r="B2511" s="1" t="s">
        <v>7870</v>
      </c>
      <c r="C2511" s="5">
        <f>CONCATENATE("PD", TEXT(A2511, "1000000"))</f>
      </c>
      <c r="D2511" s="7">
        <v>76</v>
      </c>
      <c r="E2511" s="5">
        <f>XLOOKUP(G2511, item_category!C:C, item_category!B:B, "Not Found")</f>
      </c>
      <c r="F2511" s="1" t="s">
        <v>5632</v>
      </c>
      <c r="G2511" s="5">
        <f>XLOOKUP(I2511, drug!B:B, drug!A:A, "Not Found")</f>
      </c>
      <c r="H2511" s="1"/>
      <c r="I2511" s="7">
        <v>1</v>
      </c>
      <c r="J2511" s="5">
        <f>XLOOKUP(L2511, uom!C:C, uom!B:B, "Not Found")</f>
      </c>
      <c r="K2511" s="1" t="s">
        <v>5511</v>
      </c>
      <c r="L2511" s="5">
        <f>XLOOKUP(N2511, uom!C:C, uom!B:B, "Not Found")</f>
      </c>
      <c r="M2511" s="1" t="s">
        <v>5511</v>
      </c>
      <c r="N2511" s="8" t="s">
        <v>5512</v>
      </c>
      <c r="O2511" s="1" t="s">
        <v>5513</v>
      </c>
      <c r="P2511" s="5">
        <f>XLOOKUP(R2511, classification!C:C, classification!B:B, "Not Found")</f>
      </c>
      <c r="Q2511" s="1" t="s">
        <v>5514</v>
      </c>
      <c r="R2511" s="2"/>
      <c r="S2511" s="2"/>
      <c r="T2511" s="2"/>
      <c r="U2511" s="2"/>
    </row>
    <row x14ac:dyDescent="0.25" r="2512" customHeight="1" ht="17.25">
      <c r="A2512" s="7">
        <v>2511</v>
      </c>
      <c r="B2512" s="1" t="s">
        <v>7871</v>
      </c>
      <c r="C2512" s="5">
        <f>CONCATENATE("PD", TEXT(A2512, "1000000"))</f>
      </c>
      <c r="D2512" s="7">
        <v>76</v>
      </c>
      <c r="E2512" s="5">
        <f>XLOOKUP(G2512, item_category!C:C, item_category!B:B, "Not Found")</f>
      </c>
      <c r="F2512" s="1" t="s">
        <v>5632</v>
      </c>
      <c r="G2512" s="5">
        <f>XLOOKUP(I2512, drug!B:B, drug!A:A, "Not Found")</f>
      </c>
      <c r="H2512" s="1"/>
      <c r="I2512" s="7">
        <v>1</v>
      </c>
      <c r="J2512" s="5">
        <f>XLOOKUP(L2512, uom!C:C, uom!B:B, "Not Found")</f>
      </c>
      <c r="K2512" s="1" t="s">
        <v>5511</v>
      </c>
      <c r="L2512" s="5">
        <f>XLOOKUP(N2512, uom!C:C, uom!B:B, "Not Found")</f>
      </c>
      <c r="M2512" s="1" t="s">
        <v>5511</v>
      </c>
      <c r="N2512" s="8" t="s">
        <v>5512</v>
      </c>
      <c r="O2512" s="1" t="s">
        <v>5513</v>
      </c>
      <c r="P2512" s="5">
        <f>XLOOKUP(R2512, classification!C:C, classification!B:B, "Not Found")</f>
      </c>
      <c r="Q2512" s="1" t="s">
        <v>5514</v>
      </c>
      <c r="R2512" s="2"/>
      <c r="S2512" s="2"/>
      <c r="T2512" s="2"/>
      <c r="U2512" s="2"/>
    </row>
    <row x14ac:dyDescent="0.25" r="2513" customHeight="1" ht="17.25">
      <c r="A2513" s="7">
        <v>2512</v>
      </c>
      <c r="B2513" s="1" t="s">
        <v>7872</v>
      </c>
      <c r="C2513" s="5">
        <f>CONCATENATE("PD", TEXT(A2513, "1000000"))</f>
      </c>
      <c r="D2513" s="7">
        <v>76</v>
      </c>
      <c r="E2513" s="5">
        <f>XLOOKUP(G2513, item_category!C:C, item_category!B:B, "Not Found")</f>
      </c>
      <c r="F2513" s="1" t="s">
        <v>5632</v>
      </c>
      <c r="G2513" s="5">
        <f>XLOOKUP(I2513, drug!B:B, drug!A:A, "Not Found")</f>
      </c>
      <c r="H2513" s="1"/>
      <c r="I2513" s="7">
        <v>1</v>
      </c>
      <c r="J2513" s="5">
        <f>XLOOKUP(L2513, uom!C:C, uom!B:B, "Not Found")</f>
      </c>
      <c r="K2513" s="1" t="s">
        <v>5511</v>
      </c>
      <c r="L2513" s="5">
        <f>XLOOKUP(N2513, uom!C:C, uom!B:B, "Not Found")</f>
      </c>
      <c r="M2513" s="1" t="s">
        <v>5511</v>
      </c>
      <c r="N2513" s="8" t="s">
        <v>5512</v>
      </c>
      <c r="O2513" s="1" t="s">
        <v>5513</v>
      </c>
      <c r="P2513" s="5">
        <f>XLOOKUP(R2513, classification!C:C, classification!B:B, "Not Found")</f>
      </c>
      <c r="Q2513" s="1" t="s">
        <v>5514</v>
      </c>
      <c r="R2513" s="2"/>
      <c r="S2513" s="2"/>
      <c r="T2513" s="2"/>
      <c r="U2513" s="2"/>
    </row>
    <row x14ac:dyDescent="0.25" r="2514" customHeight="1" ht="17.25">
      <c r="A2514" s="7">
        <v>2513</v>
      </c>
      <c r="B2514" s="1" t="s">
        <v>7873</v>
      </c>
      <c r="C2514" s="5">
        <f>CONCATENATE("PD", TEXT(A2514, "1000000"))</f>
      </c>
      <c r="D2514" s="7">
        <v>76</v>
      </c>
      <c r="E2514" s="5">
        <f>XLOOKUP(G2514, item_category!C:C, item_category!B:B, "Not Found")</f>
      </c>
      <c r="F2514" s="1" t="s">
        <v>5632</v>
      </c>
      <c r="G2514" s="5">
        <f>XLOOKUP(I2514, drug!B:B, drug!A:A, "Not Found")</f>
      </c>
      <c r="H2514" s="1"/>
      <c r="I2514" s="7">
        <v>1</v>
      </c>
      <c r="J2514" s="5">
        <f>XLOOKUP(L2514, uom!C:C, uom!B:B, "Not Found")</f>
      </c>
      <c r="K2514" s="1" t="s">
        <v>5511</v>
      </c>
      <c r="L2514" s="5">
        <f>XLOOKUP(N2514, uom!C:C, uom!B:B, "Not Found")</f>
      </c>
      <c r="M2514" s="1" t="s">
        <v>5511</v>
      </c>
      <c r="N2514" s="8" t="s">
        <v>5512</v>
      </c>
      <c r="O2514" s="1" t="s">
        <v>5513</v>
      </c>
      <c r="P2514" s="5">
        <f>XLOOKUP(R2514, classification!C:C, classification!B:B, "Not Found")</f>
      </c>
      <c r="Q2514" s="1" t="s">
        <v>5514</v>
      </c>
      <c r="R2514" s="2"/>
      <c r="S2514" s="2"/>
      <c r="T2514" s="2"/>
      <c r="U2514" s="2"/>
    </row>
    <row x14ac:dyDescent="0.25" r="2515" customHeight="1" ht="17.25">
      <c r="A2515" s="7">
        <v>2514</v>
      </c>
      <c r="B2515" s="1" t="s">
        <v>7874</v>
      </c>
      <c r="C2515" s="5">
        <f>CONCATENATE("PD", TEXT(A2515, "1000000"))</f>
      </c>
      <c r="D2515" s="7">
        <v>76</v>
      </c>
      <c r="E2515" s="5">
        <f>XLOOKUP(G2515, item_category!C:C, item_category!B:B, "Not Found")</f>
      </c>
      <c r="F2515" s="1" t="s">
        <v>5632</v>
      </c>
      <c r="G2515" s="5">
        <f>XLOOKUP(I2515, drug!B:B, drug!A:A, "Not Found")</f>
      </c>
      <c r="H2515" s="1"/>
      <c r="I2515" s="7">
        <v>1</v>
      </c>
      <c r="J2515" s="5">
        <f>XLOOKUP(L2515, uom!C:C, uom!B:B, "Not Found")</f>
      </c>
      <c r="K2515" s="1" t="s">
        <v>5511</v>
      </c>
      <c r="L2515" s="5">
        <f>XLOOKUP(N2515, uom!C:C, uom!B:B, "Not Found")</f>
      </c>
      <c r="M2515" s="1" t="s">
        <v>5511</v>
      </c>
      <c r="N2515" s="8" t="s">
        <v>5512</v>
      </c>
      <c r="O2515" s="1" t="s">
        <v>5513</v>
      </c>
      <c r="P2515" s="5">
        <f>XLOOKUP(R2515, classification!C:C, classification!B:B, "Not Found")</f>
      </c>
      <c r="Q2515" s="1" t="s">
        <v>5514</v>
      </c>
      <c r="R2515" s="2"/>
      <c r="S2515" s="2"/>
      <c r="T2515" s="2"/>
      <c r="U2515" s="2"/>
    </row>
    <row x14ac:dyDescent="0.25" r="2516" customHeight="1" ht="17.25">
      <c r="A2516" s="7">
        <v>2515</v>
      </c>
      <c r="B2516" s="1" t="s">
        <v>7875</v>
      </c>
      <c r="C2516" s="5">
        <f>CONCATENATE("PD", TEXT(A2516, "1000000"))</f>
      </c>
      <c r="D2516" s="7">
        <v>76</v>
      </c>
      <c r="E2516" s="5">
        <f>XLOOKUP(G2516, item_category!C:C, item_category!B:B, "Not Found")</f>
      </c>
      <c r="F2516" s="1" t="s">
        <v>5632</v>
      </c>
      <c r="G2516" s="5">
        <f>XLOOKUP(I2516, drug!B:B, drug!A:A, "Not Found")</f>
      </c>
      <c r="H2516" s="1"/>
      <c r="I2516" s="7">
        <v>50</v>
      </c>
      <c r="J2516" s="5">
        <f>XLOOKUP(L2516, uom!C:C, uom!B:B, "Not Found")</f>
      </c>
      <c r="K2516" s="1" t="s">
        <v>5511</v>
      </c>
      <c r="L2516" s="5">
        <f>XLOOKUP(N2516, uom!C:C, uom!B:B, "Not Found")</f>
      </c>
      <c r="M2516" s="1" t="s">
        <v>5511</v>
      </c>
      <c r="N2516" s="8" t="s">
        <v>5524</v>
      </c>
      <c r="O2516" s="1" t="s">
        <v>5525</v>
      </c>
      <c r="P2516" s="5">
        <f>XLOOKUP(R2516, classification!C:C, classification!B:B, "Not Found")</f>
      </c>
      <c r="Q2516" s="1" t="s">
        <v>5514</v>
      </c>
      <c r="R2516" s="2"/>
      <c r="S2516" s="2"/>
      <c r="T2516" s="2"/>
      <c r="U2516" s="2"/>
    </row>
    <row x14ac:dyDescent="0.25" r="2517" customHeight="1" ht="17.25">
      <c r="A2517" s="7">
        <v>2516</v>
      </c>
      <c r="B2517" s="1" t="s">
        <v>7876</v>
      </c>
      <c r="C2517" s="5">
        <f>CONCATENATE("PD", TEXT(A2517, "1000000"))</f>
      </c>
      <c r="D2517" s="7">
        <v>76</v>
      </c>
      <c r="E2517" s="5">
        <f>XLOOKUP(G2517, item_category!C:C, item_category!B:B, "Not Found")</f>
      </c>
      <c r="F2517" s="1" t="s">
        <v>5632</v>
      </c>
      <c r="G2517" s="5">
        <f>XLOOKUP(I2517, drug!B:B, drug!A:A, "Not Found")</f>
      </c>
      <c r="H2517" s="1"/>
      <c r="I2517" s="7">
        <v>1</v>
      </c>
      <c r="J2517" s="5">
        <f>XLOOKUP(L2517, uom!C:C, uom!B:B, "Not Found")</f>
      </c>
      <c r="K2517" s="1" t="s">
        <v>5511</v>
      </c>
      <c r="L2517" s="5">
        <f>XLOOKUP(N2517, uom!C:C, uom!B:B, "Not Found")</f>
      </c>
      <c r="M2517" s="1" t="s">
        <v>5511</v>
      </c>
      <c r="N2517" s="8" t="s">
        <v>5512</v>
      </c>
      <c r="O2517" s="1" t="s">
        <v>5513</v>
      </c>
      <c r="P2517" s="5">
        <f>XLOOKUP(R2517, classification!C:C, classification!B:B, "Not Found")</f>
      </c>
      <c r="Q2517" s="1" t="s">
        <v>5514</v>
      </c>
      <c r="R2517" s="2"/>
      <c r="S2517" s="2"/>
      <c r="T2517" s="2"/>
      <c r="U2517" s="2"/>
    </row>
    <row x14ac:dyDescent="0.25" r="2518" customHeight="1" ht="17.25">
      <c r="A2518" s="7">
        <v>2517</v>
      </c>
      <c r="B2518" s="1" t="s">
        <v>7877</v>
      </c>
      <c r="C2518" s="5">
        <f>CONCATENATE("PD", TEXT(A2518, "1000000"))</f>
      </c>
      <c r="D2518" s="7">
        <v>76</v>
      </c>
      <c r="E2518" s="5">
        <f>XLOOKUP(G2518, item_category!C:C, item_category!B:B, "Not Found")</f>
      </c>
      <c r="F2518" s="1" t="s">
        <v>5632</v>
      </c>
      <c r="G2518" s="5">
        <f>XLOOKUP(I2518, drug!B:B, drug!A:A, "Not Found")</f>
      </c>
      <c r="H2518" s="1"/>
      <c r="I2518" s="7">
        <v>1</v>
      </c>
      <c r="J2518" s="5">
        <f>XLOOKUP(L2518, uom!C:C, uom!B:B, "Not Found")</f>
      </c>
      <c r="K2518" s="1" t="s">
        <v>5511</v>
      </c>
      <c r="L2518" s="5">
        <f>XLOOKUP(N2518, uom!C:C, uom!B:B, "Not Found")</f>
      </c>
      <c r="M2518" s="1" t="s">
        <v>5511</v>
      </c>
      <c r="N2518" s="8" t="s">
        <v>5512</v>
      </c>
      <c r="O2518" s="1" t="s">
        <v>5513</v>
      </c>
      <c r="P2518" s="5">
        <f>XLOOKUP(R2518, classification!C:C, classification!B:B, "Not Found")</f>
      </c>
      <c r="Q2518" s="1" t="s">
        <v>5514</v>
      </c>
      <c r="R2518" s="2"/>
      <c r="S2518" s="2"/>
      <c r="T2518" s="2"/>
      <c r="U2518" s="2"/>
    </row>
    <row x14ac:dyDescent="0.25" r="2519" customHeight="1" ht="17.25">
      <c r="A2519" s="7">
        <v>2518</v>
      </c>
      <c r="B2519" s="1" t="s">
        <v>7878</v>
      </c>
      <c r="C2519" s="5">
        <f>CONCATENATE("PD", TEXT(A2519, "1000000"))</f>
      </c>
      <c r="D2519" s="7">
        <v>76</v>
      </c>
      <c r="E2519" s="5">
        <f>XLOOKUP(G2519, item_category!C:C, item_category!B:B, "Not Found")</f>
      </c>
      <c r="F2519" s="1" t="s">
        <v>5632</v>
      </c>
      <c r="G2519" s="5">
        <f>XLOOKUP(I2519, drug!B:B, drug!A:A, "Not Found")</f>
      </c>
      <c r="H2519" s="1" t="s">
        <v>1942</v>
      </c>
      <c r="I2519" s="7">
        <v>1</v>
      </c>
      <c r="J2519" s="5">
        <f>XLOOKUP(L2519, uom!C:C, uom!B:B, "Not Found")</f>
      </c>
      <c r="K2519" s="1" t="s">
        <v>5511</v>
      </c>
      <c r="L2519" s="5">
        <f>XLOOKUP(N2519, uom!C:C, uom!B:B, "Not Found")</f>
      </c>
      <c r="M2519" s="1" t="s">
        <v>5511</v>
      </c>
      <c r="N2519" s="8" t="s">
        <v>5512</v>
      </c>
      <c r="O2519" s="1" t="s">
        <v>5513</v>
      </c>
      <c r="P2519" s="5">
        <f>XLOOKUP(R2519, classification!C:C, classification!B:B, "Not Found")</f>
      </c>
      <c r="Q2519" s="1" t="s">
        <v>5514</v>
      </c>
      <c r="R2519" s="2"/>
      <c r="S2519" s="2"/>
      <c r="T2519" s="2"/>
      <c r="U2519" s="2"/>
    </row>
    <row x14ac:dyDescent="0.25" r="2520" customHeight="1" ht="17.25">
      <c r="A2520" s="7">
        <v>2519</v>
      </c>
      <c r="B2520" s="1" t="s">
        <v>7879</v>
      </c>
      <c r="C2520" s="5">
        <f>CONCATENATE("PD", TEXT(A2520, "1000000"))</f>
      </c>
      <c r="D2520" s="7">
        <v>76</v>
      </c>
      <c r="E2520" s="5">
        <f>XLOOKUP(G2520, item_category!C:C, item_category!B:B, "Not Found")</f>
      </c>
      <c r="F2520" s="1" t="s">
        <v>5632</v>
      </c>
      <c r="G2520" s="5">
        <f>XLOOKUP(I2520, drug!B:B, drug!A:A, "Not Found")</f>
      </c>
      <c r="H2520" s="1"/>
      <c r="I2520" s="7">
        <v>1</v>
      </c>
      <c r="J2520" s="5">
        <f>XLOOKUP(L2520, uom!C:C, uom!B:B, "Not Found")</f>
      </c>
      <c r="K2520" s="1" t="s">
        <v>5511</v>
      </c>
      <c r="L2520" s="5">
        <f>XLOOKUP(N2520, uom!C:C, uom!B:B, "Not Found")</f>
      </c>
      <c r="M2520" s="1" t="s">
        <v>5511</v>
      </c>
      <c r="N2520" s="8" t="s">
        <v>5512</v>
      </c>
      <c r="O2520" s="1" t="s">
        <v>5513</v>
      </c>
      <c r="P2520" s="5">
        <f>XLOOKUP(R2520, classification!C:C, classification!B:B, "Not Found")</f>
      </c>
      <c r="Q2520" s="1" t="s">
        <v>5514</v>
      </c>
      <c r="R2520" s="2"/>
      <c r="S2520" s="2"/>
      <c r="T2520" s="2"/>
      <c r="U2520" s="2"/>
    </row>
    <row x14ac:dyDescent="0.25" r="2521" customHeight="1" ht="17.25">
      <c r="A2521" s="7">
        <v>2520</v>
      </c>
      <c r="B2521" s="1" t="s">
        <v>7880</v>
      </c>
      <c r="C2521" s="5">
        <f>CONCATENATE("PD", TEXT(A2521, "1000000"))</f>
      </c>
      <c r="D2521" s="7">
        <v>76</v>
      </c>
      <c r="E2521" s="5">
        <f>XLOOKUP(G2521, item_category!C:C, item_category!B:B, "Not Found")</f>
      </c>
      <c r="F2521" s="1" t="s">
        <v>5632</v>
      </c>
      <c r="G2521" s="5">
        <f>XLOOKUP(I2521, drug!B:B, drug!A:A, "Not Found")</f>
      </c>
      <c r="H2521" s="1"/>
      <c r="I2521" s="7">
        <v>1</v>
      </c>
      <c r="J2521" s="5">
        <f>XLOOKUP(L2521, uom!C:C, uom!B:B, "Not Found")</f>
      </c>
      <c r="K2521" s="1" t="s">
        <v>5511</v>
      </c>
      <c r="L2521" s="5">
        <f>XLOOKUP(N2521, uom!C:C, uom!B:B, "Not Found")</f>
      </c>
      <c r="M2521" s="1" t="s">
        <v>5511</v>
      </c>
      <c r="N2521" s="8" t="s">
        <v>5512</v>
      </c>
      <c r="O2521" s="1" t="s">
        <v>5513</v>
      </c>
      <c r="P2521" s="5">
        <f>XLOOKUP(R2521, classification!C:C, classification!B:B, "Not Found")</f>
      </c>
      <c r="Q2521" s="1" t="s">
        <v>5514</v>
      </c>
      <c r="R2521" s="2"/>
      <c r="S2521" s="2"/>
      <c r="T2521" s="2"/>
      <c r="U2521" s="2"/>
    </row>
    <row x14ac:dyDescent="0.25" r="2522" customHeight="1" ht="17.25">
      <c r="A2522" s="7">
        <v>2521</v>
      </c>
      <c r="B2522" s="1" t="s">
        <v>7881</v>
      </c>
      <c r="C2522" s="5">
        <f>CONCATENATE("PD", TEXT(A2522, "1000000"))</f>
      </c>
      <c r="D2522" s="7">
        <v>76</v>
      </c>
      <c r="E2522" s="5">
        <f>XLOOKUP(G2522, item_category!C:C, item_category!B:B, "Not Found")</f>
      </c>
      <c r="F2522" s="1" t="s">
        <v>5632</v>
      </c>
      <c r="G2522" s="5">
        <f>XLOOKUP(I2522, drug!B:B, drug!A:A, "Not Found")</f>
      </c>
      <c r="H2522" s="1"/>
      <c r="I2522" s="7">
        <v>300</v>
      </c>
      <c r="J2522" s="5">
        <f>XLOOKUP(L2522, uom!C:C, uom!B:B, "Not Found")</f>
      </c>
      <c r="K2522" s="1" t="s">
        <v>5523</v>
      </c>
      <c r="L2522" s="5">
        <f>XLOOKUP(N2522, uom!C:C, uom!B:B, "Not Found")</f>
      </c>
      <c r="M2522" s="1" t="s">
        <v>5523</v>
      </c>
      <c r="N2522" s="8" t="s">
        <v>5512</v>
      </c>
      <c r="O2522" s="1" t="s">
        <v>5525</v>
      </c>
      <c r="P2522" s="5">
        <f>XLOOKUP(R2522, classification!C:C, classification!B:B, "Not Found")</f>
      </c>
      <c r="Q2522" s="1" t="s">
        <v>5514</v>
      </c>
      <c r="R2522" s="2"/>
      <c r="S2522" s="2"/>
      <c r="T2522" s="2"/>
      <c r="U2522" s="2"/>
    </row>
    <row x14ac:dyDescent="0.25" r="2523" customHeight="1" ht="17.25">
      <c r="A2523" s="7">
        <v>2522</v>
      </c>
      <c r="B2523" s="1" t="s">
        <v>7882</v>
      </c>
      <c r="C2523" s="5">
        <f>CONCATENATE("PD", TEXT(A2523, "1000000"))</f>
      </c>
      <c r="D2523" s="7">
        <v>76</v>
      </c>
      <c r="E2523" s="5">
        <f>XLOOKUP(G2523, item_category!C:C, item_category!B:B, "Not Found")</f>
      </c>
      <c r="F2523" s="1" t="s">
        <v>5632</v>
      </c>
      <c r="G2523" s="5">
        <f>XLOOKUP(I2523, drug!B:B, drug!A:A, "Not Found")</f>
      </c>
      <c r="H2523" s="1"/>
      <c r="I2523" s="7">
        <v>1</v>
      </c>
      <c r="J2523" s="5">
        <f>XLOOKUP(L2523, uom!C:C, uom!B:B, "Not Found")</f>
      </c>
      <c r="K2523" s="1" t="s">
        <v>5511</v>
      </c>
      <c r="L2523" s="5">
        <f>XLOOKUP(N2523, uom!C:C, uom!B:B, "Not Found")</f>
      </c>
      <c r="M2523" s="1" t="s">
        <v>5511</v>
      </c>
      <c r="N2523" s="8" t="s">
        <v>5512</v>
      </c>
      <c r="O2523" s="1" t="s">
        <v>5513</v>
      </c>
      <c r="P2523" s="5">
        <f>XLOOKUP(R2523, classification!C:C, classification!B:B, "Not Found")</f>
      </c>
      <c r="Q2523" s="1" t="s">
        <v>5514</v>
      </c>
      <c r="R2523" s="2"/>
      <c r="S2523" s="2"/>
      <c r="T2523" s="2"/>
      <c r="U2523" s="2"/>
    </row>
    <row x14ac:dyDescent="0.25" r="2524" customHeight="1" ht="17.25">
      <c r="A2524" s="7">
        <v>2523</v>
      </c>
      <c r="B2524" s="1" t="s">
        <v>7883</v>
      </c>
      <c r="C2524" s="5">
        <f>CONCATENATE("PD", TEXT(A2524, "1000000"))</f>
      </c>
      <c r="D2524" s="7">
        <v>76</v>
      </c>
      <c r="E2524" s="5">
        <f>XLOOKUP(G2524, item_category!C:C, item_category!B:B, "Not Found")</f>
      </c>
      <c r="F2524" s="1" t="s">
        <v>5632</v>
      </c>
      <c r="G2524" s="5">
        <f>XLOOKUP(I2524, drug!B:B, drug!A:A, "Not Found")</f>
      </c>
      <c r="H2524" s="1"/>
      <c r="I2524" s="7">
        <v>350</v>
      </c>
      <c r="J2524" s="5">
        <f>XLOOKUP(L2524, uom!C:C, uom!B:B, "Not Found")</f>
      </c>
      <c r="K2524" s="1" t="s">
        <v>5511</v>
      </c>
      <c r="L2524" s="5">
        <f>XLOOKUP(N2524, uom!C:C, uom!B:B, "Not Found")</f>
      </c>
      <c r="M2524" s="1" t="s">
        <v>5511</v>
      </c>
      <c r="N2524" s="8" t="s">
        <v>5524</v>
      </c>
      <c r="O2524" s="1" t="s">
        <v>5525</v>
      </c>
      <c r="P2524" s="5">
        <f>XLOOKUP(R2524, classification!C:C, classification!B:B, "Not Found")</f>
      </c>
      <c r="Q2524" s="1" t="s">
        <v>5514</v>
      </c>
      <c r="R2524" s="2"/>
      <c r="S2524" s="2"/>
      <c r="T2524" s="2"/>
      <c r="U2524" s="2"/>
    </row>
    <row x14ac:dyDescent="0.25" r="2525" customHeight="1" ht="17.25">
      <c r="A2525" s="7">
        <v>2524</v>
      </c>
      <c r="B2525" s="1" t="s">
        <v>7884</v>
      </c>
      <c r="C2525" s="5">
        <f>CONCATENATE("PD", TEXT(A2525, "1000000"))</f>
      </c>
      <c r="D2525" s="7">
        <v>76</v>
      </c>
      <c r="E2525" s="5">
        <f>XLOOKUP(G2525, item_category!C:C, item_category!B:B, "Not Found")</f>
      </c>
      <c r="F2525" s="1" t="s">
        <v>5632</v>
      </c>
      <c r="G2525" s="5">
        <f>XLOOKUP(I2525, drug!B:B, drug!A:A, "Not Found")</f>
      </c>
      <c r="H2525" s="1"/>
      <c r="I2525" s="7">
        <v>1</v>
      </c>
      <c r="J2525" s="5">
        <f>XLOOKUP(L2525, uom!C:C, uom!B:B, "Not Found")</f>
      </c>
      <c r="K2525" s="1" t="s">
        <v>5511</v>
      </c>
      <c r="L2525" s="5">
        <f>XLOOKUP(N2525, uom!C:C, uom!B:B, "Not Found")</f>
      </c>
      <c r="M2525" s="1" t="s">
        <v>5511</v>
      </c>
      <c r="N2525" s="8" t="s">
        <v>5512</v>
      </c>
      <c r="O2525" s="1" t="s">
        <v>5513</v>
      </c>
      <c r="P2525" s="5">
        <f>XLOOKUP(R2525, classification!C:C, classification!B:B, "Not Found")</f>
      </c>
      <c r="Q2525" s="1" t="s">
        <v>5514</v>
      </c>
      <c r="R2525" s="2"/>
      <c r="S2525" s="2"/>
      <c r="T2525" s="2"/>
      <c r="U2525" s="2"/>
    </row>
    <row x14ac:dyDescent="0.25" r="2526" customHeight="1" ht="17.25">
      <c r="A2526" s="7">
        <v>2525</v>
      </c>
      <c r="B2526" s="1" t="s">
        <v>7885</v>
      </c>
      <c r="C2526" s="5">
        <f>CONCATENATE("PD", TEXT(A2526, "1000000"))</f>
      </c>
      <c r="D2526" s="7">
        <v>76</v>
      </c>
      <c r="E2526" s="5">
        <f>XLOOKUP(G2526, item_category!C:C, item_category!B:B, "Not Found")</f>
      </c>
      <c r="F2526" s="1" t="s">
        <v>5632</v>
      </c>
      <c r="G2526" s="5">
        <f>XLOOKUP(I2526, drug!B:B, drug!A:A, "Not Found")</f>
      </c>
      <c r="H2526" s="1"/>
      <c r="I2526" s="7">
        <v>1</v>
      </c>
      <c r="J2526" s="5">
        <f>XLOOKUP(L2526, uom!C:C, uom!B:B, "Not Found")</f>
      </c>
      <c r="K2526" s="1" t="s">
        <v>5511</v>
      </c>
      <c r="L2526" s="5">
        <f>XLOOKUP(N2526, uom!C:C, uom!B:B, "Not Found")</f>
      </c>
      <c r="M2526" s="1" t="s">
        <v>5511</v>
      </c>
      <c r="N2526" s="8" t="s">
        <v>5512</v>
      </c>
      <c r="O2526" s="1" t="s">
        <v>5513</v>
      </c>
      <c r="P2526" s="5">
        <f>XLOOKUP(R2526, classification!C:C, classification!B:B, "Not Found")</f>
      </c>
      <c r="Q2526" s="1" t="s">
        <v>5514</v>
      </c>
      <c r="R2526" s="2"/>
      <c r="S2526" s="2"/>
      <c r="T2526" s="2"/>
      <c r="U2526" s="2"/>
    </row>
    <row x14ac:dyDescent="0.25" r="2527" customHeight="1" ht="17.25">
      <c r="A2527" s="7">
        <v>2526</v>
      </c>
      <c r="B2527" s="1" t="s">
        <v>7886</v>
      </c>
      <c r="C2527" s="5">
        <f>CONCATENATE("PD", TEXT(A2527, "1000000"))</f>
      </c>
      <c r="D2527" s="7">
        <v>76</v>
      </c>
      <c r="E2527" s="5">
        <f>XLOOKUP(G2527, item_category!C:C, item_category!B:B, "Not Found")</f>
      </c>
      <c r="F2527" s="1" t="s">
        <v>5632</v>
      </c>
      <c r="G2527" s="5">
        <f>XLOOKUP(I2527, drug!B:B, drug!A:A, "Not Found")</f>
      </c>
      <c r="H2527" s="1"/>
      <c r="I2527" s="7">
        <v>1</v>
      </c>
      <c r="J2527" s="5">
        <f>XLOOKUP(L2527, uom!C:C, uom!B:B, "Not Found")</f>
      </c>
      <c r="K2527" s="1" t="s">
        <v>5511</v>
      </c>
      <c r="L2527" s="5">
        <f>XLOOKUP(N2527, uom!C:C, uom!B:B, "Not Found")</f>
      </c>
      <c r="M2527" s="1" t="s">
        <v>5511</v>
      </c>
      <c r="N2527" s="8" t="s">
        <v>5512</v>
      </c>
      <c r="O2527" s="1" t="s">
        <v>5513</v>
      </c>
      <c r="P2527" s="5">
        <f>XLOOKUP(R2527, classification!C:C, classification!B:B, "Not Found")</f>
      </c>
      <c r="Q2527" s="1" t="s">
        <v>5514</v>
      </c>
      <c r="R2527" s="2"/>
      <c r="S2527" s="2"/>
      <c r="T2527" s="2"/>
      <c r="U2527" s="2"/>
    </row>
    <row x14ac:dyDescent="0.25" r="2528" customHeight="1" ht="17.25">
      <c r="A2528" s="7">
        <v>2527</v>
      </c>
      <c r="B2528" s="1" t="s">
        <v>7887</v>
      </c>
      <c r="C2528" s="5">
        <f>CONCATENATE("PD", TEXT(A2528, "1000000"))</f>
      </c>
      <c r="D2528" s="7">
        <v>76</v>
      </c>
      <c r="E2528" s="5">
        <f>XLOOKUP(G2528, item_category!C:C, item_category!B:B, "Not Found")</f>
      </c>
      <c r="F2528" s="1" t="s">
        <v>5632</v>
      </c>
      <c r="G2528" s="5">
        <f>XLOOKUP(I2528, drug!B:B, drug!A:A, "Not Found")</f>
      </c>
      <c r="H2528" s="1"/>
      <c r="I2528" s="7">
        <v>1</v>
      </c>
      <c r="J2528" s="5">
        <f>XLOOKUP(L2528, uom!C:C, uom!B:B, "Not Found")</f>
      </c>
      <c r="K2528" s="1" t="s">
        <v>5511</v>
      </c>
      <c r="L2528" s="5">
        <f>XLOOKUP(N2528, uom!C:C, uom!B:B, "Not Found")</f>
      </c>
      <c r="M2528" s="1" t="s">
        <v>5511</v>
      </c>
      <c r="N2528" s="8" t="s">
        <v>5512</v>
      </c>
      <c r="O2528" s="1" t="s">
        <v>5513</v>
      </c>
      <c r="P2528" s="5">
        <f>XLOOKUP(R2528, classification!C:C, classification!B:B, "Not Found")</f>
      </c>
      <c r="Q2528" s="1" t="s">
        <v>5514</v>
      </c>
      <c r="R2528" s="2"/>
      <c r="S2528" s="2"/>
      <c r="T2528" s="2"/>
      <c r="U2528" s="2"/>
    </row>
    <row x14ac:dyDescent="0.25" r="2529" customHeight="1" ht="17.25">
      <c r="A2529" s="7">
        <v>2528</v>
      </c>
      <c r="B2529" s="1" t="s">
        <v>7888</v>
      </c>
      <c r="C2529" s="5">
        <f>CONCATENATE("PD", TEXT(A2529, "1000000"))</f>
      </c>
      <c r="D2529" s="7">
        <v>76</v>
      </c>
      <c r="E2529" s="5">
        <f>XLOOKUP(G2529, item_category!C:C, item_category!B:B, "Not Found")</f>
      </c>
      <c r="F2529" s="1" t="s">
        <v>5632</v>
      </c>
      <c r="G2529" s="5">
        <f>XLOOKUP(I2529, drug!B:B, drug!A:A, "Not Found")</f>
      </c>
      <c r="H2529" s="1"/>
      <c r="I2529" s="7">
        <v>1</v>
      </c>
      <c r="J2529" s="5">
        <f>XLOOKUP(L2529, uom!C:C, uom!B:B, "Not Found")</f>
      </c>
      <c r="K2529" s="1" t="s">
        <v>5511</v>
      </c>
      <c r="L2529" s="5">
        <f>XLOOKUP(N2529, uom!C:C, uom!B:B, "Not Found")</f>
      </c>
      <c r="M2529" s="1" t="s">
        <v>5511</v>
      </c>
      <c r="N2529" s="8" t="s">
        <v>5512</v>
      </c>
      <c r="O2529" s="1" t="s">
        <v>5513</v>
      </c>
      <c r="P2529" s="5">
        <f>XLOOKUP(R2529, classification!C:C, classification!B:B, "Not Found")</f>
      </c>
      <c r="Q2529" s="1" t="s">
        <v>5514</v>
      </c>
      <c r="R2529" s="2"/>
      <c r="S2529" s="2"/>
      <c r="T2529" s="2"/>
      <c r="U2529" s="2"/>
    </row>
    <row x14ac:dyDescent="0.25" r="2530" customHeight="1" ht="17.25">
      <c r="A2530" s="7">
        <v>2529</v>
      </c>
      <c r="B2530" s="1" t="s">
        <v>7889</v>
      </c>
      <c r="C2530" s="5">
        <f>CONCATENATE("PD", TEXT(A2530, "1000000"))</f>
      </c>
      <c r="D2530" s="7">
        <v>76</v>
      </c>
      <c r="E2530" s="5">
        <f>XLOOKUP(G2530, item_category!C:C, item_category!B:B, "Not Found")</f>
      </c>
      <c r="F2530" s="1" t="s">
        <v>5632</v>
      </c>
      <c r="G2530" s="5">
        <f>XLOOKUP(I2530, drug!B:B, drug!A:A, "Not Found")</f>
      </c>
      <c r="H2530" s="1"/>
      <c r="I2530" s="7">
        <v>1</v>
      </c>
      <c r="J2530" s="5">
        <f>XLOOKUP(L2530, uom!C:C, uom!B:B, "Not Found")</f>
      </c>
      <c r="K2530" s="1" t="s">
        <v>5511</v>
      </c>
      <c r="L2530" s="5">
        <f>XLOOKUP(N2530, uom!C:C, uom!B:B, "Not Found")</f>
      </c>
      <c r="M2530" s="1" t="s">
        <v>5511</v>
      </c>
      <c r="N2530" s="8" t="s">
        <v>5512</v>
      </c>
      <c r="O2530" s="1" t="s">
        <v>5513</v>
      </c>
      <c r="P2530" s="5">
        <f>XLOOKUP(R2530, classification!C:C, classification!B:B, "Not Found")</f>
      </c>
      <c r="Q2530" s="1" t="s">
        <v>5514</v>
      </c>
      <c r="R2530" s="2"/>
      <c r="S2530" s="2"/>
      <c r="T2530" s="2"/>
      <c r="U2530" s="2"/>
    </row>
    <row x14ac:dyDescent="0.25" r="2531" customHeight="1" ht="17.25">
      <c r="A2531" s="7">
        <v>2530</v>
      </c>
      <c r="B2531" s="1" t="s">
        <v>7890</v>
      </c>
      <c r="C2531" s="5">
        <f>CONCATENATE("PD", TEXT(A2531, "1000000"))</f>
      </c>
      <c r="D2531" s="7">
        <v>76</v>
      </c>
      <c r="E2531" s="5">
        <f>XLOOKUP(G2531, item_category!C:C, item_category!B:B, "Not Found")</f>
      </c>
      <c r="F2531" s="1" t="s">
        <v>5632</v>
      </c>
      <c r="G2531" s="5">
        <f>XLOOKUP(I2531, drug!B:B, drug!A:A, "Not Found")</f>
      </c>
      <c r="H2531" s="1"/>
      <c r="I2531" s="7">
        <v>1</v>
      </c>
      <c r="J2531" s="5">
        <f>XLOOKUP(L2531, uom!C:C, uom!B:B, "Not Found")</f>
      </c>
      <c r="K2531" s="1" t="s">
        <v>5511</v>
      </c>
      <c r="L2531" s="5">
        <f>XLOOKUP(N2531, uom!C:C, uom!B:B, "Not Found")</f>
      </c>
      <c r="M2531" s="1" t="s">
        <v>5511</v>
      </c>
      <c r="N2531" s="8" t="s">
        <v>5512</v>
      </c>
      <c r="O2531" s="1" t="s">
        <v>5513</v>
      </c>
      <c r="P2531" s="5">
        <f>XLOOKUP(R2531, classification!C:C, classification!B:B, "Not Found")</f>
      </c>
      <c r="Q2531" s="1" t="s">
        <v>5514</v>
      </c>
      <c r="R2531" s="2"/>
      <c r="S2531" s="2"/>
      <c r="T2531" s="2"/>
      <c r="U2531" s="2"/>
    </row>
    <row x14ac:dyDescent="0.25" r="2532" customHeight="1" ht="17.25">
      <c r="A2532" s="7">
        <v>2531</v>
      </c>
      <c r="B2532" s="1" t="s">
        <v>7891</v>
      </c>
      <c r="C2532" s="5">
        <f>CONCATENATE("PD", TEXT(A2532, "1000000"))</f>
      </c>
      <c r="D2532" s="7">
        <v>76</v>
      </c>
      <c r="E2532" s="5">
        <f>XLOOKUP(G2532, item_category!C:C, item_category!B:B, "Not Found")</f>
      </c>
      <c r="F2532" s="1" t="s">
        <v>5632</v>
      </c>
      <c r="G2532" s="5">
        <f>XLOOKUP(I2532, drug!B:B, drug!A:A, "Not Found")</f>
      </c>
      <c r="H2532" s="1"/>
      <c r="I2532" s="7">
        <v>1</v>
      </c>
      <c r="J2532" s="5">
        <f>XLOOKUP(L2532, uom!C:C, uom!B:B, "Not Found")</f>
      </c>
      <c r="K2532" s="1" t="s">
        <v>5511</v>
      </c>
      <c r="L2532" s="5">
        <f>XLOOKUP(N2532, uom!C:C, uom!B:B, "Not Found")</f>
      </c>
      <c r="M2532" s="1" t="s">
        <v>5511</v>
      </c>
      <c r="N2532" s="8" t="s">
        <v>5512</v>
      </c>
      <c r="O2532" s="1" t="s">
        <v>5513</v>
      </c>
      <c r="P2532" s="5">
        <f>XLOOKUP(R2532, classification!C:C, classification!B:B, "Not Found")</f>
      </c>
      <c r="Q2532" s="1" t="s">
        <v>5514</v>
      </c>
      <c r="R2532" s="2"/>
      <c r="S2532" s="2"/>
      <c r="T2532" s="2"/>
      <c r="U2532" s="2"/>
    </row>
    <row x14ac:dyDescent="0.25" r="2533" customHeight="1" ht="17.25">
      <c r="A2533" s="7">
        <v>2532</v>
      </c>
      <c r="B2533" s="1" t="s">
        <v>7892</v>
      </c>
      <c r="C2533" s="5">
        <f>CONCATENATE("PD", TEXT(A2533, "1000000"))</f>
      </c>
      <c r="D2533" s="7">
        <v>76</v>
      </c>
      <c r="E2533" s="5">
        <f>XLOOKUP(G2533, item_category!C:C, item_category!B:B, "Not Found")</f>
      </c>
      <c r="F2533" s="1" t="s">
        <v>5632</v>
      </c>
      <c r="G2533" s="5">
        <f>XLOOKUP(I2533, drug!B:B, drug!A:A, "Not Found")</f>
      </c>
      <c r="H2533" s="1"/>
      <c r="I2533" s="7">
        <v>1</v>
      </c>
      <c r="J2533" s="5">
        <f>XLOOKUP(L2533, uom!C:C, uom!B:B, "Not Found")</f>
      </c>
      <c r="K2533" s="1" t="s">
        <v>5511</v>
      </c>
      <c r="L2533" s="5">
        <f>XLOOKUP(N2533, uom!C:C, uom!B:B, "Not Found")</f>
      </c>
      <c r="M2533" s="1" t="s">
        <v>5511</v>
      </c>
      <c r="N2533" s="8" t="s">
        <v>5512</v>
      </c>
      <c r="O2533" s="1" t="s">
        <v>5513</v>
      </c>
      <c r="P2533" s="5">
        <f>XLOOKUP(R2533, classification!C:C, classification!B:B, "Not Found")</f>
      </c>
      <c r="Q2533" s="1" t="s">
        <v>5514</v>
      </c>
      <c r="R2533" s="2"/>
      <c r="S2533" s="2"/>
      <c r="T2533" s="2"/>
      <c r="U2533" s="2"/>
    </row>
    <row x14ac:dyDescent="0.25" r="2534" customHeight="1" ht="17.25">
      <c r="A2534" s="7">
        <v>2533</v>
      </c>
      <c r="B2534" s="1" t="s">
        <v>7893</v>
      </c>
      <c r="C2534" s="5">
        <f>CONCATENATE("PD", TEXT(A2534, "1000000"))</f>
      </c>
      <c r="D2534" s="7">
        <v>76</v>
      </c>
      <c r="E2534" s="5">
        <f>XLOOKUP(G2534, item_category!C:C, item_category!B:B, "Not Found")</f>
      </c>
      <c r="F2534" s="1" t="s">
        <v>5632</v>
      </c>
      <c r="G2534" s="5">
        <f>XLOOKUP(I2534, drug!B:B, drug!A:A, "Not Found")</f>
      </c>
      <c r="H2534" s="1"/>
      <c r="I2534" s="7">
        <v>1</v>
      </c>
      <c r="J2534" s="5">
        <f>XLOOKUP(L2534, uom!C:C, uom!B:B, "Not Found")</f>
      </c>
      <c r="K2534" s="1" t="s">
        <v>5511</v>
      </c>
      <c r="L2534" s="5">
        <f>XLOOKUP(N2534, uom!C:C, uom!B:B, "Not Found")</f>
      </c>
      <c r="M2534" s="1" t="s">
        <v>5511</v>
      </c>
      <c r="N2534" s="8" t="s">
        <v>5512</v>
      </c>
      <c r="O2534" s="1" t="s">
        <v>5513</v>
      </c>
      <c r="P2534" s="5">
        <f>XLOOKUP(R2534, classification!C:C, classification!B:B, "Not Found")</f>
      </c>
      <c r="Q2534" s="1" t="s">
        <v>5514</v>
      </c>
      <c r="R2534" s="2"/>
      <c r="S2534" s="2"/>
      <c r="T2534" s="2"/>
      <c r="U2534" s="2"/>
    </row>
    <row x14ac:dyDescent="0.25" r="2535" customHeight="1" ht="17.25">
      <c r="A2535" s="7">
        <v>2534</v>
      </c>
      <c r="B2535" s="1" t="s">
        <v>7894</v>
      </c>
      <c r="C2535" s="5">
        <f>CONCATENATE("PD", TEXT(A2535, "1000000"))</f>
      </c>
      <c r="D2535" s="7">
        <v>76</v>
      </c>
      <c r="E2535" s="5">
        <f>XLOOKUP(G2535, item_category!C:C, item_category!B:B, "Not Found")</f>
      </c>
      <c r="F2535" s="1" t="s">
        <v>5632</v>
      </c>
      <c r="G2535" s="5">
        <f>XLOOKUP(I2535, drug!B:B, drug!A:A, "Not Found")</f>
      </c>
      <c r="H2535" s="1"/>
      <c r="I2535" s="7">
        <v>1</v>
      </c>
      <c r="J2535" s="5">
        <f>XLOOKUP(L2535, uom!C:C, uom!B:B, "Not Found")</f>
      </c>
      <c r="K2535" s="1" t="s">
        <v>5511</v>
      </c>
      <c r="L2535" s="5">
        <f>XLOOKUP(N2535, uom!C:C, uom!B:B, "Not Found")</f>
      </c>
      <c r="M2535" s="1" t="s">
        <v>5511</v>
      </c>
      <c r="N2535" s="8" t="s">
        <v>5512</v>
      </c>
      <c r="O2535" s="1" t="s">
        <v>5513</v>
      </c>
      <c r="P2535" s="5">
        <f>XLOOKUP(R2535, classification!C:C, classification!B:B, "Not Found")</f>
      </c>
      <c r="Q2535" s="1" t="s">
        <v>5514</v>
      </c>
      <c r="R2535" s="2"/>
      <c r="S2535" s="2"/>
      <c r="T2535" s="2"/>
      <c r="U2535" s="2"/>
    </row>
    <row x14ac:dyDescent="0.25" r="2536" customHeight="1" ht="17.25">
      <c r="A2536" s="7">
        <v>2535</v>
      </c>
      <c r="B2536" s="1" t="s">
        <v>7895</v>
      </c>
      <c r="C2536" s="5">
        <f>CONCATENATE("PD", TEXT(A2536, "1000000"))</f>
      </c>
      <c r="D2536" s="7">
        <v>76</v>
      </c>
      <c r="E2536" s="5">
        <f>XLOOKUP(G2536, item_category!C:C, item_category!B:B, "Not Found")</f>
      </c>
      <c r="F2536" s="1" t="s">
        <v>5632</v>
      </c>
      <c r="G2536" s="5">
        <f>XLOOKUP(I2536, drug!B:B, drug!A:A, "Not Found")</f>
      </c>
      <c r="H2536" s="1"/>
      <c r="I2536" s="7">
        <v>1</v>
      </c>
      <c r="J2536" s="5">
        <f>XLOOKUP(L2536, uom!C:C, uom!B:B, "Not Found")</f>
      </c>
      <c r="K2536" s="1" t="s">
        <v>5511</v>
      </c>
      <c r="L2536" s="5">
        <f>XLOOKUP(N2536, uom!C:C, uom!B:B, "Not Found")</f>
      </c>
      <c r="M2536" s="1" t="s">
        <v>5511</v>
      </c>
      <c r="N2536" s="8" t="s">
        <v>5512</v>
      </c>
      <c r="O2536" s="1" t="s">
        <v>5513</v>
      </c>
      <c r="P2536" s="5">
        <f>XLOOKUP(R2536, classification!C:C, classification!B:B, "Not Found")</f>
      </c>
      <c r="Q2536" s="1" t="s">
        <v>5514</v>
      </c>
      <c r="R2536" s="2"/>
      <c r="S2536" s="2"/>
      <c r="T2536" s="2"/>
      <c r="U2536" s="2"/>
    </row>
    <row x14ac:dyDescent="0.25" r="2537" customHeight="1" ht="17.25">
      <c r="A2537" s="7">
        <v>2536</v>
      </c>
      <c r="B2537" s="1" t="s">
        <v>7896</v>
      </c>
      <c r="C2537" s="5">
        <f>CONCATENATE("PD", TEXT(A2537, "1000000"))</f>
      </c>
      <c r="D2537" s="7">
        <v>76</v>
      </c>
      <c r="E2537" s="5">
        <f>XLOOKUP(G2537, item_category!C:C, item_category!B:B, "Not Found")</f>
      </c>
      <c r="F2537" s="1" t="s">
        <v>5632</v>
      </c>
      <c r="G2537" s="5">
        <f>XLOOKUP(I2537, drug!B:B, drug!A:A, "Not Found")</f>
      </c>
      <c r="H2537" s="1"/>
      <c r="I2537" s="7">
        <v>1</v>
      </c>
      <c r="J2537" s="5">
        <f>XLOOKUP(L2537, uom!C:C, uom!B:B, "Not Found")</f>
      </c>
      <c r="K2537" s="1" t="s">
        <v>5511</v>
      </c>
      <c r="L2537" s="5">
        <f>XLOOKUP(N2537, uom!C:C, uom!B:B, "Not Found")</f>
      </c>
      <c r="M2537" s="1" t="s">
        <v>5511</v>
      </c>
      <c r="N2537" s="8" t="s">
        <v>5512</v>
      </c>
      <c r="O2537" s="1" t="s">
        <v>5513</v>
      </c>
      <c r="P2537" s="5">
        <f>XLOOKUP(R2537, classification!C:C, classification!B:B, "Not Found")</f>
      </c>
      <c r="Q2537" s="1" t="s">
        <v>5514</v>
      </c>
      <c r="R2537" s="2"/>
      <c r="S2537" s="2"/>
      <c r="T2537" s="2"/>
      <c r="U2537" s="2"/>
    </row>
    <row x14ac:dyDescent="0.25" r="2538" customHeight="1" ht="17.25">
      <c r="A2538" s="7">
        <v>2537</v>
      </c>
      <c r="B2538" s="1" t="s">
        <v>7897</v>
      </c>
      <c r="C2538" s="5">
        <f>CONCATENATE("PD", TEXT(A2538, "1000000"))</f>
      </c>
      <c r="D2538" s="7">
        <v>76</v>
      </c>
      <c r="E2538" s="5">
        <f>XLOOKUP(G2538, item_category!C:C, item_category!B:B, "Not Found")</f>
      </c>
      <c r="F2538" s="1" t="s">
        <v>5632</v>
      </c>
      <c r="G2538" s="5">
        <f>XLOOKUP(I2538, drug!B:B, drug!A:A, "Not Found")</f>
      </c>
      <c r="H2538" s="1"/>
      <c r="I2538" s="7">
        <v>1</v>
      </c>
      <c r="J2538" s="5">
        <f>XLOOKUP(L2538, uom!C:C, uom!B:B, "Not Found")</f>
      </c>
      <c r="K2538" s="1" t="s">
        <v>5511</v>
      </c>
      <c r="L2538" s="5">
        <f>XLOOKUP(N2538, uom!C:C, uom!B:B, "Not Found")</f>
      </c>
      <c r="M2538" s="1" t="s">
        <v>5511</v>
      </c>
      <c r="N2538" s="8" t="s">
        <v>5512</v>
      </c>
      <c r="O2538" s="1" t="s">
        <v>5513</v>
      </c>
      <c r="P2538" s="5">
        <f>XLOOKUP(R2538, classification!C:C, classification!B:B, "Not Found")</f>
      </c>
      <c r="Q2538" s="1" t="s">
        <v>5514</v>
      </c>
      <c r="R2538" s="2"/>
      <c r="S2538" s="2"/>
      <c r="T2538" s="2"/>
      <c r="U2538" s="2"/>
    </row>
    <row x14ac:dyDescent="0.25" r="2539" customHeight="1" ht="17.25">
      <c r="A2539" s="7">
        <v>2538</v>
      </c>
      <c r="B2539" s="1" t="s">
        <v>7898</v>
      </c>
      <c r="C2539" s="5">
        <f>CONCATENATE("PD", TEXT(A2539, "1000000"))</f>
      </c>
      <c r="D2539" s="7">
        <v>76</v>
      </c>
      <c r="E2539" s="5">
        <f>XLOOKUP(G2539, item_category!C:C, item_category!B:B, "Not Found")</f>
      </c>
      <c r="F2539" s="1" t="s">
        <v>5632</v>
      </c>
      <c r="G2539" s="5">
        <f>XLOOKUP(I2539, drug!B:B, drug!A:A, "Not Found")</f>
      </c>
      <c r="H2539" s="1"/>
      <c r="I2539" s="7">
        <v>1</v>
      </c>
      <c r="J2539" s="5">
        <f>XLOOKUP(L2539, uom!C:C, uom!B:B, "Not Found")</f>
      </c>
      <c r="K2539" s="1" t="s">
        <v>5511</v>
      </c>
      <c r="L2539" s="5">
        <f>XLOOKUP(N2539, uom!C:C, uom!B:B, "Not Found")</f>
      </c>
      <c r="M2539" s="1" t="s">
        <v>5511</v>
      </c>
      <c r="N2539" s="8" t="s">
        <v>5512</v>
      </c>
      <c r="O2539" s="1" t="s">
        <v>5513</v>
      </c>
      <c r="P2539" s="5">
        <f>XLOOKUP(R2539, classification!C:C, classification!B:B, "Not Found")</f>
      </c>
      <c r="Q2539" s="1" t="s">
        <v>5514</v>
      </c>
      <c r="R2539" s="2"/>
      <c r="S2539" s="2"/>
      <c r="T2539" s="2"/>
      <c r="U2539" s="2"/>
    </row>
    <row x14ac:dyDescent="0.25" r="2540" customHeight="1" ht="17.25">
      <c r="A2540" s="7">
        <v>2539</v>
      </c>
      <c r="B2540" s="1" t="s">
        <v>7899</v>
      </c>
      <c r="C2540" s="5">
        <f>CONCATENATE("PD", TEXT(A2540, "1000000"))</f>
      </c>
      <c r="D2540" s="7">
        <v>76</v>
      </c>
      <c r="E2540" s="5">
        <f>XLOOKUP(G2540, item_category!C:C, item_category!B:B, "Not Found")</f>
      </c>
      <c r="F2540" s="1" t="s">
        <v>5632</v>
      </c>
      <c r="G2540" s="5">
        <f>XLOOKUP(I2540, drug!B:B, drug!A:A, "Not Found")</f>
      </c>
      <c r="H2540" s="1"/>
      <c r="I2540" s="7">
        <v>1</v>
      </c>
      <c r="J2540" s="5">
        <f>XLOOKUP(L2540, uom!C:C, uom!B:B, "Not Found")</f>
      </c>
      <c r="K2540" s="1" t="s">
        <v>5511</v>
      </c>
      <c r="L2540" s="5">
        <f>XLOOKUP(N2540, uom!C:C, uom!B:B, "Not Found")</f>
      </c>
      <c r="M2540" s="1" t="s">
        <v>5511</v>
      </c>
      <c r="N2540" s="8" t="s">
        <v>5512</v>
      </c>
      <c r="O2540" s="1" t="s">
        <v>5513</v>
      </c>
      <c r="P2540" s="5">
        <f>XLOOKUP(R2540, classification!C:C, classification!B:B, "Not Found")</f>
      </c>
      <c r="Q2540" s="1" t="s">
        <v>5514</v>
      </c>
      <c r="R2540" s="2"/>
      <c r="S2540" s="2"/>
      <c r="T2540" s="2"/>
      <c r="U2540" s="2"/>
    </row>
    <row x14ac:dyDescent="0.25" r="2541" customHeight="1" ht="17.25">
      <c r="A2541" s="7">
        <v>2540</v>
      </c>
      <c r="B2541" s="1" t="s">
        <v>7900</v>
      </c>
      <c r="C2541" s="5">
        <f>CONCATENATE("PD", TEXT(A2541, "1000000"))</f>
      </c>
      <c r="D2541" s="7">
        <v>76</v>
      </c>
      <c r="E2541" s="5">
        <f>XLOOKUP(G2541, item_category!C:C, item_category!B:B, "Not Found")</f>
      </c>
      <c r="F2541" s="1" t="s">
        <v>5632</v>
      </c>
      <c r="G2541" s="5">
        <f>XLOOKUP(I2541, drug!B:B, drug!A:A, "Not Found")</f>
      </c>
      <c r="H2541" s="1"/>
      <c r="I2541" s="7">
        <v>1</v>
      </c>
      <c r="J2541" s="5">
        <f>XLOOKUP(L2541, uom!C:C, uom!B:B, "Not Found")</f>
      </c>
      <c r="K2541" s="1" t="s">
        <v>5511</v>
      </c>
      <c r="L2541" s="5">
        <f>XLOOKUP(N2541, uom!C:C, uom!B:B, "Not Found")</f>
      </c>
      <c r="M2541" s="1" t="s">
        <v>5511</v>
      </c>
      <c r="N2541" s="8" t="s">
        <v>5512</v>
      </c>
      <c r="O2541" s="1" t="s">
        <v>5513</v>
      </c>
      <c r="P2541" s="5">
        <f>XLOOKUP(R2541, classification!C:C, classification!B:B, "Not Found")</f>
      </c>
      <c r="Q2541" s="1" t="s">
        <v>5514</v>
      </c>
      <c r="R2541" s="2"/>
      <c r="S2541" s="2"/>
      <c r="T2541" s="2"/>
      <c r="U2541" s="2"/>
    </row>
    <row x14ac:dyDescent="0.25" r="2542" customHeight="1" ht="17.25">
      <c r="A2542" s="7">
        <v>2541</v>
      </c>
      <c r="B2542" s="1" t="s">
        <v>7901</v>
      </c>
      <c r="C2542" s="5">
        <f>CONCATENATE("PD", TEXT(A2542, "1000000"))</f>
      </c>
      <c r="D2542" s="7">
        <v>76</v>
      </c>
      <c r="E2542" s="5">
        <f>XLOOKUP(G2542, item_category!C:C, item_category!B:B, "Not Found")</f>
      </c>
      <c r="F2542" s="1" t="s">
        <v>5632</v>
      </c>
      <c r="G2542" s="5">
        <f>XLOOKUP(I2542, drug!B:B, drug!A:A, "Not Found")</f>
      </c>
      <c r="H2542" s="1"/>
      <c r="I2542" s="7">
        <v>1</v>
      </c>
      <c r="J2542" s="5">
        <f>XLOOKUP(L2542, uom!C:C, uom!B:B, "Not Found")</f>
      </c>
      <c r="K2542" s="1" t="s">
        <v>5511</v>
      </c>
      <c r="L2542" s="5">
        <f>XLOOKUP(N2542, uom!C:C, uom!B:B, "Not Found")</f>
      </c>
      <c r="M2542" s="1" t="s">
        <v>5511</v>
      </c>
      <c r="N2542" s="8" t="s">
        <v>5512</v>
      </c>
      <c r="O2542" s="1" t="s">
        <v>5513</v>
      </c>
      <c r="P2542" s="5">
        <f>XLOOKUP(R2542, classification!C:C, classification!B:B, "Not Found")</f>
      </c>
      <c r="Q2542" s="1" t="s">
        <v>5514</v>
      </c>
      <c r="R2542" s="2"/>
      <c r="S2542" s="2"/>
      <c r="T2542" s="2"/>
      <c r="U2542" s="2"/>
    </row>
    <row x14ac:dyDescent="0.25" r="2543" customHeight="1" ht="17.25">
      <c r="A2543" s="7">
        <v>2542</v>
      </c>
      <c r="B2543" s="1" t="s">
        <v>7902</v>
      </c>
      <c r="C2543" s="5">
        <f>CONCATENATE("PD", TEXT(A2543, "1000000"))</f>
      </c>
      <c r="D2543" s="7">
        <v>76</v>
      </c>
      <c r="E2543" s="5">
        <f>XLOOKUP(G2543, item_category!C:C, item_category!B:B, "Not Found")</f>
      </c>
      <c r="F2543" s="1" t="s">
        <v>5632</v>
      </c>
      <c r="G2543" s="5">
        <f>XLOOKUP(I2543, drug!B:B, drug!A:A, "Not Found")</f>
      </c>
      <c r="H2543" s="1"/>
      <c r="I2543" s="7">
        <v>1</v>
      </c>
      <c r="J2543" s="5">
        <f>XLOOKUP(L2543, uom!C:C, uom!B:B, "Not Found")</f>
      </c>
      <c r="K2543" s="1" t="s">
        <v>5511</v>
      </c>
      <c r="L2543" s="5">
        <f>XLOOKUP(N2543, uom!C:C, uom!B:B, "Not Found")</f>
      </c>
      <c r="M2543" s="1" t="s">
        <v>5511</v>
      </c>
      <c r="N2543" s="8" t="s">
        <v>5512</v>
      </c>
      <c r="O2543" s="1" t="s">
        <v>5513</v>
      </c>
      <c r="P2543" s="5">
        <f>XLOOKUP(R2543, classification!C:C, classification!B:B, "Not Found")</f>
      </c>
      <c r="Q2543" s="1" t="s">
        <v>5514</v>
      </c>
      <c r="R2543" s="2"/>
      <c r="S2543" s="2"/>
      <c r="T2543" s="2"/>
      <c r="U2543" s="2"/>
    </row>
    <row x14ac:dyDescent="0.25" r="2544" customHeight="1" ht="17.25">
      <c r="A2544" s="7">
        <v>2543</v>
      </c>
      <c r="B2544" s="1" t="s">
        <v>3250</v>
      </c>
      <c r="C2544" s="5">
        <f>CONCATENATE("PD", TEXT(A2544, "1000000"))</f>
      </c>
      <c r="D2544" s="7">
        <v>76</v>
      </c>
      <c r="E2544" s="5">
        <f>XLOOKUP(G2544, item_category!C:C, item_category!B:B, "Not Found")</f>
      </c>
      <c r="F2544" s="1" t="s">
        <v>5632</v>
      </c>
      <c r="G2544" s="5">
        <f>XLOOKUP(I2544, drug!B:B, drug!A:A, "Not Found")</f>
      </c>
      <c r="H2544" s="1"/>
      <c r="I2544" s="7">
        <v>1</v>
      </c>
      <c r="J2544" s="5">
        <f>XLOOKUP(L2544, uom!C:C, uom!B:B, "Not Found")</f>
      </c>
      <c r="K2544" s="1" t="s">
        <v>5511</v>
      </c>
      <c r="L2544" s="5">
        <f>XLOOKUP(N2544, uom!C:C, uom!B:B, "Not Found")</f>
      </c>
      <c r="M2544" s="1" t="s">
        <v>5511</v>
      </c>
      <c r="N2544" s="8" t="s">
        <v>5512</v>
      </c>
      <c r="O2544" s="1" t="s">
        <v>5513</v>
      </c>
      <c r="P2544" s="5">
        <f>XLOOKUP(R2544, classification!C:C, classification!B:B, "Not Found")</f>
      </c>
      <c r="Q2544" s="1" t="s">
        <v>5514</v>
      </c>
      <c r="R2544" s="2"/>
      <c r="S2544" s="2"/>
      <c r="T2544" s="2"/>
      <c r="U2544" s="2"/>
    </row>
    <row x14ac:dyDescent="0.25" r="2545" customHeight="1" ht="17.25">
      <c r="A2545" s="7">
        <v>2544</v>
      </c>
      <c r="B2545" s="1" t="s">
        <v>7903</v>
      </c>
      <c r="C2545" s="5">
        <f>CONCATENATE("PD", TEXT(A2545, "1000000"))</f>
      </c>
      <c r="D2545" s="7">
        <v>76</v>
      </c>
      <c r="E2545" s="5">
        <f>XLOOKUP(G2545, item_category!C:C, item_category!B:B, "Not Found")</f>
      </c>
      <c r="F2545" s="1" t="s">
        <v>5632</v>
      </c>
      <c r="G2545" s="5">
        <f>XLOOKUP(I2545, drug!B:B, drug!A:A, "Not Found")</f>
      </c>
      <c r="H2545" s="1"/>
      <c r="I2545" s="7">
        <v>1</v>
      </c>
      <c r="J2545" s="5">
        <f>XLOOKUP(L2545, uom!C:C, uom!B:B, "Not Found")</f>
      </c>
      <c r="K2545" s="1" t="s">
        <v>5511</v>
      </c>
      <c r="L2545" s="5">
        <f>XLOOKUP(N2545, uom!C:C, uom!B:B, "Not Found")</f>
      </c>
      <c r="M2545" s="1" t="s">
        <v>5511</v>
      </c>
      <c r="N2545" s="8" t="s">
        <v>5512</v>
      </c>
      <c r="O2545" s="1" t="s">
        <v>5513</v>
      </c>
      <c r="P2545" s="5">
        <f>XLOOKUP(R2545, classification!C:C, classification!B:B, "Not Found")</f>
      </c>
      <c r="Q2545" s="1" t="s">
        <v>5514</v>
      </c>
      <c r="R2545" s="2"/>
      <c r="S2545" s="2"/>
      <c r="T2545" s="2"/>
      <c r="U2545" s="2"/>
    </row>
    <row x14ac:dyDescent="0.25" r="2546" customHeight="1" ht="17.25">
      <c r="A2546" s="7">
        <v>2545</v>
      </c>
      <c r="B2546" s="1" t="s">
        <v>7904</v>
      </c>
      <c r="C2546" s="5">
        <f>CONCATENATE("PD", TEXT(A2546, "1000000"))</f>
      </c>
      <c r="D2546" s="7">
        <v>76</v>
      </c>
      <c r="E2546" s="5">
        <f>XLOOKUP(G2546, item_category!C:C, item_category!B:B, "Not Found")</f>
      </c>
      <c r="F2546" s="1" t="s">
        <v>5632</v>
      </c>
      <c r="G2546" s="5">
        <f>XLOOKUP(I2546, drug!B:B, drug!A:A, "Not Found")</f>
      </c>
      <c r="H2546" s="1"/>
      <c r="I2546" s="7">
        <v>1</v>
      </c>
      <c r="J2546" s="5">
        <f>XLOOKUP(L2546, uom!C:C, uom!B:B, "Not Found")</f>
      </c>
      <c r="K2546" s="1" t="s">
        <v>5511</v>
      </c>
      <c r="L2546" s="5">
        <f>XLOOKUP(N2546, uom!C:C, uom!B:B, "Not Found")</f>
      </c>
      <c r="M2546" s="1" t="s">
        <v>5511</v>
      </c>
      <c r="N2546" s="8" t="s">
        <v>5512</v>
      </c>
      <c r="O2546" s="1" t="s">
        <v>5513</v>
      </c>
      <c r="P2546" s="5">
        <f>XLOOKUP(R2546, classification!C:C, classification!B:B, "Not Found")</f>
      </c>
      <c r="Q2546" s="1" t="s">
        <v>5514</v>
      </c>
      <c r="R2546" s="2"/>
      <c r="S2546" s="2"/>
      <c r="T2546" s="2"/>
      <c r="U2546" s="2"/>
    </row>
    <row x14ac:dyDescent="0.25" r="2547" customHeight="1" ht="17.25">
      <c r="A2547" s="7">
        <v>2546</v>
      </c>
      <c r="B2547" s="1" t="s">
        <v>7905</v>
      </c>
      <c r="C2547" s="5">
        <f>CONCATENATE("PD", TEXT(A2547, "1000000"))</f>
      </c>
      <c r="D2547" s="7">
        <v>76</v>
      </c>
      <c r="E2547" s="5">
        <f>XLOOKUP(G2547, item_category!C:C, item_category!B:B, "Not Found")</f>
      </c>
      <c r="F2547" s="1" t="s">
        <v>5632</v>
      </c>
      <c r="G2547" s="5">
        <f>XLOOKUP(I2547, drug!B:B, drug!A:A, "Not Found")</f>
      </c>
      <c r="H2547" s="1" t="s">
        <v>1942</v>
      </c>
      <c r="I2547" s="7">
        <v>1</v>
      </c>
      <c r="J2547" s="5">
        <f>XLOOKUP(L2547, uom!C:C, uom!B:B, "Not Found")</f>
      </c>
      <c r="K2547" s="1" t="s">
        <v>5511</v>
      </c>
      <c r="L2547" s="5">
        <f>XLOOKUP(N2547, uom!C:C, uom!B:B, "Not Found")</f>
      </c>
      <c r="M2547" s="1" t="s">
        <v>5511</v>
      </c>
      <c r="N2547" s="8" t="s">
        <v>5512</v>
      </c>
      <c r="O2547" s="1" t="s">
        <v>5513</v>
      </c>
      <c r="P2547" s="5">
        <f>XLOOKUP(R2547, classification!C:C, classification!B:B, "Not Found")</f>
      </c>
      <c r="Q2547" s="1" t="s">
        <v>5514</v>
      </c>
      <c r="R2547" s="2"/>
      <c r="S2547" s="2"/>
      <c r="T2547" s="2"/>
      <c r="U2547" s="2"/>
    </row>
    <row x14ac:dyDescent="0.25" r="2548" customHeight="1" ht="17.25">
      <c r="A2548" s="7">
        <v>2547</v>
      </c>
      <c r="B2548" s="1" t="s">
        <v>7906</v>
      </c>
      <c r="C2548" s="5">
        <f>CONCATENATE("PD", TEXT(A2548, "1000000"))</f>
      </c>
      <c r="D2548" s="7">
        <v>76</v>
      </c>
      <c r="E2548" s="5">
        <f>XLOOKUP(G2548, item_category!C:C, item_category!B:B, "Not Found")</f>
      </c>
      <c r="F2548" s="1" t="s">
        <v>5632</v>
      </c>
      <c r="G2548" s="5">
        <f>XLOOKUP(I2548, drug!B:B, drug!A:A, "Not Found")</f>
      </c>
      <c r="H2548" s="1" t="s">
        <v>1942</v>
      </c>
      <c r="I2548" s="7">
        <v>1</v>
      </c>
      <c r="J2548" s="5">
        <f>XLOOKUP(L2548, uom!C:C, uom!B:B, "Not Found")</f>
      </c>
      <c r="K2548" s="1" t="s">
        <v>5511</v>
      </c>
      <c r="L2548" s="5">
        <f>XLOOKUP(N2548, uom!C:C, uom!B:B, "Not Found")</f>
      </c>
      <c r="M2548" s="1" t="s">
        <v>5511</v>
      </c>
      <c r="N2548" s="8" t="s">
        <v>5512</v>
      </c>
      <c r="O2548" s="1" t="s">
        <v>5513</v>
      </c>
      <c r="P2548" s="5">
        <f>XLOOKUP(R2548, classification!C:C, classification!B:B, "Not Found")</f>
      </c>
      <c r="Q2548" s="1" t="s">
        <v>5514</v>
      </c>
      <c r="R2548" s="2"/>
      <c r="S2548" s="2"/>
      <c r="T2548" s="2"/>
      <c r="U2548" s="2"/>
    </row>
    <row x14ac:dyDescent="0.25" r="2549" customHeight="1" ht="17.25">
      <c r="A2549" s="7">
        <v>2548</v>
      </c>
      <c r="B2549" s="1" t="s">
        <v>7907</v>
      </c>
      <c r="C2549" s="5">
        <f>CONCATENATE("PD", TEXT(A2549, "1000000"))</f>
      </c>
      <c r="D2549" s="7">
        <v>76</v>
      </c>
      <c r="E2549" s="5">
        <f>XLOOKUP(G2549, item_category!C:C, item_category!B:B, "Not Found")</f>
      </c>
      <c r="F2549" s="1" t="s">
        <v>5632</v>
      </c>
      <c r="G2549" s="5">
        <f>XLOOKUP(I2549, drug!B:B, drug!A:A, "Not Found")</f>
      </c>
      <c r="H2549" s="1"/>
      <c r="I2549" s="7">
        <v>1</v>
      </c>
      <c r="J2549" s="5">
        <f>XLOOKUP(L2549, uom!C:C, uom!B:B, "Not Found")</f>
      </c>
      <c r="K2549" s="1" t="s">
        <v>5511</v>
      </c>
      <c r="L2549" s="5">
        <f>XLOOKUP(N2549, uom!C:C, uom!B:B, "Not Found")</f>
      </c>
      <c r="M2549" s="1" t="s">
        <v>5511</v>
      </c>
      <c r="N2549" s="8" t="s">
        <v>5512</v>
      </c>
      <c r="O2549" s="1" t="s">
        <v>5513</v>
      </c>
      <c r="P2549" s="5">
        <f>XLOOKUP(R2549, classification!C:C, classification!B:B, "Not Found")</f>
      </c>
      <c r="Q2549" s="1" t="s">
        <v>5514</v>
      </c>
      <c r="R2549" s="2"/>
      <c r="S2549" s="2"/>
      <c r="T2549" s="2"/>
      <c r="U2549" s="2"/>
    </row>
    <row x14ac:dyDescent="0.25" r="2550" customHeight="1" ht="17.25">
      <c r="A2550" s="7">
        <v>2549</v>
      </c>
      <c r="B2550" s="1" t="s">
        <v>7908</v>
      </c>
      <c r="C2550" s="5">
        <f>CONCATENATE("PD", TEXT(A2550, "1000000"))</f>
      </c>
      <c r="D2550" s="7">
        <v>76</v>
      </c>
      <c r="E2550" s="5">
        <f>XLOOKUP(G2550, item_category!C:C, item_category!B:B, "Not Found")</f>
      </c>
      <c r="F2550" s="1" t="s">
        <v>5632</v>
      </c>
      <c r="G2550" s="5">
        <f>XLOOKUP(I2550, drug!B:B, drug!A:A, "Not Found")</f>
      </c>
      <c r="H2550" s="1"/>
      <c r="I2550" s="7">
        <v>1</v>
      </c>
      <c r="J2550" s="5">
        <f>XLOOKUP(L2550, uom!C:C, uom!B:B, "Not Found")</f>
      </c>
      <c r="K2550" s="1" t="s">
        <v>5511</v>
      </c>
      <c r="L2550" s="5">
        <f>XLOOKUP(N2550, uom!C:C, uom!B:B, "Not Found")</f>
      </c>
      <c r="M2550" s="1" t="s">
        <v>5511</v>
      </c>
      <c r="N2550" s="8" t="s">
        <v>5512</v>
      </c>
      <c r="O2550" s="1" t="s">
        <v>5513</v>
      </c>
      <c r="P2550" s="5">
        <f>XLOOKUP(R2550, classification!C:C, classification!B:B, "Not Found")</f>
      </c>
      <c r="Q2550" s="1" t="s">
        <v>5514</v>
      </c>
      <c r="R2550" s="2"/>
      <c r="S2550" s="2"/>
      <c r="T2550" s="2"/>
      <c r="U2550" s="2"/>
    </row>
    <row x14ac:dyDescent="0.25" r="2551" customHeight="1" ht="17.25">
      <c r="A2551" s="7">
        <v>2550</v>
      </c>
      <c r="B2551" s="1" t="s">
        <v>7909</v>
      </c>
      <c r="C2551" s="5">
        <f>CONCATENATE("PD", TEXT(A2551, "1000000"))</f>
      </c>
      <c r="D2551" s="7">
        <v>76</v>
      </c>
      <c r="E2551" s="5">
        <f>XLOOKUP(G2551, item_category!C:C, item_category!B:B, "Not Found")</f>
      </c>
      <c r="F2551" s="1" t="s">
        <v>5632</v>
      </c>
      <c r="G2551" s="5">
        <f>XLOOKUP(I2551, drug!B:B, drug!A:A, "Not Found")</f>
      </c>
      <c r="H2551" s="1"/>
      <c r="I2551" s="7">
        <v>1</v>
      </c>
      <c r="J2551" s="5">
        <f>XLOOKUP(L2551, uom!C:C, uom!B:B, "Not Found")</f>
      </c>
      <c r="K2551" s="1" t="s">
        <v>5511</v>
      </c>
      <c r="L2551" s="5">
        <f>XLOOKUP(N2551, uom!C:C, uom!B:B, "Not Found")</f>
      </c>
      <c r="M2551" s="1" t="s">
        <v>5511</v>
      </c>
      <c r="N2551" s="8" t="s">
        <v>5512</v>
      </c>
      <c r="O2551" s="1" t="s">
        <v>5513</v>
      </c>
      <c r="P2551" s="5">
        <f>XLOOKUP(R2551, classification!C:C, classification!B:B, "Not Found")</f>
      </c>
      <c r="Q2551" s="1" t="s">
        <v>5514</v>
      </c>
      <c r="R2551" s="2"/>
      <c r="S2551" s="2"/>
      <c r="T2551" s="2"/>
      <c r="U2551" s="2"/>
    </row>
    <row x14ac:dyDescent="0.25" r="2552" customHeight="1" ht="17.25">
      <c r="A2552" s="7">
        <v>2551</v>
      </c>
      <c r="B2552" s="1" t="s">
        <v>7910</v>
      </c>
      <c r="C2552" s="5">
        <f>CONCATENATE("PD", TEXT(A2552, "1000000"))</f>
      </c>
      <c r="D2552" s="7">
        <v>76</v>
      </c>
      <c r="E2552" s="5">
        <f>XLOOKUP(G2552, item_category!C:C, item_category!B:B, "Not Found")</f>
      </c>
      <c r="F2552" s="1" t="s">
        <v>5632</v>
      </c>
      <c r="G2552" s="5">
        <f>XLOOKUP(I2552, drug!B:B, drug!A:A, "Not Found")</f>
      </c>
      <c r="H2552" s="1"/>
      <c r="I2552" s="7">
        <v>1</v>
      </c>
      <c r="J2552" s="5">
        <f>XLOOKUP(L2552, uom!C:C, uom!B:B, "Not Found")</f>
      </c>
      <c r="K2552" s="1" t="s">
        <v>5511</v>
      </c>
      <c r="L2552" s="5">
        <f>XLOOKUP(N2552, uom!C:C, uom!B:B, "Not Found")</f>
      </c>
      <c r="M2552" s="1" t="s">
        <v>5511</v>
      </c>
      <c r="N2552" s="8" t="s">
        <v>5512</v>
      </c>
      <c r="O2552" s="1" t="s">
        <v>5513</v>
      </c>
      <c r="P2552" s="5">
        <f>XLOOKUP(R2552, classification!C:C, classification!B:B, "Not Found")</f>
      </c>
      <c r="Q2552" s="1" t="s">
        <v>5514</v>
      </c>
      <c r="R2552" s="2"/>
      <c r="S2552" s="2"/>
      <c r="T2552" s="2"/>
      <c r="U2552" s="2"/>
    </row>
    <row x14ac:dyDescent="0.25" r="2553" customHeight="1" ht="17.25">
      <c r="A2553" s="7">
        <v>2552</v>
      </c>
      <c r="B2553" s="1" t="s">
        <v>7911</v>
      </c>
      <c r="C2553" s="5">
        <f>CONCATENATE("PD", TEXT(A2553, "1000000"))</f>
      </c>
      <c r="D2553" s="7">
        <v>76</v>
      </c>
      <c r="E2553" s="5">
        <f>XLOOKUP(G2553, item_category!C:C, item_category!B:B, "Not Found")</f>
      </c>
      <c r="F2553" s="1" t="s">
        <v>5632</v>
      </c>
      <c r="G2553" s="5">
        <f>XLOOKUP(I2553, drug!B:B, drug!A:A, "Not Found")</f>
      </c>
      <c r="H2553" s="1"/>
      <c r="I2553" s="7">
        <v>1</v>
      </c>
      <c r="J2553" s="5">
        <f>XLOOKUP(L2553, uom!C:C, uom!B:B, "Not Found")</f>
      </c>
      <c r="K2553" s="1" t="s">
        <v>5511</v>
      </c>
      <c r="L2553" s="5">
        <f>XLOOKUP(N2553, uom!C:C, uom!B:B, "Not Found")</f>
      </c>
      <c r="M2553" s="1" t="s">
        <v>5511</v>
      </c>
      <c r="N2553" s="8" t="s">
        <v>5512</v>
      </c>
      <c r="O2553" s="1" t="s">
        <v>5513</v>
      </c>
      <c r="P2553" s="5">
        <f>XLOOKUP(R2553, classification!C:C, classification!B:B, "Not Found")</f>
      </c>
      <c r="Q2553" s="1" t="s">
        <v>5514</v>
      </c>
      <c r="R2553" s="2"/>
      <c r="S2553" s="2"/>
      <c r="T2553" s="2"/>
      <c r="U2553" s="2"/>
    </row>
    <row x14ac:dyDescent="0.25" r="2554" customHeight="1" ht="17.25">
      <c r="A2554" s="7">
        <v>2553</v>
      </c>
      <c r="B2554" s="1" t="s">
        <v>7912</v>
      </c>
      <c r="C2554" s="5">
        <f>CONCATENATE("PD", TEXT(A2554, "1000000"))</f>
      </c>
      <c r="D2554" s="7">
        <v>76</v>
      </c>
      <c r="E2554" s="5">
        <f>XLOOKUP(G2554, item_category!C:C, item_category!B:B, "Not Found")</f>
      </c>
      <c r="F2554" s="1" t="s">
        <v>5632</v>
      </c>
      <c r="G2554" s="5">
        <f>XLOOKUP(I2554, drug!B:B, drug!A:A, "Not Found")</f>
      </c>
      <c r="H2554" s="1"/>
      <c r="I2554" s="7">
        <v>1</v>
      </c>
      <c r="J2554" s="5">
        <f>XLOOKUP(L2554, uom!C:C, uom!B:B, "Not Found")</f>
      </c>
      <c r="K2554" s="1" t="s">
        <v>5511</v>
      </c>
      <c r="L2554" s="5">
        <f>XLOOKUP(N2554, uom!C:C, uom!B:B, "Not Found")</f>
      </c>
      <c r="M2554" s="1" t="s">
        <v>5511</v>
      </c>
      <c r="N2554" s="8" t="s">
        <v>5512</v>
      </c>
      <c r="O2554" s="1" t="s">
        <v>5513</v>
      </c>
      <c r="P2554" s="5">
        <f>XLOOKUP(R2554, classification!C:C, classification!B:B, "Not Found")</f>
      </c>
      <c r="Q2554" s="1" t="s">
        <v>5514</v>
      </c>
      <c r="R2554" s="2"/>
      <c r="S2554" s="2"/>
      <c r="T2554" s="2"/>
      <c r="U2554" s="2"/>
    </row>
    <row x14ac:dyDescent="0.25" r="2555" customHeight="1" ht="17.25">
      <c r="A2555" s="7">
        <v>2554</v>
      </c>
      <c r="B2555" s="1" t="s">
        <v>7913</v>
      </c>
      <c r="C2555" s="5">
        <f>CONCATENATE("PD", TEXT(A2555, "1000000"))</f>
      </c>
      <c r="D2555" s="7">
        <v>76</v>
      </c>
      <c r="E2555" s="5">
        <f>XLOOKUP(G2555, item_category!C:C, item_category!B:B, "Not Found")</f>
      </c>
      <c r="F2555" s="1" t="s">
        <v>5632</v>
      </c>
      <c r="G2555" s="5">
        <f>XLOOKUP(I2555, drug!B:B, drug!A:A, "Not Found")</f>
      </c>
      <c r="H2555" s="1"/>
      <c r="I2555" s="7">
        <v>1</v>
      </c>
      <c r="J2555" s="5">
        <f>XLOOKUP(L2555, uom!C:C, uom!B:B, "Not Found")</f>
      </c>
      <c r="K2555" s="1" t="s">
        <v>5511</v>
      </c>
      <c r="L2555" s="5">
        <f>XLOOKUP(N2555, uom!C:C, uom!B:B, "Not Found")</f>
      </c>
      <c r="M2555" s="1" t="s">
        <v>5511</v>
      </c>
      <c r="N2555" s="8" t="s">
        <v>5512</v>
      </c>
      <c r="O2555" s="1" t="s">
        <v>5513</v>
      </c>
      <c r="P2555" s="5">
        <f>XLOOKUP(R2555, classification!C:C, classification!B:B, "Not Found")</f>
      </c>
      <c r="Q2555" s="1" t="s">
        <v>5514</v>
      </c>
      <c r="R2555" s="2"/>
      <c r="S2555" s="2"/>
      <c r="T2555" s="2"/>
      <c r="U2555" s="2"/>
    </row>
    <row x14ac:dyDescent="0.25" r="2556" customHeight="1" ht="17.25">
      <c r="A2556" s="7">
        <v>2555</v>
      </c>
      <c r="B2556" s="1" t="s">
        <v>7914</v>
      </c>
      <c r="C2556" s="5">
        <f>CONCATENATE("PD", TEXT(A2556, "1000000"))</f>
      </c>
      <c r="D2556" s="7">
        <v>76</v>
      </c>
      <c r="E2556" s="5">
        <f>XLOOKUP(G2556, item_category!C:C, item_category!B:B, "Not Found")</f>
      </c>
      <c r="F2556" s="1" t="s">
        <v>5632</v>
      </c>
      <c r="G2556" s="5">
        <f>XLOOKUP(I2556, drug!B:B, drug!A:A, "Not Found")</f>
      </c>
      <c r="H2556" s="1"/>
      <c r="I2556" s="7">
        <v>1</v>
      </c>
      <c r="J2556" s="5">
        <f>XLOOKUP(L2556, uom!C:C, uom!B:B, "Not Found")</f>
      </c>
      <c r="K2556" s="1" t="s">
        <v>5511</v>
      </c>
      <c r="L2556" s="5">
        <f>XLOOKUP(N2556, uom!C:C, uom!B:B, "Not Found")</f>
      </c>
      <c r="M2556" s="1" t="s">
        <v>5511</v>
      </c>
      <c r="N2556" s="8" t="s">
        <v>5512</v>
      </c>
      <c r="O2556" s="1" t="s">
        <v>5513</v>
      </c>
      <c r="P2556" s="5">
        <f>XLOOKUP(R2556, classification!C:C, classification!B:B, "Not Found")</f>
      </c>
      <c r="Q2556" s="1" t="s">
        <v>5514</v>
      </c>
      <c r="R2556" s="2"/>
      <c r="S2556" s="2"/>
      <c r="T2556" s="2"/>
      <c r="U2556" s="2"/>
    </row>
    <row x14ac:dyDescent="0.25" r="2557" customHeight="1" ht="17.25">
      <c r="A2557" s="7">
        <v>2556</v>
      </c>
      <c r="B2557" s="1" t="s">
        <v>7915</v>
      </c>
      <c r="C2557" s="5">
        <f>CONCATENATE("PD", TEXT(A2557, "1000000"))</f>
      </c>
      <c r="D2557" s="7">
        <v>76</v>
      </c>
      <c r="E2557" s="5">
        <f>XLOOKUP(G2557, item_category!C:C, item_category!B:B, "Not Found")</f>
      </c>
      <c r="F2557" s="1" t="s">
        <v>5632</v>
      </c>
      <c r="G2557" s="5">
        <f>XLOOKUP(I2557, drug!B:B, drug!A:A, "Not Found")</f>
      </c>
      <c r="H2557" s="1"/>
      <c r="I2557" s="7">
        <v>1</v>
      </c>
      <c r="J2557" s="5">
        <f>XLOOKUP(L2557, uom!C:C, uom!B:B, "Not Found")</f>
      </c>
      <c r="K2557" s="1" t="s">
        <v>5511</v>
      </c>
      <c r="L2557" s="5">
        <f>XLOOKUP(N2557, uom!C:C, uom!B:B, "Not Found")</f>
      </c>
      <c r="M2557" s="1" t="s">
        <v>5511</v>
      </c>
      <c r="N2557" s="8" t="s">
        <v>5512</v>
      </c>
      <c r="O2557" s="1" t="s">
        <v>5513</v>
      </c>
      <c r="P2557" s="5">
        <f>XLOOKUP(R2557, classification!C:C, classification!B:B, "Not Found")</f>
      </c>
      <c r="Q2557" s="1" t="s">
        <v>5514</v>
      </c>
      <c r="R2557" s="2"/>
      <c r="S2557" s="2"/>
      <c r="T2557" s="2"/>
      <c r="U2557" s="2"/>
    </row>
    <row x14ac:dyDescent="0.25" r="2558" customHeight="1" ht="17.25">
      <c r="A2558" s="7">
        <v>2557</v>
      </c>
      <c r="B2558" s="1" t="s">
        <v>7916</v>
      </c>
      <c r="C2558" s="5">
        <f>CONCATENATE("PD", TEXT(A2558, "1000000"))</f>
      </c>
      <c r="D2558" s="7">
        <v>76</v>
      </c>
      <c r="E2558" s="5">
        <f>XLOOKUP(G2558, item_category!C:C, item_category!B:B, "Not Found")</f>
      </c>
      <c r="F2558" s="1" t="s">
        <v>5632</v>
      </c>
      <c r="G2558" s="5">
        <f>XLOOKUP(I2558, drug!B:B, drug!A:A, "Not Found")</f>
      </c>
      <c r="H2558" s="1"/>
      <c r="I2558" s="7">
        <v>1</v>
      </c>
      <c r="J2558" s="5">
        <f>XLOOKUP(L2558, uom!C:C, uom!B:B, "Not Found")</f>
      </c>
      <c r="K2558" s="1" t="s">
        <v>5511</v>
      </c>
      <c r="L2558" s="5">
        <f>XLOOKUP(N2558, uom!C:C, uom!B:B, "Not Found")</f>
      </c>
      <c r="M2558" s="1" t="s">
        <v>5511</v>
      </c>
      <c r="N2558" s="8" t="s">
        <v>5512</v>
      </c>
      <c r="O2558" s="1" t="s">
        <v>5513</v>
      </c>
      <c r="P2558" s="5">
        <f>XLOOKUP(R2558, classification!C:C, classification!B:B, "Not Found")</f>
      </c>
      <c r="Q2558" s="1" t="s">
        <v>5514</v>
      </c>
      <c r="R2558" s="2"/>
      <c r="S2558" s="2"/>
      <c r="T2558" s="2"/>
      <c r="U2558" s="2"/>
    </row>
    <row x14ac:dyDescent="0.25" r="2559" customHeight="1" ht="17.25">
      <c r="A2559" s="7">
        <v>2558</v>
      </c>
      <c r="B2559" s="1" t="s">
        <v>7917</v>
      </c>
      <c r="C2559" s="5">
        <f>CONCATENATE("PD", TEXT(A2559, "1000000"))</f>
      </c>
      <c r="D2559" s="7">
        <v>76</v>
      </c>
      <c r="E2559" s="5">
        <f>XLOOKUP(G2559, item_category!C:C, item_category!B:B, "Not Found")</f>
      </c>
      <c r="F2559" s="1" t="s">
        <v>5632</v>
      </c>
      <c r="G2559" s="5">
        <f>XLOOKUP(I2559, drug!B:B, drug!A:A, "Not Found")</f>
      </c>
      <c r="H2559" s="1"/>
      <c r="I2559" s="7">
        <v>1</v>
      </c>
      <c r="J2559" s="5">
        <f>XLOOKUP(L2559, uom!C:C, uom!B:B, "Not Found")</f>
      </c>
      <c r="K2559" s="1" t="s">
        <v>5511</v>
      </c>
      <c r="L2559" s="5">
        <f>XLOOKUP(N2559, uom!C:C, uom!B:B, "Not Found")</f>
      </c>
      <c r="M2559" s="1" t="s">
        <v>5511</v>
      </c>
      <c r="N2559" s="8" t="s">
        <v>5512</v>
      </c>
      <c r="O2559" s="1" t="s">
        <v>5513</v>
      </c>
      <c r="P2559" s="5">
        <f>XLOOKUP(R2559, classification!C:C, classification!B:B, "Not Found")</f>
      </c>
      <c r="Q2559" s="1" t="s">
        <v>5514</v>
      </c>
      <c r="R2559" s="2"/>
      <c r="S2559" s="2"/>
      <c r="T2559" s="2"/>
      <c r="U2559" s="2"/>
    </row>
    <row x14ac:dyDescent="0.25" r="2560" customHeight="1" ht="17.25">
      <c r="A2560" s="7">
        <v>2559</v>
      </c>
      <c r="B2560" s="1" t="s">
        <v>7918</v>
      </c>
      <c r="C2560" s="5">
        <f>CONCATENATE("PD", TEXT(A2560, "1000000"))</f>
      </c>
      <c r="D2560" s="7">
        <v>76</v>
      </c>
      <c r="E2560" s="5">
        <f>XLOOKUP(G2560, item_category!C:C, item_category!B:B, "Not Found")</f>
      </c>
      <c r="F2560" s="1" t="s">
        <v>5632</v>
      </c>
      <c r="G2560" s="5">
        <f>XLOOKUP(I2560, drug!B:B, drug!A:A, "Not Found")</f>
      </c>
      <c r="H2560" s="1"/>
      <c r="I2560" s="7">
        <v>1</v>
      </c>
      <c r="J2560" s="5">
        <f>XLOOKUP(L2560, uom!C:C, uom!B:B, "Not Found")</f>
      </c>
      <c r="K2560" s="1" t="s">
        <v>5511</v>
      </c>
      <c r="L2560" s="5">
        <f>XLOOKUP(N2560, uom!C:C, uom!B:B, "Not Found")</f>
      </c>
      <c r="M2560" s="1" t="s">
        <v>5511</v>
      </c>
      <c r="N2560" s="8" t="s">
        <v>5512</v>
      </c>
      <c r="O2560" s="1" t="s">
        <v>5513</v>
      </c>
      <c r="P2560" s="5">
        <f>XLOOKUP(R2560, classification!C:C, classification!B:B, "Not Found")</f>
      </c>
      <c r="Q2560" s="1" t="s">
        <v>5514</v>
      </c>
      <c r="R2560" s="2"/>
      <c r="S2560" s="2"/>
      <c r="T2560" s="2"/>
      <c r="U2560" s="2"/>
    </row>
    <row x14ac:dyDescent="0.25" r="2561" customHeight="1" ht="17.25">
      <c r="A2561" s="7">
        <v>2560</v>
      </c>
      <c r="B2561" s="1" t="s">
        <v>7919</v>
      </c>
      <c r="C2561" s="5">
        <f>CONCATENATE("PD", TEXT(A2561, "1000000"))</f>
      </c>
      <c r="D2561" s="7">
        <v>76</v>
      </c>
      <c r="E2561" s="5">
        <f>XLOOKUP(G2561, item_category!C:C, item_category!B:B, "Not Found")</f>
      </c>
      <c r="F2561" s="1" t="s">
        <v>5632</v>
      </c>
      <c r="G2561" s="5">
        <f>XLOOKUP(I2561, drug!B:B, drug!A:A, "Not Found")</f>
      </c>
      <c r="H2561" s="1"/>
      <c r="I2561" s="7">
        <v>1</v>
      </c>
      <c r="J2561" s="5">
        <f>XLOOKUP(L2561, uom!C:C, uom!B:B, "Not Found")</f>
      </c>
      <c r="K2561" s="1" t="s">
        <v>5511</v>
      </c>
      <c r="L2561" s="5">
        <f>XLOOKUP(N2561, uom!C:C, uom!B:B, "Not Found")</f>
      </c>
      <c r="M2561" s="1" t="s">
        <v>5511</v>
      </c>
      <c r="N2561" s="8" t="s">
        <v>5512</v>
      </c>
      <c r="O2561" s="1" t="s">
        <v>5513</v>
      </c>
      <c r="P2561" s="5">
        <f>XLOOKUP(R2561, classification!C:C, classification!B:B, "Not Found")</f>
      </c>
      <c r="Q2561" s="1" t="s">
        <v>5514</v>
      </c>
      <c r="R2561" s="2"/>
      <c r="S2561" s="2"/>
      <c r="T2561" s="2"/>
      <c r="U2561" s="2"/>
    </row>
    <row x14ac:dyDescent="0.25" r="2562" customHeight="1" ht="17.25">
      <c r="A2562" s="7">
        <v>2561</v>
      </c>
      <c r="B2562" s="1" t="s">
        <v>7920</v>
      </c>
      <c r="C2562" s="5">
        <f>CONCATENATE("PD", TEXT(A2562, "1000000"))</f>
      </c>
      <c r="D2562" s="7">
        <v>76</v>
      </c>
      <c r="E2562" s="5">
        <f>XLOOKUP(G2562, item_category!C:C, item_category!B:B, "Not Found")</f>
      </c>
      <c r="F2562" s="1" t="s">
        <v>5632</v>
      </c>
      <c r="G2562" s="5">
        <f>XLOOKUP(I2562, drug!B:B, drug!A:A, "Not Found")</f>
      </c>
      <c r="H2562" s="1"/>
      <c r="I2562" s="7">
        <v>1</v>
      </c>
      <c r="J2562" s="5">
        <f>XLOOKUP(L2562, uom!C:C, uom!B:B, "Not Found")</f>
      </c>
      <c r="K2562" s="1" t="s">
        <v>5511</v>
      </c>
      <c r="L2562" s="5">
        <f>XLOOKUP(N2562, uom!C:C, uom!B:B, "Not Found")</f>
      </c>
      <c r="M2562" s="1" t="s">
        <v>5511</v>
      </c>
      <c r="N2562" s="8" t="s">
        <v>5512</v>
      </c>
      <c r="O2562" s="1" t="s">
        <v>5513</v>
      </c>
      <c r="P2562" s="5">
        <f>XLOOKUP(R2562, classification!C:C, classification!B:B, "Not Found")</f>
      </c>
      <c r="Q2562" s="1" t="s">
        <v>5514</v>
      </c>
      <c r="R2562" s="2"/>
      <c r="S2562" s="2"/>
      <c r="T2562" s="2"/>
      <c r="U2562" s="2"/>
    </row>
    <row x14ac:dyDescent="0.25" r="2563" customHeight="1" ht="17.25">
      <c r="A2563" s="7">
        <v>2562</v>
      </c>
      <c r="B2563" s="1" t="s">
        <v>7921</v>
      </c>
      <c r="C2563" s="5">
        <f>CONCATENATE("PD", TEXT(A2563, "1000000"))</f>
      </c>
      <c r="D2563" s="7">
        <v>76</v>
      </c>
      <c r="E2563" s="5">
        <f>XLOOKUP(G2563, item_category!C:C, item_category!B:B, "Not Found")</f>
      </c>
      <c r="F2563" s="1" t="s">
        <v>5632</v>
      </c>
      <c r="G2563" s="5">
        <f>XLOOKUP(I2563, drug!B:B, drug!A:A, "Not Found")</f>
      </c>
      <c r="H2563" s="1"/>
      <c r="I2563" s="7">
        <v>1</v>
      </c>
      <c r="J2563" s="5">
        <f>XLOOKUP(L2563, uom!C:C, uom!B:B, "Not Found")</f>
      </c>
      <c r="K2563" s="1" t="s">
        <v>5511</v>
      </c>
      <c r="L2563" s="5">
        <f>XLOOKUP(N2563, uom!C:C, uom!B:B, "Not Found")</f>
      </c>
      <c r="M2563" s="1" t="s">
        <v>5511</v>
      </c>
      <c r="N2563" s="8" t="s">
        <v>5512</v>
      </c>
      <c r="O2563" s="1" t="s">
        <v>5513</v>
      </c>
      <c r="P2563" s="5">
        <f>XLOOKUP(R2563, classification!C:C, classification!B:B, "Not Found")</f>
      </c>
      <c r="Q2563" s="1" t="s">
        <v>5514</v>
      </c>
      <c r="R2563" s="2"/>
      <c r="S2563" s="2"/>
      <c r="T2563" s="2"/>
      <c r="U2563" s="2"/>
    </row>
    <row x14ac:dyDescent="0.25" r="2564" customHeight="1" ht="17.25">
      <c r="A2564" s="7">
        <v>2563</v>
      </c>
      <c r="B2564" s="1" t="s">
        <v>3254</v>
      </c>
      <c r="C2564" s="5">
        <f>CONCATENATE("PD", TEXT(A2564, "1000000"))</f>
      </c>
      <c r="D2564" s="7">
        <v>76</v>
      </c>
      <c r="E2564" s="5">
        <f>XLOOKUP(G2564, item_category!C:C, item_category!B:B, "Not Found")</f>
      </c>
      <c r="F2564" s="1" t="s">
        <v>5632</v>
      </c>
      <c r="G2564" s="5">
        <f>XLOOKUP(I2564, drug!B:B, drug!A:A, "Not Found")</f>
      </c>
      <c r="H2564" s="1"/>
      <c r="I2564" s="7">
        <v>1</v>
      </c>
      <c r="J2564" s="5">
        <f>XLOOKUP(L2564, uom!C:C, uom!B:B, "Not Found")</f>
      </c>
      <c r="K2564" s="1" t="s">
        <v>5511</v>
      </c>
      <c r="L2564" s="5">
        <f>XLOOKUP(N2564, uom!C:C, uom!B:B, "Not Found")</f>
      </c>
      <c r="M2564" s="1" t="s">
        <v>5511</v>
      </c>
      <c r="N2564" s="8" t="s">
        <v>5512</v>
      </c>
      <c r="O2564" s="1" t="s">
        <v>5513</v>
      </c>
      <c r="P2564" s="5">
        <f>XLOOKUP(R2564, classification!C:C, classification!B:B, "Not Found")</f>
      </c>
      <c r="Q2564" s="1" t="s">
        <v>5514</v>
      </c>
      <c r="R2564" s="2"/>
      <c r="S2564" s="2"/>
      <c r="T2564" s="2"/>
      <c r="U2564" s="2"/>
    </row>
    <row x14ac:dyDescent="0.25" r="2565" customHeight="1" ht="17.25">
      <c r="A2565" s="7">
        <v>2564</v>
      </c>
      <c r="B2565" s="1" t="s">
        <v>7922</v>
      </c>
      <c r="C2565" s="5">
        <f>CONCATENATE("PD", TEXT(A2565, "1000000"))</f>
      </c>
      <c r="D2565" s="7">
        <v>76</v>
      </c>
      <c r="E2565" s="5">
        <f>XLOOKUP(G2565, item_category!C:C, item_category!B:B, "Not Found")</f>
      </c>
      <c r="F2565" s="1" t="s">
        <v>5632</v>
      </c>
      <c r="G2565" s="5">
        <f>XLOOKUP(I2565, drug!B:B, drug!A:A, "Not Found")</f>
      </c>
      <c r="H2565" s="1"/>
      <c r="I2565" s="7">
        <v>1</v>
      </c>
      <c r="J2565" s="5">
        <f>XLOOKUP(L2565, uom!C:C, uom!B:B, "Not Found")</f>
      </c>
      <c r="K2565" s="1" t="s">
        <v>5511</v>
      </c>
      <c r="L2565" s="5">
        <f>XLOOKUP(N2565, uom!C:C, uom!B:B, "Not Found")</f>
      </c>
      <c r="M2565" s="1" t="s">
        <v>5511</v>
      </c>
      <c r="N2565" s="8" t="s">
        <v>5512</v>
      </c>
      <c r="O2565" s="1" t="s">
        <v>5513</v>
      </c>
      <c r="P2565" s="5">
        <f>XLOOKUP(R2565, classification!C:C, classification!B:B, "Not Found")</f>
      </c>
      <c r="Q2565" s="1" t="s">
        <v>5514</v>
      </c>
      <c r="R2565" s="2"/>
      <c r="S2565" s="2"/>
      <c r="T2565" s="2"/>
      <c r="U2565" s="2"/>
    </row>
    <row x14ac:dyDescent="0.25" r="2566" customHeight="1" ht="17.25">
      <c r="A2566" s="7">
        <v>2565</v>
      </c>
      <c r="B2566" s="1" t="s">
        <v>7923</v>
      </c>
      <c r="C2566" s="5">
        <f>CONCATENATE("PD", TEXT(A2566, "1000000"))</f>
      </c>
      <c r="D2566" s="7">
        <v>76</v>
      </c>
      <c r="E2566" s="5">
        <f>XLOOKUP(G2566, item_category!C:C, item_category!B:B, "Not Found")</f>
      </c>
      <c r="F2566" s="1" t="s">
        <v>5632</v>
      </c>
      <c r="G2566" s="5">
        <f>XLOOKUP(I2566, drug!B:B, drug!A:A, "Not Found")</f>
      </c>
      <c r="H2566" s="1" t="s">
        <v>1942</v>
      </c>
      <c r="I2566" s="7">
        <v>1</v>
      </c>
      <c r="J2566" s="5">
        <f>XLOOKUP(L2566, uom!C:C, uom!B:B, "Not Found")</f>
      </c>
      <c r="K2566" s="1" t="s">
        <v>5511</v>
      </c>
      <c r="L2566" s="5">
        <f>XLOOKUP(N2566, uom!C:C, uom!B:B, "Not Found")</f>
      </c>
      <c r="M2566" s="1" t="s">
        <v>5511</v>
      </c>
      <c r="N2566" s="8" t="s">
        <v>5512</v>
      </c>
      <c r="O2566" s="1" t="s">
        <v>5513</v>
      </c>
      <c r="P2566" s="5">
        <f>XLOOKUP(R2566, classification!C:C, classification!B:B, "Not Found")</f>
      </c>
      <c r="Q2566" s="1" t="s">
        <v>5514</v>
      </c>
      <c r="R2566" s="2"/>
      <c r="S2566" s="2"/>
      <c r="T2566" s="2"/>
      <c r="U2566" s="2"/>
    </row>
    <row x14ac:dyDescent="0.25" r="2567" customHeight="1" ht="17.25">
      <c r="A2567" s="7">
        <v>2566</v>
      </c>
      <c r="B2567" s="1" t="s">
        <v>7924</v>
      </c>
      <c r="C2567" s="5">
        <f>CONCATENATE("PD", TEXT(A2567, "1000000"))</f>
      </c>
      <c r="D2567" s="7">
        <v>76</v>
      </c>
      <c r="E2567" s="5">
        <f>XLOOKUP(G2567, item_category!C:C, item_category!B:B, "Not Found")</f>
      </c>
      <c r="F2567" s="1" t="s">
        <v>5632</v>
      </c>
      <c r="G2567" s="5">
        <f>XLOOKUP(I2567, drug!B:B, drug!A:A, "Not Found")</f>
      </c>
      <c r="H2567" s="1"/>
      <c r="I2567" s="7">
        <v>1</v>
      </c>
      <c r="J2567" s="5">
        <f>XLOOKUP(L2567, uom!C:C, uom!B:B, "Not Found")</f>
      </c>
      <c r="K2567" s="1" t="s">
        <v>5511</v>
      </c>
      <c r="L2567" s="5">
        <f>XLOOKUP(N2567, uom!C:C, uom!B:B, "Not Found")</f>
      </c>
      <c r="M2567" s="1" t="s">
        <v>5511</v>
      </c>
      <c r="N2567" s="8" t="s">
        <v>5512</v>
      </c>
      <c r="O2567" s="1" t="s">
        <v>5513</v>
      </c>
      <c r="P2567" s="5">
        <f>XLOOKUP(R2567, classification!C:C, classification!B:B, "Not Found")</f>
      </c>
      <c r="Q2567" s="1" t="s">
        <v>5514</v>
      </c>
      <c r="R2567" s="2"/>
      <c r="S2567" s="2"/>
      <c r="T2567" s="2"/>
      <c r="U2567" s="2"/>
    </row>
    <row x14ac:dyDescent="0.25" r="2568" customHeight="1" ht="17.25">
      <c r="A2568" s="7">
        <v>2567</v>
      </c>
      <c r="B2568" s="1" t="s">
        <v>7925</v>
      </c>
      <c r="C2568" s="5">
        <f>CONCATENATE("PD", TEXT(A2568, "1000000"))</f>
      </c>
      <c r="D2568" s="7">
        <v>76</v>
      </c>
      <c r="E2568" s="5">
        <f>XLOOKUP(G2568, item_category!C:C, item_category!B:B, "Not Found")</f>
      </c>
      <c r="F2568" s="1" t="s">
        <v>5632</v>
      </c>
      <c r="G2568" s="5">
        <f>XLOOKUP(I2568, drug!B:B, drug!A:A, "Not Found")</f>
      </c>
      <c r="H2568" s="1"/>
      <c r="I2568" s="7">
        <v>1</v>
      </c>
      <c r="J2568" s="5">
        <f>XLOOKUP(L2568, uom!C:C, uom!B:B, "Not Found")</f>
      </c>
      <c r="K2568" s="1" t="s">
        <v>5511</v>
      </c>
      <c r="L2568" s="5">
        <f>XLOOKUP(N2568, uom!C:C, uom!B:B, "Not Found")</f>
      </c>
      <c r="M2568" s="1" t="s">
        <v>5511</v>
      </c>
      <c r="N2568" s="8" t="s">
        <v>5512</v>
      </c>
      <c r="O2568" s="1" t="s">
        <v>5513</v>
      </c>
      <c r="P2568" s="5">
        <f>XLOOKUP(R2568, classification!C:C, classification!B:B, "Not Found")</f>
      </c>
      <c r="Q2568" s="1" t="s">
        <v>5514</v>
      </c>
      <c r="R2568" s="2"/>
      <c r="S2568" s="2"/>
      <c r="T2568" s="2"/>
      <c r="U2568" s="2"/>
    </row>
    <row x14ac:dyDescent="0.25" r="2569" customHeight="1" ht="17.25">
      <c r="A2569" s="7">
        <v>2568</v>
      </c>
      <c r="B2569" s="1" t="s">
        <v>7926</v>
      </c>
      <c r="C2569" s="5">
        <f>CONCATENATE("PD", TEXT(A2569, "1000000"))</f>
      </c>
      <c r="D2569" s="7">
        <v>76</v>
      </c>
      <c r="E2569" s="5">
        <f>XLOOKUP(G2569, item_category!C:C, item_category!B:B, "Not Found")</f>
      </c>
      <c r="F2569" s="1" t="s">
        <v>5632</v>
      </c>
      <c r="G2569" s="5">
        <f>XLOOKUP(I2569, drug!B:B, drug!A:A, "Not Found")</f>
      </c>
      <c r="H2569" s="1"/>
      <c r="I2569" s="7">
        <v>1</v>
      </c>
      <c r="J2569" s="5">
        <f>XLOOKUP(L2569, uom!C:C, uom!B:B, "Not Found")</f>
      </c>
      <c r="K2569" s="1" t="s">
        <v>5511</v>
      </c>
      <c r="L2569" s="5">
        <f>XLOOKUP(N2569, uom!C:C, uom!B:B, "Not Found")</f>
      </c>
      <c r="M2569" s="1" t="s">
        <v>5511</v>
      </c>
      <c r="N2569" s="8" t="s">
        <v>5512</v>
      </c>
      <c r="O2569" s="1" t="s">
        <v>5513</v>
      </c>
      <c r="P2569" s="5">
        <f>XLOOKUP(R2569, classification!C:C, classification!B:B, "Not Found")</f>
      </c>
      <c r="Q2569" s="1" t="s">
        <v>5514</v>
      </c>
      <c r="R2569" s="2"/>
      <c r="S2569" s="2"/>
      <c r="T2569" s="2"/>
      <c r="U2569" s="2"/>
    </row>
    <row x14ac:dyDescent="0.25" r="2570" customHeight="1" ht="17.25">
      <c r="A2570" s="7">
        <v>2569</v>
      </c>
      <c r="B2570" s="1" t="s">
        <v>7927</v>
      </c>
      <c r="C2570" s="5">
        <f>CONCATENATE("PD", TEXT(A2570, "1000000"))</f>
      </c>
      <c r="D2570" s="7">
        <v>76</v>
      </c>
      <c r="E2570" s="5">
        <f>XLOOKUP(G2570, item_category!C:C, item_category!B:B, "Not Found")</f>
      </c>
      <c r="F2570" s="1" t="s">
        <v>5632</v>
      </c>
      <c r="G2570" s="5">
        <f>XLOOKUP(I2570, drug!B:B, drug!A:A, "Not Found")</f>
      </c>
      <c r="H2570" s="1" t="s">
        <v>1444</v>
      </c>
      <c r="I2570" s="7">
        <v>1</v>
      </c>
      <c r="J2570" s="5">
        <f>XLOOKUP(L2570, uom!C:C, uom!B:B, "Not Found")</f>
      </c>
      <c r="K2570" s="1" t="s">
        <v>5511</v>
      </c>
      <c r="L2570" s="5">
        <f>XLOOKUP(N2570, uom!C:C, uom!B:B, "Not Found")</f>
      </c>
      <c r="M2570" s="1" t="s">
        <v>5511</v>
      </c>
      <c r="N2570" s="8" t="s">
        <v>5512</v>
      </c>
      <c r="O2570" s="1" t="s">
        <v>5513</v>
      </c>
      <c r="P2570" s="5">
        <f>XLOOKUP(R2570, classification!C:C, classification!B:B, "Not Found")</f>
      </c>
      <c r="Q2570" s="1" t="s">
        <v>5514</v>
      </c>
      <c r="R2570" s="2"/>
      <c r="S2570" s="2"/>
      <c r="T2570" s="2"/>
      <c r="U2570" s="2"/>
    </row>
    <row x14ac:dyDescent="0.25" r="2571" customHeight="1" ht="17.25">
      <c r="A2571" s="7">
        <v>2570</v>
      </c>
      <c r="B2571" s="1" t="s">
        <v>7928</v>
      </c>
      <c r="C2571" s="5">
        <f>CONCATENATE("PD", TEXT(A2571, "1000000"))</f>
      </c>
      <c r="D2571" s="7">
        <v>76</v>
      </c>
      <c r="E2571" s="5">
        <f>XLOOKUP(G2571, item_category!C:C, item_category!B:B, "Not Found")</f>
      </c>
      <c r="F2571" s="1" t="s">
        <v>5632</v>
      </c>
      <c r="G2571" s="5">
        <f>XLOOKUP(I2571, drug!B:B, drug!A:A, "Not Found")</f>
      </c>
      <c r="H2571" s="1" t="s">
        <v>1444</v>
      </c>
      <c r="I2571" s="7">
        <v>1</v>
      </c>
      <c r="J2571" s="5">
        <f>XLOOKUP(L2571, uom!C:C, uom!B:B, "Not Found")</f>
      </c>
      <c r="K2571" s="1" t="s">
        <v>5511</v>
      </c>
      <c r="L2571" s="5">
        <f>XLOOKUP(N2571, uom!C:C, uom!B:B, "Not Found")</f>
      </c>
      <c r="M2571" s="1" t="s">
        <v>5511</v>
      </c>
      <c r="N2571" s="8" t="s">
        <v>5512</v>
      </c>
      <c r="O2571" s="1" t="s">
        <v>5513</v>
      </c>
      <c r="P2571" s="5">
        <f>XLOOKUP(R2571, classification!C:C, classification!B:B, "Not Found")</f>
      </c>
      <c r="Q2571" s="1" t="s">
        <v>5514</v>
      </c>
      <c r="R2571" s="2"/>
      <c r="S2571" s="2"/>
      <c r="T2571" s="2"/>
      <c r="U2571" s="2"/>
    </row>
    <row x14ac:dyDescent="0.25" r="2572" customHeight="1" ht="17.25">
      <c r="A2572" s="7">
        <v>2571</v>
      </c>
      <c r="B2572" s="1" t="s">
        <v>7929</v>
      </c>
      <c r="C2572" s="5">
        <f>CONCATENATE("PD", TEXT(A2572, "1000000"))</f>
      </c>
      <c r="D2572" s="7">
        <v>76</v>
      </c>
      <c r="E2572" s="5">
        <f>XLOOKUP(G2572, item_category!C:C, item_category!B:B, "Not Found")</f>
      </c>
      <c r="F2572" s="1" t="s">
        <v>5632</v>
      </c>
      <c r="G2572" s="5">
        <f>XLOOKUP(I2572, drug!B:B, drug!A:A, "Not Found")</f>
      </c>
      <c r="H2572" s="1" t="s">
        <v>1444</v>
      </c>
      <c r="I2572" s="7">
        <v>1</v>
      </c>
      <c r="J2572" s="5">
        <f>XLOOKUP(L2572, uom!C:C, uom!B:B, "Not Found")</f>
      </c>
      <c r="K2572" s="1" t="s">
        <v>5511</v>
      </c>
      <c r="L2572" s="5">
        <f>XLOOKUP(N2572, uom!C:C, uom!B:B, "Not Found")</f>
      </c>
      <c r="M2572" s="1" t="s">
        <v>5511</v>
      </c>
      <c r="N2572" s="8" t="s">
        <v>5512</v>
      </c>
      <c r="O2572" s="1" t="s">
        <v>5513</v>
      </c>
      <c r="P2572" s="5">
        <f>XLOOKUP(R2572, classification!C:C, classification!B:B, "Not Found")</f>
      </c>
      <c r="Q2572" s="1" t="s">
        <v>5514</v>
      </c>
      <c r="R2572" s="2"/>
      <c r="S2572" s="2"/>
      <c r="T2572" s="2"/>
      <c r="U2572" s="2"/>
    </row>
    <row x14ac:dyDescent="0.25" r="2573" customHeight="1" ht="17.25">
      <c r="A2573" s="7">
        <v>2572</v>
      </c>
      <c r="B2573" s="1" t="s">
        <v>7930</v>
      </c>
      <c r="C2573" s="5">
        <f>CONCATENATE("PD", TEXT(A2573, "1000000"))</f>
      </c>
      <c r="D2573" s="7">
        <v>76</v>
      </c>
      <c r="E2573" s="5">
        <f>XLOOKUP(G2573, item_category!C:C, item_category!B:B, "Not Found")</f>
      </c>
      <c r="F2573" s="1" t="s">
        <v>5632</v>
      </c>
      <c r="G2573" s="5">
        <f>XLOOKUP(I2573, drug!B:B, drug!A:A, "Not Found")</f>
      </c>
      <c r="H2573" s="1"/>
      <c r="I2573" s="7">
        <v>1</v>
      </c>
      <c r="J2573" s="5">
        <f>XLOOKUP(L2573, uom!C:C, uom!B:B, "Not Found")</f>
      </c>
      <c r="K2573" s="1" t="s">
        <v>5511</v>
      </c>
      <c r="L2573" s="5">
        <f>XLOOKUP(N2573, uom!C:C, uom!B:B, "Not Found")</f>
      </c>
      <c r="M2573" s="1" t="s">
        <v>5511</v>
      </c>
      <c r="N2573" s="8" t="s">
        <v>5512</v>
      </c>
      <c r="O2573" s="1" t="s">
        <v>5513</v>
      </c>
      <c r="P2573" s="5">
        <f>XLOOKUP(R2573, classification!C:C, classification!B:B, "Not Found")</f>
      </c>
      <c r="Q2573" s="1" t="s">
        <v>5514</v>
      </c>
      <c r="R2573" s="2"/>
      <c r="S2573" s="2"/>
      <c r="T2573" s="2"/>
      <c r="U2573" s="2"/>
    </row>
    <row x14ac:dyDescent="0.25" r="2574" customHeight="1" ht="17.25">
      <c r="A2574" s="7">
        <v>2573</v>
      </c>
      <c r="B2574" s="1" t="s">
        <v>7931</v>
      </c>
      <c r="C2574" s="5">
        <f>CONCATENATE("PD", TEXT(A2574, "1000000"))</f>
      </c>
      <c r="D2574" s="7">
        <v>76</v>
      </c>
      <c r="E2574" s="5">
        <f>XLOOKUP(G2574, item_category!C:C, item_category!B:B, "Not Found")</f>
      </c>
      <c r="F2574" s="1" t="s">
        <v>5632</v>
      </c>
      <c r="G2574" s="5">
        <f>XLOOKUP(I2574, drug!B:B, drug!A:A, "Not Found")</f>
      </c>
      <c r="H2574" s="1"/>
      <c r="I2574" s="7">
        <v>1</v>
      </c>
      <c r="J2574" s="5">
        <f>XLOOKUP(L2574, uom!C:C, uom!B:B, "Not Found")</f>
      </c>
      <c r="K2574" s="1" t="s">
        <v>5511</v>
      </c>
      <c r="L2574" s="5">
        <f>XLOOKUP(N2574, uom!C:C, uom!B:B, "Not Found")</f>
      </c>
      <c r="M2574" s="1" t="s">
        <v>5511</v>
      </c>
      <c r="N2574" s="8" t="s">
        <v>5512</v>
      </c>
      <c r="O2574" s="1" t="s">
        <v>5513</v>
      </c>
      <c r="P2574" s="5">
        <f>XLOOKUP(R2574, classification!C:C, classification!B:B, "Not Found")</f>
      </c>
      <c r="Q2574" s="1" t="s">
        <v>5514</v>
      </c>
      <c r="R2574" s="2"/>
      <c r="S2574" s="2"/>
      <c r="T2574" s="2"/>
      <c r="U2574" s="2"/>
    </row>
    <row x14ac:dyDescent="0.25" r="2575" customHeight="1" ht="17.25">
      <c r="A2575" s="7">
        <v>2574</v>
      </c>
      <c r="B2575" s="1" t="s">
        <v>7932</v>
      </c>
      <c r="C2575" s="5">
        <f>CONCATENATE("PD", TEXT(A2575, "1000000"))</f>
      </c>
      <c r="D2575" s="7">
        <v>76</v>
      </c>
      <c r="E2575" s="5">
        <f>XLOOKUP(G2575, item_category!C:C, item_category!B:B, "Not Found")</f>
      </c>
      <c r="F2575" s="1" t="s">
        <v>5632</v>
      </c>
      <c r="G2575" s="5">
        <f>XLOOKUP(I2575, drug!B:B, drug!A:A, "Not Found")</f>
      </c>
      <c r="H2575" s="1"/>
      <c r="I2575" s="7">
        <v>1</v>
      </c>
      <c r="J2575" s="5">
        <f>XLOOKUP(L2575, uom!C:C, uom!B:B, "Not Found")</f>
      </c>
      <c r="K2575" s="1" t="s">
        <v>5511</v>
      </c>
      <c r="L2575" s="5">
        <f>XLOOKUP(N2575, uom!C:C, uom!B:B, "Not Found")</f>
      </c>
      <c r="M2575" s="1" t="s">
        <v>5511</v>
      </c>
      <c r="N2575" s="8" t="s">
        <v>5512</v>
      </c>
      <c r="O2575" s="1" t="s">
        <v>5513</v>
      </c>
      <c r="P2575" s="5">
        <f>XLOOKUP(R2575, classification!C:C, classification!B:B, "Not Found")</f>
      </c>
      <c r="Q2575" s="1" t="s">
        <v>5514</v>
      </c>
      <c r="R2575" s="2"/>
      <c r="S2575" s="2"/>
      <c r="T2575" s="2"/>
      <c r="U2575" s="2"/>
    </row>
    <row x14ac:dyDescent="0.25" r="2576" customHeight="1" ht="17.25">
      <c r="A2576" s="7">
        <v>2575</v>
      </c>
      <c r="B2576" s="1" t="s">
        <v>7933</v>
      </c>
      <c r="C2576" s="5">
        <f>CONCATENATE("PD", TEXT(A2576, "1000000"))</f>
      </c>
      <c r="D2576" s="7">
        <v>76</v>
      </c>
      <c r="E2576" s="5">
        <f>XLOOKUP(G2576, item_category!C:C, item_category!B:B, "Not Found")</f>
      </c>
      <c r="F2576" s="1" t="s">
        <v>5632</v>
      </c>
      <c r="G2576" s="5">
        <f>XLOOKUP(I2576, drug!B:B, drug!A:A, "Not Found")</f>
      </c>
      <c r="H2576" s="1"/>
      <c r="I2576" s="7">
        <v>1</v>
      </c>
      <c r="J2576" s="5">
        <f>XLOOKUP(L2576, uom!C:C, uom!B:B, "Not Found")</f>
      </c>
      <c r="K2576" s="1" t="s">
        <v>5511</v>
      </c>
      <c r="L2576" s="5">
        <f>XLOOKUP(N2576, uom!C:C, uom!B:B, "Not Found")</f>
      </c>
      <c r="M2576" s="1" t="s">
        <v>5511</v>
      </c>
      <c r="N2576" s="8" t="s">
        <v>5512</v>
      </c>
      <c r="O2576" s="1" t="s">
        <v>5513</v>
      </c>
      <c r="P2576" s="5">
        <f>XLOOKUP(R2576, classification!C:C, classification!B:B, "Not Found")</f>
      </c>
      <c r="Q2576" s="1" t="s">
        <v>5514</v>
      </c>
      <c r="R2576" s="2"/>
      <c r="S2576" s="2"/>
      <c r="T2576" s="2"/>
      <c r="U2576" s="2"/>
    </row>
    <row x14ac:dyDescent="0.25" r="2577" customHeight="1" ht="17.25">
      <c r="A2577" s="7">
        <v>2576</v>
      </c>
      <c r="B2577" s="1" t="s">
        <v>7934</v>
      </c>
      <c r="C2577" s="5">
        <f>CONCATENATE("PD", TEXT(A2577, "1000000"))</f>
      </c>
      <c r="D2577" s="7">
        <v>76</v>
      </c>
      <c r="E2577" s="5">
        <f>XLOOKUP(G2577, item_category!C:C, item_category!B:B, "Not Found")</f>
      </c>
      <c r="F2577" s="1" t="s">
        <v>5632</v>
      </c>
      <c r="G2577" s="5">
        <f>XLOOKUP(I2577, drug!B:B, drug!A:A, "Not Found")</f>
      </c>
      <c r="H2577" s="1"/>
      <c r="I2577" s="7">
        <v>1</v>
      </c>
      <c r="J2577" s="5">
        <f>XLOOKUP(L2577, uom!C:C, uom!B:B, "Not Found")</f>
      </c>
      <c r="K2577" s="1" t="s">
        <v>5511</v>
      </c>
      <c r="L2577" s="5">
        <f>XLOOKUP(N2577, uom!C:C, uom!B:B, "Not Found")</f>
      </c>
      <c r="M2577" s="1" t="s">
        <v>5511</v>
      </c>
      <c r="N2577" s="8" t="s">
        <v>5512</v>
      </c>
      <c r="O2577" s="1" t="s">
        <v>5513</v>
      </c>
      <c r="P2577" s="5">
        <f>XLOOKUP(R2577, classification!C:C, classification!B:B, "Not Found")</f>
      </c>
      <c r="Q2577" s="1" t="s">
        <v>5514</v>
      </c>
      <c r="R2577" s="2"/>
      <c r="S2577" s="2"/>
      <c r="T2577" s="2"/>
      <c r="U2577" s="2"/>
    </row>
    <row x14ac:dyDescent="0.25" r="2578" customHeight="1" ht="17.25">
      <c r="A2578" s="7">
        <v>2577</v>
      </c>
      <c r="B2578" s="1" t="s">
        <v>7935</v>
      </c>
      <c r="C2578" s="5">
        <f>CONCATENATE("PD", TEXT(A2578, "1000000"))</f>
      </c>
      <c r="D2578" s="7">
        <v>76</v>
      </c>
      <c r="E2578" s="5">
        <f>XLOOKUP(G2578, item_category!C:C, item_category!B:B, "Not Found")</f>
      </c>
      <c r="F2578" s="1" t="s">
        <v>5632</v>
      </c>
      <c r="G2578" s="5">
        <f>XLOOKUP(I2578, drug!B:B, drug!A:A, "Not Found")</f>
      </c>
      <c r="H2578" s="1"/>
      <c r="I2578" s="7">
        <v>1</v>
      </c>
      <c r="J2578" s="5">
        <f>XLOOKUP(L2578, uom!C:C, uom!B:B, "Not Found")</f>
      </c>
      <c r="K2578" s="1" t="s">
        <v>5511</v>
      </c>
      <c r="L2578" s="5">
        <f>XLOOKUP(N2578, uom!C:C, uom!B:B, "Not Found")</f>
      </c>
      <c r="M2578" s="1" t="s">
        <v>5511</v>
      </c>
      <c r="N2578" s="8" t="s">
        <v>5512</v>
      </c>
      <c r="O2578" s="1" t="s">
        <v>5513</v>
      </c>
      <c r="P2578" s="5">
        <f>XLOOKUP(R2578, classification!C:C, classification!B:B, "Not Found")</f>
      </c>
      <c r="Q2578" s="1" t="s">
        <v>5514</v>
      </c>
      <c r="R2578" s="2"/>
      <c r="S2578" s="2"/>
      <c r="T2578" s="2"/>
      <c r="U2578" s="2"/>
    </row>
    <row x14ac:dyDescent="0.25" r="2579" customHeight="1" ht="17.25">
      <c r="A2579" s="7">
        <v>2578</v>
      </c>
      <c r="B2579" s="1" t="s">
        <v>3258</v>
      </c>
      <c r="C2579" s="5">
        <f>CONCATENATE("PD", TEXT(A2579, "1000000"))</f>
      </c>
      <c r="D2579" s="7">
        <v>76</v>
      </c>
      <c r="E2579" s="5">
        <f>XLOOKUP(G2579, item_category!C:C, item_category!B:B, "Not Found")</f>
      </c>
      <c r="F2579" s="1" t="s">
        <v>5632</v>
      </c>
      <c r="G2579" s="5">
        <f>XLOOKUP(I2579, drug!B:B, drug!A:A, "Not Found")</f>
      </c>
      <c r="H2579" s="1"/>
      <c r="I2579" s="7">
        <v>1</v>
      </c>
      <c r="J2579" s="5">
        <f>XLOOKUP(L2579, uom!C:C, uom!B:B, "Not Found")</f>
      </c>
      <c r="K2579" s="1" t="s">
        <v>5511</v>
      </c>
      <c r="L2579" s="5">
        <f>XLOOKUP(N2579, uom!C:C, uom!B:B, "Not Found")</f>
      </c>
      <c r="M2579" s="1" t="s">
        <v>5511</v>
      </c>
      <c r="N2579" s="8" t="s">
        <v>5512</v>
      </c>
      <c r="O2579" s="1" t="s">
        <v>5513</v>
      </c>
      <c r="P2579" s="5">
        <f>XLOOKUP(R2579, classification!C:C, classification!B:B, "Not Found")</f>
      </c>
      <c r="Q2579" s="1" t="s">
        <v>5514</v>
      </c>
      <c r="R2579" s="2"/>
      <c r="S2579" s="2"/>
      <c r="T2579" s="2"/>
      <c r="U2579" s="2"/>
    </row>
    <row x14ac:dyDescent="0.25" r="2580" customHeight="1" ht="17.25">
      <c r="A2580" s="7">
        <v>2579</v>
      </c>
      <c r="B2580" s="1" t="s">
        <v>7936</v>
      </c>
      <c r="C2580" s="5">
        <f>CONCATENATE("PD", TEXT(A2580, "1000000"))</f>
      </c>
      <c r="D2580" s="7">
        <v>76</v>
      </c>
      <c r="E2580" s="5">
        <f>XLOOKUP(G2580, item_category!C:C, item_category!B:B, "Not Found")</f>
      </c>
      <c r="F2580" s="1" t="s">
        <v>5632</v>
      </c>
      <c r="G2580" s="5">
        <f>XLOOKUP(I2580, drug!B:B, drug!A:A, "Not Found")</f>
      </c>
      <c r="H2580" s="1"/>
      <c r="I2580" s="7">
        <v>1</v>
      </c>
      <c r="J2580" s="5">
        <f>XLOOKUP(L2580, uom!C:C, uom!B:B, "Not Found")</f>
      </c>
      <c r="K2580" s="1" t="s">
        <v>5511</v>
      </c>
      <c r="L2580" s="5">
        <f>XLOOKUP(N2580, uom!C:C, uom!B:B, "Not Found")</f>
      </c>
      <c r="M2580" s="1" t="s">
        <v>5511</v>
      </c>
      <c r="N2580" s="8" t="s">
        <v>5512</v>
      </c>
      <c r="O2580" s="1" t="s">
        <v>5513</v>
      </c>
      <c r="P2580" s="5">
        <f>XLOOKUP(R2580, classification!C:C, classification!B:B, "Not Found")</f>
      </c>
      <c r="Q2580" s="1" t="s">
        <v>5514</v>
      </c>
      <c r="R2580" s="2"/>
      <c r="S2580" s="2"/>
      <c r="T2580" s="2"/>
      <c r="U2580" s="2"/>
    </row>
    <row x14ac:dyDescent="0.25" r="2581" customHeight="1" ht="17.25">
      <c r="A2581" s="7">
        <v>2580</v>
      </c>
      <c r="B2581" s="1" t="s">
        <v>7937</v>
      </c>
      <c r="C2581" s="5">
        <f>CONCATENATE("PD", TEXT(A2581, "1000000"))</f>
      </c>
      <c r="D2581" s="7">
        <v>76</v>
      </c>
      <c r="E2581" s="5">
        <f>XLOOKUP(G2581, item_category!C:C, item_category!B:B, "Not Found")</f>
      </c>
      <c r="F2581" s="1" t="s">
        <v>5632</v>
      </c>
      <c r="G2581" s="5">
        <f>XLOOKUP(I2581, drug!B:B, drug!A:A, "Not Found")</f>
      </c>
      <c r="H2581" s="1"/>
      <c r="I2581" s="7">
        <v>1</v>
      </c>
      <c r="J2581" s="5">
        <f>XLOOKUP(L2581, uom!C:C, uom!B:B, "Not Found")</f>
      </c>
      <c r="K2581" s="1" t="s">
        <v>5511</v>
      </c>
      <c r="L2581" s="5">
        <f>XLOOKUP(N2581, uom!C:C, uom!B:B, "Not Found")</f>
      </c>
      <c r="M2581" s="1" t="s">
        <v>5511</v>
      </c>
      <c r="N2581" s="8" t="s">
        <v>5512</v>
      </c>
      <c r="O2581" s="1" t="s">
        <v>5513</v>
      </c>
      <c r="P2581" s="5">
        <f>XLOOKUP(R2581, classification!C:C, classification!B:B, "Not Found")</f>
      </c>
      <c r="Q2581" s="1" t="s">
        <v>5514</v>
      </c>
      <c r="R2581" s="2"/>
      <c r="S2581" s="2"/>
      <c r="T2581" s="2"/>
      <c r="U2581" s="2"/>
    </row>
    <row x14ac:dyDescent="0.25" r="2582" customHeight="1" ht="17.25">
      <c r="A2582" s="7">
        <v>2581</v>
      </c>
      <c r="B2582" s="1" t="s">
        <v>7938</v>
      </c>
      <c r="C2582" s="5">
        <f>CONCATENATE("PD", TEXT(A2582, "1000000"))</f>
      </c>
      <c r="D2582" s="7">
        <v>76</v>
      </c>
      <c r="E2582" s="5">
        <f>XLOOKUP(G2582, item_category!C:C, item_category!B:B, "Not Found")</f>
      </c>
      <c r="F2582" s="1" t="s">
        <v>5632</v>
      </c>
      <c r="G2582" s="5">
        <f>XLOOKUP(I2582, drug!B:B, drug!A:A, "Not Found")</f>
      </c>
      <c r="H2582" s="1"/>
      <c r="I2582" s="7">
        <v>1</v>
      </c>
      <c r="J2582" s="5">
        <f>XLOOKUP(L2582, uom!C:C, uom!B:B, "Not Found")</f>
      </c>
      <c r="K2582" s="1" t="s">
        <v>5511</v>
      </c>
      <c r="L2582" s="5">
        <f>XLOOKUP(N2582, uom!C:C, uom!B:B, "Not Found")</f>
      </c>
      <c r="M2582" s="1" t="s">
        <v>5511</v>
      </c>
      <c r="N2582" s="8" t="s">
        <v>5512</v>
      </c>
      <c r="O2582" s="1" t="s">
        <v>5513</v>
      </c>
      <c r="P2582" s="5">
        <f>XLOOKUP(R2582, classification!C:C, classification!B:B, "Not Found")</f>
      </c>
      <c r="Q2582" s="1" t="s">
        <v>5514</v>
      </c>
      <c r="R2582" s="2"/>
      <c r="S2582" s="2"/>
      <c r="T2582" s="2"/>
      <c r="U2582" s="2"/>
    </row>
    <row x14ac:dyDescent="0.25" r="2583" customHeight="1" ht="17.25">
      <c r="A2583" s="7">
        <v>2582</v>
      </c>
      <c r="B2583" s="1" t="s">
        <v>7939</v>
      </c>
      <c r="C2583" s="5">
        <f>CONCATENATE("PD", TEXT(A2583, "1000000"))</f>
      </c>
      <c r="D2583" s="7">
        <v>76</v>
      </c>
      <c r="E2583" s="5">
        <f>XLOOKUP(G2583, item_category!C:C, item_category!B:B, "Not Found")</f>
      </c>
      <c r="F2583" s="1" t="s">
        <v>5632</v>
      </c>
      <c r="G2583" s="5">
        <f>XLOOKUP(I2583, drug!B:B, drug!A:A, "Not Found")</f>
      </c>
      <c r="H2583" s="1"/>
      <c r="I2583" s="7">
        <v>1</v>
      </c>
      <c r="J2583" s="5">
        <f>XLOOKUP(L2583, uom!C:C, uom!B:B, "Not Found")</f>
      </c>
      <c r="K2583" s="1" t="s">
        <v>5511</v>
      </c>
      <c r="L2583" s="5">
        <f>XLOOKUP(N2583, uom!C:C, uom!B:B, "Not Found")</f>
      </c>
      <c r="M2583" s="1" t="s">
        <v>5511</v>
      </c>
      <c r="N2583" s="8" t="s">
        <v>5512</v>
      </c>
      <c r="O2583" s="1" t="s">
        <v>5513</v>
      </c>
      <c r="P2583" s="5">
        <f>XLOOKUP(R2583, classification!C:C, classification!B:B, "Not Found")</f>
      </c>
      <c r="Q2583" s="1" t="s">
        <v>5514</v>
      </c>
      <c r="R2583" s="2"/>
      <c r="S2583" s="2"/>
      <c r="T2583" s="2"/>
      <c r="U2583" s="2"/>
    </row>
    <row x14ac:dyDescent="0.25" r="2584" customHeight="1" ht="17.25">
      <c r="A2584" s="7">
        <v>2583</v>
      </c>
      <c r="B2584" s="1" t="s">
        <v>7940</v>
      </c>
      <c r="C2584" s="5">
        <f>CONCATENATE("PD", TEXT(A2584, "1000000"))</f>
      </c>
      <c r="D2584" s="7">
        <v>76</v>
      </c>
      <c r="E2584" s="5">
        <f>XLOOKUP(G2584, item_category!C:C, item_category!B:B, "Not Found")</f>
      </c>
      <c r="F2584" s="1" t="s">
        <v>5632</v>
      </c>
      <c r="G2584" s="5">
        <f>XLOOKUP(I2584, drug!B:B, drug!A:A, "Not Found")</f>
      </c>
      <c r="H2584" s="1" t="s">
        <v>1942</v>
      </c>
      <c r="I2584" s="7">
        <v>1</v>
      </c>
      <c r="J2584" s="5">
        <f>XLOOKUP(L2584, uom!C:C, uom!B:B, "Not Found")</f>
      </c>
      <c r="K2584" s="1" t="s">
        <v>5511</v>
      </c>
      <c r="L2584" s="5">
        <f>XLOOKUP(N2584, uom!C:C, uom!B:B, "Not Found")</f>
      </c>
      <c r="M2584" s="1" t="s">
        <v>5511</v>
      </c>
      <c r="N2584" s="8" t="s">
        <v>5512</v>
      </c>
      <c r="O2584" s="1" t="s">
        <v>5513</v>
      </c>
      <c r="P2584" s="5">
        <f>XLOOKUP(R2584, classification!C:C, classification!B:B, "Not Found")</f>
      </c>
      <c r="Q2584" s="1" t="s">
        <v>5514</v>
      </c>
      <c r="R2584" s="2"/>
      <c r="S2584" s="2"/>
      <c r="T2584" s="2"/>
      <c r="U2584" s="2"/>
    </row>
    <row x14ac:dyDescent="0.25" r="2585" customHeight="1" ht="17.25">
      <c r="A2585" s="7">
        <v>2584</v>
      </c>
      <c r="B2585" s="1" t="s">
        <v>7941</v>
      </c>
      <c r="C2585" s="5">
        <f>CONCATENATE("PD", TEXT(A2585, "1000000"))</f>
      </c>
      <c r="D2585" s="7">
        <v>76</v>
      </c>
      <c r="E2585" s="5">
        <f>XLOOKUP(G2585, item_category!C:C, item_category!B:B, "Not Found")</f>
      </c>
      <c r="F2585" s="1" t="s">
        <v>5632</v>
      </c>
      <c r="G2585" s="5">
        <f>XLOOKUP(I2585, drug!B:B, drug!A:A, "Not Found")</f>
      </c>
      <c r="H2585" s="1"/>
      <c r="I2585" s="7">
        <v>1</v>
      </c>
      <c r="J2585" s="5">
        <f>XLOOKUP(L2585, uom!C:C, uom!B:B, "Not Found")</f>
      </c>
      <c r="K2585" s="1" t="s">
        <v>5511</v>
      </c>
      <c r="L2585" s="5">
        <f>XLOOKUP(N2585, uom!C:C, uom!B:B, "Not Found")</f>
      </c>
      <c r="M2585" s="1" t="s">
        <v>5511</v>
      </c>
      <c r="N2585" s="8" t="s">
        <v>5512</v>
      </c>
      <c r="O2585" s="1" t="s">
        <v>5513</v>
      </c>
      <c r="P2585" s="5">
        <f>XLOOKUP(R2585, classification!C:C, classification!B:B, "Not Found")</f>
      </c>
      <c r="Q2585" s="1" t="s">
        <v>5514</v>
      </c>
      <c r="R2585" s="2"/>
      <c r="S2585" s="2"/>
      <c r="T2585" s="2"/>
      <c r="U2585" s="2"/>
    </row>
    <row x14ac:dyDescent="0.25" r="2586" customHeight="1" ht="17.25">
      <c r="A2586" s="7">
        <v>2585</v>
      </c>
      <c r="B2586" s="1" t="s">
        <v>7942</v>
      </c>
      <c r="C2586" s="5">
        <f>CONCATENATE("PD", TEXT(A2586, "1000000"))</f>
      </c>
      <c r="D2586" s="7">
        <v>76</v>
      </c>
      <c r="E2586" s="5">
        <f>XLOOKUP(G2586, item_category!C:C, item_category!B:B, "Not Found")</f>
      </c>
      <c r="F2586" s="1" t="s">
        <v>5632</v>
      </c>
      <c r="G2586" s="5">
        <f>XLOOKUP(I2586, drug!B:B, drug!A:A, "Not Found")</f>
      </c>
      <c r="H2586" s="1"/>
      <c r="I2586" s="7">
        <v>1</v>
      </c>
      <c r="J2586" s="5">
        <f>XLOOKUP(L2586, uom!C:C, uom!B:B, "Not Found")</f>
      </c>
      <c r="K2586" s="1" t="s">
        <v>5511</v>
      </c>
      <c r="L2586" s="5">
        <f>XLOOKUP(N2586, uom!C:C, uom!B:B, "Not Found")</f>
      </c>
      <c r="M2586" s="1" t="s">
        <v>5511</v>
      </c>
      <c r="N2586" s="8" t="s">
        <v>5512</v>
      </c>
      <c r="O2586" s="1" t="s">
        <v>5513</v>
      </c>
      <c r="P2586" s="5">
        <f>XLOOKUP(R2586, classification!C:C, classification!B:B, "Not Found")</f>
      </c>
      <c r="Q2586" s="1" t="s">
        <v>5514</v>
      </c>
      <c r="R2586" s="2"/>
      <c r="S2586" s="2"/>
      <c r="T2586" s="2"/>
      <c r="U2586" s="2"/>
    </row>
    <row x14ac:dyDescent="0.25" r="2587" customHeight="1" ht="17.25">
      <c r="A2587" s="7">
        <v>2586</v>
      </c>
      <c r="B2587" s="1" t="s">
        <v>7943</v>
      </c>
      <c r="C2587" s="5">
        <f>CONCATENATE("PD", TEXT(A2587, "1000000"))</f>
      </c>
      <c r="D2587" s="7">
        <v>76</v>
      </c>
      <c r="E2587" s="5">
        <f>XLOOKUP(G2587, item_category!C:C, item_category!B:B, "Not Found")</f>
      </c>
      <c r="F2587" s="1" t="s">
        <v>5632</v>
      </c>
      <c r="G2587" s="5">
        <f>XLOOKUP(I2587, drug!B:B, drug!A:A, "Not Found")</f>
      </c>
      <c r="H2587" s="1"/>
      <c r="I2587" s="7">
        <v>1</v>
      </c>
      <c r="J2587" s="5">
        <f>XLOOKUP(L2587, uom!C:C, uom!B:B, "Not Found")</f>
      </c>
      <c r="K2587" s="1" t="s">
        <v>5511</v>
      </c>
      <c r="L2587" s="5">
        <f>XLOOKUP(N2587, uom!C:C, uom!B:B, "Not Found")</f>
      </c>
      <c r="M2587" s="1" t="s">
        <v>5511</v>
      </c>
      <c r="N2587" s="8" t="s">
        <v>5512</v>
      </c>
      <c r="O2587" s="1" t="s">
        <v>5513</v>
      </c>
      <c r="P2587" s="5">
        <f>XLOOKUP(R2587, classification!C:C, classification!B:B, "Not Found")</f>
      </c>
      <c r="Q2587" s="1" t="s">
        <v>5514</v>
      </c>
      <c r="R2587" s="2"/>
      <c r="S2587" s="2"/>
      <c r="T2587" s="2"/>
      <c r="U2587" s="2"/>
    </row>
    <row x14ac:dyDescent="0.25" r="2588" customHeight="1" ht="17.25">
      <c r="A2588" s="7">
        <v>2587</v>
      </c>
      <c r="B2588" s="1" t="s">
        <v>7944</v>
      </c>
      <c r="C2588" s="5">
        <f>CONCATENATE("PD", TEXT(A2588, "1000000"))</f>
      </c>
      <c r="D2588" s="7">
        <v>73</v>
      </c>
      <c r="E2588" s="5">
        <f>XLOOKUP(G2588, item_category!C:C, item_category!B:B, "Not Found")</f>
      </c>
      <c r="F2588" s="1" t="s">
        <v>7945</v>
      </c>
      <c r="G2588" s="5">
        <f>XLOOKUP(I2588, drug!B:B, drug!A:A, "Not Found")</f>
      </c>
      <c r="H2588" s="1"/>
      <c r="I2588" s="7">
        <v>1</v>
      </c>
      <c r="J2588" s="5">
        <f>XLOOKUP(L2588, uom!C:C, uom!B:B, "Not Found")</f>
      </c>
      <c r="K2588" s="1" t="s">
        <v>5511</v>
      </c>
      <c r="L2588" s="5">
        <f>XLOOKUP(N2588, uom!C:C, uom!B:B, "Not Found")</f>
      </c>
      <c r="M2588" s="1" t="s">
        <v>5511</v>
      </c>
      <c r="N2588" s="8" t="s">
        <v>5512</v>
      </c>
      <c r="O2588" s="1" t="s">
        <v>5513</v>
      </c>
      <c r="P2588" s="5">
        <f>XLOOKUP(R2588, classification!C:C, classification!B:B, "Not Found")</f>
      </c>
      <c r="Q2588" s="1" t="s">
        <v>5514</v>
      </c>
      <c r="R2588" s="2"/>
      <c r="S2588" s="2"/>
      <c r="T2588" s="2"/>
      <c r="U2588" s="2"/>
    </row>
    <row x14ac:dyDescent="0.25" r="2589" customHeight="1" ht="17.25">
      <c r="A2589" s="7">
        <v>2588</v>
      </c>
      <c r="B2589" s="1" t="s">
        <v>7946</v>
      </c>
      <c r="C2589" s="5">
        <f>CONCATENATE("PD", TEXT(A2589, "1000000"))</f>
      </c>
      <c r="D2589" s="7">
        <v>73</v>
      </c>
      <c r="E2589" s="5">
        <f>XLOOKUP(G2589, item_category!C:C, item_category!B:B, "Not Found")</f>
      </c>
      <c r="F2589" s="1" t="s">
        <v>7945</v>
      </c>
      <c r="G2589" s="5">
        <f>XLOOKUP(I2589, drug!B:B, drug!A:A, "Not Found")</f>
      </c>
      <c r="H2589" s="1"/>
      <c r="I2589" s="7">
        <v>1</v>
      </c>
      <c r="J2589" s="5">
        <f>XLOOKUP(L2589, uom!C:C, uom!B:B, "Not Found")</f>
      </c>
      <c r="K2589" s="1" t="s">
        <v>5511</v>
      </c>
      <c r="L2589" s="5">
        <f>XLOOKUP(N2589, uom!C:C, uom!B:B, "Not Found")</f>
      </c>
      <c r="M2589" s="1" t="s">
        <v>5511</v>
      </c>
      <c r="N2589" s="8" t="s">
        <v>5512</v>
      </c>
      <c r="O2589" s="1" t="s">
        <v>5513</v>
      </c>
      <c r="P2589" s="5">
        <f>XLOOKUP(R2589, classification!C:C, classification!B:B, "Not Found")</f>
      </c>
      <c r="Q2589" s="1" t="s">
        <v>5514</v>
      </c>
      <c r="R2589" s="2"/>
      <c r="S2589" s="2"/>
      <c r="T2589" s="2"/>
      <c r="U2589" s="2"/>
    </row>
    <row x14ac:dyDescent="0.25" r="2590" customHeight="1" ht="17.25">
      <c r="A2590" s="7">
        <v>2589</v>
      </c>
      <c r="B2590" s="1" t="s">
        <v>7947</v>
      </c>
      <c r="C2590" s="5">
        <f>CONCATENATE("PD", TEXT(A2590, "1000000"))</f>
      </c>
      <c r="D2590" s="7">
        <v>73</v>
      </c>
      <c r="E2590" s="5">
        <f>XLOOKUP(G2590, item_category!C:C, item_category!B:B, "Not Found")</f>
      </c>
      <c r="F2590" s="1" t="s">
        <v>7945</v>
      </c>
      <c r="G2590" s="5">
        <f>XLOOKUP(I2590, drug!B:B, drug!A:A, "Not Found")</f>
      </c>
      <c r="H2590" s="1" t="s">
        <v>612</v>
      </c>
      <c r="I2590" s="7">
        <v>1</v>
      </c>
      <c r="J2590" s="5">
        <f>XLOOKUP(L2590, uom!C:C, uom!B:B, "Not Found")</f>
      </c>
      <c r="K2590" s="1" t="s">
        <v>5511</v>
      </c>
      <c r="L2590" s="5">
        <f>XLOOKUP(N2590, uom!C:C, uom!B:B, "Not Found")</f>
      </c>
      <c r="M2590" s="1" t="s">
        <v>5511</v>
      </c>
      <c r="N2590" s="8" t="s">
        <v>5512</v>
      </c>
      <c r="O2590" s="1" t="s">
        <v>5513</v>
      </c>
      <c r="P2590" s="5">
        <f>XLOOKUP(R2590, classification!C:C, classification!B:B, "Not Found")</f>
      </c>
      <c r="Q2590" s="1" t="s">
        <v>5514</v>
      </c>
      <c r="R2590" s="2"/>
      <c r="S2590" s="2"/>
      <c r="T2590" s="2"/>
      <c r="U2590" s="2"/>
    </row>
    <row x14ac:dyDescent="0.25" r="2591" customHeight="1" ht="17.25">
      <c r="A2591" s="7">
        <v>2590</v>
      </c>
      <c r="B2591" s="1" t="s">
        <v>7948</v>
      </c>
      <c r="C2591" s="5">
        <f>CONCATENATE("PD", TEXT(A2591, "1000000"))</f>
      </c>
      <c r="D2591" s="7">
        <v>73</v>
      </c>
      <c r="E2591" s="5">
        <f>XLOOKUP(G2591, item_category!C:C, item_category!B:B, "Not Found")</f>
      </c>
      <c r="F2591" s="1" t="s">
        <v>7945</v>
      </c>
      <c r="G2591" s="5">
        <f>XLOOKUP(I2591, drug!B:B, drug!A:A, "Not Found")</f>
      </c>
      <c r="H2591" s="1"/>
      <c r="I2591" s="7">
        <v>1</v>
      </c>
      <c r="J2591" s="5">
        <f>XLOOKUP(L2591, uom!C:C, uom!B:B, "Not Found")</f>
      </c>
      <c r="K2591" s="1" t="s">
        <v>5511</v>
      </c>
      <c r="L2591" s="5">
        <f>XLOOKUP(N2591, uom!C:C, uom!B:B, "Not Found")</f>
      </c>
      <c r="M2591" s="1" t="s">
        <v>5511</v>
      </c>
      <c r="N2591" s="8" t="s">
        <v>5512</v>
      </c>
      <c r="O2591" s="1" t="s">
        <v>5513</v>
      </c>
      <c r="P2591" s="5">
        <f>XLOOKUP(R2591, classification!C:C, classification!B:B, "Not Found")</f>
      </c>
      <c r="Q2591" s="1" t="s">
        <v>5514</v>
      </c>
      <c r="R2591" s="2"/>
      <c r="S2591" s="2"/>
      <c r="T2591" s="2"/>
      <c r="U2591" s="2"/>
    </row>
    <row x14ac:dyDescent="0.25" r="2592" customHeight="1" ht="17.25">
      <c r="A2592" s="7">
        <v>2591</v>
      </c>
      <c r="B2592" s="1" t="s">
        <v>3260</v>
      </c>
      <c r="C2592" s="5">
        <f>CONCATENATE("PD", TEXT(A2592, "1000000"))</f>
      </c>
      <c r="D2592" s="7">
        <v>73</v>
      </c>
      <c r="E2592" s="5">
        <f>XLOOKUP(G2592, item_category!C:C, item_category!B:B, "Not Found")</f>
      </c>
      <c r="F2592" s="1" t="s">
        <v>7945</v>
      </c>
      <c r="G2592" s="5">
        <f>XLOOKUP(I2592, drug!B:B, drug!A:A, "Not Found")</f>
      </c>
      <c r="H2592" s="1"/>
      <c r="I2592" s="7">
        <v>1</v>
      </c>
      <c r="J2592" s="5">
        <f>XLOOKUP(L2592, uom!C:C, uom!B:B, "Not Found")</f>
      </c>
      <c r="K2592" s="1" t="s">
        <v>5511</v>
      </c>
      <c r="L2592" s="5">
        <f>XLOOKUP(N2592, uom!C:C, uom!B:B, "Not Found")</f>
      </c>
      <c r="M2592" s="1" t="s">
        <v>5511</v>
      </c>
      <c r="N2592" s="8" t="s">
        <v>5512</v>
      </c>
      <c r="O2592" s="1" t="s">
        <v>5513</v>
      </c>
      <c r="P2592" s="5">
        <f>XLOOKUP(R2592, classification!C:C, classification!B:B, "Not Found")</f>
      </c>
      <c r="Q2592" s="1" t="s">
        <v>5514</v>
      </c>
      <c r="R2592" s="2"/>
      <c r="S2592" s="2"/>
      <c r="T2592" s="2"/>
      <c r="U2592" s="2"/>
    </row>
    <row x14ac:dyDescent="0.25" r="2593" customHeight="1" ht="17.25">
      <c r="A2593" s="7">
        <v>2592</v>
      </c>
      <c r="B2593" s="1" t="s">
        <v>7949</v>
      </c>
      <c r="C2593" s="5">
        <f>CONCATENATE("PD", TEXT(A2593, "1000000"))</f>
      </c>
      <c r="D2593" s="7">
        <v>73</v>
      </c>
      <c r="E2593" s="5">
        <f>XLOOKUP(G2593, item_category!C:C, item_category!B:B, "Not Found")</f>
      </c>
      <c r="F2593" s="1" t="s">
        <v>7945</v>
      </c>
      <c r="G2593" s="5">
        <f>XLOOKUP(I2593, drug!B:B, drug!A:A, "Not Found")</f>
      </c>
      <c r="H2593" s="1" t="s">
        <v>531</v>
      </c>
      <c r="I2593" s="7">
        <v>1</v>
      </c>
      <c r="J2593" s="5">
        <f>XLOOKUP(L2593, uom!C:C, uom!B:B, "Not Found")</f>
      </c>
      <c r="K2593" s="1" t="s">
        <v>5511</v>
      </c>
      <c r="L2593" s="5">
        <f>XLOOKUP(N2593, uom!C:C, uom!B:B, "Not Found")</f>
      </c>
      <c r="M2593" s="1" t="s">
        <v>5511</v>
      </c>
      <c r="N2593" s="8" t="s">
        <v>5512</v>
      </c>
      <c r="O2593" s="1" t="s">
        <v>5513</v>
      </c>
      <c r="P2593" s="5">
        <f>XLOOKUP(R2593, classification!C:C, classification!B:B, "Not Found")</f>
      </c>
      <c r="Q2593" s="1" t="s">
        <v>5514</v>
      </c>
      <c r="R2593" s="2"/>
      <c r="S2593" s="2"/>
      <c r="T2593" s="2"/>
      <c r="U2593" s="2"/>
    </row>
    <row x14ac:dyDescent="0.25" r="2594" customHeight="1" ht="17.25">
      <c r="A2594" s="7">
        <v>2593</v>
      </c>
      <c r="B2594" s="1" t="s">
        <v>7950</v>
      </c>
      <c r="C2594" s="5">
        <f>CONCATENATE("PD", TEXT(A2594, "1000000"))</f>
      </c>
      <c r="D2594" s="7">
        <v>73</v>
      </c>
      <c r="E2594" s="5">
        <f>XLOOKUP(G2594, item_category!C:C, item_category!B:B, "Not Found")</f>
      </c>
      <c r="F2594" s="1" t="s">
        <v>7945</v>
      </c>
      <c r="G2594" s="5">
        <f>XLOOKUP(I2594, drug!B:B, drug!A:A, "Not Found")</f>
      </c>
      <c r="H2594" s="1"/>
      <c r="I2594" s="7">
        <v>1</v>
      </c>
      <c r="J2594" s="5">
        <f>XLOOKUP(L2594, uom!C:C, uom!B:B, "Not Found")</f>
      </c>
      <c r="K2594" s="1" t="s">
        <v>5511</v>
      </c>
      <c r="L2594" s="5">
        <f>XLOOKUP(N2594, uom!C:C, uom!B:B, "Not Found")</f>
      </c>
      <c r="M2594" s="1" t="s">
        <v>5511</v>
      </c>
      <c r="N2594" s="8" t="s">
        <v>5512</v>
      </c>
      <c r="O2594" s="1" t="s">
        <v>5513</v>
      </c>
      <c r="P2594" s="5">
        <f>XLOOKUP(R2594, classification!C:C, classification!B:B, "Not Found")</f>
      </c>
      <c r="Q2594" s="1" t="s">
        <v>5514</v>
      </c>
      <c r="R2594" s="2"/>
      <c r="S2594" s="2"/>
      <c r="T2594" s="2"/>
      <c r="U2594" s="2"/>
    </row>
    <row x14ac:dyDescent="0.25" r="2595" customHeight="1" ht="17.25">
      <c r="A2595" s="7">
        <v>2594</v>
      </c>
      <c r="B2595" s="1" t="s">
        <v>7951</v>
      </c>
      <c r="C2595" s="5">
        <f>CONCATENATE("PD", TEXT(A2595, "1000000"))</f>
      </c>
      <c r="D2595" s="7">
        <v>73</v>
      </c>
      <c r="E2595" s="5">
        <f>XLOOKUP(G2595, item_category!C:C, item_category!B:B, "Not Found")</f>
      </c>
      <c r="F2595" s="1" t="s">
        <v>7945</v>
      </c>
      <c r="G2595" s="5">
        <f>XLOOKUP(I2595, drug!B:B, drug!A:A, "Not Found")</f>
      </c>
      <c r="H2595" s="1"/>
      <c r="I2595" s="7">
        <v>1</v>
      </c>
      <c r="J2595" s="5">
        <f>XLOOKUP(L2595, uom!C:C, uom!B:B, "Not Found")</f>
      </c>
      <c r="K2595" s="1" t="s">
        <v>5511</v>
      </c>
      <c r="L2595" s="5">
        <f>XLOOKUP(N2595, uom!C:C, uom!B:B, "Not Found")</f>
      </c>
      <c r="M2595" s="1" t="s">
        <v>5511</v>
      </c>
      <c r="N2595" s="8" t="s">
        <v>5512</v>
      </c>
      <c r="O2595" s="1" t="s">
        <v>5513</v>
      </c>
      <c r="P2595" s="5">
        <f>XLOOKUP(R2595, classification!C:C, classification!B:B, "Not Found")</f>
      </c>
      <c r="Q2595" s="1" t="s">
        <v>5514</v>
      </c>
      <c r="R2595" s="2"/>
      <c r="S2595" s="2"/>
      <c r="T2595" s="2"/>
      <c r="U2595" s="2"/>
    </row>
    <row x14ac:dyDescent="0.25" r="2596" customHeight="1" ht="17.25">
      <c r="A2596" s="7">
        <v>2595</v>
      </c>
      <c r="B2596" s="1" t="s">
        <v>7952</v>
      </c>
      <c r="C2596" s="5">
        <f>CONCATENATE("PD", TEXT(A2596, "1000000"))</f>
      </c>
      <c r="D2596" s="7">
        <v>73</v>
      </c>
      <c r="E2596" s="5">
        <f>XLOOKUP(G2596, item_category!C:C, item_category!B:B, "Not Found")</f>
      </c>
      <c r="F2596" s="1" t="s">
        <v>7945</v>
      </c>
      <c r="G2596" s="5">
        <f>XLOOKUP(I2596, drug!B:B, drug!A:A, "Not Found")</f>
      </c>
      <c r="H2596" s="1" t="s">
        <v>1942</v>
      </c>
      <c r="I2596" s="7">
        <v>1</v>
      </c>
      <c r="J2596" s="5">
        <f>XLOOKUP(L2596, uom!C:C, uom!B:B, "Not Found")</f>
      </c>
      <c r="K2596" s="1" t="s">
        <v>5511</v>
      </c>
      <c r="L2596" s="5">
        <f>XLOOKUP(N2596, uom!C:C, uom!B:B, "Not Found")</f>
      </c>
      <c r="M2596" s="1" t="s">
        <v>5511</v>
      </c>
      <c r="N2596" s="8" t="s">
        <v>5512</v>
      </c>
      <c r="O2596" s="1" t="s">
        <v>5513</v>
      </c>
      <c r="P2596" s="5">
        <f>XLOOKUP(R2596, classification!C:C, classification!B:B, "Not Found")</f>
      </c>
      <c r="Q2596" s="1" t="s">
        <v>5514</v>
      </c>
      <c r="R2596" s="2"/>
      <c r="S2596" s="2"/>
      <c r="T2596" s="2"/>
      <c r="U2596" s="2"/>
    </row>
    <row x14ac:dyDescent="0.25" r="2597" customHeight="1" ht="17.25">
      <c r="A2597" s="7">
        <v>2596</v>
      </c>
      <c r="B2597" s="1" t="s">
        <v>7953</v>
      </c>
      <c r="C2597" s="5">
        <f>CONCATENATE("PD", TEXT(A2597, "1000000"))</f>
      </c>
      <c r="D2597" s="7">
        <v>73</v>
      </c>
      <c r="E2597" s="5">
        <f>XLOOKUP(G2597, item_category!C:C, item_category!B:B, "Not Found")</f>
      </c>
      <c r="F2597" s="1" t="s">
        <v>7945</v>
      </c>
      <c r="G2597" s="5">
        <f>XLOOKUP(I2597, drug!B:B, drug!A:A, "Not Found")</f>
      </c>
      <c r="H2597" s="1" t="s">
        <v>1942</v>
      </c>
      <c r="I2597" s="7">
        <v>1</v>
      </c>
      <c r="J2597" s="5">
        <f>XLOOKUP(L2597, uom!C:C, uom!B:B, "Not Found")</f>
      </c>
      <c r="K2597" s="1" t="s">
        <v>5511</v>
      </c>
      <c r="L2597" s="5">
        <f>XLOOKUP(N2597, uom!C:C, uom!B:B, "Not Found")</f>
      </c>
      <c r="M2597" s="1" t="s">
        <v>5511</v>
      </c>
      <c r="N2597" s="8" t="s">
        <v>5512</v>
      </c>
      <c r="O2597" s="1" t="s">
        <v>5513</v>
      </c>
      <c r="P2597" s="5">
        <f>XLOOKUP(R2597, classification!C:C, classification!B:B, "Not Found")</f>
      </c>
      <c r="Q2597" s="1" t="s">
        <v>5514</v>
      </c>
      <c r="R2597" s="2"/>
      <c r="S2597" s="2"/>
      <c r="T2597" s="2"/>
      <c r="U2597" s="2"/>
    </row>
    <row x14ac:dyDescent="0.25" r="2598" customHeight="1" ht="17.25">
      <c r="A2598" s="7">
        <v>2597</v>
      </c>
      <c r="B2598" s="1" t="s">
        <v>7954</v>
      </c>
      <c r="C2598" s="5">
        <f>CONCATENATE("PD", TEXT(A2598, "1000000"))</f>
      </c>
      <c r="D2598" s="7">
        <v>73</v>
      </c>
      <c r="E2598" s="5">
        <f>XLOOKUP(G2598, item_category!C:C, item_category!B:B, "Not Found")</f>
      </c>
      <c r="F2598" s="1" t="s">
        <v>7945</v>
      </c>
      <c r="G2598" s="5">
        <f>XLOOKUP(I2598, drug!B:B, drug!A:A, "Not Found")</f>
      </c>
      <c r="H2598" s="1" t="s">
        <v>1942</v>
      </c>
      <c r="I2598" s="7">
        <v>1</v>
      </c>
      <c r="J2598" s="5">
        <f>XLOOKUP(L2598, uom!C:C, uom!B:B, "Not Found")</f>
      </c>
      <c r="K2598" s="1" t="s">
        <v>5511</v>
      </c>
      <c r="L2598" s="5">
        <f>XLOOKUP(N2598, uom!C:C, uom!B:B, "Not Found")</f>
      </c>
      <c r="M2598" s="1" t="s">
        <v>5511</v>
      </c>
      <c r="N2598" s="8" t="s">
        <v>5512</v>
      </c>
      <c r="O2598" s="1" t="s">
        <v>5513</v>
      </c>
      <c r="P2598" s="5">
        <f>XLOOKUP(R2598, classification!C:C, classification!B:B, "Not Found")</f>
      </c>
      <c r="Q2598" s="1" t="s">
        <v>5514</v>
      </c>
      <c r="R2598" s="2"/>
      <c r="S2598" s="2"/>
      <c r="T2598" s="2"/>
      <c r="U2598" s="2"/>
    </row>
    <row x14ac:dyDescent="0.25" r="2599" customHeight="1" ht="17.25">
      <c r="A2599" s="7">
        <v>2598</v>
      </c>
      <c r="B2599" s="1" t="s">
        <v>7955</v>
      </c>
      <c r="C2599" s="5">
        <f>CONCATENATE("PD", TEXT(A2599, "1000000"))</f>
      </c>
      <c r="D2599" s="7">
        <v>73</v>
      </c>
      <c r="E2599" s="5">
        <f>XLOOKUP(G2599, item_category!C:C, item_category!B:B, "Not Found")</f>
      </c>
      <c r="F2599" s="1" t="s">
        <v>7945</v>
      </c>
      <c r="G2599" s="5">
        <f>XLOOKUP(I2599, drug!B:B, drug!A:A, "Not Found")</f>
      </c>
      <c r="H2599" s="1" t="s">
        <v>1942</v>
      </c>
      <c r="I2599" s="7">
        <v>1</v>
      </c>
      <c r="J2599" s="5">
        <f>XLOOKUP(L2599, uom!C:C, uom!B:B, "Not Found")</f>
      </c>
      <c r="K2599" s="1" t="s">
        <v>5511</v>
      </c>
      <c r="L2599" s="5">
        <f>XLOOKUP(N2599, uom!C:C, uom!B:B, "Not Found")</f>
      </c>
      <c r="M2599" s="1" t="s">
        <v>5511</v>
      </c>
      <c r="N2599" s="8" t="s">
        <v>5512</v>
      </c>
      <c r="O2599" s="1" t="s">
        <v>5513</v>
      </c>
      <c r="P2599" s="5">
        <f>XLOOKUP(R2599, classification!C:C, classification!B:B, "Not Found")</f>
      </c>
      <c r="Q2599" s="1" t="s">
        <v>5514</v>
      </c>
      <c r="R2599" s="2"/>
      <c r="S2599" s="2"/>
      <c r="T2599" s="2"/>
      <c r="U2599" s="2"/>
    </row>
    <row x14ac:dyDescent="0.25" r="2600" customHeight="1" ht="17.25">
      <c r="A2600" s="7">
        <v>2599</v>
      </c>
      <c r="B2600" s="1" t="s">
        <v>7956</v>
      </c>
      <c r="C2600" s="5">
        <f>CONCATENATE("PD", TEXT(A2600, "1000000"))</f>
      </c>
      <c r="D2600" s="7">
        <v>73</v>
      </c>
      <c r="E2600" s="5">
        <f>XLOOKUP(G2600, item_category!C:C, item_category!B:B, "Not Found")</f>
      </c>
      <c r="F2600" s="1" t="s">
        <v>7945</v>
      </c>
      <c r="G2600" s="5">
        <f>XLOOKUP(I2600, drug!B:B, drug!A:A, "Not Found")</f>
      </c>
      <c r="H2600" s="1" t="s">
        <v>1942</v>
      </c>
      <c r="I2600" s="7">
        <v>1</v>
      </c>
      <c r="J2600" s="5">
        <f>XLOOKUP(L2600, uom!C:C, uom!B:B, "Not Found")</f>
      </c>
      <c r="K2600" s="1" t="s">
        <v>5511</v>
      </c>
      <c r="L2600" s="5">
        <f>XLOOKUP(N2600, uom!C:C, uom!B:B, "Not Found")</f>
      </c>
      <c r="M2600" s="1" t="s">
        <v>5511</v>
      </c>
      <c r="N2600" s="8" t="s">
        <v>5512</v>
      </c>
      <c r="O2600" s="1" t="s">
        <v>5513</v>
      </c>
      <c r="P2600" s="5">
        <f>XLOOKUP(R2600, classification!C:C, classification!B:B, "Not Found")</f>
      </c>
      <c r="Q2600" s="1" t="s">
        <v>5514</v>
      </c>
      <c r="R2600" s="2"/>
      <c r="S2600" s="2"/>
      <c r="T2600" s="2"/>
      <c r="U2600" s="2"/>
    </row>
    <row x14ac:dyDescent="0.25" r="2601" customHeight="1" ht="17.25">
      <c r="A2601" s="7">
        <v>2600</v>
      </c>
      <c r="B2601" s="1" t="s">
        <v>7957</v>
      </c>
      <c r="C2601" s="5">
        <f>CONCATENATE("PD", TEXT(A2601, "1000000"))</f>
      </c>
      <c r="D2601" s="7">
        <v>73</v>
      </c>
      <c r="E2601" s="5">
        <f>XLOOKUP(G2601, item_category!C:C, item_category!B:B, "Not Found")</f>
      </c>
      <c r="F2601" s="1" t="s">
        <v>7945</v>
      </c>
      <c r="G2601" s="5">
        <f>XLOOKUP(I2601, drug!B:B, drug!A:A, "Not Found")</f>
      </c>
      <c r="H2601" s="1" t="s">
        <v>1942</v>
      </c>
      <c r="I2601" s="7">
        <v>1</v>
      </c>
      <c r="J2601" s="5">
        <f>XLOOKUP(L2601, uom!C:C, uom!B:B, "Not Found")</f>
      </c>
      <c r="K2601" s="1" t="s">
        <v>5511</v>
      </c>
      <c r="L2601" s="5">
        <f>XLOOKUP(N2601, uom!C:C, uom!B:B, "Not Found")</f>
      </c>
      <c r="M2601" s="1" t="s">
        <v>5511</v>
      </c>
      <c r="N2601" s="8" t="s">
        <v>5512</v>
      </c>
      <c r="O2601" s="1" t="s">
        <v>5513</v>
      </c>
      <c r="P2601" s="5">
        <f>XLOOKUP(R2601, classification!C:C, classification!B:B, "Not Found")</f>
      </c>
      <c r="Q2601" s="1" t="s">
        <v>5514</v>
      </c>
      <c r="R2601" s="2"/>
      <c r="S2601" s="2"/>
      <c r="T2601" s="2"/>
      <c r="U2601" s="2"/>
    </row>
    <row x14ac:dyDescent="0.25" r="2602" customHeight="1" ht="17.25">
      <c r="A2602" s="7">
        <v>2601</v>
      </c>
      <c r="B2602" s="1" t="s">
        <v>7958</v>
      </c>
      <c r="C2602" s="5">
        <f>CONCATENATE("PD", TEXT(A2602, "1000000"))</f>
      </c>
      <c r="D2602" s="7">
        <v>73</v>
      </c>
      <c r="E2602" s="5">
        <f>XLOOKUP(G2602, item_category!C:C, item_category!B:B, "Not Found")</f>
      </c>
      <c r="F2602" s="1" t="s">
        <v>7945</v>
      </c>
      <c r="G2602" s="5">
        <f>XLOOKUP(I2602, drug!B:B, drug!A:A, "Not Found")</f>
      </c>
      <c r="H2602" s="1" t="s">
        <v>1942</v>
      </c>
      <c r="I2602" s="7">
        <v>1</v>
      </c>
      <c r="J2602" s="5">
        <f>XLOOKUP(L2602, uom!C:C, uom!B:B, "Not Found")</f>
      </c>
      <c r="K2602" s="1" t="s">
        <v>5511</v>
      </c>
      <c r="L2602" s="5">
        <f>XLOOKUP(N2602, uom!C:C, uom!B:B, "Not Found")</f>
      </c>
      <c r="M2602" s="1" t="s">
        <v>5511</v>
      </c>
      <c r="N2602" s="8" t="s">
        <v>5512</v>
      </c>
      <c r="O2602" s="1" t="s">
        <v>5513</v>
      </c>
      <c r="P2602" s="5">
        <f>XLOOKUP(R2602, classification!C:C, classification!B:B, "Not Found")</f>
      </c>
      <c r="Q2602" s="1" t="s">
        <v>5514</v>
      </c>
      <c r="R2602" s="2"/>
      <c r="S2602" s="2"/>
      <c r="T2602" s="2"/>
      <c r="U2602" s="2"/>
    </row>
    <row x14ac:dyDescent="0.25" r="2603" customHeight="1" ht="17.25">
      <c r="A2603" s="7">
        <v>2602</v>
      </c>
      <c r="B2603" s="1" t="s">
        <v>7959</v>
      </c>
      <c r="C2603" s="5">
        <f>CONCATENATE("PD", TEXT(A2603, "1000000"))</f>
      </c>
      <c r="D2603" s="7">
        <v>73</v>
      </c>
      <c r="E2603" s="5">
        <f>XLOOKUP(G2603, item_category!C:C, item_category!B:B, "Not Found")</f>
      </c>
      <c r="F2603" s="1" t="s">
        <v>7945</v>
      </c>
      <c r="G2603" s="5">
        <f>XLOOKUP(I2603, drug!B:B, drug!A:A, "Not Found")</f>
      </c>
      <c r="H2603" s="1" t="s">
        <v>1942</v>
      </c>
      <c r="I2603" s="7">
        <v>1</v>
      </c>
      <c r="J2603" s="5">
        <f>XLOOKUP(L2603, uom!C:C, uom!B:B, "Not Found")</f>
      </c>
      <c r="K2603" s="1" t="s">
        <v>5511</v>
      </c>
      <c r="L2603" s="5">
        <f>XLOOKUP(N2603, uom!C:C, uom!B:B, "Not Found")</f>
      </c>
      <c r="M2603" s="1" t="s">
        <v>5511</v>
      </c>
      <c r="N2603" s="8" t="s">
        <v>5512</v>
      </c>
      <c r="O2603" s="1" t="s">
        <v>5513</v>
      </c>
      <c r="P2603" s="5">
        <f>XLOOKUP(R2603, classification!C:C, classification!B:B, "Not Found")</f>
      </c>
      <c r="Q2603" s="1" t="s">
        <v>5514</v>
      </c>
      <c r="R2603" s="2"/>
      <c r="S2603" s="2"/>
      <c r="T2603" s="2"/>
      <c r="U2603" s="2"/>
    </row>
    <row x14ac:dyDescent="0.25" r="2604" customHeight="1" ht="17.25">
      <c r="A2604" s="7">
        <v>2603</v>
      </c>
      <c r="B2604" s="1" t="s">
        <v>7960</v>
      </c>
      <c r="C2604" s="5">
        <f>CONCATENATE("PD", TEXT(A2604, "1000000"))</f>
      </c>
      <c r="D2604" s="7">
        <v>73</v>
      </c>
      <c r="E2604" s="5">
        <f>XLOOKUP(G2604, item_category!C:C, item_category!B:B, "Not Found")</f>
      </c>
      <c r="F2604" s="1" t="s">
        <v>7945</v>
      </c>
      <c r="G2604" s="5">
        <f>XLOOKUP(I2604, drug!B:B, drug!A:A, "Not Found")</f>
      </c>
      <c r="H2604" s="1" t="s">
        <v>1942</v>
      </c>
      <c r="I2604" s="7">
        <v>1</v>
      </c>
      <c r="J2604" s="5">
        <f>XLOOKUP(L2604, uom!C:C, uom!B:B, "Not Found")</f>
      </c>
      <c r="K2604" s="1" t="s">
        <v>5511</v>
      </c>
      <c r="L2604" s="5">
        <f>XLOOKUP(N2604, uom!C:C, uom!B:B, "Not Found")</f>
      </c>
      <c r="M2604" s="1" t="s">
        <v>5511</v>
      </c>
      <c r="N2604" s="8" t="s">
        <v>5512</v>
      </c>
      <c r="O2604" s="1" t="s">
        <v>5513</v>
      </c>
      <c r="P2604" s="5">
        <f>XLOOKUP(R2604, classification!C:C, classification!B:B, "Not Found")</f>
      </c>
      <c r="Q2604" s="1" t="s">
        <v>5514</v>
      </c>
      <c r="R2604" s="2"/>
      <c r="S2604" s="2"/>
      <c r="T2604" s="2"/>
      <c r="U2604" s="2"/>
    </row>
    <row x14ac:dyDescent="0.25" r="2605" customHeight="1" ht="17.25">
      <c r="A2605" s="7">
        <v>2604</v>
      </c>
      <c r="B2605" s="1" t="s">
        <v>7961</v>
      </c>
      <c r="C2605" s="5">
        <f>CONCATENATE("PD", TEXT(A2605, "1000000"))</f>
      </c>
      <c r="D2605" s="7">
        <v>73</v>
      </c>
      <c r="E2605" s="5">
        <f>XLOOKUP(G2605, item_category!C:C, item_category!B:B, "Not Found")</f>
      </c>
      <c r="F2605" s="1" t="s">
        <v>7945</v>
      </c>
      <c r="G2605" s="5">
        <f>XLOOKUP(I2605, drug!B:B, drug!A:A, "Not Found")</f>
      </c>
      <c r="H2605" s="1" t="s">
        <v>1942</v>
      </c>
      <c r="I2605" s="7">
        <v>1</v>
      </c>
      <c r="J2605" s="5">
        <f>XLOOKUP(L2605, uom!C:C, uom!B:B, "Not Found")</f>
      </c>
      <c r="K2605" s="1" t="s">
        <v>5511</v>
      </c>
      <c r="L2605" s="5">
        <f>XLOOKUP(N2605, uom!C:C, uom!B:B, "Not Found")</f>
      </c>
      <c r="M2605" s="1" t="s">
        <v>5511</v>
      </c>
      <c r="N2605" s="8" t="s">
        <v>5512</v>
      </c>
      <c r="O2605" s="1" t="s">
        <v>5513</v>
      </c>
      <c r="P2605" s="5">
        <f>XLOOKUP(R2605, classification!C:C, classification!B:B, "Not Found")</f>
      </c>
      <c r="Q2605" s="1" t="s">
        <v>5514</v>
      </c>
      <c r="R2605" s="2"/>
      <c r="S2605" s="2"/>
      <c r="T2605" s="2"/>
      <c r="U2605" s="2"/>
    </row>
    <row x14ac:dyDescent="0.25" r="2606" customHeight="1" ht="17.25">
      <c r="A2606" s="7">
        <v>2605</v>
      </c>
      <c r="B2606" s="1" t="s">
        <v>7962</v>
      </c>
      <c r="C2606" s="5">
        <f>CONCATENATE("PD", TEXT(A2606, "1000000"))</f>
      </c>
      <c r="D2606" s="7">
        <v>73</v>
      </c>
      <c r="E2606" s="5">
        <f>XLOOKUP(G2606, item_category!C:C, item_category!B:B, "Not Found")</f>
      </c>
      <c r="F2606" s="1" t="s">
        <v>7945</v>
      </c>
      <c r="G2606" s="5">
        <f>XLOOKUP(I2606, drug!B:B, drug!A:A, "Not Found")</f>
      </c>
      <c r="H2606" s="1" t="s">
        <v>1942</v>
      </c>
      <c r="I2606" s="7">
        <v>1</v>
      </c>
      <c r="J2606" s="5">
        <f>XLOOKUP(L2606, uom!C:C, uom!B:B, "Not Found")</f>
      </c>
      <c r="K2606" s="1" t="s">
        <v>5511</v>
      </c>
      <c r="L2606" s="5">
        <f>XLOOKUP(N2606, uom!C:C, uom!B:B, "Not Found")</f>
      </c>
      <c r="M2606" s="1" t="s">
        <v>5511</v>
      </c>
      <c r="N2606" s="8" t="s">
        <v>5512</v>
      </c>
      <c r="O2606" s="1" t="s">
        <v>5513</v>
      </c>
      <c r="P2606" s="5">
        <f>XLOOKUP(R2606, classification!C:C, classification!B:B, "Not Found")</f>
      </c>
      <c r="Q2606" s="1" t="s">
        <v>5514</v>
      </c>
      <c r="R2606" s="2"/>
      <c r="S2606" s="2"/>
      <c r="T2606" s="2"/>
      <c r="U2606" s="2"/>
    </row>
    <row x14ac:dyDescent="0.25" r="2607" customHeight="1" ht="17.25">
      <c r="A2607" s="7">
        <v>2606</v>
      </c>
      <c r="B2607" s="1" t="s">
        <v>7962</v>
      </c>
      <c r="C2607" s="5">
        <f>CONCATENATE("PD", TEXT(A2607, "1000000"))</f>
      </c>
      <c r="D2607" s="7">
        <v>73</v>
      </c>
      <c r="E2607" s="5">
        <f>XLOOKUP(G2607, item_category!C:C, item_category!B:B, "Not Found")</f>
      </c>
      <c r="F2607" s="1" t="s">
        <v>7945</v>
      </c>
      <c r="G2607" s="5">
        <f>XLOOKUP(I2607, drug!B:B, drug!A:A, "Not Found")</f>
      </c>
      <c r="H2607" s="1" t="s">
        <v>1942</v>
      </c>
      <c r="I2607" s="7">
        <v>1</v>
      </c>
      <c r="J2607" s="5">
        <f>XLOOKUP(L2607, uom!C:C, uom!B:B, "Not Found")</f>
      </c>
      <c r="K2607" s="1" t="s">
        <v>5511</v>
      </c>
      <c r="L2607" s="5">
        <f>XLOOKUP(N2607, uom!C:C, uom!B:B, "Not Found")</f>
      </c>
      <c r="M2607" s="1" t="s">
        <v>5511</v>
      </c>
      <c r="N2607" s="8" t="s">
        <v>5512</v>
      </c>
      <c r="O2607" s="1" t="s">
        <v>5513</v>
      </c>
      <c r="P2607" s="5">
        <f>XLOOKUP(R2607, classification!C:C, classification!B:B, "Not Found")</f>
      </c>
      <c r="Q2607" s="1" t="s">
        <v>5514</v>
      </c>
      <c r="R2607" s="2"/>
      <c r="S2607" s="2"/>
      <c r="T2607" s="2"/>
      <c r="U2607" s="2"/>
    </row>
    <row x14ac:dyDescent="0.25" r="2608" customHeight="1" ht="17.25">
      <c r="A2608" s="7">
        <v>2607</v>
      </c>
      <c r="B2608" s="1" t="s">
        <v>7963</v>
      </c>
      <c r="C2608" s="5">
        <f>CONCATENATE("PD", TEXT(A2608, "1000000"))</f>
      </c>
      <c r="D2608" s="7">
        <v>73</v>
      </c>
      <c r="E2608" s="5">
        <f>XLOOKUP(G2608, item_category!C:C, item_category!B:B, "Not Found")</f>
      </c>
      <c r="F2608" s="1" t="s">
        <v>7945</v>
      </c>
      <c r="G2608" s="5">
        <f>XLOOKUP(I2608, drug!B:B, drug!A:A, "Not Found")</f>
      </c>
      <c r="H2608" s="1" t="s">
        <v>1942</v>
      </c>
      <c r="I2608" s="7">
        <v>1</v>
      </c>
      <c r="J2608" s="5">
        <f>XLOOKUP(L2608, uom!C:C, uom!B:B, "Not Found")</f>
      </c>
      <c r="K2608" s="1" t="s">
        <v>5511</v>
      </c>
      <c r="L2608" s="5">
        <f>XLOOKUP(N2608, uom!C:C, uom!B:B, "Not Found")</f>
      </c>
      <c r="M2608" s="1" t="s">
        <v>5511</v>
      </c>
      <c r="N2608" s="8" t="s">
        <v>5512</v>
      </c>
      <c r="O2608" s="1" t="s">
        <v>5513</v>
      </c>
      <c r="P2608" s="5">
        <f>XLOOKUP(R2608, classification!C:C, classification!B:B, "Not Found")</f>
      </c>
      <c r="Q2608" s="1" t="s">
        <v>5514</v>
      </c>
      <c r="R2608" s="2"/>
      <c r="S2608" s="2"/>
      <c r="T2608" s="2"/>
      <c r="U2608" s="2"/>
    </row>
    <row x14ac:dyDescent="0.25" r="2609" customHeight="1" ht="17.25">
      <c r="A2609" s="7">
        <v>2608</v>
      </c>
      <c r="B2609" s="1" t="s">
        <v>7964</v>
      </c>
      <c r="C2609" s="5">
        <f>CONCATENATE("PD", TEXT(A2609, "1000000"))</f>
      </c>
      <c r="D2609" s="7">
        <v>73</v>
      </c>
      <c r="E2609" s="5">
        <f>XLOOKUP(G2609, item_category!C:C, item_category!B:B, "Not Found")</f>
      </c>
      <c r="F2609" s="1" t="s">
        <v>7945</v>
      </c>
      <c r="G2609" s="5">
        <f>XLOOKUP(I2609, drug!B:B, drug!A:A, "Not Found")</f>
      </c>
      <c r="H2609" s="1" t="s">
        <v>1942</v>
      </c>
      <c r="I2609" s="7">
        <v>1</v>
      </c>
      <c r="J2609" s="5">
        <f>XLOOKUP(L2609, uom!C:C, uom!B:B, "Not Found")</f>
      </c>
      <c r="K2609" s="1" t="s">
        <v>5511</v>
      </c>
      <c r="L2609" s="5">
        <f>XLOOKUP(N2609, uom!C:C, uom!B:B, "Not Found")</f>
      </c>
      <c r="M2609" s="1" t="s">
        <v>5511</v>
      </c>
      <c r="N2609" s="8" t="s">
        <v>5512</v>
      </c>
      <c r="O2609" s="1" t="s">
        <v>5513</v>
      </c>
      <c r="P2609" s="5">
        <f>XLOOKUP(R2609, classification!C:C, classification!B:B, "Not Found")</f>
      </c>
      <c r="Q2609" s="1" t="s">
        <v>5514</v>
      </c>
      <c r="R2609" s="2"/>
      <c r="S2609" s="2"/>
      <c r="T2609" s="2"/>
      <c r="U2609" s="2"/>
    </row>
    <row x14ac:dyDescent="0.25" r="2610" customHeight="1" ht="17.25">
      <c r="A2610" s="7">
        <v>2609</v>
      </c>
      <c r="B2610" s="1" t="s">
        <v>7965</v>
      </c>
      <c r="C2610" s="5">
        <f>CONCATENATE("PD", TEXT(A2610, "1000000"))</f>
      </c>
      <c r="D2610" s="7">
        <v>73</v>
      </c>
      <c r="E2610" s="5">
        <f>XLOOKUP(G2610, item_category!C:C, item_category!B:B, "Not Found")</f>
      </c>
      <c r="F2610" s="1" t="s">
        <v>7945</v>
      </c>
      <c r="G2610" s="5">
        <f>XLOOKUP(I2610, drug!B:B, drug!A:A, "Not Found")</f>
      </c>
      <c r="H2610" s="1"/>
      <c r="I2610" s="7">
        <v>100</v>
      </c>
      <c r="J2610" s="5">
        <f>XLOOKUP(L2610, uom!C:C, uom!B:B, "Not Found")</f>
      </c>
      <c r="K2610" s="1" t="s">
        <v>5511</v>
      </c>
      <c r="L2610" s="5">
        <f>XLOOKUP(N2610, uom!C:C, uom!B:B, "Not Found")</f>
      </c>
      <c r="M2610" s="1" t="s">
        <v>5511</v>
      </c>
      <c r="N2610" s="8" t="s">
        <v>5524</v>
      </c>
      <c r="O2610" s="1" t="s">
        <v>5525</v>
      </c>
      <c r="P2610" s="5">
        <f>XLOOKUP(R2610, classification!C:C, classification!B:B, "Not Found")</f>
      </c>
      <c r="Q2610" s="1" t="s">
        <v>5514</v>
      </c>
      <c r="R2610" s="2"/>
      <c r="S2610" s="2"/>
      <c r="T2610" s="2"/>
      <c r="U2610" s="2"/>
    </row>
    <row x14ac:dyDescent="0.25" r="2611" customHeight="1" ht="17.25">
      <c r="A2611" s="7">
        <v>2610</v>
      </c>
      <c r="B2611" s="1" t="s">
        <v>7966</v>
      </c>
      <c r="C2611" s="5">
        <f>CONCATENATE("PD", TEXT(A2611, "1000000"))</f>
      </c>
      <c r="D2611" s="7">
        <v>73</v>
      </c>
      <c r="E2611" s="5">
        <f>XLOOKUP(G2611, item_category!C:C, item_category!B:B, "Not Found")</f>
      </c>
      <c r="F2611" s="1" t="s">
        <v>7945</v>
      </c>
      <c r="G2611" s="5">
        <f>XLOOKUP(I2611, drug!B:B, drug!A:A, "Not Found")</f>
      </c>
      <c r="H2611" s="1" t="s">
        <v>1942</v>
      </c>
      <c r="I2611" s="7">
        <v>1</v>
      </c>
      <c r="J2611" s="5">
        <f>XLOOKUP(L2611, uom!C:C, uom!B:B, "Not Found")</f>
      </c>
      <c r="K2611" s="1" t="s">
        <v>5511</v>
      </c>
      <c r="L2611" s="5">
        <f>XLOOKUP(N2611, uom!C:C, uom!B:B, "Not Found")</f>
      </c>
      <c r="M2611" s="1" t="s">
        <v>5511</v>
      </c>
      <c r="N2611" s="8" t="s">
        <v>5512</v>
      </c>
      <c r="O2611" s="1" t="s">
        <v>5513</v>
      </c>
      <c r="P2611" s="5">
        <f>XLOOKUP(R2611, classification!C:C, classification!B:B, "Not Found")</f>
      </c>
      <c r="Q2611" s="1" t="s">
        <v>5514</v>
      </c>
      <c r="R2611" s="2"/>
      <c r="S2611" s="2"/>
      <c r="T2611" s="2"/>
      <c r="U2611" s="2"/>
    </row>
    <row x14ac:dyDescent="0.25" r="2612" customHeight="1" ht="17.25">
      <c r="A2612" s="7">
        <v>2611</v>
      </c>
      <c r="B2612" s="1" t="s">
        <v>7967</v>
      </c>
      <c r="C2612" s="5">
        <f>CONCATENATE("PD", TEXT(A2612, "1000000"))</f>
      </c>
      <c r="D2612" s="7">
        <v>73</v>
      </c>
      <c r="E2612" s="5">
        <f>XLOOKUP(G2612, item_category!C:C, item_category!B:B, "Not Found")</f>
      </c>
      <c r="F2612" s="1" t="s">
        <v>7945</v>
      </c>
      <c r="G2612" s="5">
        <f>XLOOKUP(I2612, drug!B:B, drug!A:A, "Not Found")</f>
      </c>
      <c r="H2612" s="1" t="s">
        <v>1942</v>
      </c>
      <c r="I2612" s="7">
        <v>1</v>
      </c>
      <c r="J2612" s="5">
        <f>XLOOKUP(L2612, uom!C:C, uom!B:B, "Not Found")</f>
      </c>
      <c r="K2612" s="1" t="s">
        <v>5511</v>
      </c>
      <c r="L2612" s="5">
        <f>XLOOKUP(N2612, uom!C:C, uom!B:B, "Not Found")</f>
      </c>
      <c r="M2612" s="1" t="s">
        <v>5511</v>
      </c>
      <c r="N2612" s="8" t="s">
        <v>5512</v>
      </c>
      <c r="O2612" s="1" t="s">
        <v>5513</v>
      </c>
      <c r="P2612" s="5">
        <f>XLOOKUP(R2612, classification!C:C, classification!B:B, "Not Found")</f>
      </c>
      <c r="Q2612" s="1" t="s">
        <v>5514</v>
      </c>
      <c r="R2612" s="2"/>
      <c r="S2612" s="2"/>
      <c r="T2612" s="2"/>
      <c r="U2612" s="2"/>
    </row>
    <row x14ac:dyDescent="0.25" r="2613" customHeight="1" ht="17.25">
      <c r="A2613" s="7">
        <v>2612</v>
      </c>
      <c r="B2613" s="1" t="s">
        <v>7968</v>
      </c>
      <c r="C2613" s="5">
        <f>CONCATENATE("PD", TEXT(A2613, "1000000"))</f>
      </c>
      <c r="D2613" s="7">
        <v>73</v>
      </c>
      <c r="E2613" s="5">
        <f>XLOOKUP(G2613, item_category!C:C, item_category!B:B, "Not Found")</f>
      </c>
      <c r="F2613" s="1" t="s">
        <v>7945</v>
      </c>
      <c r="G2613" s="5">
        <f>XLOOKUP(I2613, drug!B:B, drug!A:A, "Not Found")</f>
      </c>
      <c r="H2613" s="1" t="s">
        <v>1942</v>
      </c>
      <c r="I2613" s="7">
        <v>1</v>
      </c>
      <c r="J2613" s="5">
        <f>XLOOKUP(L2613, uom!C:C, uom!B:B, "Not Found")</f>
      </c>
      <c r="K2613" s="1" t="s">
        <v>5511</v>
      </c>
      <c r="L2613" s="5">
        <f>XLOOKUP(N2613, uom!C:C, uom!B:B, "Not Found")</f>
      </c>
      <c r="M2613" s="1" t="s">
        <v>5511</v>
      </c>
      <c r="N2613" s="8" t="s">
        <v>5512</v>
      </c>
      <c r="O2613" s="1" t="s">
        <v>5513</v>
      </c>
      <c r="P2613" s="5">
        <f>XLOOKUP(R2613, classification!C:C, classification!B:B, "Not Found")</f>
      </c>
      <c r="Q2613" s="1" t="s">
        <v>5514</v>
      </c>
      <c r="R2613" s="2"/>
      <c r="S2613" s="2"/>
      <c r="T2613" s="2"/>
      <c r="U2613" s="2"/>
    </row>
    <row x14ac:dyDescent="0.25" r="2614" customHeight="1" ht="17.25">
      <c r="A2614" s="7">
        <v>2613</v>
      </c>
      <c r="B2614" s="1" t="s">
        <v>7969</v>
      </c>
      <c r="C2614" s="5">
        <f>CONCATENATE("PD", TEXT(A2614, "1000000"))</f>
      </c>
      <c r="D2614" s="7">
        <v>73</v>
      </c>
      <c r="E2614" s="5">
        <f>XLOOKUP(G2614, item_category!C:C, item_category!B:B, "Not Found")</f>
      </c>
      <c r="F2614" s="1" t="s">
        <v>7945</v>
      </c>
      <c r="G2614" s="5">
        <f>XLOOKUP(I2614, drug!B:B, drug!A:A, "Not Found")</f>
      </c>
      <c r="H2614" s="1" t="s">
        <v>1942</v>
      </c>
      <c r="I2614" s="7">
        <v>1</v>
      </c>
      <c r="J2614" s="5">
        <f>XLOOKUP(L2614, uom!C:C, uom!B:B, "Not Found")</f>
      </c>
      <c r="K2614" s="1" t="s">
        <v>5511</v>
      </c>
      <c r="L2614" s="5">
        <f>XLOOKUP(N2614, uom!C:C, uom!B:B, "Not Found")</f>
      </c>
      <c r="M2614" s="1" t="s">
        <v>5511</v>
      </c>
      <c r="N2614" s="8" t="s">
        <v>5512</v>
      </c>
      <c r="O2614" s="1" t="s">
        <v>5513</v>
      </c>
      <c r="P2614" s="5">
        <f>XLOOKUP(R2614, classification!C:C, classification!B:B, "Not Found")</f>
      </c>
      <c r="Q2614" s="1" t="s">
        <v>5514</v>
      </c>
      <c r="R2614" s="2"/>
      <c r="S2614" s="2"/>
      <c r="T2614" s="2"/>
      <c r="U2614" s="2"/>
    </row>
    <row x14ac:dyDescent="0.25" r="2615" customHeight="1" ht="17.25">
      <c r="A2615" s="7">
        <v>2614</v>
      </c>
      <c r="B2615" s="1" t="s">
        <v>7970</v>
      </c>
      <c r="C2615" s="5">
        <f>CONCATENATE("PD", TEXT(A2615, "1000000"))</f>
      </c>
      <c r="D2615" s="7">
        <v>73</v>
      </c>
      <c r="E2615" s="5">
        <f>XLOOKUP(G2615, item_category!C:C, item_category!B:B, "Not Found")</f>
      </c>
      <c r="F2615" s="1" t="s">
        <v>7945</v>
      </c>
      <c r="G2615" s="5">
        <f>XLOOKUP(I2615, drug!B:B, drug!A:A, "Not Found")</f>
      </c>
      <c r="H2615" s="1" t="s">
        <v>1942</v>
      </c>
      <c r="I2615" s="7">
        <v>1</v>
      </c>
      <c r="J2615" s="5">
        <f>XLOOKUP(L2615, uom!C:C, uom!B:B, "Not Found")</f>
      </c>
      <c r="K2615" s="1" t="s">
        <v>5511</v>
      </c>
      <c r="L2615" s="5">
        <f>XLOOKUP(N2615, uom!C:C, uom!B:B, "Not Found")</f>
      </c>
      <c r="M2615" s="1" t="s">
        <v>5511</v>
      </c>
      <c r="N2615" s="8" t="s">
        <v>5512</v>
      </c>
      <c r="O2615" s="1" t="s">
        <v>5513</v>
      </c>
      <c r="P2615" s="5">
        <f>XLOOKUP(R2615, classification!C:C, classification!B:B, "Not Found")</f>
      </c>
      <c r="Q2615" s="1" t="s">
        <v>5514</v>
      </c>
      <c r="R2615" s="2"/>
      <c r="S2615" s="2"/>
      <c r="T2615" s="2"/>
      <c r="U2615" s="2"/>
    </row>
    <row x14ac:dyDescent="0.25" r="2616" customHeight="1" ht="17.25">
      <c r="A2616" s="7">
        <v>2615</v>
      </c>
      <c r="B2616" s="1" t="s">
        <v>7971</v>
      </c>
      <c r="C2616" s="5">
        <f>CONCATENATE("PD", TEXT(A2616, "1000000"))</f>
      </c>
      <c r="D2616" s="7">
        <v>73</v>
      </c>
      <c r="E2616" s="5">
        <f>XLOOKUP(G2616, item_category!C:C, item_category!B:B, "Not Found")</f>
      </c>
      <c r="F2616" s="1" t="s">
        <v>7945</v>
      </c>
      <c r="G2616" s="5">
        <f>XLOOKUP(I2616, drug!B:B, drug!A:A, "Not Found")</f>
      </c>
      <c r="H2616" s="1"/>
      <c r="I2616" s="7">
        <v>1</v>
      </c>
      <c r="J2616" s="5">
        <f>XLOOKUP(L2616, uom!C:C, uom!B:B, "Not Found")</f>
      </c>
      <c r="K2616" s="1" t="s">
        <v>5511</v>
      </c>
      <c r="L2616" s="5">
        <f>XLOOKUP(N2616, uom!C:C, uom!B:B, "Not Found")</f>
      </c>
      <c r="M2616" s="1" t="s">
        <v>5511</v>
      </c>
      <c r="N2616" s="8" t="s">
        <v>5512</v>
      </c>
      <c r="O2616" s="1" t="s">
        <v>5513</v>
      </c>
      <c r="P2616" s="5">
        <f>XLOOKUP(R2616, classification!C:C, classification!B:B, "Not Found")</f>
      </c>
      <c r="Q2616" s="1" t="s">
        <v>5514</v>
      </c>
      <c r="R2616" s="2"/>
      <c r="S2616" s="2"/>
      <c r="T2616" s="2"/>
      <c r="U2616" s="2"/>
    </row>
    <row x14ac:dyDescent="0.25" r="2617" customHeight="1" ht="17.25">
      <c r="A2617" s="7">
        <v>2616</v>
      </c>
      <c r="B2617" s="1" t="s">
        <v>7972</v>
      </c>
      <c r="C2617" s="5">
        <f>CONCATENATE("PD", TEXT(A2617, "1000000"))</f>
      </c>
      <c r="D2617" s="7">
        <v>73</v>
      </c>
      <c r="E2617" s="5">
        <f>XLOOKUP(G2617, item_category!C:C, item_category!B:B, "Not Found")</f>
      </c>
      <c r="F2617" s="1" t="s">
        <v>7945</v>
      </c>
      <c r="G2617" s="5">
        <f>XLOOKUP(I2617, drug!B:B, drug!A:A, "Not Found")</f>
      </c>
      <c r="H2617" s="1"/>
      <c r="I2617" s="7">
        <v>1</v>
      </c>
      <c r="J2617" s="5">
        <f>XLOOKUP(L2617, uom!C:C, uom!B:B, "Not Found")</f>
      </c>
      <c r="K2617" s="1" t="s">
        <v>5511</v>
      </c>
      <c r="L2617" s="5">
        <f>XLOOKUP(N2617, uom!C:C, uom!B:B, "Not Found")</f>
      </c>
      <c r="M2617" s="1" t="s">
        <v>5511</v>
      </c>
      <c r="N2617" s="8" t="s">
        <v>5512</v>
      </c>
      <c r="O2617" s="1" t="s">
        <v>5513</v>
      </c>
      <c r="P2617" s="5">
        <f>XLOOKUP(R2617, classification!C:C, classification!B:B, "Not Found")</f>
      </c>
      <c r="Q2617" s="1" t="s">
        <v>5514</v>
      </c>
      <c r="R2617" s="2"/>
      <c r="S2617" s="2"/>
      <c r="T2617" s="2"/>
      <c r="U2617" s="2"/>
    </row>
    <row x14ac:dyDescent="0.25" r="2618" customHeight="1" ht="17.25">
      <c r="A2618" s="7">
        <v>2617</v>
      </c>
      <c r="B2618" s="1" t="s">
        <v>7973</v>
      </c>
      <c r="C2618" s="5">
        <f>CONCATENATE("PD", TEXT(A2618, "1000000"))</f>
      </c>
      <c r="D2618" s="7">
        <v>73</v>
      </c>
      <c r="E2618" s="5">
        <f>XLOOKUP(G2618, item_category!C:C, item_category!B:B, "Not Found")</f>
      </c>
      <c r="F2618" s="1" t="s">
        <v>7945</v>
      </c>
      <c r="G2618" s="5">
        <f>XLOOKUP(I2618, drug!B:B, drug!A:A, "Not Found")</f>
      </c>
      <c r="H2618" s="1"/>
      <c r="I2618" s="7">
        <v>1</v>
      </c>
      <c r="J2618" s="5">
        <f>XLOOKUP(L2618, uom!C:C, uom!B:B, "Not Found")</f>
      </c>
      <c r="K2618" s="1" t="s">
        <v>5511</v>
      </c>
      <c r="L2618" s="5">
        <f>XLOOKUP(N2618, uom!C:C, uom!B:B, "Not Found")</f>
      </c>
      <c r="M2618" s="1" t="s">
        <v>5511</v>
      </c>
      <c r="N2618" s="8" t="s">
        <v>5512</v>
      </c>
      <c r="O2618" s="1" t="s">
        <v>5513</v>
      </c>
      <c r="P2618" s="5">
        <f>XLOOKUP(R2618, classification!C:C, classification!B:B, "Not Found")</f>
      </c>
      <c r="Q2618" s="1" t="s">
        <v>5514</v>
      </c>
      <c r="R2618" s="2"/>
      <c r="S2618" s="2"/>
      <c r="T2618" s="2"/>
      <c r="U2618" s="2"/>
    </row>
    <row x14ac:dyDescent="0.25" r="2619" customHeight="1" ht="17.25">
      <c r="A2619" s="7">
        <v>2618</v>
      </c>
      <c r="B2619" s="1" t="s">
        <v>7974</v>
      </c>
      <c r="C2619" s="5">
        <f>CONCATENATE("PD", TEXT(A2619, "1000000"))</f>
      </c>
      <c r="D2619" s="7">
        <v>73</v>
      </c>
      <c r="E2619" s="5">
        <f>XLOOKUP(G2619, item_category!C:C, item_category!B:B, "Not Found")</f>
      </c>
      <c r="F2619" s="1" t="s">
        <v>7945</v>
      </c>
      <c r="G2619" s="5">
        <f>XLOOKUP(I2619, drug!B:B, drug!A:A, "Not Found")</f>
      </c>
      <c r="H2619" s="1"/>
      <c r="I2619" s="7">
        <v>1</v>
      </c>
      <c r="J2619" s="5">
        <f>XLOOKUP(L2619, uom!C:C, uom!B:B, "Not Found")</f>
      </c>
      <c r="K2619" s="1" t="s">
        <v>5511</v>
      </c>
      <c r="L2619" s="5">
        <f>XLOOKUP(N2619, uom!C:C, uom!B:B, "Not Found")</f>
      </c>
      <c r="M2619" s="1" t="s">
        <v>5511</v>
      </c>
      <c r="N2619" s="8" t="s">
        <v>5512</v>
      </c>
      <c r="O2619" s="1" t="s">
        <v>5513</v>
      </c>
      <c r="P2619" s="5">
        <f>XLOOKUP(R2619, classification!C:C, classification!B:B, "Not Found")</f>
      </c>
      <c r="Q2619" s="1" t="s">
        <v>5514</v>
      </c>
      <c r="R2619" s="2"/>
      <c r="S2619" s="2"/>
      <c r="T2619" s="2"/>
      <c r="U2619" s="2"/>
    </row>
    <row x14ac:dyDescent="0.25" r="2620" customHeight="1" ht="17.25">
      <c r="A2620" s="7">
        <v>2619</v>
      </c>
      <c r="B2620" s="1" t="s">
        <v>3262</v>
      </c>
      <c r="C2620" s="5">
        <f>CONCATENATE("PD", TEXT(A2620, "1000000"))</f>
      </c>
      <c r="D2620" s="7">
        <v>73</v>
      </c>
      <c r="E2620" s="5">
        <f>XLOOKUP(G2620, item_category!C:C, item_category!B:B, "Not Found")</f>
      </c>
      <c r="F2620" s="1" t="s">
        <v>7945</v>
      </c>
      <c r="G2620" s="5">
        <f>XLOOKUP(I2620, drug!B:B, drug!A:A, "Not Found")</f>
      </c>
      <c r="H2620" s="1"/>
      <c r="I2620" s="7">
        <v>1</v>
      </c>
      <c r="J2620" s="5">
        <f>XLOOKUP(L2620, uom!C:C, uom!B:B, "Not Found")</f>
      </c>
      <c r="K2620" s="1" t="s">
        <v>5511</v>
      </c>
      <c r="L2620" s="5">
        <f>XLOOKUP(N2620, uom!C:C, uom!B:B, "Not Found")</f>
      </c>
      <c r="M2620" s="1" t="s">
        <v>5511</v>
      </c>
      <c r="N2620" s="8" t="s">
        <v>5512</v>
      </c>
      <c r="O2620" s="1" t="s">
        <v>5513</v>
      </c>
      <c r="P2620" s="5">
        <f>XLOOKUP(R2620, classification!C:C, classification!B:B, "Not Found")</f>
      </c>
      <c r="Q2620" s="1" t="s">
        <v>5514</v>
      </c>
      <c r="R2620" s="2"/>
      <c r="S2620" s="2"/>
      <c r="T2620" s="2"/>
      <c r="U2620" s="2"/>
    </row>
    <row x14ac:dyDescent="0.25" r="2621" customHeight="1" ht="17.25">
      <c r="A2621" s="7">
        <v>2620</v>
      </c>
      <c r="B2621" s="1" t="s">
        <v>7975</v>
      </c>
      <c r="C2621" s="5">
        <f>CONCATENATE("PD", TEXT(A2621, "1000000"))</f>
      </c>
      <c r="D2621" s="7">
        <v>73</v>
      </c>
      <c r="E2621" s="5">
        <f>XLOOKUP(G2621, item_category!C:C, item_category!B:B, "Not Found")</f>
      </c>
      <c r="F2621" s="1" t="s">
        <v>7945</v>
      </c>
      <c r="G2621" s="5">
        <f>XLOOKUP(I2621, drug!B:B, drug!A:A, "Not Found")</f>
      </c>
      <c r="H2621" s="1"/>
      <c r="I2621" s="7">
        <v>1</v>
      </c>
      <c r="J2621" s="5">
        <f>XLOOKUP(L2621, uom!C:C, uom!B:B, "Not Found")</f>
      </c>
      <c r="K2621" s="1" t="s">
        <v>5511</v>
      </c>
      <c r="L2621" s="5">
        <f>XLOOKUP(N2621, uom!C:C, uom!B:B, "Not Found")</f>
      </c>
      <c r="M2621" s="1" t="s">
        <v>5511</v>
      </c>
      <c r="N2621" s="8" t="s">
        <v>5512</v>
      </c>
      <c r="O2621" s="1" t="s">
        <v>5513</v>
      </c>
      <c r="P2621" s="5">
        <f>XLOOKUP(R2621, classification!C:C, classification!B:B, "Not Found")</f>
      </c>
      <c r="Q2621" s="1" t="s">
        <v>5514</v>
      </c>
      <c r="R2621" s="2"/>
      <c r="S2621" s="2"/>
      <c r="T2621" s="2"/>
      <c r="U2621" s="2"/>
    </row>
    <row x14ac:dyDescent="0.25" r="2622" customHeight="1" ht="17.25">
      <c r="A2622" s="7">
        <v>2621</v>
      </c>
      <c r="B2622" s="1" t="s">
        <v>7976</v>
      </c>
      <c r="C2622" s="5">
        <f>CONCATENATE("PD", TEXT(A2622, "1000000"))</f>
      </c>
      <c r="D2622" s="7">
        <v>73</v>
      </c>
      <c r="E2622" s="5">
        <f>XLOOKUP(G2622, item_category!C:C, item_category!B:B, "Not Found")</f>
      </c>
      <c r="F2622" s="1" t="s">
        <v>7945</v>
      </c>
      <c r="G2622" s="5">
        <f>XLOOKUP(I2622, drug!B:B, drug!A:A, "Not Found")</f>
      </c>
      <c r="H2622" s="1"/>
      <c r="I2622" s="7">
        <v>1</v>
      </c>
      <c r="J2622" s="5">
        <f>XLOOKUP(L2622, uom!C:C, uom!B:B, "Not Found")</f>
      </c>
      <c r="K2622" s="1" t="s">
        <v>5511</v>
      </c>
      <c r="L2622" s="5">
        <f>XLOOKUP(N2622, uom!C:C, uom!B:B, "Not Found")</f>
      </c>
      <c r="M2622" s="1" t="s">
        <v>5511</v>
      </c>
      <c r="N2622" s="8" t="s">
        <v>5512</v>
      </c>
      <c r="O2622" s="1" t="s">
        <v>5513</v>
      </c>
      <c r="P2622" s="5">
        <f>XLOOKUP(R2622, classification!C:C, classification!B:B, "Not Found")</f>
      </c>
      <c r="Q2622" s="1" t="s">
        <v>5514</v>
      </c>
      <c r="R2622" s="2"/>
      <c r="S2622" s="2"/>
      <c r="T2622" s="2"/>
      <c r="U2622" s="2"/>
    </row>
    <row x14ac:dyDescent="0.25" r="2623" customHeight="1" ht="17.25">
      <c r="A2623" s="7">
        <v>2622</v>
      </c>
      <c r="B2623" s="1" t="s">
        <v>7977</v>
      </c>
      <c r="C2623" s="5">
        <f>CONCATENATE("PD", TEXT(A2623, "1000000"))</f>
      </c>
      <c r="D2623" s="7">
        <v>73</v>
      </c>
      <c r="E2623" s="5">
        <f>XLOOKUP(G2623, item_category!C:C, item_category!B:B, "Not Found")</f>
      </c>
      <c r="F2623" s="1" t="s">
        <v>7945</v>
      </c>
      <c r="G2623" s="5">
        <f>XLOOKUP(I2623, drug!B:B, drug!A:A, "Not Found")</f>
      </c>
      <c r="H2623" s="1" t="s">
        <v>314</v>
      </c>
      <c r="I2623" s="7">
        <v>1</v>
      </c>
      <c r="J2623" s="5">
        <f>XLOOKUP(L2623, uom!C:C, uom!B:B, "Not Found")</f>
      </c>
      <c r="K2623" s="1" t="s">
        <v>5511</v>
      </c>
      <c r="L2623" s="5">
        <f>XLOOKUP(N2623, uom!C:C, uom!B:B, "Not Found")</f>
      </c>
      <c r="M2623" s="1" t="s">
        <v>5511</v>
      </c>
      <c r="N2623" s="8" t="s">
        <v>5512</v>
      </c>
      <c r="O2623" s="1" t="s">
        <v>5513</v>
      </c>
      <c r="P2623" s="5">
        <f>XLOOKUP(R2623, classification!C:C, classification!B:B, "Not Found")</f>
      </c>
      <c r="Q2623" s="1" t="s">
        <v>5514</v>
      </c>
      <c r="R2623" s="2"/>
      <c r="S2623" s="2"/>
      <c r="T2623" s="2"/>
      <c r="U2623" s="2"/>
    </row>
    <row x14ac:dyDescent="0.25" r="2624" customHeight="1" ht="17.25">
      <c r="A2624" s="7">
        <v>2623</v>
      </c>
      <c r="B2624" s="1" t="s">
        <v>7978</v>
      </c>
      <c r="C2624" s="5">
        <f>CONCATENATE("PD", TEXT(A2624, "1000000"))</f>
      </c>
      <c r="D2624" s="7">
        <v>73</v>
      </c>
      <c r="E2624" s="5">
        <f>XLOOKUP(G2624, item_category!C:C, item_category!B:B, "Not Found")</f>
      </c>
      <c r="F2624" s="1" t="s">
        <v>7945</v>
      </c>
      <c r="G2624" s="5">
        <f>XLOOKUP(I2624, drug!B:B, drug!A:A, "Not Found")</f>
      </c>
      <c r="H2624" s="1" t="s">
        <v>314</v>
      </c>
      <c r="I2624" s="7">
        <v>1</v>
      </c>
      <c r="J2624" s="5">
        <f>XLOOKUP(L2624, uom!C:C, uom!B:B, "Not Found")</f>
      </c>
      <c r="K2624" s="1" t="s">
        <v>5511</v>
      </c>
      <c r="L2624" s="5">
        <f>XLOOKUP(N2624, uom!C:C, uom!B:B, "Not Found")</f>
      </c>
      <c r="M2624" s="1" t="s">
        <v>5511</v>
      </c>
      <c r="N2624" s="8" t="s">
        <v>5512</v>
      </c>
      <c r="O2624" s="1" t="s">
        <v>5513</v>
      </c>
      <c r="P2624" s="5">
        <f>XLOOKUP(R2624, classification!C:C, classification!B:B, "Not Found")</f>
      </c>
      <c r="Q2624" s="1" t="s">
        <v>5514</v>
      </c>
      <c r="R2624" s="2"/>
      <c r="S2624" s="2"/>
      <c r="T2624" s="2"/>
      <c r="U2624" s="2"/>
    </row>
    <row x14ac:dyDescent="0.25" r="2625" customHeight="1" ht="17.25">
      <c r="A2625" s="7">
        <v>2624</v>
      </c>
      <c r="B2625" s="1" t="s">
        <v>7979</v>
      </c>
      <c r="C2625" s="5">
        <f>CONCATENATE("PD", TEXT(A2625, "1000000"))</f>
      </c>
      <c r="D2625" s="7">
        <v>73</v>
      </c>
      <c r="E2625" s="5">
        <f>XLOOKUP(G2625, item_category!C:C, item_category!B:B, "Not Found")</f>
      </c>
      <c r="F2625" s="1" t="s">
        <v>7945</v>
      </c>
      <c r="G2625" s="5">
        <f>XLOOKUP(I2625, drug!B:B, drug!A:A, "Not Found")</f>
      </c>
      <c r="H2625" s="1" t="s">
        <v>314</v>
      </c>
      <c r="I2625" s="7">
        <v>1</v>
      </c>
      <c r="J2625" s="5">
        <f>XLOOKUP(L2625, uom!C:C, uom!B:B, "Not Found")</f>
      </c>
      <c r="K2625" s="1" t="s">
        <v>5511</v>
      </c>
      <c r="L2625" s="5">
        <f>XLOOKUP(N2625, uom!C:C, uom!B:B, "Not Found")</f>
      </c>
      <c r="M2625" s="1" t="s">
        <v>5511</v>
      </c>
      <c r="N2625" s="8" t="s">
        <v>5512</v>
      </c>
      <c r="O2625" s="1" t="s">
        <v>5513</v>
      </c>
      <c r="P2625" s="5">
        <f>XLOOKUP(R2625, classification!C:C, classification!B:B, "Not Found")</f>
      </c>
      <c r="Q2625" s="1" t="s">
        <v>5514</v>
      </c>
      <c r="R2625" s="2"/>
      <c r="S2625" s="2"/>
      <c r="T2625" s="2"/>
      <c r="U2625" s="2"/>
    </row>
    <row x14ac:dyDescent="0.25" r="2626" customHeight="1" ht="17.25">
      <c r="A2626" s="7">
        <v>2625</v>
      </c>
      <c r="B2626" s="1" t="s">
        <v>7980</v>
      </c>
      <c r="C2626" s="5">
        <f>CONCATENATE("PD", TEXT(A2626, "1000000"))</f>
      </c>
      <c r="D2626" s="7">
        <v>73</v>
      </c>
      <c r="E2626" s="5">
        <f>XLOOKUP(G2626, item_category!C:C, item_category!B:B, "Not Found")</f>
      </c>
      <c r="F2626" s="1" t="s">
        <v>7945</v>
      </c>
      <c r="G2626" s="5">
        <f>XLOOKUP(I2626, drug!B:B, drug!A:A, "Not Found")</f>
      </c>
      <c r="H2626" s="1"/>
      <c r="I2626" s="7">
        <v>1</v>
      </c>
      <c r="J2626" s="5">
        <f>XLOOKUP(L2626, uom!C:C, uom!B:B, "Not Found")</f>
      </c>
      <c r="K2626" s="1" t="s">
        <v>5511</v>
      </c>
      <c r="L2626" s="5">
        <f>XLOOKUP(N2626, uom!C:C, uom!B:B, "Not Found")</f>
      </c>
      <c r="M2626" s="1" t="s">
        <v>5511</v>
      </c>
      <c r="N2626" s="8" t="s">
        <v>5512</v>
      </c>
      <c r="O2626" s="1" t="s">
        <v>5513</v>
      </c>
      <c r="P2626" s="5">
        <f>XLOOKUP(R2626, classification!C:C, classification!B:B, "Not Found")</f>
      </c>
      <c r="Q2626" s="1" t="s">
        <v>5514</v>
      </c>
      <c r="R2626" s="2"/>
      <c r="S2626" s="2"/>
      <c r="T2626" s="2"/>
      <c r="U2626" s="2"/>
    </row>
    <row x14ac:dyDescent="0.25" r="2627" customHeight="1" ht="17.25">
      <c r="A2627" s="7">
        <v>2626</v>
      </c>
      <c r="B2627" s="1" t="s">
        <v>7981</v>
      </c>
      <c r="C2627" s="5">
        <f>CONCATENATE("PD", TEXT(A2627, "1000000"))</f>
      </c>
      <c r="D2627" s="7">
        <v>73</v>
      </c>
      <c r="E2627" s="5">
        <f>XLOOKUP(G2627, item_category!C:C, item_category!B:B, "Not Found")</f>
      </c>
      <c r="F2627" s="1" t="s">
        <v>7945</v>
      </c>
      <c r="G2627" s="5">
        <f>XLOOKUP(I2627, drug!B:B, drug!A:A, "Not Found")</f>
      </c>
      <c r="H2627" s="1"/>
      <c r="I2627" s="7">
        <v>1</v>
      </c>
      <c r="J2627" s="5">
        <f>XLOOKUP(L2627, uom!C:C, uom!B:B, "Not Found")</f>
      </c>
      <c r="K2627" s="1" t="s">
        <v>5511</v>
      </c>
      <c r="L2627" s="5">
        <f>XLOOKUP(N2627, uom!C:C, uom!B:B, "Not Found")</f>
      </c>
      <c r="M2627" s="1" t="s">
        <v>5511</v>
      </c>
      <c r="N2627" s="8" t="s">
        <v>5512</v>
      </c>
      <c r="O2627" s="1" t="s">
        <v>5513</v>
      </c>
      <c r="P2627" s="5">
        <f>XLOOKUP(R2627, classification!C:C, classification!B:B, "Not Found")</f>
      </c>
      <c r="Q2627" s="1" t="s">
        <v>5514</v>
      </c>
      <c r="R2627" s="2"/>
      <c r="S2627" s="2"/>
      <c r="T2627" s="2"/>
      <c r="U2627" s="2"/>
    </row>
    <row x14ac:dyDescent="0.25" r="2628" customHeight="1" ht="17.25">
      <c r="A2628" s="7">
        <v>2627</v>
      </c>
      <c r="B2628" s="1" t="s">
        <v>7982</v>
      </c>
      <c r="C2628" s="5">
        <f>CONCATENATE("PD", TEXT(A2628, "1000000"))</f>
      </c>
      <c r="D2628" s="7">
        <v>73</v>
      </c>
      <c r="E2628" s="5">
        <f>XLOOKUP(G2628, item_category!C:C, item_category!B:B, "Not Found")</f>
      </c>
      <c r="F2628" s="1" t="s">
        <v>7945</v>
      </c>
      <c r="G2628" s="5">
        <f>XLOOKUP(I2628, drug!B:B, drug!A:A, "Not Found")</f>
      </c>
      <c r="H2628" s="1"/>
      <c r="I2628" s="7">
        <v>1</v>
      </c>
      <c r="J2628" s="5">
        <f>XLOOKUP(L2628, uom!C:C, uom!B:B, "Not Found")</f>
      </c>
      <c r="K2628" s="1" t="s">
        <v>5511</v>
      </c>
      <c r="L2628" s="5">
        <f>XLOOKUP(N2628, uom!C:C, uom!B:B, "Not Found")</f>
      </c>
      <c r="M2628" s="1" t="s">
        <v>5511</v>
      </c>
      <c r="N2628" s="8" t="s">
        <v>5512</v>
      </c>
      <c r="O2628" s="1" t="s">
        <v>5513</v>
      </c>
      <c r="P2628" s="5">
        <f>XLOOKUP(R2628, classification!C:C, classification!B:B, "Not Found")</f>
      </c>
      <c r="Q2628" s="1" t="s">
        <v>5514</v>
      </c>
      <c r="R2628" s="2"/>
      <c r="S2628" s="2"/>
      <c r="T2628" s="2"/>
      <c r="U2628" s="2"/>
    </row>
    <row x14ac:dyDescent="0.25" r="2629" customHeight="1" ht="17.25">
      <c r="A2629" s="7">
        <v>2628</v>
      </c>
      <c r="B2629" s="1" t="s">
        <v>7983</v>
      </c>
      <c r="C2629" s="5">
        <f>CONCATENATE("PD", TEXT(A2629, "1000000"))</f>
      </c>
      <c r="D2629" s="7">
        <v>73</v>
      </c>
      <c r="E2629" s="5">
        <f>XLOOKUP(G2629, item_category!C:C, item_category!B:B, "Not Found")</f>
      </c>
      <c r="F2629" s="1" t="s">
        <v>7945</v>
      </c>
      <c r="G2629" s="5">
        <f>XLOOKUP(I2629, drug!B:B, drug!A:A, "Not Found")</f>
      </c>
      <c r="H2629" s="1"/>
      <c r="I2629" s="7">
        <v>1</v>
      </c>
      <c r="J2629" s="5">
        <f>XLOOKUP(L2629, uom!C:C, uom!B:B, "Not Found")</f>
      </c>
      <c r="K2629" s="1" t="s">
        <v>5511</v>
      </c>
      <c r="L2629" s="5">
        <f>XLOOKUP(N2629, uom!C:C, uom!B:B, "Not Found")</f>
      </c>
      <c r="M2629" s="1" t="s">
        <v>5511</v>
      </c>
      <c r="N2629" s="8" t="s">
        <v>5512</v>
      </c>
      <c r="O2629" s="1" t="s">
        <v>5513</v>
      </c>
      <c r="P2629" s="5">
        <f>XLOOKUP(R2629, classification!C:C, classification!B:B, "Not Found")</f>
      </c>
      <c r="Q2629" s="1" t="s">
        <v>5514</v>
      </c>
      <c r="R2629" s="2"/>
      <c r="S2629" s="2"/>
      <c r="T2629" s="2"/>
      <c r="U2629" s="2"/>
    </row>
    <row x14ac:dyDescent="0.25" r="2630" customHeight="1" ht="17.25">
      <c r="A2630" s="7">
        <v>2629</v>
      </c>
      <c r="B2630" s="1" t="s">
        <v>7984</v>
      </c>
      <c r="C2630" s="5">
        <f>CONCATENATE("PD", TEXT(A2630, "1000000"))</f>
      </c>
      <c r="D2630" s="7">
        <v>73</v>
      </c>
      <c r="E2630" s="5">
        <f>XLOOKUP(G2630, item_category!C:C, item_category!B:B, "Not Found")</f>
      </c>
      <c r="F2630" s="1" t="s">
        <v>7945</v>
      </c>
      <c r="G2630" s="5">
        <f>XLOOKUP(I2630, drug!B:B, drug!A:A, "Not Found")</f>
      </c>
      <c r="H2630" s="1"/>
      <c r="I2630" s="7">
        <v>1</v>
      </c>
      <c r="J2630" s="5">
        <f>XLOOKUP(L2630, uom!C:C, uom!B:B, "Not Found")</f>
      </c>
      <c r="K2630" s="1" t="s">
        <v>5511</v>
      </c>
      <c r="L2630" s="5">
        <f>XLOOKUP(N2630, uom!C:C, uom!B:B, "Not Found")</f>
      </c>
      <c r="M2630" s="1" t="s">
        <v>5511</v>
      </c>
      <c r="N2630" s="8" t="s">
        <v>5512</v>
      </c>
      <c r="O2630" s="1" t="s">
        <v>5513</v>
      </c>
      <c r="P2630" s="5">
        <f>XLOOKUP(R2630, classification!C:C, classification!B:B, "Not Found")</f>
      </c>
      <c r="Q2630" s="1" t="s">
        <v>5514</v>
      </c>
      <c r="R2630" s="2"/>
      <c r="S2630" s="2"/>
      <c r="T2630" s="2"/>
      <c r="U2630" s="2"/>
    </row>
    <row x14ac:dyDescent="0.25" r="2631" customHeight="1" ht="17.25">
      <c r="A2631" s="7">
        <v>2630</v>
      </c>
      <c r="B2631" s="1" t="s">
        <v>7985</v>
      </c>
      <c r="C2631" s="5">
        <f>CONCATENATE("PD", TEXT(A2631, "1000000"))</f>
      </c>
      <c r="D2631" s="7">
        <v>73</v>
      </c>
      <c r="E2631" s="5">
        <f>XLOOKUP(G2631, item_category!C:C, item_category!B:B, "Not Found")</f>
      </c>
      <c r="F2631" s="1" t="s">
        <v>7945</v>
      </c>
      <c r="G2631" s="5">
        <f>XLOOKUP(I2631, drug!B:B, drug!A:A, "Not Found")</f>
      </c>
      <c r="H2631" s="1"/>
      <c r="I2631" s="7">
        <v>1</v>
      </c>
      <c r="J2631" s="5">
        <f>XLOOKUP(L2631, uom!C:C, uom!B:B, "Not Found")</f>
      </c>
      <c r="K2631" s="1" t="s">
        <v>5511</v>
      </c>
      <c r="L2631" s="5">
        <f>XLOOKUP(N2631, uom!C:C, uom!B:B, "Not Found")</f>
      </c>
      <c r="M2631" s="1" t="s">
        <v>5511</v>
      </c>
      <c r="N2631" s="8" t="s">
        <v>5512</v>
      </c>
      <c r="O2631" s="1" t="s">
        <v>5513</v>
      </c>
      <c r="P2631" s="5">
        <f>XLOOKUP(R2631, classification!C:C, classification!B:B, "Not Found")</f>
      </c>
      <c r="Q2631" s="1" t="s">
        <v>5514</v>
      </c>
      <c r="R2631" s="2"/>
      <c r="S2631" s="2"/>
      <c r="T2631" s="2"/>
      <c r="U2631" s="2"/>
    </row>
    <row x14ac:dyDescent="0.25" r="2632" customHeight="1" ht="17.25">
      <c r="A2632" s="7">
        <v>2631</v>
      </c>
      <c r="B2632" s="1" t="s">
        <v>7986</v>
      </c>
      <c r="C2632" s="5">
        <f>CONCATENATE("PD", TEXT(A2632, "1000000"))</f>
      </c>
      <c r="D2632" s="7">
        <v>73</v>
      </c>
      <c r="E2632" s="5">
        <f>XLOOKUP(G2632, item_category!C:C, item_category!B:B, "Not Found")</f>
      </c>
      <c r="F2632" s="1" t="s">
        <v>7945</v>
      </c>
      <c r="G2632" s="5">
        <f>XLOOKUP(I2632, drug!B:B, drug!A:A, "Not Found")</f>
      </c>
      <c r="H2632" s="1"/>
      <c r="I2632" s="7">
        <v>1</v>
      </c>
      <c r="J2632" s="5">
        <f>XLOOKUP(L2632, uom!C:C, uom!B:B, "Not Found")</f>
      </c>
      <c r="K2632" s="1" t="s">
        <v>5511</v>
      </c>
      <c r="L2632" s="5">
        <f>XLOOKUP(N2632, uom!C:C, uom!B:B, "Not Found")</f>
      </c>
      <c r="M2632" s="1" t="s">
        <v>5511</v>
      </c>
      <c r="N2632" s="8" t="s">
        <v>5512</v>
      </c>
      <c r="O2632" s="1" t="s">
        <v>5513</v>
      </c>
      <c r="P2632" s="5">
        <f>XLOOKUP(R2632, classification!C:C, classification!B:B, "Not Found")</f>
      </c>
      <c r="Q2632" s="1" t="s">
        <v>5514</v>
      </c>
      <c r="R2632" s="2"/>
      <c r="S2632" s="2"/>
      <c r="T2632" s="2"/>
      <c r="U2632" s="2"/>
    </row>
    <row x14ac:dyDescent="0.25" r="2633" customHeight="1" ht="17.25">
      <c r="A2633" s="7">
        <v>2632</v>
      </c>
      <c r="B2633" s="1" t="s">
        <v>7987</v>
      </c>
      <c r="C2633" s="5">
        <f>CONCATENATE("PD", TEXT(A2633, "1000000"))</f>
      </c>
      <c r="D2633" s="7">
        <v>73</v>
      </c>
      <c r="E2633" s="5">
        <f>XLOOKUP(G2633, item_category!C:C, item_category!B:B, "Not Found")</f>
      </c>
      <c r="F2633" s="1" t="s">
        <v>7945</v>
      </c>
      <c r="G2633" s="5">
        <f>XLOOKUP(I2633, drug!B:B, drug!A:A, "Not Found")</f>
      </c>
      <c r="H2633" s="1"/>
      <c r="I2633" s="7">
        <v>1</v>
      </c>
      <c r="J2633" s="5">
        <f>XLOOKUP(L2633, uom!C:C, uom!B:B, "Not Found")</f>
      </c>
      <c r="K2633" s="1" t="s">
        <v>5511</v>
      </c>
      <c r="L2633" s="5">
        <f>XLOOKUP(N2633, uom!C:C, uom!B:B, "Not Found")</f>
      </c>
      <c r="M2633" s="1" t="s">
        <v>5511</v>
      </c>
      <c r="N2633" s="8" t="s">
        <v>5512</v>
      </c>
      <c r="O2633" s="1" t="s">
        <v>5513</v>
      </c>
      <c r="P2633" s="5">
        <f>XLOOKUP(R2633, classification!C:C, classification!B:B, "Not Found")</f>
      </c>
      <c r="Q2633" s="1" t="s">
        <v>5514</v>
      </c>
      <c r="R2633" s="2"/>
      <c r="S2633" s="2"/>
      <c r="T2633" s="2"/>
      <c r="U2633" s="2"/>
    </row>
    <row x14ac:dyDescent="0.25" r="2634" customHeight="1" ht="17.25">
      <c r="A2634" s="7">
        <v>2633</v>
      </c>
      <c r="B2634" s="1" t="s">
        <v>3264</v>
      </c>
      <c r="C2634" s="5">
        <f>CONCATENATE("PD", TEXT(A2634, "1000000"))</f>
      </c>
      <c r="D2634" s="7">
        <v>73</v>
      </c>
      <c r="E2634" s="5">
        <f>XLOOKUP(G2634, item_category!C:C, item_category!B:B, "Not Found")</f>
      </c>
      <c r="F2634" s="1" t="s">
        <v>7945</v>
      </c>
      <c r="G2634" s="5">
        <f>XLOOKUP(I2634, drug!B:B, drug!A:A, "Not Found")</f>
      </c>
      <c r="H2634" s="1"/>
      <c r="I2634" s="7">
        <v>1</v>
      </c>
      <c r="J2634" s="5">
        <f>XLOOKUP(L2634, uom!C:C, uom!B:B, "Not Found")</f>
      </c>
      <c r="K2634" s="1" t="s">
        <v>5511</v>
      </c>
      <c r="L2634" s="5">
        <f>XLOOKUP(N2634, uom!C:C, uom!B:B, "Not Found")</f>
      </c>
      <c r="M2634" s="1" t="s">
        <v>5511</v>
      </c>
      <c r="N2634" s="8" t="s">
        <v>5512</v>
      </c>
      <c r="O2634" s="1" t="s">
        <v>5513</v>
      </c>
      <c r="P2634" s="5">
        <f>XLOOKUP(R2634, classification!C:C, classification!B:B, "Not Found")</f>
      </c>
      <c r="Q2634" s="1" t="s">
        <v>5514</v>
      </c>
      <c r="R2634" s="2"/>
      <c r="S2634" s="2"/>
      <c r="T2634" s="2"/>
      <c r="U2634" s="2"/>
    </row>
    <row x14ac:dyDescent="0.25" r="2635" customHeight="1" ht="17.25">
      <c r="A2635" s="7">
        <v>2634</v>
      </c>
      <c r="B2635" s="1" t="s">
        <v>7988</v>
      </c>
      <c r="C2635" s="5">
        <f>CONCATENATE("PD", TEXT(A2635, "1000000"))</f>
      </c>
      <c r="D2635" s="7">
        <v>73</v>
      </c>
      <c r="E2635" s="5">
        <f>XLOOKUP(G2635, item_category!C:C, item_category!B:B, "Not Found")</f>
      </c>
      <c r="F2635" s="1" t="s">
        <v>7945</v>
      </c>
      <c r="G2635" s="5">
        <f>XLOOKUP(I2635, drug!B:B, drug!A:A, "Not Found")</f>
      </c>
      <c r="H2635" s="1"/>
      <c r="I2635" s="9">
        <v>4.5</v>
      </c>
      <c r="J2635" s="5">
        <f>XLOOKUP(L2635, uom!C:C, uom!B:B, "Not Found")</f>
      </c>
      <c r="K2635" s="1" t="s">
        <v>7989</v>
      </c>
      <c r="L2635" s="5">
        <f>XLOOKUP(N2635, uom!C:C, uom!B:B, "Not Found")</f>
      </c>
      <c r="M2635" s="1" t="s">
        <v>7989</v>
      </c>
      <c r="N2635" s="8" t="s">
        <v>5524</v>
      </c>
      <c r="O2635" s="1" t="s">
        <v>5525</v>
      </c>
      <c r="P2635" s="5">
        <f>XLOOKUP(R2635, classification!C:C, classification!B:B, "Not Found")</f>
      </c>
      <c r="Q2635" s="1" t="s">
        <v>5514</v>
      </c>
      <c r="R2635" s="2"/>
      <c r="S2635" s="2"/>
      <c r="T2635" s="2"/>
      <c r="U2635" s="2"/>
    </row>
    <row x14ac:dyDescent="0.25" r="2636" customHeight="1" ht="17.25">
      <c r="A2636" s="7">
        <v>2635</v>
      </c>
      <c r="B2636" s="1" t="s">
        <v>3266</v>
      </c>
      <c r="C2636" s="5">
        <f>CONCATENATE("PD", TEXT(A2636, "1000000"))</f>
      </c>
      <c r="D2636" s="7">
        <v>73</v>
      </c>
      <c r="E2636" s="5">
        <f>XLOOKUP(G2636, item_category!C:C, item_category!B:B, "Not Found")</f>
      </c>
      <c r="F2636" s="1" t="s">
        <v>7945</v>
      </c>
      <c r="G2636" s="5">
        <f>XLOOKUP(I2636, drug!B:B, drug!A:A, "Not Found")</f>
      </c>
      <c r="H2636" s="1"/>
      <c r="I2636" s="7">
        <v>1</v>
      </c>
      <c r="J2636" s="5">
        <f>XLOOKUP(L2636, uom!C:C, uom!B:B, "Not Found")</f>
      </c>
      <c r="K2636" s="1" t="s">
        <v>5511</v>
      </c>
      <c r="L2636" s="5">
        <f>XLOOKUP(N2636, uom!C:C, uom!B:B, "Not Found")</f>
      </c>
      <c r="M2636" s="1" t="s">
        <v>5511</v>
      </c>
      <c r="N2636" s="8" t="s">
        <v>5524</v>
      </c>
      <c r="O2636" s="1" t="s">
        <v>5525</v>
      </c>
      <c r="P2636" s="5">
        <f>XLOOKUP(R2636, classification!C:C, classification!B:B, "Not Found")</f>
      </c>
      <c r="Q2636" s="1" t="s">
        <v>5514</v>
      </c>
      <c r="R2636" s="2"/>
      <c r="S2636" s="2"/>
      <c r="T2636" s="2"/>
      <c r="U2636" s="2"/>
    </row>
    <row x14ac:dyDescent="0.25" r="2637" customHeight="1" ht="17.25">
      <c r="A2637" s="7">
        <v>2636</v>
      </c>
      <c r="B2637" s="1" t="s">
        <v>7990</v>
      </c>
      <c r="C2637" s="5">
        <f>CONCATENATE("PD", TEXT(A2637, "1000000"))</f>
      </c>
      <c r="D2637" s="7">
        <v>73</v>
      </c>
      <c r="E2637" s="5">
        <f>XLOOKUP(G2637, item_category!C:C, item_category!B:B, "Not Found")</f>
      </c>
      <c r="F2637" s="1" t="s">
        <v>7945</v>
      </c>
      <c r="G2637" s="5">
        <f>XLOOKUP(I2637, drug!B:B, drug!A:A, "Not Found")</f>
      </c>
      <c r="H2637" s="1"/>
      <c r="I2637" s="7">
        <v>1</v>
      </c>
      <c r="J2637" s="5">
        <f>XLOOKUP(L2637, uom!C:C, uom!B:B, "Not Found")</f>
      </c>
      <c r="K2637" s="1" t="s">
        <v>5511</v>
      </c>
      <c r="L2637" s="5">
        <f>XLOOKUP(N2637, uom!C:C, uom!B:B, "Not Found")</f>
      </c>
      <c r="M2637" s="1" t="s">
        <v>5511</v>
      </c>
      <c r="N2637" s="8" t="s">
        <v>5512</v>
      </c>
      <c r="O2637" s="1" t="s">
        <v>5513</v>
      </c>
      <c r="P2637" s="5">
        <f>XLOOKUP(R2637, classification!C:C, classification!B:B, "Not Found")</f>
      </c>
      <c r="Q2637" s="1" t="s">
        <v>5514</v>
      </c>
      <c r="R2637" s="2"/>
      <c r="S2637" s="2"/>
      <c r="T2637" s="2"/>
      <c r="U2637" s="2"/>
    </row>
    <row x14ac:dyDescent="0.25" r="2638" customHeight="1" ht="17.25">
      <c r="A2638" s="7">
        <v>2637</v>
      </c>
      <c r="B2638" s="1" t="s">
        <v>7991</v>
      </c>
      <c r="C2638" s="5">
        <f>CONCATENATE("PD", TEXT(A2638, "1000000"))</f>
      </c>
      <c r="D2638" s="7">
        <v>73</v>
      </c>
      <c r="E2638" s="5">
        <f>XLOOKUP(G2638, item_category!C:C, item_category!B:B, "Not Found")</f>
      </c>
      <c r="F2638" s="1" t="s">
        <v>7945</v>
      </c>
      <c r="G2638" s="5">
        <f>XLOOKUP(I2638, drug!B:B, drug!A:A, "Not Found")</f>
      </c>
      <c r="H2638" s="1"/>
      <c r="I2638" s="7">
        <v>1</v>
      </c>
      <c r="J2638" s="5">
        <f>XLOOKUP(L2638, uom!C:C, uom!B:B, "Not Found")</f>
      </c>
      <c r="K2638" s="1" t="s">
        <v>5511</v>
      </c>
      <c r="L2638" s="5">
        <f>XLOOKUP(N2638, uom!C:C, uom!B:B, "Not Found")</f>
      </c>
      <c r="M2638" s="1" t="s">
        <v>5511</v>
      </c>
      <c r="N2638" s="8" t="s">
        <v>5512</v>
      </c>
      <c r="O2638" s="1" t="s">
        <v>5513</v>
      </c>
      <c r="P2638" s="5">
        <f>XLOOKUP(R2638, classification!C:C, classification!B:B, "Not Found")</f>
      </c>
      <c r="Q2638" s="1" t="s">
        <v>5514</v>
      </c>
      <c r="R2638" s="2"/>
      <c r="S2638" s="2"/>
      <c r="T2638" s="2"/>
      <c r="U2638" s="2"/>
    </row>
    <row x14ac:dyDescent="0.25" r="2639" customHeight="1" ht="17.25">
      <c r="A2639" s="7">
        <v>2638</v>
      </c>
      <c r="B2639" s="1" t="s">
        <v>7992</v>
      </c>
      <c r="C2639" s="5">
        <f>CONCATENATE("PD", TEXT(A2639, "1000000"))</f>
      </c>
      <c r="D2639" s="7">
        <v>73</v>
      </c>
      <c r="E2639" s="5">
        <f>XLOOKUP(G2639, item_category!C:C, item_category!B:B, "Not Found")</f>
      </c>
      <c r="F2639" s="1" t="s">
        <v>7945</v>
      </c>
      <c r="G2639" s="5">
        <f>XLOOKUP(I2639, drug!B:B, drug!A:A, "Not Found")</f>
      </c>
      <c r="H2639" s="1"/>
      <c r="I2639" s="7">
        <v>1</v>
      </c>
      <c r="J2639" s="5">
        <f>XLOOKUP(L2639, uom!C:C, uom!B:B, "Not Found")</f>
      </c>
      <c r="K2639" s="1" t="s">
        <v>5511</v>
      </c>
      <c r="L2639" s="5">
        <f>XLOOKUP(N2639, uom!C:C, uom!B:B, "Not Found")</f>
      </c>
      <c r="M2639" s="1" t="s">
        <v>5511</v>
      </c>
      <c r="N2639" s="8" t="s">
        <v>5512</v>
      </c>
      <c r="O2639" s="1" t="s">
        <v>5513</v>
      </c>
      <c r="P2639" s="5">
        <f>XLOOKUP(R2639, classification!C:C, classification!B:B, "Not Found")</f>
      </c>
      <c r="Q2639" s="1" t="s">
        <v>5514</v>
      </c>
      <c r="R2639" s="2"/>
      <c r="S2639" s="2"/>
      <c r="T2639" s="2"/>
      <c r="U2639" s="2"/>
    </row>
    <row x14ac:dyDescent="0.25" r="2640" customHeight="1" ht="17.25">
      <c r="A2640" s="7">
        <v>2639</v>
      </c>
      <c r="B2640" s="1" t="s">
        <v>7993</v>
      </c>
      <c r="C2640" s="5">
        <f>CONCATENATE("PD", TEXT(A2640, "1000000"))</f>
      </c>
      <c r="D2640" s="7">
        <v>73</v>
      </c>
      <c r="E2640" s="5">
        <f>XLOOKUP(G2640, item_category!C:C, item_category!B:B, "Not Found")</f>
      </c>
      <c r="F2640" s="1" t="s">
        <v>7945</v>
      </c>
      <c r="G2640" s="5">
        <f>XLOOKUP(I2640, drug!B:B, drug!A:A, "Not Found")</f>
      </c>
      <c r="H2640" s="1"/>
      <c r="I2640" s="7">
        <v>1</v>
      </c>
      <c r="J2640" s="5">
        <f>XLOOKUP(L2640, uom!C:C, uom!B:B, "Not Found")</f>
      </c>
      <c r="K2640" s="1" t="s">
        <v>5511</v>
      </c>
      <c r="L2640" s="5">
        <f>XLOOKUP(N2640, uom!C:C, uom!B:B, "Not Found")</f>
      </c>
      <c r="M2640" s="1" t="s">
        <v>5511</v>
      </c>
      <c r="N2640" s="8" t="s">
        <v>5512</v>
      </c>
      <c r="O2640" s="1" t="s">
        <v>5513</v>
      </c>
      <c r="P2640" s="5">
        <f>XLOOKUP(R2640, classification!C:C, classification!B:B, "Not Found")</f>
      </c>
      <c r="Q2640" s="1" t="s">
        <v>5514</v>
      </c>
      <c r="R2640" s="2"/>
      <c r="S2640" s="2"/>
      <c r="T2640" s="2"/>
      <c r="U2640" s="2"/>
    </row>
    <row x14ac:dyDescent="0.25" r="2641" customHeight="1" ht="17.25">
      <c r="A2641" s="7">
        <v>2640</v>
      </c>
      <c r="B2641" s="1" t="s">
        <v>7994</v>
      </c>
      <c r="C2641" s="5">
        <f>CONCATENATE("PD", TEXT(A2641, "1000000"))</f>
      </c>
      <c r="D2641" s="7">
        <v>73</v>
      </c>
      <c r="E2641" s="5">
        <f>XLOOKUP(G2641, item_category!C:C, item_category!B:B, "Not Found")</f>
      </c>
      <c r="F2641" s="1" t="s">
        <v>7945</v>
      </c>
      <c r="G2641" s="5">
        <f>XLOOKUP(I2641, drug!B:B, drug!A:A, "Not Found")</f>
      </c>
      <c r="H2641" s="1"/>
      <c r="I2641" s="7">
        <v>1</v>
      </c>
      <c r="J2641" s="5">
        <f>XLOOKUP(L2641, uom!C:C, uom!B:B, "Not Found")</f>
      </c>
      <c r="K2641" s="1" t="s">
        <v>5511</v>
      </c>
      <c r="L2641" s="5">
        <f>XLOOKUP(N2641, uom!C:C, uom!B:B, "Not Found")</f>
      </c>
      <c r="M2641" s="1" t="s">
        <v>5511</v>
      </c>
      <c r="N2641" s="8" t="s">
        <v>5512</v>
      </c>
      <c r="O2641" s="1" t="s">
        <v>5513</v>
      </c>
      <c r="P2641" s="5">
        <f>XLOOKUP(R2641, classification!C:C, classification!B:B, "Not Found")</f>
      </c>
      <c r="Q2641" s="1" t="s">
        <v>5514</v>
      </c>
      <c r="R2641" s="2"/>
      <c r="S2641" s="2"/>
      <c r="T2641" s="2"/>
      <c r="U2641" s="2"/>
    </row>
    <row x14ac:dyDescent="0.25" r="2642" customHeight="1" ht="17.25">
      <c r="A2642" s="7">
        <v>2641</v>
      </c>
      <c r="B2642" s="1" t="s">
        <v>7995</v>
      </c>
      <c r="C2642" s="5">
        <f>CONCATENATE("PD", TEXT(A2642, "1000000"))</f>
      </c>
      <c r="D2642" s="7">
        <v>73</v>
      </c>
      <c r="E2642" s="5">
        <f>XLOOKUP(G2642, item_category!C:C, item_category!B:B, "Not Found")</f>
      </c>
      <c r="F2642" s="1" t="s">
        <v>7945</v>
      </c>
      <c r="G2642" s="5">
        <f>XLOOKUP(I2642, drug!B:B, drug!A:A, "Not Found")</f>
      </c>
      <c r="H2642" s="1"/>
      <c r="I2642" s="7">
        <v>1</v>
      </c>
      <c r="J2642" s="5">
        <f>XLOOKUP(L2642, uom!C:C, uom!B:B, "Not Found")</f>
      </c>
      <c r="K2642" s="1" t="s">
        <v>5511</v>
      </c>
      <c r="L2642" s="5">
        <f>XLOOKUP(N2642, uom!C:C, uom!B:B, "Not Found")</f>
      </c>
      <c r="M2642" s="1" t="s">
        <v>5511</v>
      </c>
      <c r="N2642" s="8" t="s">
        <v>5512</v>
      </c>
      <c r="O2642" s="1" t="s">
        <v>5513</v>
      </c>
      <c r="P2642" s="5">
        <f>XLOOKUP(R2642, classification!C:C, classification!B:B, "Not Found")</f>
      </c>
      <c r="Q2642" s="1" t="s">
        <v>5514</v>
      </c>
      <c r="R2642" s="2"/>
      <c r="S2642" s="2"/>
      <c r="T2642" s="2"/>
      <c r="U2642" s="2"/>
    </row>
    <row x14ac:dyDescent="0.25" r="2643" customHeight="1" ht="17.25">
      <c r="A2643" s="7">
        <v>2642</v>
      </c>
      <c r="B2643" s="1" t="s">
        <v>7996</v>
      </c>
      <c r="C2643" s="5">
        <f>CONCATENATE("PD", TEXT(A2643, "1000000"))</f>
      </c>
      <c r="D2643" s="7">
        <v>73</v>
      </c>
      <c r="E2643" s="5">
        <f>XLOOKUP(G2643, item_category!C:C, item_category!B:B, "Not Found")</f>
      </c>
      <c r="F2643" s="1" t="s">
        <v>7945</v>
      </c>
      <c r="G2643" s="5">
        <f>XLOOKUP(I2643, drug!B:B, drug!A:A, "Not Found")</f>
      </c>
      <c r="H2643" s="1"/>
      <c r="I2643" s="7">
        <v>1</v>
      </c>
      <c r="J2643" s="5">
        <f>XLOOKUP(L2643, uom!C:C, uom!B:B, "Not Found")</f>
      </c>
      <c r="K2643" s="1" t="s">
        <v>5511</v>
      </c>
      <c r="L2643" s="5">
        <f>XLOOKUP(N2643, uom!C:C, uom!B:B, "Not Found")</f>
      </c>
      <c r="M2643" s="1" t="s">
        <v>5511</v>
      </c>
      <c r="N2643" s="8" t="s">
        <v>5512</v>
      </c>
      <c r="O2643" s="1" t="s">
        <v>5513</v>
      </c>
      <c r="P2643" s="5">
        <f>XLOOKUP(R2643, classification!C:C, classification!B:B, "Not Found")</f>
      </c>
      <c r="Q2643" s="1" t="s">
        <v>5514</v>
      </c>
      <c r="R2643" s="2"/>
      <c r="S2643" s="2"/>
      <c r="T2643" s="2"/>
      <c r="U2643" s="2"/>
    </row>
    <row x14ac:dyDescent="0.25" r="2644" customHeight="1" ht="17.25">
      <c r="A2644" s="7">
        <v>2643</v>
      </c>
      <c r="B2644" s="1" t="s">
        <v>7997</v>
      </c>
      <c r="C2644" s="5">
        <f>CONCATENATE("PD", TEXT(A2644, "1000000"))</f>
      </c>
      <c r="D2644" s="7">
        <v>73</v>
      </c>
      <c r="E2644" s="5">
        <f>XLOOKUP(G2644, item_category!C:C, item_category!B:B, "Not Found")</f>
      </c>
      <c r="F2644" s="1" t="s">
        <v>7945</v>
      </c>
      <c r="G2644" s="5">
        <f>XLOOKUP(I2644, drug!B:B, drug!A:A, "Not Found")</f>
      </c>
      <c r="H2644" s="1"/>
      <c r="I2644" s="7">
        <v>1</v>
      </c>
      <c r="J2644" s="5">
        <f>XLOOKUP(L2644, uom!C:C, uom!B:B, "Not Found")</f>
      </c>
      <c r="K2644" s="1" t="s">
        <v>5511</v>
      </c>
      <c r="L2644" s="5">
        <f>XLOOKUP(N2644, uom!C:C, uom!B:B, "Not Found")</f>
      </c>
      <c r="M2644" s="1" t="s">
        <v>5511</v>
      </c>
      <c r="N2644" s="8" t="s">
        <v>5512</v>
      </c>
      <c r="O2644" s="1" t="s">
        <v>5513</v>
      </c>
      <c r="P2644" s="5">
        <f>XLOOKUP(R2644, classification!C:C, classification!B:B, "Not Found")</f>
      </c>
      <c r="Q2644" s="1" t="s">
        <v>5514</v>
      </c>
      <c r="R2644" s="2"/>
      <c r="S2644" s="2"/>
      <c r="T2644" s="2"/>
      <c r="U2644" s="2"/>
    </row>
    <row x14ac:dyDescent="0.25" r="2645" customHeight="1" ht="17.25">
      <c r="A2645" s="7">
        <v>2644</v>
      </c>
      <c r="B2645" s="1" t="s">
        <v>7998</v>
      </c>
      <c r="C2645" s="5">
        <f>CONCATENATE("PD", TEXT(A2645, "1000000"))</f>
      </c>
      <c r="D2645" s="7">
        <v>73</v>
      </c>
      <c r="E2645" s="5">
        <f>XLOOKUP(G2645, item_category!C:C, item_category!B:B, "Not Found")</f>
      </c>
      <c r="F2645" s="1" t="s">
        <v>7945</v>
      </c>
      <c r="G2645" s="5">
        <f>XLOOKUP(I2645, drug!B:B, drug!A:A, "Not Found")</f>
      </c>
      <c r="H2645" s="1"/>
      <c r="I2645" s="7">
        <v>1</v>
      </c>
      <c r="J2645" s="5">
        <f>XLOOKUP(L2645, uom!C:C, uom!B:B, "Not Found")</f>
      </c>
      <c r="K2645" s="1" t="s">
        <v>5511</v>
      </c>
      <c r="L2645" s="5">
        <f>XLOOKUP(N2645, uom!C:C, uom!B:B, "Not Found")</f>
      </c>
      <c r="M2645" s="1" t="s">
        <v>5511</v>
      </c>
      <c r="N2645" s="8" t="s">
        <v>5512</v>
      </c>
      <c r="O2645" s="1" t="s">
        <v>5513</v>
      </c>
      <c r="P2645" s="5">
        <f>XLOOKUP(R2645, classification!C:C, classification!B:B, "Not Found")</f>
      </c>
      <c r="Q2645" s="1" t="s">
        <v>5514</v>
      </c>
      <c r="R2645" s="2"/>
      <c r="S2645" s="2"/>
      <c r="T2645" s="2"/>
      <c r="U2645" s="2"/>
    </row>
    <row x14ac:dyDescent="0.25" r="2646" customHeight="1" ht="17.25">
      <c r="A2646" s="7">
        <v>2645</v>
      </c>
      <c r="B2646" s="1" t="s">
        <v>7999</v>
      </c>
      <c r="C2646" s="5">
        <f>CONCATENATE("PD", TEXT(A2646, "1000000"))</f>
      </c>
      <c r="D2646" s="7">
        <v>73</v>
      </c>
      <c r="E2646" s="5">
        <f>XLOOKUP(G2646, item_category!C:C, item_category!B:B, "Not Found")</f>
      </c>
      <c r="F2646" s="1" t="s">
        <v>7945</v>
      </c>
      <c r="G2646" s="5">
        <f>XLOOKUP(I2646, drug!B:B, drug!A:A, "Not Found")</f>
      </c>
      <c r="H2646" s="1"/>
      <c r="I2646" s="7">
        <v>1</v>
      </c>
      <c r="J2646" s="5">
        <f>XLOOKUP(L2646, uom!C:C, uom!B:B, "Not Found")</f>
      </c>
      <c r="K2646" s="1" t="s">
        <v>5511</v>
      </c>
      <c r="L2646" s="5">
        <f>XLOOKUP(N2646, uom!C:C, uom!B:B, "Not Found")</f>
      </c>
      <c r="M2646" s="1" t="s">
        <v>5511</v>
      </c>
      <c r="N2646" s="8" t="s">
        <v>5512</v>
      </c>
      <c r="O2646" s="1" t="s">
        <v>5513</v>
      </c>
      <c r="P2646" s="5">
        <f>XLOOKUP(R2646, classification!C:C, classification!B:B, "Not Found")</f>
      </c>
      <c r="Q2646" s="1" t="s">
        <v>5514</v>
      </c>
      <c r="R2646" s="2"/>
      <c r="S2646" s="2"/>
      <c r="T2646" s="2"/>
      <c r="U2646" s="2"/>
    </row>
    <row x14ac:dyDescent="0.25" r="2647" customHeight="1" ht="17.25">
      <c r="A2647" s="7">
        <v>2646</v>
      </c>
      <c r="B2647" s="1" t="s">
        <v>8000</v>
      </c>
      <c r="C2647" s="5">
        <f>CONCATENATE("PD", TEXT(A2647, "1000000"))</f>
      </c>
      <c r="D2647" s="7">
        <v>73</v>
      </c>
      <c r="E2647" s="5">
        <f>XLOOKUP(G2647, item_category!C:C, item_category!B:B, "Not Found")</f>
      </c>
      <c r="F2647" s="1" t="s">
        <v>7945</v>
      </c>
      <c r="G2647" s="5">
        <f>XLOOKUP(I2647, drug!B:B, drug!A:A, "Not Found")</f>
      </c>
      <c r="H2647" s="1"/>
      <c r="I2647" s="7">
        <v>1</v>
      </c>
      <c r="J2647" s="5">
        <f>XLOOKUP(L2647, uom!C:C, uom!B:B, "Not Found")</f>
      </c>
      <c r="K2647" s="1" t="s">
        <v>5511</v>
      </c>
      <c r="L2647" s="5">
        <f>XLOOKUP(N2647, uom!C:C, uom!B:B, "Not Found")</f>
      </c>
      <c r="M2647" s="1" t="s">
        <v>5511</v>
      </c>
      <c r="N2647" s="8" t="s">
        <v>5512</v>
      </c>
      <c r="O2647" s="1" t="s">
        <v>5513</v>
      </c>
      <c r="P2647" s="5">
        <f>XLOOKUP(R2647, classification!C:C, classification!B:B, "Not Found")</f>
      </c>
      <c r="Q2647" s="1" t="s">
        <v>5514</v>
      </c>
      <c r="R2647" s="2"/>
      <c r="S2647" s="2"/>
      <c r="T2647" s="2"/>
      <c r="U2647" s="2"/>
    </row>
    <row x14ac:dyDescent="0.25" r="2648" customHeight="1" ht="17.25">
      <c r="A2648" s="7">
        <v>2647</v>
      </c>
      <c r="B2648" s="1" t="s">
        <v>8001</v>
      </c>
      <c r="C2648" s="5">
        <f>CONCATENATE("PD", TEXT(A2648, "1000000"))</f>
      </c>
      <c r="D2648" s="7">
        <v>73</v>
      </c>
      <c r="E2648" s="5">
        <f>XLOOKUP(G2648, item_category!C:C, item_category!B:B, "Not Found")</f>
      </c>
      <c r="F2648" s="1" t="s">
        <v>7945</v>
      </c>
      <c r="G2648" s="5">
        <f>XLOOKUP(I2648, drug!B:B, drug!A:A, "Not Found")</f>
      </c>
      <c r="H2648" s="1"/>
      <c r="I2648" s="7">
        <v>1</v>
      </c>
      <c r="J2648" s="5">
        <f>XLOOKUP(L2648, uom!C:C, uom!B:B, "Not Found")</f>
      </c>
      <c r="K2648" s="1" t="s">
        <v>5511</v>
      </c>
      <c r="L2648" s="5">
        <f>XLOOKUP(N2648, uom!C:C, uom!B:B, "Not Found")</f>
      </c>
      <c r="M2648" s="1" t="s">
        <v>5511</v>
      </c>
      <c r="N2648" s="8" t="s">
        <v>5512</v>
      </c>
      <c r="O2648" s="1" t="s">
        <v>5513</v>
      </c>
      <c r="P2648" s="5">
        <f>XLOOKUP(R2648, classification!C:C, classification!B:B, "Not Found")</f>
      </c>
      <c r="Q2648" s="1" t="s">
        <v>5514</v>
      </c>
      <c r="R2648" s="2"/>
      <c r="S2648" s="2"/>
      <c r="T2648" s="2"/>
      <c r="U2648" s="2"/>
    </row>
    <row x14ac:dyDescent="0.25" r="2649" customHeight="1" ht="17.25">
      <c r="A2649" s="7">
        <v>2648</v>
      </c>
      <c r="B2649" s="1" t="s">
        <v>8002</v>
      </c>
      <c r="C2649" s="5">
        <f>CONCATENATE("PD", TEXT(A2649, "1000000"))</f>
      </c>
      <c r="D2649" s="7">
        <v>73</v>
      </c>
      <c r="E2649" s="5">
        <f>XLOOKUP(G2649, item_category!C:C, item_category!B:B, "Not Found")</f>
      </c>
      <c r="F2649" s="1" t="s">
        <v>7945</v>
      </c>
      <c r="G2649" s="5">
        <f>XLOOKUP(I2649, drug!B:B, drug!A:A, "Not Found")</f>
      </c>
      <c r="H2649" s="1"/>
      <c r="I2649" s="7">
        <v>1</v>
      </c>
      <c r="J2649" s="5">
        <f>XLOOKUP(L2649, uom!C:C, uom!B:B, "Not Found")</f>
      </c>
      <c r="K2649" s="1" t="s">
        <v>5511</v>
      </c>
      <c r="L2649" s="5">
        <f>XLOOKUP(N2649, uom!C:C, uom!B:B, "Not Found")</f>
      </c>
      <c r="M2649" s="1" t="s">
        <v>5511</v>
      </c>
      <c r="N2649" s="8" t="s">
        <v>5512</v>
      </c>
      <c r="O2649" s="1" t="s">
        <v>5513</v>
      </c>
      <c r="P2649" s="5">
        <f>XLOOKUP(R2649, classification!C:C, classification!B:B, "Not Found")</f>
      </c>
      <c r="Q2649" s="1" t="s">
        <v>5514</v>
      </c>
      <c r="R2649" s="2"/>
      <c r="S2649" s="2"/>
      <c r="T2649" s="2"/>
      <c r="U2649" s="2"/>
    </row>
    <row x14ac:dyDescent="0.25" r="2650" customHeight="1" ht="17.25">
      <c r="A2650" s="7">
        <v>2649</v>
      </c>
      <c r="B2650" s="1" t="s">
        <v>8003</v>
      </c>
      <c r="C2650" s="5">
        <f>CONCATENATE("PD", TEXT(A2650, "1000000"))</f>
      </c>
      <c r="D2650" s="7">
        <v>73</v>
      </c>
      <c r="E2650" s="5">
        <f>XLOOKUP(G2650, item_category!C:C, item_category!B:B, "Not Found")</f>
      </c>
      <c r="F2650" s="1" t="s">
        <v>7945</v>
      </c>
      <c r="G2650" s="5">
        <f>XLOOKUP(I2650, drug!B:B, drug!A:A, "Not Found")</f>
      </c>
      <c r="H2650" s="1"/>
      <c r="I2650" s="7">
        <v>1</v>
      </c>
      <c r="J2650" s="5">
        <f>XLOOKUP(L2650, uom!C:C, uom!B:B, "Not Found")</f>
      </c>
      <c r="K2650" s="1" t="s">
        <v>5511</v>
      </c>
      <c r="L2650" s="5">
        <f>XLOOKUP(N2650, uom!C:C, uom!B:B, "Not Found")</f>
      </c>
      <c r="M2650" s="1" t="s">
        <v>5511</v>
      </c>
      <c r="N2650" s="8" t="s">
        <v>5512</v>
      </c>
      <c r="O2650" s="1" t="s">
        <v>5513</v>
      </c>
      <c r="P2650" s="5">
        <f>XLOOKUP(R2650, classification!C:C, classification!B:B, "Not Found")</f>
      </c>
      <c r="Q2650" s="1" t="s">
        <v>5514</v>
      </c>
      <c r="R2650" s="2"/>
      <c r="S2650" s="2"/>
      <c r="T2650" s="2"/>
      <c r="U2650" s="2"/>
    </row>
    <row x14ac:dyDescent="0.25" r="2651" customHeight="1" ht="17.25">
      <c r="A2651" s="7">
        <v>2650</v>
      </c>
      <c r="B2651" s="1" t="s">
        <v>8004</v>
      </c>
      <c r="C2651" s="5">
        <f>CONCATENATE("PD", TEXT(A2651, "1000000"))</f>
      </c>
      <c r="D2651" s="7">
        <v>73</v>
      </c>
      <c r="E2651" s="5">
        <f>XLOOKUP(G2651, item_category!C:C, item_category!B:B, "Not Found")</f>
      </c>
      <c r="F2651" s="1" t="s">
        <v>7945</v>
      </c>
      <c r="G2651" s="5">
        <f>XLOOKUP(I2651, drug!B:B, drug!A:A, "Not Found")</f>
      </c>
      <c r="H2651" s="1"/>
      <c r="I2651" s="7">
        <v>1</v>
      </c>
      <c r="J2651" s="5">
        <f>XLOOKUP(L2651, uom!C:C, uom!B:B, "Not Found")</f>
      </c>
      <c r="K2651" s="1" t="s">
        <v>5511</v>
      </c>
      <c r="L2651" s="5">
        <f>XLOOKUP(N2651, uom!C:C, uom!B:B, "Not Found")</f>
      </c>
      <c r="M2651" s="1" t="s">
        <v>5511</v>
      </c>
      <c r="N2651" s="8" t="s">
        <v>5512</v>
      </c>
      <c r="O2651" s="1" t="s">
        <v>5513</v>
      </c>
      <c r="P2651" s="5">
        <f>XLOOKUP(R2651, classification!C:C, classification!B:B, "Not Found")</f>
      </c>
      <c r="Q2651" s="1" t="s">
        <v>5514</v>
      </c>
      <c r="R2651" s="2"/>
      <c r="S2651" s="2"/>
      <c r="T2651" s="2"/>
      <c r="U2651" s="2"/>
    </row>
    <row x14ac:dyDescent="0.25" r="2652" customHeight="1" ht="17.25">
      <c r="A2652" s="7">
        <v>2651</v>
      </c>
      <c r="B2652" s="1" t="s">
        <v>8005</v>
      </c>
      <c r="C2652" s="5">
        <f>CONCATENATE("PD", TEXT(A2652, "1000000"))</f>
      </c>
      <c r="D2652" s="7">
        <v>73</v>
      </c>
      <c r="E2652" s="5">
        <f>XLOOKUP(G2652, item_category!C:C, item_category!B:B, "Not Found")</f>
      </c>
      <c r="F2652" s="1" t="s">
        <v>7945</v>
      </c>
      <c r="G2652" s="5">
        <f>XLOOKUP(I2652, drug!B:B, drug!A:A, "Not Found")</f>
      </c>
      <c r="H2652" s="1"/>
      <c r="I2652" s="7">
        <v>1</v>
      </c>
      <c r="J2652" s="5">
        <f>XLOOKUP(L2652, uom!C:C, uom!B:B, "Not Found")</f>
      </c>
      <c r="K2652" s="1" t="s">
        <v>5511</v>
      </c>
      <c r="L2652" s="5">
        <f>XLOOKUP(N2652, uom!C:C, uom!B:B, "Not Found")</f>
      </c>
      <c r="M2652" s="1" t="s">
        <v>5511</v>
      </c>
      <c r="N2652" s="8" t="s">
        <v>5512</v>
      </c>
      <c r="O2652" s="1" t="s">
        <v>5513</v>
      </c>
      <c r="P2652" s="5">
        <f>XLOOKUP(R2652, classification!C:C, classification!B:B, "Not Found")</f>
      </c>
      <c r="Q2652" s="1" t="s">
        <v>5514</v>
      </c>
      <c r="R2652" s="2"/>
      <c r="S2652" s="2"/>
      <c r="T2652" s="2"/>
      <c r="U2652" s="2"/>
    </row>
    <row x14ac:dyDescent="0.25" r="2653" customHeight="1" ht="17.25">
      <c r="A2653" s="7">
        <v>2652</v>
      </c>
      <c r="B2653" s="1" t="s">
        <v>8006</v>
      </c>
      <c r="C2653" s="5">
        <f>CONCATENATE("PD", TEXT(A2653, "1000000"))</f>
      </c>
      <c r="D2653" s="7">
        <v>73</v>
      </c>
      <c r="E2653" s="5">
        <f>XLOOKUP(G2653, item_category!C:C, item_category!B:B, "Not Found")</f>
      </c>
      <c r="F2653" s="1" t="s">
        <v>7945</v>
      </c>
      <c r="G2653" s="5">
        <f>XLOOKUP(I2653, drug!B:B, drug!A:A, "Not Found")</f>
      </c>
      <c r="H2653" s="1"/>
      <c r="I2653" s="7">
        <v>1</v>
      </c>
      <c r="J2653" s="5">
        <f>XLOOKUP(L2653, uom!C:C, uom!B:B, "Not Found")</f>
      </c>
      <c r="K2653" s="1" t="s">
        <v>5511</v>
      </c>
      <c r="L2653" s="5">
        <f>XLOOKUP(N2653, uom!C:C, uom!B:B, "Not Found")</f>
      </c>
      <c r="M2653" s="1" t="s">
        <v>5511</v>
      </c>
      <c r="N2653" s="8" t="s">
        <v>5512</v>
      </c>
      <c r="O2653" s="1" t="s">
        <v>5513</v>
      </c>
      <c r="P2653" s="5">
        <f>XLOOKUP(R2653, classification!C:C, classification!B:B, "Not Found")</f>
      </c>
      <c r="Q2653" s="1" t="s">
        <v>5514</v>
      </c>
      <c r="R2653" s="2"/>
      <c r="S2653" s="2"/>
      <c r="T2653" s="2"/>
      <c r="U2653" s="2"/>
    </row>
    <row x14ac:dyDescent="0.25" r="2654" customHeight="1" ht="17.25">
      <c r="A2654" s="7">
        <v>2653</v>
      </c>
      <c r="B2654" s="1" t="s">
        <v>8007</v>
      </c>
      <c r="C2654" s="5">
        <f>CONCATENATE("PD", TEXT(A2654, "1000000"))</f>
      </c>
      <c r="D2654" s="7">
        <v>73</v>
      </c>
      <c r="E2654" s="5">
        <f>XLOOKUP(G2654, item_category!C:C, item_category!B:B, "Not Found")</f>
      </c>
      <c r="F2654" s="1" t="s">
        <v>7945</v>
      </c>
      <c r="G2654" s="5">
        <f>XLOOKUP(I2654, drug!B:B, drug!A:A, "Not Found")</f>
      </c>
      <c r="H2654" s="1"/>
      <c r="I2654" s="7">
        <v>1</v>
      </c>
      <c r="J2654" s="5">
        <f>XLOOKUP(L2654, uom!C:C, uom!B:B, "Not Found")</f>
      </c>
      <c r="K2654" s="1" t="s">
        <v>5511</v>
      </c>
      <c r="L2654" s="5">
        <f>XLOOKUP(N2654, uom!C:C, uom!B:B, "Not Found")</f>
      </c>
      <c r="M2654" s="1" t="s">
        <v>5511</v>
      </c>
      <c r="N2654" s="8" t="s">
        <v>5512</v>
      </c>
      <c r="O2654" s="1" t="s">
        <v>5513</v>
      </c>
      <c r="P2654" s="5">
        <f>XLOOKUP(R2654, classification!C:C, classification!B:B, "Not Found")</f>
      </c>
      <c r="Q2654" s="1" t="s">
        <v>5514</v>
      </c>
      <c r="R2654" s="2"/>
      <c r="S2654" s="2"/>
      <c r="T2654" s="2"/>
      <c r="U2654" s="2"/>
    </row>
    <row x14ac:dyDescent="0.25" r="2655" customHeight="1" ht="17.25">
      <c r="A2655" s="7">
        <v>2654</v>
      </c>
      <c r="B2655" s="1" t="s">
        <v>8008</v>
      </c>
      <c r="C2655" s="5">
        <f>CONCATENATE("PD", TEXT(A2655, "1000000"))</f>
      </c>
      <c r="D2655" s="7">
        <v>73</v>
      </c>
      <c r="E2655" s="5">
        <f>XLOOKUP(G2655, item_category!C:C, item_category!B:B, "Not Found")</f>
      </c>
      <c r="F2655" s="1" t="s">
        <v>7945</v>
      </c>
      <c r="G2655" s="5">
        <f>XLOOKUP(I2655, drug!B:B, drug!A:A, "Not Found")</f>
      </c>
      <c r="H2655" s="1" t="s">
        <v>531</v>
      </c>
      <c r="I2655" s="7">
        <v>1</v>
      </c>
      <c r="J2655" s="5">
        <f>XLOOKUP(L2655, uom!C:C, uom!B:B, "Not Found")</f>
      </c>
      <c r="K2655" s="1" t="s">
        <v>5511</v>
      </c>
      <c r="L2655" s="5">
        <f>XLOOKUP(N2655, uom!C:C, uom!B:B, "Not Found")</f>
      </c>
      <c r="M2655" s="1" t="s">
        <v>5511</v>
      </c>
      <c r="N2655" s="8" t="s">
        <v>5512</v>
      </c>
      <c r="O2655" s="1" t="s">
        <v>5513</v>
      </c>
      <c r="P2655" s="5">
        <f>XLOOKUP(R2655, classification!C:C, classification!B:B, "Not Found")</f>
      </c>
      <c r="Q2655" s="1" t="s">
        <v>5514</v>
      </c>
      <c r="R2655" s="2"/>
      <c r="S2655" s="2"/>
      <c r="T2655" s="2"/>
      <c r="U2655" s="2"/>
    </row>
    <row x14ac:dyDescent="0.25" r="2656" customHeight="1" ht="17.25">
      <c r="A2656" s="7">
        <v>2655</v>
      </c>
      <c r="B2656" s="1" t="s">
        <v>8009</v>
      </c>
      <c r="C2656" s="5">
        <f>CONCATENATE("PD", TEXT(A2656, "1000000"))</f>
      </c>
      <c r="D2656" s="7">
        <v>73</v>
      </c>
      <c r="E2656" s="5">
        <f>XLOOKUP(G2656, item_category!C:C, item_category!B:B, "Not Found")</f>
      </c>
      <c r="F2656" s="1" t="s">
        <v>7945</v>
      </c>
      <c r="G2656" s="5">
        <f>XLOOKUP(I2656, drug!B:B, drug!A:A, "Not Found")</f>
      </c>
      <c r="H2656" s="1" t="s">
        <v>531</v>
      </c>
      <c r="I2656" s="7">
        <v>1</v>
      </c>
      <c r="J2656" s="5">
        <f>XLOOKUP(L2656, uom!C:C, uom!B:B, "Not Found")</f>
      </c>
      <c r="K2656" s="1" t="s">
        <v>5511</v>
      </c>
      <c r="L2656" s="5">
        <f>XLOOKUP(N2656, uom!C:C, uom!B:B, "Not Found")</f>
      </c>
      <c r="M2656" s="1" t="s">
        <v>5511</v>
      </c>
      <c r="N2656" s="8" t="s">
        <v>5512</v>
      </c>
      <c r="O2656" s="1" t="s">
        <v>5513</v>
      </c>
      <c r="P2656" s="5">
        <f>XLOOKUP(R2656, classification!C:C, classification!B:B, "Not Found")</f>
      </c>
      <c r="Q2656" s="1" t="s">
        <v>5514</v>
      </c>
      <c r="R2656" s="2"/>
      <c r="S2656" s="2"/>
      <c r="T2656" s="2"/>
      <c r="U2656" s="2"/>
    </row>
    <row x14ac:dyDescent="0.25" r="2657" customHeight="1" ht="17.25">
      <c r="A2657" s="7">
        <v>2656</v>
      </c>
      <c r="B2657" s="1" t="s">
        <v>8010</v>
      </c>
      <c r="C2657" s="5">
        <f>CONCATENATE("PD", TEXT(A2657, "1000000"))</f>
      </c>
      <c r="D2657" s="7">
        <v>73</v>
      </c>
      <c r="E2657" s="5">
        <f>XLOOKUP(G2657, item_category!C:C, item_category!B:B, "Not Found")</f>
      </c>
      <c r="F2657" s="1" t="s">
        <v>7945</v>
      </c>
      <c r="G2657" s="5">
        <f>XLOOKUP(I2657, drug!B:B, drug!A:A, "Not Found")</f>
      </c>
      <c r="H2657" s="1" t="s">
        <v>531</v>
      </c>
      <c r="I2657" s="7">
        <v>1</v>
      </c>
      <c r="J2657" s="5">
        <f>XLOOKUP(L2657, uom!C:C, uom!B:B, "Not Found")</f>
      </c>
      <c r="K2657" s="1" t="s">
        <v>5511</v>
      </c>
      <c r="L2657" s="5">
        <f>XLOOKUP(N2657, uom!C:C, uom!B:B, "Not Found")</f>
      </c>
      <c r="M2657" s="1" t="s">
        <v>5511</v>
      </c>
      <c r="N2657" s="8" t="s">
        <v>5512</v>
      </c>
      <c r="O2657" s="1" t="s">
        <v>5513</v>
      </c>
      <c r="P2657" s="5">
        <f>XLOOKUP(R2657, classification!C:C, classification!B:B, "Not Found")</f>
      </c>
      <c r="Q2657" s="1" t="s">
        <v>5514</v>
      </c>
      <c r="R2657" s="2"/>
      <c r="S2657" s="2"/>
      <c r="T2657" s="2"/>
      <c r="U2657" s="2"/>
    </row>
    <row x14ac:dyDescent="0.25" r="2658" customHeight="1" ht="17.25">
      <c r="A2658" s="7">
        <v>2657</v>
      </c>
      <c r="B2658" s="1" t="s">
        <v>8011</v>
      </c>
      <c r="C2658" s="5">
        <f>CONCATENATE("PD", TEXT(A2658, "1000000"))</f>
      </c>
      <c r="D2658" s="7">
        <v>73</v>
      </c>
      <c r="E2658" s="5">
        <f>XLOOKUP(G2658, item_category!C:C, item_category!B:B, "Not Found")</f>
      </c>
      <c r="F2658" s="1" t="s">
        <v>7945</v>
      </c>
      <c r="G2658" s="5">
        <f>XLOOKUP(I2658, drug!B:B, drug!A:A, "Not Found")</f>
      </c>
      <c r="H2658" s="1" t="s">
        <v>531</v>
      </c>
      <c r="I2658" s="7">
        <v>1</v>
      </c>
      <c r="J2658" s="5">
        <f>XLOOKUP(L2658, uom!C:C, uom!B:B, "Not Found")</f>
      </c>
      <c r="K2658" s="1" t="s">
        <v>5511</v>
      </c>
      <c r="L2658" s="5">
        <f>XLOOKUP(N2658, uom!C:C, uom!B:B, "Not Found")</f>
      </c>
      <c r="M2658" s="1" t="s">
        <v>5511</v>
      </c>
      <c r="N2658" s="8" t="s">
        <v>5512</v>
      </c>
      <c r="O2658" s="1" t="s">
        <v>5513</v>
      </c>
      <c r="P2658" s="5">
        <f>XLOOKUP(R2658, classification!C:C, classification!B:B, "Not Found")</f>
      </c>
      <c r="Q2658" s="1" t="s">
        <v>5514</v>
      </c>
      <c r="R2658" s="2"/>
      <c r="S2658" s="2"/>
      <c r="T2658" s="2"/>
      <c r="U2658" s="2"/>
    </row>
    <row x14ac:dyDescent="0.25" r="2659" customHeight="1" ht="17.25">
      <c r="A2659" s="7">
        <v>2658</v>
      </c>
      <c r="B2659" s="1" t="s">
        <v>8012</v>
      </c>
      <c r="C2659" s="5">
        <f>CONCATENATE("PD", TEXT(A2659, "1000000"))</f>
      </c>
      <c r="D2659" s="7">
        <v>73</v>
      </c>
      <c r="E2659" s="5">
        <f>XLOOKUP(G2659, item_category!C:C, item_category!B:B, "Not Found")</f>
      </c>
      <c r="F2659" s="1" t="s">
        <v>7945</v>
      </c>
      <c r="G2659" s="5">
        <f>XLOOKUP(I2659, drug!B:B, drug!A:A, "Not Found")</f>
      </c>
      <c r="H2659" s="1" t="s">
        <v>531</v>
      </c>
      <c r="I2659" s="7">
        <v>1</v>
      </c>
      <c r="J2659" s="5">
        <f>XLOOKUP(L2659, uom!C:C, uom!B:B, "Not Found")</f>
      </c>
      <c r="K2659" s="1" t="s">
        <v>5511</v>
      </c>
      <c r="L2659" s="5">
        <f>XLOOKUP(N2659, uom!C:C, uom!B:B, "Not Found")</f>
      </c>
      <c r="M2659" s="1" t="s">
        <v>5511</v>
      </c>
      <c r="N2659" s="8" t="s">
        <v>5512</v>
      </c>
      <c r="O2659" s="1" t="s">
        <v>5513</v>
      </c>
      <c r="P2659" s="5">
        <f>XLOOKUP(R2659, classification!C:C, classification!B:B, "Not Found")</f>
      </c>
      <c r="Q2659" s="1" t="s">
        <v>5514</v>
      </c>
      <c r="R2659" s="2"/>
      <c r="S2659" s="2"/>
      <c r="T2659" s="2"/>
      <c r="U2659" s="2"/>
    </row>
    <row x14ac:dyDescent="0.25" r="2660" customHeight="1" ht="17.25">
      <c r="A2660" s="7">
        <v>2659</v>
      </c>
      <c r="B2660" s="1" t="s">
        <v>8013</v>
      </c>
      <c r="C2660" s="5">
        <f>CONCATENATE("PD", TEXT(A2660, "1000000"))</f>
      </c>
      <c r="D2660" s="7">
        <v>73</v>
      </c>
      <c r="E2660" s="5">
        <f>XLOOKUP(G2660, item_category!C:C, item_category!B:B, "Not Found")</f>
      </c>
      <c r="F2660" s="1" t="s">
        <v>7945</v>
      </c>
      <c r="G2660" s="5">
        <f>XLOOKUP(I2660, drug!B:B, drug!A:A, "Not Found")</f>
      </c>
      <c r="H2660" s="1"/>
      <c r="I2660" s="7">
        <v>1</v>
      </c>
      <c r="J2660" s="5">
        <f>XLOOKUP(L2660, uom!C:C, uom!B:B, "Not Found")</f>
      </c>
      <c r="K2660" s="1" t="s">
        <v>5511</v>
      </c>
      <c r="L2660" s="5">
        <f>XLOOKUP(N2660, uom!C:C, uom!B:B, "Not Found")</f>
      </c>
      <c r="M2660" s="1" t="s">
        <v>5511</v>
      </c>
      <c r="N2660" s="8" t="s">
        <v>5512</v>
      </c>
      <c r="O2660" s="1" t="s">
        <v>5513</v>
      </c>
      <c r="P2660" s="5">
        <f>XLOOKUP(R2660, classification!C:C, classification!B:B, "Not Found")</f>
      </c>
      <c r="Q2660" s="1" t="s">
        <v>5514</v>
      </c>
      <c r="R2660" s="2"/>
      <c r="S2660" s="2"/>
      <c r="T2660" s="2"/>
      <c r="U2660" s="2"/>
    </row>
    <row x14ac:dyDescent="0.25" r="2661" customHeight="1" ht="17.25">
      <c r="A2661" s="7">
        <v>2660</v>
      </c>
      <c r="B2661" s="1" t="s">
        <v>8014</v>
      </c>
      <c r="C2661" s="5">
        <f>CONCATENATE("PD", TEXT(A2661, "1000000"))</f>
      </c>
      <c r="D2661" s="7">
        <v>73</v>
      </c>
      <c r="E2661" s="5">
        <f>XLOOKUP(G2661, item_category!C:C, item_category!B:B, "Not Found")</f>
      </c>
      <c r="F2661" s="1" t="s">
        <v>7945</v>
      </c>
      <c r="G2661" s="5">
        <f>XLOOKUP(I2661, drug!B:B, drug!A:A, "Not Found")</f>
      </c>
      <c r="H2661" s="1"/>
      <c r="I2661" s="7">
        <v>1</v>
      </c>
      <c r="J2661" s="5">
        <f>XLOOKUP(L2661, uom!C:C, uom!B:B, "Not Found")</f>
      </c>
      <c r="K2661" s="1" t="s">
        <v>5511</v>
      </c>
      <c r="L2661" s="5">
        <f>XLOOKUP(N2661, uom!C:C, uom!B:B, "Not Found")</f>
      </c>
      <c r="M2661" s="1" t="s">
        <v>5511</v>
      </c>
      <c r="N2661" s="8" t="s">
        <v>5512</v>
      </c>
      <c r="O2661" s="1" t="s">
        <v>5513</v>
      </c>
      <c r="P2661" s="5">
        <f>XLOOKUP(R2661, classification!C:C, classification!B:B, "Not Found")</f>
      </c>
      <c r="Q2661" s="1" t="s">
        <v>5514</v>
      </c>
      <c r="R2661" s="2"/>
      <c r="S2661" s="2"/>
      <c r="T2661" s="2"/>
      <c r="U2661" s="2"/>
    </row>
    <row x14ac:dyDescent="0.25" r="2662" customHeight="1" ht="17.25">
      <c r="A2662" s="7">
        <v>2661</v>
      </c>
      <c r="B2662" s="1" t="s">
        <v>8015</v>
      </c>
      <c r="C2662" s="5">
        <f>CONCATENATE("PD", TEXT(A2662, "1000000"))</f>
      </c>
      <c r="D2662" s="7">
        <v>73</v>
      </c>
      <c r="E2662" s="5">
        <f>XLOOKUP(G2662, item_category!C:C, item_category!B:B, "Not Found")</f>
      </c>
      <c r="F2662" s="1" t="s">
        <v>7945</v>
      </c>
      <c r="G2662" s="5">
        <f>XLOOKUP(I2662, drug!B:B, drug!A:A, "Not Found")</f>
      </c>
      <c r="H2662" s="1"/>
      <c r="I2662" s="7">
        <v>50</v>
      </c>
      <c r="J2662" s="5">
        <f>XLOOKUP(L2662, uom!C:C, uom!B:B, "Not Found")</f>
      </c>
      <c r="K2662" s="1" t="s">
        <v>7989</v>
      </c>
      <c r="L2662" s="5">
        <f>XLOOKUP(N2662, uom!C:C, uom!B:B, "Not Found")</f>
      </c>
      <c r="M2662" s="1" t="s">
        <v>7989</v>
      </c>
      <c r="N2662" s="8" t="s">
        <v>5524</v>
      </c>
      <c r="O2662" s="1" t="s">
        <v>5525</v>
      </c>
      <c r="P2662" s="5">
        <f>XLOOKUP(R2662, classification!C:C, classification!B:B, "Not Found")</f>
      </c>
      <c r="Q2662" s="1" t="s">
        <v>5514</v>
      </c>
      <c r="R2662" s="2"/>
      <c r="S2662" s="2"/>
      <c r="T2662" s="2"/>
      <c r="U2662" s="2"/>
    </row>
    <row x14ac:dyDescent="0.25" r="2663" customHeight="1" ht="17.25">
      <c r="A2663" s="7">
        <v>2662</v>
      </c>
      <c r="B2663" s="1" t="s">
        <v>8016</v>
      </c>
      <c r="C2663" s="5">
        <f>CONCATENATE("PD", TEXT(A2663, "1000000"))</f>
      </c>
      <c r="D2663" s="7">
        <v>73</v>
      </c>
      <c r="E2663" s="5">
        <f>XLOOKUP(G2663, item_category!C:C, item_category!B:B, "Not Found")</f>
      </c>
      <c r="F2663" s="1" t="s">
        <v>7945</v>
      </c>
      <c r="G2663" s="5">
        <f>XLOOKUP(I2663, drug!B:B, drug!A:A, "Not Found")</f>
      </c>
      <c r="H2663" s="1" t="s">
        <v>1942</v>
      </c>
      <c r="I2663" s="7">
        <v>1</v>
      </c>
      <c r="J2663" s="5">
        <f>XLOOKUP(L2663, uom!C:C, uom!B:B, "Not Found")</f>
      </c>
      <c r="K2663" s="1" t="s">
        <v>5511</v>
      </c>
      <c r="L2663" s="5">
        <f>XLOOKUP(N2663, uom!C:C, uom!B:B, "Not Found")</f>
      </c>
      <c r="M2663" s="1" t="s">
        <v>5511</v>
      </c>
      <c r="N2663" s="8" t="s">
        <v>5512</v>
      </c>
      <c r="O2663" s="1" t="s">
        <v>5513</v>
      </c>
      <c r="P2663" s="5">
        <f>XLOOKUP(R2663, classification!C:C, classification!B:B, "Not Found")</f>
      </c>
      <c r="Q2663" s="1" t="s">
        <v>5514</v>
      </c>
      <c r="R2663" s="2"/>
      <c r="S2663" s="2"/>
      <c r="T2663" s="2"/>
      <c r="U2663" s="2"/>
    </row>
    <row x14ac:dyDescent="0.25" r="2664" customHeight="1" ht="17.25">
      <c r="A2664" s="7">
        <v>2663</v>
      </c>
      <c r="B2664" s="1" t="s">
        <v>8017</v>
      </c>
      <c r="C2664" s="5">
        <f>CONCATENATE("PD", TEXT(A2664, "1000000"))</f>
      </c>
      <c r="D2664" s="7">
        <v>73</v>
      </c>
      <c r="E2664" s="5">
        <f>XLOOKUP(G2664, item_category!C:C, item_category!B:B, "Not Found")</f>
      </c>
      <c r="F2664" s="1" t="s">
        <v>7945</v>
      </c>
      <c r="G2664" s="5">
        <f>XLOOKUP(I2664, drug!B:B, drug!A:A, "Not Found")</f>
      </c>
      <c r="H2664" s="1" t="s">
        <v>1942</v>
      </c>
      <c r="I2664" s="7">
        <v>1</v>
      </c>
      <c r="J2664" s="5">
        <f>XLOOKUP(L2664, uom!C:C, uom!B:B, "Not Found")</f>
      </c>
      <c r="K2664" s="1" t="s">
        <v>5511</v>
      </c>
      <c r="L2664" s="5">
        <f>XLOOKUP(N2664, uom!C:C, uom!B:B, "Not Found")</f>
      </c>
      <c r="M2664" s="1" t="s">
        <v>5511</v>
      </c>
      <c r="N2664" s="8" t="s">
        <v>5512</v>
      </c>
      <c r="O2664" s="1" t="s">
        <v>5513</v>
      </c>
      <c r="P2664" s="5">
        <f>XLOOKUP(R2664, classification!C:C, classification!B:B, "Not Found")</f>
      </c>
      <c r="Q2664" s="1" t="s">
        <v>5514</v>
      </c>
      <c r="R2664" s="2"/>
      <c r="S2664" s="2"/>
      <c r="T2664" s="2"/>
      <c r="U2664" s="2"/>
    </row>
    <row x14ac:dyDescent="0.25" r="2665" customHeight="1" ht="17.25">
      <c r="A2665" s="7">
        <v>2664</v>
      </c>
      <c r="B2665" s="1" t="s">
        <v>8018</v>
      </c>
      <c r="C2665" s="5">
        <f>CONCATENATE("PD", TEXT(A2665, "1000000"))</f>
      </c>
      <c r="D2665" s="7">
        <v>73</v>
      </c>
      <c r="E2665" s="5">
        <f>XLOOKUP(G2665, item_category!C:C, item_category!B:B, "Not Found")</f>
      </c>
      <c r="F2665" s="1" t="s">
        <v>7945</v>
      </c>
      <c r="G2665" s="5">
        <f>XLOOKUP(I2665, drug!B:B, drug!A:A, "Not Found")</f>
      </c>
      <c r="H2665" s="1"/>
      <c r="I2665" s="7">
        <v>1</v>
      </c>
      <c r="J2665" s="5">
        <f>XLOOKUP(L2665, uom!C:C, uom!B:B, "Not Found")</f>
      </c>
      <c r="K2665" s="1" t="s">
        <v>5511</v>
      </c>
      <c r="L2665" s="5">
        <f>XLOOKUP(N2665, uom!C:C, uom!B:B, "Not Found")</f>
      </c>
      <c r="M2665" s="1" t="s">
        <v>5511</v>
      </c>
      <c r="N2665" s="8" t="s">
        <v>5512</v>
      </c>
      <c r="O2665" s="1" t="s">
        <v>5513</v>
      </c>
      <c r="P2665" s="5">
        <f>XLOOKUP(R2665, classification!C:C, classification!B:B, "Not Found")</f>
      </c>
      <c r="Q2665" s="1" t="s">
        <v>5514</v>
      </c>
      <c r="R2665" s="2"/>
      <c r="S2665" s="2"/>
      <c r="T2665" s="2"/>
      <c r="U2665" s="2"/>
    </row>
    <row x14ac:dyDescent="0.25" r="2666" customHeight="1" ht="17.25">
      <c r="A2666" s="7">
        <v>2665</v>
      </c>
      <c r="B2666" s="1" t="s">
        <v>8019</v>
      </c>
      <c r="C2666" s="5">
        <f>CONCATENATE("PD", TEXT(A2666, "1000000"))</f>
      </c>
      <c r="D2666" s="7">
        <v>73</v>
      </c>
      <c r="E2666" s="5">
        <f>XLOOKUP(G2666, item_category!C:C, item_category!B:B, "Not Found")</f>
      </c>
      <c r="F2666" s="1" t="s">
        <v>7945</v>
      </c>
      <c r="G2666" s="5">
        <f>XLOOKUP(I2666, drug!B:B, drug!A:A, "Not Found")</f>
      </c>
      <c r="H2666" s="1"/>
      <c r="I2666" s="7">
        <v>1</v>
      </c>
      <c r="J2666" s="5">
        <f>XLOOKUP(L2666, uom!C:C, uom!B:B, "Not Found")</f>
      </c>
      <c r="K2666" s="1" t="s">
        <v>5511</v>
      </c>
      <c r="L2666" s="5">
        <f>XLOOKUP(N2666, uom!C:C, uom!B:B, "Not Found")</f>
      </c>
      <c r="M2666" s="1" t="s">
        <v>5511</v>
      </c>
      <c r="N2666" s="8" t="s">
        <v>5512</v>
      </c>
      <c r="O2666" s="1" t="s">
        <v>5513</v>
      </c>
      <c r="P2666" s="5">
        <f>XLOOKUP(R2666, classification!C:C, classification!B:B, "Not Found")</f>
      </c>
      <c r="Q2666" s="1" t="s">
        <v>5514</v>
      </c>
      <c r="R2666" s="2"/>
      <c r="S2666" s="2"/>
      <c r="T2666" s="2"/>
      <c r="U2666" s="2"/>
    </row>
    <row x14ac:dyDescent="0.25" r="2667" customHeight="1" ht="17.25">
      <c r="A2667" s="7">
        <v>2666</v>
      </c>
      <c r="B2667" s="1" t="s">
        <v>8020</v>
      </c>
      <c r="C2667" s="5">
        <f>CONCATENATE("PD", TEXT(A2667, "1000000"))</f>
      </c>
      <c r="D2667" s="7">
        <v>73</v>
      </c>
      <c r="E2667" s="5">
        <f>XLOOKUP(G2667, item_category!C:C, item_category!B:B, "Not Found")</f>
      </c>
      <c r="F2667" s="1" t="s">
        <v>7945</v>
      </c>
      <c r="G2667" s="5">
        <f>XLOOKUP(I2667, drug!B:B, drug!A:A, "Not Found")</f>
      </c>
      <c r="H2667" s="1"/>
      <c r="I2667" s="7">
        <v>1</v>
      </c>
      <c r="J2667" s="5">
        <f>XLOOKUP(L2667, uom!C:C, uom!B:B, "Not Found")</f>
      </c>
      <c r="K2667" s="1" t="s">
        <v>5511</v>
      </c>
      <c r="L2667" s="5">
        <f>XLOOKUP(N2667, uom!C:C, uom!B:B, "Not Found")</f>
      </c>
      <c r="M2667" s="1" t="s">
        <v>5511</v>
      </c>
      <c r="N2667" s="8" t="s">
        <v>5512</v>
      </c>
      <c r="O2667" s="1" t="s">
        <v>5513</v>
      </c>
      <c r="P2667" s="5">
        <f>XLOOKUP(R2667, classification!C:C, classification!B:B, "Not Found")</f>
      </c>
      <c r="Q2667" s="1" t="s">
        <v>5514</v>
      </c>
      <c r="R2667" s="2"/>
      <c r="S2667" s="2"/>
      <c r="T2667" s="2"/>
      <c r="U2667" s="2"/>
    </row>
    <row x14ac:dyDescent="0.25" r="2668" customHeight="1" ht="17.25">
      <c r="A2668" s="7">
        <v>2667</v>
      </c>
      <c r="B2668" s="1" t="s">
        <v>8021</v>
      </c>
      <c r="C2668" s="5">
        <f>CONCATENATE("PD", TEXT(A2668, "1000000"))</f>
      </c>
      <c r="D2668" s="7">
        <v>73</v>
      </c>
      <c r="E2668" s="5">
        <f>XLOOKUP(G2668, item_category!C:C, item_category!B:B, "Not Found")</f>
      </c>
      <c r="F2668" s="1" t="s">
        <v>7945</v>
      </c>
      <c r="G2668" s="5">
        <f>XLOOKUP(I2668, drug!B:B, drug!A:A, "Not Found")</f>
      </c>
      <c r="H2668" s="1" t="s">
        <v>1942</v>
      </c>
      <c r="I2668" s="7">
        <v>1</v>
      </c>
      <c r="J2668" s="5">
        <f>XLOOKUP(L2668, uom!C:C, uom!B:B, "Not Found")</f>
      </c>
      <c r="K2668" s="1" t="s">
        <v>5511</v>
      </c>
      <c r="L2668" s="5">
        <f>XLOOKUP(N2668, uom!C:C, uom!B:B, "Not Found")</f>
      </c>
      <c r="M2668" s="1" t="s">
        <v>5511</v>
      </c>
      <c r="N2668" s="8" t="s">
        <v>5512</v>
      </c>
      <c r="O2668" s="1" t="s">
        <v>5513</v>
      </c>
      <c r="P2668" s="5">
        <f>XLOOKUP(R2668, classification!C:C, classification!B:B, "Not Found")</f>
      </c>
      <c r="Q2668" s="1" t="s">
        <v>5514</v>
      </c>
      <c r="R2668" s="2"/>
      <c r="S2668" s="2"/>
      <c r="T2668" s="2"/>
      <c r="U2668" s="2"/>
    </row>
    <row x14ac:dyDescent="0.25" r="2669" customHeight="1" ht="17.25">
      <c r="A2669" s="7">
        <v>2668</v>
      </c>
      <c r="B2669" s="1" t="s">
        <v>8022</v>
      </c>
      <c r="C2669" s="5">
        <f>CONCATENATE("PD", TEXT(A2669, "1000000"))</f>
      </c>
      <c r="D2669" s="7">
        <v>73</v>
      </c>
      <c r="E2669" s="5">
        <f>XLOOKUP(G2669, item_category!C:C, item_category!B:B, "Not Found")</f>
      </c>
      <c r="F2669" s="1" t="s">
        <v>7945</v>
      </c>
      <c r="G2669" s="5">
        <f>XLOOKUP(I2669, drug!B:B, drug!A:A, "Not Found")</f>
      </c>
      <c r="H2669" s="1" t="s">
        <v>1942</v>
      </c>
      <c r="I2669" s="7">
        <v>1</v>
      </c>
      <c r="J2669" s="5">
        <f>XLOOKUP(L2669, uom!C:C, uom!B:B, "Not Found")</f>
      </c>
      <c r="K2669" s="1" t="s">
        <v>5511</v>
      </c>
      <c r="L2669" s="5">
        <f>XLOOKUP(N2669, uom!C:C, uom!B:B, "Not Found")</f>
      </c>
      <c r="M2669" s="1" t="s">
        <v>5511</v>
      </c>
      <c r="N2669" s="8" t="s">
        <v>5512</v>
      </c>
      <c r="O2669" s="1" t="s">
        <v>5513</v>
      </c>
      <c r="P2669" s="5">
        <f>XLOOKUP(R2669, classification!C:C, classification!B:B, "Not Found")</f>
      </c>
      <c r="Q2669" s="1" t="s">
        <v>5514</v>
      </c>
      <c r="R2669" s="2"/>
      <c r="S2669" s="2"/>
      <c r="T2669" s="2"/>
      <c r="U2669" s="2"/>
    </row>
    <row x14ac:dyDescent="0.25" r="2670" customHeight="1" ht="17.25">
      <c r="A2670" s="7">
        <v>2669</v>
      </c>
      <c r="B2670" s="1" t="s">
        <v>8023</v>
      </c>
      <c r="C2670" s="5">
        <f>CONCATENATE("PD", TEXT(A2670, "1000000"))</f>
      </c>
      <c r="D2670" s="7">
        <v>73</v>
      </c>
      <c r="E2670" s="5">
        <f>XLOOKUP(G2670, item_category!C:C, item_category!B:B, "Not Found")</f>
      </c>
      <c r="F2670" s="1" t="s">
        <v>7945</v>
      </c>
      <c r="G2670" s="5">
        <f>XLOOKUP(I2670, drug!B:B, drug!A:A, "Not Found")</f>
      </c>
      <c r="H2670" s="1" t="s">
        <v>1942</v>
      </c>
      <c r="I2670" s="7">
        <v>1</v>
      </c>
      <c r="J2670" s="5">
        <f>XLOOKUP(L2670, uom!C:C, uom!B:B, "Not Found")</f>
      </c>
      <c r="K2670" s="1" t="s">
        <v>5511</v>
      </c>
      <c r="L2670" s="5">
        <f>XLOOKUP(N2670, uom!C:C, uom!B:B, "Not Found")</f>
      </c>
      <c r="M2670" s="1" t="s">
        <v>5511</v>
      </c>
      <c r="N2670" s="8" t="s">
        <v>5512</v>
      </c>
      <c r="O2670" s="1" t="s">
        <v>5513</v>
      </c>
      <c r="P2670" s="5">
        <f>XLOOKUP(R2670, classification!C:C, classification!B:B, "Not Found")</f>
      </c>
      <c r="Q2670" s="1" t="s">
        <v>5514</v>
      </c>
      <c r="R2670" s="2"/>
      <c r="S2670" s="2"/>
      <c r="T2670" s="2"/>
      <c r="U2670" s="2"/>
    </row>
    <row x14ac:dyDescent="0.25" r="2671" customHeight="1" ht="17.25">
      <c r="A2671" s="7">
        <v>2670</v>
      </c>
      <c r="B2671" s="1" t="s">
        <v>8024</v>
      </c>
      <c r="C2671" s="5">
        <f>CONCATENATE("PD", TEXT(A2671, "1000000"))</f>
      </c>
      <c r="D2671" s="7">
        <v>73</v>
      </c>
      <c r="E2671" s="5">
        <f>XLOOKUP(G2671, item_category!C:C, item_category!B:B, "Not Found")</f>
      </c>
      <c r="F2671" s="1" t="s">
        <v>7945</v>
      </c>
      <c r="G2671" s="5">
        <f>XLOOKUP(I2671, drug!B:B, drug!A:A, "Not Found")</f>
      </c>
      <c r="H2671" s="1" t="s">
        <v>1942</v>
      </c>
      <c r="I2671" s="7">
        <v>1</v>
      </c>
      <c r="J2671" s="5">
        <f>XLOOKUP(L2671, uom!C:C, uom!B:B, "Not Found")</f>
      </c>
      <c r="K2671" s="1" t="s">
        <v>5511</v>
      </c>
      <c r="L2671" s="5">
        <f>XLOOKUP(N2671, uom!C:C, uom!B:B, "Not Found")</f>
      </c>
      <c r="M2671" s="1" t="s">
        <v>5511</v>
      </c>
      <c r="N2671" s="8" t="s">
        <v>5512</v>
      </c>
      <c r="O2671" s="1" t="s">
        <v>5513</v>
      </c>
      <c r="P2671" s="5">
        <f>XLOOKUP(R2671, classification!C:C, classification!B:B, "Not Found")</f>
      </c>
      <c r="Q2671" s="1" t="s">
        <v>5514</v>
      </c>
      <c r="R2671" s="2"/>
      <c r="S2671" s="2"/>
      <c r="T2671" s="2"/>
      <c r="U2671" s="2"/>
    </row>
    <row x14ac:dyDescent="0.25" r="2672" customHeight="1" ht="17.25">
      <c r="A2672" s="7">
        <v>2671</v>
      </c>
      <c r="B2672" s="1" t="s">
        <v>8025</v>
      </c>
      <c r="C2672" s="5">
        <f>CONCATENATE("PD", TEXT(A2672, "1000000"))</f>
      </c>
      <c r="D2672" s="7">
        <v>73</v>
      </c>
      <c r="E2672" s="5">
        <f>XLOOKUP(G2672, item_category!C:C, item_category!B:B, "Not Found")</f>
      </c>
      <c r="F2672" s="1" t="s">
        <v>7945</v>
      </c>
      <c r="G2672" s="5">
        <f>XLOOKUP(I2672, drug!B:B, drug!A:A, "Not Found")</f>
      </c>
      <c r="H2672" s="1" t="s">
        <v>1942</v>
      </c>
      <c r="I2672" s="7">
        <v>1</v>
      </c>
      <c r="J2672" s="5">
        <f>XLOOKUP(L2672, uom!C:C, uom!B:B, "Not Found")</f>
      </c>
      <c r="K2672" s="1" t="s">
        <v>5511</v>
      </c>
      <c r="L2672" s="5">
        <f>XLOOKUP(N2672, uom!C:C, uom!B:B, "Not Found")</f>
      </c>
      <c r="M2672" s="1" t="s">
        <v>5511</v>
      </c>
      <c r="N2672" s="8" t="s">
        <v>5512</v>
      </c>
      <c r="O2672" s="1" t="s">
        <v>5513</v>
      </c>
      <c r="P2672" s="5">
        <f>XLOOKUP(R2672, classification!C:C, classification!B:B, "Not Found")</f>
      </c>
      <c r="Q2672" s="1" t="s">
        <v>5514</v>
      </c>
      <c r="R2672" s="2"/>
      <c r="S2672" s="2"/>
      <c r="T2672" s="2"/>
      <c r="U2672" s="2"/>
    </row>
    <row x14ac:dyDescent="0.25" r="2673" customHeight="1" ht="17.25">
      <c r="A2673" s="7">
        <v>2672</v>
      </c>
      <c r="B2673" s="1" t="s">
        <v>8026</v>
      </c>
      <c r="C2673" s="5">
        <f>CONCATENATE("PD", TEXT(A2673, "1000000"))</f>
      </c>
      <c r="D2673" s="7">
        <v>73</v>
      </c>
      <c r="E2673" s="5">
        <f>XLOOKUP(G2673, item_category!C:C, item_category!B:B, "Not Found")</f>
      </c>
      <c r="F2673" s="1" t="s">
        <v>7945</v>
      </c>
      <c r="G2673" s="5">
        <f>XLOOKUP(I2673, drug!B:B, drug!A:A, "Not Found")</f>
      </c>
      <c r="H2673" s="1" t="s">
        <v>1942</v>
      </c>
      <c r="I2673" s="7">
        <v>1</v>
      </c>
      <c r="J2673" s="5">
        <f>XLOOKUP(L2673, uom!C:C, uom!B:B, "Not Found")</f>
      </c>
      <c r="K2673" s="1" t="s">
        <v>5511</v>
      </c>
      <c r="L2673" s="5">
        <f>XLOOKUP(N2673, uom!C:C, uom!B:B, "Not Found")</f>
      </c>
      <c r="M2673" s="1" t="s">
        <v>5511</v>
      </c>
      <c r="N2673" s="8" t="s">
        <v>5512</v>
      </c>
      <c r="O2673" s="1" t="s">
        <v>5513</v>
      </c>
      <c r="P2673" s="5">
        <f>XLOOKUP(R2673, classification!C:C, classification!B:B, "Not Found")</f>
      </c>
      <c r="Q2673" s="1" t="s">
        <v>5514</v>
      </c>
      <c r="R2673" s="2"/>
      <c r="S2673" s="2"/>
      <c r="T2673" s="2"/>
      <c r="U2673" s="2"/>
    </row>
    <row x14ac:dyDescent="0.25" r="2674" customHeight="1" ht="17.25">
      <c r="A2674" s="7">
        <v>2673</v>
      </c>
      <c r="B2674" s="1" t="s">
        <v>8027</v>
      </c>
      <c r="C2674" s="5">
        <f>CONCATENATE("PD", TEXT(A2674, "1000000"))</f>
      </c>
      <c r="D2674" s="7">
        <v>73</v>
      </c>
      <c r="E2674" s="5">
        <f>XLOOKUP(G2674, item_category!C:C, item_category!B:B, "Not Found")</f>
      </c>
      <c r="F2674" s="1" t="s">
        <v>7945</v>
      </c>
      <c r="G2674" s="5">
        <f>XLOOKUP(I2674, drug!B:B, drug!A:A, "Not Found")</f>
      </c>
      <c r="H2674" s="1"/>
      <c r="I2674" s="7">
        <v>1</v>
      </c>
      <c r="J2674" s="5">
        <f>XLOOKUP(L2674, uom!C:C, uom!B:B, "Not Found")</f>
      </c>
      <c r="K2674" s="1" t="s">
        <v>5511</v>
      </c>
      <c r="L2674" s="5">
        <f>XLOOKUP(N2674, uom!C:C, uom!B:B, "Not Found")</f>
      </c>
      <c r="M2674" s="1" t="s">
        <v>5511</v>
      </c>
      <c r="N2674" s="8" t="s">
        <v>5512</v>
      </c>
      <c r="O2674" s="1" t="s">
        <v>5513</v>
      </c>
      <c r="P2674" s="5">
        <f>XLOOKUP(R2674, classification!C:C, classification!B:B, "Not Found")</f>
      </c>
      <c r="Q2674" s="1" t="s">
        <v>5514</v>
      </c>
      <c r="R2674" s="2"/>
      <c r="S2674" s="2"/>
      <c r="T2674" s="2"/>
      <c r="U2674" s="2"/>
    </row>
    <row x14ac:dyDescent="0.25" r="2675" customHeight="1" ht="17.25">
      <c r="A2675" s="7">
        <v>2674</v>
      </c>
      <c r="B2675" s="1" t="s">
        <v>8028</v>
      </c>
      <c r="C2675" s="5">
        <f>CONCATENATE("PD", TEXT(A2675, "1000000"))</f>
      </c>
      <c r="D2675" s="7">
        <v>73</v>
      </c>
      <c r="E2675" s="5">
        <f>XLOOKUP(G2675, item_category!C:C, item_category!B:B, "Not Found")</f>
      </c>
      <c r="F2675" s="1" t="s">
        <v>7945</v>
      </c>
      <c r="G2675" s="5">
        <f>XLOOKUP(I2675, drug!B:B, drug!A:A, "Not Found")</f>
      </c>
      <c r="H2675" s="1"/>
      <c r="I2675" s="7">
        <v>1</v>
      </c>
      <c r="J2675" s="5">
        <f>XLOOKUP(L2675, uom!C:C, uom!B:B, "Not Found")</f>
      </c>
      <c r="K2675" s="1" t="s">
        <v>5511</v>
      </c>
      <c r="L2675" s="5">
        <f>XLOOKUP(N2675, uom!C:C, uom!B:B, "Not Found")</f>
      </c>
      <c r="M2675" s="1" t="s">
        <v>5511</v>
      </c>
      <c r="N2675" s="8" t="s">
        <v>5512</v>
      </c>
      <c r="O2675" s="1" t="s">
        <v>5513</v>
      </c>
      <c r="P2675" s="5">
        <f>XLOOKUP(R2675, classification!C:C, classification!B:B, "Not Found")</f>
      </c>
      <c r="Q2675" s="1" t="s">
        <v>5514</v>
      </c>
      <c r="R2675" s="2"/>
      <c r="S2675" s="2"/>
      <c r="T2675" s="2"/>
      <c r="U2675" s="2"/>
    </row>
    <row x14ac:dyDescent="0.25" r="2676" customHeight="1" ht="17.25">
      <c r="A2676" s="7">
        <v>2675</v>
      </c>
      <c r="B2676" s="1" t="s">
        <v>8029</v>
      </c>
      <c r="C2676" s="5">
        <f>CONCATENATE("PD", TEXT(A2676, "1000000"))</f>
      </c>
      <c r="D2676" s="7">
        <v>73</v>
      </c>
      <c r="E2676" s="5">
        <f>XLOOKUP(G2676, item_category!C:C, item_category!B:B, "Not Found")</f>
      </c>
      <c r="F2676" s="1" t="s">
        <v>7945</v>
      </c>
      <c r="G2676" s="5">
        <f>XLOOKUP(I2676, drug!B:B, drug!A:A, "Not Found")</f>
      </c>
      <c r="H2676" s="1"/>
      <c r="I2676" s="7">
        <v>1</v>
      </c>
      <c r="J2676" s="5">
        <f>XLOOKUP(L2676, uom!C:C, uom!B:B, "Not Found")</f>
      </c>
      <c r="K2676" s="1" t="s">
        <v>5511</v>
      </c>
      <c r="L2676" s="5">
        <f>XLOOKUP(N2676, uom!C:C, uom!B:B, "Not Found")</f>
      </c>
      <c r="M2676" s="1" t="s">
        <v>5511</v>
      </c>
      <c r="N2676" s="8" t="s">
        <v>5512</v>
      </c>
      <c r="O2676" s="1" t="s">
        <v>5513</v>
      </c>
      <c r="P2676" s="5">
        <f>XLOOKUP(R2676, classification!C:C, classification!B:B, "Not Found")</f>
      </c>
      <c r="Q2676" s="1" t="s">
        <v>5514</v>
      </c>
      <c r="R2676" s="2"/>
      <c r="S2676" s="2"/>
      <c r="T2676" s="2"/>
      <c r="U2676" s="2"/>
    </row>
    <row x14ac:dyDescent="0.25" r="2677" customHeight="1" ht="17.25">
      <c r="A2677" s="7">
        <v>2676</v>
      </c>
      <c r="B2677" s="1" t="s">
        <v>8030</v>
      </c>
      <c r="C2677" s="5">
        <f>CONCATENATE("PD", TEXT(A2677, "1000000"))</f>
      </c>
      <c r="D2677" s="7">
        <v>73</v>
      </c>
      <c r="E2677" s="5">
        <f>XLOOKUP(G2677, item_category!C:C, item_category!B:B, "Not Found")</f>
      </c>
      <c r="F2677" s="1" t="s">
        <v>7945</v>
      </c>
      <c r="G2677" s="5">
        <f>XLOOKUP(I2677, drug!B:B, drug!A:A, "Not Found")</f>
      </c>
      <c r="H2677" s="1"/>
      <c r="I2677" s="7">
        <v>1</v>
      </c>
      <c r="J2677" s="5">
        <f>XLOOKUP(L2677, uom!C:C, uom!B:B, "Not Found")</f>
      </c>
      <c r="K2677" s="1" t="s">
        <v>5511</v>
      </c>
      <c r="L2677" s="5">
        <f>XLOOKUP(N2677, uom!C:C, uom!B:B, "Not Found")</f>
      </c>
      <c r="M2677" s="1" t="s">
        <v>5511</v>
      </c>
      <c r="N2677" s="8" t="s">
        <v>5512</v>
      </c>
      <c r="O2677" s="1" t="s">
        <v>5513</v>
      </c>
      <c r="P2677" s="5">
        <f>XLOOKUP(R2677, classification!C:C, classification!B:B, "Not Found")</f>
      </c>
      <c r="Q2677" s="1" t="s">
        <v>5514</v>
      </c>
      <c r="R2677" s="2"/>
      <c r="S2677" s="2"/>
      <c r="T2677" s="2"/>
      <c r="U2677" s="2"/>
    </row>
    <row x14ac:dyDescent="0.25" r="2678" customHeight="1" ht="17.25">
      <c r="A2678" s="7">
        <v>2677</v>
      </c>
      <c r="B2678" s="1" t="s">
        <v>8031</v>
      </c>
      <c r="C2678" s="5">
        <f>CONCATENATE("PD", TEXT(A2678, "1000000"))</f>
      </c>
      <c r="D2678" s="7">
        <v>73</v>
      </c>
      <c r="E2678" s="5">
        <f>XLOOKUP(G2678, item_category!C:C, item_category!B:B, "Not Found")</f>
      </c>
      <c r="F2678" s="1" t="s">
        <v>7945</v>
      </c>
      <c r="G2678" s="5">
        <f>XLOOKUP(I2678, drug!B:B, drug!A:A, "Not Found")</f>
      </c>
      <c r="H2678" s="1"/>
      <c r="I2678" s="7">
        <v>1</v>
      </c>
      <c r="J2678" s="5">
        <f>XLOOKUP(L2678, uom!C:C, uom!B:B, "Not Found")</f>
      </c>
      <c r="K2678" s="1" t="s">
        <v>5511</v>
      </c>
      <c r="L2678" s="5">
        <f>XLOOKUP(N2678, uom!C:C, uom!B:B, "Not Found")</f>
      </c>
      <c r="M2678" s="1" t="s">
        <v>5511</v>
      </c>
      <c r="N2678" s="8" t="s">
        <v>5512</v>
      </c>
      <c r="O2678" s="1" t="s">
        <v>5513</v>
      </c>
      <c r="P2678" s="5">
        <f>XLOOKUP(R2678, classification!C:C, classification!B:B, "Not Found")</f>
      </c>
      <c r="Q2678" s="1" t="s">
        <v>5514</v>
      </c>
      <c r="R2678" s="2"/>
      <c r="S2678" s="2"/>
      <c r="T2678" s="2"/>
      <c r="U2678" s="2"/>
    </row>
    <row x14ac:dyDescent="0.25" r="2679" customHeight="1" ht="17.25">
      <c r="A2679" s="7">
        <v>2678</v>
      </c>
      <c r="B2679" s="1" t="s">
        <v>8032</v>
      </c>
      <c r="C2679" s="5">
        <f>CONCATENATE("PD", TEXT(A2679, "1000000"))</f>
      </c>
      <c r="D2679" s="7">
        <v>73</v>
      </c>
      <c r="E2679" s="5">
        <f>XLOOKUP(G2679, item_category!C:C, item_category!B:B, "Not Found")</f>
      </c>
      <c r="F2679" s="1" t="s">
        <v>7945</v>
      </c>
      <c r="G2679" s="5">
        <f>XLOOKUP(I2679, drug!B:B, drug!A:A, "Not Found")</f>
      </c>
      <c r="H2679" s="1"/>
      <c r="I2679" s="7">
        <v>1</v>
      </c>
      <c r="J2679" s="5">
        <f>XLOOKUP(L2679, uom!C:C, uom!B:B, "Not Found")</f>
      </c>
      <c r="K2679" s="1" t="s">
        <v>5511</v>
      </c>
      <c r="L2679" s="5">
        <f>XLOOKUP(N2679, uom!C:C, uom!B:B, "Not Found")</f>
      </c>
      <c r="M2679" s="1" t="s">
        <v>5511</v>
      </c>
      <c r="N2679" s="8" t="s">
        <v>5512</v>
      </c>
      <c r="O2679" s="1" t="s">
        <v>5513</v>
      </c>
      <c r="P2679" s="5">
        <f>XLOOKUP(R2679, classification!C:C, classification!B:B, "Not Found")</f>
      </c>
      <c r="Q2679" s="1" t="s">
        <v>5514</v>
      </c>
      <c r="R2679" s="2"/>
      <c r="S2679" s="2"/>
      <c r="T2679" s="2"/>
      <c r="U2679" s="2"/>
    </row>
    <row x14ac:dyDescent="0.25" r="2680" customHeight="1" ht="17.25">
      <c r="A2680" s="7">
        <v>2679</v>
      </c>
      <c r="B2680" s="1" t="s">
        <v>8033</v>
      </c>
      <c r="C2680" s="5">
        <f>CONCATENATE("PD", TEXT(A2680, "1000000"))</f>
      </c>
      <c r="D2680" s="7">
        <v>73</v>
      </c>
      <c r="E2680" s="5">
        <f>XLOOKUP(G2680, item_category!C:C, item_category!B:B, "Not Found")</f>
      </c>
      <c r="F2680" s="1" t="s">
        <v>7945</v>
      </c>
      <c r="G2680" s="5">
        <f>XLOOKUP(I2680, drug!B:B, drug!A:A, "Not Found")</f>
      </c>
      <c r="H2680" s="1"/>
      <c r="I2680" s="7">
        <v>1</v>
      </c>
      <c r="J2680" s="5">
        <f>XLOOKUP(L2680, uom!C:C, uom!B:B, "Not Found")</f>
      </c>
      <c r="K2680" s="1" t="s">
        <v>5511</v>
      </c>
      <c r="L2680" s="5">
        <f>XLOOKUP(N2680, uom!C:C, uom!B:B, "Not Found")</f>
      </c>
      <c r="M2680" s="1" t="s">
        <v>5511</v>
      </c>
      <c r="N2680" s="8" t="s">
        <v>5512</v>
      </c>
      <c r="O2680" s="1" t="s">
        <v>5513</v>
      </c>
      <c r="P2680" s="5">
        <f>XLOOKUP(R2680, classification!C:C, classification!B:B, "Not Found")</f>
      </c>
      <c r="Q2680" s="1" t="s">
        <v>5514</v>
      </c>
      <c r="R2680" s="2"/>
      <c r="S2680" s="2"/>
      <c r="T2680" s="2"/>
      <c r="U2680" s="2"/>
    </row>
    <row x14ac:dyDescent="0.25" r="2681" customHeight="1" ht="17.25">
      <c r="A2681" s="7">
        <v>2680</v>
      </c>
      <c r="B2681" s="1" t="s">
        <v>8034</v>
      </c>
      <c r="C2681" s="5">
        <f>CONCATENATE("PD", TEXT(A2681, "1000000"))</f>
      </c>
      <c r="D2681" s="7">
        <v>73</v>
      </c>
      <c r="E2681" s="5">
        <f>XLOOKUP(G2681, item_category!C:C, item_category!B:B, "Not Found")</f>
      </c>
      <c r="F2681" s="1" t="s">
        <v>7945</v>
      </c>
      <c r="G2681" s="5">
        <f>XLOOKUP(I2681, drug!B:B, drug!A:A, "Not Found")</f>
      </c>
      <c r="H2681" s="1"/>
      <c r="I2681" s="7">
        <v>1</v>
      </c>
      <c r="J2681" s="5">
        <f>XLOOKUP(L2681, uom!C:C, uom!B:B, "Not Found")</f>
      </c>
      <c r="K2681" s="1" t="s">
        <v>5511</v>
      </c>
      <c r="L2681" s="5">
        <f>XLOOKUP(N2681, uom!C:C, uom!B:B, "Not Found")</f>
      </c>
      <c r="M2681" s="1" t="s">
        <v>5511</v>
      </c>
      <c r="N2681" s="8" t="s">
        <v>5512</v>
      </c>
      <c r="O2681" s="1" t="s">
        <v>5513</v>
      </c>
      <c r="P2681" s="5">
        <f>XLOOKUP(R2681, classification!C:C, classification!B:B, "Not Found")</f>
      </c>
      <c r="Q2681" s="1" t="s">
        <v>5514</v>
      </c>
      <c r="R2681" s="2"/>
      <c r="S2681" s="2"/>
      <c r="T2681" s="2"/>
      <c r="U2681" s="2"/>
    </row>
    <row x14ac:dyDescent="0.25" r="2682" customHeight="1" ht="17.25">
      <c r="A2682" s="7">
        <v>2681</v>
      </c>
      <c r="B2682" s="1" t="s">
        <v>8035</v>
      </c>
      <c r="C2682" s="5">
        <f>CONCATENATE("PD", TEXT(A2682, "1000000"))</f>
      </c>
      <c r="D2682" s="7">
        <v>73</v>
      </c>
      <c r="E2682" s="5">
        <f>XLOOKUP(G2682, item_category!C:C, item_category!B:B, "Not Found")</f>
      </c>
      <c r="F2682" s="1" t="s">
        <v>7945</v>
      </c>
      <c r="G2682" s="5">
        <f>XLOOKUP(I2682, drug!B:B, drug!A:A, "Not Found")</f>
      </c>
      <c r="H2682" s="1"/>
      <c r="I2682" s="7">
        <v>1</v>
      </c>
      <c r="J2682" s="5">
        <f>XLOOKUP(L2682, uom!C:C, uom!B:B, "Not Found")</f>
      </c>
      <c r="K2682" s="1" t="s">
        <v>5511</v>
      </c>
      <c r="L2682" s="5">
        <f>XLOOKUP(N2682, uom!C:C, uom!B:B, "Not Found")</f>
      </c>
      <c r="M2682" s="1" t="s">
        <v>5511</v>
      </c>
      <c r="N2682" s="8" t="s">
        <v>5512</v>
      </c>
      <c r="O2682" s="1" t="s">
        <v>5513</v>
      </c>
      <c r="P2682" s="5">
        <f>XLOOKUP(R2682, classification!C:C, classification!B:B, "Not Found")</f>
      </c>
      <c r="Q2682" s="1" t="s">
        <v>5514</v>
      </c>
      <c r="R2682" s="2"/>
      <c r="S2682" s="2"/>
      <c r="T2682" s="2"/>
      <c r="U2682" s="2"/>
    </row>
    <row x14ac:dyDescent="0.25" r="2683" customHeight="1" ht="17.25">
      <c r="A2683" s="7">
        <v>2682</v>
      </c>
      <c r="B2683" s="1" t="s">
        <v>8036</v>
      </c>
      <c r="C2683" s="5">
        <f>CONCATENATE("PD", TEXT(A2683, "1000000"))</f>
      </c>
      <c r="D2683" s="7">
        <v>73</v>
      </c>
      <c r="E2683" s="5">
        <f>XLOOKUP(G2683, item_category!C:C, item_category!B:B, "Not Found")</f>
      </c>
      <c r="F2683" s="1" t="s">
        <v>7945</v>
      </c>
      <c r="G2683" s="5">
        <f>XLOOKUP(I2683, drug!B:B, drug!A:A, "Not Found")</f>
      </c>
      <c r="H2683" s="1"/>
      <c r="I2683" s="7">
        <v>1</v>
      </c>
      <c r="J2683" s="5">
        <f>XLOOKUP(L2683, uom!C:C, uom!B:B, "Not Found")</f>
      </c>
      <c r="K2683" s="1" t="s">
        <v>5511</v>
      </c>
      <c r="L2683" s="5">
        <f>XLOOKUP(N2683, uom!C:C, uom!B:B, "Not Found")</f>
      </c>
      <c r="M2683" s="1" t="s">
        <v>5511</v>
      </c>
      <c r="N2683" s="8" t="s">
        <v>5512</v>
      </c>
      <c r="O2683" s="1" t="s">
        <v>5513</v>
      </c>
      <c r="P2683" s="5">
        <f>XLOOKUP(R2683, classification!C:C, classification!B:B, "Not Found")</f>
      </c>
      <c r="Q2683" s="1" t="s">
        <v>5514</v>
      </c>
      <c r="R2683" s="2"/>
      <c r="S2683" s="2"/>
      <c r="T2683" s="2"/>
      <c r="U2683" s="2"/>
    </row>
    <row x14ac:dyDescent="0.25" r="2684" customHeight="1" ht="17.25">
      <c r="A2684" s="7">
        <v>2683</v>
      </c>
      <c r="B2684" s="1" t="s">
        <v>8032</v>
      </c>
      <c r="C2684" s="5">
        <f>CONCATENATE("PD", TEXT(A2684, "1000000"))</f>
      </c>
      <c r="D2684" s="7">
        <v>73</v>
      </c>
      <c r="E2684" s="5">
        <f>XLOOKUP(G2684, item_category!C:C, item_category!B:B, "Not Found")</f>
      </c>
      <c r="F2684" s="1" t="s">
        <v>7945</v>
      </c>
      <c r="G2684" s="5">
        <f>XLOOKUP(I2684, drug!B:B, drug!A:A, "Not Found")</f>
      </c>
      <c r="H2684" s="1"/>
      <c r="I2684" s="7">
        <v>200</v>
      </c>
      <c r="J2684" s="5">
        <f>XLOOKUP(L2684, uom!C:C, uom!B:B, "Not Found")</f>
      </c>
      <c r="K2684" s="1" t="s">
        <v>5511</v>
      </c>
      <c r="L2684" s="5">
        <f>XLOOKUP(N2684, uom!C:C, uom!B:B, "Not Found")</f>
      </c>
      <c r="M2684" s="1" t="s">
        <v>5511</v>
      </c>
      <c r="N2684" s="8" t="s">
        <v>5524</v>
      </c>
      <c r="O2684" s="1" t="s">
        <v>5525</v>
      </c>
      <c r="P2684" s="5">
        <f>XLOOKUP(R2684, classification!C:C, classification!B:B, "Not Found")</f>
      </c>
      <c r="Q2684" s="1" t="s">
        <v>5514</v>
      </c>
      <c r="R2684" s="2"/>
      <c r="S2684" s="2"/>
      <c r="T2684" s="2"/>
      <c r="U2684" s="2"/>
    </row>
    <row x14ac:dyDescent="0.25" r="2685" customHeight="1" ht="17.25">
      <c r="A2685" s="7">
        <v>2684</v>
      </c>
      <c r="B2685" s="1" t="s">
        <v>3274</v>
      </c>
      <c r="C2685" s="5">
        <f>CONCATENATE("PD", TEXT(A2685, "1000000"))</f>
      </c>
      <c r="D2685" s="7">
        <v>73</v>
      </c>
      <c r="E2685" s="5">
        <f>XLOOKUP(G2685, item_category!C:C, item_category!B:B, "Not Found")</f>
      </c>
      <c r="F2685" s="1" t="s">
        <v>7945</v>
      </c>
      <c r="G2685" s="5">
        <f>XLOOKUP(I2685, drug!B:B, drug!A:A, "Not Found")</f>
      </c>
      <c r="H2685" s="1"/>
      <c r="I2685" s="7">
        <v>1</v>
      </c>
      <c r="J2685" s="5">
        <f>XLOOKUP(L2685, uom!C:C, uom!B:B, "Not Found")</f>
      </c>
      <c r="K2685" s="1" t="s">
        <v>5511</v>
      </c>
      <c r="L2685" s="5">
        <f>XLOOKUP(N2685, uom!C:C, uom!B:B, "Not Found")</f>
      </c>
      <c r="M2685" s="1" t="s">
        <v>5511</v>
      </c>
      <c r="N2685" s="8" t="s">
        <v>5524</v>
      </c>
      <c r="O2685" s="1" t="s">
        <v>5525</v>
      </c>
      <c r="P2685" s="5">
        <f>XLOOKUP(R2685, classification!C:C, classification!B:B, "Not Found")</f>
      </c>
      <c r="Q2685" s="1" t="s">
        <v>5514</v>
      </c>
      <c r="R2685" s="2"/>
      <c r="S2685" s="2"/>
      <c r="T2685" s="2"/>
      <c r="U2685" s="2"/>
    </row>
    <row x14ac:dyDescent="0.25" r="2686" customHeight="1" ht="17.25">
      <c r="A2686" s="7">
        <v>2685</v>
      </c>
      <c r="B2686" s="1" t="s">
        <v>8037</v>
      </c>
      <c r="C2686" s="5">
        <f>CONCATENATE("PD", TEXT(A2686, "1000000"))</f>
      </c>
      <c r="D2686" s="7">
        <v>73</v>
      </c>
      <c r="E2686" s="5">
        <f>XLOOKUP(G2686, item_category!C:C, item_category!B:B, "Not Found")</f>
      </c>
      <c r="F2686" s="1" t="s">
        <v>7945</v>
      </c>
      <c r="G2686" s="5">
        <f>XLOOKUP(I2686, drug!B:B, drug!A:A, "Not Found")</f>
      </c>
      <c r="H2686" s="1" t="s">
        <v>1942</v>
      </c>
      <c r="I2686" s="7">
        <v>1</v>
      </c>
      <c r="J2686" s="5">
        <f>XLOOKUP(L2686, uom!C:C, uom!B:B, "Not Found")</f>
      </c>
      <c r="K2686" s="1" t="s">
        <v>5511</v>
      </c>
      <c r="L2686" s="5">
        <f>XLOOKUP(N2686, uom!C:C, uom!B:B, "Not Found")</f>
      </c>
      <c r="M2686" s="1" t="s">
        <v>5511</v>
      </c>
      <c r="N2686" s="8" t="s">
        <v>5512</v>
      </c>
      <c r="O2686" s="1" t="s">
        <v>5513</v>
      </c>
      <c r="P2686" s="5">
        <f>XLOOKUP(R2686, classification!C:C, classification!B:B, "Not Found")</f>
      </c>
      <c r="Q2686" s="1" t="s">
        <v>5514</v>
      </c>
      <c r="R2686" s="2"/>
      <c r="S2686" s="2"/>
      <c r="T2686" s="2"/>
      <c r="U2686" s="2"/>
    </row>
    <row x14ac:dyDescent="0.25" r="2687" customHeight="1" ht="17.25">
      <c r="A2687" s="7">
        <v>2686</v>
      </c>
      <c r="B2687" s="1" t="s">
        <v>8038</v>
      </c>
      <c r="C2687" s="5">
        <f>CONCATENATE("PD", TEXT(A2687, "1000000"))</f>
      </c>
      <c r="D2687" s="7">
        <v>73</v>
      </c>
      <c r="E2687" s="5">
        <f>XLOOKUP(G2687, item_category!C:C, item_category!B:B, "Not Found")</f>
      </c>
      <c r="F2687" s="1" t="s">
        <v>7945</v>
      </c>
      <c r="G2687" s="5">
        <f>XLOOKUP(I2687, drug!B:B, drug!A:A, "Not Found")</f>
      </c>
      <c r="H2687" s="1"/>
      <c r="I2687" s="7">
        <v>1</v>
      </c>
      <c r="J2687" s="5">
        <f>XLOOKUP(L2687, uom!C:C, uom!B:B, "Not Found")</f>
      </c>
      <c r="K2687" s="1" t="s">
        <v>5511</v>
      </c>
      <c r="L2687" s="5">
        <f>XLOOKUP(N2687, uom!C:C, uom!B:B, "Not Found")</f>
      </c>
      <c r="M2687" s="1" t="s">
        <v>5511</v>
      </c>
      <c r="N2687" s="8" t="s">
        <v>5512</v>
      </c>
      <c r="O2687" s="1" t="s">
        <v>5513</v>
      </c>
      <c r="P2687" s="5">
        <f>XLOOKUP(R2687, classification!C:C, classification!B:B, "Not Found")</f>
      </c>
      <c r="Q2687" s="1" t="s">
        <v>5514</v>
      </c>
      <c r="R2687" s="2"/>
      <c r="S2687" s="2"/>
      <c r="T2687" s="2"/>
      <c r="U2687" s="2"/>
    </row>
    <row x14ac:dyDescent="0.25" r="2688" customHeight="1" ht="17.25">
      <c r="A2688" s="7">
        <v>2687</v>
      </c>
      <c r="B2688" s="1" t="s">
        <v>8039</v>
      </c>
      <c r="C2688" s="5">
        <f>CONCATENATE("PD", TEXT(A2688, "1000000"))</f>
      </c>
      <c r="D2688" s="7">
        <v>73</v>
      </c>
      <c r="E2688" s="5">
        <f>XLOOKUP(G2688, item_category!C:C, item_category!B:B, "Not Found")</f>
      </c>
      <c r="F2688" s="1" t="s">
        <v>7945</v>
      </c>
      <c r="G2688" s="5">
        <f>XLOOKUP(I2688, drug!B:B, drug!A:A, "Not Found")</f>
      </c>
      <c r="H2688" s="1"/>
      <c r="I2688" s="7">
        <v>1</v>
      </c>
      <c r="J2688" s="5">
        <f>XLOOKUP(L2688, uom!C:C, uom!B:B, "Not Found")</f>
      </c>
      <c r="K2688" s="1" t="s">
        <v>5511</v>
      </c>
      <c r="L2688" s="5">
        <f>XLOOKUP(N2688, uom!C:C, uom!B:B, "Not Found")</f>
      </c>
      <c r="M2688" s="1" t="s">
        <v>5511</v>
      </c>
      <c r="N2688" s="8" t="s">
        <v>5512</v>
      </c>
      <c r="O2688" s="1" t="s">
        <v>5513</v>
      </c>
      <c r="P2688" s="5">
        <f>XLOOKUP(R2688, classification!C:C, classification!B:B, "Not Found")</f>
      </c>
      <c r="Q2688" s="1" t="s">
        <v>5514</v>
      </c>
      <c r="R2688" s="2"/>
      <c r="S2688" s="2"/>
      <c r="T2688" s="2"/>
      <c r="U2688" s="2"/>
    </row>
    <row x14ac:dyDescent="0.25" r="2689" customHeight="1" ht="17.25">
      <c r="A2689" s="7">
        <v>2688</v>
      </c>
      <c r="B2689" s="1" t="s">
        <v>8040</v>
      </c>
      <c r="C2689" s="5">
        <f>CONCATENATE("PD", TEXT(A2689, "1000000"))</f>
      </c>
      <c r="D2689" s="7">
        <v>73</v>
      </c>
      <c r="E2689" s="5">
        <f>XLOOKUP(G2689, item_category!C:C, item_category!B:B, "Not Found")</f>
      </c>
      <c r="F2689" s="1" t="s">
        <v>7945</v>
      </c>
      <c r="G2689" s="5">
        <f>XLOOKUP(I2689, drug!B:B, drug!A:A, "Not Found")</f>
      </c>
      <c r="H2689" s="1" t="s">
        <v>1942</v>
      </c>
      <c r="I2689" s="7">
        <v>1</v>
      </c>
      <c r="J2689" s="5">
        <f>XLOOKUP(L2689, uom!C:C, uom!B:B, "Not Found")</f>
      </c>
      <c r="K2689" s="1" t="s">
        <v>5511</v>
      </c>
      <c r="L2689" s="5">
        <f>XLOOKUP(N2689, uom!C:C, uom!B:B, "Not Found")</f>
      </c>
      <c r="M2689" s="1" t="s">
        <v>5511</v>
      </c>
      <c r="N2689" s="8" t="s">
        <v>5512</v>
      </c>
      <c r="O2689" s="1" t="s">
        <v>5513</v>
      </c>
      <c r="P2689" s="5">
        <f>XLOOKUP(R2689, classification!C:C, classification!B:B, "Not Found")</f>
      </c>
      <c r="Q2689" s="1" t="s">
        <v>5514</v>
      </c>
      <c r="R2689" s="2"/>
      <c r="S2689" s="2"/>
      <c r="T2689" s="2"/>
      <c r="U2689" s="2"/>
    </row>
    <row x14ac:dyDescent="0.25" r="2690" customHeight="1" ht="17.25">
      <c r="A2690" s="7">
        <v>2689</v>
      </c>
      <c r="B2690" s="1" t="s">
        <v>8041</v>
      </c>
      <c r="C2690" s="5">
        <f>CONCATENATE("PD", TEXT(A2690, "1000000"))</f>
      </c>
      <c r="D2690" s="7">
        <v>73</v>
      </c>
      <c r="E2690" s="5">
        <f>XLOOKUP(G2690, item_category!C:C, item_category!B:B, "Not Found")</f>
      </c>
      <c r="F2690" s="1" t="s">
        <v>7945</v>
      </c>
      <c r="G2690" s="5">
        <f>XLOOKUP(I2690, drug!B:B, drug!A:A, "Not Found")</f>
      </c>
      <c r="H2690" s="1" t="s">
        <v>1942</v>
      </c>
      <c r="I2690" s="7">
        <v>1</v>
      </c>
      <c r="J2690" s="5">
        <f>XLOOKUP(L2690, uom!C:C, uom!B:B, "Not Found")</f>
      </c>
      <c r="K2690" s="1" t="s">
        <v>5511</v>
      </c>
      <c r="L2690" s="5">
        <f>XLOOKUP(N2690, uom!C:C, uom!B:B, "Not Found")</f>
      </c>
      <c r="M2690" s="1" t="s">
        <v>5511</v>
      </c>
      <c r="N2690" s="8" t="s">
        <v>5512</v>
      </c>
      <c r="O2690" s="1" t="s">
        <v>5513</v>
      </c>
      <c r="P2690" s="5">
        <f>XLOOKUP(R2690, classification!C:C, classification!B:B, "Not Found")</f>
      </c>
      <c r="Q2690" s="1" t="s">
        <v>5514</v>
      </c>
      <c r="R2690" s="2"/>
      <c r="S2690" s="2"/>
      <c r="T2690" s="2"/>
      <c r="U2690" s="2"/>
    </row>
    <row x14ac:dyDescent="0.25" r="2691" customHeight="1" ht="17.25">
      <c r="A2691" s="7">
        <v>2690</v>
      </c>
      <c r="B2691" s="1" t="s">
        <v>8042</v>
      </c>
      <c r="C2691" s="5">
        <f>CONCATENATE("PD", TEXT(A2691, "1000000"))</f>
      </c>
      <c r="D2691" s="7">
        <v>73</v>
      </c>
      <c r="E2691" s="5">
        <f>XLOOKUP(G2691, item_category!C:C, item_category!B:B, "Not Found")</f>
      </c>
      <c r="F2691" s="1" t="s">
        <v>7945</v>
      </c>
      <c r="G2691" s="5">
        <f>XLOOKUP(I2691, drug!B:B, drug!A:A, "Not Found")</f>
      </c>
      <c r="H2691" s="1" t="s">
        <v>1942</v>
      </c>
      <c r="I2691" s="7">
        <v>1</v>
      </c>
      <c r="J2691" s="5">
        <f>XLOOKUP(L2691, uom!C:C, uom!B:B, "Not Found")</f>
      </c>
      <c r="K2691" s="1" t="s">
        <v>5511</v>
      </c>
      <c r="L2691" s="5">
        <f>XLOOKUP(N2691, uom!C:C, uom!B:B, "Not Found")</f>
      </c>
      <c r="M2691" s="1" t="s">
        <v>5511</v>
      </c>
      <c r="N2691" s="8" t="s">
        <v>5512</v>
      </c>
      <c r="O2691" s="1" t="s">
        <v>5513</v>
      </c>
      <c r="P2691" s="5">
        <f>XLOOKUP(R2691, classification!C:C, classification!B:B, "Not Found")</f>
      </c>
      <c r="Q2691" s="1" t="s">
        <v>5514</v>
      </c>
      <c r="R2691" s="2"/>
      <c r="S2691" s="2"/>
      <c r="T2691" s="2"/>
      <c r="U2691" s="2"/>
    </row>
    <row x14ac:dyDescent="0.25" r="2692" customHeight="1" ht="17.25">
      <c r="A2692" s="7">
        <v>2691</v>
      </c>
      <c r="B2692" s="1" t="s">
        <v>8043</v>
      </c>
      <c r="C2692" s="5">
        <f>CONCATENATE("PD", TEXT(A2692, "1000000"))</f>
      </c>
      <c r="D2692" s="7">
        <v>73</v>
      </c>
      <c r="E2692" s="5">
        <f>XLOOKUP(G2692, item_category!C:C, item_category!B:B, "Not Found")</f>
      </c>
      <c r="F2692" s="1" t="s">
        <v>7945</v>
      </c>
      <c r="G2692" s="5">
        <f>XLOOKUP(I2692, drug!B:B, drug!A:A, "Not Found")</f>
      </c>
      <c r="H2692" s="1" t="s">
        <v>1942</v>
      </c>
      <c r="I2692" s="7">
        <v>1</v>
      </c>
      <c r="J2692" s="5">
        <f>XLOOKUP(L2692, uom!C:C, uom!B:B, "Not Found")</f>
      </c>
      <c r="K2692" s="1" t="s">
        <v>5511</v>
      </c>
      <c r="L2692" s="5">
        <f>XLOOKUP(N2692, uom!C:C, uom!B:B, "Not Found")</f>
      </c>
      <c r="M2692" s="1" t="s">
        <v>5511</v>
      </c>
      <c r="N2692" s="8" t="s">
        <v>5512</v>
      </c>
      <c r="O2692" s="1" t="s">
        <v>5513</v>
      </c>
      <c r="P2692" s="5">
        <f>XLOOKUP(R2692, classification!C:C, classification!B:B, "Not Found")</f>
      </c>
      <c r="Q2692" s="1" t="s">
        <v>5514</v>
      </c>
      <c r="R2692" s="2"/>
      <c r="S2692" s="2"/>
      <c r="T2692" s="2"/>
      <c r="U2692" s="2"/>
    </row>
    <row x14ac:dyDescent="0.25" r="2693" customHeight="1" ht="17.25">
      <c r="A2693" s="7">
        <v>2692</v>
      </c>
      <c r="B2693" s="1" t="s">
        <v>8044</v>
      </c>
      <c r="C2693" s="5">
        <f>CONCATENATE("PD", TEXT(A2693, "1000000"))</f>
      </c>
      <c r="D2693" s="7">
        <v>73</v>
      </c>
      <c r="E2693" s="5">
        <f>XLOOKUP(G2693, item_category!C:C, item_category!B:B, "Not Found")</f>
      </c>
      <c r="F2693" s="1" t="s">
        <v>7945</v>
      </c>
      <c r="G2693" s="5">
        <f>XLOOKUP(I2693, drug!B:B, drug!A:A, "Not Found")</f>
      </c>
      <c r="H2693" s="1" t="s">
        <v>1552</v>
      </c>
      <c r="I2693" s="7">
        <v>1</v>
      </c>
      <c r="J2693" s="5">
        <f>XLOOKUP(L2693, uom!C:C, uom!B:B, "Not Found")</f>
      </c>
      <c r="K2693" s="1" t="s">
        <v>5511</v>
      </c>
      <c r="L2693" s="5">
        <f>XLOOKUP(N2693, uom!C:C, uom!B:B, "Not Found")</f>
      </c>
      <c r="M2693" s="1" t="s">
        <v>5511</v>
      </c>
      <c r="N2693" s="8" t="s">
        <v>5512</v>
      </c>
      <c r="O2693" s="1" t="s">
        <v>5513</v>
      </c>
      <c r="P2693" s="5">
        <f>XLOOKUP(R2693, classification!C:C, classification!B:B, "Not Found")</f>
      </c>
      <c r="Q2693" s="1" t="s">
        <v>5514</v>
      </c>
      <c r="R2693" s="2"/>
      <c r="S2693" s="2"/>
      <c r="T2693" s="2"/>
      <c r="U2693" s="2"/>
    </row>
    <row x14ac:dyDescent="0.25" r="2694" customHeight="1" ht="17.25">
      <c r="A2694" s="7">
        <v>2693</v>
      </c>
      <c r="B2694" s="1" t="s">
        <v>8045</v>
      </c>
      <c r="C2694" s="5">
        <f>CONCATENATE("PD", TEXT(A2694, "1000000"))</f>
      </c>
      <c r="D2694" s="7">
        <v>73</v>
      </c>
      <c r="E2694" s="5">
        <f>XLOOKUP(G2694, item_category!C:C, item_category!B:B, "Not Found")</f>
      </c>
      <c r="F2694" s="1" t="s">
        <v>7945</v>
      </c>
      <c r="G2694" s="5">
        <f>XLOOKUP(I2694, drug!B:B, drug!A:A, "Not Found")</f>
      </c>
      <c r="H2694" s="1"/>
      <c r="I2694" s="7">
        <v>1</v>
      </c>
      <c r="J2694" s="5">
        <f>XLOOKUP(L2694, uom!C:C, uom!B:B, "Not Found")</f>
      </c>
      <c r="K2694" s="1" t="s">
        <v>5511</v>
      </c>
      <c r="L2694" s="5">
        <f>XLOOKUP(N2694, uom!C:C, uom!B:B, "Not Found")</f>
      </c>
      <c r="M2694" s="1" t="s">
        <v>5511</v>
      </c>
      <c r="N2694" s="8" t="s">
        <v>5512</v>
      </c>
      <c r="O2694" s="1" t="s">
        <v>5513</v>
      </c>
      <c r="P2694" s="5">
        <f>XLOOKUP(R2694, classification!C:C, classification!B:B, "Not Found")</f>
      </c>
      <c r="Q2694" s="1" t="s">
        <v>5514</v>
      </c>
      <c r="R2694" s="2"/>
      <c r="S2694" s="2"/>
      <c r="T2694" s="2"/>
      <c r="U2694" s="2"/>
    </row>
    <row x14ac:dyDescent="0.25" r="2695" customHeight="1" ht="17.25">
      <c r="A2695" s="7">
        <v>2694</v>
      </c>
      <c r="B2695" s="1" t="s">
        <v>8046</v>
      </c>
      <c r="C2695" s="5">
        <f>CONCATENATE("PD", TEXT(A2695, "1000000"))</f>
      </c>
      <c r="D2695" s="7">
        <v>73</v>
      </c>
      <c r="E2695" s="5">
        <f>XLOOKUP(G2695, item_category!C:C, item_category!B:B, "Not Found")</f>
      </c>
      <c r="F2695" s="1" t="s">
        <v>7945</v>
      </c>
      <c r="G2695" s="5">
        <f>XLOOKUP(I2695, drug!B:B, drug!A:A, "Not Found")</f>
      </c>
      <c r="H2695" s="1"/>
      <c r="I2695" s="7">
        <v>1</v>
      </c>
      <c r="J2695" s="5">
        <f>XLOOKUP(L2695, uom!C:C, uom!B:B, "Not Found")</f>
      </c>
      <c r="K2695" s="1" t="s">
        <v>5511</v>
      </c>
      <c r="L2695" s="5">
        <f>XLOOKUP(N2695, uom!C:C, uom!B:B, "Not Found")</f>
      </c>
      <c r="M2695" s="1" t="s">
        <v>5511</v>
      </c>
      <c r="N2695" s="8" t="s">
        <v>5512</v>
      </c>
      <c r="O2695" s="1" t="s">
        <v>5513</v>
      </c>
      <c r="P2695" s="5">
        <f>XLOOKUP(R2695, classification!C:C, classification!B:B, "Not Found")</f>
      </c>
      <c r="Q2695" s="1" t="s">
        <v>5514</v>
      </c>
      <c r="R2695" s="2"/>
      <c r="S2695" s="2"/>
      <c r="T2695" s="2"/>
      <c r="U2695" s="2"/>
    </row>
    <row x14ac:dyDescent="0.25" r="2696" customHeight="1" ht="17.25">
      <c r="A2696" s="7">
        <v>2695</v>
      </c>
      <c r="B2696" s="1" t="s">
        <v>8047</v>
      </c>
      <c r="C2696" s="5">
        <f>CONCATENATE("PD", TEXT(A2696, "1000000"))</f>
      </c>
      <c r="D2696" s="7">
        <v>73</v>
      </c>
      <c r="E2696" s="5">
        <f>XLOOKUP(G2696, item_category!C:C, item_category!B:B, "Not Found")</f>
      </c>
      <c r="F2696" s="1" t="s">
        <v>7945</v>
      </c>
      <c r="G2696" s="5">
        <f>XLOOKUP(I2696, drug!B:B, drug!A:A, "Not Found")</f>
      </c>
      <c r="H2696" s="1"/>
      <c r="I2696" s="7">
        <v>1</v>
      </c>
      <c r="J2696" s="5">
        <f>XLOOKUP(L2696, uom!C:C, uom!B:B, "Not Found")</f>
      </c>
      <c r="K2696" s="1" t="s">
        <v>5511</v>
      </c>
      <c r="L2696" s="5">
        <f>XLOOKUP(N2696, uom!C:C, uom!B:B, "Not Found")</f>
      </c>
      <c r="M2696" s="1" t="s">
        <v>5511</v>
      </c>
      <c r="N2696" s="8" t="s">
        <v>5512</v>
      </c>
      <c r="O2696" s="1" t="s">
        <v>5513</v>
      </c>
      <c r="P2696" s="5">
        <f>XLOOKUP(R2696, classification!C:C, classification!B:B, "Not Found")</f>
      </c>
      <c r="Q2696" s="1" t="s">
        <v>5514</v>
      </c>
      <c r="R2696" s="2"/>
      <c r="S2696" s="2"/>
      <c r="T2696" s="2"/>
      <c r="U2696" s="2"/>
    </row>
    <row x14ac:dyDescent="0.25" r="2697" customHeight="1" ht="17.25">
      <c r="A2697" s="7">
        <v>2696</v>
      </c>
      <c r="B2697" s="1" t="s">
        <v>8048</v>
      </c>
      <c r="C2697" s="5">
        <f>CONCATENATE("PD", TEXT(A2697, "1000000"))</f>
      </c>
      <c r="D2697" s="7">
        <v>73</v>
      </c>
      <c r="E2697" s="5">
        <f>XLOOKUP(G2697, item_category!C:C, item_category!B:B, "Not Found")</f>
      </c>
      <c r="F2697" s="1" t="s">
        <v>7945</v>
      </c>
      <c r="G2697" s="5">
        <f>XLOOKUP(I2697, drug!B:B, drug!A:A, "Not Found")</f>
      </c>
      <c r="H2697" s="1"/>
      <c r="I2697" s="7">
        <v>1</v>
      </c>
      <c r="J2697" s="5">
        <f>XLOOKUP(L2697, uom!C:C, uom!B:B, "Not Found")</f>
      </c>
      <c r="K2697" s="1" t="s">
        <v>5511</v>
      </c>
      <c r="L2697" s="5">
        <f>XLOOKUP(N2697, uom!C:C, uom!B:B, "Not Found")</f>
      </c>
      <c r="M2697" s="1" t="s">
        <v>5511</v>
      </c>
      <c r="N2697" s="8" t="s">
        <v>5512</v>
      </c>
      <c r="O2697" s="1" t="s">
        <v>5513</v>
      </c>
      <c r="P2697" s="5">
        <f>XLOOKUP(R2697, classification!C:C, classification!B:B, "Not Found")</f>
      </c>
      <c r="Q2697" s="1" t="s">
        <v>5514</v>
      </c>
      <c r="R2697" s="2"/>
      <c r="S2697" s="2"/>
      <c r="T2697" s="2"/>
      <c r="U2697" s="2"/>
    </row>
    <row x14ac:dyDescent="0.25" r="2698" customHeight="1" ht="17.25">
      <c r="A2698" s="7">
        <v>2697</v>
      </c>
      <c r="B2698" s="1" t="s">
        <v>8049</v>
      </c>
      <c r="C2698" s="5">
        <f>CONCATENATE("PD", TEXT(A2698, "1000000"))</f>
      </c>
      <c r="D2698" s="7">
        <v>73</v>
      </c>
      <c r="E2698" s="5">
        <f>XLOOKUP(G2698, item_category!C:C, item_category!B:B, "Not Found")</f>
      </c>
      <c r="F2698" s="1" t="s">
        <v>7945</v>
      </c>
      <c r="G2698" s="5">
        <f>XLOOKUP(I2698, drug!B:B, drug!A:A, "Not Found")</f>
      </c>
      <c r="H2698" s="1"/>
      <c r="I2698" s="7">
        <v>1</v>
      </c>
      <c r="J2698" s="5">
        <f>XLOOKUP(L2698, uom!C:C, uom!B:B, "Not Found")</f>
      </c>
      <c r="K2698" s="1" t="s">
        <v>5511</v>
      </c>
      <c r="L2698" s="5">
        <f>XLOOKUP(N2698, uom!C:C, uom!B:B, "Not Found")</f>
      </c>
      <c r="M2698" s="1" t="s">
        <v>5511</v>
      </c>
      <c r="N2698" s="8" t="s">
        <v>5512</v>
      </c>
      <c r="O2698" s="1" t="s">
        <v>5513</v>
      </c>
      <c r="P2698" s="5">
        <f>XLOOKUP(R2698, classification!C:C, classification!B:B, "Not Found")</f>
      </c>
      <c r="Q2698" s="1" t="s">
        <v>5514</v>
      </c>
      <c r="R2698" s="2"/>
      <c r="S2698" s="2"/>
      <c r="T2698" s="2"/>
      <c r="U2698" s="2"/>
    </row>
    <row x14ac:dyDescent="0.25" r="2699" customHeight="1" ht="17.25">
      <c r="A2699" s="7">
        <v>2698</v>
      </c>
      <c r="B2699" s="1" t="s">
        <v>8050</v>
      </c>
      <c r="C2699" s="5">
        <f>CONCATENATE("PD", TEXT(A2699, "1000000"))</f>
      </c>
      <c r="D2699" s="7">
        <v>73</v>
      </c>
      <c r="E2699" s="5">
        <f>XLOOKUP(G2699, item_category!C:C, item_category!B:B, "Not Found")</f>
      </c>
      <c r="F2699" s="1" t="s">
        <v>7945</v>
      </c>
      <c r="G2699" s="5">
        <f>XLOOKUP(I2699, drug!B:B, drug!A:A, "Not Found")</f>
      </c>
      <c r="H2699" s="1" t="s">
        <v>1942</v>
      </c>
      <c r="I2699" s="7">
        <v>1</v>
      </c>
      <c r="J2699" s="5">
        <f>XLOOKUP(L2699, uom!C:C, uom!B:B, "Not Found")</f>
      </c>
      <c r="K2699" s="1" t="s">
        <v>5511</v>
      </c>
      <c r="L2699" s="5">
        <f>XLOOKUP(N2699, uom!C:C, uom!B:B, "Not Found")</f>
      </c>
      <c r="M2699" s="1" t="s">
        <v>5511</v>
      </c>
      <c r="N2699" s="8" t="s">
        <v>5512</v>
      </c>
      <c r="O2699" s="1" t="s">
        <v>5513</v>
      </c>
      <c r="P2699" s="5">
        <f>XLOOKUP(R2699, classification!C:C, classification!B:B, "Not Found")</f>
      </c>
      <c r="Q2699" s="1" t="s">
        <v>5514</v>
      </c>
      <c r="R2699" s="2"/>
      <c r="S2699" s="2"/>
      <c r="T2699" s="2"/>
      <c r="U2699" s="2"/>
    </row>
    <row x14ac:dyDescent="0.25" r="2700" customHeight="1" ht="17.25">
      <c r="A2700" s="7">
        <v>2699</v>
      </c>
      <c r="B2700" s="1" t="s">
        <v>8051</v>
      </c>
      <c r="C2700" s="5">
        <f>CONCATENATE("PD", TEXT(A2700, "1000000"))</f>
      </c>
      <c r="D2700" s="7">
        <v>73</v>
      </c>
      <c r="E2700" s="5">
        <f>XLOOKUP(G2700, item_category!C:C, item_category!B:B, "Not Found")</f>
      </c>
      <c r="F2700" s="1" t="s">
        <v>7945</v>
      </c>
      <c r="G2700" s="5">
        <f>XLOOKUP(I2700, drug!B:B, drug!A:A, "Not Found")</f>
      </c>
      <c r="H2700" s="1"/>
      <c r="I2700" s="7">
        <v>1</v>
      </c>
      <c r="J2700" s="5">
        <f>XLOOKUP(L2700, uom!C:C, uom!B:B, "Not Found")</f>
      </c>
      <c r="K2700" s="1" t="s">
        <v>5511</v>
      </c>
      <c r="L2700" s="5">
        <f>XLOOKUP(N2700, uom!C:C, uom!B:B, "Not Found")</f>
      </c>
      <c r="M2700" s="1" t="s">
        <v>5511</v>
      </c>
      <c r="N2700" s="8" t="s">
        <v>5512</v>
      </c>
      <c r="O2700" s="1" t="s">
        <v>5513</v>
      </c>
      <c r="P2700" s="5">
        <f>XLOOKUP(R2700, classification!C:C, classification!B:B, "Not Found")</f>
      </c>
      <c r="Q2700" s="1" t="s">
        <v>5514</v>
      </c>
      <c r="R2700" s="2"/>
      <c r="S2700" s="2"/>
      <c r="T2700" s="2"/>
      <c r="U2700" s="2"/>
    </row>
    <row x14ac:dyDescent="0.25" r="2701" customHeight="1" ht="17.25">
      <c r="A2701" s="7">
        <v>2700</v>
      </c>
      <c r="B2701" s="1" t="s">
        <v>8052</v>
      </c>
      <c r="C2701" s="5">
        <f>CONCATENATE("PD", TEXT(A2701, "1000000"))</f>
      </c>
      <c r="D2701" s="7">
        <v>73</v>
      </c>
      <c r="E2701" s="5">
        <f>XLOOKUP(G2701, item_category!C:C, item_category!B:B, "Not Found")</f>
      </c>
      <c r="F2701" s="1" t="s">
        <v>7945</v>
      </c>
      <c r="G2701" s="5">
        <f>XLOOKUP(I2701, drug!B:B, drug!A:A, "Not Found")</f>
      </c>
      <c r="H2701" s="1"/>
      <c r="I2701" s="7">
        <v>1</v>
      </c>
      <c r="J2701" s="5">
        <f>XLOOKUP(L2701, uom!C:C, uom!B:B, "Not Found")</f>
      </c>
      <c r="K2701" s="1" t="s">
        <v>5511</v>
      </c>
      <c r="L2701" s="5">
        <f>XLOOKUP(N2701, uom!C:C, uom!B:B, "Not Found")</f>
      </c>
      <c r="M2701" s="1" t="s">
        <v>5511</v>
      </c>
      <c r="N2701" s="8" t="s">
        <v>5512</v>
      </c>
      <c r="O2701" s="1" t="s">
        <v>5513</v>
      </c>
      <c r="P2701" s="5">
        <f>XLOOKUP(R2701, classification!C:C, classification!B:B, "Not Found")</f>
      </c>
      <c r="Q2701" s="1" t="s">
        <v>5514</v>
      </c>
      <c r="R2701" s="2"/>
      <c r="S2701" s="2"/>
      <c r="T2701" s="2"/>
      <c r="U2701" s="2"/>
    </row>
    <row x14ac:dyDescent="0.25" r="2702" customHeight="1" ht="17.25">
      <c r="A2702" s="7">
        <v>2701</v>
      </c>
      <c r="B2702" s="1" t="s">
        <v>8053</v>
      </c>
      <c r="C2702" s="5">
        <f>CONCATENATE("PD", TEXT(A2702, "1000000"))</f>
      </c>
      <c r="D2702" s="7">
        <v>73</v>
      </c>
      <c r="E2702" s="5">
        <f>XLOOKUP(G2702, item_category!C:C, item_category!B:B, "Not Found")</f>
      </c>
      <c r="F2702" s="1" t="s">
        <v>7945</v>
      </c>
      <c r="G2702" s="5">
        <f>XLOOKUP(I2702, drug!B:B, drug!A:A, "Not Found")</f>
      </c>
      <c r="H2702" s="1"/>
      <c r="I2702" s="7">
        <v>1</v>
      </c>
      <c r="J2702" s="5">
        <f>XLOOKUP(L2702, uom!C:C, uom!B:B, "Not Found")</f>
      </c>
      <c r="K2702" s="1" t="s">
        <v>5511</v>
      </c>
      <c r="L2702" s="5">
        <f>XLOOKUP(N2702, uom!C:C, uom!B:B, "Not Found")</f>
      </c>
      <c r="M2702" s="1" t="s">
        <v>5511</v>
      </c>
      <c r="N2702" s="8" t="s">
        <v>5512</v>
      </c>
      <c r="O2702" s="1" t="s">
        <v>5513</v>
      </c>
      <c r="P2702" s="5">
        <f>XLOOKUP(R2702, classification!C:C, classification!B:B, "Not Found")</f>
      </c>
      <c r="Q2702" s="1" t="s">
        <v>5514</v>
      </c>
      <c r="R2702" s="2"/>
      <c r="S2702" s="2"/>
      <c r="T2702" s="2"/>
      <c r="U2702" s="2"/>
    </row>
    <row x14ac:dyDescent="0.25" r="2703" customHeight="1" ht="17.25">
      <c r="A2703" s="7">
        <v>2702</v>
      </c>
      <c r="B2703" s="1" t="s">
        <v>8054</v>
      </c>
      <c r="C2703" s="5">
        <f>CONCATENATE("PD", TEXT(A2703, "1000000"))</f>
      </c>
      <c r="D2703" s="7">
        <v>73</v>
      </c>
      <c r="E2703" s="5">
        <f>XLOOKUP(G2703, item_category!C:C, item_category!B:B, "Not Found")</f>
      </c>
      <c r="F2703" s="1" t="s">
        <v>7945</v>
      </c>
      <c r="G2703" s="5">
        <f>XLOOKUP(I2703, drug!B:B, drug!A:A, "Not Found")</f>
      </c>
      <c r="H2703" s="1"/>
      <c r="I2703" s="7">
        <v>1</v>
      </c>
      <c r="J2703" s="5">
        <f>XLOOKUP(L2703, uom!C:C, uom!B:B, "Not Found")</f>
      </c>
      <c r="K2703" s="1" t="s">
        <v>5511</v>
      </c>
      <c r="L2703" s="5">
        <f>XLOOKUP(N2703, uom!C:C, uom!B:B, "Not Found")</f>
      </c>
      <c r="M2703" s="1" t="s">
        <v>5511</v>
      </c>
      <c r="N2703" s="8" t="s">
        <v>5512</v>
      </c>
      <c r="O2703" s="1" t="s">
        <v>5513</v>
      </c>
      <c r="P2703" s="5">
        <f>XLOOKUP(R2703, classification!C:C, classification!B:B, "Not Found")</f>
      </c>
      <c r="Q2703" s="1" t="s">
        <v>5514</v>
      </c>
      <c r="R2703" s="2"/>
      <c r="S2703" s="2"/>
      <c r="T2703" s="2"/>
      <c r="U2703" s="2"/>
    </row>
    <row x14ac:dyDescent="0.25" r="2704" customHeight="1" ht="17.25">
      <c r="A2704" s="7">
        <v>2703</v>
      </c>
      <c r="B2704" s="1" t="s">
        <v>8055</v>
      </c>
      <c r="C2704" s="5">
        <f>CONCATENATE("PD", TEXT(A2704, "1000000"))</f>
      </c>
      <c r="D2704" s="7">
        <v>73</v>
      </c>
      <c r="E2704" s="5">
        <f>XLOOKUP(G2704, item_category!C:C, item_category!B:B, "Not Found")</f>
      </c>
      <c r="F2704" s="1" t="s">
        <v>7945</v>
      </c>
      <c r="G2704" s="5">
        <f>XLOOKUP(I2704, drug!B:B, drug!A:A, "Not Found")</f>
      </c>
      <c r="H2704" s="1"/>
      <c r="I2704" s="7">
        <v>1</v>
      </c>
      <c r="J2704" s="5">
        <f>XLOOKUP(L2704, uom!C:C, uom!B:B, "Not Found")</f>
      </c>
      <c r="K2704" s="1" t="s">
        <v>5511</v>
      </c>
      <c r="L2704" s="5">
        <f>XLOOKUP(N2704, uom!C:C, uom!B:B, "Not Found")</f>
      </c>
      <c r="M2704" s="1" t="s">
        <v>5511</v>
      </c>
      <c r="N2704" s="8" t="s">
        <v>5512</v>
      </c>
      <c r="O2704" s="1" t="s">
        <v>5513</v>
      </c>
      <c r="P2704" s="5">
        <f>XLOOKUP(R2704, classification!C:C, classification!B:B, "Not Found")</f>
      </c>
      <c r="Q2704" s="1" t="s">
        <v>5514</v>
      </c>
      <c r="R2704" s="2"/>
      <c r="S2704" s="2"/>
      <c r="T2704" s="2"/>
      <c r="U2704" s="2"/>
    </row>
    <row x14ac:dyDescent="0.25" r="2705" customHeight="1" ht="17.25">
      <c r="A2705" s="7">
        <v>2704</v>
      </c>
      <c r="B2705" s="1" t="s">
        <v>8056</v>
      </c>
      <c r="C2705" s="5">
        <f>CONCATENATE("PD", TEXT(A2705, "1000000"))</f>
      </c>
      <c r="D2705" s="7">
        <v>73</v>
      </c>
      <c r="E2705" s="5">
        <f>XLOOKUP(G2705, item_category!C:C, item_category!B:B, "Not Found")</f>
      </c>
      <c r="F2705" s="1" t="s">
        <v>7945</v>
      </c>
      <c r="G2705" s="5">
        <f>XLOOKUP(I2705, drug!B:B, drug!A:A, "Not Found")</f>
      </c>
      <c r="H2705" s="1" t="s">
        <v>1942</v>
      </c>
      <c r="I2705" s="7">
        <v>1</v>
      </c>
      <c r="J2705" s="5">
        <f>XLOOKUP(L2705, uom!C:C, uom!B:B, "Not Found")</f>
      </c>
      <c r="K2705" s="1" t="s">
        <v>5511</v>
      </c>
      <c r="L2705" s="5">
        <f>XLOOKUP(N2705, uom!C:C, uom!B:B, "Not Found")</f>
      </c>
      <c r="M2705" s="1" t="s">
        <v>5511</v>
      </c>
      <c r="N2705" s="8" t="s">
        <v>5512</v>
      </c>
      <c r="O2705" s="1" t="s">
        <v>5513</v>
      </c>
      <c r="P2705" s="5">
        <f>XLOOKUP(R2705, classification!C:C, classification!B:B, "Not Found")</f>
      </c>
      <c r="Q2705" s="1" t="s">
        <v>5514</v>
      </c>
      <c r="R2705" s="2"/>
      <c r="S2705" s="2"/>
      <c r="T2705" s="2"/>
      <c r="U2705" s="2"/>
    </row>
    <row x14ac:dyDescent="0.25" r="2706" customHeight="1" ht="17.25">
      <c r="A2706" s="7">
        <v>2705</v>
      </c>
      <c r="B2706" s="1" t="s">
        <v>6106</v>
      </c>
      <c r="C2706" s="5">
        <f>CONCATENATE("PD", TEXT(A2706, "1000000"))</f>
      </c>
      <c r="D2706" s="7">
        <v>73</v>
      </c>
      <c r="E2706" s="5">
        <f>XLOOKUP(G2706, item_category!C:C, item_category!B:B, "Not Found")</f>
      </c>
      <c r="F2706" s="1" t="s">
        <v>7945</v>
      </c>
      <c r="G2706" s="5">
        <f>XLOOKUP(I2706, drug!B:B, drug!A:A, "Not Found")</f>
      </c>
      <c r="H2706" s="1" t="s">
        <v>2068</v>
      </c>
      <c r="I2706" s="7">
        <v>1</v>
      </c>
      <c r="J2706" s="5">
        <f>XLOOKUP(L2706, uom!C:C, uom!B:B, "Not Found")</f>
      </c>
      <c r="K2706" s="1" t="s">
        <v>5511</v>
      </c>
      <c r="L2706" s="5">
        <f>XLOOKUP(N2706, uom!C:C, uom!B:B, "Not Found")</f>
      </c>
      <c r="M2706" s="1" t="s">
        <v>5511</v>
      </c>
      <c r="N2706" s="8" t="s">
        <v>5512</v>
      </c>
      <c r="O2706" s="1" t="s">
        <v>5513</v>
      </c>
      <c r="P2706" s="5">
        <f>XLOOKUP(R2706, classification!C:C, classification!B:B, "Not Found")</f>
      </c>
      <c r="Q2706" s="1" t="s">
        <v>5514</v>
      </c>
      <c r="R2706" s="2"/>
      <c r="S2706" s="2"/>
      <c r="T2706" s="2"/>
      <c r="U2706" s="2"/>
    </row>
    <row x14ac:dyDescent="0.25" r="2707" customHeight="1" ht="17.25">
      <c r="A2707" s="7">
        <v>2706</v>
      </c>
      <c r="B2707" s="1" t="s">
        <v>8057</v>
      </c>
      <c r="C2707" s="5">
        <f>CONCATENATE("PD", TEXT(A2707, "1000000"))</f>
      </c>
      <c r="D2707" s="7">
        <v>78</v>
      </c>
      <c r="E2707" s="5">
        <f>XLOOKUP(G2707, item_category!C:C, item_category!B:B, "Not Found")</f>
      </c>
      <c r="F2707" s="1" t="s">
        <v>5522</v>
      </c>
      <c r="G2707" s="5">
        <f>XLOOKUP(I2707, drug!B:B, drug!A:A, "Not Found")</f>
      </c>
      <c r="H2707" s="1"/>
      <c r="I2707" s="7">
        <v>1</v>
      </c>
      <c r="J2707" s="5">
        <f>XLOOKUP(L2707, uom!C:C, uom!B:B, "Not Found")</f>
      </c>
      <c r="K2707" s="1" t="s">
        <v>5511</v>
      </c>
      <c r="L2707" s="5">
        <f>XLOOKUP(N2707, uom!C:C, uom!B:B, "Not Found")</f>
      </c>
      <c r="M2707" s="1" t="s">
        <v>5511</v>
      </c>
      <c r="N2707" s="8" t="s">
        <v>5512</v>
      </c>
      <c r="O2707" s="1" t="s">
        <v>5513</v>
      </c>
      <c r="P2707" s="5">
        <f>XLOOKUP(R2707, classification!C:C, classification!B:B, "Not Found")</f>
      </c>
      <c r="Q2707" s="1" t="s">
        <v>5514</v>
      </c>
      <c r="R2707" s="2"/>
      <c r="S2707" s="2"/>
      <c r="T2707" s="2"/>
      <c r="U2707" s="2"/>
    </row>
    <row x14ac:dyDescent="0.25" r="2708" customHeight="1" ht="17.25">
      <c r="A2708" s="7">
        <v>2707</v>
      </c>
      <c r="B2708" s="1" t="s">
        <v>8058</v>
      </c>
      <c r="C2708" s="5">
        <f>CONCATENATE("PD", TEXT(A2708, "1000000"))</f>
      </c>
      <c r="D2708" s="7">
        <v>73</v>
      </c>
      <c r="E2708" s="5">
        <f>XLOOKUP(G2708, item_category!C:C, item_category!B:B, "Not Found")</f>
      </c>
      <c r="F2708" s="1" t="s">
        <v>7945</v>
      </c>
      <c r="G2708" s="5">
        <f>XLOOKUP(I2708, drug!B:B, drug!A:A, "Not Found")</f>
      </c>
      <c r="H2708" s="1"/>
      <c r="I2708" s="7">
        <v>850</v>
      </c>
      <c r="J2708" s="5">
        <f>XLOOKUP(L2708, uom!C:C, uom!B:B, "Not Found")</f>
      </c>
      <c r="K2708" s="1" t="s">
        <v>5511</v>
      </c>
      <c r="L2708" s="5">
        <f>XLOOKUP(N2708, uom!C:C, uom!B:B, "Not Found")</f>
      </c>
      <c r="M2708" s="1" t="s">
        <v>5511</v>
      </c>
      <c r="N2708" s="8" t="s">
        <v>5524</v>
      </c>
      <c r="O2708" s="1" t="s">
        <v>5525</v>
      </c>
      <c r="P2708" s="5">
        <f>XLOOKUP(R2708, classification!C:C, classification!B:B, "Not Found")</f>
      </c>
      <c r="Q2708" s="1" t="s">
        <v>5514</v>
      </c>
      <c r="R2708" s="2"/>
      <c r="S2708" s="2"/>
      <c r="T2708" s="2"/>
      <c r="U2708" s="2"/>
    </row>
    <row x14ac:dyDescent="0.25" r="2709" customHeight="1" ht="17.25">
      <c r="A2709" s="7">
        <v>2708</v>
      </c>
      <c r="B2709" s="1" t="s">
        <v>8059</v>
      </c>
      <c r="C2709" s="5">
        <f>CONCATENATE("PD", TEXT(A2709, "1000000"))</f>
      </c>
      <c r="D2709" s="7">
        <v>73</v>
      </c>
      <c r="E2709" s="5">
        <f>XLOOKUP(G2709, item_category!C:C, item_category!B:B, "Not Found")</f>
      </c>
      <c r="F2709" s="1" t="s">
        <v>7945</v>
      </c>
      <c r="G2709" s="5">
        <f>XLOOKUP(I2709, drug!B:B, drug!A:A, "Not Found")</f>
      </c>
      <c r="H2709" s="1" t="s">
        <v>1942</v>
      </c>
      <c r="I2709" s="7">
        <v>1</v>
      </c>
      <c r="J2709" s="5">
        <f>XLOOKUP(L2709, uom!C:C, uom!B:B, "Not Found")</f>
      </c>
      <c r="K2709" s="1" t="s">
        <v>5511</v>
      </c>
      <c r="L2709" s="5">
        <f>XLOOKUP(N2709, uom!C:C, uom!B:B, "Not Found")</f>
      </c>
      <c r="M2709" s="1" t="s">
        <v>5511</v>
      </c>
      <c r="N2709" s="8" t="s">
        <v>5512</v>
      </c>
      <c r="O2709" s="1" t="s">
        <v>5513</v>
      </c>
      <c r="P2709" s="5">
        <f>XLOOKUP(R2709, classification!C:C, classification!B:B, "Not Found")</f>
      </c>
      <c r="Q2709" s="1" t="s">
        <v>5514</v>
      </c>
      <c r="R2709" s="2"/>
      <c r="S2709" s="2"/>
      <c r="T2709" s="2"/>
      <c r="U2709" s="2"/>
    </row>
    <row x14ac:dyDescent="0.25" r="2710" customHeight="1" ht="17.25">
      <c r="A2710" s="7">
        <v>2709</v>
      </c>
      <c r="B2710" s="1" t="s">
        <v>8060</v>
      </c>
      <c r="C2710" s="5">
        <f>CONCATENATE("PD", TEXT(A2710, "1000000"))</f>
      </c>
      <c r="D2710" s="7">
        <v>73</v>
      </c>
      <c r="E2710" s="5">
        <f>XLOOKUP(G2710, item_category!C:C, item_category!B:B, "Not Found")</f>
      </c>
      <c r="F2710" s="1" t="s">
        <v>7945</v>
      </c>
      <c r="G2710" s="5">
        <f>XLOOKUP(I2710, drug!B:B, drug!A:A, "Not Found")</f>
      </c>
      <c r="H2710" s="1"/>
      <c r="I2710" s="7">
        <v>1</v>
      </c>
      <c r="J2710" s="5">
        <f>XLOOKUP(L2710, uom!C:C, uom!B:B, "Not Found")</f>
      </c>
      <c r="K2710" s="1" t="s">
        <v>5511</v>
      </c>
      <c r="L2710" s="5">
        <f>XLOOKUP(N2710, uom!C:C, uom!B:B, "Not Found")</f>
      </c>
      <c r="M2710" s="1" t="s">
        <v>5511</v>
      </c>
      <c r="N2710" s="8" t="s">
        <v>5512</v>
      </c>
      <c r="O2710" s="1" t="s">
        <v>5513</v>
      </c>
      <c r="P2710" s="5">
        <f>XLOOKUP(R2710, classification!C:C, classification!B:B, "Not Found")</f>
      </c>
      <c r="Q2710" s="1" t="s">
        <v>5514</v>
      </c>
      <c r="R2710" s="2"/>
      <c r="S2710" s="2"/>
      <c r="T2710" s="2"/>
      <c r="U2710" s="2"/>
    </row>
    <row x14ac:dyDescent="0.25" r="2711" customHeight="1" ht="17.25">
      <c r="A2711" s="7">
        <v>2710</v>
      </c>
      <c r="B2711" s="1" t="s">
        <v>8061</v>
      </c>
      <c r="C2711" s="5">
        <f>CONCATENATE("PD", TEXT(A2711, "1000000"))</f>
      </c>
      <c r="D2711" s="7">
        <v>73</v>
      </c>
      <c r="E2711" s="5">
        <f>XLOOKUP(G2711, item_category!C:C, item_category!B:B, "Not Found")</f>
      </c>
      <c r="F2711" s="1" t="s">
        <v>7945</v>
      </c>
      <c r="G2711" s="5">
        <f>XLOOKUP(I2711, drug!B:B, drug!A:A, "Not Found")</f>
      </c>
      <c r="H2711" s="1"/>
      <c r="I2711" s="7">
        <v>25</v>
      </c>
      <c r="J2711" s="5">
        <f>XLOOKUP(L2711, uom!C:C, uom!B:B, "Not Found")</f>
      </c>
      <c r="K2711" s="1" t="s">
        <v>7989</v>
      </c>
      <c r="L2711" s="5">
        <f>XLOOKUP(N2711, uom!C:C, uom!B:B, "Not Found")</f>
      </c>
      <c r="M2711" s="1" t="s">
        <v>7989</v>
      </c>
      <c r="N2711" s="8" t="s">
        <v>5524</v>
      </c>
      <c r="O2711" s="1" t="s">
        <v>5525</v>
      </c>
      <c r="P2711" s="5">
        <f>XLOOKUP(R2711, classification!C:C, classification!B:B, "Not Found")</f>
      </c>
      <c r="Q2711" s="1" t="s">
        <v>5514</v>
      </c>
      <c r="R2711" s="2"/>
      <c r="S2711" s="2"/>
      <c r="T2711" s="2"/>
      <c r="U2711" s="2"/>
    </row>
    <row x14ac:dyDescent="0.25" r="2712" customHeight="1" ht="17.25">
      <c r="A2712" s="7">
        <v>2711</v>
      </c>
      <c r="B2712" s="1" t="s">
        <v>8062</v>
      </c>
      <c r="C2712" s="5">
        <f>CONCATENATE("PD", TEXT(A2712, "1000000"))</f>
      </c>
      <c r="D2712" s="7">
        <v>78</v>
      </c>
      <c r="E2712" s="5">
        <f>XLOOKUP(G2712, item_category!C:C, item_category!B:B, "Not Found")</f>
      </c>
      <c r="F2712" s="1" t="s">
        <v>5522</v>
      </c>
      <c r="G2712" s="5">
        <f>XLOOKUP(I2712, drug!B:B, drug!A:A, "Not Found")</f>
      </c>
      <c r="H2712" s="1"/>
      <c r="I2712" s="7">
        <v>1</v>
      </c>
      <c r="J2712" s="5">
        <f>XLOOKUP(L2712, uom!C:C, uom!B:B, "Not Found")</f>
      </c>
      <c r="K2712" s="1" t="s">
        <v>5511</v>
      </c>
      <c r="L2712" s="5">
        <f>XLOOKUP(N2712, uom!C:C, uom!B:B, "Not Found")</f>
      </c>
      <c r="M2712" s="1" t="s">
        <v>5511</v>
      </c>
      <c r="N2712" s="8" t="s">
        <v>5512</v>
      </c>
      <c r="O2712" s="1" t="s">
        <v>5513</v>
      </c>
      <c r="P2712" s="5">
        <f>XLOOKUP(R2712, classification!C:C, classification!B:B, "Not Found")</f>
      </c>
      <c r="Q2712" s="1" t="s">
        <v>5514</v>
      </c>
      <c r="R2712" s="2"/>
      <c r="S2712" s="2"/>
      <c r="T2712" s="2"/>
      <c r="U2712" s="2"/>
    </row>
    <row x14ac:dyDescent="0.25" r="2713" customHeight="1" ht="17.25">
      <c r="A2713" s="7">
        <v>2712</v>
      </c>
      <c r="B2713" s="1" t="s">
        <v>8063</v>
      </c>
      <c r="C2713" s="5">
        <f>CONCATENATE("PD", TEXT(A2713, "1000000"))</f>
      </c>
      <c r="D2713" s="7">
        <v>78</v>
      </c>
      <c r="E2713" s="5">
        <f>XLOOKUP(G2713, item_category!C:C, item_category!B:B, "Not Found")</f>
      </c>
      <c r="F2713" s="1" t="s">
        <v>5522</v>
      </c>
      <c r="G2713" s="5">
        <f>XLOOKUP(I2713, drug!B:B, drug!A:A, "Not Found")</f>
      </c>
      <c r="H2713" s="1"/>
      <c r="I2713" s="7">
        <v>1</v>
      </c>
      <c r="J2713" s="5">
        <f>XLOOKUP(L2713, uom!C:C, uom!B:B, "Not Found")</f>
      </c>
      <c r="K2713" s="1" t="s">
        <v>5511</v>
      </c>
      <c r="L2713" s="5">
        <f>XLOOKUP(N2713, uom!C:C, uom!B:B, "Not Found")</f>
      </c>
      <c r="M2713" s="1" t="s">
        <v>5511</v>
      </c>
      <c r="N2713" s="8" t="s">
        <v>5512</v>
      </c>
      <c r="O2713" s="1" t="s">
        <v>5513</v>
      </c>
      <c r="P2713" s="5">
        <f>XLOOKUP(R2713, classification!C:C, classification!B:B, "Not Found")</f>
      </c>
      <c r="Q2713" s="1" t="s">
        <v>5514</v>
      </c>
      <c r="R2713" s="2"/>
      <c r="S2713" s="2"/>
      <c r="T2713" s="2"/>
      <c r="U2713" s="2"/>
    </row>
    <row x14ac:dyDescent="0.25" r="2714" customHeight="1" ht="17.25">
      <c r="A2714" s="7">
        <v>2713</v>
      </c>
      <c r="B2714" s="1" t="s">
        <v>8064</v>
      </c>
      <c r="C2714" s="5">
        <f>CONCATENATE("PD", TEXT(A2714, "1000000"))</f>
      </c>
      <c r="D2714" s="7">
        <v>78</v>
      </c>
      <c r="E2714" s="5">
        <f>XLOOKUP(G2714, item_category!C:C, item_category!B:B, "Not Found")</f>
      </c>
      <c r="F2714" s="1" t="s">
        <v>5522</v>
      </c>
      <c r="G2714" s="5">
        <f>XLOOKUP(I2714, drug!B:B, drug!A:A, "Not Found")</f>
      </c>
      <c r="H2714" s="1"/>
      <c r="I2714" s="7">
        <v>1</v>
      </c>
      <c r="J2714" s="5">
        <f>XLOOKUP(L2714, uom!C:C, uom!B:B, "Not Found")</f>
      </c>
      <c r="K2714" s="1" t="s">
        <v>5511</v>
      </c>
      <c r="L2714" s="5">
        <f>XLOOKUP(N2714, uom!C:C, uom!B:B, "Not Found")</f>
      </c>
      <c r="M2714" s="1" t="s">
        <v>5511</v>
      </c>
      <c r="N2714" s="8" t="s">
        <v>5512</v>
      </c>
      <c r="O2714" s="1" t="s">
        <v>5513</v>
      </c>
      <c r="P2714" s="5">
        <f>XLOOKUP(R2714, classification!C:C, classification!B:B, "Not Found")</f>
      </c>
      <c r="Q2714" s="1" t="s">
        <v>5514</v>
      </c>
      <c r="R2714" s="2"/>
      <c r="S2714" s="2"/>
      <c r="T2714" s="2"/>
      <c r="U2714" s="2"/>
    </row>
    <row x14ac:dyDescent="0.25" r="2715" customHeight="1" ht="17.25">
      <c r="A2715" s="7">
        <v>2714</v>
      </c>
      <c r="B2715" s="1" t="s">
        <v>8065</v>
      </c>
      <c r="C2715" s="5">
        <f>CONCATENATE("PD", TEXT(A2715, "1000000"))</f>
      </c>
      <c r="D2715" s="7">
        <v>78</v>
      </c>
      <c r="E2715" s="5">
        <f>XLOOKUP(G2715, item_category!C:C, item_category!B:B, "Not Found")</f>
      </c>
      <c r="F2715" s="1" t="s">
        <v>5522</v>
      </c>
      <c r="G2715" s="5">
        <f>XLOOKUP(I2715, drug!B:B, drug!A:A, "Not Found")</f>
      </c>
      <c r="H2715" s="1"/>
      <c r="I2715" s="7">
        <v>1</v>
      </c>
      <c r="J2715" s="5">
        <f>XLOOKUP(L2715, uom!C:C, uom!B:B, "Not Found")</f>
      </c>
      <c r="K2715" s="1" t="s">
        <v>5511</v>
      </c>
      <c r="L2715" s="5">
        <f>XLOOKUP(N2715, uom!C:C, uom!B:B, "Not Found")</f>
      </c>
      <c r="M2715" s="1" t="s">
        <v>5511</v>
      </c>
      <c r="N2715" s="8" t="s">
        <v>5512</v>
      </c>
      <c r="O2715" s="1" t="s">
        <v>5513</v>
      </c>
      <c r="P2715" s="5">
        <f>XLOOKUP(R2715, classification!C:C, classification!B:B, "Not Found")</f>
      </c>
      <c r="Q2715" s="1" t="s">
        <v>5514</v>
      </c>
      <c r="R2715" s="2"/>
      <c r="S2715" s="2"/>
      <c r="T2715" s="2"/>
      <c r="U2715" s="2"/>
    </row>
    <row x14ac:dyDescent="0.25" r="2716" customHeight="1" ht="17.25">
      <c r="A2716" s="7">
        <v>2715</v>
      </c>
      <c r="B2716" s="1" t="s">
        <v>8066</v>
      </c>
      <c r="C2716" s="5">
        <f>CONCATENATE("PD", TEXT(A2716, "1000000"))</f>
      </c>
      <c r="D2716" s="7">
        <v>78</v>
      </c>
      <c r="E2716" s="5">
        <f>XLOOKUP(G2716, item_category!C:C, item_category!B:B, "Not Found")</f>
      </c>
      <c r="F2716" s="1" t="s">
        <v>5522</v>
      </c>
      <c r="G2716" s="5">
        <f>XLOOKUP(I2716, drug!B:B, drug!A:A, "Not Found")</f>
      </c>
      <c r="H2716" s="1"/>
      <c r="I2716" s="7">
        <v>1</v>
      </c>
      <c r="J2716" s="5">
        <f>XLOOKUP(L2716, uom!C:C, uom!B:B, "Not Found")</f>
      </c>
      <c r="K2716" s="1" t="s">
        <v>5511</v>
      </c>
      <c r="L2716" s="5">
        <f>XLOOKUP(N2716, uom!C:C, uom!B:B, "Not Found")</f>
      </c>
      <c r="M2716" s="1" t="s">
        <v>5511</v>
      </c>
      <c r="N2716" s="8" t="s">
        <v>5512</v>
      </c>
      <c r="O2716" s="1" t="s">
        <v>5513</v>
      </c>
      <c r="P2716" s="5">
        <f>XLOOKUP(R2716, classification!C:C, classification!B:B, "Not Found")</f>
      </c>
      <c r="Q2716" s="1" t="s">
        <v>5514</v>
      </c>
      <c r="R2716" s="2"/>
      <c r="S2716" s="2"/>
      <c r="T2716" s="2"/>
      <c r="U2716" s="2"/>
    </row>
    <row x14ac:dyDescent="0.25" r="2717" customHeight="1" ht="17.25">
      <c r="A2717" s="7">
        <v>2716</v>
      </c>
      <c r="B2717" s="1" t="s">
        <v>8067</v>
      </c>
      <c r="C2717" s="5">
        <f>CONCATENATE("PD", TEXT(A2717, "1000000"))</f>
      </c>
      <c r="D2717" s="7">
        <v>78</v>
      </c>
      <c r="E2717" s="5">
        <f>XLOOKUP(G2717, item_category!C:C, item_category!B:B, "Not Found")</f>
      </c>
      <c r="F2717" s="1" t="s">
        <v>5522</v>
      </c>
      <c r="G2717" s="5">
        <f>XLOOKUP(I2717, drug!B:B, drug!A:A, "Not Found")</f>
      </c>
      <c r="H2717" s="1"/>
      <c r="I2717" s="7">
        <v>1</v>
      </c>
      <c r="J2717" s="5">
        <f>XLOOKUP(L2717, uom!C:C, uom!B:B, "Not Found")</f>
      </c>
      <c r="K2717" s="1" t="s">
        <v>5511</v>
      </c>
      <c r="L2717" s="5">
        <f>XLOOKUP(N2717, uom!C:C, uom!B:B, "Not Found")</f>
      </c>
      <c r="M2717" s="1" t="s">
        <v>5511</v>
      </c>
      <c r="N2717" s="8" t="s">
        <v>5512</v>
      </c>
      <c r="O2717" s="1" t="s">
        <v>5513</v>
      </c>
      <c r="P2717" s="5">
        <f>XLOOKUP(R2717, classification!C:C, classification!B:B, "Not Found")</f>
      </c>
      <c r="Q2717" s="1" t="s">
        <v>5514</v>
      </c>
      <c r="R2717" s="2"/>
      <c r="S2717" s="2"/>
      <c r="T2717" s="2"/>
      <c r="U2717" s="2"/>
    </row>
    <row x14ac:dyDescent="0.25" r="2718" customHeight="1" ht="17.25">
      <c r="A2718" s="7">
        <v>2717</v>
      </c>
      <c r="B2718" s="1" t="s">
        <v>8067</v>
      </c>
      <c r="C2718" s="5">
        <f>CONCATENATE("PD", TEXT(A2718, "1000000"))</f>
      </c>
      <c r="D2718" s="7">
        <v>78</v>
      </c>
      <c r="E2718" s="5">
        <f>XLOOKUP(G2718, item_category!C:C, item_category!B:B, "Not Found")</f>
      </c>
      <c r="F2718" s="1" t="s">
        <v>5522</v>
      </c>
      <c r="G2718" s="5">
        <f>XLOOKUP(I2718, drug!B:B, drug!A:A, "Not Found")</f>
      </c>
      <c r="H2718" s="1"/>
      <c r="I2718" s="7">
        <v>1</v>
      </c>
      <c r="J2718" s="5">
        <f>XLOOKUP(L2718, uom!C:C, uom!B:B, "Not Found")</f>
      </c>
      <c r="K2718" s="1" t="s">
        <v>5511</v>
      </c>
      <c r="L2718" s="5">
        <f>XLOOKUP(N2718, uom!C:C, uom!B:B, "Not Found")</f>
      </c>
      <c r="M2718" s="1" t="s">
        <v>5511</v>
      </c>
      <c r="N2718" s="8" t="s">
        <v>5512</v>
      </c>
      <c r="O2718" s="1" t="s">
        <v>5513</v>
      </c>
      <c r="P2718" s="5">
        <f>XLOOKUP(R2718, classification!C:C, classification!B:B, "Not Found")</f>
      </c>
      <c r="Q2718" s="1" t="s">
        <v>5514</v>
      </c>
      <c r="R2718" s="2"/>
      <c r="S2718" s="2"/>
      <c r="T2718" s="2"/>
      <c r="U2718" s="2"/>
    </row>
    <row x14ac:dyDescent="0.25" r="2719" customHeight="1" ht="17.25">
      <c r="A2719" s="7">
        <v>2718</v>
      </c>
      <c r="B2719" s="1" t="s">
        <v>8068</v>
      </c>
      <c r="C2719" s="5">
        <f>CONCATENATE("PD", TEXT(A2719, "1000000"))</f>
      </c>
      <c r="D2719" s="7">
        <v>78</v>
      </c>
      <c r="E2719" s="5">
        <f>XLOOKUP(G2719, item_category!C:C, item_category!B:B, "Not Found")</f>
      </c>
      <c r="F2719" s="1" t="s">
        <v>5522</v>
      </c>
      <c r="G2719" s="5">
        <f>XLOOKUP(I2719, drug!B:B, drug!A:A, "Not Found")</f>
      </c>
      <c r="H2719" s="1" t="s">
        <v>1814</v>
      </c>
      <c r="I2719" s="7">
        <v>1</v>
      </c>
      <c r="J2719" s="5">
        <f>XLOOKUP(L2719, uom!C:C, uom!B:B, "Not Found")</f>
      </c>
      <c r="K2719" s="1" t="s">
        <v>5511</v>
      </c>
      <c r="L2719" s="5">
        <f>XLOOKUP(N2719, uom!C:C, uom!B:B, "Not Found")</f>
      </c>
      <c r="M2719" s="1" t="s">
        <v>5511</v>
      </c>
      <c r="N2719" s="8" t="s">
        <v>5512</v>
      </c>
      <c r="O2719" s="1" t="s">
        <v>5513</v>
      </c>
      <c r="P2719" s="5">
        <f>XLOOKUP(R2719, classification!C:C, classification!B:B, "Not Found")</f>
      </c>
      <c r="Q2719" s="1" t="s">
        <v>5514</v>
      </c>
      <c r="R2719" s="2"/>
      <c r="S2719" s="2"/>
      <c r="T2719" s="2"/>
      <c r="U2719" s="2"/>
    </row>
    <row x14ac:dyDescent="0.25" r="2720" customHeight="1" ht="17.25">
      <c r="A2720" s="7">
        <v>2719</v>
      </c>
      <c r="B2720" s="1" t="s">
        <v>8069</v>
      </c>
      <c r="C2720" s="5">
        <f>CONCATENATE("PD", TEXT(A2720, "1000000"))</f>
      </c>
      <c r="D2720" s="7">
        <v>78</v>
      </c>
      <c r="E2720" s="5">
        <f>XLOOKUP(G2720, item_category!C:C, item_category!B:B, "Not Found")</f>
      </c>
      <c r="F2720" s="1" t="s">
        <v>5522</v>
      </c>
      <c r="G2720" s="5">
        <f>XLOOKUP(I2720, drug!B:B, drug!A:A, "Not Found")</f>
      </c>
      <c r="H2720" s="1" t="s">
        <v>161</v>
      </c>
      <c r="I2720" s="7">
        <v>1</v>
      </c>
      <c r="J2720" s="5">
        <f>XLOOKUP(L2720, uom!C:C, uom!B:B, "Not Found")</f>
      </c>
      <c r="K2720" s="1" t="s">
        <v>5511</v>
      </c>
      <c r="L2720" s="5">
        <f>XLOOKUP(N2720, uom!C:C, uom!B:B, "Not Found")</f>
      </c>
      <c r="M2720" s="1" t="s">
        <v>5511</v>
      </c>
      <c r="N2720" s="8" t="s">
        <v>5512</v>
      </c>
      <c r="O2720" s="1" t="s">
        <v>5513</v>
      </c>
      <c r="P2720" s="5">
        <f>XLOOKUP(R2720, classification!C:C, classification!B:B, "Not Found")</f>
      </c>
      <c r="Q2720" s="1" t="s">
        <v>5514</v>
      </c>
      <c r="R2720" s="2"/>
      <c r="S2720" s="2"/>
      <c r="T2720" s="2"/>
      <c r="U2720" s="2"/>
    </row>
    <row x14ac:dyDescent="0.25" r="2721" customHeight="1" ht="17.25">
      <c r="A2721" s="7">
        <v>2720</v>
      </c>
      <c r="B2721" s="1" t="s">
        <v>8070</v>
      </c>
      <c r="C2721" s="5">
        <f>CONCATENATE("PD", TEXT(A2721, "1000000"))</f>
      </c>
      <c r="D2721" s="7">
        <v>78</v>
      </c>
      <c r="E2721" s="5">
        <f>XLOOKUP(G2721, item_category!C:C, item_category!B:B, "Not Found")</f>
      </c>
      <c r="F2721" s="1" t="s">
        <v>5522</v>
      </c>
      <c r="G2721" s="5">
        <f>XLOOKUP(I2721, drug!B:B, drug!A:A, "Not Found")</f>
      </c>
      <c r="H2721" s="1" t="s">
        <v>161</v>
      </c>
      <c r="I2721" s="7">
        <v>1</v>
      </c>
      <c r="J2721" s="5">
        <f>XLOOKUP(L2721, uom!C:C, uom!B:B, "Not Found")</f>
      </c>
      <c r="K2721" s="1" t="s">
        <v>5511</v>
      </c>
      <c r="L2721" s="5">
        <f>XLOOKUP(N2721, uom!C:C, uom!B:B, "Not Found")</f>
      </c>
      <c r="M2721" s="1" t="s">
        <v>5511</v>
      </c>
      <c r="N2721" s="8" t="s">
        <v>5512</v>
      </c>
      <c r="O2721" s="1" t="s">
        <v>5513</v>
      </c>
      <c r="P2721" s="5">
        <f>XLOOKUP(R2721, classification!C:C, classification!B:B, "Not Found")</f>
      </c>
      <c r="Q2721" s="1" t="s">
        <v>5514</v>
      </c>
      <c r="R2721" s="2"/>
      <c r="S2721" s="2"/>
      <c r="T2721" s="2"/>
      <c r="U2721" s="2"/>
    </row>
    <row x14ac:dyDescent="0.25" r="2722" customHeight="1" ht="17.25">
      <c r="A2722" s="7">
        <v>2721</v>
      </c>
      <c r="B2722" s="1" t="s">
        <v>8071</v>
      </c>
      <c r="C2722" s="5">
        <f>CONCATENATE("PD", TEXT(A2722, "1000000"))</f>
      </c>
      <c r="D2722" s="7">
        <v>78</v>
      </c>
      <c r="E2722" s="5">
        <f>XLOOKUP(G2722, item_category!C:C, item_category!B:B, "Not Found")</f>
      </c>
      <c r="F2722" s="1" t="s">
        <v>5522</v>
      </c>
      <c r="G2722" s="5">
        <f>XLOOKUP(I2722, drug!B:B, drug!A:A, "Not Found")</f>
      </c>
      <c r="H2722" s="1"/>
      <c r="I2722" s="7">
        <v>1</v>
      </c>
      <c r="J2722" s="5">
        <f>XLOOKUP(L2722, uom!C:C, uom!B:B, "Not Found")</f>
      </c>
      <c r="K2722" s="1" t="s">
        <v>5511</v>
      </c>
      <c r="L2722" s="5">
        <f>XLOOKUP(N2722, uom!C:C, uom!B:B, "Not Found")</f>
      </c>
      <c r="M2722" s="1" t="s">
        <v>5511</v>
      </c>
      <c r="N2722" s="8" t="s">
        <v>5512</v>
      </c>
      <c r="O2722" s="1" t="s">
        <v>5513</v>
      </c>
      <c r="P2722" s="5">
        <f>XLOOKUP(R2722, classification!C:C, classification!B:B, "Not Found")</f>
      </c>
      <c r="Q2722" s="1" t="s">
        <v>5514</v>
      </c>
      <c r="R2722" s="2"/>
      <c r="S2722" s="2"/>
      <c r="T2722" s="2"/>
      <c r="U2722" s="2"/>
    </row>
    <row x14ac:dyDescent="0.25" r="2723" customHeight="1" ht="17.25">
      <c r="A2723" s="7">
        <v>2722</v>
      </c>
      <c r="B2723" s="1" t="s">
        <v>8072</v>
      </c>
      <c r="C2723" s="5">
        <f>CONCATENATE("PD", TEXT(A2723, "1000000"))</f>
      </c>
      <c r="D2723" s="7">
        <v>78</v>
      </c>
      <c r="E2723" s="5">
        <f>XLOOKUP(G2723, item_category!C:C, item_category!B:B, "Not Found")</f>
      </c>
      <c r="F2723" s="1" t="s">
        <v>5522</v>
      </c>
      <c r="G2723" s="5">
        <f>XLOOKUP(I2723, drug!B:B, drug!A:A, "Not Found")</f>
      </c>
      <c r="H2723" s="1"/>
      <c r="I2723" s="7">
        <v>1</v>
      </c>
      <c r="J2723" s="5">
        <f>XLOOKUP(L2723, uom!C:C, uom!B:B, "Not Found")</f>
      </c>
      <c r="K2723" s="1" t="s">
        <v>5511</v>
      </c>
      <c r="L2723" s="5">
        <f>XLOOKUP(N2723, uom!C:C, uom!B:B, "Not Found")</f>
      </c>
      <c r="M2723" s="1" t="s">
        <v>5511</v>
      </c>
      <c r="N2723" s="8" t="s">
        <v>5512</v>
      </c>
      <c r="O2723" s="1" t="s">
        <v>5513</v>
      </c>
      <c r="P2723" s="5">
        <f>XLOOKUP(R2723, classification!C:C, classification!B:B, "Not Found")</f>
      </c>
      <c r="Q2723" s="1" t="s">
        <v>5514</v>
      </c>
      <c r="R2723" s="2"/>
      <c r="S2723" s="2"/>
      <c r="T2723" s="2"/>
      <c r="U2723" s="2"/>
    </row>
    <row x14ac:dyDescent="0.25" r="2724" customHeight="1" ht="17.25">
      <c r="A2724" s="7">
        <v>2723</v>
      </c>
      <c r="B2724" s="1" t="s">
        <v>8073</v>
      </c>
      <c r="C2724" s="5">
        <f>CONCATENATE("PD", TEXT(A2724, "1000000"))</f>
      </c>
      <c r="D2724" s="7">
        <v>78</v>
      </c>
      <c r="E2724" s="5">
        <f>XLOOKUP(G2724, item_category!C:C, item_category!B:B, "Not Found")</f>
      </c>
      <c r="F2724" s="1" t="s">
        <v>5522</v>
      </c>
      <c r="G2724" s="5">
        <f>XLOOKUP(I2724, drug!B:B, drug!A:A, "Not Found")</f>
      </c>
      <c r="H2724" s="1"/>
      <c r="I2724" s="7">
        <v>1</v>
      </c>
      <c r="J2724" s="5">
        <f>XLOOKUP(L2724, uom!C:C, uom!B:B, "Not Found")</f>
      </c>
      <c r="K2724" s="1" t="s">
        <v>5511</v>
      </c>
      <c r="L2724" s="5">
        <f>XLOOKUP(N2724, uom!C:C, uom!B:B, "Not Found")</f>
      </c>
      <c r="M2724" s="1" t="s">
        <v>5511</v>
      </c>
      <c r="N2724" s="8" t="s">
        <v>5512</v>
      </c>
      <c r="O2724" s="1" t="s">
        <v>5513</v>
      </c>
      <c r="P2724" s="5">
        <f>XLOOKUP(R2724, classification!C:C, classification!B:B, "Not Found")</f>
      </c>
      <c r="Q2724" s="1" t="s">
        <v>5514</v>
      </c>
      <c r="R2724" s="2"/>
      <c r="S2724" s="2"/>
      <c r="T2724" s="2"/>
      <c r="U2724" s="2"/>
    </row>
    <row x14ac:dyDescent="0.25" r="2725" customHeight="1" ht="17.25">
      <c r="A2725" s="7">
        <v>2724</v>
      </c>
      <c r="B2725" s="1" t="s">
        <v>8074</v>
      </c>
      <c r="C2725" s="5">
        <f>CONCATENATE("PD", TEXT(A2725, "1000000"))</f>
      </c>
      <c r="D2725" s="7">
        <v>78</v>
      </c>
      <c r="E2725" s="5">
        <f>XLOOKUP(G2725, item_category!C:C, item_category!B:B, "Not Found")</f>
      </c>
      <c r="F2725" s="1" t="s">
        <v>5522</v>
      </c>
      <c r="G2725" s="5">
        <f>XLOOKUP(I2725, drug!B:B, drug!A:A, "Not Found")</f>
      </c>
      <c r="H2725" s="1" t="s">
        <v>1942</v>
      </c>
      <c r="I2725" s="7">
        <v>1</v>
      </c>
      <c r="J2725" s="5">
        <f>XLOOKUP(L2725, uom!C:C, uom!B:B, "Not Found")</f>
      </c>
      <c r="K2725" s="1" t="s">
        <v>5511</v>
      </c>
      <c r="L2725" s="5">
        <f>XLOOKUP(N2725, uom!C:C, uom!B:B, "Not Found")</f>
      </c>
      <c r="M2725" s="1" t="s">
        <v>5511</v>
      </c>
      <c r="N2725" s="8" t="s">
        <v>5512</v>
      </c>
      <c r="O2725" s="1" t="s">
        <v>5513</v>
      </c>
      <c r="P2725" s="5">
        <f>XLOOKUP(R2725, classification!C:C, classification!B:B, "Not Found")</f>
      </c>
      <c r="Q2725" s="1" t="s">
        <v>5514</v>
      </c>
      <c r="R2725" s="2"/>
      <c r="S2725" s="2"/>
      <c r="T2725" s="2"/>
      <c r="U2725" s="2"/>
    </row>
    <row x14ac:dyDescent="0.25" r="2726" customHeight="1" ht="17.25">
      <c r="A2726" s="7">
        <v>2725</v>
      </c>
      <c r="B2726" s="1" t="s">
        <v>8075</v>
      </c>
      <c r="C2726" s="5">
        <f>CONCATENATE("PD", TEXT(A2726, "1000000"))</f>
      </c>
      <c r="D2726" s="7">
        <v>78</v>
      </c>
      <c r="E2726" s="5">
        <f>XLOOKUP(G2726, item_category!C:C, item_category!B:B, "Not Found")</f>
      </c>
      <c r="F2726" s="1" t="s">
        <v>5522</v>
      </c>
      <c r="G2726" s="5">
        <f>XLOOKUP(I2726, drug!B:B, drug!A:A, "Not Found")</f>
      </c>
      <c r="H2726" s="1" t="s">
        <v>1942</v>
      </c>
      <c r="I2726" s="7">
        <v>1</v>
      </c>
      <c r="J2726" s="5">
        <f>XLOOKUP(L2726, uom!C:C, uom!B:B, "Not Found")</f>
      </c>
      <c r="K2726" s="1" t="s">
        <v>5511</v>
      </c>
      <c r="L2726" s="5">
        <f>XLOOKUP(N2726, uom!C:C, uom!B:B, "Not Found")</f>
      </c>
      <c r="M2726" s="1" t="s">
        <v>5511</v>
      </c>
      <c r="N2726" s="8" t="s">
        <v>5512</v>
      </c>
      <c r="O2726" s="1" t="s">
        <v>5513</v>
      </c>
      <c r="P2726" s="5">
        <f>XLOOKUP(R2726, classification!C:C, classification!B:B, "Not Found")</f>
      </c>
      <c r="Q2726" s="1" t="s">
        <v>5514</v>
      </c>
      <c r="R2726" s="2"/>
      <c r="S2726" s="2"/>
      <c r="T2726" s="2"/>
      <c r="U2726" s="2"/>
    </row>
    <row x14ac:dyDescent="0.25" r="2727" customHeight="1" ht="17.25">
      <c r="A2727" s="7">
        <v>2726</v>
      </c>
      <c r="B2727" s="1" t="s">
        <v>8076</v>
      </c>
      <c r="C2727" s="5">
        <f>CONCATENATE("PD", TEXT(A2727, "1000000"))</f>
      </c>
      <c r="D2727" s="7">
        <v>78</v>
      </c>
      <c r="E2727" s="5">
        <f>XLOOKUP(G2727, item_category!C:C, item_category!B:B, "Not Found")</f>
      </c>
      <c r="F2727" s="1" t="s">
        <v>5522</v>
      </c>
      <c r="G2727" s="5">
        <f>XLOOKUP(I2727, drug!B:B, drug!A:A, "Not Found")</f>
      </c>
      <c r="H2727" s="1" t="s">
        <v>1942</v>
      </c>
      <c r="I2727" s="7">
        <v>1</v>
      </c>
      <c r="J2727" s="5">
        <f>XLOOKUP(L2727, uom!C:C, uom!B:B, "Not Found")</f>
      </c>
      <c r="K2727" s="1" t="s">
        <v>5511</v>
      </c>
      <c r="L2727" s="5">
        <f>XLOOKUP(N2727, uom!C:C, uom!B:B, "Not Found")</f>
      </c>
      <c r="M2727" s="1" t="s">
        <v>5511</v>
      </c>
      <c r="N2727" s="8" t="s">
        <v>5512</v>
      </c>
      <c r="O2727" s="1" t="s">
        <v>5513</v>
      </c>
      <c r="P2727" s="5">
        <f>XLOOKUP(R2727, classification!C:C, classification!B:B, "Not Found")</f>
      </c>
      <c r="Q2727" s="1" t="s">
        <v>5514</v>
      </c>
      <c r="R2727" s="2"/>
      <c r="S2727" s="2"/>
      <c r="T2727" s="2"/>
      <c r="U2727" s="2"/>
    </row>
    <row x14ac:dyDescent="0.25" r="2728" customHeight="1" ht="17.25">
      <c r="A2728" s="7">
        <v>2727</v>
      </c>
      <c r="B2728" s="1" t="s">
        <v>8077</v>
      </c>
      <c r="C2728" s="5">
        <f>CONCATENATE("PD", TEXT(A2728, "1000000"))</f>
      </c>
      <c r="D2728" s="7">
        <v>78</v>
      </c>
      <c r="E2728" s="5">
        <f>XLOOKUP(G2728, item_category!C:C, item_category!B:B, "Not Found")</f>
      </c>
      <c r="F2728" s="1" t="s">
        <v>5522</v>
      </c>
      <c r="G2728" s="5">
        <f>XLOOKUP(I2728, drug!B:B, drug!A:A, "Not Found")</f>
      </c>
      <c r="H2728" s="1" t="s">
        <v>1942</v>
      </c>
      <c r="I2728" s="7">
        <v>1</v>
      </c>
      <c r="J2728" s="5">
        <f>XLOOKUP(L2728, uom!C:C, uom!B:B, "Not Found")</f>
      </c>
      <c r="K2728" s="1" t="s">
        <v>5511</v>
      </c>
      <c r="L2728" s="5">
        <f>XLOOKUP(N2728, uom!C:C, uom!B:B, "Not Found")</f>
      </c>
      <c r="M2728" s="1" t="s">
        <v>5511</v>
      </c>
      <c r="N2728" s="8" t="s">
        <v>5512</v>
      </c>
      <c r="O2728" s="1" t="s">
        <v>5513</v>
      </c>
      <c r="P2728" s="5">
        <f>XLOOKUP(R2728, classification!C:C, classification!B:B, "Not Found")</f>
      </c>
      <c r="Q2728" s="1" t="s">
        <v>5514</v>
      </c>
      <c r="R2728" s="2"/>
      <c r="S2728" s="2"/>
      <c r="T2728" s="2"/>
      <c r="U2728" s="2"/>
    </row>
    <row x14ac:dyDescent="0.25" r="2729" customHeight="1" ht="17.25">
      <c r="A2729" s="7">
        <v>2728</v>
      </c>
      <c r="B2729" s="1" t="s">
        <v>8078</v>
      </c>
      <c r="C2729" s="5">
        <f>CONCATENATE("PD", TEXT(A2729, "1000000"))</f>
      </c>
      <c r="D2729" s="7">
        <v>78</v>
      </c>
      <c r="E2729" s="5">
        <f>XLOOKUP(G2729, item_category!C:C, item_category!B:B, "Not Found")</f>
      </c>
      <c r="F2729" s="1" t="s">
        <v>5522</v>
      </c>
      <c r="G2729" s="5">
        <f>XLOOKUP(I2729, drug!B:B, drug!A:A, "Not Found")</f>
      </c>
      <c r="H2729" s="1" t="s">
        <v>1942</v>
      </c>
      <c r="I2729" s="7">
        <v>1</v>
      </c>
      <c r="J2729" s="5">
        <f>XLOOKUP(L2729, uom!C:C, uom!B:B, "Not Found")</f>
      </c>
      <c r="K2729" s="1" t="s">
        <v>5511</v>
      </c>
      <c r="L2729" s="5">
        <f>XLOOKUP(N2729, uom!C:C, uom!B:B, "Not Found")</f>
      </c>
      <c r="M2729" s="1" t="s">
        <v>5511</v>
      </c>
      <c r="N2729" s="8" t="s">
        <v>5512</v>
      </c>
      <c r="O2729" s="1" t="s">
        <v>5513</v>
      </c>
      <c r="P2729" s="5">
        <f>XLOOKUP(R2729, classification!C:C, classification!B:B, "Not Found")</f>
      </c>
      <c r="Q2729" s="1" t="s">
        <v>5514</v>
      </c>
      <c r="R2729" s="2"/>
      <c r="S2729" s="2"/>
      <c r="T2729" s="2"/>
      <c r="U2729" s="2"/>
    </row>
    <row x14ac:dyDescent="0.25" r="2730" customHeight="1" ht="17.25">
      <c r="A2730" s="7">
        <v>2729</v>
      </c>
      <c r="B2730" s="1" t="s">
        <v>8079</v>
      </c>
      <c r="C2730" s="5">
        <f>CONCATENATE("PD", TEXT(A2730, "1000000"))</f>
      </c>
      <c r="D2730" s="7">
        <v>78</v>
      </c>
      <c r="E2730" s="5">
        <f>XLOOKUP(G2730, item_category!C:C, item_category!B:B, "Not Found")</f>
      </c>
      <c r="F2730" s="1" t="s">
        <v>5522</v>
      </c>
      <c r="G2730" s="5">
        <f>XLOOKUP(I2730, drug!B:B, drug!A:A, "Not Found")</f>
      </c>
      <c r="H2730" s="1"/>
      <c r="I2730" s="7">
        <v>1</v>
      </c>
      <c r="J2730" s="5">
        <f>XLOOKUP(L2730, uom!C:C, uom!B:B, "Not Found")</f>
      </c>
      <c r="K2730" s="1" t="s">
        <v>5511</v>
      </c>
      <c r="L2730" s="5">
        <f>XLOOKUP(N2730, uom!C:C, uom!B:B, "Not Found")</f>
      </c>
      <c r="M2730" s="1" t="s">
        <v>5511</v>
      </c>
      <c r="N2730" s="8" t="s">
        <v>5512</v>
      </c>
      <c r="O2730" s="1" t="s">
        <v>5513</v>
      </c>
      <c r="P2730" s="5">
        <f>XLOOKUP(R2730, classification!C:C, classification!B:B, "Not Found")</f>
      </c>
      <c r="Q2730" s="1" t="s">
        <v>5514</v>
      </c>
      <c r="R2730" s="2"/>
      <c r="S2730" s="2"/>
      <c r="T2730" s="2"/>
      <c r="U2730" s="2"/>
    </row>
    <row x14ac:dyDescent="0.25" r="2731" customHeight="1" ht="17.25">
      <c r="A2731" s="7">
        <v>2730</v>
      </c>
      <c r="B2731" s="1" t="s">
        <v>8080</v>
      </c>
      <c r="C2731" s="5">
        <f>CONCATENATE("PD", TEXT(A2731, "1000000"))</f>
      </c>
      <c r="D2731" s="7">
        <v>78</v>
      </c>
      <c r="E2731" s="5">
        <f>XLOOKUP(G2731, item_category!C:C, item_category!B:B, "Not Found")</f>
      </c>
      <c r="F2731" s="1" t="s">
        <v>5522</v>
      </c>
      <c r="G2731" s="5">
        <f>XLOOKUP(I2731, drug!B:B, drug!A:A, "Not Found")</f>
      </c>
      <c r="H2731" s="1"/>
      <c r="I2731" s="7">
        <v>1</v>
      </c>
      <c r="J2731" s="5">
        <f>XLOOKUP(L2731, uom!C:C, uom!B:B, "Not Found")</f>
      </c>
      <c r="K2731" s="1" t="s">
        <v>5511</v>
      </c>
      <c r="L2731" s="5">
        <f>XLOOKUP(N2731, uom!C:C, uom!B:B, "Not Found")</f>
      </c>
      <c r="M2731" s="1" t="s">
        <v>5511</v>
      </c>
      <c r="N2731" s="8" t="s">
        <v>5512</v>
      </c>
      <c r="O2731" s="1" t="s">
        <v>5513</v>
      </c>
      <c r="P2731" s="5">
        <f>XLOOKUP(R2731, classification!C:C, classification!B:B, "Not Found")</f>
      </c>
      <c r="Q2731" s="1" t="s">
        <v>5514</v>
      </c>
      <c r="R2731" s="2"/>
      <c r="S2731" s="2"/>
      <c r="T2731" s="2"/>
      <c r="U2731" s="2"/>
    </row>
    <row x14ac:dyDescent="0.25" r="2732" customHeight="1" ht="17.25">
      <c r="A2732" s="7">
        <v>2731</v>
      </c>
      <c r="B2732" s="1" t="s">
        <v>8081</v>
      </c>
      <c r="C2732" s="5">
        <f>CONCATENATE("PD", TEXT(A2732, "1000000"))</f>
      </c>
      <c r="D2732" s="7">
        <v>78</v>
      </c>
      <c r="E2732" s="5">
        <f>XLOOKUP(G2732, item_category!C:C, item_category!B:B, "Not Found")</f>
      </c>
      <c r="F2732" s="1" t="s">
        <v>5522</v>
      </c>
      <c r="G2732" s="5">
        <f>XLOOKUP(I2732, drug!B:B, drug!A:A, "Not Found")</f>
      </c>
      <c r="H2732" s="1"/>
      <c r="I2732" s="7">
        <v>1</v>
      </c>
      <c r="J2732" s="5">
        <f>XLOOKUP(L2732, uom!C:C, uom!B:B, "Not Found")</f>
      </c>
      <c r="K2732" s="1" t="s">
        <v>5511</v>
      </c>
      <c r="L2732" s="5">
        <f>XLOOKUP(N2732, uom!C:C, uom!B:B, "Not Found")</f>
      </c>
      <c r="M2732" s="1" t="s">
        <v>5511</v>
      </c>
      <c r="N2732" s="8" t="s">
        <v>5512</v>
      </c>
      <c r="O2732" s="1" t="s">
        <v>5513</v>
      </c>
      <c r="P2732" s="5">
        <f>XLOOKUP(R2732, classification!C:C, classification!B:B, "Not Found")</f>
      </c>
      <c r="Q2732" s="1" t="s">
        <v>5514</v>
      </c>
      <c r="R2732" s="2"/>
      <c r="S2732" s="2"/>
      <c r="T2732" s="2"/>
      <c r="U2732" s="2"/>
    </row>
    <row x14ac:dyDescent="0.25" r="2733" customHeight="1" ht="17.25">
      <c r="A2733" s="7">
        <v>2732</v>
      </c>
      <c r="B2733" s="1" t="s">
        <v>8082</v>
      </c>
      <c r="C2733" s="5">
        <f>CONCATENATE("PD", TEXT(A2733, "1000000"))</f>
      </c>
      <c r="D2733" s="7">
        <v>78</v>
      </c>
      <c r="E2733" s="5">
        <f>XLOOKUP(G2733, item_category!C:C, item_category!B:B, "Not Found")</f>
      </c>
      <c r="F2733" s="1" t="s">
        <v>5522</v>
      </c>
      <c r="G2733" s="5">
        <f>XLOOKUP(I2733, drug!B:B, drug!A:A, "Not Found")</f>
      </c>
      <c r="H2733" s="1"/>
      <c r="I2733" s="7">
        <v>1</v>
      </c>
      <c r="J2733" s="5">
        <f>XLOOKUP(L2733, uom!C:C, uom!B:B, "Not Found")</f>
      </c>
      <c r="K2733" s="1" t="s">
        <v>5511</v>
      </c>
      <c r="L2733" s="5">
        <f>XLOOKUP(N2733, uom!C:C, uom!B:B, "Not Found")</f>
      </c>
      <c r="M2733" s="1" t="s">
        <v>5511</v>
      </c>
      <c r="N2733" s="8" t="s">
        <v>5512</v>
      </c>
      <c r="O2733" s="1" t="s">
        <v>5513</v>
      </c>
      <c r="P2733" s="5">
        <f>XLOOKUP(R2733, classification!C:C, classification!B:B, "Not Found")</f>
      </c>
      <c r="Q2733" s="1" t="s">
        <v>5514</v>
      </c>
      <c r="R2733" s="2"/>
      <c r="S2733" s="2"/>
      <c r="T2733" s="2"/>
      <c r="U2733" s="2"/>
    </row>
    <row x14ac:dyDescent="0.25" r="2734" customHeight="1" ht="17.25">
      <c r="A2734" s="7">
        <v>2733</v>
      </c>
      <c r="B2734" s="1" t="s">
        <v>8082</v>
      </c>
      <c r="C2734" s="5">
        <f>CONCATENATE("PD", TEXT(A2734, "1000000"))</f>
      </c>
      <c r="D2734" s="7">
        <v>78</v>
      </c>
      <c r="E2734" s="5">
        <f>XLOOKUP(G2734, item_category!C:C, item_category!B:B, "Not Found")</f>
      </c>
      <c r="F2734" s="1" t="s">
        <v>5522</v>
      </c>
      <c r="G2734" s="5">
        <f>XLOOKUP(I2734, drug!B:B, drug!A:A, "Not Found")</f>
      </c>
      <c r="H2734" s="1"/>
      <c r="I2734" s="7">
        <v>1</v>
      </c>
      <c r="J2734" s="5">
        <f>XLOOKUP(L2734, uom!C:C, uom!B:B, "Not Found")</f>
      </c>
      <c r="K2734" s="1" t="s">
        <v>5511</v>
      </c>
      <c r="L2734" s="5">
        <f>XLOOKUP(N2734, uom!C:C, uom!B:B, "Not Found")</f>
      </c>
      <c r="M2734" s="1" t="s">
        <v>5511</v>
      </c>
      <c r="N2734" s="8" t="s">
        <v>5512</v>
      </c>
      <c r="O2734" s="1" t="s">
        <v>5513</v>
      </c>
      <c r="P2734" s="5">
        <f>XLOOKUP(R2734, classification!C:C, classification!B:B, "Not Found")</f>
      </c>
      <c r="Q2734" s="1" t="s">
        <v>5514</v>
      </c>
      <c r="R2734" s="2"/>
      <c r="S2734" s="2"/>
      <c r="T2734" s="2"/>
      <c r="U2734" s="2"/>
    </row>
    <row x14ac:dyDescent="0.25" r="2735" customHeight="1" ht="17.25">
      <c r="A2735" s="7">
        <v>2734</v>
      </c>
      <c r="B2735" s="1" t="s">
        <v>8083</v>
      </c>
      <c r="C2735" s="5">
        <f>CONCATENATE("PD", TEXT(A2735, "1000000"))</f>
      </c>
      <c r="D2735" s="7">
        <v>78</v>
      </c>
      <c r="E2735" s="5">
        <f>XLOOKUP(G2735, item_category!C:C, item_category!B:B, "Not Found")</f>
      </c>
      <c r="F2735" s="1" t="s">
        <v>5522</v>
      </c>
      <c r="G2735" s="5">
        <f>XLOOKUP(I2735, drug!B:B, drug!A:A, "Not Found")</f>
      </c>
      <c r="H2735" s="1"/>
      <c r="I2735" s="7">
        <v>1</v>
      </c>
      <c r="J2735" s="5">
        <f>XLOOKUP(L2735, uom!C:C, uom!B:B, "Not Found")</f>
      </c>
      <c r="K2735" s="1" t="s">
        <v>5511</v>
      </c>
      <c r="L2735" s="5">
        <f>XLOOKUP(N2735, uom!C:C, uom!B:B, "Not Found")</f>
      </c>
      <c r="M2735" s="1" t="s">
        <v>5511</v>
      </c>
      <c r="N2735" s="8" t="s">
        <v>5512</v>
      </c>
      <c r="O2735" s="1" t="s">
        <v>5513</v>
      </c>
      <c r="P2735" s="5">
        <f>XLOOKUP(R2735, classification!C:C, classification!B:B, "Not Found")</f>
      </c>
      <c r="Q2735" s="1" t="s">
        <v>5514</v>
      </c>
      <c r="R2735" s="2"/>
      <c r="S2735" s="2"/>
      <c r="T2735" s="2"/>
      <c r="U2735" s="2"/>
    </row>
    <row x14ac:dyDescent="0.25" r="2736" customHeight="1" ht="17.25">
      <c r="A2736" s="7">
        <v>2735</v>
      </c>
      <c r="B2736" s="1" t="s">
        <v>8084</v>
      </c>
      <c r="C2736" s="5">
        <f>CONCATENATE("PD", TEXT(A2736, "1000000"))</f>
      </c>
      <c r="D2736" s="7">
        <v>78</v>
      </c>
      <c r="E2736" s="5">
        <f>XLOOKUP(G2736, item_category!C:C, item_category!B:B, "Not Found")</f>
      </c>
      <c r="F2736" s="1" t="s">
        <v>5522</v>
      </c>
      <c r="G2736" s="5">
        <f>XLOOKUP(I2736, drug!B:B, drug!A:A, "Not Found")</f>
      </c>
      <c r="H2736" s="1"/>
      <c r="I2736" s="7">
        <v>1</v>
      </c>
      <c r="J2736" s="5">
        <f>XLOOKUP(L2736, uom!C:C, uom!B:B, "Not Found")</f>
      </c>
      <c r="K2736" s="1" t="s">
        <v>5511</v>
      </c>
      <c r="L2736" s="5">
        <f>XLOOKUP(N2736, uom!C:C, uom!B:B, "Not Found")</f>
      </c>
      <c r="M2736" s="1" t="s">
        <v>5511</v>
      </c>
      <c r="N2736" s="8" t="s">
        <v>5512</v>
      </c>
      <c r="O2736" s="1" t="s">
        <v>5513</v>
      </c>
      <c r="P2736" s="5">
        <f>XLOOKUP(R2736, classification!C:C, classification!B:B, "Not Found")</f>
      </c>
      <c r="Q2736" s="1" t="s">
        <v>5514</v>
      </c>
      <c r="R2736" s="2"/>
      <c r="S2736" s="2"/>
      <c r="T2736" s="2"/>
      <c r="U2736" s="2"/>
    </row>
    <row x14ac:dyDescent="0.25" r="2737" customHeight="1" ht="17.25">
      <c r="A2737" s="7">
        <v>2736</v>
      </c>
      <c r="B2737" s="1" t="s">
        <v>8085</v>
      </c>
      <c r="C2737" s="5">
        <f>CONCATENATE("PD", TEXT(A2737, "1000000"))</f>
      </c>
      <c r="D2737" s="7">
        <v>78</v>
      </c>
      <c r="E2737" s="5">
        <f>XLOOKUP(G2737, item_category!C:C, item_category!B:B, "Not Found")</f>
      </c>
      <c r="F2737" s="1" t="s">
        <v>5522</v>
      </c>
      <c r="G2737" s="5">
        <f>XLOOKUP(I2737, drug!B:B, drug!A:A, "Not Found")</f>
      </c>
      <c r="H2737" s="1"/>
      <c r="I2737" s="7">
        <v>1</v>
      </c>
      <c r="J2737" s="5">
        <f>XLOOKUP(L2737, uom!C:C, uom!B:B, "Not Found")</f>
      </c>
      <c r="K2737" s="1" t="s">
        <v>5511</v>
      </c>
      <c r="L2737" s="5">
        <f>XLOOKUP(N2737, uom!C:C, uom!B:B, "Not Found")</f>
      </c>
      <c r="M2737" s="1" t="s">
        <v>5511</v>
      </c>
      <c r="N2737" s="8" t="s">
        <v>5512</v>
      </c>
      <c r="O2737" s="1" t="s">
        <v>5513</v>
      </c>
      <c r="P2737" s="5">
        <f>XLOOKUP(R2737, classification!C:C, classification!B:B, "Not Found")</f>
      </c>
      <c r="Q2737" s="1" t="s">
        <v>5514</v>
      </c>
      <c r="R2737" s="2"/>
      <c r="S2737" s="2"/>
      <c r="T2737" s="2"/>
      <c r="U2737" s="2"/>
    </row>
    <row x14ac:dyDescent="0.25" r="2738" customHeight="1" ht="17.25">
      <c r="A2738" s="7">
        <v>2737</v>
      </c>
      <c r="B2738" s="1" t="s">
        <v>8086</v>
      </c>
      <c r="C2738" s="5">
        <f>CONCATENATE("PD", TEXT(A2738, "1000000"))</f>
      </c>
      <c r="D2738" s="7">
        <v>78</v>
      </c>
      <c r="E2738" s="5">
        <f>XLOOKUP(G2738, item_category!C:C, item_category!B:B, "Not Found")</f>
      </c>
      <c r="F2738" s="1" t="s">
        <v>5522</v>
      </c>
      <c r="G2738" s="5">
        <f>XLOOKUP(I2738, drug!B:B, drug!A:A, "Not Found")</f>
      </c>
      <c r="H2738" s="1"/>
      <c r="I2738" s="7">
        <v>1000</v>
      </c>
      <c r="J2738" s="5">
        <f>XLOOKUP(L2738, uom!C:C, uom!B:B, "Not Found")</f>
      </c>
      <c r="K2738" s="1" t="s">
        <v>5523</v>
      </c>
      <c r="L2738" s="5">
        <f>XLOOKUP(N2738, uom!C:C, uom!B:B, "Not Found")</f>
      </c>
      <c r="M2738" s="1" t="s">
        <v>5523</v>
      </c>
      <c r="N2738" s="8" t="s">
        <v>5524</v>
      </c>
      <c r="O2738" s="1" t="s">
        <v>5525</v>
      </c>
      <c r="P2738" s="5">
        <f>XLOOKUP(R2738, classification!C:C, classification!B:B, "Not Found")</f>
      </c>
      <c r="Q2738" s="1" t="s">
        <v>5514</v>
      </c>
      <c r="R2738" s="2"/>
      <c r="S2738" s="2"/>
      <c r="T2738" s="2"/>
      <c r="U2738" s="2"/>
    </row>
    <row x14ac:dyDescent="0.25" r="2739" customHeight="1" ht="17.25">
      <c r="A2739" s="7">
        <v>2738</v>
      </c>
      <c r="B2739" s="1" t="s">
        <v>8087</v>
      </c>
      <c r="C2739" s="5">
        <f>CONCATENATE("PD", TEXT(A2739, "1000000"))</f>
      </c>
      <c r="D2739" s="7">
        <v>78</v>
      </c>
      <c r="E2739" s="5">
        <f>XLOOKUP(G2739, item_category!C:C, item_category!B:B, "Not Found")</f>
      </c>
      <c r="F2739" s="1" t="s">
        <v>5522</v>
      </c>
      <c r="G2739" s="5">
        <f>XLOOKUP(I2739, drug!B:B, drug!A:A, "Not Found")</f>
      </c>
      <c r="H2739" s="1"/>
      <c r="I2739" s="7">
        <v>1</v>
      </c>
      <c r="J2739" s="5">
        <f>XLOOKUP(L2739, uom!C:C, uom!B:B, "Not Found")</f>
      </c>
      <c r="K2739" s="1" t="s">
        <v>5511</v>
      </c>
      <c r="L2739" s="5">
        <f>XLOOKUP(N2739, uom!C:C, uom!B:B, "Not Found")</f>
      </c>
      <c r="M2739" s="1" t="s">
        <v>5511</v>
      </c>
      <c r="N2739" s="8" t="s">
        <v>5512</v>
      </c>
      <c r="O2739" s="1" t="s">
        <v>5513</v>
      </c>
      <c r="P2739" s="5">
        <f>XLOOKUP(R2739, classification!C:C, classification!B:B, "Not Found")</f>
      </c>
      <c r="Q2739" s="1" t="s">
        <v>5514</v>
      </c>
      <c r="R2739" s="2"/>
      <c r="S2739" s="2"/>
      <c r="T2739" s="2"/>
      <c r="U2739" s="2"/>
    </row>
    <row x14ac:dyDescent="0.25" r="2740" customHeight="1" ht="17.25">
      <c r="A2740" s="7">
        <v>2739</v>
      </c>
      <c r="B2740" s="1" t="s">
        <v>8088</v>
      </c>
      <c r="C2740" s="5">
        <f>CONCATENATE("PD", TEXT(A2740, "1000000"))</f>
      </c>
      <c r="D2740" s="7">
        <v>78</v>
      </c>
      <c r="E2740" s="5">
        <f>XLOOKUP(G2740, item_category!C:C, item_category!B:B, "Not Found")</f>
      </c>
      <c r="F2740" s="1" t="s">
        <v>5522</v>
      </c>
      <c r="G2740" s="5">
        <f>XLOOKUP(I2740, drug!B:B, drug!A:A, "Not Found")</f>
      </c>
      <c r="H2740" s="1"/>
      <c r="I2740" s="7">
        <v>1</v>
      </c>
      <c r="J2740" s="5">
        <f>XLOOKUP(L2740, uom!C:C, uom!B:B, "Not Found")</f>
      </c>
      <c r="K2740" s="1" t="s">
        <v>5511</v>
      </c>
      <c r="L2740" s="5">
        <f>XLOOKUP(N2740, uom!C:C, uom!B:B, "Not Found")</f>
      </c>
      <c r="M2740" s="1" t="s">
        <v>5511</v>
      </c>
      <c r="N2740" s="8" t="s">
        <v>5512</v>
      </c>
      <c r="O2740" s="1" t="s">
        <v>5513</v>
      </c>
      <c r="P2740" s="5">
        <f>XLOOKUP(R2740, classification!C:C, classification!B:B, "Not Found")</f>
      </c>
      <c r="Q2740" s="1" t="s">
        <v>5514</v>
      </c>
      <c r="R2740" s="2"/>
      <c r="S2740" s="2"/>
      <c r="T2740" s="2"/>
      <c r="U2740" s="2"/>
    </row>
    <row x14ac:dyDescent="0.25" r="2741" customHeight="1" ht="17.25">
      <c r="A2741" s="7">
        <v>2740</v>
      </c>
      <c r="B2741" s="1" t="s">
        <v>8089</v>
      </c>
      <c r="C2741" s="5">
        <f>CONCATENATE("PD", TEXT(A2741, "1000000"))</f>
      </c>
      <c r="D2741" s="7">
        <v>78</v>
      </c>
      <c r="E2741" s="5">
        <f>XLOOKUP(G2741, item_category!C:C, item_category!B:B, "Not Found")</f>
      </c>
      <c r="F2741" s="1" t="s">
        <v>5522</v>
      </c>
      <c r="G2741" s="5">
        <f>XLOOKUP(I2741, drug!B:B, drug!A:A, "Not Found")</f>
      </c>
      <c r="H2741" s="1"/>
      <c r="I2741" s="7">
        <v>1</v>
      </c>
      <c r="J2741" s="5">
        <f>XLOOKUP(L2741, uom!C:C, uom!B:B, "Not Found")</f>
      </c>
      <c r="K2741" s="1" t="s">
        <v>5511</v>
      </c>
      <c r="L2741" s="5">
        <f>XLOOKUP(N2741, uom!C:C, uom!B:B, "Not Found")</f>
      </c>
      <c r="M2741" s="1" t="s">
        <v>5511</v>
      </c>
      <c r="N2741" s="8" t="s">
        <v>5512</v>
      </c>
      <c r="O2741" s="1" t="s">
        <v>5513</v>
      </c>
      <c r="P2741" s="5">
        <f>XLOOKUP(R2741, classification!C:C, classification!B:B, "Not Found")</f>
      </c>
      <c r="Q2741" s="1" t="s">
        <v>5514</v>
      </c>
      <c r="R2741" s="2"/>
      <c r="S2741" s="2"/>
      <c r="T2741" s="2"/>
      <c r="U2741" s="2"/>
    </row>
    <row x14ac:dyDescent="0.25" r="2742" customHeight="1" ht="17.25">
      <c r="A2742" s="7">
        <v>2741</v>
      </c>
      <c r="B2742" s="1" t="s">
        <v>8090</v>
      </c>
      <c r="C2742" s="5">
        <f>CONCATENATE("PD", TEXT(A2742, "1000000"))</f>
      </c>
      <c r="D2742" s="7">
        <v>78</v>
      </c>
      <c r="E2742" s="5">
        <f>XLOOKUP(G2742, item_category!C:C, item_category!B:B, "Not Found")</f>
      </c>
      <c r="F2742" s="1" t="s">
        <v>5522</v>
      </c>
      <c r="G2742" s="5">
        <f>XLOOKUP(I2742, drug!B:B, drug!A:A, "Not Found")</f>
      </c>
      <c r="H2742" s="1"/>
      <c r="I2742" s="7">
        <v>1</v>
      </c>
      <c r="J2742" s="5">
        <f>XLOOKUP(L2742, uom!C:C, uom!B:B, "Not Found")</f>
      </c>
      <c r="K2742" s="1" t="s">
        <v>5511</v>
      </c>
      <c r="L2742" s="5">
        <f>XLOOKUP(N2742, uom!C:C, uom!B:B, "Not Found")</f>
      </c>
      <c r="M2742" s="1" t="s">
        <v>5511</v>
      </c>
      <c r="N2742" s="8" t="s">
        <v>5512</v>
      </c>
      <c r="O2742" s="1" t="s">
        <v>5513</v>
      </c>
      <c r="P2742" s="5">
        <f>XLOOKUP(R2742, classification!C:C, classification!B:B, "Not Found")</f>
      </c>
      <c r="Q2742" s="1" t="s">
        <v>5514</v>
      </c>
      <c r="R2742" s="2"/>
      <c r="S2742" s="2"/>
      <c r="T2742" s="2"/>
      <c r="U2742" s="2"/>
    </row>
    <row x14ac:dyDescent="0.25" r="2743" customHeight="1" ht="17.25">
      <c r="A2743" s="7">
        <v>2742</v>
      </c>
      <c r="B2743" s="1" t="s">
        <v>8091</v>
      </c>
      <c r="C2743" s="5">
        <f>CONCATENATE("PD", TEXT(A2743, "1000000"))</f>
      </c>
      <c r="D2743" s="7">
        <v>78</v>
      </c>
      <c r="E2743" s="5">
        <f>XLOOKUP(G2743, item_category!C:C, item_category!B:B, "Not Found")</f>
      </c>
      <c r="F2743" s="1" t="s">
        <v>5522</v>
      </c>
      <c r="G2743" s="5">
        <f>XLOOKUP(I2743, drug!B:B, drug!A:A, "Not Found")</f>
      </c>
      <c r="H2743" s="1"/>
      <c r="I2743" s="7">
        <v>1</v>
      </c>
      <c r="J2743" s="5">
        <f>XLOOKUP(L2743, uom!C:C, uom!B:B, "Not Found")</f>
      </c>
      <c r="K2743" s="1" t="s">
        <v>5511</v>
      </c>
      <c r="L2743" s="5">
        <f>XLOOKUP(N2743, uom!C:C, uom!B:B, "Not Found")</f>
      </c>
      <c r="M2743" s="1" t="s">
        <v>5511</v>
      </c>
      <c r="N2743" s="8" t="s">
        <v>5512</v>
      </c>
      <c r="O2743" s="1" t="s">
        <v>5513</v>
      </c>
      <c r="P2743" s="5">
        <f>XLOOKUP(R2743, classification!C:C, classification!B:B, "Not Found")</f>
      </c>
      <c r="Q2743" s="1" t="s">
        <v>5514</v>
      </c>
      <c r="R2743" s="2"/>
      <c r="S2743" s="2"/>
      <c r="T2743" s="2"/>
      <c r="U2743" s="2"/>
    </row>
    <row x14ac:dyDescent="0.25" r="2744" customHeight="1" ht="17.25">
      <c r="A2744" s="7">
        <v>2743</v>
      </c>
      <c r="B2744" s="1" t="s">
        <v>8091</v>
      </c>
      <c r="C2744" s="5">
        <f>CONCATENATE("PD", TEXT(A2744, "1000000"))</f>
      </c>
      <c r="D2744" s="7">
        <v>78</v>
      </c>
      <c r="E2744" s="5">
        <f>XLOOKUP(G2744, item_category!C:C, item_category!B:B, "Not Found")</f>
      </c>
      <c r="F2744" s="1" t="s">
        <v>5522</v>
      </c>
      <c r="G2744" s="5">
        <f>XLOOKUP(I2744, drug!B:B, drug!A:A, "Not Found")</f>
      </c>
      <c r="H2744" s="1"/>
      <c r="I2744" s="7">
        <v>1</v>
      </c>
      <c r="J2744" s="5">
        <f>XLOOKUP(L2744, uom!C:C, uom!B:B, "Not Found")</f>
      </c>
      <c r="K2744" s="1" t="s">
        <v>5511</v>
      </c>
      <c r="L2744" s="5">
        <f>XLOOKUP(N2744, uom!C:C, uom!B:B, "Not Found")</f>
      </c>
      <c r="M2744" s="1" t="s">
        <v>5511</v>
      </c>
      <c r="N2744" s="8" t="s">
        <v>5512</v>
      </c>
      <c r="O2744" s="1" t="s">
        <v>5513</v>
      </c>
      <c r="P2744" s="5">
        <f>XLOOKUP(R2744, classification!C:C, classification!B:B, "Not Found")</f>
      </c>
      <c r="Q2744" s="1" t="s">
        <v>5514</v>
      </c>
      <c r="R2744" s="2"/>
      <c r="S2744" s="2"/>
      <c r="T2744" s="2"/>
      <c r="U2744" s="2"/>
    </row>
    <row x14ac:dyDescent="0.25" r="2745" customHeight="1" ht="17.25">
      <c r="A2745" s="7">
        <v>2744</v>
      </c>
      <c r="B2745" s="1" t="s">
        <v>8092</v>
      </c>
      <c r="C2745" s="5">
        <f>CONCATENATE("PD", TEXT(A2745, "1000000"))</f>
      </c>
      <c r="D2745" s="7">
        <v>78</v>
      </c>
      <c r="E2745" s="5">
        <f>XLOOKUP(G2745, item_category!C:C, item_category!B:B, "Not Found")</f>
      </c>
      <c r="F2745" s="1" t="s">
        <v>5522</v>
      </c>
      <c r="G2745" s="5">
        <f>XLOOKUP(I2745, drug!B:B, drug!A:A, "Not Found")</f>
      </c>
      <c r="H2745" s="1"/>
      <c r="I2745" s="7">
        <v>1</v>
      </c>
      <c r="J2745" s="5">
        <f>XLOOKUP(L2745, uom!C:C, uom!B:B, "Not Found")</f>
      </c>
      <c r="K2745" s="1" t="s">
        <v>5511</v>
      </c>
      <c r="L2745" s="5">
        <f>XLOOKUP(N2745, uom!C:C, uom!B:B, "Not Found")</f>
      </c>
      <c r="M2745" s="1" t="s">
        <v>5511</v>
      </c>
      <c r="N2745" s="8" t="s">
        <v>5512</v>
      </c>
      <c r="O2745" s="1" t="s">
        <v>5513</v>
      </c>
      <c r="P2745" s="5">
        <f>XLOOKUP(R2745, classification!C:C, classification!B:B, "Not Found")</f>
      </c>
      <c r="Q2745" s="1" t="s">
        <v>5514</v>
      </c>
      <c r="R2745" s="2"/>
      <c r="S2745" s="2"/>
      <c r="T2745" s="2"/>
      <c r="U2745" s="2"/>
    </row>
    <row x14ac:dyDescent="0.25" r="2746" customHeight="1" ht="17.25">
      <c r="A2746" s="7">
        <v>2745</v>
      </c>
      <c r="B2746" s="1" t="s">
        <v>8092</v>
      </c>
      <c r="C2746" s="5">
        <f>CONCATENATE("PD", TEXT(A2746, "1000000"))</f>
      </c>
      <c r="D2746" s="7">
        <v>78</v>
      </c>
      <c r="E2746" s="5">
        <f>XLOOKUP(G2746, item_category!C:C, item_category!B:B, "Not Found")</f>
      </c>
      <c r="F2746" s="1" t="s">
        <v>5522</v>
      </c>
      <c r="G2746" s="5">
        <f>XLOOKUP(I2746, drug!B:B, drug!A:A, "Not Found")</f>
      </c>
      <c r="H2746" s="1"/>
      <c r="I2746" s="7">
        <v>1</v>
      </c>
      <c r="J2746" s="5">
        <f>XLOOKUP(L2746, uom!C:C, uom!B:B, "Not Found")</f>
      </c>
      <c r="K2746" s="1" t="s">
        <v>5511</v>
      </c>
      <c r="L2746" s="5">
        <f>XLOOKUP(N2746, uom!C:C, uom!B:B, "Not Found")</f>
      </c>
      <c r="M2746" s="1" t="s">
        <v>5511</v>
      </c>
      <c r="N2746" s="8" t="s">
        <v>5512</v>
      </c>
      <c r="O2746" s="1" t="s">
        <v>5513</v>
      </c>
      <c r="P2746" s="5">
        <f>XLOOKUP(R2746, classification!C:C, classification!B:B, "Not Found")</f>
      </c>
      <c r="Q2746" s="1" t="s">
        <v>5514</v>
      </c>
      <c r="R2746" s="2"/>
      <c r="S2746" s="2"/>
      <c r="T2746" s="2"/>
      <c r="U2746" s="2"/>
    </row>
    <row x14ac:dyDescent="0.25" r="2747" customHeight="1" ht="17.25">
      <c r="A2747" s="7">
        <v>2746</v>
      </c>
      <c r="B2747" s="1" t="s">
        <v>8093</v>
      </c>
      <c r="C2747" s="5">
        <f>CONCATENATE("PD", TEXT(A2747, "1000000"))</f>
      </c>
      <c r="D2747" s="7">
        <v>78</v>
      </c>
      <c r="E2747" s="5">
        <f>XLOOKUP(G2747, item_category!C:C, item_category!B:B, "Not Found")</f>
      </c>
      <c r="F2747" s="1" t="s">
        <v>5522</v>
      </c>
      <c r="G2747" s="5">
        <f>XLOOKUP(I2747, drug!B:B, drug!A:A, "Not Found")</f>
      </c>
      <c r="H2747" s="1" t="s">
        <v>516</v>
      </c>
      <c r="I2747" s="7">
        <v>1</v>
      </c>
      <c r="J2747" s="5">
        <f>XLOOKUP(L2747, uom!C:C, uom!B:B, "Not Found")</f>
      </c>
      <c r="K2747" s="1" t="s">
        <v>5511</v>
      </c>
      <c r="L2747" s="5">
        <f>XLOOKUP(N2747, uom!C:C, uom!B:B, "Not Found")</f>
      </c>
      <c r="M2747" s="1" t="s">
        <v>5511</v>
      </c>
      <c r="N2747" s="8" t="s">
        <v>5512</v>
      </c>
      <c r="O2747" s="1" t="s">
        <v>5513</v>
      </c>
      <c r="P2747" s="5">
        <f>XLOOKUP(R2747, classification!C:C, classification!B:B, "Not Found")</f>
      </c>
      <c r="Q2747" s="1" t="s">
        <v>5514</v>
      </c>
      <c r="R2747" s="2"/>
      <c r="S2747" s="2"/>
      <c r="T2747" s="2"/>
      <c r="U2747" s="2"/>
    </row>
    <row x14ac:dyDescent="0.25" r="2748" customHeight="1" ht="17.25">
      <c r="A2748" s="7">
        <v>2747</v>
      </c>
      <c r="B2748" s="1" t="s">
        <v>8094</v>
      </c>
      <c r="C2748" s="5">
        <f>CONCATENATE("PD", TEXT(A2748, "1000000"))</f>
      </c>
      <c r="D2748" s="7">
        <v>78</v>
      </c>
      <c r="E2748" s="5">
        <f>XLOOKUP(G2748, item_category!C:C, item_category!B:B, "Not Found")</f>
      </c>
      <c r="F2748" s="1" t="s">
        <v>5522</v>
      </c>
      <c r="G2748" s="5">
        <f>XLOOKUP(I2748, drug!B:B, drug!A:A, "Not Found")</f>
      </c>
      <c r="H2748" s="1"/>
      <c r="I2748" s="7">
        <v>1</v>
      </c>
      <c r="J2748" s="5">
        <f>XLOOKUP(L2748, uom!C:C, uom!B:B, "Not Found")</f>
      </c>
      <c r="K2748" s="1" t="s">
        <v>5511</v>
      </c>
      <c r="L2748" s="5">
        <f>XLOOKUP(N2748, uom!C:C, uom!B:B, "Not Found")</f>
      </c>
      <c r="M2748" s="1" t="s">
        <v>5511</v>
      </c>
      <c r="N2748" s="8" t="s">
        <v>5512</v>
      </c>
      <c r="O2748" s="1" t="s">
        <v>5513</v>
      </c>
      <c r="P2748" s="5">
        <f>XLOOKUP(R2748, classification!C:C, classification!B:B, "Not Found")</f>
      </c>
      <c r="Q2748" s="1" t="s">
        <v>5514</v>
      </c>
      <c r="R2748" s="2"/>
      <c r="S2748" s="2"/>
      <c r="T2748" s="2"/>
      <c r="U2748" s="2"/>
    </row>
    <row x14ac:dyDescent="0.25" r="2749" customHeight="1" ht="17.25">
      <c r="A2749" s="7">
        <v>2748</v>
      </c>
      <c r="B2749" s="1" t="s">
        <v>8095</v>
      </c>
      <c r="C2749" s="5">
        <f>CONCATENATE("PD", TEXT(A2749, "1000000"))</f>
      </c>
      <c r="D2749" s="7">
        <v>78</v>
      </c>
      <c r="E2749" s="5">
        <f>XLOOKUP(G2749, item_category!C:C, item_category!B:B, "Not Found")</f>
      </c>
      <c r="F2749" s="1" t="s">
        <v>5522</v>
      </c>
      <c r="G2749" s="5">
        <f>XLOOKUP(I2749, drug!B:B, drug!A:A, "Not Found")</f>
      </c>
      <c r="H2749" s="1"/>
      <c r="I2749" s="7">
        <v>1</v>
      </c>
      <c r="J2749" s="5">
        <f>XLOOKUP(L2749, uom!C:C, uom!B:B, "Not Found")</f>
      </c>
      <c r="K2749" s="1" t="s">
        <v>5511</v>
      </c>
      <c r="L2749" s="5">
        <f>XLOOKUP(N2749, uom!C:C, uom!B:B, "Not Found")</f>
      </c>
      <c r="M2749" s="1" t="s">
        <v>5511</v>
      </c>
      <c r="N2749" s="8" t="s">
        <v>5512</v>
      </c>
      <c r="O2749" s="1" t="s">
        <v>5513</v>
      </c>
      <c r="P2749" s="5">
        <f>XLOOKUP(R2749, classification!C:C, classification!B:B, "Not Found")</f>
      </c>
      <c r="Q2749" s="1" t="s">
        <v>5514</v>
      </c>
      <c r="R2749" s="2"/>
      <c r="S2749" s="2"/>
      <c r="T2749" s="2"/>
      <c r="U2749" s="2"/>
    </row>
    <row x14ac:dyDescent="0.25" r="2750" customHeight="1" ht="17.25">
      <c r="A2750" s="7">
        <v>2749</v>
      </c>
      <c r="B2750" s="1" t="s">
        <v>8096</v>
      </c>
      <c r="C2750" s="5">
        <f>CONCATENATE("PD", TEXT(A2750, "1000000"))</f>
      </c>
      <c r="D2750" s="7">
        <v>78</v>
      </c>
      <c r="E2750" s="5">
        <f>XLOOKUP(G2750, item_category!C:C, item_category!B:B, "Not Found")</f>
      </c>
      <c r="F2750" s="1" t="s">
        <v>5522</v>
      </c>
      <c r="G2750" s="5">
        <f>XLOOKUP(I2750, drug!B:B, drug!A:A, "Not Found")</f>
      </c>
      <c r="H2750" s="1"/>
      <c r="I2750" s="7">
        <v>1</v>
      </c>
      <c r="J2750" s="5">
        <f>XLOOKUP(L2750, uom!C:C, uom!B:B, "Not Found")</f>
      </c>
      <c r="K2750" s="1" t="s">
        <v>5511</v>
      </c>
      <c r="L2750" s="5">
        <f>XLOOKUP(N2750, uom!C:C, uom!B:B, "Not Found")</f>
      </c>
      <c r="M2750" s="1" t="s">
        <v>5511</v>
      </c>
      <c r="N2750" s="8" t="s">
        <v>5512</v>
      </c>
      <c r="O2750" s="1" t="s">
        <v>5513</v>
      </c>
      <c r="P2750" s="5">
        <f>XLOOKUP(R2750, classification!C:C, classification!B:B, "Not Found")</f>
      </c>
      <c r="Q2750" s="1" t="s">
        <v>5514</v>
      </c>
      <c r="R2750" s="2"/>
      <c r="S2750" s="2"/>
      <c r="T2750" s="2"/>
      <c r="U2750" s="2"/>
    </row>
    <row x14ac:dyDescent="0.25" r="2751" customHeight="1" ht="17.25">
      <c r="A2751" s="7">
        <v>2750</v>
      </c>
      <c r="B2751" s="1" t="s">
        <v>8097</v>
      </c>
      <c r="C2751" s="5">
        <f>CONCATENATE("PD", TEXT(A2751, "1000000"))</f>
      </c>
      <c r="D2751" s="7">
        <v>78</v>
      </c>
      <c r="E2751" s="5">
        <f>XLOOKUP(G2751, item_category!C:C, item_category!B:B, "Not Found")</f>
      </c>
      <c r="F2751" s="1" t="s">
        <v>5522</v>
      </c>
      <c r="G2751" s="5">
        <f>XLOOKUP(I2751, drug!B:B, drug!A:A, "Not Found")</f>
      </c>
      <c r="H2751" s="1"/>
      <c r="I2751" s="7">
        <v>1</v>
      </c>
      <c r="J2751" s="5">
        <f>XLOOKUP(L2751, uom!C:C, uom!B:B, "Not Found")</f>
      </c>
      <c r="K2751" s="1" t="s">
        <v>5511</v>
      </c>
      <c r="L2751" s="5">
        <f>XLOOKUP(N2751, uom!C:C, uom!B:B, "Not Found")</f>
      </c>
      <c r="M2751" s="1" t="s">
        <v>5511</v>
      </c>
      <c r="N2751" s="8" t="s">
        <v>5512</v>
      </c>
      <c r="O2751" s="1" t="s">
        <v>5513</v>
      </c>
      <c r="P2751" s="5">
        <f>XLOOKUP(R2751, classification!C:C, classification!B:B, "Not Found")</f>
      </c>
      <c r="Q2751" s="1" t="s">
        <v>5514</v>
      </c>
      <c r="R2751" s="2"/>
      <c r="S2751" s="2"/>
      <c r="T2751" s="2"/>
      <c r="U2751" s="2"/>
    </row>
    <row x14ac:dyDescent="0.25" r="2752" customHeight="1" ht="17.25">
      <c r="A2752" s="7">
        <v>2751</v>
      </c>
      <c r="B2752" s="1" t="s">
        <v>8098</v>
      </c>
      <c r="C2752" s="5">
        <f>CONCATENATE("PD", TEXT(A2752, "1000000"))</f>
      </c>
      <c r="D2752" s="7">
        <v>78</v>
      </c>
      <c r="E2752" s="5">
        <f>XLOOKUP(G2752, item_category!C:C, item_category!B:B, "Not Found")</f>
      </c>
      <c r="F2752" s="1" t="s">
        <v>5522</v>
      </c>
      <c r="G2752" s="5">
        <f>XLOOKUP(I2752, drug!B:B, drug!A:A, "Not Found")</f>
      </c>
      <c r="H2752" s="1"/>
      <c r="I2752" s="7">
        <v>1</v>
      </c>
      <c r="J2752" s="5">
        <f>XLOOKUP(L2752, uom!C:C, uom!B:B, "Not Found")</f>
      </c>
      <c r="K2752" s="1" t="s">
        <v>5511</v>
      </c>
      <c r="L2752" s="5">
        <f>XLOOKUP(N2752, uom!C:C, uom!B:B, "Not Found")</f>
      </c>
      <c r="M2752" s="1" t="s">
        <v>5511</v>
      </c>
      <c r="N2752" s="8" t="s">
        <v>5512</v>
      </c>
      <c r="O2752" s="1" t="s">
        <v>5513</v>
      </c>
      <c r="P2752" s="5">
        <f>XLOOKUP(R2752, classification!C:C, classification!B:B, "Not Found")</f>
      </c>
      <c r="Q2752" s="1" t="s">
        <v>5514</v>
      </c>
      <c r="R2752" s="2"/>
      <c r="S2752" s="2"/>
      <c r="T2752" s="2"/>
      <c r="U2752" s="2"/>
    </row>
    <row x14ac:dyDescent="0.25" r="2753" customHeight="1" ht="17.25">
      <c r="A2753" s="7">
        <v>2752</v>
      </c>
      <c r="B2753" s="1" t="s">
        <v>8099</v>
      </c>
      <c r="C2753" s="5">
        <f>CONCATENATE("PD", TEXT(A2753, "1000000"))</f>
      </c>
      <c r="D2753" s="7">
        <v>78</v>
      </c>
      <c r="E2753" s="5">
        <f>XLOOKUP(G2753, item_category!C:C, item_category!B:B, "Not Found")</f>
      </c>
      <c r="F2753" s="1" t="s">
        <v>5522</v>
      </c>
      <c r="G2753" s="5">
        <f>XLOOKUP(I2753, drug!B:B, drug!A:A, "Not Found")</f>
      </c>
      <c r="H2753" s="1"/>
      <c r="I2753" s="7">
        <v>1</v>
      </c>
      <c r="J2753" s="5">
        <f>XLOOKUP(L2753, uom!C:C, uom!B:B, "Not Found")</f>
      </c>
      <c r="K2753" s="1" t="s">
        <v>5511</v>
      </c>
      <c r="L2753" s="5">
        <f>XLOOKUP(N2753, uom!C:C, uom!B:B, "Not Found")</f>
      </c>
      <c r="M2753" s="1" t="s">
        <v>5511</v>
      </c>
      <c r="N2753" s="8" t="s">
        <v>5512</v>
      </c>
      <c r="O2753" s="1" t="s">
        <v>5513</v>
      </c>
      <c r="P2753" s="5">
        <f>XLOOKUP(R2753, classification!C:C, classification!B:B, "Not Found")</f>
      </c>
      <c r="Q2753" s="1" t="s">
        <v>5514</v>
      </c>
      <c r="R2753" s="2"/>
      <c r="S2753" s="2"/>
      <c r="T2753" s="2"/>
      <c r="U2753" s="2"/>
    </row>
    <row x14ac:dyDescent="0.25" r="2754" customHeight="1" ht="17.25">
      <c r="A2754" s="7">
        <v>2753</v>
      </c>
      <c r="B2754" s="1" t="s">
        <v>8100</v>
      </c>
      <c r="C2754" s="5">
        <f>CONCATENATE("PD", TEXT(A2754, "1000000"))</f>
      </c>
      <c r="D2754" s="7">
        <v>78</v>
      </c>
      <c r="E2754" s="5">
        <f>XLOOKUP(G2754, item_category!C:C, item_category!B:B, "Not Found")</f>
      </c>
      <c r="F2754" s="1" t="s">
        <v>5522</v>
      </c>
      <c r="G2754" s="5">
        <f>XLOOKUP(I2754, drug!B:B, drug!A:A, "Not Found")</f>
      </c>
      <c r="H2754" s="1"/>
      <c r="I2754" s="7">
        <v>1</v>
      </c>
      <c r="J2754" s="5">
        <f>XLOOKUP(L2754, uom!C:C, uom!B:B, "Not Found")</f>
      </c>
      <c r="K2754" s="1" t="s">
        <v>5511</v>
      </c>
      <c r="L2754" s="5">
        <f>XLOOKUP(N2754, uom!C:C, uom!B:B, "Not Found")</f>
      </c>
      <c r="M2754" s="1" t="s">
        <v>5511</v>
      </c>
      <c r="N2754" s="8" t="s">
        <v>5512</v>
      </c>
      <c r="O2754" s="1" t="s">
        <v>5513</v>
      </c>
      <c r="P2754" s="5">
        <f>XLOOKUP(R2754, classification!C:C, classification!B:B, "Not Found")</f>
      </c>
      <c r="Q2754" s="1" t="s">
        <v>5514</v>
      </c>
      <c r="R2754" s="2"/>
      <c r="S2754" s="2"/>
      <c r="T2754" s="2"/>
      <c r="U2754" s="2"/>
    </row>
    <row x14ac:dyDescent="0.25" r="2755" customHeight="1" ht="17.25">
      <c r="A2755" s="7">
        <v>2754</v>
      </c>
      <c r="B2755" s="1" t="s">
        <v>8101</v>
      </c>
      <c r="C2755" s="5">
        <f>CONCATENATE("PD", TEXT(A2755, "1000000"))</f>
      </c>
      <c r="D2755" s="7">
        <v>78</v>
      </c>
      <c r="E2755" s="5">
        <f>XLOOKUP(G2755, item_category!C:C, item_category!B:B, "Not Found")</f>
      </c>
      <c r="F2755" s="1" t="s">
        <v>5522</v>
      </c>
      <c r="G2755" s="5">
        <f>XLOOKUP(I2755, drug!B:B, drug!A:A, "Not Found")</f>
      </c>
      <c r="H2755" s="1"/>
      <c r="I2755" s="7">
        <v>1</v>
      </c>
      <c r="J2755" s="5">
        <f>XLOOKUP(L2755, uom!C:C, uom!B:B, "Not Found")</f>
      </c>
      <c r="K2755" s="1" t="s">
        <v>5511</v>
      </c>
      <c r="L2755" s="5">
        <f>XLOOKUP(N2755, uom!C:C, uom!B:B, "Not Found")</f>
      </c>
      <c r="M2755" s="1" t="s">
        <v>5511</v>
      </c>
      <c r="N2755" s="8" t="s">
        <v>5512</v>
      </c>
      <c r="O2755" s="1" t="s">
        <v>5513</v>
      </c>
      <c r="P2755" s="5">
        <f>XLOOKUP(R2755, classification!C:C, classification!B:B, "Not Found")</f>
      </c>
      <c r="Q2755" s="1" t="s">
        <v>5514</v>
      </c>
      <c r="R2755" s="2"/>
      <c r="S2755" s="2"/>
      <c r="T2755" s="2"/>
      <c r="U2755" s="2"/>
    </row>
    <row x14ac:dyDescent="0.25" r="2756" customHeight="1" ht="17.25">
      <c r="A2756" s="7">
        <v>2755</v>
      </c>
      <c r="B2756" s="1" t="s">
        <v>8102</v>
      </c>
      <c r="C2756" s="5">
        <f>CONCATENATE("PD", TEXT(A2756, "1000000"))</f>
      </c>
      <c r="D2756" s="7">
        <v>78</v>
      </c>
      <c r="E2756" s="5">
        <f>XLOOKUP(G2756, item_category!C:C, item_category!B:B, "Not Found")</f>
      </c>
      <c r="F2756" s="1" t="s">
        <v>5522</v>
      </c>
      <c r="G2756" s="5">
        <f>XLOOKUP(I2756, drug!B:B, drug!A:A, "Not Found")</f>
      </c>
      <c r="H2756" s="1"/>
      <c r="I2756" s="7">
        <v>1</v>
      </c>
      <c r="J2756" s="5">
        <f>XLOOKUP(L2756, uom!C:C, uom!B:B, "Not Found")</f>
      </c>
      <c r="K2756" s="1" t="s">
        <v>5511</v>
      </c>
      <c r="L2756" s="5">
        <f>XLOOKUP(N2756, uom!C:C, uom!B:B, "Not Found")</f>
      </c>
      <c r="M2756" s="1" t="s">
        <v>5511</v>
      </c>
      <c r="N2756" s="8" t="s">
        <v>5512</v>
      </c>
      <c r="O2756" s="1" t="s">
        <v>5513</v>
      </c>
      <c r="P2756" s="5">
        <f>XLOOKUP(R2756, classification!C:C, classification!B:B, "Not Found")</f>
      </c>
      <c r="Q2756" s="1" t="s">
        <v>5514</v>
      </c>
      <c r="R2756" s="2"/>
      <c r="S2756" s="2"/>
      <c r="T2756" s="2"/>
      <c r="U2756" s="2"/>
    </row>
    <row x14ac:dyDescent="0.25" r="2757" customHeight="1" ht="17.25">
      <c r="A2757" s="7">
        <v>2756</v>
      </c>
      <c r="B2757" s="1" t="s">
        <v>8103</v>
      </c>
      <c r="C2757" s="5">
        <f>CONCATENATE("PD", TEXT(A2757, "1000000"))</f>
      </c>
      <c r="D2757" s="7">
        <v>78</v>
      </c>
      <c r="E2757" s="5">
        <f>XLOOKUP(G2757, item_category!C:C, item_category!B:B, "Not Found")</f>
      </c>
      <c r="F2757" s="1" t="s">
        <v>5522</v>
      </c>
      <c r="G2757" s="5">
        <f>XLOOKUP(I2757, drug!B:B, drug!A:A, "Not Found")</f>
      </c>
      <c r="H2757" s="1"/>
      <c r="I2757" s="7">
        <v>1</v>
      </c>
      <c r="J2757" s="5">
        <f>XLOOKUP(L2757, uom!C:C, uom!B:B, "Not Found")</f>
      </c>
      <c r="K2757" s="1" t="s">
        <v>5511</v>
      </c>
      <c r="L2757" s="5">
        <f>XLOOKUP(N2757, uom!C:C, uom!B:B, "Not Found")</f>
      </c>
      <c r="M2757" s="1" t="s">
        <v>5511</v>
      </c>
      <c r="N2757" s="8" t="s">
        <v>5512</v>
      </c>
      <c r="O2757" s="1" t="s">
        <v>5513</v>
      </c>
      <c r="P2757" s="5">
        <f>XLOOKUP(R2757, classification!C:C, classification!B:B, "Not Found")</f>
      </c>
      <c r="Q2757" s="1" t="s">
        <v>5514</v>
      </c>
      <c r="R2757" s="2"/>
      <c r="S2757" s="2"/>
      <c r="T2757" s="2"/>
      <c r="U2757" s="2"/>
    </row>
    <row x14ac:dyDescent="0.25" r="2758" customHeight="1" ht="17.25">
      <c r="A2758" s="7">
        <v>2757</v>
      </c>
      <c r="B2758" s="1" t="s">
        <v>8104</v>
      </c>
      <c r="C2758" s="5">
        <f>CONCATENATE("PD", TEXT(A2758, "1000000"))</f>
      </c>
      <c r="D2758" s="7">
        <v>78</v>
      </c>
      <c r="E2758" s="5">
        <f>XLOOKUP(G2758, item_category!C:C, item_category!B:B, "Not Found")</f>
      </c>
      <c r="F2758" s="1" t="s">
        <v>5522</v>
      </c>
      <c r="G2758" s="5">
        <f>XLOOKUP(I2758, drug!B:B, drug!A:A, "Not Found")</f>
      </c>
      <c r="H2758" s="1"/>
      <c r="I2758" s="7">
        <v>1</v>
      </c>
      <c r="J2758" s="5">
        <f>XLOOKUP(L2758, uom!C:C, uom!B:B, "Not Found")</f>
      </c>
      <c r="K2758" s="1" t="s">
        <v>5511</v>
      </c>
      <c r="L2758" s="5">
        <f>XLOOKUP(N2758, uom!C:C, uom!B:B, "Not Found")</f>
      </c>
      <c r="M2758" s="1" t="s">
        <v>5511</v>
      </c>
      <c r="N2758" s="8" t="s">
        <v>5512</v>
      </c>
      <c r="O2758" s="1" t="s">
        <v>5513</v>
      </c>
      <c r="P2758" s="5">
        <f>XLOOKUP(R2758, classification!C:C, classification!B:B, "Not Found")</f>
      </c>
      <c r="Q2758" s="1" t="s">
        <v>5514</v>
      </c>
      <c r="R2758" s="2"/>
      <c r="S2758" s="2"/>
      <c r="T2758" s="2"/>
      <c r="U2758" s="2"/>
    </row>
    <row x14ac:dyDescent="0.25" r="2759" customHeight="1" ht="17.25">
      <c r="A2759" s="7">
        <v>2758</v>
      </c>
      <c r="B2759" s="1" t="s">
        <v>3282</v>
      </c>
      <c r="C2759" s="5">
        <f>CONCATENATE("PD", TEXT(A2759, "1000000"))</f>
      </c>
      <c r="D2759" s="7">
        <v>78</v>
      </c>
      <c r="E2759" s="5">
        <f>XLOOKUP(G2759, item_category!C:C, item_category!B:B, "Not Found")</f>
      </c>
      <c r="F2759" s="1" t="s">
        <v>5522</v>
      </c>
      <c r="G2759" s="5">
        <f>XLOOKUP(I2759, drug!B:B, drug!A:A, "Not Found")</f>
      </c>
      <c r="H2759" s="1"/>
      <c r="I2759" s="7">
        <v>1</v>
      </c>
      <c r="J2759" s="5">
        <f>XLOOKUP(L2759, uom!C:C, uom!B:B, "Not Found")</f>
      </c>
      <c r="K2759" s="1" t="s">
        <v>5511</v>
      </c>
      <c r="L2759" s="5">
        <f>XLOOKUP(N2759, uom!C:C, uom!B:B, "Not Found")</f>
      </c>
      <c r="M2759" s="1" t="s">
        <v>5511</v>
      </c>
      <c r="N2759" s="8" t="s">
        <v>5512</v>
      </c>
      <c r="O2759" s="1" t="s">
        <v>5513</v>
      </c>
      <c r="P2759" s="5">
        <f>XLOOKUP(R2759, classification!C:C, classification!B:B, "Not Found")</f>
      </c>
      <c r="Q2759" s="1" t="s">
        <v>5514</v>
      </c>
      <c r="R2759" s="2"/>
      <c r="S2759" s="2"/>
      <c r="T2759" s="2"/>
      <c r="U2759" s="2"/>
    </row>
    <row x14ac:dyDescent="0.25" r="2760" customHeight="1" ht="17.25">
      <c r="A2760" s="7">
        <v>2759</v>
      </c>
      <c r="B2760" s="1" t="s">
        <v>3284</v>
      </c>
      <c r="C2760" s="5">
        <f>CONCATENATE("PD", TEXT(A2760, "1000000"))</f>
      </c>
      <c r="D2760" s="7">
        <v>78</v>
      </c>
      <c r="E2760" s="5">
        <f>XLOOKUP(G2760, item_category!C:C, item_category!B:B, "Not Found")</f>
      </c>
      <c r="F2760" s="1" t="s">
        <v>5522</v>
      </c>
      <c r="G2760" s="5">
        <f>XLOOKUP(I2760, drug!B:B, drug!A:A, "Not Found")</f>
      </c>
      <c r="H2760" s="1"/>
      <c r="I2760" s="7">
        <v>1</v>
      </c>
      <c r="J2760" s="5">
        <f>XLOOKUP(L2760, uom!C:C, uom!B:B, "Not Found")</f>
      </c>
      <c r="K2760" s="1" t="s">
        <v>5511</v>
      </c>
      <c r="L2760" s="5">
        <f>XLOOKUP(N2760, uom!C:C, uom!B:B, "Not Found")</f>
      </c>
      <c r="M2760" s="1" t="s">
        <v>5511</v>
      </c>
      <c r="N2760" s="8" t="s">
        <v>5512</v>
      </c>
      <c r="O2760" s="1" t="s">
        <v>5513</v>
      </c>
      <c r="P2760" s="5">
        <f>XLOOKUP(R2760, classification!C:C, classification!B:B, "Not Found")</f>
      </c>
      <c r="Q2760" s="1" t="s">
        <v>5514</v>
      </c>
      <c r="R2760" s="2"/>
      <c r="S2760" s="2"/>
      <c r="T2760" s="2"/>
      <c r="U2760" s="2"/>
    </row>
    <row x14ac:dyDescent="0.25" r="2761" customHeight="1" ht="17.25">
      <c r="A2761" s="7">
        <v>2760</v>
      </c>
      <c r="B2761" s="1" t="s">
        <v>8105</v>
      </c>
      <c r="C2761" s="5">
        <f>CONCATENATE("PD", TEXT(A2761, "1000000"))</f>
      </c>
      <c r="D2761" s="7">
        <v>78</v>
      </c>
      <c r="E2761" s="5">
        <f>XLOOKUP(G2761, item_category!C:C, item_category!B:B, "Not Found")</f>
      </c>
      <c r="F2761" s="1" t="s">
        <v>5522</v>
      </c>
      <c r="G2761" s="5">
        <f>XLOOKUP(I2761, drug!B:B, drug!A:A, "Not Found")</f>
      </c>
      <c r="H2761" s="1"/>
      <c r="I2761" s="7">
        <v>1</v>
      </c>
      <c r="J2761" s="5">
        <f>XLOOKUP(L2761, uom!C:C, uom!B:B, "Not Found")</f>
      </c>
      <c r="K2761" s="1" t="s">
        <v>5511</v>
      </c>
      <c r="L2761" s="5">
        <f>XLOOKUP(N2761, uom!C:C, uom!B:B, "Not Found")</f>
      </c>
      <c r="M2761" s="1" t="s">
        <v>5511</v>
      </c>
      <c r="N2761" s="8" t="s">
        <v>5512</v>
      </c>
      <c r="O2761" s="1" t="s">
        <v>5513</v>
      </c>
      <c r="P2761" s="5">
        <f>XLOOKUP(R2761, classification!C:C, classification!B:B, "Not Found")</f>
      </c>
      <c r="Q2761" s="1" t="s">
        <v>5514</v>
      </c>
      <c r="R2761" s="2"/>
      <c r="S2761" s="2"/>
      <c r="T2761" s="2"/>
      <c r="U2761" s="2"/>
    </row>
    <row x14ac:dyDescent="0.25" r="2762" customHeight="1" ht="17.25">
      <c r="A2762" s="7">
        <v>2761</v>
      </c>
      <c r="B2762" s="1" t="s">
        <v>8106</v>
      </c>
      <c r="C2762" s="5">
        <f>CONCATENATE("PD", TEXT(A2762, "1000000"))</f>
      </c>
      <c r="D2762" s="7">
        <v>78</v>
      </c>
      <c r="E2762" s="5">
        <f>XLOOKUP(G2762, item_category!C:C, item_category!B:B, "Not Found")</f>
      </c>
      <c r="F2762" s="1" t="s">
        <v>5522</v>
      </c>
      <c r="G2762" s="5">
        <f>XLOOKUP(I2762, drug!B:B, drug!A:A, "Not Found")</f>
      </c>
      <c r="H2762" s="1"/>
      <c r="I2762" s="7">
        <v>1</v>
      </c>
      <c r="J2762" s="5">
        <f>XLOOKUP(L2762, uom!C:C, uom!B:B, "Not Found")</f>
      </c>
      <c r="K2762" s="1" t="s">
        <v>5511</v>
      </c>
      <c r="L2762" s="5">
        <f>XLOOKUP(N2762, uom!C:C, uom!B:B, "Not Found")</f>
      </c>
      <c r="M2762" s="1" t="s">
        <v>5511</v>
      </c>
      <c r="N2762" s="8" t="s">
        <v>5512</v>
      </c>
      <c r="O2762" s="1" t="s">
        <v>5513</v>
      </c>
      <c r="P2762" s="5">
        <f>XLOOKUP(R2762, classification!C:C, classification!B:B, "Not Found")</f>
      </c>
      <c r="Q2762" s="1" t="s">
        <v>5514</v>
      </c>
      <c r="R2762" s="2"/>
      <c r="S2762" s="2"/>
      <c r="T2762" s="2"/>
      <c r="U2762" s="2"/>
    </row>
    <row x14ac:dyDescent="0.25" r="2763" customHeight="1" ht="17.25">
      <c r="A2763" s="7">
        <v>2762</v>
      </c>
      <c r="B2763" s="1" t="s">
        <v>8107</v>
      </c>
      <c r="C2763" s="5">
        <f>CONCATENATE("PD", TEXT(A2763, "1000000"))</f>
      </c>
      <c r="D2763" s="7">
        <v>78</v>
      </c>
      <c r="E2763" s="5">
        <f>XLOOKUP(G2763, item_category!C:C, item_category!B:B, "Not Found")</f>
      </c>
      <c r="F2763" s="1" t="s">
        <v>5522</v>
      </c>
      <c r="G2763" s="5">
        <f>XLOOKUP(I2763, drug!B:B, drug!A:A, "Not Found")</f>
      </c>
      <c r="H2763" s="1" t="s">
        <v>1552</v>
      </c>
      <c r="I2763" s="7">
        <v>1</v>
      </c>
      <c r="J2763" s="5">
        <f>XLOOKUP(L2763, uom!C:C, uom!B:B, "Not Found")</f>
      </c>
      <c r="K2763" s="1" t="s">
        <v>5511</v>
      </c>
      <c r="L2763" s="5">
        <f>XLOOKUP(N2763, uom!C:C, uom!B:B, "Not Found")</f>
      </c>
      <c r="M2763" s="1" t="s">
        <v>5511</v>
      </c>
      <c r="N2763" s="8" t="s">
        <v>5512</v>
      </c>
      <c r="O2763" s="1" t="s">
        <v>5513</v>
      </c>
      <c r="P2763" s="5">
        <f>XLOOKUP(R2763, classification!C:C, classification!B:B, "Not Found")</f>
      </c>
      <c r="Q2763" s="1" t="s">
        <v>5514</v>
      </c>
      <c r="R2763" s="2"/>
      <c r="S2763" s="2"/>
      <c r="T2763" s="2"/>
      <c r="U2763" s="2"/>
    </row>
    <row x14ac:dyDescent="0.25" r="2764" customHeight="1" ht="17.25">
      <c r="A2764" s="7">
        <v>2763</v>
      </c>
      <c r="B2764" s="1" t="s">
        <v>8108</v>
      </c>
      <c r="C2764" s="5">
        <f>CONCATENATE("PD", TEXT(A2764, "1000000"))</f>
      </c>
      <c r="D2764" s="7">
        <v>78</v>
      </c>
      <c r="E2764" s="5">
        <f>XLOOKUP(G2764, item_category!C:C, item_category!B:B, "Not Found")</f>
      </c>
      <c r="F2764" s="1" t="s">
        <v>5522</v>
      </c>
      <c r="G2764" s="5">
        <f>XLOOKUP(I2764, drug!B:B, drug!A:A, "Not Found")</f>
      </c>
      <c r="H2764" s="1"/>
      <c r="I2764" s="7">
        <v>300</v>
      </c>
      <c r="J2764" s="5">
        <f>XLOOKUP(L2764, uom!C:C, uom!B:B, "Not Found")</f>
      </c>
      <c r="K2764" s="1" t="s">
        <v>5523</v>
      </c>
      <c r="L2764" s="5">
        <f>XLOOKUP(N2764, uom!C:C, uom!B:B, "Not Found")</f>
      </c>
      <c r="M2764" s="1" t="s">
        <v>5523</v>
      </c>
      <c r="N2764" s="8" t="s">
        <v>5524</v>
      </c>
      <c r="O2764" s="1" t="s">
        <v>5525</v>
      </c>
      <c r="P2764" s="5">
        <f>XLOOKUP(R2764, classification!C:C, classification!B:B, "Not Found")</f>
      </c>
      <c r="Q2764" s="1" t="s">
        <v>5514</v>
      </c>
      <c r="R2764" s="2"/>
      <c r="S2764" s="2"/>
      <c r="T2764" s="2"/>
      <c r="U2764" s="2"/>
    </row>
    <row x14ac:dyDescent="0.25" r="2765" customHeight="1" ht="17.25">
      <c r="A2765" s="7">
        <v>2764</v>
      </c>
      <c r="B2765" s="1" t="s">
        <v>8109</v>
      </c>
      <c r="C2765" s="5">
        <f>CONCATENATE("PD", TEXT(A2765, "1000000"))</f>
      </c>
      <c r="D2765" s="7">
        <v>78</v>
      </c>
      <c r="E2765" s="5">
        <f>XLOOKUP(G2765, item_category!C:C, item_category!B:B, "Not Found")</f>
      </c>
      <c r="F2765" s="1" t="s">
        <v>5522</v>
      </c>
      <c r="G2765" s="5">
        <f>XLOOKUP(I2765, drug!B:B, drug!A:A, "Not Found")</f>
      </c>
      <c r="H2765" s="1"/>
      <c r="I2765" s="7">
        <v>400</v>
      </c>
      <c r="J2765" s="5">
        <f>XLOOKUP(L2765, uom!C:C, uom!B:B, "Not Found")</f>
      </c>
      <c r="K2765" s="1" t="s">
        <v>5523</v>
      </c>
      <c r="L2765" s="5">
        <f>XLOOKUP(N2765, uom!C:C, uom!B:B, "Not Found")</f>
      </c>
      <c r="M2765" s="1" t="s">
        <v>5523</v>
      </c>
      <c r="N2765" s="8" t="s">
        <v>5524</v>
      </c>
      <c r="O2765" s="1" t="s">
        <v>5525</v>
      </c>
      <c r="P2765" s="5">
        <f>XLOOKUP(R2765, classification!C:C, classification!B:B, "Not Found")</f>
      </c>
      <c r="Q2765" s="1" t="s">
        <v>5514</v>
      </c>
      <c r="R2765" s="2"/>
      <c r="S2765" s="2"/>
      <c r="T2765" s="2"/>
      <c r="U2765" s="2"/>
    </row>
    <row x14ac:dyDescent="0.25" r="2766" customHeight="1" ht="17.25">
      <c r="A2766" s="7">
        <v>2765</v>
      </c>
      <c r="B2766" s="1" t="s">
        <v>8110</v>
      </c>
      <c r="C2766" s="5">
        <f>CONCATENATE("PD", TEXT(A2766, "1000000"))</f>
      </c>
      <c r="D2766" s="7">
        <v>78</v>
      </c>
      <c r="E2766" s="5">
        <f>XLOOKUP(G2766, item_category!C:C, item_category!B:B, "Not Found")</f>
      </c>
      <c r="F2766" s="1" t="s">
        <v>5522</v>
      </c>
      <c r="G2766" s="5">
        <f>XLOOKUP(I2766, drug!B:B, drug!A:A, "Not Found")</f>
      </c>
      <c r="H2766" s="1"/>
      <c r="I2766" s="7">
        <v>1</v>
      </c>
      <c r="J2766" s="5">
        <f>XLOOKUP(L2766, uom!C:C, uom!B:B, "Not Found")</f>
      </c>
      <c r="K2766" s="1" t="s">
        <v>5511</v>
      </c>
      <c r="L2766" s="5">
        <f>XLOOKUP(N2766, uom!C:C, uom!B:B, "Not Found")</f>
      </c>
      <c r="M2766" s="1" t="s">
        <v>5511</v>
      </c>
      <c r="N2766" s="8" t="s">
        <v>5512</v>
      </c>
      <c r="O2766" s="1" t="s">
        <v>5513</v>
      </c>
      <c r="P2766" s="5">
        <f>XLOOKUP(R2766, classification!C:C, classification!B:B, "Not Found")</f>
      </c>
      <c r="Q2766" s="1" t="s">
        <v>5514</v>
      </c>
      <c r="R2766" s="2"/>
      <c r="S2766" s="2"/>
      <c r="T2766" s="2"/>
      <c r="U2766" s="2"/>
    </row>
    <row x14ac:dyDescent="0.25" r="2767" customHeight="1" ht="17.25">
      <c r="A2767" s="7">
        <v>2766</v>
      </c>
      <c r="B2767" s="1" t="s">
        <v>8111</v>
      </c>
      <c r="C2767" s="5">
        <f>CONCATENATE("PD", TEXT(A2767, "1000000"))</f>
      </c>
      <c r="D2767" s="7">
        <v>78</v>
      </c>
      <c r="E2767" s="5">
        <f>XLOOKUP(G2767, item_category!C:C, item_category!B:B, "Not Found")</f>
      </c>
      <c r="F2767" s="1" t="s">
        <v>5522</v>
      </c>
      <c r="G2767" s="5">
        <f>XLOOKUP(I2767, drug!B:B, drug!A:A, "Not Found")</f>
      </c>
      <c r="H2767" s="1"/>
      <c r="I2767" s="7">
        <v>1</v>
      </c>
      <c r="J2767" s="5">
        <f>XLOOKUP(L2767, uom!C:C, uom!B:B, "Not Found")</f>
      </c>
      <c r="K2767" s="1" t="s">
        <v>5511</v>
      </c>
      <c r="L2767" s="5">
        <f>XLOOKUP(N2767, uom!C:C, uom!B:B, "Not Found")</f>
      </c>
      <c r="M2767" s="1" t="s">
        <v>5511</v>
      </c>
      <c r="N2767" s="8" t="s">
        <v>5512</v>
      </c>
      <c r="O2767" s="1" t="s">
        <v>5513</v>
      </c>
      <c r="P2767" s="5">
        <f>XLOOKUP(R2767, classification!C:C, classification!B:B, "Not Found")</f>
      </c>
      <c r="Q2767" s="1" t="s">
        <v>5514</v>
      </c>
      <c r="R2767" s="2"/>
      <c r="S2767" s="2"/>
      <c r="T2767" s="2"/>
      <c r="U2767" s="2"/>
    </row>
    <row x14ac:dyDescent="0.25" r="2768" customHeight="1" ht="17.25">
      <c r="A2768" s="7">
        <v>2767</v>
      </c>
      <c r="B2768" s="1" t="s">
        <v>8112</v>
      </c>
      <c r="C2768" s="5">
        <f>CONCATENATE("PD", TEXT(A2768, "1000000"))</f>
      </c>
      <c r="D2768" s="7">
        <v>78</v>
      </c>
      <c r="E2768" s="5">
        <f>XLOOKUP(G2768, item_category!C:C, item_category!B:B, "Not Found")</f>
      </c>
      <c r="F2768" s="1" t="s">
        <v>5522</v>
      </c>
      <c r="G2768" s="5">
        <f>XLOOKUP(I2768, drug!B:B, drug!A:A, "Not Found")</f>
      </c>
      <c r="H2768" s="1" t="s">
        <v>1196</v>
      </c>
      <c r="I2768" s="7">
        <v>1</v>
      </c>
      <c r="J2768" s="5">
        <f>XLOOKUP(L2768, uom!C:C, uom!B:B, "Not Found")</f>
      </c>
      <c r="K2768" s="1" t="s">
        <v>5511</v>
      </c>
      <c r="L2768" s="5">
        <f>XLOOKUP(N2768, uom!C:C, uom!B:B, "Not Found")</f>
      </c>
      <c r="M2768" s="1" t="s">
        <v>5511</v>
      </c>
      <c r="N2768" s="8" t="s">
        <v>5512</v>
      </c>
      <c r="O2768" s="1" t="s">
        <v>5513</v>
      </c>
      <c r="P2768" s="5">
        <f>XLOOKUP(R2768, classification!C:C, classification!B:B, "Not Found")</f>
      </c>
      <c r="Q2768" s="1" t="s">
        <v>5514</v>
      </c>
      <c r="R2768" s="2"/>
      <c r="S2768" s="2"/>
      <c r="T2768" s="2"/>
      <c r="U2768" s="2"/>
    </row>
    <row x14ac:dyDescent="0.25" r="2769" customHeight="1" ht="17.25">
      <c r="A2769" s="7">
        <v>2768</v>
      </c>
      <c r="B2769" s="1" t="s">
        <v>8113</v>
      </c>
      <c r="C2769" s="5">
        <f>CONCATENATE("PD", TEXT(A2769, "1000000"))</f>
      </c>
      <c r="D2769" s="7">
        <v>78</v>
      </c>
      <c r="E2769" s="5">
        <f>XLOOKUP(G2769, item_category!C:C, item_category!B:B, "Not Found")</f>
      </c>
      <c r="F2769" s="1" t="s">
        <v>5522</v>
      </c>
      <c r="G2769" s="5">
        <f>XLOOKUP(I2769, drug!B:B, drug!A:A, "Not Found")</f>
      </c>
      <c r="H2769" s="1"/>
      <c r="I2769" s="7">
        <v>1</v>
      </c>
      <c r="J2769" s="5">
        <f>XLOOKUP(L2769, uom!C:C, uom!B:B, "Not Found")</f>
      </c>
      <c r="K2769" s="1" t="s">
        <v>5511</v>
      </c>
      <c r="L2769" s="5">
        <f>XLOOKUP(N2769, uom!C:C, uom!B:B, "Not Found")</f>
      </c>
      <c r="M2769" s="1" t="s">
        <v>5511</v>
      </c>
      <c r="N2769" s="8" t="s">
        <v>5512</v>
      </c>
      <c r="O2769" s="1" t="s">
        <v>5513</v>
      </c>
      <c r="P2769" s="5">
        <f>XLOOKUP(R2769, classification!C:C, classification!B:B, "Not Found")</f>
      </c>
      <c r="Q2769" s="1" t="s">
        <v>5514</v>
      </c>
      <c r="R2769" s="2"/>
      <c r="S2769" s="2"/>
      <c r="T2769" s="2"/>
      <c r="U2769" s="2"/>
    </row>
    <row x14ac:dyDescent="0.25" r="2770" customHeight="1" ht="17.25">
      <c r="A2770" s="7">
        <v>2769</v>
      </c>
      <c r="B2770" s="1" t="s">
        <v>8114</v>
      </c>
      <c r="C2770" s="5">
        <f>CONCATENATE("PD", TEXT(A2770, "1000000"))</f>
      </c>
      <c r="D2770" s="7">
        <v>78</v>
      </c>
      <c r="E2770" s="5">
        <f>XLOOKUP(G2770, item_category!C:C, item_category!B:B, "Not Found")</f>
      </c>
      <c r="F2770" s="1" t="s">
        <v>5522</v>
      </c>
      <c r="G2770" s="5">
        <f>XLOOKUP(I2770, drug!B:B, drug!A:A, "Not Found")</f>
      </c>
      <c r="H2770" s="1" t="s">
        <v>1368</v>
      </c>
      <c r="I2770" s="7">
        <v>1</v>
      </c>
      <c r="J2770" s="5">
        <f>XLOOKUP(L2770, uom!C:C, uom!B:B, "Not Found")</f>
      </c>
      <c r="K2770" s="1" t="s">
        <v>5511</v>
      </c>
      <c r="L2770" s="5">
        <f>XLOOKUP(N2770, uom!C:C, uom!B:B, "Not Found")</f>
      </c>
      <c r="M2770" s="1" t="s">
        <v>5511</v>
      </c>
      <c r="N2770" s="8" t="s">
        <v>5512</v>
      </c>
      <c r="O2770" s="1" t="s">
        <v>5513</v>
      </c>
      <c r="P2770" s="5">
        <f>XLOOKUP(R2770, classification!C:C, classification!B:B, "Not Found")</f>
      </c>
      <c r="Q2770" s="1" t="s">
        <v>5514</v>
      </c>
      <c r="R2770" s="2"/>
      <c r="S2770" s="2"/>
      <c r="T2770" s="2"/>
      <c r="U2770" s="2"/>
    </row>
    <row x14ac:dyDescent="0.25" r="2771" customHeight="1" ht="17.25">
      <c r="A2771" s="7">
        <v>2770</v>
      </c>
      <c r="B2771" s="1" t="s">
        <v>8115</v>
      </c>
      <c r="C2771" s="5">
        <f>CONCATENATE("PD", TEXT(A2771, "1000000"))</f>
      </c>
      <c r="D2771" s="7">
        <v>78</v>
      </c>
      <c r="E2771" s="5">
        <f>XLOOKUP(G2771, item_category!C:C, item_category!B:B, "Not Found")</f>
      </c>
      <c r="F2771" s="1" t="s">
        <v>5522</v>
      </c>
      <c r="G2771" s="5">
        <f>XLOOKUP(I2771, drug!B:B, drug!A:A, "Not Found")</f>
      </c>
      <c r="H2771" s="1"/>
      <c r="I2771" s="7">
        <v>1</v>
      </c>
      <c r="J2771" s="5">
        <f>XLOOKUP(L2771, uom!C:C, uom!B:B, "Not Found")</f>
      </c>
      <c r="K2771" s="1" t="s">
        <v>5511</v>
      </c>
      <c r="L2771" s="5">
        <f>XLOOKUP(N2771, uom!C:C, uom!B:B, "Not Found")</f>
      </c>
      <c r="M2771" s="1" t="s">
        <v>5511</v>
      </c>
      <c r="N2771" s="8" t="s">
        <v>5512</v>
      </c>
      <c r="O2771" s="1" t="s">
        <v>5513</v>
      </c>
      <c r="P2771" s="5">
        <f>XLOOKUP(R2771, classification!C:C, classification!B:B, "Not Found")</f>
      </c>
      <c r="Q2771" s="1" t="s">
        <v>5514</v>
      </c>
      <c r="R2771" s="2"/>
      <c r="S2771" s="2"/>
      <c r="T2771" s="2"/>
      <c r="U2771" s="2"/>
    </row>
    <row x14ac:dyDescent="0.25" r="2772" customHeight="1" ht="17.25">
      <c r="A2772" s="7">
        <v>2771</v>
      </c>
      <c r="B2772" s="1" t="s">
        <v>8116</v>
      </c>
      <c r="C2772" s="5">
        <f>CONCATENATE("PD", TEXT(A2772, "1000000"))</f>
      </c>
      <c r="D2772" s="7">
        <v>78</v>
      </c>
      <c r="E2772" s="5">
        <f>XLOOKUP(G2772, item_category!C:C, item_category!B:B, "Not Found")</f>
      </c>
      <c r="F2772" s="1" t="s">
        <v>5522</v>
      </c>
      <c r="G2772" s="5">
        <f>XLOOKUP(I2772, drug!B:B, drug!A:A, "Not Found")</f>
      </c>
      <c r="H2772" s="1"/>
      <c r="I2772" s="7">
        <v>1</v>
      </c>
      <c r="J2772" s="5">
        <f>XLOOKUP(L2772, uom!C:C, uom!B:B, "Not Found")</f>
      </c>
      <c r="K2772" s="1" t="s">
        <v>5511</v>
      </c>
      <c r="L2772" s="5">
        <f>XLOOKUP(N2772, uom!C:C, uom!B:B, "Not Found")</f>
      </c>
      <c r="M2772" s="1" t="s">
        <v>5511</v>
      </c>
      <c r="N2772" s="8" t="s">
        <v>5512</v>
      </c>
      <c r="O2772" s="1" t="s">
        <v>5513</v>
      </c>
      <c r="P2772" s="5">
        <f>XLOOKUP(R2772, classification!C:C, classification!B:B, "Not Found")</f>
      </c>
      <c r="Q2772" s="1" t="s">
        <v>5514</v>
      </c>
      <c r="R2772" s="2"/>
      <c r="S2772" s="2"/>
      <c r="T2772" s="2"/>
      <c r="U2772" s="2"/>
    </row>
    <row x14ac:dyDescent="0.25" r="2773" customHeight="1" ht="17.25">
      <c r="A2773" s="7">
        <v>2772</v>
      </c>
      <c r="B2773" s="1" t="s">
        <v>8117</v>
      </c>
      <c r="C2773" s="5">
        <f>CONCATENATE("PD", TEXT(A2773, "1000000"))</f>
      </c>
      <c r="D2773" s="7">
        <v>78</v>
      </c>
      <c r="E2773" s="5">
        <f>XLOOKUP(G2773, item_category!C:C, item_category!B:B, "Not Found")</f>
      </c>
      <c r="F2773" s="1" t="s">
        <v>5522</v>
      </c>
      <c r="G2773" s="5">
        <f>XLOOKUP(I2773, drug!B:B, drug!A:A, "Not Found")</f>
      </c>
      <c r="H2773" s="1" t="s">
        <v>1490</v>
      </c>
      <c r="I2773" s="7">
        <v>1</v>
      </c>
      <c r="J2773" s="5">
        <f>XLOOKUP(L2773, uom!C:C, uom!B:B, "Not Found")</f>
      </c>
      <c r="K2773" s="1" t="s">
        <v>5511</v>
      </c>
      <c r="L2773" s="5">
        <f>XLOOKUP(N2773, uom!C:C, uom!B:B, "Not Found")</f>
      </c>
      <c r="M2773" s="1" t="s">
        <v>5511</v>
      </c>
      <c r="N2773" s="8" t="s">
        <v>5512</v>
      </c>
      <c r="O2773" s="1" t="s">
        <v>5513</v>
      </c>
      <c r="P2773" s="5">
        <f>XLOOKUP(R2773, classification!C:C, classification!B:B, "Not Found")</f>
      </c>
      <c r="Q2773" s="1" t="s">
        <v>5514</v>
      </c>
      <c r="R2773" s="2"/>
      <c r="S2773" s="2"/>
      <c r="T2773" s="2"/>
      <c r="U2773" s="2"/>
    </row>
    <row x14ac:dyDescent="0.25" r="2774" customHeight="1" ht="17.25">
      <c r="A2774" s="7">
        <v>2773</v>
      </c>
      <c r="B2774" s="1" t="s">
        <v>8118</v>
      </c>
      <c r="C2774" s="5">
        <f>CONCATENATE("PD", TEXT(A2774, "1000000"))</f>
      </c>
      <c r="D2774" s="7">
        <v>78</v>
      </c>
      <c r="E2774" s="5">
        <f>XLOOKUP(G2774, item_category!C:C, item_category!B:B, "Not Found")</f>
      </c>
      <c r="F2774" s="1" t="s">
        <v>5522</v>
      </c>
      <c r="G2774" s="5">
        <f>XLOOKUP(I2774, drug!B:B, drug!A:A, "Not Found")</f>
      </c>
      <c r="H2774" s="1"/>
      <c r="I2774" s="7">
        <v>1</v>
      </c>
      <c r="J2774" s="5">
        <f>XLOOKUP(L2774, uom!C:C, uom!B:B, "Not Found")</f>
      </c>
      <c r="K2774" s="1" t="s">
        <v>5511</v>
      </c>
      <c r="L2774" s="5">
        <f>XLOOKUP(N2774, uom!C:C, uom!B:B, "Not Found")</f>
      </c>
      <c r="M2774" s="1" t="s">
        <v>5511</v>
      </c>
      <c r="N2774" s="8" t="s">
        <v>5512</v>
      </c>
      <c r="O2774" s="1" t="s">
        <v>5513</v>
      </c>
      <c r="P2774" s="5">
        <f>XLOOKUP(R2774, classification!C:C, classification!B:B, "Not Found")</f>
      </c>
      <c r="Q2774" s="1" t="s">
        <v>5514</v>
      </c>
      <c r="R2774" s="2"/>
      <c r="S2774" s="2"/>
      <c r="T2774" s="2"/>
      <c r="U2774" s="2"/>
    </row>
    <row x14ac:dyDescent="0.25" r="2775" customHeight="1" ht="17.25">
      <c r="A2775" s="7">
        <v>2774</v>
      </c>
      <c r="B2775" s="1" t="s">
        <v>8119</v>
      </c>
      <c r="C2775" s="5">
        <f>CONCATENATE("PD", TEXT(A2775, "1000000"))</f>
      </c>
      <c r="D2775" s="7">
        <v>78</v>
      </c>
      <c r="E2775" s="5">
        <f>XLOOKUP(G2775, item_category!C:C, item_category!B:B, "Not Found")</f>
      </c>
      <c r="F2775" s="1" t="s">
        <v>5522</v>
      </c>
      <c r="G2775" s="5">
        <f>XLOOKUP(I2775, drug!B:B, drug!A:A, "Not Found")</f>
      </c>
      <c r="H2775" s="1"/>
      <c r="I2775" s="7">
        <v>1</v>
      </c>
      <c r="J2775" s="5">
        <f>XLOOKUP(L2775, uom!C:C, uom!B:B, "Not Found")</f>
      </c>
      <c r="K2775" s="1" t="s">
        <v>5511</v>
      </c>
      <c r="L2775" s="5">
        <f>XLOOKUP(N2775, uom!C:C, uom!B:B, "Not Found")</f>
      </c>
      <c r="M2775" s="1" t="s">
        <v>5511</v>
      </c>
      <c r="N2775" s="8" t="s">
        <v>5512</v>
      </c>
      <c r="O2775" s="1" t="s">
        <v>5513</v>
      </c>
      <c r="P2775" s="5">
        <f>XLOOKUP(R2775, classification!C:C, classification!B:B, "Not Found")</f>
      </c>
      <c r="Q2775" s="1" t="s">
        <v>5514</v>
      </c>
      <c r="R2775" s="2"/>
      <c r="S2775" s="2"/>
      <c r="T2775" s="2"/>
      <c r="U2775" s="2"/>
    </row>
    <row x14ac:dyDescent="0.25" r="2776" customHeight="1" ht="17.25">
      <c r="A2776" s="7">
        <v>2775</v>
      </c>
      <c r="B2776" s="1" t="s">
        <v>8120</v>
      </c>
      <c r="C2776" s="5">
        <f>CONCATENATE("PD", TEXT(A2776, "1000000"))</f>
      </c>
      <c r="D2776" s="7">
        <v>78</v>
      </c>
      <c r="E2776" s="5">
        <f>XLOOKUP(G2776, item_category!C:C, item_category!B:B, "Not Found")</f>
      </c>
      <c r="F2776" s="1" t="s">
        <v>5522</v>
      </c>
      <c r="G2776" s="5">
        <f>XLOOKUP(I2776, drug!B:B, drug!A:A, "Not Found")</f>
      </c>
      <c r="H2776" s="1"/>
      <c r="I2776" s="7">
        <v>1</v>
      </c>
      <c r="J2776" s="5">
        <f>XLOOKUP(L2776, uom!C:C, uom!B:B, "Not Found")</f>
      </c>
      <c r="K2776" s="1" t="s">
        <v>5511</v>
      </c>
      <c r="L2776" s="5">
        <f>XLOOKUP(N2776, uom!C:C, uom!B:B, "Not Found")</f>
      </c>
      <c r="M2776" s="1" t="s">
        <v>5511</v>
      </c>
      <c r="N2776" s="8" t="s">
        <v>5512</v>
      </c>
      <c r="O2776" s="1" t="s">
        <v>5513</v>
      </c>
      <c r="P2776" s="5">
        <f>XLOOKUP(R2776, classification!C:C, classification!B:B, "Not Found")</f>
      </c>
      <c r="Q2776" s="1" t="s">
        <v>5514</v>
      </c>
      <c r="R2776" s="2"/>
      <c r="S2776" s="2"/>
      <c r="T2776" s="2"/>
      <c r="U2776" s="2"/>
    </row>
    <row x14ac:dyDescent="0.25" r="2777" customHeight="1" ht="17.25">
      <c r="A2777" s="7">
        <v>2776</v>
      </c>
      <c r="B2777" s="1" t="s">
        <v>8121</v>
      </c>
      <c r="C2777" s="5">
        <f>CONCATENATE("PD", TEXT(A2777, "1000000"))</f>
      </c>
      <c r="D2777" s="7">
        <v>78</v>
      </c>
      <c r="E2777" s="5">
        <f>XLOOKUP(G2777, item_category!C:C, item_category!B:B, "Not Found")</f>
      </c>
      <c r="F2777" s="1" t="s">
        <v>5522</v>
      </c>
      <c r="G2777" s="5">
        <f>XLOOKUP(I2777, drug!B:B, drug!A:A, "Not Found")</f>
      </c>
      <c r="H2777" s="1"/>
      <c r="I2777" s="7">
        <v>1</v>
      </c>
      <c r="J2777" s="5">
        <f>XLOOKUP(L2777, uom!C:C, uom!B:B, "Not Found")</f>
      </c>
      <c r="K2777" s="1" t="s">
        <v>5511</v>
      </c>
      <c r="L2777" s="5">
        <f>XLOOKUP(N2777, uom!C:C, uom!B:B, "Not Found")</f>
      </c>
      <c r="M2777" s="1" t="s">
        <v>5511</v>
      </c>
      <c r="N2777" s="8" t="s">
        <v>5512</v>
      </c>
      <c r="O2777" s="1" t="s">
        <v>5513</v>
      </c>
      <c r="P2777" s="5">
        <f>XLOOKUP(R2777, classification!C:C, classification!B:B, "Not Found")</f>
      </c>
      <c r="Q2777" s="1" t="s">
        <v>5514</v>
      </c>
      <c r="R2777" s="2"/>
      <c r="S2777" s="2"/>
      <c r="T2777" s="2"/>
      <c r="U2777" s="2"/>
    </row>
    <row x14ac:dyDescent="0.25" r="2778" customHeight="1" ht="17.25">
      <c r="A2778" s="7">
        <v>2777</v>
      </c>
      <c r="B2778" s="1" t="s">
        <v>8122</v>
      </c>
      <c r="C2778" s="5">
        <f>CONCATENATE("PD", TEXT(A2778, "1000000"))</f>
      </c>
      <c r="D2778" s="7">
        <v>78</v>
      </c>
      <c r="E2778" s="5">
        <f>XLOOKUP(G2778, item_category!C:C, item_category!B:B, "Not Found")</f>
      </c>
      <c r="F2778" s="1" t="s">
        <v>5522</v>
      </c>
      <c r="G2778" s="5">
        <f>XLOOKUP(I2778, drug!B:B, drug!A:A, "Not Found")</f>
      </c>
      <c r="H2778" s="1"/>
      <c r="I2778" s="7">
        <v>1</v>
      </c>
      <c r="J2778" s="5">
        <f>XLOOKUP(L2778, uom!C:C, uom!B:B, "Not Found")</f>
      </c>
      <c r="K2778" s="1" t="s">
        <v>5511</v>
      </c>
      <c r="L2778" s="5">
        <f>XLOOKUP(N2778, uom!C:C, uom!B:B, "Not Found")</f>
      </c>
      <c r="M2778" s="1" t="s">
        <v>5511</v>
      </c>
      <c r="N2778" s="8" t="s">
        <v>5512</v>
      </c>
      <c r="O2778" s="1" t="s">
        <v>5513</v>
      </c>
      <c r="P2778" s="5">
        <f>XLOOKUP(R2778, classification!C:C, classification!B:B, "Not Found")</f>
      </c>
      <c r="Q2778" s="1" t="s">
        <v>5514</v>
      </c>
      <c r="R2778" s="2"/>
      <c r="S2778" s="2"/>
      <c r="T2778" s="2"/>
      <c r="U2778" s="2"/>
    </row>
    <row x14ac:dyDescent="0.25" r="2779" customHeight="1" ht="17.25">
      <c r="A2779" s="7">
        <v>2778</v>
      </c>
      <c r="B2779" s="1" t="s">
        <v>8123</v>
      </c>
      <c r="C2779" s="5">
        <f>CONCATENATE("PD", TEXT(A2779, "1000000"))</f>
      </c>
      <c r="D2779" s="7">
        <v>78</v>
      </c>
      <c r="E2779" s="5">
        <f>XLOOKUP(G2779, item_category!C:C, item_category!B:B, "Not Found")</f>
      </c>
      <c r="F2779" s="1" t="s">
        <v>5522</v>
      </c>
      <c r="G2779" s="5">
        <f>XLOOKUP(I2779, drug!B:B, drug!A:A, "Not Found")</f>
      </c>
      <c r="H2779" s="1"/>
      <c r="I2779" s="7">
        <v>1</v>
      </c>
      <c r="J2779" s="5">
        <f>XLOOKUP(L2779, uom!C:C, uom!B:B, "Not Found")</f>
      </c>
      <c r="K2779" s="1" t="s">
        <v>5511</v>
      </c>
      <c r="L2779" s="5">
        <f>XLOOKUP(N2779, uom!C:C, uom!B:B, "Not Found")</f>
      </c>
      <c r="M2779" s="1" t="s">
        <v>5511</v>
      </c>
      <c r="N2779" s="8" t="s">
        <v>5512</v>
      </c>
      <c r="O2779" s="1" t="s">
        <v>5513</v>
      </c>
      <c r="P2779" s="5">
        <f>XLOOKUP(R2779, classification!C:C, classification!B:B, "Not Found")</f>
      </c>
      <c r="Q2779" s="1" t="s">
        <v>5514</v>
      </c>
      <c r="R2779" s="2"/>
      <c r="S2779" s="2"/>
      <c r="T2779" s="2"/>
      <c r="U2779" s="2"/>
    </row>
    <row x14ac:dyDescent="0.25" r="2780" customHeight="1" ht="17.25">
      <c r="A2780" s="7">
        <v>2779</v>
      </c>
      <c r="B2780" s="1" t="s">
        <v>8124</v>
      </c>
      <c r="C2780" s="5">
        <f>CONCATENATE("PD", TEXT(A2780, "1000000"))</f>
      </c>
      <c r="D2780" s="7">
        <v>78</v>
      </c>
      <c r="E2780" s="5">
        <f>XLOOKUP(G2780, item_category!C:C, item_category!B:B, "Not Found")</f>
      </c>
      <c r="F2780" s="1" t="s">
        <v>5522</v>
      </c>
      <c r="G2780" s="5">
        <f>XLOOKUP(I2780, drug!B:B, drug!A:A, "Not Found")</f>
      </c>
      <c r="H2780" s="1" t="s">
        <v>986</v>
      </c>
      <c r="I2780" s="7">
        <v>1</v>
      </c>
      <c r="J2780" s="5">
        <f>XLOOKUP(L2780, uom!C:C, uom!B:B, "Not Found")</f>
      </c>
      <c r="K2780" s="1" t="s">
        <v>5511</v>
      </c>
      <c r="L2780" s="5">
        <f>XLOOKUP(N2780, uom!C:C, uom!B:B, "Not Found")</f>
      </c>
      <c r="M2780" s="1" t="s">
        <v>5511</v>
      </c>
      <c r="N2780" s="8" t="s">
        <v>5512</v>
      </c>
      <c r="O2780" s="1" t="s">
        <v>5513</v>
      </c>
      <c r="P2780" s="5">
        <f>XLOOKUP(R2780, classification!C:C, classification!B:B, "Not Found")</f>
      </c>
      <c r="Q2780" s="1" t="s">
        <v>5514</v>
      </c>
      <c r="R2780" s="2"/>
      <c r="S2780" s="2"/>
      <c r="T2780" s="2"/>
      <c r="U2780" s="2"/>
    </row>
    <row x14ac:dyDescent="0.25" r="2781" customHeight="1" ht="17.25">
      <c r="A2781" s="7">
        <v>2780</v>
      </c>
      <c r="B2781" s="1" t="s">
        <v>8125</v>
      </c>
      <c r="C2781" s="5">
        <f>CONCATENATE("PD", TEXT(A2781, "1000000"))</f>
      </c>
      <c r="D2781" s="7">
        <v>78</v>
      </c>
      <c r="E2781" s="5">
        <f>XLOOKUP(G2781, item_category!C:C, item_category!B:B, "Not Found")</f>
      </c>
      <c r="F2781" s="1" t="s">
        <v>5522</v>
      </c>
      <c r="G2781" s="5">
        <f>XLOOKUP(I2781, drug!B:B, drug!A:A, "Not Found")</f>
      </c>
      <c r="H2781" s="1"/>
      <c r="I2781" s="7">
        <v>1</v>
      </c>
      <c r="J2781" s="5">
        <f>XLOOKUP(L2781, uom!C:C, uom!B:B, "Not Found")</f>
      </c>
      <c r="K2781" s="1" t="s">
        <v>5511</v>
      </c>
      <c r="L2781" s="5">
        <f>XLOOKUP(N2781, uom!C:C, uom!B:B, "Not Found")</f>
      </c>
      <c r="M2781" s="1" t="s">
        <v>5511</v>
      </c>
      <c r="N2781" s="8" t="s">
        <v>5512</v>
      </c>
      <c r="O2781" s="1" t="s">
        <v>5513</v>
      </c>
      <c r="P2781" s="5">
        <f>XLOOKUP(R2781, classification!C:C, classification!B:B, "Not Found")</f>
      </c>
      <c r="Q2781" s="1" t="s">
        <v>5514</v>
      </c>
      <c r="R2781" s="2"/>
      <c r="S2781" s="2"/>
      <c r="T2781" s="2"/>
      <c r="U2781" s="2"/>
    </row>
    <row x14ac:dyDescent="0.25" r="2782" customHeight="1" ht="17.25">
      <c r="A2782" s="7">
        <v>2781</v>
      </c>
      <c r="B2782" s="1" t="s">
        <v>8126</v>
      </c>
      <c r="C2782" s="5">
        <f>CONCATENATE("PD", TEXT(A2782, "1000000"))</f>
      </c>
      <c r="D2782" s="7">
        <v>78</v>
      </c>
      <c r="E2782" s="5">
        <f>XLOOKUP(G2782, item_category!C:C, item_category!B:B, "Not Found")</f>
      </c>
      <c r="F2782" s="1" t="s">
        <v>5522</v>
      </c>
      <c r="G2782" s="5">
        <f>XLOOKUP(I2782, drug!B:B, drug!A:A, "Not Found")</f>
      </c>
      <c r="H2782" s="1"/>
      <c r="I2782" s="7">
        <v>1</v>
      </c>
      <c r="J2782" s="5">
        <f>XLOOKUP(L2782, uom!C:C, uom!B:B, "Not Found")</f>
      </c>
      <c r="K2782" s="1" t="s">
        <v>5511</v>
      </c>
      <c r="L2782" s="5">
        <f>XLOOKUP(N2782, uom!C:C, uom!B:B, "Not Found")</f>
      </c>
      <c r="M2782" s="1" t="s">
        <v>5511</v>
      </c>
      <c r="N2782" s="8" t="s">
        <v>5512</v>
      </c>
      <c r="O2782" s="1" t="s">
        <v>5513</v>
      </c>
      <c r="P2782" s="5">
        <f>XLOOKUP(R2782, classification!C:C, classification!B:B, "Not Found")</f>
      </c>
      <c r="Q2782" s="1" t="s">
        <v>5514</v>
      </c>
      <c r="R2782" s="2"/>
      <c r="S2782" s="2"/>
      <c r="T2782" s="2"/>
      <c r="U2782" s="2"/>
    </row>
    <row x14ac:dyDescent="0.25" r="2783" customHeight="1" ht="17.25">
      <c r="A2783" s="7">
        <v>2782</v>
      </c>
      <c r="B2783" s="1" t="s">
        <v>8127</v>
      </c>
      <c r="C2783" s="5">
        <f>CONCATENATE("PD", TEXT(A2783, "1000000"))</f>
      </c>
      <c r="D2783" s="7">
        <v>78</v>
      </c>
      <c r="E2783" s="5">
        <f>XLOOKUP(G2783, item_category!C:C, item_category!B:B, "Not Found")</f>
      </c>
      <c r="F2783" s="1" t="s">
        <v>5522</v>
      </c>
      <c r="G2783" s="5">
        <f>XLOOKUP(I2783, drug!B:B, drug!A:A, "Not Found")</f>
      </c>
      <c r="H2783" s="1"/>
      <c r="I2783" s="7">
        <v>1</v>
      </c>
      <c r="J2783" s="5">
        <f>XLOOKUP(L2783, uom!C:C, uom!B:B, "Not Found")</f>
      </c>
      <c r="K2783" s="1" t="s">
        <v>5511</v>
      </c>
      <c r="L2783" s="5">
        <f>XLOOKUP(N2783, uom!C:C, uom!B:B, "Not Found")</f>
      </c>
      <c r="M2783" s="1" t="s">
        <v>5511</v>
      </c>
      <c r="N2783" s="8" t="s">
        <v>5512</v>
      </c>
      <c r="O2783" s="1" t="s">
        <v>5513</v>
      </c>
      <c r="P2783" s="5">
        <f>XLOOKUP(R2783, classification!C:C, classification!B:B, "Not Found")</f>
      </c>
      <c r="Q2783" s="1" t="s">
        <v>5514</v>
      </c>
      <c r="R2783" s="2"/>
      <c r="S2783" s="2"/>
      <c r="T2783" s="2"/>
      <c r="U2783" s="2"/>
    </row>
    <row x14ac:dyDescent="0.25" r="2784" customHeight="1" ht="17.25">
      <c r="A2784" s="7">
        <v>2783</v>
      </c>
      <c r="B2784" s="1" t="s">
        <v>1714</v>
      </c>
      <c r="C2784" s="5">
        <f>CONCATENATE("PD", TEXT(A2784, "1000000"))</f>
      </c>
      <c r="D2784" s="7">
        <v>78</v>
      </c>
      <c r="E2784" s="5">
        <f>XLOOKUP(G2784, item_category!C:C, item_category!B:B, "Not Found")</f>
      </c>
      <c r="F2784" s="1" t="s">
        <v>5522</v>
      </c>
      <c r="G2784" s="5">
        <f>XLOOKUP(I2784, drug!B:B, drug!A:A, "Not Found")</f>
      </c>
      <c r="H2784" s="1" t="s">
        <v>1714</v>
      </c>
      <c r="I2784" s="7">
        <v>1</v>
      </c>
      <c r="J2784" s="5">
        <f>XLOOKUP(L2784, uom!C:C, uom!B:B, "Not Found")</f>
      </c>
      <c r="K2784" s="1" t="s">
        <v>5511</v>
      </c>
      <c r="L2784" s="5">
        <f>XLOOKUP(N2784, uom!C:C, uom!B:B, "Not Found")</f>
      </c>
      <c r="M2784" s="1" t="s">
        <v>5511</v>
      </c>
      <c r="N2784" s="8" t="s">
        <v>5512</v>
      </c>
      <c r="O2784" s="1" t="s">
        <v>5513</v>
      </c>
      <c r="P2784" s="5">
        <f>XLOOKUP(R2784, classification!C:C, classification!B:B, "Not Found")</f>
      </c>
      <c r="Q2784" s="1" t="s">
        <v>5514</v>
      </c>
      <c r="R2784" s="2"/>
      <c r="S2784" s="2"/>
      <c r="T2784" s="2"/>
      <c r="U2784" s="2"/>
    </row>
    <row x14ac:dyDescent="0.25" r="2785" customHeight="1" ht="17.25">
      <c r="A2785" s="7">
        <v>2784</v>
      </c>
      <c r="B2785" s="1" t="s">
        <v>8128</v>
      </c>
      <c r="C2785" s="5">
        <f>CONCATENATE("PD", TEXT(A2785, "1000000"))</f>
      </c>
      <c r="D2785" s="7">
        <v>78</v>
      </c>
      <c r="E2785" s="5">
        <f>XLOOKUP(G2785, item_category!C:C, item_category!B:B, "Not Found")</f>
      </c>
      <c r="F2785" s="1" t="s">
        <v>5522</v>
      </c>
      <c r="G2785" s="5">
        <f>XLOOKUP(I2785, drug!B:B, drug!A:A, "Not Found")</f>
      </c>
      <c r="H2785" s="1" t="s">
        <v>1720</v>
      </c>
      <c r="I2785" s="7">
        <v>1</v>
      </c>
      <c r="J2785" s="5">
        <f>XLOOKUP(L2785, uom!C:C, uom!B:B, "Not Found")</f>
      </c>
      <c r="K2785" s="1" t="s">
        <v>5511</v>
      </c>
      <c r="L2785" s="5">
        <f>XLOOKUP(N2785, uom!C:C, uom!B:B, "Not Found")</f>
      </c>
      <c r="M2785" s="1" t="s">
        <v>5511</v>
      </c>
      <c r="N2785" s="8" t="s">
        <v>5512</v>
      </c>
      <c r="O2785" s="1" t="s">
        <v>5513</v>
      </c>
      <c r="P2785" s="5">
        <f>XLOOKUP(R2785, classification!C:C, classification!B:B, "Not Found")</f>
      </c>
      <c r="Q2785" s="1" t="s">
        <v>5514</v>
      </c>
      <c r="R2785" s="2"/>
      <c r="S2785" s="2"/>
      <c r="T2785" s="2"/>
      <c r="U2785" s="2"/>
    </row>
    <row x14ac:dyDescent="0.25" r="2786" customHeight="1" ht="17.25">
      <c r="A2786" s="7">
        <v>2785</v>
      </c>
      <c r="B2786" s="1" t="s">
        <v>8129</v>
      </c>
      <c r="C2786" s="5">
        <f>CONCATENATE("PD", TEXT(A2786, "1000000"))</f>
      </c>
      <c r="D2786" s="7">
        <v>78</v>
      </c>
      <c r="E2786" s="5">
        <f>XLOOKUP(G2786, item_category!C:C, item_category!B:B, "Not Found")</f>
      </c>
      <c r="F2786" s="1" t="s">
        <v>5522</v>
      </c>
      <c r="G2786" s="5">
        <f>XLOOKUP(I2786, drug!B:B, drug!A:A, "Not Found")</f>
      </c>
      <c r="H2786" s="1"/>
      <c r="I2786" s="7">
        <v>1</v>
      </c>
      <c r="J2786" s="5">
        <f>XLOOKUP(L2786, uom!C:C, uom!B:B, "Not Found")</f>
      </c>
      <c r="K2786" s="1" t="s">
        <v>5511</v>
      </c>
      <c r="L2786" s="5">
        <f>XLOOKUP(N2786, uom!C:C, uom!B:B, "Not Found")</f>
      </c>
      <c r="M2786" s="1" t="s">
        <v>5511</v>
      </c>
      <c r="N2786" s="8" t="s">
        <v>5512</v>
      </c>
      <c r="O2786" s="1" t="s">
        <v>5513</v>
      </c>
      <c r="P2786" s="5">
        <f>XLOOKUP(R2786, classification!C:C, classification!B:B, "Not Found")</f>
      </c>
      <c r="Q2786" s="1" t="s">
        <v>5514</v>
      </c>
      <c r="R2786" s="2"/>
      <c r="S2786" s="2"/>
      <c r="T2786" s="2"/>
      <c r="U2786" s="2"/>
    </row>
    <row x14ac:dyDescent="0.25" r="2787" customHeight="1" ht="17.25">
      <c r="A2787" s="7">
        <v>2786</v>
      </c>
      <c r="B2787" s="1" t="s">
        <v>8130</v>
      </c>
      <c r="C2787" s="5">
        <f>CONCATENATE("PD", TEXT(A2787, "1000000"))</f>
      </c>
      <c r="D2787" s="7">
        <v>78</v>
      </c>
      <c r="E2787" s="5">
        <f>XLOOKUP(G2787, item_category!C:C, item_category!B:B, "Not Found")</f>
      </c>
      <c r="F2787" s="1" t="s">
        <v>5522</v>
      </c>
      <c r="G2787" s="5">
        <f>XLOOKUP(I2787, drug!B:B, drug!A:A, "Not Found")</f>
      </c>
      <c r="H2787" s="1"/>
      <c r="I2787" s="7">
        <v>1</v>
      </c>
      <c r="J2787" s="5">
        <f>XLOOKUP(L2787, uom!C:C, uom!B:B, "Not Found")</f>
      </c>
      <c r="K2787" s="1" t="s">
        <v>5511</v>
      </c>
      <c r="L2787" s="5">
        <f>XLOOKUP(N2787, uom!C:C, uom!B:B, "Not Found")</f>
      </c>
      <c r="M2787" s="1" t="s">
        <v>5511</v>
      </c>
      <c r="N2787" s="8" t="s">
        <v>5512</v>
      </c>
      <c r="O2787" s="1" t="s">
        <v>5513</v>
      </c>
      <c r="P2787" s="5">
        <f>XLOOKUP(R2787, classification!C:C, classification!B:B, "Not Found")</f>
      </c>
      <c r="Q2787" s="1" t="s">
        <v>5514</v>
      </c>
      <c r="R2787" s="2"/>
      <c r="S2787" s="2"/>
      <c r="T2787" s="2"/>
      <c r="U2787" s="2"/>
    </row>
    <row x14ac:dyDescent="0.25" r="2788" customHeight="1" ht="17.25">
      <c r="A2788" s="7">
        <v>2787</v>
      </c>
      <c r="B2788" s="1" t="s">
        <v>8131</v>
      </c>
      <c r="C2788" s="5">
        <f>CONCATENATE("PD", TEXT(A2788, "1000000"))</f>
      </c>
      <c r="D2788" s="7">
        <v>78</v>
      </c>
      <c r="E2788" s="5">
        <f>XLOOKUP(G2788, item_category!C:C, item_category!B:B, "Not Found")</f>
      </c>
      <c r="F2788" s="1" t="s">
        <v>5522</v>
      </c>
      <c r="G2788" s="5">
        <f>XLOOKUP(I2788, drug!B:B, drug!A:A, "Not Found")</f>
      </c>
      <c r="H2788" s="1"/>
      <c r="I2788" s="7">
        <v>1</v>
      </c>
      <c r="J2788" s="5">
        <f>XLOOKUP(L2788, uom!C:C, uom!B:B, "Not Found")</f>
      </c>
      <c r="K2788" s="1" t="s">
        <v>5511</v>
      </c>
      <c r="L2788" s="5">
        <f>XLOOKUP(N2788, uom!C:C, uom!B:B, "Not Found")</f>
      </c>
      <c r="M2788" s="1" t="s">
        <v>5511</v>
      </c>
      <c r="N2788" s="8" t="s">
        <v>5512</v>
      </c>
      <c r="O2788" s="1" t="s">
        <v>5513</v>
      </c>
      <c r="P2788" s="5">
        <f>XLOOKUP(R2788, classification!C:C, classification!B:B, "Not Found")</f>
      </c>
      <c r="Q2788" s="1" t="s">
        <v>5514</v>
      </c>
      <c r="R2788" s="2"/>
      <c r="S2788" s="2"/>
      <c r="T2788" s="2"/>
      <c r="U2788" s="2"/>
    </row>
    <row x14ac:dyDescent="0.25" r="2789" customHeight="1" ht="17.25">
      <c r="A2789" s="7">
        <v>2788</v>
      </c>
      <c r="B2789" s="1" t="s">
        <v>8132</v>
      </c>
      <c r="C2789" s="5">
        <f>CONCATENATE("PD", TEXT(A2789, "1000000"))</f>
      </c>
      <c r="D2789" s="7">
        <v>78</v>
      </c>
      <c r="E2789" s="5">
        <f>XLOOKUP(G2789, item_category!C:C, item_category!B:B, "Not Found")</f>
      </c>
      <c r="F2789" s="1" t="s">
        <v>5522</v>
      </c>
      <c r="G2789" s="5">
        <f>XLOOKUP(I2789, drug!B:B, drug!A:A, "Not Found")</f>
      </c>
      <c r="H2789" s="1"/>
      <c r="I2789" s="7">
        <v>1</v>
      </c>
      <c r="J2789" s="5">
        <f>XLOOKUP(L2789, uom!C:C, uom!B:B, "Not Found")</f>
      </c>
      <c r="K2789" s="1" t="s">
        <v>5511</v>
      </c>
      <c r="L2789" s="5">
        <f>XLOOKUP(N2789, uom!C:C, uom!B:B, "Not Found")</f>
      </c>
      <c r="M2789" s="1" t="s">
        <v>5511</v>
      </c>
      <c r="N2789" s="8" t="s">
        <v>5512</v>
      </c>
      <c r="O2789" s="1" t="s">
        <v>5513</v>
      </c>
      <c r="P2789" s="5">
        <f>XLOOKUP(R2789, classification!C:C, classification!B:B, "Not Found")</f>
      </c>
      <c r="Q2789" s="1" t="s">
        <v>5514</v>
      </c>
      <c r="R2789" s="2"/>
      <c r="S2789" s="2"/>
      <c r="T2789" s="2"/>
      <c r="U2789" s="2"/>
    </row>
    <row x14ac:dyDescent="0.25" r="2790" customHeight="1" ht="17.25">
      <c r="A2790" s="7">
        <v>2789</v>
      </c>
      <c r="B2790" s="1" t="s">
        <v>8133</v>
      </c>
      <c r="C2790" s="5">
        <f>CONCATENATE("PD", TEXT(A2790, "1000000"))</f>
      </c>
      <c r="D2790" s="7">
        <v>78</v>
      </c>
      <c r="E2790" s="5">
        <f>XLOOKUP(G2790, item_category!C:C, item_category!B:B, "Not Found")</f>
      </c>
      <c r="F2790" s="1" t="s">
        <v>5522</v>
      </c>
      <c r="G2790" s="5">
        <f>XLOOKUP(I2790, drug!B:B, drug!A:A, "Not Found")</f>
      </c>
      <c r="H2790" s="1"/>
      <c r="I2790" s="7">
        <v>1</v>
      </c>
      <c r="J2790" s="5">
        <f>XLOOKUP(L2790, uom!C:C, uom!B:B, "Not Found")</f>
      </c>
      <c r="K2790" s="1" t="s">
        <v>5511</v>
      </c>
      <c r="L2790" s="5">
        <f>XLOOKUP(N2790, uom!C:C, uom!B:B, "Not Found")</f>
      </c>
      <c r="M2790" s="1" t="s">
        <v>5511</v>
      </c>
      <c r="N2790" s="8" t="s">
        <v>5512</v>
      </c>
      <c r="O2790" s="1" t="s">
        <v>5513</v>
      </c>
      <c r="P2790" s="5">
        <f>XLOOKUP(R2790, classification!C:C, classification!B:B, "Not Found")</f>
      </c>
      <c r="Q2790" s="1" t="s">
        <v>5514</v>
      </c>
      <c r="R2790" s="2"/>
      <c r="S2790" s="2"/>
      <c r="T2790" s="2"/>
      <c r="U2790" s="2"/>
    </row>
    <row x14ac:dyDescent="0.25" r="2791" customHeight="1" ht="17.25">
      <c r="A2791" s="7">
        <v>2790</v>
      </c>
      <c r="B2791" s="1" t="s">
        <v>8134</v>
      </c>
      <c r="C2791" s="5">
        <f>CONCATENATE("PD", TEXT(A2791, "1000000"))</f>
      </c>
      <c r="D2791" s="7">
        <v>78</v>
      </c>
      <c r="E2791" s="5">
        <f>XLOOKUP(G2791, item_category!C:C, item_category!B:B, "Not Found")</f>
      </c>
      <c r="F2791" s="1" t="s">
        <v>5522</v>
      </c>
      <c r="G2791" s="5">
        <f>XLOOKUP(I2791, drug!B:B, drug!A:A, "Not Found")</f>
      </c>
      <c r="H2791" s="1"/>
      <c r="I2791" s="7">
        <v>350</v>
      </c>
      <c r="J2791" s="5">
        <f>XLOOKUP(L2791, uom!C:C, uom!B:B, "Not Found")</f>
      </c>
      <c r="K2791" s="1" t="s">
        <v>5523</v>
      </c>
      <c r="L2791" s="5">
        <f>XLOOKUP(N2791, uom!C:C, uom!B:B, "Not Found")</f>
      </c>
      <c r="M2791" s="1" t="s">
        <v>5523</v>
      </c>
      <c r="N2791" s="8" t="s">
        <v>5524</v>
      </c>
      <c r="O2791" s="1" t="s">
        <v>5525</v>
      </c>
      <c r="P2791" s="5">
        <f>XLOOKUP(R2791, classification!C:C, classification!B:B, "Not Found")</f>
      </c>
      <c r="Q2791" s="1" t="s">
        <v>5514</v>
      </c>
      <c r="R2791" s="2"/>
      <c r="S2791" s="2"/>
      <c r="T2791" s="2"/>
      <c r="U2791" s="2"/>
    </row>
    <row x14ac:dyDescent="0.25" r="2792" customHeight="1" ht="17.25">
      <c r="A2792" s="7">
        <v>2791</v>
      </c>
      <c r="B2792" s="1" t="s">
        <v>8135</v>
      </c>
      <c r="C2792" s="5">
        <f>CONCATENATE("PD", TEXT(A2792, "1000000"))</f>
      </c>
      <c r="D2792" s="7">
        <v>78</v>
      </c>
      <c r="E2792" s="5">
        <f>XLOOKUP(G2792, item_category!C:C, item_category!B:B, "Not Found")</f>
      </c>
      <c r="F2792" s="1" t="s">
        <v>5522</v>
      </c>
      <c r="G2792" s="5">
        <f>XLOOKUP(I2792, drug!B:B, drug!A:A, "Not Found")</f>
      </c>
      <c r="H2792" s="1"/>
      <c r="I2792" s="7">
        <v>1</v>
      </c>
      <c r="J2792" s="5">
        <f>XLOOKUP(L2792, uom!C:C, uom!B:B, "Not Found")</f>
      </c>
      <c r="K2792" s="1" t="s">
        <v>5511</v>
      </c>
      <c r="L2792" s="5">
        <f>XLOOKUP(N2792, uom!C:C, uom!B:B, "Not Found")</f>
      </c>
      <c r="M2792" s="1" t="s">
        <v>5511</v>
      </c>
      <c r="N2792" s="8" t="s">
        <v>5512</v>
      </c>
      <c r="O2792" s="1" t="s">
        <v>5513</v>
      </c>
      <c r="P2792" s="5">
        <f>XLOOKUP(R2792, classification!C:C, classification!B:B, "Not Found")</f>
      </c>
      <c r="Q2792" s="1" t="s">
        <v>5514</v>
      </c>
      <c r="R2792" s="2"/>
      <c r="S2792" s="2"/>
      <c r="T2792" s="2"/>
      <c r="U2792" s="2"/>
    </row>
    <row x14ac:dyDescent="0.25" r="2793" customHeight="1" ht="17.25">
      <c r="A2793" s="7">
        <v>2792</v>
      </c>
      <c r="B2793" s="1" t="s">
        <v>8136</v>
      </c>
      <c r="C2793" s="5">
        <f>CONCATENATE("PD", TEXT(A2793, "1000000"))</f>
      </c>
      <c r="D2793" s="7">
        <v>78</v>
      </c>
      <c r="E2793" s="5">
        <f>XLOOKUP(G2793, item_category!C:C, item_category!B:B, "Not Found")</f>
      </c>
      <c r="F2793" s="1" t="s">
        <v>5522</v>
      </c>
      <c r="G2793" s="5">
        <f>XLOOKUP(I2793, drug!B:B, drug!A:A, "Not Found")</f>
      </c>
      <c r="H2793" s="1"/>
      <c r="I2793" s="7">
        <v>1</v>
      </c>
      <c r="J2793" s="5">
        <f>XLOOKUP(L2793, uom!C:C, uom!B:B, "Not Found")</f>
      </c>
      <c r="K2793" s="1" t="s">
        <v>5511</v>
      </c>
      <c r="L2793" s="5">
        <f>XLOOKUP(N2793, uom!C:C, uom!B:B, "Not Found")</f>
      </c>
      <c r="M2793" s="1" t="s">
        <v>5511</v>
      </c>
      <c r="N2793" s="8" t="s">
        <v>5512</v>
      </c>
      <c r="O2793" s="1" t="s">
        <v>5513</v>
      </c>
      <c r="P2793" s="5">
        <f>XLOOKUP(R2793, classification!C:C, classification!B:B, "Not Found")</f>
      </c>
      <c r="Q2793" s="1" t="s">
        <v>5514</v>
      </c>
      <c r="R2793" s="2"/>
      <c r="S2793" s="2"/>
      <c r="T2793" s="2"/>
      <c r="U2793" s="2"/>
    </row>
    <row x14ac:dyDescent="0.25" r="2794" customHeight="1" ht="17.25">
      <c r="A2794" s="7">
        <v>2793</v>
      </c>
      <c r="B2794" s="1" t="s">
        <v>8137</v>
      </c>
      <c r="C2794" s="5">
        <f>CONCATENATE("PD", TEXT(A2794, "1000000"))</f>
      </c>
      <c r="D2794" s="7">
        <v>76</v>
      </c>
      <c r="E2794" s="5">
        <f>XLOOKUP(G2794, item_category!C:C, item_category!B:B, "Not Found")</f>
      </c>
      <c r="F2794" s="1" t="s">
        <v>5632</v>
      </c>
      <c r="G2794" s="5">
        <f>XLOOKUP(I2794, drug!B:B, drug!A:A, "Not Found")</f>
      </c>
      <c r="H2794" s="1"/>
      <c r="I2794" s="7">
        <v>1</v>
      </c>
      <c r="J2794" s="5">
        <f>XLOOKUP(L2794, uom!C:C, uom!B:B, "Not Found")</f>
      </c>
      <c r="K2794" s="1" t="s">
        <v>5511</v>
      </c>
      <c r="L2794" s="5">
        <f>XLOOKUP(N2794, uom!C:C, uom!B:B, "Not Found")</f>
      </c>
      <c r="M2794" s="1" t="s">
        <v>5511</v>
      </c>
      <c r="N2794" s="8" t="s">
        <v>5512</v>
      </c>
      <c r="O2794" s="1" t="s">
        <v>5513</v>
      </c>
      <c r="P2794" s="5">
        <f>XLOOKUP(R2794, classification!C:C, classification!B:B, "Not Found")</f>
      </c>
      <c r="Q2794" s="1" t="s">
        <v>5514</v>
      </c>
      <c r="R2794" s="2"/>
      <c r="S2794" s="2"/>
      <c r="T2794" s="2"/>
      <c r="U2794" s="2"/>
    </row>
    <row x14ac:dyDescent="0.25" r="2795" customHeight="1" ht="17.25">
      <c r="A2795" s="7">
        <v>2794</v>
      </c>
      <c r="B2795" s="1" t="s">
        <v>8138</v>
      </c>
      <c r="C2795" s="5">
        <f>CONCATENATE("PD", TEXT(A2795, "1000000"))</f>
      </c>
      <c r="D2795" s="7">
        <v>66</v>
      </c>
      <c r="E2795" s="5">
        <f>XLOOKUP(G2795, item_category!C:C, item_category!B:B, "Not Found")</f>
      </c>
      <c r="F2795" s="1" t="s">
        <v>5617</v>
      </c>
      <c r="G2795" s="5">
        <f>XLOOKUP(I2795, drug!B:B, drug!A:A, "Not Found")</f>
      </c>
      <c r="H2795" s="1"/>
      <c r="I2795" s="7">
        <v>1</v>
      </c>
      <c r="J2795" s="5">
        <f>XLOOKUP(L2795, uom!C:C, uom!B:B, "Not Found")</f>
      </c>
      <c r="K2795" s="1" t="s">
        <v>5511</v>
      </c>
      <c r="L2795" s="5">
        <f>XLOOKUP(N2795, uom!C:C, uom!B:B, "Not Found")</f>
      </c>
      <c r="M2795" s="1" t="s">
        <v>5511</v>
      </c>
      <c r="N2795" s="8" t="s">
        <v>5512</v>
      </c>
      <c r="O2795" s="1" t="s">
        <v>5513</v>
      </c>
      <c r="P2795" s="5">
        <f>XLOOKUP(R2795, classification!C:C, classification!B:B, "Not Found")</f>
      </c>
      <c r="Q2795" s="1" t="s">
        <v>5514</v>
      </c>
      <c r="R2795" s="2"/>
      <c r="S2795" s="2"/>
      <c r="T2795" s="2"/>
      <c r="U2795" s="2"/>
    </row>
    <row x14ac:dyDescent="0.25" r="2796" customHeight="1" ht="17.25">
      <c r="A2796" s="7">
        <v>2795</v>
      </c>
      <c r="B2796" s="1" t="s">
        <v>8139</v>
      </c>
      <c r="C2796" s="5">
        <f>CONCATENATE("PD", TEXT(A2796, "1000000"))</f>
      </c>
      <c r="D2796" s="7">
        <v>78</v>
      </c>
      <c r="E2796" s="5">
        <f>XLOOKUP(G2796, item_category!C:C, item_category!B:B, "Not Found")</f>
      </c>
      <c r="F2796" s="1" t="s">
        <v>5522</v>
      </c>
      <c r="G2796" s="5">
        <f>XLOOKUP(I2796, drug!B:B, drug!A:A, "Not Found")</f>
      </c>
      <c r="H2796" s="1"/>
      <c r="I2796" s="7">
        <v>1</v>
      </c>
      <c r="J2796" s="5">
        <f>XLOOKUP(L2796, uom!C:C, uom!B:B, "Not Found")</f>
      </c>
      <c r="K2796" s="1" t="s">
        <v>5511</v>
      </c>
      <c r="L2796" s="5">
        <f>XLOOKUP(N2796, uom!C:C, uom!B:B, "Not Found")</f>
      </c>
      <c r="M2796" s="1" t="s">
        <v>5511</v>
      </c>
      <c r="N2796" s="8" t="s">
        <v>5512</v>
      </c>
      <c r="O2796" s="1" t="s">
        <v>5513</v>
      </c>
      <c r="P2796" s="5">
        <f>XLOOKUP(R2796, classification!C:C, classification!B:B, "Not Found")</f>
      </c>
      <c r="Q2796" s="1" t="s">
        <v>5514</v>
      </c>
      <c r="R2796" s="2"/>
      <c r="S2796" s="2"/>
      <c r="T2796" s="2"/>
      <c r="U2796" s="2"/>
    </row>
    <row x14ac:dyDescent="0.25" r="2797" customHeight="1" ht="17.25">
      <c r="A2797" s="7">
        <v>2796</v>
      </c>
      <c r="B2797" s="1" t="s">
        <v>8140</v>
      </c>
      <c r="C2797" s="5">
        <f>CONCATENATE("PD", TEXT(A2797, "1000000"))</f>
      </c>
      <c r="D2797" s="7">
        <v>78</v>
      </c>
      <c r="E2797" s="5">
        <f>XLOOKUP(G2797, item_category!C:C, item_category!B:B, "Not Found")</f>
      </c>
      <c r="F2797" s="1" t="s">
        <v>5522</v>
      </c>
      <c r="G2797" s="5">
        <f>XLOOKUP(I2797, drug!B:B, drug!A:A, "Not Found")</f>
      </c>
      <c r="H2797" s="1"/>
      <c r="I2797" s="7">
        <v>1</v>
      </c>
      <c r="J2797" s="5">
        <f>XLOOKUP(L2797, uom!C:C, uom!B:B, "Not Found")</f>
      </c>
      <c r="K2797" s="1" t="s">
        <v>5511</v>
      </c>
      <c r="L2797" s="5">
        <f>XLOOKUP(N2797, uom!C:C, uom!B:B, "Not Found")</f>
      </c>
      <c r="M2797" s="1" t="s">
        <v>5511</v>
      </c>
      <c r="N2797" s="8" t="s">
        <v>5512</v>
      </c>
      <c r="O2797" s="1" t="s">
        <v>5513</v>
      </c>
      <c r="P2797" s="5">
        <f>XLOOKUP(R2797, classification!C:C, classification!B:B, "Not Found")</f>
      </c>
      <c r="Q2797" s="1" t="s">
        <v>5514</v>
      </c>
      <c r="R2797" s="2"/>
      <c r="S2797" s="2"/>
      <c r="T2797" s="2"/>
      <c r="U2797" s="2"/>
    </row>
    <row x14ac:dyDescent="0.25" r="2798" customHeight="1" ht="17.25">
      <c r="A2798" s="7">
        <v>2797</v>
      </c>
      <c r="B2798" s="1" t="s">
        <v>8141</v>
      </c>
      <c r="C2798" s="5">
        <f>CONCATENATE("PD", TEXT(A2798, "1000000"))</f>
      </c>
      <c r="D2798" s="7">
        <v>66</v>
      </c>
      <c r="E2798" s="5">
        <f>XLOOKUP(G2798, item_category!C:C, item_category!B:B, "Not Found")</f>
      </c>
      <c r="F2798" s="1" t="s">
        <v>5617</v>
      </c>
      <c r="G2798" s="5">
        <f>XLOOKUP(I2798, drug!B:B, drug!A:A, "Not Found")</f>
      </c>
      <c r="H2798" s="1" t="s">
        <v>1228</v>
      </c>
      <c r="I2798" s="7">
        <v>1</v>
      </c>
      <c r="J2798" s="5">
        <f>XLOOKUP(L2798, uom!C:C, uom!B:B, "Not Found")</f>
      </c>
      <c r="K2798" s="1" t="s">
        <v>5511</v>
      </c>
      <c r="L2798" s="5">
        <f>XLOOKUP(N2798, uom!C:C, uom!B:B, "Not Found")</f>
      </c>
      <c r="M2798" s="1" t="s">
        <v>5511</v>
      </c>
      <c r="N2798" s="8" t="s">
        <v>5512</v>
      </c>
      <c r="O2798" s="1" t="s">
        <v>5513</v>
      </c>
      <c r="P2798" s="5">
        <f>XLOOKUP(R2798, classification!C:C, classification!B:B, "Not Found")</f>
      </c>
      <c r="Q2798" s="1" t="s">
        <v>5514</v>
      </c>
      <c r="R2798" s="2"/>
      <c r="S2798" s="2"/>
      <c r="T2798" s="2"/>
      <c r="U2798" s="2"/>
    </row>
    <row x14ac:dyDescent="0.25" r="2799" customHeight="1" ht="17.25">
      <c r="A2799" s="7">
        <v>2798</v>
      </c>
      <c r="B2799" s="1" t="s">
        <v>8142</v>
      </c>
      <c r="C2799" s="5">
        <f>CONCATENATE("PD", TEXT(A2799, "1000000"))</f>
      </c>
      <c r="D2799" s="7">
        <v>70</v>
      </c>
      <c r="E2799" s="5">
        <f>XLOOKUP(G2799, item_category!C:C, item_category!B:B, "Not Found")</f>
      </c>
      <c r="F2799" s="1" t="s">
        <v>6615</v>
      </c>
      <c r="G2799" s="5">
        <f>XLOOKUP(I2799, drug!B:B, drug!A:A, "Not Found")</f>
      </c>
      <c r="H2799" s="1"/>
      <c r="I2799" s="7">
        <v>1</v>
      </c>
      <c r="J2799" s="5">
        <f>XLOOKUP(L2799, uom!C:C, uom!B:B, "Not Found")</f>
      </c>
      <c r="K2799" s="1" t="s">
        <v>5511</v>
      </c>
      <c r="L2799" s="5">
        <f>XLOOKUP(N2799, uom!C:C, uom!B:B, "Not Found")</f>
      </c>
      <c r="M2799" s="1" t="s">
        <v>5511</v>
      </c>
      <c r="N2799" s="8" t="s">
        <v>5512</v>
      </c>
      <c r="O2799" s="1" t="s">
        <v>5513</v>
      </c>
      <c r="P2799" s="5">
        <f>XLOOKUP(R2799, classification!C:C, classification!B:B, "Not Found")</f>
      </c>
      <c r="Q2799" s="1" t="s">
        <v>5514</v>
      </c>
      <c r="R2799" s="2"/>
      <c r="S2799" s="2"/>
      <c r="T2799" s="2"/>
      <c r="U2799" s="2"/>
    </row>
    <row x14ac:dyDescent="0.25" r="2800" customHeight="1" ht="17.25">
      <c r="A2800" s="7">
        <v>2799</v>
      </c>
      <c r="B2800" s="1" t="s">
        <v>8143</v>
      </c>
      <c r="C2800" s="5">
        <f>CONCATENATE("PD", TEXT(A2800, "1000000"))</f>
      </c>
      <c r="D2800" s="7">
        <v>78</v>
      </c>
      <c r="E2800" s="5">
        <f>XLOOKUP(G2800, item_category!C:C, item_category!B:B, "Not Found")</f>
      </c>
      <c r="F2800" s="1" t="s">
        <v>5522</v>
      </c>
      <c r="G2800" s="5">
        <f>XLOOKUP(I2800, drug!B:B, drug!A:A, "Not Found")</f>
      </c>
      <c r="H2800" s="1" t="s">
        <v>295</v>
      </c>
      <c r="I2800" s="7">
        <v>1</v>
      </c>
      <c r="J2800" s="5">
        <f>XLOOKUP(L2800, uom!C:C, uom!B:B, "Not Found")</f>
      </c>
      <c r="K2800" s="1" t="s">
        <v>5511</v>
      </c>
      <c r="L2800" s="5">
        <f>XLOOKUP(N2800, uom!C:C, uom!B:B, "Not Found")</f>
      </c>
      <c r="M2800" s="1" t="s">
        <v>5511</v>
      </c>
      <c r="N2800" s="8" t="s">
        <v>5512</v>
      </c>
      <c r="O2800" s="1" t="s">
        <v>5513</v>
      </c>
      <c r="P2800" s="5">
        <f>XLOOKUP(R2800, classification!C:C, classification!B:B, "Not Found")</f>
      </c>
      <c r="Q2800" s="1" t="s">
        <v>5514</v>
      </c>
      <c r="R2800" s="2"/>
      <c r="S2800" s="2"/>
      <c r="T2800" s="2"/>
      <c r="U2800" s="2"/>
    </row>
    <row x14ac:dyDescent="0.25" r="2801" customHeight="1" ht="17.25">
      <c r="A2801" s="7">
        <v>2800</v>
      </c>
      <c r="B2801" s="1" t="s">
        <v>8144</v>
      </c>
      <c r="C2801" s="5">
        <f>CONCATENATE("PD", TEXT(A2801, "1000000"))</f>
      </c>
      <c r="D2801" s="7">
        <v>78</v>
      </c>
      <c r="E2801" s="5">
        <f>XLOOKUP(G2801, item_category!C:C, item_category!B:B, "Not Found")</f>
      </c>
      <c r="F2801" s="1" t="s">
        <v>5522</v>
      </c>
      <c r="G2801" s="5">
        <f>XLOOKUP(I2801, drug!B:B, drug!A:A, "Not Found")</f>
      </c>
      <c r="H2801" s="1"/>
      <c r="I2801" s="7">
        <v>1</v>
      </c>
      <c r="J2801" s="5">
        <f>XLOOKUP(L2801, uom!C:C, uom!B:B, "Not Found")</f>
      </c>
      <c r="K2801" s="1" t="s">
        <v>5511</v>
      </c>
      <c r="L2801" s="5">
        <f>XLOOKUP(N2801, uom!C:C, uom!B:B, "Not Found")</f>
      </c>
      <c r="M2801" s="1" t="s">
        <v>5511</v>
      </c>
      <c r="N2801" s="8" t="s">
        <v>5512</v>
      </c>
      <c r="O2801" s="1" t="s">
        <v>5513</v>
      </c>
      <c r="P2801" s="5">
        <f>XLOOKUP(R2801, classification!C:C, classification!B:B, "Not Found")</f>
      </c>
      <c r="Q2801" s="1" t="s">
        <v>5514</v>
      </c>
      <c r="R2801" s="2"/>
      <c r="S2801" s="2"/>
      <c r="T2801" s="2"/>
      <c r="U2801" s="2"/>
    </row>
    <row x14ac:dyDescent="0.25" r="2802" customHeight="1" ht="17.25">
      <c r="A2802" s="7">
        <v>2801</v>
      </c>
      <c r="B2802" s="1" t="s">
        <v>8145</v>
      </c>
      <c r="C2802" s="5">
        <f>CONCATENATE("PD", TEXT(A2802, "1000000"))</f>
      </c>
      <c r="D2802" s="7">
        <v>74</v>
      </c>
      <c r="E2802" s="5">
        <f>XLOOKUP(G2802, item_category!C:C, item_category!B:B, "Not Found")</f>
      </c>
      <c r="F2802" s="1" t="s">
        <v>5520</v>
      </c>
      <c r="G2802" s="5">
        <f>XLOOKUP(I2802, drug!B:B, drug!A:A, "Not Found")</f>
      </c>
      <c r="H2802" s="1"/>
      <c r="I2802" s="7">
        <v>1</v>
      </c>
      <c r="J2802" s="5">
        <f>XLOOKUP(L2802, uom!C:C, uom!B:B, "Not Found")</f>
      </c>
      <c r="K2802" s="1" t="s">
        <v>5511</v>
      </c>
      <c r="L2802" s="5">
        <f>XLOOKUP(N2802, uom!C:C, uom!B:B, "Not Found")</f>
      </c>
      <c r="M2802" s="1" t="s">
        <v>5511</v>
      </c>
      <c r="N2802" s="8" t="s">
        <v>5512</v>
      </c>
      <c r="O2802" s="1" t="s">
        <v>5513</v>
      </c>
      <c r="P2802" s="5">
        <f>XLOOKUP(R2802, classification!C:C, classification!B:B, "Not Found")</f>
      </c>
      <c r="Q2802" s="1" t="s">
        <v>5514</v>
      </c>
      <c r="R2802" s="2"/>
      <c r="S2802" s="2"/>
      <c r="T2802" s="2"/>
      <c r="U2802" s="2"/>
    </row>
    <row x14ac:dyDescent="0.25" r="2803" customHeight="1" ht="17.25">
      <c r="A2803" s="7">
        <v>2802</v>
      </c>
      <c r="B2803" s="1" t="s">
        <v>8146</v>
      </c>
      <c r="C2803" s="5">
        <f>CONCATENATE("PD", TEXT(A2803, "1000000"))</f>
      </c>
      <c r="D2803" s="7">
        <v>78</v>
      </c>
      <c r="E2803" s="5">
        <f>XLOOKUP(G2803, item_category!C:C, item_category!B:B, "Not Found")</f>
      </c>
      <c r="F2803" s="1" t="s">
        <v>5522</v>
      </c>
      <c r="G2803" s="5">
        <f>XLOOKUP(I2803, drug!B:B, drug!A:A, "Not Found")</f>
      </c>
      <c r="H2803" s="1"/>
      <c r="I2803" s="7">
        <v>1</v>
      </c>
      <c r="J2803" s="5">
        <f>XLOOKUP(L2803, uom!C:C, uom!B:B, "Not Found")</f>
      </c>
      <c r="K2803" s="1" t="s">
        <v>5511</v>
      </c>
      <c r="L2803" s="5">
        <f>XLOOKUP(N2803, uom!C:C, uom!B:B, "Not Found")</f>
      </c>
      <c r="M2803" s="1" t="s">
        <v>5511</v>
      </c>
      <c r="N2803" s="8" t="s">
        <v>5512</v>
      </c>
      <c r="O2803" s="1" t="s">
        <v>5513</v>
      </c>
      <c r="P2803" s="5">
        <f>XLOOKUP(R2803, classification!C:C, classification!B:B, "Not Found")</f>
      </c>
      <c r="Q2803" s="1" t="s">
        <v>5514</v>
      </c>
      <c r="R2803" s="2"/>
      <c r="S2803" s="2"/>
      <c r="T2803" s="2"/>
      <c r="U2803" s="2"/>
    </row>
    <row x14ac:dyDescent="0.25" r="2804" customHeight="1" ht="17.25">
      <c r="A2804" s="7">
        <v>2803</v>
      </c>
      <c r="B2804" s="1" t="s">
        <v>8147</v>
      </c>
      <c r="C2804" s="5">
        <f>CONCATENATE("PD", TEXT(A2804, "1000000"))</f>
      </c>
      <c r="D2804" s="7">
        <v>78</v>
      </c>
      <c r="E2804" s="5">
        <f>XLOOKUP(G2804, item_category!C:C, item_category!B:B, "Not Found")</f>
      </c>
      <c r="F2804" s="1" t="s">
        <v>5522</v>
      </c>
      <c r="G2804" s="5">
        <f>XLOOKUP(I2804, drug!B:B, drug!A:A, "Not Found")</f>
      </c>
      <c r="H2804" s="1"/>
      <c r="I2804" s="7">
        <v>1</v>
      </c>
      <c r="J2804" s="5">
        <f>XLOOKUP(L2804, uom!C:C, uom!B:B, "Not Found")</f>
      </c>
      <c r="K2804" s="1" t="s">
        <v>5511</v>
      </c>
      <c r="L2804" s="5">
        <f>XLOOKUP(N2804, uom!C:C, uom!B:B, "Not Found")</f>
      </c>
      <c r="M2804" s="1" t="s">
        <v>5511</v>
      </c>
      <c r="N2804" s="8" t="s">
        <v>5512</v>
      </c>
      <c r="O2804" s="1" t="s">
        <v>5513</v>
      </c>
      <c r="P2804" s="5">
        <f>XLOOKUP(R2804, classification!C:C, classification!B:B, "Not Found")</f>
      </c>
      <c r="Q2804" s="1" t="s">
        <v>5514</v>
      </c>
      <c r="R2804" s="2"/>
      <c r="S2804" s="2"/>
      <c r="T2804" s="2"/>
      <c r="U2804" s="2"/>
    </row>
    <row x14ac:dyDescent="0.25" r="2805" customHeight="1" ht="17.25">
      <c r="A2805" s="7">
        <v>2804</v>
      </c>
      <c r="B2805" s="1" t="s">
        <v>8148</v>
      </c>
      <c r="C2805" s="5">
        <f>CONCATENATE("PD", TEXT(A2805, "1000000"))</f>
      </c>
      <c r="D2805" s="7">
        <v>78</v>
      </c>
      <c r="E2805" s="5">
        <f>XLOOKUP(G2805, item_category!C:C, item_category!B:B, "Not Found")</f>
      </c>
      <c r="F2805" s="1" t="s">
        <v>5522</v>
      </c>
      <c r="G2805" s="5">
        <f>XLOOKUP(I2805, drug!B:B, drug!A:A, "Not Found")</f>
      </c>
      <c r="H2805" s="1"/>
      <c r="I2805" s="7">
        <v>1</v>
      </c>
      <c r="J2805" s="5">
        <f>XLOOKUP(L2805, uom!C:C, uom!B:B, "Not Found")</f>
      </c>
      <c r="K2805" s="1" t="s">
        <v>5511</v>
      </c>
      <c r="L2805" s="5">
        <f>XLOOKUP(N2805, uom!C:C, uom!B:B, "Not Found")</f>
      </c>
      <c r="M2805" s="1" t="s">
        <v>5511</v>
      </c>
      <c r="N2805" s="8" t="s">
        <v>5512</v>
      </c>
      <c r="O2805" s="1" t="s">
        <v>5513</v>
      </c>
      <c r="P2805" s="5">
        <f>XLOOKUP(R2805, classification!C:C, classification!B:B, "Not Found")</f>
      </c>
      <c r="Q2805" s="1" t="s">
        <v>5514</v>
      </c>
      <c r="R2805" s="2"/>
      <c r="S2805" s="2"/>
      <c r="T2805" s="2"/>
      <c r="U2805" s="2"/>
    </row>
    <row x14ac:dyDescent="0.25" r="2806" customHeight="1" ht="17.25">
      <c r="A2806" s="7">
        <v>2805</v>
      </c>
      <c r="B2806" s="1" t="s">
        <v>8149</v>
      </c>
      <c r="C2806" s="5">
        <f>CONCATENATE("PD", TEXT(A2806, "1000000"))</f>
      </c>
      <c r="D2806" s="7">
        <v>78</v>
      </c>
      <c r="E2806" s="5">
        <f>XLOOKUP(G2806, item_category!C:C, item_category!B:B, "Not Found")</f>
      </c>
      <c r="F2806" s="1" t="s">
        <v>5522</v>
      </c>
      <c r="G2806" s="5">
        <f>XLOOKUP(I2806, drug!B:B, drug!A:A, "Not Found")</f>
      </c>
      <c r="H2806" s="1" t="s">
        <v>364</v>
      </c>
      <c r="I2806" s="7">
        <v>1</v>
      </c>
      <c r="J2806" s="5">
        <f>XLOOKUP(L2806, uom!C:C, uom!B:B, "Not Found")</f>
      </c>
      <c r="K2806" s="1" t="s">
        <v>5511</v>
      </c>
      <c r="L2806" s="5">
        <f>XLOOKUP(N2806, uom!C:C, uom!B:B, "Not Found")</f>
      </c>
      <c r="M2806" s="1" t="s">
        <v>5511</v>
      </c>
      <c r="N2806" s="8" t="s">
        <v>5512</v>
      </c>
      <c r="O2806" s="1" t="s">
        <v>5513</v>
      </c>
      <c r="P2806" s="5">
        <f>XLOOKUP(R2806, classification!C:C, classification!B:B, "Not Found")</f>
      </c>
      <c r="Q2806" s="1" t="s">
        <v>5514</v>
      </c>
      <c r="R2806" s="2"/>
      <c r="S2806" s="2"/>
      <c r="T2806" s="2"/>
      <c r="U2806" s="2"/>
    </row>
    <row x14ac:dyDescent="0.25" r="2807" customHeight="1" ht="17.25">
      <c r="A2807" s="7">
        <v>2806</v>
      </c>
      <c r="B2807" s="1" t="s">
        <v>8150</v>
      </c>
      <c r="C2807" s="5">
        <f>CONCATENATE("PD", TEXT(A2807, "1000000"))</f>
      </c>
      <c r="D2807" s="7">
        <v>78</v>
      </c>
      <c r="E2807" s="5">
        <f>XLOOKUP(G2807, item_category!C:C, item_category!B:B, "Not Found")</f>
      </c>
      <c r="F2807" s="1" t="s">
        <v>5522</v>
      </c>
      <c r="G2807" s="5">
        <f>XLOOKUP(I2807, drug!B:B, drug!A:A, "Not Found")</f>
      </c>
      <c r="H2807" s="1"/>
      <c r="I2807" s="7">
        <v>1</v>
      </c>
      <c r="J2807" s="5">
        <f>XLOOKUP(L2807, uom!C:C, uom!B:B, "Not Found")</f>
      </c>
      <c r="K2807" s="1" t="s">
        <v>5511</v>
      </c>
      <c r="L2807" s="5">
        <f>XLOOKUP(N2807, uom!C:C, uom!B:B, "Not Found")</f>
      </c>
      <c r="M2807" s="1" t="s">
        <v>5511</v>
      </c>
      <c r="N2807" s="8" t="s">
        <v>5512</v>
      </c>
      <c r="O2807" s="1" t="s">
        <v>5513</v>
      </c>
      <c r="P2807" s="5">
        <f>XLOOKUP(R2807, classification!C:C, classification!B:B, "Not Found")</f>
      </c>
      <c r="Q2807" s="1" t="s">
        <v>5514</v>
      </c>
      <c r="R2807" s="2"/>
      <c r="S2807" s="2"/>
      <c r="T2807" s="2"/>
      <c r="U2807" s="2"/>
    </row>
    <row x14ac:dyDescent="0.25" r="2808" customHeight="1" ht="17.25">
      <c r="A2808" s="7">
        <v>2807</v>
      </c>
      <c r="B2808" s="1" t="s">
        <v>8151</v>
      </c>
      <c r="C2808" s="5">
        <f>CONCATENATE("PD", TEXT(A2808, "1000000"))</f>
      </c>
      <c r="D2808" s="7">
        <v>58</v>
      </c>
      <c r="E2808" s="5">
        <f>XLOOKUP(G2808, item_category!C:C, item_category!B:B, "Not Found")</f>
      </c>
      <c r="F2808" s="1" t="s">
        <v>5600</v>
      </c>
      <c r="G2808" s="5">
        <f>XLOOKUP(I2808, drug!B:B, drug!A:A, "Not Found")</f>
      </c>
      <c r="H2808" s="1"/>
      <c r="I2808" s="7">
        <v>1</v>
      </c>
      <c r="J2808" s="5">
        <f>XLOOKUP(L2808, uom!C:C, uom!B:B, "Not Found")</f>
      </c>
      <c r="K2808" s="1" t="s">
        <v>5511</v>
      </c>
      <c r="L2808" s="5">
        <f>XLOOKUP(N2808, uom!C:C, uom!B:B, "Not Found")</f>
      </c>
      <c r="M2808" s="1" t="s">
        <v>5511</v>
      </c>
      <c r="N2808" s="8" t="s">
        <v>5512</v>
      </c>
      <c r="O2808" s="1" t="s">
        <v>5513</v>
      </c>
      <c r="P2808" s="5">
        <f>XLOOKUP(R2808, classification!C:C, classification!B:B, "Not Found")</f>
      </c>
      <c r="Q2808" s="1" t="s">
        <v>5514</v>
      </c>
      <c r="R2808" s="2"/>
      <c r="S2808" s="2"/>
      <c r="T2808" s="2"/>
      <c r="U2808" s="2"/>
    </row>
    <row x14ac:dyDescent="0.25" r="2809" customHeight="1" ht="17.25">
      <c r="A2809" s="7">
        <v>2808</v>
      </c>
      <c r="B2809" s="1" t="s">
        <v>8152</v>
      </c>
      <c r="C2809" s="5">
        <f>CONCATENATE("PD", TEXT(A2809, "1000000"))</f>
      </c>
      <c r="D2809" s="7">
        <v>58</v>
      </c>
      <c r="E2809" s="5">
        <f>XLOOKUP(G2809, item_category!C:C, item_category!B:B, "Not Found")</f>
      </c>
      <c r="F2809" s="1" t="s">
        <v>5600</v>
      </c>
      <c r="G2809" s="5">
        <f>XLOOKUP(I2809, drug!B:B, drug!A:A, "Not Found")</f>
      </c>
      <c r="H2809" s="1"/>
      <c r="I2809" s="7">
        <v>1</v>
      </c>
      <c r="J2809" s="5">
        <f>XLOOKUP(L2809, uom!C:C, uom!B:B, "Not Found")</f>
      </c>
      <c r="K2809" s="1" t="s">
        <v>5511</v>
      </c>
      <c r="L2809" s="5">
        <f>XLOOKUP(N2809, uom!C:C, uom!B:B, "Not Found")</f>
      </c>
      <c r="M2809" s="1" t="s">
        <v>5511</v>
      </c>
      <c r="N2809" s="8" t="s">
        <v>5512</v>
      </c>
      <c r="O2809" s="1" t="s">
        <v>5513</v>
      </c>
      <c r="P2809" s="5">
        <f>XLOOKUP(R2809, classification!C:C, classification!B:B, "Not Found")</f>
      </c>
      <c r="Q2809" s="1" t="s">
        <v>5514</v>
      </c>
      <c r="R2809" s="2"/>
      <c r="S2809" s="2"/>
      <c r="T2809" s="2"/>
      <c r="U2809" s="2"/>
    </row>
    <row x14ac:dyDescent="0.25" r="2810" customHeight="1" ht="17.25">
      <c r="A2810" s="7">
        <v>2809</v>
      </c>
      <c r="B2810" s="1" t="s">
        <v>8153</v>
      </c>
      <c r="C2810" s="5">
        <f>CONCATENATE("PD", TEXT(A2810, "1000000"))</f>
      </c>
      <c r="D2810" s="7">
        <v>74</v>
      </c>
      <c r="E2810" s="5">
        <f>XLOOKUP(G2810, item_category!C:C, item_category!B:B, "Not Found")</f>
      </c>
      <c r="F2810" s="1" t="s">
        <v>5520</v>
      </c>
      <c r="G2810" s="5">
        <f>XLOOKUP(I2810, drug!B:B, drug!A:A, "Not Found")</f>
      </c>
      <c r="H2810" s="1"/>
      <c r="I2810" s="7">
        <v>1</v>
      </c>
      <c r="J2810" s="5">
        <f>XLOOKUP(L2810, uom!C:C, uom!B:B, "Not Found")</f>
      </c>
      <c r="K2810" s="1" t="s">
        <v>5511</v>
      </c>
      <c r="L2810" s="5">
        <f>XLOOKUP(N2810, uom!C:C, uom!B:B, "Not Found")</f>
      </c>
      <c r="M2810" s="1" t="s">
        <v>5511</v>
      </c>
      <c r="N2810" s="8" t="s">
        <v>5512</v>
      </c>
      <c r="O2810" s="1" t="s">
        <v>5513</v>
      </c>
      <c r="P2810" s="5">
        <f>XLOOKUP(R2810, classification!C:C, classification!B:B, "Not Found")</f>
      </c>
      <c r="Q2810" s="1" t="s">
        <v>5514</v>
      </c>
      <c r="R2810" s="2"/>
      <c r="S2810" s="2"/>
      <c r="T2810" s="2"/>
      <c r="U2810" s="2"/>
    </row>
    <row x14ac:dyDescent="0.25" r="2811" customHeight="1" ht="17.25">
      <c r="A2811" s="7">
        <v>2810</v>
      </c>
      <c r="B2811" s="1" t="s">
        <v>8154</v>
      </c>
      <c r="C2811" s="5">
        <f>CONCATENATE("PD", TEXT(A2811, "1000000"))</f>
      </c>
      <c r="D2811" s="7">
        <v>74</v>
      </c>
      <c r="E2811" s="5">
        <f>XLOOKUP(G2811, item_category!C:C, item_category!B:B, "Not Found")</f>
      </c>
      <c r="F2811" s="1" t="s">
        <v>5520</v>
      </c>
      <c r="G2811" s="5">
        <f>XLOOKUP(I2811, drug!B:B, drug!A:A, "Not Found")</f>
      </c>
      <c r="H2811" s="1"/>
      <c r="I2811" s="7">
        <v>1</v>
      </c>
      <c r="J2811" s="5">
        <f>XLOOKUP(L2811, uom!C:C, uom!B:B, "Not Found")</f>
      </c>
      <c r="K2811" s="1" t="s">
        <v>5511</v>
      </c>
      <c r="L2811" s="5">
        <f>XLOOKUP(N2811, uom!C:C, uom!B:B, "Not Found")</f>
      </c>
      <c r="M2811" s="1" t="s">
        <v>5511</v>
      </c>
      <c r="N2811" s="8" t="s">
        <v>5512</v>
      </c>
      <c r="O2811" s="1" t="s">
        <v>5513</v>
      </c>
      <c r="P2811" s="5">
        <f>XLOOKUP(R2811, classification!C:C, classification!B:B, "Not Found")</f>
      </c>
      <c r="Q2811" s="1" t="s">
        <v>5514</v>
      </c>
      <c r="R2811" s="2"/>
      <c r="S2811" s="2"/>
      <c r="T2811" s="2"/>
      <c r="U2811" s="2"/>
    </row>
    <row x14ac:dyDescent="0.25" r="2812" customHeight="1" ht="17.25">
      <c r="A2812" s="7">
        <v>2811</v>
      </c>
      <c r="B2812" s="1" t="s">
        <v>8155</v>
      </c>
      <c r="C2812" s="5">
        <f>CONCATENATE("PD", TEXT(A2812, "1000000"))</f>
      </c>
      <c r="D2812" s="7">
        <v>74</v>
      </c>
      <c r="E2812" s="5">
        <f>XLOOKUP(G2812, item_category!C:C, item_category!B:B, "Not Found")</f>
      </c>
      <c r="F2812" s="1" t="s">
        <v>5520</v>
      </c>
      <c r="G2812" s="5">
        <f>XLOOKUP(I2812, drug!B:B, drug!A:A, "Not Found")</f>
      </c>
      <c r="H2812" s="1"/>
      <c r="I2812" s="7">
        <v>1</v>
      </c>
      <c r="J2812" s="5">
        <f>XLOOKUP(L2812, uom!C:C, uom!B:B, "Not Found")</f>
      </c>
      <c r="K2812" s="1" t="s">
        <v>5511</v>
      </c>
      <c r="L2812" s="5">
        <f>XLOOKUP(N2812, uom!C:C, uom!B:B, "Not Found")</f>
      </c>
      <c r="M2812" s="1" t="s">
        <v>5511</v>
      </c>
      <c r="N2812" s="8" t="s">
        <v>5512</v>
      </c>
      <c r="O2812" s="1" t="s">
        <v>5513</v>
      </c>
      <c r="P2812" s="5">
        <f>XLOOKUP(R2812, classification!C:C, classification!B:B, "Not Found")</f>
      </c>
      <c r="Q2812" s="1" t="s">
        <v>5514</v>
      </c>
      <c r="R2812" s="2"/>
      <c r="S2812" s="2"/>
      <c r="T2812" s="2"/>
      <c r="U2812" s="2"/>
    </row>
    <row x14ac:dyDescent="0.25" r="2813" customHeight="1" ht="17.25">
      <c r="A2813" s="7">
        <v>2812</v>
      </c>
      <c r="B2813" s="1" t="s">
        <v>8156</v>
      </c>
      <c r="C2813" s="5">
        <f>CONCATENATE("PD", TEXT(A2813, "1000000"))</f>
      </c>
      <c r="D2813" s="7">
        <v>74</v>
      </c>
      <c r="E2813" s="5">
        <f>XLOOKUP(G2813, item_category!C:C, item_category!B:B, "Not Found")</f>
      </c>
      <c r="F2813" s="1" t="s">
        <v>5520</v>
      </c>
      <c r="G2813" s="5">
        <f>XLOOKUP(I2813, drug!B:B, drug!A:A, "Not Found")</f>
      </c>
      <c r="H2813" s="1" t="s">
        <v>1662</v>
      </c>
      <c r="I2813" s="7">
        <v>1</v>
      </c>
      <c r="J2813" s="5">
        <f>XLOOKUP(L2813, uom!C:C, uom!B:B, "Not Found")</f>
      </c>
      <c r="K2813" s="1" t="s">
        <v>5511</v>
      </c>
      <c r="L2813" s="5">
        <f>XLOOKUP(N2813, uom!C:C, uom!B:B, "Not Found")</f>
      </c>
      <c r="M2813" s="1" t="s">
        <v>5511</v>
      </c>
      <c r="N2813" s="8" t="s">
        <v>5512</v>
      </c>
      <c r="O2813" s="1" t="s">
        <v>5513</v>
      </c>
      <c r="P2813" s="5">
        <f>XLOOKUP(R2813, classification!C:C, classification!B:B, "Not Found")</f>
      </c>
      <c r="Q2813" s="1" t="s">
        <v>5514</v>
      </c>
      <c r="R2813" s="2"/>
      <c r="S2813" s="2"/>
      <c r="T2813" s="2"/>
      <c r="U2813" s="2"/>
    </row>
    <row x14ac:dyDescent="0.25" r="2814" customHeight="1" ht="17.25">
      <c r="A2814" s="7">
        <v>2813</v>
      </c>
      <c r="B2814" s="1" t="s">
        <v>8157</v>
      </c>
      <c r="C2814" s="5">
        <f>CONCATENATE("PD", TEXT(A2814, "1000000"))</f>
      </c>
      <c r="D2814" s="7">
        <v>74</v>
      </c>
      <c r="E2814" s="5">
        <f>XLOOKUP(G2814, item_category!C:C, item_category!B:B, "Not Found")</f>
      </c>
      <c r="F2814" s="1" t="s">
        <v>5520</v>
      </c>
      <c r="G2814" s="5">
        <f>XLOOKUP(I2814, drug!B:B, drug!A:A, "Not Found")</f>
      </c>
      <c r="H2814" s="1"/>
      <c r="I2814" s="7">
        <v>1</v>
      </c>
      <c r="J2814" s="5">
        <f>XLOOKUP(L2814, uom!C:C, uom!B:B, "Not Found")</f>
      </c>
      <c r="K2814" s="1" t="s">
        <v>5511</v>
      </c>
      <c r="L2814" s="5">
        <f>XLOOKUP(N2814, uom!C:C, uom!B:B, "Not Found")</f>
      </c>
      <c r="M2814" s="1" t="s">
        <v>5511</v>
      </c>
      <c r="N2814" s="8" t="s">
        <v>5512</v>
      </c>
      <c r="O2814" s="1" t="s">
        <v>5513</v>
      </c>
      <c r="P2814" s="5">
        <f>XLOOKUP(R2814, classification!C:C, classification!B:B, "Not Found")</f>
      </c>
      <c r="Q2814" s="1" t="s">
        <v>5514</v>
      </c>
      <c r="R2814" s="2"/>
      <c r="S2814" s="2"/>
      <c r="T2814" s="2"/>
      <c r="U2814" s="2"/>
    </row>
    <row x14ac:dyDescent="0.25" r="2815" customHeight="1" ht="17.25">
      <c r="A2815" s="7">
        <v>2814</v>
      </c>
      <c r="B2815" s="1" t="s">
        <v>8158</v>
      </c>
      <c r="C2815" s="5">
        <f>CONCATENATE("PD", TEXT(A2815, "1000000"))</f>
      </c>
      <c r="D2815" s="7">
        <v>74</v>
      </c>
      <c r="E2815" s="5">
        <f>XLOOKUP(G2815, item_category!C:C, item_category!B:B, "Not Found")</f>
      </c>
      <c r="F2815" s="1" t="s">
        <v>5520</v>
      </c>
      <c r="G2815" s="5">
        <f>XLOOKUP(I2815, drug!B:B, drug!A:A, "Not Found")</f>
      </c>
      <c r="H2815" s="1"/>
      <c r="I2815" s="7">
        <v>1</v>
      </c>
      <c r="J2815" s="5">
        <f>XLOOKUP(L2815, uom!C:C, uom!B:B, "Not Found")</f>
      </c>
      <c r="K2815" s="1" t="s">
        <v>5511</v>
      </c>
      <c r="L2815" s="5">
        <f>XLOOKUP(N2815, uom!C:C, uom!B:B, "Not Found")</f>
      </c>
      <c r="M2815" s="1" t="s">
        <v>5511</v>
      </c>
      <c r="N2815" s="8" t="s">
        <v>5512</v>
      </c>
      <c r="O2815" s="1" t="s">
        <v>5513</v>
      </c>
      <c r="P2815" s="5">
        <f>XLOOKUP(R2815, classification!C:C, classification!B:B, "Not Found")</f>
      </c>
      <c r="Q2815" s="1" t="s">
        <v>5514</v>
      </c>
      <c r="R2815" s="2"/>
      <c r="S2815" s="2"/>
      <c r="T2815" s="2"/>
      <c r="U2815" s="2"/>
    </row>
    <row x14ac:dyDescent="0.25" r="2816" customHeight="1" ht="17.25">
      <c r="A2816" s="7">
        <v>2815</v>
      </c>
      <c r="B2816" s="1" t="s">
        <v>3300</v>
      </c>
      <c r="C2816" s="5">
        <f>CONCATENATE("PD", TEXT(A2816, "1000000"))</f>
      </c>
      <c r="D2816" s="7">
        <v>74</v>
      </c>
      <c r="E2816" s="5">
        <f>XLOOKUP(G2816, item_category!C:C, item_category!B:B, "Not Found")</f>
      </c>
      <c r="F2816" s="1" t="s">
        <v>5520</v>
      </c>
      <c r="G2816" s="5">
        <f>XLOOKUP(I2816, drug!B:B, drug!A:A, "Not Found")</f>
      </c>
      <c r="H2816" s="1"/>
      <c r="I2816" s="7">
        <v>1</v>
      </c>
      <c r="J2816" s="5">
        <f>XLOOKUP(L2816, uom!C:C, uom!B:B, "Not Found")</f>
      </c>
      <c r="K2816" s="1" t="s">
        <v>5511</v>
      </c>
      <c r="L2816" s="5">
        <f>XLOOKUP(N2816, uom!C:C, uom!B:B, "Not Found")</f>
      </c>
      <c r="M2816" s="1" t="s">
        <v>5511</v>
      </c>
      <c r="N2816" s="8" t="s">
        <v>5512</v>
      </c>
      <c r="O2816" s="1" t="s">
        <v>5513</v>
      </c>
      <c r="P2816" s="5">
        <f>XLOOKUP(R2816, classification!C:C, classification!B:B, "Not Found")</f>
      </c>
      <c r="Q2816" s="1" t="s">
        <v>5514</v>
      </c>
      <c r="R2816" s="2"/>
      <c r="S2816" s="2"/>
      <c r="T2816" s="2"/>
      <c r="U2816" s="2"/>
    </row>
    <row x14ac:dyDescent="0.25" r="2817" customHeight="1" ht="17.25">
      <c r="A2817" s="7">
        <v>2816</v>
      </c>
      <c r="B2817" s="1" t="s">
        <v>8159</v>
      </c>
      <c r="C2817" s="5">
        <f>CONCATENATE("PD", TEXT(A2817, "1000000"))</f>
      </c>
      <c r="D2817" s="7">
        <v>76</v>
      </c>
      <c r="E2817" s="5">
        <f>XLOOKUP(G2817, item_category!C:C, item_category!B:B, "Not Found")</f>
      </c>
      <c r="F2817" s="1" t="s">
        <v>5632</v>
      </c>
      <c r="G2817" s="5">
        <f>XLOOKUP(I2817, drug!B:B, drug!A:A, "Not Found")</f>
      </c>
      <c r="H2817" s="1" t="s">
        <v>1588</v>
      </c>
      <c r="I2817" s="7">
        <v>1</v>
      </c>
      <c r="J2817" s="5">
        <f>XLOOKUP(L2817, uom!C:C, uom!B:B, "Not Found")</f>
      </c>
      <c r="K2817" s="1" t="s">
        <v>5511</v>
      </c>
      <c r="L2817" s="5">
        <f>XLOOKUP(N2817, uom!C:C, uom!B:B, "Not Found")</f>
      </c>
      <c r="M2817" s="1" t="s">
        <v>5511</v>
      </c>
      <c r="N2817" s="8" t="s">
        <v>5512</v>
      </c>
      <c r="O2817" s="1" t="s">
        <v>5513</v>
      </c>
      <c r="P2817" s="5">
        <f>XLOOKUP(R2817, classification!C:C, classification!B:B, "Not Found")</f>
      </c>
      <c r="Q2817" s="1" t="s">
        <v>5514</v>
      </c>
      <c r="R2817" s="2"/>
      <c r="S2817" s="2"/>
      <c r="T2817" s="2"/>
      <c r="U2817" s="2"/>
    </row>
    <row x14ac:dyDescent="0.25" r="2818" customHeight="1" ht="17.25">
      <c r="A2818" s="7">
        <v>2817</v>
      </c>
      <c r="B2818" s="1" t="s">
        <v>3302</v>
      </c>
      <c r="C2818" s="5">
        <f>CONCATENATE("PD", TEXT(A2818, "1000000"))</f>
      </c>
      <c r="D2818" s="7">
        <v>76</v>
      </c>
      <c r="E2818" s="5">
        <f>XLOOKUP(G2818, item_category!C:C, item_category!B:B, "Not Found")</f>
      </c>
      <c r="F2818" s="1" t="s">
        <v>5632</v>
      </c>
      <c r="G2818" s="5">
        <f>XLOOKUP(I2818, drug!B:B, drug!A:A, "Not Found")</f>
      </c>
      <c r="H2818" s="1"/>
      <c r="I2818" s="7">
        <v>1</v>
      </c>
      <c r="J2818" s="5">
        <f>XLOOKUP(L2818, uom!C:C, uom!B:B, "Not Found")</f>
      </c>
      <c r="K2818" s="1" t="s">
        <v>5511</v>
      </c>
      <c r="L2818" s="5">
        <f>XLOOKUP(N2818, uom!C:C, uom!B:B, "Not Found")</f>
      </c>
      <c r="M2818" s="1" t="s">
        <v>5511</v>
      </c>
      <c r="N2818" s="8" t="s">
        <v>5512</v>
      </c>
      <c r="O2818" s="1" t="s">
        <v>5513</v>
      </c>
      <c r="P2818" s="5">
        <f>XLOOKUP(R2818, classification!C:C, classification!B:B, "Not Found")</f>
      </c>
      <c r="Q2818" s="1" t="s">
        <v>5514</v>
      </c>
      <c r="R2818" s="2"/>
      <c r="S2818" s="2"/>
      <c r="T2818" s="2"/>
      <c r="U2818" s="2"/>
    </row>
    <row x14ac:dyDescent="0.25" r="2819" customHeight="1" ht="17.25">
      <c r="A2819" s="7">
        <v>2818</v>
      </c>
      <c r="B2819" s="1" t="s">
        <v>8160</v>
      </c>
      <c r="C2819" s="5">
        <f>CONCATENATE("PD", TEXT(A2819, "1000000"))</f>
      </c>
      <c r="D2819" s="7">
        <v>76</v>
      </c>
      <c r="E2819" s="5">
        <f>XLOOKUP(G2819, item_category!C:C, item_category!B:B, "Not Found")</f>
      </c>
      <c r="F2819" s="1" t="s">
        <v>5632</v>
      </c>
      <c r="G2819" s="5">
        <f>XLOOKUP(I2819, drug!B:B, drug!A:A, "Not Found")</f>
      </c>
      <c r="H2819" s="1"/>
      <c r="I2819" s="7">
        <v>1</v>
      </c>
      <c r="J2819" s="5">
        <f>XLOOKUP(L2819, uom!C:C, uom!B:B, "Not Found")</f>
      </c>
      <c r="K2819" s="1" t="s">
        <v>5511</v>
      </c>
      <c r="L2819" s="5">
        <f>XLOOKUP(N2819, uom!C:C, uom!B:B, "Not Found")</f>
      </c>
      <c r="M2819" s="1" t="s">
        <v>5511</v>
      </c>
      <c r="N2819" s="8" t="s">
        <v>5512</v>
      </c>
      <c r="O2819" s="1" t="s">
        <v>5513</v>
      </c>
      <c r="P2819" s="5">
        <f>XLOOKUP(R2819, classification!C:C, classification!B:B, "Not Found")</f>
      </c>
      <c r="Q2819" s="1" t="s">
        <v>5514</v>
      </c>
      <c r="R2819" s="2"/>
      <c r="S2819" s="2"/>
      <c r="T2819" s="2"/>
      <c r="U2819" s="2"/>
    </row>
    <row x14ac:dyDescent="0.25" r="2820" customHeight="1" ht="17.25">
      <c r="A2820" s="7">
        <v>2819</v>
      </c>
      <c r="B2820" s="1" t="s">
        <v>3304</v>
      </c>
      <c r="C2820" s="5">
        <f>CONCATENATE("PD", TEXT(A2820, "1000000"))</f>
      </c>
      <c r="D2820" s="7">
        <v>76</v>
      </c>
      <c r="E2820" s="5">
        <f>XLOOKUP(G2820, item_category!C:C, item_category!B:B, "Not Found")</f>
      </c>
      <c r="F2820" s="1" t="s">
        <v>5632</v>
      </c>
      <c r="G2820" s="5">
        <f>XLOOKUP(I2820, drug!B:B, drug!A:A, "Not Found")</f>
      </c>
      <c r="H2820" s="1"/>
      <c r="I2820" s="7">
        <v>1</v>
      </c>
      <c r="J2820" s="5">
        <f>XLOOKUP(L2820, uom!C:C, uom!B:B, "Not Found")</f>
      </c>
      <c r="K2820" s="1" t="s">
        <v>5511</v>
      </c>
      <c r="L2820" s="5">
        <f>XLOOKUP(N2820, uom!C:C, uom!B:B, "Not Found")</f>
      </c>
      <c r="M2820" s="1" t="s">
        <v>5511</v>
      </c>
      <c r="N2820" s="8" t="s">
        <v>5512</v>
      </c>
      <c r="O2820" s="1" t="s">
        <v>5513</v>
      </c>
      <c r="P2820" s="5">
        <f>XLOOKUP(R2820, classification!C:C, classification!B:B, "Not Found")</f>
      </c>
      <c r="Q2820" s="1" t="s">
        <v>5514</v>
      </c>
      <c r="R2820" s="2"/>
      <c r="S2820" s="2"/>
      <c r="T2820" s="2"/>
      <c r="U2820" s="2"/>
    </row>
    <row x14ac:dyDescent="0.25" r="2821" customHeight="1" ht="17.25">
      <c r="A2821" s="7">
        <v>2820</v>
      </c>
      <c r="B2821" s="1" t="s">
        <v>8161</v>
      </c>
      <c r="C2821" s="5">
        <f>CONCATENATE("PD", TEXT(A2821, "1000000"))</f>
      </c>
      <c r="D2821" s="7">
        <v>76</v>
      </c>
      <c r="E2821" s="5">
        <f>XLOOKUP(G2821, item_category!C:C, item_category!B:B, "Not Found")</f>
      </c>
      <c r="F2821" s="1" t="s">
        <v>5632</v>
      </c>
      <c r="G2821" s="5">
        <f>XLOOKUP(I2821, drug!B:B, drug!A:A, "Not Found")</f>
      </c>
      <c r="H2821" s="1"/>
      <c r="I2821" s="7">
        <v>1</v>
      </c>
      <c r="J2821" s="5">
        <f>XLOOKUP(L2821, uom!C:C, uom!B:B, "Not Found")</f>
      </c>
      <c r="K2821" s="1" t="s">
        <v>5511</v>
      </c>
      <c r="L2821" s="5">
        <f>XLOOKUP(N2821, uom!C:C, uom!B:B, "Not Found")</f>
      </c>
      <c r="M2821" s="1" t="s">
        <v>5511</v>
      </c>
      <c r="N2821" s="8" t="s">
        <v>5512</v>
      </c>
      <c r="O2821" s="1" t="s">
        <v>5513</v>
      </c>
      <c r="P2821" s="5">
        <f>XLOOKUP(R2821, classification!C:C, classification!B:B, "Not Found")</f>
      </c>
      <c r="Q2821" s="1" t="s">
        <v>5514</v>
      </c>
      <c r="R2821" s="2"/>
      <c r="S2821" s="2"/>
      <c r="T2821" s="2"/>
      <c r="U2821" s="2"/>
    </row>
    <row x14ac:dyDescent="0.25" r="2822" customHeight="1" ht="17.25">
      <c r="A2822" s="7">
        <v>2821</v>
      </c>
      <c r="B2822" s="1" t="s">
        <v>8162</v>
      </c>
      <c r="C2822" s="5">
        <f>CONCATENATE("PD", TEXT(A2822, "1000000"))</f>
      </c>
      <c r="D2822" s="7">
        <v>76</v>
      </c>
      <c r="E2822" s="5">
        <f>XLOOKUP(G2822, item_category!C:C, item_category!B:B, "Not Found")</f>
      </c>
      <c r="F2822" s="1" t="s">
        <v>5632</v>
      </c>
      <c r="G2822" s="5">
        <f>XLOOKUP(I2822, drug!B:B, drug!A:A, "Not Found")</f>
      </c>
      <c r="H2822" s="1"/>
      <c r="I2822" s="7">
        <v>1</v>
      </c>
      <c r="J2822" s="5">
        <f>XLOOKUP(L2822, uom!C:C, uom!B:B, "Not Found")</f>
      </c>
      <c r="K2822" s="1" t="s">
        <v>5511</v>
      </c>
      <c r="L2822" s="5">
        <f>XLOOKUP(N2822, uom!C:C, uom!B:B, "Not Found")</f>
      </c>
      <c r="M2822" s="1" t="s">
        <v>5511</v>
      </c>
      <c r="N2822" s="8" t="s">
        <v>5512</v>
      </c>
      <c r="O2822" s="1" t="s">
        <v>5513</v>
      </c>
      <c r="P2822" s="5">
        <f>XLOOKUP(R2822, classification!C:C, classification!B:B, "Not Found")</f>
      </c>
      <c r="Q2822" s="1" t="s">
        <v>5514</v>
      </c>
      <c r="R2822" s="2"/>
      <c r="S2822" s="2"/>
      <c r="T2822" s="2"/>
      <c r="U2822" s="2"/>
    </row>
    <row x14ac:dyDescent="0.25" r="2823" customHeight="1" ht="17.25">
      <c r="A2823" s="7">
        <v>2822</v>
      </c>
      <c r="B2823" s="1" t="s">
        <v>8163</v>
      </c>
      <c r="C2823" s="5">
        <f>CONCATENATE("PD", TEXT(A2823, "1000000"))</f>
      </c>
      <c r="D2823" s="7">
        <v>76</v>
      </c>
      <c r="E2823" s="5">
        <f>XLOOKUP(G2823, item_category!C:C, item_category!B:B, "Not Found")</f>
      </c>
      <c r="F2823" s="1" t="s">
        <v>5632</v>
      </c>
      <c r="G2823" s="5">
        <f>XLOOKUP(I2823, drug!B:B, drug!A:A, "Not Found")</f>
      </c>
      <c r="H2823" s="1"/>
      <c r="I2823" s="7">
        <v>1</v>
      </c>
      <c r="J2823" s="5">
        <f>XLOOKUP(L2823, uom!C:C, uom!B:B, "Not Found")</f>
      </c>
      <c r="K2823" s="1" t="s">
        <v>5511</v>
      </c>
      <c r="L2823" s="5">
        <f>XLOOKUP(N2823, uom!C:C, uom!B:B, "Not Found")</f>
      </c>
      <c r="M2823" s="1" t="s">
        <v>5511</v>
      </c>
      <c r="N2823" s="8" t="s">
        <v>5512</v>
      </c>
      <c r="O2823" s="1" t="s">
        <v>5513</v>
      </c>
      <c r="P2823" s="5">
        <f>XLOOKUP(R2823, classification!C:C, classification!B:B, "Not Found")</f>
      </c>
      <c r="Q2823" s="1" t="s">
        <v>5514</v>
      </c>
      <c r="R2823" s="2"/>
      <c r="S2823" s="2"/>
      <c r="T2823" s="2"/>
      <c r="U2823" s="2"/>
    </row>
    <row x14ac:dyDescent="0.25" r="2824" customHeight="1" ht="17.25">
      <c r="A2824" s="7">
        <v>2823</v>
      </c>
      <c r="B2824" s="1" t="s">
        <v>8164</v>
      </c>
      <c r="C2824" s="5">
        <f>CONCATENATE("PD", TEXT(A2824, "1000000"))</f>
      </c>
      <c r="D2824" s="7">
        <v>76</v>
      </c>
      <c r="E2824" s="5">
        <f>XLOOKUP(G2824, item_category!C:C, item_category!B:B, "Not Found")</f>
      </c>
      <c r="F2824" s="1" t="s">
        <v>5632</v>
      </c>
      <c r="G2824" s="5">
        <f>XLOOKUP(I2824, drug!B:B, drug!A:A, "Not Found")</f>
      </c>
      <c r="H2824" s="1"/>
      <c r="I2824" s="7">
        <v>1</v>
      </c>
      <c r="J2824" s="5">
        <f>XLOOKUP(L2824, uom!C:C, uom!B:B, "Not Found")</f>
      </c>
      <c r="K2824" s="1" t="s">
        <v>5511</v>
      </c>
      <c r="L2824" s="5">
        <f>XLOOKUP(N2824, uom!C:C, uom!B:B, "Not Found")</f>
      </c>
      <c r="M2824" s="1" t="s">
        <v>5511</v>
      </c>
      <c r="N2824" s="8" t="s">
        <v>5512</v>
      </c>
      <c r="O2824" s="1" t="s">
        <v>5513</v>
      </c>
      <c r="P2824" s="5">
        <f>XLOOKUP(R2824, classification!C:C, classification!B:B, "Not Found")</f>
      </c>
      <c r="Q2824" s="1" t="s">
        <v>5514</v>
      </c>
      <c r="R2824" s="2"/>
      <c r="S2824" s="2"/>
      <c r="T2824" s="2"/>
      <c r="U2824" s="2"/>
    </row>
    <row x14ac:dyDescent="0.25" r="2825" customHeight="1" ht="17.25">
      <c r="A2825" s="7">
        <v>2824</v>
      </c>
      <c r="B2825" s="1" t="s">
        <v>8165</v>
      </c>
      <c r="C2825" s="5">
        <f>CONCATENATE("PD", TEXT(A2825, "1000000"))</f>
      </c>
      <c r="D2825" s="7">
        <v>76</v>
      </c>
      <c r="E2825" s="5">
        <f>XLOOKUP(G2825, item_category!C:C, item_category!B:B, "Not Found")</f>
      </c>
      <c r="F2825" s="1" t="s">
        <v>5632</v>
      </c>
      <c r="G2825" s="5">
        <f>XLOOKUP(I2825, drug!B:B, drug!A:A, "Not Found")</f>
      </c>
      <c r="H2825" s="1"/>
      <c r="I2825" s="7">
        <v>1</v>
      </c>
      <c r="J2825" s="5">
        <f>XLOOKUP(L2825, uom!C:C, uom!B:B, "Not Found")</f>
      </c>
      <c r="K2825" s="1" t="s">
        <v>5511</v>
      </c>
      <c r="L2825" s="5">
        <f>XLOOKUP(N2825, uom!C:C, uom!B:B, "Not Found")</f>
      </c>
      <c r="M2825" s="1" t="s">
        <v>5511</v>
      </c>
      <c r="N2825" s="8" t="s">
        <v>5512</v>
      </c>
      <c r="O2825" s="1" t="s">
        <v>5513</v>
      </c>
      <c r="P2825" s="5">
        <f>XLOOKUP(R2825, classification!C:C, classification!B:B, "Not Found")</f>
      </c>
      <c r="Q2825" s="1" t="s">
        <v>5514</v>
      </c>
      <c r="R2825" s="2"/>
      <c r="S2825" s="2"/>
      <c r="T2825" s="2"/>
      <c r="U2825" s="2"/>
    </row>
    <row x14ac:dyDescent="0.25" r="2826" customHeight="1" ht="17.25">
      <c r="A2826" s="7">
        <v>2825</v>
      </c>
      <c r="B2826" s="1" t="s">
        <v>8166</v>
      </c>
      <c r="C2826" s="5">
        <f>CONCATENATE("PD", TEXT(A2826, "1000000"))</f>
      </c>
      <c r="D2826" s="7">
        <v>76</v>
      </c>
      <c r="E2826" s="5">
        <f>XLOOKUP(G2826, item_category!C:C, item_category!B:B, "Not Found")</f>
      </c>
      <c r="F2826" s="1" t="s">
        <v>5632</v>
      </c>
      <c r="G2826" s="5">
        <f>XLOOKUP(I2826, drug!B:B, drug!A:A, "Not Found")</f>
      </c>
      <c r="H2826" s="1"/>
      <c r="I2826" s="7">
        <v>1</v>
      </c>
      <c r="J2826" s="5">
        <f>XLOOKUP(L2826, uom!C:C, uom!B:B, "Not Found")</f>
      </c>
      <c r="K2826" s="1" t="s">
        <v>5511</v>
      </c>
      <c r="L2826" s="5">
        <f>XLOOKUP(N2826, uom!C:C, uom!B:B, "Not Found")</f>
      </c>
      <c r="M2826" s="1" t="s">
        <v>5511</v>
      </c>
      <c r="N2826" s="8" t="s">
        <v>5512</v>
      </c>
      <c r="O2826" s="1" t="s">
        <v>5513</v>
      </c>
      <c r="P2826" s="5">
        <f>XLOOKUP(R2826, classification!C:C, classification!B:B, "Not Found")</f>
      </c>
      <c r="Q2826" s="1" t="s">
        <v>5514</v>
      </c>
      <c r="R2826" s="2"/>
      <c r="S2826" s="2"/>
      <c r="T2826" s="2"/>
      <c r="U2826" s="2"/>
    </row>
    <row x14ac:dyDescent="0.25" r="2827" customHeight="1" ht="17.25">
      <c r="A2827" s="7">
        <v>2826</v>
      </c>
      <c r="B2827" s="1" t="s">
        <v>8167</v>
      </c>
      <c r="C2827" s="5">
        <f>CONCATENATE("PD", TEXT(A2827, "1000000"))</f>
      </c>
      <c r="D2827" s="7">
        <v>76</v>
      </c>
      <c r="E2827" s="5">
        <f>XLOOKUP(G2827, item_category!C:C, item_category!B:B, "Not Found")</f>
      </c>
      <c r="F2827" s="1" t="s">
        <v>5632</v>
      </c>
      <c r="G2827" s="5">
        <f>XLOOKUP(I2827, drug!B:B, drug!A:A, "Not Found")</f>
      </c>
      <c r="H2827" s="1"/>
      <c r="I2827" s="7">
        <v>1</v>
      </c>
      <c r="J2827" s="5">
        <f>XLOOKUP(L2827, uom!C:C, uom!B:B, "Not Found")</f>
      </c>
      <c r="K2827" s="1" t="s">
        <v>5511</v>
      </c>
      <c r="L2827" s="5">
        <f>XLOOKUP(N2827, uom!C:C, uom!B:B, "Not Found")</f>
      </c>
      <c r="M2827" s="1" t="s">
        <v>5511</v>
      </c>
      <c r="N2827" s="8" t="s">
        <v>5512</v>
      </c>
      <c r="O2827" s="1" t="s">
        <v>5513</v>
      </c>
      <c r="P2827" s="5">
        <f>XLOOKUP(R2827, classification!C:C, classification!B:B, "Not Found")</f>
      </c>
      <c r="Q2827" s="1" t="s">
        <v>5514</v>
      </c>
      <c r="R2827" s="2"/>
      <c r="S2827" s="2"/>
      <c r="T2827" s="2"/>
      <c r="U2827" s="2"/>
    </row>
    <row x14ac:dyDescent="0.25" r="2828" customHeight="1" ht="17.25">
      <c r="A2828" s="7">
        <v>2827</v>
      </c>
      <c r="B2828" s="1" t="s">
        <v>8168</v>
      </c>
      <c r="C2828" s="5">
        <f>CONCATENATE("PD", TEXT(A2828, "1000000"))</f>
      </c>
      <c r="D2828" s="7">
        <v>76</v>
      </c>
      <c r="E2828" s="5">
        <f>XLOOKUP(G2828, item_category!C:C, item_category!B:B, "Not Found")</f>
      </c>
      <c r="F2828" s="1" t="s">
        <v>5632</v>
      </c>
      <c r="G2828" s="5">
        <f>XLOOKUP(I2828, drug!B:B, drug!A:A, "Not Found")</f>
      </c>
      <c r="H2828" s="1"/>
      <c r="I2828" s="7">
        <v>1</v>
      </c>
      <c r="J2828" s="5">
        <f>XLOOKUP(L2828, uom!C:C, uom!B:B, "Not Found")</f>
      </c>
      <c r="K2828" s="1" t="s">
        <v>5511</v>
      </c>
      <c r="L2828" s="5">
        <f>XLOOKUP(N2828, uom!C:C, uom!B:B, "Not Found")</f>
      </c>
      <c r="M2828" s="1" t="s">
        <v>5511</v>
      </c>
      <c r="N2828" s="8" t="s">
        <v>5512</v>
      </c>
      <c r="O2828" s="1" t="s">
        <v>5513</v>
      </c>
      <c r="P2828" s="5">
        <f>XLOOKUP(R2828, classification!C:C, classification!B:B, "Not Found")</f>
      </c>
      <c r="Q2828" s="1" t="s">
        <v>5514</v>
      </c>
      <c r="R2828" s="2"/>
      <c r="S2828" s="2"/>
      <c r="T2828" s="2"/>
      <c r="U2828" s="2"/>
    </row>
    <row x14ac:dyDescent="0.25" r="2829" customHeight="1" ht="17.25">
      <c r="A2829" s="7">
        <v>2828</v>
      </c>
      <c r="B2829" s="1" t="s">
        <v>8169</v>
      </c>
      <c r="C2829" s="5">
        <f>CONCATENATE("PD", TEXT(A2829, "1000000"))</f>
      </c>
      <c r="D2829" s="7">
        <v>76</v>
      </c>
      <c r="E2829" s="5">
        <f>XLOOKUP(G2829, item_category!C:C, item_category!B:B, "Not Found")</f>
      </c>
      <c r="F2829" s="1" t="s">
        <v>5632</v>
      </c>
      <c r="G2829" s="5">
        <f>XLOOKUP(I2829, drug!B:B, drug!A:A, "Not Found")</f>
      </c>
      <c r="H2829" s="1"/>
      <c r="I2829" s="7">
        <v>1</v>
      </c>
      <c r="J2829" s="5">
        <f>XLOOKUP(L2829, uom!C:C, uom!B:B, "Not Found")</f>
      </c>
      <c r="K2829" s="1" t="s">
        <v>5511</v>
      </c>
      <c r="L2829" s="5">
        <f>XLOOKUP(N2829, uom!C:C, uom!B:B, "Not Found")</f>
      </c>
      <c r="M2829" s="1" t="s">
        <v>5511</v>
      </c>
      <c r="N2829" s="8" t="s">
        <v>5512</v>
      </c>
      <c r="O2829" s="1" t="s">
        <v>5513</v>
      </c>
      <c r="P2829" s="5">
        <f>XLOOKUP(R2829, classification!C:C, classification!B:B, "Not Found")</f>
      </c>
      <c r="Q2829" s="1" t="s">
        <v>5514</v>
      </c>
      <c r="R2829" s="2"/>
      <c r="S2829" s="2"/>
      <c r="T2829" s="2"/>
      <c r="U2829" s="2"/>
    </row>
    <row x14ac:dyDescent="0.25" r="2830" customHeight="1" ht="17.25">
      <c r="A2830" s="7">
        <v>2829</v>
      </c>
      <c r="B2830" s="1" t="s">
        <v>8170</v>
      </c>
      <c r="C2830" s="5">
        <f>CONCATENATE("PD", TEXT(A2830, "1000000"))</f>
      </c>
      <c r="D2830" s="7">
        <v>76</v>
      </c>
      <c r="E2830" s="5">
        <f>XLOOKUP(G2830, item_category!C:C, item_category!B:B, "Not Found")</f>
      </c>
      <c r="F2830" s="1" t="s">
        <v>5632</v>
      </c>
      <c r="G2830" s="5">
        <f>XLOOKUP(I2830, drug!B:B, drug!A:A, "Not Found")</f>
      </c>
      <c r="H2830" s="1"/>
      <c r="I2830" s="7">
        <v>1</v>
      </c>
      <c r="J2830" s="5">
        <f>XLOOKUP(L2830, uom!C:C, uom!B:B, "Not Found")</f>
      </c>
      <c r="K2830" s="1" t="s">
        <v>5511</v>
      </c>
      <c r="L2830" s="5">
        <f>XLOOKUP(N2830, uom!C:C, uom!B:B, "Not Found")</f>
      </c>
      <c r="M2830" s="1" t="s">
        <v>5511</v>
      </c>
      <c r="N2830" s="8" t="s">
        <v>5512</v>
      </c>
      <c r="O2830" s="1" t="s">
        <v>5513</v>
      </c>
      <c r="P2830" s="5">
        <f>XLOOKUP(R2830, classification!C:C, classification!B:B, "Not Found")</f>
      </c>
      <c r="Q2830" s="1" t="s">
        <v>5514</v>
      </c>
      <c r="R2830" s="2"/>
      <c r="S2830" s="2"/>
      <c r="T2830" s="2"/>
      <c r="U2830" s="2"/>
    </row>
    <row x14ac:dyDescent="0.25" r="2831" customHeight="1" ht="17.25">
      <c r="A2831" s="7">
        <v>2830</v>
      </c>
      <c r="B2831" s="1" t="s">
        <v>8171</v>
      </c>
      <c r="C2831" s="5">
        <f>CONCATENATE("PD", TEXT(A2831, "1000000"))</f>
      </c>
      <c r="D2831" s="7">
        <v>76</v>
      </c>
      <c r="E2831" s="5">
        <f>XLOOKUP(G2831, item_category!C:C, item_category!B:B, "Not Found")</f>
      </c>
      <c r="F2831" s="1" t="s">
        <v>5632</v>
      </c>
      <c r="G2831" s="5">
        <f>XLOOKUP(I2831, drug!B:B, drug!A:A, "Not Found")</f>
      </c>
      <c r="H2831" s="1"/>
      <c r="I2831" s="7">
        <v>1</v>
      </c>
      <c r="J2831" s="5">
        <f>XLOOKUP(L2831, uom!C:C, uom!B:B, "Not Found")</f>
      </c>
      <c r="K2831" s="1" t="s">
        <v>5511</v>
      </c>
      <c r="L2831" s="5">
        <f>XLOOKUP(N2831, uom!C:C, uom!B:B, "Not Found")</f>
      </c>
      <c r="M2831" s="1" t="s">
        <v>5511</v>
      </c>
      <c r="N2831" s="8" t="s">
        <v>5512</v>
      </c>
      <c r="O2831" s="1" t="s">
        <v>5513</v>
      </c>
      <c r="P2831" s="5">
        <f>XLOOKUP(R2831, classification!C:C, classification!B:B, "Not Found")</f>
      </c>
      <c r="Q2831" s="1" t="s">
        <v>5514</v>
      </c>
      <c r="R2831" s="2"/>
      <c r="S2831" s="2"/>
      <c r="T2831" s="2"/>
      <c r="U2831" s="2"/>
    </row>
    <row x14ac:dyDescent="0.25" r="2832" customHeight="1" ht="17.25">
      <c r="A2832" s="7">
        <v>2831</v>
      </c>
      <c r="B2832" s="1" t="s">
        <v>8172</v>
      </c>
      <c r="C2832" s="5">
        <f>CONCATENATE("PD", TEXT(A2832, "1000000"))</f>
      </c>
      <c r="D2832" s="7">
        <v>76</v>
      </c>
      <c r="E2832" s="5">
        <f>XLOOKUP(G2832, item_category!C:C, item_category!B:B, "Not Found")</f>
      </c>
      <c r="F2832" s="1" t="s">
        <v>5632</v>
      </c>
      <c r="G2832" s="5">
        <f>XLOOKUP(I2832, drug!B:B, drug!A:A, "Not Found")</f>
      </c>
      <c r="H2832" s="1"/>
      <c r="I2832" s="7">
        <v>1</v>
      </c>
      <c r="J2832" s="5">
        <f>XLOOKUP(L2832, uom!C:C, uom!B:B, "Not Found")</f>
      </c>
      <c r="K2832" s="1" t="s">
        <v>5511</v>
      </c>
      <c r="L2832" s="5">
        <f>XLOOKUP(N2832, uom!C:C, uom!B:B, "Not Found")</f>
      </c>
      <c r="M2832" s="1" t="s">
        <v>5511</v>
      </c>
      <c r="N2832" s="8" t="s">
        <v>5512</v>
      </c>
      <c r="O2832" s="1" t="s">
        <v>5513</v>
      </c>
      <c r="P2832" s="5">
        <f>XLOOKUP(R2832, classification!C:C, classification!B:B, "Not Found")</f>
      </c>
      <c r="Q2832" s="1" t="s">
        <v>5514</v>
      </c>
      <c r="R2832" s="2"/>
      <c r="S2832" s="2"/>
      <c r="T2832" s="2"/>
      <c r="U2832" s="2"/>
    </row>
    <row x14ac:dyDescent="0.25" r="2833" customHeight="1" ht="17.25">
      <c r="A2833" s="7">
        <v>2832</v>
      </c>
      <c r="B2833" s="1" t="s">
        <v>8173</v>
      </c>
      <c r="C2833" s="5">
        <f>CONCATENATE("PD", TEXT(A2833, "1000000"))</f>
      </c>
      <c r="D2833" s="7">
        <v>76</v>
      </c>
      <c r="E2833" s="5">
        <f>XLOOKUP(G2833, item_category!C:C, item_category!B:B, "Not Found")</f>
      </c>
      <c r="F2833" s="1" t="s">
        <v>5632</v>
      </c>
      <c r="G2833" s="5">
        <f>XLOOKUP(I2833, drug!B:B, drug!A:A, "Not Found")</f>
      </c>
      <c r="H2833" s="1"/>
      <c r="I2833" s="7">
        <v>1</v>
      </c>
      <c r="J2833" s="5">
        <f>XLOOKUP(L2833, uom!C:C, uom!B:B, "Not Found")</f>
      </c>
      <c r="K2833" s="1" t="s">
        <v>5511</v>
      </c>
      <c r="L2833" s="5">
        <f>XLOOKUP(N2833, uom!C:C, uom!B:B, "Not Found")</f>
      </c>
      <c r="M2833" s="1" t="s">
        <v>5511</v>
      </c>
      <c r="N2833" s="8" t="s">
        <v>5512</v>
      </c>
      <c r="O2833" s="1" t="s">
        <v>5513</v>
      </c>
      <c r="P2833" s="5">
        <f>XLOOKUP(R2833, classification!C:C, classification!B:B, "Not Found")</f>
      </c>
      <c r="Q2833" s="1" t="s">
        <v>5514</v>
      </c>
      <c r="R2833" s="2"/>
      <c r="S2833" s="2"/>
      <c r="T2833" s="2"/>
      <c r="U2833" s="2"/>
    </row>
    <row x14ac:dyDescent="0.25" r="2834" customHeight="1" ht="17.25">
      <c r="A2834" s="7">
        <v>2833</v>
      </c>
      <c r="B2834" s="1" t="s">
        <v>8174</v>
      </c>
      <c r="C2834" s="5">
        <f>CONCATENATE("PD", TEXT(A2834, "1000000"))</f>
      </c>
      <c r="D2834" s="7">
        <v>75</v>
      </c>
      <c r="E2834" s="5">
        <f>XLOOKUP(G2834, item_category!C:C, item_category!B:B, "Not Found")</f>
      </c>
      <c r="F2834" s="1" t="s">
        <v>5541</v>
      </c>
      <c r="G2834" s="5">
        <f>XLOOKUP(I2834, drug!B:B, drug!A:A, "Not Found")</f>
      </c>
      <c r="H2834" s="1"/>
      <c r="I2834" s="7">
        <v>1</v>
      </c>
      <c r="J2834" s="5">
        <f>XLOOKUP(L2834, uom!C:C, uom!B:B, "Not Found")</f>
      </c>
      <c r="K2834" s="1" t="s">
        <v>5511</v>
      </c>
      <c r="L2834" s="5">
        <f>XLOOKUP(N2834, uom!C:C, uom!B:B, "Not Found")</f>
      </c>
      <c r="M2834" s="1" t="s">
        <v>5511</v>
      </c>
      <c r="N2834" s="8" t="s">
        <v>5512</v>
      </c>
      <c r="O2834" s="1" t="s">
        <v>5513</v>
      </c>
      <c r="P2834" s="5">
        <f>XLOOKUP(R2834, classification!C:C, classification!B:B, "Not Found")</f>
      </c>
      <c r="Q2834" s="1" t="s">
        <v>5514</v>
      </c>
      <c r="R2834" s="2"/>
      <c r="S2834" s="2"/>
      <c r="T2834" s="2"/>
      <c r="U2834" s="2"/>
    </row>
    <row x14ac:dyDescent="0.25" r="2835" customHeight="1" ht="17.25">
      <c r="A2835" s="7">
        <v>2834</v>
      </c>
      <c r="B2835" s="1" t="s">
        <v>8175</v>
      </c>
      <c r="C2835" s="5">
        <f>CONCATENATE("PD", TEXT(A2835, "1000000"))</f>
      </c>
      <c r="D2835" s="7">
        <v>66</v>
      </c>
      <c r="E2835" s="5">
        <f>XLOOKUP(G2835, item_category!C:C, item_category!B:B, "Not Found")</f>
      </c>
      <c r="F2835" s="1" t="s">
        <v>5617</v>
      </c>
      <c r="G2835" s="5">
        <f>XLOOKUP(I2835, drug!B:B, drug!A:A, "Not Found")</f>
      </c>
      <c r="H2835" s="1"/>
      <c r="I2835" s="7">
        <v>1</v>
      </c>
      <c r="J2835" s="5">
        <f>XLOOKUP(L2835, uom!C:C, uom!B:B, "Not Found")</f>
      </c>
      <c r="K2835" s="1" t="s">
        <v>5511</v>
      </c>
      <c r="L2835" s="5">
        <f>XLOOKUP(N2835, uom!C:C, uom!B:B, "Not Found")</f>
      </c>
      <c r="M2835" s="1" t="s">
        <v>5511</v>
      </c>
      <c r="N2835" s="8" t="s">
        <v>5512</v>
      </c>
      <c r="O2835" s="1" t="s">
        <v>5513</v>
      </c>
      <c r="P2835" s="5">
        <f>XLOOKUP(R2835, classification!C:C, classification!B:B, "Not Found")</f>
      </c>
      <c r="Q2835" s="1" t="s">
        <v>5514</v>
      </c>
      <c r="R2835" s="2"/>
      <c r="S2835" s="2"/>
      <c r="T2835" s="2"/>
      <c r="U2835" s="2"/>
    </row>
    <row x14ac:dyDescent="0.25" r="2836" customHeight="1" ht="17.25">
      <c r="A2836" s="7">
        <v>2835</v>
      </c>
      <c r="B2836" s="1" t="s">
        <v>8176</v>
      </c>
      <c r="C2836" s="5">
        <f>CONCATENATE("PD", TEXT(A2836, "1000000"))</f>
      </c>
      <c r="D2836" s="7">
        <v>66</v>
      </c>
      <c r="E2836" s="5">
        <f>XLOOKUP(G2836, item_category!C:C, item_category!B:B, "Not Found")</f>
      </c>
      <c r="F2836" s="1" t="s">
        <v>5617</v>
      </c>
      <c r="G2836" s="5">
        <f>XLOOKUP(I2836, drug!B:B, drug!A:A, "Not Found")</f>
      </c>
      <c r="H2836" s="1"/>
      <c r="I2836" s="7">
        <v>1</v>
      </c>
      <c r="J2836" s="5">
        <f>XLOOKUP(L2836, uom!C:C, uom!B:B, "Not Found")</f>
      </c>
      <c r="K2836" s="1" t="s">
        <v>5511</v>
      </c>
      <c r="L2836" s="5">
        <f>XLOOKUP(N2836, uom!C:C, uom!B:B, "Not Found")</f>
      </c>
      <c r="M2836" s="1" t="s">
        <v>5511</v>
      </c>
      <c r="N2836" s="8" t="s">
        <v>5512</v>
      </c>
      <c r="O2836" s="1" t="s">
        <v>5513</v>
      </c>
      <c r="P2836" s="5">
        <f>XLOOKUP(R2836, classification!C:C, classification!B:B, "Not Found")</f>
      </c>
      <c r="Q2836" s="1" t="s">
        <v>5514</v>
      </c>
      <c r="R2836" s="2"/>
      <c r="S2836" s="2"/>
      <c r="T2836" s="2"/>
      <c r="U2836" s="2"/>
    </row>
    <row x14ac:dyDescent="0.25" r="2837" customHeight="1" ht="17.25">
      <c r="A2837" s="7">
        <v>2836</v>
      </c>
      <c r="B2837" s="1" t="s">
        <v>8177</v>
      </c>
      <c r="C2837" s="5">
        <f>CONCATENATE("PD", TEXT(A2837, "1000000"))</f>
      </c>
      <c r="D2837" s="7">
        <v>67</v>
      </c>
      <c r="E2837" s="5">
        <f>XLOOKUP(G2837, item_category!C:C, item_category!B:B, "Not Found")</f>
      </c>
      <c r="F2837" s="1" t="s">
        <v>5516</v>
      </c>
      <c r="G2837" s="5">
        <f>XLOOKUP(I2837, drug!B:B, drug!A:A, "Not Found")</f>
      </c>
      <c r="H2837" s="1" t="s">
        <v>1139</v>
      </c>
      <c r="I2837" s="7">
        <v>1</v>
      </c>
      <c r="J2837" s="5">
        <f>XLOOKUP(L2837, uom!C:C, uom!B:B, "Not Found")</f>
      </c>
      <c r="K2837" s="1" t="s">
        <v>5511</v>
      </c>
      <c r="L2837" s="5">
        <f>XLOOKUP(N2837, uom!C:C, uom!B:B, "Not Found")</f>
      </c>
      <c r="M2837" s="1" t="s">
        <v>5511</v>
      </c>
      <c r="N2837" s="8" t="s">
        <v>5512</v>
      </c>
      <c r="O2837" s="1" t="s">
        <v>5513</v>
      </c>
      <c r="P2837" s="5">
        <f>XLOOKUP(R2837, classification!C:C, classification!B:B, "Not Found")</f>
      </c>
      <c r="Q2837" s="1" t="s">
        <v>5514</v>
      </c>
      <c r="R2837" s="2"/>
      <c r="S2837" s="2"/>
      <c r="T2837" s="2"/>
      <c r="U2837" s="2"/>
    </row>
    <row x14ac:dyDescent="0.25" r="2838" customHeight="1" ht="17.25">
      <c r="A2838" s="7">
        <v>2837</v>
      </c>
      <c r="B2838" s="1" t="s">
        <v>8178</v>
      </c>
      <c r="C2838" s="5">
        <f>CONCATENATE("PD", TEXT(A2838, "1000000"))</f>
      </c>
      <c r="D2838" s="7">
        <v>74</v>
      </c>
      <c r="E2838" s="5">
        <f>XLOOKUP(G2838, item_category!C:C, item_category!B:B, "Not Found")</f>
      </c>
      <c r="F2838" s="1" t="s">
        <v>5520</v>
      </c>
      <c r="G2838" s="5">
        <f>XLOOKUP(I2838, drug!B:B, drug!A:A, "Not Found")</f>
      </c>
      <c r="H2838" s="1"/>
      <c r="I2838" s="7">
        <v>1</v>
      </c>
      <c r="J2838" s="5">
        <f>XLOOKUP(L2838, uom!C:C, uom!B:B, "Not Found")</f>
      </c>
      <c r="K2838" s="1" t="s">
        <v>5511</v>
      </c>
      <c r="L2838" s="5">
        <f>XLOOKUP(N2838, uom!C:C, uom!B:B, "Not Found")</f>
      </c>
      <c r="M2838" s="1" t="s">
        <v>5511</v>
      </c>
      <c r="N2838" s="8" t="s">
        <v>5512</v>
      </c>
      <c r="O2838" s="1" t="s">
        <v>5513</v>
      </c>
      <c r="P2838" s="5">
        <f>XLOOKUP(R2838, classification!C:C, classification!B:B, "Not Found")</f>
      </c>
      <c r="Q2838" s="1" t="s">
        <v>5514</v>
      </c>
      <c r="R2838" s="2"/>
      <c r="S2838" s="2"/>
      <c r="T2838" s="2"/>
      <c r="U2838" s="2"/>
    </row>
    <row x14ac:dyDescent="0.25" r="2839" customHeight="1" ht="17.25">
      <c r="A2839" s="7">
        <v>2838</v>
      </c>
      <c r="B2839" s="1" t="s">
        <v>8179</v>
      </c>
      <c r="C2839" s="5">
        <f>CONCATENATE("PD", TEXT(A2839, "1000000"))</f>
      </c>
      <c r="D2839" s="7">
        <v>74</v>
      </c>
      <c r="E2839" s="5">
        <f>XLOOKUP(G2839, item_category!C:C, item_category!B:B, "Not Found")</f>
      </c>
      <c r="F2839" s="1" t="s">
        <v>5520</v>
      </c>
      <c r="G2839" s="5">
        <f>XLOOKUP(I2839, drug!B:B, drug!A:A, "Not Found")</f>
      </c>
      <c r="H2839" s="1"/>
      <c r="I2839" s="7">
        <v>1</v>
      </c>
      <c r="J2839" s="5">
        <f>XLOOKUP(L2839, uom!C:C, uom!B:B, "Not Found")</f>
      </c>
      <c r="K2839" s="1" t="s">
        <v>5511</v>
      </c>
      <c r="L2839" s="5">
        <f>XLOOKUP(N2839, uom!C:C, uom!B:B, "Not Found")</f>
      </c>
      <c r="M2839" s="1" t="s">
        <v>5511</v>
      </c>
      <c r="N2839" s="8" t="s">
        <v>5512</v>
      </c>
      <c r="O2839" s="1" t="s">
        <v>5513</v>
      </c>
      <c r="P2839" s="5">
        <f>XLOOKUP(R2839, classification!C:C, classification!B:B, "Not Found")</f>
      </c>
      <c r="Q2839" s="1" t="s">
        <v>5514</v>
      </c>
      <c r="R2839" s="2"/>
      <c r="S2839" s="2"/>
      <c r="T2839" s="2"/>
      <c r="U2839" s="2"/>
    </row>
    <row x14ac:dyDescent="0.25" r="2840" customHeight="1" ht="17.25">
      <c r="A2840" s="7">
        <v>2839</v>
      </c>
      <c r="B2840" s="1" t="s">
        <v>8180</v>
      </c>
      <c r="C2840" s="5">
        <f>CONCATENATE("PD", TEXT(A2840, "1000000"))</f>
      </c>
      <c r="D2840" s="7">
        <v>67</v>
      </c>
      <c r="E2840" s="5">
        <f>XLOOKUP(G2840, item_category!C:C, item_category!B:B, "Not Found")</f>
      </c>
      <c r="F2840" s="1" t="s">
        <v>5516</v>
      </c>
      <c r="G2840" s="5">
        <f>XLOOKUP(I2840, drug!B:B, drug!A:A, "Not Found")</f>
      </c>
      <c r="H2840" s="1"/>
      <c r="I2840" s="7">
        <v>1</v>
      </c>
      <c r="J2840" s="5">
        <f>XLOOKUP(L2840, uom!C:C, uom!B:B, "Not Found")</f>
      </c>
      <c r="K2840" s="1" t="s">
        <v>5511</v>
      </c>
      <c r="L2840" s="5">
        <f>XLOOKUP(N2840, uom!C:C, uom!B:B, "Not Found")</f>
      </c>
      <c r="M2840" s="1" t="s">
        <v>5511</v>
      </c>
      <c r="N2840" s="8" t="s">
        <v>5512</v>
      </c>
      <c r="O2840" s="1" t="s">
        <v>5513</v>
      </c>
      <c r="P2840" s="5">
        <f>XLOOKUP(R2840, classification!C:C, classification!B:B, "Not Found")</f>
      </c>
      <c r="Q2840" s="1" t="s">
        <v>5514</v>
      </c>
      <c r="R2840" s="2"/>
      <c r="S2840" s="2"/>
      <c r="T2840" s="2"/>
      <c r="U2840" s="2"/>
    </row>
    <row x14ac:dyDescent="0.25" r="2841" customHeight="1" ht="17.25">
      <c r="A2841" s="7">
        <v>2840</v>
      </c>
      <c r="B2841" s="1" t="s">
        <v>8181</v>
      </c>
      <c r="C2841" s="5">
        <f>CONCATENATE("PD", TEXT(A2841, "1000000"))</f>
      </c>
      <c r="D2841" s="7">
        <v>67</v>
      </c>
      <c r="E2841" s="5">
        <f>XLOOKUP(G2841, item_category!C:C, item_category!B:B, "Not Found")</f>
      </c>
      <c r="F2841" s="1" t="s">
        <v>5516</v>
      </c>
      <c r="G2841" s="5">
        <f>XLOOKUP(I2841, drug!B:B, drug!A:A, "Not Found")</f>
      </c>
      <c r="H2841" s="1"/>
      <c r="I2841" s="7">
        <v>1</v>
      </c>
      <c r="J2841" s="5">
        <f>XLOOKUP(L2841, uom!C:C, uom!B:B, "Not Found")</f>
      </c>
      <c r="K2841" s="1" t="s">
        <v>5511</v>
      </c>
      <c r="L2841" s="5">
        <f>XLOOKUP(N2841, uom!C:C, uom!B:B, "Not Found")</f>
      </c>
      <c r="M2841" s="1" t="s">
        <v>5511</v>
      </c>
      <c r="N2841" s="8" t="s">
        <v>5512</v>
      </c>
      <c r="O2841" s="1" t="s">
        <v>5513</v>
      </c>
      <c r="P2841" s="5">
        <f>XLOOKUP(R2841, classification!C:C, classification!B:B, "Not Found")</f>
      </c>
      <c r="Q2841" s="1" t="s">
        <v>5514</v>
      </c>
      <c r="R2841" s="2"/>
      <c r="S2841" s="2"/>
      <c r="T2841" s="2"/>
      <c r="U2841" s="2"/>
    </row>
    <row x14ac:dyDescent="0.25" r="2842" customHeight="1" ht="17.25">
      <c r="A2842" s="7">
        <v>2841</v>
      </c>
      <c r="B2842" s="1" t="s">
        <v>8182</v>
      </c>
      <c r="C2842" s="5">
        <f>CONCATENATE("PD", TEXT(A2842, "1000000"))</f>
      </c>
      <c r="D2842" s="7">
        <v>67</v>
      </c>
      <c r="E2842" s="5">
        <f>XLOOKUP(G2842, item_category!C:C, item_category!B:B, "Not Found")</f>
      </c>
      <c r="F2842" s="1" t="s">
        <v>5516</v>
      </c>
      <c r="G2842" s="5">
        <f>XLOOKUP(I2842, drug!B:B, drug!A:A, "Not Found")</f>
      </c>
      <c r="H2842" s="1"/>
      <c r="I2842" s="7">
        <v>1</v>
      </c>
      <c r="J2842" s="5">
        <f>XLOOKUP(L2842, uom!C:C, uom!B:B, "Not Found")</f>
      </c>
      <c r="K2842" s="1" t="s">
        <v>5511</v>
      </c>
      <c r="L2842" s="5">
        <f>XLOOKUP(N2842, uom!C:C, uom!B:B, "Not Found")</f>
      </c>
      <c r="M2842" s="1" t="s">
        <v>5511</v>
      </c>
      <c r="N2842" s="8" t="s">
        <v>5512</v>
      </c>
      <c r="O2842" s="1" t="s">
        <v>5513</v>
      </c>
      <c r="P2842" s="5">
        <f>XLOOKUP(R2842, classification!C:C, classification!B:B, "Not Found")</f>
      </c>
      <c r="Q2842" s="1" t="s">
        <v>5514</v>
      </c>
      <c r="R2842" s="2"/>
      <c r="S2842" s="2"/>
      <c r="T2842" s="2"/>
      <c r="U2842" s="2"/>
    </row>
    <row x14ac:dyDescent="0.25" r="2843" customHeight="1" ht="17.25">
      <c r="A2843" s="7">
        <v>2842</v>
      </c>
      <c r="B2843" s="1" t="s">
        <v>8183</v>
      </c>
      <c r="C2843" s="5">
        <f>CONCATENATE("PD", TEXT(A2843, "1000000"))</f>
      </c>
      <c r="D2843" s="7">
        <v>67</v>
      </c>
      <c r="E2843" s="5">
        <f>XLOOKUP(G2843, item_category!C:C, item_category!B:B, "Not Found")</f>
      </c>
      <c r="F2843" s="1" t="s">
        <v>5516</v>
      </c>
      <c r="G2843" s="5">
        <f>XLOOKUP(I2843, drug!B:B, drug!A:A, "Not Found")</f>
      </c>
      <c r="H2843" s="1"/>
      <c r="I2843" s="7">
        <v>1</v>
      </c>
      <c r="J2843" s="5">
        <f>XLOOKUP(L2843, uom!C:C, uom!B:B, "Not Found")</f>
      </c>
      <c r="K2843" s="1" t="s">
        <v>5511</v>
      </c>
      <c r="L2843" s="5">
        <f>XLOOKUP(N2843, uom!C:C, uom!B:B, "Not Found")</f>
      </c>
      <c r="M2843" s="1" t="s">
        <v>5511</v>
      </c>
      <c r="N2843" s="8" t="s">
        <v>5512</v>
      </c>
      <c r="O2843" s="1" t="s">
        <v>5513</v>
      </c>
      <c r="P2843" s="5">
        <f>XLOOKUP(R2843, classification!C:C, classification!B:B, "Not Found")</f>
      </c>
      <c r="Q2843" s="1" t="s">
        <v>5514</v>
      </c>
      <c r="R2843" s="2"/>
      <c r="S2843" s="2"/>
      <c r="T2843" s="2"/>
      <c r="U2843" s="2"/>
    </row>
    <row x14ac:dyDescent="0.25" r="2844" customHeight="1" ht="17.25">
      <c r="A2844" s="7">
        <v>2843</v>
      </c>
      <c r="B2844" s="1" t="s">
        <v>8184</v>
      </c>
      <c r="C2844" s="5">
        <f>CONCATENATE("PD", TEXT(A2844, "1000000"))</f>
      </c>
      <c r="D2844" s="7">
        <v>67</v>
      </c>
      <c r="E2844" s="5">
        <f>XLOOKUP(G2844, item_category!C:C, item_category!B:B, "Not Found")</f>
      </c>
      <c r="F2844" s="1" t="s">
        <v>5516</v>
      </c>
      <c r="G2844" s="5">
        <f>XLOOKUP(I2844, drug!B:B, drug!A:A, "Not Found")</f>
      </c>
      <c r="H2844" s="1"/>
      <c r="I2844" s="7">
        <v>1</v>
      </c>
      <c r="J2844" s="5">
        <f>XLOOKUP(L2844, uom!C:C, uom!B:B, "Not Found")</f>
      </c>
      <c r="K2844" s="1" t="s">
        <v>5511</v>
      </c>
      <c r="L2844" s="5">
        <f>XLOOKUP(N2844, uom!C:C, uom!B:B, "Not Found")</f>
      </c>
      <c r="M2844" s="1" t="s">
        <v>5511</v>
      </c>
      <c r="N2844" s="8" t="s">
        <v>5512</v>
      </c>
      <c r="O2844" s="1" t="s">
        <v>5513</v>
      </c>
      <c r="P2844" s="5">
        <f>XLOOKUP(R2844, classification!C:C, classification!B:B, "Not Found")</f>
      </c>
      <c r="Q2844" s="1" t="s">
        <v>5514</v>
      </c>
      <c r="R2844" s="2"/>
      <c r="S2844" s="2"/>
      <c r="T2844" s="2"/>
      <c r="U2844" s="2"/>
    </row>
    <row x14ac:dyDescent="0.25" r="2845" customHeight="1" ht="17.25">
      <c r="A2845" s="7">
        <v>2844</v>
      </c>
      <c r="B2845" s="1" t="s">
        <v>8185</v>
      </c>
      <c r="C2845" s="5">
        <f>CONCATENATE("PD", TEXT(A2845, "1000000"))</f>
      </c>
      <c r="D2845" s="7">
        <v>67</v>
      </c>
      <c r="E2845" s="5">
        <f>XLOOKUP(G2845, item_category!C:C, item_category!B:B, "Not Found")</f>
      </c>
      <c r="F2845" s="1" t="s">
        <v>5516</v>
      </c>
      <c r="G2845" s="5">
        <f>XLOOKUP(I2845, drug!B:B, drug!A:A, "Not Found")</f>
      </c>
      <c r="H2845" s="1"/>
      <c r="I2845" s="7">
        <v>1</v>
      </c>
      <c r="J2845" s="5">
        <f>XLOOKUP(L2845, uom!C:C, uom!B:B, "Not Found")</f>
      </c>
      <c r="K2845" s="1" t="s">
        <v>5511</v>
      </c>
      <c r="L2845" s="5">
        <f>XLOOKUP(N2845, uom!C:C, uom!B:B, "Not Found")</f>
      </c>
      <c r="M2845" s="1" t="s">
        <v>5511</v>
      </c>
      <c r="N2845" s="8" t="s">
        <v>5512</v>
      </c>
      <c r="O2845" s="1" t="s">
        <v>5513</v>
      </c>
      <c r="P2845" s="5">
        <f>XLOOKUP(R2845, classification!C:C, classification!B:B, "Not Found")</f>
      </c>
      <c r="Q2845" s="1" t="s">
        <v>5514</v>
      </c>
      <c r="R2845" s="2"/>
      <c r="S2845" s="2"/>
      <c r="T2845" s="2"/>
      <c r="U2845" s="2"/>
    </row>
    <row x14ac:dyDescent="0.25" r="2846" customHeight="1" ht="17.25">
      <c r="A2846" s="7">
        <v>2845</v>
      </c>
      <c r="B2846" s="1" t="s">
        <v>8186</v>
      </c>
      <c r="C2846" s="5">
        <f>CONCATENATE("PD", TEXT(A2846, "1000000"))</f>
      </c>
      <c r="D2846" s="7">
        <v>67</v>
      </c>
      <c r="E2846" s="5">
        <f>XLOOKUP(G2846, item_category!C:C, item_category!B:B, "Not Found")</f>
      </c>
      <c r="F2846" s="1" t="s">
        <v>5516</v>
      </c>
      <c r="G2846" s="5">
        <f>XLOOKUP(I2846, drug!B:B, drug!A:A, "Not Found")</f>
      </c>
      <c r="H2846" s="1"/>
      <c r="I2846" s="7">
        <v>1</v>
      </c>
      <c r="J2846" s="5">
        <f>XLOOKUP(L2846, uom!C:C, uom!B:B, "Not Found")</f>
      </c>
      <c r="K2846" s="1" t="s">
        <v>5511</v>
      </c>
      <c r="L2846" s="5">
        <f>XLOOKUP(N2846, uom!C:C, uom!B:B, "Not Found")</f>
      </c>
      <c r="M2846" s="1" t="s">
        <v>5511</v>
      </c>
      <c r="N2846" s="8" t="s">
        <v>5512</v>
      </c>
      <c r="O2846" s="1" t="s">
        <v>5513</v>
      </c>
      <c r="P2846" s="5">
        <f>XLOOKUP(R2846, classification!C:C, classification!B:B, "Not Found")</f>
      </c>
      <c r="Q2846" s="1" t="s">
        <v>5514</v>
      </c>
      <c r="R2846" s="2"/>
      <c r="S2846" s="2"/>
      <c r="T2846" s="2"/>
      <c r="U2846" s="2"/>
    </row>
    <row x14ac:dyDescent="0.25" r="2847" customHeight="1" ht="17.25">
      <c r="A2847" s="7">
        <v>2846</v>
      </c>
      <c r="B2847" s="1" t="s">
        <v>8187</v>
      </c>
      <c r="C2847" s="5">
        <f>CONCATENATE("PD", TEXT(A2847, "1000000"))</f>
      </c>
      <c r="D2847" s="7">
        <v>67</v>
      </c>
      <c r="E2847" s="5">
        <f>XLOOKUP(G2847, item_category!C:C, item_category!B:B, "Not Found")</f>
      </c>
      <c r="F2847" s="1" t="s">
        <v>5516</v>
      </c>
      <c r="G2847" s="5">
        <f>XLOOKUP(I2847, drug!B:B, drug!A:A, "Not Found")</f>
      </c>
      <c r="H2847" s="1"/>
      <c r="I2847" s="7">
        <v>1</v>
      </c>
      <c r="J2847" s="5">
        <f>XLOOKUP(L2847, uom!C:C, uom!B:B, "Not Found")</f>
      </c>
      <c r="K2847" s="1" t="s">
        <v>5511</v>
      </c>
      <c r="L2847" s="5">
        <f>XLOOKUP(N2847, uom!C:C, uom!B:B, "Not Found")</f>
      </c>
      <c r="M2847" s="1" t="s">
        <v>5511</v>
      </c>
      <c r="N2847" s="8" t="s">
        <v>5512</v>
      </c>
      <c r="O2847" s="1" t="s">
        <v>5513</v>
      </c>
      <c r="P2847" s="5">
        <f>XLOOKUP(R2847, classification!C:C, classification!B:B, "Not Found")</f>
      </c>
      <c r="Q2847" s="1" t="s">
        <v>5514</v>
      </c>
      <c r="R2847" s="2"/>
      <c r="S2847" s="2"/>
      <c r="T2847" s="2"/>
      <c r="U2847" s="2"/>
    </row>
    <row x14ac:dyDescent="0.25" r="2848" customHeight="1" ht="17.25">
      <c r="A2848" s="7">
        <v>2847</v>
      </c>
      <c r="B2848" s="1" t="s">
        <v>8188</v>
      </c>
      <c r="C2848" s="5">
        <f>CONCATENATE("PD", TEXT(A2848, "1000000"))</f>
      </c>
      <c r="D2848" s="7">
        <v>67</v>
      </c>
      <c r="E2848" s="5">
        <f>XLOOKUP(G2848, item_category!C:C, item_category!B:B, "Not Found")</f>
      </c>
      <c r="F2848" s="1" t="s">
        <v>5516</v>
      </c>
      <c r="G2848" s="5">
        <f>XLOOKUP(I2848, drug!B:B, drug!A:A, "Not Found")</f>
      </c>
      <c r="H2848" s="1"/>
      <c r="I2848" s="7">
        <v>1</v>
      </c>
      <c r="J2848" s="5">
        <f>XLOOKUP(L2848, uom!C:C, uom!B:B, "Not Found")</f>
      </c>
      <c r="K2848" s="1" t="s">
        <v>5511</v>
      </c>
      <c r="L2848" s="5">
        <f>XLOOKUP(N2848, uom!C:C, uom!B:B, "Not Found")</f>
      </c>
      <c r="M2848" s="1" t="s">
        <v>5511</v>
      </c>
      <c r="N2848" s="8" t="s">
        <v>5512</v>
      </c>
      <c r="O2848" s="1" t="s">
        <v>5513</v>
      </c>
      <c r="P2848" s="5">
        <f>XLOOKUP(R2848, classification!C:C, classification!B:B, "Not Found")</f>
      </c>
      <c r="Q2848" s="1" t="s">
        <v>5514</v>
      </c>
      <c r="R2848" s="2"/>
      <c r="S2848" s="2"/>
      <c r="T2848" s="2"/>
      <c r="U2848" s="2"/>
    </row>
    <row x14ac:dyDescent="0.25" r="2849" customHeight="1" ht="17.25">
      <c r="A2849" s="7">
        <v>2848</v>
      </c>
      <c r="B2849" s="1" t="s">
        <v>8189</v>
      </c>
      <c r="C2849" s="5">
        <f>CONCATENATE("PD", TEXT(A2849, "1000000"))</f>
      </c>
      <c r="D2849" s="7">
        <v>67</v>
      </c>
      <c r="E2849" s="5">
        <f>XLOOKUP(G2849, item_category!C:C, item_category!B:B, "Not Found")</f>
      </c>
      <c r="F2849" s="1" t="s">
        <v>5516</v>
      </c>
      <c r="G2849" s="5">
        <f>XLOOKUP(I2849, drug!B:B, drug!A:A, "Not Found")</f>
      </c>
      <c r="H2849" s="1"/>
      <c r="I2849" s="7">
        <v>1</v>
      </c>
      <c r="J2849" s="5">
        <f>XLOOKUP(L2849, uom!C:C, uom!B:B, "Not Found")</f>
      </c>
      <c r="K2849" s="1" t="s">
        <v>5511</v>
      </c>
      <c r="L2849" s="5">
        <f>XLOOKUP(N2849, uom!C:C, uom!B:B, "Not Found")</f>
      </c>
      <c r="M2849" s="1" t="s">
        <v>5511</v>
      </c>
      <c r="N2849" s="8" t="s">
        <v>5512</v>
      </c>
      <c r="O2849" s="1" t="s">
        <v>5513</v>
      </c>
      <c r="P2849" s="5">
        <f>XLOOKUP(R2849, classification!C:C, classification!B:B, "Not Found")</f>
      </c>
      <c r="Q2849" s="1" t="s">
        <v>5514</v>
      </c>
      <c r="R2849" s="2"/>
      <c r="S2849" s="2"/>
      <c r="T2849" s="2"/>
      <c r="U2849" s="2"/>
    </row>
    <row x14ac:dyDescent="0.25" r="2850" customHeight="1" ht="17.25">
      <c r="A2850" s="7">
        <v>2849</v>
      </c>
      <c r="B2850" s="1" t="s">
        <v>8190</v>
      </c>
      <c r="C2850" s="5">
        <f>CONCATENATE("PD", TEXT(A2850, "1000000"))</f>
      </c>
      <c r="D2850" s="7">
        <v>67</v>
      </c>
      <c r="E2850" s="5">
        <f>XLOOKUP(G2850, item_category!C:C, item_category!B:B, "Not Found")</f>
      </c>
      <c r="F2850" s="1" t="s">
        <v>5516</v>
      </c>
      <c r="G2850" s="5">
        <f>XLOOKUP(I2850, drug!B:B, drug!A:A, "Not Found")</f>
      </c>
      <c r="H2850" s="1"/>
      <c r="I2850" s="7">
        <v>1</v>
      </c>
      <c r="J2850" s="5">
        <f>XLOOKUP(L2850, uom!C:C, uom!B:B, "Not Found")</f>
      </c>
      <c r="K2850" s="1" t="s">
        <v>5511</v>
      </c>
      <c r="L2850" s="5">
        <f>XLOOKUP(N2850, uom!C:C, uom!B:B, "Not Found")</f>
      </c>
      <c r="M2850" s="1" t="s">
        <v>5511</v>
      </c>
      <c r="N2850" s="8" t="s">
        <v>5512</v>
      </c>
      <c r="O2850" s="1" t="s">
        <v>5513</v>
      </c>
      <c r="P2850" s="5">
        <f>XLOOKUP(R2850, classification!C:C, classification!B:B, "Not Found")</f>
      </c>
      <c r="Q2850" s="1" t="s">
        <v>5514</v>
      </c>
      <c r="R2850" s="2"/>
      <c r="S2850" s="2"/>
      <c r="T2850" s="2"/>
      <c r="U2850" s="2"/>
    </row>
    <row x14ac:dyDescent="0.25" r="2851" customHeight="1" ht="17.25">
      <c r="A2851" s="7">
        <v>2850</v>
      </c>
      <c r="B2851" s="1" t="s">
        <v>8191</v>
      </c>
      <c r="C2851" s="5">
        <f>CONCATENATE("PD", TEXT(A2851, "1000000"))</f>
      </c>
      <c r="D2851" s="7">
        <v>67</v>
      </c>
      <c r="E2851" s="5">
        <f>XLOOKUP(G2851, item_category!C:C, item_category!B:B, "Not Found")</f>
      </c>
      <c r="F2851" s="1" t="s">
        <v>5516</v>
      </c>
      <c r="G2851" s="5">
        <f>XLOOKUP(I2851, drug!B:B, drug!A:A, "Not Found")</f>
      </c>
      <c r="H2851" s="1"/>
      <c r="I2851" s="7">
        <v>1</v>
      </c>
      <c r="J2851" s="5">
        <f>XLOOKUP(L2851, uom!C:C, uom!B:B, "Not Found")</f>
      </c>
      <c r="K2851" s="1" t="s">
        <v>5511</v>
      </c>
      <c r="L2851" s="5">
        <f>XLOOKUP(N2851, uom!C:C, uom!B:B, "Not Found")</f>
      </c>
      <c r="M2851" s="1" t="s">
        <v>5511</v>
      </c>
      <c r="N2851" s="8" t="s">
        <v>5512</v>
      </c>
      <c r="O2851" s="1" t="s">
        <v>5513</v>
      </c>
      <c r="P2851" s="5">
        <f>XLOOKUP(R2851, classification!C:C, classification!B:B, "Not Found")</f>
      </c>
      <c r="Q2851" s="1" t="s">
        <v>5514</v>
      </c>
      <c r="R2851" s="2"/>
      <c r="S2851" s="2"/>
      <c r="T2851" s="2"/>
      <c r="U2851" s="2"/>
    </row>
    <row x14ac:dyDescent="0.25" r="2852" customHeight="1" ht="17.25">
      <c r="A2852" s="7">
        <v>2851</v>
      </c>
      <c r="B2852" s="1" t="s">
        <v>8192</v>
      </c>
      <c r="C2852" s="5">
        <f>CONCATENATE("PD", TEXT(A2852, "1000000"))</f>
      </c>
      <c r="D2852" s="7">
        <v>67</v>
      </c>
      <c r="E2852" s="5">
        <f>XLOOKUP(G2852, item_category!C:C, item_category!B:B, "Not Found")</f>
      </c>
      <c r="F2852" s="1" t="s">
        <v>5516</v>
      </c>
      <c r="G2852" s="5">
        <f>XLOOKUP(I2852, drug!B:B, drug!A:A, "Not Found")</f>
      </c>
      <c r="H2852" s="1" t="s">
        <v>1228</v>
      </c>
      <c r="I2852" s="7">
        <v>1</v>
      </c>
      <c r="J2852" s="5">
        <f>XLOOKUP(L2852, uom!C:C, uom!B:B, "Not Found")</f>
      </c>
      <c r="K2852" s="1" t="s">
        <v>5511</v>
      </c>
      <c r="L2852" s="5">
        <f>XLOOKUP(N2852, uom!C:C, uom!B:B, "Not Found")</f>
      </c>
      <c r="M2852" s="1" t="s">
        <v>5511</v>
      </c>
      <c r="N2852" s="8" t="s">
        <v>5512</v>
      </c>
      <c r="O2852" s="1" t="s">
        <v>5513</v>
      </c>
      <c r="P2852" s="5">
        <f>XLOOKUP(R2852, classification!C:C, classification!B:B, "Not Found")</f>
      </c>
      <c r="Q2852" s="1" t="s">
        <v>5514</v>
      </c>
      <c r="R2852" s="2"/>
      <c r="S2852" s="2"/>
      <c r="T2852" s="2"/>
      <c r="U2852" s="2"/>
    </row>
    <row x14ac:dyDescent="0.25" r="2853" customHeight="1" ht="17.25">
      <c r="A2853" s="7">
        <v>2852</v>
      </c>
      <c r="B2853" s="1" t="s">
        <v>8193</v>
      </c>
      <c r="C2853" s="5">
        <f>CONCATENATE("PD", TEXT(A2853, "1000000"))</f>
      </c>
      <c r="D2853" s="7">
        <v>67</v>
      </c>
      <c r="E2853" s="5">
        <f>XLOOKUP(G2853, item_category!C:C, item_category!B:B, "Not Found")</f>
      </c>
      <c r="F2853" s="1" t="s">
        <v>5516</v>
      </c>
      <c r="G2853" s="5">
        <f>XLOOKUP(I2853, drug!B:B, drug!A:A, "Not Found")</f>
      </c>
      <c r="H2853" s="1"/>
      <c r="I2853" s="7">
        <v>1</v>
      </c>
      <c r="J2853" s="5">
        <f>XLOOKUP(L2853, uom!C:C, uom!B:B, "Not Found")</f>
      </c>
      <c r="K2853" s="1" t="s">
        <v>5511</v>
      </c>
      <c r="L2853" s="5">
        <f>XLOOKUP(N2853, uom!C:C, uom!B:B, "Not Found")</f>
      </c>
      <c r="M2853" s="1" t="s">
        <v>5511</v>
      </c>
      <c r="N2853" s="8" t="s">
        <v>5512</v>
      </c>
      <c r="O2853" s="1" t="s">
        <v>5513</v>
      </c>
      <c r="P2853" s="5">
        <f>XLOOKUP(R2853, classification!C:C, classification!B:B, "Not Found")</f>
      </c>
      <c r="Q2853" s="1" t="s">
        <v>5514</v>
      </c>
      <c r="R2853" s="2"/>
      <c r="S2853" s="2"/>
      <c r="T2853" s="2"/>
      <c r="U2853" s="2"/>
    </row>
    <row x14ac:dyDescent="0.25" r="2854" customHeight="1" ht="17.25">
      <c r="A2854" s="7">
        <v>2853</v>
      </c>
      <c r="B2854" s="1" t="s">
        <v>8194</v>
      </c>
      <c r="C2854" s="5">
        <f>CONCATENATE("PD", TEXT(A2854, "1000000"))</f>
      </c>
      <c r="D2854" s="7">
        <v>67</v>
      </c>
      <c r="E2854" s="5">
        <f>XLOOKUP(G2854, item_category!C:C, item_category!B:B, "Not Found")</f>
      </c>
      <c r="F2854" s="1" t="s">
        <v>5516</v>
      </c>
      <c r="G2854" s="5">
        <f>XLOOKUP(I2854, drug!B:B, drug!A:A, "Not Found")</f>
      </c>
      <c r="H2854" s="1" t="s">
        <v>1942</v>
      </c>
      <c r="I2854" s="7">
        <v>1</v>
      </c>
      <c r="J2854" s="5">
        <f>XLOOKUP(L2854, uom!C:C, uom!B:B, "Not Found")</f>
      </c>
      <c r="K2854" s="1" t="s">
        <v>5511</v>
      </c>
      <c r="L2854" s="5">
        <f>XLOOKUP(N2854, uom!C:C, uom!B:B, "Not Found")</f>
      </c>
      <c r="M2854" s="1" t="s">
        <v>5511</v>
      </c>
      <c r="N2854" s="8" t="s">
        <v>5512</v>
      </c>
      <c r="O2854" s="1" t="s">
        <v>5513</v>
      </c>
      <c r="P2854" s="5">
        <f>XLOOKUP(R2854, classification!C:C, classification!B:B, "Not Found")</f>
      </c>
      <c r="Q2854" s="1" t="s">
        <v>5514</v>
      </c>
      <c r="R2854" s="2"/>
      <c r="S2854" s="2"/>
      <c r="T2854" s="2"/>
      <c r="U2854" s="2"/>
    </row>
    <row x14ac:dyDescent="0.25" r="2855" customHeight="1" ht="17.25">
      <c r="A2855" s="7">
        <v>2854</v>
      </c>
      <c r="B2855" s="1" t="s">
        <v>8195</v>
      </c>
      <c r="C2855" s="5">
        <f>CONCATENATE("PD", TEXT(A2855, "1000000"))</f>
      </c>
      <c r="D2855" s="7">
        <v>67</v>
      </c>
      <c r="E2855" s="5">
        <f>XLOOKUP(G2855, item_category!C:C, item_category!B:B, "Not Found")</f>
      </c>
      <c r="F2855" s="1" t="s">
        <v>5516</v>
      </c>
      <c r="G2855" s="5">
        <f>XLOOKUP(I2855, drug!B:B, drug!A:A, "Not Found")</f>
      </c>
      <c r="H2855" s="1"/>
      <c r="I2855" s="7">
        <v>1</v>
      </c>
      <c r="J2855" s="5">
        <f>XLOOKUP(L2855, uom!C:C, uom!B:B, "Not Found")</f>
      </c>
      <c r="K2855" s="1" t="s">
        <v>5511</v>
      </c>
      <c r="L2855" s="5">
        <f>XLOOKUP(N2855, uom!C:C, uom!B:B, "Not Found")</f>
      </c>
      <c r="M2855" s="1" t="s">
        <v>5511</v>
      </c>
      <c r="N2855" s="8" t="s">
        <v>5512</v>
      </c>
      <c r="O2855" s="1" t="s">
        <v>5513</v>
      </c>
      <c r="P2855" s="5">
        <f>XLOOKUP(R2855, classification!C:C, classification!B:B, "Not Found")</f>
      </c>
      <c r="Q2855" s="1" t="s">
        <v>5514</v>
      </c>
      <c r="R2855" s="2"/>
      <c r="S2855" s="2"/>
      <c r="T2855" s="2"/>
      <c r="U2855" s="2"/>
    </row>
    <row x14ac:dyDescent="0.25" r="2856" customHeight="1" ht="17.25">
      <c r="A2856" s="7">
        <v>2855</v>
      </c>
      <c r="B2856" s="1" t="s">
        <v>8196</v>
      </c>
      <c r="C2856" s="5">
        <f>CONCATENATE("PD", TEXT(A2856, "1000000"))</f>
      </c>
      <c r="D2856" s="7">
        <v>67</v>
      </c>
      <c r="E2856" s="5">
        <f>XLOOKUP(G2856, item_category!C:C, item_category!B:B, "Not Found")</f>
      </c>
      <c r="F2856" s="1" t="s">
        <v>5516</v>
      </c>
      <c r="G2856" s="5">
        <f>XLOOKUP(I2856, drug!B:B, drug!A:A, "Not Found")</f>
      </c>
      <c r="H2856" s="1" t="s">
        <v>857</v>
      </c>
      <c r="I2856" s="7">
        <v>1</v>
      </c>
      <c r="J2856" s="5">
        <f>XLOOKUP(L2856, uom!C:C, uom!B:B, "Not Found")</f>
      </c>
      <c r="K2856" s="1" t="s">
        <v>5511</v>
      </c>
      <c r="L2856" s="5">
        <f>XLOOKUP(N2856, uom!C:C, uom!B:B, "Not Found")</f>
      </c>
      <c r="M2856" s="1" t="s">
        <v>5511</v>
      </c>
      <c r="N2856" s="8" t="s">
        <v>5512</v>
      </c>
      <c r="O2856" s="1" t="s">
        <v>5513</v>
      </c>
      <c r="P2856" s="5">
        <f>XLOOKUP(R2856, classification!C:C, classification!B:B, "Not Found")</f>
      </c>
      <c r="Q2856" s="1" t="s">
        <v>5514</v>
      </c>
      <c r="R2856" s="2"/>
      <c r="S2856" s="2"/>
      <c r="T2856" s="2"/>
      <c r="U2856" s="2"/>
    </row>
    <row x14ac:dyDescent="0.25" r="2857" customHeight="1" ht="17.25">
      <c r="A2857" s="7">
        <v>2856</v>
      </c>
      <c r="B2857" s="1" t="s">
        <v>8197</v>
      </c>
      <c r="C2857" s="5">
        <f>CONCATENATE("PD", TEXT(A2857, "1000000"))</f>
      </c>
      <c r="D2857" s="7">
        <v>67</v>
      </c>
      <c r="E2857" s="5">
        <f>XLOOKUP(G2857, item_category!C:C, item_category!B:B, "Not Found")</f>
      </c>
      <c r="F2857" s="1" t="s">
        <v>5516</v>
      </c>
      <c r="G2857" s="5">
        <f>XLOOKUP(I2857, drug!B:B, drug!A:A, "Not Found")</f>
      </c>
      <c r="H2857" s="1" t="s">
        <v>857</v>
      </c>
      <c r="I2857" s="7">
        <v>1</v>
      </c>
      <c r="J2857" s="5">
        <f>XLOOKUP(L2857, uom!C:C, uom!B:B, "Not Found")</f>
      </c>
      <c r="K2857" s="1" t="s">
        <v>5511</v>
      </c>
      <c r="L2857" s="5">
        <f>XLOOKUP(N2857, uom!C:C, uom!B:B, "Not Found")</f>
      </c>
      <c r="M2857" s="1" t="s">
        <v>5511</v>
      </c>
      <c r="N2857" s="8" t="s">
        <v>5512</v>
      </c>
      <c r="O2857" s="1" t="s">
        <v>5513</v>
      </c>
      <c r="P2857" s="5">
        <f>XLOOKUP(R2857, classification!C:C, classification!B:B, "Not Found")</f>
      </c>
      <c r="Q2857" s="1" t="s">
        <v>5514</v>
      </c>
      <c r="R2857" s="2"/>
      <c r="S2857" s="2"/>
      <c r="T2857" s="2"/>
      <c r="U2857" s="2"/>
    </row>
    <row x14ac:dyDescent="0.25" r="2858" customHeight="1" ht="17.25">
      <c r="A2858" s="7">
        <v>2857</v>
      </c>
      <c r="B2858" s="1" t="s">
        <v>8198</v>
      </c>
      <c r="C2858" s="5">
        <f>CONCATENATE("PD", TEXT(A2858, "1000000"))</f>
      </c>
      <c r="D2858" s="7">
        <v>67</v>
      </c>
      <c r="E2858" s="5">
        <f>XLOOKUP(G2858, item_category!C:C, item_category!B:B, "Not Found")</f>
      </c>
      <c r="F2858" s="1" t="s">
        <v>5516</v>
      </c>
      <c r="G2858" s="5">
        <f>XLOOKUP(I2858, drug!B:B, drug!A:A, "Not Found")</f>
      </c>
      <c r="H2858" s="1"/>
      <c r="I2858" s="7">
        <v>1</v>
      </c>
      <c r="J2858" s="5">
        <f>XLOOKUP(L2858, uom!C:C, uom!B:B, "Not Found")</f>
      </c>
      <c r="K2858" s="1" t="s">
        <v>5511</v>
      </c>
      <c r="L2858" s="5">
        <f>XLOOKUP(N2858, uom!C:C, uom!B:B, "Not Found")</f>
      </c>
      <c r="M2858" s="1" t="s">
        <v>5511</v>
      </c>
      <c r="N2858" s="8" t="s">
        <v>5512</v>
      </c>
      <c r="O2858" s="1" t="s">
        <v>5513</v>
      </c>
      <c r="P2858" s="5">
        <f>XLOOKUP(R2858, classification!C:C, classification!B:B, "Not Found")</f>
      </c>
      <c r="Q2858" s="1" t="s">
        <v>5514</v>
      </c>
      <c r="R2858" s="2"/>
      <c r="S2858" s="2"/>
      <c r="T2858" s="2"/>
      <c r="U2858" s="2"/>
    </row>
    <row x14ac:dyDescent="0.25" r="2859" customHeight="1" ht="17.25">
      <c r="A2859" s="7">
        <v>2858</v>
      </c>
      <c r="B2859" s="1" t="s">
        <v>8199</v>
      </c>
      <c r="C2859" s="5">
        <f>CONCATENATE("PD", TEXT(A2859, "1000000"))</f>
      </c>
      <c r="D2859" s="7">
        <v>67</v>
      </c>
      <c r="E2859" s="5">
        <f>XLOOKUP(G2859, item_category!C:C, item_category!B:B, "Not Found")</f>
      </c>
      <c r="F2859" s="1" t="s">
        <v>5516</v>
      </c>
      <c r="G2859" s="5">
        <f>XLOOKUP(I2859, drug!B:B, drug!A:A, "Not Found")</f>
      </c>
      <c r="H2859" s="1"/>
      <c r="I2859" s="7">
        <v>1</v>
      </c>
      <c r="J2859" s="5">
        <f>XLOOKUP(L2859, uom!C:C, uom!B:B, "Not Found")</f>
      </c>
      <c r="K2859" s="1" t="s">
        <v>5511</v>
      </c>
      <c r="L2859" s="5">
        <f>XLOOKUP(N2859, uom!C:C, uom!B:B, "Not Found")</f>
      </c>
      <c r="M2859" s="1" t="s">
        <v>5511</v>
      </c>
      <c r="N2859" s="8" t="s">
        <v>5512</v>
      </c>
      <c r="O2859" s="1" t="s">
        <v>5513</v>
      </c>
      <c r="P2859" s="5">
        <f>XLOOKUP(R2859, classification!C:C, classification!B:B, "Not Found")</f>
      </c>
      <c r="Q2859" s="1" t="s">
        <v>5514</v>
      </c>
      <c r="R2859" s="2"/>
      <c r="S2859" s="2"/>
      <c r="T2859" s="2"/>
      <c r="U2859" s="2"/>
    </row>
    <row x14ac:dyDescent="0.25" r="2860" customHeight="1" ht="17.25">
      <c r="A2860" s="7">
        <v>2859</v>
      </c>
      <c r="B2860" s="1" t="s">
        <v>8200</v>
      </c>
      <c r="C2860" s="5">
        <f>CONCATENATE("PD", TEXT(A2860, "1000000"))</f>
      </c>
      <c r="D2860" s="7">
        <v>67</v>
      </c>
      <c r="E2860" s="5">
        <f>XLOOKUP(G2860, item_category!C:C, item_category!B:B, "Not Found")</f>
      </c>
      <c r="F2860" s="1" t="s">
        <v>5516</v>
      </c>
      <c r="G2860" s="5">
        <f>XLOOKUP(I2860, drug!B:B, drug!A:A, "Not Found")</f>
      </c>
      <c r="H2860" s="1" t="s">
        <v>857</v>
      </c>
      <c r="I2860" s="7">
        <v>1</v>
      </c>
      <c r="J2860" s="5">
        <f>XLOOKUP(L2860, uom!C:C, uom!B:B, "Not Found")</f>
      </c>
      <c r="K2860" s="1" t="s">
        <v>5511</v>
      </c>
      <c r="L2860" s="5">
        <f>XLOOKUP(N2860, uom!C:C, uom!B:B, "Not Found")</f>
      </c>
      <c r="M2860" s="1" t="s">
        <v>5511</v>
      </c>
      <c r="N2860" s="8" t="s">
        <v>5512</v>
      </c>
      <c r="O2860" s="1" t="s">
        <v>5513</v>
      </c>
      <c r="P2860" s="5">
        <f>XLOOKUP(R2860, classification!C:C, classification!B:B, "Not Found")</f>
      </c>
      <c r="Q2860" s="1" t="s">
        <v>5514</v>
      </c>
      <c r="R2860" s="2"/>
      <c r="S2860" s="2"/>
      <c r="T2860" s="2"/>
      <c r="U2860" s="2"/>
    </row>
    <row x14ac:dyDescent="0.25" r="2861" customHeight="1" ht="17.25">
      <c r="A2861" s="7">
        <v>2860</v>
      </c>
      <c r="B2861" s="1" t="s">
        <v>8201</v>
      </c>
      <c r="C2861" s="5">
        <f>CONCATENATE("PD", TEXT(A2861, "1000000"))</f>
      </c>
      <c r="D2861" s="7">
        <v>67</v>
      </c>
      <c r="E2861" s="5">
        <f>XLOOKUP(G2861, item_category!C:C, item_category!B:B, "Not Found")</f>
      </c>
      <c r="F2861" s="1" t="s">
        <v>5516</v>
      </c>
      <c r="G2861" s="5">
        <f>XLOOKUP(I2861, drug!B:B, drug!A:A, "Not Found")</f>
      </c>
      <c r="H2861" s="1" t="s">
        <v>857</v>
      </c>
      <c r="I2861" s="7">
        <v>1</v>
      </c>
      <c r="J2861" s="5">
        <f>XLOOKUP(L2861, uom!C:C, uom!B:B, "Not Found")</f>
      </c>
      <c r="K2861" s="1" t="s">
        <v>5511</v>
      </c>
      <c r="L2861" s="5">
        <f>XLOOKUP(N2861, uom!C:C, uom!B:B, "Not Found")</f>
      </c>
      <c r="M2861" s="1" t="s">
        <v>5511</v>
      </c>
      <c r="N2861" s="8" t="s">
        <v>5512</v>
      </c>
      <c r="O2861" s="1" t="s">
        <v>5513</v>
      </c>
      <c r="P2861" s="5">
        <f>XLOOKUP(R2861, classification!C:C, classification!B:B, "Not Found")</f>
      </c>
      <c r="Q2861" s="1" t="s">
        <v>5514</v>
      </c>
      <c r="R2861" s="2"/>
      <c r="S2861" s="2"/>
      <c r="T2861" s="2"/>
      <c r="U2861" s="2"/>
    </row>
    <row x14ac:dyDescent="0.25" r="2862" customHeight="1" ht="17.25">
      <c r="A2862" s="7">
        <v>2861</v>
      </c>
      <c r="B2862" s="1" t="s">
        <v>8202</v>
      </c>
      <c r="C2862" s="5">
        <f>CONCATENATE("PD", TEXT(A2862, "1000000"))</f>
      </c>
      <c r="D2862" s="7">
        <v>67</v>
      </c>
      <c r="E2862" s="5">
        <f>XLOOKUP(G2862, item_category!C:C, item_category!B:B, "Not Found")</f>
      </c>
      <c r="F2862" s="1" t="s">
        <v>5516</v>
      </c>
      <c r="G2862" s="5">
        <f>XLOOKUP(I2862, drug!B:B, drug!A:A, "Not Found")</f>
      </c>
      <c r="H2862" s="1" t="s">
        <v>857</v>
      </c>
      <c r="I2862" s="7">
        <v>1</v>
      </c>
      <c r="J2862" s="5">
        <f>XLOOKUP(L2862, uom!C:C, uom!B:B, "Not Found")</f>
      </c>
      <c r="K2862" s="1" t="s">
        <v>5511</v>
      </c>
      <c r="L2862" s="5">
        <f>XLOOKUP(N2862, uom!C:C, uom!B:B, "Not Found")</f>
      </c>
      <c r="M2862" s="1" t="s">
        <v>5511</v>
      </c>
      <c r="N2862" s="8" t="s">
        <v>5512</v>
      </c>
      <c r="O2862" s="1" t="s">
        <v>5513</v>
      </c>
      <c r="P2862" s="5">
        <f>XLOOKUP(R2862, classification!C:C, classification!B:B, "Not Found")</f>
      </c>
      <c r="Q2862" s="1" t="s">
        <v>5514</v>
      </c>
      <c r="R2862" s="2"/>
      <c r="S2862" s="2"/>
      <c r="T2862" s="2"/>
      <c r="U2862" s="2"/>
    </row>
    <row x14ac:dyDescent="0.25" r="2863" customHeight="1" ht="17.25">
      <c r="A2863" s="7">
        <v>2862</v>
      </c>
      <c r="B2863" s="1" t="s">
        <v>8203</v>
      </c>
      <c r="C2863" s="5">
        <f>CONCATENATE("PD", TEXT(A2863, "1000000"))</f>
      </c>
      <c r="D2863" s="7">
        <v>67</v>
      </c>
      <c r="E2863" s="5">
        <f>XLOOKUP(G2863, item_category!C:C, item_category!B:B, "Not Found")</f>
      </c>
      <c r="F2863" s="1" t="s">
        <v>5516</v>
      </c>
      <c r="G2863" s="5">
        <f>XLOOKUP(I2863, drug!B:B, drug!A:A, "Not Found")</f>
      </c>
      <c r="H2863" s="1" t="s">
        <v>857</v>
      </c>
      <c r="I2863" s="7">
        <v>1</v>
      </c>
      <c r="J2863" s="5">
        <f>XLOOKUP(L2863, uom!C:C, uom!B:B, "Not Found")</f>
      </c>
      <c r="K2863" s="1" t="s">
        <v>5511</v>
      </c>
      <c r="L2863" s="5">
        <f>XLOOKUP(N2863, uom!C:C, uom!B:B, "Not Found")</f>
      </c>
      <c r="M2863" s="1" t="s">
        <v>5511</v>
      </c>
      <c r="N2863" s="8" t="s">
        <v>5512</v>
      </c>
      <c r="O2863" s="1" t="s">
        <v>5513</v>
      </c>
      <c r="P2863" s="5">
        <f>XLOOKUP(R2863, classification!C:C, classification!B:B, "Not Found")</f>
      </c>
      <c r="Q2863" s="1" t="s">
        <v>5514</v>
      </c>
      <c r="R2863" s="2"/>
      <c r="S2863" s="2"/>
      <c r="T2863" s="2"/>
      <c r="U2863" s="2"/>
    </row>
    <row x14ac:dyDescent="0.25" r="2864" customHeight="1" ht="17.25">
      <c r="A2864" s="7">
        <v>2863</v>
      </c>
      <c r="B2864" s="1" t="s">
        <v>8204</v>
      </c>
      <c r="C2864" s="5">
        <f>CONCATENATE("PD", TEXT(A2864, "1000000"))</f>
      </c>
      <c r="D2864" s="7">
        <v>67</v>
      </c>
      <c r="E2864" s="5">
        <f>XLOOKUP(G2864, item_category!C:C, item_category!B:B, "Not Found")</f>
      </c>
      <c r="F2864" s="1" t="s">
        <v>5516</v>
      </c>
      <c r="G2864" s="5">
        <f>XLOOKUP(I2864, drug!B:B, drug!A:A, "Not Found")</f>
      </c>
      <c r="H2864" s="1" t="s">
        <v>857</v>
      </c>
      <c r="I2864" s="7">
        <v>1</v>
      </c>
      <c r="J2864" s="5">
        <f>XLOOKUP(L2864, uom!C:C, uom!B:B, "Not Found")</f>
      </c>
      <c r="K2864" s="1" t="s">
        <v>5511</v>
      </c>
      <c r="L2864" s="5">
        <f>XLOOKUP(N2864, uom!C:C, uom!B:B, "Not Found")</f>
      </c>
      <c r="M2864" s="1" t="s">
        <v>5511</v>
      </c>
      <c r="N2864" s="8" t="s">
        <v>5512</v>
      </c>
      <c r="O2864" s="1" t="s">
        <v>5513</v>
      </c>
      <c r="P2864" s="5">
        <f>XLOOKUP(R2864, classification!C:C, classification!B:B, "Not Found")</f>
      </c>
      <c r="Q2864" s="1" t="s">
        <v>5514</v>
      </c>
      <c r="R2864" s="2"/>
      <c r="S2864" s="2"/>
      <c r="T2864" s="2"/>
      <c r="U2864" s="2"/>
    </row>
    <row x14ac:dyDescent="0.25" r="2865" customHeight="1" ht="17.25">
      <c r="A2865" s="7">
        <v>2864</v>
      </c>
      <c r="B2865" s="1" t="s">
        <v>8205</v>
      </c>
      <c r="C2865" s="5">
        <f>CONCATENATE("PD", TEXT(A2865, "1000000"))</f>
      </c>
      <c r="D2865" s="7">
        <v>67</v>
      </c>
      <c r="E2865" s="5">
        <f>XLOOKUP(G2865, item_category!C:C, item_category!B:B, "Not Found")</f>
      </c>
      <c r="F2865" s="1" t="s">
        <v>5516</v>
      </c>
      <c r="G2865" s="5">
        <f>XLOOKUP(I2865, drug!B:B, drug!A:A, "Not Found")</f>
      </c>
      <c r="H2865" s="1" t="s">
        <v>857</v>
      </c>
      <c r="I2865" s="7">
        <v>1</v>
      </c>
      <c r="J2865" s="5">
        <f>XLOOKUP(L2865, uom!C:C, uom!B:B, "Not Found")</f>
      </c>
      <c r="K2865" s="1" t="s">
        <v>5511</v>
      </c>
      <c r="L2865" s="5">
        <f>XLOOKUP(N2865, uom!C:C, uom!B:B, "Not Found")</f>
      </c>
      <c r="M2865" s="1" t="s">
        <v>5511</v>
      </c>
      <c r="N2865" s="8" t="s">
        <v>5512</v>
      </c>
      <c r="O2865" s="1" t="s">
        <v>5513</v>
      </c>
      <c r="P2865" s="5">
        <f>XLOOKUP(R2865, classification!C:C, classification!B:B, "Not Found")</f>
      </c>
      <c r="Q2865" s="1" t="s">
        <v>5514</v>
      </c>
      <c r="R2865" s="2"/>
      <c r="S2865" s="2"/>
      <c r="T2865" s="2"/>
      <c r="U2865" s="2"/>
    </row>
    <row x14ac:dyDescent="0.25" r="2866" customHeight="1" ht="17.25">
      <c r="A2866" s="7">
        <v>2865</v>
      </c>
      <c r="B2866" s="1" t="s">
        <v>8206</v>
      </c>
      <c r="C2866" s="5">
        <f>CONCATENATE("PD", TEXT(A2866, "1000000"))</f>
      </c>
      <c r="D2866" s="7">
        <v>67</v>
      </c>
      <c r="E2866" s="5">
        <f>XLOOKUP(G2866, item_category!C:C, item_category!B:B, "Not Found")</f>
      </c>
      <c r="F2866" s="1" t="s">
        <v>5516</v>
      </c>
      <c r="G2866" s="5">
        <f>XLOOKUP(I2866, drug!B:B, drug!A:A, "Not Found")</f>
      </c>
      <c r="H2866" s="1"/>
      <c r="I2866" s="7">
        <v>1</v>
      </c>
      <c r="J2866" s="5">
        <f>XLOOKUP(L2866, uom!C:C, uom!B:B, "Not Found")</f>
      </c>
      <c r="K2866" s="1" t="s">
        <v>5511</v>
      </c>
      <c r="L2866" s="5">
        <f>XLOOKUP(N2866, uom!C:C, uom!B:B, "Not Found")</f>
      </c>
      <c r="M2866" s="1" t="s">
        <v>5511</v>
      </c>
      <c r="N2866" s="8" t="s">
        <v>5512</v>
      </c>
      <c r="O2866" s="1" t="s">
        <v>5513</v>
      </c>
      <c r="P2866" s="5">
        <f>XLOOKUP(R2866, classification!C:C, classification!B:B, "Not Found")</f>
      </c>
      <c r="Q2866" s="1" t="s">
        <v>5514</v>
      </c>
      <c r="R2866" s="2"/>
      <c r="S2866" s="2"/>
      <c r="T2866" s="2"/>
      <c r="U2866" s="2"/>
    </row>
    <row x14ac:dyDescent="0.25" r="2867" customHeight="1" ht="17.25">
      <c r="A2867" s="7">
        <v>2866</v>
      </c>
      <c r="B2867" s="1" t="s">
        <v>8207</v>
      </c>
      <c r="C2867" s="5">
        <f>CONCATENATE("PD", TEXT(A2867, "1000000"))</f>
      </c>
      <c r="D2867" s="7">
        <v>67</v>
      </c>
      <c r="E2867" s="5">
        <f>XLOOKUP(G2867, item_category!C:C, item_category!B:B, "Not Found")</f>
      </c>
      <c r="F2867" s="1" t="s">
        <v>5516</v>
      </c>
      <c r="G2867" s="5">
        <f>XLOOKUP(I2867, drug!B:B, drug!A:A, "Not Found")</f>
      </c>
      <c r="H2867" s="1" t="s">
        <v>857</v>
      </c>
      <c r="I2867" s="7">
        <v>1</v>
      </c>
      <c r="J2867" s="5">
        <f>XLOOKUP(L2867, uom!C:C, uom!B:B, "Not Found")</f>
      </c>
      <c r="K2867" s="1" t="s">
        <v>5511</v>
      </c>
      <c r="L2867" s="5">
        <f>XLOOKUP(N2867, uom!C:C, uom!B:B, "Not Found")</f>
      </c>
      <c r="M2867" s="1" t="s">
        <v>5511</v>
      </c>
      <c r="N2867" s="8" t="s">
        <v>5512</v>
      </c>
      <c r="O2867" s="1" t="s">
        <v>5513</v>
      </c>
      <c r="P2867" s="5">
        <f>XLOOKUP(R2867, classification!C:C, classification!B:B, "Not Found")</f>
      </c>
      <c r="Q2867" s="1" t="s">
        <v>5514</v>
      </c>
      <c r="R2867" s="2"/>
      <c r="S2867" s="2"/>
      <c r="T2867" s="2"/>
      <c r="U2867" s="2"/>
    </row>
    <row x14ac:dyDescent="0.25" r="2868" customHeight="1" ht="17.25">
      <c r="A2868" s="7">
        <v>2867</v>
      </c>
      <c r="B2868" s="1" t="s">
        <v>8208</v>
      </c>
      <c r="C2868" s="5">
        <f>CONCATENATE("PD", TEXT(A2868, "1000000"))</f>
      </c>
      <c r="D2868" s="7">
        <v>67</v>
      </c>
      <c r="E2868" s="5">
        <f>XLOOKUP(G2868, item_category!C:C, item_category!B:B, "Not Found")</f>
      </c>
      <c r="F2868" s="1" t="s">
        <v>5516</v>
      </c>
      <c r="G2868" s="5">
        <f>XLOOKUP(I2868, drug!B:B, drug!A:A, "Not Found")</f>
      </c>
      <c r="H2868" s="1" t="s">
        <v>857</v>
      </c>
      <c r="I2868" s="7">
        <v>1</v>
      </c>
      <c r="J2868" s="5">
        <f>XLOOKUP(L2868, uom!C:C, uom!B:B, "Not Found")</f>
      </c>
      <c r="K2868" s="1" t="s">
        <v>5511</v>
      </c>
      <c r="L2868" s="5">
        <f>XLOOKUP(N2868, uom!C:C, uom!B:B, "Not Found")</f>
      </c>
      <c r="M2868" s="1" t="s">
        <v>5511</v>
      </c>
      <c r="N2868" s="8" t="s">
        <v>5512</v>
      </c>
      <c r="O2868" s="1" t="s">
        <v>5513</v>
      </c>
      <c r="P2868" s="5">
        <f>XLOOKUP(R2868, classification!C:C, classification!B:B, "Not Found")</f>
      </c>
      <c r="Q2868" s="1" t="s">
        <v>5514</v>
      </c>
      <c r="R2868" s="2"/>
      <c r="S2868" s="2"/>
      <c r="T2868" s="2"/>
      <c r="U2868" s="2"/>
    </row>
    <row x14ac:dyDescent="0.25" r="2869" customHeight="1" ht="17.25">
      <c r="A2869" s="7">
        <v>2868</v>
      </c>
      <c r="B2869" s="1" t="s">
        <v>8209</v>
      </c>
      <c r="C2869" s="5">
        <f>CONCATENATE("PD", TEXT(A2869, "1000000"))</f>
      </c>
      <c r="D2869" s="7">
        <v>67</v>
      </c>
      <c r="E2869" s="5">
        <f>XLOOKUP(G2869, item_category!C:C, item_category!B:B, "Not Found")</f>
      </c>
      <c r="F2869" s="1" t="s">
        <v>5516</v>
      </c>
      <c r="G2869" s="5">
        <f>XLOOKUP(I2869, drug!B:B, drug!A:A, "Not Found")</f>
      </c>
      <c r="H2869" s="1" t="s">
        <v>857</v>
      </c>
      <c r="I2869" s="7">
        <v>1</v>
      </c>
      <c r="J2869" s="5">
        <f>XLOOKUP(L2869, uom!C:C, uom!B:B, "Not Found")</f>
      </c>
      <c r="K2869" s="1" t="s">
        <v>5511</v>
      </c>
      <c r="L2869" s="5">
        <f>XLOOKUP(N2869, uom!C:C, uom!B:B, "Not Found")</f>
      </c>
      <c r="M2869" s="1" t="s">
        <v>5511</v>
      </c>
      <c r="N2869" s="8" t="s">
        <v>5512</v>
      </c>
      <c r="O2869" s="1" t="s">
        <v>5513</v>
      </c>
      <c r="P2869" s="5">
        <f>XLOOKUP(R2869, classification!C:C, classification!B:B, "Not Found")</f>
      </c>
      <c r="Q2869" s="1" t="s">
        <v>5514</v>
      </c>
      <c r="R2869" s="2"/>
      <c r="S2869" s="2"/>
      <c r="T2869" s="2"/>
      <c r="U2869" s="2"/>
    </row>
    <row x14ac:dyDescent="0.25" r="2870" customHeight="1" ht="17.25">
      <c r="A2870" s="7">
        <v>2869</v>
      </c>
      <c r="B2870" s="1" t="s">
        <v>8210</v>
      </c>
      <c r="C2870" s="5">
        <f>CONCATENATE("PD", TEXT(A2870, "1000000"))</f>
      </c>
      <c r="D2870" s="7">
        <v>67</v>
      </c>
      <c r="E2870" s="5">
        <f>XLOOKUP(G2870, item_category!C:C, item_category!B:B, "Not Found")</f>
      </c>
      <c r="F2870" s="1" t="s">
        <v>5516</v>
      </c>
      <c r="G2870" s="5">
        <f>XLOOKUP(I2870, drug!B:B, drug!A:A, "Not Found")</f>
      </c>
      <c r="H2870" s="1" t="s">
        <v>857</v>
      </c>
      <c r="I2870" s="7">
        <v>1</v>
      </c>
      <c r="J2870" s="5">
        <f>XLOOKUP(L2870, uom!C:C, uom!B:B, "Not Found")</f>
      </c>
      <c r="K2870" s="1" t="s">
        <v>5511</v>
      </c>
      <c r="L2870" s="5">
        <f>XLOOKUP(N2870, uom!C:C, uom!B:B, "Not Found")</f>
      </c>
      <c r="M2870" s="1" t="s">
        <v>5511</v>
      </c>
      <c r="N2870" s="8" t="s">
        <v>5512</v>
      </c>
      <c r="O2870" s="1" t="s">
        <v>5513</v>
      </c>
      <c r="P2870" s="5">
        <f>XLOOKUP(R2870, classification!C:C, classification!B:B, "Not Found")</f>
      </c>
      <c r="Q2870" s="1" t="s">
        <v>5514</v>
      </c>
      <c r="R2870" s="2"/>
      <c r="S2870" s="2"/>
      <c r="T2870" s="2"/>
      <c r="U2870" s="2"/>
    </row>
    <row x14ac:dyDescent="0.25" r="2871" customHeight="1" ht="17.25">
      <c r="A2871" s="7">
        <v>2870</v>
      </c>
      <c r="B2871" s="1" t="s">
        <v>8211</v>
      </c>
      <c r="C2871" s="5">
        <f>CONCATENATE("PD", TEXT(A2871, "1000000"))</f>
      </c>
      <c r="D2871" s="7">
        <v>67</v>
      </c>
      <c r="E2871" s="5">
        <f>XLOOKUP(G2871, item_category!C:C, item_category!B:B, "Not Found")</f>
      </c>
      <c r="F2871" s="1" t="s">
        <v>5516</v>
      </c>
      <c r="G2871" s="5">
        <f>XLOOKUP(I2871, drug!B:B, drug!A:A, "Not Found")</f>
      </c>
      <c r="H2871" s="1" t="s">
        <v>857</v>
      </c>
      <c r="I2871" s="7">
        <v>1</v>
      </c>
      <c r="J2871" s="5">
        <f>XLOOKUP(L2871, uom!C:C, uom!B:B, "Not Found")</f>
      </c>
      <c r="K2871" s="1" t="s">
        <v>5511</v>
      </c>
      <c r="L2871" s="5">
        <f>XLOOKUP(N2871, uom!C:C, uom!B:B, "Not Found")</f>
      </c>
      <c r="M2871" s="1" t="s">
        <v>5511</v>
      </c>
      <c r="N2871" s="8" t="s">
        <v>5512</v>
      </c>
      <c r="O2871" s="1" t="s">
        <v>5513</v>
      </c>
      <c r="P2871" s="5">
        <f>XLOOKUP(R2871, classification!C:C, classification!B:B, "Not Found")</f>
      </c>
      <c r="Q2871" s="1" t="s">
        <v>5514</v>
      </c>
      <c r="R2871" s="2"/>
      <c r="S2871" s="2"/>
      <c r="T2871" s="2"/>
      <c r="U2871" s="2"/>
    </row>
    <row x14ac:dyDescent="0.25" r="2872" customHeight="1" ht="17.25">
      <c r="A2872" s="7">
        <v>2871</v>
      </c>
      <c r="B2872" s="1" t="s">
        <v>8212</v>
      </c>
      <c r="C2872" s="5">
        <f>CONCATENATE("PD", TEXT(A2872, "1000000"))</f>
      </c>
      <c r="D2872" s="7">
        <v>67</v>
      </c>
      <c r="E2872" s="5">
        <f>XLOOKUP(G2872, item_category!C:C, item_category!B:B, "Not Found")</f>
      </c>
      <c r="F2872" s="1" t="s">
        <v>5516</v>
      </c>
      <c r="G2872" s="5">
        <f>XLOOKUP(I2872, drug!B:B, drug!A:A, "Not Found")</f>
      </c>
      <c r="H2872" s="1" t="s">
        <v>857</v>
      </c>
      <c r="I2872" s="7">
        <v>1</v>
      </c>
      <c r="J2872" s="5">
        <f>XLOOKUP(L2872, uom!C:C, uom!B:B, "Not Found")</f>
      </c>
      <c r="K2872" s="1" t="s">
        <v>5511</v>
      </c>
      <c r="L2872" s="5">
        <f>XLOOKUP(N2872, uom!C:C, uom!B:B, "Not Found")</f>
      </c>
      <c r="M2872" s="1" t="s">
        <v>5511</v>
      </c>
      <c r="N2872" s="8" t="s">
        <v>5512</v>
      </c>
      <c r="O2872" s="1" t="s">
        <v>5513</v>
      </c>
      <c r="P2872" s="5">
        <f>XLOOKUP(R2872, classification!C:C, classification!B:B, "Not Found")</f>
      </c>
      <c r="Q2872" s="1" t="s">
        <v>5514</v>
      </c>
      <c r="R2872" s="2"/>
      <c r="S2872" s="2"/>
      <c r="T2872" s="2"/>
      <c r="U2872" s="2"/>
    </row>
    <row x14ac:dyDescent="0.25" r="2873" customHeight="1" ht="17.25">
      <c r="A2873" s="7">
        <v>2872</v>
      </c>
      <c r="B2873" s="1" t="s">
        <v>8213</v>
      </c>
      <c r="C2873" s="5">
        <f>CONCATENATE("PD", TEXT(A2873, "1000000"))</f>
      </c>
      <c r="D2873" s="7">
        <v>67</v>
      </c>
      <c r="E2873" s="5">
        <f>XLOOKUP(G2873, item_category!C:C, item_category!B:B, "Not Found")</f>
      </c>
      <c r="F2873" s="1" t="s">
        <v>5516</v>
      </c>
      <c r="G2873" s="5">
        <f>XLOOKUP(I2873, drug!B:B, drug!A:A, "Not Found")</f>
      </c>
      <c r="H2873" s="1" t="s">
        <v>857</v>
      </c>
      <c r="I2873" s="7">
        <v>250</v>
      </c>
      <c r="J2873" s="5">
        <f>XLOOKUP(L2873, uom!C:C, uom!B:B, "Not Found")</f>
      </c>
      <c r="K2873" s="1" t="s">
        <v>5602</v>
      </c>
      <c r="L2873" s="5">
        <f>XLOOKUP(N2873, uom!C:C, uom!B:B, "Not Found")</f>
      </c>
      <c r="M2873" s="1" t="s">
        <v>5602</v>
      </c>
      <c r="N2873" s="8" t="s">
        <v>5524</v>
      </c>
      <c r="O2873" s="1" t="s">
        <v>5525</v>
      </c>
      <c r="P2873" s="5">
        <f>XLOOKUP(R2873, classification!C:C, classification!B:B, "Not Found")</f>
      </c>
      <c r="Q2873" s="1" t="s">
        <v>5514</v>
      </c>
      <c r="R2873" s="2"/>
      <c r="S2873" s="2"/>
      <c r="T2873" s="2"/>
      <c r="U2873" s="2"/>
    </row>
    <row x14ac:dyDescent="0.25" r="2874" customHeight="1" ht="17.25">
      <c r="A2874" s="7">
        <v>2873</v>
      </c>
      <c r="B2874" s="1" t="s">
        <v>8214</v>
      </c>
      <c r="C2874" s="5">
        <f>CONCATENATE("PD", TEXT(A2874, "1000000"))</f>
      </c>
      <c r="D2874" s="7">
        <v>67</v>
      </c>
      <c r="E2874" s="5">
        <f>XLOOKUP(G2874, item_category!C:C, item_category!B:B, "Not Found")</f>
      </c>
      <c r="F2874" s="1" t="s">
        <v>5516</v>
      </c>
      <c r="G2874" s="5">
        <f>XLOOKUP(I2874, drug!B:B, drug!A:A, "Not Found")</f>
      </c>
      <c r="H2874" s="1" t="s">
        <v>857</v>
      </c>
      <c r="I2874" s="7">
        <v>1</v>
      </c>
      <c r="J2874" s="5">
        <f>XLOOKUP(L2874, uom!C:C, uom!B:B, "Not Found")</f>
      </c>
      <c r="K2874" s="1" t="s">
        <v>5511</v>
      </c>
      <c r="L2874" s="5">
        <f>XLOOKUP(N2874, uom!C:C, uom!B:B, "Not Found")</f>
      </c>
      <c r="M2874" s="1" t="s">
        <v>5511</v>
      </c>
      <c r="N2874" s="8" t="s">
        <v>5512</v>
      </c>
      <c r="O2874" s="1" t="s">
        <v>5513</v>
      </c>
      <c r="P2874" s="5">
        <f>XLOOKUP(R2874, classification!C:C, classification!B:B, "Not Found")</f>
      </c>
      <c r="Q2874" s="1" t="s">
        <v>5514</v>
      </c>
      <c r="R2874" s="2"/>
      <c r="S2874" s="2"/>
      <c r="T2874" s="2"/>
      <c r="U2874" s="2"/>
    </row>
    <row x14ac:dyDescent="0.25" r="2875" customHeight="1" ht="17.25">
      <c r="A2875" s="7">
        <v>2874</v>
      </c>
      <c r="B2875" s="1" t="s">
        <v>8215</v>
      </c>
      <c r="C2875" s="5">
        <f>CONCATENATE("PD", TEXT(A2875, "1000000"))</f>
      </c>
      <c r="D2875" s="7">
        <v>67</v>
      </c>
      <c r="E2875" s="5">
        <f>XLOOKUP(G2875, item_category!C:C, item_category!B:B, "Not Found")</f>
      </c>
      <c r="F2875" s="1" t="s">
        <v>5516</v>
      </c>
      <c r="G2875" s="5">
        <f>XLOOKUP(I2875, drug!B:B, drug!A:A, "Not Found")</f>
      </c>
      <c r="H2875" s="1" t="s">
        <v>857</v>
      </c>
      <c r="I2875" s="7">
        <v>1</v>
      </c>
      <c r="J2875" s="5">
        <f>XLOOKUP(L2875, uom!C:C, uom!B:B, "Not Found")</f>
      </c>
      <c r="K2875" s="1" t="s">
        <v>5511</v>
      </c>
      <c r="L2875" s="5">
        <f>XLOOKUP(N2875, uom!C:C, uom!B:B, "Not Found")</f>
      </c>
      <c r="M2875" s="1" t="s">
        <v>5511</v>
      </c>
      <c r="N2875" s="8" t="s">
        <v>5512</v>
      </c>
      <c r="O2875" s="1" t="s">
        <v>5513</v>
      </c>
      <c r="P2875" s="5">
        <f>XLOOKUP(R2875, classification!C:C, classification!B:B, "Not Found")</f>
      </c>
      <c r="Q2875" s="1" t="s">
        <v>5514</v>
      </c>
      <c r="R2875" s="2"/>
      <c r="S2875" s="2"/>
      <c r="T2875" s="2"/>
      <c r="U2875" s="2"/>
    </row>
    <row x14ac:dyDescent="0.25" r="2876" customHeight="1" ht="17.25">
      <c r="A2876" s="7">
        <v>2875</v>
      </c>
      <c r="B2876" s="1" t="s">
        <v>8216</v>
      </c>
      <c r="C2876" s="5">
        <f>CONCATENATE("PD", TEXT(A2876, "1000000"))</f>
      </c>
      <c r="D2876" s="7">
        <v>67</v>
      </c>
      <c r="E2876" s="5">
        <f>XLOOKUP(G2876, item_category!C:C, item_category!B:B, "Not Found")</f>
      </c>
      <c r="F2876" s="1" t="s">
        <v>5516</v>
      </c>
      <c r="G2876" s="5">
        <f>XLOOKUP(I2876, drug!B:B, drug!A:A, "Not Found")</f>
      </c>
      <c r="H2876" s="1" t="s">
        <v>857</v>
      </c>
      <c r="I2876" s="7">
        <v>1</v>
      </c>
      <c r="J2876" s="5">
        <f>XLOOKUP(L2876, uom!C:C, uom!B:B, "Not Found")</f>
      </c>
      <c r="K2876" s="1" t="s">
        <v>5511</v>
      </c>
      <c r="L2876" s="5">
        <f>XLOOKUP(N2876, uom!C:C, uom!B:B, "Not Found")</f>
      </c>
      <c r="M2876" s="1" t="s">
        <v>5511</v>
      </c>
      <c r="N2876" s="8" t="s">
        <v>5512</v>
      </c>
      <c r="O2876" s="1" t="s">
        <v>5513</v>
      </c>
      <c r="P2876" s="5">
        <f>XLOOKUP(R2876, classification!C:C, classification!B:B, "Not Found")</f>
      </c>
      <c r="Q2876" s="1" t="s">
        <v>5514</v>
      </c>
      <c r="R2876" s="2"/>
      <c r="S2876" s="2"/>
      <c r="T2876" s="2"/>
      <c r="U2876" s="2"/>
    </row>
    <row x14ac:dyDescent="0.25" r="2877" customHeight="1" ht="17.25">
      <c r="A2877" s="7">
        <v>2876</v>
      </c>
      <c r="B2877" s="1" t="s">
        <v>8217</v>
      </c>
      <c r="C2877" s="5">
        <f>CONCATENATE("PD", TEXT(A2877, "1000000"))</f>
      </c>
      <c r="D2877" s="7">
        <v>67</v>
      </c>
      <c r="E2877" s="5">
        <f>XLOOKUP(G2877, item_category!C:C, item_category!B:B, "Not Found")</f>
      </c>
      <c r="F2877" s="1" t="s">
        <v>5516</v>
      </c>
      <c r="G2877" s="5">
        <f>XLOOKUP(I2877, drug!B:B, drug!A:A, "Not Found")</f>
      </c>
      <c r="H2877" s="1"/>
      <c r="I2877" s="7">
        <v>1</v>
      </c>
      <c r="J2877" s="5">
        <f>XLOOKUP(L2877, uom!C:C, uom!B:B, "Not Found")</f>
      </c>
      <c r="K2877" s="1" t="s">
        <v>5511</v>
      </c>
      <c r="L2877" s="5">
        <f>XLOOKUP(N2877, uom!C:C, uom!B:B, "Not Found")</f>
      </c>
      <c r="M2877" s="1" t="s">
        <v>5511</v>
      </c>
      <c r="N2877" s="8" t="s">
        <v>5512</v>
      </c>
      <c r="O2877" s="1" t="s">
        <v>5513</v>
      </c>
      <c r="P2877" s="5">
        <f>XLOOKUP(R2877, classification!C:C, classification!B:B, "Not Found")</f>
      </c>
      <c r="Q2877" s="1" t="s">
        <v>5514</v>
      </c>
      <c r="R2877" s="2"/>
      <c r="S2877" s="2"/>
      <c r="T2877" s="2"/>
      <c r="U2877" s="2"/>
    </row>
    <row x14ac:dyDescent="0.25" r="2878" customHeight="1" ht="17.25">
      <c r="A2878" s="7">
        <v>2877</v>
      </c>
      <c r="B2878" s="1" t="s">
        <v>8218</v>
      </c>
      <c r="C2878" s="5">
        <f>CONCATENATE("PD", TEXT(A2878, "1000000"))</f>
      </c>
      <c r="D2878" s="7">
        <v>67</v>
      </c>
      <c r="E2878" s="5">
        <f>XLOOKUP(G2878, item_category!C:C, item_category!B:B, "Not Found")</f>
      </c>
      <c r="F2878" s="1" t="s">
        <v>5516</v>
      </c>
      <c r="G2878" s="5">
        <f>XLOOKUP(I2878, drug!B:B, drug!A:A, "Not Found")</f>
      </c>
      <c r="H2878" s="1" t="s">
        <v>1772</v>
      </c>
      <c r="I2878" s="7">
        <v>1</v>
      </c>
      <c r="J2878" s="5">
        <f>XLOOKUP(L2878, uom!C:C, uom!B:B, "Not Found")</f>
      </c>
      <c r="K2878" s="1" t="s">
        <v>5511</v>
      </c>
      <c r="L2878" s="5">
        <f>XLOOKUP(N2878, uom!C:C, uom!B:B, "Not Found")</f>
      </c>
      <c r="M2878" s="1" t="s">
        <v>5511</v>
      </c>
      <c r="N2878" s="8" t="s">
        <v>5512</v>
      </c>
      <c r="O2878" s="1" t="s">
        <v>5513</v>
      </c>
      <c r="P2878" s="5">
        <f>XLOOKUP(R2878, classification!C:C, classification!B:B, "Not Found")</f>
      </c>
      <c r="Q2878" s="1" t="s">
        <v>5514</v>
      </c>
      <c r="R2878" s="2"/>
      <c r="S2878" s="2"/>
      <c r="T2878" s="2"/>
      <c r="U2878" s="2"/>
    </row>
    <row x14ac:dyDescent="0.25" r="2879" customHeight="1" ht="17.25">
      <c r="A2879" s="7">
        <v>2878</v>
      </c>
      <c r="B2879" s="1" t="s">
        <v>8219</v>
      </c>
      <c r="C2879" s="5">
        <f>CONCATENATE("PD", TEXT(A2879, "1000000"))</f>
      </c>
      <c r="D2879" s="7">
        <v>67</v>
      </c>
      <c r="E2879" s="5">
        <f>XLOOKUP(G2879, item_category!C:C, item_category!B:B, "Not Found")</f>
      </c>
      <c r="F2879" s="1" t="s">
        <v>5516</v>
      </c>
      <c r="G2879" s="5">
        <f>XLOOKUP(I2879, drug!B:B, drug!A:A, "Not Found")</f>
      </c>
      <c r="H2879" s="1" t="s">
        <v>1772</v>
      </c>
      <c r="I2879" s="7">
        <v>1</v>
      </c>
      <c r="J2879" s="5">
        <f>XLOOKUP(L2879, uom!C:C, uom!B:B, "Not Found")</f>
      </c>
      <c r="K2879" s="1" t="s">
        <v>5511</v>
      </c>
      <c r="L2879" s="5">
        <f>XLOOKUP(N2879, uom!C:C, uom!B:B, "Not Found")</f>
      </c>
      <c r="M2879" s="1" t="s">
        <v>5511</v>
      </c>
      <c r="N2879" s="8" t="s">
        <v>5512</v>
      </c>
      <c r="O2879" s="1" t="s">
        <v>5513</v>
      </c>
      <c r="P2879" s="5">
        <f>XLOOKUP(R2879, classification!C:C, classification!B:B, "Not Found")</f>
      </c>
      <c r="Q2879" s="1" t="s">
        <v>5514</v>
      </c>
      <c r="R2879" s="2"/>
      <c r="S2879" s="2"/>
      <c r="T2879" s="2"/>
      <c r="U2879" s="2"/>
    </row>
    <row x14ac:dyDescent="0.25" r="2880" customHeight="1" ht="17.25">
      <c r="A2880" s="7">
        <v>2879</v>
      </c>
      <c r="B2880" s="1" t="s">
        <v>8220</v>
      </c>
      <c r="C2880" s="5">
        <f>CONCATENATE("PD", TEXT(A2880, "1000000"))</f>
      </c>
      <c r="D2880" s="7">
        <v>67</v>
      </c>
      <c r="E2880" s="5">
        <f>XLOOKUP(G2880, item_category!C:C, item_category!B:B, "Not Found")</f>
      </c>
      <c r="F2880" s="1" t="s">
        <v>5516</v>
      </c>
      <c r="G2880" s="5">
        <f>XLOOKUP(I2880, drug!B:B, drug!A:A, "Not Found")</f>
      </c>
      <c r="H2880" s="1"/>
      <c r="I2880" s="7">
        <v>1</v>
      </c>
      <c r="J2880" s="5">
        <f>XLOOKUP(L2880, uom!C:C, uom!B:B, "Not Found")</f>
      </c>
      <c r="K2880" s="1" t="s">
        <v>5511</v>
      </c>
      <c r="L2880" s="5">
        <f>XLOOKUP(N2880, uom!C:C, uom!B:B, "Not Found")</f>
      </c>
      <c r="M2880" s="1" t="s">
        <v>5511</v>
      </c>
      <c r="N2880" s="8" t="s">
        <v>5512</v>
      </c>
      <c r="O2880" s="1" t="s">
        <v>5513</v>
      </c>
      <c r="P2880" s="5">
        <f>XLOOKUP(R2880, classification!C:C, classification!B:B, "Not Found")</f>
      </c>
      <c r="Q2880" s="1" t="s">
        <v>5514</v>
      </c>
      <c r="R2880" s="2"/>
      <c r="S2880" s="2"/>
      <c r="T2880" s="2"/>
      <c r="U2880" s="2"/>
    </row>
    <row x14ac:dyDescent="0.25" r="2881" customHeight="1" ht="17.25">
      <c r="A2881" s="7">
        <v>2880</v>
      </c>
      <c r="B2881" s="1" t="s">
        <v>8221</v>
      </c>
      <c r="C2881" s="5">
        <f>CONCATENATE("PD", TEXT(A2881, "1000000"))</f>
      </c>
      <c r="D2881" s="7">
        <v>67</v>
      </c>
      <c r="E2881" s="5">
        <f>XLOOKUP(G2881, item_category!C:C, item_category!B:B, "Not Found")</f>
      </c>
      <c r="F2881" s="1" t="s">
        <v>5516</v>
      </c>
      <c r="G2881" s="5">
        <f>XLOOKUP(I2881, drug!B:B, drug!A:A, "Not Found")</f>
      </c>
      <c r="H2881" s="1" t="s">
        <v>857</v>
      </c>
      <c r="I2881" s="7">
        <v>1</v>
      </c>
      <c r="J2881" s="5">
        <f>XLOOKUP(L2881, uom!C:C, uom!B:B, "Not Found")</f>
      </c>
      <c r="K2881" s="1" t="s">
        <v>5511</v>
      </c>
      <c r="L2881" s="5">
        <f>XLOOKUP(N2881, uom!C:C, uom!B:B, "Not Found")</f>
      </c>
      <c r="M2881" s="1" t="s">
        <v>5511</v>
      </c>
      <c r="N2881" s="8" t="s">
        <v>5512</v>
      </c>
      <c r="O2881" s="1" t="s">
        <v>5513</v>
      </c>
      <c r="P2881" s="5">
        <f>XLOOKUP(R2881, classification!C:C, classification!B:B, "Not Found")</f>
      </c>
      <c r="Q2881" s="1" t="s">
        <v>5514</v>
      </c>
      <c r="R2881" s="2"/>
      <c r="S2881" s="2"/>
      <c r="T2881" s="2"/>
      <c r="U2881" s="2"/>
    </row>
    <row x14ac:dyDescent="0.25" r="2882" customHeight="1" ht="17.25">
      <c r="A2882" s="7">
        <v>2881</v>
      </c>
      <c r="B2882" s="1" t="s">
        <v>8222</v>
      </c>
      <c r="C2882" s="5">
        <f>CONCATENATE("PD", TEXT(A2882, "1000000"))</f>
      </c>
      <c r="D2882" s="7">
        <v>67</v>
      </c>
      <c r="E2882" s="5">
        <f>XLOOKUP(G2882, item_category!C:C, item_category!B:B, "Not Found")</f>
      </c>
      <c r="F2882" s="1" t="s">
        <v>5516</v>
      </c>
      <c r="G2882" s="5">
        <f>XLOOKUP(I2882, drug!B:B, drug!A:A, "Not Found")</f>
      </c>
      <c r="H2882" s="1" t="s">
        <v>1942</v>
      </c>
      <c r="I2882" s="7">
        <v>1</v>
      </c>
      <c r="J2882" s="5">
        <f>XLOOKUP(L2882, uom!C:C, uom!B:B, "Not Found")</f>
      </c>
      <c r="K2882" s="1" t="s">
        <v>5511</v>
      </c>
      <c r="L2882" s="5">
        <f>XLOOKUP(N2882, uom!C:C, uom!B:B, "Not Found")</f>
      </c>
      <c r="M2882" s="1" t="s">
        <v>5511</v>
      </c>
      <c r="N2882" s="8" t="s">
        <v>5512</v>
      </c>
      <c r="O2882" s="1" t="s">
        <v>5513</v>
      </c>
      <c r="P2882" s="5">
        <f>XLOOKUP(R2882, classification!C:C, classification!B:B, "Not Found")</f>
      </c>
      <c r="Q2882" s="1" t="s">
        <v>5514</v>
      </c>
      <c r="R2882" s="2"/>
      <c r="S2882" s="2"/>
      <c r="T2882" s="2"/>
      <c r="U2882" s="2"/>
    </row>
    <row x14ac:dyDescent="0.25" r="2883" customHeight="1" ht="17.25">
      <c r="A2883" s="7">
        <v>2882</v>
      </c>
      <c r="B2883" s="1" t="s">
        <v>8223</v>
      </c>
      <c r="C2883" s="5">
        <f>CONCATENATE("PD", TEXT(A2883, "1000000"))</f>
      </c>
      <c r="D2883" s="7">
        <v>67</v>
      </c>
      <c r="E2883" s="5">
        <f>XLOOKUP(G2883, item_category!C:C, item_category!B:B, "Not Found")</f>
      </c>
      <c r="F2883" s="1" t="s">
        <v>5516</v>
      </c>
      <c r="G2883" s="5">
        <f>XLOOKUP(I2883, drug!B:B, drug!A:A, "Not Found")</f>
      </c>
      <c r="H2883" s="1" t="s">
        <v>923</v>
      </c>
      <c r="I2883" s="7">
        <v>1</v>
      </c>
      <c r="J2883" s="5">
        <f>XLOOKUP(L2883, uom!C:C, uom!B:B, "Not Found")</f>
      </c>
      <c r="K2883" s="1" t="s">
        <v>5511</v>
      </c>
      <c r="L2883" s="5">
        <f>XLOOKUP(N2883, uom!C:C, uom!B:B, "Not Found")</f>
      </c>
      <c r="M2883" s="1" t="s">
        <v>5511</v>
      </c>
      <c r="N2883" s="8" t="s">
        <v>5512</v>
      </c>
      <c r="O2883" s="1" t="s">
        <v>5513</v>
      </c>
      <c r="P2883" s="5">
        <f>XLOOKUP(R2883, classification!C:C, classification!B:B, "Not Found")</f>
      </c>
      <c r="Q2883" s="1" t="s">
        <v>5514</v>
      </c>
      <c r="R2883" s="2"/>
      <c r="S2883" s="2"/>
      <c r="T2883" s="2"/>
      <c r="U2883" s="2"/>
    </row>
    <row x14ac:dyDescent="0.25" r="2884" customHeight="1" ht="17.25">
      <c r="A2884" s="7">
        <v>2883</v>
      </c>
      <c r="B2884" s="1" t="s">
        <v>8224</v>
      </c>
      <c r="C2884" s="5">
        <f>CONCATENATE("PD", TEXT(A2884, "1000000"))</f>
      </c>
      <c r="D2884" s="7">
        <v>67</v>
      </c>
      <c r="E2884" s="5">
        <f>XLOOKUP(G2884, item_category!C:C, item_category!B:B, "Not Found")</f>
      </c>
      <c r="F2884" s="1" t="s">
        <v>5516</v>
      </c>
      <c r="G2884" s="5">
        <f>XLOOKUP(I2884, drug!B:B, drug!A:A, "Not Found")</f>
      </c>
      <c r="H2884" s="1" t="s">
        <v>923</v>
      </c>
      <c r="I2884" s="7">
        <v>1</v>
      </c>
      <c r="J2884" s="5">
        <f>XLOOKUP(L2884, uom!C:C, uom!B:B, "Not Found")</f>
      </c>
      <c r="K2884" s="1" t="s">
        <v>5511</v>
      </c>
      <c r="L2884" s="5">
        <f>XLOOKUP(N2884, uom!C:C, uom!B:B, "Not Found")</f>
      </c>
      <c r="M2884" s="1" t="s">
        <v>5511</v>
      </c>
      <c r="N2884" s="8" t="s">
        <v>5512</v>
      </c>
      <c r="O2884" s="1" t="s">
        <v>5513</v>
      </c>
      <c r="P2884" s="5">
        <f>XLOOKUP(R2884, classification!C:C, classification!B:B, "Not Found")</f>
      </c>
      <c r="Q2884" s="1" t="s">
        <v>5514</v>
      </c>
      <c r="R2884" s="2"/>
      <c r="S2884" s="2"/>
      <c r="T2884" s="2"/>
      <c r="U2884" s="2"/>
    </row>
    <row x14ac:dyDescent="0.25" r="2885" customHeight="1" ht="17.25">
      <c r="A2885" s="7">
        <v>2884</v>
      </c>
      <c r="B2885" s="1" t="s">
        <v>8225</v>
      </c>
      <c r="C2885" s="5">
        <f>CONCATENATE("PD", TEXT(A2885, "1000000"))</f>
      </c>
      <c r="D2885" s="7">
        <v>67</v>
      </c>
      <c r="E2885" s="5">
        <f>XLOOKUP(G2885, item_category!C:C, item_category!B:B, "Not Found")</f>
      </c>
      <c r="F2885" s="1" t="s">
        <v>5516</v>
      </c>
      <c r="G2885" s="5">
        <f>XLOOKUP(I2885, drug!B:B, drug!A:A, "Not Found")</f>
      </c>
      <c r="H2885" s="1"/>
      <c r="I2885" s="7">
        <v>1</v>
      </c>
      <c r="J2885" s="5">
        <f>XLOOKUP(L2885, uom!C:C, uom!B:B, "Not Found")</f>
      </c>
      <c r="K2885" s="1" t="s">
        <v>5511</v>
      </c>
      <c r="L2885" s="5">
        <f>XLOOKUP(N2885, uom!C:C, uom!B:B, "Not Found")</f>
      </c>
      <c r="M2885" s="1" t="s">
        <v>5511</v>
      </c>
      <c r="N2885" s="8" t="s">
        <v>5512</v>
      </c>
      <c r="O2885" s="1" t="s">
        <v>5513</v>
      </c>
      <c r="P2885" s="5">
        <f>XLOOKUP(R2885, classification!C:C, classification!B:B, "Not Found")</f>
      </c>
      <c r="Q2885" s="1" t="s">
        <v>5514</v>
      </c>
      <c r="R2885" s="2"/>
      <c r="S2885" s="2"/>
      <c r="T2885" s="2"/>
      <c r="U2885" s="2"/>
    </row>
    <row x14ac:dyDescent="0.25" r="2886" customHeight="1" ht="17.25">
      <c r="A2886" s="7">
        <v>2885</v>
      </c>
      <c r="B2886" s="1" t="s">
        <v>8226</v>
      </c>
      <c r="C2886" s="5">
        <f>CONCATENATE("PD", TEXT(A2886, "1000000"))</f>
      </c>
      <c r="D2886" s="7">
        <v>67</v>
      </c>
      <c r="E2886" s="5">
        <f>XLOOKUP(G2886, item_category!C:C, item_category!B:B, "Not Found")</f>
      </c>
      <c r="F2886" s="1" t="s">
        <v>5516</v>
      </c>
      <c r="G2886" s="5">
        <f>XLOOKUP(I2886, drug!B:B, drug!A:A, "Not Found")</f>
      </c>
      <c r="H2886" s="1"/>
      <c r="I2886" s="7">
        <v>1</v>
      </c>
      <c r="J2886" s="5">
        <f>XLOOKUP(L2886, uom!C:C, uom!B:B, "Not Found")</f>
      </c>
      <c r="K2886" s="1" t="s">
        <v>5511</v>
      </c>
      <c r="L2886" s="5">
        <f>XLOOKUP(N2886, uom!C:C, uom!B:B, "Not Found")</f>
      </c>
      <c r="M2886" s="1" t="s">
        <v>5511</v>
      </c>
      <c r="N2886" s="8" t="s">
        <v>5512</v>
      </c>
      <c r="O2886" s="1" t="s">
        <v>5513</v>
      </c>
      <c r="P2886" s="5">
        <f>XLOOKUP(R2886, classification!C:C, classification!B:B, "Not Found")</f>
      </c>
      <c r="Q2886" s="1" t="s">
        <v>5514</v>
      </c>
      <c r="R2886" s="2"/>
      <c r="S2886" s="2"/>
      <c r="T2886" s="2"/>
      <c r="U2886" s="2"/>
    </row>
    <row x14ac:dyDescent="0.25" r="2887" customHeight="1" ht="17.25">
      <c r="A2887" s="7">
        <v>2886</v>
      </c>
      <c r="B2887" s="1" t="s">
        <v>8227</v>
      </c>
      <c r="C2887" s="5">
        <f>CONCATENATE("PD", TEXT(A2887, "1000000"))</f>
      </c>
      <c r="D2887" s="7">
        <v>67</v>
      </c>
      <c r="E2887" s="5">
        <f>XLOOKUP(G2887, item_category!C:C, item_category!B:B, "Not Found")</f>
      </c>
      <c r="F2887" s="1" t="s">
        <v>5516</v>
      </c>
      <c r="G2887" s="5">
        <f>XLOOKUP(I2887, drug!B:B, drug!A:A, "Not Found")</f>
      </c>
      <c r="H2887" s="1"/>
      <c r="I2887" s="7">
        <v>1</v>
      </c>
      <c r="J2887" s="5">
        <f>XLOOKUP(L2887, uom!C:C, uom!B:B, "Not Found")</f>
      </c>
      <c r="K2887" s="1" t="s">
        <v>5511</v>
      </c>
      <c r="L2887" s="5">
        <f>XLOOKUP(N2887, uom!C:C, uom!B:B, "Not Found")</f>
      </c>
      <c r="M2887" s="1" t="s">
        <v>5511</v>
      </c>
      <c r="N2887" s="8" t="s">
        <v>5512</v>
      </c>
      <c r="O2887" s="1" t="s">
        <v>5513</v>
      </c>
      <c r="P2887" s="5">
        <f>XLOOKUP(R2887, classification!C:C, classification!B:B, "Not Found")</f>
      </c>
      <c r="Q2887" s="1" t="s">
        <v>5514</v>
      </c>
      <c r="R2887" s="2"/>
      <c r="S2887" s="2"/>
      <c r="T2887" s="2"/>
      <c r="U2887" s="2"/>
    </row>
    <row x14ac:dyDescent="0.25" r="2888" customHeight="1" ht="17.25">
      <c r="A2888" s="7">
        <v>2887</v>
      </c>
      <c r="B2888" s="1" t="s">
        <v>8228</v>
      </c>
      <c r="C2888" s="5">
        <f>CONCATENATE("PD", TEXT(A2888, "1000000"))</f>
      </c>
      <c r="D2888" s="7">
        <v>67</v>
      </c>
      <c r="E2888" s="5">
        <f>XLOOKUP(G2888, item_category!C:C, item_category!B:B, "Not Found")</f>
      </c>
      <c r="F2888" s="1" t="s">
        <v>5516</v>
      </c>
      <c r="G2888" s="5">
        <f>XLOOKUP(I2888, drug!B:B, drug!A:A, "Not Found")</f>
      </c>
      <c r="H2888" s="1" t="s">
        <v>1532</v>
      </c>
      <c r="I2888" s="7">
        <v>1</v>
      </c>
      <c r="J2888" s="5">
        <f>XLOOKUP(L2888, uom!C:C, uom!B:B, "Not Found")</f>
      </c>
      <c r="K2888" s="1" t="s">
        <v>5511</v>
      </c>
      <c r="L2888" s="5">
        <f>XLOOKUP(N2888, uom!C:C, uom!B:B, "Not Found")</f>
      </c>
      <c r="M2888" s="1" t="s">
        <v>5511</v>
      </c>
      <c r="N2888" s="8" t="s">
        <v>5512</v>
      </c>
      <c r="O2888" s="1" t="s">
        <v>5513</v>
      </c>
      <c r="P2888" s="5">
        <f>XLOOKUP(R2888, classification!C:C, classification!B:B, "Not Found")</f>
      </c>
      <c r="Q2888" s="1" t="s">
        <v>5514</v>
      </c>
      <c r="R2888" s="2"/>
      <c r="S2888" s="2"/>
      <c r="T2888" s="2"/>
      <c r="U2888" s="2"/>
    </row>
    <row x14ac:dyDescent="0.25" r="2889" customHeight="1" ht="17.25">
      <c r="A2889" s="7">
        <v>2888</v>
      </c>
      <c r="B2889" s="1" t="s">
        <v>8229</v>
      </c>
      <c r="C2889" s="5">
        <f>CONCATENATE("PD", TEXT(A2889, "1000000"))</f>
      </c>
      <c r="D2889" s="7">
        <v>67</v>
      </c>
      <c r="E2889" s="5">
        <f>XLOOKUP(G2889, item_category!C:C, item_category!B:B, "Not Found")</f>
      </c>
      <c r="F2889" s="1" t="s">
        <v>5516</v>
      </c>
      <c r="G2889" s="5">
        <f>XLOOKUP(I2889, drug!B:B, drug!A:A, "Not Found")</f>
      </c>
      <c r="H2889" s="1"/>
      <c r="I2889" s="7">
        <v>1</v>
      </c>
      <c r="J2889" s="5">
        <f>XLOOKUP(L2889, uom!C:C, uom!B:B, "Not Found")</f>
      </c>
      <c r="K2889" s="1" t="s">
        <v>5511</v>
      </c>
      <c r="L2889" s="5">
        <f>XLOOKUP(N2889, uom!C:C, uom!B:B, "Not Found")</f>
      </c>
      <c r="M2889" s="1" t="s">
        <v>5511</v>
      </c>
      <c r="N2889" s="8" t="s">
        <v>5512</v>
      </c>
      <c r="O2889" s="1" t="s">
        <v>5513</v>
      </c>
      <c r="P2889" s="5">
        <f>XLOOKUP(R2889, classification!C:C, classification!B:B, "Not Found")</f>
      </c>
      <c r="Q2889" s="1" t="s">
        <v>5514</v>
      </c>
      <c r="R2889" s="2"/>
      <c r="S2889" s="2"/>
      <c r="T2889" s="2"/>
      <c r="U2889" s="2"/>
    </row>
    <row x14ac:dyDescent="0.25" r="2890" customHeight="1" ht="17.25">
      <c r="A2890" s="7">
        <v>2889</v>
      </c>
      <c r="B2890" s="1" t="s">
        <v>8230</v>
      </c>
      <c r="C2890" s="5">
        <f>CONCATENATE("PD", TEXT(A2890, "1000000"))</f>
      </c>
      <c r="D2890" s="7">
        <v>67</v>
      </c>
      <c r="E2890" s="5">
        <f>XLOOKUP(G2890, item_category!C:C, item_category!B:B, "Not Found")</f>
      </c>
      <c r="F2890" s="1" t="s">
        <v>5516</v>
      </c>
      <c r="G2890" s="5">
        <f>XLOOKUP(I2890, drug!B:B, drug!A:A, "Not Found")</f>
      </c>
      <c r="H2890" s="1"/>
      <c r="I2890" s="7">
        <v>1</v>
      </c>
      <c r="J2890" s="5">
        <f>XLOOKUP(L2890, uom!C:C, uom!B:B, "Not Found")</f>
      </c>
      <c r="K2890" s="1" t="s">
        <v>5511</v>
      </c>
      <c r="L2890" s="5">
        <f>XLOOKUP(N2890, uom!C:C, uom!B:B, "Not Found")</f>
      </c>
      <c r="M2890" s="1" t="s">
        <v>5511</v>
      </c>
      <c r="N2890" s="8" t="s">
        <v>5512</v>
      </c>
      <c r="O2890" s="1" t="s">
        <v>5513</v>
      </c>
      <c r="P2890" s="5">
        <f>XLOOKUP(R2890, classification!C:C, classification!B:B, "Not Found")</f>
      </c>
      <c r="Q2890" s="1" t="s">
        <v>5514</v>
      </c>
      <c r="R2890" s="2"/>
      <c r="S2890" s="2"/>
      <c r="T2890" s="2"/>
      <c r="U2890" s="2"/>
    </row>
    <row x14ac:dyDescent="0.25" r="2891" customHeight="1" ht="17.25">
      <c r="A2891" s="7">
        <v>2890</v>
      </c>
      <c r="B2891" s="1" t="s">
        <v>8231</v>
      </c>
      <c r="C2891" s="5">
        <f>CONCATENATE("PD", TEXT(A2891, "1000000"))</f>
      </c>
      <c r="D2891" s="7">
        <v>67</v>
      </c>
      <c r="E2891" s="5">
        <f>XLOOKUP(G2891, item_category!C:C, item_category!B:B, "Not Found")</f>
      </c>
      <c r="F2891" s="1" t="s">
        <v>5516</v>
      </c>
      <c r="G2891" s="5">
        <f>XLOOKUP(I2891, drug!B:B, drug!A:A, "Not Found")</f>
      </c>
      <c r="H2891" s="1" t="s">
        <v>1532</v>
      </c>
      <c r="I2891" s="7">
        <v>1</v>
      </c>
      <c r="J2891" s="5">
        <f>XLOOKUP(L2891, uom!C:C, uom!B:B, "Not Found")</f>
      </c>
      <c r="K2891" s="1" t="s">
        <v>5511</v>
      </c>
      <c r="L2891" s="5">
        <f>XLOOKUP(N2891, uom!C:C, uom!B:B, "Not Found")</f>
      </c>
      <c r="M2891" s="1" t="s">
        <v>5511</v>
      </c>
      <c r="N2891" s="8" t="s">
        <v>5512</v>
      </c>
      <c r="O2891" s="1" t="s">
        <v>5513</v>
      </c>
      <c r="P2891" s="5">
        <f>XLOOKUP(R2891, classification!C:C, classification!B:B, "Not Found")</f>
      </c>
      <c r="Q2891" s="1" t="s">
        <v>5514</v>
      </c>
      <c r="R2891" s="2"/>
      <c r="S2891" s="2"/>
      <c r="T2891" s="2"/>
      <c r="U2891" s="2"/>
    </row>
    <row x14ac:dyDescent="0.25" r="2892" customHeight="1" ht="17.25">
      <c r="A2892" s="7">
        <v>2891</v>
      </c>
      <c r="B2892" s="1" t="s">
        <v>8232</v>
      </c>
      <c r="C2892" s="5">
        <f>CONCATENATE("PD", TEXT(A2892, "1000000"))</f>
      </c>
      <c r="D2892" s="7">
        <v>67</v>
      </c>
      <c r="E2892" s="5">
        <f>XLOOKUP(G2892, item_category!C:C, item_category!B:B, "Not Found")</f>
      </c>
      <c r="F2892" s="1" t="s">
        <v>5516</v>
      </c>
      <c r="G2892" s="5">
        <f>XLOOKUP(I2892, drug!B:B, drug!A:A, "Not Found")</f>
      </c>
      <c r="H2892" s="1"/>
      <c r="I2892" s="7">
        <v>1</v>
      </c>
      <c r="J2892" s="5">
        <f>XLOOKUP(L2892, uom!C:C, uom!B:B, "Not Found")</f>
      </c>
      <c r="K2892" s="1" t="s">
        <v>5511</v>
      </c>
      <c r="L2892" s="5">
        <f>XLOOKUP(N2892, uom!C:C, uom!B:B, "Not Found")</f>
      </c>
      <c r="M2892" s="1" t="s">
        <v>5511</v>
      </c>
      <c r="N2892" s="8" t="s">
        <v>5512</v>
      </c>
      <c r="O2892" s="1" t="s">
        <v>5513</v>
      </c>
      <c r="P2892" s="5">
        <f>XLOOKUP(R2892, classification!C:C, classification!B:B, "Not Found")</f>
      </c>
      <c r="Q2892" s="1" t="s">
        <v>5514</v>
      </c>
      <c r="R2892" s="2"/>
      <c r="S2892" s="2"/>
      <c r="T2892" s="2"/>
      <c r="U2892" s="2"/>
    </row>
    <row x14ac:dyDescent="0.25" r="2893" customHeight="1" ht="17.25">
      <c r="A2893" s="7">
        <v>2892</v>
      </c>
      <c r="B2893" s="1" t="s">
        <v>8233</v>
      </c>
      <c r="C2893" s="5">
        <f>CONCATENATE("PD", TEXT(A2893, "1000000"))</f>
      </c>
      <c r="D2893" s="7">
        <v>67</v>
      </c>
      <c r="E2893" s="5">
        <f>XLOOKUP(G2893, item_category!C:C, item_category!B:B, "Not Found")</f>
      </c>
      <c r="F2893" s="1" t="s">
        <v>5516</v>
      </c>
      <c r="G2893" s="5">
        <f>XLOOKUP(I2893, drug!B:B, drug!A:A, "Not Found")</f>
      </c>
      <c r="H2893" s="1"/>
      <c r="I2893" s="7">
        <v>1</v>
      </c>
      <c r="J2893" s="5">
        <f>XLOOKUP(L2893, uom!C:C, uom!B:B, "Not Found")</f>
      </c>
      <c r="K2893" s="1" t="s">
        <v>5511</v>
      </c>
      <c r="L2893" s="5">
        <f>XLOOKUP(N2893, uom!C:C, uom!B:B, "Not Found")</f>
      </c>
      <c r="M2893" s="1" t="s">
        <v>5511</v>
      </c>
      <c r="N2893" s="8" t="s">
        <v>5512</v>
      </c>
      <c r="O2893" s="1" t="s">
        <v>5513</v>
      </c>
      <c r="P2893" s="5">
        <f>XLOOKUP(R2893, classification!C:C, classification!B:B, "Not Found")</f>
      </c>
      <c r="Q2893" s="1" t="s">
        <v>5514</v>
      </c>
      <c r="R2893" s="2"/>
      <c r="S2893" s="2"/>
      <c r="T2893" s="2"/>
      <c r="U2893" s="2"/>
    </row>
    <row x14ac:dyDescent="0.25" r="2894" customHeight="1" ht="17.25">
      <c r="A2894" s="7">
        <v>2893</v>
      </c>
      <c r="B2894" s="1" t="s">
        <v>8234</v>
      </c>
      <c r="C2894" s="5">
        <f>CONCATENATE("PD", TEXT(A2894, "1000000"))</f>
      </c>
      <c r="D2894" s="7">
        <v>67</v>
      </c>
      <c r="E2894" s="5">
        <f>XLOOKUP(G2894, item_category!C:C, item_category!B:B, "Not Found")</f>
      </c>
      <c r="F2894" s="1" t="s">
        <v>5516</v>
      </c>
      <c r="G2894" s="5">
        <f>XLOOKUP(I2894, drug!B:B, drug!A:A, "Not Found")</f>
      </c>
      <c r="H2894" s="1" t="s">
        <v>1532</v>
      </c>
      <c r="I2894" s="7">
        <v>1</v>
      </c>
      <c r="J2894" s="5">
        <f>XLOOKUP(L2894, uom!C:C, uom!B:B, "Not Found")</f>
      </c>
      <c r="K2894" s="1" t="s">
        <v>5511</v>
      </c>
      <c r="L2894" s="5">
        <f>XLOOKUP(N2894, uom!C:C, uom!B:B, "Not Found")</f>
      </c>
      <c r="M2894" s="1" t="s">
        <v>5511</v>
      </c>
      <c r="N2894" s="8" t="s">
        <v>5512</v>
      </c>
      <c r="O2894" s="1" t="s">
        <v>5513</v>
      </c>
      <c r="P2894" s="5">
        <f>XLOOKUP(R2894, classification!C:C, classification!B:B, "Not Found")</f>
      </c>
      <c r="Q2894" s="1" t="s">
        <v>5514</v>
      </c>
      <c r="R2894" s="2"/>
      <c r="S2894" s="2"/>
      <c r="T2894" s="2"/>
      <c r="U2894" s="2"/>
    </row>
    <row x14ac:dyDescent="0.25" r="2895" customHeight="1" ht="17.25">
      <c r="A2895" s="7">
        <v>2894</v>
      </c>
      <c r="B2895" s="1" t="s">
        <v>8235</v>
      </c>
      <c r="C2895" s="5">
        <f>CONCATENATE("PD", TEXT(A2895, "1000000"))</f>
      </c>
      <c r="D2895" s="7">
        <v>67</v>
      </c>
      <c r="E2895" s="5">
        <f>XLOOKUP(G2895, item_category!C:C, item_category!B:B, "Not Found")</f>
      </c>
      <c r="F2895" s="1" t="s">
        <v>5516</v>
      </c>
      <c r="G2895" s="5">
        <f>XLOOKUP(I2895, drug!B:B, drug!A:A, "Not Found")</f>
      </c>
      <c r="H2895" s="1" t="s">
        <v>857</v>
      </c>
      <c r="I2895" s="7">
        <v>200</v>
      </c>
      <c r="J2895" s="5">
        <f>XLOOKUP(L2895, uom!C:C, uom!B:B, "Not Found")</f>
      </c>
      <c r="K2895" s="1" t="s">
        <v>5602</v>
      </c>
      <c r="L2895" s="5">
        <f>XLOOKUP(N2895, uom!C:C, uom!B:B, "Not Found")</f>
      </c>
      <c r="M2895" s="1" t="s">
        <v>5602</v>
      </c>
      <c r="N2895" s="8" t="s">
        <v>5524</v>
      </c>
      <c r="O2895" s="1" t="s">
        <v>5525</v>
      </c>
      <c r="P2895" s="5">
        <f>XLOOKUP(R2895, classification!C:C, classification!B:B, "Not Found")</f>
      </c>
      <c r="Q2895" s="1" t="s">
        <v>5514</v>
      </c>
      <c r="R2895" s="2"/>
      <c r="S2895" s="2"/>
      <c r="T2895" s="2"/>
      <c r="U2895" s="2"/>
    </row>
    <row x14ac:dyDescent="0.25" r="2896" customHeight="1" ht="17.25">
      <c r="A2896" s="7">
        <v>2895</v>
      </c>
      <c r="B2896" s="1" t="s">
        <v>8236</v>
      </c>
      <c r="C2896" s="5">
        <f>CONCATENATE("PD", TEXT(A2896, "1000000"))</f>
      </c>
      <c r="D2896" s="7">
        <v>67</v>
      </c>
      <c r="E2896" s="5">
        <f>XLOOKUP(G2896, item_category!C:C, item_category!B:B, "Not Found")</f>
      </c>
      <c r="F2896" s="1" t="s">
        <v>5516</v>
      </c>
      <c r="G2896" s="5">
        <f>XLOOKUP(I2896, drug!B:B, drug!A:A, "Not Found")</f>
      </c>
      <c r="H2896" s="1" t="s">
        <v>2078</v>
      </c>
      <c r="I2896" s="7">
        <v>460</v>
      </c>
      <c r="J2896" s="5">
        <f>XLOOKUP(L2896, uom!C:C, uom!B:B, "Not Found")</f>
      </c>
      <c r="K2896" s="1" t="s">
        <v>5602</v>
      </c>
      <c r="L2896" s="5">
        <f>XLOOKUP(N2896, uom!C:C, uom!B:B, "Not Found")</f>
      </c>
      <c r="M2896" s="1" t="s">
        <v>5602</v>
      </c>
      <c r="N2896" s="8" t="s">
        <v>5524</v>
      </c>
      <c r="O2896" s="1" t="s">
        <v>5525</v>
      </c>
      <c r="P2896" s="5">
        <f>XLOOKUP(R2896, classification!C:C, classification!B:B, "Not Found")</f>
      </c>
      <c r="Q2896" s="1" t="s">
        <v>5514</v>
      </c>
      <c r="R2896" s="2"/>
      <c r="S2896" s="2"/>
      <c r="T2896" s="2"/>
      <c r="U2896" s="2"/>
    </row>
    <row x14ac:dyDescent="0.25" r="2897" customHeight="1" ht="17.25">
      <c r="A2897" s="7">
        <v>2896</v>
      </c>
      <c r="B2897" s="1" t="s">
        <v>8237</v>
      </c>
      <c r="C2897" s="5">
        <f>CONCATENATE("PD", TEXT(A2897, "1000000"))</f>
      </c>
      <c r="D2897" s="7">
        <v>67</v>
      </c>
      <c r="E2897" s="5">
        <f>XLOOKUP(G2897, item_category!C:C, item_category!B:B, "Not Found")</f>
      </c>
      <c r="F2897" s="1" t="s">
        <v>5516</v>
      </c>
      <c r="G2897" s="5">
        <f>XLOOKUP(I2897, drug!B:B, drug!A:A, "Not Found")</f>
      </c>
      <c r="H2897" s="1"/>
      <c r="I2897" s="7">
        <v>250</v>
      </c>
      <c r="J2897" s="5">
        <f>XLOOKUP(L2897, uom!C:C, uom!B:B, "Not Found")</f>
      </c>
      <c r="K2897" s="1" t="s">
        <v>5602</v>
      </c>
      <c r="L2897" s="5">
        <f>XLOOKUP(N2897, uom!C:C, uom!B:B, "Not Found")</f>
      </c>
      <c r="M2897" s="1" t="s">
        <v>5602</v>
      </c>
      <c r="N2897" s="8" t="s">
        <v>5524</v>
      </c>
      <c r="O2897" s="1" t="s">
        <v>5525</v>
      </c>
      <c r="P2897" s="5">
        <f>XLOOKUP(R2897, classification!C:C, classification!B:B, "Not Found")</f>
      </c>
      <c r="Q2897" s="1" t="s">
        <v>5514</v>
      </c>
      <c r="R2897" s="2"/>
      <c r="S2897" s="2"/>
      <c r="T2897" s="2"/>
      <c r="U2897" s="2"/>
    </row>
    <row x14ac:dyDescent="0.25" r="2898" customHeight="1" ht="17.25">
      <c r="A2898" s="7">
        <v>2897</v>
      </c>
      <c r="B2898" s="1" t="s">
        <v>8238</v>
      </c>
      <c r="C2898" s="5">
        <f>CONCATENATE("PD", TEXT(A2898, "1000000"))</f>
      </c>
      <c r="D2898" s="7">
        <v>67</v>
      </c>
      <c r="E2898" s="5">
        <f>XLOOKUP(G2898, item_category!C:C, item_category!B:B, "Not Found")</f>
      </c>
      <c r="F2898" s="1" t="s">
        <v>5516</v>
      </c>
      <c r="G2898" s="5">
        <f>XLOOKUP(I2898, drug!B:B, drug!A:A, "Not Found")</f>
      </c>
      <c r="H2898" s="1" t="s">
        <v>1532</v>
      </c>
      <c r="I2898" s="7">
        <v>1</v>
      </c>
      <c r="J2898" s="5">
        <f>XLOOKUP(L2898, uom!C:C, uom!B:B, "Not Found")</f>
      </c>
      <c r="K2898" s="1" t="s">
        <v>5511</v>
      </c>
      <c r="L2898" s="5">
        <f>XLOOKUP(N2898, uom!C:C, uom!B:B, "Not Found")</f>
      </c>
      <c r="M2898" s="1" t="s">
        <v>5511</v>
      </c>
      <c r="N2898" s="8" t="s">
        <v>5512</v>
      </c>
      <c r="O2898" s="1" t="s">
        <v>5513</v>
      </c>
      <c r="P2898" s="5">
        <f>XLOOKUP(R2898, classification!C:C, classification!B:B, "Not Found")</f>
      </c>
      <c r="Q2898" s="1" t="s">
        <v>5514</v>
      </c>
      <c r="R2898" s="2"/>
      <c r="S2898" s="2"/>
      <c r="T2898" s="2"/>
      <c r="U2898" s="2"/>
    </row>
    <row x14ac:dyDescent="0.25" r="2899" customHeight="1" ht="17.25">
      <c r="A2899" s="7">
        <v>2898</v>
      </c>
      <c r="B2899" s="1" t="s">
        <v>8239</v>
      </c>
      <c r="C2899" s="5">
        <f>CONCATENATE("PD", TEXT(A2899, "1000000"))</f>
      </c>
      <c r="D2899" s="7">
        <v>67</v>
      </c>
      <c r="E2899" s="5">
        <f>XLOOKUP(G2899, item_category!C:C, item_category!B:B, "Not Found")</f>
      </c>
      <c r="F2899" s="1" t="s">
        <v>5516</v>
      </c>
      <c r="G2899" s="5">
        <f>XLOOKUP(I2899, drug!B:B, drug!A:A, "Not Found")</f>
      </c>
      <c r="H2899" s="1"/>
      <c r="I2899" s="7">
        <v>1</v>
      </c>
      <c r="J2899" s="5">
        <f>XLOOKUP(L2899, uom!C:C, uom!B:B, "Not Found")</f>
      </c>
      <c r="K2899" s="1" t="s">
        <v>5511</v>
      </c>
      <c r="L2899" s="5">
        <f>XLOOKUP(N2899, uom!C:C, uom!B:B, "Not Found")</f>
      </c>
      <c r="M2899" s="1" t="s">
        <v>5511</v>
      </c>
      <c r="N2899" s="8" t="s">
        <v>5512</v>
      </c>
      <c r="O2899" s="1" t="s">
        <v>5513</v>
      </c>
      <c r="P2899" s="5">
        <f>XLOOKUP(R2899, classification!C:C, classification!B:B, "Not Found")</f>
      </c>
      <c r="Q2899" s="1" t="s">
        <v>5514</v>
      </c>
      <c r="R2899" s="2"/>
      <c r="S2899" s="2"/>
      <c r="T2899" s="2"/>
      <c r="U2899" s="2"/>
    </row>
    <row x14ac:dyDescent="0.25" r="2900" customHeight="1" ht="17.25">
      <c r="A2900" s="7">
        <v>2899</v>
      </c>
      <c r="B2900" s="1" t="s">
        <v>8240</v>
      </c>
      <c r="C2900" s="5">
        <f>CONCATENATE("PD", TEXT(A2900, "1000000"))</f>
      </c>
      <c r="D2900" s="7">
        <v>67</v>
      </c>
      <c r="E2900" s="5">
        <f>XLOOKUP(G2900, item_category!C:C, item_category!B:B, "Not Found")</f>
      </c>
      <c r="F2900" s="1" t="s">
        <v>5516</v>
      </c>
      <c r="G2900" s="5">
        <f>XLOOKUP(I2900, drug!B:B, drug!A:A, "Not Found")</f>
      </c>
      <c r="H2900" s="1" t="s">
        <v>1942</v>
      </c>
      <c r="I2900" s="7">
        <v>1</v>
      </c>
      <c r="J2900" s="5">
        <f>XLOOKUP(L2900, uom!C:C, uom!B:B, "Not Found")</f>
      </c>
      <c r="K2900" s="1" t="s">
        <v>5511</v>
      </c>
      <c r="L2900" s="5">
        <f>XLOOKUP(N2900, uom!C:C, uom!B:B, "Not Found")</f>
      </c>
      <c r="M2900" s="1" t="s">
        <v>5511</v>
      </c>
      <c r="N2900" s="8" t="s">
        <v>5512</v>
      </c>
      <c r="O2900" s="1" t="s">
        <v>5513</v>
      </c>
      <c r="P2900" s="5">
        <f>XLOOKUP(R2900, classification!C:C, classification!B:B, "Not Found")</f>
      </c>
      <c r="Q2900" s="1" t="s">
        <v>5514</v>
      </c>
      <c r="R2900" s="2"/>
      <c r="S2900" s="2"/>
      <c r="T2900" s="2"/>
      <c r="U2900" s="2"/>
    </row>
    <row x14ac:dyDescent="0.25" r="2901" customHeight="1" ht="17.25">
      <c r="A2901" s="7">
        <v>2900</v>
      </c>
      <c r="B2901" s="1" t="s">
        <v>8241</v>
      </c>
      <c r="C2901" s="5">
        <f>CONCATENATE("PD", TEXT(A2901, "1000000"))</f>
      </c>
      <c r="D2901" s="7">
        <v>67</v>
      </c>
      <c r="E2901" s="5">
        <f>XLOOKUP(G2901, item_category!C:C, item_category!B:B, "Not Found")</f>
      </c>
      <c r="F2901" s="1" t="s">
        <v>5516</v>
      </c>
      <c r="G2901" s="5">
        <f>XLOOKUP(I2901, drug!B:B, drug!A:A, "Not Found")</f>
      </c>
      <c r="H2901" s="1"/>
      <c r="I2901" s="7">
        <v>1</v>
      </c>
      <c r="J2901" s="5">
        <f>XLOOKUP(L2901, uom!C:C, uom!B:B, "Not Found")</f>
      </c>
      <c r="K2901" s="1" t="s">
        <v>5511</v>
      </c>
      <c r="L2901" s="5">
        <f>XLOOKUP(N2901, uom!C:C, uom!B:B, "Not Found")</f>
      </c>
      <c r="M2901" s="1" t="s">
        <v>5511</v>
      </c>
      <c r="N2901" s="8" t="s">
        <v>5512</v>
      </c>
      <c r="O2901" s="1" t="s">
        <v>5513</v>
      </c>
      <c r="P2901" s="5">
        <f>XLOOKUP(R2901, classification!C:C, classification!B:B, "Not Found")</f>
      </c>
      <c r="Q2901" s="1" t="s">
        <v>5514</v>
      </c>
      <c r="R2901" s="2"/>
      <c r="S2901" s="2"/>
      <c r="T2901" s="2"/>
      <c r="U2901" s="2"/>
    </row>
    <row x14ac:dyDescent="0.25" r="2902" customHeight="1" ht="17.25">
      <c r="A2902" s="7">
        <v>2901</v>
      </c>
      <c r="B2902" s="1" t="s">
        <v>8242</v>
      </c>
      <c r="C2902" s="5">
        <f>CONCATENATE("PD", TEXT(A2902, "1000000"))</f>
      </c>
      <c r="D2902" s="7">
        <v>67</v>
      </c>
      <c r="E2902" s="5">
        <f>XLOOKUP(G2902, item_category!C:C, item_category!B:B, "Not Found")</f>
      </c>
      <c r="F2902" s="1" t="s">
        <v>5516</v>
      </c>
      <c r="G2902" s="5">
        <f>XLOOKUP(I2902, drug!B:B, drug!A:A, "Not Found")</f>
      </c>
      <c r="H2902" s="1"/>
      <c r="I2902" s="7">
        <v>1</v>
      </c>
      <c r="J2902" s="5">
        <f>XLOOKUP(L2902, uom!C:C, uom!B:B, "Not Found")</f>
      </c>
      <c r="K2902" s="1" t="s">
        <v>5511</v>
      </c>
      <c r="L2902" s="5">
        <f>XLOOKUP(N2902, uom!C:C, uom!B:B, "Not Found")</f>
      </c>
      <c r="M2902" s="1" t="s">
        <v>5511</v>
      </c>
      <c r="N2902" s="8" t="s">
        <v>5512</v>
      </c>
      <c r="O2902" s="1" t="s">
        <v>5513</v>
      </c>
      <c r="P2902" s="5">
        <f>XLOOKUP(R2902, classification!C:C, classification!B:B, "Not Found")</f>
      </c>
      <c r="Q2902" s="1" t="s">
        <v>5514</v>
      </c>
      <c r="R2902" s="2"/>
      <c r="S2902" s="2"/>
      <c r="T2902" s="2"/>
      <c r="U2902" s="2"/>
    </row>
    <row x14ac:dyDescent="0.25" r="2903" customHeight="1" ht="17.25">
      <c r="A2903" s="7">
        <v>2902</v>
      </c>
      <c r="B2903" s="1" t="s">
        <v>8243</v>
      </c>
      <c r="C2903" s="5">
        <f>CONCATENATE("PD", TEXT(A2903, "1000000"))</f>
      </c>
      <c r="D2903" s="7">
        <v>67</v>
      </c>
      <c r="E2903" s="5">
        <f>XLOOKUP(G2903, item_category!C:C, item_category!B:B, "Not Found")</f>
      </c>
      <c r="F2903" s="1" t="s">
        <v>5516</v>
      </c>
      <c r="G2903" s="5">
        <f>XLOOKUP(I2903, drug!B:B, drug!A:A, "Not Found")</f>
      </c>
      <c r="H2903" s="1"/>
      <c r="I2903" s="7">
        <v>1</v>
      </c>
      <c r="J2903" s="5">
        <f>XLOOKUP(L2903, uom!C:C, uom!B:B, "Not Found")</f>
      </c>
      <c r="K2903" s="1" t="s">
        <v>5511</v>
      </c>
      <c r="L2903" s="5">
        <f>XLOOKUP(N2903, uom!C:C, uom!B:B, "Not Found")</f>
      </c>
      <c r="M2903" s="1" t="s">
        <v>5511</v>
      </c>
      <c r="N2903" s="8" t="s">
        <v>5512</v>
      </c>
      <c r="O2903" s="1" t="s">
        <v>5513</v>
      </c>
      <c r="P2903" s="5">
        <f>XLOOKUP(R2903, classification!C:C, classification!B:B, "Not Found")</f>
      </c>
      <c r="Q2903" s="1" t="s">
        <v>5514</v>
      </c>
      <c r="R2903" s="2"/>
      <c r="S2903" s="2"/>
      <c r="T2903" s="2"/>
      <c r="U2903" s="2"/>
    </row>
    <row x14ac:dyDescent="0.25" r="2904" customHeight="1" ht="17.25">
      <c r="A2904" s="7">
        <v>2903</v>
      </c>
      <c r="B2904" s="1" t="s">
        <v>8244</v>
      </c>
      <c r="C2904" s="5">
        <f>CONCATENATE("PD", TEXT(A2904, "1000000"))</f>
      </c>
      <c r="D2904" s="7">
        <v>67</v>
      </c>
      <c r="E2904" s="5">
        <f>XLOOKUP(G2904, item_category!C:C, item_category!B:B, "Not Found")</f>
      </c>
      <c r="F2904" s="1" t="s">
        <v>5516</v>
      </c>
      <c r="G2904" s="5">
        <f>XLOOKUP(I2904, drug!B:B, drug!A:A, "Not Found")</f>
      </c>
      <c r="H2904" s="1" t="s">
        <v>1588</v>
      </c>
      <c r="I2904" s="7">
        <v>1</v>
      </c>
      <c r="J2904" s="5">
        <f>XLOOKUP(L2904, uom!C:C, uom!B:B, "Not Found")</f>
      </c>
      <c r="K2904" s="1" t="s">
        <v>5511</v>
      </c>
      <c r="L2904" s="5">
        <f>XLOOKUP(N2904, uom!C:C, uom!B:B, "Not Found")</f>
      </c>
      <c r="M2904" s="1" t="s">
        <v>5511</v>
      </c>
      <c r="N2904" s="8" t="s">
        <v>5512</v>
      </c>
      <c r="O2904" s="1" t="s">
        <v>5513</v>
      </c>
      <c r="P2904" s="5">
        <f>XLOOKUP(R2904, classification!C:C, classification!B:B, "Not Found")</f>
      </c>
      <c r="Q2904" s="1" t="s">
        <v>5514</v>
      </c>
      <c r="R2904" s="2"/>
      <c r="S2904" s="2"/>
      <c r="T2904" s="2"/>
      <c r="U2904" s="2"/>
    </row>
    <row x14ac:dyDescent="0.25" r="2905" customHeight="1" ht="17.25">
      <c r="A2905" s="7">
        <v>2904</v>
      </c>
      <c r="B2905" s="1" t="s">
        <v>8245</v>
      </c>
      <c r="C2905" s="5">
        <f>CONCATENATE("PD", TEXT(A2905, "1000000"))</f>
      </c>
      <c r="D2905" s="7">
        <v>67</v>
      </c>
      <c r="E2905" s="5">
        <f>XLOOKUP(G2905, item_category!C:C, item_category!B:B, "Not Found")</f>
      </c>
      <c r="F2905" s="1" t="s">
        <v>5516</v>
      </c>
      <c r="G2905" s="5">
        <f>XLOOKUP(I2905, drug!B:B, drug!A:A, "Not Found")</f>
      </c>
      <c r="H2905" s="1" t="s">
        <v>1228</v>
      </c>
      <c r="I2905" s="7">
        <v>1</v>
      </c>
      <c r="J2905" s="5">
        <f>XLOOKUP(L2905, uom!C:C, uom!B:B, "Not Found")</f>
      </c>
      <c r="K2905" s="1" t="s">
        <v>5511</v>
      </c>
      <c r="L2905" s="5">
        <f>XLOOKUP(N2905, uom!C:C, uom!B:B, "Not Found")</f>
      </c>
      <c r="M2905" s="1" t="s">
        <v>5511</v>
      </c>
      <c r="N2905" s="8" t="s">
        <v>5512</v>
      </c>
      <c r="O2905" s="1" t="s">
        <v>5513</v>
      </c>
      <c r="P2905" s="5">
        <f>XLOOKUP(R2905, classification!C:C, classification!B:B, "Not Found")</f>
      </c>
      <c r="Q2905" s="1" t="s">
        <v>5514</v>
      </c>
      <c r="R2905" s="2"/>
      <c r="S2905" s="2"/>
      <c r="T2905" s="2"/>
      <c r="U2905" s="2"/>
    </row>
    <row x14ac:dyDescent="0.25" r="2906" customHeight="1" ht="17.25">
      <c r="A2906" s="7">
        <v>2905</v>
      </c>
      <c r="B2906" s="1" t="s">
        <v>8246</v>
      </c>
      <c r="C2906" s="5">
        <f>CONCATENATE("PD", TEXT(A2906, "1000000"))</f>
      </c>
      <c r="D2906" s="7">
        <v>67</v>
      </c>
      <c r="E2906" s="5">
        <f>XLOOKUP(G2906, item_category!C:C, item_category!B:B, "Not Found")</f>
      </c>
      <c r="F2906" s="1" t="s">
        <v>5516</v>
      </c>
      <c r="G2906" s="5">
        <f>XLOOKUP(I2906, drug!B:B, drug!A:A, "Not Found")</f>
      </c>
      <c r="H2906" s="1" t="s">
        <v>1139</v>
      </c>
      <c r="I2906" s="7">
        <v>1</v>
      </c>
      <c r="J2906" s="5">
        <f>XLOOKUP(L2906, uom!C:C, uom!B:B, "Not Found")</f>
      </c>
      <c r="K2906" s="1" t="s">
        <v>5511</v>
      </c>
      <c r="L2906" s="5">
        <f>XLOOKUP(N2906, uom!C:C, uom!B:B, "Not Found")</f>
      </c>
      <c r="M2906" s="1" t="s">
        <v>5511</v>
      </c>
      <c r="N2906" s="8" t="s">
        <v>5512</v>
      </c>
      <c r="O2906" s="1" t="s">
        <v>5513</v>
      </c>
      <c r="P2906" s="5">
        <f>XLOOKUP(R2906, classification!C:C, classification!B:B, "Not Found")</f>
      </c>
      <c r="Q2906" s="1" t="s">
        <v>5514</v>
      </c>
      <c r="R2906" s="2"/>
      <c r="S2906" s="2"/>
      <c r="T2906" s="2"/>
      <c r="U2906" s="2"/>
    </row>
    <row x14ac:dyDescent="0.25" r="2907" customHeight="1" ht="17.25">
      <c r="A2907" s="7">
        <v>2906</v>
      </c>
      <c r="B2907" s="1" t="s">
        <v>8247</v>
      </c>
      <c r="C2907" s="5">
        <f>CONCATENATE("PD", TEXT(A2907, "1000000"))</f>
      </c>
      <c r="D2907" s="7">
        <v>67</v>
      </c>
      <c r="E2907" s="5">
        <f>XLOOKUP(G2907, item_category!C:C, item_category!B:B, "Not Found")</f>
      </c>
      <c r="F2907" s="1" t="s">
        <v>5516</v>
      </c>
      <c r="G2907" s="5">
        <f>XLOOKUP(I2907, drug!B:B, drug!A:A, "Not Found")</f>
      </c>
      <c r="H2907" s="1" t="s">
        <v>1139</v>
      </c>
      <c r="I2907" s="7">
        <v>1</v>
      </c>
      <c r="J2907" s="5">
        <f>XLOOKUP(L2907, uom!C:C, uom!B:B, "Not Found")</f>
      </c>
      <c r="K2907" s="1" t="s">
        <v>5511</v>
      </c>
      <c r="L2907" s="5">
        <f>XLOOKUP(N2907, uom!C:C, uom!B:B, "Not Found")</f>
      </c>
      <c r="M2907" s="1" t="s">
        <v>5511</v>
      </c>
      <c r="N2907" s="8" t="s">
        <v>5512</v>
      </c>
      <c r="O2907" s="1" t="s">
        <v>5513</v>
      </c>
      <c r="P2907" s="5">
        <f>XLOOKUP(R2907, classification!C:C, classification!B:B, "Not Found")</f>
      </c>
      <c r="Q2907" s="1" t="s">
        <v>5514</v>
      </c>
      <c r="R2907" s="2"/>
      <c r="S2907" s="2"/>
      <c r="T2907" s="2"/>
      <c r="U2907" s="2"/>
    </row>
    <row x14ac:dyDescent="0.25" r="2908" customHeight="1" ht="17.25">
      <c r="A2908" s="7">
        <v>2907</v>
      </c>
      <c r="B2908" s="1" t="s">
        <v>8248</v>
      </c>
      <c r="C2908" s="5">
        <f>CONCATENATE("PD", TEXT(A2908, "1000000"))</f>
      </c>
      <c r="D2908" s="7">
        <v>67</v>
      </c>
      <c r="E2908" s="5">
        <f>XLOOKUP(G2908, item_category!C:C, item_category!B:B, "Not Found")</f>
      </c>
      <c r="F2908" s="1" t="s">
        <v>5516</v>
      </c>
      <c r="G2908" s="5">
        <f>XLOOKUP(I2908, drug!B:B, drug!A:A, "Not Found")</f>
      </c>
      <c r="H2908" s="1" t="s">
        <v>1139</v>
      </c>
      <c r="I2908" s="7">
        <v>1</v>
      </c>
      <c r="J2908" s="5">
        <f>XLOOKUP(L2908, uom!C:C, uom!B:B, "Not Found")</f>
      </c>
      <c r="K2908" s="1" t="s">
        <v>5511</v>
      </c>
      <c r="L2908" s="5">
        <f>XLOOKUP(N2908, uom!C:C, uom!B:B, "Not Found")</f>
      </c>
      <c r="M2908" s="1" t="s">
        <v>5511</v>
      </c>
      <c r="N2908" s="8" t="s">
        <v>5512</v>
      </c>
      <c r="O2908" s="1" t="s">
        <v>5513</v>
      </c>
      <c r="P2908" s="5">
        <f>XLOOKUP(R2908, classification!C:C, classification!B:B, "Not Found")</f>
      </c>
      <c r="Q2908" s="1" t="s">
        <v>5514</v>
      </c>
      <c r="R2908" s="2"/>
      <c r="S2908" s="2"/>
      <c r="T2908" s="2"/>
      <c r="U2908" s="2"/>
    </row>
    <row x14ac:dyDescent="0.25" r="2909" customHeight="1" ht="17.25">
      <c r="A2909" s="7">
        <v>2908</v>
      </c>
      <c r="B2909" s="1" t="s">
        <v>8249</v>
      </c>
      <c r="C2909" s="5">
        <f>CONCATENATE("PD", TEXT(A2909, "1000000"))</f>
      </c>
      <c r="D2909" s="7">
        <v>67</v>
      </c>
      <c r="E2909" s="5">
        <f>XLOOKUP(G2909, item_category!C:C, item_category!B:B, "Not Found")</f>
      </c>
      <c r="F2909" s="1" t="s">
        <v>5516</v>
      </c>
      <c r="G2909" s="5">
        <f>XLOOKUP(I2909, drug!B:B, drug!A:A, "Not Found")</f>
      </c>
      <c r="H2909" s="1" t="s">
        <v>1139</v>
      </c>
      <c r="I2909" s="7">
        <v>1</v>
      </c>
      <c r="J2909" s="5">
        <f>XLOOKUP(L2909, uom!C:C, uom!B:B, "Not Found")</f>
      </c>
      <c r="K2909" s="1" t="s">
        <v>5511</v>
      </c>
      <c r="L2909" s="5">
        <f>XLOOKUP(N2909, uom!C:C, uom!B:B, "Not Found")</f>
      </c>
      <c r="M2909" s="1" t="s">
        <v>5511</v>
      </c>
      <c r="N2909" s="8" t="s">
        <v>5512</v>
      </c>
      <c r="O2909" s="1" t="s">
        <v>5513</v>
      </c>
      <c r="P2909" s="5">
        <f>XLOOKUP(R2909, classification!C:C, classification!B:B, "Not Found")</f>
      </c>
      <c r="Q2909" s="1" t="s">
        <v>5514</v>
      </c>
      <c r="R2909" s="2"/>
      <c r="S2909" s="2"/>
      <c r="T2909" s="2"/>
      <c r="U2909" s="2"/>
    </row>
    <row x14ac:dyDescent="0.25" r="2910" customHeight="1" ht="17.25">
      <c r="A2910" s="7">
        <v>2909</v>
      </c>
      <c r="B2910" s="1" t="s">
        <v>8250</v>
      </c>
      <c r="C2910" s="5">
        <f>CONCATENATE("PD", TEXT(A2910, "1000000"))</f>
      </c>
      <c r="D2910" s="7">
        <v>67</v>
      </c>
      <c r="E2910" s="5">
        <f>XLOOKUP(G2910, item_category!C:C, item_category!B:B, "Not Found")</f>
      </c>
      <c r="F2910" s="1" t="s">
        <v>5516</v>
      </c>
      <c r="G2910" s="5">
        <f>XLOOKUP(I2910, drug!B:B, drug!A:A, "Not Found")</f>
      </c>
      <c r="H2910" s="1" t="s">
        <v>1139</v>
      </c>
      <c r="I2910" s="7">
        <v>1</v>
      </c>
      <c r="J2910" s="5">
        <f>XLOOKUP(L2910, uom!C:C, uom!B:B, "Not Found")</f>
      </c>
      <c r="K2910" s="1" t="s">
        <v>5511</v>
      </c>
      <c r="L2910" s="5">
        <f>XLOOKUP(N2910, uom!C:C, uom!B:B, "Not Found")</f>
      </c>
      <c r="M2910" s="1" t="s">
        <v>5511</v>
      </c>
      <c r="N2910" s="8" t="s">
        <v>5512</v>
      </c>
      <c r="O2910" s="1" t="s">
        <v>5513</v>
      </c>
      <c r="P2910" s="5">
        <f>XLOOKUP(R2910, classification!C:C, classification!B:B, "Not Found")</f>
      </c>
      <c r="Q2910" s="1" t="s">
        <v>5514</v>
      </c>
      <c r="R2910" s="2"/>
      <c r="S2910" s="2"/>
      <c r="T2910" s="2"/>
      <c r="U2910" s="2"/>
    </row>
    <row x14ac:dyDescent="0.25" r="2911" customHeight="1" ht="17.25">
      <c r="A2911" s="7">
        <v>2910</v>
      </c>
      <c r="B2911" s="1" t="s">
        <v>8251</v>
      </c>
      <c r="C2911" s="5">
        <f>CONCATENATE("PD", TEXT(A2911, "1000000"))</f>
      </c>
      <c r="D2911" s="7">
        <v>67</v>
      </c>
      <c r="E2911" s="5">
        <f>XLOOKUP(G2911, item_category!C:C, item_category!B:B, "Not Found")</f>
      </c>
      <c r="F2911" s="1" t="s">
        <v>5516</v>
      </c>
      <c r="G2911" s="5">
        <f>XLOOKUP(I2911, drug!B:B, drug!A:A, "Not Found")</f>
      </c>
      <c r="H2911" s="1" t="s">
        <v>1139</v>
      </c>
      <c r="I2911" s="7">
        <v>1</v>
      </c>
      <c r="J2911" s="5">
        <f>XLOOKUP(L2911, uom!C:C, uom!B:B, "Not Found")</f>
      </c>
      <c r="K2911" s="1" t="s">
        <v>5511</v>
      </c>
      <c r="L2911" s="5">
        <f>XLOOKUP(N2911, uom!C:C, uom!B:B, "Not Found")</f>
      </c>
      <c r="M2911" s="1" t="s">
        <v>5511</v>
      </c>
      <c r="N2911" s="8" t="s">
        <v>5512</v>
      </c>
      <c r="O2911" s="1" t="s">
        <v>5513</v>
      </c>
      <c r="P2911" s="5">
        <f>XLOOKUP(R2911, classification!C:C, classification!B:B, "Not Found")</f>
      </c>
      <c r="Q2911" s="1" t="s">
        <v>5514</v>
      </c>
      <c r="R2911" s="2"/>
      <c r="S2911" s="2"/>
      <c r="T2911" s="2"/>
      <c r="U2911" s="2"/>
    </row>
    <row x14ac:dyDescent="0.25" r="2912" customHeight="1" ht="17.25">
      <c r="A2912" s="7">
        <v>2911</v>
      </c>
      <c r="B2912" s="1" t="s">
        <v>8252</v>
      </c>
      <c r="C2912" s="5">
        <f>CONCATENATE("PD", TEXT(A2912, "1000000"))</f>
      </c>
      <c r="D2912" s="7">
        <v>67</v>
      </c>
      <c r="E2912" s="5">
        <f>XLOOKUP(G2912, item_category!C:C, item_category!B:B, "Not Found")</f>
      </c>
      <c r="F2912" s="1" t="s">
        <v>5516</v>
      </c>
      <c r="G2912" s="5">
        <f>XLOOKUP(I2912, drug!B:B, drug!A:A, "Not Found")</f>
      </c>
      <c r="H2912" s="1" t="s">
        <v>1152</v>
      </c>
      <c r="I2912" s="7">
        <v>1</v>
      </c>
      <c r="J2912" s="5">
        <f>XLOOKUP(L2912, uom!C:C, uom!B:B, "Not Found")</f>
      </c>
      <c r="K2912" s="1" t="s">
        <v>5511</v>
      </c>
      <c r="L2912" s="5">
        <f>XLOOKUP(N2912, uom!C:C, uom!B:B, "Not Found")</f>
      </c>
      <c r="M2912" s="1" t="s">
        <v>5511</v>
      </c>
      <c r="N2912" s="8" t="s">
        <v>5512</v>
      </c>
      <c r="O2912" s="1" t="s">
        <v>5513</v>
      </c>
      <c r="P2912" s="5">
        <f>XLOOKUP(R2912, classification!C:C, classification!B:B, "Not Found")</f>
      </c>
      <c r="Q2912" s="1" t="s">
        <v>5514</v>
      </c>
      <c r="R2912" s="2"/>
      <c r="S2912" s="2"/>
      <c r="T2912" s="2"/>
      <c r="U2912" s="2"/>
    </row>
    <row x14ac:dyDescent="0.25" r="2913" customHeight="1" ht="17.25">
      <c r="A2913" s="7">
        <v>2912</v>
      </c>
      <c r="B2913" s="1" t="s">
        <v>8253</v>
      </c>
      <c r="C2913" s="5">
        <f>CONCATENATE("PD", TEXT(A2913, "1000000"))</f>
      </c>
      <c r="D2913" s="7">
        <v>67</v>
      </c>
      <c r="E2913" s="5">
        <f>XLOOKUP(G2913, item_category!C:C, item_category!B:B, "Not Found")</f>
      </c>
      <c r="F2913" s="1" t="s">
        <v>5516</v>
      </c>
      <c r="G2913" s="5">
        <f>XLOOKUP(I2913, drug!B:B, drug!A:A, "Not Found")</f>
      </c>
      <c r="H2913" s="1" t="s">
        <v>1152</v>
      </c>
      <c r="I2913" s="7">
        <v>1</v>
      </c>
      <c r="J2913" s="5">
        <f>XLOOKUP(L2913, uom!C:C, uom!B:B, "Not Found")</f>
      </c>
      <c r="K2913" s="1" t="s">
        <v>5511</v>
      </c>
      <c r="L2913" s="5">
        <f>XLOOKUP(N2913, uom!C:C, uom!B:B, "Not Found")</f>
      </c>
      <c r="M2913" s="1" t="s">
        <v>5511</v>
      </c>
      <c r="N2913" s="8" t="s">
        <v>5512</v>
      </c>
      <c r="O2913" s="1" t="s">
        <v>5513</v>
      </c>
      <c r="P2913" s="5">
        <f>XLOOKUP(R2913, classification!C:C, classification!B:B, "Not Found")</f>
      </c>
      <c r="Q2913" s="1" t="s">
        <v>5514</v>
      </c>
      <c r="R2913" s="2"/>
      <c r="S2913" s="2"/>
      <c r="T2913" s="2"/>
      <c r="U2913" s="2"/>
    </row>
    <row x14ac:dyDescent="0.25" r="2914" customHeight="1" ht="17.25">
      <c r="A2914" s="7">
        <v>2913</v>
      </c>
      <c r="B2914" s="1" t="s">
        <v>8254</v>
      </c>
      <c r="C2914" s="5">
        <f>CONCATENATE("PD", TEXT(A2914, "1000000"))</f>
      </c>
      <c r="D2914" s="7">
        <v>67</v>
      </c>
      <c r="E2914" s="5">
        <f>XLOOKUP(G2914, item_category!C:C, item_category!B:B, "Not Found")</f>
      </c>
      <c r="F2914" s="1" t="s">
        <v>5516</v>
      </c>
      <c r="G2914" s="5">
        <f>XLOOKUP(I2914, drug!B:B, drug!A:A, "Not Found")</f>
      </c>
      <c r="H2914" s="1" t="s">
        <v>1139</v>
      </c>
      <c r="I2914" s="7">
        <v>1</v>
      </c>
      <c r="J2914" s="5">
        <f>XLOOKUP(L2914, uom!C:C, uom!B:B, "Not Found")</f>
      </c>
      <c r="K2914" s="1" t="s">
        <v>5511</v>
      </c>
      <c r="L2914" s="5">
        <f>XLOOKUP(N2914, uom!C:C, uom!B:B, "Not Found")</f>
      </c>
      <c r="M2914" s="1" t="s">
        <v>5511</v>
      </c>
      <c r="N2914" s="8" t="s">
        <v>5512</v>
      </c>
      <c r="O2914" s="1" t="s">
        <v>5513</v>
      </c>
      <c r="P2914" s="5">
        <f>XLOOKUP(R2914, classification!C:C, classification!B:B, "Not Found")</f>
      </c>
      <c r="Q2914" s="1" t="s">
        <v>5514</v>
      </c>
      <c r="R2914" s="2"/>
      <c r="S2914" s="2"/>
      <c r="T2914" s="2"/>
      <c r="U2914" s="2"/>
    </row>
    <row x14ac:dyDescent="0.25" r="2915" customHeight="1" ht="17.25">
      <c r="A2915" s="7">
        <v>2914</v>
      </c>
      <c r="B2915" s="1" t="s">
        <v>8255</v>
      </c>
      <c r="C2915" s="5">
        <f>CONCATENATE("PD", TEXT(A2915, "1000000"))</f>
      </c>
      <c r="D2915" s="7">
        <v>67</v>
      </c>
      <c r="E2915" s="5">
        <f>XLOOKUP(G2915, item_category!C:C, item_category!B:B, "Not Found")</f>
      </c>
      <c r="F2915" s="1" t="s">
        <v>5516</v>
      </c>
      <c r="G2915" s="5">
        <f>XLOOKUP(I2915, drug!B:B, drug!A:A, "Not Found")</f>
      </c>
      <c r="H2915" s="1" t="s">
        <v>1139</v>
      </c>
      <c r="I2915" s="7">
        <v>1</v>
      </c>
      <c r="J2915" s="5">
        <f>XLOOKUP(L2915, uom!C:C, uom!B:B, "Not Found")</f>
      </c>
      <c r="K2915" s="1" t="s">
        <v>5511</v>
      </c>
      <c r="L2915" s="5">
        <f>XLOOKUP(N2915, uom!C:C, uom!B:B, "Not Found")</f>
      </c>
      <c r="M2915" s="1" t="s">
        <v>5511</v>
      </c>
      <c r="N2915" s="8" t="s">
        <v>5512</v>
      </c>
      <c r="O2915" s="1" t="s">
        <v>5513</v>
      </c>
      <c r="P2915" s="5">
        <f>XLOOKUP(R2915, classification!C:C, classification!B:B, "Not Found")</f>
      </c>
      <c r="Q2915" s="1" t="s">
        <v>5514</v>
      </c>
      <c r="R2915" s="2"/>
      <c r="S2915" s="2"/>
      <c r="T2915" s="2"/>
      <c r="U2915" s="2"/>
    </row>
    <row x14ac:dyDescent="0.25" r="2916" customHeight="1" ht="17.25">
      <c r="A2916" s="7">
        <v>2915</v>
      </c>
      <c r="B2916" s="1" t="s">
        <v>8255</v>
      </c>
      <c r="C2916" s="5">
        <f>CONCATENATE("PD", TEXT(A2916, "1000000"))</f>
      </c>
      <c r="D2916" s="7">
        <v>67</v>
      </c>
      <c r="E2916" s="5">
        <f>XLOOKUP(G2916, item_category!C:C, item_category!B:B, "Not Found")</f>
      </c>
      <c r="F2916" s="1" t="s">
        <v>5516</v>
      </c>
      <c r="G2916" s="5">
        <f>XLOOKUP(I2916, drug!B:B, drug!A:A, "Not Found")</f>
      </c>
      <c r="H2916" s="1" t="s">
        <v>1139</v>
      </c>
      <c r="I2916" s="7">
        <v>1</v>
      </c>
      <c r="J2916" s="5">
        <f>XLOOKUP(L2916, uom!C:C, uom!B:B, "Not Found")</f>
      </c>
      <c r="K2916" s="1" t="s">
        <v>5511</v>
      </c>
      <c r="L2916" s="5">
        <f>XLOOKUP(N2916, uom!C:C, uom!B:B, "Not Found")</f>
      </c>
      <c r="M2916" s="1" t="s">
        <v>5511</v>
      </c>
      <c r="N2916" s="8" t="s">
        <v>5512</v>
      </c>
      <c r="O2916" s="1" t="s">
        <v>5513</v>
      </c>
      <c r="P2916" s="5">
        <f>XLOOKUP(R2916, classification!C:C, classification!B:B, "Not Found")</f>
      </c>
      <c r="Q2916" s="1" t="s">
        <v>5514</v>
      </c>
      <c r="R2916" s="2"/>
      <c r="S2916" s="2"/>
      <c r="T2916" s="2"/>
      <c r="U2916" s="2"/>
    </row>
    <row x14ac:dyDescent="0.25" r="2917" customHeight="1" ht="17.25">
      <c r="A2917" s="7">
        <v>2916</v>
      </c>
      <c r="B2917" s="1" t="s">
        <v>8256</v>
      </c>
      <c r="C2917" s="5">
        <f>CONCATENATE("PD", TEXT(A2917, "1000000"))</f>
      </c>
      <c r="D2917" s="7">
        <v>67</v>
      </c>
      <c r="E2917" s="5">
        <f>XLOOKUP(G2917, item_category!C:C, item_category!B:B, "Not Found")</f>
      </c>
      <c r="F2917" s="1" t="s">
        <v>5516</v>
      </c>
      <c r="G2917" s="5">
        <f>XLOOKUP(I2917, drug!B:B, drug!A:A, "Not Found")</f>
      </c>
      <c r="H2917" s="1" t="s">
        <v>1152</v>
      </c>
      <c r="I2917" s="7">
        <v>1</v>
      </c>
      <c r="J2917" s="5">
        <f>XLOOKUP(L2917, uom!C:C, uom!B:B, "Not Found")</f>
      </c>
      <c r="K2917" s="1" t="s">
        <v>5511</v>
      </c>
      <c r="L2917" s="5">
        <f>XLOOKUP(N2917, uom!C:C, uom!B:B, "Not Found")</f>
      </c>
      <c r="M2917" s="1" t="s">
        <v>5511</v>
      </c>
      <c r="N2917" s="8" t="s">
        <v>5512</v>
      </c>
      <c r="O2917" s="1" t="s">
        <v>5513</v>
      </c>
      <c r="P2917" s="5">
        <f>XLOOKUP(R2917, classification!C:C, classification!B:B, "Not Found")</f>
      </c>
      <c r="Q2917" s="1" t="s">
        <v>5514</v>
      </c>
      <c r="R2917" s="2"/>
      <c r="S2917" s="2"/>
      <c r="T2917" s="2"/>
      <c r="U2917" s="2"/>
    </row>
    <row x14ac:dyDescent="0.25" r="2918" customHeight="1" ht="17.25">
      <c r="A2918" s="7">
        <v>2917</v>
      </c>
      <c r="B2918" s="1" t="s">
        <v>8257</v>
      </c>
      <c r="C2918" s="5">
        <f>CONCATENATE("PD", TEXT(A2918, "1000000"))</f>
      </c>
      <c r="D2918" s="7">
        <v>67</v>
      </c>
      <c r="E2918" s="5">
        <f>XLOOKUP(G2918, item_category!C:C, item_category!B:B, "Not Found")</f>
      </c>
      <c r="F2918" s="1" t="s">
        <v>5516</v>
      </c>
      <c r="G2918" s="5">
        <f>XLOOKUP(I2918, drug!B:B, drug!A:A, "Not Found")</f>
      </c>
      <c r="H2918" s="1" t="s">
        <v>1152</v>
      </c>
      <c r="I2918" s="7">
        <v>1</v>
      </c>
      <c r="J2918" s="5">
        <f>XLOOKUP(L2918, uom!C:C, uom!B:B, "Not Found")</f>
      </c>
      <c r="K2918" s="1" t="s">
        <v>5511</v>
      </c>
      <c r="L2918" s="5">
        <f>XLOOKUP(N2918, uom!C:C, uom!B:B, "Not Found")</f>
      </c>
      <c r="M2918" s="1" t="s">
        <v>5511</v>
      </c>
      <c r="N2918" s="8" t="s">
        <v>5512</v>
      </c>
      <c r="O2918" s="1" t="s">
        <v>5513</v>
      </c>
      <c r="P2918" s="5">
        <f>XLOOKUP(R2918, classification!C:C, classification!B:B, "Not Found")</f>
      </c>
      <c r="Q2918" s="1" t="s">
        <v>5514</v>
      </c>
      <c r="R2918" s="2"/>
      <c r="S2918" s="2"/>
      <c r="T2918" s="2"/>
      <c r="U2918" s="2"/>
    </row>
    <row x14ac:dyDescent="0.25" r="2919" customHeight="1" ht="17.25">
      <c r="A2919" s="7">
        <v>2918</v>
      </c>
      <c r="B2919" s="1" t="s">
        <v>8258</v>
      </c>
      <c r="C2919" s="5">
        <f>CONCATENATE("PD", TEXT(A2919, "1000000"))</f>
      </c>
      <c r="D2919" s="7">
        <v>67</v>
      </c>
      <c r="E2919" s="5">
        <f>XLOOKUP(G2919, item_category!C:C, item_category!B:B, "Not Found")</f>
      </c>
      <c r="F2919" s="1" t="s">
        <v>5516</v>
      </c>
      <c r="G2919" s="5">
        <f>XLOOKUP(I2919, drug!B:B, drug!A:A, "Not Found")</f>
      </c>
      <c r="H2919" s="1" t="s">
        <v>1152</v>
      </c>
      <c r="I2919" s="7">
        <v>1</v>
      </c>
      <c r="J2919" s="5">
        <f>XLOOKUP(L2919, uom!C:C, uom!B:B, "Not Found")</f>
      </c>
      <c r="K2919" s="1" t="s">
        <v>5511</v>
      </c>
      <c r="L2919" s="5">
        <f>XLOOKUP(N2919, uom!C:C, uom!B:B, "Not Found")</f>
      </c>
      <c r="M2919" s="1" t="s">
        <v>5511</v>
      </c>
      <c r="N2919" s="8" t="s">
        <v>5512</v>
      </c>
      <c r="O2919" s="1" t="s">
        <v>5513</v>
      </c>
      <c r="P2919" s="5">
        <f>XLOOKUP(R2919, classification!C:C, classification!B:B, "Not Found")</f>
      </c>
      <c r="Q2919" s="1" t="s">
        <v>5514</v>
      </c>
      <c r="R2919" s="2"/>
      <c r="S2919" s="2"/>
      <c r="T2919" s="2"/>
      <c r="U2919" s="2"/>
    </row>
    <row x14ac:dyDescent="0.25" r="2920" customHeight="1" ht="17.25">
      <c r="A2920" s="7">
        <v>2919</v>
      </c>
      <c r="B2920" s="1" t="s">
        <v>8259</v>
      </c>
      <c r="C2920" s="5">
        <f>CONCATENATE("PD", TEXT(A2920, "1000000"))</f>
      </c>
      <c r="D2920" s="7">
        <v>67</v>
      </c>
      <c r="E2920" s="5">
        <f>XLOOKUP(G2920, item_category!C:C, item_category!B:B, "Not Found")</f>
      </c>
      <c r="F2920" s="1" t="s">
        <v>5516</v>
      </c>
      <c r="G2920" s="5">
        <f>XLOOKUP(I2920, drug!B:B, drug!A:A, "Not Found")</f>
      </c>
      <c r="H2920" s="1" t="s">
        <v>1152</v>
      </c>
      <c r="I2920" s="7">
        <v>1</v>
      </c>
      <c r="J2920" s="5">
        <f>XLOOKUP(L2920, uom!C:C, uom!B:B, "Not Found")</f>
      </c>
      <c r="K2920" s="1" t="s">
        <v>5511</v>
      </c>
      <c r="L2920" s="5">
        <f>XLOOKUP(N2920, uom!C:C, uom!B:B, "Not Found")</f>
      </c>
      <c r="M2920" s="1" t="s">
        <v>5511</v>
      </c>
      <c r="N2920" s="8" t="s">
        <v>5512</v>
      </c>
      <c r="O2920" s="1" t="s">
        <v>5513</v>
      </c>
      <c r="P2920" s="5">
        <f>XLOOKUP(R2920, classification!C:C, classification!B:B, "Not Found")</f>
      </c>
      <c r="Q2920" s="1" t="s">
        <v>5514</v>
      </c>
      <c r="R2920" s="2"/>
      <c r="S2920" s="2"/>
      <c r="T2920" s="2"/>
      <c r="U2920" s="2"/>
    </row>
    <row x14ac:dyDescent="0.25" r="2921" customHeight="1" ht="17.25">
      <c r="A2921" s="7">
        <v>2920</v>
      </c>
      <c r="B2921" s="1" t="s">
        <v>8260</v>
      </c>
      <c r="C2921" s="5">
        <f>CONCATENATE("PD", TEXT(A2921, "1000000"))</f>
      </c>
      <c r="D2921" s="7">
        <v>67</v>
      </c>
      <c r="E2921" s="5">
        <f>XLOOKUP(G2921, item_category!C:C, item_category!B:B, "Not Found")</f>
      </c>
      <c r="F2921" s="1" t="s">
        <v>5516</v>
      </c>
      <c r="G2921" s="5">
        <f>XLOOKUP(I2921, drug!B:B, drug!A:A, "Not Found")</f>
      </c>
      <c r="H2921" s="1" t="s">
        <v>1139</v>
      </c>
      <c r="I2921" s="7">
        <v>100</v>
      </c>
      <c r="J2921" s="5">
        <f>XLOOKUP(L2921, uom!C:C, uom!B:B, "Not Found")</f>
      </c>
      <c r="K2921" s="1" t="s">
        <v>5544</v>
      </c>
      <c r="L2921" s="5">
        <f>XLOOKUP(N2921, uom!C:C, uom!B:B, "Not Found")</f>
      </c>
      <c r="M2921" s="1" t="s">
        <v>5544</v>
      </c>
      <c r="N2921" s="8" t="s">
        <v>5524</v>
      </c>
      <c r="O2921" s="1" t="s">
        <v>5525</v>
      </c>
      <c r="P2921" s="5">
        <f>XLOOKUP(R2921, classification!C:C, classification!B:B, "Not Found")</f>
      </c>
      <c r="Q2921" s="1" t="s">
        <v>5514</v>
      </c>
      <c r="R2921" s="2"/>
      <c r="S2921" s="2"/>
      <c r="T2921" s="2"/>
      <c r="U2921" s="2"/>
    </row>
    <row x14ac:dyDescent="0.25" r="2922" customHeight="1" ht="17.25">
      <c r="A2922" s="7">
        <v>2921</v>
      </c>
      <c r="B2922" s="1" t="s">
        <v>8261</v>
      </c>
      <c r="C2922" s="5">
        <f>CONCATENATE("PD", TEXT(A2922, "1000000"))</f>
      </c>
      <c r="D2922" s="7">
        <v>67</v>
      </c>
      <c r="E2922" s="5">
        <f>XLOOKUP(G2922, item_category!C:C, item_category!B:B, "Not Found")</f>
      </c>
      <c r="F2922" s="1" t="s">
        <v>5516</v>
      </c>
      <c r="G2922" s="5">
        <f>XLOOKUP(I2922, drug!B:B, drug!A:A, "Not Found")</f>
      </c>
      <c r="H2922" s="1" t="s">
        <v>1152</v>
      </c>
      <c r="I2922" s="7">
        <v>1</v>
      </c>
      <c r="J2922" s="5">
        <f>XLOOKUP(L2922, uom!C:C, uom!B:B, "Not Found")</f>
      </c>
      <c r="K2922" s="1" t="s">
        <v>5511</v>
      </c>
      <c r="L2922" s="5">
        <f>XLOOKUP(N2922, uom!C:C, uom!B:B, "Not Found")</f>
      </c>
      <c r="M2922" s="1" t="s">
        <v>5511</v>
      </c>
      <c r="N2922" s="8" t="s">
        <v>5512</v>
      </c>
      <c r="O2922" s="1" t="s">
        <v>5513</v>
      </c>
      <c r="P2922" s="5">
        <f>XLOOKUP(R2922, classification!C:C, classification!B:B, "Not Found")</f>
      </c>
      <c r="Q2922" s="1" t="s">
        <v>5514</v>
      </c>
      <c r="R2922" s="2"/>
      <c r="S2922" s="2"/>
      <c r="T2922" s="2"/>
      <c r="U2922" s="2"/>
    </row>
    <row x14ac:dyDescent="0.25" r="2923" customHeight="1" ht="17.25">
      <c r="A2923" s="7">
        <v>2922</v>
      </c>
      <c r="B2923" s="1" t="s">
        <v>8262</v>
      </c>
      <c r="C2923" s="5">
        <f>CONCATENATE("PD", TEXT(A2923, "1000000"))</f>
      </c>
      <c r="D2923" s="7">
        <v>67</v>
      </c>
      <c r="E2923" s="5">
        <f>XLOOKUP(G2923, item_category!C:C, item_category!B:B, "Not Found")</f>
      </c>
      <c r="F2923" s="1" t="s">
        <v>5516</v>
      </c>
      <c r="G2923" s="5">
        <f>XLOOKUP(I2923, drug!B:B, drug!A:A, "Not Found")</f>
      </c>
      <c r="H2923" s="1" t="s">
        <v>1152</v>
      </c>
      <c r="I2923" s="7">
        <v>1</v>
      </c>
      <c r="J2923" s="5">
        <f>XLOOKUP(L2923, uom!C:C, uom!B:B, "Not Found")</f>
      </c>
      <c r="K2923" s="1" t="s">
        <v>5511</v>
      </c>
      <c r="L2923" s="5">
        <f>XLOOKUP(N2923, uom!C:C, uom!B:B, "Not Found")</f>
      </c>
      <c r="M2923" s="1" t="s">
        <v>5511</v>
      </c>
      <c r="N2923" s="8" t="s">
        <v>5512</v>
      </c>
      <c r="O2923" s="1" t="s">
        <v>5513</v>
      </c>
      <c r="P2923" s="5">
        <f>XLOOKUP(R2923, classification!C:C, classification!B:B, "Not Found")</f>
      </c>
      <c r="Q2923" s="1" t="s">
        <v>5514</v>
      </c>
      <c r="R2923" s="2"/>
      <c r="S2923" s="2"/>
      <c r="T2923" s="2"/>
      <c r="U2923" s="2"/>
    </row>
    <row x14ac:dyDescent="0.25" r="2924" customHeight="1" ht="17.25">
      <c r="A2924" s="7">
        <v>2923</v>
      </c>
      <c r="B2924" s="1" t="s">
        <v>8263</v>
      </c>
      <c r="C2924" s="5">
        <f>CONCATENATE("PD", TEXT(A2924, "1000000"))</f>
      </c>
      <c r="D2924" s="7">
        <v>67</v>
      </c>
      <c r="E2924" s="5">
        <f>XLOOKUP(G2924, item_category!C:C, item_category!B:B, "Not Found")</f>
      </c>
      <c r="F2924" s="1" t="s">
        <v>5516</v>
      </c>
      <c r="G2924" s="5">
        <f>XLOOKUP(I2924, drug!B:B, drug!A:A, "Not Found")</f>
      </c>
      <c r="H2924" s="1" t="s">
        <v>1152</v>
      </c>
      <c r="I2924" s="7">
        <v>1</v>
      </c>
      <c r="J2924" s="5">
        <f>XLOOKUP(L2924, uom!C:C, uom!B:B, "Not Found")</f>
      </c>
      <c r="K2924" s="1" t="s">
        <v>5511</v>
      </c>
      <c r="L2924" s="5">
        <f>XLOOKUP(N2924, uom!C:C, uom!B:B, "Not Found")</f>
      </c>
      <c r="M2924" s="1" t="s">
        <v>5511</v>
      </c>
      <c r="N2924" s="8" t="s">
        <v>5512</v>
      </c>
      <c r="O2924" s="1" t="s">
        <v>5513</v>
      </c>
      <c r="P2924" s="5">
        <f>XLOOKUP(R2924, classification!C:C, classification!B:B, "Not Found")</f>
      </c>
      <c r="Q2924" s="1" t="s">
        <v>5514</v>
      </c>
      <c r="R2924" s="2"/>
      <c r="S2924" s="2"/>
      <c r="T2924" s="2"/>
      <c r="U2924" s="2"/>
    </row>
    <row x14ac:dyDescent="0.25" r="2925" customHeight="1" ht="17.25">
      <c r="A2925" s="7">
        <v>2924</v>
      </c>
      <c r="B2925" s="1" t="s">
        <v>8264</v>
      </c>
      <c r="C2925" s="5">
        <f>CONCATENATE("PD", TEXT(A2925, "1000000"))</f>
      </c>
      <c r="D2925" s="7">
        <v>67</v>
      </c>
      <c r="E2925" s="5">
        <f>XLOOKUP(G2925, item_category!C:C, item_category!B:B, "Not Found")</f>
      </c>
      <c r="F2925" s="1" t="s">
        <v>5516</v>
      </c>
      <c r="G2925" s="5">
        <f>XLOOKUP(I2925, drug!B:B, drug!A:A, "Not Found")</f>
      </c>
      <c r="H2925" s="1"/>
      <c r="I2925" s="7">
        <v>200</v>
      </c>
      <c r="J2925" s="5">
        <f>XLOOKUP(L2925, uom!C:C, uom!B:B, "Not Found")</f>
      </c>
      <c r="K2925" s="1" t="s">
        <v>7212</v>
      </c>
      <c r="L2925" s="5">
        <f>XLOOKUP(N2925, uom!C:C, uom!B:B, "Not Found")</f>
      </c>
      <c r="M2925" s="1" t="s">
        <v>7212</v>
      </c>
      <c r="N2925" s="8" t="s">
        <v>5524</v>
      </c>
      <c r="O2925" s="1" t="s">
        <v>5525</v>
      </c>
      <c r="P2925" s="5">
        <f>XLOOKUP(R2925, classification!C:C, classification!B:B, "Not Found")</f>
      </c>
      <c r="Q2925" s="1" t="s">
        <v>5514</v>
      </c>
      <c r="R2925" s="2"/>
      <c r="S2925" s="2"/>
      <c r="T2925" s="2"/>
      <c r="U2925" s="2"/>
    </row>
    <row x14ac:dyDescent="0.25" r="2926" customHeight="1" ht="17.25">
      <c r="A2926" s="7">
        <v>2925</v>
      </c>
      <c r="B2926" s="1" t="s">
        <v>8265</v>
      </c>
      <c r="C2926" s="5">
        <f>CONCATENATE("PD", TEXT(A2926, "1000000"))</f>
      </c>
      <c r="D2926" s="7">
        <v>67</v>
      </c>
      <c r="E2926" s="5">
        <f>XLOOKUP(G2926, item_category!C:C, item_category!B:B, "Not Found")</f>
      </c>
      <c r="F2926" s="1" t="s">
        <v>5516</v>
      </c>
      <c r="G2926" s="5">
        <f>XLOOKUP(I2926, drug!B:B, drug!A:A, "Not Found")</f>
      </c>
      <c r="H2926" s="1" t="s">
        <v>1152</v>
      </c>
      <c r="I2926" s="7">
        <v>1</v>
      </c>
      <c r="J2926" s="5">
        <f>XLOOKUP(L2926, uom!C:C, uom!B:B, "Not Found")</f>
      </c>
      <c r="K2926" s="1" t="s">
        <v>5511</v>
      </c>
      <c r="L2926" s="5">
        <f>XLOOKUP(N2926, uom!C:C, uom!B:B, "Not Found")</f>
      </c>
      <c r="M2926" s="1" t="s">
        <v>5511</v>
      </c>
      <c r="N2926" s="8" t="s">
        <v>5512</v>
      </c>
      <c r="O2926" s="1" t="s">
        <v>5513</v>
      </c>
      <c r="P2926" s="5">
        <f>XLOOKUP(R2926, classification!C:C, classification!B:B, "Not Found")</f>
      </c>
      <c r="Q2926" s="1" t="s">
        <v>5514</v>
      </c>
      <c r="R2926" s="2"/>
      <c r="S2926" s="2"/>
      <c r="T2926" s="2"/>
      <c r="U2926" s="2"/>
    </row>
    <row x14ac:dyDescent="0.25" r="2927" customHeight="1" ht="17.25">
      <c r="A2927" s="7">
        <v>2926</v>
      </c>
      <c r="B2927" s="1" t="s">
        <v>8266</v>
      </c>
      <c r="C2927" s="5">
        <f>CONCATENATE("PD", TEXT(A2927, "1000000"))</f>
      </c>
      <c r="D2927" s="7">
        <v>67</v>
      </c>
      <c r="E2927" s="5">
        <f>XLOOKUP(G2927, item_category!C:C, item_category!B:B, "Not Found")</f>
      </c>
      <c r="F2927" s="1" t="s">
        <v>5516</v>
      </c>
      <c r="G2927" s="5">
        <f>XLOOKUP(I2927, drug!B:B, drug!A:A, "Not Found")</f>
      </c>
      <c r="H2927" s="1" t="s">
        <v>1152</v>
      </c>
      <c r="I2927" s="7">
        <v>1</v>
      </c>
      <c r="J2927" s="5">
        <f>XLOOKUP(L2927, uom!C:C, uom!B:B, "Not Found")</f>
      </c>
      <c r="K2927" s="1" t="s">
        <v>5511</v>
      </c>
      <c r="L2927" s="5">
        <f>XLOOKUP(N2927, uom!C:C, uom!B:B, "Not Found")</f>
      </c>
      <c r="M2927" s="1" t="s">
        <v>5511</v>
      </c>
      <c r="N2927" s="8" t="s">
        <v>5512</v>
      </c>
      <c r="O2927" s="1" t="s">
        <v>5513</v>
      </c>
      <c r="P2927" s="5">
        <f>XLOOKUP(R2927, classification!C:C, classification!B:B, "Not Found")</f>
      </c>
      <c r="Q2927" s="1" t="s">
        <v>5514</v>
      </c>
      <c r="R2927" s="2"/>
      <c r="S2927" s="2"/>
      <c r="T2927" s="2"/>
      <c r="U2927" s="2"/>
    </row>
    <row x14ac:dyDescent="0.25" r="2928" customHeight="1" ht="17.25">
      <c r="A2928" s="7">
        <v>2927</v>
      </c>
      <c r="B2928" s="1" t="s">
        <v>8267</v>
      </c>
      <c r="C2928" s="5">
        <f>CONCATENATE("PD", TEXT(A2928, "1000000"))</f>
      </c>
      <c r="D2928" s="7">
        <v>67</v>
      </c>
      <c r="E2928" s="5">
        <f>XLOOKUP(G2928, item_category!C:C, item_category!B:B, "Not Found")</f>
      </c>
      <c r="F2928" s="1" t="s">
        <v>5516</v>
      </c>
      <c r="G2928" s="5">
        <f>XLOOKUP(I2928, drug!B:B, drug!A:A, "Not Found")</f>
      </c>
      <c r="H2928" s="1" t="s">
        <v>1152</v>
      </c>
      <c r="I2928" s="7">
        <v>1</v>
      </c>
      <c r="J2928" s="5">
        <f>XLOOKUP(L2928, uom!C:C, uom!B:B, "Not Found")</f>
      </c>
      <c r="K2928" s="1" t="s">
        <v>5511</v>
      </c>
      <c r="L2928" s="5">
        <f>XLOOKUP(N2928, uom!C:C, uom!B:B, "Not Found")</f>
      </c>
      <c r="M2928" s="1" t="s">
        <v>5511</v>
      </c>
      <c r="N2928" s="8" t="s">
        <v>5512</v>
      </c>
      <c r="O2928" s="1" t="s">
        <v>5513</v>
      </c>
      <c r="P2928" s="5">
        <f>XLOOKUP(R2928, classification!C:C, classification!B:B, "Not Found")</f>
      </c>
      <c r="Q2928" s="1" t="s">
        <v>5514</v>
      </c>
      <c r="R2928" s="2"/>
      <c r="S2928" s="2"/>
      <c r="T2928" s="2"/>
      <c r="U2928" s="2"/>
    </row>
    <row x14ac:dyDescent="0.25" r="2929" customHeight="1" ht="17.25">
      <c r="A2929" s="7">
        <v>2928</v>
      </c>
      <c r="B2929" s="1" t="s">
        <v>8268</v>
      </c>
      <c r="C2929" s="5">
        <f>CONCATENATE("PD", TEXT(A2929, "1000000"))</f>
      </c>
      <c r="D2929" s="7">
        <v>67</v>
      </c>
      <c r="E2929" s="5">
        <f>XLOOKUP(G2929, item_category!C:C, item_category!B:B, "Not Found")</f>
      </c>
      <c r="F2929" s="1" t="s">
        <v>5516</v>
      </c>
      <c r="G2929" s="5">
        <f>XLOOKUP(I2929, drug!B:B, drug!A:A, "Not Found")</f>
      </c>
      <c r="H2929" s="1" t="s">
        <v>1152</v>
      </c>
      <c r="I2929" s="7">
        <v>1</v>
      </c>
      <c r="J2929" s="5">
        <f>XLOOKUP(L2929, uom!C:C, uom!B:B, "Not Found")</f>
      </c>
      <c r="K2929" s="1" t="s">
        <v>5511</v>
      </c>
      <c r="L2929" s="5">
        <f>XLOOKUP(N2929, uom!C:C, uom!B:B, "Not Found")</f>
      </c>
      <c r="M2929" s="1" t="s">
        <v>5511</v>
      </c>
      <c r="N2929" s="8" t="s">
        <v>5512</v>
      </c>
      <c r="O2929" s="1" t="s">
        <v>5513</v>
      </c>
      <c r="P2929" s="5">
        <f>XLOOKUP(R2929, classification!C:C, classification!B:B, "Not Found")</f>
      </c>
      <c r="Q2929" s="1" t="s">
        <v>5514</v>
      </c>
      <c r="R2929" s="2"/>
      <c r="S2929" s="2"/>
      <c r="T2929" s="2"/>
      <c r="U2929" s="2"/>
    </row>
    <row x14ac:dyDescent="0.25" r="2930" customHeight="1" ht="17.25">
      <c r="A2930" s="7">
        <v>2929</v>
      </c>
      <c r="B2930" s="1" t="s">
        <v>8269</v>
      </c>
      <c r="C2930" s="5">
        <f>CONCATENATE("PD", TEXT(A2930, "1000000"))</f>
      </c>
      <c r="D2930" s="7">
        <v>67</v>
      </c>
      <c r="E2930" s="5">
        <f>XLOOKUP(G2930, item_category!C:C, item_category!B:B, "Not Found")</f>
      </c>
      <c r="F2930" s="1" t="s">
        <v>5516</v>
      </c>
      <c r="G2930" s="5">
        <f>XLOOKUP(I2930, drug!B:B, drug!A:A, "Not Found")</f>
      </c>
      <c r="H2930" s="1" t="s">
        <v>1152</v>
      </c>
      <c r="I2930" s="7">
        <v>1</v>
      </c>
      <c r="J2930" s="5">
        <f>XLOOKUP(L2930, uom!C:C, uom!B:B, "Not Found")</f>
      </c>
      <c r="K2930" s="1" t="s">
        <v>5511</v>
      </c>
      <c r="L2930" s="5">
        <f>XLOOKUP(N2930, uom!C:C, uom!B:B, "Not Found")</f>
      </c>
      <c r="M2930" s="1" t="s">
        <v>5511</v>
      </c>
      <c r="N2930" s="8" t="s">
        <v>5512</v>
      </c>
      <c r="O2930" s="1" t="s">
        <v>5513</v>
      </c>
      <c r="P2930" s="5">
        <f>XLOOKUP(R2930, classification!C:C, classification!B:B, "Not Found")</f>
      </c>
      <c r="Q2930" s="1" t="s">
        <v>5514</v>
      </c>
      <c r="R2930" s="2"/>
      <c r="S2930" s="2"/>
      <c r="T2930" s="2"/>
      <c r="U2930" s="2"/>
    </row>
    <row x14ac:dyDescent="0.25" r="2931" customHeight="1" ht="17.25">
      <c r="A2931" s="7">
        <v>2930</v>
      </c>
      <c r="B2931" s="1" t="s">
        <v>8270</v>
      </c>
      <c r="C2931" s="5">
        <f>CONCATENATE("PD", TEXT(A2931, "1000000"))</f>
      </c>
      <c r="D2931" s="7">
        <v>67</v>
      </c>
      <c r="E2931" s="5">
        <f>XLOOKUP(G2931, item_category!C:C, item_category!B:B, "Not Found")</f>
      </c>
      <c r="F2931" s="1" t="s">
        <v>5516</v>
      </c>
      <c r="G2931" s="5">
        <f>XLOOKUP(I2931, drug!B:B, drug!A:A, "Not Found")</f>
      </c>
      <c r="H2931" s="1" t="s">
        <v>1152</v>
      </c>
      <c r="I2931" s="7">
        <v>1</v>
      </c>
      <c r="J2931" s="5">
        <f>XLOOKUP(L2931, uom!C:C, uom!B:B, "Not Found")</f>
      </c>
      <c r="K2931" s="1" t="s">
        <v>5511</v>
      </c>
      <c r="L2931" s="5">
        <f>XLOOKUP(N2931, uom!C:C, uom!B:B, "Not Found")</f>
      </c>
      <c r="M2931" s="1" t="s">
        <v>5511</v>
      </c>
      <c r="N2931" s="8" t="s">
        <v>5512</v>
      </c>
      <c r="O2931" s="1" t="s">
        <v>5513</v>
      </c>
      <c r="P2931" s="5">
        <f>XLOOKUP(R2931, classification!C:C, classification!B:B, "Not Found")</f>
      </c>
      <c r="Q2931" s="1" t="s">
        <v>5514</v>
      </c>
      <c r="R2931" s="2"/>
      <c r="S2931" s="2"/>
      <c r="T2931" s="2"/>
      <c r="U2931" s="2"/>
    </row>
    <row x14ac:dyDescent="0.25" r="2932" customHeight="1" ht="17.25">
      <c r="A2932" s="7">
        <v>2931</v>
      </c>
      <c r="B2932" s="1" t="s">
        <v>8271</v>
      </c>
      <c r="C2932" s="5">
        <f>CONCATENATE("PD", TEXT(A2932, "1000000"))</f>
      </c>
      <c r="D2932" s="7">
        <v>67</v>
      </c>
      <c r="E2932" s="5">
        <f>XLOOKUP(G2932, item_category!C:C, item_category!B:B, "Not Found")</f>
      </c>
      <c r="F2932" s="1" t="s">
        <v>5516</v>
      </c>
      <c r="G2932" s="5">
        <f>XLOOKUP(I2932, drug!B:B, drug!A:A, "Not Found")</f>
      </c>
      <c r="H2932" s="1" t="s">
        <v>1152</v>
      </c>
      <c r="I2932" s="7">
        <v>1</v>
      </c>
      <c r="J2932" s="5">
        <f>XLOOKUP(L2932, uom!C:C, uom!B:B, "Not Found")</f>
      </c>
      <c r="K2932" s="1" t="s">
        <v>5511</v>
      </c>
      <c r="L2932" s="5">
        <f>XLOOKUP(N2932, uom!C:C, uom!B:B, "Not Found")</f>
      </c>
      <c r="M2932" s="1" t="s">
        <v>5511</v>
      </c>
      <c r="N2932" s="8" t="s">
        <v>5512</v>
      </c>
      <c r="O2932" s="1" t="s">
        <v>5513</v>
      </c>
      <c r="P2932" s="5">
        <f>XLOOKUP(R2932, classification!C:C, classification!B:B, "Not Found")</f>
      </c>
      <c r="Q2932" s="1" t="s">
        <v>5514</v>
      </c>
      <c r="R2932" s="2"/>
      <c r="S2932" s="2"/>
      <c r="T2932" s="2"/>
      <c r="U2932" s="2"/>
    </row>
    <row x14ac:dyDescent="0.25" r="2933" customHeight="1" ht="17.25">
      <c r="A2933" s="7">
        <v>2932</v>
      </c>
      <c r="B2933" s="1" t="s">
        <v>8272</v>
      </c>
      <c r="C2933" s="5">
        <f>CONCATENATE("PD", TEXT(A2933, "1000000"))</f>
      </c>
      <c r="D2933" s="7">
        <v>67</v>
      </c>
      <c r="E2933" s="5">
        <f>XLOOKUP(G2933, item_category!C:C, item_category!B:B, "Not Found")</f>
      </c>
      <c r="F2933" s="1" t="s">
        <v>5516</v>
      </c>
      <c r="G2933" s="5">
        <f>XLOOKUP(I2933, drug!B:B, drug!A:A, "Not Found")</f>
      </c>
      <c r="H2933" s="1" t="s">
        <v>1152</v>
      </c>
      <c r="I2933" s="7">
        <v>1</v>
      </c>
      <c r="J2933" s="5">
        <f>XLOOKUP(L2933, uom!C:C, uom!B:B, "Not Found")</f>
      </c>
      <c r="K2933" s="1" t="s">
        <v>5511</v>
      </c>
      <c r="L2933" s="5">
        <f>XLOOKUP(N2933, uom!C:C, uom!B:B, "Not Found")</f>
      </c>
      <c r="M2933" s="1" t="s">
        <v>5511</v>
      </c>
      <c r="N2933" s="8" t="s">
        <v>5512</v>
      </c>
      <c r="O2933" s="1" t="s">
        <v>5513</v>
      </c>
      <c r="P2933" s="5">
        <f>XLOOKUP(R2933, classification!C:C, classification!B:B, "Not Found")</f>
      </c>
      <c r="Q2933" s="1" t="s">
        <v>5514</v>
      </c>
      <c r="R2933" s="2"/>
      <c r="S2933" s="2"/>
      <c r="T2933" s="2"/>
      <c r="U2933" s="2"/>
    </row>
    <row x14ac:dyDescent="0.25" r="2934" customHeight="1" ht="17.25">
      <c r="A2934" s="7">
        <v>2933</v>
      </c>
      <c r="B2934" s="1" t="s">
        <v>8273</v>
      </c>
      <c r="C2934" s="5">
        <f>CONCATENATE("PD", TEXT(A2934, "1000000"))</f>
      </c>
      <c r="D2934" s="7">
        <v>67</v>
      </c>
      <c r="E2934" s="5">
        <f>XLOOKUP(G2934, item_category!C:C, item_category!B:B, "Not Found")</f>
      </c>
      <c r="F2934" s="1" t="s">
        <v>5516</v>
      </c>
      <c r="G2934" s="5">
        <f>XLOOKUP(I2934, drug!B:B, drug!A:A, "Not Found")</f>
      </c>
      <c r="H2934" s="1"/>
      <c r="I2934" s="7">
        <v>1</v>
      </c>
      <c r="J2934" s="5">
        <f>XLOOKUP(L2934, uom!C:C, uom!B:B, "Not Found")</f>
      </c>
      <c r="K2934" s="1" t="s">
        <v>5511</v>
      </c>
      <c r="L2934" s="5">
        <f>XLOOKUP(N2934, uom!C:C, uom!B:B, "Not Found")</f>
      </c>
      <c r="M2934" s="1" t="s">
        <v>5511</v>
      </c>
      <c r="N2934" s="8" t="s">
        <v>5512</v>
      </c>
      <c r="O2934" s="1" t="s">
        <v>5513</v>
      </c>
      <c r="P2934" s="5">
        <f>XLOOKUP(R2934, classification!C:C, classification!B:B, "Not Found")</f>
      </c>
      <c r="Q2934" s="1" t="s">
        <v>5514</v>
      </c>
      <c r="R2934" s="2"/>
      <c r="S2934" s="2"/>
      <c r="T2934" s="2"/>
      <c r="U2934" s="2"/>
    </row>
    <row x14ac:dyDescent="0.25" r="2935" customHeight="1" ht="17.25">
      <c r="A2935" s="7">
        <v>2934</v>
      </c>
      <c r="B2935" s="1" t="s">
        <v>8274</v>
      </c>
      <c r="C2935" s="5">
        <f>CONCATENATE("PD", TEXT(A2935, "1000000"))</f>
      </c>
      <c r="D2935" s="7">
        <v>67</v>
      </c>
      <c r="E2935" s="5">
        <f>XLOOKUP(G2935, item_category!C:C, item_category!B:B, "Not Found")</f>
      </c>
      <c r="F2935" s="1" t="s">
        <v>5516</v>
      </c>
      <c r="G2935" s="5">
        <f>XLOOKUP(I2935, drug!B:B, drug!A:A, "Not Found")</f>
      </c>
      <c r="H2935" s="1"/>
      <c r="I2935" s="7">
        <v>1</v>
      </c>
      <c r="J2935" s="5">
        <f>XLOOKUP(L2935, uom!C:C, uom!B:B, "Not Found")</f>
      </c>
      <c r="K2935" s="1" t="s">
        <v>5511</v>
      </c>
      <c r="L2935" s="5">
        <f>XLOOKUP(N2935, uom!C:C, uom!B:B, "Not Found")</f>
      </c>
      <c r="M2935" s="1" t="s">
        <v>5511</v>
      </c>
      <c r="N2935" s="8" t="s">
        <v>5512</v>
      </c>
      <c r="O2935" s="1" t="s">
        <v>5513</v>
      </c>
      <c r="P2935" s="5">
        <f>XLOOKUP(R2935, classification!C:C, classification!B:B, "Not Found")</f>
      </c>
      <c r="Q2935" s="1" t="s">
        <v>5514</v>
      </c>
      <c r="R2935" s="2"/>
      <c r="S2935" s="2"/>
      <c r="T2935" s="2"/>
      <c r="U2935" s="2"/>
    </row>
    <row x14ac:dyDescent="0.25" r="2936" customHeight="1" ht="17.25">
      <c r="A2936" s="7">
        <v>2935</v>
      </c>
      <c r="B2936" s="1" t="s">
        <v>8275</v>
      </c>
      <c r="C2936" s="5">
        <f>CONCATENATE("PD", TEXT(A2936, "1000000"))</f>
      </c>
      <c r="D2936" s="7">
        <v>67</v>
      </c>
      <c r="E2936" s="5">
        <f>XLOOKUP(G2936, item_category!C:C, item_category!B:B, "Not Found")</f>
      </c>
      <c r="F2936" s="1" t="s">
        <v>5516</v>
      </c>
      <c r="G2936" s="5">
        <f>XLOOKUP(I2936, drug!B:B, drug!A:A, "Not Found")</f>
      </c>
      <c r="H2936" s="1"/>
      <c r="I2936" s="7">
        <v>1</v>
      </c>
      <c r="J2936" s="5">
        <f>XLOOKUP(L2936, uom!C:C, uom!B:B, "Not Found")</f>
      </c>
      <c r="K2936" s="1" t="s">
        <v>5511</v>
      </c>
      <c r="L2936" s="5">
        <f>XLOOKUP(N2936, uom!C:C, uom!B:B, "Not Found")</f>
      </c>
      <c r="M2936" s="1" t="s">
        <v>5511</v>
      </c>
      <c r="N2936" s="8" t="s">
        <v>5512</v>
      </c>
      <c r="O2936" s="1" t="s">
        <v>5513</v>
      </c>
      <c r="P2936" s="5">
        <f>XLOOKUP(R2936, classification!C:C, classification!B:B, "Not Found")</f>
      </c>
      <c r="Q2936" s="1" t="s">
        <v>5514</v>
      </c>
      <c r="R2936" s="2"/>
      <c r="S2936" s="2"/>
      <c r="T2936" s="2"/>
      <c r="U2936" s="2"/>
    </row>
    <row x14ac:dyDescent="0.25" r="2937" customHeight="1" ht="17.25">
      <c r="A2937" s="7">
        <v>2936</v>
      </c>
      <c r="B2937" s="1" t="s">
        <v>8276</v>
      </c>
      <c r="C2937" s="5">
        <f>CONCATENATE("PD", TEXT(A2937, "1000000"))</f>
      </c>
      <c r="D2937" s="7">
        <v>67</v>
      </c>
      <c r="E2937" s="5">
        <f>XLOOKUP(G2937, item_category!C:C, item_category!B:B, "Not Found")</f>
      </c>
      <c r="F2937" s="1" t="s">
        <v>5516</v>
      </c>
      <c r="G2937" s="5">
        <f>XLOOKUP(I2937, drug!B:B, drug!A:A, "Not Found")</f>
      </c>
      <c r="H2937" s="1"/>
      <c r="I2937" s="7">
        <v>1</v>
      </c>
      <c r="J2937" s="5">
        <f>XLOOKUP(L2937, uom!C:C, uom!B:B, "Not Found")</f>
      </c>
      <c r="K2937" s="1" t="s">
        <v>5511</v>
      </c>
      <c r="L2937" s="5">
        <f>XLOOKUP(N2937, uom!C:C, uom!B:B, "Not Found")</f>
      </c>
      <c r="M2937" s="1" t="s">
        <v>5511</v>
      </c>
      <c r="N2937" s="8" t="s">
        <v>5512</v>
      </c>
      <c r="O2937" s="1" t="s">
        <v>5513</v>
      </c>
      <c r="P2937" s="5">
        <f>XLOOKUP(R2937, classification!C:C, classification!B:B, "Not Found")</f>
      </c>
      <c r="Q2937" s="1" t="s">
        <v>5514</v>
      </c>
      <c r="R2937" s="2"/>
      <c r="S2937" s="2"/>
      <c r="T2937" s="2"/>
      <c r="U2937" s="2"/>
    </row>
    <row x14ac:dyDescent="0.25" r="2938" customHeight="1" ht="17.25">
      <c r="A2938" s="7">
        <v>2937</v>
      </c>
      <c r="B2938" s="1" t="s">
        <v>8277</v>
      </c>
      <c r="C2938" s="5">
        <f>CONCATENATE("PD", TEXT(A2938, "1000000"))</f>
      </c>
      <c r="D2938" s="7">
        <v>67</v>
      </c>
      <c r="E2938" s="5">
        <f>XLOOKUP(G2938, item_category!C:C, item_category!B:B, "Not Found")</f>
      </c>
      <c r="F2938" s="1" t="s">
        <v>5516</v>
      </c>
      <c r="G2938" s="5">
        <f>XLOOKUP(I2938, drug!B:B, drug!A:A, "Not Found")</f>
      </c>
      <c r="H2938" s="1" t="s">
        <v>461</v>
      </c>
      <c r="I2938" s="7">
        <v>1</v>
      </c>
      <c r="J2938" s="5">
        <f>XLOOKUP(L2938, uom!C:C, uom!B:B, "Not Found")</f>
      </c>
      <c r="K2938" s="1" t="s">
        <v>5511</v>
      </c>
      <c r="L2938" s="5">
        <f>XLOOKUP(N2938, uom!C:C, uom!B:B, "Not Found")</f>
      </c>
      <c r="M2938" s="1" t="s">
        <v>5511</v>
      </c>
      <c r="N2938" s="8" t="s">
        <v>5512</v>
      </c>
      <c r="O2938" s="1" t="s">
        <v>5513</v>
      </c>
      <c r="P2938" s="5">
        <f>XLOOKUP(R2938, classification!C:C, classification!B:B, "Not Found")</f>
      </c>
      <c r="Q2938" s="1" t="s">
        <v>5514</v>
      </c>
      <c r="R2938" s="2"/>
      <c r="S2938" s="2"/>
      <c r="T2938" s="2"/>
      <c r="U2938" s="2"/>
    </row>
    <row x14ac:dyDescent="0.25" r="2939" customHeight="1" ht="17.25">
      <c r="A2939" s="7">
        <v>2938</v>
      </c>
      <c r="B2939" s="1" t="s">
        <v>8278</v>
      </c>
      <c r="C2939" s="5">
        <f>CONCATENATE("PD", TEXT(A2939, "1000000"))</f>
      </c>
      <c r="D2939" s="7">
        <v>67</v>
      </c>
      <c r="E2939" s="5">
        <f>XLOOKUP(G2939, item_category!C:C, item_category!B:B, "Not Found")</f>
      </c>
      <c r="F2939" s="1" t="s">
        <v>5516</v>
      </c>
      <c r="G2939" s="5">
        <f>XLOOKUP(I2939, drug!B:B, drug!A:A, "Not Found")</f>
      </c>
      <c r="H2939" s="1"/>
      <c r="I2939" s="7">
        <v>1</v>
      </c>
      <c r="J2939" s="5">
        <f>XLOOKUP(L2939, uom!C:C, uom!B:B, "Not Found")</f>
      </c>
      <c r="K2939" s="1" t="s">
        <v>5511</v>
      </c>
      <c r="L2939" s="5">
        <f>XLOOKUP(N2939, uom!C:C, uom!B:B, "Not Found")</f>
      </c>
      <c r="M2939" s="1" t="s">
        <v>5511</v>
      </c>
      <c r="N2939" s="8" t="s">
        <v>5512</v>
      </c>
      <c r="O2939" s="1" t="s">
        <v>5513</v>
      </c>
      <c r="P2939" s="5">
        <f>XLOOKUP(R2939, classification!C:C, classification!B:B, "Not Found")</f>
      </c>
      <c r="Q2939" s="1" t="s">
        <v>5514</v>
      </c>
      <c r="R2939" s="2"/>
      <c r="S2939" s="2"/>
      <c r="T2939" s="2"/>
      <c r="U2939" s="2"/>
    </row>
    <row x14ac:dyDescent="0.25" r="2940" customHeight="1" ht="17.25">
      <c r="A2940" s="7">
        <v>2939</v>
      </c>
      <c r="B2940" s="1" t="s">
        <v>8279</v>
      </c>
      <c r="C2940" s="5">
        <f>CONCATENATE("PD", TEXT(A2940, "1000000"))</f>
      </c>
      <c r="D2940" s="7">
        <v>67</v>
      </c>
      <c r="E2940" s="5">
        <f>XLOOKUP(G2940, item_category!C:C, item_category!B:B, "Not Found")</f>
      </c>
      <c r="F2940" s="1" t="s">
        <v>5516</v>
      </c>
      <c r="G2940" s="5">
        <f>XLOOKUP(I2940, drug!B:B, drug!A:A, "Not Found")</f>
      </c>
      <c r="H2940" s="1"/>
      <c r="I2940" s="7">
        <v>1</v>
      </c>
      <c r="J2940" s="5">
        <f>XLOOKUP(L2940, uom!C:C, uom!B:B, "Not Found")</f>
      </c>
      <c r="K2940" s="1" t="s">
        <v>5511</v>
      </c>
      <c r="L2940" s="5">
        <f>XLOOKUP(N2940, uom!C:C, uom!B:B, "Not Found")</f>
      </c>
      <c r="M2940" s="1" t="s">
        <v>5511</v>
      </c>
      <c r="N2940" s="8" t="s">
        <v>5512</v>
      </c>
      <c r="O2940" s="1" t="s">
        <v>5513</v>
      </c>
      <c r="P2940" s="5">
        <f>XLOOKUP(R2940, classification!C:C, classification!B:B, "Not Found")</f>
      </c>
      <c r="Q2940" s="1" t="s">
        <v>5514</v>
      </c>
      <c r="R2940" s="2"/>
      <c r="S2940" s="2"/>
      <c r="T2940" s="2"/>
      <c r="U2940" s="2"/>
    </row>
    <row x14ac:dyDescent="0.25" r="2941" customHeight="1" ht="17.25">
      <c r="A2941" s="7">
        <v>2940</v>
      </c>
      <c r="B2941" s="1" t="s">
        <v>8280</v>
      </c>
      <c r="C2941" s="5">
        <f>CONCATENATE("PD", TEXT(A2941, "1000000"))</f>
      </c>
      <c r="D2941" s="7">
        <v>67</v>
      </c>
      <c r="E2941" s="5">
        <f>XLOOKUP(G2941, item_category!C:C, item_category!B:B, "Not Found")</f>
      </c>
      <c r="F2941" s="1" t="s">
        <v>5516</v>
      </c>
      <c r="G2941" s="5">
        <f>XLOOKUP(I2941, drug!B:B, drug!A:A, "Not Found")</f>
      </c>
      <c r="H2941" s="1" t="s">
        <v>753</v>
      </c>
      <c r="I2941" s="7">
        <v>1</v>
      </c>
      <c r="J2941" s="5">
        <f>XLOOKUP(L2941, uom!C:C, uom!B:B, "Not Found")</f>
      </c>
      <c r="K2941" s="1" t="s">
        <v>5511</v>
      </c>
      <c r="L2941" s="5">
        <f>XLOOKUP(N2941, uom!C:C, uom!B:B, "Not Found")</f>
      </c>
      <c r="M2941" s="1" t="s">
        <v>5511</v>
      </c>
      <c r="N2941" s="8" t="s">
        <v>5512</v>
      </c>
      <c r="O2941" s="1" t="s">
        <v>5513</v>
      </c>
      <c r="P2941" s="5">
        <f>XLOOKUP(R2941, classification!C:C, classification!B:B, "Not Found")</f>
      </c>
      <c r="Q2941" s="1" t="s">
        <v>5514</v>
      </c>
      <c r="R2941" s="2"/>
      <c r="S2941" s="2"/>
      <c r="T2941" s="2"/>
      <c r="U2941" s="2"/>
    </row>
    <row x14ac:dyDescent="0.25" r="2942" customHeight="1" ht="17.25">
      <c r="A2942" s="7">
        <v>2941</v>
      </c>
      <c r="B2942" s="1" t="s">
        <v>8281</v>
      </c>
      <c r="C2942" s="5">
        <f>CONCATENATE("PD", TEXT(A2942, "1000000"))</f>
      </c>
      <c r="D2942" s="7">
        <v>67</v>
      </c>
      <c r="E2942" s="5">
        <f>XLOOKUP(G2942, item_category!C:C, item_category!B:B, "Not Found")</f>
      </c>
      <c r="F2942" s="1" t="s">
        <v>5516</v>
      </c>
      <c r="G2942" s="5">
        <f>XLOOKUP(I2942, drug!B:B, drug!A:A, "Not Found")</f>
      </c>
      <c r="H2942" s="1" t="s">
        <v>753</v>
      </c>
      <c r="I2942" s="7">
        <v>1</v>
      </c>
      <c r="J2942" s="5">
        <f>XLOOKUP(L2942, uom!C:C, uom!B:B, "Not Found")</f>
      </c>
      <c r="K2942" s="1" t="s">
        <v>5511</v>
      </c>
      <c r="L2942" s="5">
        <f>XLOOKUP(N2942, uom!C:C, uom!B:B, "Not Found")</f>
      </c>
      <c r="M2942" s="1" t="s">
        <v>5511</v>
      </c>
      <c r="N2942" s="8" t="s">
        <v>5512</v>
      </c>
      <c r="O2942" s="1" t="s">
        <v>5513</v>
      </c>
      <c r="P2942" s="5">
        <f>XLOOKUP(R2942, classification!C:C, classification!B:B, "Not Found")</f>
      </c>
      <c r="Q2942" s="1" t="s">
        <v>5514</v>
      </c>
      <c r="R2942" s="2"/>
      <c r="S2942" s="2"/>
      <c r="T2942" s="2"/>
      <c r="U2942" s="2"/>
    </row>
    <row x14ac:dyDescent="0.25" r="2943" customHeight="1" ht="17.25">
      <c r="A2943" s="7">
        <v>2942</v>
      </c>
      <c r="B2943" s="1" t="s">
        <v>8282</v>
      </c>
      <c r="C2943" s="5">
        <f>CONCATENATE("PD", TEXT(A2943, "1000000"))</f>
      </c>
      <c r="D2943" s="7">
        <v>67</v>
      </c>
      <c r="E2943" s="5">
        <f>XLOOKUP(G2943, item_category!C:C, item_category!B:B, "Not Found")</f>
      </c>
      <c r="F2943" s="1" t="s">
        <v>5516</v>
      </c>
      <c r="G2943" s="5">
        <f>XLOOKUP(I2943, drug!B:B, drug!A:A, "Not Found")</f>
      </c>
      <c r="H2943" s="1" t="s">
        <v>753</v>
      </c>
      <c r="I2943" s="7">
        <v>1</v>
      </c>
      <c r="J2943" s="5">
        <f>XLOOKUP(L2943, uom!C:C, uom!B:B, "Not Found")</f>
      </c>
      <c r="K2943" s="1" t="s">
        <v>5511</v>
      </c>
      <c r="L2943" s="5">
        <f>XLOOKUP(N2943, uom!C:C, uom!B:B, "Not Found")</f>
      </c>
      <c r="M2943" s="1" t="s">
        <v>5511</v>
      </c>
      <c r="N2943" s="8" t="s">
        <v>5512</v>
      </c>
      <c r="O2943" s="1" t="s">
        <v>5513</v>
      </c>
      <c r="P2943" s="5">
        <f>XLOOKUP(R2943, classification!C:C, classification!B:B, "Not Found")</f>
      </c>
      <c r="Q2943" s="1" t="s">
        <v>5514</v>
      </c>
      <c r="R2943" s="2"/>
      <c r="S2943" s="2"/>
      <c r="T2943" s="2"/>
      <c r="U2943" s="2"/>
    </row>
    <row x14ac:dyDescent="0.25" r="2944" customHeight="1" ht="17.25">
      <c r="A2944" s="7">
        <v>2943</v>
      </c>
      <c r="B2944" s="1" t="s">
        <v>8283</v>
      </c>
      <c r="C2944" s="5">
        <f>CONCATENATE("PD", TEXT(A2944, "1000000"))</f>
      </c>
      <c r="D2944" s="7">
        <v>67</v>
      </c>
      <c r="E2944" s="5">
        <f>XLOOKUP(G2944, item_category!C:C, item_category!B:B, "Not Found")</f>
      </c>
      <c r="F2944" s="1" t="s">
        <v>5516</v>
      </c>
      <c r="G2944" s="5">
        <f>XLOOKUP(I2944, drug!B:B, drug!A:A, "Not Found")</f>
      </c>
      <c r="H2944" s="1"/>
      <c r="I2944" s="7">
        <v>1</v>
      </c>
      <c r="J2944" s="5">
        <f>XLOOKUP(L2944, uom!C:C, uom!B:B, "Not Found")</f>
      </c>
      <c r="K2944" s="1" t="s">
        <v>5511</v>
      </c>
      <c r="L2944" s="5">
        <f>XLOOKUP(N2944, uom!C:C, uom!B:B, "Not Found")</f>
      </c>
      <c r="M2944" s="1" t="s">
        <v>5511</v>
      </c>
      <c r="N2944" s="8" t="s">
        <v>5512</v>
      </c>
      <c r="O2944" s="1" t="s">
        <v>5513</v>
      </c>
      <c r="P2944" s="5">
        <f>XLOOKUP(R2944, classification!C:C, classification!B:B, "Not Found")</f>
      </c>
      <c r="Q2944" s="1" t="s">
        <v>5514</v>
      </c>
      <c r="R2944" s="2"/>
      <c r="S2944" s="2"/>
      <c r="T2944" s="2"/>
      <c r="U2944" s="2"/>
    </row>
    <row x14ac:dyDescent="0.25" r="2945" customHeight="1" ht="17.25">
      <c r="A2945" s="7">
        <v>2944</v>
      </c>
      <c r="B2945" s="1" t="s">
        <v>8284</v>
      </c>
      <c r="C2945" s="5">
        <f>CONCATENATE("PD", TEXT(A2945, "1000000"))</f>
      </c>
      <c r="D2945" s="7">
        <v>67</v>
      </c>
      <c r="E2945" s="5">
        <f>XLOOKUP(G2945, item_category!C:C, item_category!B:B, "Not Found")</f>
      </c>
      <c r="F2945" s="1" t="s">
        <v>5516</v>
      </c>
      <c r="G2945" s="5">
        <f>XLOOKUP(I2945, drug!B:B, drug!A:A, "Not Found")</f>
      </c>
      <c r="H2945" s="1" t="s">
        <v>612</v>
      </c>
      <c r="I2945" s="7">
        <v>100</v>
      </c>
      <c r="J2945" s="5">
        <f>XLOOKUP(L2945, uom!C:C, uom!B:B, "Not Found")</f>
      </c>
      <c r="K2945" s="1" t="s">
        <v>7212</v>
      </c>
      <c r="L2945" s="5">
        <f>XLOOKUP(N2945, uom!C:C, uom!B:B, "Not Found")</f>
      </c>
      <c r="M2945" s="1" t="s">
        <v>7212</v>
      </c>
      <c r="N2945" s="8" t="s">
        <v>5524</v>
      </c>
      <c r="O2945" s="1" t="s">
        <v>5525</v>
      </c>
      <c r="P2945" s="5">
        <f>XLOOKUP(R2945, classification!C:C, classification!B:B, "Not Found")</f>
      </c>
      <c r="Q2945" s="1" t="s">
        <v>5514</v>
      </c>
      <c r="R2945" s="2"/>
      <c r="S2945" s="2"/>
      <c r="T2945" s="2"/>
      <c r="U2945" s="2"/>
    </row>
    <row x14ac:dyDescent="0.25" r="2946" customHeight="1" ht="17.25">
      <c r="A2946" s="7">
        <v>2945</v>
      </c>
      <c r="B2946" s="1" t="s">
        <v>8285</v>
      </c>
      <c r="C2946" s="5">
        <f>CONCATENATE("PD", TEXT(A2946, "1000000"))</f>
      </c>
      <c r="D2946" s="7">
        <v>67</v>
      </c>
      <c r="E2946" s="5">
        <f>XLOOKUP(G2946, item_category!C:C, item_category!B:B, "Not Found")</f>
      </c>
      <c r="F2946" s="1" t="s">
        <v>5516</v>
      </c>
      <c r="G2946" s="5">
        <f>XLOOKUP(I2946, drug!B:B, drug!A:A, "Not Found")</f>
      </c>
      <c r="H2946" s="1" t="s">
        <v>612</v>
      </c>
      <c r="I2946" s="7">
        <v>200</v>
      </c>
      <c r="J2946" s="5">
        <f>XLOOKUP(L2946, uom!C:C, uom!B:B, "Not Found")</f>
      </c>
      <c r="K2946" s="1" t="s">
        <v>7212</v>
      </c>
      <c r="L2946" s="5">
        <f>XLOOKUP(N2946, uom!C:C, uom!B:B, "Not Found")</f>
      </c>
      <c r="M2946" s="1" t="s">
        <v>7212</v>
      </c>
      <c r="N2946" s="8" t="s">
        <v>5524</v>
      </c>
      <c r="O2946" s="1" t="s">
        <v>5525</v>
      </c>
      <c r="P2946" s="5">
        <f>XLOOKUP(R2946, classification!C:C, classification!B:B, "Not Found")</f>
      </c>
      <c r="Q2946" s="1" t="s">
        <v>5514</v>
      </c>
      <c r="R2946" s="2"/>
      <c r="S2946" s="2"/>
      <c r="T2946" s="2"/>
      <c r="U2946" s="2"/>
    </row>
    <row x14ac:dyDescent="0.25" r="2947" customHeight="1" ht="17.25">
      <c r="A2947" s="7">
        <v>2946</v>
      </c>
      <c r="B2947" s="1" t="s">
        <v>8286</v>
      </c>
      <c r="C2947" s="5">
        <f>CONCATENATE("PD", TEXT(A2947, "1000000"))</f>
      </c>
      <c r="D2947" s="7">
        <v>67</v>
      </c>
      <c r="E2947" s="5">
        <f>XLOOKUP(G2947, item_category!C:C, item_category!B:B, "Not Found")</f>
      </c>
      <c r="F2947" s="1" t="s">
        <v>5516</v>
      </c>
      <c r="G2947" s="5">
        <f>XLOOKUP(I2947, drug!B:B, drug!A:A, "Not Found")</f>
      </c>
      <c r="H2947" s="1"/>
      <c r="I2947" s="7">
        <v>1</v>
      </c>
      <c r="J2947" s="5">
        <f>XLOOKUP(L2947, uom!C:C, uom!B:B, "Not Found")</f>
      </c>
      <c r="K2947" s="1" t="s">
        <v>5511</v>
      </c>
      <c r="L2947" s="5">
        <f>XLOOKUP(N2947, uom!C:C, uom!B:B, "Not Found")</f>
      </c>
      <c r="M2947" s="1" t="s">
        <v>5511</v>
      </c>
      <c r="N2947" s="8" t="s">
        <v>5512</v>
      </c>
      <c r="O2947" s="1" t="s">
        <v>5513</v>
      </c>
      <c r="P2947" s="5">
        <f>XLOOKUP(R2947, classification!C:C, classification!B:B, "Not Found")</f>
      </c>
      <c r="Q2947" s="1" t="s">
        <v>5514</v>
      </c>
      <c r="R2947" s="2"/>
      <c r="S2947" s="2"/>
      <c r="T2947" s="2"/>
      <c r="U2947" s="2"/>
    </row>
    <row x14ac:dyDescent="0.25" r="2948" customHeight="1" ht="17.25">
      <c r="A2948" s="7">
        <v>2947</v>
      </c>
      <c r="B2948" s="1" t="s">
        <v>8287</v>
      </c>
      <c r="C2948" s="5">
        <f>CONCATENATE("PD", TEXT(A2948, "1000000"))</f>
      </c>
      <c r="D2948" s="7">
        <v>67</v>
      </c>
      <c r="E2948" s="5">
        <f>XLOOKUP(G2948, item_category!C:C, item_category!B:B, "Not Found")</f>
      </c>
      <c r="F2948" s="1" t="s">
        <v>5516</v>
      </c>
      <c r="G2948" s="5">
        <f>XLOOKUP(I2948, drug!B:B, drug!A:A, "Not Found")</f>
      </c>
      <c r="H2948" s="1"/>
      <c r="I2948" s="7">
        <v>1</v>
      </c>
      <c r="J2948" s="5">
        <f>XLOOKUP(L2948, uom!C:C, uom!B:B, "Not Found")</f>
      </c>
      <c r="K2948" s="1" t="s">
        <v>5511</v>
      </c>
      <c r="L2948" s="5">
        <f>XLOOKUP(N2948, uom!C:C, uom!B:B, "Not Found")</f>
      </c>
      <c r="M2948" s="1" t="s">
        <v>5511</v>
      </c>
      <c r="N2948" s="8" t="s">
        <v>5512</v>
      </c>
      <c r="O2948" s="1" t="s">
        <v>5513</v>
      </c>
      <c r="P2948" s="5">
        <f>XLOOKUP(R2948, classification!C:C, classification!B:B, "Not Found")</f>
      </c>
      <c r="Q2948" s="1" t="s">
        <v>5514</v>
      </c>
      <c r="R2948" s="2"/>
      <c r="S2948" s="2"/>
      <c r="T2948" s="2"/>
      <c r="U2948" s="2"/>
    </row>
    <row x14ac:dyDescent="0.25" r="2949" customHeight="1" ht="17.25">
      <c r="A2949" s="7">
        <v>2948</v>
      </c>
      <c r="B2949" s="1" t="s">
        <v>8288</v>
      </c>
      <c r="C2949" s="5">
        <f>CONCATENATE("PD", TEXT(A2949, "1000000"))</f>
      </c>
      <c r="D2949" s="7">
        <v>67</v>
      </c>
      <c r="E2949" s="5">
        <f>XLOOKUP(G2949, item_category!C:C, item_category!B:B, "Not Found")</f>
      </c>
      <c r="F2949" s="1" t="s">
        <v>5516</v>
      </c>
      <c r="G2949" s="5">
        <f>XLOOKUP(I2949, drug!B:B, drug!A:A, "Not Found")</f>
      </c>
      <c r="H2949" s="1" t="s">
        <v>151</v>
      </c>
      <c r="I2949" s="7">
        <v>1</v>
      </c>
      <c r="J2949" s="5">
        <f>XLOOKUP(L2949, uom!C:C, uom!B:B, "Not Found")</f>
      </c>
      <c r="K2949" s="1" t="s">
        <v>5511</v>
      </c>
      <c r="L2949" s="5">
        <f>XLOOKUP(N2949, uom!C:C, uom!B:B, "Not Found")</f>
      </c>
      <c r="M2949" s="1" t="s">
        <v>5511</v>
      </c>
      <c r="N2949" s="8" t="s">
        <v>5512</v>
      </c>
      <c r="O2949" s="1" t="s">
        <v>5513</v>
      </c>
      <c r="P2949" s="5">
        <f>XLOOKUP(R2949, classification!C:C, classification!B:B, "Not Found")</f>
      </c>
      <c r="Q2949" s="1" t="s">
        <v>5514</v>
      </c>
      <c r="R2949" s="2"/>
      <c r="S2949" s="2"/>
      <c r="T2949" s="2"/>
      <c r="U2949" s="2"/>
    </row>
    <row x14ac:dyDescent="0.25" r="2950" customHeight="1" ht="17.25">
      <c r="A2950" s="7">
        <v>2949</v>
      </c>
      <c r="B2950" s="1" t="s">
        <v>8289</v>
      </c>
      <c r="C2950" s="5">
        <f>CONCATENATE("PD", TEXT(A2950, "1000000"))</f>
      </c>
      <c r="D2950" s="7">
        <v>75</v>
      </c>
      <c r="E2950" s="5">
        <f>XLOOKUP(G2950, item_category!C:C, item_category!B:B, "Not Found")</f>
      </c>
      <c r="F2950" s="1" t="s">
        <v>5541</v>
      </c>
      <c r="G2950" s="5">
        <f>XLOOKUP(I2950, drug!B:B, drug!A:A, "Not Found")</f>
      </c>
      <c r="H2950" s="1"/>
      <c r="I2950" s="7">
        <v>1</v>
      </c>
      <c r="J2950" s="5">
        <f>XLOOKUP(L2950, uom!C:C, uom!B:B, "Not Found")</f>
      </c>
      <c r="K2950" s="1" t="s">
        <v>5511</v>
      </c>
      <c r="L2950" s="5">
        <f>XLOOKUP(N2950, uom!C:C, uom!B:B, "Not Found")</f>
      </c>
      <c r="M2950" s="1" t="s">
        <v>5511</v>
      </c>
      <c r="N2950" s="8" t="s">
        <v>5512</v>
      </c>
      <c r="O2950" s="1" t="s">
        <v>5513</v>
      </c>
      <c r="P2950" s="5">
        <f>XLOOKUP(R2950, classification!C:C, classification!B:B, "Not Found")</f>
      </c>
      <c r="Q2950" s="1" t="s">
        <v>5514</v>
      </c>
      <c r="R2950" s="2"/>
      <c r="S2950" s="2"/>
      <c r="T2950" s="2"/>
      <c r="U2950" s="2"/>
    </row>
    <row x14ac:dyDescent="0.25" r="2951" customHeight="1" ht="17.25">
      <c r="A2951" s="7">
        <v>2950</v>
      </c>
      <c r="B2951" s="1" t="s">
        <v>8290</v>
      </c>
      <c r="C2951" s="5">
        <f>CONCATENATE("PD", TEXT(A2951, "1000000"))</f>
      </c>
      <c r="D2951" s="7">
        <v>75</v>
      </c>
      <c r="E2951" s="5">
        <f>XLOOKUP(G2951, item_category!C:C, item_category!B:B, "Not Found")</f>
      </c>
      <c r="F2951" s="1" t="s">
        <v>5541</v>
      </c>
      <c r="G2951" s="5">
        <f>XLOOKUP(I2951, drug!B:B, drug!A:A, "Not Found")</f>
      </c>
      <c r="H2951" s="1" t="s">
        <v>364</v>
      </c>
      <c r="I2951" s="7">
        <v>1</v>
      </c>
      <c r="J2951" s="5">
        <f>XLOOKUP(L2951, uom!C:C, uom!B:B, "Not Found")</f>
      </c>
      <c r="K2951" s="1" t="s">
        <v>5511</v>
      </c>
      <c r="L2951" s="5">
        <f>XLOOKUP(N2951, uom!C:C, uom!B:B, "Not Found")</f>
      </c>
      <c r="M2951" s="1" t="s">
        <v>5511</v>
      </c>
      <c r="N2951" s="8" t="s">
        <v>5512</v>
      </c>
      <c r="O2951" s="1" t="s">
        <v>5513</v>
      </c>
      <c r="P2951" s="5">
        <f>XLOOKUP(R2951, classification!C:C, classification!B:B, "Not Found")</f>
      </c>
      <c r="Q2951" s="1" t="s">
        <v>5514</v>
      </c>
      <c r="R2951" s="2"/>
      <c r="S2951" s="2"/>
      <c r="T2951" s="2"/>
      <c r="U2951" s="2"/>
    </row>
    <row x14ac:dyDescent="0.25" r="2952" customHeight="1" ht="17.25">
      <c r="A2952" s="7">
        <v>2951</v>
      </c>
      <c r="B2952" s="1" t="s">
        <v>8291</v>
      </c>
      <c r="C2952" s="5">
        <f>CONCATENATE("PD", TEXT(A2952, "1000000"))</f>
      </c>
      <c r="D2952" s="7">
        <v>75</v>
      </c>
      <c r="E2952" s="5">
        <f>XLOOKUP(G2952, item_category!C:C, item_category!B:B, "Not Found")</f>
      </c>
      <c r="F2952" s="1" t="s">
        <v>5541</v>
      </c>
      <c r="G2952" s="5">
        <f>XLOOKUP(I2952, drug!B:B, drug!A:A, "Not Found")</f>
      </c>
      <c r="H2952" s="1"/>
      <c r="I2952" s="7">
        <v>1</v>
      </c>
      <c r="J2952" s="5">
        <f>XLOOKUP(L2952, uom!C:C, uom!B:B, "Not Found")</f>
      </c>
      <c r="K2952" s="1" t="s">
        <v>5511</v>
      </c>
      <c r="L2952" s="5">
        <f>XLOOKUP(N2952, uom!C:C, uom!B:B, "Not Found")</f>
      </c>
      <c r="M2952" s="1" t="s">
        <v>5511</v>
      </c>
      <c r="N2952" s="8" t="s">
        <v>5512</v>
      </c>
      <c r="O2952" s="1" t="s">
        <v>5513</v>
      </c>
      <c r="P2952" s="5">
        <f>XLOOKUP(R2952, classification!C:C, classification!B:B, "Not Found")</f>
      </c>
      <c r="Q2952" s="1" t="s">
        <v>5514</v>
      </c>
      <c r="R2952" s="2"/>
      <c r="S2952" s="2"/>
      <c r="T2952" s="2"/>
      <c r="U2952" s="2"/>
    </row>
    <row x14ac:dyDescent="0.25" r="2953" customHeight="1" ht="17.25">
      <c r="A2953" s="7">
        <v>2952</v>
      </c>
      <c r="B2953" s="1" t="s">
        <v>8292</v>
      </c>
      <c r="C2953" s="5">
        <f>CONCATENATE("PD", TEXT(A2953, "1000000"))</f>
      </c>
      <c r="D2953" s="7">
        <v>75</v>
      </c>
      <c r="E2953" s="5">
        <f>XLOOKUP(G2953, item_category!C:C, item_category!B:B, "Not Found")</f>
      </c>
      <c r="F2953" s="1" t="s">
        <v>5541</v>
      </c>
      <c r="G2953" s="5">
        <f>XLOOKUP(I2953, drug!B:B, drug!A:A, "Not Found")</f>
      </c>
      <c r="H2953" s="1" t="s">
        <v>42</v>
      </c>
      <c r="I2953" s="7">
        <v>1</v>
      </c>
      <c r="J2953" s="5">
        <f>XLOOKUP(L2953, uom!C:C, uom!B:B, "Not Found")</f>
      </c>
      <c r="K2953" s="1" t="s">
        <v>5511</v>
      </c>
      <c r="L2953" s="5">
        <f>XLOOKUP(N2953, uom!C:C, uom!B:B, "Not Found")</f>
      </c>
      <c r="M2953" s="1" t="s">
        <v>5511</v>
      </c>
      <c r="N2953" s="8" t="s">
        <v>5512</v>
      </c>
      <c r="O2953" s="1" t="s">
        <v>5513</v>
      </c>
      <c r="P2953" s="5">
        <f>XLOOKUP(R2953, classification!C:C, classification!B:B, "Not Found")</f>
      </c>
      <c r="Q2953" s="1" t="s">
        <v>5514</v>
      </c>
      <c r="R2953" s="2"/>
      <c r="S2953" s="2"/>
      <c r="T2953" s="2"/>
      <c r="U2953" s="2"/>
    </row>
    <row x14ac:dyDescent="0.25" r="2954" customHeight="1" ht="17.25">
      <c r="A2954" s="7">
        <v>2953</v>
      </c>
      <c r="B2954" s="1" t="s">
        <v>8293</v>
      </c>
      <c r="C2954" s="5">
        <f>CONCATENATE("PD", TEXT(A2954, "1000000"))</f>
      </c>
      <c r="D2954" s="7">
        <v>75</v>
      </c>
      <c r="E2954" s="5">
        <f>XLOOKUP(G2954, item_category!C:C, item_category!B:B, "Not Found")</f>
      </c>
      <c r="F2954" s="1" t="s">
        <v>5541</v>
      </c>
      <c r="G2954" s="5">
        <f>XLOOKUP(I2954, drug!B:B, drug!A:A, "Not Found")</f>
      </c>
      <c r="H2954" s="1"/>
      <c r="I2954" s="7">
        <v>1</v>
      </c>
      <c r="J2954" s="5">
        <f>XLOOKUP(L2954, uom!C:C, uom!B:B, "Not Found")</f>
      </c>
      <c r="K2954" s="1" t="s">
        <v>5511</v>
      </c>
      <c r="L2954" s="5">
        <f>XLOOKUP(N2954, uom!C:C, uom!B:B, "Not Found")</f>
      </c>
      <c r="M2954" s="1" t="s">
        <v>5511</v>
      </c>
      <c r="N2954" s="8" t="s">
        <v>5512</v>
      </c>
      <c r="O2954" s="1" t="s">
        <v>5513</v>
      </c>
      <c r="P2954" s="5">
        <f>XLOOKUP(R2954, classification!C:C, classification!B:B, "Not Found")</f>
      </c>
      <c r="Q2954" s="1" t="s">
        <v>5514</v>
      </c>
      <c r="R2954" s="2"/>
      <c r="S2954" s="2"/>
      <c r="T2954" s="2"/>
      <c r="U2954" s="2"/>
    </row>
    <row x14ac:dyDescent="0.25" r="2955" customHeight="1" ht="17.25">
      <c r="A2955" s="7">
        <v>2954</v>
      </c>
      <c r="B2955" s="1" t="s">
        <v>8294</v>
      </c>
      <c r="C2955" s="5">
        <f>CONCATENATE("PD", TEXT(A2955, "1000000"))</f>
      </c>
      <c r="D2955" s="7">
        <v>75</v>
      </c>
      <c r="E2955" s="5">
        <f>XLOOKUP(G2955, item_category!C:C, item_category!B:B, "Not Found")</f>
      </c>
      <c r="F2955" s="1" t="s">
        <v>5541</v>
      </c>
      <c r="G2955" s="5">
        <f>XLOOKUP(I2955, drug!B:B, drug!A:A, "Not Found")</f>
      </c>
      <c r="H2955" s="1"/>
      <c r="I2955" s="7">
        <v>1</v>
      </c>
      <c r="J2955" s="5">
        <f>XLOOKUP(L2955, uom!C:C, uom!B:B, "Not Found")</f>
      </c>
      <c r="K2955" s="1" t="s">
        <v>5511</v>
      </c>
      <c r="L2955" s="5">
        <f>XLOOKUP(N2955, uom!C:C, uom!B:B, "Not Found")</f>
      </c>
      <c r="M2955" s="1" t="s">
        <v>5511</v>
      </c>
      <c r="N2955" s="8" t="s">
        <v>5512</v>
      </c>
      <c r="O2955" s="1" t="s">
        <v>5513</v>
      </c>
      <c r="P2955" s="5">
        <f>XLOOKUP(R2955, classification!C:C, classification!B:B, "Not Found")</f>
      </c>
      <c r="Q2955" s="1" t="s">
        <v>5514</v>
      </c>
      <c r="R2955" s="2"/>
      <c r="S2955" s="2"/>
      <c r="T2955" s="2"/>
      <c r="U2955" s="2"/>
    </row>
    <row x14ac:dyDescent="0.25" r="2956" customHeight="1" ht="17.25">
      <c r="A2956" s="7">
        <v>2955</v>
      </c>
      <c r="B2956" s="1" t="s">
        <v>8295</v>
      </c>
      <c r="C2956" s="5">
        <f>CONCATENATE("PD", TEXT(A2956, "1000000"))</f>
      </c>
      <c r="D2956" s="7">
        <v>75</v>
      </c>
      <c r="E2956" s="5">
        <f>XLOOKUP(G2956, item_category!C:C, item_category!B:B, "Not Found")</f>
      </c>
      <c r="F2956" s="1" t="s">
        <v>5541</v>
      </c>
      <c r="G2956" s="5">
        <f>XLOOKUP(I2956, drug!B:B, drug!A:A, "Not Found")</f>
      </c>
      <c r="H2956" s="1" t="s">
        <v>1942</v>
      </c>
      <c r="I2956" s="7">
        <v>1</v>
      </c>
      <c r="J2956" s="5">
        <f>XLOOKUP(L2956, uom!C:C, uom!B:B, "Not Found")</f>
      </c>
      <c r="K2956" s="1" t="s">
        <v>5511</v>
      </c>
      <c r="L2956" s="5">
        <f>XLOOKUP(N2956, uom!C:C, uom!B:B, "Not Found")</f>
      </c>
      <c r="M2956" s="1" t="s">
        <v>5511</v>
      </c>
      <c r="N2956" s="8" t="s">
        <v>5512</v>
      </c>
      <c r="O2956" s="1" t="s">
        <v>5513</v>
      </c>
      <c r="P2956" s="5">
        <f>XLOOKUP(R2956, classification!C:C, classification!B:B, "Not Found")</f>
      </c>
      <c r="Q2956" s="1" t="s">
        <v>5514</v>
      </c>
      <c r="R2956" s="2"/>
      <c r="S2956" s="2"/>
      <c r="T2956" s="2"/>
      <c r="U2956" s="2"/>
    </row>
    <row x14ac:dyDescent="0.25" r="2957" customHeight="1" ht="17.25">
      <c r="A2957" s="7">
        <v>2956</v>
      </c>
      <c r="B2957" s="1" t="s">
        <v>8296</v>
      </c>
      <c r="C2957" s="5">
        <f>CONCATENATE("PD", TEXT(A2957, "1000000"))</f>
      </c>
      <c r="D2957" s="7">
        <v>75</v>
      </c>
      <c r="E2957" s="5">
        <f>XLOOKUP(G2957, item_category!C:C, item_category!B:B, "Not Found")</f>
      </c>
      <c r="F2957" s="1" t="s">
        <v>5541</v>
      </c>
      <c r="G2957" s="5">
        <f>XLOOKUP(I2957, drug!B:B, drug!A:A, "Not Found")</f>
      </c>
      <c r="H2957" s="1"/>
      <c r="I2957" s="7">
        <v>1</v>
      </c>
      <c r="J2957" s="5">
        <f>XLOOKUP(L2957, uom!C:C, uom!B:B, "Not Found")</f>
      </c>
      <c r="K2957" s="1" t="s">
        <v>5511</v>
      </c>
      <c r="L2957" s="5">
        <f>XLOOKUP(N2957, uom!C:C, uom!B:B, "Not Found")</f>
      </c>
      <c r="M2957" s="1" t="s">
        <v>5511</v>
      </c>
      <c r="N2957" s="8" t="s">
        <v>5512</v>
      </c>
      <c r="O2957" s="1" t="s">
        <v>5513</v>
      </c>
      <c r="P2957" s="5">
        <f>XLOOKUP(R2957, classification!C:C, classification!B:B, "Not Found")</f>
      </c>
      <c r="Q2957" s="1" t="s">
        <v>5514</v>
      </c>
      <c r="R2957" s="2"/>
      <c r="S2957" s="2"/>
      <c r="T2957" s="2"/>
      <c r="U2957" s="2"/>
    </row>
    <row x14ac:dyDescent="0.25" r="2958" customHeight="1" ht="17.25">
      <c r="A2958" s="7">
        <v>2957</v>
      </c>
      <c r="B2958" s="1" t="s">
        <v>8297</v>
      </c>
      <c r="C2958" s="5">
        <f>CONCATENATE("PD", TEXT(A2958, "1000000"))</f>
      </c>
      <c r="D2958" s="7">
        <v>75</v>
      </c>
      <c r="E2958" s="5">
        <f>XLOOKUP(G2958, item_category!C:C, item_category!B:B, "Not Found")</f>
      </c>
      <c r="F2958" s="1" t="s">
        <v>5541</v>
      </c>
      <c r="G2958" s="5">
        <f>XLOOKUP(I2958, drug!B:B, drug!A:A, "Not Found")</f>
      </c>
      <c r="H2958" s="1"/>
      <c r="I2958" s="7">
        <v>1</v>
      </c>
      <c r="J2958" s="5">
        <f>XLOOKUP(L2958, uom!C:C, uom!B:B, "Not Found")</f>
      </c>
      <c r="K2958" s="1" t="s">
        <v>5511</v>
      </c>
      <c r="L2958" s="5">
        <f>XLOOKUP(N2958, uom!C:C, uom!B:B, "Not Found")</f>
      </c>
      <c r="M2958" s="1" t="s">
        <v>5511</v>
      </c>
      <c r="N2958" s="8" t="s">
        <v>5512</v>
      </c>
      <c r="O2958" s="1" t="s">
        <v>5513</v>
      </c>
      <c r="P2958" s="5">
        <f>XLOOKUP(R2958, classification!C:C, classification!B:B, "Not Found")</f>
      </c>
      <c r="Q2958" s="1" t="s">
        <v>5514</v>
      </c>
      <c r="R2958" s="2"/>
      <c r="S2958" s="2"/>
      <c r="T2958" s="2"/>
      <c r="U2958" s="2"/>
    </row>
    <row x14ac:dyDescent="0.25" r="2959" customHeight="1" ht="17.25">
      <c r="A2959" s="7">
        <v>2958</v>
      </c>
      <c r="B2959" s="1" t="s">
        <v>8298</v>
      </c>
      <c r="C2959" s="5">
        <f>CONCATENATE("PD", TEXT(A2959, "1000000"))</f>
      </c>
      <c r="D2959" s="7">
        <v>75</v>
      </c>
      <c r="E2959" s="5">
        <f>XLOOKUP(G2959, item_category!C:C, item_category!B:B, "Not Found")</f>
      </c>
      <c r="F2959" s="1" t="s">
        <v>5541</v>
      </c>
      <c r="G2959" s="5">
        <f>XLOOKUP(I2959, drug!B:B, drug!A:A, "Not Found")</f>
      </c>
      <c r="H2959" s="1"/>
      <c r="I2959" s="7">
        <v>1</v>
      </c>
      <c r="J2959" s="5">
        <f>XLOOKUP(L2959, uom!C:C, uom!B:B, "Not Found")</f>
      </c>
      <c r="K2959" s="1" t="s">
        <v>5511</v>
      </c>
      <c r="L2959" s="5">
        <f>XLOOKUP(N2959, uom!C:C, uom!B:B, "Not Found")</f>
      </c>
      <c r="M2959" s="1" t="s">
        <v>5511</v>
      </c>
      <c r="N2959" s="8" t="s">
        <v>5512</v>
      </c>
      <c r="O2959" s="1" t="s">
        <v>5513</v>
      </c>
      <c r="P2959" s="5">
        <f>XLOOKUP(R2959, classification!C:C, classification!B:B, "Not Found")</f>
      </c>
      <c r="Q2959" s="1" t="s">
        <v>5514</v>
      </c>
      <c r="R2959" s="2"/>
      <c r="S2959" s="2"/>
      <c r="T2959" s="2"/>
      <c r="U2959" s="2"/>
    </row>
    <row x14ac:dyDescent="0.25" r="2960" customHeight="1" ht="17.25">
      <c r="A2960" s="7">
        <v>2959</v>
      </c>
      <c r="B2960" s="1" t="s">
        <v>8299</v>
      </c>
      <c r="C2960" s="5">
        <f>CONCATENATE("PD", TEXT(A2960, "1000000"))</f>
      </c>
      <c r="D2960" s="7">
        <v>75</v>
      </c>
      <c r="E2960" s="5">
        <f>XLOOKUP(G2960, item_category!C:C, item_category!B:B, "Not Found")</f>
      </c>
      <c r="F2960" s="1" t="s">
        <v>5541</v>
      </c>
      <c r="G2960" s="5">
        <f>XLOOKUP(I2960, drug!B:B, drug!A:A, "Not Found")</f>
      </c>
      <c r="H2960" s="1" t="s">
        <v>1942</v>
      </c>
      <c r="I2960" s="7">
        <v>1</v>
      </c>
      <c r="J2960" s="5">
        <f>XLOOKUP(L2960, uom!C:C, uom!B:B, "Not Found")</f>
      </c>
      <c r="K2960" s="1" t="s">
        <v>5511</v>
      </c>
      <c r="L2960" s="5">
        <f>XLOOKUP(N2960, uom!C:C, uom!B:B, "Not Found")</f>
      </c>
      <c r="M2960" s="1" t="s">
        <v>5511</v>
      </c>
      <c r="N2960" s="8" t="s">
        <v>5512</v>
      </c>
      <c r="O2960" s="1" t="s">
        <v>5513</v>
      </c>
      <c r="P2960" s="5">
        <f>XLOOKUP(R2960, classification!C:C, classification!B:B, "Not Found")</f>
      </c>
      <c r="Q2960" s="1" t="s">
        <v>5514</v>
      </c>
      <c r="R2960" s="2"/>
      <c r="S2960" s="2"/>
      <c r="T2960" s="2"/>
      <c r="U2960" s="2"/>
    </row>
    <row x14ac:dyDescent="0.25" r="2961" customHeight="1" ht="17.25">
      <c r="A2961" s="7">
        <v>2960</v>
      </c>
      <c r="B2961" s="1" t="s">
        <v>8300</v>
      </c>
      <c r="C2961" s="5">
        <f>CONCATENATE("PD", TEXT(A2961, "1000000"))</f>
      </c>
      <c r="D2961" s="7">
        <v>75</v>
      </c>
      <c r="E2961" s="5">
        <f>XLOOKUP(G2961, item_category!C:C, item_category!B:B, "Not Found")</f>
      </c>
      <c r="F2961" s="1" t="s">
        <v>5541</v>
      </c>
      <c r="G2961" s="5">
        <f>XLOOKUP(I2961, drug!B:B, drug!A:A, "Not Found")</f>
      </c>
      <c r="H2961" s="1"/>
      <c r="I2961" s="7">
        <v>1</v>
      </c>
      <c r="J2961" s="5">
        <f>XLOOKUP(L2961, uom!C:C, uom!B:B, "Not Found")</f>
      </c>
      <c r="K2961" s="1" t="s">
        <v>5511</v>
      </c>
      <c r="L2961" s="5">
        <f>XLOOKUP(N2961, uom!C:C, uom!B:B, "Not Found")</f>
      </c>
      <c r="M2961" s="1" t="s">
        <v>5511</v>
      </c>
      <c r="N2961" s="8" t="s">
        <v>5512</v>
      </c>
      <c r="O2961" s="1" t="s">
        <v>5513</v>
      </c>
      <c r="P2961" s="5">
        <f>XLOOKUP(R2961, classification!C:C, classification!B:B, "Not Found")</f>
      </c>
      <c r="Q2961" s="1" t="s">
        <v>5514</v>
      </c>
      <c r="R2961" s="2"/>
      <c r="S2961" s="2"/>
      <c r="T2961" s="2"/>
      <c r="U2961" s="2"/>
    </row>
    <row x14ac:dyDescent="0.25" r="2962" customHeight="1" ht="17.25">
      <c r="A2962" s="7">
        <v>2961</v>
      </c>
      <c r="B2962" s="1" t="s">
        <v>8301</v>
      </c>
      <c r="C2962" s="5">
        <f>CONCATENATE("PD", TEXT(A2962, "1000000"))</f>
      </c>
      <c r="D2962" s="7">
        <v>75</v>
      </c>
      <c r="E2962" s="5">
        <f>XLOOKUP(G2962, item_category!C:C, item_category!B:B, "Not Found")</f>
      </c>
      <c r="F2962" s="1" t="s">
        <v>5541</v>
      </c>
      <c r="G2962" s="5">
        <f>XLOOKUP(I2962, drug!B:B, drug!A:A, "Not Found")</f>
      </c>
      <c r="H2962" s="1" t="s">
        <v>1942</v>
      </c>
      <c r="I2962" s="7">
        <v>1</v>
      </c>
      <c r="J2962" s="5">
        <f>XLOOKUP(L2962, uom!C:C, uom!B:B, "Not Found")</f>
      </c>
      <c r="K2962" s="1" t="s">
        <v>5511</v>
      </c>
      <c r="L2962" s="5">
        <f>XLOOKUP(N2962, uom!C:C, uom!B:B, "Not Found")</f>
      </c>
      <c r="M2962" s="1" t="s">
        <v>5511</v>
      </c>
      <c r="N2962" s="8" t="s">
        <v>5512</v>
      </c>
      <c r="O2962" s="1" t="s">
        <v>5513</v>
      </c>
      <c r="P2962" s="5">
        <f>XLOOKUP(R2962, classification!C:C, classification!B:B, "Not Found")</f>
      </c>
      <c r="Q2962" s="1" t="s">
        <v>5514</v>
      </c>
      <c r="R2962" s="2"/>
      <c r="S2962" s="2"/>
      <c r="T2962" s="2"/>
      <c r="U2962" s="2"/>
    </row>
    <row x14ac:dyDescent="0.25" r="2963" customHeight="1" ht="17.25">
      <c r="A2963" s="7">
        <v>2962</v>
      </c>
      <c r="B2963" s="1" t="s">
        <v>8302</v>
      </c>
      <c r="C2963" s="5">
        <f>CONCATENATE("PD", TEXT(A2963, "1000000"))</f>
      </c>
      <c r="D2963" s="7">
        <v>75</v>
      </c>
      <c r="E2963" s="5">
        <f>XLOOKUP(G2963, item_category!C:C, item_category!B:B, "Not Found")</f>
      </c>
      <c r="F2963" s="1" t="s">
        <v>5541</v>
      </c>
      <c r="G2963" s="5">
        <f>XLOOKUP(I2963, drug!B:B, drug!A:A, "Not Found")</f>
      </c>
      <c r="H2963" s="1" t="s">
        <v>1942</v>
      </c>
      <c r="I2963" s="7">
        <v>1</v>
      </c>
      <c r="J2963" s="5">
        <f>XLOOKUP(L2963, uom!C:C, uom!B:B, "Not Found")</f>
      </c>
      <c r="K2963" s="1" t="s">
        <v>5511</v>
      </c>
      <c r="L2963" s="5">
        <f>XLOOKUP(N2963, uom!C:C, uom!B:B, "Not Found")</f>
      </c>
      <c r="M2963" s="1" t="s">
        <v>5511</v>
      </c>
      <c r="N2963" s="8" t="s">
        <v>5512</v>
      </c>
      <c r="O2963" s="1" t="s">
        <v>5513</v>
      </c>
      <c r="P2963" s="5">
        <f>XLOOKUP(R2963, classification!C:C, classification!B:B, "Not Found")</f>
      </c>
      <c r="Q2963" s="1" t="s">
        <v>5514</v>
      </c>
      <c r="R2963" s="2"/>
      <c r="S2963" s="2"/>
      <c r="T2963" s="2"/>
      <c r="U2963" s="2"/>
    </row>
    <row x14ac:dyDescent="0.25" r="2964" customHeight="1" ht="17.25">
      <c r="A2964" s="7">
        <v>2963</v>
      </c>
      <c r="B2964" s="1" t="s">
        <v>8303</v>
      </c>
      <c r="C2964" s="5">
        <f>CONCATENATE("PD", TEXT(A2964, "1000000"))</f>
      </c>
      <c r="D2964" s="7">
        <v>75</v>
      </c>
      <c r="E2964" s="5">
        <f>XLOOKUP(G2964, item_category!C:C, item_category!B:B, "Not Found")</f>
      </c>
      <c r="F2964" s="1" t="s">
        <v>5541</v>
      </c>
      <c r="G2964" s="5">
        <f>XLOOKUP(I2964, drug!B:B, drug!A:A, "Not Found")</f>
      </c>
      <c r="H2964" s="1" t="s">
        <v>1942</v>
      </c>
      <c r="I2964" s="7">
        <v>1</v>
      </c>
      <c r="J2964" s="5">
        <f>XLOOKUP(L2964, uom!C:C, uom!B:B, "Not Found")</f>
      </c>
      <c r="K2964" s="1" t="s">
        <v>5511</v>
      </c>
      <c r="L2964" s="5">
        <f>XLOOKUP(N2964, uom!C:C, uom!B:B, "Not Found")</f>
      </c>
      <c r="M2964" s="1" t="s">
        <v>5511</v>
      </c>
      <c r="N2964" s="8" t="s">
        <v>5512</v>
      </c>
      <c r="O2964" s="1" t="s">
        <v>5513</v>
      </c>
      <c r="P2964" s="5">
        <f>XLOOKUP(R2964, classification!C:C, classification!B:B, "Not Found")</f>
      </c>
      <c r="Q2964" s="1" t="s">
        <v>5514</v>
      </c>
      <c r="R2964" s="2"/>
      <c r="S2964" s="2"/>
      <c r="T2964" s="2"/>
      <c r="U2964" s="2"/>
    </row>
    <row x14ac:dyDescent="0.25" r="2965" customHeight="1" ht="17.25">
      <c r="A2965" s="7">
        <v>2964</v>
      </c>
      <c r="B2965" s="1" t="s">
        <v>8304</v>
      </c>
      <c r="C2965" s="5">
        <f>CONCATENATE("PD", TEXT(A2965, "1000000"))</f>
      </c>
      <c r="D2965" s="7">
        <v>75</v>
      </c>
      <c r="E2965" s="5">
        <f>XLOOKUP(G2965, item_category!C:C, item_category!B:B, "Not Found")</f>
      </c>
      <c r="F2965" s="1" t="s">
        <v>5541</v>
      </c>
      <c r="G2965" s="5">
        <f>XLOOKUP(I2965, drug!B:B, drug!A:A, "Not Found")</f>
      </c>
      <c r="H2965" s="1" t="s">
        <v>1942</v>
      </c>
      <c r="I2965" s="7">
        <v>1</v>
      </c>
      <c r="J2965" s="5">
        <f>XLOOKUP(L2965, uom!C:C, uom!B:B, "Not Found")</f>
      </c>
      <c r="K2965" s="1" t="s">
        <v>5511</v>
      </c>
      <c r="L2965" s="5">
        <f>XLOOKUP(N2965, uom!C:C, uom!B:B, "Not Found")</f>
      </c>
      <c r="M2965" s="1" t="s">
        <v>5511</v>
      </c>
      <c r="N2965" s="8" t="s">
        <v>5512</v>
      </c>
      <c r="O2965" s="1" t="s">
        <v>5513</v>
      </c>
      <c r="P2965" s="5">
        <f>XLOOKUP(R2965, classification!C:C, classification!B:B, "Not Found")</f>
      </c>
      <c r="Q2965" s="1" t="s">
        <v>5514</v>
      </c>
      <c r="R2965" s="2"/>
      <c r="S2965" s="2"/>
      <c r="T2965" s="2"/>
      <c r="U2965" s="2"/>
    </row>
    <row x14ac:dyDescent="0.25" r="2966" customHeight="1" ht="17.25">
      <c r="A2966" s="7">
        <v>2965</v>
      </c>
      <c r="B2966" s="1" t="s">
        <v>8305</v>
      </c>
      <c r="C2966" s="5">
        <f>CONCATENATE("PD", TEXT(A2966, "1000000"))</f>
      </c>
      <c r="D2966" s="7">
        <v>75</v>
      </c>
      <c r="E2966" s="5">
        <f>XLOOKUP(G2966, item_category!C:C, item_category!B:B, "Not Found")</f>
      </c>
      <c r="F2966" s="1" t="s">
        <v>5541</v>
      </c>
      <c r="G2966" s="5">
        <f>XLOOKUP(I2966, drug!B:B, drug!A:A, "Not Found")</f>
      </c>
      <c r="H2966" s="1"/>
      <c r="I2966" s="7">
        <v>1</v>
      </c>
      <c r="J2966" s="5">
        <f>XLOOKUP(L2966, uom!C:C, uom!B:B, "Not Found")</f>
      </c>
      <c r="K2966" s="1" t="s">
        <v>5511</v>
      </c>
      <c r="L2966" s="5">
        <f>XLOOKUP(N2966, uom!C:C, uom!B:B, "Not Found")</f>
      </c>
      <c r="M2966" s="1" t="s">
        <v>5511</v>
      </c>
      <c r="N2966" s="8" t="s">
        <v>5512</v>
      </c>
      <c r="O2966" s="1" t="s">
        <v>5513</v>
      </c>
      <c r="P2966" s="5">
        <f>XLOOKUP(R2966, classification!C:C, classification!B:B, "Not Found")</f>
      </c>
      <c r="Q2966" s="1" t="s">
        <v>5514</v>
      </c>
      <c r="R2966" s="2"/>
      <c r="S2966" s="2"/>
      <c r="T2966" s="2"/>
      <c r="U2966" s="2"/>
    </row>
    <row x14ac:dyDescent="0.25" r="2967" customHeight="1" ht="17.25">
      <c r="A2967" s="7">
        <v>2966</v>
      </c>
      <c r="B2967" s="1" t="s">
        <v>8306</v>
      </c>
      <c r="C2967" s="5">
        <f>CONCATENATE("PD", TEXT(A2967, "1000000"))</f>
      </c>
      <c r="D2967" s="7">
        <v>75</v>
      </c>
      <c r="E2967" s="5">
        <f>XLOOKUP(G2967, item_category!C:C, item_category!B:B, "Not Found")</f>
      </c>
      <c r="F2967" s="1" t="s">
        <v>5541</v>
      </c>
      <c r="G2967" s="5">
        <f>XLOOKUP(I2967, drug!B:B, drug!A:A, "Not Found")</f>
      </c>
      <c r="H2967" s="1" t="s">
        <v>1942</v>
      </c>
      <c r="I2967" s="7">
        <v>1</v>
      </c>
      <c r="J2967" s="5">
        <f>XLOOKUP(L2967, uom!C:C, uom!B:B, "Not Found")</f>
      </c>
      <c r="K2967" s="1" t="s">
        <v>5511</v>
      </c>
      <c r="L2967" s="5">
        <f>XLOOKUP(N2967, uom!C:C, uom!B:B, "Not Found")</f>
      </c>
      <c r="M2967" s="1" t="s">
        <v>5511</v>
      </c>
      <c r="N2967" s="8" t="s">
        <v>5512</v>
      </c>
      <c r="O2967" s="1" t="s">
        <v>5513</v>
      </c>
      <c r="P2967" s="5">
        <f>XLOOKUP(R2967, classification!C:C, classification!B:B, "Not Found")</f>
      </c>
      <c r="Q2967" s="1" t="s">
        <v>5514</v>
      </c>
      <c r="R2967" s="2"/>
      <c r="S2967" s="2"/>
      <c r="T2967" s="2"/>
      <c r="U2967" s="2"/>
    </row>
    <row x14ac:dyDescent="0.25" r="2968" customHeight="1" ht="17.25">
      <c r="A2968" s="7">
        <v>2967</v>
      </c>
      <c r="B2968" s="1" t="s">
        <v>8307</v>
      </c>
      <c r="C2968" s="5">
        <f>CONCATENATE("PD", TEXT(A2968, "1000000"))</f>
      </c>
      <c r="D2968" s="7">
        <v>75</v>
      </c>
      <c r="E2968" s="5">
        <f>XLOOKUP(G2968, item_category!C:C, item_category!B:B, "Not Found")</f>
      </c>
      <c r="F2968" s="1" t="s">
        <v>5541</v>
      </c>
      <c r="G2968" s="5">
        <f>XLOOKUP(I2968, drug!B:B, drug!A:A, "Not Found")</f>
      </c>
      <c r="H2968" s="1"/>
      <c r="I2968" s="7">
        <v>1</v>
      </c>
      <c r="J2968" s="5">
        <f>XLOOKUP(L2968, uom!C:C, uom!B:B, "Not Found")</f>
      </c>
      <c r="K2968" s="1" t="s">
        <v>5511</v>
      </c>
      <c r="L2968" s="5">
        <f>XLOOKUP(N2968, uom!C:C, uom!B:B, "Not Found")</f>
      </c>
      <c r="M2968" s="1" t="s">
        <v>5511</v>
      </c>
      <c r="N2968" s="8" t="s">
        <v>5512</v>
      </c>
      <c r="O2968" s="1" t="s">
        <v>5513</v>
      </c>
      <c r="P2968" s="5">
        <f>XLOOKUP(R2968, classification!C:C, classification!B:B, "Not Found")</f>
      </c>
      <c r="Q2968" s="1" t="s">
        <v>5514</v>
      </c>
      <c r="R2968" s="2"/>
      <c r="S2968" s="2"/>
      <c r="T2968" s="2"/>
      <c r="U2968" s="2"/>
    </row>
    <row x14ac:dyDescent="0.25" r="2969" customHeight="1" ht="17.25">
      <c r="A2969" s="7">
        <v>2968</v>
      </c>
      <c r="B2969" s="1" t="s">
        <v>8308</v>
      </c>
      <c r="C2969" s="5">
        <f>CONCATENATE("PD", TEXT(A2969, "1000000"))</f>
      </c>
      <c r="D2969" s="7">
        <v>67</v>
      </c>
      <c r="E2969" s="5">
        <f>XLOOKUP(G2969, item_category!C:C, item_category!B:B, "Not Found")</f>
      </c>
      <c r="F2969" s="1" t="s">
        <v>5516</v>
      </c>
      <c r="G2969" s="5">
        <f>XLOOKUP(I2969, drug!B:B, drug!A:A, "Not Found")</f>
      </c>
      <c r="H2969" s="1" t="s">
        <v>753</v>
      </c>
      <c r="I2969" s="7">
        <v>350</v>
      </c>
      <c r="J2969" s="5">
        <f>XLOOKUP(L2969, uom!C:C, uom!B:B, "Not Found")</f>
      </c>
      <c r="K2969" s="1" t="s">
        <v>7212</v>
      </c>
      <c r="L2969" s="5">
        <f>XLOOKUP(N2969, uom!C:C, uom!B:B, "Not Found")</f>
      </c>
      <c r="M2969" s="1" t="s">
        <v>7212</v>
      </c>
      <c r="N2969" s="8" t="s">
        <v>5524</v>
      </c>
      <c r="O2969" s="1" t="s">
        <v>5525</v>
      </c>
      <c r="P2969" s="5">
        <f>XLOOKUP(R2969, classification!C:C, classification!B:B, "Not Found")</f>
      </c>
      <c r="Q2969" s="1" t="s">
        <v>5514</v>
      </c>
      <c r="R2969" s="2"/>
      <c r="S2969" s="2"/>
      <c r="T2969" s="2"/>
      <c r="U2969" s="2"/>
    </row>
    <row x14ac:dyDescent="0.25" r="2970" customHeight="1" ht="17.25">
      <c r="A2970" s="7">
        <v>2969</v>
      </c>
      <c r="B2970" s="1" t="s">
        <v>8309</v>
      </c>
      <c r="C2970" s="5">
        <f>CONCATENATE("PD", TEXT(A2970, "1000000"))</f>
      </c>
      <c r="D2970" s="7">
        <v>75</v>
      </c>
      <c r="E2970" s="5">
        <f>XLOOKUP(G2970, item_category!C:C, item_category!B:B, "Not Found")</f>
      </c>
      <c r="F2970" s="1" t="s">
        <v>5541</v>
      </c>
      <c r="G2970" s="5">
        <f>XLOOKUP(I2970, drug!B:B, drug!A:A, "Not Found")</f>
      </c>
      <c r="H2970" s="1"/>
      <c r="I2970" s="7">
        <v>300</v>
      </c>
      <c r="J2970" s="5">
        <f>XLOOKUP(L2970, uom!C:C, uom!B:B, "Not Found")</f>
      </c>
      <c r="K2970" s="1" t="s">
        <v>5542</v>
      </c>
      <c r="L2970" s="5">
        <f>XLOOKUP(N2970, uom!C:C, uom!B:B, "Not Found")</f>
      </c>
      <c r="M2970" s="1" t="s">
        <v>5542</v>
      </c>
      <c r="N2970" s="8" t="s">
        <v>5524</v>
      </c>
      <c r="O2970" s="1" t="s">
        <v>5525</v>
      </c>
      <c r="P2970" s="5">
        <f>XLOOKUP(R2970, classification!C:C, classification!B:B, "Not Found")</f>
      </c>
      <c r="Q2970" s="1" t="s">
        <v>5514</v>
      </c>
      <c r="R2970" s="2"/>
      <c r="S2970" s="2"/>
      <c r="T2970" s="2"/>
      <c r="U2970" s="2"/>
    </row>
    <row x14ac:dyDescent="0.25" r="2971" customHeight="1" ht="17.25">
      <c r="A2971" s="7">
        <v>2970</v>
      </c>
      <c r="B2971" s="1" t="s">
        <v>8310</v>
      </c>
      <c r="C2971" s="5">
        <f>CONCATENATE("PD", TEXT(A2971, "1000000"))</f>
      </c>
      <c r="D2971" s="7">
        <v>75</v>
      </c>
      <c r="E2971" s="5">
        <f>XLOOKUP(G2971, item_category!C:C, item_category!B:B, "Not Found")</f>
      </c>
      <c r="F2971" s="1" t="s">
        <v>5541</v>
      </c>
      <c r="G2971" s="5">
        <f>XLOOKUP(I2971, drug!B:B, drug!A:A, "Not Found")</f>
      </c>
      <c r="H2971" s="1" t="s">
        <v>1942</v>
      </c>
      <c r="I2971" s="7">
        <v>1</v>
      </c>
      <c r="J2971" s="5">
        <f>XLOOKUP(L2971, uom!C:C, uom!B:B, "Not Found")</f>
      </c>
      <c r="K2971" s="1" t="s">
        <v>5511</v>
      </c>
      <c r="L2971" s="5">
        <f>XLOOKUP(N2971, uom!C:C, uom!B:B, "Not Found")</f>
      </c>
      <c r="M2971" s="1" t="s">
        <v>5511</v>
      </c>
      <c r="N2971" s="8" t="s">
        <v>5512</v>
      </c>
      <c r="O2971" s="1" t="s">
        <v>5513</v>
      </c>
      <c r="P2971" s="5">
        <f>XLOOKUP(R2971, classification!C:C, classification!B:B, "Not Found")</f>
      </c>
      <c r="Q2971" s="1" t="s">
        <v>5514</v>
      </c>
      <c r="R2971" s="2"/>
      <c r="S2971" s="2"/>
      <c r="T2971" s="2"/>
      <c r="U2971" s="2"/>
    </row>
    <row x14ac:dyDescent="0.25" r="2972" customHeight="1" ht="17.25">
      <c r="A2972" s="7">
        <v>2971</v>
      </c>
      <c r="B2972" s="1" t="s">
        <v>8311</v>
      </c>
      <c r="C2972" s="5">
        <f>CONCATENATE("PD", TEXT(A2972, "1000000"))</f>
      </c>
      <c r="D2972" s="7">
        <v>75</v>
      </c>
      <c r="E2972" s="5">
        <f>XLOOKUP(G2972, item_category!C:C, item_category!B:B, "Not Found")</f>
      </c>
      <c r="F2972" s="1" t="s">
        <v>5541</v>
      </c>
      <c r="G2972" s="5">
        <f>XLOOKUP(I2972, drug!B:B, drug!A:A, "Not Found")</f>
      </c>
      <c r="H2972" s="1" t="s">
        <v>1942</v>
      </c>
      <c r="I2972" s="7">
        <v>1</v>
      </c>
      <c r="J2972" s="5">
        <f>XLOOKUP(L2972, uom!C:C, uom!B:B, "Not Found")</f>
      </c>
      <c r="K2972" s="1" t="s">
        <v>5511</v>
      </c>
      <c r="L2972" s="5">
        <f>XLOOKUP(N2972, uom!C:C, uom!B:B, "Not Found")</f>
      </c>
      <c r="M2972" s="1" t="s">
        <v>5511</v>
      </c>
      <c r="N2972" s="8" t="s">
        <v>5512</v>
      </c>
      <c r="O2972" s="1" t="s">
        <v>5513</v>
      </c>
      <c r="P2972" s="5">
        <f>XLOOKUP(R2972, classification!C:C, classification!B:B, "Not Found")</f>
      </c>
      <c r="Q2972" s="1" t="s">
        <v>5514</v>
      </c>
      <c r="R2972" s="2"/>
      <c r="S2972" s="2"/>
      <c r="T2972" s="2"/>
      <c r="U2972" s="2"/>
    </row>
    <row x14ac:dyDescent="0.25" r="2973" customHeight="1" ht="17.25">
      <c r="A2973" s="7">
        <v>2972</v>
      </c>
      <c r="B2973" s="1" t="s">
        <v>8312</v>
      </c>
      <c r="C2973" s="5">
        <f>CONCATENATE("PD", TEXT(A2973, "1000000"))</f>
      </c>
      <c r="D2973" s="7">
        <v>75</v>
      </c>
      <c r="E2973" s="5">
        <f>XLOOKUP(G2973, item_category!C:C, item_category!B:B, "Not Found")</f>
      </c>
      <c r="F2973" s="1" t="s">
        <v>5541</v>
      </c>
      <c r="G2973" s="5">
        <f>XLOOKUP(I2973, drug!B:B, drug!A:A, "Not Found")</f>
      </c>
      <c r="H2973" s="1"/>
      <c r="I2973" s="7">
        <v>1</v>
      </c>
      <c r="J2973" s="5">
        <f>XLOOKUP(L2973, uom!C:C, uom!B:B, "Not Found")</f>
      </c>
      <c r="K2973" s="1" t="s">
        <v>5511</v>
      </c>
      <c r="L2973" s="5">
        <f>XLOOKUP(N2973, uom!C:C, uom!B:B, "Not Found")</f>
      </c>
      <c r="M2973" s="1" t="s">
        <v>5511</v>
      </c>
      <c r="N2973" s="8" t="s">
        <v>5512</v>
      </c>
      <c r="O2973" s="1" t="s">
        <v>5513</v>
      </c>
      <c r="P2973" s="5">
        <f>XLOOKUP(R2973, classification!C:C, classification!B:B, "Not Found")</f>
      </c>
      <c r="Q2973" s="1" t="s">
        <v>5514</v>
      </c>
      <c r="R2973" s="2"/>
      <c r="S2973" s="2"/>
      <c r="T2973" s="2"/>
      <c r="U2973" s="2"/>
    </row>
    <row x14ac:dyDescent="0.25" r="2974" customHeight="1" ht="17.25">
      <c r="A2974" s="7">
        <v>2973</v>
      </c>
      <c r="B2974" s="1" t="s">
        <v>8313</v>
      </c>
      <c r="C2974" s="5">
        <f>CONCATENATE("PD", TEXT(A2974, "1000000"))</f>
      </c>
      <c r="D2974" s="7">
        <v>75</v>
      </c>
      <c r="E2974" s="5">
        <f>XLOOKUP(G2974, item_category!C:C, item_category!B:B, "Not Found")</f>
      </c>
      <c r="F2974" s="1" t="s">
        <v>5541</v>
      </c>
      <c r="G2974" s="5">
        <f>XLOOKUP(I2974, drug!B:B, drug!A:A, "Not Found")</f>
      </c>
      <c r="H2974" s="1"/>
      <c r="I2974" s="7">
        <v>1</v>
      </c>
      <c r="J2974" s="5">
        <f>XLOOKUP(L2974, uom!C:C, uom!B:B, "Not Found")</f>
      </c>
      <c r="K2974" s="1" t="s">
        <v>5511</v>
      </c>
      <c r="L2974" s="5">
        <f>XLOOKUP(N2974, uom!C:C, uom!B:B, "Not Found")</f>
      </c>
      <c r="M2974" s="1" t="s">
        <v>5511</v>
      </c>
      <c r="N2974" s="8" t="s">
        <v>5512</v>
      </c>
      <c r="O2974" s="1" t="s">
        <v>5513</v>
      </c>
      <c r="P2974" s="5">
        <f>XLOOKUP(R2974, classification!C:C, classification!B:B, "Not Found")</f>
      </c>
      <c r="Q2974" s="1" t="s">
        <v>5514</v>
      </c>
      <c r="R2974" s="2"/>
      <c r="S2974" s="2"/>
      <c r="T2974" s="2"/>
      <c r="U2974" s="2"/>
    </row>
    <row x14ac:dyDescent="0.25" r="2975" customHeight="1" ht="17.25">
      <c r="A2975" s="7">
        <v>2974</v>
      </c>
      <c r="B2975" s="1" t="s">
        <v>8313</v>
      </c>
      <c r="C2975" s="5">
        <f>CONCATENATE("PD", TEXT(A2975, "1000000"))</f>
      </c>
      <c r="D2975" s="7">
        <v>75</v>
      </c>
      <c r="E2975" s="5">
        <f>XLOOKUP(G2975, item_category!C:C, item_category!B:B, "Not Found")</f>
      </c>
      <c r="F2975" s="1" t="s">
        <v>5541</v>
      </c>
      <c r="G2975" s="5">
        <f>XLOOKUP(I2975, drug!B:B, drug!A:A, "Not Found")</f>
      </c>
      <c r="H2975" s="1"/>
      <c r="I2975" s="7">
        <v>1</v>
      </c>
      <c r="J2975" s="5">
        <f>XLOOKUP(L2975, uom!C:C, uom!B:B, "Not Found")</f>
      </c>
      <c r="K2975" s="1" t="s">
        <v>5511</v>
      </c>
      <c r="L2975" s="5">
        <f>XLOOKUP(N2975, uom!C:C, uom!B:B, "Not Found")</f>
      </c>
      <c r="M2975" s="1" t="s">
        <v>5511</v>
      </c>
      <c r="N2975" s="8" t="s">
        <v>5512</v>
      </c>
      <c r="O2975" s="1" t="s">
        <v>5513</v>
      </c>
      <c r="P2975" s="5">
        <f>XLOOKUP(R2975, classification!C:C, classification!B:B, "Not Found")</f>
      </c>
      <c r="Q2975" s="1" t="s">
        <v>5514</v>
      </c>
      <c r="R2975" s="2"/>
      <c r="S2975" s="2"/>
      <c r="T2975" s="2"/>
      <c r="U2975" s="2"/>
    </row>
    <row x14ac:dyDescent="0.25" r="2976" customHeight="1" ht="17.25">
      <c r="A2976" s="7">
        <v>2975</v>
      </c>
      <c r="B2976" s="1" t="s">
        <v>8314</v>
      </c>
      <c r="C2976" s="5">
        <f>CONCATENATE("PD", TEXT(A2976, "1000000"))</f>
      </c>
      <c r="D2976" s="7">
        <v>75</v>
      </c>
      <c r="E2976" s="5">
        <f>XLOOKUP(G2976, item_category!C:C, item_category!B:B, "Not Found")</f>
      </c>
      <c r="F2976" s="1" t="s">
        <v>5541</v>
      </c>
      <c r="G2976" s="5">
        <f>XLOOKUP(I2976, drug!B:B, drug!A:A, "Not Found")</f>
      </c>
      <c r="H2976" s="1"/>
      <c r="I2976" s="7">
        <v>1</v>
      </c>
      <c r="J2976" s="5">
        <f>XLOOKUP(L2976, uom!C:C, uom!B:B, "Not Found")</f>
      </c>
      <c r="K2976" s="1" t="s">
        <v>5511</v>
      </c>
      <c r="L2976" s="5">
        <f>XLOOKUP(N2976, uom!C:C, uom!B:B, "Not Found")</f>
      </c>
      <c r="M2976" s="1" t="s">
        <v>5511</v>
      </c>
      <c r="N2976" s="8" t="s">
        <v>5512</v>
      </c>
      <c r="O2976" s="1" t="s">
        <v>5513</v>
      </c>
      <c r="P2976" s="5">
        <f>XLOOKUP(R2976, classification!C:C, classification!B:B, "Not Found")</f>
      </c>
      <c r="Q2976" s="1" t="s">
        <v>5514</v>
      </c>
      <c r="R2976" s="2"/>
      <c r="S2976" s="2"/>
      <c r="T2976" s="2"/>
      <c r="U2976" s="2"/>
    </row>
    <row x14ac:dyDescent="0.25" r="2977" customHeight="1" ht="17.25">
      <c r="A2977" s="7">
        <v>2976</v>
      </c>
      <c r="B2977" s="1" t="s">
        <v>8315</v>
      </c>
      <c r="C2977" s="5">
        <f>CONCATENATE("PD", TEXT(A2977, "1000000"))</f>
      </c>
      <c r="D2977" s="7">
        <v>75</v>
      </c>
      <c r="E2977" s="5">
        <f>XLOOKUP(G2977, item_category!C:C, item_category!B:B, "Not Found")</f>
      </c>
      <c r="F2977" s="1" t="s">
        <v>5541</v>
      </c>
      <c r="G2977" s="5">
        <f>XLOOKUP(I2977, drug!B:B, drug!A:A, "Not Found")</f>
      </c>
      <c r="H2977" s="1"/>
      <c r="I2977" s="7">
        <v>1</v>
      </c>
      <c r="J2977" s="5">
        <f>XLOOKUP(L2977, uom!C:C, uom!B:B, "Not Found")</f>
      </c>
      <c r="K2977" s="1" t="s">
        <v>5511</v>
      </c>
      <c r="L2977" s="5">
        <f>XLOOKUP(N2977, uom!C:C, uom!B:B, "Not Found")</f>
      </c>
      <c r="M2977" s="1" t="s">
        <v>5511</v>
      </c>
      <c r="N2977" s="8" t="s">
        <v>5512</v>
      </c>
      <c r="O2977" s="1" t="s">
        <v>5513</v>
      </c>
      <c r="P2977" s="5">
        <f>XLOOKUP(R2977, classification!C:C, classification!B:B, "Not Found")</f>
      </c>
      <c r="Q2977" s="1" t="s">
        <v>5514</v>
      </c>
      <c r="R2977" s="2"/>
      <c r="S2977" s="2"/>
      <c r="T2977" s="2"/>
      <c r="U2977" s="2"/>
    </row>
    <row x14ac:dyDescent="0.25" r="2978" customHeight="1" ht="17.25">
      <c r="A2978" s="7">
        <v>2977</v>
      </c>
      <c r="B2978" s="1" t="s">
        <v>8316</v>
      </c>
      <c r="C2978" s="5">
        <f>CONCATENATE("PD", TEXT(A2978, "1000000"))</f>
      </c>
      <c r="D2978" s="7">
        <v>75</v>
      </c>
      <c r="E2978" s="5">
        <f>XLOOKUP(G2978, item_category!C:C, item_category!B:B, "Not Found")</f>
      </c>
      <c r="F2978" s="1" t="s">
        <v>5541</v>
      </c>
      <c r="G2978" s="5">
        <f>XLOOKUP(I2978, drug!B:B, drug!A:A, "Not Found")</f>
      </c>
      <c r="H2978" s="1" t="s">
        <v>308</v>
      </c>
      <c r="I2978" s="7">
        <v>1</v>
      </c>
      <c r="J2978" s="5">
        <f>XLOOKUP(L2978, uom!C:C, uom!B:B, "Not Found")</f>
      </c>
      <c r="K2978" s="1" t="s">
        <v>5511</v>
      </c>
      <c r="L2978" s="5">
        <f>XLOOKUP(N2978, uom!C:C, uom!B:B, "Not Found")</f>
      </c>
      <c r="M2978" s="1" t="s">
        <v>5511</v>
      </c>
      <c r="N2978" s="8" t="s">
        <v>5512</v>
      </c>
      <c r="O2978" s="1" t="s">
        <v>5513</v>
      </c>
      <c r="P2978" s="5">
        <f>XLOOKUP(R2978, classification!C:C, classification!B:B, "Not Found")</f>
      </c>
      <c r="Q2978" s="1" t="s">
        <v>5514</v>
      </c>
      <c r="R2978" s="2"/>
      <c r="S2978" s="2"/>
      <c r="T2978" s="2"/>
      <c r="U2978" s="2"/>
    </row>
    <row x14ac:dyDescent="0.25" r="2979" customHeight="1" ht="17.25">
      <c r="A2979" s="7">
        <v>2978</v>
      </c>
      <c r="B2979" s="1" t="s">
        <v>8317</v>
      </c>
      <c r="C2979" s="5">
        <f>CONCATENATE("PD", TEXT(A2979, "1000000"))</f>
      </c>
      <c r="D2979" s="7">
        <v>75</v>
      </c>
      <c r="E2979" s="5">
        <f>XLOOKUP(G2979, item_category!C:C, item_category!B:B, "Not Found")</f>
      </c>
      <c r="F2979" s="1" t="s">
        <v>5541</v>
      </c>
      <c r="G2979" s="5">
        <f>XLOOKUP(I2979, drug!B:B, drug!A:A, "Not Found")</f>
      </c>
      <c r="H2979" s="1" t="s">
        <v>308</v>
      </c>
      <c r="I2979" s="7">
        <v>1</v>
      </c>
      <c r="J2979" s="5">
        <f>XLOOKUP(L2979, uom!C:C, uom!B:B, "Not Found")</f>
      </c>
      <c r="K2979" s="1" t="s">
        <v>5511</v>
      </c>
      <c r="L2979" s="5">
        <f>XLOOKUP(N2979, uom!C:C, uom!B:B, "Not Found")</f>
      </c>
      <c r="M2979" s="1" t="s">
        <v>5511</v>
      </c>
      <c r="N2979" s="8" t="s">
        <v>5512</v>
      </c>
      <c r="O2979" s="1" t="s">
        <v>5513</v>
      </c>
      <c r="P2979" s="5">
        <f>XLOOKUP(R2979, classification!C:C, classification!B:B, "Not Found")</f>
      </c>
      <c r="Q2979" s="1" t="s">
        <v>5514</v>
      </c>
      <c r="R2979" s="2"/>
      <c r="S2979" s="2"/>
      <c r="T2979" s="2"/>
      <c r="U2979" s="2"/>
    </row>
    <row x14ac:dyDescent="0.25" r="2980" customHeight="1" ht="17.25">
      <c r="A2980" s="7">
        <v>2979</v>
      </c>
      <c r="B2980" s="1" t="s">
        <v>8318</v>
      </c>
      <c r="C2980" s="5">
        <f>CONCATENATE("PD", TEXT(A2980, "1000000"))</f>
      </c>
      <c r="D2980" s="7">
        <v>75</v>
      </c>
      <c r="E2980" s="5">
        <f>XLOOKUP(G2980, item_category!C:C, item_category!B:B, "Not Found")</f>
      </c>
      <c r="F2980" s="1" t="s">
        <v>5541</v>
      </c>
      <c r="G2980" s="5">
        <f>XLOOKUP(I2980, drug!B:B, drug!A:A, "Not Found")</f>
      </c>
      <c r="H2980" s="1"/>
      <c r="I2980" s="7">
        <v>1</v>
      </c>
      <c r="J2980" s="5">
        <f>XLOOKUP(L2980, uom!C:C, uom!B:B, "Not Found")</f>
      </c>
      <c r="K2980" s="1" t="s">
        <v>5511</v>
      </c>
      <c r="L2980" s="5">
        <f>XLOOKUP(N2980, uom!C:C, uom!B:B, "Not Found")</f>
      </c>
      <c r="M2980" s="1" t="s">
        <v>5511</v>
      </c>
      <c r="N2980" s="8" t="s">
        <v>5512</v>
      </c>
      <c r="O2980" s="1" t="s">
        <v>5513</v>
      </c>
      <c r="P2980" s="5">
        <f>XLOOKUP(R2980, classification!C:C, classification!B:B, "Not Found")</f>
      </c>
      <c r="Q2980" s="1" t="s">
        <v>5514</v>
      </c>
      <c r="R2980" s="2"/>
      <c r="S2980" s="2"/>
      <c r="T2980" s="2"/>
      <c r="U2980" s="2"/>
    </row>
    <row x14ac:dyDescent="0.25" r="2981" customHeight="1" ht="17.25">
      <c r="A2981" s="7">
        <v>2980</v>
      </c>
      <c r="B2981" s="1" t="s">
        <v>8319</v>
      </c>
      <c r="C2981" s="5">
        <f>CONCATENATE("PD", TEXT(A2981, "1000000"))</f>
      </c>
      <c r="D2981" s="7">
        <v>75</v>
      </c>
      <c r="E2981" s="5">
        <f>XLOOKUP(G2981, item_category!C:C, item_category!B:B, "Not Found")</f>
      </c>
      <c r="F2981" s="1" t="s">
        <v>5541</v>
      </c>
      <c r="G2981" s="5">
        <f>XLOOKUP(I2981, drug!B:B, drug!A:A, "Not Found")</f>
      </c>
      <c r="H2981" s="1"/>
      <c r="I2981" s="7">
        <v>1</v>
      </c>
      <c r="J2981" s="5">
        <f>XLOOKUP(L2981, uom!C:C, uom!B:B, "Not Found")</f>
      </c>
      <c r="K2981" s="1" t="s">
        <v>5511</v>
      </c>
      <c r="L2981" s="5">
        <f>XLOOKUP(N2981, uom!C:C, uom!B:B, "Not Found")</f>
      </c>
      <c r="M2981" s="1" t="s">
        <v>5511</v>
      </c>
      <c r="N2981" s="8" t="s">
        <v>5512</v>
      </c>
      <c r="O2981" s="1" t="s">
        <v>5513</v>
      </c>
      <c r="P2981" s="5">
        <f>XLOOKUP(R2981, classification!C:C, classification!B:B, "Not Found")</f>
      </c>
      <c r="Q2981" s="1" t="s">
        <v>5514</v>
      </c>
      <c r="R2981" s="2"/>
      <c r="S2981" s="2"/>
      <c r="T2981" s="2"/>
      <c r="U2981" s="2"/>
    </row>
    <row x14ac:dyDescent="0.25" r="2982" customHeight="1" ht="17.25">
      <c r="A2982" s="7">
        <v>2981</v>
      </c>
      <c r="B2982" s="1" t="s">
        <v>8320</v>
      </c>
      <c r="C2982" s="5">
        <f>CONCATENATE("PD", TEXT(A2982, "1000000"))</f>
      </c>
      <c r="D2982" s="7">
        <v>75</v>
      </c>
      <c r="E2982" s="5">
        <f>XLOOKUP(G2982, item_category!C:C, item_category!B:B, "Not Found")</f>
      </c>
      <c r="F2982" s="1" t="s">
        <v>5541</v>
      </c>
      <c r="G2982" s="5">
        <f>XLOOKUP(I2982, drug!B:B, drug!A:A, "Not Found")</f>
      </c>
      <c r="H2982" s="1"/>
      <c r="I2982" s="7">
        <v>1</v>
      </c>
      <c r="J2982" s="5">
        <f>XLOOKUP(L2982, uom!C:C, uom!B:B, "Not Found")</f>
      </c>
      <c r="K2982" s="1" t="s">
        <v>5511</v>
      </c>
      <c r="L2982" s="5">
        <f>XLOOKUP(N2982, uom!C:C, uom!B:B, "Not Found")</f>
      </c>
      <c r="M2982" s="1" t="s">
        <v>5511</v>
      </c>
      <c r="N2982" s="8" t="s">
        <v>5512</v>
      </c>
      <c r="O2982" s="1" t="s">
        <v>5513</v>
      </c>
      <c r="P2982" s="5">
        <f>XLOOKUP(R2982, classification!C:C, classification!B:B, "Not Found")</f>
      </c>
      <c r="Q2982" s="1" t="s">
        <v>5514</v>
      </c>
      <c r="R2982" s="2"/>
      <c r="S2982" s="2"/>
      <c r="T2982" s="2"/>
      <c r="U2982" s="2"/>
    </row>
    <row x14ac:dyDescent="0.25" r="2983" customHeight="1" ht="17.25">
      <c r="A2983" s="7">
        <v>2982</v>
      </c>
      <c r="B2983" s="1" t="s">
        <v>8321</v>
      </c>
      <c r="C2983" s="5">
        <f>CONCATENATE("PD", TEXT(A2983, "1000000"))</f>
      </c>
      <c r="D2983" s="7">
        <v>75</v>
      </c>
      <c r="E2983" s="5">
        <f>XLOOKUP(G2983, item_category!C:C, item_category!B:B, "Not Found")</f>
      </c>
      <c r="F2983" s="1" t="s">
        <v>5541</v>
      </c>
      <c r="G2983" s="5">
        <f>XLOOKUP(I2983, drug!B:B, drug!A:A, "Not Found")</f>
      </c>
      <c r="H2983" s="1" t="s">
        <v>1942</v>
      </c>
      <c r="I2983" s="7">
        <v>1</v>
      </c>
      <c r="J2983" s="5">
        <f>XLOOKUP(L2983, uom!C:C, uom!B:B, "Not Found")</f>
      </c>
      <c r="K2983" s="1" t="s">
        <v>5511</v>
      </c>
      <c r="L2983" s="5">
        <f>XLOOKUP(N2983, uom!C:C, uom!B:B, "Not Found")</f>
      </c>
      <c r="M2983" s="1" t="s">
        <v>5511</v>
      </c>
      <c r="N2983" s="8" t="s">
        <v>5512</v>
      </c>
      <c r="O2983" s="1" t="s">
        <v>5513</v>
      </c>
      <c r="P2983" s="5">
        <f>XLOOKUP(R2983, classification!C:C, classification!B:B, "Not Found")</f>
      </c>
      <c r="Q2983" s="1" t="s">
        <v>5514</v>
      </c>
      <c r="R2983" s="2"/>
      <c r="S2983" s="2"/>
      <c r="T2983" s="2"/>
      <c r="U2983" s="2"/>
    </row>
    <row x14ac:dyDescent="0.25" r="2984" customHeight="1" ht="17.25">
      <c r="A2984" s="7">
        <v>2983</v>
      </c>
      <c r="B2984" s="1" t="s">
        <v>8322</v>
      </c>
      <c r="C2984" s="5">
        <f>CONCATENATE("PD", TEXT(A2984, "1000000"))</f>
      </c>
      <c r="D2984" s="7">
        <v>75</v>
      </c>
      <c r="E2984" s="5">
        <f>XLOOKUP(G2984, item_category!C:C, item_category!B:B, "Not Found")</f>
      </c>
      <c r="F2984" s="1" t="s">
        <v>5541</v>
      </c>
      <c r="G2984" s="5">
        <f>XLOOKUP(I2984, drug!B:B, drug!A:A, "Not Found")</f>
      </c>
      <c r="H2984" s="1"/>
      <c r="I2984" s="7">
        <v>1</v>
      </c>
      <c r="J2984" s="5">
        <f>XLOOKUP(L2984, uom!C:C, uom!B:B, "Not Found")</f>
      </c>
      <c r="K2984" s="1" t="s">
        <v>5511</v>
      </c>
      <c r="L2984" s="5">
        <f>XLOOKUP(N2984, uom!C:C, uom!B:B, "Not Found")</f>
      </c>
      <c r="M2984" s="1" t="s">
        <v>5511</v>
      </c>
      <c r="N2984" s="8" t="s">
        <v>5512</v>
      </c>
      <c r="O2984" s="1" t="s">
        <v>5513</v>
      </c>
      <c r="P2984" s="5">
        <f>XLOOKUP(R2984, classification!C:C, classification!B:B, "Not Found")</f>
      </c>
      <c r="Q2984" s="1" t="s">
        <v>5514</v>
      </c>
      <c r="R2984" s="2"/>
      <c r="S2984" s="2"/>
      <c r="T2984" s="2"/>
      <c r="U2984" s="2"/>
    </row>
    <row x14ac:dyDescent="0.25" r="2985" customHeight="1" ht="17.25">
      <c r="A2985" s="7">
        <v>2984</v>
      </c>
      <c r="B2985" s="1" t="s">
        <v>8323</v>
      </c>
      <c r="C2985" s="5">
        <f>CONCATENATE("PD", TEXT(A2985, "1000000"))</f>
      </c>
      <c r="D2985" s="7">
        <v>75</v>
      </c>
      <c r="E2985" s="5">
        <f>XLOOKUP(G2985, item_category!C:C, item_category!B:B, "Not Found")</f>
      </c>
      <c r="F2985" s="1" t="s">
        <v>5541</v>
      </c>
      <c r="G2985" s="5">
        <f>XLOOKUP(I2985, drug!B:B, drug!A:A, "Not Found")</f>
      </c>
      <c r="H2985" s="1" t="s">
        <v>1336</v>
      </c>
      <c r="I2985" s="7">
        <v>1</v>
      </c>
      <c r="J2985" s="5">
        <f>XLOOKUP(L2985, uom!C:C, uom!B:B, "Not Found")</f>
      </c>
      <c r="K2985" s="1" t="s">
        <v>5511</v>
      </c>
      <c r="L2985" s="5">
        <f>XLOOKUP(N2985, uom!C:C, uom!B:B, "Not Found")</f>
      </c>
      <c r="M2985" s="1" t="s">
        <v>5511</v>
      </c>
      <c r="N2985" s="8" t="s">
        <v>5512</v>
      </c>
      <c r="O2985" s="1" t="s">
        <v>5513</v>
      </c>
      <c r="P2985" s="5">
        <f>XLOOKUP(R2985, classification!C:C, classification!B:B, "Not Found")</f>
      </c>
      <c r="Q2985" s="1" t="s">
        <v>5514</v>
      </c>
      <c r="R2985" s="2"/>
      <c r="S2985" s="2"/>
      <c r="T2985" s="2"/>
      <c r="U2985" s="2"/>
    </row>
    <row x14ac:dyDescent="0.25" r="2986" customHeight="1" ht="17.25">
      <c r="A2986" s="7">
        <v>2985</v>
      </c>
      <c r="B2986" s="1" t="s">
        <v>8324</v>
      </c>
      <c r="C2986" s="5">
        <f>CONCATENATE("PD", TEXT(A2986, "1000000"))</f>
      </c>
      <c r="D2986" s="7">
        <v>75</v>
      </c>
      <c r="E2986" s="5">
        <f>XLOOKUP(G2986, item_category!C:C, item_category!B:B, "Not Found")</f>
      </c>
      <c r="F2986" s="1" t="s">
        <v>5541</v>
      </c>
      <c r="G2986" s="5">
        <f>XLOOKUP(I2986, drug!B:B, drug!A:A, "Not Found")</f>
      </c>
      <c r="H2986" s="1"/>
      <c r="I2986" s="7">
        <v>1</v>
      </c>
      <c r="J2986" s="5">
        <f>XLOOKUP(L2986, uom!C:C, uom!B:B, "Not Found")</f>
      </c>
      <c r="K2986" s="1" t="s">
        <v>5511</v>
      </c>
      <c r="L2986" s="5">
        <f>XLOOKUP(N2986, uom!C:C, uom!B:B, "Not Found")</f>
      </c>
      <c r="M2986" s="1" t="s">
        <v>5511</v>
      </c>
      <c r="N2986" s="8" t="s">
        <v>5512</v>
      </c>
      <c r="O2986" s="1" t="s">
        <v>5513</v>
      </c>
      <c r="P2986" s="5">
        <f>XLOOKUP(R2986, classification!C:C, classification!B:B, "Not Found")</f>
      </c>
      <c r="Q2986" s="1" t="s">
        <v>5514</v>
      </c>
      <c r="R2986" s="2"/>
      <c r="S2986" s="2"/>
      <c r="T2986" s="2"/>
      <c r="U2986" s="2"/>
    </row>
    <row x14ac:dyDescent="0.25" r="2987" customHeight="1" ht="17.25">
      <c r="A2987" s="7">
        <v>2986</v>
      </c>
      <c r="B2987" s="1" t="s">
        <v>8325</v>
      </c>
      <c r="C2987" s="5">
        <f>CONCATENATE("PD", TEXT(A2987, "1000000"))</f>
      </c>
      <c r="D2987" s="7">
        <v>75</v>
      </c>
      <c r="E2987" s="5">
        <f>XLOOKUP(G2987, item_category!C:C, item_category!B:B, "Not Found")</f>
      </c>
      <c r="F2987" s="1" t="s">
        <v>5541</v>
      </c>
      <c r="G2987" s="5">
        <f>XLOOKUP(I2987, drug!B:B, drug!A:A, "Not Found")</f>
      </c>
      <c r="H2987" s="1"/>
      <c r="I2987" s="7">
        <v>1</v>
      </c>
      <c r="J2987" s="5">
        <f>XLOOKUP(L2987, uom!C:C, uom!B:B, "Not Found")</f>
      </c>
      <c r="K2987" s="1" t="s">
        <v>5511</v>
      </c>
      <c r="L2987" s="5">
        <f>XLOOKUP(N2987, uom!C:C, uom!B:B, "Not Found")</f>
      </c>
      <c r="M2987" s="1" t="s">
        <v>5511</v>
      </c>
      <c r="N2987" s="8" t="s">
        <v>5512</v>
      </c>
      <c r="O2987" s="1" t="s">
        <v>5513</v>
      </c>
      <c r="P2987" s="5">
        <f>XLOOKUP(R2987, classification!C:C, classification!B:B, "Not Found")</f>
      </c>
      <c r="Q2987" s="1" t="s">
        <v>5514</v>
      </c>
      <c r="R2987" s="2"/>
      <c r="S2987" s="2"/>
      <c r="T2987" s="2"/>
      <c r="U2987" s="2"/>
    </row>
    <row x14ac:dyDescent="0.25" r="2988" customHeight="1" ht="17.25">
      <c r="A2988" s="7">
        <v>2987</v>
      </c>
      <c r="B2988" s="1" t="s">
        <v>8326</v>
      </c>
      <c r="C2988" s="5">
        <f>CONCATENATE("PD", TEXT(A2988, "1000000"))</f>
      </c>
      <c r="D2988" s="7">
        <v>75</v>
      </c>
      <c r="E2988" s="5">
        <f>XLOOKUP(G2988, item_category!C:C, item_category!B:B, "Not Found")</f>
      </c>
      <c r="F2988" s="1" t="s">
        <v>5541</v>
      </c>
      <c r="G2988" s="5">
        <f>XLOOKUP(I2988, drug!B:B, drug!A:A, "Not Found")</f>
      </c>
      <c r="H2988" s="1"/>
      <c r="I2988" s="7">
        <v>1</v>
      </c>
      <c r="J2988" s="5">
        <f>XLOOKUP(L2988, uom!C:C, uom!B:B, "Not Found")</f>
      </c>
      <c r="K2988" s="1" t="s">
        <v>5511</v>
      </c>
      <c r="L2988" s="5">
        <f>XLOOKUP(N2988, uom!C:C, uom!B:B, "Not Found")</f>
      </c>
      <c r="M2988" s="1" t="s">
        <v>5511</v>
      </c>
      <c r="N2988" s="8" t="s">
        <v>5512</v>
      </c>
      <c r="O2988" s="1" t="s">
        <v>5513</v>
      </c>
      <c r="P2988" s="5">
        <f>XLOOKUP(R2988, classification!C:C, classification!B:B, "Not Found")</f>
      </c>
      <c r="Q2988" s="1" t="s">
        <v>5514</v>
      </c>
      <c r="R2988" s="2"/>
      <c r="S2988" s="2"/>
      <c r="T2988" s="2"/>
      <c r="U2988" s="2"/>
    </row>
    <row x14ac:dyDescent="0.25" r="2989" customHeight="1" ht="17.25">
      <c r="A2989" s="7">
        <v>2988</v>
      </c>
      <c r="B2989" s="1" t="s">
        <v>8327</v>
      </c>
      <c r="C2989" s="5">
        <f>CONCATENATE("PD", TEXT(A2989, "1000000"))</f>
      </c>
      <c r="D2989" s="7">
        <v>75</v>
      </c>
      <c r="E2989" s="5">
        <f>XLOOKUP(G2989, item_category!C:C, item_category!B:B, "Not Found")</f>
      </c>
      <c r="F2989" s="1" t="s">
        <v>5541</v>
      </c>
      <c r="G2989" s="5">
        <f>XLOOKUP(I2989, drug!B:B, drug!A:A, "Not Found")</f>
      </c>
      <c r="H2989" s="1" t="s">
        <v>2078</v>
      </c>
      <c r="I2989" s="7">
        <v>1</v>
      </c>
      <c r="J2989" s="5">
        <f>XLOOKUP(L2989, uom!C:C, uom!B:B, "Not Found")</f>
      </c>
      <c r="K2989" s="1" t="s">
        <v>5511</v>
      </c>
      <c r="L2989" s="5">
        <f>XLOOKUP(N2989, uom!C:C, uom!B:B, "Not Found")</f>
      </c>
      <c r="M2989" s="1" t="s">
        <v>5511</v>
      </c>
      <c r="N2989" s="8" t="s">
        <v>5512</v>
      </c>
      <c r="O2989" s="1" t="s">
        <v>5513</v>
      </c>
      <c r="P2989" s="5">
        <f>XLOOKUP(R2989, classification!C:C, classification!B:B, "Not Found")</f>
      </c>
      <c r="Q2989" s="1" t="s">
        <v>5514</v>
      </c>
      <c r="R2989" s="2"/>
      <c r="S2989" s="2"/>
      <c r="T2989" s="2"/>
      <c r="U2989" s="2"/>
    </row>
    <row x14ac:dyDescent="0.25" r="2990" customHeight="1" ht="17.25">
      <c r="A2990" s="7">
        <v>2989</v>
      </c>
      <c r="B2990" s="1" t="s">
        <v>8328</v>
      </c>
      <c r="C2990" s="5">
        <f>CONCATENATE("PD", TEXT(A2990, "1000000"))</f>
      </c>
      <c r="D2990" s="7">
        <v>75</v>
      </c>
      <c r="E2990" s="5">
        <f>XLOOKUP(G2990, item_category!C:C, item_category!B:B, "Not Found")</f>
      </c>
      <c r="F2990" s="1" t="s">
        <v>5541</v>
      </c>
      <c r="G2990" s="5">
        <f>XLOOKUP(I2990, drug!B:B, drug!A:A, "Not Found")</f>
      </c>
      <c r="H2990" s="1"/>
      <c r="I2990" s="7">
        <v>1</v>
      </c>
      <c r="J2990" s="5">
        <f>XLOOKUP(L2990, uom!C:C, uom!B:B, "Not Found")</f>
      </c>
      <c r="K2990" s="1" t="s">
        <v>5511</v>
      </c>
      <c r="L2990" s="5">
        <f>XLOOKUP(N2990, uom!C:C, uom!B:B, "Not Found")</f>
      </c>
      <c r="M2990" s="1" t="s">
        <v>5511</v>
      </c>
      <c r="N2990" s="8" t="s">
        <v>5512</v>
      </c>
      <c r="O2990" s="1" t="s">
        <v>5513</v>
      </c>
      <c r="P2990" s="5">
        <f>XLOOKUP(R2990, classification!C:C, classification!B:B, "Not Found")</f>
      </c>
      <c r="Q2990" s="1" t="s">
        <v>5514</v>
      </c>
      <c r="R2990" s="2"/>
      <c r="S2990" s="2"/>
      <c r="T2990" s="2"/>
      <c r="U2990" s="2"/>
    </row>
    <row x14ac:dyDescent="0.25" r="2991" customHeight="1" ht="17.25">
      <c r="A2991" s="7">
        <v>2990</v>
      </c>
      <c r="B2991" s="1" t="s">
        <v>8329</v>
      </c>
      <c r="C2991" s="5">
        <f>CONCATENATE("PD", TEXT(A2991, "1000000"))</f>
      </c>
      <c r="D2991" s="7">
        <v>75</v>
      </c>
      <c r="E2991" s="5">
        <f>XLOOKUP(G2991, item_category!C:C, item_category!B:B, "Not Found")</f>
      </c>
      <c r="F2991" s="1" t="s">
        <v>5541</v>
      </c>
      <c r="G2991" s="5">
        <f>XLOOKUP(I2991, drug!B:B, drug!A:A, "Not Found")</f>
      </c>
      <c r="H2991" s="1"/>
      <c r="I2991" s="7">
        <v>1</v>
      </c>
      <c r="J2991" s="5">
        <f>XLOOKUP(L2991, uom!C:C, uom!B:B, "Not Found")</f>
      </c>
      <c r="K2991" s="1" t="s">
        <v>5511</v>
      </c>
      <c r="L2991" s="5">
        <f>XLOOKUP(N2991, uom!C:C, uom!B:B, "Not Found")</f>
      </c>
      <c r="M2991" s="1" t="s">
        <v>5511</v>
      </c>
      <c r="N2991" s="8" t="s">
        <v>5512</v>
      </c>
      <c r="O2991" s="1" t="s">
        <v>5513</v>
      </c>
      <c r="P2991" s="5">
        <f>XLOOKUP(R2991, classification!C:C, classification!B:B, "Not Found")</f>
      </c>
      <c r="Q2991" s="1" t="s">
        <v>5514</v>
      </c>
      <c r="R2991" s="2"/>
      <c r="S2991" s="2"/>
      <c r="T2991" s="2"/>
      <c r="U2991" s="2"/>
    </row>
    <row x14ac:dyDescent="0.25" r="2992" customHeight="1" ht="17.25">
      <c r="A2992" s="7">
        <v>2991</v>
      </c>
      <c r="B2992" s="1" t="s">
        <v>8330</v>
      </c>
      <c r="C2992" s="5">
        <f>CONCATENATE("PD", TEXT(A2992, "1000000"))</f>
      </c>
      <c r="D2992" s="7">
        <v>75</v>
      </c>
      <c r="E2992" s="5">
        <f>XLOOKUP(G2992, item_category!C:C, item_category!B:B, "Not Found")</f>
      </c>
      <c r="F2992" s="1" t="s">
        <v>5541</v>
      </c>
      <c r="G2992" s="5">
        <f>XLOOKUP(I2992, drug!B:B, drug!A:A, "Not Found")</f>
      </c>
      <c r="H2992" s="1"/>
      <c r="I2992" s="7">
        <v>1</v>
      </c>
      <c r="J2992" s="5">
        <f>XLOOKUP(L2992, uom!C:C, uom!B:B, "Not Found")</f>
      </c>
      <c r="K2992" s="1" t="s">
        <v>5511</v>
      </c>
      <c r="L2992" s="5">
        <f>XLOOKUP(N2992, uom!C:C, uom!B:B, "Not Found")</f>
      </c>
      <c r="M2992" s="1" t="s">
        <v>5511</v>
      </c>
      <c r="N2992" s="8" t="s">
        <v>5512</v>
      </c>
      <c r="O2992" s="1" t="s">
        <v>5513</v>
      </c>
      <c r="P2992" s="5">
        <f>XLOOKUP(R2992, classification!C:C, classification!B:B, "Not Found")</f>
      </c>
      <c r="Q2992" s="1" t="s">
        <v>5514</v>
      </c>
      <c r="R2992" s="2"/>
      <c r="S2992" s="2"/>
      <c r="T2992" s="2"/>
      <c r="U2992" s="2"/>
    </row>
    <row x14ac:dyDescent="0.25" r="2993" customHeight="1" ht="17.25">
      <c r="A2993" s="7">
        <v>2992</v>
      </c>
      <c r="B2993" s="1" t="s">
        <v>8331</v>
      </c>
      <c r="C2993" s="5">
        <f>CONCATENATE("PD", TEXT(A2993, "1000000"))</f>
      </c>
      <c r="D2993" s="7">
        <v>75</v>
      </c>
      <c r="E2993" s="5">
        <f>XLOOKUP(G2993, item_category!C:C, item_category!B:B, "Not Found")</f>
      </c>
      <c r="F2993" s="1" t="s">
        <v>5541</v>
      </c>
      <c r="G2993" s="5">
        <f>XLOOKUP(I2993, drug!B:B, drug!A:A, "Not Found")</f>
      </c>
      <c r="H2993" s="1" t="s">
        <v>1228</v>
      </c>
      <c r="I2993" s="7">
        <v>1</v>
      </c>
      <c r="J2993" s="5">
        <f>XLOOKUP(L2993, uom!C:C, uom!B:B, "Not Found")</f>
      </c>
      <c r="K2993" s="1" t="s">
        <v>5511</v>
      </c>
      <c r="L2993" s="5">
        <f>XLOOKUP(N2993, uom!C:C, uom!B:B, "Not Found")</f>
      </c>
      <c r="M2993" s="1" t="s">
        <v>5511</v>
      </c>
      <c r="N2993" s="8" t="s">
        <v>5512</v>
      </c>
      <c r="O2993" s="1" t="s">
        <v>5513</v>
      </c>
      <c r="P2993" s="5">
        <f>XLOOKUP(R2993, classification!C:C, classification!B:B, "Not Found")</f>
      </c>
      <c r="Q2993" s="1" t="s">
        <v>5514</v>
      </c>
      <c r="R2993" s="2"/>
      <c r="S2993" s="2"/>
      <c r="T2993" s="2"/>
      <c r="U2993" s="2"/>
    </row>
    <row x14ac:dyDescent="0.25" r="2994" customHeight="1" ht="17.25">
      <c r="A2994" s="7">
        <v>2993</v>
      </c>
      <c r="B2994" s="1" t="s">
        <v>8332</v>
      </c>
      <c r="C2994" s="5">
        <f>CONCATENATE("PD", TEXT(A2994, "1000000"))</f>
      </c>
      <c r="D2994" s="7">
        <v>75</v>
      </c>
      <c r="E2994" s="5">
        <f>XLOOKUP(G2994, item_category!C:C, item_category!B:B, "Not Found")</f>
      </c>
      <c r="F2994" s="1" t="s">
        <v>5541</v>
      </c>
      <c r="G2994" s="5">
        <f>XLOOKUP(I2994, drug!B:B, drug!A:A, "Not Found")</f>
      </c>
      <c r="H2994" s="1" t="s">
        <v>1942</v>
      </c>
      <c r="I2994" s="7">
        <v>1</v>
      </c>
      <c r="J2994" s="5">
        <f>XLOOKUP(L2994, uom!C:C, uom!B:B, "Not Found")</f>
      </c>
      <c r="K2994" s="1" t="s">
        <v>5511</v>
      </c>
      <c r="L2994" s="5">
        <f>XLOOKUP(N2994, uom!C:C, uom!B:B, "Not Found")</f>
      </c>
      <c r="M2994" s="1" t="s">
        <v>5511</v>
      </c>
      <c r="N2994" s="8" t="s">
        <v>5512</v>
      </c>
      <c r="O2994" s="1" t="s">
        <v>5513</v>
      </c>
      <c r="P2994" s="5">
        <f>XLOOKUP(R2994, classification!C:C, classification!B:B, "Not Found")</f>
      </c>
      <c r="Q2994" s="1" t="s">
        <v>5514</v>
      </c>
      <c r="R2994" s="2"/>
      <c r="S2994" s="2"/>
      <c r="T2994" s="2"/>
      <c r="U2994" s="2"/>
    </row>
    <row x14ac:dyDescent="0.25" r="2995" customHeight="1" ht="17.25">
      <c r="A2995" s="7">
        <v>2994</v>
      </c>
      <c r="B2995" s="1" t="s">
        <v>8333</v>
      </c>
      <c r="C2995" s="5">
        <f>CONCATENATE("PD", TEXT(A2995, "1000000"))</f>
      </c>
      <c r="D2995" s="7">
        <v>75</v>
      </c>
      <c r="E2995" s="5">
        <f>XLOOKUP(G2995, item_category!C:C, item_category!B:B, "Not Found")</f>
      </c>
      <c r="F2995" s="1" t="s">
        <v>5541</v>
      </c>
      <c r="G2995" s="5">
        <f>XLOOKUP(I2995, drug!B:B, drug!A:A, "Not Found")</f>
      </c>
      <c r="H2995" s="1" t="s">
        <v>1942</v>
      </c>
      <c r="I2995" s="7">
        <v>100</v>
      </c>
      <c r="J2995" s="5">
        <f>XLOOKUP(L2995, uom!C:C, uom!B:B, "Not Found")</f>
      </c>
      <c r="K2995" s="1" t="s">
        <v>5604</v>
      </c>
      <c r="L2995" s="5">
        <f>XLOOKUP(N2995, uom!C:C, uom!B:B, "Not Found")</f>
      </c>
      <c r="M2995" s="1" t="s">
        <v>5604</v>
      </c>
      <c r="N2995" s="8" t="s">
        <v>5524</v>
      </c>
      <c r="O2995" s="1" t="s">
        <v>5525</v>
      </c>
      <c r="P2995" s="5">
        <f>XLOOKUP(R2995, classification!C:C, classification!B:B, "Not Found")</f>
      </c>
      <c r="Q2995" s="1" t="s">
        <v>5514</v>
      </c>
      <c r="R2995" s="2"/>
      <c r="S2995" s="2"/>
      <c r="T2995" s="2"/>
      <c r="U2995" s="2"/>
    </row>
    <row x14ac:dyDescent="0.25" r="2996" customHeight="1" ht="17.25">
      <c r="A2996" s="7">
        <v>2995</v>
      </c>
      <c r="B2996" s="1" t="s">
        <v>8334</v>
      </c>
      <c r="C2996" s="5">
        <f>CONCATENATE("PD", TEXT(A2996, "1000000"))</f>
      </c>
      <c r="D2996" s="7">
        <v>75</v>
      </c>
      <c r="E2996" s="5">
        <f>XLOOKUP(G2996, item_category!C:C, item_category!B:B, "Not Found")</f>
      </c>
      <c r="F2996" s="1" t="s">
        <v>5541</v>
      </c>
      <c r="G2996" s="5">
        <f>XLOOKUP(I2996, drug!B:B, drug!A:A, "Not Found")</f>
      </c>
      <c r="H2996" s="1"/>
      <c r="I2996" s="7">
        <v>1</v>
      </c>
      <c r="J2996" s="5">
        <f>XLOOKUP(L2996, uom!C:C, uom!B:B, "Not Found")</f>
      </c>
      <c r="K2996" s="1" t="s">
        <v>5511</v>
      </c>
      <c r="L2996" s="5">
        <f>XLOOKUP(N2996, uom!C:C, uom!B:B, "Not Found")</f>
      </c>
      <c r="M2996" s="1" t="s">
        <v>5511</v>
      </c>
      <c r="N2996" s="8" t="s">
        <v>5512</v>
      </c>
      <c r="O2996" s="1" t="s">
        <v>5513</v>
      </c>
      <c r="P2996" s="5">
        <f>XLOOKUP(R2996, classification!C:C, classification!B:B, "Not Found")</f>
      </c>
      <c r="Q2996" s="1" t="s">
        <v>5514</v>
      </c>
      <c r="R2996" s="2"/>
      <c r="S2996" s="2"/>
      <c r="T2996" s="2"/>
      <c r="U2996" s="2"/>
    </row>
    <row x14ac:dyDescent="0.25" r="2997" customHeight="1" ht="17.25">
      <c r="A2997" s="7">
        <v>2996</v>
      </c>
      <c r="B2997" s="1" t="s">
        <v>8335</v>
      </c>
      <c r="C2997" s="5">
        <f>CONCATENATE("PD", TEXT(A2997, "1000000"))</f>
      </c>
      <c r="D2997" s="7">
        <v>75</v>
      </c>
      <c r="E2997" s="5">
        <f>XLOOKUP(G2997, item_category!C:C, item_category!B:B, "Not Found")</f>
      </c>
      <c r="F2997" s="1" t="s">
        <v>5541</v>
      </c>
      <c r="G2997" s="5">
        <f>XLOOKUP(I2997, drug!B:B, drug!A:A, "Not Found")</f>
      </c>
      <c r="H2997" s="1"/>
      <c r="I2997" s="7">
        <v>1</v>
      </c>
      <c r="J2997" s="5">
        <f>XLOOKUP(L2997, uom!C:C, uom!B:B, "Not Found")</f>
      </c>
      <c r="K2997" s="1" t="s">
        <v>5511</v>
      </c>
      <c r="L2997" s="5">
        <f>XLOOKUP(N2997, uom!C:C, uom!B:B, "Not Found")</f>
      </c>
      <c r="M2997" s="1" t="s">
        <v>5511</v>
      </c>
      <c r="N2997" s="8" t="s">
        <v>5512</v>
      </c>
      <c r="O2997" s="1" t="s">
        <v>5513</v>
      </c>
      <c r="P2997" s="5">
        <f>XLOOKUP(R2997, classification!C:C, classification!B:B, "Not Found")</f>
      </c>
      <c r="Q2997" s="1" t="s">
        <v>5514</v>
      </c>
      <c r="R2997" s="2"/>
      <c r="S2997" s="2"/>
      <c r="T2997" s="2"/>
      <c r="U2997" s="2"/>
    </row>
    <row x14ac:dyDescent="0.25" r="2998" customHeight="1" ht="17.25">
      <c r="A2998" s="7">
        <v>2997</v>
      </c>
      <c r="B2998" s="1" t="s">
        <v>8336</v>
      </c>
      <c r="C2998" s="5">
        <f>CONCATENATE("PD", TEXT(A2998, "1000000"))</f>
      </c>
      <c r="D2998" s="7">
        <v>75</v>
      </c>
      <c r="E2998" s="5">
        <f>XLOOKUP(G2998, item_category!C:C, item_category!B:B, "Not Found")</f>
      </c>
      <c r="F2998" s="1" t="s">
        <v>5541</v>
      </c>
      <c r="G2998" s="5">
        <f>XLOOKUP(I2998, drug!B:B, drug!A:A, "Not Found")</f>
      </c>
      <c r="H2998" s="1"/>
      <c r="I2998" s="7">
        <v>1</v>
      </c>
      <c r="J2998" s="5">
        <f>XLOOKUP(L2998, uom!C:C, uom!B:B, "Not Found")</f>
      </c>
      <c r="K2998" s="1" t="s">
        <v>5511</v>
      </c>
      <c r="L2998" s="5">
        <f>XLOOKUP(N2998, uom!C:C, uom!B:B, "Not Found")</f>
      </c>
      <c r="M2998" s="1" t="s">
        <v>5511</v>
      </c>
      <c r="N2998" s="8" t="s">
        <v>5512</v>
      </c>
      <c r="O2998" s="1" t="s">
        <v>5513</v>
      </c>
      <c r="P2998" s="5">
        <f>XLOOKUP(R2998, classification!C:C, classification!B:B, "Not Found")</f>
      </c>
      <c r="Q2998" s="1" t="s">
        <v>5514</v>
      </c>
      <c r="R2998" s="2"/>
      <c r="S2998" s="2"/>
      <c r="T2998" s="2"/>
      <c r="U2998" s="2"/>
    </row>
    <row x14ac:dyDescent="0.25" r="2999" customHeight="1" ht="17.25">
      <c r="A2999" s="7">
        <v>2998</v>
      </c>
      <c r="B2999" s="1" t="s">
        <v>8337</v>
      </c>
      <c r="C2999" s="5">
        <f>CONCATENATE("PD", TEXT(A2999, "1000000"))</f>
      </c>
      <c r="D2999" s="7">
        <v>75</v>
      </c>
      <c r="E2999" s="5">
        <f>XLOOKUP(G2999, item_category!C:C, item_category!B:B, "Not Found")</f>
      </c>
      <c r="F2999" s="1" t="s">
        <v>5541</v>
      </c>
      <c r="G2999" s="5">
        <f>XLOOKUP(I2999, drug!B:B, drug!A:A, "Not Found")</f>
      </c>
      <c r="H2999" s="1"/>
      <c r="I2999" s="7">
        <v>1</v>
      </c>
      <c r="J2999" s="5">
        <f>XLOOKUP(L2999, uom!C:C, uom!B:B, "Not Found")</f>
      </c>
      <c r="K2999" s="1" t="s">
        <v>5511</v>
      </c>
      <c r="L2999" s="5">
        <f>XLOOKUP(N2999, uom!C:C, uom!B:B, "Not Found")</f>
      </c>
      <c r="M2999" s="1" t="s">
        <v>5511</v>
      </c>
      <c r="N2999" s="8" t="s">
        <v>5512</v>
      </c>
      <c r="O2999" s="1" t="s">
        <v>5513</v>
      </c>
      <c r="P2999" s="5">
        <f>XLOOKUP(R2999, classification!C:C, classification!B:B, "Not Found")</f>
      </c>
      <c r="Q2999" s="1" t="s">
        <v>5514</v>
      </c>
      <c r="R2999" s="2"/>
      <c r="S2999" s="2"/>
      <c r="T2999" s="2"/>
      <c r="U2999" s="2"/>
    </row>
    <row x14ac:dyDescent="0.25" r="3000" customHeight="1" ht="17.25">
      <c r="A3000" s="7">
        <v>2999</v>
      </c>
      <c r="B3000" s="1" t="s">
        <v>8338</v>
      </c>
      <c r="C3000" s="5">
        <f>CONCATENATE("PD", TEXT(A3000, "1000000"))</f>
      </c>
      <c r="D3000" s="7">
        <v>75</v>
      </c>
      <c r="E3000" s="5">
        <f>XLOOKUP(G3000, item_category!C:C, item_category!B:B, "Not Found")</f>
      </c>
      <c r="F3000" s="1" t="s">
        <v>5541</v>
      </c>
      <c r="G3000" s="5">
        <f>XLOOKUP(I3000, drug!B:B, drug!A:A, "Not Found")</f>
      </c>
      <c r="H3000" s="1"/>
      <c r="I3000" s="7">
        <v>1</v>
      </c>
      <c r="J3000" s="5">
        <f>XLOOKUP(L3000, uom!C:C, uom!B:B, "Not Found")</f>
      </c>
      <c r="K3000" s="1" t="s">
        <v>5511</v>
      </c>
      <c r="L3000" s="5">
        <f>XLOOKUP(N3000, uom!C:C, uom!B:B, "Not Found")</f>
      </c>
      <c r="M3000" s="1" t="s">
        <v>5511</v>
      </c>
      <c r="N3000" s="8" t="s">
        <v>5512</v>
      </c>
      <c r="O3000" s="1" t="s">
        <v>5513</v>
      </c>
      <c r="P3000" s="5">
        <f>XLOOKUP(R3000, classification!C:C, classification!B:B, "Not Found")</f>
      </c>
      <c r="Q3000" s="1" t="s">
        <v>5514</v>
      </c>
      <c r="R3000" s="2"/>
      <c r="S3000" s="2"/>
      <c r="T3000" s="2"/>
      <c r="U3000" s="2"/>
    </row>
    <row x14ac:dyDescent="0.25" r="3001" customHeight="1" ht="17.25">
      <c r="A3001" s="7">
        <v>3000</v>
      </c>
      <c r="B3001" s="1" t="s">
        <v>8339</v>
      </c>
      <c r="C3001" s="5">
        <f>CONCATENATE("PD", TEXT(A3001, "1000000"))</f>
      </c>
      <c r="D3001" s="7">
        <v>75</v>
      </c>
      <c r="E3001" s="5">
        <f>XLOOKUP(G3001, item_category!C:C, item_category!B:B, "Not Found")</f>
      </c>
      <c r="F3001" s="1" t="s">
        <v>5541</v>
      </c>
      <c r="G3001" s="5">
        <f>XLOOKUP(I3001, drug!B:B, drug!A:A, "Not Found")</f>
      </c>
      <c r="H3001" s="1"/>
      <c r="I3001" s="7">
        <v>1</v>
      </c>
      <c r="J3001" s="5">
        <f>XLOOKUP(L3001, uom!C:C, uom!B:B, "Not Found")</f>
      </c>
      <c r="K3001" s="1" t="s">
        <v>5511</v>
      </c>
      <c r="L3001" s="5">
        <f>XLOOKUP(N3001, uom!C:C, uom!B:B, "Not Found")</f>
      </c>
      <c r="M3001" s="1" t="s">
        <v>5511</v>
      </c>
      <c r="N3001" s="8" t="s">
        <v>5512</v>
      </c>
      <c r="O3001" s="1" t="s">
        <v>5513</v>
      </c>
      <c r="P3001" s="5">
        <f>XLOOKUP(R3001, classification!C:C, classification!B:B, "Not Found")</f>
      </c>
      <c r="Q3001" s="1" t="s">
        <v>5514</v>
      </c>
      <c r="R3001" s="2"/>
      <c r="S3001" s="2"/>
      <c r="T3001" s="2"/>
      <c r="U3001" s="2"/>
    </row>
    <row x14ac:dyDescent="0.25" r="3002" customHeight="1" ht="17.25">
      <c r="A3002" s="7">
        <v>3001</v>
      </c>
      <c r="B3002" s="1" t="s">
        <v>3340</v>
      </c>
      <c r="C3002" s="5">
        <f>CONCATENATE("PD", TEXT(A3002, "1000000"))</f>
      </c>
      <c r="D3002" s="7">
        <v>75</v>
      </c>
      <c r="E3002" s="5">
        <f>XLOOKUP(G3002, item_category!C:C, item_category!B:B, "Not Found")</f>
      </c>
      <c r="F3002" s="1" t="s">
        <v>5541</v>
      </c>
      <c r="G3002" s="5">
        <f>XLOOKUP(I3002, drug!B:B, drug!A:A, "Not Found")</f>
      </c>
      <c r="H3002" s="1"/>
      <c r="I3002" s="7">
        <v>1</v>
      </c>
      <c r="J3002" s="5">
        <f>XLOOKUP(L3002, uom!C:C, uom!B:B, "Not Found")</f>
      </c>
      <c r="K3002" s="1" t="s">
        <v>5511</v>
      </c>
      <c r="L3002" s="5">
        <f>XLOOKUP(N3002, uom!C:C, uom!B:B, "Not Found")</f>
      </c>
      <c r="M3002" s="1" t="s">
        <v>5511</v>
      </c>
      <c r="N3002" s="8" t="s">
        <v>5512</v>
      </c>
      <c r="O3002" s="1" t="s">
        <v>5513</v>
      </c>
      <c r="P3002" s="5">
        <f>XLOOKUP(R3002, classification!C:C, classification!B:B, "Not Found")</f>
      </c>
      <c r="Q3002" s="1" t="s">
        <v>5514</v>
      </c>
      <c r="R3002" s="2"/>
      <c r="S3002" s="2"/>
      <c r="T3002" s="2"/>
      <c r="U3002" s="2"/>
    </row>
    <row x14ac:dyDescent="0.25" r="3003" customHeight="1" ht="17.25">
      <c r="A3003" s="7">
        <v>3002</v>
      </c>
      <c r="B3003" s="1" t="s">
        <v>8340</v>
      </c>
      <c r="C3003" s="5">
        <f>CONCATENATE("PD", TEXT(A3003, "1000000"))</f>
      </c>
      <c r="D3003" s="7">
        <v>75</v>
      </c>
      <c r="E3003" s="5">
        <f>XLOOKUP(G3003, item_category!C:C, item_category!B:B, "Not Found")</f>
      </c>
      <c r="F3003" s="1" t="s">
        <v>5541</v>
      </c>
      <c r="G3003" s="5">
        <f>XLOOKUP(I3003, drug!B:B, drug!A:A, "Not Found")</f>
      </c>
      <c r="H3003" s="1"/>
      <c r="I3003" s="7">
        <v>1</v>
      </c>
      <c r="J3003" s="5">
        <f>XLOOKUP(L3003, uom!C:C, uom!B:B, "Not Found")</f>
      </c>
      <c r="K3003" s="1" t="s">
        <v>5511</v>
      </c>
      <c r="L3003" s="5">
        <f>XLOOKUP(N3003, uom!C:C, uom!B:B, "Not Found")</f>
      </c>
      <c r="M3003" s="1" t="s">
        <v>5511</v>
      </c>
      <c r="N3003" s="8" t="s">
        <v>5512</v>
      </c>
      <c r="O3003" s="1" t="s">
        <v>5513</v>
      </c>
      <c r="P3003" s="5">
        <f>XLOOKUP(R3003, classification!C:C, classification!B:B, "Not Found")</f>
      </c>
      <c r="Q3003" s="1" t="s">
        <v>5514</v>
      </c>
      <c r="R3003" s="2"/>
      <c r="S3003" s="2"/>
      <c r="T3003" s="2"/>
      <c r="U3003" s="2"/>
    </row>
    <row x14ac:dyDescent="0.25" r="3004" customHeight="1" ht="17.25">
      <c r="A3004" s="7">
        <v>3003</v>
      </c>
      <c r="B3004" s="1" t="s">
        <v>8341</v>
      </c>
      <c r="C3004" s="5">
        <f>CONCATENATE("PD", TEXT(A3004, "1000000"))</f>
      </c>
      <c r="D3004" s="7">
        <v>75</v>
      </c>
      <c r="E3004" s="5">
        <f>XLOOKUP(G3004, item_category!C:C, item_category!B:B, "Not Found")</f>
      </c>
      <c r="F3004" s="1" t="s">
        <v>5541</v>
      </c>
      <c r="G3004" s="5">
        <f>XLOOKUP(I3004, drug!B:B, drug!A:A, "Not Found")</f>
      </c>
      <c r="H3004" s="1"/>
      <c r="I3004" s="7">
        <v>1</v>
      </c>
      <c r="J3004" s="5">
        <f>XLOOKUP(L3004, uom!C:C, uom!B:B, "Not Found")</f>
      </c>
      <c r="K3004" s="1" t="s">
        <v>5511</v>
      </c>
      <c r="L3004" s="5">
        <f>XLOOKUP(N3004, uom!C:C, uom!B:B, "Not Found")</f>
      </c>
      <c r="M3004" s="1" t="s">
        <v>5511</v>
      </c>
      <c r="N3004" s="8" t="s">
        <v>5512</v>
      </c>
      <c r="O3004" s="1" t="s">
        <v>5513</v>
      </c>
      <c r="P3004" s="5">
        <f>XLOOKUP(R3004, classification!C:C, classification!B:B, "Not Found")</f>
      </c>
      <c r="Q3004" s="1" t="s">
        <v>5514</v>
      </c>
      <c r="R3004" s="2"/>
      <c r="S3004" s="2"/>
      <c r="T3004" s="2"/>
      <c r="U3004" s="2"/>
    </row>
    <row x14ac:dyDescent="0.25" r="3005" customHeight="1" ht="17.25">
      <c r="A3005" s="7">
        <v>3004</v>
      </c>
      <c r="B3005" s="1" t="s">
        <v>8342</v>
      </c>
      <c r="C3005" s="5">
        <f>CONCATENATE("PD", TEXT(A3005, "1000000"))</f>
      </c>
      <c r="D3005" s="7">
        <v>75</v>
      </c>
      <c r="E3005" s="5">
        <f>XLOOKUP(G3005, item_category!C:C, item_category!B:B, "Not Found")</f>
      </c>
      <c r="F3005" s="1" t="s">
        <v>5541</v>
      </c>
      <c r="G3005" s="5">
        <f>XLOOKUP(I3005, drug!B:B, drug!A:A, "Not Found")</f>
      </c>
      <c r="H3005" s="1"/>
      <c r="I3005" s="7">
        <v>1</v>
      </c>
      <c r="J3005" s="5">
        <f>XLOOKUP(L3005, uom!C:C, uom!B:B, "Not Found")</f>
      </c>
      <c r="K3005" s="1" t="s">
        <v>5511</v>
      </c>
      <c r="L3005" s="5">
        <f>XLOOKUP(N3005, uom!C:C, uom!B:B, "Not Found")</f>
      </c>
      <c r="M3005" s="1" t="s">
        <v>5511</v>
      </c>
      <c r="N3005" s="8" t="s">
        <v>5512</v>
      </c>
      <c r="O3005" s="1" t="s">
        <v>5513</v>
      </c>
      <c r="P3005" s="5">
        <f>XLOOKUP(R3005, classification!C:C, classification!B:B, "Not Found")</f>
      </c>
      <c r="Q3005" s="1" t="s">
        <v>5514</v>
      </c>
      <c r="R3005" s="2"/>
      <c r="S3005" s="2"/>
      <c r="T3005" s="2"/>
      <c r="U3005" s="2"/>
    </row>
    <row x14ac:dyDescent="0.25" r="3006" customHeight="1" ht="17.25">
      <c r="A3006" s="7">
        <v>3005</v>
      </c>
      <c r="B3006" s="1" t="s">
        <v>8343</v>
      </c>
      <c r="C3006" s="5">
        <f>CONCATENATE("PD", TEXT(A3006, "1000000"))</f>
      </c>
      <c r="D3006" s="7">
        <v>75</v>
      </c>
      <c r="E3006" s="5">
        <f>XLOOKUP(G3006, item_category!C:C, item_category!B:B, "Not Found")</f>
      </c>
      <c r="F3006" s="1" t="s">
        <v>5541</v>
      </c>
      <c r="G3006" s="5">
        <f>XLOOKUP(I3006, drug!B:B, drug!A:A, "Not Found")</f>
      </c>
      <c r="H3006" s="1"/>
      <c r="I3006" s="7">
        <v>1</v>
      </c>
      <c r="J3006" s="5">
        <f>XLOOKUP(L3006, uom!C:C, uom!B:B, "Not Found")</f>
      </c>
      <c r="K3006" s="1" t="s">
        <v>5511</v>
      </c>
      <c r="L3006" s="5">
        <f>XLOOKUP(N3006, uom!C:C, uom!B:B, "Not Found")</f>
      </c>
      <c r="M3006" s="1" t="s">
        <v>5511</v>
      </c>
      <c r="N3006" s="8" t="s">
        <v>5512</v>
      </c>
      <c r="O3006" s="1" t="s">
        <v>5513</v>
      </c>
      <c r="P3006" s="5">
        <f>XLOOKUP(R3006, classification!C:C, classification!B:B, "Not Found")</f>
      </c>
      <c r="Q3006" s="1" t="s">
        <v>5514</v>
      </c>
      <c r="R3006" s="2"/>
      <c r="S3006" s="2"/>
      <c r="T3006" s="2"/>
      <c r="U3006" s="2"/>
    </row>
    <row x14ac:dyDescent="0.25" r="3007" customHeight="1" ht="17.25">
      <c r="A3007" s="7">
        <v>3006</v>
      </c>
      <c r="B3007" s="1" t="s">
        <v>8344</v>
      </c>
      <c r="C3007" s="5">
        <f>CONCATENATE("PD", TEXT(A3007, "1000000"))</f>
      </c>
      <c r="D3007" s="7">
        <v>75</v>
      </c>
      <c r="E3007" s="5">
        <f>XLOOKUP(G3007, item_category!C:C, item_category!B:B, "Not Found")</f>
      </c>
      <c r="F3007" s="1" t="s">
        <v>5541</v>
      </c>
      <c r="G3007" s="5">
        <f>XLOOKUP(I3007, drug!B:B, drug!A:A, "Not Found")</f>
      </c>
      <c r="H3007" s="1"/>
      <c r="I3007" s="7">
        <v>1</v>
      </c>
      <c r="J3007" s="5">
        <f>XLOOKUP(L3007, uom!C:C, uom!B:B, "Not Found")</f>
      </c>
      <c r="K3007" s="1" t="s">
        <v>5511</v>
      </c>
      <c r="L3007" s="5">
        <f>XLOOKUP(N3007, uom!C:C, uom!B:B, "Not Found")</f>
      </c>
      <c r="M3007" s="1" t="s">
        <v>5511</v>
      </c>
      <c r="N3007" s="8" t="s">
        <v>5512</v>
      </c>
      <c r="O3007" s="1" t="s">
        <v>5513</v>
      </c>
      <c r="P3007" s="5">
        <f>XLOOKUP(R3007, classification!C:C, classification!B:B, "Not Found")</f>
      </c>
      <c r="Q3007" s="1" t="s">
        <v>5514</v>
      </c>
      <c r="R3007" s="2"/>
      <c r="S3007" s="2"/>
      <c r="T3007" s="2"/>
      <c r="U3007" s="2"/>
    </row>
    <row x14ac:dyDescent="0.25" r="3008" customHeight="1" ht="17.25">
      <c r="A3008" s="7">
        <v>3007</v>
      </c>
      <c r="B3008" s="1" t="s">
        <v>8345</v>
      </c>
      <c r="C3008" s="5">
        <f>CONCATENATE("PD", TEXT(A3008, "1000000"))</f>
      </c>
      <c r="D3008" s="7">
        <v>75</v>
      </c>
      <c r="E3008" s="5">
        <f>XLOOKUP(G3008, item_category!C:C, item_category!B:B, "Not Found")</f>
      </c>
      <c r="F3008" s="1" t="s">
        <v>5541</v>
      </c>
      <c r="G3008" s="5">
        <f>XLOOKUP(I3008, drug!B:B, drug!A:A, "Not Found")</f>
      </c>
      <c r="H3008" s="1"/>
      <c r="I3008" s="7">
        <v>1</v>
      </c>
      <c r="J3008" s="5">
        <f>XLOOKUP(L3008, uom!C:C, uom!B:B, "Not Found")</f>
      </c>
      <c r="K3008" s="1" t="s">
        <v>5511</v>
      </c>
      <c r="L3008" s="5">
        <f>XLOOKUP(N3008, uom!C:C, uom!B:B, "Not Found")</f>
      </c>
      <c r="M3008" s="1" t="s">
        <v>5511</v>
      </c>
      <c r="N3008" s="8" t="s">
        <v>5512</v>
      </c>
      <c r="O3008" s="1" t="s">
        <v>5513</v>
      </c>
      <c r="P3008" s="5">
        <f>XLOOKUP(R3008, classification!C:C, classification!B:B, "Not Found")</f>
      </c>
      <c r="Q3008" s="1" t="s">
        <v>5514</v>
      </c>
      <c r="R3008" s="2"/>
      <c r="S3008" s="2"/>
      <c r="T3008" s="2"/>
      <c r="U3008" s="2"/>
    </row>
    <row x14ac:dyDescent="0.25" r="3009" customHeight="1" ht="17.25">
      <c r="A3009" s="7">
        <v>3008</v>
      </c>
      <c r="B3009" s="1" t="s">
        <v>8346</v>
      </c>
      <c r="C3009" s="5">
        <f>CONCATENATE("PD", TEXT(A3009, "1000000"))</f>
      </c>
      <c r="D3009" s="7">
        <v>75</v>
      </c>
      <c r="E3009" s="5">
        <f>XLOOKUP(G3009, item_category!C:C, item_category!B:B, "Not Found")</f>
      </c>
      <c r="F3009" s="1" t="s">
        <v>5541</v>
      </c>
      <c r="G3009" s="5">
        <f>XLOOKUP(I3009, drug!B:B, drug!A:A, "Not Found")</f>
      </c>
      <c r="H3009" s="1" t="s">
        <v>1994</v>
      </c>
      <c r="I3009" s="7">
        <v>1</v>
      </c>
      <c r="J3009" s="5">
        <f>XLOOKUP(L3009, uom!C:C, uom!B:B, "Not Found")</f>
      </c>
      <c r="K3009" s="1" t="s">
        <v>5511</v>
      </c>
      <c r="L3009" s="5">
        <f>XLOOKUP(N3009, uom!C:C, uom!B:B, "Not Found")</f>
      </c>
      <c r="M3009" s="1" t="s">
        <v>5511</v>
      </c>
      <c r="N3009" s="8" t="s">
        <v>5512</v>
      </c>
      <c r="O3009" s="1" t="s">
        <v>5513</v>
      </c>
      <c r="P3009" s="5">
        <f>XLOOKUP(R3009, classification!C:C, classification!B:B, "Not Found")</f>
      </c>
      <c r="Q3009" s="1" t="s">
        <v>5514</v>
      </c>
      <c r="R3009" s="2"/>
      <c r="S3009" s="2"/>
      <c r="T3009" s="2"/>
      <c r="U3009" s="2"/>
    </row>
    <row x14ac:dyDescent="0.25" r="3010" customHeight="1" ht="17.25">
      <c r="A3010" s="7">
        <v>3009</v>
      </c>
      <c r="B3010" s="1" t="s">
        <v>8347</v>
      </c>
      <c r="C3010" s="5">
        <f>CONCATENATE("PD", TEXT(A3010, "1000000"))</f>
      </c>
      <c r="D3010" s="7">
        <v>75</v>
      </c>
      <c r="E3010" s="5">
        <f>XLOOKUP(G3010, item_category!C:C, item_category!B:B, "Not Found")</f>
      </c>
      <c r="F3010" s="1" t="s">
        <v>5541</v>
      </c>
      <c r="G3010" s="5">
        <f>XLOOKUP(I3010, drug!B:B, drug!A:A, "Not Found")</f>
      </c>
      <c r="H3010" s="1" t="s">
        <v>1228</v>
      </c>
      <c r="I3010" s="7">
        <v>1</v>
      </c>
      <c r="J3010" s="5">
        <f>XLOOKUP(L3010, uom!C:C, uom!B:B, "Not Found")</f>
      </c>
      <c r="K3010" s="1" t="s">
        <v>5511</v>
      </c>
      <c r="L3010" s="5">
        <f>XLOOKUP(N3010, uom!C:C, uom!B:B, "Not Found")</f>
      </c>
      <c r="M3010" s="1" t="s">
        <v>5511</v>
      </c>
      <c r="N3010" s="8" t="s">
        <v>5512</v>
      </c>
      <c r="O3010" s="1" t="s">
        <v>5513</v>
      </c>
      <c r="P3010" s="5">
        <f>XLOOKUP(R3010, classification!C:C, classification!B:B, "Not Found")</f>
      </c>
      <c r="Q3010" s="1" t="s">
        <v>5514</v>
      </c>
      <c r="R3010" s="2"/>
      <c r="S3010" s="2"/>
      <c r="T3010" s="2"/>
      <c r="U3010" s="2"/>
    </row>
    <row x14ac:dyDescent="0.25" r="3011" customHeight="1" ht="17.25">
      <c r="A3011" s="7">
        <v>3010</v>
      </c>
      <c r="B3011" s="1" t="s">
        <v>8348</v>
      </c>
      <c r="C3011" s="5">
        <f>CONCATENATE("PD", TEXT(A3011, "1000000"))</f>
      </c>
      <c r="D3011" s="7">
        <v>75</v>
      </c>
      <c r="E3011" s="5">
        <f>XLOOKUP(G3011, item_category!C:C, item_category!B:B, "Not Found")</f>
      </c>
      <c r="F3011" s="1" t="s">
        <v>5541</v>
      </c>
      <c r="G3011" s="5">
        <f>XLOOKUP(I3011, drug!B:B, drug!A:A, "Not Found")</f>
      </c>
      <c r="H3011" s="1" t="s">
        <v>2008</v>
      </c>
      <c r="I3011" s="7">
        <v>1</v>
      </c>
      <c r="J3011" s="5">
        <f>XLOOKUP(L3011, uom!C:C, uom!B:B, "Not Found")</f>
      </c>
      <c r="K3011" s="1" t="s">
        <v>5511</v>
      </c>
      <c r="L3011" s="5">
        <f>XLOOKUP(N3011, uom!C:C, uom!B:B, "Not Found")</f>
      </c>
      <c r="M3011" s="1" t="s">
        <v>5511</v>
      </c>
      <c r="N3011" s="8" t="s">
        <v>5512</v>
      </c>
      <c r="O3011" s="1" t="s">
        <v>5513</v>
      </c>
      <c r="P3011" s="5">
        <f>XLOOKUP(R3011, classification!C:C, classification!B:B, "Not Found")</f>
      </c>
      <c r="Q3011" s="1" t="s">
        <v>5514</v>
      </c>
      <c r="R3011" s="2"/>
      <c r="S3011" s="2"/>
      <c r="T3011" s="2"/>
      <c r="U3011" s="2"/>
    </row>
    <row x14ac:dyDescent="0.25" r="3012" customHeight="1" ht="17.25">
      <c r="A3012" s="7">
        <v>3011</v>
      </c>
      <c r="B3012" s="1" t="s">
        <v>8349</v>
      </c>
      <c r="C3012" s="5">
        <f>CONCATENATE("PD", TEXT(A3012, "1000000"))</f>
      </c>
      <c r="D3012" s="7">
        <v>75</v>
      </c>
      <c r="E3012" s="5">
        <f>XLOOKUP(G3012, item_category!C:C, item_category!B:B, "Not Found")</f>
      </c>
      <c r="F3012" s="1" t="s">
        <v>5541</v>
      </c>
      <c r="G3012" s="5">
        <f>XLOOKUP(I3012, drug!B:B, drug!A:A, "Not Found")</f>
      </c>
      <c r="H3012" s="1"/>
      <c r="I3012" s="7">
        <v>1</v>
      </c>
      <c r="J3012" s="5">
        <f>XLOOKUP(L3012, uom!C:C, uom!B:B, "Not Found")</f>
      </c>
      <c r="K3012" s="1" t="s">
        <v>5511</v>
      </c>
      <c r="L3012" s="5">
        <f>XLOOKUP(N3012, uom!C:C, uom!B:B, "Not Found")</f>
      </c>
      <c r="M3012" s="1" t="s">
        <v>5511</v>
      </c>
      <c r="N3012" s="8" t="s">
        <v>5512</v>
      </c>
      <c r="O3012" s="1" t="s">
        <v>5513</v>
      </c>
      <c r="P3012" s="5">
        <f>XLOOKUP(R3012, classification!C:C, classification!B:B, "Not Found")</f>
      </c>
      <c r="Q3012" s="1" t="s">
        <v>5514</v>
      </c>
      <c r="R3012" s="2"/>
      <c r="S3012" s="2"/>
      <c r="T3012" s="2"/>
      <c r="U3012" s="2"/>
    </row>
    <row x14ac:dyDescent="0.25" r="3013" customHeight="1" ht="17.25">
      <c r="A3013" s="7">
        <v>3012</v>
      </c>
      <c r="B3013" s="1" t="s">
        <v>8350</v>
      </c>
      <c r="C3013" s="5">
        <f>CONCATENATE("PD", TEXT(A3013, "1000000"))</f>
      </c>
      <c r="D3013" s="7">
        <v>75</v>
      </c>
      <c r="E3013" s="5">
        <f>XLOOKUP(G3013, item_category!C:C, item_category!B:B, "Not Found")</f>
      </c>
      <c r="F3013" s="1" t="s">
        <v>5541</v>
      </c>
      <c r="G3013" s="5">
        <f>XLOOKUP(I3013, drug!B:B, drug!A:A, "Not Found")</f>
      </c>
      <c r="H3013" s="1" t="s">
        <v>1942</v>
      </c>
      <c r="I3013" s="7">
        <v>1</v>
      </c>
      <c r="J3013" s="5">
        <f>XLOOKUP(L3013, uom!C:C, uom!B:B, "Not Found")</f>
      </c>
      <c r="K3013" s="1" t="s">
        <v>5511</v>
      </c>
      <c r="L3013" s="5">
        <f>XLOOKUP(N3013, uom!C:C, uom!B:B, "Not Found")</f>
      </c>
      <c r="M3013" s="1" t="s">
        <v>5511</v>
      </c>
      <c r="N3013" s="8" t="s">
        <v>5512</v>
      </c>
      <c r="O3013" s="1" t="s">
        <v>5513</v>
      </c>
      <c r="P3013" s="5">
        <f>XLOOKUP(R3013, classification!C:C, classification!B:B, "Not Found")</f>
      </c>
      <c r="Q3013" s="1" t="s">
        <v>5514</v>
      </c>
      <c r="R3013" s="2"/>
      <c r="S3013" s="2"/>
      <c r="T3013" s="2"/>
      <c r="U3013" s="2"/>
    </row>
    <row x14ac:dyDescent="0.25" r="3014" customHeight="1" ht="17.25">
      <c r="A3014" s="7">
        <v>3013</v>
      </c>
      <c r="B3014" s="1" t="s">
        <v>8351</v>
      </c>
      <c r="C3014" s="5">
        <f>CONCATENATE("PD", TEXT(A3014, "1000000"))</f>
      </c>
      <c r="D3014" s="7">
        <v>75</v>
      </c>
      <c r="E3014" s="5">
        <f>XLOOKUP(G3014, item_category!C:C, item_category!B:B, "Not Found")</f>
      </c>
      <c r="F3014" s="1" t="s">
        <v>5541</v>
      </c>
      <c r="G3014" s="5">
        <f>XLOOKUP(I3014, drug!B:B, drug!A:A, "Not Found")</f>
      </c>
      <c r="H3014" s="1" t="s">
        <v>857</v>
      </c>
      <c r="I3014" s="7">
        <v>1</v>
      </c>
      <c r="J3014" s="5">
        <f>XLOOKUP(L3014, uom!C:C, uom!B:B, "Not Found")</f>
      </c>
      <c r="K3014" s="1" t="s">
        <v>5511</v>
      </c>
      <c r="L3014" s="5">
        <f>XLOOKUP(N3014, uom!C:C, uom!B:B, "Not Found")</f>
      </c>
      <c r="M3014" s="1" t="s">
        <v>5511</v>
      </c>
      <c r="N3014" s="8" t="s">
        <v>5512</v>
      </c>
      <c r="O3014" s="1" t="s">
        <v>5513</v>
      </c>
      <c r="P3014" s="5">
        <f>XLOOKUP(R3014, classification!C:C, classification!B:B, "Not Found")</f>
      </c>
      <c r="Q3014" s="1" t="s">
        <v>5514</v>
      </c>
      <c r="R3014" s="2"/>
      <c r="S3014" s="2"/>
      <c r="T3014" s="2"/>
      <c r="U3014" s="2"/>
    </row>
    <row x14ac:dyDescent="0.25" r="3015" customHeight="1" ht="17.25">
      <c r="A3015" s="7">
        <v>3014</v>
      </c>
      <c r="B3015" s="1" t="s">
        <v>8352</v>
      </c>
      <c r="C3015" s="5">
        <f>CONCATENATE("PD", TEXT(A3015, "1000000"))</f>
      </c>
      <c r="D3015" s="7">
        <v>75</v>
      </c>
      <c r="E3015" s="5">
        <f>XLOOKUP(G3015, item_category!C:C, item_category!B:B, "Not Found")</f>
      </c>
      <c r="F3015" s="1" t="s">
        <v>5541</v>
      </c>
      <c r="G3015" s="5">
        <f>XLOOKUP(I3015, drug!B:B, drug!A:A, "Not Found")</f>
      </c>
      <c r="H3015" s="1"/>
      <c r="I3015" s="7">
        <v>1</v>
      </c>
      <c r="J3015" s="5">
        <f>XLOOKUP(L3015, uom!C:C, uom!B:B, "Not Found")</f>
      </c>
      <c r="K3015" s="1" t="s">
        <v>5511</v>
      </c>
      <c r="L3015" s="5">
        <f>XLOOKUP(N3015, uom!C:C, uom!B:B, "Not Found")</f>
      </c>
      <c r="M3015" s="1" t="s">
        <v>5511</v>
      </c>
      <c r="N3015" s="8" t="s">
        <v>5512</v>
      </c>
      <c r="O3015" s="1" t="s">
        <v>5513</v>
      </c>
      <c r="P3015" s="5">
        <f>XLOOKUP(R3015, classification!C:C, classification!B:B, "Not Found")</f>
      </c>
      <c r="Q3015" s="1" t="s">
        <v>5514</v>
      </c>
      <c r="R3015" s="2"/>
      <c r="S3015" s="2"/>
      <c r="T3015" s="2"/>
      <c r="U3015" s="2"/>
    </row>
    <row x14ac:dyDescent="0.25" r="3016" customHeight="1" ht="17.25">
      <c r="A3016" s="7">
        <v>3015</v>
      </c>
      <c r="B3016" s="1" t="s">
        <v>8353</v>
      </c>
      <c r="C3016" s="5">
        <f>CONCATENATE("PD", TEXT(A3016, "1000000"))</f>
      </c>
      <c r="D3016" s="7">
        <v>75</v>
      </c>
      <c r="E3016" s="5">
        <f>XLOOKUP(G3016, item_category!C:C, item_category!B:B, "Not Found")</f>
      </c>
      <c r="F3016" s="1" t="s">
        <v>5541</v>
      </c>
      <c r="G3016" s="5">
        <f>XLOOKUP(I3016, drug!B:B, drug!A:A, "Not Found")</f>
      </c>
      <c r="H3016" s="1"/>
      <c r="I3016" s="7">
        <v>1</v>
      </c>
      <c r="J3016" s="5">
        <f>XLOOKUP(L3016, uom!C:C, uom!B:B, "Not Found")</f>
      </c>
      <c r="K3016" s="1" t="s">
        <v>5511</v>
      </c>
      <c r="L3016" s="5">
        <f>XLOOKUP(N3016, uom!C:C, uom!B:B, "Not Found")</f>
      </c>
      <c r="M3016" s="1" t="s">
        <v>5511</v>
      </c>
      <c r="N3016" s="8" t="s">
        <v>5512</v>
      </c>
      <c r="O3016" s="1" t="s">
        <v>5513</v>
      </c>
      <c r="P3016" s="5">
        <f>XLOOKUP(R3016, classification!C:C, classification!B:B, "Not Found")</f>
      </c>
      <c r="Q3016" s="1" t="s">
        <v>5514</v>
      </c>
      <c r="R3016" s="2"/>
      <c r="S3016" s="2"/>
      <c r="T3016" s="2"/>
      <c r="U3016" s="2"/>
    </row>
    <row x14ac:dyDescent="0.25" r="3017" customHeight="1" ht="17.25">
      <c r="A3017" s="7">
        <v>3016</v>
      </c>
      <c r="B3017" s="1" t="s">
        <v>8354</v>
      </c>
      <c r="C3017" s="5">
        <f>CONCATENATE("PD", TEXT(A3017, "1000000"))</f>
      </c>
      <c r="D3017" s="7">
        <v>75</v>
      </c>
      <c r="E3017" s="5">
        <f>XLOOKUP(G3017, item_category!C:C, item_category!B:B, "Not Found")</f>
      </c>
      <c r="F3017" s="1" t="s">
        <v>5541</v>
      </c>
      <c r="G3017" s="5">
        <f>XLOOKUP(I3017, drug!B:B, drug!A:A, "Not Found")</f>
      </c>
      <c r="H3017" s="1"/>
      <c r="I3017" s="7">
        <v>1</v>
      </c>
      <c r="J3017" s="5">
        <f>XLOOKUP(L3017, uom!C:C, uom!B:B, "Not Found")</f>
      </c>
      <c r="K3017" s="1" t="s">
        <v>5511</v>
      </c>
      <c r="L3017" s="5">
        <f>XLOOKUP(N3017, uom!C:C, uom!B:B, "Not Found")</f>
      </c>
      <c r="M3017" s="1" t="s">
        <v>5511</v>
      </c>
      <c r="N3017" s="8" t="s">
        <v>5512</v>
      </c>
      <c r="O3017" s="1" t="s">
        <v>5513</v>
      </c>
      <c r="P3017" s="5">
        <f>XLOOKUP(R3017, classification!C:C, classification!B:B, "Not Found")</f>
      </c>
      <c r="Q3017" s="1" t="s">
        <v>5514</v>
      </c>
      <c r="R3017" s="2"/>
      <c r="S3017" s="2"/>
      <c r="T3017" s="2"/>
      <c r="U3017" s="2"/>
    </row>
    <row x14ac:dyDescent="0.25" r="3018" customHeight="1" ht="17.25">
      <c r="A3018" s="7">
        <v>3017</v>
      </c>
      <c r="B3018" s="1" t="s">
        <v>8355</v>
      </c>
      <c r="C3018" s="5">
        <f>CONCATENATE("PD", TEXT(A3018, "1000000"))</f>
      </c>
      <c r="D3018" s="7">
        <v>75</v>
      </c>
      <c r="E3018" s="5">
        <f>XLOOKUP(G3018, item_category!C:C, item_category!B:B, "Not Found")</f>
      </c>
      <c r="F3018" s="1" t="s">
        <v>5541</v>
      </c>
      <c r="G3018" s="5">
        <f>XLOOKUP(I3018, drug!B:B, drug!A:A, "Not Found")</f>
      </c>
      <c r="H3018" s="1"/>
      <c r="I3018" s="7">
        <v>1</v>
      </c>
      <c r="J3018" s="5">
        <f>XLOOKUP(L3018, uom!C:C, uom!B:B, "Not Found")</f>
      </c>
      <c r="K3018" s="1" t="s">
        <v>5511</v>
      </c>
      <c r="L3018" s="5">
        <f>XLOOKUP(N3018, uom!C:C, uom!B:B, "Not Found")</f>
      </c>
      <c r="M3018" s="1" t="s">
        <v>5511</v>
      </c>
      <c r="N3018" s="8" t="s">
        <v>5512</v>
      </c>
      <c r="O3018" s="1" t="s">
        <v>5513</v>
      </c>
      <c r="P3018" s="5">
        <f>XLOOKUP(R3018, classification!C:C, classification!B:B, "Not Found")</f>
      </c>
      <c r="Q3018" s="1" t="s">
        <v>5514</v>
      </c>
      <c r="R3018" s="2"/>
      <c r="S3018" s="2"/>
      <c r="T3018" s="2"/>
      <c r="U3018" s="2"/>
    </row>
    <row x14ac:dyDescent="0.25" r="3019" customHeight="1" ht="17.25">
      <c r="A3019" s="7">
        <v>3018</v>
      </c>
      <c r="B3019" s="1" t="s">
        <v>8356</v>
      </c>
      <c r="C3019" s="5">
        <f>CONCATENATE("PD", TEXT(A3019, "1000000"))</f>
      </c>
      <c r="D3019" s="7">
        <v>75</v>
      </c>
      <c r="E3019" s="5">
        <f>XLOOKUP(G3019, item_category!C:C, item_category!B:B, "Not Found")</f>
      </c>
      <c r="F3019" s="1" t="s">
        <v>5541</v>
      </c>
      <c r="G3019" s="5">
        <f>XLOOKUP(I3019, drug!B:B, drug!A:A, "Not Found")</f>
      </c>
      <c r="H3019" s="1"/>
      <c r="I3019" s="7">
        <v>1</v>
      </c>
      <c r="J3019" s="5">
        <f>XLOOKUP(L3019, uom!C:C, uom!B:B, "Not Found")</f>
      </c>
      <c r="K3019" s="1" t="s">
        <v>5511</v>
      </c>
      <c r="L3019" s="5">
        <f>XLOOKUP(N3019, uom!C:C, uom!B:B, "Not Found")</f>
      </c>
      <c r="M3019" s="1" t="s">
        <v>5511</v>
      </c>
      <c r="N3019" s="8" t="s">
        <v>5512</v>
      </c>
      <c r="O3019" s="1" t="s">
        <v>5513</v>
      </c>
      <c r="P3019" s="5">
        <f>XLOOKUP(R3019, classification!C:C, classification!B:B, "Not Found")</f>
      </c>
      <c r="Q3019" s="1" t="s">
        <v>5514</v>
      </c>
      <c r="R3019" s="2"/>
      <c r="S3019" s="2"/>
      <c r="T3019" s="2"/>
      <c r="U3019" s="2"/>
    </row>
    <row x14ac:dyDescent="0.25" r="3020" customHeight="1" ht="17.25">
      <c r="A3020" s="7">
        <v>3019</v>
      </c>
      <c r="B3020" s="1" t="s">
        <v>8357</v>
      </c>
      <c r="C3020" s="5">
        <f>CONCATENATE("PD", TEXT(A3020, "1000000"))</f>
      </c>
      <c r="D3020" s="7">
        <v>75</v>
      </c>
      <c r="E3020" s="5">
        <f>XLOOKUP(G3020, item_category!C:C, item_category!B:B, "Not Found")</f>
      </c>
      <c r="F3020" s="1" t="s">
        <v>5541</v>
      </c>
      <c r="G3020" s="5">
        <f>XLOOKUP(I3020, drug!B:B, drug!A:A, "Not Found")</f>
      </c>
      <c r="H3020" s="1" t="s">
        <v>1994</v>
      </c>
      <c r="I3020" s="7">
        <v>100</v>
      </c>
      <c r="J3020" s="5">
        <f>XLOOKUP(L3020, uom!C:C, uom!B:B, "Not Found")</f>
      </c>
      <c r="K3020" s="1" t="s">
        <v>5511</v>
      </c>
      <c r="L3020" s="5">
        <f>XLOOKUP(N3020, uom!C:C, uom!B:B, "Not Found")</f>
      </c>
      <c r="M3020" s="1" t="s">
        <v>5511</v>
      </c>
      <c r="N3020" s="8" t="s">
        <v>5524</v>
      </c>
      <c r="O3020" s="1" t="s">
        <v>5525</v>
      </c>
      <c r="P3020" s="5">
        <f>XLOOKUP(R3020, classification!C:C, classification!B:B, "Not Found")</f>
      </c>
      <c r="Q3020" s="1" t="s">
        <v>5514</v>
      </c>
      <c r="R3020" s="2"/>
      <c r="S3020" s="2"/>
      <c r="T3020" s="2"/>
      <c r="U3020" s="2"/>
    </row>
    <row x14ac:dyDescent="0.25" r="3021" customHeight="1" ht="17.25">
      <c r="A3021" s="7">
        <v>3020</v>
      </c>
      <c r="B3021" s="1" t="s">
        <v>8358</v>
      </c>
      <c r="C3021" s="5">
        <f>CONCATENATE("PD", TEXT(A3021, "1000000"))</f>
      </c>
      <c r="D3021" s="7">
        <v>75</v>
      </c>
      <c r="E3021" s="5">
        <f>XLOOKUP(G3021, item_category!C:C, item_category!B:B, "Not Found")</f>
      </c>
      <c r="F3021" s="1" t="s">
        <v>5541</v>
      </c>
      <c r="G3021" s="5">
        <f>XLOOKUP(I3021, drug!B:B, drug!A:A, "Not Found")</f>
      </c>
      <c r="H3021" s="1"/>
      <c r="I3021" s="7">
        <v>150</v>
      </c>
      <c r="J3021" s="5">
        <f>XLOOKUP(L3021, uom!C:C, uom!B:B, "Not Found")</f>
      </c>
      <c r="K3021" s="1" t="s">
        <v>5544</v>
      </c>
      <c r="L3021" s="5">
        <f>XLOOKUP(N3021, uom!C:C, uom!B:B, "Not Found")</f>
      </c>
      <c r="M3021" s="1" t="s">
        <v>5544</v>
      </c>
      <c r="N3021" s="8" t="s">
        <v>5524</v>
      </c>
      <c r="O3021" s="1" t="s">
        <v>5525</v>
      </c>
      <c r="P3021" s="5">
        <f>XLOOKUP(R3021, classification!C:C, classification!B:B, "Not Found")</f>
      </c>
      <c r="Q3021" s="1" t="s">
        <v>5514</v>
      </c>
      <c r="R3021" s="2"/>
      <c r="S3021" s="2"/>
      <c r="T3021" s="2"/>
      <c r="U3021" s="2"/>
    </row>
    <row x14ac:dyDescent="0.25" r="3022" customHeight="1" ht="17.25">
      <c r="A3022" s="7">
        <v>3021</v>
      </c>
      <c r="B3022" s="1" t="s">
        <v>8359</v>
      </c>
      <c r="C3022" s="5">
        <f>CONCATENATE("PD", TEXT(A3022, "1000000"))</f>
      </c>
      <c r="D3022" s="7">
        <v>75</v>
      </c>
      <c r="E3022" s="5">
        <f>XLOOKUP(G3022, item_category!C:C, item_category!B:B, "Not Found")</f>
      </c>
      <c r="F3022" s="1" t="s">
        <v>5541</v>
      </c>
      <c r="G3022" s="5">
        <f>XLOOKUP(I3022, drug!B:B, drug!A:A, "Not Found")</f>
      </c>
      <c r="H3022" s="1" t="s">
        <v>504</v>
      </c>
      <c r="I3022" s="7">
        <v>1</v>
      </c>
      <c r="J3022" s="5">
        <f>XLOOKUP(L3022, uom!C:C, uom!B:B, "Not Found")</f>
      </c>
      <c r="K3022" s="1" t="s">
        <v>5511</v>
      </c>
      <c r="L3022" s="5">
        <f>XLOOKUP(N3022, uom!C:C, uom!B:B, "Not Found")</f>
      </c>
      <c r="M3022" s="1" t="s">
        <v>5511</v>
      </c>
      <c r="N3022" s="8" t="s">
        <v>5512</v>
      </c>
      <c r="O3022" s="1" t="s">
        <v>5513</v>
      </c>
      <c r="P3022" s="5">
        <f>XLOOKUP(R3022, classification!C:C, classification!B:B, "Not Found")</f>
      </c>
      <c r="Q3022" s="1" t="s">
        <v>5514</v>
      </c>
      <c r="R3022" s="2"/>
      <c r="S3022" s="2"/>
      <c r="T3022" s="2"/>
      <c r="U3022" s="2"/>
    </row>
    <row x14ac:dyDescent="0.25" r="3023" customHeight="1" ht="17.25">
      <c r="A3023" s="7">
        <v>3022</v>
      </c>
      <c r="B3023" s="1" t="s">
        <v>8360</v>
      </c>
      <c r="C3023" s="5">
        <f>CONCATENATE("PD", TEXT(A3023, "1000000"))</f>
      </c>
      <c r="D3023" s="7">
        <v>75</v>
      </c>
      <c r="E3023" s="5">
        <f>XLOOKUP(G3023, item_category!C:C, item_category!B:B, "Not Found")</f>
      </c>
      <c r="F3023" s="1" t="s">
        <v>5541</v>
      </c>
      <c r="G3023" s="5">
        <f>XLOOKUP(I3023, drug!B:B, drug!A:A, "Not Found")</f>
      </c>
      <c r="H3023" s="1"/>
      <c r="I3023" s="7">
        <v>1</v>
      </c>
      <c r="J3023" s="5">
        <f>XLOOKUP(L3023, uom!C:C, uom!B:B, "Not Found")</f>
      </c>
      <c r="K3023" s="1" t="s">
        <v>5511</v>
      </c>
      <c r="L3023" s="5">
        <f>XLOOKUP(N3023, uom!C:C, uom!B:B, "Not Found")</f>
      </c>
      <c r="M3023" s="1" t="s">
        <v>5511</v>
      </c>
      <c r="N3023" s="8" t="s">
        <v>5512</v>
      </c>
      <c r="O3023" s="1" t="s">
        <v>5513</v>
      </c>
      <c r="P3023" s="5">
        <f>XLOOKUP(R3023, classification!C:C, classification!B:B, "Not Found")</f>
      </c>
      <c r="Q3023" s="1" t="s">
        <v>5514</v>
      </c>
      <c r="R3023" s="2"/>
      <c r="S3023" s="2"/>
      <c r="T3023" s="2"/>
      <c r="U3023" s="2"/>
    </row>
    <row x14ac:dyDescent="0.25" r="3024" customHeight="1" ht="17.25">
      <c r="A3024" s="7">
        <v>3023</v>
      </c>
      <c r="B3024" s="1" t="s">
        <v>8361</v>
      </c>
      <c r="C3024" s="5">
        <f>CONCATENATE("PD", TEXT(A3024, "1000000"))</f>
      </c>
      <c r="D3024" s="7">
        <v>75</v>
      </c>
      <c r="E3024" s="5">
        <f>XLOOKUP(G3024, item_category!C:C, item_category!B:B, "Not Found")</f>
      </c>
      <c r="F3024" s="1" t="s">
        <v>5541</v>
      </c>
      <c r="G3024" s="5">
        <f>XLOOKUP(I3024, drug!B:B, drug!A:A, "Not Found")</f>
      </c>
      <c r="H3024" s="1" t="s">
        <v>1942</v>
      </c>
      <c r="I3024" s="7">
        <v>1</v>
      </c>
      <c r="J3024" s="5">
        <f>XLOOKUP(L3024, uom!C:C, uom!B:B, "Not Found")</f>
      </c>
      <c r="K3024" s="1" t="s">
        <v>5511</v>
      </c>
      <c r="L3024" s="5">
        <f>XLOOKUP(N3024, uom!C:C, uom!B:B, "Not Found")</f>
      </c>
      <c r="M3024" s="1" t="s">
        <v>5511</v>
      </c>
      <c r="N3024" s="8" t="s">
        <v>5512</v>
      </c>
      <c r="O3024" s="1" t="s">
        <v>5513</v>
      </c>
      <c r="P3024" s="5">
        <f>XLOOKUP(R3024, classification!C:C, classification!B:B, "Not Found")</f>
      </c>
      <c r="Q3024" s="1" t="s">
        <v>5514</v>
      </c>
      <c r="R3024" s="2"/>
      <c r="S3024" s="2"/>
      <c r="T3024" s="2"/>
      <c r="U3024" s="2"/>
    </row>
    <row x14ac:dyDescent="0.25" r="3025" customHeight="1" ht="17.25">
      <c r="A3025" s="7">
        <v>3024</v>
      </c>
      <c r="B3025" s="1" t="s">
        <v>8362</v>
      </c>
      <c r="C3025" s="5">
        <f>CONCATENATE("PD", TEXT(A3025, "1000000"))</f>
      </c>
      <c r="D3025" s="7">
        <v>75</v>
      </c>
      <c r="E3025" s="5">
        <f>XLOOKUP(G3025, item_category!C:C, item_category!B:B, "Not Found")</f>
      </c>
      <c r="F3025" s="1" t="s">
        <v>5541</v>
      </c>
      <c r="G3025" s="5">
        <f>XLOOKUP(I3025, drug!B:B, drug!A:A, "Not Found")</f>
      </c>
      <c r="H3025" s="1"/>
      <c r="I3025" s="7">
        <v>1</v>
      </c>
      <c r="J3025" s="5">
        <f>XLOOKUP(L3025, uom!C:C, uom!B:B, "Not Found")</f>
      </c>
      <c r="K3025" s="1" t="s">
        <v>5511</v>
      </c>
      <c r="L3025" s="5">
        <f>XLOOKUP(N3025, uom!C:C, uom!B:B, "Not Found")</f>
      </c>
      <c r="M3025" s="1" t="s">
        <v>5511</v>
      </c>
      <c r="N3025" s="8" t="s">
        <v>5512</v>
      </c>
      <c r="O3025" s="1" t="s">
        <v>5513</v>
      </c>
      <c r="P3025" s="5">
        <f>XLOOKUP(R3025, classification!C:C, classification!B:B, "Not Found")</f>
      </c>
      <c r="Q3025" s="1" t="s">
        <v>5514</v>
      </c>
      <c r="R3025" s="2"/>
      <c r="S3025" s="2"/>
      <c r="T3025" s="2"/>
      <c r="U3025" s="2"/>
    </row>
    <row x14ac:dyDescent="0.25" r="3026" customHeight="1" ht="17.25">
      <c r="A3026" s="7">
        <v>3025</v>
      </c>
      <c r="B3026" s="1" t="s">
        <v>8363</v>
      </c>
      <c r="C3026" s="5">
        <f>CONCATENATE("PD", TEXT(A3026, "1000000"))</f>
      </c>
      <c r="D3026" s="7">
        <v>75</v>
      </c>
      <c r="E3026" s="5">
        <f>XLOOKUP(G3026, item_category!C:C, item_category!B:B, "Not Found")</f>
      </c>
      <c r="F3026" s="1" t="s">
        <v>5541</v>
      </c>
      <c r="G3026" s="5">
        <f>XLOOKUP(I3026, drug!B:B, drug!A:A, "Not Found")</f>
      </c>
      <c r="H3026" s="1"/>
      <c r="I3026" s="7">
        <v>1</v>
      </c>
      <c r="J3026" s="5">
        <f>XLOOKUP(L3026, uom!C:C, uom!B:B, "Not Found")</f>
      </c>
      <c r="K3026" s="1" t="s">
        <v>5511</v>
      </c>
      <c r="L3026" s="5">
        <f>XLOOKUP(N3026, uom!C:C, uom!B:B, "Not Found")</f>
      </c>
      <c r="M3026" s="1" t="s">
        <v>5511</v>
      </c>
      <c r="N3026" s="8" t="s">
        <v>5512</v>
      </c>
      <c r="O3026" s="1" t="s">
        <v>5513</v>
      </c>
      <c r="P3026" s="5">
        <f>XLOOKUP(R3026, classification!C:C, classification!B:B, "Not Found")</f>
      </c>
      <c r="Q3026" s="1" t="s">
        <v>5514</v>
      </c>
      <c r="R3026" s="2"/>
      <c r="S3026" s="2"/>
      <c r="T3026" s="2"/>
      <c r="U3026" s="2"/>
    </row>
    <row x14ac:dyDescent="0.25" r="3027" customHeight="1" ht="17.25">
      <c r="A3027" s="7">
        <v>3026</v>
      </c>
      <c r="B3027" s="1" t="s">
        <v>8364</v>
      </c>
      <c r="C3027" s="5">
        <f>CONCATENATE("PD", TEXT(A3027, "1000000"))</f>
      </c>
      <c r="D3027" s="7">
        <v>75</v>
      </c>
      <c r="E3027" s="5">
        <f>XLOOKUP(G3027, item_category!C:C, item_category!B:B, "Not Found")</f>
      </c>
      <c r="F3027" s="1" t="s">
        <v>5541</v>
      </c>
      <c r="G3027" s="5">
        <f>XLOOKUP(I3027, drug!B:B, drug!A:A, "Not Found")</f>
      </c>
      <c r="H3027" s="1" t="s">
        <v>1942</v>
      </c>
      <c r="I3027" s="7">
        <v>1</v>
      </c>
      <c r="J3027" s="5">
        <f>XLOOKUP(L3027, uom!C:C, uom!B:B, "Not Found")</f>
      </c>
      <c r="K3027" s="1" t="s">
        <v>5511</v>
      </c>
      <c r="L3027" s="5">
        <f>XLOOKUP(N3027, uom!C:C, uom!B:B, "Not Found")</f>
      </c>
      <c r="M3027" s="1" t="s">
        <v>5511</v>
      </c>
      <c r="N3027" s="8" t="s">
        <v>5512</v>
      </c>
      <c r="O3027" s="1" t="s">
        <v>5513</v>
      </c>
      <c r="P3027" s="5">
        <f>XLOOKUP(R3027, classification!C:C, classification!B:B, "Not Found")</f>
      </c>
      <c r="Q3027" s="1" t="s">
        <v>5514</v>
      </c>
      <c r="R3027" s="2"/>
      <c r="S3027" s="2"/>
      <c r="T3027" s="2"/>
      <c r="U3027" s="2"/>
    </row>
    <row x14ac:dyDescent="0.25" r="3028" customHeight="1" ht="17.25">
      <c r="A3028" s="7">
        <v>3027</v>
      </c>
      <c r="B3028" s="1" t="s">
        <v>8365</v>
      </c>
      <c r="C3028" s="5">
        <f>CONCATENATE("PD", TEXT(A3028, "1000000"))</f>
      </c>
      <c r="D3028" s="7">
        <v>75</v>
      </c>
      <c r="E3028" s="5">
        <f>XLOOKUP(G3028, item_category!C:C, item_category!B:B, "Not Found")</f>
      </c>
      <c r="F3028" s="1" t="s">
        <v>5541</v>
      </c>
      <c r="G3028" s="5">
        <f>XLOOKUP(I3028, drug!B:B, drug!A:A, "Not Found")</f>
      </c>
      <c r="H3028" s="1"/>
      <c r="I3028" s="7">
        <v>1</v>
      </c>
      <c r="J3028" s="5">
        <f>XLOOKUP(L3028, uom!C:C, uom!B:B, "Not Found")</f>
      </c>
      <c r="K3028" s="1" t="s">
        <v>5511</v>
      </c>
      <c r="L3028" s="5">
        <f>XLOOKUP(N3028, uom!C:C, uom!B:B, "Not Found")</f>
      </c>
      <c r="M3028" s="1" t="s">
        <v>5511</v>
      </c>
      <c r="N3028" s="8" t="s">
        <v>5512</v>
      </c>
      <c r="O3028" s="1" t="s">
        <v>5513</v>
      </c>
      <c r="P3028" s="5">
        <f>XLOOKUP(R3028, classification!C:C, classification!B:B, "Not Found")</f>
      </c>
      <c r="Q3028" s="1" t="s">
        <v>5514</v>
      </c>
      <c r="R3028" s="2"/>
      <c r="S3028" s="2"/>
      <c r="T3028" s="2"/>
      <c r="U3028" s="2"/>
    </row>
    <row x14ac:dyDescent="0.25" r="3029" customHeight="1" ht="17.25">
      <c r="A3029" s="7">
        <v>3028</v>
      </c>
      <c r="B3029" s="1" t="s">
        <v>8366</v>
      </c>
      <c r="C3029" s="5">
        <f>CONCATENATE("PD", TEXT(A3029, "1000000"))</f>
      </c>
      <c r="D3029" s="7">
        <v>75</v>
      </c>
      <c r="E3029" s="5">
        <f>XLOOKUP(G3029, item_category!C:C, item_category!B:B, "Not Found")</f>
      </c>
      <c r="F3029" s="1" t="s">
        <v>5541</v>
      </c>
      <c r="G3029" s="5">
        <f>XLOOKUP(I3029, drug!B:B, drug!A:A, "Not Found")</f>
      </c>
      <c r="H3029" s="1"/>
      <c r="I3029" s="7">
        <v>1</v>
      </c>
      <c r="J3029" s="5">
        <f>XLOOKUP(L3029, uom!C:C, uom!B:B, "Not Found")</f>
      </c>
      <c r="K3029" s="1" t="s">
        <v>5511</v>
      </c>
      <c r="L3029" s="5">
        <f>XLOOKUP(N3029, uom!C:C, uom!B:B, "Not Found")</f>
      </c>
      <c r="M3029" s="1" t="s">
        <v>5511</v>
      </c>
      <c r="N3029" s="8" t="s">
        <v>5512</v>
      </c>
      <c r="O3029" s="1" t="s">
        <v>5513</v>
      </c>
      <c r="P3029" s="5">
        <f>XLOOKUP(R3029, classification!C:C, classification!B:B, "Not Found")</f>
      </c>
      <c r="Q3029" s="1" t="s">
        <v>5514</v>
      </c>
      <c r="R3029" s="2"/>
      <c r="S3029" s="2"/>
      <c r="T3029" s="2"/>
      <c r="U3029" s="2"/>
    </row>
    <row x14ac:dyDescent="0.25" r="3030" customHeight="1" ht="17.25">
      <c r="A3030" s="7">
        <v>3029</v>
      </c>
      <c r="B3030" s="1" t="s">
        <v>8367</v>
      </c>
      <c r="C3030" s="5">
        <f>CONCATENATE("PD", TEXT(A3030, "1000000"))</f>
      </c>
      <c r="D3030" s="7">
        <v>75</v>
      </c>
      <c r="E3030" s="5">
        <f>XLOOKUP(G3030, item_category!C:C, item_category!B:B, "Not Found")</f>
      </c>
      <c r="F3030" s="1" t="s">
        <v>5541</v>
      </c>
      <c r="G3030" s="5">
        <f>XLOOKUP(I3030, drug!B:B, drug!A:A, "Not Found")</f>
      </c>
      <c r="H3030" s="1" t="s">
        <v>1942</v>
      </c>
      <c r="I3030" s="7">
        <v>1</v>
      </c>
      <c r="J3030" s="5">
        <f>XLOOKUP(L3030, uom!C:C, uom!B:B, "Not Found")</f>
      </c>
      <c r="K3030" s="1" t="s">
        <v>5511</v>
      </c>
      <c r="L3030" s="5">
        <f>XLOOKUP(N3030, uom!C:C, uom!B:B, "Not Found")</f>
      </c>
      <c r="M3030" s="1" t="s">
        <v>5511</v>
      </c>
      <c r="N3030" s="8" t="s">
        <v>5512</v>
      </c>
      <c r="O3030" s="1" t="s">
        <v>5513</v>
      </c>
      <c r="P3030" s="5">
        <f>XLOOKUP(R3030, classification!C:C, classification!B:B, "Not Found")</f>
      </c>
      <c r="Q3030" s="1" t="s">
        <v>5514</v>
      </c>
      <c r="R3030" s="2"/>
      <c r="S3030" s="2"/>
      <c r="T3030" s="2"/>
      <c r="U3030" s="2"/>
    </row>
    <row x14ac:dyDescent="0.25" r="3031" customHeight="1" ht="17.25">
      <c r="A3031" s="7">
        <v>3030</v>
      </c>
      <c r="B3031" s="1" t="s">
        <v>7053</v>
      </c>
      <c r="C3031" s="5">
        <f>CONCATENATE("PD", TEXT(A3031, "1000000"))</f>
      </c>
      <c r="D3031" s="7">
        <v>75</v>
      </c>
      <c r="E3031" s="5">
        <f>XLOOKUP(G3031, item_category!C:C, item_category!B:B, "Not Found")</f>
      </c>
      <c r="F3031" s="1" t="s">
        <v>5541</v>
      </c>
      <c r="G3031" s="5">
        <f>XLOOKUP(I3031, drug!B:B, drug!A:A, "Not Found")</f>
      </c>
      <c r="H3031" s="1"/>
      <c r="I3031" s="7">
        <v>1</v>
      </c>
      <c r="J3031" s="5">
        <f>XLOOKUP(L3031, uom!C:C, uom!B:B, "Not Found")</f>
      </c>
      <c r="K3031" s="1" t="s">
        <v>5511</v>
      </c>
      <c r="L3031" s="5">
        <f>XLOOKUP(N3031, uom!C:C, uom!B:B, "Not Found")</f>
      </c>
      <c r="M3031" s="1" t="s">
        <v>5511</v>
      </c>
      <c r="N3031" s="8" t="s">
        <v>5512</v>
      </c>
      <c r="O3031" s="1" t="s">
        <v>5513</v>
      </c>
      <c r="P3031" s="5">
        <f>XLOOKUP(R3031, classification!C:C, classification!B:B, "Not Found")</f>
      </c>
      <c r="Q3031" s="1" t="s">
        <v>5514</v>
      </c>
      <c r="R3031" s="2"/>
      <c r="S3031" s="2"/>
      <c r="T3031" s="2"/>
      <c r="U3031" s="2"/>
    </row>
    <row x14ac:dyDescent="0.25" r="3032" customHeight="1" ht="17.25">
      <c r="A3032" s="7">
        <v>3031</v>
      </c>
      <c r="B3032" s="1" t="s">
        <v>8368</v>
      </c>
      <c r="C3032" s="5">
        <f>CONCATENATE("PD", TEXT(A3032, "1000000"))</f>
      </c>
      <c r="D3032" s="7">
        <v>75</v>
      </c>
      <c r="E3032" s="5">
        <f>XLOOKUP(G3032, item_category!C:C, item_category!B:B, "Not Found")</f>
      </c>
      <c r="F3032" s="1" t="s">
        <v>5541</v>
      </c>
      <c r="G3032" s="5">
        <f>XLOOKUP(I3032, drug!B:B, drug!A:A, "Not Found")</f>
      </c>
      <c r="H3032" s="1"/>
      <c r="I3032" s="7">
        <v>1</v>
      </c>
      <c r="J3032" s="5">
        <f>XLOOKUP(L3032, uom!C:C, uom!B:B, "Not Found")</f>
      </c>
      <c r="K3032" s="1" t="s">
        <v>5511</v>
      </c>
      <c r="L3032" s="5">
        <f>XLOOKUP(N3032, uom!C:C, uom!B:B, "Not Found")</f>
      </c>
      <c r="M3032" s="1" t="s">
        <v>5511</v>
      </c>
      <c r="N3032" s="8" t="s">
        <v>5512</v>
      </c>
      <c r="O3032" s="1" t="s">
        <v>5513</v>
      </c>
      <c r="P3032" s="5">
        <f>XLOOKUP(R3032, classification!C:C, classification!B:B, "Not Found")</f>
      </c>
      <c r="Q3032" s="1" t="s">
        <v>5514</v>
      </c>
      <c r="R3032" s="2"/>
      <c r="S3032" s="2"/>
      <c r="T3032" s="2"/>
      <c r="U3032" s="2"/>
    </row>
    <row x14ac:dyDescent="0.25" r="3033" customHeight="1" ht="17.25">
      <c r="A3033" s="7">
        <v>3032</v>
      </c>
      <c r="B3033" s="1" t="s">
        <v>8369</v>
      </c>
      <c r="C3033" s="5">
        <f>CONCATENATE("PD", TEXT(A3033, "1000000"))</f>
      </c>
      <c r="D3033" s="7">
        <v>75</v>
      </c>
      <c r="E3033" s="5">
        <f>XLOOKUP(G3033, item_category!C:C, item_category!B:B, "Not Found")</f>
      </c>
      <c r="F3033" s="1" t="s">
        <v>5541</v>
      </c>
      <c r="G3033" s="5">
        <f>XLOOKUP(I3033, drug!B:B, drug!A:A, "Not Found")</f>
      </c>
      <c r="H3033" s="1"/>
      <c r="I3033" s="7">
        <v>1</v>
      </c>
      <c r="J3033" s="5">
        <f>XLOOKUP(L3033, uom!C:C, uom!B:B, "Not Found")</f>
      </c>
      <c r="K3033" s="1" t="s">
        <v>5511</v>
      </c>
      <c r="L3033" s="5">
        <f>XLOOKUP(N3033, uom!C:C, uom!B:B, "Not Found")</f>
      </c>
      <c r="M3033" s="1" t="s">
        <v>5511</v>
      </c>
      <c r="N3033" s="8" t="s">
        <v>5512</v>
      </c>
      <c r="O3033" s="1" t="s">
        <v>5513</v>
      </c>
      <c r="P3033" s="5">
        <f>XLOOKUP(R3033, classification!C:C, classification!B:B, "Not Found")</f>
      </c>
      <c r="Q3033" s="1" t="s">
        <v>5514</v>
      </c>
      <c r="R3033" s="2"/>
      <c r="S3033" s="2"/>
      <c r="T3033" s="2"/>
      <c r="U3033" s="2"/>
    </row>
    <row x14ac:dyDescent="0.25" r="3034" customHeight="1" ht="17.25">
      <c r="A3034" s="7">
        <v>3033</v>
      </c>
      <c r="B3034" s="1" t="s">
        <v>8370</v>
      </c>
      <c r="C3034" s="5">
        <f>CONCATENATE("PD", TEXT(A3034, "1000000"))</f>
      </c>
      <c r="D3034" s="7">
        <v>75</v>
      </c>
      <c r="E3034" s="5">
        <f>XLOOKUP(G3034, item_category!C:C, item_category!B:B, "Not Found")</f>
      </c>
      <c r="F3034" s="1" t="s">
        <v>5541</v>
      </c>
      <c r="G3034" s="5">
        <f>XLOOKUP(I3034, drug!B:B, drug!A:A, "Not Found")</f>
      </c>
      <c r="H3034" s="1" t="s">
        <v>531</v>
      </c>
      <c r="I3034" s="7">
        <v>200</v>
      </c>
      <c r="J3034" s="5">
        <f>XLOOKUP(L3034, uom!C:C, uom!B:B, "Not Found")</f>
      </c>
      <c r="K3034" s="1" t="s">
        <v>7840</v>
      </c>
      <c r="L3034" s="5">
        <f>XLOOKUP(N3034, uom!C:C, uom!B:B, "Not Found")</f>
      </c>
      <c r="M3034" s="1" t="s">
        <v>7840</v>
      </c>
      <c r="N3034" s="8" t="s">
        <v>5524</v>
      </c>
      <c r="O3034" s="1" t="s">
        <v>5525</v>
      </c>
      <c r="P3034" s="5">
        <f>XLOOKUP(R3034, classification!C:C, classification!B:B, "Not Found")</f>
      </c>
      <c r="Q3034" s="1" t="s">
        <v>5514</v>
      </c>
      <c r="R3034" s="2"/>
      <c r="S3034" s="2"/>
      <c r="T3034" s="2"/>
      <c r="U3034" s="2"/>
    </row>
    <row x14ac:dyDescent="0.25" r="3035" customHeight="1" ht="17.25">
      <c r="A3035" s="7">
        <v>3034</v>
      </c>
      <c r="B3035" s="1" t="s">
        <v>8371</v>
      </c>
      <c r="C3035" s="5">
        <f>CONCATENATE("PD", TEXT(A3035, "1000000"))</f>
      </c>
      <c r="D3035" s="7">
        <v>75</v>
      </c>
      <c r="E3035" s="5">
        <f>XLOOKUP(G3035, item_category!C:C, item_category!B:B, "Not Found")</f>
      </c>
      <c r="F3035" s="1" t="s">
        <v>5541</v>
      </c>
      <c r="G3035" s="5">
        <f>XLOOKUP(I3035, drug!B:B, drug!A:A, "Not Found")</f>
      </c>
      <c r="H3035" s="1"/>
      <c r="I3035" s="7">
        <v>1</v>
      </c>
      <c r="J3035" s="5">
        <f>XLOOKUP(L3035, uom!C:C, uom!B:B, "Not Found")</f>
      </c>
      <c r="K3035" s="1" t="s">
        <v>5511</v>
      </c>
      <c r="L3035" s="5">
        <f>XLOOKUP(N3035, uom!C:C, uom!B:B, "Not Found")</f>
      </c>
      <c r="M3035" s="1" t="s">
        <v>5511</v>
      </c>
      <c r="N3035" s="8" t="s">
        <v>5512</v>
      </c>
      <c r="O3035" s="1" t="s">
        <v>5513</v>
      </c>
      <c r="P3035" s="5">
        <f>XLOOKUP(R3035, classification!C:C, classification!B:B, "Not Found")</f>
      </c>
      <c r="Q3035" s="1" t="s">
        <v>5514</v>
      </c>
      <c r="R3035" s="2"/>
      <c r="S3035" s="2"/>
      <c r="T3035" s="2"/>
      <c r="U3035" s="2"/>
    </row>
    <row x14ac:dyDescent="0.25" r="3036" customHeight="1" ht="17.25">
      <c r="A3036" s="7">
        <v>3035</v>
      </c>
      <c r="B3036" s="1" t="s">
        <v>8372</v>
      </c>
      <c r="C3036" s="5">
        <f>CONCATENATE("PD", TEXT(A3036, "1000000"))</f>
      </c>
      <c r="D3036" s="7">
        <v>75</v>
      </c>
      <c r="E3036" s="5">
        <f>XLOOKUP(G3036, item_category!C:C, item_category!B:B, "Not Found")</f>
      </c>
      <c r="F3036" s="1" t="s">
        <v>5541</v>
      </c>
      <c r="G3036" s="5">
        <f>XLOOKUP(I3036, drug!B:B, drug!A:A, "Not Found")</f>
      </c>
      <c r="H3036" s="1"/>
      <c r="I3036" s="7">
        <v>1</v>
      </c>
      <c r="J3036" s="5">
        <f>XLOOKUP(L3036, uom!C:C, uom!B:B, "Not Found")</f>
      </c>
      <c r="K3036" s="1" t="s">
        <v>5511</v>
      </c>
      <c r="L3036" s="5">
        <f>XLOOKUP(N3036, uom!C:C, uom!B:B, "Not Found")</f>
      </c>
      <c r="M3036" s="1" t="s">
        <v>5511</v>
      </c>
      <c r="N3036" s="8" t="s">
        <v>5512</v>
      </c>
      <c r="O3036" s="1" t="s">
        <v>5513</v>
      </c>
      <c r="P3036" s="5">
        <f>XLOOKUP(R3036, classification!C:C, classification!B:B, "Not Found")</f>
      </c>
      <c r="Q3036" s="1" t="s">
        <v>5514</v>
      </c>
      <c r="R3036" s="2"/>
      <c r="S3036" s="2"/>
      <c r="T3036" s="2"/>
      <c r="U3036" s="2"/>
    </row>
    <row x14ac:dyDescent="0.25" r="3037" customHeight="1" ht="17.25">
      <c r="A3037" s="7">
        <v>3036</v>
      </c>
      <c r="B3037" s="1" t="s">
        <v>8373</v>
      </c>
      <c r="C3037" s="5">
        <f>CONCATENATE("PD", TEXT(A3037, "1000000"))</f>
      </c>
      <c r="D3037" s="7">
        <v>75</v>
      </c>
      <c r="E3037" s="5">
        <f>XLOOKUP(G3037, item_category!C:C, item_category!B:B, "Not Found")</f>
      </c>
      <c r="F3037" s="1" t="s">
        <v>5541</v>
      </c>
      <c r="G3037" s="5">
        <f>XLOOKUP(I3037, drug!B:B, drug!A:A, "Not Found")</f>
      </c>
      <c r="H3037" s="1"/>
      <c r="I3037" s="7">
        <v>1</v>
      </c>
      <c r="J3037" s="5">
        <f>XLOOKUP(L3037, uom!C:C, uom!B:B, "Not Found")</f>
      </c>
      <c r="K3037" s="1" t="s">
        <v>5511</v>
      </c>
      <c r="L3037" s="5">
        <f>XLOOKUP(N3037, uom!C:C, uom!B:B, "Not Found")</f>
      </c>
      <c r="M3037" s="1" t="s">
        <v>5511</v>
      </c>
      <c r="N3037" s="8" t="s">
        <v>5512</v>
      </c>
      <c r="O3037" s="1" t="s">
        <v>5513</v>
      </c>
      <c r="P3037" s="5">
        <f>XLOOKUP(R3037, classification!C:C, classification!B:B, "Not Found")</f>
      </c>
      <c r="Q3037" s="1" t="s">
        <v>5514</v>
      </c>
      <c r="R3037" s="2"/>
      <c r="S3037" s="2"/>
      <c r="T3037" s="2"/>
      <c r="U3037" s="2"/>
    </row>
    <row x14ac:dyDescent="0.25" r="3038" customHeight="1" ht="17.25">
      <c r="A3038" s="7">
        <v>3037</v>
      </c>
      <c r="B3038" s="1" t="s">
        <v>8374</v>
      </c>
      <c r="C3038" s="5">
        <f>CONCATENATE("PD", TEXT(A3038, "1000000"))</f>
      </c>
      <c r="D3038" s="7">
        <v>75</v>
      </c>
      <c r="E3038" s="5">
        <f>XLOOKUP(G3038, item_category!C:C, item_category!B:B, "Not Found")</f>
      </c>
      <c r="F3038" s="1" t="s">
        <v>5541</v>
      </c>
      <c r="G3038" s="5">
        <f>XLOOKUP(I3038, drug!B:B, drug!A:A, "Not Found")</f>
      </c>
      <c r="H3038" s="1"/>
      <c r="I3038" s="7">
        <v>1</v>
      </c>
      <c r="J3038" s="5">
        <f>XLOOKUP(L3038, uom!C:C, uom!B:B, "Not Found")</f>
      </c>
      <c r="K3038" s="1" t="s">
        <v>5511</v>
      </c>
      <c r="L3038" s="5">
        <f>XLOOKUP(N3038, uom!C:C, uom!B:B, "Not Found")</f>
      </c>
      <c r="M3038" s="1" t="s">
        <v>5511</v>
      </c>
      <c r="N3038" s="8" t="s">
        <v>5512</v>
      </c>
      <c r="O3038" s="1" t="s">
        <v>5513</v>
      </c>
      <c r="P3038" s="5">
        <f>XLOOKUP(R3038, classification!C:C, classification!B:B, "Not Found")</f>
      </c>
      <c r="Q3038" s="1" t="s">
        <v>5514</v>
      </c>
      <c r="R3038" s="2"/>
      <c r="S3038" s="2"/>
      <c r="T3038" s="2"/>
      <c r="U3038" s="2"/>
    </row>
    <row x14ac:dyDescent="0.25" r="3039" customHeight="1" ht="17.25">
      <c r="A3039" s="7">
        <v>3038</v>
      </c>
      <c r="B3039" s="1" t="s">
        <v>8375</v>
      </c>
      <c r="C3039" s="5">
        <f>CONCATENATE("PD", TEXT(A3039, "1000000"))</f>
      </c>
      <c r="D3039" s="7">
        <v>75</v>
      </c>
      <c r="E3039" s="5">
        <f>XLOOKUP(G3039, item_category!C:C, item_category!B:B, "Not Found")</f>
      </c>
      <c r="F3039" s="1" t="s">
        <v>5541</v>
      </c>
      <c r="G3039" s="5">
        <f>XLOOKUP(I3039, drug!B:B, drug!A:A, "Not Found")</f>
      </c>
      <c r="H3039" s="1"/>
      <c r="I3039" s="7">
        <v>1</v>
      </c>
      <c r="J3039" s="5">
        <f>XLOOKUP(L3039, uom!C:C, uom!B:B, "Not Found")</f>
      </c>
      <c r="K3039" s="1" t="s">
        <v>5511</v>
      </c>
      <c r="L3039" s="5">
        <f>XLOOKUP(N3039, uom!C:C, uom!B:B, "Not Found")</f>
      </c>
      <c r="M3039" s="1" t="s">
        <v>5511</v>
      </c>
      <c r="N3039" s="8" t="s">
        <v>5512</v>
      </c>
      <c r="O3039" s="1" t="s">
        <v>5513</v>
      </c>
      <c r="P3039" s="5">
        <f>XLOOKUP(R3039, classification!C:C, classification!B:B, "Not Found")</f>
      </c>
      <c r="Q3039" s="1" t="s">
        <v>5514</v>
      </c>
      <c r="R3039" s="2"/>
      <c r="S3039" s="2"/>
      <c r="T3039" s="2"/>
      <c r="U3039" s="2"/>
    </row>
    <row x14ac:dyDescent="0.25" r="3040" customHeight="1" ht="17.25">
      <c r="A3040" s="7">
        <v>3039</v>
      </c>
      <c r="B3040" s="1" t="s">
        <v>8376</v>
      </c>
      <c r="C3040" s="5">
        <f>CONCATENATE("PD", TEXT(A3040, "1000000"))</f>
      </c>
      <c r="D3040" s="7">
        <v>75</v>
      </c>
      <c r="E3040" s="5">
        <f>XLOOKUP(G3040, item_category!C:C, item_category!B:B, "Not Found")</f>
      </c>
      <c r="F3040" s="1" t="s">
        <v>5541</v>
      </c>
      <c r="G3040" s="5">
        <f>XLOOKUP(I3040, drug!B:B, drug!A:A, "Not Found")</f>
      </c>
      <c r="H3040" s="1"/>
      <c r="I3040" s="7">
        <v>1</v>
      </c>
      <c r="J3040" s="5">
        <f>XLOOKUP(L3040, uom!C:C, uom!B:B, "Not Found")</f>
      </c>
      <c r="K3040" s="1" t="s">
        <v>5511</v>
      </c>
      <c r="L3040" s="5">
        <f>XLOOKUP(N3040, uom!C:C, uom!B:B, "Not Found")</f>
      </c>
      <c r="M3040" s="1" t="s">
        <v>5511</v>
      </c>
      <c r="N3040" s="8" t="s">
        <v>5512</v>
      </c>
      <c r="O3040" s="1" t="s">
        <v>5513</v>
      </c>
      <c r="P3040" s="5">
        <f>XLOOKUP(R3040, classification!C:C, classification!B:B, "Not Found")</f>
      </c>
      <c r="Q3040" s="1" t="s">
        <v>5514</v>
      </c>
      <c r="R3040" s="2"/>
      <c r="S3040" s="2"/>
      <c r="T3040" s="2"/>
      <c r="U3040" s="2"/>
    </row>
    <row x14ac:dyDescent="0.25" r="3041" customHeight="1" ht="17.25">
      <c r="A3041" s="7">
        <v>3040</v>
      </c>
      <c r="B3041" s="1" t="s">
        <v>3356</v>
      </c>
      <c r="C3041" s="5">
        <f>CONCATENATE("PD", TEXT(A3041, "1000000"))</f>
      </c>
      <c r="D3041" s="7">
        <v>75</v>
      </c>
      <c r="E3041" s="5">
        <f>XLOOKUP(G3041, item_category!C:C, item_category!B:B, "Not Found")</f>
      </c>
      <c r="F3041" s="1" t="s">
        <v>5541</v>
      </c>
      <c r="G3041" s="5">
        <f>XLOOKUP(I3041, drug!B:B, drug!A:A, "Not Found")</f>
      </c>
      <c r="H3041" s="1"/>
      <c r="I3041" s="7">
        <v>1</v>
      </c>
      <c r="J3041" s="5">
        <f>XLOOKUP(L3041, uom!C:C, uom!B:B, "Not Found")</f>
      </c>
      <c r="K3041" s="1" t="s">
        <v>5511</v>
      </c>
      <c r="L3041" s="5">
        <f>XLOOKUP(N3041, uom!C:C, uom!B:B, "Not Found")</f>
      </c>
      <c r="M3041" s="1" t="s">
        <v>5511</v>
      </c>
      <c r="N3041" s="8" t="s">
        <v>5512</v>
      </c>
      <c r="O3041" s="1" t="s">
        <v>5513</v>
      </c>
      <c r="P3041" s="5">
        <f>XLOOKUP(R3041, classification!C:C, classification!B:B, "Not Found")</f>
      </c>
      <c r="Q3041" s="1" t="s">
        <v>5514</v>
      </c>
      <c r="R3041" s="2"/>
      <c r="S3041" s="2"/>
      <c r="T3041" s="2"/>
      <c r="U3041" s="2"/>
    </row>
    <row x14ac:dyDescent="0.25" r="3042" customHeight="1" ht="17.25">
      <c r="A3042" s="7">
        <v>3041</v>
      </c>
      <c r="B3042" s="1" t="s">
        <v>3358</v>
      </c>
      <c r="C3042" s="5">
        <f>CONCATENATE("PD", TEXT(A3042, "1000000"))</f>
      </c>
      <c r="D3042" s="7">
        <v>75</v>
      </c>
      <c r="E3042" s="5">
        <f>XLOOKUP(G3042, item_category!C:C, item_category!B:B, "Not Found")</f>
      </c>
      <c r="F3042" s="1" t="s">
        <v>5541</v>
      </c>
      <c r="G3042" s="5">
        <f>XLOOKUP(I3042, drug!B:B, drug!A:A, "Not Found")</f>
      </c>
      <c r="H3042" s="1"/>
      <c r="I3042" s="7">
        <v>1</v>
      </c>
      <c r="J3042" s="5">
        <f>XLOOKUP(L3042, uom!C:C, uom!B:B, "Not Found")</f>
      </c>
      <c r="K3042" s="1" t="s">
        <v>5511</v>
      </c>
      <c r="L3042" s="5">
        <f>XLOOKUP(N3042, uom!C:C, uom!B:B, "Not Found")</f>
      </c>
      <c r="M3042" s="1" t="s">
        <v>5511</v>
      </c>
      <c r="N3042" s="8" t="s">
        <v>5512</v>
      </c>
      <c r="O3042" s="1" t="s">
        <v>5513</v>
      </c>
      <c r="P3042" s="5">
        <f>XLOOKUP(R3042, classification!C:C, classification!B:B, "Not Found")</f>
      </c>
      <c r="Q3042" s="1" t="s">
        <v>5514</v>
      </c>
      <c r="R3042" s="2"/>
      <c r="S3042" s="2"/>
      <c r="T3042" s="2"/>
      <c r="U3042" s="2"/>
    </row>
    <row x14ac:dyDescent="0.25" r="3043" customHeight="1" ht="17.25">
      <c r="A3043" s="7">
        <v>3042</v>
      </c>
      <c r="B3043" s="1" t="s">
        <v>8377</v>
      </c>
      <c r="C3043" s="5">
        <f>CONCATENATE("PD", TEXT(A3043, "1000000"))</f>
      </c>
      <c r="D3043" s="7">
        <v>75</v>
      </c>
      <c r="E3043" s="5">
        <f>XLOOKUP(G3043, item_category!C:C, item_category!B:B, "Not Found")</f>
      </c>
      <c r="F3043" s="1" t="s">
        <v>5541</v>
      </c>
      <c r="G3043" s="5">
        <f>XLOOKUP(I3043, drug!B:B, drug!A:A, "Not Found")</f>
      </c>
      <c r="H3043" s="1"/>
      <c r="I3043" s="7">
        <v>1</v>
      </c>
      <c r="J3043" s="5">
        <f>XLOOKUP(L3043, uom!C:C, uom!B:B, "Not Found")</f>
      </c>
      <c r="K3043" s="1" t="s">
        <v>5511</v>
      </c>
      <c r="L3043" s="5">
        <f>XLOOKUP(N3043, uom!C:C, uom!B:B, "Not Found")</f>
      </c>
      <c r="M3043" s="1" t="s">
        <v>5511</v>
      </c>
      <c r="N3043" s="8" t="s">
        <v>5512</v>
      </c>
      <c r="O3043" s="1" t="s">
        <v>5513</v>
      </c>
      <c r="P3043" s="5">
        <f>XLOOKUP(R3043, classification!C:C, classification!B:B, "Not Found")</f>
      </c>
      <c r="Q3043" s="1" t="s">
        <v>5514</v>
      </c>
      <c r="R3043" s="2"/>
      <c r="S3043" s="2"/>
      <c r="T3043" s="2"/>
      <c r="U3043" s="2"/>
    </row>
    <row x14ac:dyDescent="0.25" r="3044" customHeight="1" ht="17.25">
      <c r="A3044" s="7">
        <v>3043</v>
      </c>
      <c r="B3044" s="1" t="s">
        <v>8378</v>
      </c>
      <c r="C3044" s="5">
        <f>CONCATENATE("PD", TEXT(A3044, "1000000"))</f>
      </c>
      <c r="D3044" s="7">
        <v>75</v>
      </c>
      <c r="E3044" s="5">
        <f>XLOOKUP(G3044, item_category!C:C, item_category!B:B, "Not Found")</f>
      </c>
      <c r="F3044" s="1" t="s">
        <v>5541</v>
      </c>
      <c r="G3044" s="5">
        <f>XLOOKUP(I3044, drug!B:B, drug!A:A, "Not Found")</f>
      </c>
      <c r="H3044" s="1"/>
      <c r="I3044" s="7">
        <v>1</v>
      </c>
      <c r="J3044" s="5">
        <f>XLOOKUP(L3044, uom!C:C, uom!B:B, "Not Found")</f>
      </c>
      <c r="K3044" s="1" t="s">
        <v>5511</v>
      </c>
      <c r="L3044" s="5">
        <f>XLOOKUP(N3044, uom!C:C, uom!B:B, "Not Found")</f>
      </c>
      <c r="M3044" s="1" t="s">
        <v>5511</v>
      </c>
      <c r="N3044" s="8" t="s">
        <v>5512</v>
      </c>
      <c r="O3044" s="1" t="s">
        <v>5513</v>
      </c>
      <c r="P3044" s="5">
        <f>XLOOKUP(R3044, classification!C:C, classification!B:B, "Not Found")</f>
      </c>
      <c r="Q3044" s="1" t="s">
        <v>5514</v>
      </c>
      <c r="R3044" s="2"/>
      <c r="S3044" s="2"/>
      <c r="T3044" s="2"/>
      <c r="U3044" s="2"/>
    </row>
    <row x14ac:dyDescent="0.25" r="3045" customHeight="1" ht="17.25">
      <c r="A3045" s="7">
        <v>3044</v>
      </c>
      <c r="B3045" s="1" t="s">
        <v>8379</v>
      </c>
      <c r="C3045" s="5">
        <f>CONCATENATE("PD", TEXT(A3045, "1000000"))</f>
      </c>
      <c r="D3045" s="7">
        <v>75</v>
      </c>
      <c r="E3045" s="5">
        <f>XLOOKUP(G3045, item_category!C:C, item_category!B:B, "Not Found")</f>
      </c>
      <c r="F3045" s="1" t="s">
        <v>5541</v>
      </c>
      <c r="G3045" s="5">
        <f>XLOOKUP(I3045, drug!B:B, drug!A:A, "Not Found")</f>
      </c>
      <c r="H3045" s="1"/>
      <c r="I3045" s="7">
        <v>1</v>
      </c>
      <c r="J3045" s="5">
        <f>XLOOKUP(L3045, uom!C:C, uom!B:B, "Not Found")</f>
      </c>
      <c r="K3045" s="1" t="s">
        <v>5511</v>
      </c>
      <c r="L3045" s="5">
        <f>XLOOKUP(N3045, uom!C:C, uom!B:B, "Not Found")</f>
      </c>
      <c r="M3045" s="1" t="s">
        <v>5511</v>
      </c>
      <c r="N3045" s="8" t="s">
        <v>5512</v>
      </c>
      <c r="O3045" s="1" t="s">
        <v>5513</v>
      </c>
      <c r="P3045" s="5">
        <f>XLOOKUP(R3045, classification!C:C, classification!B:B, "Not Found")</f>
      </c>
      <c r="Q3045" s="1" t="s">
        <v>5514</v>
      </c>
      <c r="R3045" s="2"/>
      <c r="S3045" s="2"/>
      <c r="T3045" s="2"/>
      <c r="U3045" s="2"/>
    </row>
    <row x14ac:dyDescent="0.25" r="3046" customHeight="1" ht="17.25">
      <c r="A3046" s="7">
        <v>3045</v>
      </c>
      <c r="B3046" s="1" t="s">
        <v>8380</v>
      </c>
      <c r="C3046" s="5">
        <f>CONCATENATE("PD", TEXT(A3046, "1000000"))</f>
      </c>
      <c r="D3046" s="7">
        <v>75</v>
      </c>
      <c r="E3046" s="5">
        <f>XLOOKUP(G3046, item_category!C:C, item_category!B:B, "Not Found")</f>
      </c>
      <c r="F3046" s="1" t="s">
        <v>5541</v>
      </c>
      <c r="G3046" s="5">
        <f>XLOOKUP(I3046, drug!B:B, drug!A:A, "Not Found")</f>
      </c>
      <c r="H3046" s="1" t="s">
        <v>1942</v>
      </c>
      <c r="I3046" s="7">
        <v>1</v>
      </c>
      <c r="J3046" s="5">
        <f>XLOOKUP(L3046, uom!C:C, uom!B:B, "Not Found")</f>
      </c>
      <c r="K3046" s="1" t="s">
        <v>5511</v>
      </c>
      <c r="L3046" s="5">
        <f>XLOOKUP(N3046, uom!C:C, uom!B:B, "Not Found")</f>
      </c>
      <c r="M3046" s="1" t="s">
        <v>5511</v>
      </c>
      <c r="N3046" s="8" t="s">
        <v>5512</v>
      </c>
      <c r="O3046" s="1" t="s">
        <v>5513</v>
      </c>
      <c r="P3046" s="5">
        <f>XLOOKUP(R3046, classification!C:C, classification!B:B, "Not Found")</f>
      </c>
      <c r="Q3046" s="1" t="s">
        <v>5514</v>
      </c>
      <c r="R3046" s="2"/>
      <c r="S3046" s="2"/>
      <c r="T3046" s="2"/>
      <c r="U3046" s="2"/>
    </row>
    <row x14ac:dyDescent="0.25" r="3047" customHeight="1" ht="17.25">
      <c r="A3047" s="7">
        <v>3046</v>
      </c>
      <c r="B3047" s="1" t="s">
        <v>8381</v>
      </c>
      <c r="C3047" s="5">
        <f>CONCATENATE("PD", TEXT(A3047, "1000000"))</f>
      </c>
      <c r="D3047" s="7">
        <v>75</v>
      </c>
      <c r="E3047" s="5">
        <f>XLOOKUP(G3047, item_category!C:C, item_category!B:B, "Not Found")</f>
      </c>
      <c r="F3047" s="1" t="s">
        <v>5541</v>
      </c>
      <c r="G3047" s="5">
        <f>XLOOKUP(I3047, drug!B:B, drug!A:A, "Not Found")</f>
      </c>
      <c r="H3047" s="1"/>
      <c r="I3047" s="7">
        <v>350</v>
      </c>
      <c r="J3047" s="5">
        <f>XLOOKUP(L3047, uom!C:C, uom!B:B, "Not Found")</f>
      </c>
      <c r="K3047" s="1" t="s">
        <v>7989</v>
      </c>
      <c r="L3047" s="5">
        <f>XLOOKUP(N3047, uom!C:C, uom!B:B, "Not Found")</f>
      </c>
      <c r="M3047" s="1" t="s">
        <v>7989</v>
      </c>
      <c r="N3047" s="8" t="s">
        <v>5524</v>
      </c>
      <c r="O3047" s="1" t="s">
        <v>5525</v>
      </c>
      <c r="P3047" s="5">
        <f>XLOOKUP(R3047, classification!C:C, classification!B:B, "Not Found")</f>
      </c>
      <c r="Q3047" s="1" t="s">
        <v>5514</v>
      </c>
      <c r="R3047" s="2"/>
      <c r="S3047" s="2"/>
      <c r="T3047" s="2"/>
      <c r="U3047" s="2"/>
    </row>
    <row x14ac:dyDescent="0.25" r="3048" customHeight="1" ht="17.25">
      <c r="A3048" s="7">
        <v>3047</v>
      </c>
      <c r="B3048" s="1" t="s">
        <v>8382</v>
      </c>
      <c r="C3048" s="5">
        <f>CONCATENATE("PD", TEXT(A3048, "1000000"))</f>
      </c>
      <c r="D3048" s="7">
        <v>75</v>
      </c>
      <c r="E3048" s="5">
        <f>XLOOKUP(G3048, item_category!C:C, item_category!B:B, "Not Found")</f>
      </c>
      <c r="F3048" s="1" t="s">
        <v>5541</v>
      </c>
      <c r="G3048" s="5">
        <f>XLOOKUP(I3048, drug!B:B, drug!A:A, "Not Found")</f>
      </c>
      <c r="H3048" s="1" t="s">
        <v>1784</v>
      </c>
      <c r="I3048" s="7">
        <v>150</v>
      </c>
      <c r="J3048" s="5">
        <f>XLOOKUP(L3048, uom!C:C, uom!B:B, "Not Found")</f>
      </c>
      <c r="K3048" s="1" t="s">
        <v>5544</v>
      </c>
      <c r="L3048" s="5">
        <f>XLOOKUP(N3048, uom!C:C, uom!B:B, "Not Found")</f>
      </c>
      <c r="M3048" s="1" t="s">
        <v>5544</v>
      </c>
      <c r="N3048" s="8" t="s">
        <v>5524</v>
      </c>
      <c r="O3048" s="1" t="s">
        <v>5525</v>
      </c>
      <c r="P3048" s="5">
        <f>XLOOKUP(R3048, classification!C:C, classification!B:B, "Not Found")</f>
      </c>
      <c r="Q3048" s="1" t="s">
        <v>5514</v>
      </c>
      <c r="R3048" s="2"/>
      <c r="S3048" s="2"/>
      <c r="T3048" s="2"/>
      <c r="U3048" s="2"/>
    </row>
    <row x14ac:dyDescent="0.25" r="3049" customHeight="1" ht="17.25">
      <c r="A3049" s="7">
        <v>3048</v>
      </c>
      <c r="B3049" s="1" t="s">
        <v>8383</v>
      </c>
      <c r="C3049" s="5">
        <f>CONCATENATE("PD", TEXT(A3049, "1000000"))</f>
      </c>
      <c r="D3049" s="7">
        <v>75</v>
      </c>
      <c r="E3049" s="5">
        <f>XLOOKUP(G3049, item_category!C:C, item_category!B:B, "Not Found")</f>
      </c>
      <c r="F3049" s="1" t="s">
        <v>5541</v>
      </c>
      <c r="G3049" s="5">
        <f>XLOOKUP(I3049, drug!B:B, drug!A:A, "Not Found")</f>
      </c>
      <c r="H3049" s="1" t="s">
        <v>1228</v>
      </c>
      <c r="I3049" s="7">
        <v>1</v>
      </c>
      <c r="J3049" s="5">
        <f>XLOOKUP(L3049, uom!C:C, uom!B:B, "Not Found")</f>
      </c>
      <c r="K3049" s="1" t="s">
        <v>5511</v>
      </c>
      <c r="L3049" s="5">
        <f>XLOOKUP(N3049, uom!C:C, uom!B:B, "Not Found")</f>
      </c>
      <c r="M3049" s="1" t="s">
        <v>5511</v>
      </c>
      <c r="N3049" s="8" t="s">
        <v>5512</v>
      </c>
      <c r="O3049" s="1" t="s">
        <v>5513</v>
      </c>
      <c r="P3049" s="5">
        <f>XLOOKUP(R3049, classification!C:C, classification!B:B, "Not Found")</f>
      </c>
      <c r="Q3049" s="1" t="s">
        <v>5514</v>
      </c>
      <c r="R3049" s="2"/>
      <c r="S3049" s="2"/>
      <c r="T3049" s="2"/>
      <c r="U3049" s="2"/>
    </row>
    <row x14ac:dyDescent="0.25" r="3050" customHeight="1" ht="17.25">
      <c r="A3050" s="7">
        <v>3049</v>
      </c>
      <c r="B3050" s="1" t="s">
        <v>8384</v>
      </c>
      <c r="C3050" s="5">
        <f>CONCATENATE("PD", TEXT(A3050, "1000000"))</f>
      </c>
      <c r="D3050" s="7">
        <v>75</v>
      </c>
      <c r="E3050" s="5">
        <f>XLOOKUP(G3050, item_category!C:C, item_category!B:B, "Not Found")</f>
      </c>
      <c r="F3050" s="1" t="s">
        <v>5541</v>
      </c>
      <c r="G3050" s="5">
        <f>XLOOKUP(I3050, drug!B:B, drug!A:A, "Not Found")</f>
      </c>
      <c r="H3050" s="1"/>
      <c r="I3050" s="7">
        <v>1</v>
      </c>
      <c r="J3050" s="5">
        <f>XLOOKUP(L3050, uom!C:C, uom!B:B, "Not Found")</f>
      </c>
      <c r="K3050" s="1" t="s">
        <v>5511</v>
      </c>
      <c r="L3050" s="5">
        <f>XLOOKUP(N3050, uom!C:C, uom!B:B, "Not Found")</f>
      </c>
      <c r="M3050" s="1" t="s">
        <v>5511</v>
      </c>
      <c r="N3050" s="8" t="s">
        <v>5512</v>
      </c>
      <c r="O3050" s="1" t="s">
        <v>5513</v>
      </c>
      <c r="P3050" s="5">
        <f>XLOOKUP(R3050, classification!C:C, classification!B:B, "Not Found")</f>
      </c>
      <c r="Q3050" s="1" t="s">
        <v>5514</v>
      </c>
      <c r="R3050" s="2"/>
      <c r="S3050" s="2"/>
      <c r="T3050" s="2"/>
      <c r="U3050" s="2"/>
    </row>
    <row x14ac:dyDescent="0.25" r="3051" customHeight="1" ht="17.25">
      <c r="A3051" s="7">
        <v>3050</v>
      </c>
      <c r="B3051" s="1" t="s">
        <v>8385</v>
      </c>
      <c r="C3051" s="5">
        <f>CONCATENATE("PD", TEXT(A3051, "1000000"))</f>
      </c>
      <c r="D3051" s="7">
        <v>75</v>
      </c>
      <c r="E3051" s="5">
        <f>XLOOKUP(G3051, item_category!C:C, item_category!B:B, "Not Found")</f>
      </c>
      <c r="F3051" s="1" t="s">
        <v>5541</v>
      </c>
      <c r="G3051" s="5">
        <f>XLOOKUP(I3051, drug!B:B, drug!A:A, "Not Found")</f>
      </c>
      <c r="H3051" s="1"/>
      <c r="I3051" s="7">
        <v>1</v>
      </c>
      <c r="J3051" s="5">
        <f>XLOOKUP(L3051, uom!C:C, uom!B:B, "Not Found")</f>
      </c>
      <c r="K3051" s="1" t="s">
        <v>5511</v>
      </c>
      <c r="L3051" s="5">
        <f>XLOOKUP(N3051, uom!C:C, uom!B:B, "Not Found")</f>
      </c>
      <c r="M3051" s="1" t="s">
        <v>5511</v>
      </c>
      <c r="N3051" s="8" t="s">
        <v>5512</v>
      </c>
      <c r="O3051" s="1" t="s">
        <v>5513</v>
      </c>
      <c r="P3051" s="5">
        <f>XLOOKUP(R3051, classification!C:C, classification!B:B, "Not Found")</f>
      </c>
      <c r="Q3051" s="1" t="s">
        <v>5514</v>
      </c>
      <c r="R3051" s="2"/>
      <c r="S3051" s="2"/>
      <c r="T3051" s="2"/>
      <c r="U3051" s="2"/>
    </row>
    <row x14ac:dyDescent="0.25" r="3052" customHeight="1" ht="17.25">
      <c r="A3052" s="7">
        <v>3051</v>
      </c>
      <c r="B3052" s="1" t="s">
        <v>8386</v>
      </c>
      <c r="C3052" s="5">
        <f>CONCATENATE("PD", TEXT(A3052, "1000000"))</f>
      </c>
      <c r="D3052" s="7">
        <v>75</v>
      </c>
      <c r="E3052" s="5">
        <f>XLOOKUP(G3052, item_category!C:C, item_category!B:B, "Not Found")</f>
      </c>
      <c r="F3052" s="1" t="s">
        <v>5541</v>
      </c>
      <c r="G3052" s="5">
        <f>XLOOKUP(I3052, drug!B:B, drug!A:A, "Not Found")</f>
      </c>
      <c r="H3052" s="1"/>
      <c r="I3052" s="7">
        <v>1</v>
      </c>
      <c r="J3052" s="5">
        <f>XLOOKUP(L3052, uom!C:C, uom!B:B, "Not Found")</f>
      </c>
      <c r="K3052" s="1" t="s">
        <v>5511</v>
      </c>
      <c r="L3052" s="5">
        <f>XLOOKUP(N3052, uom!C:C, uom!B:B, "Not Found")</f>
      </c>
      <c r="M3052" s="1" t="s">
        <v>5511</v>
      </c>
      <c r="N3052" s="8" t="s">
        <v>5512</v>
      </c>
      <c r="O3052" s="1" t="s">
        <v>5513</v>
      </c>
      <c r="P3052" s="5">
        <f>XLOOKUP(R3052, classification!C:C, classification!B:B, "Not Found")</f>
      </c>
      <c r="Q3052" s="1" t="s">
        <v>5514</v>
      </c>
      <c r="R3052" s="2"/>
      <c r="S3052" s="2"/>
      <c r="T3052" s="2"/>
      <c r="U3052" s="2"/>
    </row>
    <row x14ac:dyDescent="0.25" r="3053" customHeight="1" ht="17.25">
      <c r="A3053" s="7">
        <v>3052</v>
      </c>
      <c r="B3053" s="1" t="s">
        <v>8387</v>
      </c>
      <c r="C3053" s="5">
        <f>CONCATENATE("PD", TEXT(A3053, "1000000"))</f>
      </c>
      <c r="D3053" s="7">
        <v>75</v>
      </c>
      <c r="E3053" s="5">
        <f>XLOOKUP(G3053, item_category!C:C, item_category!B:B, "Not Found")</f>
      </c>
      <c r="F3053" s="1" t="s">
        <v>5541</v>
      </c>
      <c r="G3053" s="5">
        <f>XLOOKUP(I3053, drug!B:B, drug!A:A, "Not Found")</f>
      </c>
      <c r="H3053" s="1"/>
      <c r="I3053" s="7">
        <v>1</v>
      </c>
      <c r="J3053" s="5">
        <f>XLOOKUP(L3053, uom!C:C, uom!B:B, "Not Found")</f>
      </c>
      <c r="K3053" s="1" t="s">
        <v>5511</v>
      </c>
      <c r="L3053" s="5">
        <f>XLOOKUP(N3053, uom!C:C, uom!B:B, "Not Found")</f>
      </c>
      <c r="M3053" s="1" t="s">
        <v>5511</v>
      </c>
      <c r="N3053" s="8" t="s">
        <v>5512</v>
      </c>
      <c r="O3053" s="1" t="s">
        <v>5513</v>
      </c>
      <c r="P3053" s="5">
        <f>XLOOKUP(R3053, classification!C:C, classification!B:B, "Not Found")</f>
      </c>
      <c r="Q3053" s="1" t="s">
        <v>5514</v>
      </c>
      <c r="R3053" s="2"/>
      <c r="S3053" s="2"/>
      <c r="T3053" s="2"/>
      <c r="U3053" s="2"/>
    </row>
    <row x14ac:dyDescent="0.25" r="3054" customHeight="1" ht="17.25">
      <c r="A3054" s="7">
        <v>3053</v>
      </c>
      <c r="B3054" s="1" t="s">
        <v>8388</v>
      </c>
      <c r="C3054" s="5">
        <f>CONCATENATE("PD", TEXT(A3054, "1000000"))</f>
      </c>
      <c r="D3054" s="7">
        <v>75</v>
      </c>
      <c r="E3054" s="5">
        <f>XLOOKUP(G3054, item_category!C:C, item_category!B:B, "Not Found")</f>
      </c>
      <c r="F3054" s="1" t="s">
        <v>5541</v>
      </c>
      <c r="G3054" s="5">
        <f>XLOOKUP(I3054, drug!B:B, drug!A:A, "Not Found")</f>
      </c>
      <c r="H3054" s="1"/>
      <c r="I3054" s="7">
        <v>1</v>
      </c>
      <c r="J3054" s="5">
        <f>XLOOKUP(L3054, uom!C:C, uom!B:B, "Not Found")</f>
      </c>
      <c r="K3054" s="1" t="s">
        <v>5511</v>
      </c>
      <c r="L3054" s="5">
        <f>XLOOKUP(N3054, uom!C:C, uom!B:B, "Not Found")</f>
      </c>
      <c r="M3054" s="1" t="s">
        <v>5511</v>
      </c>
      <c r="N3054" s="8" t="s">
        <v>5512</v>
      </c>
      <c r="O3054" s="1" t="s">
        <v>5513</v>
      </c>
      <c r="P3054" s="5">
        <f>XLOOKUP(R3054, classification!C:C, classification!B:B, "Not Found")</f>
      </c>
      <c r="Q3054" s="1" t="s">
        <v>5514</v>
      </c>
      <c r="R3054" s="2"/>
      <c r="S3054" s="2"/>
      <c r="T3054" s="2"/>
      <c r="U3054" s="2"/>
    </row>
    <row x14ac:dyDescent="0.25" r="3055" customHeight="1" ht="17.25">
      <c r="A3055" s="7">
        <v>3054</v>
      </c>
      <c r="B3055" s="1" t="s">
        <v>8389</v>
      </c>
      <c r="C3055" s="5">
        <f>CONCATENATE("PD", TEXT(A3055, "1000000"))</f>
      </c>
      <c r="D3055" s="7">
        <v>75</v>
      </c>
      <c r="E3055" s="5">
        <f>XLOOKUP(G3055, item_category!C:C, item_category!B:B, "Not Found")</f>
      </c>
      <c r="F3055" s="1" t="s">
        <v>5541</v>
      </c>
      <c r="G3055" s="5">
        <f>XLOOKUP(I3055, drug!B:B, drug!A:A, "Not Found")</f>
      </c>
      <c r="H3055" s="1"/>
      <c r="I3055" s="7">
        <v>1</v>
      </c>
      <c r="J3055" s="5">
        <f>XLOOKUP(L3055, uom!C:C, uom!B:B, "Not Found")</f>
      </c>
      <c r="K3055" s="1" t="s">
        <v>5511</v>
      </c>
      <c r="L3055" s="5">
        <f>XLOOKUP(N3055, uom!C:C, uom!B:B, "Not Found")</f>
      </c>
      <c r="M3055" s="1" t="s">
        <v>5511</v>
      </c>
      <c r="N3055" s="8" t="s">
        <v>5512</v>
      </c>
      <c r="O3055" s="1" t="s">
        <v>5513</v>
      </c>
      <c r="P3055" s="5">
        <f>XLOOKUP(R3055, classification!C:C, classification!B:B, "Not Found")</f>
      </c>
      <c r="Q3055" s="1" t="s">
        <v>5514</v>
      </c>
      <c r="R3055" s="2"/>
      <c r="S3055" s="2"/>
      <c r="T3055" s="2"/>
      <c r="U3055" s="2"/>
    </row>
    <row x14ac:dyDescent="0.25" r="3056" customHeight="1" ht="17.25">
      <c r="A3056" s="7">
        <v>3055</v>
      </c>
      <c r="B3056" s="1" t="s">
        <v>8390</v>
      </c>
      <c r="C3056" s="5">
        <f>CONCATENATE("PD", TEXT(A3056, "1000000"))</f>
      </c>
      <c r="D3056" s="7">
        <v>75</v>
      </c>
      <c r="E3056" s="5">
        <f>XLOOKUP(G3056, item_category!C:C, item_category!B:B, "Not Found")</f>
      </c>
      <c r="F3056" s="1" t="s">
        <v>5541</v>
      </c>
      <c r="G3056" s="5">
        <f>XLOOKUP(I3056, drug!B:B, drug!A:A, "Not Found")</f>
      </c>
      <c r="H3056" s="1"/>
      <c r="I3056" s="7">
        <v>1</v>
      </c>
      <c r="J3056" s="5">
        <f>XLOOKUP(L3056, uom!C:C, uom!B:B, "Not Found")</f>
      </c>
      <c r="K3056" s="1" t="s">
        <v>5511</v>
      </c>
      <c r="L3056" s="5">
        <f>XLOOKUP(N3056, uom!C:C, uom!B:B, "Not Found")</f>
      </c>
      <c r="M3056" s="1" t="s">
        <v>5511</v>
      </c>
      <c r="N3056" s="8" t="s">
        <v>5512</v>
      </c>
      <c r="O3056" s="1" t="s">
        <v>5513</v>
      </c>
      <c r="P3056" s="5">
        <f>XLOOKUP(R3056, classification!C:C, classification!B:B, "Not Found")</f>
      </c>
      <c r="Q3056" s="1" t="s">
        <v>5514</v>
      </c>
      <c r="R3056" s="2"/>
      <c r="S3056" s="2"/>
      <c r="T3056" s="2"/>
      <c r="U3056" s="2"/>
    </row>
    <row x14ac:dyDescent="0.25" r="3057" customHeight="1" ht="17.25">
      <c r="A3057" s="7">
        <v>3056</v>
      </c>
      <c r="B3057" s="1" t="s">
        <v>8391</v>
      </c>
      <c r="C3057" s="5">
        <f>CONCATENATE("PD", TEXT(A3057, "1000000"))</f>
      </c>
      <c r="D3057" s="7">
        <v>75</v>
      </c>
      <c r="E3057" s="5">
        <f>XLOOKUP(G3057, item_category!C:C, item_category!B:B, "Not Found")</f>
      </c>
      <c r="F3057" s="1" t="s">
        <v>5541</v>
      </c>
      <c r="G3057" s="5">
        <f>XLOOKUP(I3057, drug!B:B, drug!A:A, "Not Found")</f>
      </c>
      <c r="H3057" s="1" t="s">
        <v>1942</v>
      </c>
      <c r="I3057" s="7">
        <v>1</v>
      </c>
      <c r="J3057" s="5">
        <f>XLOOKUP(L3057, uom!C:C, uom!B:B, "Not Found")</f>
      </c>
      <c r="K3057" s="1" t="s">
        <v>5511</v>
      </c>
      <c r="L3057" s="5">
        <f>XLOOKUP(N3057, uom!C:C, uom!B:B, "Not Found")</f>
      </c>
      <c r="M3057" s="1" t="s">
        <v>5511</v>
      </c>
      <c r="N3057" s="8" t="s">
        <v>5512</v>
      </c>
      <c r="O3057" s="1" t="s">
        <v>5513</v>
      </c>
      <c r="P3057" s="5">
        <f>XLOOKUP(R3057, classification!C:C, classification!B:B, "Not Found")</f>
      </c>
      <c r="Q3057" s="1" t="s">
        <v>5514</v>
      </c>
      <c r="R3057" s="2"/>
      <c r="S3057" s="2"/>
      <c r="T3057" s="2"/>
      <c r="U3057" s="2"/>
    </row>
    <row x14ac:dyDescent="0.25" r="3058" customHeight="1" ht="17.25">
      <c r="A3058" s="7">
        <v>3057</v>
      </c>
      <c r="B3058" s="1" t="s">
        <v>8392</v>
      </c>
      <c r="C3058" s="5">
        <f>CONCATENATE("PD", TEXT(A3058, "1000000"))</f>
      </c>
      <c r="D3058" s="7">
        <v>75</v>
      </c>
      <c r="E3058" s="5">
        <f>XLOOKUP(G3058, item_category!C:C, item_category!B:B, "Not Found")</f>
      </c>
      <c r="F3058" s="1" t="s">
        <v>5541</v>
      </c>
      <c r="G3058" s="5">
        <f>XLOOKUP(I3058, drug!B:B, drug!A:A, "Not Found")</f>
      </c>
      <c r="H3058" s="1" t="s">
        <v>1942</v>
      </c>
      <c r="I3058" s="7">
        <v>1</v>
      </c>
      <c r="J3058" s="5">
        <f>XLOOKUP(L3058, uom!C:C, uom!B:B, "Not Found")</f>
      </c>
      <c r="K3058" s="1" t="s">
        <v>5511</v>
      </c>
      <c r="L3058" s="5">
        <f>XLOOKUP(N3058, uom!C:C, uom!B:B, "Not Found")</f>
      </c>
      <c r="M3058" s="1" t="s">
        <v>5511</v>
      </c>
      <c r="N3058" s="8" t="s">
        <v>5512</v>
      </c>
      <c r="O3058" s="1" t="s">
        <v>5513</v>
      </c>
      <c r="P3058" s="5">
        <f>XLOOKUP(R3058, classification!C:C, classification!B:B, "Not Found")</f>
      </c>
      <c r="Q3058" s="1" t="s">
        <v>5514</v>
      </c>
      <c r="R3058" s="2"/>
      <c r="S3058" s="2"/>
      <c r="T3058" s="2"/>
      <c r="U3058" s="2"/>
    </row>
    <row x14ac:dyDescent="0.25" r="3059" customHeight="1" ht="17.25">
      <c r="A3059" s="7">
        <v>3058</v>
      </c>
      <c r="B3059" s="1" t="s">
        <v>8393</v>
      </c>
      <c r="C3059" s="5">
        <f>CONCATENATE("PD", TEXT(A3059, "1000000"))</f>
      </c>
      <c r="D3059" s="7">
        <v>75</v>
      </c>
      <c r="E3059" s="5">
        <f>XLOOKUP(G3059, item_category!C:C, item_category!B:B, "Not Found")</f>
      </c>
      <c r="F3059" s="1" t="s">
        <v>5541</v>
      </c>
      <c r="G3059" s="5">
        <f>XLOOKUP(I3059, drug!B:B, drug!A:A, "Not Found")</f>
      </c>
      <c r="H3059" s="1"/>
      <c r="I3059" s="7">
        <v>1</v>
      </c>
      <c r="J3059" s="5">
        <f>XLOOKUP(L3059, uom!C:C, uom!B:B, "Not Found")</f>
      </c>
      <c r="K3059" s="1" t="s">
        <v>5511</v>
      </c>
      <c r="L3059" s="5">
        <f>XLOOKUP(N3059, uom!C:C, uom!B:B, "Not Found")</f>
      </c>
      <c r="M3059" s="1" t="s">
        <v>5511</v>
      </c>
      <c r="N3059" s="8" t="s">
        <v>5512</v>
      </c>
      <c r="O3059" s="1" t="s">
        <v>5513</v>
      </c>
      <c r="P3059" s="5">
        <f>XLOOKUP(R3059, classification!C:C, classification!B:B, "Not Found")</f>
      </c>
      <c r="Q3059" s="1" t="s">
        <v>5514</v>
      </c>
      <c r="R3059" s="2"/>
      <c r="S3059" s="2"/>
      <c r="T3059" s="2"/>
      <c r="U3059" s="2"/>
    </row>
    <row x14ac:dyDescent="0.25" r="3060" customHeight="1" ht="17.25">
      <c r="A3060" s="7">
        <v>3059</v>
      </c>
      <c r="B3060" s="1" t="s">
        <v>8394</v>
      </c>
      <c r="C3060" s="5">
        <f>CONCATENATE("PD", TEXT(A3060, "1000000"))</f>
      </c>
      <c r="D3060" s="7">
        <v>75</v>
      </c>
      <c r="E3060" s="5">
        <f>XLOOKUP(G3060, item_category!C:C, item_category!B:B, "Not Found")</f>
      </c>
      <c r="F3060" s="1" t="s">
        <v>5541</v>
      </c>
      <c r="G3060" s="5">
        <f>XLOOKUP(I3060, drug!B:B, drug!A:A, "Not Found")</f>
      </c>
      <c r="H3060" s="1"/>
      <c r="I3060" s="7">
        <v>1</v>
      </c>
      <c r="J3060" s="5">
        <f>XLOOKUP(L3060, uom!C:C, uom!B:B, "Not Found")</f>
      </c>
      <c r="K3060" s="1" t="s">
        <v>5511</v>
      </c>
      <c r="L3060" s="5">
        <f>XLOOKUP(N3060, uom!C:C, uom!B:B, "Not Found")</f>
      </c>
      <c r="M3060" s="1" t="s">
        <v>5511</v>
      </c>
      <c r="N3060" s="8" t="s">
        <v>5512</v>
      </c>
      <c r="O3060" s="1" t="s">
        <v>5513</v>
      </c>
      <c r="P3060" s="5">
        <f>XLOOKUP(R3060, classification!C:C, classification!B:B, "Not Found")</f>
      </c>
      <c r="Q3060" s="1" t="s">
        <v>5514</v>
      </c>
      <c r="R3060" s="2"/>
      <c r="S3060" s="2"/>
      <c r="T3060" s="2"/>
      <c r="U3060" s="2"/>
    </row>
    <row x14ac:dyDescent="0.25" r="3061" customHeight="1" ht="17.25">
      <c r="A3061" s="7">
        <v>3060</v>
      </c>
      <c r="B3061" s="1" t="s">
        <v>8395</v>
      </c>
      <c r="C3061" s="5">
        <f>CONCATENATE("PD", TEXT(A3061, "1000000"))</f>
      </c>
      <c r="D3061" s="7">
        <v>75</v>
      </c>
      <c r="E3061" s="5">
        <f>XLOOKUP(G3061, item_category!C:C, item_category!B:B, "Not Found")</f>
      </c>
      <c r="F3061" s="1" t="s">
        <v>5541</v>
      </c>
      <c r="G3061" s="5">
        <f>XLOOKUP(I3061, drug!B:B, drug!A:A, "Not Found")</f>
      </c>
      <c r="H3061" s="1"/>
      <c r="I3061" s="7">
        <v>1</v>
      </c>
      <c r="J3061" s="5">
        <f>XLOOKUP(L3061, uom!C:C, uom!B:B, "Not Found")</f>
      </c>
      <c r="K3061" s="1" t="s">
        <v>5511</v>
      </c>
      <c r="L3061" s="5">
        <f>XLOOKUP(N3061, uom!C:C, uom!B:B, "Not Found")</f>
      </c>
      <c r="M3061" s="1" t="s">
        <v>5511</v>
      </c>
      <c r="N3061" s="8" t="s">
        <v>5512</v>
      </c>
      <c r="O3061" s="1" t="s">
        <v>5513</v>
      </c>
      <c r="P3061" s="5">
        <f>XLOOKUP(R3061, classification!C:C, classification!B:B, "Not Found")</f>
      </c>
      <c r="Q3061" s="1" t="s">
        <v>5514</v>
      </c>
      <c r="R3061" s="2"/>
      <c r="S3061" s="2"/>
      <c r="T3061" s="2"/>
      <c r="U3061" s="2"/>
    </row>
    <row x14ac:dyDescent="0.25" r="3062" customHeight="1" ht="17.25">
      <c r="A3062" s="7">
        <v>3061</v>
      </c>
      <c r="B3062" s="1" t="s">
        <v>8396</v>
      </c>
      <c r="C3062" s="5">
        <f>CONCATENATE("PD", TEXT(A3062, "1000000"))</f>
      </c>
      <c r="D3062" s="7">
        <v>75</v>
      </c>
      <c r="E3062" s="5">
        <f>XLOOKUP(G3062, item_category!C:C, item_category!B:B, "Not Found")</f>
      </c>
      <c r="F3062" s="1" t="s">
        <v>5541</v>
      </c>
      <c r="G3062" s="5">
        <f>XLOOKUP(I3062, drug!B:B, drug!A:A, "Not Found")</f>
      </c>
      <c r="H3062" s="1"/>
      <c r="I3062" s="7">
        <v>1</v>
      </c>
      <c r="J3062" s="5">
        <f>XLOOKUP(L3062, uom!C:C, uom!B:B, "Not Found")</f>
      </c>
      <c r="K3062" s="1" t="s">
        <v>5511</v>
      </c>
      <c r="L3062" s="5">
        <f>XLOOKUP(N3062, uom!C:C, uom!B:B, "Not Found")</f>
      </c>
      <c r="M3062" s="1" t="s">
        <v>5511</v>
      </c>
      <c r="N3062" s="8" t="s">
        <v>5512</v>
      </c>
      <c r="O3062" s="1" t="s">
        <v>5513</v>
      </c>
      <c r="P3062" s="5">
        <f>XLOOKUP(R3062, classification!C:C, classification!B:B, "Not Found")</f>
      </c>
      <c r="Q3062" s="1" t="s">
        <v>5514</v>
      </c>
      <c r="R3062" s="2"/>
      <c r="S3062" s="2"/>
      <c r="T3062" s="2"/>
      <c r="U3062" s="2"/>
    </row>
    <row x14ac:dyDescent="0.25" r="3063" customHeight="1" ht="17.25">
      <c r="A3063" s="7">
        <v>3062</v>
      </c>
      <c r="B3063" s="1" t="s">
        <v>3366</v>
      </c>
      <c r="C3063" s="5">
        <f>CONCATENATE("PD", TEXT(A3063, "1000000"))</f>
      </c>
      <c r="D3063" s="7">
        <v>75</v>
      </c>
      <c r="E3063" s="5">
        <f>XLOOKUP(G3063, item_category!C:C, item_category!B:B, "Not Found")</f>
      </c>
      <c r="F3063" s="1" t="s">
        <v>5541</v>
      </c>
      <c r="G3063" s="5">
        <f>XLOOKUP(I3063, drug!B:B, drug!A:A, "Not Found")</f>
      </c>
      <c r="H3063" s="1"/>
      <c r="I3063" s="7">
        <v>1</v>
      </c>
      <c r="J3063" s="5">
        <f>XLOOKUP(L3063, uom!C:C, uom!B:B, "Not Found")</f>
      </c>
      <c r="K3063" s="1" t="s">
        <v>5511</v>
      </c>
      <c r="L3063" s="5">
        <f>XLOOKUP(N3063, uom!C:C, uom!B:B, "Not Found")</f>
      </c>
      <c r="M3063" s="1" t="s">
        <v>5511</v>
      </c>
      <c r="N3063" s="8" t="s">
        <v>5512</v>
      </c>
      <c r="O3063" s="1" t="s">
        <v>5513</v>
      </c>
      <c r="P3063" s="5">
        <f>XLOOKUP(R3063, classification!C:C, classification!B:B, "Not Found")</f>
      </c>
      <c r="Q3063" s="1" t="s">
        <v>5514</v>
      </c>
      <c r="R3063" s="2"/>
      <c r="S3063" s="2"/>
      <c r="T3063" s="2"/>
      <c r="U3063" s="2"/>
    </row>
    <row x14ac:dyDescent="0.25" r="3064" customHeight="1" ht="17.25">
      <c r="A3064" s="7">
        <v>3063</v>
      </c>
      <c r="B3064" s="1" t="s">
        <v>8397</v>
      </c>
      <c r="C3064" s="5">
        <f>CONCATENATE("PD", TEXT(A3064, "1000000"))</f>
      </c>
      <c r="D3064" s="7">
        <v>75</v>
      </c>
      <c r="E3064" s="5">
        <f>XLOOKUP(G3064, item_category!C:C, item_category!B:B, "Not Found")</f>
      </c>
      <c r="F3064" s="1" t="s">
        <v>5541</v>
      </c>
      <c r="G3064" s="5">
        <f>XLOOKUP(I3064, drug!B:B, drug!A:A, "Not Found")</f>
      </c>
      <c r="H3064" s="1"/>
      <c r="I3064" s="7">
        <v>1</v>
      </c>
      <c r="J3064" s="5">
        <f>XLOOKUP(L3064, uom!C:C, uom!B:B, "Not Found")</f>
      </c>
      <c r="K3064" s="1" t="s">
        <v>5511</v>
      </c>
      <c r="L3064" s="5">
        <f>XLOOKUP(N3064, uom!C:C, uom!B:B, "Not Found")</f>
      </c>
      <c r="M3064" s="1" t="s">
        <v>5511</v>
      </c>
      <c r="N3064" s="8" t="s">
        <v>5512</v>
      </c>
      <c r="O3064" s="1" t="s">
        <v>5513</v>
      </c>
      <c r="P3064" s="5">
        <f>XLOOKUP(R3064, classification!C:C, classification!B:B, "Not Found")</f>
      </c>
      <c r="Q3064" s="1" t="s">
        <v>5514</v>
      </c>
      <c r="R3064" s="2"/>
      <c r="S3064" s="2"/>
      <c r="T3064" s="2"/>
      <c r="U3064" s="2"/>
    </row>
    <row x14ac:dyDescent="0.25" r="3065" customHeight="1" ht="17.25">
      <c r="A3065" s="7">
        <v>3064</v>
      </c>
      <c r="B3065" s="1" t="s">
        <v>8398</v>
      </c>
      <c r="C3065" s="5">
        <f>CONCATENATE("PD", TEXT(A3065, "1000000"))</f>
      </c>
      <c r="D3065" s="7">
        <v>75</v>
      </c>
      <c r="E3065" s="5">
        <f>XLOOKUP(G3065, item_category!C:C, item_category!B:B, "Not Found")</f>
      </c>
      <c r="F3065" s="1" t="s">
        <v>5541</v>
      </c>
      <c r="G3065" s="5">
        <f>XLOOKUP(I3065, drug!B:B, drug!A:A, "Not Found")</f>
      </c>
      <c r="H3065" s="1"/>
      <c r="I3065" s="7">
        <v>1</v>
      </c>
      <c r="J3065" s="5">
        <f>XLOOKUP(L3065, uom!C:C, uom!B:B, "Not Found")</f>
      </c>
      <c r="K3065" s="1" t="s">
        <v>5511</v>
      </c>
      <c r="L3065" s="5">
        <f>XLOOKUP(N3065, uom!C:C, uom!B:B, "Not Found")</f>
      </c>
      <c r="M3065" s="1" t="s">
        <v>5511</v>
      </c>
      <c r="N3065" s="8" t="s">
        <v>5512</v>
      </c>
      <c r="O3065" s="1" t="s">
        <v>5513</v>
      </c>
      <c r="P3065" s="5">
        <f>XLOOKUP(R3065, classification!C:C, classification!B:B, "Not Found")</f>
      </c>
      <c r="Q3065" s="1" t="s">
        <v>5514</v>
      </c>
      <c r="R3065" s="2"/>
      <c r="S3065" s="2"/>
      <c r="T3065" s="2"/>
      <c r="U3065" s="2"/>
    </row>
    <row x14ac:dyDescent="0.25" r="3066" customHeight="1" ht="17.25">
      <c r="A3066" s="7">
        <v>3065</v>
      </c>
      <c r="B3066" s="1" t="s">
        <v>5956</v>
      </c>
      <c r="C3066" s="5">
        <f>CONCATENATE("PD", TEXT(A3066, "1000000"))</f>
      </c>
      <c r="D3066" s="7">
        <v>75</v>
      </c>
      <c r="E3066" s="5">
        <f>XLOOKUP(G3066, item_category!C:C, item_category!B:B, "Not Found")</f>
      </c>
      <c r="F3066" s="1" t="s">
        <v>5541</v>
      </c>
      <c r="G3066" s="5">
        <f>XLOOKUP(I3066, drug!B:B, drug!A:A, "Not Found")</f>
      </c>
      <c r="H3066" s="1" t="s">
        <v>1364</v>
      </c>
      <c r="I3066" s="7">
        <v>1</v>
      </c>
      <c r="J3066" s="5">
        <f>XLOOKUP(L3066, uom!C:C, uom!B:B, "Not Found")</f>
      </c>
      <c r="K3066" s="1" t="s">
        <v>5511</v>
      </c>
      <c r="L3066" s="5">
        <f>XLOOKUP(N3066, uom!C:C, uom!B:B, "Not Found")</f>
      </c>
      <c r="M3066" s="1" t="s">
        <v>5511</v>
      </c>
      <c r="N3066" s="8" t="s">
        <v>5512</v>
      </c>
      <c r="O3066" s="1" t="s">
        <v>5513</v>
      </c>
      <c r="P3066" s="5">
        <f>XLOOKUP(R3066, classification!C:C, classification!B:B, "Not Found")</f>
      </c>
      <c r="Q3066" s="1" t="s">
        <v>5514</v>
      </c>
      <c r="R3066" s="2"/>
      <c r="S3066" s="2"/>
      <c r="T3066" s="2"/>
      <c r="U3066" s="2"/>
    </row>
    <row x14ac:dyDescent="0.25" r="3067" customHeight="1" ht="17.25">
      <c r="A3067" s="7">
        <v>3066</v>
      </c>
      <c r="B3067" s="1" t="s">
        <v>8399</v>
      </c>
      <c r="C3067" s="5">
        <f>CONCATENATE("PD", TEXT(A3067, "1000000"))</f>
      </c>
      <c r="D3067" s="7">
        <v>75</v>
      </c>
      <c r="E3067" s="5">
        <f>XLOOKUP(G3067, item_category!C:C, item_category!B:B, "Not Found")</f>
      </c>
      <c r="F3067" s="1" t="s">
        <v>5541</v>
      </c>
      <c r="G3067" s="5">
        <f>XLOOKUP(I3067, drug!B:B, drug!A:A, "Not Found")</f>
      </c>
      <c r="H3067" s="1"/>
      <c r="I3067" s="7">
        <v>1</v>
      </c>
      <c r="J3067" s="5">
        <f>XLOOKUP(L3067, uom!C:C, uom!B:B, "Not Found")</f>
      </c>
      <c r="K3067" s="1" t="s">
        <v>5511</v>
      </c>
      <c r="L3067" s="5">
        <f>XLOOKUP(N3067, uom!C:C, uom!B:B, "Not Found")</f>
      </c>
      <c r="M3067" s="1" t="s">
        <v>5511</v>
      </c>
      <c r="N3067" s="8" t="s">
        <v>5512</v>
      </c>
      <c r="O3067" s="1" t="s">
        <v>5513</v>
      </c>
      <c r="P3067" s="5">
        <f>XLOOKUP(R3067, classification!C:C, classification!B:B, "Not Found")</f>
      </c>
      <c r="Q3067" s="1" t="s">
        <v>5514</v>
      </c>
      <c r="R3067" s="2"/>
      <c r="S3067" s="2"/>
      <c r="T3067" s="2"/>
      <c r="U3067" s="2"/>
    </row>
    <row x14ac:dyDescent="0.25" r="3068" customHeight="1" ht="17.25">
      <c r="A3068" s="7">
        <v>3067</v>
      </c>
      <c r="B3068" s="1" t="s">
        <v>8400</v>
      </c>
      <c r="C3068" s="5">
        <f>CONCATENATE("PD", TEXT(A3068, "1000000"))</f>
      </c>
      <c r="D3068" s="7">
        <v>75</v>
      </c>
      <c r="E3068" s="5">
        <f>XLOOKUP(G3068, item_category!C:C, item_category!B:B, "Not Found")</f>
      </c>
      <c r="F3068" s="1" t="s">
        <v>5541</v>
      </c>
      <c r="G3068" s="5">
        <f>XLOOKUP(I3068, drug!B:B, drug!A:A, "Not Found")</f>
      </c>
      <c r="H3068" s="1"/>
      <c r="I3068" s="7">
        <v>1</v>
      </c>
      <c r="J3068" s="5">
        <f>XLOOKUP(L3068, uom!C:C, uom!B:B, "Not Found")</f>
      </c>
      <c r="K3068" s="1" t="s">
        <v>5511</v>
      </c>
      <c r="L3068" s="5">
        <f>XLOOKUP(N3068, uom!C:C, uom!B:B, "Not Found")</f>
      </c>
      <c r="M3068" s="1" t="s">
        <v>5511</v>
      </c>
      <c r="N3068" s="8" t="s">
        <v>5512</v>
      </c>
      <c r="O3068" s="1" t="s">
        <v>5513</v>
      </c>
      <c r="P3068" s="5">
        <f>XLOOKUP(R3068, classification!C:C, classification!B:B, "Not Found")</f>
      </c>
      <c r="Q3068" s="1" t="s">
        <v>5514</v>
      </c>
      <c r="R3068" s="2"/>
      <c r="S3068" s="2"/>
      <c r="T3068" s="2"/>
      <c r="U3068" s="2"/>
    </row>
    <row x14ac:dyDescent="0.25" r="3069" customHeight="1" ht="17.25">
      <c r="A3069" s="7">
        <v>3068</v>
      </c>
      <c r="B3069" s="1" t="s">
        <v>8401</v>
      </c>
      <c r="C3069" s="5">
        <f>CONCATENATE("PD", TEXT(A3069, "1000000"))</f>
      </c>
      <c r="D3069" s="7">
        <v>75</v>
      </c>
      <c r="E3069" s="5">
        <f>XLOOKUP(G3069, item_category!C:C, item_category!B:B, "Not Found")</f>
      </c>
      <c r="F3069" s="1" t="s">
        <v>5541</v>
      </c>
      <c r="G3069" s="5">
        <f>XLOOKUP(I3069, drug!B:B, drug!A:A, "Not Found")</f>
      </c>
      <c r="H3069" s="1" t="s">
        <v>1942</v>
      </c>
      <c r="I3069" s="7">
        <v>1</v>
      </c>
      <c r="J3069" s="5">
        <f>XLOOKUP(L3069, uom!C:C, uom!B:B, "Not Found")</f>
      </c>
      <c r="K3069" s="1" t="s">
        <v>5511</v>
      </c>
      <c r="L3069" s="5">
        <f>XLOOKUP(N3069, uom!C:C, uom!B:B, "Not Found")</f>
      </c>
      <c r="M3069" s="1" t="s">
        <v>5511</v>
      </c>
      <c r="N3069" s="8" t="s">
        <v>5512</v>
      </c>
      <c r="O3069" s="1" t="s">
        <v>5513</v>
      </c>
      <c r="P3069" s="5">
        <f>XLOOKUP(R3069, classification!C:C, classification!B:B, "Not Found")</f>
      </c>
      <c r="Q3069" s="1" t="s">
        <v>5514</v>
      </c>
      <c r="R3069" s="2"/>
      <c r="S3069" s="2"/>
      <c r="T3069" s="2"/>
      <c r="U3069" s="2"/>
    </row>
    <row x14ac:dyDescent="0.25" r="3070" customHeight="1" ht="17.25">
      <c r="A3070" s="7">
        <v>3069</v>
      </c>
      <c r="B3070" s="1" t="s">
        <v>8402</v>
      </c>
      <c r="C3070" s="5">
        <f>CONCATENATE("PD", TEXT(A3070, "1000000"))</f>
      </c>
      <c r="D3070" s="7">
        <v>75</v>
      </c>
      <c r="E3070" s="5">
        <f>XLOOKUP(G3070, item_category!C:C, item_category!B:B, "Not Found")</f>
      </c>
      <c r="F3070" s="1" t="s">
        <v>5541</v>
      </c>
      <c r="G3070" s="5">
        <f>XLOOKUP(I3070, drug!B:B, drug!A:A, "Not Found")</f>
      </c>
      <c r="H3070" s="1"/>
      <c r="I3070" s="7">
        <v>1</v>
      </c>
      <c r="J3070" s="5">
        <f>XLOOKUP(L3070, uom!C:C, uom!B:B, "Not Found")</f>
      </c>
      <c r="K3070" s="1" t="s">
        <v>5511</v>
      </c>
      <c r="L3070" s="5">
        <f>XLOOKUP(N3070, uom!C:C, uom!B:B, "Not Found")</f>
      </c>
      <c r="M3070" s="1" t="s">
        <v>5511</v>
      </c>
      <c r="N3070" s="8" t="s">
        <v>5512</v>
      </c>
      <c r="O3070" s="1" t="s">
        <v>5513</v>
      </c>
      <c r="P3070" s="5">
        <f>XLOOKUP(R3070, classification!C:C, classification!B:B, "Not Found")</f>
      </c>
      <c r="Q3070" s="1" t="s">
        <v>5514</v>
      </c>
      <c r="R3070" s="2"/>
      <c r="S3070" s="2"/>
      <c r="T3070" s="2"/>
      <c r="U3070" s="2"/>
    </row>
    <row x14ac:dyDescent="0.25" r="3071" customHeight="1" ht="17.25">
      <c r="A3071" s="7">
        <v>3070</v>
      </c>
      <c r="B3071" s="1" t="s">
        <v>8403</v>
      </c>
      <c r="C3071" s="5">
        <f>CONCATENATE("PD", TEXT(A3071, "1000000"))</f>
      </c>
      <c r="D3071" s="7">
        <v>75</v>
      </c>
      <c r="E3071" s="5">
        <f>XLOOKUP(G3071, item_category!C:C, item_category!B:B, "Not Found")</f>
      </c>
      <c r="F3071" s="1" t="s">
        <v>5541</v>
      </c>
      <c r="G3071" s="5">
        <f>XLOOKUP(I3071, drug!B:B, drug!A:A, "Not Found")</f>
      </c>
      <c r="H3071" s="1"/>
      <c r="I3071" s="7">
        <v>1</v>
      </c>
      <c r="J3071" s="5">
        <f>XLOOKUP(L3071, uom!C:C, uom!B:B, "Not Found")</f>
      </c>
      <c r="K3071" s="1" t="s">
        <v>5511</v>
      </c>
      <c r="L3071" s="5">
        <f>XLOOKUP(N3071, uom!C:C, uom!B:B, "Not Found")</f>
      </c>
      <c r="M3071" s="1" t="s">
        <v>5511</v>
      </c>
      <c r="N3071" s="8" t="s">
        <v>5512</v>
      </c>
      <c r="O3071" s="1" t="s">
        <v>5513</v>
      </c>
      <c r="P3071" s="5">
        <f>XLOOKUP(R3071, classification!C:C, classification!B:B, "Not Found")</f>
      </c>
      <c r="Q3071" s="1" t="s">
        <v>5514</v>
      </c>
      <c r="R3071" s="2"/>
      <c r="S3071" s="2"/>
      <c r="T3071" s="2"/>
      <c r="U3071" s="2"/>
    </row>
    <row x14ac:dyDescent="0.25" r="3072" customHeight="1" ht="17.25">
      <c r="A3072" s="7">
        <v>3071</v>
      </c>
      <c r="B3072" s="1" t="s">
        <v>8404</v>
      </c>
      <c r="C3072" s="5">
        <f>CONCATENATE("PD", TEXT(A3072, "1000000"))</f>
      </c>
      <c r="D3072" s="7">
        <v>75</v>
      </c>
      <c r="E3072" s="5">
        <f>XLOOKUP(G3072, item_category!C:C, item_category!B:B, "Not Found")</f>
      </c>
      <c r="F3072" s="1" t="s">
        <v>5541</v>
      </c>
      <c r="G3072" s="5">
        <f>XLOOKUP(I3072, drug!B:B, drug!A:A, "Not Found")</f>
      </c>
      <c r="H3072" s="1"/>
      <c r="I3072" s="7">
        <v>1</v>
      </c>
      <c r="J3072" s="5">
        <f>XLOOKUP(L3072, uom!C:C, uom!B:B, "Not Found")</f>
      </c>
      <c r="K3072" s="1" t="s">
        <v>5511</v>
      </c>
      <c r="L3072" s="5">
        <f>XLOOKUP(N3072, uom!C:C, uom!B:B, "Not Found")</f>
      </c>
      <c r="M3072" s="1" t="s">
        <v>5511</v>
      </c>
      <c r="N3072" s="8" t="s">
        <v>5512</v>
      </c>
      <c r="O3072" s="1" t="s">
        <v>5513</v>
      </c>
      <c r="P3072" s="5">
        <f>XLOOKUP(R3072, classification!C:C, classification!B:B, "Not Found")</f>
      </c>
      <c r="Q3072" s="1" t="s">
        <v>5514</v>
      </c>
      <c r="R3072" s="2"/>
      <c r="S3072" s="2"/>
      <c r="T3072" s="2"/>
      <c r="U3072" s="2"/>
    </row>
    <row x14ac:dyDescent="0.25" r="3073" customHeight="1" ht="17.25">
      <c r="A3073" s="7">
        <v>3072</v>
      </c>
      <c r="B3073" s="1" t="s">
        <v>8405</v>
      </c>
      <c r="C3073" s="5">
        <f>CONCATENATE("PD", TEXT(A3073, "1000000"))</f>
      </c>
      <c r="D3073" s="7">
        <v>75</v>
      </c>
      <c r="E3073" s="5">
        <f>XLOOKUP(G3073, item_category!C:C, item_category!B:B, "Not Found")</f>
      </c>
      <c r="F3073" s="1" t="s">
        <v>5541</v>
      </c>
      <c r="G3073" s="5">
        <f>XLOOKUP(I3073, drug!B:B, drug!A:A, "Not Found")</f>
      </c>
      <c r="H3073" s="1" t="s">
        <v>857</v>
      </c>
      <c r="I3073" s="7">
        <v>1</v>
      </c>
      <c r="J3073" s="5">
        <f>XLOOKUP(L3073, uom!C:C, uom!B:B, "Not Found")</f>
      </c>
      <c r="K3073" s="1" t="s">
        <v>5511</v>
      </c>
      <c r="L3073" s="5">
        <f>XLOOKUP(N3073, uom!C:C, uom!B:B, "Not Found")</f>
      </c>
      <c r="M3073" s="1" t="s">
        <v>5511</v>
      </c>
      <c r="N3073" s="8" t="s">
        <v>5512</v>
      </c>
      <c r="O3073" s="1" t="s">
        <v>5513</v>
      </c>
      <c r="P3073" s="5">
        <f>XLOOKUP(R3073, classification!C:C, classification!B:B, "Not Found")</f>
      </c>
      <c r="Q3073" s="1" t="s">
        <v>5514</v>
      </c>
      <c r="R3073" s="2"/>
      <c r="S3073" s="2"/>
      <c r="T3073" s="2"/>
      <c r="U3073" s="2"/>
    </row>
    <row x14ac:dyDescent="0.25" r="3074" customHeight="1" ht="17.25">
      <c r="A3074" s="7">
        <v>3073</v>
      </c>
      <c r="B3074" s="1" t="s">
        <v>8406</v>
      </c>
      <c r="C3074" s="5">
        <f>CONCATENATE("PD", TEXT(A3074, "1000000"))</f>
      </c>
      <c r="D3074" s="7">
        <v>75</v>
      </c>
      <c r="E3074" s="5">
        <f>XLOOKUP(G3074, item_category!C:C, item_category!B:B, "Not Found")</f>
      </c>
      <c r="F3074" s="1" t="s">
        <v>5541</v>
      </c>
      <c r="G3074" s="5">
        <f>XLOOKUP(I3074, drug!B:B, drug!A:A, "Not Found")</f>
      </c>
      <c r="H3074" s="1"/>
      <c r="I3074" s="7">
        <v>100</v>
      </c>
      <c r="J3074" s="5">
        <f>XLOOKUP(L3074, uom!C:C, uom!B:B, "Not Found")</f>
      </c>
      <c r="K3074" s="1" t="s">
        <v>5544</v>
      </c>
      <c r="L3074" s="5">
        <f>XLOOKUP(N3074, uom!C:C, uom!B:B, "Not Found")</f>
      </c>
      <c r="M3074" s="1" t="s">
        <v>5544</v>
      </c>
      <c r="N3074" s="8" t="s">
        <v>5524</v>
      </c>
      <c r="O3074" s="1" t="s">
        <v>5525</v>
      </c>
      <c r="P3074" s="5">
        <f>XLOOKUP(R3074, classification!C:C, classification!B:B, "Not Found")</f>
      </c>
      <c r="Q3074" s="1" t="s">
        <v>5514</v>
      </c>
      <c r="R3074" s="2"/>
      <c r="S3074" s="2"/>
      <c r="T3074" s="2"/>
      <c r="U3074" s="2"/>
    </row>
    <row x14ac:dyDescent="0.25" r="3075" customHeight="1" ht="17.25">
      <c r="A3075" s="7">
        <v>3074</v>
      </c>
      <c r="B3075" s="1" t="s">
        <v>8407</v>
      </c>
      <c r="C3075" s="5">
        <f>CONCATENATE("PD", TEXT(A3075, "1000000"))</f>
      </c>
      <c r="D3075" s="7">
        <v>75</v>
      </c>
      <c r="E3075" s="5">
        <f>XLOOKUP(G3075, item_category!C:C, item_category!B:B, "Not Found")</f>
      </c>
      <c r="F3075" s="1" t="s">
        <v>5541</v>
      </c>
      <c r="G3075" s="5">
        <f>XLOOKUP(I3075, drug!B:B, drug!A:A, "Not Found")</f>
      </c>
      <c r="H3075" s="1" t="s">
        <v>857</v>
      </c>
      <c r="I3075" s="7">
        <v>1</v>
      </c>
      <c r="J3075" s="5">
        <f>XLOOKUP(L3075, uom!C:C, uom!B:B, "Not Found")</f>
      </c>
      <c r="K3075" s="1" t="s">
        <v>5511</v>
      </c>
      <c r="L3075" s="5">
        <f>XLOOKUP(N3075, uom!C:C, uom!B:B, "Not Found")</f>
      </c>
      <c r="M3075" s="1" t="s">
        <v>5511</v>
      </c>
      <c r="N3075" s="8" t="s">
        <v>5512</v>
      </c>
      <c r="O3075" s="1" t="s">
        <v>5513</v>
      </c>
      <c r="P3075" s="5">
        <f>XLOOKUP(R3075, classification!C:C, classification!B:B, "Not Found")</f>
      </c>
      <c r="Q3075" s="1" t="s">
        <v>5514</v>
      </c>
      <c r="R3075" s="2"/>
      <c r="S3075" s="2"/>
      <c r="T3075" s="2"/>
      <c r="U3075" s="2"/>
    </row>
    <row x14ac:dyDescent="0.25" r="3076" customHeight="1" ht="17.25">
      <c r="A3076" s="7">
        <v>3075</v>
      </c>
      <c r="B3076" s="1" t="s">
        <v>8408</v>
      </c>
      <c r="C3076" s="5">
        <f>CONCATENATE("PD", TEXT(A3076, "1000000"))</f>
      </c>
      <c r="D3076" s="7">
        <v>75</v>
      </c>
      <c r="E3076" s="5">
        <f>XLOOKUP(G3076, item_category!C:C, item_category!B:B, "Not Found")</f>
      </c>
      <c r="F3076" s="1" t="s">
        <v>5541</v>
      </c>
      <c r="G3076" s="5">
        <f>XLOOKUP(I3076, drug!B:B, drug!A:A, "Not Found")</f>
      </c>
      <c r="H3076" s="1" t="s">
        <v>1942</v>
      </c>
      <c r="I3076" s="7">
        <v>1</v>
      </c>
      <c r="J3076" s="5">
        <f>XLOOKUP(L3076, uom!C:C, uom!B:B, "Not Found")</f>
      </c>
      <c r="K3076" s="1" t="s">
        <v>5511</v>
      </c>
      <c r="L3076" s="5">
        <f>XLOOKUP(N3076, uom!C:C, uom!B:B, "Not Found")</f>
      </c>
      <c r="M3076" s="1" t="s">
        <v>5511</v>
      </c>
      <c r="N3076" s="8" t="s">
        <v>5512</v>
      </c>
      <c r="O3076" s="1" t="s">
        <v>5513</v>
      </c>
      <c r="P3076" s="5">
        <f>XLOOKUP(R3076, classification!C:C, classification!B:B, "Not Found")</f>
      </c>
      <c r="Q3076" s="1" t="s">
        <v>5514</v>
      </c>
      <c r="R3076" s="2"/>
      <c r="S3076" s="2"/>
      <c r="T3076" s="2"/>
      <c r="U3076" s="2"/>
    </row>
    <row x14ac:dyDescent="0.25" r="3077" customHeight="1" ht="17.25">
      <c r="A3077" s="7">
        <v>3076</v>
      </c>
      <c r="B3077" s="1" t="s">
        <v>8409</v>
      </c>
      <c r="C3077" s="5">
        <f>CONCATENATE("PD", TEXT(A3077, "1000000"))</f>
      </c>
      <c r="D3077" s="7">
        <v>75</v>
      </c>
      <c r="E3077" s="5">
        <f>XLOOKUP(G3077, item_category!C:C, item_category!B:B, "Not Found")</f>
      </c>
      <c r="F3077" s="1" t="s">
        <v>5541</v>
      </c>
      <c r="G3077" s="5">
        <f>XLOOKUP(I3077, drug!B:B, drug!A:A, "Not Found")</f>
      </c>
      <c r="H3077" s="1" t="s">
        <v>857</v>
      </c>
      <c r="I3077" s="7">
        <v>1</v>
      </c>
      <c r="J3077" s="5">
        <f>XLOOKUP(L3077, uom!C:C, uom!B:B, "Not Found")</f>
      </c>
      <c r="K3077" s="1" t="s">
        <v>5511</v>
      </c>
      <c r="L3077" s="5">
        <f>XLOOKUP(N3077, uom!C:C, uom!B:B, "Not Found")</f>
      </c>
      <c r="M3077" s="1" t="s">
        <v>5511</v>
      </c>
      <c r="N3077" s="8" t="s">
        <v>5512</v>
      </c>
      <c r="O3077" s="1" t="s">
        <v>5513</v>
      </c>
      <c r="P3077" s="5">
        <f>XLOOKUP(R3077, classification!C:C, classification!B:B, "Not Found")</f>
      </c>
      <c r="Q3077" s="1" t="s">
        <v>5514</v>
      </c>
      <c r="R3077" s="2"/>
      <c r="S3077" s="2"/>
      <c r="T3077" s="2"/>
      <c r="U3077" s="2"/>
    </row>
    <row x14ac:dyDescent="0.25" r="3078" customHeight="1" ht="17.25">
      <c r="A3078" s="7">
        <v>3077</v>
      </c>
      <c r="B3078" s="1" t="s">
        <v>8410</v>
      </c>
      <c r="C3078" s="5">
        <f>CONCATENATE("PD", TEXT(A3078, "1000000"))</f>
      </c>
      <c r="D3078" s="7">
        <v>75</v>
      </c>
      <c r="E3078" s="5">
        <f>XLOOKUP(G3078, item_category!C:C, item_category!B:B, "Not Found")</f>
      </c>
      <c r="F3078" s="1" t="s">
        <v>5541</v>
      </c>
      <c r="G3078" s="5">
        <f>XLOOKUP(I3078, drug!B:B, drug!A:A, "Not Found")</f>
      </c>
      <c r="H3078" s="1" t="s">
        <v>857</v>
      </c>
      <c r="I3078" s="7">
        <v>1</v>
      </c>
      <c r="J3078" s="5">
        <f>XLOOKUP(L3078, uom!C:C, uom!B:B, "Not Found")</f>
      </c>
      <c r="K3078" s="1" t="s">
        <v>5511</v>
      </c>
      <c r="L3078" s="5">
        <f>XLOOKUP(N3078, uom!C:C, uom!B:B, "Not Found")</f>
      </c>
      <c r="M3078" s="1" t="s">
        <v>5511</v>
      </c>
      <c r="N3078" s="8" t="s">
        <v>5512</v>
      </c>
      <c r="O3078" s="1" t="s">
        <v>5513</v>
      </c>
      <c r="P3078" s="5">
        <f>XLOOKUP(R3078, classification!C:C, classification!B:B, "Not Found")</f>
      </c>
      <c r="Q3078" s="1" t="s">
        <v>5514</v>
      </c>
      <c r="R3078" s="2"/>
      <c r="S3078" s="2"/>
      <c r="T3078" s="2"/>
      <c r="U3078" s="2"/>
    </row>
    <row x14ac:dyDescent="0.25" r="3079" customHeight="1" ht="17.25">
      <c r="A3079" s="7">
        <v>3078</v>
      </c>
      <c r="B3079" s="1" t="s">
        <v>8411</v>
      </c>
      <c r="C3079" s="5">
        <f>CONCATENATE("PD", TEXT(A3079, "1000000"))</f>
      </c>
      <c r="D3079" s="7">
        <v>75</v>
      </c>
      <c r="E3079" s="5">
        <f>XLOOKUP(G3079, item_category!C:C, item_category!B:B, "Not Found")</f>
      </c>
      <c r="F3079" s="1" t="s">
        <v>5541</v>
      </c>
      <c r="G3079" s="5">
        <f>XLOOKUP(I3079, drug!B:B, drug!A:A, "Not Found")</f>
      </c>
      <c r="H3079" s="1" t="s">
        <v>857</v>
      </c>
      <c r="I3079" s="7">
        <v>1</v>
      </c>
      <c r="J3079" s="5">
        <f>XLOOKUP(L3079, uom!C:C, uom!B:B, "Not Found")</f>
      </c>
      <c r="K3079" s="1" t="s">
        <v>5511</v>
      </c>
      <c r="L3079" s="5">
        <f>XLOOKUP(N3079, uom!C:C, uom!B:B, "Not Found")</f>
      </c>
      <c r="M3079" s="1" t="s">
        <v>5511</v>
      </c>
      <c r="N3079" s="8" t="s">
        <v>5512</v>
      </c>
      <c r="O3079" s="1" t="s">
        <v>5513</v>
      </c>
      <c r="P3079" s="5">
        <f>XLOOKUP(R3079, classification!C:C, classification!B:B, "Not Found")</f>
      </c>
      <c r="Q3079" s="1" t="s">
        <v>5514</v>
      </c>
      <c r="R3079" s="2"/>
      <c r="S3079" s="2"/>
      <c r="T3079" s="2"/>
      <c r="U3079" s="2"/>
    </row>
    <row x14ac:dyDescent="0.25" r="3080" customHeight="1" ht="17.25">
      <c r="A3080" s="7">
        <v>3079</v>
      </c>
      <c r="B3080" s="1" t="s">
        <v>8412</v>
      </c>
      <c r="C3080" s="5">
        <f>CONCATENATE("PD", TEXT(A3080, "1000000"))</f>
      </c>
      <c r="D3080" s="7">
        <v>75</v>
      </c>
      <c r="E3080" s="5">
        <f>XLOOKUP(G3080, item_category!C:C, item_category!B:B, "Not Found")</f>
      </c>
      <c r="F3080" s="1" t="s">
        <v>5541</v>
      </c>
      <c r="G3080" s="5">
        <f>XLOOKUP(I3080, drug!B:B, drug!A:A, "Not Found")</f>
      </c>
      <c r="H3080" s="1"/>
      <c r="I3080" s="7">
        <v>1</v>
      </c>
      <c r="J3080" s="5">
        <f>XLOOKUP(L3080, uom!C:C, uom!B:B, "Not Found")</f>
      </c>
      <c r="K3080" s="1" t="s">
        <v>5511</v>
      </c>
      <c r="L3080" s="5">
        <f>XLOOKUP(N3080, uom!C:C, uom!B:B, "Not Found")</f>
      </c>
      <c r="M3080" s="1" t="s">
        <v>5511</v>
      </c>
      <c r="N3080" s="8" t="s">
        <v>5512</v>
      </c>
      <c r="O3080" s="1" t="s">
        <v>5513</v>
      </c>
      <c r="P3080" s="5">
        <f>XLOOKUP(R3080, classification!C:C, classification!B:B, "Not Found")</f>
      </c>
      <c r="Q3080" s="1" t="s">
        <v>5514</v>
      </c>
      <c r="R3080" s="2"/>
      <c r="S3080" s="2"/>
      <c r="T3080" s="2"/>
      <c r="U3080" s="2"/>
    </row>
    <row x14ac:dyDescent="0.25" r="3081" customHeight="1" ht="17.25">
      <c r="A3081" s="7">
        <v>3080</v>
      </c>
      <c r="B3081" s="1" t="s">
        <v>8413</v>
      </c>
      <c r="C3081" s="5">
        <f>CONCATENATE("PD", TEXT(A3081, "1000000"))</f>
      </c>
      <c r="D3081" s="7">
        <v>75</v>
      </c>
      <c r="E3081" s="5">
        <f>XLOOKUP(G3081, item_category!C:C, item_category!B:B, "Not Found")</f>
      </c>
      <c r="F3081" s="1" t="s">
        <v>5541</v>
      </c>
      <c r="G3081" s="5">
        <f>XLOOKUP(I3081, drug!B:B, drug!A:A, "Not Found")</f>
      </c>
      <c r="H3081" s="1" t="s">
        <v>1942</v>
      </c>
      <c r="I3081" s="7">
        <v>1</v>
      </c>
      <c r="J3081" s="5">
        <f>XLOOKUP(L3081, uom!C:C, uom!B:B, "Not Found")</f>
      </c>
      <c r="K3081" s="1" t="s">
        <v>5511</v>
      </c>
      <c r="L3081" s="5">
        <f>XLOOKUP(N3081, uom!C:C, uom!B:B, "Not Found")</f>
      </c>
      <c r="M3081" s="1" t="s">
        <v>5511</v>
      </c>
      <c r="N3081" s="8" t="s">
        <v>5512</v>
      </c>
      <c r="O3081" s="1" t="s">
        <v>5513</v>
      </c>
      <c r="P3081" s="5">
        <f>XLOOKUP(R3081, classification!C:C, classification!B:B, "Not Found")</f>
      </c>
      <c r="Q3081" s="1" t="s">
        <v>5514</v>
      </c>
      <c r="R3081" s="2"/>
      <c r="S3081" s="2"/>
      <c r="T3081" s="2"/>
      <c r="U3081" s="2"/>
    </row>
    <row x14ac:dyDescent="0.25" r="3082" customHeight="1" ht="17.25">
      <c r="A3082" s="7">
        <v>3081</v>
      </c>
      <c r="B3082" s="1" t="s">
        <v>8414</v>
      </c>
      <c r="C3082" s="5">
        <f>CONCATENATE("PD", TEXT(A3082, "1000000"))</f>
      </c>
      <c r="D3082" s="7">
        <v>75</v>
      </c>
      <c r="E3082" s="5">
        <f>XLOOKUP(G3082, item_category!C:C, item_category!B:B, "Not Found")</f>
      </c>
      <c r="F3082" s="1" t="s">
        <v>5541</v>
      </c>
      <c r="G3082" s="5">
        <f>XLOOKUP(I3082, drug!B:B, drug!A:A, "Not Found")</f>
      </c>
      <c r="H3082" s="1" t="s">
        <v>908</v>
      </c>
      <c r="I3082" s="7">
        <v>1</v>
      </c>
      <c r="J3082" s="5">
        <f>XLOOKUP(L3082, uom!C:C, uom!B:B, "Not Found")</f>
      </c>
      <c r="K3082" s="1" t="s">
        <v>5511</v>
      </c>
      <c r="L3082" s="5">
        <f>XLOOKUP(N3082, uom!C:C, uom!B:B, "Not Found")</f>
      </c>
      <c r="M3082" s="1" t="s">
        <v>5511</v>
      </c>
      <c r="N3082" s="8" t="s">
        <v>5512</v>
      </c>
      <c r="O3082" s="1" t="s">
        <v>5513</v>
      </c>
      <c r="P3082" s="5">
        <f>XLOOKUP(R3082, classification!C:C, classification!B:B, "Not Found")</f>
      </c>
      <c r="Q3082" s="1" t="s">
        <v>5514</v>
      </c>
      <c r="R3082" s="2"/>
      <c r="S3082" s="2"/>
      <c r="T3082" s="2"/>
      <c r="U3082" s="2"/>
    </row>
    <row x14ac:dyDescent="0.25" r="3083" customHeight="1" ht="17.25">
      <c r="A3083" s="7">
        <v>3082</v>
      </c>
      <c r="B3083" s="1" t="s">
        <v>8415</v>
      </c>
      <c r="C3083" s="5">
        <f>CONCATENATE("PD", TEXT(A3083, "1000000"))</f>
      </c>
      <c r="D3083" s="7">
        <v>75</v>
      </c>
      <c r="E3083" s="5">
        <f>XLOOKUP(G3083, item_category!C:C, item_category!B:B, "Not Found")</f>
      </c>
      <c r="F3083" s="1" t="s">
        <v>5541</v>
      </c>
      <c r="G3083" s="5">
        <f>XLOOKUP(I3083, drug!B:B, drug!A:A, "Not Found")</f>
      </c>
      <c r="H3083" s="1"/>
      <c r="I3083" s="7">
        <v>1</v>
      </c>
      <c r="J3083" s="5">
        <f>XLOOKUP(L3083, uom!C:C, uom!B:B, "Not Found")</f>
      </c>
      <c r="K3083" s="1" t="s">
        <v>5511</v>
      </c>
      <c r="L3083" s="5">
        <f>XLOOKUP(N3083, uom!C:C, uom!B:B, "Not Found")</f>
      </c>
      <c r="M3083" s="1" t="s">
        <v>5511</v>
      </c>
      <c r="N3083" s="8" t="s">
        <v>5512</v>
      </c>
      <c r="O3083" s="1" t="s">
        <v>5513</v>
      </c>
      <c r="P3083" s="5">
        <f>XLOOKUP(R3083, classification!C:C, classification!B:B, "Not Found")</f>
      </c>
      <c r="Q3083" s="1" t="s">
        <v>5514</v>
      </c>
      <c r="R3083" s="2"/>
      <c r="S3083" s="2"/>
      <c r="T3083" s="2"/>
      <c r="U3083" s="2"/>
    </row>
    <row x14ac:dyDescent="0.25" r="3084" customHeight="1" ht="17.25">
      <c r="A3084" s="7">
        <v>3083</v>
      </c>
      <c r="B3084" s="1" t="s">
        <v>8416</v>
      </c>
      <c r="C3084" s="5">
        <f>CONCATENATE("PD", TEXT(A3084, "1000000"))</f>
      </c>
      <c r="D3084" s="7">
        <v>75</v>
      </c>
      <c r="E3084" s="5">
        <f>XLOOKUP(G3084, item_category!C:C, item_category!B:B, "Not Found")</f>
      </c>
      <c r="F3084" s="1" t="s">
        <v>5541</v>
      </c>
      <c r="G3084" s="5">
        <f>XLOOKUP(I3084, drug!B:B, drug!A:A, "Not Found")</f>
      </c>
      <c r="H3084" s="1" t="s">
        <v>1470</v>
      </c>
      <c r="I3084" s="7">
        <v>1</v>
      </c>
      <c r="J3084" s="5">
        <f>XLOOKUP(L3084, uom!C:C, uom!B:B, "Not Found")</f>
      </c>
      <c r="K3084" s="1" t="s">
        <v>5511</v>
      </c>
      <c r="L3084" s="5">
        <f>XLOOKUP(N3084, uom!C:C, uom!B:B, "Not Found")</f>
      </c>
      <c r="M3084" s="1" t="s">
        <v>5511</v>
      </c>
      <c r="N3084" s="8" t="s">
        <v>5512</v>
      </c>
      <c r="O3084" s="1" t="s">
        <v>5513</v>
      </c>
      <c r="P3084" s="5">
        <f>XLOOKUP(R3084, classification!C:C, classification!B:B, "Not Found")</f>
      </c>
      <c r="Q3084" s="1" t="s">
        <v>5514</v>
      </c>
      <c r="R3084" s="2"/>
      <c r="S3084" s="2"/>
      <c r="T3084" s="2"/>
      <c r="U3084" s="2"/>
    </row>
    <row x14ac:dyDescent="0.25" r="3085" customHeight="1" ht="17.25">
      <c r="A3085" s="7">
        <v>3084</v>
      </c>
      <c r="B3085" s="1" t="s">
        <v>8417</v>
      </c>
      <c r="C3085" s="5">
        <f>CONCATENATE("PD", TEXT(A3085, "1000000"))</f>
      </c>
      <c r="D3085" s="7">
        <v>75</v>
      </c>
      <c r="E3085" s="5">
        <f>XLOOKUP(G3085, item_category!C:C, item_category!B:B, "Not Found")</f>
      </c>
      <c r="F3085" s="1" t="s">
        <v>5541</v>
      </c>
      <c r="G3085" s="5">
        <f>XLOOKUP(I3085, drug!B:B, drug!A:A, "Not Found")</f>
      </c>
      <c r="H3085" s="1" t="s">
        <v>1470</v>
      </c>
      <c r="I3085" s="7">
        <v>1</v>
      </c>
      <c r="J3085" s="5">
        <f>XLOOKUP(L3085, uom!C:C, uom!B:B, "Not Found")</f>
      </c>
      <c r="K3085" s="1" t="s">
        <v>5511</v>
      </c>
      <c r="L3085" s="5">
        <f>XLOOKUP(N3085, uom!C:C, uom!B:B, "Not Found")</f>
      </c>
      <c r="M3085" s="1" t="s">
        <v>5511</v>
      </c>
      <c r="N3085" s="8" t="s">
        <v>5512</v>
      </c>
      <c r="O3085" s="1" t="s">
        <v>5513</v>
      </c>
      <c r="P3085" s="5">
        <f>XLOOKUP(R3085, classification!C:C, classification!B:B, "Not Found")</f>
      </c>
      <c r="Q3085" s="1" t="s">
        <v>5514</v>
      </c>
      <c r="R3085" s="2"/>
      <c r="S3085" s="2"/>
      <c r="T3085" s="2"/>
      <c r="U3085" s="2"/>
    </row>
    <row x14ac:dyDescent="0.25" r="3086" customHeight="1" ht="17.25">
      <c r="A3086" s="7">
        <v>3085</v>
      </c>
      <c r="B3086" s="1" t="s">
        <v>8418</v>
      </c>
      <c r="C3086" s="5">
        <f>CONCATENATE("PD", TEXT(A3086, "1000000"))</f>
      </c>
      <c r="D3086" s="7">
        <v>75</v>
      </c>
      <c r="E3086" s="5">
        <f>XLOOKUP(G3086, item_category!C:C, item_category!B:B, "Not Found")</f>
      </c>
      <c r="F3086" s="1" t="s">
        <v>5541</v>
      </c>
      <c r="G3086" s="5">
        <f>XLOOKUP(I3086, drug!B:B, drug!A:A, "Not Found")</f>
      </c>
      <c r="H3086" s="1" t="s">
        <v>1942</v>
      </c>
      <c r="I3086" s="7">
        <v>1</v>
      </c>
      <c r="J3086" s="5">
        <f>XLOOKUP(L3086, uom!C:C, uom!B:B, "Not Found")</f>
      </c>
      <c r="K3086" s="1" t="s">
        <v>5511</v>
      </c>
      <c r="L3086" s="5">
        <f>XLOOKUP(N3086, uom!C:C, uom!B:B, "Not Found")</f>
      </c>
      <c r="M3086" s="1" t="s">
        <v>5511</v>
      </c>
      <c r="N3086" s="8" t="s">
        <v>5512</v>
      </c>
      <c r="O3086" s="1" t="s">
        <v>5513</v>
      </c>
      <c r="P3086" s="5">
        <f>XLOOKUP(R3086, classification!C:C, classification!B:B, "Not Found")</f>
      </c>
      <c r="Q3086" s="1" t="s">
        <v>5514</v>
      </c>
      <c r="R3086" s="2"/>
      <c r="S3086" s="2"/>
      <c r="T3086" s="2"/>
      <c r="U3086" s="2"/>
    </row>
    <row x14ac:dyDescent="0.25" r="3087" customHeight="1" ht="17.25">
      <c r="A3087" s="7">
        <v>3086</v>
      </c>
      <c r="B3087" s="1" t="s">
        <v>8419</v>
      </c>
      <c r="C3087" s="5">
        <f>CONCATENATE("PD", TEXT(A3087, "1000000"))</f>
      </c>
      <c r="D3087" s="7">
        <v>75</v>
      </c>
      <c r="E3087" s="5">
        <f>XLOOKUP(G3087, item_category!C:C, item_category!B:B, "Not Found")</f>
      </c>
      <c r="F3087" s="1" t="s">
        <v>5541</v>
      </c>
      <c r="G3087" s="5">
        <f>XLOOKUP(I3087, drug!B:B, drug!A:A, "Not Found")</f>
      </c>
      <c r="H3087" s="1"/>
      <c r="I3087" s="7">
        <v>1</v>
      </c>
      <c r="J3087" s="5">
        <f>XLOOKUP(L3087, uom!C:C, uom!B:B, "Not Found")</f>
      </c>
      <c r="K3087" s="1" t="s">
        <v>5511</v>
      </c>
      <c r="L3087" s="5">
        <f>XLOOKUP(N3087, uom!C:C, uom!B:B, "Not Found")</f>
      </c>
      <c r="M3087" s="1" t="s">
        <v>5511</v>
      </c>
      <c r="N3087" s="8" t="s">
        <v>5512</v>
      </c>
      <c r="O3087" s="1" t="s">
        <v>5513</v>
      </c>
      <c r="P3087" s="5">
        <f>XLOOKUP(R3087, classification!C:C, classification!B:B, "Not Found")</f>
      </c>
      <c r="Q3087" s="1" t="s">
        <v>5514</v>
      </c>
      <c r="R3087" s="2"/>
      <c r="S3087" s="2"/>
      <c r="T3087" s="2"/>
      <c r="U3087" s="2"/>
    </row>
    <row x14ac:dyDescent="0.25" r="3088" customHeight="1" ht="17.25">
      <c r="A3088" s="7">
        <v>3087</v>
      </c>
      <c r="B3088" s="1" t="s">
        <v>8420</v>
      </c>
      <c r="C3088" s="5">
        <f>CONCATENATE("PD", TEXT(A3088, "1000000"))</f>
      </c>
      <c r="D3088" s="7">
        <v>75</v>
      </c>
      <c r="E3088" s="5">
        <f>XLOOKUP(G3088, item_category!C:C, item_category!B:B, "Not Found")</f>
      </c>
      <c r="F3088" s="1" t="s">
        <v>5541</v>
      </c>
      <c r="G3088" s="5">
        <f>XLOOKUP(I3088, drug!B:B, drug!A:A, "Not Found")</f>
      </c>
      <c r="H3088" s="1"/>
      <c r="I3088" s="7">
        <v>1</v>
      </c>
      <c r="J3088" s="5">
        <f>XLOOKUP(L3088, uom!C:C, uom!B:B, "Not Found")</f>
      </c>
      <c r="K3088" s="1" t="s">
        <v>5511</v>
      </c>
      <c r="L3088" s="5">
        <f>XLOOKUP(N3088, uom!C:C, uom!B:B, "Not Found")</f>
      </c>
      <c r="M3088" s="1" t="s">
        <v>5511</v>
      </c>
      <c r="N3088" s="8" t="s">
        <v>5512</v>
      </c>
      <c r="O3088" s="1" t="s">
        <v>5513</v>
      </c>
      <c r="P3088" s="5">
        <f>XLOOKUP(R3088, classification!C:C, classification!B:B, "Not Found")</f>
      </c>
      <c r="Q3088" s="1" t="s">
        <v>5514</v>
      </c>
      <c r="R3088" s="2"/>
      <c r="S3088" s="2"/>
      <c r="T3088" s="2"/>
      <c r="U3088" s="2"/>
    </row>
    <row x14ac:dyDescent="0.25" r="3089" customHeight="1" ht="17.25">
      <c r="A3089" s="7">
        <v>3088</v>
      </c>
      <c r="B3089" s="1" t="s">
        <v>8421</v>
      </c>
      <c r="C3089" s="5">
        <f>CONCATENATE("PD", TEXT(A3089, "1000000"))</f>
      </c>
      <c r="D3089" s="7">
        <v>75</v>
      </c>
      <c r="E3089" s="5">
        <f>XLOOKUP(G3089, item_category!C:C, item_category!B:B, "Not Found")</f>
      </c>
      <c r="F3089" s="1" t="s">
        <v>5541</v>
      </c>
      <c r="G3089" s="5">
        <f>XLOOKUP(I3089, drug!B:B, drug!A:A, "Not Found")</f>
      </c>
      <c r="H3089" s="1"/>
      <c r="I3089" s="7">
        <v>1</v>
      </c>
      <c r="J3089" s="5">
        <f>XLOOKUP(L3089, uom!C:C, uom!B:B, "Not Found")</f>
      </c>
      <c r="K3089" s="1" t="s">
        <v>5511</v>
      </c>
      <c r="L3089" s="5">
        <f>XLOOKUP(N3089, uom!C:C, uom!B:B, "Not Found")</f>
      </c>
      <c r="M3089" s="1" t="s">
        <v>5511</v>
      </c>
      <c r="N3089" s="8" t="s">
        <v>5512</v>
      </c>
      <c r="O3089" s="1" t="s">
        <v>5513</v>
      </c>
      <c r="P3089" s="5">
        <f>XLOOKUP(R3089, classification!C:C, classification!B:B, "Not Found")</f>
      </c>
      <c r="Q3089" s="1" t="s">
        <v>5514</v>
      </c>
      <c r="R3089" s="2"/>
      <c r="S3089" s="2"/>
      <c r="T3089" s="2"/>
      <c r="U3089" s="2"/>
    </row>
    <row x14ac:dyDescent="0.25" r="3090" customHeight="1" ht="17.25">
      <c r="A3090" s="7">
        <v>3089</v>
      </c>
      <c r="B3090" s="1" t="s">
        <v>8422</v>
      </c>
      <c r="C3090" s="5">
        <f>CONCATENATE("PD", TEXT(A3090, "1000000"))</f>
      </c>
      <c r="D3090" s="7">
        <v>75</v>
      </c>
      <c r="E3090" s="5">
        <f>XLOOKUP(G3090, item_category!C:C, item_category!B:B, "Not Found")</f>
      </c>
      <c r="F3090" s="1" t="s">
        <v>5541</v>
      </c>
      <c r="G3090" s="5">
        <f>XLOOKUP(I3090, drug!B:B, drug!A:A, "Not Found")</f>
      </c>
      <c r="H3090" s="1"/>
      <c r="I3090" s="7">
        <v>1</v>
      </c>
      <c r="J3090" s="5">
        <f>XLOOKUP(L3090, uom!C:C, uom!B:B, "Not Found")</f>
      </c>
      <c r="K3090" s="1" t="s">
        <v>5511</v>
      </c>
      <c r="L3090" s="5">
        <f>XLOOKUP(N3090, uom!C:C, uom!B:B, "Not Found")</f>
      </c>
      <c r="M3090" s="1" t="s">
        <v>5511</v>
      </c>
      <c r="N3090" s="8" t="s">
        <v>5512</v>
      </c>
      <c r="O3090" s="1" t="s">
        <v>5513</v>
      </c>
      <c r="P3090" s="5">
        <f>XLOOKUP(R3090, classification!C:C, classification!B:B, "Not Found")</f>
      </c>
      <c r="Q3090" s="1" t="s">
        <v>5514</v>
      </c>
      <c r="R3090" s="2"/>
      <c r="S3090" s="2"/>
      <c r="T3090" s="2"/>
      <c r="U3090" s="2"/>
    </row>
    <row x14ac:dyDescent="0.25" r="3091" customHeight="1" ht="17.25">
      <c r="A3091" s="7">
        <v>3090</v>
      </c>
      <c r="B3091" s="1" t="s">
        <v>8423</v>
      </c>
      <c r="C3091" s="5">
        <f>CONCATENATE("PD", TEXT(A3091, "1000000"))</f>
      </c>
      <c r="D3091" s="7">
        <v>75</v>
      </c>
      <c r="E3091" s="5">
        <f>XLOOKUP(G3091, item_category!C:C, item_category!B:B, "Not Found")</f>
      </c>
      <c r="F3091" s="1" t="s">
        <v>5541</v>
      </c>
      <c r="G3091" s="5">
        <f>XLOOKUP(I3091, drug!B:B, drug!A:A, "Not Found")</f>
      </c>
      <c r="H3091" s="1" t="s">
        <v>1228</v>
      </c>
      <c r="I3091" s="7">
        <v>1</v>
      </c>
      <c r="J3091" s="5">
        <f>XLOOKUP(L3091, uom!C:C, uom!B:B, "Not Found")</f>
      </c>
      <c r="K3091" s="1" t="s">
        <v>5511</v>
      </c>
      <c r="L3091" s="5">
        <f>XLOOKUP(N3091, uom!C:C, uom!B:B, "Not Found")</f>
      </c>
      <c r="M3091" s="1" t="s">
        <v>5511</v>
      </c>
      <c r="N3091" s="8" t="s">
        <v>5512</v>
      </c>
      <c r="O3091" s="1" t="s">
        <v>5513</v>
      </c>
      <c r="P3091" s="5">
        <f>XLOOKUP(R3091, classification!C:C, classification!B:B, "Not Found")</f>
      </c>
      <c r="Q3091" s="1" t="s">
        <v>5514</v>
      </c>
      <c r="R3091" s="2"/>
      <c r="S3091" s="2"/>
      <c r="T3091" s="2"/>
      <c r="U3091" s="2"/>
    </row>
    <row x14ac:dyDescent="0.25" r="3092" customHeight="1" ht="17.25">
      <c r="A3092" s="7">
        <v>3091</v>
      </c>
      <c r="B3092" s="1" t="s">
        <v>8424</v>
      </c>
      <c r="C3092" s="5">
        <f>CONCATENATE("PD", TEXT(A3092, "1000000"))</f>
      </c>
      <c r="D3092" s="7">
        <v>75</v>
      </c>
      <c r="E3092" s="5">
        <f>XLOOKUP(G3092, item_category!C:C, item_category!B:B, "Not Found")</f>
      </c>
      <c r="F3092" s="1" t="s">
        <v>5541</v>
      </c>
      <c r="G3092" s="5">
        <f>XLOOKUP(I3092, drug!B:B, drug!A:A, "Not Found")</f>
      </c>
      <c r="H3092" s="1"/>
      <c r="I3092" s="7">
        <v>1</v>
      </c>
      <c r="J3092" s="5">
        <f>XLOOKUP(L3092, uom!C:C, uom!B:B, "Not Found")</f>
      </c>
      <c r="K3092" s="1" t="s">
        <v>5511</v>
      </c>
      <c r="L3092" s="5">
        <f>XLOOKUP(N3092, uom!C:C, uom!B:B, "Not Found")</f>
      </c>
      <c r="M3092" s="1" t="s">
        <v>5511</v>
      </c>
      <c r="N3092" s="8" t="s">
        <v>5512</v>
      </c>
      <c r="O3092" s="1" t="s">
        <v>5513</v>
      </c>
      <c r="P3092" s="5">
        <f>XLOOKUP(R3092, classification!C:C, classification!B:B, "Not Found")</f>
      </c>
      <c r="Q3092" s="1" t="s">
        <v>5514</v>
      </c>
      <c r="R3092" s="2"/>
      <c r="S3092" s="2"/>
      <c r="T3092" s="2"/>
      <c r="U3092" s="2"/>
    </row>
    <row x14ac:dyDescent="0.25" r="3093" customHeight="1" ht="17.25">
      <c r="A3093" s="7">
        <v>3092</v>
      </c>
      <c r="B3093" s="1" t="s">
        <v>8425</v>
      </c>
      <c r="C3093" s="5">
        <f>CONCATENATE("PD", TEXT(A3093, "1000000"))</f>
      </c>
      <c r="D3093" s="7">
        <v>75</v>
      </c>
      <c r="E3093" s="5">
        <f>XLOOKUP(G3093, item_category!C:C, item_category!B:B, "Not Found")</f>
      </c>
      <c r="F3093" s="1" t="s">
        <v>5541</v>
      </c>
      <c r="G3093" s="5">
        <f>XLOOKUP(I3093, drug!B:B, drug!A:A, "Not Found")</f>
      </c>
      <c r="H3093" s="1" t="s">
        <v>1228</v>
      </c>
      <c r="I3093" s="7">
        <v>1</v>
      </c>
      <c r="J3093" s="5">
        <f>XLOOKUP(L3093, uom!C:C, uom!B:B, "Not Found")</f>
      </c>
      <c r="K3093" s="1" t="s">
        <v>5511</v>
      </c>
      <c r="L3093" s="5">
        <f>XLOOKUP(N3093, uom!C:C, uom!B:B, "Not Found")</f>
      </c>
      <c r="M3093" s="1" t="s">
        <v>5511</v>
      </c>
      <c r="N3093" s="8" t="s">
        <v>5512</v>
      </c>
      <c r="O3093" s="1" t="s">
        <v>5513</v>
      </c>
      <c r="P3093" s="5">
        <f>XLOOKUP(R3093, classification!C:C, classification!B:B, "Not Found")</f>
      </c>
      <c r="Q3093" s="1" t="s">
        <v>5514</v>
      </c>
      <c r="R3093" s="2"/>
      <c r="S3093" s="2"/>
      <c r="T3093" s="2"/>
      <c r="U3093" s="2"/>
    </row>
    <row x14ac:dyDescent="0.25" r="3094" customHeight="1" ht="17.25">
      <c r="A3094" s="7">
        <v>3093</v>
      </c>
      <c r="B3094" s="1" t="s">
        <v>1550</v>
      </c>
      <c r="C3094" s="5">
        <f>CONCATENATE("PD", TEXT(A3094, "1000000"))</f>
      </c>
      <c r="D3094" s="7">
        <v>75</v>
      </c>
      <c r="E3094" s="5">
        <f>XLOOKUP(G3094, item_category!C:C, item_category!B:B, "Not Found")</f>
      </c>
      <c r="F3094" s="1" t="s">
        <v>5541</v>
      </c>
      <c r="G3094" s="5">
        <f>XLOOKUP(I3094, drug!B:B, drug!A:A, "Not Found")</f>
      </c>
      <c r="H3094" s="1" t="s">
        <v>1550</v>
      </c>
      <c r="I3094" s="7">
        <v>1</v>
      </c>
      <c r="J3094" s="5">
        <f>XLOOKUP(L3094, uom!C:C, uom!B:B, "Not Found")</f>
      </c>
      <c r="K3094" s="1" t="s">
        <v>5511</v>
      </c>
      <c r="L3094" s="5">
        <f>XLOOKUP(N3094, uom!C:C, uom!B:B, "Not Found")</f>
      </c>
      <c r="M3094" s="1" t="s">
        <v>5511</v>
      </c>
      <c r="N3094" s="8" t="s">
        <v>5512</v>
      </c>
      <c r="O3094" s="1" t="s">
        <v>5513</v>
      </c>
      <c r="P3094" s="5">
        <f>XLOOKUP(R3094, classification!C:C, classification!B:B, "Not Found")</f>
      </c>
      <c r="Q3094" s="1" t="s">
        <v>5514</v>
      </c>
      <c r="R3094" s="2"/>
      <c r="S3094" s="2"/>
      <c r="T3094" s="2"/>
      <c r="U3094" s="2"/>
    </row>
    <row x14ac:dyDescent="0.25" r="3095" customHeight="1" ht="17.25">
      <c r="A3095" s="7">
        <v>3094</v>
      </c>
      <c r="B3095" s="1" t="s">
        <v>8426</v>
      </c>
      <c r="C3095" s="5">
        <f>CONCATENATE("PD", TEXT(A3095, "1000000"))</f>
      </c>
      <c r="D3095" s="7">
        <v>75</v>
      </c>
      <c r="E3095" s="5">
        <f>XLOOKUP(G3095, item_category!C:C, item_category!B:B, "Not Found")</f>
      </c>
      <c r="F3095" s="1" t="s">
        <v>5541</v>
      </c>
      <c r="G3095" s="5">
        <f>XLOOKUP(I3095, drug!B:B, drug!A:A, "Not Found")</f>
      </c>
      <c r="H3095" s="1"/>
      <c r="I3095" s="7">
        <v>1</v>
      </c>
      <c r="J3095" s="5">
        <f>XLOOKUP(L3095, uom!C:C, uom!B:B, "Not Found")</f>
      </c>
      <c r="K3095" s="1" t="s">
        <v>5544</v>
      </c>
      <c r="L3095" s="5">
        <f>XLOOKUP(N3095, uom!C:C, uom!B:B, "Not Found")</f>
      </c>
      <c r="M3095" s="1" t="s">
        <v>5544</v>
      </c>
      <c r="N3095" s="8" t="s">
        <v>5512</v>
      </c>
      <c r="O3095" s="1" t="s">
        <v>5525</v>
      </c>
      <c r="P3095" s="5">
        <f>XLOOKUP(R3095, classification!C:C, classification!B:B, "Not Found")</f>
      </c>
      <c r="Q3095" s="1" t="s">
        <v>5514</v>
      </c>
      <c r="R3095" s="2"/>
      <c r="S3095" s="2"/>
      <c r="T3095" s="2"/>
      <c r="U3095" s="2"/>
    </row>
    <row x14ac:dyDescent="0.25" r="3096" customHeight="1" ht="17.25">
      <c r="A3096" s="7">
        <v>3095</v>
      </c>
      <c r="B3096" s="1" t="s">
        <v>8427</v>
      </c>
      <c r="C3096" s="5">
        <f>CONCATENATE("PD", TEXT(A3096, "1000000"))</f>
      </c>
      <c r="D3096" s="7">
        <v>75</v>
      </c>
      <c r="E3096" s="5">
        <f>XLOOKUP(G3096, item_category!C:C, item_category!B:B, "Not Found")</f>
      </c>
      <c r="F3096" s="1" t="s">
        <v>5541</v>
      </c>
      <c r="G3096" s="5">
        <f>XLOOKUP(I3096, drug!B:B, drug!A:A, "Not Found")</f>
      </c>
      <c r="H3096" s="1"/>
      <c r="I3096" s="7">
        <v>1</v>
      </c>
      <c r="J3096" s="5">
        <f>XLOOKUP(L3096, uom!C:C, uom!B:B, "Not Found")</f>
      </c>
      <c r="K3096" s="1" t="s">
        <v>5511</v>
      </c>
      <c r="L3096" s="5">
        <f>XLOOKUP(N3096, uom!C:C, uom!B:B, "Not Found")</f>
      </c>
      <c r="M3096" s="1" t="s">
        <v>5511</v>
      </c>
      <c r="N3096" s="8" t="s">
        <v>5512</v>
      </c>
      <c r="O3096" s="1" t="s">
        <v>5513</v>
      </c>
      <c r="P3096" s="5">
        <f>XLOOKUP(R3096, classification!C:C, classification!B:B, "Not Found")</f>
      </c>
      <c r="Q3096" s="1" t="s">
        <v>5514</v>
      </c>
      <c r="R3096" s="2"/>
      <c r="S3096" s="2"/>
      <c r="T3096" s="2"/>
      <c r="U3096" s="2"/>
    </row>
    <row x14ac:dyDescent="0.25" r="3097" customHeight="1" ht="17.25">
      <c r="A3097" s="7">
        <v>3096</v>
      </c>
      <c r="B3097" s="1" t="s">
        <v>8428</v>
      </c>
      <c r="C3097" s="5">
        <f>CONCATENATE("PD", TEXT(A3097, "1000000"))</f>
      </c>
      <c r="D3097" s="7">
        <v>75</v>
      </c>
      <c r="E3097" s="5">
        <f>XLOOKUP(G3097, item_category!C:C, item_category!B:B, "Not Found")</f>
      </c>
      <c r="F3097" s="1" t="s">
        <v>5541</v>
      </c>
      <c r="G3097" s="5">
        <f>XLOOKUP(I3097, drug!B:B, drug!A:A, "Not Found")</f>
      </c>
      <c r="H3097" s="1"/>
      <c r="I3097" s="7">
        <v>1</v>
      </c>
      <c r="J3097" s="5">
        <f>XLOOKUP(L3097, uom!C:C, uom!B:B, "Not Found")</f>
      </c>
      <c r="K3097" s="1" t="s">
        <v>5511</v>
      </c>
      <c r="L3097" s="5">
        <f>XLOOKUP(N3097, uom!C:C, uom!B:B, "Not Found")</f>
      </c>
      <c r="M3097" s="1" t="s">
        <v>5511</v>
      </c>
      <c r="N3097" s="8" t="s">
        <v>5512</v>
      </c>
      <c r="O3097" s="1" t="s">
        <v>5513</v>
      </c>
      <c r="P3097" s="5">
        <f>XLOOKUP(R3097, classification!C:C, classification!B:B, "Not Found")</f>
      </c>
      <c r="Q3097" s="1" t="s">
        <v>5514</v>
      </c>
      <c r="R3097" s="2"/>
      <c r="S3097" s="2"/>
      <c r="T3097" s="2"/>
      <c r="U3097" s="2"/>
    </row>
    <row x14ac:dyDescent="0.25" r="3098" customHeight="1" ht="17.25">
      <c r="A3098" s="7">
        <v>3097</v>
      </c>
      <c r="B3098" s="1" t="s">
        <v>8429</v>
      </c>
      <c r="C3098" s="5">
        <f>CONCATENATE("PD", TEXT(A3098, "1000000"))</f>
      </c>
      <c r="D3098" s="7">
        <v>75</v>
      </c>
      <c r="E3098" s="5">
        <f>XLOOKUP(G3098, item_category!C:C, item_category!B:B, "Not Found")</f>
      </c>
      <c r="F3098" s="1" t="s">
        <v>5541</v>
      </c>
      <c r="G3098" s="5">
        <f>XLOOKUP(I3098, drug!B:B, drug!A:A, "Not Found")</f>
      </c>
      <c r="H3098" s="1"/>
      <c r="I3098" s="7">
        <v>1</v>
      </c>
      <c r="J3098" s="5">
        <f>XLOOKUP(L3098, uom!C:C, uom!B:B, "Not Found")</f>
      </c>
      <c r="K3098" s="1" t="s">
        <v>5511</v>
      </c>
      <c r="L3098" s="5">
        <f>XLOOKUP(N3098, uom!C:C, uom!B:B, "Not Found")</f>
      </c>
      <c r="M3098" s="1" t="s">
        <v>5511</v>
      </c>
      <c r="N3098" s="8" t="s">
        <v>5512</v>
      </c>
      <c r="O3098" s="1" t="s">
        <v>5513</v>
      </c>
      <c r="P3098" s="5">
        <f>XLOOKUP(R3098, classification!C:C, classification!B:B, "Not Found")</f>
      </c>
      <c r="Q3098" s="1" t="s">
        <v>5514</v>
      </c>
      <c r="R3098" s="2"/>
      <c r="S3098" s="2"/>
      <c r="T3098" s="2"/>
      <c r="U3098" s="2"/>
    </row>
    <row x14ac:dyDescent="0.25" r="3099" customHeight="1" ht="17.25">
      <c r="A3099" s="7">
        <v>3098</v>
      </c>
      <c r="B3099" s="1" t="s">
        <v>8430</v>
      </c>
      <c r="C3099" s="5">
        <f>CONCATENATE("PD", TEXT(A3099, "1000000"))</f>
      </c>
      <c r="D3099" s="7">
        <v>75</v>
      </c>
      <c r="E3099" s="5">
        <f>XLOOKUP(G3099, item_category!C:C, item_category!B:B, "Not Found")</f>
      </c>
      <c r="F3099" s="1" t="s">
        <v>5541</v>
      </c>
      <c r="G3099" s="5">
        <f>XLOOKUP(I3099, drug!B:B, drug!A:A, "Not Found")</f>
      </c>
      <c r="H3099" s="1" t="s">
        <v>1588</v>
      </c>
      <c r="I3099" s="7">
        <v>1</v>
      </c>
      <c r="J3099" s="5">
        <f>XLOOKUP(L3099, uom!C:C, uom!B:B, "Not Found")</f>
      </c>
      <c r="K3099" s="1" t="s">
        <v>5511</v>
      </c>
      <c r="L3099" s="5">
        <f>XLOOKUP(N3099, uom!C:C, uom!B:B, "Not Found")</f>
      </c>
      <c r="M3099" s="1" t="s">
        <v>5511</v>
      </c>
      <c r="N3099" s="8" t="s">
        <v>5512</v>
      </c>
      <c r="O3099" s="1" t="s">
        <v>5513</v>
      </c>
      <c r="P3099" s="5">
        <f>XLOOKUP(R3099, classification!C:C, classification!B:B, "Not Found")</f>
      </c>
      <c r="Q3099" s="1" t="s">
        <v>5514</v>
      </c>
      <c r="R3099" s="2"/>
      <c r="S3099" s="2"/>
      <c r="T3099" s="2"/>
      <c r="U3099" s="2"/>
    </row>
    <row x14ac:dyDescent="0.25" r="3100" customHeight="1" ht="17.25">
      <c r="A3100" s="7">
        <v>3099</v>
      </c>
      <c r="B3100" s="1" t="s">
        <v>8431</v>
      </c>
      <c r="C3100" s="5">
        <f>CONCATENATE("PD", TEXT(A3100, "1000000"))</f>
      </c>
      <c r="D3100" s="7">
        <v>75</v>
      </c>
      <c r="E3100" s="5">
        <f>XLOOKUP(G3100, item_category!C:C, item_category!B:B, "Not Found")</f>
      </c>
      <c r="F3100" s="1" t="s">
        <v>5541</v>
      </c>
      <c r="G3100" s="5">
        <f>XLOOKUP(I3100, drug!B:B, drug!A:A, "Not Found")</f>
      </c>
      <c r="H3100" s="1"/>
      <c r="I3100" s="7">
        <v>150</v>
      </c>
      <c r="J3100" s="5">
        <f>XLOOKUP(L3100, uom!C:C, uom!B:B, "Not Found")</f>
      </c>
      <c r="K3100" s="1" t="s">
        <v>6691</v>
      </c>
      <c r="L3100" s="5">
        <f>XLOOKUP(N3100, uom!C:C, uom!B:B, "Not Found")</f>
      </c>
      <c r="M3100" s="1" t="s">
        <v>6691</v>
      </c>
      <c r="N3100" s="8" t="s">
        <v>5524</v>
      </c>
      <c r="O3100" s="1" t="s">
        <v>5525</v>
      </c>
      <c r="P3100" s="5">
        <f>XLOOKUP(R3100, classification!C:C, classification!B:B, "Not Found")</f>
      </c>
      <c r="Q3100" s="1" t="s">
        <v>5514</v>
      </c>
      <c r="R3100" s="2"/>
      <c r="S3100" s="2"/>
      <c r="T3100" s="2"/>
      <c r="U3100" s="2"/>
    </row>
    <row x14ac:dyDescent="0.25" r="3101" customHeight="1" ht="17.25">
      <c r="A3101" s="7">
        <v>3100</v>
      </c>
      <c r="B3101" s="1" t="s">
        <v>8432</v>
      </c>
      <c r="C3101" s="5">
        <f>CONCATENATE("PD", TEXT(A3101, "1000000"))</f>
      </c>
      <c r="D3101" s="7">
        <v>75</v>
      </c>
      <c r="E3101" s="5">
        <f>XLOOKUP(G3101, item_category!C:C, item_category!B:B, "Not Found")</f>
      </c>
      <c r="F3101" s="1" t="s">
        <v>5541</v>
      </c>
      <c r="G3101" s="5">
        <f>XLOOKUP(I3101, drug!B:B, drug!A:A, "Not Found")</f>
      </c>
      <c r="H3101" s="1"/>
      <c r="I3101" s="7">
        <v>1</v>
      </c>
      <c r="J3101" s="5">
        <f>XLOOKUP(L3101, uom!C:C, uom!B:B, "Not Found")</f>
      </c>
      <c r="K3101" s="1" t="s">
        <v>5511</v>
      </c>
      <c r="L3101" s="5">
        <f>XLOOKUP(N3101, uom!C:C, uom!B:B, "Not Found")</f>
      </c>
      <c r="M3101" s="1" t="s">
        <v>5511</v>
      </c>
      <c r="N3101" s="8" t="s">
        <v>5512</v>
      </c>
      <c r="O3101" s="1" t="s">
        <v>5513</v>
      </c>
      <c r="P3101" s="5">
        <f>XLOOKUP(R3101, classification!C:C, classification!B:B, "Not Found")</f>
      </c>
      <c r="Q3101" s="1" t="s">
        <v>5514</v>
      </c>
      <c r="R3101" s="2"/>
      <c r="S3101" s="2"/>
      <c r="T3101" s="2"/>
      <c r="U3101" s="2"/>
    </row>
    <row x14ac:dyDescent="0.25" r="3102" customHeight="1" ht="17.25">
      <c r="A3102" s="7">
        <v>3101</v>
      </c>
      <c r="B3102" s="1" t="s">
        <v>8433</v>
      </c>
      <c r="C3102" s="5">
        <f>CONCATENATE("PD", TEXT(A3102, "1000000"))</f>
      </c>
      <c r="D3102" s="7">
        <v>75</v>
      </c>
      <c r="E3102" s="5">
        <f>XLOOKUP(G3102, item_category!C:C, item_category!B:B, "Not Found")</f>
      </c>
      <c r="F3102" s="1" t="s">
        <v>5541</v>
      </c>
      <c r="G3102" s="5">
        <f>XLOOKUP(I3102, drug!B:B, drug!A:A, "Not Found")</f>
      </c>
      <c r="H3102" s="1" t="s">
        <v>857</v>
      </c>
      <c r="I3102" s="7">
        <v>1</v>
      </c>
      <c r="J3102" s="5">
        <f>XLOOKUP(L3102, uom!C:C, uom!B:B, "Not Found")</f>
      </c>
      <c r="K3102" s="1" t="s">
        <v>5511</v>
      </c>
      <c r="L3102" s="5">
        <f>XLOOKUP(N3102, uom!C:C, uom!B:B, "Not Found")</f>
      </c>
      <c r="M3102" s="1" t="s">
        <v>5511</v>
      </c>
      <c r="N3102" s="8" t="s">
        <v>5512</v>
      </c>
      <c r="O3102" s="1" t="s">
        <v>5513</v>
      </c>
      <c r="P3102" s="5">
        <f>XLOOKUP(R3102, classification!C:C, classification!B:B, "Not Found")</f>
      </c>
      <c r="Q3102" s="1" t="s">
        <v>5514</v>
      </c>
      <c r="R3102" s="2"/>
      <c r="S3102" s="2"/>
      <c r="T3102" s="2"/>
      <c r="U3102" s="2"/>
    </row>
    <row x14ac:dyDescent="0.25" r="3103" customHeight="1" ht="17.25">
      <c r="A3103" s="7">
        <v>3102</v>
      </c>
      <c r="B3103" s="1" t="s">
        <v>8434</v>
      </c>
      <c r="C3103" s="5">
        <f>CONCATENATE("PD", TEXT(A3103, "1000000"))</f>
      </c>
      <c r="D3103" s="7">
        <v>75</v>
      </c>
      <c r="E3103" s="5">
        <f>XLOOKUP(G3103, item_category!C:C, item_category!B:B, "Not Found")</f>
      </c>
      <c r="F3103" s="1" t="s">
        <v>5541</v>
      </c>
      <c r="G3103" s="5">
        <f>XLOOKUP(I3103, drug!B:B, drug!A:A, "Not Found")</f>
      </c>
      <c r="H3103" s="1"/>
      <c r="I3103" s="7">
        <v>1</v>
      </c>
      <c r="J3103" s="5">
        <f>XLOOKUP(L3103, uom!C:C, uom!B:B, "Not Found")</f>
      </c>
      <c r="K3103" s="1" t="s">
        <v>5511</v>
      </c>
      <c r="L3103" s="5">
        <f>XLOOKUP(N3103, uom!C:C, uom!B:B, "Not Found")</f>
      </c>
      <c r="M3103" s="1" t="s">
        <v>5511</v>
      </c>
      <c r="N3103" s="8" t="s">
        <v>5512</v>
      </c>
      <c r="O3103" s="1" t="s">
        <v>5513</v>
      </c>
      <c r="P3103" s="5">
        <f>XLOOKUP(R3103, classification!C:C, classification!B:B, "Not Found")</f>
      </c>
      <c r="Q3103" s="1" t="s">
        <v>5514</v>
      </c>
      <c r="R3103" s="2"/>
      <c r="S3103" s="2"/>
      <c r="T3103" s="2"/>
      <c r="U3103" s="2"/>
    </row>
    <row x14ac:dyDescent="0.25" r="3104" customHeight="1" ht="17.25">
      <c r="A3104" s="7">
        <v>3103</v>
      </c>
      <c r="B3104" s="1" t="s">
        <v>8435</v>
      </c>
      <c r="C3104" s="5">
        <f>CONCATENATE("PD", TEXT(A3104, "1000000"))</f>
      </c>
      <c r="D3104" s="7">
        <v>75</v>
      </c>
      <c r="E3104" s="5">
        <f>XLOOKUP(G3104, item_category!C:C, item_category!B:B, "Not Found")</f>
      </c>
      <c r="F3104" s="1" t="s">
        <v>5541</v>
      </c>
      <c r="G3104" s="5">
        <f>XLOOKUP(I3104, drug!B:B, drug!A:A, "Not Found")</f>
      </c>
      <c r="H3104" s="1"/>
      <c r="I3104" s="7">
        <v>1</v>
      </c>
      <c r="J3104" s="5">
        <f>XLOOKUP(L3104, uom!C:C, uom!B:B, "Not Found")</f>
      </c>
      <c r="K3104" s="1" t="s">
        <v>5511</v>
      </c>
      <c r="L3104" s="5">
        <f>XLOOKUP(N3104, uom!C:C, uom!B:B, "Not Found")</f>
      </c>
      <c r="M3104" s="1" t="s">
        <v>5511</v>
      </c>
      <c r="N3104" s="8" t="s">
        <v>5512</v>
      </c>
      <c r="O3104" s="1" t="s">
        <v>5513</v>
      </c>
      <c r="P3104" s="5">
        <f>XLOOKUP(R3104, classification!C:C, classification!B:B, "Not Found")</f>
      </c>
      <c r="Q3104" s="1" t="s">
        <v>5514</v>
      </c>
      <c r="R3104" s="2"/>
      <c r="S3104" s="2"/>
      <c r="T3104" s="2"/>
      <c r="U3104" s="2"/>
    </row>
    <row x14ac:dyDescent="0.25" r="3105" customHeight="1" ht="17.25">
      <c r="A3105" s="7">
        <v>3104</v>
      </c>
      <c r="B3105" s="1" t="s">
        <v>8436</v>
      </c>
      <c r="C3105" s="5">
        <f>CONCATENATE("PD", TEXT(A3105, "1000000"))</f>
      </c>
      <c r="D3105" s="7">
        <v>75</v>
      </c>
      <c r="E3105" s="5">
        <f>XLOOKUP(G3105, item_category!C:C, item_category!B:B, "Not Found")</f>
      </c>
      <c r="F3105" s="1" t="s">
        <v>5541</v>
      </c>
      <c r="G3105" s="5">
        <f>XLOOKUP(I3105, drug!B:B, drug!A:A, "Not Found")</f>
      </c>
      <c r="H3105" s="1" t="s">
        <v>1228</v>
      </c>
      <c r="I3105" s="7">
        <v>1</v>
      </c>
      <c r="J3105" s="5">
        <f>XLOOKUP(L3105, uom!C:C, uom!B:B, "Not Found")</f>
      </c>
      <c r="K3105" s="1" t="s">
        <v>5511</v>
      </c>
      <c r="L3105" s="5">
        <f>XLOOKUP(N3105, uom!C:C, uom!B:B, "Not Found")</f>
      </c>
      <c r="M3105" s="1" t="s">
        <v>5511</v>
      </c>
      <c r="N3105" s="8" t="s">
        <v>5512</v>
      </c>
      <c r="O3105" s="1" t="s">
        <v>5513</v>
      </c>
      <c r="P3105" s="5">
        <f>XLOOKUP(R3105, classification!C:C, classification!B:B, "Not Found")</f>
      </c>
      <c r="Q3105" s="1" t="s">
        <v>5514</v>
      </c>
      <c r="R3105" s="2"/>
      <c r="S3105" s="2"/>
      <c r="T3105" s="2"/>
      <c r="U3105" s="2"/>
    </row>
    <row x14ac:dyDescent="0.25" r="3106" customHeight="1" ht="17.25">
      <c r="A3106" s="7">
        <v>3105</v>
      </c>
      <c r="B3106" s="1" t="s">
        <v>8437</v>
      </c>
      <c r="C3106" s="5">
        <f>CONCATENATE("PD", TEXT(A3106, "1000000"))</f>
      </c>
      <c r="D3106" s="7">
        <v>75</v>
      </c>
      <c r="E3106" s="5">
        <f>XLOOKUP(G3106, item_category!C:C, item_category!B:B, "Not Found")</f>
      </c>
      <c r="F3106" s="1" t="s">
        <v>5541</v>
      </c>
      <c r="G3106" s="5">
        <f>XLOOKUP(I3106, drug!B:B, drug!A:A, "Not Found")</f>
      </c>
      <c r="H3106" s="1"/>
      <c r="I3106" s="7">
        <v>1</v>
      </c>
      <c r="J3106" s="5">
        <f>XLOOKUP(L3106, uom!C:C, uom!B:B, "Not Found")</f>
      </c>
      <c r="K3106" s="1" t="s">
        <v>5511</v>
      </c>
      <c r="L3106" s="5">
        <f>XLOOKUP(N3106, uom!C:C, uom!B:B, "Not Found")</f>
      </c>
      <c r="M3106" s="1" t="s">
        <v>5511</v>
      </c>
      <c r="N3106" s="8" t="s">
        <v>5512</v>
      </c>
      <c r="O3106" s="1" t="s">
        <v>5513</v>
      </c>
      <c r="P3106" s="5">
        <f>XLOOKUP(R3106, classification!C:C, classification!B:B, "Not Found")</f>
      </c>
      <c r="Q3106" s="1" t="s">
        <v>5514</v>
      </c>
      <c r="R3106" s="2"/>
      <c r="S3106" s="2"/>
      <c r="T3106" s="2"/>
      <c r="U3106" s="2"/>
    </row>
    <row x14ac:dyDescent="0.25" r="3107" customHeight="1" ht="17.25">
      <c r="A3107" s="7">
        <v>3106</v>
      </c>
      <c r="B3107" s="1" t="s">
        <v>8438</v>
      </c>
      <c r="C3107" s="5">
        <f>CONCATENATE("PD", TEXT(A3107, "1000000"))</f>
      </c>
      <c r="D3107" s="7">
        <v>75</v>
      </c>
      <c r="E3107" s="5">
        <f>XLOOKUP(G3107, item_category!C:C, item_category!B:B, "Not Found")</f>
      </c>
      <c r="F3107" s="1" t="s">
        <v>5541</v>
      </c>
      <c r="G3107" s="5">
        <f>XLOOKUP(I3107, drug!B:B, drug!A:A, "Not Found")</f>
      </c>
      <c r="H3107" s="1" t="s">
        <v>1102</v>
      </c>
      <c r="I3107" s="7">
        <v>1</v>
      </c>
      <c r="J3107" s="5">
        <f>XLOOKUP(L3107, uom!C:C, uom!B:B, "Not Found")</f>
      </c>
      <c r="K3107" s="1" t="s">
        <v>5511</v>
      </c>
      <c r="L3107" s="5">
        <f>XLOOKUP(N3107, uom!C:C, uom!B:B, "Not Found")</f>
      </c>
      <c r="M3107" s="1" t="s">
        <v>5511</v>
      </c>
      <c r="N3107" s="8" t="s">
        <v>5512</v>
      </c>
      <c r="O3107" s="1" t="s">
        <v>5513</v>
      </c>
      <c r="P3107" s="5">
        <f>XLOOKUP(R3107, classification!C:C, classification!B:B, "Not Found")</f>
      </c>
      <c r="Q3107" s="1" t="s">
        <v>5514</v>
      </c>
      <c r="R3107" s="2"/>
      <c r="S3107" s="2"/>
      <c r="T3107" s="2"/>
      <c r="U3107" s="2"/>
    </row>
    <row x14ac:dyDescent="0.25" r="3108" customHeight="1" ht="17.25">
      <c r="A3108" s="7">
        <v>3107</v>
      </c>
      <c r="B3108" s="1" t="s">
        <v>8439</v>
      </c>
      <c r="C3108" s="5">
        <f>CONCATENATE("PD", TEXT(A3108, "1000000"))</f>
      </c>
      <c r="D3108" s="7">
        <v>75</v>
      </c>
      <c r="E3108" s="5">
        <f>XLOOKUP(G3108, item_category!C:C, item_category!B:B, "Not Found")</f>
      </c>
      <c r="F3108" s="1" t="s">
        <v>5541</v>
      </c>
      <c r="G3108" s="5">
        <f>XLOOKUP(I3108, drug!B:B, drug!A:A, "Not Found")</f>
      </c>
      <c r="H3108" s="1"/>
      <c r="I3108" s="7">
        <v>1</v>
      </c>
      <c r="J3108" s="5">
        <f>XLOOKUP(L3108, uom!C:C, uom!B:B, "Not Found")</f>
      </c>
      <c r="K3108" s="1" t="s">
        <v>5511</v>
      </c>
      <c r="L3108" s="5">
        <f>XLOOKUP(N3108, uom!C:C, uom!B:B, "Not Found")</f>
      </c>
      <c r="M3108" s="1" t="s">
        <v>5511</v>
      </c>
      <c r="N3108" s="8" t="s">
        <v>5512</v>
      </c>
      <c r="O3108" s="1" t="s">
        <v>5513</v>
      </c>
      <c r="P3108" s="5">
        <f>XLOOKUP(R3108, classification!C:C, classification!B:B, "Not Found")</f>
      </c>
      <c r="Q3108" s="1" t="s">
        <v>5514</v>
      </c>
      <c r="R3108" s="2"/>
      <c r="S3108" s="2"/>
      <c r="T3108" s="2"/>
      <c r="U3108" s="2"/>
    </row>
    <row x14ac:dyDescent="0.25" r="3109" customHeight="1" ht="17.25">
      <c r="A3109" s="7">
        <v>3108</v>
      </c>
      <c r="B3109" s="1" t="s">
        <v>8440</v>
      </c>
      <c r="C3109" s="5">
        <f>CONCATENATE("PD", TEXT(A3109, "1000000"))</f>
      </c>
      <c r="D3109" s="7">
        <v>75</v>
      </c>
      <c r="E3109" s="5">
        <f>XLOOKUP(G3109, item_category!C:C, item_category!B:B, "Not Found")</f>
      </c>
      <c r="F3109" s="1" t="s">
        <v>5541</v>
      </c>
      <c r="G3109" s="5">
        <f>XLOOKUP(I3109, drug!B:B, drug!A:A, "Not Found")</f>
      </c>
      <c r="H3109" s="1" t="s">
        <v>1700</v>
      </c>
      <c r="I3109" s="7">
        <v>1</v>
      </c>
      <c r="J3109" s="5">
        <f>XLOOKUP(L3109, uom!C:C, uom!B:B, "Not Found")</f>
      </c>
      <c r="K3109" s="1" t="s">
        <v>5511</v>
      </c>
      <c r="L3109" s="5">
        <f>XLOOKUP(N3109, uom!C:C, uom!B:B, "Not Found")</f>
      </c>
      <c r="M3109" s="1" t="s">
        <v>5511</v>
      </c>
      <c r="N3109" s="8" t="s">
        <v>5512</v>
      </c>
      <c r="O3109" s="1" t="s">
        <v>5513</v>
      </c>
      <c r="P3109" s="5">
        <f>XLOOKUP(R3109, classification!C:C, classification!B:B, "Not Found")</f>
      </c>
      <c r="Q3109" s="1" t="s">
        <v>5514</v>
      </c>
      <c r="R3109" s="2"/>
      <c r="S3109" s="2"/>
      <c r="T3109" s="2"/>
      <c r="U3109" s="2"/>
    </row>
    <row x14ac:dyDescent="0.25" r="3110" customHeight="1" ht="17.25">
      <c r="A3110" s="7">
        <v>3109</v>
      </c>
      <c r="B3110" s="1" t="s">
        <v>8441</v>
      </c>
      <c r="C3110" s="5">
        <f>CONCATENATE("PD", TEXT(A3110, "1000000"))</f>
      </c>
      <c r="D3110" s="7">
        <v>75</v>
      </c>
      <c r="E3110" s="5">
        <f>XLOOKUP(G3110, item_category!C:C, item_category!B:B, "Not Found")</f>
      </c>
      <c r="F3110" s="1" t="s">
        <v>5541</v>
      </c>
      <c r="G3110" s="5">
        <f>XLOOKUP(I3110, drug!B:B, drug!A:A, "Not Found")</f>
      </c>
      <c r="H3110" s="1" t="s">
        <v>1700</v>
      </c>
      <c r="I3110" s="7">
        <v>1</v>
      </c>
      <c r="J3110" s="5">
        <f>XLOOKUP(L3110, uom!C:C, uom!B:B, "Not Found")</f>
      </c>
      <c r="K3110" s="1" t="s">
        <v>5511</v>
      </c>
      <c r="L3110" s="5">
        <f>XLOOKUP(N3110, uom!C:C, uom!B:B, "Not Found")</f>
      </c>
      <c r="M3110" s="1" t="s">
        <v>5511</v>
      </c>
      <c r="N3110" s="8" t="s">
        <v>5512</v>
      </c>
      <c r="O3110" s="1" t="s">
        <v>5513</v>
      </c>
      <c r="P3110" s="5">
        <f>XLOOKUP(R3110, classification!C:C, classification!B:B, "Not Found")</f>
      </c>
      <c r="Q3110" s="1" t="s">
        <v>5514</v>
      </c>
      <c r="R3110" s="2"/>
      <c r="S3110" s="2"/>
      <c r="T3110" s="2"/>
      <c r="U3110" s="2"/>
    </row>
    <row x14ac:dyDescent="0.25" r="3111" customHeight="1" ht="17.25">
      <c r="A3111" s="7">
        <v>3110</v>
      </c>
      <c r="B3111" s="1" t="s">
        <v>8442</v>
      </c>
      <c r="C3111" s="5">
        <f>CONCATENATE("PD", TEXT(A3111, "1000000"))</f>
      </c>
      <c r="D3111" s="7">
        <v>75</v>
      </c>
      <c r="E3111" s="5">
        <f>XLOOKUP(G3111, item_category!C:C, item_category!B:B, "Not Found")</f>
      </c>
      <c r="F3111" s="1" t="s">
        <v>5541</v>
      </c>
      <c r="G3111" s="5">
        <f>XLOOKUP(I3111, drug!B:B, drug!A:A, "Not Found")</f>
      </c>
      <c r="H3111" s="1" t="s">
        <v>857</v>
      </c>
      <c r="I3111" s="7">
        <v>1</v>
      </c>
      <c r="J3111" s="5">
        <f>XLOOKUP(L3111, uom!C:C, uom!B:B, "Not Found")</f>
      </c>
      <c r="K3111" s="1" t="s">
        <v>5511</v>
      </c>
      <c r="L3111" s="5">
        <f>XLOOKUP(N3111, uom!C:C, uom!B:B, "Not Found")</f>
      </c>
      <c r="M3111" s="1" t="s">
        <v>5511</v>
      </c>
      <c r="N3111" s="8" t="s">
        <v>5512</v>
      </c>
      <c r="O3111" s="1" t="s">
        <v>5513</v>
      </c>
      <c r="P3111" s="5">
        <f>XLOOKUP(R3111, classification!C:C, classification!B:B, "Not Found")</f>
      </c>
      <c r="Q3111" s="1" t="s">
        <v>5514</v>
      </c>
      <c r="R3111" s="2"/>
      <c r="S3111" s="2"/>
      <c r="T3111" s="2"/>
      <c r="U3111" s="2"/>
    </row>
    <row x14ac:dyDescent="0.25" r="3112" customHeight="1" ht="17.25">
      <c r="A3112" s="7">
        <v>3111</v>
      </c>
      <c r="B3112" s="1" t="s">
        <v>8443</v>
      </c>
      <c r="C3112" s="5">
        <f>CONCATENATE("PD", TEXT(A3112, "1000000"))</f>
      </c>
      <c r="D3112" s="7">
        <v>75</v>
      </c>
      <c r="E3112" s="5">
        <f>XLOOKUP(G3112, item_category!C:C, item_category!B:B, "Not Found")</f>
      </c>
      <c r="F3112" s="1" t="s">
        <v>5541</v>
      </c>
      <c r="G3112" s="5">
        <f>XLOOKUP(I3112, drug!B:B, drug!A:A, "Not Found")</f>
      </c>
      <c r="H3112" s="1"/>
      <c r="I3112" s="7">
        <v>1</v>
      </c>
      <c r="J3112" s="5">
        <f>XLOOKUP(L3112, uom!C:C, uom!B:B, "Not Found")</f>
      </c>
      <c r="K3112" s="1" t="s">
        <v>5511</v>
      </c>
      <c r="L3112" s="5">
        <f>XLOOKUP(N3112, uom!C:C, uom!B:B, "Not Found")</f>
      </c>
      <c r="M3112" s="1" t="s">
        <v>5511</v>
      </c>
      <c r="N3112" s="8" t="s">
        <v>5512</v>
      </c>
      <c r="O3112" s="1" t="s">
        <v>5513</v>
      </c>
      <c r="P3112" s="5">
        <f>XLOOKUP(R3112, classification!C:C, classification!B:B, "Not Found")</f>
      </c>
      <c r="Q3112" s="1" t="s">
        <v>5514</v>
      </c>
      <c r="R3112" s="2"/>
      <c r="S3112" s="2"/>
      <c r="T3112" s="2"/>
      <c r="U3112" s="2"/>
    </row>
    <row x14ac:dyDescent="0.25" r="3113" customHeight="1" ht="17.25">
      <c r="A3113" s="7">
        <v>3112</v>
      </c>
      <c r="B3113" s="1" t="s">
        <v>8444</v>
      </c>
      <c r="C3113" s="5">
        <f>CONCATENATE("PD", TEXT(A3113, "1000000"))</f>
      </c>
      <c r="D3113" s="7">
        <v>75</v>
      </c>
      <c r="E3113" s="5">
        <f>XLOOKUP(G3113, item_category!C:C, item_category!B:B, "Not Found")</f>
      </c>
      <c r="F3113" s="1" t="s">
        <v>5541</v>
      </c>
      <c r="G3113" s="5">
        <f>XLOOKUP(I3113, drug!B:B, drug!A:A, "Not Found")</f>
      </c>
      <c r="H3113" s="1" t="s">
        <v>1786</v>
      </c>
      <c r="I3113" s="7">
        <v>1</v>
      </c>
      <c r="J3113" s="5">
        <f>XLOOKUP(L3113, uom!C:C, uom!B:B, "Not Found")</f>
      </c>
      <c r="K3113" s="1" t="s">
        <v>5511</v>
      </c>
      <c r="L3113" s="5">
        <f>XLOOKUP(N3113, uom!C:C, uom!B:B, "Not Found")</f>
      </c>
      <c r="M3113" s="1" t="s">
        <v>5511</v>
      </c>
      <c r="N3113" s="8" t="s">
        <v>5512</v>
      </c>
      <c r="O3113" s="1" t="s">
        <v>5513</v>
      </c>
      <c r="P3113" s="5">
        <f>XLOOKUP(R3113, classification!C:C, classification!B:B, "Not Found")</f>
      </c>
      <c r="Q3113" s="1" t="s">
        <v>5514</v>
      </c>
      <c r="R3113" s="2"/>
      <c r="S3113" s="2"/>
      <c r="T3113" s="2"/>
      <c r="U3113" s="2"/>
    </row>
    <row x14ac:dyDescent="0.25" r="3114" customHeight="1" ht="17.25">
      <c r="A3114" s="7">
        <v>3113</v>
      </c>
      <c r="B3114" s="1" t="s">
        <v>8445</v>
      </c>
      <c r="C3114" s="5">
        <f>CONCATENATE("PD", TEXT(A3114, "1000000"))</f>
      </c>
      <c r="D3114" s="7">
        <v>75</v>
      </c>
      <c r="E3114" s="5">
        <f>XLOOKUP(G3114, item_category!C:C, item_category!B:B, "Not Found")</f>
      </c>
      <c r="F3114" s="1" t="s">
        <v>5541</v>
      </c>
      <c r="G3114" s="5">
        <f>XLOOKUP(I3114, drug!B:B, drug!A:A, "Not Found")</f>
      </c>
      <c r="H3114" s="1"/>
      <c r="I3114" s="7">
        <v>1</v>
      </c>
      <c r="J3114" s="5">
        <f>XLOOKUP(L3114, uom!C:C, uom!B:B, "Not Found")</f>
      </c>
      <c r="K3114" s="1" t="s">
        <v>5511</v>
      </c>
      <c r="L3114" s="5">
        <f>XLOOKUP(N3114, uom!C:C, uom!B:B, "Not Found")</f>
      </c>
      <c r="M3114" s="1" t="s">
        <v>5511</v>
      </c>
      <c r="N3114" s="8" t="s">
        <v>5512</v>
      </c>
      <c r="O3114" s="1" t="s">
        <v>5513</v>
      </c>
      <c r="P3114" s="5">
        <f>XLOOKUP(R3114, classification!C:C, classification!B:B, "Not Found")</f>
      </c>
      <c r="Q3114" s="1" t="s">
        <v>5514</v>
      </c>
      <c r="R3114" s="2"/>
      <c r="S3114" s="2"/>
      <c r="T3114" s="2"/>
      <c r="U3114" s="2"/>
    </row>
    <row x14ac:dyDescent="0.25" r="3115" customHeight="1" ht="17.25">
      <c r="A3115" s="7">
        <v>3114</v>
      </c>
      <c r="B3115" s="1" t="s">
        <v>8446</v>
      </c>
      <c r="C3115" s="5">
        <f>CONCATENATE("PD", TEXT(A3115, "1000000"))</f>
      </c>
      <c r="D3115" s="7">
        <v>75</v>
      </c>
      <c r="E3115" s="5">
        <f>XLOOKUP(G3115, item_category!C:C, item_category!B:B, "Not Found")</f>
      </c>
      <c r="F3115" s="1" t="s">
        <v>5541</v>
      </c>
      <c r="G3115" s="5">
        <f>XLOOKUP(I3115, drug!B:B, drug!A:A, "Not Found")</f>
      </c>
      <c r="H3115" s="1"/>
      <c r="I3115" s="7">
        <v>1</v>
      </c>
      <c r="J3115" s="5">
        <f>XLOOKUP(L3115, uom!C:C, uom!B:B, "Not Found")</f>
      </c>
      <c r="K3115" s="1" t="s">
        <v>5511</v>
      </c>
      <c r="L3115" s="5">
        <f>XLOOKUP(N3115, uom!C:C, uom!B:B, "Not Found")</f>
      </c>
      <c r="M3115" s="1" t="s">
        <v>5511</v>
      </c>
      <c r="N3115" s="8" t="s">
        <v>5512</v>
      </c>
      <c r="O3115" s="1" t="s">
        <v>5513</v>
      </c>
      <c r="P3115" s="5">
        <f>XLOOKUP(R3115, classification!C:C, classification!B:B, "Not Found")</f>
      </c>
      <c r="Q3115" s="1" t="s">
        <v>5514</v>
      </c>
      <c r="R3115" s="2"/>
      <c r="S3115" s="2"/>
      <c r="T3115" s="2"/>
      <c r="U3115" s="2"/>
    </row>
    <row x14ac:dyDescent="0.25" r="3116" customHeight="1" ht="17.25">
      <c r="A3116" s="7">
        <v>3115</v>
      </c>
      <c r="B3116" s="1" t="s">
        <v>8447</v>
      </c>
      <c r="C3116" s="5">
        <f>CONCATENATE("PD", TEXT(A3116, "1000000"))</f>
      </c>
      <c r="D3116" s="7">
        <v>75</v>
      </c>
      <c r="E3116" s="5">
        <f>XLOOKUP(G3116, item_category!C:C, item_category!B:B, "Not Found")</f>
      </c>
      <c r="F3116" s="1" t="s">
        <v>5541</v>
      </c>
      <c r="G3116" s="5">
        <f>XLOOKUP(I3116, drug!B:B, drug!A:A, "Not Found")</f>
      </c>
      <c r="H3116" s="1" t="s">
        <v>1720</v>
      </c>
      <c r="I3116" s="7">
        <v>1</v>
      </c>
      <c r="J3116" s="5">
        <f>XLOOKUP(L3116, uom!C:C, uom!B:B, "Not Found")</f>
      </c>
      <c r="K3116" s="1" t="s">
        <v>5511</v>
      </c>
      <c r="L3116" s="5">
        <f>XLOOKUP(N3116, uom!C:C, uom!B:B, "Not Found")</f>
      </c>
      <c r="M3116" s="1" t="s">
        <v>5511</v>
      </c>
      <c r="N3116" s="8" t="s">
        <v>5512</v>
      </c>
      <c r="O3116" s="1" t="s">
        <v>5513</v>
      </c>
      <c r="P3116" s="5">
        <f>XLOOKUP(R3116, classification!C:C, classification!B:B, "Not Found")</f>
      </c>
      <c r="Q3116" s="1" t="s">
        <v>5514</v>
      </c>
      <c r="R3116" s="2"/>
      <c r="S3116" s="2"/>
      <c r="T3116" s="2"/>
      <c r="U3116" s="2"/>
    </row>
    <row x14ac:dyDescent="0.25" r="3117" customHeight="1" ht="17.25">
      <c r="A3117" s="7">
        <v>3116</v>
      </c>
      <c r="B3117" s="1" t="s">
        <v>8448</v>
      </c>
      <c r="C3117" s="5">
        <f>CONCATENATE("PD", TEXT(A3117, "1000000"))</f>
      </c>
      <c r="D3117" s="7">
        <v>75</v>
      </c>
      <c r="E3117" s="5">
        <f>XLOOKUP(G3117, item_category!C:C, item_category!B:B, "Not Found")</f>
      </c>
      <c r="F3117" s="1" t="s">
        <v>5541</v>
      </c>
      <c r="G3117" s="5">
        <f>XLOOKUP(I3117, drug!B:B, drug!A:A, "Not Found")</f>
      </c>
      <c r="H3117" s="1"/>
      <c r="I3117" s="7">
        <v>1</v>
      </c>
      <c r="J3117" s="5">
        <f>XLOOKUP(L3117, uom!C:C, uom!B:B, "Not Found")</f>
      </c>
      <c r="K3117" s="1" t="s">
        <v>5511</v>
      </c>
      <c r="L3117" s="5">
        <f>XLOOKUP(N3117, uom!C:C, uom!B:B, "Not Found")</f>
      </c>
      <c r="M3117" s="1" t="s">
        <v>5511</v>
      </c>
      <c r="N3117" s="8" t="s">
        <v>5512</v>
      </c>
      <c r="O3117" s="1" t="s">
        <v>5513</v>
      </c>
      <c r="P3117" s="5">
        <f>XLOOKUP(R3117, classification!C:C, classification!B:B, "Not Found")</f>
      </c>
      <c r="Q3117" s="1" t="s">
        <v>5514</v>
      </c>
      <c r="R3117" s="2"/>
      <c r="S3117" s="2"/>
      <c r="T3117" s="2"/>
      <c r="U3117" s="2"/>
    </row>
    <row x14ac:dyDescent="0.25" r="3118" customHeight="1" ht="17.25">
      <c r="A3118" s="7">
        <v>3117</v>
      </c>
      <c r="B3118" s="1" t="s">
        <v>8449</v>
      </c>
      <c r="C3118" s="5">
        <f>CONCATENATE("PD", TEXT(A3118, "1000000"))</f>
      </c>
      <c r="D3118" s="7">
        <v>75</v>
      </c>
      <c r="E3118" s="5">
        <f>XLOOKUP(G3118, item_category!C:C, item_category!B:B, "Not Found")</f>
      </c>
      <c r="F3118" s="1" t="s">
        <v>5541</v>
      </c>
      <c r="G3118" s="5">
        <f>XLOOKUP(I3118, drug!B:B, drug!A:A, "Not Found")</f>
      </c>
      <c r="H3118" s="1" t="s">
        <v>1942</v>
      </c>
      <c r="I3118" s="7">
        <v>1</v>
      </c>
      <c r="J3118" s="5">
        <f>XLOOKUP(L3118, uom!C:C, uom!B:B, "Not Found")</f>
      </c>
      <c r="K3118" s="1" t="s">
        <v>5511</v>
      </c>
      <c r="L3118" s="5">
        <f>XLOOKUP(N3118, uom!C:C, uom!B:B, "Not Found")</f>
      </c>
      <c r="M3118" s="1" t="s">
        <v>5511</v>
      </c>
      <c r="N3118" s="8" t="s">
        <v>5512</v>
      </c>
      <c r="O3118" s="1" t="s">
        <v>5513</v>
      </c>
      <c r="P3118" s="5">
        <f>XLOOKUP(R3118, classification!C:C, classification!B:B, "Not Found")</f>
      </c>
      <c r="Q3118" s="1" t="s">
        <v>5514</v>
      </c>
      <c r="R3118" s="2"/>
      <c r="S3118" s="2"/>
      <c r="T3118" s="2"/>
      <c r="U3118" s="2"/>
    </row>
    <row x14ac:dyDescent="0.25" r="3119" customHeight="1" ht="17.25">
      <c r="A3119" s="7">
        <v>3118</v>
      </c>
      <c r="B3119" s="1" t="s">
        <v>8450</v>
      </c>
      <c r="C3119" s="5">
        <f>CONCATENATE("PD", TEXT(A3119, "1000000"))</f>
      </c>
      <c r="D3119" s="7">
        <v>75</v>
      </c>
      <c r="E3119" s="5">
        <f>XLOOKUP(G3119, item_category!C:C, item_category!B:B, "Not Found")</f>
      </c>
      <c r="F3119" s="1" t="s">
        <v>5541</v>
      </c>
      <c r="G3119" s="5">
        <f>XLOOKUP(I3119, drug!B:B, drug!A:A, "Not Found")</f>
      </c>
      <c r="H3119" s="1"/>
      <c r="I3119" s="7">
        <v>1</v>
      </c>
      <c r="J3119" s="5">
        <f>XLOOKUP(L3119, uom!C:C, uom!B:B, "Not Found")</f>
      </c>
      <c r="K3119" s="1" t="s">
        <v>5511</v>
      </c>
      <c r="L3119" s="5">
        <f>XLOOKUP(N3119, uom!C:C, uom!B:B, "Not Found")</f>
      </c>
      <c r="M3119" s="1" t="s">
        <v>5511</v>
      </c>
      <c r="N3119" s="8" t="s">
        <v>5512</v>
      </c>
      <c r="O3119" s="1" t="s">
        <v>5513</v>
      </c>
      <c r="P3119" s="5">
        <f>XLOOKUP(R3119, classification!C:C, classification!B:B, "Not Found")</f>
      </c>
      <c r="Q3119" s="1" t="s">
        <v>5514</v>
      </c>
      <c r="R3119" s="2"/>
      <c r="S3119" s="2"/>
      <c r="T3119" s="2"/>
      <c r="U3119" s="2"/>
    </row>
    <row x14ac:dyDescent="0.25" r="3120" customHeight="1" ht="17.25">
      <c r="A3120" s="7">
        <v>3119</v>
      </c>
      <c r="B3120" s="1" t="s">
        <v>8451</v>
      </c>
      <c r="C3120" s="5">
        <f>CONCATENATE("PD", TEXT(A3120, "1000000"))</f>
      </c>
      <c r="D3120" s="7">
        <v>75</v>
      </c>
      <c r="E3120" s="5">
        <f>XLOOKUP(G3120, item_category!C:C, item_category!B:B, "Not Found")</f>
      </c>
      <c r="F3120" s="1" t="s">
        <v>5541</v>
      </c>
      <c r="G3120" s="5">
        <f>XLOOKUP(I3120, drug!B:B, drug!A:A, "Not Found")</f>
      </c>
      <c r="H3120" s="1"/>
      <c r="I3120" s="7">
        <v>1</v>
      </c>
      <c r="J3120" s="5">
        <f>XLOOKUP(L3120, uom!C:C, uom!B:B, "Not Found")</f>
      </c>
      <c r="K3120" s="1" t="s">
        <v>5511</v>
      </c>
      <c r="L3120" s="5">
        <f>XLOOKUP(N3120, uom!C:C, uom!B:B, "Not Found")</f>
      </c>
      <c r="M3120" s="1" t="s">
        <v>5511</v>
      </c>
      <c r="N3120" s="8" t="s">
        <v>5512</v>
      </c>
      <c r="O3120" s="1" t="s">
        <v>5513</v>
      </c>
      <c r="P3120" s="5">
        <f>XLOOKUP(R3120, classification!C:C, classification!B:B, "Not Found")</f>
      </c>
      <c r="Q3120" s="1" t="s">
        <v>5514</v>
      </c>
      <c r="R3120" s="2"/>
      <c r="S3120" s="2"/>
      <c r="T3120" s="2"/>
      <c r="U3120" s="2"/>
    </row>
    <row x14ac:dyDescent="0.25" r="3121" customHeight="1" ht="17.25">
      <c r="A3121" s="7">
        <v>3120</v>
      </c>
      <c r="B3121" s="1" t="s">
        <v>8452</v>
      </c>
      <c r="C3121" s="5">
        <f>CONCATENATE("PD", TEXT(A3121, "1000000"))</f>
      </c>
      <c r="D3121" s="7">
        <v>75</v>
      </c>
      <c r="E3121" s="5">
        <f>XLOOKUP(G3121, item_category!C:C, item_category!B:B, "Not Found")</f>
      </c>
      <c r="F3121" s="1" t="s">
        <v>5541</v>
      </c>
      <c r="G3121" s="5">
        <f>XLOOKUP(I3121, drug!B:B, drug!A:A, "Not Found")</f>
      </c>
      <c r="H3121" s="1"/>
      <c r="I3121" s="7">
        <v>1</v>
      </c>
      <c r="J3121" s="5">
        <f>XLOOKUP(L3121, uom!C:C, uom!B:B, "Not Found")</f>
      </c>
      <c r="K3121" s="1" t="s">
        <v>5511</v>
      </c>
      <c r="L3121" s="5">
        <f>XLOOKUP(N3121, uom!C:C, uom!B:B, "Not Found")</f>
      </c>
      <c r="M3121" s="1" t="s">
        <v>5511</v>
      </c>
      <c r="N3121" s="8" t="s">
        <v>5512</v>
      </c>
      <c r="O3121" s="1" t="s">
        <v>5513</v>
      </c>
      <c r="P3121" s="5">
        <f>XLOOKUP(R3121, classification!C:C, classification!B:B, "Not Found")</f>
      </c>
      <c r="Q3121" s="1" t="s">
        <v>5514</v>
      </c>
      <c r="R3121" s="2"/>
      <c r="S3121" s="2"/>
      <c r="T3121" s="2"/>
      <c r="U3121" s="2"/>
    </row>
    <row x14ac:dyDescent="0.25" r="3122" customHeight="1" ht="17.25">
      <c r="A3122" s="7">
        <v>3121</v>
      </c>
      <c r="B3122" s="1" t="s">
        <v>8453</v>
      </c>
      <c r="C3122" s="5">
        <f>CONCATENATE("PD", TEXT(A3122, "1000000"))</f>
      </c>
      <c r="D3122" s="7">
        <v>75</v>
      </c>
      <c r="E3122" s="5">
        <f>XLOOKUP(G3122, item_category!C:C, item_category!B:B, "Not Found")</f>
      </c>
      <c r="F3122" s="1" t="s">
        <v>5541</v>
      </c>
      <c r="G3122" s="5">
        <f>XLOOKUP(I3122, drug!B:B, drug!A:A, "Not Found")</f>
      </c>
      <c r="H3122" s="1"/>
      <c r="I3122" s="7">
        <v>1</v>
      </c>
      <c r="J3122" s="5">
        <f>XLOOKUP(L3122, uom!C:C, uom!B:B, "Not Found")</f>
      </c>
      <c r="K3122" s="1" t="s">
        <v>5511</v>
      </c>
      <c r="L3122" s="5">
        <f>XLOOKUP(N3122, uom!C:C, uom!B:B, "Not Found")</f>
      </c>
      <c r="M3122" s="1" t="s">
        <v>5511</v>
      </c>
      <c r="N3122" s="8" t="s">
        <v>5512</v>
      </c>
      <c r="O3122" s="1" t="s">
        <v>5513</v>
      </c>
      <c r="P3122" s="5">
        <f>XLOOKUP(R3122, classification!C:C, classification!B:B, "Not Found")</f>
      </c>
      <c r="Q3122" s="1" t="s">
        <v>5514</v>
      </c>
      <c r="R3122" s="2"/>
      <c r="S3122" s="2"/>
      <c r="T3122" s="2"/>
      <c r="U3122" s="2"/>
    </row>
    <row x14ac:dyDescent="0.25" r="3123" customHeight="1" ht="17.25">
      <c r="A3123" s="7">
        <v>3122</v>
      </c>
      <c r="B3123" s="1" t="s">
        <v>8454</v>
      </c>
      <c r="C3123" s="5">
        <f>CONCATENATE("PD", TEXT(A3123, "1000000"))</f>
      </c>
      <c r="D3123" s="7">
        <v>75</v>
      </c>
      <c r="E3123" s="5">
        <f>XLOOKUP(G3123, item_category!C:C, item_category!B:B, "Not Found")</f>
      </c>
      <c r="F3123" s="1" t="s">
        <v>5541</v>
      </c>
      <c r="G3123" s="5">
        <f>XLOOKUP(I3123, drug!B:B, drug!A:A, "Not Found")</f>
      </c>
      <c r="H3123" s="1"/>
      <c r="I3123" s="7">
        <v>1</v>
      </c>
      <c r="J3123" s="5">
        <f>XLOOKUP(L3123, uom!C:C, uom!B:B, "Not Found")</f>
      </c>
      <c r="K3123" s="1" t="s">
        <v>5511</v>
      </c>
      <c r="L3123" s="5">
        <f>XLOOKUP(N3123, uom!C:C, uom!B:B, "Not Found")</f>
      </c>
      <c r="M3123" s="1" t="s">
        <v>5511</v>
      </c>
      <c r="N3123" s="8" t="s">
        <v>5512</v>
      </c>
      <c r="O3123" s="1" t="s">
        <v>5513</v>
      </c>
      <c r="P3123" s="5">
        <f>XLOOKUP(R3123, classification!C:C, classification!B:B, "Not Found")</f>
      </c>
      <c r="Q3123" s="1" t="s">
        <v>5514</v>
      </c>
      <c r="R3123" s="2"/>
      <c r="S3123" s="2"/>
      <c r="T3123" s="2"/>
      <c r="U3123" s="2"/>
    </row>
    <row x14ac:dyDescent="0.25" r="3124" customHeight="1" ht="17.25">
      <c r="A3124" s="7">
        <v>3123</v>
      </c>
      <c r="B3124" s="1" t="s">
        <v>8455</v>
      </c>
      <c r="C3124" s="5">
        <f>CONCATENATE("PD", TEXT(A3124, "1000000"))</f>
      </c>
      <c r="D3124" s="7">
        <v>75</v>
      </c>
      <c r="E3124" s="5">
        <f>XLOOKUP(G3124, item_category!C:C, item_category!B:B, "Not Found")</f>
      </c>
      <c r="F3124" s="1" t="s">
        <v>5541</v>
      </c>
      <c r="G3124" s="5">
        <f>XLOOKUP(I3124, drug!B:B, drug!A:A, "Not Found")</f>
      </c>
      <c r="H3124" s="1"/>
      <c r="I3124" s="7">
        <v>1</v>
      </c>
      <c r="J3124" s="5">
        <f>XLOOKUP(L3124, uom!C:C, uom!B:B, "Not Found")</f>
      </c>
      <c r="K3124" s="1" t="s">
        <v>5511</v>
      </c>
      <c r="L3124" s="5">
        <f>XLOOKUP(N3124, uom!C:C, uom!B:B, "Not Found")</f>
      </c>
      <c r="M3124" s="1" t="s">
        <v>5511</v>
      </c>
      <c r="N3124" s="8" t="s">
        <v>5512</v>
      </c>
      <c r="O3124" s="1" t="s">
        <v>5513</v>
      </c>
      <c r="P3124" s="5">
        <f>XLOOKUP(R3124, classification!C:C, classification!B:B, "Not Found")</f>
      </c>
      <c r="Q3124" s="1" t="s">
        <v>5514</v>
      </c>
      <c r="R3124" s="2"/>
      <c r="S3124" s="2"/>
      <c r="T3124" s="2"/>
      <c r="U3124" s="2"/>
    </row>
    <row x14ac:dyDescent="0.25" r="3125" customHeight="1" ht="17.25">
      <c r="A3125" s="7">
        <v>3124</v>
      </c>
      <c r="B3125" s="1" t="s">
        <v>8456</v>
      </c>
      <c r="C3125" s="5">
        <f>CONCATENATE("PD", TEXT(A3125, "1000000"))</f>
      </c>
      <c r="D3125" s="7">
        <v>75</v>
      </c>
      <c r="E3125" s="5">
        <f>XLOOKUP(G3125, item_category!C:C, item_category!B:B, "Not Found")</f>
      </c>
      <c r="F3125" s="1" t="s">
        <v>5541</v>
      </c>
      <c r="G3125" s="5">
        <f>XLOOKUP(I3125, drug!B:B, drug!A:A, "Not Found")</f>
      </c>
      <c r="H3125" s="1" t="s">
        <v>2100</v>
      </c>
      <c r="I3125" s="7">
        <v>1</v>
      </c>
      <c r="J3125" s="5">
        <f>XLOOKUP(L3125, uom!C:C, uom!B:B, "Not Found")</f>
      </c>
      <c r="K3125" s="1" t="s">
        <v>5511</v>
      </c>
      <c r="L3125" s="5">
        <f>XLOOKUP(N3125, uom!C:C, uom!B:B, "Not Found")</f>
      </c>
      <c r="M3125" s="1" t="s">
        <v>5511</v>
      </c>
      <c r="N3125" s="8" t="s">
        <v>5512</v>
      </c>
      <c r="O3125" s="1" t="s">
        <v>5513</v>
      </c>
      <c r="P3125" s="5">
        <f>XLOOKUP(R3125, classification!C:C, classification!B:B, "Not Found")</f>
      </c>
      <c r="Q3125" s="1" t="s">
        <v>5514</v>
      </c>
      <c r="R3125" s="2"/>
      <c r="S3125" s="2"/>
      <c r="T3125" s="2"/>
      <c r="U3125" s="2"/>
    </row>
    <row x14ac:dyDescent="0.25" r="3126" customHeight="1" ht="17.25">
      <c r="A3126" s="7">
        <v>3125</v>
      </c>
      <c r="B3126" s="1" t="s">
        <v>8457</v>
      </c>
      <c r="C3126" s="5">
        <f>CONCATENATE("PD", TEXT(A3126, "1000000"))</f>
      </c>
      <c r="D3126" s="7">
        <v>75</v>
      </c>
      <c r="E3126" s="5">
        <f>XLOOKUP(G3126, item_category!C:C, item_category!B:B, "Not Found")</f>
      </c>
      <c r="F3126" s="1" t="s">
        <v>5541</v>
      </c>
      <c r="G3126" s="5">
        <f>XLOOKUP(I3126, drug!B:B, drug!A:A, "Not Found")</f>
      </c>
      <c r="H3126" s="1" t="s">
        <v>308</v>
      </c>
      <c r="I3126" s="7">
        <v>1</v>
      </c>
      <c r="J3126" s="5">
        <f>XLOOKUP(L3126, uom!C:C, uom!B:B, "Not Found")</f>
      </c>
      <c r="K3126" s="1" t="s">
        <v>5511</v>
      </c>
      <c r="L3126" s="5">
        <f>XLOOKUP(N3126, uom!C:C, uom!B:B, "Not Found")</f>
      </c>
      <c r="M3126" s="1" t="s">
        <v>5511</v>
      </c>
      <c r="N3126" s="8" t="s">
        <v>5512</v>
      </c>
      <c r="O3126" s="1" t="s">
        <v>5513</v>
      </c>
      <c r="P3126" s="5">
        <f>XLOOKUP(R3126, classification!C:C, classification!B:B, "Not Found")</f>
      </c>
      <c r="Q3126" s="1" t="s">
        <v>5514</v>
      </c>
      <c r="R3126" s="2"/>
      <c r="S3126" s="2"/>
      <c r="T3126" s="2"/>
      <c r="U3126" s="2"/>
    </row>
    <row x14ac:dyDescent="0.25" r="3127" customHeight="1" ht="17.25">
      <c r="A3127" s="7">
        <v>3126</v>
      </c>
      <c r="B3127" s="1" t="s">
        <v>8458</v>
      </c>
      <c r="C3127" s="5">
        <f>CONCATENATE("PD", TEXT(A3127, "1000000"))</f>
      </c>
      <c r="D3127" s="7">
        <v>75</v>
      </c>
      <c r="E3127" s="5">
        <f>XLOOKUP(G3127, item_category!C:C, item_category!B:B, "Not Found")</f>
      </c>
      <c r="F3127" s="1" t="s">
        <v>5541</v>
      </c>
      <c r="G3127" s="5">
        <f>XLOOKUP(I3127, drug!B:B, drug!A:A, "Not Found")</f>
      </c>
      <c r="H3127" s="1"/>
      <c r="I3127" s="7">
        <v>300</v>
      </c>
      <c r="J3127" s="5">
        <f>XLOOKUP(L3127, uom!C:C, uom!B:B, "Not Found")</f>
      </c>
      <c r="K3127" s="1" t="s">
        <v>7840</v>
      </c>
      <c r="L3127" s="5">
        <f>XLOOKUP(N3127, uom!C:C, uom!B:B, "Not Found")</f>
      </c>
      <c r="M3127" s="1" t="s">
        <v>7840</v>
      </c>
      <c r="N3127" s="8" t="s">
        <v>5524</v>
      </c>
      <c r="O3127" s="1" t="s">
        <v>5525</v>
      </c>
      <c r="P3127" s="5">
        <f>XLOOKUP(R3127, classification!C:C, classification!B:B, "Not Found")</f>
      </c>
      <c r="Q3127" s="1" t="s">
        <v>5514</v>
      </c>
      <c r="R3127" s="2"/>
      <c r="S3127" s="2"/>
      <c r="T3127" s="2"/>
      <c r="U3127" s="2"/>
    </row>
    <row x14ac:dyDescent="0.25" r="3128" customHeight="1" ht="17.25">
      <c r="A3128" s="7">
        <v>3127</v>
      </c>
      <c r="B3128" s="1" t="s">
        <v>8459</v>
      </c>
      <c r="C3128" s="5">
        <f>CONCATENATE("PD", TEXT(A3128, "1000000"))</f>
      </c>
      <c r="D3128" s="7">
        <v>75</v>
      </c>
      <c r="E3128" s="5">
        <f>XLOOKUP(G3128, item_category!C:C, item_category!B:B, "Not Found")</f>
      </c>
      <c r="F3128" s="1" t="s">
        <v>5541</v>
      </c>
      <c r="G3128" s="5">
        <f>XLOOKUP(I3128, drug!B:B, drug!A:A, "Not Found")</f>
      </c>
      <c r="H3128" s="1" t="s">
        <v>531</v>
      </c>
      <c r="I3128" s="7">
        <v>1</v>
      </c>
      <c r="J3128" s="5">
        <f>XLOOKUP(L3128, uom!C:C, uom!B:B, "Not Found")</f>
      </c>
      <c r="K3128" s="1" t="s">
        <v>5511</v>
      </c>
      <c r="L3128" s="5">
        <f>XLOOKUP(N3128, uom!C:C, uom!B:B, "Not Found")</f>
      </c>
      <c r="M3128" s="1" t="s">
        <v>5511</v>
      </c>
      <c r="N3128" s="8" t="s">
        <v>5512</v>
      </c>
      <c r="O3128" s="1" t="s">
        <v>5513</v>
      </c>
      <c r="P3128" s="5">
        <f>XLOOKUP(R3128, classification!C:C, classification!B:B, "Not Found")</f>
      </c>
      <c r="Q3128" s="1" t="s">
        <v>5514</v>
      </c>
      <c r="R3128" s="2"/>
      <c r="S3128" s="2"/>
      <c r="T3128" s="2"/>
      <c r="U3128" s="2"/>
    </row>
    <row x14ac:dyDescent="0.25" r="3129" customHeight="1" ht="17.25">
      <c r="A3129" s="7">
        <v>3128</v>
      </c>
      <c r="B3129" s="1" t="s">
        <v>8460</v>
      </c>
      <c r="C3129" s="5">
        <f>CONCATENATE("PD", TEXT(A3129, "1000000"))</f>
      </c>
      <c r="D3129" s="7">
        <v>75</v>
      </c>
      <c r="E3129" s="5">
        <f>XLOOKUP(G3129, item_category!C:C, item_category!B:B, "Not Found")</f>
      </c>
      <c r="F3129" s="1" t="s">
        <v>5541</v>
      </c>
      <c r="G3129" s="5">
        <f>XLOOKUP(I3129, drug!B:B, drug!A:A, "Not Found")</f>
      </c>
      <c r="H3129" s="1" t="s">
        <v>1942</v>
      </c>
      <c r="I3129" s="7">
        <v>1</v>
      </c>
      <c r="J3129" s="5">
        <f>XLOOKUP(L3129, uom!C:C, uom!B:B, "Not Found")</f>
      </c>
      <c r="K3129" s="1" t="s">
        <v>5511</v>
      </c>
      <c r="L3129" s="5">
        <f>XLOOKUP(N3129, uom!C:C, uom!B:B, "Not Found")</f>
      </c>
      <c r="M3129" s="1" t="s">
        <v>5511</v>
      </c>
      <c r="N3129" s="8" t="s">
        <v>5512</v>
      </c>
      <c r="O3129" s="1" t="s">
        <v>5513</v>
      </c>
      <c r="P3129" s="5">
        <f>XLOOKUP(R3129, classification!C:C, classification!B:B, "Not Found")</f>
      </c>
      <c r="Q3129" s="1" t="s">
        <v>5514</v>
      </c>
      <c r="R3129" s="2"/>
      <c r="S3129" s="2"/>
      <c r="T3129" s="2"/>
      <c r="U3129" s="2"/>
    </row>
    <row x14ac:dyDescent="0.25" r="3130" customHeight="1" ht="17.25">
      <c r="A3130" s="7">
        <v>3129</v>
      </c>
      <c r="B3130" s="1" t="s">
        <v>8461</v>
      </c>
      <c r="C3130" s="5">
        <f>CONCATENATE("PD", TEXT(A3130, "1000000"))</f>
      </c>
      <c r="D3130" s="7">
        <v>75</v>
      </c>
      <c r="E3130" s="5">
        <f>XLOOKUP(G3130, item_category!C:C, item_category!B:B, "Not Found")</f>
      </c>
      <c r="F3130" s="1" t="s">
        <v>5541</v>
      </c>
      <c r="G3130" s="5">
        <f>XLOOKUP(I3130, drug!B:B, drug!A:A, "Not Found")</f>
      </c>
      <c r="H3130" s="1"/>
      <c r="I3130" s="7">
        <v>1</v>
      </c>
      <c r="J3130" s="5">
        <f>XLOOKUP(L3130, uom!C:C, uom!B:B, "Not Found")</f>
      </c>
      <c r="K3130" s="1" t="s">
        <v>5511</v>
      </c>
      <c r="L3130" s="5">
        <f>XLOOKUP(N3130, uom!C:C, uom!B:B, "Not Found")</f>
      </c>
      <c r="M3130" s="1" t="s">
        <v>5511</v>
      </c>
      <c r="N3130" s="8" t="s">
        <v>5512</v>
      </c>
      <c r="O3130" s="1" t="s">
        <v>5513</v>
      </c>
      <c r="P3130" s="5">
        <f>XLOOKUP(R3130, classification!C:C, classification!B:B, "Not Found")</f>
      </c>
      <c r="Q3130" s="1" t="s">
        <v>5514</v>
      </c>
      <c r="R3130" s="2"/>
      <c r="S3130" s="2"/>
      <c r="T3130" s="2"/>
      <c r="U3130" s="2"/>
    </row>
    <row x14ac:dyDescent="0.25" r="3131" customHeight="1" ht="17.25">
      <c r="A3131" s="7">
        <v>3130</v>
      </c>
      <c r="B3131" s="1" t="s">
        <v>8462</v>
      </c>
      <c r="C3131" s="5">
        <f>CONCATENATE("PD", TEXT(A3131, "1000000"))</f>
      </c>
      <c r="D3131" s="7">
        <v>75</v>
      </c>
      <c r="E3131" s="5">
        <f>XLOOKUP(G3131, item_category!C:C, item_category!B:B, "Not Found")</f>
      </c>
      <c r="F3131" s="1" t="s">
        <v>5541</v>
      </c>
      <c r="G3131" s="5">
        <f>XLOOKUP(I3131, drug!B:B, drug!A:A, "Not Found")</f>
      </c>
      <c r="H3131" s="1" t="s">
        <v>1942</v>
      </c>
      <c r="I3131" s="7">
        <v>1</v>
      </c>
      <c r="J3131" s="5">
        <f>XLOOKUP(L3131, uom!C:C, uom!B:B, "Not Found")</f>
      </c>
      <c r="K3131" s="1" t="s">
        <v>5511</v>
      </c>
      <c r="L3131" s="5">
        <f>XLOOKUP(N3131, uom!C:C, uom!B:B, "Not Found")</f>
      </c>
      <c r="M3131" s="1" t="s">
        <v>5511</v>
      </c>
      <c r="N3131" s="8" t="s">
        <v>5512</v>
      </c>
      <c r="O3131" s="1" t="s">
        <v>5513</v>
      </c>
      <c r="P3131" s="5">
        <f>XLOOKUP(R3131, classification!C:C, classification!B:B, "Not Found")</f>
      </c>
      <c r="Q3131" s="1" t="s">
        <v>5514</v>
      </c>
      <c r="R3131" s="2"/>
      <c r="S3131" s="2"/>
      <c r="T3131" s="2"/>
      <c r="U3131" s="2"/>
    </row>
    <row x14ac:dyDescent="0.25" r="3132" customHeight="1" ht="17.25">
      <c r="A3132" s="7">
        <v>3131</v>
      </c>
      <c r="B3132" s="1" t="s">
        <v>8463</v>
      </c>
      <c r="C3132" s="5">
        <f>CONCATENATE("PD", TEXT(A3132, "1000000"))</f>
      </c>
      <c r="D3132" s="7">
        <v>75</v>
      </c>
      <c r="E3132" s="5">
        <f>XLOOKUP(G3132, item_category!C:C, item_category!B:B, "Not Found")</f>
      </c>
      <c r="F3132" s="1" t="s">
        <v>5541</v>
      </c>
      <c r="G3132" s="5">
        <f>XLOOKUP(I3132, drug!B:B, drug!A:A, "Not Found")</f>
      </c>
      <c r="H3132" s="1" t="s">
        <v>1228</v>
      </c>
      <c r="I3132" s="7">
        <v>1</v>
      </c>
      <c r="J3132" s="5">
        <f>XLOOKUP(L3132, uom!C:C, uom!B:B, "Not Found")</f>
      </c>
      <c r="K3132" s="1" t="s">
        <v>5511</v>
      </c>
      <c r="L3132" s="5">
        <f>XLOOKUP(N3132, uom!C:C, uom!B:B, "Not Found")</f>
      </c>
      <c r="M3132" s="1" t="s">
        <v>5511</v>
      </c>
      <c r="N3132" s="8" t="s">
        <v>5512</v>
      </c>
      <c r="O3132" s="1" t="s">
        <v>5513</v>
      </c>
      <c r="P3132" s="5">
        <f>XLOOKUP(R3132, classification!C:C, classification!B:B, "Not Found")</f>
      </c>
      <c r="Q3132" s="1" t="s">
        <v>5514</v>
      </c>
      <c r="R3132" s="2"/>
      <c r="S3132" s="2"/>
      <c r="T3132" s="2"/>
      <c r="U3132" s="2"/>
    </row>
    <row x14ac:dyDescent="0.25" r="3133" customHeight="1" ht="17.25">
      <c r="A3133" s="7">
        <v>3132</v>
      </c>
      <c r="B3133" s="1" t="s">
        <v>8464</v>
      </c>
      <c r="C3133" s="5">
        <f>CONCATENATE("PD", TEXT(A3133, "1000000"))</f>
      </c>
      <c r="D3133" s="7">
        <v>75</v>
      </c>
      <c r="E3133" s="5">
        <f>XLOOKUP(G3133, item_category!C:C, item_category!B:B, "Not Found")</f>
      </c>
      <c r="F3133" s="1" t="s">
        <v>5541</v>
      </c>
      <c r="G3133" s="5">
        <f>XLOOKUP(I3133, drug!B:B, drug!A:A, "Not Found")</f>
      </c>
      <c r="H3133" s="1" t="s">
        <v>1942</v>
      </c>
      <c r="I3133" s="7">
        <v>1</v>
      </c>
      <c r="J3133" s="5">
        <f>XLOOKUP(L3133, uom!C:C, uom!B:B, "Not Found")</f>
      </c>
      <c r="K3133" s="1" t="s">
        <v>5511</v>
      </c>
      <c r="L3133" s="5">
        <f>XLOOKUP(N3133, uom!C:C, uom!B:B, "Not Found")</f>
      </c>
      <c r="M3133" s="1" t="s">
        <v>5511</v>
      </c>
      <c r="N3133" s="8" t="s">
        <v>5512</v>
      </c>
      <c r="O3133" s="1" t="s">
        <v>5513</v>
      </c>
      <c r="P3133" s="5">
        <f>XLOOKUP(R3133, classification!C:C, classification!B:B, "Not Found")</f>
      </c>
      <c r="Q3133" s="1" t="s">
        <v>5514</v>
      </c>
      <c r="R3133" s="2"/>
      <c r="S3133" s="2"/>
      <c r="T3133" s="2"/>
      <c r="U3133" s="2"/>
    </row>
    <row x14ac:dyDescent="0.25" r="3134" customHeight="1" ht="17.25">
      <c r="A3134" s="7">
        <v>3133</v>
      </c>
      <c r="B3134" s="1" t="s">
        <v>8465</v>
      </c>
      <c r="C3134" s="5">
        <f>CONCATENATE("PD", TEXT(A3134, "1000000"))</f>
      </c>
      <c r="D3134" s="7">
        <v>75</v>
      </c>
      <c r="E3134" s="5">
        <f>XLOOKUP(G3134, item_category!C:C, item_category!B:B, "Not Found")</f>
      </c>
      <c r="F3134" s="1" t="s">
        <v>5541</v>
      </c>
      <c r="G3134" s="5">
        <f>XLOOKUP(I3134, drug!B:B, drug!A:A, "Not Found")</f>
      </c>
      <c r="H3134" s="1" t="s">
        <v>1942</v>
      </c>
      <c r="I3134" s="7">
        <v>1</v>
      </c>
      <c r="J3134" s="5">
        <f>XLOOKUP(L3134, uom!C:C, uom!B:B, "Not Found")</f>
      </c>
      <c r="K3134" s="1" t="s">
        <v>5511</v>
      </c>
      <c r="L3134" s="5">
        <f>XLOOKUP(N3134, uom!C:C, uom!B:B, "Not Found")</f>
      </c>
      <c r="M3134" s="1" t="s">
        <v>5511</v>
      </c>
      <c r="N3134" s="8" t="s">
        <v>5512</v>
      </c>
      <c r="O3134" s="1" t="s">
        <v>5513</v>
      </c>
      <c r="P3134" s="5">
        <f>XLOOKUP(R3134, classification!C:C, classification!B:B, "Not Found")</f>
      </c>
      <c r="Q3134" s="1" t="s">
        <v>5514</v>
      </c>
      <c r="R3134" s="2"/>
      <c r="S3134" s="2"/>
      <c r="T3134" s="2"/>
      <c r="U3134" s="2"/>
    </row>
    <row x14ac:dyDescent="0.25" r="3135" customHeight="1" ht="17.25">
      <c r="A3135" s="7">
        <v>3134</v>
      </c>
      <c r="B3135" s="1" t="s">
        <v>8466</v>
      </c>
      <c r="C3135" s="5">
        <f>CONCATENATE("PD", TEXT(A3135, "1000000"))</f>
      </c>
      <c r="D3135" s="7">
        <v>75</v>
      </c>
      <c r="E3135" s="5">
        <f>XLOOKUP(G3135, item_category!C:C, item_category!B:B, "Not Found")</f>
      </c>
      <c r="F3135" s="1" t="s">
        <v>5541</v>
      </c>
      <c r="G3135" s="5">
        <f>XLOOKUP(I3135, drug!B:B, drug!A:A, "Not Found")</f>
      </c>
      <c r="H3135" s="1" t="s">
        <v>1228</v>
      </c>
      <c r="I3135" s="7">
        <v>1</v>
      </c>
      <c r="J3135" s="5">
        <f>XLOOKUP(L3135, uom!C:C, uom!B:B, "Not Found")</f>
      </c>
      <c r="K3135" s="1" t="s">
        <v>5511</v>
      </c>
      <c r="L3135" s="5">
        <f>XLOOKUP(N3135, uom!C:C, uom!B:B, "Not Found")</f>
      </c>
      <c r="M3135" s="1" t="s">
        <v>5511</v>
      </c>
      <c r="N3135" s="8" t="s">
        <v>5512</v>
      </c>
      <c r="O3135" s="1" t="s">
        <v>5513</v>
      </c>
      <c r="P3135" s="5">
        <f>XLOOKUP(R3135, classification!C:C, classification!B:B, "Not Found")</f>
      </c>
      <c r="Q3135" s="1" t="s">
        <v>5514</v>
      </c>
      <c r="R3135" s="2"/>
      <c r="S3135" s="2"/>
      <c r="T3135" s="2"/>
      <c r="U3135" s="2"/>
    </row>
    <row x14ac:dyDescent="0.25" r="3136" customHeight="1" ht="17.25">
      <c r="A3136" s="7">
        <v>3135</v>
      </c>
      <c r="B3136" s="1" t="s">
        <v>8467</v>
      </c>
      <c r="C3136" s="5">
        <f>CONCATENATE("PD", TEXT(A3136, "1000000"))</f>
      </c>
      <c r="D3136" s="7">
        <v>75</v>
      </c>
      <c r="E3136" s="5">
        <f>XLOOKUP(G3136, item_category!C:C, item_category!B:B, "Not Found")</f>
      </c>
      <c r="F3136" s="1" t="s">
        <v>5541</v>
      </c>
      <c r="G3136" s="5">
        <f>XLOOKUP(I3136, drug!B:B, drug!A:A, "Not Found")</f>
      </c>
      <c r="H3136" s="1" t="s">
        <v>1228</v>
      </c>
      <c r="I3136" s="7">
        <v>1</v>
      </c>
      <c r="J3136" s="5">
        <f>XLOOKUP(L3136, uom!C:C, uom!B:B, "Not Found")</f>
      </c>
      <c r="K3136" s="1" t="s">
        <v>5511</v>
      </c>
      <c r="L3136" s="5">
        <f>XLOOKUP(N3136, uom!C:C, uom!B:B, "Not Found")</f>
      </c>
      <c r="M3136" s="1" t="s">
        <v>5511</v>
      </c>
      <c r="N3136" s="8" t="s">
        <v>5512</v>
      </c>
      <c r="O3136" s="1" t="s">
        <v>5513</v>
      </c>
      <c r="P3136" s="5">
        <f>XLOOKUP(R3136, classification!C:C, classification!B:B, "Not Found")</f>
      </c>
      <c r="Q3136" s="1" t="s">
        <v>5514</v>
      </c>
      <c r="R3136" s="2"/>
      <c r="S3136" s="2"/>
      <c r="T3136" s="2"/>
      <c r="U3136" s="2"/>
    </row>
    <row x14ac:dyDescent="0.25" r="3137" customHeight="1" ht="17.25">
      <c r="A3137" s="7">
        <v>3136</v>
      </c>
      <c r="B3137" s="1" t="s">
        <v>8468</v>
      </c>
      <c r="C3137" s="5">
        <f>CONCATENATE("PD", TEXT(A3137, "1000000"))</f>
      </c>
      <c r="D3137" s="7">
        <v>75</v>
      </c>
      <c r="E3137" s="5">
        <f>XLOOKUP(G3137, item_category!C:C, item_category!B:B, "Not Found")</f>
      </c>
      <c r="F3137" s="1" t="s">
        <v>5541</v>
      </c>
      <c r="G3137" s="5">
        <f>XLOOKUP(I3137, drug!B:B, drug!A:A, "Not Found")</f>
      </c>
      <c r="H3137" s="1" t="s">
        <v>1228</v>
      </c>
      <c r="I3137" s="7">
        <v>1</v>
      </c>
      <c r="J3137" s="5">
        <f>XLOOKUP(L3137, uom!C:C, uom!B:B, "Not Found")</f>
      </c>
      <c r="K3137" s="1" t="s">
        <v>5511</v>
      </c>
      <c r="L3137" s="5">
        <f>XLOOKUP(N3137, uom!C:C, uom!B:B, "Not Found")</f>
      </c>
      <c r="M3137" s="1" t="s">
        <v>5511</v>
      </c>
      <c r="N3137" s="8" t="s">
        <v>5512</v>
      </c>
      <c r="O3137" s="1" t="s">
        <v>5513</v>
      </c>
      <c r="P3137" s="5">
        <f>XLOOKUP(R3137, classification!C:C, classification!B:B, "Not Found")</f>
      </c>
      <c r="Q3137" s="1" t="s">
        <v>5514</v>
      </c>
      <c r="R3137" s="2"/>
      <c r="S3137" s="2"/>
      <c r="T3137" s="2"/>
      <c r="U3137" s="2"/>
    </row>
    <row x14ac:dyDescent="0.25" r="3138" customHeight="1" ht="17.25">
      <c r="A3138" s="7">
        <v>3137</v>
      </c>
      <c r="B3138" s="1" t="s">
        <v>8469</v>
      </c>
      <c r="C3138" s="5">
        <f>CONCATENATE("PD", TEXT(A3138, "1000000"))</f>
      </c>
      <c r="D3138" s="7">
        <v>75</v>
      </c>
      <c r="E3138" s="5">
        <f>XLOOKUP(G3138, item_category!C:C, item_category!B:B, "Not Found")</f>
      </c>
      <c r="F3138" s="1" t="s">
        <v>5541</v>
      </c>
      <c r="G3138" s="5">
        <f>XLOOKUP(I3138, drug!B:B, drug!A:A, "Not Found")</f>
      </c>
      <c r="H3138" s="1" t="s">
        <v>1228</v>
      </c>
      <c r="I3138" s="7">
        <v>1</v>
      </c>
      <c r="J3138" s="5">
        <f>XLOOKUP(L3138, uom!C:C, uom!B:B, "Not Found")</f>
      </c>
      <c r="K3138" s="1" t="s">
        <v>5511</v>
      </c>
      <c r="L3138" s="5">
        <f>XLOOKUP(N3138, uom!C:C, uom!B:B, "Not Found")</f>
      </c>
      <c r="M3138" s="1" t="s">
        <v>5511</v>
      </c>
      <c r="N3138" s="8" t="s">
        <v>5512</v>
      </c>
      <c r="O3138" s="1" t="s">
        <v>5513</v>
      </c>
      <c r="P3138" s="5">
        <f>XLOOKUP(R3138, classification!C:C, classification!B:B, "Not Found")</f>
      </c>
      <c r="Q3138" s="1" t="s">
        <v>5514</v>
      </c>
      <c r="R3138" s="2"/>
      <c r="S3138" s="2"/>
      <c r="T3138" s="2"/>
      <c r="U3138" s="2"/>
    </row>
    <row x14ac:dyDescent="0.25" r="3139" customHeight="1" ht="17.25">
      <c r="A3139" s="7">
        <v>3138</v>
      </c>
      <c r="B3139" s="1" t="s">
        <v>8470</v>
      </c>
      <c r="C3139" s="5">
        <f>CONCATENATE("PD", TEXT(A3139, "1000000"))</f>
      </c>
      <c r="D3139" s="7">
        <v>75</v>
      </c>
      <c r="E3139" s="5">
        <f>XLOOKUP(G3139, item_category!C:C, item_category!B:B, "Not Found")</f>
      </c>
      <c r="F3139" s="1" t="s">
        <v>5541</v>
      </c>
      <c r="G3139" s="5">
        <f>XLOOKUP(I3139, drug!B:B, drug!A:A, "Not Found")</f>
      </c>
      <c r="H3139" s="1" t="s">
        <v>1228</v>
      </c>
      <c r="I3139" s="7">
        <v>1</v>
      </c>
      <c r="J3139" s="5">
        <f>XLOOKUP(L3139, uom!C:C, uom!B:B, "Not Found")</f>
      </c>
      <c r="K3139" s="1" t="s">
        <v>5511</v>
      </c>
      <c r="L3139" s="5">
        <f>XLOOKUP(N3139, uom!C:C, uom!B:B, "Not Found")</f>
      </c>
      <c r="M3139" s="1" t="s">
        <v>5511</v>
      </c>
      <c r="N3139" s="8" t="s">
        <v>5512</v>
      </c>
      <c r="O3139" s="1" t="s">
        <v>5513</v>
      </c>
      <c r="P3139" s="5">
        <f>XLOOKUP(R3139, classification!C:C, classification!B:B, "Not Found")</f>
      </c>
      <c r="Q3139" s="1" t="s">
        <v>5514</v>
      </c>
      <c r="R3139" s="2"/>
      <c r="S3139" s="2"/>
      <c r="T3139" s="2"/>
      <c r="U3139" s="2"/>
    </row>
    <row x14ac:dyDescent="0.25" r="3140" customHeight="1" ht="17.25">
      <c r="A3140" s="7">
        <v>3139</v>
      </c>
      <c r="B3140" s="1" t="s">
        <v>8471</v>
      </c>
      <c r="C3140" s="5">
        <f>CONCATENATE("PD", TEXT(A3140, "1000000"))</f>
      </c>
      <c r="D3140" s="7">
        <v>75</v>
      </c>
      <c r="E3140" s="5">
        <f>XLOOKUP(G3140, item_category!C:C, item_category!B:B, "Not Found")</f>
      </c>
      <c r="F3140" s="1" t="s">
        <v>5541</v>
      </c>
      <c r="G3140" s="5">
        <f>XLOOKUP(I3140, drug!B:B, drug!A:A, "Not Found")</f>
      </c>
      <c r="H3140" s="1" t="s">
        <v>308</v>
      </c>
      <c r="I3140" s="7">
        <v>1</v>
      </c>
      <c r="J3140" s="5">
        <f>XLOOKUP(L3140, uom!C:C, uom!B:B, "Not Found")</f>
      </c>
      <c r="K3140" s="1" t="s">
        <v>5511</v>
      </c>
      <c r="L3140" s="5">
        <f>XLOOKUP(N3140, uom!C:C, uom!B:B, "Not Found")</f>
      </c>
      <c r="M3140" s="1" t="s">
        <v>5511</v>
      </c>
      <c r="N3140" s="8" t="s">
        <v>5512</v>
      </c>
      <c r="O3140" s="1" t="s">
        <v>5513</v>
      </c>
      <c r="P3140" s="5">
        <f>XLOOKUP(R3140, classification!C:C, classification!B:B, "Not Found")</f>
      </c>
      <c r="Q3140" s="1" t="s">
        <v>5514</v>
      </c>
      <c r="R3140" s="2"/>
      <c r="S3140" s="2"/>
      <c r="T3140" s="2"/>
      <c r="U3140" s="2"/>
    </row>
    <row x14ac:dyDescent="0.25" r="3141" customHeight="1" ht="17.25">
      <c r="A3141" s="7">
        <v>3140</v>
      </c>
      <c r="B3141" s="1" t="s">
        <v>8472</v>
      </c>
      <c r="C3141" s="5">
        <f>CONCATENATE("PD", TEXT(A3141, "1000000"))</f>
      </c>
      <c r="D3141" s="7">
        <v>75</v>
      </c>
      <c r="E3141" s="5">
        <f>XLOOKUP(G3141, item_category!C:C, item_category!B:B, "Not Found")</f>
      </c>
      <c r="F3141" s="1" t="s">
        <v>5541</v>
      </c>
      <c r="G3141" s="5">
        <f>XLOOKUP(I3141, drug!B:B, drug!A:A, "Not Found")</f>
      </c>
      <c r="H3141" s="1" t="s">
        <v>308</v>
      </c>
      <c r="I3141" s="7">
        <v>1</v>
      </c>
      <c r="J3141" s="5">
        <f>XLOOKUP(L3141, uom!C:C, uom!B:B, "Not Found")</f>
      </c>
      <c r="K3141" s="1" t="s">
        <v>5511</v>
      </c>
      <c r="L3141" s="5">
        <f>XLOOKUP(N3141, uom!C:C, uom!B:B, "Not Found")</f>
      </c>
      <c r="M3141" s="1" t="s">
        <v>5511</v>
      </c>
      <c r="N3141" s="8" t="s">
        <v>5512</v>
      </c>
      <c r="O3141" s="1" t="s">
        <v>5513</v>
      </c>
      <c r="P3141" s="5">
        <f>XLOOKUP(R3141, classification!C:C, classification!B:B, "Not Found")</f>
      </c>
      <c r="Q3141" s="1" t="s">
        <v>5514</v>
      </c>
      <c r="R3141" s="2"/>
      <c r="S3141" s="2"/>
      <c r="T3141" s="2"/>
      <c r="U3141" s="2"/>
    </row>
    <row x14ac:dyDescent="0.25" r="3142" customHeight="1" ht="17.25">
      <c r="A3142" s="7">
        <v>3141</v>
      </c>
      <c r="B3142" s="1" t="s">
        <v>8473</v>
      </c>
      <c r="C3142" s="5">
        <f>CONCATENATE("PD", TEXT(A3142, "1000000"))</f>
      </c>
      <c r="D3142" s="7">
        <v>75</v>
      </c>
      <c r="E3142" s="5">
        <f>XLOOKUP(G3142, item_category!C:C, item_category!B:B, "Not Found")</f>
      </c>
      <c r="F3142" s="1" t="s">
        <v>5541</v>
      </c>
      <c r="G3142" s="5">
        <f>XLOOKUP(I3142, drug!B:B, drug!A:A, "Not Found")</f>
      </c>
      <c r="H3142" s="1" t="s">
        <v>1228</v>
      </c>
      <c r="I3142" s="7">
        <v>1</v>
      </c>
      <c r="J3142" s="5">
        <f>XLOOKUP(L3142, uom!C:C, uom!B:B, "Not Found")</f>
      </c>
      <c r="K3142" s="1" t="s">
        <v>5511</v>
      </c>
      <c r="L3142" s="5">
        <f>XLOOKUP(N3142, uom!C:C, uom!B:B, "Not Found")</f>
      </c>
      <c r="M3142" s="1" t="s">
        <v>5511</v>
      </c>
      <c r="N3142" s="8" t="s">
        <v>5512</v>
      </c>
      <c r="O3142" s="1" t="s">
        <v>5513</v>
      </c>
      <c r="P3142" s="5">
        <f>XLOOKUP(R3142, classification!C:C, classification!B:B, "Not Found")</f>
      </c>
      <c r="Q3142" s="1" t="s">
        <v>5514</v>
      </c>
      <c r="R3142" s="2"/>
      <c r="S3142" s="2"/>
      <c r="T3142" s="2"/>
      <c r="U3142" s="2"/>
    </row>
    <row x14ac:dyDescent="0.25" r="3143" customHeight="1" ht="17.25">
      <c r="A3143" s="7">
        <v>3142</v>
      </c>
      <c r="B3143" s="1" t="s">
        <v>8474</v>
      </c>
      <c r="C3143" s="5">
        <f>CONCATENATE("PD", TEXT(A3143, "1000000"))</f>
      </c>
      <c r="D3143" s="7">
        <v>75</v>
      </c>
      <c r="E3143" s="5">
        <f>XLOOKUP(G3143, item_category!C:C, item_category!B:B, "Not Found")</f>
      </c>
      <c r="F3143" s="1" t="s">
        <v>5541</v>
      </c>
      <c r="G3143" s="5">
        <f>XLOOKUP(I3143, drug!B:B, drug!A:A, "Not Found")</f>
      </c>
      <c r="H3143" s="1" t="s">
        <v>1228</v>
      </c>
      <c r="I3143" s="7">
        <v>1</v>
      </c>
      <c r="J3143" s="5">
        <f>XLOOKUP(L3143, uom!C:C, uom!B:B, "Not Found")</f>
      </c>
      <c r="K3143" s="1" t="s">
        <v>5511</v>
      </c>
      <c r="L3143" s="5">
        <f>XLOOKUP(N3143, uom!C:C, uom!B:B, "Not Found")</f>
      </c>
      <c r="M3143" s="1" t="s">
        <v>5511</v>
      </c>
      <c r="N3143" s="8" t="s">
        <v>5512</v>
      </c>
      <c r="O3143" s="1" t="s">
        <v>5513</v>
      </c>
      <c r="P3143" s="5">
        <f>XLOOKUP(R3143, classification!C:C, classification!B:B, "Not Found")</f>
      </c>
      <c r="Q3143" s="1" t="s">
        <v>5514</v>
      </c>
      <c r="R3143" s="2"/>
      <c r="S3143" s="2"/>
      <c r="T3143" s="2"/>
      <c r="U3143" s="2"/>
    </row>
    <row x14ac:dyDescent="0.25" r="3144" customHeight="1" ht="17.25">
      <c r="A3144" s="7">
        <v>3143</v>
      </c>
      <c r="B3144" s="1" t="s">
        <v>8475</v>
      </c>
      <c r="C3144" s="5">
        <f>CONCATENATE("PD", TEXT(A3144, "1000000"))</f>
      </c>
      <c r="D3144" s="7">
        <v>75</v>
      </c>
      <c r="E3144" s="5">
        <f>XLOOKUP(G3144, item_category!C:C, item_category!B:B, "Not Found")</f>
      </c>
      <c r="F3144" s="1" t="s">
        <v>5541</v>
      </c>
      <c r="G3144" s="5">
        <f>XLOOKUP(I3144, drug!B:B, drug!A:A, "Not Found")</f>
      </c>
      <c r="H3144" s="1" t="s">
        <v>1152</v>
      </c>
      <c r="I3144" s="7">
        <v>1</v>
      </c>
      <c r="J3144" s="5">
        <f>XLOOKUP(L3144, uom!C:C, uom!B:B, "Not Found")</f>
      </c>
      <c r="K3144" s="1" t="s">
        <v>5511</v>
      </c>
      <c r="L3144" s="5">
        <f>XLOOKUP(N3144, uom!C:C, uom!B:B, "Not Found")</f>
      </c>
      <c r="M3144" s="1" t="s">
        <v>5511</v>
      </c>
      <c r="N3144" s="8" t="s">
        <v>5512</v>
      </c>
      <c r="O3144" s="1" t="s">
        <v>5513</v>
      </c>
      <c r="P3144" s="5">
        <f>XLOOKUP(R3144, classification!C:C, classification!B:B, "Not Found")</f>
      </c>
      <c r="Q3144" s="1" t="s">
        <v>5514</v>
      </c>
      <c r="R3144" s="2"/>
      <c r="S3144" s="2"/>
      <c r="T3144" s="2"/>
      <c r="U3144" s="2"/>
    </row>
    <row x14ac:dyDescent="0.25" r="3145" customHeight="1" ht="17.25">
      <c r="A3145" s="7">
        <v>3144</v>
      </c>
      <c r="B3145" s="1" t="s">
        <v>8476</v>
      </c>
      <c r="C3145" s="5">
        <f>CONCATENATE("PD", TEXT(A3145, "1000000"))</f>
      </c>
      <c r="D3145" s="7">
        <v>75</v>
      </c>
      <c r="E3145" s="5">
        <f>XLOOKUP(G3145, item_category!C:C, item_category!B:B, "Not Found")</f>
      </c>
      <c r="F3145" s="1" t="s">
        <v>5541</v>
      </c>
      <c r="G3145" s="5">
        <f>XLOOKUP(I3145, drug!B:B, drug!A:A, "Not Found")</f>
      </c>
      <c r="H3145" s="1" t="s">
        <v>1152</v>
      </c>
      <c r="I3145" s="7">
        <v>1</v>
      </c>
      <c r="J3145" s="5">
        <f>XLOOKUP(L3145, uom!C:C, uom!B:B, "Not Found")</f>
      </c>
      <c r="K3145" s="1" t="s">
        <v>5511</v>
      </c>
      <c r="L3145" s="5">
        <f>XLOOKUP(N3145, uom!C:C, uom!B:B, "Not Found")</f>
      </c>
      <c r="M3145" s="1" t="s">
        <v>5511</v>
      </c>
      <c r="N3145" s="8" t="s">
        <v>5512</v>
      </c>
      <c r="O3145" s="1" t="s">
        <v>5513</v>
      </c>
      <c r="P3145" s="5">
        <f>XLOOKUP(R3145, classification!C:C, classification!B:B, "Not Found")</f>
      </c>
      <c r="Q3145" s="1" t="s">
        <v>5514</v>
      </c>
      <c r="R3145" s="2"/>
      <c r="S3145" s="2"/>
      <c r="T3145" s="2"/>
      <c r="U3145" s="2"/>
    </row>
    <row x14ac:dyDescent="0.25" r="3146" customHeight="1" ht="17.25">
      <c r="A3146" s="7">
        <v>3145</v>
      </c>
      <c r="B3146" s="1" t="s">
        <v>8477</v>
      </c>
      <c r="C3146" s="5">
        <f>CONCATENATE("PD", TEXT(A3146, "1000000"))</f>
      </c>
      <c r="D3146" s="7">
        <v>75</v>
      </c>
      <c r="E3146" s="5">
        <f>XLOOKUP(G3146, item_category!C:C, item_category!B:B, "Not Found")</f>
      </c>
      <c r="F3146" s="1" t="s">
        <v>5541</v>
      </c>
      <c r="G3146" s="5">
        <f>XLOOKUP(I3146, drug!B:B, drug!A:A, "Not Found")</f>
      </c>
      <c r="H3146" s="1" t="s">
        <v>1228</v>
      </c>
      <c r="I3146" s="7">
        <v>1</v>
      </c>
      <c r="J3146" s="5">
        <f>XLOOKUP(L3146, uom!C:C, uom!B:B, "Not Found")</f>
      </c>
      <c r="K3146" s="1" t="s">
        <v>5511</v>
      </c>
      <c r="L3146" s="5">
        <f>XLOOKUP(N3146, uom!C:C, uom!B:B, "Not Found")</f>
      </c>
      <c r="M3146" s="1" t="s">
        <v>5511</v>
      </c>
      <c r="N3146" s="8" t="s">
        <v>5512</v>
      </c>
      <c r="O3146" s="1" t="s">
        <v>5513</v>
      </c>
      <c r="P3146" s="5">
        <f>XLOOKUP(R3146, classification!C:C, classification!B:B, "Not Found")</f>
      </c>
      <c r="Q3146" s="1" t="s">
        <v>5514</v>
      </c>
      <c r="R3146" s="2"/>
      <c r="S3146" s="2"/>
      <c r="T3146" s="2"/>
      <c r="U3146" s="2"/>
    </row>
    <row x14ac:dyDescent="0.25" r="3147" customHeight="1" ht="17.25">
      <c r="A3147" s="7">
        <v>3146</v>
      </c>
      <c r="B3147" s="1" t="s">
        <v>8478</v>
      </c>
      <c r="C3147" s="5">
        <f>CONCATENATE("PD", TEXT(A3147, "1000000"))</f>
      </c>
      <c r="D3147" s="7">
        <v>75</v>
      </c>
      <c r="E3147" s="5">
        <f>XLOOKUP(G3147, item_category!C:C, item_category!B:B, "Not Found")</f>
      </c>
      <c r="F3147" s="1" t="s">
        <v>5541</v>
      </c>
      <c r="G3147" s="5">
        <f>XLOOKUP(I3147, drug!B:B, drug!A:A, "Not Found")</f>
      </c>
      <c r="H3147" s="1" t="s">
        <v>1228</v>
      </c>
      <c r="I3147" s="7">
        <v>1</v>
      </c>
      <c r="J3147" s="5">
        <f>XLOOKUP(L3147, uom!C:C, uom!B:B, "Not Found")</f>
      </c>
      <c r="K3147" s="1" t="s">
        <v>5511</v>
      </c>
      <c r="L3147" s="5">
        <f>XLOOKUP(N3147, uom!C:C, uom!B:B, "Not Found")</f>
      </c>
      <c r="M3147" s="1" t="s">
        <v>5511</v>
      </c>
      <c r="N3147" s="8" t="s">
        <v>5512</v>
      </c>
      <c r="O3147" s="1" t="s">
        <v>5513</v>
      </c>
      <c r="P3147" s="5">
        <f>XLOOKUP(R3147, classification!C:C, classification!B:B, "Not Found")</f>
      </c>
      <c r="Q3147" s="1" t="s">
        <v>5514</v>
      </c>
      <c r="R3147" s="2"/>
      <c r="S3147" s="2"/>
      <c r="T3147" s="2"/>
      <c r="U3147" s="2"/>
    </row>
    <row x14ac:dyDescent="0.25" r="3148" customHeight="1" ht="17.25">
      <c r="A3148" s="7">
        <v>3147</v>
      </c>
      <c r="B3148" s="1" t="s">
        <v>8479</v>
      </c>
      <c r="C3148" s="5">
        <f>CONCATENATE("PD", TEXT(A3148, "1000000"))</f>
      </c>
      <c r="D3148" s="7">
        <v>75</v>
      </c>
      <c r="E3148" s="5">
        <f>XLOOKUP(G3148, item_category!C:C, item_category!B:B, "Not Found")</f>
      </c>
      <c r="F3148" s="1" t="s">
        <v>5541</v>
      </c>
      <c r="G3148" s="5">
        <f>XLOOKUP(I3148, drug!B:B, drug!A:A, "Not Found")</f>
      </c>
      <c r="H3148" s="1" t="s">
        <v>1228</v>
      </c>
      <c r="I3148" s="7">
        <v>1</v>
      </c>
      <c r="J3148" s="5">
        <f>XLOOKUP(L3148, uom!C:C, uom!B:B, "Not Found")</f>
      </c>
      <c r="K3148" s="1" t="s">
        <v>5511</v>
      </c>
      <c r="L3148" s="5">
        <f>XLOOKUP(N3148, uom!C:C, uom!B:B, "Not Found")</f>
      </c>
      <c r="M3148" s="1" t="s">
        <v>5511</v>
      </c>
      <c r="N3148" s="8" t="s">
        <v>5512</v>
      </c>
      <c r="O3148" s="1" t="s">
        <v>5513</v>
      </c>
      <c r="P3148" s="5">
        <f>XLOOKUP(R3148, classification!C:C, classification!B:B, "Not Found")</f>
      </c>
      <c r="Q3148" s="1" t="s">
        <v>5514</v>
      </c>
      <c r="R3148" s="2"/>
      <c r="S3148" s="2"/>
      <c r="T3148" s="2"/>
      <c r="U3148" s="2"/>
    </row>
    <row x14ac:dyDescent="0.25" r="3149" customHeight="1" ht="17.25">
      <c r="A3149" s="7">
        <v>3148</v>
      </c>
      <c r="B3149" s="1" t="s">
        <v>8480</v>
      </c>
      <c r="C3149" s="5">
        <f>CONCATENATE("PD", TEXT(A3149, "1000000"))</f>
      </c>
      <c r="D3149" s="7">
        <v>75</v>
      </c>
      <c r="E3149" s="5">
        <f>XLOOKUP(G3149, item_category!C:C, item_category!B:B, "Not Found")</f>
      </c>
      <c r="F3149" s="1" t="s">
        <v>5541</v>
      </c>
      <c r="G3149" s="5">
        <f>XLOOKUP(I3149, drug!B:B, drug!A:A, "Not Found")</f>
      </c>
      <c r="H3149" s="1"/>
      <c r="I3149" s="7">
        <v>1</v>
      </c>
      <c r="J3149" s="5">
        <f>XLOOKUP(L3149, uom!C:C, uom!B:B, "Not Found")</f>
      </c>
      <c r="K3149" s="1" t="s">
        <v>5511</v>
      </c>
      <c r="L3149" s="5">
        <f>XLOOKUP(N3149, uom!C:C, uom!B:B, "Not Found")</f>
      </c>
      <c r="M3149" s="1" t="s">
        <v>5511</v>
      </c>
      <c r="N3149" s="8" t="s">
        <v>5512</v>
      </c>
      <c r="O3149" s="1" t="s">
        <v>5513</v>
      </c>
      <c r="P3149" s="5">
        <f>XLOOKUP(R3149, classification!C:C, classification!B:B, "Not Found")</f>
      </c>
      <c r="Q3149" s="1" t="s">
        <v>5514</v>
      </c>
      <c r="R3149" s="2"/>
      <c r="S3149" s="2"/>
      <c r="T3149" s="2"/>
      <c r="U3149" s="2"/>
    </row>
    <row x14ac:dyDescent="0.25" r="3150" customHeight="1" ht="17.25">
      <c r="A3150" s="7">
        <v>3149</v>
      </c>
      <c r="B3150" s="1" t="s">
        <v>8481</v>
      </c>
      <c r="C3150" s="5">
        <f>CONCATENATE("PD", TEXT(A3150, "1000000"))</f>
      </c>
      <c r="D3150" s="7">
        <v>75</v>
      </c>
      <c r="E3150" s="5">
        <f>XLOOKUP(G3150, item_category!C:C, item_category!B:B, "Not Found")</f>
      </c>
      <c r="F3150" s="1" t="s">
        <v>5541</v>
      </c>
      <c r="G3150" s="5">
        <f>XLOOKUP(I3150, drug!B:B, drug!A:A, "Not Found")</f>
      </c>
      <c r="H3150" s="1"/>
      <c r="I3150" s="7">
        <v>1</v>
      </c>
      <c r="J3150" s="5">
        <f>XLOOKUP(L3150, uom!C:C, uom!B:B, "Not Found")</f>
      </c>
      <c r="K3150" s="1" t="s">
        <v>5511</v>
      </c>
      <c r="L3150" s="5">
        <f>XLOOKUP(N3150, uom!C:C, uom!B:B, "Not Found")</f>
      </c>
      <c r="M3150" s="1" t="s">
        <v>5511</v>
      </c>
      <c r="N3150" s="8" t="s">
        <v>5512</v>
      </c>
      <c r="O3150" s="1" t="s">
        <v>5513</v>
      </c>
      <c r="P3150" s="5">
        <f>XLOOKUP(R3150, classification!C:C, classification!B:B, "Not Found")</f>
      </c>
      <c r="Q3150" s="1" t="s">
        <v>5514</v>
      </c>
      <c r="R3150" s="2"/>
      <c r="S3150" s="2"/>
      <c r="T3150" s="2"/>
      <c r="U3150" s="2"/>
    </row>
    <row x14ac:dyDescent="0.25" r="3151" customHeight="1" ht="17.25">
      <c r="A3151" s="7">
        <v>3150</v>
      </c>
      <c r="B3151" s="1" t="s">
        <v>8482</v>
      </c>
      <c r="C3151" s="5">
        <f>CONCATENATE("PD", TEXT(A3151, "1000000"))</f>
      </c>
      <c r="D3151" s="7">
        <v>75</v>
      </c>
      <c r="E3151" s="5">
        <f>XLOOKUP(G3151, item_category!C:C, item_category!B:B, "Not Found")</f>
      </c>
      <c r="F3151" s="1" t="s">
        <v>5541</v>
      </c>
      <c r="G3151" s="5">
        <f>XLOOKUP(I3151, drug!B:B, drug!A:A, "Not Found")</f>
      </c>
      <c r="H3151" s="1"/>
      <c r="I3151" s="7">
        <v>1</v>
      </c>
      <c r="J3151" s="5">
        <f>XLOOKUP(L3151, uom!C:C, uom!B:B, "Not Found")</f>
      </c>
      <c r="K3151" s="1" t="s">
        <v>5511</v>
      </c>
      <c r="L3151" s="5">
        <f>XLOOKUP(N3151, uom!C:C, uom!B:B, "Not Found")</f>
      </c>
      <c r="M3151" s="1" t="s">
        <v>5511</v>
      </c>
      <c r="N3151" s="8" t="s">
        <v>5512</v>
      </c>
      <c r="O3151" s="1" t="s">
        <v>5513</v>
      </c>
      <c r="P3151" s="5">
        <f>XLOOKUP(R3151, classification!C:C, classification!B:B, "Not Found")</f>
      </c>
      <c r="Q3151" s="1" t="s">
        <v>5514</v>
      </c>
      <c r="R3151" s="2"/>
      <c r="S3151" s="2"/>
      <c r="T3151" s="2"/>
      <c r="U3151" s="2"/>
    </row>
    <row x14ac:dyDescent="0.25" r="3152" customHeight="1" ht="17.25">
      <c r="A3152" s="7">
        <v>3151</v>
      </c>
      <c r="B3152" s="1" t="s">
        <v>8483</v>
      </c>
      <c r="C3152" s="5">
        <f>CONCATENATE("PD", TEXT(A3152, "1000000"))</f>
      </c>
      <c r="D3152" s="7">
        <v>75</v>
      </c>
      <c r="E3152" s="5">
        <f>XLOOKUP(G3152, item_category!C:C, item_category!B:B, "Not Found")</f>
      </c>
      <c r="F3152" s="1" t="s">
        <v>5541</v>
      </c>
      <c r="G3152" s="5">
        <f>XLOOKUP(I3152, drug!B:B, drug!A:A, "Not Found")</f>
      </c>
      <c r="H3152" s="1"/>
      <c r="I3152" s="7">
        <v>1</v>
      </c>
      <c r="J3152" s="5">
        <f>XLOOKUP(L3152, uom!C:C, uom!B:B, "Not Found")</f>
      </c>
      <c r="K3152" s="1" t="s">
        <v>5511</v>
      </c>
      <c r="L3152" s="5">
        <f>XLOOKUP(N3152, uom!C:C, uom!B:B, "Not Found")</f>
      </c>
      <c r="M3152" s="1" t="s">
        <v>5511</v>
      </c>
      <c r="N3152" s="8" t="s">
        <v>5512</v>
      </c>
      <c r="O3152" s="1" t="s">
        <v>5513</v>
      </c>
      <c r="P3152" s="5">
        <f>XLOOKUP(R3152, classification!C:C, classification!B:B, "Not Found")</f>
      </c>
      <c r="Q3152" s="1" t="s">
        <v>5514</v>
      </c>
      <c r="R3152" s="2"/>
      <c r="S3152" s="2"/>
      <c r="T3152" s="2"/>
      <c r="U3152" s="2"/>
    </row>
    <row x14ac:dyDescent="0.25" r="3153" customHeight="1" ht="17.25">
      <c r="A3153" s="7">
        <v>3152</v>
      </c>
      <c r="B3153" s="1" t="s">
        <v>3392</v>
      </c>
      <c r="C3153" s="5">
        <f>CONCATENATE("PD", TEXT(A3153, "1000000"))</f>
      </c>
      <c r="D3153" s="7">
        <v>75</v>
      </c>
      <c r="E3153" s="5">
        <f>XLOOKUP(G3153, item_category!C:C, item_category!B:B, "Not Found")</f>
      </c>
      <c r="F3153" s="1" t="s">
        <v>5541</v>
      </c>
      <c r="G3153" s="5">
        <f>XLOOKUP(I3153, drug!B:B, drug!A:A, "Not Found")</f>
      </c>
      <c r="H3153" s="1"/>
      <c r="I3153" s="7">
        <v>1</v>
      </c>
      <c r="J3153" s="5">
        <f>XLOOKUP(L3153, uom!C:C, uom!B:B, "Not Found")</f>
      </c>
      <c r="K3153" s="1" t="s">
        <v>5511</v>
      </c>
      <c r="L3153" s="5">
        <f>XLOOKUP(N3153, uom!C:C, uom!B:B, "Not Found")</f>
      </c>
      <c r="M3153" s="1" t="s">
        <v>5511</v>
      </c>
      <c r="N3153" s="8" t="s">
        <v>5512</v>
      </c>
      <c r="O3153" s="1" t="s">
        <v>5513</v>
      </c>
      <c r="P3153" s="5">
        <f>XLOOKUP(R3153, classification!C:C, classification!B:B, "Not Found")</f>
      </c>
      <c r="Q3153" s="1" t="s">
        <v>5514</v>
      </c>
      <c r="R3153" s="2"/>
      <c r="S3153" s="2"/>
      <c r="T3153" s="2"/>
      <c r="U3153" s="2"/>
    </row>
    <row x14ac:dyDescent="0.25" r="3154" customHeight="1" ht="17.25">
      <c r="A3154" s="7">
        <v>3153</v>
      </c>
      <c r="B3154" s="1" t="s">
        <v>5873</v>
      </c>
      <c r="C3154" s="5">
        <f>CONCATENATE("PD", TEXT(A3154, "1000000"))</f>
      </c>
      <c r="D3154" s="7">
        <v>75</v>
      </c>
      <c r="E3154" s="5">
        <f>XLOOKUP(G3154, item_category!C:C, item_category!B:B, "Not Found")</f>
      </c>
      <c r="F3154" s="1" t="s">
        <v>5541</v>
      </c>
      <c r="G3154" s="5">
        <f>XLOOKUP(I3154, drug!B:B, drug!A:A, "Not Found")</f>
      </c>
      <c r="H3154" s="1"/>
      <c r="I3154" s="7">
        <v>1</v>
      </c>
      <c r="J3154" s="5">
        <f>XLOOKUP(L3154, uom!C:C, uom!B:B, "Not Found")</f>
      </c>
      <c r="K3154" s="1" t="s">
        <v>5511</v>
      </c>
      <c r="L3154" s="5">
        <f>XLOOKUP(N3154, uom!C:C, uom!B:B, "Not Found")</f>
      </c>
      <c r="M3154" s="1" t="s">
        <v>5511</v>
      </c>
      <c r="N3154" s="8" t="s">
        <v>5512</v>
      </c>
      <c r="O3154" s="1" t="s">
        <v>5513</v>
      </c>
      <c r="P3154" s="5">
        <f>XLOOKUP(R3154, classification!C:C, classification!B:B, "Not Found")</f>
      </c>
      <c r="Q3154" s="1" t="s">
        <v>5514</v>
      </c>
      <c r="R3154" s="2"/>
      <c r="S3154" s="2"/>
      <c r="T3154" s="2"/>
      <c r="U3154" s="2"/>
    </row>
    <row x14ac:dyDescent="0.25" r="3155" customHeight="1" ht="17.25">
      <c r="A3155" s="7">
        <v>3154</v>
      </c>
      <c r="B3155" s="1" t="s">
        <v>8484</v>
      </c>
      <c r="C3155" s="5">
        <f>CONCATENATE("PD", TEXT(A3155, "1000000"))</f>
      </c>
      <c r="D3155" s="7">
        <v>75</v>
      </c>
      <c r="E3155" s="5">
        <f>XLOOKUP(G3155, item_category!C:C, item_category!B:B, "Not Found")</f>
      </c>
      <c r="F3155" s="1" t="s">
        <v>5541</v>
      </c>
      <c r="G3155" s="5">
        <f>XLOOKUP(I3155, drug!B:B, drug!A:A, "Not Found")</f>
      </c>
      <c r="H3155" s="1" t="s">
        <v>1228</v>
      </c>
      <c r="I3155" s="7">
        <v>1</v>
      </c>
      <c r="J3155" s="5">
        <f>XLOOKUP(L3155, uom!C:C, uom!B:B, "Not Found")</f>
      </c>
      <c r="K3155" s="1" t="s">
        <v>5542</v>
      </c>
      <c r="L3155" s="5">
        <f>XLOOKUP(N3155, uom!C:C, uom!B:B, "Not Found")</f>
      </c>
      <c r="M3155" s="1" t="s">
        <v>5542</v>
      </c>
      <c r="N3155" s="8" t="s">
        <v>5512</v>
      </c>
      <c r="O3155" s="1" t="s">
        <v>5513</v>
      </c>
      <c r="P3155" s="5">
        <f>XLOOKUP(R3155, classification!C:C, classification!B:B, "Not Found")</f>
      </c>
      <c r="Q3155" s="1" t="s">
        <v>5514</v>
      </c>
      <c r="R3155" s="2"/>
      <c r="S3155" s="2"/>
      <c r="T3155" s="2"/>
      <c r="U3155" s="2"/>
    </row>
    <row x14ac:dyDescent="0.25" r="3156" customHeight="1" ht="17.25">
      <c r="A3156" s="7">
        <v>3155</v>
      </c>
      <c r="B3156" s="1" t="s">
        <v>8485</v>
      </c>
      <c r="C3156" s="5">
        <f>CONCATENATE("PD", TEXT(A3156, "1000000"))</f>
      </c>
      <c r="D3156" s="7">
        <v>75</v>
      </c>
      <c r="E3156" s="5">
        <f>XLOOKUP(G3156, item_category!C:C, item_category!B:B, "Not Found")</f>
      </c>
      <c r="F3156" s="1" t="s">
        <v>5541</v>
      </c>
      <c r="G3156" s="5">
        <f>XLOOKUP(I3156, drug!B:B, drug!A:A, "Not Found")</f>
      </c>
      <c r="H3156" s="1" t="s">
        <v>1942</v>
      </c>
      <c r="I3156" s="7">
        <v>1</v>
      </c>
      <c r="J3156" s="5">
        <f>XLOOKUP(L3156, uom!C:C, uom!B:B, "Not Found")</f>
      </c>
      <c r="K3156" s="1" t="s">
        <v>5511</v>
      </c>
      <c r="L3156" s="5">
        <f>XLOOKUP(N3156, uom!C:C, uom!B:B, "Not Found")</f>
      </c>
      <c r="M3156" s="1" t="s">
        <v>5511</v>
      </c>
      <c r="N3156" s="8" t="s">
        <v>5512</v>
      </c>
      <c r="O3156" s="1" t="s">
        <v>5513</v>
      </c>
      <c r="P3156" s="5">
        <f>XLOOKUP(R3156, classification!C:C, classification!B:B, "Not Found")</f>
      </c>
      <c r="Q3156" s="1" t="s">
        <v>5514</v>
      </c>
      <c r="R3156" s="2"/>
      <c r="S3156" s="2"/>
      <c r="T3156" s="2"/>
      <c r="U3156" s="2"/>
    </row>
    <row x14ac:dyDescent="0.25" r="3157" customHeight="1" ht="17.25">
      <c r="A3157" s="7">
        <v>3156</v>
      </c>
      <c r="B3157" s="1" t="s">
        <v>8486</v>
      </c>
      <c r="C3157" s="5">
        <f>CONCATENATE("PD", TEXT(A3157, "1000000"))</f>
      </c>
      <c r="D3157" s="7">
        <v>75</v>
      </c>
      <c r="E3157" s="5">
        <f>XLOOKUP(G3157, item_category!C:C, item_category!B:B, "Not Found")</f>
      </c>
      <c r="F3157" s="1" t="s">
        <v>5541</v>
      </c>
      <c r="G3157" s="5">
        <f>XLOOKUP(I3157, drug!B:B, drug!A:A, "Not Found")</f>
      </c>
      <c r="H3157" s="1" t="s">
        <v>1139</v>
      </c>
      <c r="I3157" s="7">
        <v>1</v>
      </c>
      <c r="J3157" s="5">
        <f>XLOOKUP(L3157, uom!C:C, uom!B:B, "Not Found")</f>
      </c>
      <c r="K3157" s="1" t="s">
        <v>5511</v>
      </c>
      <c r="L3157" s="5">
        <f>XLOOKUP(N3157, uom!C:C, uom!B:B, "Not Found")</f>
      </c>
      <c r="M3157" s="1" t="s">
        <v>5511</v>
      </c>
      <c r="N3157" s="8" t="s">
        <v>5512</v>
      </c>
      <c r="O3157" s="1" t="s">
        <v>5513</v>
      </c>
      <c r="P3157" s="5">
        <f>XLOOKUP(R3157, classification!C:C, classification!B:B, "Not Found")</f>
      </c>
      <c r="Q3157" s="1" t="s">
        <v>5514</v>
      </c>
      <c r="R3157" s="2"/>
      <c r="S3157" s="2"/>
      <c r="T3157" s="2"/>
      <c r="U3157" s="2"/>
    </row>
    <row x14ac:dyDescent="0.25" r="3158" customHeight="1" ht="17.25">
      <c r="A3158" s="7">
        <v>3157</v>
      </c>
      <c r="B3158" s="1" t="s">
        <v>8487</v>
      </c>
      <c r="C3158" s="5">
        <f>CONCATENATE("PD", TEXT(A3158, "1000000"))</f>
      </c>
      <c r="D3158" s="7">
        <v>76</v>
      </c>
      <c r="E3158" s="5">
        <f>XLOOKUP(G3158, item_category!C:C, item_category!B:B, "Not Found")</f>
      </c>
      <c r="F3158" s="1" t="s">
        <v>5632</v>
      </c>
      <c r="G3158" s="5">
        <f>XLOOKUP(I3158, drug!B:B, drug!A:A, "Not Found")</f>
      </c>
      <c r="H3158" s="1"/>
      <c r="I3158" s="7">
        <v>1</v>
      </c>
      <c r="J3158" s="5">
        <f>XLOOKUP(L3158, uom!C:C, uom!B:B, "Not Found")</f>
      </c>
      <c r="K3158" s="1" t="s">
        <v>5511</v>
      </c>
      <c r="L3158" s="5">
        <f>XLOOKUP(N3158, uom!C:C, uom!B:B, "Not Found")</f>
      </c>
      <c r="M3158" s="1" t="s">
        <v>5511</v>
      </c>
      <c r="N3158" s="8" t="s">
        <v>5512</v>
      </c>
      <c r="O3158" s="1" t="s">
        <v>5513</v>
      </c>
      <c r="P3158" s="5">
        <f>XLOOKUP(R3158, classification!C:C, classification!B:B, "Not Found")</f>
      </c>
      <c r="Q3158" s="1" t="s">
        <v>5514</v>
      </c>
      <c r="R3158" s="2"/>
      <c r="S3158" s="2"/>
      <c r="T3158" s="2"/>
      <c r="U3158" s="2"/>
    </row>
    <row x14ac:dyDescent="0.25" r="3159" customHeight="1" ht="17.25">
      <c r="A3159" s="7">
        <v>3158</v>
      </c>
      <c r="B3159" s="1" t="s">
        <v>8488</v>
      </c>
      <c r="C3159" s="5">
        <f>CONCATENATE("PD", TEXT(A3159, "1000000"))</f>
      </c>
      <c r="D3159" s="7">
        <v>76</v>
      </c>
      <c r="E3159" s="5">
        <f>XLOOKUP(G3159, item_category!C:C, item_category!B:B, "Not Found")</f>
      </c>
      <c r="F3159" s="1" t="s">
        <v>5632</v>
      </c>
      <c r="G3159" s="5">
        <f>XLOOKUP(I3159, drug!B:B, drug!A:A, "Not Found")</f>
      </c>
      <c r="H3159" s="1"/>
      <c r="I3159" s="7">
        <v>1</v>
      </c>
      <c r="J3159" s="5">
        <f>XLOOKUP(L3159, uom!C:C, uom!B:B, "Not Found")</f>
      </c>
      <c r="K3159" s="1" t="s">
        <v>5511</v>
      </c>
      <c r="L3159" s="5">
        <f>XLOOKUP(N3159, uom!C:C, uom!B:B, "Not Found")</f>
      </c>
      <c r="M3159" s="1" t="s">
        <v>5511</v>
      </c>
      <c r="N3159" s="8" t="s">
        <v>5512</v>
      </c>
      <c r="O3159" s="1" t="s">
        <v>5513</v>
      </c>
      <c r="P3159" s="5">
        <f>XLOOKUP(R3159, classification!C:C, classification!B:B, "Not Found")</f>
      </c>
      <c r="Q3159" s="1" t="s">
        <v>5514</v>
      </c>
      <c r="R3159" s="2"/>
      <c r="S3159" s="2"/>
      <c r="T3159" s="2"/>
      <c r="U3159" s="2"/>
    </row>
    <row x14ac:dyDescent="0.25" r="3160" customHeight="1" ht="17.25">
      <c r="A3160" s="7">
        <v>3159</v>
      </c>
      <c r="B3160" s="1" t="s">
        <v>8489</v>
      </c>
      <c r="C3160" s="5">
        <f>CONCATENATE("PD", TEXT(A3160, "1000000"))</f>
      </c>
      <c r="D3160" s="7">
        <v>76</v>
      </c>
      <c r="E3160" s="5">
        <f>XLOOKUP(G3160, item_category!C:C, item_category!B:B, "Not Found")</f>
      </c>
      <c r="F3160" s="1" t="s">
        <v>5632</v>
      </c>
      <c r="G3160" s="5">
        <f>XLOOKUP(I3160, drug!B:B, drug!A:A, "Not Found")</f>
      </c>
      <c r="H3160" s="1"/>
      <c r="I3160" s="7">
        <v>1</v>
      </c>
      <c r="J3160" s="5">
        <f>XLOOKUP(L3160, uom!C:C, uom!B:B, "Not Found")</f>
      </c>
      <c r="K3160" s="1" t="s">
        <v>5511</v>
      </c>
      <c r="L3160" s="5">
        <f>XLOOKUP(N3160, uom!C:C, uom!B:B, "Not Found")</f>
      </c>
      <c r="M3160" s="1" t="s">
        <v>5511</v>
      </c>
      <c r="N3160" s="8" t="s">
        <v>5512</v>
      </c>
      <c r="O3160" s="1" t="s">
        <v>5513</v>
      </c>
      <c r="P3160" s="5">
        <f>XLOOKUP(R3160, classification!C:C, classification!B:B, "Not Found")</f>
      </c>
      <c r="Q3160" s="1" t="s">
        <v>5514</v>
      </c>
      <c r="R3160" s="2"/>
      <c r="S3160" s="2"/>
      <c r="T3160" s="2"/>
      <c r="U3160" s="2"/>
    </row>
    <row x14ac:dyDescent="0.25" r="3161" customHeight="1" ht="17.25">
      <c r="A3161" s="7">
        <v>3160</v>
      </c>
      <c r="B3161" s="1" t="s">
        <v>8490</v>
      </c>
      <c r="C3161" s="5">
        <f>CONCATENATE("PD", TEXT(A3161, "1000000"))</f>
      </c>
      <c r="D3161" s="7">
        <v>76</v>
      </c>
      <c r="E3161" s="5">
        <f>XLOOKUP(G3161, item_category!C:C, item_category!B:B, "Not Found")</f>
      </c>
      <c r="F3161" s="1" t="s">
        <v>5632</v>
      </c>
      <c r="G3161" s="5">
        <f>XLOOKUP(I3161, drug!B:B, drug!A:A, "Not Found")</f>
      </c>
      <c r="H3161" s="1"/>
      <c r="I3161" s="7">
        <v>1</v>
      </c>
      <c r="J3161" s="5">
        <f>XLOOKUP(L3161, uom!C:C, uom!B:B, "Not Found")</f>
      </c>
      <c r="K3161" s="1" t="s">
        <v>5511</v>
      </c>
      <c r="L3161" s="5">
        <f>XLOOKUP(N3161, uom!C:C, uom!B:B, "Not Found")</f>
      </c>
      <c r="M3161" s="1" t="s">
        <v>5511</v>
      </c>
      <c r="N3161" s="8" t="s">
        <v>5512</v>
      </c>
      <c r="O3161" s="1" t="s">
        <v>5513</v>
      </c>
      <c r="P3161" s="5">
        <f>XLOOKUP(R3161, classification!C:C, classification!B:B, "Not Found")</f>
      </c>
      <c r="Q3161" s="1" t="s">
        <v>5514</v>
      </c>
      <c r="R3161" s="2"/>
      <c r="S3161" s="2"/>
      <c r="T3161" s="2"/>
      <c r="U3161" s="2"/>
    </row>
    <row x14ac:dyDescent="0.25" r="3162" customHeight="1" ht="17.25">
      <c r="A3162" s="7">
        <v>3161</v>
      </c>
      <c r="B3162" s="1" t="s">
        <v>8491</v>
      </c>
      <c r="C3162" s="5">
        <f>CONCATENATE("PD", TEXT(A3162, "1000000"))</f>
      </c>
      <c r="D3162" s="7">
        <v>76</v>
      </c>
      <c r="E3162" s="5">
        <f>XLOOKUP(G3162, item_category!C:C, item_category!B:B, "Not Found")</f>
      </c>
      <c r="F3162" s="1" t="s">
        <v>5632</v>
      </c>
      <c r="G3162" s="5">
        <f>XLOOKUP(I3162, drug!B:B, drug!A:A, "Not Found")</f>
      </c>
      <c r="H3162" s="1" t="s">
        <v>1552</v>
      </c>
      <c r="I3162" s="7">
        <v>1</v>
      </c>
      <c r="J3162" s="5">
        <f>XLOOKUP(L3162, uom!C:C, uom!B:B, "Not Found")</f>
      </c>
      <c r="K3162" s="1" t="s">
        <v>5511</v>
      </c>
      <c r="L3162" s="5">
        <f>XLOOKUP(N3162, uom!C:C, uom!B:B, "Not Found")</f>
      </c>
      <c r="M3162" s="1" t="s">
        <v>5511</v>
      </c>
      <c r="N3162" s="8" t="s">
        <v>5512</v>
      </c>
      <c r="O3162" s="1" t="s">
        <v>5513</v>
      </c>
      <c r="P3162" s="5">
        <f>XLOOKUP(R3162, classification!C:C, classification!B:B, "Not Found")</f>
      </c>
      <c r="Q3162" s="1" t="s">
        <v>5514</v>
      </c>
      <c r="R3162" s="2"/>
      <c r="S3162" s="2"/>
      <c r="T3162" s="2"/>
      <c r="U3162" s="2"/>
    </row>
    <row x14ac:dyDescent="0.25" r="3163" customHeight="1" ht="17.25">
      <c r="A3163" s="7">
        <v>3162</v>
      </c>
      <c r="B3163" s="1" t="s">
        <v>8492</v>
      </c>
      <c r="C3163" s="5">
        <f>CONCATENATE("PD", TEXT(A3163, "1000000"))</f>
      </c>
      <c r="D3163" s="7">
        <v>76</v>
      </c>
      <c r="E3163" s="5">
        <f>XLOOKUP(G3163, item_category!C:C, item_category!B:B, "Not Found")</f>
      </c>
      <c r="F3163" s="1" t="s">
        <v>5632</v>
      </c>
      <c r="G3163" s="5">
        <f>XLOOKUP(I3163, drug!B:B, drug!A:A, "Not Found")</f>
      </c>
      <c r="H3163" s="1"/>
      <c r="I3163" s="7">
        <v>1</v>
      </c>
      <c r="J3163" s="5">
        <f>XLOOKUP(L3163, uom!C:C, uom!B:B, "Not Found")</f>
      </c>
      <c r="K3163" s="1" t="s">
        <v>5511</v>
      </c>
      <c r="L3163" s="5">
        <f>XLOOKUP(N3163, uom!C:C, uom!B:B, "Not Found")</f>
      </c>
      <c r="M3163" s="1" t="s">
        <v>5511</v>
      </c>
      <c r="N3163" s="8" t="s">
        <v>5512</v>
      </c>
      <c r="O3163" s="1" t="s">
        <v>5513</v>
      </c>
      <c r="P3163" s="5">
        <f>XLOOKUP(R3163, classification!C:C, classification!B:B, "Not Found")</f>
      </c>
      <c r="Q3163" s="1" t="s">
        <v>5514</v>
      </c>
      <c r="R3163" s="2"/>
      <c r="S3163" s="2"/>
      <c r="T3163" s="2"/>
      <c r="U3163" s="2"/>
    </row>
    <row x14ac:dyDescent="0.25" r="3164" customHeight="1" ht="17.25">
      <c r="A3164" s="7">
        <v>3163</v>
      </c>
      <c r="B3164" s="1" t="s">
        <v>8493</v>
      </c>
      <c r="C3164" s="5">
        <f>CONCATENATE("PD", TEXT(A3164, "1000000"))</f>
      </c>
      <c r="D3164" s="7">
        <v>76</v>
      </c>
      <c r="E3164" s="5">
        <f>XLOOKUP(G3164, item_category!C:C, item_category!B:B, "Not Found")</f>
      </c>
      <c r="F3164" s="1" t="s">
        <v>5632</v>
      </c>
      <c r="G3164" s="5">
        <f>XLOOKUP(I3164, drug!B:B, drug!A:A, "Not Found")</f>
      </c>
      <c r="H3164" s="1"/>
      <c r="I3164" s="7">
        <v>1</v>
      </c>
      <c r="J3164" s="5">
        <f>XLOOKUP(L3164, uom!C:C, uom!B:B, "Not Found")</f>
      </c>
      <c r="K3164" s="1" t="s">
        <v>5511</v>
      </c>
      <c r="L3164" s="5">
        <f>XLOOKUP(N3164, uom!C:C, uom!B:B, "Not Found")</f>
      </c>
      <c r="M3164" s="1" t="s">
        <v>5511</v>
      </c>
      <c r="N3164" s="8" t="s">
        <v>5512</v>
      </c>
      <c r="O3164" s="1" t="s">
        <v>5513</v>
      </c>
      <c r="P3164" s="5">
        <f>XLOOKUP(R3164, classification!C:C, classification!B:B, "Not Found")</f>
      </c>
      <c r="Q3164" s="1" t="s">
        <v>5514</v>
      </c>
      <c r="R3164" s="2"/>
      <c r="S3164" s="2"/>
      <c r="T3164" s="2"/>
      <c r="U3164" s="2"/>
    </row>
    <row x14ac:dyDescent="0.25" r="3165" customHeight="1" ht="17.25">
      <c r="A3165" s="7">
        <v>3164</v>
      </c>
      <c r="B3165" s="1" t="s">
        <v>3394</v>
      </c>
      <c r="C3165" s="5">
        <f>CONCATENATE("PD", TEXT(A3165, "1000000"))</f>
      </c>
      <c r="D3165" s="7">
        <v>76</v>
      </c>
      <c r="E3165" s="5">
        <f>XLOOKUP(G3165, item_category!C:C, item_category!B:B, "Not Found")</f>
      </c>
      <c r="F3165" s="1" t="s">
        <v>5632</v>
      </c>
      <c r="G3165" s="5">
        <f>XLOOKUP(I3165, drug!B:B, drug!A:A, "Not Found")</f>
      </c>
      <c r="H3165" s="1"/>
      <c r="I3165" s="7">
        <v>1</v>
      </c>
      <c r="J3165" s="5">
        <f>XLOOKUP(L3165, uom!C:C, uom!B:B, "Not Found")</f>
      </c>
      <c r="K3165" s="1" t="s">
        <v>5511</v>
      </c>
      <c r="L3165" s="5">
        <f>XLOOKUP(N3165, uom!C:C, uom!B:B, "Not Found")</f>
      </c>
      <c r="M3165" s="1" t="s">
        <v>5511</v>
      </c>
      <c r="N3165" s="8" t="s">
        <v>5512</v>
      </c>
      <c r="O3165" s="1" t="s">
        <v>5513</v>
      </c>
      <c r="P3165" s="5">
        <f>XLOOKUP(R3165, classification!C:C, classification!B:B, "Not Found")</f>
      </c>
      <c r="Q3165" s="1" t="s">
        <v>5514</v>
      </c>
      <c r="R3165" s="2"/>
      <c r="S3165" s="2"/>
      <c r="T3165" s="2"/>
      <c r="U3165" s="2"/>
    </row>
    <row x14ac:dyDescent="0.25" r="3166" customHeight="1" ht="17.25">
      <c r="A3166" s="7">
        <v>3165</v>
      </c>
      <c r="B3166" s="1" t="s">
        <v>8494</v>
      </c>
      <c r="C3166" s="5">
        <f>CONCATENATE("PD", TEXT(A3166, "1000000"))</f>
      </c>
      <c r="D3166" s="7">
        <v>76</v>
      </c>
      <c r="E3166" s="5">
        <f>XLOOKUP(G3166, item_category!C:C, item_category!B:B, "Not Found")</f>
      </c>
      <c r="F3166" s="1" t="s">
        <v>5632</v>
      </c>
      <c r="G3166" s="5">
        <f>XLOOKUP(I3166, drug!B:B, drug!A:A, "Not Found")</f>
      </c>
      <c r="H3166" s="1"/>
      <c r="I3166" s="7">
        <v>1</v>
      </c>
      <c r="J3166" s="5">
        <f>XLOOKUP(L3166, uom!C:C, uom!B:B, "Not Found")</f>
      </c>
      <c r="K3166" s="1" t="s">
        <v>5511</v>
      </c>
      <c r="L3166" s="5">
        <f>XLOOKUP(N3166, uom!C:C, uom!B:B, "Not Found")</f>
      </c>
      <c r="M3166" s="1" t="s">
        <v>5511</v>
      </c>
      <c r="N3166" s="8" t="s">
        <v>5512</v>
      </c>
      <c r="O3166" s="1" t="s">
        <v>5513</v>
      </c>
      <c r="P3166" s="5">
        <f>XLOOKUP(R3166, classification!C:C, classification!B:B, "Not Found")</f>
      </c>
      <c r="Q3166" s="1" t="s">
        <v>5514</v>
      </c>
      <c r="R3166" s="2"/>
      <c r="S3166" s="2"/>
      <c r="T3166" s="2"/>
      <c r="U3166" s="2"/>
    </row>
    <row x14ac:dyDescent="0.25" r="3167" customHeight="1" ht="17.25">
      <c r="A3167" s="7">
        <v>3166</v>
      </c>
      <c r="B3167" s="1" t="s">
        <v>8495</v>
      </c>
      <c r="C3167" s="5">
        <f>CONCATENATE("PD", TEXT(A3167, "1000000"))</f>
      </c>
      <c r="D3167" s="7">
        <v>76</v>
      </c>
      <c r="E3167" s="5">
        <f>XLOOKUP(G3167, item_category!C:C, item_category!B:B, "Not Found")</f>
      </c>
      <c r="F3167" s="1" t="s">
        <v>5632</v>
      </c>
      <c r="G3167" s="5">
        <f>XLOOKUP(I3167, drug!B:B, drug!A:A, "Not Found")</f>
      </c>
      <c r="H3167" s="1"/>
      <c r="I3167" s="7">
        <v>1</v>
      </c>
      <c r="J3167" s="5">
        <f>XLOOKUP(L3167, uom!C:C, uom!B:B, "Not Found")</f>
      </c>
      <c r="K3167" s="1" t="s">
        <v>5511</v>
      </c>
      <c r="L3167" s="5">
        <f>XLOOKUP(N3167, uom!C:C, uom!B:B, "Not Found")</f>
      </c>
      <c r="M3167" s="1" t="s">
        <v>5511</v>
      </c>
      <c r="N3167" s="8" t="s">
        <v>5512</v>
      </c>
      <c r="O3167" s="1" t="s">
        <v>5513</v>
      </c>
      <c r="P3167" s="5">
        <f>XLOOKUP(R3167, classification!C:C, classification!B:B, "Not Found")</f>
      </c>
      <c r="Q3167" s="1" t="s">
        <v>5514</v>
      </c>
      <c r="R3167" s="2"/>
      <c r="S3167" s="2"/>
      <c r="T3167" s="2"/>
      <c r="U3167" s="2"/>
    </row>
    <row x14ac:dyDescent="0.25" r="3168" customHeight="1" ht="17.25">
      <c r="A3168" s="7">
        <v>3167</v>
      </c>
      <c r="B3168" s="1" t="s">
        <v>8496</v>
      </c>
      <c r="C3168" s="5">
        <f>CONCATENATE("PD", TEXT(A3168, "1000000"))</f>
      </c>
      <c r="D3168" s="7">
        <v>76</v>
      </c>
      <c r="E3168" s="5">
        <f>XLOOKUP(G3168, item_category!C:C, item_category!B:B, "Not Found")</f>
      </c>
      <c r="F3168" s="1" t="s">
        <v>5632</v>
      </c>
      <c r="G3168" s="5">
        <f>XLOOKUP(I3168, drug!B:B, drug!A:A, "Not Found")</f>
      </c>
      <c r="H3168" s="1"/>
      <c r="I3168" s="7">
        <v>1</v>
      </c>
      <c r="J3168" s="5">
        <f>XLOOKUP(L3168, uom!C:C, uom!B:B, "Not Found")</f>
      </c>
      <c r="K3168" s="1" t="s">
        <v>5511</v>
      </c>
      <c r="L3168" s="5">
        <f>XLOOKUP(N3168, uom!C:C, uom!B:B, "Not Found")</f>
      </c>
      <c r="M3168" s="1" t="s">
        <v>5511</v>
      </c>
      <c r="N3168" s="8" t="s">
        <v>5512</v>
      </c>
      <c r="O3168" s="1" t="s">
        <v>5513</v>
      </c>
      <c r="P3168" s="5">
        <f>XLOOKUP(R3168, classification!C:C, classification!B:B, "Not Found")</f>
      </c>
      <c r="Q3168" s="1" t="s">
        <v>5514</v>
      </c>
      <c r="R3168" s="2"/>
      <c r="S3168" s="2"/>
      <c r="T3168" s="2"/>
      <c r="U3168" s="2"/>
    </row>
    <row x14ac:dyDescent="0.25" r="3169" customHeight="1" ht="17.25">
      <c r="A3169" s="7">
        <v>3168</v>
      </c>
      <c r="B3169" s="1" t="s">
        <v>8497</v>
      </c>
      <c r="C3169" s="5">
        <f>CONCATENATE("PD", TEXT(A3169, "1000000"))</f>
      </c>
      <c r="D3169" s="7">
        <v>76</v>
      </c>
      <c r="E3169" s="5">
        <f>XLOOKUP(G3169, item_category!C:C, item_category!B:B, "Not Found")</f>
      </c>
      <c r="F3169" s="1" t="s">
        <v>5632</v>
      </c>
      <c r="G3169" s="5">
        <f>XLOOKUP(I3169, drug!B:B, drug!A:A, "Not Found")</f>
      </c>
      <c r="H3169" s="1"/>
      <c r="I3169" s="7">
        <v>1</v>
      </c>
      <c r="J3169" s="5">
        <f>XLOOKUP(L3169, uom!C:C, uom!B:B, "Not Found")</f>
      </c>
      <c r="K3169" s="1" t="s">
        <v>5511</v>
      </c>
      <c r="L3169" s="5">
        <f>XLOOKUP(N3169, uom!C:C, uom!B:B, "Not Found")</f>
      </c>
      <c r="M3169" s="1" t="s">
        <v>5511</v>
      </c>
      <c r="N3169" s="8" t="s">
        <v>5512</v>
      </c>
      <c r="O3169" s="1" t="s">
        <v>5513</v>
      </c>
      <c r="P3169" s="5">
        <f>XLOOKUP(R3169, classification!C:C, classification!B:B, "Not Found")</f>
      </c>
      <c r="Q3169" s="1" t="s">
        <v>5514</v>
      </c>
      <c r="R3169" s="2"/>
      <c r="S3169" s="2"/>
      <c r="T3169" s="2"/>
      <c r="U3169" s="2"/>
    </row>
    <row x14ac:dyDescent="0.25" r="3170" customHeight="1" ht="17.25">
      <c r="A3170" s="7">
        <v>3169</v>
      </c>
      <c r="B3170" s="1" t="s">
        <v>8498</v>
      </c>
      <c r="C3170" s="5">
        <f>CONCATENATE("PD", TEXT(A3170, "1000000"))</f>
      </c>
      <c r="D3170" s="7">
        <v>76</v>
      </c>
      <c r="E3170" s="5">
        <f>XLOOKUP(G3170, item_category!C:C, item_category!B:B, "Not Found")</f>
      </c>
      <c r="F3170" s="1" t="s">
        <v>5632</v>
      </c>
      <c r="G3170" s="5">
        <f>XLOOKUP(I3170, drug!B:B, drug!A:A, "Not Found")</f>
      </c>
      <c r="H3170" s="1" t="s">
        <v>1942</v>
      </c>
      <c r="I3170" s="7">
        <v>1</v>
      </c>
      <c r="J3170" s="5">
        <f>XLOOKUP(L3170, uom!C:C, uom!B:B, "Not Found")</f>
      </c>
      <c r="K3170" s="1" t="s">
        <v>5511</v>
      </c>
      <c r="L3170" s="5">
        <f>XLOOKUP(N3170, uom!C:C, uom!B:B, "Not Found")</f>
      </c>
      <c r="M3170" s="1" t="s">
        <v>5511</v>
      </c>
      <c r="N3170" s="8" t="s">
        <v>5512</v>
      </c>
      <c r="O3170" s="1" t="s">
        <v>5513</v>
      </c>
      <c r="P3170" s="5">
        <f>XLOOKUP(R3170, classification!C:C, classification!B:B, "Not Found")</f>
      </c>
      <c r="Q3170" s="1" t="s">
        <v>5514</v>
      </c>
      <c r="R3170" s="2"/>
      <c r="S3170" s="2"/>
      <c r="T3170" s="2"/>
      <c r="U3170" s="2"/>
    </row>
    <row x14ac:dyDescent="0.25" r="3171" customHeight="1" ht="17.25">
      <c r="A3171" s="7">
        <v>3170</v>
      </c>
      <c r="B3171" s="1" t="s">
        <v>8499</v>
      </c>
      <c r="C3171" s="5">
        <f>CONCATENATE("PD", TEXT(A3171, "1000000"))</f>
      </c>
      <c r="D3171" s="7">
        <v>76</v>
      </c>
      <c r="E3171" s="5">
        <f>XLOOKUP(G3171, item_category!C:C, item_category!B:B, "Not Found")</f>
      </c>
      <c r="F3171" s="1" t="s">
        <v>5632</v>
      </c>
      <c r="G3171" s="5">
        <f>XLOOKUP(I3171, drug!B:B, drug!A:A, "Not Found")</f>
      </c>
      <c r="H3171" s="1" t="s">
        <v>1942</v>
      </c>
      <c r="I3171" s="7">
        <v>1</v>
      </c>
      <c r="J3171" s="5">
        <f>XLOOKUP(L3171, uom!C:C, uom!B:B, "Not Found")</f>
      </c>
      <c r="K3171" s="1" t="s">
        <v>5511</v>
      </c>
      <c r="L3171" s="5">
        <f>XLOOKUP(N3171, uom!C:C, uom!B:B, "Not Found")</f>
      </c>
      <c r="M3171" s="1" t="s">
        <v>5511</v>
      </c>
      <c r="N3171" s="8" t="s">
        <v>5512</v>
      </c>
      <c r="O3171" s="1" t="s">
        <v>5513</v>
      </c>
      <c r="P3171" s="5">
        <f>XLOOKUP(R3171, classification!C:C, classification!B:B, "Not Found")</f>
      </c>
      <c r="Q3171" s="1" t="s">
        <v>5514</v>
      </c>
      <c r="R3171" s="2"/>
      <c r="S3171" s="2"/>
      <c r="T3171" s="2"/>
      <c r="U3171" s="2"/>
    </row>
    <row x14ac:dyDescent="0.25" r="3172" customHeight="1" ht="17.25">
      <c r="A3172" s="7">
        <v>3171</v>
      </c>
      <c r="B3172" s="1" t="s">
        <v>8500</v>
      </c>
      <c r="C3172" s="5">
        <f>CONCATENATE("PD", TEXT(A3172, "1000000"))</f>
      </c>
      <c r="D3172" s="7">
        <v>76</v>
      </c>
      <c r="E3172" s="5">
        <f>XLOOKUP(G3172, item_category!C:C, item_category!B:B, "Not Found")</f>
      </c>
      <c r="F3172" s="1" t="s">
        <v>5632</v>
      </c>
      <c r="G3172" s="5">
        <f>XLOOKUP(I3172, drug!B:B, drug!A:A, "Not Found")</f>
      </c>
      <c r="H3172" s="1" t="s">
        <v>1942</v>
      </c>
      <c r="I3172" s="7">
        <v>1</v>
      </c>
      <c r="J3172" s="5">
        <f>XLOOKUP(L3172, uom!C:C, uom!B:B, "Not Found")</f>
      </c>
      <c r="K3172" s="1" t="s">
        <v>5511</v>
      </c>
      <c r="L3172" s="5">
        <f>XLOOKUP(N3172, uom!C:C, uom!B:B, "Not Found")</f>
      </c>
      <c r="M3172" s="1" t="s">
        <v>5511</v>
      </c>
      <c r="N3172" s="8" t="s">
        <v>5512</v>
      </c>
      <c r="O3172" s="1" t="s">
        <v>5513</v>
      </c>
      <c r="P3172" s="5">
        <f>XLOOKUP(R3172, classification!C:C, classification!B:B, "Not Found")</f>
      </c>
      <c r="Q3172" s="1" t="s">
        <v>5514</v>
      </c>
      <c r="R3172" s="2"/>
      <c r="S3172" s="2"/>
      <c r="T3172" s="2"/>
      <c r="U3172" s="2"/>
    </row>
    <row x14ac:dyDescent="0.25" r="3173" customHeight="1" ht="17.25">
      <c r="A3173" s="7">
        <v>3172</v>
      </c>
      <c r="B3173" s="1" t="s">
        <v>8501</v>
      </c>
      <c r="C3173" s="5">
        <f>CONCATENATE("PD", TEXT(A3173, "1000000"))</f>
      </c>
      <c r="D3173" s="7">
        <v>76</v>
      </c>
      <c r="E3173" s="5">
        <f>XLOOKUP(G3173, item_category!C:C, item_category!B:B, "Not Found")</f>
      </c>
      <c r="F3173" s="1" t="s">
        <v>5632</v>
      </c>
      <c r="G3173" s="5">
        <f>XLOOKUP(I3173, drug!B:B, drug!A:A, "Not Found")</f>
      </c>
      <c r="H3173" s="1" t="s">
        <v>1942</v>
      </c>
      <c r="I3173" s="7">
        <v>1</v>
      </c>
      <c r="J3173" s="5">
        <f>XLOOKUP(L3173, uom!C:C, uom!B:B, "Not Found")</f>
      </c>
      <c r="K3173" s="1" t="s">
        <v>5511</v>
      </c>
      <c r="L3173" s="5">
        <f>XLOOKUP(N3173, uom!C:C, uom!B:B, "Not Found")</f>
      </c>
      <c r="M3173" s="1" t="s">
        <v>5511</v>
      </c>
      <c r="N3173" s="8" t="s">
        <v>5512</v>
      </c>
      <c r="O3173" s="1" t="s">
        <v>5513</v>
      </c>
      <c r="P3173" s="5">
        <f>XLOOKUP(R3173, classification!C:C, classification!B:B, "Not Found")</f>
      </c>
      <c r="Q3173" s="1" t="s">
        <v>5514</v>
      </c>
      <c r="R3173" s="2"/>
      <c r="S3173" s="2"/>
      <c r="T3173" s="2"/>
      <c r="U3173" s="2"/>
    </row>
    <row x14ac:dyDescent="0.25" r="3174" customHeight="1" ht="17.25">
      <c r="A3174" s="7">
        <v>3173</v>
      </c>
      <c r="B3174" s="1" t="s">
        <v>3398</v>
      </c>
      <c r="C3174" s="5">
        <f>CONCATENATE("PD", TEXT(A3174, "1000000"))</f>
      </c>
      <c r="D3174" s="7">
        <v>76</v>
      </c>
      <c r="E3174" s="5">
        <f>XLOOKUP(G3174, item_category!C:C, item_category!B:B, "Not Found")</f>
      </c>
      <c r="F3174" s="1" t="s">
        <v>5632</v>
      </c>
      <c r="G3174" s="5">
        <f>XLOOKUP(I3174, drug!B:B, drug!A:A, "Not Found")</f>
      </c>
      <c r="H3174" s="1"/>
      <c r="I3174" s="7">
        <v>1</v>
      </c>
      <c r="J3174" s="5">
        <f>XLOOKUP(L3174, uom!C:C, uom!B:B, "Not Found")</f>
      </c>
      <c r="K3174" s="1" t="s">
        <v>5511</v>
      </c>
      <c r="L3174" s="5">
        <f>XLOOKUP(N3174, uom!C:C, uom!B:B, "Not Found")</f>
      </c>
      <c r="M3174" s="1" t="s">
        <v>5511</v>
      </c>
      <c r="N3174" s="8" t="s">
        <v>5512</v>
      </c>
      <c r="O3174" s="1" t="s">
        <v>5513</v>
      </c>
      <c r="P3174" s="5">
        <f>XLOOKUP(R3174, classification!C:C, classification!B:B, "Not Found")</f>
      </c>
      <c r="Q3174" s="1" t="s">
        <v>5514</v>
      </c>
      <c r="R3174" s="2"/>
      <c r="S3174" s="2"/>
      <c r="T3174" s="2"/>
      <c r="U3174" s="2"/>
    </row>
    <row x14ac:dyDescent="0.25" r="3175" customHeight="1" ht="17.25">
      <c r="A3175" s="7">
        <v>3174</v>
      </c>
      <c r="B3175" s="1" t="s">
        <v>8502</v>
      </c>
      <c r="C3175" s="5">
        <f>CONCATENATE("PD", TEXT(A3175, "1000000"))</f>
      </c>
      <c r="D3175" s="7">
        <v>76</v>
      </c>
      <c r="E3175" s="5">
        <f>XLOOKUP(G3175, item_category!C:C, item_category!B:B, "Not Found")</f>
      </c>
      <c r="F3175" s="1" t="s">
        <v>5632</v>
      </c>
      <c r="G3175" s="5">
        <f>XLOOKUP(I3175, drug!B:B, drug!A:A, "Not Found")</f>
      </c>
      <c r="H3175" s="1"/>
      <c r="I3175" s="7">
        <v>1</v>
      </c>
      <c r="J3175" s="5">
        <f>XLOOKUP(L3175, uom!C:C, uom!B:B, "Not Found")</f>
      </c>
      <c r="K3175" s="1" t="s">
        <v>5511</v>
      </c>
      <c r="L3175" s="5">
        <f>XLOOKUP(N3175, uom!C:C, uom!B:B, "Not Found")</f>
      </c>
      <c r="M3175" s="1" t="s">
        <v>5511</v>
      </c>
      <c r="N3175" s="8" t="s">
        <v>5512</v>
      </c>
      <c r="O3175" s="1" t="s">
        <v>5513</v>
      </c>
      <c r="P3175" s="5">
        <f>XLOOKUP(R3175, classification!C:C, classification!B:B, "Not Found")</f>
      </c>
      <c r="Q3175" s="1" t="s">
        <v>5514</v>
      </c>
      <c r="R3175" s="2"/>
      <c r="S3175" s="2"/>
      <c r="T3175" s="2"/>
      <c r="U3175" s="2"/>
    </row>
    <row x14ac:dyDescent="0.25" r="3176" customHeight="1" ht="17.25">
      <c r="A3176" s="7">
        <v>3175</v>
      </c>
      <c r="B3176" s="1" t="s">
        <v>8503</v>
      </c>
      <c r="C3176" s="5">
        <f>CONCATENATE("PD", TEXT(A3176, "1000000"))</f>
      </c>
      <c r="D3176" s="7">
        <v>76</v>
      </c>
      <c r="E3176" s="5">
        <f>XLOOKUP(G3176, item_category!C:C, item_category!B:B, "Not Found")</f>
      </c>
      <c r="F3176" s="1" t="s">
        <v>5632</v>
      </c>
      <c r="G3176" s="5">
        <f>XLOOKUP(I3176, drug!B:B, drug!A:A, "Not Found")</f>
      </c>
      <c r="H3176" s="1" t="s">
        <v>504</v>
      </c>
      <c r="I3176" s="7">
        <v>1</v>
      </c>
      <c r="J3176" s="5">
        <f>XLOOKUP(L3176, uom!C:C, uom!B:B, "Not Found")</f>
      </c>
      <c r="K3176" s="1" t="s">
        <v>5511</v>
      </c>
      <c r="L3176" s="5">
        <f>XLOOKUP(N3176, uom!C:C, uom!B:B, "Not Found")</f>
      </c>
      <c r="M3176" s="1" t="s">
        <v>5511</v>
      </c>
      <c r="N3176" s="8" t="s">
        <v>5512</v>
      </c>
      <c r="O3176" s="1" t="s">
        <v>5513</v>
      </c>
      <c r="P3176" s="5">
        <f>XLOOKUP(R3176, classification!C:C, classification!B:B, "Not Found")</f>
      </c>
      <c r="Q3176" s="1" t="s">
        <v>5514</v>
      </c>
      <c r="R3176" s="2"/>
      <c r="S3176" s="2"/>
      <c r="T3176" s="2"/>
      <c r="U3176" s="2"/>
    </row>
    <row x14ac:dyDescent="0.25" r="3177" customHeight="1" ht="17.25">
      <c r="A3177" s="7">
        <v>3176</v>
      </c>
      <c r="B3177" s="1" t="s">
        <v>8504</v>
      </c>
      <c r="C3177" s="5">
        <f>CONCATENATE("PD", TEXT(A3177, "1000000"))</f>
      </c>
      <c r="D3177" s="7">
        <v>76</v>
      </c>
      <c r="E3177" s="5">
        <f>XLOOKUP(G3177, item_category!C:C, item_category!B:B, "Not Found")</f>
      </c>
      <c r="F3177" s="1" t="s">
        <v>5632</v>
      </c>
      <c r="G3177" s="5">
        <f>XLOOKUP(I3177, drug!B:B, drug!A:A, "Not Found")</f>
      </c>
      <c r="H3177" s="1"/>
      <c r="I3177" s="7">
        <v>1</v>
      </c>
      <c r="J3177" s="5">
        <f>XLOOKUP(L3177, uom!C:C, uom!B:B, "Not Found")</f>
      </c>
      <c r="K3177" s="1" t="s">
        <v>5511</v>
      </c>
      <c r="L3177" s="5">
        <f>XLOOKUP(N3177, uom!C:C, uom!B:B, "Not Found")</f>
      </c>
      <c r="M3177" s="1" t="s">
        <v>5511</v>
      </c>
      <c r="N3177" s="8" t="s">
        <v>5512</v>
      </c>
      <c r="O3177" s="1" t="s">
        <v>5513</v>
      </c>
      <c r="P3177" s="5">
        <f>XLOOKUP(R3177, classification!C:C, classification!B:B, "Not Found")</f>
      </c>
      <c r="Q3177" s="1" t="s">
        <v>5514</v>
      </c>
      <c r="R3177" s="2"/>
      <c r="S3177" s="2"/>
      <c r="T3177" s="2"/>
      <c r="U3177" s="2"/>
    </row>
    <row x14ac:dyDescent="0.25" r="3178" customHeight="1" ht="17.25">
      <c r="A3178" s="7">
        <v>3177</v>
      </c>
      <c r="B3178" s="1" t="s">
        <v>8505</v>
      </c>
      <c r="C3178" s="5">
        <f>CONCATENATE("PD", TEXT(A3178, "1000000"))</f>
      </c>
      <c r="D3178" s="7">
        <v>76</v>
      </c>
      <c r="E3178" s="5">
        <f>XLOOKUP(G3178, item_category!C:C, item_category!B:B, "Not Found")</f>
      </c>
      <c r="F3178" s="1" t="s">
        <v>5632</v>
      </c>
      <c r="G3178" s="5">
        <f>XLOOKUP(I3178, drug!B:B, drug!A:A, "Not Found")</f>
      </c>
      <c r="H3178" s="1"/>
      <c r="I3178" s="7">
        <v>1</v>
      </c>
      <c r="J3178" s="5">
        <f>XLOOKUP(L3178, uom!C:C, uom!B:B, "Not Found")</f>
      </c>
      <c r="K3178" s="1" t="s">
        <v>5511</v>
      </c>
      <c r="L3178" s="5">
        <f>XLOOKUP(N3178, uom!C:C, uom!B:B, "Not Found")</f>
      </c>
      <c r="M3178" s="1" t="s">
        <v>5511</v>
      </c>
      <c r="N3178" s="8" t="s">
        <v>5512</v>
      </c>
      <c r="O3178" s="1" t="s">
        <v>5513</v>
      </c>
      <c r="P3178" s="5">
        <f>XLOOKUP(R3178, classification!C:C, classification!B:B, "Not Found")</f>
      </c>
      <c r="Q3178" s="1" t="s">
        <v>5514</v>
      </c>
      <c r="R3178" s="2"/>
      <c r="S3178" s="2"/>
      <c r="T3178" s="2"/>
      <c r="U3178" s="2"/>
    </row>
    <row x14ac:dyDescent="0.25" r="3179" customHeight="1" ht="17.25">
      <c r="A3179" s="7">
        <v>3178</v>
      </c>
      <c r="B3179" s="1" t="s">
        <v>8506</v>
      </c>
      <c r="C3179" s="5">
        <f>CONCATENATE("PD", TEXT(A3179, "1000000"))</f>
      </c>
      <c r="D3179" s="7">
        <v>76</v>
      </c>
      <c r="E3179" s="5">
        <f>XLOOKUP(G3179, item_category!C:C, item_category!B:B, "Not Found")</f>
      </c>
      <c r="F3179" s="1" t="s">
        <v>5632</v>
      </c>
      <c r="G3179" s="5">
        <f>XLOOKUP(I3179, drug!B:B, drug!A:A, "Not Found")</f>
      </c>
      <c r="H3179" s="1"/>
      <c r="I3179" s="7">
        <v>1</v>
      </c>
      <c r="J3179" s="5">
        <f>XLOOKUP(L3179, uom!C:C, uom!B:B, "Not Found")</f>
      </c>
      <c r="K3179" s="1" t="s">
        <v>5511</v>
      </c>
      <c r="L3179" s="5">
        <f>XLOOKUP(N3179, uom!C:C, uom!B:B, "Not Found")</f>
      </c>
      <c r="M3179" s="1" t="s">
        <v>5511</v>
      </c>
      <c r="N3179" s="8" t="s">
        <v>5512</v>
      </c>
      <c r="O3179" s="1" t="s">
        <v>5513</v>
      </c>
      <c r="P3179" s="5">
        <f>XLOOKUP(R3179, classification!C:C, classification!B:B, "Not Found")</f>
      </c>
      <c r="Q3179" s="1" t="s">
        <v>5514</v>
      </c>
      <c r="R3179" s="2"/>
      <c r="S3179" s="2"/>
      <c r="T3179" s="2"/>
      <c r="U3179" s="2"/>
    </row>
    <row x14ac:dyDescent="0.25" r="3180" customHeight="1" ht="17.25">
      <c r="A3180" s="7">
        <v>3179</v>
      </c>
      <c r="B3180" s="1" t="s">
        <v>8507</v>
      </c>
      <c r="C3180" s="5">
        <f>CONCATENATE("PD", TEXT(A3180, "1000000"))</f>
      </c>
      <c r="D3180" s="7">
        <v>76</v>
      </c>
      <c r="E3180" s="5">
        <f>XLOOKUP(G3180, item_category!C:C, item_category!B:B, "Not Found")</f>
      </c>
      <c r="F3180" s="1" t="s">
        <v>5632</v>
      </c>
      <c r="G3180" s="5">
        <f>XLOOKUP(I3180, drug!B:B, drug!A:A, "Not Found")</f>
      </c>
      <c r="H3180" s="1"/>
      <c r="I3180" s="7">
        <v>1</v>
      </c>
      <c r="J3180" s="5">
        <f>XLOOKUP(L3180, uom!C:C, uom!B:B, "Not Found")</f>
      </c>
      <c r="K3180" s="1" t="s">
        <v>5511</v>
      </c>
      <c r="L3180" s="5">
        <f>XLOOKUP(N3180, uom!C:C, uom!B:B, "Not Found")</f>
      </c>
      <c r="M3180" s="1" t="s">
        <v>5511</v>
      </c>
      <c r="N3180" s="8" t="s">
        <v>5512</v>
      </c>
      <c r="O3180" s="1" t="s">
        <v>5513</v>
      </c>
      <c r="P3180" s="5">
        <f>XLOOKUP(R3180, classification!C:C, classification!B:B, "Not Found")</f>
      </c>
      <c r="Q3180" s="1" t="s">
        <v>5514</v>
      </c>
      <c r="R3180" s="2"/>
      <c r="S3180" s="2"/>
      <c r="T3180" s="2"/>
      <c r="U3180" s="2"/>
    </row>
    <row x14ac:dyDescent="0.25" r="3181" customHeight="1" ht="17.25">
      <c r="A3181" s="7">
        <v>3180</v>
      </c>
      <c r="B3181" s="1" t="s">
        <v>8508</v>
      </c>
      <c r="C3181" s="5">
        <f>CONCATENATE("PD", TEXT(A3181, "1000000"))</f>
      </c>
      <c r="D3181" s="7">
        <v>76</v>
      </c>
      <c r="E3181" s="5">
        <f>XLOOKUP(G3181, item_category!C:C, item_category!B:B, "Not Found")</f>
      </c>
      <c r="F3181" s="1" t="s">
        <v>5632</v>
      </c>
      <c r="G3181" s="5">
        <f>XLOOKUP(I3181, drug!B:B, drug!A:A, "Not Found")</f>
      </c>
      <c r="H3181" s="1"/>
      <c r="I3181" s="7">
        <v>1</v>
      </c>
      <c r="J3181" s="5">
        <f>XLOOKUP(L3181, uom!C:C, uom!B:B, "Not Found")</f>
      </c>
      <c r="K3181" s="1" t="s">
        <v>5511</v>
      </c>
      <c r="L3181" s="5">
        <f>XLOOKUP(N3181, uom!C:C, uom!B:B, "Not Found")</f>
      </c>
      <c r="M3181" s="1" t="s">
        <v>5511</v>
      </c>
      <c r="N3181" s="8" t="s">
        <v>5512</v>
      </c>
      <c r="O3181" s="1" t="s">
        <v>5513</v>
      </c>
      <c r="P3181" s="5">
        <f>XLOOKUP(R3181, classification!C:C, classification!B:B, "Not Found")</f>
      </c>
      <c r="Q3181" s="1" t="s">
        <v>5514</v>
      </c>
      <c r="R3181" s="2"/>
      <c r="S3181" s="2"/>
      <c r="T3181" s="2"/>
      <c r="U3181" s="2"/>
    </row>
    <row x14ac:dyDescent="0.25" r="3182" customHeight="1" ht="17.25">
      <c r="A3182" s="7">
        <v>3181</v>
      </c>
      <c r="B3182" s="1" t="s">
        <v>8509</v>
      </c>
      <c r="C3182" s="5">
        <f>CONCATENATE("PD", TEXT(A3182, "1000000"))</f>
      </c>
      <c r="D3182" s="7">
        <v>76</v>
      </c>
      <c r="E3182" s="5">
        <f>XLOOKUP(G3182, item_category!C:C, item_category!B:B, "Not Found")</f>
      </c>
      <c r="F3182" s="1" t="s">
        <v>5632</v>
      </c>
      <c r="G3182" s="5">
        <f>XLOOKUP(I3182, drug!B:B, drug!A:A, "Not Found")</f>
      </c>
      <c r="H3182" s="1"/>
      <c r="I3182" s="7">
        <v>1</v>
      </c>
      <c r="J3182" s="5">
        <f>XLOOKUP(L3182, uom!C:C, uom!B:B, "Not Found")</f>
      </c>
      <c r="K3182" s="1" t="s">
        <v>5511</v>
      </c>
      <c r="L3182" s="5">
        <f>XLOOKUP(N3182, uom!C:C, uom!B:B, "Not Found")</f>
      </c>
      <c r="M3182" s="1" t="s">
        <v>5511</v>
      </c>
      <c r="N3182" s="8" t="s">
        <v>5512</v>
      </c>
      <c r="O3182" s="1" t="s">
        <v>5513</v>
      </c>
      <c r="P3182" s="5">
        <f>XLOOKUP(R3182, classification!C:C, classification!B:B, "Not Found")</f>
      </c>
      <c r="Q3182" s="1" t="s">
        <v>5514</v>
      </c>
      <c r="R3182" s="2"/>
      <c r="S3182" s="2"/>
      <c r="T3182" s="2"/>
      <c r="U3182" s="2"/>
    </row>
    <row x14ac:dyDescent="0.25" r="3183" customHeight="1" ht="17.25">
      <c r="A3183" s="7">
        <v>3182</v>
      </c>
      <c r="B3183" s="1" t="s">
        <v>8510</v>
      </c>
      <c r="C3183" s="5">
        <f>CONCATENATE("PD", TEXT(A3183, "1000000"))</f>
      </c>
      <c r="D3183" s="7">
        <v>75</v>
      </c>
      <c r="E3183" s="5">
        <f>XLOOKUP(G3183, item_category!C:C, item_category!B:B, "Not Found")</f>
      </c>
      <c r="F3183" s="1" t="s">
        <v>5541</v>
      </c>
      <c r="G3183" s="5">
        <f>XLOOKUP(I3183, drug!B:B, drug!A:A, "Not Found")</f>
      </c>
      <c r="H3183" s="1" t="s">
        <v>857</v>
      </c>
      <c r="I3183" s="7">
        <v>50</v>
      </c>
      <c r="J3183" s="5">
        <f>XLOOKUP(L3183, uom!C:C, uom!B:B, "Not Found")</f>
      </c>
      <c r="K3183" s="1" t="s">
        <v>5661</v>
      </c>
      <c r="L3183" s="5">
        <f>XLOOKUP(N3183, uom!C:C, uom!B:B, "Not Found")</f>
      </c>
      <c r="M3183" s="1" t="s">
        <v>5661</v>
      </c>
      <c r="N3183" s="8" t="s">
        <v>5524</v>
      </c>
      <c r="O3183" s="1" t="s">
        <v>5525</v>
      </c>
      <c r="P3183" s="5">
        <f>XLOOKUP(R3183, classification!C:C, classification!B:B, "Not Found")</f>
      </c>
      <c r="Q3183" s="1" t="s">
        <v>5514</v>
      </c>
      <c r="R3183" s="2"/>
      <c r="S3183" s="2"/>
      <c r="T3183" s="2"/>
      <c r="U3183" s="2"/>
    </row>
    <row x14ac:dyDescent="0.25" r="3184" customHeight="1" ht="17.25">
      <c r="A3184" s="7">
        <v>3183</v>
      </c>
      <c r="B3184" s="1" t="s">
        <v>8511</v>
      </c>
      <c r="C3184" s="5">
        <f>CONCATENATE("PD", TEXT(A3184, "1000000"))</f>
      </c>
      <c r="D3184" s="7">
        <v>76</v>
      </c>
      <c r="E3184" s="5">
        <f>XLOOKUP(G3184, item_category!C:C, item_category!B:B, "Not Found")</f>
      </c>
      <c r="F3184" s="1" t="s">
        <v>5632</v>
      </c>
      <c r="G3184" s="5">
        <f>XLOOKUP(I3184, drug!B:B, drug!A:A, "Not Found")</f>
      </c>
      <c r="H3184" s="1" t="s">
        <v>1942</v>
      </c>
      <c r="I3184" s="7">
        <v>1</v>
      </c>
      <c r="J3184" s="5">
        <f>XLOOKUP(L3184, uom!C:C, uom!B:B, "Not Found")</f>
      </c>
      <c r="K3184" s="1" t="s">
        <v>5511</v>
      </c>
      <c r="L3184" s="5">
        <f>XLOOKUP(N3184, uom!C:C, uom!B:B, "Not Found")</f>
      </c>
      <c r="M3184" s="1" t="s">
        <v>5511</v>
      </c>
      <c r="N3184" s="8" t="s">
        <v>5512</v>
      </c>
      <c r="O3184" s="1" t="s">
        <v>5513</v>
      </c>
      <c r="P3184" s="5">
        <f>XLOOKUP(R3184, classification!C:C, classification!B:B, "Not Found")</f>
      </c>
      <c r="Q3184" s="1" t="s">
        <v>5514</v>
      </c>
      <c r="R3184" s="2"/>
      <c r="S3184" s="2"/>
      <c r="T3184" s="2"/>
      <c r="U3184" s="2"/>
    </row>
    <row x14ac:dyDescent="0.25" r="3185" customHeight="1" ht="17.25">
      <c r="A3185" s="7">
        <v>3184</v>
      </c>
      <c r="B3185" s="1" t="s">
        <v>8512</v>
      </c>
      <c r="C3185" s="5">
        <f>CONCATENATE("PD", TEXT(A3185, "1000000"))</f>
      </c>
      <c r="D3185" s="7">
        <v>76</v>
      </c>
      <c r="E3185" s="5">
        <f>XLOOKUP(G3185, item_category!C:C, item_category!B:B, "Not Found")</f>
      </c>
      <c r="F3185" s="1" t="s">
        <v>5632</v>
      </c>
      <c r="G3185" s="5">
        <f>XLOOKUP(I3185, drug!B:B, drug!A:A, "Not Found")</f>
      </c>
      <c r="H3185" s="1"/>
      <c r="I3185" s="7">
        <v>1</v>
      </c>
      <c r="J3185" s="5">
        <f>XLOOKUP(L3185, uom!C:C, uom!B:B, "Not Found")</f>
      </c>
      <c r="K3185" s="1" t="s">
        <v>5511</v>
      </c>
      <c r="L3185" s="5">
        <f>XLOOKUP(N3185, uom!C:C, uom!B:B, "Not Found")</f>
      </c>
      <c r="M3185" s="1" t="s">
        <v>5511</v>
      </c>
      <c r="N3185" s="8" t="s">
        <v>5512</v>
      </c>
      <c r="O3185" s="1" t="s">
        <v>5513</v>
      </c>
      <c r="P3185" s="5">
        <f>XLOOKUP(R3185, classification!C:C, classification!B:B, "Not Found")</f>
      </c>
      <c r="Q3185" s="1" t="s">
        <v>5514</v>
      </c>
      <c r="R3185" s="2"/>
      <c r="S3185" s="2"/>
      <c r="T3185" s="2"/>
      <c r="U3185" s="2"/>
    </row>
    <row x14ac:dyDescent="0.25" r="3186" customHeight="1" ht="17.25">
      <c r="A3186" s="7">
        <v>3185</v>
      </c>
      <c r="B3186" s="1" t="s">
        <v>8513</v>
      </c>
      <c r="C3186" s="5">
        <f>CONCATENATE("PD", TEXT(A3186, "1000000"))</f>
      </c>
      <c r="D3186" s="7">
        <v>76</v>
      </c>
      <c r="E3186" s="5">
        <f>XLOOKUP(G3186, item_category!C:C, item_category!B:B, "Not Found")</f>
      </c>
      <c r="F3186" s="1" t="s">
        <v>5632</v>
      </c>
      <c r="G3186" s="5">
        <f>XLOOKUP(I3186, drug!B:B, drug!A:A, "Not Found")</f>
      </c>
      <c r="H3186" s="1"/>
      <c r="I3186" s="7">
        <v>1</v>
      </c>
      <c r="J3186" s="5">
        <f>XLOOKUP(L3186, uom!C:C, uom!B:B, "Not Found")</f>
      </c>
      <c r="K3186" s="1" t="s">
        <v>5511</v>
      </c>
      <c r="L3186" s="5">
        <f>XLOOKUP(N3186, uom!C:C, uom!B:B, "Not Found")</f>
      </c>
      <c r="M3186" s="1" t="s">
        <v>5511</v>
      </c>
      <c r="N3186" s="8" t="s">
        <v>5512</v>
      </c>
      <c r="O3186" s="1" t="s">
        <v>5513</v>
      </c>
      <c r="P3186" s="5">
        <f>XLOOKUP(R3186, classification!C:C, classification!B:B, "Not Found")</f>
      </c>
      <c r="Q3186" s="1" t="s">
        <v>5514</v>
      </c>
      <c r="R3186" s="2"/>
      <c r="S3186" s="2"/>
      <c r="T3186" s="2"/>
      <c r="U3186" s="2"/>
    </row>
    <row x14ac:dyDescent="0.25" r="3187" customHeight="1" ht="17.25">
      <c r="A3187" s="7">
        <v>3186</v>
      </c>
      <c r="B3187" s="1" t="s">
        <v>8514</v>
      </c>
      <c r="C3187" s="5">
        <f>CONCATENATE("PD", TEXT(A3187, "1000000"))</f>
      </c>
      <c r="D3187" s="7">
        <v>76</v>
      </c>
      <c r="E3187" s="5">
        <f>XLOOKUP(G3187, item_category!C:C, item_category!B:B, "Not Found")</f>
      </c>
      <c r="F3187" s="1" t="s">
        <v>5632</v>
      </c>
      <c r="G3187" s="5">
        <f>XLOOKUP(I3187, drug!B:B, drug!A:A, "Not Found")</f>
      </c>
      <c r="H3187" s="1"/>
      <c r="I3187" s="7">
        <v>1</v>
      </c>
      <c r="J3187" s="5">
        <f>XLOOKUP(L3187, uom!C:C, uom!B:B, "Not Found")</f>
      </c>
      <c r="K3187" s="1" t="s">
        <v>5511</v>
      </c>
      <c r="L3187" s="5">
        <f>XLOOKUP(N3187, uom!C:C, uom!B:B, "Not Found")</f>
      </c>
      <c r="M3187" s="1" t="s">
        <v>5511</v>
      </c>
      <c r="N3187" s="8" t="s">
        <v>5512</v>
      </c>
      <c r="O3187" s="1" t="s">
        <v>5513</v>
      </c>
      <c r="P3187" s="5">
        <f>XLOOKUP(R3187, classification!C:C, classification!B:B, "Not Found")</f>
      </c>
      <c r="Q3187" s="1" t="s">
        <v>5514</v>
      </c>
      <c r="R3187" s="2"/>
      <c r="S3187" s="2"/>
      <c r="T3187" s="2"/>
      <c r="U3187" s="2"/>
    </row>
    <row x14ac:dyDescent="0.25" r="3188" customHeight="1" ht="17.25">
      <c r="A3188" s="7">
        <v>3187</v>
      </c>
      <c r="B3188" s="1" t="s">
        <v>8515</v>
      </c>
      <c r="C3188" s="5">
        <f>CONCATENATE("PD", TEXT(A3188, "1000000"))</f>
      </c>
      <c r="D3188" s="7">
        <v>76</v>
      </c>
      <c r="E3188" s="5">
        <f>XLOOKUP(G3188, item_category!C:C, item_category!B:B, "Not Found")</f>
      </c>
      <c r="F3188" s="1" t="s">
        <v>5632</v>
      </c>
      <c r="G3188" s="5">
        <f>XLOOKUP(I3188, drug!B:B, drug!A:A, "Not Found")</f>
      </c>
      <c r="H3188" s="1"/>
      <c r="I3188" s="7">
        <v>1</v>
      </c>
      <c r="J3188" s="5">
        <f>XLOOKUP(L3188, uom!C:C, uom!B:B, "Not Found")</f>
      </c>
      <c r="K3188" s="1" t="s">
        <v>5511</v>
      </c>
      <c r="L3188" s="5">
        <f>XLOOKUP(N3188, uom!C:C, uom!B:B, "Not Found")</f>
      </c>
      <c r="M3188" s="1" t="s">
        <v>5511</v>
      </c>
      <c r="N3188" s="8" t="s">
        <v>5512</v>
      </c>
      <c r="O3188" s="1" t="s">
        <v>5513</v>
      </c>
      <c r="P3188" s="5">
        <f>XLOOKUP(R3188, classification!C:C, classification!B:B, "Not Found")</f>
      </c>
      <c r="Q3188" s="1" t="s">
        <v>5514</v>
      </c>
      <c r="R3188" s="2"/>
      <c r="S3188" s="2"/>
      <c r="T3188" s="2"/>
      <c r="U3188" s="2"/>
    </row>
    <row x14ac:dyDescent="0.25" r="3189" customHeight="1" ht="17.25">
      <c r="A3189" s="7">
        <v>3188</v>
      </c>
      <c r="B3189" s="1" t="s">
        <v>3400</v>
      </c>
      <c r="C3189" s="5">
        <f>CONCATENATE("PD", TEXT(A3189, "1000000"))</f>
      </c>
      <c r="D3189" s="7">
        <v>76</v>
      </c>
      <c r="E3189" s="5">
        <f>XLOOKUP(G3189, item_category!C:C, item_category!B:B, "Not Found")</f>
      </c>
      <c r="F3189" s="1" t="s">
        <v>5632</v>
      </c>
      <c r="G3189" s="5">
        <f>XLOOKUP(I3189, drug!B:B, drug!A:A, "Not Found")</f>
      </c>
      <c r="H3189" s="1"/>
      <c r="I3189" s="7">
        <v>1</v>
      </c>
      <c r="J3189" s="5">
        <f>XLOOKUP(L3189, uom!C:C, uom!B:B, "Not Found")</f>
      </c>
      <c r="K3189" s="1" t="s">
        <v>5511</v>
      </c>
      <c r="L3189" s="5">
        <f>XLOOKUP(N3189, uom!C:C, uom!B:B, "Not Found")</f>
      </c>
      <c r="M3189" s="1" t="s">
        <v>5511</v>
      </c>
      <c r="N3189" s="8" t="s">
        <v>5512</v>
      </c>
      <c r="O3189" s="1" t="s">
        <v>5513</v>
      </c>
      <c r="P3189" s="5">
        <f>XLOOKUP(R3189, classification!C:C, classification!B:B, "Not Found")</f>
      </c>
      <c r="Q3189" s="1" t="s">
        <v>5514</v>
      </c>
      <c r="R3189" s="2"/>
      <c r="S3189" s="2"/>
      <c r="T3189" s="2"/>
      <c r="U3189" s="2"/>
    </row>
    <row x14ac:dyDescent="0.25" r="3190" customHeight="1" ht="17.25">
      <c r="A3190" s="7">
        <v>3189</v>
      </c>
      <c r="B3190" s="1" t="s">
        <v>8516</v>
      </c>
      <c r="C3190" s="5">
        <f>CONCATENATE("PD", TEXT(A3190, "1000000"))</f>
      </c>
      <c r="D3190" s="7">
        <v>76</v>
      </c>
      <c r="E3190" s="5">
        <f>XLOOKUP(G3190, item_category!C:C, item_category!B:B, "Not Found")</f>
      </c>
      <c r="F3190" s="1" t="s">
        <v>5632</v>
      </c>
      <c r="G3190" s="5">
        <f>XLOOKUP(I3190, drug!B:B, drug!A:A, "Not Found")</f>
      </c>
      <c r="H3190" s="1"/>
      <c r="I3190" s="7">
        <v>1</v>
      </c>
      <c r="J3190" s="5">
        <f>XLOOKUP(L3190, uom!C:C, uom!B:B, "Not Found")</f>
      </c>
      <c r="K3190" s="1" t="s">
        <v>5511</v>
      </c>
      <c r="L3190" s="5">
        <f>XLOOKUP(N3190, uom!C:C, uom!B:B, "Not Found")</f>
      </c>
      <c r="M3190" s="1" t="s">
        <v>5511</v>
      </c>
      <c r="N3190" s="8" t="s">
        <v>5512</v>
      </c>
      <c r="O3190" s="1" t="s">
        <v>5513</v>
      </c>
      <c r="P3190" s="5">
        <f>XLOOKUP(R3190, classification!C:C, classification!B:B, "Not Found")</f>
      </c>
      <c r="Q3190" s="1" t="s">
        <v>5514</v>
      </c>
      <c r="R3190" s="2"/>
      <c r="S3190" s="2"/>
      <c r="T3190" s="2"/>
      <c r="U3190" s="2"/>
    </row>
    <row x14ac:dyDescent="0.25" r="3191" customHeight="1" ht="17.25">
      <c r="A3191" s="7">
        <v>3190</v>
      </c>
      <c r="B3191" s="1" t="s">
        <v>8517</v>
      </c>
      <c r="C3191" s="5">
        <f>CONCATENATE("PD", TEXT(A3191, "1000000"))</f>
      </c>
      <c r="D3191" s="7">
        <v>76</v>
      </c>
      <c r="E3191" s="5">
        <f>XLOOKUP(G3191, item_category!C:C, item_category!B:B, "Not Found")</f>
      </c>
      <c r="F3191" s="1" t="s">
        <v>5632</v>
      </c>
      <c r="G3191" s="5">
        <f>XLOOKUP(I3191, drug!B:B, drug!A:A, "Not Found")</f>
      </c>
      <c r="H3191" s="1"/>
      <c r="I3191" s="7">
        <v>1</v>
      </c>
      <c r="J3191" s="5">
        <f>XLOOKUP(L3191, uom!C:C, uom!B:B, "Not Found")</f>
      </c>
      <c r="K3191" s="1" t="s">
        <v>5511</v>
      </c>
      <c r="L3191" s="5">
        <f>XLOOKUP(N3191, uom!C:C, uom!B:B, "Not Found")</f>
      </c>
      <c r="M3191" s="1" t="s">
        <v>5511</v>
      </c>
      <c r="N3191" s="8" t="s">
        <v>5512</v>
      </c>
      <c r="O3191" s="1" t="s">
        <v>5513</v>
      </c>
      <c r="P3191" s="5">
        <f>XLOOKUP(R3191, classification!C:C, classification!B:B, "Not Found")</f>
      </c>
      <c r="Q3191" s="1" t="s">
        <v>5514</v>
      </c>
      <c r="R3191" s="2"/>
      <c r="S3191" s="2"/>
      <c r="T3191" s="2"/>
      <c r="U3191" s="2"/>
    </row>
    <row x14ac:dyDescent="0.25" r="3192" customHeight="1" ht="17.25">
      <c r="A3192" s="7">
        <v>3191</v>
      </c>
      <c r="B3192" s="1" t="s">
        <v>8518</v>
      </c>
      <c r="C3192" s="5">
        <f>CONCATENATE("PD", TEXT(A3192, "1000000"))</f>
      </c>
      <c r="D3192" s="7">
        <v>76</v>
      </c>
      <c r="E3192" s="5">
        <f>XLOOKUP(G3192, item_category!C:C, item_category!B:B, "Not Found")</f>
      </c>
      <c r="F3192" s="1" t="s">
        <v>5632</v>
      </c>
      <c r="G3192" s="5">
        <f>XLOOKUP(I3192, drug!B:B, drug!A:A, "Not Found")</f>
      </c>
      <c r="H3192" s="1"/>
      <c r="I3192" s="7">
        <v>1</v>
      </c>
      <c r="J3192" s="5">
        <f>XLOOKUP(L3192, uom!C:C, uom!B:B, "Not Found")</f>
      </c>
      <c r="K3192" s="1" t="s">
        <v>5511</v>
      </c>
      <c r="L3192" s="5">
        <f>XLOOKUP(N3192, uom!C:C, uom!B:B, "Not Found")</f>
      </c>
      <c r="M3192" s="1" t="s">
        <v>5511</v>
      </c>
      <c r="N3192" s="8" t="s">
        <v>5512</v>
      </c>
      <c r="O3192" s="1" t="s">
        <v>5513</v>
      </c>
      <c r="P3192" s="5">
        <f>XLOOKUP(R3192, classification!C:C, classification!B:B, "Not Found")</f>
      </c>
      <c r="Q3192" s="1" t="s">
        <v>5514</v>
      </c>
      <c r="R3192" s="2"/>
      <c r="S3192" s="2"/>
      <c r="T3192" s="2"/>
      <c r="U3192" s="2"/>
    </row>
    <row x14ac:dyDescent="0.25" r="3193" customHeight="1" ht="17.25">
      <c r="A3193" s="7">
        <v>3192</v>
      </c>
      <c r="B3193" s="1" t="s">
        <v>8519</v>
      </c>
      <c r="C3193" s="5">
        <f>CONCATENATE("PD", TEXT(A3193, "1000000"))</f>
      </c>
      <c r="D3193" s="7">
        <v>76</v>
      </c>
      <c r="E3193" s="5">
        <f>XLOOKUP(G3193, item_category!C:C, item_category!B:B, "Not Found")</f>
      </c>
      <c r="F3193" s="1" t="s">
        <v>5632</v>
      </c>
      <c r="G3193" s="5">
        <f>XLOOKUP(I3193, drug!B:B, drug!A:A, "Not Found")</f>
      </c>
      <c r="H3193" s="1"/>
      <c r="I3193" s="7">
        <v>1</v>
      </c>
      <c r="J3193" s="5">
        <f>XLOOKUP(L3193, uom!C:C, uom!B:B, "Not Found")</f>
      </c>
      <c r="K3193" s="1" t="s">
        <v>5511</v>
      </c>
      <c r="L3193" s="5">
        <f>XLOOKUP(N3193, uom!C:C, uom!B:B, "Not Found")</f>
      </c>
      <c r="M3193" s="1" t="s">
        <v>5511</v>
      </c>
      <c r="N3193" s="8" t="s">
        <v>5512</v>
      </c>
      <c r="O3193" s="1" t="s">
        <v>5513</v>
      </c>
      <c r="P3193" s="5">
        <f>XLOOKUP(R3193, classification!C:C, classification!B:B, "Not Found")</f>
      </c>
      <c r="Q3193" s="1" t="s">
        <v>5514</v>
      </c>
      <c r="R3193" s="2"/>
      <c r="S3193" s="2"/>
      <c r="T3193" s="2"/>
      <c r="U3193" s="2"/>
    </row>
    <row x14ac:dyDescent="0.25" r="3194" customHeight="1" ht="17.25">
      <c r="A3194" s="7">
        <v>3193</v>
      </c>
      <c r="B3194" s="1" t="s">
        <v>8520</v>
      </c>
      <c r="C3194" s="5">
        <f>CONCATENATE("PD", TEXT(A3194, "1000000"))</f>
      </c>
      <c r="D3194" s="7">
        <v>76</v>
      </c>
      <c r="E3194" s="5">
        <f>XLOOKUP(G3194, item_category!C:C, item_category!B:B, "Not Found")</f>
      </c>
      <c r="F3194" s="1" t="s">
        <v>5632</v>
      </c>
      <c r="G3194" s="5">
        <f>XLOOKUP(I3194, drug!B:B, drug!A:A, "Not Found")</f>
      </c>
      <c r="H3194" s="1"/>
      <c r="I3194" s="7">
        <v>1</v>
      </c>
      <c r="J3194" s="5">
        <f>XLOOKUP(L3194, uom!C:C, uom!B:B, "Not Found")</f>
      </c>
      <c r="K3194" s="1" t="s">
        <v>5511</v>
      </c>
      <c r="L3194" s="5">
        <f>XLOOKUP(N3194, uom!C:C, uom!B:B, "Not Found")</f>
      </c>
      <c r="M3194" s="1" t="s">
        <v>5511</v>
      </c>
      <c r="N3194" s="8" t="s">
        <v>5512</v>
      </c>
      <c r="O3194" s="1" t="s">
        <v>5513</v>
      </c>
      <c r="P3194" s="5">
        <f>XLOOKUP(R3194, classification!C:C, classification!B:B, "Not Found")</f>
      </c>
      <c r="Q3194" s="1" t="s">
        <v>5514</v>
      </c>
      <c r="R3194" s="2"/>
      <c r="S3194" s="2"/>
      <c r="T3194" s="2"/>
      <c r="U3194" s="2"/>
    </row>
    <row x14ac:dyDescent="0.25" r="3195" customHeight="1" ht="17.25">
      <c r="A3195" s="7">
        <v>3194</v>
      </c>
      <c r="B3195" s="1" t="s">
        <v>8521</v>
      </c>
      <c r="C3195" s="5">
        <f>CONCATENATE("PD", TEXT(A3195, "1000000"))</f>
      </c>
      <c r="D3195" s="7">
        <v>76</v>
      </c>
      <c r="E3195" s="5">
        <f>XLOOKUP(G3195, item_category!C:C, item_category!B:B, "Not Found")</f>
      </c>
      <c r="F3195" s="1" t="s">
        <v>5632</v>
      </c>
      <c r="G3195" s="5">
        <f>XLOOKUP(I3195, drug!B:B, drug!A:A, "Not Found")</f>
      </c>
      <c r="H3195" s="1" t="s">
        <v>1942</v>
      </c>
      <c r="I3195" s="7">
        <v>1</v>
      </c>
      <c r="J3195" s="5">
        <f>XLOOKUP(L3195, uom!C:C, uom!B:B, "Not Found")</f>
      </c>
      <c r="K3195" s="1" t="s">
        <v>5511</v>
      </c>
      <c r="L3195" s="5">
        <f>XLOOKUP(N3195, uom!C:C, uom!B:B, "Not Found")</f>
      </c>
      <c r="M3195" s="1" t="s">
        <v>5511</v>
      </c>
      <c r="N3195" s="8" t="s">
        <v>5512</v>
      </c>
      <c r="O3195" s="1" t="s">
        <v>5513</v>
      </c>
      <c r="P3195" s="5">
        <f>XLOOKUP(R3195, classification!C:C, classification!B:B, "Not Found")</f>
      </c>
      <c r="Q3195" s="1" t="s">
        <v>5514</v>
      </c>
      <c r="R3195" s="2"/>
      <c r="S3195" s="2"/>
      <c r="T3195" s="2"/>
      <c r="U3195" s="2"/>
    </row>
    <row x14ac:dyDescent="0.25" r="3196" customHeight="1" ht="17.25">
      <c r="A3196" s="7">
        <v>3195</v>
      </c>
      <c r="B3196" s="1" t="s">
        <v>8522</v>
      </c>
      <c r="C3196" s="5">
        <f>CONCATENATE("PD", TEXT(A3196, "1000000"))</f>
      </c>
      <c r="D3196" s="7">
        <v>76</v>
      </c>
      <c r="E3196" s="5">
        <f>XLOOKUP(G3196, item_category!C:C, item_category!B:B, "Not Found")</f>
      </c>
      <c r="F3196" s="1" t="s">
        <v>5632</v>
      </c>
      <c r="G3196" s="5">
        <f>XLOOKUP(I3196, drug!B:B, drug!A:A, "Not Found")</f>
      </c>
      <c r="H3196" s="1"/>
      <c r="I3196" s="7">
        <v>1</v>
      </c>
      <c r="J3196" s="5">
        <f>XLOOKUP(L3196, uom!C:C, uom!B:B, "Not Found")</f>
      </c>
      <c r="K3196" s="1" t="s">
        <v>5511</v>
      </c>
      <c r="L3196" s="5">
        <f>XLOOKUP(N3196, uom!C:C, uom!B:B, "Not Found")</f>
      </c>
      <c r="M3196" s="1" t="s">
        <v>5511</v>
      </c>
      <c r="N3196" s="8" t="s">
        <v>5512</v>
      </c>
      <c r="O3196" s="1" t="s">
        <v>5513</v>
      </c>
      <c r="P3196" s="5">
        <f>XLOOKUP(R3196, classification!C:C, classification!B:B, "Not Found")</f>
      </c>
      <c r="Q3196" s="1" t="s">
        <v>5514</v>
      </c>
      <c r="R3196" s="2"/>
      <c r="S3196" s="2"/>
      <c r="T3196" s="2"/>
      <c r="U3196" s="2"/>
    </row>
    <row x14ac:dyDescent="0.25" r="3197" customHeight="1" ht="17.25">
      <c r="A3197" s="7">
        <v>3196</v>
      </c>
      <c r="B3197" s="1" t="s">
        <v>8523</v>
      </c>
      <c r="C3197" s="5">
        <f>CONCATENATE("PD", TEXT(A3197, "1000000"))</f>
      </c>
      <c r="D3197" s="7">
        <v>76</v>
      </c>
      <c r="E3197" s="5">
        <f>XLOOKUP(G3197, item_category!C:C, item_category!B:B, "Not Found")</f>
      </c>
      <c r="F3197" s="1" t="s">
        <v>5632</v>
      </c>
      <c r="G3197" s="5">
        <f>XLOOKUP(I3197, drug!B:B, drug!A:A, "Not Found")</f>
      </c>
      <c r="H3197" s="1"/>
      <c r="I3197" s="7">
        <v>1</v>
      </c>
      <c r="J3197" s="5">
        <f>XLOOKUP(L3197, uom!C:C, uom!B:B, "Not Found")</f>
      </c>
      <c r="K3197" s="1" t="s">
        <v>5511</v>
      </c>
      <c r="L3197" s="5">
        <f>XLOOKUP(N3197, uom!C:C, uom!B:B, "Not Found")</f>
      </c>
      <c r="M3197" s="1" t="s">
        <v>5511</v>
      </c>
      <c r="N3197" s="8" t="s">
        <v>5512</v>
      </c>
      <c r="O3197" s="1" t="s">
        <v>5513</v>
      </c>
      <c r="P3197" s="5">
        <f>XLOOKUP(R3197, classification!C:C, classification!B:B, "Not Found")</f>
      </c>
      <c r="Q3197" s="1" t="s">
        <v>5514</v>
      </c>
      <c r="R3197" s="2"/>
      <c r="S3197" s="2"/>
      <c r="T3197" s="2"/>
      <c r="U3197" s="2"/>
    </row>
    <row x14ac:dyDescent="0.25" r="3198" customHeight="1" ht="17.25">
      <c r="A3198" s="7">
        <v>3197</v>
      </c>
      <c r="B3198" s="1" t="s">
        <v>8524</v>
      </c>
      <c r="C3198" s="5">
        <f>CONCATENATE("PD", TEXT(A3198, "1000000"))</f>
      </c>
      <c r="D3198" s="7">
        <v>76</v>
      </c>
      <c r="E3198" s="5">
        <f>XLOOKUP(G3198, item_category!C:C, item_category!B:B, "Not Found")</f>
      </c>
      <c r="F3198" s="1" t="s">
        <v>5632</v>
      </c>
      <c r="G3198" s="5">
        <f>XLOOKUP(I3198, drug!B:B, drug!A:A, "Not Found")</f>
      </c>
      <c r="H3198" s="1"/>
      <c r="I3198" s="7">
        <v>1</v>
      </c>
      <c r="J3198" s="5">
        <f>XLOOKUP(L3198, uom!C:C, uom!B:B, "Not Found")</f>
      </c>
      <c r="K3198" s="1" t="s">
        <v>5511</v>
      </c>
      <c r="L3198" s="5">
        <f>XLOOKUP(N3198, uom!C:C, uom!B:B, "Not Found")</f>
      </c>
      <c r="M3198" s="1" t="s">
        <v>5511</v>
      </c>
      <c r="N3198" s="8" t="s">
        <v>5512</v>
      </c>
      <c r="O3198" s="1" t="s">
        <v>5513</v>
      </c>
      <c r="P3198" s="5">
        <f>XLOOKUP(R3198, classification!C:C, classification!B:B, "Not Found")</f>
      </c>
      <c r="Q3198" s="1" t="s">
        <v>5514</v>
      </c>
      <c r="R3198" s="2"/>
      <c r="S3198" s="2"/>
      <c r="T3198" s="2"/>
      <c r="U3198" s="2"/>
    </row>
    <row x14ac:dyDescent="0.25" r="3199" customHeight="1" ht="17.25">
      <c r="A3199" s="7">
        <v>3198</v>
      </c>
      <c r="B3199" s="1" t="s">
        <v>8525</v>
      </c>
      <c r="C3199" s="5">
        <f>CONCATENATE("PD", TEXT(A3199, "1000000"))</f>
      </c>
      <c r="D3199" s="7">
        <v>76</v>
      </c>
      <c r="E3199" s="5">
        <f>XLOOKUP(G3199, item_category!C:C, item_category!B:B, "Not Found")</f>
      </c>
      <c r="F3199" s="1" t="s">
        <v>5632</v>
      </c>
      <c r="G3199" s="5">
        <f>XLOOKUP(I3199, drug!B:B, drug!A:A, "Not Found")</f>
      </c>
      <c r="H3199" s="1"/>
      <c r="I3199" s="7">
        <v>1</v>
      </c>
      <c r="J3199" s="5">
        <f>XLOOKUP(L3199, uom!C:C, uom!B:B, "Not Found")</f>
      </c>
      <c r="K3199" s="1" t="s">
        <v>5511</v>
      </c>
      <c r="L3199" s="5">
        <f>XLOOKUP(N3199, uom!C:C, uom!B:B, "Not Found")</f>
      </c>
      <c r="M3199" s="1" t="s">
        <v>5511</v>
      </c>
      <c r="N3199" s="8" t="s">
        <v>5512</v>
      </c>
      <c r="O3199" s="1" t="s">
        <v>5513</v>
      </c>
      <c r="P3199" s="5">
        <f>XLOOKUP(R3199, classification!C:C, classification!B:B, "Not Found")</f>
      </c>
      <c r="Q3199" s="1" t="s">
        <v>5514</v>
      </c>
      <c r="R3199" s="2"/>
      <c r="S3199" s="2"/>
      <c r="T3199" s="2"/>
      <c r="U3199" s="2"/>
    </row>
    <row x14ac:dyDescent="0.25" r="3200" customHeight="1" ht="17.25">
      <c r="A3200" s="7">
        <v>3199</v>
      </c>
      <c r="B3200" s="1" t="s">
        <v>8526</v>
      </c>
      <c r="C3200" s="5">
        <f>CONCATENATE("PD", TEXT(A3200, "1000000"))</f>
      </c>
      <c r="D3200" s="7">
        <v>76</v>
      </c>
      <c r="E3200" s="5">
        <f>XLOOKUP(G3200, item_category!C:C, item_category!B:B, "Not Found")</f>
      </c>
      <c r="F3200" s="1" t="s">
        <v>5632</v>
      </c>
      <c r="G3200" s="5">
        <f>XLOOKUP(I3200, drug!B:B, drug!A:A, "Not Found")</f>
      </c>
      <c r="H3200" s="1"/>
      <c r="I3200" s="7">
        <v>1</v>
      </c>
      <c r="J3200" s="5">
        <f>XLOOKUP(L3200, uom!C:C, uom!B:B, "Not Found")</f>
      </c>
      <c r="K3200" s="1" t="s">
        <v>5511</v>
      </c>
      <c r="L3200" s="5">
        <f>XLOOKUP(N3200, uom!C:C, uom!B:B, "Not Found")</f>
      </c>
      <c r="M3200" s="1" t="s">
        <v>5511</v>
      </c>
      <c r="N3200" s="8" t="s">
        <v>5512</v>
      </c>
      <c r="O3200" s="1" t="s">
        <v>5513</v>
      </c>
      <c r="P3200" s="5">
        <f>XLOOKUP(R3200, classification!C:C, classification!B:B, "Not Found")</f>
      </c>
      <c r="Q3200" s="1" t="s">
        <v>5514</v>
      </c>
      <c r="R3200" s="2"/>
      <c r="S3200" s="2"/>
      <c r="T3200" s="2"/>
      <c r="U3200" s="2"/>
    </row>
    <row x14ac:dyDescent="0.25" r="3201" customHeight="1" ht="17.25">
      <c r="A3201" s="7">
        <v>3200</v>
      </c>
      <c r="B3201" s="1" t="s">
        <v>8527</v>
      </c>
      <c r="C3201" s="5">
        <f>CONCATENATE("PD", TEXT(A3201, "1000000"))</f>
      </c>
      <c r="D3201" s="7">
        <v>76</v>
      </c>
      <c r="E3201" s="5">
        <f>XLOOKUP(G3201, item_category!C:C, item_category!B:B, "Not Found")</f>
      </c>
      <c r="F3201" s="1" t="s">
        <v>5632</v>
      </c>
      <c r="G3201" s="5">
        <f>XLOOKUP(I3201, drug!B:B, drug!A:A, "Not Found")</f>
      </c>
      <c r="H3201" s="1" t="s">
        <v>1942</v>
      </c>
      <c r="I3201" s="7">
        <v>1</v>
      </c>
      <c r="J3201" s="5">
        <f>XLOOKUP(L3201, uom!C:C, uom!B:B, "Not Found")</f>
      </c>
      <c r="K3201" s="1" t="s">
        <v>5511</v>
      </c>
      <c r="L3201" s="5">
        <f>XLOOKUP(N3201, uom!C:C, uom!B:B, "Not Found")</f>
      </c>
      <c r="M3201" s="1" t="s">
        <v>5511</v>
      </c>
      <c r="N3201" s="8" t="s">
        <v>5512</v>
      </c>
      <c r="O3201" s="1" t="s">
        <v>5513</v>
      </c>
      <c r="P3201" s="5">
        <f>XLOOKUP(R3201, classification!C:C, classification!B:B, "Not Found")</f>
      </c>
      <c r="Q3201" s="1" t="s">
        <v>5514</v>
      </c>
      <c r="R3201" s="2"/>
      <c r="S3201" s="2"/>
      <c r="T3201" s="2"/>
      <c r="U3201" s="2"/>
    </row>
    <row x14ac:dyDescent="0.25" r="3202" customHeight="1" ht="17.25">
      <c r="A3202" s="7">
        <v>3201</v>
      </c>
      <c r="B3202" s="1" t="s">
        <v>8528</v>
      </c>
      <c r="C3202" s="5">
        <f>CONCATENATE("PD", TEXT(A3202, "1000000"))</f>
      </c>
      <c r="D3202" s="7">
        <v>76</v>
      </c>
      <c r="E3202" s="5">
        <f>XLOOKUP(G3202, item_category!C:C, item_category!B:B, "Not Found")</f>
      </c>
      <c r="F3202" s="1" t="s">
        <v>5632</v>
      </c>
      <c r="G3202" s="5">
        <f>XLOOKUP(I3202, drug!B:B, drug!A:A, "Not Found")</f>
      </c>
      <c r="H3202" s="1"/>
      <c r="I3202" s="7">
        <v>1</v>
      </c>
      <c r="J3202" s="5">
        <f>XLOOKUP(L3202, uom!C:C, uom!B:B, "Not Found")</f>
      </c>
      <c r="K3202" s="1" t="s">
        <v>5511</v>
      </c>
      <c r="L3202" s="5">
        <f>XLOOKUP(N3202, uom!C:C, uom!B:B, "Not Found")</f>
      </c>
      <c r="M3202" s="1" t="s">
        <v>5511</v>
      </c>
      <c r="N3202" s="8" t="s">
        <v>5512</v>
      </c>
      <c r="O3202" s="1" t="s">
        <v>5513</v>
      </c>
      <c r="P3202" s="5">
        <f>XLOOKUP(R3202, classification!C:C, classification!B:B, "Not Found")</f>
      </c>
      <c r="Q3202" s="1" t="s">
        <v>5514</v>
      </c>
      <c r="R3202" s="2"/>
      <c r="S3202" s="2"/>
      <c r="T3202" s="2"/>
      <c r="U3202" s="2"/>
    </row>
    <row x14ac:dyDescent="0.25" r="3203" customHeight="1" ht="17.25">
      <c r="A3203" s="7">
        <v>3202</v>
      </c>
      <c r="B3203" s="1" t="s">
        <v>8529</v>
      </c>
      <c r="C3203" s="5">
        <f>CONCATENATE("PD", TEXT(A3203, "1000000"))</f>
      </c>
      <c r="D3203" s="7">
        <v>76</v>
      </c>
      <c r="E3203" s="5">
        <f>XLOOKUP(G3203, item_category!C:C, item_category!B:B, "Not Found")</f>
      </c>
      <c r="F3203" s="1" t="s">
        <v>5632</v>
      </c>
      <c r="G3203" s="5">
        <f>XLOOKUP(I3203, drug!B:B, drug!A:A, "Not Found")</f>
      </c>
      <c r="H3203" s="1"/>
      <c r="I3203" s="7">
        <v>1</v>
      </c>
      <c r="J3203" s="5">
        <f>XLOOKUP(L3203, uom!C:C, uom!B:B, "Not Found")</f>
      </c>
      <c r="K3203" s="1" t="s">
        <v>5511</v>
      </c>
      <c r="L3203" s="5">
        <f>XLOOKUP(N3203, uom!C:C, uom!B:B, "Not Found")</f>
      </c>
      <c r="M3203" s="1" t="s">
        <v>5511</v>
      </c>
      <c r="N3203" s="8" t="s">
        <v>5512</v>
      </c>
      <c r="O3203" s="1" t="s">
        <v>5513</v>
      </c>
      <c r="P3203" s="5">
        <f>XLOOKUP(R3203, classification!C:C, classification!B:B, "Not Found")</f>
      </c>
      <c r="Q3203" s="1" t="s">
        <v>5514</v>
      </c>
      <c r="R3203" s="2"/>
      <c r="S3203" s="2"/>
      <c r="T3203" s="2"/>
      <c r="U3203" s="2"/>
    </row>
    <row x14ac:dyDescent="0.25" r="3204" customHeight="1" ht="17.25">
      <c r="A3204" s="7">
        <v>3203</v>
      </c>
      <c r="B3204" s="1" t="s">
        <v>8530</v>
      </c>
      <c r="C3204" s="5">
        <f>CONCATENATE("PD", TEXT(A3204, "1000000"))</f>
      </c>
      <c r="D3204" s="7">
        <v>76</v>
      </c>
      <c r="E3204" s="5">
        <f>XLOOKUP(G3204, item_category!C:C, item_category!B:B, "Not Found")</f>
      </c>
      <c r="F3204" s="1" t="s">
        <v>5632</v>
      </c>
      <c r="G3204" s="5">
        <f>XLOOKUP(I3204, drug!B:B, drug!A:A, "Not Found")</f>
      </c>
      <c r="H3204" s="1"/>
      <c r="I3204" s="7">
        <v>1</v>
      </c>
      <c r="J3204" s="5">
        <f>XLOOKUP(L3204, uom!C:C, uom!B:B, "Not Found")</f>
      </c>
      <c r="K3204" s="1" t="s">
        <v>5511</v>
      </c>
      <c r="L3204" s="5">
        <f>XLOOKUP(N3204, uom!C:C, uom!B:B, "Not Found")</f>
      </c>
      <c r="M3204" s="1" t="s">
        <v>5511</v>
      </c>
      <c r="N3204" s="8" t="s">
        <v>5512</v>
      </c>
      <c r="O3204" s="1" t="s">
        <v>5513</v>
      </c>
      <c r="P3204" s="5">
        <f>XLOOKUP(R3204, classification!C:C, classification!B:B, "Not Found")</f>
      </c>
      <c r="Q3204" s="1" t="s">
        <v>5514</v>
      </c>
      <c r="R3204" s="2"/>
      <c r="S3204" s="2"/>
      <c r="T3204" s="2"/>
      <c r="U3204" s="2"/>
    </row>
    <row x14ac:dyDescent="0.25" r="3205" customHeight="1" ht="17.25">
      <c r="A3205" s="7">
        <v>3204</v>
      </c>
      <c r="B3205" s="1" t="s">
        <v>8531</v>
      </c>
      <c r="C3205" s="5">
        <f>CONCATENATE("PD", TEXT(A3205, "1000000"))</f>
      </c>
      <c r="D3205" s="7">
        <v>76</v>
      </c>
      <c r="E3205" s="5">
        <f>XLOOKUP(G3205, item_category!C:C, item_category!B:B, "Not Found")</f>
      </c>
      <c r="F3205" s="1" t="s">
        <v>5632</v>
      </c>
      <c r="G3205" s="5">
        <f>XLOOKUP(I3205, drug!B:B, drug!A:A, "Not Found")</f>
      </c>
      <c r="H3205" s="1"/>
      <c r="I3205" s="7">
        <v>1</v>
      </c>
      <c r="J3205" s="5">
        <f>XLOOKUP(L3205, uom!C:C, uom!B:B, "Not Found")</f>
      </c>
      <c r="K3205" s="1" t="s">
        <v>5511</v>
      </c>
      <c r="L3205" s="5">
        <f>XLOOKUP(N3205, uom!C:C, uom!B:B, "Not Found")</f>
      </c>
      <c r="M3205" s="1" t="s">
        <v>5511</v>
      </c>
      <c r="N3205" s="8" t="s">
        <v>5512</v>
      </c>
      <c r="O3205" s="1" t="s">
        <v>5513</v>
      </c>
      <c r="P3205" s="5">
        <f>XLOOKUP(R3205, classification!C:C, classification!B:B, "Not Found")</f>
      </c>
      <c r="Q3205" s="1" t="s">
        <v>5514</v>
      </c>
      <c r="R3205" s="2"/>
      <c r="S3205" s="2"/>
      <c r="T3205" s="2"/>
      <c r="U3205" s="2"/>
    </row>
    <row x14ac:dyDescent="0.25" r="3206" customHeight="1" ht="17.25">
      <c r="A3206" s="7">
        <v>3205</v>
      </c>
      <c r="B3206" s="1" t="s">
        <v>8532</v>
      </c>
      <c r="C3206" s="5">
        <f>CONCATENATE("PD", TEXT(A3206, "1000000"))</f>
      </c>
      <c r="D3206" s="7">
        <v>76</v>
      </c>
      <c r="E3206" s="5">
        <f>XLOOKUP(G3206, item_category!C:C, item_category!B:B, "Not Found")</f>
      </c>
      <c r="F3206" s="1" t="s">
        <v>5632</v>
      </c>
      <c r="G3206" s="5">
        <f>XLOOKUP(I3206, drug!B:B, drug!A:A, "Not Found")</f>
      </c>
      <c r="H3206" s="1"/>
      <c r="I3206" s="7">
        <v>1</v>
      </c>
      <c r="J3206" s="5">
        <f>XLOOKUP(L3206, uom!C:C, uom!B:B, "Not Found")</f>
      </c>
      <c r="K3206" s="1" t="s">
        <v>5511</v>
      </c>
      <c r="L3206" s="5">
        <f>XLOOKUP(N3206, uom!C:C, uom!B:B, "Not Found")</f>
      </c>
      <c r="M3206" s="1" t="s">
        <v>5511</v>
      </c>
      <c r="N3206" s="8" t="s">
        <v>5512</v>
      </c>
      <c r="O3206" s="1" t="s">
        <v>5513</v>
      </c>
      <c r="P3206" s="5">
        <f>XLOOKUP(R3206, classification!C:C, classification!B:B, "Not Found")</f>
      </c>
      <c r="Q3206" s="1" t="s">
        <v>5514</v>
      </c>
      <c r="R3206" s="2"/>
      <c r="S3206" s="2"/>
      <c r="T3206" s="2"/>
      <c r="U3206" s="2"/>
    </row>
    <row x14ac:dyDescent="0.25" r="3207" customHeight="1" ht="17.25">
      <c r="A3207" s="7">
        <v>3206</v>
      </c>
      <c r="B3207" s="1" t="s">
        <v>8533</v>
      </c>
      <c r="C3207" s="5">
        <f>CONCATENATE("PD", TEXT(A3207, "1000000"))</f>
      </c>
      <c r="D3207" s="7">
        <v>76</v>
      </c>
      <c r="E3207" s="5">
        <f>XLOOKUP(G3207, item_category!C:C, item_category!B:B, "Not Found")</f>
      </c>
      <c r="F3207" s="1" t="s">
        <v>5632</v>
      </c>
      <c r="G3207" s="5">
        <f>XLOOKUP(I3207, drug!B:B, drug!A:A, "Not Found")</f>
      </c>
      <c r="H3207" s="1"/>
      <c r="I3207" s="7">
        <v>1</v>
      </c>
      <c r="J3207" s="5">
        <f>XLOOKUP(L3207, uom!C:C, uom!B:B, "Not Found")</f>
      </c>
      <c r="K3207" s="1" t="s">
        <v>5511</v>
      </c>
      <c r="L3207" s="5">
        <f>XLOOKUP(N3207, uom!C:C, uom!B:B, "Not Found")</f>
      </c>
      <c r="M3207" s="1" t="s">
        <v>5511</v>
      </c>
      <c r="N3207" s="8" t="s">
        <v>5512</v>
      </c>
      <c r="O3207" s="1" t="s">
        <v>5513</v>
      </c>
      <c r="P3207" s="5">
        <f>XLOOKUP(R3207, classification!C:C, classification!B:B, "Not Found")</f>
      </c>
      <c r="Q3207" s="1" t="s">
        <v>5514</v>
      </c>
      <c r="R3207" s="2"/>
      <c r="S3207" s="2"/>
      <c r="T3207" s="2"/>
      <c r="U3207" s="2"/>
    </row>
    <row x14ac:dyDescent="0.25" r="3208" customHeight="1" ht="17.25">
      <c r="A3208" s="7">
        <v>3207</v>
      </c>
      <c r="B3208" s="1" t="s">
        <v>8534</v>
      </c>
      <c r="C3208" s="5">
        <f>CONCATENATE("PD", TEXT(A3208, "1000000"))</f>
      </c>
      <c r="D3208" s="7">
        <v>76</v>
      </c>
      <c r="E3208" s="5">
        <f>XLOOKUP(G3208, item_category!C:C, item_category!B:B, "Not Found")</f>
      </c>
      <c r="F3208" s="1" t="s">
        <v>5632</v>
      </c>
      <c r="G3208" s="5">
        <f>XLOOKUP(I3208, drug!B:B, drug!A:A, "Not Found")</f>
      </c>
      <c r="H3208" s="1"/>
      <c r="I3208" s="7">
        <v>1</v>
      </c>
      <c r="J3208" s="5">
        <f>XLOOKUP(L3208, uom!C:C, uom!B:B, "Not Found")</f>
      </c>
      <c r="K3208" s="1" t="s">
        <v>5511</v>
      </c>
      <c r="L3208" s="5">
        <f>XLOOKUP(N3208, uom!C:C, uom!B:B, "Not Found")</f>
      </c>
      <c r="M3208" s="1" t="s">
        <v>5511</v>
      </c>
      <c r="N3208" s="8" t="s">
        <v>5512</v>
      </c>
      <c r="O3208" s="1" t="s">
        <v>5513</v>
      </c>
      <c r="P3208" s="5">
        <f>XLOOKUP(R3208, classification!C:C, classification!B:B, "Not Found")</f>
      </c>
      <c r="Q3208" s="1" t="s">
        <v>5514</v>
      </c>
      <c r="R3208" s="2"/>
      <c r="S3208" s="2"/>
      <c r="T3208" s="2"/>
      <c r="U3208" s="2"/>
    </row>
    <row x14ac:dyDescent="0.25" r="3209" customHeight="1" ht="17.25">
      <c r="A3209" s="7">
        <v>3208</v>
      </c>
      <c r="B3209" s="1" t="s">
        <v>8535</v>
      </c>
      <c r="C3209" s="5">
        <f>CONCATENATE("PD", TEXT(A3209, "1000000"))</f>
      </c>
      <c r="D3209" s="7">
        <v>76</v>
      </c>
      <c r="E3209" s="5">
        <f>XLOOKUP(G3209, item_category!C:C, item_category!B:B, "Not Found")</f>
      </c>
      <c r="F3209" s="1" t="s">
        <v>5632</v>
      </c>
      <c r="G3209" s="5">
        <f>XLOOKUP(I3209, drug!B:B, drug!A:A, "Not Found")</f>
      </c>
      <c r="H3209" s="1"/>
      <c r="I3209" s="7">
        <v>1</v>
      </c>
      <c r="J3209" s="5">
        <f>XLOOKUP(L3209, uom!C:C, uom!B:B, "Not Found")</f>
      </c>
      <c r="K3209" s="1" t="s">
        <v>5511</v>
      </c>
      <c r="L3209" s="5">
        <f>XLOOKUP(N3209, uom!C:C, uom!B:B, "Not Found")</f>
      </c>
      <c r="M3209" s="1" t="s">
        <v>5511</v>
      </c>
      <c r="N3209" s="8" t="s">
        <v>5512</v>
      </c>
      <c r="O3209" s="1" t="s">
        <v>5513</v>
      </c>
      <c r="P3209" s="5">
        <f>XLOOKUP(R3209, classification!C:C, classification!B:B, "Not Found")</f>
      </c>
      <c r="Q3209" s="1" t="s">
        <v>5514</v>
      </c>
      <c r="R3209" s="2"/>
      <c r="S3209" s="2"/>
      <c r="T3209" s="2"/>
      <c r="U3209" s="2"/>
    </row>
    <row x14ac:dyDescent="0.25" r="3210" customHeight="1" ht="17.25">
      <c r="A3210" s="7">
        <v>3209</v>
      </c>
      <c r="B3210" s="1" t="s">
        <v>8536</v>
      </c>
      <c r="C3210" s="5">
        <f>CONCATENATE("PD", TEXT(A3210, "1000000"))</f>
      </c>
      <c r="D3210" s="7">
        <v>76</v>
      </c>
      <c r="E3210" s="5">
        <f>XLOOKUP(G3210, item_category!C:C, item_category!B:B, "Not Found")</f>
      </c>
      <c r="F3210" s="1" t="s">
        <v>5632</v>
      </c>
      <c r="G3210" s="5">
        <f>XLOOKUP(I3210, drug!B:B, drug!A:A, "Not Found")</f>
      </c>
      <c r="H3210" s="1"/>
      <c r="I3210" s="7">
        <v>250</v>
      </c>
      <c r="J3210" s="5">
        <f>XLOOKUP(L3210, uom!C:C, uom!B:B, "Not Found")</f>
      </c>
      <c r="K3210" s="1" t="s">
        <v>5523</v>
      </c>
      <c r="L3210" s="5">
        <f>XLOOKUP(N3210, uom!C:C, uom!B:B, "Not Found")</f>
      </c>
      <c r="M3210" s="1" t="s">
        <v>5523</v>
      </c>
      <c r="N3210" s="8" t="s">
        <v>5524</v>
      </c>
      <c r="O3210" s="1" t="s">
        <v>5525</v>
      </c>
      <c r="P3210" s="5">
        <f>XLOOKUP(R3210, classification!C:C, classification!B:B, "Not Found")</f>
      </c>
      <c r="Q3210" s="1" t="s">
        <v>5514</v>
      </c>
      <c r="R3210" s="2"/>
      <c r="S3210" s="2"/>
      <c r="T3210" s="2"/>
      <c r="U3210" s="2"/>
    </row>
    <row x14ac:dyDescent="0.25" r="3211" customHeight="1" ht="17.25">
      <c r="A3211" s="7">
        <v>3210</v>
      </c>
      <c r="B3211" s="1" t="s">
        <v>8537</v>
      </c>
      <c r="C3211" s="5">
        <f>CONCATENATE("PD", TEXT(A3211, "1000000"))</f>
      </c>
      <c r="D3211" s="7">
        <v>76</v>
      </c>
      <c r="E3211" s="5">
        <f>XLOOKUP(G3211, item_category!C:C, item_category!B:B, "Not Found")</f>
      </c>
      <c r="F3211" s="1" t="s">
        <v>5632</v>
      </c>
      <c r="G3211" s="5">
        <f>XLOOKUP(I3211, drug!B:B, drug!A:A, "Not Found")</f>
      </c>
      <c r="H3211" s="1"/>
      <c r="I3211" s="7">
        <v>1</v>
      </c>
      <c r="J3211" s="5">
        <f>XLOOKUP(L3211, uom!C:C, uom!B:B, "Not Found")</f>
      </c>
      <c r="K3211" s="1" t="s">
        <v>5511</v>
      </c>
      <c r="L3211" s="5">
        <f>XLOOKUP(N3211, uom!C:C, uom!B:B, "Not Found")</f>
      </c>
      <c r="M3211" s="1" t="s">
        <v>5511</v>
      </c>
      <c r="N3211" s="8" t="s">
        <v>5512</v>
      </c>
      <c r="O3211" s="1" t="s">
        <v>5513</v>
      </c>
      <c r="P3211" s="5">
        <f>XLOOKUP(R3211, classification!C:C, classification!B:B, "Not Found")</f>
      </c>
      <c r="Q3211" s="1" t="s">
        <v>5514</v>
      </c>
      <c r="R3211" s="2"/>
      <c r="S3211" s="2"/>
      <c r="T3211" s="2"/>
      <c r="U3211" s="2"/>
    </row>
    <row x14ac:dyDescent="0.25" r="3212" customHeight="1" ht="17.25">
      <c r="A3212" s="7">
        <v>3211</v>
      </c>
      <c r="B3212" s="1" t="s">
        <v>8538</v>
      </c>
      <c r="C3212" s="5">
        <f>CONCATENATE("PD", TEXT(A3212, "1000000"))</f>
      </c>
      <c r="D3212" s="7">
        <v>76</v>
      </c>
      <c r="E3212" s="5">
        <f>XLOOKUP(G3212, item_category!C:C, item_category!B:B, "Not Found")</f>
      </c>
      <c r="F3212" s="1" t="s">
        <v>5632</v>
      </c>
      <c r="G3212" s="5">
        <f>XLOOKUP(I3212, drug!B:B, drug!A:A, "Not Found")</f>
      </c>
      <c r="H3212" s="1"/>
      <c r="I3212" s="7">
        <v>1</v>
      </c>
      <c r="J3212" s="5">
        <f>XLOOKUP(L3212, uom!C:C, uom!B:B, "Not Found")</f>
      </c>
      <c r="K3212" s="1" t="s">
        <v>5511</v>
      </c>
      <c r="L3212" s="5">
        <f>XLOOKUP(N3212, uom!C:C, uom!B:B, "Not Found")</f>
      </c>
      <c r="M3212" s="1" t="s">
        <v>5511</v>
      </c>
      <c r="N3212" s="8" t="s">
        <v>5512</v>
      </c>
      <c r="O3212" s="1" t="s">
        <v>5513</v>
      </c>
      <c r="P3212" s="5">
        <f>XLOOKUP(R3212, classification!C:C, classification!B:B, "Not Found")</f>
      </c>
      <c r="Q3212" s="1" t="s">
        <v>5514</v>
      </c>
      <c r="R3212" s="2"/>
      <c r="S3212" s="2"/>
      <c r="T3212" s="2"/>
      <c r="U3212" s="2"/>
    </row>
    <row x14ac:dyDescent="0.25" r="3213" customHeight="1" ht="17.25">
      <c r="A3213" s="7">
        <v>3212</v>
      </c>
      <c r="B3213" s="1" t="s">
        <v>8539</v>
      </c>
      <c r="C3213" s="5">
        <f>CONCATENATE("PD", TEXT(A3213, "1000000"))</f>
      </c>
      <c r="D3213" s="7">
        <v>76</v>
      </c>
      <c r="E3213" s="5">
        <f>XLOOKUP(G3213, item_category!C:C, item_category!B:B, "Not Found")</f>
      </c>
      <c r="F3213" s="1" t="s">
        <v>5632</v>
      </c>
      <c r="G3213" s="5">
        <f>XLOOKUP(I3213, drug!B:B, drug!A:A, "Not Found")</f>
      </c>
      <c r="H3213" s="1"/>
      <c r="I3213" s="7">
        <v>1</v>
      </c>
      <c r="J3213" s="5">
        <f>XLOOKUP(L3213, uom!C:C, uom!B:B, "Not Found")</f>
      </c>
      <c r="K3213" s="1" t="s">
        <v>5511</v>
      </c>
      <c r="L3213" s="5">
        <f>XLOOKUP(N3213, uom!C:C, uom!B:B, "Not Found")</f>
      </c>
      <c r="M3213" s="1" t="s">
        <v>5511</v>
      </c>
      <c r="N3213" s="8" t="s">
        <v>5512</v>
      </c>
      <c r="O3213" s="1" t="s">
        <v>5513</v>
      </c>
      <c r="P3213" s="5">
        <f>XLOOKUP(R3213, classification!C:C, classification!B:B, "Not Found")</f>
      </c>
      <c r="Q3213" s="1" t="s">
        <v>5514</v>
      </c>
      <c r="R3213" s="2"/>
      <c r="S3213" s="2"/>
      <c r="T3213" s="2"/>
      <c r="U3213" s="2"/>
    </row>
    <row x14ac:dyDescent="0.25" r="3214" customHeight="1" ht="17.25">
      <c r="A3214" s="7">
        <v>3213</v>
      </c>
      <c r="B3214" s="1" t="s">
        <v>8540</v>
      </c>
      <c r="C3214" s="5">
        <f>CONCATENATE("PD", TEXT(A3214, "1000000"))</f>
      </c>
      <c r="D3214" s="7">
        <v>76</v>
      </c>
      <c r="E3214" s="5">
        <f>XLOOKUP(G3214, item_category!C:C, item_category!B:B, "Not Found")</f>
      </c>
      <c r="F3214" s="1" t="s">
        <v>5632</v>
      </c>
      <c r="G3214" s="5">
        <f>XLOOKUP(I3214, drug!B:B, drug!A:A, "Not Found")</f>
      </c>
      <c r="H3214" s="1" t="s">
        <v>1942</v>
      </c>
      <c r="I3214" s="7">
        <v>1</v>
      </c>
      <c r="J3214" s="5">
        <f>XLOOKUP(L3214, uom!C:C, uom!B:B, "Not Found")</f>
      </c>
      <c r="K3214" s="1" t="s">
        <v>5511</v>
      </c>
      <c r="L3214" s="5">
        <f>XLOOKUP(N3214, uom!C:C, uom!B:B, "Not Found")</f>
      </c>
      <c r="M3214" s="1" t="s">
        <v>5511</v>
      </c>
      <c r="N3214" s="8" t="s">
        <v>5512</v>
      </c>
      <c r="O3214" s="1" t="s">
        <v>5513</v>
      </c>
      <c r="P3214" s="5">
        <f>XLOOKUP(R3214, classification!C:C, classification!B:B, "Not Found")</f>
      </c>
      <c r="Q3214" s="1" t="s">
        <v>5514</v>
      </c>
      <c r="R3214" s="2"/>
      <c r="S3214" s="2"/>
      <c r="T3214" s="2"/>
      <c r="U3214" s="2"/>
    </row>
    <row x14ac:dyDescent="0.25" r="3215" customHeight="1" ht="17.25">
      <c r="A3215" s="7">
        <v>3214</v>
      </c>
      <c r="B3215" s="1" t="s">
        <v>8541</v>
      </c>
      <c r="C3215" s="5">
        <f>CONCATENATE("PD", TEXT(A3215, "1000000"))</f>
      </c>
      <c r="D3215" s="7">
        <v>76</v>
      </c>
      <c r="E3215" s="5">
        <f>XLOOKUP(G3215, item_category!C:C, item_category!B:B, "Not Found")</f>
      </c>
      <c r="F3215" s="1" t="s">
        <v>5632</v>
      </c>
      <c r="G3215" s="5">
        <f>XLOOKUP(I3215, drug!B:B, drug!A:A, "Not Found")</f>
      </c>
      <c r="H3215" s="1"/>
      <c r="I3215" s="7">
        <v>1</v>
      </c>
      <c r="J3215" s="5">
        <f>XLOOKUP(L3215, uom!C:C, uom!B:B, "Not Found")</f>
      </c>
      <c r="K3215" s="1" t="s">
        <v>5511</v>
      </c>
      <c r="L3215" s="5">
        <f>XLOOKUP(N3215, uom!C:C, uom!B:B, "Not Found")</f>
      </c>
      <c r="M3215" s="1" t="s">
        <v>5511</v>
      </c>
      <c r="N3215" s="8" t="s">
        <v>5512</v>
      </c>
      <c r="O3215" s="1" t="s">
        <v>5513</v>
      </c>
      <c r="P3215" s="5">
        <f>XLOOKUP(R3215, classification!C:C, classification!B:B, "Not Found")</f>
      </c>
      <c r="Q3215" s="1" t="s">
        <v>5514</v>
      </c>
      <c r="R3215" s="2"/>
      <c r="S3215" s="2"/>
      <c r="T3215" s="2"/>
      <c r="U3215" s="2"/>
    </row>
    <row x14ac:dyDescent="0.25" r="3216" customHeight="1" ht="17.25">
      <c r="A3216" s="7">
        <v>3215</v>
      </c>
      <c r="B3216" s="1" t="s">
        <v>8542</v>
      </c>
      <c r="C3216" s="5">
        <f>CONCATENATE("PD", TEXT(A3216, "1000000"))</f>
      </c>
      <c r="D3216" s="7">
        <v>76</v>
      </c>
      <c r="E3216" s="5">
        <f>XLOOKUP(G3216, item_category!C:C, item_category!B:B, "Not Found")</f>
      </c>
      <c r="F3216" s="1" t="s">
        <v>5632</v>
      </c>
      <c r="G3216" s="5">
        <f>XLOOKUP(I3216, drug!B:B, drug!A:A, "Not Found")</f>
      </c>
      <c r="H3216" s="1"/>
      <c r="I3216" s="7">
        <v>1</v>
      </c>
      <c r="J3216" s="5">
        <f>XLOOKUP(L3216, uom!C:C, uom!B:B, "Not Found")</f>
      </c>
      <c r="K3216" s="1" t="s">
        <v>5511</v>
      </c>
      <c r="L3216" s="5">
        <f>XLOOKUP(N3216, uom!C:C, uom!B:B, "Not Found")</f>
      </c>
      <c r="M3216" s="1" t="s">
        <v>5511</v>
      </c>
      <c r="N3216" s="8" t="s">
        <v>5512</v>
      </c>
      <c r="O3216" s="1" t="s">
        <v>5513</v>
      </c>
      <c r="P3216" s="5">
        <f>XLOOKUP(R3216, classification!C:C, classification!B:B, "Not Found")</f>
      </c>
      <c r="Q3216" s="1" t="s">
        <v>5514</v>
      </c>
      <c r="R3216" s="2"/>
      <c r="S3216" s="2"/>
      <c r="T3216" s="2"/>
      <c r="U3216" s="2"/>
    </row>
    <row x14ac:dyDescent="0.25" r="3217" customHeight="1" ht="17.25">
      <c r="A3217" s="7">
        <v>3216</v>
      </c>
      <c r="B3217" s="1" t="s">
        <v>8543</v>
      </c>
      <c r="C3217" s="5">
        <f>CONCATENATE("PD", TEXT(A3217, "1000000"))</f>
      </c>
      <c r="D3217" s="7">
        <v>76</v>
      </c>
      <c r="E3217" s="5">
        <f>XLOOKUP(G3217, item_category!C:C, item_category!B:B, "Not Found")</f>
      </c>
      <c r="F3217" s="1" t="s">
        <v>5632</v>
      </c>
      <c r="G3217" s="5">
        <f>XLOOKUP(I3217, drug!B:B, drug!A:A, "Not Found")</f>
      </c>
      <c r="H3217" s="1"/>
      <c r="I3217" s="7">
        <v>1</v>
      </c>
      <c r="J3217" s="5">
        <f>XLOOKUP(L3217, uom!C:C, uom!B:B, "Not Found")</f>
      </c>
      <c r="K3217" s="1" t="s">
        <v>5511</v>
      </c>
      <c r="L3217" s="5">
        <f>XLOOKUP(N3217, uom!C:C, uom!B:B, "Not Found")</f>
      </c>
      <c r="M3217" s="1" t="s">
        <v>5511</v>
      </c>
      <c r="N3217" s="8" t="s">
        <v>5512</v>
      </c>
      <c r="O3217" s="1" t="s">
        <v>5513</v>
      </c>
      <c r="P3217" s="5">
        <f>XLOOKUP(R3217, classification!C:C, classification!B:B, "Not Found")</f>
      </c>
      <c r="Q3217" s="1" t="s">
        <v>5514</v>
      </c>
      <c r="R3217" s="2"/>
      <c r="S3217" s="2"/>
      <c r="T3217" s="2"/>
      <c r="U3217" s="2"/>
    </row>
    <row x14ac:dyDescent="0.25" r="3218" customHeight="1" ht="17.25">
      <c r="A3218" s="7">
        <v>3217</v>
      </c>
      <c r="B3218" s="1" t="s">
        <v>8544</v>
      </c>
      <c r="C3218" s="5">
        <f>CONCATENATE("PD", TEXT(A3218, "1000000"))</f>
      </c>
      <c r="D3218" s="7">
        <v>76</v>
      </c>
      <c r="E3218" s="5">
        <f>XLOOKUP(G3218, item_category!C:C, item_category!B:B, "Not Found")</f>
      </c>
      <c r="F3218" s="1" t="s">
        <v>5632</v>
      </c>
      <c r="G3218" s="5">
        <f>XLOOKUP(I3218, drug!B:B, drug!A:A, "Not Found")</f>
      </c>
      <c r="H3218" s="1"/>
      <c r="I3218" s="7">
        <v>1</v>
      </c>
      <c r="J3218" s="5">
        <f>XLOOKUP(L3218, uom!C:C, uom!B:B, "Not Found")</f>
      </c>
      <c r="K3218" s="1" t="s">
        <v>5511</v>
      </c>
      <c r="L3218" s="5">
        <f>XLOOKUP(N3218, uom!C:C, uom!B:B, "Not Found")</f>
      </c>
      <c r="M3218" s="1" t="s">
        <v>5511</v>
      </c>
      <c r="N3218" s="8" t="s">
        <v>5512</v>
      </c>
      <c r="O3218" s="1" t="s">
        <v>5513</v>
      </c>
      <c r="P3218" s="5">
        <f>XLOOKUP(R3218, classification!C:C, classification!B:B, "Not Found")</f>
      </c>
      <c r="Q3218" s="1" t="s">
        <v>5514</v>
      </c>
      <c r="R3218" s="2"/>
      <c r="S3218" s="2"/>
      <c r="T3218" s="2"/>
      <c r="U3218" s="2"/>
    </row>
    <row x14ac:dyDescent="0.25" r="3219" customHeight="1" ht="17.25">
      <c r="A3219" s="7">
        <v>3218</v>
      </c>
      <c r="B3219" s="1" t="s">
        <v>8545</v>
      </c>
      <c r="C3219" s="5">
        <f>CONCATENATE("PD", TEXT(A3219, "1000000"))</f>
      </c>
      <c r="D3219" s="7">
        <v>76</v>
      </c>
      <c r="E3219" s="5">
        <f>XLOOKUP(G3219, item_category!C:C, item_category!B:B, "Not Found")</f>
      </c>
      <c r="F3219" s="1" t="s">
        <v>5632</v>
      </c>
      <c r="G3219" s="5">
        <f>XLOOKUP(I3219, drug!B:B, drug!A:A, "Not Found")</f>
      </c>
      <c r="H3219" s="1" t="s">
        <v>1942</v>
      </c>
      <c r="I3219" s="7">
        <v>1</v>
      </c>
      <c r="J3219" s="5">
        <f>XLOOKUP(L3219, uom!C:C, uom!B:B, "Not Found")</f>
      </c>
      <c r="K3219" s="1" t="s">
        <v>5511</v>
      </c>
      <c r="L3219" s="5">
        <f>XLOOKUP(N3219, uom!C:C, uom!B:B, "Not Found")</f>
      </c>
      <c r="M3219" s="1" t="s">
        <v>5511</v>
      </c>
      <c r="N3219" s="8" t="s">
        <v>5512</v>
      </c>
      <c r="O3219" s="1" t="s">
        <v>5513</v>
      </c>
      <c r="P3219" s="5">
        <f>XLOOKUP(R3219, classification!C:C, classification!B:B, "Not Found")</f>
      </c>
      <c r="Q3219" s="1" t="s">
        <v>5514</v>
      </c>
      <c r="R3219" s="2"/>
      <c r="S3219" s="2"/>
      <c r="T3219" s="2"/>
      <c r="U3219" s="2"/>
    </row>
    <row x14ac:dyDescent="0.25" r="3220" customHeight="1" ht="17.25">
      <c r="A3220" s="7">
        <v>3219</v>
      </c>
      <c r="B3220" s="1" t="s">
        <v>8546</v>
      </c>
      <c r="C3220" s="5">
        <f>CONCATENATE("PD", TEXT(A3220, "1000000"))</f>
      </c>
      <c r="D3220" s="7">
        <v>76</v>
      </c>
      <c r="E3220" s="5">
        <f>XLOOKUP(G3220, item_category!C:C, item_category!B:B, "Not Found")</f>
      </c>
      <c r="F3220" s="1" t="s">
        <v>5632</v>
      </c>
      <c r="G3220" s="5">
        <f>XLOOKUP(I3220, drug!B:B, drug!A:A, "Not Found")</f>
      </c>
      <c r="H3220" s="1" t="s">
        <v>1942</v>
      </c>
      <c r="I3220" s="7">
        <v>1</v>
      </c>
      <c r="J3220" s="5">
        <f>XLOOKUP(L3220, uom!C:C, uom!B:B, "Not Found")</f>
      </c>
      <c r="K3220" s="1" t="s">
        <v>5511</v>
      </c>
      <c r="L3220" s="5">
        <f>XLOOKUP(N3220, uom!C:C, uom!B:B, "Not Found")</f>
      </c>
      <c r="M3220" s="1" t="s">
        <v>5511</v>
      </c>
      <c r="N3220" s="8" t="s">
        <v>5512</v>
      </c>
      <c r="O3220" s="1" t="s">
        <v>5513</v>
      </c>
      <c r="P3220" s="5">
        <f>XLOOKUP(R3220, classification!C:C, classification!B:B, "Not Found")</f>
      </c>
      <c r="Q3220" s="1" t="s">
        <v>5514</v>
      </c>
      <c r="R3220" s="2"/>
      <c r="S3220" s="2"/>
      <c r="T3220" s="2"/>
      <c r="U3220" s="2"/>
    </row>
    <row x14ac:dyDescent="0.25" r="3221" customHeight="1" ht="17.25">
      <c r="A3221" s="7">
        <v>3220</v>
      </c>
      <c r="B3221" s="1" t="s">
        <v>8547</v>
      </c>
      <c r="C3221" s="5">
        <f>CONCATENATE("PD", TEXT(A3221, "1000000"))</f>
      </c>
      <c r="D3221" s="7">
        <v>76</v>
      </c>
      <c r="E3221" s="5">
        <f>XLOOKUP(G3221, item_category!C:C, item_category!B:B, "Not Found")</f>
      </c>
      <c r="F3221" s="1" t="s">
        <v>5632</v>
      </c>
      <c r="G3221" s="5">
        <f>XLOOKUP(I3221, drug!B:B, drug!A:A, "Not Found")</f>
      </c>
      <c r="H3221" s="1" t="s">
        <v>1552</v>
      </c>
      <c r="I3221" s="7">
        <v>1</v>
      </c>
      <c r="J3221" s="5">
        <f>XLOOKUP(L3221, uom!C:C, uom!B:B, "Not Found")</f>
      </c>
      <c r="K3221" s="1" t="s">
        <v>5511</v>
      </c>
      <c r="L3221" s="5">
        <f>XLOOKUP(N3221, uom!C:C, uom!B:B, "Not Found")</f>
      </c>
      <c r="M3221" s="1" t="s">
        <v>5511</v>
      </c>
      <c r="N3221" s="8" t="s">
        <v>5512</v>
      </c>
      <c r="O3221" s="1" t="s">
        <v>5513</v>
      </c>
      <c r="P3221" s="5">
        <f>XLOOKUP(R3221, classification!C:C, classification!B:B, "Not Found")</f>
      </c>
      <c r="Q3221" s="1" t="s">
        <v>5514</v>
      </c>
      <c r="R3221" s="2"/>
      <c r="S3221" s="2"/>
      <c r="T3221" s="2"/>
      <c r="U3221" s="2"/>
    </row>
    <row x14ac:dyDescent="0.25" r="3222" customHeight="1" ht="17.25">
      <c r="A3222" s="7">
        <v>3221</v>
      </c>
      <c r="B3222" s="1" t="s">
        <v>8548</v>
      </c>
      <c r="C3222" s="5">
        <f>CONCATENATE("PD", TEXT(A3222, "1000000"))</f>
      </c>
      <c r="D3222" s="7">
        <v>76</v>
      </c>
      <c r="E3222" s="5">
        <f>XLOOKUP(G3222, item_category!C:C, item_category!B:B, "Not Found")</f>
      </c>
      <c r="F3222" s="1" t="s">
        <v>5632</v>
      </c>
      <c r="G3222" s="5">
        <f>XLOOKUP(I3222, drug!B:B, drug!A:A, "Not Found")</f>
      </c>
      <c r="H3222" s="1"/>
      <c r="I3222" s="7">
        <v>1</v>
      </c>
      <c r="J3222" s="5">
        <f>XLOOKUP(L3222, uom!C:C, uom!B:B, "Not Found")</f>
      </c>
      <c r="K3222" s="1" t="s">
        <v>5511</v>
      </c>
      <c r="L3222" s="5">
        <f>XLOOKUP(N3222, uom!C:C, uom!B:B, "Not Found")</f>
      </c>
      <c r="M3222" s="1" t="s">
        <v>5511</v>
      </c>
      <c r="N3222" s="8" t="s">
        <v>5512</v>
      </c>
      <c r="O3222" s="1" t="s">
        <v>5513</v>
      </c>
      <c r="P3222" s="5">
        <f>XLOOKUP(R3222, classification!C:C, classification!B:B, "Not Found")</f>
      </c>
      <c r="Q3222" s="1" t="s">
        <v>5514</v>
      </c>
      <c r="R3222" s="2"/>
      <c r="S3222" s="2"/>
      <c r="T3222" s="2"/>
      <c r="U3222" s="2"/>
    </row>
    <row x14ac:dyDescent="0.25" r="3223" customHeight="1" ht="17.25">
      <c r="A3223" s="7">
        <v>3222</v>
      </c>
      <c r="B3223" s="1" t="s">
        <v>8549</v>
      </c>
      <c r="C3223" s="5">
        <f>CONCATENATE("PD", TEXT(A3223, "1000000"))</f>
      </c>
      <c r="D3223" s="7">
        <v>76</v>
      </c>
      <c r="E3223" s="5">
        <f>XLOOKUP(G3223, item_category!C:C, item_category!B:B, "Not Found")</f>
      </c>
      <c r="F3223" s="1" t="s">
        <v>5632</v>
      </c>
      <c r="G3223" s="5">
        <f>XLOOKUP(I3223, drug!B:B, drug!A:A, "Not Found")</f>
      </c>
      <c r="H3223" s="1"/>
      <c r="I3223" s="7">
        <v>1</v>
      </c>
      <c r="J3223" s="5">
        <f>XLOOKUP(L3223, uom!C:C, uom!B:B, "Not Found")</f>
      </c>
      <c r="K3223" s="1" t="s">
        <v>5511</v>
      </c>
      <c r="L3223" s="5">
        <f>XLOOKUP(N3223, uom!C:C, uom!B:B, "Not Found")</f>
      </c>
      <c r="M3223" s="1" t="s">
        <v>5511</v>
      </c>
      <c r="N3223" s="8" t="s">
        <v>5512</v>
      </c>
      <c r="O3223" s="1" t="s">
        <v>5513</v>
      </c>
      <c r="P3223" s="5">
        <f>XLOOKUP(R3223, classification!C:C, classification!B:B, "Not Found")</f>
      </c>
      <c r="Q3223" s="1" t="s">
        <v>5514</v>
      </c>
      <c r="R3223" s="2"/>
      <c r="S3223" s="2"/>
      <c r="T3223" s="2"/>
      <c r="U3223" s="2"/>
    </row>
    <row x14ac:dyDescent="0.25" r="3224" customHeight="1" ht="17.25">
      <c r="A3224" s="7">
        <v>3223</v>
      </c>
      <c r="B3224" s="1" t="s">
        <v>8550</v>
      </c>
      <c r="C3224" s="5">
        <f>CONCATENATE("PD", TEXT(A3224, "1000000"))</f>
      </c>
      <c r="D3224" s="7">
        <v>76</v>
      </c>
      <c r="E3224" s="5">
        <f>XLOOKUP(G3224, item_category!C:C, item_category!B:B, "Not Found")</f>
      </c>
      <c r="F3224" s="1" t="s">
        <v>5632</v>
      </c>
      <c r="G3224" s="5">
        <f>XLOOKUP(I3224, drug!B:B, drug!A:A, "Not Found")</f>
      </c>
      <c r="H3224" s="1"/>
      <c r="I3224" s="7">
        <v>1</v>
      </c>
      <c r="J3224" s="5">
        <f>XLOOKUP(L3224, uom!C:C, uom!B:B, "Not Found")</f>
      </c>
      <c r="K3224" s="1" t="s">
        <v>5511</v>
      </c>
      <c r="L3224" s="5">
        <f>XLOOKUP(N3224, uom!C:C, uom!B:B, "Not Found")</f>
      </c>
      <c r="M3224" s="1" t="s">
        <v>5511</v>
      </c>
      <c r="N3224" s="8" t="s">
        <v>5512</v>
      </c>
      <c r="O3224" s="1" t="s">
        <v>5513</v>
      </c>
      <c r="P3224" s="5">
        <f>XLOOKUP(R3224, classification!C:C, classification!B:B, "Not Found")</f>
      </c>
      <c r="Q3224" s="1" t="s">
        <v>5514</v>
      </c>
      <c r="R3224" s="2"/>
      <c r="S3224" s="2"/>
      <c r="T3224" s="2"/>
      <c r="U3224" s="2"/>
    </row>
    <row x14ac:dyDescent="0.25" r="3225" customHeight="1" ht="17.25">
      <c r="A3225" s="7">
        <v>3224</v>
      </c>
      <c r="B3225" s="1" t="s">
        <v>8551</v>
      </c>
      <c r="C3225" s="5">
        <f>CONCATENATE("PD", TEXT(A3225, "1000000"))</f>
      </c>
      <c r="D3225" s="7">
        <v>76</v>
      </c>
      <c r="E3225" s="5">
        <f>XLOOKUP(G3225, item_category!C:C, item_category!B:B, "Not Found")</f>
      </c>
      <c r="F3225" s="1" t="s">
        <v>5632</v>
      </c>
      <c r="G3225" s="5">
        <f>XLOOKUP(I3225, drug!B:B, drug!A:A, "Not Found")</f>
      </c>
      <c r="H3225" s="1"/>
      <c r="I3225" s="7">
        <v>1</v>
      </c>
      <c r="J3225" s="5">
        <f>XLOOKUP(L3225, uom!C:C, uom!B:B, "Not Found")</f>
      </c>
      <c r="K3225" s="1" t="s">
        <v>5511</v>
      </c>
      <c r="L3225" s="5">
        <f>XLOOKUP(N3225, uom!C:C, uom!B:B, "Not Found")</f>
      </c>
      <c r="M3225" s="1" t="s">
        <v>5511</v>
      </c>
      <c r="N3225" s="8" t="s">
        <v>5512</v>
      </c>
      <c r="O3225" s="1" t="s">
        <v>5513</v>
      </c>
      <c r="P3225" s="5">
        <f>XLOOKUP(R3225, classification!C:C, classification!B:B, "Not Found")</f>
      </c>
      <c r="Q3225" s="1" t="s">
        <v>5514</v>
      </c>
      <c r="R3225" s="2"/>
      <c r="S3225" s="2"/>
      <c r="T3225" s="2"/>
      <c r="U3225" s="2"/>
    </row>
    <row x14ac:dyDescent="0.25" r="3226" customHeight="1" ht="17.25">
      <c r="A3226" s="7">
        <v>3225</v>
      </c>
      <c r="B3226" s="1" t="s">
        <v>8552</v>
      </c>
      <c r="C3226" s="5">
        <f>CONCATENATE("PD", TEXT(A3226, "1000000"))</f>
      </c>
      <c r="D3226" s="7">
        <v>76</v>
      </c>
      <c r="E3226" s="5">
        <f>XLOOKUP(G3226, item_category!C:C, item_category!B:B, "Not Found")</f>
      </c>
      <c r="F3226" s="1" t="s">
        <v>5632</v>
      </c>
      <c r="G3226" s="5">
        <f>XLOOKUP(I3226, drug!B:B, drug!A:A, "Not Found")</f>
      </c>
      <c r="H3226" s="1"/>
      <c r="I3226" s="7">
        <v>1</v>
      </c>
      <c r="J3226" s="5">
        <f>XLOOKUP(L3226, uom!C:C, uom!B:B, "Not Found")</f>
      </c>
      <c r="K3226" s="1" t="s">
        <v>5511</v>
      </c>
      <c r="L3226" s="5">
        <f>XLOOKUP(N3226, uom!C:C, uom!B:B, "Not Found")</f>
      </c>
      <c r="M3226" s="1" t="s">
        <v>5511</v>
      </c>
      <c r="N3226" s="8" t="s">
        <v>5512</v>
      </c>
      <c r="O3226" s="1" t="s">
        <v>5513</v>
      </c>
      <c r="P3226" s="5">
        <f>XLOOKUP(R3226, classification!C:C, classification!B:B, "Not Found")</f>
      </c>
      <c r="Q3226" s="1" t="s">
        <v>5514</v>
      </c>
      <c r="R3226" s="2"/>
      <c r="S3226" s="2"/>
      <c r="T3226" s="2"/>
      <c r="U3226" s="2"/>
    </row>
    <row x14ac:dyDescent="0.25" r="3227" customHeight="1" ht="17.25">
      <c r="A3227" s="7">
        <v>3226</v>
      </c>
      <c r="B3227" s="1" t="s">
        <v>8553</v>
      </c>
      <c r="C3227" s="5">
        <f>CONCATENATE("PD", TEXT(A3227, "1000000"))</f>
      </c>
      <c r="D3227" s="7">
        <v>76</v>
      </c>
      <c r="E3227" s="5">
        <f>XLOOKUP(G3227, item_category!C:C, item_category!B:B, "Not Found")</f>
      </c>
      <c r="F3227" s="1" t="s">
        <v>5632</v>
      </c>
      <c r="G3227" s="5">
        <f>XLOOKUP(I3227, drug!B:B, drug!A:A, "Not Found")</f>
      </c>
      <c r="H3227" s="1"/>
      <c r="I3227" s="7">
        <v>1</v>
      </c>
      <c r="J3227" s="5">
        <f>XLOOKUP(L3227, uom!C:C, uom!B:B, "Not Found")</f>
      </c>
      <c r="K3227" s="1" t="s">
        <v>5511</v>
      </c>
      <c r="L3227" s="5">
        <f>XLOOKUP(N3227, uom!C:C, uom!B:B, "Not Found")</f>
      </c>
      <c r="M3227" s="1" t="s">
        <v>5511</v>
      </c>
      <c r="N3227" s="8" t="s">
        <v>5512</v>
      </c>
      <c r="O3227" s="1" t="s">
        <v>5513</v>
      </c>
      <c r="P3227" s="5">
        <f>XLOOKUP(R3227, classification!C:C, classification!B:B, "Not Found")</f>
      </c>
      <c r="Q3227" s="1" t="s">
        <v>5514</v>
      </c>
      <c r="R3227" s="2"/>
      <c r="S3227" s="2"/>
      <c r="T3227" s="2"/>
      <c r="U3227" s="2"/>
    </row>
    <row x14ac:dyDescent="0.25" r="3228" customHeight="1" ht="17.25">
      <c r="A3228" s="7">
        <v>3227</v>
      </c>
      <c r="B3228" s="1" t="s">
        <v>8554</v>
      </c>
      <c r="C3228" s="5">
        <f>CONCATENATE("PD", TEXT(A3228, "1000000"))</f>
      </c>
      <c r="D3228" s="7">
        <v>76</v>
      </c>
      <c r="E3228" s="5">
        <f>XLOOKUP(G3228, item_category!C:C, item_category!B:B, "Not Found")</f>
      </c>
      <c r="F3228" s="1" t="s">
        <v>5632</v>
      </c>
      <c r="G3228" s="5">
        <f>XLOOKUP(I3228, drug!B:B, drug!A:A, "Not Found")</f>
      </c>
      <c r="H3228" s="1"/>
      <c r="I3228" s="7">
        <v>1</v>
      </c>
      <c r="J3228" s="5">
        <f>XLOOKUP(L3228, uom!C:C, uom!B:B, "Not Found")</f>
      </c>
      <c r="K3228" s="1" t="s">
        <v>5511</v>
      </c>
      <c r="L3228" s="5">
        <f>XLOOKUP(N3228, uom!C:C, uom!B:B, "Not Found")</f>
      </c>
      <c r="M3228" s="1" t="s">
        <v>5511</v>
      </c>
      <c r="N3228" s="8" t="s">
        <v>5512</v>
      </c>
      <c r="O3228" s="1" t="s">
        <v>5513</v>
      </c>
      <c r="P3228" s="5">
        <f>XLOOKUP(R3228, classification!C:C, classification!B:B, "Not Found")</f>
      </c>
      <c r="Q3228" s="1" t="s">
        <v>5514</v>
      </c>
      <c r="R3228" s="2"/>
      <c r="S3228" s="2"/>
      <c r="T3228" s="2"/>
      <c r="U3228" s="2"/>
    </row>
    <row x14ac:dyDescent="0.25" r="3229" customHeight="1" ht="17.25">
      <c r="A3229" s="7">
        <v>3228</v>
      </c>
      <c r="B3229" s="1" t="s">
        <v>8555</v>
      </c>
      <c r="C3229" s="5">
        <f>CONCATENATE("PD", TEXT(A3229, "1000000"))</f>
      </c>
      <c r="D3229" s="7">
        <v>76</v>
      </c>
      <c r="E3229" s="5">
        <f>XLOOKUP(G3229, item_category!C:C, item_category!B:B, "Not Found")</f>
      </c>
      <c r="F3229" s="1" t="s">
        <v>5632</v>
      </c>
      <c r="G3229" s="5">
        <f>XLOOKUP(I3229, drug!B:B, drug!A:A, "Not Found")</f>
      </c>
      <c r="H3229" s="1"/>
      <c r="I3229" s="7">
        <v>1</v>
      </c>
      <c r="J3229" s="5">
        <f>XLOOKUP(L3229, uom!C:C, uom!B:B, "Not Found")</f>
      </c>
      <c r="K3229" s="1" t="s">
        <v>5511</v>
      </c>
      <c r="L3229" s="5">
        <f>XLOOKUP(N3229, uom!C:C, uom!B:B, "Not Found")</f>
      </c>
      <c r="M3229" s="1" t="s">
        <v>5511</v>
      </c>
      <c r="N3229" s="8" t="s">
        <v>5512</v>
      </c>
      <c r="O3229" s="1" t="s">
        <v>5513</v>
      </c>
      <c r="P3229" s="5">
        <f>XLOOKUP(R3229, classification!C:C, classification!B:B, "Not Found")</f>
      </c>
      <c r="Q3229" s="1" t="s">
        <v>5514</v>
      </c>
      <c r="R3229" s="2"/>
      <c r="S3229" s="2"/>
      <c r="T3229" s="2"/>
      <c r="U3229" s="2"/>
    </row>
    <row x14ac:dyDescent="0.25" r="3230" customHeight="1" ht="17.25">
      <c r="A3230" s="7">
        <v>3229</v>
      </c>
      <c r="B3230" s="1" t="s">
        <v>8556</v>
      </c>
      <c r="C3230" s="5">
        <f>CONCATENATE("PD", TEXT(A3230, "1000000"))</f>
      </c>
      <c r="D3230" s="7">
        <v>76</v>
      </c>
      <c r="E3230" s="5">
        <f>XLOOKUP(G3230, item_category!C:C, item_category!B:B, "Not Found")</f>
      </c>
      <c r="F3230" s="1" t="s">
        <v>5632</v>
      </c>
      <c r="G3230" s="5">
        <f>XLOOKUP(I3230, drug!B:B, drug!A:A, "Not Found")</f>
      </c>
      <c r="H3230" s="1" t="s">
        <v>1552</v>
      </c>
      <c r="I3230" s="7">
        <v>1</v>
      </c>
      <c r="J3230" s="5">
        <f>XLOOKUP(L3230, uom!C:C, uom!B:B, "Not Found")</f>
      </c>
      <c r="K3230" s="1" t="s">
        <v>5511</v>
      </c>
      <c r="L3230" s="5">
        <f>XLOOKUP(N3230, uom!C:C, uom!B:B, "Not Found")</f>
      </c>
      <c r="M3230" s="1" t="s">
        <v>5511</v>
      </c>
      <c r="N3230" s="8" t="s">
        <v>5512</v>
      </c>
      <c r="O3230" s="1" t="s">
        <v>5513</v>
      </c>
      <c r="P3230" s="5">
        <f>XLOOKUP(R3230, classification!C:C, classification!B:B, "Not Found")</f>
      </c>
      <c r="Q3230" s="1" t="s">
        <v>5514</v>
      </c>
      <c r="R3230" s="2"/>
      <c r="S3230" s="2"/>
      <c r="T3230" s="2"/>
      <c r="U3230" s="2"/>
    </row>
    <row x14ac:dyDescent="0.25" r="3231" customHeight="1" ht="17.25">
      <c r="A3231" s="7">
        <v>3230</v>
      </c>
      <c r="B3231" s="1" t="s">
        <v>7811</v>
      </c>
      <c r="C3231" s="5">
        <f>CONCATENATE("PD", TEXT(A3231, "1000000"))</f>
      </c>
      <c r="D3231" s="7">
        <v>76</v>
      </c>
      <c r="E3231" s="5">
        <f>XLOOKUP(G3231, item_category!C:C, item_category!B:B, "Not Found")</f>
      </c>
      <c r="F3231" s="1" t="s">
        <v>5632</v>
      </c>
      <c r="G3231" s="5">
        <f>XLOOKUP(I3231, drug!B:B, drug!A:A, "Not Found")</f>
      </c>
      <c r="H3231" s="1"/>
      <c r="I3231" s="7">
        <v>1</v>
      </c>
      <c r="J3231" s="5">
        <f>XLOOKUP(L3231, uom!C:C, uom!B:B, "Not Found")</f>
      </c>
      <c r="K3231" s="1" t="s">
        <v>5511</v>
      </c>
      <c r="L3231" s="5">
        <f>XLOOKUP(N3231, uom!C:C, uom!B:B, "Not Found")</f>
      </c>
      <c r="M3231" s="1" t="s">
        <v>5511</v>
      </c>
      <c r="N3231" s="8" t="s">
        <v>5512</v>
      </c>
      <c r="O3231" s="1" t="s">
        <v>5513</v>
      </c>
      <c r="P3231" s="5">
        <f>XLOOKUP(R3231, classification!C:C, classification!B:B, "Not Found")</f>
      </c>
      <c r="Q3231" s="1" t="s">
        <v>5514</v>
      </c>
      <c r="R3231" s="2"/>
      <c r="S3231" s="2"/>
      <c r="T3231" s="2"/>
      <c r="U3231" s="2"/>
    </row>
    <row x14ac:dyDescent="0.25" r="3232" customHeight="1" ht="17.25">
      <c r="A3232" s="7">
        <v>3231</v>
      </c>
      <c r="B3232" s="1" t="s">
        <v>8557</v>
      </c>
      <c r="C3232" s="5">
        <f>CONCATENATE("PD", TEXT(A3232, "1000000"))</f>
      </c>
      <c r="D3232" s="7">
        <v>76</v>
      </c>
      <c r="E3232" s="5">
        <f>XLOOKUP(G3232, item_category!C:C, item_category!B:B, "Not Found")</f>
      </c>
      <c r="F3232" s="1" t="s">
        <v>5632</v>
      </c>
      <c r="G3232" s="5">
        <f>XLOOKUP(I3232, drug!B:B, drug!A:A, "Not Found")</f>
      </c>
      <c r="H3232" s="1" t="s">
        <v>1588</v>
      </c>
      <c r="I3232" s="7">
        <v>1</v>
      </c>
      <c r="J3232" s="5">
        <f>XLOOKUP(L3232, uom!C:C, uom!B:B, "Not Found")</f>
      </c>
      <c r="K3232" s="1" t="s">
        <v>5511</v>
      </c>
      <c r="L3232" s="5">
        <f>XLOOKUP(N3232, uom!C:C, uom!B:B, "Not Found")</f>
      </c>
      <c r="M3232" s="1" t="s">
        <v>5511</v>
      </c>
      <c r="N3232" s="8" t="s">
        <v>5512</v>
      </c>
      <c r="O3232" s="1" t="s">
        <v>5513</v>
      </c>
      <c r="P3232" s="5">
        <f>XLOOKUP(R3232, classification!C:C, classification!B:B, "Not Found")</f>
      </c>
      <c r="Q3232" s="1" t="s">
        <v>5514</v>
      </c>
      <c r="R3232" s="2"/>
      <c r="S3232" s="2"/>
      <c r="T3232" s="2"/>
      <c r="U3232" s="2"/>
    </row>
    <row x14ac:dyDescent="0.25" r="3233" customHeight="1" ht="17.25">
      <c r="A3233" s="7">
        <v>3232</v>
      </c>
      <c r="B3233" s="1" t="s">
        <v>8558</v>
      </c>
      <c r="C3233" s="5">
        <f>CONCATENATE("PD", TEXT(A3233, "1000000"))</f>
      </c>
      <c r="D3233" s="7">
        <v>76</v>
      </c>
      <c r="E3233" s="5">
        <f>XLOOKUP(G3233, item_category!C:C, item_category!B:B, "Not Found")</f>
      </c>
      <c r="F3233" s="1" t="s">
        <v>5632</v>
      </c>
      <c r="G3233" s="5">
        <f>XLOOKUP(I3233, drug!B:B, drug!A:A, "Not Found")</f>
      </c>
      <c r="H3233" s="1" t="s">
        <v>1552</v>
      </c>
      <c r="I3233" s="7">
        <v>1</v>
      </c>
      <c r="J3233" s="5">
        <f>XLOOKUP(L3233, uom!C:C, uom!B:B, "Not Found")</f>
      </c>
      <c r="K3233" s="1" t="s">
        <v>5511</v>
      </c>
      <c r="L3233" s="5">
        <f>XLOOKUP(N3233, uom!C:C, uom!B:B, "Not Found")</f>
      </c>
      <c r="M3233" s="1" t="s">
        <v>5511</v>
      </c>
      <c r="N3233" s="8" t="s">
        <v>5512</v>
      </c>
      <c r="O3233" s="1" t="s">
        <v>5513</v>
      </c>
      <c r="P3233" s="5">
        <f>XLOOKUP(R3233, classification!C:C, classification!B:B, "Not Found")</f>
      </c>
      <c r="Q3233" s="1" t="s">
        <v>5514</v>
      </c>
      <c r="R3233" s="2"/>
      <c r="S3233" s="2"/>
      <c r="T3233" s="2"/>
      <c r="U3233" s="2"/>
    </row>
    <row x14ac:dyDescent="0.25" r="3234" customHeight="1" ht="17.25">
      <c r="A3234" s="7">
        <v>3233</v>
      </c>
      <c r="B3234" s="1" t="s">
        <v>8559</v>
      </c>
      <c r="C3234" s="5">
        <f>CONCATENATE("PD", TEXT(A3234, "1000000"))</f>
      </c>
      <c r="D3234" s="7">
        <v>76</v>
      </c>
      <c r="E3234" s="5">
        <f>XLOOKUP(G3234, item_category!C:C, item_category!B:B, "Not Found")</f>
      </c>
      <c r="F3234" s="1" t="s">
        <v>5632</v>
      </c>
      <c r="G3234" s="5">
        <f>XLOOKUP(I3234, drug!B:B, drug!A:A, "Not Found")</f>
      </c>
      <c r="H3234" s="1" t="s">
        <v>1588</v>
      </c>
      <c r="I3234" s="7">
        <v>1</v>
      </c>
      <c r="J3234" s="5">
        <f>XLOOKUP(L3234, uom!C:C, uom!B:B, "Not Found")</f>
      </c>
      <c r="K3234" s="1" t="s">
        <v>5511</v>
      </c>
      <c r="L3234" s="5">
        <f>XLOOKUP(N3234, uom!C:C, uom!B:B, "Not Found")</f>
      </c>
      <c r="M3234" s="1" t="s">
        <v>5511</v>
      </c>
      <c r="N3234" s="8" t="s">
        <v>5512</v>
      </c>
      <c r="O3234" s="1" t="s">
        <v>5513</v>
      </c>
      <c r="P3234" s="5">
        <f>XLOOKUP(R3234, classification!C:C, classification!B:B, "Not Found")</f>
      </c>
      <c r="Q3234" s="1" t="s">
        <v>5514</v>
      </c>
      <c r="R3234" s="2"/>
      <c r="S3234" s="2"/>
      <c r="T3234" s="2"/>
      <c r="U3234" s="2"/>
    </row>
    <row x14ac:dyDescent="0.25" r="3235" customHeight="1" ht="17.25">
      <c r="A3235" s="7">
        <v>3234</v>
      </c>
      <c r="B3235" s="1" t="s">
        <v>8560</v>
      </c>
      <c r="C3235" s="5">
        <f>CONCATENATE("PD", TEXT(A3235, "1000000"))</f>
      </c>
      <c r="D3235" s="7">
        <v>76</v>
      </c>
      <c r="E3235" s="5">
        <f>XLOOKUP(G3235, item_category!C:C, item_category!B:B, "Not Found")</f>
      </c>
      <c r="F3235" s="1" t="s">
        <v>5632</v>
      </c>
      <c r="G3235" s="5">
        <f>XLOOKUP(I3235, drug!B:B, drug!A:A, "Not Found")</f>
      </c>
      <c r="H3235" s="1" t="s">
        <v>1552</v>
      </c>
      <c r="I3235" s="7">
        <v>1</v>
      </c>
      <c r="J3235" s="5">
        <f>XLOOKUP(L3235, uom!C:C, uom!B:B, "Not Found")</f>
      </c>
      <c r="K3235" s="1" t="s">
        <v>5511</v>
      </c>
      <c r="L3235" s="5">
        <f>XLOOKUP(N3235, uom!C:C, uom!B:B, "Not Found")</f>
      </c>
      <c r="M3235" s="1" t="s">
        <v>5511</v>
      </c>
      <c r="N3235" s="8" t="s">
        <v>5512</v>
      </c>
      <c r="O3235" s="1" t="s">
        <v>5513</v>
      </c>
      <c r="P3235" s="5">
        <f>XLOOKUP(R3235, classification!C:C, classification!B:B, "Not Found")</f>
      </c>
      <c r="Q3235" s="1" t="s">
        <v>5514</v>
      </c>
      <c r="R3235" s="2"/>
      <c r="S3235" s="2"/>
      <c r="T3235" s="2"/>
      <c r="U3235" s="2"/>
    </row>
    <row x14ac:dyDescent="0.25" r="3236" customHeight="1" ht="17.25">
      <c r="A3236" s="7">
        <v>3235</v>
      </c>
      <c r="B3236" s="1" t="s">
        <v>8561</v>
      </c>
      <c r="C3236" s="5">
        <f>CONCATENATE("PD", TEXT(A3236, "1000000"))</f>
      </c>
      <c r="D3236" s="7">
        <v>76</v>
      </c>
      <c r="E3236" s="5">
        <f>XLOOKUP(G3236, item_category!C:C, item_category!B:B, "Not Found")</f>
      </c>
      <c r="F3236" s="1" t="s">
        <v>5632</v>
      </c>
      <c r="G3236" s="5">
        <f>XLOOKUP(I3236, drug!B:B, drug!A:A, "Not Found")</f>
      </c>
      <c r="H3236" s="1"/>
      <c r="I3236" s="7">
        <v>1</v>
      </c>
      <c r="J3236" s="5">
        <f>XLOOKUP(L3236, uom!C:C, uom!B:B, "Not Found")</f>
      </c>
      <c r="K3236" s="1" t="s">
        <v>5511</v>
      </c>
      <c r="L3236" s="5">
        <f>XLOOKUP(N3236, uom!C:C, uom!B:B, "Not Found")</f>
      </c>
      <c r="M3236" s="1" t="s">
        <v>5511</v>
      </c>
      <c r="N3236" s="8" t="s">
        <v>5512</v>
      </c>
      <c r="O3236" s="1" t="s">
        <v>5513</v>
      </c>
      <c r="P3236" s="5">
        <f>XLOOKUP(R3236, classification!C:C, classification!B:B, "Not Found")</f>
      </c>
      <c r="Q3236" s="1" t="s">
        <v>5514</v>
      </c>
      <c r="R3236" s="2"/>
      <c r="S3236" s="2"/>
      <c r="T3236" s="2"/>
      <c r="U3236" s="2"/>
    </row>
    <row x14ac:dyDescent="0.25" r="3237" customHeight="1" ht="17.25">
      <c r="A3237" s="7">
        <v>3236</v>
      </c>
      <c r="B3237" s="1" t="s">
        <v>8562</v>
      </c>
      <c r="C3237" s="5">
        <f>CONCATENATE("PD", TEXT(A3237, "1000000"))</f>
      </c>
      <c r="D3237" s="7">
        <v>76</v>
      </c>
      <c r="E3237" s="5">
        <f>XLOOKUP(G3237, item_category!C:C, item_category!B:B, "Not Found")</f>
      </c>
      <c r="F3237" s="1" t="s">
        <v>5632</v>
      </c>
      <c r="G3237" s="5">
        <f>XLOOKUP(I3237, drug!B:B, drug!A:A, "Not Found")</f>
      </c>
      <c r="H3237" s="1"/>
      <c r="I3237" s="7">
        <v>1</v>
      </c>
      <c r="J3237" s="5">
        <f>XLOOKUP(L3237, uom!C:C, uom!B:B, "Not Found")</f>
      </c>
      <c r="K3237" s="1" t="s">
        <v>5511</v>
      </c>
      <c r="L3237" s="5">
        <f>XLOOKUP(N3237, uom!C:C, uom!B:B, "Not Found")</f>
      </c>
      <c r="M3237" s="1" t="s">
        <v>5511</v>
      </c>
      <c r="N3237" s="8" t="s">
        <v>5512</v>
      </c>
      <c r="O3237" s="1" t="s">
        <v>5513</v>
      </c>
      <c r="P3237" s="5">
        <f>XLOOKUP(R3237, classification!C:C, classification!B:B, "Not Found")</f>
      </c>
      <c r="Q3237" s="1" t="s">
        <v>5514</v>
      </c>
      <c r="R3237" s="2"/>
      <c r="S3237" s="2"/>
      <c r="T3237" s="2"/>
      <c r="U3237" s="2"/>
    </row>
    <row x14ac:dyDescent="0.25" r="3238" customHeight="1" ht="17.25">
      <c r="A3238" s="7">
        <v>3237</v>
      </c>
      <c r="B3238" s="1" t="s">
        <v>8563</v>
      </c>
      <c r="C3238" s="5">
        <f>CONCATENATE("PD", TEXT(A3238, "1000000"))</f>
      </c>
      <c r="D3238" s="7">
        <v>76</v>
      </c>
      <c r="E3238" s="5">
        <f>XLOOKUP(G3238, item_category!C:C, item_category!B:B, "Not Found")</f>
      </c>
      <c r="F3238" s="1" t="s">
        <v>5632</v>
      </c>
      <c r="G3238" s="5">
        <f>XLOOKUP(I3238, drug!B:B, drug!A:A, "Not Found")</f>
      </c>
      <c r="H3238" s="1"/>
      <c r="I3238" s="7">
        <v>1</v>
      </c>
      <c r="J3238" s="5">
        <f>XLOOKUP(L3238, uom!C:C, uom!B:B, "Not Found")</f>
      </c>
      <c r="K3238" s="1" t="s">
        <v>5511</v>
      </c>
      <c r="L3238" s="5">
        <f>XLOOKUP(N3238, uom!C:C, uom!B:B, "Not Found")</f>
      </c>
      <c r="M3238" s="1" t="s">
        <v>5511</v>
      </c>
      <c r="N3238" s="8" t="s">
        <v>5512</v>
      </c>
      <c r="O3238" s="1" t="s">
        <v>5513</v>
      </c>
      <c r="P3238" s="5">
        <f>XLOOKUP(R3238, classification!C:C, classification!B:B, "Not Found")</f>
      </c>
      <c r="Q3238" s="1" t="s">
        <v>5514</v>
      </c>
      <c r="R3238" s="2"/>
      <c r="S3238" s="2"/>
      <c r="T3238" s="2"/>
      <c r="U3238" s="2"/>
    </row>
    <row x14ac:dyDescent="0.25" r="3239" customHeight="1" ht="17.25">
      <c r="A3239" s="7">
        <v>3238</v>
      </c>
      <c r="B3239" s="1" t="s">
        <v>8564</v>
      </c>
      <c r="C3239" s="5">
        <f>CONCATENATE("PD", TEXT(A3239, "1000000"))</f>
      </c>
      <c r="D3239" s="7">
        <v>76</v>
      </c>
      <c r="E3239" s="5">
        <f>XLOOKUP(G3239, item_category!C:C, item_category!B:B, "Not Found")</f>
      </c>
      <c r="F3239" s="1" t="s">
        <v>5632</v>
      </c>
      <c r="G3239" s="5">
        <f>XLOOKUP(I3239, drug!B:B, drug!A:A, "Not Found")</f>
      </c>
      <c r="H3239" s="1"/>
      <c r="I3239" s="7">
        <v>900</v>
      </c>
      <c r="J3239" s="5">
        <f>XLOOKUP(L3239, uom!C:C, uom!B:B, "Not Found")</f>
      </c>
      <c r="K3239" s="1" t="s">
        <v>7212</v>
      </c>
      <c r="L3239" s="5">
        <f>XLOOKUP(N3239, uom!C:C, uom!B:B, "Not Found")</f>
      </c>
      <c r="M3239" s="1" t="s">
        <v>7212</v>
      </c>
      <c r="N3239" s="8" t="s">
        <v>5512</v>
      </c>
      <c r="O3239" s="1" t="s">
        <v>5525</v>
      </c>
      <c r="P3239" s="5">
        <f>XLOOKUP(R3239, classification!C:C, classification!B:B, "Not Found")</f>
      </c>
      <c r="Q3239" s="1" t="s">
        <v>5514</v>
      </c>
      <c r="R3239" s="2"/>
      <c r="S3239" s="2"/>
      <c r="T3239" s="2"/>
      <c r="U3239" s="2"/>
    </row>
    <row x14ac:dyDescent="0.25" r="3240" customHeight="1" ht="17.25">
      <c r="A3240" s="7">
        <v>3239</v>
      </c>
      <c r="B3240" s="1" t="s">
        <v>8565</v>
      </c>
      <c r="C3240" s="5">
        <f>CONCATENATE("PD", TEXT(A3240, "1000000"))</f>
      </c>
      <c r="D3240" s="7">
        <v>76</v>
      </c>
      <c r="E3240" s="5">
        <f>XLOOKUP(G3240, item_category!C:C, item_category!B:B, "Not Found")</f>
      </c>
      <c r="F3240" s="1" t="s">
        <v>5632</v>
      </c>
      <c r="G3240" s="5">
        <f>XLOOKUP(I3240, drug!B:B, drug!A:A, "Not Found")</f>
      </c>
      <c r="H3240" s="1"/>
      <c r="I3240" s="7">
        <v>1</v>
      </c>
      <c r="J3240" s="5">
        <f>XLOOKUP(L3240, uom!C:C, uom!B:B, "Not Found")</f>
      </c>
      <c r="K3240" s="1" t="s">
        <v>5511</v>
      </c>
      <c r="L3240" s="5">
        <f>XLOOKUP(N3240, uom!C:C, uom!B:B, "Not Found")</f>
      </c>
      <c r="M3240" s="1" t="s">
        <v>5511</v>
      </c>
      <c r="N3240" s="8" t="s">
        <v>5512</v>
      </c>
      <c r="O3240" s="1" t="s">
        <v>5513</v>
      </c>
      <c r="P3240" s="5">
        <f>XLOOKUP(R3240, classification!C:C, classification!B:B, "Not Found")</f>
      </c>
      <c r="Q3240" s="1" t="s">
        <v>5514</v>
      </c>
      <c r="R3240" s="2"/>
      <c r="S3240" s="2"/>
      <c r="T3240" s="2"/>
      <c r="U3240" s="2"/>
    </row>
    <row x14ac:dyDescent="0.25" r="3241" customHeight="1" ht="17.25">
      <c r="A3241" s="7">
        <v>3240</v>
      </c>
      <c r="B3241" s="1" t="s">
        <v>8566</v>
      </c>
      <c r="C3241" s="5">
        <f>CONCATENATE("PD", TEXT(A3241, "1000000"))</f>
      </c>
      <c r="D3241" s="7">
        <v>76</v>
      </c>
      <c r="E3241" s="5">
        <f>XLOOKUP(G3241, item_category!C:C, item_category!B:B, "Not Found")</f>
      </c>
      <c r="F3241" s="1" t="s">
        <v>5632</v>
      </c>
      <c r="G3241" s="5">
        <f>XLOOKUP(I3241, drug!B:B, drug!A:A, "Not Found")</f>
      </c>
      <c r="H3241" s="1"/>
      <c r="I3241" s="7">
        <v>1</v>
      </c>
      <c r="J3241" s="5">
        <f>XLOOKUP(L3241, uom!C:C, uom!B:B, "Not Found")</f>
      </c>
      <c r="K3241" s="1" t="s">
        <v>5511</v>
      </c>
      <c r="L3241" s="5">
        <f>XLOOKUP(N3241, uom!C:C, uom!B:B, "Not Found")</f>
      </c>
      <c r="M3241" s="1" t="s">
        <v>5511</v>
      </c>
      <c r="N3241" s="8" t="s">
        <v>5512</v>
      </c>
      <c r="O3241" s="1" t="s">
        <v>5513</v>
      </c>
      <c r="P3241" s="5">
        <f>XLOOKUP(R3241, classification!C:C, classification!B:B, "Not Found")</f>
      </c>
      <c r="Q3241" s="1" t="s">
        <v>5514</v>
      </c>
      <c r="R3241" s="2"/>
      <c r="S3241" s="2"/>
      <c r="T3241" s="2"/>
      <c r="U3241" s="2"/>
    </row>
    <row x14ac:dyDescent="0.25" r="3242" customHeight="1" ht="17.25">
      <c r="A3242" s="7">
        <v>3241</v>
      </c>
      <c r="B3242" s="1" t="s">
        <v>8567</v>
      </c>
      <c r="C3242" s="5">
        <f>CONCATENATE("PD", TEXT(A3242, "1000000"))</f>
      </c>
      <c r="D3242" s="7">
        <v>76</v>
      </c>
      <c r="E3242" s="5">
        <f>XLOOKUP(G3242, item_category!C:C, item_category!B:B, "Not Found")</f>
      </c>
      <c r="F3242" s="1" t="s">
        <v>5632</v>
      </c>
      <c r="G3242" s="5">
        <f>XLOOKUP(I3242, drug!B:B, drug!A:A, "Not Found")</f>
      </c>
      <c r="H3242" s="1"/>
      <c r="I3242" s="7">
        <v>1</v>
      </c>
      <c r="J3242" s="5">
        <f>XLOOKUP(L3242, uom!C:C, uom!B:B, "Not Found")</f>
      </c>
      <c r="K3242" s="1" t="s">
        <v>5511</v>
      </c>
      <c r="L3242" s="5">
        <f>XLOOKUP(N3242, uom!C:C, uom!B:B, "Not Found")</f>
      </c>
      <c r="M3242" s="1" t="s">
        <v>5511</v>
      </c>
      <c r="N3242" s="8" t="s">
        <v>5512</v>
      </c>
      <c r="O3242" s="1" t="s">
        <v>5513</v>
      </c>
      <c r="P3242" s="5">
        <f>XLOOKUP(R3242, classification!C:C, classification!B:B, "Not Found")</f>
      </c>
      <c r="Q3242" s="1" t="s">
        <v>5514</v>
      </c>
      <c r="R3242" s="2"/>
      <c r="S3242" s="2"/>
      <c r="T3242" s="2"/>
      <c r="U3242" s="2"/>
    </row>
    <row x14ac:dyDescent="0.25" r="3243" customHeight="1" ht="17.25">
      <c r="A3243" s="7">
        <v>3242</v>
      </c>
      <c r="B3243" s="1" t="s">
        <v>8568</v>
      </c>
      <c r="C3243" s="5">
        <f>CONCATENATE("PD", TEXT(A3243, "1000000"))</f>
      </c>
      <c r="D3243" s="7">
        <v>76</v>
      </c>
      <c r="E3243" s="5">
        <f>XLOOKUP(G3243, item_category!C:C, item_category!B:B, "Not Found")</f>
      </c>
      <c r="F3243" s="1" t="s">
        <v>5632</v>
      </c>
      <c r="G3243" s="5">
        <f>XLOOKUP(I3243, drug!B:B, drug!A:A, "Not Found")</f>
      </c>
      <c r="H3243" s="1"/>
      <c r="I3243" s="7">
        <v>1</v>
      </c>
      <c r="J3243" s="5">
        <f>XLOOKUP(L3243, uom!C:C, uom!B:B, "Not Found")</f>
      </c>
      <c r="K3243" s="1" t="s">
        <v>5511</v>
      </c>
      <c r="L3243" s="5">
        <f>XLOOKUP(N3243, uom!C:C, uom!B:B, "Not Found")</f>
      </c>
      <c r="M3243" s="1" t="s">
        <v>5511</v>
      </c>
      <c r="N3243" s="8" t="s">
        <v>5512</v>
      </c>
      <c r="O3243" s="1" t="s">
        <v>5513</v>
      </c>
      <c r="P3243" s="5">
        <f>XLOOKUP(R3243, classification!C:C, classification!B:B, "Not Found")</f>
      </c>
      <c r="Q3243" s="1" t="s">
        <v>5514</v>
      </c>
      <c r="R3243" s="2"/>
      <c r="S3243" s="2"/>
      <c r="T3243" s="2"/>
      <c r="U3243" s="2"/>
    </row>
    <row x14ac:dyDescent="0.25" r="3244" customHeight="1" ht="17.25">
      <c r="A3244" s="7">
        <v>3243</v>
      </c>
      <c r="B3244" s="1" t="s">
        <v>3406</v>
      </c>
      <c r="C3244" s="5">
        <f>CONCATENATE("PD", TEXT(A3244, "1000000"))</f>
      </c>
      <c r="D3244" s="7">
        <v>76</v>
      </c>
      <c r="E3244" s="5">
        <f>XLOOKUP(G3244, item_category!C:C, item_category!B:B, "Not Found")</f>
      </c>
      <c r="F3244" s="1" t="s">
        <v>5632</v>
      </c>
      <c r="G3244" s="5">
        <f>XLOOKUP(I3244, drug!B:B, drug!A:A, "Not Found")</f>
      </c>
      <c r="H3244" s="1"/>
      <c r="I3244" s="7">
        <v>1</v>
      </c>
      <c r="J3244" s="5">
        <f>XLOOKUP(L3244, uom!C:C, uom!B:B, "Not Found")</f>
      </c>
      <c r="K3244" s="1" t="s">
        <v>5511</v>
      </c>
      <c r="L3244" s="5">
        <f>XLOOKUP(N3244, uom!C:C, uom!B:B, "Not Found")</f>
      </c>
      <c r="M3244" s="1" t="s">
        <v>5511</v>
      </c>
      <c r="N3244" s="8" t="s">
        <v>5512</v>
      </c>
      <c r="O3244" s="1" t="s">
        <v>5513</v>
      </c>
      <c r="P3244" s="5">
        <f>XLOOKUP(R3244, classification!C:C, classification!B:B, "Not Found")</f>
      </c>
      <c r="Q3244" s="1" t="s">
        <v>5514</v>
      </c>
      <c r="R3244" s="2"/>
      <c r="S3244" s="2"/>
      <c r="T3244" s="2"/>
      <c r="U3244" s="2"/>
    </row>
    <row x14ac:dyDescent="0.25" r="3245" customHeight="1" ht="17.25">
      <c r="A3245" s="7">
        <v>3244</v>
      </c>
      <c r="B3245" s="1" t="s">
        <v>8569</v>
      </c>
      <c r="C3245" s="5">
        <f>CONCATENATE("PD", TEXT(A3245, "1000000"))</f>
      </c>
      <c r="D3245" s="7">
        <v>76</v>
      </c>
      <c r="E3245" s="5">
        <f>XLOOKUP(G3245, item_category!C:C, item_category!B:B, "Not Found")</f>
      </c>
      <c r="F3245" s="1" t="s">
        <v>5632</v>
      </c>
      <c r="G3245" s="5">
        <f>XLOOKUP(I3245, drug!B:B, drug!A:A, "Not Found")</f>
      </c>
      <c r="H3245" s="1"/>
      <c r="I3245" s="7">
        <v>1</v>
      </c>
      <c r="J3245" s="5">
        <f>XLOOKUP(L3245, uom!C:C, uom!B:B, "Not Found")</f>
      </c>
      <c r="K3245" s="1" t="s">
        <v>5511</v>
      </c>
      <c r="L3245" s="5">
        <f>XLOOKUP(N3245, uom!C:C, uom!B:B, "Not Found")</f>
      </c>
      <c r="M3245" s="1" t="s">
        <v>5511</v>
      </c>
      <c r="N3245" s="8" t="s">
        <v>5512</v>
      </c>
      <c r="O3245" s="1" t="s">
        <v>5513</v>
      </c>
      <c r="P3245" s="5">
        <f>XLOOKUP(R3245, classification!C:C, classification!B:B, "Not Found")</f>
      </c>
      <c r="Q3245" s="1" t="s">
        <v>5514</v>
      </c>
      <c r="R3245" s="2"/>
      <c r="S3245" s="2"/>
      <c r="T3245" s="2"/>
      <c r="U3245" s="2"/>
    </row>
    <row x14ac:dyDescent="0.25" r="3246" customHeight="1" ht="17.25">
      <c r="A3246" s="7">
        <v>3245</v>
      </c>
      <c r="B3246" s="1" t="s">
        <v>8570</v>
      </c>
      <c r="C3246" s="5">
        <f>CONCATENATE("PD", TEXT(A3246, "1000000"))</f>
      </c>
      <c r="D3246" s="7">
        <v>76</v>
      </c>
      <c r="E3246" s="5">
        <f>XLOOKUP(G3246, item_category!C:C, item_category!B:B, "Not Found")</f>
      </c>
      <c r="F3246" s="1" t="s">
        <v>5632</v>
      </c>
      <c r="G3246" s="5">
        <f>XLOOKUP(I3246, drug!B:B, drug!A:A, "Not Found")</f>
      </c>
      <c r="H3246" s="1"/>
      <c r="I3246" s="7">
        <v>1</v>
      </c>
      <c r="J3246" s="5">
        <f>XLOOKUP(L3246, uom!C:C, uom!B:B, "Not Found")</f>
      </c>
      <c r="K3246" s="1" t="s">
        <v>5511</v>
      </c>
      <c r="L3246" s="5">
        <f>XLOOKUP(N3246, uom!C:C, uom!B:B, "Not Found")</f>
      </c>
      <c r="M3246" s="1" t="s">
        <v>5511</v>
      </c>
      <c r="N3246" s="8" t="s">
        <v>5512</v>
      </c>
      <c r="O3246" s="1" t="s">
        <v>5513</v>
      </c>
      <c r="P3246" s="5">
        <f>XLOOKUP(R3246, classification!C:C, classification!B:B, "Not Found")</f>
      </c>
      <c r="Q3246" s="1" t="s">
        <v>5514</v>
      </c>
      <c r="R3246" s="2"/>
      <c r="S3246" s="2"/>
      <c r="T3246" s="2"/>
      <c r="U3246" s="2"/>
    </row>
    <row x14ac:dyDescent="0.25" r="3247" customHeight="1" ht="17.25">
      <c r="A3247" s="7">
        <v>3246</v>
      </c>
      <c r="B3247" s="1" t="s">
        <v>3408</v>
      </c>
      <c r="C3247" s="5">
        <f>CONCATENATE("PD", TEXT(A3247, "1000000"))</f>
      </c>
      <c r="D3247" s="7">
        <v>76</v>
      </c>
      <c r="E3247" s="5">
        <f>XLOOKUP(G3247, item_category!C:C, item_category!B:B, "Not Found")</f>
      </c>
      <c r="F3247" s="1" t="s">
        <v>5632</v>
      </c>
      <c r="G3247" s="5">
        <f>XLOOKUP(I3247, drug!B:B, drug!A:A, "Not Found")</f>
      </c>
      <c r="H3247" s="1"/>
      <c r="I3247" s="7">
        <v>1</v>
      </c>
      <c r="J3247" s="5">
        <f>XLOOKUP(L3247, uom!C:C, uom!B:B, "Not Found")</f>
      </c>
      <c r="K3247" s="1" t="s">
        <v>5511</v>
      </c>
      <c r="L3247" s="5">
        <f>XLOOKUP(N3247, uom!C:C, uom!B:B, "Not Found")</f>
      </c>
      <c r="M3247" s="1" t="s">
        <v>5511</v>
      </c>
      <c r="N3247" s="8" t="s">
        <v>5512</v>
      </c>
      <c r="O3247" s="1" t="s">
        <v>5513</v>
      </c>
      <c r="P3247" s="5">
        <f>XLOOKUP(R3247, classification!C:C, classification!B:B, "Not Found")</f>
      </c>
      <c r="Q3247" s="1" t="s">
        <v>5514</v>
      </c>
      <c r="R3247" s="2"/>
      <c r="S3247" s="2"/>
      <c r="T3247" s="2"/>
      <c r="U3247" s="2"/>
    </row>
    <row x14ac:dyDescent="0.25" r="3248" customHeight="1" ht="17.25">
      <c r="A3248" s="7">
        <v>3247</v>
      </c>
      <c r="B3248" s="1" t="s">
        <v>8571</v>
      </c>
      <c r="C3248" s="5">
        <f>CONCATENATE("PD", TEXT(A3248, "1000000"))</f>
      </c>
      <c r="D3248" s="7">
        <v>76</v>
      </c>
      <c r="E3248" s="5">
        <f>XLOOKUP(G3248, item_category!C:C, item_category!B:B, "Not Found")</f>
      </c>
      <c r="F3248" s="1" t="s">
        <v>5632</v>
      </c>
      <c r="G3248" s="5">
        <f>XLOOKUP(I3248, drug!B:B, drug!A:A, "Not Found")</f>
      </c>
      <c r="H3248" s="1"/>
      <c r="I3248" s="7">
        <v>1</v>
      </c>
      <c r="J3248" s="5">
        <f>XLOOKUP(L3248, uom!C:C, uom!B:B, "Not Found")</f>
      </c>
      <c r="K3248" s="1" t="s">
        <v>5511</v>
      </c>
      <c r="L3248" s="5">
        <f>XLOOKUP(N3248, uom!C:C, uom!B:B, "Not Found")</f>
      </c>
      <c r="M3248" s="1" t="s">
        <v>5511</v>
      </c>
      <c r="N3248" s="8" t="s">
        <v>5512</v>
      </c>
      <c r="O3248" s="1" t="s">
        <v>5513</v>
      </c>
      <c r="P3248" s="5">
        <f>XLOOKUP(R3248, classification!C:C, classification!B:B, "Not Found")</f>
      </c>
      <c r="Q3248" s="1" t="s">
        <v>5514</v>
      </c>
      <c r="R3248" s="2"/>
      <c r="S3248" s="2"/>
      <c r="T3248" s="2"/>
      <c r="U3248" s="2"/>
    </row>
    <row x14ac:dyDescent="0.25" r="3249" customHeight="1" ht="17.25">
      <c r="A3249" s="7">
        <v>3248</v>
      </c>
      <c r="B3249" s="1" t="s">
        <v>8572</v>
      </c>
      <c r="C3249" s="5">
        <f>CONCATENATE("PD", TEXT(A3249, "1000000"))</f>
      </c>
      <c r="D3249" s="7">
        <v>76</v>
      </c>
      <c r="E3249" s="5">
        <f>XLOOKUP(G3249, item_category!C:C, item_category!B:B, "Not Found")</f>
      </c>
      <c r="F3249" s="1" t="s">
        <v>5632</v>
      </c>
      <c r="G3249" s="5">
        <f>XLOOKUP(I3249, drug!B:B, drug!A:A, "Not Found")</f>
      </c>
      <c r="H3249" s="1"/>
      <c r="I3249" s="7">
        <v>1</v>
      </c>
      <c r="J3249" s="5">
        <f>XLOOKUP(L3249, uom!C:C, uom!B:B, "Not Found")</f>
      </c>
      <c r="K3249" s="1" t="s">
        <v>5511</v>
      </c>
      <c r="L3249" s="5">
        <f>XLOOKUP(N3249, uom!C:C, uom!B:B, "Not Found")</f>
      </c>
      <c r="M3249" s="1" t="s">
        <v>5511</v>
      </c>
      <c r="N3249" s="8" t="s">
        <v>5512</v>
      </c>
      <c r="O3249" s="1" t="s">
        <v>5513</v>
      </c>
      <c r="P3249" s="5">
        <f>XLOOKUP(R3249, classification!C:C, classification!B:B, "Not Found")</f>
      </c>
      <c r="Q3249" s="1" t="s">
        <v>5514</v>
      </c>
      <c r="R3249" s="2"/>
      <c r="S3249" s="2"/>
      <c r="T3249" s="2"/>
      <c r="U3249" s="2"/>
    </row>
    <row x14ac:dyDescent="0.25" r="3250" customHeight="1" ht="17.25">
      <c r="A3250" s="7">
        <v>3249</v>
      </c>
      <c r="B3250" s="1" t="s">
        <v>8573</v>
      </c>
      <c r="C3250" s="5">
        <f>CONCATENATE("PD", TEXT(A3250, "1000000"))</f>
      </c>
      <c r="D3250" s="7">
        <v>76</v>
      </c>
      <c r="E3250" s="5">
        <f>XLOOKUP(G3250, item_category!C:C, item_category!B:B, "Not Found")</f>
      </c>
      <c r="F3250" s="1" t="s">
        <v>5632</v>
      </c>
      <c r="G3250" s="5">
        <f>XLOOKUP(I3250, drug!B:B, drug!A:A, "Not Found")</f>
      </c>
      <c r="H3250" s="1"/>
      <c r="I3250" s="7">
        <v>1</v>
      </c>
      <c r="J3250" s="5">
        <f>XLOOKUP(L3250, uom!C:C, uom!B:B, "Not Found")</f>
      </c>
      <c r="K3250" s="1" t="s">
        <v>5511</v>
      </c>
      <c r="L3250" s="5">
        <f>XLOOKUP(N3250, uom!C:C, uom!B:B, "Not Found")</f>
      </c>
      <c r="M3250" s="1" t="s">
        <v>5511</v>
      </c>
      <c r="N3250" s="8" t="s">
        <v>5512</v>
      </c>
      <c r="O3250" s="1" t="s">
        <v>5513</v>
      </c>
      <c r="P3250" s="5">
        <f>XLOOKUP(R3250, classification!C:C, classification!B:B, "Not Found")</f>
      </c>
      <c r="Q3250" s="1" t="s">
        <v>5514</v>
      </c>
      <c r="R3250" s="2"/>
      <c r="S3250" s="2"/>
      <c r="T3250" s="2"/>
      <c r="U3250" s="2"/>
    </row>
    <row x14ac:dyDescent="0.25" r="3251" customHeight="1" ht="17.25">
      <c r="A3251" s="7">
        <v>3250</v>
      </c>
      <c r="B3251" s="1" t="s">
        <v>8574</v>
      </c>
      <c r="C3251" s="5">
        <f>CONCATENATE("PD", TEXT(A3251, "1000000"))</f>
      </c>
      <c r="D3251" s="7">
        <v>76</v>
      </c>
      <c r="E3251" s="5">
        <f>XLOOKUP(G3251, item_category!C:C, item_category!B:B, "Not Found")</f>
      </c>
      <c r="F3251" s="1" t="s">
        <v>5632</v>
      </c>
      <c r="G3251" s="5">
        <f>XLOOKUP(I3251, drug!B:B, drug!A:A, "Not Found")</f>
      </c>
      <c r="H3251" s="1"/>
      <c r="I3251" s="7">
        <v>1</v>
      </c>
      <c r="J3251" s="5">
        <f>XLOOKUP(L3251, uom!C:C, uom!B:B, "Not Found")</f>
      </c>
      <c r="K3251" s="1" t="s">
        <v>5511</v>
      </c>
      <c r="L3251" s="5">
        <f>XLOOKUP(N3251, uom!C:C, uom!B:B, "Not Found")</f>
      </c>
      <c r="M3251" s="1" t="s">
        <v>5511</v>
      </c>
      <c r="N3251" s="8" t="s">
        <v>5512</v>
      </c>
      <c r="O3251" s="1" t="s">
        <v>5513</v>
      </c>
      <c r="P3251" s="5">
        <f>XLOOKUP(R3251, classification!C:C, classification!B:B, "Not Found")</f>
      </c>
      <c r="Q3251" s="1" t="s">
        <v>5514</v>
      </c>
      <c r="R3251" s="2"/>
      <c r="S3251" s="2"/>
      <c r="T3251" s="2"/>
      <c r="U3251" s="2"/>
    </row>
    <row x14ac:dyDescent="0.25" r="3252" customHeight="1" ht="17.25">
      <c r="A3252" s="7">
        <v>3251</v>
      </c>
      <c r="B3252" s="1" t="s">
        <v>8575</v>
      </c>
      <c r="C3252" s="5">
        <f>CONCATENATE("PD", TEXT(A3252, "1000000"))</f>
      </c>
      <c r="D3252" s="7">
        <v>76</v>
      </c>
      <c r="E3252" s="5">
        <f>XLOOKUP(G3252, item_category!C:C, item_category!B:B, "Not Found")</f>
      </c>
      <c r="F3252" s="1" t="s">
        <v>5632</v>
      </c>
      <c r="G3252" s="5">
        <f>XLOOKUP(I3252, drug!B:B, drug!A:A, "Not Found")</f>
      </c>
      <c r="H3252" s="1"/>
      <c r="I3252" s="7">
        <v>1</v>
      </c>
      <c r="J3252" s="5">
        <f>XLOOKUP(L3252, uom!C:C, uom!B:B, "Not Found")</f>
      </c>
      <c r="K3252" s="1" t="s">
        <v>5511</v>
      </c>
      <c r="L3252" s="5">
        <f>XLOOKUP(N3252, uom!C:C, uom!B:B, "Not Found")</f>
      </c>
      <c r="M3252" s="1" t="s">
        <v>5511</v>
      </c>
      <c r="N3252" s="8" t="s">
        <v>5512</v>
      </c>
      <c r="O3252" s="1" t="s">
        <v>5513</v>
      </c>
      <c r="P3252" s="5">
        <f>XLOOKUP(R3252, classification!C:C, classification!B:B, "Not Found")</f>
      </c>
      <c r="Q3252" s="1" t="s">
        <v>5514</v>
      </c>
      <c r="R3252" s="2"/>
      <c r="S3252" s="2"/>
      <c r="T3252" s="2"/>
      <c r="U3252" s="2"/>
    </row>
    <row x14ac:dyDescent="0.25" r="3253" customHeight="1" ht="17.25">
      <c r="A3253" s="7">
        <v>3252</v>
      </c>
      <c r="B3253" s="1" t="s">
        <v>7943</v>
      </c>
      <c r="C3253" s="5">
        <f>CONCATENATE("PD", TEXT(A3253, "1000000"))</f>
      </c>
      <c r="D3253" s="7">
        <v>76</v>
      </c>
      <c r="E3253" s="5">
        <f>XLOOKUP(G3253, item_category!C:C, item_category!B:B, "Not Found")</f>
      </c>
      <c r="F3253" s="1" t="s">
        <v>5632</v>
      </c>
      <c r="G3253" s="5">
        <f>XLOOKUP(I3253, drug!B:B, drug!A:A, "Not Found")</f>
      </c>
      <c r="H3253" s="1"/>
      <c r="I3253" s="7">
        <v>1</v>
      </c>
      <c r="J3253" s="5">
        <f>XLOOKUP(L3253, uom!C:C, uom!B:B, "Not Found")</f>
      </c>
      <c r="K3253" s="1" t="s">
        <v>5511</v>
      </c>
      <c r="L3253" s="5">
        <f>XLOOKUP(N3253, uom!C:C, uom!B:B, "Not Found")</f>
      </c>
      <c r="M3253" s="1" t="s">
        <v>5511</v>
      </c>
      <c r="N3253" s="8" t="s">
        <v>5512</v>
      </c>
      <c r="O3253" s="1" t="s">
        <v>5513</v>
      </c>
      <c r="P3253" s="5">
        <f>XLOOKUP(R3253, classification!C:C, classification!B:B, "Not Found")</f>
      </c>
      <c r="Q3253" s="1" t="s">
        <v>5514</v>
      </c>
      <c r="R3253" s="2"/>
      <c r="S3253" s="2"/>
      <c r="T3253" s="2"/>
      <c r="U3253" s="2"/>
    </row>
    <row x14ac:dyDescent="0.25" r="3254" customHeight="1" ht="17.25">
      <c r="A3254" s="7">
        <v>3253</v>
      </c>
      <c r="B3254" s="1" t="s">
        <v>8576</v>
      </c>
      <c r="C3254" s="5">
        <f>CONCATENATE("PD", TEXT(A3254, "1000000"))</f>
      </c>
      <c r="D3254" s="7">
        <v>76</v>
      </c>
      <c r="E3254" s="5">
        <f>XLOOKUP(G3254, item_category!C:C, item_category!B:B, "Not Found")</f>
      </c>
      <c r="F3254" s="1" t="s">
        <v>5632</v>
      </c>
      <c r="G3254" s="5">
        <f>XLOOKUP(I3254, drug!B:B, drug!A:A, "Not Found")</f>
      </c>
      <c r="H3254" s="1"/>
      <c r="I3254" s="7">
        <v>1</v>
      </c>
      <c r="J3254" s="5">
        <f>XLOOKUP(L3254, uom!C:C, uom!B:B, "Not Found")</f>
      </c>
      <c r="K3254" s="1" t="s">
        <v>5511</v>
      </c>
      <c r="L3254" s="5">
        <f>XLOOKUP(N3254, uom!C:C, uom!B:B, "Not Found")</f>
      </c>
      <c r="M3254" s="1" t="s">
        <v>5511</v>
      </c>
      <c r="N3254" s="8" t="s">
        <v>5512</v>
      </c>
      <c r="O3254" s="1" t="s">
        <v>5513</v>
      </c>
      <c r="P3254" s="5">
        <f>XLOOKUP(R3254, classification!C:C, classification!B:B, "Not Found")</f>
      </c>
      <c r="Q3254" s="1" t="s">
        <v>5514</v>
      </c>
      <c r="R3254" s="2"/>
      <c r="S3254" s="2"/>
      <c r="T3254" s="2"/>
      <c r="U3254" s="2"/>
    </row>
    <row x14ac:dyDescent="0.25" r="3255" customHeight="1" ht="17.25">
      <c r="A3255" s="7">
        <v>3254</v>
      </c>
      <c r="B3255" s="1" t="s">
        <v>8577</v>
      </c>
      <c r="C3255" s="5">
        <f>CONCATENATE("PD", TEXT(A3255, "1000000"))</f>
      </c>
      <c r="D3255" s="7">
        <v>76</v>
      </c>
      <c r="E3255" s="5">
        <f>XLOOKUP(G3255, item_category!C:C, item_category!B:B, "Not Found")</f>
      </c>
      <c r="F3255" s="1" t="s">
        <v>5632</v>
      </c>
      <c r="G3255" s="5">
        <f>XLOOKUP(I3255, drug!B:B, drug!A:A, "Not Found")</f>
      </c>
      <c r="H3255" s="1"/>
      <c r="I3255" s="7">
        <v>1</v>
      </c>
      <c r="J3255" s="5">
        <f>XLOOKUP(L3255, uom!C:C, uom!B:B, "Not Found")</f>
      </c>
      <c r="K3255" s="1" t="s">
        <v>5511</v>
      </c>
      <c r="L3255" s="5">
        <f>XLOOKUP(N3255, uom!C:C, uom!B:B, "Not Found")</f>
      </c>
      <c r="M3255" s="1" t="s">
        <v>5511</v>
      </c>
      <c r="N3255" s="8" t="s">
        <v>5512</v>
      </c>
      <c r="O3255" s="1" t="s">
        <v>5513</v>
      </c>
      <c r="P3255" s="5">
        <f>XLOOKUP(R3255, classification!C:C, classification!B:B, "Not Found")</f>
      </c>
      <c r="Q3255" s="1" t="s">
        <v>5514</v>
      </c>
      <c r="R3255" s="2"/>
      <c r="S3255" s="2"/>
      <c r="T3255" s="2"/>
      <c r="U3255" s="2"/>
    </row>
    <row x14ac:dyDescent="0.25" r="3256" customHeight="1" ht="17.25">
      <c r="A3256" s="7">
        <v>3255</v>
      </c>
      <c r="B3256" s="1" t="s">
        <v>8578</v>
      </c>
      <c r="C3256" s="5">
        <f>CONCATENATE("PD", TEXT(A3256, "1000000"))</f>
      </c>
      <c r="D3256" s="7">
        <v>76</v>
      </c>
      <c r="E3256" s="5">
        <f>XLOOKUP(G3256, item_category!C:C, item_category!B:B, "Not Found")</f>
      </c>
      <c r="F3256" s="1" t="s">
        <v>5632</v>
      </c>
      <c r="G3256" s="5">
        <f>XLOOKUP(I3256, drug!B:B, drug!A:A, "Not Found")</f>
      </c>
      <c r="H3256" s="1"/>
      <c r="I3256" s="7">
        <v>1</v>
      </c>
      <c r="J3256" s="5">
        <f>XLOOKUP(L3256, uom!C:C, uom!B:B, "Not Found")</f>
      </c>
      <c r="K3256" s="1" t="s">
        <v>5511</v>
      </c>
      <c r="L3256" s="5">
        <f>XLOOKUP(N3256, uom!C:C, uom!B:B, "Not Found")</f>
      </c>
      <c r="M3256" s="1" t="s">
        <v>5511</v>
      </c>
      <c r="N3256" s="8" t="s">
        <v>5512</v>
      </c>
      <c r="O3256" s="1" t="s">
        <v>5513</v>
      </c>
      <c r="P3256" s="5">
        <f>XLOOKUP(R3256, classification!C:C, classification!B:B, "Not Found")</f>
      </c>
      <c r="Q3256" s="1" t="s">
        <v>5514</v>
      </c>
      <c r="R3256" s="2"/>
      <c r="S3256" s="2"/>
      <c r="T3256" s="2"/>
      <c r="U3256" s="2"/>
    </row>
    <row x14ac:dyDescent="0.25" r="3257" customHeight="1" ht="17.25">
      <c r="A3257" s="7">
        <v>3256</v>
      </c>
      <c r="B3257" s="1" t="s">
        <v>8579</v>
      </c>
      <c r="C3257" s="5">
        <f>CONCATENATE("PD", TEXT(A3257, "1000000"))</f>
      </c>
      <c r="D3257" s="7">
        <v>76</v>
      </c>
      <c r="E3257" s="5">
        <f>XLOOKUP(G3257, item_category!C:C, item_category!B:B, "Not Found")</f>
      </c>
      <c r="F3257" s="1" t="s">
        <v>5632</v>
      </c>
      <c r="G3257" s="5">
        <f>XLOOKUP(I3257, drug!B:B, drug!A:A, "Not Found")</f>
      </c>
      <c r="H3257" s="1"/>
      <c r="I3257" s="7">
        <v>1</v>
      </c>
      <c r="J3257" s="5">
        <f>XLOOKUP(L3257, uom!C:C, uom!B:B, "Not Found")</f>
      </c>
      <c r="K3257" s="1" t="s">
        <v>5511</v>
      </c>
      <c r="L3257" s="5">
        <f>XLOOKUP(N3257, uom!C:C, uom!B:B, "Not Found")</f>
      </c>
      <c r="M3257" s="1" t="s">
        <v>5511</v>
      </c>
      <c r="N3257" s="8" t="s">
        <v>5512</v>
      </c>
      <c r="O3257" s="1" t="s">
        <v>5513</v>
      </c>
      <c r="P3257" s="5">
        <f>XLOOKUP(R3257, classification!C:C, classification!B:B, "Not Found")</f>
      </c>
      <c r="Q3257" s="1" t="s">
        <v>5514</v>
      </c>
      <c r="R3257" s="2"/>
      <c r="S3257" s="2"/>
      <c r="T3257" s="2"/>
      <c r="U3257" s="2"/>
    </row>
    <row x14ac:dyDescent="0.25" r="3258" customHeight="1" ht="17.25">
      <c r="A3258" s="7">
        <v>3257</v>
      </c>
      <c r="B3258" s="1" t="s">
        <v>8580</v>
      </c>
      <c r="C3258" s="5">
        <f>CONCATENATE("PD", TEXT(A3258, "1000000"))</f>
      </c>
      <c r="D3258" s="7">
        <v>76</v>
      </c>
      <c r="E3258" s="5">
        <f>XLOOKUP(G3258, item_category!C:C, item_category!B:B, "Not Found")</f>
      </c>
      <c r="F3258" s="1" t="s">
        <v>5632</v>
      </c>
      <c r="G3258" s="5">
        <f>XLOOKUP(I3258, drug!B:B, drug!A:A, "Not Found")</f>
      </c>
      <c r="H3258" s="1"/>
      <c r="I3258" s="7">
        <v>1</v>
      </c>
      <c r="J3258" s="5">
        <f>XLOOKUP(L3258, uom!C:C, uom!B:B, "Not Found")</f>
      </c>
      <c r="K3258" s="1" t="s">
        <v>5511</v>
      </c>
      <c r="L3258" s="5">
        <f>XLOOKUP(N3258, uom!C:C, uom!B:B, "Not Found")</f>
      </c>
      <c r="M3258" s="1" t="s">
        <v>5511</v>
      </c>
      <c r="N3258" s="8" t="s">
        <v>5512</v>
      </c>
      <c r="O3258" s="1" t="s">
        <v>5513</v>
      </c>
      <c r="P3258" s="5">
        <f>XLOOKUP(R3258, classification!C:C, classification!B:B, "Not Found")</f>
      </c>
      <c r="Q3258" s="1" t="s">
        <v>5514</v>
      </c>
      <c r="R3258" s="2"/>
      <c r="S3258" s="2"/>
      <c r="T3258" s="2"/>
      <c r="U3258" s="2"/>
    </row>
    <row x14ac:dyDescent="0.25" r="3259" customHeight="1" ht="17.25">
      <c r="A3259" s="7">
        <v>3258</v>
      </c>
      <c r="B3259" s="1" t="s">
        <v>8581</v>
      </c>
      <c r="C3259" s="5">
        <f>CONCATENATE("PD", TEXT(A3259, "1000000"))</f>
      </c>
      <c r="D3259" s="7">
        <v>76</v>
      </c>
      <c r="E3259" s="5">
        <f>XLOOKUP(G3259, item_category!C:C, item_category!B:B, "Not Found")</f>
      </c>
      <c r="F3259" s="1" t="s">
        <v>5632</v>
      </c>
      <c r="G3259" s="5">
        <f>XLOOKUP(I3259, drug!B:B, drug!A:A, "Not Found")</f>
      </c>
      <c r="H3259" s="1"/>
      <c r="I3259" s="7">
        <v>1</v>
      </c>
      <c r="J3259" s="5">
        <f>XLOOKUP(L3259, uom!C:C, uom!B:B, "Not Found")</f>
      </c>
      <c r="K3259" s="1" t="s">
        <v>5511</v>
      </c>
      <c r="L3259" s="5">
        <f>XLOOKUP(N3259, uom!C:C, uom!B:B, "Not Found")</f>
      </c>
      <c r="M3259" s="1" t="s">
        <v>5511</v>
      </c>
      <c r="N3259" s="8" t="s">
        <v>5512</v>
      </c>
      <c r="O3259" s="1" t="s">
        <v>5513</v>
      </c>
      <c r="P3259" s="5">
        <f>XLOOKUP(R3259, classification!C:C, classification!B:B, "Not Found")</f>
      </c>
      <c r="Q3259" s="1" t="s">
        <v>5514</v>
      </c>
      <c r="R3259" s="2"/>
      <c r="S3259" s="2"/>
      <c r="T3259" s="2"/>
      <c r="U3259" s="2"/>
    </row>
    <row x14ac:dyDescent="0.25" r="3260" customHeight="1" ht="17.25">
      <c r="A3260" s="7">
        <v>3259</v>
      </c>
      <c r="B3260" s="1" t="s">
        <v>8582</v>
      </c>
      <c r="C3260" s="5">
        <f>CONCATENATE("PD", TEXT(A3260, "1000000"))</f>
      </c>
      <c r="D3260" s="7">
        <v>76</v>
      </c>
      <c r="E3260" s="5">
        <f>XLOOKUP(G3260, item_category!C:C, item_category!B:B, "Not Found")</f>
      </c>
      <c r="F3260" s="1" t="s">
        <v>5632</v>
      </c>
      <c r="G3260" s="5">
        <f>XLOOKUP(I3260, drug!B:B, drug!A:A, "Not Found")</f>
      </c>
      <c r="H3260" s="1"/>
      <c r="I3260" s="7">
        <v>1</v>
      </c>
      <c r="J3260" s="5">
        <f>XLOOKUP(L3260, uom!C:C, uom!B:B, "Not Found")</f>
      </c>
      <c r="K3260" s="1" t="s">
        <v>5511</v>
      </c>
      <c r="L3260" s="5">
        <f>XLOOKUP(N3260, uom!C:C, uom!B:B, "Not Found")</f>
      </c>
      <c r="M3260" s="1" t="s">
        <v>5511</v>
      </c>
      <c r="N3260" s="8" t="s">
        <v>5512</v>
      </c>
      <c r="O3260" s="1" t="s">
        <v>5513</v>
      </c>
      <c r="P3260" s="5">
        <f>XLOOKUP(R3260, classification!C:C, classification!B:B, "Not Found")</f>
      </c>
      <c r="Q3260" s="1" t="s">
        <v>5514</v>
      </c>
      <c r="R3260" s="2"/>
      <c r="S3260" s="2"/>
      <c r="T3260" s="2"/>
      <c r="U3260" s="2"/>
    </row>
    <row x14ac:dyDescent="0.25" r="3261" customHeight="1" ht="17.25">
      <c r="A3261" s="7">
        <v>3260</v>
      </c>
      <c r="B3261" s="1" t="s">
        <v>8583</v>
      </c>
      <c r="C3261" s="5">
        <f>CONCATENATE("PD", TEXT(A3261, "1000000"))</f>
      </c>
      <c r="D3261" s="7">
        <v>76</v>
      </c>
      <c r="E3261" s="5">
        <f>XLOOKUP(G3261, item_category!C:C, item_category!B:B, "Not Found")</f>
      </c>
      <c r="F3261" s="1" t="s">
        <v>5632</v>
      </c>
      <c r="G3261" s="5">
        <f>XLOOKUP(I3261, drug!B:B, drug!A:A, "Not Found")</f>
      </c>
      <c r="H3261" s="1"/>
      <c r="I3261" s="7">
        <v>1</v>
      </c>
      <c r="J3261" s="5">
        <f>XLOOKUP(L3261, uom!C:C, uom!B:B, "Not Found")</f>
      </c>
      <c r="K3261" s="1" t="s">
        <v>5511</v>
      </c>
      <c r="L3261" s="5">
        <f>XLOOKUP(N3261, uom!C:C, uom!B:B, "Not Found")</f>
      </c>
      <c r="M3261" s="1" t="s">
        <v>5511</v>
      </c>
      <c r="N3261" s="8" t="s">
        <v>5512</v>
      </c>
      <c r="O3261" s="1" t="s">
        <v>5513</v>
      </c>
      <c r="P3261" s="5">
        <f>XLOOKUP(R3261, classification!C:C, classification!B:B, "Not Found")</f>
      </c>
      <c r="Q3261" s="1" t="s">
        <v>5514</v>
      </c>
      <c r="R3261" s="2"/>
      <c r="S3261" s="2"/>
      <c r="T3261" s="2"/>
      <c r="U3261" s="2"/>
    </row>
    <row x14ac:dyDescent="0.25" r="3262" customHeight="1" ht="17.25">
      <c r="A3262" s="7">
        <v>3261</v>
      </c>
      <c r="B3262" s="1" t="s">
        <v>8584</v>
      </c>
      <c r="C3262" s="5">
        <f>CONCATENATE("PD", TEXT(A3262, "1000000"))</f>
      </c>
      <c r="D3262" s="7">
        <v>76</v>
      </c>
      <c r="E3262" s="5">
        <f>XLOOKUP(G3262, item_category!C:C, item_category!B:B, "Not Found")</f>
      </c>
      <c r="F3262" s="1" t="s">
        <v>5632</v>
      </c>
      <c r="G3262" s="5">
        <f>XLOOKUP(I3262, drug!B:B, drug!A:A, "Not Found")</f>
      </c>
      <c r="H3262" s="1"/>
      <c r="I3262" s="7">
        <v>1</v>
      </c>
      <c r="J3262" s="5">
        <f>XLOOKUP(L3262, uom!C:C, uom!B:B, "Not Found")</f>
      </c>
      <c r="K3262" s="1" t="s">
        <v>5511</v>
      </c>
      <c r="L3262" s="5">
        <f>XLOOKUP(N3262, uom!C:C, uom!B:B, "Not Found")</f>
      </c>
      <c r="M3262" s="1" t="s">
        <v>5511</v>
      </c>
      <c r="N3262" s="8" t="s">
        <v>5512</v>
      </c>
      <c r="O3262" s="1" t="s">
        <v>5513</v>
      </c>
      <c r="P3262" s="5">
        <f>XLOOKUP(R3262, classification!C:C, classification!B:B, "Not Found")</f>
      </c>
      <c r="Q3262" s="1" t="s">
        <v>5514</v>
      </c>
      <c r="R3262" s="2"/>
      <c r="S3262" s="2"/>
      <c r="T3262" s="2"/>
      <c r="U3262" s="2"/>
    </row>
    <row x14ac:dyDescent="0.25" r="3263" customHeight="1" ht="17.25">
      <c r="A3263" s="7">
        <v>3262</v>
      </c>
      <c r="B3263" s="1" t="s">
        <v>8585</v>
      </c>
      <c r="C3263" s="5">
        <f>CONCATENATE("PD", TEXT(A3263, "1000000"))</f>
      </c>
      <c r="D3263" s="7">
        <v>76</v>
      </c>
      <c r="E3263" s="5">
        <f>XLOOKUP(G3263, item_category!C:C, item_category!B:B, "Not Found")</f>
      </c>
      <c r="F3263" s="1" t="s">
        <v>5632</v>
      </c>
      <c r="G3263" s="5">
        <f>XLOOKUP(I3263, drug!B:B, drug!A:A, "Not Found")</f>
      </c>
      <c r="H3263" s="1"/>
      <c r="I3263" s="7">
        <v>1</v>
      </c>
      <c r="J3263" s="5">
        <f>XLOOKUP(L3263, uom!C:C, uom!B:B, "Not Found")</f>
      </c>
      <c r="K3263" s="1" t="s">
        <v>5511</v>
      </c>
      <c r="L3263" s="5">
        <f>XLOOKUP(N3263, uom!C:C, uom!B:B, "Not Found")</f>
      </c>
      <c r="M3263" s="1" t="s">
        <v>5511</v>
      </c>
      <c r="N3263" s="8" t="s">
        <v>5512</v>
      </c>
      <c r="O3263" s="1" t="s">
        <v>5513</v>
      </c>
      <c r="P3263" s="5">
        <f>XLOOKUP(R3263, classification!C:C, classification!B:B, "Not Found")</f>
      </c>
      <c r="Q3263" s="1" t="s">
        <v>5514</v>
      </c>
      <c r="R3263" s="2"/>
      <c r="S3263" s="2"/>
      <c r="T3263" s="2"/>
      <c r="U3263" s="2"/>
    </row>
    <row x14ac:dyDescent="0.25" r="3264" customHeight="1" ht="17.25">
      <c r="A3264" s="7">
        <v>3263</v>
      </c>
      <c r="B3264" s="1" t="s">
        <v>8586</v>
      </c>
      <c r="C3264" s="5">
        <f>CONCATENATE("PD", TEXT(A3264, "1000000"))</f>
      </c>
      <c r="D3264" s="7">
        <v>76</v>
      </c>
      <c r="E3264" s="5">
        <f>XLOOKUP(G3264, item_category!C:C, item_category!B:B, "Not Found")</f>
      </c>
      <c r="F3264" s="1" t="s">
        <v>5632</v>
      </c>
      <c r="G3264" s="5">
        <f>XLOOKUP(I3264, drug!B:B, drug!A:A, "Not Found")</f>
      </c>
      <c r="H3264" s="1"/>
      <c r="I3264" s="7">
        <v>1</v>
      </c>
      <c r="J3264" s="5">
        <f>XLOOKUP(L3264, uom!C:C, uom!B:B, "Not Found")</f>
      </c>
      <c r="K3264" s="1" t="s">
        <v>5511</v>
      </c>
      <c r="L3264" s="5">
        <f>XLOOKUP(N3264, uom!C:C, uom!B:B, "Not Found")</f>
      </c>
      <c r="M3264" s="1" t="s">
        <v>5511</v>
      </c>
      <c r="N3264" s="8" t="s">
        <v>5512</v>
      </c>
      <c r="O3264" s="1" t="s">
        <v>5513</v>
      </c>
      <c r="P3264" s="5">
        <f>XLOOKUP(R3264, classification!C:C, classification!B:B, "Not Found")</f>
      </c>
      <c r="Q3264" s="1" t="s">
        <v>5514</v>
      </c>
      <c r="R3264" s="2"/>
      <c r="S3264" s="2"/>
      <c r="T3264" s="2"/>
      <c r="U3264" s="2"/>
    </row>
    <row x14ac:dyDescent="0.25" r="3265" customHeight="1" ht="17.25">
      <c r="A3265" s="7">
        <v>3264</v>
      </c>
      <c r="B3265" s="1" t="s">
        <v>8587</v>
      </c>
      <c r="C3265" s="5">
        <f>CONCATENATE("PD", TEXT(A3265, "1000000"))</f>
      </c>
      <c r="D3265" s="7">
        <v>76</v>
      </c>
      <c r="E3265" s="5">
        <f>XLOOKUP(G3265, item_category!C:C, item_category!B:B, "Not Found")</f>
      </c>
      <c r="F3265" s="1" t="s">
        <v>5632</v>
      </c>
      <c r="G3265" s="5">
        <f>XLOOKUP(I3265, drug!B:B, drug!A:A, "Not Found")</f>
      </c>
      <c r="H3265" s="1" t="s">
        <v>1588</v>
      </c>
      <c r="I3265" s="7">
        <v>1</v>
      </c>
      <c r="J3265" s="5">
        <f>XLOOKUP(L3265, uom!C:C, uom!B:B, "Not Found")</f>
      </c>
      <c r="K3265" s="1" t="s">
        <v>5511</v>
      </c>
      <c r="L3265" s="5">
        <f>XLOOKUP(N3265, uom!C:C, uom!B:B, "Not Found")</f>
      </c>
      <c r="M3265" s="1" t="s">
        <v>5511</v>
      </c>
      <c r="N3265" s="8" t="s">
        <v>5512</v>
      </c>
      <c r="O3265" s="1" t="s">
        <v>5513</v>
      </c>
      <c r="P3265" s="5">
        <f>XLOOKUP(R3265, classification!C:C, classification!B:B, "Not Found")</f>
      </c>
      <c r="Q3265" s="1" t="s">
        <v>5514</v>
      </c>
      <c r="R3265" s="2"/>
      <c r="S3265" s="2"/>
      <c r="T3265" s="2"/>
      <c r="U3265" s="2"/>
    </row>
    <row x14ac:dyDescent="0.25" r="3266" customHeight="1" ht="17.25">
      <c r="A3266" s="7">
        <v>3265</v>
      </c>
      <c r="B3266" s="1" t="s">
        <v>8588</v>
      </c>
      <c r="C3266" s="5">
        <f>CONCATENATE("PD", TEXT(A3266, "1000000"))</f>
      </c>
      <c r="D3266" s="7">
        <v>76</v>
      </c>
      <c r="E3266" s="5">
        <f>XLOOKUP(G3266, item_category!C:C, item_category!B:B, "Not Found")</f>
      </c>
      <c r="F3266" s="1" t="s">
        <v>5632</v>
      </c>
      <c r="G3266" s="5">
        <f>XLOOKUP(I3266, drug!B:B, drug!A:A, "Not Found")</f>
      </c>
      <c r="H3266" s="1"/>
      <c r="I3266" s="7">
        <v>1</v>
      </c>
      <c r="J3266" s="5">
        <f>XLOOKUP(L3266, uom!C:C, uom!B:B, "Not Found")</f>
      </c>
      <c r="K3266" s="1" t="s">
        <v>5511</v>
      </c>
      <c r="L3266" s="5">
        <f>XLOOKUP(N3266, uom!C:C, uom!B:B, "Not Found")</f>
      </c>
      <c r="M3266" s="1" t="s">
        <v>5511</v>
      </c>
      <c r="N3266" s="8" t="s">
        <v>5512</v>
      </c>
      <c r="O3266" s="1" t="s">
        <v>5513</v>
      </c>
      <c r="P3266" s="5">
        <f>XLOOKUP(R3266, classification!C:C, classification!B:B, "Not Found")</f>
      </c>
      <c r="Q3266" s="1" t="s">
        <v>5514</v>
      </c>
      <c r="R3266" s="2"/>
      <c r="S3266" s="2"/>
      <c r="T3266" s="2"/>
      <c r="U3266" s="2"/>
    </row>
    <row x14ac:dyDescent="0.25" r="3267" customHeight="1" ht="17.25">
      <c r="A3267" s="7">
        <v>3266</v>
      </c>
      <c r="B3267" s="1" t="s">
        <v>8589</v>
      </c>
      <c r="C3267" s="5">
        <f>CONCATENATE("PD", TEXT(A3267, "1000000"))</f>
      </c>
      <c r="D3267" s="7">
        <v>76</v>
      </c>
      <c r="E3267" s="5">
        <f>XLOOKUP(G3267, item_category!C:C, item_category!B:B, "Not Found")</f>
      </c>
      <c r="F3267" s="1" t="s">
        <v>5632</v>
      </c>
      <c r="G3267" s="5">
        <f>XLOOKUP(I3267, drug!B:B, drug!A:A, "Not Found")</f>
      </c>
      <c r="H3267" s="1"/>
      <c r="I3267" s="7">
        <v>1</v>
      </c>
      <c r="J3267" s="5">
        <f>XLOOKUP(L3267, uom!C:C, uom!B:B, "Not Found")</f>
      </c>
      <c r="K3267" s="1" t="s">
        <v>5511</v>
      </c>
      <c r="L3267" s="5">
        <f>XLOOKUP(N3267, uom!C:C, uom!B:B, "Not Found")</f>
      </c>
      <c r="M3267" s="1" t="s">
        <v>5511</v>
      </c>
      <c r="N3267" s="8" t="s">
        <v>5512</v>
      </c>
      <c r="O3267" s="1" t="s">
        <v>5513</v>
      </c>
      <c r="P3267" s="5">
        <f>XLOOKUP(R3267, classification!C:C, classification!B:B, "Not Found")</f>
      </c>
      <c r="Q3267" s="1" t="s">
        <v>5514</v>
      </c>
      <c r="R3267" s="2"/>
      <c r="S3267" s="2"/>
      <c r="T3267" s="2"/>
      <c r="U3267" s="2"/>
    </row>
    <row x14ac:dyDescent="0.25" r="3268" customHeight="1" ht="17.25">
      <c r="A3268" s="7">
        <v>3267</v>
      </c>
      <c r="B3268" s="1" t="s">
        <v>3412</v>
      </c>
      <c r="C3268" s="5">
        <f>CONCATENATE("PD", TEXT(A3268, "1000000"))</f>
      </c>
      <c r="D3268" s="7">
        <v>76</v>
      </c>
      <c r="E3268" s="5">
        <f>XLOOKUP(G3268, item_category!C:C, item_category!B:B, "Not Found")</f>
      </c>
      <c r="F3268" s="1" t="s">
        <v>5632</v>
      </c>
      <c r="G3268" s="5">
        <f>XLOOKUP(I3268, drug!B:B, drug!A:A, "Not Found")</f>
      </c>
      <c r="H3268" s="1"/>
      <c r="I3268" s="7">
        <v>1</v>
      </c>
      <c r="J3268" s="5">
        <f>XLOOKUP(L3268, uom!C:C, uom!B:B, "Not Found")</f>
      </c>
      <c r="K3268" s="1" t="s">
        <v>5511</v>
      </c>
      <c r="L3268" s="5">
        <f>XLOOKUP(N3268, uom!C:C, uom!B:B, "Not Found")</f>
      </c>
      <c r="M3268" s="1" t="s">
        <v>5511</v>
      </c>
      <c r="N3268" s="8" t="s">
        <v>5524</v>
      </c>
      <c r="O3268" s="1" t="s">
        <v>5525</v>
      </c>
      <c r="P3268" s="5">
        <f>XLOOKUP(R3268, classification!C:C, classification!B:B, "Not Found")</f>
      </c>
      <c r="Q3268" s="1" t="s">
        <v>5514</v>
      </c>
      <c r="R3268" s="2"/>
      <c r="S3268" s="2"/>
      <c r="T3268" s="2"/>
      <c r="U3268" s="2"/>
    </row>
    <row x14ac:dyDescent="0.25" r="3269" customHeight="1" ht="17.25">
      <c r="A3269" s="7">
        <v>3268</v>
      </c>
      <c r="B3269" s="1" t="s">
        <v>8590</v>
      </c>
      <c r="C3269" s="5">
        <f>CONCATENATE("PD", TEXT(A3269, "1000000"))</f>
      </c>
      <c r="D3269" s="7">
        <v>76</v>
      </c>
      <c r="E3269" s="5">
        <f>XLOOKUP(G3269, item_category!C:C, item_category!B:B, "Not Found")</f>
      </c>
      <c r="F3269" s="1" t="s">
        <v>5632</v>
      </c>
      <c r="G3269" s="5">
        <f>XLOOKUP(I3269, drug!B:B, drug!A:A, "Not Found")</f>
      </c>
      <c r="H3269" s="1"/>
      <c r="I3269" s="7">
        <v>1</v>
      </c>
      <c r="J3269" s="5">
        <f>XLOOKUP(L3269, uom!C:C, uom!B:B, "Not Found")</f>
      </c>
      <c r="K3269" s="1" t="s">
        <v>5511</v>
      </c>
      <c r="L3269" s="5">
        <f>XLOOKUP(N3269, uom!C:C, uom!B:B, "Not Found")</f>
      </c>
      <c r="M3269" s="1" t="s">
        <v>5511</v>
      </c>
      <c r="N3269" s="8" t="s">
        <v>5512</v>
      </c>
      <c r="O3269" s="1" t="s">
        <v>5513</v>
      </c>
      <c r="P3269" s="5">
        <f>XLOOKUP(R3269, classification!C:C, classification!B:B, "Not Found")</f>
      </c>
      <c r="Q3269" s="1" t="s">
        <v>5514</v>
      </c>
      <c r="R3269" s="2"/>
      <c r="S3269" s="2"/>
      <c r="T3269" s="2"/>
      <c r="U3269" s="2"/>
    </row>
    <row x14ac:dyDescent="0.25" r="3270" customHeight="1" ht="17.25">
      <c r="A3270" s="7">
        <v>3269</v>
      </c>
      <c r="B3270" s="1" t="s">
        <v>8591</v>
      </c>
      <c r="C3270" s="5">
        <f>CONCATENATE("PD", TEXT(A3270, "1000000"))</f>
      </c>
      <c r="D3270" s="7">
        <v>76</v>
      </c>
      <c r="E3270" s="5">
        <f>XLOOKUP(G3270, item_category!C:C, item_category!B:B, "Not Found")</f>
      </c>
      <c r="F3270" s="1" t="s">
        <v>5632</v>
      </c>
      <c r="G3270" s="5">
        <f>XLOOKUP(I3270, drug!B:B, drug!A:A, "Not Found")</f>
      </c>
      <c r="H3270" s="1"/>
      <c r="I3270" s="7">
        <v>1</v>
      </c>
      <c r="J3270" s="5">
        <f>XLOOKUP(L3270, uom!C:C, uom!B:B, "Not Found")</f>
      </c>
      <c r="K3270" s="1" t="s">
        <v>5511</v>
      </c>
      <c r="L3270" s="5">
        <f>XLOOKUP(N3270, uom!C:C, uom!B:B, "Not Found")</f>
      </c>
      <c r="M3270" s="1" t="s">
        <v>5511</v>
      </c>
      <c r="N3270" s="8" t="s">
        <v>5512</v>
      </c>
      <c r="O3270" s="1" t="s">
        <v>5513</v>
      </c>
      <c r="P3270" s="5">
        <f>XLOOKUP(R3270, classification!C:C, classification!B:B, "Not Found")</f>
      </c>
      <c r="Q3270" s="1" t="s">
        <v>5514</v>
      </c>
      <c r="R3270" s="2"/>
      <c r="S3270" s="2"/>
      <c r="T3270" s="2"/>
      <c r="U3270" s="2"/>
    </row>
    <row x14ac:dyDescent="0.25" r="3271" customHeight="1" ht="17.25">
      <c r="A3271" s="7">
        <v>3270</v>
      </c>
      <c r="B3271" s="1" t="s">
        <v>8592</v>
      </c>
      <c r="C3271" s="5">
        <f>CONCATENATE("PD", TEXT(A3271, "1000000"))</f>
      </c>
      <c r="D3271" s="7">
        <v>76</v>
      </c>
      <c r="E3271" s="5">
        <f>XLOOKUP(G3271, item_category!C:C, item_category!B:B, "Not Found")</f>
      </c>
      <c r="F3271" s="1" t="s">
        <v>5632</v>
      </c>
      <c r="G3271" s="5">
        <f>XLOOKUP(I3271, drug!B:B, drug!A:A, "Not Found")</f>
      </c>
      <c r="H3271" s="1"/>
      <c r="I3271" s="7">
        <v>1</v>
      </c>
      <c r="J3271" s="5">
        <f>XLOOKUP(L3271, uom!C:C, uom!B:B, "Not Found")</f>
      </c>
      <c r="K3271" s="1" t="s">
        <v>5511</v>
      </c>
      <c r="L3271" s="5">
        <f>XLOOKUP(N3271, uom!C:C, uom!B:B, "Not Found")</f>
      </c>
      <c r="M3271" s="1" t="s">
        <v>5511</v>
      </c>
      <c r="N3271" s="8" t="s">
        <v>5512</v>
      </c>
      <c r="O3271" s="1" t="s">
        <v>5513</v>
      </c>
      <c r="P3271" s="5">
        <f>XLOOKUP(R3271, classification!C:C, classification!B:B, "Not Found")</f>
      </c>
      <c r="Q3271" s="1" t="s">
        <v>5514</v>
      </c>
      <c r="R3271" s="2"/>
      <c r="S3271" s="2"/>
      <c r="T3271" s="2"/>
      <c r="U3271" s="2"/>
    </row>
    <row x14ac:dyDescent="0.25" r="3272" customHeight="1" ht="17.25">
      <c r="A3272" s="7">
        <v>3271</v>
      </c>
      <c r="B3272" s="1" t="s">
        <v>8593</v>
      </c>
      <c r="C3272" s="5">
        <f>CONCATENATE("PD", TEXT(A3272, "1000000"))</f>
      </c>
      <c r="D3272" s="7">
        <v>76</v>
      </c>
      <c r="E3272" s="5">
        <f>XLOOKUP(G3272, item_category!C:C, item_category!B:B, "Not Found")</f>
      </c>
      <c r="F3272" s="1" t="s">
        <v>5632</v>
      </c>
      <c r="G3272" s="5">
        <f>XLOOKUP(I3272, drug!B:B, drug!A:A, "Not Found")</f>
      </c>
      <c r="H3272" s="1"/>
      <c r="I3272" s="7">
        <v>1</v>
      </c>
      <c r="J3272" s="5">
        <f>XLOOKUP(L3272, uom!C:C, uom!B:B, "Not Found")</f>
      </c>
      <c r="K3272" s="1" t="s">
        <v>5511</v>
      </c>
      <c r="L3272" s="5">
        <f>XLOOKUP(N3272, uom!C:C, uom!B:B, "Not Found")</f>
      </c>
      <c r="M3272" s="1" t="s">
        <v>5511</v>
      </c>
      <c r="N3272" s="8" t="s">
        <v>5512</v>
      </c>
      <c r="O3272" s="1" t="s">
        <v>5513</v>
      </c>
      <c r="P3272" s="5">
        <f>XLOOKUP(R3272, classification!C:C, classification!B:B, "Not Found")</f>
      </c>
      <c r="Q3272" s="1" t="s">
        <v>5514</v>
      </c>
      <c r="R3272" s="2"/>
      <c r="S3272" s="2"/>
      <c r="T3272" s="2"/>
      <c r="U3272" s="2"/>
    </row>
    <row x14ac:dyDescent="0.25" r="3273" customHeight="1" ht="17.25">
      <c r="A3273" s="7">
        <v>3272</v>
      </c>
      <c r="B3273" s="1" t="s">
        <v>8594</v>
      </c>
      <c r="C3273" s="5">
        <f>CONCATENATE("PD", TEXT(A3273, "1000000"))</f>
      </c>
      <c r="D3273" s="7">
        <v>76</v>
      </c>
      <c r="E3273" s="5">
        <f>XLOOKUP(G3273, item_category!C:C, item_category!B:B, "Not Found")</f>
      </c>
      <c r="F3273" s="1" t="s">
        <v>5632</v>
      </c>
      <c r="G3273" s="5">
        <f>XLOOKUP(I3273, drug!B:B, drug!A:A, "Not Found")</f>
      </c>
      <c r="H3273" s="1"/>
      <c r="I3273" s="7">
        <v>1</v>
      </c>
      <c r="J3273" s="5">
        <f>XLOOKUP(L3273, uom!C:C, uom!B:B, "Not Found")</f>
      </c>
      <c r="K3273" s="1" t="s">
        <v>5511</v>
      </c>
      <c r="L3273" s="5">
        <f>XLOOKUP(N3273, uom!C:C, uom!B:B, "Not Found")</f>
      </c>
      <c r="M3273" s="1" t="s">
        <v>5511</v>
      </c>
      <c r="N3273" s="8" t="s">
        <v>5512</v>
      </c>
      <c r="O3273" s="1" t="s">
        <v>5513</v>
      </c>
      <c r="P3273" s="5">
        <f>XLOOKUP(R3273, classification!C:C, classification!B:B, "Not Found")</f>
      </c>
      <c r="Q3273" s="1" t="s">
        <v>5514</v>
      </c>
      <c r="R3273" s="2"/>
      <c r="S3273" s="2"/>
      <c r="T3273" s="2"/>
      <c r="U3273" s="2"/>
    </row>
    <row x14ac:dyDescent="0.25" r="3274" customHeight="1" ht="17.25">
      <c r="A3274" s="7">
        <v>3273</v>
      </c>
      <c r="B3274" s="1" t="s">
        <v>8595</v>
      </c>
      <c r="C3274" s="5">
        <f>CONCATENATE("PD", TEXT(A3274, "1000000"))</f>
      </c>
      <c r="D3274" s="7">
        <v>76</v>
      </c>
      <c r="E3274" s="5">
        <f>XLOOKUP(G3274, item_category!C:C, item_category!B:B, "Not Found")</f>
      </c>
      <c r="F3274" s="1" t="s">
        <v>5632</v>
      </c>
      <c r="G3274" s="5">
        <f>XLOOKUP(I3274, drug!B:B, drug!A:A, "Not Found")</f>
      </c>
      <c r="H3274" s="1"/>
      <c r="I3274" s="7">
        <v>1</v>
      </c>
      <c r="J3274" s="5">
        <f>XLOOKUP(L3274, uom!C:C, uom!B:B, "Not Found")</f>
      </c>
      <c r="K3274" s="1" t="s">
        <v>5511</v>
      </c>
      <c r="L3274" s="5">
        <f>XLOOKUP(N3274, uom!C:C, uom!B:B, "Not Found")</f>
      </c>
      <c r="M3274" s="1" t="s">
        <v>5511</v>
      </c>
      <c r="N3274" s="8" t="s">
        <v>5512</v>
      </c>
      <c r="O3274" s="1" t="s">
        <v>5513</v>
      </c>
      <c r="P3274" s="5">
        <f>XLOOKUP(R3274, classification!C:C, classification!B:B, "Not Found")</f>
      </c>
      <c r="Q3274" s="1" t="s">
        <v>5514</v>
      </c>
      <c r="R3274" s="2"/>
      <c r="S3274" s="2"/>
      <c r="T3274" s="2"/>
      <c r="U3274" s="2"/>
    </row>
    <row x14ac:dyDescent="0.25" r="3275" customHeight="1" ht="17.25">
      <c r="A3275" s="7">
        <v>3274</v>
      </c>
      <c r="B3275" s="1" t="s">
        <v>8596</v>
      </c>
      <c r="C3275" s="5">
        <f>CONCATENATE("PD", TEXT(A3275, "1000000"))</f>
      </c>
      <c r="D3275" s="7">
        <v>76</v>
      </c>
      <c r="E3275" s="5">
        <f>XLOOKUP(G3275, item_category!C:C, item_category!B:B, "Not Found")</f>
      </c>
      <c r="F3275" s="1" t="s">
        <v>5632</v>
      </c>
      <c r="G3275" s="5">
        <f>XLOOKUP(I3275, drug!B:B, drug!A:A, "Not Found")</f>
      </c>
      <c r="H3275" s="1"/>
      <c r="I3275" s="7">
        <v>1</v>
      </c>
      <c r="J3275" s="5">
        <f>XLOOKUP(L3275, uom!C:C, uom!B:B, "Not Found")</f>
      </c>
      <c r="K3275" s="1" t="s">
        <v>5511</v>
      </c>
      <c r="L3275" s="5">
        <f>XLOOKUP(N3275, uom!C:C, uom!B:B, "Not Found")</f>
      </c>
      <c r="M3275" s="1" t="s">
        <v>5511</v>
      </c>
      <c r="N3275" s="8" t="s">
        <v>5512</v>
      </c>
      <c r="O3275" s="1" t="s">
        <v>5513</v>
      </c>
      <c r="P3275" s="5">
        <f>XLOOKUP(R3275, classification!C:C, classification!B:B, "Not Found")</f>
      </c>
      <c r="Q3275" s="1" t="s">
        <v>5514</v>
      </c>
      <c r="R3275" s="2"/>
      <c r="S3275" s="2"/>
      <c r="T3275" s="2"/>
      <c r="U3275" s="2"/>
    </row>
    <row x14ac:dyDescent="0.25" r="3276" customHeight="1" ht="17.25">
      <c r="A3276" s="7">
        <v>3275</v>
      </c>
      <c r="B3276" s="1" t="s">
        <v>8597</v>
      </c>
      <c r="C3276" s="5">
        <f>CONCATENATE("PD", TEXT(A3276, "1000000"))</f>
      </c>
      <c r="D3276" s="7">
        <v>76</v>
      </c>
      <c r="E3276" s="5">
        <f>XLOOKUP(G3276, item_category!C:C, item_category!B:B, "Not Found")</f>
      </c>
      <c r="F3276" s="1" t="s">
        <v>5632</v>
      </c>
      <c r="G3276" s="5">
        <f>XLOOKUP(I3276, drug!B:B, drug!A:A, "Not Found")</f>
      </c>
      <c r="H3276" s="1"/>
      <c r="I3276" s="7">
        <v>1</v>
      </c>
      <c r="J3276" s="5">
        <f>XLOOKUP(L3276, uom!C:C, uom!B:B, "Not Found")</f>
      </c>
      <c r="K3276" s="1" t="s">
        <v>5511</v>
      </c>
      <c r="L3276" s="5">
        <f>XLOOKUP(N3276, uom!C:C, uom!B:B, "Not Found")</f>
      </c>
      <c r="M3276" s="1" t="s">
        <v>5511</v>
      </c>
      <c r="N3276" s="8" t="s">
        <v>5512</v>
      </c>
      <c r="O3276" s="1" t="s">
        <v>5513</v>
      </c>
      <c r="P3276" s="5">
        <f>XLOOKUP(R3276, classification!C:C, classification!B:B, "Not Found")</f>
      </c>
      <c r="Q3276" s="1" t="s">
        <v>5514</v>
      </c>
      <c r="R3276" s="2"/>
      <c r="S3276" s="2"/>
      <c r="T3276" s="2"/>
      <c r="U3276" s="2"/>
    </row>
    <row x14ac:dyDescent="0.25" r="3277" customHeight="1" ht="17.25">
      <c r="A3277" s="7">
        <v>3276</v>
      </c>
      <c r="B3277" s="1" t="s">
        <v>8598</v>
      </c>
      <c r="C3277" s="5">
        <f>CONCATENATE("PD", TEXT(A3277, "1000000"))</f>
      </c>
      <c r="D3277" s="7">
        <v>76</v>
      </c>
      <c r="E3277" s="5">
        <f>XLOOKUP(G3277, item_category!C:C, item_category!B:B, "Not Found")</f>
      </c>
      <c r="F3277" s="1" t="s">
        <v>5632</v>
      </c>
      <c r="G3277" s="5">
        <f>XLOOKUP(I3277, drug!B:B, drug!A:A, "Not Found")</f>
      </c>
      <c r="H3277" s="1"/>
      <c r="I3277" s="7">
        <v>1</v>
      </c>
      <c r="J3277" s="5">
        <f>XLOOKUP(L3277, uom!C:C, uom!B:B, "Not Found")</f>
      </c>
      <c r="K3277" s="1" t="s">
        <v>5511</v>
      </c>
      <c r="L3277" s="5">
        <f>XLOOKUP(N3277, uom!C:C, uom!B:B, "Not Found")</f>
      </c>
      <c r="M3277" s="1" t="s">
        <v>5511</v>
      </c>
      <c r="N3277" s="8" t="s">
        <v>5512</v>
      </c>
      <c r="O3277" s="1" t="s">
        <v>5513</v>
      </c>
      <c r="P3277" s="5">
        <f>XLOOKUP(R3277, classification!C:C, classification!B:B, "Not Found")</f>
      </c>
      <c r="Q3277" s="1" t="s">
        <v>5514</v>
      </c>
      <c r="R3277" s="2"/>
      <c r="S3277" s="2"/>
      <c r="T3277" s="2"/>
      <c r="U3277" s="2"/>
    </row>
    <row x14ac:dyDescent="0.25" r="3278" customHeight="1" ht="17.25">
      <c r="A3278" s="7">
        <v>3277</v>
      </c>
      <c r="B3278" s="1" t="s">
        <v>8599</v>
      </c>
      <c r="C3278" s="5">
        <f>CONCATENATE("PD", TEXT(A3278, "1000000"))</f>
      </c>
      <c r="D3278" s="7">
        <v>76</v>
      </c>
      <c r="E3278" s="5">
        <f>XLOOKUP(G3278, item_category!C:C, item_category!B:B, "Not Found")</f>
      </c>
      <c r="F3278" s="1" t="s">
        <v>5632</v>
      </c>
      <c r="G3278" s="5">
        <f>XLOOKUP(I3278, drug!B:B, drug!A:A, "Not Found")</f>
      </c>
      <c r="H3278" s="1"/>
      <c r="I3278" s="7">
        <v>1</v>
      </c>
      <c r="J3278" s="5">
        <f>XLOOKUP(L3278, uom!C:C, uom!B:B, "Not Found")</f>
      </c>
      <c r="K3278" s="1" t="s">
        <v>5511</v>
      </c>
      <c r="L3278" s="5">
        <f>XLOOKUP(N3278, uom!C:C, uom!B:B, "Not Found")</f>
      </c>
      <c r="M3278" s="1" t="s">
        <v>5511</v>
      </c>
      <c r="N3278" s="8" t="s">
        <v>5512</v>
      </c>
      <c r="O3278" s="1" t="s">
        <v>5513</v>
      </c>
      <c r="P3278" s="5">
        <f>XLOOKUP(R3278, classification!C:C, classification!B:B, "Not Found")</f>
      </c>
      <c r="Q3278" s="1" t="s">
        <v>5514</v>
      </c>
      <c r="R3278" s="2"/>
      <c r="S3278" s="2"/>
      <c r="T3278" s="2"/>
      <c r="U3278" s="2"/>
    </row>
    <row x14ac:dyDescent="0.25" r="3279" customHeight="1" ht="17.25">
      <c r="A3279" s="7">
        <v>3278</v>
      </c>
      <c r="B3279" s="1" t="s">
        <v>8600</v>
      </c>
      <c r="C3279" s="5">
        <f>CONCATENATE("PD", TEXT(A3279, "1000000"))</f>
      </c>
      <c r="D3279" s="7">
        <v>76</v>
      </c>
      <c r="E3279" s="5">
        <f>XLOOKUP(G3279, item_category!C:C, item_category!B:B, "Not Found")</f>
      </c>
      <c r="F3279" s="1" t="s">
        <v>5632</v>
      </c>
      <c r="G3279" s="5">
        <f>XLOOKUP(I3279, drug!B:B, drug!A:A, "Not Found")</f>
      </c>
      <c r="H3279" s="1"/>
      <c r="I3279" s="7">
        <v>1</v>
      </c>
      <c r="J3279" s="5">
        <f>XLOOKUP(L3279, uom!C:C, uom!B:B, "Not Found")</f>
      </c>
      <c r="K3279" s="1" t="s">
        <v>5511</v>
      </c>
      <c r="L3279" s="5">
        <f>XLOOKUP(N3279, uom!C:C, uom!B:B, "Not Found")</f>
      </c>
      <c r="M3279" s="1" t="s">
        <v>5511</v>
      </c>
      <c r="N3279" s="8" t="s">
        <v>5512</v>
      </c>
      <c r="O3279" s="1" t="s">
        <v>5513</v>
      </c>
      <c r="P3279" s="5">
        <f>XLOOKUP(R3279, classification!C:C, classification!B:B, "Not Found")</f>
      </c>
      <c r="Q3279" s="1" t="s">
        <v>5514</v>
      </c>
      <c r="R3279" s="2"/>
      <c r="S3279" s="2"/>
      <c r="T3279" s="2"/>
      <c r="U3279" s="2"/>
    </row>
    <row x14ac:dyDescent="0.25" r="3280" customHeight="1" ht="17.25">
      <c r="A3280" s="7">
        <v>3279</v>
      </c>
      <c r="B3280" s="1" t="s">
        <v>8601</v>
      </c>
      <c r="C3280" s="5">
        <f>CONCATENATE("PD", TEXT(A3280, "1000000"))</f>
      </c>
      <c r="D3280" s="7">
        <v>76</v>
      </c>
      <c r="E3280" s="5">
        <f>XLOOKUP(G3280, item_category!C:C, item_category!B:B, "Not Found")</f>
      </c>
      <c r="F3280" s="1" t="s">
        <v>5632</v>
      </c>
      <c r="G3280" s="5">
        <f>XLOOKUP(I3280, drug!B:B, drug!A:A, "Not Found")</f>
      </c>
      <c r="H3280" s="1"/>
      <c r="I3280" s="7">
        <v>1</v>
      </c>
      <c r="J3280" s="5">
        <f>XLOOKUP(L3280, uom!C:C, uom!B:B, "Not Found")</f>
      </c>
      <c r="K3280" s="1" t="s">
        <v>5511</v>
      </c>
      <c r="L3280" s="5">
        <f>XLOOKUP(N3280, uom!C:C, uom!B:B, "Not Found")</f>
      </c>
      <c r="M3280" s="1" t="s">
        <v>5511</v>
      </c>
      <c r="N3280" s="8" t="s">
        <v>5512</v>
      </c>
      <c r="O3280" s="1" t="s">
        <v>5513</v>
      </c>
      <c r="P3280" s="5">
        <f>XLOOKUP(R3280, classification!C:C, classification!B:B, "Not Found")</f>
      </c>
      <c r="Q3280" s="1" t="s">
        <v>5514</v>
      </c>
      <c r="R3280" s="2"/>
      <c r="S3280" s="2"/>
      <c r="T3280" s="2"/>
      <c r="U3280" s="2"/>
    </row>
    <row x14ac:dyDescent="0.25" r="3281" customHeight="1" ht="17.25">
      <c r="A3281" s="7">
        <v>3280</v>
      </c>
      <c r="B3281" s="1" t="s">
        <v>8602</v>
      </c>
      <c r="C3281" s="5">
        <f>CONCATENATE("PD", TEXT(A3281, "1000000"))</f>
      </c>
      <c r="D3281" s="7">
        <v>76</v>
      </c>
      <c r="E3281" s="5">
        <f>XLOOKUP(G3281, item_category!C:C, item_category!B:B, "Not Found")</f>
      </c>
      <c r="F3281" s="1" t="s">
        <v>5632</v>
      </c>
      <c r="G3281" s="5">
        <f>XLOOKUP(I3281, drug!B:B, drug!A:A, "Not Found")</f>
      </c>
      <c r="H3281" s="1"/>
      <c r="I3281" s="7">
        <v>1</v>
      </c>
      <c r="J3281" s="5">
        <f>XLOOKUP(L3281, uom!C:C, uom!B:B, "Not Found")</f>
      </c>
      <c r="K3281" s="1" t="s">
        <v>5511</v>
      </c>
      <c r="L3281" s="5">
        <f>XLOOKUP(N3281, uom!C:C, uom!B:B, "Not Found")</f>
      </c>
      <c r="M3281" s="1" t="s">
        <v>5511</v>
      </c>
      <c r="N3281" s="8" t="s">
        <v>5512</v>
      </c>
      <c r="O3281" s="1" t="s">
        <v>5513</v>
      </c>
      <c r="P3281" s="5">
        <f>XLOOKUP(R3281, classification!C:C, classification!B:B, "Not Found")</f>
      </c>
      <c r="Q3281" s="1" t="s">
        <v>5514</v>
      </c>
      <c r="R3281" s="2"/>
      <c r="S3281" s="2"/>
      <c r="T3281" s="2"/>
      <c r="U3281" s="2"/>
    </row>
    <row x14ac:dyDescent="0.25" r="3282" customHeight="1" ht="17.25">
      <c r="A3282" s="7">
        <v>3281</v>
      </c>
      <c r="B3282" s="1" t="s">
        <v>8603</v>
      </c>
      <c r="C3282" s="5">
        <f>CONCATENATE("PD", TEXT(A3282, "1000000"))</f>
      </c>
      <c r="D3282" s="7">
        <v>76</v>
      </c>
      <c r="E3282" s="5">
        <f>XLOOKUP(G3282, item_category!C:C, item_category!B:B, "Not Found")</f>
      </c>
      <c r="F3282" s="1" t="s">
        <v>5632</v>
      </c>
      <c r="G3282" s="5">
        <f>XLOOKUP(I3282, drug!B:B, drug!A:A, "Not Found")</f>
      </c>
      <c r="H3282" s="1"/>
      <c r="I3282" s="7">
        <v>1</v>
      </c>
      <c r="J3282" s="5">
        <f>XLOOKUP(L3282, uom!C:C, uom!B:B, "Not Found")</f>
      </c>
      <c r="K3282" s="1" t="s">
        <v>5511</v>
      </c>
      <c r="L3282" s="5">
        <f>XLOOKUP(N3282, uom!C:C, uom!B:B, "Not Found")</f>
      </c>
      <c r="M3282" s="1" t="s">
        <v>5511</v>
      </c>
      <c r="N3282" s="8" t="s">
        <v>5512</v>
      </c>
      <c r="O3282" s="1" t="s">
        <v>5513</v>
      </c>
      <c r="P3282" s="5">
        <f>XLOOKUP(R3282, classification!C:C, classification!B:B, "Not Found")</f>
      </c>
      <c r="Q3282" s="1" t="s">
        <v>5514</v>
      </c>
      <c r="R3282" s="2"/>
      <c r="S3282" s="2"/>
      <c r="T3282" s="2"/>
      <c r="U3282" s="2"/>
    </row>
    <row x14ac:dyDescent="0.25" r="3283" customHeight="1" ht="17.25">
      <c r="A3283" s="7">
        <v>3282</v>
      </c>
      <c r="B3283" s="1" t="s">
        <v>8604</v>
      </c>
      <c r="C3283" s="5">
        <f>CONCATENATE("PD", TEXT(A3283, "1000000"))</f>
      </c>
      <c r="D3283" s="7">
        <v>76</v>
      </c>
      <c r="E3283" s="5">
        <f>XLOOKUP(G3283, item_category!C:C, item_category!B:B, "Not Found")</f>
      </c>
      <c r="F3283" s="1" t="s">
        <v>5632</v>
      </c>
      <c r="G3283" s="5">
        <f>XLOOKUP(I3283, drug!B:B, drug!A:A, "Not Found")</f>
      </c>
      <c r="H3283" s="1"/>
      <c r="I3283" s="7">
        <v>1</v>
      </c>
      <c r="J3283" s="5">
        <f>XLOOKUP(L3283, uom!C:C, uom!B:B, "Not Found")</f>
      </c>
      <c r="K3283" s="1" t="s">
        <v>5511</v>
      </c>
      <c r="L3283" s="5">
        <f>XLOOKUP(N3283, uom!C:C, uom!B:B, "Not Found")</f>
      </c>
      <c r="M3283" s="1" t="s">
        <v>5511</v>
      </c>
      <c r="N3283" s="8" t="s">
        <v>5512</v>
      </c>
      <c r="O3283" s="1" t="s">
        <v>5513</v>
      </c>
      <c r="P3283" s="5">
        <f>XLOOKUP(R3283, classification!C:C, classification!B:B, "Not Found")</f>
      </c>
      <c r="Q3283" s="1" t="s">
        <v>5514</v>
      </c>
      <c r="R3283" s="2"/>
      <c r="S3283" s="2"/>
      <c r="T3283" s="2"/>
      <c r="U3283" s="2"/>
    </row>
    <row x14ac:dyDescent="0.25" r="3284" customHeight="1" ht="17.25">
      <c r="A3284" s="7">
        <v>3283</v>
      </c>
      <c r="B3284" s="1" t="s">
        <v>8605</v>
      </c>
      <c r="C3284" s="5">
        <f>CONCATENATE("PD", TEXT(A3284, "1000000"))</f>
      </c>
      <c r="D3284" s="7">
        <v>76</v>
      </c>
      <c r="E3284" s="5">
        <f>XLOOKUP(G3284, item_category!C:C, item_category!B:B, "Not Found")</f>
      </c>
      <c r="F3284" s="1" t="s">
        <v>5632</v>
      </c>
      <c r="G3284" s="5">
        <f>XLOOKUP(I3284, drug!B:B, drug!A:A, "Not Found")</f>
      </c>
      <c r="H3284" s="1"/>
      <c r="I3284" s="7">
        <v>1</v>
      </c>
      <c r="J3284" s="5">
        <f>XLOOKUP(L3284, uom!C:C, uom!B:B, "Not Found")</f>
      </c>
      <c r="K3284" s="1" t="s">
        <v>5511</v>
      </c>
      <c r="L3284" s="5">
        <f>XLOOKUP(N3284, uom!C:C, uom!B:B, "Not Found")</f>
      </c>
      <c r="M3284" s="1" t="s">
        <v>5511</v>
      </c>
      <c r="N3284" s="8" t="s">
        <v>5512</v>
      </c>
      <c r="O3284" s="1" t="s">
        <v>5513</v>
      </c>
      <c r="P3284" s="5">
        <f>XLOOKUP(R3284, classification!C:C, classification!B:B, "Not Found")</f>
      </c>
      <c r="Q3284" s="1" t="s">
        <v>5514</v>
      </c>
      <c r="R3284" s="2"/>
      <c r="S3284" s="2"/>
      <c r="T3284" s="2"/>
      <c r="U3284" s="2"/>
    </row>
    <row x14ac:dyDescent="0.25" r="3285" customHeight="1" ht="17.25">
      <c r="A3285" s="7">
        <v>3284</v>
      </c>
      <c r="B3285" s="1" t="s">
        <v>8606</v>
      </c>
      <c r="C3285" s="5">
        <f>CONCATENATE("PD", TEXT(A3285, "1000000"))</f>
      </c>
      <c r="D3285" s="7">
        <v>76</v>
      </c>
      <c r="E3285" s="5">
        <f>XLOOKUP(G3285, item_category!C:C, item_category!B:B, "Not Found")</f>
      </c>
      <c r="F3285" s="1" t="s">
        <v>5632</v>
      </c>
      <c r="G3285" s="5">
        <f>XLOOKUP(I3285, drug!B:B, drug!A:A, "Not Found")</f>
      </c>
      <c r="H3285" s="1"/>
      <c r="I3285" s="7">
        <v>1</v>
      </c>
      <c r="J3285" s="5">
        <f>XLOOKUP(L3285, uom!C:C, uom!B:B, "Not Found")</f>
      </c>
      <c r="K3285" s="1" t="s">
        <v>5511</v>
      </c>
      <c r="L3285" s="5">
        <f>XLOOKUP(N3285, uom!C:C, uom!B:B, "Not Found")</f>
      </c>
      <c r="M3285" s="1" t="s">
        <v>5511</v>
      </c>
      <c r="N3285" s="8" t="s">
        <v>5512</v>
      </c>
      <c r="O3285" s="1" t="s">
        <v>5513</v>
      </c>
      <c r="P3285" s="5">
        <f>XLOOKUP(R3285, classification!C:C, classification!B:B, "Not Found")</f>
      </c>
      <c r="Q3285" s="1" t="s">
        <v>5514</v>
      </c>
      <c r="R3285" s="2"/>
      <c r="S3285" s="2"/>
      <c r="T3285" s="2"/>
      <c r="U3285" s="2"/>
    </row>
    <row x14ac:dyDescent="0.25" r="3286" customHeight="1" ht="17.25">
      <c r="A3286" s="7">
        <v>3285</v>
      </c>
      <c r="B3286" s="1" t="s">
        <v>8607</v>
      </c>
      <c r="C3286" s="5">
        <f>CONCATENATE("PD", TEXT(A3286, "1000000"))</f>
      </c>
      <c r="D3286" s="7">
        <v>76</v>
      </c>
      <c r="E3286" s="5">
        <f>XLOOKUP(G3286, item_category!C:C, item_category!B:B, "Not Found")</f>
      </c>
      <c r="F3286" s="1" t="s">
        <v>5632</v>
      </c>
      <c r="G3286" s="5">
        <f>XLOOKUP(I3286, drug!B:B, drug!A:A, "Not Found")</f>
      </c>
      <c r="H3286" s="1"/>
      <c r="I3286" s="7">
        <v>1</v>
      </c>
      <c r="J3286" s="5">
        <f>XLOOKUP(L3286, uom!C:C, uom!B:B, "Not Found")</f>
      </c>
      <c r="K3286" s="1" t="s">
        <v>5511</v>
      </c>
      <c r="L3286" s="5">
        <f>XLOOKUP(N3286, uom!C:C, uom!B:B, "Not Found")</f>
      </c>
      <c r="M3286" s="1" t="s">
        <v>5511</v>
      </c>
      <c r="N3286" s="8" t="s">
        <v>5512</v>
      </c>
      <c r="O3286" s="1" t="s">
        <v>5513</v>
      </c>
      <c r="P3286" s="5">
        <f>XLOOKUP(R3286, classification!C:C, classification!B:B, "Not Found")</f>
      </c>
      <c r="Q3286" s="1" t="s">
        <v>5514</v>
      </c>
      <c r="R3286" s="2"/>
      <c r="S3286" s="2"/>
      <c r="T3286" s="2"/>
      <c r="U3286" s="2"/>
    </row>
    <row x14ac:dyDescent="0.25" r="3287" customHeight="1" ht="17.25">
      <c r="A3287" s="7">
        <v>3286</v>
      </c>
      <c r="B3287" s="1" t="s">
        <v>8608</v>
      </c>
      <c r="C3287" s="5">
        <f>CONCATENATE("PD", TEXT(A3287, "1000000"))</f>
      </c>
      <c r="D3287" s="7">
        <v>76</v>
      </c>
      <c r="E3287" s="5">
        <f>XLOOKUP(G3287, item_category!C:C, item_category!B:B, "Not Found")</f>
      </c>
      <c r="F3287" s="1" t="s">
        <v>5632</v>
      </c>
      <c r="G3287" s="5">
        <f>XLOOKUP(I3287, drug!B:B, drug!A:A, "Not Found")</f>
      </c>
      <c r="H3287" s="1" t="s">
        <v>1444</v>
      </c>
      <c r="I3287" s="7">
        <v>1</v>
      </c>
      <c r="J3287" s="5">
        <f>XLOOKUP(L3287, uom!C:C, uom!B:B, "Not Found")</f>
      </c>
      <c r="K3287" s="1" t="s">
        <v>5511</v>
      </c>
      <c r="L3287" s="5">
        <f>XLOOKUP(N3287, uom!C:C, uom!B:B, "Not Found")</f>
      </c>
      <c r="M3287" s="1" t="s">
        <v>5511</v>
      </c>
      <c r="N3287" s="8" t="s">
        <v>5512</v>
      </c>
      <c r="O3287" s="1" t="s">
        <v>5513</v>
      </c>
      <c r="P3287" s="5">
        <f>XLOOKUP(R3287, classification!C:C, classification!B:B, "Not Found")</f>
      </c>
      <c r="Q3287" s="1" t="s">
        <v>5514</v>
      </c>
      <c r="R3287" s="2"/>
      <c r="S3287" s="2"/>
      <c r="T3287" s="2"/>
      <c r="U3287" s="2"/>
    </row>
    <row x14ac:dyDescent="0.25" r="3288" customHeight="1" ht="17.25">
      <c r="A3288" s="7">
        <v>3287</v>
      </c>
      <c r="B3288" s="1" t="s">
        <v>8609</v>
      </c>
      <c r="C3288" s="5">
        <f>CONCATENATE("PD", TEXT(A3288, "1000000"))</f>
      </c>
      <c r="D3288" s="7">
        <v>76</v>
      </c>
      <c r="E3288" s="5">
        <f>XLOOKUP(G3288, item_category!C:C, item_category!B:B, "Not Found")</f>
      </c>
      <c r="F3288" s="1" t="s">
        <v>5632</v>
      </c>
      <c r="G3288" s="5">
        <f>XLOOKUP(I3288, drug!B:B, drug!A:A, "Not Found")</f>
      </c>
      <c r="H3288" s="1" t="s">
        <v>1444</v>
      </c>
      <c r="I3288" s="7">
        <v>1</v>
      </c>
      <c r="J3288" s="5">
        <f>XLOOKUP(L3288, uom!C:C, uom!B:B, "Not Found")</f>
      </c>
      <c r="K3288" s="1" t="s">
        <v>5511</v>
      </c>
      <c r="L3288" s="5">
        <f>XLOOKUP(N3288, uom!C:C, uom!B:B, "Not Found")</f>
      </c>
      <c r="M3288" s="1" t="s">
        <v>5511</v>
      </c>
      <c r="N3288" s="8" t="s">
        <v>5512</v>
      </c>
      <c r="O3288" s="1" t="s">
        <v>5513</v>
      </c>
      <c r="P3288" s="5">
        <f>XLOOKUP(R3288, classification!C:C, classification!B:B, "Not Found")</f>
      </c>
      <c r="Q3288" s="1" t="s">
        <v>5514</v>
      </c>
      <c r="R3288" s="2"/>
      <c r="S3288" s="2"/>
      <c r="T3288" s="2"/>
      <c r="U3288" s="2"/>
    </row>
    <row x14ac:dyDescent="0.25" r="3289" customHeight="1" ht="17.25">
      <c r="A3289" s="7">
        <v>3288</v>
      </c>
      <c r="B3289" s="1" t="s">
        <v>8610</v>
      </c>
      <c r="C3289" s="5">
        <f>CONCATENATE("PD", TEXT(A3289, "1000000"))</f>
      </c>
      <c r="D3289" s="7">
        <v>76</v>
      </c>
      <c r="E3289" s="5">
        <f>XLOOKUP(G3289, item_category!C:C, item_category!B:B, "Not Found")</f>
      </c>
      <c r="F3289" s="1" t="s">
        <v>5632</v>
      </c>
      <c r="G3289" s="5">
        <f>XLOOKUP(I3289, drug!B:B, drug!A:A, "Not Found")</f>
      </c>
      <c r="H3289" s="1"/>
      <c r="I3289" s="7">
        <v>1</v>
      </c>
      <c r="J3289" s="5">
        <f>XLOOKUP(L3289, uom!C:C, uom!B:B, "Not Found")</f>
      </c>
      <c r="K3289" s="1" t="s">
        <v>5511</v>
      </c>
      <c r="L3289" s="5">
        <f>XLOOKUP(N3289, uom!C:C, uom!B:B, "Not Found")</f>
      </c>
      <c r="M3289" s="1" t="s">
        <v>5511</v>
      </c>
      <c r="N3289" s="8" t="s">
        <v>5512</v>
      </c>
      <c r="O3289" s="1" t="s">
        <v>5513</v>
      </c>
      <c r="P3289" s="5">
        <f>XLOOKUP(R3289, classification!C:C, classification!B:B, "Not Found")</f>
      </c>
      <c r="Q3289" s="1" t="s">
        <v>5514</v>
      </c>
      <c r="R3289" s="2"/>
      <c r="S3289" s="2"/>
      <c r="T3289" s="2"/>
      <c r="U3289" s="2"/>
    </row>
    <row x14ac:dyDescent="0.25" r="3290" customHeight="1" ht="17.25">
      <c r="A3290" s="7">
        <v>3289</v>
      </c>
      <c r="B3290" s="1" t="s">
        <v>3416</v>
      </c>
      <c r="C3290" s="5">
        <f>CONCATENATE("PD", TEXT(A3290, "1000000"))</f>
      </c>
      <c r="D3290" s="7">
        <v>76</v>
      </c>
      <c r="E3290" s="5">
        <f>XLOOKUP(G3290, item_category!C:C, item_category!B:B, "Not Found")</f>
      </c>
      <c r="F3290" s="1" t="s">
        <v>5632</v>
      </c>
      <c r="G3290" s="5">
        <f>XLOOKUP(I3290, drug!B:B, drug!A:A, "Not Found")</f>
      </c>
      <c r="H3290" s="1"/>
      <c r="I3290" s="7">
        <v>1</v>
      </c>
      <c r="J3290" s="5">
        <f>XLOOKUP(L3290, uom!C:C, uom!B:B, "Not Found")</f>
      </c>
      <c r="K3290" s="1" t="s">
        <v>5511</v>
      </c>
      <c r="L3290" s="5">
        <f>XLOOKUP(N3290, uom!C:C, uom!B:B, "Not Found")</f>
      </c>
      <c r="M3290" s="1" t="s">
        <v>5511</v>
      </c>
      <c r="N3290" s="8" t="s">
        <v>5512</v>
      </c>
      <c r="O3290" s="1" t="s">
        <v>5513</v>
      </c>
      <c r="P3290" s="5">
        <f>XLOOKUP(R3290, classification!C:C, classification!B:B, "Not Found")</f>
      </c>
      <c r="Q3290" s="1" t="s">
        <v>5514</v>
      </c>
      <c r="R3290" s="2"/>
      <c r="S3290" s="2"/>
      <c r="T3290" s="2"/>
      <c r="U3290" s="2"/>
    </row>
    <row x14ac:dyDescent="0.25" r="3291" customHeight="1" ht="17.25">
      <c r="A3291" s="7">
        <v>3290</v>
      </c>
      <c r="B3291" s="1" t="s">
        <v>8611</v>
      </c>
      <c r="C3291" s="5">
        <f>CONCATENATE("PD", TEXT(A3291, "1000000"))</f>
      </c>
      <c r="D3291" s="7">
        <v>76</v>
      </c>
      <c r="E3291" s="5">
        <f>XLOOKUP(G3291, item_category!C:C, item_category!B:B, "Not Found")</f>
      </c>
      <c r="F3291" s="1" t="s">
        <v>5632</v>
      </c>
      <c r="G3291" s="5">
        <f>XLOOKUP(I3291, drug!B:B, drug!A:A, "Not Found")</f>
      </c>
      <c r="H3291" s="1"/>
      <c r="I3291" s="7">
        <v>1</v>
      </c>
      <c r="J3291" s="5">
        <f>XLOOKUP(L3291, uom!C:C, uom!B:B, "Not Found")</f>
      </c>
      <c r="K3291" s="1" t="s">
        <v>5511</v>
      </c>
      <c r="L3291" s="5">
        <f>XLOOKUP(N3291, uom!C:C, uom!B:B, "Not Found")</f>
      </c>
      <c r="M3291" s="1" t="s">
        <v>5511</v>
      </c>
      <c r="N3291" s="8" t="s">
        <v>5512</v>
      </c>
      <c r="O3291" s="1" t="s">
        <v>5513</v>
      </c>
      <c r="P3291" s="5">
        <f>XLOOKUP(R3291, classification!C:C, classification!B:B, "Not Found")</f>
      </c>
      <c r="Q3291" s="1" t="s">
        <v>5514</v>
      </c>
      <c r="R3291" s="2"/>
      <c r="S3291" s="2"/>
      <c r="T3291" s="2"/>
      <c r="U3291" s="2"/>
    </row>
    <row x14ac:dyDescent="0.25" r="3292" customHeight="1" ht="17.25">
      <c r="A3292" s="7">
        <v>3291</v>
      </c>
      <c r="B3292" s="1" t="s">
        <v>8612</v>
      </c>
      <c r="C3292" s="5">
        <f>CONCATENATE("PD", TEXT(A3292, "1000000"))</f>
      </c>
      <c r="D3292" s="7">
        <v>76</v>
      </c>
      <c r="E3292" s="5">
        <f>XLOOKUP(G3292, item_category!C:C, item_category!B:B, "Not Found")</f>
      </c>
      <c r="F3292" s="1" t="s">
        <v>5632</v>
      </c>
      <c r="G3292" s="5">
        <f>XLOOKUP(I3292, drug!B:B, drug!A:A, "Not Found")</f>
      </c>
      <c r="H3292" s="1"/>
      <c r="I3292" s="7">
        <v>1</v>
      </c>
      <c r="J3292" s="5">
        <f>XLOOKUP(L3292, uom!C:C, uom!B:B, "Not Found")</f>
      </c>
      <c r="K3292" s="1" t="s">
        <v>5511</v>
      </c>
      <c r="L3292" s="5">
        <f>XLOOKUP(N3292, uom!C:C, uom!B:B, "Not Found")</f>
      </c>
      <c r="M3292" s="1" t="s">
        <v>5511</v>
      </c>
      <c r="N3292" s="8" t="s">
        <v>5512</v>
      </c>
      <c r="O3292" s="1" t="s">
        <v>5513</v>
      </c>
      <c r="P3292" s="5">
        <f>XLOOKUP(R3292, classification!C:C, classification!B:B, "Not Found")</f>
      </c>
      <c r="Q3292" s="1" t="s">
        <v>5514</v>
      </c>
      <c r="R3292" s="2"/>
      <c r="S3292" s="2"/>
      <c r="T3292" s="2"/>
      <c r="U3292" s="2"/>
    </row>
    <row x14ac:dyDescent="0.25" r="3293" customHeight="1" ht="17.25">
      <c r="A3293" s="7">
        <v>3292</v>
      </c>
      <c r="B3293" s="1" t="s">
        <v>8613</v>
      </c>
      <c r="C3293" s="5">
        <f>CONCATENATE("PD", TEXT(A3293, "1000000"))</f>
      </c>
      <c r="D3293" s="7">
        <v>76</v>
      </c>
      <c r="E3293" s="5">
        <f>XLOOKUP(G3293, item_category!C:C, item_category!B:B, "Not Found")</f>
      </c>
      <c r="F3293" s="1" t="s">
        <v>5632</v>
      </c>
      <c r="G3293" s="5">
        <f>XLOOKUP(I3293, drug!B:B, drug!A:A, "Not Found")</f>
      </c>
      <c r="H3293" s="1"/>
      <c r="I3293" s="7">
        <v>1</v>
      </c>
      <c r="J3293" s="5">
        <f>XLOOKUP(L3293, uom!C:C, uom!B:B, "Not Found")</f>
      </c>
      <c r="K3293" s="1" t="s">
        <v>5511</v>
      </c>
      <c r="L3293" s="5">
        <f>XLOOKUP(N3293, uom!C:C, uom!B:B, "Not Found")</f>
      </c>
      <c r="M3293" s="1" t="s">
        <v>5511</v>
      </c>
      <c r="N3293" s="8" t="s">
        <v>5512</v>
      </c>
      <c r="O3293" s="1" t="s">
        <v>5513</v>
      </c>
      <c r="P3293" s="5">
        <f>XLOOKUP(R3293, classification!C:C, classification!B:B, "Not Found")</f>
      </c>
      <c r="Q3293" s="1" t="s">
        <v>5514</v>
      </c>
      <c r="R3293" s="2"/>
      <c r="S3293" s="2"/>
      <c r="T3293" s="2"/>
      <c r="U3293" s="2"/>
    </row>
    <row x14ac:dyDescent="0.25" r="3294" customHeight="1" ht="17.25">
      <c r="A3294" s="7">
        <v>3293</v>
      </c>
      <c r="B3294" s="1" t="s">
        <v>8614</v>
      </c>
      <c r="C3294" s="5">
        <f>CONCATENATE("PD", TEXT(A3294, "1000000"))</f>
      </c>
      <c r="D3294" s="7">
        <v>76</v>
      </c>
      <c r="E3294" s="5">
        <f>XLOOKUP(G3294, item_category!C:C, item_category!B:B, "Not Found")</f>
      </c>
      <c r="F3294" s="1" t="s">
        <v>5632</v>
      </c>
      <c r="G3294" s="5">
        <f>XLOOKUP(I3294, drug!B:B, drug!A:A, "Not Found")</f>
      </c>
      <c r="H3294" s="1"/>
      <c r="I3294" s="7">
        <v>1</v>
      </c>
      <c r="J3294" s="5">
        <f>XLOOKUP(L3294, uom!C:C, uom!B:B, "Not Found")</f>
      </c>
      <c r="K3294" s="1" t="s">
        <v>5511</v>
      </c>
      <c r="L3294" s="5">
        <f>XLOOKUP(N3294, uom!C:C, uom!B:B, "Not Found")</f>
      </c>
      <c r="M3294" s="1" t="s">
        <v>5511</v>
      </c>
      <c r="N3294" s="8" t="s">
        <v>5512</v>
      </c>
      <c r="O3294" s="1" t="s">
        <v>5513</v>
      </c>
      <c r="P3294" s="5">
        <f>XLOOKUP(R3294, classification!C:C, classification!B:B, "Not Found")</f>
      </c>
      <c r="Q3294" s="1" t="s">
        <v>5514</v>
      </c>
      <c r="R3294" s="2"/>
      <c r="S3294" s="2"/>
      <c r="T3294" s="2"/>
      <c r="U3294" s="2"/>
    </row>
    <row x14ac:dyDescent="0.25" r="3295" customHeight="1" ht="17.25">
      <c r="A3295" s="7">
        <v>3294</v>
      </c>
      <c r="B3295" s="1" t="s">
        <v>8615</v>
      </c>
      <c r="C3295" s="5">
        <f>CONCATENATE("PD", TEXT(A3295, "1000000"))</f>
      </c>
      <c r="D3295" s="7">
        <v>76</v>
      </c>
      <c r="E3295" s="5">
        <f>XLOOKUP(G3295, item_category!C:C, item_category!B:B, "Not Found")</f>
      </c>
      <c r="F3295" s="1" t="s">
        <v>5632</v>
      </c>
      <c r="G3295" s="5">
        <f>XLOOKUP(I3295, drug!B:B, drug!A:A, "Not Found")</f>
      </c>
      <c r="H3295" s="1"/>
      <c r="I3295" s="7">
        <v>1</v>
      </c>
      <c r="J3295" s="5">
        <f>XLOOKUP(L3295, uom!C:C, uom!B:B, "Not Found")</f>
      </c>
      <c r="K3295" s="1" t="s">
        <v>5511</v>
      </c>
      <c r="L3295" s="5">
        <f>XLOOKUP(N3295, uom!C:C, uom!B:B, "Not Found")</f>
      </c>
      <c r="M3295" s="1" t="s">
        <v>5511</v>
      </c>
      <c r="N3295" s="8" t="s">
        <v>5512</v>
      </c>
      <c r="O3295" s="1" t="s">
        <v>5513</v>
      </c>
      <c r="P3295" s="5">
        <f>XLOOKUP(R3295, classification!C:C, classification!B:B, "Not Found")</f>
      </c>
      <c r="Q3295" s="1" t="s">
        <v>5514</v>
      </c>
      <c r="R3295" s="2"/>
      <c r="S3295" s="2"/>
      <c r="T3295" s="2"/>
      <c r="U3295" s="2"/>
    </row>
    <row x14ac:dyDescent="0.25" r="3296" customHeight="1" ht="17.25">
      <c r="A3296" s="7">
        <v>3295</v>
      </c>
      <c r="B3296" s="1" t="s">
        <v>8616</v>
      </c>
      <c r="C3296" s="5">
        <f>CONCATENATE("PD", TEXT(A3296, "1000000"))</f>
      </c>
      <c r="D3296" s="7">
        <v>76</v>
      </c>
      <c r="E3296" s="5">
        <f>XLOOKUP(G3296, item_category!C:C, item_category!B:B, "Not Found")</f>
      </c>
      <c r="F3296" s="1" t="s">
        <v>5632</v>
      </c>
      <c r="G3296" s="5">
        <f>XLOOKUP(I3296, drug!B:B, drug!A:A, "Not Found")</f>
      </c>
      <c r="H3296" s="1"/>
      <c r="I3296" s="7">
        <v>1</v>
      </c>
      <c r="J3296" s="5">
        <f>XLOOKUP(L3296, uom!C:C, uom!B:B, "Not Found")</f>
      </c>
      <c r="K3296" s="1" t="s">
        <v>5511</v>
      </c>
      <c r="L3296" s="5">
        <f>XLOOKUP(N3296, uom!C:C, uom!B:B, "Not Found")</f>
      </c>
      <c r="M3296" s="1" t="s">
        <v>5511</v>
      </c>
      <c r="N3296" s="8" t="s">
        <v>5512</v>
      </c>
      <c r="O3296" s="1" t="s">
        <v>5513</v>
      </c>
      <c r="P3296" s="5">
        <f>XLOOKUP(R3296, classification!C:C, classification!B:B, "Not Found")</f>
      </c>
      <c r="Q3296" s="1" t="s">
        <v>5514</v>
      </c>
      <c r="R3296" s="2"/>
      <c r="S3296" s="2"/>
      <c r="T3296" s="2"/>
      <c r="U3296" s="2"/>
    </row>
    <row x14ac:dyDescent="0.25" r="3297" customHeight="1" ht="17.25">
      <c r="A3297" s="7">
        <v>3296</v>
      </c>
      <c r="B3297" s="1" t="s">
        <v>2684</v>
      </c>
      <c r="C3297" s="5">
        <f>CONCATENATE("PD", TEXT(A3297, "1000000"))</f>
      </c>
      <c r="D3297" s="7">
        <v>76</v>
      </c>
      <c r="E3297" s="5">
        <f>XLOOKUP(G3297, item_category!C:C, item_category!B:B, "Not Found")</f>
      </c>
      <c r="F3297" s="1" t="s">
        <v>5632</v>
      </c>
      <c r="G3297" s="5">
        <f>XLOOKUP(I3297, drug!B:B, drug!A:A, "Not Found")</f>
      </c>
      <c r="H3297" s="1"/>
      <c r="I3297" s="7">
        <v>1</v>
      </c>
      <c r="J3297" s="5">
        <f>XLOOKUP(L3297, uom!C:C, uom!B:B, "Not Found")</f>
      </c>
      <c r="K3297" s="1" t="s">
        <v>5511</v>
      </c>
      <c r="L3297" s="5">
        <f>XLOOKUP(N3297, uom!C:C, uom!B:B, "Not Found")</f>
      </c>
      <c r="M3297" s="1" t="s">
        <v>5511</v>
      </c>
      <c r="N3297" s="8" t="s">
        <v>5512</v>
      </c>
      <c r="O3297" s="1" t="s">
        <v>5513</v>
      </c>
      <c r="P3297" s="5">
        <f>XLOOKUP(R3297, classification!C:C, classification!B:B, "Not Found")</f>
      </c>
      <c r="Q3297" s="1" t="s">
        <v>5514</v>
      </c>
      <c r="R3297" s="2"/>
      <c r="S3297" s="2"/>
      <c r="T3297" s="2"/>
      <c r="U3297" s="2"/>
    </row>
    <row x14ac:dyDescent="0.25" r="3298" customHeight="1" ht="17.25">
      <c r="A3298" s="7">
        <v>3297</v>
      </c>
      <c r="B3298" s="1" t="s">
        <v>8617</v>
      </c>
      <c r="C3298" s="5">
        <f>CONCATENATE("PD", TEXT(A3298, "1000000"))</f>
      </c>
      <c r="D3298" s="7">
        <v>76</v>
      </c>
      <c r="E3298" s="5">
        <f>XLOOKUP(G3298, item_category!C:C, item_category!B:B, "Not Found")</f>
      </c>
      <c r="F3298" s="1" t="s">
        <v>5632</v>
      </c>
      <c r="G3298" s="5">
        <f>XLOOKUP(I3298, drug!B:B, drug!A:A, "Not Found")</f>
      </c>
      <c r="H3298" s="1"/>
      <c r="I3298" s="7">
        <v>1</v>
      </c>
      <c r="J3298" s="5">
        <f>XLOOKUP(L3298, uom!C:C, uom!B:B, "Not Found")</f>
      </c>
      <c r="K3298" s="1" t="s">
        <v>5511</v>
      </c>
      <c r="L3298" s="5">
        <f>XLOOKUP(N3298, uom!C:C, uom!B:B, "Not Found")</f>
      </c>
      <c r="M3298" s="1" t="s">
        <v>5511</v>
      </c>
      <c r="N3298" s="8" t="s">
        <v>5512</v>
      </c>
      <c r="O3298" s="1" t="s">
        <v>5513</v>
      </c>
      <c r="P3298" s="5">
        <f>XLOOKUP(R3298, classification!C:C, classification!B:B, "Not Found")</f>
      </c>
      <c r="Q3298" s="1" t="s">
        <v>5514</v>
      </c>
      <c r="R3298" s="2"/>
      <c r="S3298" s="2"/>
      <c r="T3298" s="2"/>
      <c r="U3298" s="2"/>
    </row>
    <row x14ac:dyDescent="0.25" r="3299" customHeight="1" ht="17.25">
      <c r="A3299" s="7">
        <v>3298</v>
      </c>
      <c r="B3299" s="1" t="s">
        <v>8618</v>
      </c>
      <c r="C3299" s="5">
        <f>CONCATENATE("PD", TEXT(A3299, "1000000"))</f>
      </c>
      <c r="D3299" s="7">
        <v>76</v>
      </c>
      <c r="E3299" s="5">
        <f>XLOOKUP(G3299, item_category!C:C, item_category!B:B, "Not Found")</f>
      </c>
      <c r="F3299" s="1" t="s">
        <v>5632</v>
      </c>
      <c r="G3299" s="5">
        <f>XLOOKUP(I3299, drug!B:B, drug!A:A, "Not Found")</f>
      </c>
      <c r="H3299" s="1"/>
      <c r="I3299" s="7">
        <v>1</v>
      </c>
      <c r="J3299" s="5">
        <f>XLOOKUP(L3299, uom!C:C, uom!B:B, "Not Found")</f>
      </c>
      <c r="K3299" s="1" t="s">
        <v>5511</v>
      </c>
      <c r="L3299" s="5">
        <f>XLOOKUP(N3299, uom!C:C, uom!B:B, "Not Found")</f>
      </c>
      <c r="M3299" s="1" t="s">
        <v>5511</v>
      </c>
      <c r="N3299" s="8" t="s">
        <v>5512</v>
      </c>
      <c r="O3299" s="1" t="s">
        <v>5513</v>
      </c>
      <c r="P3299" s="5">
        <f>XLOOKUP(R3299, classification!C:C, classification!B:B, "Not Found")</f>
      </c>
      <c r="Q3299" s="1" t="s">
        <v>5514</v>
      </c>
      <c r="R3299" s="2"/>
      <c r="S3299" s="2"/>
      <c r="T3299" s="2"/>
      <c r="U3299" s="2"/>
    </row>
    <row x14ac:dyDescent="0.25" r="3300" customHeight="1" ht="17.25">
      <c r="A3300" s="7">
        <v>3299</v>
      </c>
      <c r="B3300" s="1" t="s">
        <v>8619</v>
      </c>
      <c r="C3300" s="5">
        <f>CONCATENATE("PD", TEXT(A3300, "1000000"))</f>
      </c>
      <c r="D3300" s="7">
        <v>76</v>
      </c>
      <c r="E3300" s="5">
        <f>XLOOKUP(G3300, item_category!C:C, item_category!B:B, "Not Found")</f>
      </c>
      <c r="F3300" s="1" t="s">
        <v>5632</v>
      </c>
      <c r="G3300" s="5">
        <f>XLOOKUP(I3300, drug!B:B, drug!A:A, "Not Found")</f>
      </c>
      <c r="H3300" s="1"/>
      <c r="I3300" s="7">
        <v>1</v>
      </c>
      <c r="J3300" s="5">
        <f>XLOOKUP(L3300, uom!C:C, uom!B:B, "Not Found")</f>
      </c>
      <c r="K3300" s="1" t="s">
        <v>5511</v>
      </c>
      <c r="L3300" s="5">
        <f>XLOOKUP(N3300, uom!C:C, uom!B:B, "Not Found")</f>
      </c>
      <c r="M3300" s="1" t="s">
        <v>5511</v>
      </c>
      <c r="N3300" s="8" t="s">
        <v>5512</v>
      </c>
      <c r="O3300" s="1" t="s">
        <v>5513</v>
      </c>
      <c r="P3300" s="5">
        <f>XLOOKUP(R3300, classification!C:C, classification!B:B, "Not Found")</f>
      </c>
      <c r="Q3300" s="1" t="s">
        <v>5514</v>
      </c>
      <c r="R3300" s="2"/>
      <c r="S3300" s="2"/>
      <c r="T3300" s="2"/>
      <c r="U3300" s="2"/>
    </row>
    <row x14ac:dyDescent="0.25" r="3301" customHeight="1" ht="17.25">
      <c r="A3301" s="7">
        <v>3300</v>
      </c>
      <c r="B3301" s="1" t="s">
        <v>8620</v>
      </c>
      <c r="C3301" s="5">
        <f>CONCATENATE("PD", TEXT(A3301, "1000000"))</f>
      </c>
      <c r="D3301" s="7">
        <v>76</v>
      </c>
      <c r="E3301" s="5">
        <f>XLOOKUP(G3301, item_category!C:C, item_category!B:B, "Not Found")</f>
      </c>
      <c r="F3301" s="1" t="s">
        <v>5632</v>
      </c>
      <c r="G3301" s="5">
        <f>XLOOKUP(I3301, drug!B:B, drug!A:A, "Not Found")</f>
      </c>
      <c r="H3301" s="1"/>
      <c r="I3301" s="7">
        <v>1</v>
      </c>
      <c r="J3301" s="5">
        <f>XLOOKUP(L3301, uom!C:C, uom!B:B, "Not Found")</f>
      </c>
      <c r="K3301" s="1" t="s">
        <v>5511</v>
      </c>
      <c r="L3301" s="5">
        <f>XLOOKUP(N3301, uom!C:C, uom!B:B, "Not Found")</f>
      </c>
      <c r="M3301" s="1" t="s">
        <v>5511</v>
      </c>
      <c r="N3301" s="8" t="s">
        <v>5512</v>
      </c>
      <c r="O3301" s="1" t="s">
        <v>5513</v>
      </c>
      <c r="P3301" s="5">
        <f>XLOOKUP(R3301, classification!C:C, classification!B:B, "Not Found")</f>
      </c>
      <c r="Q3301" s="1" t="s">
        <v>5514</v>
      </c>
      <c r="R3301" s="2"/>
      <c r="S3301" s="2"/>
      <c r="T3301" s="2"/>
      <c r="U3301" s="2"/>
    </row>
    <row x14ac:dyDescent="0.25" r="3302" customHeight="1" ht="17.25">
      <c r="A3302" s="7">
        <v>3301</v>
      </c>
      <c r="B3302" s="1" t="s">
        <v>8621</v>
      </c>
      <c r="C3302" s="5">
        <f>CONCATENATE("PD", TEXT(A3302, "1000000"))</f>
      </c>
      <c r="D3302" s="7">
        <v>76</v>
      </c>
      <c r="E3302" s="5">
        <f>XLOOKUP(G3302, item_category!C:C, item_category!B:B, "Not Found")</f>
      </c>
      <c r="F3302" s="1" t="s">
        <v>5632</v>
      </c>
      <c r="G3302" s="5">
        <f>XLOOKUP(I3302, drug!B:B, drug!A:A, "Not Found")</f>
      </c>
      <c r="H3302" s="1"/>
      <c r="I3302" s="7">
        <v>1</v>
      </c>
      <c r="J3302" s="5">
        <f>XLOOKUP(L3302, uom!C:C, uom!B:B, "Not Found")</f>
      </c>
      <c r="K3302" s="1" t="s">
        <v>5511</v>
      </c>
      <c r="L3302" s="5">
        <f>XLOOKUP(N3302, uom!C:C, uom!B:B, "Not Found")</f>
      </c>
      <c r="M3302" s="1" t="s">
        <v>5511</v>
      </c>
      <c r="N3302" s="8" t="s">
        <v>5512</v>
      </c>
      <c r="O3302" s="1" t="s">
        <v>5513</v>
      </c>
      <c r="P3302" s="5">
        <f>XLOOKUP(R3302, classification!C:C, classification!B:B, "Not Found")</f>
      </c>
      <c r="Q3302" s="1" t="s">
        <v>5514</v>
      </c>
      <c r="R3302" s="2"/>
      <c r="S3302" s="2"/>
      <c r="T3302" s="2"/>
      <c r="U3302" s="2"/>
    </row>
    <row x14ac:dyDescent="0.25" r="3303" customHeight="1" ht="17.25">
      <c r="A3303" s="7">
        <v>3302</v>
      </c>
      <c r="B3303" s="1" t="s">
        <v>8622</v>
      </c>
      <c r="C3303" s="5">
        <f>CONCATENATE("PD", TEXT(A3303, "1000000"))</f>
      </c>
      <c r="D3303" s="7">
        <v>76</v>
      </c>
      <c r="E3303" s="5">
        <f>XLOOKUP(G3303, item_category!C:C, item_category!B:B, "Not Found")</f>
      </c>
      <c r="F3303" s="1" t="s">
        <v>5632</v>
      </c>
      <c r="G3303" s="5">
        <f>XLOOKUP(I3303, drug!B:B, drug!A:A, "Not Found")</f>
      </c>
      <c r="H3303" s="1"/>
      <c r="I3303" s="7">
        <v>1</v>
      </c>
      <c r="J3303" s="5">
        <f>XLOOKUP(L3303, uom!C:C, uom!B:B, "Not Found")</f>
      </c>
      <c r="K3303" s="1" t="s">
        <v>5511</v>
      </c>
      <c r="L3303" s="5">
        <f>XLOOKUP(N3303, uom!C:C, uom!B:B, "Not Found")</f>
      </c>
      <c r="M3303" s="1" t="s">
        <v>5511</v>
      </c>
      <c r="N3303" s="8" t="s">
        <v>5512</v>
      </c>
      <c r="O3303" s="1" t="s">
        <v>5513</v>
      </c>
      <c r="P3303" s="5">
        <f>XLOOKUP(R3303, classification!C:C, classification!B:B, "Not Found")</f>
      </c>
      <c r="Q3303" s="1" t="s">
        <v>5514</v>
      </c>
      <c r="R3303" s="2"/>
      <c r="S3303" s="2"/>
      <c r="T3303" s="2"/>
      <c r="U3303" s="2"/>
    </row>
    <row x14ac:dyDescent="0.25" r="3304" customHeight="1" ht="17.25">
      <c r="A3304" s="7">
        <v>3303</v>
      </c>
      <c r="B3304" s="1" t="s">
        <v>8623</v>
      </c>
      <c r="C3304" s="5">
        <f>CONCATENATE("PD", TEXT(A3304, "1000000"))</f>
      </c>
      <c r="D3304" s="7">
        <v>76</v>
      </c>
      <c r="E3304" s="5">
        <f>XLOOKUP(G3304, item_category!C:C, item_category!B:B, "Not Found")</f>
      </c>
      <c r="F3304" s="1" t="s">
        <v>5632</v>
      </c>
      <c r="G3304" s="5">
        <f>XLOOKUP(I3304, drug!B:B, drug!A:A, "Not Found")</f>
      </c>
      <c r="H3304" s="1"/>
      <c r="I3304" s="7">
        <v>1</v>
      </c>
      <c r="J3304" s="5">
        <f>XLOOKUP(L3304, uom!C:C, uom!B:B, "Not Found")</f>
      </c>
      <c r="K3304" s="1" t="s">
        <v>5511</v>
      </c>
      <c r="L3304" s="5">
        <f>XLOOKUP(N3304, uom!C:C, uom!B:B, "Not Found")</f>
      </c>
      <c r="M3304" s="1" t="s">
        <v>5511</v>
      </c>
      <c r="N3304" s="8" t="s">
        <v>5512</v>
      </c>
      <c r="O3304" s="1" t="s">
        <v>5513</v>
      </c>
      <c r="P3304" s="5">
        <f>XLOOKUP(R3304, classification!C:C, classification!B:B, "Not Found")</f>
      </c>
      <c r="Q3304" s="1" t="s">
        <v>5514</v>
      </c>
      <c r="R3304" s="2"/>
      <c r="S3304" s="2"/>
      <c r="T3304" s="2"/>
      <c r="U3304" s="2"/>
    </row>
    <row x14ac:dyDescent="0.25" r="3305" customHeight="1" ht="17.25">
      <c r="A3305" s="7">
        <v>3304</v>
      </c>
      <c r="B3305" s="1" t="s">
        <v>8624</v>
      </c>
      <c r="C3305" s="5">
        <f>CONCATENATE("PD", TEXT(A3305, "1000000"))</f>
      </c>
      <c r="D3305" s="7">
        <v>76</v>
      </c>
      <c r="E3305" s="5">
        <f>XLOOKUP(G3305, item_category!C:C, item_category!B:B, "Not Found")</f>
      </c>
      <c r="F3305" s="1" t="s">
        <v>5632</v>
      </c>
      <c r="G3305" s="5">
        <f>XLOOKUP(I3305, drug!B:B, drug!A:A, "Not Found")</f>
      </c>
      <c r="H3305" s="1"/>
      <c r="I3305" s="7">
        <v>1</v>
      </c>
      <c r="J3305" s="5">
        <f>XLOOKUP(L3305, uom!C:C, uom!B:B, "Not Found")</f>
      </c>
      <c r="K3305" s="1" t="s">
        <v>5511</v>
      </c>
      <c r="L3305" s="5">
        <f>XLOOKUP(N3305, uom!C:C, uom!B:B, "Not Found")</f>
      </c>
      <c r="M3305" s="1" t="s">
        <v>5511</v>
      </c>
      <c r="N3305" s="8" t="s">
        <v>5512</v>
      </c>
      <c r="O3305" s="1" t="s">
        <v>5513</v>
      </c>
      <c r="P3305" s="5">
        <f>XLOOKUP(R3305, classification!C:C, classification!B:B, "Not Found")</f>
      </c>
      <c r="Q3305" s="1" t="s">
        <v>5514</v>
      </c>
      <c r="R3305" s="2"/>
      <c r="S3305" s="2"/>
      <c r="T3305" s="2"/>
      <c r="U3305" s="2"/>
    </row>
    <row x14ac:dyDescent="0.25" r="3306" customHeight="1" ht="17.25">
      <c r="A3306" s="7">
        <v>3305</v>
      </c>
      <c r="B3306" s="1" t="s">
        <v>8625</v>
      </c>
      <c r="C3306" s="5">
        <f>CONCATENATE("PD", TEXT(A3306, "1000000"))</f>
      </c>
      <c r="D3306" s="7">
        <v>76</v>
      </c>
      <c r="E3306" s="5">
        <f>XLOOKUP(G3306, item_category!C:C, item_category!B:B, "Not Found")</f>
      </c>
      <c r="F3306" s="1" t="s">
        <v>5632</v>
      </c>
      <c r="G3306" s="5">
        <f>XLOOKUP(I3306, drug!B:B, drug!A:A, "Not Found")</f>
      </c>
      <c r="H3306" s="1"/>
      <c r="I3306" s="7">
        <v>1</v>
      </c>
      <c r="J3306" s="5">
        <f>XLOOKUP(L3306, uom!C:C, uom!B:B, "Not Found")</f>
      </c>
      <c r="K3306" s="1" t="s">
        <v>5511</v>
      </c>
      <c r="L3306" s="5">
        <f>XLOOKUP(N3306, uom!C:C, uom!B:B, "Not Found")</f>
      </c>
      <c r="M3306" s="1" t="s">
        <v>5511</v>
      </c>
      <c r="N3306" s="8" t="s">
        <v>5512</v>
      </c>
      <c r="O3306" s="1" t="s">
        <v>5513</v>
      </c>
      <c r="P3306" s="5">
        <f>XLOOKUP(R3306, classification!C:C, classification!B:B, "Not Found")</f>
      </c>
      <c r="Q3306" s="1" t="s">
        <v>5514</v>
      </c>
      <c r="R3306" s="2"/>
      <c r="S3306" s="2"/>
      <c r="T3306" s="2"/>
      <c r="U3306" s="2"/>
    </row>
    <row x14ac:dyDescent="0.25" r="3307" customHeight="1" ht="17.25">
      <c r="A3307" s="7">
        <v>3306</v>
      </c>
      <c r="B3307" s="1" t="s">
        <v>8626</v>
      </c>
      <c r="C3307" s="5">
        <f>CONCATENATE("PD", TEXT(A3307, "1000000"))</f>
      </c>
      <c r="D3307" s="7">
        <v>76</v>
      </c>
      <c r="E3307" s="5">
        <f>XLOOKUP(G3307, item_category!C:C, item_category!B:B, "Not Found")</f>
      </c>
      <c r="F3307" s="1" t="s">
        <v>5632</v>
      </c>
      <c r="G3307" s="5">
        <f>XLOOKUP(I3307, drug!B:B, drug!A:A, "Not Found")</f>
      </c>
      <c r="H3307" s="1"/>
      <c r="I3307" s="7">
        <v>1</v>
      </c>
      <c r="J3307" s="5">
        <f>XLOOKUP(L3307, uom!C:C, uom!B:B, "Not Found")</f>
      </c>
      <c r="K3307" s="1" t="s">
        <v>5511</v>
      </c>
      <c r="L3307" s="5">
        <f>XLOOKUP(N3307, uom!C:C, uom!B:B, "Not Found")</f>
      </c>
      <c r="M3307" s="1" t="s">
        <v>5511</v>
      </c>
      <c r="N3307" s="8" t="s">
        <v>5512</v>
      </c>
      <c r="O3307" s="1" t="s">
        <v>5513</v>
      </c>
      <c r="P3307" s="5">
        <f>XLOOKUP(R3307, classification!C:C, classification!B:B, "Not Found")</f>
      </c>
      <c r="Q3307" s="1" t="s">
        <v>5514</v>
      </c>
      <c r="R3307" s="2"/>
      <c r="S3307" s="2"/>
      <c r="T3307" s="2"/>
      <c r="U3307" s="2"/>
    </row>
    <row x14ac:dyDescent="0.25" r="3308" customHeight="1" ht="17.25">
      <c r="A3308" s="7">
        <v>3307</v>
      </c>
      <c r="B3308" s="1" t="s">
        <v>8627</v>
      </c>
      <c r="C3308" s="5">
        <f>CONCATENATE("PD", TEXT(A3308, "1000000"))</f>
      </c>
      <c r="D3308" s="7">
        <v>76</v>
      </c>
      <c r="E3308" s="5">
        <f>XLOOKUP(G3308, item_category!C:C, item_category!B:B, "Not Found")</f>
      </c>
      <c r="F3308" s="1" t="s">
        <v>5632</v>
      </c>
      <c r="G3308" s="5">
        <f>XLOOKUP(I3308, drug!B:B, drug!A:A, "Not Found")</f>
      </c>
      <c r="H3308" s="1"/>
      <c r="I3308" s="7">
        <v>1</v>
      </c>
      <c r="J3308" s="5">
        <f>XLOOKUP(L3308, uom!C:C, uom!B:B, "Not Found")</f>
      </c>
      <c r="K3308" s="1" t="s">
        <v>5511</v>
      </c>
      <c r="L3308" s="5">
        <f>XLOOKUP(N3308, uom!C:C, uom!B:B, "Not Found")</f>
      </c>
      <c r="M3308" s="1" t="s">
        <v>5511</v>
      </c>
      <c r="N3308" s="8" t="s">
        <v>5512</v>
      </c>
      <c r="O3308" s="1" t="s">
        <v>5513</v>
      </c>
      <c r="P3308" s="5">
        <f>XLOOKUP(R3308, classification!C:C, classification!B:B, "Not Found")</f>
      </c>
      <c r="Q3308" s="1" t="s">
        <v>5514</v>
      </c>
      <c r="R3308" s="2"/>
      <c r="S3308" s="2"/>
      <c r="T3308" s="2"/>
      <c r="U3308" s="2"/>
    </row>
    <row x14ac:dyDescent="0.25" r="3309" customHeight="1" ht="17.25">
      <c r="A3309" s="7">
        <v>3308</v>
      </c>
      <c r="B3309" s="1" t="s">
        <v>8628</v>
      </c>
      <c r="C3309" s="5">
        <f>CONCATENATE("PD", TEXT(A3309, "1000000"))</f>
      </c>
      <c r="D3309" s="7">
        <v>76</v>
      </c>
      <c r="E3309" s="5">
        <f>XLOOKUP(G3309, item_category!C:C, item_category!B:B, "Not Found")</f>
      </c>
      <c r="F3309" s="1" t="s">
        <v>5632</v>
      </c>
      <c r="G3309" s="5">
        <f>XLOOKUP(I3309, drug!B:B, drug!A:A, "Not Found")</f>
      </c>
      <c r="H3309" s="1"/>
      <c r="I3309" s="7">
        <v>1</v>
      </c>
      <c r="J3309" s="5">
        <f>XLOOKUP(L3309, uom!C:C, uom!B:B, "Not Found")</f>
      </c>
      <c r="K3309" s="1" t="s">
        <v>5511</v>
      </c>
      <c r="L3309" s="5">
        <f>XLOOKUP(N3309, uom!C:C, uom!B:B, "Not Found")</f>
      </c>
      <c r="M3309" s="1" t="s">
        <v>5511</v>
      </c>
      <c r="N3309" s="8" t="s">
        <v>5512</v>
      </c>
      <c r="O3309" s="1" t="s">
        <v>5513</v>
      </c>
      <c r="P3309" s="5">
        <f>XLOOKUP(R3309, classification!C:C, classification!B:B, "Not Found")</f>
      </c>
      <c r="Q3309" s="1" t="s">
        <v>5514</v>
      </c>
      <c r="R3309" s="2"/>
      <c r="S3309" s="2"/>
      <c r="T3309" s="2"/>
      <c r="U3309" s="2"/>
    </row>
    <row x14ac:dyDescent="0.25" r="3310" customHeight="1" ht="17.25">
      <c r="A3310" s="7">
        <v>3309</v>
      </c>
      <c r="B3310" s="1" t="s">
        <v>8629</v>
      </c>
      <c r="C3310" s="5">
        <f>CONCATENATE("PD", TEXT(A3310, "1000000"))</f>
      </c>
      <c r="D3310" s="7">
        <v>76</v>
      </c>
      <c r="E3310" s="5">
        <f>XLOOKUP(G3310, item_category!C:C, item_category!B:B, "Not Found")</f>
      </c>
      <c r="F3310" s="1" t="s">
        <v>5632</v>
      </c>
      <c r="G3310" s="5">
        <f>XLOOKUP(I3310, drug!B:B, drug!A:A, "Not Found")</f>
      </c>
      <c r="H3310" s="1"/>
      <c r="I3310" s="7">
        <v>1</v>
      </c>
      <c r="J3310" s="5">
        <f>XLOOKUP(L3310, uom!C:C, uom!B:B, "Not Found")</f>
      </c>
      <c r="K3310" s="1" t="s">
        <v>5511</v>
      </c>
      <c r="L3310" s="5">
        <f>XLOOKUP(N3310, uom!C:C, uom!B:B, "Not Found")</f>
      </c>
      <c r="M3310" s="1" t="s">
        <v>5511</v>
      </c>
      <c r="N3310" s="8" t="s">
        <v>5512</v>
      </c>
      <c r="O3310" s="1" t="s">
        <v>5513</v>
      </c>
      <c r="P3310" s="5">
        <f>XLOOKUP(R3310, classification!C:C, classification!B:B, "Not Found")</f>
      </c>
      <c r="Q3310" s="1" t="s">
        <v>5514</v>
      </c>
      <c r="R3310" s="2"/>
      <c r="S3310" s="2"/>
      <c r="T3310" s="2"/>
      <c r="U3310" s="2"/>
    </row>
    <row x14ac:dyDescent="0.25" r="3311" customHeight="1" ht="17.25">
      <c r="A3311" s="7">
        <v>3310</v>
      </c>
      <c r="B3311" s="1" t="s">
        <v>8630</v>
      </c>
      <c r="C3311" s="5">
        <f>CONCATENATE("PD", TEXT(A3311, "1000000"))</f>
      </c>
      <c r="D3311" s="7">
        <v>76</v>
      </c>
      <c r="E3311" s="5">
        <f>XLOOKUP(G3311, item_category!C:C, item_category!B:B, "Not Found")</f>
      </c>
      <c r="F3311" s="1" t="s">
        <v>5632</v>
      </c>
      <c r="G3311" s="5">
        <f>XLOOKUP(I3311, drug!B:B, drug!A:A, "Not Found")</f>
      </c>
      <c r="H3311" s="1"/>
      <c r="I3311" s="7">
        <v>1</v>
      </c>
      <c r="J3311" s="5">
        <f>XLOOKUP(L3311, uom!C:C, uom!B:B, "Not Found")</f>
      </c>
      <c r="K3311" s="1" t="s">
        <v>5511</v>
      </c>
      <c r="L3311" s="5">
        <f>XLOOKUP(N3311, uom!C:C, uom!B:B, "Not Found")</f>
      </c>
      <c r="M3311" s="1" t="s">
        <v>5511</v>
      </c>
      <c r="N3311" s="8" t="s">
        <v>5512</v>
      </c>
      <c r="O3311" s="1" t="s">
        <v>5513</v>
      </c>
      <c r="P3311" s="5">
        <f>XLOOKUP(R3311, classification!C:C, classification!B:B, "Not Found")</f>
      </c>
      <c r="Q3311" s="1" t="s">
        <v>5514</v>
      </c>
      <c r="R3311" s="2"/>
      <c r="S3311" s="2"/>
      <c r="T3311" s="2"/>
      <c r="U3311" s="2"/>
    </row>
    <row x14ac:dyDescent="0.25" r="3312" customHeight="1" ht="17.25">
      <c r="A3312" s="7">
        <v>3311</v>
      </c>
      <c r="B3312" s="1" t="s">
        <v>8631</v>
      </c>
      <c r="C3312" s="5">
        <f>CONCATENATE("PD", TEXT(A3312, "1000000"))</f>
      </c>
      <c r="D3312" s="7">
        <v>76</v>
      </c>
      <c r="E3312" s="5">
        <f>XLOOKUP(G3312, item_category!C:C, item_category!B:B, "Not Found")</f>
      </c>
      <c r="F3312" s="1" t="s">
        <v>5632</v>
      </c>
      <c r="G3312" s="5">
        <f>XLOOKUP(I3312, drug!B:B, drug!A:A, "Not Found")</f>
      </c>
      <c r="H3312" s="1"/>
      <c r="I3312" s="7">
        <v>1</v>
      </c>
      <c r="J3312" s="5">
        <f>XLOOKUP(L3312, uom!C:C, uom!B:B, "Not Found")</f>
      </c>
      <c r="K3312" s="1" t="s">
        <v>5511</v>
      </c>
      <c r="L3312" s="5">
        <f>XLOOKUP(N3312, uom!C:C, uom!B:B, "Not Found")</f>
      </c>
      <c r="M3312" s="1" t="s">
        <v>5511</v>
      </c>
      <c r="N3312" s="8" t="s">
        <v>5512</v>
      </c>
      <c r="O3312" s="1" t="s">
        <v>5513</v>
      </c>
      <c r="P3312" s="5">
        <f>XLOOKUP(R3312, classification!C:C, classification!B:B, "Not Found")</f>
      </c>
      <c r="Q3312" s="1" t="s">
        <v>5514</v>
      </c>
      <c r="R3312" s="2"/>
      <c r="S3312" s="2"/>
      <c r="T3312" s="2"/>
      <c r="U3312" s="2"/>
    </row>
    <row x14ac:dyDescent="0.25" r="3313" customHeight="1" ht="17.25">
      <c r="A3313" s="7">
        <v>3312</v>
      </c>
      <c r="B3313" s="1" t="s">
        <v>8632</v>
      </c>
      <c r="C3313" s="5">
        <f>CONCATENATE("PD", TEXT(A3313, "1000000"))</f>
      </c>
      <c r="D3313" s="7">
        <v>76</v>
      </c>
      <c r="E3313" s="5">
        <f>XLOOKUP(G3313, item_category!C:C, item_category!B:B, "Not Found")</f>
      </c>
      <c r="F3313" s="1" t="s">
        <v>5632</v>
      </c>
      <c r="G3313" s="5">
        <f>XLOOKUP(I3313, drug!B:B, drug!A:A, "Not Found")</f>
      </c>
      <c r="H3313" s="1"/>
      <c r="I3313" s="7">
        <v>1</v>
      </c>
      <c r="J3313" s="5">
        <f>XLOOKUP(L3313, uom!C:C, uom!B:B, "Not Found")</f>
      </c>
      <c r="K3313" s="1" t="s">
        <v>5511</v>
      </c>
      <c r="L3313" s="5">
        <f>XLOOKUP(N3313, uom!C:C, uom!B:B, "Not Found")</f>
      </c>
      <c r="M3313" s="1" t="s">
        <v>5511</v>
      </c>
      <c r="N3313" s="8" t="s">
        <v>5512</v>
      </c>
      <c r="O3313" s="1" t="s">
        <v>5513</v>
      </c>
      <c r="P3313" s="5">
        <f>XLOOKUP(R3313, classification!C:C, classification!B:B, "Not Found")</f>
      </c>
      <c r="Q3313" s="1" t="s">
        <v>5514</v>
      </c>
      <c r="R3313" s="2"/>
      <c r="S3313" s="2"/>
      <c r="T3313" s="2"/>
      <c r="U3313" s="2"/>
    </row>
    <row x14ac:dyDescent="0.25" r="3314" customHeight="1" ht="17.25">
      <c r="A3314" s="7">
        <v>3313</v>
      </c>
      <c r="B3314" s="1" t="s">
        <v>8633</v>
      </c>
      <c r="C3314" s="5">
        <f>CONCATENATE("PD", TEXT(A3314, "1000000"))</f>
      </c>
      <c r="D3314" s="7">
        <v>76</v>
      </c>
      <c r="E3314" s="5">
        <f>XLOOKUP(G3314, item_category!C:C, item_category!B:B, "Not Found")</f>
      </c>
      <c r="F3314" s="1" t="s">
        <v>5632</v>
      </c>
      <c r="G3314" s="5">
        <f>XLOOKUP(I3314, drug!B:B, drug!A:A, "Not Found")</f>
      </c>
      <c r="H3314" s="1"/>
      <c r="I3314" s="7">
        <v>1</v>
      </c>
      <c r="J3314" s="5">
        <f>XLOOKUP(L3314, uom!C:C, uom!B:B, "Not Found")</f>
      </c>
      <c r="K3314" s="1" t="s">
        <v>5511</v>
      </c>
      <c r="L3314" s="5">
        <f>XLOOKUP(N3314, uom!C:C, uom!B:B, "Not Found")</f>
      </c>
      <c r="M3314" s="1" t="s">
        <v>5511</v>
      </c>
      <c r="N3314" s="8" t="s">
        <v>5512</v>
      </c>
      <c r="O3314" s="1" t="s">
        <v>5513</v>
      </c>
      <c r="P3314" s="5">
        <f>XLOOKUP(R3314, classification!C:C, classification!B:B, "Not Found")</f>
      </c>
      <c r="Q3314" s="1" t="s">
        <v>5514</v>
      </c>
      <c r="R3314" s="2"/>
      <c r="S3314" s="2"/>
      <c r="T3314" s="2"/>
      <c r="U3314" s="2"/>
    </row>
    <row x14ac:dyDescent="0.25" r="3315" customHeight="1" ht="17.25">
      <c r="A3315" s="7">
        <v>3314</v>
      </c>
      <c r="B3315" s="1" t="s">
        <v>8634</v>
      </c>
      <c r="C3315" s="5">
        <f>CONCATENATE("PD", TEXT(A3315, "1000000"))</f>
      </c>
      <c r="D3315" s="7">
        <v>76</v>
      </c>
      <c r="E3315" s="5">
        <f>XLOOKUP(G3315, item_category!C:C, item_category!B:B, "Not Found")</f>
      </c>
      <c r="F3315" s="1" t="s">
        <v>5632</v>
      </c>
      <c r="G3315" s="5">
        <f>XLOOKUP(I3315, drug!B:B, drug!A:A, "Not Found")</f>
      </c>
      <c r="H3315" s="1"/>
      <c r="I3315" s="7">
        <v>1</v>
      </c>
      <c r="J3315" s="5">
        <f>XLOOKUP(L3315, uom!C:C, uom!B:B, "Not Found")</f>
      </c>
      <c r="K3315" s="1" t="s">
        <v>5511</v>
      </c>
      <c r="L3315" s="5">
        <f>XLOOKUP(N3315, uom!C:C, uom!B:B, "Not Found")</f>
      </c>
      <c r="M3315" s="1" t="s">
        <v>5511</v>
      </c>
      <c r="N3315" s="8" t="s">
        <v>5512</v>
      </c>
      <c r="O3315" s="1" t="s">
        <v>5513</v>
      </c>
      <c r="P3315" s="5">
        <f>XLOOKUP(R3315, classification!C:C, classification!B:B, "Not Found")</f>
      </c>
      <c r="Q3315" s="1" t="s">
        <v>5514</v>
      </c>
      <c r="R3315" s="2"/>
      <c r="S3315" s="2"/>
      <c r="T3315" s="2"/>
      <c r="U3315" s="2"/>
    </row>
    <row x14ac:dyDescent="0.25" r="3316" customHeight="1" ht="17.25">
      <c r="A3316" s="7">
        <v>3315</v>
      </c>
      <c r="B3316" s="1" t="s">
        <v>8635</v>
      </c>
      <c r="C3316" s="5">
        <f>CONCATENATE("PD", TEXT(A3316, "1000000"))</f>
      </c>
      <c r="D3316" s="7">
        <v>76</v>
      </c>
      <c r="E3316" s="5">
        <f>XLOOKUP(G3316, item_category!C:C, item_category!B:B, "Not Found")</f>
      </c>
      <c r="F3316" s="1" t="s">
        <v>5632</v>
      </c>
      <c r="G3316" s="5">
        <f>XLOOKUP(I3316, drug!B:B, drug!A:A, "Not Found")</f>
      </c>
      <c r="H3316" s="1"/>
      <c r="I3316" s="7">
        <v>1</v>
      </c>
      <c r="J3316" s="5">
        <f>XLOOKUP(L3316, uom!C:C, uom!B:B, "Not Found")</f>
      </c>
      <c r="K3316" s="1" t="s">
        <v>5511</v>
      </c>
      <c r="L3316" s="5">
        <f>XLOOKUP(N3316, uom!C:C, uom!B:B, "Not Found")</f>
      </c>
      <c r="M3316" s="1" t="s">
        <v>5511</v>
      </c>
      <c r="N3316" s="8" t="s">
        <v>5512</v>
      </c>
      <c r="O3316" s="1" t="s">
        <v>5513</v>
      </c>
      <c r="P3316" s="5">
        <f>XLOOKUP(R3316, classification!C:C, classification!B:B, "Not Found")</f>
      </c>
      <c r="Q3316" s="1" t="s">
        <v>5514</v>
      </c>
      <c r="R3316" s="2"/>
      <c r="S3316" s="2"/>
      <c r="T3316" s="2"/>
      <c r="U3316" s="2"/>
    </row>
    <row x14ac:dyDescent="0.25" r="3317" customHeight="1" ht="17.25">
      <c r="A3317" s="7">
        <v>3316</v>
      </c>
      <c r="B3317" s="1" t="s">
        <v>8636</v>
      </c>
      <c r="C3317" s="5">
        <f>CONCATENATE("PD", TEXT(A3317, "1000000"))</f>
      </c>
      <c r="D3317" s="7">
        <v>76</v>
      </c>
      <c r="E3317" s="5">
        <f>XLOOKUP(G3317, item_category!C:C, item_category!B:B, "Not Found")</f>
      </c>
      <c r="F3317" s="1" t="s">
        <v>5632</v>
      </c>
      <c r="G3317" s="5">
        <f>XLOOKUP(I3317, drug!B:B, drug!A:A, "Not Found")</f>
      </c>
      <c r="H3317" s="1"/>
      <c r="I3317" s="7">
        <v>1</v>
      </c>
      <c r="J3317" s="5">
        <f>XLOOKUP(L3317, uom!C:C, uom!B:B, "Not Found")</f>
      </c>
      <c r="K3317" s="1" t="s">
        <v>5511</v>
      </c>
      <c r="L3317" s="5">
        <f>XLOOKUP(N3317, uom!C:C, uom!B:B, "Not Found")</f>
      </c>
      <c r="M3317" s="1" t="s">
        <v>5511</v>
      </c>
      <c r="N3317" s="8" t="s">
        <v>5512</v>
      </c>
      <c r="O3317" s="1" t="s">
        <v>5513</v>
      </c>
      <c r="P3317" s="5">
        <f>XLOOKUP(R3317, classification!C:C, classification!B:B, "Not Found")</f>
      </c>
      <c r="Q3317" s="1" t="s">
        <v>5514</v>
      </c>
      <c r="R3317" s="2"/>
      <c r="S3317" s="2"/>
      <c r="T3317" s="2"/>
      <c r="U3317" s="2"/>
    </row>
    <row x14ac:dyDescent="0.25" r="3318" customHeight="1" ht="17.25">
      <c r="A3318" s="7">
        <v>3317</v>
      </c>
      <c r="B3318" s="1" t="s">
        <v>8637</v>
      </c>
      <c r="C3318" s="5">
        <f>CONCATENATE("PD", TEXT(A3318, "1000000"))</f>
      </c>
      <c r="D3318" s="7">
        <v>76</v>
      </c>
      <c r="E3318" s="5">
        <f>XLOOKUP(G3318, item_category!C:C, item_category!B:B, "Not Found")</f>
      </c>
      <c r="F3318" s="1" t="s">
        <v>5632</v>
      </c>
      <c r="G3318" s="5">
        <f>XLOOKUP(I3318, drug!B:B, drug!A:A, "Not Found")</f>
      </c>
      <c r="H3318" s="1"/>
      <c r="I3318" s="7">
        <v>1</v>
      </c>
      <c r="J3318" s="5">
        <f>XLOOKUP(L3318, uom!C:C, uom!B:B, "Not Found")</f>
      </c>
      <c r="K3318" s="1" t="s">
        <v>5511</v>
      </c>
      <c r="L3318" s="5">
        <f>XLOOKUP(N3318, uom!C:C, uom!B:B, "Not Found")</f>
      </c>
      <c r="M3318" s="1" t="s">
        <v>5511</v>
      </c>
      <c r="N3318" s="8" t="s">
        <v>5512</v>
      </c>
      <c r="O3318" s="1" t="s">
        <v>5513</v>
      </c>
      <c r="P3318" s="5">
        <f>XLOOKUP(R3318, classification!C:C, classification!B:B, "Not Found")</f>
      </c>
      <c r="Q3318" s="1" t="s">
        <v>5514</v>
      </c>
      <c r="R3318" s="2"/>
      <c r="S3318" s="2"/>
      <c r="T3318" s="2"/>
      <c r="U3318" s="2"/>
    </row>
    <row x14ac:dyDescent="0.25" r="3319" customHeight="1" ht="17.25">
      <c r="A3319" s="7">
        <v>3318</v>
      </c>
      <c r="B3319" s="1" t="s">
        <v>8638</v>
      </c>
      <c r="C3319" s="5">
        <f>CONCATENATE("PD", TEXT(A3319, "1000000"))</f>
      </c>
      <c r="D3319" s="7">
        <v>76</v>
      </c>
      <c r="E3319" s="5">
        <f>XLOOKUP(G3319, item_category!C:C, item_category!B:B, "Not Found")</f>
      </c>
      <c r="F3319" s="1" t="s">
        <v>5632</v>
      </c>
      <c r="G3319" s="5">
        <f>XLOOKUP(I3319, drug!B:B, drug!A:A, "Not Found")</f>
      </c>
      <c r="H3319" s="1"/>
      <c r="I3319" s="7">
        <v>1</v>
      </c>
      <c r="J3319" s="5">
        <f>XLOOKUP(L3319, uom!C:C, uom!B:B, "Not Found")</f>
      </c>
      <c r="K3319" s="1" t="s">
        <v>5511</v>
      </c>
      <c r="L3319" s="5">
        <f>XLOOKUP(N3319, uom!C:C, uom!B:B, "Not Found")</f>
      </c>
      <c r="M3319" s="1" t="s">
        <v>5511</v>
      </c>
      <c r="N3319" s="8" t="s">
        <v>5512</v>
      </c>
      <c r="O3319" s="1" t="s">
        <v>5513</v>
      </c>
      <c r="P3319" s="5">
        <f>XLOOKUP(R3319, classification!C:C, classification!B:B, "Not Found")</f>
      </c>
      <c r="Q3319" s="1" t="s">
        <v>5514</v>
      </c>
      <c r="R3319" s="2"/>
      <c r="S3319" s="2"/>
      <c r="T3319" s="2"/>
      <c r="U3319" s="2"/>
    </row>
    <row x14ac:dyDescent="0.25" r="3320" customHeight="1" ht="17.25">
      <c r="A3320" s="7">
        <v>3319</v>
      </c>
      <c r="B3320" s="1" t="s">
        <v>8639</v>
      </c>
      <c r="C3320" s="5">
        <f>CONCATENATE("PD", TEXT(A3320, "1000000"))</f>
      </c>
      <c r="D3320" s="7">
        <v>76</v>
      </c>
      <c r="E3320" s="5">
        <f>XLOOKUP(G3320, item_category!C:C, item_category!B:B, "Not Found")</f>
      </c>
      <c r="F3320" s="1" t="s">
        <v>5632</v>
      </c>
      <c r="G3320" s="5">
        <f>XLOOKUP(I3320, drug!B:B, drug!A:A, "Not Found")</f>
      </c>
      <c r="H3320" s="1"/>
      <c r="I3320" s="7">
        <v>1</v>
      </c>
      <c r="J3320" s="5">
        <f>XLOOKUP(L3320, uom!C:C, uom!B:B, "Not Found")</f>
      </c>
      <c r="K3320" s="1" t="s">
        <v>5511</v>
      </c>
      <c r="L3320" s="5">
        <f>XLOOKUP(N3320, uom!C:C, uom!B:B, "Not Found")</f>
      </c>
      <c r="M3320" s="1" t="s">
        <v>5511</v>
      </c>
      <c r="N3320" s="8" t="s">
        <v>5512</v>
      </c>
      <c r="O3320" s="1" t="s">
        <v>5513</v>
      </c>
      <c r="P3320" s="5">
        <f>XLOOKUP(R3320, classification!C:C, classification!B:B, "Not Found")</f>
      </c>
      <c r="Q3320" s="1" t="s">
        <v>5514</v>
      </c>
      <c r="R3320" s="2"/>
      <c r="S3320" s="2"/>
      <c r="T3320" s="2"/>
      <c r="U3320" s="2"/>
    </row>
    <row x14ac:dyDescent="0.25" r="3321" customHeight="1" ht="17.25">
      <c r="A3321" s="7">
        <v>3320</v>
      </c>
      <c r="B3321" s="1" t="s">
        <v>8640</v>
      </c>
      <c r="C3321" s="5">
        <f>CONCATENATE("PD", TEXT(A3321, "1000000"))</f>
      </c>
      <c r="D3321" s="7">
        <v>76</v>
      </c>
      <c r="E3321" s="5">
        <f>XLOOKUP(G3321, item_category!C:C, item_category!B:B, "Not Found")</f>
      </c>
      <c r="F3321" s="1" t="s">
        <v>5632</v>
      </c>
      <c r="G3321" s="5">
        <f>XLOOKUP(I3321, drug!B:B, drug!A:A, "Not Found")</f>
      </c>
      <c r="H3321" s="1"/>
      <c r="I3321" s="7">
        <v>1</v>
      </c>
      <c r="J3321" s="5">
        <f>XLOOKUP(L3321, uom!C:C, uom!B:B, "Not Found")</f>
      </c>
      <c r="K3321" s="1" t="s">
        <v>5511</v>
      </c>
      <c r="L3321" s="5">
        <f>XLOOKUP(N3321, uom!C:C, uom!B:B, "Not Found")</f>
      </c>
      <c r="M3321" s="1" t="s">
        <v>5511</v>
      </c>
      <c r="N3321" s="8" t="s">
        <v>5512</v>
      </c>
      <c r="O3321" s="1" t="s">
        <v>5513</v>
      </c>
      <c r="P3321" s="5">
        <f>XLOOKUP(R3321, classification!C:C, classification!B:B, "Not Found")</f>
      </c>
      <c r="Q3321" s="1" t="s">
        <v>5514</v>
      </c>
      <c r="R3321" s="2"/>
      <c r="S3321" s="2"/>
      <c r="T3321" s="2"/>
      <c r="U3321" s="2"/>
    </row>
    <row x14ac:dyDescent="0.25" r="3322" customHeight="1" ht="17.25">
      <c r="A3322" s="7">
        <v>3321</v>
      </c>
      <c r="B3322" s="1" t="s">
        <v>8641</v>
      </c>
      <c r="C3322" s="5">
        <f>CONCATENATE("PD", TEXT(A3322, "1000000"))</f>
      </c>
      <c r="D3322" s="7">
        <v>76</v>
      </c>
      <c r="E3322" s="5">
        <f>XLOOKUP(G3322, item_category!C:C, item_category!B:B, "Not Found")</f>
      </c>
      <c r="F3322" s="1" t="s">
        <v>5632</v>
      </c>
      <c r="G3322" s="5">
        <f>XLOOKUP(I3322, drug!B:B, drug!A:A, "Not Found")</f>
      </c>
      <c r="H3322" s="1"/>
      <c r="I3322" s="7">
        <v>1</v>
      </c>
      <c r="J3322" s="5">
        <f>XLOOKUP(L3322, uom!C:C, uom!B:B, "Not Found")</f>
      </c>
      <c r="K3322" s="1" t="s">
        <v>5511</v>
      </c>
      <c r="L3322" s="5">
        <f>XLOOKUP(N3322, uom!C:C, uom!B:B, "Not Found")</f>
      </c>
      <c r="M3322" s="1" t="s">
        <v>5511</v>
      </c>
      <c r="N3322" s="8" t="s">
        <v>5512</v>
      </c>
      <c r="O3322" s="1" t="s">
        <v>5513</v>
      </c>
      <c r="P3322" s="5">
        <f>XLOOKUP(R3322, classification!C:C, classification!B:B, "Not Found")</f>
      </c>
      <c r="Q3322" s="1" t="s">
        <v>5514</v>
      </c>
      <c r="R3322" s="2"/>
      <c r="S3322" s="2"/>
      <c r="T3322" s="2"/>
      <c r="U3322" s="2"/>
    </row>
    <row x14ac:dyDescent="0.25" r="3323" customHeight="1" ht="17.25">
      <c r="A3323" s="7">
        <v>3322</v>
      </c>
      <c r="B3323" s="1" t="s">
        <v>8642</v>
      </c>
      <c r="C3323" s="5">
        <f>CONCATENATE("PD", TEXT(A3323, "1000000"))</f>
      </c>
      <c r="D3323" s="7">
        <v>76</v>
      </c>
      <c r="E3323" s="5">
        <f>XLOOKUP(G3323, item_category!C:C, item_category!B:B, "Not Found")</f>
      </c>
      <c r="F3323" s="1" t="s">
        <v>5632</v>
      </c>
      <c r="G3323" s="5">
        <f>XLOOKUP(I3323, drug!B:B, drug!A:A, "Not Found")</f>
      </c>
      <c r="H3323" s="1"/>
      <c r="I3323" s="7">
        <v>1</v>
      </c>
      <c r="J3323" s="5">
        <f>XLOOKUP(L3323, uom!C:C, uom!B:B, "Not Found")</f>
      </c>
      <c r="K3323" s="1" t="s">
        <v>5511</v>
      </c>
      <c r="L3323" s="5">
        <f>XLOOKUP(N3323, uom!C:C, uom!B:B, "Not Found")</f>
      </c>
      <c r="M3323" s="1" t="s">
        <v>5511</v>
      </c>
      <c r="N3323" s="8" t="s">
        <v>5512</v>
      </c>
      <c r="O3323" s="1" t="s">
        <v>5513</v>
      </c>
      <c r="P3323" s="5">
        <f>XLOOKUP(R3323, classification!C:C, classification!B:B, "Not Found")</f>
      </c>
      <c r="Q3323" s="1" t="s">
        <v>5514</v>
      </c>
      <c r="R3323" s="2"/>
      <c r="S3323" s="2"/>
      <c r="T3323" s="2"/>
      <c r="U3323" s="2"/>
    </row>
    <row x14ac:dyDescent="0.25" r="3324" customHeight="1" ht="17.25">
      <c r="A3324" s="7">
        <v>3323</v>
      </c>
      <c r="B3324" s="1" t="s">
        <v>8564</v>
      </c>
      <c r="C3324" s="5">
        <f>CONCATENATE("PD", TEXT(A3324, "1000000"))</f>
      </c>
      <c r="D3324" s="7">
        <v>76</v>
      </c>
      <c r="E3324" s="5">
        <f>XLOOKUP(G3324, item_category!C:C, item_category!B:B, "Not Found")</f>
      </c>
      <c r="F3324" s="1" t="s">
        <v>5632</v>
      </c>
      <c r="G3324" s="5">
        <f>XLOOKUP(I3324, drug!B:B, drug!A:A, "Not Found")</f>
      </c>
      <c r="H3324" s="1"/>
      <c r="I3324" s="7">
        <v>1</v>
      </c>
      <c r="J3324" s="5">
        <f>XLOOKUP(L3324, uom!C:C, uom!B:B, "Not Found")</f>
      </c>
      <c r="K3324" s="1" t="s">
        <v>7212</v>
      </c>
      <c r="L3324" s="5">
        <f>XLOOKUP(N3324, uom!C:C, uom!B:B, "Not Found")</f>
      </c>
      <c r="M3324" s="1" t="s">
        <v>7212</v>
      </c>
      <c r="N3324" s="8" t="s">
        <v>5524</v>
      </c>
      <c r="O3324" s="1" t="s">
        <v>5525</v>
      </c>
      <c r="P3324" s="5">
        <f>XLOOKUP(R3324, classification!C:C, classification!B:B, "Not Found")</f>
      </c>
      <c r="Q3324" s="1" t="s">
        <v>5514</v>
      </c>
      <c r="R3324" s="2"/>
      <c r="S3324" s="2"/>
      <c r="T3324" s="2"/>
      <c r="U3324" s="2"/>
    </row>
    <row x14ac:dyDescent="0.25" r="3325" customHeight="1" ht="17.25">
      <c r="A3325" s="7">
        <v>3324</v>
      </c>
      <c r="B3325" s="1" t="s">
        <v>8643</v>
      </c>
      <c r="C3325" s="5">
        <f>CONCATENATE("PD", TEXT(A3325, "1000000"))</f>
      </c>
      <c r="D3325" s="7">
        <v>76</v>
      </c>
      <c r="E3325" s="5">
        <f>XLOOKUP(G3325, item_category!C:C, item_category!B:B, "Not Found")</f>
      </c>
      <c r="F3325" s="1" t="s">
        <v>5632</v>
      </c>
      <c r="G3325" s="5">
        <f>XLOOKUP(I3325, drug!B:B, drug!A:A, "Not Found")</f>
      </c>
      <c r="H3325" s="1"/>
      <c r="I3325" s="7">
        <v>1</v>
      </c>
      <c r="J3325" s="5">
        <f>XLOOKUP(L3325, uom!C:C, uom!B:B, "Not Found")</f>
      </c>
      <c r="K3325" s="1" t="s">
        <v>5511</v>
      </c>
      <c r="L3325" s="5">
        <f>XLOOKUP(N3325, uom!C:C, uom!B:B, "Not Found")</f>
      </c>
      <c r="M3325" s="1" t="s">
        <v>5511</v>
      </c>
      <c r="N3325" s="8" t="s">
        <v>5512</v>
      </c>
      <c r="O3325" s="1" t="s">
        <v>5513</v>
      </c>
      <c r="P3325" s="5">
        <f>XLOOKUP(R3325, classification!C:C, classification!B:B, "Not Found")</f>
      </c>
      <c r="Q3325" s="1" t="s">
        <v>5514</v>
      </c>
      <c r="R3325" s="2"/>
      <c r="S3325" s="2"/>
      <c r="T3325" s="2"/>
      <c r="U3325" s="2"/>
    </row>
    <row x14ac:dyDescent="0.25" r="3326" customHeight="1" ht="17.25">
      <c r="A3326" s="7">
        <v>3325</v>
      </c>
      <c r="B3326" s="1" t="s">
        <v>8644</v>
      </c>
      <c r="C3326" s="5">
        <f>CONCATENATE("PD", TEXT(A3326, "1000000"))</f>
      </c>
      <c r="D3326" s="7">
        <v>76</v>
      </c>
      <c r="E3326" s="5">
        <f>XLOOKUP(G3326, item_category!C:C, item_category!B:B, "Not Found")</f>
      </c>
      <c r="F3326" s="1" t="s">
        <v>5632</v>
      </c>
      <c r="G3326" s="5">
        <f>XLOOKUP(I3326, drug!B:B, drug!A:A, "Not Found")</f>
      </c>
      <c r="H3326" s="1" t="s">
        <v>1588</v>
      </c>
      <c r="I3326" s="7">
        <v>1</v>
      </c>
      <c r="J3326" s="5">
        <f>XLOOKUP(L3326, uom!C:C, uom!B:B, "Not Found")</f>
      </c>
      <c r="K3326" s="1" t="s">
        <v>5511</v>
      </c>
      <c r="L3326" s="5">
        <f>XLOOKUP(N3326, uom!C:C, uom!B:B, "Not Found")</f>
      </c>
      <c r="M3326" s="1" t="s">
        <v>5511</v>
      </c>
      <c r="N3326" s="8" t="s">
        <v>5512</v>
      </c>
      <c r="O3326" s="1" t="s">
        <v>5513</v>
      </c>
      <c r="P3326" s="5">
        <f>XLOOKUP(R3326, classification!C:C, classification!B:B, "Not Found")</f>
      </c>
      <c r="Q3326" s="1" t="s">
        <v>5514</v>
      </c>
      <c r="R3326" s="2"/>
      <c r="S3326" s="2"/>
      <c r="T3326" s="2"/>
      <c r="U3326" s="2"/>
    </row>
    <row x14ac:dyDescent="0.25" r="3327" customHeight="1" ht="17.25">
      <c r="A3327" s="7">
        <v>3326</v>
      </c>
      <c r="B3327" s="1" t="s">
        <v>8645</v>
      </c>
      <c r="C3327" s="5">
        <f>CONCATENATE("PD", TEXT(A3327, "1000000"))</f>
      </c>
      <c r="D3327" s="7">
        <v>76</v>
      </c>
      <c r="E3327" s="5">
        <f>XLOOKUP(G3327, item_category!C:C, item_category!B:B, "Not Found")</f>
      </c>
      <c r="F3327" s="1" t="s">
        <v>5632</v>
      </c>
      <c r="G3327" s="5">
        <f>XLOOKUP(I3327, drug!B:B, drug!A:A, "Not Found")</f>
      </c>
      <c r="H3327" s="1"/>
      <c r="I3327" s="7">
        <v>1</v>
      </c>
      <c r="J3327" s="5">
        <f>XLOOKUP(L3327, uom!C:C, uom!B:B, "Not Found")</f>
      </c>
      <c r="K3327" s="1" t="s">
        <v>5511</v>
      </c>
      <c r="L3327" s="5">
        <f>XLOOKUP(N3327, uom!C:C, uom!B:B, "Not Found")</f>
      </c>
      <c r="M3327" s="1" t="s">
        <v>5511</v>
      </c>
      <c r="N3327" s="8" t="s">
        <v>5512</v>
      </c>
      <c r="O3327" s="1" t="s">
        <v>5513</v>
      </c>
      <c r="P3327" s="5">
        <f>XLOOKUP(R3327, classification!C:C, classification!B:B, "Not Found")</f>
      </c>
      <c r="Q3327" s="1" t="s">
        <v>5514</v>
      </c>
      <c r="R3327" s="2"/>
      <c r="S3327" s="2"/>
      <c r="T3327" s="2"/>
      <c r="U3327" s="2"/>
    </row>
    <row x14ac:dyDescent="0.25" r="3328" customHeight="1" ht="17.25">
      <c r="A3328" s="7">
        <v>3327</v>
      </c>
      <c r="B3328" s="1" t="s">
        <v>8646</v>
      </c>
      <c r="C3328" s="5">
        <f>CONCATENATE("PD", TEXT(A3328, "1000000"))</f>
      </c>
      <c r="D3328" s="7">
        <v>76</v>
      </c>
      <c r="E3328" s="5">
        <f>XLOOKUP(G3328, item_category!C:C, item_category!B:B, "Not Found")</f>
      </c>
      <c r="F3328" s="1" t="s">
        <v>5632</v>
      </c>
      <c r="G3328" s="5">
        <f>XLOOKUP(I3328, drug!B:B, drug!A:A, "Not Found")</f>
      </c>
      <c r="H3328" s="1"/>
      <c r="I3328" s="7">
        <v>1</v>
      </c>
      <c r="J3328" s="5">
        <f>XLOOKUP(L3328, uom!C:C, uom!B:B, "Not Found")</f>
      </c>
      <c r="K3328" s="1" t="s">
        <v>5511</v>
      </c>
      <c r="L3328" s="5">
        <f>XLOOKUP(N3328, uom!C:C, uom!B:B, "Not Found")</f>
      </c>
      <c r="M3328" s="1" t="s">
        <v>5511</v>
      </c>
      <c r="N3328" s="8" t="s">
        <v>5512</v>
      </c>
      <c r="O3328" s="1" t="s">
        <v>5513</v>
      </c>
      <c r="P3328" s="5">
        <f>XLOOKUP(R3328, classification!C:C, classification!B:B, "Not Found")</f>
      </c>
      <c r="Q3328" s="1" t="s">
        <v>5514</v>
      </c>
      <c r="R3328" s="2"/>
      <c r="S3328" s="2"/>
      <c r="T3328" s="2"/>
      <c r="U3328" s="2"/>
    </row>
    <row x14ac:dyDescent="0.25" r="3329" customHeight="1" ht="17.25">
      <c r="A3329" s="7">
        <v>3328</v>
      </c>
      <c r="B3329" s="1" t="s">
        <v>8647</v>
      </c>
      <c r="C3329" s="5">
        <f>CONCATENATE("PD", TEXT(A3329, "1000000"))</f>
      </c>
      <c r="D3329" s="7">
        <v>76</v>
      </c>
      <c r="E3329" s="5">
        <f>XLOOKUP(G3329, item_category!C:C, item_category!B:B, "Not Found")</f>
      </c>
      <c r="F3329" s="1" t="s">
        <v>5632</v>
      </c>
      <c r="G3329" s="5">
        <f>XLOOKUP(I3329, drug!B:B, drug!A:A, "Not Found")</f>
      </c>
      <c r="H3329" s="1"/>
      <c r="I3329" s="7">
        <v>1</v>
      </c>
      <c r="J3329" s="5">
        <f>XLOOKUP(L3329, uom!C:C, uom!B:B, "Not Found")</f>
      </c>
      <c r="K3329" s="1" t="s">
        <v>5511</v>
      </c>
      <c r="L3329" s="5">
        <f>XLOOKUP(N3329, uom!C:C, uom!B:B, "Not Found")</f>
      </c>
      <c r="M3329" s="1" t="s">
        <v>5511</v>
      </c>
      <c r="N3329" s="8" t="s">
        <v>5512</v>
      </c>
      <c r="O3329" s="1" t="s">
        <v>5513</v>
      </c>
      <c r="P3329" s="5">
        <f>XLOOKUP(R3329, classification!C:C, classification!B:B, "Not Found")</f>
      </c>
      <c r="Q3329" s="1" t="s">
        <v>5514</v>
      </c>
      <c r="R3329" s="2"/>
      <c r="S3329" s="2"/>
      <c r="T3329" s="2"/>
      <c r="U3329" s="2"/>
    </row>
    <row x14ac:dyDescent="0.25" r="3330" customHeight="1" ht="17.25">
      <c r="A3330" s="7">
        <v>3329</v>
      </c>
      <c r="B3330" s="1" t="s">
        <v>8648</v>
      </c>
      <c r="C3330" s="5">
        <f>CONCATENATE("PD", TEXT(A3330, "1000000"))</f>
      </c>
      <c r="D3330" s="7">
        <v>76</v>
      </c>
      <c r="E3330" s="5">
        <f>XLOOKUP(G3330, item_category!C:C, item_category!B:B, "Not Found")</f>
      </c>
      <c r="F3330" s="1" t="s">
        <v>5632</v>
      </c>
      <c r="G3330" s="5">
        <f>XLOOKUP(I3330, drug!B:B, drug!A:A, "Not Found")</f>
      </c>
      <c r="H3330" s="1" t="s">
        <v>1942</v>
      </c>
      <c r="I3330" s="7">
        <v>1</v>
      </c>
      <c r="J3330" s="5">
        <f>XLOOKUP(L3330, uom!C:C, uom!B:B, "Not Found")</f>
      </c>
      <c r="K3330" s="1" t="s">
        <v>5511</v>
      </c>
      <c r="L3330" s="5">
        <f>XLOOKUP(N3330, uom!C:C, uom!B:B, "Not Found")</f>
      </c>
      <c r="M3330" s="1" t="s">
        <v>5511</v>
      </c>
      <c r="N3330" s="8" t="s">
        <v>5512</v>
      </c>
      <c r="O3330" s="1" t="s">
        <v>5513</v>
      </c>
      <c r="P3330" s="5">
        <f>XLOOKUP(R3330, classification!C:C, classification!B:B, "Not Found")</f>
      </c>
      <c r="Q3330" s="1" t="s">
        <v>5514</v>
      </c>
      <c r="R3330" s="2"/>
      <c r="S3330" s="2"/>
      <c r="T3330" s="2"/>
      <c r="U3330" s="2"/>
    </row>
    <row x14ac:dyDescent="0.25" r="3331" customHeight="1" ht="17.25">
      <c r="A3331" s="7">
        <v>3330</v>
      </c>
      <c r="B3331" s="1" t="s">
        <v>8649</v>
      </c>
      <c r="C3331" s="5">
        <f>CONCATENATE("PD", TEXT(A3331, "1000000"))</f>
      </c>
      <c r="D3331" s="7">
        <v>76</v>
      </c>
      <c r="E3331" s="5">
        <f>XLOOKUP(G3331, item_category!C:C, item_category!B:B, "Not Found")</f>
      </c>
      <c r="F3331" s="1" t="s">
        <v>5632</v>
      </c>
      <c r="G3331" s="5">
        <f>XLOOKUP(I3331, drug!B:B, drug!A:A, "Not Found")</f>
      </c>
      <c r="H3331" s="1"/>
      <c r="I3331" s="7">
        <v>1</v>
      </c>
      <c r="J3331" s="5">
        <f>XLOOKUP(L3331, uom!C:C, uom!B:B, "Not Found")</f>
      </c>
      <c r="K3331" s="1" t="s">
        <v>5511</v>
      </c>
      <c r="L3331" s="5">
        <f>XLOOKUP(N3331, uom!C:C, uom!B:B, "Not Found")</f>
      </c>
      <c r="M3331" s="1" t="s">
        <v>5511</v>
      </c>
      <c r="N3331" s="8" t="s">
        <v>5512</v>
      </c>
      <c r="O3331" s="1" t="s">
        <v>5513</v>
      </c>
      <c r="P3331" s="5">
        <f>XLOOKUP(R3331, classification!C:C, classification!B:B, "Not Found")</f>
      </c>
      <c r="Q3331" s="1" t="s">
        <v>5514</v>
      </c>
      <c r="R3331" s="2"/>
      <c r="S3331" s="2"/>
      <c r="T3331" s="2"/>
      <c r="U3331" s="2"/>
    </row>
    <row x14ac:dyDescent="0.25" r="3332" customHeight="1" ht="17.25">
      <c r="A3332" s="7">
        <v>3331</v>
      </c>
      <c r="B3332" s="1" t="s">
        <v>8650</v>
      </c>
      <c r="C3332" s="5">
        <f>CONCATENATE("PD", TEXT(A3332, "1000000"))</f>
      </c>
      <c r="D3332" s="7">
        <v>76</v>
      </c>
      <c r="E3332" s="5">
        <f>XLOOKUP(G3332, item_category!C:C, item_category!B:B, "Not Found")</f>
      </c>
      <c r="F3332" s="1" t="s">
        <v>5632</v>
      </c>
      <c r="G3332" s="5">
        <f>XLOOKUP(I3332, drug!B:B, drug!A:A, "Not Found")</f>
      </c>
      <c r="H3332" s="1"/>
      <c r="I3332" s="7">
        <v>1</v>
      </c>
      <c r="J3332" s="5">
        <f>XLOOKUP(L3332, uom!C:C, uom!B:B, "Not Found")</f>
      </c>
      <c r="K3332" s="1" t="s">
        <v>5511</v>
      </c>
      <c r="L3332" s="5">
        <f>XLOOKUP(N3332, uom!C:C, uom!B:B, "Not Found")</f>
      </c>
      <c r="M3332" s="1" t="s">
        <v>5511</v>
      </c>
      <c r="N3332" s="8" t="s">
        <v>5512</v>
      </c>
      <c r="O3332" s="1" t="s">
        <v>5513</v>
      </c>
      <c r="P3332" s="5">
        <f>XLOOKUP(R3332, classification!C:C, classification!B:B, "Not Found")</f>
      </c>
      <c r="Q3332" s="1" t="s">
        <v>5514</v>
      </c>
      <c r="R3332" s="2"/>
      <c r="S3332" s="2"/>
      <c r="T3332" s="2"/>
      <c r="U3332" s="2"/>
    </row>
    <row x14ac:dyDescent="0.25" r="3333" customHeight="1" ht="17.25">
      <c r="A3333" s="7">
        <v>3332</v>
      </c>
      <c r="B3333" s="1" t="s">
        <v>8651</v>
      </c>
      <c r="C3333" s="5">
        <f>CONCATENATE("PD", TEXT(A3333, "1000000"))</f>
      </c>
      <c r="D3333" s="7">
        <v>76</v>
      </c>
      <c r="E3333" s="5">
        <f>XLOOKUP(G3333, item_category!C:C, item_category!B:B, "Not Found")</f>
      </c>
      <c r="F3333" s="1" t="s">
        <v>5632</v>
      </c>
      <c r="G3333" s="5">
        <f>XLOOKUP(I3333, drug!B:B, drug!A:A, "Not Found")</f>
      </c>
      <c r="H3333" s="1"/>
      <c r="I3333" s="7">
        <v>1</v>
      </c>
      <c r="J3333" s="5">
        <f>XLOOKUP(L3333, uom!C:C, uom!B:B, "Not Found")</f>
      </c>
      <c r="K3333" s="1" t="s">
        <v>5511</v>
      </c>
      <c r="L3333" s="5">
        <f>XLOOKUP(N3333, uom!C:C, uom!B:B, "Not Found")</f>
      </c>
      <c r="M3333" s="1" t="s">
        <v>5511</v>
      </c>
      <c r="N3333" s="8" t="s">
        <v>5512</v>
      </c>
      <c r="O3333" s="1" t="s">
        <v>5513</v>
      </c>
      <c r="P3333" s="5">
        <f>XLOOKUP(R3333, classification!C:C, classification!B:B, "Not Found")</f>
      </c>
      <c r="Q3333" s="1" t="s">
        <v>5514</v>
      </c>
      <c r="R3333" s="2"/>
      <c r="S3333" s="2"/>
      <c r="T3333" s="2"/>
      <c r="U3333" s="2"/>
    </row>
    <row x14ac:dyDescent="0.25" r="3334" customHeight="1" ht="17.25">
      <c r="A3334" s="7">
        <v>3333</v>
      </c>
      <c r="B3334" s="1" t="s">
        <v>8652</v>
      </c>
      <c r="C3334" s="5">
        <f>CONCATENATE("PD", TEXT(A3334, "1000000"))</f>
      </c>
      <c r="D3334" s="7">
        <v>76</v>
      </c>
      <c r="E3334" s="5">
        <f>XLOOKUP(G3334, item_category!C:C, item_category!B:B, "Not Found")</f>
      </c>
      <c r="F3334" s="1" t="s">
        <v>5632</v>
      </c>
      <c r="G3334" s="5">
        <f>XLOOKUP(I3334, drug!B:B, drug!A:A, "Not Found")</f>
      </c>
      <c r="H3334" s="1"/>
      <c r="I3334" s="7">
        <v>1</v>
      </c>
      <c r="J3334" s="5">
        <f>XLOOKUP(L3334, uom!C:C, uom!B:B, "Not Found")</f>
      </c>
      <c r="K3334" s="1" t="s">
        <v>5511</v>
      </c>
      <c r="L3334" s="5">
        <f>XLOOKUP(N3334, uom!C:C, uom!B:B, "Not Found")</f>
      </c>
      <c r="M3334" s="1" t="s">
        <v>5511</v>
      </c>
      <c r="N3334" s="8" t="s">
        <v>5512</v>
      </c>
      <c r="O3334" s="1" t="s">
        <v>5513</v>
      </c>
      <c r="P3334" s="5">
        <f>XLOOKUP(R3334, classification!C:C, classification!B:B, "Not Found")</f>
      </c>
      <c r="Q3334" s="1" t="s">
        <v>5514</v>
      </c>
      <c r="R3334" s="2"/>
      <c r="S3334" s="2"/>
      <c r="T3334" s="2"/>
      <c r="U3334" s="2"/>
    </row>
    <row x14ac:dyDescent="0.25" r="3335" customHeight="1" ht="17.25">
      <c r="A3335" s="7">
        <v>3334</v>
      </c>
      <c r="B3335" s="1" t="s">
        <v>8653</v>
      </c>
      <c r="C3335" s="5">
        <f>CONCATENATE("PD", TEXT(A3335, "1000000"))</f>
      </c>
      <c r="D3335" s="7">
        <v>76</v>
      </c>
      <c r="E3335" s="5">
        <f>XLOOKUP(G3335, item_category!C:C, item_category!B:B, "Not Found")</f>
      </c>
      <c r="F3335" s="1" t="s">
        <v>5632</v>
      </c>
      <c r="G3335" s="5">
        <f>XLOOKUP(I3335, drug!B:B, drug!A:A, "Not Found")</f>
      </c>
      <c r="H3335" s="1"/>
      <c r="I3335" s="7">
        <v>1</v>
      </c>
      <c r="J3335" s="5">
        <f>XLOOKUP(L3335, uom!C:C, uom!B:B, "Not Found")</f>
      </c>
      <c r="K3335" s="1" t="s">
        <v>5511</v>
      </c>
      <c r="L3335" s="5">
        <f>XLOOKUP(N3335, uom!C:C, uom!B:B, "Not Found")</f>
      </c>
      <c r="M3335" s="1" t="s">
        <v>5511</v>
      </c>
      <c r="N3335" s="8" t="s">
        <v>5512</v>
      </c>
      <c r="O3335" s="1" t="s">
        <v>5513</v>
      </c>
      <c r="P3335" s="5">
        <f>XLOOKUP(R3335, classification!C:C, classification!B:B, "Not Found")</f>
      </c>
      <c r="Q3335" s="1" t="s">
        <v>5514</v>
      </c>
      <c r="R3335" s="2"/>
      <c r="S3335" s="2"/>
      <c r="T3335" s="2"/>
      <c r="U3335" s="2"/>
    </row>
    <row x14ac:dyDescent="0.25" r="3336" customHeight="1" ht="17.25">
      <c r="A3336" s="7">
        <v>3335</v>
      </c>
      <c r="B3336" s="1" t="s">
        <v>8654</v>
      </c>
      <c r="C3336" s="5">
        <f>CONCATENATE("PD", TEXT(A3336, "1000000"))</f>
      </c>
      <c r="D3336" s="7">
        <v>76</v>
      </c>
      <c r="E3336" s="5">
        <f>XLOOKUP(G3336, item_category!C:C, item_category!B:B, "Not Found")</f>
      </c>
      <c r="F3336" s="1" t="s">
        <v>5632</v>
      </c>
      <c r="G3336" s="5">
        <f>XLOOKUP(I3336, drug!B:B, drug!A:A, "Not Found")</f>
      </c>
      <c r="H3336" s="1"/>
      <c r="I3336" s="7">
        <v>1</v>
      </c>
      <c r="J3336" s="5">
        <f>XLOOKUP(L3336, uom!C:C, uom!B:B, "Not Found")</f>
      </c>
      <c r="K3336" s="1" t="s">
        <v>5511</v>
      </c>
      <c r="L3336" s="5">
        <f>XLOOKUP(N3336, uom!C:C, uom!B:B, "Not Found")</f>
      </c>
      <c r="M3336" s="1" t="s">
        <v>5511</v>
      </c>
      <c r="N3336" s="8" t="s">
        <v>5512</v>
      </c>
      <c r="O3336" s="1" t="s">
        <v>5513</v>
      </c>
      <c r="P3336" s="5">
        <f>XLOOKUP(R3336, classification!C:C, classification!B:B, "Not Found")</f>
      </c>
      <c r="Q3336" s="1" t="s">
        <v>5514</v>
      </c>
      <c r="R3336" s="2"/>
      <c r="S3336" s="2"/>
      <c r="T3336" s="2"/>
      <c r="U3336" s="2"/>
    </row>
    <row x14ac:dyDescent="0.25" r="3337" customHeight="1" ht="17.25">
      <c r="A3337" s="7">
        <v>3336</v>
      </c>
      <c r="B3337" s="1" t="s">
        <v>8655</v>
      </c>
      <c r="C3337" s="5">
        <f>CONCATENATE("PD", TEXT(A3337, "1000000"))</f>
      </c>
      <c r="D3337" s="7">
        <v>76</v>
      </c>
      <c r="E3337" s="5">
        <f>XLOOKUP(G3337, item_category!C:C, item_category!B:B, "Not Found")</f>
      </c>
      <c r="F3337" s="1" t="s">
        <v>5632</v>
      </c>
      <c r="G3337" s="5">
        <f>XLOOKUP(I3337, drug!B:B, drug!A:A, "Not Found")</f>
      </c>
      <c r="H3337" s="1"/>
      <c r="I3337" s="7">
        <v>1</v>
      </c>
      <c r="J3337" s="5">
        <f>XLOOKUP(L3337, uom!C:C, uom!B:B, "Not Found")</f>
      </c>
      <c r="K3337" s="1" t="s">
        <v>5511</v>
      </c>
      <c r="L3337" s="5">
        <f>XLOOKUP(N3337, uom!C:C, uom!B:B, "Not Found")</f>
      </c>
      <c r="M3337" s="1" t="s">
        <v>5511</v>
      </c>
      <c r="N3337" s="8" t="s">
        <v>5512</v>
      </c>
      <c r="O3337" s="1" t="s">
        <v>5513</v>
      </c>
      <c r="P3337" s="5">
        <f>XLOOKUP(R3337, classification!C:C, classification!B:B, "Not Found")</f>
      </c>
      <c r="Q3337" s="1" t="s">
        <v>5514</v>
      </c>
      <c r="R3337" s="2"/>
      <c r="S3337" s="2"/>
      <c r="T3337" s="2"/>
      <c r="U3337" s="2"/>
    </row>
    <row x14ac:dyDescent="0.25" r="3338" customHeight="1" ht="17.25">
      <c r="A3338" s="7">
        <v>3337</v>
      </c>
      <c r="B3338" s="1" t="s">
        <v>8656</v>
      </c>
      <c r="C3338" s="5">
        <f>CONCATENATE("PD", TEXT(A3338, "1000000"))</f>
      </c>
      <c r="D3338" s="7">
        <v>76</v>
      </c>
      <c r="E3338" s="5">
        <f>XLOOKUP(G3338, item_category!C:C, item_category!B:B, "Not Found")</f>
      </c>
      <c r="F3338" s="1" t="s">
        <v>5632</v>
      </c>
      <c r="G3338" s="5">
        <f>XLOOKUP(I3338, drug!B:B, drug!A:A, "Not Found")</f>
      </c>
      <c r="H3338" s="1"/>
      <c r="I3338" s="7">
        <v>1</v>
      </c>
      <c r="J3338" s="5">
        <f>XLOOKUP(L3338, uom!C:C, uom!B:B, "Not Found")</f>
      </c>
      <c r="K3338" s="1" t="s">
        <v>5511</v>
      </c>
      <c r="L3338" s="5">
        <f>XLOOKUP(N3338, uom!C:C, uom!B:B, "Not Found")</f>
      </c>
      <c r="M3338" s="1" t="s">
        <v>5511</v>
      </c>
      <c r="N3338" s="8" t="s">
        <v>5512</v>
      </c>
      <c r="O3338" s="1" t="s">
        <v>5513</v>
      </c>
      <c r="P3338" s="5">
        <f>XLOOKUP(R3338, classification!C:C, classification!B:B, "Not Found")</f>
      </c>
      <c r="Q3338" s="1" t="s">
        <v>5514</v>
      </c>
      <c r="R3338" s="2"/>
      <c r="S3338" s="2"/>
      <c r="T3338" s="2"/>
      <c r="U3338" s="2"/>
    </row>
    <row x14ac:dyDescent="0.25" r="3339" customHeight="1" ht="17.25">
      <c r="A3339" s="7">
        <v>3338</v>
      </c>
      <c r="B3339" s="1" t="s">
        <v>8657</v>
      </c>
      <c r="C3339" s="5">
        <f>CONCATENATE("PD", TEXT(A3339, "1000000"))</f>
      </c>
      <c r="D3339" s="7">
        <v>76</v>
      </c>
      <c r="E3339" s="5">
        <f>XLOOKUP(G3339, item_category!C:C, item_category!B:B, "Not Found")</f>
      </c>
      <c r="F3339" s="1" t="s">
        <v>5632</v>
      </c>
      <c r="G3339" s="5">
        <f>XLOOKUP(I3339, drug!B:B, drug!A:A, "Not Found")</f>
      </c>
      <c r="H3339" s="1" t="s">
        <v>1942</v>
      </c>
      <c r="I3339" s="7">
        <v>1</v>
      </c>
      <c r="J3339" s="5">
        <f>XLOOKUP(L3339, uom!C:C, uom!B:B, "Not Found")</f>
      </c>
      <c r="K3339" s="1" t="s">
        <v>5511</v>
      </c>
      <c r="L3339" s="5">
        <f>XLOOKUP(N3339, uom!C:C, uom!B:B, "Not Found")</f>
      </c>
      <c r="M3339" s="1" t="s">
        <v>5511</v>
      </c>
      <c r="N3339" s="8" t="s">
        <v>5512</v>
      </c>
      <c r="O3339" s="1" t="s">
        <v>5513</v>
      </c>
      <c r="P3339" s="5">
        <f>XLOOKUP(R3339, classification!C:C, classification!B:B, "Not Found")</f>
      </c>
      <c r="Q3339" s="1" t="s">
        <v>5514</v>
      </c>
      <c r="R3339" s="2"/>
      <c r="S3339" s="2"/>
      <c r="T3339" s="2"/>
      <c r="U3339" s="2"/>
    </row>
    <row x14ac:dyDescent="0.25" r="3340" customHeight="1" ht="17.25">
      <c r="A3340" s="7">
        <v>3339</v>
      </c>
      <c r="B3340" s="1" t="s">
        <v>8658</v>
      </c>
      <c r="C3340" s="5">
        <f>CONCATENATE("PD", TEXT(A3340, "1000000"))</f>
      </c>
      <c r="D3340" s="7">
        <v>76</v>
      </c>
      <c r="E3340" s="5">
        <f>XLOOKUP(G3340, item_category!C:C, item_category!B:B, "Not Found")</f>
      </c>
      <c r="F3340" s="1" t="s">
        <v>5632</v>
      </c>
      <c r="G3340" s="5">
        <f>XLOOKUP(I3340, drug!B:B, drug!A:A, "Not Found")</f>
      </c>
      <c r="H3340" s="1" t="s">
        <v>1942</v>
      </c>
      <c r="I3340" s="7">
        <v>1</v>
      </c>
      <c r="J3340" s="5">
        <f>XLOOKUP(L3340, uom!C:C, uom!B:B, "Not Found")</f>
      </c>
      <c r="K3340" s="1" t="s">
        <v>5511</v>
      </c>
      <c r="L3340" s="5">
        <f>XLOOKUP(N3340, uom!C:C, uom!B:B, "Not Found")</f>
      </c>
      <c r="M3340" s="1" t="s">
        <v>5511</v>
      </c>
      <c r="N3340" s="8" t="s">
        <v>5512</v>
      </c>
      <c r="O3340" s="1" t="s">
        <v>5513</v>
      </c>
      <c r="P3340" s="5">
        <f>XLOOKUP(R3340, classification!C:C, classification!B:B, "Not Found")</f>
      </c>
      <c r="Q3340" s="1" t="s">
        <v>5514</v>
      </c>
      <c r="R3340" s="2"/>
      <c r="S3340" s="2"/>
      <c r="T3340" s="2"/>
      <c r="U3340" s="2"/>
    </row>
    <row x14ac:dyDescent="0.25" r="3341" customHeight="1" ht="17.25">
      <c r="A3341" s="7">
        <v>3340</v>
      </c>
      <c r="B3341" s="1" t="s">
        <v>8659</v>
      </c>
      <c r="C3341" s="5">
        <f>CONCATENATE("PD", TEXT(A3341, "1000000"))</f>
      </c>
      <c r="D3341" s="7">
        <v>76</v>
      </c>
      <c r="E3341" s="5">
        <f>XLOOKUP(G3341, item_category!C:C, item_category!B:B, "Not Found")</f>
      </c>
      <c r="F3341" s="1" t="s">
        <v>5632</v>
      </c>
      <c r="G3341" s="5">
        <f>XLOOKUP(I3341, drug!B:B, drug!A:A, "Not Found")</f>
      </c>
      <c r="H3341" s="1" t="s">
        <v>1942</v>
      </c>
      <c r="I3341" s="7">
        <v>1</v>
      </c>
      <c r="J3341" s="5">
        <f>XLOOKUP(L3341, uom!C:C, uom!B:B, "Not Found")</f>
      </c>
      <c r="K3341" s="1" t="s">
        <v>5511</v>
      </c>
      <c r="L3341" s="5">
        <f>XLOOKUP(N3341, uom!C:C, uom!B:B, "Not Found")</f>
      </c>
      <c r="M3341" s="1" t="s">
        <v>5511</v>
      </c>
      <c r="N3341" s="8" t="s">
        <v>5512</v>
      </c>
      <c r="O3341" s="1" t="s">
        <v>5513</v>
      </c>
      <c r="P3341" s="5">
        <f>XLOOKUP(R3341, classification!C:C, classification!B:B, "Not Found")</f>
      </c>
      <c r="Q3341" s="1" t="s">
        <v>5514</v>
      </c>
      <c r="R3341" s="2"/>
      <c r="S3341" s="2"/>
      <c r="T3341" s="2"/>
      <c r="U3341" s="2"/>
    </row>
    <row x14ac:dyDescent="0.25" r="3342" customHeight="1" ht="17.25">
      <c r="A3342" s="7">
        <v>3341</v>
      </c>
      <c r="B3342" s="1" t="s">
        <v>8660</v>
      </c>
      <c r="C3342" s="5">
        <f>CONCATENATE("PD", TEXT(A3342, "1000000"))</f>
      </c>
      <c r="D3342" s="7">
        <v>76</v>
      </c>
      <c r="E3342" s="5">
        <f>XLOOKUP(G3342, item_category!C:C, item_category!B:B, "Not Found")</f>
      </c>
      <c r="F3342" s="1" t="s">
        <v>5632</v>
      </c>
      <c r="G3342" s="5">
        <f>XLOOKUP(I3342, drug!B:B, drug!A:A, "Not Found")</f>
      </c>
      <c r="H3342" s="1"/>
      <c r="I3342" s="7">
        <v>1</v>
      </c>
      <c r="J3342" s="5">
        <f>XLOOKUP(L3342, uom!C:C, uom!B:B, "Not Found")</f>
      </c>
      <c r="K3342" s="1" t="s">
        <v>5511</v>
      </c>
      <c r="L3342" s="5">
        <f>XLOOKUP(N3342, uom!C:C, uom!B:B, "Not Found")</f>
      </c>
      <c r="M3342" s="1" t="s">
        <v>5511</v>
      </c>
      <c r="N3342" s="8" t="s">
        <v>5512</v>
      </c>
      <c r="O3342" s="1" t="s">
        <v>5513</v>
      </c>
      <c r="P3342" s="5">
        <f>XLOOKUP(R3342, classification!C:C, classification!B:B, "Not Found")</f>
      </c>
      <c r="Q3342" s="1" t="s">
        <v>5514</v>
      </c>
      <c r="R3342" s="2"/>
      <c r="S3342" s="2"/>
      <c r="T3342" s="2"/>
      <c r="U3342" s="2"/>
    </row>
    <row x14ac:dyDescent="0.25" r="3343" customHeight="1" ht="17.25">
      <c r="A3343" s="7">
        <v>3342</v>
      </c>
      <c r="B3343" s="1" t="s">
        <v>8661</v>
      </c>
      <c r="C3343" s="5">
        <f>CONCATENATE("PD", TEXT(A3343, "1000000"))</f>
      </c>
      <c r="D3343" s="7">
        <v>76</v>
      </c>
      <c r="E3343" s="5">
        <f>XLOOKUP(G3343, item_category!C:C, item_category!B:B, "Not Found")</f>
      </c>
      <c r="F3343" s="1" t="s">
        <v>5632</v>
      </c>
      <c r="G3343" s="5">
        <f>XLOOKUP(I3343, drug!B:B, drug!A:A, "Not Found")</f>
      </c>
      <c r="H3343" s="1"/>
      <c r="I3343" s="7">
        <v>1</v>
      </c>
      <c r="J3343" s="5">
        <f>XLOOKUP(L3343, uom!C:C, uom!B:B, "Not Found")</f>
      </c>
      <c r="K3343" s="1" t="s">
        <v>5511</v>
      </c>
      <c r="L3343" s="5">
        <f>XLOOKUP(N3343, uom!C:C, uom!B:B, "Not Found")</f>
      </c>
      <c r="M3343" s="1" t="s">
        <v>5511</v>
      </c>
      <c r="N3343" s="8" t="s">
        <v>5512</v>
      </c>
      <c r="O3343" s="1" t="s">
        <v>5513</v>
      </c>
      <c r="P3343" s="5">
        <f>XLOOKUP(R3343, classification!C:C, classification!B:B, "Not Found")</f>
      </c>
      <c r="Q3343" s="1" t="s">
        <v>5514</v>
      </c>
      <c r="R3343" s="2"/>
      <c r="S3343" s="2"/>
      <c r="T3343" s="2"/>
      <c r="U3343" s="2"/>
    </row>
    <row x14ac:dyDescent="0.25" r="3344" customHeight="1" ht="17.25">
      <c r="A3344" s="7">
        <v>3343</v>
      </c>
      <c r="B3344" s="1" t="s">
        <v>8662</v>
      </c>
      <c r="C3344" s="5">
        <f>CONCATENATE("PD", TEXT(A3344, "1000000"))</f>
      </c>
      <c r="D3344" s="7">
        <v>76</v>
      </c>
      <c r="E3344" s="5">
        <f>XLOOKUP(G3344, item_category!C:C, item_category!B:B, "Not Found")</f>
      </c>
      <c r="F3344" s="1" t="s">
        <v>5632</v>
      </c>
      <c r="G3344" s="5">
        <f>XLOOKUP(I3344, drug!B:B, drug!A:A, "Not Found")</f>
      </c>
      <c r="H3344" s="1"/>
      <c r="I3344" s="7">
        <v>1</v>
      </c>
      <c r="J3344" s="5">
        <f>XLOOKUP(L3344, uom!C:C, uom!B:B, "Not Found")</f>
      </c>
      <c r="K3344" s="1" t="s">
        <v>5511</v>
      </c>
      <c r="L3344" s="5">
        <f>XLOOKUP(N3344, uom!C:C, uom!B:B, "Not Found")</f>
      </c>
      <c r="M3344" s="1" t="s">
        <v>5511</v>
      </c>
      <c r="N3344" s="8" t="s">
        <v>5512</v>
      </c>
      <c r="O3344" s="1" t="s">
        <v>5513</v>
      </c>
      <c r="P3344" s="5">
        <f>XLOOKUP(R3344, classification!C:C, classification!B:B, "Not Found")</f>
      </c>
      <c r="Q3344" s="1" t="s">
        <v>5514</v>
      </c>
      <c r="R3344" s="2"/>
      <c r="S3344" s="2"/>
      <c r="T3344" s="2"/>
      <c r="U3344" s="2"/>
    </row>
    <row x14ac:dyDescent="0.25" r="3345" customHeight="1" ht="17.25">
      <c r="A3345" s="7">
        <v>3344</v>
      </c>
      <c r="B3345" s="1" t="s">
        <v>8663</v>
      </c>
      <c r="C3345" s="5">
        <f>CONCATENATE("PD", TEXT(A3345, "1000000"))</f>
      </c>
      <c r="D3345" s="7">
        <v>76</v>
      </c>
      <c r="E3345" s="5">
        <f>XLOOKUP(G3345, item_category!C:C, item_category!B:B, "Not Found")</f>
      </c>
      <c r="F3345" s="1" t="s">
        <v>5632</v>
      </c>
      <c r="G3345" s="5">
        <f>XLOOKUP(I3345, drug!B:B, drug!A:A, "Not Found")</f>
      </c>
      <c r="H3345" s="1"/>
      <c r="I3345" s="7">
        <v>1</v>
      </c>
      <c r="J3345" s="5">
        <f>XLOOKUP(L3345, uom!C:C, uom!B:B, "Not Found")</f>
      </c>
      <c r="K3345" s="1" t="s">
        <v>5511</v>
      </c>
      <c r="L3345" s="5">
        <f>XLOOKUP(N3345, uom!C:C, uom!B:B, "Not Found")</f>
      </c>
      <c r="M3345" s="1" t="s">
        <v>5511</v>
      </c>
      <c r="N3345" s="8" t="s">
        <v>5512</v>
      </c>
      <c r="O3345" s="1" t="s">
        <v>5513</v>
      </c>
      <c r="P3345" s="5">
        <f>XLOOKUP(R3345, classification!C:C, classification!B:B, "Not Found")</f>
      </c>
      <c r="Q3345" s="1" t="s">
        <v>5514</v>
      </c>
      <c r="R3345" s="2"/>
      <c r="S3345" s="2"/>
      <c r="T3345" s="2"/>
      <c r="U3345" s="2"/>
    </row>
    <row x14ac:dyDescent="0.25" r="3346" customHeight="1" ht="17.25">
      <c r="A3346" s="7">
        <v>3345</v>
      </c>
      <c r="B3346" s="1" t="s">
        <v>8664</v>
      </c>
      <c r="C3346" s="5">
        <f>CONCATENATE("PD", TEXT(A3346, "1000000"))</f>
      </c>
      <c r="D3346" s="7">
        <v>76</v>
      </c>
      <c r="E3346" s="5">
        <f>XLOOKUP(G3346, item_category!C:C, item_category!B:B, "Not Found")</f>
      </c>
      <c r="F3346" s="1" t="s">
        <v>5632</v>
      </c>
      <c r="G3346" s="5">
        <f>XLOOKUP(I3346, drug!B:B, drug!A:A, "Not Found")</f>
      </c>
      <c r="H3346" s="1"/>
      <c r="I3346" s="7">
        <v>1</v>
      </c>
      <c r="J3346" s="5">
        <f>XLOOKUP(L3346, uom!C:C, uom!B:B, "Not Found")</f>
      </c>
      <c r="K3346" s="1" t="s">
        <v>5511</v>
      </c>
      <c r="L3346" s="5">
        <f>XLOOKUP(N3346, uom!C:C, uom!B:B, "Not Found")</f>
      </c>
      <c r="M3346" s="1" t="s">
        <v>5511</v>
      </c>
      <c r="N3346" s="8" t="s">
        <v>5512</v>
      </c>
      <c r="O3346" s="1" t="s">
        <v>5513</v>
      </c>
      <c r="P3346" s="5">
        <f>XLOOKUP(R3346, classification!C:C, classification!B:B, "Not Found")</f>
      </c>
      <c r="Q3346" s="1" t="s">
        <v>5514</v>
      </c>
      <c r="R3346" s="2"/>
      <c r="S3346" s="2"/>
      <c r="T3346" s="2"/>
      <c r="U3346" s="2"/>
    </row>
    <row x14ac:dyDescent="0.25" r="3347" customHeight="1" ht="17.25">
      <c r="A3347" s="7">
        <v>3346</v>
      </c>
      <c r="B3347" s="1" t="s">
        <v>8665</v>
      </c>
      <c r="C3347" s="5">
        <f>CONCATENATE("PD", TEXT(A3347, "1000000"))</f>
      </c>
      <c r="D3347" s="7">
        <v>76</v>
      </c>
      <c r="E3347" s="5">
        <f>XLOOKUP(G3347, item_category!C:C, item_category!B:B, "Not Found")</f>
      </c>
      <c r="F3347" s="1" t="s">
        <v>5632</v>
      </c>
      <c r="G3347" s="5">
        <f>XLOOKUP(I3347, drug!B:B, drug!A:A, "Not Found")</f>
      </c>
      <c r="H3347" s="1"/>
      <c r="I3347" s="7">
        <v>1</v>
      </c>
      <c r="J3347" s="5">
        <f>XLOOKUP(L3347, uom!C:C, uom!B:B, "Not Found")</f>
      </c>
      <c r="K3347" s="1" t="s">
        <v>5511</v>
      </c>
      <c r="L3347" s="5">
        <f>XLOOKUP(N3347, uom!C:C, uom!B:B, "Not Found")</f>
      </c>
      <c r="M3347" s="1" t="s">
        <v>5511</v>
      </c>
      <c r="N3347" s="8" t="s">
        <v>5512</v>
      </c>
      <c r="O3347" s="1" t="s">
        <v>5513</v>
      </c>
      <c r="P3347" s="5">
        <f>XLOOKUP(R3347, classification!C:C, classification!B:B, "Not Found")</f>
      </c>
      <c r="Q3347" s="1" t="s">
        <v>5514</v>
      </c>
      <c r="R3347" s="2"/>
      <c r="S3347" s="2"/>
      <c r="T3347" s="2"/>
      <c r="U3347" s="2"/>
    </row>
    <row x14ac:dyDescent="0.25" r="3348" customHeight="1" ht="17.25">
      <c r="A3348" s="7">
        <v>3347</v>
      </c>
      <c r="B3348" s="1" t="s">
        <v>8666</v>
      </c>
      <c r="C3348" s="5">
        <f>CONCATENATE("PD", TEXT(A3348, "1000000"))</f>
      </c>
      <c r="D3348" s="7">
        <v>76</v>
      </c>
      <c r="E3348" s="5">
        <f>XLOOKUP(G3348, item_category!C:C, item_category!B:B, "Not Found")</f>
      </c>
      <c r="F3348" s="1" t="s">
        <v>5632</v>
      </c>
      <c r="G3348" s="5">
        <f>XLOOKUP(I3348, drug!B:B, drug!A:A, "Not Found")</f>
      </c>
      <c r="H3348" s="1"/>
      <c r="I3348" s="7">
        <v>1</v>
      </c>
      <c r="J3348" s="5">
        <f>XLOOKUP(L3348, uom!C:C, uom!B:B, "Not Found")</f>
      </c>
      <c r="K3348" s="1" t="s">
        <v>5511</v>
      </c>
      <c r="L3348" s="5">
        <f>XLOOKUP(N3348, uom!C:C, uom!B:B, "Not Found")</f>
      </c>
      <c r="M3348" s="1" t="s">
        <v>5511</v>
      </c>
      <c r="N3348" s="8" t="s">
        <v>5512</v>
      </c>
      <c r="O3348" s="1" t="s">
        <v>5513</v>
      </c>
      <c r="P3348" s="5">
        <f>XLOOKUP(R3348, classification!C:C, classification!B:B, "Not Found")</f>
      </c>
      <c r="Q3348" s="1" t="s">
        <v>5514</v>
      </c>
      <c r="R3348" s="2"/>
      <c r="S3348" s="2"/>
      <c r="T3348" s="2"/>
      <c r="U3348" s="2"/>
    </row>
    <row x14ac:dyDescent="0.25" r="3349" customHeight="1" ht="17.25">
      <c r="A3349" s="7">
        <v>3348</v>
      </c>
      <c r="B3349" s="1" t="s">
        <v>8667</v>
      </c>
      <c r="C3349" s="5">
        <f>CONCATENATE("PD", TEXT(A3349, "1000000"))</f>
      </c>
      <c r="D3349" s="7">
        <v>76</v>
      </c>
      <c r="E3349" s="5">
        <f>XLOOKUP(G3349, item_category!C:C, item_category!B:B, "Not Found")</f>
      </c>
      <c r="F3349" s="1" t="s">
        <v>5632</v>
      </c>
      <c r="G3349" s="5">
        <f>XLOOKUP(I3349, drug!B:B, drug!A:A, "Not Found")</f>
      </c>
      <c r="H3349" s="1"/>
      <c r="I3349" s="7">
        <v>1</v>
      </c>
      <c r="J3349" s="5">
        <f>XLOOKUP(L3349, uom!C:C, uom!B:B, "Not Found")</f>
      </c>
      <c r="K3349" s="1" t="s">
        <v>5511</v>
      </c>
      <c r="L3349" s="5">
        <f>XLOOKUP(N3349, uom!C:C, uom!B:B, "Not Found")</f>
      </c>
      <c r="M3349" s="1" t="s">
        <v>5511</v>
      </c>
      <c r="N3349" s="8" t="s">
        <v>5512</v>
      </c>
      <c r="O3349" s="1" t="s">
        <v>5513</v>
      </c>
      <c r="P3349" s="5">
        <f>XLOOKUP(R3349, classification!C:C, classification!B:B, "Not Found")</f>
      </c>
      <c r="Q3349" s="1" t="s">
        <v>5514</v>
      </c>
      <c r="R3349" s="2"/>
      <c r="S3349" s="2"/>
      <c r="T3349" s="2"/>
      <c r="U3349" s="2"/>
    </row>
    <row x14ac:dyDescent="0.25" r="3350" customHeight="1" ht="17.25">
      <c r="A3350" s="7">
        <v>3349</v>
      </c>
      <c r="B3350" s="1" t="s">
        <v>3418</v>
      </c>
      <c r="C3350" s="5">
        <f>CONCATENATE("PD", TEXT(A3350, "1000000"))</f>
      </c>
      <c r="D3350" s="7">
        <v>76</v>
      </c>
      <c r="E3350" s="5">
        <f>XLOOKUP(G3350, item_category!C:C, item_category!B:B, "Not Found")</f>
      </c>
      <c r="F3350" s="1" t="s">
        <v>5632</v>
      </c>
      <c r="G3350" s="5">
        <f>XLOOKUP(I3350, drug!B:B, drug!A:A, "Not Found")</f>
      </c>
      <c r="H3350" s="1"/>
      <c r="I3350" s="7">
        <v>1</v>
      </c>
      <c r="J3350" s="5">
        <f>XLOOKUP(L3350, uom!C:C, uom!B:B, "Not Found")</f>
      </c>
      <c r="K3350" s="1" t="s">
        <v>5511</v>
      </c>
      <c r="L3350" s="5">
        <f>XLOOKUP(N3350, uom!C:C, uom!B:B, "Not Found")</f>
      </c>
      <c r="M3350" s="1" t="s">
        <v>5511</v>
      </c>
      <c r="N3350" s="8" t="s">
        <v>5512</v>
      </c>
      <c r="O3350" s="1" t="s">
        <v>5513</v>
      </c>
      <c r="P3350" s="5">
        <f>XLOOKUP(R3350, classification!C:C, classification!B:B, "Not Found")</f>
      </c>
      <c r="Q3350" s="1" t="s">
        <v>5514</v>
      </c>
      <c r="R3350" s="2"/>
      <c r="S3350" s="2"/>
      <c r="T3350" s="2"/>
      <c r="U3350" s="2"/>
    </row>
    <row x14ac:dyDescent="0.25" r="3351" customHeight="1" ht="17.25">
      <c r="A3351" s="7">
        <v>3350</v>
      </c>
      <c r="B3351" s="1" t="s">
        <v>3420</v>
      </c>
      <c r="C3351" s="5">
        <f>CONCATENATE("PD", TEXT(A3351, "1000000"))</f>
      </c>
      <c r="D3351" s="7">
        <v>76</v>
      </c>
      <c r="E3351" s="5">
        <f>XLOOKUP(G3351, item_category!C:C, item_category!B:B, "Not Found")</f>
      </c>
      <c r="F3351" s="1" t="s">
        <v>5632</v>
      </c>
      <c r="G3351" s="5">
        <f>XLOOKUP(I3351, drug!B:B, drug!A:A, "Not Found")</f>
      </c>
      <c r="H3351" s="1"/>
      <c r="I3351" s="7">
        <v>1</v>
      </c>
      <c r="J3351" s="5">
        <f>XLOOKUP(L3351, uom!C:C, uom!B:B, "Not Found")</f>
      </c>
      <c r="K3351" s="1" t="s">
        <v>5511</v>
      </c>
      <c r="L3351" s="5">
        <f>XLOOKUP(N3351, uom!C:C, uom!B:B, "Not Found")</f>
      </c>
      <c r="M3351" s="1" t="s">
        <v>5511</v>
      </c>
      <c r="N3351" s="8" t="s">
        <v>5512</v>
      </c>
      <c r="O3351" s="1" t="s">
        <v>5513</v>
      </c>
      <c r="P3351" s="5">
        <f>XLOOKUP(R3351, classification!C:C, classification!B:B, "Not Found")</f>
      </c>
      <c r="Q3351" s="1" t="s">
        <v>5514</v>
      </c>
      <c r="R3351" s="2"/>
      <c r="S3351" s="2"/>
      <c r="T3351" s="2"/>
      <c r="U3351" s="2"/>
    </row>
    <row x14ac:dyDescent="0.25" r="3352" customHeight="1" ht="17.25">
      <c r="A3352" s="7">
        <v>3351</v>
      </c>
      <c r="B3352" s="1" t="s">
        <v>8668</v>
      </c>
      <c r="C3352" s="5">
        <f>CONCATENATE("PD", TEXT(A3352, "1000000"))</f>
      </c>
      <c r="D3352" s="7">
        <v>76</v>
      </c>
      <c r="E3352" s="5">
        <f>XLOOKUP(G3352, item_category!C:C, item_category!B:B, "Not Found")</f>
      </c>
      <c r="F3352" s="1" t="s">
        <v>5632</v>
      </c>
      <c r="G3352" s="5">
        <f>XLOOKUP(I3352, drug!B:B, drug!A:A, "Not Found")</f>
      </c>
      <c r="H3352" s="1"/>
      <c r="I3352" s="7">
        <v>1</v>
      </c>
      <c r="J3352" s="5">
        <f>XLOOKUP(L3352, uom!C:C, uom!B:B, "Not Found")</f>
      </c>
      <c r="K3352" s="1" t="s">
        <v>5511</v>
      </c>
      <c r="L3352" s="5">
        <f>XLOOKUP(N3352, uom!C:C, uom!B:B, "Not Found")</f>
      </c>
      <c r="M3352" s="1" t="s">
        <v>5511</v>
      </c>
      <c r="N3352" s="8" t="s">
        <v>5512</v>
      </c>
      <c r="O3352" s="1" t="s">
        <v>5513</v>
      </c>
      <c r="P3352" s="5">
        <f>XLOOKUP(R3352, classification!C:C, classification!B:B, "Not Found")</f>
      </c>
      <c r="Q3352" s="1" t="s">
        <v>5514</v>
      </c>
      <c r="R3352" s="2"/>
      <c r="S3352" s="2"/>
      <c r="T3352" s="2"/>
      <c r="U3352" s="2"/>
    </row>
    <row x14ac:dyDescent="0.25" r="3353" customHeight="1" ht="17.25">
      <c r="A3353" s="7">
        <v>3352</v>
      </c>
      <c r="B3353" s="1" t="s">
        <v>8669</v>
      </c>
      <c r="C3353" s="5">
        <f>CONCATENATE("PD", TEXT(A3353, "1000000"))</f>
      </c>
      <c r="D3353" s="7">
        <v>76</v>
      </c>
      <c r="E3353" s="5">
        <f>XLOOKUP(G3353, item_category!C:C, item_category!B:B, "Not Found")</f>
      </c>
      <c r="F3353" s="1" t="s">
        <v>5632</v>
      </c>
      <c r="G3353" s="5">
        <f>XLOOKUP(I3353, drug!B:B, drug!A:A, "Not Found")</f>
      </c>
      <c r="H3353" s="1"/>
      <c r="I3353" s="7">
        <v>1</v>
      </c>
      <c r="J3353" s="5">
        <f>XLOOKUP(L3353, uom!C:C, uom!B:B, "Not Found")</f>
      </c>
      <c r="K3353" s="1" t="s">
        <v>5511</v>
      </c>
      <c r="L3353" s="5">
        <f>XLOOKUP(N3353, uom!C:C, uom!B:B, "Not Found")</f>
      </c>
      <c r="M3353" s="1" t="s">
        <v>5511</v>
      </c>
      <c r="N3353" s="8" t="s">
        <v>5512</v>
      </c>
      <c r="O3353" s="1" t="s">
        <v>5513</v>
      </c>
      <c r="P3353" s="5">
        <f>XLOOKUP(R3353, classification!C:C, classification!B:B, "Not Found")</f>
      </c>
      <c r="Q3353" s="1" t="s">
        <v>5514</v>
      </c>
      <c r="R3353" s="2"/>
      <c r="S3353" s="2"/>
      <c r="T3353" s="2"/>
      <c r="U3353" s="2"/>
    </row>
    <row x14ac:dyDescent="0.25" r="3354" customHeight="1" ht="17.25">
      <c r="A3354" s="7">
        <v>3353</v>
      </c>
      <c r="B3354" s="1" t="s">
        <v>8670</v>
      </c>
      <c r="C3354" s="5">
        <f>CONCATENATE("PD", TEXT(A3354, "1000000"))</f>
      </c>
      <c r="D3354" s="7">
        <v>76</v>
      </c>
      <c r="E3354" s="5">
        <f>XLOOKUP(G3354, item_category!C:C, item_category!B:B, "Not Found")</f>
      </c>
      <c r="F3354" s="1" t="s">
        <v>5632</v>
      </c>
      <c r="G3354" s="5">
        <f>XLOOKUP(I3354, drug!B:B, drug!A:A, "Not Found")</f>
      </c>
      <c r="H3354" s="1"/>
      <c r="I3354" s="7">
        <v>1</v>
      </c>
      <c r="J3354" s="5">
        <f>XLOOKUP(L3354, uom!C:C, uom!B:B, "Not Found")</f>
      </c>
      <c r="K3354" s="1" t="s">
        <v>5511</v>
      </c>
      <c r="L3354" s="5">
        <f>XLOOKUP(N3354, uom!C:C, uom!B:B, "Not Found")</f>
      </c>
      <c r="M3354" s="1" t="s">
        <v>5511</v>
      </c>
      <c r="N3354" s="8" t="s">
        <v>5512</v>
      </c>
      <c r="O3354" s="1" t="s">
        <v>5513</v>
      </c>
      <c r="P3354" s="5">
        <f>XLOOKUP(R3354, classification!C:C, classification!B:B, "Not Found")</f>
      </c>
      <c r="Q3354" s="1" t="s">
        <v>5514</v>
      </c>
      <c r="R3354" s="2"/>
      <c r="S3354" s="2"/>
      <c r="T3354" s="2"/>
      <c r="U3354" s="2"/>
    </row>
    <row x14ac:dyDescent="0.25" r="3355" customHeight="1" ht="17.25">
      <c r="A3355" s="7">
        <v>3354</v>
      </c>
      <c r="B3355" s="1" t="s">
        <v>8671</v>
      </c>
      <c r="C3355" s="5">
        <f>CONCATENATE("PD", TEXT(A3355, "1000000"))</f>
      </c>
      <c r="D3355" s="7">
        <v>76</v>
      </c>
      <c r="E3355" s="5">
        <f>XLOOKUP(G3355, item_category!C:C, item_category!B:B, "Not Found")</f>
      </c>
      <c r="F3355" s="1" t="s">
        <v>5632</v>
      </c>
      <c r="G3355" s="5">
        <f>XLOOKUP(I3355, drug!B:B, drug!A:A, "Not Found")</f>
      </c>
      <c r="H3355" s="1"/>
      <c r="I3355" s="7">
        <v>1</v>
      </c>
      <c r="J3355" s="5">
        <f>XLOOKUP(L3355, uom!C:C, uom!B:B, "Not Found")</f>
      </c>
      <c r="K3355" s="1" t="s">
        <v>5511</v>
      </c>
      <c r="L3355" s="5">
        <f>XLOOKUP(N3355, uom!C:C, uom!B:B, "Not Found")</f>
      </c>
      <c r="M3355" s="1" t="s">
        <v>5511</v>
      </c>
      <c r="N3355" s="8" t="s">
        <v>5512</v>
      </c>
      <c r="O3355" s="1" t="s">
        <v>5513</v>
      </c>
      <c r="P3355" s="5">
        <f>XLOOKUP(R3355, classification!C:C, classification!B:B, "Not Found")</f>
      </c>
      <c r="Q3355" s="1" t="s">
        <v>5514</v>
      </c>
      <c r="R3355" s="2"/>
      <c r="S3355" s="2"/>
      <c r="T3355" s="2"/>
      <c r="U3355" s="2"/>
    </row>
    <row x14ac:dyDescent="0.25" r="3356" customHeight="1" ht="17.25">
      <c r="A3356" s="7">
        <v>3355</v>
      </c>
      <c r="B3356" s="1" t="s">
        <v>8672</v>
      </c>
      <c r="C3356" s="5">
        <f>CONCATENATE("PD", TEXT(A3356, "1000000"))</f>
      </c>
      <c r="D3356" s="7">
        <v>76</v>
      </c>
      <c r="E3356" s="5">
        <f>XLOOKUP(G3356, item_category!C:C, item_category!B:B, "Not Found")</f>
      </c>
      <c r="F3356" s="1" t="s">
        <v>5632</v>
      </c>
      <c r="G3356" s="5">
        <f>XLOOKUP(I3356, drug!B:B, drug!A:A, "Not Found")</f>
      </c>
      <c r="H3356" s="1"/>
      <c r="I3356" s="7">
        <v>1</v>
      </c>
      <c r="J3356" s="5">
        <f>XLOOKUP(L3356, uom!C:C, uom!B:B, "Not Found")</f>
      </c>
      <c r="K3356" s="1" t="s">
        <v>5511</v>
      </c>
      <c r="L3356" s="5">
        <f>XLOOKUP(N3356, uom!C:C, uom!B:B, "Not Found")</f>
      </c>
      <c r="M3356" s="1" t="s">
        <v>5511</v>
      </c>
      <c r="N3356" s="8" t="s">
        <v>5512</v>
      </c>
      <c r="O3356" s="1" t="s">
        <v>5513</v>
      </c>
      <c r="P3356" s="5">
        <f>XLOOKUP(R3356, classification!C:C, classification!B:B, "Not Found")</f>
      </c>
      <c r="Q3356" s="1" t="s">
        <v>5514</v>
      </c>
      <c r="R3356" s="2"/>
      <c r="S3356" s="2"/>
      <c r="T3356" s="2"/>
      <c r="U3356" s="2"/>
    </row>
    <row x14ac:dyDescent="0.25" r="3357" customHeight="1" ht="17.25">
      <c r="A3357" s="7">
        <v>3356</v>
      </c>
      <c r="B3357" s="1" t="s">
        <v>8673</v>
      </c>
      <c r="C3357" s="5">
        <f>CONCATENATE("PD", TEXT(A3357, "1000000"))</f>
      </c>
      <c r="D3357" s="7">
        <v>76</v>
      </c>
      <c r="E3357" s="5">
        <f>XLOOKUP(G3357, item_category!C:C, item_category!B:B, "Not Found")</f>
      </c>
      <c r="F3357" s="1" t="s">
        <v>5632</v>
      </c>
      <c r="G3357" s="5">
        <f>XLOOKUP(I3357, drug!B:B, drug!A:A, "Not Found")</f>
      </c>
      <c r="H3357" s="1"/>
      <c r="I3357" s="7">
        <v>1</v>
      </c>
      <c r="J3357" s="5">
        <f>XLOOKUP(L3357, uom!C:C, uom!B:B, "Not Found")</f>
      </c>
      <c r="K3357" s="1" t="s">
        <v>5511</v>
      </c>
      <c r="L3357" s="5">
        <f>XLOOKUP(N3357, uom!C:C, uom!B:B, "Not Found")</f>
      </c>
      <c r="M3357" s="1" t="s">
        <v>5511</v>
      </c>
      <c r="N3357" s="8" t="s">
        <v>5512</v>
      </c>
      <c r="O3357" s="1" t="s">
        <v>5513</v>
      </c>
      <c r="P3357" s="5">
        <f>XLOOKUP(R3357, classification!C:C, classification!B:B, "Not Found")</f>
      </c>
      <c r="Q3357" s="1" t="s">
        <v>5514</v>
      </c>
      <c r="R3357" s="2"/>
      <c r="S3357" s="2"/>
      <c r="T3357" s="2"/>
      <c r="U3357" s="2"/>
    </row>
    <row x14ac:dyDescent="0.25" r="3358" customHeight="1" ht="17.25">
      <c r="A3358" s="7">
        <v>3357</v>
      </c>
      <c r="B3358" s="1" t="s">
        <v>8674</v>
      </c>
      <c r="C3358" s="5">
        <f>CONCATENATE("PD", TEXT(A3358, "1000000"))</f>
      </c>
      <c r="D3358" s="7">
        <v>76</v>
      </c>
      <c r="E3358" s="5">
        <f>XLOOKUP(G3358, item_category!C:C, item_category!B:B, "Not Found")</f>
      </c>
      <c r="F3358" s="1" t="s">
        <v>5632</v>
      </c>
      <c r="G3358" s="5">
        <f>XLOOKUP(I3358, drug!B:B, drug!A:A, "Not Found")</f>
      </c>
      <c r="H3358" s="1"/>
      <c r="I3358" s="7">
        <v>1</v>
      </c>
      <c r="J3358" s="5">
        <f>XLOOKUP(L3358, uom!C:C, uom!B:B, "Not Found")</f>
      </c>
      <c r="K3358" s="1" t="s">
        <v>5511</v>
      </c>
      <c r="L3358" s="5">
        <f>XLOOKUP(N3358, uom!C:C, uom!B:B, "Not Found")</f>
      </c>
      <c r="M3358" s="1" t="s">
        <v>5511</v>
      </c>
      <c r="N3358" s="8" t="s">
        <v>5512</v>
      </c>
      <c r="O3358" s="1" t="s">
        <v>5513</v>
      </c>
      <c r="P3358" s="5">
        <f>XLOOKUP(R3358, classification!C:C, classification!B:B, "Not Found")</f>
      </c>
      <c r="Q3358" s="1" t="s">
        <v>5514</v>
      </c>
      <c r="R3358" s="2"/>
      <c r="S3358" s="2"/>
      <c r="T3358" s="2"/>
      <c r="U3358" s="2"/>
    </row>
    <row x14ac:dyDescent="0.25" r="3359" customHeight="1" ht="17.25">
      <c r="A3359" s="7">
        <v>3358</v>
      </c>
      <c r="B3359" s="1" t="s">
        <v>8675</v>
      </c>
      <c r="C3359" s="5">
        <f>CONCATENATE("PD", TEXT(A3359, "1000000"))</f>
      </c>
      <c r="D3359" s="7">
        <v>76</v>
      </c>
      <c r="E3359" s="5">
        <f>XLOOKUP(G3359, item_category!C:C, item_category!B:B, "Not Found")</f>
      </c>
      <c r="F3359" s="1" t="s">
        <v>5632</v>
      </c>
      <c r="G3359" s="5">
        <f>XLOOKUP(I3359, drug!B:B, drug!A:A, "Not Found")</f>
      </c>
      <c r="H3359" s="1"/>
      <c r="I3359" s="7">
        <v>1</v>
      </c>
      <c r="J3359" s="5">
        <f>XLOOKUP(L3359, uom!C:C, uom!B:B, "Not Found")</f>
      </c>
      <c r="K3359" s="1" t="s">
        <v>5511</v>
      </c>
      <c r="L3359" s="5">
        <f>XLOOKUP(N3359, uom!C:C, uom!B:B, "Not Found")</f>
      </c>
      <c r="M3359" s="1" t="s">
        <v>5511</v>
      </c>
      <c r="N3359" s="8" t="s">
        <v>5512</v>
      </c>
      <c r="O3359" s="1" t="s">
        <v>5513</v>
      </c>
      <c r="P3359" s="5">
        <f>XLOOKUP(R3359, classification!C:C, classification!B:B, "Not Found")</f>
      </c>
      <c r="Q3359" s="1" t="s">
        <v>5514</v>
      </c>
      <c r="R3359" s="2"/>
      <c r="S3359" s="2"/>
      <c r="T3359" s="2"/>
      <c r="U3359" s="2"/>
    </row>
    <row x14ac:dyDescent="0.25" r="3360" customHeight="1" ht="17.25">
      <c r="A3360" s="7">
        <v>3359</v>
      </c>
      <c r="B3360" s="1" t="s">
        <v>8676</v>
      </c>
      <c r="C3360" s="5">
        <f>CONCATENATE("PD", TEXT(A3360, "1000000"))</f>
      </c>
      <c r="D3360" s="7">
        <v>76</v>
      </c>
      <c r="E3360" s="5">
        <f>XLOOKUP(G3360, item_category!C:C, item_category!B:B, "Not Found")</f>
      </c>
      <c r="F3360" s="1" t="s">
        <v>5632</v>
      </c>
      <c r="G3360" s="5">
        <f>XLOOKUP(I3360, drug!B:B, drug!A:A, "Not Found")</f>
      </c>
      <c r="H3360" s="1"/>
      <c r="I3360" s="7">
        <v>1</v>
      </c>
      <c r="J3360" s="5">
        <f>XLOOKUP(L3360, uom!C:C, uom!B:B, "Not Found")</f>
      </c>
      <c r="K3360" s="1" t="s">
        <v>5511</v>
      </c>
      <c r="L3360" s="5">
        <f>XLOOKUP(N3360, uom!C:C, uom!B:B, "Not Found")</f>
      </c>
      <c r="M3360" s="1" t="s">
        <v>5511</v>
      </c>
      <c r="N3360" s="8" t="s">
        <v>5512</v>
      </c>
      <c r="O3360" s="1" t="s">
        <v>5513</v>
      </c>
      <c r="P3360" s="5">
        <f>XLOOKUP(R3360, classification!C:C, classification!B:B, "Not Found")</f>
      </c>
      <c r="Q3360" s="1" t="s">
        <v>5514</v>
      </c>
      <c r="R3360" s="2"/>
      <c r="S3360" s="2"/>
      <c r="T3360" s="2"/>
      <c r="U3360" s="2"/>
    </row>
    <row x14ac:dyDescent="0.25" r="3361" customHeight="1" ht="17.25">
      <c r="A3361" s="7">
        <v>3360</v>
      </c>
      <c r="B3361" s="1" t="s">
        <v>8677</v>
      </c>
      <c r="C3361" s="5">
        <f>CONCATENATE("PD", TEXT(A3361, "1000000"))</f>
      </c>
      <c r="D3361" s="7">
        <v>76</v>
      </c>
      <c r="E3361" s="5">
        <f>XLOOKUP(G3361, item_category!C:C, item_category!B:B, "Not Found")</f>
      </c>
      <c r="F3361" s="1" t="s">
        <v>5632</v>
      </c>
      <c r="G3361" s="5">
        <f>XLOOKUP(I3361, drug!B:B, drug!A:A, "Not Found")</f>
      </c>
      <c r="H3361" s="1"/>
      <c r="I3361" s="7">
        <v>1</v>
      </c>
      <c r="J3361" s="5">
        <f>XLOOKUP(L3361, uom!C:C, uom!B:B, "Not Found")</f>
      </c>
      <c r="K3361" s="1" t="s">
        <v>5511</v>
      </c>
      <c r="L3361" s="5">
        <f>XLOOKUP(N3361, uom!C:C, uom!B:B, "Not Found")</f>
      </c>
      <c r="M3361" s="1" t="s">
        <v>5511</v>
      </c>
      <c r="N3361" s="8" t="s">
        <v>5512</v>
      </c>
      <c r="O3361" s="1" t="s">
        <v>5513</v>
      </c>
      <c r="P3361" s="5">
        <f>XLOOKUP(R3361, classification!C:C, classification!B:B, "Not Found")</f>
      </c>
      <c r="Q3361" s="1" t="s">
        <v>5514</v>
      </c>
      <c r="R3361" s="2"/>
      <c r="S3361" s="2"/>
      <c r="T3361" s="2"/>
      <c r="U3361" s="2"/>
    </row>
    <row x14ac:dyDescent="0.25" r="3362" customHeight="1" ht="17.25">
      <c r="A3362" s="7">
        <v>3361</v>
      </c>
      <c r="B3362" s="1" t="s">
        <v>8678</v>
      </c>
      <c r="C3362" s="5">
        <f>CONCATENATE("PD", TEXT(A3362, "1000000"))</f>
      </c>
      <c r="D3362" s="7">
        <v>76</v>
      </c>
      <c r="E3362" s="5">
        <f>XLOOKUP(G3362, item_category!C:C, item_category!B:B, "Not Found")</f>
      </c>
      <c r="F3362" s="1" t="s">
        <v>5632</v>
      </c>
      <c r="G3362" s="5">
        <f>XLOOKUP(I3362, drug!B:B, drug!A:A, "Not Found")</f>
      </c>
      <c r="H3362" s="1"/>
      <c r="I3362" s="7">
        <v>1</v>
      </c>
      <c r="J3362" s="5">
        <f>XLOOKUP(L3362, uom!C:C, uom!B:B, "Not Found")</f>
      </c>
      <c r="K3362" s="1" t="s">
        <v>5511</v>
      </c>
      <c r="L3362" s="5">
        <f>XLOOKUP(N3362, uom!C:C, uom!B:B, "Not Found")</f>
      </c>
      <c r="M3362" s="1" t="s">
        <v>5511</v>
      </c>
      <c r="N3362" s="8" t="s">
        <v>5512</v>
      </c>
      <c r="O3362" s="1" t="s">
        <v>5513</v>
      </c>
      <c r="P3362" s="5">
        <f>XLOOKUP(R3362, classification!C:C, classification!B:B, "Not Found")</f>
      </c>
      <c r="Q3362" s="1" t="s">
        <v>5514</v>
      </c>
      <c r="R3362" s="2"/>
      <c r="S3362" s="2"/>
      <c r="T3362" s="2"/>
      <c r="U3362" s="2"/>
    </row>
    <row x14ac:dyDescent="0.25" r="3363" customHeight="1" ht="17.25">
      <c r="A3363" s="7">
        <v>3362</v>
      </c>
      <c r="B3363" s="1" t="s">
        <v>8679</v>
      </c>
      <c r="C3363" s="5">
        <f>CONCATENATE("PD", TEXT(A3363, "1000000"))</f>
      </c>
      <c r="D3363" s="7">
        <v>76</v>
      </c>
      <c r="E3363" s="5">
        <f>XLOOKUP(G3363, item_category!C:C, item_category!B:B, "Not Found")</f>
      </c>
      <c r="F3363" s="1" t="s">
        <v>5632</v>
      </c>
      <c r="G3363" s="5">
        <f>XLOOKUP(I3363, drug!B:B, drug!A:A, "Not Found")</f>
      </c>
      <c r="H3363" s="1"/>
      <c r="I3363" s="7">
        <v>1</v>
      </c>
      <c r="J3363" s="5">
        <f>XLOOKUP(L3363, uom!C:C, uom!B:B, "Not Found")</f>
      </c>
      <c r="K3363" s="1" t="s">
        <v>5511</v>
      </c>
      <c r="L3363" s="5">
        <f>XLOOKUP(N3363, uom!C:C, uom!B:B, "Not Found")</f>
      </c>
      <c r="M3363" s="1" t="s">
        <v>5511</v>
      </c>
      <c r="N3363" s="8" t="s">
        <v>5512</v>
      </c>
      <c r="O3363" s="1" t="s">
        <v>5513</v>
      </c>
      <c r="P3363" s="5">
        <f>XLOOKUP(R3363, classification!C:C, classification!B:B, "Not Found")</f>
      </c>
      <c r="Q3363" s="1" t="s">
        <v>5514</v>
      </c>
      <c r="R3363" s="2"/>
      <c r="S3363" s="2"/>
      <c r="T3363" s="2"/>
      <c r="U3363" s="2"/>
    </row>
    <row x14ac:dyDescent="0.25" r="3364" customHeight="1" ht="17.25">
      <c r="A3364" s="7">
        <v>3363</v>
      </c>
      <c r="B3364" s="1" t="s">
        <v>8680</v>
      </c>
      <c r="C3364" s="5">
        <f>CONCATENATE("PD", TEXT(A3364, "1000000"))</f>
      </c>
      <c r="D3364" s="7">
        <v>76</v>
      </c>
      <c r="E3364" s="5">
        <f>XLOOKUP(G3364, item_category!C:C, item_category!B:B, "Not Found")</f>
      </c>
      <c r="F3364" s="1" t="s">
        <v>5632</v>
      </c>
      <c r="G3364" s="5">
        <f>XLOOKUP(I3364, drug!B:B, drug!A:A, "Not Found")</f>
      </c>
      <c r="H3364" s="1"/>
      <c r="I3364" s="7">
        <v>1</v>
      </c>
      <c r="J3364" s="5">
        <f>XLOOKUP(L3364, uom!C:C, uom!B:B, "Not Found")</f>
      </c>
      <c r="K3364" s="1" t="s">
        <v>5511</v>
      </c>
      <c r="L3364" s="5">
        <f>XLOOKUP(N3364, uom!C:C, uom!B:B, "Not Found")</f>
      </c>
      <c r="M3364" s="1" t="s">
        <v>5511</v>
      </c>
      <c r="N3364" s="8" t="s">
        <v>5512</v>
      </c>
      <c r="O3364" s="1" t="s">
        <v>5513</v>
      </c>
      <c r="P3364" s="5">
        <f>XLOOKUP(R3364, classification!C:C, classification!B:B, "Not Found")</f>
      </c>
      <c r="Q3364" s="1" t="s">
        <v>5514</v>
      </c>
      <c r="R3364" s="2"/>
      <c r="S3364" s="2"/>
      <c r="T3364" s="2"/>
      <c r="U3364" s="2"/>
    </row>
    <row x14ac:dyDescent="0.25" r="3365" customHeight="1" ht="17.25">
      <c r="A3365" s="7">
        <v>3364</v>
      </c>
      <c r="B3365" s="1" t="s">
        <v>8681</v>
      </c>
      <c r="C3365" s="5">
        <f>CONCATENATE("PD", TEXT(A3365, "1000000"))</f>
      </c>
      <c r="D3365" s="7">
        <v>76</v>
      </c>
      <c r="E3365" s="5">
        <f>XLOOKUP(G3365, item_category!C:C, item_category!B:B, "Not Found")</f>
      </c>
      <c r="F3365" s="1" t="s">
        <v>5632</v>
      </c>
      <c r="G3365" s="5">
        <f>XLOOKUP(I3365, drug!B:B, drug!A:A, "Not Found")</f>
      </c>
      <c r="H3365" s="1"/>
      <c r="I3365" s="7">
        <v>1</v>
      </c>
      <c r="J3365" s="5">
        <f>XLOOKUP(L3365, uom!C:C, uom!B:B, "Not Found")</f>
      </c>
      <c r="K3365" s="1" t="s">
        <v>5511</v>
      </c>
      <c r="L3365" s="5">
        <f>XLOOKUP(N3365, uom!C:C, uom!B:B, "Not Found")</f>
      </c>
      <c r="M3365" s="1" t="s">
        <v>5511</v>
      </c>
      <c r="N3365" s="8" t="s">
        <v>5512</v>
      </c>
      <c r="O3365" s="1" t="s">
        <v>5513</v>
      </c>
      <c r="P3365" s="5">
        <f>XLOOKUP(R3365, classification!C:C, classification!B:B, "Not Found")</f>
      </c>
      <c r="Q3365" s="1" t="s">
        <v>5514</v>
      </c>
      <c r="R3365" s="2"/>
      <c r="S3365" s="2"/>
      <c r="T3365" s="2"/>
      <c r="U3365" s="2"/>
    </row>
    <row x14ac:dyDescent="0.25" r="3366" customHeight="1" ht="17.25">
      <c r="A3366" s="7">
        <v>3365</v>
      </c>
      <c r="B3366" s="1" t="s">
        <v>8682</v>
      </c>
      <c r="C3366" s="5">
        <f>CONCATENATE("PD", TEXT(A3366, "1000000"))</f>
      </c>
      <c r="D3366" s="7">
        <v>76</v>
      </c>
      <c r="E3366" s="5">
        <f>XLOOKUP(G3366, item_category!C:C, item_category!B:B, "Not Found")</f>
      </c>
      <c r="F3366" s="1" t="s">
        <v>5632</v>
      </c>
      <c r="G3366" s="5">
        <f>XLOOKUP(I3366, drug!B:B, drug!A:A, "Not Found")</f>
      </c>
      <c r="H3366" s="1"/>
      <c r="I3366" s="7">
        <v>1</v>
      </c>
      <c r="J3366" s="5">
        <f>XLOOKUP(L3366, uom!C:C, uom!B:B, "Not Found")</f>
      </c>
      <c r="K3366" s="1" t="s">
        <v>5511</v>
      </c>
      <c r="L3366" s="5">
        <f>XLOOKUP(N3366, uom!C:C, uom!B:B, "Not Found")</f>
      </c>
      <c r="M3366" s="1" t="s">
        <v>5511</v>
      </c>
      <c r="N3366" s="8" t="s">
        <v>5512</v>
      </c>
      <c r="O3366" s="1" t="s">
        <v>5513</v>
      </c>
      <c r="P3366" s="5">
        <f>XLOOKUP(R3366, classification!C:C, classification!B:B, "Not Found")</f>
      </c>
      <c r="Q3366" s="1" t="s">
        <v>5514</v>
      </c>
      <c r="R3366" s="2"/>
      <c r="S3366" s="2"/>
      <c r="T3366" s="2"/>
      <c r="U3366" s="2"/>
    </row>
    <row x14ac:dyDescent="0.25" r="3367" customHeight="1" ht="17.25">
      <c r="A3367" s="7">
        <v>3366</v>
      </c>
      <c r="B3367" s="1" t="s">
        <v>8683</v>
      </c>
      <c r="C3367" s="5">
        <f>CONCATENATE("PD", TEXT(A3367, "1000000"))</f>
      </c>
      <c r="D3367" s="7">
        <v>76</v>
      </c>
      <c r="E3367" s="5">
        <f>XLOOKUP(G3367, item_category!C:C, item_category!B:B, "Not Found")</f>
      </c>
      <c r="F3367" s="1" t="s">
        <v>5632</v>
      </c>
      <c r="G3367" s="5">
        <f>XLOOKUP(I3367, drug!B:B, drug!A:A, "Not Found")</f>
      </c>
      <c r="H3367" s="1"/>
      <c r="I3367" s="7">
        <v>1</v>
      </c>
      <c r="J3367" s="5">
        <f>XLOOKUP(L3367, uom!C:C, uom!B:B, "Not Found")</f>
      </c>
      <c r="K3367" s="1" t="s">
        <v>5511</v>
      </c>
      <c r="L3367" s="5">
        <f>XLOOKUP(N3367, uom!C:C, uom!B:B, "Not Found")</f>
      </c>
      <c r="M3367" s="1" t="s">
        <v>5511</v>
      </c>
      <c r="N3367" s="8" t="s">
        <v>5512</v>
      </c>
      <c r="O3367" s="1" t="s">
        <v>5513</v>
      </c>
      <c r="P3367" s="5">
        <f>XLOOKUP(R3367, classification!C:C, classification!B:B, "Not Found")</f>
      </c>
      <c r="Q3367" s="1" t="s">
        <v>5514</v>
      </c>
      <c r="R3367" s="2"/>
      <c r="S3367" s="2"/>
      <c r="T3367" s="2"/>
      <c r="U3367" s="2"/>
    </row>
    <row x14ac:dyDescent="0.25" r="3368" customHeight="1" ht="17.25">
      <c r="A3368" s="7">
        <v>3367</v>
      </c>
      <c r="B3368" s="1" t="s">
        <v>8684</v>
      </c>
      <c r="C3368" s="5">
        <f>CONCATENATE("PD", TEXT(A3368, "1000000"))</f>
      </c>
      <c r="D3368" s="7">
        <v>76</v>
      </c>
      <c r="E3368" s="5">
        <f>XLOOKUP(G3368, item_category!C:C, item_category!B:B, "Not Found")</f>
      </c>
      <c r="F3368" s="1" t="s">
        <v>5632</v>
      </c>
      <c r="G3368" s="5">
        <f>XLOOKUP(I3368, drug!B:B, drug!A:A, "Not Found")</f>
      </c>
      <c r="H3368" s="1"/>
      <c r="I3368" s="7">
        <v>1</v>
      </c>
      <c r="J3368" s="5">
        <f>XLOOKUP(L3368, uom!C:C, uom!B:B, "Not Found")</f>
      </c>
      <c r="K3368" s="1" t="s">
        <v>5511</v>
      </c>
      <c r="L3368" s="5">
        <f>XLOOKUP(N3368, uom!C:C, uom!B:B, "Not Found")</f>
      </c>
      <c r="M3368" s="1" t="s">
        <v>5511</v>
      </c>
      <c r="N3368" s="8" t="s">
        <v>5512</v>
      </c>
      <c r="O3368" s="1" t="s">
        <v>5513</v>
      </c>
      <c r="P3368" s="5">
        <f>XLOOKUP(R3368, classification!C:C, classification!B:B, "Not Found")</f>
      </c>
      <c r="Q3368" s="1" t="s">
        <v>5514</v>
      </c>
      <c r="R3368" s="2"/>
      <c r="S3368" s="2"/>
      <c r="T3368" s="2"/>
      <c r="U3368" s="2"/>
    </row>
    <row x14ac:dyDescent="0.25" r="3369" customHeight="1" ht="17.25">
      <c r="A3369" s="7">
        <v>3368</v>
      </c>
      <c r="B3369" s="1" t="s">
        <v>8685</v>
      </c>
      <c r="C3369" s="5">
        <f>CONCATENATE("PD", TEXT(A3369, "1000000"))</f>
      </c>
      <c r="D3369" s="7">
        <v>76</v>
      </c>
      <c r="E3369" s="5">
        <f>XLOOKUP(G3369, item_category!C:C, item_category!B:B, "Not Found")</f>
      </c>
      <c r="F3369" s="1" t="s">
        <v>5632</v>
      </c>
      <c r="G3369" s="5">
        <f>XLOOKUP(I3369, drug!B:B, drug!A:A, "Not Found")</f>
      </c>
      <c r="H3369" s="1"/>
      <c r="I3369" s="7">
        <v>1</v>
      </c>
      <c r="J3369" s="5">
        <f>XLOOKUP(L3369, uom!C:C, uom!B:B, "Not Found")</f>
      </c>
      <c r="K3369" s="1" t="s">
        <v>5511</v>
      </c>
      <c r="L3369" s="5">
        <f>XLOOKUP(N3369, uom!C:C, uom!B:B, "Not Found")</f>
      </c>
      <c r="M3369" s="1" t="s">
        <v>5511</v>
      </c>
      <c r="N3369" s="8" t="s">
        <v>5512</v>
      </c>
      <c r="O3369" s="1" t="s">
        <v>5513</v>
      </c>
      <c r="P3369" s="5">
        <f>XLOOKUP(R3369, classification!C:C, classification!B:B, "Not Found")</f>
      </c>
      <c r="Q3369" s="1" t="s">
        <v>5514</v>
      </c>
      <c r="R3369" s="2"/>
      <c r="S3369" s="2"/>
      <c r="T3369" s="2"/>
      <c r="U3369" s="2"/>
    </row>
    <row x14ac:dyDescent="0.25" r="3370" customHeight="1" ht="17.25">
      <c r="A3370" s="7">
        <v>3369</v>
      </c>
      <c r="B3370" s="1" t="s">
        <v>8686</v>
      </c>
      <c r="C3370" s="5">
        <f>CONCATENATE("PD", TEXT(A3370, "1000000"))</f>
      </c>
      <c r="D3370" s="7">
        <v>76</v>
      </c>
      <c r="E3370" s="5">
        <f>XLOOKUP(G3370, item_category!C:C, item_category!B:B, "Not Found")</f>
      </c>
      <c r="F3370" s="1" t="s">
        <v>5632</v>
      </c>
      <c r="G3370" s="5">
        <f>XLOOKUP(I3370, drug!B:B, drug!A:A, "Not Found")</f>
      </c>
      <c r="H3370" s="1"/>
      <c r="I3370" s="7">
        <v>1</v>
      </c>
      <c r="J3370" s="5">
        <f>XLOOKUP(L3370, uom!C:C, uom!B:B, "Not Found")</f>
      </c>
      <c r="K3370" s="1" t="s">
        <v>5511</v>
      </c>
      <c r="L3370" s="5">
        <f>XLOOKUP(N3370, uom!C:C, uom!B:B, "Not Found")</f>
      </c>
      <c r="M3370" s="1" t="s">
        <v>5511</v>
      </c>
      <c r="N3370" s="8" t="s">
        <v>5512</v>
      </c>
      <c r="O3370" s="1" t="s">
        <v>5513</v>
      </c>
      <c r="P3370" s="5">
        <f>XLOOKUP(R3370, classification!C:C, classification!B:B, "Not Found")</f>
      </c>
      <c r="Q3370" s="1" t="s">
        <v>5514</v>
      </c>
      <c r="R3370" s="2"/>
      <c r="S3370" s="2"/>
      <c r="T3370" s="2"/>
      <c r="U3370" s="2"/>
    </row>
    <row x14ac:dyDescent="0.25" r="3371" customHeight="1" ht="17.25">
      <c r="A3371" s="7">
        <v>3370</v>
      </c>
      <c r="B3371" s="1" t="s">
        <v>8687</v>
      </c>
      <c r="C3371" s="5">
        <f>CONCATENATE("PD", TEXT(A3371, "1000000"))</f>
      </c>
      <c r="D3371" s="7">
        <v>76</v>
      </c>
      <c r="E3371" s="5">
        <f>XLOOKUP(G3371, item_category!C:C, item_category!B:B, "Not Found")</f>
      </c>
      <c r="F3371" s="1" t="s">
        <v>5632</v>
      </c>
      <c r="G3371" s="5">
        <f>XLOOKUP(I3371, drug!B:B, drug!A:A, "Not Found")</f>
      </c>
      <c r="H3371" s="1"/>
      <c r="I3371" s="7">
        <v>1</v>
      </c>
      <c r="J3371" s="5">
        <f>XLOOKUP(L3371, uom!C:C, uom!B:B, "Not Found")</f>
      </c>
      <c r="K3371" s="1" t="s">
        <v>5511</v>
      </c>
      <c r="L3371" s="5">
        <f>XLOOKUP(N3371, uom!C:C, uom!B:B, "Not Found")</f>
      </c>
      <c r="M3371" s="1" t="s">
        <v>5511</v>
      </c>
      <c r="N3371" s="8" t="s">
        <v>5512</v>
      </c>
      <c r="O3371" s="1" t="s">
        <v>5513</v>
      </c>
      <c r="P3371" s="5">
        <f>XLOOKUP(R3371, classification!C:C, classification!B:B, "Not Found")</f>
      </c>
      <c r="Q3371" s="1" t="s">
        <v>5514</v>
      </c>
      <c r="R3371" s="2"/>
      <c r="S3371" s="2"/>
      <c r="T3371" s="2"/>
      <c r="U3371" s="2"/>
    </row>
    <row x14ac:dyDescent="0.25" r="3372" customHeight="1" ht="17.25">
      <c r="A3372" s="7">
        <v>3371</v>
      </c>
      <c r="B3372" s="1" t="s">
        <v>8688</v>
      </c>
      <c r="C3372" s="5">
        <f>CONCATENATE("PD", TEXT(A3372, "1000000"))</f>
      </c>
      <c r="D3372" s="7">
        <v>76</v>
      </c>
      <c r="E3372" s="5">
        <f>XLOOKUP(G3372, item_category!C:C, item_category!B:B, "Not Found")</f>
      </c>
      <c r="F3372" s="1" t="s">
        <v>5632</v>
      </c>
      <c r="G3372" s="5">
        <f>XLOOKUP(I3372, drug!B:B, drug!A:A, "Not Found")</f>
      </c>
      <c r="H3372" s="1"/>
      <c r="I3372" s="7">
        <v>1</v>
      </c>
      <c r="J3372" s="5">
        <f>XLOOKUP(L3372, uom!C:C, uom!B:B, "Not Found")</f>
      </c>
      <c r="K3372" s="1" t="s">
        <v>5511</v>
      </c>
      <c r="L3372" s="5">
        <f>XLOOKUP(N3372, uom!C:C, uom!B:B, "Not Found")</f>
      </c>
      <c r="M3372" s="1" t="s">
        <v>5511</v>
      </c>
      <c r="N3372" s="8" t="s">
        <v>5512</v>
      </c>
      <c r="O3372" s="1" t="s">
        <v>5513</v>
      </c>
      <c r="P3372" s="5">
        <f>XLOOKUP(R3372, classification!C:C, classification!B:B, "Not Found")</f>
      </c>
      <c r="Q3372" s="1" t="s">
        <v>5514</v>
      </c>
      <c r="R3372" s="2"/>
      <c r="S3372" s="2"/>
      <c r="T3372" s="2"/>
      <c r="U3372" s="2"/>
    </row>
    <row x14ac:dyDescent="0.25" r="3373" customHeight="1" ht="17.25">
      <c r="A3373" s="7">
        <v>3372</v>
      </c>
      <c r="B3373" s="1" t="s">
        <v>8689</v>
      </c>
      <c r="C3373" s="5">
        <f>CONCATENATE("PD", TEXT(A3373, "1000000"))</f>
      </c>
      <c r="D3373" s="7">
        <v>76</v>
      </c>
      <c r="E3373" s="5">
        <f>XLOOKUP(G3373, item_category!C:C, item_category!B:B, "Not Found")</f>
      </c>
      <c r="F3373" s="1" t="s">
        <v>5632</v>
      </c>
      <c r="G3373" s="5">
        <f>XLOOKUP(I3373, drug!B:B, drug!A:A, "Not Found")</f>
      </c>
      <c r="H3373" s="1"/>
      <c r="I3373" s="7">
        <v>1</v>
      </c>
      <c r="J3373" s="5">
        <f>XLOOKUP(L3373, uom!C:C, uom!B:B, "Not Found")</f>
      </c>
      <c r="K3373" s="1" t="s">
        <v>5511</v>
      </c>
      <c r="L3373" s="5">
        <f>XLOOKUP(N3373, uom!C:C, uom!B:B, "Not Found")</f>
      </c>
      <c r="M3373" s="1" t="s">
        <v>5511</v>
      </c>
      <c r="N3373" s="8" t="s">
        <v>5512</v>
      </c>
      <c r="O3373" s="1" t="s">
        <v>5513</v>
      </c>
      <c r="P3373" s="5">
        <f>XLOOKUP(R3373, classification!C:C, classification!B:B, "Not Found")</f>
      </c>
      <c r="Q3373" s="1" t="s">
        <v>5514</v>
      </c>
      <c r="R3373" s="2"/>
      <c r="S3373" s="2"/>
      <c r="T3373" s="2"/>
      <c r="U3373" s="2"/>
    </row>
    <row x14ac:dyDescent="0.25" r="3374" customHeight="1" ht="17.25">
      <c r="A3374" s="7">
        <v>3373</v>
      </c>
      <c r="B3374" s="1" t="s">
        <v>8690</v>
      </c>
      <c r="C3374" s="5">
        <f>CONCATENATE("PD", TEXT(A3374, "1000000"))</f>
      </c>
      <c r="D3374" s="7">
        <v>76</v>
      </c>
      <c r="E3374" s="5">
        <f>XLOOKUP(G3374, item_category!C:C, item_category!B:B, "Not Found")</f>
      </c>
      <c r="F3374" s="1" t="s">
        <v>5632</v>
      </c>
      <c r="G3374" s="5">
        <f>XLOOKUP(I3374, drug!B:B, drug!A:A, "Not Found")</f>
      </c>
      <c r="H3374" s="1"/>
      <c r="I3374" s="7">
        <v>1</v>
      </c>
      <c r="J3374" s="5">
        <f>XLOOKUP(L3374, uom!C:C, uom!B:B, "Not Found")</f>
      </c>
      <c r="K3374" s="1" t="s">
        <v>5511</v>
      </c>
      <c r="L3374" s="5">
        <f>XLOOKUP(N3374, uom!C:C, uom!B:B, "Not Found")</f>
      </c>
      <c r="M3374" s="1" t="s">
        <v>5511</v>
      </c>
      <c r="N3374" s="8" t="s">
        <v>5512</v>
      </c>
      <c r="O3374" s="1" t="s">
        <v>5513</v>
      </c>
      <c r="P3374" s="5">
        <f>XLOOKUP(R3374, classification!C:C, classification!B:B, "Not Found")</f>
      </c>
      <c r="Q3374" s="1" t="s">
        <v>5514</v>
      </c>
      <c r="R3374" s="2"/>
      <c r="S3374" s="2"/>
      <c r="T3374" s="2"/>
      <c r="U3374" s="2"/>
    </row>
    <row x14ac:dyDescent="0.25" r="3375" customHeight="1" ht="17.25">
      <c r="A3375" s="7">
        <v>3374</v>
      </c>
      <c r="B3375" s="1" t="s">
        <v>8691</v>
      </c>
      <c r="C3375" s="5">
        <f>CONCATENATE("PD", TEXT(A3375, "1000000"))</f>
      </c>
      <c r="D3375" s="7">
        <v>76</v>
      </c>
      <c r="E3375" s="5">
        <f>XLOOKUP(G3375, item_category!C:C, item_category!B:B, "Not Found")</f>
      </c>
      <c r="F3375" s="1" t="s">
        <v>5632</v>
      </c>
      <c r="G3375" s="5">
        <f>XLOOKUP(I3375, drug!B:B, drug!A:A, "Not Found")</f>
      </c>
      <c r="H3375" s="1"/>
      <c r="I3375" s="7">
        <v>1</v>
      </c>
      <c r="J3375" s="5">
        <f>XLOOKUP(L3375, uom!C:C, uom!B:B, "Not Found")</f>
      </c>
      <c r="K3375" s="1" t="s">
        <v>5511</v>
      </c>
      <c r="L3375" s="5">
        <f>XLOOKUP(N3375, uom!C:C, uom!B:B, "Not Found")</f>
      </c>
      <c r="M3375" s="1" t="s">
        <v>5511</v>
      </c>
      <c r="N3375" s="8" t="s">
        <v>5512</v>
      </c>
      <c r="O3375" s="1" t="s">
        <v>5513</v>
      </c>
      <c r="P3375" s="5">
        <f>XLOOKUP(R3375, classification!C:C, classification!B:B, "Not Found")</f>
      </c>
      <c r="Q3375" s="1" t="s">
        <v>5514</v>
      </c>
      <c r="R3375" s="2"/>
      <c r="S3375" s="2"/>
      <c r="T3375" s="2"/>
      <c r="U3375" s="2"/>
    </row>
    <row x14ac:dyDescent="0.25" r="3376" customHeight="1" ht="17.25">
      <c r="A3376" s="7">
        <v>3375</v>
      </c>
      <c r="B3376" s="1" t="s">
        <v>8692</v>
      </c>
      <c r="C3376" s="5">
        <f>CONCATENATE("PD", TEXT(A3376, "1000000"))</f>
      </c>
      <c r="D3376" s="7">
        <v>76</v>
      </c>
      <c r="E3376" s="5">
        <f>XLOOKUP(G3376, item_category!C:C, item_category!B:B, "Not Found")</f>
      </c>
      <c r="F3376" s="1" t="s">
        <v>5632</v>
      </c>
      <c r="G3376" s="5">
        <f>XLOOKUP(I3376, drug!B:B, drug!A:A, "Not Found")</f>
      </c>
      <c r="H3376" s="1"/>
      <c r="I3376" s="7">
        <v>1</v>
      </c>
      <c r="J3376" s="5">
        <f>XLOOKUP(L3376, uom!C:C, uom!B:B, "Not Found")</f>
      </c>
      <c r="K3376" s="1" t="s">
        <v>5511</v>
      </c>
      <c r="L3376" s="5">
        <f>XLOOKUP(N3376, uom!C:C, uom!B:B, "Not Found")</f>
      </c>
      <c r="M3376" s="1" t="s">
        <v>5511</v>
      </c>
      <c r="N3376" s="8" t="s">
        <v>5512</v>
      </c>
      <c r="O3376" s="1" t="s">
        <v>5513</v>
      </c>
      <c r="P3376" s="5">
        <f>XLOOKUP(R3376, classification!C:C, classification!B:B, "Not Found")</f>
      </c>
      <c r="Q3376" s="1" t="s">
        <v>5514</v>
      </c>
      <c r="R3376" s="2"/>
      <c r="S3376" s="2"/>
      <c r="T3376" s="2"/>
      <c r="U3376" s="2"/>
    </row>
    <row x14ac:dyDescent="0.25" r="3377" customHeight="1" ht="17.25">
      <c r="A3377" s="7">
        <v>3376</v>
      </c>
      <c r="B3377" s="1" t="s">
        <v>8693</v>
      </c>
      <c r="C3377" s="5">
        <f>CONCATENATE("PD", TEXT(A3377, "1000000"))</f>
      </c>
      <c r="D3377" s="7">
        <v>76</v>
      </c>
      <c r="E3377" s="5">
        <f>XLOOKUP(G3377, item_category!C:C, item_category!B:B, "Not Found")</f>
      </c>
      <c r="F3377" s="1" t="s">
        <v>5632</v>
      </c>
      <c r="G3377" s="5">
        <f>XLOOKUP(I3377, drug!B:B, drug!A:A, "Not Found")</f>
      </c>
      <c r="H3377" s="1"/>
      <c r="I3377" s="7">
        <v>1</v>
      </c>
      <c r="J3377" s="5">
        <f>XLOOKUP(L3377, uom!C:C, uom!B:B, "Not Found")</f>
      </c>
      <c r="K3377" s="1" t="s">
        <v>5511</v>
      </c>
      <c r="L3377" s="5">
        <f>XLOOKUP(N3377, uom!C:C, uom!B:B, "Not Found")</f>
      </c>
      <c r="M3377" s="1" t="s">
        <v>5511</v>
      </c>
      <c r="N3377" s="8" t="s">
        <v>5512</v>
      </c>
      <c r="O3377" s="1" t="s">
        <v>5513</v>
      </c>
      <c r="P3377" s="5">
        <f>XLOOKUP(R3377, classification!C:C, classification!B:B, "Not Found")</f>
      </c>
      <c r="Q3377" s="1" t="s">
        <v>5514</v>
      </c>
      <c r="R3377" s="2"/>
      <c r="S3377" s="2"/>
      <c r="T3377" s="2"/>
      <c r="U3377" s="2"/>
    </row>
    <row x14ac:dyDescent="0.25" r="3378" customHeight="1" ht="17.25">
      <c r="A3378" s="7">
        <v>3377</v>
      </c>
      <c r="B3378" s="1" t="s">
        <v>8694</v>
      </c>
      <c r="C3378" s="5">
        <f>CONCATENATE("PD", TEXT(A3378, "1000000"))</f>
      </c>
      <c r="D3378" s="7">
        <v>76</v>
      </c>
      <c r="E3378" s="5">
        <f>XLOOKUP(G3378, item_category!C:C, item_category!B:B, "Not Found")</f>
      </c>
      <c r="F3378" s="1" t="s">
        <v>5632</v>
      </c>
      <c r="G3378" s="5">
        <f>XLOOKUP(I3378, drug!B:B, drug!A:A, "Not Found")</f>
      </c>
      <c r="H3378" s="1"/>
      <c r="I3378" s="7">
        <v>1</v>
      </c>
      <c r="J3378" s="5">
        <f>XLOOKUP(L3378, uom!C:C, uom!B:B, "Not Found")</f>
      </c>
      <c r="K3378" s="1" t="s">
        <v>5511</v>
      </c>
      <c r="L3378" s="5">
        <f>XLOOKUP(N3378, uom!C:C, uom!B:B, "Not Found")</f>
      </c>
      <c r="M3378" s="1" t="s">
        <v>5511</v>
      </c>
      <c r="N3378" s="8" t="s">
        <v>5512</v>
      </c>
      <c r="O3378" s="1" t="s">
        <v>5513</v>
      </c>
      <c r="P3378" s="5">
        <f>XLOOKUP(R3378, classification!C:C, classification!B:B, "Not Found")</f>
      </c>
      <c r="Q3378" s="1" t="s">
        <v>5514</v>
      </c>
      <c r="R3378" s="2"/>
      <c r="S3378" s="2"/>
      <c r="T3378" s="2"/>
      <c r="U3378" s="2"/>
    </row>
    <row x14ac:dyDescent="0.25" r="3379" customHeight="1" ht="17.25">
      <c r="A3379" s="7">
        <v>3378</v>
      </c>
      <c r="B3379" s="1" t="s">
        <v>8695</v>
      </c>
      <c r="C3379" s="5">
        <f>CONCATENATE("PD", TEXT(A3379, "1000000"))</f>
      </c>
      <c r="D3379" s="7">
        <v>76</v>
      </c>
      <c r="E3379" s="5">
        <f>XLOOKUP(G3379, item_category!C:C, item_category!B:B, "Not Found")</f>
      </c>
      <c r="F3379" s="1" t="s">
        <v>5632</v>
      </c>
      <c r="G3379" s="5">
        <f>XLOOKUP(I3379, drug!B:B, drug!A:A, "Not Found")</f>
      </c>
      <c r="H3379" s="1"/>
      <c r="I3379" s="7">
        <v>1</v>
      </c>
      <c r="J3379" s="5">
        <f>XLOOKUP(L3379, uom!C:C, uom!B:B, "Not Found")</f>
      </c>
      <c r="K3379" s="1" t="s">
        <v>5511</v>
      </c>
      <c r="L3379" s="5">
        <f>XLOOKUP(N3379, uom!C:C, uom!B:B, "Not Found")</f>
      </c>
      <c r="M3379" s="1" t="s">
        <v>5511</v>
      </c>
      <c r="N3379" s="8" t="s">
        <v>5512</v>
      </c>
      <c r="O3379" s="1" t="s">
        <v>5513</v>
      </c>
      <c r="P3379" s="5">
        <f>XLOOKUP(R3379, classification!C:C, classification!B:B, "Not Found")</f>
      </c>
      <c r="Q3379" s="1" t="s">
        <v>5514</v>
      </c>
      <c r="R3379" s="2"/>
      <c r="S3379" s="2"/>
      <c r="T3379" s="2"/>
      <c r="U3379" s="2"/>
    </row>
    <row x14ac:dyDescent="0.25" r="3380" customHeight="1" ht="17.25">
      <c r="A3380" s="7">
        <v>3379</v>
      </c>
      <c r="B3380" s="1" t="s">
        <v>8696</v>
      </c>
      <c r="C3380" s="5">
        <f>CONCATENATE("PD", TEXT(A3380, "1000000"))</f>
      </c>
      <c r="D3380" s="7">
        <v>76</v>
      </c>
      <c r="E3380" s="5">
        <f>XLOOKUP(G3380, item_category!C:C, item_category!B:B, "Not Found")</f>
      </c>
      <c r="F3380" s="1" t="s">
        <v>5632</v>
      </c>
      <c r="G3380" s="5">
        <f>XLOOKUP(I3380, drug!B:B, drug!A:A, "Not Found")</f>
      </c>
      <c r="H3380" s="1"/>
      <c r="I3380" s="7">
        <v>1</v>
      </c>
      <c r="J3380" s="5">
        <f>XLOOKUP(L3380, uom!C:C, uom!B:B, "Not Found")</f>
      </c>
      <c r="K3380" s="1" t="s">
        <v>5511</v>
      </c>
      <c r="L3380" s="5">
        <f>XLOOKUP(N3380, uom!C:C, uom!B:B, "Not Found")</f>
      </c>
      <c r="M3380" s="1" t="s">
        <v>5511</v>
      </c>
      <c r="N3380" s="8" t="s">
        <v>5512</v>
      </c>
      <c r="O3380" s="1" t="s">
        <v>5513</v>
      </c>
      <c r="P3380" s="5">
        <f>XLOOKUP(R3380, classification!C:C, classification!B:B, "Not Found")</f>
      </c>
      <c r="Q3380" s="1" t="s">
        <v>5514</v>
      </c>
      <c r="R3380" s="2"/>
      <c r="S3380" s="2"/>
      <c r="T3380" s="2"/>
      <c r="U3380" s="2"/>
    </row>
    <row x14ac:dyDescent="0.25" r="3381" customHeight="1" ht="17.25">
      <c r="A3381" s="7">
        <v>3380</v>
      </c>
      <c r="B3381" s="1" t="s">
        <v>8697</v>
      </c>
      <c r="C3381" s="5">
        <f>CONCATENATE("PD", TEXT(A3381, "1000000"))</f>
      </c>
      <c r="D3381" s="7">
        <v>76</v>
      </c>
      <c r="E3381" s="5">
        <f>XLOOKUP(G3381, item_category!C:C, item_category!B:B, "Not Found")</f>
      </c>
      <c r="F3381" s="1" t="s">
        <v>5632</v>
      </c>
      <c r="G3381" s="5">
        <f>XLOOKUP(I3381, drug!B:B, drug!A:A, "Not Found")</f>
      </c>
      <c r="H3381" s="1"/>
      <c r="I3381" s="7">
        <v>1</v>
      </c>
      <c r="J3381" s="5">
        <f>XLOOKUP(L3381, uom!C:C, uom!B:B, "Not Found")</f>
      </c>
      <c r="K3381" s="1" t="s">
        <v>5511</v>
      </c>
      <c r="L3381" s="5">
        <f>XLOOKUP(N3381, uom!C:C, uom!B:B, "Not Found")</f>
      </c>
      <c r="M3381" s="1" t="s">
        <v>5511</v>
      </c>
      <c r="N3381" s="8" t="s">
        <v>5512</v>
      </c>
      <c r="O3381" s="1" t="s">
        <v>5513</v>
      </c>
      <c r="P3381" s="5">
        <f>XLOOKUP(R3381, classification!C:C, classification!B:B, "Not Found")</f>
      </c>
      <c r="Q3381" s="1" t="s">
        <v>5514</v>
      </c>
      <c r="R3381" s="2"/>
      <c r="S3381" s="2"/>
      <c r="T3381" s="2"/>
      <c r="U3381" s="2"/>
    </row>
    <row x14ac:dyDescent="0.25" r="3382" customHeight="1" ht="17.25">
      <c r="A3382" s="7">
        <v>3381</v>
      </c>
      <c r="B3382" s="1" t="s">
        <v>8698</v>
      </c>
      <c r="C3382" s="5">
        <f>CONCATENATE("PD", TEXT(A3382, "1000000"))</f>
      </c>
      <c r="D3382" s="7">
        <v>76</v>
      </c>
      <c r="E3382" s="5">
        <f>XLOOKUP(G3382, item_category!C:C, item_category!B:B, "Not Found")</f>
      </c>
      <c r="F3382" s="1" t="s">
        <v>5632</v>
      </c>
      <c r="G3382" s="5">
        <f>XLOOKUP(I3382, drug!B:B, drug!A:A, "Not Found")</f>
      </c>
      <c r="H3382" s="1"/>
      <c r="I3382" s="7">
        <v>1</v>
      </c>
      <c r="J3382" s="5">
        <f>XLOOKUP(L3382, uom!C:C, uom!B:B, "Not Found")</f>
      </c>
      <c r="K3382" s="1" t="s">
        <v>5511</v>
      </c>
      <c r="L3382" s="5">
        <f>XLOOKUP(N3382, uom!C:C, uom!B:B, "Not Found")</f>
      </c>
      <c r="M3382" s="1" t="s">
        <v>5511</v>
      </c>
      <c r="N3382" s="8" t="s">
        <v>5512</v>
      </c>
      <c r="O3382" s="1" t="s">
        <v>5513</v>
      </c>
      <c r="P3382" s="5">
        <f>XLOOKUP(R3382, classification!C:C, classification!B:B, "Not Found")</f>
      </c>
      <c r="Q3382" s="1" t="s">
        <v>5514</v>
      </c>
      <c r="R3382" s="2"/>
      <c r="S3382" s="2"/>
      <c r="T3382" s="2"/>
      <c r="U3382" s="2"/>
    </row>
    <row x14ac:dyDescent="0.25" r="3383" customHeight="1" ht="17.25">
      <c r="A3383" s="7">
        <v>3382</v>
      </c>
      <c r="B3383" s="1" t="s">
        <v>8699</v>
      </c>
      <c r="C3383" s="5">
        <f>CONCATENATE("PD", TEXT(A3383, "1000000"))</f>
      </c>
      <c r="D3383" s="7">
        <v>76</v>
      </c>
      <c r="E3383" s="5">
        <f>XLOOKUP(G3383, item_category!C:C, item_category!B:B, "Not Found")</f>
      </c>
      <c r="F3383" s="1" t="s">
        <v>5632</v>
      </c>
      <c r="G3383" s="5">
        <f>XLOOKUP(I3383, drug!B:B, drug!A:A, "Not Found")</f>
      </c>
      <c r="H3383" s="1"/>
      <c r="I3383" s="7">
        <v>1</v>
      </c>
      <c r="J3383" s="5">
        <f>XLOOKUP(L3383, uom!C:C, uom!B:B, "Not Found")</f>
      </c>
      <c r="K3383" s="1" t="s">
        <v>5511</v>
      </c>
      <c r="L3383" s="5">
        <f>XLOOKUP(N3383, uom!C:C, uom!B:B, "Not Found")</f>
      </c>
      <c r="M3383" s="1" t="s">
        <v>5511</v>
      </c>
      <c r="N3383" s="8" t="s">
        <v>5512</v>
      </c>
      <c r="O3383" s="1" t="s">
        <v>5513</v>
      </c>
      <c r="P3383" s="5">
        <f>XLOOKUP(R3383, classification!C:C, classification!B:B, "Not Found")</f>
      </c>
      <c r="Q3383" s="1" t="s">
        <v>5514</v>
      </c>
      <c r="R3383" s="2"/>
      <c r="S3383" s="2"/>
      <c r="T3383" s="2"/>
      <c r="U3383" s="2"/>
    </row>
    <row x14ac:dyDescent="0.25" r="3384" customHeight="1" ht="17.25">
      <c r="A3384" s="7">
        <v>3383</v>
      </c>
      <c r="B3384" s="1" t="s">
        <v>8700</v>
      </c>
      <c r="C3384" s="5">
        <f>CONCATENATE("PD", TEXT(A3384, "1000000"))</f>
      </c>
      <c r="D3384" s="7">
        <v>76</v>
      </c>
      <c r="E3384" s="5">
        <f>XLOOKUP(G3384, item_category!C:C, item_category!B:B, "Not Found")</f>
      </c>
      <c r="F3384" s="1" t="s">
        <v>5632</v>
      </c>
      <c r="G3384" s="5">
        <f>XLOOKUP(I3384, drug!B:B, drug!A:A, "Not Found")</f>
      </c>
      <c r="H3384" s="1"/>
      <c r="I3384" s="7">
        <v>1</v>
      </c>
      <c r="J3384" s="5">
        <f>XLOOKUP(L3384, uom!C:C, uom!B:B, "Not Found")</f>
      </c>
      <c r="K3384" s="1" t="s">
        <v>5511</v>
      </c>
      <c r="L3384" s="5">
        <f>XLOOKUP(N3384, uom!C:C, uom!B:B, "Not Found")</f>
      </c>
      <c r="M3384" s="1" t="s">
        <v>5511</v>
      </c>
      <c r="N3384" s="8" t="s">
        <v>5512</v>
      </c>
      <c r="O3384" s="1" t="s">
        <v>5513</v>
      </c>
      <c r="P3384" s="5">
        <f>XLOOKUP(R3384, classification!C:C, classification!B:B, "Not Found")</f>
      </c>
      <c r="Q3384" s="1" t="s">
        <v>5514</v>
      </c>
      <c r="R3384" s="2"/>
      <c r="S3384" s="2"/>
      <c r="T3384" s="2"/>
      <c r="U3384" s="2"/>
    </row>
    <row x14ac:dyDescent="0.25" r="3385" customHeight="1" ht="17.25">
      <c r="A3385" s="7">
        <v>3384</v>
      </c>
      <c r="B3385" s="1" t="s">
        <v>8701</v>
      </c>
      <c r="C3385" s="5">
        <f>CONCATENATE("PD", TEXT(A3385, "1000000"))</f>
      </c>
      <c r="D3385" s="7">
        <v>76</v>
      </c>
      <c r="E3385" s="5">
        <f>XLOOKUP(G3385, item_category!C:C, item_category!B:B, "Not Found")</f>
      </c>
      <c r="F3385" s="1" t="s">
        <v>5632</v>
      </c>
      <c r="G3385" s="5">
        <f>XLOOKUP(I3385, drug!B:B, drug!A:A, "Not Found")</f>
      </c>
      <c r="H3385" s="1"/>
      <c r="I3385" s="7">
        <v>1</v>
      </c>
      <c r="J3385" s="5">
        <f>XLOOKUP(L3385, uom!C:C, uom!B:B, "Not Found")</f>
      </c>
      <c r="K3385" s="1" t="s">
        <v>5511</v>
      </c>
      <c r="L3385" s="5">
        <f>XLOOKUP(N3385, uom!C:C, uom!B:B, "Not Found")</f>
      </c>
      <c r="M3385" s="1" t="s">
        <v>5511</v>
      </c>
      <c r="N3385" s="8" t="s">
        <v>5512</v>
      </c>
      <c r="O3385" s="1" t="s">
        <v>5513</v>
      </c>
      <c r="P3385" s="5">
        <f>XLOOKUP(R3385, classification!C:C, classification!B:B, "Not Found")</f>
      </c>
      <c r="Q3385" s="1" t="s">
        <v>5514</v>
      </c>
      <c r="R3385" s="2"/>
      <c r="S3385" s="2"/>
      <c r="T3385" s="2"/>
      <c r="U3385" s="2"/>
    </row>
    <row x14ac:dyDescent="0.25" r="3386" customHeight="1" ht="17.25">
      <c r="A3386" s="7">
        <v>3385</v>
      </c>
      <c r="B3386" s="1" t="s">
        <v>8702</v>
      </c>
      <c r="C3386" s="5">
        <f>CONCATENATE("PD", TEXT(A3386, "1000000"))</f>
      </c>
      <c r="D3386" s="7">
        <v>76</v>
      </c>
      <c r="E3386" s="5">
        <f>XLOOKUP(G3386, item_category!C:C, item_category!B:B, "Not Found")</f>
      </c>
      <c r="F3386" s="1" t="s">
        <v>5632</v>
      </c>
      <c r="G3386" s="5">
        <f>XLOOKUP(I3386, drug!B:B, drug!A:A, "Not Found")</f>
      </c>
      <c r="H3386" s="1"/>
      <c r="I3386" s="7">
        <v>1</v>
      </c>
      <c r="J3386" s="5">
        <f>XLOOKUP(L3386, uom!C:C, uom!B:B, "Not Found")</f>
      </c>
      <c r="K3386" s="1" t="s">
        <v>5511</v>
      </c>
      <c r="L3386" s="5">
        <f>XLOOKUP(N3386, uom!C:C, uom!B:B, "Not Found")</f>
      </c>
      <c r="M3386" s="1" t="s">
        <v>5511</v>
      </c>
      <c r="N3386" s="8" t="s">
        <v>5512</v>
      </c>
      <c r="O3386" s="1" t="s">
        <v>5513</v>
      </c>
      <c r="P3386" s="5">
        <f>XLOOKUP(R3386, classification!C:C, classification!B:B, "Not Found")</f>
      </c>
      <c r="Q3386" s="1" t="s">
        <v>5514</v>
      </c>
      <c r="R3386" s="2"/>
      <c r="S3386" s="2"/>
      <c r="T3386" s="2"/>
      <c r="U3386" s="2"/>
    </row>
    <row x14ac:dyDescent="0.25" r="3387" customHeight="1" ht="17.25">
      <c r="A3387" s="7">
        <v>3386</v>
      </c>
      <c r="B3387" s="1" t="s">
        <v>8703</v>
      </c>
      <c r="C3387" s="5">
        <f>CONCATENATE("PD", TEXT(A3387, "1000000"))</f>
      </c>
      <c r="D3387" s="7">
        <v>76</v>
      </c>
      <c r="E3387" s="5">
        <f>XLOOKUP(G3387, item_category!C:C, item_category!B:B, "Not Found")</f>
      </c>
      <c r="F3387" s="1" t="s">
        <v>5632</v>
      </c>
      <c r="G3387" s="5">
        <f>XLOOKUP(I3387, drug!B:B, drug!A:A, "Not Found")</f>
      </c>
      <c r="H3387" s="1"/>
      <c r="I3387" s="7">
        <v>1</v>
      </c>
      <c r="J3387" s="5">
        <f>XLOOKUP(L3387, uom!C:C, uom!B:B, "Not Found")</f>
      </c>
      <c r="K3387" s="1" t="s">
        <v>5511</v>
      </c>
      <c r="L3387" s="5">
        <f>XLOOKUP(N3387, uom!C:C, uom!B:B, "Not Found")</f>
      </c>
      <c r="M3387" s="1" t="s">
        <v>5511</v>
      </c>
      <c r="N3387" s="8" t="s">
        <v>5512</v>
      </c>
      <c r="O3387" s="1" t="s">
        <v>5513</v>
      </c>
      <c r="P3387" s="5">
        <f>XLOOKUP(R3387, classification!C:C, classification!B:B, "Not Found")</f>
      </c>
      <c r="Q3387" s="1" t="s">
        <v>5514</v>
      </c>
      <c r="R3387" s="2"/>
      <c r="S3387" s="2"/>
      <c r="T3387" s="2"/>
      <c r="U3387" s="2"/>
    </row>
    <row x14ac:dyDescent="0.25" r="3388" customHeight="1" ht="17.25">
      <c r="A3388" s="7">
        <v>3387</v>
      </c>
      <c r="B3388" s="1" t="s">
        <v>8704</v>
      </c>
      <c r="C3388" s="5">
        <f>CONCATENATE("PD", TEXT(A3388, "1000000"))</f>
      </c>
      <c r="D3388" s="7">
        <v>76</v>
      </c>
      <c r="E3388" s="5">
        <f>XLOOKUP(G3388, item_category!C:C, item_category!B:B, "Not Found")</f>
      </c>
      <c r="F3388" s="1" t="s">
        <v>5632</v>
      </c>
      <c r="G3388" s="5">
        <f>XLOOKUP(I3388, drug!B:B, drug!A:A, "Not Found")</f>
      </c>
      <c r="H3388" s="1"/>
      <c r="I3388" s="7">
        <v>1</v>
      </c>
      <c r="J3388" s="5">
        <f>XLOOKUP(L3388, uom!C:C, uom!B:B, "Not Found")</f>
      </c>
      <c r="K3388" s="1" t="s">
        <v>5511</v>
      </c>
      <c r="L3388" s="5">
        <f>XLOOKUP(N3388, uom!C:C, uom!B:B, "Not Found")</f>
      </c>
      <c r="M3388" s="1" t="s">
        <v>5511</v>
      </c>
      <c r="N3388" s="8" t="s">
        <v>5512</v>
      </c>
      <c r="O3388" s="1" t="s">
        <v>5513</v>
      </c>
      <c r="P3388" s="5">
        <f>XLOOKUP(R3388, classification!C:C, classification!B:B, "Not Found")</f>
      </c>
      <c r="Q3388" s="1" t="s">
        <v>5514</v>
      </c>
      <c r="R3388" s="2"/>
      <c r="S3388" s="2"/>
      <c r="T3388" s="2"/>
      <c r="U3388" s="2"/>
    </row>
    <row x14ac:dyDescent="0.25" r="3389" customHeight="1" ht="17.25">
      <c r="A3389" s="7">
        <v>3388</v>
      </c>
      <c r="B3389" s="1" t="s">
        <v>8705</v>
      </c>
      <c r="C3389" s="5">
        <f>CONCATENATE("PD", TEXT(A3389, "1000000"))</f>
      </c>
      <c r="D3389" s="7">
        <v>76</v>
      </c>
      <c r="E3389" s="5">
        <f>XLOOKUP(G3389, item_category!C:C, item_category!B:B, "Not Found")</f>
      </c>
      <c r="F3389" s="1" t="s">
        <v>5632</v>
      </c>
      <c r="G3389" s="5">
        <f>XLOOKUP(I3389, drug!B:B, drug!A:A, "Not Found")</f>
      </c>
      <c r="H3389" s="1" t="s">
        <v>1588</v>
      </c>
      <c r="I3389" s="7">
        <v>1</v>
      </c>
      <c r="J3389" s="5">
        <f>XLOOKUP(L3389, uom!C:C, uom!B:B, "Not Found")</f>
      </c>
      <c r="K3389" s="1" t="s">
        <v>5511</v>
      </c>
      <c r="L3389" s="5">
        <f>XLOOKUP(N3389, uom!C:C, uom!B:B, "Not Found")</f>
      </c>
      <c r="M3389" s="1" t="s">
        <v>5511</v>
      </c>
      <c r="N3389" s="8" t="s">
        <v>5512</v>
      </c>
      <c r="O3389" s="1" t="s">
        <v>5513</v>
      </c>
      <c r="P3389" s="5">
        <f>XLOOKUP(R3389, classification!C:C, classification!B:B, "Not Found")</f>
      </c>
      <c r="Q3389" s="1" t="s">
        <v>5514</v>
      </c>
      <c r="R3389" s="2"/>
      <c r="S3389" s="2"/>
      <c r="T3389" s="2"/>
      <c r="U3389" s="2"/>
    </row>
    <row x14ac:dyDescent="0.25" r="3390" customHeight="1" ht="17.25">
      <c r="A3390" s="7">
        <v>3389</v>
      </c>
      <c r="B3390" s="1" t="s">
        <v>8706</v>
      </c>
      <c r="C3390" s="5">
        <f>CONCATENATE("PD", TEXT(A3390, "1000000"))</f>
      </c>
      <c r="D3390" s="7">
        <v>76</v>
      </c>
      <c r="E3390" s="5">
        <f>XLOOKUP(G3390, item_category!C:C, item_category!B:B, "Not Found")</f>
      </c>
      <c r="F3390" s="1" t="s">
        <v>5632</v>
      </c>
      <c r="G3390" s="5">
        <f>XLOOKUP(I3390, drug!B:B, drug!A:A, "Not Found")</f>
      </c>
      <c r="H3390" s="1"/>
      <c r="I3390" s="7">
        <v>1</v>
      </c>
      <c r="J3390" s="5">
        <f>XLOOKUP(L3390, uom!C:C, uom!B:B, "Not Found")</f>
      </c>
      <c r="K3390" s="1" t="s">
        <v>5511</v>
      </c>
      <c r="L3390" s="5">
        <f>XLOOKUP(N3390, uom!C:C, uom!B:B, "Not Found")</f>
      </c>
      <c r="M3390" s="1" t="s">
        <v>5511</v>
      </c>
      <c r="N3390" s="8" t="s">
        <v>5512</v>
      </c>
      <c r="O3390" s="1" t="s">
        <v>5513</v>
      </c>
      <c r="P3390" s="5">
        <f>XLOOKUP(R3390, classification!C:C, classification!B:B, "Not Found")</f>
      </c>
      <c r="Q3390" s="1" t="s">
        <v>5514</v>
      </c>
      <c r="R3390" s="2"/>
      <c r="S3390" s="2"/>
      <c r="T3390" s="2"/>
      <c r="U3390" s="2"/>
    </row>
    <row x14ac:dyDescent="0.25" r="3391" customHeight="1" ht="17.25">
      <c r="A3391" s="7">
        <v>3390</v>
      </c>
      <c r="B3391" s="1" t="s">
        <v>8707</v>
      </c>
      <c r="C3391" s="5">
        <f>CONCATENATE("PD", TEXT(A3391, "1000000"))</f>
      </c>
      <c r="D3391" s="7">
        <v>76</v>
      </c>
      <c r="E3391" s="5">
        <f>XLOOKUP(G3391, item_category!C:C, item_category!B:B, "Not Found")</f>
      </c>
      <c r="F3391" s="1" t="s">
        <v>5632</v>
      </c>
      <c r="G3391" s="5">
        <f>XLOOKUP(I3391, drug!B:B, drug!A:A, "Not Found")</f>
      </c>
      <c r="H3391" s="1"/>
      <c r="I3391" s="7">
        <v>1</v>
      </c>
      <c r="J3391" s="5">
        <f>XLOOKUP(L3391, uom!C:C, uom!B:B, "Not Found")</f>
      </c>
      <c r="K3391" s="1" t="s">
        <v>5511</v>
      </c>
      <c r="L3391" s="5">
        <f>XLOOKUP(N3391, uom!C:C, uom!B:B, "Not Found")</f>
      </c>
      <c r="M3391" s="1" t="s">
        <v>5511</v>
      </c>
      <c r="N3391" s="8" t="s">
        <v>5512</v>
      </c>
      <c r="O3391" s="1" t="s">
        <v>5513</v>
      </c>
      <c r="P3391" s="5">
        <f>XLOOKUP(R3391, classification!C:C, classification!B:B, "Not Found")</f>
      </c>
      <c r="Q3391" s="1" t="s">
        <v>5514</v>
      </c>
      <c r="R3391" s="2"/>
      <c r="S3391" s="2"/>
      <c r="T3391" s="2"/>
      <c r="U3391" s="2"/>
    </row>
    <row x14ac:dyDescent="0.25" r="3392" customHeight="1" ht="17.25">
      <c r="A3392" s="7">
        <v>3391</v>
      </c>
      <c r="B3392" s="1" t="s">
        <v>8708</v>
      </c>
      <c r="C3392" s="5">
        <f>CONCATENATE("PD", TEXT(A3392, "1000000"))</f>
      </c>
      <c r="D3392" s="7">
        <v>76</v>
      </c>
      <c r="E3392" s="5">
        <f>XLOOKUP(G3392, item_category!C:C, item_category!B:B, "Not Found")</f>
      </c>
      <c r="F3392" s="1" t="s">
        <v>5632</v>
      </c>
      <c r="G3392" s="5">
        <f>XLOOKUP(I3392, drug!B:B, drug!A:A, "Not Found")</f>
      </c>
      <c r="H3392" s="1"/>
      <c r="I3392" s="7">
        <v>1</v>
      </c>
      <c r="J3392" s="5">
        <f>XLOOKUP(L3392, uom!C:C, uom!B:B, "Not Found")</f>
      </c>
      <c r="K3392" s="1" t="s">
        <v>5511</v>
      </c>
      <c r="L3392" s="5">
        <f>XLOOKUP(N3392, uom!C:C, uom!B:B, "Not Found")</f>
      </c>
      <c r="M3392" s="1" t="s">
        <v>5511</v>
      </c>
      <c r="N3392" s="8" t="s">
        <v>5512</v>
      </c>
      <c r="O3392" s="1" t="s">
        <v>5513</v>
      </c>
      <c r="P3392" s="5">
        <f>XLOOKUP(R3392, classification!C:C, classification!B:B, "Not Found")</f>
      </c>
      <c r="Q3392" s="1" t="s">
        <v>5514</v>
      </c>
      <c r="R3392" s="2"/>
      <c r="S3392" s="2"/>
      <c r="T3392" s="2"/>
      <c r="U3392" s="2"/>
    </row>
    <row x14ac:dyDescent="0.25" r="3393" customHeight="1" ht="17.25">
      <c r="A3393" s="7">
        <v>3392</v>
      </c>
      <c r="B3393" s="1" t="s">
        <v>8709</v>
      </c>
      <c r="C3393" s="5">
        <f>CONCATENATE("PD", TEXT(A3393, "1000000"))</f>
      </c>
      <c r="D3393" s="7">
        <v>76</v>
      </c>
      <c r="E3393" s="5">
        <f>XLOOKUP(G3393, item_category!C:C, item_category!B:B, "Not Found")</f>
      </c>
      <c r="F3393" s="1" t="s">
        <v>5632</v>
      </c>
      <c r="G3393" s="5">
        <f>XLOOKUP(I3393, drug!B:B, drug!A:A, "Not Found")</f>
      </c>
      <c r="H3393" s="1"/>
      <c r="I3393" s="7">
        <v>1</v>
      </c>
      <c r="J3393" s="5">
        <f>XLOOKUP(L3393, uom!C:C, uom!B:B, "Not Found")</f>
      </c>
      <c r="K3393" s="1" t="s">
        <v>5511</v>
      </c>
      <c r="L3393" s="5">
        <f>XLOOKUP(N3393, uom!C:C, uom!B:B, "Not Found")</f>
      </c>
      <c r="M3393" s="1" t="s">
        <v>5511</v>
      </c>
      <c r="N3393" s="8" t="s">
        <v>5512</v>
      </c>
      <c r="O3393" s="1" t="s">
        <v>5513</v>
      </c>
      <c r="P3393" s="5">
        <f>XLOOKUP(R3393, classification!C:C, classification!B:B, "Not Found")</f>
      </c>
      <c r="Q3393" s="1" t="s">
        <v>5514</v>
      </c>
      <c r="R3393" s="2"/>
      <c r="S3393" s="2"/>
      <c r="T3393" s="2"/>
      <c r="U3393" s="2"/>
    </row>
    <row x14ac:dyDescent="0.25" r="3394" customHeight="1" ht="17.25">
      <c r="A3394" s="7">
        <v>3393</v>
      </c>
      <c r="B3394" s="1" t="s">
        <v>8710</v>
      </c>
      <c r="C3394" s="5">
        <f>CONCATENATE("PD", TEXT(A3394, "1000000"))</f>
      </c>
      <c r="D3394" s="7">
        <v>76</v>
      </c>
      <c r="E3394" s="5">
        <f>XLOOKUP(G3394, item_category!C:C, item_category!B:B, "Not Found")</f>
      </c>
      <c r="F3394" s="1" t="s">
        <v>5632</v>
      </c>
      <c r="G3394" s="5">
        <f>XLOOKUP(I3394, drug!B:B, drug!A:A, "Not Found")</f>
      </c>
      <c r="H3394" s="1"/>
      <c r="I3394" s="7">
        <v>1</v>
      </c>
      <c r="J3394" s="5">
        <f>XLOOKUP(L3394, uom!C:C, uom!B:B, "Not Found")</f>
      </c>
      <c r="K3394" s="1" t="s">
        <v>5511</v>
      </c>
      <c r="L3394" s="5">
        <f>XLOOKUP(N3394, uom!C:C, uom!B:B, "Not Found")</f>
      </c>
      <c r="M3394" s="1" t="s">
        <v>5511</v>
      </c>
      <c r="N3394" s="8" t="s">
        <v>5512</v>
      </c>
      <c r="O3394" s="1" t="s">
        <v>5513</v>
      </c>
      <c r="P3394" s="5">
        <f>XLOOKUP(R3394, classification!C:C, classification!B:B, "Not Found")</f>
      </c>
      <c r="Q3394" s="1" t="s">
        <v>5514</v>
      </c>
      <c r="R3394" s="2"/>
      <c r="S3394" s="2"/>
      <c r="T3394" s="2"/>
      <c r="U3394" s="2"/>
    </row>
    <row x14ac:dyDescent="0.25" r="3395" customHeight="1" ht="17.25">
      <c r="A3395" s="7">
        <v>3394</v>
      </c>
      <c r="B3395" s="1" t="s">
        <v>8711</v>
      </c>
      <c r="C3395" s="5">
        <f>CONCATENATE("PD", TEXT(A3395, "1000000"))</f>
      </c>
      <c r="D3395" s="7">
        <v>76</v>
      </c>
      <c r="E3395" s="5">
        <f>XLOOKUP(G3395, item_category!C:C, item_category!B:B, "Not Found")</f>
      </c>
      <c r="F3395" s="1" t="s">
        <v>5632</v>
      </c>
      <c r="G3395" s="5">
        <f>XLOOKUP(I3395, drug!B:B, drug!A:A, "Not Found")</f>
      </c>
      <c r="H3395" s="1"/>
      <c r="I3395" s="7">
        <v>1</v>
      </c>
      <c r="J3395" s="5">
        <f>XLOOKUP(L3395, uom!C:C, uom!B:B, "Not Found")</f>
      </c>
      <c r="K3395" s="1" t="s">
        <v>5511</v>
      </c>
      <c r="L3395" s="5">
        <f>XLOOKUP(N3395, uom!C:C, uom!B:B, "Not Found")</f>
      </c>
      <c r="M3395" s="1" t="s">
        <v>5511</v>
      </c>
      <c r="N3395" s="8" t="s">
        <v>5512</v>
      </c>
      <c r="O3395" s="1" t="s">
        <v>5513</v>
      </c>
      <c r="P3395" s="5">
        <f>XLOOKUP(R3395, classification!C:C, classification!B:B, "Not Found")</f>
      </c>
      <c r="Q3395" s="1" t="s">
        <v>5514</v>
      </c>
      <c r="R3395" s="2"/>
      <c r="S3395" s="2"/>
      <c r="T3395" s="2"/>
      <c r="U3395" s="2"/>
    </row>
    <row x14ac:dyDescent="0.25" r="3396" customHeight="1" ht="17.25">
      <c r="A3396" s="7">
        <v>3395</v>
      </c>
      <c r="B3396" s="1" t="s">
        <v>8712</v>
      </c>
      <c r="C3396" s="5">
        <f>CONCATENATE("PD", TEXT(A3396, "1000000"))</f>
      </c>
      <c r="D3396" s="7">
        <v>76</v>
      </c>
      <c r="E3396" s="5">
        <f>XLOOKUP(G3396, item_category!C:C, item_category!B:B, "Not Found")</f>
      </c>
      <c r="F3396" s="1" t="s">
        <v>5632</v>
      </c>
      <c r="G3396" s="5">
        <f>XLOOKUP(I3396, drug!B:B, drug!A:A, "Not Found")</f>
      </c>
      <c r="H3396" s="1"/>
      <c r="I3396" s="7">
        <v>1</v>
      </c>
      <c r="J3396" s="5">
        <f>XLOOKUP(L3396, uom!C:C, uom!B:B, "Not Found")</f>
      </c>
      <c r="K3396" s="1" t="s">
        <v>5511</v>
      </c>
      <c r="L3396" s="5">
        <f>XLOOKUP(N3396, uom!C:C, uom!B:B, "Not Found")</f>
      </c>
      <c r="M3396" s="1" t="s">
        <v>5511</v>
      </c>
      <c r="N3396" s="8" t="s">
        <v>5512</v>
      </c>
      <c r="O3396" s="1" t="s">
        <v>5513</v>
      </c>
      <c r="P3396" s="5">
        <f>XLOOKUP(R3396, classification!C:C, classification!B:B, "Not Found")</f>
      </c>
      <c r="Q3396" s="1" t="s">
        <v>5514</v>
      </c>
      <c r="R3396" s="2"/>
      <c r="S3396" s="2"/>
      <c r="T3396" s="2"/>
      <c r="U3396" s="2"/>
    </row>
    <row x14ac:dyDescent="0.25" r="3397" customHeight="1" ht="17.25">
      <c r="A3397" s="7">
        <v>3396</v>
      </c>
      <c r="B3397" s="1" t="s">
        <v>8713</v>
      </c>
      <c r="C3397" s="5">
        <f>CONCATENATE("PD", TEXT(A3397, "1000000"))</f>
      </c>
      <c r="D3397" s="7">
        <v>76</v>
      </c>
      <c r="E3397" s="5">
        <f>XLOOKUP(G3397, item_category!C:C, item_category!B:B, "Not Found")</f>
      </c>
      <c r="F3397" s="1" t="s">
        <v>5632</v>
      </c>
      <c r="G3397" s="5">
        <f>XLOOKUP(I3397, drug!B:B, drug!A:A, "Not Found")</f>
      </c>
      <c r="H3397" s="1"/>
      <c r="I3397" s="7">
        <v>1</v>
      </c>
      <c r="J3397" s="5">
        <f>XLOOKUP(L3397, uom!C:C, uom!B:B, "Not Found")</f>
      </c>
      <c r="K3397" s="1" t="s">
        <v>5511</v>
      </c>
      <c r="L3397" s="5">
        <f>XLOOKUP(N3397, uom!C:C, uom!B:B, "Not Found")</f>
      </c>
      <c r="M3397" s="1" t="s">
        <v>5511</v>
      </c>
      <c r="N3397" s="8" t="s">
        <v>5512</v>
      </c>
      <c r="O3397" s="1" t="s">
        <v>5513</v>
      </c>
      <c r="P3397" s="5">
        <f>XLOOKUP(R3397, classification!C:C, classification!B:B, "Not Found")</f>
      </c>
      <c r="Q3397" s="1" t="s">
        <v>5514</v>
      </c>
      <c r="R3397" s="2"/>
      <c r="S3397" s="2"/>
      <c r="T3397" s="2"/>
      <c r="U3397" s="2"/>
    </row>
    <row x14ac:dyDescent="0.25" r="3398" customHeight="1" ht="17.25">
      <c r="A3398" s="7">
        <v>3397</v>
      </c>
      <c r="B3398" s="1" t="s">
        <v>8714</v>
      </c>
      <c r="C3398" s="5">
        <f>CONCATENATE("PD", TEXT(A3398, "1000000"))</f>
      </c>
      <c r="D3398" s="7">
        <v>76</v>
      </c>
      <c r="E3398" s="5">
        <f>XLOOKUP(G3398, item_category!C:C, item_category!B:B, "Not Found")</f>
      </c>
      <c r="F3398" s="1" t="s">
        <v>5632</v>
      </c>
      <c r="G3398" s="5">
        <f>XLOOKUP(I3398, drug!B:B, drug!A:A, "Not Found")</f>
      </c>
      <c r="H3398" s="1"/>
      <c r="I3398" s="7">
        <v>1</v>
      </c>
      <c r="J3398" s="5">
        <f>XLOOKUP(L3398, uom!C:C, uom!B:B, "Not Found")</f>
      </c>
      <c r="K3398" s="1" t="s">
        <v>5511</v>
      </c>
      <c r="L3398" s="5">
        <f>XLOOKUP(N3398, uom!C:C, uom!B:B, "Not Found")</f>
      </c>
      <c r="M3398" s="1" t="s">
        <v>5511</v>
      </c>
      <c r="N3398" s="8" t="s">
        <v>5512</v>
      </c>
      <c r="O3398" s="1" t="s">
        <v>5513</v>
      </c>
      <c r="P3398" s="5">
        <f>XLOOKUP(R3398, classification!C:C, classification!B:B, "Not Found")</f>
      </c>
      <c r="Q3398" s="1" t="s">
        <v>5514</v>
      </c>
      <c r="R3398" s="2"/>
      <c r="S3398" s="2"/>
      <c r="T3398" s="2"/>
      <c r="U3398" s="2"/>
    </row>
    <row x14ac:dyDescent="0.25" r="3399" customHeight="1" ht="17.25">
      <c r="A3399" s="7">
        <v>3398</v>
      </c>
      <c r="B3399" s="1" t="s">
        <v>8715</v>
      </c>
      <c r="C3399" s="5">
        <f>CONCATENATE("PD", TEXT(A3399, "1000000"))</f>
      </c>
      <c r="D3399" s="7">
        <v>76</v>
      </c>
      <c r="E3399" s="5">
        <f>XLOOKUP(G3399, item_category!C:C, item_category!B:B, "Not Found")</f>
      </c>
      <c r="F3399" s="1" t="s">
        <v>5632</v>
      </c>
      <c r="G3399" s="5">
        <f>XLOOKUP(I3399, drug!B:B, drug!A:A, "Not Found")</f>
      </c>
      <c r="H3399" s="1"/>
      <c r="I3399" s="7">
        <v>1</v>
      </c>
      <c r="J3399" s="5">
        <f>XLOOKUP(L3399, uom!C:C, uom!B:B, "Not Found")</f>
      </c>
      <c r="K3399" s="1" t="s">
        <v>5511</v>
      </c>
      <c r="L3399" s="5">
        <f>XLOOKUP(N3399, uom!C:C, uom!B:B, "Not Found")</f>
      </c>
      <c r="M3399" s="1" t="s">
        <v>5511</v>
      </c>
      <c r="N3399" s="8" t="s">
        <v>5512</v>
      </c>
      <c r="O3399" s="1" t="s">
        <v>5513</v>
      </c>
      <c r="P3399" s="5">
        <f>XLOOKUP(R3399, classification!C:C, classification!B:B, "Not Found")</f>
      </c>
      <c r="Q3399" s="1" t="s">
        <v>5514</v>
      </c>
      <c r="R3399" s="2"/>
      <c r="S3399" s="2"/>
      <c r="T3399" s="2"/>
      <c r="U3399" s="2"/>
    </row>
    <row x14ac:dyDescent="0.25" r="3400" customHeight="1" ht="17.25">
      <c r="A3400" s="7">
        <v>3399</v>
      </c>
      <c r="B3400" s="1" t="s">
        <v>8716</v>
      </c>
      <c r="C3400" s="5">
        <f>CONCATENATE("PD", TEXT(A3400, "1000000"))</f>
      </c>
      <c r="D3400" s="7">
        <v>76</v>
      </c>
      <c r="E3400" s="5">
        <f>XLOOKUP(G3400, item_category!C:C, item_category!B:B, "Not Found")</f>
      </c>
      <c r="F3400" s="1" t="s">
        <v>5632</v>
      </c>
      <c r="G3400" s="5">
        <f>XLOOKUP(I3400, drug!B:B, drug!A:A, "Not Found")</f>
      </c>
      <c r="H3400" s="1"/>
      <c r="I3400" s="7">
        <v>1</v>
      </c>
      <c r="J3400" s="5">
        <f>XLOOKUP(L3400, uom!C:C, uom!B:B, "Not Found")</f>
      </c>
      <c r="K3400" s="1" t="s">
        <v>5511</v>
      </c>
      <c r="L3400" s="5">
        <f>XLOOKUP(N3400, uom!C:C, uom!B:B, "Not Found")</f>
      </c>
      <c r="M3400" s="1" t="s">
        <v>5511</v>
      </c>
      <c r="N3400" s="8" t="s">
        <v>5512</v>
      </c>
      <c r="O3400" s="1" t="s">
        <v>5513</v>
      </c>
      <c r="P3400" s="5">
        <f>XLOOKUP(R3400, classification!C:C, classification!B:B, "Not Found")</f>
      </c>
      <c r="Q3400" s="1" t="s">
        <v>5514</v>
      </c>
      <c r="R3400" s="2"/>
      <c r="S3400" s="2"/>
      <c r="T3400" s="2"/>
      <c r="U3400" s="2"/>
    </row>
    <row x14ac:dyDescent="0.25" r="3401" customHeight="1" ht="17.25">
      <c r="A3401" s="7">
        <v>3400</v>
      </c>
      <c r="B3401" s="1" t="s">
        <v>8717</v>
      </c>
      <c r="C3401" s="5">
        <f>CONCATENATE("PD", TEXT(A3401, "1000000"))</f>
      </c>
      <c r="D3401" s="7">
        <v>76</v>
      </c>
      <c r="E3401" s="5">
        <f>XLOOKUP(G3401, item_category!C:C, item_category!B:B, "Not Found")</f>
      </c>
      <c r="F3401" s="1" t="s">
        <v>5632</v>
      </c>
      <c r="G3401" s="5">
        <f>XLOOKUP(I3401, drug!B:B, drug!A:A, "Not Found")</f>
      </c>
      <c r="H3401" s="1"/>
      <c r="I3401" s="7">
        <v>1</v>
      </c>
      <c r="J3401" s="5">
        <f>XLOOKUP(L3401, uom!C:C, uom!B:B, "Not Found")</f>
      </c>
      <c r="K3401" s="1" t="s">
        <v>5511</v>
      </c>
      <c r="L3401" s="5">
        <f>XLOOKUP(N3401, uom!C:C, uom!B:B, "Not Found")</f>
      </c>
      <c r="M3401" s="1" t="s">
        <v>5511</v>
      </c>
      <c r="N3401" s="8" t="s">
        <v>5512</v>
      </c>
      <c r="O3401" s="1" t="s">
        <v>5513</v>
      </c>
      <c r="P3401" s="5">
        <f>XLOOKUP(R3401, classification!C:C, classification!B:B, "Not Found")</f>
      </c>
      <c r="Q3401" s="1" t="s">
        <v>5514</v>
      </c>
      <c r="R3401" s="2"/>
      <c r="S3401" s="2"/>
      <c r="T3401" s="2"/>
      <c r="U3401" s="2"/>
    </row>
    <row x14ac:dyDescent="0.25" r="3402" customHeight="1" ht="17.25">
      <c r="A3402" s="7">
        <v>3401</v>
      </c>
      <c r="B3402" s="1" t="s">
        <v>8718</v>
      </c>
      <c r="C3402" s="5">
        <f>CONCATENATE("PD", TEXT(A3402, "1000000"))</f>
      </c>
      <c r="D3402" s="7">
        <v>76</v>
      </c>
      <c r="E3402" s="5">
        <f>XLOOKUP(G3402, item_category!C:C, item_category!B:B, "Not Found")</f>
      </c>
      <c r="F3402" s="1" t="s">
        <v>5632</v>
      </c>
      <c r="G3402" s="5">
        <f>XLOOKUP(I3402, drug!B:B, drug!A:A, "Not Found")</f>
      </c>
      <c r="H3402" s="1" t="s">
        <v>1228</v>
      </c>
      <c r="I3402" s="7">
        <v>1</v>
      </c>
      <c r="J3402" s="5">
        <f>XLOOKUP(L3402, uom!C:C, uom!B:B, "Not Found")</f>
      </c>
      <c r="K3402" s="1" t="s">
        <v>5511</v>
      </c>
      <c r="L3402" s="5">
        <f>XLOOKUP(N3402, uom!C:C, uom!B:B, "Not Found")</f>
      </c>
      <c r="M3402" s="1" t="s">
        <v>5511</v>
      </c>
      <c r="N3402" s="8" t="s">
        <v>5512</v>
      </c>
      <c r="O3402" s="1" t="s">
        <v>5513</v>
      </c>
      <c r="P3402" s="5">
        <f>XLOOKUP(R3402, classification!C:C, classification!B:B, "Not Found")</f>
      </c>
      <c r="Q3402" s="1" t="s">
        <v>5514</v>
      </c>
      <c r="R3402" s="2"/>
      <c r="S3402" s="2"/>
      <c r="T3402" s="2"/>
      <c r="U3402" s="2"/>
    </row>
    <row x14ac:dyDescent="0.25" r="3403" customHeight="1" ht="17.25">
      <c r="A3403" s="7">
        <v>3402</v>
      </c>
      <c r="B3403" s="1" t="s">
        <v>8719</v>
      </c>
      <c r="C3403" s="5">
        <f>CONCATENATE("PD", TEXT(A3403, "1000000"))</f>
      </c>
      <c r="D3403" s="7">
        <v>76</v>
      </c>
      <c r="E3403" s="5">
        <f>XLOOKUP(G3403, item_category!C:C, item_category!B:B, "Not Found")</f>
      </c>
      <c r="F3403" s="1" t="s">
        <v>5632</v>
      </c>
      <c r="G3403" s="5">
        <f>XLOOKUP(I3403, drug!B:B, drug!A:A, "Not Found")</f>
      </c>
      <c r="H3403" s="1" t="s">
        <v>1228</v>
      </c>
      <c r="I3403" s="7">
        <v>1</v>
      </c>
      <c r="J3403" s="5">
        <f>XLOOKUP(L3403, uom!C:C, uom!B:B, "Not Found")</f>
      </c>
      <c r="K3403" s="1" t="s">
        <v>5511</v>
      </c>
      <c r="L3403" s="5">
        <f>XLOOKUP(N3403, uom!C:C, uom!B:B, "Not Found")</f>
      </c>
      <c r="M3403" s="1" t="s">
        <v>5511</v>
      </c>
      <c r="N3403" s="8" t="s">
        <v>5512</v>
      </c>
      <c r="O3403" s="1" t="s">
        <v>5513</v>
      </c>
      <c r="P3403" s="5">
        <f>XLOOKUP(R3403, classification!C:C, classification!B:B, "Not Found")</f>
      </c>
      <c r="Q3403" s="1" t="s">
        <v>5514</v>
      </c>
      <c r="R3403" s="2"/>
      <c r="S3403" s="2"/>
      <c r="T3403" s="2"/>
      <c r="U3403" s="2"/>
    </row>
    <row x14ac:dyDescent="0.25" r="3404" customHeight="1" ht="17.25">
      <c r="A3404" s="7">
        <v>3403</v>
      </c>
      <c r="B3404" s="1" t="s">
        <v>8720</v>
      </c>
      <c r="C3404" s="5">
        <f>CONCATENATE("PD", TEXT(A3404, "1000000"))</f>
      </c>
      <c r="D3404" s="7">
        <v>76</v>
      </c>
      <c r="E3404" s="5">
        <f>XLOOKUP(G3404, item_category!C:C, item_category!B:B, "Not Found")</f>
      </c>
      <c r="F3404" s="1" t="s">
        <v>5632</v>
      </c>
      <c r="G3404" s="5">
        <f>XLOOKUP(I3404, drug!B:B, drug!A:A, "Not Found")</f>
      </c>
      <c r="H3404" s="1" t="s">
        <v>1228</v>
      </c>
      <c r="I3404" s="7">
        <v>1</v>
      </c>
      <c r="J3404" s="5">
        <f>XLOOKUP(L3404, uom!C:C, uom!B:B, "Not Found")</f>
      </c>
      <c r="K3404" s="1" t="s">
        <v>5511</v>
      </c>
      <c r="L3404" s="5">
        <f>XLOOKUP(N3404, uom!C:C, uom!B:B, "Not Found")</f>
      </c>
      <c r="M3404" s="1" t="s">
        <v>5511</v>
      </c>
      <c r="N3404" s="8" t="s">
        <v>5512</v>
      </c>
      <c r="O3404" s="1" t="s">
        <v>5513</v>
      </c>
      <c r="P3404" s="5">
        <f>XLOOKUP(R3404, classification!C:C, classification!B:B, "Not Found")</f>
      </c>
      <c r="Q3404" s="1" t="s">
        <v>5514</v>
      </c>
      <c r="R3404" s="2"/>
      <c r="S3404" s="2"/>
      <c r="T3404" s="2"/>
      <c r="U3404" s="2"/>
    </row>
    <row x14ac:dyDescent="0.25" r="3405" customHeight="1" ht="17.25">
      <c r="A3405" s="7">
        <v>3404</v>
      </c>
      <c r="B3405" s="1" t="s">
        <v>8721</v>
      </c>
      <c r="C3405" s="5">
        <f>CONCATENATE("PD", TEXT(A3405, "1000000"))</f>
      </c>
      <c r="D3405" s="7">
        <v>76</v>
      </c>
      <c r="E3405" s="5">
        <f>XLOOKUP(G3405, item_category!C:C, item_category!B:B, "Not Found")</f>
      </c>
      <c r="F3405" s="1" t="s">
        <v>5632</v>
      </c>
      <c r="G3405" s="5">
        <f>XLOOKUP(I3405, drug!B:B, drug!A:A, "Not Found")</f>
      </c>
      <c r="H3405" s="1" t="s">
        <v>1228</v>
      </c>
      <c r="I3405" s="7">
        <v>1</v>
      </c>
      <c r="J3405" s="5">
        <f>XLOOKUP(L3405, uom!C:C, uom!B:B, "Not Found")</f>
      </c>
      <c r="K3405" s="1" t="s">
        <v>5511</v>
      </c>
      <c r="L3405" s="5">
        <f>XLOOKUP(N3405, uom!C:C, uom!B:B, "Not Found")</f>
      </c>
      <c r="M3405" s="1" t="s">
        <v>5511</v>
      </c>
      <c r="N3405" s="8" t="s">
        <v>5512</v>
      </c>
      <c r="O3405" s="1" t="s">
        <v>5513</v>
      </c>
      <c r="P3405" s="5">
        <f>XLOOKUP(R3405, classification!C:C, classification!B:B, "Not Found")</f>
      </c>
      <c r="Q3405" s="1" t="s">
        <v>5514</v>
      </c>
      <c r="R3405" s="2"/>
      <c r="S3405" s="2"/>
      <c r="T3405" s="2"/>
      <c r="U3405" s="2"/>
    </row>
    <row x14ac:dyDescent="0.25" r="3406" customHeight="1" ht="17.25">
      <c r="A3406" s="7">
        <v>3405</v>
      </c>
      <c r="B3406" s="1" t="s">
        <v>8722</v>
      </c>
      <c r="C3406" s="5">
        <f>CONCATENATE("PD", TEXT(A3406, "1000000"))</f>
      </c>
      <c r="D3406" s="7">
        <v>76</v>
      </c>
      <c r="E3406" s="5">
        <f>XLOOKUP(G3406, item_category!C:C, item_category!B:B, "Not Found")</f>
      </c>
      <c r="F3406" s="1" t="s">
        <v>5632</v>
      </c>
      <c r="G3406" s="5">
        <f>XLOOKUP(I3406, drug!B:B, drug!A:A, "Not Found")</f>
      </c>
      <c r="H3406" s="1" t="s">
        <v>1228</v>
      </c>
      <c r="I3406" s="7">
        <v>1</v>
      </c>
      <c r="J3406" s="5">
        <f>XLOOKUP(L3406, uom!C:C, uom!B:B, "Not Found")</f>
      </c>
      <c r="K3406" s="1" t="s">
        <v>5511</v>
      </c>
      <c r="L3406" s="5">
        <f>XLOOKUP(N3406, uom!C:C, uom!B:B, "Not Found")</f>
      </c>
      <c r="M3406" s="1" t="s">
        <v>5511</v>
      </c>
      <c r="N3406" s="8" t="s">
        <v>5512</v>
      </c>
      <c r="O3406" s="1" t="s">
        <v>5513</v>
      </c>
      <c r="P3406" s="5">
        <f>XLOOKUP(R3406, classification!C:C, classification!B:B, "Not Found")</f>
      </c>
      <c r="Q3406" s="1" t="s">
        <v>5514</v>
      </c>
      <c r="R3406" s="2"/>
      <c r="S3406" s="2"/>
      <c r="T3406" s="2"/>
      <c r="U3406" s="2"/>
    </row>
    <row x14ac:dyDescent="0.25" r="3407" customHeight="1" ht="17.25">
      <c r="A3407" s="7">
        <v>3406</v>
      </c>
      <c r="B3407" s="1" t="s">
        <v>8723</v>
      </c>
      <c r="C3407" s="5">
        <f>CONCATENATE("PD", TEXT(A3407, "1000000"))</f>
      </c>
      <c r="D3407" s="7">
        <v>76</v>
      </c>
      <c r="E3407" s="5">
        <f>XLOOKUP(G3407, item_category!C:C, item_category!B:B, "Not Found")</f>
      </c>
      <c r="F3407" s="1" t="s">
        <v>5632</v>
      </c>
      <c r="G3407" s="5">
        <f>XLOOKUP(I3407, drug!B:B, drug!A:A, "Not Found")</f>
      </c>
      <c r="H3407" s="1"/>
      <c r="I3407" s="7">
        <v>1</v>
      </c>
      <c r="J3407" s="5">
        <f>XLOOKUP(L3407, uom!C:C, uom!B:B, "Not Found")</f>
      </c>
      <c r="K3407" s="1" t="s">
        <v>5511</v>
      </c>
      <c r="L3407" s="5">
        <f>XLOOKUP(N3407, uom!C:C, uom!B:B, "Not Found")</f>
      </c>
      <c r="M3407" s="1" t="s">
        <v>5511</v>
      </c>
      <c r="N3407" s="8" t="s">
        <v>5512</v>
      </c>
      <c r="O3407" s="1" t="s">
        <v>5513</v>
      </c>
      <c r="P3407" s="5">
        <f>XLOOKUP(R3407, classification!C:C, classification!B:B, "Not Found")</f>
      </c>
      <c r="Q3407" s="1" t="s">
        <v>5514</v>
      </c>
      <c r="R3407" s="2"/>
      <c r="S3407" s="2"/>
      <c r="T3407" s="2"/>
      <c r="U3407" s="2"/>
    </row>
    <row x14ac:dyDescent="0.25" r="3408" customHeight="1" ht="17.25">
      <c r="A3408" s="7">
        <v>3407</v>
      </c>
      <c r="B3408" s="1" t="s">
        <v>8724</v>
      </c>
      <c r="C3408" s="5">
        <f>CONCATENATE("PD", TEXT(A3408, "1000000"))</f>
      </c>
      <c r="D3408" s="7">
        <v>76</v>
      </c>
      <c r="E3408" s="5">
        <f>XLOOKUP(G3408, item_category!C:C, item_category!B:B, "Not Found")</f>
      </c>
      <c r="F3408" s="1" t="s">
        <v>5632</v>
      </c>
      <c r="G3408" s="5">
        <f>XLOOKUP(I3408, drug!B:B, drug!A:A, "Not Found")</f>
      </c>
      <c r="H3408" s="1" t="s">
        <v>1228</v>
      </c>
      <c r="I3408" s="7">
        <v>50</v>
      </c>
      <c r="J3408" s="5">
        <f>XLOOKUP(L3408, uom!C:C, uom!B:B, "Not Found")</f>
      </c>
      <c r="K3408" s="1" t="s">
        <v>6689</v>
      </c>
      <c r="L3408" s="5">
        <f>XLOOKUP(N3408, uom!C:C, uom!B:B, "Not Found")</f>
      </c>
      <c r="M3408" s="1" t="s">
        <v>6689</v>
      </c>
      <c r="N3408" s="8" t="s">
        <v>5524</v>
      </c>
      <c r="O3408" s="1" t="s">
        <v>5525</v>
      </c>
      <c r="P3408" s="5">
        <f>XLOOKUP(R3408, classification!C:C, classification!B:B, "Not Found")</f>
      </c>
      <c r="Q3408" s="1" t="s">
        <v>5514</v>
      </c>
      <c r="R3408" s="2"/>
      <c r="S3408" s="2"/>
      <c r="T3408" s="2"/>
      <c r="U3408" s="2"/>
    </row>
    <row x14ac:dyDescent="0.25" r="3409" customHeight="1" ht="17.25">
      <c r="A3409" s="7">
        <v>3408</v>
      </c>
      <c r="B3409" s="1" t="s">
        <v>8725</v>
      </c>
      <c r="C3409" s="5">
        <f>CONCATENATE("PD", TEXT(A3409, "1000000"))</f>
      </c>
      <c r="D3409" s="7">
        <v>76</v>
      </c>
      <c r="E3409" s="5">
        <f>XLOOKUP(G3409, item_category!C:C, item_category!B:B, "Not Found")</f>
      </c>
      <c r="F3409" s="1" t="s">
        <v>5632</v>
      </c>
      <c r="G3409" s="5">
        <f>XLOOKUP(I3409, drug!B:B, drug!A:A, "Not Found")</f>
      </c>
      <c r="H3409" s="1"/>
      <c r="I3409" s="7">
        <v>1</v>
      </c>
      <c r="J3409" s="5">
        <f>XLOOKUP(L3409, uom!C:C, uom!B:B, "Not Found")</f>
      </c>
      <c r="K3409" s="1" t="s">
        <v>5511</v>
      </c>
      <c r="L3409" s="5">
        <f>XLOOKUP(N3409, uom!C:C, uom!B:B, "Not Found")</f>
      </c>
      <c r="M3409" s="1" t="s">
        <v>5511</v>
      </c>
      <c r="N3409" s="8" t="s">
        <v>5512</v>
      </c>
      <c r="O3409" s="1" t="s">
        <v>5513</v>
      </c>
      <c r="P3409" s="5">
        <f>XLOOKUP(R3409, classification!C:C, classification!B:B, "Not Found")</f>
      </c>
      <c r="Q3409" s="1" t="s">
        <v>5514</v>
      </c>
      <c r="R3409" s="2"/>
      <c r="S3409" s="2"/>
      <c r="T3409" s="2"/>
      <c r="U3409" s="2"/>
    </row>
    <row x14ac:dyDescent="0.25" r="3410" customHeight="1" ht="17.25">
      <c r="A3410" s="7">
        <v>3409</v>
      </c>
      <c r="B3410" s="1" t="s">
        <v>3432</v>
      </c>
      <c r="C3410" s="5">
        <f>CONCATENATE("PD", TEXT(A3410, "1000000"))</f>
      </c>
      <c r="D3410" s="7">
        <v>76</v>
      </c>
      <c r="E3410" s="5">
        <f>XLOOKUP(G3410, item_category!C:C, item_category!B:B, "Not Found")</f>
      </c>
      <c r="F3410" s="1" t="s">
        <v>5632</v>
      </c>
      <c r="G3410" s="5">
        <f>XLOOKUP(I3410, drug!B:B, drug!A:A, "Not Found")</f>
      </c>
      <c r="H3410" s="1"/>
      <c r="I3410" s="7">
        <v>1</v>
      </c>
      <c r="J3410" s="5">
        <f>XLOOKUP(L3410, uom!C:C, uom!B:B, "Not Found")</f>
      </c>
      <c r="K3410" s="1" t="s">
        <v>5511</v>
      </c>
      <c r="L3410" s="5">
        <f>XLOOKUP(N3410, uom!C:C, uom!B:B, "Not Found")</f>
      </c>
      <c r="M3410" s="1" t="s">
        <v>5511</v>
      </c>
      <c r="N3410" s="8" t="s">
        <v>5512</v>
      </c>
      <c r="O3410" s="1" t="s">
        <v>5513</v>
      </c>
      <c r="P3410" s="5">
        <f>XLOOKUP(R3410, classification!C:C, classification!B:B, "Not Found")</f>
      </c>
      <c r="Q3410" s="1" t="s">
        <v>5514</v>
      </c>
      <c r="R3410" s="2"/>
      <c r="S3410" s="2"/>
      <c r="T3410" s="2"/>
      <c r="U3410" s="2"/>
    </row>
    <row x14ac:dyDescent="0.25" r="3411" customHeight="1" ht="17.25">
      <c r="A3411" s="7">
        <v>3410</v>
      </c>
      <c r="B3411" s="1" t="s">
        <v>8726</v>
      </c>
      <c r="C3411" s="5">
        <f>CONCATENATE("PD", TEXT(A3411, "1000000"))</f>
      </c>
      <c r="D3411" s="7">
        <v>76</v>
      </c>
      <c r="E3411" s="5">
        <f>XLOOKUP(G3411, item_category!C:C, item_category!B:B, "Not Found")</f>
      </c>
      <c r="F3411" s="1" t="s">
        <v>5632</v>
      </c>
      <c r="G3411" s="5">
        <f>XLOOKUP(I3411, drug!B:B, drug!A:A, "Not Found")</f>
      </c>
      <c r="H3411" s="1"/>
      <c r="I3411" s="7">
        <v>1</v>
      </c>
      <c r="J3411" s="5">
        <f>XLOOKUP(L3411, uom!C:C, uom!B:B, "Not Found")</f>
      </c>
      <c r="K3411" s="1" t="s">
        <v>5511</v>
      </c>
      <c r="L3411" s="5">
        <f>XLOOKUP(N3411, uom!C:C, uom!B:B, "Not Found")</f>
      </c>
      <c r="M3411" s="1" t="s">
        <v>5511</v>
      </c>
      <c r="N3411" s="8" t="s">
        <v>5512</v>
      </c>
      <c r="O3411" s="1" t="s">
        <v>5513</v>
      </c>
      <c r="P3411" s="5">
        <f>XLOOKUP(R3411, classification!C:C, classification!B:B, "Not Found")</f>
      </c>
      <c r="Q3411" s="1" t="s">
        <v>5514</v>
      </c>
      <c r="R3411" s="2"/>
      <c r="S3411" s="2"/>
      <c r="T3411" s="2"/>
      <c r="U3411" s="2"/>
    </row>
    <row x14ac:dyDescent="0.25" r="3412" customHeight="1" ht="17.25">
      <c r="A3412" s="7">
        <v>3411</v>
      </c>
      <c r="B3412" s="1" t="s">
        <v>8727</v>
      </c>
      <c r="C3412" s="5">
        <f>CONCATENATE("PD", TEXT(A3412, "1000000"))</f>
      </c>
      <c r="D3412" s="7">
        <v>76</v>
      </c>
      <c r="E3412" s="5">
        <f>XLOOKUP(G3412, item_category!C:C, item_category!B:B, "Not Found")</f>
      </c>
      <c r="F3412" s="1" t="s">
        <v>5632</v>
      </c>
      <c r="G3412" s="5">
        <f>XLOOKUP(I3412, drug!B:B, drug!A:A, "Not Found")</f>
      </c>
      <c r="H3412" s="1"/>
      <c r="I3412" s="7">
        <v>1</v>
      </c>
      <c r="J3412" s="5">
        <f>XLOOKUP(L3412, uom!C:C, uom!B:B, "Not Found")</f>
      </c>
      <c r="K3412" s="1" t="s">
        <v>5511</v>
      </c>
      <c r="L3412" s="5">
        <f>XLOOKUP(N3412, uom!C:C, uom!B:B, "Not Found")</f>
      </c>
      <c r="M3412" s="1" t="s">
        <v>5511</v>
      </c>
      <c r="N3412" s="8" t="s">
        <v>5512</v>
      </c>
      <c r="O3412" s="1" t="s">
        <v>5513</v>
      </c>
      <c r="P3412" s="5">
        <f>XLOOKUP(R3412, classification!C:C, classification!B:B, "Not Found")</f>
      </c>
      <c r="Q3412" s="1" t="s">
        <v>5514</v>
      </c>
      <c r="R3412" s="2"/>
      <c r="S3412" s="2"/>
      <c r="T3412" s="2"/>
      <c r="U3412" s="2"/>
    </row>
    <row x14ac:dyDescent="0.25" r="3413" customHeight="1" ht="17.25">
      <c r="A3413" s="7">
        <v>3412</v>
      </c>
      <c r="B3413" s="1" t="s">
        <v>8728</v>
      </c>
      <c r="C3413" s="5">
        <f>CONCATENATE("PD", TEXT(A3413, "1000000"))</f>
      </c>
      <c r="D3413" s="7">
        <v>76</v>
      </c>
      <c r="E3413" s="5">
        <f>XLOOKUP(G3413, item_category!C:C, item_category!B:B, "Not Found")</f>
      </c>
      <c r="F3413" s="1" t="s">
        <v>5632</v>
      </c>
      <c r="G3413" s="5">
        <f>XLOOKUP(I3413, drug!B:B, drug!A:A, "Not Found")</f>
      </c>
      <c r="H3413" s="1"/>
      <c r="I3413" s="7">
        <v>1</v>
      </c>
      <c r="J3413" s="5">
        <f>XLOOKUP(L3413, uom!C:C, uom!B:B, "Not Found")</f>
      </c>
      <c r="K3413" s="1" t="s">
        <v>5511</v>
      </c>
      <c r="L3413" s="5">
        <f>XLOOKUP(N3413, uom!C:C, uom!B:B, "Not Found")</f>
      </c>
      <c r="M3413" s="1" t="s">
        <v>5511</v>
      </c>
      <c r="N3413" s="8" t="s">
        <v>5512</v>
      </c>
      <c r="O3413" s="1" t="s">
        <v>5513</v>
      </c>
      <c r="P3413" s="5">
        <f>XLOOKUP(R3413, classification!C:C, classification!B:B, "Not Found")</f>
      </c>
      <c r="Q3413" s="1" t="s">
        <v>5514</v>
      </c>
      <c r="R3413" s="2"/>
      <c r="S3413" s="2"/>
      <c r="T3413" s="2"/>
      <c r="U3413" s="2"/>
    </row>
    <row x14ac:dyDescent="0.25" r="3414" customHeight="1" ht="17.25">
      <c r="A3414" s="7">
        <v>3413</v>
      </c>
      <c r="B3414" s="1" t="s">
        <v>8729</v>
      </c>
      <c r="C3414" s="5">
        <f>CONCATENATE("PD", TEXT(A3414, "1000000"))</f>
      </c>
      <c r="D3414" s="7">
        <v>76</v>
      </c>
      <c r="E3414" s="5">
        <f>XLOOKUP(G3414, item_category!C:C, item_category!B:B, "Not Found")</f>
      </c>
      <c r="F3414" s="1" t="s">
        <v>5632</v>
      </c>
      <c r="G3414" s="5">
        <f>XLOOKUP(I3414, drug!B:B, drug!A:A, "Not Found")</f>
      </c>
      <c r="H3414" s="1"/>
      <c r="I3414" s="7">
        <v>1</v>
      </c>
      <c r="J3414" s="5">
        <f>XLOOKUP(L3414, uom!C:C, uom!B:B, "Not Found")</f>
      </c>
      <c r="K3414" s="1" t="s">
        <v>5511</v>
      </c>
      <c r="L3414" s="5">
        <f>XLOOKUP(N3414, uom!C:C, uom!B:B, "Not Found")</f>
      </c>
      <c r="M3414" s="1" t="s">
        <v>5511</v>
      </c>
      <c r="N3414" s="8" t="s">
        <v>5512</v>
      </c>
      <c r="O3414" s="1" t="s">
        <v>5513</v>
      </c>
      <c r="P3414" s="5">
        <f>XLOOKUP(R3414, classification!C:C, classification!B:B, "Not Found")</f>
      </c>
      <c r="Q3414" s="1" t="s">
        <v>5514</v>
      </c>
      <c r="R3414" s="2"/>
      <c r="S3414" s="2"/>
      <c r="T3414" s="2"/>
      <c r="U3414" s="2"/>
    </row>
    <row x14ac:dyDescent="0.25" r="3415" customHeight="1" ht="17.25">
      <c r="A3415" s="7">
        <v>3414</v>
      </c>
      <c r="B3415" s="1" t="s">
        <v>8730</v>
      </c>
      <c r="C3415" s="5">
        <f>CONCATENATE("PD", TEXT(A3415, "1000000"))</f>
      </c>
      <c r="D3415" s="7">
        <v>76</v>
      </c>
      <c r="E3415" s="5">
        <f>XLOOKUP(G3415, item_category!C:C, item_category!B:B, "Not Found")</f>
      </c>
      <c r="F3415" s="1" t="s">
        <v>5632</v>
      </c>
      <c r="G3415" s="5">
        <f>XLOOKUP(I3415, drug!B:B, drug!A:A, "Not Found")</f>
      </c>
      <c r="H3415" s="1"/>
      <c r="I3415" s="7">
        <v>1</v>
      </c>
      <c r="J3415" s="5">
        <f>XLOOKUP(L3415, uom!C:C, uom!B:B, "Not Found")</f>
      </c>
      <c r="K3415" s="1" t="s">
        <v>5511</v>
      </c>
      <c r="L3415" s="5">
        <f>XLOOKUP(N3415, uom!C:C, uom!B:B, "Not Found")</f>
      </c>
      <c r="M3415" s="1" t="s">
        <v>5511</v>
      </c>
      <c r="N3415" s="8" t="s">
        <v>5512</v>
      </c>
      <c r="O3415" s="1" t="s">
        <v>5513</v>
      </c>
      <c r="P3415" s="5">
        <f>XLOOKUP(R3415, classification!C:C, classification!B:B, "Not Found")</f>
      </c>
      <c r="Q3415" s="1" t="s">
        <v>5514</v>
      </c>
      <c r="R3415" s="2"/>
      <c r="S3415" s="2"/>
      <c r="T3415" s="2"/>
      <c r="U3415" s="2"/>
    </row>
    <row x14ac:dyDescent="0.25" r="3416" customHeight="1" ht="17.25">
      <c r="A3416" s="7">
        <v>3415</v>
      </c>
      <c r="B3416" s="1" t="s">
        <v>8731</v>
      </c>
      <c r="C3416" s="5">
        <f>CONCATENATE("PD", TEXT(A3416, "1000000"))</f>
      </c>
      <c r="D3416" s="7">
        <v>76</v>
      </c>
      <c r="E3416" s="5">
        <f>XLOOKUP(G3416, item_category!C:C, item_category!B:B, "Not Found")</f>
      </c>
      <c r="F3416" s="1" t="s">
        <v>5632</v>
      </c>
      <c r="G3416" s="5">
        <f>XLOOKUP(I3416, drug!B:B, drug!A:A, "Not Found")</f>
      </c>
      <c r="H3416" s="1"/>
      <c r="I3416" s="7">
        <v>1</v>
      </c>
      <c r="J3416" s="5">
        <f>XLOOKUP(L3416, uom!C:C, uom!B:B, "Not Found")</f>
      </c>
      <c r="K3416" s="1" t="s">
        <v>5511</v>
      </c>
      <c r="L3416" s="5">
        <f>XLOOKUP(N3416, uom!C:C, uom!B:B, "Not Found")</f>
      </c>
      <c r="M3416" s="1" t="s">
        <v>5511</v>
      </c>
      <c r="N3416" s="8" t="s">
        <v>5512</v>
      </c>
      <c r="O3416" s="1" t="s">
        <v>5513</v>
      </c>
      <c r="P3416" s="5">
        <f>XLOOKUP(R3416, classification!C:C, classification!B:B, "Not Found")</f>
      </c>
      <c r="Q3416" s="1" t="s">
        <v>5514</v>
      </c>
      <c r="R3416" s="2"/>
      <c r="S3416" s="2"/>
      <c r="T3416" s="2"/>
      <c r="U3416" s="2"/>
    </row>
    <row x14ac:dyDescent="0.25" r="3417" customHeight="1" ht="17.25">
      <c r="A3417" s="7">
        <v>3416</v>
      </c>
      <c r="B3417" s="1" t="s">
        <v>8732</v>
      </c>
      <c r="C3417" s="5">
        <f>CONCATENATE("PD", TEXT(A3417, "1000000"))</f>
      </c>
      <c r="D3417" s="7">
        <v>76</v>
      </c>
      <c r="E3417" s="5">
        <f>XLOOKUP(G3417, item_category!C:C, item_category!B:B, "Not Found")</f>
      </c>
      <c r="F3417" s="1" t="s">
        <v>5632</v>
      </c>
      <c r="G3417" s="5">
        <f>XLOOKUP(I3417, drug!B:B, drug!A:A, "Not Found")</f>
      </c>
      <c r="H3417" s="1"/>
      <c r="I3417" s="7">
        <v>1</v>
      </c>
      <c r="J3417" s="5">
        <f>XLOOKUP(L3417, uom!C:C, uom!B:B, "Not Found")</f>
      </c>
      <c r="K3417" s="1" t="s">
        <v>5511</v>
      </c>
      <c r="L3417" s="5">
        <f>XLOOKUP(N3417, uom!C:C, uom!B:B, "Not Found")</f>
      </c>
      <c r="M3417" s="1" t="s">
        <v>5511</v>
      </c>
      <c r="N3417" s="8" t="s">
        <v>5512</v>
      </c>
      <c r="O3417" s="1" t="s">
        <v>5513</v>
      </c>
      <c r="P3417" s="5">
        <f>XLOOKUP(R3417, classification!C:C, classification!B:B, "Not Found")</f>
      </c>
      <c r="Q3417" s="1" t="s">
        <v>5514</v>
      </c>
      <c r="R3417" s="2"/>
      <c r="S3417" s="2"/>
      <c r="T3417" s="2"/>
      <c r="U3417" s="2"/>
    </row>
    <row x14ac:dyDescent="0.25" r="3418" customHeight="1" ht="17.25">
      <c r="A3418" s="7">
        <v>3417</v>
      </c>
      <c r="B3418" s="1" t="s">
        <v>8733</v>
      </c>
      <c r="C3418" s="5">
        <f>CONCATENATE("PD", TEXT(A3418, "1000000"))</f>
      </c>
      <c r="D3418" s="7">
        <v>76</v>
      </c>
      <c r="E3418" s="5">
        <f>XLOOKUP(G3418, item_category!C:C, item_category!B:B, "Not Found")</f>
      </c>
      <c r="F3418" s="1" t="s">
        <v>5632</v>
      </c>
      <c r="G3418" s="5">
        <f>XLOOKUP(I3418, drug!B:B, drug!A:A, "Not Found")</f>
      </c>
      <c r="H3418" s="1"/>
      <c r="I3418" s="7">
        <v>1</v>
      </c>
      <c r="J3418" s="5">
        <f>XLOOKUP(L3418, uom!C:C, uom!B:B, "Not Found")</f>
      </c>
      <c r="K3418" s="1" t="s">
        <v>5511</v>
      </c>
      <c r="L3418" s="5">
        <f>XLOOKUP(N3418, uom!C:C, uom!B:B, "Not Found")</f>
      </c>
      <c r="M3418" s="1" t="s">
        <v>5511</v>
      </c>
      <c r="N3418" s="8" t="s">
        <v>5512</v>
      </c>
      <c r="O3418" s="1" t="s">
        <v>5513</v>
      </c>
      <c r="P3418" s="5">
        <f>XLOOKUP(R3418, classification!C:C, classification!B:B, "Not Found")</f>
      </c>
      <c r="Q3418" s="1" t="s">
        <v>5514</v>
      </c>
      <c r="R3418" s="2"/>
      <c r="S3418" s="2"/>
      <c r="T3418" s="2"/>
      <c r="U3418" s="2"/>
    </row>
    <row x14ac:dyDescent="0.25" r="3419" customHeight="1" ht="17.25">
      <c r="A3419" s="7">
        <v>3418</v>
      </c>
      <c r="B3419" s="1" t="s">
        <v>8734</v>
      </c>
      <c r="C3419" s="5">
        <f>CONCATENATE("PD", TEXT(A3419, "1000000"))</f>
      </c>
      <c r="D3419" s="7">
        <v>76</v>
      </c>
      <c r="E3419" s="5">
        <f>XLOOKUP(G3419, item_category!C:C, item_category!B:B, "Not Found")</f>
      </c>
      <c r="F3419" s="1" t="s">
        <v>5632</v>
      </c>
      <c r="G3419" s="5">
        <f>XLOOKUP(I3419, drug!B:B, drug!A:A, "Not Found")</f>
      </c>
      <c r="H3419" s="1"/>
      <c r="I3419" s="7">
        <v>1</v>
      </c>
      <c r="J3419" s="5">
        <f>XLOOKUP(L3419, uom!C:C, uom!B:B, "Not Found")</f>
      </c>
      <c r="K3419" s="1" t="s">
        <v>5511</v>
      </c>
      <c r="L3419" s="5">
        <f>XLOOKUP(N3419, uom!C:C, uom!B:B, "Not Found")</f>
      </c>
      <c r="M3419" s="1" t="s">
        <v>5511</v>
      </c>
      <c r="N3419" s="8" t="s">
        <v>5512</v>
      </c>
      <c r="O3419" s="1" t="s">
        <v>5513</v>
      </c>
      <c r="P3419" s="5">
        <f>XLOOKUP(R3419, classification!C:C, classification!B:B, "Not Found")</f>
      </c>
      <c r="Q3419" s="1" t="s">
        <v>5514</v>
      </c>
      <c r="R3419" s="2"/>
      <c r="S3419" s="2"/>
      <c r="T3419" s="2"/>
      <c r="U3419" s="2"/>
    </row>
    <row x14ac:dyDescent="0.25" r="3420" customHeight="1" ht="17.25">
      <c r="A3420" s="7">
        <v>3419</v>
      </c>
      <c r="B3420" s="1" t="s">
        <v>8735</v>
      </c>
      <c r="C3420" s="5">
        <f>CONCATENATE("PD", TEXT(A3420, "1000000"))</f>
      </c>
      <c r="D3420" s="7">
        <v>76</v>
      </c>
      <c r="E3420" s="5">
        <f>XLOOKUP(G3420, item_category!C:C, item_category!B:B, "Not Found")</f>
      </c>
      <c r="F3420" s="1" t="s">
        <v>5632</v>
      </c>
      <c r="G3420" s="5">
        <f>XLOOKUP(I3420, drug!B:B, drug!A:A, "Not Found")</f>
      </c>
      <c r="H3420" s="1"/>
      <c r="I3420" s="7">
        <v>1</v>
      </c>
      <c r="J3420" s="5">
        <f>XLOOKUP(L3420, uom!C:C, uom!B:B, "Not Found")</f>
      </c>
      <c r="K3420" s="1" t="s">
        <v>5511</v>
      </c>
      <c r="L3420" s="5">
        <f>XLOOKUP(N3420, uom!C:C, uom!B:B, "Not Found")</f>
      </c>
      <c r="M3420" s="1" t="s">
        <v>5511</v>
      </c>
      <c r="N3420" s="8" t="s">
        <v>5512</v>
      </c>
      <c r="O3420" s="1" t="s">
        <v>5513</v>
      </c>
      <c r="P3420" s="5">
        <f>XLOOKUP(R3420, classification!C:C, classification!B:B, "Not Found")</f>
      </c>
      <c r="Q3420" s="1" t="s">
        <v>5514</v>
      </c>
      <c r="R3420" s="2"/>
      <c r="S3420" s="2"/>
      <c r="T3420" s="2"/>
      <c r="U3420" s="2"/>
    </row>
    <row x14ac:dyDescent="0.25" r="3421" customHeight="1" ht="17.25">
      <c r="A3421" s="7">
        <v>3420</v>
      </c>
      <c r="B3421" s="1" t="s">
        <v>8736</v>
      </c>
      <c r="C3421" s="5">
        <f>CONCATENATE("PD", TEXT(A3421, "1000000"))</f>
      </c>
      <c r="D3421" s="7">
        <v>76</v>
      </c>
      <c r="E3421" s="5">
        <f>XLOOKUP(G3421, item_category!C:C, item_category!B:B, "Not Found")</f>
      </c>
      <c r="F3421" s="1" t="s">
        <v>5632</v>
      </c>
      <c r="G3421" s="5">
        <f>XLOOKUP(I3421, drug!B:B, drug!A:A, "Not Found")</f>
      </c>
      <c r="H3421" s="1"/>
      <c r="I3421" s="7">
        <v>1</v>
      </c>
      <c r="J3421" s="5">
        <f>XLOOKUP(L3421, uom!C:C, uom!B:B, "Not Found")</f>
      </c>
      <c r="K3421" s="1" t="s">
        <v>5511</v>
      </c>
      <c r="L3421" s="5">
        <f>XLOOKUP(N3421, uom!C:C, uom!B:B, "Not Found")</f>
      </c>
      <c r="M3421" s="1" t="s">
        <v>5511</v>
      </c>
      <c r="N3421" s="8" t="s">
        <v>5512</v>
      </c>
      <c r="O3421" s="1" t="s">
        <v>5513</v>
      </c>
      <c r="P3421" s="5">
        <f>XLOOKUP(R3421, classification!C:C, classification!B:B, "Not Found")</f>
      </c>
      <c r="Q3421" s="1" t="s">
        <v>5514</v>
      </c>
      <c r="R3421" s="2"/>
      <c r="S3421" s="2"/>
      <c r="T3421" s="2"/>
      <c r="U3421" s="2"/>
    </row>
    <row x14ac:dyDescent="0.25" r="3422" customHeight="1" ht="17.25">
      <c r="A3422" s="7">
        <v>3421</v>
      </c>
      <c r="B3422" s="1" t="s">
        <v>8737</v>
      </c>
      <c r="C3422" s="5">
        <f>CONCATENATE("PD", TEXT(A3422, "1000000"))</f>
      </c>
      <c r="D3422" s="7">
        <v>76</v>
      </c>
      <c r="E3422" s="5">
        <f>XLOOKUP(G3422, item_category!C:C, item_category!B:B, "Not Found")</f>
      </c>
      <c r="F3422" s="1" t="s">
        <v>5632</v>
      </c>
      <c r="G3422" s="5">
        <f>XLOOKUP(I3422, drug!B:B, drug!A:A, "Not Found")</f>
      </c>
      <c r="H3422" s="1"/>
      <c r="I3422" s="7">
        <v>1</v>
      </c>
      <c r="J3422" s="5">
        <f>XLOOKUP(L3422, uom!C:C, uom!B:B, "Not Found")</f>
      </c>
      <c r="K3422" s="1" t="s">
        <v>5511</v>
      </c>
      <c r="L3422" s="5">
        <f>XLOOKUP(N3422, uom!C:C, uom!B:B, "Not Found")</f>
      </c>
      <c r="M3422" s="1" t="s">
        <v>5511</v>
      </c>
      <c r="N3422" s="8" t="s">
        <v>5512</v>
      </c>
      <c r="O3422" s="1" t="s">
        <v>5513</v>
      </c>
      <c r="P3422" s="5">
        <f>XLOOKUP(R3422, classification!C:C, classification!B:B, "Not Found")</f>
      </c>
      <c r="Q3422" s="1" t="s">
        <v>5514</v>
      </c>
      <c r="R3422" s="2"/>
      <c r="S3422" s="2"/>
      <c r="T3422" s="2"/>
      <c r="U3422" s="2"/>
    </row>
    <row x14ac:dyDescent="0.25" r="3423" customHeight="1" ht="17.25">
      <c r="A3423" s="7">
        <v>3422</v>
      </c>
      <c r="B3423" s="1" t="s">
        <v>8738</v>
      </c>
      <c r="C3423" s="5">
        <f>CONCATENATE("PD", TEXT(A3423, "1000000"))</f>
      </c>
      <c r="D3423" s="7">
        <v>76</v>
      </c>
      <c r="E3423" s="5">
        <f>XLOOKUP(G3423, item_category!C:C, item_category!B:B, "Not Found")</f>
      </c>
      <c r="F3423" s="1" t="s">
        <v>5632</v>
      </c>
      <c r="G3423" s="5">
        <f>XLOOKUP(I3423, drug!B:B, drug!A:A, "Not Found")</f>
      </c>
      <c r="H3423" s="1" t="s">
        <v>1942</v>
      </c>
      <c r="I3423" s="7">
        <v>1</v>
      </c>
      <c r="J3423" s="5">
        <f>XLOOKUP(L3423, uom!C:C, uom!B:B, "Not Found")</f>
      </c>
      <c r="K3423" s="1" t="s">
        <v>5511</v>
      </c>
      <c r="L3423" s="5">
        <f>XLOOKUP(N3423, uom!C:C, uom!B:B, "Not Found")</f>
      </c>
      <c r="M3423" s="1" t="s">
        <v>5511</v>
      </c>
      <c r="N3423" s="8" t="s">
        <v>5512</v>
      </c>
      <c r="O3423" s="1" t="s">
        <v>5513</v>
      </c>
      <c r="P3423" s="5">
        <f>XLOOKUP(R3423, classification!C:C, classification!B:B, "Not Found")</f>
      </c>
      <c r="Q3423" s="1" t="s">
        <v>5514</v>
      </c>
      <c r="R3423" s="2"/>
      <c r="S3423" s="2"/>
      <c r="T3423" s="2"/>
      <c r="U3423" s="2"/>
    </row>
    <row x14ac:dyDescent="0.25" r="3424" customHeight="1" ht="17.25">
      <c r="A3424" s="7">
        <v>3423</v>
      </c>
      <c r="B3424" s="1" t="s">
        <v>8739</v>
      </c>
      <c r="C3424" s="5">
        <f>CONCATENATE("PD", TEXT(A3424, "1000000"))</f>
      </c>
      <c r="D3424" s="7">
        <v>76</v>
      </c>
      <c r="E3424" s="5">
        <f>XLOOKUP(G3424, item_category!C:C, item_category!B:B, "Not Found")</f>
      </c>
      <c r="F3424" s="1" t="s">
        <v>5632</v>
      </c>
      <c r="G3424" s="5">
        <f>XLOOKUP(I3424, drug!B:B, drug!A:A, "Not Found")</f>
      </c>
      <c r="H3424" s="1" t="s">
        <v>1942</v>
      </c>
      <c r="I3424" s="7">
        <v>1</v>
      </c>
      <c r="J3424" s="5">
        <f>XLOOKUP(L3424, uom!C:C, uom!B:B, "Not Found")</f>
      </c>
      <c r="K3424" s="1" t="s">
        <v>5511</v>
      </c>
      <c r="L3424" s="5">
        <f>XLOOKUP(N3424, uom!C:C, uom!B:B, "Not Found")</f>
      </c>
      <c r="M3424" s="1" t="s">
        <v>5511</v>
      </c>
      <c r="N3424" s="8" t="s">
        <v>5512</v>
      </c>
      <c r="O3424" s="1" t="s">
        <v>5513</v>
      </c>
      <c r="P3424" s="5">
        <f>XLOOKUP(R3424, classification!C:C, classification!B:B, "Not Found")</f>
      </c>
      <c r="Q3424" s="1" t="s">
        <v>5514</v>
      </c>
      <c r="R3424" s="2"/>
      <c r="S3424" s="2"/>
      <c r="T3424" s="2"/>
      <c r="U3424" s="2"/>
    </row>
    <row x14ac:dyDescent="0.25" r="3425" customHeight="1" ht="17.25">
      <c r="A3425" s="7">
        <v>3424</v>
      </c>
      <c r="B3425" s="1" t="s">
        <v>8740</v>
      </c>
      <c r="C3425" s="5">
        <f>CONCATENATE("PD", TEXT(A3425, "1000000"))</f>
      </c>
      <c r="D3425" s="7">
        <v>76</v>
      </c>
      <c r="E3425" s="5">
        <f>XLOOKUP(G3425, item_category!C:C, item_category!B:B, "Not Found")</f>
      </c>
      <c r="F3425" s="1" t="s">
        <v>5632</v>
      </c>
      <c r="G3425" s="5">
        <f>XLOOKUP(I3425, drug!B:B, drug!A:A, "Not Found")</f>
      </c>
      <c r="H3425" s="1"/>
      <c r="I3425" s="7">
        <v>1</v>
      </c>
      <c r="J3425" s="5">
        <f>XLOOKUP(L3425, uom!C:C, uom!B:B, "Not Found")</f>
      </c>
      <c r="K3425" s="1" t="s">
        <v>5511</v>
      </c>
      <c r="L3425" s="5">
        <f>XLOOKUP(N3425, uom!C:C, uom!B:B, "Not Found")</f>
      </c>
      <c r="M3425" s="1" t="s">
        <v>5511</v>
      </c>
      <c r="N3425" s="8" t="s">
        <v>5512</v>
      </c>
      <c r="O3425" s="1" t="s">
        <v>5513</v>
      </c>
      <c r="P3425" s="5">
        <f>XLOOKUP(R3425, classification!C:C, classification!B:B, "Not Found")</f>
      </c>
      <c r="Q3425" s="1" t="s">
        <v>5514</v>
      </c>
      <c r="R3425" s="2"/>
      <c r="S3425" s="2"/>
      <c r="T3425" s="2"/>
      <c r="U3425" s="2"/>
    </row>
    <row x14ac:dyDescent="0.25" r="3426" customHeight="1" ht="17.25">
      <c r="A3426" s="7">
        <v>3425</v>
      </c>
      <c r="B3426" s="1" t="s">
        <v>8741</v>
      </c>
      <c r="C3426" s="5">
        <f>CONCATENATE("PD", TEXT(A3426, "1000000"))</f>
      </c>
      <c r="D3426" s="7">
        <v>76</v>
      </c>
      <c r="E3426" s="5">
        <f>XLOOKUP(G3426, item_category!C:C, item_category!B:B, "Not Found")</f>
      </c>
      <c r="F3426" s="1" t="s">
        <v>5632</v>
      </c>
      <c r="G3426" s="5">
        <f>XLOOKUP(I3426, drug!B:B, drug!A:A, "Not Found")</f>
      </c>
      <c r="H3426" s="1"/>
      <c r="I3426" s="7">
        <v>1</v>
      </c>
      <c r="J3426" s="5">
        <f>XLOOKUP(L3426, uom!C:C, uom!B:B, "Not Found")</f>
      </c>
      <c r="K3426" s="1" t="s">
        <v>5511</v>
      </c>
      <c r="L3426" s="5">
        <f>XLOOKUP(N3426, uom!C:C, uom!B:B, "Not Found")</f>
      </c>
      <c r="M3426" s="1" t="s">
        <v>5511</v>
      </c>
      <c r="N3426" s="8" t="s">
        <v>5512</v>
      </c>
      <c r="O3426" s="1" t="s">
        <v>5513</v>
      </c>
      <c r="P3426" s="5">
        <f>XLOOKUP(R3426, classification!C:C, classification!B:B, "Not Found")</f>
      </c>
      <c r="Q3426" s="1" t="s">
        <v>5514</v>
      </c>
      <c r="R3426" s="2"/>
      <c r="S3426" s="2"/>
      <c r="T3426" s="2"/>
      <c r="U3426" s="2"/>
    </row>
    <row x14ac:dyDescent="0.25" r="3427" customHeight="1" ht="17.25">
      <c r="A3427" s="7">
        <v>3426</v>
      </c>
      <c r="B3427" s="1" t="s">
        <v>8742</v>
      </c>
      <c r="C3427" s="5">
        <f>CONCATENATE("PD", TEXT(A3427, "1000000"))</f>
      </c>
      <c r="D3427" s="7">
        <v>76</v>
      </c>
      <c r="E3427" s="5">
        <f>XLOOKUP(G3427, item_category!C:C, item_category!B:B, "Not Found")</f>
      </c>
      <c r="F3427" s="1" t="s">
        <v>5632</v>
      </c>
      <c r="G3427" s="5">
        <f>XLOOKUP(I3427, drug!B:B, drug!A:A, "Not Found")</f>
      </c>
      <c r="H3427" s="1" t="s">
        <v>1942</v>
      </c>
      <c r="I3427" s="7">
        <v>1</v>
      </c>
      <c r="J3427" s="5">
        <f>XLOOKUP(L3427, uom!C:C, uom!B:B, "Not Found")</f>
      </c>
      <c r="K3427" s="1" t="s">
        <v>5511</v>
      </c>
      <c r="L3427" s="5">
        <f>XLOOKUP(N3427, uom!C:C, uom!B:B, "Not Found")</f>
      </c>
      <c r="M3427" s="1" t="s">
        <v>5511</v>
      </c>
      <c r="N3427" s="8" t="s">
        <v>5512</v>
      </c>
      <c r="O3427" s="1" t="s">
        <v>5513</v>
      </c>
      <c r="P3427" s="5">
        <f>XLOOKUP(R3427, classification!C:C, classification!B:B, "Not Found")</f>
      </c>
      <c r="Q3427" s="1" t="s">
        <v>5514</v>
      </c>
      <c r="R3427" s="2"/>
      <c r="S3427" s="2"/>
      <c r="T3427" s="2"/>
      <c r="U3427" s="2"/>
    </row>
    <row x14ac:dyDescent="0.25" r="3428" customHeight="1" ht="17.25">
      <c r="A3428" s="7">
        <v>3427</v>
      </c>
      <c r="B3428" s="1" t="s">
        <v>8743</v>
      </c>
      <c r="C3428" s="5">
        <f>CONCATENATE("PD", TEXT(A3428, "1000000"))</f>
      </c>
      <c r="D3428" s="7">
        <v>76</v>
      </c>
      <c r="E3428" s="5">
        <f>XLOOKUP(G3428, item_category!C:C, item_category!B:B, "Not Found")</f>
      </c>
      <c r="F3428" s="1" t="s">
        <v>5632</v>
      </c>
      <c r="G3428" s="5">
        <f>XLOOKUP(I3428, drug!B:B, drug!A:A, "Not Found")</f>
      </c>
      <c r="H3428" s="1"/>
      <c r="I3428" s="7">
        <v>1</v>
      </c>
      <c r="J3428" s="5">
        <f>XLOOKUP(L3428, uom!C:C, uom!B:B, "Not Found")</f>
      </c>
      <c r="K3428" s="1" t="s">
        <v>5511</v>
      </c>
      <c r="L3428" s="5">
        <f>XLOOKUP(N3428, uom!C:C, uom!B:B, "Not Found")</f>
      </c>
      <c r="M3428" s="1" t="s">
        <v>5511</v>
      </c>
      <c r="N3428" s="8" t="s">
        <v>5512</v>
      </c>
      <c r="O3428" s="1" t="s">
        <v>5513</v>
      </c>
      <c r="P3428" s="5">
        <f>XLOOKUP(R3428, classification!C:C, classification!B:B, "Not Found")</f>
      </c>
      <c r="Q3428" s="1" t="s">
        <v>5514</v>
      </c>
      <c r="R3428" s="2"/>
      <c r="S3428" s="2"/>
      <c r="T3428" s="2"/>
      <c r="U3428" s="2"/>
    </row>
    <row x14ac:dyDescent="0.25" r="3429" customHeight="1" ht="17.25">
      <c r="A3429" s="7">
        <v>3428</v>
      </c>
      <c r="B3429" s="1" t="s">
        <v>8744</v>
      </c>
      <c r="C3429" s="5">
        <f>CONCATENATE("PD", TEXT(A3429, "1000000"))</f>
      </c>
      <c r="D3429" s="7">
        <v>76</v>
      </c>
      <c r="E3429" s="5">
        <f>XLOOKUP(G3429, item_category!C:C, item_category!B:B, "Not Found")</f>
      </c>
      <c r="F3429" s="1" t="s">
        <v>5632</v>
      </c>
      <c r="G3429" s="5">
        <f>XLOOKUP(I3429, drug!B:B, drug!A:A, "Not Found")</f>
      </c>
      <c r="H3429" s="1"/>
      <c r="I3429" s="7">
        <v>1</v>
      </c>
      <c r="J3429" s="5">
        <f>XLOOKUP(L3429, uom!C:C, uom!B:B, "Not Found")</f>
      </c>
      <c r="K3429" s="1" t="s">
        <v>5511</v>
      </c>
      <c r="L3429" s="5">
        <f>XLOOKUP(N3429, uom!C:C, uom!B:B, "Not Found")</f>
      </c>
      <c r="M3429" s="1" t="s">
        <v>5511</v>
      </c>
      <c r="N3429" s="8" t="s">
        <v>5512</v>
      </c>
      <c r="O3429" s="1" t="s">
        <v>5513</v>
      </c>
      <c r="P3429" s="5">
        <f>XLOOKUP(R3429, classification!C:C, classification!B:B, "Not Found")</f>
      </c>
      <c r="Q3429" s="1" t="s">
        <v>5514</v>
      </c>
      <c r="R3429" s="2"/>
      <c r="S3429" s="2"/>
      <c r="T3429" s="2"/>
      <c r="U3429" s="2"/>
    </row>
    <row x14ac:dyDescent="0.25" r="3430" customHeight="1" ht="17.25">
      <c r="A3430" s="7">
        <v>3429</v>
      </c>
      <c r="B3430" s="1" t="s">
        <v>8745</v>
      </c>
      <c r="C3430" s="5">
        <f>CONCATENATE("PD", TEXT(A3430, "1000000"))</f>
      </c>
      <c r="D3430" s="7">
        <v>76</v>
      </c>
      <c r="E3430" s="5">
        <f>XLOOKUP(G3430, item_category!C:C, item_category!B:B, "Not Found")</f>
      </c>
      <c r="F3430" s="1" t="s">
        <v>5632</v>
      </c>
      <c r="G3430" s="5">
        <f>XLOOKUP(I3430, drug!B:B, drug!A:A, "Not Found")</f>
      </c>
      <c r="H3430" s="1"/>
      <c r="I3430" s="7">
        <v>1</v>
      </c>
      <c r="J3430" s="5">
        <f>XLOOKUP(L3430, uom!C:C, uom!B:B, "Not Found")</f>
      </c>
      <c r="K3430" s="1" t="s">
        <v>5511</v>
      </c>
      <c r="L3430" s="5">
        <f>XLOOKUP(N3430, uom!C:C, uom!B:B, "Not Found")</f>
      </c>
      <c r="M3430" s="1" t="s">
        <v>5511</v>
      </c>
      <c r="N3430" s="8" t="s">
        <v>5512</v>
      </c>
      <c r="O3430" s="1" t="s">
        <v>5513</v>
      </c>
      <c r="P3430" s="5">
        <f>XLOOKUP(R3430, classification!C:C, classification!B:B, "Not Found")</f>
      </c>
      <c r="Q3430" s="1" t="s">
        <v>5514</v>
      </c>
      <c r="R3430" s="2"/>
      <c r="S3430" s="2"/>
      <c r="T3430" s="2"/>
      <c r="U3430" s="2"/>
    </row>
    <row x14ac:dyDescent="0.25" r="3431" customHeight="1" ht="17.25">
      <c r="A3431" s="7">
        <v>3430</v>
      </c>
      <c r="B3431" s="1" t="s">
        <v>8746</v>
      </c>
      <c r="C3431" s="5">
        <f>CONCATENATE("PD", TEXT(A3431, "1000000"))</f>
      </c>
      <c r="D3431" s="7">
        <v>76</v>
      </c>
      <c r="E3431" s="5">
        <f>XLOOKUP(G3431, item_category!C:C, item_category!B:B, "Not Found")</f>
      </c>
      <c r="F3431" s="1" t="s">
        <v>5632</v>
      </c>
      <c r="G3431" s="5">
        <f>XLOOKUP(I3431, drug!B:B, drug!A:A, "Not Found")</f>
      </c>
      <c r="H3431" s="1"/>
      <c r="I3431" s="7">
        <v>1</v>
      </c>
      <c r="J3431" s="5">
        <f>XLOOKUP(L3431, uom!C:C, uom!B:B, "Not Found")</f>
      </c>
      <c r="K3431" s="1" t="s">
        <v>5511</v>
      </c>
      <c r="L3431" s="5">
        <f>XLOOKUP(N3431, uom!C:C, uom!B:B, "Not Found")</f>
      </c>
      <c r="M3431" s="1" t="s">
        <v>5511</v>
      </c>
      <c r="N3431" s="8" t="s">
        <v>5512</v>
      </c>
      <c r="O3431" s="1" t="s">
        <v>5513</v>
      </c>
      <c r="P3431" s="5">
        <f>XLOOKUP(R3431, classification!C:C, classification!B:B, "Not Found")</f>
      </c>
      <c r="Q3431" s="1" t="s">
        <v>5514</v>
      </c>
      <c r="R3431" s="2"/>
      <c r="S3431" s="2"/>
      <c r="T3431" s="2"/>
      <c r="U3431" s="2"/>
    </row>
    <row x14ac:dyDescent="0.25" r="3432" customHeight="1" ht="17.25">
      <c r="A3432" s="7">
        <v>3431</v>
      </c>
      <c r="B3432" s="1" t="s">
        <v>8747</v>
      </c>
      <c r="C3432" s="5">
        <f>CONCATENATE("PD", TEXT(A3432, "1000000"))</f>
      </c>
      <c r="D3432" s="7">
        <v>76</v>
      </c>
      <c r="E3432" s="5">
        <f>XLOOKUP(G3432, item_category!C:C, item_category!B:B, "Not Found")</f>
      </c>
      <c r="F3432" s="1" t="s">
        <v>5632</v>
      </c>
      <c r="G3432" s="5">
        <f>XLOOKUP(I3432, drug!B:B, drug!A:A, "Not Found")</f>
      </c>
      <c r="H3432" s="1"/>
      <c r="I3432" s="7">
        <v>1</v>
      </c>
      <c r="J3432" s="5">
        <f>XLOOKUP(L3432, uom!C:C, uom!B:B, "Not Found")</f>
      </c>
      <c r="K3432" s="1" t="s">
        <v>5511</v>
      </c>
      <c r="L3432" s="5">
        <f>XLOOKUP(N3432, uom!C:C, uom!B:B, "Not Found")</f>
      </c>
      <c r="M3432" s="1" t="s">
        <v>5511</v>
      </c>
      <c r="N3432" s="8" t="s">
        <v>5512</v>
      </c>
      <c r="O3432" s="1" t="s">
        <v>5513</v>
      </c>
      <c r="P3432" s="5">
        <f>XLOOKUP(R3432, classification!C:C, classification!B:B, "Not Found")</f>
      </c>
      <c r="Q3432" s="1" t="s">
        <v>5514</v>
      </c>
      <c r="R3432" s="2"/>
      <c r="S3432" s="2"/>
      <c r="T3432" s="2"/>
      <c r="U3432" s="2"/>
    </row>
    <row x14ac:dyDescent="0.25" r="3433" customHeight="1" ht="17.25">
      <c r="A3433" s="7">
        <v>3432</v>
      </c>
      <c r="B3433" s="1" t="s">
        <v>8748</v>
      </c>
      <c r="C3433" s="5">
        <f>CONCATENATE("PD", TEXT(A3433, "1000000"))</f>
      </c>
      <c r="D3433" s="7">
        <v>76</v>
      </c>
      <c r="E3433" s="5">
        <f>XLOOKUP(G3433, item_category!C:C, item_category!B:B, "Not Found")</f>
      </c>
      <c r="F3433" s="1" t="s">
        <v>5632</v>
      </c>
      <c r="G3433" s="5">
        <f>XLOOKUP(I3433, drug!B:B, drug!A:A, "Not Found")</f>
      </c>
      <c r="H3433" s="1"/>
      <c r="I3433" s="7">
        <v>1</v>
      </c>
      <c r="J3433" s="5">
        <f>XLOOKUP(L3433, uom!C:C, uom!B:B, "Not Found")</f>
      </c>
      <c r="K3433" s="1" t="s">
        <v>5511</v>
      </c>
      <c r="L3433" s="5">
        <f>XLOOKUP(N3433, uom!C:C, uom!B:B, "Not Found")</f>
      </c>
      <c r="M3433" s="1" t="s">
        <v>5511</v>
      </c>
      <c r="N3433" s="8" t="s">
        <v>5512</v>
      </c>
      <c r="O3433" s="1" t="s">
        <v>5513</v>
      </c>
      <c r="P3433" s="5">
        <f>XLOOKUP(R3433, classification!C:C, classification!B:B, "Not Found")</f>
      </c>
      <c r="Q3433" s="1" t="s">
        <v>5514</v>
      </c>
      <c r="R3433" s="2"/>
      <c r="S3433" s="2"/>
      <c r="T3433" s="2"/>
      <c r="U3433" s="2"/>
    </row>
    <row x14ac:dyDescent="0.25" r="3434" customHeight="1" ht="17.25">
      <c r="A3434" s="7">
        <v>3433</v>
      </c>
      <c r="B3434" s="1" t="s">
        <v>8749</v>
      </c>
      <c r="C3434" s="5">
        <f>CONCATENATE("PD", TEXT(A3434, "1000000"))</f>
      </c>
      <c r="D3434" s="7">
        <v>76</v>
      </c>
      <c r="E3434" s="5">
        <f>XLOOKUP(G3434, item_category!C:C, item_category!B:B, "Not Found")</f>
      </c>
      <c r="F3434" s="1" t="s">
        <v>5632</v>
      </c>
      <c r="G3434" s="5">
        <f>XLOOKUP(I3434, drug!B:B, drug!A:A, "Not Found")</f>
      </c>
      <c r="H3434" s="1"/>
      <c r="I3434" s="7">
        <v>1</v>
      </c>
      <c r="J3434" s="5">
        <f>XLOOKUP(L3434, uom!C:C, uom!B:B, "Not Found")</f>
      </c>
      <c r="K3434" s="1" t="s">
        <v>5511</v>
      </c>
      <c r="L3434" s="5">
        <f>XLOOKUP(N3434, uom!C:C, uom!B:B, "Not Found")</f>
      </c>
      <c r="M3434" s="1" t="s">
        <v>5511</v>
      </c>
      <c r="N3434" s="8" t="s">
        <v>5512</v>
      </c>
      <c r="O3434" s="1" t="s">
        <v>5513</v>
      </c>
      <c r="P3434" s="5">
        <f>XLOOKUP(R3434, classification!C:C, classification!B:B, "Not Found")</f>
      </c>
      <c r="Q3434" s="1" t="s">
        <v>5514</v>
      </c>
      <c r="R3434" s="2"/>
      <c r="S3434" s="2"/>
      <c r="T3434" s="2"/>
      <c r="U3434" s="2"/>
    </row>
    <row x14ac:dyDescent="0.25" r="3435" customHeight="1" ht="17.25">
      <c r="A3435" s="7">
        <v>3434</v>
      </c>
      <c r="B3435" s="1" t="s">
        <v>8750</v>
      </c>
      <c r="C3435" s="5">
        <f>CONCATENATE("PD", TEXT(A3435, "1000000"))</f>
      </c>
      <c r="D3435" s="7">
        <v>76</v>
      </c>
      <c r="E3435" s="5">
        <f>XLOOKUP(G3435, item_category!C:C, item_category!B:B, "Not Found")</f>
      </c>
      <c r="F3435" s="1" t="s">
        <v>5632</v>
      </c>
      <c r="G3435" s="5">
        <f>XLOOKUP(I3435, drug!B:B, drug!A:A, "Not Found")</f>
      </c>
      <c r="H3435" s="1"/>
      <c r="I3435" s="7">
        <v>50</v>
      </c>
      <c r="J3435" s="5">
        <f>XLOOKUP(L3435, uom!C:C, uom!B:B, "Not Found")</f>
      </c>
      <c r="K3435" s="1" t="s">
        <v>6689</v>
      </c>
      <c r="L3435" s="5">
        <f>XLOOKUP(N3435, uom!C:C, uom!B:B, "Not Found")</f>
      </c>
      <c r="M3435" s="1" t="s">
        <v>6689</v>
      </c>
      <c r="N3435" s="8" t="s">
        <v>5524</v>
      </c>
      <c r="O3435" s="1" t="s">
        <v>5525</v>
      </c>
      <c r="P3435" s="5">
        <f>XLOOKUP(R3435, classification!C:C, classification!B:B, "Not Found")</f>
      </c>
      <c r="Q3435" s="1" t="s">
        <v>5514</v>
      </c>
      <c r="R3435" s="2"/>
      <c r="S3435" s="2"/>
      <c r="T3435" s="2"/>
      <c r="U3435" s="2"/>
    </row>
    <row x14ac:dyDescent="0.25" r="3436" customHeight="1" ht="17.25">
      <c r="A3436" s="7">
        <v>3435</v>
      </c>
      <c r="B3436" s="1" t="s">
        <v>8751</v>
      </c>
      <c r="C3436" s="5">
        <f>CONCATENATE("PD", TEXT(A3436, "1000000"))</f>
      </c>
      <c r="D3436" s="7">
        <v>76</v>
      </c>
      <c r="E3436" s="5">
        <f>XLOOKUP(G3436, item_category!C:C, item_category!B:B, "Not Found")</f>
      </c>
      <c r="F3436" s="1" t="s">
        <v>5632</v>
      </c>
      <c r="G3436" s="5">
        <f>XLOOKUP(I3436, drug!B:B, drug!A:A, "Not Found")</f>
      </c>
      <c r="H3436" s="1"/>
      <c r="I3436" s="7">
        <v>1</v>
      </c>
      <c r="J3436" s="5">
        <f>XLOOKUP(L3436, uom!C:C, uom!B:B, "Not Found")</f>
      </c>
      <c r="K3436" s="1" t="s">
        <v>5511</v>
      </c>
      <c r="L3436" s="5">
        <f>XLOOKUP(N3436, uom!C:C, uom!B:B, "Not Found")</f>
      </c>
      <c r="M3436" s="1" t="s">
        <v>5511</v>
      </c>
      <c r="N3436" s="8" t="s">
        <v>5512</v>
      </c>
      <c r="O3436" s="1" t="s">
        <v>5513</v>
      </c>
      <c r="P3436" s="5">
        <f>XLOOKUP(R3436, classification!C:C, classification!B:B, "Not Found")</f>
      </c>
      <c r="Q3436" s="1" t="s">
        <v>5514</v>
      </c>
      <c r="R3436" s="2"/>
      <c r="S3436" s="2"/>
      <c r="T3436" s="2"/>
      <c r="U3436" s="2"/>
    </row>
    <row x14ac:dyDescent="0.25" r="3437" customHeight="1" ht="17.25">
      <c r="A3437" s="7">
        <v>3436</v>
      </c>
      <c r="B3437" s="1" t="s">
        <v>7651</v>
      </c>
      <c r="C3437" s="5">
        <f>CONCATENATE("PD", TEXT(A3437, "1000000"))</f>
      </c>
      <c r="D3437" s="7">
        <v>76</v>
      </c>
      <c r="E3437" s="5">
        <f>XLOOKUP(G3437, item_category!C:C, item_category!B:B, "Not Found")</f>
      </c>
      <c r="F3437" s="1" t="s">
        <v>5632</v>
      </c>
      <c r="G3437" s="5">
        <f>XLOOKUP(I3437, drug!B:B, drug!A:A, "Not Found")</f>
      </c>
      <c r="H3437" s="1"/>
      <c r="I3437" s="7">
        <v>1</v>
      </c>
      <c r="J3437" s="5">
        <f>XLOOKUP(L3437, uom!C:C, uom!B:B, "Not Found")</f>
      </c>
      <c r="K3437" s="1" t="s">
        <v>5511</v>
      </c>
      <c r="L3437" s="5">
        <f>XLOOKUP(N3437, uom!C:C, uom!B:B, "Not Found")</f>
      </c>
      <c r="M3437" s="1" t="s">
        <v>5511</v>
      </c>
      <c r="N3437" s="8" t="s">
        <v>5512</v>
      </c>
      <c r="O3437" s="1" t="s">
        <v>5513</v>
      </c>
      <c r="P3437" s="5">
        <f>XLOOKUP(R3437, classification!C:C, classification!B:B, "Not Found")</f>
      </c>
      <c r="Q3437" s="1" t="s">
        <v>5514</v>
      </c>
      <c r="R3437" s="2"/>
      <c r="S3437" s="2"/>
      <c r="T3437" s="2"/>
      <c r="U3437" s="2"/>
    </row>
    <row x14ac:dyDescent="0.25" r="3438" customHeight="1" ht="17.25">
      <c r="A3438" s="7">
        <v>3437</v>
      </c>
      <c r="B3438" s="1" t="s">
        <v>8752</v>
      </c>
      <c r="C3438" s="5">
        <f>CONCATENATE("PD", TEXT(A3438, "1000000"))</f>
      </c>
      <c r="D3438" s="7">
        <v>76</v>
      </c>
      <c r="E3438" s="5">
        <f>XLOOKUP(G3438, item_category!C:C, item_category!B:B, "Not Found")</f>
      </c>
      <c r="F3438" s="1" t="s">
        <v>5632</v>
      </c>
      <c r="G3438" s="5">
        <f>XLOOKUP(I3438, drug!B:B, drug!A:A, "Not Found")</f>
      </c>
      <c r="H3438" s="1" t="s">
        <v>1942</v>
      </c>
      <c r="I3438" s="7">
        <v>1</v>
      </c>
      <c r="J3438" s="5">
        <f>XLOOKUP(L3438, uom!C:C, uom!B:B, "Not Found")</f>
      </c>
      <c r="K3438" s="1" t="s">
        <v>5511</v>
      </c>
      <c r="L3438" s="5">
        <f>XLOOKUP(N3438, uom!C:C, uom!B:B, "Not Found")</f>
      </c>
      <c r="M3438" s="1" t="s">
        <v>5511</v>
      </c>
      <c r="N3438" s="8" t="s">
        <v>5512</v>
      </c>
      <c r="O3438" s="1" t="s">
        <v>5513</v>
      </c>
      <c r="P3438" s="5">
        <f>XLOOKUP(R3438, classification!C:C, classification!B:B, "Not Found")</f>
      </c>
      <c r="Q3438" s="1" t="s">
        <v>5514</v>
      </c>
      <c r="R3438" s="2"/>
      <c r="S3438" s="2"/>
      <c r="T3438" s="2"/>
      <c r="U3438" s="2"/>
    </row>
    <row x14ac:dyDescent="0.25" r="3439" customHeight="1" ht="17.25">
      <c r="A3439" s="7">
        <v>3438</v>
      </c>
      <c r="B3439" s="1" t="s">
        <v>8753</v>
      </c>
      <c r="C3439" s="5">
        <f>CONCATENATE("PD", TEXT(A3439, "1000000"))</f>
      </c>
      <c r="D3439" s="7">
        <v>76</v>
      </c>
      <c r="E3439" s="5">
        <f>XLOOKUP(G3439, item_category!C:C, item_category!B:B, "Not Found")</f>
      </c>
      <c r="F3439" s="1" t="s">
        <v>5632</v>
      </c>
      <c r="G3439" s="5">
        <f>XLOOKUP(I3439, drug!B:B, drug!A:A, "Not Found")</f>
      </c>
      <c r="H3439" s="1"/>
      <c r="I3439" s="7">
        <v>1</v>
      </c>
      <c r="J3439" s="5">
        <f>XLOOKUP(L3439, uom!C:C, uom!B:B, "Not Found")</f>
      </c>
      <c r="K3439" s="1" t="s">
        <v>5511</v>
      </c>
      <c r="L3439" s="5">
        <f>XLOOKUP(N3439, uom!C:C, uom!B:B, "Not Found")</f>
      </c>
      <c r="M3439" s="1" t="s">
        <v>5511</v>
      </c>
      <c r="N3439" s="8" t="s">
        <v>5512</v>
      </c>
      <c r="O3439" s="1" t="s">
        <v>5513</v>
      </c>
      <c r="P3439" s="5">
        <f>XLOOKUP(R3439, classification!C:C, classification!B:B, "Not Found")</f>
      </c>
      <c r="Q3439" s="1" t="s">
        <v>5514</v>
      </c>
      <c r="R3439" s="2"/>
      <c r="S3439" s="2"/>
      <c r="T3439" s="2"/>
      <c r="U3439" s="2"/>
    </row>
    <row x14ac:dyDescent="0.25" r="3440" customHeight="1" ht="17.25">
      <c r="A3440" s="7">
        <v>3439</v>
      </c>
      <c r="B3440" s="1" t="s">
        <v>8754</v>
      </c>
      <c r="C3440" s="5">
        <f>CONCATENATE("PD", TEXT(A3440, "1000000"))</f>
      </c>
      <c r="D3440" s="7">
        <v>76</v>
      </c>
      <c r="E3440" s="5">
        <f>XLOOKUP(G3440, item_category!C:C, item_category!B:B, "Not Found")</f>
      </c>
      <c r="F3440" s="1" t="s">
        <v>5632</v>
      </c>
      <c r="G3440" s="5">
        <f>XLOOKUP(I3440, drug!B:B, drug!A:A, "Not Found")</f>
      </c>
      <c r="H3440" s="1"/>
      <c r="I3440" s="7">
        <v>1</v>
      </c>
      <c r="J3440" s="5">
        <f>XLOOKUP(L3440, uom!C:C, uom!B:B, "Not Found")</f>
      </c>
      <c r="K3440" s="1" t="s">
        <v>5511</v>
      </c>
      <c r="L3440" s="5">
        <f>XLOOKUP(N3440, uom!C:C, uom!B:B, "Not Found")</f>
      </c>
      <c r="M3440" s="1" t="s">
        <v>5511</v>
      </c>
      <c r="N3440" s="8" t="s">
        <v>5512</v>
      </c>
      <c r="O3440" s="1" t="s">
        <v>5513</v>
      </c>
      <c r="P3440" s="5">
        <f>XLOOKUP(R3440, classification!C:C, classification!B:B, "Not Found")</f>
      </c>
      <c r="Q3440" s="1" t="s">
        <v>5514</v>
      </c>
      <c r="R3440" s="2"/>
      <c r="S3440" s="2"/>
      <c r="T3440" s="2"/>
      <c r="U3440" s="2"/>
    </row>
    <row x14ac:dyDescent="0.25" r="3441" customHeight="1" ht="17.25">
      <c r="A3441" s="7">
        <v>3440</v>
      </c>
      <c r="B3441" s="1" t="s">
        <v>8755</v>
      </c>
      <c r="C3441" s="5">
        <f>CONCATENATE("PD", TEXT(A3441, "1000000"))</f>
      </c>
      <c r="D3441" s="7">
        <v>76</v>
      </c>
      <c r="E3441" s="5">
        <f>XLOOKUP(G3441, item_category!C:C, item_category!B:B, "Not Found")</f>
      </c>
      <c r="F3441" s="1" t="s">
        <v>5632</v>
      </c>
      <c r="G3441" s="5">
        <f>XLOOKUP(I3441, drug!B:B, drug!A:A, "Not Found")</f>
      </c>
      <c r="H3441" s="1"/>
      <c r="I3441" s="7">
        <v>1</v>
      </c>
      <c r="J3441" s="5">
        <f>XLOOKUP(L3441, uom!C:C, uom!B:B, "Not Found")</f>
      </c>
      <c r="K3441" s="1" t="s">
        <v>5511</v>
      </c>
      <c r="L3441" s="5">
        <f>XLOOKUP(N3441, uom!C:C, uom!B:B, "Not Found")</f>
      </c>
      <c r="M3441" s="1" t="s">
        <v>5511</v>
      </c>
      <c r="N3441" s="8" t="s">
        <v>5512</v>
      </c>
      <c r="O3441" s="1" t="s">
        <v>5513</v>
      </c>
      <c r="P3441" s="5">
        <f>XLOOKUP(R3441, classification!C:C, classification!B:B, "Not Found")</f>
      </c>
      <c r="Q3441" s="1" t="s">
        <v>5514</v>
      </c>
      <c r="R3441" s="2"/>
      <c r="S3441" s="2"/>
      <c r="T3441" s="2"/>
      <c r="U3441" s="2"/>
    </row>
    <row x14ac:dyDescent="0.25" r="3442" customHeight="1" ht="17.25">
      <c r="A3442" s="7">
        <v>3441</v>
      </c>
      <c r="B3442" s="1" t="s">
        <v>8756</v>
      </c>
      <c r="C3442" s="5">
        <f>CONCATENATE("PD", TEXT(A3442, "1000000"))</f>
      </c>
      <c r="D3442" s="7">
        <v>76</v>
      </c>
      <c r="E3442" s="5">
        <f>XLOOKUP(G3442, item_category!C:C, item_category!B:B, "Not Found")</f>
      </c>
      <c r="F3442" s="1" t="s">
        <v>5632</v>
      </c>
      <c r="G3442" s="5">
        <f>XLOOKUP(I3442, drug!B:B, drug!A:A, "Not Found")</f>
      </c>
      <c r="H3442" s="1"/>
      <c r="I3442" s="7">
        <v>1</v>
      </c>
      <c r="J3442" s="5">
        <f>XLOOKUP(L3442, uom!C:C, uom!B:B, "Not Found")</f>
      </c>
      <c r="K3442" s="1" t="s">
        <v>5511</v>
      </c>
      <c r="L3442" s="5">
        <f>XLOOKUP(N3442, uom!C:C, uom!B:B, "Not Found")</f>
      </c>
      <c r="M3442" s="1" t="s">
        <v>5511</v>
      </c>
      <c r="N3442" s="8" t="s">
        <v>5512</v>
      </c>
      <c r="O3442" s="1" t="s">
        <v>5513</v>
      </c>
      <c r="P3442" s="5">
        <f>XLOOKUP(R3442, classification!C:C, classification!B:B, "Not Found")</f>
      </c>
      <c r="Q3442" s="1" t="s">
        <v>5514</v>
      </c>
      <c r="R3442" s="2"/>
      <c r="S3442" s="2"/>
      <c r="T3442" s="2"/>
      <c r="U3442" s="2"/>
    </row>
    <row x14ac:dyDescent="0.25" r="3443" customHeight="1" ht="17.25">
      <c r="A3443" s="7">
        <v>3442</v>
      </c>
      <c r="B3443" s="1" t="s">
        <v>8757</v>
      </c>
      <c r="C3443" s="5">
        <f>CONCATENATE("PD", TEXT(A3443, "1000000"))</f>
      </c>
      <c r="D3443" s="7">
        <v>76</v>
      </c>
      <c r="E3443" s="5">
        <f>XLOOKUP(G3443, item_category!C:C, item_category!B:B, "Not Found")</f>
      </c>
      <c r="F3443" s="1" t="s">
        <v>5632</v>
      </c>
      <c r="G3443" s="5">
        <f>XLOOKUP(I3443, drug!B:B, drug!A:A, "Not Found")</f>
      </c>
      <c r="H3443" s="1"/>
      <c r="I3443" s="7">
        <v>1</v>
      </c>
      <c r="J3443" s="5">
        <f>XLOOKUP(L3443, uom!C:C, uom!B:B, "Not Found")</f>
      </c>
      <c r="K3443" s="1" t="s">
        <v>5511</v>
      </c>
      <c r="L3443" s="5">
        <f>XLOOKUP(N3443, uom!C:C, uom!B:B, "Not Found")</f>
      </c>
      <c r="M3443" s="1" t="s">
        <v>5511</v>
      </c>
      <c r="N3443" s="8" t="s">
        <v>5512</v>
      </c>
      <c r="O3443" s="1" t="s">
        <v>5513</v>
      </c>
      <c r="P3443" s="5">
        <f>XLOOKUP(R3443, classification!C:C, classification!B:B, "Not Found")</f>
      </c>
      <c r="Q3443" s="1" t="s">
        <v>5514</v>
      </c>
      <c r="R3443" s="2"/>
      <c r="S3443" s="2"/>
      <c r="T3443" s="2"/>
      <c r="U3443" s="2"/>
    </row>
    <row x14ac:dyDescent="0.25" r="3444" customHeight="1" ht="17.25">
      <c r="A3444" s="7">
        <v>3443</v>
      </c>
      <c r="B3444" s="1" t="s">
        <v>8758</v>
      </c>
      <c r="C3444" s="5">
        <f>CONCATENATE("PD", TEXT(A3444, "1000000"))</f>
      </c>
      <c r="D3444" s="7">
        <v>76</v>
      </c>
      <c r="E3444" s="5">
        <f>XLOOKUP(G3444, item_category!C:C, item_category!B:B, "Not Found")</f>
      </c>
      <c r="F3444" s="1" t="s">
        <v>5632</v>
      </c>
      <c r="G3444" s="5">
        <f>XLOOKUP(I3444, drug!B:B, drug!A:A, "Not Found")</f>
      </c>
      <c r="H3444" s="1"/>
      <c r="I3444" s="7">
        <v>1</v>
      </c>
      <c r="J3444" s="5">
        <f>XLOOKUP(L3444, uom!C:C, uom!B:B, "Not Found")</f>
      </c>
      <c r="K3444" s="1" t="s">
        <v>5511</v>
      </c>
      <c r="L3444" s="5">
        <f>XLOOKUP(N3444, uom!C:C, uom!B:B, "Not Found")</f>
      </c>
      <c r="M3444" s="1" t="s">
        <v>5511</v>
      </c>
      <c r="N3444" s="8" t="s">
        <v>5512</v>
      </c>
      <c r="O3444" s="1" t="s">
        <v>5513</v>
      </c>
      <c r="P3444" s="5">
        <f>XLOOKUP(R3444, classification!C:C, classification!B:B, "Not Found")</f>
      </c>
      <c r="Q3444" s="1" t="s">
        <v>5514</v>
      </c>
      <c r="R3444" s="2"/>
      <c r="S3444" s="2"/>
      <c r="T3444" s="2"/>
      <c r="U3444" s="2"/>
    </row>
    <row x14ac:dyDescent="0.25" r="3445" customHeight="1" ht="17.25">
      <c r="A3445" s="7">
        <v>3444</v>
      </c>
      <c r="B3445" s="1" t="s">
        <v>8759</v>
      </c>
      <c r="C3445" s="5">
        <f>CONCATENATE("PD", TEXT(A3445, "1000000"))</f>
      </c>
      <c r="D3445" s="7">
        <v>76</v>
      </c>
      <c r="E3445" s="5">
        <f>XLOOKUP(G3445, item_category!C:C, item_category!B:B, "Not Found")</f>
      </c>
      <c r="F3445" s="1" t="s">
        <v>5632</v>
      </c>
      <c r="G3445" s="5">
        <f>XLOOKUP(I3445, drug!B:B, drug!A:A, "Not Found")</f>
      </c>
      <c r="H3445" s="1"/>
      <c r="I3445" s="7">
        <v>1</v>
      </c>
      <c r="J3445" s="5">
        <f>XLOOKUP(L3445, uom!C:C, uom!B:B, "Not Found")</f>
      </c>
      <c r="K3445" s="1" t="s">
        <v>5511</v>
      </c>
      <c r="L3445" s="5">
        <f>XLOOKUP(N3445, uom!C:C, uom!B:B, "Not Found")</f>
      </c>
      <c r="M3445" s="1" t="s">
        <v>5511</v>
      </c>
      <c r="N3445" s="8" t="s">
        <v>5512</v>
      </c>
      <c r="O3445" s="1" t="s">
        <v>5513</v>
      </c>
      <c r="P3445" s="5">
        <f>XLOOKUP(R3445, classification!C:C, classification!B:B, "Not Found")</f>
      </c>
      <c r="Q3445" s="1" t="s">
        <v>5514</v>
      </c>
      <c r="R3445" s="2"/>
      <c r="S3445" s="2"/>
      <c r="T3445" s="2"/>
      <c r="U3445" s="2"/>
    </row>
    <row x14ac:dyDescent="0.25" r="3446" customHeight="1" ht="17.25">
      <c r="A3446" s="7">
        <v>3445</v>
      </c>
      <c r="B3446" s="1" t="s">
        <v>8760</v>
      </c>
      <c r="C3446" s="5">
        <f>CONCATENATE("PD", TEXT(A3446, "1000000"))</f>
      </c>
      <c r="D3446" s="7">
        <v>76</v>
      </c>
      <c r="E3446" s="5">
        <f>XLOOKUP(G3446, item_category!C:C, item_category!B:B, "Not Found")</f>
      </c>
      <c r="F3446" s="1" t="s">
        <v>5632</v>
      </c>
      <c r="G3446" s="5">
        <f>XLOOKUP(I3446, drug!B:B, drug!A:A, "Not Found")</f>
      </c>
      <c r="H3446" s="1"/>
      <c r="I3446" s="7">
        <v>1</v>
      </c>
      <c r="J3446" s="5">
        <f>XLOOKUP(L3446, uom!C:C, uom!B:B, "Not Found")</f>
      </c>
      <c r="K3446" s="1" t="s">
        <v>5511</v>
      </c>
      <c r="L3446" s="5">
        <f>XLOOKUP(N3446, uom!C:C, uom!B:B, "Not Found")</f>
      </c>
      <c r="M3446" s="1" t="s">
        <v>5511</v>
      </c>
      <c r="N3446" s="8" t="s">
        <v>5512</v>
      </c>
      <c r="O3446" s="1" t="s">
        <v>5513</v>
      </c>
      <c r="P3446" s="5">
        <f>XLOOKUP(R3446, classification!C:C, classification!B:B, "Not Found")</f>
      </c>
      <c r="Q3446" s="1" t="s">
        <v>5514</v>
      </c>
      <c r="R3446" s="2"/>
      <c r="S3446" s="2"/>
      <c r="T3446" s="2"/>
      <c r="U3446" s="2"/>
    </row>
    <row x14ac:dyDescent="0.25" r="3447" customHeight="1" ht="17.25">
      <c r="A3447" s="7">
        <v>3446</v>
      </c>
      <c r="B3447" s="1" t="s">
        <v>8761</v>
      </c>
      <c r="C3447" s="5">
        <f>CONCATENATE("PD", TEXT(A3447, "1000000"))</f>
      </c>
      <c r="D3447" s="7">
        <v>76</v>
      </c>
      <c r="E3447" s="5">
        <f>XLOOKUP(G3447, item_category!C:C, item_category!B:B, "Not Found")</f>
      </c>
      <c r="F3447" s="1" t="s">
        <v>5632</v>
      </c>
      <c r="G3447" s="5">
        <f>XLOOKUP(I3447, drug!B:B, drug!A:A, "Not Found")</f>
      </c>
      <c r="H3447" s="1"/>
      <c r="I3447" s="7">
        <v>1</v>
      </c>
      <c r="J3447" s="5">
        <f>XLOOKUP(L3447, uom!C:C, uom!B:B, "Not Found")</f>
      </c>
      <c r="K3447" s="1" t="s">
        <v>5511</v>
      </c>
      <c r="L3447" s="5">
        <f>XLOOKUP(N3447, uom!C:C, uom!B:B, "Not Found")</f>
      </c>
      <c r="M3447" s="1" t="s">
        <v>5511</v>
      </c>
      <c r="N3447" s="8" t="s">
        <v>5512</v>
      </c>
      <c r="O3447" s="1" t="s">
        <v>5513</v>
      </c>
      <c r="P3447" s="5">
        <f>XLOOKUP(R3447, classification!C:C, classification!B:B, "Not Found")</f>
      </c>
      <c r="Q3447" s="1" t="s">
        <v>5514</v>
      </c>
      <c r="R3447" s="2"/>
      <c r="S3447" s="2"/>
      <c r="T3447" s="2"/>
      <c r="U3447" s="2"/>
    </row>
    <row x14ac:dyDescent="0.25" r="3448" customHeight="1" ht="17.25">
      <c r="A3448" s="7">
        <v>3447</v>
      </c>
      <c r="B3448" s="1" t="s">
        <v>8762</v>
      </c>
      <c r="C3448" s="5">
        <f>CONCATENATE("PD", TEXT(A3448, "1000000"))</f>
      </c>
      <c r="D3448" s="7">
        <v>76</v>
      </c>
      <c r="E3448" s="5">
        <f>XLOOKUP(G3448, item_category!C:C, item_category!B:B, "Not Found")</f>
      </c>
      <c r="F3448" s="1" t="s">
        <v>5632</v>
      </c>
      <c r="G3448" s="5">
        <f>XLOOKUP(I3448, drug!B:B, drug!A:A, "Not Found")</f>
      </c>
      <c r="H3448" s="1"/>
      <c r="I3448" s="7">
        <v>1</v>
      </c>
      <c r="J3448" s="5">
        <f>XLOOKUP(L3448, uom!C:C, uom!B:B, "Not Found")</f>
      </c>
      <c r="K3448" s="1" t="s">
        <v>5511</v>
      </c>
      <c r="L3448" s="5">
        <f>XLOOKUP(N3448, uom!C:C, uom!B:B, "Not Found")</f>
      </c>
      <c r="M3448" s="1" t="s">
        <v>5511</v>
      </c>
      <c r="N3448" s="8" t="s">
        <v>5512</v>
      </c>
      <c r="O3448" s="1" t="s">
        <v>5513</v>
      </c>
      <c r="P3448" s="5">
        <f>XLOOKUP(R3448, classification!C:C, classification!B:B, "Not Found")</f>
      </c>
      <c r="Q3448" s="1" t="s">
        <v>5514</v>
      </c>
      <c r="R3448" s="2"/>
      <c r="S3448" s="2"/>
      <c r="T3448" s="2"/>
      <c r="U3448" s="2"/>
    </row>
    <row x14ac:dyDescent="0.25" r="3449" customHeight="1" ht="17.25">
      <c r="A3449" s="7">
        <v>3448</v>
      </c>
      <c r="B3449" s="1" t="s">
        <v>8763</v>
      </c>
      <c r="C3449" s="5">
        <f>CONCATENATE("PD", TEXT(A3449, "1000000"))</f>
      </c>
      <c r="D3449" s="7">
        <v>76</v>
      </c>
      <c r="E3449" s="5">
        <f>XLOOKUP(G3449, item_category!C:C, item_category!B:B, "Not Found")</f>
      </c>
      <c r="F3449" s="1" t="s">
        <v>5632</v>
      </c>
      <c r="G3449" s="5">
        <f>XLOOKUP(I3449, drug!B:B, drug!A:A, "Not Found")</f>
      </c>
      <c r="H3449" s="1"/>
      <c r="I3449" s="7">
        <v>1</v>
      </c>
      <c r="J3449" s="5">
        <f>XLOOKUP(L3449, uom!C:C, uom!B:B, "Not Found")</f>
      </c>
      <c r="K3449" s="1" t="s">
        <v>5511</v>
      </c>
      <c r="L3449" s="5">
        <f>XLOOKUP(N3449, uom!C:C, uom!B:B, "Not Found")</f>
      </c>
      <c r="M3449" s="1" t="s">
        <v>5511</v>
      </c>
      <c r="N3449" s="8" t="s">
        <v>5512</v>
      </c>
      <c r="O3449" s="1" t="s">
        <v>5513</v>
      </c>
      <c r="P3449" s="5">
        <f>XLOOKUP(R3449, classification!C:C, classification!B:B, "Not Found")</f>
      </c>
      <c r="Q3449" s="1" t="s">
        <v>5514</v>
      </c>
      <c r="R3449" s="2"/>
      <c r="S3449" s="2"/>
      <c r="T3449" s="2"/>
      <c r="U3449" s="2"/>
    </row>
    <row x14ac:dyDescent="0.25" r="3450" customHeight="1" ht="17.25">
      <c r="A3450" s="7">
        <v>3449</v>
      </c>
      <c r="B3450" s="1" t="s">
        <v>8764</v>
      </c>
      <c r="C3450" s="5">
        <f>CONCATENATE("PD", TEXT(A3450, "1000000"))</f>
      </c>
      <c r="D3450" s="7">
        <v>76</v>
      </c>
      <c r="E3450" s="5">
        <f>XLOOKUP(G3450, item_category!C:C, item_category!B:B, "Not Found")</f>
      </c>
      <c r="F3450" s="1" t="s">
        <v>5632</v>
      </c>
      <c r="G3450" s="5">
        <f>XLOOKUP(I3450, drug!B:B, drug!A:A, "Not Found")</f>
      </c>
      <c r="H3450" s="1"/>
      <c r="I3450" s="7">
        <v>1</v>
      </c>
      <c r="J3450" s="5">
        <f>XLOOKUP(L3450, uom!C:C, uom!B:B, "Not Found")</f>
      </c>
      <c r="K3450" s="1" t="s">
        <v>5511</v>
      </c>
      <c r="L3450" s="5">
        <f>XLOOKUP(N3450, uom!C:C, uom!B:B, "Not Found")</f>
      </c>
      <c r="M3450" s="1" t="s">
        <v>5511</v>
      </c>
      <c r="N3450" s="8" t="s">
        <v>5512</v>
      </c>
      <c r="O3450" s="1" t="s">
        <v>5513</v>
      </c>
      <c r="P3450" s="5">
        <f>XLOOKUP(R3450, classification!C:C, classification!B:B, "Not Found")</f>
      </c>
      <c r="Q3450" s="1" t="s">
        <v>5514</v>
      </c>
      <c r="R3450" s="2"/>
      <c r="S3450" s="2"/>
      <c r="T3450" s="2"/>
      <c r="U3450" s="2"/>
    </row>
    <row x14ac:dyDescent="0.25" r="3451" customHeight="1" ht="17.25">
      <c r="A3451" s="7">
        <v>3450</v>
      </c>
      <c r="B3451" s="1" t="s">
        <v>8765</v>
      </c>
      <c r="C3451" s="5">
        <f>CONCATENATE("PD", TEXT(A3451, "1000000"))</f>
      </c>
      <c r="D3451" s="7">
        <v>76</v>
      </c>
      <c r="E3451" s="5">
        <f>XLOOKUP(G3451, item_category!C:C, item_category!B:B, "Not Found")</f>
      </c>
      <c r="F3451" s="1" t="s">
        <v>5632</v>
      </c>
      <c r="G3451" s="5">
        <f>XLOOKUP(I3451, drug!B:B, drug!A:A, "Not Found")</f>
      </c>
      <c r="H3451" s="1"/>
      <c r="I3451" s="7">
        <v>1</v>
      </c>
      <c r="J3451" s="5">
        <f>XLOOKUP(L3451, uom!C:C, uom!B:B, "Not Found")</f>
      </c>
      <c r="K3451" s="1" t="s">
        <v>5511</v>
      </c>
      <c r="L3451" s="5">
        <f>XLOOKUP(N3451, uom!C:C, uom!B:B, "Not Found")</f>
      </c>
      <c r="M3451" s="1" t="s">
        <v>5511</v>
      </c>
      <c r="N3451" s="8" t="s">
        <v>5512</v>
      </c>
      <c r="O3451" s="1" t="s">
        <v>5513</v>
      </c>
      <c r="P3451" s="5">
        <f>XLOOKUP(R3451, classification!C:C, classification!B:B, "Not Found")</f>
      </c>
      <c r="Q3451" s="1" t="s">
        <v>5514</v>
      </c>
      <c r="R3451" s="2"/>
      <c r="S3451" s="2"/>
      <c r="T3451" s="2"/>
      <c r="U3451" s="2"/>
    </row>
    <row x14ac:dyDescent="0.25" r="3452" customHeight="1" ht="17.25">
      <c r="A3452" s="7">
        <v>3451</v>
      </c>
      <c r="B3452" s="1" t="s">
        <v>8766</v>
      </c>
      <c r="C3452" s="5">
        <f>CONCATENATE("PD", TEXT(A3452, "1000000"))</f>
      </c>
      <c r="D3452" s="7">
        <v>76</v>
      </c>
      <c r="E3452" s="5">
        <f>XLOOKUP(G3452, item_category!C:C, item_category!B:B, "Not Found")</f>
      </c>
      <c r="F3452" s="1" t="s">
        <v>5632</v>
      </c>
      <c r="G3452" s="5">
        <f>XLOOKUP(I3452, drug!B:B, drug!A:A, "Not Found")</f>
      </c>
      <c r="H3452" s="1"/>
      <c r="I3452" s="7">
        <v>1</v>
      </c>
      <c r="J3452" s="5">
        <f>XLOOKUP(L3452, uom!C:C, uom!B:B, "Not Found")</f>
      </c>
      <c r="K3452" s="1" t="s">
        <v>5511</v>
      </c>
      <c r="L3452" s="5">
        <f>XLOOKUP(N3452, uom!C:C, uom!B:B, "Not Found")</f>
      </c>
      <c r="M3452" s="1" t="s">
        <v>5511</v>
      </c>
      <c r="N3452" s="8" t="s">
        <v>5512</v>
      </c>
      <c r="O3452" s="1" t="s">
        <v>5513</v>
      </c>
      <c r="P3452" s="5">
        <f>XLOOKUP(R3452, classification!C:C, classification!B:B, "Not Found")</f>
      </c>
      <c r="Q3452" s="1" t="s">
        <v>5514</v>
      </c>
      <c r="R3452" s="2"/>
      <c r="S3452" s="2"/>
      <c r="T3452" s="2"/>
      <c r="U3452" s="2"/>
    </row>
    <row x14ac:dyDescent="0.25" r="3453" customHeight="1" ht="17.25">
      <c r="A3453" s="7">
        <v>3452</v>
      </c>
      <c r="B3453" s="1" t="s">
        <v>8767</v>
      </c>
      <c r="C3453" s="5">
        <f>CONCATENATE("PD", TEXT(A3453, "1000000"))</f>
      </c>
      <c r="D3453" s="7">
        <v>76</v>
      </c>
      <c r="E3453" s="5">
        <f>XLOOKUP(G3453, item_category!C:C, item_category!B:B, "Not Found")</f>
      </c>
      <c r="F3453" s="1" t="s">
        <v>5632</v>
      </c>
      <c r="G3453" s="5">
        <f>XLOOKUP(I3453, drug!B:B, drug!A:A, "Not Found")</f>
      </c>
      <c r="H3453" s="1"/>
      <c r="I3453" s="7">
        <v>1</v>
      </c>
      <c r="J3453" s="5">
        <f>XLOOKUP(L3453, uom!C:C, uom!B:B, "Not Found")</f>
      </c>
      <c r="K3453" s="1" t="s">
        <v>5511</v>
      </c>
      <c r="L3453" s="5">
        <f>XLOOKUP(N3453, uom!C:C, uom!B:B, "Not Found")</f>
      </c>
      <c r="M3453" s="1" t="s">
        <v>5511</v>
      </c>
      <c r="N3453" s="8" t="s">
        <v>5512</v>
      </c>
      <c r="O3453" s="1" t="s">
        <v>5513</v>
      </c>
      <c r="P3453" s="5">
        <f>XLOOKUP(R3453, classification!C:C, classification!B:B, "Not Found")</f>
      </c>
      <c r="Q3453" s="1" t="s">
        <v>5514</v>
      </c>
      <c r="R3453" s="2"/>
      <c r="S3453" s="2"/>
      <c r="T3453" s="2"/>
      <c r="U3453" s="2"/>
    </row>
    <row x14ac:dyDescent="0.25" r="3454" customHeight="1" ht="17.25">
      <c r="A3454" s="7">
        <v>3453</v>
      </c>
      <c r="B3454" s="1" t="s">
        <v>8768</v>
      </c>
      <c r="C3454" s="5">
        <f>CONCATENATE("PD", TEXT(A3454, "1000000"))</f>
      </c>
      <c r="D3454" s="7">
        <v>76</v>
      </c>
      <c r="E3454" s="5">
        <f>XLOOKUP(G3454, item_category!C:C, item_category!B:B, "Not Found")</f>
      </c>
      <c r="F3454" s="1" t="s">
        <v>5632</v>
      </c>
      <c r="G3454" s="5">
        <f>XLOOKUP(I3454, drug!B:B, drug!A:A, "Not Found")</f>
      </c>
      <c r="H3454" s="1"/>
      <c r="I3454" s="7">
        <v>1</v>
      </c>
      <c r="J3454" s="5">
        <f>XLOOKUP(L3454, uom!C:C, uom!B:B, "Not Found")</f>
      </c>
      <c r="K3454" s="1" t="s">
        <v>5511</v>
      </c>
      <c r="L3454" s="5">
        <f>XLOOKUP(N3454, uom!C:C, uom!B:B, "Not Found")</f>
      </c>
      <c r="M3454" s="1" t="s">
        <v>5511</v>
      </c>
      <c r="N3454" s="8" t="s">
        <v>5512</v>
      </c>
      <c r="O3454" s="1" t="s">
        <v>5513</v>
      </c>
      <c r="P3454" s="5">
        <f>XLOOKUP(R3454, classification!C:C, classification!B:B, "Not Found")</f>
      </c>
      <c r="Q3454" s="1" t="s">
        <v>5514</v>
      </c>
      <c r="R3454" s="2"/>
      <c r="S3454" s="2"/>
      <c r="T3454" s="2"/>
      <c r="U3454" s="2"/>
    </row>
    <row x14ac:dyDescent="0.25" r="3455" customHeight="1" ht="17.25">
      <c r="A3455" s="7">
        <v>3454</v>
      </c>
      <c r="B3455" s="1" t="s">
        <v>8769</v>
      </c>
      <c r="C3455" s="5">
        <f>CONCATENATE("PD", TEXT(A3455, "1000000"))</f>
      </c>
      <c r="D3455" s="7">
        <v>76</v>
      </c>
      <c r="E3455" s="5">
        <f>XLOOKUP(G3455, item_category!C:C, item_category!B:B, "Not Found")</f>
      </c>
      <c r="F3455" s="1" t="s">
        <v>5632</v>
      </c>
      <c r="G3455" s="5">
        <f>XLOOKUP(I3455, drug!B:B, drug!A:A, "Not Found")</f>
      </c>
      <c r="H3455" s="1"/>
      <c r="I3455" s="7">
        <v>1</v>
      </c>
      <c r="J3455" s="5">
        <f>XLOOKUP(L3455, uom!C:C, uom!B:B, "Not Found")</f>
      </c>
      <c r="K3455" s="1" t="s">
        <v>5511</v>
      </c>
      <c r="L3455" s="5">
        <f>XLOOKUP(N3455, uom!C:C, uom!B:B, "Not Found")</f>
      </c>
      <c r="M3455" s="1" t="s">
        <v>5511</v>
      </c>
      <c r="N3455" s="8" t="s">
        <v>5512</v>
      </c>
      <c r="O3455" s="1" t="s">
        <v>5513</v>
      </c>
      <c r="P3455" s="5">
        <f>XLOOKUP(R3455, classification!C:C, classification!B:B, "Not Found")</f>
      </c>
      <c r="Q3455" s="1" t="s">
        <v>5514</v>
      </c>
      <c r="R3455" s="2"/>
      <c r="S3455" s="2"/>
      <c r="T3455" s="2"/>
      <c r="U3455" s="2"/>
    </row>
    <row x14ac:dyDescent="0.25" r="3456" customHeight="1" ht="17.25">
      <c r="A3456" s="7">
        <v>3455</v>
      </c>
      <c r="B3456" s="1" t="s">
        <v>8770</v>
      </c>
      <c r="C3456" s="5">
        <f>CONCATENATE("PD", TEXT(A3456, "1000000"))</f>
      </c>
      <c r="D3456" s="7">
        <v>76</v>
      </c>
      <c r="E3456" s="5">
        <f>XLOOKUP(G3456, item_category!C:C, item_category!B:B, "Not Found")</f>
      </c>
      <c r="F3456" s="1" t="s">
        <v>5632</v>
      </c>
      <c r="G3456" s="5">
        <f>XLOOKUP(I3456, drug!B:B, drug!A:A, "Not Found")</f>
      </c>
      <c r="H3456" s="1"/>
      <c r="I3456" s="7">
        <v>1</v>
      </c>
      <c r="J3456" s="5">
        <f>XLOOKUP(L3456, uom!C:C, uom!B:B, "Not Found")</f>
      </c>
      <c r="K3456" s="1" t="s">
        <v>5511</v>
      </c>
      <c r="L3456" s="5">
        <f>XLOOKUP(N3456, uom!C:C, uom!B:B, "Not Found")</f>
      </c>
      <c r="M3456" s="1" t="s">
        <v>5511</v>
      </c>
      <c r="N3456" s="8" t="s">
        <v>5512</v>
      </c>
      <c r="O3456" s="1" t="s">
        <v>5513</v>
      </c>
      <c r="P3456" s="5">
        <f>XLOOKUP(R3456, classification!C:C, classification!B:B, "Not Found")</f>
      </c>
      <c r="Q3456" s="1" t="s">
        <v>5514</v>
      </c>
      <c r="R3456" s="2"/>
      <c r="S3456" s="2"/>
      <c r="T3456" s="2"/>
      <c r="U3456" s="2"/>
    </row>
    <row x14ac:dyDescent="0.25" r="3457" customHeight="1" ht="17.25">
      <c r="A3457" s="7">
        <v>3456</v>
      </c>
      <c r="B3457" s="1" t="s">
        <v>8771</v>
      </c>
      <c r="C3457" s="5">
        <f>CONCATENATE("PD", TEXT(A3457, "1000000"))</f>
      </c>
      <c r="D3457" s="7">
        <v>76</v>
      </c>
      <c r="E3457" s="5">
        <f>XLOOKUP(G3457, item_category!C:C, item_category!B:B, "Not Found")</f>
      </c>
      <c r="F3457" s="1" t="s">
        <v>5632</v>
      </c>
      <c r="G3457" s="5">
        <f>XLOOKUP(I3457, drug!B:B, drug!A:A, "Not Found")</f>
      </c>
      <c r="H3457" s="1" t="s">
        <v>1552</v>
      </c>
      <c r="I3457" s="7">
        <v>1</v>
      </c>
      <c r="J3457" s="5">
        <f>XLOOKUP(L3457, uom!C:C, uom!B:B, "Not Found")</f>
      </c>
      <c r="K3457" s="1" t="s">
        <v>5511</v>
      </c>
      <c r="L3457" s="5">
        <f>XLOOKUP(N3457, uom!C:C, uom!B:B, "Not Found")</f>
      </c>
      <c r="M3457" s="1" t="s">
        <v>5511</v>
      </c>
      <c r="N3457" s="8" t="s">
        <v>5512</v>
      </c>
      <c r="O3457" s="1" t="s">
        <v>5513</v>
      </c>
      <c r="P3457" s="5">
        <f>XLOOKUP(R3457, classification!C:C, classification!B:B, "Not Found")</f>
      </c>
      <c r="Q3457" s="1" t="s">
        <v>5514</v>
      </c>
      <c r="R3457" s="2"/>
      <c r="S3457" s="2"/>
      <c r="T3457" s="2"/>
      <c r="U3457" s="2"/>
    </row>
    <row x14ac:dyDescent="0.25" r="3458" customHeight="1" ht="17.25">
      <c r="A3458" s="7">
        <v>3457</v>
      </c>
      <c r="B3458" s="1" t="s">
        <v>8772</v>
      </c>
      <c r="C3458" s="5">
        <f>CONCATENATE("PD", TEXT(A3458, "1000000"))</f>
      </c>
      <c r="D3458" s="7">
        <v>76</v>
      </c>
      <c r="E3458" s="5">
        <f>XLOOKUP(G3458, item_category!C:C, item_category!B:B, "Not Found")</f>
      </c>
      <c r="F3458" s="1" t="s">
        <v>5632</v>
      </c>
      <c r="G3458" s="5">
        <f>XLOOKUP(I3458, drug!B:B, drug!A:A, "Not Found")</f>
      </c>
      <c r="H3458" s="1"/>
      <c r="I3458" s="7">
        <v>1</v>
      </c>
      <c r="J3458" s="5">
        <f>XLOOKUP(L3458, uom!C:C, uom!B:B, "Not Found")</f>
      </c>
      <c r="K3458" s="1" t="s">
        <v>5511</v>
      </c>
      <c r="L3458" s="5">
        <f>XLOOKUP(N3458, uom!C:C, uom!B:B, "Not Found")</f>
      </c>
      <c r="M3458" s="1" t="s">
        <v>5511</v>
      </c>
      <c r="N3458" s="8" t="s">
        <v>5512</v>
      </c>
      <c r="O3458" s="1" t="s">
        <v>5513</v>
      </c>
      <c r="P3458" s="5">
        <f>XLOOKUP(R3458, classification!C:C, classification!B:B, "Not Found")</f>
      </c>
      <c r="Q3458" s="1" t="s">
        <v>5514</v>
      </c>
      <c r="R3458" s="2"/>
      <c r="S3458" s="2"/>
      <c r="T3458" s="2"/>
      <c r="U3458" s="2"/>
    </row>
    <row x14ac:dyDescent="0.25" r="3459" customHeight="1" ht="17.25">
      <c r="A3459" s="7">
        <v>3458</v>
      </c>
      <c r="B3459" s="1" t="s">
        <v>8773</v>
      </c>
      <c r="C3459" s="5">
        <f>CONCATENATE("PD", TEXT(A3459, "1000000"))</f>
      </c>
      <c r="D3459" s="7">
        <v>76</v>
      </c>
      <c r="E3459" s="5">
        <f>XLOOKUP(G3459, item_category!C:C, item_category!B:B, "Not Found")</f>
      </c>
      <c r="F3459" s="1" t="s">
        <v>5632</v>
      </c>
      <c r="G3459" s="5">
        <f>XLOOKUP(I3459, drug!B:B, drug!A:A, "Not Found")</f>
      </c>
      <c r="H3459" s="1"/>
      <c r="I3459" s="7">
        <v>1</v>
      </c>
      <c r="J3459" s="5">
        <f>XLOOKUP(L3459, uom!C:C, uom!B:B, "Not Found")</f>
      </c>
      <c r="K3459" s="1" t="s">
        <v>5511</v>
      </c>
      <c r="L3459" s="5">
        <f>XLOOKUP(N3459, uom!C:C, uom!B:B, "Not Found")</f>
      </c>
      <c r="M3459" s="1" t="s">
        <v>5511</v>
      </c>
      <c r="N3459" s="8" t="s">
        <v>5512</v>
      </c>
      <c r="O3459" s="1" t="s">
        <v>5513</v>
      </c>
      <c r="P3459" s="5">
        <f>XLOOKUP(R3459, classification!C:C, classification!B:B, "Not Found")</f>
      </c>
      <c r="Q3459" s="1" t="s">
        <v>5514</v>
      </c>
      <c r="R3459" s="2"/>
      <c r="S3459" s="2"/>
      <c r="T3459" s="2"/>
      <c r="U3459" s="2"/>
    </row>
    <row x14ac:dyDescent="0.25" r="3460" customHeight="1" ht="17.25">
      <c r="A3460" s="7">
        <v>3459</v>
      </c>
      <c r="B3460" s="1" t="s">
        <v>8774</v>
      </c>
      <c r="C3460" s="5">
        <f>CONCATENATE("PD", TEXT(A3460, "1000000"))</f>
      </c>
      <c r="D3460" s="7">
        <v>76</v>
      </c>
      <c r="E3460" s="5">
        <f>XLOOKUP(G3460, item_category!C:C, item_category!B:B, "Not Found")</f>
      </c>
      <c r="F3460" s="1" t="s">
        <v>5632</v>
      </c>
      <c r="G3460" s="5">
        <f>XLOOKUP(I3460, drug!B:B, drug!A:A, "Not Found")</f>
      </c>
      <c r="H3460" s="1"/>
      <c r="I3460" s="7">
        <v>1</v>
      </c>
      <c r="J3460" s="5">
        <f>XLOOKUP(L3460, uom!C:C, uom!B:B, "Not Found")</f>
      </c>
      <c r="K3460" s="1" t="s">
        <v>5511</v>
      </c>
      <c r="L3460" s="5">
        <f>XLOOKUP(N3460, uom!C:C, uom!B:B, "Not Found")</f>
      </c>
      <c r="M3460" s="1" t="s">
        <v>5511</v>
      </c>
      <c r="N3460" s="8" t="s">
        <v>5512</v>
      </c>
      <c r="O3460" s="1" t="s">
        <v>5513</v>
      </c>
      <c r="P3460" s="5">
        <f>XLOOKUP(R3460, classification!C:C, classification!B:B, "Not Found")</f>
      </c>
      <c r="Q3460" s="1" t="s">
        <v>5514</v>
      </c>
      <c r="R3460" s="2"/>
      <c r="S3460" s="2"/>
      <c r="T3460" s="2"/>
      <c r="U3460" s="2"/>
    </row>
    <row x14ac:dyDescent="0.25" r="3461" customHeight="1" ht="17.25">
      <c r="A3461" s="7">
        <v>3460</v>
      </c>
      <c r="B3461" s="1" t="s">
        <v>8775</v>
      </c>
      <c r="C3461" s="5">
        <f>CONCATENATE("PD", TEXT(A3461, "1000000"))</f>
      </c>
      <c r="D3461" s="7">
        <v>76</v>
      </c>
      <c r="E3461" s="5">
        <f>XLOOKUP(G3461, item_category!C:C, item_category!B:B, "Not Found")</f>
      </c>
      <c r="F3461" s="1" t="s">
        <v>5632</v>
      </c>
      <c r="G3461" s="5">
        <f>XLOOKUP(I3461, drug!B:B, drug!A:A, "Not Found")</f>
      </c>
      <c r="H3461" s="1"/>
      <c r="I3461" s="7">
        <v>1</v>
      </c>
      <c r="J3461" s="5">
        <f>XLOOKUP(L3461, uom!C:C, uom!B:B, "Not Found")</f>
      </c>
      <c r="K3461" s="1" t="s">
        <v>5511</v>
      </c>
      <c r="L3461" s="5">
        <f>XLOOKUP(N3461, uom!C:C, uom!B:B, "Not Found")</f>
      </c>
      <c r="M3461" s="1" t="s">
        <v>5511</v>
      </c>
      <c r="N3461" s="8" t="s">
        <v>5512</v>
      </c>
      <c r="O3461" s="1" t="s">
        <v>5513</v>
      </c>
      <c r="P3461" s="5">
        <f>XLOOKUP(R3461, classification!C:C, classification!B:B, "Not Found")</f>
      </c>
      <c r="Q3461" s="1" t="s">
        <v>5514</v>
      </c>
      <c r="R3461" s="2"/>
      <c r="S3461" s="2"/>
      <c r="T3461" s="2"/>
      <c r="U3461" s="2"/>
    </row>
    <row x14ac:dyDescent="0.25" r="3462" customHeight="1" ht="17.25">
      <c r="A3462" s="7">
        <v>3461</v>
      </c>
      <c r="B3462" s="1" t="s">
        <v>8776</v>
      </c>
      <c r="C3462" s="5">
        <f>CONCATENATE("PD", TEXT(A3462, "1000000"))</f>
      </c>
      <c r="D3462" s="7">
        <v>76</v>
      </c>
      <c r="E3462" s="5">
        <f>XLOOKUP(G3462, item_category!C:C, item_category!B:B, "Not Found")</f>
      </c>
      <c r="F3462" s="1" t="s">
        <v>5632</v>
      </c>
      <c r="G3462" s="5">
        <f>XLOOKUP(I3462, drug!B:B, drug!A:A, "Not Found")</f>
      </c>
      <c r="H3462" s="1"/>
      <c r="I3462" s="7">
        <v>1</v>
      </c>
      <c r="J3462" s="5">
        <f>XLOOKUP(L3462, uom!C:C, uom!B:B, "Not Found")</f>
      </c>
      <c r="K3462" s="1" t="s">
        <v>5511</v>
      </c>
      <c r="L3462" s="5">
        <f>XLOOKUP(N3462, uom!C:C, uom!B:B, "Not Found")</f>
      </c>
      <c r="M3462" s="1" t="s">
        <v>5511</v>
      </c>
      <c r="N3462" s="8" t="s">
        <v>5512</v>
      </c>
      <c r="O3462" s="1" t="s">
        <v>5513</v>
      </c>
      <c r="P3462" s="5">
        <f>XLOOKUP(R3462, classification!C:C, classification!B:B, "Not Found")</f>
      </c>
      <c r="Q3462" s="1" t="s">
        <v>5514</v>
      </c>
      <c r="R3462" s="2"/>
      <c r="S3462" s="2"/>
      <c r="T3462" s="2"/>
      <c r="U3462" s="2"/>
    </row>
    <row x14ac:dyDescent="0.25" r="3463" customHeight="1" ht="17.25">
      <c r="A3463" s="7">
        <v>3462</v>
      </c>
      <c r="B3463" s="1" t="s">
        <v>8777</v>
      </c>
      <c r="C3463" s="5">
        <f>CONCATENATE("PD", TEXT(A3463, "1000000"))</f>
      </c>
      <c r="D3463" s="7">
        <v>76</v>
      </c>
      <c r="E3463" s="5">
        <f>XLOOKUP(G3463, item_category!C:C, item_category!B:B, "Not Found")</f>
      </c>
      <c r="F3463" s="1" t="s">
        <v>5632</v>
      </c>
      <c r="G3463" s="5">
        <f>XLOOKUP(I3463, drug!B:B, drug!A:A, "Not Found")</f>
      </c>
      <c r="H3463" s="1"/>
      <c r="I3463" s="7">
        <v>1</v>
      </c>
      <c r="J3463" s="5">
        <f>XLOOKUP(L3463, uom!C:C, uom!B:B, "Not Found")</f>
      </c>
      <c r="K3463" s="1" t="s">
        <v>5511</v>
      </c>
      <c r="L3463" s="5">
        <f>XLOOKUP(N3463, uom!C:C, uom!B:B, "Not Found")</f>
      </c>
      <c r="M3463" s="1" t="s">
        <v>5511</v>
      </c>
      <c r="N3463" s="8" t="s">
        <v>5512</v>
      </c>
      <c r="O3463" s="1" t="s">
        <v>5513</v>
      </c>
      <c r="P3463" s="5">
        <f>XLOOKUP(R3463, classification!C:C, classification!B:B, "Not Found")</f>
      </c>
      <c r="Q3463" s="1" t="s">
        <v>5514</v>
      </c>
      <c r="R3463" s="2"/>
      <c r="S3463" s="2"/>
      <c r="T3463" s="2"/>
      <c r="U3463" s="2"/>
    </row>
    <row x14ac:dyDescent="0.25" r="3464" customHeight="1" ht="17.25">
      <c r="A3464" s="7">
        <v>3463</v>
      </c>
      <c r="B3464" s="1" t="s">
        <v>8778</v>
      </c>
      <c r="C3464" s="5">
        <f>CONCATENATE("PD", TEXT(A3464, "1000000"))</f>
      </c>
      <c r="D3464" s="7">
        <v>76</v>
      </c>
      <c r="E3464" s="5">
        <f>XLOOKUP(G3464, item_category!C:C, item_category!B:B, "Not Found")</f>
      </c>
      <c r="F3464" s="1" t="s">
        <v>5632</v>
      </c>
      <c r="G3464" s="5">
        <f>XLOOKUP(I3464, drug!B:B, drug!A:A, "Not Found")</f>
      </c>
      <c r="H3464" s="1"/>
      <c r="I3464" s="7">
        <v>1</v>
      </c>
      <c r="J3464" s="5">
        <f>XLOOKUP(L3464, uom!C:C, uom!B:B, "Not Found")</f>
      </c>
      <c r="K3464" s="1" t="s">
        <v>5511</v>
      </c>
      <c r="L3464" s="5">
        <f>XLOOKUP(N3464, uom!C:C, uom!B:B, "Not Found")</f>
      </c>
      <c r="M3464" s="1" t="s">
        <v>5511</v>
      </c>
      <c r="N3464" s="8" t="s">
        <v>5512</v>
      </c>
      <c r="O3464" s="1" t="s">
        <v>5513</v>
      </c>
      <c r="P3464" s="5">
        <f>XLOOKUP(R3464, classification!C:C, classification!B:B, "Not Found")</f>
      </c>
      <c r="Q3464" s="1" t="s">
        <v>5514</v>
      </c>
      <c r="R3464" s="2"/>
      <c r="S3464" s="2"/>
      <c r="T3464" s="2"/>
      <c r="U3464" s="2"/>
    </row>
    <row x14ac:dyDescent="0.25" r="3465" customHeight="1" ht="17.25">
      <c r="A3465" s="7">
        <v>3464</v>
      </c>
      <c r="B3465" s="1" t="s">
        <v>8779</v>
      </c>
      <c r="C3465" s="5">
        <f>CONCATENATE("PD", TEXT(A3465, "1000000"))</f>
      </c>
      <c r="D3465" s="7">
        <v>76</v>
      </c>
      <c r="E3465" s="5">
        <f>XLOOKUP(G3465, item_category!C:C, item_category!B:B, "Not Found")</f>
      </c>
      <c r="F3465" s="1" t="s">
        <v>5632</v>
      </c>
      <c r="G3465" s="5">
        <f>XLOOKUP(I3465, drug!B:B, drug!A:A, "Not Found")</f>
      </c>
      <c r="H3465" s="1"/>
      <c r="I3465" s="7">
        <v>1</v>
      </c>
      <c r="J3465" s="5">
        <f>XLOOKUP(L3465, uom!C:C, uom!B:B, "Not Found")</f>
      </c>
      <c r="K3465" s="1" t="s">
        <v>5511</v>
      </c>
      <c r="L3465" s="5">
        <f>XLOOKUP(N3465, uom!C:C, uom!B:B, "Not Found")</f>
      </c>
      <c r="M3465" s="1" t="s">
        <v>5511</v>
      </c>
      <c r="N3465" s="8" t="s">
        <v>5512</v>
      </c>
      <c r="O3465" s="1" t="s">
        <v>5513</v>
      </c>
      <c r="P3465" s="5">
        <f>XLOOKUP(R3465, classification!C:C, classification!B:B, "Not Found")</f>
      </c>
      <c r="Q3465" s="1" t="s">
        <v>5514</v>
      </c>
      <c r="R3465" s="2"/>
      <c r="S3465" s="2"/>
      <c r="T3465" s="2"/>
      <c r="U3465" s="2"/>
    </row>
    <row x14ac:dyDescent="0.25" r="3466" customHeight="1" ht="17.25">
      <c r="A3466" s="7">
        <v>3465</v>
      </c>
      <c r="B3466" s="1" t="s">
        <v>8780</v>
      </c>
      <c r="C3466" s="5">
        <f>CONCATENATE("PD", TEXT(A3466, "1000000"))</f>
      </c>
      <c r="D3466" s="7">
        <v>76</v>
      </c>
      <c r="E3466" s="5">
        <f>XLOOKUP(G3466, item_category!C:C, item_category!B:B, "Not Found")</f>
      </c>
      <c r="F3466" s="1" t="s">
        <v>5632</v>
      </c>
      <c r="G3466" s="5">
        <f>XLOOKUP(I3466, drug!B:B, drug!A:A, "Not Found")</f>
      </c>
      <c r="H3466" s="1"/>
      <c r="I3466" s="7">
        <v>1</v>
      </c>
      <c r="J3466" s="5">
        <f>XLOOKUP(L3466, uom!C:C, uom!B:B, "Not Found")</f>
      </c>
      <c r="K3466" s="1" t="s">
        <v>5511</v>
      </c>
      <c r="L3466" s="5">
        <f>XLOOKUP(N3466, uom!C:C, uom!B:B, "Not Found")</f>
      </c>
      <c r="M3466" s="1" t="s">
        <v>5511</v>
      </c>
      <c r="N3466" s="8" t="s">
        <v>5512</v>
      </c>
      <c r="O3466" s="1" t="s">
        <v>5513</v>
      </c>
      <c r="P3466" s="5">
        <f>XLOOKUP(R3466, classification!C:C, classification!B:B, "Not Found")</f>
      </c>
      <c r="Q3466" s="1" t="s">
        <v>5514</v>
      </c>
      <c r="R3466" s="2"/>
      <c r="S3466" s="2"/>
      <c r="T3466" s="2"/>
      <c r="U3466" s="2"/>
    </row>
    <row x14ac:dyDescent="0.25" r="3467" customHeight="1" ht="17.25">
      <c r="A3467" s="7">
        <v>3466</v>
      </c>
      <c r="B3467" s="1" t="s">
        <v>8781</v>
      </c>
      <c r="C3467" s="5">
        <f>CONCATENATE("PD", TEXT(A3467, "1000000"))</f>
      </c>
      <c r="D3467" s="7">
        <v>76</v>
      </c>
      <c r="E3467" s="5">
        <f>XLOOKUP(G3467, item_category!C:C, item_category!B:B, "Not Found")</f>
      </c>
      <c r="F3467" s="1" t="s">
        <v>5632</v>
      </c>
      <c r="G3467" s="5">
        <f>XLOOKUP(I3467, drug!B:B, drug!A:A, "Not Found")</f>
      </c>
      <c r="H3467" s="1"/>
      <c r="I3467" s="7">
        <v>1</v>
      </c>
      <c r="J3467" s="5">
        <f>XLOOKUP(L3467, uom!C:C, uom!B:B, "Not Found")</f>
      </c>
      <c r="K3467" s="1" t="s">
        <v>5511</v>
      </c>
      <c r="L3467" s="5">
        <f>XLOOKUP(N3467, uom!C:C, uom!B:B, "Not Found")</f>
      </c>
      <c r="M3467" s="1" t="s">
        <v>5511</v>
      </c>
      <c r="N3467" s="8" t="s">
        <v>5512</v>
      </c>
      <c r="O3467" s="1" t="s">
        <v>5513</v>
      </c>
      <c r="P3467" s="5">
        <f>XLOOKUP(R3467, classification!C:C, classification!B:B, "Not Found")</f>
      </c>
      <c r="Q3467" s="1" t="s">
        <v>5514</v>
      </c>
      <c r="R3467" s="2"/>
      <c r="S3467" s="2"/>
      <c r="T3467" s="2"/>
      <c r="U3467" s="2"/>
    </row>
    <row x14ac:dyDescent="0.25" r="3468" customHeight="1" ht="17.25">
      <c r="A3468" s="7">
        <v>3467</v>
      </c>
      <c r="B3468" s="1" t="s">
        <v>8782</v>
      </c>
      <c r="C3468" s="5">
        <f>CONCATENATE("PD", TEXT(A3468, "1000000"))</f>
      </c>
      <c r="D3468" s="7">
        <v>76</v>
      </c>
      <c r="E3468" s="5">
        <f>XLOOKUP(G3468, item_category!C:C, item_category!B:B, "Not Found")</f>
      </c>
      <c r="F3468" s="1" t="s">
        <v>5632</v>
      </c>
      <c r="G3468" s="5">
        <f>XLOOKUP(I3468, drug!B:B, drug!A:A, "Not Found")</f>
      </c>
      <c r="H3468" s="1"/>
      <c r="I3468" s="7">
        <v>1</v>
      </c>
      <c r="J3468" s="5">
        <f>XLOOKUP(L3468, uom!C:C, uom!B:B, "Not Found")</f>
      </c>
      <c r="K3468" s="1" t="s">
        <v>5511</v>
      </c>
      <c r="L3468" s="5">
        <f>XLOOKUP(N3468, uom!C:C, uom!B:B, "Not Found")</f>
      </c>
      <c r="M3468" s="1" t="s">
        <v>5511</v>
      </c>
      <c r="N3468" s="8" t="s">
        <v>5512</v>
      </c>
      <c r="O3468" s="1" t="s">
        <v>5513</v>
      </c>
      <c r="P3468" s="5">
        <f>XLOOKUP(R3468, classification!C:C, classification!B:B, "Not Found")</f>
      </c>
      <c r="Q3468" s="1" t="s">
        <v>5514</v>
      </c>
      <c r="R3468" s="2"/>
      <c r="S3468" s="2"/>
      <c r="T3468" s="2"/>
      <c r="U3468" s="2"/>
    </row>
    <row x14ac:dyDescent="0.25" r="3469" customHeight="1" ht="17.25">
      <c r="A3469" s="7">
        <v>3468</v>
      </c>
      <c r="B3469" s="1" t="s">
        <v>8783</v>
      </c>
      <c r="C3469" s="5">
        <f>CONCATENATE("PD", TEXT(A3469, "1000000"))</f>
      </c>
      <c r="D3469" s="7">
        <v>76</v>
      </c>
      <c r="E3469" s="5">
        <f>XLOOKUP(G3469, item_category!C:C, item_category!B:B, "Not Found")</f>
      </c>
      <c r="F3469" s="1" t="s">
        <v>5632</v>
      </c>
      <c r="G3469" s="5">
        <f>XLOOKUP(I3469, drug!B:B, drug!A:A, "Not Found")</f>
      </c>
      <c r="H3469" s="1"/>
      <c r="I3469" s="7">
        <v>1</v>
      </c>
      <c r="J3469" s="5">
        <f>XLOOKUP(L3469, uom!C:C, uom!B:B, "Not Found")</f>
      </c>
      <c r="K3469" s="1" t="s">
        <v>5511</v>
      </c>
      <c r="L3469" s="5">
        <f>XLOOKUP(N3469, uom!C:C, uom!B:B, "Not Found")</f>
      </c>
      <c r="M3469" s="1" t="s">
        <v>5511</v>
      </c>
      <c r="N3469" s="8" t="s">
        <v>5512</v>
      </c>
      <c r="O3469" s="1" t="s">
        <v>5513</v>
      </c>
      <c r="P3469" s="5">
        <f>XLOOKUP(R3469, classification!C:C, classification!B:B, "Not Found")</f>
      </c>
      <c r="Q3469" s="1" t="s">
        <v>5514</v>
      </c>
      <c r="R3469" s="2"/>
      <c r="S3469" s="2"/>
      <c r="T3469" s="2"/>
      <c r="U3469" s="2"/>
    </row>
    <row x14ac:dyDescent="0.25" r="3470" customHeight="1" ht="17.25">
      <c r="A3470" s="7">
        <v>3469</v>
      </c>
      <c r="B3470" s="1" t="s">
        <v>8784</v>
      </c>
      <c r="C3470" s="5">
        <f>CONCATENATE("PD", TEXT(A3470, "1000000"))</f>
      </c>
      <c r="D3470" s="7">
        <v>76</v>
      </c>
      <c r="E3470" s="5">
        <f>XLOOKUP(G3470, item_category!C:C, item_category!B:B, "Not Found")</f>
      </c>
      <c r="F3470" s="1" t="s">
        <v>5632</v>
      </c>
      <c r="G3470" s="5">
        <f>XLOOKUP(I3470, drug!B:B, drug!A:A, "Not Found")</f>
      </c>
      <c r="H3470" s="1"/>
      <c r="I3470" s="7">
        <v>1</v>
      </c>
      <c r="J3470" s="5">
        <f>XLOOKUP(L3470, uom!C:C, uom!B:B, "Not Found")</f>
      </c>
      <c r="K3470" s="1" t="s">
        <v>5511</v>
      </c>
      <c r="L3470" s="5">
        <f>XLOOKUP(N3470, uom!C:C, uom!B:B, "Not Found")</f>
      </c>
      <c r="M3470" s="1" t="s">
        <v>5511</v>
      </c>
      <c r="N3470" s="8" t="s">
        <v>5512</v>
      </c>
      <c r="O3470" s="1" t="s">
        <v>5513</v>
      </c>
      <c r="P3470" s="5">
        <f>XLOOKUP(R3470, classification!C:C, classification!B:B, "Not Found")</f>
      </c>
      <c r="Q3470" s="1" t="s">
        <v>5514</v>
      </c>
      <c r="R3470" s="2"/>
      <c r="S3470" s="2"/>
      <c r="T3470" s="2"/>
      <c r="U3470" s="2"/>
    </row>
    <row x14ac:dyDescent="0.25" r="3471" customHeight="1" ht="17.25">
      <c r="A3471" s="7">
        <v>3470</v>
      </c>
      <c r="B3471" s="1" t="s">
        <v>8785</v>
      </c>
      <c r="C3471" s="5">
        <f>CONCATENATE("PD", TEXT(A3471, "1000000"))</f>
      </c>
      <c r="D3471" s="7">
        <v>76</v>
      </c>
      <c r="E3471" s="5">
        <f>XLOOKUP(G3471, item_category!C:C, item_category!B:B, "Not Found")</f>
      </c>
      <c r="F3471" s="1" t="s">
        <v>5632</v>
      </c>
      <c r="G3471" s="5">
        <f>XLOOKUP(I3471, drug!B:B, drug!A:A, "Not Found")</f>
      </c>
      <c r="H3471" s="1"/>
      <c r="I3471" s="7">
        <v>1</v>
      </c>
      <c r="J3471" s="5">
        <f>XLOOKUP(L3471, uom!C:C, uom!B:B, "Not Found")</f>
      </c>
      <c r="K3471" s="1" t="s">
        <v>5511</v>
      </c>
      <c r="L3471" s="5">
        <f>XLOOKUP(N3471, uom!C:C, uom!B:B, "Not Found")</f>
      </c>
      <c r="M3471" s="1" t="s">
        <v>5511</v>
      </c>
      <c r="N3471" s="8" t="s">
        <v>5512</v>
      </c>
      <c r="O3471" s="1" t="s">
        <v>5513</v>
      </c>
      <c r="P3471" s="5">
        <f>XLOOKUP(R3471, classification!C:C, classification!B:B, "Not Found")</f>
      </c>
      <c r="Q3471" s="1" t="s">
        <v>5514</v>
      </c>
      <c r="R3471" s="2"/>
      <c r="S3471" s="2"/>
      <c r="T3471" s="2"/>
      <c r="U3471" s="2"/>
    </row>
    <row x14ac:dyDescent="0.25" r="3472" customHeight="1" ht="17.25">
      <c r="A3472" s="7">
        <v>3471</v>
      </c>
      <c r="B3472" s="1" t="s">
        <v>8786</v>
      </c>
      <c r="C3472" s="5">
        <f>CONCATENATE("PD", TEXT(A3472, "1000000"))</f>
      </c>
      <c r="D3472" s="7">
        <v>76</v>
      </c>
      <c r="E3472" s="5">
        <f>XLOOKUP(G3472, item_category!C:C, item_category!B:B, "Not Found")</f>
      </c>
      <c r="F3472" s="1" t="s">
        <v>5632</v>
      </c>
      <c r="G3472" s="5">
        <f>XLOOKUP(I3472, drug!B:B, drug!A:A, "Not Found")</f>
      </c>
      <c r="H3472" s="1"/>
      <c r="I3472" s="7">
        <v>1</v>
      </c>
      <c r="J3472" s="5">
        <f>XLOOKUP(L3472, uom!C:C, uom!B:B, "Not Found")</f>
      </c>
      <c r="K3472" s="1" t="s">
        <v>5511</v>
      </c>
      <c r="L3472" s="5">
        <f>XLOOKUP(N3472, uom!C:C, uom!B:B, "Not Found")</f>
      </c>
      <c r="M3472" s="1" t="s">
        <v>5511</v>
      </c>
      <c r="N3472" s="8" t="s">
        <v>5512</v>
      </c>
      <c r="O3472" s="1" t="s">
        <v>5513</v>
      </c>
      <c r="P3472" s="5">
        <f>XLOOKUP(R3472, classification!C:C, classification!B:B, "Not Found")</f>
      </c>
      <c r="Q3472" s="1" t="s">
        <v>5514</v>
      </c>
      <c r="R3472" s="2"/>
      <c r="S3472" s="2"/>
      <c r="T3472" s="2"/>
      <c r="U3472" s="2"/>
    </row>
    <row x14ac:dyDescent="0.25" r="3473" customHeight="1" ht="17.25">
      <c r="A3473" s="7">
        <v>3472</v>
      </c>
      <c r="B3473" s="1" t="s">
        <v>8787</v>
      </c>
      <c r="C3473" s="5">
        <f>CONCATENATE("PD", TEXT(A3473, "1000000"))</f>
      </c>
      <c r="D3473" s="7">
        <v>76</v>
      </c>
      <c r="E3473" s="5">
        <f>XLOOKUP(G3473, item_category!C:C, item_category!B:B, "Not Found")</f>
      </c>
      <c r="F3473" s="1" t="s">
        <v>5632</v>
      </c>
      <c r="G3473" s="5">
        <f>XLOOKUP(I3473, drug!B:B, drug!A:A, "Not Found")</f>
      </c>
      <c r="H3473" s="1"/>
      <c r="I3473" s="7">
        <v>1</v>
      </c>
      <c r="J3473" s="5">
        <f>XLOOKUP(L3473, uom!C:C, uom!B:B, "Not Found")</f>
      </c>
      <c r="K3473" s="1" t="s">
        <v>5511</v>
      </c>
      <c r="L3473" s="5">
        <f>XLOOKUP(N3473, uom!C:C, uom!B:B, "Not Found")</f>
      </c>
      <c r="M3473" s="1" t="s">
        <v>5511</v>
      </c>
      <c r="N3473" s="8" t="s">
        <v>5512</v>
      </c>
      <c r="O3473" s="1" t="s">
        <v>5513</v>
      </c>
      <c r="P3473" s="5">
        <f>XLOOKUP(R3473, classification!C:C, classification!B:B, "Not Found")</f>
      </c>
      <c r="Q3473" s="1" t="s">
        <v>5514</v>
      </c>
      <c r="R3473" s="2"/>
      <c r="S3473" s="2"/>
      <c r="T3473" s="2"/>
      <c r="U3473" s="2"/>
    </row>
    <row x14ac:dyDescent="0.25" r="3474" customHeight="1" ht="17.25">
      <c r="A3474" s="7">
        <v>3473</v>
      </c>
      <c r="B3474" s="1" t="s">
        <v>8788</v>
      </c>
      <c r="C3474" s="5">
        <f>CONCATENATE("PD", TEXT(A3474, "1000000"))</f>
      </c>
      <c r="D3474" s="7">
        <v>76</v>
      </c>
      <c r="E3474" s="5">
        <f>XLOOKUP(G3474, item_category!C:C, item_category!B:B, "Not Found")</f>
      </c>
      <c r="F3474" s="1" t="s">
        <v>5632</v>
      </c>
      <c r="G3474" s="5">
        <f>XLOOKUP(I3474, drug!B:B, drug!A:A, "Not Found")</f>
      </c>
      <c r="H3474" s="1"/>
      <c r="I3474" s="7">
        <v>1</v>
      </c>
      <c r="J3474" s="5">
        <f>XLOOKUP(L3474, uom!C:C, uom!B:B, "Not Found")</f>
      </c>
      <c r="K3474" s="1" t="s">
        <v>5511</v>
      </c>
      <c r="L3474" s="5">
        <f>XLOOKUP(N3474, uom!C:C, uom!B:B, "Not Found")</f>
      </c>
      <c r="M3474" s="1" t="s">
        <v>5511</v>
      </c>
      <c r="N3474" s="8" t="s">
        <v>5512</v>
      </c>
      <c r="O3474" s="1" t="s">
        <v>5513</v>
      </c>
      <c r="P3474" s="5">
        <f>XLOOKUP(R3474, classification!C:C, classification!B:B, "Not Found")</f>
      </c>
      <c r="Q3474" s="1" t="s">
        <v>5514</v>
      </c>
      <c r="R3474" s="2"/>
      <c r="S3474" s="2"/>
      <c r="T3474" s="2"/>
      <c r="U3474" s="2"/>
    </row>
    <row x14ac:dyDescent="0.25" r="3475" customHeight="1" ht="17.25">
      <c r="A3475" s="7">
        <v>3474</v>
      </c>
      <c r="B3475" s="1" t="s">
        <v>8789</v>
      </c>
      <c r="C3475" s="5">
        <f>CONCATENATE("PD", TEXT(A3475, "1000000"))</f>
      </c>
      <c r="D3475" s="7">
        <v>76</v>
      </c>
      <c r="E3475" s="5">
        <f>XLOOKUP(G3475, item_category!C:C, item_category!B:B, "Not Found")</f>
      </c>
      <c r="F3475" s="1" t="s">
        <v>5632</v>
      </c>
      <c r="G3475" s="5">
        <f>XLOOKUP(I3475, drug!B:B, drug!A:A, "Not Found")</f>
      </c>
      <c r="H3475" s="1"/>
      <c r="I3475" s="7">
        <v>1</v>
      </c>
      <c r="J3475" s="5">
        <f>XLOOKUP(L3475, uom!C:C, uom!B:B, "Not Found")</f>
      </c>
      <c r="K3475" s="1" t="s">
        <v>5511</v>
      </c>
      <c r="L3475" s="5">
        <f>XLOOKUP(N3475, uom!C:C, uom!B:B, "Not Found")</f>
      </c>
      <c r="M3475" s="1" t="s">
        <v>5511</v>
      </c>
      <c r="N3475" s="8" t="s">
        <v>5512</v>
      </c>
      <c r="O3475" s="1" t="s">
        <v>5513</v>
      </c>
      <c r="P3475" s="5">
        <f>XLOOKUP(R3475, classification!C:C, classification!B:B, "Not Found")</f>
      </c>
      <c r="Q3475" s="1" t="s">
        <v>5514</v>
      </c>
      <c r="R3475" s="2"/>
      <c r="S3475" s="2"/>
      <c r="T3475" s="2"/>
      <c r="U3475" s="2"/>
    </row>
    <row x14ac:dyDescent="0.25" r="3476" customHeight="1" ht="17.25">
      <c r="A3476" s="7">
        <v>3475</v>
      </c>
      <c r="B3476" s="1" t="s">
        <v>8790</v>
      </c>
      <c r="C3476" s="5">
        <f>CONCATENATE("PD", TEXT(A3476, "1000000"))</f>
      </c>
      <c r="D3476" s="7">
        <v>76</v>
      </c>
      <c r="E3476" s="5">
        <f>XLOOKUP(G3476, item_category!C:C, item_category!B:B, "Not Found")</f>
      </c>
      <c r="F3476" s="1" t="s">
        <v>5632</v>
      </c>
      <c r="G3476" s="5">
        <f>XLOOKUP(I3476, drug!B:B, drug!A:A, "Not Found")</f>
      </c>
      <c r="H3476" s="1"/>
      <c r="I3476" s="7">
        <v>1</v>
      </c>
      <c r="J3476" s="5">
        <f>XLOOKUP(L3476, uom!C:C, uom!B:B, "Not Found")</f>
      </c>
      <c r="K3476" s="1" t="s">
        <v>5511</v>
      </c>
      <c r="L3476" s="5">
        <f>XLOOKUP(N3476, uom!C:C, uom!B:B, "Not Found")</f>
      </c>
      <c r="M3476" s="1" t="s">
        <v>5511</v>
      </c>
      <c r="N3476" s="8" t="s">
        <v>5512</v>
      </c>
      <c r="O3476" s="1" t="s">
        <v>5513</v>
      </c>
      <c r="P3476" s="5">
        <f>XLOOKUP(R3476, classification!C:C, classification!B:B, "Not Found")</f>
      </c>
      <c r="Q3476" s="1" t="s">
        <v>5514</v>
      </c>
      <c r="R3476" s="2"/>
      <c r="S3476" s="2"/>
      <c r="T3476" s="2"/>
      <c r="U3476" s="2"/>
    </row>
    <row x14ac:dyDescent="0.25" r="3477" customHeight="1" ht="17.25">
      <c r="A3477" s="7">
        <v>3476</v>
      </c>
      <c r="B3477" s="1" t="s">
        <v>8791</v>
      </c>
      <c r="C3477" s="5">
        <f>CONCATENATE("PD", TEXT(A3477, "1000000"))</f>
      </c>
      <c r="D3477" s="7">
        <v>76</v>
      </c>
      <c r="E3477" s="5">
        <f>XLOOKUP(G3477, item_category!C:C, item_category!B:B, "Not Found")</f>
      </c>
      <c r="F3477" s="1" t="s">
        <v>5632</v>
      </c>
      <c r="G3477" s="5">
        <f>XLOOKUP(I3477, drug!B:B, drug!A:A, "Not Found")</f>
      </c>
      <c r="H3477" s="1"/>
      <c r="I3477" s="7">
        <v>1</v>
      </c>
      <c r="J3477" s="5">
        <f>XLOOKUP(L3477, uom!C:C, uom!B:B, "Not Found")</f>
      </c>
      <c r="K3477" s="1" t="s">
        <v>5511</v>
      </c>
      <c r="L3477" s="5">
        <f>XLOOKUP(N3477, uom!C:C, uom!B:B, "Not Found")</f>
      </c>
      <c r="M3477" s="1" t="s">
        <v>5511</v>
      </c>
      <c r="N3477" s="8" t="s">
        <v>5512</v>
      </c>
      <c r="O3477" s="1" t="s">
        <v>5513</v>
      </c>
      <c r="P3477" s="5">
        <f>XLOOKUP(R3477, classification!C:C, classification!B:B, "Not Found")</f>
      </c>
      <c r="Q3477" s="1" t="s">
        <v>5514</v>
      </c>
      <c r="R3477" s="2"/>
      <c r="S3477" s="2"/>
      <c r="T3477" s="2"/>
      <c r="U3477" s="2"/>
    </row>
    <row x14ac:dyDescent="0.25" r="3478" customHeight="1" ht="17.25">
      <c r="A3478" s="7">
        <v>3477</v>
      </c>
      <c r="B3478" s="1" t="s">
        <v>8792</v>
      </c>
      <c r="C3478" s="5">
        <f>CONCATENATE("PD", TEXT(A3478, "1000000"))</f>
      </c>
      <c r="D3478" s="7">
        <v>76</v>
      </c>
      <c r="E3478" s="5">
        <f>XLOOKUP(G3478, item_category!C:C, item_category!B:B, "Not Found")</f>
      </c>
      <c r="F3478" s="1" t="s">
        <v>5632</v>
      </c>
      <c r="G3478" s="5">
        <f>XLOOKUP(I3478, drug!B:B, drug!A:A, "Not Found")</f>
      </c>
      <c r="H3478" s="1"/>
      <c r="I3478" s="7">
        <v>1</v>
      </c>
      <c r="J3478" s="5">
        <f>XLOOKUP(L3478, uom!C:C, uom!B:B, "Not Found")</f>
      </c>
      <c r="K3478" s="1" t="s">
        <v>5511</v>
      </c>
      <c r="L3478" s="5">
        <f>XLOOKUP(N3478, uom!C:C, uom!B:B, "Not Found")</f>
      </c>
      <c r="M3478" s="1" t="s">
        <v>5511</v>
      </c>
      <c r="N3478" s="8" t="s">
        <v>5512</v>
      </c>
      <c r="O3478" s="1" t="s">
        <v>5513</v>
      </c>
      <c r="P3478" s="5">
        <f>XLOOKUP(R3478, classification!C:C, classification!B:B, "Not Found")</f>
      </c>
      <c r="Q3478" s="1" t="s">
        <v>5514</v>
      </c>
      <c r="R3478" s="2"/>
      <c r="S3478" s="2"/>
      <c r="T3478" s="2"/>
      <c r="U3478" s="2"/>
    </row>
    <row x14ac:dyDescent="0.25" r="3479" customHeight="1" ht="17.25">
      <c r="A3479" s="7">
        <v>3478</v>
      </c>
      <c r="B3479" s="1" t="s">
        <v>8793</v>
      </c>
      <c r="C3479" s="5">
        <f>CONCATENATE("PD", TEXT(A3479, "1000000"))</f>
      </c>
      <c r="D3479" s="7">
        <v>76</v>
      </c>
      <c r="E3479" s="5">
        <f>XLOOKUP(G3479, item_category!C:C, item_category!B:B, "Not Found")</f>
      </c>
      <c r="F3479" s="1" t="s">
        <v>5632</v>
      </c>
      <c r="G3479" s="5">
        <f>XLOOKUP(I3479, drug!B:B, drug!A:A, "Not Found")</f>
      </c>
      <c r="H3479" s="1"/>
      <c r="I3479" s="7">
        <v>1</v>
      </c>
      <c r="J3479" s="5">
        <f>XLOOKUP(L3479, uom!C:C, uom!B:B, "Not Found")</f>
      </c>
      <c r="K3479" s="1" t="s">
        <v>5511</v>
      </c>
      <c r="L3479" s="5">
        <f>XLOOKUP(N3479, uom!C:C, uom!B:B, "Not Found")</f>
      </c>
      <c r="M3479" s="1" t="s">
        <v>5511</v>
      </c>
      <c r="N3479" s="8" t="s">
        <v>5512</v>
      </c>
      <c r="O3479" s="1" t="s">
        <v>5513</v>
      </c>
      <c r="P3479" s="5">
        <f>XLOOKUP(R3479, classification!C:C, classification!B:B, "Not Found")</f>
      </c>
      <c r="Q3479" s="1" t="s">
        <v>5514</v>
      </c>
      <c r="R3479" s="2"/>
      <c r="S3479" s="2"/>
      <c r="T3479" s="2"/>
      <c r="U3479" s="2"/>
    </row>
    <row x14ac:dyDescent="0.25" r="3480" customHeight="1" ht="17.25">
      <c r="A3480" s="7">
        <v>3479</v>
      </c>
      <c r="B3480" s="1" t="s">
        <v>8794</v>
      </c>
      <c r="C3480" s="5">
        <f>CONCATENATE("PD", TEXT(A3480, "1000000"))</f>
      </c>
      <c r="D3480" s="7">
        <v>76</v>
      </c>
      <c r="E3480" s="5">
        <f>XLOOKUP(G3480, item_category!C:C, item_category!B:B, "Not Found")</f>
      </c>
      <c r="F3480" s="1" t="s">
        <v>5632</v>
      </c>
      <c r="G3480" s="5">
        <f>XLOOKUP(I3480, drug!B:B, drug!A:A, "Not Found")</f>
      </c>
      <c r="H3480" s="1"/>
      <c r="I3480" s="7">
        <v>1</v>
      </c>
      <c r="J3480" s="5">
        <f>XLOOKUP(L3480, uom!C:C, uom!B:B, "Not Found")</f>
      </c>
      <c r="K3480" s="1" t="s">
        <v>5511</v>
      </c>
      <c r="L3480" s="5">
        <f>XLOOKUP(N3480, uom!C:C, uom!B:B, "Not Found")</f>
      </c>
      <c r="M3480" s="1" t="s">
        <v>5511</v>
      </c>
      <c r="N3480" s="8" t="s">
        <v>5512</v>
      </c>
      <c r="O3480" s="1" t="s">
        <v>5513</v>
      </c>
      <c r="P3480" s="5">
        <f>XLOOKUP(R3480, classification!C:C, classification!B:B, "Not Found")</f>
      </c>
      <c r="Q3480" s="1" t="s">
        <v>5514</v>
      </c>
      <c r="R3480" s="2"/>
      <c r="S3480" s="2"/>
      <c r="T3480" s="2"/>
      <c r="U3480" s="2"/>
    </row>
    <row x14ac:dyDescent="0.25" r="3481" customHeight="1" ht="17.25">
      <c r="A3481" s="7">
        <v>3480</v>
      </c>
      <c r="B3481" s="1" t="s">
        <v>8795</v>
      </c>
      <c r="C3481" s="5">
        <f>CONCATENATE("PD", TEXT(A3481, "1000000"))</f>
      </c>
      <c r="D3481" s="7">
        <v>76</v>
      </c>
      <c r="E3481" s="5">
        <f>XLOOKUP(G3481, item_category!C:C, item_category!B:B, "Not Found")</f>
      </c>
      <c r="F3481" s="1" t="s">
        <v>5632</v>
      </c>
      <c r="G3481" s="5">
        <f>XLOOKUP(I3481, drug!B:B, drug!A:A, "Not Found")</f>
      </c>
      <c r="H3481" s="1"/>
      <c r="I3481" s="7">
        <v>1</v>
      </c>
      <c r="J3481" s="5">
        <f>XLOOKUP(L3481, uom!C:C, uom!B:B, "Not Found")</f>
      </c>
      <c r="K3481" s="1" t="s">
        <v>5511</v>
      </c>
      <c r="L3481" s="5">
        <f>XLOOKUP(N3481, uom!C:C, uom!B:B, "Not Found")</f>
      </c>
      <c r="M3481" s="1" t="s">
        <v>5511</v>
      </c>
      <c r="N3481" s="8" t="s">
        <v>5512</v>
      </c>
      <c r="O3481" s="1" t="s">
        <v>5513</v>
      </c>
      <c r="P3481" s="5">
        <f>XLOOKUP(R3481, classification!C:C, classification!B:B, "Not Found")</f>
      </c>
      <c r="Q3481" s="1" t="s">
        <v>5514</v>
      </c>
      <c r="R3481" s="2"/>
      <c r="S3481" s="2"/>
      <c r="T3481" s="2"/>
      <c r="U3481" s="2"/>
    </row>
    <row x14ac:dyDescent="0.25" r="3482" customHeight="1" ht="17.25">
      <c r="A3482" s="7">
        <v>3481</v>
      </c>
      <c r="B3482" s="1" t="s">
        <v>8796</v>
      </c>
      <c r="C3482" s="5">
        <f>CONCATENATE("PD", TEXT(A3482, "1000000"))</f>
      </c>
      <c r="D3482" s="7">
        <v>76</v>
      </c>
      <c r="E3482" s="5">
        <f>XLOOKUP(G3482, item_category!C:C, item_category!B:B, "Not Found")</f>
      </c>
      <c r="F3482" s="1" t="s">
        <v>5632</v>
      </c>
      <c r="G3482" s="5">
        <f>XLOOKUP(I3482, drug!B:B, drug!A:A, "Not Found")</f>
      </c>
      <c r="H3482" s="1"/>
      <c r="I3482" s="7">
        <v>1</v>
      </c>
      <c r="J3482" s="5">
        <f>XLOOKUP(L3482, uom!C:C, uom!B:B, "Not Found")</f>
      </c>
      <c r="K3482" s="1" t="s">
        <v>5511</v>
      </c>
      <c r="L3482" s="5">
        <f>XLOOKUP(N3482, uom!C:C, uom!B:B, "Not Found")</f>
      </c>
      <c r="M3482" s="1" t="s">
        <v>5511</v>
      </c>
      <c r="N3482" s="8" t="s">
        <v>5512</v>
      </c>
      <c r="O3482" s="1" t="s">
        <v>5513</v>
      </c>
      <c r="P3482" s="5">
        <f>XLOOKUP(R3482, classification!C:C, classification!B:B, "Not Found")</f>
      </c>
      <c r="Q3482" s="1" t="s">
        <v>5514</v>
      </c>
      <c r="R3482" s="2"/>
      <c r="S3482" s="2"/>
      <c r="T3482" s="2"/>
      <c r="U3482" s="2"/>
    </row>
    <row x14ac:dyDescent="0.25" r="3483" customHeight="1" ht="17.25">
      <c r="A3483" s="7">
        <v>3482</v>
      </c>
      <c r="B3483" s="1" t="s">
        <v>8797</v>
      </c>
      <c r="C3483" s="5">
        <f>CONCATENATE("PD", TEXT(A3483, "1000000"))</f>
      </c>
      <c r="D3483" s="7">
        <v>76</v>
      </c>
      <c r="E3483" s="5">
        <f>XLOOKUP(G3483, item_category!C:C, item_category!B:B, "Not Found")</f>
      </c>
      <c r="F3483" s="1" t="s">
        <v>5632</v>
      </c>
      <c r="G3483" s="5">
        <f>XLOOKUP(I3483, drug!B:B, drug!A:A, "Not Found")</f>
      </c>
      <c r="H3483" s="1"/>
      <c r="I3483" s="7">
        <v>1</v>
      </c>
      <c r="J3483" s="5">
        <f>XLOOKUP(L3483, uom!C:C, uom!B:B, "Not Found")</f>
      </c>
      <c r="K3483" s="1" t="s">
        <v>5511</v>
      </c>
      <c r="L3483" s="5">
        <f>XLOOKUP(N3483, uom!C:C, uom!B:B, "Not Found")</f>
      </c>
      <c r="M3483" s="1" t="s">
        <v>5511</v>
      </c>
      <c r="N3483" s="8" t="s">
        <v>5512</v>
      </c>
      <c r="O3483" s="1" t="s">
        <v>5513</v>
      </c>
      <c r="P3483" s="5">
        <f>XLOOKUP(R3483, classification!C:C, classification!B:B, "Not Found")</f>
      </c>
      <c r="Q3483" s="1" t="s">
        <v>5514</v>
      </c>
      <c r="R3483" s="2"/>
      <c r="S3483" s="2"/>
      <c r="T3483" s="2"/>
      <c r="U3483" s="2"/>
    </row>
    <row x14ac:dyDescent="0.25" r="3484" customHeight="1" ht="17.25">
      <c r="A3484" s="7">
        <v>3483</v>
      </c>
      <c r="B3484" s="1" t="s">
        <v>8798</v>
      </c>
      <c r="C3484" s="5">
        <f>CONCATENATE("PD", TEXT(A3484, "1000000"))</f>
      </c>
      <c r="D3484" s="7">
        <v>76</v>
      </c>
      <c r="E3484" s="5">
        <f>XLOOKUP(G3484, item_category!C:C, item_category!B:B, "Not Found")</f>
      </c>
      <c r="F3484" s="1" t="s">
        <v>5632</v>
      </c>
      <c r="G3484" s="5">
        <f>XLOOKUP(I3484, drug!B:B, drug!A:A, "Not Found")</f>
      </c>
      <c r="H3484" s="1"/>
      <c r="I3484" s="7">
        <v>1</v>
      </c>
      <c r="J3484" s="5">
        <f>XLOOKUP(L3484, uom!C:C, uom!B:B, "Not Found")</f>
      </c>
      <c r="K3484" s="1" t="s">
        <v>5511</v>
      </c>
      <c r="L3484" s="5">
        <f>XLOOKUP(N3484, uom!C:C, uom!B:B, "Not Found")</f>
      </c>
      <c r="M3484" s="1" t="s">
        <v>5511</v>
      </c>
      <c r="N3484" s="8" t="s">
        <v>5512</v>
      </c>
      <c r="O3484" s="1" t="s">
        <v>5513</v>
      </c>
      <c r="P3484" s="5">
        <f>XLOOKUP(R3484, classification!C:C, classification!B:B, "Not Found")</f>
      </c>
      <c r="Q3484" s="1" t="s">
        <v>5514</v>
      </c>
      <c r="R3484" s="2"/>
      <c r="S3484" s="2"/>
      <c r="T3484" s="2"/>
      <c r="U3484" s="2"/>
    </row>
    <row x14ac:dyDescent="0.25" r="3485" customHeight="1" ht="17.25">
      <c r="A3485" s="7">
        <v>3484</v>
      </c>
      <c r="B3485" s="1" t="s">
        <v>8799</v>
      </c>
      <c r="C3485" s="5">
        <f>CONCATENATE("PD", TEXT(A3485, "1000000"))</f>
      </c>
      <c r="D3485" s="7">
        <v>76</v>
      </c>
      <c r="E3485" s="5">
        <f>XLOOKUP(G3485, item_category!C:C, item_category!B:B, "Not Found")</f>
      </c>
      <c r="F3485" s="1" t="s">
        <v>5632</v>
      </c>
      <c r="G3485" s="5">
        <f>XLOOKUP(I3485, drug!B:B, drug!A:A, "Not Found")</f>
      </c>
      <c r="H3485" s="1"/>
      <c r="I3485" s="7">
        <v>1</v>
      </c>
      <c r="J3485" s="5">
        <f>XLOOKUP(L3485, uom!C:C, uom!B:B, "Not Found")</f>
      </c>
      <c r="K3485" s="1" t="s">
        <v>5511</v>
      </c>
      <c r="L3485" s="5">
        <f>XLOOKUP(N3485, uom!C:C, uom!B:B, "Not Found")</f>
      </c>
      <c r="M3485" s="1" t="s">
        <v>5511</v>
      </c>
      <c r="N3485" s="8" t="s">
        <v>5512</v>
      </c>
      <c r="O3485" s="1" t="s">
        <v>5513</v>
      </c>
      <c r="P3485" s="5">
        <f>XLOOKUP(R3485, classification!C:C, classification!B:B, "Not Found")</f>
      </c>
      <c r="Q3485" s="1" t="s">
        <v>5514</v>
      </c>
      <c r="R3485" s="2"/>
      <c r="S3485" s="2"/>
      <c r="T3485" s="2"/>
      <c r="U3485" s="2"/>
    </row>
    <row x14ac:dyDescent="0.25" r="3486" customHeight="1" ht="17.25">
      <c r="A3486" s="7">
        <v>3485</v>
      </c>
      <c r="B3486" s="1" t="s">
        <v>8800</v>
      </c>
      <c r="C3486" s="5">
        <f>CONCATENATE("PD", TEXT(A3486, "1000000"))</f>
      </c>
      <c r="D3486" s="7">
        <v>76</v>
      </c>
      <c r="E3486" s="5">
        <f>XLOOKUP(G3486, item_category!C:C, item_category!B:B, "Not Found")</f>
      </c>
      <c r="F3486" s="1" t="s">
        <v>5632</v>
      </c>
      <c r="G3486" s="5">
        <f>XLOOKUP(I3486, drug!B:B, drug!A:A, "Not Found")</f>
      </c>
      <c r="H3486" s="1"/>
      <c r="I3486" s="7">
        <v>1</v>
      </c>
      <c r="J3486" s="5">
        <f>XLOOKUP(L3486, uom!C:C, uom!B:B, "Not Found")</f>
      </c>
      <c r="K3486" s="1" t="s">
        <v>5511</v>
      </c>
      <c r="L3486" s="5">
        <f>XLOOKUP(N3486, uom!C:C, uom!B:B, "Not Found")</f>
      </c>
      <c r="M3486" s="1" t="s">
        <v>5511</v>
      </c>
      <c r="N3486" s="8" t="s">
        <v>5512</v>
      </c>
      <c r="O3486" s="1" t="s">
        <v>5513</v>
      </c>
      <c r="P3486" s="5">
        <f>XLOOKUP(R3486, classification!C:C, classification!B:B, "Not Found")</f>
      </c>
      <c r="Q3486" s="1" t="s">
        <v>5514</v>
      </c>
      <c r="R3486" s="2"/>
      <c r="S3486" s="2"/>
      <c r="T3486" s="2"/>
      <c r="U3486" s="2"/>
    </row>
    <row x14ac:dyDescent="0.25" r="3487" customHeight="1" ht="17.25">
      <c r="A3487" s="7">
        <v>3486</v>
      </c>
      <c r="B3487" s="1" t="s">
        <v>8801</v>
      </c>
      <c r="C3487" s="5">
        <f>CONCATENATE("PD", TEXT(A3487, "1000000"))</f>
      </c>
      <c r="D3487" s="7">
        <v>76</v>
      </c>
      <c r="E3487" s="5">
        <f>XLOOKUP(G3487, item_category!C:C, item_category!B:B, "Not Found")</f>
      </c>
      <c r="F3487" s="1" t="s">
        <v>5632</v>
      </c>
      <c r="G3487" s="5">
        <f>XLOOKUP(I3487, drug!B:B, drug!A:A, "Not Found")</f>
      </c>
      <c r="H3487" s="1"/>
      <c r="I3487" s="7">
        <v>1</v>
      </c>
      <c r="J3487" s="5">
        <f>XLOOKUP(L3487, uom!C:C, uom!B:B, "Not Found")</f>
      </c>
      <c r="K3487" s="1" t="s">
        <v>5511</v>
      </c>
      <c r="L3487" s="5">
        <f>XLOOKUP(N3487, uom!C:C, uom!B:B, "Not Found")</f>
      </c>
      <c r="M3487" s="1" t="s">
        <v>5511</v>
      </c>
      <c r="N3487" s="8" t="s">
        <v>5512</v>
      </c>
      <c r="O3487" s="1" t="s">
        <v>5513</v>
      </c>
      <c r="P3487" s="5">
        <f>XLOOKUP(R3487, classification!C:C, classification!B:B, "Not Found")</f>
      </c>
      <c r="Q3487" s="1" t="s">
        <v>5514</v>
      </c>
      <c r="R3487" s="2"/>
      <c r="S3487" s="2"/>
      <c r="T3487" s="2"/>
      <c r="U3487" s="2"/>
    </row>
    <row x14ac:dyDescent="0.25" r="3488" customHeight="1" ht="17.25">
      <c r="A3488" s="7">
        <v>3487</v>
      </c>
      <c r="B3488" s="1" t="s">
        <v>8802</v>
      </c>
      <c r="C3488" s="5">
        <f>CONCATENATE("PD", TEXT(A3488, "1000000"))</f>
      </c>
      <c r="D3488" s="7">
        <v>76</v>
      </c>
      <c r="E3488" s="5">
        <f>XLOOKUP(G3488, item_category!C:C, item_category!B:B, "Not Found")</f>
      </c>
      <c r="F3488" s="1" t="s">
        <v>5632</v>
      </c>
      <c r="G3488" s="5">
        <f>XLOOKUP(I3488, drug!B:B, drug!A:A, "Not Found")</f>
      </c>
      <c r="H3488" s="1"/>
      <c r="I3488" s="7">
        <v>1</v>
      </c>
      <c r="J3488" s="5">
        <f>XLOOKUP(L3488, uom!C:C, uom!B:B, "Not Found")</f>
      </c>
      <c r="K3488" s="1" t="s">
        <v>5511</v>
      </c>
      <c r="L3488" s="5">
        <f>XLOOKUP(N3488, uom!C:C, uom!B:B, "Not Found")</f>
      </c>
      <c r="M3488" s="1" t="s">
        <v>5511</v>
      </c>
      <c r="N3488" s="8" t="s">
        <v>5512</v>
      </c>
      <c r="O3488" s="1" t="s">
        <v>5513</v>
      </c>
      <c r="P3488" s="5">
        <f>XLOOKUP(R3488, classification!C:C, classification!B:B, "Not Found")</f>
      </c>
      <c r="Q3488" s="1" t="s">
        <v>5514</v>
      </c>
      <c r="R3488" s="2"/>
      <c r="S3488" s="2"/>
      <c r="T3488" s="2"/>
      <c r="U3488" s="2"/>
    </row>
    <row x14ac:dyDescent="0.25" r="3489" customHeight="1" ht="17.25">
      <c r="A3489" s="7">
        <v>3488</v>
      </c>
      <c r="B3489" s="1" t="s">
        <v>8803</v>
      </c>
      <c r="C3489" s="5">
        <f>CONCATENATE("PD", TEXT(A3489, "1000000"))</f>
      </c>
      <c r="D3489" s="7">
        <v>76</v>
      </c>
      <c r="E3489" s="5">
        <f>XLOOKUP(G3489, item_category!C:C, item_category!B:B, "Not Found")</f>
      </c>
      <c r="F3489" s="1" t="s">
        <v>5632</v>
      </c>
      <c r="G3489" s="5">
        <f>XLOOKUP(I3489, drug!B:B, drug!A:A, "Not Found")</f>
      </c>
      <c r="H3489" s="1"/>
      <c r="I3489" s="7">
        <v>1</v>
      </c>
      <c r="J3489" s="5">
        <f>XLOOKUP(L3489, uom!C:C, uom!B:B, "Not Found")</f>
      </c>
      <c r="K3489" s="1" t="s">
        <v>5511</v>
      </c>
      <c r="L3489" s="5">
        <f>XLOOKUP(N3489, uom!C:C, uom!B:B, "Not Found")</f>
      </c>
      <c r="M3489" s="1" t="s">
        <v>5511</v>
      </c>
      <c r="N3489" s="8" t="s">
        <v>5512</v>
      </c>
      <c r="O3489" s="1" t="s">
        <v>5513</v>
      </c>
      <c r="P3489" s="5">
        <f>XLOOKUP(R3489, classification!C:C, classification!B:B, "Not Found")</f>
      </c>
      <c r="Q3489" s="1" t="s">
        <v>5514</v>
      </c>
      <c r="R3489" s="2"/>
      <c r="S3489" s="2"/>
      <c r="T3489" s="2"/>
      <c r="U3489" s="2"/>
    </row>
    <row x14ac:dyDescent="0.25" r="3490" customHeight="1" ht="17.25">
      <c r="A3490" s="7">
        <v>3489</v>
      </c>
      <c r="B3490" s="1" t="s">
        <v>8804</v>
      </c>
      <c r="C3490" s="5">
        <f>CONCATENATE("PD", TEXT(A3490, "1000000"))</f>
      </c>
      <c r="D3490" s="7">
        <v>76</v>
      </c>
      <c r="E3490" s="5">
        <f>XLOOKUP(G3490, item_category!C:C, item_category!B:B, "Not Found")</f>
      </c>
      <c r="F3490" s="1" t="s">
        <v>5632</v>
      </c>
      <c r="G3490" s="5">
        <f>XLOOKUP(I3490, drug!B:B, drug!A:A, "Not Found")</f>
      </c>
      <c r="H3490" s="1"/>
      <c r="I3490" s="7">
        <v>1</v>
      </c>
      <c r="J3490" s="5">
        <f>XLOOKUP(L3490, uom!C:C, uom!B:B, "Not Found")</f>
      </c>
      <c r="K3490" s="1" t="s">
        <v>5511</v>
      </c>
      <c r="L3490" s="5">
        <f>XLOOKUP(N3490, uom!C:C, uom!B:B, "Not Found")</f>
      </c>
      <c r="M3490" s="1" t="s">
        <v>5511</v>
      </c>
      <c r="N3490" s="8" t="s">
        <v>5512</v>
      </c>
      <c r="O3490" s="1" t="s">
        <v>5513</v>
      </c>
      <c r="P3490" s="5">
        <f>XLOOKUP(R3490, classification!C:C, classification!B:B, "Not Found")</f>
      </c>
      <c r="Q3490" s="1" t="s">
        <v>5514</v>
      </c>
      <c r="R3490" s="2"/>
      <c r="S3490" s="2"/>
      <c r="T3490" s="2"/>
      <c r="U3490" s="2"/>
    </row>
    <row x14ac:dyDescent="0.25" r="3491" customHeight="1" ht="17.25">
      <c r="A3491" s="7">
        <v>3490</v>
      </c>
      <c r="B3491" s="1" t="s">
        <v>8805</v>
      </c>
      <c r="C3491" s="5">
        <f>CONCATENATE("PD", TEXT(A3491, "1000000"))</f>
      </c>
      <c r="D3491" s="7">
        <v>76</v>
      </c>
      <c r="E3491" s="5">
        <f>XLOOKUP(G3491, item_category!C:C, item_category!B:B, "Not Found")</f>
      </c>
      <c r="F3491" s="1" t="s">
        <v>5632</v>
      </c>
      <c r="G3491" s="5">
        <f>XLOOKUP(I3491, drug!B:B, drug!A:A, "Not Found")</f>
      </c>
      <c r="H3491" s="1"/>
      <c r="I3491" s="7">
        <v>1</v>
      </c>
      <c r="J3491" s="5">
        <f>XLOOKUP(L3491, uom!C:C, uom!B:B, "Not Found")</f>
      </c>
      <c r="K3491" s="1" t="s">
        <v>5511</v>
      </c>
      <c r="L3491" s="5">
        <f>XLOOKUP(N3491, uom!C:C, uom!B:B, "Not Found")</f>
      </c>
      <c r="M3491" s="1" t="s">
        <v>5511</v>
      </c>
      <c r="N3491" s="8" t="s">
        <v>5512</v>
      </c>
      <c r="O3491" s="1" t="s">
        <v>5513</v>
      </c>
      <c r="P3491" s="5">
        <f>XLOOKUP(R3491, classification!C:C, classification!B:B, "Not Found")</f>
      </c>
      <c r="Q3491" s="1" t="s">
        <v>5514</v>
      </c>
      <c r="R3491" s="2"/>
      <c r="S3491" s="2"/>
      <c r="T3491" s="2"/>
      <c r="U3491" s="2"/>
    </row>
    <row x14ac:dyDescent="0.25" r="3492" customHeight="1" ht="17.25">
      <c r="A3492" s="7">
        <v>3491</v>
      </c>
      <c r="B3492" s="1" t="s">
        <v>8806</v>
      </c>
      <c r="C3492" s="5">
        <f>CONCATENATE("PD", TEXT(A3492, "1000000"))</f>
      </c>
      <c r="D3492" s="7">
        <v>76</v>
      </c>
      <c r="E3492" s="5">
        <f>XLOOKUP(G3492, item_category!C:C, item_category!B:B, "Not Found")</f>
      </c>
      <c r="F3492" s="1" t="s">
        <v>5632</v>
      </c>
      <c r="G3492" s="5">
        <f>XLOOKUP(I3492, drug!B:B, drug!A:A, "Not Found")</f>
      </c>
      <c r="H3492" s="1"/>
      <c r="I3492" s="7">
        <v>1</v>
      </c>
      <c r="J3492" s="5">
        <f>XLOOKUP(L3492, uom!C:C, uom!B:B, "Not Found")</f>
      </c>
      <c r="K3492" s="1" t="s">
        <v>5511</v>
      </c>
      <c r="L3492" s="5">
        <f>XLOOKUP(N3492, uom!C:C, uom!B:B, "Not Found")</f>
      </c>
      <c r="M3492" s="1" t="s">
        <v>5511</v>
      </c>
      <c r="N3492" s="8" t="s">
        <v>5512</v>
      </c>
      <c r="O3492" s="1" t="s">
        <v>5513</v>
      </c>
      <c r="P3492" s="5">
        <f>XLOOKUP(R3492, classification!C:C, classification!B:B, "Not Found")</f>
      </c>
      <c r="Q3492" s="1" t="s">
        <v>5514</v>
      </c>
      <c r="R3492" s="2"/>
      <c r="S3492" s="2"/>
      <c r="T3492" s="2"/>
      <c r="U3492" s="2"/>
    </row>
    <row x14ac:dyDescent="0.25" r="3493" customHeight="1" ht="17.25">
      <c r="A3493" s="7">
        <v>3492</v>
      </c>
      <c r="B3493" s="1" t="s">
        <v>8807</v>
      </c>
      <c r="C3493" s="5">
        <f>CONCATENATE("PD", TEXT(A3493, "1000000"))</f>
      </c>
      <c r="D3493" s="7">
        <v>76</v>
      </c>
      <c r="E3493" s="5">
        <f>XLOOKUP(G3493, item_category!C:C, item_category!B:B, "Not Found")</f>
      </c>
      <c r="F3493" s="1" t="s">
        <v>5632</v>
      </c>
      <c r="G3493" s="5">
        <f>XLOOKUP(I3493, drug!B:B, drug!A:A, "Not Found")</f>
      </c>
      <c r="H3493" s="1" t="s">
        <v>1588</v>
      </c>
      <c r="I3493" s="7">
        <v>1</v>
      </c>
      <c r="J3493" s="5">
        <f>XLOOKUP(L3493, uom!C:C, uom!B:B, "Not Found")</f>
      </c>
      <c r="K3493" s="1" t="s">
        <v>5511</v>
      </c>
      <c r="L3493" s="5">
        <f>XLOOKUP(N3493, uom!C:C, uom!B:B, "Not Found")</f>
      </c>
      <c r="M3493" s="1" t="s">
        <v>5511</v>
      </c>
      <c r="N3493" s="8" t="s">
        <v>5512</v>
      </c>
      <c r="O3493" s="1" t="s">
        <v>5513</v>
      </c>
      <c r="P3493" s="5">
        <f>XLOOKUP(R3493, classification!C:C, classification!B:B, "Not Found")</f>
      </c>
      <c r="Q3493" s="1" t="s">
        <v>5514</v>
      </c>
      <c r="R3493" s="2"/>
      <c r="S3493" s="2"/>
      <c r="T3493" s="2"/>
      <c r="U3493" s="2"/>
    </row>
    <row x14ac:dyDescent="0.25" r="3494" customHeight="1" ht="17.25">
      <c r="A3494" s="7">
        <v>3493</v>
      </c>
      <c r="B3494" s="1" t="s">
        <v>8808</v>
      </c>
      <c r="C3494" s="5">
        <f>CONCATENATE("PD", TEXT(A3494, "1000000"))</f>
      </c>
      <c r="D3494" s="7">
        <v>76</v>
      </c>
      <c r="E3494" s="5">
        <f>XLOOKUP(G3494, item_category!C:C, item_category!B:B, "Not Found")</f>
      </c>
      <c r="F3494" s="1" t="s">
        <v>5632</v>
      </c>
      <c r="G3494" s="5">
        <f>XLOOKUP(I3494, drug!B:B, drug!A:A, "Not Found")</f>
      </c>
      <c r="H3494" s="1"/>
      <c r="I3494" s="7">
        <v>1</v>
      </c>
      <c r="J3494" s="5">
        <f>XLOOKUP(L3494, uom!C:C, uom!B:B, "Not Found")</f>
      </c>
      <c r="K3494" s="1" t="s">
        <v>5511</v>
      </c>
      <c r="L3494" s="5">
        <f>XLOOKUP(N3494, uom!C:C, uom!B:B, "Not Found")</f>
      </c>
      <c r="M3494" s="1" t="s">
        <v>5511</v>
      </c>
      <c r="N3494" s="8" t="s">
        <v>5512</v>
      </c>
      <c r="O3494" s="1" t="s">
        <v>5513</v>
      </c>
      <c r="P3494" s="5">
        <f>XLOOKUP(R3494, classification!C:C, classification!B:B, "Not Found")</f>
      </c>
      <c r="Q3494" s="1" t="s">
        <v>5514</v>
      </c>
      <c r="R3494" s="2"/>
      <c r="S3494" s="2"/>
      <c r="T3494" s="2"/>
      <c r="U3494" s="2"/>
    </row>
    <row x14ac:dyDescent="0.25" r="3495" customHeight="1" ht="17.25">
      <c r="A3495" s="7">
        <v>3494</v>
      </c>
      <c r="B3495" s="1" t="s">
        <v>8809</v>
      </c>
      <c r="C3495" s="5">
        <f>CONCATENATE("PD", TEXT(A3495, "1000000"))</f>
      </c>
      <c r="D3495" s="7">
        <v>76</v>
      </c>
      <c r="E3495" s="5">
        <f>XLOOKUP(G3495, item_category!C:C, item_category!B:B, "Not Found")</f>
      </c>
      <c r="F3495" s="1" t="s">
        <v>5632</v>
      </c>
      <c r="G3495" s="5">
        <f>XLOOKUP(I3495, drug!B:B, drug!A:A, "Not Found")</f>
      </c>
      <c r="H3495" s="1"/>
      <c r="I3495" s="7">
        <v>1</v>
      </c>
      <c r="J3495" s="5">
        <f>XLOOKUP(L3495, uom!C:C, uom!B:B, "Not Found")</f>
      </c>
      <c r="K3495" s="1" t="s">
        <v>5511</v>
      </c>
      <c r="L3495" s="5">
        <f>XLOOKUP(N3495, uom!C:C, uom!B:B, "Not Found")</f>
      </c>
      <c r="M3495" s="1" t="s">
        <v>5511</v>
      </c>
      <c r="N3495" s="8" t="s">
        <v>5512</v>
      </c>
      <c r="O3495" s="1" t="s">
        <v>5513</v>
      </c>
      <c r="P3495" s="5">
        <f>XLOOKUP(R3495, classification!C:C, classification!B:B, "Not Found")</f>
      </c>
      <c r="Q3495" s="1" t="s">
        <v>5514</v>
      </c>
      <c r="R3495" s="2"/>
      <c r="S3495" s="2"/>
      <c r="T3495" s="2"/>
      <c r="U3495" s="2"/>
    </row>
    <row x14ac:dyDescent="0.25" r="3496" customHeight="1" ht="17.25">
      <c r="A3496" s="7">
        <v>3495</v>
      </c>
      <c r="B3496" s="1" t="s">
        <v>8810</v>
      </c>
      <c r="C3496" s="5">
        <f>CONCATENATE("PD", TEXT(A3496, "1000000"))</f>
      </c>
      <c r="D3496" s="7">
        <v>76</v>
      </c>
      <c r="E3496" s="5">
        <f>XLOOKUP(G3496, item_category!C:C, item_category!B:B, "Not Found")</f>
      </c>
      <c r="F3496" s="1" t="s">
        <v>5632</v>
      </c>
      <c r="G3496" s="5">
        <f>XLOOKUP(I3496, drug!B:B, drug!A:A, "Not Found")</f>
      </c>
      <c r="H3496" s="1"/>
      <c r="I3496" s="7">
        <v>1</v>
      </c>
      <c r="J3496" s="5">
        <f>XLOOKUP(L3496, uom!C:C, uom!B:B, "Not Found")</f>
      </c>
      <c r="K3496" s="1" t="s">
        <v>5511</v>
      </c>
      <c r="L3496" s="5">
        <f>XLOOKUP(N3496, uom!C:C, uom!B:B, "Not Found")</f>
      </c>
      <c r="M3496" s="1" t="s">
        <v>5511</v>
      </c>
      <c r="N3496" s="8" t="s">
        <v>5512</v>
      </c>
      <c r="O3496" s="1" t="s">
        <v>5513</v>
      </c>
      <c r="P3496" s="5">
        <f>XLOOKUP(R3496, classification!C:C, classification!B:B, "Not Found")</f>
      </c>
      <c r="Q3496" s="1" t="s">
        <v>5514</v>
      </c>
      <c r="R3496" s="2"/>
      <c r="S3496" s="2"/>
      <c r="T3496" s="2"/>
      <c r="U3496" s="2"/>
    </row>
    <row x14ac:dyDescent="0.25" r="3497" customHeight="1" ht="17.25">
      <c r="A3497" s="7">
        <v>3496</v>
      </c>
      <c r="B3497" s="1" t="s">
        <v>8811</v>
      </c>
      <c r="C3497" s="5">
        <f>CONCATENATE("PD", TEXT(A3497, "1000000"))</f>
      </c>
      <c r="D3497" s="7">
        <v>76</v>
      </c>
      <c r="E3497" s="5">
        <f>XLOOKUP(G3497, item_category!C:C, item_category!B:B, "Not Found")</f>
      </c>
      <c r="F3497" s="1" t="s">
        <v>5632</v>
      </c>
      <c r="G3497" s="5">
        <f>XLOOKUP(I3497, drug!B:B, drug!A:A, "Not Found")</f>
      </c>
      <c r="H3497" s="1"/>
      <c r="I3497" s="7">
        <v>1</v>
      </c>
      <c r="J3497" s="5">
        <f>XLOOKUP(L3497, uom!C:C, uom!B:B, "Not Found")</f>
      </c>
      <c r="K3497" s="1" t="s">
        <v>5511</v>
      </c>
      <c r="L3497" s="5">
        <f>XLOOKUP(N3497, uom!C:C, uom!B:B, "Not Found")</f>
      </c>
      <c r="M3497" s="1" t="s">
        <v>5511</v>
      </c>
      <c r="N3497" s="8" t="s">
        <v>5512</v>
      </c>
      <c r="O3497" s="1" t="s">
        <v>5513</v>
      </c>
      <c r="P3497" s="5">
        <f>XLOOKUP(R3497, classification!C:C, classification!B:B, "Not Found")</f>
      </c>
      <c r="Q3497" s="1" t="s">
        <v>5514</v>
      </c>
      <c r="R3497" s="2"/>
      <c r="S3497" s="2"/>
      <c r="T3497" s="2"/>
      <c r="U3497" s="2"/>
    </row>
    <row x14ac:dyDescent="0.25" r="3498" customHeight="1" ht="17.25">
      <c r="A3498" s="7">
        <v>3497</v>
      </c>
      <c r="B3498" s="1" t="s">
        <v>8812</v>
      </c>
      <c r="C3498" s="5">
        <f>CONCATENATE("PD", TEXT(A3498, "1000000"))</f>
      </c>
      <c r="D3498" s="7">
        <v>76</v>
      </c>
      <c r="E3498" s="5">
        <f>XLOOKUP(G3498, item_category!C:C, item_category!B:B, "Not Found")</f>
      </c>
      <c r="F3498" s="1" t="s">
        <v>5632</v>
      </c>
      <c r="G3498" s="5">
        <f>XLOOKUP(I3498, drug!B:B, drug!A:A, "Not Found")</f>
      </c>
      <c r="H3498" s="1"/>
      <c r="I3498" s="7">
        <v>1</v>
      </c>
      <c r="J3498" s="5">
        <f>XLOOKUP(L3498, uom!C:C, uom!B:B, "Not Found")</f>
      </c>
      <c r="K3498" s="1" t="s">
        <v>5511</v>
      </c>
      <c r="L3498" s="5">
        <f>XLOOKUP(N3498, uom!C:C, uom!B:B, "Not Found")</f>
      </c>
      <c r="M3498" s="1" t="s">
        <v>5511</v>
      </c>
      <c r="N3498" s="8" t="s">
        <v>5512</v>
      </c>
      <c r="O3498" s="1" t="s">
        <v>5513</v>
      </c>
      <c r="P3498" s="5">
        <f>XLOOKUP(R3498, classification!C:C, classification!B:B, "Not Found")</f>
      </c>
      <c r="Q3498" s="1" t="s">
        <v>5514</v>
      </c>
      <c r="R3498" s="2"/>
      <c r="S3498" s="2"/>
      <c r="T3498" s="2"/>
      <c r="U3498" s="2"/>
    </row>
    <row x14ac:dyDescent="0.25" r="3499" customHeight="1" ht="17.25">
      <c r="A3499" s="7">
        <v>3498</v>
      </c>
      <c r="B3499" s="1" t="s">
        <v>8813</v>
      </c>
      <c r="C3499" s="5">
        <f>CONCATENATE("PD", TEXT(A3499, "1000000"))</f>
      </c>
      <c r="D3499" s="7">
        <v>76</v>
      </c>
      <c r="E3499" s="5">
        <f>XLOOKUP(G3499, item_category!C:C, item_category!B:B, "Not Found")</f>
      </c>
      <c r="F3499" s="1" t="s">
        <v>5632</v>
      </c>
      <c r="G3499" s="5">
        <f>XLOOKUP(I3499, drug!B:B, drug!A:A, "Not Found")</f>
      </c>
      <c r="H3499" s="1"/>
      <c r="I3499" s="7">
        <v>1</v>
      </c>
      <c r="J3499" s="5">
        <f>XLOOKUP(L3499, uom!C:C, uom!B:B, "Not Found")</f>
      </c>
      <c r="K3499" s="1" t="s">
        <v>5511</v>
      </c>
      <c r="L3499" s="5">
        <f>XLOOKUP(N3499, uom!C:C, uom!B:B, "Not Found")</f>
      </c>
      <c r="M3499" s="1" t="s">
        <v>5511</v>
      </c>
      <c r="N3499" s="8" t="s">
        <v>5512</v>
      </c>
      <c r="O3499" s="1" t="s">
        <v>5513</v>
      </c>
      <c r="P3499" s="5">
        <f>XLOOKUP(R3499, classification!C:C, classification!B:B, "Not Found")</f>
      </c>
      <c r="Q3499" s="1" t="s">
        <v>5514</v>
      </c>
      <c r="R3499" s="2"/>
      <c r="S3499" s="2"/>
      <c r="T3499" s="2"/>
      <c r="U3499" s="2"/>
    </row>
    <row x14ac:dyDescent="0.25" r="3500" customHeight="1" ht="17.25">
      <c r="A3500" s="7">
        <v>3499</v>
      </c>
      <c r="B3500" s="1" t="s">
        <v>8814</v>
      </c>
      <c r="C3500" s="5">
        <f>CONCATENATE("PD", TEXT(A3500, "1000000"))</f>
      </c>
      <c r="D3500" s="7">
        <v>76</v>
      </c>
      <c r="E3500" s="5">
        <f>XLOOKUP(G3500, item_category!C:C, item_category!B:B, "Not Found")</f>
      </c>
      <c r="F3500" s="1" t="s">
        <v>5632</v>
      </c>
      <c r="G3500" s="5">
        <f>XLOOKUP(I3500, drug!B:B, drug!A:A, "Not Found")</f>
      </c>
      <c r="H3500" s="1"/>
      <c r="I3500" s="7">
        <v>1</v>
      </c>
      <c r="J3500" s="5">
        <f>XLOOKUP(L3500, uom!C:C, uom!B:B, "Not Found")</f>
      </c>
      <c r="K3500" s="1" t="s">
        <v>5511</v>
      </c>
      <c r="L3500" s="5">
        <f>XLOOKUP(N3500, uom!C:C, uom!B:B, "Not Found")</f>
      </c>
      <c r="M3500" s="1" t="s">
        <v>5511</v>
      </c>
      <c r="N3500" s="8" t="s">
        <v>5512</v>
      </c>
      <c r="O3500" s="1" t="s">
        <v>5513</v>
      </c>
      <c r="P3500" s="5">
        <f>XLOOKUP(R3500, classification!C:C, classification!B:B, "Not Found")</f>
      </c>
      <c r="Q3500" s="1" t="s">
        <v>5514</v>
      </c>
      <c r="R3500" s="2"/>
      <c r="S3500" s="2"/>
      <c r="T3500" s="2"/>
      <c r="U3500" s="2"/>
    </row>
    <row x14ac:dyDescent="0.25" r="3501" customHeight="1" ht="17.25">
      <c r="A3501" s="7">
        <v>3500</v>
      </c>
      <c r="B3501" s="1" t="s">
        <v>8815</v>
      </c>
      <c r="C3501" s="5">
        <f>CONCATENATE("PD", TEXT(A3501, "1000000"))</f>
      </c>
      <c r="D3501" s="7">
        <v>76</v>
      </c>
      <c r="E3501" s="5">
        <f>XLOOKUP(G3501, item_category!C:C, item_category!B:B, "Not Found")</f>
      </c>
      <c r="F3501" s="1" t="s">
        <v>5632</v>
      </c>
      <c r="G3501" s="5">
        <f>XLOOKUP(I3501, drug!B:B, drug!A:A, "Not Found")</f>
      </c>
      <c r="H3501" s="1"/>
      <c r="I3501" s="7">
        <v>1</v>
      </c>
      <c r="J3501" s="5">
        <f>XLOOKUP(L3501, uom!C:C, uom!B:B, "Not Found")</f>
      </c>
      <c r="K3501" s="1" t="s">
        <v>5511</v>
      </c>
      <c r="L3501" s="5">
        <f>XLOOKUP(N3501, uom!C:C, uom!B:B, "Not Found")</f>
      </c>
      <c r="M3501" s="1" t="s">
        <v>5511</v>
      </c>
      <c r="N3501" s="8" t="s">
        <v>5512</v>
      </c>
      <c r="O3501" s="1" t="s">
        <v>5513</v>
      </c>
      <c r="P3501" s="5">
        <f>XLOOKUP(R3501, classification!C:C, classification!B:B, "Not Found")</f>
      </c>
      <c r="Q3501" s="1" t="s">
        <v>5514</v>
      </c>
      <c r="R3501" s="2"/>
      <c r="S3501" s="2"/>
      <c r="T3501" s="2"/>
      <c r="U3501" s="2"/>
    </row>
    <row x14ac:dyDescent="0.25" r="3502" customHeight="1" ht="17.25">
      <c r="A3502" s="7">
        <v>3501</v>
      </c>
      <c r="B3502" s="1" t="s">
        <v>8816</v>
      </c>
      <c r="C3502" s="5">
        <f>CONCATENATE("PD", TEXT(A3502, "1000000"))</f>
      </c>
      <c r="D3502" s="7">
        <v>76</v>
      </c>
      <c r="E3502" s="5">
        <f>XLOOKUP(G3502, item_category!C:C, item_category!B:B, "Not Found")</f>
      </c>
      <c r="F3502" s="1" t="s">
        <v>5632</v>
      </c>
      <c r="G3502" s="5">
        <f>XLOOKUP(I3502, drug!B:B, drug!A:A, "Not Found")</f>
      </c>
      <c r="H3502" s="1"/>
      <c r="I3502" s="7">
        <v>1</v>
      </c>
      <c r="J3502" s="5">
        <f>XLOOKUP(L3502, uom!C:C, uom!B:B, "Not Found")</f>
      </c>
      <c r="K3502" s="1" t="s">
        <v>5511</v>
      </c>
      <c r="L3502" s="5">
        <f>XLOOKUP(N3502, uom!C:C, uom!B:B, "Not Found")</f>
      </c>
      <c r="M3502" s="1" t="s">
        <v>5511</v>
      </c>
      <c r="N3502" s="8" t="s">
        <v>5512</v>
      </c>
      <c r="O3502" s="1" t="s">
        <v>5513</v>
      </c>
      <c r="P3502" s="5">
        <f>XLOOKUP(R3502, classification!C:C, classification!B:B, "Not Found")</f>
      </c>
      <c r="Q3502" s="1" t="s">
        <v>5514</v>
      </c>
      <c r="R3502" s="2"/>
      <c r="S3502" s="2"/>
      <c r="T3502" s="2"/>
      <c r="U3502" s="2"/>
    </row>
    <row x14ac:dyDescent="0.25" r="3503" customHeight="1" ht="17.25">
      <c r="A3503" s="7">
        <v>3502</v>
      </c>
      <c r="B3503" s="1" t="s">
        <v>8817</v>
      </c>
      <c r="C3503" s="5">
        <f>CONCATENATE("PD", TEXT(A3503, "1000000"))</f>
      </c>
      <c r="D3503" s="7">
        <v>76</v>
      </c>
      <c r="E3503" s="5">
        <f>XLOOKUP(G3503, item_category!C:C, item_category!B:B, "Not Found")</f>
      </c>
      <c r="F3503" s="1" t="s">
        <v>5632</v>
      </c>
      <c r="G3503" s="5">
        <f>XLOOKUP(I3503, drug!B:B, drug!A:A, "Not Found")</f>
      </c>
      <c r="H3503" s="1" t="s">
        <v>1228</v>
      </c>
      <c r="I3503" s="7">
        <v>1</v>
      </c>
      <c r="J3503" s="5">
        <f>XLOOKUP(L3503, uom!C:C, uom!B:B, "Not Found")</f>
      </c>
      <c r="K3503" s="1" t="s">
        <v>5511</v>
      </c>
      <c r="L3503" s="5">
        <f>XLOOKUP(N3503, uom!C:C, uom!B:B, "Not Found")</f>
      </c>
      <c r="M3503" s="1" t="s">
        <v>5511</v>
      </c>
      <c r="N3503" s="8" t="s">
        <v>5512</v>
      </c>
      <c r="O3503" s="1" t="s">
        <v>5513</v>
      </c>
      <c r="P3503" s="5">
        <f>XLOOKUP(R3503, classification!C:C, classification!B:B, "Not Found")</f>
      </c>
      <c r="Q3503" s="1" t="s">
        <v>5514</v>
      </c>
      <c r="R3503" s="2"/>
      <c r="S3503" s="2"/>
      <c r="T3503" s="2"/>
      <c r="U3503" s="2"/>
    </row>
    <row x14ac:dyDescent="0.25" r="3504" customHeight="1" ht="17.25">
      <c r="A3504" s="7">
        <v>3503</v>
      </c>
      <c r="B3504" s="1" t="s">
        <v>8818</v>
      </c>
      <c r="C3504" s="5">
        <f>CONCATENATE("PD", TEXT(A3504, "1000000"))</f>
      </c>
      <c r="D3504" s="7">
        <v>76</v>
      </c>
      <c r="E3504" s="5">
        <f>XLOOKUP(G3504, item_category!C:C, item_category!B:B, "Not Found")</f>
      </c>
      <c r="F3504" s="1" t="s">
        <v>5632</v>
      </c>
      <c r="G3504" s="5">
        <f>XLOOKUP(I3504, drug!B:B, drug!A:A, "Not Found")</f>
      </c>
      <c r="H3504" s="1" t="s">
        <v>1228</v>
      </c>
      <c r="I3504" s="7">
        <v>1</v>
      </c>
      <c r="J3504" s="5">
        <f>XLOOKUP(L3504, uom!C:C, uom!B:B, "Not Found")</f>
      </c>
      <c r="K3504" s="1" t="s">
        <v>5511</v>
      </c>
      <c r="L3504" s="5">
        <f>XLOOKUP(N3504, uom!C:C, uom!B:B, "Not Found")</f>
      </c>
      <c r="M3504" s="1" t="s">
        <v>5511</v>
      </c>
      <c r="N3504" s="8" t="s">
        <v>5512</v>
      </c>
      <c r="O3504" s="1" t="s">
        <v>5513</v>
      </c>
      <c r="P3504" s="5">
        <f>XLOOKUP(R3504, classification!C:C, classification!B:B, "Not Found")</f>
      </c>
      <c r="Q3504" s="1" t="s">
        <v>5514</v>
      </c>
      <c r="R3504" s="2"/>
      <c r="S3504" s="2"/>
      <c r="T3504" s="2"/>
      <c r="U3504" s="2"/>
    </row>
    <row x14ac:dyDescent="0.25" r="3505" customHeight="1" ht="17.25">
      <c r="A3505" s="7">
        <v>3504</v>
      </c>
      <c r="B3505" s="1" t="s">
        <v>8819</v>
      </c>
      <c r="C3505" s="5">
        <f>CONCATENATE("PD", TEXT(A3505, "1000000"))</f>
      </c>
      <c r="D3505" s="7">
        <v>76</v>
      </c>
      <c r="E3505" s="5">
        <f>XLOOKUP(G3505, item_category!C:C, item_category!B:B, "Not Found")</f>
      </c>
      <c r="F3505" s="1" t="s">
        <v>5632</v>
      </c>
      <c r="G3505" s="5">
        <f>XLOOKUP(I3505, drug!B:B, drug!A:A, "Not Found")</f>
      </c>
      <c r="H3505" s="1"/>
      <c r="I3505" s="7">
        <v>1</v>
      </c>
      <c r="J3505" s="5">
        <f>XLOOKUP(L3505, uom!C:C, uom!B:B, "Not Found")</f>
      </c>
      <c r="K3505" s="1" t="s">
        <v>5511</v>
      </c>
      <c r="L3505" s="5">
        <f>XLOOKUP(N3505, uom!C:C, uom!B:B, "Not Found")</f>
      </c>
      <c r="M3505" s="1" t="s">
        <v>5511</v>
      </c>
      <c r="N3505" s="8" t="s">
        <v>5512</v>
      </c>
      <c r="O3505" s="1" t="s">
        <v>5513</v>
      </c>
      <c r="P3505" s="5">
        <f>XLOOKUP(R3505, classification!C:C, classification!B:B, "Not Found")</f>
      </c>
      <c r="Q3505" s="1" t="s">
        <v>5514</v>
      </c>
      <c r="R3505" s="2"/>
      <c r="S3505" s="2"/>
      <c r="T3505" s="2"/>
      <c r="U3505" s="2"/>
    </row>
    <row x14ac:dyDescent="0.25" r="3506" customHeight="1" ht="17.25">
      <c r="A3506" s="7">
        <v>3505</v>
      </c>
      <c r="B3506" s="1" t="s">
        <v>8820</v>
      </c>
      <c r="C3506" s="5">
        <f>CONCATENATE("PD", TEXT(A3506, "1000000"))</f>
      </c>
      <c r="D3506" s="7">
        <v>76</v>
      </c>
      <c r="E3506" s="5">
        <f>XLOOKUP(G3506, item_category!C:C, item_category!B:B, "Not Found")</f>
      </c>
      <c r="F3506" s="1" t="s">
        <v>5632</v>
      </c>
      <c r="G3506" s="5">
        <f>XLOOKUP(I3506, drug!B:B, drug!A:A, "Not Found")</f>
      </c>
      <c r="H3506" s="1"/>
      <c r="I3506" s="7">
        <v>1</v>
      </c>
      <c r="J3506" s="5">
        <f>XLOOKUP(L3506, uom!C:C, uom!B:B, "Not Found")</f>
      </c>
      <c r="K3506" s="1" t="s">
        <v>5511</v>
      </c>
      <c r="L3506" s="5">
        <f>XLOOKUP(N3506, uom!C:C, uom!B:B, "Not Found")</f>
      </c>
      <c r="M3506" s="1" t="s">
        <v>5511</v>
      </c>
      <c r="N3506" s="8" t="s">
        <v>5512</v>
      </c>
      <c r="O3506" s="1" t="s">
        <v>5513</v>
      </c>
      <c r="P3506" s="5">
        <f>XLOOKUP(R3506, classification!C:C, classification!B:B, "Not Found")</f>
      </c>
      <c r="Q3506" s="1" t="s">
        <v>5514</v>
      </c>
      <c r="R3506" s="2"/>
      <c r="S3506" s="2"/>
      <c r="T3506" s="2"/>
      <c r="U3506" s="2"/>
    </row>
    <row x14ac:dyDescent="0.25" r="3507" customHeight="1" ht="17.25">
      <c r="A3507" s="7">
        <v>3506</v>
      </c>
      <c r="B3507" s="1" t="s">
        <v>8821</v>
      </c>
      <c r="C3507" s="5">
        <f>CONCATENATE("PD", TEXT(A3507, "1000000"))</f>
      </c>
      <c r="D3507" s="7">
        <v>76</v>
      </c>
      <c r="E3507" s="5">
        <f>XLOOKUP(G3507, item_category!C:C, item_category!B:B, "Not Found")</f>
      </c>
      <c r="F3507" s="1" t="s">
        <v>5632</v>
      </c>
      <c r="G3507" s="5">
        <f>XLOOKUP(I3507, drug!B:B, drug!A:A, "Not Found")</f>
      </c>
      <c r="H3507" s="1"/>
      <c r="I3507" s="7">
        <v>1</v>
      </c>
      <c r="J3507" s="5">
        <f>XLOOKUP(L3507, uom!C:C, uom!B:B, "Not Found")</f>
      </c>
      <c r="K3507" s="1" t="s">
        <v>5511</v>
      </c>
      <c r="L3507" s="5">
        <f>XLOOKUP(N3507, uom!C:C, uom!B:B, "Not Found")</f>
      </c>
      <c r="M3507" s="1" t="s">
        <v>5511</v>
      </c>
      <c r="N3507" s="8" t="s">
        <v>5512</v>
      </c>
      <c r="O3507" s="1" t="s">
        <v>5513</v>
      </c>
      <c r="P3507" s="5">
        <f>XLOOKUP(R3507, classification!C:C, classification!B:B, "Not Found")</f>
      </c>
      <c r="Q3507" s="1" t="s">
        <v>5514</v>
      </c>
      <c r="R3507" s="2"/>
      <c r="S3507" s="2"/>
      <c r="T3507" s="2"/>
      <c r="U3507" s="2"/>
    </row>
    <row x14ac:dyDescent="0.25" r="3508" customHeight="1" ht="17.25">
      <c r="A3508" s="7">
        <v>3507</v>
      </c>
      <c r="B3508" s="1" t="s">
        <v>8822</v>
      </c>
      <c r="C3508" s="5">
        <f>CONCATENATE("PD", TEXT(A3508, "1000000"))</f>
      </c>
      <c r="D3508" s="7">
        <v>76</v>
      </c>
      <c r="E3508" s="5">
        <f>XLOOKUP(G3508, item_category!C:C, item_category!B:B, "Not Found")</f>
      </c>
      <c r="F3508" s="1" t="s">
        <v>5632</v>
      </c>
      <c r="G3508" s="5">
        <f>XLOOKUP(I3508, drug!B:B, drug!A:A, "Not Found")</f>
      </c>
      <c r="H3508" s="1"/>
      <c r="I3508" s="7">
        <v>1</v>
      </c>
      <c r="J3508" s="5">
        <f>XLOOKUP(L3508, uom!C:C, uom!B:B, "Not Found")</f>
      </c>
      <c r="K3508" s="1" t="s">
        <v>5511</v>
      </c>
      <c r="L3508" s="5">
        <f>XLOOKUP(N3508, uom!C:C, uom!B:B, "Not Found")</f>
      </c>
      <c r="M3508" s="1" t="s">
        <v>5511</v>
      </c>
      <c r="N3508" s="8" t="s">
        <v>5512</v>
      </c>
      <c r="O3508" s="1" t="s">
        <v>5513</v>
      </c>
      <c r="P3508" s="5">
        <f>XLOOKUP(R3508, classification!C:C, classification!B:B, "Not Found")</f>
      </c>
      <c r="Q3508" s="1" t="s">
        <v>5514</v>
      </c>
      <c r="R3508" s="2"/>
      <c r="S3508" s="2"/>
      <c r="T3508" s="2"/>
      <c r="U3508" s="2"/>
    </row>
    <row x14ac:dyDescent="0.25" r="3509" customHeight="1" ht="17.25">
      <c r="A3509" s="7">
        <v>3508</v>
      </c>
      <c r="B3509" s="1" t="s">
        <v>8823</v>
      </c>
      <c r="C3509" s="5">
        <f>CONCATENATE("PD", TEXT(A3509, "1000000"))</f>
      </c>
      <c r="D3509" s="7">
        <v>76</v>
      </c>
      <c r="E3509" s="5">
        <f>XLOOKUP(G3509, item_category!C:C, item_category!B:B, "Not Found")</f>
      </c>
      <c r="F3509" s="1" t="s">
        <v>5632</v>
      </c>
      <c r="G3509" s="5">
        <f>XLOOKUP(I3509, drug!B:B, drug!A:A, "Not Found")</f>
      </c>
      <c r="H3509" s="1"/>
      <c r="I3509" s="7">
        <v>1</v>
      </c>
      <c r="J3509" s="5">
        <f>XLOOKUP(L3509, uom!C:C, uom!B:B, "Not Found")</f>
      </c>
      <c r="K3509" s="1" t="s">
        <v>5511</v>
      </c>
      <c r="L3509" s="5">
        <f>XLOOKUP(N3509, uom!C:C, uom!B:B, "Not Found")</f>
      </c>
      <c r="M3509" s="1" t="s">
        <v>5511</v>
      </c>
      <c r="N3509" s="8" t="s">
        <v>5512</v>
      </c>
      <c r="O3509" s="1" t="s">
        <v>5513</v>
      </c>
      <c r="P3509" s="5">
        <f>XLOOKUP(R3509, classification!C:C, classification!B:B, "Not Found")</f>
      </c>
      <c r="Q3509" s="1" t="s">
        <v>5514</v>
      </c>
      <c r="R3509" s="2"/>
      <c r="S3509" s="2"/>
      <c r="T3509" s="2"/>
      <c r="U3509" s="2"/>
    </row>
    <row x14ac:dyDescent="0.25" r="3510" customHeight="1" ht="17.25">
      <c r="A3510" s="7">
        <v>3509</v>
      </c>
      <c r="B3510" s="1" t="s">
        <v>8824</v>
      </c>
      <c r="C3510" s="5">
        <f>CONCATENATE("PD", TEXT(A3510, "1000000"))</f>
      </c>
      <c r="D3510" s="7">
        <v>76</v>
      </c>
      <c r="E3510" s="5">
        <f>XLOOKUP(G3510, item_category!C:C, item_category!B:B, "Not Found")</f>
      </c>
      <c r="F3510" s="1" t="s">
        <v>5632</v>
      </c>
      <c r="G3510" s="5">
        <f>XLOOKUP(I3510, drug!B:B, drug!A:A, "Not Found")</f>
      </c>
      <c r="H3510" s="1"/>
      <c r="I3510" s="7">
        <v>1</v>
      </c>
      <c r="J3510" s="5">
        <f>XLOOKUP(L3510, uom!C:C, uom!B:B, "Not Found")</f>
      </c>
      <c r="K3510" s="1" t="s">
        <v>5511</v>
      </c>
      <c r="L3510" s="5">
        <f>XLOOKUP(N3510, uom!C:C, uom!B:B, "Not Found")</f>
      </c>
      <c r="M3510" s="1" t="s">
        <v>5511</v>
      </c>
      <c r="N3510" s="8" t="s">
        <v>5512</v>
      </c>
      <c r="O3510" s="1" t="s">
        <v>5513</v>
      </c>
      <c r="P3510" s="5">
        <f>XLOOKUP(R3510, classification!C:C, classification!B:B, "Not Found")</f>
      </c>
      <c r="Q3510" s="1" t="s">
        <v>5514</v>
      </c>
      <c r="R3510" s="2"/>
      <c r="S3510" s="2"/>
      <c r="T3510" s="2"/>
      <c r="U3510" s="2"/>
    </row>
    <row x14ac:dyDescent="0.25" r="3511" customHeight="1" ht="17.25">
      <c r="A3511" s="7">
        <v>3510</v>
      </c>
      <c r="B3511" s="1" t="s">
        <v>8825</v>
      </c>
      <c r="C3511" s="5">
        <f>CONCATENATE("PD", TEXT(A3511, "1000000"))</f>
      </c>
      <c r="D3511" s="7">
        <v>76</v>
      </c>
      <c r="E3511" s="5">
        <f>XLOOKUP(G3511, item_category!C:C, item_category!B:B, "Not Found")</f>
      </c>
      <c r="F3511" s="1" t="s">
        <v>5632</v>
      </c>
      <c r="G3511" s="5">
        <f>XLOOKUP(I3511, drug!B:B, drug!A:A, "Not Found")</f>
      </c>
      <c r="H3511" s="1" t="s">
        <v>1942</v>
      </c>
      <c r="I3511" s="7">
        <v>1</v>
      </c>
      <c r="J3511" s="5">
        <f>XLOOKUP(L3511, uom!C:C, uom!B:B, "Not Found")</f>
      </c>
      <c r="K3511" s="1" t="s">
        <v>5511</v>
      </c>
      <c r="L3511" s="5">
        <f>XLOOKUP(N3511, uom!C:C, uom!B:B, "Not Found")</f>
      </c>
      <c r="M3511" s="1" t="s">
        <v>5511</v>
      </c>
      <c r="N3511" s="8" t="s">
        <v>5512</v>
      </c>
      <c r="O3511" s="1" t="s">
        <v>5513</v>
      </c>
      <c r="P3511" s="5">
        <f>XLOOKUP(R3511, classification!C:C, classification!B:B, "Not Found")</f>
      </c>
      <c r="Q3511" s="1" t="s">
        <v>5514</v>
      </c>
      <c r="R3511" s="2"/>
      <c r="S3511" s="2"/>
      <c r="T3511" s="2"/>
      <c r="U3511" s="2"/>
    </row>
    <row x14ac:dyDescent="0.25" r="3512" customHeight="1" ht="17.25">
      <c r="A3512" s="7">
        <v>3511</v>
      </c>
      <c r="B3512" s="1" t="s">
        <v>8826</v>
      </c>
      <c r="C3512" s="5">
        <f>CONCATENATE("PD", TEXT(A3512, "1000000"))</f>
      </c>
      <c r="D3512" s="7">
        <v>76</v>
      </c>
      <c r="E3512" s="5">
        <f>XLOOKUP(G3512, item_category!C:C, item_category!B:B, "Not Found")</f>
      </c>
      <c r="F3512" s="1" t="s">
        <v>5632</v>
      </c>
      <c r="G3512" s="5">
        <f>XLOOKUP(I3512, drug!B:B, drug!A:A, "Not Found")</f>
      </c>
      <c r="H3512" s="1" t="s">
        <v>1942</v>
      </c>
      <c r="I3512" s="7">
        <v>1</v>
      </c>
      <c r="J3512" s="5">
        <f>XLOOKUP(L3512, uom!C:C, uom!B:B, "Not Found")</f>
      </c>
      <c r="K3512" s="1" t="s">
        <v>5511</v>
      </c>
      <c r="L3512" s="5">
        <f>XLOOKUP(N3512, uom!C:C, uom!B:B, "Not Found")</f>
      </c>
      <c r="M3512" s="1" t="s">
        <v>5511</v>
      </c>
      <c r="N3512" s="8" t="s">
        <v>5512</v>
      </c>
      <c r="O3512" s="1" t="s">
        <v>5513</v>
      </c>
      <c r="P3512" s="5">
        <f>XLOOKUP(R3512, classification!C:C, classification!B:B, "Not Found")</f>
      </c>
      <c r="Q3512" s="1" t="s">
        <v>5514</v>
      </c>
      <c r="R3512" s="2"/>
      <c r="S3512" s="2"/>
      <c r="T3512" s="2"/>
      <c r="U3512" s="2"/>
    </row>
    <row x14ac:dyDescent="0.25" r="3513" customHeight="1" ht="17.25">
      <c r="A3513" s="7">
        <v>3512</v>
      </c>
      <c r="B3513" s="1" t="s">
        <v>8827</v>
      </c>
      <c r="C3513" s="5">
        <f>CONCATENATE("PD", TEXT(A3513, "1000000"))</f>
      </c>
      <c r="D3513" s="7">
        <v>76</v>
      </c>
      <c r="E3513" s="5">
        <f>XLOOKUP(G3513, item_category!C:C, item_category!B:B, "Not Found")</f>
      </c>
      <c r="F3513" s="1" t="s">
        <v>5632</v>
      </c>
      <c r="G3513" s="5">
        <f>XLOOKUP(I3513, drug!B:B, drug!A:A, "Not Found")</f>
      </c>
      <c r="H3513" s="1" t="s">
        <v>1942</v>
      </c>
      <c r="I3513" s="7">
        <v>1</v>
      </c>
      <c r="J3513" s="5">
        <f>XLOOKUP(L3513, uom!C:C, uom!B:B, "Not Found")</f>
      </c>
      <c r="K3513" s="1" t="s">
        <v>5511</v>
      </c>
      <c r="L3513" s="5">
        <f>XLOOKUP(N3513, uom!C:C, uom!B:B, "Not Found")</f>
      </c>
      <c r="M3513" s="1" t="s">
        <v>5511</v>
      </c>
      <c r="N3513" s="8" t="s">
        <v>5512</v>
      </c>
      <c r="O3513" s="1" t="s">
        <v>5513</v>
      </c>
      <c r="P3513" s="5">
        <f>XLOOKUP(R3513, classification!C:C, classification!B:B, "Not Found")</f>
      </c>
      <c r="Q3513" s="1" t="s">
        <v>5514</v>
      </c>
      <c r="R3513" s="2"/>
      <c r="S3513" s="2"/>
      <c r="T3513" s="2"/>
      <c r="U3513" s="2"/>
    </row>
    <row x14ac:dyDescent="0.25" r="3514" customHeight="1" ht="17.25">
      <c r="A3514" s="7">
        <v>3513</v>
      </c>
      <c r="B3514" s="1" t="s">
        <v>8828</v>
      </c>
      <c r="C3514" s="5">
        <f>CONCATENATE("PD", TEXT(A3514, "1000000"))</f>
      </c>
      <c r="D3514" s="7">
        <v>76</v>
      </c>
      <c r="E3514" s="5">
        <f>XLOOKUP(G3514, item_category!C:C, item_category!B:B, "Not Found")</f>
      </c>
      <c r="F3514" s="1" t="s">
        <v>5632</v>
      </c>
      <c r="G3514" s="5">
        <f>XLOOKUP(I3514, drug!B:B, drug!A:A, "Not Found")</f>
      </c>
      <c r="H3514" s="1" t="s">
        <v>1942</v>
      </c>
      <c r="I3514" s="7">
        <v>1</v>
      </c>
      <c r="J3514" s="5">
        <f>XLOOKUP(L3514, uom!C:C, uom!B:B, "Not Found")</f>
      </c>
      <c r="K3514" s="1" t="s">
        <v>5511</v>
      </c>
      <c r="L3514" s="5">
        <f>XLOOKUP(N3514, uom!C:C, uom!B:B, "Not Found")</f>
      </c>
      <c r="M3514" s="1" t="s">
        <v>5511</v>
      </c>
      <c r="N3514" s="8" t="s">
        <v>5512</v>
      </c>
      <c r="O3514" s="1" t="s">
        <v>5513</v>
      </c>
      <c r="P3514" s="5">
        <f>XLOOKUP(R3514, classification!C:C, classification!B:B, "Not Found")</f>
      </c>
      <c r="Q3514" s="1" t="s">
        <v>5514</v>
      </c>
      <c r="R3514" s="2"/>
      <c r="S3514" s="2"/>
      <c r="T3514" s="2"/>
      <c r="U3514" s="2"/>
    </row>
    <row x14ac:dyDescent="0.25" r="3515" customHeight="1" ht="17.25">
      <c r="A3515" s="7">
        <v>3514</v>
      </c>
      <c r="B3515" s="1" t="s">
        <v>8829</v>
      </c>
      <c r="C3515" s="5">
        <f>CONCATENATE("PD", TEXT(A3515, "1000000"))</f>
      </c>
      <c r="D3515" s="7">
        <v>76</v>
      </c>
      <c r="E3515" s="5">
        <f>XLOOKUP(G3515, item_category!C:C, item_category!B:B, "Not Found")</f>
      </c>
      <c r="F3515" s="1" t="s">
        <v>5632</v>
      </c>
      <c r="G3515" s="5">
        <f>XLOOKUP(I3515, drug!B:B, drug!A:A, "Not Found")</f>
      </c>
      <c r="H3515" s="1" t="s">
        <v>1942</v>
      </c>
      <c r="I3515" s="7">
        <v>1</v>
      </c>
      <c r="J3515" s="5">
        <f>XLOOKUP(L3515, uom!C:C, uom!B:B, "Not Found")</f>
      </c>
      <c r="K3515" s="1" t="s">
        <v>5511</v>
      </c>
      <c r="L3515" s="5">
        <f>XLOOKUP(N3515, uom!C:C, uom!B:B, "Not Found")</f>
      </c>
      <c r="M3515" s="1" t="s">
        <v>5511</v>
      </c>
      <c r="N3515" s="8" t="s">
        <v>5512</v>
      </c>
      <c r="O3515" s="1" t="s">
        <v>5513</v>
      </c>
      <c r="P3515" s="5">
        <f>XLOOKUP(R3515, classification!C:C, classification!B:B, "Not Found")</f>
      </c>
      <c r="Q3515" s="1" t="s">
        <v>5514</v>
      </c>
      <c r="R3515" s="2"/>
      <c r="S3515" s="2"/>
      <c r="T3515" s="2"/>
      <c r="U3515" s="2"/>
    </row>
    <row x14ac:dyDescent="0.25" r="3516" customHeight="1" ht="17.25">
      <c r="A3516" s="7">
        <v>3515</v>
      </c>
      <c r="B3516" s="1" t="s">
        <v>8830</v>
      </c>
      <c r="C3516" s="5">
        <f>CONCATENATE("PD", TEXT(A3516, "1000000"))</f>
      </c>
      <c r="D3516" s="7">
        <v>76</v>
      </c>
      <c r="E3516" s="5">
        <f>XLOOKUP(G3516, item_category!C:C, item_category!B:B, "Not Found")</f>
      </c>
      <c r="F3516" s="1" t="s">
        <v>5632</v>
      </c>
      <c r="G3516" s="5">
        <f>XLOOKUP(I3516, drug!B:B, drug!A:A, "Not Found")</f>
      </c>
      <c r="H3516" s="1" t="s">
        <v>1942</v>
      </c>
      <c r="I3516" s="7">
        <v>1</v>
      </c>
      <c r="J3516" s="5">
        <f>XLOOKUP(L3516, uom!C:C, uom!B:B, "Not Found")</f>
      </c>
      <c r="K3516" s="1" t="s">
        <v>5511</v>
      </c>
      <c r="L3516" s="5">
        <f>XLOOKUP(N3516, uom!C:C, uom!B:B, "Not Found")</f>
      </c>
      <c r="M3516" s="1" t="s">
        <v>5511</v>
      </c>
      <c r="N3516" s="8" t="s">
        <v>5512</v>
      </c>
      <c r="O3516" s="1" t="s">
        <v>5513</v>
      </c>
      <c r="P3516" s="5">
        <f>XLOOKUP(R3516, classification!C:C, classification!B:B, "Not Found")</f>
      </c>
      <c r="Q3516" s="1" t="s">
        <v>5514</v>
      </c>
      <c r="R3516" s="2"/>
      <c r="S3516" s="2"/>
      <c r="T3516" s="2"/>
      <c r="U3516" s="2"/>
    </row>
    <row x14ac:dyDescent="0.25" r="3517" customHeight="1" ht="17.25">
      <c r="A3517" s="7">
        <v>3516</v>
      </c>
      <c r="B3517" s="1" t="s">
        <v>8831</v>
      </c>
      <c r="C3517" s="5">
        <f>CONCATENATE("PD", TEXT(A3517, "1000000"))</f>
      </c>
      <c r="D3517" s="7">
        <v>76</v>
      </c>
      <c r="E3517" s="5">
        <f>XLOOKUP(G3517, item_category!C:C, item_category!B:B, "Not Found")</f>
      </c>
      <c r="F3517" s="1" t="s">
        <v>5632</v>
      </c>
      <c r="G3517" s="5">
        <f>XLOOKUP(I3517, drug!B:B, drug!A:A, "Not Found")</f>
      </c>
      <c r="H3517" s="1" t="s">
        <v>1942</v>
      </c>
      <c r="I3517" s="7">
        <v>1</v>
      </c>
      <c r="J3517" s="5">
        <f>XLOOKUP(L3517, uom!C:C, uom!B:B, "Not Found")</f>
      </c>
      <c r="K3517" s="1" t="s">
        <v>5511</v>
      </c>
      <c r="L3517" s="5">
        <f>XLOOKUP(N3517, uom!C:C, uom!B:B, "Not Found")</f>
      </c>
      <c r="M3517" s="1" t="s">
        <v>5511</v>
      </c>
      <c r="N3517" s="8" t="s">
        <v>5512</v>
      </c>
      <c r="O3517" s="1" t="s">
        <v>5513</v>
      </c>
      <c r="P3517" s="5">
        <f>XLOOKUP(R3517, classification!C:C, classification!B:B, "Not Found")</f>
      </c>
      <c r="Q3517" s="1" t="s">
        <v>5514</v>
      </c>
      <c r="R3517" s="2"/>
      <c r="S3517" s="2"/>
      <c r="T3517" s="2"/>
      <c r="U3517" s="2"/>
    </row>
    <row x14ac:dyDescent="0.25" r="3518" customHeight="1" ht="17.25">
      <c r="A3518" s="7">
        <v>3517</v>
      </c>
      <c r="B3518" s="1" t="s">
        <v>8832</v>
      </c>
      <c r="C3518" s="5">
        <f>CONCATENATE("PD", TEXT(A3518, "1000000"))</f>
      </c>
      <c r="D3518" s="7">
        <v>76</v>
      </c>
      <c r="E3518" s="5">
        <f>XLOOKUP(G3518, item_category!C:C, item_category!B:B, "Not Found")</f>
      </c>
      <c r="F3518" s="1" t="s">
        <v>5632</v>
      </c>
      <c r="G3518" s="5">
        <f>XLOOKUP(I3518, drug!B:B, drug!A:A, "Not Found")</f>
      </c>
      <c r="H3518" s="1" t="s">
        <v>1942</v>
      </c>
      <c r="I3518" s="7">
        <v>1</v>
      </c>
      <c r="J3518" s="5">
        <f>XLOOKUP(L3518, uom!C:C, uom!B:B, "Not Found")</f>
      </c>
      <c r="K3518" s="1" t="s">
        <v>5511</v>
      </c>
      <c r="L3518" s="5">
        <f>XLOOKUP(N3518, uom!C:C, uom!B:B, "Not Found")</f>
      </c>
      <c r="M3518" s="1" t="s">
        <v>5511</v>
      </c>
      <c r="N3518" s="8" t="s">
        <v>5512</v>
      </c>
      <c r="O3518" s="1" t="s">
        <v>5513</v>
      </c>
      <c r="P3518" s="5">
        <f>XLOOKUP(R3518, classification!C:C, classification!B:B, "Not Found")</f>
      </c>
      <c r="Q3518" s="1" t="s">
        <v>5514</v>
      </c>
      <c r="R3518" s="2"/>
      <c r="S3518" s="2"/>
      <c r="T3518" s="2"/>
      <c r="U3518" s="2"/>
    </row>
    <row x14ac:dyDescent="0.25" r="3519" customHeight="1" ht="17.25">
      <c r="A3519" s="7">
        <v>3518</v>
      </c>
      <c r="B3519" s="1" t="s">
        <v>8833</v>
      </c>
      <c r="C3519" s="5">
        <f>CONCATENATE("PD", TEXT(A3519, "1000000"))</f>
      </c>
      <c r="D3519" s="7">
        <v>76</v>
      </c>
      <c r="E3519" s="5">
        <f>XLOOKUP(G3519, item_category!C:C, item_category!B:B, "Not Found")</f>
      </c>
      <c r="F3519" s="1" t="s">
        <v>5632</v>
      </c>
      <c r="G3519" s="5">
        <f>XLOOKUP(I3519, drug!B:B, drug!A:A, "Not Found")</f>
      </c>
      <c r="H3519" s="1" t="s">
        <v>1942</v>
      </c>
      <c r="I3519" s="7">
        <v>1</v>
      </c>
      <c r="J3519" s="5">
        <f>XLOOKUP(L3519, uom!C:C, uom!B:B, "Not Found")</f>
      </c>
      <c r="K3519" s="1" t="s">
        <v>5511</v>
      </c>
      <c r="L3519" s="5">
        <f>XLOOKUP(N3519, uom!C:C, uom!B:B, "Not Found")</f>
      </c>
      <c r="M3519" s="1" t="s">
        <v>5511</v>
      </c>
      <c r="N3519" s="8" t="s">
        <v>5512</v>
      </c>
      <c r="O3519" s="1" t="s">
        <v>5513</v>
      </c>
      <c r="P3519" s="5">
        <f>XLOOKUP(R3519, classification!C:C, classification!B:B, "Not Found")</f>
      </c>
      <c r="Q3519" s="1" t="s">
        <v>5514</v>
      </c>
      <c r="R3519" s="2"/>
      <c r="S3519" s="2"/>
      <c r="T3519" s="2"/>
      <c r="U3519" s="2"/>
    </row>
    <row x14ac:dyDescent="0.25" r="3520" customHeight="1" ht="17.25">
      <c r="A3520" s="7">
        <v>3519</v>
      </c>
      <c r="B3520" s="1" t="s">
        <v>8834</v>
      </c>
      <c r="C3520" s="5">
        <f>CONCATENATE("PD", TEXT(A3520, "1000000"))</f>
      </c>
      <c r="D3520" s="7">
        <v>76</v>
      </c>
      <c r="E3520" s="5">
        <f>XLOOKUP(G3520, item_category!C:C, item_category!B:B, "Not Found")</f>
      </c>
      <c r="F3520" s="1" t="s">
        <v>5632</v>
      </c>
      <c r="G3520" s="5">
        <f>XLOOKUP(I3520, drug!B:B, drug!A:A, "Not Found")</f>
      </c>
      <c r="H3520" s="1"/>
      <c r="I3520" s="7">
        <v>1</v>
      </c>
      <c r="J3520" s="5">
        <f>XLOOKUP(L3520, uom!C:C, uom!B:B, "Not Found")</f>
      </c>
      <c r="K3520" s="1" t="s">
        <v>5511</v>
      </c>
      <c r="L3520" s="5">
        <f>XLOOKUP(N3520, uom!C:C, uom!B:B, "Not Found")</f>
      </c>
      <c r="M3520" s="1" t="s">
        <v>5511</v>
      </c>
      <c r="N3520" s="8" t="s">
        <v>5512</v>
      </c>
      <c r="O3520" s="1" t="s">
        <v>5513</v>
      </c>
      <c r="P3520" s="5">
        <f>XLOOKUP(R3520, classification!C:C, classification!B:B, "Not Found")</f>
      </c>
      <c r="Q3520" s="1" t="s">
        <v>5514</v>
      </c>
      <c r="R3520" s="2"/>
      <c r="S3520" s="2"/>
      <c r="T3520" s="2"/>
      <c r="U3520" s="2"/>
    </row>
    <row x14ac:dyDescent="0.25" r="3521" customHeight="1" ht="17.25">
      <c r="A3521" s="7">
        <v>3520</v>
      </c>
      <c r="B3521" s="1" t="s">
        <v>8835</v>
      </c>
      <c r="C3521" s="5">
        <f>CONCATENATE("PD", TEXT(A3521, "1000000"))</f>
      </c>
      <c r="D3521" s="7">
        <v>76</v>
      </c>
      <c r="E3521" s="5">
        <f>XLOOKUP(G3521, item_category!C:C, item_category!B:B, "Not Found")</f>
      </c>
      <c r="F3521" s="1" t="s">
        <v>5632</v>
      </c>
      <c r="G3521" s="5">
        <f>XLOOKUP(I3521, drug!B:B, drug!A:A, "Not Found")</f>
      </c>
      <c r="H3521" s="1"/>
      <c r="I3521" s="7">
        <v>1</v>
      </c>
      <c r="J3521" s="5">
        <f>XLOOKUP(L3521, uom!C:C, uom!B:B, "Not Found")</f>
      </c>
      <c r="K3521" s="1" t="s">
        <v>5511</v>
      </c>
      <c r="L3521" s="5">
        <f>XLOOKUP(N3521, uom!C:C, uom!B:B, "Not Found")</f>
      </c>
      <c r="M3521" s="1" t="s">
        <v>5511</v>
      </c>
      <c r="N3521" s="8" t="s">
        <v>5512</v>
      </c>
      <c r="O3521" s="1" t="s">
        <v>5513</v>
      </c>
      <c r="P3521" s="5">
        <f>XLOOKUP(R3521, classification!C:C, classification!B:B, "Not Found")</f>
      </c>
      <c r="Q3521" s="1" t="s">
        <v>5514</v>
      </c>
      <c r="R3521" s="2"/>
      <c r="S3521" s="2"/>
      <c r="T3521" s="2"/>
      <c r="U3521" s="2"/>
    </row>
    <row x14ac:dyDescent="0.25" r="3522" customHeight="1" ht="17.25">
      <c r="A3522" s="7">
        <v>3521</v>
      </c>
      <c r="B3522" s="1" t="s">
        <v>8836</v>
      </c>
      <c r="C3522" s="5">
        <f>CONCATENATE("PD", TEXT(A3522, "1000000"))</f>
      </c>
      <c r="D3522" s="7">
        <v>76</v>
      </c>
      <c r="E3522" s="5">
        <f>XLOOKUP(G3522, item_category!C:C, item_category!B:B, "Not Found")</f>
      </c>
      <c r="F3522" s="1" t="s">
        <v>5632</v>
      </c>
      <c r="G3522" s="5">
        <f>XLOOKUP(I3522, drug!B:B, drug!A:A, "Not Found")</f>
      </c>
      <c r="H3522" s="1" t="s">
        <v>1942</v>
      </c>
      <c r="I3522" s="7">
        <v>1</v>
      </c>
      <c r="J3522" s="5">
        <f>XLOOKUP(L3522, uom!C:C, uom!B:B, "Not Found")</f>
      </c>
      <c r="K3522" s="1" t="s">
        <v>5511</v>
      </c>
      <c r="L3522" s="5">
        <f>XLOOKUP(N3522, uom!C:C, uom!B:B, "Not Found")</f>
      </c>
      <c r="M3522" s="1" t="s">
        <v>5511</v>
      </c>
      <c r="N3522" s="8" t="s">
        <v>5512</v>
      </c>
      <c r="O3522" s="1" t="s">
        <v>5513</v>
      </c>
      <c r="P3522" s="5">
        <f>XLOOKUP(R3522, classification!C:C, classification!B:B, "Not Found")</f>
      </c>
      <c r="Q3522" s="1" t="s">
        <v>5514</v>
      </c>
      <c r="R3522" s="2"/>
      <c r="S3522" s="2"/>
      <c r="T3522" s="2"/>
      <c r="U3522" s="2"/>
    </row>
    <row x14ac:dyDescent="0.25" r="3523" customHeight="1" ht="17.25">
      <c r="A3523" s="7">
        <v>3522</v>
      </c>
      <c r="B3523" s="1" t="s">
        <v>8837</v>
      </c>
      <c r="C3523" s="5">
        <f>CONCATENATE("PD", TEXT(A3523, "1000000"))</f>
      </c>
      <c r="D3523" s="7">
        <v>76</v>
      </c>
      <c r="E3523" s="5">
        <f>XLOOKUP(G3523, item_category!C:C, item_category!B:B, "Not Found")</f>
      </c>
      <c r="F3523" s="1" t="s">
        <v>5632</v>
      </c>
      <c r="G3523" s="5">
        <f>XLOOKUP(I3523, drug!B:B, drug!A:A, "Not Found")</f>
      </c>
      <c r="H3523" s="1"/>
      <c r="I3523" s="7">
        <v>1</v>
      </c>
      <c r="J3523" s="5">
        <f>XLOOKUP(L3523, uom!C:C, uom!B:B, "Not Found")</f>
      </c>
      <c r="K3523" s="1" t="s">
        <v>5511</v>
      </c>
      <c r="L3523" s="5">
        <f>XLOOKUP(N3523, uom!C:C, uom!B:B, "Not Found")</f>
      </c>
      <c r="M3523" s="1" t="s">
        <v>5511</v>
      </c>
      <c r="N3523" s="8" t="s">
        <v>5512</v>
      </c>
      <c r="O3523" s="1" t="s">
        <v>5513</v>
      </c>
      <c r="P3523" s="5">
        <f>XLOOKUP(R3523, classification!C:C, classification!B:B, "Not Found")</f>
      </c>
      <c r="Q3523" s="1" t="s">
        <v>5514</v>
      </c>
      <c r="R3523" s="2"/>
      <c r="S3523" s="2"/>
      <c r="T3523" s="2"/>
      <c r="U3523" s="2"/>
    </row>
    <row x14ac:dyDescent="0.25" r="3524" customHeight="1" ht="17.25">
      <c r="A3524" s="7">
        <v>3523</v>
      </c>
      <c r="B3524" s="1" t="s">
        <v>8838</v>
      </c>
      <c r="C3524" s="5">
        <f>CONCATENATE("PD", TEXT(A3524, "1000000"))</f>
      </c>
      <c r="D3524" s="7">
        <v>76</v>
      </c>
      <c r="E3524" s="5">
        <f>XLOOKUP(G3524, item_category!C:C, item_category!B:B, "Not Found")</f>
      </c>
      <c r="F3524" s="1" t="s">
        <v>5632</v>
      </c>
      <c r="G3524" s="5">
        <f>XLOOKUP(I3524, drug!B:B, drug!A:A, "Not Found")</f>
      </c>
      <c r="H3524" s="1"/>
      <c r="I3524" s="7">
        <v>1</v>
      </c>
      <c r="J3524" s="5">
        <f>XLOOKUP(L3524, uom!C:C, uom!B:B, "Not Found")</f>
      </c>
      <c r="K3524" s="1" t="s">
        <v>5511</v>
      </c>
      <c r="L3524" s="5">
        <f>XLOOKUP(N3524, uom!C:C, uom!B:B, "Not Found")</f>
      </c>
      <c r="M3524" s="1" t="s">
        <v>5511</v>
      </c>
      <c r="N3524" s="8" t="s">
        <v>5512</v>
      </c>
      <c r="O3524" s="1" t="s">
        <v>5513</v>
      </c>
      <c r="P3524" s="5">
        <f>XLOOKUP(R3524, classification!C:C, classification!B:B, "Not Found")</f>
      </c>
      <c r="Q3524" s="1" t="s">
        <v>5514</v>
      </c>
      <c r="R3524" s="2"/>
      <c r="S3524" s="2"/>
      <c r="T3524" s="2"/>
      <c r="U3524" s="2"/>
    </row>
    <row x14ac:dyDescent="0.25" r="3525" customHeight="1" ht="17.25">
      <c r="A3525" s="7">
        <v>3524</v>
      </c>
      <c r="B3525" s="1" t="s">
        <v>8839</v>
      </c>
      <c r="C3525" s="5">
        <f>CONCATENATE("PD", TEXT(A3525, "1000000"))</f>
      </c>
      <c r="D3525" s="7">
        <v>76</v>
      </c>
      <c r="E3525" s="5">
        <f>XLOOKUP(G3525, item_category!C:C, item_category!B:B, "Not Found")</f>
      </c>
      <c r="F3525" s="1" t="s">
        <v>5632</v>
      </c>
      <c r="G3525" s="5">
        <f>XLOOKUP(I3525, drug!B:B, drug!A:A, "Not Found")</f>
      </c>
      <c r="H3525" s="1"/>
      <c r="I3525" s="7">
        <v>1</v>
      </c>
      <c r="J3525" s="5">
        <f>XLOOKUP(L3525, uom!C:C, uom!B:B, "Not Found")</f>
      </c>
      <c r="K3525" s="1" t="s">
        <v>5511</v>
      </c>
      <c r="L3525" s="5">
        <f>XLOOKUP(N3525, uom!C:C, uom!B:B, "Not Found")</f>
      </c>
      <c r="M3525" s="1" t="s">
        <v>5511</v>
      </c>
      <c r="N3525" s="8" t="s">
        <v>5512</v>
      </c>
      <c r="O3525" s="1" t="s">
        <v>5513</v>
      </c>
      <c r="P3525" s="5">
        <f>XLOOKUP(R3525, classification!C:C, classification!B:B, "Not Found")</f>
      </c>
      <c r="Q3525" s="1" t="s">
        <v>5514</v>
      </c>
      <c r="R3525" s="2"/>
      <c r="S3525" s="2"/>
      <c r="T3525" s="2"/>
      <c r="U3525" s="2"/>
    </row>
    <row x14ac:dyDescent="0.25" r="3526" customHeight="1" ht="17.25">
      <c r="A3526" s="7">
        <v>3525</v>
      </c>
      <c r="B3526" s="1" t="s">
        <v>8840</v>
      </c>
      <c r="C3526" s="5">
        <f>CONCATENATE("PD", TEXT(A3526, "1000000"))</f>
      </c>
      <c r="D3526" s="7">
        <v>76</v>
      </c>
      <c r="E3526" s="5">
        <f>XLOOKUP(G3526, item_category!C:C, item_category!B:B, "Not Found")</f>
      </c>
      <c r="F3526" s="1" t="s">
        <v>5632</v>
      </c>
      <c r="G3526" s="5">
        <f>XLOOKUP(I3526, drug!B:B, drug!A:A, "Not Found")</f>
      </c>
      <c r="H3526" s="1"/>
      <c r="I3526" s="7">
        <v>1</v>
      </c>
      <c r="J3526" s="5">
        <f>XLOOKUP(L3526, uom!C:C, uom!B:B, "Not Found")</f>
      </c>
      <c r="K3526" s="1" t="s">
        <v>5511</v>
      </c>
      <c r="L3526" s="5">
        <f>XLOOKUP(N3526, uom!C:C, uom!B:B, "Not Found")</f>
      </c>
      <c r="M3526" s="1" t="s">
        <v>5511</v>
      </c>
      <c r="N3526" s="8" t="s">
        <v>5512</v>
      </c>
      <c r="O3526" s="1" t="s">
        <v>5513</v>
      </c>
      <c r="P3526" s="5">
        <f>XLOOKUP(R3526, classification!C:C, classification!B:B, "Not Found")</f>
      </c>
      <c r="Q3526" s="1" t="s">
        <v>5514</v>
      </c>
      <c r="R3526" s="2"/>
      <c r="S3526" s="2"/>
      <c r="T3526" s="2"/>
      <c r="U3526" s="2"/>
    </row>
    <row x14ac:dyDescent="0.25" r="3527" customHeight="1" ht="17.25">
      <c r="A3527" s="7">
        <v>3526</v>
      </c>
      <c r="B3527" s="1" t="s">
        <v>8841</v>
      </c>
      <c r="C3527" s="5">
        <f>CONCATENATE("PD", TEXT(A3527, "1000000"))</f>
      </c>
      <c r="D3527" s="7">
        <v>76</v>
      </c>
      <c r="E3527" s="5">
        <f>XLOOKUP(G3527, item_category!C:C, item_category!B:B, "Not Found")</f>
      </c>
      <c r="F3527" s="1" t="s">
        <v>5632</v>
      </c>
      <c r="G3527" s="5">
        <f>XLOOKUP(I3527, drug!B:B, drug!A:A, "Not Found")</f>
      </c>
      <c r="H3527" s="1"/>
      <c r="I3527" s="7">
        <v>1</v>
      </c>
      <c r="J3527" s="5">
        <f>XLOOKUP(L3527, uom!C:C, uom!B:B, "Not Found")</f>
      </c>
      <c r="K3527" s="1" t="s">
        <v>5511</v>
      </c>
      <c r="L3527" s="5">
        <f>XLOOKUP(N3527, uom!C:C, uom!B:B, "Not Found")</f>
      </c>
      <c r="M3527" s="1" t="s">
        <v>5511</v>
      </c>
      <c r="N3527" s="8" t="s">
        <v>5512</v>
      </c>
      <c r="O3527" s="1" t="s">
        <v>5513</v>
      </c>
      <c r="P3527" s="5">
        <f>XLOOKUP(R3527, classification!C:C, classification!B:B, "Not Found")</f>
      </c>
      <c r="Q3527" s="1" t="s">
        <v>5514</v>
      </c>
      <c r="R3527" s="2"/>
      <c r="S3527" s="2"/>
      <c r="T3527" s="2"/>
      <c r="U3527" s="2"/>
    </row>
    <row x14ac:dyDescent="0.25" r="3528" customHeight="1" ht="17.25">
      <c r="A3528" s="7">
        <v>3527</v>
      </c>
      <c r="B3528" s="1" t="s">
        <v>8842</v>
      </c>
      <c r="C3528" s="5">
        <f>CONCATENATE("PD", TEXT(A3528, "1000000"))</f>
      </c>
      <c r="D3528" s="7">
        <v>76</v>
      </c>
      <c r="E3528" s="5">
        <f>XLOOKUP(G3528, item_category!C:C, item_category!B:B, "Not Found")</f>
      </c>
      <c r="F3528" s="1" t="s">
        <v>5632</v>
      </c>
      <c r="G3528" s="5">
        <f>XLOOKUP(I3528, drug!B:B, drug!A:A, "Not Found")</f>
      </c>
      <c r="H3528" s="1"/>
      <c r="I3528" s="7">
        <v>1</v>
      </c>
      <c r="J3528" s="5">
        <f>XLOOKUP(L3528, uom!C:C, uom!B:B, "Not Found")</f>
      </c>
      <c r="K3528" s="1" t="s">
        <v>5511</v>
      </c>
      <c r="L3528" s="5">
        <f>XLOOKUP(N3528, uom!C:C, uom!B:B, "Not Found")</f>
      </c>
      <c r="M3528" s="1" t="s">
        <v>5511</v>
      </c>
      <c r="N3528" s="8" t="s">
        <v>5512</v>
      </c>
      <c r="O3528" s="1" t="s">
        <v>5513</v>
      </c>
      <c r="P3528" s="5">
        <f>XLOOKUP(R3528, classification!C:C, classification!B:B, "Not Found")</f>
      </c>
      <c r="Q3528" s="1" t="s">
        <v>5514</v>
      </c>
      <c r="R3528" s="2"/>
      <c r="S3528" s="2"/>
      <c r="T3528" s="2"/>
      <c r="U3528" s="2"/>
    </row>
    <row x14ac:dyDescent="0.25" r="3529" customHeight="1" ht="17.25">
      <c r="A3529" s="7">
        <v>3528</v>
      </c>
      <c r="B3529" s="1" t="s">
        <v>8843</v>
      </c>
      <c r="C3529" s="5">
        <f>CONCATENATE("PD", TEXT(A3529, "1000000"))</f>
      </c>
      <c r="D3529" s="7">
        <v>76</v>
      </c>
      <c r="E3529" s="5">
        <f>XLOOKUP(G3529, item_category!C:C, item_category!B:B, "Not Found")</f>
      </c>
      <c r="F3529" s="1" t="s">
        <v>5632</v>
      </c>
      <c r="G3529" s="5">
        <f>XLOOKUP(I3529, drug!B:B, drug!A:A, "Not Found")</f>
      </c>
      <c r="H3529" s="1"/>
      <c r="I3529" s="7">
        <v>1</v>
      </c>
      <c r="J3529" s="5">
        <f>XLOOKUP(L3529, uom!C:C, uom!B:B, "Not Found")</f>
      </c>
      <c r="K3529" s="1" t="s">
        <v>5511</v>
      </c>
      <c r="L3529" s="5">
        <f>XLOOKUP(N3529, uom!C:C, uom!B:B, "Not Found")</f>
      </c>
      <c r="M3529" s="1" t="s">
        <v>5511</v>
      </c>
      <c r="N3529" s="8" t="s">
        <v>5512</v>
      </c>
      <c r="O3529" s="1" t="s">
        <v>5513</v>
      </c>
      <c r="P3529" s="5">
        <f>XLOOKUP(R3529, classification!C:C, classification!B:B, "Not Found")</f>
      </c>
      <c r="Q3529" s="1" t="s">
        <v>5514</v>
      </c>
      <c r="R3529" s="2"/>
      <c r="S3529" s="2"/>
      <c r="T3529" s="2"/>
      <c r="U3529" s="2"/>
    </row>
    <row x14ac:dyDescent="0.25" r="3530" customHeight="1" ht="17.25">
      <c r="A3530" s="7">
        <v>3529</v>
      </c>
      <c r="B3530" s="1" t="s">
        <v>8844</v>
      </c>
      <c r="C3530" s="5">
        <f>CONCATENATE("PD", TEXT(A3530, "1000000"))</f>
      </c>
      <c r="D3530" s="7">
        <v>76</v>
      </c>
      <c r="E3530" s="5">
        <f>XLOOKUP(G3530, item_category!C:C, item_category!B:B, "Not Found")</f>
      </c>
      <c r="F3530" s="1" t="s">
        <v>5632</v>
      </c>
      <c r="G3530" s="5">
        <f>XLOOKUP(I3530, drug!B:B, drug!A:A, "Not Found")</f>
      </c>
      <c r="H3530" s="1"/>
      <c r="I3530" s="7">
        <v>1</v>
      </c>
      <c r="J3530" s="5">
        <f>XLOOKUP(L3530, uom!C:C, uom!B:B, "Not Found")</f>
      </c>
      <c r="K3530" s="1" t="s">
        <v>5511</v>
      </c>
      <c r="L3530" s="5">
        <f>XLOOKUP(N3530, uom!C:C, uom!B:B, "Not Found")</f>
      </c>
      <c r="M3530" s="1" t="s">
        <v>5511</v>
      </c>
      <c r="N3530" s="8" t="s">
        <v>5512</v>
      </c>
      <c r="O3530" s="1" t="s">
        <v>5513</v>
      </c>
      <c r="P3530" s="5">
        <f>XLOOKUP(R3530, classification!C:C, classification!B:B, "Not Found")</f>
      </c>
      <c r="Q3530" s="1" t="s">
        <v>5514</v>
      </c>
      <c r="R3530" s="2"/>
      <c r="S3530" s="2"/>
      <c r="T3530" s="2"/>
      <c r="U3530" s="2"/>
    </row>
    <row x14ac:dyDescent="0.25" r="3531" customHeight="1" ht="17.25">
      <c r="A3531" s="7">
        <v>3530</v>
      </c>
      <c r="B3531" s="1" t="s">
        <v>8844</v>
      </c>
      <c r="C3531" s="5">
        <f>CONCATENATE("PD", TEXT(A3531, "1000000"))</f>
      </c>
      <c r="D3531" s="7">
        <v>76</v>
      </c>
      <c r="E3531" s="5">
        <f>XLOOKUP(G3531, item_category!C:C, item_category!B:B, "Not Found")</f>
      </c>
      <c r="F3531" s="1" t="s">
        <v>5632</v>
      </c>
      <c r="G3531" s="5">
        <f>XLOOKUP(I3531, drug!B:B, drug!A:A, "Not Found")</f>
      </c>
      <c r="H3531" s="1"/>
      <c r="I3531" s="7">
        <v>1</v>
      </c>
      <c r="J3531" s="5">
        <f>XLOOKUP(L3531, uom!C:C, uom!B:B, "Not Found")</f>
      </c>
      <c r="K3531" s="1" t="s">
        <v>5511</v>
      </c>
      <c r="L3531" s="5">
        <f>XLOOKUP(N3531, uom!C:C, uom!B:B, "Not Found")</f>
      </c>
      <c r="M3531" s="1" t="s">
        <v>5511</v>
      </c>
      <c r="N3531" s="8" t="s">
        <v>5512</v>
      </c>
      <c r="O3531" s="1" t="s">
        <v>5513</v>
      </c>
      <c r="P3531" s="5">
        <f>XLOOKUP(R3531, classification!C:C, classification!B:B, "Not Found")</f>
      </c>
      <c r="Q3531" s="1" t="s">
        <v>5514</v>
      </c>
      <c r="R3531" s="2"/>
      <c r="S3531" s="2"/>
      <c r="T3531" s="2"/>
      <c r="U3531" s="2"/>
    </row>
    <row x14ac:dyDescent="0.25" r="3532" customHeight="1" ht="17.25">
      <c r="A3532" s="7">
        <v>3531</v>
      </c>
      <c r="B3532" s="1" t="s">
        <v>8845</v>
      </c>
      <c r="C3532" s="5">
        <f>CONCATENATE("PD", TEXT(A3532, "1000000"))</f>
      </c>
      <c r="D3532" s="7">
        <v>76</v>
      </c>
      <c r="E3532" s="5">
        <f>XLOOKUP(G3532, item_category!C:C, item_category!B:B, "Not Found")</f>
      </c>
      <c r="F3532" s="1" t="s">
        <v>5632</v>
      </c>
      <c r="G3532" s="5">
        <f>XLOOKUP(I3532, drug!B:B, drug!A:A, "Not Found")</f>
      </c>
      <c r="H3532" s="1"/>
      <c r="I3532" s="7">
        <v>1</v>
      </c>
      <c r="J3532" s="5">
        <f>XLOOKUP(L3532, uom!C:C, uom!B:B, "Not Found")</f>
      </c>
      <c r="K3532" s="1" t="s">
        <v>5511</v>
      </c>
      <c r="L3532" s="5">
        <f>XLOOKUP(N3532, uom!C:C, uom!B:B, "Not Found")</f>
      </c>
      <c r="M3532" s="1" t="s">
        <v>5511</v>
      </c>
      <c r="N3532" s="8" t="s">
        <v>5512</v>
      </c>
      <c r="O3532" s="1" t="s">
        <v>5513</v>
      </c>
      <c r="P3532" s="5">
        <f>XLOOKUP(R3532, classification!C:C, classification!B:B, "Not Found")</f>
      </c>
      <c r="Q3532" s="1" t="s">
        <v>5514</v>
      </c>
      <c r="R3532" s="2"/>
      <c r="S3532" s="2"/>
      <c r="T3532" s="2"/>
      <c r="U3532" s="2"/>
    </row>
    <row x14ac:dyDescent="0.25" r="3533" customHeight="1" ht="17.25">
      <c r="A3533" s="7">
        <v>3532</v>
      </c>
      <c r="B3533" s="1" t="s">
        <v>8846</v>
      </c>
      <c r="C3533" s="5">
        <f>CONCATENATE("PD", TEXT(A3533, "1000000"))</f>
      </c>
      <c r="D3533" s="7">
        <v>76</v>
      </c>
      <c r="E3533" s="5">
        <f>XLOOKUP(G3533, item_category!C:C, item_category!B:B, "Not Found")</f>
      </c>
      <c r="F3533" s="1" t="s">
        <v>5632</v>
      </c>
      <c r="G3533" s="5">
        <f>XLOOKUP(I3533, drug!B:B, drug!A:A, "Not Found")</f>
      </c>
      <c r="H3533" s="1"/>
      <c r="I3533" s="7">
        <v>1</v>
      </c>
      <c r="J3533" s="5">
        <f>XLOOKUP(L3533, uom!C:C, uom!B:B, "Not Found")</f>
      </c>
      <c r="K3533" s="1" t="s">
        <v>5511</v>
      </c>
      <c r="L3533" s="5">
        <f>XLOOKUP(N3533, uom!C:C, uom!B:B, "Not Found")</f>
      </c>
      <c r="M3533" s="1" t="s">
        <v>5511</v>
      </c>
      <c r="N3533" s="8" t="s">
        <v>5512</v>
      </c>
      <c r="O3533" s="1" t="s">
        <v>5513</v>
      </c>
      <c r="P3533" s="5">
        <f>XLOOKUP(R3533, classification!C:C, classification!B:B, "Not Found")</f>
      </c>
      <c r="Q3533" s="1" t="s">
        <v>5514</v>
      </c>
      <c r="R3533" s="2"/>
      <c r="S3533" s="2"/>
      <c r="T3533" s="2"/>
      <c r="U3533" s="2"/>
    </row>
    <row x14ac:dyDescent="0.25" r="3534" customHeight="1" ht="17.25">
      <c r="A3534" s="7">
        <v>3533</v>
      </c>
      <c r="B3534" s="1" t="s">
        <v>8847</v>
      </c>
      <c r="C3534" s="5">
        <f>CONCATENATE("PD", TEXT(A3534, "1000000"))</f>
      </c>
      <c r="D3534" s="7">
        <v>76</v>
      </c>
      <c r="E3534" s="5">
        <f>XLOOKUP(G3534, item_category!C:C, item_category!B:B, "Not Found")</f>
      </c>
      <c r="F3534" s="1" t="s">
        <v>5632</v>
      </c>
      <c r="G3534" s="5">
        <f>XLOOKUP(I3534, drug!B:B, drug!A:A, "Not Found")</f>
      </c>
      <c r="H3534" s="1"/>
      <c r="I3534" s="7">
        <v>1</v>
      </c>
      <c r="J3534" s="5">
        <f>XLOOKUP(L3534, uom!C:C, uom!B:B, "Not Found")</f>
      </c>
      <c r="K3534" s="1" t="s">
        <v>5511</v>
      </c>
      <c r="L3534" s="5">
        <f>XLOOKUP(N3534, uom!C:C, uom!B:B, "Not Found")</f>
      </c>
      <c r="M3534" s="1" t="s">
        <v>5511</v>
      </c>
      <c r="N3534" s="8" t="s">
        <v>5512</v>
      </c>
      <c r="O3534" s="1" t="s">
        <v>5513</v>
      </c>
      <c r="P3534" s="5">
        <f>XLOOKUP(R3534, classification!C:C, classification!B:B, "Not Found")</f>
      </c>
      <c r="Q3534" s="1" t="s">
        <v>5514</v>
      </c>
      <c r="R3534" s="2"/>
      <c r="S3534" s="2"/>
      <c r="T3534" s="2"/>
      <c r="U3534" s="2"/>
    </row>
    <row x14ac:dyDescent="0.25" r="3535" customHeight="1" ht="17.25">
      <c r="A3535" s="7">
        <v>3534</v>
      </c>
      <c r="B3535" s="1" t="s">
        <v>8848</v>
      </c>
      <c r="C3535" s="5">
        <f>CONCATENATE("PD", TEXT(A3535, "1000000"))</f>
      </c>
      <c r="D3535" s="7">
        <v>76</v>
      </c>
      <c r="E3535" s="5">
        <f>XLOOKUP(G3535, item_category!C:C, item_category!B:B, "Not Found")</f>
      </c>
      <c r="F3535" s="1" t="s">
        <v>5632</v>
      </c>
      <c r="G3535" s="5">
        <f>XLOOKUP(I3535, drug!B:B, drug!A:A, "Not Found")</f>
      </c>
      <c r="H3535" s="1"/>
      <c r="I3535" s="7">
        <v>1</v>
      </c>
      <c r="J3535" s="5">
        <f>XLOOKUP(L3535, uom!C:C, uom!B:B, "Not Found")</f>
      </c>
      <c r="K3535" s="1" t="s">
        <v>5511</v>
      </c>
      <c r="L3535" s="5">
        <f>XLOOKUP(N3535, uom!C:C, uom!B:B, "Not Found")</f>
      </c>
      <c r="M3535" s="1" t="s">
        <v>5511</v>
      </c>
      <c r="N3535" s="8" t="s">
        <v>5512</v>
      </c>
      <c r="O3535" s="1" t="s">
        <v>5513</v>
      </c>
      <c r="P3535" s="5">
        <f>XLOOKUP(R3535, classification!C:C, classification!B:B, "Not Found")</f>
      </c>
      <c r="Q3535" s="1" t="s">
        <v>5514</v>
      </c>
      <c r="R3535" s="2"/>
      <c r="S3535" s="2"/>
      <c r="T3535" s="2"/>
      <c r="U3535" s="2"/>
    </row>
    <row x14ac:dyDescent="0.25" r="3536" customHeight="1" ht="17.25">
      <c r="A3536" s="7">
        <v>3535</v>
      </c>
      <c r="B3536" s="1" t="s">
        <v>8849</v>
      </c>
      <c r="C3536" s="5">
        <f>CONCATENATE("PD", TEXT(A3536, "1000000"))</f>
      </c>
      <c r="D3536" s="7">
        <v>76</v>
      </c>
      <c r="E3536" s="5">
        <f>XLOOKUP(G3536, item_category!C:C, item_category!B:B, "Not Found")</f>
      </c>
      <c r="F3536" s="1" t="s">
        <v>5632</v>
      </c>
      <c r="G3536" s="5">
        <f>XLOOKUP(I3536, drug!B:B, drug!A:A, "Not Found")</f>
      </c>
      <c r="H3536" s="1"/>
      <c r="I3536" s="7">
        <v>1</v>
      </c>
      <c r="J3536" s="5">
        <f>XLOOKUP(L3536, uom!C:C, uom!B:B, "Not Found")</f>
      </c>
      <c r="K3536" s="1" t="s">
        <v>5511</v>
      </c>
      <c r="L3536" s="5">
        <f>XLOOKUP(N3536, uom!C:C, uom!B:B, "Not Found")</f>
      </c>
      <c r="M3536" s="1" t="s">
        <v>5511</v>
      </c>
      <c r="N3536" s="8" t="s">
        <v>5512</v>
      </c>
      <c r="O3536" s="1" t="s">
        <v>5513</v>
      </c>
      <c r="P3536" s="5">
        <f>XLOOKUP(R3536, classification!C:C, classification!B:B, "Not Found")</f>
      </c>
      <c r="Q3536" s="1" t="s">
        <v>5514</v>
      </c>
      <c r="R3536" s="2"/>
      <c r="S3536" s="2"/>
      <c r="T3536" s="2"/>
      <c r="U3536" s="2"/>
    </row>
    <row x14ac:dyDescent="0.25" r="3537" customHeight="1" ht="17.25">
      <c r="A3537" s="7">
        <v>3536</v>
      </c>
      <c r="B3537" s="1" t="s">
        <v>8850</v>
      </c>
      <c r="C3537" s="5">
        <f>CONCATENATE("PD", TEXT(A3537, "1000000"))</f>
      </c>
      <c r="D3537" s="7">
        <v>76</v>
      </c>
      <c r="E3537" s="5">
        <f>XLOOKUP(G3537, item_category!C:C, item_category!B:B, "Not Found")</f>
      </c>
      <c r="F3537" s="1" t="s">
        <v>5632</v>
      </c>
      <c r="G3537" s="5">
        <f>XLOOKUP(I3537, drug!B:B, drug!A:A, "Not Found")</f>
      </c>
      <c r="H3537" s="1"/>
      <c r="I3537" s="7">
        <v>1</v>
      </c>
      <c r="J3537" s="5">
        <f>XLOOKUP(L3537, uom!C:C, uom!B:B, "Not Found")</f>
      </c>
      <c r="K3537" s="1" t="s">
        <v>5511</v>
      </c>
      <c r="L3537" s="5">
        <f>XLOOKUP(N3537, uom!C:C, uom!B:B, "Not Found")</f>
      </c>
      <c r="M3537" s="1" t="s">
        <v>5511</v>
      </c>
      <c r="N3537" s="8" t="s">
        <v>5512</v>
      </c>
      <c r="O3537" s="1" t="s">
        <v>5513</v>
      </c>
      <c r="P3537" s="5">
        <f>XLOOKUP(R3537, classification!C:C, classification!B:B, "Not Found")</f>
      </c>
      <c r="Q3537" s="1" t="s">
        <v>5514</v>
      </c>
      <c r="R3537" s="2"/>
      <c r="S3537" s="2"/>
      <c r="T3537" s="2"/>
      <c r="U3537" s="2"/>
    </row>
    <row x14ac:dyDescent="0.25" r="3538" customHeight="1" ht="17.25">
      <c r="A3538" s="7">
        <v>3537</v>
      </c>
      <c r="B3538" s="1" t="s">
        <v>8851</v>
      </c>
      <c r="C3538" s="5">
        <f>CONCATENATE("PD", TEXT(A3538, "1000000"))</f>
      </c>
      <c r="D3538" s="7">
        <v>76</v>
      </c>
      <c r="E3538" s="5">
        <f>XLOOKUP(G3538, item_category!C:C, item_category!B:B, "Not Found")</f>
      </c>
      <c r="F3538" s="1" t="s">
        <v>5632</v>
      </c>
      <c r="G3538" s="5">
        <f>XLOOKUP(I3538, drug!B:B, drug!A:A, "Not Found")</f>
      </c>
      <c r="H3538" s="1"/>
      <c r="I3538" s="7">
        <v>1</v>
      </c>
      <c r="J3538" s="5">
        <f>XLOOKUP(L3538, uom!C:C, uom!B:B, "Not Found")</f>
      </c>
      <c r="K3538" s="1" t="s">
        <v>5511</v>
      </c>
      <c r="L3538" s="5">
        <f>XLOOKUP(N3538, uom!C:C, uom!B:B, "Not Found")</f>
      </c>
      <c r="M3538" s="1" t="s">
        <v>5511</v>
      </c>
      <c r="N3538" s="8" t="s">
        <v>5512</v>
      </c>
      <c r="O3538" s="1" t="s">
        <v>5513</v>
      </c>
      <c r="P3538" s="5">
        <f>XLOOKUP(R3538, classification!C:C, classification!B:B, "Not Found")</f>
      </c>
      <c r="Q3538" s="1" t="s">
        <v>5514</v>
      </c>
      <c r="R3538" s="2"/>
      <c r="S3538" s="2"/>
      <c r="T3538" s="2"/>
      <c r="U3538" s="2"/>
    </row>
    <row x14ac:dyDescent="0.25" r="3539" customHeight="1" ht="17.25">
      <c r="A3539" s="7">
        <v>3538</v>
      </c>
      <c r="B3539" s="1" t="s">
        <v>8852</v>
      </c>
      <c r="C3539" s="5">
        <f>CONCATENATE("PD", TEXT(A3539, "1000000"))</f>
      </c>
      <c r="D3539" s="7">
        <v>76</v>
      </c>
      <c r="E3539" s="5">
        <f>XLOOKUP(G3539, item_category!C:C, item_category!B:B, "Not Found")</f>
      </c>
      <c r="F3539" s="1" t="s">
        <v>5632</v>
      </c>
      <c r="G3539" s="5">
        <f>XLOOKUP(I3539, drug!B:B, drug!A:A, "Not Found")</f>
      </c>
      <c r="H3539" s="1"/>
      <c r="I3539" s="7">
        <v>1</v>
      </c>
      <c r="J3539" s="5">
        <f>XLOOKUP(L3539, uom!C:C, uom!B:B, "Not Found")</f>
      </c>
      <c r="K3539" s="1" t="s">
        <v>5511</v>
      </c>
      <c r="L3539" s="5">
        <f>XLOOKUP(N3539, uom!C:C, uom!B:B, "Not Found")</f>
      </c>
      <c r="M3539" s="1" t="s">
        <v>5511</v>
      </c>
      <c r="N3539" s="8" t="s">
        <v>5512</v>
      </c>
      <c r="O3539" s="1" t="s">
        <v>5513</v>
      </c>
      <c r="P3539" s="5">
        <f>XLOOKUP(R3539, classification!C:C, classification!B:B, "Not Found")</f>
      </c>
      <c r="Q3539" s="1" t="s">
        <v>5514</v>
      </c>
      <c r="R3539" s="2"/>
      <c r="S3539" s="2"/>
      <c r="T3539" s="2"/>
      <c r="U3539" s="2"/>
    </row>
    <row x14ac:dyDescent="0.25" r="3540" customHeight="1" ht="17.25">
      <c r="A3540" s="7">
        <v>3539</v>
      </c>
      <c r="B3540" s="1" t="s">
        <v>8853</v>
      </c>
      <c r="C3540" s="5">
        <f>CONCATENATE("PD", TEXT(A3540, "1000000"))</f>
      </c>
      <c r="D3540" s="7">
        <v>76</v>
      </c>
      <c r="E3540" s="5">
        <f>XLOOKUP(G3540, item_category!C:C, item_category!B:B, "Not Found")</f>
      </c>
      <c r="F3540" s="1" t="s">
        <v>5632</v>
      </c>
      <c r="G3540" s="5">
        <f>XLOOKUP(I3540, drug!B:B, drug!A:A, "Not Found")</f>
      </c>
      <c r="H3540" s="1"/>
      <c r="I3540" s="7">
        <v>1</v>
      </c>
      <c r="J3540" s="5">
        <f>XLOOKUP(L3540, uom!C:C, uom!B:B, "Not Found")</f>
      </c>
      <c r="K3540" s="1" t="s">
        <v>5511</v>
      </c>
      <c r="L3540" s="5">
        <f>XLOOKUP(N3540, uom!C:C, uom!B:B, "Not Found")</f>
      </c>
      <c r="M3540" s="1" t="s">
        <v>5511</v>
      </c>
      <c r="N3540" s="8" t="s">
        <v>5512</v>
      </c>
      <c r="O3540" s="1" t="s">
        <v>5513</v>
      </c>
      <c r="P3540" s="5">
        <f>XLOOKUP(R3540, classification!C:C, classification!B:B, "Not Found")</f>
      </c>
      <c r="Q3540" s="1" t="s">
        <v>5514</v>
      </c>
      <c r="R3540" s="2"/>
      <c r="S3540" s="2"/>
      <c r="T3540" s="2"/>
      <c r="U3540" s="2"/>
    </row>
    <row x14ac:dyDescent="0.25" r="3541" customHeight="1" ht="17.25">
      <c r="A3541" s="7">
        <v>3540</v>
      </c>
      <c r="B3541" s="1" t="s">
        <v>8854</v>
      </c>
      <c r="C3541" s="5">
        <f>CONCATENATE("PD", TEXT(A3541, "1000000"))</f>
      </c>
      <c r="D3541" s="7">
        <v>76</v>
      </c>
      <c r="E3541" s="5">
        <f>XLOOKUP(G3541, item_category!C:C, item_category!B:B, "Not Found")</f>
      </c>
      <c r="F3541" s="1" t="s">
        <v>5632</v>
      </c>
      <c r="G3541" s="5">
        <f>XLOOKUP(I3541, drug!B:B, drug!A:A, "Not Found")</f>
      </c>
      <c r="H3541" s="1"/>
      <c r="I3541" s="7">
        <v>1</v>
      </c>
      <c r="J3541" s="5">
        <f>XLOOKUP(L3541, uom!C:C, uom!B:B, "Not Found")</f>
      </c>
      <c r="K3541" s="1" t="s">
        <v>5511</v>
      </c>
      <c r="L3541" s="5">
        <f>XLOOKUP(N3541, uom!C:C, uom!B:B, "Not Found")</f>
      </c>
      <c r="M3541" s="1" t="s">
        <v>5511</v>
      </c>
      <c r="N3541" s="8" t="s">
        <v>5512</v>
      </c>
      <c r="O3541" s="1" t="s">
        <v>5513</v>
      </c>
      <c r="P3541" s="5">
        <f>XLOOKUP(R3541, classification!C:C, classification!B:B, "Not Found")</f>
      </c>
      <c r="Q3541" s="1" t="s">
        <v>5514</v>
      </c>
      <c r="R3541" s="2"/>
      <c r="S3541" s="2"/>
      <c r="T3541" s="2"/>
      <c r="U3541" s="2"/>
    </row>
    <row x14ac:dyDescent="0.25" r="3542" customHeight="1" ht="17.25">
      <c r="A3542" s="7">
        <v>3541</v>
      </c>
      <c r="B3542" s="1" t="s">
        <v>8855</v>
      </c>
      <c r="C3542" s="5">
        <f>CONCATENATE("PD", TEXT(A3542, "1000000"))</f>
      </c>
      <c r="D3542" s="7">
        <v>76</v>
      </c>
      <c r="E3542" s="5">
        <f>XLOOKUP(G3542, item_category!C:C, item_category!B:B, "Not Found")</f>
      </c>
      <c r="F3542" s="1" t="s">
        <v>5632</v>
      </c>
      <c r="G3542" s="5">
        <f>XLOOKUP(I3542, drug!B:B, drug!A:A, "Not Found")</f>
      </c>
      <c r="H3542" s="1"/>
      <c r="I3542" s="7">
        <v>1</v>
      </c>
      <c r="J3542" s="5">
        <f>XLOOKUP(L3542, uom!C:C, uom!B:B, "Not Found")</f>
      </c>
      <c r="K3542" s="1" t="s">
        <v>5511</v>
      </c>
      <c r="L3542" s="5">
        <f>XLOOKUP(N3542, uom!C:C, uom!B:B, "Not Found")</f>
      </c>
      <c r="M3542" s="1" t="s">
        <v>5511</v>
      </c>
      <c r="N3542" s="8" t="s">
        <v>5512</v>
      </c>
      <c r="O3542" s="1" t="s">
        <v>5513</v>
      </c>
      <c r="P3542" s="5">
        <f>XLOOKUP(R3542, classification!C:C, classification!B:B, "Not Found")</f>
      </c>
      <c r="Q3542" s="1" t="s">
        <v>5514</v>
      </c>
      <c r="R3542" s="2"/>
      <c r="S3542" s="2"/>
      <c r="T3542" s="2"/>
      <c r="U3542" s="2"/>
    </row>
    <row x14ac:dyDescent="0.25" r="3543" customHeight="1" ht="17.25">
      <c r="A3543" s="7">
        <v>3542</v>
      </c>
      <c r="B3543" s="1" t="s">
        <v>8856</v>
      </c>
      <c r="C3543" s="5">
        <f>CONCATENATE("PD", TEXT(A3543, "1000000"))</f>
      </c>
      <c r="D3543" s="7">
        <v>76</v>
      </c>
      <c r="E3543" s="5">
        <f>XLOOKUP(G3543, item_category!C:C, item_category!B:B, "Not Found")</f>
      </c>
      <c r="F3543" s="1" t="s">
        <v>5632</v>
      </c>
      <c r="G3543" s="5">
        <f>XLOOKUP(I3543, drug!B:B, drug!A:A, "Not Found")</f>
      </c>
      <c r="H3543" s="1"/>
      <c r="I3543" s="7">
        <v>1</v>
      </c>
      <c r="J3543" s="5">
        <f>XLOOKUP(L3543, uom!C:C, uom!B:B, "Not Found")</f>
      </c>
      <c r="K3543" s="1" t="s">
        <v>5511</v>
      </c>
      <c r="L3543" s="5">
        <f>XLOOKUP(N3543, uom!C:C, uom!B:B, "Not Found")</f>
      </c>
      <c r="M3543" s="1" t="s">
        <v>5511</v>
      </c>
      <c r="N3543" s="8" t="s">
        <v>5512</v>
      </c>
      <c r="O3543" s="1" t="s">
        <v>5513</v>
      </c>
      <c r="P3543" s="5">
        <f>XLOOKUP(R3543, classification!C:C, classification!B:B, "Not Found")</f>
      </c>
      <c r="Q3543" s="1" t="s">
        <v>5514</v>
      </c>
      <c r="R3543" s="2"/>
      <c r="S3543" s="2"/>
      <c r="T3543" s="2"/>
      <c r="U3543" s="2"/>
    </row>
    <row x14ac:dyDescent="0.25" r="3544" customHeight="1" ht="17.25">
      <c r="A3544" s="7">
        <v>3543</v>
      </c>
      <c r="B3544" s="1" t="s">
        <v>8857</v>
      </c>
      <c r="C3544" s="5">
        <f>CONCATENATE("PD", TEXT(A3544, "1000000"))</f>
      </c>
      <c r="D3544" s="7">
        <v>76</v>
      </c>
      <c r="E3544" s="5">
        <f>XLOOKUP(G3544, item_category!C:C, item_category!B:B, "Not Found")</f>
      </c>
      <c r="F3544" s="1" t="s">
        <v>5632</v>
      </c>
      <c r="G3544" s="5">
        <f>XLOOKUP(I3544, drug!B:B, drug!A:A, "Not Found")</f>
      </c>
      <c r="H3544" s="1"/>
      <c r="I3544" s="7">
        <v>1</v>
      </c>
      <c r="J3544" s="5">
        <f>XLOOKUP(L3544, uom!C:C, uom!B:B, "Not Found")</f>
      </c>
      <c r="K3544" s="1" t="s">
        <v>5511</v>
      </c>
      <c r="L3544" s="5">
        <f>XLOOKUP(N3544, uom!C:C, uom!B:B, "Not Found")</f>
      </c>
      <c r="M3544" s="1" t="s">
        <v>5511</v>
      </c>
      <c r="N3544" s="8" t="s">
        <v>5512</v>
      </c>
      <c r="O3544" s="1" t="s">
        <v>5513</v>
      </c>
      <c r="P3544" s="5">
        <f>XLOOKUP(R3544, classification!C:C, classification!B:B, "Not Found")</f>
      </c>
      <c r="Q3544" s="1" t="s">
        <v>5514</v>
      </c>
      <c r="R3544" s="2"/>
      <c r="S3544" s="2"/>
      <c r="T3544" s="2"/>
      <c r="U3544" s="2"/>
    </row>
    <row x14ac:dyDescent="0.25" r="3545" customHeight="1" ht="17.25">
      <c r="A3545" s="7">
        <v>3544</v>
      </c>
      <c r="B3545" s="1" t="s">
        <v>8858</v>
      </c>
      <c r="C3545" s="5">
        <f>CONCATENATE("PD", TEXT(A3545, "1000000"))</f>
      </c>
      <c r="D3545" s="7">
        <v>76</v>
      </c>
      <c r="E3545" s="5">
        <f>XLOOKUP(G3545, item_category!C:C, item_category!B:B, "Not Found")</f>
      </c>
      <c r="F3545" s="1" t="s">
        <v>5632</v>
      </c>
      <c r="G3545" s="5">
        <f>XLOOKUP(I3545, drug!B:B, drug!A:A, "Not Found")</f>
      </c>
      <c r="H3545" s="1" t="s">
        <v>1942</v>
      </c>
      <c r="I3545" s="7">
        <v>280</v>
      </c>
      <c r="J3545" s="5">
        <f>XLOOKUP(L3545, uom!C:C, uom!B:B, "Not Found")</f>
      </c>
      <c r="K3545" s="1" t="s">
        <v>5511</v>
      </c>
      <c r="L3545" s="5">
        <f>XLOOKUP(N3545, uom!C:C, uom!B:B, "Not Found")</f>
      </c>
      <c r="M3545" s="1" t="s">
        <v>5511</v>
      </c>
      <c r="N3545" s="8" t="s">
        <v>5524</v>
      </c>
      <c r="O3545" s="1" t="s">
        <v>5525</v>
      </c>
      <c r="P3545" s="5">
        <f>XLOOKUP(R3545, classification!C:C, classification!B:B, "Not Found")</f>
      </c>
      <c r="Q3545" s="1" t="s">
        <v>5514</v>
      </c>
      <c r="R3545" s="2"/>
      <c r="S3545" s="2"/>
      <c r="T3545" s="2"/>
      <c r="U3545" s="2"/>
    </row>
    <row x14ac:dyDescent="0.25" r="3546" customHeight="1" ht="17.25">
      <c r="A3546" s="7">
        <v>3545</v>
      </c>
      <c r="B3546" s="1" t="s">
        <v>8859</v>
      </c>
      <c r="C3546" s="5">
        <f>CONCATENATE("PD", TEXT(A3546, "1000000"))</f>
      </c>
      <c r="D3546" s="7">
        <v>76</v>
      </c>
      <c r="E3546" s="5">
        <f>XLOOKUP(G3546, item_category!C:C, item_category!B:B, "Not Found")</f>
      </c>
      <c r="F3546" s="1" t="s">
        <v>5632</v>
      </c>
      <c r="G3546" s="5">
        <f>XLOOKUP(I3546, drug!B:B, drug!A:A, "Not Found")</f>
      </c>
      <c r="H3546" s="1"/>
      <c r="I3546" s="7">
        <v>780</v>
      </c>
      <c r="J3546" s="5">
        <f>XLOOKUP(L3546, uom!C:C, uom!B:B, "Not Found")</f>
      </c>
      <c r="K3546" s="1" t="s">
        <v>6689</v>
      </c>
      <c r="L3546" s="5">
        <f>XLOOKUP(N3546, uom!C:C, uom!B:B, "Not Found")</f>
      </c>
      <c r="M3546" s="1" t="s">
        <v>6689</v>
      </c>
      <c r="N3546" s="8" t="s">
        <v>5524</v>
      </c>
      <c r="O3546" s="1" t="s">
        <v>5525</v>
      </c>
      <c r="P3546" s="5">
        <f>XLOOKUP(R3546, classification!C:C, classification!B:B, "Not Found")</f>
      </c>
      <c r="Q3546" s="1" t="s">
        <v>5514</v>
      </c>
      <c r="R3546" s="2"/>
      <c r="S3546" s="2"/>
      <c r="T3546" s="2"/>
      <c r="U3546" s="2"/>
    </row>
    <row x14ac:dyDescent="0.25" r="3547" customHeight="1" ht="17.25">
      <c r="A3547" s="7">
        <v>3546</v>
      </c>
      <c r="B3547" s="1" t="s">
        <v>8860</v>
      </c>
      <c r="C3547" s="5">
        <f>CONCATENATE("PD", TEXT(A3547, "1000000"))</f>
      </c>
      <c r="D3547" s="7">
        <v>76</v>
      </c>
      <c r="E3547" s="5">
        <f>XLOOKUP(G3547, item_category!C:C, item_category!B:B, "Not Found")</f>
      </c>
      <c r="F3547" s="1" t="s">
        <v>5632</v>
      </c>
      <c r="G3547" s="5">
        <f>XLOOKUP(I3547, drug!B:B, drug!A:A, "Not Found")</f>
      </c>
      <c r="H3547" s="1"/>
      <c r="I3547" s="7">
        <v>1</v>
      </c>
      <c r="J3547" s="5">
        <f>XLOOKUP(L3547, uom!C:C, uom!B:B, "Not Found")</f>
      </c>
      <c r="K3547" s="1" t="s">
        <v>5511</v>
      </c>
      <c r="L3547" s="5">
        <f>XLOOKUP(N3547, uom!C:C, uom!B:B, "Not Found")</f>
      </c>
      <c r="M3547" s="1" t="s">
        <v>5511</v>
      </c>
      <c r="N3547" s="8" t="s">
        <v>5512</v>
      </c>
      <c r="O3547" s="1" t="s">
        <v>5513</v>
      </c>
      <c r="P3547" s="5">
        <f>XLOOKUP(R3547, classification!C:C, classification!B:B, "Not Found")</f>
      </c>
      <c r="Q3547" s="1" t="s">
        <v>5514</v>
      </c>
      <c r="R3547" s="2"/>
      <c r="S3547" s="2"/>
      <c r="T3547" s="2"/>
      <c r="U3547" s="2"/>
    </row>
    <row x14ac:dyDescent="0.25" r="3548" customHeight="1" ht="17.25">
      <c r="A3548" s="7">
        <v>3547</v>
      </c>
      <c r="B3548" s="1" t="s">
        <v>8861</v>
      </c>
      <c r="C3548" s="5">
        <f>CONCATENATE("PD", TEXT(A3548, "1000000"))</f>
      </c>
      <c r="D3548" s="7">
        <v>76</v>
      </c>
      <c r="E3548" s="5">
        <f>XLOOKUP(G3548, item_category!C:C, item_category!B:B, "Not Found")</f>
      </c>
      <c r="F3548" s="1" t="s">
        <v>5632</v>
      </c>
      <c r="G3548" s="5">
        <f>XLOOKUP(I3548, drug!B:B, drug!A:A, "Not Found")</f>
      </c>
      <c r="H3548" s="1"/>
      <c r="I3548" s="7">
        <v>1</v>
      </c>
      <c r="J3548" s="5">
        <f>XLOOKUP(L3548, uom!C:C, uom!B:B, "Not Found")</f>
      </c>
      <c r="K3548" s="1" t="s">
        <v>5511</v>
      </c>
      <c r="L3548" s="5">
        <f>XLOOKUP(N3548, uom!C:C, uom!B:B, "Not Found")</f>
      </c>
      <c r="M3548" s="1" t="s">
        <v>5511</v>
      </c>
      <c r="N3548" s="8" t="s">
        <v>5512</v>
      </c>
      <c r="O3548" s="1" t="s">
        <v>5513</v>
      </c>
      <c r="P3548" s="5">
        <f>XLOOKUP(R3548, classification!C:C, classification!B:B, "Not Found")</f>
      </c>
      <c r="Q3548" s="1" t="s">
        <v>5514</v>
      </c>
      <c r="R3548" s="2"/>
      <c r="S3548" s="2"/>
      <c r="T3548" s="2"/>
      <c r="U3548" s="2"/>
    </row>
    <row x14ac:dyDescent="0.25" r="3549" customHeight="1" ht="17.25">
      <c r="A3549" s="7">
        <v>3548</v>
      </c>
      <c r="B3549" s="1" t="s">
        <v>8862</v>
      </c>
      <c r="C3549" s="5">
        <f>CONCATENATE("PD", TEXT(A3549, "1000000"))</f>
      </c>
      <c r="D3549" s="7">
        <v>76</v>
      </c>
      <c r="E3549" s="5">
        <f>XLOOKUP(G3549, item_category!C:C, item_category!B:B, "Not Found")</f>
      </c>
      <c r="F3549" s="1" t="s">
        <v>5632</v>
      </c>
      <c r="G3549" s="5">
        <f>XLOOKUP(I3549, drug!B:B, drug!A:A, "Not Found")</f>
      </c>
      <c r="H3549" s="1"/>
      <c r="I3549" s="7">
        <v>1</v>
      </c>
      <c r="J3549" s="5">
        <f>XLOOKUP(L3549, uom!C:C, uom!B:B, "Not Found")</f>
      </c>
      <c r="K3549" s="1" t="s">
        <v>5511</v>
      </c>
      <c r="L3549" s="5">
        <f>XLOOKUP(N3549, uom!C:C, uom!B:B, "Not Found")</f>
      </c>
      <c r="M3549" s="1" t="s">
        <v>5511</v>
      </c>
      <c r="N3549" s="8" t="s">
        <v>5512</v>
      </c>
      <c r="O3549" s="1" t="s">
        <v>5513</v>
      </c>
      <c r="P3549" s="5">
        <f>XLOOKUP(R3549, classification!C:C, classification!B:B, "Not Found")</f>
      </c>
      <c r="Q3549" s="1" t="s">
        <v>5514</v>
      </c>
      <c r="R3549" s="2"/>
      <c r="S3549" s="2"/>
      <c r="T3549" s="2"/>
      <c r="U3549" s="2"/>
    </row>
    <row x14ac:dyDescent="0.25" r="3550" customHeight="1" ht="17.25">
      <c r="A3550" s="7">
        <v>3549</v>
      </c>
      <c r="B3550" s="1" t="s">
        <v>8863</v>
      </c>
      <c r="C3550" s="5">
        <f>CONCATENATE("PD", TEXT(A3550, "1000000"))</f>
      </c>
      <c r="D3550" s="7">
        <v>76</v>
      </c>
      <c r="E3550" s="5">
        <f>XLOOKUP(G3550, item_category!C:C, item_category!B:B, "Not Found")</f>
      </c>
      <c r="F3550" s="1" t="s">
        <v>5632</v>
      </c>
      <c r="G3550" s="5">
        <f>XLOOKUP(I3550, drug!B:B, drug!A:A, "Not Found")</f>
      </c>
      <c r="H3550" s="1"/>
      <c r="I3550" s="7">
        <v>1</v>
      </c>
      <c r="J3550" s="5">
        <f>XLOOKUP(L3550, uom!C:C, uom!B:B, "Not Found")</f>
      </c>
      <c r="K3550" s="1" t="s">
        <v>5511</v>
      </c>
      <c r="L3550" s="5">
        <f>XLOOKUP(N3550, uom!C:C, uom!B:B, "Not Found")</f>
      </c>
      <c r="M3550" s="1" t="s">
        <v>5511</v>
      </c>
      <c r="N3550" s="8" t="s">
        <v>5512</v>
      </c>
      <c r="O3550" s="1" t="s">
        <v>5513</v>
      </c>
      <c r="P3550" s="5">
        <f>XLOOKUP(R3550, classification!C:C, classification!B:B, "Not Found")</f>
      </c>
      <c r="Q3550" s="1" t="s">
        <v>5514</v>
      </c>
      <c r="R3550" s="2"/>
      <c r="S3550" s="2"/>
      <c r="T3550" s="2"/>
      <c r="U3550" s="2"/>
    </row>
    <row x14ac:dyDescent="0.25" r="3551" customHeight="1" ht="17.25">
      <c r="A3551" s="7">
        <v>3550</v>
      </c>
      <c r="B3551" s="1" t="s">
        <v>8864</v>
      </c>
      <c r="C3551" s="5">
        <f>CONCATENATE("PD", TEXT(A3551, "1000000"))</f>
      </c>
      <c r="D3551" s="7">
        <v>8</v>
      </c>
      <c r="E3551" s="5">
        <f>XLOOKUP(G3551, item_category!C:C, item_category!B:B, "Not Found")</f>
      </c>
      <c r="F3551" s="1" t="s">
        <v>5517</v>
      </c>
      <c r="G3551" s="5">
        <f>XLOOKUP(I3551, drug!B:B, drug!A:A, "Not Found")</f>
      </c>
      <c r="H3551" s="1"/>
      <c r="I3551" s="7">
        <v>147</v>
      </c>
      <c r="J3551" s="5">
        <f>XLOOKUP(L3551, uom!C:C, uom!B:B, "Not Found")</f>
      </c>
      <c r="K3551" s="1" t="s">
        <v>5511</v>
      </c>
      <c r="L3551" s="5">
        <f>XLOOKUP(N3551, uom!C:C, uom!B:B, "Not Found")</f>
      </c>
      <c r="M3551" s="1" t="s">
        <v>5511</v>
      </c>
      <c r="N3551" s="8" t="s">
        <v>5512</v>
      </c>
      <c r="O3551" s="1" t="s">
        <v>5513</v>
      </c>
      <c r="P3551" s="5">
        <f>XLOOKUP(R3551, classification!C:C, classification!B:B, "Not Found")</f>
      </c>
      <c r="Q3551" s="1" t="s">
        <v>5514</v>
      </c>
      <c r="R3551" s="2"/>
      <c r="S3551" s="2"/>
      <c r="T3551" s="2"/>
      <c r="U3551" s="2"/>
    </row>
    <row x14ac:dyDescent="0.25" r="3552" customHeight="1" ht="17.25">
      <c r="A3552" s="7">
        <v>3551</v>
      </c>
      <c r="B3552" s="1" t="s">
        <v>8865</v>
      </c>
      <c r="C3552" s="5">
        <f>CONCATENATE("PD", TEXT(A3552, "1000000"))</f>
      </c>
      <c r="D3552" s="7">
        <v>76</v>
      </c>
      <c r="E3552" s="5">
        <f>XLOOKUP(G3552, item_category!C:C, item_category!B:B, "Not Found")</f>
      </c>
      <c r="F3552" s="1" t="s">
        <v>5632</v>
      </c>
      <c r="G3552" s="5">
        <f>XLOOKUP(I3552, drug!B:B, drug!A:A, "Not Found")</f>
      </c>
      <c r="H3552" s="1" t="s">
        <v>1942</v>
      </c>
      <c r="I3552" s="7">
        <v>1</v>
      </c>
      <c r="J3552" s="5">
        <f>XLOOKUP(L3552, uom!C:C, uom!B:B, "Not Found")</f>
      </c>
      <c r="K3552" s="1" t="s">
        <v>5511</v>
      </c>
      <c r="L3552" s="5">
        <f>XLOOKUP(N3552, uom!C:C, uom!B:B, "Not Found")</f>
      </c>
      <c r="M3552" s="1" t="s">
        <v>5511</v>
      </c>
      <c r="N3552" s="8" t="s">
        <v>5512</v>
      </c>
      <c r="O3552" s="1" t="s">
        <v>5513</v>
      </c>
      <c r="P3552" s="5">
        <f>XLOOKUP(R3552, classification!C:C, classification!B:B, "Not Found")</f>
      </c>
      <c r="Q3552" s="1" t="s">
        <v>5514</v>
      </c>
      <c r="R3552" s="2"/>
      <c r="S3552" s="2"/>
      <c r="T3552" s="2"/>
      <c r="U3552" s="2"/>
    </row>
    <row x14ac:dyDescent="0.25" r="3553" customHeight="1" ht="17.25">
      <c r="A3553" s="7">
        <v>3552</v>
      </c>
      <c r="B3553" s="1" t="s">
        <v>8866</v>
      </c>
      <c r="C3553" s="5">
        <f>CONCATENATE("PD", TEXT(A3553, "1000000"))</f>
      </c>
      <c r="D3553" s="7">
        <v>76</v>
      </c>
      <c r="E3553" s="5">
        <f>XLOOKUP(G3553, item_category!C:C, item_category!B:B, "Not Found")</f>
      </c>
      <c r="F3553" s="1" t="s">
        <v>5632</v>
      </c>
      <c r="G3553" s="5">
        <f>XLOOKUP(I3553, drug!B:B, drug!A:A, "Not Found")</f>
      </c>
      <c r="H3553" s="1" t="s">
        <v>1942</v>
      </c>
      <c r="I3553" s="7">
        <v>1</v>
      </c>
      <c r="J3553" s="5">
        <f>XLOOKUP(L3553, uom!C:C, uom!B:B, "Not Found")</f>
      </c>
      <c r="K3553" s="1" t="s">
        <v>5511</v>
      </c>
      <c r="L3553" s="5">
        <f>XLOOKUP(N3553, uom!C:C, uom!B:B, "Not Found")</f>
      </c>
      <c r="M3553" s="1" t="s">
        <v>5511</v>
      </c>
      <c r="N3553" s="8" t="s">
        <v>5512</v>
      </c>
      <c r="O3553" s="1" t="s">
        <v>5513</v>
      </c>
      <c r="P3553" s="5">
        <f>XLOOKUP(R3553, classification!C:C, classification!B:B, "Not Found")</f>
      </c>
      <c r="Q3553" s="1" t="s">
        <v>5514</v>
      </c>
      <c r="R3553" s="2"/>
      <c r="S3553" s="2"/>
      <c r="T3553" s="2"/>
      <c r="U3553" s="2"/>
    </row>
    <row x14ac:dyDescent="0.25" r="3554" customHeight="1" ht="17.25">
      <c r="A3554" s="7">
        <v>3553</v>
      </c>
      <c r="B3554" s="1" t="s">
        <v>8867</v>
      </c>
      <c r="C3554" s="5">
        <f>CONCATENATE("PD", TEXT(A3554, "1000000"))</f>
      </c>
      <c r="D3554" s="7">
        <v>76</v>
      </c>
      <c r="E3554" s="5">
        <f>XLOOKUP(G3554, item_category!C:C, item_category!B:B, "Not Found")</f>
      </c>
      <c r="F3554" s="1" t="s">
        <v>5632</v>
      </c>
      <c r="G3554" s="5">
        <f>XLOOKUP(I3554, drug!B:B, drug!A:A, "Not Found")</f>
      </c>
      <c r="H3554" s="1"/>
      <c r="I3554" s="7">
        <v>1</v>
      </c>
      <c r="J3554" s="5">
        <f>XLOOKUP(L3554, uom!C:C, uom!B:B, "Not Found")</f>
      </c>
      <c r="K3554" s="1" t="s">
        <v>5511</v>
      </c>
      <c r="L3554" s="5">
        <f>XLOOKUP(N3554, uom!C:C, uom!B:B, "Not Found")</f>
      </c>
      <c r="M3554" s="1" t="s">
        <v>5511</v>
      </c>
      <c r="N3554" s="8" t="s">
        <v>5512</v>
      </c>
      <c r="O3554" s="1" t="s">
        <v>5513</v>
      </c>
      <c r="P3554" s="5">
        <f>XLOOKUP(R3554, classification!C:C, classification!B:B, "Not Found")</f>
      </c>
      <c r="Q3554" s="1" t="s">
        <v>5514</v>
      </c>
      <c r="R3554" s="2"/>
      <c r="S3554" s="2"/>
      <c r="T3554" s="2"/>
      <c r="U3554" s="2"/>
    </row>
    <row x14ac:dyDescent="0.25" r="3555" customHeight="1" ht="17.25">
      <c r="A3555" s="7">
        <v>3554</v>
      </c>
      <c r="B3555" s="1" t="s">
        <v>8868</v>
      </c>
      <c r="C3555" s="5">
        <f>CONCATENATE("PD", TEXT(A3555, "1000000"))</f>
      </c>
      <c r="D3555" s="7">
        <v>76</v>
      </c>
      <c r="E3555" s="5">
        <f>XLOOKUP(G3555, item_category!C:C, item_category!B:B, "Not Found")</f>
      </c>
      <c r="F3555" s="1" t="s">
        <v>5632</v>
      </c>
      <c r="G3555" s="5">
        <f>XLOOKUP(I3555, drug!B:B, drug!A:A, "Not Found")</f>
      </c>
      <c r="H3555" s="1"/>
      <c r="I3555" s="7">
        <v>1</v>
      </c>
      <c r="J3555" s="5">
        <f>XLOOKUP(L3555, uom!C:C, uom!B:B, "Not Found")</f>
      </c>
      <c r="K3555" s="1" t="s">
        <v>5511</v>
      </c>
      <c r="L3555" s="5">
        <f>XLOOKUP(N3555, uom!C:C, uom!B:B, "Not Found")</f>
      </c>
      <c r="M3555" s="1" t="s">
        <v>5511</v>
      </c>
      <c r="N3555" s="8" t="s">
        <v>5512</v>
      </c>
      <c r="O3555" s="1" t="s">
        <v>5513</v>
      </c>
      <c r="P3555" s="5">
        <f>XLOOKUP(R3555, classification!C:C, classification!B:B, "Not Found")</f>
      </c>
      <c r="Q3555" s="1" t="s">
        <v>5514</v>
      </c>
      <c r="R3555" s="2"/>
      <c r="S3555" s="2"/>
      <c r="T3555" s="2"/>
      <c r="U3555" s="2"/>
    </row>
    <row x14ac:dyDescent="0.25" r="3556" customHeight="1" ht="17.25">
      <c r="A3556" s="7">
        <v>3555</v>
      </c>
      <c r="B3556" s="1" t="s">
        <v>8869</v>
      </c>
      <c r="C3556" s="5">
        <f>CONCATENATE("PD", TEXT(A3556, "1000000"))</f>
      </c>
      <c r="D3556" s="7">
        <v>76</v>
      </c>
      <c r="E3556" s="5">
        <f>XLOOKUP(G3556, item_category!C:C, item_category!B:B, "Not Found")</f>
      </c>
      <c r="F3556" s="1" t="s">
        <v>5632</v>
      </c>
      <c r="G3556" s="5">
        <f>XLOOKUP(I3556, drug!B:B, drug!A:A, "Not Found")</f>
      </c>
      <c r="H3556" s="1"/>
      <c r="I3556" s="7">
        <v>1</v>
      </c>
      <c r="J3556" s="5">
        <f>XLOOKUP(L3556, uom!C:C, uom!B:B, "Not Found")</f>
      </c>
      <c r="K3556" s="1" t="s">
        <v>5511</v>
      </c>
      <c r="L3556" s="5">
        <f>XLOOKUP(N3556, uom!C:C, uom!B:B, "Not Found")</f>
      </c>
      <c r="M3556" s="1" t="s">
        <v>5511</v>
      </c>
      <c r="N3556" s="8" t="s">
        <v>5512</v>
      </c>
      <c r="O3556" s="1" t="s">
        <v>5513</v>
      </c>
      <c r="P3556" s="5">
        <f>XLOOKUP(R3556, classification!C:C, classification!B:B, "Not Found")</f>
      </c>
      <c r="Q3556" s="1" t="s">
        <v>5514</v>
      </c>
      <c r="R3556" s="2"/>
      <c r="S3556" s="2"/>
      <c r="T3556" s="2"/>
      <c r="U3556" s="2"/>
    </row>
    <row x14ac:dyDescent="0.25" r="3557" customHeight="1" ht="17.25">
      <c r="A3557" s="7">
        <v>3556</v>
      </c>
      <c r="B3557" s="1" t="s">
        <v>8870</v>
      </c>
      <c r="C3557" s="5">
        <f>CONCATENATE("PD", TEXT(A3557, "1000000"))</f>
      </c>
      <c r="D3557" s="7">
        <v>76</v>
      </c>
      <c r="E3557" s="5">
        <f>XLOOKUP(G3557, item_category!C:C, item_category!B:B, "Not Found")</f>
      </c>
      <c r="F3557" s="1" t="s">
        <v>5632</v>
      </c>
      <c r="G3557" s="5">
        <f>XLOOKUP(I3557, drug!B:B, drug!A:A, "Not Found")</f>
      </c>
      <c r="H3557" s="1"/>
      <c r="I3557" s="7">
        <v>1</v>
      </c>
      <c r="J3557" s="5">
        <f>XLOOKUP(L3557, uom!C:C, uom!B:B, "Not Found")</f>
      </c>
      <c r="K3557" s="1" t="s">
        <v>5511</v>
      </c>
      <c r="L3557" s="5">
        <f>XLOOKUP(N3557, uom!C:C, uom!B:B, "Not Found")</f>
      </c>
      <c r="M3557" s="1" t="s">
        <v>5511</v>
      </c>
      <c r="N3557" s="8" t="s">
        <v>5512</v>
      </c>
      <c r="O3557" s="1" t="s">
        <v>5513</v>
      </c>
      <c r="P3557" s="5">
        <f>XLOOKUP(R3557, classification!C:C, classification!B:B, "Not Found")</f>
      </c>
      <c r="Q3557" s="1" t="s">
        <v>5514</v>
      </c>
      <c r="R3557" s="2"/>
      <c r="S3557" s="2"/>
      <c r="T3557" s="2"/>
      <c r="U3557" s="2"/>
    </row>
    <row x14ac:dyDescent="0.25" r="3558" customHeight="1" ht="17.25">
      <c r="A3558" s="7">
        <v>3557</v>
      </c>
      <c r="B3558" s="1" t="s">
        <v>8871</v>
      </c>
      <c r="C3558" s="5">
        <f>CONCATENATE("PD", TEXT(A3558, "1000000"))</f>
      </c>
      <c r="D3558" s="7">
        <v>76</v>
      </c>
      <c r="E3558" s="5">
        <f>XLOOKUP(G3558, item_category!C:C, item_category!B:B, "Not Found")</f>
      </c>
      <c r="F3558" s="1" t="s">
        <v>5632</v>
      </c>
      <c r="G3558" s="5">
        <f>XLOOKUP(I3558, drug!B:B, drug!A:A, "Not Found")</f>
      </c>
      <c r="H3558" s="1"/>
      <c r="I3558" s="7">
        <v>1</v>
      </c>
      <c r="J3558" s="5">
        <f>XLOOKUP(L3558, uom!C:C, uom!B:B, "Not Found")</f>
      </c>
      <c r="K3558" s="1" t="s">
        <v>5511</v>
      </c>
      <c r="L3558" s="5">
        <f>XLOOKUP(N3558, uom!C:C, uom!B:B, "Not Found")</f>
      </c>
      <c r="M3558" s="1" t="s">
        <v>5511</v>
      </c>
      <c r="N3558" s="8" t="s">
        <v>5512</v>
      </c>
      <c r="O3558" s="1" t="s">
        <v>5513</v>
      </c>
      <c r="P3558" s="5">
        <f>XLOOKUP(R3558, classification!C:C, classification!B:B, "Not Found")</f>
      </c>
      <c r="Q3558" s="1" t="s">
        <v>5514</v>
      </c>
      <c r="R3558" s="2"/>
      <c r="S3558" s="2"/>
      <c r="T3558" s="2"/>
      <c r="U3558" s="2"/>
    </row>
    <row x14ac:dyDescent="0.25" r="3559" customHeight="1" ht="17.25">
      <c r="A3559" s="7">
        <v>3558</v>
      </c>
      <c r="B3559" s="1" t="s">
        <v>8872</v>
      </c>
      <c r="C3559" s="5">
        <f>CONCATENATE("PD", TEXT(A3559, "1000000"))</f>
      </c>
      <c r="D3559" s="7">
        <v>76</v>
      </c>
      <c r="E3559" s="5">
        <f>XLOOKUP(G3559, item_category!C:C, item_category!B:B, "Not Found")</f>
      </c>
      <c r="F3559" s="1" t="s">
        <v>5632</v>
      </c>
      <c r="G3559" s="5">
        <f>XLOOKUP(I3559, drug!B:B, drug!A:A, "Not Found")</f>
      </c>
      <c r="H3559" s="1"/>
      <c r="I3559" s="7">
        <v>1</v>
      </c>
      <c r="J3559" s="5">
        <f>XLOOKUP(L3559, uom!C:C, uom!B:B, "Not Found")</f>
      </c>
      <c r="K3559" s="1" t="s">
        <v>5511</v>
      </c>
      <c r="L3559" s="5">
        <f>XLOOKUP(N3559, uom!C:C, uom!B:B, "Not Found")</f>
      </c>
      <c r="M3559" s="1" t="s">
        <v>5511</v>
      </c>
      <c r="N3559" s="8" t="s">
        <v>5512</v>
      </c>
      <c r="O3559" s="1" t="s">
        <v>5513</v>
      </c>
      <c r="P3559" s="5">
        <f>XLOOKUP(R3559, classification!C:C, classification!B:B, "Not Found")</f>
      </c>
      <c r="Q3559" s="1" t="s">
        <v>5514</v>
      </c>
      <c r="R3559" s="2"/>
      <c r="S3559" s="2"/>
      <c r="T3559" s="2"/>
      <c r="U3559" s="2"/>
    </row>
    <row x14ac:dyDescent="0.25" r="3560" customHeight="1" ht="17.25">
      <c r="A3560" s="7">
        <v>3559</v>
      </c>
      <c r="B3560" s="1" t="s">
        <v>8873</v>
      </c>
      <c r="C3560" s="5">
        <f>CONCATENATE("PD", TEXT(A3560, "1000000"))</f>
      </c>
      <c r="D3560" s="7">
        <v>76</v>
      </c>
      <c r="E3560" s="5">
        <f>XLOOKUP(G3560, item_category!C:C, item_category!B:B, "Not Found")</f>
      </c>
      <c r="F3560" s="1" t="s">
        <v>5632</v>
      </c>
      <c r="G3560" s="5">
        <f>XLOOKUP(I3560, drug!B:B, drug!A:A, "Not Found")</f>
      </c>
      <c r="H3560" s="1"/>
      <c r="I3560" s="7">
        <v>1</v>
      </c>
      <c r="J3560" s="5">
        <f>XLOOKUP(L3560, uom!C:C, uom!B:B, "Not Found")</f>
      </c>
      <c r="K3560" s="1" t="s">
        <v>5511</v>
      </c>
      <c r="L3560" s="5">
        <f>XLOOKUP(N3560, uom!C:C, uom!B:B, "Not Found")</f>
      </c>
      <c r="M3560" s="1" t="s">
        <v>5511</v>
      </c>
      <c r="N3560" s="8" t="s">
        <v>5512</v>
      </c>
      <c r="O3560" s="1" t="s">
        <v>5513</v>
      </c>
      <c r="P3560" s="5">
        <f>XLOOKUP(R3560, classification!C:C, classification!B:B, "Not Found")</f>
      </c>
      <c r="Q3560" s="1" t="s">
        <v>5514</v>
      </c>
      <c r="R3560" s="2"/>
      <c r="S3560" s="2"/>
      <c r="T3560" s="2"/>
      <c r="U3560" s="2"/>
    </row>
    <row x14ac:dyDescent="0.25" r="3561" customHeight="1" ht="17.25">
      <c r="A3561" s="7">
        <v>3560</v>
      </c>
      <c r="B3561" s="1" t="s">
        <v>8874</v>
      </c>
      <c r="C3561" s="5">
        <f>CONCATENATE("PD", TEXT(A3561, "1000000"))</f>
      </c>
      <c r="D3561" s="7">
        <v>76</v>
      </c>
      <c r="E3561" s="5">
        <f>XLOOKUP(G3561, item_category!C:C, item_category!B:B, "Not Found")</f>
      </c>
      <c r="F3561" s="1" t="s">
        <v>5632</v>
      </c>
      <c r="G3561" s="5">
        <f>XLOOKUP(I3561, drug!B:B, drug!A:A, "Not Found")</f>
      </c>
      <c r="H3561" s="1"/>
      <c r="I3561" s="7">
        <v>1</v>
      </c>
      <c r="J3561" s="5">
        <f>XLOOKUP(L3561, uom!C:C, uom!B:B, "Not Found")</f>
      </c>
      <c r="K3561" s="1" t="s">
        <v>5511</v>
      </c>
      <c r="L3561" s="5">
        <f>XLOOKUP(N3561, uom!C:C, uom!B:B, "Not Found")</f>
      </c>
      <c r="M3561" s="1" t="s">
        <v>5511</v>
      </c>
      <c r="N3561" s="8" t="s">
        <v>5512</v>
      </c>
      <c r="O3561" s="1" t="s">
        <v>5513</v>
      </c>
      <c r="P3561" s="5">
        <f>XLOOKUP(R3561, classification!C:C, classification!B:B, "Not Found")</f>
      </c>
      <c r="Q3561" s="1" t="s">
        <v>5514</v>
      </c>
      <c r="R3561" s="2"/>
      <c r="S3561" s="2"/>
      <c r="T3561" s="2"/>
      <c r="U3561" s="2"/>
    </row>
    <row x14ac:dyDescent="0.25" r="3562" customHeight="1" ht="17.25">
      <c r="A3562" s="7">
        <v>3561</v>
      </c>
      <c r="B3562" s="1" t="s">
        <v>8875</v>
      </c>
      <c r="C3562" s="5">
        <f>CONCATENATE("PD", TEXT(A3562, "1000000"))</f>
      </c>
      <c r="D3562" s="7">
        <v>76</v>
      </c>
      <c r="E3562" s="5">
        <f>XLOOKUP(G3562, item_category!C:C, item_category!B:B, "Not Found")</f>
      </c>
      <c r="F3562" s="1" t="s">
        <v>5632</v>
      </c>
      <c r="G3562" s="5">
        <f>XLOOKUP(I3562, drug!B:B, drug!A:A, "Not Found")</f>
      </c>
      <c r="H3562" s="1"/>
      <c r="I3562" s="7">
        <v>1</v>
      </c>
      <c r="J3562" s="5">
        <f>XLOOKUP(L3562, uom!C:C, uom!B:B, "Not Found")</f>
      </c>
      <c r="K3562" s="1" t="s">
        <v>5511</v>
      </c>
      <c r="L3562" s="5">
        <f>XLOOKUP(N3562, uom!C:C, uom!B:B, "Not Found")</f>
      </c>
      <c r="M3562" s="1" t="s">
        <v>5511</v>
      </c>
      <c r="N3562" s="8" t="s">
        <v>5512</v>
      </c>
      <c r="O3562" s="1" t="s">
        <v>5513</v>
      </c>
      <c r="P3562" s="5">
        <f>XLOOKUP(R3562, classification!C:C, classification!B:B, "Not Found")</f>
      </c>
      <c r="Q3562" s="1" t="s">
        <v>5514</v>
      </c>
      <c r="R3562" s="2"/>
      <c r="S3562" s="2"/>
      <c r="T3562" s="2"/>
      <c r="U3562" s="2"/>
    </row>
    <row x14ac:dyDescent="0.25" r="3563" customHeight="1" ht="17.25">
      <c r="A3563" s="7">
        <v>3562</v>
      </c>
      <c r="B3563" s="1" t="s">
        <v>8876</v>
      </c>
      <c r="C3563" s="5">
        <f>CONCATENATE("PD", TEXT(A3563, "1000000"))</f>
      </c>
      <c r="D3563" s="7">
        <v>76</v>
      </c>
      <c r="E3563" s="5">
        <f>XLOOKUP(G3563, item_category!C:C, item_category!B:B, "Not Found")</f>
      </c>
      <c r="F3563" s="1" t="s">
        <v>5632</v>
      </c>
      <c r="G3563" s="5">
        <f>XLOOKUP(I3563, drug!B:B, drug!A:A, "Not Found")</f>
      </c>
      <c r="H3563" s="1"/>
      <c r="I3563" s="7">
        <v>1</v>
      </c>
      <c r="J3563" s="5">
        <f>XLOOKUP(L3563, uom!C:C, uom!B:B, "Not Found")</f>
      </c>
      <c r="K3563" s="1" t="s">
        <v>5511</v>
      </c>
      <c r="L3563" s="5">
        <f>XLOOKUP(N3563, uom!C:C, uom!B:B, "Not Found")</f>
      </c>
      <c r="M3563" s="1" t="s">
        <v>5511</v>
      </c>
      <c r="N3563" s="8" t="s">
        <v>5512</v>
      </c>
      <c r="O3563" s="1" t="s">
        <v>5513</v>
      </c>
      <c r="P3563" s="5">
        <f>XLOOKUP(R3563, classification!C:C, classification!B:B, "Not Found")</f>
      </c>
      <c r="Q3563" s="1" t="s">
        <v>5514</v>
      </c>
      <c r="R3563" s="2"/>
      <c r="S3563" s="2"/>
      <c r="T3563" s="2"/>
      <c r="U3563" s="2"/>
    </row>
    <row x14ac:dyDescent="0.25" r="3564" customHeight="1" ht="17.25">
      <c r="A3564" s="7">
        <v>3563</v>
      </c>
      <c r="B3564" s="1" t="s">
        <v>8877</v>
      </c>
      <c r="C3564" s="5">
        <f>CONCATENATE("PD", TEXT(A3564, "1000000"))</f>
      </c>
      <c r="D3564" s="7">
        <v>76</v>
      </c>
      <c r="E3564" s="5">
        <f>XLOOKUP(G3564, item_category!C:C, item_category!B:B, "Not Found")</f>
      </c>
      <c r="F3564" s="1" t="s">
        <v>5632</v>
      </c>
      <c r="G3564" s="5">
        <f>XLOOKUP(I3564, drug!B:B, drug!A:A, "Not Found")</f>
      </c>
      <c r="H3564" s="1" t="s">
        <v>1942</v>
      </c>
      <c r="I3564" s="7">
        <v>1</v>
      </c>
      <c r="J3564" s="5">
        <f>XLOOKUP(L3564, uom!C:C, uom!B:B, "Not Found")</f>
      </c>
      <c r="K3564" s="1" t="s">
        <v>5511</v>
      </c>
      <c r="L3564" s="5">
        <f>XLOOKUP(N3564, uom!C:C, uom!B:B, "Not Found")</f>
      </c>
      <c r="M3564" s="1" t="s">
        <v>5511</v>
      </c>
      <c r="N3564" s="8" t="s">
        <v>5512</v>
      </c>
      <c r="O3564" s="1" t="s">
        <v>5513</v>
      </c>
      <c r="P3564" s="5">
        <f>XLOOKUP(R3564, classification!C:C, classification!B:B, "Not Found")</f>
      </c>
      <c r="Q3564" s="1" t="s">
        <v>5514</v>
      </c>
      <c r="R3564" s="2"/>
      <c r="S3564" s="2"/>
      <c r="T3564" s="2"/>
      <c r="U3564" s="2"/>
    </row>
    <row x14ac:dyDescent="0.25" r="3565" customHeight="1" ht="17.25">
      <c r="A3565" s="7">
        <v>3564</v>
      </c>
      <c r="B3565" s="1" t="s">
        <v>8878</v>
      </c>
      <c r="C3565" s="5">
        <f>CONCATENATE("PD", TEXT(A3565, "1000000"))</f>
      </c>
      <c r="D3565" s="7">
        <v>76</v>
      </c>
      <c r="E3565" s="5">
        <f>XLOOKUP(G3565, item_category!C:C, item_category!B:B, "Not Found")</f>
      </c>
      <c r="F3565" s="1" t="s">
        <v>5632</v>
      </c>
      <c r="G3565" s="5">
        <f>XLOOKUP(I3565, drug!B:B, drug!A:A, "Not Found")</f>
      </c>
      <c r="H3565" s="1"/>
      <c r="I3565" s="7">
        <v>1</v>
      </c>
      <c r="J3565" s="5">
        <f>XLOOKUP(L3565, uom!C:C, uom!B:B, "Not Found")</f>
      </c>
      <c r="K3565" s="1" t="s">
        <v>5511</v>
      </c>
      <c r="L3565" s="5">
        <f>XLOOKUP(N3565, uom!C:C, uom!B:B, "Not Found")</f>
      </c>
      <c r="M3565" s="1" t="s">
        <v>5511</v>
      </c>
      <c r="N3565" s="8" t="s">
        <v>5512</v>
      </c>
      <c r="O3565" s="1" t="s">
        <v>5513</v>
      </c>
      <c r="P3565" s="5">
        <f>XLOOKUP(R3565, classification!C:C, classification!B:B, "Not Found")</f>
      </c>
      <c r="Q3565" s="1" t="s">
        <v>5514</v>
      </c>
      <c r="R3565" s="2"/>
      <c r="S3565" s="2"/>
      <c r="T3565" s="2"/>
      <c r="U3565" s="2"/>
    </row>
    <row x14ac:dyDescent="0.25" r="3566" customHeight="1" ht="17.25">
      <c r="A3566" s="7">
        <v>3565</v>
      </c>
      <c r="B3566" s="1" t="s">
        <v>8879</v>
      </c>
      <c r="C3566" s="5">
        <f>CONCATENATE("PD", TEXT(A3566, "1000000"))</f>
      </c>
      <c r="D3566" s="7">
        <v>76</v>
      </c>
      <c r="E3566" s="5">
        <f>XLOOKUP(G3566, item_category!C:C, item_category!B:B, "Not Found")</f>
      </c>
      <c r="F3566" s="1" t="s">
        <v>5632</v>
      </c>
      <c r="G3566" s="5">
        <f>XLOOKUP(I3566, drug!B:B, drug!A:A, "Not Found")</f>
      </c>
      <c r="H3566" s="1"/>
      <c r="I3566" s="7">
        <v>1</v>
      </c>
      <c r="J3566" s="5">
        <f>XLOOKUP(L3566, uom!C:C, uom!B:B, "Not Found")</f>
      </c>
      <c r="K3566" s="1" t="s">
        <v>5511</v>
      </c>
      <c r="L3566" s="5">
        <f>XLOOKUP(N3566, uom!C:C, uom!B:B, "Not Found")</f>
      </c>
      <c r="M3566" s="1" t="s">
        <v>5511</v>
      </c>
      <c r="N3566" s="8" t="s">
        <v>5512</v>
      </c>
      <c r="O3566" s="1" t="s">
        <v>5513</v>
      </c>
      <c r="P3566" s="5">
        <f>XLOOKUP(R3566, classification!C:C, classification!B:B, "Not Found")</f>
      </c>
      <c r="Q3566" s="1" t="s">
        <v>5514</v>
      </c>
      <c r="R3566" s="2"/>
      <c r="S3566" s="2"/>
      <c r="T3566" s="2"/>
      <c r="U3566" s="2"/>
    </row>
    <row x14ac:dyDescent="0.25" r="3567" customHeight="1" ht="17.25">
      <c r="A3567" s="7">
        <v>3566</v>
      </c>
      <c r="B3567" s="1" t="s">
        <v>8880</v>
      </c>
      <c r="C3567" s="5">
        <f>CONCATENATE("PD", TEXT(A3567, "1000000"))</f>
      </c>
      <c r="D3567" s="7">
        <v>76</v>
      </c>
      <c r="E3567" s="5">
        <f>XLOOKUP(G3567, item_category!C:C, item_category!B:B, "Not Found")</f>
      </c>
      <c r="F3567" s="1" t="s">
        <v>5632</v>
      </c>
      <c r="G3567" s="5">
        <f>XLOOKUP(I3567, drug!B:B, drug!A:A, "Not Found")</f>
      </c>
      <c r="H3567" s="1"/>
      <c r="I3567" s="7">
        <v>1</v>
      </c>
      <c r="J3567" s="5">
        <f>XLOOKUP(L3567, uom!C:C, uom!B:B, "Not Found")</f>
      </c>
      <c r="K3567" s="1" t="s">
        <v>5511</v>
      </c>
      <c r="L3567" s="5">
        <f>XLOOKUP(N3567, uom!C:C, uom!B:B, "Not Found")</f>
      </c>
      <c r="M3567" s="1" t="s">
        <v>5511</v>
      </c>
      <c r="N3567" s="8" t="s">
        <v>5512</v>
      </c>
      <c r="O3567" s="1" t="s">
        <v>5513</v>
      </c>
      <c r="P3567" s="5">
        <f>XLOOKUP(R3567, classification!C:C, classification!B:B, "Not Found")</f>
      </c>
      <c r="Q3567" s="1" t="s">
        <v>5514</v>
      </c>
      <c r="R3567" s="2"/>
      <c r="S3567" s="2"/>
      <c r="T3567" s="2"/>
      <c r="U3567" s="2"/>
    </row>
    <row x14ac:dyDescent="0.25" r="3568" customHeight="1" ht="17.25">
      <c r="A3568" s="7">
        <v>3567</v>
      </c>
      <c r="B3568" s="1" t="s">
        <v>8881</v>
      </c>
      <c r="C3568" s="5">
        <f>CONCATENATE("PD", TEXT(A3568, "1000000"))</f>
      </c>
      <c r="D3568" s="7">
        <v>76</v>
      </c>
      <c r="E3568" s="5">
        <f>XLOOKUP(G3568, item_category!C:C, item_category!B:B, "Not Found")</f>
      </c>
      <c r="F3568" s="1" t="s">
        <v>5632</v>
      </c>
      <c r="G3568" s="5">
        <f>XLOOKUP(I3568, drug!B:B, drug!A:A, "Not Found")</f>
      </c>
      <c r="H3568" s="1"/>
      <c r="I3568" s="7">
        <v>1</v>
      </c>
      <c r="J3568" s="5">
        <f>XLOOKUP(L3568, uom!C:C, uom!B:B, "Not Found")</f>
      </c>
      <c r="K3568" s="1" t="s">
        <v>5511</v>
      </c>
      <c r="L3568" s="5">
        <f>XLOOKUP(N3568, uom!C:C, uom!B:B, "Not Found")</f>
      </c>
      <c r="M3568" s="1" t="s">
        <v>5511</v>
      </c>
      <c r="N3568" s="8" t="s">
        <v>5512</v>
      </c>
      <c r="O3568" s="1" t="s">
        <v>5513</v>
      </c>
      <c r="P3568" s="5">
        <f>XLOOKUP(R3568, classification!C:C, classification!B:B, "Not Found")</f>
      </c>
      <c r="Q3568" s="1" t="s">
        <v>5514</v>
      </c>
      <c r="R3568" s="2"/>
      <c r="S3568" s="2"/>
      <c r="T3568" s="2"/>
      <c r="U3568" s="2"/>
    </row>
    <row x14ac:dyDescent="0.25" r="3569" customHeight="1" ht="17.25">
      <c r="A3569" s="7">
        <v>3568</v>
      </c>
      <c r="B3569" s="1" t="s">
        <v>8882</v>
      </c>
      <c r="C3569" s="5">
        <f>CONCATENATE("PD", TEXT(A3569, "1000000"))</f>
      </c>
      <c r="D3569" s="7">
        <v>76</v>
      </c>
      <c r="E3569" s="5">
        <f>XLOOKUP(G3569, item_category!C:C, item_category!B:B, "Not Found")</f>
      </c>
      <c r="F3569" s="1" t="s">
        <v>5632</v>
      </c>
      <c r="G3569" s="5">
        <f>XLOOKUP(I3569, drug!B:B, drug!A:A, "Not Found")</f>
      </c>
      <c r="H3569" s="1"/>
      <c r="I3569" s="7">
        <v>1</v>
      </c>
      <c r="J3569" s="5">
        <f>XLOOKUP(L3569, uom!C:C, uom!B:B, "Not Found")</f>
      </c>
      <c r="K3569" s="1" t="s">
        <v>5511</v>
      </c>
      <c r="L3569" s="5">
        <f>XLOOKUP(N3569, uom!C:C, uom!B:B, "Not Found")</f>
      </c>
      <c r="M3569" s="1" t="s">
        <v>5511</v>
      </c>
      <c r="N3569" s="8" t="s">
        <v>5512</v>
      </c>
      <c r="O3569" s="1" t="s">
        <v>5513</v>
      </c>
      <c r="P3569" s="5">
        <f>XLOOKUP(R3569, classification!C:C, classification!B:B, "Not Found")</f>
      </c>
      <c r="Q3569" s="1" t="s">
        <v>5514</v>
      </c>
      <c r="R3569" s="2"/>
      <c r="S3569" s="2"/>
      <c r="T3569" s="2"/>
      <c r="U3569" s="2"/>
    </row>
    <row x14ac:dyDescent="0.25" r="3570" customHeight="1" ht="17.25">
      <c r="A3570" s="7">
        <v>3569</v>
      </c>
      <c r="B3570" s="1" t="s">
        <v>8883</v>
      </c>
      <c r="C3570" s="5">
        <f>CONCATENATE("PD", TEXT(A3570, "1000000"))</f>
      </c>
      <c r="D3570" s="7">
        <v>76</v>
      </c>
      <c r="E3570" s="5">
        <f>XLOOKUP(G3570, item_category!C:C, item_category!B:B, "Not Found")</f>
      </c>
      <c r="F3570" s="1" t="s">
        <v>5632</v>
      </c>
      <c r="G3570" s="5">
        <f>XLOOKUP(I3570, drug!B:B, drug!A:A, "Not Found")</f>
      </c>
      <c r="H3570" s="1"/>
      <c r="I3570" s="7">
        <v>1</v>
      </c>
      <c r="J3570" s="5">
        <f>XLOOKUP(L3570, uom!C:C, uom!B:B, "Not Found")</f>
      </c>
      <c r="K3570" s="1" t="s">
        <v>5511</v>
      </c>
      <c r="L3570" s="5">
        <f>XLOOKUP(N3570, uom!C:C, uom!B:B, "Not Found")</f>
      </c>
      <c r="M3570" s="1" t="s">
        <v>5511</v>
      </c>
      <c r="N3570" s="8" t="s">
        <v>5512</v>
      </c>
      <c r="O3570" s="1" t="s">
        <v>5513</v>
      </c>
      <c r="P3570" s="5">
        <f>XLOOKUP(R3570, classification!C:C, classification!B:B, "Not Found")</f>
      </c>
      <c r="Q3570" s="1" t="s">
        <v>5514</v>
      </c>
      <c r="R3570" s="2"/>
      <c r="S3570" s="2"/>
      <c r="T3570" s="2"/>
      <c r="U3570" s="2"/>
    </row>
    <row x14ac:dyDescent="0.25" r="3571" customHeight="1" ht="17.25">
      <c r="A3571" s="7">
        <v>3570</v>
      </c>
      <c r="B3571" s="1" t="s">
        <v>8884</v>
      </c>
      <c r="C3571" s="5">
        <f>CONCATENATE("PD", TEXT(A3571, "1000000"))</f>
      </c>
      <c r="D3571" s="7">
        <v>76</v>
      </c>
      <c r="E3571" s="5">
        <f>XLOOKUP(G3571, item_category!C:C, item_category!B:B, "Not Found")</f>
      </c>
      <c r="F3571" s="1" t="s">
        <v>5632</v>
      </c>
      <c r="G3571" s="5">
        <f>XLOOKUP(I3571, drug!B:B, drug!A:A, "Not Found")</f>
      </c>
      <c r="H3571" s="1"/>
      <c r="I3571" s="7">
        <v>1</v>
      </c>
      <c r="J3571" s="5">
        <f>XLOOKUP(L3571, uom!C:C, uom!B:B, "Not Found")</f>
      </c>
      <c r="K3571" s="1" t="s">
        <v>5511</v>
      </c>
      <c r="L3571" s="5">
        <f>XLOOKUP(N3571, uom!C:C, uom!B:B, "Not Found")</f>
      </c>
      <c r="M3571" s="1" t="s">
        <v>5511</v>
      </c>
      <c r="N3571" s="8" t="s">
        <v>5512</v>
      </c>
      <c r="O3571" s="1" t="s">
        <v>5513</v>
      </c>
      <c r="P3571" s="5">
        <f>XLOOKUP(R3571, classification!C:C, classification!B:B, "Not Found")</f>
      </c>
      <c r="Q3571" s="1" t="s">
        <v>5514</v>
      </c>
      <c r="R3571" s="2"/>
      <c r="S3571" s="2"/>
      <c r="T3571" s="2"/>
      <c r="U3571" s="2"/>
    </row>
    <row x14ac:dyDescent="0.25" r="3572" customHeight="1" ht="17.25">
      <c r="A3572" s="7">
        <v>3571</v>
      </c>
      <c r="B3572" s="1" t="s">
        <v>8885</v>
      </c>
      <c r="C3572" s="5">
        <f>CONCATENATE("PD", TEXT(A3572, "1000000"))</f>
      </c>
      <c r="D3572" s="7">
        <v>76</v>
      </c>
      <c r="E3572" s="5">
        <f>XLOOKUP(G3572, item_category!C:C, item_category!B:B, "Not Found")</f>
      </c>
      <c r="F3572" s="1" t="s">
        <v>5632</v>
      </c>
      <c r="G3572" s="5">
        <f>XLOOKUP(I3572, drug!B:B, drug!A:A, "Not Found")</f>
      </c>
      <c r="H3572" s="1"/>
      <c r="I3572" s="7">
        <v>1</v>
      </c>
      <c r="J3572" s="5">
        <f>XLOOKUP(L3572, uom!C:C, uom!B:B, "Not Found")</f>
      </c>
      <c r="K3572" s="1" t="s">
        <v>5511</v>
      </c>
      <c r="L3572" s="5">
        <f>XLOOKUP(N3572, uom!C:C, uom!B:B, "Not Found")</f>
      </c>
      <c r="M3572" s="1" t="s">
        <v>5511</v>
      </c>
      <c r="N3572" s="8" t="s">
        <v>5512</v>
      </c>
      <c r="O3572" s="1" t="s">
        <v>5513</v>
      </c>
      <c r="P3572" s="5">
        <f>XLOOKUP(R3572, classification!C:C, classification!B:B, "Not Found")</f>
      </c>
      <c r="Q3572" s="1" t="s">
        <v>5514</v>
      </c>
      <c r="R3572" s="2"/>
      <c r="S3572" s="2"/>
      <c r="T3572" s="2"/>
      <c r="U3572" s="2"/>
    </row>
    <row x14ac:dyDescent="0.25" r="3573" customHeight="1" ht="17.25">
      <c r="A3573" s="7">
        <v>3572</v>
      </c>
      <c r="B3573" s="1" t="s">
        <v>8886</v>
      </c>
      <c r="C3573" s="5">
        <f>CONCATENATE("PD", TEXT(A3573, "1000000"))</f>
      </c>
      <c r="D3573" s="7">
        <v>76</v>
      </c>
      <c r="E3573" s="5">
        <f>XLOOKUP(G3573, item_category!C:C, item_category!B:B, "Not Found")</f>
      </c>
      <c r="F3573" s="1" t="s">
        <v>5632</v>
      </c>
      <c r="G3573" s="5">
        <f>XLOOKUP(I3573, drug!B:B, drug!A:A, "Not Found")</f>
      </c>
      <c r="H3573" s="1"/>
      <c r="I3573" s="7">
        <v>1</v>
      </c>
      <c r="J3573" s="5">
        <f>XLOOKUP(L3573, uom!C:C, uom!B:B, "Not Found")</f>
      </c>
      <c r="K3573" s="1" t="s">
        <v>5511</v>
      </c>
      <c r="L3573" s="5">
        <f>XLOOKUP(N3573, uom!C:C, uom!B:B, "Not Found")</f>
      </c>
      <c r="M3573" s="1" t="s">
        <v>5511</v>
      </c>
      <c r="N3573" s="8" t="s">
        <v>5512</v>
      </c>
      <c r="O3573" s="1" t="s">
        <v>5513</v>
      </c>
      <c r="P3573" s="5">
        <f>XLOOKUP(R3573, classification!C:C, classification!B:B, "Not Found")</f>
      </c>
      <c r="Q3573" s="1" t="s">
        <v>5514</v>
      </c>
      <c r="R3573" s="2"/>
      <c r="S3573" s="2"/>
      <c r="T3573" s="2"/>
      <c r="U3573" s="2"/>
    </row>
    <row x14ac:dyDescent="0.25" r="3574" customHeight="1" ht="17.25">
      <c r="A3574" s="7">
        <v>3573</v>
      </c>
      <c r="B3574" s="1" t="s">
        <v>8887</v>
      </c>
      <c r="C3574" s="5">
        <f>CONCATENATE("PD", TEXT(A3574, "1000000"))</f>
      </c>
      <c r="D3574" s="7">
        <v>76</v>
      </c>
      <c r="E3574" s="5">
        <f>XLOOKUP(G3574, item_category!C:C, item_category!B:B, "Not Found")</f>
      </c>
      <c r="F3574" s="1" t="s">
        <v>5632</v>
      </c>
      <c r="G3574" s="5">
        <f>XLOOKUP(I3574, drug!B:B, drug!A:A, "Not Found")</f>
      </c>
      <c r="H3574" s="1"/>
      <c r="I3574" s="7">
        <v>1</v>
      </c>
      <c r="J3574" s="5">
        <f>XLOOKUP(L3574, uom!C:C, uom!B:B, "Not Found")</f>
      </c>
      <c r="K3574" s="1" t="s">
        <v>5511</v>
      </c>
      <c r="L3574" s="5">
        <f>XLOOKUP(N3574, uom!C:C, uom!B:B, "Not Found")</f>
      </c>
      <c r="M3574" s="1" t="s">
        <v>5511</v>
      </c>
      <c r="N3574" s="8" t="s">
        <v>5512</v>
      </c>
      <c r="O3574" s="1" t="s">
        <v>5513</v>
      </c>
      <c r="P3574" s="5">
        <f>XLOOKUP(R3574, classification!C:C, classification!B:B, "Not Found")</f>
      </c>
      <c r="Q3574" s="1" t="s">
        <v>5514</v>
      </c>
      <c r="R3574" s="2"/>
      <c r="S3574" s="2"/>
      <c r="T3574" s="2"/>
      <c r="U3574" s="2"/>
    </row>
    <row x14ac:dyDescent="0.25" r="3575" customHeight="1" ht="17.25">
      <c r="A3575" s="7">
        <v>3574</v>
      </c>
      <c r="B3575" s="1" t="s">
        <v>8888</v>
      </c>
      <c r="C3575" s="5">
        <f>CONCATENATE("PD", TEXT(A3575, "1000000"))</f>
      </c>
      <c r="D3575" s="7">
        <v>76</v>
      </c>
      <c r="E3575" s="5">
        <f>XLOOKUP(G3575, item_category!C:C, item_category!B:B, "Not Found")</f>
      </c>
      <c r="F3575" s="1" t="s">
        <v>5632</v>
      </c>
      <c r="G3575" s="5">
        <f>XLOOKUP(I3575, drug!B:B, drug!A:A, "Not Found")</f>
      </c>
      <c r="H3575" s="1"/>
      <c r="I3575" s="7">
        <v>1</v>
      </c>
      <c r="J3575" s="5">
        <f>XLOOKUP(L3575, uom!C:C, uom!B:B, "Not Found")</f>
      </c>
      <c r="K3575" s="1" t="s">
        <v>5511</v>
      </c>
      <c r="L3575" s="5">
        <f>XLOOKUP(N3575, uom!C:C, uom!B:B, "Not Found")</f>
      </c>
      <c r="M3575" s="1" t="s">
        <v>5511</v>
      </c>
      <c r="N3575" s="8" t="s">
        <v>5512</v>
      </c>
      <c r="O3575" s="1" t="s">
        <v>5513</v>
      </c>
      <c r="P3575" s="5">
        <f>XLOOKUP(R3575, classification!C:C, classification!B:B, "Not Found")</f>
      </c>
      <c r="Q3575" s="1" t="s">
        <v>5514</v>
      </c>
      <c r="R3575" s="2"/>
      <c r="S3575" s="2"/>
      <c r="T3575" s="2"/>
      <c r="U3575" s="2"/>
    </row>
    <row x14ac:dyDescent="0.25" r="3576" customHeight="1" ht="17.25">
      <c r="A3576" s="7">
        <v>3575</v>
      </c>
      <c r="B3576" s="1" t="s">
        <v>8889</v>
      </c>
      <c r="C3576" s="5">
        <f>CONCATENATE("PD", TEXT(A3576, "1000000"))</f>
      </c>
      <c r="D3576" s="7">
        <v>76</v>
      </c>
      <c r="E3576" s="5">
        <f>XLOOKUP(G3576, item_category!C:C, item_category!B:B, "Not Found")</f>
      </c>
      <c r="F3576" s="1" t="s">
        <v>5632</v>
      </c>
      <c r="G3576" s="5">
        <f>XLOOKUP(I3576, drug!B:B, drug!A:A, "Not Found")</f>
      </c>
      <c r="H3576" s="1"/>
      <c r="I3576" s="7">
        <v>1</v>
      </c>
      <c r="J3576" s="5">
        <f>XLOOKUP(L3576, uom!C:C, uom!B:B, "Not Found")</f>
      </c>
      <c r="K3576" s="1" t="s">
        <v>5511</v>
      </c>
      <c r="L3576" s="5">
        <f>XLOOKUP(N3576, uom!C:C, uom!B:B, "Not Found")</f>
      </c>
      <c r="M3576" s="1" t="s">
        <v>5511</v>
      </c>
      <c r="N3576" s="8" t="s">
        <v>5512</v>
      </c>
      <c r="O3576" s="1" t="s">
        <v>5513</v>
      </c>
      <c r="P3576" s="5">
        <f>XLOOKUP(R3576, classification!C:C, classification!B:B, "Not Found")</f>
      </c>
      <c r="Q3576" s="1" t="s">
        <v>5514</v>
      </c>
      <c r="R3576" s="2"/>
      <c r="S3576" s="2"/>
      <c r="T3576" s="2"/>
      <c r="U3576" s="2"/>
    </row>
    <row x14ac:dyDescent="0.25" r="3577" customHeight="1" ht="17.25">
      <c r="A3577" s="7">
        <v>3576</v>
      </c>
      <c r="B3577" s="1" t="s">
        <v>8890</v>
      </c>
      <c r="C3577" s="5">
        <f>CONCATENATE("PD", TEXT(A3577, "1000000"))</f>
      </c>
      <c r="D3577" s="7">
        <v>76</v>
      </c>
      <c r="E3577" s="5">
        <f>XLOOKUP(G3577, item_category!C:C, item_category!B:B, "Not Found")</f>
      </c>
      <c r="F3577" s="1" t="s">
        <v>5632</v>
      </c>
      <c r="G3577" s="5">
        <f>XLOOKUP(I3577, drug!B:B, drug!A:A, "Not Found")</f>
      </c>
      <c r="H3577" s="1"/>
      <c r="I3577" s="7">
        <v>1</v>
      </c>
      <c r="J3577" s="5">
        <f>XLOOKUP(L3577, uom!C:C, uom!B:B, "Not Found")</f>
      </c>
      <c r="K3577" s="1" t="s">
        <v>5511</v>
      </c>
      <c r="L3577" s="5">
        <f>XLOOKUP(N3577, uom!C:C, uom!B:B, "Not Found")</f>
      </c>
      <c r="M3577" s="1" t="s">
        <v>5511</v>
      </c>
      <c r="N3577" s="8" t="s">
        <v>5512</v>
      </c>
      <c r="O3577" s="1" t="s">
        <v>5513</v>
      </c>
      <c r="P3577" s="5">
        <f>XLOOKUP(R3577, classification!C:C, classification!B:B, "Not Found")</f>
      </c>
      <c r="Q3577" s="1" t="s">
        <v>5514</v>
      </c>
      <c r="R3577" s="2"/>
      <c r="S3577" s="2"/>
      <c r="T3577" s="2"/>
      <c r="U3577" s="2"/>
    </row>
    <row x14ac:dyDescent="0.25" r="3578" customHeight="1" ht="17.25">
      <c r="A3578" s="7">
        <v>3577</v>
      </c>
      <c r="B3578" s="1" t="s">
        <v>8891</v>
      </c>
      <c r="C3578" s="5">
        <f>CONCATENATE("PD", TEXT(A3578, "1000000"))</f>
      </c>
      <c r="D3578" s="7">
        <v>76</v>
      </c>
      <c r="E3578" s="5">
        <f>XLOOKUP(G3578, item_category!C:C, item_category!B:B, "Not Found")</f>
      </c>
      <c r="F3578" s="1" t="s">
        <v>5632</v>
      </c>
      <c r="G3578" s="5">
        <f>XLOOKUP(I3578, drug!B:B, drug!A:A, "Not Found")</f>
      </c>
      <c r="H3578" s="1" t="s">
        <v>1552</v>
      </c>
      <c r="I3578" s="7">
        <v>1</v>
      </c>
      <c r="J3578" s="5">
        <f>XLOOKUP(L3578, uom!C:C, uom!B:B, "Not Found")</f>
      </c>
      <c r="K3578" s="1" t="s">
        <v>5511</v>
      </c>
      <c r="L3578" s="5">
        <f>XLOOKUP(N3578, uom!C:C, uom!B:B, "Not Found")</f>
      </c>
      <c r="M3578" s="1" t="s">
        <v>5511</v>
      </c>
      <c r="N3578" s="8" t="s">
        <v>5512</v>
      </c>
      <c r="O3578" s="1" t="s">
        <v>5513</v>
      </c>
      <c r="P3578" s="5">
        <f>XLOOKUP(R3578, classification!C:C, classification!B:B, "Not Found")</f>
      </c>
      <c r="Q3578" s="1" t="s">
        <v>5514</v>
      </c>
      <c r="R3578" s="2"/>
      <c r="S3578" s="2"/>
      <c r="T3578" s="2"/>
      <c r="U3578" s="2"/>
    </row>
    <row x14ac:dyDescent="0.25" r="3579" customHeight="1" ht="17.25">
      <c r="A3579" s="7">
        <v>3578</v>
      </c>
      <c r="B3579" s="1" t="s">
        <v>8892</v>
      </c>
      <c r="C3579" s="5">
        <f>CONCATENATE("PD", TEXT(A3579, "1000000"))</f>
      </c>
      <c r="D3579" s="7">
        <v>76</v>
      </c>
      <c r="E3579" s="5">
        <f>XLOOKUP(G3579, item_category!C:C, item_category!B:B, "Not Found")</f>
      </c>
      <c r="F3579" s="1" t="s">
        <v>5632</v>
      </c>
      <c r="G3579" s="5">
        <f>XLOOKUP(I3579, drug!B:B, drug!A:A, "Not Found")</f>
      </c>
      <c r="H3579" s="1"/>
      <c r="I3579" s="7">
        <v>1</v>
      </c>
      <c r="J3579" s="5">
        <f>XLOOKUP(L3579, uom!C:C, uom!B:B, "Not Found")</f>
      </c>
      <c r="K3579" s="1" t="s">
        <v>5511</v>
      </c>
      <c r="L3579" s="5">
        <f>XLOOKUP(N3579, uom!C:C, uom!B:B, "Not Found")</f>
      </c>
      <c r="M3579" s="1" t="s">
        <v>5511</v>
      </c>
      <c r="N3579" s="8" t="s">
        <v>5512</v>
      </c>
      <c r="O3579" s="1" t="s">
        <v>5513</v>
      </c>
      <c r="P3579" s="5">
        <f>XLOOKUP(R3579, classification!C:C, classification!B:B, "Not Found")</f>
      </c>
      <c r="Q3579" s="1" t="s">
        <v>5514</v>
      </c>
      <c r="R3579" s="2"/>
      <c r="S3579" s="2"/>
      <c r="T3579" s="2"/>
      <c r="U3579" s="2"/>
    </row>
    <row x14ac:dyDescent="0.25" r="3580" customHeight="1" ht="17.25">
      <c r="A3580" s="7">
        <v>3579</v>
      </c>
      <c r="B3580" s="1" t="s">
        <v>8893</v>
      </c>
      <c r="C3580" s="5">
        <f>CONCATENATE("PD", TEXT(A3580, "1000000"))</f>
      </c>
      <c r="D3580" s="7">
        <v>76</v>
      </c>
      <c r="E3580" s="5">
        <f>XLOOKUP(G3580, item_category!C:C, item_category!B:B, "Not Found")</f>
      </c>
      <c r="F3580" s="1" t="s">
        <v>5632</v>
      </c>
      <c r="G3580" s="5">
        <f>XLOOKUP(I3580, drug!B:B, drug!A:A, "Not Found")</f>
      </c>
      <c r="H3580" s="1"/>
      <c r="I3580" s="7">
        <v>1</v>
      </c>
      <c r="J3580" s="5">
        <f>XLOOKUP(L3580, uom!C:C, uom!B:B, "Not Found")</f>
      </c>
      <c r="K3580" s="1" t="s">
        <v>5511</v>
      </c>
      <c r="L3580" s="5">
        <f>XLOOKUP(N3580, uom!C:C, uom!B:B, "Not Found")</f>
      </c>
      <c r="M3580" s="1" t="s">
        <v>5511</v>
      </c>
      <c r="N3580" s="8" t="s">
        <v>5512</v>
      </c>
      <c r="O3580" s="1" t="s">
        <v>5513</v>
      </c>
      <c r="P3580" s="5">
        <f>XLOOKUP(R3580, classification!C:C, classification!B:B, "Not Found")</f>
      </c>
      <c r="Q3580" s="1" t="s">
        <v>5514</v>
      </c>
      <c r="R3580" s="2"/>
      <c r="S3580" s="2"/>
      <c r="T3580" s="2"/>
      <c r="U3580" s="2"/>
    </row>
    <row x14ac:dyDescent="0.25" r="3581" customHeight="1" ht="17.25">
      <c r="A3581" s="7">
        <v>3580</v>
      </c>
      <c r="B3581" s="1" t="s">
        <v>8894</v>
      </c>
      <c r="C3581" s="5">
        <f>CONCATENATE("PD", TEXT(A3581, "1000000"))</f>
      </c>
      <c r="D3581" s="7">
        <v>76</v>
      </c>
      <c r="E3581" s="5">
        <f>XLOOKUP(G3581, item_category!C:C, item_category!B:B, "Not Found")</f>
      </c>
      <c r="F3581" s="1" t="s">
        <v>5632</v>
      </c>
      <c r="G3581" s="5">
        <f>XLOOKUP(I3581, drug!B:B, drug!A:A, "Not Found")</f>
      </c>
      <c r="H3581" s="1"/>
      <c r="I3581" s="7">
        <v>1</v>
      </c>
      <c r="J3581" s="5">
        <f>XLOOKUP(L3581, uom!C:C, uom!B:B, "Not Found")</f>
      </c>
      <c r="K3581" s="1" t="s">
        <v>5511</v>
      </c>
      <c r="L3581" s="5">
        <f>XLOOKUP(N3581, uom!C:C, uom!B:B, "Not Found")</f>
      </c>
      <c r="M3581" s="1" t="s">
        <v>5511</v>
      </c>
      <c r="N3581" s="8" t="s">
        <v>5512</v>
      </c>
      <c r="O3581" s="1" t="s">
        <v>5513</v>
      </c>
      <c r="P3581" s="5">
        <f>XLOOKUP(R3581, classification!C:C, classification!B:B, "Not Found")</f>
      </c>
      <c r="Q3581" s="1" t="s">
        <v>5514</v>
      </c>
      <c r="R3581" s="2"/>
      <c r="S3581" s="2"/>
      <c r="T3581" s="2"/>
      <c r="U3581" s="2"/>
    </row>
    <row x14ac:dyDescent="0.25" r="3582" customHeight="1" ht="17.25">
      <c r="A3582" s="7">
        <v>3581</v>
      </c>
      <c r="B3582" s="1" t="s">
        <v>8895</v>
      </c>
      <c r="C3582" s="5">
        <f>CONCATENATE("PD", TEXT(A3582, "1000000"))</f>
      </c>
      <c r="D3582" s="7">
        <v>76</v>
      </c>
      <c r="E3582" s="5">
        <f>XLOOKUP(G3582, item_category!C:C, item_category!B:B, "Not Found")</f>
      </c>
      <c r="F3582" s="1" t="s">
        <v>5632</v>
      </c>
      <c r="G3582" s="5">
        <f>XLOOKUP(I3582, drug!B:B, drug!A:A, "Not Found")</f>
      </c>
      <c r="H3582" s="1"/>
      <c r="I3582" s="7">
        <v>1</v>
      </c>
      <c r="J3582" s="5">
        <f>XLOOKUP(L3582, uom!C:C, uom!B:B, "Not Found")</f>
      </c>
      <c r="K3582" s="1" t="s">
        <v>5511</v>
      </c>
      <c r="L3582" s="5">
        <f>XLOOKUP(N3582, uom!C:C, uom!B:B, "Not Found")</f>
      </c>
      <c r="M3582" s="1" t="s">
        <v>5511</v>
      </c>
      <c r="N3582" s="8" t="s">
        <v>5512</v>
      </c>
      <c r="O3582" s="1" t="s">
        <v>5513</v>
      </c>
      <c r="P3582" s="5">
        <f>XLOOKUP(R3582, classification!C:C, classification!B:B, "Not Found")</f>
      </c>
      <c r="Q3582" s="1" t="s">
        <v>5514</v>
      </c>
      <c r="R3582" s="2"/>
      <c r="S3582" s="2"/>
      <c r="T3582" s="2"/>
      <c r="U3582" s="2"/>
    </row>
    <row x14ac:dyDescent="0.25" r="3583" customHeight="1" ht="17.25">
      <c r="A3583" s="7">
        <v>3582</v>
      </c>
      <c r="B3583" s="1" t="s">
        <v>8896</v>
      </c>
      <c r="C3583" s="5">
        <f>CONCATENATE("PD", TEXT(A3583, "1000000"))</f>
      </c>
      <c r="D3583" s="7">
        <v>76</v>
      </c>
      <c r="E3583" s="5">
        <f>XLOOKUP(G3583, item_category!C:C, item_category!B:B, "Not Found")</f>
      </c>
      <c r="F3583" s="1" t="s">
        <v>5632</v>
      </c>
      <c r="G3583" s="5">
        <f>XLOOKUP(I3583, drug!B:B, drug!A:A, "Not Found")</f>
      </c>
      <c r="H3583" s="1"/>
      <c r="I3583" s="7">
        <v>1</v>
      </c>
      <c r="J3583" s="5">
        <f>XLOOKUP(L3583, uom!C:C, uom!B:B, "Not Found")</f>
      </c>
      <c r="K3583" s="1" t="s">
        <v>5511</v>
      </c>
      <c r="L3583" s="5">
        <f>XLOOKUP(N3583, uom!C:C, uom!B:B, "Not Found")</f>
      </c>
      <c r="M3583" s="1" t="s">
        <v>5511</v>
      </c>
      <c r="N3583" s="8" t="s">
        <v>5512</v>
      </c>
      <c r="O3583" s="1" t="s">
        <v>5513</v>
      </c>
      <c r="P3583" s="5">
        <f>XLOOKUP(R3583, classification!C:C, classification!B:B, "Not Found")</f>
      </c>
      <c r="Q3583" s="1" t="s">
        <v>5514</v>
      </c>
      <c r="R3583" s="2"/>
      <c r="S3583" s="2"/>
      <c r="T3583" s="2"/>
      <c r="U3583" s="2"/>
    </row>
    <row x14ac:dyDescent="0.25" r="3584" customHeight="1" ht="17.25">
      <c r="A3584" s="7">
        <v>3583</v>
      </c>
      <c r="B3584" s="1" t="s">
        <v>8897</v>
      </c>
      <c r="C3584" s="5">
        <f>CONCATENATE("PD", TEXT(A3584, "1000000"))</f>
      </c>
      <c r="D3584" s="7">
        <v>76</v>
      </c>
      <c r="E3584" s="5">
        <f>XLOOKUP(G3584, item_category!C:C, item_category!B:B, "Not Found")</f>
      </c>
      <c r="F3584" s="1" t="s">
        <v>5632</v>
      </c>
      <c r="G3584" s="5">
        <f>XLOOKUP(I3584, drug!B:B, drug!A:A, "Not Found")</f>
      </c>
      <c r="H3584" s="1"/>
      <c r="I3584" s="7">
        <v>1</v>
      </c>
      <c r="J3584" s="5">
        <f>XLOOKUP(L3584, uom!C:C, uom!B:B, "Not Found")</f>
      </c>
      <c r="K3584" s="1" t="s">
        <v>5511</v>
      </c>
      <c r="L3584" s="5">
        <f>XLOOKUP(N3584, uom!C:C, uom!B:B, "Not Found")</f>
      </c>
      <c r="M3584" s="1" t="s">
        <v>5511</v>
      </c>
      <c r="N3584" s="8" t="s">
        <v>5512</v>
      </c>
      <c r="O3584" s="1" t="s">
        <v>5513</v>
      </c>
      <c r="P3584" s="5">
        <f>XLOOKUP(R3584, classification!C:C, classification!B:B, "Not Found")</f>
      </c>
      <c r="Q3584" s="1" t="s">
        <v>5514</v>
      </c>
      <c r="R3584" s="2"/>
      <c r="S3584" s="2"/>
      <c r="T3584" s="2"/>
      <c r="U3584" s="2"/>
    </row>
    <row x14ac:dyDescent="0.25" r="3585" customHeight="1" ht="17.25">
      <c r="A3585" s="7">
        <v>3584</v>
      </c>
      <c r="B3585" s="1" t="s">
        <v>8898</v>
      </c>
      <c r="C3585" s="5">
        <f>CONCATENATE("PD", TEXT(A3585, "1000000"))</f>
      </c>
      <c r="D3585" s="7">
        <v>76</v>
      </c>
      <c r="E3585" s="5">
        <f>XLOOKUP(G3585, item_category!C:C, item_category!B:B, "Not Found")</f>
      </c>
      <c r="F3585" s="1" t="s">
        <v>5632</v>
      </c>
      <c r="G3585" s="5">
        <f>XLOOKUP(I3585, drug!B:B, drug!A:A, "Not Found")</f>
      </c>
      <c r="H3585" s="1"/>
      <c r="I3585" s="7">
        <v>1</v>
      </c>
      <c r="J3585" s="5">
        <f>XLOOKUP(L3585, uom!C:C, uom!B:B, "Not Found")</f>
      </c>
      <c r="K3585" s="1" t="s">
        <v>5511</v>
      </c>
      <c r="L3585" s="5">
        <f>XLOOKUP(N3585, uom!C:C, uom!B:B, "Not Found")</f>
      </c>
      <c r="M3585" s="1" t="s">
        <v>5511</v>
      </c>
      <c r="N3585" s="8" t="s">
        <v>5512</v>
      </c>
      <c r="O3585" s="1" t="s">
        <v>5513</v>
      </c>
      <c r="P3585" s="5">
        <f>XLOOKUP(R3585, classification!C:C, classification!B:B, "Not Found")</f>
      </c>
      <c r="Q3585" s="1" t="s">
        <v>5514</v>
      </c>
      <c r="R3585" s="2"/>
      <c r="S3585" s="2"/>
      <c r="T3585" s="2"/>
      <c r="U3585" s="2"/>
    </row>
    <row x14ac:dyDescent="0.25" r="3586" customHeight="1" ht="17.25">
      <c r="A3586" s="7">
        <v>3585</v>
      </c>
      <c r="B3586" s="1" t="s">
        <v>8899</v>
      </c>
      <c r="C3586" s="5">
        <f>CONCATENATE("PD", TEXT(A3586, "1000000"))</f>
      </c>
      <c r="D3586" s="7">
        <v>76</v>
      </c>
      <c r="E3586" s="5">
        <f>XLOOKUP(G3586, item_category!C:C, item_category!B:B, "Not Found")</f>
      </c>
      <c r="F3586" s="1" t="s">
        <v>5632</v>
      </c>
      <c r="G3586" s="5">
        <f>XLOOKUP(I3586, drug!B:B, drug!A:A, "Not Found")</f>
      </c>
      <c r="H3586" s="1"/>
      <c r="I3586" s="7">
        <v>1</v>
      </c>
      <c r="J3586" s="5">
        <f>XLOOKUP(L3586, uom!C:C, uom!B:B, "Not Found")</f>
      </c>
      <c r="K3586" s="1" t="s">
        <v>5511</v>
      </c>
      <c r="L3586" s="5">
        <f>XLOOKUP(N3586, uom!C:C, uom!B:B, "Not Found")</f>
      </c>
      <c r="M3586" s="1" t="s">
        <v>5511</v>
      </c>
      <c r="N3586" s="8" t="s">
        <v>5512</v>
      </c>
      <c r="O3586" s="1" t="s">
        <v>5513</v>
      </c>
      <c r="P3586" s="5">
        <f>XLOOKUP(R3586, classification!C:C, classification!B:B, "Not Found")</f>
      </c>
      <c r="Q3586" s="1" t="s">
        <v>5514</v>
      </c>
      <c r="R3586" s="2"/>
      <c r="S3586" s="2"/>
      <c r="T3586" s="2"/>
      <c r="U3586" s="2"/>
    </row>
    <row x14ac:dyDescent="0.25" r="3587" customHeight="1" ht="17.25">
      <c r="A3587" s="7">
        <v>3586</v>
      </c>
      <c r="B3587" s="1" t="s">
        <v>8900</v>
      </c>
      <c r="C3587" s="5">
        <f>CONCATENATE("PD", TEXT(A3587, "1000000"))</f>
      </c>
      <c r="D3587" s="7">
        <v>76</v>
      </c>
      <c r="E3587" s="5">
        <f>XLOOKUP(G3587, item_category!C:C, item_category!B:B, "Not Found")</f>
      </c>
      <c r="F3587" s="1" t="s">
        <v>5632</v>
      </c>
      <c r="G3587" s="5">
        <f>XLOOKUP(I3587, drug!B:B, drug!A:A, "Not Found")</f>
      </c>
      <c r="H3587" s="1"/>
      <c r="I3587" s="7">
        <v>1</v>
      </c>
      <c r="J3587" s="5">
        <f>XLOOKUP(L3587, uom!C:C, uom!B:B, "Not Found")</f>
      </c>
      <c r="K3587" s="1" t="s">
        <v>5511</v>
      </c>
      <c r="L3587" s="5">
        <f>XLOOKUP(N3587, uom!C:C, uom!B:B, "Not Found")</f>
      </c>
      <c r="M3587" s="1" t="s">
        <v>5511</v>
      </c>
      <c r="N3587" s="8" t="s">
        <v>5512</v>
      </c>
      <c r="O3587" s="1" t="s">
        <v>5513</v>
      </c>
      <c r="P3587" s="5">
        <f>XLOOKUP(R3587, classification!C:C, classification!B:B, "Not Found")</f>
      </c>
      <c r="Q3587" s="1" t="s">
        <v>5514</v>
      </c>
      <c r="R3587" s="2"/>
      <c r="S3587" s="2"/>
      <c r="T3587" s="2"/>
      <c r="U3587" s="2"/>
    </row>
    <row x14ac:dyDescent="0.25" r="3588" customHeight="1" ht="17.25">
      <c r="A3588" s="7">
        <v>3587</v>
      </c>
      <c r="B3588" s="1" t="s">
        <v>8901</v>
      </c>
      <c r="C3588" s="5">
        <f>CONCATENATE("PD", TEXT(A3588, "1000000"))</f>
      </c>
      <c r="D3588" s="7">
        <v>76</v>
      </c>
      <c r="E3588" s="5">
        <f>XLOOKUP(G3588, item_category!C:C, item_category!B:B, "Not Found")</f>
      </c>
      <c r="F3588" s="1" t="s">
        <v>5632</v>
      </c>
      <c r="G3588" s="5">
        <f>XLOOKUP(I3588, drug!B:B, drug!A:A, "Not Found")</f>
      </c>
      <c r="H3588" s="1"/>
      <c r="I3588" s="7">
        <v>1</v>
      </c>
      <c r="J3588" s="5">
        <f>XLOOKUP(L3588, uom!C:C, uom!B:B, "Not Found")</f>
      </c>
      <c r="K3588" s="1" t="s">
        <v>5511</v>
      </c>
      <c r="L3588" s="5">
        <f>XLOOKUP(N3588, uom!C:C, uom!B:B, "Not Found")</f>
      </c>
      <c r="M3588" s="1" t="s">
        <v>5511</v>
      </c>
      <c r="N3588" s="8" t="s">
        <v>5512</v>
      </c>
      <c r="O3588" s="1" t="s">
        <v>5513</v>
      </c>
      <c r="P3588" s="5">
        <f>XLOOKUP(R3588, classification!C:C, classification!B:B, "Not Found")</f>
      </c>
      <c r="Q3588" s="1" t="s">
        <v>5514</v>
      </c>
      <c r="R3588" s="2"/>
      <c r="S3588" s="2"/>
      <c r="T3588" s="2"/>
      <c r="U3588" s="2"/>
    </row>
    <row x14ac:dyDescent="0.25" r="3589" customHeight="1" ht="17.25">
      <c r="A3589" s="7">
        <v>3588</v>
      </c>
      <c r="B3589" s="1" t="s">
        <v>8902</v>
      </c>
      <c r="C3589" s="5">
        <f>CONCATENATE("PD", TEXT(A3589, "1000000"))</f>
      </c>
      <c r="D3589" s="7">
        <v>76</v>
      </c>
      <c r="E3589" s="5">
        <f>XLOOKUP(G3589, item_category!C:C, item_category!B:B, "Not Found")</f>
      </c>
      <c r="F3589" s="1" t="s">
        <v>5632</v>
      </c>
      <c r="G3589" s="5">
        <f>XLOOKUP(I3589, drug!B:B, drug!A:A, "Not Found")</f>
      </c>
      <c r="H3589" s="1"/>
      <c r="I3589" s="7">
        <v>1</v>
      </c>
      <c r="J3589" s="5">
        <f>XLOOKUP(L3589, uom!C:C, uom!B:B, "Not Found")</f>
      </c>
      <c r="K3589" s="1" t="s">
        <v>5511</v>
      </c>
      <c r="L3589" s="5">
        <f>XLOOKUP(N3589, uom!C:C, uom!B:B, "Not Found")</f>
      </c>
      <c r="M3589" s="1" t="s">
        <v>5511</v>
      </c>
      <c r="N3589" s="8" t="s">
        <v>5512</v>
      </c>
      <c r="O3589" s="1" t="s">
        <v>5513</v>
      </c>
      <c r="P3589" s="5">
        <f>XLOOKUP(R3589, classification!C:C, classification!B:B, "Not Found")</f>
      </c>
      <c r="Q3589" s="1" t="s">
        <v>5514</v>
      </c>
      <c r="R3589" s="2"/>
      <c r="S3589" s="2"/>
      <c r="T3589" s="2"/>
      <c r="U3589" s="2"/>
    </row>
    <row x14ac:dyDescent="0.25" r="3590" customHeight="1" ht="17.25">
      <c r="A3590" s="7">
        <v>3589</v>
      </c>
      <c r="B3590" s="1" t="s">
        <v>8903</v>
      </c>
      <c r="C3590" s="5">
        <f>CONCATENATE("PD", TEXT(A3590, "1000000"))</f>
      </c>
      <c r="D3590" s="7">
        <v>76</v>
      </c>
      <c r="E3590" s="5">
        <f>XLOOKUP(G3590, item_category!C:C, item_category!B:B, "Not Found")</f>
      </c>
      <c r="F3590" s="1" t="s">
        <v>5632</v>
      </c>
      <c r="G3590" s="5">
        <f>XLOOKUP(I3590, drug!B:B, drug!A:A, "Not Found")</f>
      </c>
      <c r="H3590" s="1"/>
      <c r="I3590" s="7">
        <v>1</v>
      </c>
      <c r="J3590" s="5">
        <f>XLOOKUP(L3590, uom!C:C, uom!B:B, "Not Found")</f>
      </c>
      <c r="K3590" s="1" t="s">
        <v>5511</v>
      </c>
      <c r="L3590" s="5">
        <f>XLOOKUP(N3590, uom!C:C, uom!B:B, "Not Found")</f>
      </c>
      <c r="M3590" s="1" t="s">
        <v>5511</v>
      </c>
      <c r="N3590" s="8" t="s">
        <v>5512</v>
      </c>
      <c r="O3590" s="1" t="s">
        <v>5513</v>
      </c>
      <c r="P3590" s="5">
        <f>XLOOKUP(R3590, classification!C:C, classification!B:B, "Not Found")</f>
      </c>
      <c r="Q3590" s="1" t="s">
        <v>5514</v>
      </c>
      <c r="R3590" s="2"/>
      <c r="S3590" s="2"/>
      <c r="T3590" s="2"/>
      <c r="U3590" s="2"/>
    </row>
    <row x14ac:dyDescent="0.25" r="3591" customHeight="1" ht="17.25">
      <c r="A3591" s="7">
        <v>3590</v>
      </c>
      <c r="B3591" s="1" t="s">
        <v>8904</v>
      </c>
      <c r="C3591" s="5">
        <f>CONCATENATE("PD", TEXT(A3591, "1000000"))</f>
      </c>
      <c r="D3591" s="7">
        <v>76</v>
      </c>
      <c r="E3591" s="5">
        <f>XLOOKUP(G3591, item_category!C:C, item_category!B:B, "Not Found")</f>
      </c>
      <c r="F3591" s="1" t="s">
        <v>5632</v>
      </c>
      <c r="G3591" s="5">
        <f>XLOOKUP(I3591, drug!B:B, drug!A:A, "Not Found")</f>
      </c>
      <c r="H3591" s="1"/>
      <c r="I3591" s="7">
        <v>1</v>
      </c>
      <c r="J3591" s="5">
        <f>XLOOKUP(L3591, uom!C:C, uom!B:B, "Not Found")</f>
      </c>
      <c r="K3591" s="1" t="s">
        <v>5511</v>
      </c>
      <c r="L3591" s="5">
        <f>XLOOKUP(N3591, uom!C:C, uom!B:B, "Not Found")</f>
      </c>
      <c r="M3591" s="1" t="s">
        <v>5511</v>
      </c>
      <c r="N3591" s="8" t="s">
        <v>5512</v>
      </c>
      <c r="O3591" s="1" t="s">
        <v>5513</v>
      </c>
      <c r="P3591" s="5">
        <f>XLOOKUP(R3591, classification!C:C, classification!B:B, "Not Found")</f>
      </c>
      <c r="Q3591" s="1" t="s">
        <v>5514</v>
      </c>
      <c r="R3591" s="2"/>
      <c r="S3591" s="2"/>
      <c r="T3591" s="2"/>
      <c r="U3591" s="2"/>
    </row>
    <row x14ac:dyDescent="0.25" r="3592" customHeight="1" ht="17.25">
      <c r="A3592" s="7">
        <v>3591</v>
      </c>
      <c r="B3592" s="1" t="s">
        <v>8905</v>
      </c>
      <c r="C3592" s="5">
        <f>CONCATENATE("PD", TEXT(A3592, "1000000"))</f>
      </c>
      <c r="D3592" s="7">
        <v>76</v>
      </c>
      <c r="E3592" s="5">
        <f>XLOOKUP(G3592, item_category!C:C, item_category!B:B, "Not Found")</f>
      </c>
      <c r="F3592" s="1" t="s">
        <v>5632</v>
      </c>
      <c r="G3592" s="5">
        <f>XLOOKUP(I3592, drug!B:B, drug!A:A, "Not Found")</f>
      </c>
      <c r="H3592" s="1"/>
      <c r="I3592" s="7">
        <v>1</v>
      </c>
      <c r="J3592" s="5">
        <f>XLOOKUP(L3592, uom!C:C, uom!B:B, "Not Found")</f>
      </c>
      <c r="K3592" s="1" t="s">
        <v>5511</v>
      </c>
      <c r="L3592" s="5">
        <f>XLOOKUP(N3592, uom!C:C, uom!B:B, "Not Found")</f>
      </c>
      <c r="M3592" s="1" t="s">
        <v>5511</v>
      </c>
      <c r="N3592" s="8" t="s">
        <v>5512</v>
      </c>
      <c r="O3592" s="1" t="s">
        <v>5513</v>
      </c>
      <c r="P3592" s="5">
        <f>XLOOKUP(R3592, classification!C:C, classification!B:B, "Not Found")</f>
      </c>
      <c r="Q3592" s="1" t="s">
        <v>5514</v>
      </c>
      <c r="R3592" s="2"/>
      <c r="S3592" s="2"/>
      <c r="T3592" s="2"/>
      <c r="U3592" s="2"/>
    </row>
    <row x14ac:dyDescent="0.25" r="3593" customHeight="1" ht="17.25">
      <c r="A3593" s="7">
        <v>3592</v>
      </c>
      <c r="B3593" s="1" t="s">
        <v>8906</v>
      </c>
      <c r="C3593" s="5">
        <f>CONCATENATE("PD", TEXT(A3593, "1000000"))</f>
      </c>
      <c r="D3593" s="7">
        <v>76</v>
      </c>
      <c r="E3593" s="5">
        <f>XLOOKUP(G3593, item_category!C:C, item_category!B:B, "Not Found")</f>
      </c>
      <c r="F3593" s="1" t="s">
        <v>5632</v>
      </c>
      <c r="G3593" s="5">
        <f>XLOOKUP(I3593, drug!B:B, drug!A:A, "Not Found")</f>
      </c>
      <c r="H3593" s="1"/>
      <c r="I3593" s="7">
        <v>1</v>
      </c>
      <c r="J3593" s="5">
        <f>XLOOKUP(L3593, uom!C:C, uom!B:B, "Not Found")</f>
      </c>
      <c r="K3593" s="1" t="s">
        <v>5511</v>
      </c>
      <c r="L3593" s="5">
        <f>XLOOKUP(N3593, uom!C:C, uom!B:B, "Not Found")</f>
      </c>
      <c r="M3593" s="1" t="s">
        <v>5511</v>
      </c>
      <c r="N3593" s="8" t="s">
        <v>5512</v>
      </c>
      <c r="O3593" s="1" t="s">
        <v>5513</v>
      </c>
      <c r="P3593" s="5">
        <f>XLOOKUP(R3593, classification!C:C, classification!B:B, "Not Found")</f>
      </c>
      <c r="Q3593" s="1" t="s">
        <v>5514</v>
      </c>
      <c r="R3593" s="2"/>
      <c r="S3593" s="2"/>
      <c r="T3593" s="2"/>
      <c r="U3593" s="2"/>
    </row>
    <row x14ac:dyDescent="0.25" r="3594" customHeight="1" ht="17.25">
      <c r="A3594" s="7">
        <v>3593</v>
      </c>
      <c r="B3594" s="1" t="s">
        <v>8907</v>
      </c>
      <c r="C3594" s="5">
        <f>CONCATENATE("PD", TEXT(A3594, "1000000"))</f>
      </c>
      <c r="D3594" s="7">
        <v>76</v>
      </c>
      <c r="E3594" s="5">
        <f>XLOOKUP(G3594, item_category!C:C, item_category!B:B, "Not Found")</f>
      </c>
      <c r="F3594" s="1" t="s">
        <v>5632</v>
      </c>
      <c r="G3594" s="5">
        <f>XLOOKUP(I3594, drug!B:B, drug!A:A, "Not Found")</f>
      </c>
      <c r="H3594" s="1" t="s">
        <v>1942</v>
      </c>
      <c r="I3594" s="7">
        <v>1</v>
      </c>
      <c r="J3594" s="5">
        <f>XLOOKUP(L3594, uom!C:C, uom!B:B, "Not Found")</f>
      </c>
      <c r="K3594" s="1" t="s">
        <v>5511</v>
      </c>
      <c r="L3594" s="5">
        <f>XLOOKUP(N3594, uom!C:C, uom!B:B, "Not Found")</f>
      </c>
      <c r="M3594" s="1" t="s">
        <v>5511</v>
      </c>
      <c r="N3594" s="8" t="s">
        <v>5512</v>
      </c>
      <c r="O3594" s="1" t="s">
        <v>5513</v>
      </c>
      <c r="P3594" s="5">
        <f>XLOOKUP(R3594, classification!C:C, classification!B:B, "Not Found")</f>
      </c>
      <c r="Q3594" s="1" t="s">
        <v>5514</v>
      </c>
      <c r="R3594" s="2"/>
      <c r="S3594" s="2"/>
      <c r="T3594" s="2"/>
      <c r="U3594" s="2"/>
    </row>
    <row x14ac:dyDescent="0.25" r="3595" customHeight="1" ht="17.25">
      <c r="A3595" s="7">
        <v>3594</v>
      </c>
      <c r="B3595" s="1" t="s">
        <v>8908</v>
      </c>
      <c r="C3595" s="5">
        <f>CONCATENATE("PD", TEXT(A3595, "1000000"))</f>
      </c>
      <c r="D3595" s="7">
        <v>76</v>
      </c>
      <c r="E3595" s="5">
        <f>XLOOKUP(G3595, item_category!C:C, item_category!B:B, "Not Found")</f>
      </c>
      <c r="F3595" s="1" t="s">
        <v>5632</v>
      </c>
      <c r="G3595" s="5">
        <f>XLOOKUP(I3595, drug!B:B, drug!A:A, "Not Found")</f>
      </c>
      <c r="H3595" s="1" t="s">
        <v>1942</v>
      </c>
      <c r="I3595" s="7">
        <v>1</v>
      </c>
      <c r="J3595" s="5">
        <f>XLOOKUP(L3595, uom!C:C, uom!B:B, "Not Found")</f>
      </c>
      <c r="K3595" s="1" t="s">
        <v>5511</v>
      </c>
      <c r="L3595" s="5">
        <f>XLOOKUP(N3595, uom!C:C, uom!B:B, "Not Found")</f>
      </c>
      <c r="M3595" s="1" t="s">
        <v>5511</v>
      </c>
      <c r="N3595" s="8" t="s">
        <v>5512</v>
      </c>
      <c r="O3595" s="1" t="s">
        <v>5513</v>
      </c>
      <c r="P3595" s="5">
        <f>XLOOKUP(R3595, classification!C:C, classification!B:B, "Not Found")</f>
      </c>
      <c r="Q3595" s="1" t="s">
        <v>5514</v>
      </c>
      <c r="R3595" s="2"/>
      <c r="S3595" s="2"/>
      <c r="T3595" s="2"/>
      <c r="U3595" s="2"/>
    </row>
    <row x14ac:dyDescent="0.25" r="3596" customHeight="1" ht="17.25">
      <c r="A3596" s="7">
        <v>3595</v>
      </c>
      <c r="B3596" s="1" t="s">
        <v>8909</v>
      </c>
      <c r="C3596" s="5">
        <f>CONCATENATE("PD", TEXT(A3596, "1000000"))</f>
      </c>
      <c r="D3596" s="7">
        <v>76</v>
      </c>
      <c r="E3596" s="5">
        <f>XLOOKUP(G3596, item_category!C:C, item_category!B:B, "Not Found")</f>
      </c>
      <c r="F3596" s="1" t="s">
        <v>5632</v>
      </c>
      <c r="G3596" s="5">
        <f>XLOOKUP(I3596, drug!B:B, drug!A:A, "Not Found")</f>
      </c>
      <c r="H3596" s="1"/>
      <c r="I3596" s="7">
        <v>1</v>
      </c>
      <c r="J3596" s="5">
        <f>XLOOKUP(L3596, uom!C:C, uom!B:B, "Not Found")</f>
      </c>
      <c r="K3596" s="1" t="s">
        <v>5511</v>
      </c>
      <c r="L3596" s="5">
        <f>XLOOKUP(N3596, uom!C:C, uom!B:B, "Not Found")</f>
      </c>
      <c r="M3596" s="1" t="s">
        <v>5511</v>
      </c>
      <c r="N3596" s="8" t="s">
        <v>5512</v>
      </c>
      <c r="O3596" s="1" t="s">
        <v>5513</v>
      </c>
      <c r="P3596" s="5">
        <f>XLOOKUP(R3596, classification!C:C, classification!B:B, "Not Found")</f>
      </c>
      <c r="Q3596" s="1" t="s">
        <v>5514</v>
      </c>
      <c r="R3596" s="2"/>
      <c r="S3596" s="2"/>
      <c r="T3596" s="2"/>
      <c r="U3596" s="2"/>
    </row>
    <row x14ac:dyDescent="0.25" r="3597" customHeight="1" ht="17.25">
      <c r="A3597" s="7">
        <v>3596</v>
      </c>
      <c r="B3597" s="1" t="s">
        <v>8910</v>
      </c>
      <c r="C3597" s="5">
        <f>CONCATENATE("PD", TEXT(A3597, "1000000"))</f>
      </c>
      <c r="D3597" s="7">
        <v>76</v>
      </c>
      <c r="E3597" s="5">
        <f>XLOOKUP(G3597, item_category!C:C, item_category!B:B, "Not Found")</f>
      </c>
      <c r="F3597" s="1" t="s">
        <v>5632</v>
      </c>
      <c r="G3597" s="5">
        <f>XLOOKUP(I3597, drug!B:B, drug!A:A, "Not Found")</f>
      </c>
      <c r="H3597" s="1"/>
      <c r="I3597" s="7">
        <v>1</v>
      </c>
      <c r="J3597" s="5">
        <f>XLOOKUP(L3597, uom!C:C, uom!B:B, "Not Found")</f>
      </c>
      <c r="K3597" s="1" t="s">
        <v>5511</v>
      </c>
      <c r="L3597" s="5">
        <f>XLOOKUP(N3597, uom!C:C, uom!B:B, "Not Found")</f>
      </c>
      <c r="M3597" s="1" t="s">
        <v>5511</v>
      </c>
      <c r="N3597" s="8" t="s">
        <v>5512</v>
      </c>
      <c r="O3597" s="1" t="s">
        <v>5513</v>
      </c>
      <c r="P3597" s="5">
        <f>XLOOKUP(R3597, classification!C:C, classification!B:B, "Not Found")</f>
      </c>
      <c r="Q3597" s="1" t="s">
        <v>5514</v>
      </c>
      <c r="R3597" s="2"/>
      <c r="S3597" s="2"/>
      <c r="T3597" s="2"/>
      <c r="U3597" s="2"/>
    </row>
    <row x14ac:dyDescent="0.25" r="3598" customHeight="1" ht="17.25">
      <c r="A3598" s="7">
        <v>3597</v>
      </c>
      <c r="B3598" s="1" t="s">
        <v>8911</v>
      </c>
      <c r="C3598" s="5">
        <f>CONCATENATE("PD", TEXT(A3598, "1000000"))</f>
      </c>
      <c r="D3598" s="7">
        <v>76</v>
      </c>
      <c r="E3598" s="5">
        <f>XLOOKUP(G3598, item_category!C:C, item_category!B:B, "Not Found")</f>
      </c>
      <c r="F3598" s="1" t="s">
        <v>5632</v>
      </c>
      <c r="G3598" s="5">
        <f>XLOOKUP(I3598, drug!B:B, drug!A:A, "Not Found")</f>
      </c>
      <c r="H3598" s="1"/>
      <c r="I3598" s="7">
        <v>1</v>
      </c>
      <c r="J3598" s="5">
        <f>XLOOKUP(L3598, uom!C:C, uom!B:B, "Not Found")</f>
      </c>
      <c r="K3598" s="1" t="s">
        <v>5511</v>
      </c>
      <c r="L3598" s="5">
        <f>XLOOKUP(N3598, uom!C:C, uom!B:B, "Not Found")</f>
      </c>
      <c r="M3598" s="1" t="s">
        <v>5511</v>
      </c>
      <c r="N3598" s="8" t="s">
        <v>5512</v>
      </c>
      <c r="O3598" s="1" t="s">
        <v>5513</v>
      </c>
      <c r="P3598" s="5">
        <f>XLOOKUP(R3598, classification!C:C, classification!B:B, "Not Found")</f>
      </c>
      <c r="Q3598" s="1" t="s">
        <v>5514</v>
      </c>
      <c r="R3598" s="2"/>
      <c r="S3598" s="2"/>
      <c r="T3598" s="2"/>
      <c r="U3598" s="2"/>
    </row>
    <row x14ac:dyDescent="0.25" r="3599" customHeight="1" ht="17.25">
      <c r="A3599" s="7">
        <v>3598</v>
      </c>
      <c r="B3599" s="1" t="s">
        <v>8912</v>
      </c>
      <c r="C3599" s="5">
        <f>CONCATENATE("PD", TEXT(A3599, "1000000"))</f>
      </c>
      <c r="D3599" s="7">
        <v>76</v>
      </c>
      <c r="E3599" s="5">
        <f>XLOOKUP(G3599, item_category!C:C, item_category!B:B, "Not Found")</f>
      </c>
      <c r="F3599" s="1" t="s">
        <v>5632</v>
      </c>
      <c r="G3599" s="5">
        <f>XLOOKUP(I3599, drug!B:B, drug!A:A, "Not Found")</f>
      </c>
      <c r="H3599" s="1"/>
      <c r="I3599" s="7">
        <v>1</v>
      </c>
      <c r="J3599" s="5">
        <f>XLOOKUP(L3599, uom!C:C, uom!B:B, "Not Found")</f>
      </c>
      <c r="K3599" s="1" t="s">
        <v>5511</v>
      </c>
      <c r="L3599" s="5">
        <f>XLOOKUP(N3599, uom!C:C, uom!B:B, "Not Found")</f>
      </c>
      <c r="M3599" s="1" t="s">
        <v>5511</v>
      </c>
      <c r="N3599" s="8" t="s">
        <v>5512</v>
      </c>
      <c r="O3599" s="1" t="s">
        <v>5513</v>
      </c>
      <c r="P3599" s="5">
        <f>XLOOKUP(R3599, classification!C:C, classification!B:B, "Not Found")</f>
      </c>
      <c r="Q3599" s="1" t="s">
        <v>5514</v>
      </c>
      <c r="R3599" s="2"/>
      <c r="S3599" s="2"/>
      <c r="T3599" s="2"/>
      <c r="U3599" s="2"/>
    </row>
    <row x14ac:dyDescent="0.25" r="3600" customHeight="1" ht="17.25">
      <c r="A3600" s="7">
        <v>3599</v>
      </c>
      <c r="B3600" s="1" t="s">
        <v>8913</v>
      </c>
      <c r="C3600" s="5">
        <f>CONCATENATE("PD", TEXT(A3600, "1000000"))</f>
      </c>
      <c r="D3600" s="7">
        <v>76</v>
      </c>
      <c r="E3600" s="5">
        <f>XLOOKUP(G3600, item_category!C:C, item_category!B:B, "Not Found")</f>
      </c>
      <c r="F3600" s="1" t="s">
        <v>5632</v>
      </c>
      <c r="G3600" s="5">
        <f>XLOOKUP(I3600, drug!B:B, drug!A:A, "Not Found")</f>
      </c>
      <c r="H3600" s="1"/>
      <c r="I3600" s="7">
        <v>1</v>
      </c>
      <c r="J3600" s="5">
        <f>XLOOKUP(L3600, uom!C:C, uom!B:B, "Not Found")</f>
      </c>
      <c r="K3600" s="1" t="s">
        <v>5511</v>
      </c>
      <c r="L3600" s="5">
        <f>XLOOKUP(N3600, uom!C:C, uom!B:B, "Not Found")</f>
      </c>
      <c r="M3600" s="1" t="s">
        <v>5511</v>
      </c>
      <c r="N3600" s="8" t="s">
        <v>5512</v>
      </c>
      <c r="O3600" s="1" t="s">
        <v>5513</v>
      </c>
      <c r="P3600" s="5">
        <f>XLOOKUP(R3600, classification!C:C, classification!B:B, "Not Found")</f>
      </c>
      <c r="Q3600" s="1" t="s">
        <v>5514</v>
      </c>
      <c r="R3600" s="2"/>
      <c r="S3600" s="2"/>
      <c r="T3600" s="2"/>
      <c r="U3600" s="2"/>
    </row>
    <row x14ac:dyDescent="0.25" r="3601" customHeight="1" ht="17.25">
      <c r="A3601" s="7">
        <v>3600</v>
      </c>
      <c r="B3601" s="1" t="s">
        <v>8914</v>
      </c>
      <c r="C3601" s="5">
        <f>CONCATENATE("PD", TEXT(A3601, "1000000"))</f>
      </c>
      <c r="D3601" s="7">
        <v>76</v>
      </c>
      <c r="E3601" s="5">
        <f>XLOOKUP(G3601, item_category!C:C, item_category!B:B, "Not Found")</f>
      </c>
      <c r="F3601" s="1" t="s">
        <v>5632</v>
      </c>
      <c r="G3601" s="5">
        <f>XLOOKUP(I3601, drug!B:B, drug!A:A, "Not Found")</f>
      </c>
      <c r="H3601" s="1"/>
      <c r="I3601" s="7">
        <v>1</v>
      </c>
      <c r="J3601" s="5">
        <f>XLOOKUP(L3601, uom!C:C, uom!B:B, "Not Found")</f>
      </c>
      <c r="K3601" s="1" t="s">
        <v>5511</v>
      </c>
      <c r="L3601" s="5">
        <f>XLOOKUP(N3601, uom!C:C, uom!B:B, "Not Found")</f>
      </c>
      <c r="M3601" s="1" t="s">
        <v>5511</v>
      </c>
      <c r="N3601" s="8" t="s">
        <v>5512</v>
      </c>
      <c r="O3601" s="1" t="s">
        <v>5513</v>
      </c>
      <c r="P3601" s="5">
        <f>XLOOKUP(R3601, classification!C:C, classification!B:B, "Not Found")</f>
      </c>
      <c r="Q3601" s="1" t="s">
        <v>5514</v>
      </c>
      <c r="R3601" s="2"/>
      <c r="S3601" s="2"/>
      <c r="T3601" s="2"/>
      <c r="U3601" s="2"/>
    </row>
    <row x14ac:dyDescent="0.25" r="3602" customHeight="1" ht="17.25">
      <c r="A3602" s="7">
        <v>3601</v>
      </c>
      <c r="B3602" s="1" t="s">
        <v>8915</v>
      </c>
      <c r="C3602" s="5">
        <f>CONCATENATE("PD", TEXT(A3602, "1000000"))</f>
      </c>
      <c r="D3602" s="7">
        <v>76</v>
      </c>
      <c r="E3602" s="5">
        <f>XLOOKUP(G3602, item_category!C:C, item_category!B:B, "Not Found")</f>
      </c>
      <c r="F3602" s="1" t="s">
        <v>5632</v>
      </c>
      <c r="G3602" s="5">
        <f>XLOOKUP(I3602, drug!B:B, drug!A:A, "Not Found")</f>
      </c>
      <c r="H3602" s="1" t="s">
        <v>1942</v>
      </c>
      <c r="I3602" s="7">
        <v>1</v>
      </c>
      <c r="J3602" s="5">
        <f>XLOOKUP(L3602, uom!C:C, uom!B:B, "Not Found")</f>
      </c>
      <c r="K3602" s="1" t="s">
        <v>5511</v>
      </c>
      <c r="L3602" s="5">
        <f>XLOOKUP(N3602, uom!C:C, uom!B:B, "Not Found")</f>
      </c>
      <c r="M3602" s="1" t="s">
        <v>5511</v>
      </c>
      <c r="N3602" s="8" t="s">
        <v>5512</v>
      </c>
      <c r="O3602" s="1" t="s">
        <v>5513</v>
      </c>
      <c r="P3602" s="5">
        <f>XLOOKUP(R3602, classification!C:C, classification!B:B, "Not Found")</f>
      </c>
      <c r="Q3602" s="1" t="s">
        <v>5514</v>
      </c>
      <c r="R3602" s="2"/>
      <c r="S3602" s="2"/>
      <c r="T3602" s="2"/>
      <c r="U3602" s="2"/>
    </row>
    <row x14ac:dyDescent="0.25" r="3603" customHeight="1" ht="17.25">
      <c r="A3603" s="7">
        <v>3602</v>
      </c>
      <c r="B3603" s="1" t="s">
        <v>8916</v>
      </c>
      <c r="C3603" s="5">
        <f>CONCATENATE("PD", TEXT(A3603, "1000000"))</f>
      </c>
      <c r="D3603" s="7">
        <v>76</v>
      </c>
      <c r="E3603" s="5">
        <f>XLOOKUP(G3603, item_category!C:C, item_category!B:B, "Not Found")</f>
      </c>
      <c r="F3603" s="1" t="s">
        <v>5632</v>
      </c>
      <c r="G3603" s="5">
        <f>XLOOKUP(I3603, drug!B:B, drug!A:A, "Not Found")</f>
      </c>
      <c r="H3603" s="1" t="s">
        <v>1942</v>
      </c>
      <c r="I3603" s="7">
        <v>1</v>
      </c>
      <c r="J3603" s="5">
        <f>XLOOKUP(L3603, uom!C:C, uom!B:B, "Not Found")</f>
      </c>
      <c r="K3603" s="1" t="s">
        <v>5511</v>
      </c>
      <c r="L3603" s="5">
        <f>XLOOKUP(N3603, uom!C:C, uom!B:B, "Not Found")</f>
      </c>
      <c r="M3603" s="1" t="s">
        <v>5511</v>
      </c>
      <c r="N3603" s="8" t="s">
        <v>5512</v>
      </c>
      <c r="O3603" s="1" t="s">
        <v>5513</v>
      </c>
      <c r="P3603" s="5">
        <f>XLOOKUP(R3603, classification!C:C, classification!B:B, "Not Found")</f>
      </c>
      <c r="Q3603" s="1" t="s">
        <v>5514</v>
      </c>
      <c r="R3603" s="2"/>
      <c r="S3603" s="2"/>
      <c r="T3603" s="2"/>
      <c r="U3603" s="2"/>
    </row>
    <row x14ac:dyDescent="0.25" r="3604" customHeight="1" ht="17.25">
      <c r="A3604" s="7">
        <v>3603</v>
      </c>
      <c r="B3604" s="1" t="s">
        <v>8917</v>
      </c>
      <c r="C3604" s="5">
        <f>CONCATENATE("PD", TEXT(A3604, "1000000"))</f>
      </c>
      <c r="D3604" s="7">
        <v>76</v>
      </c>
      <c r="E3604" s="5">
        <f>XLOOKUP(G3604, item_category!C:C, item_category!B:B, "Not Found")</f>
      </c>
      <c r="F3604" s="1" t="s">
        <v>5632</v>
      </c>
      <c r="G3604" s="5">
        <f>XLOOKUP(I3604, drug!B:B, drug!A:A, "Not Found")</f>
      </c>
      <c r="H3604" s="1" t="s">
        <v>1942</v>
      </c>
      <c r="I3604" s="7">
        <v>1</v>
      </c>
      <c r="J3604" s="5">
        <f>XLOOKUP(L3604, uom!C:C, uom!B:B, "Not Found")</f>
      </c>
      <c r="K3604" s="1" t="s">
        <v>5511</v>
      </c>
      <c r="L3604" s="5">
        <f>XLOOKUP(N3604, uom!C:C, uom!B:B, "Not Found")</f>
      </c>
      <c r="M3604" s="1" t="s">
        <v>5511</v>
      </c>
      <c r="N3604" s="8" t="s">
        <v>5512</v>
      </c>
      <c r="O3604" s="1" t="s">
        <v>5513</v>
      </c>
      <c r="P3604" s="5">
        <f>XLOOKUP(R3604, classification!C:C, classification!B:B, "Not Found")</f>
      </c>
      <c r="Q3604" s="1" t="s">
        <v>5514</v>
      </c>
      <c r="R3604" s="2"/>
      <c r="S3604" s="2"/>
      <c r="T3604" s="2"/>
      <c r="U3604" s="2"/>
    </row>
    <row x14ac:dyDescent="0.25" r="3605" customHeight="1" ht="17.25">
      <c r="A3605" s="7">
        <v>3604</v>
      </c>
      <c r="B3605" s="1" t="s">
        <v>8918</v>
      </c>
      <c r="C3605" s="5">
        <f>CONCATENATE("PD", TEXT(A3605, "1000000"))</f>
      </c>
      <c r="D3605" s="7">
        <v>76</v>
      </c>
      <c r="E3605" s="5">
        <f>XLOOKUP(G3605, item_category!C:C, item_category!B:B, "Not Found")</f>
      </c>
      <c r="F3605" s="1" t="s">
        <v>5632</v>
      </c>
      <c r="G3605" s="5">
        <f>XLOOKUP(I3605, drug!B:B, drug!A:A, "Not Found")</f>
      </c>
      <c r="H3605" s="1"/>
      <c r="I3605" s="7">
        <v>1</v>
      </c>
      <c r="J3605" s="5">
        <f>XLOOKUP(L3605, uom!C:C, uom!B:B, "Not Found")</f>
      </c>
      <c r="K3605" s="1" t="s">
        <v>5511</v>
      </c>
      <c r="L3605" s="5">
        <f>XLOOKUP(N3605, uom!C:C, uom!B:B, "Not Found")</f>
      </c>
      <c r="M3605" s="1" t="s">
        <v>5511</v>
      </c>
      <c r="N3605" s="8" t="s">
        <v>5512</v>
      </c>
      <c r="O3605" s="1" t="s">
        <v>5513</v>
      </c>
      <c r="P3605" s="5">
        <f>XLOOKUP(R3605, classification!C:C, classification!B:B, "Not Found")</f>
      </c>
      <c r="Q3605" s="1" t="s">
        <v>5514</v>
      </c>
      <c r="R3605" s="2"/>
      <c r="S3605" s="2"/>
      <c r="T3605" s="2"/>
      <c r="U3605" s="2"/>
    </row>
    <row x14ac:dyDescent="0.25" r="3606" customHeight="1" ht="17.25">
      <c r="A3606" s="7">
        <v>3605</v>
      </c>
      <c r="B3606" s="1" t="s">
        <v>8919</v>
      </c>
      <c r="C3606" s="5">
        <f>CONCATENATE("PD", TEXT(A3606, "1000000"))</f>
      </c>
      <c r="D3606" s="7">
        <v>76</v>
      </c>
      <c r="E3606" s="5">
        <f>XLOOKUP(G3606, item_category!C:C, item_category!B:B, "Not Found")</f>
      </c>
      <c r="F3606" s="1" t="s">
        <v>5632</v>
      </c>
      <c r="G3606" s="5">
        <f>XLOOKUP(I3606, drug!B:B, drug!A:A, "Not Found")</f>
      </c>
      <c r="H3606" s="1"/>
      <c r="I3606" s="7">
        <v>1</v>
      </c>
      <c r="J3606" s="5">
        <f>XLOOKUP(L3606, uom!C:C, uom!B:B, "Not Found")</f>
      </c>
      <c r="K3606" s="1" t="s">
        <v>5511</v>
      </c>
      <c r="L3606" s="5">
        <f>XLOOKUP(N3606, uom!C:C, uom!B:B, "Not Found")</f>
      </c>
      <c r="M3606" s="1" t="s">
        <v>5511</v>
      </c>
      <c r="N3606" s="8" t="s">
        <v>5512</v>
      </c>
      <c r="O3606" s="1" t="s">
        <v>5513</v>
      </c>
      <c r="P3606" s="5">
        <f>XLOOKUP(R3606, classification!C:C, classification!B:B, "Not Found")</f>
      </c>
      <c r="Q3606" s="1" t="s">
        <v>5514</v>
      </c>
      <c r="R3606" s="2"/>
      <c r="S3606" s="2"/>
      <c r="T3606" s="2"/>
      <c r="U3606" s="2"/>
    </row>
    <row x14ac:dyDescent="0.25" r="3607" customHeight="1" ht="17.25">
      <c r="A3607" s="7">
        <v>3606</v>
      </c>
      <c r="B3607" s="1" t="s">
        <v>8920</v>
      </c>
      <c r="C3607" s="5">
        <f>CONCATENATE("PD", TEXT(A3607, "1000000"))</f>
      </c>
      <c r="D3607" s="7">
        <v>8</v>
      </c>
      <c r="E3607" s="5">
        <f>XLOOKUP(G3607, item_category!C:C, item_category!B:B, "Not Found")</f>
      </c>
      <c r="F3607" s="1" t="s">
        <v>5517</v>
      </c>
      <c r="G3607" s="5">
        <f>XLOOKUP(I3607, drug!B:B, drug!A:A, "Not Found")</f>
      </c>
      <c r="H3607" s="1" t="s">
        <v>1942</v>
      </c>
      <c r="I3607" s="7">
        <v>320</v>
      </c>
      <c r="J3607" s="5">
        <f>XLOOKUP(L3607, uom!C:C, uom!B:B, "Not Found")</f>
      </c>
      <c r="K3607" s="1" t="s">
        <v>5511</v>
      </c>
      <c r="L3607" s="5">
        <f>XLOOKUP(N3607, uom!C:C, uom!B:B, "Not Found")</f>
      </c>
      <c r="M3607" s="1" t="s">
        <v>5511</v>
      </c>
      <c r="N3607" s="8" t="s">
        <v>5512</v>
      </c>
      <c r="O3607" s="1" t="s">
        <v>5513</v>
      </c>
      <c r="P3607" s="5">
        <f>XLOOKUP(R3607, classification!C:C, classification!B:B, "Not Found")</f>
      </c>
      <c r="Q3607" s="1" t="s">
        <v>5514</v>
      </c>
      <c r="R3607" s="2"/>
      <c r="S3607" s="2"/>
      <c r="T3607" s="2"/>
      <c r="U3607" s="2"/>
    </row>
    <row x14ac:dyDescent="0.25" r="3608" customHeight="1" ht="17.25">
      <c r="A3608" s="7">
        <v>3607</v>
      </c>
      <c r="B3608" s="1" t="s">
        <v>8921</v>
      </c>
      <c r="C3608" s="5">
        <f>CONCATENATE("PD", TEXT(A3608, "1000000"))</f>
      </c>
      <c r="D3608" s="7">
        <v>8</v>
      </c>
      <c r="E3608" s="5">
        <f>XLOOKUP(G3608, item_category!C:C, item_category!B:B, "Not Found")</f>
      </c>
      <c r="F3608" s="1" t="s">
        <v>5517</v>
      </c>
      <c r="G3608" s="5">
        <f>XLOOKUP(I3608, drug!B:B, drug!A:A, "Not Found")</f>
      </c>
      <c r="H3608" s="1"/>
      <c r="I3608" s="7">
        <v>79</v>
      </c>
      <c r="J3608" s="5">
        <f>XLOOKUP(L3608, uom!C:C, uom!B:B, "Not Found")</f>
      </c>
      <c r="K3608" s="1" t="s">
        <v>5511</v>
      </c>
      <c r="L3608" s="5">
        <f>XLOOKUP(N3608, uom!C:C, uom!B:B, "Not Found")</f>
      </c>
      <c r="M3608" s="1" t="s">
        <v>5511</v>
      </c>
      <c r="N3608" s="8" t="s">
        <v>5512</v>
      </c>
      <c r="O3608" s="1" t="s">
        <v>5513</v>
      </c>
      <c r="P3608" s="5">
        <f>XLOOKUP(R3608, classification!C:C, classification!B:B, "Not Found")</f>
      </c>
      <c r="Q3608" s="1" t="s">
        <v>5514</v>
      </c>
      <c r="R3608" s="2"/>
      <c r="S3608" s="2"/>
      <c r="T3608" s="2"/>
      <c r="U3608" s="2"/>
    </row>
    <row x14ac:dyDescent="0.25" r="3609" customHeight="1" ht="17.25">
      <c r="A3609" s="7">
        <v>3608</v>
      </c>
      <c r="B3609" s="1" t="s">
        <v>8922</v>
      </c>
      <c r="C3609" s="5">
        <f>CONCATENATE("PD", TEXT(A3609, "1000000"))</f>
      </c>
      <c r="D3609" s="7">
        <v>8</v>
      </c>
      <c r="E3609" s="5">
        <f>XLOOKUP(G3609, item_category!C:C, item_category!B:B, "Not Found")</f>
      </c>
      <c r="F3609" s="1" t="s">
        <v>5517</v>
      </c>
      <c r="G3609" s="5">
        <f>XLOOKUP(I3609, drug!B:B, drug!A:A, "Not Found")</f>
      </c>
      <c r="H3609" s="1"/>
      <c r="I3609" s="7">
        <v>1799</v>
      </c>
      <c r="J3609" s="5">
        <f>XLOOKUP(L3609, uom!C:C, uom!B:B, "Not Found")</f>
      </c>
      <c r="K3609" s="1" t="s">
        <v>5511</v>
      </c>
      <c r="L3609" s="5">
        <f>XLOOKUP(N3609, uom!C:C, uom!B:B, "Not Found")</f>
      </c>
      <c r="M3609" s="1" t="s">
        <v>5511</v>
      </c>
      <c r="N3609" s="8" t="s">
        <v>5512</v>
      </c>
      <c r="O3609" s="1" t="s">
        <v>5513</v>
      </c>
      <c r="P3609" s="5">
        <f>XLOOKUP(R3609, classification!C:C, classification!B:B, "Not Found")</f>
      </c>
      <c r="Q3609" s="1" t="s">
        <v>5514</v>
      </c>
      <c r="R3609" s="2"/>
      <c r="S3609" s="2"/>
      <c r="T3609" s="2"/>
      <c r="U3609" s="2"/>
    </row>
    <row x14ac:dyDescent="0.25" r="3610" customHeight="1" ht="17.25">
      <c r="A3610" s="7">
        <v>3609</v>
      </c>
      <c r="B3610" s="1" t="s">
        <v>8923</v>
      </c>
      <c r="C3610" s="5">
        <f>CONCATENATE("PD", TEXT(A3610, "1000000"))</f>
      </c>
      <c r="D3610" s="7">
        <v>76</v>
      </c>
      <c r="E3610" s="5">
        <f>XLOOKUP(G3610, item_category!C:C, item_category!B:B, "Not Found")</f>
      </c>
      <c r="F3610" s="1" t="s">
        <v>5632</v>
      </c>
      <c r="G3610" s="5">
        <f>XLOOKUP(I3610, drug!B:B, drug!A:A, "Not Found")</f>
      </c>
      <c r="H3610" s="1"/>
      <c r="I3610" s="7">
        <v>1</v>
      </c>
      <c r="J3610" s="5">
        <f>XLOOKUP(L3610, uom!C:C, uom!B:B, "Not Found")</f>
      </c>
      <c r="K3610" s="1" t="s">
        <v>5511</v>
      </c>
      <c r="L3610" s="5">
        <f>XLOOKUP(N3610, uom!C:C, uom!B:B, "Not Found")</f>
      </c>
      <c r="M3610" s="1" t="s">
        <v>5511</v>
      </c>
      <c r="N3610" s="8" t="s">
        <v>5512</v>
      </c>
      <c r="O3610" s="1" t="s">
        <v>5513</v>
      </c>
      <c r="P3610" s="5">
        <f>XLOOKUP(R3610, classification!C:C, classification!B:B, "Not Found")</f>
      </c>
      <c r="Q3610" s="1" t="s">
        <v>5514</v>
      </c>
      <c r="R3610" s="2"/>
      <c r="S3610" s="2"/>
      <c r="T3610" s="2"/>
      <c r="U3610" s="2"/>
    </row>
    <row x14ac:dyDescent="0.25" r="3611" customHeight="1" ht="17.25">
      <c r="A3611" s="7">
        <v>3610</v>
      </c>
      <c r="B3611" s="1" t="s">
        <v>8924</v>
      </c>
      <c r="C3611" s="5">
        <f>CONCATENATE("PD", TEXT(A3611, "1000000"))</f>
      </c>
      <c r="D3611" s="7">
        <v>76</v>
      </c>
      <c r="E3611" s="5">
        <f>XLOOKUP(G3611, item_category!C:C, item_category!B:B, "Not Found")</f>
      </c>
      <c r="F3611" s="1" t="s">
        <v>5632</v>
      </c>
      <c r="G3611" s="5">
        <f>XLOOKUP(I3611, drug!B:B, drug!A:A, "Not Found")</f>
      </c>
      <c r="H3611" s="1"/>
      <c r="I3611" s="7">
        <v>1</v>
      </c>
      <c r="J3611" s="5">
        <f>XLOOKUP(L3611, uom!C:C, uom!B:B, "Not Found")</f>
      </c>
      <c r="K3611" s="1" t="s">
        <v>5511</v>
      </c>
      <c r="L3611" s="5">
        <f>XLOOKUP(N3611, uom!C:C, uom!B:B, "Not Found")</f>
      </c>
      <c r="M3611" s="1" t="s">
        <v>5511</v>
      </c>
      <c r="N3611" s="8" t="s">
        <v>5512</v>
      </c>
      <c r="O3611" s="1" t="s">
        <v>5513</v>
      </c>
      <c r="P3611" s="5">
        <f>XLOOKUP(R3611, classification!C:C, classification!B:B, "Not Found")</f>
      </c>
      <c r="Q3611" s="1" t="s">
        <v>5514</v>
      </c>
      <c r="R3611" s="2"/>
      <c r="S3611" s="2"/>
      <c r="T3611" s="2"/>
      <c r="U3611" s="2"/>
    </row>
    <row x14ac:dyDescent="0.25" r="3612" customHeight="1" ht="17.25">
      <c r="A3612" s="7">
        <v>3611</v>
      </c>
      <c r="B3612" s="1" t="s">
        <v>8925</v>
      </c>
      <c r="C3612" s="5">
        <f>CONCATENATE("PD", TEXT(A3612, "1000000"))</f>
      </c>
      <c r="D3612" s="7">
        <v>76</v>
      </c>
      <c r="E3612" s="5">
        <f>XLOOKUP(G3612, item_category!C:C, item_category!B:B, "Not Found")</f>
      </c>
      <c r="F3612" s="1" t="s">
        <v>5632</v>
      </c>
      <c r="G3612" s="5">
        <f>XLOOKUP(I3612, drug!B:B, drug!A:A, "Not Found")</f>
      </c>
      <c r="H3612" s="1"/>
      <c r="I3612" s="7">
        <v>1</v>
      </c>
      <c r="J3612" s="5">
        <f>XLOOKUP(L3612, uom!C:C, uom!B:B, "Not Found")</f>
      </c>
      <c r="K3612" s="1" t="s">
        <v>5511</v>
      </c>
      <c r="L3612" s="5">
        <f>XLOOKUP(N3612, uom!C:C, uom!B:B, "Not Found")</f>
      </c>
      <c r="M3612" s="1" t="s">
        <v>5511</v>
      </c>
      <c r="N3612" s="8" t="s">
        <v>5512</v>
      </c>
      <c r="O3612" s="1" t="s">
        <v>5513</v>
      </c>
      <c r="P3612" s="5">
        <f>XLOOKUP(R3612, classification!C:C, classification!B:B, "Not Found")</f>
      </c>
      <c r="Q3612" s="1" t="s">
        <v>5514</v>
      </c>
      <c r="R3612" s="2"/>
      <c r="S3612" s="2"/>
      <c r="T3612" s="2"/>
      <c r="U3612" s="2"/>
    </row>
    <row x14ac:dyDescent="0.25" r="3613" customHeight="1" ht="17.25">
      <c r="A3613" s="7">
        <v>3612</v>
      </c>
      <c r="B3613" s="1" t="s">
        <v>8926</v>
      </c>
      <c r="C3613" s="5">
        <f>CONCATENATE("PD", TEXT(A3613, "1000000"))</f>
      </c>
      <c r="D3613" s="7">
        <v>76</v>
      </c>
      <c r="E3613" s="5">
        <f>XLOOKUP(G3613, item_category!C:C, item_category!B:B, "Not Found")</f>
      </c>
      <c r="F3613" s="1" t="s">
        <v>5632</v>
      </c>
      <c r="G3613" s="5">
        <f>XLOOKUP(I3613, drug!B:B, drug!A:A, "Not Found")</f>
      </c>
      <c r="H3613" s="1"/>
      <c r="I3613" s="7">
        <v>1</v>
      </c>
      <c r="J3613" s="5">
        <f>XLOOKUP(L3613, uom!C:C, uom!B:B, "Not Found")</f>
      </c>
      <c r="K3613" s="1" t="s">
        <v>5511</v>
      </c>
      <c r="L3613" s="5">
        <f>XLOOKUP(N3613, uom!C:C, uom!B:B, "Not Found")</f>
      </c>
      <c r="M3613" s="1" t="s">
        <v>5511</v>
      </c>
      <c r="N3613" s="8" t="s">
        <v>5512</v>
      </c>
      <c r="O3613" s="1" t="s">
        <v>5513</v>
      </c>
      <c r="P3613" s="5">
        <f>XLOOKUP(R3613, classification!C:C, classification!B:B, "Not Found")</f>
      </c>
      <c r="Q3613" s="1" t="s">
        <v>5514</v>
      </c>
      <c r="R3613" s="2"/>
      <c r="S3613" s="2"/>
      <c r="T3613" s="2"/>
      <c r="U3613" s="2"/>
    </row>
    <row x14ac:dyDescent="0.25" r="3614" customHeight="1" ht="17.25">
      <c r="A3614" s="7">
        <v>3613</v>
      </c>
      <c r="B3614" s="1" t="s">
        <v>8927</v>
      </c>
      <c r="C3614" s="5">
        <f>CONCATENATE("PD", TEXT(A3614, "1000000"))</f>
      </c>
      <c r="D3614" s="7">
        <v>76</v>
      </c>
      <c r="E3614" s="5">
        <f>XLOOKUP(G3614, item_category!C:C, item_category!B:B, "Not Found")</f>
      </c>
      <c r="F3614" s="1" t="s">
        <v>5632</v>
      </c>
      <c r="G3614" s="5">
        <f>XLOOKUP(I3614, drug!B:B, drug!A:A, "Not Found")</f>
      </c>
      <c r="H3614" s="1"/>
      <c r="I3614" s="7">
        <v>1</v>
      </c>
      <c r="J3614" s="5">
        <f>XLOOKUP(L3614, uom!C:C, uom!B:B, "Not Found")</f>
      </c>
      <c r="K3614" s="1" t="s">
        <v>5511</v>
      </c>
      <c r="L3614" s="5">
        <f>XLOOKUP(N3614, uom!C:C, uom!B:B, "Not Found")</f>
      </c>
      <c r="M3614" s="1" t="s">
        <v>5511</v>
      </c>
      <c r="N3614" s="8" t="s">
        <v>5512</v>
      </c>
      <c r="O3614" s="1" t="s">
        <v>5513</v>
      </c>
      <c r="P3614" s="5">
        <f>XLOOKUP(R3614, classification!C:C, classification!B:B, "Not Found")</f>
      </c>
      <c r="Q3614" s="1" t="s">
        <v>5514</v>
      </c>
      <c r="R3614" s="2"/>
      <c r="S3614" s="2"/>
      <c r="T3614" s="2"/>
      <c r="U3614" s="2"/>
    </row>
    <row x14ac:dyDescent="0.25" r="3615" customHeight="1" ht="17.25">
      <c r="A3615" s="7">
        <v>3614</v>
      </c>
      <c r="B3615" s="1" t="s">
        <v>7680</v>
      </c>
      <c r="C3615" s="5">
        <f>CONCATENATE("PD", TEXT(A3615, "1000000"))</f>
      </c>
      <c r="D3615" s="7">
        <v>76</v>
      </c>
      <c r="E3615" s="5">
        <f>XLOOKUP(G3615, item_category!C:C, item_category!B:B, "Not Found")</f>
      </c>
      <c r="F3615" s="1" t="s">
        <v>5632</v>
      </c>
      <c r="G3615" s="5">
        <f>XLOOKUP(I3615, drug!B:B, drug!A:A, "Not Found")</f>
      </c>
      <c r="H3615" s="1"/>
      <c r="I3615" s="7">
        <v>1</v>
      </c>
      <c r="J3615" s="5">
        <f>XLOOKUP(L3615, uom!C:C, uom!B:B, "Not Found")</f>
      </c>
      <c r="K3615" s="1" t="s">
        <v>5511</v>
      </c>
      <c r="L3615" s="5">
        <f>XLOOKUP(N3615, uom!C:C, uom!B:B, "Not Found")</f>
      </c>
      <c r="M3615" s="1" t="s">
        <v>5511</v>
      </c>
      <c r="N3615" s="8" t="s">
        <v>5512</v>
      </c>
      <c r="O3615" s="1" t="s">
        <v>5513</v>
      </c>
      <c r="P3615" s="5">
        <f>XLOOKUP(R3615, classification!C:C, classification!B:B, "Not Found")</f>
      </c>
      <c r="Q3615" s="1" t="s">
        <v>5514</v>
      </c>
      <c r="R3615" s="2"/>
      <c r="S3615" s="2"/>
      <c r="T3615" s="2"/>
      <c r="U3615" s="2"/>
    </row>
    <row x14ac:dyDescent="0.25" r="3616" customHeight="1" ht="17.25">
      <c r="A3616" s="7">
        <v>3615</v>
      </c>
      <c r="B3616" s="1" t="s">
        <v>8928</v>
      </c>
      <c r="C3616" s="5">
        <f>CONCATENATE("PD", TEXT(A3616, "1000000"))</f>
      </c>
      <c r="D3616" s="7">
        <v>76</v>
      </c>
      <c r="E3616" s="5">
        <f>XLOOKUP(G3616, item_category!C:C, item_category!B:B, "Not Found")</f>
      </c>
      <c r="F3616" s="1" t="s">
        <v>5632</v>
      </c>
      <c r="G3616" s="5">
        <f>XLOOKUP(I3616, drug!B:B, drug!A:A, "Not Found")</f>
      </c>
      <c r="H3616" s="1"/>
      <c r="I3616" s="7">
        <v>1</v>
      </c>
      <c r="J3616" s="5">
        <f>XLOOKUP(L3616, uom!C:C, uom!B:B, "Not Found")</f>
      </c>
      <c r="K3616" s="1" t="s">
        <v>5511</v>
      </c>
      <c r="L3616" s="5">
        <f>XLOOKUP(N3616, uom!C:C, uom!B:B, "Not Found")</f>
      </c>
      <c r="M3616" s="1" t="s">
        <v>5511</v>
      </c>
      <c r="N3616" s="8" t="s">
        <v>5512</v>
      </c>
      <c r="O3616" s="1" t="s">
        <v>5513</v>
      </c>
      <c r="P3616" s="5">
        <f>XLOOKUP(R3616, classification!C:C, classification!B:B, "Not Found")</f>
      </c>
      <c r="Q3616" s="1" t="s">
        <v>5514</v>
      </c>
      <c r="R3616" s="2"/>
      <c r="S3616" s="2"/>
      <c r="T3616" s="2"/>
      <c r="U3616" s="2"/>
    </row>
    <row x14ac:dyDescent="0.25" r="3617" customHeight="1" ht="17.25">
      <c r="A3617" s="7">
        <v>3616</v>
      </c>
      <c r="B3617" s="1" t="s">
        <v>8929</v>
      </c>
      <c r="C3617" s="5">
        <f>CONCATENATE("PD", TEXT(A3617, "1000000"))</f>
      </c>
      <c r="D3617" s="7">
        <v>76</v>
      </c>
      <c r="E3617" s="5">
        <f>XLOOKUP(G3617, item_category!C:C, item_category!B:B, "Not Found")</f>
      </c>
      <c r="F3617" s="1" t="s">
        <v>5632</v>
      </c>
      <c r="G3617" s="5">
        <f>XLOOKUP(I3617, drug!B:B, drug!A:A, "Not Found")</f>
      </c>
      <c r="H3617" s="1"/>
      <c r="I3617" s="7">
        <v>1</v>
      </c>
      <c r="J3617" s="5">
        <f>XLOOKUP(L3617, uom!C:C, uom!B:B, "Not Found")</f>
      </c>
      <c r="K3617" s="1" t="s">
        <v>5511</v>
      </c>
      <c r="L3617" s="5">
        <f>XLOOKUP(N3617, uom!C:C, uom!B:B, "Not Found")</f>
      </c>
      <c r="M3617" s="1" t="s">
        <v>5511</v>
      </c>
      <c r="N3617" s="8" t="s">
        <v>5512</v>
      </c>
      <c r="O3617" s="1" t="s">
        <v>5513</v>
      </c>
      <c r="P3617" s="5">
        <f>XLOOKUP(R3617, classification!C:C, classification!B:B, "Not Found")</f>
      </c>
      <c r="Q3617" s="1" t="s">
        <v>5514</v>
      </c>
      <c r="R3617" s="2"/>
      <c r="S3617" s="2"/>
      <c r="T3617" s="2"/>
      <c r="U3617" s="2"/>
    </row>
    <row x14ac:dyDescent="0.25" r="3618" customHeight="1" ht="17.25">
      <c r="A3618" s="7">
        <v>3617</v>
      </c>
      <c r="B3618" s="1" t="s">
        <v>8930</v>
      </c>
      <c r="C3618" s="5">
        <f>CONCATENATE("PD", TEXT(A3618, "1000000"))</f>
      </c>
      <c r="D3618" s="7">
        <v>76</v>
      </c>
      <c r="E3618" s="5">
        <f>XLOOKUP(G3618, item_category!C:C, item_category!B:B, "Not Found")</f>
      </c>
      <c r="F3618" s="1" t="s">
        <v>5632</v>
      </c>
      <c r="G3618" s="5">
        <f>XLOOKUP(I3618, drug!B:B, drug!A:A, "Not Found")</f>
      </c>
      <c r="H3618" s="1"/>
      <c r="I3618" s="7">
        <v>1</v>
      </c>
      <c r="J3618" s="5">
        <f>XLOOKUP(L3618, uom!C:C, uom!B:B, "Not Found")</f>
      </c>
      <c r="K3618" s="1" t="s">
        <v>5511</v>
      </c>
      <c r="L3618" s="5">
        <f>XLOOKUP(N3618, uom!C:C, uom!B:B, "Not Found")</f>
      </c>
      <c r="M3618" s="1" t="s">
        <v>5511</v>
      </c>
      <c r="N3618" s="8" t="s">
        <v>5512</v>
      </c>
      <c r="O3618" s="1" t="s">
        <v>5513</v>
      </c>
      <c r="P3618" s="5">
        <f>XLOOKUP(R3618, classification!C:C, classification!B:B, "Not Found")</f>
      </c>
      <c r="Q3618" s="1" t="s">
        <v>5514</v>
      </c>
      <c r="R3618" s="2"/>
      <c r="S3618" s="2"/>
      <c r="T3618" s="2"/>
      <c r="U3618" s="2"/>
    </row>
    <row x14ac:dyDescent="0.25" r="3619" customHeight="1" ht="17.25">
      <c r="A3619" s="7">
        <v>3618</v>
      </c>
      <c r="B3619" s="1" t="s">
        <v>8931</v>
      </c>
      <c r="C3619" s="5">
        <f>CONCATENATE("PD", TEXT(A3619, "1000000"))</f>
      </c>
      <c r="D3619" s="7">
        <v>76</v>
      </c>
      <c r="E3619" s="5">
        <f>XLOOKUP(G3619, item_category!C:C, item_category!B:B, "Not Found")</f>
      </c>
      <c r="F3619" s="1" t="s">
        <v>5632</v>
      </c>
      <c r="G3619" s="5">
        <f>XLOOKUP(I3619, drug!B:B, drug!A:A, "Not Found")</f>
      </c>
      <c r="H3619" s="1"/>
      <c r="I3619" s="7">
        <v>1</v>
      </c>
      <c r="J3619" s="5">
        <f>XLOOKUP(L3619, uom!C:C, uom!B:B, "Not Found")</f>
      </c>
      <c r="K3619" s="1" t="s">
        <v>5511</v>
      </c>
      <c r="L3619" s="5">
        <f>XLOOKUP(N3619, uom!C:C, uom!B:B, "Not Found")</f>
      </c>
      <c r="M3619" s="1" t="s">
        <v>5511</v>
      </c>
      <c r="N3619" s="8" t="s">
        <v>5512</v>
      </c>
      <c r="O3619" s="1" t="s">
        <v>5513</v>
      </c>
      <c r="P3619" s="5">
        <f>XLOOKUP(R3619, classification!C:C, classification!B:B, "Not Found")</f>
      </c>
      <c r="Q3619" s="1" t="s">
        <v>5514</v>
      </c>
      <c r="R3619" s="2"/>
      <c r="S3619" s="2"/>
      <c r="T3619" s="2"/>
      <c r="U3619" s="2"/>
    </row>
    <row x14ac:dyDescent="0.25" r="3620" customHeight="1" ht="17.25">
      <c r="A3620" s="7">
        <v>3619</v>
      </c>
      <c r="B3620" s="1" t="s">
        <v>8932</v>
      </c>
      <c r="C3620" s="5">
        <f>CONCATENATE("PD", TEXT(A3620, "1000000"))</f>
      </c>
      <c r="D3620" s="7">
        <v>76</v>
      </c>
      <c r="E3620" s="5">
        <f>XLOOKUP(G3620, item_category!C:C, item_category!B:B, "Not Found")</f>
      </c>
      <c r="F3620" s="1" t="s">
        <v>5632</v>
      </c>
      <c r="G3620" s="5">
        <f>XLOOKUP(I3620, drug!B:B, drug!A:A, "Not Found")</f>
      </c>
      <c r="H3620" s="1"/>
      <c r="I3620" s="7">
        <v>1</v>
      </c>
      <c r="J3620" s="5">
        <f>XLOOKUP(L3620, uom!C:C, uom!B:B, "Not Found")</f>
      </c>
      <c r="K3620" s="1" t="s">
        <v>5511</v>
      </c>
      <c r="L3620" s="5">
        <f>XLOOKUP(N3620, uom!C:C, uom!B:B, "Not Found")</f>
      </c>
      <c r="M3620" s="1" t="s">
        <v>5511</v>
      </c>
      <c r="N3620" s="8" t="s">
        <v>5512</v>
      </c>
      <c r="O3620" s="1" t="s">
        <v>5513</v>
      </c>
      <c r="P3620" s="5">
        <f>XLOOKUP(R3620, classification!C:C, classification!B:B, "Not Found")</f>
      </c>
      <c r="Q3620" s="1" t="s">
        <v>5514</v>
      </c>
      <c r="R3620" s="2"/>
      <c r="S3620" s="2"/>
      <c r="T3620" s="2"/>
      <c r="U3620" s="2"/>
    </row>
    <row x14ac:dyDescent="0.25" r="3621" customHeight="1" ht="17.25">
      <c r="A3621" s="7">
        <v>3620</v>
      </c>
      <c r="B3621" s="1" t="s">
        <v>8933</v>
      </c>
      <c r="C3621" s="5">
        <f>CONCATENATE("PD", TEXT(A3621, "1000000"))</f>
      </c>
      <c r="D3621" s="7">
        <v>76</v>
      </c>
      <c r="E3621" s="5">
        <f>XLOOKUP(G3621, item_category!C:C, item_category!B:B, "Not Found")</f>
      </c>
      <c r="F3621" s="1" t="s">
        <v>5632</v>
      </c>
      <c r="G3621" s="5">
        <f>XLOOKUP(I3621, drug!B:B, drug!A:A, "Not Found")</f>
      </c>
      <c r="H3621" s="1"/>
      <c r="I3621" s="7">
        <v>1</v>
      </c>
      <c r="J3621" s="5">
        <f>XLOOKUP(L3621, uom!C:C, uom!B:B, "Not Found")</f>
      </c>
      <c r="K3621" s="1" t="s">
        <v>5511</v>
      </c>
      <c r="L3621" s="5">
        <f>XLOOKUP(N3621, uom!C:C, uom!B:B, "Not Found")</f>
      </c>
      <c r="M3621" s="1" t="s">
        <v>5511</v>
      </c>
      <c r="N3621" s="8" t="s">
        <v>5512</v>
      </c>
      <c r="O3621" s="1" t="s">
        <v>5513</v>
      </c>
      <c r="P3621" s="5">
        <f>XLOOKUP(R3621, classification!C:C, classification!B:B, "Not Found")</f>
      </c>
      <c r="Q3621" s="1" t="s">
        <v>5514</v>
      </c>
      <c r="R3621" s="2"/>
      <c r="S3621" s="2"/>
      <c r="T3621" s="2"/>
      <c r="U3621" s="2"/>
    </row>
    <row x14ac:dyDescent="0.25" r="3622" customHeight="1" ht="17.25">
      <c r="A3622" s="7">
        <v>3621</v>
      </c>
      <c r="B3622" s="1" t="s">
        <v>8934</v>
      </c>
      <c r="C3622" s="5">
        <f>CONCATENATE("PD", TEXT(A3622, "1000000"))</f>
      </c>
      <c r="D3622" s="7">
        <v>76</v>
      </c>
      <c r="E3622" s="5">
        <f>XLOOKUP(G3622, item_category!C:C, item_category!B:B, "Not Found")</f>
      </c>
      <c r="F3622" s="1" t="s">
        <v>5632</v>
      </c>
      <c r="G3622" s="5">
        <f>XLOOKUP(I3622, drug!B:B, drug!A:A, "Not Found")</f>
      </c>
      <c r="H3622" s="1" t="s">
        <v>1552</v>
      </c>
      <c r="I3622" s="7">
        <v>1</v>
      </c>
      <c r="J3622" s="5">
        <f>XLOOKUP(L3622, uom!C:C, uom!B:B, "Not Found")</f>
      </c>
      <c r="K3622" s="1" t="s">
        <v>5511</v>
      </c>
      <c r="L3622" s="5">
        <f>XLOOKUP(N3622, uom!C:C, uom!B:B, "Not Found")</f>
      </c>
      <c r="M3622" s="1" t="s">
        <v>5511</v>
      </c>
      <c r="N3622" s="8" t="s">
        <v>5512</v>
      </c>
      <c r="O3622" s="1" t="s">
        <v>5513</v>
      </c>
      <c r="P3622" s="5">
        <f>XLOOKUP(R3622, classification!C:C, classification!B:B, "Not Found")</f>
      </c>
      <c r="Q3622" s="1" t="s">
        <v>5514</v>
      </c>
      <c r="R3622" s="2"/>
      <c r="S3622" s="2"/>
      <c r="T3622" s="2"/>
      <c r="U3622" s="2"/>
    </row>
    <row x14ac:dyDescent="0.25" r="3623" customHeight="1" ht="17.25">
      <c r="A3623" s="7">
        <v>3622</v>
      </c>
      <c r="B3623" s="1" t="s">
        <v>8935</v>
      </c>
      <c r="C3623" s="5">
        <f>CONCATENATE("PD", TEXT(A3623, "1000000"))</f>
      </c>
      <c r="D3623" s="7">
        <v>76</v>
      </c>
      <c r="E3623" s="5">
        <f>XLOOKUP(G3623, item_category!C:C, item_category!B:B, "Not Found")</f>
      </c>
      <c r="F3623" s="1" t="s">
        <v>5632</v>
      </c>
      <c r="G3623" s="5">
        <f>XLOOKUP(I3623, drug!B:B, drug!A:A, "Not Found")</f>
      </c>
      <c r="H3623" s="1" t="s">
        <v>1552</v>
      </c>
      <c r="I3623" s="7">
        <v>1</v>
      </c>
      <c r="J3623" s="5">
        <f>XLOOKUP(L3623, uom!C:C, uom!B:B, "Not Found")</f>
      </c>
      <c r="K3623" s="1" t="s">
        <v>5511</v>
      </c>
      <c r="L3623" s="5">
        <f>XLOOKUP(N3623, uom!C:C, uom!B:B, "Not Found")</f>
      </c>
      <c r="M3623" s="1" t="s">
        <v>5511</v>
      </c>
      <c r="N3623" s="8" t="s">
        <v>5512</v>
      </c>
      <c r="O3623" s="1" t="s">
        <v>5513</v>
      </c>
      <c r="P3623" s="5">
        <f>XLOOKUP(R3623, classification!C:C, classification!B:B, "Not Found")</f>
      </c>
      <c r="Q3623" s="1" t="s">
        <v>5514</v>
      </c>
      <c r="R3623" s="2"/>
      <c r="S3623" s="2"/>
      <c r="T3623" s="2"/>
      <c r="U3623" s="2"/>
    </row>
    <row x14ac:dyDescent="0.25" r="3624" customHeight="1" ht="17.25">
      <c r="A3624" s="7">
        <v>3623</v>
      </c>
      <c r="B3624" s="1" t="s">
        <v>8936</v>
      </c>
      <c r="C3624" s="5">
        <f>CONCATENATE("PD", TEXT(A3624, "1000000"))</f>
      </c>
      <c r="D3624" s="7">
        <v>76</v>
      </c>
      <c r="E3624" s="5">
        <f>XLOOKUP(G3624, item_category!C:C, item_category!B:B, "Not Found")</f>
      </c>
      <c r="F3624" s="1" t="s">
        <v>5632</v>
      </c>
      <c r="G3624" s="5">
        <f>XLOOKUP(I3624, drug!B:B, drug!A:A, "Not Found")</f>
      </c>
      <c r="H3624" s="1" t="s">
        <v>1552</v>
      </c>
      <c r="I3624" s="7">
        <v>1</v>
      </c>
      <c r="J3624" s="5">
        <f>XLOOKUP(L3624, uom!C:C, uom!B:B, "Not Found")</f>
      </c>
      <c r="K3624" s="1" t="s">
        <v>5511</v>
      </c>
      <c r="L3624" s="5">
        <f>XLOOKUP(N3624, uom!C:C, uom!B:B, "Not Found")</f>
      </c>
      <c r="M3624" s="1" t="s">
        <v>5511</v>
      </c>
      <c r="N3624" s="8" t="s">
        <v>5512</v>
      </c>
      <c r="O3624" s="1" t="s">
        <v>5513</v>
      </c>
      <c r="P3624" s="5">
        <f>XLOOKUP(R3624, classification!C:C, classification!B:B, "Not Found")</f>
      </c>
      <c r="Q3624" s="1" t="s">
        <v>5514</v>
      </c>
      <c r="R3624" s="2"/>
      <c r="S3624" s="2"/>
      <c r="T3624" s="2"/>
      <c r="U3624" s="2"/>
    </row>
    <row x14ac:dyDescent="0.25" r="3625" customHeight="1" ht="17.25">
      <c r="A3625" s="7">
        <v>3624</v>
      </c>
      <c r="B3625" s="1" t="s">
        <v>8937</v>
      </c>
      <c r="C3625" s="5">
        <f>CONCATENATE("PD", TEXT(A3625, "1000000"))</f>
      </c>
      <c r="D3625" s="7">
        <v>76</v>
      </c>
      <c r="E3625" s="5">
        <f>XLOOKUP(G3625, item_category!C:C, item_category!B:B, "Not Found")</f>
      </c>
      <c r="F3625" s="1" t="s">
        <v>5632</v>
      </c>
      <c r="G3625" s="5">
        <f>XLOOKUP(I3625, drug!B:B, drug!A:A, "Not Found")</f>
      </c>
      <c r="H3625" s="1" t="s">
        <v>1552</v>
      </c>
      <c r="I3625" s="7">
        <v>1</v>
      </c>
      <c r="J3625" s="5">
        <f>XLOOKUP(L3625, uom!C:C, uom!B:B, "Not Found")</f>
      </c>
      <c r="K3625" s="1" t="s">
        <v>5511</v>
      </c>
      <c r="L3625" s="5">
        <f>XLOOKUP(N3625, uom!C:C, uom!B:B, "Not Found")</f>
      </c>
      <c r="M3625" s="1" t="s">
        <v>5511</v>
      </c>
      <c r="N3625" s="8" t="s">
        <v>5512</v>
      </c>
      <c r="O3625" s="1" t="s">
        <v>5513</v>
      </c>
      <c r="P3625" s="5">
        <f>XLOOKUP(R3625, classification!C:C, classification!B:B, "Not Found")</f>
      </c>
      <c r="Q3625" s="1" t="s">
        <v>5514</v>
      </c>
      <c r="R3625" s="2"/>
      <c r="S3625" s="2"/>
      <c r="T3625" s="2"/>
      <c r="U3625" s="2"/>
    </row>
    <row x14ac:dyDescent="0.25" r="3626" customHeight="1" ht="17.25">
      <c r="A3626" s="7">
        <v>3625</v>
      </c>
      <c r="B3626" s="1" t="s">
        <v>8938</v>
      </c>
      <c r="C3626" s="5">
        <f>CONCATENATE("PD", TEXT(A3626, "1000000"))</f>
      </c>
      <c r="D3626" s="7">
        <v>76</v>
      </c>
      <c r="E3626" s="5">
        <f>XLOOKUP(G3626, item_category!C:C, item_category!B:B, "Not Found")</f>
      </c>
      <c r="F3626" s="1" t="s">
        <v>5632</v>
      </c>
      <c r="G3626" s="5">
        <f>XLOOKUP(I3626, drug!B:B, drug!A:A, "Not Found")</f>
      </c>
      <c r="H3626" s="1" t="s">
        <v>1552</v>
      </c>
      <c r="I3626" s="7">
        <v>1</v>
      </c>
      <c r="J3626" s="5">
        <f>XLOOKUP(L3626, uom!C:C, uom!B:B, "Not Found")</f>
      </c>
      <c r="K3626" s="1" t="s">
        <v>5511</v>
      </c>
      <c r="L3626" s="5">
        <f>XLOOKUP(N3626, uom!C:C, uom!B:B, "Not Found")</f>
      </c>
      <c r="M3626" s="1" t="s">
        <v>5511</v>
      </c>
      <c r="N3626" s="8" t="s">
        <v>5512</v>
      </c>
      <c r="O3626" s="1" t="s">
        <v>5513</v>
      </c>
      <c r="P3626" s="5">
        <f>XLOOKUP(R3626, classification!C:C, classification!B:B, "Not Found")</f>
      </c>
      <c r="Q3626" s="1" t="s">
        <v>5514</v>
      </c>
      <c r="R3626" s="2"/>
      <c r="S3626" s="2"/>
      <c r="T3626" s="2"/>
      <c r="U3626" s="2"/>
    </row>
    <row x14ac:dyDescent="0.25" r="3627" customHeight="1" ht="17.25">
      <c r="A3627" s="7">
        <v>3626</v>
      </c>
      <c r="B3627" s="1" t="s">
        <v>8939</v>
      </c>
      <c r="C3627" s="5">
        <f>CONCATENATE("PD", TEXT(A3627, "1000000"))</f>
      </c>
      <c r="D3627" s="7">
        <v>76</v>
      </c>
      <c r="E3627" s="5">
        <f>XLOOKUP(G3627, item_category!C:C, item_category!B:B, "Not Found")</f>
      </c>
      <c r="F3627" s="1" t="s">
        <v>5632</v>
      </c>
      <c r="G3627" s="5">
        <f>XLOOKUP(I3627, drug!B:B, drug!A:A, "Not Found")</f>
      </c>
      <c r="H3627" s="1" t="s">
        <v>1552</v>
      </c>
      <c r="I3627" s="7">
        <v>1</v>
      </c>
      <c r="J3627" s="5">
        <f>XLOOKUP(L3627, uom!C:C, uom!B:B, "Not Found")</f>
      </c>
      <c r="K3627" s="1" t="s">
        <v>5511</v>
      </c>
      <c r="L3627" s="5">
        <f>XLOOKUP(N3627, uom!C:C, uom!B:B, "Not Found")</f>
      </c>
      <c r="M3627" s="1" t="s">
        <v>5511</v>
      </c>
      <c r="N3627" s="8" t="s">
        <v>5512</v>
      </c>
      <c r="O3627" s="1" t="s">
        <v>5513</v>
      </c>
      <c r="P3627" s="5">
        <f>XLOOKUP(R3627, classification!C:C, classification!B:B, "Not Found")</f>
      </c>
      <c r="Q3627" s="1" t="s">
        <v>5514</v>
      </c>
      <c r="R3627" s="2"/>
      <c r="S3627" s="2"/>
      <c r="T3627" s="2"/>
      <c r="U3627" s="2"/>
    </row>
    <row x14ac:dyDescent="0.25" r="3628" customHeight="1" ht="17.25">
      <c r="A3628" s="7">
        <v>3627</v>
      </c>
      <c r="B3628" s="1" t="s">
        <v>8940</v>
      </c>
      <c r="C3628" s="5">
        <f>CONCATENATE("PD", TEXT(A3628, "1000000"))</f>
      </c>
      <c r="D3628" s="7">
        <v>76</v>
      </c>
      <c r="E3628" s="5">
        <f>XLOOKUP(G3628, item_category!C:C, item_category!B:B, "Not Found")</f>
      </c>
      <c r="F3628" s="1" t="s">
        <v>5632</v>
      </c>
      <c r="G3628" s="5">
        <f>XLOOKUP(I3628, drug!B:B, drug!A:A, "Not Found")</f>
      </c>
      <c r="H3628" s="1" t="s">
        <v>1552</v>
      </c>
      <c r="I3628" s="7">
        <v>1</v>
      </c>
      <c r="J3628" s="5">
        <f>XLOOKUP(L3628, uom!C:C, uom!B:B, "Not Found")</f>
      </c>
      <c r="K3628" s="1" t="s">
        <v>5511</v>
      </c>
      <c r="L3628" s="5">
        <f>XLOOKUP(N3628, uom!C:C, uom!B:B, "Not Found")</f>
      </c>
      <c r="M3628" s="1" t="s">
        <v>5511</v>
      </c>
      <c r="N3628" s="8" t="s">
        <v>5512</v>
      </c>
      <c r="O3628" s="1" t="s">
        <v>5513</v>
      </c>
      <c r="P3628" s="5">
        <f>XLOOKUP(R3628, classification!C:C, classification!B:B, "Not Found")</f>
      </c>
      <c r="Q3628" s="1" t="s">
        <v>5514</v>
      </c>
      <c r="R3628" s="2"/>
      <c r="S3628" s="2"/>
      <c r="T3628" s="2"/>
      <c r="U3628" s="2"/>
    </row>
    <row x14ac:dyDescent="0.25" r="3629" customHeight="1" ht="17.25">
      <c r="A3629" s="7">
        <v>3628</v>
      </c>
      <c r="B3629" s="1" t="s">
        <v>8941</v>
      </c>
      <c r="C3629" s="5">
        <f>CONCATENATE("PD", TEXT(A3629, "1000000"))</f>
      </c>
      <c r="D3629" s="7">
        <v>76</v>
      </c>
      <c r="E3629" s="5">
        <f>XLOOKUP(G3629, item_category!C:C, item_category!B:B, "Not Found")</f>
      </c>
      <c r="F3629" s="1" t="s">
        <v>5632</v>
      </c>
      <c r="G3629" s="5">
        <f>XLOOKUP(I3629, drug!B:B, drug!A:A, "Not Found")</f>
      </c>
      <c r="H3629" s="1" t="s">
        <v>1552</v>
      </c>
      <c r="I3629" s="7">
        <v>1</v>
      </c>
      <c r="J3629" s="5">
        <f>XLOOKUP(L3629, uom!C:C, uom!B:B, "Not Found")</f>
      </c>
      <c r="K3629" s="1" t="s">
        <v>5511</v>
      </c>
      <c r="L3629" s="5">
        <f>XLOOKUP(N3629, uom!C:C, uom!B:B, "Not Found")</f>
      </c>
      <c r="M3629" s="1" t="s">
        <v>5511</v>
      </c>
      <c r="N3629" s="8" t="s">
        <v>5512</v>
      </c>
      <c r="O3629" s="1" t="s">
        <v>5513</v>
      </c>
      <c r="P3629" s="5">
        <f>XLOOKUP(R3629, classification!C:C, classification!B:B, "Not Found")</f>
      </c>
      <c r="Q3629" s="1" t="s">
        <v>5514</v>
      </c>
      <c r="R3629" s="2"/>
      <c r="S3629" s="2"/>
      <c r="T3629" s="2"/>
      <c r="U3629" s="2"/>
    </row>
    <row x14ac:dyDescent="0.25" r="3630" customHeight="1" ht="17.25">
      <c r="A3630" s="7">
        <v>3629</v>
      </c>
      <c r="B3630" s="1" t="s">
        <v>8942</v>
      </c>
      <c r="C3630" s="5">
        <f>CONCATENATE("PD", TEXT(A3630, "1000000"))</f>
      </c>
      <c r="D3630" s="7">
        <v>76</v>
      </c>
      <c r="E3630" s="5">
        <f>XLOOKUP(G3630, item_category!C:C, item_category!B:B, "Not Found")</f>
      </c>
      <c r="F3630" s="1" t="s">
        <v>5632</v>
      </c>
      <c r="G3630" s="5">
        <f>XLOOKUP(I3630, drug!B:B, drug!A:A, "Not Found")</f>
      </c>
      <c r="H3630" s="1"/>
      <c r="I3630" s="7">
        <v>1</v>
      </c>
      <c r="J3630" s="5">
        <f>XLOOKUP(L3630, uom!C:C, uom!B:B, "Not Found")</f>
      </c>
      <c r="K3630" s="1" t="s">
        <v>5511</v>
      </c>
      <c r="L3630" s="5">
        <f>XLOOKUP(N3630, uom!C:C, uom!B:B, "Not Found")</f>
      </c>
      <c r="M3630" s="1" t="s">
        <v>5511</v>
      </c>
      <c r="N3630" s="8" t="s">
        <v>5512</v>
      </c>
      <c r="O3630" s="1" t="s">
        <v>5513</v>
      </c>
      <c r="P3630" s="5">
        <f>XLOOKUP(R3630, classification!C:C, classification!B:B, "Not Found")</f>
      </c>
      <c r="Q3630" s="1" t="s">
        <v>5514</v>
      </c>
      <c r="R3630" s="2"/>
      <c r="S3630" s="2"/>
      <c r="T3630" s="2"/>
      <c r="U3630" s="2"/>
    </row>
    <row x14ac:dyDescent="0.25" r="3631" customHeight="1" ht="17.25">
      <c r="A3631" s="7">
        <v>3630</v>
      </c>
      <c r="B3631" s="1" t="s">
        <v>8943</v>
      </c>
      <c r="C3631" s="5">
        <f>CONCATENATE("PD", TEXT(A3631, "1000000"))</f>
      </c>
      <c r="D3631" s="7">
        <v>8</v>
      </c>
      <c r="E3631" s="5">
        <f>XLOOKUP(G3631, item_category!C:C, item_category!B:B, "Not Found")</f>
      </c>
      <c r="F3631" s="1" t="s">
        <v>5517</v>
      </c>
      <c r="G3631" s="5">
        <f>XLOOKUP(I3631, drug!B:B, drug!A:A, "Not Found")</f>
      </c>
      <c r="H3631" s="1"/>
      <c r="I3631" s="7">
        <v>750</v>
      </c>
      <c r="J3631" s="5">
        <f>XLOOKUP(L3631, uom!C:C, uom!B:B, "Not Found")</f>
      </c>
      <c r="K3631" s="1" t="s">
        <v>5511</v>
      </c>
      <c r="L3631" s="5">
        <f>XLOOKUP(N3631, uom!C:C, uom!B:B, "Not Found")</f>
      </c>
      <c r="M3631" s="1" t="s">
        <v>5511</v>
      </c>
      <c r="N3631" s="8" t="s">
        <v>5512</v>
      </c>
      <c r="O3631" s="1" t="s">
        <v>5513</v>
      </c>
      <c r="P3631" s="5">
        <f>XLOOKUP(R3631, classification!C:C, classification!B:B, "Not Found")</f>
      </c>
      <c r="Q3631" s="1" t="s">
        <v>5514</v>
      </c>
      <c r="R3631" s="2"/>
      <c r="S3631" s="2"/>
      <c r="T3631" s="2"/>
      <c r="U3631" s="2"/>
    </row>
    <row x14ac:dyDescent="0.25" r="3632" customHeight="1" ht="17.25">
      <c r="A3632" s="7">
        <v>3631</v>
      </c>
      <c r="B3632" s="1" t="s">
        <v>8944</v>
      </c>
      <c r="C3632" s="5">
        <f>CONCATENATE("PD", TEXT(A3632, "1000000"))</f>
      </c>
      <c r="D3632" s="7">
        <v>76</v>
      </c>
      <c r="E3632" s="5">
        <f>XLOOKUP(G3632, item_category!C:C, item_category!B:B, "Not Found")</f>
      </c>
      <c r="F3632" s="1" t="s">
        <v>5632</v>
      </c>
      <c r="G3632" s="5">
        <f>XLOOKUP(I3632, drug!B:B, drug!A:A, "Not Found")</f>
      </c>
      <c r="H3632" s="1"/>
      <c r="I3632" s="7">
        <v>1</v>
      </c>
      <c r="J3632" s="5">
        <f>XLOOKUP(L3632, uom!C:C, uom!B:B, "Not Found")</f>
      </c>
      <c r="K3632" s="1" t="s">
        <v>5511</v>
      </c>
      <c r="L3632" s="5">
        <f>XLOOKUP(N3632, uom!C:C, uom!B:B, "Not Found")</f>
      </c>
      <c r="M3632" s="1" t="s">
        <v>5511</v>
      </c>
      <c r="N3632" s="8" t="s">
        <v>5524</v>
      </c>
      <c r="O3632" s="1" t="s">
        <v>5525</v>
      </c>
      <c r="P3632" s="5">
        <f>XLOOKUP(R3632, classification!C:C, classification!B:B, "Not Found")</f>
      </c>
      <c r="Q3632" s="1" t="s">
        <v>5514</v>
      </c>
      <c r="R3632" s="2"/>
      <c r="S3632" s="2"/>
      <c r="T3632" s="2"/>
      <c r="U3632" s="2"/>
    </row>
    <row x14ac:dyDescent="0.25" r="3633" customHeight="1" ht="17.25">
      <c r="A3633" s="7">
        <v>3632</v>
      </c>
      <c r="B3633" s="1" t="s">
        <v>8945</v>
      </c>
      <c r="C3633" s="5">
        <f>CONCATENATE("PD", TEXT(A3633, "1000000"))</f>
      </c>
      <c r="D3633" s="7">
        <v>8</v>
      </c>
      <c r="E3633" s="5">
        <f>XLOOKUP(G3633, item_category!C:C, item_category!B:B, "Not Found")</f>
      </c>
      <c r="F3633" s="1" t="s">
        <v>5517</v>
      </c>
      <c r="G3633" s="5">
        <f>XLOOKUP(I3633, drug!B:B, drug!A:A, "Not Found")</f>
      </c>
      <c r="H3633" s="1" t="s">
        <v>1942</v>
      </c>
      <c r="I3633" s="7">
        <v>14</v>
      </c>
      <c r="J3633" s="5">
        <f>XLOOKUP(L3633, uom!C:C, uom!B:B, "Not Found")</f>
      </c>
      <c r="K3633" s="1" t="s">
        <v>5511</v>
      </c>
      <c r="L3633" s="5">
        <f>XLOOKUP(N3633, uom!C:C, uom!B:B, "Not Found")</f>
      </c>
      <c r="M3633" s="1" t="s">
        <v>5511</v>
      </c>
      <c r="N3633" s="8" t="s">
        <v>5512</v>
      </c>
      <c r="O3633" s="1" t="s">
        <v>5513</v>
      </c>
      <c r="P3633" s="5">
        <f>XLOOKUP(R3633, classification!C:C, classification!B:B, "Not Found")</f>
      </c>
      <c r="Q3633" s="1" t="s">
        <v>5514</v>
      </c>
      <c r="R3633" s="2"/>
      <c r="S3633" s="2"/>
      <c r="T3633" s="2"/>
      <c r="U3633" s="2"/>
    </row>
    <row x14ac:dyDescent="0.25" r="3634" customHeight="1" ht="17.25">
      <c r="A3634" s="7">
        <v>3633</v>
      </c>
      <c r="B3634" s="1" t="s">
        <v>8946</v>
      </c>
      <c r="C3634" s="5">
        <f>CONCATENATE("PD", TEXT(A3634, "1000000"))</f>
      </c>
      <c r="D3634" s="7">
        <v>74</v>
      </c>
      <c r="E3634" s="5">
        <f>XLOOKUP(G3634, item_category!C:C, item_category!B:B, "Not Found")</f>
      </c>
      <c r="F3634" s="1" t="s">
        <v>5520</v>
      </c>
      <c r="G3634" s="5">
        <f>XLOOKUP(I3634, drug!B:B, drug!A:A, "Not Found")</f>
      </c>
      <c r="H3634" s="1"/>
      <c r="I3634" s="7">
        <v>1</v>
      </c>
      <c r="J3634" s="5">
        <f>XLOOKUP(L3634, uom!C:C, uom!B:B, "Not Found")</f>
      </c>
      <c r="K3634" s="1" t="s">
        <v>5511</v>
      </c>
      <c r="L3634" s="5">
        <f>XLOOKUP(N3634, uom!C:C, uom!B:B, "Not Found")</f>
      </c>
      <c r="M3634" s="1" t="s">
        <v>5511</v>
      </c>
      <c r="N3634" s="8" t="s">
        <v>5512</v>
      </c>
      <c r="O3634" s="1" t="s">
        <v>5513</v>
      </c>
      <c r="P3634" s="5">
        <f>XLOOKUP(R3634, classification!C:C, classification!B:B, "Not Found")</f>
      </c>
      <c r="Q3634" s="1" t="s">
        <v>5514</v>
      </c>
      <c r="R3634" s="2"/>
      <c r="S3634" s="2"/>
      <c r="T3634" s="2"/>
      <c r="U3634" s="2"/>
    </row>
    <row x14ac:dyDescent="0.25" r="3635" customHeight="1" ht="17.25">
      <c r="A3635" s="7">
        <v>3634</v>
      </c>
      <c r="B3635" s="1" t="s">
        <v>8947</v>
      </c>
      <c r="C3635" s="5">
        <f>CONCATENATE("PD", TEXT(A3635, "1000000"))</f>
      </c>
      <c r="D3635" s="7">
        <v>74</v>
      </c>
      <c r="E3635" s="5">
        <f>XLOOKUP(G3635, item_category!C:C, item_category!B:B, "Not Found")</f>
      </c>
      <c r="F3635" s="1" t="s">
        <v>5520</v>
      </c>
      <c r="G3635" s="5">
        <f>XLOOKUP(I3635, drug!B:B, drug!A:A, "Not Found")</f>
      </c>
      <c r="H3635" s="1"/>
      <c r="I3635" s="7">
        <v>1</v>
      </c>
      <c r="J3635" s="5">
        <f>XLOOKUP(L3635, uom!C:C, uom!B:B, "Not Found")</f>
      </c>
      <c r="K3635" s="1" t="s">
        <v>5511</v>
      </c>
      <c r="L3635" s="5">
        <f>XLOOKUP(N3635, uom!C:C, uom!B:B, "Not Found")</f>
      </c>
      <c r="M3635" s="1" t="s">
        <v>5511</v>
      </c>
      <c r="N3635" s="8" t="s">
        <v>5512</v>
      </c>
      <c r="O3635" s="1" t="s">
        <v>5513</v>
      </c>
      <c r="P3635" s="5">
        <f>XLOOKUP(R3635, classification!C:C, classification!B:B, "Not Found")</f>
      </c>
      <c r="Q3635" s="1" t="s">
        <v>5514</v>
      </c>
      <c r="R3635" s="2"/>
      <c r="S3635" s="2"/>
      <c r="T3635" s="2"/>
      <c r="U3635" s="2"/>
    </row>
    <row x14ac:dyDescent="0.25" r="3636" customHeight="1" ht="17.25">
      <c r="A3636" s="7">
        <v>3635</v>
      </c>
      <c r="B3636" s="1" t="s">
        <v>8948</v>
      </c>
      <c r="C3636" s="5">
        <f>CONCATENATE("PD", TEXT(A3636, "1000000"))</f>
      </c>
      <c r="D3636" s="7">
        <v>74</v>
      </c>
      <c r="E3636" s="5">
        <f>XLOOKUP(G3636, item_category!C:C, item_category!B:B, "Not Found")</f>
      </c>
      <c r="F3636" s="1" t="s">
        <v>5520</v>
      </c>
      <c r="G3636" s="5">
        <f>XLOOKUP(I3636, drug!B:B, drug!A:A, "Not Found")</f>
      </c>
      <c r="H3636" s="1"/>
      <c r="I3636" s="7">
        <v>1</v>
      </c>
      <c r="J3636" s="5">
        <f>XLOOKUP(L3636, uom!C:C, uom!B:B, "Not Found")</f>
      </c>
      <c r="K3636" s="1" t="s">
        <v>5511</v>
      </c>
      <c r="L3636" s="5">
        <f>XLOOKUP(N3636, uom!C:C, uom!B:B, "Not Found")</f>
      </c>
      <c r="M3636" s="1" t="s">
        <v>5511</v>
      </c>
      <c r="N3636" s="8" t="s">
        <v>5512</v>
      </c>
      <c r="O3636" s="1" t="s">
        <v>5513</v>
      </c>
      <c r="P3636" s="5">
        <f>XLOOKUP(R3636, classification!C:C, classification!B:B, "Not Found")</f>
      </c>
      <c r="Q3636" s="1" t="s">
        <v>5514</v>
      </c>
      <c r="R3636" s="2"/>
      <c r="S3636" s="2"/>
      <c r="T3636" s="2"/>
      <c r="U3636" s="2"/>
    </row>
    <row x14ac:dyDescent="0.25" r="3637" customHeight="1" ht="17.25">
      <c r="A3637" s="7">
        <v>3636</v>
      </c>
      <c r="B3637" s="1" t="s">
        <v>3458</v>
      </c>
      <c r="C3637" s="5">
        <f>CONCATENATE("PD", TEXT(A3637, "1000000"))</f>
      </c>
      <c r="D3637" s="7">
        <v>63</v>
      </c>
      <c r="E3637" s="5">
        <f>XLOOKUP(G3637, item_category!C:C, item_category!B:B, "Not Found")</f>
      </c>
      <c r="F3637" s="1" t="s">
        <v>3726</v>
      </c>
      <c r="G3637" s="5">
        <f>XLOOKUP(I3637, drug!B:B, drug!A:A, "Not Found")</f>
      </c>
      <c r="H3637" s="1"/>
      <c r="I3637" s="7">
        <v>1</v>
      </c>
      <c r="J3637" s="5">
        <f>XLOOKUP(L3637, uom!C:C, uom!B:B, "Not Found")</f>
      </c>
      <c r="K3637" s="1" t="s">
        <v>5511</v>
      </c>
      <c r="L3637" s="5">
        <f>XLOOKUP(N3637, uom!C:C, uom!B:B, "Not Found")</f>
      </c>
      <c r="M3637" s="1" t="s">
        <v>5511</v>
      </c>
      <c r="N3637" s="8" t="s">
        <v>5512</v>
      </c>
      <c r="O3637" s="1" t="s">
        <v>5513</v>
      </c>
      <c r="P3637" s="5">
        <f>XLOOKUP(R3637, classification!C:C, classification!B:B, "Not Found")</f>
      </c>
      <c r="Q3637" s="1" t="s">
        <v>5514</v>
      </c>
      <c r="R3637" s="2"/>
      <c r="S3637" s="2"/>
      <c r="T3637" s="2"/>
      <c r="U3637" s="2"/>
    </row>
    <row x14ac:dyDescent="0.25" r="3638" customHeight="1" ht="17.25">
      <c r="A3638" s="7">
        <v>3637</v>
      </c>
      <c r="B3638" s="1" t="s">
        <v>8949</v>
      </c>
      <c r="C3638" s="5">
        <f>CONCATENATE("PD", TEXT(A3638, "1000000"))</f>
      </c>
      <c r="D3638" s="7">
        <v>60</v>
      </c>
      <c r="E3638" s="5">
        <f>XLOOKUP(G3638, item_category!C:C, item_category!B:B, "Not Found")</f>
      </c>
      <c r="F3638" s="1" t="s">
        <v>5986</v>
      </c>
      <c r="G3638" s="5">
        <f>XLOOKUP(I3638, drug!B:B, drug!A:A, "Not Found")</f>
      </c>
      <c r="H3638" s="1"/>
      <c r="I3638" s="7">
        <v>1</v>
      </c>
      <c r="J3638" s="5">
        <f>XLOOKUP(L3638, uom!C:C, uom!B:B, "Not Found")</f>
      </c>
      <c r="K3638" s="1" t="s">
        <v>5511</v>
      </c>
      <c r="L3638" s="5">
        <f>XLOOKUP(N3638, uom!C:C, uom!B:B, "Not Found")</f>
      </c>
      <c r="M3638" s="1" t="s">
        <v>5511</v>
      </c>
      <c r="N3638" s="8" t="s">
        <v>5512</v>
      </c>
      <c r="O3638" s="1" t="s">
        <v>5513</v>
      </c>
      <c r="P3638" s="5">
        <f>XLOOKUP(R3638, classification!C:C, classification!B:B, "Not Found")</f>
      </c>
      <c r="Q3638" s="1" t="s">
        <v>5514</v>
      </c>
      <c r="R3638" s="2"/>
      <c r="S3638" s="2"/>
      <c r="T3638" s="2"/>
      <c r="U3638" s="2"/>
    </row>
    <row x14ac:dyDescent="0.25" r="3639" customHeight="1" ht="17.25">
      <c r="A3639" s="7">
        <v>3638</v>
      </c>
      <c r="B3639" s="1" t="s">
        <v>8950</v>
      </c>
      <c r="C3639" s="5">
        <f>CONCATENATE("PD", TEXT(A3639, "1000000"))</f>
      </c>
      <c r="D3639" s="7">
        <v>65</v>
      </c>
      <c r="E3639" s="5">
        <f>XLOOKUP(G3639, item_category!C:C, item_category!B:B, "Not Found")</f>
      </c>
      <c r="F3639" s="1" t="s">
        <v>6008</v>
      </c>
      <c r="G3639" s="5">
        <f>XLOOKUP(I3639, drug!B:B, drug!A:A, "Not Found")</f>
      </c>
      <c r="H3639" s="1" t="s">
        <v>83</v>
      </c>
      <c r="I3639" s="7">
        <v>1</v>
      </c>
      <c r="J3639" s="5">
        <f>XLOOKUP(L3639, uom!C:C, uom!B:B, "Not Found")</f>
      </c>
      <c r="K3639" s="1" t="s">
        <v>5511</v>
      </c>
      <c r="L3639" s="5">
        <f>XLOOKUP(N3639, uom!C:C, uom!B:B, "Not Found")</f>
      </c>
      <c r="M3639" s="1" t="s">
        <v>5511</v>
      </c>
      <c r="N3639" s="8" t="s">
        <v>5512</v>
      </c>
      <c r="O3639" s="1" t="s">
        <v>5513</v>
      </c>
      <c r="P3639" s="5">
        <f>XLOOKUP(R3639, classification!C:C, classification!B:B, "Not Found")</f>
      </c>
      <c r="Q3639" s="1" t="s">
        <v>5514</v>
      </c>
      <c r="R3639" s="2"/>
      <c r="S3639" s="2"/>
      <c r="T3639" s="2"/>
      <c r="U3639" s="2"/>
    </row>
    <row x14ac:dyDescent="0.25" r="3640" customHeight="1" ht="17.25">
      <c r="A3640" s="7">
        <v>3639</v>
      </c>
      <c r="B3640" s="1" t="s">
        <v>8951</v>
      </c>
      <c r="C3640" s="5">
        <f>CONCATENATE("PD", TEXT(A3640, "1000000"))</f>
      </c>
      <c r="D3640" s="7">
        <v>65</v>
      </c>
      <c r="E3640" s="5">
        <f>XLOOKUP(G3640, item_category!C:C, item_category!B:B, "Not Found")</f>
      </c>
      <c r="F3640" s="1" t="s">
        <v>6008</v>
      </c>
      <c r="G3640" s="5">
        <f>XLOOKUP(I3640, drug!B:B, drug!A:A, "Not Found")</f>
      </c>
      <c r="H3640" s="1"/>
      <c r="I3640" s="7">
        <v>1</v>
      </c>
      <c r="J3640" s="5">
        <f>XLOOKUP(L3640, uom!C:C, uom!B:B, "Not Found")</f>
      </c>
      <c r="K3640" s="1" t="s">
        <v>5511</v>
      </c>
      <c r="L3640" s="5">
        <f>XLOOKUP(N3640, uom!C:C, uom!B:B, "Not Found")</f>
      </c>
      <c r="M3640" s="1" t="s">
        <v>5511</v>
      </c>
      <c r="N3640" s="8" t="s">
        <v>5512</v>
      </c>
      <c r="O3640" s="1" t="s">
        <v>5513</v>
      </c>
      <c r="P3640" s="5">
        <f>XLOOKUP(R3640, classification!C:C, classification!B:B, "Not Found")</f>
      </c>
      <c r="Q3640" s="1" t="s">
        <v>5514</v>
      </c>
      <c r="R3640" s="2"/>
      <c r="S3640" s="2"/>
      <c r="T3640" s="2"/>
      <c r="U3640" s="2"/>
    </row>
    <row x14ac:dyDescent="0.25" r="3641" customHeight="1" ht="17.25">
      <c r="A3641" s="7">
        <v>3640</v>
      </c>
      <c r="B3641" s="1" t="s">
        <v>8952</v>
      </c>
      <c r="C3641" s="5">
        <f>CONCATENATE("PD", TEXT(A3641, "1000000"))</f>
      </c>
      <c r="D3641" s="7">
        <v>65</v>
      </c>
      <c r="E3641" s="5">
        <f>XLOOKUP(G3641, item_category!C:C, item_category!B:B, "Not Found")</f>
      </c>
      <c r="F3641" s="1" t="s">
        <v>6008</v>
      </c>
      <c r="G3641" s="5">
        <f>XLOOKUP(I3641, drug!B:B, drug!A:A, "Not Found")</f>
      </c>
      <c r="H3641" s="1" t="s">
        <v>272</v>
      </c>
      <c r="I3641" s="7">
        <v>1</v>
      </c>
      <c r="J3641" s="5">
        <f>XLOOKUP(L3641, uom!C:C, uom!B:B, "Not Found")</f>
      </c>
      <c r="K3641" s="1" t="s">
        <v>5511</v>
      </c>
      <c r="L3641" s="5">
        <f>XLOOKUP(N3641, uom!C:C, uom!B:B, "Not Found")</f>
      </c>
      <c r="M3641" s="1" t="s">
        <v>5511</v>
      </c>
      <c r="N3641" s="8" t="s">
        <v>5512</v>
      </c>
      <c r="O3641" s="1" t="s">
        <v>5513</v>
      </c>
      <c r="P3641" s="5">
        <f>XLOOKUP(R3641, classification!C:C, classification!B:B, "Not Found")</f>
      </c>
      <c r="Q3641" s="1" t="s">
        <v>5514</v>
      </c>
      <c r="R3641" s="2"/>
      <c r="S3641" s="2"/>
      <c r="T3641" s="2"/>
      <c r="U3641" s="2"/>
    </row>
    <row x14ac:dyDescent="0.25" r="3642" customHeight="1" ht="17.25">
      <c r="A3642" s="7">
        <v>3641</v>
      </c>
      <c r="B3642" s="1" t="s">
        <v>8953</v>
      </c>
      <c r="C3642" s="5">
        <f>CONCATENATE("PD", TEXT(A3642, "1000000"))</f>
      </c>
      <c r="D3642" s="7">
        <v>65</v>
      </c>
      <c r="E3642" s="5">
        <f>XLOOKUP(G3642, item_category!C:C, item_category!B:B, "Not Found")</f>
      </c>
      <c r="F3642" s="1" t="s">
        <v>6008</v>
      </c>
      <c r="G3642" s="5">
        <f>XLOOKUP(I3642, drug!B:B, drug!A:A, "Not Found")</f>
      </c>
      <c r="H3642" s="1" t="s">
        <v>631</v>
      </c>
      <c r="I3642" s="7">
        <v>1</v>
      </c>
      <c r="J3642" s="5">
        <f>XLOOKUP(L3642, uom!C:C, uom!B:B, "Not Found")</f>
      </c>
      <c r="K3642" s="1" t="s">
        <v>5511</v>
      </c>
      <c r="L3642" s="5">
        <f>XLOOKUP(N3642, uom!C:C, uom!B:B, "Not Found")</f>
      </c>
      <c r="M3642" s="1" t="s">
        <v>5511</v>
      </c>
      <c r="N3642" s="8" t="s">
        <v>5512</v>
      </c>
      <c r="O3642" s="1" t="s">
        <v>5513</v>
      </c>
      <c r="P3642" s="5">
        <f>XLOOKUP(R3642, classification!C:C, classification!B:B, "Not Found")</f>
      </c>
      <c r="Q3642" s="1" t="s">
        <v>5514</v>
      </c>
      <c r="R3642" s="2"/>
      <c r="S3642" s="2"/>
      <c r="T3642" s="2"/>
      <c r="U3642" s="2"/>
    </row>
    <row x14ac:dyDescent="0.25" r="3643" customHeight="1" ht="17.25">
      <c r="A3643" s="7">
        <v>3642</v>
      </c>
      <c r="B3643" s="1" t="s">
        <v>8954</v>
      </c>
      <c r="C3643" s="5">
        <f>CONCATENATE("PD", TEXT(A3643, "1000000"))</f>
      </c>
      <c r="D3643" s="7">
        <v>67</v>
      </c>
      <c r="E3643" s="5">
        <f>XLOOKUP(G3643, item_category!C:C, item_category!B:B, "Not Found")</f>
      </c>
      <c r="F3643" s="1" t="s">
        <v>5516</v>
      </c>
      <c r="G3643" s="5">
        <f>XLOOKUP(I3643, drug!B:B, drug!A:A, "Not Found")</f>
      </c>
      <c r="H3643" s="1"/>
      <c r="I3643" s="7">
        <v>1</v>
      </c>
      <c r="J3643" s="5">
        <f>XLOOKUP(L3643, uom!C:C, uom!B:B, "Not Found")</f>
      </c>
      <c r="K3643" s="1" t="s">
        <v>5511</v>
      </c>
      <c r="L3643" s="5">
        <f>XLOOKUP(N3643, uom!C:C, uom!B:B, "Not Found")</f>
      </c>
      <c r="M3643" s="1" t="s">
        <v>5511</v>
      </c>
      <c r="N3643" s="8" t="s">
        <v>5512</v>
      </c>
      <c r="O3643" s="1" t="s">
        <v>5513</v>
      </c>
      <c r="P3643" s="5">
        <f>XLOOKUP(R3643, classification!C:C, classification!B:B, "Not Found")</f>
      </c>
      <c r="Q3643" s="1" t="s">
        <v>5514</v>
      </c>
      <c r="R3643" s="2"/>
      <c r="S3643" s="2"/>
      <c r="T3643" s="2"/>
      <c r="U3643" s="2"/>
    </row>
    <row x14ac:dyDescent="0.25" r="3644" customHeight="1" ht="17.25">
      <c r="A3644" s="7">
        <v>3643</v>
      </c>
      <c r="B3644" s="1" t="s">
        <v>8955</v>
      </c>
      <c r="C3644" s="5">
        <f>CONCATENATE("PD", TEXT(A3644, "1000000"))</f>
      </c>
      <c r="D3644" s="7">
        <v>59</v>
      </c>
      <c r="E3644" s="5">
        <f>XLOOKUP(G3644, item_category!C:C, item_category!B:B, "Not Found")</f>
      </c>
      <c r="F3644" s="1" t="s">
        <v>5527</v>
      </c>
      <c r="G3644" s="5">
        <f>XLOOKUP(I3644, drug!B:B, drug!A:A, "Not Found")</f>
      </c>
      <c r="H3644" s="1" t="s">
        <v>373</v>
      </c>
      <c r="I3644" s="7">
        <v>1</v>
      </c>
      <c r="J3644" s="5">
        <f>XLOOKUP(L3644, uom!C:C, uom!B:B, "Not Found")</f>
      </c>
      <c r="K3644" s="1" t="s">
        <v>5511</v>
      </c>
      <c r="L3644" s="5">
        <f>XLOOKUP(N3644, uom!C:C, uom!B:B, "Not Found")</f>
      </c>
      <c r="M3644" s="1" t="s">
        <v>5511</v>
      </c>
      <c r="N3644" s="8" t="s">
        <v>5512</v>
      </c>
      <c r="O3644" s="1" t="s">
        <v>5513</v>
      </c>
      <c r="P3644" s="5">
        <f>XLOOKUP(R3644, classification!C:C, classification!B:B, "Not Found")</f>
      </c>
      <c r="Q3644" s="1" t="s">
        <v>5514</v>
      </c>
      <c r="R3644" s="2"/>
      <c r="S3644" s="2"/>
      <c r="T3644" s="2"/>
      <c r="U3644" s="2"/>
    </row>
    <row x14ac:dyDescent="0.25" r="3645" customHeight="1" ht="17.25">
      <c r="A3645" s="7">
        <v>3644</v>
      </c>
      <c r="B3645" s="1" t="s">
        <v>8956</v>
      </c>
      <c r="C3645" s="5">
        <f>CONCATENATE("PD", TEXT(A3645, "1000000"))</f>
      </c>
      <c r="D3645" s="7">
        <v>59</v>
      </c>
      <c r="E3645" s="5">
        <f>XLOOKUP(G3645, item_category!C:C, item_category!B:B, "Not Found")</f>
      </c>
      <c r="F3645" s="1" t="s">
        <v>5527</v>
      </c>
      <c r="G3645" s="5">
        <f>XLOOKUP(I3645, drug!B:B, drug!A:A, "Not Found")</f>
      </c>
      <c r="H3645" s="1"/>
      <c r="I3645" s="7">
        <v>1</v>
      </c>
      <c r="J3645" s="5">
        <f>XLOOKUP(L3645, uom!C:C, uom!B:B, "Not Found")</f>
      </c>
      <c r="K3645" s="1" t="s">
        <v>5511</v>
      </c>
      <c r="L3645" s="5">
        <f>XLOOKUP(N3645, uom!C:C, uom!B:B, "Not Found")</f>
      </c>
      <c r="M3645" s="1" t="s">
        <v>5511</v>
      </c>
      <c r="N3645" s="8" t="s">
        <v>5512</v>
      </c>
      <c r="O3645" s="1" t="s">
        <v>5513</v>
      </c>
      <c r="P3645" s="5">
        <f>XLOOKUP(R3645, classification!C:C, classification!B:B, "Not Found")</f>
      </c>
      <c r="Q3645" s="1" t="s">
        <v>5514</v>
      </c>
      <c r="R3645" s="2"/>
      <c r="S3645" s="2"/>
      <c r="T3645" s="2"/>
      <c r="U3645" s="2"/>
    </row>
    <row x14ac:dyDescent="0.25" r="3646" customHeight="1" ht="17.25">
      <c r="A3646" s="7">
        <v>3645</v>
      </c>
      <c r="B3646" s="1" t="s">
        <v>8957</v>
      </c>
      <c r="C3646" s="5">
        <f>CONCATENATE("PD", TEXT(A3646, "1000000"))</f>
      </c>
      <c r="D3646" s="7">
        <v>59</v>
      </c>
      <c r="E3646" s="5">
        <f>XLOOKUP(G3646, item_category!C:C, item_category!B:B, "Not Found")</f>
      </c>
      <c r="F3646" s="1" t="s">
        <v>5527</v>
      </c>
      <c r="G3646" s="5">
        <f>XLOOKUP(I3646, drug!B:B, drug!A:A, "Not Found")</f>
      </c>
      <c r="H3646" s="1" t="s">
        <v>1532</v>
      </c>
      <c r="I3646" s="7">
        <v>1</v>
      </c>
      <c r="J3646" s="5">
        <f>XLOOKUP(L3646, uom!C:C, uom!B:B, "Not Found")</f>
      </c>
      <c r="K3646" s="1" t="s">
        <v>5511</v>
      </c>
      <c r="L3646" s="5">
        <f>XLOOKUP(N3646, uom!C:C, uom!B:B, "Not Found")</f>
      </c>
      <c r="M3646" s="1" t="s">
        <v>5511</v>
      </c>
      <c r="N3646" s="8" t="s">
        <v>5512</v>
      </c>
      <c r="O3646" s="1" t="s">
        <v>5513</v>
      </c>
      <c r="P3646" s="5">
        <f>XLOOKUP(R3646, classification!C:C, classification!B:B, "Not Found")</f>
      </c>
      <c r="Q3646" s="1" t="s">
        <v>5514</v>
      </c>
      <c r="R3646" s="2"/>
      <c r="S3646" s="2"/>
      <c r="T3646" s="2"/>
      <c r="U3646" s="2"/>
    </row>
    <row x14ac:dyDescent="0.25" r="3647" customHeight="1" ht="17.25">
      <c r="A3647" s="7">
        <v>3646</v>
      </c>
      <c r="B3647" s="1" t="s">
        <v>8958</v>
      </c>
      <c r="C3647" s="5">
        <f>CONCATENATE("PD", TEXT(A3647, "1000000"))</f>
      </c>
      <c r="D3647" s="7">
        <v>66</v>
      </c>
      <c r="E3647" s="5">
        <f>XLOOKUP(G3647, item_category!C:C, item_category!B:B, "Not Found")</f>
      </c>
      <c r="F3647" s="1" t="s">
        <v>5617</v>
      </c>
      <c r="G3647" s="5">
        <f>XLOOKUP(I3647, drug!B:B, drug!A:A, "Not Found")</f>
      </c>
      <c r="H3647" s="1" t="s">
        <v>1772</v>
      </c>
      <c r="I3647" s="7">
        <v>1</v>
      </c>
      <c r="J3647" s="5">
        <f>XLOOKUP(L3647, uom!C:C, uom!B:B, "Not Found")</f>
      </c>
      <c r="K3647" s="1" t="s">
        <v>5511</v>
      </c>
      <c r="L3647" s="5">
        <f>XLOOKUP(N3647, uom!C:C, uom!B:B, "Not Found")</f>
      </c>
      <c r="M3647" s="1" t="s">
        <v>5511</v>
      </c>
      <c r="N3647" s="8" t="s">
        <v>5512</v>
      </c>
      <c r="O3647" s="1" t="s">
        <v>5513</v>
      </c>
      <c r="P3647" s="5">
        <f>XLOOKUP(R3647, classification!C:C, classification!B:B, "Not Found")</f>
      </c>
      <c r="Q3647" s="1" t="s">
        <v>5514</v>
      </c>
      <c r="R3647" s="2"/>
      <c r="S3647" s="2"/>
      <c r="T3647" s="2"/>
      <c r="U3647" s="2"/>
    </row>
    <row x14ac:dyDescent="0.25" r="3648" customHeight="1" ht="17.25">
      <c r="A3648" s="7">
        <v>3647</v>
      </c>
      <c r="B3648" s="1" t="s">
        <v>3460</v>
      </c>
      <c r="C3648" s="5">
        <f>CONCATENATE("PD", TEXT(A3648, "1000000"))</f>
      </c>
      <c r="D3648" s="7">
        <v>74</v>
      </c>
      <c r="E3648" s="5">
        <f>XLOOKUP(G3648, item_category!C:C, item_category!B:B, "Not Found")</f>
      </c>
      <c r="F3648" s="1" t="s">
        <v>5520</v>
      </c>
      <c r="G3648" s="5">
        <f>XLOOKUP(I3648, drug!B:B, drug!A:A, "Not Found")</f>
      </c>
      <c r="H3648" s="1"/>
      <c r="I3648" s="7">
        <v>1</v>
      </c>
      <c r="J3648" s="5">
        <f>XLOOKUP(L3648, uom!C:C, uom!B:B, "Not Found")</f>
      </c>
      <c r="K3648" s="1" t="s">
        <v>5511</v>
      </c>
      <c r="L3648" s="5">
        <f>XLOOKUP(N3648, uom!C:C, uom!B:B, "Not Found")</f>
      </c>
      <c r="M3648" s="1" t="s">
        <v>5511</v>
      </c>
      <c r="N3648" s="8" t="s">
        <v>5512</v>
      </c>
      <c r="O3648" s="1" t="s">
        <v>5513</v>
      </c>
      <c r="P3648" s="5">
        <f>XLOOKUP(R3648, classification!C:C, classification!B:B, "Not Found")</f>
      </c>
      <c r="Q3648" s="1" t="s">
        <v>5514</v>
      </c>
      <c r="R3648" s="2"/>
      <c r="S3648" s="2"/>
      <c r="T3648" s="2"/>
      <c r="U3648" s="2"/>
    </row>
    <row x14ac:dyDescent="0.25" r="3649" customHeight="1" ht="17.25">
      <c r="A3649" s="7">
        <v>3648</v>
      </c>
      <c r="B3649" s="1" t="s">
        <v>8959</v>
      </c>
      <c r="C3649" s="5">
        <f>CONCATENATE("PD", TEXT(A3649, "1000000"))</f>
      </c>
      <c r="D3649" s="7">
        <v>76</v>
      </c>
      <c r="E3649" s="5">
        <f>XLOOKUP(G3649, item_category!C:C, item_category!B:B, "Not Found")</f>
      </c>
      <c r="F3649" s="1" t="s">
        <v>5632</v>
      </c>
      <c r="G3649" s="5">
        <f>XLOOKUP(I3649, drug!B:B, drug!A:A, "Not Found")</f>
      </c>
      <c r="H3649" s="1"/>
      <c r="I3649" s="7">
        <v>1</v>
      </c>
      <c r="J3649" s="5">
        <f>XLOOKUP(L3649, uom!C:C, uom!B:B, "Not Found")</f>
      </c>
      <c r="K3649" s="1" t="s">
        <v>5511</v>
      </c>
      <c r="L3649" s="5">
        <f>XLOOKUP(N3649, uom!C:C, uom!B:B, "Not Found")</f>
      </c>
      <c r="M3649" s="1" t="s">
        <v>5511</v>
      </c>
      <c r="N3649" s="8" t="s">
        <v>5512</v>
      </c>
      <c r="O3649" s="1" t="s">
        <v>5513</v>
      </c>
      <c r="P3649" s="5">
        <f>XLOOKUP(R3649, classification!C:C, classification!B:B, "Not Found")</f>
      </c>
      <c r="Q3649" s="1" t="s">
        <v>5514</v>
      </c>
      <c r="R3649" s="2"/>
      <c r="S3649" s="2"/>
      <c r="T3649" s="2"/>
      <c r="U3649" s="2"/>
    </row>
    <row x14ac:dyDescent="0.25" r="3650" customHeight="1" ht="17.25">
      <c r="A3650" s="7">
        <v>3649</v>
      </c>
      <c r="B3650" s="1" t="s">
        <v>8960</v>
      </c>
      <c r="C3650" s="5">
        <f>CONCATENATE("PD", TEXT(A3650, "1000000"))</f>
      </c>
      <c r="D3650" s="7">
        <v>76</v>
      </c>
      <c r="E3650" s="5">
        <f>XLOOKUP(G3650, item_category!C:C, item_category!B:B, "Not Found")</f>
      </c>
      <c r="F3650" s="1" t="s">
        <v>5632</v>
      </c>
      <c r="G3650" s="5">
        <f>XLOOKUP(I3650, drug!B:B, drug!A:A, "Not Found")</f>
      </c>
      <c r="H3650" s="1"/>
      <c r="I3650" s="7">
        <v>1</v>
      </c>
      <c r="J3650" s="5">
        <f>XLOOKUP(L3650, uom!C:C, uom!B:B, "Not Found")</f>
      </c>
      <c r="K3650" s="1" t="s">
        <v>5511</v>
      </c>
      <c r="L3650" s="5">
        <f>XLOOKUP(N3650, uom!C:C, uom!B:B, "Not Found")</f>
      </c>
      <c r="M3650" s="1" t="s">
        <v>5511</v>
      </c>
      <c r="N3650" s="8" t="s">
        <v>5512</v>
      </c>
      <c r="O3650" s="1" t="s">
        <v>5513</v>
      </c>
      <c r="P3650" s="5">
        <f>XLOOKUP(R3650, classification!C:C, classification!B:B, "Not Found")</f>
      </c>
      <c r="Q3650" s="1" t="s">
        <v>5514</v>
      </c>
      <c r="R3650" s="2"/>
      <c r="S3650" s="2"/>
      <c r="T3650" s="2"/>
      <c r="U3650" s="2"/>
    </row>
    <row x14ac:dyDescent="0.25" r="3651" customHeight="1" ht="17.25">
      <c r="A3651" s="7">
        <v>3650</v>
      </c>
      <c r="B3651" s="1" t="s">
        <v>8961</v>
      </c>
      <c r="C3651" s="5">
        <f>CONCATENATE("PD", TEXT(A3651, "1000000"))</f>
      </c>
      <c r="D3651" s="7">
        <v>76</v>
      </c>
      <c r="E3651" s="5">
        <f>XLOOKUP(G3651, item_category!C:C, item_category!B:B, "Not Found")</f>
      </c>
      <c r="F3651" s="1" t="s">
        <v>5632</v>
      </c>
      <c r="G3651" s="5">
        <f>XLOOKUP(I3651, drug!B:B, drug!A:A, "Not Found")</f>
      </c>
      <c r="H3651" s="1"/>
      <c r="I3651" s="7">
        <v>1</v>
      </c>
      <c r="J3651" s="5">
        <f>XLOOKUP(L3651, uom!C:C, uom!B:B, "Not Found")</f>
      </c>
      <c r="K3651" s="1" t="s">
        <v>5511</v>
      </c>
      <c r="L3651" s="5">
        <f>XLOOKUP(N3651, uom!C:C, uom!B:B, "Not Found")</f>
      </c>
      <c r="M3651" s="1" t="s">
        <v>5511</v>
      </c>
      <c r="N3651" s="8" t="s">
        <v>5512</v>
      </c>
      <c r="O3651" s="1" t="s">
        <v>5513</v>
      </c>
      <c r="P3651" s="5">
        <f>XLOOKUP(R3651, classification!C:C, classification!B:B, "Not Found")</f>
      </c>
      <c r="Q3651" s="1" t="s">
        <v>5514</v>
      </c>
      <c r="R3651" s="2"/>
      <c r="S3651" s="2"/>
      <c r="T3651" s="2"/>
      <c r="U3651" s="2"/>
    </row>
    <row x14ac:dyDescent="0.25" r="3652" customHeight="1" ht="17.25">
      <c r="A3652" s="7">
        <v>3651</v>
      </c>
      <c r="B3652" s="1" t="s">
        <v>8962</v>
      </c>
      <c r="C3652" s="5">
        <f>CONCATENATE("PD", TEXT(A3652, "1000000"))</f>
      </c>
      <c r="D3652" s="7">
        <v>76</v>
      </c>
      <c r="E3652" s="5">
        <f>XLOOKUP(G3652, item_category!C:C, item_category!B:B, "Not Found")</f>
      </c>
      <c r="F3652" s="1" t="s">
        <v>5632</v>
      </c>
      <c r="G3652" s="5">
        <f>XLOOKUP(I3652, drug!B:B, drug!A:A, "Not Found")</f>
      </c>
      <c r="H3652" s="1"/>
      <c r="I3652" s="7">
        <v>1</v>
      </c>
      <c r="J3652" s="5">
        <f>XLOOKUP(L3652, uom!C:C, uom!B:B, "Not Found")</f>
      </c>
      <c r="K3652" s="1" t="s">
        <v>5511</v>
      </c>
      <c r="L3652" s="5">
        <f>XLOOKUP(N3652, uom!C:C, uom!B:B, "Not Found")</f>
      </c>
      <c r="M3652" s="1" t="s">
        <v>5511</v>
      </c>
      <c r="N3652" s="8" t="s">
        <v>5512</v>
      </c>
      <c r="O3652" s="1" t="s">
        <v>5513</v>
      </c>
      <c r="P3652" s="5">
        <f>XLOOKUP(R3652, classification!C:C, classification!B:B, "Not Found")</f>
      </c>
      <c r="Q3652" s="1" t="s">
        <v>5514</v>
      </c>
      <c r="R3652" s="2"/>
      <c r="S3652" s="2"/>
      <c r="T3652" s="2"/>
      <c r="U3652" s="2"/>
    </row>
    <row x14ac:dyDescent="0.25" r="3653" customHeight="1" ht="17.25">
      <c r="A3653" s="7">
        <v>3652</v>
      </c>
      <c r="B3653" s="1" t="s">
        <v>8963</v>
      </c>
      <c r="C3653" s="5">
        <f>CONCATENATE("PD", TEXT(A3653, "1000000"))</f>
      </c>
      <c r="D3653" s="7">
        <v>76</v>
      </c>
      <c r="E3653" s="5">
        <f>XLOOKUP(G3653, item_category!C:C, item_category!B:B, "Not Found")</f>
      </c>
      <c r="F3653" s="1" t="s">
        <v>5632</v>
      </c>
      <c r="G3653" s="5">
        <f>XLOOKUP(I3653, drug!B:B, drug!A:A, "Not Found")</f>
      </c>
      <c r="H3653" s="1"/>
      <c r="I3653" s="7">
        <v>1</v>
      </c>
      <c r="J3653" s="5">
        <f>XLOOKUP(L3653, uom!C:C, uom!B:B, "Not Found")</f>
      </c>
      <c r="K3653" s="1" t="s">
        <v>5511</v>
      </c>
      <c r="L3653" s="5">
        <f>XLOOKUP(N3653, uom!C:C, uom!B:B, "Not Found")</f>
      </c>
      <c r="M3653" s="1" t="s">
        <v>5511</v>
      </c>
      <c r="N3653" s="8" t="s">
        <v>5512</v>
      </c>
      <c r="O3653" s="1" t="s">
        <v>5513</v>
      </c>
      <c r="P3653" s="5">
        <f>XLOOKUP(R3653, classification!C:C, classification!B:B, "Not Found")</f>
      </c>
      <c r="Q3653" s="1" t="s">
        <v>5514</v>
      </c>
      <c r="R3653" s="2"/>
      <c r="S3653" s="2"/>
      <c r="T3653" s="2"/>
      <c r="U3653" s="2"/>
    </row>
    <row x14ac:dyDescent="0.25" r="3654" customHeight="1" ht="17.25">
      <c r="A3654" s="7">
        <v>3653</v>
      </c>
      <c r="B3654" s="1" t="s">
        <v>8964</v>
      </c>
      <c r="C3654" s="5">
        <f>CONCATENATE("PD", TEXT(A3654, "1000000"))</f>
      </c>
      <c r="D3654" s="7">
        <v>76</v>
      </c>
      <c r="E3654" s="5">
        <f>XLOOKUP(G3654, item_category!C:C, item_category!B:B, "Not Found")</f>
      </c>
      <c r="F3654" s="1" t="s">
        <v>5632</v>
      </c>
      <c r="G3654" s="5">
        <f>XLOOKUP(I3654, drug!B:B, drug!A:A, "Not Found")</f>
      </c>
      <c r="H3654" s="1"/>
      <c r="I3654" s="7">
        <v>1</v>
      </c>
      <c r="J3654" s="5">
        <f>XLOOKUP(L3654, uom!C:C, uom!B:B, "Not Found")</f>
      </c>
      <c r="K3654" s="1" t="s">
        <v>5511</v>
      </c>
      <c r="L3654" s="5">
        <f>XLOOKUP(N3654, uom!C:C, uom!B:B, "Not Found")</f>
      </c>
      <c r="M3654" s="1" t="s">
        <v>5511</v>
      </c>
      <c r="N3654" s="8" t="s">
        <v>5512</v>
      </c>
      <c r="O3654" s="1" t="s">
        <v>5513</v>
      </c>
      <c r="P3654" s="5">
        <f>XLOOKUP(R3654, classification!C:C, classification!B:B, "Not Found")</f>
      </c>
      <c r="Q3654" s="1" t="s">
        <v>5514</v>
      </c>
      <c r="R3654" s="2"/>
      <c r="S3654" s="2"/>
      <c r="T3654" s="2"/>
      <c r="U3654" s="2"/>
    </row>
    <row x14ac:dyDescent="0.25" r="3655" customHeight="1" ht="17.25">
      <c r="A3655" s="7">
        <v>3654</v>
      </c>
      <c r="B3655" s="1" t="s">
        <v>8965</v>
      </c>
      <c r="C3655" s="5">
        <f>CONCATENATE("PD", TEXT(A3655, "1000000"))</f>
      </c>
      <c r="D3655" s="7">
        <v>76</v>
      </c>
      <c r="E3655" s="5">
        <f>XLOOKUP(G3655, item_category!C:C, item_category!B:B, "Not Found")</f>
      </c>
      <c r="F3655" s="1" t="s">
        <v>5632</v>
      </c>
      <c r="G3655" s="5">
        <f>XLOOKUP(I3655, drug!B:B, drug!A:A, "Not Found")</f>
      </c>
      <c r="H3655" s="1"/>
      <c r="I3655" s="7">
        <v>1</v>
      </c>
      <c r="J3655" s="5">
        <f>XLOOKUP(L3655, uom!C:C, uom!B:B, "Not Found")</f>
      </c>
      <c r="K3655" s="1" t="s">
        <v>5511</v>
      </c>
      <c r="L3655" s="5">
        <f>XLOOKUP(N3655, uom!C:C, uom!B:B, "Not Found")</f>
      </c>
      <c r="M3655" s="1" t="s">
        <v>5511</v>
      </c>
      <c r="N3655" s="8" t="s">
        <v>5512</v>
      </c>
      <c r="O3655" s="1" t="s">
        <v>5513</v>
      </c>
      <c r="P3655" s="5">
        <f>XLOOKUP(R3655, classification!C:C, classification!B:B, "Not Found")</f>
      </c>
      <c r="Q3655" s="1" t="s">
        <v>5514</v>
      </c>
      <c r="R3655" s="2"/>
      <c r="S3655" s="2"/>
      <c r="T3655" s="2"/>
      <c r="U3655" s="2"/>
    </row>
    <row x14ac:dyDescent="0.25" r="3656" customHeight="1" ht="17.25">
      <c r="A3656" s="7">
        <v>3655</v>
      </c>
      <c r="B3656" s="1" t="s">
        <v>8966</v>
      </c>
      <c r="C3656" s="5">
        <f>CONCATENATE("PD", TEXT(A3656, "1000000"))</f>
      </c>
      <c r="D3656" s="7">
        <v>76</v>
      </c>
      <c r="E3656" s="5">
        <f>XLOOKUP(G3656, item_category!C:C, item_category!B:B, "Not Found")</f>
      </c>
      <c r="F3656" s="1" t="s">
        <v>5632</v>
      </c>
      <c r="G3656" s="5">
        <f>XLOOKUP(I3656, drug!B:B, drug!A:A, "Not Found")</f>
      </c>
      <c r="H3656" s="1" t="s">
        <v>1552</v>
      </c>
      <c r="I3656" s="7">
        <v>1</v>
      </c>
      <c r="J3656" s="5">
        <f>XLOOKUP(L3656, uom!C:C, uom!B:B, "Not Found")</f>
      </c>
      <c r="K3656" s="1" t="s">
        <v>5511</v>
      </c>
      <c r="L3656" s="5">
        <f>XLOOKUP(N3656, uom!C:C, uom!B:B, "Not Found")</f>
      </c>
      <c r="M3656" s="1" t="s">
        <v>5511</v>
      </c>
      <c r="N3656" s="8" t="s">
        <v>5512</v>
      </c>
      <c r="O3656" s="1" t="s">
        <v>5513</v>
      </c>
      <c r="P3656" s="5">
        <f>XLOOKUP(R3656, classification!C:C, classification!B:B, "Not Found")</f>
      </c>
      <c r="Q3656" s="1" t="s">
        <v>5514</v>
      </c>
      <c r="R3656" s="2"/>
      <c r="S3656" s="2"/>
      <c r="T3656" s="2"/>
      <c r="U3656" s="2"/>
    </row>
    <row x14ac:dyDescent="0.25" r="3657" customHeight="1" ht="17.25">
      <c r="A3657" s="7">
        <v>3656</v>
      </c>
      <c r="B3657" s="1" t="s">
        <v>8967</v>
      </c>
      <c r="C3657" s="5">
        <f>CONCATENATE("PD", TEXT(A3657, "1000000"))</f>
      </c>
      <c r="D3657" s="7">
        <v>76</v>
      </c>
      <c r="E3657" s="5">
        <f>XLOOKUP(G3657, item_category!C:C, item_category!B:B, "Not Found")</f>
      </c>
      <c r="F3657" s="1" t="s">
        <v>5632</v>
      </c>
      <c r="G3657" s="5">
        <f>XLOOKUP(I3657, drug!B:B, drug!A:A, "Not Found")</f>
      </c>
      <c r="H3657" s="1"/>
      <c r="I3657" s="7">
        <v>1</v>
      </c>
      <c r="J3657" s="5">
        <f>XLOOKUP(L3657, uom!C:C, uom!B:B, "Not Found")</f>
      </c>
      <c r="K3657" s="1" t="s">
        <v>5511</v>
      </c>
      <c r="L3657" s="5">
        <f>XLOOKUP(N3657, uom!C:C, uom!B:B, "Not Found")</f>
      </c>
      <c r="M3657" s="1" t="s">
        <v>5511</v>
      </c>
      <c r="N3657" s="8" t="s">
        <v>5512</v>
      </c>
      <c r="O3657" s="1" t="s">
        <v>5513</v>
      </c>
      <c r="P3657" s="5">
        <f>XLOOKUP(R3657, classification!C:C, classification!B:B, "Not Found")</f>
      </c>
      <c r="Q3657" s="1" t="s">
        <v>5514</v>
      </c>
      <c r="R3657" s="2"/>
      <c r="S3657" s="2"/>
      <c r="T3657" s="2"/>
      <c r="U3657" s="2"/>
    </row>
    <row x14ac:dyDescent="0.25" r="3658" customHeight="1" ht="17.25">
      <c r="A3658" s="7">
        <v>3657</v>
      </c>
      <c r="B3658" s="1" t="s">
        <v>8968</v>
      </c>
      <c r="C3658" s="5">
        <f>CONCATENATE("PD", TEXT(A3658, "1000000"))</f>
      </c>
      <c r="D3658" s="7">
        <v>76</v>
      </c>
      <c r="E3658" s="5">
        <f>XLOOKUP(G3658, item_category!C:C, item_category!B:B, "Not Found")</f>
      </c>
      <c r="F3658" s="1" t="s">
        <v>5632</v>
      </c>
      <c r="G3658" s="5">
        <f>XLOOKUP(I3658, drug!B:B, drug!A:A, "Not Found")</f>
      </c>
      <c r="H3658" s="1"/>
      <c r="I3658" s="7">
        <v>1</v>
      </c>
      <c r="J3658" s="5">
        <f>XLOOKUP(L3658, uom!C:C, uom!B:B, "Not Found")</f>
      </c>
      <c r="K3658" s="1" t="s">
        <v>5511</v>
      </c>
      <c r="L3658" s="5">
        <f>XLOOKUP(N3658, uom!C:C, uom!B:B, "Not Found")</f>
      </c>
      <c r="M3658" s="1" t="s">
        <v>5511</v>
      </c>
      <c r="N3658" s="8" t="s">
        <v>5512</v>
      </c>
      <c r="O3658" s="1" t="s">
        <v>5513</v>
      </c>
      <c r="P3658" s="5">
        <f>XLOOKUP(R3658, classification!C:C, classification!B:B, "Not Found")</f>
      </c>
      <c r="Q3658" s="1" t="s">
        <v>5514</v>
      </c>
      <c r="R3658" s="2"/>
      <c r="S3658" s="2"/>
      <c r="T3658" s="2"/>
      <c r="U3658" s="2"/>
    </row>
    <row x14ac:dyDescent="0.25" r="3659" customHeight="1" ht="17.25">
      <c r="A3659" s="7">
        <v>3658</v>
      </c>
      <c r="B3659" s="1" t="s">
        <v>8969</v>
      </c>
      <c r="C3659" s="5">
        <f>CONCATENATE("PD", TEXT(A3659, "1000000"))</f>
      </c>
      <c r="D3659" s="7">
        <v>76</v>
      </c>
      <c r="E3659" s="5">
        <f>XLOOKUP(G3659, item_category!C:C, item_category!B:B, "Not Found")</f>
      </c>
      <c r="F3659" s="1" t="s">
        <v>5632</v>
      </c>
      <c r="G3659" s="5">
        <f>XLOOKUP(I3659, drug!B:B, drug!A:A, "Not Found")</f>
      </c>
      <c r="H3659" s="1"/>
      <c r="I3659" s="7">
        <v>300</v>
      </c>
      <c r="J3659" s="5">
        <f>XLOOKUP(L3659, uom!C:C, uom!B:B, "Not Found")</f>
      </c>
      <c r="K3659" s="1" t="s">
        <v>5511</v>
      </c>
      <c r="L3659" s="5">
        <f>XLOOKUP(N3659, uom!C:C, uom!B:B, "Not Found")</f>
      </c>
      <c r="M3659" s="1" t="s">
        <v>5511</v>
      </c>
      <c r="N3659" s="8" t="s">
        <v>5524</v>
      </c>
      <c r="O3659" s="1" t="s">
        <v>5525</v>
      </c>
      <c r="P3659" s="5">
        <f>XLOOKUP(R3659, classification!C:C, classification!B:B, "Not Found")</f>
      </c>
      <c r="Q3659" s="1" t="s">
        <v>5514</v>
      </c>
      <c r="R3659" s="2"/>
      <c r="S3659" s="2"/>
      <c r="T3659" s="2"/>
      <c r="U3659" s="2"/>
    </row>
    <row x14ac:dyDescent="0.25" r="3660" customHeight="1" ht="17.25">
      <c r="A3660" s="7">
        <v>3659</v>
      </c>
      <c r="B3660" s="1" t="s">
        <v>8970</v>
      </c>
      <c r="C3660" s="5">
        <f>CONCATENATE("PD", TEXT(A3660, "1000000"))</f>
      </c>
      <c r="D3660" s="7">
        <v>76</v>
      </c>
      <c r="E3660" s="5">
        <f>XLOOKUP(G3660, item_category!C:C, item_category!B:B, "Not Found")</f>
      </c>
      <c r="F3660" s="1" t="s">
        <v>5632</v>
      </c>
      <c r="G3660" s="5">
        <f>XLOOKUP(I3660, drug!B:B, drug!A:A, "Not Found")</f>
      </c>
      <c r="H3660" s="1"/>
      <c r="I3660" s="7">
        <v>1</v>
      </c>
      <c r="J3660" s="5">
        <f>XLOOKUP(L3660, uom!C:C, uom!B:B, "Not Found")</f>
      </c>
      <c r="K3660" s="1" t="s">
        <v>5511</v>
      </c>
      <c r="L3660" s="5">
        <f>XLOOKUP(N3660, uom!C:C, uom!B:B, "Not Found")</f>
      </c>
      <c r="M3660" s="1" t="s">
        <v>5511</v>
      </c>
      <c r="N3660" s="8" t="s">
        <v>5512</v>
      </c>
      <c r="O3660" s="1" t="s">
        <v>5513</v>
      </c>
      <c r="P3660" s="5">
        <f>XLOOKUP(R3660, classification!C:C, classification!B:B, "Not Found")</f>
      </c>
      <c r="Q3660" s="1" t="s">
        <v>5514</v>
      </c>
      <c r="R3660" s="2"/>
      <c r="S3660" s="2"/>
      <c r="T3660" s="2"/>
      <c r="U3660" s="2"/>
    </row>
    <row x14ac:dyDescent="0.25" r="3661" customHeight="1" ht="17.25">
      <c r="A3661" s="7">
        <v>3660</v>
      </c>
      <c r="B3661" s="1" t="s">
        <v>8971</v>
      </c>
      <c r="C3661" s="5">
        <f>CONCATENATE("PD", TEXT(A3661, "1000000"))</f>
      </c>
      <c r="D3661" s="7">
        <v>76</v>
      </c>
      <c r="E3661" s="5">
        <f>XLOOKUP(G3661, item_category!C:C, item_category!B:B, "Not Found")</f>
      </c>
      <c r="F3661" s="1" t="s">
        <v>5632</v>
      </c>
      <c r="G3661" s="5">
        <f>XLOOKUP(I3661, drug!B:B, drug!A:A, "Not Found")</f>
      </c>
      <c r="H3661" s="1"/>
      <c r="I3661" s="7">
        <v>1</v>
      </c>
      <c r="J3661" s="5">
        <f>XLOOKUP(L3661, uom!C:C, uom!B:B, "Not Found")</f>
      </c>
      <c r="K3661" s="1" t="s">
        <v>5511</v>
      </c>
      <c r="L3661" s="5">
        <f>XLOOKUP(N3661, uom!C:C, uom!B:B, "Not Found")</f>
      </c>
      <c r="M3661" s="1" t="s">
        <v>5511</v>
      </c>
      <c r="N3661" s="8" t="s">
        <v>5512</v>
      </c>
      <c r="O3661" s="1" t="s">
        <v>5513</v>
      </c>
      <c r="P3661" s="5">
        <f>XLOOKUP(R3661, classification!C:C, classification!B:B, "Not Found")</f>
      </c>
      <c r="Q3661" s="1" t="s">
        <v>5514</v>
      </c>
      <c r="R3661" s="2"/>
      <c r="S3661" s="2"/>
      <c r="T3661" s="2"/>
      <c r="U3661" s="2"/>
    </row>
    <row x14ac:dyDescent="0.25" r="3662" customHeight="1" ht="17.25">
      <c r="A3662" s="7">
        <v>3661</v>
      </c>
      <c r="B3662" s="1" t="s">
        <v>8972</v>
      </c>
      <c r="C3662" s="5">
        <f>CONCATENATE("PD", TEXT(A3662, "1000000"))</f>
      </c>
      <c r="D3662" s="7">
        <v>76</v>
      </c>
      <c r="E3662" s="5">
        <f>XLOOKUP(G3662, item_category!C:C, item_category!B:B, "Not Found")</f>
      </c>
      <c r="F3662" s="1" t="s">
        <v>5632</v>
      </c>
      <c r="G3662" s="5">
        <f>XLOOKUP(I3662, drug!B:B, drug!A:A, "Not Found")</f>
      </c>
      <c r="H3662" s="1"/>
      <c r="I3662" s="7">
        <v>1</v>
      </c>
      <c r="J3662" s="5">
        <f>XLOOKUP(L3662, uom!C:C, uom!B:B, "Not Found")</f>
      </c>
      <c r="K3662" s="1" t="s">
        <v>5511</v>
      </c>
      <c r="L3662" s="5">
        <f>XLOOKUP(N3662, uom!C:C, uom!B:B, "Not Found")</f>
      </c>
      <c r="M3662" s="1" t="s">
        <v>5511</v>
      </c>
      <c r="N3662" s="8" t="s">
        <v>5512</v>
      </c>
      <c r="O3662" s="1" t="s">
        <v>5513</v>
      </c>
      <c r="P3662" s="5">
        <f>XLOOKUP(R3662, classification!C:C, classification!B:B, "Not Found")</f>
      </c>
      <c r="Q3662" s="1" t="s">
        <v>5514</v>
      </c>
      <c r="R3662" s="2"/>
      <c r="S3662" s="2"/>
      <c r="T3662" s="2"/>
      <c r="U3662" s="2"/>
    </row>
    <row x14ac:dyDescent="0.25" r="3663" customHeight="1" ht="17.25">
      <c r="A3663" s="7">
        <v>3662</v>
      </c>
      <c r="B3663" s="1" t="s">
        <v>8973</v>
      </c>
      <c r="C3663" s="5">
        <f>CONCATENATE("PD", TEXT(A3663, "1000000"))</f>
      </c>
      <c r="D3663" s="7">
        <v>76</v>
      </c>
      <c r="E3663" s="5">
        <f>XLOOKUP(G3663, item_category!C:C, item_category!B:B, "Not Found")</f>
      </c>
      <c r="F3663" s="1" t="s">
        <v>5632</v>
      </c>
      <c r="G3663" s="5">
        <f>XLOOKUP(I3663, drug!B:B, drug!A:A, "Not Found")</f>
      </c>
      <c r="H3663" s="1"/>
      <c r="I3663" s="7">
        <v>1</v>
      </c>
      <c r="J3663" s="5">
        <f>XLOOKUP(L3663, uom!C:C, uom!B:B, "Not Found")</f>
      </c>
      <c r="K3663" s="1" t="s">
        <v>5511</v>
      </c>
      <c r="L3663" s="5">
        <f>XLOOKUP(N3663, uom!C:C, uom!B:B, "Not Found")</f>
      </c>
      <c r="M3663" s="1" t="s">
        <v>5511</v>
      </c>
      <c r="N3663" s="8" t="s">
        <v>5512</v>
      </c>
      <c r="O3663" s="1" t="s">
        <v>5513</v>
      </c>
      <c r="P3663" s="5">
        <f>XLOOKUP(R3663, classification!C:C, classification!B:B, "Not Found")</f>
      </c>
      <c r="Q3663" s="1" t="s">
        <v>5514</v>
      </c>
      <c r="R3663" s="2"/>
      <c r="S3663" s="2"/>
      <c r="T3663" s="2"/>
      <c r="U3663" s="2"/>
    </row>
    <row x14ac:dyDescent="0.25" r="3664" customHeight="1" ht="17.25">
      <c r="A3664" s="7">
        <v>3663</v>
      </c>
      <c r="B3664" s="1" t="s">
        <v>8974</v>
      </c>
      <c r="C3664" s="5">
        <f>CONCATENATE("PD", TEXT(A3664, "1000000"))</f>
      </c>
      <c r="D3664" s="7">
        <v>76</v>
      </c>
      <c r="E3664" s="5">
        <f>XLOOKUP(G3664, item_category!C:C, item_category!B:B, "Not Found")</f>
      </c>
      <c r="F3664" s="1" t="s">
        <v>5632</v>
      </c>
      <c r="G3664" s="5">
        <f>XLOOKUP(I3664, drug!B:B, drug!A:A, "Not Found")</f>
      </c>
      <c r="H3664" s="1"/>
      <c r="I3664" s="7">
        <v>1</v>
      </c>
      <c r="J3664" s="5">
        <f>XLOOKUP(L3664, uom!C:C, uom!B:B, "Not Found")</f>
      </c>
      <c r="K3664" s="1" t="s">
        <v>5511</v>
      </c>
      <c r="L3664" s="5">
        <f>XLOOKUP(N3664, uom!C:C, uom!B:B, "Not Found")</f>
      </c>
      <c r="M3664" s="1" t="s">
        <v>5511</v>
      </c>
      <c r="N3664" s="8" t="s">
        <v>5512</v>
      </c>
      <c r="O3664" s="1" t="s">
        <v>5513</v>
      </c>
      <c r="P3664" s="5">
        <f>XLOOKUP(R3664, classification!C:C, classification!B:B, "Not Found")</f>
      </c>
      <c r="Q3664" s="1" t="s">
        <v>5514</v>
      </c>
      <c r="R3664" s="2"/>
      <c r="S3664" s="2"/>
      <c r="T3664" s="2"/>
      <c r="U3664" s="2"/>
    </row>
    <row x14ac:dyDescent="0.25" r="3665" customHeight="1" ht="17.25">
      <c r="A3665" s="7">
        <v>3664</v>
      </c>
      <c r="B3665" s="1" t="s">
        <v>8975</v>
      </c>
      <c r="C3665" s="5">
        <f>CONCATENATE("PD", TEXT(A3665, "1000000"))</f>
      </c>
      <c r="D3665" s="7">
        <v>76</v>
      </c>
      <c r="E3665" s="5">
        <f>XLOOKUP(G3665, item_category!C:C, item_category!B:B, "Not Found")</f>
      </c>
      <c r="F3665" s="1" t="s">
        <v>5632</v>
      </c>
      <c r="G3665" s="5">
        <f>XLOOKUP(I3665, drug!B:B, drug!A:A, "Not Found")</f>
      </c>
      <c r="H3665" s="1"/>
      <c r="I3665" s="7">
        <v>1</v>
      </c>
      <c r="J3665" s="5">
        <f>XLOOKUP(L3665, uom!C:C, uom!B:B, "Not Found")</f>
      </c>
      <c r="K3665" s="1" t="s">
        <v>5511</v>
      </c>
      <c r="L3665" s="5">
        <f>XLOOKUP(N3665, uom!C:C, uom!B:B, "Not Found")</f>
      </c>
      <c r="M3665" s="1" t="s">
        <v>5511</v>
      </c>
      <c r="N3665" s="8" t="s">
        <v>5512</v>
      </c>
      <c r="O3665" s="1" t="s">
        <v>5513</v>
      </c>
      <c r="P3665" s="5">
        <f>XLOOKUP(R3665, classification!C:C, classification!B:B, "Not Found")</f>
      </c>
      <c r="Q3665" s="1" t="s">
        <v>5514</v>
      </c>
      <c r="R3665" s="2"/>
      <c r="S3665" s="2"/>
      <c r="T3665" s="2"/>
      <c r="U3665" s="2"/>
    </row>
    <row x14ac:dyDescent="0.25" r="3666" customHeight="1" ht="17.25">
      <c r="A3666" s="7">
        <v>3665</v>
      </c>
      <c r="B3666" s="1" t="s">
        <v>8976</v>
      </c>
      <c r="C3666" s="5">
        <f>CONCATENATE("PD", TEXT(A3666, "1000000"))</f>
      </c>
      <c r="D3666" s="7">
        <v>76</v>
      </c>
      <c r="E3666" s="5">
        <f>XLOOKUP(G3666, item_category!C:C, item_category!B:B, "Not Found")</f>
      </c>
      <c r="F3666" s="1" t="s">
        <v>5632</v>
      </c>
      <c r="G3666" s="5">
        <f>XLOOKUP(I3666, drug!B:B, drug!A:A, "Not Found")</f>
      </c>
      <c r="H3666" s="1"/>
      <c r="I3666" s="7">
        <v>1</v>
      </c>
      <c r="J3666" s="5">
        <f>XLOOKUP(L3666, uom!C:C, uom!B:B, "Not Found")</f>
      </c>
      <c r="K3666" s="1" t="s">
        <v>5511</v>
      </c>
      <c r="L3666" s="5">
        <f>XLOOKUP(N3666, uom!C:C, uom!B:B, "Not Found")</f>
      </c>
      <c r="M3666" s="1" t="s">
        <v>5511</v>
      </c>
      <c r="N3666" s="8" t="s">
        <v>5512</v>
      </c>
      <c r="O3666" s="1" t="s">
        <v>5513</v>
      </c>
      <c r="P3666" s="5">
        <f>XLOOKUP(R3666, classification!C:C, classification!B:B, "Not Found")</f>
      </c>
      <c r="Q3666" s="1" t="s">
        <v>5514</v>
      </c>
      <c r="R3666" s="2"/>
      <c r="S3666" s="2"/>
      <c r="T3666" s="2"/>
      <c r="U3666" s="2"/>
    </row>
    <row x14ac:dyDescent="0.25" r="3667" customHeight="1" ht="17.25">
      <c r="A3667" s="7">
        <v>3666</v>
      </c>
      <c r="B3667" s="1" t="s">
        <v>8977</v>
      </c>
      <c r="C3667" s="5">
        <f>CONCATENATE("PD", TEXT(A3667, "1000000"))</f>
      </c>
      <c r="D3667" s="7">
        <v>76</v>
      </c>
      <c r="E3667" s="5">
        <f>XLOOKUP(G3667, item_category!C:C, item_category!B:B, "Not Found")</f>
      </c>
      <c r="F3667" s="1" t="s">
        <v>5632</v>
      </c>
      <c r="G3667" s="5">
        <f>XLOOKUP(I3667, drug!B:B, drug!A:A, "Not Found")</f>
      </c>
      <c r="H3667" s="1"/>
      <c r="I3667" s="7">
        <v>1</v>
      </c>
      <c r="J3667" s="5">
        <f>XLOOKUP(L3667, uom!C:C, uom!B:B, "Not Found")</f>
      </c>
      <c r="K3667" s="1" t="s">
        <v>5511</v>
      </c>
      <c r="L3667" s="5">
        <f>XLOOKUP(N3667, uom!C:C, uom!B:B, "Not Found")</f>
      </c>
      <c r="M3667" s="1" t="s">
        <v>5511</v>
      </c>
      <c r="N3667" s="8" t="s">
        <v>5512</v>
      </c>
      <c r="O3667" s="1" t="s">
        <v>5513</v>
      </c>
      <c r="P3667" s="5">
        <f>XLOOKUP(R3667, classification!C:C, classification!B:B, "Not Found")</f>
      </c>
      <c r="Q3667" s="1" t="s">
        <v>5514</v>
      </c>
      <c r="R3667" s="2"/>
      <c r="S3667" s="2"/>
      <c r="T3667" s="2"/>
      <c r="U3667" s="2"/>
    </row>
    <row x14ac:dyDescent="0.25" r="3668" customHeight="1" ht="17.25">
      <c r="A3668" s="7">
        <v>3667</v>
      </c>
      <c r="B3668" s="1" t="s">
        <v>8978</v>
      </c>
      <c r="C3668" s="5">
        <f>CONCATENATE("PD", TEXT(A3668, "1000000"))</f>
      </c>
      <c r="D3668" s="7">
        <v>76</v>
      </c>
      <c r="E3668" s="5">
        <f>XLOOKUP(G3668, item_category!C:C, item_category!B:B, "Not Found")</f>
      </c>
      <c r="F3668" s="1" t="s">
        <v>5632</v>
      </c>
      <c r="G3668" s="5">
        <f>XLOOKUP(I3668, drug!B:B, drug!A:A, "Not Found")</f>
      </c>
      <c r="H3668" s="1"/>
      <c r="I3668" s="7">
        <v>1</v>
      </c>
      <c r="J3668" s="5">
        <f>XLOOKUP(L3668, uom!C:C, uom!B:B, "Not Found")</f>
      </c>
      <c r="K3668" s="1" t="s">
        <v>5511</v>
      </c>
      <c r="L3668" s="5">
        <f>XLOOKUP(N3668, uom!C:C, uom!B:B, "Not Found")</f>
      </c>
      <c r="M3668" s="1" t="s">
        <v>5511</v>
      </c>
      <c r="N3668" s="8" t="s">
        <v>5512</v>
      </c>
      <c r="O3668" s="1" t="s">
        <v>5513</v>
      </c>
      <c r="P3668" s="5">
        <f>XLOOKUP(R3668, classification!C:C, classification!B:B, "Not Found")</f>
      </c>
      <c r="Q3668" s="1" t="s">
        <v>5514</v>
      </c>
      <c r="R3668" s="2"/>
      <c r="S3668" s="2"/>
      <c r="T3668" s="2"/>
      <c r="U3668" s="2"/>
    </row>
    <row x14ac:dyDescent="0.25" r="3669" customHeight="1" ht="17.25">
      <c r="A3669" s="7">
        <v>3668</v>
      </c>
      <c r="B3669" s="1" t="s">
        <v>8979</v>
      </c>
      <c r="C3669" s="5">
        <f>CONCATENATE("PD", TEXT(A3669, "1000000"))</f>
      </c>
      <c r="D3669" s="7">
        <v>76</v>
      </c>
      <c r="E3669" s="5">
        <f>XLOOKUP(G3669, item_category!C:C, item_category!B:B, "Not Found")</f>
      </c>
      <c r="F3669" s="1" t="s">
        <v>5632</v>
      </c>
      <c r="G3669" s="5">
        <f>XLOOKUP(I3669, drug!B:B, drug!A:A, "Not Found")</f>
      </c>
      <c r="H3669" s="1"/>
      <c r="I3669" s="7">
        <v>1</v>
      </c>
      <c r="J3669" s="5">
        <f>XLOOKUP(L3669, uom!C:C, uom!B:B, "Not Found")</f>
      </c>
      <c r="K3669" s="1" t="s">
        <v>5511</v>
      </c>
      <c r="L3669" s="5">
        <f>XLOOKUP(N3669, uom!C:C, uom!B:B, "Not Found")</f>
      </c>
      <c r="M3669" s="1" t="s">
        <v>5511</v>
      </c>
      <c r="N3669" s="8" t="s">
        <v>5512</v>
      </c>
      <c r="O3669" s="1" t="s">
        <v>5513</v>
      </c>
      <c r="P3669" s="5">
        <f>XLOOKUP(R3669, classification!C:C, classification!B:B, "Not Found")</f>
      </c>
      <c r="Q3669" s="1" t="s">
        <v>5514</v>
      </c>
      <c r="R3669" s="2"/>
      <c r="S3669" s="2"/>
      <c r="T3669" s="2"/>
      <c r="U3669" s="2"/>
    </row>
    <row x14ac:dyDescent="0.25" r="3670" customHeight="1" ht="17.25">
      <c r="A3670" s="7">
        <v>3669</v>
      </c>
      <c r="B3670" s="1" t="s">
        <v>8980</v>
      </c>
      <c r="C3670" s="5">
        <f>CONCATENATE("PD", TEXT(A3670, "1000000"))</f>
      </c>
      <c r="D3670" s="7">
        <v>76</v>
      </c>
      <c r="E3670" s="5">
        <f>XLOOKUP(G3670, item_category!C:C, item_category!B:B, "Not Found")</f>
      </c>
      <c r="F3670" s="1" t="s">
        <v>5632</v>
      </c>
      <c r="G3670" s="5">
        <f>XLOOKUP(I3670, drug!B:B, drug!A:A, "Not Found")</f>
      </c>
      <c r="H3670" s="1"/>
      <c r="I3670" s="7">
        <v>1</v>
      </c>
      <c r="J3670" s="5">
        <f>XLOOKUP(L3670, uom!C:C, uom!B:B, "Not Found")</f>
      </c>
      <c r="K3670" s="1" t="s">
        <v>5511</v>
      </c>
      <c r="L3670" s="5">
        <f>XLOOKUP(N3670, uom!C:C, uom!B:B, "Not Found")</f>
      </c>
      <c r="M3670" s="1" t="s">
        <v>5511</v>
      </c>
      <c r="N3670" s="8" t="s">
        <v>5512</v>
      </c>
      <c r="O3670" s="1" t="s">
        <v>5513</v>
      </c>
      <c r="P3670" s="5">
        <f>XLOOKUP(R3670, classification!C:C, classification!B:B, "Not Found")</f>
      </c>
      <c r="Q3670" s="1" t="s">
        <v>5514</v>
      </c>
      <c r="R3670" s="2"/>
      <c r="S3670" s="2"/>
      <c r="T3670" s="2"/>
      <c r="U3670" s="2"/>
    </row>
    <row x14ac:dyDescent="0.25" r="3671" customHeight="1" ht="17.25">
      <c r="A3671" s="7">
        <v>3670</v>
      </c>
      <c r="B3671" s="1" t="s">
        <v>8981</v>
      </c>
      <c r="C3671" s="5">
        <f>CONCATENATE("PD", TEXT(A3671, "1000000"))</f>
      </c>
      <c r="D3671" s="7">
        <v>76</v>
      </c>
      <c r="E3671" s="5">
        <f>XLOOKUP(G3671, item_category!C:C, item_category!B:B, "Not Found")</f>
      </c>
      <c r="F3671" s="1" t="s">
        <v>5632</v>
      </c>
      <c r="G3671" s="5">
        <f>XLOOKUP(I3671, drug!B:B, drug!A:A, "Not Found")</f>
      </c>
      <c r="H3671" s="1"/>
      <c r="I3671" s="7">
        <v>1</v>
      </c>
      <c r="J3671" s="5">
        <f>XLOOKUP(L3671, uom!C:C, uom!B:B, "Not Found")</f>
      </c>
      <c r="K3671" s="1" t="s">
        <v>5511</v>
      </c>
      <c r="L3671" s="5">
        <f>XLOOKUP(N3671, uom!C:C, uom!B:B, "Not Found")</f>
      </c>
      <c r="M3671" s="1" t="s">
        <v>5511</v>
      </c>
      <c r="N3671" s="8" t="s">
        <v>5512</v>
      </c>
      <c r="O3671" s="1" t="s">
        <v>5513</v>
      </c>
      <c r="P3671" s="5">
        <f>XLOOKUP(R3671, classification!C:C, classification!B:B, "Not Found")</f>
      </c>
      <c r="Q3671" s="1" t="s">
        <v>5514</v>
      </c>
      <c r="R3671" s="2"/>
      <c r="S3671" s="2"/>
      <c r="T3671" s="2"/>
      <c r="U3671" s="2"/>
    </row>
    <row x14ac:dyDescent="0.25" r="3672" customHeight="1" ht="17.25">
      <c r="A3672" s="7">
        <v>3671</v>
      </c>
      <c r="B3672" s="1" t="s">
        <v>8982</v>
      </c>
      <c r="C3672" s="5">
        <f>CONCATENATE("PD", TEXT(A3672, "1000000"))</f>
      </c>
      <c r="D3672" s="7">
        <v>76</v>
      </c>
      <c r="E3672" s="5">
        <f>XLOOKUP(G3672, item_category!C:C, item_category!B:B, "Not Found")</f>
      </c>
      <c r="F3672" s="1" t="s">
        <v>5632</v>
      </c>
      <c r="G3672" s="5">
        <f>XLOOKUP(I3672, drug!B:B, drug!A:A, "Not Found")</f>
      </c>
      <c r="H3672" s="1"/>
      <c r="I3672" s="7">
        <v>1</v>
      </c>
      <c r="J3672" s="5">
        <f>XLOOKUP(L3672, uom!C:C, uom!B:B, "Not Found")</f>
      </c>
      <c r="K3672" s="1" t="s">
        <v>5511</v>
      </c>
      <c r="L3672" s="5">
        <f>XLOOKUP(N3672, uom!C:C, uom!B:B, "Not Found")</f>
      </c>
      <c r="M3672" s="1" t="s">
        <v>5511</v>
      </c>
      <c r="N3672" s="8" t="s">
        <v>5512</v>
      </c>
      <c r="O3672" s="1" t="s">
        <v>5513</v>
      </c>
      <c r="P3672" s="5">
        <f>XLOOKUP(R3672, classification!C:C, classification!B:B, "Not Found")</f>
      </c>
      <c r="Q3672" s="1" t="s">
        <v>5514</v>
      </c>
      <c r="R3672" s="2"/>
      <c r="S3672" s="2"/>
      <c r="T3672" s="2"/>
      <c r="U3672" s="2"/>
    </row>
    <row x14ac:dyDescent="0.25" r="3673" customHeight="1" ht="17.25">
      <c r="A3673" s="7">
        <v>3672</v>
      </c>
      <c r="B3673" s="1" t="s">
        <v>8983</v>
      </c>
      <c r="C3673" s="5">
        <f>CONCATENATE("PD", TEXT(A3673, "1000000"))</f>
      </c>
      <c r="D3673" s="7">
        <v>76</v>
      </c>
      <c r="E3673" s="5">
        <f>XLOOKUP(G3673, item_category!C:C, item_category!B:B, "Not Found")</f>
      </c>
      <c r="F3673" s="1" t="s">
        <v>5632</v>
      </c>
      <c r="G3673" s="5">
        <f>XLOOKUP(I3673, drug!B:B, drug!A:A, "Not Found")</f>
      </c>
      <c r="H3673" s="1"/>
      <c r="I3673" s="7">
        <v>1</v>
      </c>
      <c r="J3673" s="5">
        <f>XLOOKUP(L3673, uom!C:C, uom!B:B, "Not Found")</f>
      </c>
      <c r="K3673" s="1" t="s">
        <v>5511</v>
      </c>
      <c r="L3673" s="5">
        <f>XLOOKUP(N3673, uom!C:C, uom!B:B, "Not Found")</f>
      </c>
      <c r="M3673" s="1" t="s">
        <v>5511</v>
      </c>
      <c r="N3673" s="8" t="s">
        <v>5512</v>
      </c>
      <c r="O3673" s="1" t="s">
        <v>5513</v>
      </c>
      <c r="P3673" s="5">
        <f>XLOOKUP(R3673, classification!C:C, classification!B:B, "Not Found")</f>
      </c>
      <c r="Q3673" s="1" t="s">
        <v>5514</v>
      </c>
      <c r="R3673" s="2"/>
      <c r="S3673" s="2"/>
      <c r="T3673" s="2"/>
      <c r="U3673" s="2"/>
    </row>
    <row x14ac:dyDescent="0.25" r="3674" customHeight="1" ht="17.25">
      <c r="A3674" s="7">
        <v>3673</v>
      </c>
      <c r="B3674" s="1" t="s">
        <v>8984</v>
      </c>
      <c r="C3674" s="5">
        <f>CONCATENATE("PD", TEXT(A3674, "1000000"))</f>
      </c>
      <c r="D3674" s="7">
        <v>76</v>
      </c>
      <c r="E3674" s="5">
        <f>XLOOKUP(G3674, item_category!C:C, item_category!B:B, "Not Found")</f>
      </c>
      <c r="F3674" s="1" t="s">
        <v>5632</v>
      </c>
      <c r="G3674" s="5">
        <f>XLOOKUP(I3674, drug!B:B, drug!A:A, "Not Found")</f>
      </c>
      <c r="H3674" s="1"/>
      <c r="I3674" s="7">
        <v>1</v>
      </c>
      <c r="J3674" s="5">
        <f>XLOOKUP(L3674, uom!C:C, uom!B:B, "Not Found")</f>
      </c>
      <c r="K3674" s="1" t="s">
        <v>5511</v>
      </c>
      <c r="L3674" s="5">
        <f>XLOOKUP(N3674, uom!C:C, uom!B:B, "Not Found")</f>
      </c>
      <c r="M3674" s="1" t="s">
        <v>5511</v>
      </c>
      <c r="N3674" s="8" t="s">
        <v>5512</v>
      </c>
      <c r="O3674" s="1" t="s">
        <v>5513</v>
      </c>
      <c r="P3674" s="5">
        <f>XLOOKUP(R3674, classification!C:C, classification!B:B, "Not Found")</f>
      </c>
      <c r="Q3674" s="1" t="s">
        <v>5514</v>
      </c>
      <c r="R3674" s="2"/>
      <c r="S3674" s="2"/>
      <c r="T3674" s="2"/>
      <c r="U3674" s="2"/>
    </row>
    <row x14ac:dyDescent="0.25" r="3675" customHeight="1" ht="17.25">
      <c r="A3675" s="7">
        <v>3674</v>
      </c>
      <c r="B3675" s="1" t="s">
        <v>8985</v>
      </c>
      <c r="C3675" s="5">
        <f>CONCATENATE("PD", TEXT(A3675, "1000000"))</f>
      </c>
      <c r="D3675" s="7">
        <v>76</v>
      </c>
      <c r="E3675" s="5">
        <f>XLOOKUP(G3675, item_category!C:C, item_category!B:B, "Not Found")</f>
      </c>
      <c r="F3675" s="1" t="s">
        <v>5632</v>
      </c>
      <c r="G3675" s="5">
        <f>XLOOKUP(I3675, drug!B:B, drug!A:A, "Not Found")</f>
      </c>
      <c r="H3675" s="1"/>
      <c r="I3675" s="7">
        <v>1</v>
      </c>
      <c r="J3675" s="5">
        <f>XLOOKUP(L3675, uom!C:C, uom!B:B, "Not Found")</f>
      </c>
      <c r="K3675" s="1" t="s">
        <v>5511</v>
      </c>
      <c r="L3675" s="5">
        <f>XLOOKUP(N3675, uom!C:C, uom!B:B, "Not Found")</f>
      </c>
      <c r="M3675" s="1" t="s">
        <v>5511</v>
      </c>
      <c r="N3675" s="8" t="s">
        <v>5512</v>
      </c>
      <c r="O3675" s="1" t="s">
        <v>5513</v>
      </c>
      <c r="P3675" s="5">
        <f>XLOOKUP(R3675, classification!C:C, classification!B:B, "Not Found")</f>
      </c>
      <c r="Q3675" s="1" t="s">
        <v>5514</v>
      </c>
      <c r="R3675" s="2"/>
      <c r="S3675" s="2"/>
      <c r="T3675" s="2"/>
      <c r="U3675" s="2"/>
    </row>
    <row x14ac:dyDescent="0.25" r="3676" customHeight="1" ht="17.25">
      <c r="A3676" s="7">
        <v>3675</v>
      </c>
      <c r="B3676" s="1" t="s">
        <v>8986</v>
      </c>
      <c r="C3676" s="5">
        <f>CONCATENATE("PD", TEXT(A3676, "1000000"))</f>
      </c>
      <c r="D3676" s="7">
        <v>76</v>
      </c>
      <c r="E3676" s="5">
        <f>XLOOKUP(G3676, item_category!C:C, item_category!B:B, "Not Found")</f>
      </c>
      <c r="F3676" s="1" t="s">
        <v>5632</v>
      </c>
      <c r="G3676" s="5">
        <f>XLOOKUP(I3676, drug!B:B, drug!A:A, "Not Found")</f>
      </c>
      <c r="H3676" s="1"/>
      <c r="I3676" s="7">
        <v>1</v>
      </c>
      <c r="J3676" s="5">
        <f>XLOOKUP(L3676, uom!C:C, uom!B:B, "Not Found")</f>
      </c>
      <c r="K3676" s="1" t="s">
        <v>5511</v>
      </c>
      <c r="L3676" s="5">
        <f>XLOOKUP(N3676, uom!C:C, uom!B:B, "Not Found")</f>
      </c>
      <c r="M3676" s="1" t="s">
        <v>5511</v>
      </c>
      <c r="N3676" s="8" t="s">
        <v>5512</v>
      </c>
      <c r="O3676" s="1" t="s">
        <v>5513</v>
      </c>
      <c r="P3676" s="5">
        <f>XLOOKUP(R3676, classification!C:C, classification!B:B, "Not Found")</f>
      </c>
      <c r="Q3676" s="1" t="s">
        <v>5514</v>
      </c>
      <c r="R3676" s="2"/>
      <c r="S3676" s="2"/>
      <c r="T3676" s="2"/>
      <c r="U3676" s="2"/>
    </row>
    <row x14ac:dyDescent="0.25" r="3677" customHeight="1" ht="17.25">
      <c r="A3677" s="7">
        <v>3676</v>
      </c>
      <c r="B3677" s="1" t="s">
        <v>8987</v>
      </c>
      <c r="C3677" s="5">
        <f>CONCATENATE("PD", TEXT(A3677, "1000000"))</f>
      </c>
      <c r="D3677" s="7">
        <v>76</v>
      </c>
      <c r="E3677" s="5">
        <f>XLOOKUP(G3677, item_category!C:C, item_category!B:B, "Not Found")</f>
      </c>
      <c r="F3677" s="1" t="s">
        <v>5632</v>
      </c>
      <c r="G3677" s="5">
        <f>XLOOKUP(I3677, drug!B:B, drug!A:A, "Not Found")</f>
      </c>
      <c r="H3677" s="1"/>
      <c r="I3677" s="7">
        <v>1</v>
      </c>
      <c r="J3677" s="5">
        <f>XLOOKUP(L3677, uom!C:C, uom!B:B, "Not Found")</f>
      </c>
      <c r="K3677" s="1" t="s">
        <v>5511</v>
      </c>
      <c r="L3677" s="5">
        <f>XLOOKUP(N3677, uom!C:C, uom!B:B, "Not Found")</f>
      </c>
      <c r="M3677" s="1" t="s">
        <v>5511</v>
      </c>
      <c r="N3677" s="8" t="s">
        <v>5512</v>
      </c>
      <c r="O3677" s="1" t="s">
        <v>5513</v>
      </c>
      <c r="P3677" s="5">
        <f>XLOOKUP(R3677, classification!C:C, classification!B:B, "Not Found")</f>
      </c>
      <c r="Q3677" s="1" t="s">
        <v>5514</v>
      </c>
      <c r="R3677" s="2"/>
      <c r="S3677" s="2"/>
      <c r="T3677" s="2"/>
      <c r="U3677" s="2"/>
    </row>
    <row x14ac:dyDescent="0.25" r="3678" customHeight="1" ht="17.25">
      <c r="A3678" s="7">
        <v>3677</v>
      </c>
      <c r="B3678" s="1" t="s">
        <v>8988</v>
      </c>
      <c r="C3678" s="5">
        <f>CONCATENATE("PD", TEXT(A3678, "1000000"))</f>
      </c>
      <c r="D3678" s="7">
        <v>76</v>
      </c>
      <c r="E3678" s="5">
        <f>XLOOKUP(G3678, item_category!C:C, item_category!B:B, "Not Found")</f>
      </c>
      <c r="F3678" s="1" t="s">
        <v>5632</v>
      </c>
      <c r="G3678" s="5">
        <f>XLOOKUP(I3678, drug!B:B, drug!A:A, "Not Found")</f>
      </c>
      <c r="H3678" s="1"/>
      <c r="I3678" s="7">
        <v>1</v>
      </c>
      <c r="J3678" s="5">
        <f>XLOOKUP(L3678, uom!C:C, uom!B:B, "Not Found")</f>
      </c>
      <c r="K3678" s="1" t="s">
        <v>5511</v>
      </c>
      <c r="L3678" s="5">
        <f>XLOOKUP(N3678, uom!C:C, uom!B:B, "Not Found")</f>
      </c>
      <c r="M3678" s="1" t="s">
        <v>5511</v>
      </c>
      <c r="N3678" s="8" t="s">
        <v>5512</v>
      </c>
      <c r="O3678" s="1" t="s">
        <v>5513</v>
      </c>
      <c r="P3678" s="5">
        <f>XLOOKUP(R3678, classification!C:C, classification!B:B, "Not Found")</f>
      </c>
      <c r="Q3678" s="1" t="s">
        <v>5514</v>
      </c>
      <c r="R3678" s="2"/>
      <c r="S3678" s="2"/>
      <c r="T3678" s="2"/>
      <c r="U3678" s="2"/>
    </row>
    <row x14ac:dyDescent="0.25" r="3679" customHeight="1" ht="17.25">
      <c r="A3679" s="7">
        <v>3678</v>
      </c>
      <c r="B3679" s="1" t="s">
        <v>8989</v>
      </c>
      <c r="C3679" s="5">
        <f>CONCATENATE("PD", TEXT(A3679, "1000000"))</f>
      </c>
      <c r="D3679" s="7">
        <v>76</v>
      </c>
      <c r="E3679" s="5">
        <f>XLOOKUP(G3679, item_category!C:C, item_category!B:B, "Not Found")</f>
      </c>
      <c r="F3679" s="1" t="s">
        <v>5632</v>
      </c>
      <c r="G3679" s="5">
        <f>XLOOKUP(I3679, drug!B:B, drug!A:A, "Not Found")</f>
      </c>
      <c r="H3679" s="1"/>
      <c r="I3679" s="7">
        <v>1</v>
      </c>
      <c r="J3679" s="5">
        <f>XLOOKUP(L3679, uom!C:C, uom!B:B, "Not Found")</f>
      </c>
      <c r="K3679" s="1" t="s">
        <v>5511</v>
      </c>
      <c r="L3679" s="5">
        <f>XLOOKUP(N3679, uom!C:C, uom!B:B, "Not Found")</f>
      </c>
      <c r="M3679" s="1" t="s">
        <v>5511</v>
      </c>
      <c r="N3679" s="8" t="s">
        <v>5512</v>
      </c>
      <c r="O3679" s="1" t="s">
        <v>5513</v>
      </c>
      <c r="P3679" s="5">
        <f>XLOOKUP(R3679, classification!C:C, classification!B:B, "Not Found")</f>
      </c>
      <c r="Q3679" s="1" t="s">
        <v>5514</v>
      </c>
      <c r="R3679" s="2"/>
      <c r="S3679" s="2"/>
      <c r="T3679" s="2"/>
      <c r="U3679" s="2"/>
    </row>
    <row x14ac:dyDescent="0.25" r="3680" customHeight="1" ht="17.25">
      <c r="A3680" s="7">
        <v>3679</v>
      </c>
      <c r="B3680" s="1" t="s">
        <v>8990</v>
      </c>
      <c r="C3680" s="5">
        <f>CONCATENATE("PD", TEXT(A3680, "1000000"))</f>
      </c>
      <c r="D3680" s="7">
        <v>76</v>
      </c>
      <c r="E3680" s="5">
        <f>XLOOKUP(G3680, item_category!C:C, item_category!B:B, "Not Found")</f>
      </c>
      <c r="F3680" s="1" t="s">
        <v>5632</v>
      </c>
      <c r="G3680" s="5">
        <f>XLOOKUP(I3680, drug!B:B, drug!A:A, "Not Found")</f>
      </c>
      <c r="H3680" s="1"/>
      <c r="I3680" s="7">
        <v>1</v>
      </c>
      <c r="J3680" s="5">
        <f>XLOOKUP(L3680, uom!C:C, uom!B:B, "Not Found")</f>
      </c>
      <c r="K3680" s="1" t="s">
        <v>5511</v>
      </c>
      <c r="L3680" s="5">
        <f>XLOOKUP(N3680, uom!C:C, uom!B:B, "Not Found")</f>
      </c>
      <c r="M3680" s="1" t="s">
        <v>5511</v>
      </c>
      <c r="N3680" s="8" t="s">
        <v>5512</v>
      </c>
      <c r="O3680" s="1" t="s">
        <v>5513</v>
      </c>
      <c r="P3680" s="5">
        <f>XLOOKUP(R3680, classification!C:C, classification!B:B, "Not Found")</f>
      </c>
      <c r="Q3680" s="1" t="s">
        <v>5514</v>
      </c>
      <c r="R3680" s="2"/>
      <c r="S3680" s="2"/>
      <c r="T3680" s="2"/>
      <c r="U3680" s="2"/>
    </row>
    <row x14ac:dyDescent="0.25" r="3681" customHeight="1" ht="17.25">
      <c r="A3681" s="7">
        <v>3680</v>
      </c>
      <c r="B3681" s="1" t="s">
        <v>8991</v>
      </c>
      <c r="C3681" s="5">
        <f>CONCATENATE("PD", TEXT(A3681, "1000000"))</f>
      </c>
      <c r="D3681" s="7">
        <v>76</v>
      </c>
      <c r="E3681" s="5">
        <f>XLOOKUP(G3681, item_category!C:C, item_category!B:B, "Not Found")</f>
      </c>
      <c r="F3681" s="1" t="s">
        <v>5632</v>
      </c>
      <c r="G3681" s="5">
        <f>XLOOKUP(I3681, drug!B:B, drug!A:A, "Not Found")</f>
      </c>
      <c r="H3681" s="1"/>
      <c r="I3681" s="7">
        <v>1</v>
      </c>
      <c r="J3681" s="5">
        <f>XLOOKUP(L3681, uom!C:C, uom!B:B, "Not Found")</f>
      </c>
      <c r="K3681" s="1" t="s">
        <v>5511</v>
      </c>
      <c r="L3681" s="5">
        <f>XLOOKUP(N3681, uom!C:C, uom!B:B, "Not Found")</f>
      </c>
      <c r="M3681" s="1" t="s">
        <v>5511</v>
      </c>
      <c r="N3681" s="8" t="s">
        <v>5512</v>
      </c>
      <c r="O3681" s="1" t="s">
        <v>5513</v>
      </c>
      <c r="P3681" s="5">
        <f>XLOOKUP(R3681, classification!C:C, classification!B:B, "Not Found")</f>
      </c>
      <c r="Q3681" s="1" t="s">
        <v>5514</v>
      </c>
      <c r="R3681" s="2"/>
      <c r="S3681" s="2"/>
      <c r="T3681" s="2"/>
      <c r="U3681" s="2"/>
    </row>
    <row x14ac:dyDescent="0.25" r="3682" customHeight="1" ht="17.25">
      <c r="A3682" s="7">
        <v>3681</v>
      </c>
      <c r="B3682" s="1" t="s">
        <v>8992</v>
      </c>
      <c r="C3682" s="5">
        <f>CONCATENATE("PD", TEXT(A3682, "1000000"))</f>
      </c>
      <c r="D3682" s="7">
        <v>76</v>
      </c>
      <c r="E3682" s="5">
        <f>XLOOKUP(G3682, item_category!C:C, item_category!B:B, "Not Found")</f>
      </c>
      <c r="F3682" s="1" t="s">
        <v>5632</v>
      </c>
      <c r="G3682" s="5">
        <f>XLOOKUP(I3682, drug!B:B, drug!A:A, "Not Found")</f>
      </c>
      <c r="H3682" s="1"/>
      <c r="I3682" s="7">
        <v>1</v>
      </c>
      <c r="J3682" s="5">
        <f>XLOOKUP(L3682, uom!C:C, uom!B:B, "Not Found")</f>
      </c>
      <c r="K3682" s="1" t="s">
        <v>5511</v>
      </c>
      <c r="L3682" s="5">
        <f>XLOOKUP(N3682, uom!C:C, uom!B:B, "Not Found")</f>
      </c>
      <c r="M3682" s="1" t="s">
        <v>5511</v>
      </c>
      <c r="N3682" s="8" t="s">
        <v>5512</v>
      </c>
      <c r="O3682" s="1" t="s">
        <v>5513</v>
      </c>
      <c r="P3682" s="5">
        <f>XLOOKUP(R3682, classification!C:C, classification!B:B, "Not Found")</f>
      </c>
      <c r="Q3682" s="1" t="s">
        <v>5514</v>
      </c>
      <c r="R3682" s="2"/>
      <c r="S3682" s="2"/>
      <c r="T3682" s="2"/>
      <c r="U3682" s="2"/>
    </row>
    <row x14ac:dyDescent="0.25" r="3683" customHeight="1" ht="17.25">
      <c r="A3683" s="7">
        <v>3682</v>
      </c>
      <c r="B3683" s="1" t="s">
        <v>3753</v>
      </c>
      <c r="C3683" s="5">
        <f>CONCATENATE("PD", TEXT(A3683, "1000000"))</f>
      </c>
      <c r="D3683" s="7">
        <v>10</v>
      </c>
      <c r="E3683" s="5">
        <f>XLOOKUP(G3683, item_category!C:C, item_category!B:B, "Not Found")</f>
      </c>
      <c r="F3683" s="1" t="s">
        <v>5833</v>
      </c>
      <c r="G3683" s="5">
        <f>XLOOKUP(I3683, drug!B:B, drug!A:A, "Not Found")</f>
      </c>
      <c r="H3683" s="1"/>
      <c r="I3683" s="7">
        <v>18</v>
      </c>
      <c r="J3683" s="5">
        <f>XLOOKUP(L3683, uom!C:C, uom!B:B, "Not Found")</f>
      </c>
      <c r="K3683" s="1" t="s">
        <v>5511</v>
      </c>
      <c r="L3683" s="5">
        <f>XLOOKUP(N3683, uom!C:C, uom!B:B, "Not Found")</f>
      </c>
      <c r="M3683" s="1" t="s">
        <v>5511</v>
      </c>
      <c r="N3683" s="8" t="s">
        <v>5512</v>
      </c>
      <c r="O3683" s="1" t="s">
        <v>5513</v>
      </c>
      <c r="P3683" s="5">
        <f>XLOOKUP(R3683, classification!C:C, classification!B:B, "Not Found")</f>
      </c>
      <c r="Q3683" s="1" t="s">
        <v>5514</v>
      </c>
      <c r="R3683" s="2"/>
      <c r="S3683" s="2"/>
      <c r="T3683" s="2"/>
      <c r="U3683" s="2"/>
    </row>
    <row x14ac:dyDescent="0.25" r="3684" customHeight="1" ht="17.25">
      <c r="A3684" s="7">
        <v>3683</v>
      </c>
      <c r="B3684" s="1" t="s">
        <v>8993</v>
      </c>
      <c r="C3684" s="5">
        <f>CONCATENATE("PD", TEXT(A3684, "1000000"))</f>
      </c>
      <c r="D3684" s="7">
        <v>8</v>
      </c>
      <c r="E3684" s="5">
        <f>XLOOKUP(G3684, item_category!C:C, item_category!B:B, "Not Found")</f>
      </c>
      <c r="F3684" s="1" t="s">
        <v>5517</v>
      </c>
      <c r="G3684" s="5">
        <f>XLOOKUP(I3684, drug!B:B, drug!A:A, "Not Found")</f>
      </c>
      <c r="H3684" s="1"/>
      <c r="I3684" s="9">
        <v>1.98</v>
      </c>
      <c r="J3684" s="5">
        <f>XLOOKUP(L3684, uom!C:C, uom!B:B, "Not Found")</f>
      </c>
      <c r="K3684" s="1" t="s">
        <v>5534</v>
      </c>
      <c r="L3684" s="5">
        <f>XLOOKUP(N3684, uom!C:C, uom!B:B, "Not Found")</f>
      </c>
      <c r="M3684" s="1" t="s">
        <v>5534</v>
      </c>
      <c r="N3684" s="8" t="s">
        <v>5512</v>
      </c>
      <c r="O3684" s="1" t="s">
        <v>5513</v>
      </c>
      <c r="P3684" s="5">
        <f>XLOOKUP(R3684, classification!C:C, classification!B:B, "Not Found")</f>
      </c>
      <c r="Q3684" s="1" t="s">
        <v>5514</v>
      </c>
      <c r="R3684" s="2"/>
      <c r="S3684" s="2"/>
      <c r="T3684" s="2"/>
      <c r="U3684" s="2"/>
    </row>
    <row x14ac:dyDescent="0.25" r="3685" customHeight="1" ht="17.25">
      <c r="A3685" s="7">
        <v>3684</v>
      </c>
      <c r="B3685" s="1" t="s">
        <v>8994</v>
      </c>
      <c r="C3685" s="5">
        <f>CONCATENATE("PD", TEXT(A3685, "1000000"))</f>
      </c>
      <c r="D3685" s="7">
        <v>8</v>
      </c>
      <c r="E3685" s="5">
        <f>XLOOKUP(G3685, item_category!C:C, item_category!B:B, "Not Found")</f>
      </c>
      <c r="F3685" s="1" t="s">
        <v>5517</v>
      </c>
      <c r="G3685" s="5">
        <f>XLOOKUP(I3685, drug!B:B, drug!A:A, "Not Found")</f>
      </c>
      <c r="H3685" s="1"/>
      <c r="I3685" s="9">
        <v>2.83</v>
      </c>
      <c r="J3685" s="5">
        <f>XLOOKUP(L3685, uom!C:C, uom!B:B, "Not Found")</f>
      </c>
      <c r="K3685" s="1" t="s">
        <v>5534</v>
      </c>
      <c r="L3685" s="5">
        <f>XLOOKUP(N3685, uom!C:C, uom!B:B, "Not Found")</f>
      </c>
      <c r="M3685" s="1" t="s">
        <v>5534</v>
      </c>
      <c r="N3685" s="8" t="s">
        <v>5512</v>
      </c>
      <c r="O3685" s="1" t="s">
        <v>5513</v>
      </c>
      <c r="P3685" s="5">
        <f>XLOOKUP(R3685, classification!C:C, classification!B:B, "Not Found")</f>
      </c>
      <c r="Q3685" s="1" t="s">
        <v>5514</v>
      </c>
      <c r="R3685" s="2"/>
      <c r="S3685" s="2"/>
      <c r="T3685" s="2"/>
      <c r="U3685" s="2"/>
    </row>
    <row x14ac:dyDescent="0.25" r="3686" customHeight="1" ht="17.25">
      <c r="A3686" s="7">
        <v>3685</v>
      </c>
      <c r="B3686" s="1" t="s">
        <v>8995</v>
      </c>
      <c r="C3686" s="5">
        <f>CONCATENATE("PD", TEXT(A3686, "1000000"))</f>
      </c>
      <c r="D3686" s="7">
        <v>63</v>
      </c>
      <c r="E3686" s="5">
        <f>XLOOKUP(G3686, item_category!C:C, item_category!B:B, "Not Found")</f>
      </c>
      <c r="F3686" s="1" t="s">
        <v>3726</v>
      </c>
      <c r="G3686" s="5">
        <f>XLOOKUP(I3686, drug!B:B, drug!A:A, "Not Found")</f>
      </c>
      <c r="H3686" s="1"/>
      <c r="I3686" s="7">
        <v>1</v>
      </c>
      <c r="J3686" s="5">
        <f>XLOOKUP(L3686, uom!C:C, uom!B:B, "Not Found")</f>
      </c>
      <c r="K3686" s="1" t="s">
        <v>5511</v>
      </c>
      <c r="L3686" s="5">
        <f>XLOOKUP(N3686, uom!C:C, uom!B:B, "Not Found")</f>
      </c>
      <c r="M3686" s="1" t="s">
        <v>5511</v>
      </c>
      <c r="N3686" s="8" t="s">
        <v>5512</v>
      </c>
      <c r="O3686" s="1" t="s">
        <v>5513</v>
      </c>
      <c r="P3686" s="5">
        <f>XLOOKUP(R3686, classification!C:C, classification!B:B, "Not Found")</f>
      </c>
      <c r="Q3686" s="1" t="s">
        <v>5514</v>
      </c>
      <c r="R3686" s="2"/>
      <c r="S3686" s="2"/>
      <c r="T3686" s="2"/>
      <c r="U3686" s="2"/>
    </row>
    <row x14ac:dyDescent="0.25" r="3687" customHeight="1" ht="17.25">
      <c r="A3687" s="7">
        <v>3686</v>
      </c>
      <c r="B3687" s="1" t="s">
        <v>8996</v>
      </c>
      <c r="C3687" s="5">
        <f>CONCATENATE("PD", TEXT(A3687, "1000000"))</f>
      </c>
      <c r="D3687" s="7">
        <v>59</v>
      </c>
      <c r="E3687" s="5">
        <f>XLOOKUP(G3687, item_category!C:C, item_category!B:B, "Not Found")</f>
      </c>
      <c r="F3687" s="1" t="s">
        <v>5527</v>
      </c>
      <c r="G3687" s="5">
        <f>XLOOKUP(I3687, drug!B:B, drug!A:A, "Not Found")</f>
      </c>
      <c r="H3687" s="1"/>
      <c r="I3687" s="7">
        <v>2</v>
      </c>
      <c r="J3687" s="5">
        <f>XLOOKUP(L3687, uom!C:C, uom!B:B, "Not Found")</f>
      </c>
      <c r="K3687" s="1" t="s">
        <v>5581</v>
      </c>
      <c r="L3687" s="5">
        <f>XLOOKUP(N3687, uom!C:C, uom!B:B, "Not Found")</f>
      </c>
      <c r="M3687" s="1" t="s">
        <v>5581</v>
      </c>
      <c r="N3687" s="8" t="s">
        <v>5524</v>
      </c>
      <c r="O3687" s="1" t="s">
        <v>5525</v>
      </c>
      <c r="P3687" s="5">
        <f>XLOOKUP(R3687, classification!C:C, classification!B:B, "Not Found")</f>
      </c>
      <c r="Q3687" s="1" t="s">
        <v>5514</v>
      </c>
      <c r="R3687" s="2"/>
      <c r="S3687" s="2"/>
      <c r="T3687" s="2"/>
      <c r="U3687" s="2"/>
    </row>
    <row x14ac:dyDescent="0.25" r="3688" customHeight="1" ht="17.25">
      <c r="A3688" s="7">
        <v>3687</v>
      </c>
      <c r="B3688" s="1" t="s">
        <v>8997</v>
      </c>
      <c r="C3688" s="5">
        <f>CONCATENATE("PD", TEXT(A3688, "1000000"))</f>
      </c>
      <c r="D3688" s="7">
        <v>76</v>
      </c>
      <c r="E3688" s="5">
        <f>XLOOKUP(G3688, item_category!C:C, item_category!B:B, "Not Found")</f>
      </c>
      <c r="F3688" s="1" t="s">
        <v>5632</v>
      </c>
      <c r="G3688" s="5">
        <f>XLOOKUP(I3688, drug!B:B, drug!A:A, "Not Found")</f>
      </c>
      <c r="H3688" s="1"/>
      <c r="I3688" s="7">
        <v>1</v>
      </c>
      <c r="J3688" s="5">
        <f>XLOOKUP(L3688, uom!C:C, uom!B:B, "Not Found")</f>
      </c>
      <c r="K3688" s="1" t="s">
        <v>5511</v>
      </c>
      <c r="L3688" s="5">
        <f>XLOOKUP(N3688, uom!C:C, uom!B:B, "Not Found")</f>
      </c>
      <c r="M3688" s="1" t="s">
        <v>5511</v>
      </c>
      <c r="N3688" s="8" t="s">
        <v>5512</v>
      </c>
      <c r="O3688" s="1" t="s">
        <v>5513</v>
      </c>
      <c r="P3688" s="5">
        <f>XLOOKUP(R3688, classification!C:C, classification!B:B, "Not Found")</f>
      </c>
      <c r="Q3688" s="1" t="s">
        <v>5514</v>
      </c>
      <c r="R3688" s="2"/>
      <c r="S3688" s="2"/>
      <c r="T3688" s="2"/>
      <c r="U3688" s="2"/>
    </row>
    <row x14ac:dyDescent="0.25" r="3689" customHeight="1" ht="17.25">
      <c r="A3689" s="7">
        <v>3688</v>
      </c>
      <c r="B3689" s="1" t="s">
        <v>8998</v>
      </c>
      <c r="C3689" s="5">
        <f>CONCATENATE("PD", TEXT(A3689, "1000000"))</f>
      </c>
      <c r="D3689" s="7">
        <v>76</v>
      </c>
      <c r="E3689" s="5">
        <f>XLOOKUP(G3689, item_category!C:C, item_category!B:B, "Not Found")</f>
      </c>
      <c r="F3689" s="1" t="s">
        <v>5632</v>
      </c>
      <c r="G3689" s="5">
        <f>XLOOKUP(I3689, drug!B:B, drug!A:A, "Not Found")</f>
      </c>
      <c r="H3689" s="1"/>
      <c r="I3689" s="7">
        <v>1</v>
      </c>
      <c r="J3689" s="5">
        <f>XLOOKUP(L3689, uom!C:C, uom!B:B, "Not Found")</f>
      </c>
      <c r="K3689" s="1" t="s">
        <v>5511</v>
      </c>
      <c r="L3689" s="5">
        <f>XLOOKUP(N3689, uom!C:C, uom!B:B, "Not Found")</f>
      </c>
      <c r="M3689" s="1" t="s">
        <v>5511</v>
      </c>
      <c r="N3689" s="8" t="s">
        <v>5512</v>
      </c>
      <c r="O3689" s="1" t="s">
        <v>5513</v>
      </c>
      <c r="P3689" s="5">
        <f>XLOOKUP(R3689, classification!C:C, classification!B:B, "Not Found")</f>
      </c>
      <c r="Q3689" s="1" t="s">
        <v>5514</v>
      </c>
      <c r="R3689" s="2"/>
      <c r="S3689" s="2"/>
      <c r="T3689" s="2"/>
      <c r="U3689" s="2"/>
    </row>
    <row x14ac:dyDescent="0.25" r="3690" customHeight="1" ht="17.25">
      <c r="A3690" s="7">
        <v>3689</v>
      </c>
      <c r="B3690" s="1" t="s">
        <v>8999</v>
      </c>
      <c r="C3690" s="5">
        <f>CONCATENATE("PD", TEXT(A3690, "1000000"))</f>
      </c>
      <c r="D3690" s="7">
        <v>76</v>
      </c>
      <c r="E3690" s="5">
        <f>XLOOKUP(G3690, item_category!C:C, item_category!B:B, "Not Found")</f>
      </c>
      <c r="F3690" s="1" t="s">
        <v>5632</v>
      </c>
      <c r="G3690" s="5">
        <f>XLOOKUP(I3690, drug!B:B, drug!A:A, "Not Found")</f>
      </c>
      <c r="H3690" s="1"/>
      <c r="I3690" s="7">
        <v>1</v>
      </c>
      <c r="J3690" s="5">
        <f>XLOOKUP(L3690, uom!C:C, uom!B:B, "Not Found")</f>
      </c>
      <c r="K3690" s="1" t="s">
        <v>5511</v>
      </c>
      <c r="L3690" s="5">
        <f>XLOOKUP(N3690, uom!C:C, uom!B:B, "Not Found")</f>
      </c>
      <c r="M3690" s="1" t="s">
        <v>5511</v>
      </c>
      <c r="N3690" s="8" t="s">
        <v>5512</v>
      </c>
      <c r="O3690" s="1" t="s">
        <v>5513</v>
      </c>
      <c r="P3690" s="5">
        <f>XLOOKUP(R3690, classification!C:C, classification!B:B, "Not Found")</f>
      </c>
      <c r="Q3690" s="1" t="s">
        <v>5514</v>
      </c>
      <c r="R3690" s="2"/>
      <c r="S3690" s="2"/>
      <c r="T3690" s="2"/>
      <c r="U3690" s="2"/>
    </row>
    <row x14ac:dyDescent="0.25" r="3691" customHeight="1" ht="17.25">
      <c r="A3691" s="7">
        <v>3690</v>
      </c>
      <c r="B3691" s="1" t="s">
        <v>9000</v>
      </c>
      <c r="C3691" s="5">
        <f>CONCATENATE("PD", TEXT(A3691, "1000000"))</f>
      </c>
      <c r="D3691" s="7">
        <v>76</v>
      </c>
      <c r="E3691" s="5">
        <f>XLOOKUP(G3691, item_category!C:C, item_category!B:B, "Not Found")</f>
      </c>
      <c r="F3691" s="1" t="s">
        <v>5632</v>
      </c>
      <c r="G3691" s="5">
        <f>XLOOKUP(I3691, drug!B:B, drug!A:A, "Not Found")</f>
      </c>
      <c r="H3691" s="1"/>
      <c r="I3691" s="7">
        <v>1</v>
      </c>
      <c r="J3691" s="5">
        <f>XLOOKUP(L3691, uom!C:C, uom!B:B, "Not Found")</f>
      </c>
      <c r="K3691" s="1" t="s">
        <v>5511</v>
      </c>
      <c r="L3691" s="5">
        <f>XLOOKUP(N3691, uom!C:C, uom!B:B, "Not Found")</f>
      </c>
      <c r="M3691" s="1" t="s">
        <v>5511</v>
      </c>
      <c r="N3691" s="8" t="s">
        <v>5512</v>
      </c>
      <c r="O3691" s="1" t="s">
        <v>5513</v>
      </c>
      <c r="P3691" s="5">
        <f>XLOOKUP(R3691, classification!C:C, classification!B:B, "Not Found")</f>
      </c>
      <c r="Q3691" s="1" t="s">
        <v>5514</v>
      </c>
      <c r="R3691" s="2"/>
      <c r="S3691" s="2"/>
      <c r="T3691" s="2"/>
      <c r="U3691" s="2"/>
    </row>
    <row x14ac:dyDescent="0.25" r="3692" customHeight="1" ht="17.25">
      <c r="A3692" s="7">
        <v>3691</v>
      </c>
      <c r="B3692" s="1" t="s">
        <v>9001</v>
      </c>
      <c r="C3692" s="5">
        <f>CONCATENATE("PD", TEXT(A3692, "1000000"))</f>
      </c>
      <c r="D3692" s="7">
        <v>76</v>
      </c>
      <c r="E3692" s="5">
        <f>XLOOKUP(G3692, item_category!C:C, item_category!B:B, "Not Found")</f>
      </c>
      <c r="F3692" s="1" t="s">
        <v>5632</v>
      </c>
      <c r="G3692" s="5">
        <f>XLOOKUP(I3692, drug!B:B, drug!A:A, "Not Found")</f>
      </c>
      <c r="H3692" s="1"/>
      <c r="I3692" s="7">
        <v>1</v>
      </c>
      <c r="J3692" s="5">
        <f>XLOOKUP(L3692, uom!C:C, uom!B:B, "Not Found")</f>
      </c>
      <c r="K3692" s="1" t="s">
        <v>5511</v>
      </c>
      <c r="L3692" s="5">
        <f>XLOOKUP(N3692, uom!C:C, uom!B:B, "Not Found")</f>
      </c>
      <c r="M3692" s="1" t="s">
        <v>5511</v>
      </c>
      <c r="N3692" s="8" t="s">
        <v>5512</v>
      </c>
      <c r="O3692" s="1" t="s">
        <v>5513</v>
      </c>
      <c r="P3692" s="5">
        <f>XLOOKUP(R3692, classification!C:C, classification!B:B, "Not Found")</f>
      </c>
      <c r="Q3692" s="1" t="s">
        <v>5514</v>
      </c>
      <c r="R3692" s="2"/>
      <c r="S3692" s="2"/>
      <c r="T3692" s="2"/>
      <c r="U3692" s="2"/>
    </row>
    <row x14ac:dyDescent="0.25" r="3693" customHeight="1" ht="17.25">
      <c r="A3693" s="7">
        <v>3692</v>
      </c>
      <c r="B3693" s="1" t="s">
        <v>9002</v>
      </c>
      <c r="C3693" s="5">
        <f>CONCATENATE("PD", TEXT(A3693, "1000000"))</f>
      </c>
      <c r="D3693" s="7">
        <v>76</v>
      </c>
      <c r="E3693" s="5">
        <f>XLOOKUP(G3693, item_category!C:C, item_category!B:B, "Not Found")</f>
      </c>
      <c r="F3693" s="1" t="s">
        <v>5632</v>
      </c>
      <c r="G3693" s="5">
        <f>XLOOKUP(I3693, drug!B:B, drug!A:A, "Not Found")</f>
      </c>
      <c r="H3693" s="1"/>
      <c r="I3693" s="7">
        <v>1</v>
      </c>
      <c r="J3693" s="5">
        <f>XLOOKUP(L3693, uom!C:C, uom!B:B, "Not Found")</f>
      </c>
      <c r="K3693" s="1" t="s">
        <v>5511</v>
      </c>
      <c r="L3693" s="5">
        <f>XLOOKUP(N3693, uom!C:C, uom!B:B, "Not Found")</f>
      </c>
      <c r="M3693" s="1" t="s">
        <v>5511</v>
      </c>
      <c r="N3693" s="8" t="s">
        <v>5512</v>
      </c>
      <c r="O3693" s="1" t="s">
        <v>5513</v>
      </c>
      <c r="P3693" s="5">
        <f>XLOOKUP(R3693, classification!C:C, classification!B:B, "Not Found")</f>
      </c>
      <c r="Q3693" s="1" t="s">
        <v>5514</v>
      </c>
      <c r="R3693" s="2"/>
      <c r="S3693" s="2"/>
      <c r="T3693" s="2"/>
      <c r="U3693" s="2"/>
    </row>
    <row x14ac:dyDescent="0.25" r="3694" customHeight="1" ht="17.25">
      <c r="A3694" s="7">
        <v>3693</v>
      </c>
      <c r="B3694" s="1" t="s">
        <v>9003</v>
      </c>
      <c r="C3694" s="5">
        <f>CONCATENATE("PD", TEXT(A3694, "1000000"))</f>
      </c>
      <c r="D3694" s="7">
        <v>76</v>
      </c>
      <c r="E3694" s="5">
        <f>XLOOKUP(G3694, item_category!C:C, item_category!B:B, "Not Found")</f>
      </c>
      <c r="F3694" s="1" t="s">
        <v>5632</v>
      </c>
      <c r="G3694" s="5">
        <f>XLOOKUP(I3694, drug!B:B, drug!A:A, "Not Found")</f>
      </c>
      <c r="H3694" s="1"/>
      <c r="I3694" s="7">
        <v>1</v>
      </c>
      <c r="J3694" s="5">
        <f>XLOOKUP(L3694, uom!C:C, uom!B:B, "Not Found")</f>
      </c>
      <c r="K3694" s="1" t="s">
        <v>5511</v>
      </c>
      <c r="L3694" s="5">
        <f>XLOOKUP(N3694, uom!C:C, uom!B:B, "Not Found")</f>
      </c>
      <c r="M3694" s="1" t="s">
        <v>5511</v>
      </c>
      <c r="N3694" s="8" t="s">
        <v>5512</v>
      </c>
      <c r="O3694" s="1" t="s">
        <v>5513</v>
      </c>
      <c r="P3694" s="5">
        <f>XLOOKUP(R3694, classification!C:C, classification!B:B, "Not Found")</f>
      </c>
      <c r="Q3694" s="1" t="s">
        <v>5514</v>
      </c>
      <c r="R3694" s="2"/>
      <c r="S3694" s="2"/>
      <c r="T3694" s="2"/>
      <c r="U3694" s="2"/>
    </row>
    <row x14ac:dyDescent="0.25" r="3695" customHeight="1" ht="17.25">
      <c r="A3695" s="7">
        <v>3694</v>
      </c>
      <c r="B3695" s="1" t="s">
        <v>9004</v>
      </c>
      <c r="C3695" s="5">
        <f>CONCATENATE("PD", TEXT(A3695, "1000000"))</f>
      </c>
      <c r="D3695" s="7">
        <v>76</v>
      </c>
      <c r="E3695" s="5">
        <f>XLOOKUP(G3695, item_category!C:C, item_category!B:B, "Not Found")</f>
      </c>
      <c r="F3695" s="1" t="s">
        <v>5632</v>
      </c>
      <c r="G3695" s="5">
        <f>XLOOKUP(I3695, drug!B:B, drug!A:A, "Not Found")</f>
      </c>
      <c r="H3695" s="1"/>
      <c r="I3695" s="7">
        <v>1</v>
      </c>
      <c r="J3695" s="5">
        <f>XLOOKUP(L3695, uom!C:C, uom!B:B, "Not Found")</f>
      </c>
      <c r="K3695" s="1" t="s">
        <v>5511</v>
      </c>
      <c r="L3695" s="5">
        <f>XLOOKUP(N3695, uom!C:C, uom!B:B, "Not Found")</f>
      </c>
      <c r="M3695" s="1" t="s">
        <v>5511</v>
      </c>
      <c r="N3695" s="8" t="s">
        <v>5512</v>
      </c>
      <c r="O3695" s="1" t="s">
        <v>5513</v>
      </c>
      <c r="P3695" s="5">
        <f>XLOOKUP(R3695, classification!C:C, classification!B:B, "Not Found")</f>
      </c>
      <c r="Q3695" s="1" t="s">
        <v>5514</v>
      </c>
      <c r="R3695" s="2"/>
      <c r="S3695" s="2"/>
      <c r="T3695" s="2"/>
      <c r="U3695" s="2"/>
    </row>
    <row x14ac:dyDescent="0.25" r="3696" customHeight="1" ht="17.25">
      <c r="A3696" s="7">
        <v>3695</v>
      </c>
      <c r="B3696" s="1" t="s">
        <v>9005</v>
      </c>
      <c r="C3696" s="5">
        <f>CONCATENATE("PD", TEXT(A3696, "1000000"))</f>
      </c>
      <c r="D3696" s="7">
        <v>76</v>
      </c>
      <c r="E3696" s="5">
        <f>XLOOKUP(G3696, item_category!C:C, item_category!B:B, "Not Found")</f>
      </c>
      <c r="F3696" s="1" t="s">
        <v>5632</v>
      </c>
      <c r="G3696" s="5">
        <f>XLOOKUP(I3696, drug!B:B, drug!A:A, "Not Found")</f>
      </c>
      <c r="H3696" s="1"/>
      <c r="I3696" s="7">
        <v>1</v>
      </c>
      <c r="J3696" s="5">
        <f>XLOOKUP(L3696, uom!C:C, uom!B:B, "Not Found")</f>
      </c>
      <c r="K3696" s="1" t="s">
        <v>5511</v>
      </c>
      <c r="L3696" s="5">
        <f>XLOOKUP(N3696, uom!C:C, uom!B:B, "Not Found")</f>
      </c>
      <c r="M3696" s="1" t="s">
        <v>5511</v>
      </c>
      <c r="N3696" s="8" t="s">
        <v>5512</v>
      </c>
      <c r="O3696" s="1" t="s">
        <v>5513</v>
      </c>
      <c r="P3696" s="5">
        <f>XLOOKUP(R3696, classification!C:C, classification!B:B, "Not Found")</f>
      </c>
      <c r="Q3696" s="1" t="s">
        <v>5514</v>
      </c>
      <c r="R3696" s="2"/>
      <c r="S3696" s="2"/>
      <c r="T3696" s="2"/>
      <c r="U3696" s="2"/>
    </row>
    <row x14ac:dyDescent="0.25" r="3697" customHeight="1" ht="17.25">
      <c r="A3697" s="7">
        <v>3696</v>
      </c>
      <c r="B3697" s="1" t="s">
        <v>9006</v>
      </c>
      <c r="C3697" s="5">
        <f>CONCATENATE("PD", TEXT(A3697, "1000000"))</f>
      </c>
      <c r="D3697" s="7">
        <v>76</v>
      </c>
      <c r="E3697" s="5">
        <f>XLOOKUP(G3697, item_category!C:C, item_category!B:B, "Not Found")</f>
      </c>
      <c r="F3697" s="1" t="s">
        <v>5632</v>
      </c>
      <c r="G3697" s="5">
        <f>XLOOKUP(I3697, drug!B:B, drug!A:A, "Not Found")</f>
      </c>
      <c r="H3697" s="1"/>
      <c r="I3697" s="7">
        <v>1</v>
      </c>
      <c r="J3697" s="5">
        <f>XLOOKUP(L3697, uom!C:C, uom!B:B, "Not Found")</f>
      </c>
      <c r="K3697" s="1" t="s">
        <v>5511</v>
      </c>
      <c r="L3697" s="5">
        <f>XLOOKUP(N3697, uom!C:C, uom!B:B, "Not Found")</f>
      </c>
      <c r="M3697" s="1" t="s">
        <v>5511</v>
      </c>
      <c r="N3697" s="8" t="s">
        <v>5512</v>
      </c>
      <c r="O3697" s="1" t="s">
        <v>5513</v>
      </c>
      <c r="P3697" s="5">
        <f>XLOOKUP(R3697, classification!C:C, classification!B:B, "Not Found")</f>
      </c>
      <c r="Q3697" s="1" t="s">
        <v>5514</v>
      </c>
      <c r="R3697" s="2"/>
      <c r="S3697" s="2"/>
      <c r="T3697" s="2"/>
      <c r="U3697" s="2"/>
    </row>
    <row x14ac:dyDescent="0.25" r="3698" customHeight="1" ht="17.25">
      <c r="A3698" s="7">
        <v>3697</v>
      </c>
      <c r="B3698" s="1" t="s">
        <v>9007</v>
      </c>
      <c r="C3698" s="5">
        <f>CONCATENATE("PD", TEXT(A3698, "1000000"))</f>
      </c>
      <c r="D3698" s="7">
        <v>76</v>
      </c>
      <c r="E3698" s="5">
        <f>XLOOKUP(G3698, item_category!C:C, item_category!B:B, "Not Found")</f>
      </c>
      <c r="F3698" s="1" t="s">
        <v>5632</v>
      </c>
      <c r="G3698" s="5">
        <f>XLOOKUP(I3698, drug!B:B, drug!A:A, "Not Found")</f>
      </c>
      <c r="H3698" s="1"/>
      <c r="I3698" s="7">
        <v>1</v>
      </c>
      <c r="J3698" s="5">
        <f>XLOOKUP(L3698, uom!C:C, uom!B:B, "Not Found")</f>
      </c>
      <c r="K3698" s="1" t="s">
        <v>5511</v>
      </c>
      <c r="L3698" s="5">
        <f>XLOOKUP(N3698, uom!C:C, uom!B:B, "Not Found")</f>
      </c>
      <c r="M3698" s="1" t="s">
        <v>5511</v>
      </c>
      <c r="N3698" s="8" t="s">
        <v>5512</v>
      </c>
      <c r="O3698" s="1" t="s">
        <v>5513</v>
      </c>
      <c r="P3698" s="5">
        <f>XLOOKUP(R3698, classification!C:C, classification!B:B, "Not Found")</f>
      </c>
      <c r="Q3698" s="1" t="s">
        <v>5514</v>
      </c>
      <c r="R3698" s="2"/>
      <c r="S3698" s="2"/>
      <c r="T3698" s="2"/>
      <c r="U3698" s="2"/>
    </row>
    <row x14ac:dyDescent="0.25" r="3699" customHeight="1" ht="17.25">
      <c r="A3699" s="7">
        <v>3698</v>
      </c>
      <c r="B3699" s="1" t="s">
        <v>9008</v>
      </c>
      <c r="C3699" s="5">
        <f>CONCATENATE("PD", TEXT(A3699, "1000000"))</f>
      </c>
      <c r="D3699" s="7">
        <v>76</v>
      </c>
      <c r="E3699" s="5">
        <f>XLOOKUP(G3699, item_category!C:C, item_category!B:B, "Not Found")</f>
      </c>
      <c r="F3699" s="1" t="s">
        <v>5632</v>
      </c>
      <c r="G3699" s="5">
        <f>XLOOKUP(I3699, drug!B:B, drug!A:A, "Not Found")</f>
      </c>
      <c r="H3699" s="1"/>
      <c r="I3699" s="7">
        <v>1</v>
      </c>
      <c r="J3699" s="5">
        <f>XLOOKUP(L3699, uom!C:C, uom!B:B, "Not Found")</f>
      </c>
      <c r="K3699" s="1" t="s">
        <v>5511</v>
      </c>
      <c r="L3699" s="5">
        <f>XLOOKUP(N3699, uom!C:C, uom!B:B, "Not Found")</f>
      </c>
      <c r="M3699" s="1" t="s">
        <v>5511</v>
      </c>
      <c r="N3699" s="8" t="s">
        <v>5512</v>
      </c>
      <c r="O3699" s="1" t="s">
        <v>5513</v>
      </c>
      <c r="P3699" s="5">
        <f>XLOOKUP(R3699, classification!C:C, classification!B:B, "Not Found")</f>
      </c>
      <c r="Q3699" s="1" t="s">
        <v>5514</v>
      </c>
      <c r="R3699" s="2"/>
      <c r="S3699" s="2"/>
      <c r="T3699" s="2"/>
      <c r="U3699" s="2"/>
    </row>
    <row x14ac:dyDescent="0.25" r="3700" customHeight="1" ht="17.25">
      <c r="A3700" s="7">
        <v>3699</v>
      </c>
      <c r="B3700" s="1" t="s">
        <v>9009</v>
      </c>
      <c r="C3700" s="5">
        <f>CONCATENATE("PD", TEXT(A3700, "1000000"))</f>
      </c>
      <c r="D3700" s="7">
        <v>76</v>
      </c>
      <c r="E3700" s="5">
        <f>XLOOKUP(G3700, item_category!C:C, item_category!B:B, "Not Found")</f>
      </c>
      <c r="F3700" s="1" t="s">
        <v>5632</v>
      </c>
      <c r="G3700" s="5">
        <f>XLOOKUP(I3700, drug!B:B, drug!A:A, "Not Found")</f>
      </c>
      <c r="H3700" s="1"/>
      <c r="I3700" s="7">
        <v>1</v>
      </c>
      <c r="J3700" s="5">
        <f>XLOOKUP(L3700, uom!C:C, uom!B:B, "Not Found")</f>
      </c>
      <c r="K3700" s="1" t="s">
        <v>5511</v>
      </c>
      <c r="L3700" s="5">
        <f>XLOOKUP(N3700, uom!C:C, uom!B:B, "Not Found")</f>
      </c>
      <c r="M3700" s="1" t="s">
        <v>5511</v>
      </c>
      <c r="N3700" s="8" t="s">
        <v>5512</v>
      </c>
      <c r="O3700" s="1" t="s">
        <v>5513</v>
      </c>
      <c r="P3700" s="5">
        <f>XLOOKUP(R3700, classification!C:C, classification!B:B, "Not Found")</f>
      </c>
      <c r="Q3700" s="1" t="s">
        <v>5514</v>
      </c>
      <c r="R3700" s="2"/>
      <c r="S3700" s="2"/>
      <c r="T3700" s="2"/>
      <c r="U3700" s="2"/>
    </row>
    <row x14ac:dyDescent="0.25" r="3701" customHeight="1" ht="17.25">
      <c r="A3701" s="7">
        <v>3700</v>
      </c>
      <c r="B3701" s="1" t="s">
        <v>9010</v>
      </c>
      <c r="C3701" s="5">
        <f>CONCATENATE("PD", TEXT(A3701, "1000000"))</f>
      </c>
      <c r="D3701" s="7">
        <v>76</v>
      </c>
      <c r="E3701" s="5">
        <f>XLOOKUP(G3701, item_category!C:C, item_category!B:B, "Not Found")</f>
      </c>
      <c r="F3701" s="1" t="s">
        <v>5632</v>
      </c>
      <c r="G3701" s="5">
        <f>XLOOKUP(I3701, drug!B:B, drug!A:A, "Not Found")</f>
      </c>
      <c r="H3701" s="1"/>
      <c r="I3701" s="7">
        <v>1</v>
      </c>
      <c r="J3701" s="5">
        <f>XLOOKUP(L3701, uom!C:C, uom!B:B, "Not Found")</f>
      </c>
      <c r="K3701" s="1" t="s">
        <v>5511</v>
      </c>
      <c r="L3701" s="5">
        <f>XLOOKUP(N3701, uom!C:C, uom!B:B, "Not Found")</f>
      </c>
      <c r="M3701" s="1" t="s">
        <v>5511</v>
      </c>
      <c r="N3701" s="8" t="s">
        <v>5512</v>
      </c>
      <c r="O3701" s="1" t="s">
        <v>5513</v>
      </c>
      <c r="P3701" s="5">
        <f>XLOOKUP(R3701, classification!C:C, classification!B:B, "Not Found")</f>
      </c>
      <c r="Q3701" s="1" t="s">
        <v>5514</v>
      </c>
      <c r="R3701" s="2"/>
      <c r="S3701" s="2"/>
      <c r="T3701" s="2"/>
      <c r="U3701" s="2"/>
    </row>
    <row x14ac:dyDescent="0.25" r="3702" customHeight="1" ht="17.25">
      <c r="A3702" s="7">
        <v>3701</v>
      </c>
      <c r="B3702" s="1" t="s">
        <v>9011</v>
      </c>
      <c r="C3702" s="5">
        <f>CONCATENATE("PD", TEXT(A3702, "1000000"))</f>
      </c>
      <c r="D3702" s="7">
        <v>76</v>
      </c>
      <c r="E3702" s="5">
        <f>XLOOKUP(G3702, item_category!C:C, item_category!B:B, "Not Found")</f>
      </c>
      <c r="F3702" s="1" t="s">
        <v>5632</v>
      </c>
      <c r="G3702" s="5">
        <f>XLOOKUP(I3702, drug!B:B, drug!A:A, "Not Found")</f>
      </c>
      <c r="H3702" s="1"/>
      <c r="I3702" s="7">
        <v>1</v>
      </c>
      <c r="J3702" s="5">
        <f>XLOOKUP(L3702, uom!C:C, uom!B:B, "Not Found")</f>
      </c>
      <c r="K3702" s="1" t="s">
        <v>5511</v>
      </c>
      <c r="L3702" s="5">
        <f>XLOOKUP(N3702, uom!C:C, uom!B:B, "Not Found")</f>
      </c>
      <c r="M3702" s="1" t="s">
        <v>5511</v>
      </c>
      <c r="N3702" s="8" t="s">
        <v>5512</v>
      </c>
      <c r="O3702" s="1" t="s">
        <v>5513</v>
      </c>
      <c r="P3702" s="5">
        <f>XLOOKUP(R3702, classification!C:C, classification!B:B, "Not Found")</f>
      </c>
      <c r="Q3702" s="1" t="s">
        <v>5514</v>
      </c>
      <c r="R3702" s="2"/>
      <c r="S3702" s="2"/>
      <c r="T3702" s="2"/>
      <c r="U3702" s="2"/>
    </row>
    <row x14ac:dyDescent="0.25" r="3703" customHeight="1" ht="17.25">
      <c r="A3703" s="7">
        <v>3702</v>
      </c>
      <c r="B3703" s="1" t="s">
        <v>9012</v>
      </c>
      <c r="C3703" s="5">
        <f>CONCATENATE("PD", TEXT(A3703, "1000000"))</f>
      </c>
      <c r="D3703" s="7">
        <v>76</v>
      </c>
      <c r="E3703" s="5">
        <f>XLOOKUP(G3703, item_category!C:C, item_category!B:B, "Not Found")</f>
      </c>
      <c r="F3703" s="1" t="s">
        <v>5632</v>
      </c>
      <c r="G3703" s="5">
        <f>XLOOKUP(I3703, drug!B:B, drug!A:A, "Not Found")</f>
      </c>
      <c r="H3703" s="1"/>
      <c r="I3703" s="7">
        <v>1</v>
      </c>
      <c r="J3703" s="5">
        <f>XLOOKUP(L3703, uom!C:C, uom!B:B, "Not Found")</f>
      </c>
      <c r="K3703" s="1" t="s">
        <v>5511</v>
      </c>
      <c r="L3703" s="5">
        <f>XLOOKUP(N3703, uom!C:C, uom!B:B, "Not Found")</f>
      </c>
      <c r="M3703" s="1" t="s">
        <v>5511</v>
      </c>
      <c r="N3703" s="8" t="s">
        <v>5512</v>
      </c>
      <c r="O3703" s="1" t="s">
        <v>5513</v>
      </c>
      <c r="P3703" s="5">
        <f>XLOOKUP(R3703, classification!C:C, classification!B:B, "Not Found")</f>
      </c>
      <c r="Q3703" s="1" t="s">
        <v>5514</v>
      </c>
      <c r="R3703" s="2"/>
      <c r="S3703" s="2"/>
      <c r="T3703" s="2"/>
      <c r="U3703" s="2"/>
    </row>
    <row x14ac:dyDescent="0.25" r="3704" customHeight="1" ht="17.25">
      <c r="A3704" s="7">
        <v>3703</v>
      </c>
      <c r="B3704" s="1" t="s">
        <v>9013</v>
      </c>
      <c r="C3704" s="5">
        <f>CONCATENATE("PD", TEXT(A3704, "1000000"))</f>
      </c>
      <c r="D3704" s="7">
        <v>76</v>
      </c>
      <c r="E3704" s="5">
        <f>XLOOKUP(G3704, item_category!C:C, item_category!B:B, "Not Found")</f>
      </c>
      <c r="F3704" s="1" t="s">
        <v>5632</v>
      </c>
      <c r="G3704" s="5">
        <f>XLOOKUP(I3704, drug!B:B, drug!A:A, "Not Found")</f>
      </c>
      <c r="H3704" s="1"/>
      <c r="I3704" s="7">
        <v>1</v>
      </c>
      <c r="J3704" s="5">
        <f>XLOOKUP(L3704, uom!C:C, uom!B:B, "Not Found")</f>
      </c>
      <c r="K3704" s="1" t="s">
        <v>5511</v>
      </c>
      <c r="L3704" s="5">
        <f>XLOOKUP(N3704, uom!C:C, uom!B:B, "Not Found")</f>
      </c>
      <c r="M3704" s="1" t="s">
        <v>5511</v>
      </c>
      <c r="N3704" s="8" t="s">
        <v>5512</v>
      </c>
      <c r="O3704" s="1" t="s">
        <v>5513</v>
      </c>
      <c r="P3704" s="5">
        <f>XLOOKUP(R3704, classification!C:C, classification!B:B, "Not Found")</f>
      </c>
      <c r="Q3704" s="1" t="s">
        <v>5514</v>
      </c>
      <c r="R3704" s="2"/>
      <c r="S3704" s="2"/>
      <c r="T3704" s="2"/>
      <c r="U3704" s="2"/>
    </row>
    <row x14ac:dyDescent="0.25" r="3705" customHeight="1" ht="17.25">
      <c r="A3705" s="7">
        <v>3704</v>
      </c>
      <c r="B3705" s="1" t="s">
        <v>9014</v>
      </c>
      <c r="C3705" s="5">
        <f>CONCATENATE("PD", TEXT(A3705, "1000000"))</f>
      </c>
      <c r="D3705" s="7">
        <v>76</v>
      </c>
      <c r="E3705" s="5">
        <f>XLOOKUP(G3705, item_category!C:C, item_category!B:B, "Not Found")</f>
      </c>
      <c r="F3705" s="1" t="s">
        <v>5632</v>
      </c>
      <c r="G3705" s="5">
        <f>XLOOKUP(I3705, drug!B:B, drug!A:A, "Not Found")</f>
      </c>
      <c r="H3705" s="1"/>
      <c r="I3705" s="7">
        <v>1</v>
      </c>
      <c r="J3705" s="5">
        <f>XLOOKUP(L3705, uom!C:C, uom!B:B, "Not Found")</f>
      </c>
      <c r="K3705" s="1" t="s">
        <v>5511</v>
      </c>
      <c r="L3705" s="5">
        <f>XLOOKUP(N3705, uom!C:C, uom!B:B, "Not Found")</f>
      </c>
      <c r="M3705" s="1" t="s">
        <v>5511</v>
      </c>
      <c r="N3705" s="8" t="s">
        <v>5512</v>
      </c>
      <c r="O3705" s="1" t="s">
        <v>5513</v>
      </c>
      <c r="P3705" s="5">
        <f>XLOOKUP(R3705, classification!C:C, classification!B:B, "Not Found")</f>
      </c>
      <c r="Q3705" s="1" t="s">
        <v>5514</v>
      </c>
      <c r="R3705" s="2"/>
      <c r="S3705" s="2"/>
      <c r="T3705" s="2"/>
      <c r="U3705" s="2"/>
    </row>
    <row x14ac:dyDescent="0.25" r="3706" customHeight="1" ht="17.25">
      <c r="A3706" s="7">
        <v>3705</v>
      </c>
      <c r="B3706" s="1" t="s">
        <v>9015</v>
      </c>
      <c r="C3706" s="5">
        <f>CONCATENATE("PD", TEXT(A3706, "1000000"))</f>
      </c>
      <c r="D3706" s="7">
        <v>76</v>
      </c>
      <c r="E3706" s="5">
        <f>XLOOKUP(G3706, item_category!C:C, item_category!B:B, "Not Found")</f>
      </c>
      <c r="F3706" s="1" t="s">
        <v>5632</v>
      </c>
      <c r="G3706" s="5">
        <f>XLOOKUP(I3706, drug!B:B, drug!A:A, "Not Found")</f>
      </c>
      <c r="H3706" s="1"/>
      <c r="I3706" s="7">
        <v>1</v>
      </c>
      <c r="J3706" s="5">
        <f>XLOOKUP(L3706, uom!C:C, uom!B:B, "Not Found")</f>
      </c>
      <c r="K3706" s="1" t="s">
        <v>5511</v>
      </c>
      <c r="L3706" s="5">
        <f>XLOOKUP(N3706, uom!C:C, uom!B:B, "Not Found")</f>
      </c>
      <c r="M3706" s="1" t="s">
        <v>5511</v>
      </c>
      <c r="N3706" s="8" t="s">
        <v>5512</v>
      </c>
      <c r="O3706" s="1" t="s">
        <v>5513</v>
      </c>
      <c r="P3706" s="5">
        <f>XLOOKUP(R3706, classification!C:C, classification!B:B, "Not Found")</f>
      </c>
      <c r="Q3706" s="1" t="s">
        <v>5514</v>
      </c>
      <c r="R3706" s="2"/>
      <c r="S3706" s="2"/>
      <c r="T3706" s="2"/>
      <c r="U3706" s="2"/>
    </row>
    <row x14ac:dyDescent="0.25" r="3707" customHeight="1" ht="17.25">
      <c r="A3707" s="7">
        <v>3706</v>
      </c>
      <c r="B3707" s="1" t="s">
        <v>9016</v>
      </c>
      <c r="C3707" s="5">
        <f>CONCATENATE("PD", TEXT(A3707, "1000000"))</f>
      </c>
      <c r="D3707" s="7">
        <v>76</v>
      </c>
      <c r="E3707" s="5">
        <f>XLOOKUP(G3707, item_category!C:C, item_category!B:B, "Not Found")</f>
      </c>
      <c r="F3707" s="1" t="s">
        <v>5632</v>
      </c>
      <c r="G3707" s="5">
        <f>XLOOKUP(I3707, drug!B:B, drug!A:A, "Not Found")</f>
      </c>
      <c r="H3707" s="1" t="s">
        <v>413</v>
      </c>
      <c r="I3707" s="7">
        <v>1</v>
      </c>
      <c r="J3707" s="5">
        <f>XLOOKUP(L3707, uom!C:C, uom!B:B, "Not Found")</f>
      </c>
      <c r="K3707" s="1" t="s">
        <v>5511</v>
      </c>
      <c r="L3707" s="5">
        <f>XLOOKUP(N3707, uom!C:C, uom!B:B, "Not Found")</f>
      </c>
      <c r="M3707" s="1" t="s">
        <v>5511</v>
      </c>
      <c r="N3707" s="8" t="s">
        <v>5512</v>
      </c>
      <c r="O3707" s="1" t="s">
        <v>5513</v>
      </c>
      <c r="P3707" s="5">
        <f>XLOOKUP(R3707, classification!C:C, classification!B:B, "Not Found")</f>
      </c>
      <c r="Q3707" s="1" t="s">
        <v>5514</v>
      </c>
      <c r="R3707" s="2"/>
      <c r="S3707" s="2"/>
      <c r="T3707" s="2"/>
      <c r="U3707" s="2"/>
    </row>
    <row x14ac:dyDescent="0.25" r="3708" customHeight="1" ht="17.25">
      <c r="A3708" s="7">
        <v>3707</v>
      </c>
      <c r="B3708" s="1" t="s">
        <v>9017</v>
      </c>
      <c r="C3708" s="5">
        <f>CONCATENATE("PD", TEXT(A3708, "1000000"))</f>
      </c>
      <c r="D3708" s="7">
        <v>76</v>
      </c>
      <c r="E3708" s="5">
        <f>XLOOKUP(G3708, item_category!C:C, item_category!B:B, "Not Found")</f>
      </c>
      <c r="F3708" s="1" t="s">
        <v>5632</v>
      </c>
      <c r="G3708" s="5">
        <f>XLOOKUP(I3708, drug!B:B, drug!A:A, "Not Found")</f>
      </c>
      <c r="H3708" s="1" t="s">
        <v>413</v>
      </c>
      <c r="I3708" s="7">
        <v>1</v>
      </c>
      <c r="J3708" s="5">
        <f>XLOOKUP(L3708, uom!C:C, uom!B:B, "Not Found")</f>
      </c>
      <c r="K3708" s="1" t="s">
        <v>5511</v>
      </c>
      <c r="L3708" s="5">
        <f>XLOOKUP(N3708, uom!C:C, uom!B:B, "Not Found")</f>
      </c>
      <c r="M3708" s="1" t="s">
        <v>5511</v>
      </c>
      <c r="N3708" s="8" t="s">
        <v>5512</v>
      </c>
      <c r="O3708" s="1" t="s">
        <v>5513</v>
      </c>
      <c r="P3708" s="5">
        <f>XLOOKUP(R3708, classification!C:C, classification!B:B, "Not Found")</f>
      </c>
      <c r="Q3708" s="1" t="s">
        <v>5514</v>
      </c>
      <c r="R3708" s="2"/>
      <c r="S3708" s="2"/>
      <c r="T3708" s="2"/>
      <c r="U3708" s="2"/>
    </row>
    <row x14ac:dyDescent="0.25" r="3709" customHeight="1" ht="17.25">
      <c r="A3709" s="7">
        <v>3708</v>
      </c>
      <c r="B3709" s="1" t="s">
        <v>9018</v>
      </c>
      <c r="C3709" s="5">
        <f>CONCATENATE("PD", TEXT(A3709, "1000000"))</f>
      </c>
      <c r="D3709" s="7">
        <v>76</v>
      </c>
      <c r="E3709" s="5">
        <f>XLOOKUP(G3709, item_category!C:C, item_category!B:B, "Not Found")</f>
      </c>
      <c r="F3709" s="1" t="s">
        <v>5632</v>
      </c>
      <c r="G3709" s="5">
        <f>XLOOKUP(I3709, drug!B:B, drug!A:A, "Not Found")</f>
      </c>
      <c r="H3709" s="1"/>
      <c r="I3709" s="7">
        <v>1</v>
      </c>
      <c r="J3709" s="5">
        <f>XLOOKUP(L3709, uom!C:C, uom!B:B, "Not Found")</f>
      </c>
      <c r="K3709" s="1" t="s">
        <v>5511</v>
      </c>
      <c r="L3709" s="5">
        <f>XLOOKUP(N3709, uom!C:C, uom!B:B, "Not Found")</f>
      </c>
      <c r="M3709" s="1" t="s">
        <v>5511</v>
      </c>
      <c r="N3709" s="8" t="s">
        <v>5512</v>
      </c>
      <c r="O3709" s="1" t="s">
        <v>5513</v>
      </c>
      <c r="P3709" s="5">
        <f>XLOOKUP(R3709, classification!C:C, classification!B:B, "Not Found")</f>
      </c>
      <c r="Q3709" s="1" t="s">
        <v>5514</v>
      </c>
      <c r="R3709" s="2"/>
      <c r="S3709" s="2"/>
      <c r="T3709" s="2"/>
      <c r="U3709" s="2"/>
    </row>
    <row x14ac:dyDescent="0.25" r="3710" customHeight="1" ht="17.25">
      <c r="A3710" s="7">
        <v>3709</v>
      </c>
      <c r="B3710" s="1" t="s">
        <v>9019</v>
      </c>
      <c r="C3710" s="5">
        <f>CONCATENATE("PD", TEXT(A3710, "1000000"))</f>
      </c>
      <c r="D3710" s="7">
        <v>76</v>
      </c>
      <c r="E3710" s="5">
        <f>XLOOKUP(G3710, item_category!C:C, item_category!B:B, "Not Found")</f>
      </c>
      <c r="F3710" s="1" t="s">
        <v>5632</v>
      </c>
      <c r="G3710" s="5">
        <f>XLOOKUP(I3710, drug!B:B, drug!A:A, "Not Found")</f>
      </c>
      <c r="H3710" s="1"/>
      <c r="I3710" s="7">
        <v>50</v>
      </c>
      <c r="J3710" s="5">
        <f>XLOOKUP(L3710, uom!C:C, uom!B:B, "Not Found")</f>
      </c>
      <c r="K3710" s="1" t="s">
        <v>5511</v>
      </c>
      <c r="L3710" s="5">
        <f>XLOOKUP(N3710, uom!C:C, uom!B:B, "Not Found")</f>
      </c>
      <c r="M3710" s="1" t="s">
        <v>5511</v>
      </c>
      <c r="N3710" s="8" t="s">
        <v>5524</v>
      </c>
      <c r="O3710" s="1" t="s">
        <v>5525</v>
      </c>
      <c r="P3710" s="5">
        <f>XLOOKUP(R3710, classification!C:C, classification!B:B, "Not Found")</f>
      </c>
      <c r="Q3710" s="1" t="s">
        <v>5514</v>
      </c>
      <c r="R3710" s="2"/>
      <c r="S3710" s="2"/>
      <c r="T3710" s="2"/>
      <c r="U3710" s="2"/>
    </row>
    <row x14ac:dyDescent="0.25" r="3711" customHeight="1" ht="17.25">
      <c r="A3711" s="7">
        <v>3710</v>
      </c>
      <c r="B3711" s="1" t="s">
        <v>9020</v>
      </c>
      <c r="C3711" s="5">
        <f>CONCATENATE("PD", TEXT(A3711, "1000000"))</f>
      </c>
      <c r="D3711" s="7">
        <v>76</v>
      </c>
      <c r="E3711" s="5">
        <f>XLOOKUP(G3711, item_category!C:C, item_category!B:B, "Not Found")</f>
      </c>
      <c r="F3711" s="1" t="s">
        <v>5632</v>
      </c>
      <c r="G3711" s="5">
        <f>XLOOKUP(I3711, drug!B:B, drug!A:A, "Not Found")</f>
      </c>
      <c r="H3711" s="1"/>
      <c r="I3711" s="7">
        <v>30</v>
      </c>
      <c r="J3711" s="5">
        <f>XLOOKUP(L3711, uom!C:C, uom!B:B, "Not Found")</f>
      </c>
      <c r="K3711" s="1" t="s">
        <v>7989</v>
      </c>
      <c r="L3711" s="5">
        <f>XLOOKUP(N3711, uom!C:C, uom!B:B, "Not Found")</f>
      </c>
      <c r="M3711" s="1" t="s">
        <v>7989</v>
      </c>
      <c r="N3711" s="8" t="s">
        <v>5524</v>
      </c>
      <c r="O3711" s="1" t="s">
        <v>5525</v>
      </c>
      <c r="P3711" s="5">
        <f>XLOOKUP(R3711, classification!C:C, classification!B:B, "Not Found")</f>
      </c>
      <c r="Q3711" s="1" t="s">
        <v>5514</v>
      </c>
      <c r="R3711" s="2"/>
      <c r="S3711" s="2"/>
      <c r="T3711" s="2"/>
      <c r="U3711" s="2"/>
    </row>
    <row x14ac:dyDescent="0.25" r="3712" customHeight="1" ht="17.25">
      <c r="A3712" s="7">
        <v>3711</v>
      </c>
      <c r="B3712" s="1" t="s">
        <v>9021</v>
      </c>
      <c r="C3712" s="5">
        <f>CONCATENATE("PD", TEXT(A3712, "1000000"))</f>
      </c>
      <c r="D3712" s="7">
        <v>76</v>
      </c>
      <c r="E3712" s="5">
        <f>XLOOKUP(G3712, item_category!C:C, item_category!B:B, "Not Found")</f>
      </c>
      <c r="F3712" s="1" t="s">
        <v>5632</v>
      </c>
      <c r="G3712" s="5">
        <f>XLOOKUP(I3712, drug!B:B, drug!A:A, "Not Found")</f>
      </c>
      <c r="H3712" s="1" t="s">
        <v>413</v>
      </c>
      <c r="I3712" s="7">
        <v>400</v>
      </c>
      <c r="J3712" s="5">
        <f>XLOOKUP(L3712, uom!C:C, uom!B:B, "Not Found")</f>
      </c>
      <c r="K3712" s="1" t="s">
        <v>5511</v>
      </c>
      <c r="L3712" s="5">
        <f>XLOOKUP(N3712, uom!C:C, uom!B:B, "Not Found")</f>
      </c>
      <c r="M3712" s="1" t="s">
        <v>5511</v>
      </c>
      <c r="N3712" s="8" t="s">
        <v>5524</v>
      </c>
      <c r="O3712" s="1" t="s">
        <v>5525</v>
      </c>
      <c r="P3712" s="5">
        <f>XLOOKUP(R3712, classification!C:C, classification!B:B, "Not Found")</f>
      </c>
      <c r="Q3712" s="1" t="s">
        <v>5514</v>
      </c>
      <c r="R3712" s="2"/>
      <c r="S3712" s="2"/>
      <c r="T3712" s="2"/>
      <c r="U3712" s="2"/>
    </row>
    <row x14ac:dyDescent="0.25" r="3713" customHeight="1" ht="17.25">
      <c r="A3713" s="7">
        <v>3712</v>
      </c>
      <c r="B3713" s="1" t="s">
        <v>9022</v>
      </c>
      <c r="C3713" s="5">
        <f>CONCATENATE("PD", TEXT(A3713, "1000000"))</f>
      </c>
      <c r="D3713" s="7">
        <v>76</v>
      </c>
      <c r="E3713" s="5">
        <f>XLOOKUP(G3713, item_category!C:C, item_category!B:B, "Not Found")</f>
      </c>
      <c r="F3713" s="1" t="s">
        <v>5632</v>
      </c>
      <c r="G3713" s="5">
        <f>XLOOKUP(I3713, drug!B:B, drug!A:A, "Not Found")</f>
      </c>
      <c r="H3713" s="1" t="s">
        <v>531</v>
      </c>
      <c r="I3713" s="7">
        <v>1</v>
      </c>
      <c r="J3713" s="5">
        <f>XLOOKUP(L3713, uom!C:C, uom!B:B, "Not Found")</f>
      </c>
      <c r="K3713" s="1" t="s">
        <v>5511</v>
      </c>
      <c r="L3713" s="5">
        <f>XLOOKUP(N3713, uom!C:C, uom!B:B, "Not Found")</f>
      </c>
      <c r="M3713" s="1" t="s">
        <v>5511</v>
      </c>
      <c r="N3713" s="8" t="s">
        <v>5512</v>
      </c>
      <c r="O3713" s="1" t="s">
        <v>5513</v>
      </c>
      <c r="P3713" s="5">
        <f>XLOOKUP(R3713, classification!C:C, classification!B:B, "Not Found")</f>
      </c>
      <c r="Q3713" s="1" t="s">
        <v>5514</v>
      </c>
      <c r="R3713" s="2"/>
      <c r="S3713" s="2"/>
      <c r="T3713" s="2"/>
      <c r="U3713" s="2"/>
    </row>
    <row x14ac:dyDescent="0.25" r="3714" customHeight="1" ht="17.25">
      <c r="A3714" s="7">
        <v>3713</v>
      </c>
      <c r="B3714" s="1" t="s">
        <v>9023</v>
      </c>
      <c r="C3714" s="5">
        <f>CONCATENATE("PD", TEXT(A3714, "1000000"))</f>
      </c>
      <c r="D3714" s="7">
        <v>76</v>
      </c>
      <c r="E3714" s="5">
        <f>XLOOKUP(G3714, item_category!C:C, item_category!B:B, "Not Found")</f>
      </c>
      <c r="F3714" s="1" t="s">
        <v>5632</v>
      </c>
      <c r="G3714" s="5">
        <f>XLOOKUP(I3714, drug!B:B, drug!A:A, "Not Found")</f>
      </c>
      <c r="H3714" s="1" t="s">
        <v>531</v>
      </c>
      <c r="I3714" s="7">
        <v>1</v>
      </c>
      <c r="J3714" s="5">
        <f>XLOOKUP(L3714, uom!C:C, uom!B:B, "Not Found")</f>
      </c>
      <c r="K3714" s="1" t="s">
        <v>5511</v>
      </c>
      <c r="L3714" s="5">
        <f>XLOOKUP(N3714, uom!C:C, uom!B:B, "Not Found")</f>
      </c>
      <c r="M3714" s="1" t="s">
        <v>5511</v>
      </c>
      <c r="N3714" s="8" t="s">
        <v>5512</v>
      </c>
      <c r="O3714" s="1" t="s">
        <v>5513</v>
      </c>
      <c r="P3714" s="5">
        <f>XLOOKUP(R3714, classification!C:C, classification!B:B, "Not Found")</f>
      </c>
      <c r="Q3714" s="1" t="s">
        <v>5514</v>
      </c>
      <c r="R3714" s="2"/>
      <c r="S3714" s="2"/>
      <c r="T3714" s="2"/>
      <c r="U3714" s="2"/>
    </row>
    <row x14ac:dyDescent="0.25" r="3715" customHeight="1" ht="17.25">
      <c r="A3715" s="7">
        <v>3714</v>
      </c>
      <c r="B3715" s="1" t="s">
        <v>9024</v>
      </c>
      <c r="C3715" s="5">
        <f>CONCATENATE("PD", TEXT(A3715, "1000000"))</f>
      </c>
      <c r="D3715" s="7">
        <v>76</v>
      </c>
      <c r="E3715" s="5">
        <f>XLOOKUP(G3715, item_category!C:C, item_category!B:B, "Not Found")</f>
      </c>
      <c r="F3715" s="1" t="s">
        <v>5632</v>
      </c>
      <c r="G3715" s="5">
        <f>XLOOKUP(I3715, drug!B:B, drug!A:A, "Not Found")</f>
      </c>
      <c r="H3715" s="1" t="s">
        <v>531</v>
      </c>
      <c r="I3715" s="7">
        <v>1</v>
      </c>
      <c r="J3715" s="5">
        <f>XLOOKUP(L3715, uom!C:C, uom!B:B, "Not Found")</f>
      </c>
      <c r="K3715" s="1" t="s">
        <v>5511</v>
      </c>
      <c r="L3715" s="5">
        <f>XLOOKUP(N3715, uom!C:C, uom!B:B, "Not Found")</f>
      </c>
      <c r="M3715" s="1" t="s">
        <v>5511</v>
      </c>
      <c r="N3715" s="8" t="s">
        <v>5512</v>
      </c>
      <c r="O3715" s="1" t="s">
        <v>5513</v>
      </c>
      <c r="P3715" s="5">
        <f>XLOOKUP(R3715, classification!C:C, classification!B:B, "Not Found")</f>
      </c>
      <c r="Q3715" s="1" t="s">
        <v>5514</v>
      </c>
      <c r="R3715" s="2"/>
      <c r="S3715" s="2"/>
      <c r="T3715" s="2"/>
      <c r="U3715" s="2"/>
    </row>
    <row x14ac:dyDescent="0.25" r="3716" customHeight="1" ht="17.25">
      <c r="A3716" s="7">
        <v>3715</v>
      </c>
      <c r="B3716" s="1" t="s">
        <v>9025</v>
      </c>
      <c r="C3716" s="5">
        <f>CONCATENATE("PD", TEXT(A3716, "1000000"))</f>
      </c>
      <c r="D3716" s="7">
        <v>76</v>
      </c>
      <c r="E3716" s="5">
        <f>XLOOKUP(G3716, item_category!C:C, item_category!B:B, "Not Found")</f>
      </c>
      <c r="F3716" s="1" t="s">
        <v>5632</v>
      </c>
      <c r="G3716" s="5">
        <f>XLOOKUP(I3716, drug!B:B, drug!A:A, "Not Found")</f>
      </c>
      <c r="H3716" s="1" t="s">
        <v>1444</v>
      </c>
      <c r="I3716" s="7">
        <v>1</v>
      </c>
      <c r="J3716" s="5">
        <f>XLOOKUP(L3716, uom!C:C, uom!B:B, "Not Found")</f>
      </c>
      <c r="K3716" s="1" t="s">
        <v>5511</v>
      </c>
      <c r="L3716" s="5">
        <f>XLOOKUP(N3716, uom!C:C, uom!B:B, "Not Found")</f>
      </c>
      <c r="M3716" s="1" t="s">
        <v>5511</v>
      </c>
      <c r="N3716" s="8" t="s">
        <v>5512</v>
      </c>
      <c r="O3716" s="1" t="s">
        <v>5513</v>
      </c>
      <c r="P3716" s="5">
        <f>XLOOKUP(R3716, classification!C:C, classification!B:B, "Not Found")</f>
      </c>
      <c r="Q3716" s="1" t="s">
        <v>5514</v>
      </c>
      <c r="R3716" s="2"/>
      <c r="S3716" s="2"/>
      <c r="T3716" s="2"/>
      <c r="U3716" s="2"/>
    </row>
    <row x14ac:dyDescent="0.25" r="3717" customHeight="1" ht="17.25">
      <c r="A3717" s="7">
        <v>3716</v>
      </c>
      <c r="B3717" s="1" t="s">
        <v>9026</v>
      </c>
      <c r="C3717" s="5">
        <f>CONCATENATE("PD", TEXT(A3717, "1000000"))</f>
      </c>
      <c r="D3717" s="7">
        <v>76</v>
      </c>
      <c r="E3717" s="5">
        <f>XLOOKUP(G3717, item_category!C:C, item_category!B:B, "Not Found")</f>
      </c>
      <c r="F3717" s="1" t="s">
        <v>5632</v>
      </c>
      <c r="G3717" s="5">
        <f>XLOOKUP(I3717, drug!B:B, drug!A:A, "Not Found")</f>
      </c>
      <c r="H3717" s="1"/>
      <c r="I3717" s="7">
        <v>1</v>
      </c>
      <c r="J3717" s="5">
        <f>XLOOKUP(L3717, uom!C:C, uom!B:B, "Not Found")</f>
      </c>
      <c r="K3717" s="1" t="s">
        <v>5511</v>
      </c>
      <c r="L3717" s="5">
        <f>XLOOKUP(N3717, uom!C:C, uom!B:B, "Not Found")</f>
      </c>
      <c r="M3717" s="1" t="s">
        <v>5511</v>
      </c>
      <c r="N3717" s="8" t="s">
        <v>5512</v>
      </c>
      <c r="O3717" s="1" t="s">
        <v>5513</v>
      </c>
      <c r="P3717" s="5">
        <f>XLOOKUP(R3717, classification!C:C, classification!B:B, "Not Found")</f>
      </c>
      <c r="Q3717" s="1" t="s">
        <v>5514</v>
      </c>
      <c r="R3717" s="2"/>
      <c r="S3717" s="2"/>
      <c r="T3717" s="2"/>
      <c r="U3717" s="2"/>
    </row>
    <row x14ac:dyDescent="0.25" r="3718" customHeight="1" ht="17.25">
      <c r="A3718" s="7">
        <v>3717</v>
      </c>
      <c r="B3718" s="1" t="s">
        <v>9027</v>
      </c>
      <c r="C3718" s="5">
        <f>CONCATENATE("PD", TEXT(A3718, "1000000"))</f>
      </c>
      <c r="D3718" s="7">
        <v>76</v>
      </c>
      <c r="E3718" s="5">
        <f>XLOOKUP(G3718, item_category!C:C, item_category!B:B, "Not Found")</f>
      </c>
      <c r="F3718" s="1" t="s">
        <v>5632</v>
      </c>
      <c r="G3718" s="5">
        <f>XLOOKUP(I3718, drug!B:B, drug!A:A, "Not Found")</f>
      </c>
      <c r="H3718" s="1"/>
      <c r="I3718" s="7">
        <v>1</v>
      </c>
      <c r="J3718" s="5">
        <f>XLOOKUP(L3718, uom!C:C, uom!B:B, "Not Found")</f>
      </c>
      <c r="K3718" s="1" t="s">
        <v>5511</v>
      </c>
      <c r="L3718" s="5">
        <f>XLOOKUP(N3718, uom!C:C, uom!B:B, "Not Found")</f>
      </c>
      <c r="M3718" s="1" t="s">
        <v>5511</v>
      </c>
      <c r="N3718" s="8" t="s">
        <v>5512</v>
      </c>
      <c r="O3718" s="1" t="s">
        <v>5513</v>
      </c>
      <c r="P3718" s="5">
        <f>XLOOKUP(R3718, classification!C:C, classification!B:B, "Not Found")</f>
      </c>
      <c r="Q3718" s="1" t="s">
        <v>5514</v>
      </c>
      <c r="R3718" s="2"/>
      <c r="S3718" s="2"/>
      <c r="T3718" s="2"/>
      <c r="U3718" s="2"/>
    </row>
    <row x14ac:dyDescent="0.25" r="3719" customHeight="1" ht="17.25">
      <c r="A3719" s="7">
        <v>3718</v>
      </c>
      <c r="B3719" s="1" t="s">
        <v>9028</v>
      </c>
      <c r="C3719" s="5">
        <f>CONCATENATE("PD", TEXT(A3719, "1000000"))</f>
      </c>
      <c r="D3719" s="7">
        <v>76</v>
      </c>
      <c r="E3719" s="5">
        <f>XLOOKUP(G3719, item_category!C:C, item_category!B:B, "Not Found")</f>
      </c>
      <c r="F3719" s="1" t="s">
        <v>5632</v>
      </c>
      <c r="G3719" s="5">
        <f>XLOOKUP(I3719, drug!B:B, drug!A:A, "Not Found")</f>
      </c>
      <c r="H3719" s="1"/>
      <c r="I3719" s="7">
        <v>1</v>
      </c>
      <c r="J3719" s="5">
        <f>XLOOKUP(L3719, uom!C:C, uom!B:B, "Not Found")</f>
      </c>
      <c r="K3719" s="1" t="s">
        <v>5511</v>
      </c>
      <c r="L3719" s="5">
        <f>XLOOKUP(N3719, uom!C:C, uom!B:B, "Not Found")</f>
      </c>
      <c r="M3719" s="1" t="s">
        <v>5511</v>
      </c>
      <c r="N3719" s="8" t="s">
        <v>5512</v>
      </c>
      <c r="O3719" s="1" t="s">
        <v>5513</v>
      </c>
      <c r="P3719" s="5">
        <f>XLOOKUP(R3719, classification!C:C, classification!B:B, "Not Found")</f>
      </c>
      <c r="Q3719" s="1" t="s">
        <v>5514</v>
      </c>
      <c r="R3719" s="2"/>
      <c r="S3719" s="2"/>
      <c r="T3719" s="2"/>
      <c r="U3719" s="2"/>
    </row>
    <row x14ac:dyDescent="0.25" r="3720" customHeight="1" ht="17.25">
      <c r="A3720" s="7">
        <v>3719</v>
      </c>
      <c r="B3720" s="1" t="s">
        <v>9028</v>
      </c>
      <c r="C3720" s="5">
        <f>CONCATENATE("PD", TEXT(A3720, "1000000"))</f>
      </c>
      <c r="D3720" s="7">
        <v>76</v>
      </c>
      <c r="E3720" s="5">
        <f>XLOOKUP(G3720, item_category!C:C, item_category!B:B, "Not Found")</f>
      </c>
      <c r="F3720" s="1" t="s">
        <v>5632</v>
      </c>
      <c r="G3720" s="5">
        <f>XLOOKUP(I3720, drug!B:B, drug!A:A, "Not Found")</f>
      </c>
      <c r="H3720" s="1"/>
      <c r="I3720" s="7">
        <v>1</v>
      </c>
      <c r="J3720" s="5">
        <f>XLOOKUP(L3720, uom!C:C, uom!B:B, "Not Found")</f>
      </c>
      <c r="K3720" s="1" t="s">
        <v>5511</v>
      </c>
      <c r="L3720" s="5">
        <f>XLOOKUP(N3720, uom!C:C, uom!B:B, "Not Found")</f>
      </c>
      <c r="M3720" s="1" t="s">
        <v>5511</v>
      </c>
      <c r="N3720" s="8" t="s">
        <v>5512</v>
      </c>
      <c r="O3720" s="1" t="s">
        <v>5513</v>
      </c>
      <c r="P3720" s="5">
        <f>XLOOKUP(R3720, classification!C:C, classification!B:B, "Not Found")</f>
      </c>
      <c r="Q3720" s="1" t="s">
        <v>5514</v>
      </c>
      <c r="R3720" s="2"/>
      <c r="S3720" s="2"/>
      <c r="T3720" s="2"/>
      <c r="U3720" s="2"/>
    </row>
    <row x14ac:dyDescent="0.25" r="3721" customHeight="1" ht="17.25">
      <c r="A3721" s="7">
        <v>3720</v>
      </c>
      <c r="B3721" s="1" t="s">
        <v>8760</v>
      </c>
      <c r="C3721" s="5">
        <f>CONCATENATE("PD", TEXT(A3721, "1000000"))</f>
      </c>
      <c r="D3721" s="7">
        <v>76</v>
      </c>
      <c r="E3721" s="5">
        <f>XLOOKUP(G3721, item_category!C:C, item_category!B:B, "Not Found")</f>
      </c>
      <c r="F3721" s="1" t="s">
        <v>5632</v>
      </c>
      <c r="G3721" s="5">
        <f>XLOOKUP(I3721, drug!B:B, drug!A:A, "Not Found")</f>
      </c>
      <c r="H3721" s="1"/>
      <c r="I3721" s="7">
        <v>1</v>
      </c>
      <c r="J3721" s="5">
        <f>XLOOKUP(L3721, uom!C:C, uom!B:B, "Not Found")</f>
      </c>
      <c r="K3721" s="1" t="s">
        <v>5511</v>
      </c>
      <c r="L3721" s="5">
        <f>XLOOKUP(N3721, uom!C:C, uom!B:B, "Not Found")</f>
      </c>
      <c r="M3721" s="1" t="s">
        <v>5511</v>
      </c>
      <c r="N3721" s="8" t="s">
        <v>5512</v>
      </c>
      <c r="O3721" s="1" t="s">
        <v>5513</v>
      </c>
      <c r="P3721" s="5">
        <f>XLOOKUP(R3721, classification!C:C, classification!B:B, "Not Found")</f>
      </c>
      <c r="Q3721" s="1" t="s">
        <v>5514</v>
      </c>
      <c r="R3721" s="2"/>
      <c r="S3721" s="2"/>
      <c r="T3721" s="2"/>
      <c r="U3721" s="2"/>
    </row>
    <row x14ac:dyDescent="0.25" r="3722" customHeight="1" ht="17.25">
      <c r="A3722" s="7">
        <v>3721</v>
      </c>
      <c r="B3722" s="1" t="s">
        <v>8761</v>
      </c>
      <c r="C3722" s="5">
        <f>CONCATENATE("PD", TEXT(A3722, "1000000"))</f>
      </c>
      <c r="D3722" s="7">
        <v>76</v>
      </c>
      <c r="E3722" s="5">
        <f>XLOOKUP(G3722, item_category!C:C, item_category!B:B, "Not Found")</f>
      </c>
      <c r="F3722" s="1" t="s">
        <v>5632</v>
      </c>
      <c r="G3722" s="5">
        <f>XLOOKUP(I3722, drug!B:B, drug!A:A, "Not Found")</f>
      </c>
      <c r="H3722" s="1"/>
      <c r="I3722" s="7">
        <v>1</v>
      </c>
      <c r="J3722" s="5">
        <f>XLOOKUP(L3722, uom!C:C, uom!B:B, "Not Found")</f>
      </c>
      <c r="K3722" s="1" t="s">
        <v>5511</v>
      </c>
      <c r="L3722" s="5">
        <f>XLOOKUP(N3722, uom!C:C, uom!B:B, "Not Found")</f>
      </c>
      <c r="M3722" s="1" t="s">
        <v>5511</v>
      </c>
      <c r="N3722" s="8" t="s">
        <v>5512</v>
      </c>
      <c r="O3722" s="1" t="s">
        <v>5513</v>
      </c>
      <c r="P3722" s="5">
        <f>XLOOKUP(R3722, classification!C:C, classification!B:B, "Not Found")</f>
      </c>
      <c r="Q3722" s="1" t="s">
        <v>5514</v>
      </c>
      <c r="R3722" s="2"/>
      <c r="S3722" s="2"/>
      <c r="T3722" s="2"/>
      <c r="U3722" s="2"/>
    </row>
    <row x14ac:dyDescent="0.25" r="3723" customHeight="1" ht="17.25">
      <c r="A3723" s="7">
        <v>3722</v>
      </c>
      <c r="B3723" s="1" t="s">
        <v>9029</v>
      </c>
      <c r="C3723" s="5">
        <f>CONCATENATE("PD", TEXT(A3723, "1000000"))</f>
      </c>
      <c r="D3723" s="7">
        <v>76</v>
      </c>
      <c r="E3723" s="5">
        <f>XLOOKUP(G3723, item_category!C:C, item_category!B:B, "Not Found")</f>
      </c>
      <c r="F3723" s="1" t="s">
        <v>5632</v>
      </c>
      <c r="G3723" s="5">
        <f>XLOOKUP(I3723, drug!B:B, drug!A:A, "Not Found")</f>
      </c>
      <c r="H3723" s="1"/>
      <c r="I3723" s="7">
        <v>1</v>
      </c>
      <c r="J3723" s="5">
        <f>XLOOKUP(L3723, uom!C:C, uom!B:B, "Not Found")</f>
      </c>
      <c r="K3723" s="1" t="s">
        <v>5511</v>
      </c>
      <c r="L3723" s="5">
        <f>XLOOKUP(N3723, uom!C:C, uom!B:B, "Not Found")</f>
      </c>
      <c r="M3723" s="1" t="s">
        <v>5511</v>
      </c>
      <c r="N3723" s="8" t="s">
        <v>5512</v>
      </c>
      <c r="O3723" s="1" t="s">
        <v>5513</v>
      </c>
      <c r="P3723" s="5">
        <f>XLOOKUP(R3723, classification!C:C, classification!B:B, "Not Found")</f>
      </c>
      <c r="Q3723" s="1" t="s">
        <v>5514</v>
      </c>
      <c r="R3723" s="2"/>
      <c r="S3723" s="2"/>
      <c r="T3723" s="2"/>
      <c r="U3723" s="2"/>
    </row>
    <row x14ac:dyDescent="0.25" r="3724" customHeight="1" ht="17.25">
      <c r="A3724" s="7">
        <v>3723</v>
      </c>
      <c r="B3724" s="1" t="s">
        <v>9030</v>
      </c>
      <c r="C3724" s="5">
        <f>CONCATENATE("PD", TEXT(A3724, "1000000"))</f>
      </c>
      <c r="D3724" s="7">
        <v>76</v>
      </c>
      <c r="E3724" s="5">
        <f>XLOOKUP(G3724, item_category!C:C, item_category!B:B, "Not Found")</f>
      </c>
      <c r="F3724" s="1" t="s">
        <v>5632</v>
      </c>
      <c r="G3724" s="5">
        <f>XLOOKUP(I3724, drug!B:B, drug!A:A, "Not Found")</f>
      </c>
      <c r="H3724" s="1"/>
      <c r="I3724" s="7">
        <v>1</v>
      </c>
      <c r="J3724" s="5">
        <f>XLOOKUP(L3724, uom!C:C, uom!B:B, "Not Found")</f>
      </c>
      <c r="K3724" s="1" t="s">
        <v>5511</v>
      </c>
      <c r="L3724" s="5">
        <f>XLOOKUP(N3724, uom!C:C, uom!B:B, "Not Found")</f>
      </c>
      <c r="M3724" s="1" t="s">
        <v>5511</v>
      </c>
      <c r="N3724" s="8" t="s">
        <v>5512</v>
      </c>
      <c r="O3724" s="1" t="s">
        <v>5513</v>
      </c>
      <c r="P3724" s="5">
        <f>XLOOKUP(R3724, classification!C:C, classification!B:B, "Not Found")</f>
      </c>
      <c r="Q3724" s="1" t="s">
        <v>5514</v>
      </c>
      <c r="R3724" s="2"/>
      <c r="S3724" s="2"/>
      <c r="T3724" s="2"/>
      <c r="U3724" s="2"/>
    </row>
    <row x14ac:dyDescent="0.25" r="3725" customHeight="1" ht="17.25">
      <c r="A3725" s="7">
        <v>3724</v>
      </c>
      <c r="B3725" s="1" t="s">
        <v>9031</v>
      </c>
      <c r="C3725" s="5">
        <f>CONCATENATE("PD", TEXT(A3725, "1000000"))</f>
      </c>
      <c r="D3725" s="7">
        <v>76</v>
      </c>
      <c r="E3725" s="5">
        <f>XLOOKUP(G3725, item_category!C:C, item_category!B:B, "Not Found")</f>
      </c>
      <c r="F3725" s="1" t="s">
        <v>5632</v>
      </c>
      <c r="G3725" s="5">
        <f>XLOOKUP(I3725, drug!B:B, drug!A:A, "Not Found")</f>
      </c>
      <c r="H3725" s="1"/>
      <c r="I3725" s="7">
        <v>1</v>
      </c>
      <c r="J3725" s="5">
        <f>XLOOKUP(L3725, uom!C:C, uom!B:B, "Not Found")</f>
      </c>
      <c r="K3725" s="1" t="s">
        <v>5511</v>
      </c>
      <c r="L3725" s="5">
        <f>XLOOKUP(N3725, uom!C:C, uom!B:B, "Not Found")</f>
      </c>
      <c r="M3725" s="1" t="s">
        <v>5511</v>
      </c>
      <c r="N3725" s="8" t="s">
        <v>5512</v>
      </c>
      <c r="O3725" s="1" t="s">
        <v>5513</v>
      </c>
      <c r="P3725" s="5">
        <f>XLOOKUP(R3725, classification!C:C, classification!B:B, "Not Found")</f>
      </c>
      <c r="Q3725" s="1" t="s">
        <v>5514</v>
      </c>
      <c r="R3725" s="2"/>
      <c r="S3725" s="2"/>
      <c r="T3725" s="2"/>
      <c r="U3725" s="2"/>
    </row>
    <row x14ac:dyDescent="0.25" r="3726" customHeight="1" ht="17.25">
      <c r="A3726" s="7">
        <v>3725</v>
      </c>
      <c r="B3726" s="1" t="s">
        <v>9032</v>
      </c>
      <c r="C3726" s="5">
        <f>CONCATENATE("PD", TEXT(A3726, "1000000"))</f>
      </c>
      <c r="D3726" s="7">
        <v>76</v>
      </c>
      <c r="E3726" s="5">
        <f>XLOOKUP(G3726, item_category!C:C, item_category!B:B, "Not Found")</f>
      </c>
      <c r="F3726" s="1" t="s">
        <v>5632</v>
      </c>
      <c r="G3726" s="5">
        <f>XLOOKUP(I3726, drug!B:B, drug!A:A, "Not Found")</f>
      </c>
      <c r="H3726" s="1"/>
      <c r="I3726" s="7">
        <v>1</v>
      </c>
      <c r="J3726" s="5">
        <f>XLOOKUP(L3726, uom!C:C, uom!B:B, "Not Found")</f>
      </c>
      <c r="K3726" s="1" t="s">
        <v>5511</v>
      </c>
      <c r="L3726" s="5">
        <f>XLOOKUP(N3726, uom!C:C, uom!B:B, "Not Found")</f>
      </c>
      <c r="M3726" s="1" t="s">
        <v>5511</v>
      </c>
      <c r="N3726" s="8" t="s">
        <v>5512</v>
      </c>
      <c r="O3726" s="1" t="s">
        <v>5513</v>
      </c>
      <c r="P3726" s="5">
        <f>XLOOKUP(R3726, classification!C:C, classification!B:B, "Not Found")</f>
      </c>
      <c r="Q3726" s="1" t="s">
        <v>5514</v>
      </c>
      <c r="R3726" s="2"/>
      <c r="S3726" s="2"/>
      <c r="T3726" s="2"/>
      <c r="U3726" s="2"/>
    </row>
    <row x14ac:dyDescent="0.25" r="3727" customHeight="1" ht="17.25">
      <c r="A3727" s="7">
        <v>3726</v>
      </c>
      <c r="B3727" s="1" t="s">
        <v>9033</v>
      </c>
      <c r="C3727" s="5">
        <f>CONCATENATE("PD", TEXT(A3727, "1000000"))</f>
      </c>
      <c r="D3727" s="7">
        <v>76</v>
      </c>
      <c r="E3727" s="5">
        <f>XLOOKUP(G3727, item_category!C:C, item_category!B:B, "Not Found")</f>
      </c>
      <c r="F3727" s="1" t="s">
        <v>5632</v>
      </c>
      <c r="G3727" s="5">
        <f>XLOOKUP(I3727, drug!B:B, drug!A:A, "Not Found")</f>
      </c>
      <c r="H3727" s="1" t="s">
        <v>1552</v>
      </c>
      <c r="I3727" s="7">
        <v>1</v>
      </c>
      <c r="J3727" s="5">
        <f>XLOOKUP(L3727, uom!C:C, uom!B:B, "Not Found")</f>
      </c>
      <c r="K3727" s="1" t="s">
        <v>5511</v>
      </c>
      <c r="L3727" s="5">
        <f>XLOOKUP(N3727, uom!C:C, uom!B:B, "Not Found")</f>
      </c>
      <c r="M3727" s="1" t="s">
        <v>5511</v>
      </c>
      <c r="N3727" s="8" t="s">
        <v>5512</v>
      </c>
      <c r="O3727" s="1" t="s">
        <v>5513</v>
      </c>
      <c r="P3727" s="5">
        <f>XLOOKUP(R3727, classification!C:C, classification!B:B, "Not Found")</f>
      </c>
      <c r="Q3727" s="1" t="s">
        <v>5514</v>
      </c>
      <c r="R3727" s="2"/>
      <c r="S3727" s="2"/>
      <c r="T3727" s="2"/>
      <c r="U3727" s="2"/>
    </row>
    <row x14ac:dyDescent="0.25" r="3728" customHeight="1" ht="17.25">
      <c r="A3728" s="7">
        <v>3727</v>
      </c>
      <c r="B3728" s="1" t="s">
        <v>9034</v>
      </c>
      <c r="C3728" s="5">
        <f>CONCATENATE("PD", TEXT(A3728, "1000000"))</f>
      </c>
      <c r="D3728" s="7">
        <v>76</v>
      </c>
      <c r="E3728" s="5">
        <f>XLOOKUP(G3728, item_category!C:C, item_category!B:B, "Not Found")</f>
      </c>
      <c r="F3728" s="1" t="s">
        <v>5632</v>
      </c>
      <c r="G3728" s="5">
        <f>XLOOKUP(I3728, drug!B:B, drug!A:A, "Not Found")</f>
      </c>
      <c r="H3728" s="1"/>
      <c r="I3728" s="7">
        <v>1</v>
      </c>
      <c r="J3728" s="5">
        <f>XLOOKUP(L3728, uom!C:C, uom!B:B, "Not Found")</f>
      </c>
      <c r="K3728" s="1" t="s">
        <v>5511</v>
      </c>
      <c r="L3728" s="5">
        <f>XLOOKUP(N3728, uom!C:C, uom!B:B, "Not Found")</f>
      </c>
      <c r="M3728" s="1" t="s">
        <v>5511</v>
      </c>
      <c r="N3728" s="8" t="s">
        <v>5512</v>
      </c>
      <c r="O3728" s="1" t="s">
        <v>5513</v>
      </c>
      <c r="P3728" s="5">
        <f>XLOOKUP(R3728, classification!C:C, classification!B:B, "Not Found")</f>
      </c>
      <c r="Q3728" s="1" t="s">
        <v>5514</v>
      </c>
      <c r="R3728" s="2"/>
      <c r="S3728" s="2"/>
      <c r="T3728" s="2"/>
      <c r="U3728" s="2"/>
    </row>
    <row x14ac:dyDescent="0.25" r="3729" customHeight="1" ht="17.25">
      <c r="A3729" s="7">
        <v>3728</v>
      </c>
      <c r="B3729" s="1" t="s">
        <v>9035</v>
      </c>
      <c r="C3729" s="5">
        <f>CONCATENATE("PD", TEXT(A3729, "1000000"))</f>
      </c>
      <c r="D3729" s="7">
        <v>76</v>
      </c>
      <c r="E3729" s="5">
        <f>XLOOKUP(G3729, item_category!C:C, item_category!B:B, "Not Found")</f>
      </c>
      <c r="F3729" s="1" t="s">
        <v>5632</v>
      </c>
      <c r="G3729" s="5">
        <f>XLOOKUP(I3729, drug!B:B, drug!A:A, "Not Found")</f>
      </c>
      <c r="H3729" s="1"/>
      <c r="I3729" s="7">
        <v>1</v>
      </c>
      <c r="J3729" s="5">
        <f>XLOOKUP(L3729, uom!C:C, uom!B:B, "Not Found")</f>
      </c>
      <c r="K3729" s="1" t="s">
        <v>5511</v>
      </c>
      <c r="L3729" s="5">
        <f>XLOOKUP(N3729, uom!C:C, uom!B:B, "Not Found")</f>
      </c>
      <c r="M3729" s="1" t="s">
        <v>5511</v>
      </c>
      <c r="N3729" s="8" t="s">
        <v>5512</v>
      </c>
      <c r="O3729" s="1" t="s">
        <v>5513</v>
      </c>
      <c r="P3729" s="5">
        <f>XLOOKUP(R3729, classification!C:C, classification!B:B, "Not Found")</f>
      </c>
      <c r="Q3729" s="1" t="s">
        <v>5514</v>
      </c>
      <c r="R3729" s="2"/>
      <c r="S3729" s="2"/>
      <c r="T3729" s="2"/>
      <c r="U3729" s="2"/>
    </row>
    <row x14ac:dyDescent="0.25" r="3730" customHeight="1" ht="17.25">
      <c r="A3730" s="7">
        <v>3729</v>
      </c>
      <c r="B3730" s="1" t="s">
        <v>9036</v>
      </c>
      <c r="C3730" s="5">
        <f>CONCATENATE("PD", TEXT(A3730, "1000000"))</f>
      </c>
      <c r="D3730" s="7">
        <v>76</v>
      </c>
      <c r="E3730" s="5">
        <f>XLOOKUP(G3730, item_category!C:C, item_category!B:B, "Not Found")</f>
      </c>
      <c r="F3730" s="1" t="s">
        <v>5632</v>
      </c>
      <c r="G3730" s="5">
        <f>XLOOKUP(I3730, drug!B:B, drug!A:A, "Not Found")</f>
      </c>
      <c r="H3730" s="1"/>
      <c r="I3730" s="7">
        <v>1</v>
      </c>
      <c r="J3730" s="5">
        <f>XLOOKUP(L3730, uom!C:C, uom!B:B, "Not Found")</f>
      </c>
      <c r="K3730" s="1" t="s">
        <v>5511</v>
      </c>
      <c r="L3730" s="5">
        <f>XLOOKUP(N3730, uom!C:C, uom!B:B, "Not Found")</f>
      </c>
      <c r="M3730" s="1" t="s">
        <v>5511</v>
      </c>
      <c r="N3730" s="8" t="s">
        <v>5512</v>
      </c>
      <c r="O3730" s="1" t="s">
        <v>5513</v>
      </c>
      <c r="P3730" s="5">
        <f>XLOOKUP(R3730, classification!C:C, classification!B:B, "Not Found")</f>
      </c>
      <c r="Q3730" s="1" t="s">
        <v>5514</v>
      </c>
      <c r="R3730" s="2"/>
      <c r="S3730" s="2"/>
      <c r="T3730" s="2"/>
      <c r="U3730" s="2"/>
    </row>
    <row x14ac:dyDescent="0.25" r="3731" customHeight="1" ht="17.25">
      <c r="A3731" s="7">
        <v>3730</v>
      </c>
      <c r="B3731" s="1" t="s">
        <v>9037</v>
      </c>
      <c r="C3731" s="5">
        <f>CONCATENATE("PD", TEXT(A3731, "1000000"))</f>
      </c>
      <c r="D3731" s="7">
        <v>74</v>
      </c>
      <c r="E3731" s="5">
        <f>XLOOKUP(G3731, item_category!C:C, item_category!B:B, "Not Found")</f>
      </c>
      <c r="F3731" s="1" t="s">
        <v>5520</v>
      </c>
      <c r="G3731" s="5">
        <f>XLOOKUP(I3731, drug!B:B, drug!A:A, "Not Found")</f>
      </c>
      <c r="H3731" s="1"/>
      <c r="I3731" s="7">
        <v>1</v>
      </c>
      <c r="J3731" s="5">
        <f>XLOOKUP(L3731, uom!C:C, uom!B:B, "Not Found")</f>
      </c>
      <c r="K3731" s="1" t="s">
        <v>5511</v>
      </c>
      <c r="L3731" s="5">
        <f>XLOOKUP(N3731, uom!C:C, uom!B:B, "Not Found")</f>
      </c>
      <c r="M3731" s="1" t="s">
        <v>5511</v>
      </c>
      <c r="N3731" s="8" t="s">
        <v>5512</v>
      </c>
      <c r="O3731" s="1" t="s">
        <v>5513</v>
      </c>
      <c r="P3731" s="5">
        <f>XLOOKUP(R3731, classification!C:C, classification!B:B, "Not Found")</f>
      </c>
      <c r="Q3731" s="1" t="s">
        <v>5514</v>
      </c>
      <c r="R3731" s="2"/>
      <c r="S3731" s="2"/>
      <c r="T3731" s="2"/>
      <c r="U3731" s="2"/>
    </row>
    <row x14ac:dyDescent="0.25" r="3732" customHeight="1" ht="17.25">
      <c r="A3732" s="7">
        <v>3731</v>
      </c>
      <c r="B3732" s="1" t="s">
        <v>9038</v>
      </c>
      <c r="C3732" s="5">
        <f>CONCATENATE("PD", TEXT(A3732, "1000000"))</f>
      </c>
      <c r="D3732" s="7">
        <v>74</v>
      </c>
      <c r="E3732" s="5">
        <f>XLOOKUP(G3732, item_category!C:C, item_category!B:B, "Not Found")</f>
      </c>
      <c r="F3732" s="1" t="s">
        <v>5520</v>
      </c>
      <c r="G3732" s="5">
        <f>XLOOKUP(I3732, drug!B:B, drug!A:A, "Not Found")</f>
      </c>
      <c r="H3732" s="1"/>
      <c r="I3732" s="7">
        <v>1</v>
      </c>
      <c r="J3732" s="5">
        <f>XLOOKUP(L3732, uom!C:C, uom!B:B, "Not Found")</f>
      </c>
      <c r="K3732" s="1" t="s">
        <v>5511</v>
      </c>
      <c r="L3732" s="5">
        <f>XLOOKUP(N3732, uom!C:C, uom!B:B, "Not Found")</f>
      </c>
      <c r="M3732" s="1" t="s">
        <v>5511</v>
      </c>
      <c r="N3732" s="8" t="s">
        <v>5512</v>
      </c>
      <c r="O3732" s="1" t="s">
        <v>5513</v>
      </c>
      <c r="P3732" s="5">
        <f>XLOOKUP(R3732, classification!C:C, classification!B:B, "Not Found")</f>
      </c>
      <c r="Q3732" s="1" t="s">
        <v>5514</v>
      </c>
      <c r="R3732" s="2"/>
      <c r="S3732" s="2"/>
      <c r="T3732" s="2"/>
      <c r="U3732" s="2"/>
    </row>
    <row x14ac:dyDescent="0.25" r="3733" customHeight="1" ht="17.25">
      <c r="A3733" s="7">
        <v>3732</v>
      </c>
      <c r="B3733" s="1" t="s">
        <v>9039</v>
      </c>
      <c r="C3733" s="5">
        <f>CONCATENATE("PD", TEXT(A3733, "1000000"))</f>
      </c>
      <c r="D3733" s="7">
        <v>74</v>
      </c>
      <c r="E3733" s="5">
        <f>XLOOKUP(G3733, item_category!C:C, item_category!B:B, "Not Found")</f>
      </c>
      <c r="F3733" s="1" t="s">
        <v>5520</v>
      </c>
      <c r="G3733" s="5">
        <f>XLOOKUP(I3733, drug!B:B, drug!A:A, "Not Found")</f>
      </c>
      <c r="H3733" s="1"/>
      <c r="I3733" s="7">
        <v>1</v>
      </c>
      <c r="J3733" s="5">
        <f>XLOOKUP(L3733, uom!C:C, uom!B:B, "Not Found")</f>
      </c>
      <c r="K3733" s="1" t="s">
        <v>5511</v>
      </c>
      <c r="L3733" s="5">
        <f>XLOOKUP(N3733, uom!C:C, uom!B:B, "Not Found")</f>
      </c>
      <c r="M3733" s="1" t="s">
        <v>5511</v>
      </c>
      <c r="N3733" s="8" t="s">
        <v>5512</v>
      </c>
      <c r="O3733" s="1" t="s">
        <v>5513</v>
      </c>
      <c r="P3733" s="5">
        <f>XLOOKUP(R3733, classification!C:C, classification!B:B, "Not Found")</f>
      </c>
      <c r="Q3733" s="1" t="s">
        <v>5514</v>
      </c>
      <c r="R3733" s="2"/>
      <c r="S3733" s="2"/>
      <c r="T3733" s="2"/>
      <c r="U3733" s="2"/>
    </row>
    <row x14ac:dyDescent="0.25" r="3734" customHeight="1" ht="17.25">
      <c r="A3734" s="7">
        <v>3733</v>
      </c>
      <c r="B3734" s="1" t="s">
        <v>9040</v>
      </c>
      <c r="C3734" s="5">
        <f>CONCATENATE("PD", TEXT(A3734, "1000000"))</f>
      </c>
      <c r="D3734" s="7">
        <v>74</v>
      </c>
      <c r="E3734" s="5">
        <f>XLOOKUP(G3734, item_category!C:C, item_category!B:B, "Not Found")</f>
      </c>
      <c r="F3734" s="1" t="s">
        <v>5520</v>
      </c>
      <c r="G3734" s="5">
        <f>XLOOKUP(I3734, drug!B:B, drug!A:A, "Not Found")</f>
      </c>
      <c r="H3734" s="1"/>
      <c r="I3734" s="7">
        <v>1</v>
      </c>
      <c r="J3734" s="5">
        <f>XLOOKUP(L3734, uom!C:C, uom!B:B, "Not Found")</f>
      </c>
      <c r="K3734" s="1" t="s">
        <v>5511</v>
      </c>
      <c r="L3734" s="5">
        <f>XLOOKUP(N3734, uom!C:C, uom!B:B, "Not Found")</f>
      </c>
      <c r="M3734" s="1" t="s">
        <v>5511</v>
      </c>
      <c r="N3734" s="8" t="s">
        <v>5512</v>
      </c>
      <c r="O3734" s="1" t="s">
        <v>5513</v>
      </c>
      <c r="P3734" s="5">
        <f>XLOOKUP(R3734, classification!C:C, classification!B:B, "Not Found")</f>
      </c>
      <c r="Q3734" s="1" t="s">
        <v>5514</v>
      </c>
      <c r="R3734" s="2"/>
      <c r="S3734" s="2"/>
      <c r="T3734" s="2"/>
      <c r="U3734" s="2"/>
    </row>
    <row x14ac:dyDescent="0.25" r="3735" customHeight="1" ht="17.25">
      <c r="A3735" s="7">
        <v>3734</v>
      </c>
      <c r="B3735" s="1" t="s">
        <v>9041</v>
      </c>
      <c r="C3735" s="5">
        <f>CONCATENATE("PD", TEXT(A3735, "1000000"))</f>
      </c>
      <c r="D3735" s="7">
        <v>74</v>
      </c>
      <c r="E3735" s="5">
        <f>XLOOKUP(G3735, item_category!C:C, item_category!B:B, "Not Found")</f>
      </c>
      <c r="F3735" s="1" t="s">
        <v>5520</v>
      </c>
      <c r="G3735" s="5">
        <f>XLOOKUP(I3735, drug!B:B, drug!A:A, "Not Found")</f>
      </c>
      <c r="H3735" s="1"/>
      <c r="I3735" s="7">
        <v>1</v>
      </c>
      <c r="J3735" s="5">
        <f>XLOOKUP(L3735, uom!C:C, uom!B:B, "Not Found")</f>
      </c>
      <c r="K3735" s="1" t="s">
        <v>5511</v>
      </c>
      <c r="L3735" s="5">
        <f>XLOOKUP(N3735, uom!C:C, uom!B:B, "Not Found")</f>
      </c>
      <c r="M3735" s="1" t="s">
        <v>5511</v>
      </c>
      <c r="N3735" s="8" t="s">
        <v>5512</v>
      </c>
      <c r="O3735" s="1" t="s">
        <v>5513</v>
      </c>
      <c r="P3735" s="5">
        <f>XLOOKUP(R3735, classification!C:C, classification!B:B, "Not Found")</f>
      </c>
      <c r="Q3735" s="1" t="s">
        <v>5514</v>
      </c>
      <c r="R3735" s="2"/>
      <c r="S3735" s="2"/>
      <c r="T3735" s="2"/>
      <c r="U3735" s="2"/>
    </row>
    <row x14ac:dyDescent="0.25" r="3736" customHeight="1" ht="17.25">
      <c r="A3736" s="7">
        <v>3735</v>
      </c>
      <c r="B3736" s="1" t="s">
        <v>9042</v>
      </c>
      <c r="C3736" s="5">
        <f>CONCATENATE("PD", TEXT(A3736, "1000000"))</f>
      </c>
      <c r="D3736" s="7">
        <v>74</v>
      </c>
      <c r="E3736" s="5">
        <f>XLOOKUP(G3736, item_category!C:C, item_category!B:B, "Not Found")</f>
      </c>
      <c r="F3736" s="1" t="s">
        <v>5520</v>
      </c>
      <c r="G3736" s="5">
        <f>XLOOKUP(I3736, drug!B:B, drug!A:A, "Not Found")</f>
      </c>
      <c r="H3736" s="1"/>
      <c r="I3736" s="7">
        <v>1</v>
      </c>
      <c r="J3736" s="5">
        <f>XLOOKUP(L3736, uom!C:C, uom!B:B, "Not Found")</f>
      </c>
      <c r="K3736" s="1" t="s">
        <v>5511</v>
      </c>
      <c r="L3736" s="5">
        <f>XLOOKUP(N3736, uom!C:C, uom!B:B, "Not Found")</f>
      </c>
      <c r="M3736" s="1" t="s">
        <v>5511</v>
      </c>
      <c r="N3736" s="8" t="s">
        <v>5512</v>
      </c>
      <c r="O3736" s="1" t="s">
        <v>5513</v>
      </c>
      <c r="P3736" s="5">
        <f>XLOOKUP(R3736, classification!C:C, classification!B:B, "Not Found")</f>
      </c>
      <c r="Q3736" s="1" t="s">
        <v>5514</v>
      </c>
      <c r="R3736" s="2"/>
      <c r="S3736" s="2"/>
      <c r="T3736" s="2"/>
      <c r="U3736" s="2"/>
    </row>
    <row x14ac:dyDescent="0.25" r="3737" customHeight="1" ht="17.25">
      <c r="A3737" s="7">
        <v>3736</v>
      </c>
      <c r="B3737" s="1" t="s">
        <v>9043</v>
      </c>
      <c r="C3737" s="5">
        <f>CONCATENATE("PD", TEXT(A3737, "1000000"))</f>
      </c>
      <c r="D3737" s="7">
        <v>76</v>
      </c>
      <c r="E3737" s="5">
        <f>XLOOKUP(G3737, item_category!C:C, item_category!B:B, "Not Found")</f>
      </c>
      <c r="F3737" s="1" t="s">
        <v>5632</v>
      </c>
      <c r="G3737" s="5">
        <f>XLOOKUP(I3737, drug!B:B, drug!A:A, "Not Found")</f>
      </c>
      <c r="H3737" s="1"/>
      <c r="I3737" s="7">
        <v>1</v>
      </c>
      <c r="J3737" s="5">
        <f>XLOOKUP(L3737, uom!C:C, uom!B:B, "Not Found")</f>
      </c>
      <c r="K3737" s="1" t="s">
        <v>5511</v>
      </c>
      <c r="L3737" s="5">
        <f>XLOOKUP(N3737, uom!C:C, uom!B:B, "Not Found")</f>
      </c>
      <c r="M3737" s="1" t="s">
        <v>5511</v>
      </c>
      <c r="N3737" s="8" t="s">
        <v>5512</v>
      </c>
      <c r="O3737" s="1" t="s">
        <v>5513</v>
      </c>
      <c r="P3737" s="5">
        <f>XLOOKUP(R3737, classification!C:C, classification!B:B, "Not Found")</f>
      </c>
      <c r="Q3737" s="1" t="s">
        <v>5514</v>
      </c>
      <c r="R3737" s="2"/>
      <c r="S3737" s="2"/>
      <c r="T3737" s="2"/>
      <c r="U3737" s="2"/>
    </row>
    <row x14ac:dyDescent="0.25" r="3738" customHeight="1" ht="17.25">
      <c r="A3738" s="7">
        <v>3737</v>
      </c>
      <c r="B3738" s="1" t="s">
        <v>9044</v>
      </c>
      <c r="C3738" s="5">
        <f>CONCATENATE("PD", TEXT(A3738, "1000000"))</f>
      </c>
      <c r="D3738" s="7">
        <v>76</v>
      </c>
      <c r="E3738" s="5">
        <f>XLOOKUP(G3738, item_category!C:C, item_category!B:B, "Not Found")</f>
      </c>
      <c r="F3738" s="1" t="s">
        <v>5632</v>
      </c>
      <c r="G3738" s="5">
        <f>XLOOKUP(I3738, drug!B:B, drug!A:A, "Not Found")</f>
      </c>
      <c r="H3738" s="1"/>
      <c r="I3738" s="7">
        <v>1</v>
      </c>
      <c r="J3738" s="5">
        <f>XLOOKUP(L3738, uom!C:C, uom!B:B, "Not Found")</f>
      </c>
      <c r="K3738" s="1" t="s">
        <v>5511</v>
      </c>
      <c r="L3738" s="5">
        <f>XLOOKUP(N3738, uom!C:C, uom!B:B, "Not Found")</f>
      </c>
      <c r="M3738" s="1" t="s">
        <v>5511</v>
      </c>
      <c r="N3738" s="8" t="s">
        <v>5512</v>
      </c>
      <c r="O3738" s="1" t="s">
        <v>5513</v>
      </c>
      <c r="P3738" s="5">
        <f>XLOOKUP(R3738, classification!C:C, classification!B:B, "Not Found")</f>
      </c>
      <c r="Q3738" s="1" t="s">
        <v>5514</v>
      </c>
      <c r="R3738" s="2"/>
      <c r="S3738" s="2"/>
      <c r="T3738" s="2"/>
      <c r="U3738" s="2"/>
    </row>
    <row x14ac:dyDescent="0.25" r="3739" customHeight="1" ht="17.25">
      <c r="A3739" s="7">
        <v>3738</v>
      </c>
      <c r="B3739" s="1" t="s">
        <v>9045</v>
      </c>
      <c r="C3739" s="5">
        <f>CONCATENATE("PD", TEXT(A3739, "1000000"))</f>
      </c>
      <c r="D3739" s="7">
        <v>76</v>
      </c>
      <c r="E3739" s="5">
        <f>XLOOKUP(G3739, item_category!C:C, item_category!B:B, "Not Found")</f>
      </c>
      <c r="F3739" s="1" t="s">
        <v>5632</v>
      </c>
      <c r="G3739" s="5">
        <f>XLOOKUP(I3739, drug!B:B, drug!A:A, "Not Found")</f>
      </c>
      <c r="H3739" s="1"/>
      <c r="I3739" s="7">
        <v>1</v>
      </c>
      <c r="J3739" s="5">
        <f>XLOOKUP(L3739, uom!C:C, uom!B:B, "Not Found")</f>
      </c>
      <c r="K3739" s="1" t="s">
        <v>5511</v>
      </c>
      <c r="L3739" s="5">
        <f>XLOOKUP(N3739, uom!C:C, uom!B:B, "Not Found")</f>
      </c>
      <c r="M3739" s="1" t="s">
        <v>5511</v>
      </c>
      <c r="N3739" s="8" t="s">
        <v>5512</v>
      </c>
      <c r="O3739" s="1" t="s">
        <v>5513</v>
      </c>
      <c r="P3739" s="5">
        <f>XLOOKUP(R3739, classification!C:C, classification!B:B, "Not Found")</f>
      </c>
      <c r="Q3739" s="1" t="s">
        <v>5514</v>
      </c>
      <c r="R3739" s="2"/>
      <c r="S3739" s="2"/>
      <c r="T3739" s="2"/>
      <c r="U3739" s="2"/>
    </row>
    <row x14ac:dyDescent="0.25" r="3740" customHeight="1" ht="17.25">
      <c r="A3740" s="7">
        <v>3739</v>
      </c>
      <c r="B3740" s="1" t="s">
        <v>9046</v>
      </c>
      <c r="C3740" s="5">
        <f>CONCATENATE("PD", TEXT(A3740, "1000000"))</f>
      </c>
      <c r="D3740" s="7">
        <v>76</v>
      </c>
      <c r="E3740" s="5">
        <f>XLOOKUP(G3740, item_category!C:C, item_category!B:B, "Not Found")</f>
      </c>
      <c r="F3740" s="1" t="s">
        <v>5632</v>
      </c>
      <c r="G3740" s="5">
        <f>XLOOKUP(I3740, drug!B:B, drug!A:A, "Not Found")</f>
      </c>
      <c r="H3740" s="1"/>
      <c r="I3740" s="7">
        <v>350</v>
      </c>
      <c r="J3740" s="5">
        <f>XLOOKUP(L3740, uom!C:C, uom!B:B, "Not Found")</f>
      </c>
      <c r="K3740" s="1" t="s">
        <v>5523</v>
      </c>
      <c r="L3740" s="5">
        <f>XLOOKUP(N3740, uom!C:C, uom!B:B, "Not Found")</f>
      </c>
      <c r="M3740" s="1" t="s">
        <v>5523</v>
      </c>
      <c r="N3740" s="8" t="s">
        <v>5524</v>
      </c>
      <c r="O3740" s="1" t="s">
        <v>5525</v>
      </c>
      <c r="P3740" s="5">
        <f>XLOOKUP(R3740, classification!C:C, classification!B:B, "Not Found")</f>
      </c>
      <c r="Q3740" s="1" t="s">
        <v>5514</v>
      </c>
      <c r="R3740" s="2"/>
      <c r="S3740" s="2"/>
      <c r="T3740" s="2"/>
      <c r="U3740" s="2"/>
    </row>
    <row x14ac:dyDescent="0.25" r="3741" customHeight="1" ht="17.25">
      <c r="A3741" s="7">
        <v>3740</v>
      </c>
      <c r="B3741" s="1" t="s">
        <v>9047</v>
      </c>
      <c r="C3741" s="5">
        <f>CONCATENATE("PD", TEXT(A3741, "1000000"))</f>
      </c>
      <c r="D3741" s="7">
        <v>76</v>
      </c>
      <c r="E3741" s="5">
        <f>XLOOKUP(G3741, item_category!C:C, item_category!B:B, "Not Found")</f>
      </c>
      <c r="F3741" s="1" t="s">
        <v>5632</v>
      </c>
      <c r="G3741" s="5">
        <f>XLOOKUP(I3741, drug!B:B, drug!A:A, "Not Found")</f>
      </c>
      <c r="H3741" s="1"/>
      <c r="I3741" s="7">
        <v>1</v>
      </c>
      <c r="J3741" s="5">
        <f>XLOOKUP(L3741, uom!C:C, uom!B:B, "Not Found")</f>
      </c>
      <c r="K3741" s="1" t="s">
        <v>5511</v>
      </c>
      <c r="L3741" s="5">
        <f>XLOOKUP(N3741, uom!C:C, uom!B:B, "Not Found")</f>
      </c>
      <c r="M3741" s="1" t="s">
        <v>5511</v>
      </c>
      <c r="N3741" s="8" t="s">
        <v>5512</v>
      </c>
      <c r="O3741" s="1" t="s">
        <v>5513</v>
      </c>
      <c r="P3741" s="5">
        <f>XLOOKUP(R3741, classification!C:C, classification!B:B, "Not Found")</f>
      </c>
      <c r="Q3741" s="1" t="s">
        <v>5514</v>
      </c>
      <c r="R3741" s="2"/>
      <c r="S3741" s="2"/>
      <c r="T3741" s="2"/>
      <c r="U3741" s="2"/>
    </row>
    <row x14ac:dyDescent="0.25" r="3742" customHeight="1" ht="17.25">
      <c r="A3742" s="7">
        <v>3741</v>
      </c>
      <c r="B3742" s="1" t="s">
        <v>9048</v>
      </c>
      <c r="C3742" s="5">
        <f>CONCATENATE("PD", TEXT(A3742, "1000000"))</f>
      </c>
      <c r="D3742" s="7">
        <v>76</v>
      </c>
      <c r="E3742" s="5">
        <f>XLOOKUP(G3742, item_category!C:C, item_category!B:B, "Not Found")</f>
      </c>
      <c r="F3742" s="1" t="s">
        <v>5632</v>
      </c>
      <c r="G3742" s="5">
        <f>XLOOKUP(I3742, drug!B:B, drug!A:A, "Not Found")</f>
      </c>
      <c r="H3742" s="1"/>
      <c r="I3742" s="7">
        <v>1</v>
      </c>
      <c r="J3742" s="5">
        <f>XLOOKUP(L3742, uom!C:C, uom!B:B, "Not Found")</f>
      </c>
      <c r="K3742" s="1" t="s">
        <v>5511</v>
      </c>
      <c r="L3742" s="5">
        <f>XLOOKUP(N3742, uom!C:C, uom!B:B, "Not Found")</f>
      </c>
      <c r="M3742" s="1" t="s">
        <v>5511</v>
      </c>
      <c r="N3742" s="8" t="s">
        <v>5512</v>
      </c>
      <c r="O3742" s="1" t="s">
        <v>5513</v>
      </c>
      <c r="P3742" s="5">
        <f>XLOOKUP(R3742, classification!C:C, classification!B:B, "Not Found")</f>
      </c>
      <c r="Q3742" s="1" t="s">
        <v>5514</v>
      </c>
      <c r="R3742" s="2"/>
      <c r="S3742" s="2"/>
      <c r="T3742" s="2"/>
      <c r="U3742" s="2"/>
    </row>
    <row x14ac:dyDescent="0.25" r="3743" customHeight="1" ht="17.25">
      <c r="A3743" s="7">
        <v>3742</v>
      </c>
      <c r="B3743" s="1" t="s">
        <v>9049</v>
      </c>
      <c r="C3743" s="5">
        <f>CONCATENATE("PD", TEXT(A3743, "1000000"))</f>
      </c>
      <c r="D3743" s="7">
        <v>76</v>
      </c>
      <c r="E3743" s="5">
        <f>XLOOKUP(G3743, item_category!C:C, item_category!B:B, "Not Found")</f>
      </c>
      <c r="F3743" s="1" t="s">
        <v>5632</v>
      </c>
      <c r="G3743" s="5">
        <f>XLOOKUP(I3743, drug!B:B, drug!A:A, "Not Found")</f>
      </c>
      <c r="H3743" s="1"/>
      <c r="I3743" s="7">
        <v>1</v>
      </c>
      <c r="J3743" s="5">
        <f>XLOOKUP(L3743, uom!C:C, uom!B:B, "Not Found")</f>
      </c>
      <c r="K3743" s="1" t="s">
        <v>5511</v>
      </c>
      <c r="L3743" s="5">
        <f>XLOOKUP(N3743, uom!C:C, uom!B:B, "Not Found")</f>
      </c>
      <c r="M3743" s="1" t="s">
        <v>5511</v>
      </c>
      <c r="N3743" s="8" t="s">
        <v>5512</v>
      </c>
      <c r="O3743" s="1" t="s">
        <v>5513</v>
      </c>
      <c r="P3743" s="5">
        <f>XLOOKUP(R3743, classification!C:C, classification!B:B, "Not Found")</f>
      </c>
      <c r="Q3743" s="1" t="s">
        <v>5514</v>
      </c>
      <c r="R3743" s="2"/>
      <c r="S3743" s="2"/>
      <c r="T3743" s="2"/>
      <c r="U3743" s="2"/>
    </row>
    <row x14ac:dyDescent="0.25" r="3744" customHeight="1" ht="17.25">
      <c r="A3744" s="7">
        <v>3743</v>
      </c>
      <c r="B3744" s="1" t="s">
        <v>9050</v>
      </c>
      <c r="C3744" s="5">
        <f>CONCATENATE("PD", TEXT(A3744, "1000000"))</f>
      </c>
      <c r="D3744" s="7">
        <v>76</v>
      </c>
      <c r="E3744" s="5">
        <f>XLOOKUP(G3744, item_category!C:C, item_category!B:B, "Not Found")</f>
      </c>
      <c r="F3744" s="1" t="s">
        <v>5632</v>
      </c>
      <c r="G3744" s="5">
        <f>XLOOKUP(I3744, drug!B:B, drug!A:A, "Not Found")</f>
      </c>
      <c r="H3744" s="1"/>
      <c r="I3744" s="7">
        <v>1</v>
      </c>
      <c r="J3744" s="5">
        <f>XLOOKUP(L3744, uom!C:C, uom!B:B, "Not Found")</f>
      </c>
      <c r="K3744" s="1" t="s">
        <v>5511</v>
      </c>
      <c r="L3744" s="5">
        <f>XLOOKUP(N3744, uom!C:C, uom!B:B, "Not Found")</f>
      </c>
      <c r="M3744" s="1" t="s">
        <v>5511</v>
      </c>
      <c r="N3744" s="8" t="s">
        <v>5512</v>
      </c>
      <c r="O3744" s="1" t="s">
        <v>5513</v>
      </c>
      <c r="P3744" s="5">
        <f>XLOOKUP(R3744, classification!C:C, classification!B:B, "Not Found")</f>
      </c>
      <c r="Q3744" s="1" t="s">
        <v>5514</v>
      </c>
      <c r="R3744" s="2"/>
      <c r="S3744" s="2"/>
      <c r="T3744" s="2"/>
      <c r="U3744" s="2"/>
    </row>
    <row x14ac:dyDescent="0.25" r="3745" customHeight="1" ht="17.25">
      <c r="A3745" s="7">
        <v>3744</v>
      </c>
      <c r="B3745" s="1" t="s">
        <v>9051</v>
      </c>
      <c r="C3745" s="5">
        <f>CONCATENATE("PD", TEXT(A3745, "1000000"))</f>
      </c>
      <c r="D3745" s="7">
        <v>76</v>
      </c>
      <c r="E3745" s="5">
        <f>XLOOKUP(G3745, item_category!C:C, item_category!B:B, "Not Found")</f>
      </c>
      <c r="F3745" s="1" t="s">
        <v>5632</v>
      </c>
      <c r="G3745" s="5">
        <f>XLOOKUP(I3745, drug!B:B, drug!A:A, "Not Found")</f>
      </c>
      <c r="H3745" s="1"/>
      <c r="I3745" s="7">
        <v>1</v>
      </c>
      <c r="J3745" s="5">
        <f>XLOOKUP(L3745, uom!C:C, uom!B:B, "Not Found")</f>
      </c>
      <c r="K3745" s="1" t="s">
        <v>5511</v>
      </c>
      <c r="L3745" s="5">
        <f>XLOOKUP(N3745, uom!C:C, uom!B:B, "Not Found")</f>
      </c>
      <c r="M3745" s="1" t="s">
        <v>5511</v>
      </c>
      <c r="N3745" s="8" t="s">
        <v>5512</v>
      </c>
      <c r="O3745" s="1" t="s">
        <v>5513</v>
      </c>
      <c r="P3745" s="5">
        <f>XLOOKUP(R3745, classification!C:C, classification!B:B, "Not Found")</f>
      </c>
      <c r="Q3745" s="1" t="s">
        <v>5514</v>
      </c>
      <c r="R3745" s="2"/>
      <c r="S3745" s="2"/>
      <c r="T3745" s="2"/>
      <c r="U3745" s="2"/>
    </row>
    <row x14ac:dyDescent="0.25" r="3746" customHeight="1" ht="17.25">
      <c r="A3746" s="7">
        <v>3745</v>
      </c>
      <c r="B3746" s="1" t="s">
        <v>9052</v>
      </c>
      <c r="C3746" s="5">
        <f>CONCATENATE("PD", TEXT(A3746, "1000000"))</f>
      </c>
      <c r="D3746" s="7">
        <v>76</v>
      </c>
      <c r="E3746" s="5">
        <f>XLOOKUP(G3746, item_category!C:C, item_category!B:B, "Not Found")</f>
      </c>
      <c r="F3746" s="1" t="s">
        <v>5632</v>
      </c>
      <c r="G3746" s="5">
        <f>XLOOKUP(I3746, drug!B:B, drug!A:A, "Not Found")</f>
      </c>
      <c r="H3746" s="1"/>
      <c r="I3746" s="7">
        <v>1</v>
      </c>
      <c r="J3746" s="5">
        <f>XLOOKUP(L3746, uom!C:C, uom!B:B, "Not Found")</f>
      </c>
      <c r="K3746" s="1" t="s">
        <v>5511</v>
      </c>
      <c r="L3746" s="5">
        <f>XLOOKUP(N3746, uom!C:C, uom!B:B, "Not Found")</f>
      </c>
      <c r="M3746" s="1" t="s">
        <v>5511</v>
      </c>
      <c r="N3746" s="8" t="s">
        <v>5512</v>
      </c>
      <c r="O3746" s="1" t="s">
        <v>5513</v>
      </c>
      <c r="P3746" s="5">
        <f>XLOOKUP(R3746, classification!C:C, classification!B:B, "Not Found")</f>
      </c>
      <c r="Q3746" s="1" t="s">
        <v>5514</v>
      </c>
      <c r="R3746" s="2"/>
      <c r="S3746" s="2"/>
      <c r="T3746" s="2"/>
      <c r="U3746" s="2"/>
    </row>
    <row x14ac:dyDescent="0.25" r="3747" customHeight="1" ht="17.25">
      <c r="A3747" s="7">
        <v>3746</v>
      </c>
      <c r="B3747" s="1" t="s">
        <v>9053</v>
      </c>
      <c r="C3747" s="5">
        <f>CONCATENATE("PD", TEXT(A3747, "1000000"))</f>
      </c>
      <c r="D3747" s="7">
        <v>76</v>
      </c>
      <c r="E3747" s="5">
        <f>XLOOKUP(G3747, item_category!C:C, item_category!B:B, "Not Found")</f>
      </c>
      <c r="F3747" s="1" t="s">
        <v>5632</v>
      </c>
      <c r="G3747" s="5">
        <f>XLOOKUP(I3747, drug!B:B, drug!A:A, "Not Found")</f>
      </c>
      <c r="H3747" s="1"/>
      <c r="I3747" s="7">
        <v>1</v>
      </c>
      <c r="J3747" s="5">
        <f>XLOOKUP(L3747, uom!C:C, uom!B:B, "Not Found")</f>
      </c>
      <c r="K3747" s="1" t="s">
        <v>5511</v>
      </c>
      <c r="L3747" s="5">
        <f>XLOOKUP(N3747, uom!C:C, uom!B:B, "Not Found")</f>
      </c>
      <c r="M3747" s="1" t="s">
        <v>5511</v>
      </c>
      <c r="N3747" s="8" t="s">
        <v>5512</v>
      </c>
      <c r="O3747" s="1" t="s">
        <v>5513</v>
      </c>
      <c r="P3747" s="5">
        <f>XLOOKUP(R3747, classification!C:C, classification!B:B, "Not Found")</f>
      </c>
      <c r="Q3747" s="1" t="s">
        <v>5514</v>
      </c>
      <c r="R3747" s="2"/>
      <c r="S3747" s="2"/>
      <c r="T3747" s="2"/>
      <c r="U3747" s="2"/>
    </row>
    <row x14ac:dyDescent="0.25" r="3748" customHeight="1" ht="17.25">
      <c r="A3748" s="7">
        <v>3747</v>
      </c>
      <c r="B3748" s="1" t="s">
        <v>9054</v>
      </c>
      <c r="C3748" s="5">
        <f>CONCATENATE("PD", TEXT(A3748, "1000000"))</f>
      </c>
      <c r="D3748" s="7">
        <v>76</v>
      </c>
      <c r="E3748" s="5">
        <f>XLOOKUP(G3748, item_category!C:C, item_category!B:B, "Not Found")</f>
      </c>
      <c r="F3748" s="1" t="s">
        <v>5632</v>
      </c>
      <c r="G3748" s="5">
        <f>XLOOKUP(I3748, drug!B:B, drug!A:A, "Not Found")</f>
      </c>
      <c r="H3748" s="1"/>
      <c r="I3748" s="7">
        <v>1</v>
      </c>
      <c r="J3748" s="5">
        <f>XLOOKUP(L3748, uom!C:C, uom!B:B, "Not Found")</f>
      </c>
      <c r="K3748" s="1" t="s">
        <v>5511</v>
      </c>
      <c r="L3748" s="5">
        <f>XLOOKUP(N3748, uom!C:C, uom!B:B, "Not Found")</f>
      </c>
      <c r="M3748" s="1" t="s">
        <v>5511</v>
      </c>
      <c r="N3748" s="8" t="s">
        <v>5512</v>
      </c>
      <c r="O3748" s="1" t="s">
        <v>5513</v>
      </c>
      <c r="P3748" s="5">
        <f>XLOOKUP(R3748, classification!C:C, classification!B:B, "Not Found")</f>
      </c>
      <c r="Q3748" s="1" t="s">
        <v>5514</v>
      </c>
      <c r="R3748" s="2"/>
      <c r="S3748" s="2"/>
      <c r="T3748" s="2"/>
      <c r="U3748" s="2"/>
    </row>
    <row x14ac:dyDescent="0.25" r="3749" customHeight="1" ht="17.25">
      <c r="A3749" s="7">
        <v>3748</v>
      </c>
      <c r="B3749" s="1" t="s">
        <v>9055</v>
      </c>
      <c r="C3749" s="5">
        <f>CONCATENATE("PD", TEXT(A3749, "1000000"))</f>
      </c>
      <c r="D3749" s="7">
        <v>76</v>
      </c>
      <c r="E3749" s="5">
        <f>XLOOKUP(G3749, item_category!C:C, item_category!B:B, "Not Found")</f>
      </c>
      <c r="F3749" s="1" t="s">
        <v>5632</v>
      </c>
      <c r="G3749" s="5">
        <f>XLOOKUP(I3749, drug!B:B, drug!A:A, "Not Found")</f>
      </c>
      <c r="H3749" s="1"/>
      <c r="I3749" s="7">
        <v>1</v>
      </c>
      <c r="J3749" s="5">
        <f>XLOOKUP(L3749, uom!C:C, uom!B:B, "Not Found")</f>
      </c>
      <c r="K3749" s="1" t="s">
        <v>5511</v>
      </c>
      <c r="L3749" s="5">
        <f>XLOOKUP(N3749, uom!C:C, uom!B:B, "Not Found")</f>
      </c>
      <c r="M3749" s="1" t="s">
        <v>5511</v>
      </c>
      <c r="N3749" s="8" t="s">
        <v>5512</v>
      </c>
      <c r="O3749" s="1" t="s">
        <v>5513</v>
      </c>
      <c r="P3749" s="5">
        <f>XLOOKUP(R3749, classification!C:C, classification!B:B, "Not Found")</f>
      </c>
      <c r="Q3749" s="1" t="s">
        <v>5514</v>
      </c>
      <c r="R3749" s="2"/>
      <c r="S3749" s="2"/>
      <c r="T3749" s="2"/>
      <c r="U3749" s="2"/>
    </row>
    <row x14ac:dyDescent="0.25" r="3750" customHeight="1" ht="17.25">
      <c r="A3750" s="7">
        <v>3749</v>
      </c>
      <c r="B3750" s="1" t="s">
        <v>9056</v>
      </c>
      <c r="C3750" s="5">
        <f>CONCATENATE("PD", TEXT(A3750, "1000000"))</f>
      </c>
      <c r="D3750" s="7">
        <v>76</v>
      </c>
      <c r="E3750" s="5">
        <f>XLOOKUP(G3750, item_category!C:C, item_category!B:B, "Not Found")</f>
      </c>
      <c r="F3750" s="1" t="s">
        <v>5632</v>
      </c>
      <c r="G3750" s="5">
        <f>XLOOKUP(I3750, drug!B:B, drug!A:A, "Not Found")</f>
      </c>
      <c r="H3750" s="1"/>
      <c r="I3750" s="7">
        <v>1</v>
      </c>
      <c r="J3750" s="5">
        <f>XLOOKUP(L3750, uom!C:C, uom!B:B, "Not Found")</f>
      </c>
      <c r="K3750" s="1" t="s">
        <v>5511</v>
      </c>
      <c r="L3750" s="5">
        <f>XLOOKUP(N3750, uom!C:C, uom!B:B, "Not Found")</f>
      </c>
      <c r="M3750" s="1" t="s">
        <v>5511</v>
      </c>
      <c r="N3750" s="8" t="s">
        <v>5512</v>
      </c>
      <c r="O3750" s="1" t="s">
        <v>5513</v>
      </c>
      <c r="P3750" s="5">
        <f>XLOOKUP(R3750, classification!C:C, classification!B:B, "Not Found")</f>
      </c>
      <c r="Q3750" s="1" t="s">
        <v>5514</v>
      </c>
      <c r="R3750" s="2"/>
      <c r="S3750" s="2"/>
      <c r="T3750" s="2"/>
      <c r="U3750" s="2"/>
    </row>
    <row x14ac:dyDescent="0.25" r="3751" customHeight="1" ht="17.25">
      <c r="A3751" s="7">
        <v>3750</v>
      </c>
      <c r="B3751" s="1" t="s">
        <v>9057</v>
      </c>
      <c r="C3751" s="5">
        <f>CONCATENATE("PD", TEXT(A3751, "1000000"))</f>
      </c>
      <c r="D3751" s="7">
        <v>74</v>
      </c>
      <c r="E3751" s="5">
        <f>XLOOKUP(G3751, item_category!C:C, item_category!B:B, "Not Found")</f>
      </c>
      <c r="F3751" s="1" t="s">
        <v>5520</v>
      </c>
      <c r="G3751" s="5">
        <f>XLOOKUP(I3751, drug!B:B, drug!A:A, "Not Found")</f>
      </c>
      <c r="H3751" s="1"/>
      <c r="I3751" s="7">
        <v>1</v>
      </c>
      <c r="J3751" s="5">
        <f>XLOOKUP(L3751, uom!C:C, uom!B:B, "Not Found")</f>
      </c>
      <c r="K3751" s="1" t="s">
        <v>5511</v>
      </c>
      <c r="L3751" s="5">
        <f>XLOOKUP(N3751, uom!C:C, uom!B:B, "Not Found")</f>
      </c>
      <c r="M3751" s="1" t="s">
        <v>5511</v>
      </c>
      <c r="N3751" s="8" t="s">
        <v>5512</v>
      </c>
      <c r="O3751" s="1" t="s">
        <v>5513</v>
      </c>
      <c r="P3751" s="5">
        <f>XLOOKUP(R3751, classification!C:C, classification!B:B, "Not Found")</f>
      </c>
      <c r="Q3751" s="1" t="s">
        <v>5514</v>
      </c>
      <c r="R3751" s="2"/>
      <c r="S3751" s="2"/>
      <c r="T3751" s="2"/>
      <c r="U3751" s="2"/>
    </row>
    <row x14ac:dyDescent="0.25" r="3752" customHeight="1" ht="17.25">
      <c r="A3752" s="7">
        <v>3751</v>
      </c>
      <c r="B3752" s="1" t="s">
        <v>9058</v>
      </c>
      <c r="C3752" s="5">
        <f>CONCATENATE("PD", TEXT(A3752, "1000000"))</f>
      </c>
      <c r="D3752" s="7">
        <v>74</v>
      </c>
      <c r="E3752" s="5">
        <f>XLOOKUP(G3752, item_category!C:C, item_category!B:B, "Not Found")</f>
      </c>
      <c r="F3752" s="1" t="s">
        <v>5520</v>
      </c>
      <c r="G3752" s="5">
        <f>XLOOKUP(I3752, drug!B:B, drug!A:A, "Not Found")</f>
      </c>
      <c r="H3752" s="1"/>
      <c r="I3752" s="7">
        <v>1</v>
      </c>
      <c r="J3752" s="5">
        <f>XLOOKUP(L3752, uom!C:C, uom!B:B, "Not Found")</f>
      </c>
      <c r="K3752" s="1" t="s">
        <v>5511</v>
      </c>
      <c r="L3752" s="5">
        <f>XLOOKUP(N3752, uom!C:C, uom!B:B, "Not Found")</f>
      </c>
      <c r="M3752" s="1" t="s">
        <v>5511</v>
      </c>
      <c r="N3752" s="8" t="s">
        <v>5512</v>
      </c>
      <c r="O3752" s="1" t="s">
        <v>5513</v>
      </c>
      <c r="P3752" s="5">
        <f>XLOOKUP(R3752, classification!C:C, classification!B:B, "Not Found")</f>
      </c>
      <c r="Q3752" s="1" t="s">
        <v>5514</v>
      </c>
      <c r="R3752" s="2"/>
      <c r="S3752" s="2"/>
      <c r="T3752" s="2"/>
      <c r="U3752" s="2"/>
    </row>
    <row x14ac:dyDescent="0.25" r="3753" customHeight="1" ht="17.25">
      <c r="A3753" s="7">
        <v>3752</v>
      </c>
      <c r="B3753" s="1" t="s">
        <v>9059</v>
      </c>
      <c r="C3753" s="5">
        <f>CONCATENATE("PD", TEXT(A3753, "1000000"))</f>
      </c>
      <c r="D3753" s="7">
        <v>76</v>
      </c>
      <c r="E3753" s="5">
        <f>XLOOKUP(G3753, item_category!C:C, item_category!B:B, "Not Found")</f>
      </c>
      <c r="F3753" s="1" t="s">
        <v>5632</v>
      </c>
      <c r="G3753" s="5">
        <f>XLOOKUP(I3753, drug!B:B, drug!A:A, "Not Found")</f>
      </c>
      <c r="H3753" s="1"/>
      <c r="I3753" s="7">
        <v>1</v>
      </c>
      <c r="J3753" s="5">
        <f>XLOOKUP(L3753, uom!C:C, uom!B:B, "Not Found")</f>
      </c>
      <c r="K3753" s="1" t="s">
        <v>5511</v>
      </c>
      <c r="L3753" s="5">
        <f>XLOOKUP(N3753, uom!C:C, uom!B:B, "Not Found")</f>
      </c>
      <c r="M3753" s="1" t="s">
        <v>5511</v>
      </c>
      <c r="N3753" s="8" t="s">
        <v>5512</v>
      </c>
      <c r="O3753" s="1" t="s">
        <v>5513</v>
      </c>
      <c r="P3753" s="5">
        <f>XLOOKUP(R3753, classification!C:C, classification!B:B, "Not Found")</f>
      </c>
      <c r="Q3753" s="1" t="s">
        <v>5514</v>
      </c>
      <c r="R3753" s="2"/>
      <c r="S3753" s="2"/>
      <c r="T3753" s="2"/>
      <c r="U3753" s="2"/>
    </row>
    <row x14ac:dyDescent="0.25" r="3754" customHeight="1" ht="17.25">
      <c r="A3754" s="7">
        <v>3753</v>
      </c>
      <c r="B3754" s="1" t="s">
        <v>9060</v>
      </c>
      <c r="C3754" s="5">
        <f>CONCATENATE("PD", TEXT(A3754, "1000000"))</f>
      </c>
      <c r="D3754" s="7">
        <v>78</v>
      </c>
      <c r="E3754" s="5">
        <f>XLOOKUP(G3754, item_category!C:C, item_category!B:B, "Not Found")</f>
      </c>
      <c r="F3754" s="1" t="s">
        <v>5522</v>
      </c>
      <c r="G3754" s="5">
        <f>XLOOKUP(I3754, drug!B:B, drug!A:A, "Not Found")</f>
      </c>
      <c r="H3754" s="1" t="s">
        <v>1292</v>
      </c>
      <c r="I3754" s="7">
        <v>1</v>
      </c>
      <c r="J3754" s="5">
        <f>XLOOKUP(L3754, uom!C:C, uom!B:B, "Not Found")</f>
      </c>
      <c r="K3754" s="1" t="s">
        <v>5511</v>
      </c>
      <c r="L3754" s="5">
        <f>XLOOKUP(N3754, uom!C:C, uom!B:B, "Not Found")</f>
      </c>
      <c r="M3754" s="1" t="s">
        <v>5511</v>
      </c>
      <c r="N3754" s="8" t="s">
        <v>5512</v>
      </c>
      <c r="O3754" s="1" t="s">
        <v>5513</v>
      </c>
      <c r="P3754" s="5">
        <f>XLOOKUP(R3754, classification!C:C, classification!B:B, "Not Found")</f>
      </c>
      <c r="Q3754" s="1" t="s">
        <v>5514</v>
      </c>
      <c r="R3754" s="2"/>
      <c r="S3754" s="2"/>
      <c r="T3754" s="2"/>
      <c r="U3754" s="2"/>
    </row>
    <row x14ac:dyDescent="0.25" r="3755" customHeight="1" ht="17.25">
      <c r="A3755" s="7">
        <v>3754</v>
      </c>
      <c r="B3755" s="1" t="s">
        <v>8135</v>
      </c>
      <c r="C3755" s="5">
        <f>CONCATENATE("PD", TEXT(A3755, "1000000"))</f>
      </c>
      <c r="D3755" s="7">
        <v>78</v>
      </c>
      <c r="E3755" s="5">
        <f>XLOOKUP(G3755, item_category!C:C, item_category!B:B, "Not Found")</f>
      </c>
      <c r="F3755" s="1" t="s">
        <v>5522</v>
      </c>
      <c r="G3755" s="5">
        <f>XLOOKUP(I3755, drug!B:B, drug!A:A, "Not Found")</f>
      </c>
      <c r="H3755" s="1"/>
      <c r="I3755" s="7">
        <v>1</v>
      </c>
      <c r="J3755" s="5">
        <f>XLOOKUP(L3755, uom!C:C, uom!B:B, "Not Found")</f>
      </c>
      <c r="K3755" s="1" t="s">
        <v>5511</v>
      </c>
      <c r="L3755" s="5">
        <f>XLOOKUP(N3755, uom!C:C, uom!B:B, "Not Found")</f>
      </c>
      <c r="M3755" s="1" t="s">
        <v>5511</v>
      </c>
      <c r="N3755" s="8" t="s">
        <v>5512</v>
      </c>
      <c r="O3755" s="1" t="s">
        <v>5513</v>
      </c>
      <c r="P3755" s="5">
        <f>XLOOKUP(R3755, classification!C:C, classification!B:B, "Not Found")</f>
      </c>
      <c r="Q3755" s="1" t="s">
        <v>5514</v>
      </c>
      <c r="R3755" s="2"/>
      <c r="S3755" s="2"/>
      <c r="T3755" s="2"/>
      <c r="U3755" s="2"/>
    </row>
    <row x14ac:dyDescent="0.25" r="3756" customHeight="1" ht="17.25">
      <c r="A3756" s="7">
        <v>3755</v>
      </c>
      <c r="B3756" s="1" t="s">
        <v>3466</v>
      </c>
      <c r="C3756" s="5">
        <f>CONCATENATE("PD", TEXT(A3756, "1000000"))</f>
      </c>
      <c r="D3756" s="7">
        <v>76</v>
      </c>
      <c r="E3756" s="5">
        <f>XLOOKUP(G3756, item_category!C:C, item_category!B:B, "Not Found")</f>
      </c>
      <c r="F3756" s="1" t="s">
        <v>5632</v>
      </c>
      <c r="G3756" s="5">
        <f>XLOOKUP(I3756, drug!B:B, drug!A:A, "Not Found")</f>
      </c>
      <c r="H3756" s="1"/>
      <c r="I3756" s="7">
        <v>1</v>
      </c>
      <c r="J3756" s="5">
        <f>XLOOKUP(L3756, uom!C:C, uom!B:B, "Not Found")</f>
      </c>
      <c r="K3756" s="1" t="s">
        <v>5511</v>
      </c>
      <c r="L3756" s="5">
        <f>XLOOKUP(N3756, uom!C:C, uom!B:B, "Not Found")</f>
      </c>
      <c r="M3756" s="1" t="s">
        <v>5511</v>
      </c>
      <c r="N3756" s="8" t="s">
        <v>5512</v>
      </c>
      <c r="O3756" s="1" t="s">
        <v>5513</v>
      </c>
      <c r="P3756" s="5">
        <f>XLOOKUP(R3756, classification!C:C, classification!B:B, "Not Found")</f>
      </c>
      <c r="Q3756" s="1" t="s">
        <v>5514</v>
      </c>
      <c r="R3756" s="2"/>
      <c r="S3756" s="2"/>
      <c r="T3756" s="2"/>
      <c r="U3756" s="2"/>
    </row>
    <row x14ac:dyDescent="0.25" r="3757" customHeight="1" ht="17.25">
      <c r="A3757" s="7">
        <v>3756</v>
      </c>
      <c r="B3757" s="1" t="s">
        <v>9061</v>
      </c>
      <c r="C3757" s="5">
        <f>CONCATENATE("PD", TEXT(A3757, "1000000"))</f>
      </c>
      <c r="D3757" s="7">
        <v>75</v>
      </c>
      <c r="E3757" s="5">
        <f>XLOOKUP(G3757, item_category!C:C, item_category!B:B, "Not Found")</f>
      </c>
      <c r="F3757" s="1" t="s">
        <v>5541</v>
      </c>
      <c r="G3757" s="5">
        <f>XLOOKUP(I3757, drug!B:B, drug!A:A, "Not Found")</f>
      </c>
      <c r="H3757" s="1"/>
      <c r="I3757" s="7">
        <v>1</v>
      </c>
      <c r="J3757" s="5">
        <f>XLOOKUP(L3757, uom!C:C, uom!B:B, "Not Found")</f>
      </c>
      <c r="K3757" s="1" t="s">
        <v>5511</v>
      </c>
      <c r="L3757" s="5">
        <f>XLOOKUP(N3757, uom!C:C, uom!B:B, "Not Found")</f>
      </c>
      <c r="M3757" s="1" t="s">
        <v>5511</v>
      </c>
      <c r="N3757" s="8" t="s">
        <v>5512</v>
      </c>
      <c r="O3757" s="1" t="s">
        <v>5513</v>
      </c>
      <c r="P3757" s="5">
        <f>XLOOKUP(R3757, classification!C:C, classification!B:B, "Not Found")</f>
      </c>
      <c r="Q3757" s="1" t="s">
        <v>5514</v>
      </c>
      <c r="R3757" s="2"/>
      <c r="S3757" s="2"/>
      <c r="T3757" s="2"/>
      <c r="U3757" s="2"/>
    </row>
    <row x14ac:dyDescent="0.25" r="3758" customHeight="1" ht="17.25">
      <c r="A3758" s="7">
        <v>3757</v>
      </c>
      <c r="B3758" s="1" t="s">
        <v>9062</v>
      </c>
      <c r="C3758" s="5">
        <f>CONCATENATE("PD", TEXT(A3758, "1000000"))</f>
      </c>
      <c r="D3758" s="7">
        <v>75</v>
      </c>
      <c r="E3758" s="5">
        <f>XLOOKUP(G3758, item_category!C:C, item_category!B:B, "Not Found")</f>
      </c>
      <c r="F3758" s="1" t="s">
        <v>5541</v>
      </c>
      <c r="G3758" s="5">
        <f>XLOOKUP(I3758, drug!B:B, drug!A:A, "Not Found")</f>
      </c>
      <c r="H3758" s="1"/>
      <c r="I3758" s="7">
        <v>1</v>
      </c>
      <c r="J3758" s="5">
        <f>XLOOKUP(L3758, uom!C:C, uom!B:B, "Not Found")</f>
      </c>
      <c r="K3758" s="1" t="s">
        <v>5511</v>
      </c>
      <c r="L3758" s="5">
        <f>XLOOKUP(N3758, uom!C:C, uom!B:B, "Not Found")</f>
      </c>
      <c r="M3758" s="1" t="s">
        <v>5511</v>
      </c>
      <c r="N3758" s="8" t="s">
        <v>5512</v>
      </c>
      <c r="O3758" s="1" t="s">
        <v>5513</v>
      </c>
      <c r="P3758" s="5">
        <f>XLOOKUP(R3758, classification!C:C, classification!B:B, "Not Found")</f>
      </c>
      <c r="Q3758" s="1" t="s">
        <v>5514</v>
      </c>
      <c r="R3758" s="2"/>
      <c r="S3758" s="2"/>
      <c r="T3758" s="2"/>
      <c r="U3758" s="2"/>
    </row>
    <row x14ac:dyDescent="0.25" r="3759" customHeight="1" ht="17.25">
      <c r="A3759" s="7">
        <v>3758</v>
      </c>
      <c r="B3759" s="1" t="s">
        <v>9063</v>
      </c>
      <c r="C3759" s="5">
        <f>CONCATENATE("PD", TEXT(A3759, "1000000"))</f>
      </c>
      <c r="D3759" s="7">
        <v>75</v>
      </c>
      <c r="E3759" s="5">
        <f>XLOOKUP(G3759, item_category!C:C, item_category!B:B, "Not Found")</f>
      </c>
      <c r="F3759" s="1" t="s">
        <v>5541</v>
      </c>
      <c r="G3759" s="5">
        <f>XLOOKUP(I3759, drug!B:B, drug!A:A, "Not Found")</f>
      </c>
      <c r="H3759" s="1"/>
      <c r="I3759" s="7">
        <v>1</v>
      </c>
      <c r="J3759" s="5">
        <f>XLOOKUP(L3759, uom!C:C, uom!B:B, "Not Found")</f>
      </c>
      <c r="K3759" s="1" t="s">
        <v>5511</v>
      </c>
      <c r="L3759" s="5">
        <f>XLOOKUP(N3759, uom!C:C, uom!B:B, "Not Found")</f>
      </c>
      <c r="M3759" s="1" t="s">
        <v>5511</v>
      </c>
      <c r="N3759" s="8" t="s">
        <v>5512</v>
      </c>
      <c r="O3759" s="1" t="s">
        <v>5513</v>
      </c>
      <c r="P3759" s="5">
        <f>XLOOKUP(R3759, classification!C:C, classification!B:B, "Not Found")</f>
      </c>
      <c r="Q3759" s="1" t="s">
        <v>5514</v>
      </c>
      <c r="R3759" s="2"/>
      <c r="S3759" s="2"/>
      <c r="T3759" s="2"/>
      <c r="U3759" s="2"/>
    </row>
    <row x14ac:dyDescent="0.25" r="3760" customHeight="1" ht="17.25">
      <c r="A3760" s="7">
        <v>3759</v>
      </c>
      <c r="B3760" s="1" t="s">
        <v>9064</v>
      </c>
      <c r="C3760" s="5">
        <f>CONCATENATE("PD", TEXT(A3760, "1000000"))</f>
      </c>
      <c r="D3760" s="7">
        <v>75</v>
      </c>
      <c r="E3760" s="5">
        <f>XLOOKUP(G3760, item_category!C:C, item_category!B:B, "Not Found")</f>
      </c>
      <c r="F3760" s="1" t="s">
        <v>5541</v>
      </c>
      <c r="G3760" s="5">
        <f>XLOOKUP(I3760, drug!B:B, drug!A:A, "Not Found")</f>
      </c>
      <c r="H3760" s="1"/>
      <c r="I3760" s="7">
        <v>1</v>
      </c>
      <c r="J3760" s="5">
        <f>XLOOKUP(L3760, uom!C:C, uom!B:B, "Not Found")</f>
      </c>
      <c r="K3760" s="1" t="s">
        <v>5511</v>
      </c>
      <c r="L3760" s="5">
        <f>XLOOKUP(N3760, uom!C:C, uom!B:B, "Not Found")</f>
      </c>
      <c r="M3760" s="1" t="s">
        <v>5511</v>
      </c>
      <c r="N3760" s="8" t="s">
        <v>5512</v>
      </c>
      <c r="O3760" s="1" t="s">
        <v>5513</v>
      </c>
      <c r="P3760" s="5">
        <f>XLOOKUP(R3760, classification!C:C, classification!B:B, "Not Found")</f>
      </c>
      <c r="Q3760" s="1" t="s">
        <v>5514</v>
      </c>
      <c r="R3760" s="2"/>
      <c r="S3760" s="2"/>
      <c r="T3760" s="2"/>
      <c r="U3760" s="2"/>
    </row>
    <row x14ac:dyDescent="0.25" r="3761" customHeight="1" ht="17.25">
      <c r="A3761" s="7">
        <v>3760</v>
      </c>
      <c r="B3761" s="1" t="s">
        <v>9065</v>
      </c>
      <c r="C3761" s="5">
        <f>CONCATENATE("PD", TEXT(A3761, "1000000"))</f>
      </c>
      <c r="D3761" s="7">
        <v>76</v>
      </c>
      <c r="E3761" s="5">
        <f>XLOOKUP(G3761, item_category!C:C, item_category!B:B, "Not Found")</f>
      </c>
      <c r="F3761" s="1" t="s">
        <v>5632</v>
      </c>
      <c r="G3761" s="5">
        <f>XLOOKUP(I3761, drug!B:B, drug!A:A, "Not Found")</f>
      </c>
      <c r="H3761" s="1"/>
      <c r="I3761" s="7">
        <v>1</v>
      </c>
      <c r="J3761" s="5">
        <f>XLOOKUP(L3761, uom!C:C, uom!B:B, "Not Found")</f>
      </c>
      <c r="K3761" s="1" t="s">
        <v>5511</v>
      </c>
      <c r="L3761" s="5">
        <f>XLOOKUP(N3761, uom!C:C, uom!B:B, "Not Found")</f>
      </c>
      <c r="M3761" s="1" t="s">
        <v>5511</v>
      </c>
      <c r="N3761" s="8" t="s">
        <v>5512</v>
      </c>
      <c r="O3761" s="1" t="s">
        <v>5513</v>
      </c>
      <c r="P3761" s="5">
        <f>XLOOKUP(R3761, classification!C:C, classification!B:B, "Not Found")</f>
      </c>
      <c r="Q3761" s="1" t="s">
        <v>5514</v>
      </c>
      <c r="R3761" s="2"/>
      <c r="S3761" s="2"/>
      <c r="T3761" s="2"/>
      <c r="U3761" s="2"/>
    </row>
    <row x14ac:dyDescent="0.25" r="3762" customHeight="1" ht="17.25">
      <c r="A3762" s="7">
        <v>3761</v>
      </c>
      <c r="B3762" s="1" t="s">
        <v>9066</v>
      </c>
      <c r="C3762" s="5">
        <f>CONCATENATE("PD", TEXT(A3762, "1000000"))</f>
      </c>
      <c r="D3762" s="7">
        <v>76</v>
      </c>
      <c r="E3762" s="5">
        <f>XLOOKUP(G3762, item_category!C:C, item_category!B:B, "Not Found")</f>
      </c>
      <c r="F3762" s="1" t="s">
        <v>5632</v>
      </c>
      <c r="G3762" s="5">
        <f>XLOOKUP(I3762, drug!B:B, drug!A:A, "Not Found")</f>
      </c>
      <c r="H3762" s="1" t="s">
        <v>1942</v>
      </c>
      <c r="I3762" s="7">
        <v>1</v>
      </c>
      <c r="J3762" s="5">
        <f>XLOOKUP(L3762, uom!C:C, uom!B:B, "Not Found")</f>
      </c>
      <c r="K3762" s="1" t="s">
        <v>5511</v>
      </c>
      <c r="L3762" s="5">
        <f>XLOOKUP(N3762, uom!C:C, uom!B:B, "Not Found")</f>
      </c>
      <c r="M3762" s="1" t="s">
        <v>5511</v>
      </c>
      <c r="N3762" s="8" t="s">
        <v>5512</v>
      </c>
      <c r="O3762" s="1" t="s">
        <v>5513</v>
      </c>
      <c r="P3762" s="5">
        <f>XLOOKUP(R3762, classification!C:C, classification!B:B, "Not Found")</f>
      </c>
      <c r="Q3762" s="1" t="s">
        <v>5514</v>
      </c>
      <c r="R3762" s="2"/>
      <c r="S3762" s="2"/>
      <c r="T3762" s="2"/>
      <c r="U3762" s="2"/>
    </row>
    <row x14ac:dyDescent="0.25" r="3763" customHeight="1" ht="17.25">
      <c r="A3763" s="7">
        <v>3762</v>
      </c>
      <c r="B3763" s="1" t="s">
        <v>9067</v>
      </c>
      <c r="C3763" s="5">
        <f>CONCATENATE("PD", TEXT(A3763, "1000000"))</f>
      </c>
      <c r="D3763" s="7">
        <v>76</v>
      </c>
      <c r="E3763" s="5">
        <f>XLOOKUP(G3763, item_category!C:C, item_category!B:B, "Not Found")</f>
      </c>
      <c r="F3763" s="1" t="s">
        <v>5632</v>
      </c>
      <c r="G3763" s="5">
        <f>XLOOKUP(I3763, drug!B:B, drug!A:A, "Not Found")</f>
      </c>
      <c r="H3763" s="1"/>
      <c r="I3763" s="7">
        <v>1</v>
      </c>
      <c r="J3763" s="5">
        <f>XLOOKUP(L3763, uom!C:C, uom!B:B, "Not Found")</f>
      </c>
      <c r="K3763" s="1" t="s">
        <v>5511</v>
      </c>
      <c r="L3763" s="5">
        <f>XLOOKUP(N3763, uom!C:C, uom!B:B, "Not Found")</f>
      </c>
      <c r="M3763" s="1" t="s">
        <v>5511</v>
      </c>
      <c r="N3763" s="8" t="s">
        <v>5512</v>
      </c>
      <c r="O3763" s="1" t="s">
        <v>5513</v>
      </c>
      <c r="P3763" s="5">
        <f>XLOOKUP(R3763, classification!C:C, classification!B:B, "Not Found")</f>
      </c>
      <c r="Q3763" s="1" t="s">
        <v>5514</v>
      </c>
      <c r="R3763" s="2"/>
      <c r="S3763" s="2"/>
      <c r="T3763" s="2"/>
      <c r="U3763" s="2"/>
    </row>
    <row x14ac:dyDescent="0.25" r="3764" customHeight="1" ht="17.25">
      <c r="A3764" s="7">
        <v>3763</v>
      </c>
      <c r="B3764" s="1" t="s">
        <v>9068</v>
      </c>
      <c r="C3764" s="5">
        <f>CONCATENATE("PD", TEXT(A3764, "1000000"))</f>
      </c>
      <c r="D3764" s="7">
        <v>76</v>
      </c>
      <c r="E3764" s="5">
        <f>XLOOKUP(G3764, item_category!C:C, item_category!B:B, "Not Found")</f>
      </c>
      <c r="F3764" s="1" t="s">
        <v>5632</v>
      </c>
      <c r="G3764" s="5">
        <f>XLOOKUP(I3764, drug!B:B, drug!A:A, "Not Found")</f>
      </c>
      <c r="H3764" s="1"/>
      <c r="I3764" s="7">
        <v>1</v>
      </c>
      <c r="J3764" s="5">
        <f>XLOOKUP(L3764, uom!C:C, uom!B:B, "Not Found")</f>
      </c>
      <c r="K3764" s="1" t="s">
        <v>5511</v>
      </c>
      <c r="L3764" s="5">
        <f>XLOOKUP(N3764, uom!C:C, uom!B:B, "Not Found")</f>
      </c>
      <c r="M3764" s="1" t="s">
        <v>5511</v>
      </c>
      <c r="N3764" s="8" t="s">
        <v>5512</v>
      </c>
      <c r="O3764" s="1" t="s">
        <v>5513</v>
      </c>
      <c r="P3764" s="5">
        <f>XLOOKUP(R3764, classification!C:C, classification!B:B, "Not Found")</f>
      </c>
      <c r="Q3764" s="1" t="s">
        <v>5514</v>
      </c>
      <c r="R3764" s="2"/>
      <c r="S3764" s="2"/>
      <c r="T3764" s="2"/>
      <c r="U3764" s="2"/>
    </row>
    <row x14ac:dyDescent="0.25" r="3765" customHeight="1" ht="17.25">
      <c r="A3765" s="7">
        <v>3764</v>
      </c>
      <c r="B3765" s="1" t="s">
        <v>9069</v>
      </c>
      <c r="C3765" s="5">
        <f>CONCATENATE("PD", TEXT(A3765, "1000000"))</f>
      </c>
      <c r="D3765" s="7">
        <v>65</v>
      </c>
      <c r="E3765" s="5">
        <f>XLOOKUP(G3765, item_category!C:C, item_category!B:B, "Not Found")</f>
      </c>
      <c r="F3765" s="1" t="s">
        <v>6008</v>
      </c>
      <c r="G3765" s="5">
        <f>XLOOKUP(I3765, drug!B:B, drug!A:A, "Not Found")</f>
      </c>
      <c r="H3765" s="1"/>
      <c r="I3765" s="7">
        <v>1</v>
      </c>
      <c r="J3765" s="5">
        <f>XLOOKUP(L3765, uom!C:C, uom!B:B, "Not Found")</f>
      </c>
      <c r="K3765" s="1" t="s">
        <v>5511</v>
      </c>
      <c r="L3765" s="5">
        <f>XLOOKUP(N3765, uom!C:C, uom!B:B, "Not Found")</f>
      </c>
      <c r="M3765" s="1" t="s">
        <v>5511</v>
      </c>
      <c r="N3765" s="8" t="s">
        <v>5512</v>
      </c>
      <c r="O3765" s="1" t="s">
        <v>5513</v>
      </c>
      <c r="P3765" s="5">
        <f>XLOOKUP(R3765, classification!C:C, classification!B:B, "Not Found")</f>
      </c>
      <c r="Q3765" s="1" t="s">
        <v>5514</v>
      </c>
      <c r="R3765" s="2"/>
      <c r="S3765" s="2"/>
      <c r="T3765" s="2"/>
      <c r="U3765" s="2"/>
    </row>
    <row x14ac:dyDescent="0.25" r="3766" customHeight="1" ht="17.25">
      <c r="A3766" s="7">
        <v>3765</v>
      </c>
      <c r="B3766" s="1" t="s">
        <v>9070</v>
      </c>
      <c r="C3766" s="5">
        <f>CONCATENATE("PD", TEXT(A3766, "1000000"))</f>
      </c>
      <c r="D3766" s="7">
        <v>65</v>
      </c>
      <c r="E3766" s="5">
        <f>XLOOKUP(G3766, item_category!C:C, item_category!B:B, "Not Found")</f>
      </c>
      <c r="F3766" s="1" t="s">
        <v>6008</v>
      </c>
      <c r="G3766" s="5">
        <f>XLOOKUP(I3766, drug!B:B, drug!A:A, "Not Found")</f>
      </c>
      <c r="H3766" s="1"/>
      <c r="I3766" s="7">
        <v>1</v>
      </c>
      <c r="J3766" s="5">
        <f>XLOOKUP(L3766, uom!C:C, uom!B:B, "Not Found")</f>
      </c>
      <c r="K3766" s="1" t="s">
        <v>5511</v>
      </c>
      <c r="L3766" s="5">
        <f>XLOOKUP(N3766, uom!C:C, uom!B:B, "Not Found")</f>
      </c>
      <c r="M3766" s="1" t="s">
        <v>5511</v>
      </c>
      <c r="N3766" s="8" t="s">
        <v>5512</v>
      </c>
      <c r="O3766" s="1" t="s">
        <v>5513</v>
      </c>
      <c r="P3766" s="5">
        <f>XLOOKUP(R3766, classification!C:C, classification!B:B, "Not Found")</f>
      </c>
      <c r="Q3766" s="1" t="s">
        <v>5514</v>
      </c>
      <c r="R3766" s="2"/>
      <c r="S3766" s="2"/>
      <c r="T3766" s="2"/>
      <c r="U3766" s="2"/>
    </row>
    <row x14ac:dyDescent="0.25" r="3767" customHeight="1" ht="17.25">
      <c r="A3767" s="7">
        <v>3766</v>
      </c>
      <c r="B3767" s="1" t="s">
        <v>6556</v>
      </c>
      <c r="C3767" s="5">
        <f>CONCATENATE("PD", TEXT(A3767, "1000000"))</f>
      </c>
      <c r="D3767" s="7">
        <v>67</v>
      </c>
      <c r="E3767" s="5">
        <f>XLOOKUP(G3767, item_category!C:C, item_category!B:B, "Not Found")</f>
      </c>
      <c r="F3767" s="1" t="s">
        <v>5516</v>
      </c>
      <c r="G3767" s="5">
        <f>XLOOKUP(I3767, drug!B:B, drug!A:A, "Not Found")</f>
      </c>
      <c r="H3767" s="1" t="s">
        <v>1942</v>
      </c>
      <c r="I3767" s="7">
        <v>1</v>
      </c>
      <c r="J3767" s="5">
        <f>XLOOKUP(L3767, uom!C:C, uom!B:B, "Not Found")</f>
      </c>
      <c r="K3767" s="1" t="s">
        <v>5511</v>
      </c>
      <c r="L3767" s="5">
        <f>XLOOKUP(N3767, uom!C:C, uom!B:B, "Not Found")</f>
      </c>
      <c r="M3767" s="1" t="s">
        <v>5511</v>
      </c>
      <c r="N3767" s="8" t="s">
        <v>5512</v>
      </c>
      <c r="O3767" s="1" t="s">
        <v>5513</v>
      </c>
      <c r="P3767" s="5">
        <f>XLOOKUP(R3767, classification!C:C, classification!B:B, "Not Found")</f>
      </c>
      <c r="Q3767" s="1" t="s">
        <v>5514</v>
      </c>
      <c r="R3767" s="2"/>
      <c r="S3767" s="2"/>
      <c r="T3767" s="2"/>
      <c r="U3767" s="2"/>
    </row>
    <row x14ac:dyDescent="0.25" r="3768" customHeight="1" ht="17.25">
      <c r="A3768" s="7">
        <v>3767</v>
      </c>
      <c r="B3768" s="1" t="s">
        <v>9071</v>
      </c>
      <c r="C3768" s="5">
        <f>CONCATENATE("PD", TEXT(A3768, "1000000"))</f>
      </c>
      <c r="D3768" s="7">
        <v>74</v>
      </c>
      <c r="E3768" s="5">
        <f>XLOOKUP(G3768, item_category!C:C, item_category!B:B, "Not Found")</f>
      </c>
      <c r="F3768" s="1" t="s">
        <v>5520</v>
      </c>
      <c r="G3768" s="5">
        <f>XLOOKUP(I3768, drug!B:B, drug!A:A, "Not Found")</f>
      </c>
      <c r="H3768" s="1"/>
      <c r="I3768" s="7">
        <v>1</v>
      </c>
      <c r="J3768" s="5">
        <f>XLOOKUP(L3768, uom!C:C, uom!B:B, "Not Found")</f>
      </c>
      <c r="K3768" s="1" t="s">
        <v>5511</v>
      </c>
      <c r="L3768" s="5">
        <f>XLOOKUP(N3768, uom!C:C, uom!B:B, "Not Found")</f>
      </c>
      <c r="M3768" s="1" t="s">
        <v>5511</v>
      </c>
      <c r="N3768" s="8" t="s">
        <v>5512</v>
      </c>
      <c r="O3768" s="1" t="s">
        <v>5513</v>
      </c>
      <c r="P3768" s="5">
        <f>XLOOKUP(R3768, classification!C:C, classification!B:B, "Not Found")</f>
      </c>
      <c r="Q3768" s="1" t="s">
        <v>5514</v>
      </c>
      <c r="R3768" s="2"/>
      <c r="S3768" s="2"/>
      <c r="T3768" s="2"/>
      <c r="U3768" s="2"/>
    </row>
    <row x14ac:dyDescent="0.25" r="3769" customHeight="1" ht="17.25">
      <c r="A3769" s="7">
        <v>3768</v>
      </c>
      <c r="B3769" s="1" t="s">
        <v>9072</v>
      </c>
      <c r="C3769" s="5">
        <f>CONCATENATE("PD", TEXT(A3769, "1000000"))</f>
      </c>
      <c r="D3769" s="7">
        <v>74</v>
      </c>
      <c r="E3769" s="5">
        <f>XLOOKUP(G3769, item_category!C:C, item_category!B:B, "Not Found")</f>
      </c>
      <c r="F3769" s="1" t="s">
        <v>5520</v>
      </c>
      <c r="G3769" s="5">
        <f>XLOOKUP(I3769, drug!B:B, drug!A:A, "Not Found")</f>
      </c>
      <c r="H3769" s="1"/>
      <c r="I3769" s="7">
        <v>1</v>
      </c>
      <c r="J3769" s="5">
        <f>XLOOKUP(L3769, uom!C:C, uom!B:B, "Not Found")</f>
      </c>
      <c r="K3769" s="1" t="s">
        <v>5511</v>
      </c>
      <c r="L3769" s="5">
        <f>XLOOKUP(N3769, uom!C:C, uom!B:B, "Not Found")</f>
      </c>
      <c r="M3769" s="1" t="s">
        <v>5511</v>
      </c>
      <c r="N3769" s="8" t="s">
        <v>5512</v>
      </c>
      <c r="O3769" s="1" t="s">
        <v>5513</v>
      </c>
      <c r="P3769" s="5">
        <f>XLOOKUP(R3769, classification!C:C, classification!B:B, "Not Found")</f>
      </c>
      <c r="Q3769" s="1" t="s">
        <v>5514</v>
      </c>
      <c r="R3769" s="2"/>
      <c r="S3769" s="2"/>
      <c r="T3769" s="2"/>
      <c r="U3769" s="2"/>
    </row>
    <row x14ac:dyDescent="0.25" r="3770" customHeight="1" ht="17.25">
      <c r="A3770" s="7">
        <v>3769</v>
      </c>
      <c r="B3770" s="1" t="s">
        <v>3472</v>
      </c>
      <c r="C3770" s="5">
        <f>CONCATENATE("PD", TEXT(A3770, "1000000"))</f>
      </c>
      <c r="D3770" s="7">
        <v>67</v>
      </c>
      <c r="E3770" s="5">
        <f>XLOOKUP(G3770, item_category!C:C, item_category!B:B, "Not Found")</f>
      </c>
      <c r="F3770" s="1" t="s">
        <v>5516</v>
      </c>
      <c r="G3770" s="5">
        <f>XLOOKUP(I3770, drug!B:B, drug!A:A, "Not Found")</f>
      </c>
      <c r="H3770" s="1"/>
      <c r="I3770" s="7">
        <v>1</v>
      </c>
      <c r="J3770" s="5">
        <f>XLOOKUP(L3770, uom!C:C, uom!B:B, "Not Found")</f>
      </c>
      <c r="K3770" s="1" t="s">
        <v>5511</v>
      </c>
      <c r="L3770" s="5">
        <f>XLOOKUP(N3770, uom!C:C, uom!B:B, "Not Found")</f>
      </c>
      <c r="M3770" s="1" t="s">
        <v>5511</v>
      </c>
      <c r="N3770" s="8" t="s">
        <v>5512</v>
      </c>
      <c r="O3770" s="1" t="s">
        <v>5513</v>
      </c>
      <c r="P3770" s="5">
        <f>XLOOKUP(R3770, classification!C:C, classification!B:B, "Not Found")</f>
      </c>
      <c r="Q3770" s="1" t="s">
        <v>5514</v>
      </c>
      <c r="R3770" s="2"/>
      <c r="S3770" s="2"/>
      <c r="T3770" s="2"/>
      <c r="U3770" s="2"/>
    </row>
    <row x14ac:dyDescent="0.25" r="3771" customHeight="1" ht="17.25">
      <c r="A3771" s="7">
        <v>3770</v>
      </c>
      <c r="B3771" s="1" t="s">
        <v>9073</v>
      </c>
      <c r="C3771" s="5">
        <f>CONCATENATE("PD", TEXT(A3771, "1000000"))</f>
      </c>
      <c r="D3771" s="7">
        <v>74</v>
      </c>
      <c r="E3771" s="5">
        <f>XLOOKUP(G3771, item_category!C:C, item_category!B:B, "Not Found")</f>
      </c>
      <c r="F3771" s="1" t="s">
        <v>5520</v>
      </c>
      <c r="G3771" s="5">
        <f>XLOOKUP(I3771, drug!B:B, drug!A:A, "Not Found")</f>
      </c>
      <c r="H3771" s="1"/>
      <c r="I3771" s="7">
        <v>1</v>
      </c>
      <c r="J3771" s="5">
        <f>XLOOKUP(L3771, uom!C:C, uom!B:B, "Not Found")</f>
      </c>
      <c r="K3771" s="1" t="s">
        <v>5511</v>
      </c>
      <c r="L3771" s="5">
        <f>XLOOKUP(N3771, uom!C:C, uom!B:B, "Not Found")</f>
      </c>
      <c r="M3771" s="1" t="s">
        <v>5511</v>
      </c>
      <c r="N3771" s="8" t="s">
        <v>5512</v>
      </c>
      <c r="O3771" s="1" t="s">
        <v>5513</v>
      </c>
      <c r="P3771" s="5">
        <f>XLOOKUP(R3771, classification!C:C, classification!B:B, "Not Found")</f>
      </c>
      <c r="Q3771" s="1" t="s">
        <v>5514</v>
      </c>
      <c r="R3771" s="2"/>
      <c r="S3771" s="2"/>
      <c r="T3771" s="2"/>
      <c r="U3771" s="2"/>
    </row>
    <row x14ac:dyDescent="0.25" r="3772" customHeight="1" ht="17.25">
      <c r="A3772" s="7">
        <v>3771</v>
      </c>
      <c r="B3772" s="1" t="s">
        <v>9074</v>
      </c>
      <c r="C3772" s="5">
        <f>CONCATENATE("PD", TEXT(A3772, "1000000"))</f>
      </c>
      <c r="D3772" s="7">
        <v>76</v>
      </c>
      <c r="E3772" s="5">
        <f>XLOOKUP(G3772, item_category!C:C, item_category!B:B, "Not Found")</f>
      </c>
      <c r="F3772" s="1" t="s">
        <v>5632</v>
      </c>
      <c r="G3772" s="5">
        <f>XLOOKUP(I3772, drug!B:B, drug!A:A, "Not Found")</f>
      </c>
      <c r="H3772" s="1"/>
      <c r="I3772" s="7">
        <v>1</v>
      </c>
      <c r="J3772" s="5">
        <f>XLOOKUP(L3772, uom!C:C, uom!B:B, "Not Found")</f>
      </c>
      <c r="K3772" s="1" t="s">
        <v>5511</v>
      </c>
      <c r="L3772" s="5">
        <f>XLOOKUP(N3772, uom!C:C, uom!B:B, "Not Found")</f>
      </c>
      <c r="M3772" s="1" t="s">
        <v>5511</v>
      </c>
      <c r="N3772" s="8" t="s">
        <v>5512</v>
      </c>
      <c r="O3772" s="1" t="s">
        <v>5513</v>
      </c>
      <c r="P3772" s="5">
        <f>XLOOKUP(R3772, classification!C:C, classification!B:B, "Not Found")</f>
      </c>
      <c r="Q3772" s="1" t="s">
        <v>5514</v>
      </c>
      <c r="R3772" s="2"/>
      <c r="S3772" s="2"/>
      <c r="T3772" s="2"/>
      <c r="U3772" s="2"/>
    </row>
    <row x14ac:dyDescent="0.25" r="3773" customHeight="1" ht="17.25">
      <c r="A3773" s="7">
        <v>3772</v>
      </c>
      <c r="B3773" s="1" t="s">
        <v>9075</v>
      </c>
      <c r="C3773" s="5">
        <f>CONCATENATE("PD", TEXT(A3773, "1000000"))</f>
      </c>
      <c r="D3773" s="7">
        <v>78</v>
      </c>
      <c r="E3773" s="5">
        <f>XLOOKUP(G3773, item_category!C:C, item_category!B:B, "Not Found")</f>
      </c>
      <c r="F3773" s="1" t="s">
        <v>5522</v>
      </c>
      <c r="G3773" s="5">
        <f>XLOOKUP(I3773, drug!B:B, drug!A:A, "Not Found")</f>
      </c>
      <c r="H3773" s="1"/>
      <c r="I3773" s="7">
        <v>1</v>
      </c>
      <c r="J3773" s="5">
        <f>XLOOKUP(L3773, uom!C:C, uom!B:B, "Not Found")</f>
      </c>
      <c r="K3773" s="1" t="s">
        <v>5511</v>
      </c>
      <c r="L3773" s="5">
        <f>XLOOKUP(N3773, uom!C:C, uom!B:B, "Not Found")</f>
      </c>
      <c r="M3773" s="1" t="s">
        <v>5511</v>
      </c>
      <c r="N3773" s="8" t="s">
        <v>5512</v>
      </c>
      <c r="O3773" s="1" t="s">
        <v>5513</v>
      </c>
      <c r="P3773" s="5">
        <f>XLOOKUP(R3773, classification!C:C, classification!B:B, "Not Found")</f>
      </c>
      <c r="Q3773" s="1" t="s">
        <v>5514</v>
      </c>
      <c r="R3773" s="2"/>
      <c r="S3773" s="2"/>
      <c r="T3773" s="2"/>
      <c r="U3773" s="2"/>
    </row>
    <row x14ac:dyDescent="0.25" r="3774" customHeight="1" ht="17.25">
      <c r="A3774" s="7">
        <v>3773</v>
      </c>
      <c r="B3774" s="1" t="s">
        <v>9076</v>
      </c>
      <c r="C3774" s="5">
        <f>CONCATENATE("PD", TEXT(A3774, "1000000"))</f>
      </c>
      <c r="D3774" s="7">
        <v>78</v>
      </c>
      <c r="E3774" s="5">
        <f>XLOOKUP(G3774, item_category!C:C, item_category!B:B, "Not Found")</f>
      </c>
      <c r="F3774" s="1" t="s">
        <v>5522</v>
      </c>
      <c r="G3774" s="5">
        <f>XLOOKUP(I3774, drug!B:B, drug!A:A, "Not Found")</f>
      </c>
      <c r="H3774" s="1" t="s">
        <v>810</v>
      </c>
      <c r="I3774" s="7">
        <v>1</v>
      </c>
      <c r="J3774" s="5">
        <f>XLOOKUP(L3774, uom!C:C, uom!B:B, "Not Found")</f>
      </c>
      <c r="K3774" s="1" t="s">
        <v>5511</v>
      </c>
      <c r="L3774" s="5">
        <f>XLOOKUP(N3774, uom!C:C, uom!B:B, "Not Found")</f>
      </c>
      <c r="M3774" s="1" t="s">
        <v>5511</v>
      </c>
      <c r="N3774" s="8" t="s">
        <v>5512</v>
      </c>
      <c r="O3774" s="1" t="s">
        <v>5513</v>
      </c>
      <c r="P3774" s="5">
        <f>XLOOKUP(R3774, classification!C:C, classification!B:B, "Not Found")</f>
      </c>
      <c r="Q3774" s="1" t="s">
        <v>5514</v>
      </c>
      <c r="R3774" s="2"/>
      <c r="S3774" s="2"/>
      <c r="T3774" s="2"/>
      <c r="U3774" s="2"/>
    </row>
    <row x14ac:dyDescent="0.25" r="3775" customHeight="1" ht="17.25">
      <c r="A3775" s="7">
        <v>3774</v>
      </c>
      <c r="B3775" s="1" t="s">
        <v>8110</v>
      </c>
      <c r="C3775" s="5">
        <f>CONCATENATE("PD", TEXT(A3775, "1000000"))</f>
      </c>
      <c r="D3775" s="7">
        <v>78</v>
      </c>
      <c r="E3775" s="5">
        <f>XLOOKUP(G3775, item_category!C:C, item_category!B:B, "Not Found")</f>
      </c>
      <c r="F3775" s="1" t="s">
        <v>5522</v>
      </c>
      <c r="G3775" s="5">
        <f>XLOOKUP(I3775, drug!B:B, drug!A:A, "Not Found")</f>
      </c>
      <c r="H3775" s="1"/>
      <c r="I3775" s="7">
        <v>1</v>
      </c>
      <c r="J3775" s="5">
        <f>XLOOKUP(L3775, uom!C:C, uom!B:B, "Not Found")</f>
      </c>
      <c r="K3775" s="1" t="s">
        <v>5511</v>
      </c>
      <c r="L3775" s="5">
        <f>XLOOKUP(N3775, uom!C:C, uom!B:B, "Not Found")</f>
      </c>
      <c r="M3775" s="1" t="s">
        <v>5511</v>
      </c>
      <c r="N3775" s="8" t="s">
        <v>5512</v>
      </c>
      <c r="O3775" s="1" t="s">
        <v>5513</v>
      </c>
      <c r="P3775" s="5">
        <f>XLOOKUP(R3775, classification!C:C, classification!B:B, "Not Found")</f>
      </c>
      <c r="Q3775" s="1" t="s">
        <v>5514</v>
      </c>
      <c r="R3775" s="2"/>
      <c r="S3775" s="2"/>
      <c r="T3775" s="2"/>
      <c r="U3775" s="2"/>
    </row>
    <row x14ac:dyDescent="0.25" r="3776" customHeight="1" ht="17.25">
      <c r="A3776" s="7">
        <v>3775</v>
      </c>
      <c r="B3776" s="1" t="s">
        <v>9077</v>
      </c>
      <c r="C3776" s="5">
        <f>CONCATENATE("PD", TEXT(A3776, "1000000"))</f>
      </c>
      <c r="D3776" s="7">
        <v>78</v>
      </c>
      <c r="E3776" s="5">
        <f>XLOOKUP(G3776, item_category!C:C, item_category!B:B, "Not Found")</f>
      </c>
      <c r="F3776" s="1" t="s">
        <v>5522</v>
      </c>
      <c r="G3776" s="5">
        <f>XLOOKUP(I3776, drug!B:B, drug!A:A, "Not Found")</f>
      </c>
      <c r="H3776" s="1" t="s">
        <v>1078</v>
      </c>
      <c r="I3776" s="7">
        <v>1</v>
      </c>
      <c r="J3776" s="5">
        <f>XLOOKUP(L3776, uom!C:C, uom!B:B, "Not Found")</f>
      </c>
      <c r="K3776" s="1" t="s">
        <v>5511</v>
      </c>
      <c r="L3776" s="5">
        <f>XLOOKUP(N3776, uom!C:C, uom!B:B, "Not Found")</f>
      </c>
      <c r="M3776" s="1" t="s">
        <v>5511</v>
      </c>
      <c r="N3776" s="8" t="s">
        <v>5512</v>
      </c>
      <c r="O3776" s="1" t="s">
        <v>5513</v>
      </c>
      <c r="P3776" s="5">
        <f>XLOOKUP(R3776, classification!C:C, classification!B:B, "Not Found")</f>
      </c>
      <c r="Q3776" s="1" t="s">
        <v>5514</v>
      </c>
      <c r="R3776" s="2"/>
      <c r="S3776" s="2"/>
      <c r="T3776" s="2"/>
      <c r="U3776" s="2"/>
    </row>
    <row x14ac:dyDescent="0.25" r="3777" customHeight="1" ht="17.25">
      <c r="A3777" s="7">
        <v>3776</v>
      </c>
      <c r="B3777" s="1" t="s">
        <v>9078</v>
      </c>
      <c r="C3777" s="5">
        <f>CONCATENATE("PD", TEXT(A3777, "1000000"))</f>
      </c>
      <c r="D3777" s="7">
        <v>78</v>
      </c>
      <c r="E3777" s="5">
        <f>XLOOKUP(G3777, item_category!C:C, item_category!B:B, "Not Found")</f>
      </c>
      <c r="F3777" s="1" t="s">
        <v>5522</v>
      </c>
      <c r="G3777" s="5">
        <f>XLOOKUP(I3777, drug!B:B, drug!A:A, "Not Found")</f>
      </c>
      <c r="H3777" s="1" t="s">
        <v>1904</v>
      </c>
      <c r="I3777" s="7">
        <v>1</v>
      </c>
      <c r="J3777" s="5">
        <f>XLOOKUP(L3777, uom!C:C, uom!B:B, "Not Found")</f>
      </c>
      <c r="K3777" s="1" t="s">
        <v>5511</v>
      </c>
      <c r="L3777" s="5">
        <f>XLOOKUP(N3777, uom!C:C, uom!B:B, "Not Found")</f>
      </c>
      <c r="M3777" s="1" t="s">
        <v>5511</v>
      </c>
      <c r="N3777" s="8" t="s">
        <v>5512</v>
      </c>
      <c r="O3777" s="1" t="s">
        <v>5513</v>
      </c>
      <c r="P3777" s="5">
        <f>XLOOKUP(R3777, classification!C:C, classification!B:B, "Not Found")</f>
      </c>
      <c r="Q3777" s="1" t="s">
        <v>5514</v>
      </c>
      <c r="R3777" s="2"/>
      <c r="S3777" s="2"/>
      <c r="T3777" s="2"/>
      <c r="U3777" s="2"/>
    </row>
    <row x14ac:dyDescent="0.25" r="3778" customHeight="1" ht="17.25">
      <c r="A3778" s="7">
        <v>3777</v>
      </c>
      <c r="B3778" s="1" t="s">
        <v>9079</v>
      </c>
      <c r="C3778" s="5">
        <f>CONCATENATE("PD", TEXT(A3778, "1000000"))</f>
      </c>
      <c r="D3778" s="7">
        <v>78</v>
      </c>
      <c r="E3778" s="5">
        <f>XLOOKUP(G3778, item_category!C:C, item_category!B:B, "Not Found")</f>
      </c>
      <c r="F3778" s="1" t="s">
        <v>5522</v>
      </c>
      <c r="G3778" s="5">
        <f>XLOOKUP(I3778, drug!B:B, drug!A:A, "Not Found")</f>
      </c>
      <c r="H3778" s="1"/>
      <c r="I3778" s="7">
        <v>1</v>
      </c>
      <c r="J3778" s="5">
        <f>XLOOKUP(L3778, uom!C:C, uom!B:B, "Not Found")</f>
      </c>
      <c r="K3778" s="1" t="s">
        <v>5511</v>
      </c>
      <c r="L3778" s="5">
        <f>XLOOKUP(N3778, uom!C:C, uom!B:B, "Not Found")</f>
      </c>
      <c r="M3778" s="1" t="s">
        <v>5511</v>
      </c>
      <c r="N3778" s="8" t="s">
        <v>5512</v>
      </c>
      <c r="O3778" s="1" t="s">
        <v>5513</v>
      </c>
      <c r="P3778" s="5">
        <f>XLOOKUP(R3778, classification!C:C, classification!B:B, "Not Found")</f>
      </c>
      <c r="Q3778" s="1" t="s">
        <v>5514</v>
      </c>
      <c r="R3778" s="2"/>
      <c r="S3778" s="2"/>
      <c r="T3778" s="2"/>
      <c r="U3778" s="2"/>
    </row>
    <row x14ac:dyDescent="0.25" r="3779" customHeight="1" ht="17.25">
      <c r="A3779" s="7">
        <v>3778</v>
      </c>
      <c r="B3779" s="1" t="s">
        <v>9080</v>
      </c>
      <c r="C3779" s="5">
        <f>CONCATENATE("PD", TEXT(A3779, "1000000"))</f>
      </c>
      <c r="D3779" s="7">
        <v>78</v>
      </c>
      <c r="E3779" s="5">
        <f>XLOOKUP(G3779, item_category!C:C, item_category!B:B, "Not Found")</f>
      </c>
      <c r="F3779" s="1" t="s">
        <v>5522</v>
      </c>
      <c r="G3779" s="5">
        <f>XLOOKUP(I3779, drug!B:B, drug!A:A, "Not Found")</f>
      </c>
      <c r="H3779" s="1"/>
      <c r="I3779" s="7">
        <v>1</v>
      </c>
      <c r="J3779" s="5">
        <f>XLOOKUP(L3779, uom!C:C, uom!B:B, "Not Found")</f>
      </c>
      <c r="K3779" s="1" t="s">
        <v>5511</v>
      </c>
      <c r="L3779" s="5">
        <f>XLOOKUP(N3779, uom!C:C, uom!B:B, "Not Found")</f>
      </c>
      <c r="M3779" s="1" t="s">
        <v>5511</v>
      </c>
      <c r="N3779" s="8" t="s">
        <v>5512</v>
      </c>
      <c r="O3779" s="1" t="s">
        <v>5513</v>
      </c>
      <c r="P3779" s="5">
        <f>XLOOKUP(R3779, classification!C:C, classification!B:B, "Not Found")</f>
      </c>
      <c r="Q3779" s="1" t="s">
        <v>5514</v>
      </c>
      <c r="R3779" s="2"/>
      <c r="S3779" s="2"/>
      <c r="T3779" s="2"/>
      <c r="U3779" s="2"/>
    </row>
    <row x14ac:dyDescent="0.25" r="3780" customHeight="1" ht="17.25">
      <c r="A3780" s="7">
        <v>3779</v>
      </c>
      <c r="B3780" s="1" t="s">
        <v>9081</v>
      </c>
      <c r="C3780" s="5">
        <f>CONCATENATE("PD", TEXT(A3780, "1000000"))</f>
      </c>
      <c r="D3780" s="7">
        <v>78</v>
      </c>
      <c r="E3780" s="5">
        <f>XLOOKUP(G3780, item_category!C:C, item_category!B:B, "Not Found")</f>
      </c>
      <c r="F3780" s="1" t="s">
        <v>5522</v>
      </c>
      <c r="G3780" s="5">
        <f>XLOOKUP(I3780, drug!B:B, drug!A:A, "Not Found")</f>
      </c>
      <c r="H3780" s="1"/>
      <c r="I3780" s="7">
        <v>1</v>
      </c>
      <c r="J3780" s="5">
        <f>XLOOKUP(L3780, uom!C:C, uom!B:B, "Not Found")</f>
      </c>
      <c r="K3780" s="1" t="s">
        <v>5511</v>
      </c>
      <c r="L3780" s="5">
        <f>XLOOKUP(N3780, uom!C:C, uom!B:B, "Not Found")</f>
      </c>
      <c r="M3780" s="1" t="s">
        <v>5511</v>
      </c>
      <c r="N3780" s="8" t="s">
        <v>5512</v>
      </c>
      <c r="O3780" s="1" t="s">
        <v>5513</v>
      </c>
      <c r="P3780" s="5">
        <f>XLOOKUP(R3780, classification!C:C, classification!B:B, "Not Found")</f>
      </c>
      <c r="Q3780" s="1" t="s">
        <v>5514</v>
      </c>
      <c r="R3780" s="2"/>
      <c r="S3780" s="2"/>
      <c r="T3780" s="2"/>
      <c r="U3780" s="2"/>
    </row>
    <row x14ac:dyDescent="0.25" r="3781" customHeight="1" ht="17.25">
      <c r="A3781" s="7">
        <v>3780</v>
      </c>
      <c r="B3781" s="1" t="s">
        <v>9082</v>
      </c>
      <c r="C3781" s="5">
        <f>CONCATENATE("PD", TEXT(A3781, "1000000"))</f>
      </c>
      <c r="D3781" s="7">
        <v>78</v>
      </c>
      <c r="E3781" s="5">
        <f>XLOOKUP(G3781, item_category!C:C, item_category!B:B, "Not Found")</f>
      </c>
      <c r="F3781" s="1" t="s">
        <v>5522</v>
      </c>
      <c r="G3781" s="5">
        <f>XLOOKUP(I3781, drug!B:B, drug!A:A, "Not Found")</f>
      </c>
      <c r="H3781" s="1"/>
      <c r="I3781" s="7">
        <v>1</v>
      </c>
      <c r="J3781" s="5">
        <f>XLOOKUP(L3781, uom!C:C, uom!B:B, "Not Found")</f>
      </c>
      <c r="K3781" s="1" t="s">
        <v>5511</v>
      </c>
      <c r="L3781" s="5">
        <f>XLOOKUP(N3781, uom!C:C, uom!B:B, "Not Found")</f>
      </c>
      <c r="M3781" s="1" t="s">
        <v>5511</v>
      </c>
      <c r="N3781" s="8" t="s">
        <v>5512</v>
      </c>
      <c r="O3781" s="1" t="s">
        <v>5513</v>
      </c>
      <c r="P3781" s="5">
        <f>XLOOKUP(R3781, classification!C:C, classification!B:B, "Not Found")</f>
      </c>
      <c r="Q3781" s="1" t="s">
        <v>5514</v>
      </c>
      <c r="R3781" s="2"/>
      <c r="S3781" s="2"/>
      <c r="T3781" s="2"/>
      <c r="U3781" s="2"/>
    </row>
    <row x14ac:dyDescent="0.25" r="3782" customHeight="1" ht="17.25">
      <c r="A3782" s="7">
        <v>3781</v>
      </c>
      <c r="B3782" s="1" t="s">
        <v>9083</v>
      </c>
      <c r="C3782" s="5">
        <f>CONCATENATE("PD", TEXT(A3782, "1000000"))</f>
      </c>
      <c r="D3782" s="7">
        <v>78</v>
      </c>
      <c r="E3782" s="5">
        <f>XLOOKUP(G3782, item_category!C:C, item_category!B:B, "Not Found")</f>
      </c>
      <c r="F3782" s="1" t="s">
        <v>5522</v>
      </c>
      <c r="G3782" s="5">
        <f>XLOOKUP(I3782, drug!B:B, drug!A:A, "Not Found")</f>
      </c>
      <c r="H3782" s="1"/>
      <c r="I3782" s="7">
        <v>1</v>
      </c>
      <c r="J3782" s="5">
        <f>XLOOKUP(L3782, uom!C:C, uom!B:B, "Not Found")</f>
      </c>
      <c r="K3782" s="1" t="s">
        <v>5511</v>
      </c>
      <c r="L3782" s="5">
        <f>XLOOKUP(N3782, uom!C:C, uom!B:B, "Not Found")</f>
      </c>
      <c r="M3782" s="1" t="s">
        <v>5511</v>
      </c>
      <c r="N3782" s="8" t="s">
        <v>5512</v>
      </c>
      <c r="O3782" s="1" t="s">
        <v>5513</v>
      </c>
      <c r="P3782" s="5">
        <f>XLOOKUP(R3782, classification!C:C, classification!B:B, "Not Found")</f>
      </c>
      <c r="Q3782" s="1" t="s">
        <v>5514</v>
      </c>
      <c r="R3782" s="2"/>
      <c r="S3782" s="2"/>
      <c r="T3782" s="2"/>
      <c r="U3782" s="2"/>
    </row>
    <row x14ac:dyDescent="0.25" r="3783" customHeight="1" ht="17.25">
      <c r="A3783" s="7">
        <v>3782</v>
      </c>
      <c r="B3783" s="1" t="s">
        <v>9084</v>
      </c>
      <c r="C3783" s="5">
        <f>CONCATENATE("PD", TEXT(A3783, "1000000"))</f>
      </c>
      <c r="D3783" s="7">
        <v>78</v>
      </c>
      <c r="E3783" s="5">
        <f>XLOOKUP(G3783, item_category!C:C, item_category!B:B, "Not Found")</f>
      </c>
      <c r="F3783" s="1" t="s">
        <v>5522</v>
      </c>
      <c r="G3783" s="5">
        <f>XLOOKUP(I3783, drug!B:B, drug!A:A, "Not Found")</f>
      </c>
      <c r="H3783" s="1" t="s">
        <v>1704</v>
      </c>
      <c r="I3783" s="7">
        <v>1</v>
      </c>
      <c r="J3783" s="5">
        <f>XLOOKUP(L3783, uom!C:C, uom!B:B, "Not Found")</f>
      </c>
      <c r="K3783" s="1" t="s">
        <v>5511</v>
      </c>
      <c r="L3783" s="5">
        <f>XLOOKUP(N3783, uom!C:C, uom!B:B, "Not Found")</f>
      </c>
      <c r="M3783" s="1" t="s">
        <v>5511</v>
      </c>
      <c r="N3783" s="8" t="s">
        <v>5512</v>
      </c>
      <c r="O3783" s="1" t="s">
        <v>5513</v>
      </c>
      <c r="P3783" s="5">
        <f>XLOOKUP(R3783, classification!C:C, classification!B:B, "Not Found")</f>
      </c>
      <c r="Q3783" s="1" t="s">
        <v>5514</v>
      </c>
      <c r="R3783" s="2"/>
      <c r="S3783" s="2"/>
      <c r="T3783" s="2"/>
      <c r="U3783" s="2"/>
    </row>
    <row x14ac:dyDescent="0.25" r="3784" customHeight="1" ht="17.25">
      <c r="A3784" s="7">
        <v>3783</v>
      </c>
      <c r="B3784" s="1" t="s">
        <v>9085</v>
      </c>
      <c r="C3784" s="5">
        <f>CONCATENATE("PD", TEXT(A3784, "1000000"))</f>
      </c>
      <c r="D3784" s="7">
        <v>78</v>
      </c>
      <c r="E3784" s="5">
        <f>XLOOKUP(G3784, item_category!C:C, item_category!B:B, "Not Found")</f>
      </c>
      <c r="F3784" s="1" t="s">
        <v>5522</v>
      </c>
      <c r="G3784" s="5">
        <f>XLOOKUP(I3784, drug!B:B, drug!A:A, "Not Found")</f>
      </c>
      <c r="H3784" s="1"/>
      <c r="I3784" s="7">
        <v>1</v>
      </c>
      <c r="J3784" s="5">
        <f>XLOOKUP(L3784, uom!C:C, uom!B:B, "Not Found")</f>
      </c>
      <c r="K3784" s="1" t="s">
        <v>5511</v>
      </c>
      <c r="L3784" s="5">
        <f>XLOOKUP(N3784, uom!C:C, uom!B:B, "Not Found")</f>
      </c>
      <c r="M3784" s="1" t="s">
        <v>5511</v>
      </c>
      <c r="N3784" s="8" t="s">
        <v>5512</v>
      </c>
      <c r="O3784" s="1" t="s">
        <v>5513</v>
      </c>
      <c r="P3784" s="5">
        <f>XLOOKUP(R3784, classification!C:C, classification!B:B, "Not Found")</f>
      </c>
      <c r="Q3784" s="1" t="s">
        <v>5514</v>
      </c>
      <c r="R3784" s="2"/>
      <c r="S3784" s="2"/>
      <c r="T3784" s="2"/>
      <c r="U3784" s="2"/>
    </row>
    <row x14ac:dyDescent="0.25" r="3785" customHeight="1" ht="17.25">
      <c r="A3785" s="7">
        <v>3784</v>
      </c>
      <c r="B3785" s="1" t="s">
        <v>9086</v>
      </c>
      <c r="C3785" s="5">
        <f>CONCATENATE("PD", TEXT(A3785, "1000000"))</f>
      </c>
      <c r="D3785" s="7">
        <v>78</v>
      </c>
      <c r="E3785" s="5">
        <f>XLOOKUP(G3785, item_category!C:C, item_category!B:B, "Not Found")</f>
      </c>
      <c r="F3785" s="1" t="s">
        <v>5522</v>
      </c>
      <c r="G3785" s="5">
        <f>XLOOKUP(I3785, drug!B:B, drug!A:A, "Not Found")</f>
      </c>
      <c r="H3785" s="1"/>
      <c r="I3785" s="7">
        <v>1</v>
      </c>
      <c r="J3785" s="5">
        <f>XLOOKUP(L3785, uom!C:C, uom!B:B, "Not Found")</f>
      </c>
      <c r="K3785" s="1" t="s">
        <v>5511</v>
      </c>
      <c r="L3785" s="5">
        <f>XLOOKUP(N3785, uom!C:C, uom!B:B, "Not Found")</f>
      </c>
      <c r="M3785" s="1" t="s">
        <v>5511</v>
      </c>
      <c r="N3785" s="8" t="s">
        <v>5512</v>
      </c>
      <c r="O3785" s="1" t="s">
        <v>5513</v>
      </c>
      <c r="P3785" s="5">
        <f>XLOOKUP(R3785, classification!C:C, classification!B:B, "Not Found")</f>
      </c>
      <c r="Q3785" s="1" t="s">
        <v>5514</v>
      </c>
      <c r="R3785" s="2"/>
      <c r="S3785" s="2"/>
      <c r="T3785" s="2"/>
      <c r="U3785" s="2"/>
    </row>
    <row x14ac:dyDescent="0.25" r="3786" customHeight="1" ht="17.25">
      <c r="A3786" s="7">
        <v>3785</v>
      </c>
      <c r="B3786" s="1" t="s">
        <v>9087</v>
      </c>
      <c r="C3786" s="5">
        <f>CONCATENATE("PD", TEXT(A3786, "1000000"))</f>
      </c>
      <c r="D3786" s="7">
        <v>74</v>
      </c>
      <c r="E3786" s="5">
        <f>XLOOKUP(G3786, item_category!C:C, item_category!B:B, "Not Found")</f>
      </c>
      <c r="F3786" s="1" t="s">
        <v>5520</v>
      </c>
      <c r="G3786" s="5">
        <f>XLOOKUP(I3786, drug!B:B, drug!A:A, "Not Found")</f>
      </c>
      <c r="H3786" s="1" t="s">
        <v>2078</v>
      </c>
      <c r="I3786" s="7">
        <v>1</v>
      </c>
      <c r="J3786" s="5">
        <f>XLOOKUP(L3786, uom!C:C, uom!B:B, "Not Found")</f>
      </c>
      <c r="K3786" s="1" t="s">
        <v>5511</v>
      </c>
      <c r="L3786" s="5">
        <f>XLOOKUP(N3786, uom!C:C, uom!B:B, "Not Found")</f>
      </c>
      <c r="M3786" s="1" t="s">
        <v>5511</v>
      </c>
      <c r="N3786" s="8" t="s">
        <v>5512</v>
      </c>
      <c r="O3786" s="1" t="s">
        <v>5513</v>
      </c>
      <c r="P3786" s="5">
        <f>XLOOKUP(R3786, classification!C:C, classification!B:B, "Not Found")</f>
      </c>
      <c r="Q3786" s="1" t="s">
        <v>5514</v>
      </c>
      <c r="R3786" s="2"/>
      <c r="S3786" s="2"/>
      <c r="T3786" s="2"/>
      <c r="U3786" s="2"/>
    </row>
    <row x14ac:dyDescent="0.25" r="3787" customHeight="1" ht="17.25">
      <c r="A3787" s="7">
        <v>3786</v>
      </c>
      <c r="B3787" s="1" t="s">
        <v>9088</v>
      </c>
      <c r="C3787" s="5">
        <f>CONCATENATE("PD", TEXT(A3787, "1000000"))</f>
      </c>
      <c r="D3787" s="7">
        <v>66</v>
      </c>
      <c r="E3787" s="5">
        <f>XLOOKUP(G3787, item_category!C:C, item_category!B:B, "Not Found")</f>
      </c>
      <c r="F3787" s="1" t="s">
        <v>5617</v>
      </c>
      <c r="G3787" s="5">
        <f>XLOOKUP(I3787, drug!B:B, drug!A:A, "Not Found")</f>
      </c>
      <c r="H3787" s="1"/>
      <c r="I3787" s="7">
        <v>1</v>
      </c>
      <c r="J3787" s="5">
        <f>XLOOKUP(L3787, uom!C:C, uom!B:B, "Not Found")</f>
      </c>
      <c r="K3787" s="1" t="s">
        <v>5511</v>
      </c>
      <c r="L3787" s="5">
        <f>XLOOKUP(N3787, uom!C:C, uom!B:B, "Not Found")</f>
      </c>
      <c r="M3787" s="1" t="s">
        <v>5511</v>
      </c>
      <c r="N3787" s="8" t="s">
        <v>5512</v>
      </c>
      <c r="O3787" s="1" t="s">
        <v>5513</v>
      </c>
      <c r="P3787" s="5">
        <f>XLOOKUP(R3787, classification!C:C, classification!B:B, "Not Found")</f>
      </c>
      <c r="Q3787" s="1" t="s">
        <v>5514</v>
      </c>
      <c r="R3787" s="2"/>
      <c r="S3787" s="2"/>
      <c r="T3787" s="2"/>
      <c r="U3787" s="2"/>
    </row>
    <row x14ac:dyDescent="0.25" r="3788" customHeight="1" ht="17.25">
      <c r="A3788" s="7">
        <v>3787</v>
      </c>
      <c r="B3788" s="1" t="s">
        <v>9089</v>
      </c>
      <c r="C3788" s="5">
        <f>CONCATENATE("PD", TEXT(A3788, "1000000"))</f>
      </c>
      <c r="D3788" s="7">
        <v>78</v>
      </c>
      <c r="E3788" s="5">
        <f>XLOOKUP(G3788, item_category!C:C, item_category!B:B, "Not Found")</f>
      </c>
      <c r="F3788" s="1" t="s">
        <v>5522</v>
      </c>
      <c r="G3788" s="5">
        <f>XLOOKUP(I3788, drug!B:B, drug!A:A, "Not Found")</f>
      </c>
      <c r="H3788" s="1"/>
      <c r="I3788" s="7">
        <v>1</v>
      </c>
      <c r="J3788" s="5">
        <f>XLOOKUP(L3788, uom!C:C, uom!B:B, "Not Found")</f>
      </c>
      <c r="K3788" s="1" t="s">
        <v>5511</v>
      </c>
      <c r="L3788" s="5">
        <f>XLOOKUP(N3788, uom!C:C, uom!B:B, "Not Found")</f>
      </c>
      <c r="M3788" s="1" t="s">
        <v>5511</v>
      </c>
      <c r="N3788" s="8" t="s">
        <v>5512</v>
      </c>
      <c r="O3788" s="1" t="s">
        <v>5513</v>
      </c>
      <c r="P3788" s="5">
        <f>XLOOKUP(R3788, classification!C:C, classification!B:B, "Not Found")</f>
      </c>
      <c r="Q3788" s="1" t="s">
        <v>5514</v>
      </c>
      <c r="R3788" s="2"/>
      <c r="S3788" s="2"/>
      <c r="T3788" s="2"/>
      <c r="U3788" s="2"/>
    </row>
    <row x14ac:dyDescent="0.25" r="3789" customHeight="1" ht="17.25">
      <c r="A3789" s="7">
        <v>3788</v>
      </c>
      <c r="B3789" s="1" t="s">
        <v>9090</v>
      </c>
      <c r="C3789" s="5">
        <f>CONCATENATE("PD", TEXT(A3789, "1000000"))</f>
      </c>
      <c r="D3789" s="7">
        <v>60</v>
      </c>
      <c r="E3789" s="5">
        <f>XLOOKUP(G3789, item_category!C:C, item_category!B:B, "Not Found")</f>
      </c>
      <c r="F3789" s="1" t="s">
        <v>5986</v>
      </c>
      <c r="G3789" s="5">
        <f>XLOOKUP(I3789, drug!B:B, drug!A:A, "Not Found")</f>
      </c>
      <c r="H3789" s="1"/>
      <c r="I3789" s="7">
        <v>1</v>
      </c>
      <c r="J3789" s="5">
        <f>XLOOKUP(L3789, uom!C:C, uom!B:B, "Not Found")</f>
      </c>
      <c r="K3789" s="1" t="s">
        <v>5511</v>
      </c>
      <c r="L3789" s="5">
        <f>XLOOKUP(N3789, uom!C:C, uom!B:B, "Not Found")</f>
      </c>
      <c r="M3789" s="1" t="s">
        <v>5511</v>
      </c>
      <c r="N3789" s="8" t="s">
        <v>5512</v>
      </c>
      <c r="O3789" s="1" t="s">
        <v>5513</v>
      </c>
      <c r="P3789" s="5">
        <f>XLOOKUP(R3789, classification!C:C, classification!B:B, "Not Found")</f>
      </c>
      <c r="Q3789" s="1" t="s">
        <v>5514</v>
      </c>
      <c r="R3789" s="2"/>
      <c r="S3789" s="2"/>
      <c r="T3789" s="2"/>
      <c r="U3789" s="2"/>
    </row>
    <row x14ac:dyDescent="0.25" r="3790" customHeight="1" ht="17.25">
      <c r="A3790" s="7">
        <v>3789</v>
      </c>
      <c r="B3790" s="1" t="s">
        <v>9091</v>
      </c>
      <c r="C3790" s="5">
        <f>CONCATENATE("PD", TEXT(A3790, "1000000"))</f>
      </c>
      <c r="D3790" s="7">
        <v>74</v>
      </c>
      <c r="E3790" s="5">
        <f>XLOOKUP(G3790, item_category!C:C, item_category!B:B, "Not Found")</f>
      </c>
      <c r="F3790" s="1" t="s">
        <v>5520</v>
      </c>
      <c r="G3790" s="5">
        <f>XLOOKUP(I3790, drug!B:B, drug!A:A, "Not Found")</f>
      </c>
      <c r="H3790" s="1"/>
      <c r="I3790" s="7">
        <v>1</v>
      </c>
      <c r="J3790" s="5">
        <f>XLOOKUP(L3790, uom!C:C, uom!B:B, "Not Found")</f>
      </c>
      <c r="K3790" s="1" t="s">
        <v>5511</v>
      </c>
      <c r="L3790" s="5">
        <f>XLOOKUP(N3790, uom!C:C, uom!B:B, "Not Found")</f>
      </c>
      <c r="M3790" s="1" t="s">
        <v>5511</v>
      </c>
      <c r="N3790" s="8" t="s">
        <v>5512</v>
      </c>
      <c r="O3790" s="1" t="s">
        <v>5513</v>
      </c>
      <c r="P3790" s="5">
        <f>XLOOKUP(R3790, classification!C:C, classification!B:B, "Not Found")</f>
      </c>
      <c r="Q3790" s="1" t="s">
        <v>5514</v>
      </c>
      <c r="R3790" s="2"/>
      <c r="S3790" s="2"/>
      <c r="T3790" s="2"/>
      <c r="U3790" s="2"/>
    </row>
    <row x14ac:dyDescent="0.25" r="3791" customHeight="1" ht="17.25">
      <c r="A3791" s="7">
        <v>3790</v>
      </c>
      <c r="B3791" s="1" t="s">
        <v>9092</v>
      </c>
      <c r="C3791" s="5">
        <f>CONCATENATE("PD", TEXT(A3791, "1000000"))</f>
      </c>
      <c r="D3791" s="7">
        <v>76</v>
      </c>
      <c r="E3791" s="5">
        <f>XLOOKUP(G3791, item_category!C:C, item_category!B:B, "Not Found")</f>
      </c>
      <c r="F3791" s="1" t="s">
        <v>5632</v>
      </c>
      <c r="G3791" s="5">
        <f>XLOOKUP(I3791, drug!B:B, drug!A:A, "Not Found")</f>
      </c>
      <c r="H3791" s="1"/>
      <c r="I3791" s="7">
        <v>1</v>
      </c>
      <c r="J3791" s="5">
        <f>XLOOKUP(L3791, uom!C:C, uom!B:B, "Not Found")</f>
      </c>
      <c r="K3791" s="1" t="s">
        <v>5511</v>
      </c>
      <c r="L3791" s="5">
        <f>XLOOKUP(N3791, uom!C:C, uom!B:B, "Not Found")</f>
      </c>
      <c r="M3791" s="1" t="s">
        <v>5511</v>
      </c>
      <c r="N3791" s="8" t="s">
        <v>5512</v>
      </c>
      <c r="O3791" s="1" t="s">
        <v>5513</v>
      </c>
      <c r="P3791" s="5">
        <f>XLOOKUP(R3791, classification!C:C, classification!B:B, "Not Found")</f>
      </c>
      <c r="Q3791" s="1" t="s">
        <v>5514</v>
      </c>
      <c r="R3791" s="2"/>
      <c r="S3791" s="2"/>
      <c r="T3791" s="2"/>
      <c r="U3791" s="2"/>
    </row>
    <row x14ac:dyDescent="0.25" r="3792" customHeight="1" ht="17.25">
      <c r="A3792" s="7">
        <v>3791</v>
      </c>
      <c r="B3792" s="1" t="s">
        <v>9093</v>
      </c>
      <c r="C3792" s="5">
        <f>CONCATENATE("PD", TEXT(A3792, "1000000"))</f>
      </c>
      <c r="D3792" s="7">
        <v>76</v>
      </c>
      <c r="E3792" s="5">
        <f>XLOOKUP(G3792, item_category!C:C, item_category!B:B, "Not Found")</f>
      </c>
      <c r="F3792" s="1" t="s">
        <v>5632</v>
      </c>
      <c r="G3792" s="5">
        <f>XLOOKUP(I3792, drug!B:B, drug!A:A, "Not Found")</f>
      </c>
      <c r="H3792" s="1"/>
      <c r="I3792" s="7">
        <v>1</v>
      </c>
      <c r="J3792" s="5">
        <f>XLOOKUP(L3792, uom!C:C, uom!B:B, "Not Found")</f>
      </c>
      <c r="K3792" s="1" t="s">
        <v>5511</v>
      </c>
      <c r="L3792" s="5">
        <f>XLOOKUP(N3792, uom!C:C, uom!B:B, "Not Found")</f>
      </c>
      <c r="M3792" s="1" t="s">
        <v>5511</v>
      </c>
      <c r="N3792" s="8" t="s">
        <v>5512</v>
      </c>
      <c r="O3792" s="1" t="s">
        <v>5513</v>
      </c>
      <c r="P3792" s="5">
        <f>XLOOKUP(R3792, classification!C:C, classification!B:B, "Not Found")</f>
      </c>
      <c r="Q3792" s="1" t="s">
        <v>5514</v>
      </c>
      <c r="R3792" s="2"/>
      <c r="S3792" s="2"/>
      <c r="T3792" s="2"/>
      <c r="U3792" s="2"/>
    </row>
    <row x14ac:dyDescent="0.25" r="3793" customHeight="1" ht="17.25">
      <c r="A3793" s="7">
        <v>3792</v>
      </c>
      <c r="B3793" s="1" t="s">
        <v>9094</v>
      </c>
      <c r="C3793" s="5">
        <f>CONCATENATE("PD", TEXT(A3793, "1000000"))</f>
      </c>
      <c r="D3793" s="7">
        <v>76</v>
      </c>
      <c r="E3793" s="5">
        <f>XLOOKUP(G3793, item_category!C:C, item_category!B:B, "Not Found")</f>
      </c>
      <c r="F3793" s="1" t="s">
        <v>5632</v>
      </c>
      <c r="G3793" s="5">
        <f>XLOOKUP(I3793, drug!B:B, drug!A:A, "Not Found")</f>
      </c>
      <c r="H3793" s="1" t="s">
        <v>1942</v>
      </c>
      <c r="I3793" s="7">
        <v>1</v>
      </c>
      <c r="J3793" s="5">
        <f>XLOOKUP(L3793, uom!C:C, uom!B:B, "Not Found")</f>
      </c>
      <c r="K3793" s="1" t="s">
        <v>5511</v>
      </c>
      <c r="L3793" s="5">
        <f>XLOOKUP(N3793, uom!C:C, uom!B:B, "Not Found")</f>
      </c>
      <c r="M3793" s="1" t="s">
        <v>5511</v>
      </c>
      <c r="N3793" s="8" t="s">
        <v>5512</v>
      </c>
      <c r="O3793" s="1" t="s">
        <v>5513</v>
      </c>
      <c r="P3793" s="5">
        <f>XLOOKUP(R3793, classification!C:C, classification!B:B, "Not Found")</f>
      </c>
      <c r="Q3793" s="1" t="s">
        <v>5514</v>
      </c>
      <c r="R3793" s="2"/>
      <c r="S3793" s="2"/>
      <c r="T3793" s="2"/>
      <c r="U3793" s="2"/>
    </row>
    <row x14ac:dyDescent="0.25" r="3794" customHeight="1" ht="17.25">
      <c r="A3794" s="7">
        <v>3793</v>
      </c>
      <c r="B3794" s="1" t="s">
        <v>9095</v>
      </c>
      <c r="C3794" s="5">
        <f>CONCATENATE("PD", TEXT(A3794, "1000000"))</f>
      </c>
      <c r="D3794" s="7">
        <v>76</v>
      </c>
      <c r="E3794" s="5">
        <f>XLOOKUP(G3794, item_category!C:C, item_category!B:B, "Not Found")</f>
      </c>
      <c r="F3794" s="1" t="s">
        <v>5632</v>
      </c>
      <c r="G3794" s="5">
        <f>XLOOKUP(I3794, drug!B:B, drug!A:A, "Not Found")</f>
      </c>
      <c r="H3794" s="1"/>
      <c r="I3794" s="7">
        <v>1</v>
      </c>
      <c r="J3794" s="5">
        <f>XLOOKUP(L3794, uom!C:C, uom!B:B, "Not Found")</f>
      </c>
      <c r="K3794" s="1" t="s">
        <v>5511</v>
      </c>
      <c r="L3794" s="5">
        <f>XLOOKUP(N3794, uom!C:C, uom!B:B, "Not Found")</f>
      </c>
      <c r="M3794" s="1" t="s">
        <v>5511</v>
      </c>
      <c r="N3794" s="8" t="s">
        <v>5512</v>
      </c>
      <c r="O3794" s="1" t="s">
        <v>5513</v>
      </c>
      <c r="P3794" s="5">
        <f>XLOOKUP(R3794, classification!C:C, classification!B:B, "Not Found")</f>
      </c>
      <c r="Q3794" s="1" t="s">
        <v>5514</v>
      </c>
      <c r="R3794" s="2"/>
      <c r="S3794" s="2"/>
      <c r="T3794" s="2"/>
      <c r="U3794" s="2"/>
    </row>
    <row x14ac:dyDescent="0.25" r="3795" customHeight="1" ht="17.25">
      <c r="A3795" s="7">
        <v>3794</v>
      </c>
      <c r="B3795" s="1" t="s">
        <v>9096</v>
      </c>
      <c r="C3795" s="5">
        <f>CONCATENATE("PD", TEXT(A3795, "1000000"))</f>
      </c>
      <c r="D3795" s="7">
        <v>76</v>
      </c>
      <c r="E3795" s="5">
        <f>XLOOKUP(G3795, item_category!C:C, item_category!B:B, "Not Found")</f>
      </c>
      <c r="F3795" s="1" t="s">
        <v>5632</v>
      </c>
      <c r="G3795" s="5">
        <f>XLOOKUP(I3795, drug!B:B, drug!A:A, "Not Found")</f>
      </c>
      <c r="H3795" s="1"/>
      <c r="I3795" s="7">
        <v>1</v>
      </c>
      <c r="J3795" s="5">
        <f>XLOOKUP(L3795, uom!C:C, uom!B:B, "Not Found")</f>
      </c>
      <c r="K3795" s="1" t="s">
        <v>5511</v>
      </c>
      <c r="L3795" s="5">
        <f>XLOOKUP(N3795, uom!C:C, uom!B:B, "Not Found")</f>
      </c>
      <c r="M3795" s="1" t="s">
        <v>5511</v>
      </c>
      <c r="N3795" s="8" t="s">
        <v>5512</v>
      </c>
      <c r="O3795" s="1" t="s">
        <v>5513</v>
      </c>
      <c r="P3795" s="5">
        <f>XLOOKUP(R3795, classification!C:C, classification!B:B, "Not Found")</f>
      </c>
      <c r="Q3795" s="1" t="s">
        <v>5514</v>
      </c>
      <c r="R3795" s="2"/>
      <c r="S3795" s="2"/>
      <c r="T3795" s="2"/>
      <c r="U3795" s="2"/>
    </row>
    <row x14ac:dyDescent="0.25" r="3796" customHeight="1" ht="17.25">
      <c r="A3796" s="7">
        <v>3795</v>
      </c>
      <c r="B3796" s="1" t="s">
        <v>9097</v>
      </c>
      <c r="C3796" s="5">
        <f>CONCATENATE("PD", TEXT(A3796, "1000000"))</f>
      </c>
      <c r="D3796" s="7">
        <v>76</v>
      </c>
      <c r="E3796" s="5">
        <f>XLOOKUP(G3796, item_category!C:C, item_category!B:B, "Not Found")</f>
      </c>
      <c r="F3796" s="1" t="s">
        <v>5632</v>
      </c>
      <c r="G3796" s="5">
        <f>XLOOKUP(I3796, drug!B:B, drug!A:A, "Not Found")</f>
      </c>
      <c r="H3796" s="1"/>
      <c r="I3796" s="7">
        <v>1</v>
      </c>
      <c r="J3796" s="5">
        <f>XLOOKUP(L3796, uom!C:C, uom!B:B, "Not Found")</f>
      </c>
      <c r="K3796" s="1" t="s">
        <v>5511</v>
      </c>
      <c r="L3796" s="5">
        <f>XLOOKUP(N3796, uom!C:C, uom!B:B, "Not Found")</f>
      </c>
      <c r="M3796" s="1" t="s">
        <v>5511</v>
      </c>
      <c r="N3796" s="8" t="s">
        <v>5512</v>
      </c>
      <c r="O3796" s="1" t="s">
        <v>5513</v>
      </c>
      <c r="P3796" s="5">
        <f>XLOOKUP(R3796, classification!C:C, classification!B:B, "Not Found")</f>
      </c>
      <c r="Q3796" s="1" t="s">
        <v>5514</v>
      </c>
      <c r="R3796" s="2"/>
      <c r="S3796" s="2"/>
      <c r="T3796" s="2"/>
      <c r="U3796" s="2"/>
    </row>
    <row x14ac:dyDescent="0.25" r="3797" customHeight="1" ht="17.25">
      <c r="A3797" s="7">
        <v>3796</v>
      </c>
      <c r="B3797" s="1" t="s">
        <v>9098</v>
      </c>
      <c r="C3797" s="5">
        <f>CONCATENATE("PD", TEXT(A3797, "1000000"))</f>
      </c>
      <c r="D3797" s="7">
        <v>76</v>
      </c>
      <c r="E3797" s="5">
        <f>XLOOKUP(G3797, item_category!C:C, item_category!B:B, "Not Found")</f>
      </c>
      <c r="F3797" s="1" t="s">
        <v>5632</v>
      </c>
      <c r="G3797" s="5">
        <f>XLOOKUP(I3797, drug!B:B, drug!A:A, "Not Found")</f>
      </c>
      <c r="H3797" s="1"/>
      <c r="I3797" s="7">
        <v>1</v>
      </c>
      <c r="J3797" s="5">
        <f>XLOOKUP(L3797, uom!C:C, uom!B:B, "Not Found")</f>
      </c>
      <c r="K3797" s="1" t="s">
        <v>5511</v>
      </c>
      <c r="L3797" s="5">
        <f>XLOOKUP(N3797, uom!C:C, uom!B:B, "Not Found")</f>
      </c>
      <c r="M3797" s="1" t="s">
        <v>5511</v>
      </c>
      <c r="N3797" s="8" t="s">
        <v>5512</v>
      </c>
      <c r="O3797" s="1" t="s">
        <v>5513</v>
      </c>
      <c r="P3797" s="5">
        <f>XLOOKUP(R3797, classification!C:C, classification!B:B, "Not Found")</f>
      </c>
      <c r="Q3797" s="1" t="s">
        <v>5514</v>
      </c>
      <c r="R3797" s="2"/>
      <c r="S3797" s="2"/>
      <c r="T3797" s="2"/>
      <c r="U3797" s="2"/>
    </row>
    <row x14ac:dyDescent="0.25" r="3798" customHeight="1" ht="17.25">
      <c r="A3798" s="7">
        <v>3797</v>
      </c>
      <c r="B3798" s="1" t="s">
        <v>9099</v>
      </c>
      <c r="C3798" s="5">
        <f>CONCATENATE("PD", TEXT(A3798, "1000000"))</f>
      </c>
      <c r="D3798" s="7">
        <v>76</v>
      </c>
      <c r="E3798" s="5">
        <f>XLOOKUP(G3798, item_category!C:C, item_category!B:B, "Not Found")</f>
      </c>
      <c r="F3798" s="1" t="s">
        <v>5632</v>
      </c>
      <c r="G3798" s="5">
        <f>XLOOKUP(I3798, drug!B:B, drug!A:A, "Not Found")</f>
      </c>
      <c r="H3798" s="1"/>
      <c r="I3798" s="7">
        <v>1</v>
      </c>
      <c r="J3798" s="5">
        <f>XLOOKUP(L3798, uom!C:C, uom!B:B, "Not Found")</f>
      </c>
      <c r="K3798" s="1" t="s">
        <v>5511</v>
      </c>
      <c r="L3798" s="5">
        <f>XLOOKUP(N3798, uom!C:C, uom!B:B, "Not Found")</f>
      </c>
      <c r="M3798" s="1" t="s">
        <v>5511</v>
      </c>
      <c r="N3798" s="8" t="s">
        <v>5512</v>
      </c>
      <c r="O3798" s="1" t="s">
        <v>5513</v>
      </c>
      <c r="P3798" s="5">
        <f>XLOOKUP(R3798, classification!C:C, classification!B:B, "Not Found")</f>
      </c>
      <c r="Q3798" s="1" t="s">
        <v>5514</v>
      </c>
      <c r="R3798" s="2"/>
      <c r="S3798" s="2"/>
      <c r="T3798" s="2"/>
      <c r="U3798" s="2"/>
    </row>
    <row x14ac:dyDescent="0.25" r="3799" customHeight="1" ht="17.25">
      <c r="A3799" s="7">
        <v>3798</v>
      </c>
      <c r="B3799" s="1" t="s">
        <v>9100</v>
      </c>
      <c r="C3799" s="5">
        <f>CONCATENATE("PD", TEXT(A3799, "1000000"))</f>
      </c>
      <c r="D3799" s="7">
        <v>76</v>
      </c>
      <c r="E3799" s="5">
        <f>XLOOKUP(G3799, item_category!C:C, item_category!B:B, "Not Found")</f>
      </c>
      <c r="F3799" s="1" t="s">
        <v>5632</v>
      </c>
      <c r="G3799" s="5">
        <f>XLOOKUP(I3799, drug!B:B, drug!A:A, "Not Found")</f>
      </c>
      <c r="H3799" s="1"/>
      <c r="I3799" s="7">
        <v>1</v>
      </c>
      <c r="J3799" s="5">
        <f>XLOOKUP(L3799, uom!C:C, uom!B:B, "Not Found")</f>
      </c>
      <c r="K3799" s="1" t="s">
        <v>5511</v>
      </c>
      <c r="L3799" s="5">
        <f>XLOOKUP(N3799, uom!C:C, uom!B:B, "Not Found")</f>
      </c>
      <c r="M3799" s="1" t="s">
        <v>5511</v>
      </c>
      <c r="N3799" s="8" t="s">
        <v>5512</v>
      </c>
      <c r="O3799" s="1" t="s">
        <v>5513</v>
      </c>
      <c r="P3799" s="5">
        <f>XLOOKUP(R3799, classification!C:C, classification!B:B, "Not Found")</f>
      </c>
      <c r="Q3799" s="1" t="s">
        <v>5514</v>
      </c>
      <c r="R3799" s="2"/>
      <c r="S3799" s="2"/>
      <c r="T3799" s="2"/>
      <c r="U3799" s="2"/>
    </row>
    <row x14ac:dyDescent="0.25" r="3800" customHeight="1" ht="17.25">
      <c r="A3800" s="7">
        <v>3799</v>
      </c>
      <c r="B3800" s="1" t="s">
        <v>9101</v>
      </c>
      <c r="C3800" s="5">
        <f>CONCATENATE("PD", TEXT(A3800, "1000000"))</f>
      </c>
      <c r="D3800" s="7">
        <v>76</v>
      </c>
      <c r="E3800" s="5">
        <f>XLOOKUP(G3800, item_category!C:C, item_category!B:B, "Not Found")</f>
      </c>
      <c r="F3800" s="1" t="s">
        <v>5632</v>
      </c>
      <c r="G3800" s="5">
        <f>XLOOKUP(I3800, drug!B:B, drug!A:A, "Not Found")</f>
      </c>
      <c r="H3800" s="1"/>
      <c r="I3800" s="7">
        <v>1</v>
      </c>
      <c r="J3800" s="5">
        <f>XLOOKUP(L3800, uom!C:C, uom!B:B, "Not Found")</f>
      </c>
      <c r="K3800" s="1" t="s">
        <v>5511</v>
      </c>
      <c r="L3800" s="5">
        <f>XLOOKUP(N3800, uom!C:C, uom!B:B, "Not Found")</f>
      </c>
      <c r="M3800" s="1" t="s">
        <v>5511</v>
      </c>
      <c r="N3800" s="8" t="s">
        <v>5512</v>
      </c>
      <c r="O3800" s="1" t="s">
        <v>5513</v>
      </c>
      <c r="P3800" s="5">
        <f>XLOOKUP(R3800, classification!C:C, classification!B:B, "Not Found")</f>
      </c>
      <c r="Q3800" s="1" t="s">
        <v>5514</v>
      </c>
      <c r="R3800" s="2"/>
      <c r="S3800" s="2"/>
      <c r="T3800" s="2"/>
      <c r="U3800" s="2"/>
    </row>
    <row x14ac:dyDescent="0.25" r="3801" customHeight="1" ht="17.25">
      <c r="A3801" s="7">
        <v>3800</v>
      </c>
      <c r="B3801" s="1" t="s">
        <v>9102</v>
      </c>
      <c r="C3801" s="5">
        <f>CONCATENATE("PD", TEXT(A3801, "1000000"))</f>
      </c>
      <c r="D3801" s="7">
        <v>76</v>
      </c>
      <c r="E3801" s="5">
        <f>XLOOKUP(G3801, item_category!C:C, item_category!B:B, "Not Found")</f>
      </c>
      <c r="F3801" s="1" t="s">
        <v>5632</v>
      </c>
      <c r="G3801" s="5">
        <f>XLOOKUP(I3801, drug!B:B, drug!A:A, "Not Found")</f>
      </c>
      <c r="H3801" s="1"/>
      <c r="I3801" s="7">
        <v>1</v>
      </c>
      <c r="J3801" s="5">
        <f>XLOOKUP(L3801, uom!C:C, uom!B:B, "Not Found")</f>
      </c>
      <c r="K3801" s="1" t="s">
        <v>5511</v>
      </c>
      <c r="L3801" s="5">
        <f>XLOOKUP(N3801, uom!C:C, uom!B:B, "Not Found")</f>
      </c>
      <c r="M3801" s="1" t="s">
        <v>5511</v>
      </c>
      <c r="N3801" s="8" t="s">
        <v>5512</v>
      </c>
      <c r="O3801" s="1" t="s">
        <v>5513</v>
      </c>
      <c r="P3801" s="5">
        <f>XLOOKUP(R3801, classification!C:C, classification!B:B, "Not Found")</f>
      </c>
      <c r="Q3801" s="1" t="s">
        <v>5514</v>
      </c>
      <c r="R3801" s="2"/>
      <c r="S3801" s="2"/>
      <c r="T3801" s="2"/>
      <c r="U3801" s="2"/>
    </row>
    <row x14ac:dyDescent="0.25" r="3802" customHeight="1" ht="17.25">
      <c r="A3802" s="7">
        <v>3801</v>
      </c>
      <c r="B3802" s="1" t="s">
        <v>9103</v>
      </c>
      <c r="C3802" s="5">
        <f>CONCATENATE("PD", TEXT(A3802, "1000000"))</f>
      </c>
      <c r="D3802" s="7">
        <v>76</v>
      </c>
      <c r="E3802" s="5">
        <f>XLOOKUP(G3802, item_category!C:C, item_category!B:B, "Not Found")</f>
      </c>
      <c r="F3802" s="1" t="s">
        <v>5632</v>
      </c>
      <c r="G3802" s="5">
        <f>XLOOKUP(I3802, drug!B:B, drug!A:A, "Not Found")</f>
      </c>
      <c r="H3802" s="1"/>
      <c r="I3802" s="7">
        <v>1</v>
      </c>
      <c r="J3802" s="5">
        <f>XLOOKUP(L3802, uom!C:C, uom!B:B, "Not Found")</f>
      </c>
      <c r="K3802" s="1" t="s">
        <v>5511</v>
      </c>
      <c r="L3802" s="5">
        <f>XLOOKUP(N3802, uom!C:C, uom!B:B, "Not Found")</f>
      </c>
      <c r="M3802" s="1" t="s">
        <v>5511</v>
      </c>
      <c r="N3802" s="8" t="s">
        <v>5512</v>
      </c>
      <c r="O3802" s="1" t="s">
        <v>5513</v>
      </c>
      <c r="P3802" s="5">
        <f>XLOOKUP(R3802, classification!C:C, classification!B:B, "Not Found")</f>
      </c>
      <c r="Q3802" s="1" t="s">
        <v>5514</v>
      </c>
      <c r="R3802" s="2"/>
      <c r="S3802" s="2"/>
      <c r="T3802" s="2"/>
      <c r="U3802" s="2"/>
    </row>
    <row x14ac:dyDescent="0.25" r="3803" customHeight="1" ht="17.25">
      <c r="A3803" s="7">
        <v>3802</v>
      </c>
      <c r="B3803" s="1" t="s">
        <v>9104</v>
      </c>
      <c r="C3803" s="5">
        <f>CONCATENATE("PD", TEXT(A3803, "1000000"))</f>
      </c>
      <c r="D3803" s="7">
        <v>76</v>
      </c>
      <c r="E3803" s="5">
        <f>XLOOKUP(G3803, item_category!C:C, item_category!B:B, "Not Found")</f>
      </c>
      <c r="F3803" s="1" t="s">
        <v>5632</v>
      </c>
      <c r="G3803" s="5">
        <f>XLOOKUP(I3803, drug!B:B, drug!A:A, "Not Found")</f>
      </c>
      <c r="H3803" s="1"/>
      <c r="I3803" s="7">
        <v>1</v>
      </c>
      <c r="J3803" s="5">
        <f>XLOOKUP(L3803, uom!C:C, uom!B:B, "Not Found")</f>
      </c>
      <c r="K3803" s="1" t="s">
        <v>5511</v>
      </c>
      <c r="L3803" s="5">
        <f>XLOOKUP(N3803, uom!C:C, uom!B:B, "Not Found")</f>
      </c>
      <c r="M3803" s="1" t="s">
        <v>5511</v>
      </c>
      <c r="N3803" s="8" t="s">
        <v>5512</v>
      </c>
      <c r="O3803" s="1" t="s">
        <v>5513</v>
      </c>
      <c r="P3803" s="5">
        <f>XLOOKUP(R3803, classification!C:C, classification!B:B, "Not Found")</f>
      </c>
      <c r="Q3803" s="1" t="s">
        <v>5514</v>
      </c>
      <c r="R3803" s="2"/>
      <c r="S3803" s="2"/>
      <c r="T3803" s="2"/>
      <c r="U3803" s="2"/>
    </row>
    <row x14ac:dyDescent="0.25" r="3804" customHeight="1" ht="17.25">
      <c r="A3804" s="7">
        <v>3803</v>
      </c>
      <c r="B3804" s="1" t="s">
        <v>9105</v>
      </c>
      <c r="C3804" s="5">
        <f>CONCATENATE("PD", TEXT(A3804, "1000000"))</f>
      </c>
      <c r="D3804" s="7">
        <v>74</v>
      </c>
      <c r="E3804" s="5">
        <f>XLOOKUP(G3804, item_category!C:C, item_category!B:B, "Not Found")</f>
      </c>
      <c r="F3804" s="1" t="s">
        <v>5520</v>
      </c>
      <c r="G3804" s="5">
        <f>XLOOKUP(I3804, drug!B:B, drug!A:A, "Not Found")</f>
      </c>
      <c r="H3804" s="1"/>
      <c r="I3804" s="7">
        <v>1</v>
      </c>
      <c r="J3804" s="5">
        <f>XLOOKUP(L3804, uom!C:C, uom!B:B, "Not Found")</f>
      </c>
      <c r="K3804" s="1" t="s">
        <v>5511</v>
      </c>
      <c r="L3804" s="5">
        <f>XLOOKUP(N3804, uom!C:C, uom!B:B, "Not Found")</f>
      </c>
      <c r="M3804" s="1" t="s">
        <v>5511</v>
      </c>
      <c r="N3804" s="8" t="s">
        <v>5512</v>
      </c>
      <c r="O3804" s="1" t="s">
        <v>5513</v>
      </c>
      <c r="P3804" s="5">
        <f>XLOOKUP(R3804, classification!C:C, classification!B:B, "Not Found")</f>
      </c>
      <c r="Q3804" s="1" t="s">
        <v>5514</v>
      </c>
      <c r="R3804" s="2"/>
      <c r="S3804" s="2"/>
      <c r="T3804" s="2"/>
      <c r="U3804" s="2"/>
    </row>
    <row x14ac:dyDescent="0.25" r="3805" customHeight="1" ht="17.25">
      <c r="A3805" s="7">
        <v>3804</v>
      </c>
      <c r="B3805" s="1" t="s">
        <v>9106</v>
      </c>
      <c r="C3805" s="5">
        <f>CONCATENATE("PD", TEXT(A3805, "1000000"))</f>
      </c>
      <c r="D3805" s="7">
        <v>67</v>
      </c>
      <c r="E3805" s="5">
        <f>XLOOKUP(G3805, item_category!C:C, item_category!B:B, "Not Found")</f>
      </c>
      <c r="F3805" s="1" t="s">
        <v>5516</v>
      </c>
      <c r="G3805" s="5">
        <f>XLOOKUP(I3805, drug!B:B, drug!A:A, "Not Found")</f>
      </c>
      <c r="H3805" s="1"/>
      <c r="I3805" s="7">
        <v>1</v>
      </c>
      <c r="J3805" s="5">
        <f>XLOOKUP(L3805, uom!C:C, uom!B:B, "Not Found")</f>
      </c>
      <c r="K3805" s="1" t="s">
        <v>5511</v>
      </c>
      <c r="L3805" s="5">
        <f>XLOOKUP(N3805, uom!C:C, uom!B:B, "Not Found")</f>
      </c>
      <c r="M3805" s="1" t="s">
        <v>5511</v>
      </c>
      <c r="N3805" s="8" t="s">
        <v>5512</v>
      </c>
      <c r="O3805" s="1" t="s">
        <v>5513</v>
      </c>
      <c r="P3805" s="5">
        <f>XLOOKUP(R3805, classification!C:C, classification!B:B, "Not Found")</f>
      </c>
      <c r="Q3805" s="1" t="s">
        <v>5514</v>
      </c>
      <c r="R3805" s="2"/>
      <c r="S3805" s="2"/>
      <c r="T3805" s="2"/>
      <c r="U3805" s="2"/>
    </row>
    <row x14ac:dyDescent="0.25" r="3806" customHeight="1" ht="17.25">
      <c r="A3806" s="7">
        <v>3805</v>
      </c>
      <c r="B3806" s="1" t="s">
        <v>9107</v>
      </c>
      <c r="C3806" s="5">
        <f>CONCATENATE("PD", TEXT(A3806, "1000000"))</f>
      </c>
      <c r="D3806" s="7">
        <v>70</v>
      </c>
      <c r="E3806" s="5">
        <f>XLOOKUP(G3806, item_category!C:C, item_category!B:B, "Not Found")</f>
      </c>
      <c r="F3806" s="1" t="s">
        <v>6615</v>
      </c>
      <c r="G3806" s="5">
        <f>XLOOKUP(I3806, drug!B:B, drug!A:A, "Not Found")</f>
      </c>
      <c r="H3806" s="1"/>
      <c r="I3806" s="7">
        <v>1</v>
      </c>
      <c r="J3806" s="5">
        <f>XLOOKUP(L3806, uom!C:C, uom!B:B, "Not Found")</f>
      </c>
      <c r="K3806" s="1" t="s">
        <v>5511</v>
      </c>
      <c r="L3806" s="5">
        <f>XLOOKUP(N3806, uom!C:C, uom!B:B, "Not Found")</f>
      </c>
      <c r="M3806" s="1" t="s">
        <v>5511</v>
      </c>
      <c r="N3806" s="8" t="s">
        <v>5512</v>
      </c>
      <c r="O3806" s="1" t="s">
        <v>5513</v>
      </c>
      <c r="P3806" s="5">
        <f>XLOOKUP(R3806, classification!C:C, classification!B:B, "Not Found")</f>
      </c>
      <c r="Q3806" s="1" t="s">
        <v>5514</v>
      </c>
      <c r="R3806" s="2"/>
      <c r="S3806" s="2"/>
      <c r="T3806" s="2"/>
      <c r="U3806" s="2"/>
    </row>
    <row x14ac:dyDescent="0.25" r="3807" customHeight="1" ht="17.25">
      <c r="A3807" s="7">
        <v>3806</v>
      </c>
      <c r="B3807" s="1" t="s">
        <v>9108</v>
      </c>
      <c r="C3807" s="5">
        <f>CONCATENATE("PD", TEXT(A3807, "1000000"))</f>
      </c>
      <c r="D3807" s="7">
        <v>74</v>
      </c>
      <c r="E3807" s="5">
        <f>XLOOKUP(G3807, item_category!C:C, item_category!B:B, "Not Found")</f>
      </c>
      <c r="F3807" s="1" t="s">
        <v>5520</v>
      </c>
      <c r="G3807" s="5">
        <f>XLOOKUP(I3807, drug!B:B, drug!A:A, "Not Found")</f>
      </c>
      <c r="H3807" s="1"/>
      <c r="I3807" s="7">
        <v>1</v>
      </c>
      <c r="J3807" s="5">
        <f>XLOOKUP(L3807, uom!C:C, uom!B:B, "Not Found")</f>
      </c>
      <c r="K3807" s="1" t="s">
        <v>5511</v>
      </c>
      <c r="L3807" s="5">
        <f>XLOOKUP(N3807, uom!C:C, uom!B:B, "Not Found")</f>
      </c>
      <c r="M3807" s="1" t="s">
        <v>5511</v>
      </c>
      <c r="N3807" s="8" t="s">
        <v>5512</v>
      </c>
      <c r="O3807" s="1" t="s">
        <v>5513</v>
      </c>
      <c r="P3807" s="5">
        <f>XLOOKUP(R3807, classification!C:C, classification!B:B, "Not Found")</f>
      </c>
      <c r="Q3807" s="1" t="s">
        <v>5514</v>
      </c>
      <c r="R3807" s="2"/>
      <c r="S3807" s="2"/>
      <c r="T3807" s="2"/>
      <c r="U3807" s="2"/>
    </row>
    <row x14ac:dyDescent="0.25" r="3808" customHeight="1" ht="17.25">
      <c r="A3808" s="7">
        <v>3807</v>
      </c>
      <c r="B3808" s="1" t="s">
        <v>9109</v>
      </c>
      <c r="C3808" s="5">
        <f>CONCATENATE("PD", TEXT(A3808, "1000000"))</f>
      </c>
      <c r="D3808" s="7">
        <v>74</v>
      </c>
      <c r="E3808" s="5">
        <f>XLOOKUP(G3808, item_category!C:C, item_category!B:B, "Not Found")</f>
      </c>
      <c r="F3808" s="1" t="s">
        <v>5520</v>
      </c>
      <c r="G3808" s="5">
        <f>XLOOKUP(I3808, drug!B:B, drug!A:A, "Not Found")</f>
      </c>
      <c r="H3808" s="1"/>
      <c r="I3808" s="7">
        <v>1</v>
      </c>
      <c r="J3808" s="5">
        <f>XLOOKUP(L3808, uom!C:C, uom!B:B, "Not Found")</f>
      </c>
      <c r="K3808" s="1" t="s">
        <v>5511</v>
      </c>
      <c r="L3808" s="5">
        <f>XLOOKUP(N3808, uom!C:C, uom!B:B, "Not Found")</f>
      </c>
      <c r="M3808" s="1" t="s">
        <v>5511</v>
      </c>
      <c r="N3808" s="8" t="s">
        <v>5512</v>
      </c>
      <c r="O3808" s="1" t="s">
        <v>5513</v>
      </c>
      <c r="P3808" s="5">
        <f>XLOOKUP(R3808, classification!C:C, classification!B:B, "Not Found")</f>
      </c>
      <c r="Q3808" s="1" t="s">
        <v>5514</v>
      </c>
      <c r="R3808" s="2"/>
      <c r="S3808" s="2"/>
      <c r="T3808" s="2"/>
      <c r="U3808" s="2"/>
    </row>
    <row x14ac:dyDescent="0.25" r="3809" customHeight="1" ht="17.25">
      <c r="A3809" s="7">
        <v>3808</v>
      </c>
      <c r="B3809" s="1" t="s">
        <v>9110</v>
      </c>
      <c r="C3809" s="5">
        <f>CONCATENATE("PD", TEXT(A3809, "1000000"))</f>
      </c>
      <c r="D3809" s="7">
        <v>76</v>
      </c>
      <c r="E3809" s="5">
        <f>XLOOKUP(G3809, item_category!C:C, item_category!B:B, "Not Found")</f>
      </c>
      <c r="F3809" s="1" t="s">
        <v>5632</v>
      </c>
      <c r="G3809" s="5">
        <f>XLOOKUP(I3809, drug!B:B, drug!A:A, "Not Found")</f>
      </c>
      <c r="H3809" s="1"/>
      <c r="I3809" s="7">
        <v>1</v>
      </c>
      <c r="J3809" s="5">
        <f>XLOOKUP(L3809, uom!C:C, uom!B:B, "Not Found")</f>
      </c>
      <c r="K3809" s="1" t="s">
        <v>5511</v>
      </c>
      <c r="L3809" s="5">
        <f>XLOOKUP(N3809, uom!C:C, uom!B:B, "Not Found")</f>
      </c>
      <c r="M3809" s="1" t="s">
        <v>5511</v>
      </c>
      <c r="N3809" s="8" t="s">
        <v>5512</v>
      </c>
      <c r="O3809" s="1" t="s">
        <v>5513</v>
      </c>
      <c r="P3809" s="5">
        <f>XLOOKUP(R3809, classification!C:C, classification!B:B, "Not Found")</f>
      </c>
      <c r="Q3809" s="1" t="s">
        <v>5514</v>
      </c>
      <c r="R3809" s="2"/>
      <c r="S3809" s="2"/>
      <c r="T3809" s="2"/>
      <c r="U3809" s="2"/>
    </row>
    <row x14ac:dyDescent="0.25" r="3810" customHeight="1" ht="17.25">
      <c r="A3810" s="7">
        <v>3809</v>
      </c>
      <c r="B3810" s="1" t="s">
        <v>9111</v>
      </c>
      <c r="C3810" s="5">
        <f>CONCATENATE("PD", TEXT(A3810, "1000000"))</f>
      </c>
      <c r="D3810" s="7">
        <v>76</v>
      </c>
      <c r="E3810" s="5">
        <f>XLOOKUP(G3810, item_category!C:C, item_category!B:B, "Not Found")</f>
      </c>
      <c r="F3810" s="1" t="s">
        <v>5632</v>
      </c>
      <c r="G3810" s="5">
        <f>XLOOKUP(I3810, drug!B:B, drug!A:A, "Not Found")</f>
      </c>
      <c r="H3810" s="1"/>
      <c r="I3810" s="7">
        <v>1</v>
      </c>
      <c r="J3810" s="5">
        <f>XLOOKUP(L3810, uom!C:C, uom!B:B, "Not Found")</f>
      </c>
      <c r="K3810" s="1" t="s">
        <v>5511</v>
      </c>
      <c r="L3810" s="5">
        <f>XLOOKUP(N3810, uom!C:C, uom!B:B, "Not Found")</f>
      </c>
      <c r="M3810" s="1" t="s">
        <v>5511</v>
      </c>
      <c r="N3810" s="8" t="s">
        <v>5512</v>
      </c>
      <c r="O3810" s="1" t="s">
        <v>5513</v>
      </c>
      <c r="P3810" s="5">
        <f>XLOOKUP(R3810, classification!C:C, classification!B:B, "Not Found")</f>
      </c>
      <c r="Q3810" s="1" t="s">
        <v>5514</v>
      </c>
      <c r="R3810" s="2"/>
      <c r="S3810" s="2"/>
      <c r="T3810" s="2"/>
      <c r="U3810" s="2"/>
    </row>
    <row x14ac:dyDescent="0.25" r="3811" customHeight="1" ht="17.25">
      <c r="A3811" s="7">
        <v>3810</v>
      </c>
      <c r="B3811" s="1" t="s">
        <v>9112</v>
      </c>
      <c r="C3811" s="5">
        <f>CONCATENATE("PD", TEXT(A3811, "1000000"))</f>
      </c>
      <c r="D3811" s="7">
        <v>76</v>
      </c>
      <c r="E3811" s="5">
        <f>XLOOKUP(G3811, item_category!C:C, item_category!B:B, "Not Found")</f>
      </c>
      <c r="F3811" s="1" t="s">
        <v>5632</v>
      </c>
      <c r="G3811" s="5">
        <f>XLOOKUP(I3811, drug!B:B, drug!A:A, "Not Found")</f>
      </c>
      <c r="H3811" s="1"/>
      <c r="I3811" s="7">
        <v>1</v>
      </c>
      <c r="J3811" s="5">
        <f>XLOOKUP(L3811, uom!C:C, uom!B:B, "Not Found")</f>
      </c>
      <c r="K3811" s="1" t="s">
        <v>5511</v>
      </c>
      <c r="L3811" s="5">
        <f>XLOOKUP(N3811, uom!C:C, uom!B:B, "Not Found")</f>
      </c>
      <c r="M3811" s="1" t="s">
        <v>5511</v>
      </c>
      <c r="N3811" s="8" t="s">
        <v>5512</v>
      </c>
      <c r="O3811" s="1" t="s">
        <v>5513</v>
      </c>
      <c r="P3811" s="5">
        <f>XLOOKUP(R3811, classification!C:C, classification!B:B, "Not Found")</f>
      </c>
      <c r="Q3811" s="1" t="s">
        <v>5514</v>
      </c>
      <c r="R3811" s="2"/>
      <c r="S3811" s="2"/>
      <c r="T3811" s="2"/>
      <c r="U3811" s="2"/>
    </row>
    <row x14ac:dyDescent="0.25" r="3812" customHeight="1" ht="17.25">
      <c r="A3812" s="7">
        <v>3811</v>
      </c>
      <c r="B3812" s="1" t="s">
        <v>9113</v>
      </c>
      <c r="C3812" s="5">
        <f>CONCATENATE("PD", TEXT(A3812, "1000000"))</f>
      </c>
      <c r="D3812" s="7">
        <v>76</v>
      </c>
      <c r="E3812" s="5">
        <f>XLOOKUP(G3812, item_category!C:C, item_category!B:B, "Not Found")</f>
      </c>
      <c r="F3812" s="1" t="s">
        <v>5632</v>
      </c>
      <c r="G3812" s="5">
        <f>XLOOKUP(I3812, drug!B:B, drug!A:A, "Not Found")</f>
      </c>
      <c r="H3812" s="1"/>
      <c r="I3812" s="7">
        <v>1</v>
      </c>
      <c r="J3812" s="5">
        <f>XLOOKUP(L3812, uom!C:C, uom!B:B, "Not Found")</f>
      </c>
      <c r="K3812" s="1" t="s">
        <v>5511</v>
      </c>
      <c r="L3812" s="5">
        <f>XLOOKUP(N3812, uom!C:C, uom!B:B, "Not Found")</f>
      </c>
      <c r="M3812" s="1" t="s">
        <v>5511</v>
      </c>
      <c r="N3812" s="8" t="s">
        <v>5512</v>
      </c>
      <c r="O3812" s="1" t="s">
        <v>5513</v>
      </c>
      <c r="P3812" s="5">
        <f>XLOOKUP(R3812, classification!C:C, classification!B:B, "Not Found")</f>
      </c>
      <c r="Q3812" s="1" t="s">
        <v>5514</v>
      </c>
      <c r="R3812" s="2"/>
      <c r="S3812" s="2"/>
      <c r="T3812" s="2"/>
      <c r="U3812" s="2"/>
    </row>
    <row x14ac:dyDescent="0.25" r="3813" customHeight="1" ht="17.25">
      <c r="A3813" s="7">
        <v>3812</v>
      </c>
      <c r="B3813" s="1" t="s">
        <v>9114</v>
      </c>
      <c r="C3813" s="5">
        <f>CONCATENATE("PD", TEXT(A3813, "1000000"))</f>
      </c>
      <c r="D3813" s="7">
        <v>76</v>
      </c>
      <c r="E3813" s="5">
        <f>XLOOKUP(G3813, item_category!C:C, item_category!B:B, "Not Found")</f>
      </c>
      <c r="F3813" s="1" t="s">
        <v>5632</v>
      </c>
      <c r="G3813" s="5">
        <f>XLOOKUP(I3813, drug!B:B, drug!A:A, "Not Found")</f>
      </c>
      <c r="H3813" s="1"/>
      <c r="I3813" s="7">
        <v>1</v>
      </c>
      <c r="J3813" s="5">
        <f>XLOOKUP(L3813, uom!C:C, uom!B:B, "Not Found")</f>
      </c>
      <c r="K3813" s="1" t="s">
        <v>5511</v>
      </c>
      <c r="L3813" s="5">
        <f>XLOOKUP(N3813, uom!C:C, uom!B:B, "Not Found")</f>
      </c>
      <c r="M3813" s="1" t="s">
        <v>5511</v>
      </c>
      <c r="N3813" s="8" t="s">
        <v>5512</v>
      </c>
      <c r="O3813" s="1" t="s">
        <v>5513</v>
      </c>
      <c r="P3813" s="5">
        <f>XLOOKUP(R3813, classification!C:C, classification!B:B, "Not Found")</f>
      </c>
      <c r="Q3813" s="1" t="s">
        <v>5514</v>
      </c>
      <c r="R3813" s="2"/>
      <c r="S3813" s="2"/>
      <c r="T3813" s="2"/>
      <c r="U3813" s="2"/>
    </row>
    <row x14ac:dyDescent="0.25" r="3814" customHeight="1" ht="17.25">
      <c r="A3814" s="7">
        <v>3813</v>
      </c>
      <c r="B3814" s="1" t="s">
        <v>9115</v>
      </c>
      <c r="C3814" s="5">
        <f>CONCATENATE("PD", TEXT(A3814, "1000000"))</f>
      </c>
      <c r="D3814" s="7">
        <v>76</v>
      </c>
      <c r="E3814" s="5">
        <f>XLOOKUP(G3814, item_category!C:C, item_category!B:B, "Not Found")</f>
      </c>
      <c r="F3814" s="1" t="s">
        <v>5632</v>
      </c>
      <c r="G3814" s="5">
        <f>XLOOKUP(I3814, drug!B:B, drug!A:A, "Not Found")</f>
      </c>
      <c r="H3814" s="1"/>
      <c r="I3814" s="7">
        <v>1</v>
      </c>
      <c r="J3814" s="5">
        <f>XLOOKUP(L3814, uom!C:C, uom!B:B, "Not Found")</f>
      </c>
      <c r="K3814" s="1" t="s">
        <v>5511</v>
      </c>
      <c r="L3814" s="5">
        <f>XLOOKUP(N3814, uom!C:C, uom!B:B, "Not Found")</f>
      </c>
      <c r="M3814" s="1" t="s">
        <v>5511</v>
      </c>
      <c r="N3814" s="8" t="s">
        <v>5512</v>
      </c>
      <c r="O3814" s="1" t="s">
        <v>5513</v>
      </c>
      <c r="P3814" s="5">
        <f>XLOOKUP(R3814, classification!C:C, classification!B:B, "Not Found")</f>
      </c>
      <c r="Q3814" s="1" t="s">
        <v>5514</v>
      </c>
      <c r="R3814" s="2"/>
      <c r="S3814" s="2"/>
      <c r="T3814" s="2"/>
      <c r="U3814" s="2"/>
    </row>
    <row x14ac:dyDescent="0.25" r="3815" customHeight="1" ht="17.25">
      <c r="A3815" s="7">
        <v>3814</v>
      </c>
      <c r="B3815" s="1" t="s">
        <v>9116</v>
      </c>
      <c r="C3815" s="5">
        <f>CONCATENATE("PD", TEXT(A3815, "1000000"))</f>
      </c>
      <c r="D3815" s="7">
        <v>76</v>
      </c>
      <c r="E3815" s="5">
        <f>XLOOKUP(G3815, item_category!C:C, item_category!B:B, "Not Found")</f>
      </c>
      <c r="F3815" s="1" t="s">
        <v>5632</v>
      </c>
      <c r="G3815" s="5">
        <f>XLOOKUP(I3815, drug!B:B, drug!A:A, "Not Found")</f>
      </c>
      <c r="H3815" s="1"/>
      <c r="I3815" s="7">
        <v>1</v>
      </c>
      <c r="J3815" s="5">
        <f>XLOOKUP(L3815, uom!C:C, uom!B:B, "Not Found")</f>
      </c>
      <c r="K3815" s="1" t="s">
        <v>5511</v>
      </c>
      <c r="L3815" s="5">
        <f>XLOOKUP(N3815, uom!C:C, uom!B:B, "Not Found")</f>
      </c>
      <c r="M3815" s="1" t="s">
        <v>5511</v>
      </c>
      <c r="N3815" s="8" t="s">
        <v>5512</v>
      </c>
      <c r="O3815" s="1" t="s">
        <v>5513</v>
      </c>
      <c r="P3815" s="5">
        <f>XLOOKUP(R3815, classification!C:C, classification!B:B, "Not Found")</f>
      </c>
      <c r="Q3815" s="1" t="s">
        <v>5514</v>
      </c>
      <c r="R3815" s="2"/>
      <c r="S3815" s="2"/>
      <c r="T3815" s="2"/>
      <c r="U3815" s="2"/>
    </row>
    <row x14ac:dyDescent="0.25" r="3816" customHeight="1" ht="17.25">
      <c r="A3816" s="7">
        <v>3815</v>
      </c>
      <c r="B3816" s="1" t="s">
        <v>9117</v>
      </c>
      <c r="C3816" s="5">
        <f>CONCATENATE("PD", TEXT(A3816, "1000000"))</f>
      </c>
      <c r="D3816" s="7">
        <v>76</v>
      </c>
      <c r="E3816" s="5">
        <f>XLOOKUP(G3816, item_category!C:C, item_category!B:B, "Not Found")</f>
      </c>
      <c r="F3816" s="1" t="s">
        <v>5632</v>
      </c>
      <c r="G3816" s="5">
        <f>XLOOKUP(I3816, drug!B:B, drug!A:A, "Not Found")</f>
      </c>
      <c r="H3816" s="1"/>
      <c r="I3816" s="7">
        <v>1</v>
      </c>
      <c r="J3816" s="5">
        <f>XLOOKUP(L3816, uom!C:C, uom!B:B, "Not Found")</f>
      </c>
      <c r="K3816" s="1" t="s">
        <v>5511</v>
      </c>
      <c r="L3816" s="5">
        <f>XLOOKUP(N3816, uom!C:C, uom!B:B, "Not Found")</f>
      </c>
      <c r="M3816" s="1" t="s">
        <v>5511</v>
      </c>
      <c r="N3816" s="8" t="s">
        <v>5512</v>
      </c>
      <c r="O3816" s="1" t="s">
        <v>5513</v>
      </c>
      <c r="P3816" s="5">
        <f>XLOOKUP(R3816, classification!C:C, classification!B:B, "Not Found")</f>
      </c>
      <c r="Q3816" s="1" t="s">
        <v>5514</v>
      </c>
      <c r="R3816" s="2"/>
      <c r="S3816" s="2"/>
      <c r="T3816" s="2"/>
      <c r="U3816" s="2"/>
    </row>
    <row x14ac:dyDescent="0.25" r="3817" customHeight="1" ht="17.25">
      <c r="A3817" s="7">
        <v>3816</v>
      </c>
      <c r="B3817" s="1" t="s">
        <v>9118</v>
      </c>
      <c r="C3817" s="5">
        <f>CONCATENATE("PD", TEXT(A3817, "1000000"))</f>
      </c>
      <c r="D3817" s="7">
        <v>76</v>
      </c>
      <c r="E3817" s="5">
        <f>XLOOKUP(G3817, item_category!C:C, item_category!B:B, "Not Found")</f>
      </c>
      <c r="F3817" s="1" t="s">
        <v>5632</v>
      </c>
      <c r="G3817" s="5">
        <f>XLOOKUP(I3817, drug!B:B, drug!A:A, "Not Found")</f>
      </c>
      <c r="H3817" s="1"/>
      <c r="I3817" s="7">
        <v>1</v>
      </c>
      <c r="J3817" s="5">
        <f>XLOOKUP(L3817, uom!C:C, uom!B:B, "Not Found")</f>
      </c>
      <c r="K3817" s="1" t="s">
        <v>5511</v>
      </c>
      <c r="L3817" s="5">
        <f>XLOOKUP(N3817, uom!C:C, uom!B:B, "Not Found")</f>
      </c>
      <c r="M3817" s="1" t="s">
        <v>5511</v>
      </c>
      <c r="N3817" s="8" t="s">
        <v>5512</v>
      </c>
      <c r="O3817" s="1" t="s">
        <v>5513</v>
      </c>
      <c r="P3817" s="5">
        <f>XLOOKUP(R3817, classification!C:C, classification!B:B, "Not Found")</f>
      </c>
      <c r="Q3817" s="1" t="s">
        <v>5514</v>
      </c>
      <c r="R3817" s="2"/>
      <c r="S3817" s="2"/>
      <c r="T3817" s="2"/>
      <c r="U3817" s="2"/>
    </row>
    <row x14ac:dyDescent="0.25" r="3818" customHeight="1" ht="17.25">
      <c r="A3818" s="7">
        <v>3817</v>
      </c>
      <c r="B3818" s="1" t="s">
        <v>9119</v>
      </c>
      <c r="C3818" s="5">
        <f>CONCATENATE("PD", TEXT(A3818, "1000000"))</f>
      </c>
      <c r="D3818" s="7">
        <v>76</v>
      </c>
      <c r="E3818" s="5">
        <f>XLOOKUP(G3818, item_category!C:C, item_category!B:B, "Not Found")</f>
      </c>
      <c r="F3818" s="1" t="s">
        <v>5632</v>
      </c>
      <c r="G3818" s="5">
        <f>XLOOKUP(I3818, drug!B:B, drug!A:A, "Not Found")</f>
      </c>
      <c r="H3818" s="1"/>
      <c r="I3818" s="7">
        <v>1</v>
      </c>
      <c r="J3818" s="5">
        <f>XLOOKUP(L3818, uom!C:C, uom!B:B, "Not Found")</f>
      </c>
      <c r="K3818" s="1" t="s">
        <v>5511</v>
      </c>
      <c r="L3818" s="5">
        <f>XLOOKUP(N3818, uom!C:C, uom!B:B, "Not Found")</f>
      </c>
      <c r="M3818" s="1" t="s">
        <v>5511</v>
      </c>
      <c r="N3818" s="8" t="s">
        <v>5512</v>
      </c>
      <c r="O3818" s="1" t="s">
        <v>5513</v>
      </c>
      <c r="P3818" s="5">
        <f>XLOOKUP(R3818, classification!C:C, classification!B:B, "Not Found")</f>
      </c>
      <c r="Q3818" s="1" t="s">
        <v>5514</v>
      </c>
      <c r="R3818" s="2"/>
      <c r="S3818" s="2"/>
      <c r="T3818" s="2"/>
      <c r="U3818" s="2"/>
    </row>
    <row x14ac:dyDescent="0.25" r="3819" customHeight="1" ht="17.25">
      <c r="A3819" s="7">
        <v>3818</v>
      </c>
      <c r="B3819" s="1" t="s">
        <v>9120</v>
      </c>
      <c r="C3819" s="5">
        <f>CONCATENATE("PD", TEXT(A3819, "1000000"))</f>
      </c>
      <c r="D3819" s="7">
        <v>76</v>
      </c>
      <c r="E3819" s="5">
        <f>XLOOKUP(G3819, item_category!C:C, item_category!B:B, "Not Found")</f>
      </c>
      <c r="F3819" s="1" t="s">
        <v>5632</v>
      </c>
      <c r="G3819" s="5">
        <f>XLOOKUP(I3819, drug!B:B, drug!A:A, "Not Found")</f>
      </c>
      <c r="H3819" s="1"/>
      <c r="I3819" s="7">
        <v>1</v>
      </c>
      <c r="J3819" s="5">
        <f>XLOOKUP(L3819, uom!C:C, uom!B:B, "Not Found")</f>
      </c>
      <c r="K3819" s="1" t="s">
        <v>5511</v>
      </c>
      <c r="L3819" s="5">
        <f>XLOOKUP(N3819, uom!C:C, uom!B:B, "Not Found")</f>
      </c>
      <c r="M3819" s="1" t="s">
        <v>5511</v>
      </c>
      <c r="N3819" s="8" t="s">
        <v>5512</v>
      </c>
      <c r="O3819" s="1" t="s">
        <v>5513</v>
      </c>
      <c r="P3819" s="5">
        <f>XLOOKUP(R3819, classification!C:C, classification!B:B, "Not Found")</f>
      </c>
      <c r="Q3819" s="1" t="s">
        <v>5514</v>
      </c>
      <c r="R3819" s="2"/>
      <c r="S3819" s="2"/>
      <c r="T3819" s="2"/>
      <c r="U3819" s="2"/>
    </row>
    <row x14ac:dyDescent="0.25" r="3820" customHeight="1" ht="17.25">
      <c r="A3820" s="7">
        <v>3819</v>
      </c>
      <c r="B3820" s="1" t="s">
        <v>9121</v>
      </c>
      <c r="C3820" s="5">
        <f>CONCATENATE("PD", TEXT(A3820, "1000000"))</f>
      </c>
      <c r="D3820" s="7">
        <v>76</v>
      </c>
      <c r="E3820" s="5">
        <f>XLOOKUP(G3820, item_category!C:C, item_category!B:B, "Not Found")</f>
      </c>
      <c r="F3820" s="1" t="s">
        <v>5632</v>
      </c>
      <c r="G3820" s="5">
        <f>XLOOKUP(I3820, drug!B:B, drug!A:A, "Not Found")</f>
      </c>
      <c r="H3820" s="1"/>
      <c r="I3820" s="7">
        <v>1</v>
      </c>
      <c r="J3820" s="5">
        <f>XLOOKUP(L3820, uom!C:C, uom!B:B, "Not Found")</f>
      </c>
      <c r="K3820" s="1" t="s">
        <v>5511</v>
      </c>
      <c r="L3820" s="5">
        <f>XLOOKUP(N3820, uom!C:C, uom!B:B, "Not Found")</f>
      </c>
      <c r="M3820" s="1" t="s">
        <v>5511</v>
      </c>
      <c r="N3820" s="8" t="s">
        <v>5512</v>
      </c>
      <c r="O3820" s="1" t="s">
        <v>5513</v>
      </c>
      <c r="P3820" s="5">
        <f>XLOOKUP(R3820, classification!C:C, classification!B:B, "Not Found")</f>
      </c>
      <c r="Q3820" s="1" t="s">
        <v>5514</v>
      </c>
      <c r="R3820" s="2"/>
      <c r="S3820" s="2"/>
      <c r="T3820" s="2"/>
      <c r="U3820" s="2"/>
    </row>
    <row x14ac:dyDescent="0.25" r="3821" customHeight="1" ht="17.25">
      <c r="A3821" s="7">
        <v>3820</v>
      </c>
      <c r="B3821" s="1" t="s">
        <v>9122</v>
      </c>
      <c r="C3821" s="5">
        <f>CONCATENATE("PD", TEXT(A3821, "1000000"))</f>
      </c>
      <c r="D3821" s="7">
        <v>76</v>
      </c>
      <c r="E3821" s="5">
        <f>XLOOKUP(G3821, item_category!C:C, item_category!B:B, "Not Found")</f>
      </c>
      <c r="F3821" s="1" t="s">
        <v>5632</v>
      </c>
      <c r="G3821" s="5">
        <f>XLOOKUP(I3821, drug!B:B, drug!A:A, "Not Found")</f>
      </c>
      <c r="H3821" s="1"/>
      <c r="I3821" s="7">
        <v>1</v>
      </c>
      <c r="J3821" s="5">
        <f>XLOOKUP(L3821, uom!C:C, uom!B:B, "Not Found")</f>
      </c>
      <c r="K3821" s="1" t="s">
        <v>5511</v>
      </c>
      <c r="L3821" s="5">
        <f>XLOOKUP(N3821, uom!C:C, uom!B:B, "Not Found")</f>
      </c>
      <c r="M3821" s="1" t="s">
        <v>5511</v>
      </c>
      <c r="N3821" s="8" t="s">
        <v>5512</v>
      </c>
      <c r="O3821" s="1" t="s">
        <v>5513</v>
      </c>
      <c r="P3821" s="5">
        <f>XLOOKUP(R3821, classification!C:C, classification!B:B, "Not Found")</f>
      </c>
      <c r="Q3821" s="1" t="s">
        <v>5514</v>
      </c>
      <c r="R3821" s="2"/>
      <c r="S3821" s="2"/>
      <c r="T3821" s="2"/>
      <c r="U3821" s="2"/>
    </row>
    <row x14ac:dyDescent="0.25" r="3822" customHeight="1" ht="17.25">
      <c r="A3822" s="7">
        <v>3821</v>
      </c>
      <c r="B3822" s="1" t="s">
        <v>9123</v>
      </c>
      <c r="C3822" s="5">
        <f>CONCATENATE("PD", TEXT(A3822, "1000000"))</f>
      </c>
      <c r="D3822" s="7">
        <v>76</v>
      </c>
      <c r="E3822" s="5">
        <f>XLOOKUP(G3822, item_category!C:C, item_category!B:B, "Not Found")</f>
      </c>
      <c r="F3822" s="1" t="s">
        <v>5632</v>
      </c>
      <c r="G3822" s="5">
        <f>XLOOKUP(I3822, drug!B:B, drug!A:A, "Not Found")</f>
      </c>
      <c r="H3822" s="1"/>
      <c r="I3822" s="7">
        <v>1</v>
      </c>
      <c r="J3822" s="5">
        <f>XLOOKUP(L3822, uom!C:C, uom!B:B, "Not Found")</f>
      </c>
      <c r="K3822" s="1" t="s">
        <v>5511</v>
      </c>
      <c r="L3822" s="5">
        <f>XLOOKUP(N3822, uom!C:C, uom!B:B, "Not Found")</f>
      </c>
      <c r="M3822" s="1" t="s">
        <v>5511</v>
      </c>
      <c r="N3822" s="8" t="s">
        <v>5512</v>
      </c>
      <c r="O3822" s="1" t="s">
        <v>5513</v>
      </c>
      <c r="P3822" s="5">
        <f>XLOOKUP(R3822, classification!C:C, classification!B:B, "Not Found")</f>
      </c>
      <c r="Q3822" s="1" t="s">
        <v>5514</v>
      </c>
      <c r="R3822" s="2"/>
      <c r="S3822" s="2"/>
      <c r="T3822" s="2"/>
      <c r="U3822" s="2"/>
    </row>
    <row x14ac:dyDescent="0.25" r="3823" customHeight="1" ht="17.25">
      <c r="A3823" s="7">
        <v>3822</v>
      </c>
      <c r="B3823" s="1" t="s">
        <v>9124</v>
      </c>
      <c r="C3823" s="5">
        <f>CONCATENATE("PD", TEXT(A3823, "1000000"))</f>
      </c>
      <c r="D3823" s="7">
        <v>76</v>
      </c>
      <c r="E3823" s="5">
        <f>XLOOKUP(G3823, item_category!C:C, item_category!B:B, "Not Found")</f>
      </c>
      <c r="F3823" s="1" t="s">
        <v>5632</v>
      </c>
      <c r="G3823" s="5">
        <f>XLOOKUP(I3823, drug!B:B, drug!A:A, "Not Found")</f>
      </c>
      <c r="H3823" s="1"/>
      <c r="I3823" s="7">
        <v>350</v>
      </c>
      <c r="J3823" s="5">
        <f>XLOOKUP(L3823, uom!C:C, uom!B:B, "Not Found")</f>
      </c>
      <c r="K3823" s="1" t="s">
        <v>5523</v>
      </c>
      <c r="L3823" s="5">
        <f>XLOOKUP(N3823, uom!C:C, uom!B:B, "Not Found")</f>
      </c>
      <c r="M3823" s="1" t="s">
        <v>5523</v>
      </c>
      <c r="N3823" s="8" t="s">
        <v>5512</v>
      </c>
      <c r="O3823" s="1" t="s">
        <v>5525</v>
      </c>
      <c r="P3823" s="5">
        <f>XLOOKUP(R3823, classification!C:C, classification!B:B, "Not Found")</f>
      </c>
      <c r="Q3823" s="1" t="s">
        <v>5514</v>
      </c>
      <c r="R3823" s="2"/>
      <c r="S3823" s="2"/>
      <c r="T3823" s="2"/>
      <c r="U3823" s="2"/>
    </row>
    <row x14ac:dyDescent="0.25" r="3824" customHeight="1" ht="17.25">
      <c r="A3824" s="7">
        <v>3823</v>
      </c>
      <c r="B3824" s="1" t="s">
        <v>9125</v>
      </c>
      <c r="C3824" s="5">
        <f>CONCATENATE("PD", TEXT(A3824, "1000000"))</f>
      </c>
      <c r="D3824" s="7">
        <v>74</v>
      </c>
      <c r="E3824" s="5">
        <f>XLOOKUP(G3824, item_category!C:C, item_category!B:B, "Not Found")</f>
      </c>
      <c r="F3824" s="1" t="s">
        <v>5520</v>
      </c>
      <c r="G3824" s="5">
        <f>XLOOKUP(I3824, drug!B:B, drug!A:A, "Not Found")</f>
      </c>
      <c r="H3824" s="1"/>
      <c r="I3824" s="7">
        <v>1</v>
      </c>
      <c r="J3824" s="5">
        <f>XLOOKUP(L3824, uom!C:C, uom!B:B, "Not Found")</f>
      </c>
      <c r="K3824" s="1" t="s">
        <v>5544</v>
      </c>
      <c r="L3824" s="5">
        <f>XLOOKUP(N3824, uom!C:C, uom!B:B, "Not Found")</f>
      </c>
      <c r="M3824" s="1" t="s">
        <v>5544</v>
      </c>
      <c r="N3824" s="8" t="s">
        <v>5524</v>
      </c>
      <c r="O3824" s="1" t="s">
        <v>5525</v>
      </c>
      <c r="P3824" s="5">
        <f>XLOOKUP(R3824, classification!C:C, classification!B:B, "Not Found")</f>
      </c>
      <c r="Q3824" s="1" t="s">
        <v>5514</v>
      </c>
      <c r="R3824" s="2"/>
      <c r="S3824" s="2"/>
      <c r="T3824" s="2"/>
      <c r="U3824" s="2"/>
    </row>
    <row x14ac:dyDescent="0.25" r="3825" customHeight="1" ht="17.25">
      <c r="A3825" s="7">
        <v>3824</v>
      </c>
      <c r="B3825" s="1" t="s">
        <v>9126</v>
      </c>
      <c r="C3825" s="5">
        <f>CONCATENATE("PD", TEXT(A3825, "1000000"))</f>
      </c>
      <c r="D3825" s="7">
        <v>76</v>
      </c>
      <c r="E3825" s="5">
        <f>XLOOKUP(G3825, item_category!C:C, item_category!B:B, "Not Found")</f>
      </c>
      <c r="F3825" s="1" t="s">
        <v>5632</v>
      </c>
      <c r="G3825" s="5">
        <f>XLOOKUP(I3825, drug!B:B, drug!A:A, "Not Found")</f>
      </c>
      <c r="H3825" s="1"/>
      <c r="I3825" s="7">
        <v>1</v>
      </c>
      <c r="J3825" s="5">
        <f>XLOOKUP(L3825, uom!C:C, uom!B:B, "Not Found")</f>
      </c>
      <c r="K3825" s="1" t="s">
        <v>5511</v>
      </c>
      <c r="L3825" s="5">
        <f>XLOOKUP(N3825, uom!C:C, uom!B:B, "Not Found")</f>
      </c>
      <c r="M3825" s="1" t="s">
        <v>5511</v>
      </c>
      <c r="N3825" s="8" t="s">
        <v>5512</v>
      </c>
      <c r="O3825" s="1" t="s">
        <v>5513</v>
      </c>
      <c r="P3825" s="5">
        <f>XLOOKUP(R3825, classification!C:C, classification!B:B, "Not Found")</f>
      </c>
      <c r="Q3825" s="1" t="s">
        <v>5514</v>
      </c>
      <c r="R3825" s="2"/>
      <c r="S3825" s="2"/>
      <c r="T3825" s="2"/>
      <c r="U3825" s="2"/>
    </row>
    <row x14ac:dyDescent="0.25" r="3826" customHeight="1" ht="17.25">
      <c r="A3826" s="7">
        <v>3825</v>
      </c>
      <c r="B3826" s="1" t="s">
        <v>9127</v>
      </c>
      <c r="C3826" s="5">
        <f>CONCATENATE("PD", TEXT(A3826, "1000000"))</f>
      </c>
      <c r="D3826" s="7">
        <v>76</v>
      </c>
      <c r="E3826" s="5">
        <f>XLOOKUP(G3826, item_category!C:C, item_category!B:B, "Not Found")</f>
      </c>
      <c r="F3826" s="1" t="s">
        <v>5632</v>
      </c>
      <c r="G3826" s="5">
        <f>XLOOKUP(I3826, drug!B:B, drug!A:A, "Not Found")</f>
      </c>
      <c r="H3826" s="1" t="s">
        <v>725</v>
      </c>
      <c r="I3826" s="7">
        <v>1</v>
      </c>
      <c r="J3826" s="5">
        <f>XLOOKUP(L3826, uom!C:C, uom!B:B, "Not Found")</f>
      </c>
      <c r="K3826" s="1" t="s">
        <v>5511</v>
      </c>
      <c r="L3826" s="5">
        <f>XLOOKUP(N3826, uom!C:C, uom!B:B, "Not Found")</f>
      </c>
      <c r="M3826" s="1" t="s">
        <v>5511</v>
      </c>
      <c r="N3826" s="8" t="s">
        <v>5512</v>
      </c>
      <c r="O3826" s="1" t="s">
        <v>5513</v>
      </c>
      <c r="P3826" s="5">
        <f>XLOOKUP(R3826, classification!C:C, classification!B:B, "Not Found")</f>
      </c>
      <c r="Q3826" s="1" t="s">
        <v>5514</v>
      </c>
      <c r="R3826" s="2"/>
      <c r="S3826" s="2"/>
      <c r="T3826" s="2"/>
      <c r="U3826" s="2"/>
    </row>
    <row x14ac:dyDescent="0.25" r="3827" customHeight="1" ht="17.25">
      <c r="A3827" s="7">
        <v>3826</v>
      </c>
      <c r="B3827" s="1" t="s">
        <v>9128</v>
      </c>
      <c r="C3827" s="5">
        <f>CONCATENATE("PD", TEXT(A3827, "1000000"))</f>
      </c>
      <c r="D3827" s="7">
        <v>76</v>
      </c>
      <c r="E3827" s="5">
        <f>XLOOKUP(G3827, item_category!C:C, item_category!B:B, "Not Found")</f>
      </c>
      <c r="F3827" s="1" t="s">
        <v>5632</v>
      </c>
      <c r="G3827" s="5">
        <f>XLOOKUP(I3827, drug!B:B, drug!A:A, "Not Found")</f>
      </c>
      <c r="H3827" s="1"/>
      <c r="I3827" s="7">
        <v>1</v>
      </c>
      <c r="J3827" s="5">
        <f>XLOOKUP(L3827, uom!C:C, uom!B:B, "Not Found")</f>
      </c>
      <c r="K3827" s="1" t="s">
        <v>5511</v>
      </c>
      <c r="L3827" s="5">
        <f>XLOOKUP(N3827, uom!C:C, uom!B:B, "Not Found")</f>
      </c>
      <c r="M3827" s="1" t="s">
        <v>5511</v>
      </c>
      <c r="N3827" s="8" t="s">
        <v>5512</v>
      </c>
      <c r="O3827" s="1" t="s">
        <v>5513</v>
      </c>
      <c r="P3827" s="5">
        <f>XLOOKUP(R3827, classification!C:C, classification!B:B, "Not Found")</f>
      </c>
      <c r="Q3827" s="1" t="s">
        <v>5514</v>
      </c>
      <c r="R3827" s="2"/>
      <c r="S3827" s="2"/>
      <c r="T3827" s="2"/>
      <c r="U3827" s="2"/>
    </row>
    <row x14ac:dyDescent="0.25" r="3828" customHeight="1" ht="17.25">
      <c r="A3828" s="7">
        <v>3827</v>
      </c>
      <c r="B3828" s="1" t="s">
        <v>9129</v>
      </c>
      <c r="C3828" s="5">
        <f>CONCATENATE("PD", TEXT(A3828, "1000000"))</f>
      </c>
      <c r="D3828" s="7">
        <v>76</v>
      </c>
      <c r="E3828" s="5">
        <f>XLOOKUP(G3828, item_category!C:C, item_category!B:B, "Not Found")</f>
      </c>
      <c r="F3828" s="1" t="s">
        <v>5632</v>
      </c>
      <c r="G3828" s="5">
        <f>XLOOKUP(I3828, drug!B:B, drug!A:A, "Not Found")</f>
      </c>
      <c r="H3828" s="1"/>
      <c r="I3828" s="7">
        <v>1</v>
      </c>
      <c r="J3828" s="5">
        <f>XLOOKUP(L3828, uom!C:C, uom!B:B, "Not Found")</f>
      </c>
      <c r="K3828" s="1" t="s">
        <v>5511</v>
      </c>
      <c r="L3828" s="5">
        <f>XLOOKUP(N3828, uom!C:C, uom!B:B, "Not Found")</f>
      </c>
      <c r="M3828" s="1" t="s">
        <v>5511</v>
      </c>
      <c r="N3828" s="8" t="s">
        <v>5512</v>
      </c>
      <c r="O3828" s="1" t="s">
        <v>5513</v>
      </c>
      <c r="P3828" s="5">
        <f>XLOOKUP(R3828, classification!C:C, classification!B:B, "Not Found")</f>
      </c>
      <c r="Q3828" s="1" t="s">
        <v>5514</v>
      </c>
      <c r="R3828" s="2"/>
      <c r="S3828" s="2"/>
      <c r="T3828" s="2"/>
      <c r="U3828" s="2"/>
    </row>
    <row x14ac:dyDescent="0.25" r="3829" customHeight="1" ht="17.25">
      <c r="A3829" s="7">
        <v>3828</v>
      </c>
      <c r="B3829" s="1" t="s">
        <v>3478</v>
      </c>
      <c r="C3829" s="5">
        <f>CONCATENATE("PD", TEXT(A3829, "1000000"))</f>
      </c>
      <c r="D3829" s="7">
        <v>76</v>
      </c>
      <c r="E3829" s="5">
        <f>XLOOKUP(G3829, item_category!C:C, item_category!B:B, "Not Found")</f>
      </c>
      <c r="F3829" s="1" t="s">
        <v>5632</v>
      </c>
      <c r="G3829" s="5">
        <f>XLOOKUP(I3829, drug!B:B, drug!A:A, "Not Found")</f>
      </c>
      <c r="H3829" s="1"/>
      <c r="I3829" s="7">
        <v>1</v>
      </c>
      <c r="J3829" s="5">
        <f>XLOOKUP(L3829, uom!C:C, uom!B:B, "Not Found")</f>
      </c>
      <c r="K3829" s="1" t="s">
        <v>5511</v>
      </c>
      <c r="L3829" s="5">
        <f>XLOOKUP(N3829, uom!C:C, uom!B:B, "Not Found")</f>
      </c>
      <c r="M3829" s="1" t="s">
        <v>5511</v>
      </c>
      <c r="N3829" s="8" t="s">
        <v>5512</v>
      </c>
      <c r="O3829" s="1" t="s">
        <v>5513</v>
      </c>
      <c r="P3829" s="5">
        <f>XLOOKUP(R3829, classification!C:C, classification!B:B, "Not Found")</f>
      </c>
      <c r="Q3829" s="1" t="s">
        <v>5514</v>
      </c>
      <c r="R3829" s="2"/>
      <c r="S3829" s="2"/>
      <c r="T3829" s="2"/>
      <c r="U3829" s="2"/>
    </row>
    <row x14ac:dyDescent="0.25" r="3830" customHeight="1" ht="17.25">
      <c r="A3830" s="7">
        <v>3829</v>
      </c>
      <c r="B3830" s="1" t="s">
        <v>9130</v>
      </c>
      <c r="C3830" s="5">
        <f>CONCATENATE("PD", TEXT(A3830, "1000000"))</f>
      </c>
      <c r="D3830" s="7">
        <v>66</v>
      </c>
      <c r="E3830" s="5">
        <f>XLOOKUP(G3830, item_category!C:C, item_category!B:B, "Not Found")</f>
      </c>
      <c r="F3830" s="1" t="s">
        <v>5617</v>
      </c>
      <c r="G3830" s="5">
        <f>XLOOKUP(I3830, drug!B:B, drug!A:A, "Not Found")</f>
      </c>
      <c r="H3830" s="1"/>
      <c r="I3830" s="7">
        <v>1</v>
      </c>
      <c r="J3830" s="5">
        <f>XLOOKUP(L3830, uom!C:C, uom!B:B, "Not Found")</f>
      </c>
      <c r="K3830" s="1" t="s">
        <v>5511</v>
      </c>
      <c r="L3830" s="5">
        <f>XLOOKUP(N3830, uom!C:C, uom!B:B, "Not Found")</f>
      </c>
      <c r="M3830" s="1" t="s">
        <v>5511</v>
      </c>
      <c r="N3830" s="8" t="s">
        <v>5512</v>
      </c>
      <c r="O3830" s="1" t="s">
        <v>5513</v>
      </c>
      <c r="P3830" s="5">
        <f>XLOOKUP(R3830, classification!C:C, classification!B:B, "Not Found")</f>
      </c>
      <c r="Q3830" s="1" t="s">
        <v>5514</v>
      </c>
      <c r="R3830" s="2"/>
      <c r="S3830" s="2"/>
      <c r="T3830" s="2"/>
      <c r="U3830" s="2"/>
    </row>
    <row x14ac:dyDescent="0.25" r="3831" customHeight="1" ht="17.25">
      <c r="A3831" s="7">
        <v>3830</v>
      </c>
      <c r="B3831" s="1" t="s">
        <v>9131</v>
      </c>
      <c r="C3831" s="5">
        <f>CONCATENATE("PD", TEXT(A3831, "1000000"))</f>
      </c>
      <c r="D3831" s="7">
        <v>76</v>
      </c>
      <c r="E3831" s="5">
        <f>XLOOKUP(G3831, item_category!C:C, item_category!B:B, "Not Found")</f>
      </c>
      <c r="F3831" s="1" t="s">
        <v>5632</v>
      </c>
      <c r="G3831" s="5">
        <f>XLOOKUP(I3831, drug!B:B, drug!A:A, "Not Found")</f>
      </c>
      <c r="H3831" s="1"/>
      <c r="I3831" s="7">
        <v>1</v>
      </c>
      <c r="J3831" s="5">
        <f>XLOOKUP(L3831, uom!C:C, uom!B:B, "Not Found")</f>
      </c>
      <c r="K3831" s="1" t="s">
        <v>5511</v>
      </c>
      <c r="L3831" s="5">
        <f>XLOOKUP(N3831, uom!C:C, uom!B:B, "Not Found")</f>
      </c>
      <c r="M3831" s="1" t="s">
        <v>5511</v>
      </c>
      <c r="N3831" s="8" t="s">
        <v>5512</v>
      </c>
      <c r="O3831" s="1" t="s">
        <v>5513</v>
      </c>
      <c r="P3831" s="5">
        <f>XLOOKUP(R3831, classification!C:C, classification!B:B, "Not Found")</f>
      </c>
      <c r="Q3831" s="1" t="s">
        <v>5514</v>
      </c>
      <c r="R3831" s="2"/>
      <c r="S3831" s="2"/>
      <c r="T3831" s="2"/>
      <c r="U3831" s="2"/>
    </row>
    <row x14ac:dyDescent="0.25" r="3832" customHeight="1" ht="17.25">
      <c r="A3832" s="7">
        <v>3831</v>
      </c>
      <c r="B3832" s="1" t="s">
        <v>9132</v>
      </c>
      <c r="C3832" s="5">
        <f>CONCATENATE("PD", TEXT(A3832, "1000000"))</f>
      </c>
      <c r="D3832" s="7">
        <v>8</v>
      </c>
      <c r="E3832" s="5">
        <f>XLOOKUP(G3832, item_category!C:C, item_category!B:B, "Not Found")</f>
      </c>
      <c r="F3832" s="1" t="s">
        <v>5517</v>
      </c>
      <c r="G3832" s="5">
        <f>XLOOKUP(I3832, drug!B:B, drug!A:A, "Not Found")</f>
      </c>
      <c r="H3832" s="1"/>
      <c r="I3832" s="7">
        <v>70</v>
      </c>
      <c r="J3832" s="5">
        <f>XLOOKUP(L3832, uom!C:C, uom!B:B, "Not Found")</f>
      </c>
      <c r="K3832" s="1" t="s">
        <v>5511</v>
      </c>
      <c r="L3832" s="5">
        <f>XLOOKUP(N3832, uom!C:C, uom!B:B, "Not Found")</f>
      </c>
      <c r="M3832" s="1" t="s">
        <v>5511</v>
      </c>
      <c r="N3832" s="8" t="s">
        <v>5512</v>
      </c>
      <c r="O3832" s="1" t="s">
        <v>5513</v>
      </c>
      <c r="P3832" s="5">
        <f>XLOOKUP(R3832, classification!C:C, classification!B:B, "Not Found")</f>
      </c>
      <c r="Q3832" s="1" t="s">
        <v>5514</v>
      </c>
      <c r="R3832" s="2"/>
      <c r="S3832" s="2"/>
      <c r="T3832" s="2"/>
      <c r="U3832" s="2"/>
    </row>
    <row x14ac:dyDescent="0.25" r="3833" customHeight="1" ht="17.25">
      <c r="A3833" s="7">
        <v>3832</v>
      </c>
      <c r="B3833" s="1" t="s">
        <v>3480</v>
      </c>
      <c r="C3833" s="5">
        <f>CONCATENATE("PD", TEXT(A3833, "1000000"))</f>
      </c>
      <c r="D3833" s="7">
        <v>8</v>
      </c>
      <c r="E3833" s="5">
        <f>XLOOKUP(G3833, item_category!C:C, item_category!B:B, "Not Found")</f>
      </c>
      <c r="F3833" s="1" t="s">
        <v>5517</v>
      </c>
      <c r="G3833" s="5">
        <f>XLOOKUP(I3833, drug!B:B, drug!A:A, "Not Found")</f>
      </c>
      <c r="H3833" s="1"/>
      <c r="I3833" s="7">
        <v>40</v>
      </c>
      <c r="J3833" s="5">
        <f>XLOOKUP(L3833, uom!C:C, uom!B:B, "Not Found")</f>
      </c>
      <c r="K3833" s="1" t="s">
        <v>5511</v>
      </c>
      <c r="L3833" s="5">
        <f>XLOOKUP(N3833, uom!C:C, uom!B:B, "Not Found")</f>
      </c>
      <c r="M3833" s="1" t="s">
        <v>5511</v>
      </c>
      <c r="N3833" s="8" t="s">
        <v>5512</v>
      </c>
      <c r="O3833" s="1" t="s">
        <v>5513</v>
      </c>
      <c r="P3833" s="5">
        <f>XLOOKUP(R3833, classification!C:C, classification!B:B, "Not Found")</f>
      </c>
      <c r="Q3833" s="1" t="s">
        <v>5514</v>
      </c>
      <c r="R3833" s="2"/>
      <c r="S3833" s="2"/>
      <c r="T3833" s="2"/>
      <c r="U3833" s="2"/>
    </row>
    <row x14ac:dyDescent="0.25" r="3834" customHeight="1" ht="17.25">
      <c r="A3834" s="7">
        <v>3833</v>
      </c>
      <c r="B3834" s="1" t="s">
        <v>9133</v>
      </c>
      <c r="C3834" s="5">
        <f>CONCATENATE("PD", TEXT(A3834, "1000000"))</f>
      </c>
      <c r="D3834" s="7">
        <v>8</v>
      </c>
      <c r="E3834" s="5">
        <f>XLOOKUP(G3834, item_category!C:C, item_category!B:B, "Not Found")</f>
      </c>
      <c r="F3834" s="1" t="s">
        <v>5517</v>
      </c>
      <c r="G3834" s="5">
        <f>XLOOKUP(I3834, drug!B:B, drug!A:A, "Not Found")</f>
      </c>
      <c r="H3834" s="1"/>
      <c r="I3834" s="7">
        <v>1950</v>
      </c>
      <c r="J3834" s="5">
        <f>XLOOKUP(L3834, uom!C:C, uom!B:B, "Not Found")</f>
      </c>
      <c r="K3834" s="1" t="s">
        <v>5511</v>
      </c>
      <c r="L3834" s="5">
        <f>XLOOKUP(N3834, uom!C:C, uom!B:B, "Not Found")</f>
      </c>
      <c r="M3834" s="1" t="s">
        <v>5511</v>
      </c>
      <c r="N3834" s="8" t="s">
        <v>5512</v>
      </c>
      <c r="O3834" s="1" t="s">
        <v>5513</v>
      </c>
      <c r="P3834" s="5">
        <f>XLOOKUP(R3834, classification!C:C, classification!B:B, "Not Found")</f>
      </c>
      <c r="Q3834" s="1" t="s">
        <v>5514</v>
      </c>
      <c r="R3834" s="2"/>
      <c r="S3834" s="2"/>
      <c r="T3834" s="2"/>
      <c r="U3834" s="2"/>
    </row>
    <row x14ac:dyDescent="0.25" r="3835" customHeight="1" ht="17.25">
      <c r="A3835" s="7">
        <v>3834</v>
      </c>
      <c r="B3835" s="1" t="s">
        <v>3482</v>
      </c>
      <c r="C3835" s="5">
        <f>CONCATENATE("PD", TEXT(A3835, "1000000"))</f>
      </c>
      <c r="D3835" s="7">
        <v>8</v>
      </c>
      <c r="E3835" s="5">
        <f>XLOOKUP(G3835, item_category!C:C, item_category!B:B, "Not Found")</f>
      </c>
      <c r="F3835" s="1" t="s">
        <v>5517</v>
      </c>
      <c r="G3835" s="5">
        <f>XLOOKUP(I3835, drug!B:B, drug!A:A, "Not Found")</f>
      </c>
      <c r="H3835" s="1"/>
      <c r="I3835" s="7">
        <v>47</v>
      </c>
      <c r="J3835" s="5">
        <f>XLOOKUP(L3835, uom!C:C, uom!B:B, "Not Found")</f>
      </c>
      <c r="K3835" s="1" t="s">
        <v>5511</v>
      </c>
      <c r="L3835" s="5">
        <f>XLOOKUP(N3835, uom!C:C, uom!B:B, "Not Found")</f>
      </c>
      <c r="M3835" s="1" t="s">
        <v>5511</v>
      </c>
      <c r="N3835" s="8" t="s">
        <v>5512</v>
      </c>
      <c r="O3835" s="1" t="s">
        <v>5513</v>
      </c>
      <c r="P3835" s="5">
        <f>XLOOKUP(R3835, classification!C:C, classification!B:B, "Not Found")</f>
      </c>
      <c r="Q3835" s="1" t="s">
        <v>5514</v>
      </c>
      <c r="R3835" s="2"/>
      <c r="S3835" s="2"/>
      <c r="T3835" s="2"/>
      <c r="U3835" s="2"/>
    </row>
    <row x14ac:dyDescent="0.25" r="3836" customHeight="1" ht="17.25">
      <c r="A3836" s="7">
        <v>3835</v>
      </c>
      <c r="B3836" s="1" t="s">
        <v>3484</v>
      </c>
      <c r="C3836" s="5">
        <f>CONCATENATE("PD", TEXT(A3836, "1000000"))</f>
      </c>
      <c r="D3836" s="7">
        <v>75</v>
      </c>
      <c r="E3836" s="5">
        <f>XLOOKUP(G3836, item_category!C:C, item_category!B:B, "Not Found")</f>
      </c>
      <c r="F3836" s="1" t="s">
        <v>5541</v>
      </c>
      <c r="G3836" s="5">
        <f>XLOOKUP(I3836, drug!B:B, drug!A:A, "Not Found")</f>
      </c>
      <c r="H3836" s="1"/>
      <c r="I3836" s="7">
        <v>1</v>
      </c>
      <c r="J3836" s="5">
        <f>XLOOKUP(L3836, uom!C:C, uom!B:B, "Not Found")</f>
      </c>
      <c r="K3836" s="1" t="s">
        <v>5511</v>
      </c>
      <c r="L3836" s="5">
        <f>XLOOKUP(N3836, uom!C:C, uom!B:B, "Not Found")</f>
      </c>
      <c r="M3836" s="1" t="s">
        <v>5511</v>
      </c>
      <c r="N3836" s="8" t="s">
        <v>5512</v>
      </c>
      <c r="O3836" s="1" t="s">
        <v>5513</v>
      </c>
      <c r="P3836" s="5">
        <f>XLOOKUP(R3836, classification!C:C, classification!B:B, "Not Found")</f>
      </c>
      <c r="Q3836" s="1" t="s">
        <v>5514</v>
      </c>
      <c r="R3836" s="2"/>
      <c r="S3836" s="2"/>
      <c r="T3836" s="2"/>
      <c r="U3836" s="2"/>
    </row>
    <row x14ac:dyDescent="0.25" r="3837" customHeight="1" ht="17.25">
      <c r="A3837" s="7">
        <v>3836</v>
      </c>
      <c r="B3837" s="1" t="s">
        <v>3486</v>
      </c>
      <c r="C3837" s="5">
        <f>CONCATENATE("PD", TEXT(A3837, "1000000"))</f>
      </c>
      <c r="D3837" s="7">
        <v>76</v>
      </c>
      <c r="E3837" s="5">
        <f>XLOOKUP(G3837, item_category!C:C, item_category!B:B, "Not Found")</f>
      </c>
      <c r="F3837" s="1" t="s">
        <v>5632</v>
      </c>
      <c r="G3837" s="5">
        <f>XLOOKUP(I3837, drug!B:B, drug!A:A, "Not Found")</f>
      </c>
      <c r="H3837" s="1"/>
      <c r="I3837" s="7">
        <v>1</v>
      </c>
      <c r="J3837" s="5">
        <f>XLOOKUP(L3837, uom!C:C, uom!B:B, "Not Found")</f>
      </c>
      <c r="K3837" s="1" t="s">
        <v>5511</v>
      </c>
      <c r="L3837" s="5">
        <f>XLOOKUP(N3837, uom!C:C, uom!B:B, "Not Found")</f>
      </c>
      <c r="M3837" s="1" t="s">
        <v>5511</v>
      </c>
      <c r="N3837" s="8" t="s">
        <v>5512</v>
      </c>
      <c r="O3837" s="1" t="s">
        <v>5513</v>
      </c>
      <c r="P3837" s="5">
        <f>XLOOKUP(R3837, classification!C:C, classification!B:B, "Not Found")</f>
      </c>
      <c r="Q3837" s="1" t="s">
        <v>5514</v>
      </c>
      <c r="R3837" s="2"/>
      <c r="S3837" s="2"/>
      <c r="T3837" s="2"/>
      <c r="U3837" s="2"/>
    </row>
    <row x14ac:dyDescent="0.25" r="3838" customHeight="1" ht="17.25">
      <c r="A3838" s="7">
        <v>3837</v>
      </c>
      <c r="B3838" s="1" t="s">
        <v>9134</v>
      </c>
      <c r="C3838" s="5">
        <f>CONCATENATE("PD", TEXT(A3838, "1000000"))</f>
      </c>
      <c r="D3838" s="7">
        <v>76</v>
      </c>
      <c r="E3838" s="5">
        <f>XLOOKUP(G3838, item_category!C:C, item_category!B:B, "Not Found")</f>
      </c>
      <c r="F3838" s="1" t="s">
        <v>5632</v>
      </c>
      <c r="G3838" s="5">
        <f>XLOOKUP(I3838, drug!B:B, drug!A:A, "Not Found")</f>
      </c>
      <c r="H3838" s="1"/>
      <c r="I3838" s="7">
        <v>1</v>
      </c>
      <c r="J3838" s="5">
        <f>XLOOKUP(L3838, uom!C:C, uom!B:B, "Not Found")</f>
      </c>
      <c r="K3838" s="1" t="s">
        <v>5511</v>
      </c>
      <c r="L3838" s="5">
        <f>XLOOKUP(N3838, uom!C:C, uom!B:B, "Not Found")</f>
      </c>
      <c r="M3838" s="1" t="s">
        <v>5511</v>
      </c>
      <c r="N3838" s="8" t="s">
        <v>5512</v>
      </c>
      <c r="O3838" s="1" t="s">
        <v>5513</v>
      </c>
      <c r="P3838" s="5">
        <f>XLOOKUP(R3838, classification!C:C, classification!B:B, "Not Found")</f>
      </c>
      <c r="Q3838" s="1" t="s">
        <v>5514</v>
      </c>
      <c r="R3838" s="2"/>
      <c r="S3838" s="2"/>
      <c r="T3838" s="2"/>
      <c r="U3838" s="2"/>
    </row>
    <row x14ac:dyDescent="0.25" r="3839" customHeight="1" ht="17.25">
      <c r="A3839" s="7">
        <v>3838</v>
      </c>
      <c r="B3839" s="1" t="s">
        <v>9135</v>
      </c>
      <c r="C3839" s="5">
        <f>CONCATENATE("PD", TEXT(A3839, "1000000"))</f>
      </c>
      <c r="D3839" s="7">
        <v>75</v>
      </c>
      <c r="E3839" s="5">
        <f>XLOOKUP(G3839, item_category!C:C, item_category!B:B, "Not Found")</f>
      </c>
      <c r="F3839" s="1" t="s">
        <v>5541</v>
      </c>
      <c r="G3839" s="5">
        <f>XLOOKUP(I3839, drug!B:B, drug!A:A, "Not Found")</f>
      </c>
      <c r="H3839" s="1" t="s">
        <v>2100</v>
      </c>
      <c r="I3839" s="7">
        <v>200</v>
      </c>
      <c r="J3839" s="5">
        <f>XLOOKUP(L3839, uom!C:C, uom!B:B, "Not Found")</f>
      </c>
      <c r="K3839" s="1" t="s">
        <v>5722</v>
      </c>
      <c r="L3839" s="5">
        <f>XLOOKUP(N3839, uom!C:C, uom!B:B, "Not Found")</f>
      </c>
      <c r="M3839" s="1" t="s">
        <v>5722</v>
      </c>
      <c r="N3839" s="8" t="s">
        <v>5524</v>
      </c>
      <c r="O3839" s="1" t="s">
        <v>5525</v>
      </c>
      <c r="P3839" s="5">
        <f>XLOOKUP(R3839, classification!C:C, classification!B:B, "Not Found")</f>
      </c>
      <c r="Q3839" s="1" t="s">
        <v>5514</v>
      </c>
      <c r="R3839" s="2"/>
      <c r="S3839" s="2"/>
      <c r="T3839" s="2"/>
      <c r="U3839" s="2"/>
    </row>
    <row x14ac:dyDescent="0.25" r="3840" customHeight="1" ht="17.25">
      <c r="A3840" s="7">
        <v>3839</v>
      </c>
      <c r="B3840" s="1" t="s">
        <v>9136</v>
      </c>
      <c r="C3840" s="5">
        <f>CONCATENATE("PD", TEXT(A3840, "1000000"))</f>
      </c>
      <c r="D3840" s="7">
        <v>74</v>
      </c>
      <c r="E3840" s="5">
        <f>XLOOKUP(G3840, item_category!C:C, item_category!B:B, "Not Found")</f>
      </c>
      <c r="F3840" s="1" t="s">
        <v>5520</v>
      </c>
      <c r="G3840" s="5">
        <f>XLOOKUP(I3840, drug!B:B, drug!A:A, "Not Found")</f>
      </c>
      <c r="H3840" s="1" t="s">
        <v>2042</v>
      </c>
      <c r="I3840" s="7">
        <v>500</v>
      </c>
      <c r="J3840" s="5">
        <f>XLOOKUP(L3840, uom!C:C, uom!B:B, "Not Found")</f>
      </c>
      <c r="K3840" s="1" t="s">
        <v>5544</v>
      </c>
      <c r="L3840" s="5">
        <f>XLOOKUP(N3840, uom!C:C, uom!B:B, "Not Found")</f>
      </c>
      <c r="M3840" s="1" t="s">
        <v>5544</v>
      </c>
      <c r="N3840" s="8" t="s">
        <v>5524</v>
      </c>
      <c r="O3840" s="1" t="s">
        <v>5525</v>
      </c>
      <c r="P3840" s="5">
        <f>XLOOKUP(R3840, classification!C:C, classification!B:B, "Not Found")</f>
      </c>
      <c r="Q3840" s="1" t="s">
        <v>5514</v>
      </c>
      <c r="R3840" s="2"/>
      <c r="S3840" s="2"/>
      <c r="T3840" s="2"/>
      <c r="U3840" s="2"/>
    </row>
    <row x14ac:dyDescent="0.25" r="3841" customHeight="1" ht="17.25">
      <c r="A3841" s="7">
        <v>3840</v>
      </c>
      <c r="B3841" s="1" t="s">
        <v>9137</v>
      </c>
      <c r="C3841" s="5">
        <f>CONCATENATE("PD", TEXT(A3841, "1000000"))</f>
      </c>
      <c r="D3841" s="7">
        <v>74</v>
      </c>
      <c r="E3841" s="5">
        <f>XLOOKUP(G3841, item_category!C:C, item_category!B:B, "Not Found")</f>
      </c>
      <c r="F3841" s="1" t="s">
        <v>5520</v>
      </c>
      <c r="G3841" s="5">
        <f>XLOOKUP(I3841, drug!B:B, drug!A:A, "Not Found")</f>
      </c>
      <c r="H3841" s="1" t="s">
        <v>1942</v>
      </c>
      <c r="I3841" s="7">
        <v>1200</v>
      </c>
      <c r="J3841" s="5">
        <f>XLOOKUP(L3841, uom!C:C, uom!B:B, "Not Found")</f>
      </c>
      <c r="K3841" s="1" t="s">
        <v>5602</v>
      </c>
      <c r="L3841" s="5">
        <f>XLOOKUP(N3841, uom!C:C, uom!B:B, "Not Found")</f>
      </c>
      <c r="M3841" s="1" t="s">
        <v>5602</v>
      </c>
      <c r="N3841" s="8" t="s">
        <v>5524</v>
      </c>
      <c r="O3841" s="1" t="s">
        <v>5525</v>
      </c>
      <c r="P3841" s="5">
        <f>XLOOKUP(R3841, classification!C:C, classification!B:B, "Not Found")</f>
      </c>
      <c r="Q3841" s="1" t="s">
        <v>5514</v>
      </c>
      <c r="R3841" s="2"/>
      <c r="S3841" s="2"/>
      <c r="T3841" s="2"/>
      <c r="U3841" s="2"/>
    </row>
    <row x14ac:dyDescent="0.25" r="3842" customHeight="1" ht="17.25">
      <c r="A3842" s="7">
        <v>3841</v>
      </c>
      <c r="B3842" s="1" t="s">
        <v>9138</v>
      </c>
      <c r="C3842" s="5">
        <f>CONCATENATE("PD", TEXT(A3842, "1000000"))</f>
      </c>
      <c r="D3842" s="7">
        <v>74</v>
      </c>
      <c r="E3842" s="5">
        <f>XLOOKUP(G3842, item_category!C:C, item_category!B:B, "Not Found")</f>
      </c>
      <c r="F3842" s="1" t="s">
        <v>5520</v>
      </c>
      <c r="G3842" s="5">
        <f>XLOOKUP(I3842, drug!B:B, drug!A:A, "Not Found")</f>
      </c>
      <c r="H3842" s="1" t="s">
        <v>818</v>
      </c>
      <c r="I3842" s="7">
        <v>50</v>
      </c>
      <c r="J3842" s="5">
        <f>XLOOKUP(L3842, uom!C:C, uom!B:B, "Not Found")</f>
      </c>
      <c r="K3842" s="1" t="s">
        <v>5544</v>
      </c>
      <c r="L3842" s="5">
        <f>XLOOKUP(N3842, uom!C:C, uom!B:B, "Not Found")</f>
      </c>
      <c r="M3842" s="1" t="s">
        <v>5544</v>
      </c>
      <c r="N3842" s="8" t="s">
        <v>5524</v>
      </c>
      <c r="O3842" s="1" t="s">
        <v>5525</v>
      </c>
      <c r="P3842" s="5">
        <f>XLOOKUP(R3842, classification!C:C, classification!B:B, "Not Found")</f>
      </c>
      <c r="Q3842" s="1" t="s">
        <v>5514</v>
      </c>
      <c r="R3842" s="2"/>
      <c r="S3842" s="2"/>
      <c r="T3842" s="2"/>
      <c r="U3842" s="2"/>
    </row>
    <row x14ac:dyDescent="0.25" r="3843" customHeight="1" ht="17.25">
      <c r="A3843" s="7">
        <v>3842</v>
      </c>
      <c r="B3843" s="1" t="s">
        <v>9139</v>
      </c>
      <c r="C3843" s="5">
        <f>CONCATENATE("PD", TEXT(A3843, "1000000"))</f>
      </c>
      <c r="D3843" s="7">
        <v>74</v>
      </c>
      <c r="E3843" s="5">
        <f>XLOOKUP(G3843, item_category!C:C, item_category!B:B, "Not Found")</f>
      </c>
      <c r="F3843" s="1" t="s">
        <v>5520</v>
      </c>
      <c r="G3843" s="5">
        <f>XLOOKUP(I3843, drug!B:B, drug!A:A, "Not Found")</f>
      </c>
      <c r="H3843" s="1" t="s">
        <v>1278</v>
      </c>
      <c r="I3843" s="7">
        <v>1000</v>
      </c>
      <c r="J3843" s="5">
        <f>XLOOKUP(L3843, uom!C:C, uom!B:B, "Not Found")</f>
      </c>
      <c r="K3843" s="1" t="s">
        <v>9140</v>
      </c>
      <c r="L3843" s="5">
        <f>XLOOKUP(N3843, uom!C:C, uom!B:B, "Not Found")</f>
      </c>
      <c r="M3843" s="1" t="s">
        <v>9140</v>
      </c>
      <c r="N3843" s="8" t="s">
        <v>5524</v>
      </c>
      <c r="O3843" s="1" t="s">
        <v>5525</v>
      </c>
      <c r="P3843" s="5">
        <f>XLOOKUP(R3843, classification!C:C, classification!B:B, "Not Found")</f>
      </c>
      <c r="Q3843" s="1" t="s">
        <v>5514</v>
      </c>
      <c r="R3843" s="2"/>
      <c r="S3843" s="2"/>
      <c r="T3843" s="2"/>
      <c r="U3843" s="2"/>
    </row>
    <row x14ac:dyDescent="0.25" r="3844" customHeight="1" ht="17.25">
      <c r="A3844" s="7">
        <v>3843</v>
      </c>
      <c r="B3844" s="1" t="s">
        <v>9141</v>
      </c>
      <c r="C3844" s="5">
        <f>CONCATENATE("PD", TEXT(A3844, "1000000"))</f>
      </c>
      <c r="D3844" s="7">
        <v>76</v>
      </c>
      <c r="E3844" s="5">
        <f>XLOOKUP(G3844, item_category!C:C, item_category!B:B, "Not Found")</f>
      </c>
      <c r="F3844" s="1" t="s">
        <v>5632</v>
      </c>
      <c r="G3844" s="5">
        <f>XLOOKUP(I3844, drug!B:B, drug!A:A, "Not Found")</f>
      </c>
      <c r="H3844" s="1"/>
      <c r="I3844" s="7">
        <v>1</v>
      </c>
      <c r="J3844" s="5">
        <f>XLOOKUP(L3844, uom!C:C, uom!B:B, "Not Found")</f>
      </c>
      <c r="K3844" s="1" t="s">
        <v>5511</v>
      </c>
      <c r="L3844" s="5">
        <f>XLOOKUP(N3844, uom!C:C, uom!B:B, "Not Found")</f>
      </c>
      <c r="M3844" s="1" t="s">
        <v>5511</v>
      </c>
      <c r="N3844" s="8" t="s">
        <v>5512</v>
      </c>
      <c r="O3844" s="1" t="s">
        <v>5513</v>
      </c>
      <c r="P3844" s="5">
        <f>XLOOKUP(R3844, classification!C:C, classification!B:B, "Not Found")</f>
      </c>
      <c r="Q3844" s="1" t="s">
        <v>5514</v>
      </c>
      <c r="R3844" s="2"/>
      <c r="S3844" s="2"/>
      <c r="T3844" s="2"/>
      <c r="U3844" s="2"/>
    </row>
    <row x14ac:dyDescent="0.25" r="3845" customHeight="1" ht="17.25">
      <c r="A3845" s="7">
        <v>3844</v>
      </c>
      <c r="B3845" s="1" t="s">
        <v>9142</v>
      </c>
      <c r="C3845" s="5">
        <f>CONCATENATE("PD", TEXT(A3845, "1000000"))</f>
      </c>
      <c r="D3845" s="7">
        <v>67</v>
      </c>
      <c r="E3845" s="5">
        <f>XLOOKUP(G3845, item_category!C:C, item_category!B:B, "Not Found")</f>
      </c>
      <c r="F3845" s="1" t="s">
        <v>5516</v>
      </c>
      <c r="G3845" s="5">
        <f>XLOOKUP(I3845, drug!B:B, drug!A:A, "Not Found")</f>
      </c>
      <c r="H3845" s="1"/>
      <c r="I3845" s="7">
        <v>1500</v>
      </c>
      <c r="J3845" s="5">
        <f>XLOOKUP(L3845, uom!C:C, uom!B:B, "Not Found")</f>
      </c>
      <c r="K3845" s="1" t="s">
        <v>5602</v>
      </c>
      <c r="L3845" s="5">
        <f>XLOOKUP(N3845, uom!C:C, uom!B:B, "Not Found")</f>
      </c>
      <c r="M3845" s="1" t="s">
        <v>5602</v>
      </c>
      <c r="N3845" s="8" t="s">
        <v>5524</v>
      </c>
      <c r="O3845" s="1" t="s">
        <v>5525</v>
      </c>
      <c r="P3845" s="5">
        <f>XLOOKUP(R3845, classification!C:C, classification!B:B, "Not Found")</f>
      </c>
      <c r="Q3845" s="1" t="s">
        <v>5514</v>
      </c>
      <c r="R3845" s="2"/>
      <c r="S3845" s="2"/>
      <c r="T3845" s="2"/>
      <c r="U3845" s="2"/>
    </row>
    <row x14ac:dyDescent="0.25" r="3846" customHeight="1" ht="17.25">
      <c r="A3846" s="7">
        <v>3845</v>
      </c>
      <c r="B3846" s="1" t="s">
        <v>9143</v>
      </c>
      <c r="C3846" s="5">
        <f>CONCATENATE("PD", TEXT(A3846, "1000000"))</f>
      </c>
      <c r="D3846" s="7">
        <v>1</v>
      </c>
      <c r="E3846" s="5">
        <f>XLOOKUP(G3846, item_category!C:C, item_category!B:B, "Not Found")</f>
      </c>
      <c r="F3846" s="1" t="s">
        <v>5514</v>
      </c>
      <c r="G3846" s="5">
        <f>XLOOKUP(I3846, drug!B:B, drug!A:A, "Not Found")</f>
      </c>
      <c r="H3846" s="1" t="s">
        <v>1942</v>
      </c>
      <c r="I3846" s="7">
        <v>1</v>
      </c>
      <c r="J3846" s="5">
        <f>XLOOKUP(L3846, uom!C:C, uom!B:B, "Not Found")</f>
      </c>
      <c r="K3846" s="1" t="s">
        <v>5722</v>
      </c>
      <c r="L3846" s="5">
        <f>XLOOKUP(N3846, uom!C:C, uom!B:B, "Not Found")</f>
      </c>
      <c r="M3846" s="1" t="s">
        <v>5722</v>
      </c>
      <c r="N3846" s="8" t="s">
        <v>5524</v>
      </c>
      <c r="O3846" s="1" t="s">
        <v>5525</v>
      </c>
      <c r="P3846" s="5">
        <f>XLOOKUP(R3846, classification!C:C, classification!B:B, "Not Found")</f>
      </c>
      <c r="Q3846" s="1" t="s">
        <v>5514</v>
      </c>
      <c r="R3846" s="2"/>
      <c r="S3846" s="2"/>
      <c r="T3846" s="2"/>
      <c r="U3846" s="2"/>
    </row>
    <row x14ac:dyDescent="0.25" r="3847" customHeight="1" ht="17.25">
      <c r="A3847" s="7">
        <v>3846</v>
      </c>
      <c r="B3847" s="1" t="s">
        <v>9144</v>
      </c>
      <c r="C3847" s="5">
        <f>CONCATENATE("PD", TEXT(A3847, "1000000"))</f>
      </c>
      <c r="D3847" s="7">
        <v>1</v>
      </c>
      <c r="E3847" s="5">
        <f>XLOOKUP(G3847, item_category!C:C, item_category!B:B, "Not Found")</f>
      </c>
      <c r="F3847" s="1" t="s">
        <v>5514</v>
      </c>
      <c r="G3847" s="5">
        <f>XLOOKUP(I3847, drug!B:B, drug!A:A, "Not Found")</f>
      </c>
      <c r="H3847" s="1"/>
      <c r="I3847" s="7">
        <v>250</v>
      </c>
      <c r="J3847" s="5">
        <f>XLOOKUP(L3847, uom!C:C, uom!B:B, "Not Found")</f>
      </c>
      <c r="K3847" s="1" t="s">
        <v>5602</v>
      </c>
      <c r="L3847" s="5">
        <f>XLOOKUP(N3847, uom!C:C, uom!B:B, "Not Found")</f>
      </c>
      <c r="M3847" s="1" t="s">
        <v>5602</v>
      </c>
      <c r="N3847" s="8" t="s">
        <v>5524</v>
      </c>
      <c r="O3847" s="1" t="s">
        <v>5525</v>
      </c>
      <c r="P3847" s="5">
        <f>XLOOKUP(R3847, classification!C:C, classification!B:B, "Not Found")</f>
      </c>
      <c r="Q3847" s="1" t="s">
        <v>5514</v>
      </c>
      <c r="R3847" s="2"/>
      <c r="S3847" s="2"/>
      <c r="T3847" s="2"/>
      <c r="U3847" s="2"/>
    </row>
    <row x14ac:dyDescent="0.25" r="3848" customHeight="1" ht="17.25">
      <c r="A3848" s="7">
        <v>3847</v>
      </c>
      <c r="B3848" s="1" t="s">
        <v>9145</v>
      </c>
      <c r="C3848" s="5">
        <f>CONCATENATE("PD", TEXT(A3848, "1000000"))</f>
      </c>
      <c r="D3848" s="7">
        <v>67</v>
      </c>
      <c r="E3848" s="5">
        <f>XLOOKUP(G3848, item_category!C:C, item_category!B:B, "Not Found")</f>
      </c>
      <c r="F3848" s="1" t="s">
        <v>5516</v>
      </c>
      <c r="G3848" s="5">
        <f>XLOOKUP(I3848, drug!B:B, drug!A:A, "Not Found")</f>
      </c>
      <c r="H3848" s="1" t="s">
        <v>1228</v>
      </c>
      <c r="I3848" s="7">
        <v>1</v>
      </c>
      <c r="J3848" s="5">
        <f>XLOOKUP(L3848, uom!C:C, uom!B:B, "Not Found")</f>
      </c>
      <c r="K3848" s="1" t="s">
        <v>5602</v>
      </c>
      <c r="L3848" s="5">
        <f>XLOOKUP(N3848, uom!C:C, uom!B:B, "Not Found")</f>
      </c>
      <c r="M3848" s="1" t="s">
        <v>5602</v>
      </c>
      <c r="N3848" s="8" t="s">
        <v>5512</v>
      </c>
      <c r="O3848" s="1" t="s">
        <v>5525</v>
      </c>
      <c r="P3848" s="5">
        <f>XLOOKUP(R3848, classification!C:C, classification!B:B, "Not Found")</f>
      </c>
      <c r="Q3848" s="1" t="s">
        <v>5514</v>
      </c>
      <c r="R3848" s="2"/>
      <c r="S3848" s="2"/>
      <c r="T3848" s="2"/>
      <c r="U3848" s="2"/>
    </row>
    <row x14ac:dyDescent="0.25" r="3849" customHeight="1" ht="17.25">
      <c r="A3849" s="7">
        <v>3848</v>
      </c>
      <c r="B3849" s="1" t="s">
        <v>9146</v>
      </c>
      <c r="C3849" s="5">
        <f>CONCATENATE("PD", TEXT(A3849, "1000000"))</f>
      </c>
      <c r="D3849" s="7">
        <v>1</v>
      </c>
      <c r="E3849" s="5">
        <f>XLOOKUP(G3849, item_category!C:C, item_category!B:B, "Not Found")</f>
      </c>
      <c r="F3849" s="1" t="s">
        <v>5514</v>
      </c>
      <c r="G3849" s="5">
        <f>XLOOKUP(I3849, drug!B:B, drug!A:A, "Not Found")</f>
      </c>
      <c r="H3849" s="1"/>
      <c r="I3849" s="7">
        <v>300</v>
      </c>
      <c r="J3849" s="5">
        <f>XLOOKUP(L3849, uom!C:C, uom!B:B, "Not Found")</f>
      </c>
      <c r="K3849" s="1" t="s">
        <v>5602</v>
      </c>
      <c r="L3849" s="5">
        <f>XLOOKUP(N3849, uom!C:C, uom!B:B, "Not Found")</f>
      </c>
      <c r="M3849" s="1" t="s">
        <v>5602</v>
      </c>
      <c r="N3849" s="8" t="s">
        <v>5524</v>
      </c>
      <c r="O3849" s="1" t="s">
        <v>5525</v>
      </c>
      <c r="P3849" s="5">
        <f>XLOOKUP(R3849, classification!C:C, classification!B:B, "Not Found")</f>
      </c>
      <c r="Q3849" s="1" t="s">
        <v>5514</v>
      </c>
      <c r="R3849" s="2"/>
      <c r="S3849" s="2"/>
      <c r="T3849" s="2"/>
      <c r="U3849" s="2"/>
    </row>
    <row x14ac:dyDescent="0.25" r="3850" customHeight="1" ht="17.25">
      <c r="A3850" s="7">
        <v>3849</v>
      </c>
      <c r="B3850" s="1" t="s">
        <v>9147</v>
      </c>
      <c r="C3850" s="5">
        <f>CONCATENATE("PD", TEXT(A3850, "1000000"))</f>
      </c>
      <c r="D3850" s="7">
        <v>67</v>
      </c>
      <c r="E3850" s="5">
        <f>XLOOKUP(G3850, item_category!C:C, item_category!B:B, "Not Found")</f>
      </c>
      <c r="F3850" s="1" t="s">
        <v>5516</v>
      </c>
      <c r="G3850" s="5">
        <f>XLOOKUP(I3850, drug!B:B, drug!A:A, "Not Found")</f>
      </c>
      <c r="H3850" s="1"/>
      <c r="I3850" s="7">
        <v>1</v>
      </c>
      <c r="J3850" s="5">
        <f>XLOOKUP(L3850, uom!C:C, uom!B:B, "Not Found")</f>
      </c>
      <c r="K3850" s="1" t="s">
        <v>5618</v>
      </c>
      <c r="L3850" s="5">
        <f>XLOOKUP(N3850, uom!C:C, uom!B:B, "Not Found")</f>
      </c>
      <c r="M3850" s="1" t="s">
        <v>5618</v>
      </c>
      <c r="N3850" s="8" t="s">
        <v>5512</v>
      </c>
      <c r="O3850" s="1" t="s">
        <v>5525</v>
      </c>
      <c r="P3850" s="5">
        <f>XLOOKUP(R3850, classification!C:C, classification!B:B, "Not Found")</f>
      </c>
      <c r="Q3850" s="1" t="s">
        <v>5514</v>
      </c>
      <c r="R3850" s="2"/>
      <c r="S3850" s="2"/>
      <c r="T3850" s="2"/>
      <c r="U3850" s="2"/>
    </row>
    <row x14ac:dyDescent="0.25" r="3851" customHeight="1" ht="17.25">
      <c r="A3851" s="7">
        <v>3850</v>
      </c>
      <c r="B3851" s="1" t="s">
        <v>9148</v>
      </c>
      <c r="C3851" s="5">
        <f>CONCATENATE("PD", TEXT(A3851, "1000000"))</f>
      </c>
      <c r="D3851" s="7">
        <v>67</v>
      </c>
      <c r="E3851" s="5">
        <f>XLOOKUP(G3851, item_category!C:C, item_category!B:B, "Not Found")</f>
      </c>
      <c r="F3851" s="1" t="s">
        <v>5516</v>
      </c>
      <c r="G3851" s="5">
        <f>XLOOKUP(I3851, drug!B:B, drug!A:A, "Not Found")</f>
      </c>
      <c r="H3851" s="1"/>
      <c r="I3851" s="7">
        <v>350</v>
      </c>
      <c r="J3851" s="5">
        <f>XLOOKUP(L3851, uom!C:C, uom!B:B, "Not Found")</f>
      </c>
      <c r="K3851" s="1" t="s">
        <v>5618</v>
      </c>
      <c r="L3851" s="5">
        <f>XLOOKUP(N3851, uom!C:C, uom!B:B, "Not Found")</f>
      </c>
      <c r="M3851" s="1" t="s">
        <v>5618</v>
      </c>
      <c r="N3851" s="8" t="s">
        <v>5524</v>
      </c>
      <c r="O3851" s="1" t="s">
        <v>5525</v>
      </c>
      <c r="P3851" s="5">
        <f>XLOOKUP(R3851, classification!C:C, classification!B:B, "Not Found")</f>
      </c>
      <c r="Q3851" s="1" t="s">
        <v>5514</v>
      </c>
      <c r="R3851" s="2"/>
      <c r="S3851" s="2"/>
      <c r="T3851" s="2"/>
      <c r="U3851" s="2"/>
    </row>
    <row x14ac:dyDescent="0.25" r="3852" customHeight="1" ht="17.25">
      <c r="A3852" s="7">
        <v>3851</v>
      </c>
      <c r="B3852" s="1" t="s">
        <v>9149</v>
      </c>
      <c r="C3852" s="5">
        <f>CONCATENATE("PD", TEXT(A3852, "1000000"))</f>
      </c>
      <c r="D3852" s="7">
        <v>1</v>
      </c>
      <c r="E3852" s="5">
        <f>XLOOKUP(G3852, item_category!C:C, item_category!B:B, "Not Found")</f>
      </c>
      <c r="F3852" s="1" t="s">
        <v>5514</v>
      </c>
      <c r="G3852" s="5">
        <f>XLOOKUP(I3852, drug!B:B, drug!A:A, "Not Found")</f>
      </c>
      <c r="H3852" s="1"/>
      <c r="I3852" s="7">
        <v>300</v>
      </c>
      <c r="J3852" s="5">
        <f>XLOOKUP(L3852, uom!C:C, uom!B:B, "Not Found")</f>
      </c>
      <c r="K3852" s="1" t="s">
        <v>5602</v>
      </c>
      <c r="L3852" s="5">
        <f>XLOOKUP(N3852, uom!C:C, uom!B:B, "Not Found")</f>
      </c>
      <c r="M3852" s="1" t="s">
        <v>5602</v>
      </c>
      <c r="N3852" s="8" t="s">
        <v>5524</v>
      </c>
      <c r="O3852" s="1" t="s">
        <v>5525</v>
      </c>
      <c r="P3852" s="5">
        <f>XLOOKUP(R3852, classification!C:C, classification!B:B, "Not Found")</f>
      </c>
      <c r="Q3852" s="1" t="s">
        <v>5514</v>
      </c>
      <c r="R3852" s="2"/>
      <c r="S3852" s="2"/>
      <c r="T3852" s="2"/>
      <c r="U3852" s="2"/>
    </row>
    <row x14ac:dyDescent="0.25" r="3853" customHeight="1" ht="17.25">
      <c r="A3853" s="7">
        <v>3852</v>
      </c>
      <c r="B3853" s="1" t="s">
        <v>9150</v>
      </c>
      <c r="C3853" s="5">
        <f>CONCATENATE("PD", TEXT(A3853, "1000000"))</f>
      </c>
      <c r="D3853" s="7">
        <v>1</v>
      </c>
      <c r="E3853" s="5">
        <f>XLOOKUP(G3853, item_category!C:C, item_category!B:B, "Not Found")</f>
      </c>
      <c r="F3853" s="1" t="s">
        <v>5514</v>
      </c>
      <c r="G3853" s="5">
        <f>XLOOKUP(I3853, drug!B:B, drug!A:A, "Not Found")</f>
      </c>
      <c r="H3853" s="1" t="s">
        <v>1157</v>
      </c>
      <c r="I3853" s="7">
        <v>1000</v>
      </c>
      <c r="J3853" s="5">
        <f>XLOOKUP(L3853, uom!C:C, uom!B:B, "Not Found")</f>
      </c>
      <c r="K3853" s="1" t="s">
        <v>5544</v>
      </c>
      <c r="L3853" s="5">
        <f>XLOOKUP(N3853, uom!C:C, uom!B:B, "Not Found")</f>
      </c>
      <c r="M3853" s="1" t="s">
        <v>5544</v>
      </c>
      <c r="N3853" s="8" t="s">
        <v>5524</v>
      </c>
      <c r="O3853" s="1" t="s">
        <v>5525</v>
      </c>
      <c r="P3853" s="5">
        <f>XLOOKUP(R3853, classification!C:C, classification!B:B, "Not Found")</f>
      </c>
      <c r="Q3853" s="1" t="s">
        <v>5514</v>
      </c>
      <c r="R3853" s="2"/>
      <c r="S3853" s="2"/>
      <c r="T3853" s="2"/>
      <c r="U3853" s="2"/>
    </row>
    <row x14ac:dyDescent="0.25" r="3854" customHeight="1" ht="17.25">
      <c r="A3854" s="7">
        <v>3853</v>
      </c>
      <c r="B3854" s="1" t="s">
        <v>9151</v>
      </c>
      <c r="C3854" s="5">
        <f>CONCATENATE("PD", TEXT(A3854, "1000000"))</f>
      </c>
      <c r="D3854" s="7">
        <v>75</v>
      </c>
      <c r="E3854" s="5">
        <f>XLOOKUP(G3854, item_category!C:C, item_category!B:B, "Not Found")</f>
      </c>
      <c r="F3854" s="1" t="s">
        <v>5541</v>
      </c>
      <c r="G3854" s="5">
        <f>XLOOKUP(I3854, drug!B:B, drug!A:A, "Not Found")</f>
      </c>
      <c r="H3854" s="1"/>
      <c r="I3854" s="7">
        <v>70</v>
      </c>
      <c r="J3854" s="5">
        <f>XLOOKUP(L3854, uom!C:C, uom!B:B, "Not Found")</f>
      </c>
      <c r="K3854" s="1" t="s">
        <v>7840</v>
      </c>
      <c r="L3854" s="5">
        <f>XLOOKUP(N3854, uom!C:C, uom!B:B, "Not Found")</f>
      </c>
      <c r="M3854" s="1" t="s">
        <v>7840</v>
      </c>
      <c r="N3854" s="8" t="s">
        <v>5524</v>
      </c>
      <c r="O3854" s="1" t="s">
        <v>5525</v>
      </c>
      <c r="P3854" s="5">
        <f>XLOOKUP(R3854, classification!C:C, classification!B:B, "Not Found")</f>
      </c>
      <c r="Q3854" s="1" t="s">
        <v>5514</v>
      </c>
      <c r="R3854" s="2"/>
      <c r="S3854" s="2"/>
      <c r="T3854" s="2"/>
      <c r="U3854" s="2"/>
    </row>
    <row x14ac:dyDescent="0.25" r="3855" customHeight="1" ht="17.25">
      <c r="A3855" s="7">
        <v>3854</v>
      </c>
      <c r="B3855" s="1" t="s">
        <v>9152</v>
      </c>
      <c r="C3855" s="5">
        <f>CONCATENATE("PD", TEXT(A3855, "1000000"))</f>
      </c>
      <c r="D3855" s="7">
        <v>67</v>
      </c>
      <c r="E3855" s="5">
        <f>XLOOKUP(G3855, item_category!C:C, item_category!B:B, "Not Found")</f>
      </c>
      <c r="F3855" s="1" t="s">
        <v>5516</v>
      </c>
      <c r="G3855" s="5">
        <f>XLOOKUP(I3855, drug!B:B, drug!A:A, "Not Found")</f>
      </c>
      <c r="H3855" s="1"/>
      <c r="I3855" s="7">
        <v>1</v>
      </c>
      <c r="J3855" s="5">
        <f>XLOOKUP(L3855, uom!C:C, uom!B:B, "Not Found")</f>
      </c>
      <c r="K3855" s="1" t="s">
        <v>5602</v>
      </c>
      <c r="L3855" s="5">
        <f>XLOOKUP(N3855, uom!C:C, uom!B:B, "Not Found")</f>
      </c>
      <c r="M3855" s="1" t="s">
        <v>5602</v>
      </c>
      <c r="N3855" s="8" t="s">
        <v>5524</v>
      </c>
      <c r="O3855" s="1" t="s">
        <v>5525</v>
      </c>
      <c r="P3855" s="5">
        <f>XLOOKUP(R3855, classification!C:C, classification!B:B, "Not Found")</f>
      </c>
      <c r="Q3855" s="1" t="s">
        <v>5514</v>
      </c>
      <c r="R3855" s="2"/>
      <c r="S3855" s="2"/>
      <c r="T3855" s="2"/>
      <c r="U3855" s="2"/>
    </row>
    <row x14ac:dyDescent="0.25" r="3856" customHeight="1" ht="17.25">
      <c r="A3856" s="7">
        <v>3855</v>
      </c>
      <c r="B3856" s="1" t="s">
        <v>9153</v>
      </c>
      <c r="C3856" s="5">
        <f>CONCATENATE("PD", TEXT(A3856, "1000000"))</f>
      </c>
      <c r="D3856" s="7">
        <v>1</v>
      </c>
      <c r="E3856" s="5">
        <f>XLOOKUP(G3856, item_category!C:C, item_category!B:B, "Not Found")</f>
      </c>
      <c r="F3856" s="1" t="s">
        <v>5514</v>
      </c>
      <c r="G3856" s="5">
        <f>XLOOKUP(I3856, drug!B:B, drug!A:A, "Not Found")</f>
      </c>
      <c r="H3856" s="1" t="s">
        <v>272</v>
      </c>
      <c r="I3856" s="7">
        <v>400</v>
      </c>
      <c r="J3856" s="5">
        <f>XLOOKUP(L3856, uom!C:C, uom!B:B, "Not Found")</f>
      </c>
      <c r="K3856" s="1" t="s">
        <v>5544</v>
      </c>
      <c r="L3856" s="5">
        <f>XLOOKUP(N3856, uom!C:C, uom!B:B, "Not Found")</f>
      </c>
      <c r="M3856" s="1" t="s">
        <v>5544</v>
      </c>
      <c r="N3856" s="8" t="s">
        <v>5524</v>
      </c>
      <c r="O3856" s="1" t="s">
        <v>5525</v>
      </c>
      <c r="P3856" s="5">
        <f>XLOOKUP(R3856, classification!C:C, classification!B:B, "Not Found")</f>
      </c>
      <c r="Q3856" s="1" t="s">
        <v>5514</v>
      </c>
      <c r="R3856" s="2"/>
      <c r="S3856" s="2"/>
      <c r="T3856" s="2"/>
      <c r="U3856" s="2"/>
    </row>
    <row x14ac:dyDescent="0.25" r="3857" customHeight="1" ht="17.25">
      <c r="A3857" s="7">
        <v>3856</v>
      </c>
      <c r="B3857" s="1" t="s">
        <v>9154</v>
      </c>
      <c r="C3857" s="5">
        <f>CONCATENATE("PD", TEXT(A3857, "1000000"))</f>
      </c>
      <c r="D3857" s="7">
        <v>59</v>
      </c>
      <c r="E3857" s="5">
        <f>XLOOKUP(G3857, item_category!C:C, item_category!B:B, "Not Found")</f>
      </c>
      <c r="F3857" s="1" t="s">
        <v>5527</v>
      </c>
      <c r="G3857" s="5">
        <f>XLOOKUP(I3857, drug!B:B, drug!A:A, "Not Found")</f>
      </c>
      <c r="H3857" s="1"/>
      <c r="I3857" s="7">
        <v>2</v>
      </c>
      <c r="J3857" s="5">
        <f>XLOOKUP(L3857, uom!C:C, uom!B:B, "Not Found")</f>
      </c>
      <c r="K3857" s="1" t="s">
        <v>5537</v>
      </c>
      <c r="L3857" s="5">
        <f>XLOOKUP(N3857, uom!C:C, uom!B:B, "Not Found")</f>
      </c>
      <c r="M3857" s="1" t="s">
        <v>5537</v>
      </c>
      <c r="N3857" s="8" t="s">
        <v>5524</v>
      </c>
      <c r="O3857" s="1" t="s">
        <v>5525</v>
      </c>
      <c r="P3857" s="5">
        <f>XLOOKUP(R3857, classification!C:C, classification!B:B, "Not Found")</f>
      </c>
      <c r="Q3857" s="1" t="s">
        <v>5514</v>
      </c>
      <c r="R3857" s="2"/>
      <c r="S3857" s="2"/>
      <c r="T3857" s="2"/>
      <c r="U3857" s="2"/>
    </row>
    <row x14ac:dyDescent="0.25" r="3858" customHeight="1" ht="17.25">
      <c r="A3858" s="7">
        <v>3857</v>
      </c>
      <c r="B3858" s="1" t="s">
        <v>9155</v>
      </c>
      <c r="C3858" s="5">
        <f>CONCATENATE("PD", TEXT(A3858, "1000000"))</f>
      </c>
      <c r="D3858" s="7">
        <v>76</v>
      </c>
      <c r="E3858" s="5">
        <f>XLOOKUP(G3858, item_category!C:C, item_category!B:B, "Not Found")</f>
      </c>
      <c r="F3858" s="1" t="s">
        <v>5632</v>
      </c>
      <c r="G3858" s="5">
        <f>XLOOKUP(I3858, drug!B:B, drug!A:A, "Not Found")</f>
      </c>
      <c r="H3858" s="1"/>
      <c r="I3858" s="7">
        <v>100</v>
      </c>
      <c r="J3858" s="5">
        <f>XLOOKUP(L3858, uom!C:C, uom!B:B, "Not Found")</f>
      </c>
      <c r="K3858" s="1" t="s">
        <v>7989</v>
      </c>
      <c r="L3858" s="5">
        <f>XLOOKUP(N3858, uom!C:C, uom!B:B, "Not Found")</f>
      </c>
      <c r="M3858" s="1" t="s">
        <v>7989</v>
      </c>
      <c r="N3858" s="8" t="s">
        <v>5524</v>
      </c>
      <c r="O3858" s="1" t="s">
        <v>5525</v>
      </c>
      <c r="P3858" s="5">
        <f>XLOOKUP(R3858, classification!C:C, classification!B:B, "Not Found")</f>
      </c>
      <c r="Q3858" s="1" t="s">
        <v>5514</v>
      </c>
      <c r="R3858" s="2"/>
      <c r="S3858" s="2"/>
      <c r="T3858" s="2"/>
      <c r="U3858" s="2"/>
    </row>
    <row x14ac:dyDescent="0.25" r="3859" customHeight="1" ht="17.25">
      <c r="A3859" s="7">
        <v>3858</v>
      </c>
      <c r="B3859" s="1" t="s">
        <v>9156</v>
      </c>
      <c r="C3859" s="5">
        <f>CONCATENATE("PD", TEXT(A3859, "1000000"))</f>
      </c>
      <c r="D3859" s="7">
        <v>63</v>
      </c>
      <c r="E3859" s="5">
        <f>XLOOKUP(G3859, item_category!C:C, item_category!B:B, "Not Found")</f>
      </c>
      <c r="F3859" s="1" t="s">
        <v>3726</v>
      </c>
      <c r="G3859" s="5">
        <f>XLOOKUP(I3859, drug!B:B, drug!A:A, "Not Found")</f>
      </c>
      <c r="H3859" s="1"/>
      <c r="I3859" s="7">
        <v>250</v>
      </c>
      <c r="J3859" s="5">
        <f>XLOOKUP(L3859, uom!C:C, uom!B:B, "Not Found")</f>
      </c>
      <c r="K3859" s="1" t="s">
        <v>5625</v>
      </c>
      <c r="L3859" s="5">
        <f>XLOOKUP(N3859, uom!C:C, uom!B:B, "Not Found")</f>
      </c>
      <c r="M3859" s="1" t="s">
        <v>5625</v>
      </c>
      <c r="N3859" s="8" t="s">
        <v>5524</v>
      </c>
      <c r="O3859" s="1" t="s">
        <v>5525</v>
      </c>
      <c r="P3859" s="5">
        <f>XLOOKUP(R3859, classification!C:C, classification!B:B, "Not Found")</f>
      </c>
      <c r="Q3859" s="1" t="s">
        <v>5514</v>
      </c>
      <c r="R3859" s="2"/>
      <c r="S3859" s="2"/>
      <c r="T3859" s="2"/>
      <c r="U3859" s="2"/>
    </row>
    <row x14ac:dyDescent="0.25" r="3860" customHeight="1" ht="17.25">
      <c r="A3860" s="7">
        <v>3859</v>
      </c>
      <c r="B3860" s="1" t="s">
        <v>1328</v>
      </c>
      <c r="C3860" s="5">
        <f>CONCATENATE("PD", TEXT(A3860, "1000000"))</f>
      </c>
      <c r="D3860" s="7">
        <v>75</v>
      </c>
      <c r="E3860" s="5">
        <f>XLOOKUP(G3860, item_category!C:C, item_category!B:B, "Not Found")</f>
      </c>
      <c r="F3860" s="1" t="s">
        <v>5541</v>
      </c>
      <c r="G3860" s="5">
        <f>XLOOKUP(I3860, drug!B:B, drug!A:A, "Not Found")</f>
      </c>
      <c r="H3860" s="1" t="s">
        <v>1328</v>
      </c>
      <c r="I3860" s="7">
        <v>100</v>
      </c>
      <c r="J3860" s="5">
        <f>XLOOKUP(L3860, uom!C:C, uom!B:B, "Not Found")</f>
      </c>
      <c r="K3860" s="1" t="s">
        <v>5544</v>
      </c>
      <c r="L3860" s="5">
        <f>XLOOKUP(N3860, uom!C:C, uom!B:B, "Not Found")</f>
      </c>
      <c r="M3860" s="1" t="s">
        <v>5544</v>
      </c>
      <c r="N3860" s="8" t="s">
        <v>5524</v>
      </c>
      <c r="O3860" s="1" t="s">
        <v>5525</v>
      </c>
      <c r="P3860" s="5">
        <f>XLOOKUP(R3860, classification!C:C, classification!B:B, "Not Found")</f>
      </c>
      <c r="Q3860" s="1" t="s">
        <v>5514</v>
      </c>
      <c r="R3860" s="2"/>
      <c r="S3860" s="2"/>
      <c r="T3860" s="2"/>
      <c r="U3860" s="2"/>
    </row>
    <row x14ac:dyDescent="0.25" r="3861" customHeight="1" ht="17.25">
      <c r="A3861" s="7">
        <v>3860</v>
      </c>
      <c r="B3861" s="1" t="s">
        <v>9157</v>
      </c>
      <c r="C3861" s="5">
        <f>CONCATENATE("PD", TEXT(A3861, "1000000"))</f>
      </c>
      <c r="D3861" s="7">
        <v>1</v>
      </c>
      <c r="E3861" s="5">
        <f>XLOOKUP(G3861, item_category!C:C, item_category!B:B, "Not Found")</f>
      </c>
      <c r="F3861" s="1" t="s">
        <v>5514</v>
      </c>
      <c r="G3861" s="5">
        <f>XLOOKUP(I3861, drug!B:B, drug!A:A, "Not Found")</f>
      </c>
      <c r="H3861" s="1"/>
      <c r="I3861" s="7">
        <v>300</v>
      </c>
      <c r="J3861" s="5">
        <f>XLOOKUP(L3861, uom!C:C, uom!B:B, "Not Found")</f>
      </c>
      <c r="K3861" s="1" t="s">
        <v>5602</v>
      </c>
      <c r="L3861" s="5">
        <f>XLOOKUP(N3861, uom!C:C, uom!B:B, "Not Found")</f>
      </c>
      <c r="M3861" s="1" t="s">
        <v>5602</v>
      </c>
      <c r="N3861" s="8" t="s">
        <v>5524</v>
      </c>
      <c r="O3861" s="1" t="s">
        <v>5525</v>
      </c>
      <c r="P3861" s="5">
        <f>XLOOKUP(R3861, classification!C:C, classification!B:B, "Not Found")</f>
      </c>
      <c r="Q3861" s="1" t="s">
        <v>5514</v>
      </c>
      <c r="R3861" s="2"/>
      <c r="S3861" s="2"/>
      <c r="T3861" s="2"/>
      <c r="U3861" s="2"/>
    </row>
    <row x14ac:dyDescent="0.25" r="3862" customHeight="1" ht="17.25">
      <c r="A3862" s="7">
        <v>3861</v>
      </c>
      <c r="B3862" s="1" t="s">
        <v>9158</v>
      </c>
      <c r="C3862" s="5">
        <f>CONCATENATE("PD", TEXT(A3862, "1000000"))</f>
      </c>
      <c r="D3862" s="7">
        <v>73</v>
      </c>
      <c r="E3862" s="5">
        <f>XLOOKUP(G3862, item_category!C:C, item_category!B:B, "Not Found")</f>
      </c>
      <c r="F3862" s="1" t="s">
        <v>7945</v>
      </c>
      <c r="G3862" s="5">
        <f>XLOOKUP(I3862, drug!B:B, drug!A:A, "Not Found")</f>
      </c>
      <c r="H3862" s="1"/>
      <c r="I3862" s="7">
        <v>50</v>
      </c>
      <c r="J3862" s="5">
        <f>XLOOKUP(L3862, uom!C:C, uom!B:B, "Not Found")</f>
      </c>
      <c r="K3862" s="1" t="s">
        <v>5511</v>
      </c>
      <c r="L3862" s="5">
        <f>XLOOKUP(N3862, uom!C:C, uom!B:B, "Not Found")</f>
      </c>
      <c r="M3862" s="1" t="s">
        <v>5511</v>
      </c>
      <c r="N3862" s="8" t="s">
        <v>5524</v>
      </c>
      <c r="O3862" s="1" t="s">
        <v>5525</v>
      </c>
      <c r="P3862" s="5">
        <f>XLOOKUP(R3862, classification!C:C, classification!B:B, "Not Found")</f>
      </c>
      <c r="Q3862" s="1" t="s">
        <v>5514</v>
      </c>
      <c r="R3862" s="2"/>
      <c r="S3862" s="2"/>
      <c r="T3862" s="2"/>
      <c r="U3862" s="2"/>
    </row>
    <row x14ac:dyDescent="0.25" r="3863" customHeight="1" ht="17.25">
      <c r="A3863" s="7">
        <v>3862</v>
      </c>
      <c r="B3863" s="1" t="s">
        <v>9159</v>
      </c>
      <c r="C3863" s="5">
        <f>CONCATENATE("PD", TEXT(A3863, "1000000"))</f>
      </c>
      <c r="D3863" s="7">
        <v>73</v>
      </c>
      <c r="E3863" s="5">
        <f>XLOOKUP(G3863, item_category!C:C, item_category!B:B, "Not Found")</f>
      </c>
      <c r="F3863" s="1" t="s">
        <v>7945</v>
      </c>
      <c r="G3863" s="5">
        <f>XLOOKUP(I3863, drug!B:B, drug!A:A, "Not Found")</f>
      </c>
      <c r="H3863" s="1"/>
      <c r="I3863" s="7">
        <v>25</v>
      </c>
      <c r="J3863" s="5">
        <f>XLOOKUP(L3863, uom!C:C, uom!B:B, "Not Found")</f>
      </c>
      <c r="K3863" s="1" t="s">
        <v>7989</v>
      </c>
      <c r="L3863" s="5">
        <f>XLOOKUP(N3863, uom!C:C, uom!B:B, "Not Found")</f>
      </c>
      <c r="M3863" s="1" t="s">
        <v>7989</v>
      </c>
      <c r="N3863" s="8" t="s">
        <v>5524</v>
      </c>
      <c r="O3863" s="1" t="s">
        <v>5525</v>
      </c>
      <c r="P3863" s="5">
        <f>XLOOKUP(R3863, classification!C:C, classification!B:B, "Not Found")</f>
      </c>
      <c r="Q3863" s="1" t="s">
        <v>5514</v>
      </c>
      <c r="R3863" s="2"/>
      <c r="S3863" s="2"/>
      <c r="T3863" s="2"/>
      <c r="U3863" s="2"/>
    </row>
    <row x14ac:dyDescent="0.25" r="3864" customHeight="1" ht="17.25">
      <c r="A3864" s="7">
        <v>3863</v>
      </c>
      <c r="B3864" s="1" t="s">
        <v>9160</v>
      </c>
      <c r="C3864" s="5">
        <f>CONCATENATE("PD", TEXT(A3864, "1000000"))</f>
      </c>
      <c r="D3864" s="7">
        <v>1</v>
      </c>
      <c r="E3864" s="5">
        <f>XLOOKUP(G3864, item_category!C:C, item_category!B:B, "Not Found")</f>
      </c>
      <c r="F3864" s="1" t="s">
        <v>5514</v>
      </c>
      <c r="G3864" s="5">
        <f>XLOOKUP(I3864, drug!B:B, drug!A:A, "Not Found")</f>
      </c>
      <c r="H3864" s="1"/>
      <c r="I3864" s="7">
        <v>250</v>
      </c>
      <c r="J3864" s="5">
        <f>XLOOKUP(L3864, uom!C:C, uom!B:B, "Not Found")</f>
      </c>
      <c r="K3864" s="1" t="s">
        <v>5544</v>
      </c>
      <c r="L3864" s="5">
        <f>XLOOKUP(N3864, uom!C:C, uom!B:B, "Not Found")</f>
      </c>
      <c r="M3864" s="1" t="s">
        <v>5544</v>
      </c>
      <c r="N3864" s="8" t="s">
        <v>5524</v>
      </c>
      <c r="O3864" s="1" t="s">
        <v>5525</v>
      </c>
      <c r="P3864" s="5">
        <f>XLOOKUP(R3864, classification!C:C, classification!B:B, "Not Found")</f>
      </c>
      <c r="Q3864" s="1" t="s">
        <v>5514</v>
      </c>
      <c r="R3864" s="2"/>
      <c r="S3864" s="2"/>
      <c r="T3864" s="2"/>
      <c r="U3864" s="2"/>
    </row>
    <row x14ac:dyDescent="0.25" r="3865" customHeight="1" ht="17.25">
      <c r="A3865" s="7">
        <v>3864</v>
      </c>
      <c r="B3865" s="1" t="s">
        <v>9161</v>
      </c>
      <c r="C3865" s="5">
        <f>CONCATENATE("PD", TEXT(A3865, "1000000"))</f>
      </c>
      <c r="D3865" s="7">
        <v>67</v>
      </c>
      <c r="E3865" s="5">
        <f>XLOOKUP(G3865, item_category!C:C, item_category!B:B, "Not Found")</f>
      </c>
      <c r="F3865" s="1" t="s">
        <v>5516</v>
      </c>
      <c r="G3865" s="5">
        <f>XLOOKUP(I3865, drug!B:B, drug!A:A, "Not Found")</f>
      </c>
      <c r="H3865" s="1" t="s">
        <v>1152</v>
      </c>
      <c r="I3865" s="7">
        <v>300</v>
      </c>
      <c r="J3865" s="5">
        <f>XLOOKUP(L3865, uom!C:C, uom!B:B, "Not Found")</f>
      </c>
      <c r="K3865" s="1" t="s">
        <v>5602</v>
      </c>
      <c r="L3865" s="5">
        <f>XLOOKUP(N3865, uom!C:C, uom!B:B, "Not Found")</f>
      </c>
      <c r="M3865" s="1" t="s">
        <v>5602</v>
      </c>
      <c r="N3865" s="8" t="s">
        <v>5524</v>
      </c>
      <c r="O3865" s="1" t="s">
        <v>5525</v>
      </c>
      <c r="P3865" s="5">
        <f>XLOOKUP(R3865, classification!C:C, classification!B:B, "Not Found")</f>
      </c>
      <c r="Q3865" s="1" t="s">
        <v>5514</v>
      </c>
      <c r="R3865" s="2"/>
      <c r="S3865" s="2"/>
      <c r="T3865" s="2"/>
      <c r="U3865" s="2"/>
    </row>
    <row x14ac:dyDescent="0.25" r="3866" customHeight="1" ht="17.25">
      <c r="A3866" s="7">
        <v>3865</v>
      </c>
      <c r="B3866" s="1" t="s">
        <v>9162</v>
      </c>
      <c r="C3866" s="5">
        <f>CONCATENATE("PD", TEXT(A3866, "1000000"))</f>
      </c>
      <c r="D3866" s="7">
        <v>74</v>
      </c>
      <c r="E3866" s="5">
        <f>XLOOKUP(G3866, item_category!C:C, item_category!B:B, "Not Found")</f>
      </c>
      <c r="F3866" s="1" t="s">
        <v>5520</v>
      </c>
      <c r="G3866" s="5">
        <f>XLOOKUP(I3866, drug!B:B, drug!A:A, "Not Found")</f>
      </c>
      <c r="H3866" s="1" t="s">
        <v>1942</v>
      </c>
      <c r="I3866" s="7">
        <v>700</v>
      </c>
      <c r="J3866" s="5">
        <f>XLOOKUP(L3866, uom!C:C, uom!B:B, "Not Found")</f>
      </c>
      <c r="K3866" s="1" t="s">
        <v>5722</v>
      </c>
      <c r="L3866" s="5">
        <f>XLOOKUP(N3866, uom!C:C, uom!B:B, "Not Found")</f>
      </c>
      <c r="M3866" s="1" t="s">
        <v>5722</v>
      </c>
      <c r="N3866" s="8" t="s">
        <v>5524</v>
      </c>
      <c r="O3866" s="1" t="s">
        <v>5525</v>
      </c>
      <c r="P3866" s="5">
        <f>XLOOKUP(R3866, classification!C:C, classification!B:B, "Not Found")</f>
      </c>
      <c r="Q3866" s="1" t="s">
        <v>5514</v>
      </c>
      <c r="R3866" s="2"/>
      <c r="S3866" s="2"/>
      <c r="T3866" s="2"/>
      <c r="U3866" s="2"/>
    </row>
    <row x14ac:dyDescent="0.25" r="3867" customHeight="1" ht="17.25">
      <c r="A3867" s="7">
        <v>3866</v>
      </c>
      <c r="B3867" s="1" t="s">
        <v>9163</v>
      </c>
      <c r="C3867" s="5">
        <f>CONCATENATE("PD", TEXT(A3867, "1000000"))</f>
      </c>
      <c r="D3867" s="7">
        <v>1</v>
      </c>
      <c r="E3867" s="5">
        <f>XLOOKUP(G3867, item_category!C:C, item_category!B:B, "Not Found")</f>
      </c>
      <c r="F3867" s="1" t="s">
        <v>5514</v>
      </c>
      <c r="G3867" s="5">
        <f>XLOOKUP(I3867, drug!B:B, drug!A:A, "Not Found")</f>
      </c>
      <c r="H3867" s="1"/>
      <c r="I3867" s="7">
        <v>200</v>
      </c>
      <c r="J3867" s="5">
        <f>XLOOKUP(L3867, uom!C:C, uom!B:B, "Not Found")</f>
      </c>
      <c r="K3867" s="1" t="s">
        <v>5602</v>
      </c>
      <c r="L3867" s="5">
        <f>XLOOKUP(N3867, uom!C:C, uom!B:B, "Not Found")</f>
      </c>
      <c r="M3867" s="1" t="s">
        <v>5602</v>
      </c>
      <c r="N3867" s="8" t="s">
        <v>5524</v>
      </c>
      <c r="O3867" s="1" t="s">
        <v>5525</v>
      </c>
      <c r="P3867" s="5">
        <f>XLOOKUP(R3867, classification!C:C, classification!B:B, "Not Found")</f>
      </c>
      <c r="Q3867" s="1" t="s">
        <v>5514</v>
      </c>
      <c r="R3867" s="2"/>
      <c r="S3867" s="2"/>
      <c r="T3867" s="2"/>
      <c r="U3867" s="2"/>
    </row>
    <row x14ac:dyDescent="0.25" r="3868" customHeight="1" ht="17.25">
      <c r="A3868" s="7">
        <v>3867</v>
      </c>
      <c r="B3868" s="1" t="s">
        <v>9164</v>
      </c>
      <c r="C3868" s="5">
        <f>CONCATENATE("PD", TEXT(A3868, "1000000"))</f>
      </c>
      <c r="D3868" s="7">
        <v>67</v>
      </c>
      <c r="E3868" s="5">
        <f>XLOOKUP(G3868, item_category!C:C, item_category!B:B, "Not Found")</f>
      </c>
      <c r="F3868" s="1" t="s">
        <v>5516</v>
      </c>
      <c r="G3868" s="5">
        <f>XLOOKUP(I3868, drug!B:B, drug!A:A, "Not Found")</f>
      </c>
      <c r="H3868" s="1"/>
      <c r="I3868" s="7">
        <v>500</v>
      </c>
      <c r="J3868" s="5">
        <f>XLOOKUP(L3868, uom!C:C, uom!B:B, "Not Found")</f>
      </c>
      <c r="K3868" s="1" t="s">
        <v>5602</v>
      </c>
      <c r="L3868" s="5">
        <f>XLOOKUP(N3868, uom!C:C, uom!B:B, "Not Found")</f>
      </c>
      <c r="M3868" s="1" t="s">
        <v>5602</v>
      </c>
      <c r="N3868" s="8" t="s">
        <v>5524</v>
      </c>
      <c r="O3868" s="1" t="s">
        <v>5525</v>
      </c>
      <c r="P3868" s="5">
        <f>XLOOKUP(R3868, classification!C:C, classification!B:B, "Not Found")</f>
      </c>
      <c r="Q3868" s="1" t="s">
        <v>5514</v>
      </c>
      <c r="R3868" s="2"/>
      <c r="S3868" s="2"/>
      <c r="T3868" s="2"/>
      <c r="U3868" s="2"/>
    </row>
    <row x14ac:dyDescent="0.25" r="3869" customHeight="1" ht="17.25">
      <c r="A3869" s="7">
        <v>3868</v>
      </c>
      <c r="B3869" s="1" t="s">
        <v>5931</v>
      </c>
      <c r="C3869" s="5">
        <f>CONCATENATE("PD", TEXT(A3869, "1000000"))</f>
      </c>
      <c r="D3869" s="7">
        <v>60</v>
      </c>
      <c r="E3869" s="5">
        <f>XLOOKUP(G3869, item_category!C:C, item_category!B:B, "Not Found")</f>
      </c>
      <c r="F3869" s="1" t="s">
        <v>5986</v>
      </c>
      <c r="G3869" s="5">
        <f>XLOOKUP(I3869, drug!B:B, drug!A:A, "Not Found")</f>
      </c>
      <c r="H3869" s="1" t="s">
        <v>1844</v>
      </c>
      <c r="I3869" s="7">
        <v>1</v>
      </c>
      <c r="J3869" s="5">
        <f>XLOOKUP(L3869, uom!C:C, uom!B:B, "Not Found")</f>
      </c>
      <c r="K3869" s="1" t="s">
        <v>5625</v>
      </c>
      <c r="L3869" s="5">
        <f>XLOOKUP(N3869, uom!C:C, uom!B:B, "Not Found")</f>
      </c>
      <c r="M3869" s="1" t="s">
        <v>5625</v>
      </c>
      <c r="N3869" s="8" t="s">
        <v>5524</v>
      </c>
      <c r="O3869" s="1" t="s">
        <v>5525</v>
      </c>
      <c r="P3869" s="5">
        <f>XLOOKUP(R3869, classification!C:C, classification!B:B, "Not Found")</f>
      </c>
      <c r="Q3869" s="1" t="s">
        <v>5514</v>
      </c>
      <c r="R3869" s="2"/>
      <c r="S3869" s="2"/>
      <c r="T3869" s="2"/>
      <c r="U3869" s="2"/>
    </row>
    <row x14ac:dyDescent="0.25" r="3870" customHeight="1" ht="17.25">
      <c r="A3870" s="7">
        <v>3869</v>
      </c>
      <c r="B3870" s="1" t="s">
        <v>9165</v>
      </c>
      <c r="C3870" s="5">
        <f>CONCATENATE("PD", TEXT(A3870, "1000000"))</f>
      </c>
      <c r="D3870" s="7">
        <v>1</v>
      </c>
      <c r="E3870" s="5">
        <f>XLOOKUP(G3870, item_category!C:C, item_category!B:B, "Not Found")</f>
      </c>
      <c r="F3870" s="1" t="s">
        <v>5514</v>
      </c>
      <c r="G3870" s="5">
        <f>XLOOKUP(I3870, drug!B:B, drug!A:A, "Not Found")</f>
      </c>
      <c r="H3870" s="1" t="s">
        <v>98</v>
      </c>
      <c r="I3870" s="7">
        <v>1</v>
      </c>
      <c r="J3870" s="5">
        <f>XLOOKUP(L3870, uom!C:C, uom!B:B, "Not Found")</f>
      </c>
      <c r="K3870" s="1" t="s">
        <v>5544</v>
      </c>
      <c r="L3870" s="5">
        <f>XLOOKUP(N3870, uom!C:C, uom!B:B, "Not Found")</f>
      </c>
      <c r="M3870" s="1" t="s">
        <v>5544</v>
      </c>
      <c r="N3870" s="8" t="s">
        <v>5524</v>
      </c>
      <c r="O3870" s="1" t="s">
        <v>5525</v>
      </c>
      <c r="P3870" s="5">
        <f>XLOOKUP(R3870, classification!C:C, classification!B:B, "Not Found")</f>
      </c>
      <c r="Q3870" s="1" t="s">
        <v>5514</v>
      </c>
      <c r="R3870" s="2"/>
      <c r="S3870" s="2"/>
      <c r="T3870" s="2"/>
      <c r="U3870" s="2"/>
    </row>
    <row x14ac:dyDescent="0.25" r="3871" customHeight="1" ht="17.25">
      <c r="A3871" s="7">
        <v>3870</v>
      </c>
      <c r="B3871" s="1" t="s">
        <v>9166</v>
      </c>
      <c r="C3871" s="5">
        <f>CONCATENATE("PD", TEXT(A3871, "1000000"))</f>
      </c>
      <c r="D3871" s="7">
        <v>74</v>
      </c>
      <c r="E3871" s="5">
        <f>XLOOKUP(G3871, item_category!C:C, item_category!B:B, "Not Found")</f>
      </c>
      <c r="F3871" s="1" t="s">
        <v>5520</v>
      </c>
      <c r="G3871" s="5">
        <f>XLOOKUP(I3871, drug!B:B, drug!A:A, "Not Found")</f>
      </c>
      <c r="H3871" s="1"/>
      <c r="I3871" s="7">
        <v>1</v>
      </c>
      <c r="J3871" s="5">
        <f>XLOOKUP(L3871, uom!C:C, uom!B:B, "Not Found")</f>
      </c>
      <c r="K3871" s="1" t="s">
        <v>5544</v>
      </c>
      <c r="L3871" s="5">
        <f>XLOOKUP(N3871, uom!C:C, uom!B:B, "Not Found")</f>
      </c>
      <c r="M3871" s="1" t="s">
        <v>5544</v>
      </c>
      <c r="N3871" s="8" t="s">
        <v>5524</v>
      </c>
      <c r="O3871" s="1" t="s">
        <v>5525</v>
      </c>
      <c r="P3871" s="5">
        <f>XLOOKUP(R3871, classification!C:C, classification!B:B, "Not Found")</f>
      </c>
      <c r="Q3871" s="1" t="s">
        <v>5514</v>
      </c>
      <c r="R3871" s="2"/>
      <c r="S3871" s="2"/>
      <c r="T3871" s="2"/>
      <c r="U3871" s="2"/>
    </row>
    <row x14ac:dyDescent="0.25" r="3872" customHeight="1" ht="17.25">
      <c r="A3872" s="7">
        <v>3871</v>
      </c>
      <c r="B3872" s="1" t="s">
        <v>9167</v>
      </c>
      <c r="C3872" s="5">
        <f>CONCATENATE("PD", TEXT(A3872, "1000000"))</f>
      </c>
      <c r="D3872" s="7">
        <v>75</v>
      </c>
      <c r="E3872" s="5">
        <f>XLOOKUP(G3872, item_category!C:C, item_category!B:B, "Not Found")</f>
      </c>
      <c r="F3872" s="1" t="s">
        <v>5541</v>
      </c>
      <c r="G3872" s="5">
        <f>XLOOKUP(I3872, drug!B:B, drug!A:A, "Not Found")</f>
      </c>
      <c r="H3872" s="1" t="s">
        <v>1942</v>
      </c>
      <c r="I3872" s="7">
        <v>100</v>
      </c>
      <c r="J3872" s="5">
        <f>XLOOKUP(L3872, uom!C:C, uom!B:B, "Not Found")</f>
      </c>
      <c r="K3872" s="1" t="s">
        <v>5544</v>
      </c>
      <c r="L3872" s="5">
        <f>XLOOKUP(N3872, uom!C:C, uom!B:B, "Not Found")</f>
      </c>
      <c r="M3872" s="1" t="s">
        <v>5544</v>
      </c>
      <c r="N3872" s="8" t="s">
        <v>5524</v>
      </c>
      <c r="O3872" s="1" t="s">
        <v>5525</v>
      </c>
      <c r="P3872" s="5">
        <f>XLOOKUP(R3872, classification!C:C, classification!B:B, "Not Found")</f>
      </c>
      <c r="Q3872" s="1" t="s">
        <v>5514</v>
      </c>
      <c r="R3872" s="2"/>
      <c r="S3872" s="2"/>
      <c r="T3872" s="2"/>
      <c r="U3872" s="2"/>
    </row>
    <row x14ac:dyDescent="0.25" r="3873" customHeight="1" ht="17.25">
      <c r="A3873" s="7">
        <v>3872</v>
      </c>
      <c r="B3873" s="1" t="s">
        <v>9168</v>
      </c>
      <c r="C3873" s="5">
        <f>CONCATENATE("PD", TEXT(A3873, "1000000"))</f>
      </c>
      <c r="D3873" s="7">
        <v>74</v>
      </c>
      <c r="E3873" s="5">
        <f>XLOOKUP(G3873, item_category!C:C, item_category!B:B, "Not Found")</f>
      </c>
      <c r="F3873" s="1" t="s">
        <v>5520</v>
      </c>
      <c r="G3873" s="5">
        <f>XLOOKUP(I3873, drug!B:B, drug!A:A, "Not Found")</f>
      </c>
      <c r="H3873" s="1"/>
      <c r="I3873" s="7">
        <v>1</v>
      </c>
      <c r="J3873" s="5">
        <f>XLOOKUP(L3873, uom!C:C, uom!B:B, "Not Found")</f>
      </c>
      <c r="K3873" s="1" t="s">
        <v>5544</v>
      </c>
      <c r="L3873" s="5">
        <f>XLOOKUP(N3873, uom!C:C, uom!B:B, "Not Found")</f>
      </c>
      <c r="M3873" s="1" t="s">
        <v>5544</v>
      </c>
      <c r="N3873" s="8" t="s">
        <v>5524</v>
      </c>
      <c r="O3873" s="1" t="s">
        <v>5525</v>
      </c>
      <c r="P3873" s="5">
        <f>XLOOKUP(R3873, classification!C:C, classification!B:B, "Not Found")</f>
      </c>
      <c r="Q3873" s="1" t="s">
        <v>5514</v>
      </c>
      <c r="R3873" s="2"/>
      <c r="S3873" s="2"/>
      <c r="T3873" s="2"/>
      <c r="U3873" s="2"/>
    </row>
    <row x14ac:dyDescent="0.25" r="3874" customHeight="1" ht="17.25">
      <c r="A3874" s="7">
        <v>3873</v>
      </c>
      <c r="B3874" s="1" t="s">
        <v>9169</v>
      </c>
      <c r="C3874" s="5">
        <f>CONCATENATE("PD", TEXT(A3874, "1000000"))</f>
      </c>
      <c r="D3874" s="7">
        <v>75</v>
      </c>
      <c r="E3874" s="5">
        <f>XLOOKUP(G3874, item_category!C:C, item_category!B:B, "Not Found")</f>
      </c>
      <c r="F3874" s="1" t="s">
        <v>5541</v>
      </c>
      <c r="G3874" s="5">
        <f>XLOOKUP(I3874, drug!B:B, drug!A:A, "Not Found")</f>
      </c>
      <c r="H3874" s="1"/>
      <c r="I3874" s="7">
        <v>0</v>
      </c>
      <c r="J3874" s="5">
        <f>XLOOKUP(L3874, uom!C:C, uom!B:B, "Not Found")</f>
      </c>
      <c r="K3874" s="1" t="s">
        <v>5544</v>
      </c>
      <c r="L3874" s="5">
        <f>XLOOKUP(N3874, uom!C:C, uom!B:B, "Not Found")</f>
      </c>
      <c r="M3874" s="1" t="s">
        <v>5544</v>
      </c>
      <c r="N3874" s="8" t="s">
        <v>5524</v>
      </c>
      <c r="O3874" s="1" t="s">
        <v>5525</v>
      </c>
      <c r="P3874" s="5">
        <f>XLOOKUP(R3874, classification!C:C, classification!B:B, "Not Found")</f>
      </c>
      <c r="Q3874" s="1" t="s">
        <v>5514</v>
      </c>
      <c r="R3874" s="2"/>
      <c r="S3874" s="2"/>
      <c r="T3874" s="2"/>
      <c r="U3874" s="2"/>
    </row>
    <row x14ac:dyDescent="0.25" r="3875" customHeight="1" ht="17.25">
      <c r="A3875" s="7">
        <v>3874</v>
      </c>
      <c r="B3875" s="1" t="s">
        <v>9170</v>
      </c>
      <c r="C3875" s="5">
        <f>CONCATENATE("PD", TEXT(A3875, "1000000"))</f>
      </c>
      <c r="D3875" s="7">
        <v>78</v>
      </c>
      <c r="E3875" s="5">
        <f>XLOOKUP(G3875, item_category!C:C, item_category!B:B, "Not Found")</f>
      </c>
      <c r="F3875" s="1" t="s">
        <v>5522</v>
      </c>
      <c r="G3875" s="5">
        <f>XLOOKUP(I3875, drug!B:B, drug!A:A, "Not Found")</f>
      </c>
      <c r="H3875" s="1" t="s">
        <v>570</v>
      </c>
      <c r="I3875" s="7">
        <v>1</v>
      </c>
      <c r="J3875" s="5">
        <f>XLOOKUP(L3875, uom!C:C, uom!B:B, "Not Found")</f>
      </c>
      <c r="K3875" s="1" t="s">
        <v>5523</v>
      </c>
      <c r="L3875" s="5">
        <f>XLOOKUP(N3875, uom!C:C, uom!B:B, "Not Found")</f>
      </c>
      <c r="M3875" s="1" t="s">
        <v>5523</v>
      </c>
      <c r="N3875" s="8" t="s">
        <v>5524</v>
      </c>
      <c r="O3875" s="1" t="s">
        <v>5525</v>
      </c>
      <c r="P3875" s="5">
        <f>XLOOKUP(R3875, classification!C:C, classification!B:B, "Not Found")</f>
      </c>
      <c r="Q3875" s="1" t="s">
        <v>5514</v>
      </c>
      <c r="R3875" s="2"/>
      <c r="S3875" s="2"/>
      <c r="T3875" s="2"/>
      <c r="U3875" s="2"/>
    </row>
    <row x14ac:dyDescent="0.25" r="3876" customHeight="1" ht="17.25">
      <c r="A3876" s="7">
        <v>3875</v>
      </c>
      <c r="B3876" s="1" t="s">
        <v>9171</v>
      </c>
      <c r="C3876" s="5">
        <f>CONCATENATE("PD", TEXT(A3876, "1000000"))</f>
      </c>
      <c r="D3876" s="7">
        <v>75</v>
      </c>
      <c r="E3876" s="5">
        <f>XLOOKUP(G3876, item_category!C:C, item_category!B:B, "Not Found")</f>
      </c>
      <c r="F3876" s="1" t="s">
        <v>5541</v>
      </c>
      <c r="G3876" s="5">
        <f>XLOOKUP(I3876, drug!B:B, drug!A:A, "Not Found")</f>
      </c>
      <c r="H3876" s="1"/>
      <c r="I3876" s="7">
        <v>150</v>
      </c>
      <c r="J3876" s="5">
        <f>XLOOKUP(L3876, uom!C:C, uom!B:B, "Not Found")</f>
      </c>
      <c r="K3876" s="1" t="s">
        <v>5544</v>
      </c>
      <c r="L3876" s="5">
        <f>XLOOKUP(N3876, uom!C:C, uom!B:B, "Not Found")</f>
      </c>
      <c r="M3876" s="1" t="s">
        <v>5544</v>
      </c>
      <c r="N3876" s="8" t="s">
        <v>5524</v>
      </c>
      <c r="O3876" s="1" t="s">
        <v>5525</v>
      </c>
      <c r="P3876" s="5">
        <f>XLOOKUP(R3876, classification!C:C, classification!B:B, "Not Found")</f>
      </c>
      <c r="Q3876" s="1" t="s">
        <v>5514</v>
      </c>
      <c r="R3876" s="2"/>
      <c r="S3876" s="2"/>
      <c r="T3876" s="2"/>
      <c r="U3876" s="2"/>
    </row>
    <row x14ac:dyDescent="0.25" r="3877" customHeight="1" ht="17.25">
      <c r="A3877" s="7">
        <v>3876</v>
      </c>
      <c r="B3877" s="1" t="s">
        <v>9172</v>
      </c>
      <c r="C3877" s="5">
        <f>CONCATENATE("PD", TEXT(A3877, "1000000"))</f>
      </c>
      <c r="D3877" s="7">
        <v>74</v>
      </c>
      <c r="E3877" s="5">
        <f>XLOOKUP(G3877, item_category!C:C, item_category!B:B, "Not Found")</f>
      </c>
      <c r="F3877" s="1" t="s">
        <v>5520</v>
      </c>
      <c r="G3877" s="5">
        <f>XLOOKUP(I3877, drug!B:B, drug!A:A, "Not Found")</f>
      </c>
      <c r="H3877" s="1"/>
      <c r="I3877" s="7">
        <v>150</v>
      </c>
      <c r="J3877" s="5">
        <f>XLOOKUP(L3877, uom!C:C, uom!B:B, "Not Found")</f>
      </c>
      <c r="K3877" s="1" t="s">
        <v>5544</v>
      </c>
      <c r="L3877" s="5">
        <f>XLOOKUP(N3877, uom!C:C, uom!B:B, "Not Found")</f>
      </c>
      <c r="M3877" s="1" t="s">
        <v>5544</v>
      </c>
      <c r="N3877" s="8" t="s">
        <v>5524</v>
      </c>
      <c r="O3877" s="1" t="s">
        <v>5525</v>
      </c>
      <c r="P3877" s="5">
        <f>XLOOKUP(R3877, classification!C:C, classification!B:B, "Not Found")</f>
      </c>
      <c r="Q3877" s="1" t="s">
        <v>5514</v>
      </c>
      <c r="R3877" s="2"/>
      <c r="S3877" s="2"/>
      <c r="T3877" s="2"/>
      <c r="U3877" s="2"/>
    </row>
    <row x14ac:dyDescent="0.25" r="3878" customHeight="1" ht="17.25">
      <c r="A3878" s="7">
        <v>3877</v>
      </c>
      <c r="B3878" s="1" t="s">
        <v>9173</v>
      </c>
      <c r="C3878" s="5">
        <f>CONCATENATE("PD", TEXT(A3878, "1000000"))</f>
      </c>
      <c r="D3878" s="7">
        <v>76</v>
      </c>
      <c r="E3878" s="5">
        <f>XLOOKUP(G3878, item_category!C:C, item_category!B:B, "Not Found")</f>
      </c>
      <c r="F3878" s="1" t="s">
        <v>5632</v>
      </c>
      <c r="G3878" s="5">
        <f>XLOOKUP(I3878, drug!B:B, drug!A:A, "Not Found")</f>
      </c>
      <c r="H3878" s="1"/>
      <c r="I3878" s="7">
        <v>1</v>
      </c>
      <c r="J3878" s="5">
        <f>XLOOKUP(L3878, uom!C:C, uom!B:B, "Not Found")</f>
      </c>
      <c r="K3878" s="1" t="s">
        <v>5511</v>
      </c>
      <c r="L3878" s="5">
        <f>XLOOKUP(N3878, uom!C:C, uom!B:B, "Not Found")</f>
      </c>
      <c r="M3878" s="1" t="s">
        <v>5511</v>
      </c>
      <c r="N3878" s="8" t="s">
        <v>5512</v>
      </c>
      <c r="O3878" s="1" t="s">
        <v>5525</v>
      </c>
      <c r="P3878" s="5">
        <f>XLOOKUP(R3878, classification!C:C, classification!B:B, "Not Found")</f>
      </c>
      <c r="Q3878" s="1" t="s">
        <v>5514</v>
      </c>
      <c r="R3878" s="2"/>
      <c r="S3878" s="2"/>
      <c r="T3878" s="2"/>
      <c r="U3878" s="2"/>
    </row>
    <row x14ac:dyDescent="0.25" r="3879" customHeight="1" ht="17.25">
      <c r="A3879" s="7">
        <v>3878</v>
      </c>
      <c r="B3879" s="1" t="s">
        <v>9174</v>
      </c>
      <c r="C3879" s="5">
        <f>CONCATENATE("PD", TEXT(A3879, "1000000"))</f>
      </c>
      <c r="D3879" s="7">
        <v>76</v>
      </c>
      <c r="E3879" s="5">
        <f>XLOOKUP(G3879, item_category!C:C, item_category!B:B, "Not Found")</f>
      </c>
      <c r="F3879" s="1" t="s">
        <v>5632</v>
      </c>
      <c r="G3879" s="5">
        <f>XLOOKUP(I3879, drug!B:B, drug!A:A, "Not Found")</f>
      </c>
      <c r="H3879" s="1"/>
      <c r="I3879" s="7">
        <v>1000</v>
      </c>
      <c r="J3879" s="5">
        <f>XLOOKUP(L3879, uom!C:C, uom!B:B, "Not Found")</f>
      </c>
      <c r="K3879" s="1" t="s">
        <v>6689</v>
      </c>
      <c r="L3879" s="5">
        <f>XLOOKUP(N3879, uom!C:C, uom!B:B, "Not Found")</f>
      </c>
      <c r="M3879" s="1" t="s">
        <v>6689</v>
      </c>
      <c r="N3879" s="8" t="s">
        <v>5524</v>
      </c>
      <c r="O3879" s="1" t="s">
        <v>5525</v>
      </c>
      <c r="P3879" s="5">
        <f>XLOOKUP(R3879, classification!C:C, classification!B:B, "Not Found")</f>
      </c>
      <c r="Q3879" s="1" t="s">
        <v>5514</v>
      </c>
      <c r="R3879" s="2"/>
      <c r="S3879" s="2"/>
      <c r="T3879" s="2"/>
      <c r="U3879" s="2"/>
    </row>
    <row x14ac:dyDescent="0.25" r="3880" customHeight="1" ht="17.25">
      <c r="A3880" s="7">
        <v>3879</v>
      </c>
      <c r="B3880" s="1" t="s">
        <v>9175</v>
      </c>
      <c r="C3880" s="5">
        <f>CONCATENATE("PD", TEXT(A3880, "1000000"))</f>
      </c>
      <c r="D3880" s="7">
        <v>1</v>
      </c>
      <c r="E3880" s="5">
        <f>XLOOKUP(G3880, item_category!C:C, item_category!B:B, "Not Found")</f>
      </c>
      <c r="F3880" s="1" t="s">
        <v>5514</v>
      </c>
      <c r="G3880" s="5">
        <f>XLOOKUP(I3880, drug!B:B, drug!A:A, "Not Found")</f>
      </c>
      <c r="H3880" s="1"/>
      <c r="I3880" s="7">
        <v>200</v>
      </c>
      <c r="J3880" s="5">
        <f>XLOOKUP(L3880, uom!C:C, uom!B:B, "Not Found")</f>
      </c>
      <c r="K3880" s="1" t="s">
        <v>5511</v>
      </c>
      <c r="L3880" s="5">
        <f>XLOOKUP(N3880, uom!C:C, uom!B:B, "Not Found")</f>
      </c>
      <c r="M3880" s="1" t="s">
        <v>5511</v>
      </c>
      <c r="N3880" s="8" t="s">
        <v>5524</v>
      </c>
      <c r="O3880" s="1" t="s">
        <v>5525</v>
      </c>
      <c r="P3880" s="5">
        <f>XLOOKUP(R3880, classification!C:C, classification!B:B, "Not Found")</f>
      </c>
      <c r="Q3880" s="1" t="s">
        <v>5514</v>
      </c>
      <c r="R3880" s="2"/>
      <c r="S3880" s="2"/>
      <c r="T3880" s="2"/>
      <c r="U3880" s="2"/>
    </row>
    <row x14ac:dyDescent="0.25" r="3881" customHeight="1" ht="17.25">
      <c r="A3881" s="7">
        <v>3880</v>
      </c>
      <c r="B3881" s="1" t="s">
        <v>9176</v>
      </c>
      <c r="C3881" s="5">
        <f>CONCATENATE("PD", TEXT(A3881, "1000000"))</f>
      </c>
      <c r="D3881" s="7">
        <v>76</v>
      </c>
      <c r="E3881" s="5">
        <f>XLOOKUP(G3881, item_category!C:C, item_category!B:B, "Not Found")</f>
      </c>
      <c r="F3881" s="1" t="s">
        <v>5632</v>
      </c>
      <c r="G3881" s="5">
        <f>XLOOKUP(I3881, drug!B:B, drug!A:A, "Not Found")</f>
      </c>
      <c r="H3881" s="1"/>
      <c r="I3881" s="7">
        <v>250</v>
      </c>
      <c r="J3881" s="5">
        <f>XLOOKUP(L3881, uom!C:C, uom!B:B, "Not Found")</f>
      </c>
      <c r="K3881" s="1" t="s">
        <v>5511</v>
      </c>
      <c r="L3881" s="5">
        <f>XLOOKUP(N3881, uom!C:C, uom!B:B, "Not Found")</f>
      </c>
      <c r="M3881" s="1" t="s">
        <v>5511</v>
      </c>
      <c r="N3881" s="8" t="s">
        <v>5524</v>
      </c>
      <c r="O3881" s="1" t="s">
        <v>5525</v>
      </c>
      <c r="P3881" s="5">
        <f>XLOOKUP(R3881, classification!C:C, classification!B:B, "Not Found")</f>
      </c>
      <c r="Q3881" s="1" t="s">
        <v>5514</v>
      </c>
      <c r="R3881" s="2"/>
      <c r="S3881" s="2"/>
      <c r="T3881" s="2"/>
      <c r="U3881" s="2"/>
    </row>
    <row x14ac:dyDescent="0.25" r="3882" customHeight="1" ht="17.25">
      <c r="A3882" s="7">
        <v>3881</v>
      </c>
      <c r="B3882" s="1" t="s">
        <v>9177</v>
      </c>
      <c r="C3882" s="5">
        <f>CONCATENATE("PD", TEXT(A3882, "1000000"))</f>
      </c>
      <c r="D3882" s="7">
        <v>76</v>
      </c>
      <c r="E3882" s="5">
        <f>XLOOKUP(G3882, item_category!C:C, item_category!B:B, "Not Found")</f>
      </c>
      <c r="F3882" s="1" t="s">
        <v>5632</v>
      </c>
      <c r="G3882" s="5">
        <f>XLOOKUP(I3882, drug!B:B, drug!A:A, "Not Found")</f>
      </c>
      <c r="H3882" s="1"/>
      <c r="I3882" s="7">
        <v>1</v>
      </c>
      <c r="J3882" s="5">
        <f>XLOOKUP(L3882, uom!C:C, uom!B:B, "Not Found")</f>
      </c>
      <c r="K3882" s="1" t="s">
        <v>5511</v>
      </c>
      <c r="L3882" s="5">
        <f>XLOOKUP(N3882, uom!C:C, uom!B:B, "Not Found")</f>
      </c>
      <c r="M3882" s="1" t="s">
        <v>5511</v>
      </c>
      <c r="N3882" s="8" t="s">
        <v>5524</v>
      </c>
      <c r="O3882" s="1" t="s">
        <v>5525</v>
      </c>
      <c r="P3882" s="5">
        <f>XLOOKUP(R3882, classification!C:C, classification!B:B, "Not Found")</f>
      </c>
      <c r="Q3882" s="1" t="s">
        <v>5514</v>
      </c>
      <c r="R3882" s="2"/>
      <c r="S3882" s="2"/>
      <c r="T3882" s="2"/>
      <c r="U3882" s="2"/>
    </row>
    <row x14ac:dyDescent="0.25" r="3883" customHeight="1" ht="17.25">
      <c r="A3883" s="7">
        <v>3882</v>
      </c>
      <c r="B3883" s="1" t="s">
        <v>9178</v>
      </c>
      <c r="C3883" s="5">
        <f>CONCATENATE("PD", TEXT(A3883, "1000000"))</f>
      </c>
      <c r="D3883" s="7">
        <v>76</v>
      </c>
      <c r="E3883" s="5">
        <f>XLOOKUP(G3883, item_category!C:C, item_category!B:B, "Not Found")</f>
      </c>
      <c r="F3883" s="1" t="s">
        <v>5632</v>
      </c>
      <c r="G3883" s="5">
        <f>XLOOKUP(I3883, drug!B:B, drug!A:A, "Not Found")</f>
      </c>
      <c r="H3883" s="1"/>
      <c r="I3883" s="7">
        <v>1</v>
      </c>
      <c r="J3883" s="5">
        <f>XLOOKUP(L3883, uom!C:C, uom!B:B, "Not Found")</f>
      </c>
      <c r="K3883" s="1" t="s">
        <v>5511</v>
      </c>
      <c r="L3883" s="5">
        <f>XLOOKUP(N3883, uom!C:C, uom!B:B, "Not Found")</f>
      </c>
      <c r="M3883" s="1" t="s">
        <v>5511</v>
      </c>
      <c r="N3883" s="8" t="s">
        <v>5524</v>
      </c>
      <c r="O3883" s="1" t="s">
        <v>5525</v>
      </c>
      <c r="P3883" s="5">
        <f>XLOOKUP(R3883, classification!C:C, classification!B:B, "Not Found")</f>
      </c>
      <c r="Q3883" s="1" t="s">
        <v>5514</v>
      </c>
      <c r="R3883" s="2"/>
      <c r="S3883" s="2"/>
      <c r="T3883" s="2"/>
      <c r="U3883" s="2"/>
    </row>
    <row x14ac:dyDescent="0.25" r="3884" customHeight="1" ht="17.25">
      <c r="A3884" s="7">
        <v>3883</v>
      </c>
      <c r="B3884" s="1" t="s">
        <v>9179</v>
      </c>
      <c r="C3884" s="5">
        <f>CONCATENATE("PD", TEXT(A3884, "1000000"))</f>
      </c>
      <c r="D3884" s="7">
        <v>76</v>
      </c>
      <c r="E3884" s="5">
        <f>XLOOKUP(G3884, item_category!C:C, item_category!B:B, "Not Found")</f>
      </c>
      <c r="F3884" s="1" t="s">
        <v>5632</v>
      </c>
      <c r="G3884" s="5">
        <f>XLOOKUP(I3884, drug!B:B, drug!A:A, "Not Found")</f>
      </c>
      <c r="H3884" s="1"/>
      <c r="I3884" s="7">
        <v>250</v>
      </c>
      <c r="J3884" s="5">
        <f>XLOOKUP(L3884, uom!C:C, uom!B:B, "Not Found")</f>
      </c>
      <c r="K3884" s="1" t="s">
        <v>5511</v>
      </c>
      <c r="L3884" s="5">
        <f>XLOOKUP(N3884, uom!C:C, uom!B:B, "Not Found")</f>
      </c>
      <c r="M3884" s="1" t="s">
        <v>5511</v>
      </c>
      <c r="N3884" s="8" t="s">
        <v>5524</v>
      </c>
      <c r="O3884" s="1" t="s">
        <v>5525</v>
      </c>
      <c r="P3884" s="5">
        <f>XLOOKUP(R3884, classification!C:C, classification!B:B, "Not Found")</f>
      </c>
      <c r="Q3884" s="1" t="s">
        <v>5514</v>
      </c>
      <c r="R3884" s="2"/>
      <c r="S3884" s="2"/>
      <c r="T3884" s="2"/>
      <c r="U3884" s="2"/>
    </row>
    <row x14ac:dyDescent="0.25" r="3885" customHeight="1" ht="17.25">
      <c r="A3885" s="7">
        <v>3884</v>
      </c>
      <c r="B3885" s="1" t="s">
        <v>9180</v>
      </c>
      <c r="C3885" s="5">
        <f>CONCATENATE("PD", TEXT(A3885, "1000000"))</f>
      </c>
      <c r="D3885" s="7">
        <v>1</v>
      </c>
      <c r="E3885" s="5">
        <f>XLOOKUP(G3885, item_category!C:C, item_category!B:B, "Not Found")</f>
      </c>
      <c r="F3885" s="1" t="s">
        <v>5514</v>
      </c>
      <c r="G3885" s="5">
        <f>XLOOKUP(I3885, drug!B:B, drug!A:A, "Not Found")</f>
      </c>
      <c r="H3885" s="1"/>
      <c r="I3885" s="7">
        <v>350</v>
      </c>
      <c r="J3885" s="5">
        <f>XLOOKUP(L3885, uom!C:C, uom!B:B, "Not Found")</f>
      </c>
      <c r="K3885" s="1" t="s">
        <v>5523</v>
      </c>
      <c r="L3885" s="5">
        <f>XLOOKUP(N3885, uom!C:C, uom!B:B, "Not Found")</f>
      </c>
      <c r="M3885" s="1" t="s">
        <v>5523</v>
      </c>
      <c r="N3885" s="8" t="s">
        <v>5524</v>
      </c>
      <c r="O3885" s="1" t="s">
        <v>5525</v>
      </c>
      <c r="P3885" s="5">
        <f>XLOOKUP(R3885, classification!C:C, classification!B:B, "Not Found")</f>
      </c>
      <c r="Q3885" s="1" t="s">
        <v>5514</v>
      </c>
      <c r="R3885" s="2"/>
      <c r="S3885" s="2"/>
      <c r="T3885" s="2"/>
      <c r="U3885" s="2"/>
    </row>
    <row x14ac:dyDescent="0.25" r="3886" customHeight="1" ht="17.25">
      <c r="A3886" s="7">
        <v>3885</v>
      </c>
      <c r="B3886" s="1" t="s">
        <v>9181</v>
      </c>
      <c r="C3886" s="5">
        <f>CONCATENATE("PD", TEXT(A3886, "1000000"))</f>
      </c>
      <c r="D3886" s="7">
        <v>76</v>
      </c>
      <c r="E3886" s="5">
        <f>XLOOKUP(G3886, item_category!C:C, item_category!B:B, "Not Found")</f>
      </c>
      <c r="F3886" s="1" t="s">
        <v>5632</v>
      </c>
      <c r="G3886" s="5">
        <f>XLOOKUP(I3886, drug!B:B, drug!A:A, "Not Found")</f>
      </c>
      <c r="H3886" s="1"/>
      <c r="I3886" s="7">
        <v>220</v>
      </c>
      <c r="J3886" s="5">
        <f>XLOOKUP(L3886, uom!C:C, uom!B:B, "Not Found")</f>
      </c>
      <c r="K3886" s="1" t="s">
        <v>5523</v>
      </c>
      <c r="L3886" s="5">
        <f>XLOOKUP(N3886, uom!C:C, uom!B:B, "Not Found")</f>
      </c>
      <c r="M3886" s="1" t="s">
        <v>5523</v>
      </c>
      <c r="N3886" s="8" t="s">
        <v>5524</v>
      </c>
      <c r="O3886" s="1" t="s">
        <v>5525</v>
      </c>
      <c r="P3886" s="5">
        <f>XLOOKUP(R3886, classification!C:C, classification!B:B, "Not Found")</f>
      </c>
      <c r="Q3886" s="1" t="s">
        <v>5514</v>
      </c>
      <c r="R3886" s="2"/>
      <c r="S3886" s="2"/>
      <c r="T3886" s="2"/>
      <c r="U3886" s="2"/>
    </row>
    <row x14ac:dyDescent="0.25" r="3887" customHeight="1" ht="17.25">
      <c r="A3887" s="7">
        <v>3886</v>
      </c>
      <c r="B3887" s="1" t="s">
        <v>9182</v>
      </c>
      <c r="C3887" s="5">
        <f>CONCATENATE("PD", TEXT(A3887, "1000000"))</f>
      </c>
      <c r="D3887" s="7">
        <v>1</v>
      </c>
      <c r="E3887" s="5">
        <f>XLOOKUP(G3887, item_category!C:C, item_category!B:B, "Not Found")</f>
      </c>
      <c r="F3887" s="1" t="s">
        <v>5514</v>
      </c>
      <c r="G3887" s="5">
        <f>XLOOKUP(I3887, drug!B:B, drug!A:A, "Not Found")</f>
      </c>
      <c r="H3887" s="1"/>
      <c r="I3887" s="7">
        <v>150</v>
      </c>
      <c r="J3887" s="5">
        <f>XLOOKUP(L3887, uom!C:C, uom!B:B, "Not Found")</f>
      </c>
      <c r="K3887" s="1" t="s">
        <v>5511</v>
      </c>
      <c r="L3887" s="5">
        <f>XLOOKUP(N3887, uom!C:C, uom!B:B, "Not Found")</f>
      </c>
      <c r="M3887" s="1" t="s">
        <v>5511</v>
      </c>
      <c r="N3887" s="8" t="s">
        <v>5524</v>
      </c>
      <c r="O3887" s="1" t="s">
        <v>5525</v>
      </c>
      <c r="P3887" s="5">
        <f>XLOOKUP(R3887, classification!C:C, classification!B:B, "Not Found")</f>
      </c>
      <c r="Q3887" s="1" t="s">
        <v>5514</v>
      </c>
      <c r="R3887" s="2"/>
      <c r="S3887" s="2"/>
      <c r="T3887" s="2"/>
      <c r="U3887" s="2"/>
    </row>
    <row x14ac:dyDescent="0.25" r="3888" customHeight="1" ht="17.25">
      <c r="A3888" s="7">
        <v>3887</v>
      </c>
      <c r="B3888" s="1" t="s">
        <v>9183</v>
      </c>
      <c r="C3888" s="5">
        <f>CONCATENATE("PD", TEXT(A3888, "1000000"))</f>
      </c>
      <c r="D3888" s="7">
        <v>1</v>
      </c>
      <c r="E3888" s="5">
        <f>XLOOKUP(G3888, item_category!C:C, item_category!B:B, "Not Found")</f>
      </c>
      <c r="F3888" s="1" t="s">
        <v>5514</v>
      </c>
      <c r="G3888" s="5">
        <f>XLOOKUP(I3888, drug!B:B, drug!A:A, "Not Found")</f>
      </c>
      <c r="H3888" s="1"/>
      <c r="I3888" s="7">
        <v>150</v>
      </c>
      <c r="J3888" s="5">
        <f>XLOOKUP(L3888, uom!C:C, uom!B:B, "Not Found")</f>
      </c>
      <c r="K3888" s="1" t="s">
        <v>5511</v>
      </c>
      <c r="L3888" s="5">
        <f>XLOOKUP(N3888, uom!C:C, uom!B:B, "Not Found")</f>
      </c>
      <c r="M3888" s="1" t="s">
        <v>5511</v>
      </c>
      <c r="N3888" s="8" t="s">
        <v>5524</v>
      </c>
      <c r="O3888" s="1" t="s">
        <v>5525</v>
      </c>
      <c r="P3888" s="5">
        <f>XLOOKUP(R3888, classification!C:C, classification!B:B, "Not Found")</f>
      </c>
      <c r="Q3888" s="1" t="s">
        <v>5514</v>
      </c>
      <c r="R3888" s="2"/>
      <c r="S3888" s="2"/>
      <c r="T3888" s="2"/>
      <c r="U3888" s="2"/>
    </row>
    <row x14ac:dyDescent="0.25" r="3889" customHeight="1" ht="17.25">
      <c r="A3889" s="7">
        <v>3888</v>
      </c>
      <c r="B3889" s="1" t="s">
        <v>9184</v>
      </c>
      <c r="C3889" s="5">
        <f>CONCATENATE("PD", TEXT(A3889, "1000000"))</f>
      </c>
      <c r="D3889" s="7">
        <v>1</v>
      </c>
      <c r="E3889" s="5">
        <f>XLOOKUP(G3889, item_category!C:C, item_category!B:B, "Not Found")</f>
      </c>
      <c r="F3889" s="1" t="s">
        <v>5514</v>
      </c>
      <c r="G3889" s="5">
        <f>XLOOKUP(I3889, drug!B:B, drug!A:A, "Not Found")</f>
      </c>
      <c r="H3889" s="1"/>
      <c r="I3889" s="7">
        <v>250</v>
      </c>
      <c r="J3889" s="5">
        <f>XLOOKUP(L3889, uom!C:C, uom!B:B, "Not Found")</f>
      </c>
      <c r="K3889" s="1" t="s">
        <v>5544</v>
      </c>
      <c r="L3889" s="5">
        <f>XLOOKUP(N3889, uom!C:C, uom!B:B, "Not Found")</f>
      </c>
      <c r="M3889" s="1" t="s">
        <v>5544</v>
      </c>
      <c r="N3889" s="8" t="s">
        <v>5524</v>
      </c>
      <c r="O3889" s="1" t="s">
        <v>5525</v>
      </c>
      <c r="P3889" s="5">
        <f>XLOOKUP(R3889, classification!C:C, classification!B:B, "Not Found")</f>
      </c>
      <c r="Q3889" s="1" t="s">
        <v>5514</v>
      </c>
      <c r="R3889" s="2"/>
      <c r="S3889" s="2"/>
      <c r="T3889" s="2"/>
      <c r="U3889" s="2"/>
    </row>
    <row x14ac:dyDescent="0.25" r="3890" customHeight="1" ht="17.25">
      <c r="A3890" s="7">
        <v>3889</v>
      </c>
      <c r="B3890" s="1" t="s">
        <v>9185</v>
      </c>
      <c r="C3890" s="5">
        <f>CONCATENATE("PD", TEXT(A3890, "1000000"))</f>
      </c>
      <c r="D3890" s="7">
        <v>1</v>
      </c>
      <c r="E3890" s="5">
        <f>XLOOKUP(G3890, item_category!C:C, item_category!B:B, "Not Found")</f>
      </c>
      <c r="F3890" s="1" t="s">
        <v>5514</v>
      </c>
      <c r="G3890" s="5">
        <f>XLOOKUP(I3890, drug!B:B, drug!A:A, "Not Found")</f>
      </c>
      <c r="H3890" s="1"/>
      <c r="I3890" s="7">
        <v>50</v>
      </c>
      <c r="J3890" s="5">
        <f>XLOOKUP(L3890, uom!C:C, uom!B:B, "Not Found")</f>
      </c>
      <c r="K3890" s="1" t="s">
        <v>5544</v>
      </c>
      <c r="L3890" s="5">
        <f>XLOOKUP(N3890, uom!C:C, uom!B:B, "Not Found")</f>
      </c>
      <c r="M3890" s="1" t="s">
        <v>5544</v>
      </c>
      <c r="N3890" s="8" t="s">
        <v>5524</v>
      </c>
      <c r="O3890" s="1" t="s">
        <v>5525</v>
      </c>
      <c r="P3890" s="5">
        <f>XLOOKUP(R3890, classification!C:C, classification!B:B, "Not Found")</f>
      </c>
      <c r="Q3890" s="1" t="s">
        <v>5514</v>
      </c>
      <c r="R3890" s="2"/>
      <c r="S3890" s="2"/>
      <c r="T3890" s="2"/>
      <c r="U3890" s="2"/>
    </row>
    <row x14ac:dyDescent="0.25" r="3891" customHeight="1" ht="17.25">
      <c r="A3891" s="7">
        <v>3890</v>
      </c>
      <c r="B3891" s="1" t="s">
        <v>9186</v>
      </c>
      <c r="C3891" s="5">
        <f>CONCATENATE("PD", TEXT(A3891, "1000000"))</f>
      </c>
      <c r="D3891" s="7">
        <v>1</v>
      </c>
      <c r="E3891" s="5">
        <f>XLOOKUP(G3891, item_category!C:C, item_category!B:B, "Not Found")</f>
      </c>
      <c r="F3891" s="1" t="s">
        <v>5514</v>
      </c>
      <c r="G3891" s="5">
        <f>XLOOKUP(I3891, drug!B:B, drug!A:A, "Not Found")</f>
      </c>
      <c r="H3891" s="1"/>
      <c r="I3891" s="7">
        <v>100</v>
      </c>
      <c r="J3891" s="5">
        <f>XLOOKUP(L3891, uom!C:C, uom!B:B, "Not Found")</f>
      </c>
      <c r="K3891" s="1" t="s">
        <v>5511</v>
      </c>
      <c r="L3891" s="5">
        <f>XLOOKUP(N3891, uom!C:C, uom!B:B, "Not Found")</f>
      </c>
      <c r="M3891" s="1" t="s">
        <v>5511</v>
      </c>
      <c r="N3891" s="8" t="s">
        <v>5524</v>
      </c>
      <c r="O3891" s="1" t="s">
        <v>5525</v>
      </c>
      <c r="P3891" s="5">
        <f>XLOOKUP(R3891, classification!C:C, classification!B:B, "Not Found")</f>
      </c>
      <c r="Q3891" s="1" t="s">
        <v>5514</v>
      </c>
      <c r="R3891" s="2"/>
      <c r="S3891" s="2"/>
      <c r="T3891" s="2"/>
      <c r="U3891" s="2"/>
    </row>
    <row x14ac:dyDescent="0.25" r="3892" customHeight="1" ht="17.25">
      <c r="A3892" s="7">
        <v>3891</v>
      </c>
      <c r="B3892" s="1" t="s">
        <v>9187</v>
      </c>
      <c r="C3892" s="5">
        <f>CONCATENATE("PD", TEXT(A3892, "1000000"))</f>
      </c>
      <c r="D3892" s="7">
        <v>1</v>
      </c>
      <c r="E3892" s="5">
        <f>XLOOKUP(G3892, item_category!C:C, item_category!B:B, "Not Found")</f>
      </c>
      <c r="F3892" s="1" t="s">
        <v>5514</v>
      </c>
      <c r="G3892" s="5">
        <f>XLOOKUP(I3892, drug!B:B, drug!A:A, "Not Found")</f>
      </c>
      <c r="H3892" s="1"/>
      <c r="I3892" s="7">
        <v>250</v>
      </c>
      <c r="J3892" s="5">
        <f>XLOOKUP(L3892, uom!C:C, uom!B:B, "Not Found")</f>
      </c>
      <c r="K3892" s="1" t="s">
        <v>5511</v>
      </c>
      <c r="L3892" s="5">
        <f>XLOOKUP(N3892, uom!C:C, uom!B:B, "Not Found")</f>
      </c>
      <c r="M3892" s="1" t="s">
        <v>5511</v>
      </c>
      <c r="N3892" s="8" t="s">
        <v>5524</v>
      </c>
      <c r="O3892" s="1" t="s">
        <v>5525</v>
      </c>
      <c r="P3892" s="5">
        <f>XLOOKUP(R3892, classification!C:C, classification!B:B, "Not Found")</f>
      </c>
      <c r="Q3892" s="1" t="s">
        <v>5514</v>
      </c>
      <c r="R3892" s="2"/>
      <c r="S3892" s="2"/>
      <c r="T3892" s="2"/>
      <c r="U3892" s="2"/>
    </row>
    <row x14ac:dyDescent="0.25" r="3893" customHeight="1" ht="17.25">
      <c r="A3893" s="7">
        <v>3892</v>
      </c>
      <c r="B3893" s="1" t="s">
        <v>9188</v>
      </c>
      <c r="C3893" s="5">
        <f>CONCATENATE("PD", TEXT(A3893, "1000000"))</f>
      </c>
      <c r="D3893" s="7">
        <v>1</v>
      </c>
      <c r="E3893" s="5">
        <f>XLOOKUP(G3893, item_category!C:C, item_category!B:B, "Not Found")</f>
      </c>
      <c r="F3893" s="1" t="s">
        <v>5514</v>
      </c>
      <c r="G3893" s="5">
        <f>XLOOKUP(I3893, drug!B:B, drug!A:A, "Not Found")</f>
      </c>
      <c r="H3893" s="1" t="s">
        <v>181</v>
      </c>
      <c r="I3893" s="7">
        <v>300</v>
      </c>
      <c r="J3893" s="5">
        <f>XLOOKUP(L3893, uom!C:C, uom!B:B, "Not Found")</f>
      </c>
      <c r="K3893" s="1" t="s">
        <v>5544</v>
      </c>
      <c r="L3893" s="5">
        <f>XLOOKUP(N3893, uom!C:C, uom!B:B, "Not Found")</f>
      </c>
      <c r="M3893" s="1" t="s">
        <v>5544</v>
      </c>
      <c r="N3893" s="8" t="s">
        <v>5524</v>
      </c>
      <c r="O3893" s="1" t="s">
        <v>5525</v>
      </c>
      <c r="P3893" s="5">
        <f>XLOOKUP(R3893, classification!C:C, classification!B:B, "Not Found")</f>
      </c>
      <c r="Q3893" s="1" t="s">
        <v>5514</v>
      </c>
      <c r="R3893" s="2"/>
      <c r="S3893" s="2"/>
      <c r="T3893" s="2"/>
      <c r="U3893" s="2"/>
    </row>
    <row x14ac:dyDescent="0.25" r="3894" customHeight="1" ht="17.25">
      <c r="A3894" s="7">
        <v>3893</v>
      </c>
      <c r="B3894" s="1" t="s">
        <v>9189</v>
      </c>
      <c r="C3894" s="5">
        <f>CONCATENATE("PD", TEXT(A3894, "1000000"))</f>
      </c>
      <c r="D3894" s="7">
        <v>1</v>
      </c>
      <c r="E3894" s="5">
        <f>XLOOKUP(G3894, item_category!C:C, item_category!B:B, "Not Found")</f>
      </c>
      <c r="F3894" s="1" t="s">
        <v>5514</v>
      </c>
      <c r="G3894" s="5">
        <f>XLOOKUP(I3894, drug!B:B, drug!A:A, "Not Found")</f>
      </c>
      <c r="H3894" s="1"/>
      <c r="I3894" s="7">
        <v>10</v>
      </c>
      <c r="J3894" s="5">
        <f>XLOOKUP(L3894, uom!C:C, uom!B:B, "Not Found")</f>
      </c>
      <c r="K3894" s="1" t="s">
        <v>5537</v>
      </c>
      <c r="L3894" s="5">
        <f>XLOOKUP(N3894, uom!C:C, uom!B:B, "Not Found")</f>
      </c>
      <c r="M3894" s="1" t="s">
        <v>5537</v>
      </c>
      <c r="N3894" s="8" t="s">
        <v>5524</v>
      </c>
      <c r="O3894" s="1" t="s">
        <v>5525</v>
      </c>
      <c r="P3894" s="5">
        <f>XLOOKUP(R3894, classification!C:C, classification!B:B, "Not Found")</f>
      </c>
      <c r="Q3894" s="1" t="s">
        <v>5514</v>
      </c>
      <c r="R3894" s="2"/>
      <c r="S3894" s="2"/>
      <c r="T3894" s="2"/>
      <c r="U3894" s="2"/>
    </row>
    <row x14ac:dyDescent="0.25" r="3895" customHeight="1" ht="17.25">
      <c r="A3895" s="7">
        <v>3894</v>
      </c>
      <c r="B3895" s="1" t="s">
        <v>9190</v>
      </c>
      <c r="C3895" s="5">
        <f>CONCATENATE("PD", TEXT(A3895, "1000000"))</f>
      </c>
      <c r="D3895" s="7">
        <v>1</v>
      </c>
      <c r="E3895" s="5">
        <f>XLOOKUP(G3895, item_category!C:C, item_category!B:B, "Not Found")</f>
      </c>
      <c r="F3895" s="1" t="s">
        <v>5514</v>
      </c>
      <c r="G3895" s="5">
        <f>XLOOKUP(I3895, drug!B:B, drug!A:A, "Not Found")</f>
      </c>
      <c r="H3895" s="1"/>
      <c r="I3895" s="7">
        <v>100</v>
      </c>
      <c r="J3895" s="5">
        <f>XLOOKUP(L3895, uom!C:C, uom!B:B, "Not Found")</f>
      </c>
      <c r="K3895" s="1" t="s">
        <v>5511</v>
      </c>
      <c r="L3895" s="5">
        <f>XLOOKUP(N3895, uom!C:C, uom!B:B, "Not Found")</f>
      </c>
      <c r="M3895" s="1" t="s">
        <v>5511</v>
      </c>
      <c r="N3895" s="8" t="s">
        <v>5524</v>
      </c>
      <c r="O3895" s="1" t="s">
        <v>5525</v>
      </c>
      <c r="P3895" s="5">
        <f>XLOOKUP(R3895, classification!C:C, classification!B:B, "Not Found")</f>
      </c>
      <c r="Q3895" s="1" t="s">
        <v>5514</v>
      </c>
      <c r="R3895" s="2"/>
      <c r="S3895" s="2"/>
      <c r="T3895" s="2"/>
      <c r="U3895" s="2"/>
    </row>
    <row x14ac:dyDescent="0.25" r="3896" customHeight="1" ht="17.25">
      <c r="A3896" s="7">
        <v>3895</v>
      </c>
      <c r="B3896" s="1" t="s">
        <v>9191</v>
      </c>
      <c r="C3896" s="5">
        <f>CONCATENATE("PD", TEXT(A3896, "1000000"))</f>
      </c>
      <c r="D3896" s="7">
        <v>1</v>
      </c>
      <c r="E3896" s="5">
        <f>XLOOKUP(G3896, item_category!C:C, item_category!B:B, "Not Found")</f>
      </c>
      <c r="F3896" s="1" t="s">
        <v>5514</v>
      </c>
      <c r="G3896" s="5">
        <f>XLOOKUP(I3896, drug!B:B, drug!A:A, "Not Found")</f>
      </c>
      <c r="H3896" s="1"/>
      <c r="I3896" s="7">
        <v>10</v>
      </c>
      <c r="J3896" s="5">
        <f>XLOOKUP(L3896, uom!C:C, uom!B:B, "Not Found")</f>
      </c>
      <c r="K3896" s="1" t="s">
        <v>5511</v>
      </c>
      <c r="L3896" s="5">
        <f>XLOOKUP(N3896, uom!C:C, uom!B:B, "Not Found")</f>
      </c>
      <c r="M3896" s="1" t="s">
        <v>5511</v>
      </c>
      <c r="N3896" s="8" t="s">
        <v>5524</v>
      </c>
      <c r="O3896" s="1" t="s">
        <v>5525</v>
      </c>
      <c r="P3896" s="5">
        <f>XLOOKUP(R3896, classification!C:C, classification!B:B, "Not Found")</f>
      </c>
      <c r="Q3896" s="1" t="s">
        <v>5514</v>
      </c>
      <c r="R3896" s="2"/>
      <c r="S3896" s="2"/>
      <c r="T3896" s="2"/>
      <c r="U3896" s="2"/>
    </row>
    <row x14ac:dyDescent="0.25" r="3897" customHeight="1" ht="17.25">
      <c r="A3897" s="7">
        <v>3896</v>
      </c>
      <c r="B3897" s="1" t="s">
        <v>6434</v>
      </c>
      <c r="C3897" s="5">
        <f>CONCATENATE("PD", TEXT(A3897, "1000000"))</f>
      </c>
      <c r="D3897" s="7">
        <v>59</v>
      </c>
      <c r="E3897" s="5">
        <f>XLOOKUP(G3897, item_category!C:C, item_category!B:B, "Not Found")</f>
      </c>
      <c r="F3897" s="1" t="s">
        <v>5527</v>
      </c>
      <c r="G3897" s="5">
        <f>XLOOKUP(I3897, drug!B:B, drug!A:A, "Not Found")</f>
      </c>
      <c r="H3897" s="1" t="s">
        <v>1152</v>
      </c>
      <c r="I3897" s="7">
        <v>1</v>
      </c>
      <c r="J3897" s="5">
        <f>XLOOKUP(L3897, uom!C:C, uom!B:B, "Not Found")</f>
      </c>
      <c r="K3897" s="1" t="s">
        <v>5542</v>
      </c>
      <c r="L3897" s="5">
        <f>XLOOKUP(N3897, uom!C:C, uom!B:B, "Not Found")</f>
      </c>
      <c r="M3897" s="1" t="s">
        <v>5542</v>
      </c>
      <c r="N3897" s="8" t="s">
        <v>5512</v>
      </c>
      <c r="O3897" s="1" t="s">
        <v>5525</v>
      </c>
      <c r="P3897" s="5">
        <f>XLOOKUP(R3897, classification!C:C, classification!B:B, "Not Found")</f>
      </c>
      <c r="Q3897" s="1" t="s">
        <v>5514</v>
      </c>
      <c r="R3897" s="2"/>
      <c r="S3897" s="2"/>
      <c r="T3897" s="2"/>
      <c r="U3897" s="2"/>
    </row>
    <row x14ac:dyDescent="0.25" r="3898" customHeight="1" ht="17.25">
      <c r="A3898" s="7">
        <v>3897</v>
      </c>
      <c r="B3898" s="1" t="s">
        <v>9192</v>
      </c>
      <c r="C3898" s="5">
        <f>CONCATENATE("PD", TEXT(A3898, "1000000"))</f>
      </c>
      <c r="D3898" s="7">
        <v>1</v>
      </c>
      <c r="E3898" s="5">
        <f>XLOOKUP(G3898, item_category!C:C, item_category!B:B, "Not Found")</f>
      </c>
      <c r="F3898" s="1" t="s">
        <v>5514</v>
      </c>
      <c r="G3898" s="5">
        <f>XLOOKUP(I3898, drug!B:B, drug!A:A, "Not Found")</f>
      </c>
      <c r="H3898" s="1"/>
      <c r="I3898" s="7">
        <v>100</v>
      </c>
      <c r="J3898" s="5">
        <f>XLOOKUP(L3898, uom!C:C, uom!B:B, "Not Found")</f>
      </c>
      <c r="K3898" s="1" t="s">
        <v>5511</v>
      </c>
      <c r="L3898" s="5">
        <f>XLOOKUP(N3898, uom!C:C, uom!B:B, "Not Found")</f>
      </c>
      <c r="M3898" s="1" t="s">
        <v>5511</v>
      </c>
      <c r="N3898" s="8" t="s">
        <v>5524</v>
      </c>
      <c r="O3898" s="1" t="s">
        <v>5525</v>
      </c>
      <c r="P3898" s="5">
        <f>XLOOKUP(R3898, classification!C:C, classification!B:B, "Not Found")</f>
      </c>
      <c r="Q3898" s="1" t="s">
        <v>5514</v>
      </c>
      <c r="R3898" s="2"/>
      <c r="S3898" s="2"/>
      <c r="T3898" s="2"/>
      <c r="U3898" s="2"/>
    </row>
    <row x14ac:dyDescent="0.25" r="3899" customHeight="1" ht="17.25">
      <c r="A3899" s="7">
        <v>3898</v>
      </c>
      <c r="B3899" s="1" t="s">
        <v>9193</v>
      </c>
      <c r="C3899" s="5">
        <f>CONCATENATE("PD", TEXT(A3899, "1000000"))</f>
      </c>
      <c r="D3899" s="7">
        <v>74</v>
      </c>
      <c r="E3899" s="5">
        <f>XLOOKUP(G3899, item_category!C:C, item_category!B:B, "Not Found")</f>
      </c>
      <c r="F3899" s="1" t="s">
        <v>5520</v>
      </c>
      <c r="G3899" s="5">
        <f>XLOOKUP(I3899, drug!B:B, drug!A:A, "Not Found")</f>
      </c>
      <c r="H3899" s="1" t="s">
        <v>411</v>
      </c>
      <c r="I3899" s="7">
        <v>0</v>
      </c>
      <c r="J3899" s="5">
        <f>XLOOKUP(L3899, uom!C:C, uom!B:B, "Not Found")</f>
      </c>
      <c r="K3899" s="1" t="s">
        <v>5511</v>
      </c>
      <c r="L3899" s="5">
        <f>XLOOKUP(N3899, uom!C:C, uom!B:B, "Not Found")</f>
      </c>
      <c r="M3899" s="1" t="s">
        <v>5511</v>
      </c>
      <c r="N3899" s="8" t="s">
        <v>5524</v>
      </c>
      <c r="O3899" s="1" t="s">
        <v>5513</v>
      </c>
      <c r="P3899" s="5">
        <f>XLOOKUP(R3899, classification!C:C, classification!B:B, "Not Found")</f>
      </c>
      <c r="Q3899" s="1" t="s">
        <v>5514</v>
      </c>
      <c r="R3899" s="2"/>
      <c r="S3899" s="2"/>
      <c r="T3899" s="2"/>
      <c r="U3899" s="2"/>
    </row>
    <row x14ac:dyDescent="0.25" r="3900" customHeight="1" ht="17.25">
      <c r="A3900" s="7">
        <v>3899</v>
      </c>
      <c r="B3900" s="1" t="s">
        <v>9194</v>
      </c>
      <c r="C3900" s="5">
        <f>CONCATENATE("PD", TEXT(A3900, "1000000"))</f>
      </c>
      <c r="D3900" s="7">
        <v>74</v>
      </c>
      <c r="E3900" s="5">
        <f>XLOOKUP(G3900, item_category!C:C, item_category!B:B, "Not Found")</f>
      </c>
      <c r="F3900" s="1" t="s">
        <v>5520</v>
      </c>
      <c r="G3900" s="5">
        <f>XLOOKUP(I3900, drug!B:B, drug!A:A, "Not Found")</f>
      </c>
      <c r="H3900" s="1"/>
      <c r="I3900" s="7">
        <v>100</v>
      </c>
      <c r="J3900" s="5">
        <f>XLOOKUP(L3900, uom!C:C, uom!B:B, "Not Found")</f>
      </c>
      <c r="K3900" s="1" t="s">
        <v>5722</v>
      </c>
      <c r="L3900" s="5">
        <f>XLOOKUP(N3900, uom!C:C, uom!B:B, "Not Found")</f>
      </c>
      <c r="M3900" s="1" t="s">
        <v>5722</v>
      </c>
      <c r="N3900" s="8" t="s">
        <v>5524</v>
      </c>
      <c r="O3900" s="1" t="s">
        <v>5525</v>
      </c>
      <c r="P3900" s="5">
        <f>XLOOKUP(R3900, classification!C:C, classification!B:B, "Not Found")</f>
      </c>
      <c r="Q3900" s="1" t="s">
        <v>5514</v>
      </c>
      <c r="R3900" s="2"/>
      <c r="S3900" s="2"/>
      <c r="T3900" s="2"/>
      <c r="U3900" s="2"/>
    </row>
    <row x14ac:dyDescent="0.25" r="3901" customHeight="1" ht="17.25">
      <c r="A3901" s="7">
        <v>3900</v>
      </c>
      <c r="B3901" s="1" t="s">
        <v>9195</v>
      </c>
      <c r="C3901" s="5">
        <f>CONCATENATE("PD", TEXT(A3901, "1000000"))</f>
      </c>
      <c r="D3901" s="7">
        <v>1</v>
      </c>
      <c r="E3901" s="5">
        <f>XLOOKUP(G3901, item_category!C:C, item_category!B:B, "Not Found")</f>
      </c>
      <c r="F3901" s="1" t="s">
        <v>5514</v>
      </c>
      <c r="G3901" s="5">
        <f>XLOOKUP(I3901, drug!B:B, drug!A:A, "Not Found")</f>
      </c>
      <c r="H3901" s="1" t="s">
        <v>1532</v>
      </c>
      <c r="I3901" s="7">
        <v>1</v>
      </c>
      <c r="J3901" s="5">
        <f>XLOOKUP(L3901, uom!C:C, uom!B:B, "Not Found")</f>
      </c>
      <c r="K3901" s="1" t="s">
        <v>5602</v>
      </c>
      <c r="L3901" s="5">
        <f>XLOOKUP(N3901, uom!C:C, uom!B:B, "Not Found")</f>
      </c>
      <c r="M3901" s="1" t="s">
        <v>5602</v>
      </c>
      <c r="N3901" s="8" t="s">
        <v>5524</v>
      </c>
      <c r="O3901" s="1" t="s">
        <v>5525</v>
      </c>
      <c r="P3901" s="5">
        <f>XLOOKUP(R3901, classification!C:C, classification!B:B, "Not Found")</f>
      </c>
      <c r="Q3901" s="1" t="s">
        <v>5514</v>
      </c>
      <c r="R3901" s="2"/>
      <c r="S3901" s="2"/>
      <c r="T3901" s="2"/>
      <c r="U3901" s="2"/>
    </row>
    <row x14ac:dyDescent="0.25" r="3902" customHeight="1" ht="17.25">
      <c r="A3902" s="7">
        <v>3901</v>
      </c>
      <c r="B3902" s="1" t="s">
        <v>9196</v>
      </c>
      <c r="C3902" s="5">
        <f>CONCATENATE("PD", TEXT(A3902, "1000000"))</f>
      </c>
      <c r="D3902" s="7">
        <v>1</v>
      </c>
      <c r="E3902" s="5">
        <f>XLOOKUP(G3902, item_category!C:C, item_category!B:B, "Not Found")</f>
      </c>
      <c r="F3902" s="1" t="s">
        <v>5514</v>
      </c>
      <c r="G3902" s="5">
        <f>XLOOKUP(I3902, drug!B:B, drug!A:A, "Not Found")</f>
      </c>
      <c r="H3902" s="1"/>
      <c r="I3902" s="7">
        <v>35</v>
      </c>
      <c r="J3902" s="5">
        <f>XLOOKUP(L3902, uom!C:C, uom!B:B, "Not Found")</f>
      </c>
      <c r="K3902" s="1" t="s">
        <v>5722</v>
      </c>
      <c r="L3902" s="5">
        <f>XLOOKUP(N3902, uom!C:C, uom!B:B, "Not Found")</f>
      </c>
      <c r="M3902" s="1" t="s">
        <v>5722</v>
      </c>
      <c r="N3902" s="8" t="s">
        <v>5524</v>
      </c>
      <c r="O3902" s="1" t="s">
        <v>5525</v>
      </c>
      <c r="P3902" s="5">
        <f>XLOOKUP(R3902, classification!C:C, classification!B:B, "Not Found")</f>
      </c>
      <c r="Q3902" s="1" t="s">
        <v>5514</v>
      </c>
      <c r="R3902" s="2"/>
      <c r="S3902" s="2"/>
      <c r="T3902" s="2"/>
      <c r="U3902" s="2"/>
    </row>
    <row x14ac:dyDescent="0.25" r="3903" customHeight="1" ht="17.25">
      <c r="A3903" s="7">
        <v>3902</v>
      </c>
      <c r="B3903" s="1" t="s">
        <v>9197</v>
      </c>
      <c r="C3903" s="5">
        <f>CONCATENATE("PD", TEXT(A3903, "1000000"))</f>
      </c>
      <c r="D3903" s="7">
        <v>1</v>
      </c>
      <c r="E3903" s="5">
        <f>XLOOKUP(G3903, item_category!C:C, item_category!B:B, "Not Found")</f>
      </c>
      <c r="F3903" s="1" t="s">
        <v>5514</v>
      </c>
      <c r="G3903" s="5">
        <f>XLOOKUP(I3903, drug!B:B, drug!A:A, "Not Found")</f>
      </c>
      <c r="H3903" s="1"/>
      <c r="I3903" s="7">
        <v>20</v>
      </c>
      <c r="J3903" s="5">
        <f>XLOOKUP(L3903, uom!C:C, uom!B:B, "Not Found")</f>
      </c>
      <c r="K3903" s="1" t="s">
        <v>5511</v>
      </c>
      <c r="L3903" s="5">
        <f>XLOOKUP(N3903, uom!C:C, uom!B:B, "Not Found")</f>
      </c>
      <c r="M3903" s="1" t="s">
        <v>5511</v>
      </c>
      <c r="N3903" s="8" t="s">
        <v>5524</v>
      </c>
      <c r="O3903" s="1" t="s">
        <v>5525</v>
      </c>
      <c r="P3903" s="5">
        <f>XLOOKUP(R3903, classification!C:C, classification!B:B, "Not Found")</f>
      </c>
      <c r="Q3903" s="1" t="s">
        <v>5514</v>
      </c>
      <c r="R3903" s="2"/>
      <c r="S3903" s="2"/>
      <c r="T3903" s="2"/>
      <c r="U3903" s="2"/>
    </row>
    <row x14ac:dyDescent="0.25" r="3904" customHeight="1" ht="17.25">
      <c r="A3904" s="7">
        <v>3903</v>
      </c>
      <c r="B3904" s="1" t="s">
        <v>9198</v>
      </c>
      <c r="C3904" s="5">
        <f>CONCATENATE("PD", TEXT(A3904, "1000000"))</f>
      </c>
      <c r="D3904" s="7">
        <v>1</v>
      </c>
      <c r="E3904" s="5">
        <f>XLOOKUP(G3904, item_category!C:C, item_category!B:B, "Not Found")</f>
      </c>
      <c r="F3904" s="1" t="s">
        <v>5514</v>
      </c>
      <c r="G3904" s="5">
        <f>XLOOKUP(I3904, drug!B:B, drug!A:A, "Not Found")</f>
      </c>
      <c r="H3904" s="1"/>
      <c r="I3904" s="7">
        <v>20</v>
      </c>
      <c r="J3904" s="5">
        <f>XLOOKUP(L3904, uom!C:C, uom!B:B, "Not Found")</f>
      </c>
      <c r="K3904" s="1" t="s">
        <v>5511</v>
      </c>
      <c r="L3904" s="5">
        <f>XLOOKUP(N3904, uom!C:C, uom!B:B, "Not Found")</f>
      </c>
      <c r="M3904" s="1" t="s">
        <v>5511</v>
      </c>
      <c r="N3904" s="8" t="s">
        <v>5524</v>
      </c>
      <c r="O3904" s="1" t="s">
        <v>5525</v>
      </c>
      <c r="P3904" s="5">
        <f>XLOOKUP(R3904, classification!C:C, classification!B:B, "Not Found")</f>
      </c>
      <c r="Q3904" s="1" t="s">
        <v>5514</v>
      </c>
      <c r="R3904" s="2"/>
      <c r="S3904" s="2"/>
      <c r="T3904" s="2"/>
      <c r="U3904" s="2"/>
    </row>
    <row x14ac:dyDescent="0.25" r="3905" customHeight="1" ht="17.25">
      <c r="A3905" s="7">
        <v>3904</v>
      </c>
      <c r="B3905" s="1" t="s">
        <v>9199</v>
      </c>
      <c r="C3905" s="5">
        <f>CONCATENATE("PD", TEXT(A3905, "1000000"))</f>
      </c>
      <c r="D3905" s="7">
        <v>76</v>
      </c>
      <c r="E3905" s="5">
        <f>XLOOKUP(G3905, item_category!C:C, item_category!B:B, "Not Found")</f>
      </c>
      <c r="F3905" s="1" t="s">
        <v>5632</v>
      </c>
      <c r="G3905" s="5">
        <f>XLOOKUP(I3905, drug!B:B, drug!A:A, "Not Found")</f>
      </c>
      <c r="H3905" s="1"/>
      <c r="I3905" s="7">
        <v>1</v>
      </c>
      <c r="J3905" s="5">
        <f>XLOOKUP(L3905, uom!C:C, uom!B:B, "Not Found")</f>
      </c>
      <c r="K3905" s="1" t="s">
        <v>9200</v>
      </c>
      <c r="L3905" s="5">
        <f>XLOOKUP(N3905, uom!C:C, uom!B:B, "Not Found")</f>
      </c>
      <c r="M3905" s="1" t="s">
        <v>9200</v>
      </c>
      <c r="N3905" s="8" t="s">
        <v>5524</v>
      </c>
      <c r="O3905" s="1" t="s">
        <v>5525</v>
      </c>
      <c r="P3905" s="5">
        <f>XLOOKUP(R3905, classification!C:C, classification!B:B, "Not Found")</f>
      </c>
      <c r="Q3905" s="1" t="s">
        <v>5514</v>
      </c>
      <c r="R3905" s="2"/>
      <c r="S3905" s="2"/>
      <c r="T3905" s="2"/>
      <c r="U3905" s="2"/>
    </row>
    <row x14ac:dyDescent="0.25" r="3906" customHeight="1" ht="17.25">
      <c r="A3906" s="7">
        <v>3905</v>
      </c>
      <c r="B3906" s="1" t="s">
        <v>9201</v>
      </c>
      <c r="C3906" s="5">
        <f>CONCATENATE("PD", TEXT(A3906, "1000000"))</f>
      </c>
      <c r="D3906" s="7">
        <v>74</v>
      </c>
      <c r="E3906" s="5">
        <f>XLOOKUP(G3906, item_category!C:C, item_category!B:B, "Not Found")</f>
      </c>
      <c r="F3906" s="1" t="s">
        <v>5520</v>
      </c>
      <c r="G3906" s="5">
        <f>XLOOKUP(I3906, drug!B:B, drug!A:A, "Not Found")</f>
      </c>
      <c r="H3906" s="1"/>
      <c r="I3906" s="7">
        <v>600</v>
      </c>
      <c r="J3906" s="5">
        <f>XLOOKUP(L3906, uom!C:C, uom!B:B, "Not Found")</f>
      </c>
      <c r="K3906" s="1" t="s">
        <v>5604</v>
      </c>
      <c r="L3906" s="5">
        <f>XLOOKUP(N3906, uom!C:C, uom!B:B, "Not Found")</f>
      </c>
      <c r="M3906" s="1" t="s">
        <v>5604</v>
      </c>
      <c r="N3906" s="8" t="s">
        <v>5524</v>
      </c>
      <c r="O3906" s="1" t="s">
        <v>5525</v>
      </c>
      <c r="P3906" s="5">
        <f>XLOOKUP(R3906, classification!C:C, classification!B:B, "Not Found")</f>
      </c>
      <c r="Q3906" s="1" t="s">
        <v>5514</v>
      </c>
      <c r="R3906" s="2"/>
      <c r="S3906" s="2"/>
      <c r="T3906" s="2"/>
      <c r="U3906" s="2"/>
    </row>
    <row x14ac:dyDescent="0.25" r="3907" customHeight="1" ht="17.25">
      <c r="A3907" s="7">
        <v>3906</v>
      </c>
      <c r="B3907" s="1" t="s">
        <v>9202</v>
      </c>
      <c r="C3907" s="5">
        <f>CONCATENATE("PD", TEXT(A3907, "1000000"))</f>
      </c>
      <c r="D3907" s="7">
        <v>1</v>
      </c>
      <c r="E3907" s="5">
        <f>XLOOKUP(G3907, item_category!C:C, item_category!B:B, "Not Found")</f>
      </c>
      <c r="F3907" s="1" t="s">
        <v>5514</v>
      </c>
      <c r="G3907" s="5">
        <f>XLOOKUP(I3907, drug!B:B, drug!A:A, "Not Found")</f>
      </c>
      <c r="H3907" s="1"/>
      <c r="I3907" s="7">
        <v>1</v>
      </c>
      <c r="J3907" s="5">
        <f>XLOOKUP(L3907, uom!C:C, uom!B:B, "Not Found")</f>
      </c>
      <c r="K3907" s="1" t="s">
        <v>5511</v>
      </c>
      <c r="L3907" s="5">
        <f>XLOOKUP(N3907, uom!C:C, uom!B:B, "Not Found")</f>
      </c>
      <c r="M3907" s="1" t="s">
        <v>5511</v>
      </c>
      <c r="N3907" s="8" t="s">
        <v>5524</v>
      </c>
      <c r="O3907" s="1" t="s">
        <v>5513</v>
      </c>
      <c r="P3907" s="5">
        <f>XLOOKUP(R3907, classification!C:C, classification!B:B, "Not Found")</f>
      </c>
      <c r="Q3907" s="1" t="s">
        <v>5514</v>
      </c>
      <c r="R3907" s="2"/>
      <c r="S3907" s="2"/>
      <c r="T3907" s="2"/>
      <c r="U3907" s="2"/>
    </row>
    <row x14ac:dyDescent="0.25" r="3908" customHeight="1" ht="17.25">
      <c r="A3908" s="7">
        <v>3907</v>
      </c>
      <c r="B3908" s="1" t="s">
        <v>9203</v>
      </c>
      <c r="C3908" s="5">
        <f>CONCATENATE("PD", TEXT(A3908, "1000000"))</f>
      </c>
      <c r="D3908" s="7">
        <v>1</v>
      </c>
      <c r="E3908" s="5">
        <f>XLOOKUP(G3908, item_category!C:C, item_category!B:B, "Not Found")</f>
      </c>
      <c r="F3908" s="1" t="s">
        <v>5514</v>
      </c>
      <c r="G3908" s="5">
        <f>XLOOKUP(I3908, drug!B:B, drug!A:A, "Not Found")</f>
      </c>
      <c r="H3908" s="1"/>
      <c r="I3908" s="7">
        <v>20</v>
      </c>
      <c r="J3908" s="5">
        <f>XLOOKUP(L3908, uom!C:C, uom!B:B, "Not Found")</f>
      </c>
      <c r="K3908" s="1" t="s">
        <v>7840</v>
      </c>
      <c r="L3908" s="5">
        <f>XLOOKUP(N3908, uom!C:C, uom!B:B, "Not Found")</f>
      </c>
      <c r="M3908" s="1" t="s">
        <v>7840</v>
      </c>
      <c r="N3908" s="8" t="s">
        <v>5524</v>
      </c>
      <c r="O3908" s="1" t="s">
        <v>5525</v>
      </c>
      <c r="P3908" s="5">
        <f>XLOOKUP(R3908, classification!C:C, classification!B:B, "Not Found")</f>
      </c>
      <c r="Q3908" s="1" t="s">
        <v>5514</v>
      </c>
      <c r="R3908" s="2"/>
      <c r="S3908" s="2"/>
      <c r="T3908" s="2"/>
      <c r="U3908" s="2"/>
    </row>
    <row x14ac:dyDescent="0.25" r="3909" customHeight="1" ht="17.25">
      <c r="A3909" s="7">
        <v>3908</v>
      </c>
      <c r="B3909" s="1" t="s">
        <v>9204</v>
      </c>
      <c r="C3909" s="5">
        <f>CONCATENATE("PD", TEXT(A3909, "1000000"))</f>
      </c>
      <c r="D3909" s="7">
        <v>66</v>
      </c>
      <c r="E3909" s="5">
        <f>XLOOKUP(G3909, item_category!C:C, item_category!B:B, "Not Found")</f>
      </c>
      <c r="F3909" s="1" t="s">
        <v>5617</v>
      </c>
      <c r="G3909" s="5">
        <f>XLOOKUP(I3909, drug!B:B, drug!A:A, "Not Found")</f>
      </c>
      <c r="H3909" s="1"/>
      <c r="I3909" s="7">
        <v>250</v>
      </c>
      <c r="J3909" s="5">
        <f>XLOOKUP(L3909, uom!C:C, uom!B:B, "Not Found")</f>
      </c>
      <c r="K3909" s="1" t="s">
        <v>5618</v>
      </c>
      <c r="L3909" s="5">
        <f>XLOOKUP(N3909, uom!C:C, uom!B:B, "Not Found")</f>
      </c>
      <c r="M3909" s="1" t="s">
        <v>5618</v>
      </c>
      <c r="N3909" s="8" t="s">
        <v>5524</v>
      </c>
      <c r="O3909" s="1" t="s">
        <v>5525</v>
      </c>
      <c r="P3909" s="5">
        <f>XLOOKUP(R3909, classification!C:C, classification!B:B, "Not Found")</f>
      </c>
      <c r="Q3909" s="1" t="s">
        <v>5514</v>
      </c>
      <c r="R3909" s="2"/>
      <c r="S3909" s="2"/>
      <c r="T3909" s="2"/>
      <c r="U3909" s="2"/>
    </row>
    <row x14ac:dyDescent="0.25" r="3910" customHeight="1" ht="17.25">
      <c r="A3910" s="7">
        <v>3909</v>
      </c>
      <c r="B3910" s="1" t="s">
        <v>9205</v>
      </c>
      <c r="C3910" s="5">
        <f>CONCATENATE("PD", TEXT(A3910, "1000000"))</f>
      </c>
      <c r="D3910" s="7">
        <v>1</v>
      </c>
      <c r="E3910" s="5">
        <f>XLOOKUP(G3910, item_category!C:C, item_category!B:B, "Not Found")</f>
      </c>
      <c r="F3910" s="1" t="s">
        <v>5514</v>
      </c>
      <c r="G3910" s="5">
        <f>XLOOKUP(I3910, drug!B:B, drug!A:A, "Not Found")</f>
      </c>
      <c r="H3910" s="1"/>
      <c r="I3910" s="7">
        <v>250</v>
      </c>
      <c r="J3910" s="5">
        <f>XLOOKUP(L3910, uom!C:C, uom!B:B, "Not Found")</f>
      </c>
      <c r="K3910" s="1" t="s">
        <v>5625</v>
      </c>
      <c r="L3910" s="5">
        <f>XLOOKUP(N3910, uom!C:C, uom!B:B, "Not Found")</f>
      </c>
      <c r="M3910" s="1" t="s">
        <v>5625</v>
      </c>
      <c r="N3910" s="8" t="s">
        <v>5524</v>
      </c>
      <c r="O3910" s="1" t="s">
        <v>5525</v>
      </c>
      <c r="P3910" s="5">
        <f>XLOOKUP(R3910, classification!C:C, classification!B:B, "Not Found")</f>
      </c>
      <c r="Q3910" s="1" t="s">
        <v>5514</v>
      </c>
      <c r="R3910" s="2"/>
      <c r="S3910" s="2"/>
      <c r="T3910" s="2"/>
      <c r="U3910" s="2"/>
    </row>
    <row x14ac:dyDescent="0.25" r="3911" customHeight="1" ht="17.25">
      <c r="A3911" s="7">
        <v>3910</v>
      </c>
      <c r="B3911" s="1" t="s">
        <v>9206</v>
      </c>
      <c r="C3911" s="5">
        <f>CONCATENATE("PD", TEXT(A3911, "1000000"))</f>
      </c>
      <c r="D3911" s="7">
        <v>1</v>
      </c>
      <c r="E3911" s="5">
        <f>XLOOKUP(G3911, item_category!C:C, item_category!B:B, "Not Found")</f>
      </c>
      <c r="F3911" s="1" t="s">
        <v>5514</v>
      </c>
      <c r="G3911" s="5">
        <f>XLOOKUP(I3911, drug!B:B, drug!A:A, "Not Found")</f>
      </c>
      <c r="H3911" s="1" t="s">
        <v>516</v>
      </c>
      <c r="I3911" s="7">
        <v>1</v>
      </c>
      <c r="J3911" s="5">
        <f>XLOOKUP(L3911, uom!C:C, uom!B:B, "Not Found")</f>
      </c>
      <c r="K3911" s="1" t="s">
        <v>5625</v>
      </c>
      <c r="L3911" s="5">
        <f>XLOOKUP(N3911, uom!C:C, uom!B:B, "Not Found")</f>
      </c>
      <c r="M3911" s="1" t="s">
        <v>5625</v>
      </c>
      <c r="N3911" s="8" t="s">
        <v>5524</v>
      </c>
      <c r="O3911" s="1" t="s">
        <v>5525</v>
      </c>
      <c r="P3911" s="5">
        <f>XLOOKUP(R3911, classification!C:C, classification!B:B, "Not Found")</f>
      </c>
      <c r="Q3911" s="1" t="s">
        <v>5514</v>
      </c>
      <c r="R3911" s="2"/>
      <c r="S3911" s="2"/>
      <c r="T3911" s="2"/>
      <c r="U3911" s="2"/>
    </row>
    <row x14ac:dyDescent="0.25" r="3912" customHeight="1" ht="17.25">
      <c r="A3912" s="7">
        <v>3911</v>
      </c>
      <c r="B3912" s="1" t="s">
        <v>9207</v>
      </c>
      <c r="C3912" s="5">
        <f>CONCATENATE("PD", TEXT(A3912, "1000000"))</f>
      </c>
      <c r="D3912" s="7">
        <v>1</v>
      </c>
      <c r="E3912" s="5">
        <f>XLOOKUP(G3912, item_category!C:C, item_category!B:B, "Not Found")</f>
      </c>
      <c r="F3912" s="1" t="s">
        <v>5514</v>
      </c>
      <c r="G3912" s="5">
        <f>XLOOKUP(I3912, drug!B:B, drug!A:A, "Not Found")</f>
      </c>
      <c r="H3912" s="1" t="s">
        <v>857</v>
      </c>
      <c r="I3912" s="7">
        <v>150</v>
      </c>
      <c r="J3912" s="5">
        <f>XLOOKUP(L3912, uom!C:C, uom!B:B, "Not Found")</f>
      </c>
      <c r="K3912" s="1" t="s">
        <v>5602</v>
      </c>
      <c r="L3912" s="5">
        <f>XLOOKUP(N3912, uom!C:C, uom!B:B, "Not Found")</f>
      </c>
      <c r="M3912" s="1" t="s">
        <v>5602</v>
      </c>
      <c r="N3912" s="8" t="s">
        <v>5524</v>
      </c>
      <c r="O3912" s="1" t="s">
        <v>5525</v>
      </c>
      <c r="P3912" s="5">
        <f>XLOOKUP(R3912, classification!C:C, classification!B:B, "Not Found")</f>
      </c>
      <c r="Q3912" s="1" t="s">
        <v>5514</v>
      </c>
      <c r="R3912" s="2"/>
      <c r="S3912" s="2"/>
      <c r="T3912" s="2"/>
      <c r="U3912" s="2"/>
    </row>
    <row x14ac:dyDescent="0.25" r="3913" customHeight="1" ht="17.25">
      <c r="A3913" s="7">
        <v>3912</v>
      </c>
      <c r="B3913" s="1" t="s">
        <v>9208</v>
      </c>
      <c r="C3913" s="5">
        <f>CONCATENATE("PD", TEXT(A3913, "1000000"))</f>
      </c>
      <c r="D3913" s="7">
        <v>1</v>
      </c>
      <c r="E3913" s="5">
        <f>XLOOKUP(G3913, item_category!C:C, item_category!B:B, "Not Found")</f>
      </c>
      <c r="F3913" s="1" t="s">
        <v>5514</v>
      </c>
      <c r="G3913" s="5">
        <f>XLOOKUP(I3913, drug!B:B, drug!A:A, "Not Found")</f>
      </c>
      <c r="H3913" s="1"/>
      <c r="I3913" s="7">
        <v>50</v>
      </c>
      <c r="J3913" s="5">
        <f>XLOOKUP(L3913, uom!C:C, uom!B:B, "Not Found")</f>
      </c>
      <c r="K3913" s="1" t="s">
        <v>5511</v>
      </c>
      <c r="L3913" s="5">
        <f>XLOOKUP(N3913, uom!C:C, uom!B:B, "Not Found")</f>
      </c>
      <c r="M3913" s="1" t="s">
        <v>5511</v>
      </c>
      <c r="N3913" s="8" t="s">
        <v>5524</v>
      </c>
      <c r="O3913" s="1" t="s">
        <v>5525</v>
      </c>
      <c r="P3913" s="5">
        <f>XLOOKUP(R3913, classification!C:C, classification!B:B, "Not Found")</f>
      </c>
      <c r="Q3913" s="1" t="s">
        <v>5514</v>
      </c>
      <c r="R3913" s="2"/>
      <c r="S3913" s="2"/>
      <c r="T3913" s="2"/>
      <c r="U3913" s="2"/>
    </row>
    <row x14ac:dyDescent="0.25" r="3914" customHeight="1" ht="17.25">
      <c r="A3914" s="7">
        <v>3913</v>
      </c>
      <c r="B3914" s="1" t="s">
        <v>9209</v>
      </c>
      <c r="C3914" s="5">
        <f>CONCATENATE("PD", TEXT(A3914, "1000000"))</f>
      </c>
      <c r="D3914" s="7">
        <v>1</v>
      </c>
      <c r="E3914" s="5">
        <f>XLOOKUP(G3914, item_category!C:C, item_category!B:B, "Not Found")</f>
      </c>
      <c r="F3914" s="1" t="s">
        <v>5514</v>
      </c>
      <c r="G3914" s="5">
        <f>XLOOKUP(I3914, drug!B:B, drug!A:A, "Not Found")</f>
      </c>
      <c r="H3914" s="1"/>
      <c r="I3914" s="7">
        <v>20</v>
      </c>
      <c r="J3914" s="5">
        <f>XLOOKUP(L3914, uom!C:C, uom!B:B, "Not Found")</f>
      </c>
      <c r="K3914" s="1" t="s">
        <v>5511</v>
      </c>
      <c r="L3914" s="5">
        <f>XLOOKUP(N3914, uom!C:C, uom!B:B, "Not Found")</f>
      </c>
      <c r="M3914" s="1" t="s">
        <v>5511</v>
      </c>
      <c r="N3914" s="8" t="s">
        <v>5524</v>
      </c>
      <c r="O3914" s="1" t="s">
        <v>5525</v>
      </c>
      <c r="P3914" s="5">
        <f>XLOOKUP(R3914, classification!C:C, classification!B:B, "Not Found")</f>
      </c>
      <c r="Q3914" s="1" t="s">
        <v>5514</v>
      </c>
      <c r="R3914" s="2"/>
      <c r="S3914" s="2"/>
      <c r="T3914" s="2"/>
      <c r="U3914" s="2"/>
    </row>
    <row x14ac:dyDescent="0.25" r="3915" customHeight="1" ht="17.25">
      <c r="A3915" s="7">
        <v>3914</v>
      </c>
      <c r="B3915" s="1" t="s">
        <v>9210</v>
      </c>
      <c r="C3915" s="5">
        <f>CONCATENATE("PD", TEXT(A3915, "1000000"))</f>
      </c>
      <c r="D3915" s="7">
        <v>1</v>
      </c>
      <c r="E3915" s="5">
        <f>XLOOKUP(G3915, item_category!C:C, item_category!B:B, "Not Found")</f>
      </c>
      <c r="F3915" s="1" t="s">
        <v>5514</v>
      </c>
      <c r="G3915" s="5">
        <f>XLOOKUP(I3915, drug!B:B, drug!A:A, "Not Found")</f>
      </c>
      <c r="H3915" s="1"/>
      <c r="I3915" s="7">
        <v>100</v>
      </c>
      <c r="J3915" s="5">
        <f>XLOOKUP(L3915, uom!C:C, uom!B:B, "Not Found")</f>
      </c>
      <c r="K3915" s="1" t="s">
        <v>5511</v>
      </c>
      <c r="L3915" s="5">
        <f>XLOOKUP(N3915, uom!C:C, uom!B:B, "Not Found")</f>
      </c>
      <c r="M3915" s="1" t="s">
        <v>5511</v>
      </c>
      <c r="N3915" s="8" t="s">
        <v>5524</v>
      </c>
      <c r="O3915" s="1" t="s">
        <v>5525</v>
      </c>
      <c r="P3915" s="5">
        <f>XLOOKUP(R3915, classification!C:C, classification!B:B, "Not Found")</f>
      </c>
      <c r="Q3915" s="1" t="s">
        <v>5514</v>
      </c>
      <c r="R3915" s="2"/>
      <c r="S3915" s="2"/>
      <c r="T3915" s="2"/>
      <c r="U3915" s="2"/>
    </row>
    <row x14ac:dyDescent="0.25" r="3916" customHeight="1" ht="17.25">
      <c r="A3916" s="7">
        <v>3915</v>
      </c>
      <c r="B3916" s="1" t="s">
        <v>9211</v>
      </c>
      <c r="C3916" s="5">
        <f>CONCATENATE("PD", TEXT(A3916, "1000000"))</f>
      </c>
      <c r="D3916" s="7">
        <v>1</v>
      </c>
      <c r="E3916" s="5">
        <f>XLOOKUP(G3916, item_category!C:C, item_category!B:B, "Not Found")</f>
      </c>
      <c r="F3916" s="1" t="s">
        <v>5514</v>
      </c>
      <c r="G3916" s="5">
        <f>XLOOKUP(I3916, drug!B:B, drug!A:A, "Not Found")</f>
      </c>
      <c r="H3916" s="1" t="s">
        <v>857</v>
      </c>
      <c r="I3916" s="7">
        <v>50</v>
      </c>
      <c r="J3916" s="5">
        <f>XLOOKUP(L3916, uom!C:C, uom!B:B, "Not Found")</f>
      </c>
      <c r="K3916" s="1" t="s">
        <v>5661</v>
      </c>
      <c r="L3916" s="5">
        <f>XLOOKUP(N3916, uom!C:C, uom!B:B, "Not Found")</f>
      </c>
      <c r="M3916" s="1" t="s">
        <v>5661</v>
      </c>
      <c r="N3916" s="8" t="s">
        <v>5524</v>
      </c>
      <c r="O3916" s="1" t="s">
        <v>5525</v>
      </c>
      <c r="P3916" s="5">
        <f>XLOOKUP(R3916, classification!C:C, classification!B:B, "Not Found")</f>
      </c>
      <c r="Q3916" s="1" t="s">
        <v>5514</v>
      </c>
      <c r="R3916" s="2"/>
      <c r="S3916" s="2"/>
      <c r="T3916" s="2"/>
      <c r="U3916" s="2"/>
    </row>
    <row x14ac:dyDescent="0.25" r="3917" customHeight="1" ht="17.25">
      <c r="A3917" s="7">
        <v>3916</v>
      </c>
      <c r="B3917" s="1" t="s">
        <v>9212</v>
      </c>
      <c r="C3917" s="5">
        <f>CONCATENATE("PD", TEXT(A3917, "1000000"))</f>
      </c>
      <c r="D3917" s="7">
        <v>1</v>
      </c>
      <c r="E3917" s="5">
        <f>XLOOKUP(G3917, item_category!C:C, item_category!B:B, "Not Found")</f>
      </c>
      <c r="F3917" s="1" t="s">
        <v>5514</v>
      </c>
      <c r="G3917" s="5">
        <f>XLOOKUP(I3917, drug!B:B, drug!A:A, "Not Found")</f>
      </c>
      <c r="H3917" s="1"/>
      <c r="I3917" s="7">
        <v>50</v>
      </c>
      <c r="J3917" s="5">
        <f>XLOOKUP(L3917, uom!C:C, uom!B:B, "Not Found")</f>
      </c>
      <c r="K3917" s="1" t="s">
        <v>5511</v>
      </c>
      <c r="L3917" s="5">
        <f>XLOOKUP(N3917, uom!C:C, uom!B:B, "Not Found")</f>
      </c>
      <c r="M3917" s="1" t="s">
        <v>5511</v>
      </c>
      <c r="N3917" s="8" t="s">
        <v>5524</v>
      </c>
      <c r="O3917" s="1" t="s">
        <v>5525</v>
      </c>
      <c r="P3917" s="5">
        <f>XLOOKUP(R3917, classification!C:C, classification!B:B, "Not Found")</f>
      </c>
      <c r="Q3917" s="1" t="s">
        <v>5514</v>
      </c>
      <c r="R3917" s="2"/>
      <c r="S3917" s="2"/>
      <c r="T3917" s="2"/>
      <c r="U3917" s="2"/>
    </row>
    <row x14ac:dyDescent="0.25" r="3918" customHeight="1" ht="17.25">
      <c r="A3918" s="7">
        <v>3917</v>
      </c>
      <c r="B3918" s="1" t="s">
        <v>9213</v>
      </c>
      <c r="C3918" s="5">
        <f>CONCATENATE("PD", TEXT(A3918, "1000000"))</f>
      </c>
      <c r="D3918" s="7">
        <v>1</v>
      </c>
      <c r="E3918" s="5">
        <f>XLOOKUP(G3918, item_category!C:C, item_category!B:B, "Not Found")</f>
      </c>
      <c r="F3918" s="1" t="s">
        <v>5514</v>
      </c>
      <c r="G3918" s="5">
        <f>XLOOKUP(I3918, drug!B:B, drug!A:A, "Not Found")</f>
      </c>
      <c r="H3918" s="1" t="s">
        <v>1622</v>
      </c>
      <c r="I3918" s="7">
        <v>400</v>
      </c>
      <c r="J3918" s="5">
        <f>XLOOKUP(L3918, uom!C:C, uom!B:B, "Not Found")</f>
      </c>
      <c r="K3918" s="1" t="s">
        <v>5544</v>
      </c>
      <c r="L3918" s="5">
        <f>XLOOKUP(N3918, uom!C:C, uom!B:B, "Not Found")</f>
      </c>
      <c r="M3918" s="1" t="s">
        <v>5544</v>
      </c>
      <c r="N3918" s="8" t="s">
        <v>5524</v>
      </c>
      <c r="O3918" s="1" t="s">
        <v>5525</v>
      </c>
      <c r="P3918" s="5">
        <f>XLOOKUP(R3918, classification!C:C, classification!B:B, "Not Found")</f>
      </c>
      <c r="Q3918" s="1" t="s">
        <v>5514</v>
      </c>
      <c r="R3918" s="2"/>
      <c r="S3918" s="2"/>
      <c r="T3918" s="2"/>
      <c r="U3918" s="2"/>
    </row>
    <row x14ac:dyDescent="0.25" r="3919" customHeight="1" ht="17.25">
      <c r="A3919" s="7">
        <v>3918</v>
      </c>
      <c r="B3919" s="1" t="s">
        <v>9214</v>
      </c>
      <c r="C3919" s="5">
        <f>CONCATENATE("PD", TEXT(A3919, "1000000"))</f>
      </c>
      <c r="D3919" s="7">
        <v>1</v>
      </c>
      <c r="E3919" s="5">
        <f>XLOOKUP(G3919, item_category!C:C, item_category!B:B, "Not Found")</f>
      </c>
      <c r="F3919" s="1" t="s">
        <v>5514</v>
      </c>
      <c r="G3919" s="5">
        <f>XLOOKUP(I3919, drug!B:B, drug!A:A, "Not Found")</f>
      </c>
      <c r="H3919" s="1"/>
      <c r="I3919" s="7">
        <v>150</v>
      </c>
      <c r="J3919" s="5">
        <f>XLOOKUP(L3919, uom!C:C, uom!B:B, "Not Found")</f>
      </c>
      <c r="K3919" s="1" t="s">
        <v>5511</v>
      </c>
      <c r="L3919" s="5">
        <f>XLOOKUP(N3919, uom!C:C, uom!B:B, "Not Found")</f>
      </c>
      <c r="M3919" s="1" t="s">
        <v>5511</v>
      </c>
      <c r="N3919" s="8" t="s">
        <v>5524</v>
      </c>
      <c r="O3919" s="1" t="s">
        <v>5525</v>
      </c>
      <c r="P3919" s="5">
        <f>XLOOKUP(R3919, classification!C:C, classification!B:B, "Not Found")</f>
      </c>
      <c r="Q3919" s="1" t="s">
        <v>5514</v>
      </c>
      <c r="R3919" s="2"/>
      <c r="S3919" s="2"/>
      <c r="T3919" s="2"/>
      <c r="U3919" s="2"/>
    </row>
    <row x14ac:dyDescent="0.25" r="3920" customHeight="1" ht="17.25">
      <c r="A3920" s="7">
        <v>3919</v>
      </c>
      <c r="B3920" s="1" t="s">
        <v>9215</v>
      </c>
      <c r="C3920" s="5">
        <f>CONCATENATE("PD", TEXT(A3920, "1000000"))</f>
      </c>
      <c r="D3920" s="7">
        <v>76</v>
      </c>
      <c r="E3920" s="5">
        <f>XLOOKUP(G3920, item_category!C:C, item_category!B:B, "Not Found")</f>
      </c>
      <c r="F3920" s="1" t="s">
        <v>5632</v>
      </c>
      <c r="G3920" s="5">
        <f>XLOOKUP(I3920, drug!B:B, drug!A:A, "Not Found")</f>
      </c>
      <c r="H3920" s="1"/>
      <c r="I3920" s="7">
        <v>1</v>
      </c>
      <c r="J3920" s="5">
        <f>XLOOKUP(L3920, uom!C:C, uom!B:B, "Not Found")</f>
      </c>
      <c r="K3920" s="1" t="s">
        <v>5511</v>
      </c>
      <c r="L3920" s="5">
        <f>XLOOKUP(N3920, uom!C:C, uom!B:B, "Not Found")</f>
      </c>
      <c r="M3920" s="1" t="s">
        <v>5511</v>
      </c>
      <c r="N3920" s="8" t="s">
        <v>5512</v>
      </c>
      <c r="O3920" s="1" t="s">
        <v>5513</v>
      </c>
      <c r="P3920" s="5">
        <f>XLOOKUP(R3920, classification!C:C, classification!B:B, "Not Found")</f>
      </c>
      <c r="Q3920" s="1" t="s">
        <v>5514</v>
      </c>
      <c r="R3920" s="2"/>
      <c r="S3920" s="2"/>
      <c r="T3920" s="2"/>
      <c r="U3920" s="2"/>
    </row>
    <row x14ac:dyDescent="0.25" r="3921" customHeight="1" ht="17.25">
      <c r="A3921" s="7">
        <v>3920</v>
      </c>
      <c r="B3921" s="1" t="s">
        <v>9216</v>
      </c>
      <c r="C3921" s="5">
        <f>CONCATENATE("PD", TEXT(A3921, "1000000"))</f>
      </c>
      <c r="D3921" s="7">
        <v>1</v>
      </c>
      <c r="E3921" s="5">
        <f>XLOOKUP(G3921, item_category!C:C, item_category!B:B, "Not Found")</f>
      </c>
      <c r="F3921" s="1" t="s">
        <v>5514</v>
      </c>
      <c r="G3921" s="5">
        <f>XLOOKUP(I3921, drug!B:B, drug!A:A, "Not Found")</f>
      </c>
      <c r="H3921" s="1"/>
      <c r="I3921" s="7">
        <v>25</v>
      </c>
      <c r="J3921" s="5">
        <f>XLOOKUP(L3921, uom!C:C, uom!B:B, "Not Found")</f>
      </c>
      <c r="K3921" s="1" t="s">
        <v>5544</v>
      </c>
      <c r="L3921" s="5">
        <f>XLOOKUP(N3921, uom!C:C, uom!B:B, "Not Found")</f>
      </c>
      <c r="M3921" s="1" t="s">
        <v>5544</v>
      </c>
      <c r="N3921" s="8" t="s">
        <v>5524</v>
      </c>
      <c r="O3921" s="1" t="s">
        <v>5525</v>
      </c>
      <c r="P3921" s="5">
        <f>XLOOKUP(R3921, classification!C:C, classification!B:B, "Not Found")</f>
      </c>
      <c r="Q3921" s="1" t="s">
        <v>5514</v>
      </c>
      <c r="R3921" s="2"/>
      <c r="S3921" s="2"/>
      <c r="T3921" s="2"/>
      <c r="U3921" s="2"/>
    </row>
    <row x14ac:dyDescent="0.25" r="3922" customHeight="1" ht="17.25">
      <c r="A3922" s="7">
        <v>3921</v>
      </c>
      <c r="B3922" s="1" t="s">
        <v>9217</v>
      </c>
      <c r="C3922" s="5">
        <f>CONCATENATE("PD", TEXT(A3922, "1000000"))</f>
      </c>
      <c r="D3922" s="7">
        <v>1</v>
      </c>
      <c r="E3922" s="5">
        <f>XLOOKUP(G3922, item_category!C:C, item_category!B:B, "Not Found")</f>
      </c>
      <c r="F3922" s="1" t="s">
        <v>5514</v>
      </c>
      <c r="G3922" s="5">
        <f>XLOOKUP(I3922, drug!B:B, drug!A:A, "Not Found")</f>
      </c>
      <c r="H3922" s="1"/>
      <c r="I3922" s="7">
        <v>750</v>
      </c>
      <c r="J3922" s="5">
        <f>XLOOKUP(L3922, uom!C:C, uom!B:B, "Not Found")</f>
      </c>
      <c r="K3922" s="1" t="s">
        <v>5544</v>
      </c>
      <c r="L3922" s="5">
        <f>XLOOKUP(N3922, uom!C:C, uom!B:B, "Not Found")</f>
      </c>
      <c r="M3922" s="1" t="s">
        <v>5544</v>
      </c>
      <c r="N3922" s="8" t="s">
        <v>5524</v>
      </c>
      <c r="O3922" s="1" t="s">
        <v>5525</v>
      </c>
      <c r="P3922" s="5">
        <f>XLOOKUP(R3922, classification!C:C, classification!B:B, "Not Found")</f>
      </c>
      <c r="Q3922" s="1" t="s">
        <v>5514</v>
      </c>
      <c r="R3922" s="2"/>
      <c r="S3922" s="2"/>
      <c r="T3922" s="2"/>
      <c r="U3922" s="2"/>
    </row>
    <row x14ac:dyDescent="0.25" r="3923" customHeight="1" ht="17.25">
      <c r="A3923" s="7">
        <v>3922</v>
      </c>
      <c r="B3923" s="1" t="s">
        <v>9218</v>
      </c>
      <c r="C3923" s="5">
        <f>CONCATENATE("PD", TEXT(A3923, "1000000"))</f>
      </c>
      <c r="D3923" s="7">
        <v>67</v>
      </c>
      <c r="E3923" s="5">
        <f>XLOOKUP(G3923, item_category!C:C, item_category!B:B, "Not Found")</f>
      </c>
      <c r="F3923" s="1" t="s">
        <v>5516</v>
      </c>
      <c r="G3923" s="5">
        <f>XLOOKUP(I3923, drug!B:B, drug!A:A, "Not Found")</f>
      </c>
      <c r="H3923" s="1"/>
      <c r="I3923" s="7">
        <v>300</v>
      </c>
      <c r="J3923" s="5">
        <f>XLOOKUP(L3923, uom!C:C, uom!B:B, "Not Found")</f>
      </c>
      <c r="K3923" s="1" t="s">
        <v>5602</v>
      </c>
      <c r="L3923" s="5">
        <f>XLOOKUP(N3923, uom!C:C, uom!B:B, "Not Found")</f>
      </c>
      <c r="M3923" s="1" t="s">
        <v>5602</v>
      </c>
      <c r="N3923" s="8" t="s">
        <v>5524</v>
      </c>
      <c r="O3923" s="1" t="s">
        <v>5525</v>
      </c>
      <c r="P3923" s="5">
        <f>XLOOKUP(R3923, classification!C:C, classification!B:B, "Not Found")</f>
      </c>
      <c r="Q3923" s="1" t="s">
        <v>5514</v>
      </c>
      <c r="R3923" s="2"/>
      <c r="S3923" s="2"/>
      <c r="T3923" s="2"/>
      <c r="U3923" s="2"/>
    </row>
    <row x14ac:dyDescent="0.25" r="3924" customHeight="1" ht="17.25">
      <c r="A3924" s="7">
        <v>3923</v>
      </c>
      <c r="B3924" s="1" t="s">
        <v>9219</v>
      </c>
      <c r="C3924" s="5">
        <f>CONCATENATE("PD", TEXT(A3924, "1000000"))</f>
      </c>
      <c r="D3924" s="7">
        <v>76</v>
      </c>
      <c r="E3924" s="5">
        <f>XLOOKUP(G3924, item_category!C:C, item_category!B:B, "Not Found")</f>
      </c>
      <c r="F3924" s="1" t="s">
        <v>5632</v>
      </c>
      <c r="G3924" s="5">
        <f>XLOOKUP(I3924, drug!B:B, drug!A:A, "Not Found")</f>
      </c>
      <c r="H3924" s="1"/>
      <c r="I3924" s="7">
        <v>700</v>
      </c>
      <c r="J3924" s="5">
        <f>XLOOKUP(L3924, uom!C:C, uom!B:B, "Not Found")</f>
      </c>
      <c r="K3924" s="1" t="s">
        <v>9220</v>
      </c>
      <c r="L3924" s="5">
        <f>XLOOKUP(N3924, uom!C:C, uom!B:B, "Not Found")</f>
      </c>
      <c r="M3924" s="1" t="s">
        <v>9220</v>
      </c>
      <c r="N3924" s="8" t="s">
        <v>5524</v>
      </c>
      <c r="O3924" s="1" t="s">
        <v>5525</v>
      </c>
      <c r="P3924" s="5">
        <f>XLOOKUP(R3924, classification!C:C, classification!B:B, "Not Found")</f>
      </c>
      <c r="Q3924" s="1" t="s">
        <v>5514</v>
      </c>
      <c r="R3924" s="2"/>
      <c r="S3924" s="2"/>
      <c r="T3924" s="2"/>
      <c r="U3924" s="2"/>
    </row>
    <row x14ac:dyDescent="0.25" r="3925" customHeight="1" ht="17.25">
      <c r="A3925" s="7">
        <v>3924</v>
      </c>
      <c r="B3925" s="1" t="s">
        <v>9221</v>
      </c>
      <c r="C3925" s="5">
        <f>CONCATENATE("PD", TEXT(A3925, "1000000"))</f>
      </c>
      <c r="D3925" s="7">
        <v>1</v>
      </c>
      <c r="E3925" s="5">
        <f>XLOOKUP(G3925, item_category!C:C, item_category!B:B, "Not Found")</f>
      </c>
      <c r="F3925" s="1" t="s">
        <v>5514</v>
      </c>
      <c r="G3925" s="5">
        <f>XLOOKUP(I3925, drug!B:B, drug!A:A, "Not Found")</f>
      </c>
      <c r="H3925" s="1"/>
      <c r="I3925" s="7">
        <v>1</v>
      </c>
      <c r="J3925" s="5">
        <f>XLOOKUP(L3925, uom!C:C, uom!B:B, "Not Found")</f>
      </c>
      <c r="K3925" s="1" t="s">
        <v>6229</v>
      </c>
      <c r="L3925" s="5">
        <f>XLOOKUP(N3925, uom!C:C, uom!B:B, "Not Found")</f>
      </c>
      <c r="M3925" s="1" t="s">
        <v>6229</v>
      </c>
      <c r="N3925" s="8" t="s">
        <v>5524</v>
      </c>
      <c r="O3925" s="1" t="s">
        <v>5525</v>
      </c>
      <c r="P3925" s="5">
        <f>XLOOKUP(R3925, classification!C:C, classification!B:B, "Not Found")</f>
      </c>
      <c r="Q3925" s="1" t="s">
        <v>5514</v>
      </c>
      <c r="R3925" s="2"/>
      <c r="S3925" s="2"/>
      <c r="T3925" s="2"/>
      <c r="U3925" s="2"/>
    </row>
    <row x14ac:dyDescent="0.25" r="3926" customHeight="1" ht="17.25">
      <c r="A3926" s="7">
        <v>3925</v>
      </c>
      <c r="B3926" s="1" t="s">
        <v>9222</v>
      </c>
      <c r="C3926" s="5">
        <f>CONCATENATE("PD", TEXT(A3926, "1000000"))</f>
      </c>
      <c r="D3926" s="7">
        <v>1</v>
      </c>
      <c r="E3926" s="5">
        <f>XLOOKUP(G3926, item_category!C:C, item_category!B:B, "Not Found")</f>
      </c>
      <c r="F3926" s="1" t="s">
        <v>5514</v>
      </c>
      <c r="G3926" s="5">
        <f>XLOOKUP(I3926, drug!B:B, drug!A:A, "Not Found")</f>
      </c>
      <c r="H3926" s="1"/>
      <c r="I3926" s="7">
        <v>100</v>
      </c>
      <c r="J3926" s="5">
        <f>XLOOKUP(L3926, uom!C:C, uom!B:B, "Not Found")</f>
      </c>
      <c r="K3926" s="1" t="s">
        <v>5899</v>
      </c>
      <c r="L3926" s="5">
        <f>XLOOKUP(N3926, uom!C:C, uom!B:B, "Not Found")</f>
      </c>
      <c r="M3926" s="1" t="s">
        <v>5544</v>
      </c>
      <c r="N3926" s="8" t="s">
        <v>5524</v>
      </c>
      <c r="O3926" s="1" t="s">
        <v>5525</v>
      </c>
      <c r="P3926" s="5">
        <f>XLOOKUP(R3926, classification!C:C, classification!B:B, "Not Found")</f>
      </c>
      <c r="Q3926" s="1" t="s">
        <v>5514</v>
      </c>
      <c r="R3926" s="2"/>
      <c r="S3926" s="2"/>
      <c r="T3926" s="2"/>
      <c r="U3926" s="2"/>
    </row>
    <row x14ac:dyDescent="0.25" r="3927" customHeight="1" ht="17.25">
      <c r="A3927" s="7">
        <v>3926</v>
      </c>
      <c r="B3927" s="1" t="s">
        <v>9223</v>
      </c>
      <c r="C3927" s="5">
        <f>CONCATENATE("PD", TEXT(A3927, "1000000"))</f>
      </c>
      <c r="D3927" s="7">
        <v>76</v>
      </c>
      <c r="E3927" s="5">
        <f>XLOOKUP(G3927, item_category!C:C, item_category!B:B, "Not Found")</f>
      </c>
      <c r="F3927" s="1" t="s">
        <v>5632</v>
      </c>
      <c r="G3927" s="5">
        <f>XLOOKUP(I3927, drug!B:B, drug!A:A, "Not Found")</f>
      </c>
      <c r="H3927" s="1"/>
      <c r="I3927" s="7">
        <v>100</v>
      </c>
      <c r="J3927" s="5">
        <f>XLOOKUP(L3927, uom!C:C, uom!B:B, "Not Found")</f>
      </c>
      <c r="K3927" s="1" t="s">
        <v>5511</v>
      </c>
      <c r="L3927" s="5">
        <f>XLOOKUP(N3927, uom!C:C, uom!B:B, "Not Found")</f>
      </c>
      <c r="M3927" s="1" t="s">
        <v>5511</v>
      </c>
      <c r="N3927" s="8" t="s">
        <v>5524</v>
      </c>
      <c r="O3927" s="1" t="s">
        <v>5525</v>
      </c>
      <c r="P3927" s="5">
        <f>XLOOKUP(R3927, classification!C:C, classification!B:B, "Not Found")</f>
      </c>
      <c r="Q3927" s="1" t="s">
        <v>5514</v>
      </c>
      <c r="R3927" s="2"/>
      <c r="S3927" s="2"/>
      <c r="T3927" s="2"/>
      <c r="U3927" s="2"/>
    </row>
    <row x14ac:dyDescent="0.25" r="3928" customHeight="1" ht="17.25">
      <c r="A3928" s="7">
        <v>3927</v>
      </c>
      <c r="B3928" s="1" t="s">
        <v>3498</v>
      </c>
      <c r="C3928" s="5">
        <f>CONCATENATE("PD", TEXT(A3928, "1000000"))</f>
      </c>
      <c r="D3928" s="7">
        <v>1</v>
      </c>
      <c r="E3928" s="5">
        <f>XLOOKUP(G3928, item_category!C:C, item_category!B:B, "Not Found")</f>
      </c>
      <c r="F3928" s="1" t="s">
        <v>5514</v>
      </c>
      <c r="G3928" s="5">
        <f>XLOOKUP(I3928, drug!B:B, drug!A:A, "Not Found")</f>
      </c>
      <c r="H3928" s="1"/>
      <c r="I3928" s="7">
        <v>250</v>
      </c>
      <c r="J3928" s="5">
        <f>XLOOKUP(L3928, uom!C:C, uom!B:B, "Not Found")</f>
      </c>
      <c r="K3928" s="1" t="s">
        <v>5511</v>
      </c>
      <c r="L3928" s="5">
        <f>XLOOKUP(N3928, uom!C:C, uom!B:B, "Not Found")</f>
      </c>
      <c r="M3928" s="1" t="s">
        <v>5511</v>
      </c>
      <c r="N3928" s="8" t="s">
        <v>5524</v>
      </c>
      <c r="O3928" s="1" t="s">
        <v>5525</v>
      </c>
      <c r="P3928" s="5">
        <f>XLOOKUP(R3928, classification!C:C, classification!B:B, "Not Found")</f>
      </c>
      <c r="Q3928" s="1" t="s">
        <v>5514</v>
      </c>
      <c r="R3928" s="2"/>
      <c r="S3928" s="2"/>
      <c r="T3928" s="2"/>
      <c r="U3928" s="2"/>
    </row>
    <row x14ac:dyDescent="0.25" r="3929" customHeight="1" ht="17.25">
      <c r="A3929" s="7">
        <v>3928</v>
      </c>
      <c r="B3929" s="1" t="s">
        <v>9224</v>
      </c>
      <c r="C3929" s="5">
        <f>CONCATENATE("PD", TEXT(A3929, "1000000"))</f>
      </c>
      <c r="D3929" s="7">
        <v>1</v>
      </c>
      <c r="E3929" s="5">
        <f>XLOOKUP(G3929, item_category!C:C, item_category!B:B, "Not Found")</f>
      </c>
      <c r="F3929" s="1" t="s">
        <v>5514</v>
      </c>
      <c r="G3929" s="5">
        <f>XLOOKUP(I3929, drug!B:B, drug!A:A, "Not Found")</f>
      </c>
      <c r="H3929" s="1" t="s">
        <v>83</v>
      </c>
      <c r="I3929" s="7">
        <v>100</v>
      </c>
      <c r="J3929" s="5">
        <f>XLOOKUP(L3929, uom!C:C, uom!B:B, "Not Found")</f>
      </c>
      <c r="K3929" s="1" t="s">
        <v>5899</v>
      </c>
      <c r="L3929" s="5">
        <f>XLOOKUP(N3929, uom!C:C, uom!B:B, "Not Found")</f>
      </c>
      <c r="M3929" s="1" t="s">
        <v>5544</v>
      </c>
      <c r="N3929" s="8" t="s">
        <v>5524</v>
      </c>
      <c r="O3929" s="1" t="s">
        <v>5525</v>
      </c>
      <c r="P3929" s="5">
        <f>XLOOKUP(R3929, classification!C:C, classification!B:B, "Not Found")</f>
      </c>
      <c r="Q3929" s="1" t="s">
        <v>5514</v>
      </c>
      <c r="R3929" s="2"/>
      <c r="S3929" s="2"/>
      <c r="T3929" s="2"/>
      <c r="U3929" s="2"/>
    </row>
    <row x14ac:dyDescent="0.25" r="3930" customHeight="1" ht="17.25">
      <c r="A3930" s="7">
        <v>3929</v>
      </c>
      <c r="B3930" s="1" t="s">
        <v>9225</v>
      </c>
      <c r="C3930" s="5">
        <f>CONCATENATE("PD", TEXT(A3930, "1000000"))</f>
      </c>
      <c r="D3930" s="7">
        <v>1</v>
      </c>
      <c r="E3930" s="5">
        <f>XLOOKUP(G3930, item_category!C:C, item_category!B:B, "Not Found")</f>
      </c>
      <c r="F3930" s="1" t="s">
        <v>5514</v>
      </c>
      <c r="G3930" s="5">
        <f>XLOOKUP(I3930, drug!B:B, drug!A:A, "Not Found")</f>
      </c>
      <c r="H3930" s="1"/>
      <c r="I3930" s="7">
        <v>100</v>
      </c>
      <c r="J3930" s="5">
        <f>XLOOKUP(L3930, uom!C:C, uom!B:B, "Not Found")</f>
      </c>
      <c r="K3930" s="1" t="s">
        <v>5511</v>
      </c>
      <c r="L3930" s="5">
        <f>XLOOKUP(N3930, uom!C:C, uom!B:B, "Not Found")</f>
      </c>
      <c r="M3930" s="1" t="s">
        <v>5511</v>
      </c>
      <c r="N3930" s="8" t="s">
        <v>5524</v>
      </c>
      <c r="O3930" s="1" t="s">
        <v>5525</v>
      </c>
      <c r="P3930" s="5">
        <f>XLOOKUP(R3930, classification!C:C, classification!B:B, "Not Found")</f>
      </c>
      <c r="Q3930" s="1" t="s">
        <v>5514</v>
      </c>
      <c r="R3930" s="2"/>
      <c r="S3930" s="2"/>
      <c r="T3930" s="2"/>
      <c r="U3930" s="2"/>
    </row>
    <row x14ac:dyDescent="0.25" r="3931" customHeight="1" ht="17.25">
      <c r="A3931" s="7">
        <v>3930</v>
      </c>
      <c r="B3931" s="1" t="s">
        <v>9226</v>
      </c>
      <c r="C3931" s="5">
        <f>CONCATENATE("PD", TEXT(A3931, "1000000"))</f>
      </c>
      <c r="D3931" s="7">
        <v>1</v>
      </c>
      <c r="E3931" s="5">
        <f>XLOOKUP(G3931, item_category!C:C, item_category!B:B, "Not Found")</f>
      </c>
      <c r="F3931" s="1" t="s">
        <v>5514</v>
      </c>
      <c r="G3931" s="5">
        <f>XLOOKUP(I3931, drug!B:B, drug!A:A, "Not Found")</f>
      </c>
      <c r="H3931" s="1"/>
      <c r="I3931" s="7">
        <v>350</v>
      </c>
      <c r="J3931" s="5">
        <f>XLOOKUP(L3931, uom!C:C, uom!B:B, "Not Found")</f>
      </c>
      <c r="K3931" s="1" t="s">
        <v>5602</v>
      </c>
      <c r="L3931" s="5">
        <f>XLOOKUP(N3931, uom!C:C, uom!B:B, "Not Found")</f>
      </c>
      <c r="M3931" s="1" t="s">
        <v>5602</v>
      </c>
      <c r="N3931" s="8" t="s">
        <v>5524</v>
      </c>
      <c r="O3931" s="1" t="s">
        <v>5525</v>
      </c>
      <c r="P3931" s="5">
        <f>XLOOKUP(R3931, classification!C:C, classification!B:B, "Not Found")</f>
      </c>
      <c r="Q3931" s="1" t="s">
        <v>5514</v>
      </c>
      <c r="R3931" s="2"/>
      <c r="S3931" s="2"/>
      <c r="T3931" s="2"/>
      <c r="U3931" s="2"/>
    </row>
    <row x14ac:dyDescent="0.25" r="3932" customHeight="1" ht="17.25">
      <c r="A3932" s="7">
        <v>3931</v>
      </c>
      <c r="B3932" s="1" t="s">
        <v>9227</v>
      </c>
      <c r="C3932" s="5">
        <f>CONCATENATE("PD", TEXT(A3932, "1000000"))</f>
      </c>
      <c r="D3932" s="7">
        <v>1</v>
      </c>
      <c r="E3932" s="5">
        <f>XLOOKUP(G3932, item_category!C:C, item_category!B:B, "Not Found")</f>
      </c>
      <c r="F3932" s="1" t="s">
        <v>5514</v>
      </c>
      <c r="G3932" s="5">
        <f>XLOOKUP(I3932, drug!B:B, drug!A:A, "Not Found")</f>
      </c>
      <c r="H3932" s="1"/>
      <c r="I3932" s="7">
        <v>250</v>
      </c>
      <c r="J3932" s="5">
        <f>XLOOKUP(L3932, uom!C:C, uom!B:B, "Not Found")</f>
      </c>
      <c r="K3932" s="1" t="s">
        <v>5602</v>
      </c>
      <c r="L3932" s="5">
        <f>XLOOKUP(N3932, uom!C:C, uom!B:B, "Not Found")</f>
      </c>
      <c r="M3932" s="1" t="s">
        <v>5602</v>
      </c>
      <c r="N3932" s="8" t="s">
        <v>5524</v>
      </c>
      <c r="O3932" s="1" t="s">
        <v>5525</v>
      </c>
      <c r="P3932" s="5">
        <f>XLOOKUP(R3932, classification!C:C, classification!B:B, "Not Found")</f>
      </c>
      <c r="Q3932" s="1" t="s">
        <v>5514</v>
      </c>
      <c r="R3932" s="2"/>
      <c r="S3932" s="2"/>
      <c r="T3932" s="2"/>
      <c r="U3932" s="2"/>
    </row>
    <row x14ac:dyDescent="0.25" r="3933" customHeight="1" ht="17.25">
      <c r="A3933" s="7">
        <v>3932</v>
      </c>
      <c r="B3933" s="1" t="s">
        <v>9228</v>
      </c>
      <c r="C3933" s="5">
        <f>CONCATENATE("PD", TEXT(A3933, "1000000"))</f>
      </c>
      <c r="D3933" s="7">
        <v>1</v>
      </c>
      <c r="E3933" s="5">
        <f>XLOOKUP(G3933, item_category!C:C, item_category!B:B, "Not Found")</f>
      </c>
      <c r="F3933" s="1" t="s">
        <v>5514</v>
      </c>
      <c r="G3933" s="5">
        <f>XLOOKUP(I3933, drug!B:B, drug!A:A, "Not Found")</f>
      </c>
      <c r="H3933" s="1"/>
      <c r="I3933" s="7">
        <v>500</v>
      </c>
      <c r="J3933" s="5">
        <f>XLOOKUP(L3933, uom!C:C, uom!B:B, "Not Found")</f>
      </c>
      <c r="K3933" s="1" t="s">
        <v>5544</v>
      </c>
      <c r="L3933" s="5">
        <f>XLOOKUP(N3933, uom!C:C, uom!B:B, "Not Found")</f>
      </c>
      <c r="M3933" s="1" t="s">
        <v>5544</v>
      </c>
      <c r="N3933" s="8" t="s">
        <v>5524</v>
      </c>
      <c r="O3933" s="1" t="s">
        <v>5525</v>
      </c>
      <c r="P3933" s="5">
        <f>XLOOKUP(R3933, classification!C:C, classification!B:B, "Not Found")</f>
      </c>
      <c r="Q3933" s="1" t="s">
        <v>5514</v>
      </c>
      <c r="R3933" s="2"/>
      <c r="S3933" s="2"/>
      <c r="T3933" s="2"/>
      <c r="U3933" s="2"/>
    </row>
    <row x14ac:dyDescent="0.25" r="3934" customHeight="1" ht="17.25">
      <c r="A3934" s="7">
        <v>3933</v>
      </c>
      <c r="B3934" s="1" t="s">
        <v>9229</v>
      </c>
      <c r="C3934" s="5">
        <f>CONCATENATE("PD", TEXT(A3934, "1000000"))</f>
      </c>
      <c r="D3934" s="7">
        <v>1</v>
      </c>
      <c r="E3934" s="5">
        <f>XLOOKUP(G3934, item_category!C:C, item_category!B:B, "Not Found")</f>
      </c>
      <c r="F3934" s="1" t="s">
        <v>5514</v>
      </c>
      <c r="G3934" s="5">
        <f>XLOOKUP(I3934, drug!B:B, drug!A:A, "Not Found")</f>
      </c>
      <c r="H3934" s="1"/>
      <c r="I3934" s="7">
        <v>550</v>
      </c>
      <c r="J3934" s="5">
        <f>XLOOKUP(L3934, uom!C:C, uom!B:B, "Not Found")</f>
      </c>
      <c r="K3934" s="1" t="s">
        <v>5618</v>
      </c>
      <c r="L3934" s="5">
        <f>XLOOKUP(N3934, uom!C:C, uom!B:B, "Not Found")</f>
      </c>
      <c r="M3934" s="1" t="s">
        <v>5618</v>
      </c>
      <c r="N3934" s="8" t="s">
        <v>5524</v>
      </c>
      <c r="O3934" s="1" t="s">
        <v>5525</v>
      </c>
      <c r="P3934" s="5">
        <f>XLOOKUP(R3934, classification!C:C, classification!B:B, "Not Found")</f>
      </c>
      <c r="Q3934" s="1" t="s">
        <v>5514</v>
      </c>
      <c r="R3934" s="2"/>
      <c r="S3934" s="2"/>
      <c r="T3934" s="2"/>
      <c r="U3934" s="2"/>
    </row>
    <row x14ac:dyDescent="0.25" r="3935" customHeight="1" ht="17.25">
      <c r="A3935" s="7">
        <v>3934</v>
      </c>
      <c r="B3935" s="1" t="s">
        <v>9230</v>
      </c>
      <c r="C3935" s="5">
        <f>CONCATENATE("PD", TEXT(A3935, "1000000"))</f>
      </c>
      <c r="D3935" s="7">
        <v>74</v>
      </c>
      <c r="E3935" s="5">
        <f>XLOOKUP(G3935, item_category!C:C, item_category!B:B, "Not Found")</f>
      </c>
      <c r="F3935" s="1" t="s">
        <v>5520</v>
      </c>
      <c r="G3935" s="5">
        <f>XLOOKUP(I3935, drug!B:B, drug!A:A, "Not Found")</f>
      </c>
      <c r="H3935" s="1" t="s">
        <v>73</v>
      </c>
      <c r="I3935" s="7">
        <v>500</v>
      </c>
      <c r="J3935" s="5">
        <f>XLOOKUP(L3935, uom!C:C, uom!B:B, "Not Found")</f>
      </c>
      <c r="K3935" s="1" t="s">
        <v>5544</v>
      </c>
      <c r="L3935" s="5">
        <f>XLOOKUP(N3935, uom!C:C, uom!B:B, "Not Found")</f>
      </c>
      <c r="M3935" s="1" t="s">
        <v>5544</v>
      </c>
      <c r="N3935" s="8" t="s">
        <v>5524</v>
      </c>
      <c r="O3935" s="1" t="s">
        <v>5525</v>
      </c>
      <c r="P3935" s="5">
        <f>XLOOKUP(R3935, classification!C:C, classification!B:B, "Not Found")</f>
      </c>
      <c r="Q3935" s="1" t="s">
        <v>5514</v>
      </c>
      <c r="R3935" s="2"/>
      <c r="S3935" s="2"/>
      <c r="T3935" s="2"/>
      <c r="U3935" s="2"/>
    </row>
    <row x14ac:dyDescent="0.25" r="3936" customHeight="1" ht="17.25">
      <c r="A3936" s="7">
        <v>3935</v>
      </c>
      <c r="B3936" s="1" t="s">
        <v>9231</v>
      </c>
      <c r="C3936" s="5">
        <f>CONCATENATE("PD", TEXT(A3936, "1000000"))</f>
      </c>
      <c r="D3936" s="7">
        <v>1</v>
      </c>
      <c r="E3936" s="5">
        <f>XLOOKUP(G3936, item_category!C:C, item_category!B:B, "Not Found")</f>
      </c>
      <c r="F3936" s="1" t="s">
        <v>5514</v>
      </c>
      <c r="G3936" s="5">
        <f>XLOOKUP(I3936, drug!B:B, drug!A:A, "Not Found")</f>
      </c>
      <c r="H3936" s="1" t="s">
        <v>308</v>
      </c>
      <c r="I3936" s="7">
        <v>1500</v>
      </c>
      <c r="J3936" s="5">
        <f>XLOOKUP(L3936, uom!C:C, uom!B:B, "Not Found")</f>
      </c>
      <c r="K3936" s="1" t="s">
        <v>5602</v>
      </c>
      <c r="L3936" s="5">
        <f>XLOOKUP(N3936, uom!C:C, uom!B:B, "Not Found")</f>
      </c>
      <c r="M3936" s="1" t="s">
        <v>5602</v>
      </c>
      <c r="N3936" s="8" t="s">
        <v>5524</v>
      </c>
      <c r="O3936" s="1" t="s">
        <v>5525</v>
      </c>
      <c r="P3936" s="5">
        <f>XLOOKUP(R3936, classification!C:C, classification!B:B, "Not Found")</f>
      </c>
      <c r="Q3936" s="1" t="s">
        <v>5514</v>
      </c>
      <c r="R3936" s="2"/>
      <c r="S3936" s="2"/>
      <c r="T3936" s="2"/>
      <c r="U3936" s="2"/>
    </row>
    <row x14ac:dyDescent="0.25" r="3937" customHeight="1" ht="17.25">
      <c r="A3937" s="7">
        <v>3936</v>
      </c>
      <c r="B3937" s="1" t="s">
        <v>9232</v>
      </c>
      <c r="C3937" s="5">
        <f>CONCATENATE("PD", TEXT(A3937, "1000000"))</f>
      </c>
      <c r="D3937" s="7">
        <v>1</v>
      </c>
      <c r="E3937" s="5">
        <f>XLOOKUP(G3937, item_category!C:C, item_category!B:B, "Not Found")</f>
      </c>
      <c r="F3937" s="1" t="s">
        <v>5514</v>
      </c>
      <c r="G3937" s="5">
        <f>XLOOKUP(I3937, drug!B:B, drug!A:A, "Not Found")</f>
      </c>
      <c r="H3937" s="1"/>
      <c r="I3937" s="7">
        <v>300</v>
      </c>
      <c r="J3937" s="5">
        <f>XLOOKUP(L3937, uom!C:C, uom!B:B, "Not Found")</f>
      </c>
      <c r="K3937" s="1" t="s">
        <v>5602</v>
      </c>
      <c r="L3937" s="5">
        <f>XLOOKUP(N3937, uom!C:C, uom!B:B, "Not Found")</f>
      </c>
      <c r="M3937" s="1" t="s">
        <v>5602</v>
      </c>
      <c r="N3937" s="8" t="s">
        <v>5524</v>
      </c>
      <c r="O3937" s="1" t="s">
        <v>5525</v>
      </c>
      <c r="P3937" s="5">
        <f>XLOOKUP(R3937, classification!C:C, classification!B:B, "Not Found")</f>
      </c>
      <c r="Q3937" s="1" t="s">
        <v>5514</v>
      </c>
      <c r="R3937" s="2"/>
      <c r="S3937" s="2"/>
      <c r="T3937" s="2"/>
      <c r="U3937" s="2"/>
    </row>
    <row x14ac:dyDescent="0.25" r="3938" customHeight="1" ht="17.25">
      <c r="A3938" s="7">
        <v>3937</v>
      </c>
      <c r="B3938" s="1" t="s">
        <v>9233</v>
      </c>
      <c r="C3938" s="5">
        <f>CONCATENATE("PD", TEXT(A3938, "1000000"))</f>
      </c>
      <c r="D3938" s="7">
        <v>1</v>
      </c>
      <c r="E3938" s="5">
        <f>XLOOKUP(G3938, item_category!C:C, item_category!B:B, "Not Found")</f>
      </c>
      <c r="F3938" s="1" t="s">
        <v>5514</v>
      </c>
      <c r="G3938" s="5">
        <f>XLOOKUP(I3938, drug!B:B, drug!A:A, "Not Found")</f>
      </c>
      <c r="H3938" s="1" t="s">
        <v>1942</v>
      </c>
      <c r="I3938" s="7">
        <v>100</v>
      </c>
      <c r="J3938" s="5">
        <f>XLOOKUP(L3938, uom!C:C, uom!B:B, "Not Found")</f>
      </c>
      <c r="K3938" s="1" t="s">
        <v>5511</v>
      </c>
      <c r="L3938" s="5">
        <f>XLOOKUP(N3938, uom!C:C, uom!B:B, "Not Found")</f>
      </c>
      <c r="M3938" s="1" t="s">
        <v>5511</v>
      </c>
      <c r="N3938" s="8" t="s">
        <v>5524</v>
      </c>
      <c r="O3938" s="1" t="s">
        <v>5525</v>
      </c>
      <c r="P3938" s="5">
        <f>XLOOKUP(R3938, classification!C:C, classification!B:B, "Not Found")</f>
      </c>
      <c r="Q3938" s="1" t="s">
        <v>5514</v>
      </c>
      <c r="R3938" s="2"/>
      <c r="S3938" s="2"/>
      <c r="T3938" s="2"/>
      <c r="U3938" s="2"/>
    </row>
    <row x14ac:dyDescent="0.25" r="3939" customHeight="1" ht="17.25">
      <c r="A3939" s="7">
        <v>3938</v>
      </c>
      <c r="B3939" s="1" t="s">
        <v>9234</v>
      </c>
      <c r="C3939" s="5">
        <f>CONCATENATE("PD", TEXT(A3939, "1000000"))</f>
      </c>
      <c r="D3939" s="7">
        <v>1</v>
      </c>
      <c r="E3939" s="5">
        <f>XLOOKUP(G3939, item_category!C:C, item_category!B:B, "Not Found")</f>
      </c>
      <c r="F3939" s="1" t="s">
        <v>5514</v>
      </c>
      <c r="G3939" s="5">
        <f>XLOOKUP(I3939, drug!B:B, drug!A:A, "Not Found")</f>
      </c>
      <c r="H3939" s="1"/>
      <c r="I3939" s="7">
        <v>400</v>
      </c>
      <c r="J3939" s="5">
        <f>XLOOKUP(L3939, uom!C:C, uom!B:B, "Not Found")</f>
      </c>
      <c r="K3939" s="1" t="s">
        <v>9235</v>
      </c>
      <c r="L3939" s="5">
        <f>XLOOKUP(N3939, uom!C:C, uom!B:B, "Not Found")</f>
      </c>
      <c r="M3939" s="1" t="s">
        <v>9235</v>
      </c>
      <c r="N3939" s="8" t="s">
        <v>5524</v>
      </c>
      <c r="O3939" s="1" t="s">
        <v>5525</v>
      </c>
      <c r="P3939" s="5">
        <f>XLOOKUP(R3939, classification!C:C, classification!B:B, "Not Found")</f>
      </c>
      <c r="Q3939" s="1" t="s">
        <v>5514</v>
      </c>
      <c r="R3939" s="2"/>
      <c r="S3939" s="2"/>
      <c r="T3939" s="2"/>
      <c r="U3939" s="2"/>
    </row>
    <row x14ac:dyDescent="0.25" r="3940" customHeight="1" ht="17.25">
      <c r="A3940" s="7">
        <v>3939</v>
      </c>
      <c r="B3940" s="1" t="s">
        <v>9236</v>
      </c>
      <c r="C3940" s="5">
        <f>CONCATENATE("PD", TEXT(A3940, "1000000"))</f>
      </c>
      <c r="D3940" s="7">
        <v>65</v>
      </c>
      <c r="E3940" s="5">
        <f>XLOOKUP(G3940, item_category!C:C, item_category!B:B, "Not Found")</f>
      </c>
      <c r="F3940" s="1" t="s">
        <v>6008</v>
      </c>
      <c r="G3940" s="5">
        <f>XLOOKUP(I3940, drug!B:B, drug!A:A, "Not Found")</f>
      </c>
      <c r="H3940" s="1" t="s">
        <v>1186</v>
      </c>
      <c r="I3940" s="7">
        <v>1</v>
      </c>
      <c r="J3940" s="5">
        <f>XLOOKUP(L3940, uom!C:C, uom!B:B, "Not Found")</f>
      </c>
      <c r="K3940" s="1" t="s">
        <v>5510</v>
      </c>
      <c r="L3940" s="5">
        <f>XLOOKUP(N3940, uom!C:C, uom!B:B, "Not Found")</f>
      </c>
      <c r="M3940" s="1" t="s">
        <v>5510</v>
      </c>
      <c r="N3940" s="8" t="s">
        <v>5524</v>
      </c>
      <c r="O3940" s="1" t="s">
        <v>5525</v>
      </c>
      <c r="P3940" s="5">
        <f>XLOOKUP(R3940, classification!C:C, classification!B:B, "Not Found")</f>
      </c>
      <c r="Q3940" s="1" t="s">
        <v>5514</v>
      </c>
      <c r="R3940" s="2"/>
      <c r="S3940" s="2"/>
      <c r="T3940" s="2"/>
      <c r="U3940" s="2"/>
    </row>
    <row x14ac:dyDescent="0.25" r="3941" customHeight="1" ht="17.25">
      <c r="A3941" s="7">
        <v>3940</v>
      </c>
      <c r="B3941" s="1" t="s">
        <v>9237</v>
      </c>
      <c r="C3941" s="5">
        <f>CONCATENATE("PD", TEXT(A3941, "1000000"))</f>
      </c>
      <c r="D3941" s="7">
        <v>75</v>
      </c>
      <c r="E3941" s="5">
        <f>XLOOKUP(G3941, item_category!C:C, item_category!B:B, "Not Found")</f>
      </c>
      <c r="F3941" s="1" t="s">
        <v>5541</v>
      </c>
      <c r="G3941" s="5">
        <f>XLOOKUP(I3941, drug!B:B, drug!A:A, "Not Found")</f>
      </c>
      <c r="H3941" s="1"/>
      <c r="I3941" s="7">
        <v>100</v>
      </c>
      <c r="J3941" s="5">
        <f>XLOOKUP(L3941, uom!C:C, uom!B:B, "Not Found")</f>
      </c>
      <c r="K3941" s="1" t="s">
        <v>5622</v>
      </c>
      <c r="L3941" s="5">
        <f>XLOOKUP(N3941, uom!C:C, uom!B:B, "Not Found")</f>
      </c>
      <c r="M3941" s="1" t="s">
        <v>5622</v>
      </c>
      <c r="N3941" s="8" t="s">
        <v>5524</v>
      </c>
      <c r="O3941" s="1" t="s">
        <v>5525</v>
      </c>
      <c r="P3941" s="5">
        <f>XLOOKUP(R3941, classification!C:C, classification!B:B, "Not Found")</f>
      </c>
      <c r="Q3941" s="1" t="s">
        <v>5514</v>
      </c>
      <c r="R3941" s="2"/>
      <c r="S3941" s="2"/>
      <c r="T3941" s="2"/>
      <c r="U3941" s="2"/>
    </row>
    <row x14ac:dyDescent="0.25" r="3942" customHeight="1" ht="17.25">
      <c r="A3942" s="7">
        <v>3941</v>
      </c>
      <c r="B3942" s="1" t="s">
        <v>9238</v>
      </c>
      <c r="C3942" s="5">
        <f>CONCATENATE("PD", TEXT(A3942, "1000000"))</f>
      </c>
      <c r="D3942" s="7">
        <v>81</v>
      </c>
      <c r="E3942" s="5">
        <f>XLOOKUP(G3942, item_category!C:C, item_category!B:B, "Not Found")</f>
      </c>
      <c r="F3942" s="1" t="s">
        <v>5510</v>
      </c>
      <c r="G3942" s="5">
        <f>XLOOKUP(I3942, drug!B:B, drug!A:A, "Not Found")</f>
      </c>
      <c r="H3942" s="1"/>
      <c r="I3942" s="7">
        <v>600</v>
      </c>
      <c r="J3942" s="5">
        <f>XLOOKUP(L3942, uom!C:C, uom!B:B, "Not Found")</f>
      </c>
      <c r="K3942" s="1" t="s">
        <v>5510</v>
      </c>
      <c r="L3942" s="5">
        <f>XLOOKUP(N3942, uom!C:C, uom!B:B, "Not Found")</f>
      </c>
      <c r="M3942" s="1" t="s">
        <v>5510</v>
      </c>
      <c r="N3942" s="8" t="s">
        <v>5524</v>
      </c>
      <c r="O3942" s="1" t="s">
        <v>5525</v>
      </c>
      <c r="P3942" s="5">
        <f>XLOOKUP(R3942, classification!C:C, classification!B:B, "Not Found")</f>
      </c>
      <c r="Q3942" s="1" t="s">
        <v>5514</v>
      </c>
      <c r="R3942" s="2"/>
      <c r="S3942" s="2"/>
      <c r="T3942" s="2"/>
      <c r="U3942" s="2"/>
    </row>
    <row x14ac:dyDescent="0.25" r="3943" customHeight="1" ht="17.25">
      <c r="A3943" s="7">
        <v>3942</v>
      </c>
      <c r="B3943" s="1" t="s">
        <v>9239</v>
      </c>
      <c r="C3943" s="5">
        <f>CONCATENATE("PD", TEXT(A3943, "1000000"))</f>
      </c>
      <c r="D3943" s="7">
        <v>1</v>
      </c>
      <c r="E3943" s="5">
        <f>XLOOKUP(G3943, item_category!C:C, item_category!B:B, "Not Found")</f>
      </c>
      <c r="F3943" s="1" t="s">
        <v>5514</v>
      </c>
      <c r="G3943" s="5">
        <f>XLOOKUP(I3943, drug!B:B, drug!A:A, "Not Found")</f>
      </c>
      <c r="H3943" s="1" t="s">
        <v>1147</v>
      </c>
      <c r="I3943" s="7">
        <v>1</v>
      </c>
      <c r="J3943" s="5">
        <f>XLOOKUP(L3943, uom!C:C, uom!B:B, "Not Found")</f>
      </c>
      <c r="K3943" s="1" t="s">
        <v>5581</v>
      </c>
      <c r="L3943" s="5">
        <f>XLOOKUP(N3943, uom!C:C, uom!B:B, "Not Found")</f>
      </c>
      <c r="M3943" s="1" t="s">
        <v>5581</v>
      </c>
      <c r="N3943" s="8" t="s">
        <v>5524</v>
      </c>
      <c r="O3943" s="1" t="s">
        <v>5525</v>
      </c>
      <c r="P3943" s="5">
        <f>XLOOKUP(R3943, classification!C:C, classification!B:B, "Not Found")</f>
      </c>
      <c r="Q3943" s="1" t="s">
        <v>5514</v>
      </c>
      <c r="R3943" s="2"/>
      <c r="S3943" s="2"/>
      <c r="T3943" s="2"/>
      <c r="U3943" s="2"/>
    </row>
    <row x14ac:dyDescent="0.25" r="3944" customHeight="1" ht="17.25">
      <c r="A3944" s="7">
        <v>3943</v>
      </c>
      <c r="B3944" s="1" t="s">
        <v>9240</v>
      </c>
      <c r="C3944" s="5">
        <f>CONCATENATE("PD", TEXT(A3944, "1000000"))</f>
      </c>
      <c r="D3944" s="7">
        <v>65</v>
      </c>
      <c r="E3944" s="5">
        <f>XLOOKUP(G3944, item_category!C:C, item_category!B:B, "Not Found")</f>
      </c>
      <c r="F3944" s="1" t="s">
        <v>6008</v>
      </c>
      <c r="G3944" s="5">
        <f>XLOOKUP(I3944, drug!B:B, drug!A:A, "Not Found")</f>
      </c>
      <c r="H3944" s="1"/>
      <c r="I3944" s="7">
        <v>150</v>
      </c>
      <c r="J3944" s="5">
        <f>XLOOKUP(L3944, uom!C:C, uom!B:B, "Not Found")</f>
      </c>
      <c r="K3944" s="1" t="s">
        <v>5510</v>
      </c>
      <c r="L3944" s="5">
        <f>XLOOKUP(N3944, uom!C:C, uom!B:B, "Not Found")</f>
      </c>
      <c r="M3944" s="1" t="s">
        <v>5510</v>
      </c>
      <c r="N3944" s="8" t="s">
        <v>5524</v>
      </c>
      <c r="O3944" s="1" t="s">
        <v>5525</v>
      </c>
      <c r="P3944" s="5">
        <f>XLOOKUP(R3944, classification!C:C, classification!B:B, "Not Found")</f>
      </c>
      <c r="Q3944" s="1" t="s">
        <v>5514</v>
      </c>
      <c r="R3944" s="2"/>
      <c r="S3944" s="2"/>
      <c r="T3944" s="2"/>
      <c r="U3944" s="2"/>
    </row>
    <row x14ac:dyDescent="0.25" r="3945" customHeight="1" ht="17.25">
      <c r="A3945" s="7">
        <v>3944</v>
      </c>
      <c r="B3945" s="1" t="s">
        <v>9241</v>
      </c>
      <c r="C3945" s="5">
        <f>CONCATENATE("PD", TEXT(A3945, "1000000"))</f>
      </c>
      <c r="D3945" s="7">
        <v>1</v>
      </c>
      <c r="E3945" s="5">
        <f>XLOOKUP(G3945, item_category!C:C, item_category!B:B, "Not Found")</f>
      </c>
      <c r="F3945" s="1" t="s">
        <v>5514</v>
      </c>
      <c r="G3945" s="5">
        <f>XLOOKUP(I3945, drug!B:B, drug!A:A, "Not Found")</f>
      </c>
      <c r="H3945" s="1"/>
      <c r="I3945" s="7">
        <v>200</v>
      </c>
      <c r="J3945" s="5">
        <f>XLOOKUP(L3945, uom!C:C, uom!B:B, "Not Found")</f>
      </c>
      <c r="K3945" s="1" t="s">
        <v>5544</v>
      </c>
      <c r="L3945" s="5">
        <f>XLOOKUP(N3945, uom!C:C, uom!B:B, "Not Found")</f>
      </c>
      <c r="M3945" s="1" t="s">
        <v>6186</v>
      </c>
      <c r="N3945" s="8" t="s">
        <v>5524</v>
      </c>
      <c r="O3945" s="1" t="s">
        <v>5525</v>
      </c>
      <c r="P3945" s="5">
        <f>XLOOKUP(R3945, classification!C:C, classification!B:B, "Not Found")</f>
      </c>
      <c r="Q3945" s="1" t="s">
        <v>5514</v>
      </c>
      <c r="R3945" s="2"/>
      <c r="S3945" s="2"/>
      <c r="T3945" s="2"/>
      <c r="U3945" s="2"/>
    </row>
    <row x14ac:dyDescent="0.25" r="3946" customHeight="1" ht="17.25">
      <c r="A3946" s="7">
        <v>3945</v>
      </c>
      <c r="B3946" s="1" t="s">
        <v>9242</v>
      </c>
      <c r="C3946" s="5">
        <f>CONCATENATE("PD", TEXT(A3946, "1000000"))</f>
      </c>
      <c r="D3946" s="7">
        <v>65</v>
      </c>
      <c r="E3946" s="5">
        <f>XLOOKUP(G3946, item_category!C:C, item_category!B:B, "Not Found")</f>
      </c>
      <c r="F3946" s="1" t="s">
        <v>6008</v>
      </c>
      <c r="G3946" s="5">
        <f>XLOOKUP(I3946, drug!B:B, drug!A:A, "Not Found")</f>
      </c>
      <c r="H3946" s="1" t="s">
        <v>364</v>
      </c>
      <c r="I3946" s="7">
        <v>50</v>
      </c>
      <c r="J3946" s="5">
        <f>XLOOKUP(L3946, uom!C:C, uom!B:B, "Not Found")</f>
      </c>
      <c r="K3946" s="1" t="s">
        <v>5510</v>
      </c>
      <c r="L3946" s="5">
        <f>XLOOKUP(N3946, uom!C:C, uom!B:B, "Not Found")</f>
      </c>
      <c r="M3946" s="1" t="s">
        <v>5510</v>
      </c>
      <c r="N3946" s="8" t="s">
        <v>5524</v>
      </c>
      <c r="O3946" s="1" t="s">
        <v>5525</v>
      </c>
      <c r="P3946" s="5">
        <f>XLOOKUP(R3946, classification!C:C, classification!B:B, "Not Found")</f>
      </c>
      <c r="Q3946" s="1" t="s">
        <v>5514</v>
      </c>
      <c r="R3946" s="2"/>
      <c r="S3946" s="2"/>
      <c r="T3946" s="2"/>
      <c r="U3946" s="2"/>
    </row>
    <row x14ac:dyDescent="0.25" r="3947" customHeight="1" ht="17.25">
      <c r="A3947" s="7">
        <v>3946</v>
      </c>
      <c r="B3947" s="1" t="s">
        <v>9243</v>
      </c>
      <c r="C3947" s="5">
        <f>CONCATENATE("PD", TEXT(A3947, "1000000"))</f>
      </c>
      <c r="D3947" s="7">
        <v>74</v>
      </c>
      <c r="E3947" s="5">
        <f>XLOOKUP(G3947, item_category!C:C, item_category!B:B, "Not Found")</f>
      </c>
      <c r="F3947" s="1" t="s">
        <v>5520</v>
      </c>
      <c r="G3947" s="5">
        <f>XLOOKUP(I3947, drug!B:B, drug!A:A, "Not Found")</f>
      </c>
      <c r="H3947" s="1"/>
      <c r="I3947" s="7">
        <v>600</v>
      </c>
      <c r="J3947" s="5">
        <f>XLOOKUP(L3947, uom!C:C, uom!B:B, "Not Found")</f>
      </c>
      <c r="K3947" s="1" t="s">
        <v>6186</v>
      </c>
      <c r="L3947" s="5">
        <f>XLOOKUP(N3947, uom!C:C, uom!B:B, "Not Found")</f>
      </c>
      <c r="M3947" s="1" t="s">
        <v>6186</v>
      </c>
      <c r="N3947" s="8" t="s">
        <v>5524</v>
      </c>
      <c r="O3947" s="1" t="s">
        <v>5525</v>
      </c>
      <c r="P3947" s="5">
        <f>XLOOKUP(R3947, classification!C:C, classification!B:B, "Not Found")</f>
      </c>
      <c r="Q3947" s="1" t="s">
        <v>5514</v>
      </c>
      <c r="R3947" s="2"/>
      <c r="S3947" s="2"/>
      <c r="T3947" s="2"/>
      <c r="U3947" s="2"/>
    </row>
    <row x14ac:dyDescent="0.25" r="3948" customHeight="1" ht="17.25">
      <c r="A3948" s="7">
        <v>3947</v>
      </c>
      <c r="B3948" s="1" t="s">
        <v>9244</v>
      </c>
      <c r="C3948" s="5">
        <f>CONCATENATE("PD", TEXT(A3948, "1000000"))</f>
      </c>
      <c r="D3948" s="7">
        <v>1</v>
      </c>
      <c r="E3948" s="5">
        <f>XLOOKUP(G3948, item_category!C:C, item_category!B:B, "Not Found")</f>
      </c>
      <c r="F3948" s="1" t="s">
        <v>5514</v>
      </c>
      <c r="G3948" s="5">
        <f>XLOOKUP(I3948, drug!B:B, drug!A:A, "Not Found")</f>
      </c>
      <c r="H3948" s="1" t="s">
        <v>1386</v>
      </c>
      <c r="I3948" s="7">
        <v>150</v>
      </c>
      <c r="J3948" s="5">
        <f>XLOOKUP(L3948, uom!C:C, uom!B:B, "Not Found")</f>
      </c>
      <c r="K3948" s="1" t="s">
        <v>5544</v>
      </c>
      <c r="L3948" s="5">
        <f>XLOOKUP(N3948, uom!C:C, uom!B:B, "Not Found")</f>
      </c>
      <c r="M3948" s="1" t="s">
        <v>5544</v>
      </c>
      <c r="N3948" s="8" t="s">
        <v>5524</v>
      </c>
      <c r="O3948" s="1" t="s">
        <v>5525</v>
      </c>
      <c r="P3948" s="5">
        <f>XLOOKUP(R3948, classification!C:C, classification!B:B, "Not Found")</f>
      </c>
      <c r="Q3948" s="1" t="s">
        <v>5514</v>
      </c>
      <c r="R3948" s="2"/>
      <c r="S3948" s="2"/>
      <c r="T3948" s="2"/>
      <c r="U3948" s="2"/>
    </row>
    <row x14ac:dyDescent="0.25" r="3949" customHeight="1" ht="17.25">
      <c r="A3949" s="7">
        <v>3948</v>
      </c>
      <c r="B3949" s="1" t="s">
        <v>9245</v>
      </c>
      <c r="C3949" s="5">
        <f>CONCATENATE("PD", TEXT(A3949, "1000000"))</f>
      </c>
      <c r="D3949" s="7">
        <v>74</v>
      </c>
      <c r="E3949" s="5">
        <f>XLOOKUP(G3949, item_category!C:C, item_category!B:B, "Not Found")</f>
      </c>
      <c r="F3949" s="1" t="s">
        <v>5520</v>
      </c>
      <c r="G3949" s="5">
        <f>XLOOKUP(I3949, drug!B:B, drug!A:A, "Not Found")</f>
      </c>
      <c r="H3949" s="1" t="s">
        <v>75</v>
      </c>
      <c r="I3949" s="7">
        <v>200</v>
      </c>
      <c r="J3949" s="5">
        <f>XLOOKUP(L3949, uom!C:C, uom!B:B, "Not Found")</f>
      </c>
      <c r="K3949" s="1" t="s">
        <v>5544</v>
      </c>
      <c r="L3949" s="5">
        <f>XLOOKUP(N3949, uom!C:C, uom!B:B, "Not Found")</f>
      </c>
      <c r="M3949" s="1" t="s">
        <v>5544</v>
      </c>
      <c r="N3949" s="8" t="s">
        <v>5524</v>
      </c>
      <c r="O3949" s="1" t="s">
        <v>5525</v>
      </c>
      <c r="P3949" s="5">
        <f>XLOOKUP(R3949, classification!C:C, classification!B:B, "Not Found")</f>
      </c>
      <c r="Q3949" s="1" t="s">
        <v>5514</v>
      </c>
      <c r="R3949" s="2"/>
      <c r="S3949" s="2"/>
      <c r="T3949" s="2"/>
      <c r="U3949" s="2"/>
    </row>
    <row x14ac:dyDescent="0.25" r="3950" customHeight="1" ht="17.25">
      <c r="A3950" s="7">
        <v>3949</v>
      </c>
      <c r="B3950" s="1" t="s">
        <v>9246</v>
      </c>
      <c r="C3950" s="5">
        <f>CONCATENATE("PD", TEXT(A3950, "1000000"))</f>
      </c>
      <c r="D3950" s="7">
        <v>65</v>
      </c>
      <c r="E3950" s="5">
        <f>XLOOKUP(G3950, item_category!C:C, item_category!B:B, "Not Found")</f>
      </c>
      <c r="F3950" s="1" t="s">
        <v>6008</v>
      </c>
      <c r="G3950" s="5">
        <f>XLOOKUP(I3950, drug!B:B, drug!A:A, "Not Found")</f>
      </c>
      <c r="H3950" s="1" t="s">
        <v>233</v>
      </c>
      <c r="I3950" s="7">
        <v>250</v>
      </c>
      <c r="J3950" s="5">
        <f>XLOOKUP(L3950, uom!C:C, uom!B:B, "Not Found")</f>
      </c>
      <c r="K3950" s="1" t="s">
        <v>5510</v>
      </c>
      <c r="L3950" s="5">
        <f>XLOOKUP(N3950, uom!C:C, uom!B:B, "Not Found")</f>
      </c>
      <c r="M3950" s="1" t="s">
        <v>5510</v>
      </c>
      <c r="N3950" s="8" t="s">
        <v>5524</v>
      </c>
      <c r="O3950" s="1" t="s">
        <v>5525</v>
      </c>
      <c r="P3950" s="5">
        <f>XLOOKUP(R3950, classification!C:C, classification!B:B, "Not Found")</f>
      </c>
      <c r="Q3950" s="1" t="s">
        <v>5514</v>
      </c>
      <c r="R3950" s="2"/>
      <c r="S3950" s="2"/>
      <c r="T3950" s="2"/>
      <c r="U3950" s="2"/>
    </row>
    <row x14ac:dyDescent="0.25" r="3951" customHeight="1" ht="17.25">
      <c r="A3951" s="7">
        <v>3950</v>
      </c>
      <c r="B3951" s="1" t="s">
        <v>9247</v>
      </c>
      <c r="C3951" s="5">
        <f>CONCATENATE("PD", TEXT(A3951, "1000000"))</f>
      </c>
      <c r="D3951" s="7">
        <v>65</v>
      </c>
      <c r="E3951" s="5">
        <f>XLOOKUP(G3951, item_category!C:C, item_category!B:B, "Not Found")</f>
      </c>
      <c r="F3951" s="1" t="s">
        <v>6008</v>
      </c>
      <c r="G3951" s="5">
        <f>XLOOKUP(I3951, drug!B:B, drug!A:A, "Not Found")</f>
      </c>
      <c r="H3951" s="1" t="s">
        <v>857</v>
      </c>
      <c r="I3951" s="7">
        <v>50</v>
      </c>
      <c r="J3951" s="5">
        <f>XLOOKUP(L3951, uom!C:C, uom!B:B, "Not Found")</f>
      </c>
      <c r="K3951" s="1" t="s">
        <v>5510</v>
      </c>
      <c r="L3951" s="5">
        <f>XLOOKUP(N3951, uom!C:C, uom!B:B, "Not Found")</f>
      </c>
      <c r="M3951" s="1" t="s">
        <v>5510</v>
      </c>
      <c r="N3951" s="8" t="s">
        <v>5524</v>
      </c>
      <c r="O3951" s="1" t="s">
        <v>5525</v>
      </c>
      <c r="P3951" s="5">
        <f>XLOOKUP(R3951, classification!C:C, classification!B:B, "Not Found")</f>
      </c>
      <c r="Q3951" s="1" t="s">
        <v>5514</v>
      </c>
      <c r="R3951" s="2"/>
      <c r="S3951" s="2"/>
      <c r="T3951" s="2"/>
      <c r="U3951" s="2"/>
    </row>
    <row x14ac:dyDescent="0.25" r="3952" customHeight="1" ht="17.25">
      <c r="A3952" s="7">
        <v>3951</v>
      </c>
      <c r="B3952" s="1" t="s">
        <v>3506</v>
      </c>
      <c r="C3952" s="5">
        <f>CONCATENATE("PD", TEXT(A3952, "1000000"))</f>
      </c>
      <c r="D3952" s="7">
        <v>76</v>
      </c>
      <c r="E3952" s="5">
        <f>XLOOKUP(G3952, item_category!C:C, item_category!B:B, "Not Found")</f>
      </c>
      <c r="F3952" s="1" t="s">
        <v>5632</v>
      </c>
      <c r="G3952" s="5">
        <f>XLOOKUP(I3952, drug!B:B, drug!A:A, "Not Found")</f>
      </c>
      <c r="H3952" s="1"/>
      <c r="I3952" s="7">
        <v>250</v>
      </c>
      <c r="J3952" s="5">
        <f>XLOOKUP(L3952, uom!C:C, uom!B:B, "Not Found")</f>
      </c>
      <c r="K3952" s="1" t="s">
        <v>7696</v>
      </c>
      <c r="L3952" s="5">
        <f>XLOOKUP(N3952, uom!C:C, uom!B:B, "Not Found")</f>
      </c>
      <c r="M3952" s="1" t="s">
        <v>7696</v>
      </c>
      <c r="N3952" s="8" t="s">
        <v>5524</v>
      </c>
      <c r="O3952" s="1" t="s">
        <v>5525</v>
      </c>
      <c r="P3952" s="5">
        <f>XLOOKUP(R3952, classification!C:C, classification!B:B, "Not Found")</f>
      </c>
      <c r="Q3952" s="1" t="s">
        <v>5514</v>
      </c>
      <c r="R3952" s="2"/>
      <c r="S3952" s="2"/>
      <c r="T3952" s="2"/>
      <c r="U3952" s="2"/>
    </row>
    <row x14ac:dyDescent="0.25" r="3953" customHeight="1" ht="17.25">
      <c r="A3953" s="7">
        <v>3952</v>
      </c>
      <c r="B3953" s="1" t="s">
        <v>9248</v>
      </c>
      <c r="C3953" s="5">
        <f>CONCATENATE("PD", TEXT(A3953, "1000000"))</f>
      </c>
      <c r="D3953" s="7">
        <v>75</v>
      </c>
      <c r="E3953" s="5">
        <f>XLOOKUP(G3953, item_category!C:C, item_category!B:B, "Not Found")</f>
      </c>
      <c r="F3953" s="1" t="s">
        <v>5541</v>
      </c>
      <c r="G3953" s="5">
        <f>XLOOKUP(I3953, drug!B:B, drug!A:A, "Not Found")</f>
      </c>
      <c r="H3953" s="1"/>
      <c r="I3953" s="7">
        <v>50</v>
      </c>
      <c r="J3953" s="5">
        <f>XLOOKUP(L3953, uom!C:C, uom!B:B, "Not Found")</f>
      </c>
      <c r="K3953" s="1" t="s">
        <v>5544</v>
      </c>
      <c r="L3953" s="5">
        <f>XLOOKUP(N3953, uom!C:C, uom!B:B, "Not Found")</f>
      </c>
      <c r="M3953" s="1" t="s">
        <v>5544</v>
      </c>
      <c r="N3953" s="8" t="s">
        <v>5524</v>
      </c>
      <c r="O3953" s="1" t="s">
        <v>5525</v>
      </c>
      <c r="P3953" s="5">
        <f>XLOOKUP(R3953, classification!C:C, classification!B:B, "Not Found")</f>
      </c>
      <c r="Q3953" s="1" t="s">
        <v>5514</v>
      </c>
      <c r="R3953" s="2"/>
      <c r="S3953" s="2"/>
      <c r="T3953" s="2"/>
      <c r="U3953" s="2"/>
    </row>
    <row x14ac:dyDescent="0.25" r="3954" customHeight="1" ht="17.25">
      <c r="A3954" s="7">
        <v>3953</v>
      </c>
      <c r="B3954" s="1" t="s">
        <v>9249</v>
      </c>
      <c r="C3954" s="5">
        <f>CONCATENATE("PD", TEXT(A3954, "1000000"))</f>
      </c>
      <c r="D3954" s="7">
        <v>74</v>
      </c>
      <c r="E3954" s="5">
        <f>XLOOKUP(G3954, item_category!C:C, item_category!B:B, "Not Found")</f>
      </c>
      <c r="F3954" s="1" t="s">
        <v>5520</v>
      </c>
      <c r="G3954" s="5">
        <f>XLOOKUP(I3954, drug!B:B, drug!A:A, "Not Found")</f>
      </c>
      <c r="H3954" s="1"/>
      <c r="I3954" s="7">
        <v>250</v>
      </c>
      <c r="J3954" s="5">
        <f>XLOOKUP(L3954, uom!C:C, uom!B:B, "Not Found")</f>
      </c>
      <c r="K3954" s="1" t="s">
        <v>5544</v>
      </c>
      <c r="L3954" s="5">
        <f>XLOOKUP(N3954, uom!C:C, uom!B:B, "Not Found")</f>
      </c>
      <c r="M3954" s="1" t="s">
        <v>5544</v>
      </c>
      <c r="N3954" s="8" t="s">
        <v>5524</v>
      </c>
      <c r="O3954" s="1" t="s">
        <v>5525</v>
      </c>
      <c r="P3954" s="5">
        <f>XLOOKUP(R3954, classification!C:C, classification!B:B, "Not Found")</f>
      </c>
      <c r="Q3954" s="1" t="s">
        <v>5514</v>
      </c>
      <c r="R3954" s="2"/>
      <c r="S3954" s="2"/>
      <c r="T3954" s="2"/>
      <c r="U3954" s="2"/>
    </row>
    <row x14ac:dyDescent="0.25" r="3955" customHeight="1" ht="17.25">
      <c r="A3955" s="7">
        <v>3954</v>
      </c>
      <c r="B3955" s="1" t="s">
        <v>9250</v>
      </c>
      <c r="C3955" s="5">
        <f>CONCATENATE("PD", TEXT(A3955, "1000000"))</f>
      </c>
      <c r="D3955" s="7">
        <v>78</v>
      </c>
      <c r="E3955" s="5">
        <f>XLOOKUP(G3955, item_category!C:C, item_category!B:B, "Not Found")</f>
      </c>
      <c r="F3955" s="1" t="s">
        <v>5522</v>
      </c>
      <c r="G3955" s="5">
        <f>XLOOKUP(I3955, drug!B:B, drug!A:A, "Not Found")</f>
      </c>
      <c r="H3955" s="1"/>
      <c r="I3955" s="7">
        <v>300</v>
      </c>
      <c r="J3955" s="5">
        <f>XLOOKUP(L3955, uom!C:C, uom!B:B, "Not Found")</f>
      </c>
      <c r="K3955" s="1" t="s">
        <v>5523</v>
      </c>
      <c r="L3955" s="5">
        <f>XLOOKUP(N3955, uom!C:C, uom!B:B, "Not Found")</f>
      </c>
      <c r="M3955" s="1" t="s">
        <v>5523</v>
      </c>
      <c r="N3955" s="8" t="s">
        <v>5524</v>
      </c>
      <c r="O3955" s="1" t="s">
        <v>5525</v>
      </c>
      <c r="P3955" s="5">
        <f>XLOOKUP(R3955, classification!C:C, classification!B:B, "Not Found")</f>
      </c>
      <c r="Q3955" s="1" t="s">
        <v>5514</v>
      </c>
      <c r="R3955" s="2"/>
      <c r="S3955" s="2"/>
      <c r="T3955" s="2"/>
      <c r="U3955" s="2"/>
    </row>
    <row x14ac:dyDescent="0.25" r="3956" customHeight="1" ht="17.25">
      <c r="A3956" s="7">
        <v>3955</v>
      </c>
      <c r="B3956" s="1" t="s">
        <v>9251</v>
      </c>
      <c r="C3956" s="5">
        <f>CONCATENATE("PD", TEXT(A3956, "1000000"))</f>
      </c>
      <c r="D3956" s="7">
        <v>1</v>
      </c>
      <c r="E3956" s="5">
        <f>XLOOKUP(G3956, item_category!C:C, item_category!B:B, "Not Found")</f>
      </c>
      <c r="F3956" s="1" t="s">
        <v>5514</v>
      </c>
      <c r="G3956" s="5">
        <f>XLOOKUP(I3956, drug!B:B, drug!A:A, "Not Found")</f>
      </c>
      <c r="H3956" s="1" t="s">
        <v>308</v>
      </c>
      <c r="I3956" s="7">
        <v>200</v>
      </c>
      <c r="J3956" s="5">
        <f>XLOOKUP(L3956, uom!C:C, uom!B:B, "Not Found")</f>
      </c>
      <c r="K3956" s="1" t="s">
        <v>5722</v>
      </c>
      <c r="L3956" s="5">
        <f>XLOOKUP(N3956, uom!C:C, uom!B:B, "Not Found")</f>
      </c>
      <c r="M3956" s="1" t="s">
        <v>5722</v>
      </c>
      <c r="N3956" s="8" t="s">
        <v>5524</v>
      </c>
      <c r="O3956" s="1" t="s">
        <v>5525</v>
      </c>
      <c r="P3956" s="5">
        <f>XLOOKUP(R3956, classification!C:C, classification!B:B, "Not Found")</f>
      </c>
      <c r="Q3956" s="1" t="s">
        <v>5514</v>
      </c>
      <c r="R3956" s="2"/>
      <c r="S3956" s="2"/>
      <c r="T3956" s="2"/>
      <c r="U3956" s="2"/>
    </row>
    <row x14ac:dyDescent="0.25" r="3957" customHeight="1" ht="17.25">
      <c r="A3957" s="7">
        <v>3956</v>
      </c>
      <c r="B3957" s="1" t="s">
        <v>9252</v>
      </c>
      <c r="C3957" s="5">
        <f>CONCATENATE("PD", TEXT(A3957, "1000000"))</f>
      </c>
      <c r="D3957" s="7">
        <v>74</v>
      </c>
      <c r="E3957" s="5">
        <f>XLOOKUP(G3957, item_category!C:C, item_category!B:B, "Not Found")</f>
      </c>
      <c r="F3957" s="1" t="s">
        <v>5520</v>
      </c>
      <c r="G3957" s="5">
        <f>XLOOKUP(I3957, drug!B:B, drug!A:A, "Not Found")</f>
      </c>
      <c r="H3957" s="1"/>
      <c r="I3957" s="7">
        <v>300</v>
      </c>
      <c r="J3957" s="5">
        <f>XLOOKUP(L3957, uom!C:C, uom!B:B, "Not Found")</f>
      </c>
      <c r="K3957" s="1" t="s">
        <v>5544</v>
      </c>
      <c r="L3957" s="5">
        <f>XLOOKUP(N3957, uom!C:C, uom!B:B, "Not Found")</f>
      </c>
      <c r="M3957" s="1" t="s">
        <v>5544</v>
      </c>
      <c r="N3957" s="8" t="s">
        <v>5524</v>
      </c>
      <c r="O3957" s="1" t="s">
        <v>5525</v>
      </c>
      <c r="P3957" s="5">
        <f>XLOOKUP(R3957, classification!C:C, classification!B:B, "Not Found")</f>
      </c>
      <c r="Q3957" s="1" t="s">
        <v>5514</v>
      </c>
      <c r="R3957" s="2"/>
      <c r="S3957" s="2"/>
      <c r="T3957" s="2"/>
      <c r="U3957" s="2"/>
    </row>
    <row x14ac:dyDescent="0.25" r="3958" customHeight="1" ht="17.25">
      <c r="A3958" s="7">
        <v>3957</v>
      </c>
      <c r="B3958" s="1" t="s">
        <v>9253</v>
      </c>
      <c r="C3958" s="5">
        <f>CONCATENATE("PD", TEXT(A3958, "1000000"))</f>
      </c>
      <c r="D3958" s="7">
        <v>1</v>
      </c>
      <c r="E3958" s="5">
        <f>XLOOKUP(G3958, item_category!C:C, item_category!B:B, "Not Found")</f>
      </c>
      <c r="F3958" s="1" t="s">
        <v>5514</v>
      </c>
      <c r="G3958" s="5">
        <f>XLOOKUP(I3958, drug!B:B, drug!A:A, "Not Found")</f>
      </c>
      <c r="H3958" s="1" t="s">
        <v>1280</v>
      </c>
      <c r="I3958" s="7">
        <v>300</v>
      </c>
      <c r="J3958" s="5">
        <f>XLOOKUP(L3958, uom!C:C, uom!B:B, "Not Found")</f>
      </c>
      <c r="K3958" s="1" t="s">
        <v>5544</v>
      </c>
      <c r="L3958" s="5">
        <f>XLOOKUP(N3958, uom!C:C, uom!B:B, "Not Found")</f>
      </c>
      <c r="M3958" s="1" t="s">
        <v>5544</v>
      </c>
      <c r="N3958" s="8" t="s">
        <v>5524</v>
      </c>
      <c r="O3958" s="1" t="s">
        <v>5525</v>
      </c>
      <c r="P3958" s="5">
        <f>XLOOKUP(R3958, classification!C:C, classification!B:B, "Not Found")</f>
      </c>
      <c r="Q3958" s="1" t="s">
        <v>5514</v>
      </c>
      <c r="R3958" s="2"/>
      <c r="S3958" s="2"/>
      <c r="T3958" s="2"/>
      <c r="U3958" s="2"/>
    </row>
    <row x14ac:dyDescent="0.25" r="3959" customHeight="1" ht="17.25">
      <c r="A3959" s="7">
        <v>3958</v>
      </c>
      <c r="B3959" s="1" t="s">
        <v>9254</v>
      </c>
      <c r="C3959" s="5">
        <f>CONCATENATE("PD", TEXT(A3959, "1000000"))</f>
      </c>
      <c r="D3959" s="7">
        <v>1</v>
      </c>
      <c r="E3959" s="5">
        <f>XLOOKUP(G3959, item_category!C:C, item_category!B:B, "Not Found")</f>
      </c>
      <c r="F3959" s="1" t="s">
        <v>5514</v>
      </c>
      <c r="G3959" s="5">
        <f>XLOOKUP(I3959, drug!B:B, drug!A:A, "Not Found")</f>
      </c>
      <c r="H3959" s="1"/>
      <c r="I3959" s="7">
        <v>100</v>
      </c>
      <c r="J3959" s="5">
        <f>XLOOKUP(L3959, uom!C:C, uom!B:B, "Not Found")</f>
      </c>
      <c r="K3959" s="1" t="s">
        <v>9235</v>
      </c>
      <c r="L3959" s="5">
        <f>XLOOKUP(N3959, uom!C:C, uom!B:B, "Not Found")</f>
      </c>
      <c r="M3959" s="1" t="s">
        <v>9235</v>
      </c>
      <c r="N3959" s="8" t="s">
        <v>5524</v>
      </c>
      <c r="O3959" s="1" t="s">
        <v>5525</v>
      </c>
      <c r="P3959" s="5">
        <f>XLOOKUP(R3959, classification!C:C, classification!B:B, "Not Found")</f>
      </c>
      <c r="Q3959" s="1" t="s">
        <v>5514</v>
      </c>
      <c r="R3959" s="2"/>
      <c r="S3959" s="2"/>
      <c r="T3959" s="2"/>
      <c r="U3959" s="2"/>
    </row>
    <row x14ac:dyDescent="0.25" r="3960" customHeight="1" ht="17.25">
      <c r="A3960" s="7">
        <v>3959</v>
      </c>
      <c r="B3960" s="1" t="s">
        <v>9255</v>
      </c>
      <c r="C3960" s="5">
        <f>CONCATENATE("PD", TEXT(A3960, "1000000"))</f>
      </c>
      <c r="D3960" s="7">
        <v>1</v>
      </c>
      <c r="E3960" s="5">
        <f>XLOOKUP(G3960, item_category!C:C, item_category!B:B, "Not Found")</f>
      </c>
      <c r="F3960" s="1" t="s">
        <v>5514</v>
      </c>
      <c r="G3960" s="5">
        <f>XLOOKUP(I3960, drug!B:B, drug!A:A, "Not Found")</f>
      </c>
      <c r="H3960" s="1"/>
      <c r="I3960" s="7">
        <v>350</v>
      </c>
      <c r="J3960" s="5">
        <f>XLOOKUP(L3960, uom!C:C, uom!B:B, "Not Found")</f>
      </c>
      <c r="K3960" s="1" t="s">
        <v>5544</v>
      </c>
      <c r="L3960" s="5">
        <f>XLOOKUP(N3960, uom!C:C, uom!B:B, "Not Found")</f>
      </c>
      <c r="M3960" s="1" t="s">
        <v>5544</v>
      </c>
      <c r="N3960" s="8" t="s">
        <v>5524</v>
      </c>
      <c r="O3960" s="1" t="s">
        <v>5525</v>
      </c>
      <c r="P3960" s="5">
        <f>XLOOKUP(R3960, classification!C:C, classification!B:B, "Not Found")</f>
      </c>
      <c r="Q3960" s="1" t="s">
        <v>5514</v>
      </c>
      <c r="R3960" s="2"/>
      <c r="S3960" s="2"/>
      <c r="T3960" s="2"/>
      <c r="U3960" s="2"/>
    </row>
    <row x14ac:dyDescent="0.25" r="3961" customHeight="1" ht="17.25">
      <c r="A3961" s="7">
        <v>3960</v>
      </c>
      <c r="B3961" s="1" t="s">
        <v>9256</v>
      </c>
      <c r="C3961" s="5">
        <f>CONCATENATE("PD", TEXT(A3961, "1000000"))</f>
      </c>
      <c r="D3961" s="7">
        <v>67</v>
      </c>
      <c r="E3961" s="5">
        <f>XLOOKUP(G3961, item_category!C:C, item_category!B:B, "Not Found")</f>
      </c>
      <c r="F3961" s="1" t="s">
        <v>5516</v>
      </c>
      <c r="G3961" s="5">
        <f>XLOOKUP(I3961, drug!B:B, drug!A:A, "Not Found")</f>
      </c>
      <c r="H3961" s="1" t="s">
        <v>1588</v>
      </c>
      <c r="I3961" s="7">
        <v>600</v>
      </c>
      <c r="J3961" s="5">
        <f>XLOOKUP(L3961, uom!C:C, uom!B:B, "Not Found")</f>
      </c>
      <c r="K3961" s="1" t="s">
        <v>5618</v>
      </c>
      <c r="L3961" s="5">
        <f>XLOOKUP(N3961, uom!C:C, uom!B:B, "Not Found")</f>
      </c>
      <c r="M3961" s="1" t="s">
        <v>5618</v>
      </c>
      <c r="N3961" s="8" t="s">
        <v>5524</v>
      </c>
      <c r="O3961" s="1" t="s">
        <v>5525</v>
      </c>
      <c r="P3961" s="5">
        <f>XLOOKUP(R3961, classification!C:C, classification!B:B, "Not Found")</f>
      </c>
      <c r="Q3961" s="1" t="s">
        <v>5514</v>
      </c>
      <c r="R3961" s="2"/>
      <c r="S3961" s="2"/>
      <c r="T3961" s="2"/>
      <c r="U3961" s="2"/>
    </row>
    <row x14ac:dyDescent="0.25" r="3962" customHeight="1" ht="17.25">
      <c r="A3962" s="7">
        <v>3961</v>
      </c>
      <c r="B3962" s="1" t="s">
        <v>9257</v>
      </c>
      <c r="C3962" s="5">
        <f>CONCATENATE("PD", TEXT(A3962, "1000000"))</f>
      </c>
      <c r="D3962" s="7">
        <v>1</v>
      </c>
      <c r="E3962" s="5">
        <f>XLOOKUP(G3962, item_category!C:C, item_category!B:B, "Not Found")</f>
      </c>
      <c r="F3962" s="1" t="s">
        <v>5514</v>
      </c>
      <c r="G3962" s="5">
        <f>XLOOKUP(I3962, drug!B:B, drug!A:A, "Not Found")</f>
      </c>
      <c r="H3962" s="1"/>
      <c r="I3962" s="7">
        <v>500</v>
      </c>
      <c r="J3962" s="5">
        <f>XLOOKUP(L3962, uom!C:C, uom!B:B, "Not Found")</f>
      </c>
      <c r="K3962" s="1" t="s">
        <v>5602</v>
      </c>
      <c r="L3962" s="5">
        <f>XLOOKUP(N3962, uom!C:C, uom!B:B, "Not Found")</f>
      </c>
      <c r="M3962" s="1" t="s">
        <v>5602</v>
      </c>
      <c r="N3962" s="8" t="s">
        <v>5524</v>
      </c>
      <c r="O3962" s="1" t="s">
        <v>5525</v>
      </c>
      <c r="P3962" s="5">
        <f>XLOOKUP(R3962, classification!C:C, classification!B:B, "Not Found")</f>
      </c>
      <c r="Q3962" s="1" t="s">
        <v>5514</v>
      </c>
      <c r="R3962" s="2"/>
      <c r="S3962" s="2"/>
      <c r="T3962" s="2"/>
      <c r="U3962" s="2"/>
    </row>
    <row x14ac:dyDescent="0.25" r="3963" customHeight="1" ht="17.25">
      <c r="A3963" s="7">
        <v>3962</v>
      </c>
      <c r="B3963" s="1" t="s">
        <v>9258</v>
      </c>
      <c r="C3963" s="5">
        <f>CONCATENATE("PD", TEXT(A3963, "1000000"))</f>
      </c>
      <c r="D3963" s="7">
        <v>74</v>
      </c>
      <c r="E3963" s="5">
        <f>XLOOKUP(G3963, item_category!C:C, item_category!B:B, "Not Found")</f>
      </c>
      <c r="F3963" s="1" t="s">
        <v>5520</v>
      </c>
      <c r="G3963" s="5">
        <f>XLOOKUP(I3963, drug!B:B, drug!A:A, "Not Found")</f>
      </c>
      <c r="H3963" s="1" t="s">
        <v>2134</v>
      </c>
      <c r="I3963" s="7">
        <v>250</v>
      </c>
      <c r="J3963" s="5">
        <f>XLOOKUP(L3963, uom!C:C, uom!B:B, "Not Found")</f>
      </c>
      <c r="K3963" s="1" t="s">
        <v>5622</v>
      </c>
      <c r="L3963" s="5">
        <f>XLOOKUP(N3963, uom!C:C, uom!B:B, "Not Found")</f>
      </c>
      <c r="M3963" s="1" t="s">
        <v>5622</v>
      </c>
      <c r="N3963" s="8" t="s">
        <v>5524</v>
      </c>
      <c r="O3963" s="1" t="s">
        <v>5525</v>
      </c>
      <c r="P3963" s="5">
        <f>XLOOKUP(R3963, classification!C:C, classification!B:B, "Not Found")</f>
      </c>
      <c r="Q3963" s="1" t="s">
        <v>5514</v>
      </c>
      <c r="R3963" s="2"/>
      <c r="S3963" s="2"/>
      <c r="T3963" s="2"/>
      <c r="U3963" s="2"/>
    </row>
    <row x14ac:dyDescent="0.25" r="3964" customHeight="1" ht="17.25">
      <c r="A3964" s="7">
        <v>3963</v>
      </c>
      <c r="B3964" s="1" t="s">
        <v>9259</v>
      </c>
      <c r="C3964" s="5">
        <f>CONCATENATE("PD", TEXT(A3964, "1000000"))</f>
      </c>
      <c r="D3964" s="7">
        <v>59</v>
      </c>
      <c r="E3964" s="5">
        <f>XLOOKUP(G3964, item_category!C:C, item_category!B:B, "Not Found")</f>
      </c>
      <c r="F3964" s="1" t="s">
        <v>5527</v>
      </c>
      <c r="G3964" s="5">
        <f>XLOOKUP(I3964, drug!B:B, drug!A:A, "Not Found")</f>
      </c>
      <c r="H3964" s="1" t="s">
        <v>1152</v>
      </c>
      <c r="I3964" s="7">
        <v>2</v>
      </c>
      <c r="J3964" s="5">
        <f>XLOOKUP(L3964, uom!C:C, uom!B:B, "Not Found")</f>
      </c>
      <c r="K3964" s="1" t="s">
        <v>5581</v>
      </c>
      <c r="L3964" s="5">
        <f>XLOOKUP(N3964, uom!C:C, uom!B:B, "Not Found")</f>
      </c>
      <c r="M3964" s="1" t="s">
        <v>5581</v>
      </c>
      <c r="N3964" s="8" t="s">
        <v>5524</v>
      </c>
      <c r="O3964" s="1" t="s">
        <v>5525</v>
      </c>
      <c r="P3964" s="5">
        <f>XLOOKUP(R3964, classification!C:C, classification!B:B, "Not Found")</f>
      </c>
      <c r="Q3964" s="1" t="s">
        <v>5514</v>
      </c>
      <c r="R3964" s="2"/>
      <c r="S3964" s="2"/>
      <c r="T3964" s="2"/>
      <c r="U3964" s="2"/>
    </row>
    <row x14ac:dyDescent="0.25" r="3965" customHeight="1" ht="17.25">
      <c r="A3965" s="7">
        <v>3964</v>
      </c>
      <c r="B3965" s="1" t="s">
        <v>9260</v>
      </c>
      <c r="C3965" s="5">
        <f>CONCATENATE("PD", TEXT(A3965, "1000000"))</f>
      </c>
      <c r="D3965" s="7">
        <v>76</v>
      </c>
      <c r="E3965" s="5">
        <f>XLOOKUP(G3965, item_category!C:C, item_category!B:B, "Not Found")</f>
      </c>
      <c r="F3965" s="1" t="s">
        <v>5632</v>
      </c>
      <c r="G3965" s="5">
        <f>XLOOKUP(I3965, drug!B:B, drug!A:A, "Not Found")</f>
      </c>
      <c r="H3965" s="1"/>
      <c r="I3965" s="7">
        <v>200</v>
      </c>
      <c r="J3965" s="5">
        <f>XLOOKUP(L3965, uom!C:C, uom!B:B, "Not Found")</f>
      </c>
      <c r="K3965" s="1" t="s">
        <v>5523</v>
      </c>
      <c r="L3965" s="5">
        <f>XLOOKUP(N3965, uom!C:C, uom!B:B, "Not Found")</f>
      </c>
      <c r="M3965" s="1" t="s">
        <v>5523</v>
      </c>
      <c r="N3965" s="8" t="s">
        <v>5524</v>
      </c>
      <c r="O3965" s="1" t="s">
        <v>5525</v>
      </c>
      <c r="P3965" s="5">
        <f>XLOOKUP(R3965, classification!C:C, classification!B:B, "Not Found")</f>
      </c>
      <c r="Q3965" s="1" t="s">
        <v>5514</v>
      </c>
      <c r="R3965" s="2"/>
      <c r="S3965" s="2"/>
      <c r="T3965" s="2"/>
      <c r="U3965" s="2"/>
    </row>
    <row x14ac:dyDescent="0.25" r="3966" customHeight="1" ht="17.25">
      <c r="A3966" s="7">
        <v>3965</v>
      </c>
      <c r="B3966" s="1" t="s">
        <v>9261</v>
      </c>
      <c r="C3966" s="5">
        <f>CONCATENATE("PD", TEXT(A3966, "1000000"))</f>
      </c>
      <c r="D3966" s="7">
        <v>66</v>
      </c>
      <c r="E3966" s="5">
        <f>XLOOKUP(G3966, item_category!C:C, item_category!B:B, "Not Found")</f>
      </c>
      <c r="F3966" s="1" t="s">
        <v>5617</v>
      </c>
      <c r="G3966" s="5">
        <f>XLOOKUP(I3966, drug!B:B, drug!A:A, "Not Found")</f>
      </c>
      <c r="H3966" s="1"/>
      <c r="I3966" s="7">
        <v>250</v>
      </c>
      <c r="J3966" s="5">
        <f>XLOOKUP(L3966, uom!C:C, uom!B:B, "Not Found")</f>
      </c>
      <c r="K3966" s="1" t="s">
        <v>5602</v>
      </c>
      <c r="L3966" s="5">
        <f>XLOOKUP(N3966, uom!C:C, uom!B:B, "Not Found")</f>
      </c>
      <c r="M3966" s="1" t="s">
        <v>5602</v>
      </c>
      <c r="N3966" s="8" t="s">
        <v>5524</v>
      </c>
      <c r="O3966" s="1" t="s">
        <v>5525</v>
      </c>
      <c r="P3966" s="5">
        <f>XLOOKUP(R3966, classification!C:C, classification!B:B, "Not Found")</f>
      </c>
      <c r="Q3966" s="1" t="s">
        <v>5514</v>
      </c>
      <c r="R3966" s="2"/>
      <c r="S3966" s="2"/>
      <c r="T3966" s="2"/>
      <c r="U3966" s="2"/>
    </row>
    <row x14ac:dyDescent="0.25" r="3967" customHeight="1" ht="17.25">
      <c r="A3967" s="7">
        <v>3966</v>
      </c>
      <c r="B3967" s="1" t="s">
        <v>9262</v>
      </c>
      <c r="C3967" s="5">
        <f>CONCATENATE("PD", TEXT(A3967, "1000000"))</f>
      </c>
      <c r="D3967" s="7">
        <v>75</v>
      </c>
      <c r="E3967" s="5">
        <f>XLOOKUP(G3967, item_category!C:C, item_category!B:B, "Not Found")</f>
      </c>
      <c r="F3967" s="1" t="s">
        <v>5541</v>
      </c>
      <c r="G3967" s="5">
        <f>XLOOKUP(I3967, drug!B:B, drug!A:A, "Not Found")</f>
      </c>
      <c r="H3967" s="1"/>
      <c r="I3967" s="7">
        <v>150</v>
      </c>
      <c r="J3967" s="5">
        <f>XLOOKUP(L3967, uom!C:C, uom!B:B, "Not Found")</f>
      </c>
      <c r="K3967" s="1" t="s">
        <v>5622</v>
      </c>
      <c r="L3967" s="5">
        <f>XLOOKUP(N3967, uom!C:C, uom!B:B, "Not Found")</f>
      </c>
      <c r="M3967" s="1" t="s">
        <v>5622</v>
      </c>
      <c r="N3967" s="8" t="s">
        <v>5524</v>
      </c>
      <c r="O3967" s="1" t="s">
        <v>5525</v>
      </c>
      <c r="P3967" s="5">
        <f>XLOOKUP(R3967, classification!C:C, classification!B:B, "Not Found")</f>
      </c>
      <c r="Q3967" s="1" t="s">
        <v>5514</v>
      </c>
      <c r="R3967" s="2"/>
      <c r="S3967" s="2"/>
      <c r="T3967" s="2"/>
      <c r="U3967" s="2"/>
    </row>
    <row x14ac:dyDescent="0.25" r="3968" customHeight="1" ht="17.25">
      <c r="A3968" s="7">
        <v>3967</v>
      </c>
      <c r="B3968" s="1" t="s">
        <v>9263</v>
      </c>
      <c r="C3968" s="5">
        <f>CONCATENATE("PD", TEXT(A3968, "1000000"))</f>
      </c>
      <c r="D3968" s="7">
        <v>74</v>
      </c>
      <c r="E3968" s="5">
        <f>XLOOKUP(G3968, item_category!C:C, item_category!B:B, "Not Found")</f>
      </c>
      <c r="F3968" s="1" t="s">
        <v>5520</v>
      </c>
      <c r="G3968" s="5">
        <f>XLOOKUP(I3968, drug!B:B, drug!A:A, "Not Found")</f>
      </c>
      <c r="H3968" s="1" t="s">
        <v>1344</v>
      </c>
      <c r="I3968" s="7">
        <v>1000</v>
      </c>
      <c r="J3968" s="5">
        <f>XLOOKUP(L3968, uom!C:C, uom!B:B, "Not Found")</f>
      </c>
      <c r="K3968" s="1" t="s">
        <v>5604</v>
      </c>
      <c r="L3968" s="5">
        <f>XLOOKUP(N3968, uom!C:C, uom!B:B, "Not Found")</f>
      </c>
      <c r="M3968" s="1" t="s">
        <v>5604</v>
      </c>
      <c r="N3968" s="8" t="s">
        <v>5524</v>
      </c>
      <c r="O3968" s="1" t="s">
        <v>5525</v>
      </c>
      <c r="P3968" s="5">
        <f>XLOOKUP(R3968, classification!C:C, classification!B:B, "Not Found")</f>
      </c>
      <c r="Q3968" s="1" t="s">
        <v>5514</v>
      </c>
      <c r="R3968" s="2"/>
      <c r="S3968" s="2"/>
      <c r="T3968" s="2"/>
      <c r="U3968" s="2"/>
    </row>
    <row x14ac:dyDescent="0.25" r="3969" customHeight="1" ht="17.25">
      <c r="A3969" s="7">
        <v>3968</v>
      </c>
      <c r="B3969" s="1" t="s">
        <v>9264</v>
      </c>
      <c r="C3969" s="5">
        <f>CONCATENATE("PD", TEXT(A3969, "1000000"))</f>
      </c>
      <c r="D3969" s="7">
        <v>67</v>
      </c>
      <c r="E3969" s="5">
        <f>XLOOKUP(G3969, item_category!C:C, item_category!B:B, "Not Found")</f>
      </c>
      <c r="F3969" s="1" t="s">
        <v>5516</v>
      </c>
      <c r="G3969" s="5">
        <f>XLOOKUP(I3969, drug!B:B, drug!A:A, "Not Found")</f>
      </c>
      <c r="H3969" s="1" t="s">
        <v>1152</v>
      </c>
      <c r="I3969" s="7">
        <v>200</v>
      </c>
      <c r="J3969" s="5">
        <f>XLOOKUP(L3969, uom!C:C, uom!B:B, "Not Found")</f>
      </c>
      <c r="K3969" s="1" t="s">
        <v>5602</v>
      </c>
      <c r="L3969" s="5">
        <f>XLOOKUP(N3969, uom!C:C, uom!B:B, "Not Found")</f>
      </c>
      <c r="M3969" s="1" t="s">
        <v>5602</v>
      </c>
      <c r="N3969" s="8" t="s">
        <v>5524</v>
      </c>
      <c r="O3969" s="1" t="s">
        <v>5525</v>
      </c>
      <c r="P3969" s="5">
        <f>XLOOKUP(R3969, classification!C:C, classification!B:B, "Not Found")</f>
      </c>
      <c r="Q3969" s="1" t="s">
        <v>5514</v>
      </c>
      <c r="R3969" s="2"/>
      <c r="S3969" s="2"/>
      <c r="T3969" s="2"/>
      <c r="U3969" s="2"/>
    </row>
    <row x14ac:dyDescent="0.25" r="3970" customHeight="1" ht="17.25">
      <c r="A3970" s="7">
        <v>3969</v>
      </c>
      <c r="B3970" s="1" t="s">
        <v>9265</v>
      </c>
      <c r="C3970" s="5">
        <f>CONCATENATE("PD", TEXT(A3970, "1000000"))</f>
      </c>
      <c r="D3970" s="7">
        <v>75</v>
      </c>
      <c r="E3970" s="5">
        <f>XLOOKUP(G3970, item_category!C:C, item_category!B:B, "Not Found")</f>
      </c>
      <c r="F3970" s="1" t="s">
        <v>5541</v>
      </c>
      <c r="G3970" s="5">
        <f>XLOOKUP(I3970, drug!B:B, drug!A:A, "Not Found")</f>
      </c>
      <c r="H3970" s="1"/>
      <c r="I3970" s="7">
        <v>150</v>
      </c>
      <c r="J3970" s="5">
        <f>XLOOKUP(L3970, uom!C:C, uom!B:B, "Not Found")</f>
      </c>
      <c r="K3970" s="1" t="s">
        <v>5544</v>
      </c>
      <c r="L3970" s="5">
        <f>XLOOKUP(N3970, uom!C:C, uom!B:B, "Not Found")</f>
      </c>
      <c r="M3970" s="1" t="s">
        <v>5544</v>
      </c>
      <c r="N3970" s="8" t="s">
        <v>5524</v>
      </c>
      <c r="O3970" s="1" t="s">
        <v>5525</v>
      </c>
      <c r="P3970" s="5">
        <f>XLOOKUP(R3970, classification!C:C, classification!B:B, "Not Found")</f>
      </c>
      <c r="Q3970" s="1" t="s">
        <v>5514</v>
      </c>
      <c r="R3970" s="2"/>
      <c r="S3970" s="2"/>
      <c r="T3970" s="2"/>
      <c r="U3970" s="2"/>
    </row>
    <row x14ac:dyDescent="0.25" r="3971" customHeight="1" ht="17.25">
      <c r="A3971" s="7">
        <v>3970</v>
      </c>
      <c r="B3971" s="1" t="s">
        <v>9266</v>
      </c>
      <c r="C3971" s="5">
        <f>CONCATENATE("PD", TEXT(A3971, "1000000"))</f>
      </c>
      <c r="D3971" s="7">
        <v>75</v>
      </c>
      <c r="E3971" s="5">
        <f>XLOOKUP(G3971, item_category!C:C, item_category!B:B, "Not Found")</f>
      </c>
      <c r="F3971" s="1" t="s">
        <v>5541</v>
      </c>
      <c r="G3971" s="5">
        <f>XLOOKUP(I3971, drug!B:B, drug!A:A, "Not Found")</f>
      </c>
      <c r="H3971" s="1" t="s">
        <v>1588</v>
      </c>
      <c r="I3971" s="7">
        <v>150</v>
      </c>
      <c r="J3971" s="5">
        <f>XLOOKUP(L3971, uom!C:C, uom!B:B, "Not Found")</f>
      </c>
      <c r="K3971" s="1" t="s">
        <v>6186</v>
      </c>
      <c r="L3971" s="5">
        <f>XLOOKUP(N3971, uom!C:C, uom!B:B, "Not Found")</f>
      </c>
      <c r="M3971" s="1" t="s">
        <v>6186</v>
      </c>
      <c r="N3971" s="8" t="s">
        <v>5524</v>
      </c>
      <c r="O3971" s="1" t="s">
        <v>5525</v>
      </c>
      <c r="P3971" s="5">
        <f>XLOOKUP(R3971, classification!C:C, classification!B:B, "Not Found")</f>
      </c>
      <c r="Q3971" s="1" t="s">
        <v>5514</v>
      </c>
      <c r="R3971" s="2"/>
      <c r="S3971" s="2"/>
      <c r="T3971" s="2"/>
      <c r="U3971" s="2"/>
    </row>
    <row x14ac:dyDescent="0.25" r="3972" customHeight="1" ht="17.25">
      <c r="A3972" s="7">
        <v>3971</v>
      </c>
      <c r="B3972" s="1" t="s">
        <v>9267</v>
      </c>
      <c r="C3972" s="5">
        <f>CONCATENATE("PD", TEXT(A3972, "1000000"))</f>
      </c>
      <c r="D3972" s="7">
        <v>1</v>
      </c>
      <c r="E3972" s="5">
        <f>XLOOKUP(G3972, item_category!C:C, item_category!B:B, "Not Found")</f>
      </c>
      <c r="F3972" s="1" t="s">
        <v>5514</v>
      </c>
      <c r="G3972" s="5">
        <f>XLOOKUP(I3972, drug!B:B, drug!A:A, "Not Found")</f>
      </c>
      <c r="H3972" s="1"/>
      <c r="I3972" s="7">
        <v>100</v>
      </c>
      <c r="J3972" s="5">
        <f>XLOOKUP(L3972, uom!C:C, uom!B:B, "Not Found")</f>
      </c>
      <c r="K3972" s="1" t="s">
        <v>5604</v>
      </c>
      <c r="L3972" s="5">
        <f>XLOOKUP(N3972, uom!C:C, uom!B:B, "Not Found")</f>
      </c>
      <c r="M3972" s="1" t="s">
        <v>5604</v>
      </c>
      <c r="N3972" s="8" t="s">
        <v>5524</v>
      </c>
      <c r="O3972" s="1" t="s">
        <v>5525</v>
      </c>
      <c r="P3972" s="5">
        <f>XLOOKUP(R3972, classification!C:C, classification!B:B, "Not Found")</f>
      </c>
      <c r="Q3972" s="1" t="s">
        <v>5514</v>
      </c>
      <c r="R3972" s="2"/>
      <c r="S3972" s="2"/>
      <c r="T3972" s="2"/>
      <c r="U3972" s="2"/>
    </row>
    <row x14ac:dyDescent="0.25" r="3973" customHeight="1" ht="17.25">
      <c r="A3973" s="7">
        <v>3972</v>
      </c>
      <c r="B3973" s="1" t="s">
        <v>9268</v>
      </c>
      <c r="C3973" s="5">
        <f>CONCATENATE("PD", TEXT(A3973, "1000000"))</f>
      </c>
      <c r="D3973" s="7">
        <v>75</v>
      </c>
      <c r="E3973" s="5">
        <f>XLOOKUP(G3973, item_category!C:C, item_category!B:B, "Not Found")</f>
      </c>
      <c r="F3973" s="1" t="s">
        <v>5541</v>
      </c>
      <c r="G3973" s="5">
        <f>XLOOKUP(I3973, drug!B:B, drug!A:A, "Not Found")</f>
      </c>
      <c r="H3973" s="1" t="s">
        <v>1152</v>
      </c>
      <c r="I3973" s="7">
        <v>100</v>
      </c>
      <c r="J3973" s="5">
        <f>XLOOKUP(L3973, uom!C:C, uom!B:B, "Not Found")</f>
      </c>
      <c r="K3973" s="1" t="s">
        <v>5544</v>
      </c>
      <c r="L3973" s="5">
        <f>XLOOKUP(N3973, uom!C:C, uom!B:B, "Not Found")</f>
      </c>
      <c r="M3973" s="1" t="s">
        <v>5544</v>
      </c>
      <c r="N3973" s="8" t="s">
        <v>5524</v>
      </c>
      <c r="O3973" s="1" t="s">
        <v>5525</v>
      </c>
      <c r="P3973" s="5">
        <f>XLOOKUP(R3973, classification!C:C, classification!B:B, "Not Found")</f>
      </c>
      <c r="Q3973" s="1" t="s">
        <v>5514</v>
      </c>
      <c r="R3973" s="2"/>
      <c r="S3973" s="2"/>
      <c r="T3973" s="2"/>
      <c r="U3973" s="2"/>
    </row>
    <row x14ac:dyDescent="0.25" r="3974" customHeight="1" ht="17.25">
      <c r="A3974" s="7">
        <v>3973</v>
      </c>
      <c r="B3974" s="1" t="s">
        <v>9269</v>
      </c>
      <c r="C3974" s="5">
        <f>CONCATENATE("PD", TEXT(A3974, "1000000"))</f>
      </c>
      <c r="D3974" s="7">
        <v>75</v>
      </c>
      <c r="E3974" s="5">
        <f>XLOOKUP(G3974, item_category!C:C, item_category!B:B, "Not Found")</f>
      </c>
      <c r="F3974" s="1" t="s">
        <v>5541</v>
      </c>
      <c r="G3974" s="5">
        <f>XLOOKUP(I3974, drug!B:B, drug!A:A, "Not Found")</f>
      </c>
      <c r="H3974" s="1" t="s">
        <v>857</v>
      </c>
      <c r="I3974" s="7">
        <v>100</v>
      </c>
      <c r="J3974" s="5">
        <f>XLOOKUP(L3974, uom!C:C, uom!B:B, "Not Found")</f>
      </c>
      <c r="K3974" s="1" t="s">
        <v>5544</v>
      </c>
      <c r="L3974" s="5">
        <f>XLOOKUP(N3974, uom!C:C, uom!B:B, "Not Found")</f>
      </c>
      <c r="M3974" s="1" t="s">
        <v>5544</v>
      </c>
      <c r="N3974" s="8" t="s">
        <v>5524</v>
      </c>
      <c r="O3974" s="1" t="s">
        <v>5525</v>
      </c>
      <c r="P3974" s="5">
        <f>XLOOKUP(R3974, classification!C:C, classification!B:B, "Not Found")</f>
      </c>
      <c r="Q3974" s="1" t="s">
        <v>5514</v>
      </c>
      <c r="R3974" s="2"/>
      <c r="S3974" s="2"/>
      <c r="T3974" s="2"/>
      <c r="U3974" s="2"/>
    </row>
    <row x14ac:dyDescent="0.25" r="3975" customHeight="1" ht="17.25">
      <c r="A3975" s="7">
        <v>3974</v>
      </c>
      <c r="B3975" s="1" t="s">
        <v>9270</v>
      </c>
      <c r="C3975" s="5">
        <f>CONCATENATE("PD", TEXT(A3975, "1000000"))</f>
      </c>
      <c r="D3975" s="7">
        <v>74</v>
      </c>
      <c r="E3975" s="5">
        <f>XLOOKUP(G3975, item_category!C:C, item_category!B:B, "Not Found")</f>
      </c>
      <c r="F3975" s="1" t="s">
        <v>5520</v>
      </c>
      <c r="G3975" s="5">
        <f>XLOOKUP(I3975, drug!B:B, drug!A:A, "Not Found")</f>
      </c>
      <c r="H3975" s="1"/>
      <c r="I3975" s="7">
        <v>350</v>
      </c>
      <c r="J3975" s="5">
        <f>XLOOKUP(L3975, uom!C:C, uom!B:B, "Not Found")</f>
      </c>
      <c r="K3975" s="1" t="s">
        <v>9235</v>
      </c>
      <c r="L3975" s="5">
        <f>XLOOKUP(N3975, uom!C:C, uom!B:B, "Not Found")</f>
      </c>
      <c r="M3975" s="1" t="s">
        <v>9235</v>
      </c>
      <c r="N3975" s="8" t="s">
        <v>5524</v>
      </c>
      <c r="O3975" s="1" t="s">
        <v>5525</v>
      </c>
      <c r="P3975" s="5">
        <f>XLOOKUP(R3975, classification!C:C, classification!B:B, "Not Found")</f>
      </c>
      <c r="Q3975" s="1" t="s">
        <v>5514</v>
      </c>
      <c r="R3975" s="2"/>
      <c r="S3975" s="2"/>
      <c r="T3975" s="2"/>
      <c r="U3975" s="2"/>
    </row>
    <row x14ac:dyDescent="0.25" r="3976" customHeight="1" ht="17.25">
      <c r="A3976" s="7">
        <v>3975</v>
      </c>
      <c r="B3976" s="1" t="s">
        <v>9271</v>
      </c>
      <c r="C3976" s="5">
        <f>CONCATENATE("PD", TEXT(A3976, "1000000"))</f>
      </c>
      <c r="D3976" s="7">
        <v>66</v>
      </c>
      <c r="E3976" s="5">
        <f>XLOOKUP(G3976, item_category!C:C, item_category!B:B, "Not Found")</f>
      </c>
      <c r="F3976" s="1" t="s">
        <v>5617</v>
      </c>
      <c r="G3976" s="5">
        <f>XLOOKUP(I3976, drug!B:B, drug!A:A, "Not Found")</f>
      </c>
      <c r="H3976" s="1"/>
      <c r="I3976" s="7">
        <v>300</v>
      </c>
      <c r="J3976" s="5">
        <f>XLOOKUP(L3976, uom!C:C, uom!B:B, "Not Found")</f>
      </c>
      <c r="K3976" s="1" t="s">
        <v>5618</v>
      </c>
      <c r="L3976" s="5">
        <f>XLOOKUP(N3976, uom!C:C, uom!B:B, "Not Found")</f>
      </c>
      <c r="M3976" s="1" t="s">
        <v>5618</v>
      </c>
      <c r="N3976" s="8" t="s">
        <v>5524</v>
      </c>
      <c r="O3976" s="1" t="s">
        <v>5525</v>
      </c>
      <c r="P3976" s="5">
        <f>XLOOKUP(R3976, classification!C:C, classification!B:B, "Not Found")</f>
      </c>
      <c r="Q3976" s="1" t="s">
        <v>5514</v>
      </c>
      <c r="R3976" s="2"/>
      <c r="S3976" s="2"/>
      <c r="T3976" s="2"/>
      <c r="U3976" s="2"/>
    </row>
    <row x14ac:dyDescent="0.25" r="3977" customHeight="1" ht="17.25">
      <c r="A3977" s="7">
        <v>3976</v>
      </c>
      <c r="B3977" s="1" t="s">
        <v>9272</v>
      </c>
      <c r="C3977" s="5">
        <f>CONCATENATE("PD", TEXT(A3977, "1000000"))</f>
      </c>
      <c r="D3977" s="7">
        <v>1</v>
      </c>
      <c r="E3977" s="5">
        <f>XLOOKUP(G3977, item_category!C:C, item_category!B:B, "Not Found")</f>
      </c>
      <c r="F3977" s="1" t="s">
        <v>5514</v>
      </c>
      <c r="G3977" s="5">
        <f>XLOOKUP(I3977, drug!B:B, drug!A:A, "Not Found")</f>
      </c>
      <c r="H3977" s="1"/>
      <c r="I3977" s="7">
        <v>50</v>
      </c>
      <c r="J3977" s="5">
        <f>XLOOKUP(L3977, uom!C:C, uom!B:B, "Not Found")</f>
      </c>
      <c r="K3977" s="1" t="s">
        <v>5661</v>
      </c>
      <c r="L3977" s="5">
        <f>XLOOKUP(N3977, uom!C:C, uom!B:B, "Not Found")</f>
      </c>
      <c r="M3977" s="1" t="s">
        <v>5661</v>
      </c>
      <c r="N3977" s="8" t="s">
        <v>5524</v>
      </c>
      <c r="O3977" s="1" t="s">
        <v>5525</v>
      </c>
      <c r="P3977" s="5">
        <f>XLOOKUP(R3977, classification!C:C, classification!B:B, "Not Found")</f>
      </c>
      <c r="Q3977" s="1" t="s">
        <v>5514</v>
      </c>
      <c r="R3977" s="2"/>
      <c r="S3977" s="2"/>
      <c r="T3977" s="2"/>
      <c r="U3977" s="2"/>
    </row>
    <row x14ac:dyDescent="0.25" r="3978" customHeight="1" ht="17.25">
      <c r="A3978" s="7">
        <v>3977</v>
      </c>
      <c r="B3978" s="1" t="s">
        <v>9273</v>
      </c>
      <c r="C3978" s="5">
        <f>CONCATENATE("PD", TEXT(A3978, "1000000"))</f>
      </c>
      <c r="D3978" s="7">
        <v>78</v>
      </c>
      <c r="E3978" s="5">
        <f>XLOOKUP(G3978, item_category!C:C, item_category!B:B, "Not Found")</f>
      </c>
      <c r="F3978" s="1" t="s">
        <v>5522</v>
      </c>
      <c r="G3978" s="5">
        <f>XLOOKUP(I3978, drug!B:B, drug!A:A, "Not Found")</f>
      </c>
      <c r="H3978" s="1" t="s">
        <v>1196</v>
      </c>
      <c r="I3978" s="7">
        <v>850</v>
      </c>
      <c r="J3978" s="5">
        <f>XLOOKUP(L3978, uom!C:C, uom!B:B, "Not Found")</f>
      </c>
      <c r="K3978" s="1" t="s">
        <v>5523</v>
      </c>
      <c r="L3978" s="5">
        <f>XLOOKUP(N3978, uom!C:C, uom!B:B, "Not Found")</f>
      </c>
      <c r="M3978" s="1" t="s">
        <v>5523</v>
      </c>
      <c r="N3978" s="8" t="s">
        <v>5524</v>
      </c>
      <c r="O3978" s="1" t="s">
        <v>5525</v>
      </c>
      <c r="P3978" s="5">
        <f>XLOOKUP(R3978, classification!C:C, classification!B:B, "Not Found")</f>
      </c>
      <c r="Q3978" s="1" t="s">
        <v>5514</v>
      </c>
      <c r="R3978" s="2"/>
      <c r="S3978" s="2"/>
      <c r="T3978" s="2"/>
      <c r="U3978" s="2"/>
    </row>
    <row x14ac:dyDescent="0.25" r="3979" customHeight="1" ht="17.25">
      <c r="A3979" s="7">
        <v>3978</v>
      </c>
      <c r="B3979" s="1" t="s">
        <v>9274</v>
      </c>
      <c r="C3979" s="5">
        <f>CONCATENATE("PD", TEXT(A3979, "1000000"))</f>
      </c>
      <c r="D3979" s="7">
        <v>74</v>
      </c>
      <c r="E3979" s="5">
        <f>XLOOKUP(G3979, item_category!C:C, item_category!B:B, "Not Found")</f>
      </c>
      <c r="F3979" s="1" t="s">
        <v>5520</v>
      </c>
      <c r="G3979" s="5">
        <f>XLOOKUP(I3979, drug!B:B, drug!A:A, "Not Found")</f>
      </c>
      <c r="H3979" s="1" t="s">
        <v>769</v>
      </c>
      <c r="I3979" s="7">
        <v>150</v>
      </c>
      <c r="J3979" s="5">
        <f>XLOOKUP(L3979, uom!C:C, uom!B:B, "Not Found")</f>
      </c>
      <c r="K3979" s="1" t="s">
        <v>5544</v>
      </c>
      <c r="L3979" s="5">
        <f>XLOOKUP(N3979, uom!C:C, uom!B:B, "Not Found")</f>
      </c>
      <c r="M3979" s="1" t="s">
        <v>5544</v>
      </c>
      <c r="N3979" s="8" t="s">
        <v>5524</v>
      </c>
      <c r="O3979" s="1" t="s">
        <v>5525</v>
      </c>
      <c r="P3979" s="5">
        <f>XLOOKUP(R3979, classification!C:C, classification!B:B, "Not Found")</f>
      </c>
      <c r="Q3979" s="1" t="s">
        <v>5514</v>
      </c>
      <c r="R3979" s="2"/>
      <c r="S3979" s="2"/>
      <c r="T3979" s="2"/>
      <c r="U3979" s="2"/>
    </row>
    <row x14ac:dyDescent="0.25" r="3980" customHeight="1" ht="17.25">
      <c r="A3980" s="7">
        <v>3979</v>
      </c>
      <c r="B3980" s="1" t="s">
        <v>9275</v>
      </c>
      <c r="C3980" s="5">
        <f>CONCATENATE("PD", TEXT(A3980, "1000000"))</f>
      </c>
      <c r="D3980" s="7">
        <v>66</v>
      </c>
      <c r="E3980" s="5">
        <f>XLOOKUP(G3980, item_category!C:C, item_category!B:B, "Not Found")</f>
      </c>
      <c r="F3980" s="1" t="s">
        <v>5617</v>
      </c>
      <c r="G3980" s="5">
        <f>XLOOKUP(I3980, drug!B:B, drug!A:A, "Not Found")</f>
      </c>
      <c r="H3980" s="1" t="s">
        <v>83</v>
      </c>
      <c r="I3980" s="7">
        <v>250</v>
      </c>
      <c r="J3980" s="5">
        <f>XLOOKUP(L3980, uom!C:C, uom!B:B, "Not Found")</f>
      </c>
      <c r="K3980" s="1" t="s">
        <v>5618</v>
      </c>
      <c r="L3980" s="5">
        <f>XLOOKUP(N3980, uom!C:C, uom!B:B, "Not Found")</f>
      </c>
      <c r="M3980" s="1" t="s">
        <v>5618</v>
      </c>
      <c r="N3980" s="8" t="s">
        <v>5524</v>
      </c>
      <c r="O3980" s="1" t="s">
        <v>5525</v>
      </c>
      <c r="P3980" s="5">
        <f>XLOOKUP(R3980, classification!C:C, classification!B:B, "Not Found")</f>
      </c>
      <c r="Q3980" s="1" t="s">
        <v>5514</v>
      </c>
      <c r="R3980" s="2"/>
      <c r="S3980" s="2"/>
      <c r="T3980" s="2"/>
      <c r="U3980" s="2"/>
    </row>
    <row x14ac:dyDescent="0.25" r="3981" customHeight="1" ht="17.25">
      <c r="A3981" s="7">
        <v>3980</v>
      </c>
      <c r="B3981" s="1" t="s">
        <v>9276</v>
      </c>
      <c r="C3981" s="5">
        <f>CONCATENATE("PD", TEXT(A3981, "1000000"))</f>
      </c>
      <c r="D3981" s="7">
        <v>67</v>
      </c>
      <c r="E3981" s="5">
        <f>XLOOKUP(G3981, item_category!C:C, item_category!B:B, "Not Found")</f>
      </c>
      <c r="F3981" s="1" t="s">
        <v>5516</v>
      </c>
      <c r="G3981" s="5">
        <f>XLOOKUP(I3981, drug!B:B, drug!A:A, "Not Found")</f>
      </c>
      <c r="H3981" s="1" t="s">
        <v>442</v>
      </c>
      <c r="I3981" s="7">
        <v>350</v>
      </c>
      <c r="J3981" s="5">
        <f>XLOOKUP(L3981, uom!C:C, uom!B:B, "Not Found")</f>
      </c>
      <c r="K3981" s="1" t="s">
        <v>5618</v>
      </c>
      <c r="L3981" s="5">
        <f>XLOOKUP(N3981, uom!C:C, uom!B:B, "Not Found")</f>
      </c>
      <c r="M3981" s="1" t="s">
        <v>5618</v>
      </c>
      <c r="N3981" s="8" t="s">
        <v>5524</v>
      </c>
      <c r="O3981" s="1" t="s">
        <v>5525</v>
      </c>
      <c r="P3981" s="5">
        <f>XLOOKUP(R3981, classification!C:C, classification!B:B, "Not Found")</f>
      </c>
      <c r="Q3981" s="1" t="s">
        <v>5514</v>
      </c>
      <c r="R3981" s="2"/>
      <c r="S3981" s="2"/>
      <c r="T3981" s="2"/>
      <c r="U3981" s="2"/>
    </row>
    <row x14ac:dyDescent="0.25" r="3982" customHeight="1" ht="17.25">
      <c r="A3982" s="7">
        <v>3981</v>
      </c>
      <c r="B3982" s="1" t="s">
        <v>9277</v>
      </c>
      <c r="C3982" s="5">
        <f>CONCATENATE("PD", TEXT(A3982, "1000000"))</f>
      </c>
      <c r="D3982" s="7">
        <v>74</v>
      </c>
      <c r="E3982" s="5">
        <f>XLOOKUP(G3982, item_category!C:C, item_category!B:B, "Not Found")</f>
      </c>
      <c r="F3982" s="1" t="s">
        <v>5520</v>
      </c>
      <c r="G3982" s="5">
        <f>XLOOKUP(I3982, drug!B:B, drug!A:A, "Not Found")</f>
      </c>
      <c r="H3982" s="1" t="s">
        <v>769</v>
      </c>
      <c r="I3982" s="7">
        <v>100</v>
      </c>
      <c r="J3982" s="5">
        <f>XLOOKUP(L3982, uom!C:C, uom!B:B, "Not Found")</f>
      </c>
      <c r="K3982" s="1" t="s">
        <v>5544</v>
      </c>
      <c r="L3982" s="5">
        <f>XLOOKUP(N3982, uom!C:C, uom!B:B, "Not Found")</f>
      </c>
      <c r="M3982" s="1" t="s">
        <v>5544</v>
      </c>
      <c r="N3982" s="8" t="s">
        <v>5524</v>
      </c>
      <c r="O3982" s="1" t="s">
        <v>5525</v>
      </c>
      <c r="P3982" s="5">
        <f>XLOOKUP(R3982, classification!C:C, classification!B:B, "Not Found")</f>
      </c>
      <c r="Q3982" s="1" t="s">
        <v>5514</v>
      </c>
      <c r="R3982" s="2"/>
      <c r="S3982" s="2"/>
      <c r="T3982" s="2"/>
      <c r="U3982" s="2"/>
    </row>
    <row x14ac:dyDescent="0.25" r="3983" customHeight="1" ht="17.25">
      <c r="A3983" s="7">
        <v>3982</v>
      </c>
      <c r="B3983" s="1" t="s">
        <v>9278</v>
      </c>
      <c r="C3983" s="5">
        <f>CONCATENATE("PD", TEXT(A3983, "1000000"))</f>
      </c>
      <c r="D3983" s="7">
        <v>74</v>
      </c>
      <c r="E3983" s="5">
        <f>XLOOKUP(G3983, item_category!C:C, item_category!B:B, "Not Found")</f>
      </c>
      <c r="F3983" s="1" t="s">
        <v>5520</v>
      </c>
      <c r="G3983" s="5">
        <f>XLOOKUP(I3983, drug!B:B, drug!A:A, "Not Found")</f>
      </c>
      <c r="H3983" s="1"/>
      <c r="I3983" s="7">
        <v>250</v>
      </c>
      <c r="J3983" s="5">
        <f>XLOOKUP(L3983, uom!C:C, uom!B:B, "Not Found")</f>
      </c>
      <c r="K3983" s="1" t="s">
        <v>5544</v>
      </c>
      <c r="L3983" s="5">
        <f>XLOOKUP(N3983, uom!C:C, uom!B:B, "Not Found")</f>
      </c>
      <c r="M3983" s="1" t="s">
        <v>5544</v>
      </c>
      <c r="N3983" s="8" t="s">
        <v>5524</v>
      </c>
      <c r="O3983" s="1" t="s">
        <v>5525</v>
      </c>
      <c r="P3983" s="5">
        <f>XLOOKUP(R3983, classification!C:C, classification!B:B, "Not Found")</f>
      </c>
      <c r="Q3983" s="1" t="s">
        <v>5514</v>
      </c>
      <c r="R3983" s="2"/>
      <c r="S3983" s="2"/>
      <c r="T3983" s="2"/>
      <c r="U3983" s="2"/>
    </row>
    <row x14ac:dyDescent="0.25" r="3984" customHeight="1" ht="17.25">
      <c r="A3984" s="7">
        <v>3983</v>
      </c>
      <c r="B3984" s="1" t="s">
        <v>9279</v>
      </c>
      <c r="C3984" s="5">
        <f>CONCATENATE("PD", TEXT(A3984, "1000000"))</f>
      </c>
      <c r="D3984" s="7">
        <v>67</v>
      </c>
      <c r="E3984" s="5">
        <f>XLOOKUP(G3984, item_category!C:C, item_category!B:B, "Not Found")</f>
      </c>
      <c r="F3984" s="1" t="s">
        <v>5516</v>
      </c>
      <c r="G3984" s="5">
        <f>XLOOKUP(I3984, drug!B:B, drug!A:A, "Not Found")</f>
      </c>
      <c r="H3984" s="1"/>
      <c r="I3984" s="7">
        <v>250</v>
      </c>
      <c r="J3984" s="5">
        <f>XLOOKUP(L3984, uom!C:C, uom!B:B, "Not Found")</f>
      </c>
      <c r="K3984" s="1" t="s">
        <v>5602</v>
      </c>
      <c r="L3984" s="5">
        <f>XLOOKUP(N3984, uom!C:C, uom!B:B, "Not Found")</f>
      </c>
      <c r="M3984" s="1" t="s">
        <v>5602</v>
      </c>
      <c r="N3984" s="8" t="s">
        <v>5524</v>
      </c>
      <c r="O3984" s="1" t="s">
        <v>5525</v>
      </c>
      <c r="P3984" s="5">
        <f>XLOOKUP(R3984, classification!C:C, classification!B:B, "Not Found")</f>
      </c>
      <c r="Q3984" s="1" t="s">
        <v>5514</v>
      </c>
      <c r="R3984" s="2"/>
      <c r="S3984" s="2"/>
      <c r="T3984" s="2"/>
      <c r="U3984" s="2"/>
    </row>
    <row x14ac:dyDescent="0.25" r="3985" customHeight="1" ht="17.25">
      <c r="A3985" s="7">
        <v>3984</v>
      </c>
      <c r="B3985" s="1" t="s">
        <v>9280</v>
      </c>
      <c r="C3985" s="5">
        <f>CONCATENATE("PD", TEXT(A3985, "1000000"))</f>
      </c>
      <c r="D3985" s="7">
        <v>1</v>
      </c>
      <c r="E3985" s="5">
        <f>XLOOKUP(G3985, item_category!C:C, item_category!B:B, "Not Found")</f>
      </c>
      <c r="F3985" s="1" t="s">
        <v>5514</v>
      </c>
      <c r="G3985" s="5">
        <f>XLOOKUP(I3985, drug!B:B, drug!A:A, "Not Found")</f>
      </c>
      <c r="H3985" s="1" t="s">
        <v>857</v>
      </c>
      <c r="I3985" s="7">
        <v>50</v>
      </c>
      <c r="J3985" s="5">
        <f>XLOOKUP(L3985, uom!C:C, uom!B:B, "Not Found")</f>
      </c>
      <c r="K3985" s="1" t="s">
        <v>5661</v>
      </c>
      <c r="L3985" s="5">
        <f>XLOOKUP(N3985, uom!C:C, uom!B:B, "Not Found")</f>
      </c>
      <c r="M3985" s="1" t="s">
        <v>5661</v>
      </c>
      <c r="N3985" s="8" t="s">
        <v>5524</v>
      </c>
      <c r="O3985" s="1" t="s">
        <v>5525</v>
      </c>
      <c r="P3985" s="5">
        <f>XLOOKUP(R3985, classification!C:C, classification!B:B, "Not Found")</f>
      </c>
      <c r="Q3985" s="1" t="s">
        <v>5514</v>
      </c>
      <c r="R3985" s="2"/>
      <c r="S3985" s="2"/>
      <c r="T3985" s="2"/>
      <c r="U3985" s="2"/>
    </row>
    <row x14ac:dyDescent="0.25" r="3986" customHeight="1" ht="17.25">
      <c r="A3986" s="7">
        <v>3985</v>
      </c>
      <c r="B3986" s="1" t="s">
        <v>9281</v>
      </c>
      <c r="C3986" s="5">
        <f>CONCATENATE("PD", TEXT(A3986, "1000000"))</f>
      </c>
      <c r="D3986" s="7">
        <v>67</v>
      </c>
      <c r="E3986" s="5">
        <f>XLOOKUP(G3986, item_category!C:C, item_category!B:B, "Not Found")</f>
      </c>
      <c r="F3986" s="1" t="s">
        <v>5516</v>
      </c>
      <c r="G3986" s="5">
        <f>XLOOKUP(I3986, drug!B:B, drug!A:A, "Not Found")</f>
      </c>
      <c r="H3986" s="1"/>
      <c r="I3986" s="7">
        <v>500</v>
      </c>
      <c r="J3986" s="5">
        <f>XLOOKUP(L3986, uom!C:C, uom!B:B, "Not Found")</f>
      </c>
      <c r="K3986" s="1" t="s">
        <v>5602</v>
      </c>
      <c r="L3986" s="5">
        <f>XLOOKUP(N3986, uom!C:C, uom!B:B, "Not Found")</f>
      </c>
      <c r="M3986" s="1" t="s">
        <v>5602</v>
      </c>
      <c r="N3986" s="8" t="s">
        <v>5524</v>
      </c>
      <c r="O3986" s="1" t="s">
        <v>5525</v>
      </c>
      <c r="P3986" s="5">
        <f>XLOOKUP(R3986, classification!C:C, classification!B:B, "Not Found")</f>
      </c>
      <c r="Q3986" s="1" t="s">
        <v>5514</v>
      </c>
      <c r="R3986" s="2"/>
      <c r="S3986" s="2"/>
      <c r="T3986" s="2"/>
      <c r="U3986" s="2"/>
    </row>
    <row x14ac:dyDescent="0.25" r="3987" customHeight="1" ht="17.25">
      <c r="A3987" s="7">
        <v>3986</v>
      </c>
      <c r="B3987" s="1" t="s">
        <v>9282</v>
      </c>
      <c r="C3987" s="5">
        <f>CONCATENATE("PD", TEXT(A3987, "1000000"))</f>
      </c>
      <c r="D3987" s="7">
        <v>60</v>
      </c>
      <c r="E3987" s="5">
        <f>XLOOKUP(G3987, item_category!C:C, item_category!B:B, "Not Found")</f>
      </c>
      <c r="F3987" s="1" t="s">
        <v>5986</v>
      </c>
      <c r="G3987" s="5">
        <f>XLOOKUP(I3987, drug!B:B, drug!A:A, "Not Found")</f>
      </c>
      <c r="H3987" s="1"/>
      <c r="I3987" s="7">
        <v>250</v>
      </c>
      <c r="J3987" s="5">
        <f>XLOOKUP(L3987, uom!C:C, uom!B:B, "Not Found")</f>
      </c>
      <c r="K3987" s="1" t="s">
        <v>5544</v>
      </c>
      <c r="L3987" s="5">
        <f>XLOOKUP(N3987, uom!C:C, uom!B:B, "Not Found")</f>
      </c>
      <c r="M3987" s="1" t="s">
        <v>5544</v>
      </c>
      <c r="N3987" s="8" t="s">
        <v>5524</v>
      </c>
      <c r="O3987" s="1" t="s">
        <v>5525</v>
      </c>
      <c r="P3987" s="5">
        <f>XLOOKUP(R3987, classification!C:C, classification!B:B, "Not Found")</f>
      </c>
      <c r="Q3987" s="1" t="s">
        <v>5514</v>
      </c>
      <c r="R3987" s="2"/>
      <c r="S3987" s="2"/>
      <c r="T3987" s="2"/>
      <c r="U3987" s="2"/>
    </row>
    <row x14ac:dyDescent="0.25" r="3988" customHeight="1" ht="17.25">
      <c r="A3988" s="7">
        <v>3987</v>
      </c>
      <c r="B3988" s="1" t="s">
        <v>9283</v>
      </c>
      <c r="C3988" s="5">
        <f>CONCATENATE("PD", TEXT(A3988, "1000000"))</f>
      </c>
      <c r="D3988" s="7">
        <v>67</v>
      </c>
      <c r="E3988" s="5">
        <f>XLOOKUP(G3988, item_category!C:C, item_category!B:B, "Not Found")</f>
      </c>
      <c r="F3988" s="1" t="s">
        <v>5516</v>
      </c>
      <c r="G3988" s="5">
        <f>XLOOKUP(I3988, drug!B:B, drug!A:A, "Not Found")</f>
      </c>
      <c r="H3988" s="1"/>
      <c r="I3988" s="7">
        <v>200</v>
      </c>
      <c r="J3988" s="5">
        <f>XLOOKUP(L3988, uom!C:C, uom!B:B, "Not Found")</f>
      </c>
      <c r="K3988" s="1" t="s">
        <v>5602</v>
      </c>
      <c r="L3988" s="5">
        <f>XLOOKUP(N3988, uom!C:C, uom!B:B, "Not Found")</f>
      </c>
      <c r="M3988" s="1" t="s">
        <v>5602</v>
      </c>
      <c r="N3988" s="8" t="s">
        <v>5524</v>
      </c>
      <c r="O3988" s="1" t="s">
        <v>5525</v>
      </c>
      <c r="P3988" s="5">
        <f>XLOOKUP(R3988, classification!C:C, classification!B:B, "Not Found")</f>
      </c>
      <c r="Q3988" s="1" t="s">
        <v>5514</v>
      </c>
      <c r="R3988" s="2"/>
      <c r="S3988" s="2"/>
      <c r="T3988" s="2"/>
      <c r="U3988" s="2"/>
    </row>
    <row x14ac:dyDescent="0.25" r="3989" customHeight="1" ht="17.25">
      <c r="A3989" s="7">
        <v>3988</v>
      </c>
      <c r="B3989" s="1" t="s">
        <v>9284</v>
      </c>
      <c r="C3989" s="5">
        <f>CONCATENATE("PD", TEXT(A3989, "1000000"))</f>
      </c>
      <c r="D3989" s="7">
        <v>74</v>
      </c>
      <c r="E3989" s="5">
        <f>XLOOKUP(G3989, item_category!C:C, item_category!B:B, "Not Found")</f>
      </c>
      <c r="F3989" s="1" t="s">
        <v>5520</v>
      </c>
      <c r="G3989" s="5">
        <f>XLOOKUP(I3989, drug!B:B, drug!A:A, "Not Found")</f>
      </c>
      <c r="H3989" s="1"/>
      <c r="I3989" s="7">
        <v>500</v>
      </c>
      <c r="J3989" s="5">
        <f>XLOOKUP(L3989, uom!C:C, uom!B:B, "Not Found")</f>
      </c>
      <c r="K3989" s="1" t="s">
        <v>9235</v>
      </c>
      <c r="L3989" s="5">
        <f>XLOOKUP(N3989, uom!C:C, uom!B:B, "Not Found")</f>
      </c>
      <c r="M3989" s="1" t="s">
        <v>9235</v>
      </c>
      <c r="N3989" s="8" t="s">
        <v>5524</v>
      </c>
      <c r="O3989" s="1" t="s">
        <v>5525</v>
      </c>
      <c r="P3989" s="5">
        <f>XLOOKUP(R3989, classification!C:C, classification!B:B, "Not Found")</f>
      </c>
      <c r="Q3989" s="1" t="s">
        <v>5514</v>
      </c>
      <c r="R3989" s="2"/>
      <c r="S3989" s="2"/>
      <c r="T3989" s="2"/>
      <c r="U3989" s="2"/>
    </row>
    <row x14ac:dyDescent="0.25" r="3990" customHeight="1" ht="17.25">
      <c r="A3990" s="7">
        <v>3989</v>
      </c>
      <c r="B3990" s="1" t="s">
        <v>9285</v>
      </c>
      <c r="C3990" s="5">
        <f>CONCATENATE("PD", TEXT(A3990, "1000000"))</f>
      </c>
      <c r="D3990" s="7">
        <v>74</v>
      </c>
      <c r="E3990" s="5">
        <f>XLOOKUP(G3990, item_category!C:C, item_category!B:B, "Not Found")</f>
      </c>
      <c r="F3990" s="1" t="s">
        <v>5520</v>
      </c>
      <c r="G3990" s="5">
        <f>XLOOKUP(I3990, drug!B:B, drug!A:A, "Not Found")</f>
      </c>
      <c r="H3990" s="1"/>
      <c r="I3990" s="7">
        <v>200</v>
      </c>
      <c r="J3990" s="5">
        <f>XLOOKUP(L3990, uom!C:C, uom!B:B, "Not Found")</f>
      </c>
      <c r="K3990" s="1" t="s">
        <v>9140</v>
      </c>
      <c r="L3990" s="5">
        <f>XLOOKUP(N3990, uom!C:C, uom!B:B, "Not Found")</f>
      </c>
      <c r="M3990" s="1" t="s">
        <v>9140</v>
      </c>
      <c r="N3990" s="8" t="s">
        <v>5524</v>
      </c>
      <c r="O3990" s="1" t="s">
        <v>5525</v>
      </c>
      <c r="P3990" s="5">
        <f>XLOOKUP(R3990, classification!C:C, classification!B:B, "Not Found")</f>
      </c>
      <c r="Q3990" s="1" t="s">
        <v>5514</v>
      </c>
      <c r="R3990" s="2"/>
      <c r="S3990" s="2"/>
      <c r="T3990" s="2"/>
      <c r="U3990" s="2"/>
    </row>
    <row x14ac:dyDescent="0.25" r="3991" customHeight="1" ht="17.25">
      <c r="A3991" s="7">
        <v>3990</v>
      </c>
      <c r="B3991" s="1" t="s">
        <v>9286</v>
      </c>
      <c r="C3991" s="5">
        <f>CONCATENATE("PD", TEXT(A3991, "1000000"))</f>
      </c>
      <c r="D3991" s="7">
        <v>74</v>
      </c>
      <c r="E3991" s="5">
        <f>XLOOKUP(G3991, item_category!C:C, item_category!B:B, "Not Found")</f>
      </c>
      <c r="F3991" s="1" t="s">
        <v>5520</v>
      </c>
      <c r="G3991" s="5">
        <f>XLOOKUP(I3991, drug!B:B, drug!A:A, "Not Found")</f>
      </c>
      <c r="H3991" s="1"/>
      <c r="I3991" s="7">
        <v>850</v>
      </c>
      <c r="J3991" s="5">
        <f>XLOOKUP(L3991, uom!C:C, uom!B:B, "Not Found")</f>
      </c>
      <c r="K3991" s="1" t="s">
        <v>5544</v>
      </c>
      <c r="L3991" s="5">
        <f>XLOOKUP(N3991, uom!C:C, uom!B:B, "Not Found")</f>
      </c>
      <c r="M3991" s="1" t="s">
        <v>5544</v>
      </c>
      <c r="N3991" s="8" t="s">
        <v>5524</v>
      </c>
      <c r="O3991" s="1" t="s">
        <v>5525</v>
      </c>
      <c r="P3991" s="5">
        <f>XLOOKUP(R3991, classification!C:C, classification!B:B, "Not Found")</f>
      </c>
      <c r="Q3991" s="1" t="s">
        <v>5514</v>
      </c>
      <c r="R3991" s="2"/>
      <c r="S3991" s="2"/>
      <c r="T3991" s="2"/>
      <c r="U3991" s="2"/>
    </row>
    <row x14ac:dyDescent="0.25" r="3992" customHeight="1" ht="17.25">
      <c r="A3992" s="7">
        <v>3991</v>
      </c>
      <c r="B3992" s="1" t="s">
        <v>9287</v>
      </c>
      <c r="C3992" s="5">
        <f>CONCATENATE("PD", TEXT(A3992, "1000000"))</f>
      </c>
      <c r="D3992" s="7">
        <v>74</v>
      </c>
      <c r="E3992" s="5">
        <f>XLOOKUP(G3992, item_category!C:C, item_category!B:B, "Not Found")</f>
      </c>
      <c r="F3992" s="1" t="s">
        <v>5520</v>
      </c>
      <c r="G3992" s="5">
        <f>XLOOKUP(I3992, drug!B:B, drug!A:A, "Not Found")</f>
      </c>
      <c r="H3992" s="1"/>
      <c r="I3992" s="7">
        <v>800</v>
      </c>
      <c r="J3992" s="5">
        <f>XLOOKUP(L3992, uom!C:C, uom!B:B, "Not Found")</f>
      </c>
      <c r="K3992" s="1" t="s">
        <v>5604</v>
      </c>
      <c r="L3992" s="5">
        <f>XLOOKUP(N3992, uom!C:C, uom!B:B, "Not Found")</f>
      </c>
      <c r="M3992" s="1" t="s">
        <v>5604</v>
      </c>
      <c r="N3992" s="8" t="s">
        <v>5524</v>
      </c>
      <c r="O3992" s="1" t="s">
        <v>5525</v>
      </c>
      <c r="P3992" s="5">
        <f>XLOOKUP(R3992, classification!C:C, classification!B:B, "Not Found")</f>
      </c>
      <c r="Q3992" s="1" t="s">
        <v>5514</v>
      </c>
      <c r="R3992" s="2"/>
      <c r="S3992" s="2"/>
      <c r="T3992" s="2"/>
      <c r="U3992" s="2"/>
    </row>
    <row x14ac:dyDescent="0.25" r="3993" customHeight="1" ht="17.25">
      <c r="A3993" s="7">
        <v>3992</v>
      </c>
      <c r="B3993" s="1" t="s">
        <v>9288</v>
      </c>
      <c r="C3993" s="5">
        <f>CONCATENATE("PD", TEXT(A3993, "1000000"))</f>
      </c>
      <c r="D3993" s="7">
        <v>74</v>
      </c>
      <c r="E3993" s="5">
        <f>XLOOKUP(G3993, item_category!C:C, item_category!B:B, "Not Found")</f>
      </c>
      <c r="F3993" s="1" t="s">
        <v>5520</v>
      </c>
      <c r="G3993" s="5">
        <f>XLOOKUP(I3993, drug!B:B, drug!A:A, "Not Found")</f>
      </c>
      <c r="H3993" s="1"/>
      <c r="I3993" s="7">
        <v>500</v>
      </c>
      <c r="J3993" s="5">
        <f>XLOOKUP(L3993, uom!C:C, uom!B:B, "Not Found")</f>
      </c>
      <c r="K3993" s="1" t="s">
        <v>9140</v>
      </c>
      <c r="L3993" s="5">
        <f>XLOOKUP(N3993, uom!C:C, uom!B:B, "Not Found")</f>
      </c>
      <c r="M3993" s="1" t="s">
        <v>9140</v>
      </c>
      <c r="N3993" s="8" t="s">
        <v>5524</v>
      </c>
      <c r="O3993" s="1" t="s">
        <v>5525</v>
      </c>
      <c r="P3993" s="5">
        <f>XLOOKUP(R3993, classification!C:C, classification!B:B, "Not Found")</f>
      </c>
      <c r="Q3993" s="1" t="s">
        <v>5514</v>
      </c>
      <c r="R3993" s="2"/>
      <c r="S3993" s="2"/>
      <c r="T3993" s="2"/>
      <c r="U3993" s="2"/>
    </row>
    <row x14ac:dyDescent="0.25" r="3994" customHeight="1" ht="17.25">
      <c r="A3994" s="7">
        <v>3993</v>
      </c>
      <c r="B3994" s="1" t="s">
        <v>9289</v>
      </c>
      <c r="C3994" s="5">
        <f>CONCATENATE("PD", TEXT(A3994, "1000000"))</f>
      </c>
      <c r="D3994" s="7">
        <v>74</v>
      </c>
      <c r="E3994" s="5">
        <f>XLOOKUP(G3994, item_category!C:C, item_category!B:B, "Not Found")</f>
      </c>
      <c r="F3994" s="1" t="s">
        <v>5520</v>
      </c>
      <c r="G3994" s="5">
        <f>XLOOKUP(I3994, drug!B:B, drug!A:A, "Not Found")</f>
      </c>
      <c r="H3994" s="1"/>
      <c r="I3994" s="7">
        <v>500</v>
      </c>
      <c r="J3994" s="5">
        <f>XLOOKUP(L3994, uom!C:C, uom!B:B, "Not Found")</f>
      </c>
      <c r="K3994" s="1" t="s">
        <v>5604</v>
      </c>
      <c r="L3994" s="5">
        <f>XLOOKUP(N3994, uom!C:C, uom!B:B, "Not Found")</f>
      </c>
      <c r="M3994" s="1" t="s">
        <v>5604</v>
      </c>
      <c r="N3994" s="8" t="s">
        <v>5524</v>
      </c>
      <c r="O3994" s="1" t="s">
        <v>5525</v>
      </c>
      <c r="P3994" s="5">
        <f>XLOOKUP(R3994, classification!C:C, classification!B:B, "Not Found")</f>
      </c>
      <c r="Q3994" s="1" t="s">
        <v>5514</v>
      </c>
      <c r="R3994" s="2"/>
      <c r="S3994" s="2"/>
      <c r="T3994" s="2"/>
      <c r="U3994" s="2"/>
    </row>
    <row x14ac:dyDescent="0.25" r="3995" customHeight="1" ht="17.25">
      <c r="A3995" s="7">
        <v>3994</v>
      </c>
      <c r="B3995" s="1" t="s">
        <v>9290</v>
      </c>
      <c r="C3995" s="5">
        <f>CONCATENATE("PD", TEXT(A3995, "1000000"))</f>
      </c>
      <c r="D3995" s="7">
        <v>65</v>
      </c>
      <c r="E3995" s="5">
        <f>XLOOKUP(G3995, item_category!C:C, item_category!B:B, "Not Found")</f>
      </c>
      <c r="F3995" s="1" t="s">
        <v>6008</v>
      </c>
      <c r="G3995" s="5">
        <f>XLOOKUP(I3995, drug!B:B, drug!A:A, "Not Found")</f>
      </c>
      <c r="H3995" s="1"/>
      <c r="I3995" s="7">
        <v>1</v>
      </c>
      <c r="J3995" s="5">
        <f>XLOOKUP(L3995, uom!C:C, uom!B:B, "Not Found")</f>
      </c>
      <c r="K3995" s="1" t="s">
        <v>5510</v>
      </c>
      <c r="L3995" s="5">
        <f>XLOOKUP(N3995, uom!C:C, uom!B:B, "Not Found")</f>
      </c>
      <c r="M3995" s="1" t="s">
        <v>5510</v>
      </c>
      <c r="N3995" s="8" t="s">
        <v>5524</v>
      </c>
      <c r="O3995" s="1" t="s">
        <v>5525</v>
      </c>
      <c r="P3995" s="5">
        <f>XLOOKUP(R3995, classification!C:C, classification!B:B, "Not Found")</f>
      </c>
      <c r="Q3995" s="1" t="s">
        <v>5514</v>
      </c>
      <c r="R3995" s="2"/>
      <c r="S3995" s="2"/>
      <c r="T3995" s="2"/>
      <c r="U3995" s="2"/>
    </row>
    <row x14ac:dyDescent="0.25" r="3996" customHeight="1" ht="17.25">
      <c r="A3996" s="7">
        <v>3995</v>
      </c>
      <c r="B3996" s="1" t="s">
        <v>9291</v>
      </c>
      <c r="C3996" s="5">
        <f>CONCATENATE("PD", TEXT(A3996, "1000000"))</f>
      </c>
      <c r="D3996" s="7">
        <v>65</v>
      </c>
      <c r="E3996" s="5">
        <f>XLOOKUP(G3996, item_category!C:C, item_category!B:B, "Not Found")</f>
      </c>
      <c r="F3996" s="1" t="s">
        <v>6008</v>
      </c>
      <c r="G3996" s="5">
        <f>XLOOKUP(I3996, drug!B:B, drug!A:A, "Not Found")</f>
      </c>
      <c r="H3996" s="1" t="s">
        <v>1998</v>
      </c>
      <c r="I3996" s="7">
        <v>1</v>
      </c>
      <c r="J3996" s="5">
        <f>XLOOKUP(L3996, uom!C:C, uom!B:B, "Not Found")</f>
      </c>
      <c r="K3996" s="1" t="s">
        <v>5510</v>
      </c>
      <c r="L3996" s="5">
        <f>XLOOKUP(N3996, uom!C:C, uom!B:B, "Not Found")</f>
      </c>
      <c r="M3996" s="1" t="s">
        <v>5510</v>
      </c>
      <c r="N3996" s="8" t="s">
        <v>5524</v>
      </c>
      <c r="O3996" s="1" t="s">
        <v>5525</v>
      </c>
      <c r="P3996" s="5">
        <f>XLOOKUP(R3996, classification!C:C, classification!B:B, "Not Found")</f>
      </c>
      <c r="Q3996" s="1" t="s">
        <v>5514</v>
      </c>
      <c r="R3996" s="2"/>
      <c r="S3996" s="2"/>
      <c r="T3996" s="2"/>
      <c r="U3996" s="2"/>
    </row>
    <row x14ac:dyDescent="0.25" r="3997" customHeight="1" ht="17.25">
      <c r="A3997" s="7">
        <v>3996</v>
      </c>
      <c r="B3997" s="1" t="s">
        <v>9292</v>
      </c>
      <c r="C3997" s="5">
        <f>CONCATENATE("PD", TEXT(A3997, "1000000"))</f>
      </c>
      <c r="D3997" s="7">
        <v>67</v>
      </c>
      <c r="E3997" s="5">
        <f>XLOOKUP(G3997, item_category!C:C, item_category!B:B, "Not Found")</f>
      </c>
      <c r="F3997" s="1" t="s">
        <v>5516</v>
      </c>
      <c r="G3997" s="5">
        <f>XLOOKUP(I3997, drug!B:B, drug!A:A, "Not Found")</f>
      </c>
      <c r="H3997" s="1" t="s">
        <v>1588</v>
      </c>
      <c r="I3997" s="7">
        <v>450</v>
      </c>
      <c r="J3997" s="5">
        <f>XLOOKUP(L3997, uom!C:C, uom!B:B, "Not Found")</f>
      </c>
      <c r="K3997" s="1" t="s">
        <v>5618</v>
      </c>
      <c r="L3997" s="5">
        <f>XLOOKUP(N3997, uom!C:C, uom!B:B, "Not Found")</f>
      </c>
      <c r="M3997" s="1" t="s">
        <v>5618</v>
      </c>
      <c r="N3997" s="8" t="s">
        <v>5524</v>
      </c>
      <c r="O3997" s="1" t="s">
        <v>5525</v>
      </c>
      <c r="P3997" s="5">
        <f>XLOOKUP(R3997, classification!C:C, classification!B:B, "Not Found")</f>
      </c>
      <c r="Q3997" s="1" t="s">
        <v>5514</v>
      </c>
      <c r="R3997" s="2"/>
      <c r="S3997" s="2"/>
      <c r="T3997" s="2"/>
      <c r="U3997" s="2"/>
    </row>
    <row x14ac:dyDescent="0.25" r="3998" customHeight="1" ht="17.25">
      <c r="A3998" s="7">
        <v>3997</v>
      </c>
      <c r="B3998" s="1" t="s">
        <v>9293</v>
      </c>
      <c r="C3998" s="5">
        <f>CONCATENATE("PD", TEXT(A3998, "1000000"))</f>
      </c>
      <c r="D3998" s="7">
        <v>67</v>
      </c>
      <c r="E3998" s="5">
        <f>XLOOKUP(G3998, item_category!C:C, item_category!B:B, "Not Found")</f>
      </c>
      <c r="F3998" s="1" t="s">
        <v>5516</v>
      </c>
      <c r="G3998" s="5">
        <f>XLOOKUP(I3998, drug!B:B, drug!A:A, "Not Found")</f>
      </c>
      <c r="H3998" s="1"/>
      <c r="I3998" s="7">
        <v>500</v>
      </c>
      <c r="J3998" s="5">
        <f>XLOOKUP(L3998, uom!C:C, uom!B:B, "Not Found")</f>
      </c>
      <c r="K3998" s="1" t="s">
        <v>5602</v>
      </c>
      <c r="L3998" s="5">
        <f>XLOOKUP(N3998, uom!C:C, uom!B:B, "Not Found")</f>
      </c>
      <c r="M3998" s="1" t="s">
        <v>5602</v>
      </c>
      <c r="N3998" s="8" t="s">
        <v>5524</v>
      </c>
      <c r="O3998" s="1" t="s">
        <v>5525</v>
      </c>
      <c r="P3998" s="5">
        <f>XLOOKUP(R3998, classification!C:C, classification!B:B, "Not Found")</f>
      </c>
      <c r="Q3998" s="1" t="s">
        <v>5514</v>
      </c>
      <c r="R3998" s="2"/>
      <c r="S3998" s="2"/>
      <c r="T3998" s="2"/>
      <c r="U3998" s="2"/>
    </row>
    <row x14ac:dyDescent="0.25" r="3999" customHeight="1" ht="17.25">
      <c r="A3999" s="7">
        <v>3998</v>
      </c>
      <c r="B3999" s="1" t="s">
        <v>9294</v>
      </c>
      <c r="C3999" s="5">
        <f>CONCATENATE("PD", TEXT(A3999, "1000000"))</f>
      </c>
      <c r="D3999" s="7">
        <v>67</v>
      </c>
      <c r="E3999" s="5">
        <f>XLOOKUP(G3999, item_category!C:C, item_category!B:B, "Not Found")</f>
      </c>
      <c r="F3999" s="1" t="s">
        <v>5516</v>
      </c>
      <c r="G3999" s="5">
        <f>XLOOKUP(I3999, drug!B:B, drug!A:A, "Not Found")</f>
      </c>
      <c r="H3999" s="1" t="s">
        <v>1942</v>
      </c>
      <c r="I3999" s="7">
        <v>300</v>
      </c>
      <c r="J3999" s="5">
        <f>XLOOKUP(L3999, uom!C:C, uom!B:B, "Not Found")</f>
      </c>
      <c r="K3999" s="1" t="s">
        <v>5602</v>
      </c>
      <c r="L3999" s="5">
        <f>XLOOKUP(N3999, uom!C:C, uom!B:B, "Not Found")</f>
      </c>
      <c r="M3999" s="1" t="s">
        <v>5602</v>
      </c>
      <c r="N3999" s="8" t="s">
        <v>5524</v>
      </c>
      <c r="O3999" s="1" t="s">
        <v>5525</v>
      </c>
      <c r="P3999" s="5">
        <f>XLOOKUP(R3999, classification!C:C, classification!B:B, "Not Found")</f>
      </c>
      <c r="Q3999" s="1" t="s">
        <v>5514</v>
      </c>
      <c r="R3999" s="2"/>
      <c r="S3999" s="2"/>
      <c r="T3999" s="2"/>
      <c r="U3999" s="2"/>
    </row>
    <row x14ac:dyDescent="0.25" r="4000" customHeight="1" ht="17.25">
      <c r="A4000" s="7">
        <v>3999</v>
      </c>
      <c r="B4000" s="1" t="s">
        <v>9295</v>
      </c>
      <c r="C4000" s="5">
        <f>CONCATENATE("PD", TEXT(A4000, "1000000"))</f>
      </c>
      <c r="D4000" s="7">
        <v>67</v>
      </c>
      <c r="E4000" s="5">
        <f>XLOOKUP(G4000, item_category!C:C, item_category!B:B, "Not Found")</f>
      </c>
      <c r="F4000" s="1" t="s">
        <v>5516</v>
      </c>
      <c r="G4000" s="5">
        <f>XLOOKUP(I4000, drug!B:B, drug!A:A, "Not Found")</f>
      </c>
      <c r="H4000" s="1"/>
      <c r="I4000" s="7">
        <v>1500</v>
      </c>
      <c r="J4000" s="5">
        <f>XLOOKUP(L4000, uom!C:C, uom!B:B, "Not Found")</f>
      </c>
      <c r="K4000" s="1" t="s">
        <v>5602</v>
      </c>
      <c r="L4000" s="5">
        <f>XLOOKUP(N4000, uom!C:C, uom!B:B, "Not Found")</f>
      </c>
      <c r="M4000" s="1" t="s">
        <v>5602</v>
      </c>
      <c r="N4000" s="8" t="s">
        <v>5524</v>
      </c>
      <c r="O4000" s="1" t="s">
        <v>5525</v>
      </c>
      <c r="P4000" s="5">
        <f>XLOOKUP(R4000, classification!C:C, classification!B:B, "Not Found")</f>
      </c>
      <c r="Q4000" s="1" t="s">
        <v>5514</v>
      </c>
      <c r="R4000" s="2"/>
      <c r="S4000" s="2"/>
      <c r="T4000" s="2"/>
      <c r="U4000" s="2"/>
    </row>
    <row x14ac:dyDescent="0.25" r="4001" customHeight="1" ht="17.25">
      <c r="A4001" s="7">
        <v>4000</v>
      </c>
      <c r="B4001" s="1" t="s">
        <v>9296</v>
      </c>
      <c r="C4001" s="5">
        <f>CONCATENATE("PD", TEXT(A4001, "1000000"))</f>
      </c>
      <c r="D4001" s="7">
        <v>67</v>
      </c>
      <c r="E4001" s="5">
        <f>XLOOKUP(G4001, item_category!C:C, item_category!B:B, "Not Found")</f>
      </c>
      <c r="F4001" s="1" t="s">
        <v>5516</v>
      </c>
      <c r="G4001" s="5">
        <f>XLOOKUP(I4001, drug!B:B, drug!A:A, "Not Found")</f>
      </c>
      <c r="H4001" s="1"/>
      <c r="I4001" s="7">
        <v>800</v>
      </c>
      <c r="J4001" s="5">
        <f>XLOOKUP(L4001, uom!C:C, uom!B:B, "Not Found")</f>
      </c>
      <c r="K4001" s="1" t="s">
        <v>5602</v>
      </c>
      <c r="L4001" s="5">
        <f>XLOOKUP(N4001, uom!C:C, uom!B:B, "Not Found")</f>
      </c>
      <c r="M4001" s="1" t="s">
        <v>5602</v>
      </c>
      <c r="N4001" s="8" t="s">
        <v>5524</v>
      </c>
      <c r="O4001" s="1" t="s">
        <v>5525</v>
      </c>
      <c r="P4001" s="5">
        <f>XLOOKUP(R4001, classification!C:C, classification!B:B, "Not Found")</f>
      </c>
      <c r="Q4001" s="1" t="s">
        <v>5514</v>
      </c>
      <c r="R4001" s="2"/>
      <c r="S4001" s="2"/>
      <c r="T4001" s="2"/>
      <c r="U4001" s="2"/>
    </row>
    <row x14ac:dyDescent="0.25" r="4002" customHeight="1" ht="17.25">
      <c r="A4002" s="7">
        <v>4001</v>
      </c>
      <c r="B4002" s="1" t="s">
        <v>9297</v>
      </c>
      <c r="C4002" s="5">
        <f>CONCATENATE("PD", TEXT(A4002, "1000000"))</f>
      </c>
      <c r="D4002" s="7">
        <v>67</v>
      </c>
      <c r="E4002" s="5">
        <f>XLOOKUP(G4002, item_category!C:C, item_category!B:B, "Not Found")</f>
      </c>
      <c r="F4002" s="1" t="s">
        <v>5516</v>
      </c>
      <c r="G4002" s="5">
        <f>XLOOKUP(I4002, drug!B:B, drug!A:A, "Not Found")</f>
      </c>
      <c r="H4002" s="1"/>
      <c r="I4002" s="7">
        <v>1</v>
      </c>
      <c r="J4002" s="5">
        <f>XLOOKUP(L4002, uom!C:C, uom!B:B, "Not Found")</f>
      </c>
      <c r="K4002" s="1" t="s">
        <v>5602</v>
      </c>
      <c r="L4002" s="5">
        <f>XLOOKUP(N4002, uom!C:C, uom!B:B, "Not Found")</f>
      </c>
      <c r="M4002" s="1" t="s">
        <v>5602</v>
      </c>
      <c r="N4002" s="8" t="s">
        <v>5524</v>
      </c>
      <c r="O4002" s="1" t="s">
        <v>5525</v>
      </c>
      <c r="P4002" s="5">
        <f>XLOOKUP(R4002, classification!C:C, classification!B:B, "Not Found")</f>
      </c>
      <c r="Q4002" s="1" t="s">
        <v>5514</v>
      </c>
      <c r="R4002" s="2"/>
      <c r="S4002" s="2"/>
      <c r="T4002" s="2"/>
      <c r="U4002" s="2"/>
    </row>
    <row x14ac:dyDescent="0.25" r="4003" customHeight="1" ht="17.25">
      <c r="A4003" s="7">
        <v>4002</v>
      </c>
      <c r="B4003" s="1" t="s">
        <v>9298</v>
      </c>
      <c r="C4003" s="5">
        <f>CONCATENATE("PD", TEXT(A4003, "1000000"))</f>
      </c>
      <c r="D4003" s="7">
        <v>67</v>
      </c>
      <c r="E4003" s="5">
        <f>XLOOKUP(G4003, item_category!C:C, item_category!B:B, "Not Found")</f>
      </c>
      <c r="F4003" s="1" t="s">
        <v>5516</v>
      </c>
      <c r="G4003" s="5">
        <f>XLOOKUP(I4003, drug!B:B, drug!A:A, "Not Found")</f>
      </c>
      <c r="H4003" s="1"/>
      <c r="I4003" s="7">
        <v>250</v>
      </c>
      <c r="J4003" s="5">
        <f>XLOOKUP(L4003, uom!C:C, uom!B:B, "Not Found")</f>
      </c>
      <c r="K4003" s="1" t="s">
        <v>5602</v>
      </c>
      <c r="L4003" s="5">
        <f>XLOOKUP(N4003, uom!C:C, uom!B:B, "Not Found")</f>
      </c>
      <c r="M4003" s="1" t="s">
        <v>5602</v>
      </c>
      <c r="N4003" s="8" t="s">
        <v>5524</v>
      </c>
      <c r="O4003" s="1" t="s">
        <v>5525</v>
      </c>
      <c r="P4003" s="5">
        <f>XLOOKUP(R4003, classification!C:C, classification!B:B, "Not Found")</f>
      </c>
      <c r="Q4003" s="1" t="s">
        <v>5514</v>
      </c>
      <c r="R4003" s="2"/>
      <c r="S4003" s="2"/>
      <c r="T4003" s="2"/>
      <c r="U4003" s="2"/>
    </row>
    <row x14ac:dyDescent="0.25" r="4004" customHeight="1" ht="17.25">
      <c r="A4004" s="7">
        <v>4003</v>
      </c>
      <c r="B4004" s="1" t="s">
        <v>9299</v>
      </c>
      <c r="C4004" s="5">
        <f>CONCATENATE("PD", TEXT(A4004, "1000000"))</f>
      </c>
      <c r="D4004" s="7">
        <v>67</v>
      </c>
      <c r="E4004" s="5">
        <f>XLOOKUP(G4004, item_category!C:C, item_category!B:B, "Not Found")</f>
      </c>
      <c r="F4004" s="1" t="s">
        <v>5516</v>
      </c>
      <c r="G4004" s="5">
        <f>XLOOKUP(I4004, drug!B:B, drug!A:A, "Not Found")</f>
      </c>
      <c r="H4004" s="1"/>
      <c r="I4004" s="7">
        <v>200</v>
      </c>
      <c r="J4004" s="5">
        <f>XLOOKUP(L4004, uom!C:C, uom!B:B, "Not Found")</f>
      </c>
      <c r="K4004" s="1" t="s">
        <v>5602</v>
      </c>
      <c r="L4004" s="5">
        <f>XLOOKUP(N4004, uom!C:C, uom!B:B, "Not Found")</f>
      </c>
      <c r="M4004" s="1" t="s">
        <v>5602</v>
      </c>
      <c r="N4004" s="8" t="s">
        <v>5524</v>
      </c>
      <c r="O4004" s="1" t="s">
        <v>5525</v>
      </c>
      <c r="P4004" s="5">
        <f>XLOOKUP(R4004, classification!C:C, classification!B:B, "Not Found")</f>
      </c>
      <c r="Q4004" s="1" t="s">
        <v>5514</v>
      </c>
      <c r="R4004" s="2"/>
      <c r="S4004" s="2"/>
      <c r="T4004" s="2"/>
      <c r="U4004" s="2"/>
    </row>
    <row x14ac:dyDescent="0.25" r="4005" customHeight="1" ht="17.25">
      <c r="A4005" s="7">
        <v>4004</v>
      </c>
      <c r="B4005" s="1" t="s">
        <v>9300</v>
      </c>
      <c r="C4005" s="5">
        <f>CONCATENATE("PD", TEXT(A4005, "1000000"))</f>
      </c>
      <c r="D4005" s="7">
        <v>59</v>
      </c>
      <c r="E4005" s="5">
        <f>XLOOKUP(G4005, item_category!C:C, item_category!B:B, "Not Found")</f>
      </c>
      <c r="F4005" s="1" t="s">
        <v>5527</v>
      </c>
      <c r="G4005" s="5">
        <f>XLOOKUP(I4005, drug!B:B, drug!A:A, "Not Found")</f>
      </c>
      <c r="H4005" s="1" t="s">
        <v>1078</v>
      </c>
      <c r="I4005" s="7">
        <v>25</v>
      </c>
      <c r="J4005" s="5">
        <f>XLOOKUP(L4005, uom!C:C, uom!B:B, "Not Found")</f>
      </c>
      <c r="K4005" s="1" t="s">
        <v>5899</v>
      </c>
      <c r="L4005" s="5">
        <f>XLOOKUP(N4005, uom!C:C, uom!B:B, "Not Found")</f>
      </c>
      <c r="M4005" s="1" t="s">
        <v>5544</v>
      </c>
      <c r="N4005" s="8" t="s">
        <v>5524</v>
      </c>
      <c r="O4005" s="1" t="s">
        <v>5525</v>
      </c>
      <c r="P4005" s="5">
        <f>XLOOKUP(R4005, classification!C:C, classification!B:B, "Not Found")</f>
      </c>
      <c r="Q4005" s="1" t="s">
        <v>5514</v>
      </c>
      <c r="R4005" s="2"/>
      <c r="S4005" s="2"/>
      <c r="T4005" s="2"/>
      <c r="U4005" s="2"/>
    </row>
    <row x14ac:dyDescent="0.25" r="4006" customHeight="1" ht="17.25">
      <c r="A4006" s="7">
        <v>4005</v>
      </c>
      <c r="B4006" s="1" t="s">
        <v>9301</v>
      </c>
      <c r="C4006" s="5">
        <f>CONCATENATE("PD", TEXT(A4006, "1000000"))</f>
      </c>
      <c r="D4006" s="7">
        <v>59</v>
      </c>
      <c r="E4006" s="5">
        <f>XLOOKUP(G4006, item_category!C:C, item_category!B:B, "Not Found")</f>
      </c>
      <c r="F4006" s="1" t="s">
        <v>5527</v>
      </c>
      <c r="G4006" s="5">
        <f>XLOOKUP(I4006, drug!B:B, drug!A:A, "Not Found")</f>
      </c>
      <c r="H4006" s="1"/>
      <c r="I4006" s="7">
        <v>100</v>
      </c>
      <c r="J4006" s="5">
        <f>XLOOKUP(L4006, uom!C:C, uom!B:B, "Not Found")</f>
      </c>
      <c r="K4006" s="1" t="s">
        <v>5537</v>
      </c>
      <c r="L4006" s="5">
        <f>XLOOKUP(N4006, uom!C:C, uom!B:B, "Not Found")</f>
      </c>
      <c r="M4006" s="1" t="s">
        <v>5537</v>
      </c>
      <c r="N4006" s="8" t="s">
        <v>5524</v>
      </c>
      <c r="O4006" s="1" t="s">
        <v>5525</v>
      </c>
      <c r="P4006" s="5">
        <f>XLOOKUP(R4006, classification!C:C, classification!B:B, "Not Found")</f>
      </c>
      <c r="Q4006" s="1" t="s">
        <v>5514</v>
      </c>
      <c r="R4006" s="2"/>
      <c r="S4006" s="2"/>
      <c r="T4006" s="2"/>
      <c r="U4006" s="2"/>
    </row>
    <row x14ac:dyDescent="0.25" r="4007" customHeight="1" ht="17.25">
      <c r="A4007" s="7">
        <v>4006</v>
      </c>
      <c r="B4007" s="1" t="s">
        <v>9302</v>
      </c>
      <c r="C4007" s="5">
        <f>CONCATENATE("PD", TEXT(A4007, "1000000"))</f>
      </c>
      <c r="D4007" s="7">
        <v>59</v>
      </c>
      <c r="E4007" s="5">
        <f>XLOOKUP(G4007, item_category!C:C, item_category!B:B, "Not Found")</f>
      </c>
      <c r="F4007" s="1" t="s">
        <v>5527</v>
      </c>
      <c r="G4007" s="5">
        <f>XLOOKUP(I4007, drug!B:B, drug!A:A, "Not Found")</f>
      </c>
      <c r="H4007" s="1"/>
      <c r="I4007" s="7">
        <v>2</v>
      </c>
      <c r="J4007" s="5">
        <f>XLOOKUP(L4007, uom!C:C, uom!B:B, "Not Found")</f>
      </c>
      <c r="K4007" s="1" t="s">
        <v>5581</v>
      </c>
      <c r="L4007" s="5">
        <f>XLOOKUP(N4007, uom!C:C, uom!B:B, "Not Found")</f>
      </c>
      <c r="M4007" s="1" t="s">
        <v>5581</v>
      </c>
      <c r="N4007" s="8" t="s">
        <v>5524</v>
      </c>
      <c r="O4007" s="1" t="s">
        <v>5525</v>
      </c>
      <c r="P4007" s="5">
        <f>XLOOKUP(R4007, classification!C:C, classification!B:B, "Not Found")</f>
      </c>
      <c r="Q4007" s="1" t="s">
        <v>5514</v>
      </c>
      <c r="R4007" s="2"/>
      <c r="S4007" s="2"/>
      <c r="T4007" s="2"/>
      <c r="U4007" s="2"/>
    </row>
    <row x14ac:dyDescent="0.25" r="4008" customHeight="1" ht="17.25">
      <c r="A4008" s="7">
        <v>4007</v>
      </c>
      <c r="B4008" s="1" t="s">
        <v>9303</v>
      </c>
      <c r="C4008" s="5">
        <f>CONCATENATE("PD", TEXT(A4008, "1000000"))</f>
      </c>
      <c r="D4008" s="7">
        <v>66</v>
      </c>
      <c r="E4008" s="5">
        <f>XLOOKUP(G4008, item_category!C:C, item_category!B:B, "Not Found")</f>
      </c>
      <c r="F4008" s="1" t="s">
        <v>5617</v>
      </c>
      <c r="G4008" s="5">
        <f>XLOOKUP(I4008, drug!B:B, drug!A:A, "Not Found")</f>
      </c>
      <c r="H4008" s="1"/>
      <c r="I4008" s="7">
        <v>450</v>
      </c>
      <c r="J4008" s="5">
        <f>XLOOKUP(L4008, uom!C:C, uom!B:B, "Not Found")</f>
      </c>
      <c r="K4008" s="1" t="s">
        <v>5618</v>
      </c>
      <c r="L4008" s="5">
        <f>XLOOKUP(N4008, uom!C:C, uom!B:B, "Not Found")</f>
      </c>
      <c r="M4008" s="1" t="s">
        <v>5618</v>
      </c>
      <c r="N4008" s="8" t="s">
        <v>5524</v>
      </c>
      <c r="O4008" s="1" t="s">
        <v>5525</v>
      </c>
      <c r="P4008" s="5">
        <f>XLOOKUP(R4008, classification!C:C, classification!B:B, "Not Found")</f>
      </c>
      <c r="Q4008" s="1" t="s">
        <v>5514</v>
      </c>
      <c r="R4008" s="2"/>
      <c r="S4008" s="2"/>
      <c r="T4008" s="2"/>
      <c r="U4008" s="2"/>
    </row>
    <row x14ac:dyDescent="0.25" r="4009" customHeight="1" ht="17.25">
      <c r="A4009" s="7">
        <v>4008</v>
      </c>
      <c r="B4009" s="1" t="s">
        <v>9304</v>
      </c>
      <c r="C4009" s="5">
        <f>CONCATENATE("PD", TEXT(A4009, "1000000"))</f>
      </c>
      <c r="D4009" s="7">
        <v>66</v>
      </c>
      <c r="E4009" s="5">
        <f>XLOOKUP(G4009, item_category!C:C, item_category!B:B, "Not Found")</f>
      </c>
      <c r="F4009" s="1" t="s">
        <v>5617</v>
      </c>
      <c r="G4009" s="5">
        <f>XLOOKUP(I4009, drug!B:B, drug!A:A, "Not Found")</f>
      </c>
      <c r="H4009" s="1"/>
      <c r="I4009" s="7">
        <v>600</v>
      </c>
      <c r="J4009" s="5">
        <f>XLOOKUP(L4009, uom!C:C, uom!B:B, "Not Found")</f>
      </c>
      <c r="K4009" s="1" t="s">
        <v>5602</v>
      </c>
      <c r="L4009" s="5">
        <f>XLOOKUP(N4009, uom!C:C, uom!B:B, "Not Found")</f>
      </c>
      <c r="M4009" s="1" t="s">
        <v>5602</v>
      </c>
      <c r="N4009" s="8" t="s">
        <v>5524</v>
      </c>
      <c r="O4009" s="1" t="s">
        <v>5525</v>
      </c>
      <c r="P4009" s="5">
        <f>XLOOKUP(R4009, classification!C:C, classification!B:B, "Not Found")</f>
      </c>
      <c r="Q4009" s="1" t="s">
        <v>5514</v>
      </c>
      <c r="R4009" s="2"/>
      <c r="S4009" s="2"/>
      <c r="T4009" s="2"/>
      <c r="U4009" s="2"/>
    </row>
    <row x14ac:dyDescent="0.25" r="4010" customHeight="1" ht="17.25">
      <c r="A4010" s="7">
        <v>4009</v>
      </c>
      <c r="B4010" s="1" t="s">
        <v>9305</v>
      </c>
      <c r="C4010" s="5">
        <f>CONCATENATE("PD", TEXT(A4010, "1000000"))</f>
      </c>
      <c r="D4010" s="7">
        <v>70</v>
      </c>
      <c r="E4010" s="5">
        <f>XLOOKUP(G4010, item_category!C:C, item_category!B:B, "Not Found")</f>
      </c>
      <c r="F4010" s="1" t="s">
        <v>6615</v>
      </c>
      <c r="G4010" s="5">
        <f>XLOOKUP(I4010, drug!B:B, drug!A:A, "Not Found")</f>
      </c>
      <c r="H4010" s="1"/>
      <c r="I4010" s="7">
        <v>400</v>
      </c>
      <c r="J4010" s="5">
        <f>XLOOKUP(L4010, uom!C:C, uom!B:B, "Not Found")</f>
      </c>
      <c r="K4010" s="1" t="s">
        <v>5625</v>
      </c>
      <c r="L4010" s="5">
        <f>XLOOKUP(N4010, uom!C:C, uom!B:B, "Not Found")</f>
      </c>
      <c r="M4010" s="1" t="s">
        <v>5625</v>
      </c>
      <c r="N4010" s="8" t="s">
        <v>5524</v>
      </c>
      <c r="O4010" s="1" t="s">
        <v>5525</v>
      </c>
      <c r="P4010" s="5">
        <f>XLOOKUP(R4010, classification!C:C, classification!B:B, "Not Found")</f>
      </c>
      <c r="Q4010" s="1" t="s">
        <v>5514</v>
      </c>
      <c r="R4010" s="2"/>
      <c r="S4010" s="2"/>
      <c r="T4010" s="2"/>
      <c r="U4010" s="2"/>
    </row>
    <row x14ac:dyDescent="0.25" r="4011" customHeight="1" ht="17.25">
      <c r="A4011" s="7">
        <v>4010</v>
      </c>
      <c r="B4011" s="1" t="s">
        <v>9306</v>
      </c>
      <c r="C4011" s="5">
        <f>CONCATENATE("PD", TEXT(A4011, "1000000"))</f>
      </c>
      <c r="D4011" s="7">
        <v>70</v>
      </c>
      <c r="E4011" s="5">
        <f>XLOOKUP(G4011, item_category!C:C, item_category!B:B, "Not Found")</f>
      </c>
      <c r="F4011" s="1" t="s">
        <v>6615</v>
      </c>
      <c r="G4011" s="5">
        <f>XLOOKUP(I4011, drug!B:B, drug!A:A, "Not Found")</f>
      </c>
      <c r="H4011" s="1"/>
      <c r="I4011" s="7">
        <v>950</v>
      </c>
      <c r="J4011" s="5">
        <f>XLOOKUP(L4011, uom!C:C, uom!B:B, "Not Found")</f>
      </c>
      <c r="K4011" s="1" t="s">
        <v>5625</v>
      </c>
      <c r="L4011" s="5">
        <f>XLOOKUP(N4011, uom!C:C, uom!B:B, "Not Found")</f>
      </c>
      <c r="M4011" s="1" t="s">
        <v>5625</v>
      </c>
      <c r="N4011" s="8" t="s">
        <v>5524</v>
      </c>
      <c r="O4011" s="1" t="s">
        <v>5525</v>
      </c>
      <c r="P4011" s="5">
        <f>XLOOKUP(R4011, classification!C:C, classification!B:B, "Not Found")</f>
      </c>
      <c r="Q4011" s="1" t="s">
        <v>5514</v>
      </c>
      <c r="R4011" s="2"/>
      <c r="S4011" s="2"/>
      <c r="T4011" s="2"/>
      <c r="U4011" s="2"/>
    </row>
    <row x14ac:dyDescent="0.25" r="4012" customHeight="1" ht="17.25">
      <c r="A4012" s="7">
        <v>4011</v>
      </c>
      <c r="B4012" s="1" t="s">
        <v>9307</v>
      </c>
      <c r="C4012" s="5">
        <f>CONCATENATE("PD", TEXT(A4012, "1000000"))</f>
      </c>
      <c r="D4012" s="7">
        <v>74</v>
      </c>
      <c r="E4012" s="5">
        <f>XLOOKUP(G4012, item_category!C:C, item_category!B:B, "Not Found")</f>
      </c>
      <c r="F4012" s="1" t="s">
        <v>5520</v>
      </c>
      <c r="G4012" s="5">
        <f>XLOOKUP(I4012, drug!B:B, drug!A:A, "Not Found")</f>
      </c>
      <c r="H4012" s="1" t="s">
        <v>83</v>
      </c>
      <c r="I4012" s="7">
        <v>200</v>
      </c>
      <c r="J4012" s="5">
        <f>XLOOKUP(L4012, uom!C:C, uom!B:B, "Not Found")</f>
      </c>
      <c r="K4012" s="1" t="s">
        <v>5544</v>
      </c>
      <c r="L4012" s="5">
        <f>XLOOKUP(N4012, uom!C:C, uom!B:B, "Not Found")</f>
      </c>
      <c r="M4012" s="1" t="s">
        <v>5544</v>
      </c>
      <c r="N4012" s="8" t="s">
        <v>5524</v>
      </c>
      <c r="O4012" s="1" t="s">
        <v>5525</v>
      </c>
      <c r="P4012" s="5">
        <f>XLOOKUP(R4012, classification!C:C, classification!B:B, "Not Found")</f>
      </c>
      <c r="Q4012" s="1" t="s">
        <v>5514</v>
      </c>
      <c r="R4012" s="2"/>
      <c r="S4012" s="2"/>
      <c r="T4012" s="2"/>
      <c r="U4012" s="2"/>
    </row>
    <row x14ac:dyDescent="0.25" r="4013" customHeight="1" ht="17.25">
      <c r="A4013" s="7">
        <v>4012</v>
      </c>
      <c r="B4013" s="1" t="s">
        <v>9308</v>
      </c>
      <c r="C4013" s="5">
        <f>CONCATENATE("PD", TEXT(A4013, "1000000"))</f>
      </c>
      <c r="D4013" s="7">
        <v>74</v>
      </c>
      <c r="E4013" s="5">
        <f>XLOOKUP(G4013, item_category!C:C, item_category!B:B, "Not Found")</f>
      </c>
      <c r="F4013" s="1" t="s">
        <v>5520</v>
      </c>
      <c r="G4013" s="5">
        <f>XLOOKUP(I4013, drug!B:B, drug!A:A, "Not Found")</f>
      </c>
      <c r="H4013" s="1"/>
      <c r="I4013" s="7">
        <v>1000</v>
      </c>
      <c r="J4013" s="5">
        <f>XLOOKUP(L4013, uom!C:C, uom!B:B, "Not Found")</f>
      </c>
      <c r="K4013" s="1" t="s">
        <v>5544</v>
      </c>
      <c r="L4013" s="5">
        <f>XLOOKUP(N4013, uom!C:C, uom!B:B, "Not Found")</f>
      </c>
      <c r="M4013" s="1" t="s">
        <v>5544</v>
      </c>
      <c r="N4013" s="8" t="s">
        <v>5524</v>
      </c>
      <c r="O4013" s="1" t="s">
        <v>5525</v>
      </c>
      <c r="P4013" s="5">
        <f>XLOOKUP(R4013, classification!C:C, classification!B:B, "Not Found")</f>
      </c>
      <c r="Q4013" s="1" t="s">
        <v>5514</v>
      </c>
      <c r="R4013" s="2"/>
      <c r="S4013" s="2"/>
      <c r="T4013" s="2"/>
      <c r="U4013" s="2"/>
    </row>
    <row x14ac:dyDescent="0.25" r="4014" customHeight="1" ht="17.25">
      <c r="A4014" s="7">
        <v>4013</v>
      </c>
      <c r="B4014" s="1" t="s">
        <v>9309</v>
      </c>
      <c r="C4014" s="5">
        <f>CONCATENATE("PD", TEXT(A4014, "1000000"))</f>
      </c>
      <c r="D4014" s="7">
        <v>66</v>
      </c>
      <c r="E4014" s="5">
        <f>XLOOKUP(G4014, item_category!C:C, item_category!B:B, "Not Found")</f>
      </c>
      <c r="F4014" s="1" t="s">
        <v>5617</v>
      </c>
      <c r="G4014" s="5">
        <f>XLOOKUP(I4014, drug!B:B, drug!A:A, "Not Found")</f>
      </c>
      <c r="H4014" s="1"/>
      <c r="I4014" s="7">
        <v>450</v>
      </c>
      <c r="J4014" s="5">
        <f>XLOOKUP(L4014, uom!C:C, uom!B:B, "Not Found")</f>
      </c>
      <c r="K4014" s="1" t="s">
        <v>5618</v>
      </c>
      <c r="L4014" s="5">
        <f>XLOOKUP(N4014, uom!C:C, uom!B:B, "Not Found")</f>
      </c>
      <c r="M4014" s="1" t="s">
        <v>5618</v>
      </c>
      <c r="N4014" s="8" t="s">
        <v>5524</v>
      </c>
      <c r="O4014" s="1" t="s">
        <v>5525</v>
      </c>
      <c r="P4014" s="5">
        <f>XLOOKUP(R4014, classification!C:C, classification!B:B, "Not Found")</f>
      </c>
      <c r="Q4014" s="1" t="s">
        <v>5514</v>
      </c>
      <c r="R4014" s="2"/>
      <c r="S4014" s="2"/>
      <c r="T4014" s="2"/>
      <c r="U4014" s="2"/>
    </row>
    <row x14ac:dyDescent="0.25" r="4015" customHeight="1" ht="17.25">
      <c r="A4015" s="7">
        <v>4014</v>
      </c>
      <c r="B4015" s="1" t="s">
        <v>9310</v>
      </c>
      <c r="C4015" s="5">
        <f>CONCATENATE("PD", TEXT(A4015, "1000000"))</f>
      </c>
      <c r="D4015" s="7">
        <v>59</v>
      </c>
      <c r="E4015" s="5">
        <f>XLOOKUP(G4015, item_category!C:C, item_category!B:B, "Not Found")</f>
      </c>
      <c r="F4015" s="1" t="s">
        <v>5527</v>
      </c>
      <c r="G4015" s="5">
        <f>XLOOKUP(I4015, drug!B:B, drug!A:A, "Not Found")</f>
      </c>
      <c r="H4015" s="1" t="s">
        <v>1152</v>
      </c>
      <c r="I4015" s="7">
        <v>2</v>
      </c>
      <c r="J4015" s="5">
        <f>XLOOKUP(L4015, uom!C:C, uom!B:B, "Not Found")</f>
      </c>
      <c r="K4015" s="1" t="s">
        <v>5581</v>
      </c>
      <c r="L4015" s="5">
        <f>XLOOKUP(N4015, uom!C:C, uom!B:B, "Not Found")</f>
      </c>
      <c r="M4015" s="1" t="s">
        <v>5581</v>
      </c>
      <c r="N4015" s="8" t="s">
        <v>5524</v>
      </c>
      <c r="O4015" s="1" t="s">
        <v>5525</v>
      </c>
      <c r="P4015" s="5">
        <f>XLOOKUP(R4015, classification!C:C, classification!B:B, "Not Found")</f>
      </c>
      <c r="Q4015" s="1" t="s">
        <v>5514</v>
      </c>
      <c r="R4015" s="2"/>
      <c r="S4015" s="2"/>
      <c r="T4015" s="2"/>
      <c r="U4015" s="2"/>
    </row>
    <row x14ac:dyDescent="0.25" r="4016" customHeight="1" ht="17.25">
      <c r="A4016" s="7">
        <v>4015</v>
      </c>
      <c r="B4016" s="1" t="s">
        <v>9311</v>
      </c>
      <c r="C4016" s="5">
        <f>CONCATENATE("PD", TEXT(A4016, "1000000"))</f>
      </c>
      <c r="D4016" s="7">
        <v>59</v>
      </c>
      <c r="E4016" s="5">
        <f>XLOOKUP(G4016, item_category!C:C, item_category!B:B, "Not Found")</f>
      </c>
      <c r="F4016" s="1" t="s">
        <v>5527</v>
      </c>
      <c r="G4016" s="5">
        <f>XLOOKUP(I4016, drug!B:B, drug!A:A, "Not Found")</f>
      </c>
      <c r="H4016" s="1" t="s">
        <v>1152</v>
      </c>
      <c r="I4016" s="7">
        <v>400</v>
      </c>
      <c r="J4016" s="5">
        <f>XLOOKUP(L4016, uom!C:C, uom!B:B, "Not Found")</f>
      </c>
      <c r="K4016" s="1" t="s">
        <v>5537</v>
      </c>
      <c r="L4016" s="5">
        <f>XLOOKUP(N4016, uom!C:C, uom!B:B, "Not Found")</f>
      </c>
      <c r="M4016" s="1" t="s">
        <v>5537</v>
      </c>
      <c r="N4016" s="8" t="s">
        <v>5524</v>
      </c>
      <c r="O4016" s="1" t="s">
        <v>5525</v>
      </c>
      <c r="P4016" s="5">
        <f>XLOOKUP(R4016, classification!C:C, classification!B:B, "Not Found")</f>
      </c>
      <c r="Q4016" s="1" t="s">
        <v>5514</v>
      </c>
      <c r="R4016" s="2"/>
      <c r="S4016" s="2"/>
      <c r="T4016" s="2"/>
      <c r="U4016" s="2"/>
    </row>
    <row x14ac:dyDescent="0.25" r="4017" customHeight="1" ht="17.25">
      <c r="A4017" s="7">
        <v>4016</v>
      </c>
      <c r="B4017" s="1" t="s">
        <v>9312</v>
      </c>
      <c r="C4017" s="5">
        <f>CONCATENATE("PD", TEXT(A4017, "1000000"))</f>
      </c>
      <c r="D4017" s="7">
        <v>59</v>
      </c>
      <c r="E4017" s="5">
        <f>XLOOKUP(G4017, item_category!C:C, item_category!B:B, "Not Found")</f>
      </c>
      <c r="F4017" s="1" t="s">
        <v>5527</v>
      </c>
      <c r="G4017" s="5">
        <f>XLOOKUP(I4017, drug!B:B, drug!A:A, "Not Found")</f>
      </c>
      <c r="H4017" s="1" t="s">
        <v>1152</v>
      </c>
      <c r="I4017" s="7">
        <v>400</v>
      </c>
      <c r="J4017" s="5">
        <f>XLOOKUP(L4017, uom!C:C, uom!B:B, "Not Found")</f>
      </c>
      <c r="K4017" s="1" t="s">
        <v>5542</v>
      </c>
      <c r="L4017" s="5">
        <f>XLOOKUP(N4017, uom!C:C, uom!B:B, "Not Found")</f>
      </c>
      <c r="M4017" s="1" t="s">
        <v>5542</v>
      </c>
      <c r="N4017" s="8" t="s">
        <v>5524</v>
      </c>
      <c r="O4017" s="1" t="s">
        <v>5525</v>
      </c>
      <c r="P4017" s="5">
        <f>XLOOKUP(R4017, classification!C:C, classification!B:B, "Not Found")</f>
      </c>
      <c r="Q4017" s="1" t="s">
        <v>5514</v>
      </c>
      <c r="R4017" s="2"/>
      <c r="S4017" s="2"/>
      <c r="T4017" s="2"/>
      <c r="U4017" s="2"/>
    </row>
    <row x14ac:dyDescent="0.25" r="4018" customHeight="1" ht="17.25">
      <c r="A4018" s="7">
        <v>4017</v>
      </c>
      <c r="B4018" s="1" t="s">
        <v>9313</v>
      </c>
      <c r="C4018" s="5">
        <f>CONCATENATE("PD", TEXT(A4018, "1000000"))</f>
      </c>
      <c r="D4018" s="7">
        <v>74</v>
      </c>
      <c r="E4018" s="5">
        <f>XLOOKUP(G4018, item_category!C:C, item_category!B:B, "Not Found")</f>
      </c>
      <c r="F4018" s="1" t="s">
        <v>5520</v>
      </c>
      <c r="G4018" s="5">
        <f>XLOOKUP(I4018, drug!B:B, drug!A:A, "Not Found")</f>
      </c>
      <c r="H4018" s="1"/>
      <c r="I4018" s="7">
        <v>200</v>
      </c>
      <c r="J4018" s="5">
        <f>XLOOKUP(L4018, uom!C:C, uom!B:B, "Not Found")</f>
      </c>
      <c r="K4018" s="1" t="s">
        <v>5544</v>
      </c>
      <c r="L4018" s="5">
        <f>XLOOKUP(N4018, uom!C:C, uom!B:B, "Not Found")</f>
      </c>
      <c r="M4018" s="1" t="s">
        <v>5544</v>
      </c>
      <c r="N4018" s="8" t="s">
        <v>5524</v>
      </c>
      <c r="O4018" s="1" t="s">
        <v>5525</v>
      </c>
      <c r="P4018" s="5">
        <f>XLOOKUP(R4018, classification!C:C, classification!B:B, "Not Found")</f>
      </c>
      <c r="Q4018" s="1" t="s">
        <v>5514</v>
      </c>
      <c r="R4018" s="2"/>
      <c r="S4018" s="2"/>
      <c r="T4018" s="2"/>
      <c r="U4018" s="2"/>
    </row>
    <row x14ac:dyDescent="0.25" r="4019" customHeight="1" ht="17.25">
      <c r="A4019" s="7">
        <v>4018</v>
      </c>
      <c r="B4019" s="1" t="s">
        <v>9314</v>
      </c>
      <c r="C4019" s="5">
        <f>CONCATENATE("PD", TEXT(A4019, "1000000"))</f>
      </c>
      <c r="D4019" s="7">
        <v>74</v>
      </c>
      <c r="E4019" s="5">
        <f>XLOOKUP(G4019, item_category!C:C, item_category!B:B, "Not Found")</f>
      </c>
      <c r="F4019" s="1" t="s">
        <v>5520</v>
      </c>
      <c r="G4019" s="5">
        <f>XLOOKUP(I4019, drug!B:B, drug!A:A, "Not Found")</f>
      </c>
      <c r="H4019" s="1"/>
      <c r="I4019" s="7">
        <v>750</v>
      </c>
      <c r="J4019" s="5">
        <f>XLOOKUP(L4019, uom!C:C, uom!B:B, "Not Found")</f>
      </c>
      <c r="K4019" s="1" t="s">
        <v>9235</v>
      </c>
      <c r="L4019" s="5">
        <f>XLOOKUP(N4019, uom!C:C, uom!B:B, "Not Found")</f>
      </c>
      <c r="M4019" s="1" t="s">
        <v>9235</v>
      </c>
      <c r="N4019" s="8" t="s">
        <v>5524</v>
      </c>
      <c r="O4019" s="1" t="s">
        <v>5525</v>
      </c>
      <c r="P4019" s="5">
        <f>XLOOKUP(R4019, classification!C:C, classification!B:B, "Not Found")</f>
      </c>
      <c r="Q4019" s="1" t="s">
        <v>5514</v>
      </c>
      <c r="R4019" s="2"/>
      <c r="S4019" s="2"/>
      <c r="T4019" s="2"/>
      <c r="U4019" s="2"/>
    </row>
    <row x14ac:dyDescent="0.25" r="4020" customHeight="1" ht="17.25">
      <c r="A4020" s="7">
        <v>4019</v>
      </c>
      <c r="B4020" s="1" t="s">
        <v>9315</v>
      </c>
      <c r="C4020" s="5">
        <f>CONCATENATE("PD", TEXT(A4020, "1000000"))</f>
      </c>
      <c r="D4020" s="7">
        <v>74</v>
      </c>
      <c r="E4020" s="5">
        <f>XLOOKUP(G4020, item_category!C:C, item_category!B:B, "Not Found")</f>
      </c>
      <c r="F4020" s="1" t="s">
        <v>5520</v>
      </c>
      <c r="G4020" s="5">
        <f>XLOOKUP(I4020, drug!B:B, drug!A:A, "Not Found")</f>
      </c>
      <c r="H4020" s="1" t="s">
        <v>108</v>
      </c>
      <c r="I4020" s="7">
        <v>400</v>
      </c>
      <c r="J4020" s="5">
        <f>XLOOKUP(L4020, uom!C:C, uom!B:B, "Not Found")</f>
      </c>
      <c r="K4020" s="1" t="s">
        <v>5620</v>
      </c>
      <c r="L4020" s="5">
        <f>XLOOKUP(N4020, uom!C:C, uom!B:B, "Not Found")</f>
      </c>
      <c r="M4020" s="1" t="s">
        <v>5620</v>
      </c>
      <c r="N4020" s="8" t="s">
        <v>5524</v>
      </c>
      <c r="O4020" s="1" t="s">
        <v>5525</v>
      </c>
      <c r="P4020" s="5">
        <f>XLOOKUP(R4020, classification!C:C, classification!B:B, "Not Found")</f>
      </c>
      <c r="Q4020" s="1" t="s">
        <v>5514</v>
      </c>
      <c r="R4020" s="2"/>
      <c r="S4020" s="2"/>
      <c r="T4020" s="2"/>
      <c r="U4020" s="2"/>
    </row>
    <row x14ac:dyDescent="0.25" r="4021" customHeight="1" ht="17.25">
      <c r="A4021" s="7">
        <v>4020</v>
      </c>
      <c r="B4021" s="1" t="s">
        <v>9316</v>
      </c>
      <c r="C4021" s="5">
        <f>CONCATENATE("PD", TEXT(A4021, "1000000"))</f>
      </c>
      <c r="D4021" s="7">
        <v>74</v>
      </c>
      <c r="E4021" s="5">
        <f>XLOOKUP(G4021, item_category!C:C, item_category!B:B, "Not Found")</f>
      </c>
      <c r="F4021" s="1" t="s">
        <v>5520</v>
      </c>
      <c r="G4021" s="5">
        <f>XLOOKUP(I4021, drug!B:B, drug!A:A, "Not Found")</f>
      </c>
      <c r="H4021" s="1" t="s">
        <v>1436</v>
      </c>
      <c r="I4021" s="7">
        <v>250</v>
      </c>
      <c r="J4021" s="5">
        <f>XLOOKUP(L4021, uom!C:C, uom!B:B, "Not Found")</f>
      </c>
      <c r="K4021" s="1" t="s">
        <v>5722</v>
      </c>
      <c r="L4021" s="5">
        <f>XLOOKUP(N4021, uom!C:C, uom!B:B, "Not Found")</f>
      </c>
      <c r="M4021" s="1" t="s">
        <v>5722</v>
      </c>
      <c r="N4021" s="8" t="s">
        <v>5524</v>
      </c>
      <c r="O4021" s="1" t="s">
        <v>5525</v>
      </c>
      <c r="P4021" s="5">
        <f>XLOOKUP(R4021, classification!C:C, classification!B:B, "Not Found")</f>
      </c>
      <c r="Q4021" s="1" t="s">
        <v>5514</v>
      </c>
      <c r="R4021" s="2"/>
      <c r="S4021" s="2"/>
      <c r="T4021" s="2"/>
      <c r="U4021" s="2"/>
    </row>
    <row x14ac:dyDescent="0.25" r="4022" customHeight="1" ht="17.25">
      <c r="A4022" s="7">
        <v>4021</v>
      </c>
      <c r="B4022" s="1" t="s">
        <v>9317</v>
      </c>
      <c r="C4022" s="5">
        <f>CONCATENATE("PD", TEXT(A4022, "1000000"))</f>
      </c>
      <c r="D4022" s="7">
        <v>74</v>
      </c>
      <c r="E4022" s="5">
        <f>XLOOKUP(G4022, item_category!C:C, item_category!B:B, "Not Found")</f>
      </c>
      <c r="F4022" s="1" t="s">
        <v>5520</v>
      </c>
      <c r="G4022" s="5">
        <f>XLOOKUP(I4022, drug!B:B, drug!A:A, "Not Found")</f>
      </c>
      <c r="H4022" s="1" t="s">
        <v>1942</v>
      </c>
      <c r="I4022" s="7">
        <v>1450</v>
      </c>
      <c r="J4022" s="5">
        <f>XLOOKUP(L4022, uom!C:C, uom!B:B, "Not Found")</f>
      </c>
      <c r="K4022" s="1" t="s">
        <v>5602</v>
      </c>
      <c r="L4022" s="5">
        <f>XLOOKUP(N4022, uom!C:C, uom!B:B, "Not Found")</f>
      </c>
      <c r="M4022" s="1" t="s">
        <v>5602</v>
      </c>
      <c r="N4022" s="8" t="s">
        <v>5524</v>
      </c>
      <c r="O4022" s="1" t="s">
        <v>5525</v>
      </c>
      <c r="P4022" s="5">
        <f>XLOOKUP(R4022, classification!C:C, classification!B:B, "Not Found")</f>
      </c>
      <c r="Q4022" s="1" t="s">
        <v>5514</v>
      </c>
      <c r="R4022" s="2"/>
      <c r="S4022" s="2"/>
      <c r="T4022" s="2"/>
      <c r="U4022" s="2"/>
    </row>
    <row x14ac:dyDescent="0.25" r="4023" customHeight="1" ht="17.25">
      <c r="A4023" s="7">
        <v>4022</v>
      </c>
      <c r="B4023" s="1" t="s">
        <v>9318</v>
      </c>
      <c r="C4023" s="5">
        <f>CONCATENATE("PD", TEXT(A4023, "1000000"))</f>
      </c>
      <c r="D4023" s="7">
        <v>74</v>
      </c>
      <c r="E4023" s="5">
        <f>XLOOKUP(G4023, item_category!C:C, item_category!B:B, "Not Found")</f>
      </c>
      <c r="F4023" s="1" t="s">
        <v>5520</v>
      </c>
      <c r="G4023" s="5">
        <f>XLOOKUP(I4023, drug!B:B, drug!A:A, "Not Found")</f>
      </c>
      <c r="H4023" s="1" t="s">
        <v>1988</v>
      </c>
      <c r="I4023" s="7">
        <v>200</v>
      </c>
      <c r="J4023" s="5">
        <f>XLOOKUP(L4023, uom!C:C, uom!B:B, "Not Found")</f>
      </c>
      <c r="K4023" s="1" t="s">
        <v>5544</v>
      </c>
      <c r="L4023" s="5">
        <f>XLOOKUP(N4023, uom!C:C, uom!B:B, "Not Found")</f>
      </c>
      <c r="M4023" s="1" t="s">
        <v>5544</v>
      </c>
      <c r="N4023" s="8" t="s">
        <v>5524</v>
      </c>
      <c r="O4023" s="1" t="s">
        <v>5525</v>
      </c>
      <c r="P4023" s="5">
        <f>XLOOKUP(R4023, classification!C:C, classification!B:B, "Not Found")</f>
      </c>
      <c r="Q4023" s="1" t="s">
        <v>5514</v>
      </c>
      <c r="R4023" s="2"/>
      <c r="S4023" s="2"/>
      <c r="T4023" s="2"/>
      <c r="U4023" s="2"/>
    </row>
    <row x14ac:dyDescent="0.25" r="4024" customHeight="1" ht="17.25">
      <c r="A4024" s="7">
        <v>4023</v>
      </c>
      <c r="B4024" s="1" t="s">
        <v>9319</v>
      </c>
      <c r="C4024" s="5">
        <f>CONCATENATE("PD", TEXT(A4024, "1000000"))</f>
      </c>
      <c r="D4024" s="7">
        <v>74</v>
      </c>
      <c r="E4024" s="5">
        <f>XLOOKUP(G4024, item_category!C:C, item_category!B:B, "Not Found")</f>
      </c>
      <c r="F4024" s="1" t="s">
        <v>5520</v>
      </c>
      <c r="G4024" s="5">
        <f>XLOOKUP(I4024, drug!B:B, drug!A:A, "Not Found")</f>
      </c>
      <c r="H4024" s="1"/>
      <c r="I4024" s="7">
        <v>1</v>
      </c>
      <c r="J4024" s="5">
        <f>XLOOKUP(L4024, uom!C:C, uom!B:B, "Not Found")</f>
      </c>
      <c r="K4024" s="1" t="s">
        <v>5544</v>
      </c>
      <c r="L4024" s="5">
        <f>XLOOKUP(N4024, uom!C:C, uom!B:B, "Not Found")</f>
      </c>
      <c r="M4024" s="1" t="s">
        <v>5544</v>
      </c>
      <c r="N4024" s="8" t="s">
        <v>5524</v>
      </c>
      <c r="O4024" s="1" t="s">
        <v>5525</v>
      </c>
      <c r="P4024" s="5">
        <f>XLOOKUP(R4024, classification!C:C, classification!B:B, "Not Found")</f>
      </c>
      <c r="Q4024" s="1" t="s">
        <v>5514</v>
      </c>
      <c r="R4024" s="2"/>
      <c r="S4024" s="2"/>
      <c r="T4024" s="2"/>
      <c r="U4024" s="2"/>
    </row>
    <row x14ac:dyDescent="0.25" r="4025" customHeight="1" ht="17.25">
      <c r="A4025" s="7">
        <v>4024</v>
      </c>
      <c r="B4025" s="1" t="s">
        <v>9320</v>
      </c>
      <c r="C4025" s="5">
        <f>CONCATENATE("PD", TEXT(A4025, "1000000"))</f>
      </c>
      <c r="D4025" s="7">
        <v>74</v>
      </c>
      <c r="E4025" s="5">
        <f>XLOOKUP(G4025, item_category!C:C, item_category!B:B, "Not Found")</f>
      </c>
      <c r="F4025" s="1" t="s">
        <v>5520</v>
      </c>
      <c r="G4025" s="5">
        <f>XLOOKUP(I4025, drug!B:B, drug!A:A, "Not Found")</f>
      </c>
      <c r="H4025" s="1" t="s">
        <v>245</v>
      </c>
      <c r="I4025" s="7">
        <v>100</v>
      </c>
      <c r="J4025" s="5">
        <f>XLOOKUP(L4025, uom!C:C, uom!B:B, "Not Found")</f>
      </c>
      <c r="K4025" s="1" t="s">
        <v>5544</v>
      </c>
      <c r="L4025" s="5">
        <f>XLOOKUP(N4025, uom!C:C, uom!B:B, "Not Found")</f>
      </c>
      <c r="M4025" s="1" t="s">
        <v>5544</v>
      </c>
      <c r="N4025" s="8" t="s">
        <v>5524</v>
      </c>
      <c r="O4025" s="1" t="s">
        <v>5525</v>
      </c>
      <c r="P4025" s="5">
        <f>XLOOKUP(R4025, classification!C:C, classification!B:B, "Not Found")</f>
      </c>
      <c r="Q4025" s="1" t="s">
        <v>5514</v>
      </c>
      <c r="R4025" s="2"/>
      <c r="S4025" s="2"/>
      <c r="T4025" s="2"/>
      <c r="U4025" s="2"/>
    </row>
    <row x14ac:dyDescent="0.25" r="4026" customHeight="1" ht="17.25">
      <c r="A4026" s="7">
        <v>4025</v>
      </c>
      <c r="B4026" s="1" t="s">
        <v>9321</v>
      </c>
      <c r="C4026" s="5">
        <f>CONCATENATE("PD", TEXT(A4026, "1000000"))</f>
      </c>
      <c r="D4026" s="7">
        <v>74</v>
      </c>
      <c r="E4026" s="5">
        <f>XLOOKUP(G4026, item_category!C:C, item_category!B:B, "Not Found")</f>
      </c>
      <c r="F4026" s="1" t="s">
        <v>5520</v>
      </c>
      <c r="G4026" s="5">
        <f>XLOOKUP(I4026, drug!B:B, drug!A:A, "Not Found")</f>
      </c>
      <c r="H4026" s="1" t="s">
        <v>411</v>
      </c>
      <c r="I4026" s="7">
        <v>100</v>
      </c>
      <c r="J4026" s="5">
        <f>XLOOKUP(L4026, uom!C:C, uom!B:B, "Not Found")</f>
      </c>
      <c r="K4026" s="1" t="s">
        <v>5544</v>
      </c>
      <c r="L4026" s="5">
        <f>XLOOKUP(N4026, uom!C:C, uom!B:B, "Not Found")</f>
      </c>
      <c r="M4026" s="1" t="s">
        <v>5544</v>
      </c>
      <c r="N4026" s="8" t="s">
        <v>5524</v>
      </c>
      <c r="O4026" s="1" t="s">
        <v>5525</v>
      </c>
      <c r="P4026" s="5">
        <f>XLOOKUP(R4026, classification!C:C, classification!B:B, "Not Found")</f>
      </c>
      <c r="Q4026" s="1" t="s">
        <v>5514</v>
      </c>
      <c r="R4026" s="2"/>
      <c r="S4026" s="2"/>
      <c r="T4026" s="2"/>
      <c r="U4026" s="2"/>
    </row>
    <row x14ac:dyDescent="0.25" r="4027" customHeight="1" ht="17.25">
      <c r="A4027" s="7">
        <v>4026</v>
      </c>
      <c r="B4027" s="1" t="s">
        <v>9322</v>
      </c>
      <c r="C4027" s="5">
        <f>CONCATENATE("PD", TEXT(A4027, "1000000"))</f>
      </c>
      <c r="D4027" s="7">
        <v>74</v>
      </c>
      <c r="E4027" s="5">
        <f>XLOOKUP(G4027, item_category!C:C, item_category!B:B, "Not Found")</f>
      </c>
      <c r="F4027" s="1" t="s">
        <v>5520</v>
      </c>
      <c r="G4027" s="5">
        <f>XLOOKUP(I4027, drug!B:B, drug!A:A, "Not Found")</f>
      </c>
      <c r="H4027" s="1" t="s">
        <v>504</v>
      </c>
      <c r="I4027" s="7">
        <v>50</v>
      </c>
      <c r="J4027" s="5">
        <f>XLOOKUP(L4027, uom!C:C, uom!B:B, "Not Found")</f>
      </c>
      <c r="K4027" s="1" t="s">
        <v>5544</v>
      </c>
      <c r="L4027" s="5">
        <f>XLOOKUP(N4027, uom!C:C, uom!B:B, "Not Found")</f>
      </c>
      <c r="M4027" s="1" t="s">
        <v>5544</v>
      </c>
      <c r="N4027" s="8" t="s">
        <v>5524</v>
      </c>
      <c r="O4027" s="1" t="s">
        <v>5525</v>
      </c>
      <c r="P4027" s="5">
        <f>XLOOKUP(R4027, classification!C:C, classification!B:B, "Not Found")</f>
      </c>
      <c r="Q4027" s="1" t="s">
        <v>5514</v>
      </c>
      <c r="R4027" s="2"/>
      <c r="S4027" s="2"/>
      <c r="T4027" s="2"/>
      <c r="U4027" s="2"/>
    </row>
    <row x14ac:dyDescent="0.25" r="4028" customHeight="1" ht="17.25">
      <c r="A4028" s="7">
        <v>4027</v>
      </c>
      <c r="B4028" s="1" t="s">
        <v>9323</v>
      </c>
      <c r="C4028" s="5">
        <f>CONCATENATE("PD", TEXT(A4028, "1000000"))</f>
      </c>
      <c r="D4028" s="7">
        <v>74</v>
      </c>
      <c r="E4028" s="5">
        <f>XLOOKUP(G4028, item_category!C:C, item_category!B:B, "Not Found")</f>
      </c>
      <c r="F4028" s="1" t="s">
        <v>5520</v>
      </c>
      <c r="G4028" s="5">
        <f>XLOOKUP(I4028, drug!B:B, drug!A:A, "Not Found")</f>
      </c>
      <c r="H4028" s="1"/>
      <c r="I4028" s="7">
        <v>200</v>
      </c>
      <c r="J4028" s="5">
        <f>XLOOKUP(L4028, uom!C:C, uom!B:B, "Not Found")</f>
      </c>
      <c r="K4028" s="1" t="s">
        <v>5544</v>
      </c>
      <c r="L4028" s="5">
        <f>XLOOKUP(N4028, uom!C:C, uom!B:B, "Not Found")</f>
      </c>
      <c r="M4028" s="1" t="s">
        <v>5544</v>
      </c>
      <c r="N4028" s="8" t="s">
        <v>5524</v>
      </c>
      <c r="O4028" s="1" t="s">
        <v>5525</v>
      </c>
      <c r="P4028" s="5">
        <f>XLOOKUP(R4028, classification!C:C, classification!B:B, "Not Found")</f>
      </c>
      <c r="Q4028" s="1" t="s">
        <v>5514</v>
      </c>
      <c r="R4028" s="2"/>
      <c r="S4028" s="2"/>
      <c r="T4028" s="2"/>
      <c r="U4028" s="2"/>
    </row>
    <row x14ac:dyDescent="0.25" r="4029" customHeight="1" ht="17.25">
      <c r="A4029" s="7">
        <v>4028</v>
      </c>
      <c r="B4029" s="1" t="s">
        <v>9324</v>
      </c>
      <c r="C4029" s="5">
        <f>CONCATENATE("PD", TEXT(A4029, "1000000"))</f>
      </c>
      <c r="D4029" s="7">
        <v>74</v>
      </c>
      <c r="E4029" s="5">
        <f>XLOOKUP(G4029, item_category!C:C, item_category!B:B, "Not Found")</f>
      </c>
      <c r="F4029" s="1" t="s">
        <v>5520</v>
      </c>
      <c r="G4029" s="5">
        <f>XLOOKUP(I4029, drug!B:B, drug!A:A, "Not Found")</f>
      </c>
      <c r="H4029" s="1"/>
      <c r="I4029" s="7">
        <v>250</v>
      </c>
      <c r="J4029" s="5">
        <f>XLOOKUP(L4029, uom!C:C, uom!B:B, "Not Found")</f>
      </c>
      <c r="K4029" s="1" t="s">
        <v>5544</v>
      </c>
      <c r="L4029" s="5">
        <f>XLOOKUP(N4029, uom!C:C, uom!B:B, "Not Found")</f>
      </c>
      <c r="M4029" s="1" t="s">
        <v>5544</v>
      </c>
      <c r="N4029" s="8" t="s">
        <v>5524</v>
      </c>
      <c r="O4029" s="1" t="s">
        <v>5525</v>
      </c>
      <c r="P4029" s="5">
        <f>XLOOKUP(R4029, classification!C:C, classification!B:B, "Not Found")</f>
      </c>
      <c r="Q4029" s="1" t="s">
        <v>5514</v>
      </c>
      <c r="R4029" s="2"/>
      <c r="S4029" s="2"/>
      <c r="T4029" s="2"/>
      <c r="U4029" s="2"/>
    </row>
    <row x14ac:dyDescent="0.25" r="4030" customHeight="1" ht="17.25">
      <c r="A4030" s="7">
        <v>4029</v>
      </c>
      <c r="B4030" s="1" t="s">
        <v>9325</v>
      </c>
      <c r="C4030" s="5">
        <f>CONCATENATE("PD", TEXT(A4030, "1000000"))</f>
      </c>
      <c r="D4030" s="7">
        <v>74</v>
      </c>
      <c r="E4030" s="5">
        <f>XLOOKUP(G4030, item_category!C:C, item_category!B:B, "Not Found")</f>
      </c>
      <c r="F4030" s="1" t="s">
        <v>5520</v>
      </c>
      <c r="G4030" s="5">
        <f>XLOOKUP(I4030, drug!B:B, drug!A:A, "Not Found")</f>
      </c>
      <c r="H4030" s="1"/>
      <c r="I4030" s="7">
        <v>100</v>
      </c>
      <c r="J4030" s="5">
        <f>XLOOKUP(L4030, uom!C:C, uom!B:B, "Not Found")</f>
      </c>
      <c r="K4030" s="1" t="s">
        <v>5544</v>
      </c>
      <c r="L4030" s="5">
        <f>XLOOKUP(N4030, uom!C:C, uom!B:B, "Not Found")</f>
      </c>
      <c r="M4030" s="1" t="s">
        <v>5544</v>
      </c>
      <c r="N4030" s="8" t="s">
        <v>5524</v>
      </c>
      <c r="O4030" s="1" t="s">
        <v>5525</v>
      </c>
      <c r="P4030" s="5">
        <f>XLOOKUP(R4030, classification!C:C, classification!B:B, "Not Found")</f>
      </c>
      <c r="Q4030" s="1" t="s">
        <v>5514</v>
      </c>
      <c r="R4030" s="2"/>
      <c r="S4030" s="2"/>
      <c r="T4030" s="2"/>
      <c r="U4030" s="2"/>
    </row>
    <row x14ac:dyDescent="0.25" r="4031" customHeight="1" ht="17.25">
      <c r="A4031" s="7">
        <v>4030</v>
      </c>
      <c r="B4031" s="1" t="s">
        <v>9326</v>
      </c>
      <c r="C4031" s="5">
        <f>CONCATENATE("PD", TEXT(A4031, "1000000"))</f>
      </c>
      <c r="D4031" s="7">
        <v>74</v>
      </c>
      <c r="E4031" s="5">
        <f>XLOOKUP(G4031, item_category!C:C, item_category!B:B, "Not Found")</f>
      </c>
      <c r="F4031" s="1" t="s">
        <v>5520</v>
      </c>
      <c r="G4031" s="5">
        <f>XLOOKUP(I4031, drug!B:B, drug!A:A, "Not Found")</f>
      </c>
      <c r="H4031" s="1"/>
      <c r="I4031" s="7">
        <v>650</v>
      </c>
      <c r="J4031" s="5">
        <f>XLOOKUP(L4031, uom!C:C, uom!B:B, "Not Found")</f>
      </c>
      <c r="K4031" s="1" t="s">
        <v>5604</v>
      </c>
      <c r="L4031" s="5">
        <f>XLOOKUP(N4031, uom!C:C, uom!B:B, "Not Found")</f>
      </c>
      <c r="M4031" s="1" t="s">
        <v>5604</v>
      </c>
      <c r="N4031" s="8" t="s">
        <v>5524</v>
      </c>
      <c r="O4031" s="1" t="s">
        <v>5525</v>
      </c>
      <c r="P4031" s="5">
        <f>XLOOKUP(R4031, classification!C:C, classification!B:B, "Not Found")</f>
      </c>
      <c r="Q4031" s="1" t="s">
        <v>5514</v>
      </c>
      <c r="R4031" s="2"/>
      <c r="S4031" s="2"/>
      <c r="T4031" s="2"/>
      <c r="U4031" s="2"/>
    </row>
    <row x14ac:dyDescent="0.25" r="4032" customHeight="1" ht="17.25">
      <c r="A4032" s="7">
        <v>4031</v>
      </c>
      <c r="B4032" s="1" t="s">
        <v>9327</v>
      </c>
      <c r="C4032" s="5">
        <f>CONCATENATE("PD", TEXT(A4032, "1000000"))</f>
      </c>
      <c r="D4032" s="7">
        <v>67</v>
      </c>
      <c r="E4032" s="5">
        <f>XLOOKUP(G4032, item_category!C:C, item_category!B:B, "Not Found")</f>
      </c>
      <c r="F4032" s="1" t="s">
        <v>5516</v>
      </c>
      <c r="G4032" s="5">
        <f>XLOOKUP(I4032, drug!B:B, drug!A:A, "Not Found")</f>
      </c>
      <c r="H4032" s="1" t="s">
        <v>1336</v>
      </c>
      <c r="I4032" s="7">
        <v>250</v>
      </c>
      <c r="J4032" s="5">
        <f>XLOOKUP(L4032, uom!C:C, uom!B:B, "Not Found")</f>
      </c>
      <c r="K4032" s="1" t="s">
        <v>5602</v>
      </c>
      <c r="L4032" s="5">
        <f>XLOOKUP(N4032, uom!C:C, uom!B:B, "Not Found")</f>
      </c>
      <c r="M4032" s="1" t="s">
        <v>5602</v>
      </c>
      <c r="N4032" s="8" t="s">
        <v>5524</v>
      </c>
      <c r="O4032" s="1" t="s">
        <v>5525</v>
      </c>
      <c r="P4032" s="5">
        <f>XLOOKUP(R4032, classification!C:C, classification!B:B, "Not Found")</f>
      </c>
      <c r="Q4032" s="1" t="s">
        <v>5514</v>
      </c>
      <c r="R4032" s="2"/>
      <c r="S4032" s="2"/>
      <c r="T4032" s="2"/>
      <c r="U4032" s="2"/>
    </row>
    <row x14ac:dyDescent="0.25" r="4033" customHeight="1" ht="17.25">
      <c r="A4033" s="7">
        <v>4032</v>
      </c>
      <c r="B4033" s="1" t="s">
        <v>9328</v>
      </c>
      <c r="C4033" s="5">
        <f>CONCATENATE("PD", TEXT(A4033, "1000000"))</f>
      </c>
      <c r="D4033" s="7">
        <v>67</v>
      </c>
      <c r="E4033" s="5">
        <f>XLOOKUP(G4033, item_category!C:C, item_category!B:B, "Not Found")</f>
      </c>
      <c r="F4033" s="1" t="s">
        <v>5516</v>
      </c>
      <c r="G4033" s="5">
        <f>XLOOKUP(I4033, drug!B:B, drug!A:A, "Not Found")</f>
      </c>
      <c r="H4033" s="1"/>
      <c r="I4033" s="7">
        <v>350</v>
      </c>
      <c r="J4033" s="5">
        <f>XLOOKUP(L4033, uom!C:C, uom!B:B, "Not Found")</f>
      </c>
      <c r="K4033" s="1" t="s">
        <v>5602</v>
      </c>
      <c r="L4033" s="5">
        <f>XLOOKUP(N4033, uom!C:C, uom!B:B, "Not Found")</f>
      </c>
      <c r="M4033" s="1" t="s">
        <v>5602</v>
      </c>
      <c r="N4033" s="8" t="s">
        <v>5524</v>
      </c>
      <c r="O4033" s="1" t="s">
        <v>5525</v>
      </c>
      <c r="P4033" s="5">
        <f>XLOOKUP(R4033, classification!C:C, classification!B:B, "Not Found")</f>
      </c>
      <c r="Q4033" s="1" t="s">
        <v>5514</v>
      </c>
      <c r="R4033" s="2"/>
      <c r="S4033" s="2"/>
      <c r="T4033" s="2"/>
      <c r="U4033" s="2"/>
    </row>
    <row x14ac:dyDescent="0.25" r="4034" customHeight="1" ht="17.25">
      <c r="A4034" s="7">
        <v>4033</v>
      </c>
      <c r="B4034" s="1" t="s">
        <v>9329</v>
      </c>
      <c r="C4034" s="5">
        <f>CONCATENATE("PD", TEXT(A4034, "1000000"))</f>
      </c>
      <c r="D4034" s="7">
        <v>67</v>
      </c>
      <c r="E4034" s="5">
        <f>XLOOKUP(G4034, item_category!C:C, item_category!B:B, "Not Found")</f>
      </c>
      <c r="F4034" s="1" t="s">
        <v>5516</v>
      </c>
      <c r="G4034" s="5">
        <f>XLOOKUP(I4034, drug!B:B, drug!A:A, "Not Found")</f>
      </c>
      <c r="H4034" s="1"/>
      <c r="I4034" s="7">
        <v>250</v>
      </c>
      <c r="J4034" s="5">
        <f>XLOOKUP(L4034, uom!C:C, uom!B:B, "Not Found")</f>
      </c>
      <c r="K4034" s="1" t="s">
        <v>5602</v>
      </c>
      <c r="L4034" s="5">
        <f>XLOOKUP(N4034, uom!C:C, uom!B:B, "Not Found")</f>
      </c>
      <c r="M4034" s="1" t="s">
        <v>5602</v>
      </c>
      <c r="N4034" s="8" t="s">
        <v>5524</v>
      </c>
      <c r="O4034" s="1" t="s">
        <v>5525</v>
      </c>
      <c r="P4034" s="5">
        <f>XLOOKUP(R4034, classification!C:C, classification!B:B, "Not Found")</f>
      </c>
      <c r="Q4034" s="1" t="s">
        <v>5514</v>
      </c>
      <c r="R4034" s="2"/>
      <c r="S4034" s="2"/>
      <c r="T4034" s="2"/>
      <c r="U4034" s="2"/>
    </row>
    <row x14ac:dyDescent="0.25" r="4035" customHeight="1" ht="17.25">
      <c r="A4035" s="7">
        <v>4034</v>
      </c>
      <c r="B4035" s="1" t="s">
        <v>9330</v>
      </c>
      <c r="C4035" s="5">
        <f>CONCATENATE("PD", TEXT(A4035, "1000000"))</f>
      </c>
      <c r="D4035" s="7">
        <v>67</v>
      </c>
      <c r="E4035" s="5">
        <f>XLOOKUP(G4035, item_category!C:C, item_category!B:B, "Not Found")</f>
      </c>
      <c r="F4035" s="1" t="s">
        <v>5516</v>
      </c>
      <c r="G4035" s="5">
        <f>XLOOKUP(I4035, drug!B:B, drug!A:A, "Not Found")</f>
      </c>
      <c r="H4035" s="1"/>
      <c r="I4035" s="7">
        <v>350</v>
      </c>
      <c r="J4035" s="5">
        <f>XLOOKUP(L4035, uom!C:C, uom!B:B, "Not Found")</f>
      </c>
      <c r="K4035" s="1" t="s">
        <v>7212</v>
      </c>
      <c r="L4035" s="5">
        <f>XLOOKUP(N4035, uom!C:C, uom!B:B, "Not Found")</f>
      </c>
      <c r="M4035" s="1" t="s">
        <v>7212</v>
      </c>
      <c r="N4035" s="8" t="s">
        <v>5524</v>
      </c>
      <c r="O4035" s="1" t="s">
        <v>5525</v>
      </c>
      <c r="P4035" s="5">
        <f>XLOOKUP(R4035, classification!C:C, classification!B:B, "Not Found")</f>
      </c>
      <c r="Q4035" s="1" t="s">
        <v>5514</v>
      </c>
      <c r="R4035" s="2"/>
      <c r="S4035" s="2"/>
      <c r="T4035" s="2"/>
      <c r="U4035" s="2"/>
    </row>
    <row x14ac:dyDescent="0.25" r="4036" customHeight="1" ht="17.25">
      <c r="A4036" s="7">
        <v>4035</v>
      </c>
      <c r="B4036" s="1" t="s">
        <v>9331</v>
      </c>
      <c r="C4036" s="5">
        <f>CONCATENATE("PD", TEXT(A4036, "1000000"))</f>
      </c>
      <c r="D4036" s="7">
        <v>67</v>
      </c>
      <c r="E4036" s="5">
        <f>XLOOKUP(G4036, item_category!C:C, item_category!B:B, "Not Found")</f>
      </c>
      <c r="F4036" s="1" t="s">
        <v>5516</v>
      </c>
      <c r="G4036" s="5">
        <f>XLOOKUP(I4036, drug!B:B, drug!A:A, "Not Found")</f>
      </c>
      <c r="H4036" s="1"/>
      <c r="I4036" s="7">
        <v>650</v>
      </c>
      <c r="J4036" s="5">
        <f>XLOOKUP(L4036, uom!C:C, uom!B:B, "Not Found")</f>
      </c>
      <c r="K4036" s="1" t="s">
        <v>5602</v>
      </c>
      <c r="L4036" s="5">
        <f>XLOOKUP(N4036, uom!C:C, uom!B:B, "Not Found")</f>
      </c>
      <c r="M4036" s="1" t="s">
        <v>5602</v>
      </c>
      <c r="N4036" s="8" t="s">
        <v>5524</v>
      </c>
      <c r="O4036" s="1" t="s">
        <v>5525</v>
      </c>
      <c r="P4036" s="5">
        <f>XLOOKUP(R4036, classification!C:C, classification!B:B, "Not Found")</f>
      </c>
      <c r="Q4036" s="1" t="s">
        <v>5514</v>
      </c>
      <c r="R4036" s="2"/>
      <c r="S4036" s="2"/>
      <c r="T4036" s="2"/>
      <c r="U4036" s="2"/>
    </row>
    <row x14ac:dyDescent="0.25" r="4037" customHeight="1" ht="17.25">
      <c r="A4037" s="7">
        <v>4036</v>
      </c>
      <c r="B4037" s="1" t="s">
        <v>9332</v>
      </c>
      <c r="C4037" s="5">
        <f>CONCATENATE("PD", TEXT(A4037, "1000000"))</f>
      </c>
      <c r="D4037" s="7">
        <v>67</v>
      </c>
      <c r="E4037" s="5">
        <f>XLOOKUP(G4037, item_category!C:C, item_category!B:B, "Not Found")</f>
      </c>
      <c r="F4037" s="1" t="s">
        <v>5516</v>
      </c>
      <c r="G4037" s="5">
        <f>XLOOKUP(I4037, drug!B:B, drug!A:A, "Not Found")</f>
      </c>
      <c r="H4037" s="1"/>
      <c r="I4037" s="7">
        <v>350</v>
      </c>
      <c r="J4037" s="5">
        <f>XLOOKUP(L4037, uom!C:C, uom!B:B, "Not Found")</f>
      </c>
      <c r="K4037" s="1" t="s">
        <v>5618</v>
      </c>
      <c r="L4037" s="5">
        <f>XLOOKUP(N4037, uom!C:C, uom!B:B, "Not Found")</f>
      </c>
      <c r="M4037" s="1" t="s">
        <v>5618</v>
      </c>
      <c r="N4037" s="8" t="s">
        <v>5524</v>
      </c>
      <c r="O4037" s="1" t="s">
        <v>5525</v>
      </c>
      <c r="P4037" s="5">
        <f>XLOOKUP(R4037, classification!C:C, classification!B:B, "Not Found")</f>
      </c>
      <c r="Q4037" s="1" t="s">
        <v>5514</v>
      </c>
      <c r="R4037" s="2"/>
      <c r="S4037" s="2"/>
      <c r="T4037" s="2"/>
      <c r="U4037" s="2"/>
    </row>
    <row x14ac:dyDescent="0.25" r="4038" customHeight="1" ht="17.25">
      <c r="A4038" s="7">
        <v>4037</v>
      </c>
      <c r="B4038" s="1" t="s">
        <v>9333</v>
      </c>
      <c r="C4038" s="5">
        <f>CONCATENATE("PD", TEXT(A4038, "1000000"))</f>
      </c>
      <c r="D4038" s="7">
        <v>67</v>
      </c>
      <c r="E4038" s="5">
        <f>XLOOKUP(G4038, item_category!C:C, item_category!B:B, "Not Found")</f>
      </c>
      <c r="F4038" s="1" t="s">
        <v>5516</v>
      </c>
      <c r="G4038" s="5">
        <f>XLOOKUP(I4038, drug!B:B, drug!A:A, "Not Found")</f>
      </c>
      <c r="H4038" s="1" t="s">
        <v>704</v>
      </c>
      <c r="I4038" s="7">
        <v>350</v>
      </c>
      <c r="J4038" s="5">
        <f>XLOOKUP(L4038, uom!C:C, uom!B:B, "Not Found")</f>
      </c>
      <c r="K4038" s="1" t="s">
        <v>5618</v>
      </c>
      <c r="L4038" s="5">
        <f>XLOOKUP(N4038, uom!C:C, uom!B:B, "Not Found")</f>
      </c>
      <c r="M4038" s="1" t="s">
        <v>5618</v>
      </c>
      <c r="N4038" s="8" t="s">
        <v>5524</v>
      </c>
      <c r="O4038" s="1" t="s">
        <v>5525</v>
      </c>
      <c r="P4038" s="5">
        <f>XLOOKUP(R4038, classification!C:C, classification!B:B, "Not Found")</f>
      </c>
      <c r="Q4038" s="1" t="s">
        <v>5514</v>
      </c>
      <c r="R4038" s="2"/>
      <c r="S4038" s="2"/>
      <c r="T4038" s="2"/>
      <c r="U4038" s="2"/>
    </row>
    <row x14ac:dyDescent="0.25" r="4039" customHeight="1" ht="17.25">
      <c r="A4039" s="7">
        <v>4038</v>
      </c>
      <c r="B4039" s="1" t="s">
        <v>9334</v>
      </c>
      <c r="C4039" s="5">
        <f>CONCATENATE("PD", TEXT(A4039, "1000000"))</f>
      </c>
      <c r="D4039" s="7">
        <v>67</v>
      </c>
      <c r="E4039" s="5">
        <f>XLOOKUP(G4039, item_category!C:C, item_category!B:B, "Not Found")</f>
      </c>
      <c r="F4039" s="1" t="s">
        <v>5516</v>
      </c>
      <c r="G4039" s="5">
        <f>XLOOKUP(I4039, drug!B:B, drug!A:A, "Not Found")</f>
      </c>
      <c r="H4039" s="1"/>
      <c r="I4039" s="7">
        <v>550</v>
      </c>
      <c r="J4039" s="5">
        <f>XLOOKUP(L4039, uom!C:C, uom!B:B, "Not Found")</f>
      </c>
      <c r="K4039" s="1" t="s">
        <v>5602</v>
      </c>
      <c r="L4039" s="5">
        <f>XLOOKUP(N4039, uom!C:C, uom!B:B, "Not Found")</f>
      </c>
      <c r="M4039" s="1" t="s">
        <v>5602</v>
      </c>
      <c r="N4039" s="8" t="s">
        <v>5524</v>
      </c>
      <c r="O4039" s="1" t="s">
        <v>5525</v>
      </c>
      <c r="P4039" s="5">
        <f>XLOOKUP(R4039, classification!C:C, classification!B:B, "Not Found")</f>
      </c>
      <c r="Q4039" s="1" t="s">
        <v>5514</v>
      </c>
      <c r="R4039" s="2"/>
      <c r="S4039" s="2"/>
      <c r="T4039" s="2"/>
      <c r="U4039" s="2"/>
    </row>
    <row x14ac:dyDescent="0.25" r="4040" customHeight="1" ht="17.25">
      <c r="A4040" s="7">
        <v>4039</v>
      </c>
      <c r="B4040" s="1" t="s">
        <v>9335</v>
      </c>
      <c r="C4040" s="5">
        <f>CONCATENATE("PD", TEXT(A4040, "1000000"))</f>
      </c>
      <c r="D4040" s="7">
        <v>67</v>
      </c>
      <c r="E4040" s="5">
        <f>XLOOKUP(G4040, item_category!C:C, item_category!B:B, "Not Found")</f>
      </c>
      <c r="F4040" s="1" t="s">
        <v>5516</v>
      </c>
      <c r="G4040" s="5">
        <f>XLOOKUP(I4040, drug!B:B, drug!A:A, "Not Found")</f>
      </c>
      <c r="H4040" s="1" t="s">
        <v>1500</v>
      </c>
      <c r="I4040" s="7">
        <v>550</v>
      </c>
      <c r="J4040" s="5">
        <f>XLOOKUP(L4040, uom!C:C, uom!B:B, "Not Found")</f>
      </c>
      <c r="K4040" s="1" t="s">
        <v>5602</v>
      </c>
      <c r="L4040" s="5">
        <f>XLOOKUP(N4040, uom!C:C, uom!B:B, "Not Found")</f>
      </c>
      <c r="M4040" s="1" t="s">
        <v>5602</v>
      </c>
      <c r="N4040" s="8" t="s">
        <v>5524</v>
      </c>
      <c r="O4040" s="1" t="s">
        <v>5525</v>
      </c>
      <c r="P4040" s="5">
        <f>XLOOKUP(R4040, classification!C:C, classification!B:B, "Not Found")</f>
      </c>
      <c r="Q4040" s="1" t="s">
        <v>5514</v>
      </c>
      <c r="R4040" s="2"/>
      <c r="S4040" s="2"/>
      <c r="T4040" s="2"/>
      <c r="U4040" s="2"/>
    </row>
    <row x14ac:dyDescent="0.25" r="4041" customHeight="1" ht="17.25">
      <c r="A4041" s="7">
        <v>4040</v>
      </c>
      <c r="B4041" s="1" t="s">
        <v>9336</v>
      </c>
      <c r="C4041" s="5">
        <f>CONCATENATE("PD", TEXT(A4041, "1000000"))</f>
      </c>
      <c r="D4041" s="7">
        <v>67</v>
      </c>
      <c r="E4041" s="5">
        <f>XLOOKUP(G4041, item_category!C:C, item_category!B:B, "Not Found")</f>
      </c>
      <c r="F4041" s="1" t="s">
        <v>5516</v>
      </c>
      <c r="G4041" s="5">
        <f>XLOOKUP(I4041, drug!B:B, drug!A:A, "Not Found")</f>
      </c>
      <c r="H4041" s="1" t="s">
        <v>1228</v>
      </c>
      <c r="I4041" s="7">
        <v>1</v>
      </c>
      <c r="J4041" s="5">
        <f>XLOOKUP(L4041, uom!C:C, uom!B:B, "Not Found")</f>
      </c>
      <c r="K4041" s="1" t="s">
        <v>5602</v>
      </c>
      <c r="L4041" s="5">
        <f>XLOOKUP(N4041, uom!C:C, uom!B:B, "Not Found")</f>
      </c>
      <c r="M4041" s="1" t="s">
        <v>5602</v>
      </c>
      <c r="N4041" s="8" t="s">
        <v>5524</v>
      </c>
      <c r="O4041" s="1" t="s">
        <v>5525</v>
      </c>
      <c r="P4041" s="5">
        <f>XLOOKUP(R4041, classification!C:C, classification!B:B, "Not Found")</f>
      </c>
      <c r="Q4041" s="1" t="s">
        <v>5514</v>
      </c>
      <c r="R4041" s="2"/>
      <c r="S4041" s="2"/>
      <c r="T4041" s="2"/>
      <c r="U4041" s="2"/>
    </row>
    <row x14ac:dyDescent="0.25" r="4042" customHeight="1" ht="17.25">
      <c r="A4042" s="7">
        <v>4041</v>
      </c>
      <c r="B4042" s="1" t="s">
        <v>9337</v>
      </c>
      <c r="C4042" s="5">
        <f>CONCATENATE("PD", TEXT(A4042, "1000000"))</f>
      </c>
      <c r="D4042" s="7">
        <v>70</v>
      </c>
      <c r="E4042" s="5">
        <f>XLOOKUP(G4042, item_category!C:C, item_category!B:B, "Not Found")</f>
      </c>
      <c r="F4042" s="1" t="s">
        <v>6615</v>
      </c>
      <c r="G4042" s="5">
        <f>XLOOKUP(I4042, drug!B:B, drug!A:A, "Not Found")</f>
      </c>
      <c r="H4042" s="1"/>
      <c r="I4042" s="7">
        <v>450</v>
      </c>
      <c r="J4042" s="5">
        <f>XLOOKUP(L4042, uom!C:C, uom!B:B, "Not Found")</f>
      </c>
      <c r="K4042" s="1" t="s">
        <v>5625</v>
      </c>
      <c r="L4042" s="5">
        <f>XLOOKUP(N4042, uom!C:C, uom!B:B, "Not Found")</f>
      </c>
      <c r="M4042" s="1" t="s">
        <v>5625</v>
      </c>
      <c r="N4042" s="8" t="s">
        <v>5524</v>
      </c>
      <c r="O4042" s="1" t="s">
        <v>5525</v>
      </c>
      <c r="P4042" s="5">
        <f>XLOOKUP(R4042, classification!C:C, classification!B:B, "Not Found")</f>
      </c>
      <c r="Q4042" s="1" t="s">
        <v>5514</v>
      </c>
      <c r="R4042" s="2"/>
      <c r="S4042" s="2"/>
      <c r="T4042" s="2"/>
      <c r="U4042" s="2"/>
    </row>
    <row x14ac:dyDescent="0.25" r="4043" customHeight="1" ht="17.25">
      <c r="A4043" s="7">
        <v>4042</v>
      </c>
      <c r="B4043" s="1" t="s">
        <v>9338</v>
      </c>
      <c r="C4043" s="5">
        <f>CONCATENATE("PD", TEXT(A4043, "1000000"))</f>
      </c>
      <c r="D4043" s="7">
        <v>74</v>
      </c>
      <c r="E4043" s="5">
        <f>XLOOKUP(G4043, item_category!C:C, item_category!B:B, "Not Found")</f>
      </c>
      <c r="F4043" s="1" t="s">
        <v>5520</v>
      </c>
      <c r="G4043" s="5">
        <f>XLOOKUP(I4043, drug!B:B, drug!A:A, "Not Found")</f>
      </c>
      <c r="H4043" s="1"/>
      <c r="I4043" s="7">
        <v>300</v>
      </c>
      <c r="J4043" s="5">
        <f>XLOOKUP(L4043, uom!C:C, uom!B:B, "Not Found")</f>
      </c>
      <c r="K4043" s="1" t="s">
        <v>5544</v>
      </c>
      <c r="L4043" s="5">
        <f>XLOOKUP(N4043, uom!C:C, uom!B:B, "Not Found")</f>
      </c>
      <c r="M4043" s="1" t="s">
        <v>5544</v>
      </c>
      <c r="N4043" s="8" t="s">
        <v>5524</v>
      </c>
      <c r="O4043" s="1" t="s">
        <v>5525</v>
      </c>
      <c r="P4043" s="5">
        <f>XLOOKUP(R4043, classification!C:C, classification!B:B, "Not Found")</f>
      </c>
      <c r="Q4043" s="1" t="s">
        <v>5514</v>
      </c>
      <c r="R4043" s="2"/>
      <c r="S4043" s="2"/>
      <c r="T4043" s="2"/>
      <c r="U4043" s="2"/>
    </row>
    <row x14ac:dyDescent="0.25" r="4044" customHeight="1" ht="17.25">
      <c r="A4044" s="7">
        <v>4043</v>
      </c>
      <c r="B4044" s="1" t="s">
        <v>9339</v>
      </c>
      <c r="C4044" s="5">
        <f>CONCATENATE("PD", TEXT(A4044, "1000000"))</f>
      </c>
      <c r="D4044" s="7">
        <v>67</v>
      </c>
      <c r="E4044" s="5">
        <f>XLOOKUP(G4044, item_category!C:C, item_category!B:B, "Not Found")</f>
      </c>
      <c r="F4044" s="1" t="s">
        <v>5516</v>
      </c>
      <c r="G4044" s="5">
        <f>XLOOKUP(I4044, drug!B:B, drug!A:A, "Not Found")</f>
      </c>
      <c r="H4044" s="1" t="s">
        <v>1228</v>
      </c>
      <c r="I4044" s="7">
        <v>300</v>
      </c>
      <c r="J4044" s="5">
        <f>XLOOKUP(L4044, uom!C:C, uom!B:B, "Not Found")</f>
      </c>
      <c r="K4044" s="1" t="s">
        <v>5602</v>
      </c>
      <c r="L4044" s="5">
        <f>XLOOKUP(N4044, uom!C:C, uom!B:B, "Not Found")</f>
      </c>
      <c r="M4044" s="1" t="s">
        <v>5602</v>
      </c>
      <c r="N4044" s="8" t="s">
        <v>5524</v>
      </c>
      <c r="O4044" s="1" t="s">
        <v>5525</v>
      </c>
      <c r="P4044" s="5">
        <f>XLOOKUP(R4044, classification!C:C, classification!B:B, "Not Found")</f>
      </c>
      <c r="Q4044" s="1" t="s">
        <v>5514</v>
      </c>
      <c r="R4044" s="2"/>
      <c r="S4044" s="2"/>
      <c r="T4044" s="2"/>
      <c r="U4044" s="2"/>
    </row>
    <row x14ac:dyDescent="0.25" r="4045" customHeight="1" ht="17.25">
      <c r="A4045" s="7">
        <v>4044</v>
      </c>
      <c r="B4045" s="1" t="s">
        <v>9340</v>
      </c>
      <c r="C4045" s="5">
        <f>CONCATENATE("PD", TEXT(A4045, "1000000"))</f>
      </c>
      <c r="D4045" s="7">
        <v>67</v>
      </c>
      <c r="E4045" s="5">
        <f>XLOOKUP(G4045, item_category!C:C, item_category!B:B, "Not Found")</f>
      </c>
      <c r="F4045" s="1" t="s">
        <v>5516</v>
      </c>
      <c r="G4045" s="5">
        <f>XLOOKUP(I4045, drug!B:B, drug!A:A, "Not Found")</f>
      </c>
      <c r="H4045" s="1"/>
      <c r="I4045" s="7">
        <v>1</v>
      </c>
      <c r="J4045" s="5">
        <f>XLOOKUP(L4045, uom!C:C, uom!B:B, "Not Found")</f>
      </c>
      <c r="K4045" s="1" t="s">
        <v>5511</v>
      </c>
      <c r="L4045" s="5">
        <f>XLOOKUP(N4045, uom!C:C, uom!B:B, "Not Found")</f>
      </c>
      <c r="M4045" s="1" t="s">
        <v>5511</v>
      </c>
      <c r="N4045" s="8" t="s">
        <v>5524</v>
      </c>
      <c r="O4045" s="1" t="s">
        <v>5513</v>
      </c>
      <c r="P4045" s="5">
        <f>XLOOKUP(R4045, classification!C:C, classification!B:B, "Not Found")</f>
      </c>
      <c r="Q4045" s="1" t="s">
        <v>5514</v>
      </c>
      <c r="R4045" s="2"/>
      <c r="S4045" s="2"/>
      <c r="T4045" s="2"/>
      <c r="U4045" s="2"/>
    </row>
    <row x14ac:dyDescent="0.25" r="4046" customHeight="1" ht="17.25">
      <c r="A4046" s="7">
        <v>4045</v>
      </c>
      <c r="B4046" s="1" t="s">
        <v>9341</v>
      </c>
      <c r="C4046" s="5">
        <f>CONCATENATE("PD", TEXT(A4046, "1000000"))</f>
      </c>
      <c r="D4046" s="7">
        <v>76</v>
      </c>
      <c r="E4046" s="5">
        <f>XLOOKUP(G4046, item_category!C:C, item_category!B:B, "Not Found")</f>
      </c>
      <c r="F4046" s="1" t="s">
        <v>5632</v>
      </c>
      <c r="G4046" s="5">
        <f>XLOOKUP(I4046, drug!B:B, drug!A:A, "Not Found")</f>
      </c>
      <c r="H4046" s="1" t="s">
        <v>1228</v>
      </c>
      <c r="I4046" s="7">
        <v>500</v>
      </c>
      <c r="J4046" s="5">
        <f>XLOOKUP(L4046, uom!C:C, uom!B:B, "Not Found")</f>
      </c>
      <c r="K4046" s="1" t="s">
        <v>7361</v>
      </c>
      <c r="L4046" s="5">
        <f>XLOOKUP(N4046, uom!C:C, uom!B:B, "Not Found")</f>
      </c>
      <c r="M4046" s="1" t="s">
        <v>7361</v>
      </c>
      <c r="N4046" s="8" t="s">
        <v>5524</v>
      </c>
      <c r="O4046" s="1" t="s">
        <v>5525</v>
      </c>
      <c r="P4046" s="5">
        <f>XLOOKUP(R4046, classification!C:C, classification!B:B, "Not Found")</f>
      </c>
      <c r="Q4046" s="1" t="s">
        <v>5514</v>
      </c>
      <c r="R4046" s="2"/>
      <c r="S4046" s="2"/>
      <c r="T4046" s="2"/>
      <c r="U4046" s="2"/>
    </row>
    <row x14ac:dyDescent="0.25" r="4047" customHeight="1" ht="17.25">
      <c r="A4047" s="7">
        <v>4046</v>
      </c>
      <c r="B4047" s="1" t="s">
        <v>9342</v>
      </c>
      <c r="C4047" s="5">
        <f>CONCATENATE("PD", TEXT(A4047, "1000000"))</f>
      </c>
      <c r="D4047" s="7">
        <v>76</v>
      </c>
      <c r="E4047" s="5">
        <f>XLOOKUP(G4047, item_category!C:C, item_category!B:B, "Not Found")</f>
      </c>
      <c r="F4047" s="1" t="s">
        <v>5632</v>
      </c>
      <c r="G4047" s="5">
        <f>XLOOKUP(I4047, drug!B:B, drug!A:A, "Not Found")</f>
      </c>
      <c r="H4047" s="1"/>
      <c r="I4047" s="7">
        <v>300</v>
      </c>
      <c r="J4047" s="5">
        <f>XLOOKUP(L4047, uom!C:C, uom!B:B, "Not Found")</f>
      </c>
      <c r="K4047" s="1" t="s">
        <v>5511</v>
      </c>
      <c r="L4047" s="5">
        <f>XLOOKUP(N4047, uom!C:C, uom!B:B, "Not Found")</f>
      </c>
      <c r="M4047" s="1" t="s">
        <v>5511</v>
      </c>
      <c r="N4047" s="8" t="s">
        <v>5524</v>
      </c>
      <c r="O4047" s="1" t="s">
        <v>5525</v>
      </c>
      <c r="P4047" s="5">
        <f>XLOOKUP(R4047, classification!C:C, classification!B:B, "Not Found")</f>
      </c>
      <c r="Q4047" s="1" t="s">
        <v>5514</v>
      </c>
      <c r="R4047" s="2"/>
      <c r="S4047" s="2"/>
      <c r="T4047" s="2"/>
      <c r="U4047" s="2"/>
    </row>
    <row x14ac:dyDescent="0.25" r="4048" customHeight="1" ht="17.25">
      <c r="A4048" s="7">
        <v>4047</v>
      </c>
      <c r="B4048" s="1" t="s">
        <v>9343</v>
      </c>
      <c r="C4048" s="5">
        <f>CONCATENATE("PD", TEXT(A4048, "1000000"))</f>
      </c>
      <c r="D4048" s="7">
        <v>76</v>
      </c>
      <c r="E4048" s="5">
        <f>XLOOKUP(G4048, item_category!C:C, item_category!B:B, "Not Found")</f>
      </c>
      <c r="F4048" s="1" t="s">
        <v>5632</v>
      </c>
      <c r="G4048" s="5">
        <f>XLOOKUP(I4048, drug!B:B, drug!A:A, "Not Found")</f>
      </c>
      <c r="H4048" s="1"/>
      <c r="I4048" s="7">
        <v>1</v>
      </c>
      <c r="J4048" s="5">
        <f>XLOOKUP(L4048, uom!C:C, uom!B:B, "Not Found")</f>
      </c>
      <c r="K4048" s="1" t="s">
        <v>5511</v>
      </c>
      <c r="L4048" s="5">
        <f>XLOOKUP(N4048, uom!C:C, uom!B:B, "Not Found")</f>
      </c>
      <c r="M4048" s="1" t="s">
        <v>5511</v>
      </c>
      <c r="N4048" s="8" t="s">
        <v>5524</v>
      </c>
      <c r="O4048" s="1" t="s">
        <v>5525</v>
      </c>
      <c r="P4048" s="5">
        <f>XLOOKUP(R4048, classification!C:C, classification!B:B, "Not Found")</f>
      </c>
      <c r="Q4048" s="1" t="s">
        <v>5514</v>
      </c>
      <c r="R4048" s="2"/>
      <c r="S4048" s="2"/>
      <c r="T4048" s="2"/>
      <c r="U4048" s="2"/>
    </row>
    <row x14ac:dyDescent="0.25" r="4049" customHeight="1" ht="17.25">
      <c r="A4049" s="7">
        <v>4048</v>
      </c>
      <c r="B4049" s="1" t="s">
        <v>9344</v>
      </c>
      <c r="C4049" s="5">
        <f>CONCATENATE("PD", TEXT(A4049, "1000000"))</f>
      </c>
      <c r="D4049" s="7">
        <v>76</v>
      </c>
      <c r="E4049" s="5">
        <f>XLOOKUP(G4049, item_category!C:C, item_category!B:B, "Not Found")</f>
      </c>
      <c r="F4049" s="1" t="s">
        <v>5632</v>
      </c>
      <c r="G4049" s="5">
        <f>XLOOKUP(I4049, drug!B:B, drug!A:A, "Not Found")</f>
      </c>
      <c r="H4049" s="1"/>
      <c r="I4049" s="7">
        <v>500</v>
      </c>
      <c r="J4049" s="5">
        <f>XLOOKUP(L4049, uom!C:C, uom!B:B, "Not Found")</f>
      </c>
      <c r="K4049" s="1" t="s">
        <v>5511</v>
      </c>
      <c r="L4049" s="5">
        <f>XLOOKUP(N4049, uom!C:C, uom!B:B, "Not Found")</f>
      </c>
      <c r="M4049" s="1" t="s">
        <v>5511</v>
      </c>
      <c r="N4049" s="8" t="s">
        <v>5524</v>
      </c>
      <c r="O4049" s="1" t="s">
        <v>5525</v>
      </c>
      <c r="P4049" s="5">
        <f>XLOOKUP(R4049, classification!C:C, classification!B:B, "Not Found")</f>
      </c>
      <c r="Q4049" s="1" t="s">
        <v>5514</v>
      </c>
      <c r="R4049" s="2"/>
      <c r="S4049" s="2"/>
      <c r="T4049" s="2"/>
      <c r="U4049" s="2"/>
    </row>
    <row x14ac:dyDescent="0.25" r="4050" customHeight="1" ht="17.25">
      <c r="A4050" s="7">
        <v>4049</v>
      </c>
      <c r="B4050" s="1" t="s">
        <v>9345</v>
      </c>
      <c r="C4050" s="5">
        <f>CONCATENATE("PD", TEXT(A4050, "1000000"))</f>
      </c>
      <c r="D4050" s="7">
        <v>76</v>
      </c>
      <c r="E4050" s="5">
        <f>XLOOKUP(G4050, item_category!C:C, item_category!B:B, "Not Found")</f>
      </c>
      <c r="F4050" s="1" t="s">
        <v>5632</v>
      </c>
      <c r="G4050" s="5">
        <f>XLOOKUP(I4050, drug!B:B, drug!A:A, "Not Found")</f>
      </c>
      <c r="H4050" s="1" t="s">
        <v>1942</v>
      </c>
      <c r="I4050" s="7">
        <v>1</v>
      </c>
      <c r="J4050" s="5">
        <f>XLOOKUP(L4050, uom!C:C, uom!B:B, "Not Found")</f>
      </c>
      <c r="K4050" s="1" t="s">
        <v>5511</v>
      </c>
      <c r="L4050" s="5">
        <f>XLOOKUP(N4050, uom!C:C, uom!B:B, "Not Found")</f>
      </c>
      <c r="M4050" s="1" t="s">
        <v>5511</v>
      </c>
      <c r="N4050" s="8" t="s">
        <v>5524</v>
      </c>
      <c r="O4050" s="1" t="s">
        <v>5513</v>
      </c>
      <c r="P4050" s="5">
        <f>XLOOKUP(R4050, classification!C:C, classification!B:B, "Not Found")</f>
      </c>
      <c r="Q4050" s="1" t="s">
        <v>5514</v>
      </c>
      <c r="R4050" s="2"/>
      <c r="S4050" s="2"/>
      <c r="T4050" s="2"/>
      <c r="U4050" s="2"/>
    </row>
    <row x14ac:dyDescent="0.25" r="4051" customHeight="1" ht="17.25">
      <c r="A4051" s="7">
        <v>4050</v>
      </c>
      <c r="B4051" s="1" t="s">
        <v>9346</v>
      </c>
      <c r="C4051" s="5">
        <f>CONCATENATE("PD", TEXT(A4051, "1000000"))</f>
      </c>
      <c r="D4051" s="7">
        <v>76</v>
      </c>
      <c r="E4051" s="5">
        <f>XLOOKUP(G4051, item_category!C:C, item_category!B:B, "Not Found")</f>
      </c>
      <c r="F4051" s="1" t="s">
        <v>5632</v>
      </c>
      <c r="G4051" s="5">
        <f>XLOOKUP(I4051, drug!B:B, drug!A:A, "Not Found")</f>
      </c>
      <c r="H4051" s="1"/>
      <c r="I4051" s="7">
        <v>100</v>
      </c>
      <c r="J4051" s="5">
        <f>XLOOKUP(L4051, uom!C:C, uom!B:B, "Not Found")</f>
      </c>
      <c r="K4051" s="1" t="s">
        <v>5511</v>
      </c>
      <c r="L4051" s="5">
        <f>XLOOKUP(N4051, uom!C:C, uom!B:B, "Not Found")</f>
      </c>
      <c r="M4051" s="1" t="s">
        <v>5511</v>
      </c>
      <c r="N4051" s="8" t="s">
        <v>5524</v>
      </c>
      <c r="O4051" s="1" t="s">
        <v>5525</v>
      </c>
      <c r="P4051" s="5">
        <f>XLOOKUP(R4051, classification!C:C, classification!B:B, "Not Found")</f>
      </c>
      <c r="Q4051" s="1" t="s">
        <v>5514</v>
      </c>
      <c r="R4051" s="2"/>
      <c r="S4051" s="2"/>
      <c r="T4051" s="2"/>
      <c r="U4051" s="2"/>
    </row>
    <row x14ac:dyDescent="0.25" r="4052" customHeight="1" ht="17.25">
      <c r="A4052" s="7">
        <v>4051</v>
      </c>
      <c r="B4052" s="1" t="s">
        <v>9347</v>
      </c>
      <c r="C4052" s="5">
        <f>CONCATENATE("PD", TEXT(A4052, "1000000"))</f>
      </c>
      <c r="D4052" s="7">
        <v>76</v>
      </c>
      <c r="E4052" s="5">
        <f>XLOOKUP(G4052, item_category!C:C, item_category!B:B, "Not Found")</f>
      </c>
      <c r="F4052" s="1" t="s">
        <v>5632</v>
      </c>
      <c r="G4052" s="5">
        <f>XLOOKUP(I4052, drug!B:B, drug!A:A, "Not Found")</f>
      </c>
      <c r="H4052" s="1"/>
      <c r="I4052" s="7">
        <v>150</v>
      </c>
      <c r="J4052" s="5">
        <f>XLOOKUP(L4052, uom!C:C, uom!B:B, "Not Found")</f>
      </c>
      <c r="K4052" s="1" t="s">
        <v>5511</v>
      </c>
      <c r="L4052" s="5">
        <f>XLOOKUP(N4052, uom!C:C, uom!B:B, "Not Found")</f>
      </c>
      <c r="M4052" s="1" t="s">
        <v>5511</v>
      </c>
      <c r="N4052" s="8" t="s">
        <v>5524</v>
      </c>
      <c r="O4052" s="1" t="s">
        <v>5525</v>
      </c>
      <c r="P4052" s="5">
        <f>XLOOKUP(R4052, classification!C:C, classification!B:B, "Not Found")</f>
      </c>
      <c r="Q4052" s="1" t="s">
        <v>5514</v>
      </c>
      <c r="R4052" s="2"/>
      <c r="S4052" s="2"/>
      <c r="T4052" s="2"/>
      <c r="U4052" s="2"/>
    </row>
    <row x14ac:dyDescent="0.25" r="4053" customHeight="1" ht="17.25">
      <c r="A4053" s="7">
        <v>4052</v>
      </c>
      <c r="B4053" s="1" t="s">
        <v>9348</v>
      </c>
      <c r="C4053" s="5">
        <f>CONCATENATE("PD", TEXT(A4053, "1000000"))</f>
      </c>
      <c r="D4053" s="7">
        <v>76</v>
      </c>
      <c r="E4053" s="5">
        <f>XLOOKUP(G4053, item_category!C:C, item_category!B:B, "Not Found")</f>
      </c>
      <c r="F4053" s="1" t="s">
        <v>5632</v>
      </c>
      <c r="G4053" s="5">
        <f>XLOOKUP(I4053, drug!B:B, drug!A:A, "Not Found")</f>
      </c>
      <c r="H4053" s="1"/>
      <c r="I4053" s="7">
        <v>100</v>
      </c>
      <c r="J4053" s="5">
        <f>XLOOKUP(L4053, uom!C:C, uom!B:B, "Not Found")</f>
      </c>
      <c r="K4053" s="1" t="s">
        <v>5511</v>
      </c>
      <c r="L4053" s="5">
        <f>XLOOKUP(N4053, uom!C:C, uom!B:B, "Not Found")</f>
      </c>
      <c r="M4053" s="1" t="s">
        <v>5511</v>
      </c>
      <c r="N4053" s="8" t="s">
        <v>5524</v>
      </c>
      <c r="O4053" s="1" t="s">
        <v>5525</v>
      </c>
      <c r="P4053" s="5">
        <f>XLOOKUP(R4053, classification!C:C, classification!B:B, "Not Found")</f>
      </c>
      <c r="Q4053" s="1" t="s">
        <v>5514</v>
      </c>
      <c r="R4053" s="2"/>
      <c r="S4053" s="2"/>
      <c r="T4053" s="2"/>
      <c r="U4053" s="2"/>
    </row>
    <row x14ac:dyDescent="0.25" r="4054" customHeight="1" ht="17.25">
      <c r="A4054" s="7">
        <v>4053</v>
      </c>
      <c r="B4054" s="1" t="s">
        <v>9349</v>
      </c>
      <c r="C4054" s="5">
        <f>CONCATENATE("PD", TEXT(A4054, "1000000"))</f>
      </c>
      <c r="D4054" s="7">
        <v>76</v>
      </c>
      <c r="E4054" s="5">
        <f>XLOOKUP(G4054, item_category!C:C, item_category!B:B, "Not Found")</f>
      </c>
      <c r="F4054" s="1" t="s">
        <v>5632</v>
      </c>
      <c r="G4054" s="5">
        <f>XLOOKUP(I4054, drug!B:B, drug!A:A, "Not Found")</f>
      </c>
      <c r="H4054" s="1"/>
      <c r="I4054" s="7">
        <v>150</v>
      </c>
      <c r="J4054" s="5">
        <f>XLOOKUP(L4054, uom!C:C, uom!B:B, "Not Found")</f>
      </c>
      <c r="K4054" s="1" t="s">
        <v>5511</v>
      </c>
      <c r="L4054" s="5">
        <f>XLOOKUP(N4054, uom!C:C, uom!B:B, "Not Found")</f>
      </c>
      <c r="M4054" s="1" t="s">
        <v>5511</v>
      </c>
      <c r="N4054" s="8" t="s">
        <v>5524</v>
      </c>
      <c r="O4054" s="1" t="s">
        <v>5525</v>
      </c>
      <c r="P4054" s="5">
        <f>XLOOKUP(R4054, classification!C:C, classification!B:B, "Not Found")</f>
      </c>
      <c r="Q4054" s="1" t="s">
        <v>5514</v>
      </c>
      <c r="R4054" s="2"/>
      <c r="S4054" s="2"/>
      <c r="T4054" s="2"/>
      <c r="U4054" s="2"/>
    </row>
    <row x14ac:dyDescent="0.25" r="4055" customHeight="1" ht="17.25">
      <c r="A4055" s="7">
        <v>4054</v>
      </c>
      <c r="B4055" s="1" t="s">
        <v>3526</v>
      </c>
      <c r="C4055" s="5">
        <f>CONCATENATE("PD", TEXT(A4055, "1000000"))</f>
      </c>
      <c r="D4055" s="7">
        <v>76</v>
      </c>
      <c r="E4055" s="5">
        <f>XLOOKUP(G4055, item_category!C:C, item_category!B:B, "Not Found")</f>
      </c>
      <c r="F4055" s="1" t="s">
        <v>5632</v>
      </c>
      <c r="G4055" s="5">
        <f>XLOOKUP(I4055, drug!B:B, drug!A:A, "Not Found")</f>
      </c>
      <c r="H4055" s="1"/>
      <c r="I4055" s="7">
        <v>150</v>
      </c>
      <c r="J4055" s="5">
        <f>XLOOKUP(L4055, uom!C:C, uom!B:B, "Not Found")</f>
      </c>
      <c r="K4055" s="1" t="s">
        <v>5511</v>
      </c>
      <c r="L4055" s="5">
        <f>XLOOKUP(N4055, uom!C:C, uom!B:B, "Not Found")</f>
      </c>
      <c r="M4055" s="1" t="s">
        <v>5511</v>
      </c>
      <c r="N4055" s="8" t="s">
        <v>5524</v>
      </c>
      <c r="O4055" s="1" t="s">
        <v>5525</v>
      </c>
      <c r="P4055" s="5">
        <f>XLOOKUP(R4055, classification!C:C, classification!B:B, "Not Found")</f>
      </c>
      <c r="Q4055" s="1" t="s">
        <v>5514</v>
      </c>
      <c r="R4055" s="2"/>
      <c r="S4055" s="2"/>
      <c r="T4055" s="2"/>
      <c r="U4055" s="2"/>
    </row>
    <row x14ac:dyDescent="0.25" r="4056" customHeight="1" ht="17.25">
      <c r="A4056" s="7">
        <v>4055</v>
      </c>
      <c r="B4056" s="1" t="s">
        <v>9350</v>
      </c>
      <c r="C4056" s="5">
        <f>CONCATENATE("PD", TEXT(A4056, "1000000"))</f>
      </c>
      <c r="D4056" s="7">
        <v>73</v>
      </c>
      <c r="E4056" s="5">
        <f>XLOOKUP(G4056, item_category!C:C, item_category!B:B, "Not Found")</f>
      </c>
      <c r="F4056" s="1" t="s">
        <v>7945</v>
      </c>
      <c r="G4056" s="5">
        <f>XLOOKUP(I4056, drug!B:B, drug!A:A, "Not Found")</f>
      </c>
      <c r="H4056" s="1" t="s">
        <v>314</v>
      </c>
      <c r="I4056" s="7">
        <v>100</v>
      </c>
      <c r="J4056" s="5">
        <f>XLOOKUP(L4056, uom!C:C, uom!B:B, "Not Found")</f>
      </c>
      <c r="K4056" s="1" t="s">
        <v>5511</v>
      </c>
      <c r="L4056" s="5">
        <f>XLOOKUP(N4056, uom!C:C, uom!B:B, "Not Found")</f>
      </c>
      <c r="M4056" s="1" t="s">
        <v>5511</v>
      </c>
      <c r="N4056" s="8" t="s">
        <v>5524</v>
      </c>
      <c r="O4056" s="1" t="s">
        <v>5525</v>
      </c>
      <c r="P4056" s="5">
        <f>XLOOKUP(R4056, classification!C:C, classification!B:B, "Not Found")</f>
      </c>
      <c r="Q4056" s="1" t="s">
        <v>5514</v>
      </c>
      <c r="R4056" s="2"/>
      <c r="S4056" s="2"/>
      <c r="T4056" s="2"/>
      <c r="U4056" s="2"/>
    </row>
    <row x14ac:dyDescent="0.25" r="4057" customHeight="1" ht="17.25">
      <c r="A4057" s="7">
        <v>4056</v>
      </c>
      <c r="B4057" s="1" t="s">
        <v>9351</v>
      </c>
      <c r="C4057" s="5">
        <f>CONCATENATE("PD", TEXT(A4057, "1000000"))</f>
      </c>
      <c r="D4057" s="7">
        <v>73</v>
      </c>
      <c r="E4057" s="5">
        <f>XLOOKUP(G4057, item_category!C:C, item_category!B:B, "Not Found")</f>
      </c>
      <c r="F4057" s="1" t="s">
        <v>7945</v>
      </c>
      <c r="G4057" s="5">
        <f>XLOOKUP(I4057, drug!B:B, drug!A:A, "Not Found")</f>
      </c>
      <c r="H4057" s="1"/>
      <c r="I4057" s="7">
        <v>1</v>
      </c>
      <c r="J4057" s="5">
        <f>XLOOKUP(L4057, uom!C:C, uom!B:B, "Not Found")</f>
      </c>
      <c r="K4057" s="1" t="s">
        <v>5511</v>
      </c>
      <c r="L4057" s="5">
        <f>XLOOKUP(N4057, uom!C:C, uom!B:B, "Not Found")</f>
      </c>
      <c r="M4057" s="1" t="s">
        <v>5511</v>
      </c>
      <c r="N4057" s="8" t="s">
        <v>5524</v>
      </c>
      <c r="O4057" s="1" t="s">
        <v>5525</v>
      </c>
      <c r="P4057" s="5">
        <f>XLOOKUP(R4057, classification!C:C, classification!B:B, "Not Found")</f>
      </c>
      <c r="Q4057" s="1" t="s">
        <v>5514</v>
      </c>
      <c r="R4057" s="2"/>
      <c r="S4057" s="2"/>
      <c r="T4057" s="2"/>
      <c r="U4057" s="2"/>
    </row>
    <row x14ac:dyDescent="0.25" r="4058" customHeight="1" ht="17.25">
      <c r="A4058" s="7">
        <v>4057</v>
      </c>
      <c r="B4058" s="1" t="s">
        <v>9352</v>
      </c>
      <c r="C4058" s="5">
        <f>CONCATENATE("PD", TEXT(A4058, "1000000"))</f>
      </c>
      <c r="D4058" s="7">
        <v>73</v>
      </c>
      <c r="E4058" s="5">
        <f>XLOOKUP(G4058, item_category!C:C, item_category!B:B, "Not Found")</f>
      </c>
      <c r="F4058" s="1" t="s">
        <v>7945</v>
      </c>
      <c r="G4058" s="5">
        <f>XLOOKUP(I4058, drug!B:B, drug!A:A, "Not Found")</f>
      </c>
      <c r="H4058" s="1"/>
      <c r="I4058" s="7">
        <v>20</v>
      </c>
      <c r="J4058" s="5">
        <f>XLOOKUP(L4058, uom!C:C, uom!B:B, "Not Found")</f>
      </c>
      <c r="K4058" s="1" t="s">
        <v>5511</v>
      </c>
      <c r="L4058" s="5">
        <f>XLOOKUP(N4058, uom!C:C, uom!B:B, "Not Found")</f>
      </c>
      <c r="M4058" s="1" t="s">
        <v>5511</v>
      </c>
      <c r="N4058" s="8" t="s">
        <v>5524</v>
      </c>
      <c r="O4058" s="1" t="s">
        <v>5525</v>
      </c>
      <c r="P4058" s="5">
        <f>XLOOKUP(R4058, classification!C:C, classification!B:B, "Not Found")</f>
      </c>
      <c r="Q4058" s="1" t="s">
        <v>5514</v>
      </c>
      <c r="R4058" s="2"/>
      <c r="S4058" s="2"/>
      <c r="T4058" s="2"/>
      <c r="U4058" s="2"/>
    </row>
    <row x14ac:dyDescent="0.25" r="4059" customHeight="1" ht="17.25">
      <c r="A4059" s="7">
        <v>4058</v>
      </c>
      <c r="B4059" s="1" t="s">
        <v>9353</v>
      </c>
      <c r="C4059" s="5">
        <f>CONCATENATE("PD", TEXT(A4059, "1000000"))</f>
      </c>
      <c r="D4059" s="7">
        <v>73</v>
      </c>
      <c r="E4059" s="5">
        <f>XLOOKUP(G4059, item_category!C:C, item_category!B:B, "Not Found")</f>
      </c>
      <c r="F4059" s="1" t="s">
        <v>7945</v>
      </c>
      <c r="G4059" s="5">
        <f>XLOOKUP(I4059, drug!B:B, drug!A:A, "Not Found")</f>
      </c>
      <c r="H4059" s="1"/>
      <c r="I4059" s="7">
        <v>50</v>
      </c>
      <c r="J4059" s="5">
        <f>XLOOKUP(L4059, uom!C:C, uom!B:B, "Not Found")</f>
      </c>
      <c r="K4059" s="1" t="s">
        <v>5511</v>
      </c>
      <c r="L4059" s="5">
        <f>XLOOKUP(N4059, uom!C:C, uom!B:B, "Not Found")</f>
      </c>
      <c r="M4059" s="1" t="s">
        <v>5511</v>
      </c>
      <c r="N4059" s="8" t="s">
        <v>5524</v>
      </c>
      <c r="O4059" s="1" t="s">
        <v>5525</v>
      </c>
      <c r="P4059" s="5">
        <f>XLOOKUP(R4059, classification!C:C, classification!B:B, "Not Found")</f>
      </c>
      <c r="Q4059" s="1" t="s">
        <v>5514</v>
      </c>
      <c r="R4059" s="2"/>
      <c r="S4059" s="2"/>
      <c r="T4059" s="2"/>
      <c r="U4059" s="2"/>
    </row>
    <row x14ac:dyDescent="0.25" r="4060" customHeight="1" ht="17.25">
      <c r="A4060" s="7">
        <v>4059</v>
      </c>
      <c r="B4060" s="1" t="s">
        <v>9354</v>
      </c>
      <c r="C4060" s="5">
        <f>CONCATENATE("PD", TEXT(A4060, "1000000"))</f>
      </c>
      <c r="D4060" s="7">
        <v>73</v>
      </c>
      <c r="E4060" s="5">
        <f>XLOOKUP(G4060, item_category!C:C, item_category!B:B, "Not Found")</f>
      </c>
      <c r="F4060" s="1" t="s">
        <v>7945</v>
      </c>
      <c r="G4060" s="5">
        <f>XLOOKUP(I4060, drug!B:B, drug!A:A, "Not Found")</f>
      </c>
      <c r="H4060" s="1"/>
      <c r="I4060" s="7">
        <v>1</v>
      </c>
      <c r="J4060" s="5">
        <f>XLOOKUP(L4060, uom!C:C, uom!B:B, "Not Found")</f>
      </c>
      <c r="K4060" s="1" t="s">
        <v>9200</v>
      </c>
      <c r="L4060" s="5">
        <f>XLOOKUP(N4060, uom!C:C, uom!B:B, "Not Found")</f>
      </c>
      <c r="M4060" s="1" t="s">
        <v>9200</v>
      </c>
      <c r="N4060" s="8" t="s">
        <v>5524</v>
      </c>
      <c r="O4060" s="1" t="s">
        <v>5525</v>
      </c>
      <c r="P4060" s="5">
        <f>XLOOKUP(R4060, classification!C:C, classification!B:B, "Not Found")</f>
      </c>
      <c r="Q4060" s="1" t="s">
        <v>5514</v>
      </c>
      <c r="R4060" s="2"/>
      <c r="S4060" s="2"/>
      <c r="T4060" s="2"/>
      <c r="U4060" s="2"/>
    </row>
    <row x14ac:dyDescent="0.25" r="4061" customHeight="1" ht="17.25">
      <c r="A4061" s="7">
        <v>4060</v>
      </c>
      <c r="B4061" s="1" t="s">
        <v>9355</v>
      </c>
      <c r="C4061" s="5">
        <f>CONCATENATE("PD", TEXT(A4061, "1000000"))</f>
      </c>
      <c r="D4061" s="7">
        <v>73</v>
      </c>
      <c r="E4061" s="5">
        <f>XLOOKUP(G4061, item_category!C:C, item_category!B:B, "Not Found")</f>
      </c>
      <c r="F4061" s="1" t="s">
        <v>7945</v>
      </c>
      <c r="G4061" s="5">
        <f>XLOOKUP(I4061, drug!B:B, drug!A:A, "Not Found")</f>
      </c>
      <c r="H4061" s="1"/>
      <c r="I4061" s="7">
        <v>20</v>
      </c>
      <c r="J4061" s="5">
        <f>XLOOKUP(L4061, uom!C:C, uom!B:B, "Not Found")</f>
      </c>
      <c r="K4061" s="1" t="s">
        <v>5511</v>
      </c>
      <c r="L4061" s="5">
        <f>XLOOKUP(N4061, uom!C:C, uom!B:B, "Not Found")</f>
      </c>
      <c r="M4061" s="1" t="s">
        <v>5511</v>
      </c>
      <c r="N4061" s="8" t="s">
        <v>5524</v>
      </c>
      <c r="O4061" s="1" t="s">
        <v>5525</v>
      </c>
      <c r="P4061" s="5">
        <f>XLOOKUP(R4061, classification!C:C, classification!B:B, "Not Found")</f>
      </c>
      <c r="Q4061" s="1" t="s">
        <v>5514</v>
      </c>
      <c r="R4061" s="2"/>
      <c r="S4061" s="2"/>
      <c r="T4061" s="2"/>
      <c r="U4061" s="2"/>
    </row>
    <row x14ac:dyDescent="0.25" r="4062" customHeight="1" ht="17.25">
      <c r="A4062" s="7">
        <v>4061</v>
      </c>
      <c r="B4062" s="1" t="s">
        <v>9356</v>
      </c>
      <c r="C4062" s="5">
        <f>CONCATENATE("PD", TEXT(A4062, "1000000"))</f>
      </c>
      <c r="D4062" s="7">
        <v>73</v>
      </c>
      <c r="E4062" s="5">
        <f>XLOOKUP(G4062, item_category!C:C, item_category!B:B, "Not Found")</f>
      </c>
      <c r="F4062" s="1" t="s">
        <v>7945</v>
      </c>
      <c r="G4062" s="5">
        <f>XLOOKUP(I4062, drug!B:B, drug!A:A, "Not Found")</f>
      </c>
      <c r="H4062" s="1"/>
      <c r="I4062" s="7">
        <v>20</v>
      </c>
      <c r="J4062" s="5">
        <f>XLOOKUP(L4062, uom!C:C, uom!B:B, "Not Found")</f>
      </c>
      <c r="K4062" s="1" t="s">
        <v>5511</v>
      </c>
      <c r="L4062" s="5">
        <f>XLOOKUP(N4062, uom!C:C, uom!B:B, "Not Found")</f>
      </c>
      <c r="M4062" s="1" t="s">
        <v>5511</v>
      </c>
      <c r="N4062" s="8" t="s">
        <v>5524</v>
      </c>
      <c r="O4062" s="1" t="s">
        <v>5525</v>
      </c>
      <c r="P4062" s="5">
        <f>XLOOKUP(R4062, classification!C:C, classification!B:B, "Not Found")</f>
      </c>
      <c r="Q4062" s="1" t="s">
        <v>5514</v>
      </c>
      <c r="R4062" s="2"/>
      <c r="S4062" s="2"/>
      <c r="T4062" s="2"/>
      <c r="U4062" s="2"/>
    </row>
    <row x14ac:dyDescent="0.25" r="4063" customHeight="1" ht="17.25">
      <c r="A4063" s="7">
        <v>4062</v>
      </c>
      <c r="B4063" s="1" t="s">
        <v>9357</v>
      </c>
      <c r="C4063" s="5">
        <f>CONCATENATE("PD", TEXT(A4063, "1000000"))</f>
      </c>
      <c r="D4063" s="7">
        <v>78</v>
      </c>
      <c r="E4063" s="5">
        <f>XLOOKUP(G4063, item_category!C:C, item_category!B:B, "Not Found")</f>
      </c>
      <c r="F4063" s="1" t="s">
        <v>5522</v>
      </c>
      <c r="G4063" s="5">
        <f>XLOOKUP(I4063, drug!B:B, drug!A:A, "Not Found")</f>
      </c>
      <c r="H4063" s="1" t="s">
        <v>245</v>
      </c>
      <c r="I4063" s="7">
        <v>1</v>
      </c>
      <c r="J4063" s="5">
        <f>XLOOKUP(L4063, uom!C:C, uom!B:B, "Not Found")</f>
      </c>
      <c r="K4063" s="1" t="s">
        <v>5523</v>
      </c>
      <c r="L4063" s="5">
        <f>XLOOKUP(N4063, uom!C:C, uom!B:B, "Not Found")</f>
      </c>
      <c r="M4063" s="1" t="s">
        <v>5523</v>
      </c>
      <c r="N4063" s="8" t="s">
        <v>5524</v>
      </c>
      <c r="O4063" s="1" t="s">
        <v>5525</v>
      </c>
      <c r="P4063" s="5">
        <f>XLOOKUP(R4063, classification!C:C, classification!B:B, "Not Found")</f>
      </c>
      <c r="Q4063" s="1" t="s">
        <v>5514</v>
      </c>
      <c r="R4063" s="2"/>
      <c r="S4063" s="2"/>
      <c r="T4063" s="2"/>
      <c r="U4063" s="2"/>
    </row>
    <row x14ac:dyDescent="0.25" r="4064" customHeight="1" ht="17.25">
      <c r="A4064" s="7">
        <v>4063</v>
      </c>
      <c r="B4064" s="1" t="s">
        <v>9358</v>
      </c>
      <c r="C4064" s="5">
        <f>CONCATENATE("PD", TEXT(A4064, "1000000"))</f>
      </c>
      <c r="D4064" s="7">
        <v>78</v>
      </c>
      <c r="E4064" s="5">
        <f>XLOOKUP(G4064, item_category!C:C, item_category!B:B, "Not Found")</f>
      </c>
      <c r="F4064" s="1" t="s">
        <v>5522</v>
      </c>
      <c r="G4064" s="5">
        <f>XLOOKUP(I4064, drug!B:B, drug!A:A, "Not Found")</f>
      </c>
      <c r="H4064" s="1"/>
      <c r="I4064" s="7">
        <v>1</v>
      </c>
      <c r="J4064" s="5">
        <f>XLOOKUP(L4064, uom!C:C, uom!B:B, "Not Found")</f>
      </c>
      <c r="K4064" s="1" t="s">
        <v>5523</v>
      </c>
      <c r="L4064" s="5">
        <f>XLOOKUP(N4064, uom!C:C, uom!B:B, "Not Found")</f>
      </c>
      <c r="M4064" s="1" t="s">
        <v>5523</v>
      </c>
      <c r="N4064" s="8" t="s">
        <v>5524</v>
      </c>
      <c r="O4064" s="1" t="s">
        <v>5525</v>
      </c>
      <c r="P4064" s="5">
        <f>XLOOKUP(R4064, classification!C:C, classification!B:B, "Not Found")</f>
      </c>
      <c r="Q4064" s="1" t="s">
        <v>5514</v>
      </c>
      <c r="R4064" s="2"/>
      <c r="S4064" s="2"/>
      <c r="T4064" s="2"/>
      <c r="U4064" s="2"/>
    </row>
    <row x14ac:dyDescent="0.25" r="4065" customHeight="1" ht="17.25">
      <c r="A4065" s="7">
        <v>4064</v>
      </c>
      <c r="B4065" s="1" t="s">
        <v>9359</v>
      </c>
      <c r="C4065" s="5">
        <f>CONCATENATE("PD", TEXT(A4065, "1000000"))</f>
      </c>
      <c r="D4065" s="7">
        <v>1</v>
      </c>
      <c r="E4065" s="5">
        <f>XLOOKUP(G4065, item_category!C:C, item_category!B:B, "Not Found")</f>
      </c>
      <c r="F4065" s="1" t="s">
        <v>5514</v>
      </c>
      <c r="G4065" s="5">
        <f>XLOOKUP(I4065, drug!B:B, drug!A:A, "Not Found")</f>
      </c>
      <c r="H4065" s="1"/>
      <c r="I4065" s="7">
        <v>100</v>
      </c>
      <c r="J4065" s="5">
        <f>XLOOKUP(L4065, uom!C:C, uom!B:B, "Not Found")</f>
      </c>
      <c r="K4065" s="1" t="s">
        <v>5511</v>
      </c>
      <c r="L4065" s="5">
        <f>XLOOKUP(N4065, uom!C:C, uom!B:B, "Not Found")</f>
      </c>
      <c r="M4065" s="1" t="s">
        <v>5511</v>
      </c>
      <c r="N4065" s="8" t="s">
        <v>5524</v>
      </c>
      <c r="O4065" s="1" t="s">
        <v>5525</v>
      </c>
      <c r="P4065" s="5">
        <f>XLOOKUP(R4065, classification!C:C, classification!B:B, "Not Found")</f>
      </c>
      <c r="Q4065" s="1" t="s">
        <v>5514</v>
      </c>
      <c r="R4065" s="2"/>
      <c r="S4065" s="2"/>
      <c r="T4065" s="2"/>
      <c r="U4065" s="2"/>
    </row>
    <row x14ac:dyDescent="0.25" r="4066" customHeight="1" ht="17.25">
      <c r="A4066" s="7">
        <v>4065</v>
      </c>
      <c r="B4066" s="1" t="s">
        <v>8194</v>
      </c>
      <c r="C4066" s="5">
        <f>CONCATENATE("PD", TEXT(A4066, "1000000"))</f>
      </c>
      <c r="D4066" s="7">
        <v>67</v>
      </c>
      <c r="E4066" s="5">
        <f>XLOOKUP(G4066, item_category!C:C, item_category!B:B, "Not Found")</f>
      </c>
      <c r="F4066" s="1" t="s">
        <v>5516</v>
      </c>
      <c r="G4066" s="5">
        <f>XLOOKUP(I4066, drug!B:B, drug!A:A, "Not Found")</f>
      </c>
      <c r="H4066" s="1" t="s">
        <v>1942</v>
      </c>
      <c r="I4066" s="7">
        <v>1500</v>
      </c>
      <c r="J4066" s="5">
        <f>XLOOKUP(L4066, uom!C:C, uom!B:B, "Not Found")</f>
      </c>
      <c r="K4066" s="1" t="s">
        <v>5511</v>
      </c>
      <c r="L4066" s="5">
        <f>XLOOKUP(N4066, uom!C:C, uom!B:B, "Not Found")</f>
      </c>
      <c r="M4066" s="1" t="s">
        <v>5511</v>
      </c>
      <c r="N4066" s="8" t="s">
        <v>5524</v>
      </c>
      <c r="O4066" s="1" t="s">
        <v>5525</v>
      </c>
      <c r="P4066" s="5">
        <f>XLOOKUP(R4066, classification!C:C, classification!B:B, "Not Found")</f>
      </c>
      <c r="Q4066" s="1" t="s">
        <v>5514</v>
      </c>
      <c r="R4066" s="2"/>
      <c r="S4066" s="2"/>
      <c r="T4066" s="2"/>
      <c r="U4066" s="2"/>
    </row>
    <row x14ac:dyDescent="0.25" r="4067" customHeight="1" ht="17.25">
      <c r="A4067" s="7">
        <v>4066</v>
      </c>
      <c r="B4067" s="1" t="s">
        <v>9360</v>
      </c>
      <c r="C4067" s="5">
        <f>CONCATENATE("PD", TEXT(A4067, "1000000"))</f>
      </c>
      <c r="D4067" s="7">
        <v>67</v>
      </c>
      <c r="E4067" s="5">
        <f>XLOOKUP(G4067, item_category!C:C, item_category!B:B, "Not Found")</f>
      </c>
      <c r="F4067" s="1" t="s">
        <v>5516</v>
      </c>
      <c r="G4067" s="5">
        <f>XLOOKUP(I4067, drug!B:B, drug!A:A, "Not Found")</f>
      </c>
      <c r="H4067" s="1" t="s">
        <v>857</v>
      </c>
      <c r="I4067" s="7">
        <v>250</v>
      </c>
      <c r="J4067" s="5">
        <f>XLOOKUP(L4067, uom!C:C, uom!B:B, "Not Found")</f>
      </c>
      <c r="K4067" s="1" t="s">
        <v>5602</v>
      </c>
      <c r="L4067" s="5">
        <f>XLOOKUP(N4067, uom!C:C, uom!B:B, "Not Found")</f>
      </c>
      <c r="M4067" s="1" t="s">
        <v>5602</v>
      </c>
      <c r="N4067" s="8" t="s">
        <v>5524</v>
      </c>
      <c r="O4067" s="1" t="s">
        <v>5525</v>
      </c>
      <c r="P4067" s="5">
        <f>XLOOKUP(R4067, classification!C:C, classification!B:B, "Not Found")</f>
      </c>
      <c r="Q4067" s="1" t="s">
        <v>5514</v>
      </c>
      <c r="R4067" s="2"/>
      <c r="S4067" s="2"/>
      <c r="T4067" s="2"/>
      <c r="U4067" s="2"/>
    </row>
    <row x14ac:dyDescent="0.25" r="4068" customHeight="1" ht="17.25">
      <c r="A4068" s="7">
        <v>4067</v>
      </c>
      <c r="B4068" s="1" t="s">
        <v>9361</v>
      </c>
      <c r="C4068" s="5">
        <f>CONCATENATE("PD", TEXT(A4068, "1000000"))</f>
      </c>
      <c r="D4068" s="7">
        <v>67</v>
      </c>
      <c r="E4068" s="5">
        <f>XLOOKUP(G4068, item_category!C:C, item_category!B:B, "Not Found")</f>
      </c>
      <c r="F4068" s="1" t="s">
        <v>5516</v>
      </c>
      <c r="G4068" s="5">
        <f>XLOOKUP(I4068, drug!B:B, drug!A:A, "Not Found")</f>
      </c>
      <c r="H4068" s="1" t="s">
        <v>857</v>
      </c>
      <c r="I4068" s="7">
        <v>250</v>
      </c>
      <c r="J4068" s="5">
        <f>XLOOKUP(L4068, uom!C:C, uom!B:B, "Not Found")</f>
      </c>
      <c r="K4068" s="1" t="s">
        <v>5625</v>
      </c>
      <c r="L4068" s="5">
        <f>XLOOKUP(N4068, uom!C:C, uom!B:B, "Not Found")</f>
      </c>
      <c r="M4068" s="1" t="s">
        <v>5625</v>
      </c>
      <c r="N4068" s="8" t="s">
        <v>5524</v>
      </c>
      <c r="O4068" s="1" t="s">
        <v>5525</v>
      </c>
      <c r="P4068" s="5">
        <f>XLOOKUP(R4068, classification!C:C, classification!B:B, "Not Found")</f>
      </c>
      <c r="Q4068" s="1" t="s">
        <v>5514</v>
      </c>
      <c r="R4068" s="2"/>
      <c r="S4068" s="2"/>
      <c r="T4068" s="2"/>
      <c r="U4068" s="2"/>
    </row>
    <row x14ac:dyDescent="0.25" r="4069" customHeight="1" ht="17.25">
      <c r="A4069" s="7">
        <v>4068</v>
      </c>
      <c r="B4069" s="1" t="s">
        <v>9362</v>
      </c>
      <c r="C4069" s="5">
        <f>CONCATENATE("PD", TEXT(A4069, "1000000"))</f>
      </c>
      <c r="D4069" s="7">
        <v>67</v>
      </c>
      <c r="E4069" s="5">
        <f>XLOOKUP(G4069, item_category!C:C, item_category!B:B, "Not Found")</f>
      </c>
      <c r="F4069" s="1" t="s">
        <v>5516</v>
      </c>
      <c r="G4069" s="5">
        <f>XLOOKUP(I4069, drug!B:B, drug!A:A, "Not Found")</f>
      </c>
      <c r="H4069" s="1" t="s">
        <v>1772</v>
      </c>
      <c r="I4069" s="7">
        <v>1</v>
      </c>
      <c r="J4069" s="5">
        <f>XLOOKUP(L4069, uom!C:C, uom!B:B, "Not Found")</f>
      </c>
      <c r="K4069" s="1" t="s">
        <v>5602</v>
      </c>
      <c r="L4069" s="5">
        <f>XLOOKUP(N4069, uom!C:C, uom!B:B, "Not Found")</f>
      </c>
      <c r="M4069" s="1" t="s">
        <v>5602</v>
      </c>
      <c r="N4069" s="8" t="s">
        <v>5524</v>
      </c>
      <c r="O4069" s="1" t="s">
        <v>5525</v>
      </c>
      <c r="P4069" s="5">
        <f>XLOOKUP(R4069, classification!C:C, classification!B:B, "Not Found")</f>
      </c>
      <c r="Q4069" s="1" t="s">
        <v>5514</v>
      </c>
      <c r="R4069" s="2"/>
      <c r="S4069" s="2"/>
      <c r="T4069" s="2"/>
      <c r="U4069" s="2"/>
    </row>
    <row x14ac:dyDescent="0.25" r="4070" customHeight="1" ht="17.25">
      <c r="A4070" s="7">
        <v>4069</v>
      </c>
      <c r="B4070" s="1" t="s">
        <v>9363</v>
      </c>
      <c r="C4070" s="5">
        <f>CONCATENATE("PD", TEXT(A4070, "1000000"))</f>
      </c>
      <c r="D4070" s="7">
        <v>67</v>
      </c>
      <c r="E4070" s="5">
        <f>XLOOKUP(G4070, item_category!C:C, item_category!B:B, "Not Found")</f>
      </c>
      <c r="F4070" s="1" t="s">
        <v>5516</v>
      </c>
      <c r="G4070" s="5">
        <f>XLOOKUP(I4070, drug!B:B, drug!A:A, "Not Found")</f>
      </c>
      <c r="H4070" s="1" t="s">
        <v>2078</v>
      </c>
      <c r="I4070" s="7">
        <v>320</v>
      </c>
      <c r="J4070" s="5">
        <f>XLOOKUP(L4070, uom!C:C, uom!B:B, "Not Found")</f>
      </c>
      <c r="K4070" s="1" t="s">
        <v>5602</v>
      </c>
      <c r="L4070" s="5">
        <f>XLOOKUP(N4070, uom!C:C, uom!B:B, "Not Found")</f>
      </c>
      <c r="M4070" s="1" t="s">
        <v>5602</v>
      </c>
      <c r="N4070" s="8" t="s">
        <v>5524</v>
      </c>
      <c r="O4070" s="1" t="s">
        <v>5525</v>
      </c>
      <c r="P4070" s="5">
        <f>XLOOKUP(R4070, classification!C:C, classification!B:B, "Not Found")</f>
      </c>
      <c r="Q4070" s="1" t="s">
        <v>5514</v>
      </c>
      <c r="R4070" s="2"/>
      <c r="S4070" s="2"/>
      <c r="T4070" s="2"/>
      <c r="U4070" s="2"/>
    </row>
    <row x14ac:dyDescent="0.25" r="4071" customHeight="1" ht="17.25">
      <c r="A4071" s="7">
        <v>4070</v>
      </c>
      <c r="B4071" s="1" t="s">
        <v>9364</v>
      </c>
      <c r="C4071" s="5">
        <f>CONCATENATE("PD", TEXT(A4071, "1000000"))</f>
      </c>
      <c r="D4071" s="7">
        <v>67</v>
      </c>
      <c r="E4071" s="5">
        <f>XLOOKUP(G4071, item_category!C:C, item_category!B:B, "Not Found")</f>
      </c>
      <c r="F4071" s="1" t="s">
        <v>5516</v>
      </c>
      <c r="G4071" s="5">
        <f>XLOOKUP(I4071, drug!B:B, drug!A:A, "Not Found")</f>
      </c>
      <c r="H4071" s="1" t="s">
        <v>1152</v>
      </c>
      <c r="I4071" s="7">
        <v>200</v>
      </c>
      <c r="J4071" s="5">
        <f>XLOOKUP(L4071, uom!C:C, uom!B:B, "Not Found")</f>
      </c>
      <c r="K4071" s="1" t="s">
        <v>5602</v>
      </c>
      <c r="L4071" s="5">
        <f>XLOOKUP(N4071, uom!C:C, uom!B:B, "Not Found")</f>
      </c>
      <c r="M4071" s="1" t="s">
        <v>5602</v>
      </c>
      <c r="N4071" s="8" t="s">
        <v>5524</v>
      </c>
      <c r="O4071" s="1" t="s">
        <v>5525</v>
      </c>
      <c r="P4071" s="5">
        <f>XLOOKUP(R4071, classification!C:C, classification!B:B, "Not Found")</f>
      </c>
      <c r="Q4071" s="1" t="s">
        <v>5514</v>
      </c>
      <c r="R4071" s="2"/>
      <c r="S4071" s="2"/>
      <c r="T4071" s="2"/>
      <c r="U4071" s="2"/>
    </row>
    <row x14ac:dyDescent="0.25" r="4072" customHeight="1" ht="17.25">
      <c r="A4072" s="7">
        <v>4071</v>
      </c>
      <c r="B4072" s="1" t="s">
        <v>9365</v>
      </c>
      <c r="C4072" s="5">
        <f>CONCATENATE("PD", TEXT(A4072, "1000000"))</f>
      </c>
      <c r="D4072" s="7">
        <v>67</v>
      </c>
      <c r="E4072" s="5">
        <f>XLOOKUP(G4072, item_category!C:C, item_category!B:B, "Not Found")</f>
      </c>
      <c r="F4072" s="1" t="s">
        <v>5516</v>
      </c>
      <c r="G4072" s="5">
        <f>XLOOKUP(I4072, drug!B:B, drug!A:A, "Not Found")</f>
      </c>
      <c r="H4072" s="1"/>
      <c r="I4072" s="7">
        <v>550</v>
      </c>
      <c r="J4072" s="5">
        <f>XLOOKUP(L4072, uom!C:C, uom!B:B, "Not Found")</f>
      </c>
      <c r="K4072" s="1" t="s">
        <v>5618</v>
      </c>
      <c r="L4072" s="5">
        <f>XLOOKUP(N4072, uom!C:C, uom!B:B, "Not Found")</f>
      </c>
      <c r="M4072" s="1" t="s">
        <v>5618</v>
      </c>
      <c r="N4072" s="8" t="s">
        <v>5524</v>
      </c>
      <c r="O4072" s="1" t="s">
        <v>5525</v>
      </c>
      <c r="P4072" s="5">
        <f>XLOOKUP(R4072, classification!C:C, classification!B:B, "Not Found")</f>
      </c>
      <c r="Q4072" s="1" t="s">
        <v>5514</v>
      </c>
      <c r="R4072" s="2"/>
      <c r="S4072" s="2"/>
      <c r="T4072" s="2"/>
      <c r="U4072" s="2"/>
    </row>
    <row x14ac:dyDescent="0.25" r="4073" customHeight="1" ht="17.25">
      <c r="A4073" s="7">
        <v>4072</v>
      </c>
      <c r="B4073" s="1" t="s">
        <v>9366</v>
      </c>
      <c r="C4073" s="5">
        <f>CONCATENATE("PD", TEXT(A4073, "1000000"))</f>
      </c>
      <c r="D4073" s="7">
        <v>67</v>
      </c>
      <c r="E4073" s="5">
        <f>XLOOKUP(G4073, item_category!C:C, item_category!B:B, "Not Found")</f>
      </c>
      <c r="F4073" s="1" t="s">
        <v>5516</v>
      </c>
      <c r="G4073" s="5">
        <f>XLOOKUP(I4073, drug!B:B, drug!A:A, "Not Found")</f>
      </c>
      <c r="H4073" s="1"/>
      <c r="I4073" s="7">
        <v>150</v>
      </c>
      <c r="J4073" s="5">
        <f>XLOOKUP(L4073, uom!C:C, uom!B:B, "Not Found")</f>
      </c>
      <c r="K4073" s="1" t="s">
        <v>7212</v>
      </c>
      <c r="L4073" s="5">
        <f>XLOOKUP(N4073, uom!C:C, uom!B:B, "Not Found")</f>
      </c>
      <c r="M4073" s="1" t="s">
        <v>7212</v>
      </c>
      <c r="N4073" s="8" t="s">
        <v>5524</v>
      </c>
      <c r="O4073" s="1" t="s">
        <v>5525</v>
      </c>
      <c r="P4073" s="5">
        <f>XLOOKUP(R4073, classification!C:C, classification!B:B, "Not Found")</f>
      </c>
      <c r="Q4073" s="1" t="s">
        <v>5514</v>
      </c>
      <c r="R4073" s="2"/>
      <c r="S4073" s="2"/>
      <c r="T4073" s="2"/>
      <c r="U4073" s="2"/>
    </row>
    <row x14ac:dyDescent="0.25" r="4074" customHeight="1" ht="17.25">
      <c r="A4074" s="7">
        <v>4073</v>
      </c>
      <c r="B4074" s="1" t="s">
        <v>9367</v>
      </c>
      <c r="C4074" s="5">
        <f>CONCATENATE("PD", TEXT(A4074, "1000000"))</f>
      </c>
      <c r="D4074" s="7">
        <v>75</v>
      </c>
      <c r="E4074" s="5">
        <f>XLOOKUP(G4074, item_category!C:C, item_category!B:B, "Not Found")</f>
      </c>
      <c r="F4074" s="1" t="s">
        <v>5541</v>
      </c>
      <c r="G4074" s="5">
        <f>XLOOKUP(I4074, drug!B:B, drug!A:A, "Not Found")</f>
      </c>
      <c r="H4074" s="1"/>
      <c r="I4074" s="7">
        <v>80</v>
      </c>
      <c r="J4074" s="5">
        <f>XLOOKUP(L4074, uom!C:C, uom!B:B, "Not Found")</f>
      </c>
      <c r="K4074" s="1" t="s">
        <v>7989</v>
      </c>
      <c r="L4074" s="5">
        <f>XLOOKUP(N4074, uom!C:C, uom!B:B, "Not Found")</f>
      </c>
      <c r="M4074" s="1" t="s">
        <v>7989</v>
      </c>
      <c r="N4074" s="8" t="s">
        <v>5524</v>
      </c>
      <c r="O4074" s="1" t="s">
        <v>5525</v>
      </c>
      <c r="P4074" s="5">
        <f>XLOOKUP(R4074, classification!C:C, classification!B:B, "Not Found")</f>
      </c>
      <c r="Q4074" s="1" t="s">
        <v>5514</v>
      </c>
      <c r="R4074" s="2"/>
      <c r="S4074" s="2"/>
      <c r="T4074" s="2"/>
      <c r="U4074" s="2"/>
    </row>
    <row x14ac:dyDescent="0.25" r="4075" customHeight="1" ht="17.25">
      <c r="A4075" s="7">
        <v>4074</v>
      </c>
      <c r="B4075" s="1" t="s">
        <v>9368</v>
      </c>
      <c r="C4075" s="5">
        <f>CONCATENATE("PD", TEXT(A4075, "1000000"))</f>
      </c>
      <c r="D4075" s="7">
        <v>75</v>
      </c>
      <c r="E4075" s="5">
        <f>XLOOKUP(G4075, item_category!C:C, item_category!B:B, "Not Found")</f>
      </c>
      <c r="F4075" s="1" t="s">
        <v>5541</v>
      </c>
      <c r="G4075" s="5">
        <f>XLOOKUP(I4075, drug!B:B, drug!A:A, "Not Found")</f>
      </c>
      <c r="H4075" s="1"/>
      <c r="I4075" s="7">
        <v>50</v>
      </c>
      <c r="J4075" s="5">
        <f>XLOOKUP(L4075, uom!C:C, uom!B:B, "Not Found")</f>
      </c>
      <c r="K4075" s="1" t="s">
        <v>5544</v>
      </c>
      <c r="L4075" s="5">
        <f>XLOOKUP(N4075, uom!C:C, uom!B:B, "Not Found")</f>
      </c>
      <c r="M4075" s="1" t="s">
        <v>5544</v>
      </c>
      <c r="N4075" s="8" t="s">
        <v>5524</v>
      </c>
      <c r="O4075" s="1" t="s">
        <v>5525</v>
      </c>
      <c r="P4075" s="5">
        <f>XLOOKUP(R4075, classification!C:C, classification!B:B, "Not Found")</f>
      </c>
      <c r="Q4075" s="1" t="s">
        <v>5514</v>
      </c>
      <c r="R4075" s="2"/>
      <c r="S4075" s="2"/>
      <c r="T4075" s="2"/>
      <c r="U4075" s="2"/>
    </row>
    <row x14ac:dyDescent="0.25" r="4076" customHeight="1" ht="17.25">
      <c r="A4076" s="7">
        <v>4075</v>
      </c>
      <c r="B4076" s="1" t="s">
        <v>9369</v>
      </c>
      <c r="C4076" s="5">
        <f>CONCATENATE("PD", TEXT(A4076, "1000000"))</f>
      </c>
      <c r="D4076" s="7">
        <v>75</v>
      </c>
      <c r="E4076" s="5">
        <f>XLOOKUP(G4076, item_category!C:C, item_category!B:B, "Not Found")</f>
      </c>
      <c r="F4076" s="1" t="s">
        <v>5541</v>
      </c>
      <c r="G4076" s="5">
        <f>XLOOKUP(I4076, drug!B:B, drug!A:A, "Not Found")</f>
      </c>
      <c r="H4076" s="1"/>
      <c r="I4076" s="7">
        <v>200</v>
      </c>
      <c r="J4076" s="5">
        <f>XLOOKUP(L4076, uom!C:C, uom!B:B, "Not Found")</f>
      </c>
      <c r="K4076" s="1" t="s">
        <v>5544</v>
      </c>
      <c r="L4076" s="5">
        <f>XLOOKUP(N4076, uom!C:C, uom!B:B, "Not Found")</f>
      </c>
      <c r="M4076" s="1" t="s">
        <v>5544</v>
      </c>
      <c r="N4076" s="8" t="s">
        <v>5524</v>
      </c>
      <c r="O4076" s="1" t="s">
        <v>5525</v>
      </c>
      <c r="P4076" s="5">
        <f>XLOOKUP(R4076, classification!C:C, classification!B:B, "Not Found")</f>
      </c>
      <c r="Q4076" s="1" t="s">
        <v>5514</v>
      </c>
      <c r="R4076" s="2"/>
      <c r="S4076" s="2"/>
      <c r="T4076" s="2"/>
      <c r="U4076" s="2"/>
    </row>
    <row x14ac:dyDescent="0.25" r="4077" customHeight="1" ht="17.25">
      <c r="A4077" s="7">
        <v>4076</v>
      </c>
      <c r="B4077" s="1" t="s">
        <v>9370</v>
      </c>
      <c r="C4077" s="5">
        <f>CONCATENATE("PD", TEXT(A4077, "1000000"))</f>
      </c>
      <c r="D4077" s="7">
        <v>75</v>
      </c>
      <c r="E4077" s="5">
        <f>XLOOKUP(G4077, item_category!C:C, item_category!B:B, "Not Found")</f>
      </c>
      <c r="F4077" s="1" t="s">
        <v>5541</v>
      </c>
      <c r="G4077" s="5">
        <f>XLOOKUP(I4077, drug!B:B, drug!A:A, "Not Found")</f>
      </c>
      <c r="H4077" s="1" t="s">
        <v>1942</v>
      </c>
      <c r="I4077" s="7">
        <v>250</v>
      </c>
      <c r="J4077" s="5">
        <f>XLOOKUP(L4077, uom!C:C, uom!B:B, "Not Found")</f>
      </c>
      <c r="K4077" s="1" t="s">
        <v>5544</v>
      </c>
      <c r="L4077" s="5">
        <f>XLOOKUP(N4077, uom!C:C, uom!B:B, "Not Found")</f>
      </c>
      <c r="M4077" s="1" t="s">
        <v>5544</v>
      </c>
      <c r="N4077" s="8" t="s">
        <v>5524</v>
      </c>
      <c r="O4077" s="1" t="s">
        <v>5525</v>
      </c>
      <c r="P4077" s="5">
        <f>XLOOKUP(R4077, classification!C:C, classification!B:B, "Not Found")</f>
      </c>
      <c r="Q4077" s="1" t="s">
        <v>5514</v>
      </c>
      <c r="R4077" s="2"/>
      <c r="S4077" s="2"/>
      <c r="T4077" s="2"/>
      <c r="U4077" s="2"/>
    </row>
    <row x14ac:dyDescent="0.25" r="4078" customHeight="1" ht="17.25">
      <c r="A4078" s="7">
        <v>4077</v>
      </c>
      <c r="B4078" s="1" t="s">
        <v>9371</v>
      </c>
      <c r="C4078" s="5">
        <f>CONCATENATE("PD", TEXT(A4078, "1000000"))</f>
      </c>
      <c r="D4078" s="7">
        <v>71</v>
      </c>
      <c r="E4078" s="5">
        <f>XLOOKUP(G4078, item_category!C:C, item_category!B:B, "Not Found")</f>
      </c>
      <c r="F4078" s="1" t="s">
        <v>9372</v>
      </c>
      <c r="G4078" s="5">
        <f>XLOOKUP(I4078, drug!B:B, drug!A:A, "Not Found")</f>
      </c>
      <c r="H4078" s="1" t="s">
        <v>1228</v>
      </c>
      <c r="I4078" s="7">
        <v>250</v>
      </c>
      <c r="J4078" s="5">
        <f>XLOOKUP(L4078, uom!C:C, uom!B:B, "Not Found")</f>
      </c>
      <c r="K4078" s="1" t="s">
        <v>5625</v>
      </c>
      <c r="L4078" s="5">
        <f>XLOOKUP(N4078, uom!C:C, uom!B:B, "Not Found")</f>
      </c>
      <c r="M4078" s="1" t="s">
        <v>5625</v>
      </c>
      <c r="N4078" s="8" t="s">
        <v>5524</v>
      </c>
      <c r="O4078" s="1" t="s">
        <v>5525</v>
      </c>
      <c r="P4078" s="5">
        <f>XLOOKUP(R4078, classification!C:C, classification!B:B, "Not Found")</f>
      </c>
      <c r="Q4078" s="1" t="s">
        <v>5514</v>
      </c>
      <c r="R4078" s="2"/>
      <c r="S4078" s="2"/>
      <c r="T4078" s="2"/>
      <c r="U4078" s="2"/>
    </row>
    <row x14ac:dyDescent="0.25" r="4079" customHeight="1" ht="17.25">
      <c r="A4079" s="7">
        <v>4078</v>
      </c>
      <c r="B4079" s="1" t="s">
        <v>9373</v>
      </c>
      <c r="C4079" s="5">
        <f>CONCATENATE("PD", TEXT(A4079, "1000000"))</f>
      </c>
      <c r="D4079" s="7">
        <v>75</v>
      </c>
      <c r="E4079" s="5">
        <f>XLOOKUP(G4079, item_category!C:C, item_category!B:B, "Not Found")</f>
      </c>
      <c r="F4079" s="1" t="s">
        <v>5541</v>
      </c>
      <c r="G4079" s="5">
        <f>XLOOKUP(I4079, drug!B:B, drug!A:A, "Not Found")</f>
      </c>
      <c r="H4079" s="1"/>
      <c r="I4079" s="7">
        <v>150</v>
      </c>
      <c r="J4079" s="5">
        <f>XLOOKUP(L4079, uom!C:C, uom!B:B, "Not Found")</f>
      </c>
      <c r="K4079" s="1" t="s">
        <v>5544</v>
      </c>
      <c r="L4079" s="5">
        <f>XLOOKUP(N4079, uom!C:C, uom!B:B, "Not Found")</f>
      </c>
      <c r="M4079" s="1" t="s">
        <v>5544</v>
      </c>
      <c r="N4079" s="8" t="s">
        <v>5524</v>
      </c>
      <c r="O4079" s="1" t="s">
        <v>5525</v>
      </c>
      <c r="P4079" s="5">
        <f>XLOOKUP(R4079, classification!C:C, classification!B:B, "Not Found")</f>
      </c>
      <c r="Q4079" s="1" t="s">
        <v>5514</v>
      </c>
      <c r="R4079" s="2"/>
      <c r="S4079" s="2"/>
      <c r="T4079" s="2"/>
      <c r="U4079" s="2"/>
    </row>
    <row x14ac:dyDescent="0.25" r="4080" customHeight="1" ht="17.25">
      <c r="A4080" s="7">
        <v>4079</v>
      </c>
      <c r="B4080" s="1" t="s">
        <v>9374</v>
      </c>
      <c r="C4080" s="5">
        <f>CONCATENATE("PD", TEXT(A4080, "1000000"))</f>
      </c>
      <c r="D4080" s="7">
        <v>75</v>
      </c>
      <c r="E4080" s="5">
        <f>XLOOKUP(G4080, item_category!C:C, item_category!B:B, "Not Found")</f>
      </c>
      <c r="F4080" s="1" t="s">
        <v>5541</v>
      </c>
      <c r="G4080" s="5">
        <f>XLOOKUP(I4080, drug!B:B, drug!A:A, "Not Found")</f>
      </c>
      <c r="H4080" s="1"/>
      <c r="I4080" s="7">
        <v>200</v>
      </c>
      <c r="J4080" s="5">
        <f>XLOOKUP(L4080, uom!C:C, uom!B:B, "Not Found")</f>
      </c>
      <c r="K4080" s="1" t="s">
        <v>6689</v>
      </c>
      <c r="L4080" s="5">
        <f>XLOOKUP(N4080, uom!C:C, uom!B:B, "Not Found")</f>
      </c>
      <c r="M4080" s="1" t="s">
        <v>6689</v>
      </c>
      <c r="N4080" s="8" t="s">
        <v>5524</v>
      </c>
      <c r="O4080" s="1" t="s">
        <v>5525</v>
      </c>
      <c r="P4080" s="5">
        <f>XLOOKUP(R4080, classification!C:C, classification!B:B, "Not Found")</f>
      </c>
      <c r="Q4080" s="1" t="s">
        <v>5514</v>
      </c>
      <c r="R4080" s="2"/>
      <c r="S4080" s="2"/>
      <c r="T4080" s="2"/>
      <c r="U4080" s="2"/>
    </row>
    <row x14ac:dyDescent="0.25" r="4081" customHeight="1" ht="17.25">
      <c r="A4081" s="7">
        <v>4080</v>
      </c>
      <c r="B4081" s="1" t="s">
        <v>9375</v>
      </c>
      <c r="C4081" s="5">
        <f>CONCATENATE("PD", TEXT(A4081, "1000000"))</f>
      </c>
      <c r="D4081" s="7">
        <v>75</v>
      </c>
      <c r="E4081" s="5">
        <f>XLOOKUP(G4081, item_category!C:C, item_category!B:B, "Not Found")</f>
      </c>
      <c r="F4081" s="1" t="s">
        <v>5541</v>
      </c>
      <c r="G4081" s="5">
        <f>XLOOKUP(I4081, drug!B:B, drug!A:A, "Not Found")</f>
      </c>
      <c r="H4081" s="1" t="s">
        <v>1942</v>
      </c>
      <c r="I4081" s="7">
        <v>150</v>
      </c>
      <c r="J4081" s="5">
        <f>XLOOKUP(L4081, uom!C:C, uom!B:B, "Not Found")</f>
      </c>
      <c r="K4081" s="1" t="s">
        <v>5604</v>
      </c>
      <c r="L4081" s="5">
        <f>XLOOKUP(N4081, uom!C:C, uom!B:B, "Not Found")</f>
      </c>
      <c r="M4081" s="1" t="s">
        <v>5604</v>
      </c>
      <c r="N4081" s="8" t="s">
        <v>5524</v>
      </c>
      <c r="O4081" s="1" t="s">
        <v>5525</v>
      </c>
      <c r="P4081" s="5">
        <f>XLOOKUP(R4081, classification!C:C, classification!B:B, "Not Found")</f>
      </c>
      <c r="Q4081" s="1" t="s">
        <v>5514</v>
      </c>
      <c r="R4081" s="2"/>
      <c r="S4081" s="2"/>
      <c r="T4081" s="2"/>
      <c r="U4081" s="2"/>
    </row>
    <row x14ac:dyDescent="0.25" r="4082" customHeight="1" ht="17.25">
      <c r="A4082" s="7">
        <v>4081</v>
      </c>
      <c r="B4082" s="1" t="s">
        <v>9376</v>
      </c>
      <c r="C4082" s="5">
        <f>CONCATENATE("PD", TEXT(A4082, "1000000"))</f>
      </c>
      <c r="D4082" s="7">
        <v>75</v>
      </c>
      <c r="E4082" s="5">
        <f>XLOOKUP(G4082, item_category!C:C, item_category!B:B, "Not Found")</f>
      </c>
      <c r="F4082" s="1" t="s">
        <v>5541</v>
      </c>
      <c r="G4082" s="5">
        <f>XLOOKUP(I4082, drug!B:B, drug!A:A, "Not Found")</f>
      </c>
      <c r="H4082" s="1"/>
      <c r="I4082" s="7">
        <v>150</v>
      </c>
      <c r="J4082" s="5">
        <f>XLOOKUP(L4082, uom!C:C, uom!B:B, "Not Found")</f>
      </c>
      <c r="K4082" s="1" t="s">
        <v>5544</v>
      </c>
      <c r="L4082" s="5">
        <f>XLOOKUP(N4082, uom!C:C, uom!B:B, "Not Found")</f>
      </c>
      <c r="M4082" s="1" t="s">
        <v>5544</v>
      </c>
      <c r="N4082" s="8" t="s">
        <v>5524</v>
      </c>
      <c r="O4082" s="1" t="s">
        <v>5525</v>
      </c>
      <c r="P4082" s="5">
        <f>XLOOKUP(R4082, classification!C:C, classification!B:B, "Not Found")</f>
      </c>
      <c r="Q4082" s="1" t="s">
        <v>5514</v>
      </c>
      <c r="R4082" s="2"/>
      <c r="S4082" s="2"/>
      <c r="T4082" s="2"/>
      <c r="U4082" s="2"/>
    </row>
    <row x14ac:dyDescent="0.25" r="4083" customHeight="1" ht="17.25">
      <c r="A4083" s="7">
        <v>4082</v>
      </c>
      <c r="B4083" s="1" t="s">
        <v>9377</v>
      </c>
      <c r="C4083" s="5">
        <f>CONCATENATE("PD", TEXT(A4083, "1000000"))</f>
      </c>
      <c r="D4083" s="7">
        <v>75</v>
      </c>
      <c r="E4083" s="5">
        <f>XLOOKUP(G4083, item_category!C:C, item_category!B:B, "Not Found")</f>
      </c>
      <c r="F4083" s="1" t="s">
        <v>5541</v>
      </c>
      <c r="G4083" s="5">
        <f>XLOOKUP(I4083, drug!B:B, drug!A:A, "Not Found")</f>
      </c>
      <c r="H4083" s="1"/>
      <c r="I4083" s="7">
        <v>150</v>
      </c>
      <c r="J4083" s="5">
        <f>XLOOKUP(L4083, uom!C:C, uom!B:B, "Not Found")</f>
      </c>
      <c r="K4083" s="1" t="s">
        <v>5544</v>
      </c>
      <c r="L4083" s="5">
        <f>XLOOKUP(N4083, uom!C:C, uom!B:B, "Not Found")</f>
      </c>
      <c r="M4083" s="1" t="s">
        <v>5544</v>
      </c>
      <c r="N4083" s="8" t="s">
        <v>5524</v>
      </c>
      <c r="O4083" s="1" t="s">
        <v>5525</v>
      </c>
      <c r="P4083" s="5">
        <f>XLOOKUP(R4083, classification!C:C, classification!B:B, "Not Found")</f>
      </c>
      <c r="Q4083" s="1" t="s">
        <v>5514</v>
      </c>
      <c r="R4083" s="2"/>
      <c r="S4083" s="2"/>
      <c r="T4083" s="2"/>
      <c r="U4083" s="2"/>
    </row>
    <row x14ac:dyDescent="0.25" r="4084" customHeight="1" ht="17.25">
      <c r="A4084" s="7">
        <v>4083</v>
      </c>
      <c r="B4084" s="1" t="s">
        <v>9378</v>
      </c>
      <c r="C4084" s="5">
        <f>CONCATENATE("PD", TEXT(A4084, "1000000"))</f>
      </c>
      <c r="D4084" s="7">
        <v>75</v>
      </c>
      <c r="E4084" s="5">
        <f>XLOOKUP(G4084, item_category!C:C, item_category!B:B, "Not Found")</f>
      </c>
      <c r="F4084" s="1" t="s">
        <v>5541</v>
      </c>
      <c r="G4084" s="5">
        <f>XLOOKUP(I4084, drug!B:B, drug!A:A, "Not Found")</f>
      </c>
      <c r="H4084" s="1"/>
      <c r="I4084" s="7">
        <v>200</v>
      </c>
      <c r="J4084" s="5">
        <f>XLOOKUP(L4084, uom!C:C, uom!B:B, "Not Found")</f>
      </c>
      <c r="K4084" s="1" t="s">
        <v>5544</v>
      </c>
      <c r="L4084" s="5">
        <f>XLOOKUP(N4084, uom!C:C, uom!B:B, "Not Found")</f>
      </c>
      <c r="M4084" s="1" t="s">
        <v>5544</v>
      </c>
      <c r="N4084" s="8" t="s">
        <v>5524</v>
      </c>
      <c r="O4084" s="1" t="s">
        <v>5525</v>
      </c>
      <c r="P4084" s="5">
        <f>XLOOKUP(R4084, classification!C:C, classification!B:B, "Not Found")</f>
      </c>
      <c r="Q4084" s="1" t="s">
        <v>5514</v>
      </c>
      <c r="R4084" s="2"/>
      <c r="S4084" s="2"/>
      <c r="T4084" s="2"/>
      <c r="U4084" s="2"/>
    </row>
    <row x14ac:dyDescent="0.25" r="4085" customHeight="1" ht="17.25">
      <c r="A4085" s="7">
        <v>4084</v>
      </c>
      <c r="B4085" s="1" t="s">
        <v>9379</v>
      </c>
      <c r="C4085" s="5">
        <f>CONCATENATE("PD", TEXT(A4085, "1000000"))</f>
      </c>
      <c r="D4085" s="7">
        <v>75</v>
      </c>
      <c r="E4085" s="5">
        <f>XLOOKUP(G4085, item_category!C:C, item_category!B:B, "Not Found")</f>
      </c>
      <c r="F4085" s="1" t="s">
        <v>5541</v>
      </c>
      <c r="G4085" s="5">
        <f>XLOOKUP(I4085, drug!B:B, drug!A:A, "Not Found")</f>
      </c>
      <c r="H4085" s="1"/>
      <c r="I4085" s="7">
        <v>150</v>
      </c>
      <c r="J4085" s="5">
        <f>XLOOKUP(L4085, uom!C:C, uom!B:B, "Not Found")</f>
      </c>
      <c r="K4085" s="1" t="s">
        <v>5511</v>
      </c>
      <c r="L4085" s="5">
        <f>XLOOKUP(N4085, uom!C:C, uom!B:B, "Not Found")</f>
      </c>
      <c r="M4085" s="1" t="s">
        <v>5511</v>
      </c>
      <c r="N4085" s="8" t="s">
        <v>5524</v>
      </c>
      <c r="O4085" s="1" t="s">
        <v>5525</v>
      </c>
      <c r="P4085" s="5">
        <f>XLOOKUP(R4085, classification!C:C, classification!B:B, "Not Found")</f>
      </c>
      <c r="Q4085" s="1" t="s">
        <v>5514</v>
      </c>
      <c r="R4085" s="2"/>
      <c r="S4085" s="2"/>
      <c r="T4085" s="2"/>
      <c r="U4085" s="2"/>
    </row>
    <row x14ac:dyDescent="0.25" r="4086" customHeight="1" ht="17.25">
      <c r="A4086" s="7">
        <v>4085</v>
      </c>
      <c r="B4086" s="1" t="s">
        <v>9380</v>
      </c>
      <c r="C4086" s="5">
        <f>CONCATENATE("PD", TEXT(A4086, "1000000"))</f>
      </c>
      <c r="D4086" s="7">
        <v>76</v>
      </c>
      <c r="E4086" s="5">
        <f>XLOOKUP(G4086, item_category!C:C, item_category!B:B, "Not Found")</f>
      </c>
      <c r="F4086" s="1" t="s">
        <v>5632</v>
      </c>
      <c r="G4086" s="5">
        <f>XLOOKUP(I4086, drug!B:B, drug!A:A, "Not Found")</f>
      </c>
      <c r="H4086" s="1"/>
      <c r="I4086" s="7">
        <v>10</v>
      </c>
      <c r="J4086" s="5">
        <f>XLOOKUP(L4086, uom!C:C, uom!B:B, "Not Found")</f>
      </c>
      <c r="K4086" s="1" t="s">
        <v>5511</v>
      </c>
      <c r="L4086" s="5">
        <f>XLOOKUP(N4086, uom!C:C, uom!B:B, "Not Found")</f>
      </c>
      <c r="M4086" s="1" t="s">
        <v>5511</v>
      </c>
      <c r="N4086" s="8" t="s">
        <v>5524</v>
      </c>
      <c r="O4086" s="1" t="s">
        <v>5525</v>
      </c>
      <c r="P4086" s="5">
        <f>XLOOKUP(R4086, classification!C:C, classification!B:B, "Not Found")</f>
      </c>
      <c r="Q4086" s="1" t="s">
        <v>5514</v>
      </c>
      <c r="R4086" s="2"/>
      <c r="S4086" s="2"/>
      <c r="T4086" s="2"/>
      <c r="U4086" s="2"/>
    </row>
    <row x14ac:dyDescent="0.25" r="4087" customHeight="1" ht="17.25">
      <c r="A4087" s="7">
        <v>4086</v>
      </c>
      <c r="B4087" s="1" t="s">
        <v>9381</v>
      </c>
      <c r="C4087" s="5">
        <f>CONCATENATE("PD", TEXT(A4087, "1000000"))</f>
      </c>
      <c r="D4087" s="7">
        <v>76</v>
      </c>
      <c r="E4087" s="5">
        <f>XLOOKUP(G4087, item_category!C:C, item_category!B:B, "Not Found")</f>
      </c>
      <c r="F4087" s="1" t="s">
        <v>5632</v>
      </c>
      <c r="G4087" s="5">
        <f>XLOOKUP(I4087, drug!B:B, drug!A:A, "Not Found")</f>
      </c>
      <c r="H4087" s="1"/>
      <c r="I4087" s="7">
        <v>250</v>
      </c>
      <c r="J4087" s="5">
        <f>XLOOKUP(L4087, uom!C:C, uom!B:B, "Not Found")</f>
      </c>
      <c r="K4087" s="1" t="s">
        <v>5511</v>
      </c>
      <c r="L4087" s="5">
        <f>XLOOKUP(N4087, uom!C:C, uom!B:B, "Not Found")</f>
      </c>
      <c r="M4087" s="1" t="s">
        <v>5511</v>
      </c>
      <c r="N4087" s="8" t="s">
        <v>5524</v>
      </c>
      <c r="O4087" s="1" t="s">
        <v>5525</v>
      </c>
      <c r="P4087" s="5">
        <f>XLOOKUP(R4087, classification!C:C, classification!B:B, "Not Found")</f>
      </c>
      <c r="Q4087" s="1" t="s">
        <v>5514</v>
      </c>
      <c r="R4087" s="2"/>
      <c r="S4087" s="2"/>
      <c r="T4087" s="2"/>
      <c r="U4087" s="2"/>
    </row>
    <row x14ac:dyDescent="0.25" r="4088" customHeight="1" ht="17.25">
      <c r="A4088" s="7">
        <v>4087</v>
      </c>
      <c r="B4088" s="1" t="s">
        <v>9382</v>
      </c>
      <c r="C4088" s="5">
        <f>CONCATENATE("PD", TEXT(A4088, "1000000"))</f>
      </c>
      <c r="D4088" s="7">
        <v>76</v>
      </c>
      <c r="E4088" s="5">
        <f>XLOOKUP(G4088, item_category!C:C, item_category!B:B, "Not Found")</f>
      </c>
      <c r="F4088" s="1" t="s">
        <v>5632</v>
      </c>
      <c r="G4088" s="5">
        <f>XLOOKUP(I4088, drug!B:B, drug!A:A, "Not Found")</f>
      </c>
      <c r="H4088" s="1"/>
      <c r="I4088" s="7">
        <v>150</v>
      </c>
      <c r="J4088" s="5">
        <f>XLOOKUP(L4088, uom!C:C, uom!B:B, "Not Found")</f>
      </c>
      <c r="K4088" s="1" t="s">
        <v>5511</v>
      </c>
      <c r="L4088" s="5">
        <f>XLOOKUP(N4088, uom!C:C, uom!B:B, "Not Found")</f>
      </c>
      <c r="M4088" s="1" t="s">
        <v>5511</v>
      </c>
      <c r="N4088" s="8" t="s">
        <v>5524</v>
      </c>
      <c r="O4088" s="1" t="s">
        <v>5525</v>
      </c>
      <c r="P4088" s="5">
        <f>XLOOKUP(R4088, classification!C:C, classification!B:B, "Not Found")</f>
      </c>
      <c r="Q4088" s="1" t="s">
        <v>5514</v>
      </c>
      <c r="R4088" s="2"/>
      <c r="S4088" s="2"/>
      <c r="T4088" s="2"/>
      <c r="U4088" s="2"/>
    </row>
    <row x14ac:dyDescent="0.25" r="4089" customHeight="1" ht="17.25">
      <c r="A4089" s="7">
        <v>4088</v>
      </c>
      <c r="B4089" s="1" t="s">
        <v>9383</v>
      </c>
      <c r="C4089" s="5">
        <f>CONCATENATE("PD", TEXT(A4089, "1000000"))</f>
      </c>
      <c r="D4089" s="7">
        <v>65</v>
      </c>
      <c r="E4089" s="5">
        <f>XLOOKUP(G4089, item_category!C:C, item_category!B:B, "Not Found")</f>
      </c>
      <c r="F4089" s="1" t="s">
        <v>6008</v>
      </c>
      <c r="G4089" s="5">
        <f>XLOOKUP(I4089, drug!B:B, drug!A:A, "Not Found")</f>
      </c>
      <c r="H4089" s="1"/>
      <c r="I4089" s="7">
        <v>1</v>
      </c>
      <c r="J4089" s="5">
        <f>XLOOKUP(L4089, uom!C:C, uom!B:B, "Not Found")</f>
      </c>
      <c r="K4089" s="1" t="s">
        <v>5510</v>
      </c>
      <c r="L4089" s="5">
        <f>XLOOKUP(N4089, uom!C:C, uom!B:B, "Not Found")</f>
      </c>
      <c r="M4089" s="1" t="s">
        <v>5510</v>
      </c>
      <c r="N4089" s="8" t="s">
        <v>5524</v>
      </c>
      <c r="O4089" s="1" t="s">
        <v>5525</v>
      </c>
      <c r="P4089" s="5">
        <f>XLOOKUP(R4089, classification!C:C, classification!B:B, "Not Found")</f>
      </c>
      <c r="Q4089" s="1" t="s">
        <v>5514</v>
      </c>
      <c r="R4089" s="2"/>
      <c r="S4089" s="2"/>
      <c r="T4089" s="2"/>
      <c r="U4089" s="2"/>
    </row>
    <row x14ac:dyDescent="0.25" r="4090" customHeight="1" ht="17.25">
      <c r="A4090" s="7">
        <v>4089</v>
      </c>
      <c r="B4090" s="1" t="s">
        <v>9384</v>
      </c>
      <c r="C4090" s="5">
        <f>CONCATENATE("PD", TEXT(A4090, "1000000"))</f>
      </c>
      <c r="D4090" s="7">
        <v>76</v>
      </c>
      <c r="E4090" s="5">
        <f>XLOOKUP(G4090, item_category!C:C, item_category!B:B, "Not Found")</f>
      </c>
      <c r="F4090" s="1" t="s">
        <v>5632</v>
      </c>
      <c r="G4090" s="5">
        <f>XLOOKUP(I4090, drug!B:B, drug!A:A, "Not Found")</f>
      </c>
      <c r="H4090" s="1"/>
      <c r="I4090" s="7">
        <v>500</v>
      </c>
      <c r="J4090" s="5">
        <f>XLOOKUP(L4090, uom!C:C, uom!B:B, "Not Found")</f>
      </c>
      <c r="K4090" s="1" t="s">
        <v>5511</v>
      </c>
      <c r="L4090" s="5">
        <f>XLOOKUP(N4090, uom!C:C, uom!B:B, "Not Found")</f>
      </c>
      <c r="M4090" s="1" t="s">
        <v>5511</v>
      </c>
      <c r="N4090" s="8" t="s">
        <v>5524</v>
      </c>
      <c r="O4090" s="1" t="s">
        <v>5525</v>
      </c>
      <c r="P4090" s="5">
        <f>XLOOKUP(R4090, classification!C:C, classification!B:B, "Not Found")</f>
      </c>
      <c r="Q4090" s="1" t="s">
        <v>5514</v>
      </c>
      <c r="R4090" s="2"/>
      <c r="S4090" s="2"/>
      <c r="T4090" s="2"/>
      <c r="U4090" s="2"/>
    </row>
    <row x14ac:dyDescent="0.25" r="4091" customHeight="1" ht="17.25">
      <c r="A4091" s="7">
        <v>4090</v>
      </c>
      <c r="B4091" s="1" t="s">
        <v>9385</v>
      </c>
      <c r="C4091" s="5">
        <f>CONCATENATE("PD", TEXT(A4091, "1000000"))</f>
      </c>
      <c r="D4091" s="7">
        <v>1</v>
      </c>
      <c r="E4091" s="5">
        <f>XLOOKUP(G4091, item_category!C:C, item_category!B:B, "Not Found")</f>
      </c>
      <c r="F4091" s="1" t="s">
        <v>5514</v>
      </c>
      <c r="G4091" s="5">
        <f>XLOOKUP(I4091, drug!B:B, drug!A:A, "Not Found")</f>
      </c>
      <c r="H4091" s="1" t="s">
        <v>1228</v>
      </c>
      <c r="I4091" s="7">
        <v>1</v>
      </c>
      <c r="J4091" s="5">
        <f>XLOOKUP(L4091, uom!C:C, uom!B:B, "Not Found")</f>
      </c>
      <c r="K4091" s="1" t="s">
        <v>6186</v>
      </c>
      <c r="L4091" s="5">
        <f>XLOOKUP(N4091, uom!C:C, uom!B:B, "Not Found")</f>
      </c>
      <c r="M4091" s="1" t="s">
        <v>6186</v>
      </c>
      <c r="N4091" s="8" t="s">
        <v>5524</v>
      </c>
      <c r="O4091" s="1" t="s">
        <v>5525</v>
      </c>
      <c r="P4091" s="5">
        <f>XLOOKUP(R4091, classification!C:C, classification!B:B, "Not Found")</f>
      </c>
      <c r="Q4091" s="1" t="s">
        <v>5514</v>
      </c>
      <c r="R4091" s="2"/>
      <c r="S4091" s="2"/>
      <c r="T4091" s="2"/>
      <c r="U4091" s="2"/>
    </row>
    <row x14ac:dyDescent="0.25" r="4092" customHeight="1" ht="17.25">
      <c r="A4092" s="7">
        <v>4091</v>
      </c>
      <c r="B4092" s="1" t="s">
        <v>9386</v>
      </c>
      <c r="C4092" s="5">
        <f>CONCATENATE("PD", TEXT(A4092, "1000000"))</f>
      </c>
      <c r="D4092" s="7">
        <v>67</v>
      </c>
      <c r="E4092" s="5">
        <f>XLOOKUP(G4092, item_category!C:C, item_category!B:B, "Not Found")</f>
      </c>
      <c r="F4092" s="1" t="s">
        <v>5516</v>
      </c>
      <c r="G4092" s="5">
        <f>XLOOKUP(I4092, drug!B:B, drug!A:A, "Not Found")</f>
      </c>
      <c r="H4092" s="1"/>
      <c r="I4092" s="7">
        <v>300</v>
      </c>
      <c r="J4092" s="5">
        <f>XLOOKUP(L4092, uom!C:C, uom!B:B, "Not Found")</f>
      </c>
      <c r="K4092" s="1" t="s">
        <v>5602</v>
      </c>
      <c r="L4092" s="5">
        <f>XLOOKUP(N4092, uom!C:C, uom!B:B, "Not Found")</f>
      </c>
      <c r="M4092" s="1" t="s">
        <v>5602</v>
      </c>
      <c r="N4092" s="8" t="s">
        <v>5524</v>
      </c>
      <c r="O4092" s="1" t="s">
        <v>5525</v>
      </c>
      <c r="P4092" s="5">
        <f>XLOOKUP(R4092, classification!C:C, classification!B:B, "Not Found")</f>
      </c>
      <c r="Q4092" s="1" t="s">
        <v>5514</v>
      </c>
      <c r="R4092" s="2"/>
      <c r="S4092" s="2"/>
      <c r="T4092" s="2"/>
      <c r="U4092" s="2"/>
    </row>
    <row x14ac:dyDescent="0.25" r="4093" customHeight="1" ht="17.25">
      <c r="A4093" s="7">
        <v>4092</v>
      </c>
      <c r="B4093" s="1" t="s">
        <v>9387</v>
      </c>
      <c r="C4093" s="5">
        <f>CONCATENATE("PD", TEXT(A4093, "1000000"))</f>
      </c>
      <c r="D4093" s="7">
        <v>75</v>
      </c>
      <c r="E4093" s="5">
        <f>XLOOKUP(G4093, item_category!C:C, item_category!B:B, "Not Found")</f>
      </c>
      <c r="F4093" s="1" t="s">
        <v>5541</v>
      </c>
      <c r="G4093" s="5">
        <f>XLOOKUP(I4093, drug!B:B, drug!A:A, "Not Found")</f>
      </c>
      <c r="H4093" s="1" t="s">
        <v>1228</v>
      </c>
      <c r="I4093" s="7">
        <v>700</v>
      </c>
      <c r="J4093" s="5">
        <f>XLOOKUP(L4093, uom!C:C, uom!B:B, "Not Found")</f>
      </c>
      <c r="K4093" s="1" t="s">
        <v>5722</v>
      </c>
      <c r="L4093" s="5">
        <f>XLOOKUP(N4093, uom!C:C, uom!B:B, "Not Found")</f>
      </c>
      <c r="M4093" s="1" t="s">
        <v>5722</v>
      </c>
      <c r="N4093" s="8" t="s">
        <v>5524</v>
      </c>
      <c r="O4093" s="1" t="s">
        <v>5525</v>
      </c>
      <c r="P4093" s="5">
        <f>XLOOKUP(R4093, classification!C:C, classification!B:B, "Not Found")</f>
      </c>
      <c r="Q4093" s="1" t="s">
        <v>5514</v>
      </c>
      <c r="R4093" s="2"/>
      <c r="S4093" s="2"/>
      <c r="T4093" s="2"/>
      <c r="U4093" s="2"/>
    </row>
    <row x14ac:dyDescent="0.25" r="4094" customHeight="1" ht="17.25">
      <c r="A4094" s="7">
        <v>4093</v>
      </c>
      <c r="B4094" s="1" t="s">
        <v>9388</v>
      </c>
      <c r="C4094" s="5">
        <f>CONCATENATE("PD", TEXT(A4094, "1000000"))</f>
      </c>
      <c r="D4094" s="7">
        <v>67</v>
      </c>
      <c r="E4094" s="5">
        <f>XLOOKUP(G4094, item_category!C:C, item_category!B:B, "Not Found")</f>
      </c>
      <c r="F4094" s="1" t="s">
        <v>5516</v>
      </c>
      <c r="G4094" s="5">
        <f>XLOOKUP(I4094, drug!B:B, drug!A:A, "Not Found")</f>
      </c>
      <c r="H4094" s="1" t="s">
        <v>923</v>
      </c>
      <c r="I4094" s="7">
        <v>250</v>
      </c>
      <c r="J4094" s="5">
        <f>XLOOKUP(L4094, uom!C:C, uom!B:B, "Not Found")</f>
      </c>
      <c r="K4094" s="1" t="s">
        <v>5602</v>
      </c>
      <c r="L4094" s="5">
        <f>XLOOKUP(N4094, uom!C:C, uom!B:B, "Not Found")</f>
      </c>
      <c r="M4094" s="1" t="s">
        <v>5602</v>
      </c>
      <c r="N4094" s="8" t="s">
        <v>5524</v>
      </c>
      <c r="O4094" s="1" t="s">
        <v>5525</v>
      </c>
      <c r="P4094" s="5">
        <f>XLOOKUP(R4094, classification!C:C, classification!B:B, "Not Found")</f>
      </c>
      <c r="Q4094" s="1" t="s">
        <v>5514</v>
      </c>
      <c r="R4094" s="2"/>
      <c r="S4094" s="2"/>
      <c r="T4094" s="2"/>
      <c r="U4094" s="2"/>
    </row>
    <row x14ac:dyDescent="0.25" r="4095" customHeight="1" ht="17.25">
      <c r="A4095" s="7">
        <v>4094</v>
      </c>
      <c r="B4095" s="1" t="s">
        <v>9389</v>
      </c>
      <c r="C4095" s="5">
        <f>CONCATENATE("PD", TEXT(A4095, "1000000"))</f>
      </c>
      <c r="D4095" s="7">
        <v>67</v>
      </c>
      <c r="E4095" s="5">
        <f>XLOOKUP(G4095, item_category!C:C, item_category!B:B, "Not Found")</f>
      </c>
      <c r="F4095" s="1" t="s">
        <v>5516</v>
      </c>
      <c r="G4095" s="5">
        <f>XLOOKUP(I4095, drug!B:B, drug!A:A, "Not Found")</f>
      </c>
      <c r="H4095" s="1"/>
      <c r="I4095" s="7">
        <v>650</v>
      </c>
      <c r="J4095" s="5">
        <f>XLOOKUP(L4095, uom!C:C, uom!B:B, "Not Found")</f>
      </c>
      <c r="K4095" s="1" t="s">
        <v>5602</v>
      </c>
      <c r="L4095" s="5">
        <f>XLOOKUP(N4095, uom!C:C, uom!B:B, "Not Found")</f>
      </c>
      <c r="M4095" s="1" t="s">
        <v>5602</v>
      </c>
      <c r="N4095" s="8" t="s">
        <v>5524</v>
      </c>
      <c r="O4095" s="1" t="s">
        <v>5525</v>
      </c>
      <c r="P4095" s="5">
        <f>XLOOKUP(R4095, classification!C:C, classification!B:B, "Not Found")</f>
      </c>
      <c r="Q4095" s="1" t="s">
        <v>5514</v>
      </c>
      <c r="R4095" s="2"/>
      <c r="S4095" s="2"/>
      <c r="T4095" s="2"/>
      <c r="U4095" s="2"/>
    </row>
    <row x14ac:dyDescent="0.25" r="4096" customHeight="1" ht="17.25">
      <c r="A4096" s="7">
        <v>4095</v>
      </c>
      <c r="B4096" s="1" t="s">
        <v>9390</v>
      </c>
      <c r="C4096" s="5">
        <f>CONCATENATE("PD", TEXT(A4096, "1000000"))</f>
      </c>
      <c r="D4096" s="7">
        <v>74</v>
      </c>
      <c r="E4096" s="5">
        <f>XLOOKUP(G4096, item_category!C:C, item_category!B:B, "Not Found")</f>
      </c>
      <c r="F4096" s="1" t="s">
        <v>5520</v>
      </c>
      <c r="G4096" s="5">
        <f>XLOOKUP(I4096, drug!B:B, drug!A:A, "Not Found")</f>
      </c>
      <c r="H4096" s="1"/>
      <c r="I4096" s="7">
        <v>200</v>
      </c>
      <c r="J4096" s="5">
        <f>XLOOKUP(L4096, uom!C:C, uom!B:B, "Not Found")</f>
      </c>
      <c r="K4096" s="1" t="s">
        <v>5544</v>
      </c>
      <c r="L4096" s="5">
        <f>XLOOKUP(N4096, uom!C:C, uom!B:B, "Not Found")</f>
      </c>
      <c r="M4096" s="1" t="s">
        <v>5544</v>
      </c>
      <c r="N4096" s="8" t="s">
        <v>5524</v>
      </c>
      <c r="O4096" s="1" t="s">
        <v>5525</v>
      </c>
      <c r="P4096" s="5">
        <f>XLOOKUP(R4096, classification!C:C, classification!B:B, "Not Found")</f>
      </c>
      <c r="Q4096" s="1" t="s">
        <v>5514</v>
      </c>
      <c r="R4096" s="2"/>
      <c r="S4096" s="2"/>
      <c r="T4096" s="2"/>
      <c r="U4096" s="2"/>
    </row>
    <row x14ac:dyDescent="0.25" r="4097" customHeight="1" ht="17.25">
      <c r="A4097" s="7">
        <v>4096</v>
      </c>
      <c r="B4097" s="1" t="s">
        <v>9391</v>
      </c>
      <c r="C4097" s="5">
        <f>CONCATENATE("PD", TEXT(A4097, "1000000"))</f>
      </c>
      <c r="D4097" s="7">
        <v>74</v>
      </c>
      <c r="E4097" s="5">
        <f>XLOOKUP(G4097, item_category!C:C, item_category!B:B, "Not Found")</f>
      </c>
      <c r="F4097" s="1" t="s">
        <v>5520</v>
      </c>
      <c r="G4097" s="5">
        <f>XLOOKUP(I4097, drug!B:B, drug!A:A, "Not Found")</f>
      </c>
      <c r="H4097" s="1"/>
      <c r="I4097" s="7">
        <v>300</v>
      </c>
      <c r="J4097" s="5">
        <f>XLOOKUP(L4097, uom!C:C, uom!B:B, "Not Found")</f>
      </c>
      <c r="K4097" s="1" t="s">
        <v>7989</v>
      </c>
      <c r="L4097" s="5">
        <f>XLOOKUP(N4097, uom!C:C, uom!B:B, "Not Found")</f>
      </c>
      <c r="M4097" s="1" t="s">
        <v>7989</v>
      </c>
      <c r="N4097" s="8" t="s">
        <v>5524</v>
      </c>
      <c r="O4097" s="1" t="s">
        <v>5525</v>
      </c>
      <c r="P4097" s="5">
        <f>XLOOKUP(R4097, classification!C:C, classification!B:B, "Not Found")</f>
      </c>
      <c r="Q4097" s="1" t="s">
        <v>5514</v>
      </c>
      <c r="R4097" s="2"/>
      <c r="S4097" s="2"/>
      <c r="T4097" s="2"/>
      <c r="U4097" s="2"/>
    </row>
    <row x14ac:dyDescent="0.25" r="4098" customHeight="1" ht="17.25">
      <c r="A4098" s="7">
        <v>4097</v>
      </c>
      <c r="B4098" s="1" t="s">
        <v>9392</v>
      </c>
      <c r="C4098" s="5">
        <f>CONCATENATE("PD", TEXT(A4098, "1000000"))</f>
      </c>
      <c r="D4098" s="7">
        <v>75</v>
      </c>
      <c r="E4098" s="5">
        <f>XLOOKUP(G4098, item_category!C:C, item_category!B:B, "Not Found")</f>
      </c>
      <c r="F4098" s="1" t="s">
        <v>5541</v>
      </c>
      <c r="G4098" s="5">
        <f>XLOOKUP(I4098, drug!B:B, drug!A:A, "Not Found")</f>
      </c>
      <c r="H4098" s="1"/>
      <c r="I4098" s="7">
        <v>600</v>
      </c>
      <c r="J4098" s="5">
        <f>XLOOKUP(L4098, uom!C:C, uom!B:B, "Not Found")</f>
      </c>
      <c r="K4098" s="1" t="s">
        <v>5544</v>
      </c>
      <c r="L4098" s="5">
        <f>XLOOKUP(N4098, uom!C:C, uom!B:B, "Not Found")</f>
      </c>
      <c r="M4098" s="1" t="s">
        <v>9393</v>
      </c>
      <c r="N4098" s="8" t="s">
        <v>5524</v>
      </c>
      <c r="O4098" s="1" t="s">
        <v>5525</v>
      </c>
      <c r="P4098" s="5">
        <f>XLOOKUP(R4098, classification!C:C, classification!B:B, "Not Found")</f>
      </c>
      <c r="Q4098" s="1" t="s">
        <v>5514</v>
      </c>
      <c r="R4098" s="2"/>
      <c r="S4098" s="2"/>
      <c r="T4098" s="2"/>
      <c r="U4098" s="2"/>
    </row>
    <row x14ac:dyDescent="0.25" r="4099" customHeight="1" ht="17.25">
      <c r="A4099" s="7">
        <v>4098</v>
      </c>
      <c r="B4099" s="1" t="s">
        <v>9394</v>
      </c>
      <c r="C4099" s="5">
        <f>CONCATENATE("PD", TEXT(A4099, "1000000"))</f>
      </c>
      <c r="D4099" s="7">
        <v>75</v>
      </c>
      <c r="E4099" s="5">
        <f>XLOOKUP(G4099, item_category!C:C, item_category!B:B, "Not Found")</f>
      </c>
      <c r="F4099" s="1" t="s">
        <v>5541</v>
      </c>
      <c r="G4099" s="5">
        <f>XLOOKUP(I4099, drug!B:B, drug!A:A, "Not Found")</f>
      </c>
      <c r="H4099" s="1"/>
      <c r="I4099" s="7">
        <v>100</v>
      </c>
      <c r="J4099" s="5">
        <f>XLOOKUP(L4099, uom!C:C, uom!B:B, "Not Found")</f>
      </c>
      <c r="K4099" s="1" t="s">
        <v>5622</v>
      </c>
      <c r="L4099" s="5">
        <f>XLOOKUP(N4099, uom!C:C, uom!B:B, "Not Found")</f>
      </c>
      <c r="M4099" s="1" t="s">
        <v>5622</v>
      </c>
      <c r="N4099" s="8" t="s">
        <v>5524</v>
      </c>
      <c r="O4099" s="1" t="s">
        <v>5525</v>
      </c>
      <c r="P4099" s="5">
        <f>XLOOKUP(R4099, classification!C:C, classification!B:B, "Not Found")</f>
      </c>
      <c r="Q4099" s="1" t="s">
        <v>5514</v>
      </c>
      <c r="R4099" s="2"/>
      <c r="S4099" s="2"/>
      <c r="T4099" s="2"/>
      <c r="U4099" s="2"/>
    </row>
    <row x14ac:dyDescent="0.25" r="4100" customHeight="1" ht="17.25">
      <c r="A4100" s="7">
        <v>4099</v>
      </c>
      <c r="B4100" s="1" t="s">
        <v>9395</v>
      </c>
      <c r="C4100" s="5">
        <f>CONCATENATE("PD", TEXT(A4100, "1000000"))</f>
      </c>
      <c r="D4100" s="7">
        <v>75</v>
      </c>
      <c r="E4100" s="5">
        <f>XLOOKUP(G4100, item_category!C:C, item_category!B:B, "Not Found")</f>
      </c>
      <c r="F4100" s="1" t="s">
        <v>5541</v>
      </c>
      <c r="G4100" s="5">
        <f>XLOOKUP(I4100, drug!B:B, drug!A:A, "Not Found")</f>
      </c>
      <c r="H4100" s="1"/>
      <c r="I4100" s="7">
        <v>50</v>
      </c>
      <c r="J4100" s="5">
        <f>XLOOKUP(L4100, uom!C:C, uom!B:B, "Not Found")</f>
      </c>
      <c r="K4100" s="1" t="s">
        <v>5544</v>
      </c>
      <c r="L4100" s="5">
        <f>XLOOKUP(N4100, uom!C:C, uom!B:B, "Not Found")</f>
      </c>
      <c r="M4100" s="1" t="s">
        <v>5544</v>
      </c>
      <c r="N4100" s="8" t="s">
        <v>5524</v>
      </c>
      <c r="O4100" s="1" t="s">
        <v>5525</v>
      </c>
      <c r="P4100" s="5">
        <f>XLOOKUP(R4100, classification!C:C, classification!B:B, "Not Found")</f>
      </c>
      <c r="Q4100" s="1" t="s">
        <v>5514</v>
      </c>
      <c r="R4100" s="2"/>
      <c r="S4100" s="2"/>
      <c r="T4100" s="2"/>
      <c r="U4100" s="2"/>
    </row>
    <row x14ac:dyDescent="0.25" r="4101" customHeight="1" ht="17.25">
      <c r="A4101" s="7">
        <v>4100</v>
      </c>
      <c r="B4101" s="1" t="s">
        <v>9396</v>
      </c>
      <c r="C4101" s="5">
        <f>CONCATENATE("PD", TEXT(A4101, "1000000"))</f>
      </c>
      <c r="D4101" s="7">
        <v>73</v>
      </c>
      <c r="E4101" s="5">
        <f>XLOOKUP(G4101, item_category!C:C, item_category!B:B, "Not Found")</f>
      </c>
      <c r="F4101" s="1" t="s">
        <v>7945</v>
      </c>
      <c r="G4101" s="5">
        <f>XLOOKUP(I4101, drug!B:B, drug!A:A, "Not Found")</f>
      </c>
      <c r="H4101" s="1"/>
      <c r="I4101" s="7">
        <v>50</v>
      </c>
      <c r="J4101" s="5">
        <f>XLOOKUP(L4101, uom!C:C, uom!B:B, "Not Found")</f>
      </c>
      <c r="K4101" s="1" t="s">
        <v>7989</v>
      </c>
      <c r="L4101" s="5">
        <f>XLOOKUP(N4101, uom!C:C, uom!B:B, "Not Found")</f>
      </c>
      <c r="M4101" s="1" t="s">
        <v>7989</v>
      </c>
      <c r="N4101" s="8" t="s">
        <v>5524</v>
      </c>
      <c r="O4101" s="1" t="s">
        <v>5525</v>
      </c>
      <c r="P4101" s="5">
        <f>XLOOKUP(R4101, classification!C:C, classification!B:B, "Not Found")</f>
      </c>
      <c r="Q4101" s="1" t="s">
        <v>5514</v>
      </c>
      <c r="R4101" s="2"/>
      <c r="S4101" s="2"/>
      <c r="T4101" s="2"/>
      <c r="U4101" s="2"/>
    </row>
    <row x14ac:dyDescent="0.25" r="4102" customHeight="1" ht="17.25">
      <c r="A4102" s="7">
        <v>4101</v>
      </c>
      <c r="B4102" s="1" t="s">
        <v>9397</v>
      </c>
      <c r="C4102" s="5">
        <f>CONCATENATE("PD", TEXT(A4102, "1000000"))</f>
      </c>
      <c r="D4102" s="7">
        <v>59</v>
      </c>
      <c r="E4102" s="5">
        <f>XLOOKUP(G4102, item_category!C:C, item_category!B:B, "Not Found")</f>
      </c>
      <c r="F4102" s="1" t="s">
        <v>5527</v>
      </c>
      <c r="G4102" s="5">
        <f>XLOOKUP(I4102, drug!B:B, drug!A:A, "Not Found")</f>
      </c>
      <c r="H4102" s="1"/>
      <c r="I4102" s="7">
        <v>350</v>
      </c>
      <c r="J4102" s="5">
        <f>XLOOKUP(L4102, uom!C:C, uom!B:B, "Not Found")</f>
      </c>
      <c r="K4102" s="1" t="s">
        <v>7989</v>
      </c>
      <c r="L4102" s="5">
        <f>XLOOKUP(N4102, uom!C:C, uom!B:B, "Not Found")</f>
      </c>
      <c r="M4102" s="1" t="s">
        <v>7989</v>
      </c>
      <c r="N4102" s="8" t="s">
        <v>5524</v>
      </c>
      <c r="O4102" s="1" t="s">
        <v>5525</v>
      </c>
      <c r="P4102" s="5">
        <f>XLOOKUP(R4102, classification!C:C, classification!B:B, "Not Found")</f>
      </c>
      <c r="Q4102" s="1" t="s">
        <v>5514</v>
      </c>
      <c r="R4102" s="2"/>
      <c r="S4102" s="2"/>
      <c r="T4102" s="2"/>
      <c r="U4102" s="2"/>
    </row>
    <row x14ac:dyDescent="0.25" r="4103" customHeight="1" ht="17.25">
      <c r="A4103" s="7">
        <v>4102</v>
      </c>
      <c r="B4103" s="1" t="s">
        <v>9398</v>
      </c>
      <c r="C4103" s="5">
        <f>CONCATENATE("PD", TEXT(A4103, "1000000"))</f>
      </c>
      <c r="D4103" s="7">
        <v>1</v>
      </c>
      <c r="E4103" s="5">
        <f>XLOOKUP(G4103, item_category!C:C, item_category!B:B, "Not Found")</f>
      </c>
      <c r="F4103" s="1" t="s">
        <v>5514</v>
      </c>
      <c r="G4103" s="5">
        <f>XLOOKUP(I4103, drug!B:B, drug!A:A, "Not Found")</f>
      </c>
      <c r="H4103" s="1"/>
      <c r="I4103" s="7">
        <v>1</v>
      </c>
      <c r="J4103" s="5">
        <f>XLOOKUP(L4103, uom!C:C, uom!B:B, "Not Found")</f>
      </c>
      <c r="K4103" s="1" t="s">
        <v>5625</v>
      </c>
      <c r="L4103" s="5">
        <f>XLOOKUP(N4103, uom!C:C, uom!B:B, "Not Found")</f>
      </c>
      <c r="M4103" s="1" t="s">
        <v>5625</v>
      </c>
      <c r="N4103" s="8" t="s">
        <v>5524</v>
      </c>
      <c r="O4103" s="1" t="s">
        <v>5525</v>
      </c>
      <c r="P4103" s="5">
        <f>XLOOKUP(R4103, classification!C:C, classification!B:B, "Not Found")</f>
      </c>
      <c r="Q4103" s="1" t="s">
        <v>5514</v>
      </c>
      <c r="R4103" s="2"/>
      <c r="S4103" s="2"/>
      <c r="T4103" s="2"/>
      <c r="U4103" s="2"/>
    </row>
    <row x14ac:dyDescent="0.25" r="4104" customHeight="1" ht="17.25">
      <c r="A4104" s="7">
        <v>4103</v>
      </c>
      <c r="B4104" s="1" t="s">
        <v>9399</v>
      </c>
      <c r="C4104" s="5">
        <f>CONCATENATE("PD", TEXT(A4104, "1000000"))</f>
      </c>
      <c r="D4104" s="7">
        <v>76</v>
      </c>
      <c r="E4104" s="5">
        <f>XLOOKUP(G4104, item_category!C:C, item_category!B:B, "Not Found")</f>
      </c>
      <c r="F4104" s="1" t="s">
        <v>5632</v>
      </c>
      <c r="G4104" s="5">
        <f>XLOOKUP(I4104, drug!B:B, drug!A:A, "Not Found")</f>
      </c>
      <c r="H4104" s="1"/>
      <c r="I4104" s="7">
        <v>1</v>
      </c>
      <c r="J4104" s="5">
        <f>XLOOKUP(L4104, uom!C:C, uom!B:B, "Not Found")</f>
      </c>
      <c r="K4104" s="1" t="s">
        <v>5511</v>
      </c>
      <c r="L4104" s="5">
        <f>XLOOKUP(N4104, uom!C:C, uom!B:B, "Not Found")</f>
      </c>
      <c r="M4104" s="1" t="s">
        <v>5511</v>
      </c>
      <c r="N4104" s="8" t="s">
        <v>5524</v>
      </c>
      <c r="O4104" s="1" t="s">
        <v>5525</v>
      </c>
      <c r="P4104" s="5">
        <f>XLOOKUP(R4104, classification!C:C, classification!B:B, "Not Found")</f>
      </c>
      <c r="Q4104" s="1" t="s">
        <v>5514</v>
      </c>
      <c r="R4104" s="2"/>
      <c r="S4104" s="2"/>
      <c r="T4104" s="2"/>
      <c r="U4104" s="2"/>
    </row>
    <row x14ac:dyDescent="0.25" r="4105" customHeight="1" ht="17.25">
      <c r="A4105" s="7">
        <v>4104</v>
      </c>
      <c r="B4105" s="1" t="s">
        <v>9143</v>
      </c>
      <c r="C4105" s="5">
        <f>CONCATENATE("PD", TEXT(A4105, "1000000"))</f>
      </c>
      <c r="D4105" s="7">
        <v>1</v>
      </c>
      <c r="E4105" s="5">
        <f>XLOOKUP(G4105, item_category!C:C, item_category!B:B, "Not Found")</f>
      </c>
      <c r="F4105" s="1" t="s">
        <v>5514</v>
      </c>
      <c r="G4105" s="5">
        <f>XLOOKUP(I4105, drug!B:B, drug!A:A, "Not Found")</f>
      </c>
      <c r="H4105" s="1" t="s">
        <v>1942</v>
      </c>
      <c r="I4105" s="7">
        <v>250</v>
      </c>
      <c r="J4105" s="5">
        <f>XLOOKUP(L4105, uom!C:C, uom!B:B, "Not Found")</f>
      </c>
      <c r="K4105" s="1" t="s">
        <v>5722</v>
      </c>
      <c r="L4105" s="5">
        <f>XLOOKUP(N4105, uom!C:C, uom!B:B, "Not Found")</f>
      </c>
      <c r="M4105" s="1" t="s">
        <v>5722</v>
      </c>
      <c r="N4105" s="8" t="s">
        <v>5524</v>
      </c>
      <c r="O4105" s="1" t="s">
        <v>5525</v>
      </c>
      <c r="P4105" s="5">
        <f>XLOOKUP(R4105, classification!C:C, classification!B:B, "Not Found")</f>
      </c>
      <c r="Q4105" s="1" t="s">
        <v>5514</v>
      </c>
      <c r="R4105" s="2"/>
      <c r="S4105" s="2"/>
      <c r="T4105" s="2"/>
      <c r="U4105" s="2"/>
    </row>
    <row x14ac:dyDescent="0.25" r="4106" customHeight="1" ht="17.25">
      <c r="A4106" s="7">
        <v>4105</v>
      </c>
      <c r="B4106" s="1" t="s">
        <v>9400</v>
      </c>
      <c r="C4106" s="5">
        <f>CONCATENATE("PD", TEXT(A4106, "1000000"))</f>
      </c>
      <c r="D4106" s="7">
        <v>73</v>
      </c>
      <c r="E4106" s="5">
        <f>XLOOKUP(G4106, item_category!C:C, item_category!B:B, "Not Found")</f>
      </c>
      <c r="F4106" s="1" t="s">
        <v>7945</v>
      </c>
      <c r="G4106" s="5">
        <f>XLOOKUP(I4106, drug!B:B, drug!A:A, "Not Found")</f>
      </c>
      <c r="H4106" s="1" t="s">
        <v>1942</v>
      </c>
      <c r="I4106" s="7">
        <v>350</v>
      </c>
      <c r="J4106" s="5">
        <f>XLOOKUP(L4106, uom!C:C, uom!B:B, "Not Found")</f>
      </c>
      <c r="K4106" s="1" t="s">
        <v>5511</v>
      </c>
      <c r="L4106" s="5">
        <f>XLOOKUP(N4106, uom!C:C, uom!B:B, "Not Found")</f>
      </c>
      <c r="M4106" s="1" t="s">
        <v>5511</v>
      </c>
      <c r="N4106" s="8" t="s">
        <v>5524</v>
      </c>
      <c r="O4106" s="1" t="s">
        <v>5525</v>
      </c>
      <c r="P4106" s="5">
        <f>XLOOKUP(R4106, classification!C:C, classification!B:B, "Not Found")</f>
      </c>
      <c r="Q4106" s="1" t="s">
        <v>5514</v>
      </c>
      <c r="R4106" s="2"/>
      <c r="S4106" s="2"/>
      <c r="T4106" s="2"/>
      <c r="U4106" s="2"/>
    </row>
    <row x14ac:dyDescent="0.25" r="4107" customHeight="1" ht="17.25">
      <c r="A4107" s="7">
        <v>4106</v>
      </c>
      <c r="B4107" s="1" t="s">
        <v>9401</v>
      </c>
      <c r="C4107" s="5">
        <f>CONCATENATE("PD", TEXT(A4107, "1000000"))</f>
      </c>
      <c r="D4107" s="7">
        <v>1</v>
      </c>
      <c r="E4107" s="5">
        <f>XLOOKUP(G4107, item_category!C:C, item_category!B:B, "Not Found")</f>
      </c>
      <c r="F4107" s="1" t="s">
        <v>5514</v>
      </c>
      <c r="G4107" s="5">
        <f>XLOOKUP(I4107, drug!B:B, drug!A:A, "Not Found")</f>
      </c>
      <c r="H4107" s="1"/>
      <c r="I4107" s="7">
        <v>200</v>
      </c>
      <c r="J4107" s="5">
        <f>XLOOKUP(L4107, uom!C:C, uom!B:B, "Not Found")</f>
      </c>
      <c r="K4107" s="1" t="s">
        <v>9402</v>
      </c>
      <c r="L4107" s="5">
        <f>XLOOKUP(N4107, uom!C:C, uom!B:B, "Not Found")</f>
      </c>
      <c r="M4107" s="1" t="s">
        <v>9402</v>
      </c>
      <c r="N4107" s="8" t="s">
        <v>5524</v>
      </c>
      <c r="O4107" s="1" t="s">
        <v>5525</v>
      </c>
      <c r="P4107" s="5">
        <f>XLOOKUP(R4107, classification!C:C, classification!B:B, "Not Found")</f>
      </c>
      <c r="Q4107" s="1" t="s">
        <v>5514</v>
      </c>
      <c r="R4107" s="2"/>
      <c r="S4107" s="2"/>
      <c r="T4107" s="2"/>
      <c r="U4107" s="2"/>
    </row>
    <row x14ac:dyDescent="0.25" r="4108" customHeight="1" ht="17.25">
      <c r="A4108" s="7">
        <v>4107</v>
      </c>
      <c r="B4108" s="1" t="s">
        <v>9403</v>
      </c>
      <c r="C4108" s="5">
        <f>CONCATENATE("PD", TEXT(A4108, "1000000"))</f>
      </c>
      <c r="D4108" s="7">
        <v>65</v>
      </c>
      <c r="E4108" s="5">
        <f>XLOOKUP(G4108, item_category!C:C, item_category!B:B, "Not Found")</f>
      </c>
      <c r="F4108" s="1" t="s">
        <v>6008</v>
      </c>
      <c r="G4108" s="5">
        <f>XLOOKUP(I4108, drug!B:B, drug!A:A, "Not Found")</f>
      </c>
      <c r="H4108" s="1" t="s">
        <v>1228</v>
      </c>
      <c r="I4108" s="7">
        <v>1</v>
      </c>
      <c r="J4108" s="5">
        <f>XLOOKUP(L4108, uom!C:C, uom!B:B, "Not Found")</f>
      </c>
      <c r="K4108" s="1" t="s">
        <v>5510</v>
      </c>
      <c r="L4108" s="5">
        <f>XLOOKUP(N4108, uom!C:C, uom!B:B, "Not Found")</f>
      </c>
      <c r="M4108" s="1" t="s">
        <v>5510</v>
      </c>
      <c r="N4108" s="8" t="s">
        <v>5524</v>
      </c>
      <c r="O4108" s="1" t="s">
        <v>5525</v>
      </c>
      <c r="P4108" s="5">
        <f>XLOOKUP(R4108, classification!C:C, classification!B:B, "Not Found")</f>
      </c>
      <c r="Q4108" s="1" t="s">
        <v>5514</v>
      </c>
      <c r="R4108" s="2"/>
      <c r="S4108" s="2"/>
      <c r="T4108" s="2"/>
      <c r="U4108" s="2"/>
    </row>
    <row x14ac:dyDescent="0.25" r="4109" customHeight="1" ht="17.25">
      <c r="A4109" s="7">
        <v>4108</v>
      </c>
      <c r="B4109" s="1" t="s">
        <v>9404</v>
      </c>
      <c r="C4109" s="5">
        <f>CONCATENATE("PD", TEXT(A4109, "1000000"))</f>
      </c>
      <c r="D4109" s="7">
        <v>67</v>
      </c>
      <c r="E4109" s="5">
        <f>XLOOKUP(G4109, item_category!C:C, item_category!B:B, "Not Found")</f>
      </c>
      <c r="F4109" s="1" t="s">
        <v>5516</v>
      </c>
      <c r="G4109" s="5">
        <f>XLOOKUP(I4109, drug!B:B, drug!A:A, "Not Found")</f>
      </c>
      <c r="H4109" s="1" t="s">
        <v>753</v>
      </c>
      <c r="I4109" s="7">
        <v>200</v>
      </c>
      <c r="J4109" s="5">
        <f>XLOOKUP(L4109, uom!C:C, uom!B:B, "Not Found")</f>
      </c>
      <c r="K4109" s="1" t="s">
        <v>7212</v>
      </c>
      <c r="L4109" s="5">
        <f>XLOOKUP(N4109, uom!C:C, uom!B:B, "Not Found")</f>
      </c>
      <c r="M4109" s="1" t="s">
        <v>7212</v>
      </c>
      <c r="N4109" s="8" t="s">
        <v>5524</v>
      </c>
      <c r="O4109" s="1" t="s">
        <v>5525</v>
      </c>
      <c r="P4109" s="5">
        <f>XLOOKUP(R4109, classification!C:C, classification!B:B, "Not Found")</f>
      </c>
      <c r="Q4109" s="1" t="s">
        <v>5514</v>
      </c>
      <c r="R4109" s="2"/>
      <c r="S4109" s="2"/>
      <c r="T4109" s="2"/>
      <c r="U4109" s="2"/>
    </row>
    <row x14ac:dyDescent="0.25" r="4110" customHeight="1" ht="17.25">
      <c r="A4110" s="7">
        <v>4109</v>
      </c>
      <c r="B4110" s="1" t="s">
        <v>9405</v>
      </c>
      <c r="C4110" s="5">
        <f>CONCATENATE("PD", TEXT(A4110, "1000000"))</f>
      </c>
      <c r="D4110" s="7">
        <v>67</v>
      </c>
      <c r="E4110" s="5">
        <f>XLOOKUP(G4110, item_category!C:C, item_category!B:B, "Not Found")</f>
      </c>
      <c r="F4110" s="1" t="s">
        <v>5516</v>
      </c>
      <c r="G4110" s="5">
        <f>XLOOKUP(I4110, drug!B:B, drug!A:A, "Not Found")</f>
      </c>
      <c r="H4110" s="1"/>
      <c r="I4110" s="7">
        <v>300</v>
      </c>
      <c r="J4110" s="5">
        <f>XLOOKUP(L4110, uom!C:C, uom!B:B, "Not Found")</f>
      </c>
      <c r="K4110" s="1" t="s">
        <v>5602</v>
      </c>
      <c r="L4110" s="5">
        <f>XLOOKUP(N4110, uom!C:C, uom!B:B, "Not Found")</f>
      </c>
      <c r="M4110" s="1" t="s">
        <v>5602</v>
      </c>
      <c r="N4110" s="8" t="s">
        <v>5524</v>
      </c>
      <c r="O4110" s="1" t="s">
        <v>5525</v>
      </c>
      <c r="P4110" s="5">
        <f>XLOOKUP(R4110, classification!C:C, classification!B:B, "Not Found")</f>
      </c>
      <c r="Q4110" s="1" t="s">
        <v>5514</v>
      </c>
      <c r="R4110" s="2"/>
      <c r="S4110" s="2"/>
      <c r="T4110" s="2"/>
      <c r="U4110" s="2"/>
    </row>
    <row x14ac:dyDescent="0.25" r="4111" customHeight="1" ht="17.25">
      <c r="A4111" s="7">
        <v>4110</v>
      </c>
      <c r="B4111" s="1" t="s">
        <v>9406</v>
      </c>
      <c r="C4111" s="5">
        <f>CONCATENATE("PD", TEXT(A4111, "1000000"))</f>
      </c>
      <c r="D4111" s="7">
        <v>65</v>
      </c>
      <c r="E4111" s="5">
        <f>XLOOKUP(G4111, item_category!C:C, item_category!B:B, "Not Found")</f>
      </c>
      <c r="F4111" s="1" t="s">
        <v>6008</v>
      </c>
      <c r="G4111" s="5">
        <f>XLOOKUP(I4111, drug!B:B, drug!A:A, "Not Found")</f>
      </c>
      <c r="H4111" s="1"/>
      <c r="I4111" s="7">
        <v>200</v>
      </c>
      <c r="J4111" s="5">
        <f>XLOOKUP(L4111, uom!C:C, uom!B:B, "Not Found")</f>
      </c>
      <c r="K4111" s="1" t="s">
        <v>5510</v>
      </c>
      <c r="L4111" s="5">
        <f>XLOOKUP(N4111, uom!C:C, uom!B:B, "Not Found")</f>
      </c>
      <c r="M4111" s="1" t="s">
        <v>5510</v>
      </c>
      <c r="N4111" s="8" t="s">
        <v>5524</v>
      </c>
      <c r="O4111" s="1" t="s">
        <v>5525</v>
      </c>
      <c r="P4111" s="5">
        <f>XLOOKUP(R4111, classification!C:C, classification!B:B, "Not Found")</f>
      </c>
      <c r="Q4111" s="1" t="s">
        <v>5514</v>
      </c>
      <c r="R4111" s="2"/>
      <c r="S4111" s="2"/>
      <c r="T4111" s="2"/>
      <c r="U4111" s="2"/>
    </row>
    <row x14ac:dyDescent="0.25" r="4112" customHeight="1" ht="17.25">
      <c r="A4112" s="7">
        <v>4111</v>
      </c>
      <c r="B4112" s="1" t="s">
        <v>9407</v>
      </c>
      <c r="C4112" s="5">
        <f>CONCATENATE("PD", TEXT(A4112, "1000000"))</f>
      </c>
      <c r="D4112" s="7">
        <v>73</v>
      </c>
      <c r="E4112" s="5">
        <f>XLOOKUP(G4112, item_category!C:C, item_category!B:B, "Not Found")</f>
      </c>
      <c r="F4112" s="1" t="s">
        <v>7945</v>
      </c>
      <c r="G4112" s="5">
        <f>XLOOKUP(I4112, drug!B:B, drug!A:A, "Not Found")</f>
      </c>
      <c r="H4112" s="1"/>
      <c r="I4112" s="7">
        <v>1</v>
      </c>
      <c r="J4112" s="5">
        <f>XLOOKUP(L4112, uom!C:C, uom!B:B, "Not Found")</f>
      </c>
      <c r="K4112" s="1" t="s">
        <v>5511</v>
      </c>
      <c r="L4112" s="5">
        <f>XLOOKUP(N4112, uom!C:C, uom!B:B, "Not Found")</f>
      </c>
      <c r="M4112" s="1" t="s">
        <v>5511</v>
      </c>
      <c r="N4112" s="8" t="s">
        <v>5524</v>
      </c>
      <c r="O4112" s="1" t="s">
        <v>5525</v>
      </c>
      <c r="P4112" s="5">
        <f>XLOOKUP(R4112, classification!C:C, classification!B:B, "Not Found")</f>
      </c>
      <c r="Q4112" s="1" t="s">
        <v>5514</v>
      </c>
      <c r="R4112" s="2"/>
      <c r="S4112" s="2"/>
      <c r="T4112" s="2"/>
      <c r="U4112" s="2"/>
    </row>
    <row x14ac:dyDescent="0.25" r="4113" customHeight="1" ht="17.25">
      <c r="A4113" s="7">
        <v>4112</v>
      </c>
      <c r="B4113" s="1" t="s">
        <v>9408</v>
      </c>
      <c r="C4113" s="5">
        <f>CONCATENATE("PD", TEXT(A4113, "1000000"))</f>
      </c>
      <c r="D4113" s="7">
        <v>73</v>
      </c>
      <c r="E4113" s="5">
        <f>XLOOKUP(G4113, item_category!C:C, item_category!B:B, "Not Found")</f>
      </c>
      <c r="F4113" s="1" t="s">
        <v>7945</v>
      </c>
      <c r="G4113" s="5">
        <f>XLOOKUP(I4113, drug!B:B, drug!A:A, "Not Found")</f>
      </c>
      <c r="H4113" s="1"/>
      <c r="I4113" s="7">
        <v>1</v>
      </c>
      <c r="J4113" s="5">
        <f>XLOOKUP(L4113, uom!C:C, uom!B:B, "Not Found")</f>
      </c>
      <c r="K4113" s="1" t="s">
        <v>5511</v>
      </c>
      <c r="L4113" s="5">
        <f>XLOOKUP(N4113, uom!C:C, uom!B:B, "Not Found")</f>
      </c>
      <c r="M4113" s="1" t="s">
        <v>5511</v>
      </c>
      <c r="N4113" s="8" t="s">
        <v>5524</v>
      </c>
      <c r="O4113" s="1" t="s">
        <v>5525</v>
      </c>
      <c r="P4113" s="5">
        <f>XLOOKUP(R4113, classification!C:C, classification!B:B, "Not Found")</f>
      </c>
      <c r="Q4113" s="1" t="s">
        <v>5514</v>
      </c>
      <c r="R4113" s="2"/>
      <c r="S4113" s="2"/>
      <c r="T4113" s="2"/>
      <c r="U4113" s="2"/>
    </row>
    <row x14ac:dyDescent="0.25" r="4114" customHeight="1" ht="17.25">
      <c r="A4114" s="7">
        <v>4113</v>
      </c>
      <c r="B4114" s="1" t="s">
        <v>9409</v>
      </c>
      <c r="C4114" s="5">
        <f>CONCATENATE("PD", TEXT(A4114, "1000000"))</f>
      </c>
      <c r="D4114" s="7">
        <v>73</v>
      </c>
      <c r="E4114" s="5">
        <f>XLOOKUP(G4114, item_category!C:C, item_category!B:B, "Not Found")</f>
      </c>
      <c r="F4114" s="1" t="s">
        <v>7945</v>
      </c>
      <c r="G4114" s="5">
        <f>XLOOKUP(I4114, drug!B:B, drug!A:A, "Not Found")</f>
      </c>
      <c r="H4114" s="1"/>
      <c r="I4114" s="7">
        <v>1</v>
      </c>
      <c r="J4114" s="5">
        <f>XLOOKUP(L4114, uom!C:C, uom!B:B, "Not Found")</f>
      </c>
      <c r="K4114" s="1" t="s">
        <v>5511</v>
      </c>
      <c r="L4114" s="5">
        <f>XLOOKUP(N4114, uom!C:C, uom!B:B, "Not Found")</f>
      </c>
      <c r="M4114" s="1" t="s">
        <v>5511</v>
      </c>
      <c r="N4114" s="8" t="s">
        <v>5524</v>
      </c>
      <c r="O4114" s="1" t="s">
        <v>5525</v>
      </c>
      <c r="P4114" s="5">
        <f>XLOOKUP(R4114, classification!C:C, classification!B:B, "Not Found")</f>
      </c>
      <c r="Q4114" s="1" t="s">
        <v>5514</v>
      </c>
      <c r="R4114" s="2"/>
      <c r="S4114" s="2"/>
      <c r="T4114" s="2"/>
      <c r="U4114" s="2"/>
    </row>
    <row x14ac:dyDescent="0.25" r="4115" customHeight="1" ht="17.25">
      <c r="A4115" s="7">
        <v>4114</v>
      </c>
      <c r="B4115" s="1" t="s">
        <v>9410</v>
      </c>
      <c r="C4115" s="5">
        <f>CONCATENATE("PD", TEXT(A4115, "1000000"))</f>
      </c>
      <c r="D4115" s="7">
        <v>67</v>
      </c>
      <c r="E4115" s="5">
        <f>XLOOKUP(G4115, item_category!C:C, item_category!B:B, "Not Found")</f>
      </c>
      <c r="F4115" s="1" t="s">
        <v>5516</v>
      </c>
      <c r="G4115" s="5">
        <f>XLOOKUP(I4115, drug!B:B, drug!A:A, "Not Found")</f>
      </c>
      <c r="H4115" s="1"/>
      <c r="I4115" s="7">
        <v>1</v>
      </c>
      <c r="J4115" s="5">
        <f>XLOOKUP(L4115, uom!C:C, uom!B:B, "Not Found")</f>
      </c>
      <c r="K4115" s="1" t="s">
        <v>7212</v>
      </c>
      <c r="L4115" s="5">
        <f>XLOOKUP(N4115, uom!C:C, uom!B:B, "Not Found")</f>
      </c>
      <c r="M4115" s="1" t="s">
        <v>7212</v>
      </c>
      <c r="N4115" s="8" t="s">
        <v>5524</v>
      </c>
      <c r="O4115" s="1" t="s">
        <v>5525</v>
      </c>
      <c r="P4115" s="5">
        <f>XLOOKUP(R4115, classification!C:C, classification!B:B, "Not Found")</f>
      </c>
      <c r="Q4115" s="1" t="s">
        <v>5514</v>
      </c>
      <c r="R4115" s="2"/>
      <c r="S4115" s="2"/>
      <c r="T4115" s="2"/>
      <c r="U4115" s="2"/>
    </row>
    <row x14ac:dyDescent="0.25" r="4116" customHeight="1" ht="17.25">
      <c r="A4116" s="7">
        <v>4115</v>
      </c>
      <c r="B4116" s="1" t="s">
        <v>9411</v>
      </c>
      <c r="C4116" s="5">
        <f>CONCATENATE("PD", TEXT(A4116, "1000000"))</f>
      </c>
      <c r="D4116" s="7">
        <v>74</v>
      </c>
      <c r="E4116" s="5">
        <f>XLOOKUP(G4116, item_category!C:C, item_category!B:B, "Not Found")</f>
      </c>
      <c r="F4116" s="1" t="s">
        <v>5520</v>
      </c>
      <c r="G4116" s="5">
        <f>XLOOKUP(I4116, drug!B:B, drug!A:A, "Not Found")</f>
      </c>
      <c r="H4116" s="1" t="s">
        <v>1137</v>
      </c>
      <c r="I4116" s="7">
        <v>1</v>
      </c>
      <c r="J4116" s="5">
        <f>XLOOKUP(L4116, uom!C:C, uom!B:B, "Not Found")</f>
      </c>
      <c r="K4116" s="1" t="s">
        <v>6186</v>
      </c>
      <c r="L4116" s="5">
        <f>XLOOKUP(N4116, uom!C:C, uom!B:B, "Not Found")</f>
      </c>
      <c r="M4116" s="1" t="s">
        <v>6186</v>
      </c>
      <c r="N4116" s="8" t="s">
        <v>5524</v>
      </c>
      <c r="O4116" s="1" t="s">
        <v>5525</v>
      </c>
      <c r="P4116" s="5">
        <f>XLOOKUP(R4116, classification!C:C, classification!B:B, "Not Found")</f>
      </c>
      <c r="Q4116" s="1" t="s">
        <v>5514</v>
      </c>
      <c r="R4116" s="2"/>
      <c r="S4116" s="2"/>
      <c r="T4116" s="2"/>
      <c r="U4116" s="2"/>
    </row>
    <row x14ac:dyDescent="0.25" r="4117" customHeight="1" ht="17.25">
      <c r="A4117" s="7">
        <v>4116</v>
      </c>
      <c r="B4117" s="1" t="s">
        <v>9412</v>
      </c>
      <c r="C4117" s="5">
        <f>CONCATENATE("PD", TEXT(A4117, "1000000"))</f>
      </c>
      <c r="D4117" s="7">
        <v>59</v>
      </c>
      <c r="E4117" s="5">
        <f>XLOOKUP(G4117, item_category!C:C, item_category!B:B, "Not Found")</f>
      </c>
      <c r="F4117" s="1" t="s">
        <v>5527</v>
      </c>
      <c r="G4117" s="5">
        <f>XLOOKUP(I4117, drug!B:B, drug!A:A, "Not Found")</f>
      </c>
      <c r="H4117" s="1" t="s">
        <v>1228</v>
      </c>
      <c r="I4117" s="7">
        <v>1</v>
      </c>
      <c r="J4117" s="5">
        <f>XLOOKUP(L4117, uom!C:C, uom!B:B, "Not Found")</f>
      </c>
      <c r="K4117" s="1" t="s">
        <v>5537</v>
      </c>
      <c r="L4117" s="5">
        <f>XLOOKUP(N4117, uom!C:C, uom!B:B, "Not Found")</f>
      </c>
      <c r="M4117" s="1" t="s">
        <v>5537</v>
      </c>
      <c r="N4117" s="8" t="s">
        <v>5524</v>
      </c>
      <c r="O4117" s="1" t="s">
        <v>5525</v>
      </c>
      <c r="P4117" s="5">
        <f>XLOOKUP(R4117, classification!C:C, classification!B:B, "Not Found")</f>
      </c>
      <c r="Q4117" s="1" t="s">
        <v>5514</v>
      </c>
      <c r="R4117" s="2"/>
      <c r="S4117" s="2"/>
      <c r="T4117" s="2"/>
      <c r="U4117" s="2"/>
    </row>
    <row x14ac:dyDescent="0.25" r="4118" customHeight="1" ht="17.25">
      <c r="A4118" s="7">
        <v>4117</v>
      </c>
      <c r="B4118" s="1" t="s">
        <v>9413</v>
      </c>
      <c r="C4118" s="5">
        <f>CONCATENATE("PD", TEXT(A4118, "1000000"))</f>
      </c>
      <c r="D4118" s="7">
        <v>1</v>
      </c>
      <c r="E4118" s="5">
        <f>XLOOKUP(G4118, item_category!C:C, item_category!B:B, "Not Found")</f>
      </c>
      <c r="F4118" s="1" t="s">
        <v>5514</v>
      </c>
      <c r="G4118" s="5">
        <f>XLOOKUP(I4118, drug!B:B, drug!A:A, "Not Found")</f>
      </c>
      <c r="H4118" s="1"/>
      <c r="I4118" s="7">
        <v>10</v>
      </c>
      <c r="J4118" s="5">
        <f>XLOOKUP(L4118, uom!C:C, uom!B:B, "Not Found")</f>
      </c>
      <c r="K4118" s="1" t="s">
        <v>5511</v>
      </c>
      <c r="L4118" s="5">
        <f>XLOOKUP(N4118, uom!C:C, uom!B:B, "Not Found")</f>
      </c>
      <c r="M4118" s="1" t="s">
        <v>5511</v>
      </c>
      <c r="N4118" s="8" t="s">
        <v>5524</v>
      </c>
      <c r="O4118" s="1" t="s">
        <v>5525</v>
      </c>
      <c r="P4118" s="5">
        <f>XLOOKUP(R4118, classification!C:C, classification!B:B, "Not Found")</f>
      </c>
      <c r="Q4118" s="1" t="s">
        <v>5514</v>
      </c>
      <c r="R4118" s="2"/>
      <c r="S4118" s="2"/>
      <c r="T4118" s="2"/>
      <c r="U4118" s="2"/>
    </row>
    <row x14ac:dyDescent="0.25" r="4119" customHeight="1" ht="17.25">
      <c r="A4119" s="7">
        <v>4118</v>
      </c>
      <c r="B4119" s="1" t="s">
        <v>9414</v>
      </c>
      <c r="C4119" s="5">
        <f>CONCATENATE("PD", TEXT(A4119, "1000000"))</f>
      </c>
      <c r="D4119" s="7">
        <v>1</v>
      </c>
      <c r="E4119" s="5">
        <f>XLOOKUP(G4119, item_category!C:C, item_category!B:B, "Not Found")</f>
      </c>
      <c r="F4119" s="1" t="s">
        <v>5514</v>
      </c>
      <c r="G4119" s="5">
        <f>XLOOKUP(I4119, drug!B:B, drug!A:A, "Not Found")</f>
      </c>
      <c r="H4119" s="1"/>
      <c r="I4119" s="7">
        <v>50</v>
      </c>
      <c r="J4119" s="5">
        <f>XLOOKUP(L4119, uom!C:C, uom!B:B, "Not Found")</f>
      </c>
      <c r="K4119" s="1" t="s">
        <v>5511</v>
      </c>
      <c r="L4119" s="5">
        <f>XLOOKUP(N4119, uom!C:C, uom!B:B, "Not Found")</f>
      </c>
      <c r="M4119" s="1" t="s">
        <v>5511</v>
      </c>
      <c r="N4119" s="8" t="s">
        <v>5524</v>
      </c>
      <c r="O4119" s="1" t="s">
        <v>5525</v>
      </c>
      <c r="P4119" s="5">
        <f>XLOOKUP(R4119, classification!C:C, classification!B:B, "Not Found")</f>
      </c>
      <c r="Q4119" s="1" t="s">
        <v>5514</v>
      </c>
      <c r="R4119" s="2"/>
      <c r="S4119" s="2"/>
      <c r="T4119" s="2"/>
      <c r="U4119" s="2"/>
    </row>
    <row x14ac:dyDescent="0.25" r="4120" customHeight="1" ht="17.25">
      <c r="A4120" s="7">
        <v>4119</v>
      </c>
      <c r="B4120" s="1" t="s">
        <v>9415</v>
      </c>
      <c r="C4120" s="5">
        <f>CONCATENATE("PD", TEXT(A4120, "1000000"))</f>
      </c>
      <c r="D4120" s="7">
        <v>73</v>
      </c>
      <c r="E4120" s="5">
        <f>XLOOKUP(G4120, item_category!C:C, item_category!B:B, "Not Found")</f>
      </c>
      <c r="F4120" s="1" t="s">
        <v>7945</v>
      </c>
      <c r="G4120" s="5">
        <f>XLOOKUP(I4120, drug!B:B, drug!A:A, "Not Found")</f>
      </c>
      <c r="H4120" s="1"/>
      <c r="I4120" s="7">
        <v>15</v>
      </c>
      <c r="J4120" s="5">
        <f>XLOOKUP(L4120, uom!C:C, uom!B:B, "Not Found")</f>
      </c>
      <c r="K4120" s="1" t="s">
        <v>5511</v>
      </c>
      <c r="L4120" s="5">
        <f>XLOOKUP(N4120, uom!C:C, uom!B:B, "Not Found")</f>
      </c>
      <c r="M4120" s="1" t="s">
        <v>5511</v>
      </c>
      <c r="N4120" s="8" t="s">
        <v>5524</v>
      </c>
      <c r="O4120" s="1" t="s">
        <v>5525</v>
      </c>
      <c r="P4120" s="5">
        <f>XLOOKUP(R4120, classification!C:C, classification!B:B, "Not Found")</f>
      </c>
      <c r="Q4120" s="1" t="s">
        <v>5514</v>
      </c>
      <c r="R4120" s="2"/>
      <c r="S4120" s="2"/>
      <c r="T4120" s="2"/>
      <c r="U4120" s="2"/>
    </row>
    <row x14ac:dyDescent="0.25" r="4121" customHeight="1" ht="17.25">
      <c r="A4121" s="7">
        <v>4120</v>
      </c>
      <c r="B4121" s="1" t="s">
        <v>9416</v>
      </c>
      <c r="C4121" s="5">
        <f>CONCATENATE("PD", TEXT(A4121, "1000000"))</f>
      </c>
      <c r="D4121" s="7">
        <v>1</v>
      </c>
      <c r="E4121" s="5">
        <f>XLOOKUP(G4121, item_category!C:C, item_category!B:B, "Not Found")</f>
      </c>
      <c r="F4121" s="1" t="s">
        <v>5514</v>
      </c>
      <c r="G4121" s="5">
        <f>XLOOKUP(I4121, drug!B:B, drug!A:A, "Not Found")</f>
      </c>
      <c r="H4121" s="1" t="s">
        <v>1228</v>
      </c>
      <c r="I4121" s="7">
        <v>100</v>
      </c>
      <c r="J4121" s="5">
        <f>XLOOKUP(L4121, uom!C:C, uom!B:B, "Not Found")</f>
      </c>
      <c r="K4121" s="1" t="s">
        <v>5722</v>
      </c>
      <c r="L4121" s="5">
        <f>XLOOKUP(N4121, uom!C:C, uom!B:B, "Not Found")</f>
      </c>
      <c r="M4121" s="1" t="s">
        <v>5722</v>
      </c>
      <c r="N4121" s="8" t="s">
        <v>5524</v>
      </c>
      <c r="O4121" s="1" t="s">
        <v>5525</v>
      </c>
      <c r="P4121" s="5">
        <f>XLOOKUP(R4121, classification!C:C, classification!B:B, "Not Found")</f>
      </c>
      <c r="Q4121" s="1" t="s">
        <v>5514</v>
      </c>
      <c r="R4121" s="2"/>
      <c r="S4121" s="2"/>
      <c r="T4121" s="2"/>
      <c r="U4121" s="2"/>
    </row>
    <row x14ac:dyDescent="0.25" r="4122" customHeight="1" ht="17.25">
      <c r="A4122" s="7">
        <v>4121</v>
      </c>
      <c r="B4122" s="1" t="s">
        <v>9417</v>
      </c>
      <c r="C4122" s="5">
        <f>CONCATENATE("PD", TEXT(A4122, "1000000"))</f>
      </c>
      <c r="D4122" s="7">
        <v>67</v>
      </c>
      <c r="E4122" s="5">
        <f>XLOOKUP(G4122, item_category!C:C, item_category!B:B, "Not Found")</f>
      </c>
      <c r="F4122" s="1" t="s">
        <v>5516</v>
      </c>
      <c r="G4122" s="5">
        <f>XLOOKUP(I4122, drug!B:B, drug!A:A, "Not Found")</f>
      </c>
      <c r="H4122" s="1" t="s">
        <v>461</v>
      </c>
      <c r="I4122" s="7">
        <v>200</v>
      </c>
      <c r="J4122" s="5">
        <f>XLOOKUP(L4122, uom!C:C, uom!B:B, "Not Found")</f>
      </c>
      <c r="K4122" s="1" t="s">
        <v>7212</v>
      </c>
      <c r="L4122" s="5">
        <f>XLOOKUP(N4122, uom!C:C, uom!B:B, "Not Found")</f>
      </c>
      <c r="M4122" s="1" t="s">
        <v>7212</v>
      </c>
      <c r="N4122" s="8" t="s">
        <v>5524</v>
      </c>
      <c r="O4122" s="1" t="s">
        <v>5525</v>
      </c>
      <c r="P4122" s="5">
        <f>XLOOKUP(R4122, classification!C:C, classification!B:B, "Not Found")</f>
      </c>
      <c r="Q4122" s="1" t="s">
        <v>5514</v>
      </c>
      <c r="R4122" s="2"/>
      <c r="S4122" s="2"/>
      <c r="T4122" s="2"/>
      <c r="U4122" s="2"/>
    </row>
    <row x14ac:dyDescent="0.25" r="4123" customHeight="1" ht="17.25">
      <c r="A4123" s="7">
        <v>4122</v>
      </c>
      <c r="B4123" s="1" t="s">
        <v>9418</v>
      </c>
      <c r="C4123" s="5">
        <f>CONCATENATE("PD", TEXT(A4123, "1000000"))</f>
      </c>
      <c r="D4123" s="7">
        <v>75</v>
      </c>
      <c r="E4123" s="5">
        <f>XLOOKUP(G4123, item_category!C:C, item_category!B:B, "Not Found")</f>
      </c>
      <c r="F4123" s="1" t="s">
        <v>5541</v>
      </c>
      <c r="G4123" s="5">
        <f>XLOOKUP(I4123, drug!B:B, drug!A:A, "Not Found")</f>
      </c>
      <c r="H4123" s="1"/>
      <c r="I4123" s="7">
        <v>1</v>
      </c>
      <c r="J4123" s="5">
        <f>XLOOKUP(L4123, uom!C:C, uom!B:B, "Not Found")</f>
      </c>
      <c r="K4123" s="1" t="s">
        <v>5544</v>
      </c>
      <c r="L4123" s="5">
        <f>XLOOKUP(N4123, uom!C:C, uom!B:B, "Not Found")</f>
      </c>
      <c r="M4123" s="1" t="s">
        <v>5544</v>
      </c>
      <c r="N4123" s="8" t="s">
        <v>5524</v>
      </c>
      <c r="O4123" s="1" t="s">
        <v>5525</v>
      </c>
      <c r="P4123" s="5">
        <f>XLOOKUP(R4123, classification!C:C, classification!B:B, "Not Found")</f>
      </c>
      <c r="Q4123" s="1" t="s">
        <v>5514</v>
      </c>
      <c r="R4123" s="2"/>
      <c r="S4123" s="2"/>
      <c r="T4123" s="2"/>
      <c r="U4123" s="2"/>
    </row>
    <row x14ac:dyDescent="0.25" r="4124" customHeight="1" ht="17.25">
      <c r="A4124" s="7">
        <v>4123</v>
      </c>
      <c r="B4124" s="1" t="s">
        <v>9419</v>
      </c>
      <c r="C4124" s="5">
        <f>CONCATENATE("PD", TEXT(A4124, "1000000"))</f>
      </c>
      <c r="D4124" s="7">
        <v>67</v>
      </c>
      <c r="E4124" s="5">
        <f>XLOOKUP(G4124, item_category!C:C, item_category!B:B, "Not Found")</f>
      </c>
      <c r="F4124" s="1" t="s">
        <v>5516</v>
      </c>
      <c r="G4124" s="5">
        <f>XLOOKUP(I4124, drug!B:B, drug!A:A, "Not Found")</f>
      </c>
      <c r="H4124" s="1"/>
      <c r="I4124" s="7">
        <v>300</v>
      </c>
      <c r="J4124" s="5">
        <f>XLOOKUP(L4124, uom!C:C, uom!B:B, "Not Found")</f>
      </c>
      <c r="K4124" s="1" t="s">
        <v>5602</v>
      </c>
      <c r="L4124" s="5">
        <f>XLOOKUP(N4124, uom!C:C, uom!B:B, "Not Found")</f>
      </c>
      <c r="M4124" s="1" t="s">
        <v>5602</v>
      </c>
      <c r="N4124" s="8" t="s">
        <v>5524</v>
      </c>
      <c r="O4124" s="1" t="s">
        <v>5525</v>
      </c>
      <c r="P4124" s="5">
        <f>XLOOKUP(R4124, classification!C:C, classification!B:B, "Not Found")</f>
      </c>
      <c r="Q4124" s="1" t="s">
        <v>5514</v>
      </c>
      <c r="R4124" s="2"/>
      <c r="S4124" s="2"/>
      <c r="T4124" s="2"/>
      <c r="U4124" s="2"/>
    </row>
    <row x14ac:dyDescent="0.25" r="4125" customHeight="1" ht="17.25">
      <c r="A4125" s="7">
        <v>4124</v>
      </c>
      <c r="B4125" s="1" t="s">
        <v>9420</v>
      </c>
      <c r="C4125" s="5">
        <f>CONCATENATE("PD", TEXT(A4125, "1000000"))</f>
      </c>
      <c r="D4125" s="7">
        <v>75</v>
      </c>
      <c r="E4125" s="5">
        <f>XLOOKUP(G4125, item_category!C:C, item_category!B:B, "Not Found")</f>
      </c>
      <c r="F4125" s="1" t="s">
        <v>5541</v>
      </c>
      <c r="G4125" s="5">
        <f>XLOOKUP(I4125, drug!B:B, drug!A:A, "Not Found")</f>
      </c>
      <c r="H4125" s="1"/>
      <c r="I4125" s="7">
        <v>50</v>
      </c>
      <c r="J4125" s="5">
        <f>XLOOKUP(L4125, uom!C:C, uom!B:B, "Not Found")</f>
      </c>
      <c r="K4125" s="1" t="s">
        <v>5622</v>
      </c>
      <c r="L4125" s="5">
        <f>XLOOKUP(N4125, uom!C:C, uom!B:B, "Not Found")</f>
      </c>
      <c r="M4125" s="1" t="s">
        <v>5622</v>
      </c>
      <c r="N4125" s="8" t="s">
        <v>5524</v>
      </c>
      <c r="O4125" s="1" t="s">
        <v>5525</v>
      </c>
      <c r="P4125" s="5">
        <f>XLOOKUP(R4125, classification!C:C, classification!B:B, "Not Found")</f>
      </c>
      <c r="Q4125" s="1" t="s">
        <v>5514</v>
      </c>
      <c r="R4125" s="2"/>
      <c r="S4125" s="2"/>
      <c r="T4125" s="2"/>
      <c r="U4125" s="2"/>
    </row>
    <row x14ac:dyDescent="0.25" r="4126" customHeight="1" ht="17.25">
      <c r="A4126" s="7">
        <v>4125</v>
      </c>
      <c r="B4126" s="1" t="s">
        <v>9421</v>
      </c>
      <c r="C4126" s="5">
        <f>CONCATENATE("PD", TEXT(A4126, "1000000"))</f>
      </c>
      <c r="D4126" s="7">
        <v>74</v>
      </c>
      <c r="E4126" s="5">
        <f>XLOOKUP(G4126, item_category!C:C, item_category!B:B, "Not Found")</f>
      </c>
      <c r="F4126" s="1" t="s">
        <v>5520</v>
      </c>
      <c r="G4126" s="5">
        <f>XLOOKUP(I4126, drug!B:B, drug!A:A, "Not Found")</f>
      </c>
      <c r="H4126" s="1"/>
      <c r="I4126" s="7">
        <v>150</v>
      </c>
      <c r="J4126" s="5">
        <f>XLOOKUP(L4126, uom!C:C, uom!B:B, "Not Found")</f>
      </c>
      <c r="K4126" s="1" t="s">
        <v>5544</v>
      </c>
      <c r="L4126" s="5">
        <f>XLOOKUP(N4126, uom!C:C, uom!B:B, "Not Found")</f>
      </c>
      <c r="M4126" s="1" t="s">
        <v>5544</v>
      </c>
      <c r="N4126" s="8" t="s">
        <v>5524</v>
      </c>
      <c r="O4126" s="1" t="s">
        <v>5525</v>
      </c>
      <c r="P4126" s="5">
        <f>XLOOKUP(R4126, classification!C:C, classification!B:B, "Not Found")</f>
      </c>
      <c r="Q4126" s="1" t="s">
        <v>5514</v>
      </c>
      <c r="R4126" s="2"/>
      <c r="S4126" s="2"/>
      <c r="T4126" s="2"/>
      <c r="U4126" s="2"/>
    </row>
    <row x14ac:dyDescent="0.25" r="4127" customHeight="1" ht="17.25">
      <c r="A4127" s="7">
        <v>4126</v>
      </c>
      <c r="B4127" s="1" t="s">
        <v>9422</v>
      </c>
      <c r="C4127" s="5">
        <f>CONCATENATE("PD", TEXT(A4127, "1000000"))</f>
      </c>
      <c r="D4127" s="7">
        <v>1</v>
      </c>
      <c r="E4127" s="5">
        <f>XLOOKUP(G4127, item_category!C:C, item_category!B:B, "Not Found")</f>
      </c>
      <c r="F4127" s="1" t="s">
        <v>5514</v>
      </c>
      <c r="G4127" s="5">
        <f>XLOOKUP(I4127, drug!B:B, drug!A:A, "Not Found")</f>
      </c>
      <c r="H4127" s="1"/>
      <c r="I4127" s="7">
        <v>500</v>
      </c>
      <c r="J4127" s="5">
        <f>XLOOKUP(L4127, uom!C:C, uom!B:B, "Not Found")</f>
      </c>
      <c r="K4127" s="1" t="s">
        <v>5523</v>
      </c>
      <c r="L4127" s="5">
        <f>XLOOKUP(N4127, uom!C:C, uom!B:B, "Not Found")</f>
      </c>
      <c r="M4127" s="1" t="s">
        <v>5523</v>
      </c>
      <c r="N4127" s="8" t="s">
        <v>5524</v>
      </c>
      <c r="O4127" s="1" t="s">
        <v>5525</v>
      </c>
      <c r="P4127" s="5">
        <f>XLOOKUP(R4127, classification!C:C, classification!B:B, "Not Found")</f>
      </c>
      <c r="Q4127" s="1" t="s">
        <v>5514</v>
      </c>
      <c r="R4127" s="2"/>
      <c r="S4127" s="2"/>
      <c r="T4127" s="2"/>
      <c r="U4127" s="2"/>
    </row>
    <row x14ac:dyDescent="0.25" r="4128" customHeight="1" ht="17.25">
      <c r="A4128" s="7">
        <v>4127</v>
      </c>
      <c r="B4128" s="1" t="s">
        <v>9423</v>
      </c>
      <c r="C4128" s="5">
        <f>CONCATENATE("PD", TEXT(A4128, "1000000"))</f>
      </c>
      <c r="D4128" s="7">
        <v>74</v>
      </c>
      <c r="E4128" s="5">
        <f>XLOOKUP(G4128, item_category!C:C, item_category!B:B, "Not Found")</f>
      </c>
      <c r="F4128" s="1" t="s">
        <v>5520</v>
      </c>
      <c r="G4128" s="5">
        <f>XLOOKUP(I4128, drug!B:B, drug!A:A, "Not Found")</f>
      </c>
      <c r="H4128" s="1" t="s">
        <v>124</v>
      </c>
      <c r="I4128" s="7">
        <v>600</v>
      </c>
      <c r="J4128" s="5">
        <f>XLOOKUP(L4128, uom!C:C, uom!B:B, "Not Found")</f>
      </c>
      <c r="K4128" s="1" t="s">
        <v>5544</v>
      </c>
      <c r="L4128" s="5">
        <f>XLOOKUP(N4128, uom!C:C, uom!B:B, "Not Found")</f>
      </c>
      <c r="M4128" s="1" t="s">
        <v>5544</v>
      </c>
      <c r="N4128" s="8" t="s">
        <v>5524</v>
      </c>
      <c r="O4128" s="1" t="s">
        <v>5525</v>
      </c>
      <c r="P4128" s="5">
        <f>XLOOKUP(R4128, classification!C:C, classification!B:B, "Not Found")</f>
      </c>
      <c r="Q4128" s="1" t="s">
        <v>5514</v>
      </c>
      <c r="R4128" s="2"/>
      <c r="S4128" s="2"/>
      <c r="T4128" s="2"/>
      <c r="U4128" s="2"/>
    </row>
    <row x14ac:dyDescent="0.25" r="4129" customHeight="1" ht="17.25">
      <c r="A4129" s="7">
        <v>4128</v>
      </c>
      <c r="B4129" s="1" t="s">
        <v>9424</v>
      </c>
      <c r="C4129" s="5">
        <f>CONCATENATE("PD", TEXT(A4129, "1000000"))</f>
      </c>
      <c r="D4129" s="7">
        <v>74</v>
      </c>
      <c r="E4129" s="5">
        <f>XLOOKUP(G4129, item_category!C:C, item_category!B:B, "Not Found")</f>
      </c>
      <c r="F4129" s="1" t="s">
        <v>5520</v>
      </c>
      <c r="G4129" s="5">
        <f>XLOOKUP(I4129, drug!B:B, drug!A:A, "Not Found")</f>
      </c>
      <c r="H4129" s="1" t="s">
        <v>2078</v>
      </c>
      <c r="I4129" s="7">
        <v>200</v>
      </c>
      <c r="J4129" s="5">
        <f>XLOOKUP(L4129, uom!C:C, uom!B:B, "Not Found")</f>
      </c>
      <c r="K4129" s="1" t="s">
        <v>9425</v>
      </c>
      <c r="L4129" s="5">
        <f>XLOOKUP(N4129, uom!C:C, uom!B:B, "Not Found")</f>
      </c>
      <c r="M4129" s="1" t="s">
        <v>9425</v>
      </c>
      <c r="N4129" s="8" t="s">
        <v>5524</v>
      </c>
      <c r="O4129" s="1" t="s">
        <v>5525</v>
      </c>
      <c r="P4129" s="5">
        <f>XLOOKUP(R4129, classification!C:C, classification!B:B, "Not Found")</f>
      </c>
      <c r="Q4129" s="1" t="s">
        <v>5514</v>
      </c>
      <c r="R4129" s="2"/>
      <c r="S4129" s="2"/>
      <c r="T4129" s="2"/>
      <c r="U4129" s="2"/>
    </row>
    <row x14ac:dyDescent="0.25" r="4130" customHeight="1" ht="17.25">
      <c r="A4130" s="7">
        <v>4129</v>
      </c>
      <c r="B4130" s="1" t="s">
        <v>9426</v>
      </c>
      <c r="C4130" s="5">
        <f>CONCATENATE("PD", TEXT(A4130, "1000000"))</f>
      </c>
      <c r="D4130" s="7">
        <v>67</v>
      </c>
      <c r="E4130" s="5">
        <f>XLOOKUP(G4130, item_category!C:C, item_category!B:B, "Not Found")</f>
      </c>
      <c r="F4130" s="1" t="s">
        <v>5516</v>
      </c>
      <c r="G4130" s="5">
        <f>XLOOKUP(I4130, drug!B:B, drug!A:A, "Not Found")</f>
      </c>
      <c r="H4130" s="1" t="s">
        <v>201</v>
      </c>
      <c r="I4130" s="7">
        <v>300</v>
      </c>
      <c r="J4130" s="5">
        <f>XLOOKUP(L4130, uom!C:C, uom!B:B, "Not Found")</f>
      </c>
      <c r="K4130" s="1" t="s">
        <v>7212</v>
      </c>
      <c r="L4130" s="5">
        <f>XLOOKUP(N4130, uom!C:C, uom!B:B, "Not Found")</f>
      </c>
      <c r="M4130" s="1" t="s">
        <v>7212</v>
      </c>
      <c r="N4130" s="8" t="s">
        <v>5524</v>
      </c>
      <c r="O4130" s="1" t="s">
        <v>5525</v>
      </c>
      <c r="P4130" s="5">
        <f>XLOOKUP(R4130, classification!C:C, classification!B:B, "Not Found")</f>
      </c>
      <c r="Q4130" s="1" t="s">
        <v>5514</v>
      </c>
      <c r="R4130" s="2"/>
      <c r="S4130" s="2"/>
      <c r="T4130" s="2"/>
      <c r="U4130" s="2"/>
    </row>
    <row x14ac:dyDescent="0.25" r="4131" customHeight="1" ht="17.25">
      <c r="A4131" s="7">
        <v>4130</v>
      </c>
      <c r="B4131" s="1" t="s">
        <v>9427</v>
      </c>
      <c r="C4131" s="5">
        <f>CONCATENATE("PD", TEXT(A4131, "1000000"))</f>
      </c>
      <c r="D4131" s="7">
        <v>70</v>
      </c>
      <c r="E4131" s="5">
        <f>XLOOKUP(G4131, item_category!C:C, item_category!B:B, "Not Found")</f>
      </c>
      <c r="F4131" s="1" t="s">
        <v>6615</v>
      </c>
      <c r="G4131" s="5">
        <f>XLOOKUP(I4131, drug!B:B, drug!A:A, "Not Found")</f>
      </c>
      <c r="H4131" s="1"/>
      <c r="I4131" s="7">
        <v>250</v>
      </c>
      <c r="J4131" s="5">
        <f>XLOOKUP(L4131, uom!C:C, uom!B:B, "Not Found")</f>
      </c>
      <c r="K4131" s="1" t="s">
        <v>5625</v>
      </c>
      <c r="L4131" s="5">
        <f>XLOOKUP(N4131, uom!C:C, uom!B:B, "Not Found")</f>
      </c>
      <c r="M4131" s="1" t="s">
        <v>5625</v>
      </c>
      <c r="N4131" s="8" t="s">
        <v>5524</v>
      </c>
      <c r="O4131" s="1" t="s">
        <v>5525</v>
      </c>
      <c r="P4131" s="5">
        <f>XLOOKUP(R4131, classification!C:C, classification!B:B, "Not Found")</f>
      </c>
      <c r="Q4131" s="1" t="s">
        <v>5514</v>
      </c>
      <c r="R4131" s="2"/>
      <c r="S4131" s="2"/>
      <c r="T4131" s="2"/>
      <c r="U4131" s="2"/>
    </row>
    <row x14ac:dyDescent="0.25" r="4132" customHeight="1" ht="17.25">
      <c r="A4132" s="7">
        <v>4131</v>
      </c>
      <c r="B4132" s="1" t="s">
        <v>9428</v>
      </c>
      <c r="C4132" s="5">
        <f>CONCATENATE("PD", TEXT(A4132, "1000000"))</f>
      </c>
      <c r="D4132" s="7">
        <v>67</v>
      </c>
      <c r="E4132" s="5">
        <f>XLOOKUP(G4132, item_category!C:C, item_category!B:B, "Not Found")</f>
      </c>
      <c r="F4132" s="1" t="s">
        <v>5516</v>
      </c>
      <c r="G4132" s="5">
        <f>XLOOKUP(I4132, drug!B:B, drug!A:A, "Not Found")</f>
      </c>
      <c r="H4132" s="1"/>
      <c r="I4132" s="7">
        <v>250</v>
      </c>
      <c r="J4132" s="5">
        <f>XLOOKUP(L4132, uom!C:C, uom!B:B, "Not Found")</f>
      </c>
      <c r="K4132" s="1" t="s">
        <v>5602</v>
      </c>
      <c r="L4132" s="5">
        <f>XLOOKUP(N4132, uom!C:C, uom!B:B, "Not Found")</f>
      </c>
      <c r="M4132" s="1" t="s">
        <v>5602</v>
      </c>
      <c r="N4132" s="8" t="s">
        <v>5524</v>
      </c>
      <c r="O4132" s="1" t="s">
        <v>5525</v>
      </c>
      <c r="P4132" s="5">
        <f>XLOOKUP(R4132, classification!C:C, classification!B:B, "Not Found")</f>
      </c>
      <c r="Q4132" s="1" t="s">
        <v>5514</v>
      </c>
      <c r="R4132" s="2"/>
      <c r="S4132" s="2"/>
      <c r="T4132" s="2"/>
      <c r="U4132" s="2"/>
    </row>
    <row x14ac:dyDescent="0.25" r="4133" customHeight="1" ht="17.25">
      <c r="A4133" s="7">
        <v>4132</v>
      </c>
      <c r="B4133" s="1" t="s">
        <v>9429</v>
      </c>
      <c r="C4133" s="5">
        <f>CONCATENATE("PD", TEXT(A4133, "1000000"))</f>
      </c>
      <c r="D4133" s="7">
        <v>74</v>
      </c>
      <c r="E4133" s="5">
        <f>XLOOKUP(G4133, item_category!C:C, item_category!B:B, "Not Found")</f>
      </c>
      <c r="F4133" s="1" t="s">
        <v>5520</v>
      </c>
      <c r="G4133" s="5">
        <f>XLOOKUP(I4133, drug!B:B, drug!A:A, "Not Found")</f>
      </c>
      <c r="H4133" s="1"/>
      <c r="I4133" s="7">
        <v>50</v>
      </c>
      <c r="J4133" s="5">
        <f>XLOOKUP(L4133, uom!C:C, uom!B:B, "Not Found")</f>
      </c>
      <c r="K4133" s="1" t="s">
        <v>5544</v>
      </c>
      <c r="L4133" s="5">
        <f>XLOOKUP(N4133, uom!C:C, uom!B:B, "Not Found")</f>
      </c>
      <c r="M4133" s="1" t="s">
        <v>5544</v>
      </c>
      <c r="N4133" s="8" t="s">
        <v>5524</v>
      </c>
      <c r="O4133" s="1" t="s">
        <v>5525</v>
      </c>
      <c r="P4133" s="5">
        <f>XLOOKUP(R4133, classification!C:C, classification!B:B, "Not Found")</f>
      </c>
      <c r="Q4133" s="1" t="s">
        <v>5514</v>
      </c>
      <c r="R4133" s="2"/>
      <c r="S4133" s="2"/>
      <c r="T4133" s="2"/>
      <c r="U4133" s="2"/>
    </row>
    <row x14ac:dyDescent="0.25" r="4134" customHeight="1" ht="17.25">
      <c r="A4134" s="7">
        <v>4133</v>
      </c>
      <c r="B4134" s="1" t="s">
        <v>9430</v>
      </c>
      <c r="C4134" s="5">
        <f>CONCATENATE("PD", TEXT(A4134, "1000000"))</f>
      </c>
      <c r="D4134" s="7">
        <v>74</v>
      </c>
      <c r="E4134" s="5">
        <f>XLOOKUP(G4134, item_category!C:C, item_category!B:B, "Not Found")</f>
      </c>
      <c r="F4134" s="1" t="s">
        <v>5520</v>
      </c>
      <c r="G4134" s="5">
        <f>XLOOKUP(I4134, drug!B:B, drug!A:A, "Not Found")</f>
      </c>
      <c r="H4134" s="1"/>
      <c r="I4134" s="7">
        <v>1000</v>
      </c>
      <c r="J4134" s="5">
        <f>XLOOKUP(L4134, uom!C:C, uom!B:B, "Not Found")</f>
      </c>
      <c r="K4134" s="1" t="s">
        <v>5544</v>
      </c>
      <c r="L4134" s="5">
        <f>XLOOKUP(N4134, uom!C:C, uom!B:B, "Not Found")</f>
      </c>
      <c r="M4134" s="1" t="s">
        <v>5544</v>
      </c>
      <c r="N4134" s="8" t="s">
        <v>5524</v>
      </c>
      <c r="O4134" s="1" t="s">
        <v>5525</v>
      </c>
      <c r="P4134" s="5">
        <f>XLOOKUP(R4134, classification!C:C, classification!B:B, "Not Found")</f>
      </c>
      <c r="Q4134" s="1" t="s">
        <v>5514</v>
      </c>
      <c r="R4134" s="2"/>
      <c r="S4134" s="2"/>
      <c r="T4134" s="2"/>
      <c r="U4134" s="2"/>
    </row>
    <row x14ac:dyDescent="0.25" r="4135" customHeight="1" ht="17.25">
      <c r="A4135" s="7">
        <v>4134</v>
      </c>
      <c r="B4135" s="1" t="s">
        <v>9431</v>
      </c>
      <c r="C4135" s="5">
        <f>CONCATENATE("PD", TEXT(A4135, "1000000"))</f>
      </c>
      <c r="D4135" s="7">
        <v>67</v>
      </c>
      <c r="E4135" s="5">
        <f>XLOOKUP(G4135, item_category!C:C, item_category!B:B, "Not Found")</f>
      </c>
      <c r="F4135" s="1" t="s">
        <v>5516</v>
      </c>
      <c r="G4135" s="5">
        <f>XLOOKUP(I4135, drug!B:B, drug!A:A, "Not Found")</f>
      </c>
      <c r="H4135" s="1" t="s">
        <v>857</v>
      </c>
      <c r="I4135" s="7">
        <v>250</v>
      </c>
      <c r="J4135" s="5">
        <f>XLOOKUP(L4135, uom!C:C, uom!B:B, "Not Found")</f>
      </c>
      <c r="K4135" s="1" t="s">
        <v>5602</v>
      </c>
      <c r="L4135" s="5">
        <f>XLOOKUP(N4135, uom!C:C, uom!B:B, "Not Found")</f>
      </c>
      <c r="M4135" s="1" t="s">
        <v>5602</v>
      </c>
      <c r="N4135" s="8" t="s">
        <v>5524</v>
      </c>
      <c r="O4135" s="1" t="s">
        <v>5525</v>
      </c>
      <c r="P4135" s="5">
        <f>XLOOKUP(R4135, classification!C:C, classification!B:B, "Not Found")</f>
      </c>
      <c r="Q4135" s="1" t="s">
        <v>5514</v>
      </c>
      <c r="R4135" s="2"/>
      <c r="S4135" s="2"/>
      <c r="T4135" s="2"/>
      <c r="U4135" s="2"/>
    </row>
    <row x14ac:dyDescent="0.25" r="4136" customHeight="1" ht="17.25">
      <c r="A4136" s="7">
        <v>4135</v>
      </c>
      <c r="B4136" s="1" t="s">
        <v>9432</v>
      </c>
      <c r="C4136" s="5">
        <f>CONCATENATE("PD", TEXT(A4136, "1000000"))</f>
      </c>
      <c r="D4136" s="7">
        <v>67</v>
      </c>
      <c r="E4136" s="5">
        <f>XLOOKUP(G4136, item_category!C:C, item_category!B:B, "Not Found")</f>
      </c>
      <c r="F4136" s="1" t="s">
        <v>5516</v>
      </c>
      <c r="G4136" s="5">
        <f>XLOOKUP(I4136, drug!B:B, drug!A:A, "Not Found")</f>
      </c>
      <c r="H4136" s="1" t="s">
        <v>1228</v>
      </c>
      <c r="I4136" s="7">
        <v>1</v>
      </c>
      <c r="J4136" s="5">
        <f>XLOOKUP(L4136, uom!C:C, uom!B:B, "Not Found")</f>
      </c>
      <c r="K4136" s="1" t="s">
        <v>5625</v>
      </c>
      <c r="L4136" s="5">
        <f>XLOOKUP(N4136, uom!C:C, uom!B:B, "Not Found")</f>
      </c>
      <c r="M4136" s="1" t="s">
        <v>5625</v>
      </c>
      <c r="N4136" s="8" t="s">
        <v>5524</v>
      </c>
      <c r="O4136" s="1" t="s">
        <v>5525</v>
      </c>
      <c r="P4136" s="5">
        <f>XLOOKUP(R4136, classification!C:C, classification!B:B, "Not Found")</f>
      </c>
      <c r="Q4136" s="1" t="s">
        <v>5514</v>
      </c>
      <c r="R4136" s="2"/>
      <c r="S4136" s="2"/>
      <c r="T4136" s="2"/>
      <c r="U4136" s="2"/>
    </row>
    <row x14ac:dyDescent="0.25" r="4137" customHeight="1" ht="17.25">
      <c r="A4137" s="7">
        <v>4136</v>
      </c>
      <c r="B4137" s="1" t="s">
        <v>9433</v>
      </c>
      <c r="C4137" s="5">
        <f>CONCATENATE("PD", TEXT(A4137, "1000000"))</f>
      </c>
      <c r="D4137" s="7">
        <v>75</v>
      </c>
      <c r="E4137" s="5">
        <f>XLOOKUP(G4137, item_category!C:C, item_category!B:B, "Not Found")</f>
      </c>
      <c r="F4137" s="1" t="s">
        <v>5541</v>
      </c>
      <c r="G4137" s="5">
        <f>XLOOKUP(I4137, drug!B:B, drug!A:A, "Not Found")</f>
      </c>
      <c r="H4137" s="1"/>
      <c r="I4137" s="7">
        <v>200</v>
      </c>
      <c r="J4137" s="5">
        <f>XLOOKUP(L4137, uom!C:C, uom!B:B, "Not Found")</f>
      </c>
      <c r="K4137" s="1" t="s">
        <v>7840</v>
      </c>
      <c r="L4137" s="5">
        <f>XLOOKUP(N4137, uom!C:C, uom!B:B, "Not Found")</f>
      </c>
      <c r="M4137" s="1" t="s">
        <v>7840</v>
      </c>
      <c r="N4137" s="8" t="s">
        <v>5524</v>
      </c>
      <c r="O4137" s="1" t="s">
        <v>5525</v>
      </c>
      <c r="P4137" s="5">
        <f>XLOOKUP(R4137, classification!C:C, classification!B:B, "Not Found")</f>
      </c>
      <c r="Q4137" s="1" t="s">
        <v>5514</v>
      </c>
      <c r="R4137" s="2"/>
      <c r="S4137" s="2"/>
      <c r="T4137" s="2"/>
      <c r="U4137" s="2"/>
    </row>
    <row x14ac:dyDescent="0.25" r="4138" customHeight="1" ht="17.25">
      <c r="A4138" s="7">
        <v>4137</v>
      </c>
      <c r="B4138" s="1" t="s">
        <v>9434</v>
      </c>
      <c r="C4138" s="5">
        <f>CONCATENATE("PD", TEXT(A4138, "1000000"))</f>
      </c>
      <c r="D4138" s="7">
        <v>74</v>
      </c>
      <c r="E4138" s="5">
        <f>XLOOKUP(G4138, item_category!C:C, item_category!B:B, "Not Found")</f>
      </c>
      <c r="F4138" s="1" t="s">
        <v>5520</v>
      </c>
      <c r="G4138" s="5">
        <f>XLOOKUP(I4138, drug!B:B, drug!A:A, "Not Found")</f>
      </c>
      <c r="H4138" s="1"/>
      <c r="I4138" s="7">
        <v>750</v>
      </c>
      <c r="J4138" s="5">
        <f>XLOOKUP(L4138, uom!C:C, uom!B:B, "Not Found")</f>
      </c>
      <c r="K4138" s="1" t="s">
        <v>9435</v>
      </c>
      <c r="L4138" s="5">
        <f>XLOOKUP(N4138, uom!C:C, uom!B:B, "Not Found")</f>
      </c>
      <c r="M4138" s="1" t="s">
        <v>9435</v>
      </c>
      <c r="N4138" s="8" t="s">
        <v>5524</v>
      </c>
      <c r="O4138" s="1" t="s">
        <v>5525</v>
      </c>
      <c r="P4138" s="5">
        <f>XLOOKUP(R4138, classification!C:C, classification!B:B, "Not Found")</f>
      </c>
      <c r="Q4138" s="1" t="s">
        <v>5514</v>
      </c>
      <c r="R4138" s="2"/>
      <c r="S4138" s="2"/>
      <c r="T4138" s="2"/>
      <c r="U4138" s="2"/>
    </row>
    <row x14ac:dyDescent="0.25" r="4139" customHeight="1" ht="17.25">
      <c r="A4139" s="7">
        <v>4138</v>
      </c>
      <c r="B4139" s="1" t="s">
        <v>9436</v>
      </c>
      <c r="C4139" s="5">
        <f>CONCATENATE("PD", TEXT(A4139, "1000000"))</f>
      </c>
      <c r="D4139" s="7">
        <v>67</v>
      </c>
      <c r="E4139" s="5">
        <f>XLOOKUP(G4139, item_category!C:C, item_category!B:B, "Not Found")</f>
      </c>
      <c r="F4139" s="1" t="s">
        <v>5516</v>
      </c>
      <c r="G4139" s="5">
        <f>XLOOKUP(I4139, drug!B:B, drug!A:A, "Not Found")</f>
      </c>
      <c r="H4139" s="1"/>
      <c r="I4139" s="7">
        <v>300</v>
      </c>
      <c r="J4139" s="5">
        <f>XLOOKUP(L4139, uom!C:C, uom!B:B, "Not Found")</f>
      </c>
      <c r="K4139" s="1" t="s">
        <v>5511</v>
      </c>
      <c r="L4139" s="5">
        <f>XLOOKUP(N4139, uom!C:C, uom!B:B, "Not Found")</f>
      </c>
      <c r="M4139" s="1" t="s">
        <v>5511</v>
      </c>
      <c r="N4139" s="8" t="s">
        <v>5524</v>
      </c>
      <c r="O4139" s="1" t="s">
        <v>5525</v>
      </c>
      <c r="P4139" s="5">
        <f>XLOOKUP(R4139, classification!C:C, classification!B:B, "Not Found")</f>
      </c>
      <c r="Q4139" s="1" t="s">
        <v>5514</v>
      </c>
      <c r="R4139" s="2"/>
      <c r="S4139" s="2"/>
      <c r="T4139" s="2"/>
      <c r="U4139" s="2"/>
    </row>
    <row x14ac:dyDescent="0.25" r="4140" customHeight="1" ht="17.25">
      <c r="A4140" s="7">
        <v>4139</v>
      </c>
      <c r="B4140" s="1" t="s">
        <v>9437</v>
      </c>
      <c r="C4140" s="5">
        <f>CONCATENATE("PD", TEXT(A4140, "1000000"))</f>
      </c>
      <c r="D4140" s="7">
        <v>75</v>
      </c>
      <c r="E4140" s="5">
        <f>XLOOKUP(G4140, item_category!C:C, item_category!B:B, "Not Found")</f>
      </c>
      <c r="F4140" s="1" t="s">
        <v>5541</v>
      </c>
      <c r="G4140" s="5">
        <f>XLOOKUP(I4140, drug!B:B, drug!A:A, "Not Found")</f>
      </c>
      <c r="H4140" s="1" t="s">
        <v>1942</v>
      </c>
      <c r="I4140" s="7">
        <v>100</v>
      </c>
      <c r="J4140" s="5">
        <f>XLOOKUP(L4140, uom!C:C, uom!B:B, "Not Found")</f>
      </c>
      <c r="K4140" s="1" t="s">
        <v>5544</v>
      </c>
      <c r="L4140" s="5">
        <f>XLOOKUP(N4140, uom!C:C, uom!B:B, "Not Found")</f>
      </c>
      <c r="M4140" s="1" t="s">
        <v>5544</v>
      </c>
      <c r="N4140" s="8" t="s">
        <v>5524</v>
      </c>
      <c r="O4140" s="1" t="s">
        <v>5525</v>
      </c>
      <c r="P4140" s="5">
        <f>XLOOKUP(R4140, classification!C:C, classification!B:B, "Not Found")</f>
      </c>
      <c r="Q4140" s="1" t="s">
        <v>5514</v>
      </c>
      <c r="R4140" s="2"/>
      <c r="S4140" s="2"/>
      <c r="T4140" s="2"/>
      <c r="U4140" s="2"/>
    </row>
    <row x14ac:dyDescent="0.25" r="4141" customHeight="1" ht="17.25">
      <c r="A4141" s="7">
        <v>4140</v>
      </c>
      <c r="B4141" s="1" t="s">
        <v>9438</v>
      </c>
      <c r="C4141" s="5">
        <f>CONCATENATE("PD", TEXT(A4141, "1000000"))</f>
      </c>
      <c r="D4141" s="7">
        <v>67</v>
      </c>
      <c r="E4141" s="5">
        <f>XLOOKUP(G4141, item_category!C:C, item_category!B:B, "Not Found")</f>
      </c>
      <c r="F4141" s="1" t="s">
        <v>5516</v>
      </c>
      <c r="G4141" s="5">
        <f>XLOOKUP(I4141, drug!B:B, drug!A:A, "Not Found")</f>
      </c>
      <c r="H4141" s="1" t="s">
        <v>1152</v>
      </c>
      <c r="I4141" s="7">
        <v>250</v>
      </c>
      <c r="J4141" s="5">
        <f>XLOOKUP(L4141, uom!C:C, uom!B:B, "Not Found")</f>
      </c>
      <c r="K4141" s="1" t="s">
        <v>5602</v>
      </c>
      <c r="L4141" s="5">
        <f>XLOOKUP(N4141, uom!C:C, uom!B:B, "Not Found")</f>
      </c>
      <c r="M4141" s="1" t="s">
        <v>5602</v>
      </c>
      <c r="N4141" s="8" t="s">
        <v>5524</v>
      </c>
      <c r="O4141" s="1" t="s">
        <v>5525</v>
      </c>
      <c r="P4141" s="5">
        <f>XLOOKUP(R4141, classification!C:C, classification!B:B, "Not Found")</f>
      </c>
      <c r="Q4141" s="1" t="s">
        <v>5514</v>
      </c>
      <c r="R4141" s="2"/>
      <c r="S4141" s="2"/>
      <c r="T4141" s="2"/>
      <c r="U4141" s="2"/>
    </row>
    <row x14ac:dyDescent="0.25" r="4142" customHeight="1" ht="17.25">
      <c r="A4142" s="7">
        <v>4141</v>
      </c>
      <c r="B4142" s="1" t="s">
        <v>9439</v>
      </c>
      <c r="C4142" s="5">
        <f>CONCATENATE("PD", TEXT(A4142, "1000000"))</f>
      </c>
      <c r="D4142" s="7">
        <v>67</v>
      </c>
      <c r="E4142" s="5">
        <f>XLOOKUP(G4142, item_category!C:C, item_category!B:B, "Not Found")</f>
      </c>
      <c r="F4142" s="1" t="s">
        <v>5516</v>
      </c>
      <c r="G4142" s="5">
        <f>XLOOKUP(I4142, drug!B:B, drug!A:A, "Not Found")</f>
      </c>
      <c r="H4142" s="1" t="s">
        <v>2134</v>
      </c>
      <c r="I4142" s="7">
        <v>650</v>
      </c>
      <c r="J4142" s="5">
        <f>XLOOKUP(L4142, uom!C:C, uom!B:B, "Not Found")</f>
      </c>
      <c r="K4142" s="1" t="s">
        <v>5602</v>
      </c>
      <c r="L4142" s="5">
        <f>XLOOKUP(N4142, uom!C:C, uom!B:B, "Not Found")</f>
      </c>
      <c r="M4142" s="1" t="s">
        <v>5602</v>
      </c>
      <c r="N4142" s="8" t="s">
        <v>5524</v>
      </c>
      <c r="O4142" s="1" t="s">
        <v>5525</v>
      </c>
      <c r="P4142" s="5">
        <f>XLOOKUP(R4142, classification!C:C, classification!B:B, "Not Found")</f>
      </c>
      <c r="Q4142" s="1" t="s">
        <v>5514</v>
      </c>
      <c r="R4142" s="2"/>
      <c r="S4142" s="2"/>
      <c r="T4142" s="2"/>
      <c r="U4142" s="2"/>
    </row>
    <row x14ac:dyDescent="0.25" r="4143" customHeight="1" ht="17.25">
      <c r="A4143" s="7">
        <v>4142</v>
      </c>
      <c r="B4143" s="1" t="s">
        <v>9440</v>
      </c>
      <c r="C4143" s="5">
        <f>CONCATENATE("PD", TEXT(A4143, "1000000"))</f>
      </c>
      <c r="D4143" s="7">
        <v>66</v>
      </c>
      <c r="E4143" s="5">
        <f>XLOOKUP(G4143, item_category!C:C, item_category!B:B, "Not Found")</f>
      </c>
      <c r="F4143" s="1" t="s">
        <v>5617</v>
      </c>
      <c r="G4143" s="5">
        <f>XLOOKUP(I4143, drug!B:B, drug!A:A, "Not Found")</f>
      </c>
      <c r="H4143" s="1"/>
      <c r="I4143" s="7">
        <v>750</v>
      </c>
      <c r="J4143" s="5">
        <f>XLOOKUP(L4143, uom!C:C, uom!B:B, "Not Found")</f>
      </c>
      <c r="K4143" s="1" t="s">
        <v>5602</v>
      </c>
      <c r="L4143" s="5">
        <f>XLOOKUP(N4143, uom!C:C, uom!B:B, "Not Found")</f>
      </c>
      <c r="M4143" s="1" t="s">
        <v>5602</v>
      </c>
      <c r="N4143" s="8" t="s">
        <v>5524</v>
      </c>
      <c r="O4143" s="1" t="s">
        <v>5525</v>
      </c>
      <c r="P4143" s="5">
        <f>XLOOKUP(R4143, classification!C:C, classification!B:B, "Not Found")</f>
      </c>
      <c r="Q4143" s="1" t="s">
        <v>5514</v>
      </c>
      <c r="R4143" s="2"/>
      <c r="S4143" s="2"/>
      <c r="T4143" s="2"/>
      <c r="U4143" s="2"/>
    </row>
    <row x14ac:dyDescent="0.25" r="4144" customHeight="1" ht="17.25">
      <c r="A4144" s="7">
        <v>4143</v>
      </c>
      <c r="B4144" s="1" t="s">
        <v>9441</v>
      </c>
      <c r="C4144" s="5">
        <f>CONCATENATE("PD", TEXT(A4144, "1000000"))</f>
      </c>
      <c r="D4144" s="7">
        <v>67</v>
      </c>
      <c r="E4144" s="5">
        <f>XLOOKUP(G4144, item_category!C:C, item_category!B:B, "Not Found")</f>
      </c>
      <c r="F4144" s="1" t="s">
        <v>5516</v>
      </c>
      <c r="G4144" s="5">
        <f>XLOOKUP(I4144, drug!B:B, drug!A:A, "Not Found")</f>
      </c>
      <c r="H4144" s="1"/>
      <c r="I4144" s="7">
        <v>800</v>
      </c>
      <c r="J4144" s="5">
        <f>XLOOKUP(L4144, uom!C:C, uom!B:B, "Not Found")</f>
      </c>
      <c r="K4144" s="1" t="s">
        <v>5511</v>
      </c>
      <c r="L4144" s="5">
        <f>XLOOKUP(N4144, uom!C:C, uom!B:B, "Not Found")</f>
      </c>
      <c r="M4144" s="1" t="s">
        <v>5511</v>
      </c>
      <c r="N4144" s="8" t="s">
        <v>5524</v>
      </c>
      <c r="O4144" s="1" t="s">
        <v>5525</v>
      </c>
      <c r="P4144" s="5">
        <f>XLOOKUP(R4144, classification!C:C, classification!B:B, "Not Found")</f>
      </c>
      <c r="Q4144" s="1" t="s">
        <v>5514</v>
      </c>
      <c r="R4144" s="2"/>
      <c r="S4144" s="2"/>
      <c r="T4144" s="2"/>
      <c r="U4144" s="2"/>
    </row>
    <row x14ac:dyDescent="0.25" r="4145" customHeight="1" ht="17.25">
      <c r="A4145" s="7">
        <v>4144</v>
      </c>
      <c r="B4145" s="1" t="s">
        <v>9442</v>
      </c>
      <c r="C4145" s="5">
        <f>CONCATENATE("PD", TEXT(A4145, "1000000"))</f>
      </c>
      <c r="D4145" s="7">
        <v>1</v>
      </c>
      <c r="E4145" s="5">
        <f>XLOOKUP(G4145, item_category!C:C, item_category!B:B, "Not Found")</f>
      </c>
      <c r="F4145" s="1" t="s">
        <v>5514</v>
      </c>
      <c r="G4145" s="5">
        <f>XLOOKUP(I4145, drug!B:B, drug!A:A, "Not Found")</f>
      </c>
      <c r="H4145" s="1"/>
      <c r="I4145" s="7">
        <v>200</v>
      </c>
      <c r="J4145" s="5">
        <f>XLOOKUP(L4145, uom!C:C, uom!B:B, "Not Found")</f>
      </c>
      <c r="K4145" s="1" t="s">
        <v>5544</v>
      </c>
      <c r="L4145" s="5">
        <f>XLOOKUP(N4145, uom!C:C, uom!B:B, "Not Found")</f>
      </c>
      <c r="M4145" s="1" t="s">
        <v>5544</v>
      </c>
      <c r="N4145" s="8" t="s">
        <v>5524</v>
      </c>
      <c r="O4145" s="1" t="s">
        <v>5525</v>
      </c>
      <c r="P4145" s="5">
        <f>XLOOKUP(R4145, classification!C:C, classification!B:B, "Not Found")</f>
      </c>
      <c r="Q4145" s="1" t="s">
        <v>5514</v>
      </c>
      <c r="R4145" s="2"/>
      <c r="S4145" s="2"/>
      <c r="T4145" s="2"/>
      <c r="U4145" s="2"/>
    </row>
    <row x14ac:dyDescent="0.25" r="4146" customHeight="1" ht="17.25">
      <c r="A4146" s="7">
        <v>4145</v>
      </c>
      <c r="B4146" s="1" t="s">
        <v>9443</v>
      </c>
      <c r="C4146" s="5">
        <f>CONCATENATE("PD", TEXT(A4146, "1000000"))</f>
      </c>
      <c r="D4146" s="7">
        <v>78</v>
      </c>
      <c r="E4146" s="5">
        <f>XLOOKUP(G4146, item_category!C:C, item_category!B:B, "Not Found")</f>
      </c>
      <c r="F4146" s="1" t="s">
        <v>5522</v>
      </c>
      <c r="G4146" s="5">
        <f>XLOOKUP(I4146, drug!B:B, drug!A:A, "Not Found")</f>
      </c>
      <c r="H4146" s="1"/>
      <c r="I4146" s="7">
        <v>250</v>
      </c>
      <c r="J4146" s="5">
        <f>XLOOKUP(L4146, uom!C:C, uom!B:B, "Not Found")</f>
      </c>
      <c r="K4146" s="1" t="s">
        <v>5523</v>
      </c>
      <c r="L4146" s="5">
        <f>XLOOKUP(N4146, uom!C:C, uom!B:B, "Not Found")</f>
      </c>
      <c r="M4146" s="1" t="s">
        <v>5523</v>
      </c>
      <c r="N4146" s="8" t="s">
        <v>5524</v>
      </c>
      <c r="O4146" s="1" t="s">
        <v>5525</v>
      </c>
      <c r="P4146" s="5">
        <f>XLOOKUP(R4146, classification!C:C, classification!B:B, "Not Found")</f>
      </c>
      <c r="Q4146" s="1" t="s">
        <v>5514</v>
      </c>
      <c r="R4146" s="2"/>
      <c r="S4146" s="2"/>
      <c r="T4146" s="2"/>
      <c r="U4146" s="2"/>
    </row>
    <row x14ac:dyDescent="0.25" r="4147" customHeight="1" ht="17.25">
      <c r="A4147" s="7">
        <v>4146</v>
      </c>
      <c r="B4147" s="1" t="s">
        <v>9444</v>
      </c>
      <c r="C4147" s="5">
        <f>CONCATENATE("PD", TEXT(A4147, "1000000"))</f>
      </c>
      <c r="D4147" s="7">
        <v>1</v>
      </c>
      <c r="E4147" s="5">
        <f>XLOOKUP(G4147, item_category!C:C, item_category!B:B, "Not Found")</f>
      </c>
      <c r="F4147" s="1" t="s">
        <v>5514</v>
      </c>
      <c r="G4147" s="5">
        <f>XLOOKUP(I4147, drug!B:B, drug!A:A, "Not Found")</f>
      </c>
      <c r="H4147" s="1"/>
      <c r="I4147" s="7">
        <v>300</v>
      </c>
      <c r="J4147" s="5">
        <f>XLOOKUP(L4147, uom!C:C, uom!B:B, "Not Found")</f>
      </c>
      <c r="K4147" s="1" t="s">
        <v>5602</v>
      </c>
      <c r="L4147" s="5">
        <f>XLOOKUP(N4147, uom!C:C, uom!B:B, "Not Found")</f>
      </c>
      <c r="M4147" s="1" t="s">
        <v>5602</v>
      </c>
      <c r="N4147" s="8" t="s">
        <v>5524</v>
      </c>
      <c r="O4147" s="1" t="s">
        <v>5525</v>
      </c>
      <c r="P4147" s="5">
        <f>XLOOKUP(R4147, classification!C:C, classification!B:B, "Not Found")</f>
      </c>
      <c r="Q4147" s="1" t="s">
        <v>5514</v>
      </c>
      <c r="R4147" s="2"/>
      <c r="S4147" s="2"/>
      <c r="T4147" s="2"/>
      <c r="U4147" s="2"/>
    </row>
    <row x14ac:dyDescent="0.25" r="4148" customHeight="1" ht="17.25">
      <c r="A4148" s="7">
        <v>4147</v>
      </c>
      <c r="B4148" s="1" t="s">
        <v>9445</v>
      </c>
      <c r="C4148" s="5">
        <f>CONCATENATE("PD", TEXT(A4148, "1000000"))</f>
      </c>
      <c r="D4148" s="7">
        <v>74</v>
      </c>
      <c r="E4148" s="5">
        <f>XLOOKUP(G4148, item_category!C:C, item_category!B:B, "Not Found")</f>
      </c>
      <c r="F4148" s="1" t="s">
        <v>5520</v>
      </c>
      <c r="G4148" s="5">
        <f>XLOOKUP(I4148, drug!B:B, drug!A:A, "Not Found")</f>
      </c>
      <c r="H4148" s="1" t="s">
        <v>100</v>
      </c>
      <c r="I4148" s="7">
        <v>650</v>
      </c>
      <c r="J4148" s="5">
        <f>XLOOKUP(L4148, uom!C:C, uom!B:B, "Not Found")</f>
      </c>
      <c r="K4148" s="1" t="s">
        <v>5661</v>
      </c>
      <c r="L4148" s="5">
        <f>XLOOKUP(N4148, uom!C:C, uom!B:B, "Not Found")</f>
      </c>
      <c r="M4148" s="1" t="s">
        <v>5661</v>
      </c>
      <c r="N4148" s="8" t="s">
        <v>5524</v>
      </c>
      <c r="O4148" s="1" t="s">
        <v>5525</v>
      </c>
      <c r="P4148" s="5">
        <f>XLOOKUP(R4148, classification!C:C, classification!B:B, "Not Found")</f>
      </c>
      <c r="Q4148" s="1" t="s">
        <v>5514</v>
      </c>
      <c r="R4148" s="2"/>
      <c r="S4148" s="2"/>
      <c r="T4148" s="2"/>
      <c r="U4148" s="2"/>
    </row>
    <row x14ac:dyDescent="0.25" r="4149" customHeight="1" ht="17.25">
      <c r="A4149" s="7">
        <v>4148</v>
      </c>
      <c r="B4149" s="1" t="s">
        <v>9446</v>
      </c>
      <c r="C4149" s="5">
        <f>CONCATENATE("PD", TEXT(A4149, "1000000"))</f>
      </c>
      <c r="D4149" s="7">
        <v>66</v>
      </c>
      <c r="E4149" s="5">
        <f>XLOOKUP(G4149, item_category!C:C, item_category!B:B, "Not Found")</f>
      </c>
      <c r="F4149" s="1" t="s">
        <v>5617</v>
      </c>
      <c r="G4149" s="5">
        <f>XLOOKUP(I4149, drug!B:B, drug!A:A, "Not Found")</f>
      </c>
      <c r="H4149" s="1" t="s">
        <v>124</v>
      </c>
      <c r="I4149" s="7">
        <v>500</v>
      </c>
      <c r="J4149" s="5">
        <f>XLOOKUP(L4149, uom!C:C, uom!B:B, "Not Found")</f>
      </c>
      <c r="K4149" s="1" t="s">
        <v>5618</v>
      </c>
      <c r="L4149" s="5">
        <f>XLOOKUP(N4149, uom!C:C, uom!B:B, "Not Found")</f>
      </c>
      <c r="M4149" s="1" t="s">
        <v>5618</v>
      </c>
      <c r="N4149" s="8" t="s">
        <v>5524</v>
      </c>
      <c r="O4149" s="1" t="s">
        <v>5525</v>
      </c>
      <c r="P4149" s="5">
        <f>XLOOKUP(R4149, classification!C:C, classification!B:B, "Not Found")</f>
      </c>
      <c r="Q4149" s="1" t="s">
        <v>5514</v>
      </c>
      <c r="R4149" s="2"/>
      <c r="S4149" s="2"/>
      <c r="T4149" s="2"/>
      <c r="U4149" s="2"/>
    </row>
    <row x14ac:dyDescent="0.25" r="4150" customHeight="1" ht="17.25">
      <c r="A4150" s="7">
        <v>4149</v>
      </c>
      <c r="B4150" s="1" t="s">
        <v>9447</v>
      </c>
      <c r="C4150" s="5">
        <f>CONCATENATE("PD", TEXT(A4150, "1000000"))</f>
      </c>
      <c r="D4150" s="7">
        <v>66</v>
      </c>
      <c r="E4150" s="5">
        <f>XLOOKUP(G4150, item_category!C:C, item_category!B:B, "Not Found")</f>
      </c>
      <c r="F4150" s="1" t="s">
        <v>5617</v>
      </c>
      <c r="G4150" s="5">
        <f>XLOOKUP(I4150, drug!B:B, drug!A:A, "Not Found")</f>
      </c>
      <c r="H4150" s="1"/>
      <c r="I4150" s="7">
        <v>450</v>
      </c>
      <c r="J4150" s="5">
        <f>XLOOKUP(L4150, uom!C:C, uom!B:B, "Not Found")</f>
      </c>
      <c r="K4150" s="1" t="s">
        <v>5602</v>
      </c>
      <c r="L4150" s="5">
        <f>XLOOKUP(N4150, uom!C:C, uom!B:B, "Not Found")</f>
      </c>
      <c r="M4150" s="1" t="s">
        <v>5602</v>
      </c>
      <c r="N4150" s="8" t="s">
        <v>5524</v>
      </c>
      <c r="O4150" s="1" t="s">
        <v>5525</v>
      </c>
      <c r="P4150" s="5">
        <f>XLOOKUP(R4150, classification!C:C, classification!B:B, "Not Found")</f>
      </c>
      <c r="Q4150" s="1" t="s">
        <v>5514</v>
      </c>
      <c r="R4150" s="2"/>
      <c r="S4150" s="2"/>
      <c r="T4150" s="2"/>
      <c r="U4150" s="2"/>
    </row>
    <row x14ac:dyDescent="0.25" r="4151" customHeight="1" ht="17.25">
      <c r="A4151" s="7">
        <v>4150</v>
      </c>
      <c r="B4151" s="1" t="s">
        <v>9448</v>
      </c>
      <c r="C4151" s="5">
        <f>CONCATENATE("PD", TEXT(A4151, "1000000"))</f>
      </c>
      <c r="D4151" s="7">
        <v>67</v>
      </c>
      <c r="E4151" s="5">
        <f>XLOOKUP(G4151, item_category!C:C, item_category!B:B, "Not Found")</f>
      </c>
      <c r="F4151" s="1" t="s">
        <v>5516</v>
      </c>
      <c r="G4151" s="5">
        <f>XLOOKUP(I4151, drug!B:B, drug!A:A, "Not Found")</f>
      </c>
      <c r="H4151" s="1" t="s">
        <v>2104</v>
      </c>
      <c r="I4151" s="7">
        <v>500</v>
      </c>
      <c r="J4151" s="5">
        <f>XLOOKUP(L4151, uom!C:C, uom!B:B, "Not Found")</f>
      </c>
      <c r="K4151" s="1" t="s">
        <v>5602</v>
      </c>
      <c r="L4151" s="5">
        <f>XLOOKUP(N4151, uom!C:C, uom!B:B, "Not Found")</f>
      </c>
      <c r="M4151" s="1" t="s">
        <v>5602</v>
      </c>
      <c r="N4151" s="8" t="s">
        <v>5524</v>
      </c>
      <c r="O4151" s="1" t="s">
        <v>5525</v>
      </c>
      <c r="P4151" s="5">
        <f>XLOOKUP(R4151, classification!C:C, classification!B:B, "Not Found")</f>
      </c>
      <c r="Q4151" s="1" t="s">
        <v>5514</v>
      </c>
      <c r="R4151" s="2"/>
      <c r="S4151" s="2"/>
      <c r="T4151" s="2"/>
      <c r="U4151" s="2"/>
    </row>
    <row x14ac:dyDescent="0.25" r="4152" customHeight="1" ht="17.25">
      <c r="A4152" s="7">
        <v>4151</v>
      </c>
      <c r="B4152" s="1" t="s">
        <v>9449</v>
      </c>
      <c r="C4152" s="5">
        <f>CONCATENATE("PD", TEXT(A4152, "1000000"))</f>
      </c>
      <c r="D4152" s="7">
        <v>78</v>
      </c>
      <c r="E4152" s="5">
        <f>XLOOKUP(G4152, item_category!C:C, item_category!B:B, "Not Found")</f>
      </c>
      <c r="F4152" s="1" t="s">
        <v>5522</v>
      </c>
      <c r="G4152" s="5">
        <f>XLOOKUP(I4152, drug!B:B, drug!A:A, "Not Found")</f>
      </c>
      <c r="H4152" s="1" t="s">
        <v>1552</v>
      </c>
      <c r="I4152" s="7">
        <v>300</v>
      </c>
      <c r="J4152" s="5">
        <f>XLOOKUP(L4152, uom!C:C, uom!B:B, "Not Found")</f>
      </c>
      <c r="K4152" s="1" t="s">
        <v>5523</v>
      </c>
      <c r="L4152" s="5">
        <f>XLOOKUP(N4152, uom!C:C, uom!B:B, "Not Found")</f>
      </c>
      <c r="M4152" s="1" t="s">
        <v>5523</v>
      </c>
      <c r="N4152" s="8" t="s">
        <v>5524</v>
      </c>
      <c r="O4152" s="1" t="s">
        <v>5525</v>
      </c>
      <c r="P4152" s="5">
        <f>XLOOKUP(R4152, classification!C:C, classification!B:B, "Not Found")</f>
      </c>
      <c r="Q4152" s="1" t="s">
        <v>5514</v>
      </c>
      <c r="R4152" s="2"/>
      <c r="S4152" s="2"/>
      <c r="T4152" s="2"/>
      <c r="U4152" s="2"/>
    </row>
    <row x14ac:dyDescent="0.25" r="4153" customHeight="1" ht="17.25">
      <c r="A4153" s="7">
        <v>4152</v>
      </c>
      <c r="B4153" s="1" t="s">
        <v>9450</v>
      </c>
      <c r="C4153" s="5">
        <f>CONCATENATE("PD", TEXT(A4153, "1000000"))</f>
      </c>
      <c r="D4153" s="7">
        <v>78</v>
      </c>
      <c r="E4153" s="5">
        <f>XLOOKUP(G4153, item_category!C:C, item_category!B:B, "Not Found")</f>
      </c>
      <c r="F4153" s="1" t="s">
        <v>5522</v>
      </c>
      <c r="G4153" s="5">
        <f>XLOOKUP(I4153, drug!B:B, drug!A:A, "Not Found")</f>
      </c>
      <c r="H4153" s="1"/>
      <c r="I4153" s="7">
        <v>300</v>
      </c>
      <c r="J4153" s="5">
        <f>XLOOKUP(L4153, uom!C:C, uom!B:B, "Not Found")</f>
      </c>
      <c r="K4153" s="1" t="s">
        <v>5523</v>
      </c>
      <c r="L4153" s="5">
        <f>XLOOKUP(N4153, uom!C:C, uom!B:B, "Not Found")</f>
      </c>
      <c r="M4153" s="1" t="s">
        <v>5523</v>
      </c>
      <c r="N4153" s="8" t="s">
        <v>5524</v>
      </c>
      <c r="O4153" s="1" t="s">
        <v>5525</v>
      </c>
      <c r="P4153" s="5">
        <f>XLOOKUP(R4153, classification!C:C, classification!B:B, "Not Found")</f>
      </c>
      <c r="Q4153" s="1" t="s">
        <v>5514</v>
      </c>
      <c r="R4153" s="2"/>
      <c r="S4153" s="2"/>
      <c r="T4153" s="2"/>
      <c r="U4153" s="2"/>
    </row>
    <row x14ac:dyDescent="0.25" r="4154" customHeight="1" ht="17.25">
      <c r="A4154" s="7">
        <v>4153</v>
      </c>
      <c r="B4154" s="1" t="s">
        <v>9451</v>
      </c>
      <c r="C4154" s="5">
        <f>CONCATENATE("PD", TEXT(A4154, "1000000"))</f>
      </c>
      <c r="D4154" s="7">
        <v>74</v>
      </c>
      <c r="E4154" s="5">
        <f>XLOOKUP(G4154, item_category!C:C, item_category!B:B, "Not Found")</f>
      </c>
      <c r="F4154" s="1" t="s">
        <v>5520</v>
      </c>
      <c r="G4154" s="5">
        <f>XLOOKUP(I4154, drug!B:B, drug!A:A, "Not Found")</f>
      </c>
      <c r="H4154" s="1" t="s">
        <v>1942</v>
      </c>
      <c r="I4154" s="7">
        <v>150</v>
      </c>
      <c r="J4154" s="5">
        <f>XLOOKUP(L4154, uom!C:C, uom!B:B, "Not Found")</f>
      </c>
      <c r="K4154" s="1" t="s">
        <v>5544</v>
      </c>
      <c r="L4154" s="5">
        <f>XLOOKUP(N4154, uom!C:C, uom!B:B, "Not Found")</f>
      </c>
      <c r="M4154" s="1" t="s">
        <v>5544</v>
      </c>
      <c r="N4154" s="8" t="s">
        <v>5524</v>
      </c>
      <c r="O4154" s="1" t="s">
        <v>5525</v>
      </c>
      <c r="P4154" s="5">
        <f>XLOOKUP(R4154, classification!C:C, classification!B:B, "Not Found")</f>
      </c>
      <c r="Q4154" s="1" t="s">
        <v>5514</v>
      </c>
      <c r="R4154" s="2"/>
      <c r="S4154" s="2"/>
      <c r="T4154" s="2"/>
      <c r="U4154" s="2"/>
    </row>
    <row x14ac:dyDescent="0.25" r="4155" customHeight="1" ht="17.25">
      <c r="A4155" s="7">
        <v>4154</v>
      </c>
      <c r="B4155" s="1" t="s">
        <v>9452</v>
      </c>
      <c r="C4155" s="5">
        <f>CONCATENATE("PD", TEXT(A4155, "1000000"))</f>
      </c>
      <c r="D4155" s="7">
        <v>1</v>
      </c>
      <c r="E4155" s="5">
        <f>XLOOKUP(G4155, item_category!C:C, item_category!B:B, "Not Found")</f>
      </c>
      <c r="F4155" s="1" t="s">
        <v>5514</v>
      </c>
      <c r="G4155" s="5">
        <f>XLOOKUP(I4155, drug!B:B, drug!A:A, "Not Found")</f>
      </c>
      <c r="H4155" s="1"/>
      <c r="I4155" s="7">
        <v>300</v>
      </c>
      <c r="J4155" s="5">
        <f>XLOOKUP(L4155, uom!C:C, uom!B:B, "Not Found")</f>
      </c>
      <c r="K4155" s="1" t="s">
        <v>5661</v>
      </c>
      <c r="L4155" s="5">
        <f>XLOOKUP(N4155, uom!C:C, uom!B:B, "Not Found")</f>
      </c>
      <c r="M4155" s="1" t="s">
        <v>5661</v>
      </c>
      <c r="N4155" s="8" t="s">
        <v>5524</v>
      </c>
      <c r="O4155" s="1" t="s">
        <v>5525</v>
      </c>
      <c r="P4155" s="5">
        <f>XLOOKUP(R4155, classification!C:C, classification!B:B, "Not Found")</f>
      </c>
      <c r="Q4155" s="1" t="s">
        <v>5514</v>
      </c>
      <c r="R4155" s="2"/>
      <c r="S4155" s="2"/>
      <c r="T4155" s="2"/>
      <c r="U4155" s="2"/>
    </row>
    <row x14ac:dyDescent="0.25" r="4156" customHeight="1" ht="17.25">
      <c r="A4156" s="7">
        <v>4155</v>
      </c>
      <c r="B4156" s="1" t="s">
        <v>9453</v>
      </c>
      <c r="C4156" s="5">
        <f>CONCATENATE("PD", TEXT(A4156, "1000000"))</f>
      </c>
      <c r="D4156" s="7">
        <v>75</v>
      </c>
      <c r="E4156" s="5">
        <f>XLOOKUP(G4156, item_category!C:C, item_category!B:B, "Not Found")</f>
      </c>
      <c r="F4156" s="1" t="s">
        <v>5541</v>
      </c>
      <c r="G4156" s="5">
        <f>XLOOKUP(I4156, drug!B:B, drug!A:A, "Not Found")</f>
      </c>
      <c r="H4156" s="1" t="s">
        <v>1942</v>
      </c>
      <c r="I4156" s="7">
        <v>250</v>
      </c>
      <c r="J4156" s="5">
        <f>XLOOKUP(L4156, uom!C:C, uom!B:B, "Not Found")</f>
      </c>
      <c r="K4156" s="1" t="s">
        <v>5722</v>
      </c>
      <c r="L4156" s="5">
        <f>XLOOKUP(N4156, uom!C:C, uom!B:B, "Not Found")</f>
      </c>
      <c r="M4156" s="1" t="s">
        <v>5722</v>
      </c>
      <c r="N4156" s="8" t="s">
        <v>5524</v>
      </c>
      <c r="O4156" s="1" t="s">
        <v>5525</v>
      </c>
      <c r="P4156" s="5">
        <f>XLOOKUP(R4156, classification!C:C, classification!B:B, "Not Found")</f>
      </c>
      <c r="Q4156" s="1" t="s">
        <v>5514</v>
      </c>
      <c r="R4156" s="2"/>
      <c r="S4156" s="2"/>
      <c r="T4156" s="2"/>
      <c r="U4156" s="2"/>
    </row>
    <row x14ac:dyDescent="0.25" r="4157" customHeight="1" ht="17.25">
      <c r="A4157" s="7">
        <v>4156</v>
      </c>
      <c r="B4157" s="1" t="s">
        <v>9454</v>
      </c>
      <c r="C4157" s="5">
        <f>CONCATENATE("PD", TEXT(A4157, "1000000"))</f>
      </c>
      <c r="D4157" s="7">
        <v>74</v>
      </c>
      <c r="E4157" s="5">
        <f>XLOOKUP(G4157, item_category!C:C, item_category!B:B, "Not Found")</f>
      </c>
      <c r="F4157" s="1" t="s">
        <v>5520</v>
      </c>
      <c r="G4157" s="5">
        <f>XLOOKUP(I4157, drug!B:B, drug!A:A, "Not Found")</f>
      </c>
      <c r="H4157" s="1"/>
      <c r="I4157" s="7">
        <v>450</v>
      </c>
      <c r="J4157" s="5">
        <f>XLOOKUP(L4157, uom!C:C, uom!B:B, "Not Found")</f>
      </c>
      <c r="K4157" s="1" t="s">
        <v>5622</v>
      </c>
      <c r="L4157" s="5">
        <f>XLOOKUP(N4157, uom!C:C, uom!B:B, "Not Found")</f>
      </c>
      <c r="M4157" s="1" t="s">
        <v>5622</v>
      </c>
      <c r="N4157" s="8" t="s">
        <v>5524</v>
      </c>
      <c r="O4157" s="1" t="s">
        <v>5525</v>
      </c>
      <c r="P4157" s="5">
        <f>XLOOKUP(R4157, classification!C:C, classification!B:B, "Not Found")</f>
      </c>
      <c r="Q4157" s="1" t="s">
        <v>5514</v>
      </c>
      <c r="R4157" s="2"/>
      <c r="S4157" s="2"/>
      <c r="T4157" s="2"/>
      <c r="U4157" s="2"/>
    </row>
    <row x14ac:dyDescent="0.25" r="4158" customHeight="1" ht="17.25">
      <c r="A4158" s="7">
        <v>4157</v>
      </c>
      <c r="B4158" s="1" t="s">
        <v>9455</v>
      </c>
      <c r="C4158" s="5">
        <f>CONCATENATE("PD", TEXT(A4158, "1000000"))</f>
      </c>
      <c r="D4158" s="7">
        <v>67</v>
      </c>
      <c r="E4158" s="5">
        <f>XLOOKUP(G4158, item_category!C:C, item_category!B:B, "Not Found")</f>
      </c>
      <c r="F4158" s="1" t="s">
        <v>5516</v>
      </c>
      <c r="G4158" s="5">
        <f>XLOOKUP(I4158, drug!B:B, drug!A:A, "Not Found")</f>
      </c>
      <c r="H4158" s="1"/>
      <c r="I4158" s="7">
        <v>250</v>
      </c>
      <c r="J4158" s="5">
        <f>XLOOKUP(L4158, uom!C:C, uom!B:B, "Not Found")</f>
      </c>
      <c r="K4158" s="1" t="s">
        <v>5602</v>
      </c>
      <c r="L4158" s="5">
        <f>XLOOKUP(N4158, uom!C:C, uom!B:B, "Not Found")</f>
      </c>
      <c r="M4158" s="1" t="s">
        <v>5602</v>
      </c>
      <c r="N4158" s="8" t="s">
        <v>5524</v>
      </c>
      <c r="O4158" s="1" t="s">
        <v>5525</v>
      </c>
      <c r="P4158" s="5">
        <f>XLOOKUP(R4158, classification!C:C, classification!B:B, "Not Found")</f>
      </c>
      <c r="Q4158" s="1" t="s">
        <v>5514</v>
      </c>
      <c r="R4158" s="2"/>
      <c r="S4158" s="2"/>
      <c r="T4158" s="2"/>
      <c r="U4158" s="2"/>
    </row>
    <row x14ac:dyDescent="0.25" r="4159" customHeight="1" ht="17.25">
      <c r="A4159" s="7">
        <v>4158</v>
      </c>
      <c r="B4159" s="1" t="s">
        <v>9456</v>
      </c>
      <c r="C4159" s="5">
        <f>CONCATENATE("PD", TEXT(A4159, "1000000"))</f>
      </c>
      <c r="D4159" s="7">
        <v>67</v>
      </c>
      <c r="E4159" s="5">
        <f>XLOOKUP(G4159, item_category!C:C, item_category!B:B, "Not Found")</f>
      </c>
      <c r="F4159" s="1" t="s">
        <v>5516</v>
      </c>
      <c r="G4159" s="5">
        <f>XLOOKUP(I4159, drug!B:B, drug!A:A, "Not Found")</f>
      </c>
      <c r="H4159" s="1"/>
      <c r="I4159" s="7">
        <v>800</v>
      </c>
      <c r="J4159" s="5">
        <f>XLOOKUP(L4159, uom!C:C, uom!B:B, "Not Found")</f>
      </c>
      <c r="K4159" s="1" t="s">
        <v>5618</v>
      </c>
      <c r="L4159" s="5">
        <f>XLOOKUP(N4159, uom!C:C, uom!B:B, "Not Found")</f>
      </c>
      <c r="M4159" s="1" t="s">
        <v>5618</v>
      </c>
      <c r="N4159" s="8" t="s">
        <v>5524</v>
      </c>
      <c r="O4159" s="1" t="s">
        <v>5525</v>
      </c>
      <c r="P4159" s="5">
        <f>XLOOKUP(R4159, classification!C:C, classification!B:B, "Not Found")</f>
      </c>
      <c r="Q4159" s="1" t="s">
        <v>5514</v>
      </c>
      <c r="R4159" s="2"/>
      <c r="S4159" s="2"/>
      <c r="T4159" s="2"/>
      <c r="U4159" s="2"/>
    </row>
    <row x14ac:dyDescent="0.25" r="4160" customHeight="1" ht="17.25">
      <c r="A4160" s="7">
        <v>4159</v>
      </c>
      <c r="B4160" s="1" t="s">
        <v>9457</v>
      </c>
      <c r="C4160" s="5">
        <f>CONCATENATE("PD", TEXT(A4160, "1000000"))</f>
      </c>
      <c r="D4160" s="7">
        <v>74</v>
      </c>
      <c r="E4160" s="5">
        <f>XLOOKUP(G4160, item_category!C:C, item_category!B:B, "Not Found")</f>
      </c>
      <c r="F4160" s="1" t="s">
        <v>5520</v>
      </c>
      <c r="G4160" s="5">
        <f>XLOOKUP(I4160, drug!B:B, drug!A:A, "Not Found")</f>
      </c>
      <c r="H4160" s="1"/>
      <c r="I4160" s="7">
        <v>400</v>
      </c>
      <c r="J4160" s="5">
        <f>XLOOKUP(L4160, uom!C:C, uom!B:B, "Not Found")</f>
      </c>
      <c r="K4160" s="1" t="s">
        <v>6691</v>
      </c>
      <c r="L4160" s="5">
        <f>XLOOKUP(N4160, uom!C:C, uom!B:B, "Not Found")</f>
      </c>
      <c r="M4160" s="1" t="s">
        <v>6691</v>
      </c>
      <c r="N4160" s="8" t="s">
        <v>5524</v>
      </c>
      <c r="O4160" s="1" t="s">
        <v>5525</v>
      </c>
      <c r="P4160" s="5">
        <f>XLOOKUP(R4160, classification!C:C, classification!B:B, "Not Found")</f>
      </c>
      <c r="Q4160" s="1" t="s">
        <v>5514</v>
      </c>
      <c r="R4160" s="2"/>
      <c r="S4160" s="2"/>
      <c r="T4160" s="2"/>
      <c r="U4160" s="2"/>
    </row>
    <row x14ac:dyDescent="0.25" r="4161" customHeight="1" ht="17.25">
      <c r="A4161" s="7">
        <v>4160</v>
      </c>
      <c r="B4161" s="1" t="s">
        <v>9458</v>
      </c>
      <c r="C4161" s="5">
        <f>CONCATENATE("PD", TEXT(A4161, "1000000"))</f>
      </c>
      <c r="D4161" s="7">
        <v>67</v>
      </c>
      <c r="E4161" s="5">
        <f>XLOOKUP(G4161, item_category!C:C, item_category!B:B, "Not Found")</f>
      </c>
      <c r="F4161" s="1" t="s">
        <v>5516</v>
      </c>
      <c r="G4161" s="5">
        <f>XLOOKUP(I4161, drug!B:B, drug!A:A, "Not Found")</f>
      </c>
      <c r="H4161" s="1"/>
      <c r="I4161" s="7">
        <v>800</v>
      </c>
      <c r="J4161" s="5">
        <f>XLOOKUP(L4161, uom!C:C, uom!B:B, "Not Found")</f>
      </c>
      <c r="K4161" s="1" t="s">
        <v>5602</v>
      </c>
      <c r="L4161" s="5">
        <f>XLOOKUP(N4161, uom!C:C, uom!B:B, "Not Found")</f>
      </c>
      <c r="M4161" s="1" t="s">
        <v>5602</v>
      </c>
      <c r="N4161" s="8" t="s">
        <v>5524</v>
      </c>
      <c r="O4161" s="1" t="s">
        <v>5525</v>
      </c>
      <c r="P4161" s="5">
        <f>XLOOKUP(R4161, classification!C:C, classification!B:B, "Not Found")</f>
      </c>
      <c r="Q4161" s="1" t="s">
        <v>5514</v>
      </c>
      <c r="R4161" s="2"/>
      <c r="S4161" s="2"/>
      <c r="T4161" s="2"/>
      <c r="U4161" s="2"/>
    </row>
    <row x14ac:dyDescent="0.25" r="4162" customHeight="1" ht="17.25">
      <c r="A4162" s="7">
        <v>4161</v>
      </c>
      <c r="B4162" s="1" t="s">
        <v>9459</v>
      </c>
      <c r="C4162" s="5">
        <f>CONCATENATE("PD", TEXT(A4162, "1000000"))</f>
      </c>
      <c r="D4162" s="7">
        <v>74</v>
      </c>
      <c r="E4162" s="5">
        <f>XLOOKUP(G4162, item_category!C:C, item_category!B:B, "Not Found")</f>
      </c>
      <c r="F4162" s="1" t="s">
        <v>5520</v>
      </c>
      <c r="G4162" s="5">
        <f>XLOOKUP(I4162, drug!B:B, drug!A:A, "Not Found")</f>
      </c>
      <c r="H4162" s="1"/>
      <c r="I4162" s="7">
        <v>200</v>
      </c>
      <c r="J4162" s="5">
        <f>XLOOKUP(L4162, uom!C:C, uom!B:B, "Not Found")</f>
      </c>
      <c r="K4162" s="1" t="s">
        <v>5544</v>
      </c>
      <c r="L4162" s="5">
        <f>XLOOKUP(N4162, uom!C:C, uom!B:B, "Not Found")</f>
      </c>
      <c r="M4162" s="1" t="s">
        <v>5544</v>
      </c>
      <c r="N4162" s="8" t="s">
        <v>5524</v>
      </c>
      <c r="O4162" s="1" t="s">
        <v>5525</v>
      </c>
      <c r="P4162" s="5">
        <f>XLOOKUP(R4162, classification!C:C, classification!B:B, "Not Found")</f>
      </c>
      <c r="Q4162" s="1" t="s">
        <v>5514</v>
      </c>
      <c r="R4162" s="2"/>
      <c r="S4162" s="2"/>
      <c r="T4162" s="2"/>
      <c r="U4162" s="2"/>
    </row>
    <row x14ac:dyDescent="0.25" r="4163" customHeight="1" ht="17.25">
      <c r="A4163" s="7">
        <v>4162</v>
      </c>
      <c r="B4163" s="1" t="s">
        <v>9460</v>
      </c>
      <c r="C4163" s="5">
        <f>CONCATENATE("PD", TEXT(A4163, "1000000"))</f>
      </c>
      <c r="D4163" s="7">
        <v>66</v>
      </c>
      <c r="E4163" s="5">
        <f>XLOOKUP(G4163, item_category!C:C, item_category!B:B, "Not Found")</f>
      </c>
      <c r="F4163" s="1" t="s">
        <v>5617</v>
      </c>
      <c r="G4163" s="5">
        <f>XLOOKUP(I4163, drug!B:B, drug!A:A, "Not Found")</f>
      </c>
      <c r="H4163" s="1"/>
      <c r="I4163" s="7">
        <v>600</v>
      </c>
      <c r="J4163" s="5">
        <f>XLOOKUP(L4163, uom!C:C, uom!B:B, "Not Found")</f>
      </c>
      <c r="K4163" s="1" t="s">
        <v>5618</v>
      </c>
      <c r="L4163" s="5">
        <f>XLOOKUP(N4163, uom!C:C, uom!B:B, "Not Found")</f>
      </c>
      <c r="M4163" s="1" t="s">
        <v>5618</v>
      </c>
      <c r="N4163" s="8" t="s">
        <v>5524</v>
      </c>
      <c r="O4163" s="1" t="s">
        <v>5525</v>
      </c>
      <c r="P4163" s="5">
        <f>XLOOKUP(R4163, classification!C:C, classification!B:B, "Not Found")</f>
      </c>
      <c r="Q4163" s="1" t="s">
        <v>5514</v>
      </c>
      <c r="R4163" s="2"/>
      <c r="S4163" s="2"/>
      <c r="T4163" s="2"/>
      <c r="U4163" s="2"/>
    </row>
    <row x14ac:dyDescent="0.25" r="4164" customHeight="1" ht="17.25">
      <c r="A4164" s="7">
        <v>4163</v>
      </c>
      <c r="B4164" s="1" t="s">
        <v>9461</v>
      </c>
      <c r="C4164" s="5">
        <f>CONCATENATE("PD", TEXT(A4164, "1000000"))</f>
      </c>
      <c r="D4164" s="7">
        <v>67</v>
      </c>
      <c r="E4164" s="5">
        <f>XLOOKUP(G4164, item_category!C:C, item_category!B:B, "Not Found")</f>
      </c>
      <c r="F4164" s="1" t="s">
        <v>5516</v>
      </c>
      <c r="G4164" s="5">
        <f>XLOOKUP(I4164, drug!B:B, drug!A:A, "Not Found")</f>
      </c>
      <c r="H4164" s="1"/>
      <c r="I4164" s="7">
        <v>1250</v>
      </c>
      <c r="J4164" s="5">
        <f>XLOOKUP(L4164, uom!C:C, uom!B:B, "Not Found")</f>
      </c>
      <c r="K4164" s="1" t="s">
        <v>5602</v>
      </c>
      <c r="L4164" s="5">
        <f>XLOOKUP(N4164, uom!C:C, uom!B:B, "Not Found")</f>
      </c>
      <c r="M4164" s="1" t="s">
        <v>5602</v>
      </c>
      <c r="N4164" s="8" t="s">
        <v>5524</v>
      </c>
      <c r="O4164" s="1" t="s">
        <v>5525</v>
      </c>
      <c r="P4164" s="5">
        <f>XLOOKUP(R4164, classification!C:C, classification!B:B, "Not Found")</f>
      </c>
      <c r="Q4164" s="1" t="s">
        <v>5514</v>
      </c>
      <c r="R4164" s="2"/>
      <c r="S4164" s="2"/>
      <c r="T4164" s="2"/>
      <c r="U4164" s="2"/>
    </row>
    <row x14ac:dyDescent="0.25" r="4165" customHeight="1" ht="17.25">
      <c r="A4165" s="7">
        <v>4164</v>
      </c>
      <c r="B4165" s="1" t="s">
        <v>9462</v>
      </c>
      <c r="C4165" s="5">
        <f>CONCATENATE("PD", TEXT(A4165, "1000000"))</f>
      </c>
      <c r="D4165" s="7">
        <v>78</v>
      </c>
      <c r="E4165" s="5">
        <f>XLOOKUP(G4165, item_category!C:C, item_category!B:B, "Not Found")</f>
      </c>
      <c r="F4165" s="1" t="s">
        <v>5522</v>
      </c>
      <c r="G4165" s="5">
        <f>XLOOKUP(I4165, drug!B:B, drug!A:A, "Not Found")</f>
      </c>
      <c r="H4165" s="1" t="s">
        <v>1196</v>
      </c>
      <c r="I4165" s="7">
        <v>600</v>
      </c>
      <c r="J4165" s="5">
        <f>XLOOKUP(L4165, uom!C:C, uom!B:B, "Not Found")</f>
      </c>
      <c r="K4165" s="1" t="s">
        <v>5523</v>
      </c>
      <c r="L4165" s="5">
        <f>XLOOKUP(N4165, uom!C:C, uom!B:B, "Not Found")</f>
      </c>
      <c r="M4165" s="1" t="s">
        <v>5523</v>
      </c>
      <c r="N4165" s="8" t="s">
        <v>5524</v>
      </c>
      <c r="O4165" s="1" t="s">
        <v>5525</v>
      </c>
      <c r="P4165" s="5">
        <f>XLOOKUP(R4165, classification!C:C, classification!B:B, "Not Found")</f>
      </c>
      <c r="Q4165" s="1" t="s">
        <v>5514</v>
      </c>
      <c r="R4165" s="2"/>
      <c r="S4165" s="2"/>
      <c r="T4165" s="2"/>
      <c r="U4165" s="2"/>
    </row>
    <row x14ac:dyDescent="0.25" r="4166" customHeight="1" ht="17.25">
      <c r="A4166" s="7">
        <v>4165</v>
      </c>
      <c r="B4166" s="1" t="s">
        <v>9463</v>
      </c>
      <c r="C4166" s="5">
        <f>CONCATENATE("PD", TEXT(A4166, "1000000"))</f>
      </c>
      <c r="D4166" s="7">
        <v>67</v>
      </c>
      <c r="E4166" s="5">
        <f>XLOOKUP(G4166, item_category!C:C, item_category!B:B, "Not Found")</f>
      </c>
      <c r="F4166" s="1" t="s">
        <v>5516</v>
      </c>
      <c r="G4166" s="5">
        <f>XLOOKUP(I4166, drug!B:B, drug!A:A, "Not Found")</f>
      </c>
      <c r="H4166" s="1"/>
      <c r="I4166" s="7">
        <v>500</v>
      </c>
      <c r="J4166" s="5">
        <f>XLOOKUP(L4166, uom!C:C, uom!B:B, "Not Found")</f>
      </c>
      <c r="K4166" s="1" t="s">
        <v>5602</v>
      </c>
      <c r="L4166" s="5">
        <f>XLOOKUP(N4166, uom!C:C, uom!B:B, "Not Found")</f>
      </c>
      <c r="M4166" s="1" t="s">
        <v>5602</v>
      </c>
      <c r="N4166" s="8" t="s">
        <v>5524</v>
      </c>
      <c r="O4166" s="1" t="s">
        <v>5525</v>
      </c>
      <c r="P4166" s="5">
        <f>XLOOKUP(R4166, classification!C:C, classification!B:B, "Not Found")</f>
      </c>
      <c r="Q4166" s="1" t="s">
        <v>5514</v>
      </c>
      <c r="R4166" s="2"/>
      <c r="S4166" s="2"/>
      <c r="T4166" s="2"/>
      <c r="U4166" s="2"/>
    </row>
    <row x14ac:dyDescent="0.25" r="4167" customHeight="1" ht="17.25">
      <c r="A4167" s="7">
        <v>4166</v>
      </c>
      <c r="B4167" s="1" t="s">
        <v>9464</v>
      </c>
      <c r="C4167" s="5">
        <f>CONCATENATE("PD", TEXT(A4167, "1000000"))</f>
      </c>
      <c r="D4167" s="7">
        <v>67</v>
      </c>
      <c r="E4167" s="5">
        <f>XLOOKUP(G4167, item_category!C:C, item_category!B:B, "Not Found")</f>
      </c>
      <c r="F4167" s="1" t="s">
        <v>5516</v>
      </c>
      <c r="G4167" s="5">
        <f>XLOOKUP(I4167, drug!B:B, drug!A:A, "Not Found")</f>
      </c>
      <c r="H4167" s="1"/>
      <c r="I4167" s="7">
        <v>500</v>
      </c>
      <c r="J4167" s="5">
        <f>XLOOKUP(L4167, uom!C:C, uom!B:B, "Not Found")</f>
      </c>
      <c r="K4167" s="1" t="s">
        <v>7212</v>
      </c>
      <c r="L4167" s="5">
        <f>XLOOKUP(N4167, uom!C:C, uom!B:B, "Not Found")</f>
      </c>
      <c r="M4167" s="1" t="s">
        <v>7212</v>
      </c>
      <c r="N4167" s="8" t="s">
        <v>5524</v>
      </c>
      <c r="O4167" s="1" t="s">
        <v>5525</v>
      </c>
      <c r="P4167" s="5">
        <f>XLOOKUP(R4167, classification!C:C, classification!B:B, "Not Found")</f>
      </c>
      <c r="Q4167" s="1" t="s">
        <v>5514</v>
      </c>
      <c r="R4167" s="2"/>
      <c r="S4167" s="2"/>
      <c r="T4167" s="2"/>
      <c r="U4167" s="2"/>
    </row>
    <row x14ac:dyDescent="0.25" r="4168" customHeight="1" ht="17.25">
      <c r="A4168" s="7">
        <v>4167</v>
      </c>
      <c r="B4168" s="1" t="s">
        <v>9465</v>
      </c>
      <c r="C4168" s="5">
        <f>CONCATENATE("PD", TEXT(A4168, "1000000"))</f>
      </c>
      <c r="D4168" s="7">
        <v>1</v>
      </c>
      <c r="E4168" s="5">
        <f>XLOOKUP(G4168, item_category!C:C, item_category!B:B, "Not Found")</f>
      </c>
      <c r="F4168" s="1" t="s">
        <v>5514</v>
      </c>
      <c r="G4168" s="5">
        <f>XLOOKUP(I4168, drug!B:B, drug!A:A, "Not Found")</f>
      </c>
      <c r="H4168" s="1"/>
      <c r="I4168" s="7">
        <v>150</v>
      </c>
      <c r="J4168" s="5">
        <f>XLOOKUP(L4168, uom!C:C, uom!B:B, "Not Found")</f>
      </c>
      <c r="K4168" s="1" t="s">
        <v>5544</v>
      </c>
      <c r="L4168" s="5">
        <f>XLOOKUP(N4168, uom!C:C, uom!B:B, "Not Found")</f>
      </c>
      <c r="M4168" s="1" t="s">
        <v>5544</v>
      </c>
      <c r="N4168" s="8" t="s">
        <v>5524</v>
      </c>
      <c r="O4168" s="1" t="s">
        <v>5525</v>
      </c>
      <c r="P4168" s="5">
        <f>XLOOKUP(R4168, classification!C:C, classification!B:B, "Not Found")</f>
      </c>
      <c r="Q4168" s="1" t="s">
        <v>5514</v>
      </c>
      <c r="R4168" s="2"/>
      <c r="S4168" s="2"/>
      <c r="T4168" s="2"/>
      <c r="U4168" s="2"/>
    </row>
    <row x14ac:dyDescent="0.25" r="4169" customHeight="1" ht="17.25">
      <c r="A4169" s="7">
        <v>4168</v>
      </c>
      <c r="B4169" s="1" t="s">
        <v>9466</v>
      </c>
      <c r="C4169" s="5">
        <f>CONCATENATE("PD", TEXT(A4169, "1000000"))</f>
      </c>
      <c r="D4169" s="7">
        <v>70</v>
      </c>
      <c r="E4169" s="5">
        <f>XLOOKUP(G4169, item_category!C:C, item_category!B:B, "Not Found")</f>
      </c>
      <c r="F4169" s="1" t="s">
        <v>6615</v>
      </c>
      <c r="G4169" s="5">
        <f>XLOOKUP(I4169, drug!B:B, drug!A:A, "Not Found")</f>
      </c>
      <c r="H4169" s="1"/>
      <c r="I4169" s="7">
        <v>300</v>
      </c>
      <c r="J4169" s="5">
        <f>XLOOKUP(L4169, uom!C:C, uom!B:B, "Not Found")</f>
      </c>
      <c r="K4169" s="1" t="s">
        <v>5625</v>
      </c>
      <c r="L4169" s="5">
        <f>XLOOKUP(N4169, uom!C:C, uom!B:B, "Not Found")</f>
      </c>
      <c r="M4169" s="1" t="s">
        <v>5625</v>
      </c>
      <c r="N4169" s="8" t="s">
        <v>5524</v>
      </c>
      <c r="O4169" s="1" t="s">
        <v>5525</v>
      </c>
      <c r="P4169" s="5">
        <f>XLOOKUP(R4169, classification!C:C, classification!B:B, "Not Found")</f>
      </c>
      <c r="Q4169" s="1" t="s">
        <v>5514</v>
      </c>
      <c r="R4169" s="2"/>
      <c r="S4169" s="2"/>
      <c r="T4169" s="2"/>
      <c r="U4169" s="2"/>
    </row>
    <row x14ac:dyDescent="0.25" r="4170" customHeight="1" ht="17.25">
      <c r="A4170" s="7">
        <v>4169</v>
      </c>
      <c r="B4170" s="1" t="s">
        <v>9467</v>
      </c>
      <c r="C4170" s="5">
        <f>CONCATENATE("PD", TEXT(A4170, "1000000"))</f>
      </c>
      <c r="D4170" s="7">
        <v>76</v>
      </c>
      <c r="E4170" s="5">
        <f>XLOOKUP(G4170, item_category!C:C, item_category!B:B, "Not Found")</f>
      </c>
      <c r="F4170" s="1" t="s">
        <v>5632</v>
      </c>
      <c r="G4170" s="5">
        <f>XLOOKUP(I4170, drug!B:B, drug!A:A, "Not Found")</f>
      </c>
      <c r="H4170" s="1"/>
      <c r="I4170" s="7">
        <v>600</v>
      </c>
      <c r="J4170" s="5">
        <f>XLOOKUP(L4170, uom!C:C, uom!B:B, "Not Found")</f>
      </c>
      <c r="K4170" s="1" t="s">
        <v>7212</v>
      </c>
      <c r="L4170" s="5">
        <f>XLOOKUP(N4170, uom!C:C, uom!B:B, "Not Found")</f>
      </c>
      <c r="M4170" s="1" t="s">
        <v>7212</v>
      </c>
      <c r="N4170" s="8" t="s">
        <v>5524</v>
      </c>
      <c r="O4170" s="1" t="s">
        <v>5525</v>
      </c>
      <c r="P4170" s="5">
        <f>XLOOKUP(R4170, classification!C:C, classification!B:B, "Not Found")</f>
      </c>
      <c r="Q4170" s="1" t="s">
        <v>5514</v>
      </c>
      <c r="R4170" s="2"/>
      <c r="S4170" s="2"/>
      <c r="T4170" s="2"/>
      <c r="U4170" s="2"/>
    </row>
    <row x14ac:dyDescent="0.25" r="4171" customHeight="1" ht="17.25">
      <c r="A4171" s="7">
        <v>4170</v>
      </c>
      <c r="B4171" s="1" t="s">
        <v>9468</v>
      </c>
      <c r="C4171" s="5">
        <f>CONCATENATE("PD", TEXT(A4171, "1000000"))</f>
      </c>
      <c r="D4171" s="7">
        <v>67</v>
      </c>
      <c r="E4171" s="5">
        <f>XLOOKUP(G4171, item_category!C:C, item_category!B:B, "Not Found")</f>
      </c>
      <c r="F4171" s="1" t="s">
        <v>5516</v>
      </c>
      <c r="G4171" s="5">
        <f>XLOOKUP(I4171, drug!B:B, drug!A:A, "Not Found")</f>
      </c>
      <c r="H4171" s="1"/>
      <c r="I4171" s="7">
        <v>200</v>
      </c>
      <c r="J4171" s="5">
        <f>XLOOKUP(L4171, uom!C:C, uom!B:B, "Not Found")</f>
      </c>
      <c r="K4171" s="1" t="s">
        <v>5602</v>
      </c>
      <c r="L4171" s="5">
        <f>XLOOKUP(N4171, uom!C:C, uom!B:B, "Not Found")</f>
      </c>
      <c r="M4171" s="1" t="s">
        <v>5602</v>
      </c>
      <c r="N4171" s="8" t="s">
        <v>5524</v>
      </c>
      <c r="O4171" s="1" t="s">
        <v>5525</v>
      </c>
      <c r="P4171" s="5">
        <f>XLOOKUP(R4171, classification!C:C, classification!B:B, "Not Found")</f>
      </c>
      <c r="Q4171" s="1" t="s">
        <v>5514</v>
      </c>
      <c r="R4171" s="2"/>
      <c r="S4171" s="2"/>
      <c r="T4171" s="2"/>
      <c r="U4171" s="2"/>
    </row>
    <row x14ac:dyDescent="0.25" r="4172" customHeight="1" ht="17.25">
      <c r="A4172" s="7">
        <v>4171</v>
      </c>
      <c r="B4172" s="1" t="s">
        <v>9469</v>
      </c>
      <c r="C4172" s="5">
        <f>CONCATENATE("PD", TEXT(A4172, "1000000"))</f>
      </c>
      <c r="D4172" s="7">
        <v>67</v>
      </c>
      <c r="E4172" s="5">
        <f>XLOOKUP(G4172, item_category!C:C, item_category!B:B, "Not Found")</f>
      </c>
      <c r="F4172" s="1" t="s">
        <v>5516</v>
      </c>
      <c r="G4172" s="5">
        <f>XLOOKUP(I4172, drug!B:B, drug!A:A, "Not Found")</f>
      </c>
      <c r="H4172" s="1"/>
      <c r="I4172" s="7">
        <v>1000</v>
      </c>
      <c r="J4172" s="5">
        <f>XLOOKUP(L4172, uom!C:C, uom!B:B, "Not Found")</f>
      </c>
      <c r="K4172" s="1" t="s">
        <v>5602</v>
      </c>
      <c r="L4172" s="5">
        <f>XLOOKUP(N4172, uom!C:C, uom!B:B, "Not Found")</f>
      </c>
      <c r="M4172" s="1" t="s">
        <v>5602</v>
      </c>
      <c r="N4172" s="8" t="s">
        <v>5524</v>
      </c>
      <c r="O4172" s="1" t="s">
        <v>5525</v>
      </c>
      <c r="P4172" s="5">
        <f>XLOOKUP(R4172, classification!C:C, classification!B:B, "Not Found")</f>
      </c>
      <c r="Q4172" s="1" t="s">
        <v>5514</v>
      </c>
      <c r="R4172" s="2"/>
      <c r="S4172" s="2"/>
      <c r="T4172" s="2"/>
      <c r="U4172" s="2"/>
    </row>
    <row x14ac:dyDescent="0.25" r="4173" customHeight="1" ht="17.25">
      <c r="A4173" s="7">
        <v>4172</v>
      </c>
      <c r="B4173" s="1" t="s">
        <v>9470</v>
      </c>
      <c r="C4173" s="5">
        <f>CONCATENATE("PD", TEXT(A4173, "1000000"))</f>
      </c>
      <c r="D4173" s="7">
        <v>1</v>
      </c>
      <c r="E4173" s="5">
        <f>XLOOKUP(G4173, item_category!C:C, item_category!B:B, "Not Found")</f>
      </c>
      <c r="F4173" s="1" t="s">
        <v>5514</v>
      </c>
      <c r="G4173" s="5">
        <f>XLOOKUP(I4173, drug!B:B, drug!A:A, "Not Found")</f>
      </c>
      <c r="H4173" s="1"/>
      <c r="I4173" s="7">
        <v>1</v>
      </c>
      <c r="J4173" s="5">
        <f>XLOOKUP(L4173, uom!C:C, uom!B:B, "Not Found")</f>
      </c>
      <c r="K4173" s="1" t="s">
        <v>5511</v>
      </c>
      <c r="L4173" s="5">
        <f>XLOOKUP(N4173, uom!C:C, uom!B:B, "Not Found")</f>
      </c>
      <c r="M4173" s="1" t="s">
        <v>5511</v>
      </c>
      <c r="N4173" s="8" t="s">
        <v>5524</v>
      </c>
      <c r="O4173" s="1" t="s">
        <v>5513</v>
      </c>
      <c r="P4173" s="5">
        <f>XLOOKUP(R4173, classification!C:C, classification!B:B, "Not Found")</f>
      </c>
      <c r="Q4173" s="1" t="s">
        <v>5514</v>
      </c>
      <c r="R4173" s="2"/>
      <c r="S4173" s="2"/>
      <c r="T4173" s="2"/>
      <c r="U4173" s="2"/>
    </row>
    <row x14ac:dyDescent="0.25" r="4174" customHeight="1" ht="17.25">
      <c r="A4174" s="7">
        <v>4173</v>
      </c>
      <c r="B4174" s="1" t="s">
        <v>3544</v>
      </c>
      <c r="C4174" s="5">
        <f>CONCATENATE("PD", TEXT(A4174, "1000000"))</f>
      </c>
      <c r="D4174" s="7">
        <v>1</v>
      </c>
      <c r="E4174" s="5">
        <f>XLOOKUP(G4174, item_category!C:C, item_category!B:B, "Not Found")</f>
      </c>
      <c r="F4174" s="1" t="s">
        <v>5514</v>
      </c>
      <c r="G4174" s="5">
        <f>XLOOKUP(I4174, drug!B:B, drug!A:A, "Not Found")</f>
      </c>
      <c r="H4174" s="1"/>
      <c r="I4174" s="7">
        <v>1</v>
      </c>
      <c r="J4174" s="5">
        <f>XLOOKUP(L4174, uom!C:C, uom!B:B, "Not Found")</f>
      </c>
      <c r="K4174" s="1" t="s">
        <v>5511</v>
      </c>
      <c r="L4174" s="5">
        <f>XLOOKUP(N4174, uom!C:C, uom!B:B, "Not Found")</f>
      </c>
      <c r="M4174" s="1" t="s">
        <v>5511</v>
      </c>
      <c r="N4174" s="8" t="s">
        <v>5524</v>
      </c>
      <c r="O4174" s="1" t="s">
        <v>5513</v>
      </c>
      <c r="P4174" s="5">
        <f>XLOOKUP(R4174, classification!C:C, classification!B:B, "Not Found")</f>
      </c>
      <c r="Q4174" s="1" t="s">
        <v>5514</v>
      </c>
      <c r="R4174" s="2"/>
      <c r="S4174" s="2"/>
      <c r="T4174" s="2"/>
      <c r="U4174" s="2"/>
    </row>
    <row x14ac:dyDescent="0.25" r="4175" customHeight="1" ht="17.25">
      <c r="A4175" s="7">
        <v>4174</v>
      </c>
      <c r="B4175" s="1" t="s">
        <v>9471</v>
      </c>
      <c r="C4175" s="5">
        <f>CONCATENATE("PD", TEXT(A4175, "1000000"))</f>
      </c>
      <c r="D4175" s="7">
        <v>75</v>
      </c>
      <c r="E4175" s="5">
        <f>XLOOKUP(G4175, item_category!C:C, item_category!B:B, "Not Found")</f>
      </c>
      <c r="F4175" s="1" t="s">
        <v>5541</v>
      </c>
      <c r="G4175" s="5">
        <f>XLOOKUP(I4175, drug!B:B, drug!A:A, "Not Found")</f>
      </c>
      <c r="H4175" s="1"/>
      <c r="I4175" s="7">
        <v>50</v>
      </c>
      <c r="J4175" s="5">
        <f>XLOOKUP(L4175, uom!C:C, uom!B:B, "Not Found")</f>
      </c>
      <c r="K4175" s="1" t="s">
        <v>7840</v>
      </c>
      <c r="L4175" s="5">
        <f>XLOOKUP(N4175, uom!C:C, uom!B:B, "Not Found")</f>
      </c>
      <c r="M4175" s="1" t="s">
        <v>7840</v>
      </c>
      <c r="N4175" s="8" t="s">
        <v>5524</v>
      </c>
      <c r="O4175" s="1" t="s">
        <v>5525</v>
      </c>
      <c r="P4175" s="5">
        <f>XLOOKUP(R4175, classification!C:C, classification!B:B, "Not Found")</f>
      </c>
      <c r="Q4175" s="1" t="s">
        <v>5514</v>
      </c>
      <c r="R4175" s="2"/>
      <c r="S4175" s="2"/>
      <c r="T4175" s="2"/>
      <c r="U4175" s="2"/>
    </row>
    <row x14ac:dyDescent="0.25" r="4176" customHeight="1" ht="17.25">
      <c r="A4176" s="7">
        <v>4175</v>
      </c>
      <c r="B4176" s="1" t="s">
        <v>9472</v>
      </c>
      <c r="C4176" s="5">
        <f>CONCATENATE("PD", TEXT(A4176, "1000000"))</f>
      </c>
      <c r="D4176" s="7">
        <v>65</v>
      </c>
      <c r="E4176" s="5">
        <f>XLOOKUP(G4176, item_category!C:C, item_category!B:B, "Not Found")</f>
      </c>
      <c r="F4176" s="1" t="s">
        <v>6008</v>
      </c>
      <c r="G4176" s="5">
        <f>XLOOKUP(I4176, drug!B:B, drug!A:A, "Not Found")</f>
      </c>
      <c r="H4176" s="1" t="s">
        <v>1772</v>
      </c>
      <c r="I4176" s="7">
        <v>50</v>
      </c>
      <c r="J4176" s="5">
        <f>XLOOKUP(L4176, uom!C:C, uom!B:B, "Not Found")</f>
      </c>
      <c r="K4176" s="1" t="s">
        <v>5510</v>
      </c>
      <c r="L4176" s="5">
        <f>XLOOKUP(N4176, uom!C:C, uom!B:B, "Not Found")</f>
      </c>
      <c r="M4176" s="1" t="s">
        <v>5510</v>
      </c>
      <c r="N4176" s="8" t="s">
        <v>5524</v>
      </c>
      <c r="O4176" s="1" t="s">
        <v>5525</v>
      </c>
      <c r="P4176" s="5">
        <f>XLOOKUP(R4176, classification!C:C, classification!B:B, "Not Found")</f>
      </c>
      <c r="Q4176" s="1" t="s">
        <v>5514</v>
      </c>
      <c r="R4176" s="2"/>
      <c r="S4176" s="2"/>
      <c r="T4176" s="2"/>
      <c r="U4176" s="2"/>
    </row>
    <row x14ac:dyDescent="0.25" r="4177" customHeight="1" ht="17.25">
      <c r="A4177" s="7">
        <v>4176</v>
      </c>
      <c r="B4177" s="1" t="s">
        <v>9473</v>
      </c>
      <c r="C4177" s="5">
        <f>CONCATENATE("PD", TEXT(A4177, "1000000"))</f>
      </c>
      <c r="D4177" s="7">
        <v>58</v>
      </c>
      <c r="E4177" s="5">
        <f>XLOOKUP(G4177, item_category!C:C, item_category!B:B, "Not Found")</f>
      </c>
      <c r="F4177" s="1" t="s">
        <v>5600</v>
      </c>
      <c r="G4177" s="5">
        <f>XLOOKUP(I4177, drug!B:B, drug!A:A, "Not Found")</f>
      </c>
      <c r="H4177" s="1"/>
      <c r="I4177" s="7">
        <v>250</v>
      </c>
      <c r="J4177" s="5">
        <f>XLOOKUP(L4177, uom!C:C, uom!B:B, "Not Found")</f>
      </c>
      <c r="K4177" s="1" t="s">
        <v>5542</v>
      </c>
      <c r="L4177" s="5">
        <f>XLOOKUP(N4177, uom!C:C, uom!B:B, "Not Found")</f>
      </c>
      <c r="M4177" s="1" t="s">
        <v>5542</v>
      </c>
      <c r="N4177" s="8" t="s">
        <v>5524</v>
      </c>
      <c r="O4177" s="1" t="s">
        <v>5525</v>
      </c>
      <c r="P4177" s="5">
        <f>XLOOKUP(R4177, classification!C:C, classification!B:B, "Not Found")</f>
      </c>
      <c r="Q4177" s="1" t="s">
        <v>5514</v>
      </c>
      <c r="R4177" s="2"/>
      <c r="S4177" s="2"/>
      <c r="T4177" s="2"/>
      <c r="U4177" s="2"/>
    </row>
    <row x14ac:dyDescent="0.25" r="4178" customHeight="1" ht="17.25">
      <c r="A4178" s="7">
        <v>4177</v>
      </c>
      <c r="B4178" s="1" t="s">
        <v>9474</v>
      </c>
      <c r="C4178" s="5">
        <f>CONCATENATE("PD", TEXT(A4178, "1000000"))</f>
      </c>
      <c r="D4178" s="7">
        <v>1</v>
      </c>
      <c r="E4178" s="5">
        <f>XLOOKUP(G4178, item_category!C:C, item_category!B:B, "Not Found")</f>
      </c>
      <c r="F4178" s="1" t="s">
        <v>5514</v>
      </c>
      <c r="G4178" s="5">
        <f>XLOOKUP(I4178, drug!B:B, drug!A:A, "Not Found")</f>
      </c>
      <c r="H4178" s="1"/>
      <c r="I4178" s="7">
        <v>50</v>
      </c>
      <c r="J4178" s="5">
        <f>XLOOKUP(L4178, uom!C:C, uom!B:B, "Not Found")</f>
      </c>
      <c r="K4178" s="1" t="s">
        <v>7989</v>
      </c>
      <c r="L4178" s="5">
        <f>XLOOKUP(N4178, uom!C:C, uom!B:B, "Not Found")</f>
      </c>
      <c r="M4178" s="1" t="s">
        <v>7989</v>
      </c>
      <c r="N4178" s="8" t="s">
        <v>5524</v>
      </c>
      <c r="O4178" s="1" t="s">
        <v>5525</v>
      </c>
      <c r="P4178" s="5">
        <f>XLOOKUP(R4178, classification!C:C, classification!B:B, "Not Found")</f>
      </c>
      <c r="Q4178" s="1" t="s">
        <v>5514</v>
      </c>
      <c r="R4178" s="2"/>
      <c r="S4178" s="2"/>
      <c r="T4178" s="2"/>
      <c r="U4178" s="2"/>
    </row>
    <row x14ac:dyDescent="0.25" r="4179" customHeight="1" ht="17.25">
      <c r="A4179" s="7">
        <v>4178</v>
      </c>
      <c r="B4179" s="1" t="s">
        <v>9475</v>
      </c>
      <c r="C4179" s="5">
        <f>CONCATENATE("PD", TEXT(A4179, "1000000"))</f>
      </c>
      <c r="D4179" s="7">
        <v>1</v>
      </c>
      <c r="E4179" s="5">
        <f>XLOOKUP(G4179, item_category!C:C, item_category!B:B, "Not Found")</f>
      </c>
      <c r="F4179" s="1" t="s">
        <v>5514</v>
      </c>
      <c r="G4179" s="5">
        <f>XLOOKUP(I4179, drug!B:B, drug!A:A, "Not Found")</f>
      </c>
      <c r="H4179" s="1" t="s">
        <v>1942</v>
      </c>
      <c r="I4179" s="7">
        <v>250</v>
      </c>
      <c r="J4179" s="5">
        <f>XLOOKUP(L4179, uom!C:C, uom!B:B, "Not Found")</f>
      </c>
      <c r="K4179" s="1" t="s">
        <v>5544</v>
      </c>
      <c r="L4179" s="5">
        <f>XLOOKUP(N4179, uom!C:C, uom!B:B, "Not Found")</f>
      </c>
      <c r="M4179" s="1" t="s">
        <v>5544</v>
      </c>
      <c r="N4179" s="8" t="s">
        <v>5524</v>
      </c>
      <c r="O4179" s="1" t="s">
        <v>5525</v>
      </c>
      <c r="P4179" s="5">
        <f>XLOOKUP(R4179, classification!C:C, classification!B:B, "Not Found")</f>
      </c>
      <c r="Q4179" s="1" t="s">
        <v>5514</v>
      </c>
      <c r="R4179" s="2"/>
      <c r="S4179" s="2"/>
      <c r="T4179" s="2"/>
      <c r="U4179" s="2"/>
    </row>
    <row x14ac:dyDescent="0.25" r="4180" customHeight="1" ht="17.25">
      <c r="A4180" s="7">
        <v>4179</v>
      </c>
      <c r="B4180" s="1" t="s">
        <v>9476</v>
      </c>
      <c r="C4180" s="5">
        <f>CONCATENATE("PD", TEXT(A4180, "1000000"))</f>
      </c>
      <c r="D4180" s="7">
        <v>1</v>
      </c>
      <c r="E4180" s="5">
        <f>XLOOKUP(G4180, item_category!C:C, item_category!B:B, "Not Found")</f>
      </c>
      <c r="F4180" s="1" t="s">
        <v>5514</v>
      </c>
      <c r="G4180" s="5">
        <f>XLOOKUP(I4180, drug!B:B, drug!A:A, "Not Found")</f>
      </c>
      <c r="H4180" s="1" t="s">
        <v>857</v>
      </c>
      <c r="I4180" s="7">
        <v>200</v>
      </c>
      <c r="J4180" s="5">
        <f>XLOOKUP(L4180, uom!C:C, uom!B:B, "Not Found")</f>
      </c>
      <c r="K4180" s="1" t="s">
        <v>5625</v>
      </c>
      <c r="L4180" s="5">
        <f>XLOOKUP(N4180, uom!C:C, uom!B:B, "Not Found")</f>
      </c>
      <c r="M4180" s="1" t="s">
        <v>5625</v>
      </c>
      <c r="N4180" s="8" t="s">
        <v>5524</v>
      </c>
      <c r="O4180" s="1" t="s">
        <v>5525</v>
      </c>
      <c r="P4180" s="5">
        <f>XLOOKUP(R4180, classification!C:C, classification!B:B, "Not Found")</f>
      </c>
      <c r="Q4180" s="1" t="s">
        <v>5514</v>
      </c>
      <c r="R4180" s="2"/>
      <c r="S4180" s="2"/>
      <c r="T4180" s="2"/>
      <c r="U4180" s="2"/>
    </row>
    <row x14ac:dyDescent="0.25" r="4181" customHeight="1" ht="17.25">
      <c r="A4181" s="7">
        <v>4180</v>
      </c>
      <c r="B4181" s="1" t="s">
        <v>9477</v>
      </c>
      <c r="C4181" s="5">
        <f>CONCATENATE("PD", TEXT(A4181, "1000000"))</f>
      </c>
      <c r="D4181" s="7">
        <v>67</v>
      </c>
      <c r="E4181" s="5">
        <f>XLOOKUP(G4181, item_category!C:C, item_category!B:B, "Not Found")</f>
      </c>
      <c r="F4181" s="1" t="s">
        <v>5516</v>
      </c>
      <c r="G4181" s="5">
        <f>XLOOKUP(I4181, drug!B:B, drug!A:A, "Not Found")</f>
      </c>
      <c r="H4181" s="1" t="s">
        <v>1772</v>
      </c>
      <c r="I4181" s="7">
        <v>50</v>
      </c>
      <c r="J4181" s="5">
        <f>XLOOKUP(L4181, uom!C:C, uom!B:B, "Not Found")</f>
      </c>
      <c r="K4181" s="1" t="s">
        <v>5544</v>
      </c>
      <c r="L4181" s="5">
        <f>XLOOKUP(N4181, uom!C:C, uom!B:B, "Not Found")</f>
      </c>
      <c r="M4181" s="1" t="s">
        <v>5544</v>
      </c>
      <c r="N4181" s="8" t="s">
        <v>5524</v>
      </c>
      <c r="O4181" s="1" t="s">
        <v>5525</v>
      </c>
      <c r="P4181" s="5">
        <f>XLOOKUP(R4181, classification!C:C, classification!B:B, "Not Found")</f>
      </c>
      <c r="Q4181" s="1" t="s">
        <v>5514</v>
      </c>
      <c r="R4181" s="2"/>
      <c r="S4181" s="2"/>
      <c r="T4181" s="2"/>
      <c r="U4181" s="2"/>
    </row>
    <row x14ac:dyDescent="0.25" r="4182" customHeight="1" ht="17.25">
      <c r="A4182" s="7">
        <v>4181</v>
      </c>
      <c r="B4182" s="1" t="s">
        <v>9478</v>
      </c>
      <c r="C4182" s="5">
        <f>CONCATENATE("PD", TEXT(A4182, "1000000"))</f>
      </c>
      <c r="D4182" s="7">
        <v>76</v>
      </c>
      <c r="E4182" s="5">
        <f>XLOOKUP(G4182, item_category!C:C, item_category!B:B, "Not Found")</f>
      </c>
      <c r="F4182" s="1" t="s">
        <v>5632</v>
      </c>
      <c r="G4182" s="5">
        <f>XLOOKUP(I4182, drug!B:B, drug!A:A, "Not Found")</f>
      </c>
      <c r="H4182" s="1"/>
      <c r="I4182" s="7">
        <v>600</v>
      </c>
      <c r="J4182" s="5">
        <f>XLOOKUP(L4182, uom!C:C, uom!B:B, "Not Found")</f>
      </c>
      <c r="K4182" s="1" t="s">
        <v>7212</v>
      </c>
      <c r="L4182" s="5">
        <f>XLOOKUP(N4182, uom!C:C, uom!B:B, "Not Found")</f>
      </c>
      <c r="M4182" s="1" t="s">
        <v>7212</v>
      </c>
      <c r="N4182" s="8" t="s">
        <v>5524</v>
      </c>
      <c r="O4182" s="1" t="s">
        <v>5525</v>
      </c>
      <c r="P4182" s="5">
        <f>XLOOKUP(R4182, classification!C:C, classification!B:B, "Not Found")</f>
      </c>
      <c r="Q4182" s="1" t="s">
        <v>5514</v>
      </c>
      <c r="R4182" s="2"/>
      <c r="S4182" s="2"/>
      <c r="T4182" s="2"/>
      <c r="U4182" s="2"/>
    </row>
    <row x14ac:dyDescent="0.25" r="4183" customHeight="1" ht="17.25">
      <c r="A4183" s="7">
        <v>4182</v>
      </c>
      <c r="B4183" s="1" t="s">
        <v>9479</v>
      </c>
      <c r="C4183" s="5">
        <f>CONCATENATE("PD", TEXT(A4183, "1000000"))</f>
      </c>
      <c r="D4183" s="7">
        <v>65</v>
      </c>
      <c r="E4183" s="5">
        <f>XLOOKUP(G4183, item_category!C:C, item_category!B:B, "Not Found")</f>
      </c>
      <c r="F4183" s="1" t="s">
        <v>6008</v>
      </c>
      <c r="G4183" s="5">
        <f>XLOOKUP(I4183, drug!B:B, drug!A:A, "Not Found")</f>
      </c>
      <c r="H4183" s="1" t="s">
        <v>95</v>
      </c>
      <c r="I4183" s="7">
        <v>300</v>
      </c>
      <c r="J4183" s="5">
        <f>XLOOKUP(L4183, uom!C:C, uom!B:B, "Not Found")</f>
      </c>
      <c r="K4183" s="1" t="s">
        <v>5510</v>
      </c>
      <c r="L4183" s="5">
        <f>XLOOKUP(N4183, uom!C:C, uom!B:B, "Not Found")</f>
      </c>
      <c r="M4183" s="1" t="s">
        <v>5510</v>
      </c>
      <c r="N4183" s="8" t="s">
        <v>5524</v>
      </c>
      <c r="O4183" s="1" t="s">
        <v>5525</v>
      </c>
      <c r="P4183" s="5">
        <f>XLOOKUP(R4183, classification!C:C, classification!B:B, "Not Found")</f>
      </c>
      <c r="Q4183" s="1" t="s">
        <v>5514</v>
      </c>
      <c r="R4183" s="2"/>
      <c r="S4183" s="2"/>
      <c r="T4183" s="2"/>
      <c r="U4183" s="2"/>
    </row>
    <row x14ac:dyDescent="0.25" r="4184" customHeight="1" ht="17.25">
      <c r="A4184" s="7">
        <v>4183</v>
      </c>
      <c r="B4184" s="1" t="s">
        <v>9480</v>
      </c>
      <c r="C4184" s="5">
        <f>CONCATENATE("PD", TEXT(A4184, "1000000"))</f>
      </c>
      <c r="D4184" s="7">
        <v>67</v>
      </c>
      <c r="E4184" s="5">
        <f>XLOOKUP(G4184, item_category!C:C, item_category!B:B, "Not Found")</f>
      </c>
      <c r="F4184" s="1" t="s">
        <v>5516</v>
      </c>
      <c r="G4184" s="5">
        <f>XLOOKUP(I4184, drug!B:B, drug!A:A, "Not Found")</f>
      </c>
      <c r="H4184" s="1"/>
      <c r="I4184" s="7">
        <v>250</v>
      </c>
      <c r="J4184" s="5">
        <f>XLOOKUP(L4184, uom!C:C, uom!B:B, "Not Found")</f>
      </c>
      <c r="K4184" s="1" t="s">
        <v>5602</v>
      </c>
      <c r="L4184" s="5">
        <f>XLOOKUP(N4184, uom!C:C, uom!B:B, "Not Found")</f>
      </c>
      <c r="M4184" s="1" t="s">
        <v>5602</v>
      </c>
      <c r="N4184" s="8" t="s">
        <v>5524</v>
      </c>
      <c r="O4184" s="1" t="s">
        <v>5525</v>
      </c>
      <c r="P4184" s="5">
        <f>XLOOKUP(R4184, classification!C:C, classification!B:B, "Not Found")</f>
      </c>
      <c r="Q4184" s="1" t="s">
        <v>5514</v>
      </c>
      <c r="R4184" s="2"/>
      <c r="S4184" s="2"/>
      <c r="T4184" s="2"/>
      <c r="U4184" s="2"/>
    </row>
    <row x14ac:dyDescent="0.25" r="4185" customHeight="1" ht="17.25">
      <c r="A4185" s="7">
        <v>4184</v>
      </c>
      <c r="B4185" s="1" t="s">
        <v>9481</v>
      </c>
      <c r="C4185" s="5">
        <f>CONCATENATE("PD", TEXT(A4185, "1000000"))</f>
      </c>
      <c r="D4185" s="7">
        <v>74</v>
      </c>
      <c r="E4185" s="5">
        <f>XLOOKUP(G4185, item_category!C:C, item_category!B:B, "Not Found")</f>
      </c>
      <c r="F4185" s="1" t="s">
        <v>5520</v>
      </c>
      <c r="G4185" s="5">
        <f>XLOOKUP(I4185, drug!B:B, drug!A:A, "Not Found")</f>
      </c>
      <c r="H4185" s="1" t="s">
        <v>1942</v>
      </c>
      <c r="I4185" s="7">
        <v>600</v>
      </c>
      <c r="J4185" s="5">
        <f>XLOOKUP(L4185, uom!C:C, uom!B:B, "Not Found")</f>
      </c>
      <c r="K4185" s="1" t="s">
        <v>5661</v>
      </c>
      <c r="L4185" s="5">
        <f>XLOOKUP(N4185, uom!C:C, uom!B:B, "Not Found")</f>
      </c>
      <c r="M4185" s="1" t="s">
        <v>5661</v>
      </c>
      <c r="N4185" s="8" t="s">
        <v>5524</v>
      </c>
      <c r="O4185" s="1" t="s">
        <v>5525</v>
      </c>
      <c r="P4185" s="5">
        <f>XLOOKUP(R4185, classification!C:C, classification!B:B, "Not Found")</f>
      </c>
      <c r="Q4185" s="1" t="s">
        <v>5514</v>
      </c>
      <c r="R4185" s="2"/>
      <c r="S4185" s="2"/>
      <c r="T4185" s="2"/>
      <c r="U4185" s="2"/>
    </row>
    <row x14ac:dyDescent="0.25" r="4186" customHeight="1" ht="17.25">
      <c r="A4186" s="7">
        <v>4185</v>
      </c>
      <c r="B4186" s="1" t="s">
        <v>9482</v>
      </c>
      <c r="C4186" s="5">
        <f>CONCATENATE("PD", TEXT(A4186, "1000000"))</f>
      </c>
      <c r="D4186" s="7">
        <v>67</v>
      </c>
      <c r="E4186" s="5">
        <f>XLOOKUP(G4186, item_category!C:C, item_category!B:B, "Not Found")</f>
      </c>
      <c r="F4186" s="1" t="s">
        <v>5516</v>
      </c>
      <c r="G4186" s="5">
        <f>XLOOKUP(I4186, drug!B:B, drug!A:A, "Not Found")</f>
      </c>
      <c r="H4186" s="1"/>
      <c r="I4186" s="7">
        <v>800</v>
      </c>
      <c r="J4186" s="5">
        <f>XLOOKUP(L4186, uom!C:C, uom!B:B, "Not Found")</f>
      </c>
      <c r="K4186" s="1" t="s">
        <v>5602</v>
      </c>
      <c r="L4186" s="5">
        <f>XLOOKUP(N4186, uom!C:C, uom!B:B, "Not Found")</f>
      </c>
      <c r="M4186" s="1" t="s">
        <v>5602</v>
      </c>
      <c r="N4186" s="8" t="s">
        <v>5524</v>
      </c>
      <c r="O4186" s="1" t="s">
        <v>5525</v>
      </c>
      <c r="P4186" s="5">
        <f>XLOOKUP(R4186, classification!C:C, classification!B:B, "Not Found")</f>
      </c>
      <c r="Q4186" s="1" t="s">
        <v>5514</v>
      </c>
      <c r="R4186" s="2"/>
      <c r="S4186" s="2"/>
      <c r="T4186" s="2"/>
      <c r="U4186" s="2"/>
    </row>
    <row x14ac:dyDescent="0.25" r="4187" customHeight="1" ht="17.25">
      <c r="A4187" s="7">
        <v>4186</v>
      </c>
      <c r="B4187" s="1" t="s">
        <v>9483</v>
      </c>
      <c r="C4187" s="5">
        <f>CONCATENATE("PD", TEXT(A4187, "1000000"))</f>
      </c>
      <c r="D4187" s="7">
        <v>78</v>
      </c>
      <c r="E4187" s="5">
        <f>XLOOKUP(G4187, item_category!C:C, item_category!B:B, "Not Found")</f>
      </c>
      <c r="F4187" s="1" t="s">
        <v>5522</v>
      </c>
      <c r="G4187" s="5">
        <f>XLOOKUP(I4187, drug!B:B, drug!A:A, "Not Found")</f>
      </c>
      <c r="H4187" s="1" t="s">
        <v>1942</v>
      </c>
      <c r="I4187" s="7">
        <v>250</v>
      </c>
      <c r="J4187" s="5">
        <f>XLOOKUP(L4187, uom!C:C, uom!B:B, "Not Found")</f>
      </c>
      <c r="K4187" s="1" t="s">
        <v>5523</v>
      </c>
      <c r="L4187" s="5">
        <f>XLOOKUP(N4187, uom!C:C, uom!B:B, "Not Found")</f>
      </c>
      <c r="M4187" s="1" t="s">
        <v>5523</v>
      </c>
      <c r="N4187" s="8" t="s">
        <v>5524</v>
      </c>
      <c r="O4187" s="1" t="s">
        <v>5525</v>
      </c>
      <c r="P4187" s="5">
        <f>XLOOKUP(R4187, classification!C:C, classification!B:B, "Not Found")</f>
      </c>
      <c r="Q4187" s="1" t="s">
        <v>5514</v>
      </c>
      <c r="R4187" s="2"/>
      <c r="S4187" s="2"/>
      <c r="T4187" s="2"/>
      <c r="U4187" s="2"/>
    </row>
    <row x14ac:dyDescent="0.25" r="4188" customHeight="1" ht="17.25">
      <c r="A4188" s="7">
        <v>4187</v>
      </c>
      <c r="B4188" s="1" t="s">
        <v>9484</v>
      </c>
      <c r="C4188" s="5">
        <f>CONCATENATE("PD", TEXT(A4188, "1000000"))</f>
      </c>
      <c r="D4188" s="7">
        <v>75</v>
      </c>
      <c r="E4188" s="5">
        <f>XLOOKUP(G4188, item_category!C:C, item_category!B:B, "Not Found")</f>
      </c>
      <c r="F4188" s="1" t="s">
        <v>5541</v>
      </c>
      <c r="G4188" s="5">
        <f>XLOOKUP(I4188, drug!B:B, drug!A:A, "Not Found")</f>
      </c>
      <c r="H4188" s="1" t="s">
        <v>1942</v>
      </c>
      <c r="I4188" s="7">
        <v>100</v>
      </c>
      <c r="J4188" s="5">
        <f>XLOOKUP(L4188, uom!C:C, uom!B:B, "Not Found")</f>
      </c>
      <c r="K4188" s="1" t="s">
        <v>5544</v>
      </c>
      <c r="L4188" s="5">
        <f>XLOOKUP(N4188, uom!C:C, uom!B:B, "Not Found")</f>
      </c>
      <c r="M4188" s="1" t="s">
        <v>5544</v>
      </c>
      <c r="N4188" s="8" t="s">
        <v>5524</v>
      </c>
      <c r="O4188" s="1" t="s">
        <v>5525</v>
      </c>
      <c r="P4188" s="5">
        <f>XLOOKUP(R4188, classification!C:C, classification!B:B, "Not Found")</f>
      </c>
      <c r="Q4188" s="1" t="s">
        <v>5514</v>
      </c>
      <c r="R4188" s="2"/>
      <c r="S4188" s="2"/>
      <c r="T4188" s="2"/>
      <c r="U4188" s="2"/>
    </row>
    <row x14ac:dyDescent="0.25" r="4189" customHeight="1" ht="17.25">
      <c r="A4189" s="7">
        <v>4188</v>
      </c>
      <c r="B4189" s="1" t="s">
        <v>9211</v>
      </c>
      <c r="C4189" s="5">
        <f>CONCATENATE("PD", TEXT(A4189, "1000000"))</f>
      </c>
      <c r="D4189" s="7">
        <v>75</v>
      </c>
      <c r="E4189" s="5">
        <f>XLOOKUP(G4189, item_category!C:C, item_category!B:B, "Not Found")</f>
      </c>
      <c r="F4189" s="1" t="s">
        <v>5541</v>
      </c>
      <c r="G4189" s="5">
        <f>XLOOKUP(I4189, drug!B:B, drug!A:A, "Not Found")</f>
      </c>
      <c r="H4189" s="1" t="s">
        <v>857</v>
      </c>
      <c r="I4189" s="7">
        <v>70</v>
      </c>
      <c r="J4189" s="5">
        <f>XLOOKUP(L4189, uom!C:C, uom!B:B, "Not Found")</f>
      </c>
      <c r="K4189" s="1" t="s">
        <v>5661</v>
      </c>
      <c r="L4189" s="5">
        <f>XLOOKUP(N4189, uom!C:C, uom!B:B, "Not Found")</f>
      </c>
      <c r="M4189" s="1" t="s">
        <v>5661</v>
      </c>
      <c r="N4189" s="8" t="s">
        <v>5524</v>
      </c>
      <c r="O4189" s="1" t="s">
        <v>5525</v>
      </c>
      <c r="P4189" s="5">
        <f>XLOOKUP(R4189, classification!C:C, classification!B:B, "Not Found")</f>
      </c>
      <c r="Q4189" s="1" t="s">
        <v>5514</v>
      </c>
      <c r="R4189" s="2"/>
      <c r="S4189" s="2"/>
      <c r="T4189" s="2"/>
      <c r="U4189" s="2"/>
    </row>
    <row x14ac:dyDescent="0.25" r="4190" customHeight="1" ht="17.25">
      <c r="A4190" s="7">
        <v>4189</v>
      </c>
      <c r="B4190" s="1" t="s">
        <v>9485</v>
      </c>
      <c r="C4190" s="5">
        <f>CONCATENATE("PD", TEXT(A4190, "1000000"))</f>
      </c>
      <c r="D4190" s="7">
        <v>76</v>
      </c>
      <c r="E4190" s="5">
        <f>XLOOKUP(G4190, item_category!C:C, item_category!B:B, "Not Found")</f>
      </c>
      <c r="F4190" s="1" t="s">
        <v>5632</v>
      </c>
      <c r="G4190" s="5">
        <f>XLOOKUP(I4190, drug!B:B, drug!A:A, "Not Found")</f>
      </c>
      <c r="H4190" s="1"/>
      <c r="I4190" s="7">
        <v>650</v>
      </c>
      <c r="J4190" s="5">
        <f>XLOOKUP(L4190, uom!C:C, uom!B:B, "Not Found")</f>
      </c>
      <c r="K4190" s="1" t="s">
        <v>6689</v>
      </c>
      <c r="L4190" s="5">
        <f>XLOOKUP(N4190, uom!C:C, uom!B:B, "Not Found")</f>
      </c>
      <c r="M4190" s="1" t="s">
        <v>6689</v>
      </c>
      <c r="N4190" s="8" t="s">
        <v>5524</v>
      </c>
      <c r="O4190" s="1" t="s">
        <v>5525</v>
      </c>
      <c r="P4190" s="5">
        <f>XLOOKUP(R4190, classification!C:C, classification!B:B, "Not Found")</f>
      </c>
      <c r="Q4190" s="1" t="s">
        <v>5514</v>
      </c>
      <c r="R4190" s="2"/>
      <c r="S4190" s="2"/>
      <c r="T4190" s="2"/>
      <c r="U4190" s="2"/>
    </row>
    <row x14ac:dyDescent="0.25" r="4191" customHeight="1" ht="17.25">
      <c r="A4191" s="7">
        <v>4190</v>
      </c>
      <c r="B4191" s="1" t="s">
        <v>9486</v>
      </c>
      <c r="C4191" s="5">
        <f>CONCATENATE("PD", TEXT(A4191, "1000000"))</f>
      </c>
      <c r="D4191" s="7">
        <v>1</v>
      </c>
      <c r="E4191" s="5">
        <f>XLOOKUP(G4191, item_category!C:C, item_category!B:B, "Not Found")</f>
      </c>
      <c r="F4191" s="1" t="s">
        <v>5514</v>
      </c>
      <c r="G4191" s="5">
        <f>XLOOKUP(I4191, drug!B:B, drug!A:A, "Not Found")</f>
      </c>
      <c r="H4191" s="1"/>
      <c r="I4191" s="7">
        <v>200</v>
      </c>
      <c r="J4191" s="5">
        <f>XLOOKUP(L4191, uom!C:C, uom!B:B, "Not Found")</f>
      </c>
      <c r="K4191" s="1" t="s">
        <v>5511</v>
      </c>
      <c r="L4191" s="5">
        <f>XLOOKUP(N4191, uom!C:C, uom!B:B, "Not Found")</f>
      </c>
      <c r="M4191" s="1" t="s">
        <v>5511</v>
      </c>
      <c r="N4191" s="8" t="s">
        <v>5524</v>
      </c>
      <c r="O4191" s="1" t="s">
        <v>5525</v>
      </c>
      <c r="P4191" s="5">
        <f>XLOOKUP(R4191, classification!C:C, classification!B:B, "Not Found")</f>
      </c>
      <c r="Q4191" s="1" t="s">
        <v>5514</v>
      </c>
      <c r="R4191" s="2"/>
      <c r="S4191" s="2"/>
      <c r="T4191" s="2"/>
      <c r="U4191" s="2"/>
    </row>
    <row x14ac:dyDescent="0.25" r="4192" customHeight="1" ht="17.25">
      <c r="A4192" s="7">
        <v>4191</v>
      </c>
      <c r="B4192" s="1" t="s">
        <v>9487</v>
      </c>
      <c r="C4192" s="5">
        <f>CONCATENATE("PD", TEXT(A4192, "1000000"))</f>
      </c>
      <c r="D4192" s="7">
        <v>76</v>
      </c>
      <c r="E4192" s="5">
        <f>XLOOKUP(G4192, item_category!C:C, item_category!B:B, "Not Found")</f>
      </c>
      <c r="F4192" s="1" t="s">
        <v>5632</v>
      </c>
      <c r="G4192" s="5">
        <f>XLOOKUP(I4192, drug!B:B, drug!A:A, "Not Found")</f>
      </c>
      <c r="H4192" s="1"/>
      <c r="I4192" s="7">
        <v>70</v>
      </c>
      <c r="J4192" s="5">
        <f>XLOOKUP(L4192, uom!C:C, uom!B:B, "Not Found")</f>
      </c>
      <c r="K4192" s="1" t="s">
        <v>5511</v>
      </c>
      <c r="L4192" s="5">
        <f>XLOOKUP(N4192, uom!C:C, uom!B:B, "Not Found")</f>
      </c>
      <c r="M4192" s="1" t="s">
        <v>5511</v>
      </c>
      <c r="N4192" s="8" t="s">
        <v>5524</v>
      </c>
      <c r="O4192" s="1" t="s">
        <v>5525</v>
      </c>
      <c r="P4192" s="5">
        <f>XLOOKUP(R4192, classification!C:C, classification!B:B, "Not Found")</f>
      </c>
      <c r="Q4192" s="1" t="s">
        <v>5514</v>
      </c>
      <c r="R4192" s="2"/>
      <c r="S4192" s="2"/>
      <c r="T4192" s="2"/>
      <c r="U4192" s="2"/>
    </row>
    <row x14ac:dyDescent="0.25" r="4193" customHeight="1" ht="17.25">
      <c r="A4193" s="7">
        <v>4192</v>
      </c>
      <c r="B4193" s="1" t="s">
        <v>9488</v>
      </c>
      <c r="C4193" s="5">
        <f>CONCATENATE("PD", TEXT(A4193, "1000000"))</f>
      </c>
      <c r="D4193" s="7">
        <v>76</v>
      </c>
      <c r="E4193" s="5">
        <f>XLOOKUP(G4193, item_category!C:C, item_category!B:B, "Not Found")</f>
      </c>
      <c r="F4193" s="1" t="s">
        <v>5632</v>
      </c>
      <c r="G4193" s="5">
        <f>XLOOKUP(I4193, drug!B:B, drug!A:A, "Not Found")</f>
      </c>
      <c r="H4193" s="1"/>
      <c r="I4193" s="7">
        <v>150</v>
      </c>
      <c r="J4193" s="5">
        <f>XLOOKUP(L4193, uom!C:C, uom!B:B, "Not Found")</f>
      </c>
      <c r="K4193" s="1" t="s">
        <v>5511</v>
      </c>
      <c r="L4193" s="5">
        <f>XLOOKUP(N4193, uom!C:C, uom!B:B, "Not Found")</f>
      </c>
      <c r="M4193" s="1" t="s">
        <v>5511</v>
      </c>
      <c r="N4193" s="8" t="s">
        <v>5524</v>
      </c>
      <c r="O4193" s="1" t="s">
        <v>5525</v>
      </c>
      <c r="P4193" s="5">
        <f>XLOOKUP(R4193, classification!C:C, classification!B:B, "Not Found")</f>
      </c>
      <c r="Q4193" s="1" t="s">
        <v>5514</v>
      </c>
      <c r="R4193" s="2"/>
      <c r="S4193" s="2"/>
      <c r="T4193" s="2"/>
      <c r="U4193" s="2"/>
    </row>
    <row x14ac:dyDescent="0.25" r="4194" customHeight="1" ht="17.25">
      <c r="A4194" s="7">
        <v>4193</v>
      </c>
      <c r="B4194" s="1" t="s">
        <v>9489</v>
      </c>
      <c r="C4194" s="5">
        <f>CONCATENATE("PD", TEXT(A4194, "1000000"))</f>
      </c>
      <c r="D4194" s="7">
        <v>76</v>
      </c>
      <c r="E4194" s="5">
        <f>XLOOKUP(G4194, item_category!C:C, item_category!B:B, "Not Found")</f>
      </c>
      <c r="F4194" s="1" t="s">
        <v>5632</v>
      </c>
      <c r="G4194" s="5">
        <f>XLOOKUP(I4194, drug!B:B, drug!A:A, "Not Found")</f>
      </c>
      <c r="H4194" s="1"/>
      <c r="I4194" s="7">
        <v>400</v>
      </c>
      <c r="J4194" s="5">
        <f>XLOOKUP(L4194, uom!C:C, uom!B:B, "Not Found")</f>
      </c>
      <c r="K4194" s="1" t="s">
        <v>5511</v>
      </c>
      <c r="L4194" s="5">
        <f>XLOOKUP(N4194, uom!C:C, uom!B:B, "Not Found")</f>
      </c>
      <c r="M4194" s="1" t="s">
        <v>5511</v>
      </c>
      <c r="N4194" s="8" t="s">
        <v>5524</v>
      </c>
      <c r="O4194" s="1" t="s">
        <v>5525</v>
      </c>
      <c r="P4194" s="5">
        <f>XLOOKUP(R4194, classification!C:C, classification!B:B, "Not Found")</f>
      </c>
      <c r="Q4194" s="1" t="s">
        <v>5514</v>
      </c>
      <c r="R4194" s="2"/>
      <c r="S4194" s="2"/>
      <c r="T4194" s="2"/>
      <c r="U4194" s="2"/>
    </row>
    <row x14ac:dyDescent="0.25" r="4195" customHeight="1" ht="17.25">
      <c r="A4195" s="7">
        <v>4194</v>
      </c>
      <c r="B4195" s="1" t="s">
        <v>9490</v>
      </c>
      <c r="C4195" s="5">
        <f>CONCATENATE("PD", TEXT(A4195, "1000000"))</f>
      </c>
      <c r="D4195" s="7">
        <v>1</v>
      </c>
      <c r="E4195" s="5">
        <f>XLOOKUP(G4195, item_category!C:C, item_category!B:B, "Not Found")</f>
      </c>
      <c r="F4195" s="1" t="s">
        <v>5514</v>
      </c>
      <c r="G4195" s="5">
        <f>XLOOKUP(I4195, drug!B:B, drug!A:A, "Not Found")</f>
      </c>
      <c r="H4195" s="1"/>
      <c r="I4195" s="7">
        <v>100</v>
      </c>
      <c r="J4195" s="5">
        <f>XLOOKUP(L4195, uom!C:C, uom!B:B, "Not Found")</f>
      </c>
      <c r="K4195" s="1" t="s">
        <v>5511</v>
      </c>
      <c r="L4195" s="5">
        <f>XLOOKUP(N4195, uom!C:C, uom!B:B, "Not Found")</f>
      </c>
      <c r="M4195" s="1" t="s">
        <v>5511</v>
      </c>
      <c r="N4195" s="8" t="s">
        <v>5524</v>
      </c>
      <c r="O4195" s="1" t="s">
        <v>5525</v>
      </c>
      <c r="P4195" s="5">
        <f>XLOOKUP(R4195, classification!C:C, classification!B:B, "Not Found")</f>
      </c>
      <c r="Q4195" s="1" t="s">
        <v>5514</v>
      </c>
      <c r="R4195" s="2"/>
      <c r="S4195" s="2"/>
      <c r="T4195" s="2"/>
      <c r="U4195" s="2"/>
    </row>
    <row x14ac:dyDescent="0.25" r="4196" customHeight="1" ht="17.25">
      <c r="A4196" s="7">
        <v>4195</v>
      </c>
      <c r="B4196" s="1" t="s">
        <v>9491</v>
      </c>
      <c r="C4196" s="5">
        <f>CONCATENATE("PD", TEXT(A4196, "1000000"))</f>
      </c>
      <c r="D4196" s="7">
        <v>76</v>
      </c>
      <c r="E4196" s="5">
        <f>XLOOKUP(G4196, item_category!C:C, item_category!B:B, "Not Found")</f>
      </c>
      <c r="F4196" s="1" t="s">
        <v>5632</v>
      </c>
      <c r="G4196" s="5">
        <f>XLOOKUP(I4196, drug!B:B, drug!A:A, "Not Found")</f>
      </c>
      <c r="H4196" s="1"/>
      <c r="I4196" s="7">
        <v>150</v>
      </c>
      <c r="J4196" s="5">
        <f>XLOOKUP(L4196, uom!C:C, uom!B:B, "Not Found")</f>
      </c>
      <c r="K4196" s="1" t="s">
        <v>5511</v>
      </c>
      <c r="L4196" s="5">
        <f>XLOOKUP(N4196, uom!C:C, uom!B:B, "Not Found")</f>
      </c>
      <c r="M4196" s="1" t="s">
        <v>5511</v>
      </c>
      <c r="N4196" s="8" t="s">
        <v>5524</v>
      </c>
      <c r="O4196" s="1" t="s">
        <v>5525</v>
      </c>
      <c r="P4196" s="5">
        <f>XLOOKUP(R4196, classification!C:C, classification!B:B, "Not Found")</f>
      </c>
      <c r="Q4196" s="1" t="s">
        <v>5514</v>
      </c>
      <c r="R4196" s="2"/>
      <c r="S4196" s="2"/>
      <c r="T4196" s="2"/>
      <c r="U4196" s="2"/>
    </row>
    <row x14ac:dyDescent="0.25" r="4197" customHeight="1" ht="17.25">
      <c r="A4197" s="7">
        <v>4196</v>
      </c>
      <c r="B4197" s="1" t="s">
        <v>9492</v>
      </c>
      <c r="C4197" s="5">
        <f>CONCATENATE("PD", TEXT(A4197, "1000000"))</f>
      </c>
      <c r="D4197" s="7">
        <v>76</v>
      </c>
      <c r="E4197" s="5">
        <f>XLOOKUP(G4197, item_category!C:C, item_category!B:B, "Not Found")</f>
      </c>
      <c r="F4197" s="1" t="s">
        <v>5632</v>
      </c>
      <c r="G4197" s="5">
        <f>XLOOKUP(I4197, drug!B:B, drug!A:A, "Not Found")</f>
      </c>
      <c r="H4197" s="1" t="s">
        <v>413</v>
      </c>
      <c r="I4197" s="7">
        <v>700</v>
      </c>
      <c r="J4197" s="5">
        <f>XLOOKUP(L4197, uom!C:C, uom!B:B, "Not Found")</f>
      </c>
      <c r="K4197" s="1" t="s">
        <v>5511</v>
      </c>
      <c r="L4197" s="5">
        <f>XLOOKUP(N4197, uom!C:C, uom!B:B, "Not Found")</f>
      </c>
      <c r="M4197" s="1" t="s">
        <v>5511</v>
      </c>
      <c r="N4197" s="8" t="s">
        <v>5524</v>
      </c>
      <c r="O4197" s="1" t="s">
        <v>5525</v>
      </c>
      <c r="P4197" s="5">
        <f>XLOOKUP(R4197, classification!C:C, classification!B:B, "Not Found")</f>
      </c>
      <c r="Q4197" s="1" t="s">
        <v>5514</v>
      </c>
      <c r="R4197" s="2"/>
      <c r="S4197" s="2"/>
      <c r="T4197" s="2"/>
      <c r="U4197" s="2"/>
    </row>
    <row x14ac:dyDescent="0.25" r="4198" customHeight="1" ht="17.25">
      <c r="A4198" s="7">
        <v>4197</v>
      </c>
      <c r="B4198" s="1" t="s">
        <v>9493</v>
      </c>
      <c r="C4198" s="5">
        <f>CONCATENATE("PD", TEXT(A4198, "1000000"))</f>
      </c>
      <c r="D4198" s="7">
        <v>1</v>
      </c>
      <c r="E4198" s="5">
        <f>XLOOKUP(G4198, item_category!C:C, item_category!B:B, "Not Found")</f>
      </c>
      <c r="F4198" s="1" t="s">
        <v>5514</v>
      </c>
      <c r="G4198" s="5">
        <f>XLOOKUP(I4198, drug!B:B, drug!A:A, "Not Found")</f>
      </c>
      <c r="H4198" s="1" t="s">
        <v>1942</v>
      </c>
      <c r="I4198" s="7">
        <v>100</v>
      </c>
      <c r="J4198" s="5">
        <f>XLOOKUP(L4198, uom!C:C, uom!B:B, "Not Found")</f>
      </c>
      <c r="K4198" s="1" t="s">
        <v>5511</v>
      </c>
      <c r="L4198" s="5">
        <f>XLOOKUP(N4198, uom!C:C, uom!B:B, "Not Found")</f>
      </c>
      <c r="M4198" s="1" t="s">
        <v>5511</v>
      </c>
      <c r="N4198" s="8" t="s">
        <v>5524</v>
      </c>
      <c r="O4198" s="1" t="s">
        <v>5525</v>
      </c>
      <c r="P4198" s="5">
        <f>XLOOKUP(R4198, classification!C:C, classification!B:B, "Not Found")</f>
      </c>
      <c r="Q4198" s="1" t="s">
        <v>5514</v>
      </c>
      <c r="R4198" s="2"/>
      <c r="S4198" s="2"/>
      <c r="T4198" s="2"/>
      <c r="U4198" s="2"/>
    </row>
    <row x14ac:dyDescent="0.25" r="4199" customHeight="1" ht="17.25">
      <c r="A4199" s="7">
        <v>4198</v>
      </c>
      <c r="B4199" s="1" t="s">
        <v>9494</v>
      </c>
      <c r="C4199" s="5">
        <f>CONCATENATE("PD", TEXT(A4199, "1000000"))</f>
      </c>
      <c r="D4199" s="7">
        <v>76</v>
      </c>
      <c r="E4199" s="5">
        <f>XLOOKUP(G4199, item_category!C:C, item_category!B:B, "Not Found")</f>
      </c>
      <c r="F4199" s="1" t="s">
        <v>5632</v>
      </c>
      <c r="G4199" s="5">
        <f>XLOOKUP(I4199, drug!B:B, drug!A:A, "Not Found")</f>
      </c>
      <c r="H4199" s="1"/>
      <c r="I4199" s="7">
        <v>100</v>
      </c>
      <c r="J4199" s="5">
        <f>XLOOKUP(L4199, uom!C:C, uom!B:B, "Not Found")</f>
      </c>
      <c r="K4199" s="1" t="s">
        <v>5511</v>
      </c>
      <c r="L4199" s="5">
        <f>XLOOKUP(N4199, uom!C:C, uom!B:B, "Not Found")</f>
      </c>
      <c r="M4199" s="1" t="s">
        <v>5511</v>
      </c>
      <c r="N4199" s="8" t="s">
        <v>5524</v>
      </c>
      <c r="O4199" s="1" t="s">
        <v>5525</v>
      </c>
      <c r="P4199" s="5">
        <f>XLOOKUP(R4199, classification!C:C, classification!B:B, "Not Found")</f>
      </c>
      <c r="Q4199" s="1" t="s">
        <v>5514</v>
      </c>
      <c r="R4199" s="2"/>
      <c r="S4199" s="2"/>
      <c r="T4199" s="2"/>
      <c r="U4199" s="2"/>
    </row>
    <row x14ac:dyDescent="0.25" r="4200" customHeight="1" ht="17.25">
      <c r="A4200" s="7">
        <v>4199</v>
      </c>
      <c r="B4200" s="1" t="s">
        <v>9495</v>
      </c>
      <c r="C4200" s="5">
        <f>CONCATENATE("PD", TEXT(A4200, "1000000"))</f>
      </c>
      <c r="D4200" s="7">
        <v>76</v>
      </c>
      <c r="E4200" s="5">
        <f>XLOOKUP(G4200, item_category!C:C, item_category!B:B, "Not Found")</f>
      </c>
      <c r="F4200" s="1" t="s">
        <v>5632</v>
      </c>
      <c r="G4200" s="5">
        <f>XLOOKUP(I4200, drug!B:B, drug!A:A, "Not Found")</f>
      </c>
      <c r="H4200" s="1"/>
      <c r="I4200" s="7">
        <v>150</v>
      </c>
      <c r="J4200" s="5">
        <f>XLOOKUP(L4200, uom!C:C, uom!B:B, "Not Found")</f>
      </c>
      <c r="K4200" s="1" t="s">
        <v>5511</v>
      </c>
      <c r="L4200" s="5">
        <f>XLOOKUP(N4200, uom!C:C, uom!B:B, "Not Found")</f>
      </c>
      <c r="M4200" s="1" t="s">
        <v>5511</v>
      </c>
      <c r="N4200" s="8" t="s">
        <v>5524</v>
      </c>
      <c r="O4200" s="1" t="s">
        <v>5525</v>
      </c>
      <c r="P4200" s="5">
        <f>XLOOKUP(R4200, classification!C:C, classification!B:B, "Not Found")</f>
      </c>
      <c r="Q4200" s="1" t="s">
        <v>5514</v>
      </c>
      <c r="R4200" s="2"/>
      <c r="S4200" s="2"/>
      <c r="T4200" s="2"/>
      <c r="U4200" s="2"/>
    </row>
    <row x14ac:dyDescent="0.25" r="4201" customHeight="1" ht="17.25">
      <c r="A4201" s="7">
        <v>4200</v>
      </c>
      <c r="B4201" s="1" t="s">
        <v>9496</v>
      </c>
      <c r="C4201" s="5">
        <f>CONCATENATE("PD", TEXT(A4201, "1000000"))</f>
      </c>
      <c r="D4201" s="7">
        <v>76</v>
      </c>
      <c r="E4201" s="5">
        <f>XLOOKUP(G4201, item_category!C:C, item_category!B:B, "Not Found")</f>
      </c>
      <c r="F4201" s="1" t="s">
        <v>5632</v>
      </c>
      <c r="G4201" s="5">
        <f>XLOOKUP(I4201, drug!B:B, drug!A:A, "Not Found")</f>
      </c>
      <c r="H4201" s="1"/>
      <c r="I4201" s="7">
        <v>250</v>
      </c>
      <c r="J4201" s="5">
        <f>XLOOKUP(L4201, uom!C:C, uom!B:B, "Not Found")</f>
      </c>
      <c r="K4201" s="1" t="s">
        <v>5511</v>
      </c>
      <c r="L4201" s="5">
        <f>XLOOKUP(N4201, uom!C:C, uom!B:B, "Not Found")</f>
      </c>
      <c r="M4201" s="1" t="s">
        <v>5511</v>
      </c>
      <c r="N4201" s="8" t="s">
        <v>5524</v>
      </c>
      <c r="O4201" s="1" t="s">
        <v>5525</v>
      </c>
      <c r="P4201" s="5">
        <f>XLOOKUP(R4201, classification!C:C, classification!B:B, "Not Found")</f>
      </c>
      <c r="Q4201" s="1" t="s">
        <v>5514</v>
      </c>
      <c r="R4201" s="2"/>
      <c r="S4201" s="2"/>
      <c r="T4201" s="2"/>
      <c r="U4201" s="2"/>
    </row>
    <row x14ac:dyDescent="0.25" r="4202" customHeight="1" ht="17.25">
      <c r="A4202" s="7">
        <v>4201</v>
      </c>
      <c r="B4202" s="1" t="s">
        <v>9497</v>
      </c>
      <c r="C4202" s="5">
        <f>CONCATENATE("PD", TEXT(A4202, "1000000"))</f>
      </c>
      <c r="D4202" s="7">
        <v>1</v>
      </c>
      <c r="E4202" s="5">
        <f>XLOOKUP(G4202, item_category!C:C, item_category!B:B, "Not Found")</f>
      </c>
      <c r="F4202" s="1" t="s">
        <v>5514</v>
      </c>
      <c r="G4202" s="5">
        <f>XLOOKUP(I4202, drug!B:B, drug!A:A, "Not Found")</f>
      </c>
      <c r="H4202" s="1"/>
      <c r="I4202" s="7">
        <v>700</v>
      </c>
      <c r="J4202" s="5">
        <f>XLOOKUP(L4202, uom!C:C, uom!B:B, "Not Found")</f>
      </c>
      <c r="K4202" s="1" t="s">
        <v>9498</v>
      </c>
      <c r="L4202" s="5">
        <f>XLOOKUP(N4202, uom!C:C, uom!B:B, "Not Found")</f>
      </c>
      <c r="M4202" s="1" t="s">
        <v>9498</v>
      </c>
      <c r="N4202" s="8" t="s">
        <v>5524</v>
      </c>
      <c r="O4202" s="1" t="s">
        <v>5525</v>
      </c>
      <c r="P4202" s="5">
        <f>XLOOKUP(R4202, classification!C:C, classification!B:B, "Not Found")</f>
      </c>
      <c r="Q4202" s="1" t="s">
        <v>5514</v>
      </c>
      <c r="R4202" s="2"/>
      <c r="S4202" s="2"/>
      <c r="T4202" s="2"/>
      <c r="U4202" s="2"/>
    </row>
    <row x14ac:dyDescent="0.25" r="4203" customHeight="1" ht="17.25">
      <c r="A4203" s="7">
        <v>4202</v>
      </c>
      <c r="B4203" s="1" t="s">
        <v>9499</v>
      </c>
      <c r="C4203" s="5">
        <f>CONCATENATE("PD", TEXT(A4203, "1000000"))</f>
      </c>
      <c r="D4203" s="7">
        <v>1</v>
      </c>
      <c r="E4203" s="5">
        <f>XLOOKUP(G4203, item_category!C:C, item_category!B:B, "Not Found")</f>
      </c>
      <c r="F4203" s="1" t="s">
        <v>5514</v>
      </c>
      <c r="G4203" s="5">
        <f>XLOOKUP(I4203, drug!B:B, drug!A:A, "Not Found")</f>
      </c>
      <c r="H4203" s="1"/>
      <c r="I4203" s="7">
        <v>350</v>
      </c>
      <c r="J4203" s="5">
        <f>XLOOKUP(L4203, uom!C:C, uom!B:B, "Not Found")</f>
      </c>
      <c r="K4203" s="1" t="s">
        <v>5511</v>
      </c>
      <c r="L4203" s="5">
        <f>XLOOKUP(N4203, uom!C:C, uom!B:B, "Not Found")</f>
      </c>
      <c r="M4203" s="1" t="s">
        <v>5511</v>
      </c>
      <c r="N4203" s="8" t="s">
        <v>5524</v>
      </c>
      <c r="O4203" s="1" t="s">
        <v>5525</v>
      </c>
      <c r="P4203" s="5">
        <f>XLOOKUP(R4203, classification!C:C, classification!B:B, "Not Found")</f>
      </c>
      <c r="Q4203" s="1" t="s">
        <v>5514</v>
      </c>
      <c r="R4203" s="2"/>
      <c r="S4203" s="2"/>
      <c r="T4203" s="2"/>
      <c r="U4203" s="2"/>
    </row>
    <row x14ac:dyDescent="0.25" r="4204" customHeight="1" ht="17.25">
      <c r="A4204" s="7">
        <v>4203</v>
      </c>
      <c r="B4204" s="1" t="s">
        <v>9500</v>
      </c>
      <c r="C4204" s="5">
        <f>CONCATENATE("PD", TEXT(A4204, "1000000"))</f>
      </c>
      <c r="D4204" s="7">
        <v>1</v>
      </c>
      <c r="E4204" s="5">
        <f>XLOOKUP(G4204, item_category!C:C, item_category!B:B, "Not Found")</f>
      </c>
      <c r="F4204" s="1" t="s">
        <v>5514</v>
      </c>
      <c r="G4204" s="5">
        <f>XLOOKUP(I4204, drug!B:B, drug!A:A, "Not Found")</f>
      </c>
      <c r="H4204" s="1"/>
      <c r="I4204" s="7">
        <v>250</v>
      </c>
      <c r="J4204" s="5">
        <f>XLOOKUP(L4204, uom!C:C, uom!B:B, "Not Found")</f>
      </c>
      <c r="K4204" s="1" t="s">
        <v>5511</v>
      </c>
      <c r="L4204" s="5">
        <f>XLOOKUP(N4204, uom!C:C, uom!B:B, "Not Found")</f>
      </c>
      <c r="M4204" s="1" t="s">
        <v>5511</v>
      </c>
      <c r="N4204" s="8" t="s">
        <v>5524</v>
      </c>
      <c r="O4204" s="1" t="s">
        <v>5525</v>
      </c>
      <c r="P4204" s="5">
        <f>XLOOKUP(R4204, classification!C:C, classification!B:B, "Not Found")</f>
      </c>
      <c r="Q4204" s="1" t="s">
        <v>5514</v>
      </c>
      <c r="R4204" s="2"/>
      <c r="S4204" s="2"/>
      <c r="T4204" s="2"/>
      <c r="U4204" s="2"/>
    </row>
    <row x14ac:dyDescent="0.25" r="4205" customHeight="1" ht="17.25">
      <c r="A4205" s="7">
        <v>4204</v>
      </c>
      <c r="B4205" s="1" t="s">
        <v>9501</v>
      </c>
      <c r="C4205" s="5">
        <f>CONCATENATE("PD", TEXT(A4205, "1000000"))</f>
      </c>
      <c r="D4205" s="7">
        <v>76</v>
      </c>
      <c r="E4205" s="5">
        <f>XLOOKUP(G4205, item_category!C:C, item_category!B:B, "Not Found")</f>
      </c>
      <c r="F4205" s="1" t="s">
        <v>5632</v>
      </c>
      <c r="G4205" s="5">
        <f>XLOOKUP(I4205, drug!B:B, drug!A:A, "Not Found")</f>
      </c>
      <c r="H4205" s="1"/>
      <c r="I4205" s="7">
        <v>100</v>
      </c>
      <c r="J4205" s="5">
        <f>XLOOKUP(L4205, uom!C:C, uom!B:B, "Not Found")</f>
      </c>
      <c r="K4205" s="1" t="s">
        <v>9235</v>
      </c>
      <c r="L4205" s="5">
        <f>XLOOKUP(N4205, uom!C:C, uom!B:B, "Not Found")</f>
      </c>
      <c r="M4205" s="1" t="s">
        <v>9235</v>
      </c>
      <c r="N4205" s="8" t="s">
        <v>5524</v>
      </c>
      <c r="O4205" s="1" t="s">
        <v>5525</v>
      </c>
      <c r="P4205" s="5">
        <f>XLOOKUP(R4205, classification!C:C, classification!B:B, "Not Found")</f>
      </c>
      <c r="Q4205" s="1" t="s">
        <v>5514</v>
      </c>
      <c r="R4205" s="2"/>
      <c r="S4205" s="2"/>
      <c r="T4205" s="2"/>
      <c r="U4205" s="2"/>
    </row>
    <row x14ac:dyDescent="0.25" r="4206" customHeight="1" ht="17.25">
      <c r="A4206" s="7">
        <v>4205</v>
      </c>
      <c r="B4206" s="1" t="s">
        <v>9502</v>
      </c>
      <c r="C4206" s="5">
        <f>CONCATENATE("PD", TEXT(A4206, "1000000"))</f>
      </c>
      <c r="D4206" s="7">
        <v>76</v>
      </c>
      <c r="E4206" s="5">
        <f>XLOOKUP(G4206, item_category!C:C, item_category!B:B, "Not Found")</f>
      </c>
      <c r="F4206" s="1" t="s">
        <v>5632</v>
      </c>
      <c r="G4206" s="5">
        <f>XLOOKUP(I4206, drug!B:B, drug!A:A, "Not Found")</f>
      </c>
      <c r="H4206" s="1"/>
      <c r="I4206" s="7">
        <v>920</v>
      </c>
      <c r="J4206" s="5">
        <f>XLOOKUP(L4206, uom!C:C, uom!B:B, "Not Found")</f>
      </c>
      <c r="K4206" s="1" t="s">
        <v>6229</v>
      </c>
      <c r="L4206" s="5">
        <f>XLOOKUP(N4206, uom!C:C, uom!B:B, "Not Found")</f>
      </c>
      <c r="M4206" s="1" t="s">
        <v>6229</v>
      </c>
      <c r="N4206" s="8" t="s">
        <v>5524</v>
      </c>
      <c r="O4206" s="1" t="s">
        <v>5525</v>
      </c>
      <c r="P4206" s="5">
        <f>XLOOKUP(R4206, classification!C:C, classification!B:B, "Not Found")</f>
      </c>
      <c r="Q4206" s="1" t="s">
        <v>5514</v>
      </c>
      <c r="R4206" s="2"/>
      <c r="S4206" s="2"/>
      <c r="T4206" s="2"/>
      <c r="U4206" s="2"/>
    </row>
    <row x14ac:dyDescent="0.25" r="4207" customHeight="1" ht="17.25">
      <c r="A4207" s="7">
        <v>4206</v>
      </c>
      <c r="B4207" s="1" t="s">
        <v>9503</v>
      </c>
      <c r="C4207" s="5">
        <f>CONCATENATE("PD", TEXT(A4207, "1000000"))</f>
      </c>
      <c r="D4207" s="7">
        <v>1</v>
      </c>
      <c r="E4207" s="5">
        <f>XLOOKUP(G4207, item_category!C:C, item_category!B:B, "Not Found")</f>
      </c>
      <c r="F4207" s="1" t="s">
        <v>5514</v>
      </c>
      <c r="G4207" s="5">
        <f>XLOOKUP(I4207, drug!B:B, drug!A:A, "Not Found")</f>
      </c>
      <c r="H4207" s="1"/>
      <c r="I4207" s="7">
        <v>150</v>
      </c>
      <c r="J4207" s="5">
        <f>XLOOKUP(L4207, uom!C:C, uom!B:B, "Not Found")</f>
      </c>
      <c r="K4207" s="1" t="s">
        <v>5511</v>
      </c>
      <c r="L4207" s="5">
        <f>XLOOKUP(N4207, uom!C:C, uom!B:B, "Not Found")</f>
      </c>
      <c r="M4207" s="1" t="s">
        <v>5511</v>
      </c>
      <c r="N4207" s="8" t="s">
        <v>5524</v>
      </c>
      <c r="O4207" s="1" t="s">
        <v>5525</v>
      </c>
      <c r="P4207" s="5">
        <f>XLOOKUP(R4207, classification!C:C, classification!B:B, "Not Found")</f>
      </c>
      <c r="Q4207" s="1" t="s">
        <v>5514</v>
      </c>
      <c r="R4207" s="2"/>
      <c r="S4207" s="2"/>
      <c r="T4207" s="2"/>
      <c r="U4207" s="2"/>
    </row>
    <row x14ac:dyDescent="0.25" r="4208" customHeight="1" ht="17.25">
      <c r="A4208" s="7">
        <v>4207</v>
      </c>
      <c r="B4208" s="1" t="s">
        <v>9504</v>
      </c>
      <c r="C4208" s="5">
        <f>CONCATENATE("PD", TEXT(A4208, "1000000"))</f>
      </c>
      <c r="D4208" s="7">
        <v>1</v>
      </c>
      <c r="E4208" s="5">
        <f>XLOOKUP(G4208, item_category!C:C, item_category!B:B, "Not Found")</f>
      </c>
      <c r="F4208" s="1" t="s">
        <v>5514</v>
      </c>
      <c r="G4208" s="5">
        <f>XLOOKUP(I4208, drug!B:B, drug!A:A, "Not Found")</f>
      </c>
      <c r="H4208" s="1"/>
      <c r="I4208" s="7">
        <v>70</v>
      </c>
      <c r="J4208" s="5">
        <f>XLOOKUP(L4208, uom!C:C, uom!B:B, "Not Found")</f>
      </c>
      <c r="K4208" s="1" t="s">
        <v>5511</v>
      </c>
      <c r="L4208" s="5">
        <f>XLOOKUP(N4208, uom!C:C, uom!B:B, "Not Found")</f>
      </c>
      <c r="M4208" s="1" t="s">
        <v>5511</v>
      </c>
      <c r="N4208" s="8" t="s">
        <v>5524</v>
      </c>
      <c r="O4208" s="1" t="s">
        <v>5525</v>
      </c>
      <c r="P4208" s="5">
        <f>XLOOKUP(R4208, classification!C:C, classification!B:B, "Not Found")</f>
      </c>
      <c r="Q4208" s="1" t="s">
        <v>5514</v>
      </c>
      <c r="R4208" s="2"/>
      <c r="S4208" s="2"/>
      <c r="T4208" s="2"/>
      <c r="U4208" s="2"/>
    </row>
    <row x14ac:dyDescent="0.25" r="4209" customHeight="1" ht="17.25">
      <c r="A4209" s="7">
        <v>4208</v>
      </c>
      <c r="B4209" s="1" t="s">
        <v>9505</v>
      </c>
      <c r="C4209" s="5">
        <f>CONCATENATE("PD", TEXT(A4209, "1000000"))</f>
      </c>
      <c r="D4209" s="7">
        <v>1</v>
      </c>
      <c r="E4209" s="5">
        <f>XLOOKUP(G4209, item_category!C:C, item_category!B:B, "Not Found")</f>
      </c>
      <c r="F4209" s="1" t="s">
        <v>5514</v>
      </c>
      <c r="G4209" s="5">
        <f>XLOOKUP(I4209, drug!B:B, drug!A:A, "Not Found")</f>
      </c>
      <c r="H4209" s="1"/>
      <c r="I4209" s="7">
        <v>70</v>
      </c>
      <c r="J4209" s="5">
        <f>XLOOKUP(L4209, uom!C:C, uom!B:B, "Not Found")</f>
      </c>
      <c r="K4209" s="1" t="s">
        <v>5511</v>
      </c>
      <c r="L4209" s="5">
        <f>XLOOKUP(N4209, uom!C:C, uom!B:B, "Not Found")</f>
      </c>
      <c r="M4209" s="1" t="s">
        <v>5511</v>
      </c>
      <c r="N4209" s="8" t="s">
        <v>5524</v>
      </c>
      <c r="O4209" s="1" t="s">
        <v>5525</v>
      </c>
      <c r="P4209" s="5">
        <f>XLOOKUP(R4209, classification!C:C, classification!B:B, "Not Found")</f>
      </c>
      <c r="Q4209" s="1" t="s">
        <v>5514</v>
      </c>
      <c r="R4209" s="2"/>
      <c r="S4209" s="2"/>
      <c r="T4209" s="2"/>
      <c r="U4209" s="2"/>
    </row>
    <row x14ac:dyDescent="0.25" r="4210" customHeight="1" ht="17.25">
      <c r="A4210" s="7">
        <v>4209</v>
      </c>
      <c r="B4210" s="1" t="s">
        <v>9506</v>
      </c>
      <c r="C4210" s="5">
        <f>CONCATENATE("PD", TEXT(A4210, "1000000"))</f>
      </c>
      <c r="D4210" s="7">
        <v>1</v>
      </c>
      <c r="E4210" s="5">
        <f>XLOOKUP(G4210, item_category!C:C, item_category!B:B, "Not Found")</f>
      </c>
      <c r="F4210" s="1" t="s">
        <v>5514</v>
      </c>
      <c r="G4210" s="5">
        <f>XLOOKUP(I4210, drug!B:B, drug!A:A, "Not Found")</f>
      </c>
      <c r="H4210" s="1"/>
      <c r="I4210" s="7">
        <v>400</v>
      </c>
      <c r="J4210" s="5">
        <f>XLOOKUP(L4210, uom!C:C, uom!B:B, "Not Found")</f>
      </c>
      <c r="K4210" s="1" t="s">
        <v>7212</v>
      </c>
      <c r="L4210" s="5">
        <f>XLOOKUP(N4210, uom!C:C, uom!B:B, "Not Found")</f>
      </c>
      <c r="M4210" s="1" t="s">
        <v>7212</v>
      </c>
      <c r="N4210" s="8" t="s">
        <v>5524</v>
      </c>
      <c r="O4210" s="1" t="s">
        <v>5525</v>
      </c>
      <c r="P4210" s="5">
        <f>XLOOKUP(R4210, classification!C:C, classification!B:B, "Not Found")</f>
      </c>
      <c r="Q4210" s="1" t="s">
        <v>5514</v>
      </c>
      <c r="R4210" s="2"/>
      <c r="S4210" s="2"/>
      <c r="T4210" s="2"/>
      <c r="U4210" s="2"/>
    </row>
    <row x14ac:dyDescent="0.25" r="4211" customHeight="1" ht="17.25">
      <c r="A4211" s="7">
        <v>4210</v>
      </c>
      <c r="B4211" s="1" t="s">
        <v>9507</v>
      </c>
      <c r="C4211" s="5">
        <f>CONCATENATE("PD", TEXT(A4211, "1000000"))</f>
      </c>
      <c r="D4211" s="7">
        <v>1</v>
      </c>
      <c r="E4211" s="5">
        <f>XLOOKUP(G4211, item_category!C:C, item_category!B:B, "Not Found")</f>
      </c>
      <c r="F4211" s="1" t="s">
        <v>5514</v>
      </c>
      <c r="G4211" s="5">
        <f>XLOOKUP(I4211, drug!B:B, drug!A:A, "Not Found")</f>
      </c>
      <c r="H4211" s="1" t="s">
        <v>1942</v>
      </c>
      <c r="I4211" s="7">
        <v>250</v>
      </c>
      <c r="J4211" s="5">
        <f>XLOOKUP(L4211, uom!C:C, uom!B:B, "Not Found")</f>
      </c>
      <c r="K4211" s="1" t="s">
        <v>5523</v>
      </c>
      <c r="L4211" s="5">
        <f>XLOOKUP(N4211, uom!C:C, uom!B:B, "Not Found")</f>
      </c>
      <c r="M4211" s="1" t="s">
        <v>5523</v>
      </c>
      <c r="N4211" s="8" t="s">
        <v>5524</v>
      </c>
      <c r="O4211" s="1" t="s">
        <v>5525</v>
      </c>
      <c r="P4211" s="5">
        <f>XLOOKUP(R4211, classification!C:C, classification!B:B, "Not Found")</f>
      </c>
      <c r="Q4211" s="1" t="s">
        <v>5514</v>
      </c>
      <c r="R4211" s="2"/>
      <c r="S4211" s="2"/>
      <c r="T4211" s="2"/>
      <c r="U4211" s="2"/>
    </row>
    <row x14ac:dyDescent="0.25" r="4212" customHeight="1" ht="17.25">
      <c r="A4212" s="7">
        <v>4211</v>
      </c>
      <c r="B4212" s="1" t="s">
        <v>9508</v>
      </c>
      <c r="C4212" s="5">
        <f>CONCATENATE("PD", TEXT(A4212, "1000000"))</f>
      </c>
      <c r="D4212" s="7">
        <v>1</v>
      </c>
      <c r="E4212" s="5">
        <f>XLOOKUP(G4212, item_category!C:C, item_category!B:B, "Not Found")</f>
      </c>
      <c r="F4212" s="1" t="s">
        <v>5514</v>
      </c>
      <c r="G4212" s="5">
        <f>XLOOKUP(I4212, drug!B:B, drug!A:A, "Not Found")</f>
      </c>
      <c r="H4212" s="1"/>
      <c r="I4212" s="7">
        <v>1</v>
      </c>
      <c r="J4212" s="5">
        <f>XLOOKUP(L4212, uom!C:C, uom!B:B, "Not Found")</f>
      </c>
      <c r="K4212" s="1" t="s">
        <v>5511</v>
      </c>
      <c r="L4212" s="5">
        <f>XLOOKUP(N4212, uom!C:C, uom!B:B, "Not Found")</f>
      </c>
      <c r="M4212" s="1" t="s">
        <v>5511</v>
      </c>
      <c r="N4212" s="8" t="s">
        <v>5524</v>
      </c>
      <c r="O4212" s="1" t="s">
        <v>5525</v>
      </c>
      <c r="P4212" s="5">
        <f>XLOOKUP(R4212, classification!C:C, classification!B:B, "Not Found")</f>
      </c>
      <c r="Q4212" s="1" t="s">
        <v>5514</v>
      </c>
      <c r="R4212" s="2"/>
      <c r="S4212" s="2"/>
      <c r="T4212" s="2"/>
      <c r="U4212" s="2"/>
    </row>
    <row x14ac:dyDescent="0.25" r="4213" customHeight="1" ht="17.25">
      <c r="A4213" s="7">
        <v>4212</v>
      </c>
      <c r="B4213" s="1" t="s">
        <v>9509</v>
      </c>
      <c r="C4213" s="5">
        <f>CONCATENATE("PD", TEXT(A4213, "1000000"))</f>
      </c>
      <c r="D4213" s="7">
        <v>1</v>
      </c>
      <c r="E4213" s="5">
        <f>XLOOKUP(G4213, item_category!C:C, item_category!B:B, "Not Found")</f>
      </c>
      <c r="F4213" s="1" t="s">
        <v>5514</v>
      </c>
      <c r="G4213" s="5">
        <f>XLOOKUP(I4213, drug!B:B, drug!A:A, "Not Found")</f>
      </c>
      <c r="H4213" s="1"/>
      <c r="I4213" s="7">
        <v>200</v>
      </c>
      <c r="J4213" s="5">
        <f>XLOOKUP(L4213, uom!C:C, uom!B:B, "Not Found")</f>
      </c>
      <c r="K4213" s="1" t="s">
        <v>5511</v>
      </c>
      <c r="L4213" s="5">
        <f>XLOOKUP(N4213, uom!C:C, uom!B:B, "Not Found")</f>
      </c>
      <c r="M4213" s="1" t="s">
        <v>5511</v>
      </c>
      <c r="N4213" s="8" t="s">
        <v>5524</v>
      </c>
      <c r="O4213" s="1" t="s">
        <v>5525</v>
      </c>
      <c r="P4213" s="5">
        <f>XLOOKUP(R4213, classification!C:C, classification!B:B, "Not Found")</f>
      </c>
      <c r="Q4213" s="1" t="s">
        <v>5514</v>
      </c>
      <c r="R4213" s="2"/>
      <c r="S4213" s="2"/>
      <c r="T4213" s="2"/>
      <c r="U4213" s="2"/>
    </row>
    <row x14ac:dyDescent="0.25" r="4214" customHeight="1" ht="17.25">
      <c r="A4214" s="7">
        <v>4213</v>
      </c>
      <c r="B4214" s="1" t="s">
        <v>9510</v>
      </c>
      <c r="C4214" s="5">
        <f>CONCATENATE("PD", TEXT(A4214, "1000000"))</f>
      </c>
      <c r="D4214" s="7">
        <v>1</v>
      </c>
      <c r="E4214" s="5">
        <f>XLOOKUP(G4214, item_category!C:C, item_category!B:B, "Not Found")</f>
      </c>
      <c r="F4214" s="1" t="s">
        <v>5514</v>
      </c>
      <c r="G4214" s="5">
        <f>XLOOKUP(I4214, drug!B:B, drug!A:A, "Not Found")</f>
      </c>
      <c r="H4214" s="1"/>
      <c r="I4214" s="7">
        <v>50</v>
      </c>
      <c r="J4214" s="5">
        <f>XLOOKUP(L4214, uom!C:C, uom!B:B, "Not Found")</f>
      </c>
      <c r="K4214" s="1" t="s">
        <v>5511</v>
      </c>
      <c r="L4214" s="5">
        <f>XLOOKUP(N4214, uom!C:C, uom!B:B, "Not Found")</f>
      </c>
      <c r="M4214" s="1" t="s">
        <v>5511</v>
      </c>
      <c r="N4214" s="8" t="s">
        <v>5524</v>
      </c>
      <c r="O4214" s="1" t="s">
        <v>5525</v>
      </c>
      <c r="P4214" s="5">
        <f>XLOOKUP(R4214, classification!C:C, classification!B:B, "Not Found")</f>
      </c>
      <c r="Q4214" s="1" t="s">
        <v>5514</v>
      </c>
      <c r="R4214" s="2"/>
      <c r="S4214" s="2"/>
      <c r="T4214" s="2"/>
      <c r="U4214" s="2"/>
    </row>
    <row x14ac:dyDescent="0.25" r="4215" customHeight="1" ht="17.25">
      <c r="A4215" s="7">
        <v>4214</v>
      </c>
      <c r="B4215" s="1" t="s">
        <v>9511</v>
      </c>
      <c r="C4215" s="5">
        <f>CONCATENATE("PD", TEXT(A4215, "1000000"))</f>
      </c>
      <c r="D4215" s="7">
        <v>1</v>
      </c>
      <c r="E4215" s="5">
        <f>XLOOKUP(G4215, item_category!C:C, item_category!B:B, "Not Found")</f>
      </c>
      <c r="F4215" s="1" t="s">
        <v>5514</v>
      </c>
      <c r="G4215" s="5">
        <f>XLOOKUP(I4215, drug!B:B, drug!A:A, "Not Found")</f>
      </c>
      <c r="H4215" s="1"/>
      <c r="I4215" s="7">
        <v>400</v>
      </c>
      <c r="J4215" s="5">
        <f>XLOOKUP(L4215, uom!C:C, uom!B:B, "Not Found")</f>
      </c>
      <c r="K4215" s="1" t="s">
        <v>7212</v>
      </c>
      <c r="L4215" s="5">
        <f>XLOOKUP(N4215, uom!C:C, uom!B:B, "Not Found")</f>
      </c>
      <c r="M4215" s="1" t="s">
        <v>7212</v>
      </c>
      <c r="N4215" s="8" t="s">
        <v>5524</v>
      </c>
      <c r="O4215" s="1" t="s">
        <v>5525</v>
      </c>
      <c r="P4215" s="5">
        <f>XLOOKUP(R4215, classification!C:C, classification!B:B, "Not Found")</f>
      </c>
      <c r="Q4215" s="1" t="s">
        <v>5514</v>
      </c>
      <c r="R4215" s="2"/>
      <c r="S4215" s="2"/>
      <c r="T4215" s="2"/>
      <c r="U4215" s="2"/>
    </row>
    <row x14ac:dyDescent="0.25" r="4216" customHeight="1" ht="17.25">
      <c r="A4216" s="7">
        <v>4215</v>
      </c>
      <c r="B4216" s="1" t="s">
        <v>9512</v>
      </c>
      <c r="C4216" s="5">
        <f>CONCATENATE("PD", TEXT(A4216, "1000000"))</f>
      </c>
      <c r="D4216" s="7">
        <v>1</v>
      </c>
      <c r="E4216" s="5">
        <f>XLOOKUP(G4216, item_category!C:C, item_category!B:B, "Not Found")</f>
      </c>
      <c r="F4216" s="1" t="s">
        <v>5514</v>
      </c>
      <c r="G4216" s="5">
        <f>XLOOKUP(I4216, drug!B:B, drug!A:A, "Not Found")</f>
      </c>
      <c r="H4216" s="1"/>
      <c r="I4216" s="7">
        <v>30</v>
      </c>
      <c r="J4216" s="5">
        <f>XLOOKUP(L4216, uom!C:C, uom!B:B, "Not Found")</f>
      </c>
      <c r="K4216" s="1" t="s">
        <v>7840</v>
      </c>
      <c r="L4216" s="5">
        <f>XLOOKUP(N4216, uom!C:C, uom!B:B, "Not Found")</f>
      </c>
      <c r="M4216" s="1" t="s">
        <v>7840</v>
      </c>
      <c r="N4216" s="8" t="s">
        <v>5524</v>
      </c>
      <c r="O4216" s="1" t="s">
        <v>5525</v>
      </c>
      <c r="P4216" s="5">
        <f>XLOOKUP(R4216, classification!C:C, classification!B:B, "Not Found")</f>
      </c>
      <c r="Q4216" s="1" t="s">
        <v>5514</v>
      </c>
      <c r="R4216" s="2"/>
      <c r="S4216" s="2"/>
      <c r="T4216" s="2"/>
      <c r="U4216" s="2"/>
    </row>
    <row x14ac:dyDescent="0.25" r="4217" customHeight="1" ht="17.25">
      <c r="A4217" s="7">
        <v>4216</v>
      </c>
      <c r="B4217" s="1" t="s">
        <v>9513</v>
      </c>
      <c r="C4217" s="5">
        <f>CONCATENATE("PD", TEXT(A4217, "1000000"))</f>
      </c>
      <c r="D4217" s="7">
        <v>76</v>
      </c>
      <c r="E4217" s="5">
        <f>XLOOKUP(G4217, item_category!C:C, item_category!B:B, "Not Found")</f>
      </c>
      <c r="F4217" s="1" t="s">
        <v>5632</v>
      </c>
      <c r="G4217" s="5">
        <f>XLOOKUP(I4217, drug!B:B, drug!A:A, "Not Found")</f>
      </c>
      <c r="H4217" s="1"/>
      <c r="I4217" s="7">
        <v>100</v>
      </c>
      <c r="J4217" s="5">
        <f>XLOOKUP(L4217, uom!C:C, uom!B:B, "Not Found")</f>
      </c>
      <c r="K4217" s="1" t="s">
        <v>5511</v>
      </c>
      <c r="L4217" s="5">
        <f>XLOOKUP(N4217, uom!C:C, uom!B:B, "Not Found")</f>
      </c>
      <c r="M4217" s="1" t="s">
        <v>5511</v>
      </c>
      <c r="N4217" s="8" t="s">
        <v>5524</v>
      </c>
      <c r="O4217" s="1" t="s">
        <v>5525</v>
      </c>
      <c r="P4217" s="5">
        <f>XLOOKUP(R4217, classification!C:C, classification!B:B, "Not Found")</f>
      </c>
      <c r="Q4217" s="1" t="s">
        <v>5514</v>
      </c>
      <c r="R4217" s="2"/>
      <c r="S4217" s="2"/>
      <c r="T4217" s="2"/>
      <c r="U4217" s="2"/>
    </row>
    <row x14ac:dyDescent="0.25" r="4218" customHeight="1" ht="17.25">
      <c r="A4218" s="7">
        <v>4217</v>
      </c>
      <c r="B4218" s="1" t="s">
        <v>9514</v>
      </c>
      <c r="C4218" s="5">
        <f>CONCATENATE("PD", TEXT(A4218, "1000000"))</f>
      </c>
      <c r="D4218" s="7">
        <v>1</v>
      </c>
      <c r="E4218" s="5">
        <f>XLOOKUP(G4218, item_category!C:C, item_category!B:B, "Not Found")</f>
      </c>
      <c r="F4218" s="1" t="s">
        <v>5514</v>
      </c>
      <c r="G4218" s="5">
        <f>XLOOKUP(I4218, drug!B:B, drug!A:A, "Not Found")</f>
      </c>
      <c r="H4218" s="1"/>
      <c r="I4218" s="7">
        <v>300</v>
      </c>
      <c r="J4218" s="5">
        <f>XLOOKUP(L4218, uom!C:C, uom!B:B, "Not Found")</f>
      </c>
      <c r="K4218" s="1" t="s">
        <v>5511</v>
      </c>
      <c r="L4218" s="5">
        <f>XLOOKUP(N4218, uom!C:C, uom!B:B, "Not Found")</f>
      </c>
      <c r="M4218" s="1" t="s">
        <v>5511</v>
      </c>
      <c r="N4218" s="8" t="s">
        <v>5524</v>
      </c>
      <c r="O4218" s="1" t="s">
        <v>5525</v>
      </c>
      <c r="P4218" s="5">
        <f>XLOOKUP(R4218, classification!C:C, classification!B:B, "Not Found")</f>
      </c>
      <c r="Q4218" s="1" t="s">
        <v>5514</v>
      </c>
      <c r="R4218" s="2"/>
      <c r="S4218" s="2"/>
      <c r="T4218" s="2"/>
      <c r="U4218" s="2"/>
    </row>
    <row x14ac:dyDescent="0.25" r="4219" customHeight="1" ht="17.25">
      <c r="A4219" s="7">
        <v>4218</v>
      </c>
      <c r="B4219" s="1" t="s">
        <v>9515</v>
      </c>
      <c r="C4219" s="5">
        <f>CONCATENATE("PD", TEXT(A4219, "1000000"))</f>
      </c>
      <c r="D4219" s="7">
        <v>1</v>
      </c>
      <c r="E4219" s="5">
        <f>XLOOKUP(G4219, item_category!C:C, item_category!B:B, "Not Found")</f>
      </c>
      <c r="F4219" s="1" t="s">
        <v>5514</v>
      </c>
      <c r="G4219" s="5">
        <f>XLOOKUP(I4219, drug!B:B, drug!A:A, "Not Found")</f>
      </c>
      <c r="H4219" s="1"/>
      <c r="I4219" s="7">
        <v>260</v>
      </c>
      <c r="J4219" s="5">
        <f>XLOOKUP(L4219, uom!C:C, uom!B:B, "Not Found")</f>
      </c>
      <c r="K4219" s="1" t="s">
        <v>5511</v>
      </c>
      <c r="L4219" s="5">
        <f>XLOOKUP(N4219, uom!C:C, uom!B:B, "Not Found")</f>
      </c>
      <c r="M4219" s="1" t="s">
        <v>5511</v>
      </c>
      <c r="N4219" s="8" t="s">
        <v>5524</v>
      </c>
      <c r="O4219" s="1" t="s">
        <v>5525</v>
      </c>
      <c r="P4219" s="5">
        <f>XLOOKUP(R4219, classification!C:C, classification!B:B, "Not Found")</f>
      </c>
      <c r="Q4219" s="1" t="s">
        <v>5514</v>
      </c>
      <c r="R4219" s="2"/>
      <c r="S4219" s="2"/>
      <c r="T4219" s="2"/>
      <c r="U4219" s="2"/>
    </row>
    <row x14ac:dyDescent="0.25" r="4220" customHeight="1" ht="17.25">
      <c r="A4220" s="7">
        <v>4219</v>
      </c>
      <c r="B4220" s="1" t="s">
        <v>9516</v>
      </c>
      <c r="C4220" s="5">
        <f>CONCATENATE("PD", TEXT(A4220, "1000000"))</f>
      </c>
      <c r="D4220" s="7">
        <v>1</v>
      </c>
      <c r="E4220" s="5">
        <f>XLOOKUP(G4220, item_category!C:C, item_category!B:B, "Not Found")</f>
      </c>
      <c r="F4220" s="1" t="s">
        <v>5514</v>
      </c>
      <c r="G4220" s="5">
        <f>XLOOKUP(I4220, drug!B:B, drug!A:A, "Not Found")</f>
      </c>
      <c r="H4220" s="1" t="s">
        <v>1942</v>
      </c>
      <c r="I4220" s="7">
        <v>200</v>
      </c>
      <c r="J4220" s="5">
        <f>XLOOKUP(L4220, uom!C:C, uom!B:B, "Not Found")</f>
      </c>
      <c r="K4220" s="1" t="s">
        <v>5511</v>
      </c>
      <c r="L4220" s="5">
        <f>XLOOKUP(N4220, uom!C:C, uom!B:B, "Not Found")</f>
      </c>
      <c r="M4220" s="1" t="s">
        <v>5511</v>
      </c>
      <c r="N4220" s="8" t="s">
        <v>5524</v>
      </c>
      <c r="O4220" s="1" t="s">
        <v>5525</v>
      </c>
      <c r="P4220" s="5">
        <f>XLOOKUP(R4220, classification!C:C, classification!B:B, "Not Found")</f>
      </c>
      <c r="Q4220" s="1" t="s">
        <v>5514</v>
      </c>
      <c r="R4220" s="2"/>
      <c r="S4220" s="2"/>
      <c r="T4220" s="2"/>
      <c r="U4220" s="2"/>
    </row>
    <row x14ac:dyDescent="0.25" r="4221" customHeight="1" ht="17.25">
      <c r="A4221" s="7">
        <v>4220</v>
      </c>
      <c r="B4221" s="1" t="s">
        <v>9517</v>
      </c>
      <c r="C4221" s="5">
        <f>CONCATENATE("PD", TEXT(A4221, "1000000"))</f>
      </c>
      <c r="D4221" s="7">
        <v>1</v>
      </c>
      <c r="E4221" s="5">
        <f>XLOOKUP(G4221, item_category!C:C, item_category!B:B, "Not Found")</f>
      </c>
      <c r="F4221" s="1" t="s">
        <v>5514</v>
      </c>
      <c r="G4221" s="5">
        <f>XLOOKUP(I4221, drug!B:B, drug!A:A, "Not Found")</f>
      </c>
      <c r="H4221" s="1"/>
      <c r="I4221" s="7">
        <v>100</v>
      </c>
      <c r="J4221" s="5">
        <f>XLOOKUP(L4221, uom!C:C, uom!B:B, "Not Found")</f>
      </c>
      <c r="K4221" s="1" t="s">
        <v>5511</v>
      </c>
      <c r="L4221" s="5">
        <f>XLOOKUP(N4221, uom!C:C, uom!B:B, "Not Found")</f>
      </c>
      <c r="M4221" s="1" t="s">
        <v>5511</v>
      </c>
      <c r="N4221" s="8" t="s">
        <v>5524</v>
      </c>
      <c r="O4221" s="1" t="s">
        <v>5525</v>
      </c>
      <c r="P4221" s="5">
        <f>XLOOKUP(R4221, classification!C:C, classification!B:B, "Not Found")</f>
      </c>
      <c r="Q4221" s="1" t="s">
        <v>5514</v>
      </c>
      <c r="R4221" s="2"/>
      <c r="S4221" s="2"/>
      <c r="T4221" s="2"/>
      <c r="U4221" s="2"/>
    </row>
    <row x14ac:dyDescent="0.25" r="4222" customHeight="1" ht="17.25">
      <c r="A4222" s="7">
        <v>4221</v>
      </c>
      <c r="B4222" s="1" t="s">
        <v>9518</v>
      </c>
      <c r="C4222" s="5">
        <f>CONCATENATE("PD", TEXT(A4222, "1000000"))</f>
      </c>
      <c r="D4222" s="7">
        <v>76</v>
      </c>
      <c r="E4222" s="5">
        <f>XLOOKUP(G4222, item_category!C:C, item_category!B:B, "Not Found")</f>
      </c>
      <c r="F4222" s="1" t="s">
        <v>5632</v>
      </c>
      <c r="G4222" s="5">
        <f>XLOOKUP(I4222, drug!B:B, drug!A:A, "Not Found")</f>
      </c>
      <c r="H4222" s="1"/>
      <c r="I4222" s="7">
        <v>150</v>
      </c>
      <c r="J4222" s="5">
        <f>XLOOKUP(L4222, uom!C:C, uom!B:B, "Not Found")</f>
      </c>
      <c r="K4222" s="1" t="s">
        <v>5511</v>
      </c>
      <c r="L4222" s="5">
        <f>XLOOKUP(N4222, uom!C:C, uom!B:B, "Not Found")</f>
      </c>
      <c r="M4222" s="1" t="s">
        <v>5511</v>
      </c>
      <c r="N4222" s="8" t="s">
        <v>5524</v>
      </c>
      <c r="O4222" s="1" t="s">
        <v>9519</v>
      </c>
      <c r="P4222" s="5">
        <f>XLOOKUP(R4222, classification!C:C, classification!B:B, "Not Found")</f>
      </c>
      <c r="Q4222" s="1" t="s">
        <v>5514</v>
      </c>
      <c r="R4222" s="2"/>
      <c r="S4222" s="2"/>
      <c r="T4222" s="2"/>
      <c r="U4222" s="2"/>
    </row>
    <row x14ac:dyDescent="0.25" r="4223" customHeight="1" ht="17.25">
      <c r="A4223" s="7">
        <v>4222</v>
      </c>
      <c r="B4223" s="1" t="s">
        <v>9520</v>
      </c>
      <c r="C4223" s="5">
        <f>CONCATENATE("PD", TEXT(A4223, "1000000"))</f>
      </c>
      <c r="D4223" s="7">
        <v>1</v>
      </c>
      <c r="E4223" s="5">
        <f>XLOOKUP(G4223, item_category!C:C, item_category!B:B, "Not Found")</f>
      </c>
      <c r="F4223" s="1" t="s">
        <v>5514</v>
      </c>
      <c r="G4223" s="5">
        <f>XLOOKUP(I4223, drug!B:B, drug!A:A, "Not Found")</f>
      </c>
      <c r="H4223" s="1"/>
      <c r="I4223" s="7">
        <v>1</v>
      </c>
      <c r="J4223" s="5">
        <f>XLOOKUP(L4223, uom!C:C, uom!B:B, "Not Found")</f>
      </c>
      <c r="K4223" s="1" t="s">
        <v>5511</v>
      </c>
      <c r="L4223" s="5">
        <f>XLOOKUP(N4223, uom!C:C, uom!B:B, "Not Found")</f>
      </c>
      <c r="M4223" s="1" t="s">
        <v>5511</v>
      </c>
      <c r="N4223" s="8" t="s">
        <v>5524</v>
      </c>
      <c r="O4223" s="1" t="s">
        <v>5525</v>
      </c>
      <c r="P4223" s="5">
        <f>XLOOKUP(R4223, classification!C:C, classification!B:B, "Not Found")</f>
      </c>
      <c r="Q4223" s="1" t="s">
        <v>5514</v>
      </c>
      <c r="R4223" s="2"/>
      <c r="S4223" s="2"/>
      <c r="T4223" s="2"/>
      <c r="U4223" s="2"/>
    </row>
    <row x14ac:dyDescent="0.25" r="4224" customHeight="1" ht="17.25">
      <c r="A4224" s="7">
        <v>4223</v>
      </c>
      <c r="B4224" s="1" t="s">
        <v>9521</v>
      </c>
      <c r="C4224" s="5">
        <f>CONCATENATE("PD", TEXT(A4224, "1000000"))</f>
      </c>
      <c r="D4224" s="7">
        <v>1</v>
      </c>
      <c r="E4224" s="5">
        <f>XLOOKUP(G4224, item_category!C:C, item_category!B:B, "Not Found")</f>
      </c>
      <c r="F4224" s="1" t="s">
        <v>5514</v>
      </c>
      <c r="G4224" s="5">
        <f>XLOOKUP(I4224, drug!B:B, drug!A:A, "Not Found")</f>
      </c>
      <c r="H4224" s="1"/>
      <c r="I4224" s="7">
        <v>50</v>
      </c>
      <c r="J4224" s="5">
        <f>XLOOKUP(L4224, uom!C:C, uom!B:B, "Not Found")</f>
      </c>
      <c r="K4224" s="1" t="s">
        <v>7840</v>
      </c>
      <c r="L4224" s="5">
        <f>XLOOKUP(N4224, uom!C:C, uom!B:B, "Not Found")</f>
      </c>
      <c r="M4224" s="1" t="s">
        <v>7840</v>
      </c>
      <c r="N4224" s="8" t="s">
        <v>5524</v>
      </c>
      <c r="O4224" s="1" t="s">
        <v>5525</v>
      </c>
      <c r="P4224" s="5">
        <f>XLOOKUP(R4224, classification!C:C, classification!B:B, "Not Found")</f>
      </c>
      <c r="Q4224" s="1" t="s">
        <v>5514</v>
      </c>
      <c r="R4224" s="2"/>
      <c r="S4224" s="2"/>
      <c r="T4224" s="2"/>
      <c r="U4224" s="2"/>
    </row>
    <row x14ac:dyDescent="0.25" r="4225" customHeight="1" ht="17.25">
      <c r="A4225" s="7">
        <v>4224</v>
      </c>
      <c r="B4225" s="1" t="s">
        <v>9522</v>
      </c>
      <c r="C4225" s="5">
        <f>CONCATENATE("PD", TEXT(A4225, "1000000"))</f>
      </c>
      <c r="D4225" s="7">
        <v>76</v>
      </c>
      <c r="E4225" s="5">
        <f>XLOOKUP(G4225, item_category!C:C, item_category!B:B, "Not Found")</f>
      </c>
      <c r="F4225" s="1" t="s">
        <v>5632</v>
      </c>
      <c r="G4225" s="5">
        <f>XLOOKUP(I4225, drug!B:B, drug!A:A, "Not Found")</f>
      </c>
      <c r="H4225" s="1"/>
      <c r="I4225" s="7">
        <v>200</v>
      </c>
      <c r="J4225" s="5">
        <f>XLOOKUP(L4225, uom!C:C, uom!B:B, "Not Found")</f>
      </c>
      <c r="K4225" s="1" t="s">
        <v>5511</v>
      </c>
      <c r="L4225" s="5">
        <f>XLOOKUP(N4225, uom!C:C, uom!B:B, "Not Found")</f>
      </c>
      <c r="M4225" s="1" t="s">
        <v>5511</v>
      </c>
      <c r="N4225" s="8" t="s">
        <v>5524</v>
      </c>
      <c r="O4225" s="1" t="s">
        <v>5525</v>
      </c>
      <c r="P4225" s="5">
        <f>XLOOKUP(R4225, classification!C:C, classification!B:B, "Not Found")</f>
      </c>
      <c r="Q4225" s="1" t="s">
        <v>5514</v>
      </c>
      <c r="R4225" s="2"/>
      <c r="S4225" s="2"/>
      <c r="T4225" s="2"/>
      <c r="U4225" s="2"/>
    </row>
    <row x14ac:dyDescent="0.25" r="4226" customHeight="1" ht="17.25">
      <c r="A4226" s="7">
        <v>4225</v>
      </c>
      <c r="B4226" s="1" t="s">
        <v>9523</v>
      </c>
      <c r="C4226" s="5">
        <f>CONCATENATE("PD", TEXT(A4226, "1000000"))</f>
      </c>
      <c r="D4226" s="7">
        <v>1</v>
      </c>
      <c r="E4226" s="5">
        <f>XLOOKUP(G4226, item_category!C:C, item_category!B:B, "Not Found")</f>
      </c>
      <c r="F4226" s="1" t="s">
        <v>5514</v>
      </c>
      <c r="G4226" s="5">
        <f>XLOOKUP(I4226, drug!B:B, drug!A:A, "Not Found")</f>
      </c>
      <c r="H4226" s="1" t="s">
        <v>743</v>
      </c>
      <c r="I4226" s="7">
        <v>200</v>
      </c>
      <c r="J4226" s="5">
        <f>XLOOKUP(L4226, uom!C:C, uom!B:B, "Not Found")</f>
      </c>
      <c r="K4226" s="1" t="s">
        <v>5544</v>
      </c>
      <c r="L4226" s="5">
        <f>XLOOKUP(N4226, uom!C:C, uom!B:B, "Not Found")</f>
      </c>
      <c r="M4226" s="1" t="s">
        <v>5544</v>
      </c>
      <c r="N4226" s="8" t="s">
        <v>5524</v>
      </c>
      <c r="O4226" s="1" t="s">
        <v>5525</v>
      </c>
      <c r="P4226" s="5">
        <f>XLOOKUP(R4226, classification!C:C, classification!B:B, "Not Found")</f>
      </c>
      <c r="Q4226" s="1" t="s">
        <v>5514</v>
      </c>
      <c r="R4226" s="2"/>
      <c r="S4226" s="2"/>
      <c r="T4226" s="2"/>
      <c r="U4226" s="2"/>
    </row>
    <row x14ac:dyDescent="0.25" r="4227" customHeight="1" ht="17.25">
      <c r="A4227" s="7">
        <v>4226</v>
      </c>
      <c r="B4227" s="1" t="s">
        <v>9524</v>
      </c>
      <c r="C4227" s="5">
        <f>CONCATENATE("PD", TEXT(A4227, "1000000"))</f>
      </c>
      <c r="D4227" s="7">
        <v>1</v>
      </c>
      <c r="E4227" s="5">
        <f>XLOOKUP(G4227, item_category!C:C, item_category!B:B, "Not Found")</f>
      </c>
      <c r="F4227" s="1" t="s">
        <v>5514</v>
      </c>
      <c r="G4227" s="5">
        <f>XLOOKUP(I4227, drug!B:B, drug!A:A, "Not Found")</f>
      </c>
      <c r="H4227" s="1"/>
      <c r="I4227" s="7">
        <v>2150</v>
      </c>
      <c r="J4227" s="5">
        <f>XLOOKUP(L4227, uom!C:C, uom!B:B, "Not Found")</f>
      </c>
      <c r="K4227" s="1" t="s">
        <v>5602</v>
      </c>
      <c r="L4227" s="5">
        <f>XLOOKUP(N4227, uom!C:C, uom!B:B, "Not Found")</f>
      </c>
      <c r="M4227" s="1" t="s">
        <v>5602</v>
      </c>
      <c r="N4227" s="8" t="s">
        <v>5524</v>
      </c>
      <c r="O4227" s="1" t="s">
        <v>5525</v>
      </c>
      <c r="P4227" s="5">
        <f>XLOOKUP(R4227, classification!C:C, classification!B:B, "Not Found")</f>
      </c>
      <c r="Q4227" s="1" t="s">
        <v>5514</v>
      </c>
      <c r="R4227" s="2"/>
      <c r="S4227" s="2"/>
      <c r="T4227" s="2"/>
      <c r="U4227" s="2"/>
    </row>
    <row x14ac:dyDescent="0.25" r="4228" customHeight="1" ht="17.25">
      <c r="A4228" s="7">
        <v>4227</v>
      </c>
      <c r="B4228" s="1" t="s">
        <v>9525</v>
      </c>
      <c r="C4228" s="5">
        <f>CONCATENATE("PD", TEXT(A4228, "1000000"))</f>
      </c>
      <c r="D4228" s="7">
        <v>1</v>
      </c>
      <c r="E4228" s="5">
        <f>XLOOKUP(G4228, item_category!C:C, item_category!B:B, "Not Found")</f>
      </c>
      <c r="F4228" s="1" t="s">
        <v>5514</v>
      </c>
      <c r="G4228" s="5">
        <f>XLOOKUP(I4228, drug!B:B, drug!A:A, "Not Found")</f>
      </c>
      <c r="H4228" s="1"/>
      <c r="I4228" s="7">
        <v>330</v>
      </c>
      <c r="J4228" s="5">
        <f>XLOOKUP(L4228, uom!C:C, uom!B:B, "Not Found")</f>
      </c>
      <c r="K4228" s="1" t="s">
        <v>5602</v>
      </c>
      <c r="L4228" s="5">
        <f>XLOOKUP(N4228, uom!C:C, uom!B:B, "Not Found")</f>
      </c>
      <c r="M4228" s="1" t="s">
        <v>5602</v>
      </c>
      <c r="N4228" s="8" t="s">
        <v>5524</v>
      </c>
      <c r="O4228" s="1" t="s">
        <v>5525</v>
      </c>
      <c r="P4228" s="5">
        <f>XLOOKUP(R4228, classification!C:C, classification!B:B, "Not Found")</f>
      </c>
      <c r="Q4228" s="1" t="s">
        <v>5514</v>
      </c>
      <c r="R4228" s="2"/>
      <c r="S4228" s="2"/>
      <c r="T4228" s="2"/>
      <c r="U4228" s="2"/>
    </row>
    <row x14ac:dyDescent="0.25" r="4229" customHeight="1" ht="17.25">
      <c r="A4229" s="7">
        <v>4228</v>
      </c>
      <c r="B4229" s="1" t="s">
        <v>9526</v>
      </c>
      <c r="C4229" s="5">
        <f>CONCATENATE("PD", TEXT(A4229, "1000000"))</f>
      </c>
      <c r="D4229" s="7">
        <v>74</v>
      </c>
      <c r="E4229" s="5">
        <f>XLOOKUP(G4229, item_category!C:C, item_category!B:B, "Not Found")</f>
      </c>
      <c r="F4229" s="1" t="s">
        <v>5520</v>
      </c>
      <c r="G4229" s="5">
        <f>XLOOKUP(I4229, drug!B:B, drug!A:A, "Not Found")</f>
      </c>
      <c r="H4229" s="1" t="s">
        <v>1942</v>
      </c>
      <c r="I4229" s="7">
        <v>250</v>
      </c>
      <c r="J4229" s="5">
        <f>XLOOKUP(L4229, uom!C:C, uom!B:B, "Not Found")</f>
      </c>
      <c r="K4229" s="1" t="s">
        <v>5544</v>
      </c>
      <c r="L4229" s="5">
        <f>XLOOKUP(N4229, uom!C:C, uom!B:B, "Not Found")</f>
      </c>
      <c r="M4229" s="1" t="s">
        <v>5544</v>
      </c>
      <c r="N4229" s="8" t="s">
        <v>5524</v>
      </c>
      <c r="O4229" s="1" t="s">
        <v>5525</v>
      </c>
      <c r="P4229" s="5">
        <f>XLOOKUP(R4229, classification!C:C, classification!B:B, "Not Found")</f>
      </c>
      <c r="Q4229" s="1" t="s">
        <v>5514</v>
      </c>
      <c r="R4229" s="2"/>
      <c r="S4229" s="2"/>
      <c r="T4229" s="2"/>
      <c r="U4229" s="2"/>
    </row>
    <row x14ac:dyDescent="0.25" r="4230" customHeight="1" ht="17.25">
      <c r="A4230" s="7">
        <v>4229</v>
      </c>
      <c r="B4230" s="1" t="s">
        <v>9527</v>
      </c>
      <c r="C4230" s="5">
        <f>CONCATENATE("PD", TEXT(A4230, "1000000"))</f>
      </c>
      <c r="D4230" s="7">
        <v>1</v>
      </c>
      <c r="E4230" s="5">
        <f>XLOOKUP(G4230, item_category!C:C, item_category!B:B, "Not Found")</f>
      </c>
      <c r="F4230" s="1" t="s">
        <v>5514</v>
      </c>
      <c r="G4230" s="5">
        <f>XLOOKUP(I4230, drug!B:B, drug!A:A, "Not Found")</f>
      </c>
      <c r="H4230" s="1"/>
      <c r="I4230" s="7">
        <v>150</v>
      </c>
      <c r="J4230" s="5">
        <f>XLOOKUP(L4230, uom!C:C, uom!B:B, "Not Found")</f>
      </c>
      <c r="K4230" s="1" t="s">
        <v>5511</v>
      </c>
      <c r="L4230" s="5">
        <f>XLOOKUP(N4230, uom!C:C, uom!B:B, "Not Found")</f>
      </c>
      <c r="M4230" s="1" t="s">
        <v>5511</v>
      </c>
      <c r="N4230" s="8" t="s">
        <v>5524</v>
      </c>
      <c r="O4230" s="1" t="s">
        <v>5525</v>
      </c>
      <c r="P4230" s="5">
        <f>XLOOKUP(R4230, classification!C:C, classification!B:B, "Not Found")</f>
      </c>
      <c r="Q4230" s="1" t="s">
        <v>5514</v>
      </c>
      <c r="R4230" s="2"/>
      <c r="S4230" s="2"/>
      <c r="T4230" s="2"/>
      <c r="U4230" s="2"/>
    </row>
    <row x14ac:dyDescent="0.25" r="4231" customHeight="1" ht="17.25">
      <c r="A4231" s="7">
        <v>4230</v>
      </c>
      <c r="B4231" s="1" t="s">
        <v>9528</v>
      </c>
      <c r="C4231" s="5">
        <f>CONCATENATE("PD", TEXT(A4231, "1000000"))</f>
      </c>
      <c r="D4231" s="7">
        <v>1</v>
      </c>
      <c r="E4231" s="5">
        <f>XLOOKUP(G4231, item_category!C:C, item_category!B:B, "Not Found")</f>
      </c>
      <c r="F4231" s="1" t="s">
        <v>5514</v>
      </c>
      <c r="G4231" s="5">
        <f>XLOOKUP(I4231, drug!B:B, drug!A:A, "Not Found")</f>
      </c>
      <c r="H4231" s="1"/>
      <c r="I4231" s="7">
        <v>80</v>
      </c>
      <c r="J4231" s="5">
        <f>XLOOKUP(L4231, uom!C:C, uom!B:B, "Not Found")</f>
      </c>
      <c r="K4231" s="1" t="s">
        <v>7989</v>
      </c>
      <c r="L4231" s="5">
        <f>XLOOKUP(N4231, uom!C:C, uom!B:B, "Not Found")</f>
      </c>
      <c r="M4231" s="1" t="s">
        <v>7989</v>
      </c>
      <c r="N4231" s="8" t="s">
        <v>5524</v>
      </c>
      <c r="O4231" s="1" t="s">
        <v>5525</v>
      </c>
      <c r="P4231" s="5">
        <f>XLOOKUP(R4231, classification!C:C, classification!B:B, "Not Found")</f>
      </c>
      <c r="Q4231" s="1" t="s">
        <v>5514</v>
      </c>
      <c r="R4231" s="2"/>
      <c r="S4231" s="2"/>
      <c r="T4231" s="2"/>
      <c r="U4231" s="2"/>
    </row>
    <row x14ac:dyDescent="0.25" r="4232" customHeight="1" ht="17.25">
      <c r="A4232" s="7">
        <v>4231</v>
      </c>
      <c r="B4232" s="1" t="s">
        <v>9529</v>
      </c>
      <c r="C4232" s="5">
        <f>CONCATENATE("PD", TEXT(A4232, "1000000"))</f>
      </c>
      <c r="D4232" s="7">
        <v>74</v>
      </c>
      <c r="E4232" s="5">
        <f>XLOOKUP(G4232, item_category!C:C, item_category!B:B, "Not Found")</f>
      </c>
      <c r="F4232" s="1" t="s">
        <v>5520</v>
      </c>
      <c r="G4232" s="5">
        <f>XLOOKUP(I4232, drug!B:B, drug!A:A, "Not Found")</f>
      </c>
      <c r="H4232" s="1" t="s">
        <v>73</v>
      </c>
      <c r="I4232" s="7">
        <v>300</v>
      </c>
      <c r="J4232" s="5">
        <f>XLOOKUP(L4232, uom!C:C, uom!B:B, "Not Found")</f>
      </c>
      <c r="K4232" s="1" t="s">
        <v>5544</v>
      </c>
      <c r="L4232" s="5">
        <f>XLOOKUP(N4232, uom!C:C, uom!B:B, "Not Found")</f>
      </c>
      <c r="M4232" s="1" t="s">
        <v>5544</v>
      </c>
      <c r="N4232" s="8" t="s">
        <v>5524</v>
      </c>
      <c r="O4232" s="1" t="s">
        <v>5525</v>
      </c>
      <c r="P4232" s="5">
        <f>XLOOKUP(R4232, classification!C:C, classification!B:B, "Not Found")</f>
      </c>
      <c r="Q4232" s="1" t="s">
        <v>5514</v>
      </c>
      <c r="R4232" s="2"/>
      <c r="S4232" s="2"/>
      <c r="T4232" s="2"/>
      <c r="U4232" s="2"/>
    </row>
    <row x14ac:dyDescent="0.25" r="4233" customHeight="1" ht="17.25">
      <c r="A4233" s="7">
        <v>4232</v>
      </c>
      <c r="B4233" s="1" t="s">
        <v>9530</v>
      </c>
      <c r="C4233" s="5">
        <f>CONCATENATE("PD", TEXT(A4233, "1000000"))</f>
      </c>
      <c r="D4233" s="7">
        <v>1</v>
      </c>
      <c r="E4233" s="5">
        <f>XLOOKUP(G4233, item_category!C:C, item_category!B:B, "Not Found")</f>
      </c>
      <c r="F4233" s="1" t="s">
        <v>5514</v>
      </c>
      <c r="G4233" s="5">
        <f>XLOOKUP(I4233, drug!B:B, drug!A:A, "Not Found")</f>
      </c>
      <c r="H4233" s="1" t="s">
        <v>364</v>
      </c>
      <c r="I4233" s="7">
        <v>150</v>
      </c>
      <c r="J4233" s="5">
        <f>XLOOKUP(L4233, uom!C:C, uom!B:B, "Not Found")</f>
      </c>
      <c r="K4233" s="1" t="s">
        <v>5544</v>
      </c>
      <c r="L4233" s="5">
        <f>XLOOKUP(N4233, uom!C:C, uom!B:B, "Not Found")</f>
      </c>
      <c r="M4233" s="1" t="s">
        <v>5544</v>
      </c>
      <c r="N4233" s="8" t="s">
        <v>5524</v>
      </c>
      <c r="O4233" s="1" t="s">
        <v>5525</v>
      </c>
      <c r="P4233" s="5">
        <f>XLOOKUP(R4233, classification!C:C, classification!B:B, "Not Found")</f>
      </c>
      <c r="Q4233" s="1" t="s">
        <v>5514</v>
      </c>
      <c r="R4233" s="2"/>
      <c r="S4233" s="2"/>
      <c r="T4233" s="2"/>
      <c r="U4233" s="2"/>
    </row>
    <row x14ac:dyDescent="0.25" r="4234" customHeight="1" ht="17.25">
      <c r="A4234" s="7">
        <v>4233</v>
      </c>
      <c r="B4234" s="1" t="s">
        <v>9531</v>
      </c>
      <c r="C4234" s="5">
        <f>CONCATENATE("PD", TEXT(A4234, "1000000"))</f>
      </c>
      <c r="D4234" s="7">
        <v>1</v>
      </c>
      <c r="E4234" s="5">
        <f>XLOOKUP(G4234, item_category!C:C, item_category!B:B, "Not Found")</f>
      </c>
      <c r="F4234" s="1" t="s">
        <v>5514</v>
      </c>
      <c r="G4234" s="5">
        <f>XLOOKUP(I4234, drug!B:B, drug!A:A, "Not Found")</f>
      </c>
      <c r="H4234" s="1" t="s">
        <v>1174</v>
      </c>
      <c r="I4234" s="7">
        <v>150</v>
      </c>
      <c r="J4234" s="5">
        <f>XLOOKUP(L4234, uom!C:C, uom!B:B, "Not Found")</f>
      </c>
      <c r="K4234" s="1" t="s">
        <v>5544</v>
      </c>
      <c r="L4234" s="5">
        <f>XLOOKUP(N4234, uom!C:C, uom!B:B, "Not Found")</f>
      </c>
      <c r="M4234" s="1" t="s">
        <v>5544</v>
      </c>
      <c r="N4234" s="8" t="s">
        <v>5524</v>
      </c>
      <c r="O4234" s="1" t="s">
        <v>5525</v>
      </c>
      <c r="P4234" s="5">
        <f>XLOOKUP(R4234, classification!C:C, classification!B:B, "Not Found")</f>
      </c>
      <c r="Q4234" s="1" t="s">
        <v>5514</v>
      </c>
      <c r="R4234" s="2"/>
      <c r="S4234" s="2"/>
      <c r="T4234" s="2"/>
      <c r="U4234" s="2"/>
    </row>
    <row x14ac:dyDescent="0.25" r="4235" customHeight="1" ht="17.25">
      <c r="A4235" s="7">
        <v>4234</v>
      </c>
      <c r="B4235" s="1" t="s">
        <v>9532</v>
      </c>
      <c r="C4235" s="5">
        <f>CONCATENATE("PD", TEXT(A4235, "1000000"))</f>
      </c>
      <c r="D4235" s="7">
        <v>74</v>
      </c>
      <c r="E4235" s="5">
        <f>XLOOKUP(G4235, item_category!C:C, item_category!B:B, "Not Found")</f>
      </c>
      <c r="F4235" s="1" t="s">
        <v>5520</v>
      </c>
      <c r="G4235" s="5">
        <f>XLOOKUP(I4235, drug!B:B, drug!A:A, "Not Found")</f>
      </c>
      <c r="H4235" s="1"/>
      <c r="I4235" s="7">
        <v>150</v>
      </c>
      <c r="J4235" s="5">
        <f>XLOOKUP(L4235, uom!C:C, uom!B:B, "Not Found")</f>
      </c>
      <c r="K4235" s="1" t="s">
        <v>5622</v>
      </c>
      <c r="L4235" s="5">
        <f>XLOOKUP(N4235, uom!C:C, uom!B:B, "Not Found")</f>
      </c>
      <c r="M4235" s="1" t="s">
        <v>5622</v>
      </c>
      <c r="N4235" s="8" t="s">
        <v>5524</v>
      </c>
      <c r="O4235" s="1" t="s">
        <v>5525</v>
      </c>
      <c r="P4235" s="5">
        <f>XLOOKUP(R4235, classification!C:C, classification!B:B, "Not Found")</f>
      </c>
      <c r="Q4235" s="1" t="s">
        <v>5514</v>
      </c>
      <c r="R4235" s="2"/>
      <c r="S4235" s="2"/>
      <c r="T4235" s="2"/>
      <c r="U4235" s="2"/>
    </row>
    <row x14ac:dyDescent="0.25" r="4236" customHeight="1" ht="17.25">
      <c r="A4236" s="7">
        <v>4235</v>
      </c>
      <c r="B4236" s="1" t="s">
        <v>9533</v>
      </c>
      <c r="C4236" s="5">
        <f>CONCATENATE("PD", TEXT(A4236, "1000000"))</f>
      </c>
      <c r="D4236" s="7">
        <v>76</v>
      </c>
      <c r="E4236" s="5">
        <f>XLOOKUP(G4236, item_category!C:C, item_category!B:B, "Not Found")</f>
      </c>
      <c r="F4236" s="1" t="s">
        <v>5632</v>
      </c>
      <c r="G4236" s="5">
        <f>XLOOKUP(I4236, drug!B:B, drug!A:A, "Not Found")</f>
      </c>
      <c r="H4236" s="1"/>
      <c r="I4236" s="7">
        <v>50</v>
      </c>
      <c r="J4236" s="5">
        <f>XLOOKUP(L4236, uom!C:C, uom!B:B, "Not Found")</f>
      </c>
      <c r="K4236" s="1" t="s">
        <v>7989</v>
      </c>
      <c r="L4236" s="5">
        <f>XLOOKUP(N4236, uom!C:C, uom!B:B, "Not Found")</f>
      </c>
      <c r="M4236" s="1" t="s">
        <v>7989</v>
      </c>
      <c r="N4236" s="8" t="s">
        <v>5524</v>
      </c>
      <c r="O4236" s="1" t="s">
        <v>5525</v>
      </c>
      <c r="P4236" s="5">
        <f>XLOOKUP(R4236, classification!C:C, classification!B:B, "Not Found")</f>
      </c>
      <c r="Q4236" s="1" t="s">
        <v>5514</v>
      </c>
      <c r="R4236" s="2"/>
      <c r="S4236" s="2"/>
      <c r="T4236" s="2"/>
      <c r="U4236" s="2"/>
    </row>
    <row x14ac:dyDescent="0.25" r="4237" customHeight="1" ht="17.25">
      <c r="A4237" s="7">
        <v>4236</v>
      </c>
      <c r="B4237" s="1" t="s">
        <v>9534</v>
      </c>
      <c r="C4237" s="5">
        <f>CONCATENATE("PD", TEXT(A4237, "1000000"))</f>
      </c>
      <c r="D4237" s="7">
        <v>66</v>
      </c>
      <c r="E4237" s="5">
        <f>XLOOKUP(G4237, item_category!C:C, item_category!B:B, "Not Found")</f>
      </c>
      <c r="F4237" s="1" t="s">
        <v>5617</v>
      </c>
      <c r="G4237" s="5">
        <f>XLOOKUP(I4237, drug!B:B, drug!A:A, "Not Found")</f>
      </c>
      <c r="H4237" s="1"/>
      <c r="I4237" s="7">
        <v>400</v>
      </c>
      <c r="J4237" s="5">
        <f>XLOOKUP(L4237, uom!C:C, uom!B:B, "Not Found")</f>
      </c>
      <c r="K4237" s="1" t="s">
        <v>5602</v>
      </c>
      <c r="L4237" s="5">
        <f>XLOOKUP(N4237, uom!C:C, uom!B:B, "Not Found")</f>
      </c>
      <c r="M4237" s="1" t="s">
        <v>5602</v>
      </c>
      <c r="N4237" s="8" t="s">
        <v>5524</v>
      </c>
      <c r="O4237" s="1" t="s">
        <v>5525</v>
      </c>
      <c r="P4237" s="5">
        <f>XLOOKUP(R4237, classification!C:C, classification!B:B, "Not Found")</f>
      </c>
      <c r="Q4237" s="1" t="s">
        <v>5514</v>
      </c>
      <c r="R4237" s="2"/>
      <c r="S4237" s="2"/>
      <c r="T4237" s="2"/>
      <c r="U4237" s="2"/>
    </row>
    <row x14ac:dyDescent="0.25" r="4238" customHeight="1" ht="17.25">
      <c r="A4238" s="7">
        <v>4237</v>
      </c>
      <c r="B4238" s="1" t="s">
        <v>9535</v>
      </c>
      <c r="C4238" s="5">
        <f>CONCATENATE("PD", TEXT(A4238, "1000000"))</f>
      </c>
      <c r="D4238" s="7">
        <v>1</v>
      </c>
      <c r="E4238" s="5">
        <f>XLOOKUP(G4238, item_category!C:C, item_category!B:B, "Not Found")</f>
      </c>
      <c r="F4238" s="1" t="s">
        <v>5514</v>
      </c>
      <c r="G4238" s="5">
        <f>XLOOKUP(I4238, drug!B:B, drug!A:A, "Not Found")</f>
      </c>
      <c r="H4238" s="1" t="s">
        <v>923</v>
      </c>
      <c r="I4238" s="7">
        <v>150</v>
      </c>
      <c r="J4238" s="5">
        <f>XLOOKUP(L4238, uom!C:C, uom!B:B, "Not Found")</f>
      </c>
      <c r="K4238" s="1" t="s">
        <v>6186</v>
      </c>
      <c r="L4238" s="5">
        <f>XLOOKUP(N4238, uom!C:C, uom!B:B, "Not Found")</f>
      </c>
      <c r="M4238" s="1" t="s">
        <v>6186</v>
      </c>
      <c r="N4238" s="8" t="s">
        <v>5524</v>
      </c>
      <c r="O4238" s="1" t="s">
        <v>5525</v>
      </c>
      <c r="P4238" s="5">
        <f>XLOOKUP(R4238, classification!C:C, classification!B:B, "Not Found")</f>
      </c>
      <c r="Q4238" s="1" t="s">
        <v>5514</v>
      </c>
      <c r="R4238" s="2"/>
      <c r="S4238" s="2"/>
      <c r="T4238" s="2"/>
      <c r="U4238" s="2"/>
    </row>
    <row x14ac:dyDescent="0.25" r="4239" customHeight="1" ht="17.25">
      <c r="A4239" s="7">
        <v>4238</v>
      </c>
      <c r="B4239" s="1" t="s">
        <v>9536</v>
      </c>
      <c r="C4239" s="5">
        <f>CONCATENATE("PD", TEXT(A4239, "1000000"))</f>
      </c>
      <c r="D4239" s="7">
        <v>73</v>
      </c>
      <c r="E4239" s="5">
        <f>XLOOKUP(G4239, item_category!C:C, item_category!B:B, "Not Found")</f>
      </c>
      <c r="F4239" s="1" t="s">
        <v>7945</v>
      </c>
      <c r="G4239" s="5">
        <f>XLOOKUP(I4239, drug!B:B, drug!A:A, "Not Found")</f>
      </c>
      <c r="H4239" s="1" t="s">
        <v>314</v>
      </c>
      <c r="I4239" s="7">
        <v>200</v>
      </c>
      <c r="J4239" s="5">
        <f>XLOOKUP(L4239, uom!C:C, uom!B:B, "Not Found")</f>
      </c>
      <c r="K4239" s="1" t="s">
        <v>5511</v>
      </c>
      <c r="L4239" s="5">
        <f>XLOOKUP(N4239, uom!C:C, uom!B:B, "Not Found")</f>
      </c>
      <c r="M4239" s="1" t="s">
        <v>5511</v>
      </c>
      <c r="N4239" s="8" t="s">
        <v>5524</v>
      </c>
      <c r="O4239" s="1" t="s">
        <v>5525</v>
      </c>
      <c r="P4239" s="5">
        <f>XLOOKUP(R4239, classification!C:C, classification!B:B, "Not Found")</f>
      </c>
      <c r="Q4239" s="1" t="s">
        <v>5514</v>
      </c>
      <c r="R4239" s="2"/>
      <c r="S4239" s="2"/>
      <c r="T4239" s="2"/>
      <c r="U4239" s="2"/>
    </row>
    <row x14ac:dyDescent="0.25" r="4240" customHeight="1" ht="17.25">
      <c r="A4240" s="7">
        <v>4239</v>
      </c>
      <c r="B4240" s="1" t="s">
        <v>9537</v>
      </c>
      <c r="C4240" s="5">
        <f>CONCATENATE("PD", TEXT(A4240, "1000000"))</f>
      </c>
      <c r="D4240" s="7">
        <v>74</v>
      </c>
      <c r="E4240" s="5">
        <f>XLOOKUP(G4240, item_category!C:C, item_category!B:B, "Not Found")</f>
      </c>
      <c r="F4240" s="1" t="s">
        <v>5520</v>
      </c>
      <c r="G4240" s="5">
        <f>XLOOKUP(I4240, drug!B:B, drug!A:A, "Not Found")</f>
      </c>
      <c r="H4240" s="1" t="s">
        <v>1942</v>
      </c>
      <c r="I4240" s="7">
        <v>500</v>
      </c>
      <c r="J4240" s="5">
        <f>XLOOKUP(L4240, uom!C:C, uom!B:B, "Not Found")</f>
      </c>
      <c r="K4240" s="1" t="s">
        <v>5544</v>
      </c>
      <c r="L4240" s="5">
        <f>XLOOKUP(N4240, uom!C:C, uom!B:B, "Not Found")</f>
      </c>
      <c r="M4240" s="1" t="s">
        <v>5544</v>
      </c>
      <c r="N4240" s="8" t="s">
        <v>5524</v>
      </c>
      <c r="O4240" s="1" t="s">
        <v>5525</v>
      </c>
      <c r="P4240" s="5">
        <f>XLOOKUP(R4240, classification!C:C, classification!B:B, "Not Found")</f>
      </c>
      <c r="Q4240" s="1" t="s">
        <v>5514</v>
      </c>
      <c r="R4240" s="2"/>
      <c r="S4240" s="2"/>
      <c r="T4240" s="2"/>
      <c r="U4240" s="2"/>
    </row>
    <row x14ac:dyDescent="0.25" r="4241" customHeight="1" ht="17.25">
      <c r="A4241" s="7">
        <v>4240</v>
      </c>
      <c r="B4241" s="1" t="s">
        <v>9538</v>
      </c>
      <c r="C4241" s="5">
        <f>CONCATENATE("PD", TEXT(A4241, "1000000"))</f>
      </c>
      <c r="D4241" s="7">
        <v>74</v>
      </c>
      <c r="E4241" s="5">
        <f>XLOOKUP(G4241, item_category!C:C, item_category!B:B, "Not Found")</f>
      </c>
      <c r="F4241" s="1" t="s">
        <v>5520</v>
      </c>
      <c r="G4241" s="5">
        <f>XLOOKUP(I4241, drug!B:B, drug!A:A, "Not Found")</f>
      </c>
      <c r="H4241" s="1"/>
      <c r="I4241" s="7">
        <v>260</v>
      </c>
      <c r="J4241" s="5">
        <f>XLOOKUP(L4241, uom!C:C, uom!B:B, "Not Found")</f>
      </c>
      <c r="K4241" s="1" t="s">
        <v>5544</v>
      </c>
      <c r="L4241" s="5">
        <f>XLOOKUP(N4241, uom!C:C, uom!B:B, "Not Found")</f>
      </c>
      <c r="M4241" s="1" t="s">
        <v>5544</v>
      </c>
      <c r="N4241" s="8" t="s">
        <v>5524</v>
      </c>
      <c r="O4241" s="1" t="s">
        <v>5525</v>
      </c>
      <c r="P4241" s="5">
        <f>XLOOKUP(R4241, classification!C:C, classification!B:B, "Not Found")</f>
      </c>
      <c r="Q4241" s="1" t="s">
        <v>5514</v>
      </c>
      <c r="R4241" s="2"/>
      <c r="S4241" s="2"/>
      <c r="T4241" s="2"/>
      <c r="U4241" s="2"/>
    </row>
    <row x14ac:dyDescent="0.25" r="4242" customHeight="1" ht="17.25">
      <c r="A4242" s="7">
        <v>4241</v>
      </c>
      <c r="B4242" s="1" t="s">
        <v>9539</v>
      </c>
      <c r="C4242" s="5">
        <f>CONCATENATE("PD", TEXT(A4242, "1000000"))</f>
      </c>
      <c r="D4242" s="7">
        <v>1</v>
      </c>
      <c r="E4242" s="5">
        <f>XLOOKUP(G4242, item_category!C:C, item_category!B:B, "Not Found")</f>
      </c>
      <c r="F4242" s="1" t="s">
        <v>5514</v>
      </c>
      <c r="G4242" s="5">
        <f>XLOOKUP(I4242, drug!B:B, drug!A:A, "Not Found")</f>
      </c>
      <c r="H4242" s="1"/>
      <c r="I4242" s="7">
        <v>1</v>
      </c>
      <c r="J4242" s="5">
        <f>XLOOKUP(L4242, uom!C:C, uom!B:B, "Not Found")</f>
      </c>
      <c r="K4242" s="1" t="s">
        <v>5511</v>
      </c>
      <c r="L4242" s="5">
        <f>XLOOKUP(N4242, uom!C:C, uom!B:B, "Not Found")</f>
      </c>
      <c r="M4242" s="1" t="s">
        <v>5511</v>
      </c>
      <c r="N4242" s="8" t="s">
        <v>5524</v>
      </c>
      <c r="O4242" s="1" t="s">
        <v>5513</v>
      </c>
      <c r="P4242" s="5">
        <f>XLOOKUP(R4242, classification!C:C, classification!B:B, "Not Found")</f>
      </c>
      <c r="Q4242" s="1" t="s">
        <v>5514</v>
      </c>
      <c r="R4242" s="2"/>
      <c r="S4242" s="2"/>
      <c r="T4242" s="2"/>
      <c r="U4242" s="2"/>
    </row>
    <row x14ac:dyDescent="0.25" r="4243" customHeight="1" ht="17.25">
      <c r="A4243" s="7">
        <v>4242</v>
      </c>
      <c r="B4243" s="1" t="s">
        <v>9540</v>
      </c>
      <c r="C4243" s="5">
        <f>CONCATENATE("PD", TEXT(A4243, "1000000"))</f>
      </c>
      <c r="D4243" s="7">
        <v>1</v>
      </c>
      <c r="E4243" s="5">
        <f>XLOOKUP(G4243, item_category!C:C, item_category!B:B, "Not Found")</f>
      </c>
      <c r="F4243" s="1" t="s">
        <v>5514</v>
      </c>
      <c r="G4243" s="5">
        <f>XLOOKUP(I4243, drug!B:B, drug!A:A, "Not Found")</f>
      </c>
      <c r="H4243" s="1"/>
      <c r="I4243" s="7">
        <v>50</v>
      </c>
      <c r="J4243" s="5">
        <f>XLOOKUP(L4243, uom!C:C, uom!B:B, "Not Found")</f>
      </c>
      <c r="K4243" s="1" t="s">
        <v>5661</v>
      </c>
      <c r="L4243" s="5">
        <f>XLOOKUP(N4243, uom!C:C, uom!B:B, "Not Found")</f>
      </c>
      <c r="M4243" s="1" t="s">
        <v>5661</v>
      </c>
      <c r="N4243" s="8" t="s">
        <v>5524</v>
      </c>
      <c r="O4243" s="1" t="s">
        <v>5525</v>
      </c>
      <c r="P4243" s="5">
        <f>XLOOKUP(R4243, classification!C:C, classification!B:B, "Not Found")</f>
      </c>
      <c r="Q4243" s="1" t="s">
        <v>5514</v>
      </c>
      <c r="R4243" s="2"/>
      <c r="S4243" s="2"/>
      <c r="T4243" s="2"/>
      <c r="U4243" s="2"/>
    </row>
    <row x14ac:dyDescent="0.25" r="4244" customHeight="1" ht="17.25">
      <c r="A4244" s="7">
        <v>4243</v>
      </c>
      <c r="B4244" s="1" t="s">
        <v>9541</v>
      </c>
      <c r="C4244" s="5">
        <f>CONCATENATE("PD", TEXT(A4244, "1000000"))</f>
      </c>
      <c r="D4244" s="7">
        <v>74</v>
      </c>
      <c r="E4244" s="5">
        <f>XLOOKUP(G4244, item_category!C:C, item_category!B:B, "Not Found")</f>
      </c>
      <c r="F4244" s="1" t="s">
        <v>5520</v>
      </c>
      <c r="G4244" s="5">
        <f>XLOOKUP(I4244, drug!B:B, drug!A:A, "Not Found")</f>
      </c>
      <c r="H4244" s="1" t="s">
        <v>108</v>
      </c>
      <c r="I4244" s="7">
        <v>450</v>
      </c>
      <c r="J4244" s="5">
        <f>XLOOKUP(L4244, uom!C:C, uom!B:B, "Not Found")</f>
      </c>
      <c r="K4244" s="1" t="s">
        <v>5620</v>
      </c>
      <c r="L4244" s="5">
        <f>XLOOKUP(N4244, uom!C:C, uom!B:B, "Not Found")</f>
      </c>
      <c r="M4244" s="1" t="s">
        <v>5620</v>
      </c>
      <c r="N4244" s="8" t="s">
        <v>5524</v>
      </c>
      <c r="O4244" s="1" t="s">
        <v>5525</v>
      </c>
      <c r="P4244" s="5">
        <f>XLOOKUP(R4244, classification!C:C, classification!B:B, "Not Found")</f>
      </c>
      <c r="Q4244" s="1" t="s">
        <v>5514</v>
      </c>
      <c r="R4244" s="2"/>
      <c r="S4244" s="2"/>
      <c r="T4244" s="2"/>
      <c r="U4244" s="2"/>
    </row>
    <row x14ac:dyDescent="0.25" r="4245" customHeight="1" ht="17.25">
      <c r="A4245" s="7">
        <v>4244</v>
      </c>
      <c r="B4245" s="1" t="s">
        <v>9542</v>
      </c>
      <c r="C4245" s="5">
        <f>CONCATENATE("PD", TEXT(A4245, "1000000"))</f>
      </c>
      <c r="D4245" s="7">
        <v>74</v>
      </c>
      <c r="E4245" s="5">
        <f>XLOOKUP(G4245, item_category!C:C, item_category!B:B, "Not Found")</f>
      </c>
      <c r="F4245" s="1" t="s">
        <v>5520</v>
      </c>
      <c r="G4245" s="5">
        <f>XLOOKUP(I4245, drug!B:B, drug!A:A, "Not Found")</f>
      </c>
      <c r="H4245" s="1"/>
      <c r="I4245" s="7">
        <v>550</v>
      </c>
      <c r="J4245" s="5">
        <f>XLOOKUP(L4245, uom!C:C, uom!B:B, "Not Found")</f>
      </c>
      <c r="K4245" s="1" t="s">
        <v>5544</v>
      </c>
      <c r="L4245" s="5">
        <f>XLOOKUP(N4245, uom!C:C, uom!B:B, "Not Found")</f>
      </c>
      <c r="M4245" s="1" t="s">
        <v>5544</v>
      </c>
      <c r="N4245" s="8" t="s">
        <v>5524</v>
      </c>
      <c r="O4245" s="1" t="s">
        <v>5525</v>
      </c>
      <c r="P4245" s="5">
        <f>XLOOKUP(R4245, classification!C:C, classification!B:B, "Not Found")</f>
      </c>
      <c r="Q4245" s="1" t="s">
        <v>5514</v>
      </c>
      <c r="R4245" s="2"/>
      <c r="S4245" s="2"/>
      <c r="T4245" s="2"/>
      <c r="U4245" s="2"/>
    </row>
    <row x14ac:dyDescent="0.25" r="4246" customHeight="1" ht="17.25">
      <c r="A4246" s="7">
        <v>4245</v>
      </c>
      <c r="B4246" s="1" t="s">
        <v>9543</v>
      </c>
      <c r="C4246" s="5">
        <f>CONCATENATE("PD", TEXT(A4246, "1000000"))</f>
      </c>
      <c r="D4246" s="7">
        <v>1</v>
      </c>
      <c r="E4246" s="5">
        <f>XLOOKUP(G4246, item_category!C:C, item_category!B:B, "Not Found")</f>
      </c>
      <c r="F4246" s="1" t="s">
        <v>5514</v>
      </c>
      <c r="G4246" s="5">
        <f>XLOOKUP(I4246, drug!B:B, drug!A:A, "Not Found")</f>
      </c>
      <c r="H4246" s="1"/>
      <c r="I4246" s="7">
        <v>400</v>
      </c>
      <c r="J4246" s="5">
        <f>XLOOKUP(L4246, uom!C:C, uom!B:B, "Not Found")</f>
      </c>
      <c r="K4246" s="1" t="s">
        <v>5544</v>
      </c>
      <c r="L4246" s="5">
        <f>XLOOKUP(N4246, uom!C:C, uom!B:B, "Not Found")</f>
      </c>
      <c r="M4246" s="1" t="s">
        <v>5544</v>
      </c>
      <c r="N4246" s="8" t="s">
        <v>5524</v>
      </c>
      <c r="O4246" s="1" t="s">
        <v>5525</v>
      </c>
      <c r="P4246" s="5">
        <f>XLOOKUP(R4246, classification!C:C, classification!B:B, "Not Found")</f>
      </c>
      <c r="Q4246" s="1" t="s">
        <v>5514</v>
      </c>
      <c r="R4246" s="2"/>
      <c r="S4246" s="2"/>
      <c r="T4246" s="2"/>
      <c r="U4246" s="2"/>
    </row>
    <row x14ac:dyDescent="0.25" r="4247" customHeight="1" ht="17.25">
      <c r="A4247" s="7">
        <v>4246</v>
      </c>
      <c r="B4247" s="1" t="s">
        <v>9544</v>
      </c>
      <c r="C4247" s="5">
        <f>CONCATENATE("PD", TEXT(A4247, "1000000"))</f>
      </c>
      <c r="D4247" s="7">
        <v>59</v>
      </c>
      <c r="E4247" s="5">
        <f>XLOOKUP(G4247, item_category!C:C, item_category!B:B, "Not Found")</f>
      </c>
      <c r="F4247" s="1" t="s">
        <v>5527</v>
      </c>
      <c r="G4247" s="5">
        <f>XLOOKUP(I4247, drug!B:B, drug!A:A, "Not Found")</f>
      </c>
      <c r="H4247" s="1" t="s">
        <v>828</v>
      </c>
      <c r="I4247" s="7">
        <v>400</v>
      </c>
      <c r="J4247" s="5">
        <f>XLOOKUP(L4247, uom!C:C, uom!B:B, "Not Found")</f>
      </c>
      <c r="K4247" s="1" t="s">
        <v>5544</v>
      </c>
      <c r="L4247" s="5">
        <f>XLOOKUP(N4247, uom!C:C, uom!B:B, "Not Found")</f>
      </c>
      <c r="M4247" s="1" t="s">
        <v>5544</v>
      </c>
      <c r="N4247" s="8" t="s">
        <v>5524</v>
      </c>
      <c r="O4247" s="1" t="s">
        <v>5525</v>
      </c>
      <c r="P4247" s="5">
        <f>XLOOKUP(R4247, classification!C:C, classification!B:B, "Not Found")</f>
      </c>
      <c r="Q4247" s="1" t="s">
        <v>5514</v>
      </c>
      <c r="R4247" s="2"/>
      <c r="S4247" s="2"/>
      <c r="T4247" s="2"/>
      <c r="U4247" s="2"/>
    </row>
    <row x14ac:dyDescent="0.25" r="4248" customHeight="1" ht="17.25">
      <c r="A4248" s="7">
        <v>4247</v>
      </c>
      <c r="B4248" s="1" t="s">
        <v>9545</v>
      </c>
      <c r="C4248" s="5">
        <f>CONCATENATE("PD", TEXT(A4248, "1000000"))</f>
      </c>
      <c r="D4248" s="7">
        <v>1</v>
      </c>
      <c r="E4248" s="5">
        <f>XLOOKUP(G4248, item_category!C:C, item_category!B:B, "Not Found")</f>
      </c>
      <c r="F4248" s="1" t="s">
        <v>5514</v>
      </c>
      <c r="G4248" s="5">
        <f>XLOOKUP(I4248, drug!B:B, drug!A:A, "Not Found")</f>
      </c>
      <c r="H4248" s="1"/>
      <c r="I4248" s="7">
        <v>350</v>
      </c>
      <c r="J4248" s="5">
        <f>XLOOKUP(L4248, uom!C:C, uom!B:B, "Not Found")</f>
      </c>
      <c r="K4248" s="1" t="s">
        <v>5602</v>
      </c>
      <c r="L4248" s="5">
        <f>XLOOKUP(N4248, uom!C:C, uom!B:B, "Not Found")</f>
      </c>
      <c r="M4248" s="1" t="s">
        <v>5602</v>
      </c>
      <c r="N4248" s="8" t="s">
        <v>5524</v>
      </c>
      <c r="O4248" s="1" t="s">
        <v>5525</v>
      </c>
      <c r="P4248" s="5">
        <f>XLOOKUP(R4248, classification!C:C, classification!B:B, "Not Found")</f>
      </c>
      <c r="Q4248" s="1" t="s">
        <v>5514</v>
      </c>
      <c r="R4248" s="2"/>
      <c r="S4248" s="2"/>
      <c r="T4248" s="2"/>
      <c r="U4248" s="2"/>
    </row>
    <row x14ac:dyDescent="0.25" r="4249" customHeight="1" ht="17.25">
      <c r="A4249" s="7">
        <v>4248</v>
      </c>
      <c r="B4249" s="1" t="s">
        <v>9546</v>
      </c>
      <c r="C4249" s="5">
        <f>CONCATENATE("PD", TEXT(A4249, "1000000"))</f>
      </c>
      <c r="D4249" s="7">
        <v>1</v>
      </c>
      <c r="E4249" s="5">
        <f>XLOOKUP(G4249, item_category!C:C, item_category!B:B, "Not Found")</f>
      </c>
      <c r="F4249" s="1" t="s">
        <v>5514</v>
      </c>
      <c r="G4249" s="5">
        <f>XLOOKUP(I4249, drug!B:B, drug!A:A, "Not Found")</f>
      </c>
      <c r="H4249" s="1"/>
      <c r="I4249" s="7">
        <v>800</v>
      </c>
      <c r="J4249" s="5">
        <f>XLOOKUP(L4249, uom!C:C, uom!B:B, "Not Found")</f>
      </c>
      <c r="K4249" s="1" t="s">
        <v>5620</v>
      </c>
      <c r="L4249" s="5">
        <f>XLOOKUP(N4249, uom!C:C, uom!B:B, "Not Found")</f>
      </c>
      <c r="M4249" s="1" t="s">
        <v>5620</v>
      </c>
      <c r="N4249" s="8" t="s">
        <v>5524</v>
      </c>
      <c r="O4249" s="1" t="s">
        <v>5525</v>
      </c>
      <c r="P4249" s="5">
        <f>XLOOKUP(R4249, classification!C:C, classification!B:B, "Not Found")</f>
      </c>
      <c r="Q4249" s="1" t="s">
        <v>5514</v>
      </c>
      <c r="R4249" s="2"/>
      <c r="S4249" s="2"/>
      <c r="T4249" s="2"/>
      <c r="U4249" s="2"/>
    </row>
    <row x14ac:dyDescent="0.25" r="4250" customHeight="1" ht="17.25">
      <c r="A4250" s="7">
        <v>4249</v>
      </c>
      <c r="B4250" s="1" t="s">
        <v>9547</v>
      </c>
      <c r="C4250" s="5">
        <f>CONCATENATE("PD", TEXT(A4250, "1000000"))</f>
      </c>
      <c r="D4250" s="7">
        <v>63</v>
      </c>
      <c r="E4250" s="5">
        <f>XLOOKUP(G4250, item_category!C:C, item_category!B:B, "Not Found")</f>
      </c>
      <c r="F4250" s="1" t="s">
        <v>3726</v>
      </c>
      <c r="G4250" s="5">
        <f>XLOOKUP(I4250, drug!B:B, drug!A:A, "Not Found")</f>
      </c>
      <c r="H4250" s="1" t="s">
        <v>245</v>
      </c>
      <c r="I4250" s="7">
        <v>200</v>
      </c>
      <c r="J4250" s="5">
        <f>XLOOKUP(L4250, uom!C:C, uom!B:B, "Not Found")</f>
      </c>
      <c r="K4250" s="1" t="s">
        <v>5625</v>
      </c>
      <c r="L4250" s="5">
        <f>XLOOKUP(N4250, uom!C:C, uom!B:B, "Not Found")</f>
      </c>
      <c r="M4250" s="1" t="s">
        <v>5625</v>
      </c>
      <c r="N4250" s="8" t="s">
        <v>5524</v>
      </c>
      <c r="O4250" s="1" t="s">
        <v>5525</v>
      </c>
      <c r="P4250" s="5">
        <f>XLOOKUP(R4250, classification!C:C, classification!B:B, "Not Found")</f>
      </c>
      <c r="Q4250" s="1" t="s">
        <v>5514</v>
      </c>
      <c r="R4250" s="2"/>
      <c r="S4250" s="2"/>
      <c r="T4250" s="2"/>
      <c r="U4250" s="2"/>
    </row>
    <row x14ac:dyDescent="0.25" r="4251" customHeight="1" ht="17.25">
      <c r="A4251" s="7">
        <v>4250</v>
      </c>
      <c r="B4251" s="1" t="s">
        <v>9548</v>
      </c>
      <c r="C4251" s="5">
        <f>CONCATENATE("PD", TEXT(A4251, "1000000"))</f>
      </c>
      <c r="D4251" s="7">
        <v>74</v>
      </c>
      <c r="E4251" s="5">
        <f>XLOOKUP(G4251, item_category!C:C, item_category!B:B, "Not Found")</f>
      </c>
      <c r="F4251" s="1" t="s">
        <v>5520</v>
      </c>
      <c r="G4251" s="5">
        <f>XLOOKUP(I4251, drug!B:B, drug!A:A, "Not Found")</f>
      </c>
      <c r="H4251" s="1"/>
      <c r="I4251" s="7">
        <v>1</v>
      </c>
      <c r="J4251" s="5">
        <f>XLOOKUP(L4251, uom!C:C, uom!B:B, "Not Found")</f>
      </c>
      <c r="K4251" s="1" t="s">
        <v>9549</v>
      </c>
      <c r="L4251" s="5">
        <f>XLOOKUP(N4251, uom!C:C, uom!B:B, "Not Found")</f>
      </c>
      <c r="M4251" s="1" t="s">
        <v>9549</v>
      </c>
      <c r="N4251" s="8" t="s">
        <v>5524</v>
      </c>
      <c r="O4251" s="1" t="s">
        <v>5525</v>
      </c>
      <c r="P4251" s="5">
        <f>XLOOKUP(R4251, classification!C:C, classification!B:B, "Not Found")</f>
      </c>
      <c r="Q4251" s="1" t="s">
        <v>5514</v>
      </c>
      <c r="R4251" s="2"/>
      <c r="S4251" s="2"/>
      <c r="T4251" s="2"/>
      <c r="U4251" s="2"/>
    </row>
    <row x14ac:dyDescent="0.25" r="4252" customHeight="1" ht="17.25">
      <c r="A4252" s="7">
        <v>4251</v>
      </c>
      <c r="B4252" s="1" t="s">
        <v>9550</v>
      </c>
      <c r="C4252" s="5">
        <f>CONCATENATE("PD", TEXT(A4252, "1000000"))</f>
      </c>
      <c r="D4252" s="7">
        <v>67</v>
      </c>
      <c r="E4252" s="5">
        <f>XLOOKUP(G4252, item_category!C:C, item_category!B:B, "Not Found")</f>
      </c>
      <c r="F4252" s="1" t="s">
        <v>5516</v>
      </c>
      <c r="G4252" s="5">
        <f>XLOOKUP(I4252, drug!B:B, drug!A:A, "Not Found")</f>
      </c>
      <c r="H4252" s="1"/>
      <c r="I4252" s="7">
        <v>250</v>
      </c>
      <c r="J4252" s="5">
        <f>XLOOKUP(L4252, uom!C:C, uom!B:B, "Not Found")</f>
      </c>
      <c r="K4252" s="1" t="s">
        <v>5602</v>
      </c>
      <c r="L4252" s="5">
        <f>XLOOKUP(N4252, uom!C:C, uom!B:B, "Not Found")</f>
      </c>
      <c r="M4252" s="1" t="s">
        <v>5602</v>
      </c>
      <c r="N4252" s="8" t="s">
        <v>5524</v>
      </c>
      <c r="O4252" s="1" t="s">
        <v>5525</v>
      </c>
      <c r="P4252" s="5">
        <f>XLOOKUP(R4252, classification!C:C, classification!B:B, "Not Found")</f>
      </c>
      <c r="Q4252" s="1" t="s">
        <v>5514</v>
      </c>
      <c r="R4252" s="2"/>
      <c r="S4252" s="2"/>
      <c r="T4252" s="2"/>
      <c r="U4252" s="2"/>
    </row>
    <row x14ac:dyDescent="0.25" r="4253" customHeight="1" ht="17.25">
      <c r="A4253" s="7">
        <v>4252</v>
      </c>
      <c r="B4253" s="1" t="s">
        <v>9551</v>
      </c>
      <c r="C4253" s="5">
        <f>CONCATENATE("PD", TEXT(A4253, "1000000"))</f>
      </c>
      <c r="D4253" s="7">
        <v>1</v>
      </c>
      <c r="E4253" s="5">
        <f>XLOOKUP(G4253, item_category!C:C, item_category!B:B, "Not Found")</f>
      </c>
      <c r="F4253" s="1" t="s">
        <v>5514</v>
      </c>
      <c r="G4253" s="5">
        <f>XLOOKUP(I4253, drug!B:B, drug!A:A, "Not Found")</f>
      </c>
      <c r="H4253" s="1"/>
      <c r="I4253" s="7">
        <v>50</v>
      </c>
      <c r="J4253" s="5">
        <f>XLOOKUP(L4253, uom!C:C, uom!B:B, "Not Found")</f>
      </c>
      <c r="K4253" s="1" t="s">
        <v>5511</v>
      </c>
      <c r="L4253" s="5">
        <f>XLOOKUP(N4253, uom!C:C, uom!B:B, "Not Found")</f>
      </c>
      <c r="M4253" s="1" t="s">
        <v>5511</v>
      </c>
      <c r="N4253" s="8" t="s">
        <v>5524</v>
      </c>
      <c r="O4253" s="1" t="s">
        <v>5525</v>
      </c>
      <c r="P4253" s="5">
        <f>XLOOKUP(R4253, classification!C:C, classification!B:B, "Not Found")</f>
      </c>
      <c r="Q4253" s="1" t="s">
        <v>5514</v>
      </c>
      <c r="R4253" s="2"/>
      <c r="S4253" s="2"/>
      <c r="T4253" s="2"/>
      <c r="U4253" s="2"/>
    </row>
    <row x14ac:dyDescent="0.25" r="4254" customHeight="1" ht="17.25">
      <c r="A4254" s="7">
        <v>4253</v>
      </c>
      <c r="B4254" s="1" t="s">
        <v>9552</v>
      </c>
      <c r="C4254" s="5">
        <f>CONCATENATE("PD", TEXT(A4254, "1000000"))</f>
      </c>
      <c r="D4254" s="7">
        <v>1</v>
      </c>
      <c r="E4254" s="5">
        <f>XLOOKUP(G4254, item_category!C:C, item_category!B:B, "Not Found")</f>
      </c>
      <c r="F4254" s="1" t="s">
        <v>5514</v>
      </c>
      <c r="G4254" s="5">
        <f>XLOOKUP(I4254, drug!B:B, drug!A:A, "Not Found")</f>
      </c>
      <c r="H4254" s="1"/>
      <c r="I4254" s="7">
        <v>700</v>
      </c>
      <c r="J4254" s="5">
        <f>XLOOKUP(L4254, uom!C:C, uom!B:B, "Not Found")</f>
      </c>
      <c r="K4254" s="1" t="s">
        <v>5510</v>
      </c>
      <c r="L4254" s="5">
        <f>XLOOKUP(N4254, uom!C:C, uom!B:B, "Not Found")</f>
      </c>
      <c r="M4254" s="1" t="s">
        <v>5510</v>
      </c>
      <c r="N4254" s="8" t="s">
        <v>5524</v>
      </c>
      <c r="O4254" s="1" t="s">
        <v>5525</v>
      </c>
      <c r="P4254" s="5">
        <f>XLOOKUP(R4254, classification!C:C, classification!B:B, "Not Found")</f>
      </c>
      <c r="Q4254" s="1" t="s">
        <v>5514</v>
      </c>
      <c r="R4254" s="2"/>
      <c r="S4254" s="2"/>
      <c r="T4254" s="2"/>
      <c r="U4254" s="2"/>
    </row>
    <row x14ac:dyDescent="0.25" r="4255" customHeight="1" ht="17.25">
      <c r="A4255" s="7">
        <v>4254</v>
      </c>
      <c r="B4255" s="1" t="s">
        <v>9553</v>
      </c>
      <c r="C4255" s="5">
        <f>CONCATENATE("PD", TEXT(A4255, "1000000"))</f>
      </c>
      <c r="D4255" s="7">
        <v>75</v>
      </c>
      <c r="E4255" s="5">
        <f>XLOOKUP(G4255, item_category!C:C, item_category!B:B, "Not Found")</f>
      </c>
      <c r="F4255" s="1" t="s">
        <v>5541</v>
      </c>
      <c r="G4255" s="5">
        <f>XLOOKUP(I4255, drug!B:B, drug!A:A, "Not Found")</f>
      </c>
      <c r="H4255" s="1"/>
      <c r="I4255" s="7">
        <v>200</v>
      </c>
      <c r="J4255" s="5">
        <f>XLOOKUP(L4255, uom!C:C, uom!B:B, "Not Found")</f>
      </c>
      <c r="K4255" s="1" t="s">
        <v>5544</v>
      </c>
      <c r="L4255" s="5">
        <f>XLOOKUP(N4255, uom!C:C, uom!B:B, "Not Found")</f>
      </c>
      <c r="M4255" s="1" t="s">
        <v>5544</v>
      </c>
      <c r="N4255" s="8" t="s">
        <v>5524</v>
      </c>
      <c r="O4255" s="1" t="s">
        <v>5525</v>
      </c>
      <c r="P4255" s="5">
        <f>XLOOKUP(R4255, classification!C:C, classification!B:B, "Not Found")</f>
      </c>
      <c r="Q4255" s="1" t="s">
        <v>5514</v>
      </c>
      <c r="R4255" s="2"/>
      <c r="S4255" s="2"/>
      <c r="T4255" s="2"/>
      <c r="U4255" s="2"/>
    </row>
    <row x14ac:dyDescent="0.25" r="4256" customHeight="1" ht="17.25">
      <c r="A4256" s="7">
        <v>4255</v>
      </c>
      <c r="B4256" s="1" t="s">
        <v>9554</v>
      </c>
      <c r="C4256" s="5">
        <f>CONCATENATE("PD", TEXT(A4256, "1000000"))</f>
      </c>
      <c r="D4256" s="7">
        <v>1</v>
      </c>
      <c r="E4256" s="5">
        <f>XLOOKUP(G4256, item_category!C:C, item_category!B:B, "Not Found")</f>
      </c>
      <c r="F4256" s="1" t="s">
        <v>5514</v>
      </c>
      <c r="G4256" s="5">
        <f>XLOOKUP(I4256, drug!B:B, drug!A:A, "Not Found")</f>
      </c>
      <c r="H4256" s="1"/>
      <c r="I4256" s="7">
        <v>1</v>
      </c>
      <c r="J4256" s="5">
        <f>XLOOKUP(L4256, uom!C:C, uom!B:B, "Not Found")</f>
      </c>
      <c r="K4256" s="1" t="s">
        <v>5511</v>
      </c>
      <c r="L4256" s="5">
        <f>XLOOKUP(N4256, uom!C:C, uom!B:B, "Not Found")</f>
      </c>
      <c r="M4256" s="1" t="s">
        <v>5511</v>
      </c>
      <c r="N4256" s="8" t="s">
        <v>5524</v>
      </c>
      <c r="O4256" s="1" t="s">
        <v>5513</v>
      </c>
      <c r="P4256" s="5">
        <f>XLOOKUP(R4256, classification!C:C, classification!B:B, "Not Found")</f>
      </c>
      <c r="Q4256" s="1" t="s">
        <v>5514</v>
      </c>
      <c r="R4256" s="2"/>
      <c r="S4256" s="2"/>
      <c r="T4256" s="2"/>
      <c r="U4256" s="2"/>
    </row>
    <row x14ac:dyDescent="0.25" r="4257" customHeight="1" ht="17.25">
      <c r="A4257" s="7">
        <v>4256</v>
      </c>
      <c r="B4257" s="1" t="s">
        <v>9555</v>
      </c>
      <c r="C4257" s="5">
        <f>CONCATENATE("PD", TEXT(A4257, "1000000"))</f>
      </c>
      <c r="D4257" s="7">
        <v>1</v>
      </c>
      <c r="E4257" s="5">
        <f>XLOOKUP(G4257, item_category!C:C, item_category!B:B, "Not Found")</f>
      </c>
      <c r="F4257" s="1" t="s">
        <v>5514</v>
      </c>
      <c r="G4257" s="5">
        <f>XLOOKUP(I4257, drug!B:B, drug!A:A, "Not Found")</f>
      </c>
      <c r="H4257" s="1"/>
      <c r="I4257" s="7">
        <v>600</v>
      </c>
      <c r="J4257" s="5">
        <f>XLOOKUP(L4257, uom!C:C, uom!B:B, "Not Found")</f>
      </c>
      <c r="K4257" s="1" t="s">
        <v>5511</v>
      </c>
      <c r="L4257" s="5">
        <f>XLOOKUP(N4257, uom!C:C, uom!B:B, "Not Found")</f>
      </c>
      <c r="M4257" s="1" t="s">
        <v>5511</v>
      </c>
      <c r="N4257" s="8" t="s">
        <v>5524</v>
      </c>
      <c r="O4257" s="1" t="s">
        <v>5525</v>
      </c>
      <c r="P4257" s="5">
        <f>XLOOKUP(R4257, classification!C:C, classification!B:B, "Not Found")</f>
      </c>
      <c r="Q4257" s="1" t="s">
        <v>5514</v>
      </c>
      <c r="R4257" s="2"/>
      <c r="S4257" s="2"/>
      <c r="T4257" s="2"/>
      <c r="U4257" s="2"/>
    </row>
    <row x14ac:dyDescent="0.25" r="4258" customHeight="1" ht="17.25">
      <c r="A4258" s="7">
        <v>4257</v>
      </c>
      <c r="B4258" s="1" t="s">
        <v>9556</v>
      </c>
      <c r="C4258" s="5">
        <f>CONCATENATE("PD", TEXT(A4258, "1000000"))</f>
      </c>
      <c r="D4258" s="7">
        <v>1</v>
      </c>
      <c r="E4258" s="5">
        <f>XLOOKUP(G4258, item_category!C:C, item_category!B:B, "Not Found")</f>
      </c>
      <c r="F4258" s="1" t="s">
        <v>5514</v>
      </c>
      <c r="G4258" s="5">
        <f>XLOOKUP(I4258, drug!B:B, drug!A:A, "Not Found")</f>
      </c>
      <c r="H4258" s="1"/>
      <c r="I4258" s="7">
        <v>10</v>
      </c>
      <c r="J4258" s="5">
        <f>XLOOKUP(L4258, uom!C:C, uom!B:B, "Not Found")</f>
      </c>
      <c r="K4258" s="1" t="s">
        <v>7989</v>
      </c>
      <c r="L4258" s="5">
        <f>XLOOKUP(N4258, uom!C:C, uom!B:B, "Not Found")</f>
      </c>
      <c r="M4258" s="1" t="s">
        <v>7989</v>
      </c>
      <c r="N4258" s="8" t="s">
        <v>5524</v>
      </c>
      <c r="O4258" s="1" t="s">
        <v>5525</v>
      </c>
      <c r="P4258" s="5">
        <f>XLOOKUP(R4258, classification!C:C, classification!B:B, "Not Found")</f>
      </c>
      <c r="Q4258" s="1" t="s">
        <v>5514</v>
      </c>
      <c r="R4258" s="2"/>
      <c r="S4258" s="2"/>
      <c r="T4258" s="2"/>
      <c r="U4258" s="2"/>
    </row>
    <row x14ac:dyDescent="0.25" r="4259" customHeight="1" ht="17.25">
      <c r="A4259" s="7">
        <v>4258</v>
      </c>
      <c r="B4259" s="1" t="s">
        <v>9145</v>
      </c>
      <c r="C4259" s="5">
        <f>CONCATENATE("PD", TEXT(A4259, "1000000"))</f>
      </c>
      <c r="D4259" s="7">
        <v>1</v>
      </c>
      <c r="E4259" s="5">
        <f>XLOOKUP(G4259, item_category!C:C, item_category!B:B, "Not Found")</f>
      </c>
      <c r="F4259" s="1" t="s">
        <v>5514</v>
      </c>
      <c r="G4259" s="5">
        <f>XLOOKUP(I4259, drug!B:B, drug!A:A, "Not Found")</f>
      </c>
      <c r="H4259" s="1" t="s">
        <v>1228</v>
      </c>
      <c r="I4259" s="7">
        <v>1</v>
      </c>
      <c r="J4259" s="5">
        <f>XLOOKUP(L4259, uom!C:C, uom!B:B, "Not Found")</f>
      </c>
      <c r="K4259" s="1" t="s">
        <v>5602</v>
      </c>
      <c r="L4259" s="5">
        <f>XLOOKUP(N4259, uom!C:C, uom!B:B, "Not Found")</f>
      </c>
      <c r="M4259" s="1" t="s">
        <v>5602</v>
      </c>
      <c r="N4259" s="8" t="s">
        <v>5524</v>
      </c>
      <c r="O4259" s="1" t="s">
        <v>5525</v>
      </c>
      <c r="P4259" s="5">
        <f>XLOOKUP(R4259, classification!C:C, classification!B:B, "Not Found")</f>
      </c>
      <c r="Q4259" s="1" t="s">
        <v>5514</v>
      </c>
      <c r="R4259" s="2"/>
      <c r="S4259" s="2"/>
      <c r="T4259" s="2"/>
      <c r="U4259" s="2"/>
    </row>
    <row x14ac:dyDescent="0.25" r="4260" customHeight="1" ht="17.25">
      <c r="A4260" s="7">
        <v>4259</v>
      </c>
      <c r="B4260" s="1" t="s">
        <v>9557</v>
      </c>
      <c r="C4260" s="5">
        <f>CONCATENATE("PD", TEXT(A4260, "1000000"))</f>
      </c>
      <c r="D4260" s="7">
        <v>1</v>
      </c>
      <c r="E4260" s="5">
        <f>XLOOKUP(G4260, item_category!C:C, item_category!B:B, "Not Found")</f>
      </c>
      <c r="F4260" s="1" t="s">
        <v>5514</v>
      </c>
      <c r="G4260" s="5">
        <f>XLOOKUP(I4260, drug!B:B, drug!A:A, "Not Found")</f>
      </c>
      <c r="H4260" s="1"/>
      <c r="I4260" s="7">
        <v>500</v>
      </c>
      <c r="J4260" s="5">
        <f>XLOOKUP(L4260, uom!C:C, uom!B:B, "Not Found")</f>
      </c>
      <c r="K4260" s="1" t="s">
        <v>5604</v>
      </c>
      <c r="L4260" s="5">
        <f>XLOOKUP(N4260, uom!C:C, uom!B:B, "Not Found")</f>
      </c>
      <c r="M4260" s="1" t="s">
        <v>5604</v>
      </c>
      <c r="N4260" s="8" t="s">
        <v>5524</v>
      </c>
      <c r="O4260" s="1" t="s">
        <v>5525</v>
      </c>
      <c r="P4260" s="5">
        <f>XLOOKUP(R4260, classification!C:C, classification!B:B, "Not Found")</f>
      </c>
      <c r="Q4260" s="1" t="s">
        <v>5514</v>
      </c>
      <c r="R4260" s="2"/>
      <c r="S4260" s="2"/>
      <c r="T4260" s="2"/>
      <c r="U4260" s="2"/>
    </row>
    <row x14ac:dyDescent="0.25" r="4261" customHeight="1" ht="17.25">
      <c r="A4261" s="7">
        <v>4260</v>
      </c>
      <c r="B4261" s="1" t="s">
        <v>9558</v>
      </c>
      <c r="C4261" s="5">
        <f>CONCATENATE("PD", TEXT(A4261, "1000000"))</f>
      </c>
      <c r="D4261" s="7">
        <v>67</v>
      </c>
      <c r="E4261" s="5">
        <f>XLOOKUP(G4261, item_category!C:C, item_category!B:B, "Not Found")</f>
      </c>
      <c r="F4261" s="1" t="s">
        <v>5516</v>
      </c>
      <c r="G4261" s="5">
        <f>XLOOKUP(I4261, drug!B:B, drug!A:A, "Not Found")</f>
      </c>
      <c r="H4261" s="1"/>
      <c r="I4261" s="7">
        <v>600</v>
      </c>
      <c r="J4261" s="5">
        <f>XLOOKUP(L4261, uom!C:C, uom!B:B, "Not Found")</f>
      </c>
      <c r="K4261" s="1" t="s">
        <v>5602</v>
      </c>
      <c r="L4261" s="5">
        <f>XLOOKUP(N4261, uom!C:C, uom!B:B, "Not Found")</f>
      </c>
      <c r="M4261" s="1" t="s">
        <v>5602</v>
      </c>
      <c r="N4261" s="8" t="s">
        <v>5524</v>
      </c>
      <c r="O4261" s="1" t="s">
        <v>5525</v>
      </c>
      <c r="P4261" s="5">
        <f>XLOOKUP(R4261, classification!C:C, classification!B:B, "Not Found")</f>
      </c>
      <c r="Q4261" s="1" t="s">
        <v>5514</v>
      </c>
      <c r="R4261" s="2"/>
      <c r="S4261" s="2"/>
      <c r="T4261" s="2"/>
      <c r="U4261" s="2"/>
    </row>
    <row x14ac:dyDescent="0.25" r="4262" customHeight="1" ht="17.25">
      <c r="A4262" s="7">
        <v>4261</v>
      </c>
      <c r="B4262" s="1" t="s">
        <v>9559</v>
      </c>
      <c r="C4262" s="5">
        <f>CONCATENATE("PD", TEXT(A4262, "1000000"))</f>
      </c>
      <c r="D4262" s="7">
        <v>74</v>
      </c>
      <c r="E4262" s="5">
        <f>XLOOKUP(G4262, item_category!C:C, item_category!B:B, "Not Found")</f>
      </c>
      <c r="F4262" s="1" t="s">
        <v>5520</v>
      </c>
      <c r="G4262" s="5">
        <f>XLOOKUP(I4262, drug!B:B, drug!A:A, "Not Found")</f>
      </c>
      <c r="H4262" s="1" t="s">
        <v>1532</v>
      </c>
      <c r="I4262" s="7">
        <v>100</v>
      </c>
      <c r="J4262" s="5">
        <f>XLOOKUP(L4262, uom!C:C, uom!B:B, "Not Found")</f>
      </c>
      <c r="K4262" s="1" t="s">
        <v>5544</v>
      </c>
      <c r="L4262" s="5">
        <f>XLOOKUP(N4262, uom!C:C, uom!B:B, "Not Found")</f>
      </c>
      <c r="M4262" s="1" t="s">
        <v>5544</v>
      </c>
      <c r="N4262" s="8" t="s">
        <v>5524</v>
      </c>
      <c r="O4262" s="1" t="s">
        <v>5525</v>
      </c>
      <c r="P4262" s="5">
        <f>XLOOKUP(R4262, classification!C:C, classification!B:B, "Not Found")</f>
      </c>
      <c r="Q4262" s="1" t="s">
        <v>5514</v>
      </c>
      <c r="R4262" s="2"/>
      <c r="S4262" s="2"/>
      <c r="T4262" s="2"/>
      <c r="U4262" s="2"/>
    </row>
    <row x14ac:dyDescent="0.25" r="4263" customHeight="1" ht="17.25">
      <c r="A4263" s="7">
        <v>4262</v>
      </c>
      <c r="B4263" s="1" t="s">
        <v>9560</v>
      </c>
      <c r="C4263" s="5">
        <f>CONCATENATE("PD", TEXT(A4263, "1000000"))</f>
      </c>
      <c r="D4263" s="7">
        <v>74</v>
      </c>
      <c r="E4263" s="5">
        <f>XLOOKUP(G4263, item_category!C:C, item_category!B:B, "Not Found")</f>
      </c>
      <c r="F4263" s="1" t="s">
        <v>5520</v>
      </c>
      <c r="G4263" s="5">
        <f>XLOOKUP(I4263, drug!B:B, drug!A:A, "Not Found")</f>
      </c>
      <c r="H4263" s="1" t="s">
        <v>364</v>
      </c>
      <c r="I4263" s="7">
        <v>150</v>
      </c>
      <c r="J4263" s="5">
        <f>XLOOKUP(L4263, uom!C:C, uom!B:B, "Not Found")</f>
      </c>
      <c r="K4263" s="1" t="s">
        <v>5544</v>
      </c>
      <c r="L4263" s="5">
        <f>XLOOKUP(N4263, uom!C:C, uom!B:B, "Not Found")</f>
      </c>
      <c r="M4263" s="1" t="s">
        <v>5544</v>
      </c>
      <c r="N4263" s="8" t="s">
        <v>5524</v>
      </c>
      <c r="O4263" s="1" t="s">
        <v>5525</v>
      </c>
      <c r="P4263" s="5">
        <f>XLOOKUP(R4263, classification!C:C, classification!B:B, "Not Found")</f>
      </c>
      <c r="Q4263" s="1" t="s">
        <v>5514</v>
      </c>
      <c r="R4263" s="2"/>
      <c r="S4263" s="2"/>
      <c r="T4263" s="2"/>
      <c r="U4263" s="2"/>
    </row>
    <row x14ac:dyDescent="0.25" r="4264" customHeight="1" ht="17.25">
      <c r="A4264" s="7">
        <v>4263</v>
      </c>
      <c r="B4264" s="1" t="s">
        <v>9561</v>
      </c>
      <c r="C4264" s="5">
        <f>CONCATENATE("PD", TEXT(A4264, "1000000"))</f>
      </c>
      <c r="D4264" s="7">
        <v>74</v>
      </c>
      <c r="E4264" s="5">
        <f>XLOOKUP(G4264, item_category!C:C, item_category!B:B, "Not Found")</f>
      </c>
      <c r="F4264" s="1" t="s">
        <v>5520</v>
      </c>
      <c r="G4264" s="5">
        <f>XLOOKUP(I4264, drug!B:B, drug!A:A, "Not Found")</f>
      </c>
      <c r="H4264" s="1"/>
      <c r="I4264" s="7">
        <v>850</v>
      </c>
      <c r="J4264" s="5">
        <f>XLOOKUP(L4264, uom!C:C, uom!B:B, "Not Found")</f>
      </c>
      <c r="K4264" s="1" t="s">
        <v>9235</v>
      </c>
      <c r="L4264" s="5">
        <f>XLOOKUP(N4264, uom!C:C, uom!B:B, "Not Found")</f>
      </c>
      <c r="M4264" s="1" t="s">
        <v>9235</v>
      </c>
      <c r="N4264" s="8" t="s">
        <v>5524</v>
      </c>
      <c r="O4264" s="1" t="s">
        <v>5525</v>
      </c>
      <c r="P4264" s="5">
        <f>XLOOKUP(R4264, classification!C:C, classification!B:B, "Not Found")</f>
      </c>
      <c r="Q4264" s="1" t="s">
        <v>5514</v>
      </c>
      <c r="R4264" s="2"/>
      <c r="S4264" s="2"/>
      <c r="T4264" s="2"/>
      <c r="U4264" s="2"/>
    </row>
    <row x14ac:dyDescent="0.25" r="4265" customHeight="1" ht="17.25">
      <c r="A4265" s="7">
        <v>4264</v>
      </c>
      <c r="B4265" s="1" t="s">
        <v>9562</v>
      </c>
      <c r="C4265" s="5">
        <f>CONCATENATE("PD", TEXT(A4265, "1000000"))</f>
      </c>
      <c r="D4265" s="7">
        <v>1</v>
      </c>
      <c r="E4265" s="5">
        <f>XLOOKUP(G4265, item_category!C:C, item_category!B:B, "Not Found")</f>
      </c>
      <c r="F4265" s="1" t="s">
        <v>5514</v>
      </c>
      <c r="G4265" s="5">
        <f>XLOOKUP(I4265, drug!B:B, drug!A:A, "Not Found")</f>
      </c>
      <c r="H4265" s="1" t="s">
        <v>769</v>
      </c>
      <c r="I4265" s="7">
        <v>25</v>
      </c>
      <c r="J4265" s="5">
        <f>XLOOKUP(L4265, uom!C:C, uom!B:B, "Not Found")</f>
      </c>
      <c r="K4265" s="1" t="s">
        <v>5899</v>
      </c>
      <c r="L4265" s="5">
        <f>XLOOKUP(N4265, uom!C:C, uom!B:B, "Not Found")</f>
      </c>
      <c r="M4265" s="1" t="s">
        <v>5544</v>
      </c>
      <c r="N4265" s="8" t="s">
        <v>5524</v>
      </c>
      <c r="O4265" s="1" t="s">
        <v>5525</v>
      </c>
      <c r="P4265" s="5">
        <f>XLOOKUP(R4265, classification!C:C, classification!B:B, "Not Found")</f>
      </c>
      <c r="Q4265" s="1" t="s">
        <v>5514</v>
      </c>
      <c r="R4265" s="2"/>
      <c r="S4265" s="2"/>
      <c r="T4265" s="2"/>
      <c r="U4265" s="2"/>
    </row>
    <row x14ac:dyDescent="0.25" r="4266" customHeight="1" ht="17.25">
      <c r="A4266" s="7">
        <v>4265</v>
      </c>
      <c r="B4266" s="1" t="s">
        <v>9563</v>
      </c>
      <c r="C4266" s="5">
        <f>CONCATENATE("PD", TEXT(A4266, "1000000"))</f>
      </c>
      <c r="D4266" s="7">
        <v>1</v>
      </c>
      <c r="E4266" s="5">
        <f>XLOOKUP(G4266, item_category!C:C, item_category!B:B, "Not Found")</f>
      </c>
      <c r="F4266" s="1" t="s">
        <v>5514</v>
      </c>
      <c r="G4266" s="5">
        <f>XLOOKUP(I4266, drug!B:B, drug!A:A, "Not Found")</f>
      </c>
      <c r="H4266" s="1"/>
      <c r="I4266" s="7">
        <v>600</v>
      </c>
      <c r="J4266" s="5">
        <f>XLOOKUP(L4266, uom!C:C, uom!B:B, "Not Found")</f>
      </c>
      <c r="K4266" s="1" t="s">
        <v>5511</v>
      </c>
      <c r="L4266" s="5">
        <f>XLOOKUP(N4266, uom!C:C, uom!B:B, "Not Found")</f>
      </c>
      <c r="M4266" s="1" t="s">
        <v>5511</v>
      </c>
      <c r="N4266" s="8" t="s">
        <v>5524</v>
      </c>
      <c r="O4266" s="1" t="s">
        <v>5525</v>
      </c>
      <c r="P4266" s="5">
        <f>XLOOKUP(R4266, classification!C:C, classification!B:B, "Not Found")</f>
      </c>
      <c r="Q4266" s="1" t="s">
        <v>5514</v>
      </c>
      <c r="R4266" s="2"/>
      <c r="S4266" s="2"/>
      <c r="T4266" s="2"/>
      <c r="U4266" s="2"/>
    </row>
    <row x14ac:dyDescent="0.25" r="4267" customHeight="1" ht="17.25">
      <c r="A4267" s="7">
        <v>4266</v>
      </c>
      <c r="B4267" s="1" t="s">
        <v>9564</v>
      </c>
      <c r="C4267" s="5">
        <f>CONCATENATE("PD", TEXT(A4267, "1000000"))</f>
      </c>
      <c r="D4267" s="7">
        <v>76</v>
      </c>
      <c r="E4267" s="5">
        <f>XLOOKUP(G4267, item_category!C:C, item_category!B:B, "Not Found")</f>
      </c>
      <c r="F4267" s="1" t="s">
        <v>5632</v>
      </c>
      <c r="G4267" s="5">
        <f>XLOOKUP(I4267, drug!B:B, drug!A:A, "Not Found")</f>
      </c>
      <c r="H4267" s="1"/>
      <c r="I4267" s="7">
        <v>20</v>
      </c>
      <c r="J4267" s="5">
        <f>XLOOKUP(L4267, uom!C:C, uom!B:B, "Not Found")</f>
      </c>
      <c r="K4267" s="1" t="s">
        <v>5544</v>
      </c>
      <c r="L4267" s="5">
        <f>XLOOKUP(N4267, uom!C:C, uom!B:B, "Not Found")</f>
      </c>
      <c r="M4267" s="1" t="s">
        <v>5544</v>
      </c>
      <c r="N4267" s="8" t="s">
        <v>5524</v>
      </c>
      <c r="O4267" s="1" t="s">
        <v>5525</v>
      </c>
      <c r="P4267" s="5">
        <f>XLOOKUP(R4267, classification!C:C, classification!B:B, "Not Found")</f>
      </c>
      <c r="Q4267" s="1" t="s">
        <v>5514</v>
      </c>
      <c r="R4267" s="2"/>
      <c r="S4267" s="2"/>
      <c r="T4267" s="2"/>
      <c r="U4267" s="2"/>
    </row>
    <row x14ac:dyDescent="0.25" r="4268" customHeight="1" ht="17.25">
      <c r="A4268" s="7">
        <v>4267</v>
      </c>
      <c r="B4268" s="1" t="s">
        <v>9565</v>
      </c>
      <c r="C4268" s="5">
        <f>CONCATENATE("PD", TEXT(A4268, "1000000"))</f>
      </c>
      <c r="D4268" s="7">
        <v>1</v>
      </c>
      <c r="E4268" s="5">
        <f>XLOOKUP(G4268, item_category!C:C, item_category!B:B, "Not Found")</f>
      </c>
      <c r="F4268" s="1" t="s">
        <v>5514</v>
      </c>
      <c r="G4268" s="5">
        <f>XLOOKUP(I4268, drug!B:B, drug!A:A, "Not Found")</f>
      </c>
      <c r="H4268" s="1"/>
      <c r="I4268" s="7">
        <v>300</v>
      </c>
      <c r="J4268" s="5">
        <f>XLOOKUP(L4268, uom!C:C, uom!B:B, "Not Found")</f>
      </c>
      <c r="K4268" s="1" t="s">
        <v>5544</v>
      </c>
      <c r="L4268" s="5">
        <f>XLOOKUP(N4268, uom!C:C, uom!B:B, "Not Found")</f>
      </c>
      <c r="M4268" s="1" t="s">
        <v>5544</v>
      </c>
      <c r="N4268" s="8" t="s">
        <v>5524</v>
      </c>
      <c r="O4268" s="1" t="s">
        <v>5525</v>
      </c>
      <c r="P4268" s="5">
        <f>XLOOKUP(R4268, classification!C:C, classification!B:B, "Not Found")</f>
      </c>
      <c r="Q4268" s="1" t="s">
        <v>5514</v>
      </c>
      <c r="R4268" s="2"/>
      <c r="S4268" s="2"/>
      <c r="T4268" s="2"/>
      <c r="U4268" s="2"/>
    </row>
    <row x14ac:dyDescent="0.25" r="4269" customHeight="1" ht="17.25">
      <c r="A4269" s="7">
        <v>4268</v>
      </c>
      <c r="B4269" s="1" t="s">
        <v>9566</v>
      </c>
      <c r="C4269" s="5">
        <f>CONCATENATE("PD", TEXT(A4269, "1000000"))</f>
      </c>
      <c r="D4269" s="7">
        <v>1</v>
      </c>
      <c r="E4269" s="5">
        <f>XLOOKUP(G4269, item_category!C:C, item_category!B:B, "Not Found")</f>
      </c>
      <c r="F4269" s="1" t="s">
        <v>5514</v>
      </c>
      <c r="G4269" s="5">
        <f>XLOOKUP(I4269, drug!B:B, drug!A:A, "Not Found")</f>
      </c>
      <c r="H4269" s="1"/>
      <c r="I4269" s="7">
        <v>400</v>
      </c>
      <c r="J4269" s="5">
        <f>XLOOKUP(L4269, uom!C:C, uom!B:B, "Not Found")</f>
      </c>
      <c r="K4269" s="1" t="s">
        <v>5544</v>
      </c>
      <c r="L4269" s="5">
        <f>XLOOKUP(N4269, uom!C:C, uom!B:B, "Not Found")</f>
      </c>
      <c r="M4269" s="1" t="s">
        <v>5544</v>
      </c>
      <c r="N4269" s="8" t="s">
        <v>5524</v>
      </c>
      <c r="O4269" s="1" t="s">
        <v>5525</v>
      </c>
      <c r="P4269" s="5">
        <f>XLOOKUP(R4269, classification!C:C, classification!B:B, "Not Found")</f>
      </c>
      <c r="Q4269" s="1" t="s">
        <v>5514</v>
      </c>
      <c r="R4269" s="2"/>
      <c r="S4269" s="2"/>
      <c r="T4269" s="2"/>
      <c r="U4269" s="2"/>
    </row>
    <row x14ac:dyDescent="0.25" r="4270" customHeight="1" ht="17.25">
      <c r="A4270" s="7">
        <v>4269</v>
      </c>
      <c r="B4270" s="1" t="s">
        <v>9567</v>
      </c>
      <c r="C4270" s="5">
        <f>CONCATENATE("PD", TEXT(A4270, "1000000"))</f>
      </c>
      <c r="D4270" s="7">
        <v>1</v>
      </c>
      <c r="E4270" s="5">
        <f>XLOOKUP(G4270, item_category!C:C, item_category!B:B, "Not Found")</f>
      </c>
      <c r="F4270" s="1" t="s">
        <v>5514</v>
      </c>
      <c r="G4270" s="5">
        <f>XLOOKUP(I4270, drug!B:B, drug!A:A, "Not Found")</f>
      </c>
      <c r="H4270" s="1"/>
      <c r="I4270" s="7">
        <v>50</v>
      </c>
      <c r="J4270" s="5">
        <f>XLOOKUP(L4270, uom!C:C, uom!B:B, "Not Found")</f>
      </c>
      <c r="K4270" s="1" t="s">
        <v>5511</v>
      </c>
      <c r="L4270" s="5">
        <f>XLOOKUP(N4270, uom!C:C, uom!B:B, "Not Found")</f>
      </c>
      <c r="M4270" s="1" t="s">
        <v>5511</v>
      </c>
      <c r="N4270" s="8" t="s">
        <v>5524</v>
      </c>
      <c r="O4270" s="1" t="s">
        <v>5525</v>
      </c>
      <c r="P4270" s="5">
        <f>XLOOKUP(R4270, classification!C:C, classification!B:B, "Not Found")</f>
      </c>
      <c r="Q4270" s="1" t="s">
        <v>5514</v>
      </c>
      <c r="R4270" s="2"/>
      <c r="S4270" s="2"/>
      <c r="T4270" s="2"/>
      <c r="U4270" s="2"/>
    </row>
    <row x14ac:dyDescent="0.25" r="4271" customHeight="1" ht="17.25">
      <c r="A4271" s="7">
        <v>4270</v>
      </c>
      <c r="B4271" s="1" t="s">
        <v>9568</v>
      </c>
      <c r="C4271" s="5">
        <f>CONCATENATE("PD", TEXT(A4271, "1000000"))</f>
      </c>
      <c r="D4271" s="7">
        <v>1</v>
      </c>
      <c r="E4271" s="5">
        <f>XLOOKUP(G4271, item_category!C:C, item_category!B:B, "Not Found")</f>
      </c>
      <c r="F4271" s="1" t="s">
        <v>5514</v>
      </c>
      <c r="G4271" s="5">
        <f>XLOOKUP(I4271, drug!B:B, drug!A:A, "Not Found")</f>
      </c>
      <c r="H4271" s="1"/>
      <c r="I4271" s="7">
        <v>1</v>
      </c>
      <c r="J4271" s="5">
        <f>XLOOKUP(L4271, uom!C:C, uom!B:B, "Not Found")</f>
      </c>
      <c r="K4271" s="1" t="s">
        <v>5602</v>
      </c>
      <c r="L4271" s="5">
        <f>XLOOKUP(N4271, uom!C:C, uom!B:B, "Not Found")</f>
      </c>
      <c r="M4271" s="1" t="s">
        <v>5602</v>
      </c>
      <c r="N4271" s="8" t="s">
        <v>5524</v>
      </c>
      <c r="O4271" s="1" t="s">
        <v>5525</v>
      </c>
      <c r="P4271" s="5">
        <f>XLOOKUP(R4271, classification!C:C, classification!B:B, "Not Found")</f>
      </c>
      <c r="Q4271" s="1" t="s">
        <v>5514</v>
      </c>
      <c r="R4271" s="2"/>
      <c r="S4271" s="2"/>
      <c r="T4271" s="2"/>
      <c r="U4271" s="2"/>
    </row>
    <row x14ac:dyDescent="0.25" r="4272" customHeight="1" ht="17.25">
      <c r="A4272" s="7">
        <v>4271</v>
      </c>
      <c r="B4272" s="1" t="s">
        <v>9569</v>
      </c>
      <c r="C4272" s="5">
        <f>CONCATENATE("PD", TEXT(A4272, "1000000"))</f>
      </c>
      <c r="D4272" s="7">
        <v>1</v>
      </c>
      <c r="E4272" s="5">
        <f>XLOOKUP(G4272, item_category!C:C, item_category!B:B, "Not Found")</f>
      </c>
      <c r="F4272" s="1" t="s">
        <v>5514</v>
      </c>
      <c r="G4272" s="5">
        <f>XLOOKUP(I4272, drug!B:B, drug!A:A, "Not Found")</f>
      </c>
      <c r="H4272" s="1" t="s">
        <v>2078</v>
      </c>
      <c r="I4272" s="7">
        <v>1</v>
      </c>
      <c r="J4272" s="5">
        <f>XLOOKUP(L4272, uom!C:C, uom!B:B, "Not Found")</f>
      </c>
      <c r="K4272" s="1" t="s">
        <v>9235</v>
      </c>
      <c r="L4272" s="5">
        <f>XLOOKUP(N4272, uom!C:C, uom!B:B, "Not Found")</f>
      </c>
      <c r="M4272" s="1" t="s">
        <v>9235</v>
      </c>
      <c r="N4272" s="8" t="s">
        <v>5524</v>
      </c>
      <c r="O4272" s="1" t="s">
        <v>5525</v>
      </c>
      <c r="P4272" s="5">
        <f>XLOOKUP(R4272, classification!C:C, classification!B:B, "Not Found")</f>
      </c>
      <c r="Q4272" s="1" t="s">
        <v>5514</v>
      </c>
      <c r="R4272" s="2"/>
      <c r="S4272" s="2"/>
      <c r="T4272" s="2"/>
      <c r="U4272" s="2"/>
    </row>
    <row x14ac:dyDescent="0.25" r="4273" customHeight="1" ht="17.25">
      <c r="A4273" s="7">
        <v>4272</v>
      </c>
      <c r="B4273" s="1" t="s">
        <v>9570</v>
      </c>
      <c r="C4273" s="5">
        <f>CONCATENATE("PD", TEXT(A4273, "1000000"))</f>
      </c>
      <c r="D4273" s="7">
        <v>1</v>
      </c>
      <c r="E4273" s="5">
        <f>XLOOKUP(G4273, item_category!C:C, item_category!B:B, "Not Found")</f>
      </c>
      <c r="F4273" s="1" t="s">
        <v>5514</v>
      </c>
      <c r="G4273" s="5">
        <f>XLOOKUP(I4273, drug!B:B, drug!A:A, "Not Found")</f>
      </c>
      <c r="H4273" s="1" t="s">
        <v>1336</v>
      </c>
      <c r="I4273" s="7">
        <v>1</v>
      </c>
      <c r="J4273" s="5">
        <f>XLOOKUP(L4273, uom!C:C, uom!B:B, "Not Found")</f>
      </c>
      <c r="K4273" s="1" t="s">
        <v>5544</v>
      </c>
      <c r="L4273" s="5">
        <f>XLOOKUP(N4273, uom!C:C, uom!B:B, "Not Found")</f>
      </c>
      <c r="M4273" s="1" t="s">
        <v>5544</v>
      </c>
      <c r="N4273" s="8" t="s">
        <v>5524</v>
      </c>
      <c r="O4273" s="1" t="s">
        <v>5525</v>
      </c>
      <c r="P4273" s="5">
        <f>XLOOKUP(R4273, classification!C:C, classification!B:B, "Not Found")</f>
      </c>
      <c r="Q4273" s="1" t="s">
        <v>5514</v>
      </c>
      <c r="R4273" s="2"/>
      <c r="S4273" s="2"/>
      <c r="T4273" s="2"/>
      <c r="U4273" s="2"/>
    </row>
    <row x14ac:dyDescent="0.25" r="4274" customHeight="1" ht="17.25">
      <c r="A4274" s="7">
        <v>4273</v>
      </c>
      <c r="B4274" s="1" t="s">
        <v>9571</v>
      </c>
      <c r="C4274" s="5">
        <f>CONCATENATE("PD", TEXT(A4274, "1000000"))</f>
      </c>
      <c r="D4274" s="7">
        <v>1</v>
      </c>
      <c r="E4274" s="5">
        <f>XLOOKUP(G4274, item_category!C:C, item_category!B:B, "Not Found")</f>
      </c>
      <c r="F4274" s="1" t="s">
        <v>5514</v>
      </c>
      <c r="G4274" s="5">
        <f>XLOOKUP(I4274, drug!B:B, drug!A:A, "Not Found")</f>
      </c>
      <c r="H4274" s="1" t="s">
        <v>1078</v>
      </c>
      <c r="I4274" s="7">
        <v>100</v>
      </c>
      <c r="J4274" s="5">
        <f>XLOOKUP(L4274, uom!C:C, uom!B:B, "Not Found")</f>
      </c>
      <c r="K4274" s="1" t="s">
        <v>9572</v>
      </c>
      <c r="L4274" s="5">
        <f>XLOOKUP(N4274, uom!C:C, uom!B:B, "Not Found")</f>
      </c>
      <c r="M4274" s="1" t="s">
        <v>9572</v>
      </c>
      <c r="N4274" s="8" t="s">
        <v>5524</v>
      </c>
      <c r="O4274" s="1" t="s">
        <v>5525</v>
      </c>
      <c r="P4274" s="5">
        <f>XLOOKUP(R4274, classification!C:C, classification!B:B, "Not Found")</f>
      </c>
      <c r="Q4274" s="1" t="s">
        <v>5514</v>
      </c>
      <c r="R4274" s="2"/>
      <c r="S4274" s="2"/>
      <c r="T4274" s="2"/>
      <c r="U4274" s="2"/>
    </row>
    <row x14ac:dyDescent="0.25" r="4275" customHeight="1" ht="17.25">
      <c r="A4275" s="7">
        <v>4274</v>
      </c>
      <c r="B4275" s="1" t="s">
        <v>9573</v>
      </c>
      <c r="C4275" s="5">
        <f>CONCATENATE("PD", TEXT(A4275, "1000000"))</f>
      </c>
      <c r="D4275" s="7">
        <v>1</v>
      </c>
      <c r="E4275" s="5">
        <f>XLOOKUP(G4275, item_category!C:C, item_category!B:B, "Not Found")</f>
      </c>
      <c r="F4275" s="1" t="s">
        <v>5514</v>
      </c>
      <c r="G4275" s="5">
        <f>XLOOKUP(I4275, drug!B:B, drug!A:A, "Not Found")</f>
      </c>
      <c r="H4275" s="1"/>
      <c r="I4275" s="7">
        <v>80</v>
      </c>
      <c r="J4275" s="5">
        <f>XLOOKUP(L4275, uom!C:C, uom!B:B, "Not Found")</f>
      </c>
      <c r="K4275" s="1" t="s">
        <v>5523</v>
      </c>
      <c r="L4275" s="5">
        <f>XLOOKUP(N4275, uom!C:C, uom!B:B, "Not Found")</f>
      </c>
      <c r="M4275" s="1" t="s">
        <v>5523</v>
      </c>
      <c r="N4275" s="8" t="s">
        <v>5524</v>
      </c>
      <c r="O4275" s="1" t="s">
        <v>5525</v>
      </c>
      <c r="P4275" s="5">
        <f>XLOOKUP(R4275, classification!C:C, classification!B:B, "Not Found")</f>
      </c>
      <c r="Q4275" s="1" t="s">
        <v>5514</v>
      </c>
      <c r="R4275" s="2"/>
      <c r="S4275" s="2"/>
      <c r="T4275" s="2"/>
      <c r="U4275" s="2"/>
    </row>
    <row x14ac:dyDescent="0.25" r="4276" customHeight="1" ht="17.25">
      <c r="A4276" s="7">
        <v>4275</v>
      </c>
      <c r="B4276" s="1" t="s">
        <v>9574</v>
      </c>
      <c r="C4276" s="5">
        <f>CONCATENATE("PD", TEXT(A4276, "1000000"))</f>
      </c>
      <c r="D4276" s="7">
        <v>1</v>
      </c>
      <c r="E4276" s="5">
        <f>XLOOKUP(G4276, item_category!C:C, item_category!B:B, "Not Found")</f>
      </c>
      <c r="F4276" s="1" t="s">
        <v>5514</v>
      </c>
      <c r="G4276" s="5">
        <f>XLOOKUP(I4276, drug!B:B, drug!A:A, "Not Found")</f>
      </c>
      <c r="H4276" s="1"/>
      <c r="I4276" s="7">
        <v>100</v>
      </c>
      <c r="J4276" s="5">
        <f>XLOOKUP(L4276, uom!C:C, uom!B:B, "Not Found")</f>
      </c>
      <c r="K4276" s="1" t="s">
        <v>5544</v>
      </c>
      <c r="L4276" s="5">
        <f>XLOOKUP(N4276, uom!C:C, uom!B:B, "Not Found")</f>
      </c>
      <c r="M4276" s="1" t="s">
        <v>5544</v>
      </c>
      <c r="N4276" s="8" t="s">
        <v>5524</v>
      </c>
      <c r="O4276" s="1" t="s">
        <v>5525</v>
      </c>
      <c r="P4276" s="5">
        <f>XLOOKUP(R4276, classification!C:C, classification!B:B, "Not Found")</f>
      </c>
      <c r="Q4276" s="1" t="s">
        <v>5514</v>
      </c>
      <c r="R4276" s="2"/>
      <c r="S4276" s="2"/>
      <c r="T4276" s="2"/>
      <c r="U4276" s="2"/>
    </row>
    <row x14ac:dyDescent="0.25" r="4277" customHeight="1" ht="17.25">
      <c r="A4277" s="7">
        <v>4276</v>
      </c>
      <c r="B4277" s="1" t="s">
        <v>9575</v>
      </c>
      <c r="C4277" s="5">
        <f>CONCATENATE("PD", TEXT(A4277, "1000000"))</f>
      </c>
      <c r="D4277" s="7">
        <v>1</v>
      </c>
      <c r="E4277" s="5">
        <f>XLOOKUP(G4277, item_category!C:C, item_category!B:B, "Not Found")</f>
      </c>
      <c r="F4277" s="1" t="s">
        <v>5514</v>
      </c>
      <c r="G4277" s="5">
        <f>XLOOKUP(I4277, drug!B:B, drug!A:A, "Not Found")</f>
      </c>
      <c r="H4277" s="1"/>
      <c r="I4277" s="7">
        <v>250</v>
      </c>
      <c r="J4277" s="5">
        <f>XLOOKUP(L4277, uom!C:C, uom!B:B, "Not Found")</f>
      </c>
      <c r="K4277" s="1" t="s">
        <v>5511</v>
      </c>
      <c r="L4277" s="5">
        <f>XLOOKUP(N4277, uom!C:C, uom!B:B, "Not Found")</f>
      </c>
      <c r="M4277" s="1" t="s">
        <v>5511</v>
      </c>
      <c r="N4277" s="8" t="s">
        <v>5524</v>
      </c>
      <c r="O4277" s="1" t="s">
        <v>5525</v>
      </c>
      <c r="P4277" s="5">
        <f>XLOOKUP(R4277, classification!C:C, classification!B:B, "Not Found")</f>
      </c>
      <c r="Q4277" s="1" t="s">
        <v>5514</v>
      </c>
      <c r="R4277" s="2"/>
      <c r="S4277" s="2"/>
      <c r="T4277" s="2"/>
      <c r="U4277" s="2"/>
    </row>
    <row x14ac:dyDescent="0.25" r="4278" customHeight="1" ht="17.25">
      <c r="A4278" s="7">
        <v>4277</v>
      </c>
      <c r="B4278" s="1" t="s">
        <v>9576</v>
      </c>
      <c r="C4278" s="5">
        <f>CONCATENATE("PD", TEXT(A4278, "1000000"))</f>
      </c>
      <c r="D4278" s="7">
        <v>1</v>
      </c>
      <c r="E4278" s="5">
        <f>XLOOKUP(G4278, item_category!C:C, item_category!B:B, "Not Found")</f>
      </c>
      <c r="F4278" s="1" t="s">
        <v>5514</v>
      </c>
      <c r="G4278" s="5">
        <f>XLOOKUP(I4278, drug!B:B, drug!A:A, "Not Found")</f>
      </c>
      <c r="H4278" s="1"/>
      <c r="I4278" s="7">
        <v>100</v>
      </c>
      <c r="J4278" s="5">
        <f>XLOOKUP(L4278, uom!C:C, uom!B:B, "Not Found")</f>
      </c>
      <c r="K4278" s="1" t="s">
        <v>5511</v>
      </c>
      <c r="L4278" s="5">
        <f>XLOOKUP(N4278, uom!C:C, uom!B:B, "Not Found")</f>
      </c>
      <c r="M4278" s="1" t="s">
        <v>5511</v>
      </c>
      <c r="N4278" s="8" t="s">
        <v>5524</v>
      </c>
      <c r="O4278" s="1" t="s">
        <v>5525</v>
      </c>
      <c r="P4278" s="5">
        <f>XLOOKUP(R4278, classification!C:C, classification!B:B, "Not Found")</f>
      </c>
      <c r="Q4278" s="1" t="s">
        <v>5514</v>
      </c>
      <c r="R4278" s="2"/>
      <c r="S4278" s="2"/>
      <c r="T4278" s="2"/>
      <c r="U4278" s="2"/>
    </row>
    <row x14ac:dyDescent="0.25" r="4279" customHeight="1" ht="17.25">
      <c r="A4279" s="7">
        <v>4278</v>
      </c>
      <c r="B4279" s="1" t="s">
        <v>9577</v>
      </c>
      <c r="C4279" s="5">
        <f>CONCATENATE("PD", TEXT(A4279, "1000000"))</f>
      </c>
      <c r="D4279" s="7">
        <v>76</v>
      </c>
      <c r="E4279" s="5">
        <f>XLOOKUP(G4279, item_category!C:C, item_category!B:B, "Not Found")</f>
      </c>
      <c r="F4279" s="1" t="s">
        <v>5632</v>
      </c>
      <c r="G4279" s="5">
        <f>XLOOKUP(I4279, drug!B:B, drug!A:A, "Not Found")</f>
      </c>
      <c r="H4279" s="1"/>
      <c r="I4279" s="7">
        <v>100</v>
      </c>
      <c r="J4279" s="5">
        <f>XLOOKUP(L4279, uom!C:C, uom!B:B, "Not Found")</f>
      </c>
      <c r="K4279" s="1" t="s">
        <v>5511</v>
      </c>
      <c r="L4279" s="5">
        <f>XLOOKUP(N4279, uom!C:C, uom!B:B, "Not Found")</f>
      </c>
      <c r="M4279" s="1" t="s">
        <v>5511</v>
      </c>
      <c r="N4279" s="8" t="s">
        <v>5524</v>
      </c>
      <c r="O4279" s="1" t="s">
        <v>5525</v>
      </c>
      <c r="P4279" s="5">
        <f>XLOOKUP(R4279, classification!C:C, classification!B:B, "Not Found")</f>
      </c>
      <c r="Q4279" s="1" t="s">
        <v>5514</v>
      </c>
      <c r="R4279" s="2"/>
      <c r="S4279" s="2"/>
      <c r="T4279" s="2"/>
      <c r="U4279" s="2"/>
    </row>
    <row x14ac:dyDescent="0.25" r="4280" customHeight="1" ht="17.25">
      <c r="A4280" s="7">
        <v>4279</v>
      </c>
      <c r="B4280" s="1" t="s">
        <v>9578</v>
      </c>
      <c r="C4280" s="5">
        <f>CONCATENATE("PD", TEXT(A4280, "1000000"))</f>
      </c>
      <c r="D4280" s="7">
        <v>1</v>
      </c>
      <c r="E4280" s="5">
        <f>XLOOKUP(G4280, item_category!C:C, item_category!B:B, "Not Found")</f>
      </c>
      <c r="F4280" s="1" t="s">
        <v>5514</v>
      </c>
      <c r="G4280" s="5">
        <f>XLOOKUP(I4280, drug!B:B, drug!A:A, "Not Found")</f>
      </c>
      <c r="H4280" s="1"/>
      <c r="I4280" s="7">
        <v>200</v>
      </c>
      <c r="J4280" s="5">
        <f>XLOOKUP(L4280, uom!C:C, uom!B:B, "Not Found")</f>
      </c>
      <c r="K4280" s="1" t="s">
        <v>5511</v>
      </c>
      <c r="L4280" s="5">
        <f>XLOOKUP(N4280, uom!C:C, uom!B:B, "Not Found")</f>
      </c>
      <c r="M4280" s="1" t="s">
        <v>5511</v>
      </c>
      <c r="N4280" s="8" t="s">
        <v>5524</v>
      </c>
      <c r="O4280" s="1" t="s">
        <v>5525</v>
      </c>
      <c r="P4280" s="5">
        <f>XLOOKUP(R4280, classification!C:C, classification!B:B, "Not Found")</f>
      </c>
      <c r="Q4280" s="1" t="s">
        <v>5514</v>
      </c>
      <c r="R4280" s="2"/>
      <c r="S4280" s="2"/>
      <c r="T4280" s="2"/>
      <c r="U4280" s="2"/>
    </row>
    <row x14ac:dyDescent="0.25" r="4281" customHeight="1" ht="17.25">
      <c r="A4281" s="7">
        <v>4280</v>
      </c>
      <c r="B4281" s="1" t="s">
        <v>9579</v>
      </c>
      <c r="C4281" s="5">
        <f>CONCATENATE("PD", TEXT(A4281, "1000000"))</f>
      </c>
      <c r="D4281" s="7">
        <v>1</v>
      </c>
      <c r="E4281" s="5">
        <f>XLOOKUP(G4281, item_category!C:C, item_category!B:B, "Not Found")</f>
      </c>
      <c r="F4281" s="1" t="s">
        <v>5514</v>
      </c>
      <c r="G4281" s="5">
        <f>XLOOKUP(I4281, drug!B:B, drug!A:A, "Not Found")</f>
      </c>
      <c r="H4281" s="1"/>
      <c r="I4281" s="7">
        <v>150</v>
      </c>
      <c r="J4281" s="5">
        <f>XLOOKUP(L4281, uom!C:C, uom!B:B, "Not Found")</f>
      </c>
      <c r="K4281" s="1" t="s">
        <v>5544</v>
      </c>
      <c r="L4281" s="5">
        <f>XLOOKUP(N4281, uom!C:C, uom!B:B, "Not Found")</f>
      </c>
      <c r="M4281" s="1" t="s">
        <v>5544</v>
      </c>
      <c r="N4281" s="8" t="s">
        <v>5524</v>
      </c>
      <c r="O4281" s="1" t="s">
        <v>5525</v>
      </c>
      <c r="P4281" s="5">
        <f>XLOOKUP(R4281, classification!C:C, classification!B:B, "Not Found")</f>
      </c>
      <c r="Q4281" s="1" t="s">
        <v>5514</v>
      </c>
      <c r="R4281" s="2"/>
      <c r="S4281" s="2"/>
      <c r="T4281" s="2"/>
      <c r="U4281" s="2"/>
    </row>
    <row x14ac:dyDescent="0.25" r="4282" customHeight="1" ht="17.25">
      <c r="A4282" s="7">
        <v>4281</v>
      </c>
      <c r="B4282" s="1" t="s">
        <v>9580</v>
      </c>
      <c r="C4282" s="5">
        <f>CONCATENATE("PD", TEXT(A4282, "1000000"))</f>
      </c>
      <c r="D4282" s="7">
        <v>1</v>
      </c>
      <c r="E4282" s="5">
        <f>XLOOKUP(G4282, item_category!C:C, item_category!B:B, "Not Found")</f>
      </c>
      <c r="F4282" s="1" t="s">
        <v>5514</v>
      </c>
      <c r="G4282" s="5">
        <f>XLOOKUP(I4282, drug!B:B, drug!A:A, "Not Found")</f>
      </c>
      <c r="H4282" s="1"/>
      <c r="I4282" s="7">
        <v>150</v>
      </c>
      <c r="J4282" s="5">
        <f>XLOOKUP(L4282, uom!C:C, uom!B:B, "Not Found")</f>
      </c>
      <c r="K4282" s="1" t="s">
        <v>5544</v>
      </c>
      <c r="L4282" s="5">
        <f>XLOOKUP(N4282, uom!C:C, uom!B:B, "Not Found")</f>
      </c>
      <c r="M4282" s="1" t="s">
        <v>5544</v>
      </c>
      <c r="N4282" s="8" t="s">
        <v>5524</v>
      </c>
      <c r="O4282" s="1" t="s">
        <v>5525</v>
      </c>
      <c r="P4282" s="5">
        <f>XLOOKUP(R4282, classification!C:C, classification!B:B, "Not Found")</f>
      </c>
      <c r="Q4282" s="1" t="s">
        <v>5514</v>
      </c>
      <c r="R4282" s="2"/>
      <c r="S4282" s="2"/>
      <c r="T4282" s="2"/>
      <c r="U4282" s="2"/>
    </row>
    <row x14ac:dyDescent="0.25" r="4283" customHeight="1" ht="17.25">
      <c r="A4283" s="7">
        <v>4282</v>
      </c>
      <c r="B4283" s="1" t="s">
        <v>9581</v>
      </c>
      <c r="C4283" s="5">
        <f>CONCATENATE("PD", TEXT(A4283, "1000000"))</f>
      </c>
      <c r="D4283" s="7">
        <v>1</v>
      </c>
      <c r="E4283" s="5">
        <f>XLOOKUP(G4283, item_category!C:C, item_category!B:B, "Not Found")</f>
      </c>
      <c r="F4283" s="1" t="s">
        <v>5514</v>
      </c>
      <c r="G4283" s="5">
        <f>XLOOKUP(I4283, drug!B:B, drug!A:A, "Not Found")</f>
      </c>
      <c r="H4283" s="1"/>
      <c r="I4283" s="7">
        <v>50</v>
      </c>
      <c r="J4283" s="5">
        <f>XLOOKUP(L4283, uom!C:C, uom!B:B, "Not Found")</f>
      </c>
      <c r="K4283" s="1" t="s">
        <v>5511</v>
      </c>
      <c r="L4283" s="5">
        <f>XLOOKUP(N4283, uom!C:C, uom!B:B, "Not Found")</f>
      </c>
      <c r="M4283" s="1" t="s">
        <v>5511</v>
      </c>
      <c r="N4283" s="8" t="s">
        <v>5524</v>
      </c>
      <c r="O4283" s="1" t="s">
        <v>5525</v>
      </c>
      <c r="P4283" s="5">
        <f>XLOOKUP(R4283, classification!C:C, classification!B:B, "Not Found")</f>
      </c>
      <c r="Q4283" s="1" t="s">
        <v>5514</v>
      </c>
      <c r="R4283" s="2"/>
      <c r="S4283" s="2"/>
      <c r="T4283" s="2"/>
      <c r="U4283" s="2"/>
    </row>
    <row x14ac:dyDescent="0.25" r="4284" customHeight="1" ht="17.25">
      <c r="A4284" s="7">
        <v>4283</v>
      </c>
      <c r="B4284" s="1" t="s">
        <v>9582</v>
      </c>
      <c r="C4284" s="5">
        <f>CONCATENATE("PD", TEXT(A4284, "1000000"))</f>
      </c>
      <c r="D4284" s="7">
        <v>1</v>
      </c>
      <c r="E4284" s="5">
        <f>XLOOKUP(G4284, item_category!C:C, item_category!B:B, "Not Found")</f>
      </c>
      <c r="F4284" s="1" t="s">
        <v>5514</v>
      </c>
      <c r="G4284" s="5">
        <f>XLOOKUP(I4284, drug!B:B, drug!A:A, "Not Found")</f>
      </c>
      <c r="H4284" s="1" t="s">
        <v>1588</v>
      </c>
      <c r="I4284" s="7">
        <v>600</v>
      </c>
      <c r="J4284" s="5">
        <f>XLOOKUP(L4284, uom!C:C, uom!B:B, "Not Found")</f>
      </c>
      <c r="K4284" s="1" t="s">
        <v>5602</v>
      </c>
      <c r="L4284" s="5">
        <f>XLOOKUP(N4284, uom!C:C, uom!B:B, "Not Found")</f>
      </c>
      <c r="M4284" s="1" t="s">
        <v>5602</v>
      </c>
      <c r="N4284" s="8" t="s">
        <v>5524</v>
      </c>
      <c r="O4284" s="1" t="s">
        <v>5525</v>
      </c>
      <c r="P4284" s="5">
        <f>XLOOKUP(R4284, classification!C:C, classification!B:B, "Not Found")</f>
      </c>
      <c r="Q4284" s="1" t="s">
        <v>5514</v>
      </c>
      <c r="R4284" s="2"/>
      <c r="S4284" s="2"/>
      <c r="T4284" s="2"/>
      <c r="U4284" s="2"/>
    </row>
    <row x14ac:dyDescent="0.25" r="4285" customHeight="1" ht="17.25">
      <c r="A4285" s="7">
        <v>4284</v>
      </c>
      <c r="B4285" s="1" t="s">
        <v>9583</v>
      </c>
      <c r="C4285" s="5">
        <f>CONCATENATE("PD", TEXT(A4285, "1000000"))</f>
      </c>
      <c r="D4285" s="7">
        <v>76</v>
      </c>
      <c r="E4285" s="5">
        <f>XLOOKUP(G4285, item_category!C:C, item_category!B:B, "Not Found")</f>
      </c>
      <c r="F4285" s="1" t="s">
        <v>5632</v>
      </c>
      <c r="G4285" s="5">
        <f>XLOOKUP(I4285, drug!B:B, drug!A:A, "Not Found")</f>
      </c>
      <c r="H4285" s="1" t="s">
        <v>1588</v>
      </c>
      <c r="I4285" s="7">
        <v>70</v>
      </c>
      <c r="J4285" s="5">
        <f>XLOOKUP(L4285, uom!C:C, uom!B:B, "Not Found")</f>
      </c>
      <c r="K4285" s="1" t="s">
        <v>5511</v>
      </c>
      <c r="L4285" s="5">
        <f>XLOOKUP(N4285, uom!C:C, uom!B:B, "Not Found")</f>
      </c>
      <c r="M4285" s="1" t="s">
        <v>5511</v>
      </c>
      <c r="N4285" s="8" t="s">
        <v>5524</v>
      </c>
      <c r="O4285" s="1" t="s">
        <v>5525</v>
      </c>
      <c r="P4285" s="5">
        <f>XLOOKUP(R4285, classification!C:C, classification!B:B, "Not Found")</f>
      </c>
      <c r="Q4285" s="1" t="s">
        <v>5514</v>
      </c>
      <c r="R4285" s="2"/>
      <c r="S4285" s="2"/>
      <c r="T4285" s="2"/>
      <c r="U4285" s="2"/>
    </row>
    <row x14ac:dyDescent="0.25" r="4286" customHeight="1" ht="17.25">
      <c r="A4286" s="7">
        <v>4285</v>
      </c>
      <c r="B4286" s="1" t="s">
        <v>9584</v>
      </c>
      <c r="C4286" s="5">
        <f>CONCATENATE("PD", TEXT(A4286, "1000000"))</f>
      </c>
      <c r="D4286" s="7">
        <v>1</v>
      </c>
      <c r="E4286" s="5">
        <f>XLOOKUP(G4286, item_category!C:C, item_category!B:B, "Not Found")</f>
      </c>
      <c r="F4286" s="1" t="s">
        <v>5514</v>
      </c>
      <c r="G4286" s="5">
        <f>XLOOKUP(I4286, drug!B:B, drug!A:A, "Not Found")</f>
      </c>
      <c r="H4286" s="1" t="s">
        <v>2026</v>
      </c>
      <c r="I4286" s="7">
        <v>1</v>
      </c>
      <c r="J4286" s="5">
        <f>XLOOKUP(L4286, uom!C:C, uom!B:B, "Not Found")</f>
      </c>
      <c r="K4286" s="1" t="s">
        <v>5544</v>
      </c>
      <c r="L4286" s="5">
        <f>XLOOKUP(N4286, uom!C:C, uom!B:B, "Not Found")</f>
      </c>
      <c r="M4286" s="1" t="s">
        <v>5544</v>
      </c>
      <c r="N4286" s="8" t="s">
        <v>5524</v>
      </c>
      <c r="O4286" s="1" t="s">
        <v>5525</v>
      </c>
      <c r="P4286" s="5">
        <f>XLOOKUP(R4286, classification!C:C, classification!B:B, "Not Found")</f>
      </c>
      <c r="Q4286" s="1" t="s">
        <v>5514</v>
      </c>
      <c r="R4286" s="2"/>
      <c r="S4286" s="2"/>
      <c r="T4286" s="2"/>
      <c r="U4286" s="2"/>
    </row>
    <row x14ac:dyDescent="0.25" r="4287" customHeight="1" ht="17.25">
      <c r="A4287" s="7">
        <v>4286</v>
      </c>
      <c r="B4287" s="1" t="s">
        <v>9585</v>
      </c>
      <c r="C4287" s="5">
        <f>CONCATENATE("PD", TEXT(A4287, "1000000"))</f>
      </c>
      <c r="D4287" s="7">
        <v>1</v>
      </c>
      <c r="E4287" s="5">
        <f>XLOOKUP(G4287, item_category!C:C, item_category!B:B, "Not Found")</f>
      </c>
      <c r="F4287" s="1" t="s">
        <v>5514</v>
      </c>
      <c r="G4287" s="5">
        <f>XLOOKUP(I4287, drug!B:B, drug!A:A, "Not Found")</f>
      </c>
      <c r="H4287" s="1"/>
      <c r="I4287" s="7">
        <v>150</v>
      </c>
      <c r="J4287" s="5">
        <f>XLOOKUP(L4287, uom!C:C, uom!B:B, "Not Found")</f>
      </c>
      <c r="K4287" s="1" t="s">
        <v>5511</v>
      </c>
      <c r="L4287" s="5">
        <f>XLOOKUP(N4287, uom!C:C, uom!B:B, "Not Found")</f>
      </c>
      <c r="M4287" s="1" t="s">
        <v>5511</v>
      </c>
      <c r="N4287" s="8" t="s">
        <v>5524</v>
      </c>
      <c r="O4287" s="1" t="s">
        <v>5525</v>
      </c>
      <c r="P4287" s="5">
        <f>XLOOKUP(R4287, classification!C:C, classification!B:B, "Not Found")</f>
      </c>
      <c r="Q4287" s="1" t="s">
        <v>5514</v>
      </c>
      <c r="R4287" s="2"/>
      <c r="S4287" s="2"/>
      <c r="T4287" s="2"/>
      <c r="U4287" s="2"/>
    </row>
    <row x14ac:dyDescent="0.25" r="4288" customHeight="1" ht="17.25">
      <c r="A4288" s="7">
        <v>4287</v>
      </c>
      <c r="B4288" s="1" t="s">
        <v>9586</v>
      </c>
      <c r="C4288" s="5">
        <f>CONCATENATE("PD", TEXT(A4288, "1000000"))</f>
      </c>
      <c r="D4288" s="7">
        <v>76</v>
      </c>
      <c r="E4288" s="5">
        <f>XLOOKUP(G4288, item_category!C:C, item_category!B:B, "Not Found")</f>
      </c>
      <c r="F4288" s="1" t="s">
        <v>5632</v>
      </c>
      <c r="G4288" s="5">
        <f>XLOOKUP(I4288, drug!B:B, drug!A:A, "Not Found")</f>
      </c>
      <c r="H4288" s="1"/>
      <c r="I4288" s="7">
        <v>600</v>
      </c>
      <c r="J4288" s="5">
        <f>XLOOKUP(L4288, uom!C:C, uom!B:B, "Not Found")</f>
      </c>
      <c r="K4288" s="1" t="s">
        <v>5511</v>
      </c>
      <c r="L4288" s="5">
        <f>XLOOKUP(N4288, uom!C:C, uom!B:B, "Not Found")</f>
      </c>
      <c r="M4288" s="1" t="s">
        <v>5511</v>
      </c>
      <c r="N4288" s="8" t="s">
        <v>5524</v>
      </c>
      <c r="O4288" s="1" t="s">
        <v>5525</v>
      </c>
      <c r="P4288" s="5">
        <f>XLOOKUP(R4288, classification!C:C, classification!B:B, "Not Found")</f>
      </c>
      <c r="Q4288" s="1" t="s">
        <v>5514</v>
      </c>
      <c r="R4288" s="2"/>
      <c r="S4288" s="2"/>
      <c r="T4288" s="2"/>
      <c r="U4288" s="2"/>
    </row>
    <row x14ac:dyDescent="0.25" r="4289" customHeight="1" ht="17.25">
      <c r="A4289" s="7">
        <v>4288</v>
      </c>
      <c r="B4289" s="1" t="s">
        <v>9587</v>
      </c>
      <c r="C4289" s="5">
        <f>CONCATENATE("PD", TEXT(A4289, "1000000"))</f>
      </c>
      <c r="D4289" s="7">
        <v>1</v>
      </c>
      <c r="E4289" s="5">
        <f>XLOOKUP(G4289, item_category!C:C, item_category!B:B, "Not Found")</f>
      </c>
      <c r="F4289" s="1" t="s">
        <v>5514</v>
      </c>
      <c r="G4289" s="5">
        <f>XLOOKUP(I4289, drug!B:B, drug!A:A, "Not Found")</f>
      </c>
      <c r="H4289" s="1"/>
      <c r="I4289" s="7">
        <v>150</v>
      </c>
      <c r="J4289" s="5">
        <f>XLOOKUP(L4289, uom!C:C, uom!B:B, "Not Found")</f>
      </c>
      <c r="K4289" s="1" t="s">
        <v>6691</v>
      </c>
      <c r="L4289" s="5">
        <f>XLOOKUP(N4289, uom!C:C, uom!B:B, "Not Found")</f>
      </c>
      <c r="M4289" s="1" t="s">
        <v>6691</v>
      </c>
      <c r="N4289" s="8" t="s">
        <v>5524</v>
      </c>
      <c r="O4289" s="1" t="s">
        <v>5525</v>
      </c>
      <c r="P4289" s="5">
        <f>XLOOKUP(R4289, classification!C:C, classification!B:B, "Not Found")</f>
      </c>
      <c r="Q4289" s="1" t="s">
        <v>5514</v>
      </c>
      <c r="R4289" s="2"/>
      <c r="S4289" s="2"/>
      <c r="T4289" s="2"/>
      <c r="U4289" s="2"/>
    </row>
    <row x14ac:dyDescent="0.25" r="4290" customHeight="1" ht="17.25">
      <c r="A4290" s="7">
        <v>4289</v>
      </c>
      <c r="B4290" s="1" t="s">
        <v>9588</v>
      </c>
      <c r="C4290" s="5">
        <f>CONCATENATE("PD", TEXT(A4290, "1000000"))</f>
      </c>
      <c r="D4290" s="7">
        <v>76</v>
      </c>
      <c r="E4290" s="5">
        <f>XLOOKUP(G4290, item_category!C:C, item_category!B:B, "Not Found")</f>
      </c>
      <c r="F4290" s="1" t="s">
        <v>5632</v>
      </c>
      <c r="G4290" s="5">
        <f>XLOOKUP(I4290, drug!B:B, drug!A:A, "Not Found")</f>
      </c>
      <c r="H4290" s="1"/>
      <c r="I4290" s="7">
        <v>350</v>
      </c>
      <c r="J4290" s="5">
        <f>XLOOKUP(L4290, uom!C:C, uom!B:B, "Not Found")</f>
      </c>
      <c r="K4290" s="1" t="s">
        <v>5511</v>
      </c>
      <c r="L4290" s="5">
        <f>XLOOKUP(N4290, uom!C:C, uom!B:B, "Not Found")</f>
      </c>
      <c r="M4290" s="1" t="s">
        <v>5511</v>
      </c>
      <c r="N4290" s="8" t="s">
        <v>5524</v>
      </c>
      <c r="O4290" s="1" t="s">
        <v>5525</v>
      </c>
      <c r="P4290" s="5">
        <f>XLOOKUP(R4290, classification!C:C, classification!B:B, "Not Found")</f>
      </c>
      <c r="Q4290" s="1" t="s">
        <v>5514</v>
      </c>
      <c r="R4290" s="2"/>
      <c r="S4290" s="2"/>
      <c r="T4290" s="2"/>
      <c r="U4290" s="2"/>
    </row>
    <row x14ac:dyDescent="0.25" r="4291" customHeight="1" ht="17.25">
      <c r="A4291" s="7">
        <v>4290</v>
      </c>
      <c r="B4291" s="1" t="s">
        <v>9589</v>
      </c>
      <c r="C4291" s="5">
        <f>CONCATENATE("PD", TEXT(A4291, "1000000"))</f>
      </c>
      <c r="D4291" s="7">
        <v>1</v>
      </c>
      <c r="E4291" s="5">
        <f>XLOOKUP(G4291, item_category!C:C, item_category!B:B, "Not Found")</f>
      </c>
      <c r="F4291" s="1" t="s">
        <v>5514</v>
      </c>
      <c r="G4291" s="5">
        <f>XLOOKUP(I4291, drug!B:B, drug!A:A, "Not Found")</f>
      </c>
      <c r="H4291" s="1"/>
      <c r="I4291" s="7">
        <v>400</v>
      </c>
      <c r="J4291" s="5">
        <f>XLOOKUP(L4291, uom!C:C, uom!B:B, "Not Found")</f>
      </c>
      <c r="K4291" s="1" t="s">
        <v>5511</v>
      </c>
      <c r="L4291" s="5">
        <f>XLOOKUP(N4291, uom!C:C, uom!B:B, "Not Found")</f>
      </c>
      <c r="M4291" s="1" t="s">
        <v>5511</v>
      </c>
      <c r="N4291" s="8" t="s">
        <v>5524</v>
      </c>
      <c r="O4291" s="1" t="s">
        <v>5525</v>
      </c>
      <c r="P4291" s="5">
        <f>XLOOKUP(R4291, classification!C:C, classification!B:B, "Not Found")</f>
      </c>
      <c r="Q4291" s="1" t="s">
        <v>5514</v>
      </c>
      <c r="R4291" s="2"/>
      <c r="S4291" s="2"/>
      <c r="T4291" s="2"/>
      <c r="U4291" s="2"/>
    </row>
    <row x14ac:dyDescent="0.25" r="4292" customHeight="1" ht="17.25">
      <c r="A4292" s="7">
        <v>4291</v>
      </c>
      <c r="B4292" s="1" t="s">
        <v>9590</v>
      </c>
      <c r="C4292" s="5">
        <f>CONCATENATE("PD", TEXT(A4292, "1000000"))</f>
      </c>
      <c r="D4292" s="7">
        <v>1</v>
      </c>
      <c r="E4292" s="5">
        <f>XLOOKUP(G4292, item_category!C:C, item_category!B:B, "Not Found")</f>
      </c>
      <c r="F4292" s="1" t="s">
        <v>5514</v>
      </c>
      <c r="G4292" s="5">
        <f>XLOOKUP(I4292, drug!B:B, drug!A:A, "Not Found")</f>
      </c>
      <c r="H4292" s="1" t="s">
        <v>869</v>
      </c>
      <c r="I4292" s="7">
        <v>150</v>
      </c>
      <c r="J4292" s="5">
        <f>XLOOKUP(L4292, uom!C:C, uom!B:B, "Not Found")</f>
      </c>
      <c r="K4292" s="1" t="s">
        <v>5510</v>
      </c>
      <c r="L4292" s="5">
        <f>XLOOKUP(N4292, uom!C:C, uom!B:B, "Not Found")</f>
      </c>
      <c r="M4292" s="1" t="s">
        <v>5510</v>
      </c>
      <c r="N4292" s="8" t="s">
        <v>5524</v>
      </c>
      <c r="O4292" s="1" t="s">
        <v>5525</v>
      </c>
      <c r="P4292" s="5">
        <f>XLOOKUP(R4292, classification!C:C, classification!B:B, "Not Found")</f>
      </c>
      <c r="Q4292" s="1" t="s">
        <v>5514</v>
      </c>
      <c r="R4292" s="2"/>
      <c r="S4292" s="2"/>
      <c r="T4292" s="2"/>
      <c r="U4292" s="2"/>
    </row>
    <row x14ac:dyDescent="0.25" r="4293" customHeight="1" ht="17.25">
      <c r="A4293" s="7">
        <v>4292</v>
      </c>
      <c r="B4293" s="1" t="s">
        <v>9591</v>
      </c>
      <c r="C4293" s="5">
        <f>CONCATENATE("PD", TEXT(A4293, "1000000"))</f>
      </c>
      <c r="D4293" s="7">
        <v>1</v>
      </c>
      <c r="E4293" s="5">
        <f>XLOOKUP(G4293, item_category!C:C, item_category!B:B, "Not Found")</f>
      </c>
      <c r="F4293" s="1" t="s">
        <v>5514</v>
      </c>
      <c r="G4293" s="5">
        <f>XLOOKUP(I4293, drug!B:B, drug!A:A, "Not Found")</f>
      </c>
      <c r="H4293" s="1"/>
      <c r="I4293" s="7">
        <v>100</v>
      </c>
      <c r="J4293" s="5">
        <f>XLOOKUP(L4293, uom!C:C, uom!B:B, "Not Found")</f>
      </c>
      <c r="K4293" s="1" t="s">
        <v>5511</v>
      </c>
      <c r="L4293" s="5">
        <f>XLOOKUP(N4293, uom!C:C, uom!B:B, "Not Found")</f>
      </c>
      <c r="M4293" s="1" t="s">
        <v>5511</v>
      </c>
      <c r="N4293" s="8" t="s">
        <v>5524</v>
      </c>
      <c r="O4293" s="1" t="s">
        <v>5525</v>
      </c>
      <c r="P4293" s="5">
        <f>XLOOKUP(R4293, classification!C:C, classification!B:B, "Not Found")</f>
      </c>
      <c r="Q4293" s="1" t="s">
        <v>5514</v>
      </c>
      <c r="R4293" s="2"/>
      <c r="S4293" s="2"/>
      <c r="T4293" s="2"/>
      <c r="U4293" s="2"/>
    </row>
    <row x14ac:dyDescent="0.25" r="4294" customHeight="1" ht="17.25">
      <c r="A4294" s="7">
        <v>4293</v>
      </c>
      <c r="B4294" s="1" t="s">
        <v>9592</v>
      </c>
      <c r="C4294" s="5">
        <f>CONCATENATE("PD", TEXT(A4294, "1000000"))</f>
      </c>
      <c r="D4294" s="7">
        <v>1</v>
      </c>
      <c r="E4294" s="5">
        <f>XLOOKUP(G4294, item_category!C:C, item_category!B:B, "Not Found")</f>
      </c>
      <c r="F4294" s="1" t="s">
        <v>5514</v>
      </c>
      <c r="G4294" s="5">
        <f>XLOOKUP(I4294, drug!B:B, drug!A:A, "Not Found")</f>
      </c>
      <c r="H4294" s="1"/>
      <c r="I4294" s="7">
        <v>1</v>
      </c>
      <c r="J4294" s="5">
        <f>XLOOKUP(L4294, uom!C:C, uom!B:B, "Not Found")</f>
      </c>
      <c r="K4294" s="1" t="s">
        <v>5511</v>
      </c>
      <c r="L4294" s="5">
        <f>XLOOKUP(N4294, uom!C:C, uom!B:B, "Not Found")</f>
      </c>
      <c r="M4294" s="1" t="s">
        <v>5511</v>
      </c>
      <c r="N4294" s="8" t="s">
        <v>5524</v>
      </c>
      <c r="O4294" s="1" t="s">
        <v>5525</v>
      </c>
      <c r="P4294" s="5">
        <f>XLOOKUP(R4294, classification!C:C, classification!B:B, "Not Found")</f>
      </c>
      <c r="Q4294" s="1" t="s">
        <v>5514</v>
      </c>
      <c r="R4294" s="2"/>
      <c r="S4294" s="2"/>
      <c r="T4294" s="2"/>
      <c r="U4294" s="2"/>
    </row>
    <row x14ac:dyDescent="0.25" r="4295" customHeight="1" ht="17.25">
      <c r="A4295" s="7">
        <v>4294</v>
      </c>
      <c r="B4295" s="1" t="s">
        <v>9593</v>
      </c>
      <c r="C4295" s="5">
        <f>CONCATENATE("PD", TEXT(A4295, "1000000"))</f>
      </c>
      <c r="D4295" s="7">
        <v>76</v>
      </c>
      <c r="E4295" s="5">
        <f>XLOOKUP(G4295, item_category!C:C, item_category!B:B, "Not Found")</f>
      </c>
      <c r="F4295" s="1" t="s">
        <v>5632</v>
      </c>
      <c r="G4295" s="5">
        <f>XLOOKUP(I4295, drug!B:B, drug!A:A, "Not Found")</f>
      </c>
      <c r="H4295" s="1"/>
      <c r="I4295" s="7">
        <v>30</v>
      </c>
      <c r="J4295" s="5">
        <f>XLOOKUP(L4295, uom!C:C, uom!B:B, "Not Found")</f>
      </c>
      <c r="K4295" s="1" t="s">
        <v>6689</v>
      </c>
      <c r="L4295" s="5">
        <f>XLOOKUP(N4295, uom!C:C, uom!B:B, "Not Found")</f>
      </c>
      <c r="M4295" s="1" t="s">
        <v>6689</v>
      </c>
      <c r="N4295" s="8" t="s">
        <v>5524</v>
      </c>
      <c r="O4295" s="1" t="s">
        <v>5525</v>
      </c>
      <c r="P4295" s="5">
        <f>XLOOKUP(R4295, classification!C:C, classification!B:B, "Not Found")</f>
      </c>
      <c r="Q4295" s="1" t="s">
        <v>5514</v>
      </c>
      <c r="R4295" s="2"/>
      <c r="S4295" s="2"/>
      <c r="T4295" s="2"/>
      <c r="U4295" s="2"/>
    </row>
    <row x14ac:dyDescent="0.25" r="4296" customHeight="1" ht="17.25">
      <c r="A4296" s="7">
        <v>4295</v>
      </c>
      <c r="B4296" s="1" t="s">
        <v>9594</v>
      </c>
      <c r="C4296" s="5">
        <f>CONCATENATE("PD", TEXT(A4296, "1000000"))</f>
      </c>
      <c r="D4296" s="7">
        <v>1</v>
      </c>
      <c r="E4296" s="5">
        <f>XLOOKUP(G4296, item_category!C:C, item_category!B:B, "Not Found")</f>
      </c>
      <c r="F4296" s="1" t="s">
        <v>5514</v>
      </c>
      <c r="G4296" s="5">
        <f>XLOOKUP(I4296, drug!B:B, drug!A:A, "Not Found")</f>
      </c>
      <c r="H4296" s="1"/>
      <c r="I4296" s="7">
        <v>100</v>
      </c>
      <c r="J4296" s="5">
        <f>XLOOKUP(L4296, uom!C:C, uom!B:B, "Not Found")</f>
      </c>
      <c r="K4296" s="1" t="s">
        <v>5511</v>
      </c>
      <c r="L4296" s="5">
        <f>XLOOKUP(N4296, uom!C:C, uom!B:B, "Not Found")</f>
      </c>
      <c r="M4296" s="1" t="s">
        <v>5511</v>
      </c>
      <c r="N4296" s="8" t="s">
        <v>5524</v>
      </c>
      <c r="O4296" s="1" t="s">
        <v>5525</v>
      </c>
      <c r="P4296" s="5">
        <f>XLOOKUP(R4296, classification!C:C, classification!B:B, "Not Found")</f>
      </c>
      <c r="Q4296" s="1" t="s">
        <v>5514</v>
      </c>
      <c r="R4296" s="2"/>
      <c r="S4296" s="2"/>
      <c r="T4296" s="2"/>
      <c r="U4296" s="2"/>
    </row>
    <row x14ac:dyDescent="0.25" r="4297" customHeight="1" ht="17.25">
      <c r="A4297" s="7">
        <v>4296</v>
      </c>
      <c r="B4297" s="1" t="s">
        <v>9595</v>
      </c>
      <c r="C4297" s="5">
        <f>CONCATENATE("PD", TEXT(A4297, "1000000"))</f>
      </c>
      <c r="D4297" s="7">
        <v>76</v>
      </c>
      <c r="E4297" s="5">
        <f>XLOOKUP(G4297, item_category!C:C, item_category!B:B, "Not Found")</f>
      </c>
      <c r="F4297" s="1" t="s">
        <v>5632</v>
      </c>
      <c r="G4297" s="5">
        <f>XLOOKUP(I4297, drug!B:B, drug!A:A, "Not Found")</f>
      </c>
      <c r="H4297" s="1"/>
      <c r="I4297" s="7">
        <v>1</v>
      </c>
      <c r="J4297" s="5">
        <f>XLOOKUP(L4297, uom!C:C, uom!B:B, "Not Found")</f>
      </c>
      <c r="K4297" s="1" t="s">
        <v>5511</v>
      </c>
      <c r="L4297" s="5">
        <f>XLOOKUP(N4297, uom!C:C, uom!B:B, "Not Found")</f>
      </c>
      <c r="M4297" s="1" t="s">
        <v>5511</v>
      </c>
      <c r="N4297" s="8" t="s">
        <v>5524</v>
      </c>
      <c r="O4297" s="1" t="s">
        <v>5525</v>
      </c>
      <c r="P4297" s="5">
        <f>XLOOKUP(R4297, classification!C:C, classification!B:B, "Not Found")</f>
      </c>
      <c r="Q4297" s="1" t="s">
        <v>5514</v>
      </c>
      <c r="R4297" s="2"/>
      <c r="S4297" s="2"/>
      <c r="T4297" s="2"/>
      <c r="U4297" s="2"/>
    </row>
    <row x14ac:dyDescent="0.25" r="4298" customHeight="1" ht="17.25">
      <c r="A4298" s="7">
        <v>4297</v>
      </c>
      <c r="B4298" s="1" t="s">
        <v>9596</v>
      </c>
      <c r="C4298" s="5">
        <f>CONCATENATE("PD", TEXT(A4298, "1000000"))</f>
      </c>
      <c r="D4298" s="7">
        <v>76</v>
      </c>
      <c r="E4298" s="5">
        <f>XLOOKUP(G4298, item_category!C:C, item_category!B:B, "Not Found")</f>
      </c>
      <c r="F4298" s="1" t="s">
        <v>5632</v>
      </c>
      <c r="G4298" s="5">
        <f>XLOOKUP(I4298, drug!B:B, drug!A:A, "Not Found")</f>
      </c>
      <c r="H4298" s="1"/>
      <c r="I4298" s="7">
        <v>1</v>
      </c>
      <c r="J4298" s="5">
        <f>XLOOKUP(L4298, uom!C:C, uom!B:B, "Not Found")</f>
      </c>
      <c r="K4298" s="1" t="s">
        <v>5511</v>
      </c>
      <c r="L4298" s="5">
        <f>XLOOKUP(N4298, uom!C:C, uom!B:B, "Not Found")</f>
      </c>
      <c r="M4298" s="1" t="s">
        <v>5511</v>
      </c>
      <c r="N4298" s="8" t="s">
        <v>5524</v>
      </c>
      <c r="O4298" s="1" t="s">
        <v>5525</v>
      </c>
      <c r="P4298" s="5">
        <f>XLOOKUP(R4298, classification!C:C, classification!B:B, "Not Found")</f>
      </c>
      <c r="Q4298" s="1" t="s">
        <v>5514</v>
      </c>
      <c r="R4298" s="2"/>
      <c r="S4298" s="2"/>
      <c r="T4298" s="2"/>
      <c r="U4298" s="2"/>
    </row>
    <row x14ac:dyDescent="0.25" r="4299" customHeight="1" ht="17.25">
      <c r="A4299" s="7">
        <v>4298</v>
      </c>
      <c r="B4299" s="1" t="s">
        <v>9597</v>
      </c>
      <c r="C4299" s="5">
        <f>CONCATENATE("PD", TEXT(A4299, "1000000"))</f>
      </c>
      <c r="D4299" s="7">
        <v>1</v>
      </c>
      <c r="E4299" s="5">
        <f>XLOOKUP(G4299, item_category!C:C, item_category!B:B, "Not Found")</f>
      </c>
      <c r="F4299" s="1" t="s">
        <v>5514</v>
      </c>
      <c r="G4299" s="5">
        <f>XLOOKUP(I4299, drug!B:B, drug!A:A, "Not Found")</f>
      </c>
      <c r="H4299" s="1"/>
      <c r="I4299" s="7">
        <v>1</v>
      </c>
      <c r="J4299" s="5">
        <f>XLOOKUP(L4299, uom!C:C, uom!B:B, "Not Found")</f>
      </c>
      <c r="K4299" s="1" t="s">
        <v>5511</v>
      </c>
      <c r="L4299" s="5">
        <f>XLOOKUP(N4299, uom!C:C, uom!B:B, "Not Found")</f>
      </c>
      <c r="M4299" s="1" t="s">
        <v>5511</v>
      </c>
      <c r="N4299" s="8" t="s">
        <v>5524</v>
      </c>
      <c r="O4299" s="1" t="s">
        <v>5513</v>
      </c>
      <c r="P4299" s="5">
        <f>XLOOKUP(R4299, classification!C:C, classification!B:B, "Not Found")</f>
      </c>
      <c r="Q4299" s="1" t="s">
        <v>5514</v>
      </c>
      <c r="R4299" s="2"/>
      <c r="S4299" s="2"/>
      <c r="T4299" s="2"/>
      <c r="U4299" s="2"/>
    </row>
    <row x14ac:dyDescent="0.25" r="4300" customHeight="1" ht="17.25">
      <c r="A4300" s="7">
        <v>4299</v>
      </c>
      <c r="B4300" s="1" t="s">
        <v>9598</v>
      </c>
      <c r="C4300" s="5">
        <f>CONCATENATE("PD", TEXT(A4300, "1000000"))</f>
      </c>
      <c r="D4300" s="7">
        <v>76</v>
      </c>
      <c r="E4300" s="5">
        <f>XLOOKUP(G4300, item_category!C:C, item_category!B:B, "Not Found")</f>
      </c>
      <c r="F4300" s="1" t="s">
        <v>5632</v>
      </c>
      <c r="G4300" s="5">
        <f>XLOOKUP(I4300, drug!B:B, drug!A:A, "Not Found")</f>
      </c>
      <c r="H4300" s="1"/>
      <c r="I4300" s="7">
        <v>550</v>
      </c>
      <c r="J4300" s="5">
        <f>XLOOKUP(L4300, uom!C:C, uom!B:B, "Not Found")</f>
      </c>
      <c r="K4300" s="1" t="s">
        <v>5511</v>
      </c>
      <c r="L4300" s="5">
        <f>XLOOKUP(N4300, uom!C:C, uom!B:B, "Not Found")</f>
      </c>
      <c r="M4300" s="1" t="s">
        <v>5511</v>
      </c>
      <c r="N4300" s="8" t="s">
        <v>5524</v>
      </c>
      <c r="O4300" s="1" t="s">
        <v>5525</v>
      </c>
      <c r="P4300" s="5">
        <f>XLOOKUP(R4300, classification!C:C, classification!B:B, "Not Found")</f>
      </c>
      <c r="Q4300" s="1" t="s">
        <v>5514</v>
      </c>
      <c r="R4300" s="2"/>
      <c r="S4300" s="2"/>
      <c r="T4300" s="2"/>
      <c r="U4300" s="2"/>
    </row>
    <row x14ac:dyDescent="0.25" r="4301" customHeight="1" ht="17.25">
      <c r="A4301" s="7">
        <v>4300</v>
      </c>
      <c r="B4301" s="1" t="s">
        <v>9599</v>
      </c>
      <c r="C4301" s="5">
        <f>CONCATENATE("PD", TEXT(A4301, "1000000"))</f>
      </c>
      <c r="D4301" s="7">
        <v>1</v>
      </c>
      <c r="E4301" s="5">
        <f>XLOOKUP(G4301, item_category!C:C, item_category!B:B, "Not Found")</f>
      </c>
      <c r="F4301" s="1" t="s">
        <v>5514</v>
      </c>
      <c r="G4301" s="5">
        <f>XLOOKUP(I4301, drug!B:B, drug!A:A, "Not Found")</f>
      </c>
      <c r="H4301" s="1" t="s">
        <v>1942</v>
      </c>
      <c r="I4301" s="7">
        <v>400</v>
      </c>
      <c r="J4301" s="5">
        <f>XLOOKUP(L4301, uom!C:C, uom!B:B, "Not Found")</f>
      </c>
      <c r="K4301" s="1" t="s">
        <v>5511</v>
      </c>
      <c r="L4301" s="5">
        <f>XLOOKUP(N4301, uom!C:C, uom!B:B, "Not Found")</f>
      </c>
      <c r="M4301" s="1" t="s">
        <v>5511</v>
      </c>
      <c r="N4301" s="8" t="s">
        <v>5524</v>
      </c>
      <c r="O4301" s="1" t="s">
        <v>5525</v>
      </c>
      <c r="P4301" s="5">
        <f>XLOOKUP(R4301, classification!C:C, classification!B:B, "Not Found")</f>
      </c>
      <c r="Q4301" s="1" t="s">
        <v>5514</v>
      </c>
      <c r="R4301" s="2"/>
      <c r="S4301" s="2"/>
      <c r="T4301" s="2"/>
      <c r="U4301" s="2"/>
    </row>
    <row x14ac:dyDescent="0.25" r="4302" customHeight="1" ht="17.25">
      <c r="A4302" s="7">
        <v>4301</v>
      </c>
      <c r="B4302" s="1" t="s">
        <v>9600</v>
      </c>
      <c r="C4302" s="5">
        <f>CONCATENATE("PD", TEXT(A4302, "1000000"))</f>
      </c>
      <c r="D4302" s="7">
        <v>76</v>
      </c>
      <c r="E4302" s="5">
        <f>XLOOKUP(G4302, item_category!C:C, item_category!B:B, "Not Found")</f>
      </c>
      <c r="F4302" s="1" t="s">
        <v>5632</v>
      </c>
      <c r="G4302" s="5">
        <f>XLOOKUP(I4302, drug!B:B, drug!A:A, "Not Found")</f>
      </c>
      <c r="H4302" s="1"/>
      <c r="I4302" s="7">
        <v>450</v>
      </c>
      <c r="J4302" s="5">
        <f>XLOOKUP(L4302, uom!C:C, uom!B:B, "Not Found")</f>
      </c>
      <c r="K4302" s="1" t="s">
        <v>5511</v>
      </c>
      <c r="L4302" s="5">
        <f>XLOOKUP(N4302, uom!C:C, uom!B:B, "Not Found")</f>
      </c>
      <c r="M4302" s="1" t="s">
        <v>5511</v>
      </c>
      <c r="N4302" s="8" t="s">
        <v>5524</v>
      </c>
      <c r="O4302" s="1" t="s">
        <v>5525</v>
      </c>
      <c r="P4302" s="5">
        <f>XLOOKUP(R4302, classification!C:C, classification!B:B, "Not Found")</f>
      </c>
      <c r="Q4302" s="1" t="s">
        <v>5514</v>
      </c>
      <c r="R4302" s="2"/>
      <c r="S4302" s="2"/>
      <c r="T4302" s="2"/>
      <c r="U4302" s="2"/>
    </row>
    <row x14ac:dyDescent="0.25" r="4303" customHeight="1" ht="17.25">
      <c r="A4303" s="7">
        <v>4302</v>
      </c>
      <c r="B4303" s="1" t="s">
        <v>9601</v>
      </c>
      <c r="C4303" s="5">
        <f>CONCATENATE("PD", TEXT(A4303, "1000000"))</f>
      </c>
      <c r="D4303" s="7">
        <v>1</v>
      </c>
      <c r="E4303" s="5">
        <f>XLOOKUP(G4303, item_category!C:C, item_category!B:B, "Not Found")</f>
      </c>
      <c r="F4303" s="1" t="s">
        <v>5514</v>
      </c>
      <c r="G4303" s="5">
        <f>XLOOKUP(I4303, drug!B:B, drug!A:A, "Not Found")</f>
      </c>
      <c r="H4303" s="1"/>
      <c r="I4303" s="7">
        <v>1</v>
      </c>
      <c r="J4303" s="5">
        <f>XLOOKUP(L4303, uom!C:C, uom!B:B, "Not Found")</f>
      </c>
      <c r="K4303" s="1" t="s">
        <v>5511</v>
      </c>
      <c r="L4303" s="5">
        <f>XLOOKUP(N4303, uom!C:C, uom!B:B, "Not Found")</f>
      </c>
      <c r="M4303" s="1" t="s">
        <v>5511</v>
      </c>
      <c r="N4303" s="8" t="s">
        <v>5524</v>
      </c>
      <c r="O4303" s="1" t="s">
        <v>5525</v>
      </c>
      <c r="P4303" s="5">
        <f>XLOOKUP(R4303, classification!C:C, classification!B:B, "Not Found")</f>
      </c>
      <c r="Q4303" s="1" t="s">
        <v>5514</v>
      </c>
      <c r="R4303" s="2"/>
      <c r="S4303" s="2"/>
      <c r="T4303" s="2"/>
      <c r="U4303" s="2"/>
    </row>
    <row x14ac:dyDescent="0.25" r="4304" customHeight="1" ht="17.25">
      <c r="A4304" s="7">
        <v>4303</v>
      </c>
      <c r="B4304" s="1" t="s">
        <v>9602</v>
      </c>
      <c r="C4304" s="5">
        <f>CONCATENATE("PD", TEXT(A4304, "1000000"))</f>
      </c>
      <c r="D4304" s="7">
        <v>1</v>
      </c>
      <c r="E4304" s="5">
        <f>XLOOKUP(G4304, item_category!C:C, item_category!B:B, "Not Found")</f>
      </c>
      <c r="F4304" s="1" t="s">
        <v>5514</v>
      </c>
      <c r="G4304" s="5">
        <f>XLOOKUP(I4304, drug!B:B, drug!A:A, "Not Found")</f>
      </c>
      <c r="H4304" s="1"/>
      <c r="I4304" s="7">
        <v>50</v>
      </c>
      <c r="J4304" s="5">
        <f>XLOOKUP(L4304, uom!C:C, uom!B:B, "Not Found")</f>
      </c>
      <c r="K4304" s="1" t="s">
        <v>5511</v>
      </c>
      <c r="L4304" s="5">
        <f>XLOOKUP(N4304, uom!C:C, uom!B:B, "Not Found")</f>
      </c>
      <c r="M4304" s="1" t="s">
        <v>5511</v>
      </c>
      <c r="N4304" s="8" t="s">
        <v>5524</v>
      </c>
      <c r="O4304" s="1" t="s">
        <v>5525</v>
      </c>
      <c r="P4304" s="5">
        <f>XLOOKUP(R4304, classification!C:C, classification!B:B, "Not Found")</f>
      </c>
      <c r="Q4304" s="1" t="s">
        <v>5514</v>
      </c>
      <c r="R4304" s="2"/>
      <c r="S4304" s="2"/>
      <c r="T4304" s="2"/>
      <c r="U4304" s="2"/>
    </row>
    <row x14ac:dyDescent="0.25" r="4305" customHeight="1" ht="17.25">
      <c r="A4305" s="7">
        <v>4304</v>
      </c>
      <c r="B4305" s="1" t="s">
        <v>9603</v>
      </c>
      <c r="C4305" s="5">
        <f>CONCATENATE("PD", TEXT(A4305, "1000000"))</f>
      </c>
      <c r="D4305" s="7">
        <v>1</v>
      </c>
      <c r="E4305" s="5">
        <f>XLOOKUP(G4305, item_category!C:C, item_category!B:B, "Not Found")</f>
      </c>
      <c r="F4305" s="1" t="s">
        <v>5514</v>
      </c>
      <c r="G4305" s="5">
        <f>XLOOKUP(I4305, drug!B:B, drug!A:A, "Not Found")</f>
      </c>
      <c r="H4305" s="1" t="s">
        <v>2134</v>
      </c>
      <c r="I4305" s="7">
        <v>50</v>
      </c>
      <c r="J4305" s="5">
        <f>XLOOKUP(L4305, uom!C:C, uom!B:B, "Not Found")</f>
      </c>
      <c r="K4305" s="1" t="s">
        <v>5622</v>
      </c>
      <c r="L4305" s="5">
        <f>XLOOKUP(N4305, uom!C:C, uom!B:B, "Not Found")</f>
      </c>
      <c r="M4305" s="1" t="s">
        <v>5622</v>
      </c>
      <c r="N4305" s="8" t="s">
        <v>5524</v>
      </c>
      <c r="O4305" s="1" t="s">
        <v>5525</v>
      </c>
      <c r="P4305" s="5">
        <f>XLOOKUP(R4305, classification!C:C, classification!B:B, "Not Found")</f>
      </c>
      <c r="Q4305" s="1" t="s">
        <v>5514</v>
      </c>
      <c r="R4305" s="2"/>
      <c r="S4305" s="2"/>
      <c r="T4305" s="2"/>
      <c r="U4305" s="2"/>
    </row>
    <row x14ac:dyDescent="0.25" r="4306" customHeight="1" ht="17.25">
      <c r="A4306" s="7">
        <v>4305</v>
      </c>
      <c r="B4306" s="1" t="s">
        <v>9604</v>
      </c>
      <c r="C4306" s="5">
        <f>CONCATENATE("PD", TEXT(A4306, "1000000"))</f>
      </c>
      <c r="D4306" s="7">
        <v>1</v>
      </c>
      <c r="E4306" s="5">
        <f>XLOOKUP(G4306, item_category!C:C, item_category!B:B, "Not Found")</f>
      </c>
      <c r="F4306" s="1" t="s">
        <v>5514</v>
      </c>
      <c r="G4306" s="5">
        <f>XLOOKUP(I4306, drug!B:B, drug!A:A, "Not Found")</f>
      </c>
      <c r="H4306" s="1"/>
      <c r="I4306" s="7">
        <v>100</v>
      </c>
      <c r="J4306" s="5">
        <f>XLOOKUP(L4306, uom!C:C, uom!B:B, "Not Found")</f>
      </c>
      <c r="K4306" s="1" t="s">
        <v>5511</v>
      </c>
      <c r="L4306" s="5">
        <f>XLOOKUP(N4306, uom!C:C, uom!B:B, "Not Found")</f>
      </c>
      <c r="M4306" s="1" t="s">
        <v>5511</v>
      </c>
      <c r="N4306" s="8" t="s">
        <v>5524</v>
      </c>
      <c r="O4306" s="1" t="s">
        <v>5525</v>
      </c>
      <c r="P4306" s="5">
        <f>XLOOKUP(R4306, classification!C:C, classification!B:B, "Not Found")</f>
      </c>
      <c r="Q4306" s="1" t="s">
        <v>5514</v>
      </c>
      <c r="R4306" s="2"/>
      <c r="S4306" s="2"/>
      <c r="T4306" s="2"/>
      <c r="U4306" s="2"/>
    </row>
    <row x14ac:dyDescent="0.25" r="4307" customHeight="1" ht="17.25">
      <c r="A4307" s="7">
        <v>4306</v>
      </c>
      <c r="B4307" s="1" t="s">
        <v>9605</v>
      </c>
      <c r="C4307" s="5">
        <f>CONCATENATE("PD", TEXT(A4307, "1000000"))</f>
      </c>
      <c r="D4307" s="7">
        <v>1</v>
      </c>
      <c r="E4307" s="5">
        <f>XLOOKUP(G4307, item_category!C:C, item_category!B:B, "Not Found")</f>
      </c>
      <c r="F4307" s="1" t="s">
        <v>5514</v>
      </c>
      <c r="G4307" s="5">
        <f>XLOOKUP(I4307, drug!B:B, drug!A:A, "Not Found")</f>
      </c>
      <c r="H4307" s="1"/>
      <c r="I4307" s="7">
        <v>25</v>
      </c>
      <c r="J4307" s="5">
        <f>XLOOKUP(L4307, uom!C:C, uom!B:B, "Not Found")</f>
      </c>
      <c r="K4307" s="1" t="s">
        <v>5899</v>
      </c>
      <c r="L4307" s="5">
        <f>XLOOKUP(N4307, uom!C:C, uom!B:B, "Not Found")</f>
      </c>
      <c r="M4307" s="1" t="s">
        <v>5544</v>
      </c>
      <c r="N4307" s="8" t="s">
        <v>5524</v>
      </c>
      <c r="O4307" s="1" t="s">
        <v>5525</v>
      </c>
      <c r="P4307" s="5">
        <f>XLOOKUP(R4307, classification!C:C, classification!B:B, "Not Found")</f>
      </c>
      <c r="Q4307" s="1" t="s">
        <v>5514</v>
      </c>
      <c r="R4307" s="2"/>
      <c r="S4307" s="2"/>
      <c r="T4307" s="2"/>
      <c r="U4307" s="2"/>
    </row>
    <row x14ac:dyDescent="0.25" r="4308" customHeight="1" ht="17.25">
      <c r="A4308" s="7">
        <v>4307</v>
      </c>
      <c r="B4308" s="1" t="s">
        <v>9606</v>
      </c>
      <c r="C4308" s="5">
        <f>CONCATENATE("PD", TEXT(A4308, "1000000"))</f>
      </c>
      <c r="D4308" s="7">
        <v>1</v>
      </c>
      <c r="E4308" s="5">
        <f>XLOOKUP(G4308, item_category!C:C, item_category!B:B, "Not Found")</f>
      </c>
      <c r="F4308" s="1" t="s">
        <v>5514</v>
      </c>
      <c r="G4308" s="5">
        <f>XLOOKUP(I4308, drug!B:B, drug!A:A, "Not Found")</f>
      </c>
      <c r="H4308" s="1"/>
      <c r="I4308" s="7">
        <v>550</v>
      </c>
      <c r="J4308" s="5">
        <f>XLOOKUP(L4308, uom!C:C, uom!B:B, "Not Found")</f>
      </c>
      <c r="K4308" s="1" t="s">
        <v>7361</v>
      </c>
      <c r="L4308" s="5">
        <f>XLOOKUP(N4308, uom!C:C, uom!B:B, "Not Found")</f>
      </c>
      <c r="M4308" s="1" t="s">
        <v>7361</v>
      </c>
      <c r="N4308" s="8" t="s">
        <v>5524</v>
      </c>
      <c r="O4308" s="1" t="s">
        <v>5525</v>
      </c>
      <c r="P4308" s="5">
        <f>XLOOKUP(R4308, classification!C:C, classification!B:B, "Not Found")</f>
      </c>
      <c r="Q4308" s="1" t="s">
        <v>5514</v>
      </c>
      <c r="R4308" s="2"/>
      <c r="S4308" s="2"/>
      <c r="T4308" s="2"/>
      <c r="U4308" s="2"/>
    </row>
    <row x14ac:dyDescent="0.25" r="4309" customHeight="1" ht="17.25">
      <c r="A4309" s="7">
        <v>4308</v>
      </c>
      <c r="B4309" s="1" t="s">
        <v>9607</v>
      </c>
      <c r="C4309" s="5">
        <f>CONCATENATE("PD", TEXT(A4309, "1000000"))</f>
      </c>
      <c r="D4309" s="7">
        <v>1</v>
      </c>
      <c r="E4309" s="5">
        <f>XLOOKUP(G4309, item_category!C:C, item_category!B:B, "Not Found")</f>
      </c>
      <c r="F4309" s="1" t="s">
        <v>5514</v>
      </c>
      <c r="G4309" s="5">
        <f>XLOOKUP(I4309, drug!B:B, drug!A:A, "Not Found")</f>
      </c>
      <c r="H4309" s="1" t="s">
        <v>1942</v>
      </c>
      <c r="I4309" s="7">
        <v>100</v>
      </c>
      <c r="J4309" s="5">
        <f>XLOOKUP(L4309, uom!C:C, uom!B:B, "Not Found")</f>
      </c>
      <c r="K4309" s="1" t="s">
        <v>5511</v>
      </c>
      <c r="L4309" s="5">
        <f>XLOOKUP(N4309, uom!C:C, uom!B:B, "Not Found")</f>
      </c>
      <c r="M4309" s="1" t="s">
        <v>5511</v>
      </c>
      <c r="N4309" s="8" t="s">
        <v>5524</v>
      </c>
      <c r="O4309" s="1" t="s">
        <v>5525</v>
      </c>
      <c r="P4309" s="5">
        <f>XLOOKUP(R4309, classification!C:C, classification!B:B, "Not Found")</f>
      </c>
      <c r="Q4309" s="1" t="s">
        <v>5514</v>
      </c>
      <c r="R4309" s="2"/>
      <c r="S4309" s="2"/>
      <c r="T4309" s="2"/>
      <c r="U4309" s="2"/>
    </row>
    <row x14ac:dyDescent="0.25" r="4310" customHeight="1" ht="17.25">
      <c r="A4310" s="7">
        <v>4309</v>
      </c>
      <c r="B4310" s="1" t="s">
        <v>9608</v>
      </c>
      <c r="C4310" s="5">
        <f>CONCATENATE("PD", TEXT(A4310, "1000000"))</f>
      </c>
      <c r="D4310" s="7">
        <v>1</v>
      </c>
      <c r="E4310" s="5">
        <f>XLOOKUP(G4310, item_category!C:C, item_category!B:B, "Not Found")</f>
      </c>
      <c r="F4310" s="1" t="s">
        <v>5514</v>
      </c>
      <c r="G4310" s="5">
        <f>XLOOKUP(I4310, drug!B:B, drug!A:A, "Not Found")</f>
      </c>
      <c r="H4310" s="1"/>
      <c r="I4310" s="7">
        <v>100</v>
      </c>
      <c r="J4310" s="5">
        <f>XLOOKUP(L4310, uom!C:C, uom!B:B, "Not Found")</f>
      </c>
      <c r="K4310" s="1" t="s">
        <v>5511</v>
      </c>
      <c r="L4310" s="5">
        <f>XLOOKUP(N4310, uom!C:C, uom!B:B, "Not Found")</f>
      </c>
      <c r="M4310" s="1" t="s">
        <v>5511</v>
      </c>
      <c r="N4310" s="8" t="s">
        <v>5524</v>
      </c>
      <c r="O4310" s="1" t="s">
        <v>5513</v>
      </c>
      <c r="P4310" s="5">
        <f>XLOOKUP(R4310, classification!C:C, classification!B:B, "Not Found")</f>
      </c>
      <c r="Q4310" s="1" t="s">
        <v>5514</v>
      </c>
      <c r="R4310" s="2"/>
      <c r="S4310" s="2"/>
      <c r="T4310" s="2"/>
      <c r="U4310" s="2"/>
    </row>
    <row x14ac:dyDescent="0.25" r="4311" customHeight="1" ht="17.25">
      <c r="A4311" s="7">
        <v>4310</v>
      </c>
      <c r="B4311" s="1" t="s">
        <v>9609</v>
      </c>
      <c r="C4311" s="5">
        <f>CONCATENATE("PD", TEXT(A4311, "1000000"))</f>
      </c>
      <c r="D4311" s="7">
        <v>1</v>
      </c>
      <c r="E4311" s="5">
        <f>XLOOKUP(G4311, item_category!C:C, item_category!B:B, "Not Found")</f>
      </c>
      <c r="F4311" s="1" t="s">
        <v>5514</v>
      </c>
      <c r="G4311" s="5">
        <f>XLOOKUP(I4311, drug!B:B, drug!A:A, "Not Found")</f>
      </c>
      <c r="H4311" s="1"/>
      <c r="I4311" s="7">
        <v>100</v>
      </c>
      <c r="J4311" s="5">
        <f>XLOOKUP(L4311, uom!C:C, uom!B:B, "Not Found")</f>
      </c>
      <c r="K4311" s="1" t="s">
        <v>5544</v>
      </c>
      <c r="L4311" s="5">
        <f>XLOOKUP(N4311, uom!C:C, uom!B:B, "Not Found")</f>
      </c>
      <c r="M4311" s="1" t="s">
        <v>5544</v>
      </c>
      <c r="N4311" s="8" t="s">
        <v>5524</v>
      </c>
      <c r="O4311" s="1" t="s">
        <v>5525</v>
      </c>
      <c r="P4311" s="5">
        <f>XLOOKUP(R4311, classification!C:C, classification!B:B, "Not Found")</f>
      </c>
      <c r="Q4311" s="1" t="s">
        <v>5514</v>
      </c>
      <c r="R4311" s="2"/>
      <c r="S4311" s="2"/>
      <c r="T4311" s="2"/>
      <c r="U4311" s="2"/>
    </row>
    <row x14ac:dyDescent="0.25" r="4312" customHeight="1" ht="17.25">
      <c r="A4312" s="7">
        <v>4311</v>
      </c>
      <c r="B4312" s="1" t="s">
        <v>9610</v>
      </c>
      <c r="C4312" s="5">
        <f>CONCATENATE("PD", TEXT(A4312, "1000000"))</f>
      </c>
      <c r="D4312" s="7">
        <v>1</v>
      </c>
      <c r="E4312" s="5">
        <f>XLOOKUP(G4312, item_category!C:C, item_category!B:B, "Not Found")</f>
      </c>
      <c r="F4312" s="1" t="s">
        <v>5514</v>
      </c>
      <c r="G4312" s="5">
        <f>XLOOKUP(I4312, drug!B:B, drug!A:A, "Not Found")</f>
      </c>
      <c r="H4312" s="1"/>
      <c r="I4312" s="7">
        <v>1</v>
      </c>
      <c r="J4312" s="5">
        <f>XLOOKUP(L4312, uom!C:C, uom!B:B, "Not Found")</f>
      </c>
      <c r="K4312" s="1" t="s">
        <v>5511</v>
      </c>
      <c r="L4312" s="5">
        <f>XLOOKUP(N4312, uom!C:C, uom!B:B, "Not Found")</f>
      </c>
      <c r="M4312" s="1" t="s">
        <v>5511</v>
      </c>
      <c r="N4312" s="8" t="s">
        <v>5524</v>
      </c>
      <c r="O4312" s="1" t="s">
        <v>5525</v>
      </c>
      <c r="P4312" s="5">
        <f>XLOOKUP(R4312, classification!C:C, classification!B:B, "Not Found")</f>
      </c>
      <c r="Q4312" s="1" t="s">
        <v>5514</v>
      </c>
      <c r="R4312" s="2"/>
      <c r="S4312" s="2"/>
      <c r="T4312" s="2"/>
      <c r="U4312" s="2"/>
    </row>
    <row x14ac:dyDescent="0.25" r="4313" customHeight="1" ht="17.25">
      <c r="A4313" s="7">
        <v>4312</v>
      </c>
      <c r="B4313" s="1" t="s">
        <v>9611</v>
      </c>
      <c r="C4313" s="5">
        <f>CONCATENATE("PD", TEXT(A4313, "1000000"))</f>
      </c>
      <c r="D4313" s="7">
        <v>1</v>
      </c>
      <c r="E4313" s="5">
        <f>XLOOKUP(G4313, item_category!C:C, item_category!B:B, "Not Found")</f>
      </c>
      <c r="F4313" s="1" t="s">
        <v>5514</v>
      </c>
      <c r="G4313" s="5">
        <f>XLOOKUP(I4313, drug!B:B, drug!A:A, "Not Found")</f>
      </c>
      <c r="H4313" s="1"/>
      <c r="I4313" s="7">
        <v>1</v>
      </c>
      <c r="J4313" s="5">
        <f>XLOOKUP(L4313, uom!C:C, uom!B:B, "Not Found")</f>
      </c>
      <c r="K4313" s="1" t="s">
        <v>5511</v>
      </c>
      <c r="L4313" s="5">
        <f>XLOOKUP(N4313, uom!C:C, uom!B:B, "Not Found")</f>
      </c>
      <c r="M4313" s="1" t="s">
        <v>5511</v>
      </c>
      <c r="N4313" s="8" t="s">
        <v>5524</v>
      </c>
      <c r="O4313" s="1" t="s">
        <v>5513</v>
      </c>
      <c r="P4313" s="5">
        <f>XLOOKUP(R4313, classification!C:C, classification!B:B, "Not Found")</f>
      </c>
      <c r="Q4313" s="1" t="s">
        <v>5514</v>
      </c>
      <c r="R4313" s="2"/>
      <c r="S4313" s="2"/>
      <c r="T4313" s="2"/>
      <c r="U4313" s="2"/>
    </row>
    <row x14ac:dyDescent="0.25" r="4314" customHeight="1" ht="17.25">
      <c r="A4314" s="7">
        <v>4313</v>
      </c>
      <c r="B4314" s="1" t="s">
        <v>9612</v>
      </c>
      <c r="C4314" s="5">
        <f>CONCATENATE("PD", TEXT(A4314, "1000000"))</f>
      </c>
      <c r="D4314" s="7">
        <v>1</v>
      </c>
      <c r="E4314" s="5">
        <f>XLOOKUP(G4314, item_category!C:C, item_category!B:B, "Not Found")</f>
      </c>
      <c r="F4314" s="1" t="s">
        <v>5514</v>
      </c>
      <c r="G4314" s="5">
        <f>XLOOKUP(I4314, drug!B:B, drug!A:A, "Not Found")</f>
      </c>
      <c r="H4314" s="1"/>
      <c r="I4314" s="7">
        <v>100</v>
      </c>
      <c r="J4314" s="5">
        <f>XLOOKUP(L4314, uom!C:C, uom!B:B, "Not Found")</f>
      </c>
      <c r="K4314" s="1" t="s">
        <v>5511</v>
      </c>
      <c r="L4314" s="5">
        <f>XLOOKUP(N4314, uom!C:C, uom!B:B, "Not Found")</f>
      </c>
      <c r="M4314" s="1" t="s">
        <v>5511</v>
      </c>
      <c r="N4314" s="8" t="s">
        <v>5524</v>
      </c>
      <c r="O4314" s="1" t="s">
        <v>5525</v>
      </c>
      <c r="P4314" s="5">
        <f>XLOOKUP(R4314, classification!C:C, classification!B:B, "Not Found")</f>
      </c>
      <c r="Q4314" s="1" t="s">
        <v>5514</v>
      </c>
      <c r="R4314" s="2"/>
      <c r="S4314" s="2"/>
      <c r="T4314" s="2"/>
      <c r="U4314" s="2"/>
    </row>
    <row x14ac:dyDescent="0.25" r="4315" customHeight="1" ht="17.25">
      <c r="A4315" s="7">
        <v>4314</v>
      </c>
      <c r="B4315" s="1" t="s">
        <v>9613</v>
      </c>
      <c r="C4315" s="5">
        <f>CONCATENATE("PD", TEXT(A4315, "1000000"))</f>
      </c>
      <c r="D4315" s="7">
        <v>1</v>
      </c>
      <c r="E4315" s="5">
        <f>XLOOKUP(G4315, item_category!C:C, item_category!B:B, "Not Found")</f>
      </c>
      <c r="F4315" s="1" t="s">
        <v>5514</v>
      </c>
      <c r="G4315" s="5">
        <f>XLOOKUP(I4315, drug!B:B, drug!A:A, "Not Found")</f>
      </c>
      <c r="H4315" s="1"/>
      <c r="I4315" s="7">
        <v>1</v>
      </c>
      <c r="J4315" s="5">
        <f>XLOOKUP(L4315, uom!C:C, uom!B:B, "Not Found")</f>
      </c>
      <c r="K4315" s="1" t="s">
        <v>5625</v>
      </c>
      <c r="L4315" s="5">
        <f>XLOOKUP(N4315, uom!C:C, uom!B:B, "Not Found")</f>
      </c>
      <c r="M4315" s="1" t="s">
        <v>5625</v>
      </c>
      <c r="N4315" s="8" t="s">
        <v>5524</v>
      </c>
      <c r="O4315" s="1" t="s">
        <v>5525</v>
      </c>
      <c r="P4315" s="5">
        <f>XLOOKUP(R4315, classification!C:C, classification!B:B, "Not Found")</f>
      </c>
      <c r="Q4315" s="1" t="s">
        <v>5514</v>
      </c>
      <c r="R4315" s="2"/>
      <c r="S4315" s="2"/>
      <c r="T4315" s="2"/>
      <c r="U4315" s="2"/>
    </row>
    <row x14ac:dyDescent="0.25" r="4316" customHeight="1" ht="17.25">
      <c r="A4316" s="7">
        <v>4315</v>
      </c>
      <c r="B4316" s="1" t="s">
        <v>9614</v>
      </c>
      <c r="C4316" s="5">
        <f>CONCATENATE("PD", TEXT(A4316, "1000000"))</f>
      </c>
      <c r="D4316" s="7">
        <v>1</v>
      </c>
      <c r="E4316" s="5">
        <f>XLOOKUP(G4316, item_category!C:C, item_category!B:B, "Not Found")</f>
      </c>
      <c r="F4316" s="1" t="s">
        <v>5514</v>
      </c>
      <c r="G4316" s="5">
        <f>XLOOKUP(I4316, drug!B:B, drug!A:A, "Not Found")</f>
      </c>
      <c r="H4316" s="1" t="s">
        <v>683</v>
      </c>
      <c r="I4316" s="7">
        <v>100</v>
      </c>
      <c r="J4316" s="5">
        <f>XLOOKUP(L4316, uom!C:C, uom!B:B, "Not Found")</f>
      </c>
      <c r="K4316" s="1" t="s">
        <v>5544</v>
      </c>
      <c r="L4316" s="5">
        <f>XLOOKUP(N4316, uom!C:C, uom!B:B, "Not Found")</f>
      </c>
      <c r="M4316" s="1" t="s">
        <v>5544</v>
      </c>
      <c r="N4316" s="8" t="s">
        <v>5524</v>
      </c>
      <c r="O4316" s="1" t="s">
        <v>5525</v>
      </c>
      <c r="P4316" s="5">
        <f>XLOOKUP(R4316, classification!C:C, classification!B:B, "Not Found")</f>
      </c>
      <c r="Q4316" s="1" t="s">
        <v>5514</v>
      </c>
      <c r="R4316" s="2"/>
      <c r="S4316" s="2"/>
      <c r="T4316" s="2"/>
      <c r="U4316" s="2"/>
    </row>
    <row x14ac:dyDescent="0.25" r="4317" customHeight="1" ht="17.25">
      <c r="A4317" s="7">
        <v>4316</v>
      </c>
      <c r="B4317" s="1" t="s">
        <v>9615</v>
      </c>
      <c r="C4317" s="5">
        <f>CONCATENATE("PD", TEXT(A4317, "1000000"))</f>
      </c>
      <c r="D4317" s="7">
        <v>66</v>
      </c>
      <c r="E4317" s="5">
        <f>XLOOKUP(G4317, item_category!C:C, item_category!B:B, "Not Found")</f>
      </c>
      <c r="F4317" s="1" t="s">
        <v>5617</v>
      </c>
      <c r="G4317" s="5">
        <f>XLOOKUP(I4317, drug!B:B, drug!A:A, "Not Found")</f>
      </c>
      <c r="H4317" s="1"/>
      <c r="I4317" s="7">
        <v>1</v>
      </c>
      <c r="J4317" s="5">
        <f>XLOOKUP(L4317, uom!C:C, uom!B:B, "Not Found")</f>
      </c>
      <c r="K4317" s="1" t="s">
        <v>5602</v>
      </c>
      <c r="L4317" s="5">
        <f>XLOOKUP(N4317, uom!C:C, uom!B:B, "Not Found")</f>
      </c>
      <c r="M4317" s="1" t="s">
        <v>5602</v>
      </c>
      <c r="N4317" s="8" t="s">
        <v>5524</v>
      </c>
      <c r="O4317" s="1" t="s">
        <v>5525</v>
      </c>
      <c r="P4317" s="5">
        <f>XLOOKUP(R4317, classification!C:C, classification!B:B, "Not Found")</f>
      </c>
      <c r="Q4317" s="1" t="s">
        <v>5514</v>
      </c>
      <c r="R4317" s="2"/>
      <c r="S4317" s="2"/>
      <c r="T4317" s="2"/>
      <c r="U4317" s="2"/>
    </row>
    <row x14ac:dyDescent="0.25" r="4318" customHeight="1" ht="17.25">
      <c r="A4318" s="7">
        <v>4317</v>
      </c>
      <c r="B4318" s="1" t="s">
        <v>9616</v>
      </c>
      <c r="C4318" s="5">
        <f>CONCATENATE("PD", TEXT(A4318, "1000000"))</f>
      </c>
      <c r="D4318" s="7">
        <v>1</v>
      </c>
      <c r="E4318" s="5">
        <f>XLOOKUP(G4318, item_category!C:C, item_category!B:B, "Not Found")</f>
      </c>
      <c r="F4318" s="1" t="s">
        <v>5514</v>
      </c>
      <c r="G4318" s="5">
        <f>XLOOKUP(I4318, drug!B:B, drug!A:A, "Not Found")</f>
      </c>
      <c r="H4318" s="1"/>
      <c r="I4318" s="7">
        <v>300</v>
      </c>
      <c r="J4318" s="5">
        <f>XLOOKUP(L4318, uom!C:C, uom!B:B, "Not Found")</f>
      </c>
      <c r="K4318" s="1" t="s">
        <v>5602</v>
      </c>
      <c r="L4318" s="5">
        <f>XLOOKUP(N4318, uom!C:C, uom!B:B, "Not Found")</f>
      </c>
      <c r="M4318" s="1" t="s">
        <v>5602</v>
      </c>
      <c r="N4318" s="8" t="s">
        <v>5524</v>
      </c>
      <c r="O4318" s="1" t="s">
        <v>5525</v>
      </c>
      <c r="P4318" s="5">
        <f>XLOOKUP(R4318, classification!C:C, classification!B:B, "Not Found")</f>
      </c>
      <c r="Q4318" s="1" t="s">
        <v>5514</v>
      </c>
      <c r="R4318" s="2"/>
      <c r="S4318" s="2"/>
      <c r="T4318" s="2"/>
      <c r="U4318" s="2"/>
    </row>
    <row x14ac:dyDescent="0.25" r="4319" customHeight="1" ht="17.25">
      <c r="A4319" s="7">
        <v>4318</v>
      </c>
      <c r="B4319" s="1" t="s">
        <v>9617</v>
      </c>
      <c r="C4319" s="5">
        <f>CONCATENATE("PD", TEXT(A4319, "1000000"))</f>
      </c>
      <c r="D4319" s="7">
        <v>1</v>
      </c>
      <c r="E4319" s="5">
        <f>XLOOKUP(G4319, item_category!C:C, item_category!B:B, "Not Found")</f>
      </c>
      <c r="F4319" s="1" t="s">
        <v>5514</v>
      </c>
      <c r="G4319" s="5">
        <f>XLOOKUP(I4319, drug!B:B, drug!A:A, "Not Found")</f>
      </c>
      <c r="H4319" s="1" t="s">
        <v>364</v>
      </c>
      <c r="I4319" s="7">
        <v>150</v>
      </c>
      <c r="J4319" s="5">
        <f>XLOOKUP(L4319, uom!C:C, uom!B:B, "Not Found")</f>
      </c>
      <c r="K4319" s="1" t="s">
        <v>5544</v>
      </c>
      <c r="L4319" s="5">
        <f>XLOOKUP(N4319, uom!C:C, uom!B:B, "Not Found")</f>
      </c>
      <c r="M4319" s="1" t="s">
        <v>5544</v>
      </c>
      <c r="N4319" s="8" t="s">
        <v>5524</v>
      </c>
      <c r="O4319" s="1" t="s">
        <v>5525</v>
      </c>
      <c r="P4319" s="5">
        <f>XLOOKUP(R4319, classification!C:C, classification!B:B, "Not Found")</f>
      </c>
      <c r="Q4319" s="1" t="s">
        <v>5514</v>
      </c>
      <c r="R4319" s="2"/>
      <c r="S4319" s="2"/>
      <c r="T4319" s="2"/>
      <c r="U4319" s="2"/>
    </row>
    <row x14ac:dyDescent="0.25" r="4320" customHeight="1" ht="17.25">
      <c r="A4320" s="7">
        <v>4319</v>
      </c>
      <c r="B4320" s="1" t="s">
        <v>9618</v>
      </c>
      <c r="C4320" s="5">
        <f>CONCATENATE("PD", TEXT(A4320, "1000000"))</f>
      </c>
      <c r="D4320" s="7">
        <v>1</v>
      </c>
      <c r="E4320" s="5">
        <f>XLOOKUP(G4320, item_category!C:C, item_category!B:B, "Not Found")</f>
      </c>
      <c r="F4320" s="1" t="s">
        <v>5514</v>
      </c>
      <c r="G4320" s="5">
        <f>XLOOKUP(I4320, drug!B:B, drug!A:A, "Not Found")</f>
      </c>
      <c r="H4320" s="1" t="s">
        <v>1157</v>
      </c>
      <c r="I4320" s="7">
        <v>1</v>
      </c>
      <c r="J4320" s="5">
        <f>XLOOKUP(L4320, uom!C:C, uom!B:B, "Not Found")</f>
      </c>
      <c r="K4320" s="1" t="s">
        <v>5542</v>
      </c>
      <c r="L4320" s="5">
        <f>XLOOKUP(N4320, uom!C:C, uom!B:B, "Not Found")</f>
      </c>
      <c r="M4320" s="1" t="s">
        <v>5542</v>
      </c>
      <c r="N4320" s="8" t="s">
        <v>5524</v>
      </c>
      <c r="O4320" s="1" t="s">
        <v>5525</v>
      </c>
      <c r="P4320" s="5">
        <f>XLOOKUP(R4320, classification!C:C, classification!B:B, "Not Found")</f>
      </c>
      <c r="Q4320" s="1" t="s">
        <v>5514</v>
      </c>
      <c r="R4320" s="2"/>
      <c r="S4320" s="2"/>
      <c r="T4320" s="2"/>
      <c r="U4320" s="2"/>
    </row>
    <row x14ac:dyDescent="0.25" r="4321" customHeight="1" ht="17.25">
      <c r="A4321" s="7">
        <v>4320</v>
      </c>
      <c r="B4321" s="1" t="s">
        <v>9619</v>
      </c>
      <c r="C4321" s="5">
        <f>CONCATENATE("PD", TEXT(A4321, "1000000"))</f>
      </c>
      <c r="D4321" s="7">
        <v>1</v>
      </c>
      <c r="E4321" s="5">
        <f>XLOOKUP(G4321, item_category!C:C, item_category!B:B, "Not Found")</f>
      </c>
      <c r="F4321" s="1" t="s">
        <v>5514</v>
      </c>
      <c r="G4321" s="5">
        <f>XLOOKUP(I4321, drug!B:B, drug!A:A, "Not Found")</f>
      </c>
      <c r="H4321" s="1"/>
      <c r="I4321" s="7">
        <v>1</v>
      </c>
      <c r="J4321" s="5">
        <f>XLOOKUP(L4321, uom!C:C, uom!B:B, "Not Found")</f>
      </c>
      <c r="K4321" s="1" t="s">
        <v>5602</v>
      </c>
      <c r="L4321" s="5">
        <f>XLOOKUP(N4321, uom!C:C, uom!B:B, "Not Found")</f>
      </c>
      <c r="M4321" s="1" t="s">
        <v>5602</v>
      </c>
      <c r="N4321" s="8" t="s">
        <v>5524</v>
      </c>
      <c r="O4321" s="1" t="s">
        <v>5525</v>
      </c>
      <c r="P4321" s="5">
        <f>XLOOKUP(R4321, classification!C:C, classification!B:B, "Not Found")</f>
      </c>
      <c r="Q4321" s="1" t="s">
        <v>5514</v>
      </c>
      <c r="R4321" s="2"/>
      <c r="S4321" s="2"/>
      <c r="T4321" s="2"/>
      <c r="U4321" s="2"/>
    </row>
    <row x14ac:dyDescent="0.25" r="4322" customHeight="1" ht="17.25">
      <c r="A4322" s="7">
        <v>4321</v>
      </c>
      <c r="B4322" s="1" t="s">
        <v>9620</v>
      </c>
      <c r="C4322" s="5">
        <f>CONCATENATE("PD", TEXT(A4322, "1000000"))</f>
      </c>
      <c r="D4322" s="7">
        <v>1</v>
      </c>
      <c r="E4322" s="5">
        <f>XLOOKUP(G4322, item_category!C:C, item_category!B:B, "Not Found")</f>
      </c>
      <c r="F4322" s="1" t="s">
        <v>5514</v>
      </c>
      <c r="G4322" s="5">
        <f>XLOOKUP(I4322, drug!B:B, drug!A:A, "Not Found")</f>
      </c>
      <c r="H4322" s="1"/>
      <c r="I4322" s="7">
        <v>1</v>
      </c>
      <c r="J4322" s="5">
        <f>XLOOKUP(L4322, uom!C:C, uom!B:B, "Not Found")</f>
      </c>
      <c r="K4322" s="1" t="s">
        <v>5511</v>
      </c>
      <c r="L4322" s="5">
        <f>XLOOKUP(N4322, uom!C:C, uom!B:B, "Not Found")</f>
      </c>
      <c r="M4322" s="1" t="s">
        <v>5511</v>
      </c>
      <c r="N4322" s="8" t="s">
        <v>5524</v>
      </c>
      <c r="O4322" s="1" t="s">
        <v>5513</v>
      </c>
      <c r="P4322" s="5">
        <f>XLOOKUP(R4322, classification!C:C, classification!B:B, "Not Found")</f>
      </c>
      <c r="Q4322" s="1" t="s">
        <v>5514</v>
      </c>
      <c r="R4322" s="2"/>
      <c r="S4322" s="2"/>
      <c r="T4322" s="2"/>
      <c r="U4322" s="2"/>
    </row>
    <row x14ac:dyDescent="0.25" r="4323" customHeight="1" ht="17.25">
      <c r="A4323" s="7">
        <v>4322</v>
      </c>
      <c r="B4323" s="1" t="s">
        <v>9621</v>
      </c>
      <c r="C4323" s="5">
        <f>CONCATENATE("PD", TEXT(A4323, "1000000"))</f>
      </c>
      <c r="D4323" s="7">
        <v>1</v>
      </c>
      <c r="E4323" s="5">
        <f>XLOOKUP(G4323, item_category!C:C, item_category!B:B, "Not Found")</f>
      </c>
      <c r="F4323" s="1" t="s">
        <v>5514</v>
      </c>
      <c r="G4323" s="5">
        <f>XLOOKUP(I4323, drug!B:B, drug!A:A, "Not Found")</f>
      </c>
      <c r="H4323" s="1" t="s">
        <v>1942</v>
      </c>
      <c r="I4323" s="7">
        <v>100</v>
      </c>
      <c r="J4323" s="5">
        <f>XLOOKUP(L4323, uom!C:C, uom!B:B, "Not Found")</f>
      </c>
      <c r="K4323" s="1" t="s">
        <v>5511</v>
      </c>
      <c r="L4323" s="5">
        <f>XLOOKUP(N4323, uom!C:C, uom!B:B, "Not Found")</f>
      </c>
      <c r="M4323" s="1" t="s">
        <v>5511</v>
      </c>
      <c r="N4323" s="8" t="s">
        <v>5524</v>
      </c>
      <c r="O4323" s="1" t="s">
        <v>5525</v>
      </c>
      <c r="P4323" s="5">
        <f>XLOOKUP(R4323, classification!C:C, classification!B:B, "Not Found")</f>
      </c>
      <c r="Q4323" s="1" t="s">
        <v>5514</v>
      </c>
      <c r="R4323" s="2"/>
      <c r="S4323" s="2"/>
      <c r="T4323" s="2"/>
      <c r="U4323" s="2"/>
    </row>
    <row x14ac:dyDescent="0.25" r="4324" customHeight="1" ht="17.25">
      <c r="A4324" s="7">
        <v>4323</v>
      </c>
      <c r="B4324" s="1" t="s">
        <v>9622</v>
      </c>
      <c r="C4324" s="5">
        <f>CONCATENATE("PD", TEXT(A4324, "1000000"))</f>
      </c>
      <c r="D4324" s="7">
        <v>1</v>
      </c>
      <c r="E4324" s="5">
        <f>XLOOKUP(G4324, item_category!C:C, item_category!B:B, "Not Found")</f>
      </c>
      <c r="F4324" s="1" t="s">
        <v>5514</v>
      </c>
      <c r="G4324" s="5">
        <f>XLOOKUP(I4324, drug!B:B, drug!A:A, "Not Found")</f>
      </c>
      <c r="H4324" s="1" t="s">
        <v>1942</v>
      </c>
      <c r="I4324" s="7">
        <v>200</v>
      </c>
      <c r="J4324" s="5">
        <f>XLOOKUP(L4324, uom!C:C, uom!B:B, "Not Found")</f>
      </c>
      <c r="K4324" s="1" t="s">
        <v>5511</v>
      </c>
      <c r="L4324" s="5">
        <f>XLOOKUP(N4324, uom!C:C, uom!B:B, "Not Found")</f>
      </c>
      <c r="M4324" s="1" t="s">
        <v>5511</v>
      </c>
      <c r="N4324" s="8" t="s">
        <v>5524</v>
      </c>
      <c r="O4324" s="1" t="s">
        <v>5525</v>
      </c>
      <c r="P4324" s="5">
        <f>XLOOKUP(R4324, classification!C:C, classification!B:B, "Not Found")</f>
      </c>
      <c r="Q4324" s="1" t="s">
        <v>5514</v>
      </c>
      <c r="R4324" s="2"/>
      <c r="S4324" s="2"/>
      <c r="T4324" s="2"/>
      <c r="U4324" s="2"/>
    </row>
    <row x14ac:dyDescent="0.25" r="4325" customHeight="1" ht="17.25">
      <c r="A4325" s="7">
        <v>4324</v>
      </c>
      <c r="B4325" s="1" t="s">
        <v>9623</v>
      </c>
      <c r="C4325" s="5">
        <f>CONCATENATE("PD", TEXT(A4325, "1000000"))</f>
      </c>
      <c r="D4325" s="7">
        <v>1</v>
      </c>
      <c r="E4325" s="5">
        <f>XLOOKUP(G4325, item_category!C:C, item_category!B:B, "Not Found")</f>
      </c>
      <c r="F4325" s="1" t="s">
        <v>5514</v>
      </c>
      <c r="G4325" s="5">
        <f>XLOOKUP(I4325, drug!B:B, drug!A:A, "Not Found")</f>
      </c>
      <c r="H4325" s="1" t="s">
        <v>1942</v>
      </c>
      <c r="I4325" s="7">
        <v>500</v>
      </c>
      <c r="J4325" s="5">
        <f>XLOOKUP(L4325, uom!C:C, uom!B:B, "Not Found")</f>
      </c>
      <c r="K4325" s="1" t="s">
        <v>5511</v>
      </c>
      <c r="L4325" s="5">
        <f>XLOOKUP(N4325, uom!C:C, uom!B:B, "Not Found")</f>
      </c>
      <c r="M4325" s="1" t="s">
        <v>5511</v>
      </c>
      <c r="N4325" s="8" t="s">
        <v>5524</v>
      </c>
      <c r="O4325" s="1" t="s">
        <v>5525</v>
      </c>
      <c r="P4325" s="5">
        <f>XLOOKUP(R4325, classification!C:C, classification!B:B, "Not Found")</f>
      </c>
      <c r="Q4325" s="1" t="s">
        <v>5514</v>
      </c>
      <c r="R4325" s="2"/>
      <c r="S4325" s="2"/>
      <c r="T4325" s="2"/>
      <c r="U4325" s="2"/>
    </row>
    <row x14ac:dyDescent="0.25" r="4326" customHeight="1" ht="17.25">
      <c r="A4326" s="7">
        <v>4325</v>
      </c>
      <c r="B4326" s="1" t="s">
        <v>3556</v>
      </c>
      <c r="C4326" s="5">
        <f>CONCATENATE("PD", TEXT(A4326, "1000000"))</f>
      </c>
      <c r="D4326" s="7">
        <v>1</v>
      </c>
      <c r="E4326" s="5">
        <f>XLOOKUP(G4326, item_category!C:C, item_category!B:B, "Not Found")</f>
      </c>
      <c r="F4326" s="1" t="s">
        <v>5514</v>
      </c>
      <c r="G4326" s="5">
        <f>XLOOKUP(I4326, drug!B:B, drug!A:A, "Not Found")</f>
      </c>
      <c r="H4326" s="1"/>
      <c r="I4326" s="7">
        <v>1</v>
      </c>
      <c r="J4326" s="5">
        <f>XLOOKUP(L4326, uom!C:C, uom!B:B, "Not Found")</f>
      </c>
      <c r="K4326" s="1" t="s">
        <v>5511</v>
      </c>
      <c r="L4326" s="5">
        <f>XLOOKUP(N4326, uom!C:C, uom!B:B, "Not Found")</f>
      </c>
      <c r="M4326" s="1" t="s">
        <v>5511</v>
      </c>
      <c r="N4326" s="8" t="s">
        <v>5524</v>
      </c>
      <c r="O4326" s="1" t="s">
        <v>5513</v>
      </c>
      <c r="P4326" s="5">
        <f>XLOOKUP(R4326, classification!C:C, classification!B:B, "Not Found")</f>
      </c>
      <c r="Q4326" s="1" t="s">
        <v>5514</v>
      </c>
      <c r="R4326" s="2"/>
      <c r="S4326" s="2"/>
      <c r="T4326" s="2"/>
      <c r="U4326" s="2"/>
    </row>
    <row x14ac:dyDescent="0.25" r="4327" customHeight="1" ht="17.25">
      <c r="A4327" s="7">
        <v>4326</v>
      </c>
      <c r="B4327" s="1" t="s">
        <v>9624</v>
      </c>
      <c r="C4327" s="5">
        <f>CONCATENATE("PD", TEXT(A4327, "1000000"))</f>
      </c>
      <c r="D4327" s="7">
        <v>1</v>
      </c>
      <c r="E4327" s="5">
        <f>XLOOKUP(G4327, item_category!C:C, item_category!B:B, "Not Found")</f>
      </c>
      <c r="F4327" s="1" t="s">
        <v>5514</v>
      </c>
      <c r="G4327" s="5">
        <f>XLOOKUP(I4327, drug!B:B, drug!A:A, "Not Found")</f>
      </c>
      <c r="H4327" s="1" t="s">
        <v>1942</v>
      </c>
      <c r="I4327" s="7">
        <v>100</v>
      </c>
      <c r="J4327" s="5">
        <f>XLOOKUP(L4327, uom!C:C, uom!B:B, "Not Found")</f>
      </c>
      <c r="K4327" s="1" t="s">
        <v>5511</v>
      </c>
      <c r="L4327" s="5">
        <f>XLOOKUP(N4327, uom!C:C, uom!B:B, "Not Found")</f>
      </c>
      <c r="M4327" s="1" t="s">
        <v>5511</v>
      </c>
      <c r="N4327" s="8" t="s">
        <v>5524</v>
      </c>
      <c r="O4327" s="1" t="s">
        <v>5525</v>
      </c>
      <c r="P4327" s="5">
        <f>XLOOKUP(R4327, classification!C:C, classification!B:B, "Not Found")</f>
      </c>
      <c r="Q4327" s="1" t="s">
        <v>5514</v>
      </c>
      <c r="R4327" s="2"/>
      <c r="S4327" s="2"/>
      <c r="T4327" s="2"/>
      <c r="U4327" s="2"/>
    </row>
    <row x14ac:dyDescent="0.25" r="4328" customHeight="1" ht="17.25">
      <c r="A4328" s="7">
        <v>4327</v>
      </c>
      <c r="B4328" s="1" t="s">
        <v>9625</v>
      </c>
      <c r="C4328" s="5">
        <f>CONCATENATE("PD", TEXT(A4328, "1000000"))</f>
      </c>
      <c r="D4328" s="7">
        <v>1</v>
      </c>
      <c r="E4328" s="5">
        <f>XLOOKUP(G4328, item_category!C:C, item_category!B:B, "Not Found")</f>
      </c>
      <c r="F4328" s="1" t="s">
        <v>5514</v>
      </c>
      <c r="G4328" s="5">
        <f>XLOOKUP(I4328, drug!B:B, drug!A:A, "Not Found")</f>
      </c>
      <c r="H4328" s="1" t="s">
        <v>1942</v>
      </c>
      <c r="I4328" s="7">
        <v>100</v>
      </c>
      <c r="J4328" s="5">
        <f>XLOOKUP(L4328, uom!C:C, uom!B:B, "Not Found")</f>
      </c>
      <c r="K4328" s="1" t="s">
        <v>5511</v>
      </c>
      <c r="L4328" s="5">
        <f>XLOOKUP(N4328, uom!C:C, uom!B:B, "Not Found")</f>
      </c>
      <c r="M4328" s="1" t="s">
        <v>5511</v>
      </c>
      <c r="N4328" s="8" t="s">
        <v>5524</v>
      </c>
      <c r="O4328" s="1" t="s">
        <v>5525</v>
      </c>
      <c r="P4328" s="5">
        <f>XLOOKUP(R4328, classification!C:C, classification!B:B, "Not Found")</f>
      </c>
      <c r="Q4328" s="1" t="s">
        <v>5514</v>
      </c>
      <c r="R4328" s="2"/>
      <c r="S4328" s="2"/>
      <c r="T4328" s="2"/>
      <c r="U4328" s="2"/>
    </row>
    <row x14ac:dyDescent="0.25" r="4329" customHeight="1" ht="17.25">
      <c r="A4329" s="7">
        <v>4328</v>
      </c>
      <c r="B4329" s="1" t="s">
        <v>9626</v>
      </c>
      <c r="C4329" s="5">
        <f>CONCATENATE("PD", TEXT(A4329, "1000000"))</f>
      </c>
      <c r="D4329" s="7">
        <v>1</v>
      </c>
      <c r="E4329" s="5">
        <f>XLOOKUP(G4329, item_category!C:C, item_category!B:B, "Not Found")</f>
      </c>
      <c r="F4329" s="1" t="s">
        <v>5514</v>
      </c>
      <c r="G4329" s="5">
        <f>XLOOKUP(I4329, drug!B:B, drug!A:A, "Not Found")</f>
      </c>
      <c r="H4329" s="1" t="s">
        <v>1228</v>
      </c>
      <c r="I4329" s="7">
        <v>1</v>
      </c>
      <c r="J4329" s="5">
        <f>XLOOKUP(L4329, uom!C:C, uom!B:B, "Not Found")</f>
      </c>
      <c r="K4329" s="1" t="s">
        <v>5542</v>
      </c>
      <c r="L4329" s="5">
        <f>XLOOKUP(N4329, uom!C:C, uom!B:B, "Not Found")</f>
      </c>
      <c r="M4329" s="1" t="s">
        <v>5542</v>
      </c>
      <c r="N4329" s="8" t="s">
        <v>5524</v>
      </c>
      <c r="O4329" s="1" t="s">
        <v>5525</v>
      </c>
      <c r="P4329" s="5">
        <f>XLOOKUP(R4329, classification!C:C, classification!B:B, "Not Found")</f>
      </c>
      <c r="Q4329" s="1" t="s">
        <v>5514</v>
      </c>
      <c r="R4329" s="2"/>
      <c r="S4329" s="2"/>
      <c r="T4329" s="2"/>
      <c r="U4329" s="2"/>
    </row>
    <row x14ac:dyDescent="0.25" r="4330" customHeight="1" ht="17.25">
      <c r="A4330" s="7">
        <v>4329</v>
      </c>
      <c r="B4330" s="1" t="s">
        <v>9627</v>
      </c>
      <c r="C4330" s="5">
        <f>CONCATENATE("PD", TEXT(A4330, "1000000"))</f>
      </c>
      <c r="D4330" s="7">
        <v>67</v>
      </c>
      <c r="E4330" s="5">
        <f>XLOOKUP(G4330, item_category!C:C, item_category!B:B, "Not Found")</f>
      </c>
      <c r="F4330" s="1" t="s">
        <v>5516</v>
      </c>
      <c r="G4330" s="5">
        <f>XLOOKUP(I4330, drug!B:B, drug!A:A, "Not Found")</f>
      </c>
      <c r="H4330" s="1"/>
      <c r="I4330" s="7">
        <v>350</v>
      </c>
      <c r="J4330" s="5">
        <f>XLOOKUP(L4330, uom!C:C, uom!B:B, "Not Found")</f>
      </c>
      <c r="K4330" s="1" t="s">
        <v>5618</v>
      </c>
      <c r="L4330" s="5">
        <f>XLOOKUP(N4330, uom!C:C, uom!B:B, "Not Found")</f>
      </c>
      <c r="M4330" s="1" t="s">
        <v>5618</v>
      </c>
      <c r="N4330" s="8" t="s">
        <v>5524</v>
      </c>
      <c r="O4330" s="1" t="s">
        <v>5525</v>
      </c>
      <c r="P4330" s="5">
        <f>XLOOKUP(R4330, classification!C:C, classification!B:B, "Not Found")</f>
      </c>
      <c r="Q4330" s="1" t="s">
        <v>5514</v>
      </c>
      <c r="R4330" s="2"/>
      <c r="S4330" s="2"/>
      <c r="T4330" s="2"/>
      <c r="U4330" s="2"/>
    </row>
    <row x14ac:dyDescent="0.25" r="4331" customHeight="1" ht="17.25">
      <c r="A4331" s="7">
        <v>4330</v>
      </c>
      <c r="B4331" s="1" t="s">
        <v>9628</v>
      </c>
      <c r="C4331" s="5">
        <f>CONCATENATE("PD", TEXT(A4331, "1000000"))</f>
      </c>
      <c r="D4331" s="7">
        <v>1</v>
      </c>
      <c r="E4331" s="5">
        <f>XLOOKUP(G4331, item_category!C:C, item_category!B:B, "Not Found")</f>
      </c>
      <c r="F4331" s="1" t="s">
        <v>5514</v>
      </c>
      <c r="G4331" s="5">
        <f>XLOOKUP(I4331, drug!B:B, drug!A:A, "Not Found")</f>
      </c>
      <c r="H4331" s="1"/>
      <c r="I4331" s="7">
        <v>1</v>
      </c>
      <c r="J4331" s="5">
        <f>XLOOKUP(L4331, uom!C:C, uom!B:B, "Not Found")</f>
      </c>
      <c r="K4331" s="1" t="s">
        <v>7212</v>
      </c>
      <c r="L4331" s="5">
        <f>XLOOKUP(N4331, uom!C:C, uom!B:B, "Not Found")</f>
      </c>
      <c r="M4331" s="1" t="s">
        <v>7212</v>
      </c>
      <c r="N4331" s="8" t="s">
        <v>5524</v>
      </c>
      <c r="O4331" s="1" t="s">
        <v>5525</v>
      </c>
      <c r="P4331" s="5">
        <f>XLOOKUP(R4331, classification!C:C, classification!B:B, "Not Found")</f>
      </c>
      <c r="Q4331" s="1" t="s">
        <v>5514</v>
      </c>
      <c r="R4331" s="2"/>
      <c r="S4331" s="2"/>
      <c r="T4331" s="2"/>
      <c r="U4331" s="2"/>
    </row>
    <row x14ac:dyDescent="0.25" r="4332" customHeight="1" ht="17.25">
      <c r="A4332" s="7">
        <v>4331</v>
      </c>
      <c r="B4332" s="1" t="s">
        <v>9629</v>
      </c>
      <c r="C4332" s="5">
        <f>CONCATENATE("PD", TEXT(A4332, "1000000"))</f>
      </c>
      <c r="D4332" s="7">
        <v>1</v>
      </c>
      <c r="E4332" s="5">
        <f>XLOOKUP(G4332, item_category!C:C, item_category!B:B, "Not Found")</f>
      </c>
      <c r="F4332" s="1" t="s">
        <v>5514</v>
      </c>
      <c r="G4332" s="5">
        <f>XLOOKUP(I4332, drug!B:B, drug!A:A, "Not Found")</f>
      </c>
      <c r="H4332" s="1"/>
      <c r="I4332" s="7">
        <v>1</v>
      </c>
      <c r="J4332" s="5">
        <f>XLOOKUP(L4332, uom!C:C, uom!B:B, "Not Found")</f>
      </c>
      <c r="K4332" s="1" t="s">
        <v>5544</v>
      </c>
      <c r="L4332" s="5">
        <f>XLOOKUP(N4332, uom!C:C, uom!B:B, "Not Found")</f>
      </c>
      <c r="M4332" s="1" t="s">
        <v>5544</v>
      </c>
      <c r="N4332" s="8" t="s">
        <v>5524</v>
      </c>
      <c r="O4332" s="1" t="s">
        <v>5513</v>
      </c>
      <c r="P4332" s="5">
        <f>XLOOKUP(R4332, classification!C:C, classification!B:B, "Not Found")</f>
      </c>
      <c r="Q4332" s="1" t="s">
        <v>5514</v>
      </c>
      <c r="R4332" s="2"/>
      <c r="S4332" s="2"/>
      <c r="T4332" s="2"/>
      <c r="U4332" s="2"/>
    </row>
    <row x14ac:dyDescent="0.25" r="4333" customHeight="1" ht="17.25">
      <c r="A4333" s="7">
        <v>4332</v>
      </c>
      <c r="B4333" s="1" t="s">
        <v>9630</v>
      </c>
      <c r="C4333" s="5">
        <f>CONCATENATE("PD", TEXT(A4333, "1000000"))</f>
      </c>
      <c r="D4333" s="7">
        <v>1</v>
      </c>
      <c r="E4333" s="5">
        <f>XLOOKUP(G4333, item_category!C:C, item_category!B:B, "Not Found")</f>
      </c>
      <c r="F4333" s="1" t="s">
        <v>5514</v>
      </c>
      <c r="G4333" s="5">
        <f>XLOOKUP(I4333, drug!B:B, drug!A:A, "Not Found")</f>
      </c>
      <c r="H4333" s="1"/>
      <c r="I4333" s="7">
        <v>1</v>
      </c>
      <c r="J4333" s="5">
        <f>XLOOKUP(L4333, uom!C:C, uom!B:B, "Not Found")</f>
      </c>
      <c r="K4333" s="1" t="s">
        <v>9631</v>
      </c>
      <c r="L4333" s="5">
        <f>XLOOKUP(N4333, uom!C:C, uom!B:B, "Not Found")</f>
      </c>
      <c r="M4333" s="1" t="s">
        <v>9631</v>
      </c>
      <c r="N4333" s="8" t="s">
        <v>5524</v>
      </c>
      <c r="O4333" s="1" t="s">
        <v>5525</v>
      </c>
      <c r="P4333" s="5">
        <f>XLOOKUP(R4333, classification!C:C, classification!B:B, "Not Found")</f>
      </c>
      <c r="Q4333" s="1" t="s">
        <v>5514</v>
      </c>
      <c r="R4333" s="2"/>
      <c r="S4333" s="2"/>
      <c r="T4333" s="2"/>
      <c r="U4333" s="2"/>
    </row>
    <row x14ac:dyDescent="0.25" r="4334" customHeight="1" ht="17.25">
      <c r="A4334" s="7">
        <v>4333</v>
      </c>
      <c r="B4334" s="1" t="s">
        <v>9632</v>
      </c>
      <c r="C4334" s="5">
        <f>CONCATENATE("PD", TEXT(A4334, "1000000"))</f>
      </c>
      <c r="D4334" s="7">
        <v>75</v>
      </c>
      <c r="E4334" s="5">
        <f>XLOOKUP(G4334, item_category!C:C, item_category!B:B, "Not Found")</f>
      </c>
      <c r="F4334" s="1" t="s">
        <v>5541</v>
      </c>
      <c r="G4334" s="5">
        <f>XLOOKUP(I4334, drug!B:B, drug!A:A, "Not Found")</f>
      </c>
      <c r="H4334" s="1" t="s">
        <v>857</v>
      </c>
      <c r="I4334" s="7">
        <v>250</v>
      </c>
      <c r="J4334" s="5">
        <f>XLOOKUP(L4334, uom!C:C, uom!B:B, "Not Found")</f>
      </c>
      <c r="K4334" s="1" t="s">
        <v>5602</v>
      </c>
      <c r="L4334" s="5">
        <f>XLOOKUP(N4334, uom!C:C, uom!B:B, "Not Found")</f>
      </c>
      <c r="M4334" s="1" t="s">
        <v>5602</v>
      </c>
      <c r="N4334" s="8" t="s">
        <v>5524</v>
      </c>
      <c r="O4334" s="1" t="s">
        <v>5525</v>
      </c>
      <c r="P4334" s="5">
        <f>XLOOKUP(R4334, classification!C:C, classification!B:B, "Not Found")</f>
      </c>
      <c r="Q4334" s="1" t="s">
        <v>5514</v>
      </c>
      <c r="R4334" s="2"/>
      <c r="S4334" s="2"/>
      <c r="T4334" s="2"/>
      <c r="U4334" s="2"/>
    </row>
    <row x14ac:dyDescent="0.25" r="4335" customHeight="1" ht="17.25">
      <c r="A4335" s="7">
        <v>4334</v>
      </c>
      <c r="B4335" s="1" t="s">
        <v>9633</v>
      </c>
      <c r="C4335" s="5">
        <f>CONCATENATE("PD", TEXT(A4335, "1000000"))</f>
      </c>
      <c r="D4335" s="7">
        <v>1</v>
      </c>
      <c r="E4335" s="5">
        <f>XLOOKUP(G4335, item_category!C:C, item_category!B:B, "Not Found")</f>
      </c>
      <c r="F4335" s="1" t="s">
        <v>5514</v>
      </c>
      <c r="G4335" s="5">
        <f>XLOOKUP(I4335, drug!B:B, drug!A:A, "Not Found")</f>
      </c>
      <c r="H4335" s="1"/>
      <c r="I4335" s="7">
        <v>800</v>
      </c>
      <c r="J4335" s="5">
        <f>XLOOKUP(L4335, uom!C:C, uom!B:B, "Not Found")</f>
      </c>
      <c r="K4335" s="1" t="s">
        <v>5602</v>
      </c>
      <c r="L4335" s="5">
        <f>XLOOKUP(N4335, uom!C:C, uom!B:B, "Not Found")</f>
      </c>
      <c r="M4335" s="1" t="s">
        <v>5602</v>
      </c>
      <c r="N4335" s="8" t="s">
        <v>5524</v>
      </c>
      <c r="O4335" s="1" t="s">
        <v>5525</v>
      </c>
      <c r="P4335" s="5">
        <f>XLOOKUP(R4335, classification!C:C, classification!B:B, "Not Found")</f>
      </c>
      <c r="Q4335" s="1" t="s">
        <v>5514</v>
      </c>
      <c r="R4335" s="2"/>
      <c r="S4335" s="2"/>
      <c r="T4335" s="2"/>
      <c r="U4335" s="2"/>
    </row>
    <row x14ac:dyDescent="0.25" r="4336" customHeight="1" ht="17.25">
      <c r="A4336" s="7">
        <v>4335</v>
      </c>
      <c r="B4336" s="1" t="s">
        <v>9634</v>
      </c>
      <c r="C4336" s="5">
        <f>CONCATENATE("PD", TEXT(A4336, "1000000"))</f>
      </c>
      <c r="D4336" s="7">
        <v>1</v>
      </c>
      <c r="E4336" s="5">
        <f>XLOOKUP(G4336, item_category!C:C, item_category!B:B, "Not Found")</f>
      </c>
      <c r="F4336" s="1" t="s">
        <v>5514</v>
      </c>
      <c r="G4336" s="5">
        <f>XLOOKUP(I4336, drug!B:B, drug!A:A, "Not Found")</f>
      </c>
      <c r="H4336" s="1"/>
      <c r="I4336" s="7">
        <v>500</v>
      </c>
      <c r="J4336" s="5">
        <f>XLOOKUP(L4336, uom!C:C, uom!B:B, "Not Found")</f>
      </c>
      <c r="K4336" s="1" t="s">
        <v>5523</v>
      </c>
      <c r="L4336" s="5">
        <f>XLOOKUP(N4336, uom!C:C, uom!B:B, "Not Found")</f>
      </c>
      <c r="M4336" s="1" t="s">
        <v>5523</v>
      </c>
      <c r="N4336" s="8" t="s">
        <v>5524</v>
      </c>
      <c r="O4336" s="1" t="s">
        <v>5525</v>
      </c>
      <c r="P4336" s="5">
        <f>XLOOKUP(R4336, classification!C:C, classification!B:B, "Not Found")</f>
      </c>
      <c r="Q4336" s="1" t="s">
        <v>5514</v>
      </c>
      <c r="R4336" s="2"/>
      <c r="S4336" s="2"/>
      <c r="T4336" s="2"/>
      <c r="U4336" s="2"/>
    </row>
    <row x14ac:dyDescent="0.25" r="4337" customHeight="1" ht="17.25">
      <c r="A4337" s="7">
        <v>4336</v>
      </c>
      <c r="B4337" s="1" t="s">
        <v>9635</v>
      </c>
      <c r="C4337" s="5">
        <f>CONCATENATE("PD", TEXT(A4337, "1000000"))</f>
      </c>
      <c r="D4337" s="7">
        <v>78</v>
      </c>
      <c r="E4337" s="5">
        <f>XLOOKUP(G4337, item_category!C:C, item_category!B:B, "Not Found")</f>
      </c>
      <c r="F4337" s="1" t="s">
        <v>5522</v>
      </c>
      <c r="G4337" s="5">
        <f>XLOOKUP(I4337, drug!B:B, drug!A:A, "Not Found")</f>
      </c>
      <c r="H4337" s="1"/>
      <c r="I4337" s="7">
        <v>800</v>
      </c>
      <c r="J4337" s="5">
        <f>XLOOKUP(L4337, uom!C:C, uom!B:B, "Not Found")</f>
      </c>
      <c r="K4337" s="1" t="s">
        <v>5523</v>
      </c>
      <c r="L4337" s="5">
        <f>XLOOKUP(N4337, uom!C:C, uom!B:B, "Not Found")</f>
      </c>
      <c r="M4337" s="1" t="s">
        <v>5523</v>
      </c>
      <c r="N4337" s="8" t="s">
        <v>5524</v>
      </c>
      <c r="O4337" s="1" t="s">
        <v>5525</v>
      </c>
      <c r="P4337" s="5">
        <f>XLOOKUP(R4337, classification!C:C, classification!B:B, "Not Found")</f>
      </c>
      <c r="Q4337" s="1" t="s">
        <v>5514</v>
      </c>
      <c r="R4337" s="2"/>
      <c r="S4337" s="2"/>
      <c r="T4337" s="2"/>
      <c r="U4337" s="2"/>
    </row>
    <row x14ac:dyDescent="0.25" r="4338" customHeight="1" ht="17.25">
      <c r="A4338" s="7">
        <v>4337</v>
      </c>
      <c r="B4338" s="1" t="s">
        <v>9636</v>
      </c>
      <c r="C4338" s="5">
        <f>CONCATENATE("PD", TEXT(A4338, "1000000"))</f>
      </c>
      <c r="D4338" s="7">
        <v>1</v>
      </c>
      <c r="E4338" s="5">
        <f>XLOOKUP(G4338, item_category!C:C, item_category!B:B, "Not Found")</f>
      </c>
      <c r="F4338" s="1" t="s">
        <v>5514</v>
      </c>
      <c r="G4338" s="5">
        <f>XLOOKUP(I4338, drug!B:B, drug!A:A, "Not Found")</f>
      </c>
      <c r="H4338" s="1" t="s">
        <v>747</v>
      </c>
      <c r="I4338" s="7">
        <v>400</v>
      </c>
      <c r="J4338" s="5">
        <f>XLOOKUP(L4338, uom!C:C, uom!B:B, "Not Found")</f>
      </c>
      <c r="K4338" s="1" t="s">
        <v>5523</v>
      </c>
      <c r="L4338" s="5">
        <f>XLOOKUP(N4338, uom!C:C, uom!B:B, "Not Found")</f>
      </c>
      <c r="M4338" s="1" t="s">
        <v>5523</v>
      </c>
      <c r="N4338" s="8" t="s">
        <v>5524</v>
      </c>
      <c r="O4338" s="1" t="s">
        <v>5525</v>
      </c>
      <c r="P4338" s="5">
        <f>XLOOKUP(R4338, classification!C:C, classification!B:B, "Not Found")</f>
      </c>
      <c r="Q4338" s="1" t="s">
        <v>5514</v>
      </c>
      <c r="R4338" s="2"/>
      <c r="S4338" s="2"/>
      <c r="T4338" s="2"/>
      <c r="U4338" s="2"/>
    </row>
    <row x14ac:dyDescent="0.25" r="4339" customHeight="1" ht="17.25">
      <c r="A4339" s="7">
        <v>4338</v>
      </c>
      <c r="B4339" s="1" t="s">
        <v>9637</v>
      </c>
      <c r="C4339" s="5">
        <f>CONCATENATE("PD", TEXT(A4339, "1000000"))</f>
      </c>
      <c r="D4339" s="7">
        <v>1</v>
      </c>
      <c r="E4339" s="5">
        <f>XLOOKUP(G4339, item_category!C:C, item_category!B:B, "Not Found")</f>
      </c>
      <c r="F4339" s="1" t="s">
        <v>5514</v>
      </c>
      <c r="G4339" s="5">
        <f>XLOOKUP(I4339, drug!B:B, drug!A:A, "Not Found")</f>
      </c>
      <c r="H4339" s="1" t="s">
        <v>1228</v>
      </c>
      <c r="I4339" s="7">
        <v>250</v>
      </c>
      <c r="J4339" s="5">
        <f>XLOOKUP(L4339, uom!C:C, uom!B:B, "Not Found")</f>
      </c>
      <c r="K4339" s="1" t="s">
        <v>5542</v>
      </c>
      <c r="L4339" s="5">
        <f>XLOOKUP(N4339, uom!C:C, uom!B:B, "Not Found")</f>
      </c>
      <c r="M4339" s="1" t="s">
        <v>5542</v>
      </c>
      <c r="N4339" s="8" t="s">
        <v>5524</v>
      </c>
      <c r="O4339" s="1" t="s">
        <v>5525</v>
      </c>
      <c r="P4339" s="5">
        <f>XLOOKUP(R4339, classification!C:C, classification!B:B, "Not Found")</f>
      </c>
      <c r="Q4339" s="1" t="s">
        <v>5514</v>
      </c>
      <c r="R4339" s="2"/>
      <c r="S4339" s="2"/>
      <c r="T4339" s="2"/>
      <c r="U4339" s="2"/>
    </row>
    <row x14ac:dyDescent="0.25" r="4340" customHeight="1" ht="17.25">
      <c r="A4340" s="7">
        <v>4339</v>
      </c>
      <c r="B4340" s="1" t="s">
        <v>9638</v>
      </c>
      <c r="C4340" s="5">
        <f>CONCATENATE("PD", TEXT(A4340, "1000000"))</f>
      </c>
      <c r="D4340" s="7">
        <v>1</v>
      </c>
      <c r="E4340" s="5">
        <f>XLOOKUP(G4340, item_category!C:C, item_category!B:B, "Not Found")</f>
      </c>
      <c r="F4340" s="1" t="s">
        <v>5514</v>
      </c>
      <c r="G4340" s="5">
        <f>XLOOKUP(I4340, drug!B:B, drug!A:A, "Not Found")</f>
      </c>
      <c r="H4340" s="1" t="s">
        <v>769</v>
      </c>
      <c r="I4340" s="7">
        <v>250</v>
      </c>
      <c r="J4340" s="5">
        <f>XLOOKUP(L4340, uom!C:C, uom!B:B, "Not Found")</f>
      </c>
      <c r="K4340" s="1" t="s">
        <v>5618</v>
      </c>
      <c r="L4340" s="5">
        <f>XLOOKUP(N4340, uom!C:C, uom!B:B, "Not Found")</f>
      </c>
      <c r="M4340" s="1" t="s">
        <v>5618</v>
      </c>
      <c r="N4340" s="8" t="s">
        <v>5524</v>
      </c>
      <c r="O4340" s="1" t="s">
        <v>5525</v>
      </c>
      <c r="P4340" s="5">
        <f>XLOOKUP(R4340, classification!C:C, classification!B:B, "Not Found")</f>
      </c>
      <c r="Q4340" s="1" t="s">
        <v>5514</v>
      </c>
      <c r="R4340" s="2"/>
      <c r="S4340" s="2"/>
      <c r="T4340" s="2"/>
      <c r="U4340" s="2"/>
    </row>
    <row x14ac:dyDescent="0.25" r="4341" customHeight="1" ht="17.25">
      <c r="A4341" s="7">
        <v>4340</v>
      </c>
      <c r="B4341" s="1" t="s">
        <v>9639</v>
      </c>
      <c r="C4341" s="5">
        <f>CONCATENATE("PD", TEXT(A4341, "1000000"))</f>
      </c>
      <c r="D4341" s="7">
        <v>1</v>
      </c>
      <c r="E4341" s="5">
        <f>XLOOKUP(G4341, item_category!C:C, item_category!B:B, "Not Found")</f>
      </c>
      <c r="F4341" s="1" t="s">
        <v>5514</v>
      </c>
      <c r="G4341" s="5">
        <f>XLOOKUP(I4341, drug!B:B, drug!A:A, "Not Found")</f>
      </c>
      <c r="H4341" s="1" t="s">
        <v>1152</v>
      </c>
      <c r="I4341" s="7">
        <v>1</v>
      </c>
      <c r="J4341" s="5">
        <f>XLOOKUP(L4341, uom!C:C, uom!B:B, "Not Found")</f>
      </c>
      <c r="K4341" s="1" t="s">
        <v>5602</v>
      </c>
      <c r="L4341" s="5">
        <f>XLOOKUP(N4341, uom!C:C, uom!B:B, "Not Found")</f>
      </c>
      <c r="M4341" s="1" t="s">
        <v>5602</v>
      </c>
      <c r="N4341" s="8" t="s">
        <v>5524</v>
      </c>
      <c r="O4341" s="1" t="s">
        <v>5525</v>
      </c>
      <c r="P4341" s="5">
        <f>XLOOKUP(R4341, classification!C:C, classification!B:B, "Not Found")</f>
      </c>
      <c r="Q4341" s="1" t="s">
        <v>5514</v>
      </c>
      <c r="R4341" s="2"/>
      <c r="S4341" s="2"/>
      <c r="T4341" s="2"/>
      <c r="U4341" s="2"/>
    </row>
    <row x14ac:dyDescent="0.25" r="4342" customHeight="1" ht="17.25">
      <c r="A4342" s="10"/>
      <c r="B4342" s="2"/>
      <c r="C4342" s="2"/>
      <c r="D4342" s="10"/>
      <c r="E4342" s="2"/>
      <c r="F4342" s="1"/>
      <c r="G4342" s="5">
        <f>XLOOKUP(I4342, drug!B:B, drug!A:A, "Not Found")</f>
      </c>
      <c r="H4342" s="1"/>
      <c r="I4342" s="10"/>
      <c r="J4342" s="5">
        <f>XLOOKUP(L4342, uom!C:C, uom!B:B, "Not Found")</f>
      </c>
      <c r="K4342" s="1"/>
      <c r="L4342" s="5">
        <f>XLOOKUP(N4342, uom!C:C, uom!B:B, "Not Found")</f>
      </c>
      <c r="M4342" s="1"/>
      <c r="N4342" s="2"/>
      <c r="O4342" s="2"/>
      <c r="P4342" s="5">
        <f>XLOOKUP(R4342, classification!C:C, classification!B:B, "Not Found")</f>
      </c>
      <c r="Q4342" s="1"/>
      <c r="R4342" s="2"/>
      <c r="S4342" s="2"/>
      <c r="T4342" s="2"/>
      <c r="U4342" s="2"/>
    </row>
    <row x14ac:dyDescent="0.25" r="4343" customHeight="1" ht="17.25">
      <c r="A4343" s="10"/>
      <c r="B4343" s="2"/>
      <c r="C4343" s="2"/>
      <c r="D4343" s="10"/>
      <c r="E4343" s="2"/>
      <c r="F4343" s="1"/>
      <c r="G4343" s="5">
        <f>XLOOKUP(I4343, drug!B:B, drug!A:A, "Not Found")</f>
      </c>
      <c r="H4343" s="1"/>
      <c r="I4343" s="10"/>
      <c r="J4343" s="5">
        <f>XLOOKUP(L4343, uom!C:C, uom!B:B, "Not Found")</f>
      </c>
      <c r="K4343" s="1"/>
      <c r="L4343" s="5">
        <f>XLOOKUP(N4343, uom!C:C, uom!B:B, "Not Found")</f>
      </c>
      <c r="M4343" s="1"/>
      <c r="N4343" s="2"/>
      <c r="O4343" s="2"/>
      <c r="P4343" s="5">
        <f>XLOOKUP(R4343, classification!C:C, classification!B:B, "Not Found")</f>
      </c>
      <c r="Q4343" s="1"/>
      <c r="R4343" s="2"/>
      <c r="S4343" s="2"/>
      <c r="T4343" s="2"/>
      <c r="U434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71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2.43357142857143" customWidth="1" bestFit="1"/>
    <col min="2" max="2" style="3" width="29.719285714285714" customWidth="1" bestFit="1"/>
    <col min="3" max="3" style="3" width="47.29071428571429" customWidth="1" bestFit="1"/>
    <col min="4" max="4" style="3" width="65.43357142857143" customWidth="1" bestFit="1"/>
    <col min="5" max="5" style="3" width="24.433571428571426" customWidth="1" bestFit="1"/>
    <col min="6" max="6" style="3" width="36.005" customWidth="1" bestFit="1"/>
    <col min="7" max="7" style="3" width="12.43357142857143" customWidth="1" bestFit="1"/>
    <col min="8" max="8" style="3" width="12.43357142857143" customWidth="1" bestFit="1"/>
    <col min="9" max="9" style="4" width="15.862142857142858" customWidth="1" bestFit="1"/>
    <col min="10" max="10" style="3" width="31.576428571428572" customWidth="1" bestFit="1"/>
    <col min="11" max="11" style="4" width="24.576428571428572" customWidth="1" bestFit="1"/>
    <col min="12" max="12" style="3" width="65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</cols>
  <sheetData>
    <row x14ac:dyDescent="0.25" r="1" customHeight="1" ht="17.25">
      <c r="A1" s="1" t="s">
        <v>0</v>
      </c>
      <c r="B1" s="1" t="s">
        <v>3558</v>
      </c>
      <c r="C1" s="1" t="s">
        <v>3559</v>
      </c>
      <c r="D1" s="1" t="s">
        <v>3560</v>
      </c>
      <c r="E1" s="1" t="s">
        <v>3561</v>
      </c>
      <c r="F1" s="1" t="s">
        <v>3562</v>
      </c>
      <c r="G1" s="1" t="s">
        <v>3563</v>
      </c>
      <c r="H1" s="1" t="s">
        <v>3564</v>
      </c>
      <c r="I1" s="1" t="s">
        <v>3565</v>
      </c>
      <c r="J1" s="1" t="s">
        <v>3566</v>
      </c>
      <c r="K1" s="1" t="s">
        <v>3567</v>
      </c>
      <c r="L1" s="1" t="s">
        <v>3568</v>
      </c>
      <c r="M1" s="1" t="s">
        <v>3569</v>
      </c>
      <c r="N1" s="1" t="s">
        <v>7</v>
      </c>
      <c r="O1" s="1" t="s">
        <v>8</v>
      </c>
      <c r="P1" s="1" t="s">
        <v>9</v>
      </c>
      <c r="Q1" s="1" t="s">
        <v>10</v>
      </c>
    </row>
    <row x14ac:dyDescent="0.25" r="2" customHeight="1" ht="17.25">
      <c r="A2" s="1" t="s">
        <v>3570</v>
      </c>
      <c r="B2" s="1" t="s">
        <v>12</v>
      </c>
      <c r="C2" s="1" t="s">
        <v>3571</v>
      </c>
      <c r="D2" s="1" t="s">
        <v>13</v>
      </c>
      <c r="E2" s="1" t="s">
        <v>3572</v>
      </c>
      <c r="F2" s="1" t="s">
        <v>3573</v>
      </c>
      <c r="G2" s="1" t="s">
        <v>3574</v>
      </c>
      <c r="H2" s="2"/>
      <c r="I2" s="5">
        <f>XLOOKUP(K2, pharmaceutical_index!B:B, pharmaceutical_index!A:A, "Not Found")</f>
      </c>
      <c r="J2" s="1" t="s">
        <v>12</v>
      </c>
      <c r="K2" s="1" t="s">
        <v>12</v>
      </c>
      <c r="L2" s="1" t="s">
        <v>13</v>
      </c>
      <c r="M2" s="1" t="s">
        <v>12</v>
      </c>
      <c r="N2" s="2"/>
      <c r="O2" s="2"/>
      <c r="P2" s="2"/>
      <c r="Q2" s="2"/>
    </row>
    <row x14ac:dyDescent="0.25" r="3" customHeight="1" ht="17.25">
      <c r="A3" s="1" t="s">
        <v>3575</v>
      </c>
      <c r="B3" s="1" t="s">
        <v>19</v>
      </c>
      <c r="C3" s="1" t="s">
        <v>3576</v>
      </c>
      <c r="D3" s="1" t="s">
        <v>20</v>
      </c>
      <c r="E3" s="1" t="s">
        <v>3572</v>
      </c>
      <c r="F3" s="1" t="s">
        <v>3573</v>
      </c>
      <c r="G3" s="1" t="s">
        <v>3574</v>
      </c>
      <c r="H3" s="2"/>
      <c r="I3" s="5">
        <f>XLOOKUP(K3, pharmaceutical_index!B:B, pharmaceutical_index!A:A, "Not Found")</f>
      </c>
      <c r="J3" s="1" t="s">
        <v>3577</v>
      </c>
      <c r="K3" s="1" t="s">
        <v>19</v>
      </c>
      <c r="L3" s="1" t="s">
        <v>20</v>
      </c>
      <c r="M3" s="1" t="s">
        <v>3578</v>
      </c>
      <c r="N3" s="2"/>
      <c r="O3" s="2"/>
      <c r="P3" s="2"/>
      <c r="Q3" s="2"/>
    </row>
    <row x14ac:dyDescent="0.25" r="4" customHeight="1" ht="17.25">
      <c r="A4" s="1" t="s">
        <v>3579</v>
      </c>
      <c r="B4" s="1" t="s">
        <v>22</v>
      </c>
      <c r="C4" s="1" t="s">
        <v>3571</v>
      </c>
      <c r="D4" s="1" t="s">
        <v>23</v>
      </c>
      <c r="E4" s="1" t="s">
        <v>3572</v>
      </c>
      <c r="F4" s="1" t="s">
        <v>3573</v>
      </c>
      <c r="G4" s="1" t="s">
        <v>3574</v>
      </c>
      <c r="H4" s="2"/>
      <c r="I4" s="5">
        <f>XLOOKUP(K4, pharmaceutical_index!B:B, pharmaceutical_index!A:A, "Not Found")</f>
      </c>
      <c r="J4" s="1" t="s">
        <v>3580</v>
      </c>
      <c r="K4" s="1" t="s">
        <v>22</v>
      </c>
      <c r="L4" s="1" t="s">
        <v>23</v>
      </c>
      <c r="M4" s="1" t="s">
        <v>3581</v>
      </c>
      <c r="N4" s="2"/>
      <c r="O4" s="2"/>
      <c r="P4" s="2"/>
      <c r="Q4" s="2"/>
    </row>
    <row x14ac:dyDescent="0.25" r="5" customHeight="1" ht="17.25">
      <c r="A5" s="1" t="s">
        <v>3582</v>
      </c>
      <c r="B5" s="1" t="s">
        <v>25</v>
      </c>
      <c r="C5" s="1" t="s">
        <v>3583</v>
      </c>
      <c r="D5" s="1" t="s">
        <v>20</v>
      </c>
      <c r="E5" s="1" t="s">
        <v>3572</v>
      </c>
      <c r="F5" s="1" t="s">
        <v>3573</v>
      </c>
      <c r="G5" s="1" t="s">
        <v>3574</v>
      </c>
      <c r="H5" s="2"/>
      <c r="I5" s="5">
        <f>XLOOKUP(K5, pharmaceutical_index!B:B, pharmaceutical_index!A:A, "Not Found")</f>
      </c>
      <c r="J5" s="1" t="s">
        <v>25</v>
      </c>
      <c r="K5" s="1" t="s">
        <v>25</v>
      </c>
      <c r="L5" s="1" t="s">
        <v>20</v>
      </c>
      <c r="M5" s="1" t="s">
        <v>25</v>
      </c>
      <c r="N5" s="2"/>
      <c r="O5" s="2"/>
      <c r="P5" s="2"/>
      <c r="Q5" s="2"/>
    </row>
    <row x14ac:dyDescent="0.25" r="6" customHeight="1" ht="17.25">
      <c r="A6" s="1" t="s">
        <v>3584</v>
      </c>
      <c r="B6" s="1" t="s">
        <v>27</v>
      </c>
      <c r="C6" s="1" t="s">
        <v>3585</v>
      </c>
      <c r="D6" s="1" t="s">
        <v>20</v>
      </c>
      <c r="E6" s="1" t="s">
        <v>3572</v>
      </c>
      <c r="F6" s="1" t="s">
        <v>3573</v>
      </c>
      <c r="G6" s="1" t="s">
        <v>3574</v>
      </c>
      <c r="H6" s="2"/>
      <c r="I6" s="5">
        <f>XLOOKUP(K6, pharmaceutical_index!B:B, pharmaceutical_index!A:A, "Not Found")</f>
      </c>
      <c r="J6" s="1" t="s">
        <v>27</v>
      </c>
      <c r="K6" s="1" t="s">
        <v>27</v>
      </c>
      <c r="L6" s="1" t="s">
        <v>20</v>
      </c>
      <c r="M6" s="1" t="s">
        <v>27</v>
      </c>
      <c r="N6" s="2"/>
      <c r="O6" s="2"/>
      <c r="P6" s="2"/>
      <c r="Q6" s="2"/>
    </row>
    <row x14ac:dyDescent="0.25" r="7" customHeight="1" ht="17.25">
      <c r="A7" s="1" t="s">
        <v>3586</v>
      </c>
      <c r="B7" s="1" t="s">
        <v>29</v>
      </c>
      <c r="C7" s="1" t="s">
        <v>3587</v>
      </c>
      <c r="D7" s="1" t="s">
        <v>30</v>
      </c>
      <c r="E7" s="1" t="s">
        <v>3572</v>
      </c>
      <c r="F7" s="1" t="s">
        <v>3573</v>
      </c>
      <c r="G7" s="1" t="s">
        <v>3574</v>
      </c>
      <c r="H7" s="2"/>
      <c r="I7" s="5">
        <f>XLOOKUP(K7, pharmaceutical_index!B:B, pharmaceutical_index!A:A, "Not Found")</f>
      </c>
      <c r="J7" s="1" t="s">
        <v>29</v>
      </c>
      <c r="K7" s="1" t="s">
        <v>29</v>
      </c>
      <c r="L7" s="1" t="s">
        <v>30</v>
      </c>
      <c r="M7" s="1" t="s">
        <v>29</v>
      </c>
      <c r="N7" s="2"/>
      <c r="O7" s="2"/>
      <c r="P7" s="2"/>
      <c r="Q7" s="2"/>
    </row>
    <row x14ac:dyDescent="0.25" r="8" customHeight="1" ht="17.25">
      <c r="A8" s="1" t="s">
        <v>3588</v>
      </c>
      <c r="B8" s="1" t="s">
        <v>32</v>
      </c>
      <c r="C8" s="1" t="s">
        <v>3589</v>
      </c>
      <c r="D8" s="1" t="s">
        <v>33</v>
      </c>
      <c r="E8" s="1" t="s">
        <v>3572</v>
      </c>
      <c r="F8" s="1" t="s">
        <v>3573</v>
      </c>
      <c r="G8" s="1" t="s">
        <v>3574</v>
      </c>
      <c r="H8" s="2"/>
      <c r="I8" s="5">
        <f>XLOOKUP(K8, pharmaceutical_index!B:B, pharmaceutical_index!A:A, "Not Found")</f>
      </c>
      <c r="J8" s="1" t="s">
        <v>32</v>
      </c>
      <c r="K8" s="1" t="s">
        <v>32</v>
      </c>
      <c r="L8" s="1" t="s">
        <v>33</v>
      </c>
      <c r="M8" s="1" t="s">
        <v>32</v>
      </c>
      <c r="N8" s="2"/>
      <c r="O8" s="2"/>
      <c r="P8" s="2"/>
      <c r="Q8" s="2"/>
    </row>
    <row x14ac:dyDescent="0.25" r="9" customHeight="1" ht="17.25">
      <c r="A9" s="1" t="s">
        <v>3590</v>
      </c>
      <c r="B9" s="1" t="s">
        <v>35</v>
      </c>
      <c r="C9" s="1" t="s">
        <v>3571</v>
      </c>
      <c r="D9" s="1" t="s">
        <v>36</v>
      </c>
      <c r="E9" s="1" t="s">
        <v>3572</v>
      </c>
      <c r="F9" s="1" t="s">
        <v>3573</v>
      </c>
      <c r="G9" s="1" t="s">
        <v>3574</v>
      </c>
      <c r="H9" s="2"/>
      <c r="I9" s="5">
        <f>XLOOKUP(K9, pharmaceutical_index!B:B, pharmaceutical_index!A:A, "Not Found")</f>
      </c>
      <c r="J9" s="1" t="s">
        <v>35</v>
      </c>
      <c r="K9" s="1" t="s">
        <v>35</v>
      </c>
      <c r="L9" s="1" t="s">
        <v>36</v>
      </c>
      <c r="M9" s="1" t="s">
        <v>35</v>
      </c>
      <c r="N9" s="2"/>
      <c r="O9" s="2"/>
      <c r="P9" s="2"/>
      <c r="Q9" s="2"/>
    </row>
    <row x14ac:dyDescent="0.25" r="10" customHeight="1" ht="17.25">
      <c r="A10" s="1" t="s">
        <v>3591</v>
      </c>
      <c r="B10" s="1" t="s">
        <v>38</v>
      </c>
      <c r="C10" s="1" t="s">
        <v>3583</v>
      </c>
      <c r="D10" s="1" t="s">
        <v>20</v>
      </c>
      <c r="E10" s="1" t="s">
        <v>3572</v>
      </c>
      <c r="F10" s="1" t="s">
        <v>3573</v>
      </c>
      <c r="G10" s="1" t="s">
        <v>3574</v>
      </c>
      <c r="H10" s="2"/>
      <c r="I10" s="5">
        <f>XLOOKUP(K10, pharmaceutical_index!B:B, pharmaceutical_index!A:A, "Not Found")</f>
      </c>
      <c r="J10" s="1" t="s">
        <v>38</v>
      </c>
      <c r="K10" s="1" t="s">
        <v>38</v>
      </c>
      <c r="L10" s="1" t="s">
        <v>20</v>
      </c>
      <c r="M10" s="1" t="s">
        <v>38</v>
      </c>
      <c r="N10" s="2"/>
      <c r="O10" s="2"/>
      <c r="P10" s="2"/>
      <c r="Q10" s="2"/>
    </row>
    <row x14ac:dyDescent="0.25" r="11" customHeight="1" ht="17.25">
      <c r="A11" s="1" t="s">
        <v>3592</v>
      </c>
      <c r="B11" s="1" t="s">
        <v>40</v>
      </c>
      <c r="C11" s="1" t="s">
        <v>3583</v>
      </c>
      <c r="D11" s="1" t="s">
        <v>20</v>
      </c>
      <c r="E11" s="1" t="s">
        <v>3572</v>
      </c>
      <c r="F11" s="1" t="s">
        <v>3573</v>
      </c>
      <c r="G11" s="1" t="s">
        <v>3574</v>
      </c>
      <c r="H11" s="2"/>
      <c r="I11" s="5">
        <f>XLOOKUP(K11, pharmaceutical_index!B:B, pharmaceutical_index!A:A, "Not Found")</f>
      </c>
      <c r="J11" s="1" t="s">
        <v>40</v>
      </c>
      <c r="K11" s="1" t="s">
        <v>40</v>
      </c>
      <c r="L11" s="1" t="s">
        <v>20</v>
      </c>
      <c r="M11" s="1" t="s">
        <v>40</v>
      </c>
      <c r="N11" s="2"/>
      <c r="O11" s="2"/>
      <c r="P11" s="2"/>
      <c r="Q11" s="2"/>
    </row>
    <row x14ac:dyDescent="0.25" r="12" customHeight="1" ht="17.25">
      <c r="A12" s="1" t="s">
        <v>3593</v>
      </c>
      <c r="B12" s="1" t="s">
        <v>42</v>
      </c>
      <c r="C12" s="1" t="s">
        <v>3571</v>
      </c>
      <c r="D12" s="1" t="s">
        <v>43</v>
      </c>
      <c r="E12" s="1" t="s">
        <v>3572</v>
      </c>
      <c r="F12" s="1" t="s">
        <v>3573</v>
      </c>
      <c r="G12" s="1" t="s">
        <v>3574</v>
      </c>
      <c r="H12" s="2"/>
      <c r="I12" s="5">
        <f>XLOOKUP(K12, pharmaceutical_index!B:B, pharmaceutical_index!A:A, "Not Found")</f>
      </c>
      <c r="J12" s="1" t="s">
        <v>42</v>
      </c>
      <c r="K12" s="1" t="s">
        <v>42</v>
      </c>
      <c r="L12" s="1" t="s">
        <v>43</v>
      </c>
      <c r="M12" s="1" t="s">
        <v>42</v>
      </c>
      <c r="N12" s="2"/>
      <c r="O12" s="2"/>
      <c r="P12" s="2"/>
      <c r="Q12" s="2"/>
    </row>
    <row x14ac:dyDescent="0.25" r="13" customHeight="1" ht="17.25">
      <c r="A13" s="1" t="s">
        <v>3594</v>
      </c>
      <c r="B13" s="1" t="s">
        <v>45</v>
      </c>
      <c r="C13" s="1" t="s">
        <v>3595</v>
      </c>
      <c r="D13" s="1" t="s">
        <v>20</v>
      </c>
      <c r="E13" s="1" t="s">
        <v>3572</v>
      </c>
      <c r="F13" s="1" t="s">
        <v>3573</v>
      </c>
      <c r="G13" s="1" t="s">
        <v>3574</v>
      </c>
      <c r="H13" s="2"/>
      <c r="I13" s="5">
        <f>XLOOKUP(K13, pharmaceutical_index!B:B, pharmaceutical_index!A:A, "Not Found")</f>
      </c>
      <c r="J13" s="1" t="s">
        <v>45</v>
      </c>
      <c r="K13" s="1" t="s">
        <v>45</v>
      </c>
      <c r="L13" s="1" t="s">
        <v>20</v>
      </c>
      <c r="M13" s="1" t="s">
        <v>45</v>
      </c>
      <c r="N13" s="2"/>
      <c r="O13" s="2"/>
      <c r="P13" s="2"/>
      <c r="Q13" s="2"/>
    </row>
    <row x14ac:dyDescent="0.25" r="14" customHeight="1" ht="17.25">
      <c r="A14" s="1" t="s">
        <v>3596</v>
      </c>
      <c r="B14" s="1" t="s">
        <v>47</v>
      </c>
      <c r="C14" s="1" t="s">
        <v>3597</v>
      </c>
      <c r="D14" s="1" t="s">
        <v>48</v>
      </c>
      <c r="E14" s="1" t="s">
        <v>3572</v>
      </c>
      <c r="F14" s="1" t="s">
        <v>3573</v>
      </c>
      <c r="G14" s="1" t="s">
        <v>3574</v>
      </c>
      <c r="H14" s="2"/>
      <c r="I14" s="5">
        <f>XLOOKUP(K14, pharmaceutical_index!B:B, pharmaceutical_index!A:A, "Not Found")</f>
      </c>
      <c r="J14" s="1" t="s">
        <v>47</v>
      </c>
      <c r="K14" s="1" t="s">
        <v>47</v>
      </c>
      <c r="L14" s="1" t="s">
        <v>48</v>
      </c>
      <c r="M14" s="1" t="s">
        <v>47</v>
      </c>
      <c r="N14" s="2"/>
      <c r="O14" s="2"/>
      <c r="P14" s="2"/>
      <c r="Q14" s="2"/>
    </row>
    <row x14ac:dyDescent="0.25" r="15" customHeight="1" ht="17.25">
      <c r="A15" s="1" t="s">
        <v>3598</v>
      </c>
      <c r="B15" s="1" t="s">
        <v>50</v>
      </c>
      <c r="C15" s="1" t="s">
        <v>3589</v>
      </c>
      <c r="D15" s="1" t="s">
        <v>51</v>
      </c>
      <c r="E15" s="1" t="s">
        <v>3572</v>
      </c>
      <c r="F15" s="1" t="s">
        <v>3573</v>
      </c>
      <c r="G15" s="1" t="s">
        <v>3574</v>
      </c>
      <c r="H15" s="2"/>
      <c r="I15" s="5">
        <f>XLOOKUP(K15, pharmaceutical_index!B:B, pharmaceutical_index!A:A, "Not Found")</f>
      </c>
      <c r="J15" s="1" t="s">
        <v>50</v>
      </c>
      <c r="K15" s="1" t="s">
        <v>50</v>
      </c>
      <c r="L15" s="1" t="s">
        <v>51</v>
      </c>
      <c r="M15" s="1" t="s">
        <v>50</v>
      </c>
      <c r="N15" s="2"/>
      <c r="O15" s="2"/>
      <c r="P15" s="2"/>
      <c r="Q15" s="2"/>
    </row>
    <row x14ac:dyDescent="0.25" r="16" customHeight="1" ht="17.25">
      <c r="A16" s="1" t="s">
        <v>3599</v>
      </c>
      <c r="B16" s="1" t="s">
        <v>53</v>
      </c>
      <c r="C16" s="1" t="s">
        <v>3600</v>
      </c>
      <c r="D16" s="1" t="s">
        <v>54</v>
      </c>
      <c r="E16" s="1" t="s">
        <v>3572</v>
      </c>
      <c r="F16" s="1" t="s">
        <v>3573</v>
      </c>
      <c r="G16" s="1" t="s">
        <v>3574</v>
      </c>
      <c r="H16" s="2"/>
      <c r="I16" s="5">
        <f>XLOOKUP(K16, pharmaceutical_index!B:B, pharmaceutical_index!A:A, "Not Found")</f>
      </c>
      <c r="J16" s="1" t="s">
        <v>53</v>
      </c>
      <c r="K16" s="1" t="s">
        <v>53</v>
      </c>
      <c r="L16" s="1" t="s">
        <v>54</v>
      </c>
      <c r="M16" s="1" t="s">
        <v>53</v>
      </c>
      <c r="N16" s="2"/>
      <c r="O16" s="2"/>
      <c r="P16" s="2"/>
      <c r="Q16" s="2"/>
    </row>
    <row x14ac:dyDescent="0.25" r="17" customHeight="1" ht="17.25">
      <c r="A17" s="1" t="s">
        <v>3601</v>
      </c>
      <c r="B17" s="1" t="s">
        <v>56</v>
      </c>
      <c r="C17" s="1" t="s">
        <v>3576</v>
      </c>
      <c r="D17" s="1" t="s">
        <v>20</v>
      </c>
      <c r="E17" s="1" t="s">
        <v>3572</v>
      </c>
      <c r="F17" s="1" t="s">
        <v>3573</v>
      </c>
      <c r="G17" s="1" t="s">
        <v>3574</v>
      </c>
      <c r="H17" s="2"/>
      <c r="I17" s="5">
        <f>XLOOKUP(K17, pharmaceutical_index!B:B, pharmaceutical_index!A:A, "Not Found")</f>
      </c>
      <c r="J17" s="1" t="s">
        <v>3602</v>
      </c>
      <c r="K17" s="1" t="s">
        <v>56</v>
      </c>
      <c r="L17" s="1" t="s">
        <v>20</v>
      </c>
      <c r="M17" s="1" t="s">
        <v>3603</v>
      </c>
      <c r="N17" s="2"/>
      <c r="O17" s="2"/>
      <c r="P17" s="2"/>
      <c r="Q17" s="2"/>
    </row>
    <row x14ac:dyDescent="0.25" r="18" customHeight="1" ht="17.25">
      <c r="A18" s="1" t="s">
        <v>3604</v>
      </c>
      <c r="B18" s="1" t="s">
        <v>58</v>
      </c>
      <c r="C18" s="1" t="s">
        <v>3571</v>
      </c>
      <c r="D18" s="1" t="s">
        <v>59</v>
      </c>
      <c r="E18" s="1" t="s">
        <v>3572</v>
      </c>
      <c r="F18" s="1" t="s">
        <v>3573</v>
      </c>
      <c r="G18" s="1" t="s">
        <v>3574</v>
      </c>
      <c r="H18" s="2"/>
      <c r="I18" s="5">
        <f>XLOOKUP(K18, pharmaceutical_index!B:B, pharmaceutical_index!A:A, "Not Found")</f>
      </c>
      <c r="J18" s="1" t="s">
        <v>58</v>
      </c>
      <c r="K18" s="1" t="s">
        <v>58</v>
      </c>
      <c r="L18" s="1" t="s">
        <v>59</v>
      </c>
      <c r="M18" s="1" t="s">
        <v>58</v>
      </c>
      <c r="N18" s="2"/>
      <c r="O18" s="2"/>
      <c r="P18" s="2"/>
      <c r="Q18" s="2"/>
    </row>
    <row x14ac:dyDescent="0.25" r="19" customHeight="1" ht="17.25">
      <c r="A19" s="1" t="s">
        <v>3605</v>
      </c>
      <c r="B19" s="1" t="s">
        <v>61</v>
      </c>
      <c r="C19" s="1" t="s">
        <v>3589</v>
      </c>
      <c r="D19" s="1" t="s">
        <v>62</v>
      </c>
      <c r="E19" s="1" t="s">
        <v>3572</v>
      </c>
      <c r="F19" s="1" t="s">
        <v>3573</v>
      </c>
      <c r="G19" s="1" t="s">
        <v>3574</v>
      </c>
      <c r="H19" s="2"/>
      <c r="I19" s="5">
        <f>XLOOKUP(K19, pharmaceutical_index!B:B, pharmaceutical_index!A:A, "Not Found")</f>
      </c>
      <c r="J19" s="1" t="s">
        <v>61</v>
      </c>
      <c r="K19" s="1" t="s">
        <v>61</v>
      </c>
      <c r="L19" s="1" t="s">
        <v>62</v>
      </c>
      <c r="M19" s="1" t="s">
        <v>61</v>
      </c>
      <c r="N19" s="2"/>
      <c r="O19" s="2"/>
      <c r="P19" s="2"/>
      <c r="Q19" s="2"/>
    </row>
    <row x14ac:dyDescent="0.25" r="20" customHeight="1" ht="17.25">
      <c r="A20" s="1" t="s">
        <v>3606</v>
      </c>
      <c r="B20" s="1" t="s">
        <v>64</v>
      </c>
      <c r="C20" s="1" t="s">
        <v>3600</v>
      </c>
      <c r="D20" s="1" t="s">
        <v>65</v>
      </c>
      <c r="E20" s="1" t="s">
        <v>3572</v>
      </c>
      <c r="F20" s="1" t="s">
        <v>3573</v>
      </c>
      <c r="G20" s="1" t="s">
        <v>3574</v>
      </c>
      <c r="H20" s="2"/>
      <c r="I20" s="5">
        <f>XLOOKUP(K20, pharmaceutical_index!B:B, pharmaceutical_index!A:A, "Not Found")</f>
      </c>
      <c r="J20" s="1" t="s">
        <v>64</v>
      </c>
      <c r="K20" s="1" t="s">
        <v>64</v>
      </c>
      <c r="L20" s="1" t="s">
        <v>65</v>
      </c>
      <c r="M20" s="1" t="s">
        <v>64</v>
      </c>
      <c r="N20" s="2"/>
      <c r="O20" s="2"/>
      <c r="P20" s="2"/>
      <c r="Q20" s="2"/>
    </row>
    <row x14ac:dyDescent="0.25" r="21" customHeight="1" ht="17.25">
      <c r="A21" s="1" t="s">
        <v>3607</v>
      </c>
      <c r="B21" s="1" t="s">
        <v>67</v>
      </c>
      <c r="C21" s="1" t="s">
        <v>3608</v>
      </c>
      <c r="D21" s="1" t="s">
        <v>68</v>
      </c>
      <c r="E21" s="1" t="s">
        <v>3572</v>
      </c>
      <c r="F21" s="1" t="s">
        <v>3573</v>
      </c>
      <c r="G21" s="1" t="s">
        <v>3574</v>
      </c>
      <c r="H21" s="2"/>
      <c r="I21" s="5">
        <f>XLOOKUP(K21, pharmaceutical_index!B:B, pharmaceutical_index!A:A, "Not Found")</f>
      </c>
      <c r="J21" s="1" t="s">
        <v>67</v>
      </c>
      <c r="K21" s="1" t="s">
        <v>67</v>
      </c>
      <c r="L21" s="1" t="s">
        <v>68</v>
      </c>
      <c r="M21" s="1" t="s">
        <v>67</v>
      </c>
      <c r="N21" s="2"/>
      <c r="O21" s="2"/>
      <c r="P21" s="2"/>
      <c r="Q21" s="2"/>
    </row>
    <row x14ac:dyDescent="0.25" r="22" customHeight="1" ht="17.25">
      <c r="A22" s="1" t="s">
        <v>3609</v>
      </c>
      <c r="B22" s="1" t="s">
        <v>70</v>
      </c>
      <c r="C22" s="1" t="s">
        <v>3610</v>
      </c>
      <c r="D22" s="1" t="s">
        <v>71</v>
      </c>
      <c r="E22" s="1" t="s">
        <v>3572</v>
      </c>
      <c r="F22" s="1" t="s">
        <v>3573</v>
      </c>
      <c r="G22" s="1" t="s">
        <v>3574</v>
      </c>
      <c r="H22" s="2"/>
      <c r="I22" s="5">
        <f>XLOOKUP(K22, pharmaceutical_index!B:B, pharmaceutical_index!A:A, "Not Found")</f>
      </c>
      <c r="J22" s="1" t="s">
        <v>70</v>
      </c>
      <c r="K22" s="1" t="s">
        <v>70</v>
      </c>
      <c r="L22" s="1" t="s">
        <v>71</v>
      </c>
      <c r="M22" s="1" t="s">
        <v>70</v>
      </c>
      <c r="N22" s="2"/>
      <c r="O22" s="2"/>
      <c r="P22" s="2"/>
      <c r="Q22" s="2"/>
    </row>
    <row x14ac:dyDescent="0.25" r="23" customHeight="1" ht="17.25">
      <c r="A23" s="1" t="s">
        <v>3611</v>
      </c>
      <c r="B23" s="1" t="s">
        <v>73</v>
      </c>
      <c r="C23" s="1" t="s">
        <v>3589</v>
      </c>
      <c r="D23" s="1" t="s">
        <v>62</v>
      </c>
      <c r="E23" s="1" t="s">
        <v>3572</v>
      </c>
      <c r="F23" s="1" t="s">
        <v>3573</v>
      </c>
      <c r="G23" s="1" t="s">
        <v>3574</v>
      </c>
      <c r="H23" s="2"/>
      <c r="I23" s="5">
        <f>XLOOKUP(K23, pharmaceutical_index!B:B, pharmaceutical_index!A:A, "Not Found")</f>
      </c>
      <c r="J23" s="1" t="s">
        <v>73</v>
      </c>
      <c r="K23" s="1" t="s">
        <v>73</v>
      </c>
      <c r="L23" s="1" t="s">
        <v>62</v>
      </c>
      <c r="M23" s="1" t="s">
        <v>73</v>
      </c>
      <c r="N23" s="2"/>
      <c r="O23" s="2"/>
      <c r="P23" s="2"/>
      <c r="Q23" s="2"/>
    </row>
    <row x14ac:dyDescent="0.25" r="24" customHeight="1" ht="17.25">
      <c r="A24" s="1" t="s">
        <v>3612</v>
      </c>
      <c r="B24" s="1" t="s">
        <v>75</v>
      </c>
      <c r="C24" s="1" t="s">
        <v>3571</v>
      </c>
      <c r="D24" s="1" t="s">
        <v>76</v>
      </c>
      <c r="E24" s="1" t="s">
        <v>3572</v>
      </c>
      <c r="F24" s="1" t="s">
        <v>3573</v>
      </c>
      <c r="G24" s="1" t="s">
        <v>3574</v>
      </c>
      <c r="H24" s="2"/>
      <c r="I24" s="5">
        <f>XLOOKUP(K24, pharmaceutical_index!B:B, pharmaceutical_index!A:A, "Not Found")</f>
      </c>
      <c r="J24" s="1" t="s">
        <v>75</v>
      </c>
      <c r="K24" s="1" t="s">
        <v>75</v>
      </c>
      <c r="L24" s="1" t="s">
        <v>76</v>
      </c>
      <c r="M24" s="1" t="s">
        <v>75</v>
      </c>
      <c r="N24" s="2"/>
      <c r="O24" s="2"/>
      <c r="P24" s="2"/>
      <c r="Q24" s="2"/>
    </row>
    <row x14ac:dyDescent="0.25" r="25" customHeight="1" ht="17.25">
      <c r="A25" s="1" t="s">
        <v>3613</v>
      </c>
      <c r="B25" s="1" t="s">
        <v>78</v>
      </c>
      <c r="C25" s="1" t="s">
        <v>3571</v>
      </c>
      <c r="D25" s="1" t="s">
        <v>76</v>
      </c>
      <c r="E25" s="1" t="s">
        <v>3572</v>
      </c>
      <c r="F25" s="1" t="s">
        <v>3573</v>
      </c>
      <c r="G25" s="1" t="s">
        <v>3574</v>
      </c>
      <c r="H25" s="2"/>
      <c r="I25" s="5">
        <f>XLOOKUP(K25, pharmaceutical_index!B:B, pharmaceutical_index!A:A, "Not Found")</f>
      </c>
      <c r="J25" s="1" t="s">
        <v>3614</v>
      </c>
      <c r="K25" s="1" t="s">
        <v>78</v>
      </c>
      <c r="L25" s="1" t="s">
        <v>76</v>
      </c>
      <c r="M25" s="1" t="s">
        <v>3615</v>
      </c>
      <c r="N25" s="2"/>
      <c r="O25" s="2"/>
      <c r="P25" s="2"/>
      <c r="Q25" s="2"/>
    </row>
    <row x14ac:dyDescent="0.25" r="26" customHeight="1" ht="17.25">
      <c r="A26" s="1" t="s">
        <v>3616</v>
      </c>
      <c r="B26" s="1" t="s">
        <v>80</v>
      </c>
      <c r="C26" s="1" t="s">
        <v>3571</v>
      </c>
      <c r="D26" s="1" t="s">
        <v>81</v>
      </c>
      <c r="E26" s="1" t="s">
        <v>3572</v>
      </c>
      <c r="F26" s="1" t="s">
        <v>3573</v>
      </c>
      <c r="G26" s="1" t="s">
        <v>3574</v>
      </c>
      <c r="H26" s="2"/>
      <c r="I26" s="5">
        <f>XLOOKUP(K26, pharmaceutical_index!B:B, pharmaceutical_index!A:A, "Not Found")</f>
      </c>
      <c r="J26" s="1" t="s">
        <v>80</v>
      </c>
      <c r="K26" s="1" t="s">
        <v>80</v>
      </c>
      <c r="L26" s="1" t="s">
        <v>81</v>
      </c>
      <c r="M26" s="1" t="s">
        <v>80</v>
      </c>
      <c r="N26" s="2"/>
      <c r="O26" s="2"/>
      <c r="P26" s="2"/>
      <c r="Q26" s="2"/>
    </row>
    <row x14ac:dyDescent="0.25" r="27" customHeight="1" ht="17.25">
      <c r="A27" s="1" t="s">
        <v>3617</v>
      </c>
      <c r="B27" s="1" t="s">
        <v>83</v>
      </c>
      <c r="C27" s="1" t="s">
        <v>3571</v>
      </c>
      <c r="D27" s="1" t="s">
        <v>76</v>
      </c>
      <c r="E27" s="1" t="s">
        <v>3572</v>
      </c>
      <c r="F27" s="1" t="s">
        <v>3573</v>
      </c>
      <c r="G27" s="1" t="s">
        <v>3574</v>
      </c>
      <c r="H27" s="2"/>
      <c r="I27" s="5">
        <f>XLOOKUP(K27, pharmaceutical_index!B:B, pharmaceutical_index!A:A, "Not Found")</f>
      </c>
      <c r="J27" s="1" t="s">
        <v>83</v>
      </c>
      <c r="K27" s="1" t="s">
        <v>83</v>
      </c>
      <c r="L27" s="1" t="s">
        <v>76</v>
      </c>
      <c r="M27" s="1" t="s">
        <v>83</v>
      </c>
      <c r="N27" s="2"/>
      <c r="O27" s="2"/>
      <c r="P27" s="2"/>
      <c r="Q27" s="2"/>
    </row>
    <row x14ac:dyDescent="0.25" r="28" customHeight="1" ht="17.25">
      <c r="A28" s="1" t="s">
        <v>3618</v>
      </c>
      <c r="B28" s="1" t="s">
        <v>85</v>
      </c>
      <c r="C28" s="1" t="s">
        <v>3619</v>
      </c>
      <c r="D28" s="1" t="s">
        <v>86</v>
      </c>
      <c r="E28" s="1" t="s">
        <v>3572</v>
      </c>
      <c r="F28" s="1" t="s">
        <v>3573</v>
      </c>
      <c r="G28" s="1" t="s">
        <v>3574</v>
      </c>
      <c r="H28" s="2"/>
      <c r="I28" s="5">
        <f>XLOOKUP(K28, pharmaceutical_index!B:B, pharmaceutical_index!A:A, "Not Found")</f>
      </c>
      <c r="J28" s="1" t="s">
        <v>85</v>
      </c>
      <c r="K28" s="1" t="s">
        <v>85</v>
      </c>
      <c r="L28" s="1" t="s">
        <v>86</v>
      </c>
      <c r="M28" s="1" t="s">
        <v>85</v>
      </c>
      <c r="N28" s="2"/>
      <c r="O28" s="2"/>
      <c r="P28" s="2"/>
      <c r="Q28" s="2"/>
    </row>
    <row x14ac:dyDescent="0.25" r="29" customHeight="1" ht="17.25">
      <c r="A29" s="1" t="s">
        <v>3620</v>
      </c>
      <c r="B29" s="1" t="s">
        <v>88</v>
      </c>
      <c r="C29" s="1" t="s">
        <v>3619</v>
      </c>
      <c r="D29" s="1" t="s">
        <v>86</v>
      </c>
      <c r="E29" s="1" t="s">
        <v>3572</v>
      </c>
      <c r="F29" s="1" t="s">
        <v>3573</v>
      </c>
      <c r="G29" s="1" t="s">
        <v>3574</v>
      </c>
      <c r="H29" s="2"/>
      <c r="I29" s="5">
        <f>XLOOKUP(K29, pharmaceutical_index!B:B, pharmaceutical_index!A:A, "Not Found")</f>
      </c>
      <c r="J29" s="1" t="s">
        <v>88</v>
      </c>
      <c r="K29" s="1" t="s">
        <v>88</v>
      </c>
      <c r="L29" s="1" t="s">
        <v>86</v>
      </c>
      <c r="M29" s="1" t="s">
        <v>88</v>
      </c>
      <c r="N29" s="2"/>
      <c r="O29" s="2"/>
      <c r="P29" s="2"/>
      <c r="Q29" s="2"/>
    </row>
    <row x14ac:dyDescent="0.25" r="30" customHeight="1" ht="17.25">
      <c r="A30" s="1" t="s">
        <v>3621</v>
      </c>
      <c r="B30" s="1" t="s">
        <v>90</v>
      </c>
      <c r="C30" s="1" t="s">
        <v>3622</v>
      </c>
      <c r="D30" s="1" t="s">
        <v>91</v>
      </c>
      <c r="E30" s="1" t="s">
        <v>3572</v>
      </c>
      <c r="F30" s="1" t="s">
        <v>3573</v>
      </c>
      <c r="G30" s="1" t="s">
        <v>3574</v>
      </c>
      <c r="H30" s="2"/>
      <c r="I30" s="5">
        <f>XLOOKUP(K30, pharmaceutical_index!B:B, pharmaceutical_index!A:A, "Not Found")</f>
      </c>
      <c r="J30" s="1" t="s">
        <v>90</v>
      </c>
      <c r="K30" s="1" t="s">
        <v>90</v>
      </c>
      <c r="L30" s="1" t="s">
        <v>91</v>
      </c>
      <c r="M30" s="1" t="s">
        <v>90</v>
      </c>
      <c r="N30" s="2"/>
      <c r="O30" s="2"/>
      <c r="P30" s="2"/>
      <c r="Q30" s="2"/>
    </row>
    <row x14ac:dyDescent="0.25" r="31" customHeight="1" ht="17.25">
      <c r="A31" s="1" t="s">
        <v>3623</v>
      </c>
      <c r="B31" s="1" t="s">
        <v>93</v>
      </c>
      <c r="C31" s="1" t="s">
        <v>3576</v>
      </c>
      <c r="D31" s="1" t="s">
        <v>20</v>
      </c>
      <c r="E31" s="1" t="s">
        <v>3572</v>
      </c>
      <c r="F31" s="1" t="s">
        <v>3573</v>
      </c>
      <c r="G31" s="1" t="s">
        <v>3574</v>
      </c>
      <c r="H31" s="2"/>
      <c r="I31" s="5">
        <f>XLOOKUP(K31, pharmaceutical_index!B:B, pharmaceutical_index!A:A, "Not Found")</f>
      </c>
      <c r="J31" s="1" t="s">
        <v>3624</v>
      </c>
      <c r="K31" s="1" t="s">
        <v>93</v>
      </c>
      <c r="L31" s="1" t="s">
        <v>20</v>
      </c>
      <c r="M31" s="1" t="s">
        <v>3625</v>
      </c>
      <c r="N31" s="2"/>
      <c r="O31" s="2"/>
      <c r="P31" s="2"/>
      <c r="Q31" s="2"/>
    </row>
    <row x14ac:dyDescent="0.25" r="32" customHeight="1" ht="17.25">
      <c r="A32" s="1" t="s">
        <v>3626</v>
      </c>
      <c r="B32" s="1" t="s">
        <v>95</v>
      </c>
      <c r="C32" s="1" t="s">
        <v>3571</v>
      </c>
      <c r="D32" s="1" t="s">
        <v>96</v>
      </c>
      <c r="E32" s="1" t="s">
        <v>3572</v>
      </c>
      <c r="F32" s="1" t="s">
        <v>3573</v>
      </c>
      <c r="G32" s="1" t="s">
        <v>3574</v>
      </c>
      <c r="H32" s="2"/>
      <c r="I32" s="5">
        <f>XLOOKUP(K32, pharmaceutical_index!B:B, pharmaceutical_index!A:A, "Not Found")</f>
      </c>
      <c r="J32" s="1" t="s">
        <v>95</v>
      </c>
      <c r="K32" s="1" t="s">
        <v>95</v>
      </c>
      <c r="L32" s="1" t="s">
        <v>96</v>
      </c>
      <c r="M32" s="1" t="s">
        <v>95</v>
      </c>
      <c r="N32" s="2"/>
      <c r="O32" s="2"/>
      <c r="P32" s="2"/>
      <c r="Q32" s="2"/>
    </row>
    <row x14ac:dyDescent="0.25" r="33" customHeight="1" ht="17.25">
      <c r="A33" s="1" t="s">
        <v>3627</v>
      </c>
      <c r="B33" s="1" t="s">
        <v>98</v>
      </c>
      <c r="C33" s="1" t="s">
        <v>3571</v>
      </c>
      <c r="D33" s="1" t="s">
        <v>96</v>
      </c>
      <c r="E33" s="1" t="s">
        <v>3572</v>
      </c>
      <c r="F33" s="1" t="s">
        <v>3573</v>
      </c>
      <c r="G33" s="1" t="s">
        <v>3574</v>
      </c>
      <c r="H33" s="2"/>
      <c r="I33" s="5">
        <f>XLOOKUP(K33, pharmaceutical_index!B:B, pharmaceutical_index!A:A, "Not Found")</f>
      </c>
      <c r="J33" s="1" t="s">
        <v>3628</v>
      </c>
      <c r="K33" s="1" t="s">
        <v>98</v>
      </c>
      <c r="L33" s="1" t="s">
        <v>96</v>
      </c>
      <c r="M33" s="1" t="s">
        <v>3629</v>
      </c>
      <c r="N33" s="2"/>
      <c r="O33" s="2"/>
      <c r="P33" s="2"/>
      <c r="Q33" s="2"/>
    </row>
    <row x14ac:dyDescent="0.25" r="34" customHeight="1" ht="17.25">
      <c r="A34" s="1" t="s">
        <v>3630</v>
      </c>
      <c r="B34" s="1" t="s">
        <v>100</v>
      </c>
      <c r="C34" s="1" t="s">
        <v>3571</v>
      </c>
      <c r="D34" s="1" t="s">
        <v>96</v>
      </c>
      <c r="E34" s="1" t="s">
        <v>3572</v>
      </c>
      <c r="F34" s="1" t="s">
        <v>3573</v>
      </c>
      <c r="G34" s="1" t="s">
        <v>3574</v>
      </c>
      <c r="H34" s="2"/>
      <c r="I34" s="5">
        <f>XLOOKUP(K34, pharmaceutical_index!B:B, pharmaceutical_index!A:A, "Not Found")</f>
      </c>
      <c r="J34" s="1" t="s">
        <v>100</v>
      </c>
      <c r="K34" s="1" t="s">
        <v>100</v>
      </c>
      <c r="L34" s="1" t="s">
        <v>96</v>
      </c>
      <c r="M34" s="1" t="s">
        <v>100</v>
      </c>
      <c r="N34" s="2"/>
      <c r="O34" s="2"/>
      <c r="P34" s="2"/>
      <c r="Q34" s="2"/>
    </row>
    <row x14ac:dyDescent="0.25" r="35" customHeight="1" ht="17.25">
      <c r="A35" s="1" t="s">
        <v>3631</v>
      </c>
      <c r="B35" s="1" t="s">
        <v>102</v>
      </c>
      <c r="C35" s="1" t="s">
        <v>3571</v>
      </c>
      <c r="D35" s="1" t="s">
        <v>96</v>
      </c>
      <c r="E35" s="1" t="s">
        <v>3572</v>
      </c>
      <c r="F35" s="1" t="s">
        <v>3573</v>
      </c>
      <c r="G35" s="1" t="s">
        <v>3574</v>
      </c>
      <c r="H35" s="2"/>
      <c r="I35" s="5">
        <f>XLOOKUP(K35, pharmaceutical_index!B:B, pharmaceutical_index!A:A, "Not Found")</f>
      </c>
      <c r="J35" s="1" t="s">
        <v>3632</v>
      </c>
      <c r="K35" s="1" t="s">
        <v>102</v>
      </c>
      <c r="L35" s="1" t="s">
        <v>96</v>
      </c>
      <c r="M35" s="1" t="s">
        <v>3633</v>
      </c>
      <c r="N35" s="2"/>
      <c r="O35" s="2"/>
      <c r="P35" s="2"/>
      <c r="Q35" s="2"/>
    </row>
    <row x14ac:dyDescent="0.25" r="36" customHeight="1" ht="17.25">
      <c r="A36" s="1" t="s">
        <v>3634</v>
      </c>
      <c r="B36" s="1" t="s">
        <v>104</v>
      </c>
      <c r="C36" s="1" t="s">
        <v>3635</v>
      </c>
      <c r="D36" s="1" t="s">
        <v>20</v>
      </c>
      <c r="E36" s="1" t="s">
        <v>3572</v>
      </c>
      <c r="F36" s="1" t="s">
        <v>3573</v>
      </c>
      <c r="G36" s="1" t="s">
        <v>3574</v>
      </c>
      <c r="H36" s="2"/>
      <c r="I36" s="5">
        <f>XLOOKUP(K36, pharmaceutical_index!B:B, pharmaceutical_index!A:A, "Not Found")</f>
      </c>
      <c r="J36" s="1" t="s">
        <v>104</v>
      </c>
      <c r="K36" s="1" t="s">
        <v>104</v>
      </c>
      <c r="L36" s="1" t="s">
        <v>20</v>
      </c>
      <c r="M36" s="1" t="s">
        <v>104</v>
      </c>
      <c r="N36" s="2"/>
      <c r="O36" s="2"/>
      <c r="P36" s="2"/>
      <c r="Q36" s="2"/>
    </row>
    <row x14ac:dyDescent="0.25" r="37" customHeight="1" ht="17.25">
      <c r="A37" s="1" t="s">
        <v>3636</v>
      </c>
      <c r="B37" s="1" t="s">
        <v>106</v>
      </c>
      <c r="C37" s="1" t="s">
        <v>3583</v>
      </c>
      <c r="D37" s="1" t="s">
        <v>20</v>
      </c>
      <c r="E37" s="1" t="s">
        <v>3572</v>
      </c>
      <c r="F37" s="1" t="s">
        <v>3573</v>
      </c>
      <c r="G37" s="1" t="s">
        <v>3574</v>
      </c>
      <c r="H37" s="2"/>
      <c r="I37" s="5">
        <f>XLOOKUP(K37, pharmaceutical_index!B:B, pharmaceutical_index!A:A, "Not Found")</f>
      </c>
      <c r="J37" s="1" t="s">
        <v>106</v>
      </c>
      <c r="K37" s="1" t="s">
        <v>106</v>
      </c>
      <c r="L37" s="1" t="s">
        <v>20</v>
      </c>
      <c r="M37" s="1" t="s">
        <v>106</v>
      </c>
      <c r="N37" s="2"/>
      <c r="O37" s="2"/>
      <c r="P37" s="2"/>
      <c r="Q37" s="2"/>
    </row>
    <row x14ac:dyDescent="0.25" r="38" customHeight="1" ht="17.25">
      <c r="A38" s="1" t="s">
        <v>3637</v>
      </c>
      <c r="B38" s="1" t="s">
        <v>108</v>
      </c>
      <c r="C38" s="1" t="s">
        <v>3589</v>
      </c>
      <c r="D38" s="1" t="s">
        <v>62</v>
      </c>
      <c r="E38" s="1" t="s">
        <v>3572</v>
      </c>
      <c r="F38" s="1" t="s">
        <v>3573</v>
      </c>
      <c r="G38" s="1" t="s">
        <v>3574</v>
      </c>
      <c r="H38" s="2"/>
      <c r="I38" s="5">
        <f>XLOOKUP(K38, pharmaceutical_index!B:B, pharmaceutical_index!A:A, "Not Found")</f>
      </c>
      <c r="J38" s="1" t="s">
        <v>108</v>
      </c>
      <c r="K38" s="1" t="s">
        <v>108</v>
      </c>
      <c r="L38" s="1" t="s">
        <v>62</v>
      </c>
      <c r="M38" s="1" t="s">
        <v>108</v>
      </c>
      <c r="N38" s="2"/>
      <c r="O38" s="2"/>
      <c r="P38" s="2"/>
      <c r="Q38" s="2"/>
    </row>
    <row x14ac:dyDescent="0.25" r="39" customHeight="1" ht="17.25">
      <c r="A39" s="1" t="s">
        <v>3638</v>
      </c>
      <c r="B39" s="1" t="s">
        <v>110</v>
      </c>
      <c r="C39" s="1" t="s">
        <v>3589</v>
      </c>
      <c r="D39" s="1" t="s">
        <v>111</v>
      </c>
      <c r="E39" s="1" t="s">
        <v>3572</v>
      </c>
      <c r="F39" s="1" t="s">
        <v>3573</v>
      </c>
      <c r="G39" s="1" t="s">
        <v>3574</v>
      </c>
      <c r="H39" s="2"/>
      <c r="I39" s="5">
        <f>XLOOKUP(K39, pharmaceutical_index!B:B, pharmaceutical_index!A:A, "Not Found")</f>
      </c>
      <c r="J39" s="1" t="s">
        <v>110</v>
      </c>
      <c r="K39" s="1" t="s">
        <v>110</v>
      </c>
      <c r="L39" s="1" t="s">
        <v>111</v>
      </c>
      <c r="M39" s="1" t="s">
        <v>110</v>
      </c>
      <c r="N39" s="2"/>
      <c r="O39" s="2"/>
      <c r="P39" s="2"/>
      <c r="Q39" s="2"/>
    </row>
    <row x14ac:dyDescent="0.25" r="40" customHeight="1" ht="17.25">
      <c r="A40" s="1" t="s">
        <v>3639</v>
      </c>
      <c r="B40" s="1" t="s">
        <v>113</v>
      </c>
      <c r="C40" s="1" t="s">
        <v>3571</v>
      </c>
      <c r="D40" s="1" t="s">
        <v>114</v>
      </c>
      <c r="E40" s="1" t="s">
        <v>3572</v>
      </c>
      <c r="F40" s="1" t="s">
        <v>3573</v>
      </c>
      <c r="G40" s="1" t="s">
        <v>3574</v>
      </c>
      <c r="H40" s="2"/>
      <c r="I40" s="5">
        <f>XLOOKUP(K40, pharmaceutical_index!B:B, pharmaceutical_index!A:A, "Not Found")</f>
      </c>
      <c r="J40" s="1" t="s">
        <v>3640</v>
      </c>
      <c r="K40" s="1" t="s">
        <v>113</v>
      </c>
      <c r="L40" s="1" t="s">
        <v>114</v>
      </c>
      <c r="M40" s="1" t="s">
        <v>3641</v>
      </c>
      <c r="N40" s="2"/>
      <c r="O40" s="2"/>
      <c r="P40" s="2"/>
      <c r="Q40" s="2"/>
    </row>
    <row x14ac:dyDescent="0.25" r="41" customHeight="1" ht="17.25">
      <c r="A41" s="1" t="s">
        <v>3642</v>
      </c>
      <c r="B41" s="1" t="s">
        <v>116</v>
      </c>
      <c r="C41" s="1" t="s">
        <v>3643</v>
      </c>
      <c r="D41" s="1" t="s">
        <v>117</v>
      </c>
      <c r="E41" s="1" t="s">
        <v>3572</v>
      </c>
      <c r="F41" s="1" t="s">
        <v>3573</v>
      </c>
      <c r="G41" s="1" t="s">
        <v>3574</v>
      </c>
      <c r="H41" s="2"/>
      <c r="I41" s="5">
        <f>XLOOKUP(K41, pharmaceutical_index!B:B, pharmaceutical_index!A:A, "Not Found")</f>
      </c>
      <c r="J41" s="1" t="s">
        <v>116</v>
      </c>
      <c r="K41" s="1" t="s">
        <v>116</v>
      </c>
      <c r="L41" s="1" t="s">
        <v>117</v>
      </c>
      <c r="M41" s="1" t="s">
        <v>116</v>
      </c>
      <c r="N41" s="2"/>
      <c r="O41" s="2"/>
      <c r="P41" s="2"/>
      <c r="Q41" s="2"/>
    </row>
    <row x14ac:dyDescent="0.25" r="42" customHeight="1" ht="17.25">
      <c r="A42" s="1" t="s">
        <v>3644</v>
      </c>
      <c r="B42" s="1" t="s">
        <v>119</v>
      </c>
      <c r="C42" s="1" t="s">
        <v>3643</v>
      </c>
      <c r="D42" s="1" t="s">
        <v>120</v>
      </c>
      <c r="E42" s="1" t="s">
        <v>3572</v>
      </c>
      <c r="F42" s="1" t="s">
        <v>3573</v>
      </c>
      <c r="G42" s="1" t="s">
        <v>3574</v>
      </c>
      <c r="H42" s="2"/>
      <c r="I42" s="5">
        <f>XLOOKUP(K42, pharmaceutical_index!B:B, pharmaceutical_index!A:A, "Not Found")</f>
      </c>
      <c r="J42" s="1" t="s">
        <v>119</v>
      </c>
      <c r="K42" s="1" t="s">
        <v>119</v>
      </c>
      <c r="L42" s="1" t="s">
        <v>120</v>
      </c>
      <c r="M42" s="1" t="s">
        <v>119</v>
      </c>
      <c r="N42" s="2"/>
      <c r="O42" s="2"/>
      <c r="P42" s="2"/>
      <c r="Q42" s="2"/>
    </row>
    <row x14ac:dyDescent="0.25" r="43" customHeight="1" ht="17.25">
      <c r="A43" s="1" t="s">
        <v>3645</v>
      </c>
      <c r="B43" s="1" t="s">
        <v>122</v>
      </c>
      <c r="C43" s="1" t="s">
        <v>3583</v>
      </c>
      <c r="D43" s="1" t="s">
        <v>20</v>
      </c>
      <c r="E43" s="1" t="s">
        <v>3572</v>
      </c>
      <c r="F43" s="1" t="s">
        <v>3573</v>
      </c>
      <c r="G43" s="1" t="s">
        <v>3574</v>
      </c>
      <c r="H43" s="2"/>
      <c r="I43" s="5">
        <f>XLOOKUP(K43, pharmaceutical_index!B:B, pharmaceutical_index!A:A, "Not Found")</f>
      </c>
      <c r="J43" s="1" t="s">
        <v>122</v>
      </c>
      <c r="K43" s="1" t="s">
        <v>122</v>
      </c>
      <c r="L43" s="1" t="s">
        <v>20</v>
      </c>
      <c r="M43" s="1" t="s">
        <v>122</v>
      </c>
      <c r="N43" s="2"/>
      <c r="O43" s="2"/>
      <c r="P43" s="2"/>
      <c r="Q43" s="2"/>
    </row>
    <row x14ac:dyDescent="0.25" r="44" customHeight="1" ht="17.25">
      <c r="A44" s="1" t="s">
        <v>3646</v>
      </c>
      <c r="B44" s="1" t="s">
        <v>124</v>
      </c>
      <c r="C44" s="1" t="s">
        <v>3647</v>
      </c>
      <c r="D44" s="1" t="s">
        <v>125</v>
      </c>
      <c r="E44" s="1" t="s">
        <v>3572</v>
      </c>
      <c r="F44" s="1" t="s">
        <v>3573</v>
      </c>
      <c r="G44" s="1" t="s">
        <v>3574</v>
      </c>
      <c r="H44" s="2"/>
      <c r="I44" s="5">
        <f>XLOOKUP(K44, pharmaceutical_index!B:B, pharmaceutical_index!A:A, "Not Found")</f>
      </c>
      <c r="J44" s="1" t="s">
        <v>124</v>
      </c>
      <c r="K44" s="1" t="s">
        <v>124</v>
      </c>
      <c r="L44" s="1" t="s">
        <v>125</v>
      </c>
      <c r="M44" s="1" t="s">
        <v>124</v>
      </c>
      <c r="N44" s="2"/>
      <c r="O44" s="2"/>
      <c r="P44" s="2"/>
      <c r="Q44" s="2"/>
    </row>
    <row x14ac:dyDescent="0.25" r="45" customHeight="1" ht="17.25">
      <c r="A45" s="1" t="s">
        <v>3648</v>
      </c>
      <c r="B45" s="1" t="s">
        <v>127</v>
      </c>
      <c r="C45" s="1" t="s">
        <v>3649</v>
      </c>
      <c r="D45" s="1" t="s">
        <v>20</v>
      </c>
      <c r="E45" s="1" t="s">
        <v>3572</v>
      </c>
      <c r="F45" s="1" t="s">
        <v>3573</v>
      </c>
      <c r="G45" s="1" t="s">
        <v>3574</v>
      </c>
      <c r="H45" s="2"/>
      <c r="I45" s="5">
        <f>XLOOKUP(K45, pharmaceutical_index!B:B, pharmaceutical_index!A:A, "Not Found")</f>
      </c>
      <c r="J45" s="1" t="s">
        <v>127</v>
      </c>
      <c r="K45" s="1" t="s">
        <v>127</v>
      </c>
      <c r="L45" s="1" t="s">
        <v>20</v>
      </c>
      <c r="M45" s="1" t="s">
        <v>127</v>
      </c>
      <c r="N45" s="2"/>
      <c r="O45" s="2"/>
      <c r="P45" s="2"/>
      <c r="Q45" s="2"/>
    </row>
    <row x14ac:dyDescent="0.25" r="46" customHeight="1" ht="17.25">
      <c r="A46" s="1" t="s">
        <v>3650</v>
      </c>
      <c r="B46" s="1" t="s">
        <v>129</v>
      </c>
      <c r="C46" s="1" t="s">
        <v>3651</v>
      </c>
      <c r="D46" s="1" t="s">
        <v>130</v>
      </c>
      <c r="E46" s="1" t="s">
        <v>3572</v>
      </c>
      <c r="F46" s="1" t="s">
        <v>3573</v>
      </c>
      <c r="G46" s="1" t="s">
        <v>3574</v>
      </c>
      <c r="H46" s="2"/>
      <c r="I46" s="5">
        <f>XLOOKUP(K46, pharmaceutical_index!B:B, pharmaceutical_index!A:A, "Not Found")</f>
      </c>
      <c r="J46" s="1" t="s">
        <v>129</v>
      </c>
      <c r="K46" s="1" t="s">
        <v>129</v>
      </c>
      <c r="L46" s="1" t="s">
        <v>130</v>
      </c>
      <c r="M46" s="1" t="s">
        <v>129</v>
      </c>
      <c r="N46" s="2"/>
      <c r="O46" s="2"/>
      <c r="P46" s="2"/>
      <c r="Q46" s="2"/>
    </row>
    <row x14ac:dyDescent="0.25" r="47" customHeight="1" ht="17.25">
      <c r="A47" s="1" t="s">
        <v>3652</v>
      </c>
      <c r="B47" s="1" t="s">
        <v>132</v>
      </c>
      <c r="C47" s="1" t="s">
        <v>3653</v>
      </c>
      <c r="D47" s="1" t="s">
        <v>20</v>
      </c>
      <c r="E47" s="1" t="s">
        <v>3572</v>
      </c>
      <c r="F47" s="1" t="s">
        <v>3573</v>
      </c>
      <c r="G47" s="1" t="s">
        <v>3574</v>
      </c>
      <c r="H47" s="2"/>
      <c r="I47" s="5">
        <f>XLOOKUP(K47, pharmaceutical_index!B:B, pharmaceutical_index!A:A, "Not Found")</f>
      </c>
      <c r="J47" s="1" t="s">
        <v>132</v>
      </c>
      <c r="K47" s="1" t="s">
        <v>132</v>
      </c>
      <c r="L47" s="1" t="s">
        <v>20</v>
      </c>
      <c r="M47" s="1" t="s">
        <v>132</v>
      </c>
      <c r="N47" s="2"/>
      <c r="O47" s="2"/>
      <c r="P47" s="2"/>
      <c r="Q47" s="2"/>
    </row>
    <row x14ac:dyDescent="0.25" r="48" customHeight="1" ht="17.25">
      <c r="A48" s="1" t="s">
        <v>3654</v>
      </c>
      <c r="B48" s="1" t="s">
        <v>134</v>
      </c>
      <c r="C48" s="1" t="s">
        <v>3622</v>
      </c>
      <c r="D48" s="1" t="s">
        <v>135</v>
      </c>
      <c r="E48" s="1" t="s">
        <v>3572</v>
      </c>
      <c r="F48" s="1" t="s">
        <v>3573</v>
      </c>
      <c r="G48" s="1" t="s">
        <v>3574</v>
      </c>
      <c r="H48" s="2"/>
      <c r="I48" s="5">
        <f>XLOOKUP(K48, pharmaceutical_index!B:B, pharmaceutical_index!A:A, "Not Found")</f>
      </c>
      <c r="J48" s="1" t="s">
        <v>134</v>
      </c>
      <c r="K48" s="1" t="s">
        <v>134</v>
      </c>
      <c r="L48" s="1" t="s">
        <v>135</v>
      </c>
      <c r="M48" s="1" t="s">
        <v>134</v>
      </c>
      <c r="N48" s="2"/>
      <c r="O48" s="2"/>
      <c r="P48" s="2"/>
      <c r="Q48" s="2"/>
    </row>
    <row x14ac:dyDescent="0.25" r="49" customHeight="1" ht="17.25">
      <c r="A49" s="1" t="s">
        <v>3655</v>
      </c>
      <c r="B49" s="1" t="s">
        <v>137</v>
      </c>
      <c r="C49" s="1" t="s">
        <v>3656</v>
      </c>
      <c r="D49" s="1" t="s">
        <v>20</v>
      </c>
      <c r="E49" s="1" t="s">
        <v>3572</v>
      </c>
      <c r="F49" s="1" t="s">
        <v>3573</v>
      </c>
      <c r="G49" s="1" t="s">
        <v>3574</v>
      </c>
      <c r="H49" s="2"/>
      <c r="I49" s="5">
        <f>XLOOKUP(K49, pharmaceutical_index!B:B, pharmaceutical_index!A:A, "Not Found")</f>
      </c>
      <c r="J49" s="1" t="s">
        <v>137</v>
      </c>
      <c r="K49" s="1" t="s">
        <v>137</v>
      </c>
      <c r="L49" s="1" t="s">
        <v>20</v>
      </c>
      <c r="M49" s="1" t="s">
        <v>137</v>
      </c>
      <c r="N49" s="2"/>
      <c r="O49" s="2"/>
      <c r="P49" s="2"/>
      <c r="Q49" s="2"/>
    </row>
    <row x14ac:dyDescent="0.25" r="50" customHeight="1" ht="17.25">
      <c r="A50" s="1" t="s">
        <v>3657</v>
      </c>
      <c r="B50" s="1" t="s">
        <v>139</v>
      </c>
      <c r="C50" s="1" t="s">
        <v>3571</v>
      </c>
      <c r="D50" s="1" t="s">
        <v>59</v>
      </c>
      <c r="E50" s="1" t="s">
        <v>3572</v>
      </c>
      <c r="F50" s="1" t="s">
        <v>3573</v>
      </c>
      <c r="G50" s="1" t="s">
        <v>3574</v>
      </c>
      <c r="H50" s="2"/>
      <c r="I50" s="5">
        <f>XLOOKUP(K50, pharmaceutical_index!B:B, pharmaceutical_index!A:A, "Not Found")</f>
      </c>
      <c r="J50" s="1" t="s">
        <v>139</v>
      </c>
      <c r="K50" s="1" t="s">
        <v>139</v>
      </c>
      <c r="L50" s="1" t="s">
        <v>59</v>
      </c>
      <c r="M50" s="1" t="s">
        <v>139</v>
      </c>
      <c r="N50" s="2"/>
      <c r="O50" s="2"/>
      <c r="P50" s="2"/>
      <c r="Q50" s="2"/>
    </row>
    <row x14ac:dyDescent="0.25" r="51" customHeight="1" ht="17.25">
      <c r="A51" s="1" t="s">
        <v>3658</v>
      </c>
      <c r="B51" s="1" t="s">
        <v>141</v>
      </c>
      <c r="C51" s="1" t="s">
        <v>3589</v>
      </c>
      <c r="D51" s="1" t="s">
        <v>62</v>
      </c>
      <c r="E51" s="1" t="s">
        <v>3572</v>
      </c>
      <c r="F51" s="1" t="s">
        <v>3573</v>
      </c>
      <c r="G51" s="1" t="s">
        <v>3574</v>
      </c>
      <c r="H51" s="2"/>
      <c r="I51" s="5">
        <f>XLOOKUP(K51, pharmaceutical_index!B:B, pharmaceutical_index!A:A, "Not Found")</f>
      </c>
      <c r="J51" s="1" t="s">
        <v>141</v>
      </c>
      <c r="K51" s="1" t="s">
        <v>141</v>
      </c>
      <c r="L51" s="1" t="s">
        <v>62</v>
      </c>
      <c r="M51" s="1" t="s">
        <v>141</v>
      </c>
      <c r="N51" s="2"/>
      <c r="O51" s="2"/>
      <c r="P51" s="2"/>
      <c r="Q51" s="2"/>
    </row>
    <row x14ac:dyDescent="0.25" r="52" customHeight="1" ht="17.25">
      <c r="A52" s="1" t="s">
        <v>3659</v>
      </c>
      <c r="B52" s="1" t="s">
        <v>143</v>
      </c>
      <c r="C52" s="1" t="s">
        <v>3571</v>
      </c>
      <c r="D52" s="1" t="s">
        <v>76</v>
      </c>
      <c r="E52" s="1" t="s">
        <v>3572</v>
      </c>
      <c r="F52" s="1" t="s">
        <v>3573</v>
      </c>
      <c r="G52" s="1" t="s">
        <v>3574</v>
      </c>
      <c r="H52" s="2"/>
      <c r="I52" s="5">
        <f>XLOOKUP(K52, pharmaceutical_index!B:B, pharmaceutical_index!A:A, "Not Found")</f>
      </c>
      <c r="J52" s="1" t="s">
        <v>143</v>
      </c>
      <c r="K52" s="1" t="s">
        <v>143</v>
      </c>
      <c r="L52" s="1" t="s">
        <v>76</v>
      </c>
      <c r="M52" s="1" t="s">
        <v>143</v>
      </c>
      <c r="N52" s="2"/>
      <c r="O52" s="2"/>
      <c r="P52" s="2"/>
      <c r="Q52" s="2"/>
    </row>
    <row x14ac:dyDescent="0.25" r="53" customHeight="1" ht="17.25">
      <c r="A53" s="1" t="s">
        <v>3660</v>
      </c>
      <c r="B53" s="1" t="s">
        <v>145</v>
      </c>
      <c r="C53" s="1" t="s">
        <v>3610</v>
      </c>
      <c r="D53" s="1" t="s">
        <v>146</v>
      </c>
      <c r="E53" s="1" t="s">
        <v>3572</v>
      </c>
      <c r="F53" s="1" t="s">
        <v>3573</v>
      </c>
      <c r="G53" s="1" t="s">
        <v>3574</v>
      </c>
      <c r="H53" s="2"/>
      <c r="I53" s="5">
        <f>XLOOKUP(K53, pharmaceutical_index!B:B, pharmaceutical_index!A:A, "Not Found")</f>
      </c>
      <c r="J53" s="1" t="s">
        <v>145</v>
      </c>
      <c r="K53" s="1" t="s">
        <v>145</v>
      </c>
      <c r="L53" s="1" t="s">
        <v>146</v>
      </c>
      <c r="M53" s="1" t="s">
        <v>145</v>
      </c>
      <c r="N53" s="2"/>
      <c r="O53" s="2"/>
      <c r="P53" s="2"/>
      <c r="Q53" s="2"/>
    </row>
    <row x14ac:dyDescent="0.25" r="54" customHeight="1" ht="17.25">
      <c r="A54" s="1" t="s">
        <v>3661</v>
      </c>
      <c r="B54" s="1" t="s">
        <v>148</v>
      </c>
      <c r="C54" s="1" t="s">
        <v>3600</v>
      </c>
      <c r="D54" s="1" t="s">
        <v>149</v>
      </c>
      <c r="E54" s="1" t="s">
        <v>3572</v>
      </c>
      <c r="F54" s="1" t="s">
        <v>3573</v>
      </c>
      <c r="G54" s="1" t="s">
        <v>3574</v>
      </c>
      <c r="H54" s="2"/>
      <c r="I54" s="5">
        <f>XLOOKUP(K54, pharmaceutical_index!B:B, pharmaceutical_index!A:A, "Not Found")</f>
      </c>
      <c r="J54" s="1" t="s">
        <v>3662</v>
      </c>
      <c r="K54" s="1" t="s">
        <v>148</v>
      </c>
      <c r="L54" s="1" t="s">
        <v>149</v>
      </c>
      <c r="M54" s="1" t="s">
        <v>3663</v>
      </c>
      <c r="N54" s="2"/>
      <c r="O54" s="2"/>
      <c r="P54" s="2"/>
      <c r="Q54" s="2"/>
    </row>
    <row x14ac:dyDescent="0.25" r="55" customHeight="1" ht="17.25">
      <c r="A55" s="1" t="s">
        <v>3664</v>
      </c>
      <c r="B55" s="1" t="s">
        <v>151</v>
      </c>
      <c r="C55" s="1" t="s">
        <v>3665</v>
      </c>
      <c r="D55" s="1" t="s">
        <v>20</v>
      </c>
      <c r="E55" s="1" t="s">
        <v>3572</v>
      </c>
      <c r="F55" s="1" t="s">
        <v>3573</v>
      </c>
      <c r="G55" s="1" t="s">
        <v>3574</v>
      </c>
      <c r="H55" s="2"/>
      <c r="I55" s="5">
        <f>XLOOKUP(K55, pharmaceutical_index!B:B, pharmaceutical_index!A:A, "Not Found")</f>
      </c>
      <c r="J55" s="1" t="s">
        <v>151</v>
      </c>
      <c r="K55" s="1" t="s">
        <v>151</v>
      </c>
      <c r="L55" s="1" t="s">
        <v>20</v>
      </c>
      <c r="M55" s="1" t="s">
        <v>151</v>
      </c>
      <c r="N55" s="2"/>
      <c r="O55" s="2"/>
      <c r="P55" s="2"/>
      <c r="Q55" s="2"/>
    </row>
    <row x14ac:dyDescent="0.25" r="56" customHeight="1" ht="17.25">
      <c r="A56" s="1" t="s">
        <v>3666</v>
      </c>
      <c r="B56" s="1" t="s">
        <v>153</v>
      </c>
      <c r="C56" s="1" t="s">
        <v>3600</v>
      </c>
      <c r="D56" s="1" t="s">
        <v>154</v>
      </c>
      <c r="E56" s="1" t="s">
        <v>3572</v>
      </c>
      <c r="F56" s="1" t="s">
        <v>3573</v>
      </c>
      <c r="G56" s="1" t="s">
        <v>3574</v>
      </c>
      <c r="H56" s="2"/>
      <c r="I56" s="5">
        <f>XLOOKUP(K56, pharmaceutical_index!B:B, pharmaceutical_index!A:A, "Not Found")</f>
      </c>
      <c r="J56" s="1" t="s">
        <v>153</v>
      </c>
      <c r="K56" s="1" t="s">
        <v>153</v>
      </c>
      <c r="L56" s="1" t="s">
        <v>154</v>
      </c>
      <c r="M56" s="1" t="s">
        <v>153</v>
      </c>
      <c r="N56" s="2"/>
      <c r="O56" s="2"/>
      <c r="P56" s="2"/>
      <c r="Q56" s="2"/>
    </row>
    <row x14ac:dyDescent="0.25" r="57" customHeight="1" ht="17.25">
      <c r="A57" s="1" t="s">
        <v>3667</v>
      </c>
      <c r="B57" s="1" t="s">
        <v>156</v>
      </c>
      <c r="C57" s="1" t="s">
        <v>3600</v>
      </c>
      <c r="D57" s="1" t="s">
        <v>157</v>
      </c>
      <c r="E57" s="1" t="s">
        <v>3572</v>
      </c>
      <c r="F57" s="1" t="s">
        <v>3573</v>
      </c>
      <c r="G57" s="1" t="s">
        <v>3574</v>
      </c>
      <c r="H57" s="2"/>
      <c r="I57" s="5">
        <f>XLOOKUP(K57, pharmaceutical_index!B:B, pharmaceutical_index!A:A, "Not Found")</f>
      </c>
      <c r="J57" s="1" t="s">
        <v>156</v>
      </c>
      <c r="K57" s="1" t="s">
        <v>156</v>
      </c>
      <c r="L57" s="1" t="s">
        <v>157</v>
      </c>
      <c r="M57" s="1" t="s">
        <v>156</v>
      </c>
      <c r="N57" s="2"/>
      <c r="O57" s="2"/>
      <c r="P57" s="2"/>
      <c r="Q57" s="2"/>
    </row>
    <row x14ac:dyDescent="0.25" r="58" customHeight="1" ht="17.25">
      <c r="A58" s="1" t="s">
        <v>3668</v>
      </c>
      <c r="B58" s="1" t="s">
        <v>159</v>
      </c>
      <c r="C58" s="1" t="s">
        <v>3571</v>
      </c>
      <c r="D58" s="1" t="s">
        <v>76</v>
      </c>
      <c r="E58" s="1" t="s">
        <v>3572</v>
      </c>
      <c r="F58" s="1" t="s">
        <v>3573</v>
      </c>
      <c r="G58" s="1" t="s">
        <v>3574</v>
      </c>
      <c r="H58" s="2"/>
      <c r="I58" s="5">
        <f>XLOOKUP(K58, pharmaceutical_index!B:B, pharmaceutical_index!A:A, "Not Found")</f>
      </c>
      <c r="J58" s="1" t="s">
        <v>159</v>
      </c>
      <c r="K58" s="1" t="s">
        <v>159</v>
      </c>
      <c r="L58" s="1" t="s">
        <v>76</v>
      </c>
      <c r="M58" s="1" t="s">
        <v>159</v>
      </c>
      <c r="N58" s="2"/>
      <c r="O58" s="2"/>
      <c r="P58" s="2"/>
      <c r="Q58" s="2"/>
    </row>
    <row x14ac:dyDescent="0.25" r="59" customHeight="1" ht="17.25">
      <c r="A59" s="1" t="s">
        <v>3669</v>
      </c>
      <c r="B59" s="1" t="s">
        <v>161</v>
      </c>
      <c r="C59" s="1" t="s">
        <v>3600</v>
      </c>
      <c r="D59" s="1" t="s">
        <v>162</v>
      </c>
      <c r="E59" s="1" t="s">
        <v>3572</v>
      </c>
      <c r="F59" s="1" t="s">
        <v>3573</v>
      </c>
      <c r="G59" s="1" t="s">
        <v>3574</v>
      </c>
      <c r="H59" s="2"/>
      <c r="I59" s="5">
        <f>XLOOKUP(K59, pharmaceutical_index!B:B, pharmaceutical_index!A:A, "Not Found")</f>
      </c>
      <c r="J59" s="1" t="s">
        <v>161</v>
      </c>
      <c r="K59" s="1" t="s">
        <v>161</v>
      </c>
      <c r="L59" s="1" t="s">
        <v>162</v>
      </c>
      <c r="M59" s="1" t="s">
        <v>161</v>
      </c>
      <c r="N59" s="2"/>
      <c r="O59" s="2"/>
      <c r="P59" s="2"/>
      <c r="Q59" s="2"/>
    </row>
    <row x14ac:dyDescent="0.25" r="60" customHeight="1" ht="17.25">
      <c r="A60" s="1" t="s">
        <v>3670</v>
      </c>
      <c r="B60" s="1" t="s">
        <v>164</v>
      </c>
      <c r="C60" s="1" t="s">
        <v>3595</v>
      </c>
      <c r="D60" s="1" t="s">
        <v>20</v>
      </c>
      <c r="E60" s="1" t="s">
        <v>3572</v>
      </c>
      <c r="F60" s="1" t="s">
        <v>3573</v>
      </c>
      <c r="G60" s="1" t="s">
        <v>3574</v>
      </c>
      <c r="H60" s="2"/>
      <c r="I60" s="5">
        <f>XLOOKUP(K60, pharmaceutical_index!B:B, pharmaceutical_index!A:A, "Not Found")</f>
      </c>
      <c r="J60" s="1" t="s">
        <v>164</v>
      </c>
      <c r="K60" s="1" t="s">
        <v>164</v>
      </c>
      <c r="L60" s="1" t="s">
        <v>20</v>
      </c>
      <c r="M60" s="1" t="s">
        <v>164</v>
      </c>
      <c r="N60" s="2"/>
      <c r="O60" s="2"/>
      <c r="P60" s="2"/>
      <c r="Q60" s="2"/>
    </row>
    <row x14ac:dyDescent="0.25" r="61" customHeight="1" ht="17.25">
      <c r="A61" s="1" t="s">
        <v>3671</v>
      </c>
      <c r="B61" s="1" t="s">
        <v>166</v>
      </c>
      <c r="C61" s="1" t="s">
        <v>3583</v>
      </c>
      <c r="D61" s="1" t="s">
        <v>20</v>
      </c>
      <c r="E61" s="1" t="s">
        <v>3572</v>
      </c>
      <c r="F61" s="1" t="s">
        <v>3573</v>
      </c>
      <c r="G61" s="1" t="s">
        <v>3574</v>
      </c>
      <c r="H61" s="2"/>
      <c r="I61" s="5">
        <f>XLOOKUP(K61, pharmaceutical_index!B:B, pharmaceutical_index!A:A, "Not Found")</f>
      </c>
      <c r="J61" s="1" t="s">
        <v>166</v>
      </c>
      <c r="K61" s="1" t="s">
        <v>166</v>
      </c>
      <c r="L61" s="1" t="s">
        <v>20</v>
      </c>
      <c r="M61" s="1" t="s">
        <v>166</v>
      </c>
      <c r="N61" s="2"/>
      <c r="O61" s="2"/>
      <c r="P61" s="2"/>
      <c r="Q61" s="2"/>
    </row>
    <row x14ac:dyDescent="0.25" r="62" customHeight="1" ht="17.25">
      <c r="A62" s="1" t="s">
        <v>3672</v>
      </c>
      <c r="B62" s="1" t="s">
        <v>168</v>
      </c>
      <c r="C62" s="1" t="s">
        <v>3583</v>
      </c>
      <c r="D62" s="1" t="s">
        <v>20</v>
      </c>
      <c r="E62" s="1" t="s">
        <v>3572</v>
      </c>
      <c r="F62" s="1" t="s">
        <v>3573</v>
      </c>
      <c r="G62" s="1" t="s">
        <v>3574</v>
      </c>
      <c r="H62" s="2"/>
      <c r="I62" s="5">
        <f>XLOOKUP(K62, pharmaceutical_index!B:B, pharmaceutical_index!A:A, "Not Found")</f>
      </c>
      <c r="J62" s="1" t="s">
        <v>168</v>
      </c>
      <c r="K62" s="1" t="s">
        <v>168</v>
      </c>
      <c r="L62" s="1" t="s">
        <v>20</v>
      </c>
      <c r="M62" s="1" t="s">
        <v>168</v>
      </c>
      <c r="N62" s="2"/>
      <c r="O62" s="2"/>
      <c r="P62" s="2"/>
      <c r="Q62" s="2"/>
    </row>
    <row x14ac:dyDescent="0.25" r="63" customHeight="1" ht="17.25">
      <c r="A63" s="1" t="s">
        <v>3673</v>
      </c>
      <c r="B63" s="1" t="s">
        <v>170</v>
      </c>
      <c r="C63" s="1" t="s">
        <v>3674</v>
      </c>
      <c r="D63" s="1" t="s">
        <v>20</v>
      </c>
      <c r="E63" s="1" t="s">
        <v>3572</v>
      </c>
      <c r="F63" s="1" t="s">
        <v>3573</v>
      </c>
      <c r="G63" s="1" t="s">
        <v>3574</v>
      </c>
      <c r="H63" s="1" t="s">
        <v>3675</v>
      </c>
      <c r="I63" s="5">
        <f>XLOOKUP(K63, pharmaceutical_index!B:B, pharmaceutical_index!A:A, "Not Found")</f>
      </c>
      <c r="J63" s="1" t="s">
        <v>170</v>
      </c>
      <c r="K63" s="1" t="s">
        <v>170</v>
      </c>
      <c r="L63" s="1" t="s">
        <v>20</v>
      </c>
      <c r="M63" s="1" t="s">
        <v>170</v>
      </c>
      <c r="N63" s="2"/>
      <c r="O63" s="2"/>
      <c r="P63" s="2"/>
      <c r="Q63" s="2"/>
    </row>
    <row x14ac:dyDescent="0.25" r="64" customHeight="1" ht="17.25">
      <c r="A64" s="1" t="s">
        <v>3676</v>
      </c>
      <c r="B64" s="1" t="s">
        <v>172</v>
      </c>
      <c r="C64" s="1" t="s">
        <v>3610</v>
      </c>
      <c r="D64" s="1" t="s">
        <v>146</v>
      </c>
      <c r="E64" s="1" t="s">
        <v>3572</v>
      </c>
      <c r="F64" s="1" t="s">
        <v>3573</v>
      </c>
      <c r="G64" s="1" t="s">
        <v>3574</v>
      </c>
      <c r="H64" s="2"/>
      <c r="I64" s="5">
        <f>XLOOKUP(K64, pharmaceutical_index!B:B, pharmaceutical_index!A:A, "Not Found")</f>
      </c>
      <c r="J64" s="1" t="s">
        <v>172</v>
      </c>
      <c r="K64" s="1" t="s">
        <v>172</v>
      </c>
      <c r="L64" s="1" t="s">
        <v>146</v>
      </c>
      <c r="M64" s="1" t="s">
        <v>172</v>
      </c>
      <c r="N64" s="2"/>
      <c r="O64" s="2"/>
      <c r="P64" s="2"/>
      <c r="Q64" s="2"/>
    </row>
    <row x14ac:dyDescent="0.25" r="65" customHeight="1" ht="17.25">
      <c r="A65" s="1" t="s">
        <v>3677</v>
      </c>
      <c r="B65" s="1" t="s">
        <v>174</v>
      </c>
      <c r="C65" s="1" t="s">
        <v>3608</v>
      </c>
      <c r="D65" s="1" t="s">
        <v>175</v>
      </c>
      <c r="E65" s="1" t="s">
        <v>3572</v>
      </c>
      <c r="F65" s="1" t="s">
        <v>3573</v>
      </c>
      <c r="G65" s="1" t="s">
        <v>3574</v>
      </c>
      <c r="H65" s="2"/>
      <c r="I65" s="5">
        <f>XLOOKUP(K65, pharmaceutical_index!B:B, pharmaceutical_index!A:A, "Not Found")</f>
      </c>
      <c r="J65" s="1" t="s">
        <v>174</v>
      </c>
      <c r="K65" s="1" t="s">
        <v>174</v>
      </c>
      <c r="L65" s="1" t="s">
        <v>175</v>
      </c>
      <c r="M65" s="1" t="s">
        <v>174</v>
      </c>
      <c r="N65" s="2"/>
      <c r="O65" s="2"/>
      <c r="P65" s="2"/>
      <c r="Q65" s="2"/>
    </row>
    <row x14ac:dyDescent="0.25" r="66" customHeight="1" ht="17.25">
      <c r="A66" s="1" t="s">
        <v>3678</v>
      </c>
      <c r="B66" s="1" t="s">
        <v>177</v>
      </c>
      <c r="C66" s="1" t="s">
        <v>3583</v>
      </c>
      <c r="D66" s="1" t="s">
        <v>20</v>
      </c>
      <c r="E66" s="1" t="s">
        <v>3572</v>
      </c>
      <c r="F66" s="1" t="s">
        <v>3573</v>
      </c>
      <c r="G66" s="1" t="s">
        <v>3574</v>
      </c>
      <c r="H66" s="2"/>
      <c r="I66" s="5">
        <f>XLOOKUP(K66, pharmaceutical_index!B:B, pharmaceutical_index!A:A, "Not Found")</f>
      </c>
      <c r="J66" s="1" t="s">
        <v>177</v>
      </c>
      <c r="K66" s="1" t="s">
        <v>177</v>
      </c>
      <c r="L66" s="1" t="s">
        <v>20</v>
      </c>
      <c r="M66" s="1" t="s">
        <v>177</v>
      </c>
      <c r="N66" s="2"/>
      <c r="O66" s="2"/>
      <c r="P66" s="2"/>
      <c r="Q66" s="2"/>
    </row>
    <row x14ac:dyDescent="0.25" r="67" customHeight="1" ht="17.25">
      <c r="A67" s="1" t="s">
        <v>3679</v>
      </c>
      <c r="B67" s="1" t="s">
        <v>179</v>
      </c>
      <c r="C67" s="1" t="s">
        <v>3583</v>
      </c>
      <c r="D67" s="1" t="s">
        <v>20</v>
      </c>
      <c r="E67" s="1" t="s">
        <v>3572</v>
      </c>
      <c r="F67" s="1" t="s">
        <v>3573</v>
      </c>
      <c r="G67" s="1" t="s">
        <v>3574</v>
      </c>
      <c r="H67" s="2"/>
      <c r="I67" s="5">
        <f>XLOOKUP(K67, pharmaceutical_index!B:B, pharmaceutical_index!A:A, "Not Found")</f>
      </c>
      <c r="J67" s="1" t="s">
        <v>179</v>
      </c>
      <c r="K67" s="1" t="s">
        <v>179</v>
      </c>
      <c r="L67" s="1" t="s">
        <v>20</v>
      </c>
      <c r="M67" s="1" t="s">
        <v>179</v>
      </c>
      <c r="N67" s="2"/>
      <c r="O67" s="2"/>
      <c r="P67" s="2"/>
      <c r="Q67" s="2"/>
    </row>
    <row x14ac:dyDescent="0.25" r="68" customHeight="1" ht="17.25">
      <c r="A68" s="1" t="s">
        <v>3680</v>
      </c>
      <c r="B68" s="1" t="s">
        <v>181</v>
      </c>
      <c r="C68" s="1" t="s">
        <v>3610</v>
      </c>
      <c r="D68" s="1" t="s">
        <v>182</v>
      </c>
      <c r="E68" s="1" t="s">
        <v>3572</v>
      </c>
      <c r="F68" s="1" t="s">
        <v>3573</v>
      </c>
      <c r="G68" s="1" t="s">
        <v>3574</v>
      </c>
      <c r="H68" s="2"/>
      <c r="I68" s="5">
        <f>XLOOKUP(K68, pharmaceutical_index!B:B, pharmaceutical_index!A:A, "Not Found")</f>
      </c>
      <c r="J68" s="1" t="s">
        <v>181</v>
      </c>
      <c r="K68" s="1" t="s">
        <v>181</v>
      </c>
      <c r="L68" s="1" t="s">
        <v>182</v>
      </c>
      <c r="M68" s="1" t="s">
        <v>181</v>
      </c>
      <c r="N68" s="2"/>
      <c r="O68" s="2"/>
      <c r="P68" s="2"/>
      <c r="Q68" s="2"/>
    </row>
    <row x14ac:dyDescent="0.25" r="69" customHeight="1" ht="17.25">
      <c r="A69" s="1" t="s">
        <v>3681</v>
      </c>
      <c r="B69" s="1" t="s">
        <v>184</v>
      </c>
      <c r="C69" s="1" t="s">
        <v>3682</v>
      </c>
      <c r="D69" s="1" t="s">
        <v>185</v>
      </c>
      <c r="E69" s="1" t="s">
        <v>3572</v>
      </c>
      <c r="F69" s="1" t="s">
        <v>3573</v>
      </c>
      <c r="G69" s="1" t="s">
        <v>3574</v>
      </c>
      <c r="H69" s="2"/>
      <c r="I69" s="5">
        <f>XLOOKUP(K69, pharmaceutical_index!B:B, pharmaceutical_index!A:A, "Not Found")</f>
      </c>
      <c r="J69" s="1" t="s">
        <v>184</v>
      </c>
      <c r="K69" s="1" t="s">
        <v>184</v>
      </c>
      <c r="L69" s="1" t="s">
        <v>185</v>
      </c>
      <c r="M69" s="1" t="s">
        <v>184</v>
      </c>
      <c r="N69" s="2"/>
      <c r="O69" s="2"/>
      <c r="P69" s="2"/>
      <c r="Q69" s="2"/>
    </row>
    <row x14ac:dyDescent="0.25" r="70" customHeight="1" ht="17.25">
      <c r="A70" s="1" t="s">
        <v>3683</v>
      </c>
      <c r="B70" s="1" t="s">
        <v>187</v>
      </c>
      <c r="C70" s="1" t="s">
        <v>3643</v>
      </c>
      <c r="D70" s="1" t="s">
        <v>188</v>
      </c>
      <c r="E70" s="1" t="s">
        <v>3572</v>
      </c>
      <c r="F70" s="1" t="s">
        <v>3573</v>
      </c>
      <c r="G70" s="1" t="s">
        <v>3574</v>
      </c>
      <c r="H70" s="2"/>
      <c r="I70" s="5">
        <f>XLOOKUP(K70, pharmaceutical_index!B:B, pharmaceutical_index!A:A, "Not Found")</f>
      </c>
      <c r="J70" s="1" t="s">
        <v>187</v>
      </c>
      <c r="K70" s="1" t="s">
        <v>187</v>
      </c>
      <c r="L70" s="1" t="s">
        <v>188</v>
      </c>
      <c r="M70" s="1" t="s">
        <v>187</v>
      </c>
      <c r="N70" s="2"/>
      <c r="O70" s="2"/>
      <c r="P70" s="2"/>
      <c r="Q70" s="2"/>
    </row>
    <row x14ac:dyDescent="0.25" r="71" customHeight="1" ht="17.25">
      <c r="A71" s="1" t="s">
        <v>3684</v>
      </c>
      <c r="B71" s="1" t="s">
        <v>190</v>
      </c>
      <c r="C71" s="1" t="s">
        <v>3610</v>
      </c>
      <c r="D71" s="1" t="s">
        <v>191</v>
      </c>
      <c r="E71" s="1" t="s">
        <v>3572</v>
      </c>
      <c r="F71" s="1" t="s">
        <v>3573</v>
      </c>
      <c r="G71" s="1" t="s">
        <v>3574</v>
      </c>
      <c r="H71" s="2"/>
      <c r="I71" s="5">
        <f>XLOOKUP(K71, pharmaceutical_index!B:B, pharmaceutical_index!A:A, "Not Found")</f>
      </c>
      <c r="J71" s="1" t="s">
        <v>190</v>
      </c>
      <c r="K71" s="1" t="s">
        <v>190</v>
      </c>
      <c r="L71" s="1" t="s">
        <v>191</v>
      </c>
      <c r="M71" s="1" t="s">
        <v>190</v>
      </c>
      <c r="N71" s="2"/>
      <c r="O71" s="2"/>
      <c r="P71" s="2"/>
      <c r="Q71" s="2"/>
    </row>
    <row x14ac:dyDescent="0.25" r="72" customHeight="1" ht="17.25">
      <c r="A72" s="1" t="s">
        <v>3685</v>
      </c>
      <c r="B72" s="1" t="s">
        <v>193</v>
      </c>
      <c r="C72" s="1" t="s">
        <v>3583</v>
      </c>
      <c r="D72" s="1" t="s">
        <v>20</v>
      </c>
      <c r="E72" s="1" t="s">
        <v>3572</v>
      </c>
      <c r="F72" s="1" t="s">
        <v>3573</v>
      </c>
      <c r="G72" s="1" t="s">
        <v>3574</v>
      </c>
      <c r="H72" s="2"/>
      <c r="I72" s="5">
        <f>XLOOKUP(K72, pharmaceutical_index!B:B, pharmaceutical_index!A:A, "Not Found")</f>
      </c>
      <c r="J72" s="1" t="s">
        <v>193</v>
      </c>
      <c r="K72" s="1" t="s">
        <v>193</v>
      </c>
      <c r="L72" s="1" t="s">
        <v>20</v>
      </c>
      <c r="M72" s="1" t="s">
        <v>193</v>
      </c>
      <c r="N72" s="2"/>
      <c r="O72" s="2"/>
      <c r="P72" s="2"/>
      <c r="Q72" s="2"/>
    </row>
    <row x14ac:dyDescent="0.25" r="73" customHeight="1" ht="17.25">
      <c r="A73" s="1" t="s">
        <v>3686</v>
      </c>
      <c r="B73" s="1" t="s">
        <v>195</v>
      </c>
      <c r="C73" s="1" t="s">
        <v>3583</v>
      </c>
      <c r="D73" s="1" t="s">
        <v>20</v>
      </c>
      <c r="E73" s="1" t="s">
        <v>3572</v>
      </c>
      <c r="F73" s="1" t="s">
        <v>3573</v>
      </c>
      <c r="G73" s="1" t="s">
        <v>3574</v>
      </c>
      <c r="H73" s="2"/>
      <c r="I73" s="5">
        <f>XLOOKUP(K73, pharmaceutical_index!B:B, pharmaceutical_index!A:A, "Not Found")</f>
      </c>
      <c r="J73" s="1" t="s">
        <v>3687</v>
      </c>
      <c r="K73" s="1" t="s">
        <v>195</v>
      </c>
      <c r="L73" s="1" t="s">
        <v>20</v>
      </c>
      <c r="M73" s="1" t="s">
        <v>3687</v>
      </c>
      <c r="N73" s="2"/>
      <c r="O73" s="2"/>
      <c r="P73" s="2"/>
      <c r="Q73" s="2"/>
    </row>
    <row x14ac:dyDescent="0.25" r="74" customHeight="1" ht="17.25">
      <c r="A74" s="1" t="s">
        <v>3688</v>
      </c>
      <c r="B74" s="1" t="s">
        <v>197</v>
      </c>
      <c r="C74" s="1" t="s">
        <v>3576</v>
      </c>
      <c r="D74" s="1" t="s">
        <v>20</v>
      </c>
      <c r="E74" s="1" t="s">
        <v>3572</v>
      </c>
      <c r="F74" s="1" t="s">
        <v>3573</v>
      </c>
      <c r="G74" s="1" t="s">
        <v>3574</v>
      </c>
      <c r="H74" s="2"/>
      <c r="I74" s="5">
        <f>XLOOKUP(K74, pharmaceutical_index!B:B, pharmaceutical_index!A:A, "Not Found")</f>
      </c>
      <c r="J74" s="1" t="s">
        <v>197</v>
      </c>
      <c r="K74" s="1" t="s">
        <v>197</v>
      </c>
      <c r="L74" s="1" t="s">
        <v>20</v>
      </c>
      <c r="M74" s="1" t="s">
        <v>197</v>
      </c>
      <c r="N74" s="2"/>
      <c r="O74" s="2"/>
      <c r="P74" s="2"/>
      <c r="Q74" s="2"/>
    </row>
    <row x14ac:dyDescent="0.25" r="75" customHeight="1" ht="17.25">
      <c r="A75" s="1" t="s">
        <v>3689</v>
      </c>
      <c r="B75" s="1" t="s">
        <v>199</v>
      </c>
      <c r="C75" s="1" t="s">
        <v>3690</v>
      </c>
      <c r="D75" s="1" t="s">
        <v>20</v>
      </c>
      <c r="E75" s="1" t="s">
        <v>3572</v>
      </c>
      <c r="F75" s="1" t="s">
        <v>3573</v>
      </c>
      <c r="G75" s="1" t="s">
        <v>3574</v>
      </c>
      <c r="H75" s="2"/>
      <c r="I75" s="5">
        <f>XLOOKUP(K75, pharmaceutical_index!B:B, pharmaceutical_index!A:A, "Not Found")</f>
      </c>
      <c r="J75" s="1" t="s">
        <v>3691</v>
      </c>
      <c r="K75" s="1" t="s">
        <v>199</v>
      </c>
      <c r="L75" s="1" t="s">
        <v>20</v>
      </c>
      <c r="M75" s="1" t="s">
        <v>3692</v>
      </c>
      <c r="N75" s="2"/>
      <c r="O75" s="2"/>
      <c r="P75" s="2"/>
      <c r="Q75" s="2"/>
    </row>
    <row x14ac:dyDescent="0.25" r="76" customHeight="1" ht="17.25">
      <c r="A76" s="1" t="s">
        <v>3693</v>
      </c>
      <c r="B76" s="1" t="s">
        <v>201</v>
      </c>
      <c r="C76" s="1" t="s">
        <v>3600</v>
      </c>
      <c r="D76" s="1" t="s">
        <v>162</v>
      </c>
      <c r="E76" s="1" t="s">
        <v>3572</v>
      </c>
      <c r="F76" s="1" t="s">
        <v>3573</v>
      </c>
      <c r="G76" s="1" t="s">
        <v>3574</v>
      </c>
      <c r="H76" s="2"/>
      <c r="I76" s="5">
        <f>XLOOKUP(K76, pharmaceutical_index!B:B, pharmaceutical_index!A:A, "Not Found")</f>
      </c>
      <c r="J76" s="1" t="s">
        <v>201</v>
      </c>
      <c r="K76" s="1" t="s">
        <v>201</v>
      </c>
      <c r="L76" s="1" t="s">
        <v>162</v>
      </c>
      <c r="M76" s="1" t="s">
        <v>201</v>
      </c>
      <c r="N76" s="2"/>
      <c r="O76" s="2"/>
      <c r="P76" s="2"/>
      <c r="Q76" s="2"/>
    </row>
    <row x14ac:dyDescent="0.25" r="77" customHeight="1" ht="17.25">
      <c r="A77" s="1" t="s">
        <v>3694</v>
      </c>
      <c r="B77" s="1" t="s">
        <v>203</v>
      </c>
      <c r="C77" s="1" t="s">
        <v>3587</v>
      </c>
      <c r="D77" s="1" t="s">
        <v>30</v>
      </c>
      <c r="E77" s="1" t="s">
        <v>3572</v>
      </c>
      <c r="F77" s="1" t="s">
        <v>3573</v>
      </c>
      <c r="G77" s="1" t="s">
        <v>3574</v>
      </c>
      <c r="H77" s="2"/>
      <c r="I77" s="5">
        <f>XLOOKUP(K77, pharmaceutical_index!B:B, pharmaceutical_index!A:A, "Not Found")</f>
      </c>
      <c r="J77" s="1" t="s">
        <v>203</v>
      </c>
      <c r="K77" s="1" t="s">
        <v>203</v>
      </c>
      <c r="L77" s="1" t="s">
        <v>30</v>
      </c>
      <c r="M77" s="1" t="s">
        <v>203</v>
      </c>
      <c r="N77" s="2"/>
      <c r="O77" s="2"/>
      <c r="P77" s="2"/>
      <c r="Q77" s="2"/>
    </row>
    <row x14ac:dyDescent="0.25" r="78" customHeight="1" ht="17.25">
      <c r="A78" s="1" t="s">
        <v>3695</v>
      </c>
      <c r="B78" s="1" t="s">
        <v>205</v>
      </c>
      <c r="C78" s="1" t="s">
        <v>3635</v>
      </c>
      <c r="D78" s="1" t="s">
        <v>20</v>
      </c>
      <c r="E78" s="1" t="s">
        <v>3572</v>
      </c>
      <c r="F78" s="1" t="s">
        <v>3573</v>
      </c>
      <c r="G78" s="1" t="s">
        <v>3574</v>
      </c>
      <c r="H78" s="2"/>
      <c r="I78" s="5">
        <f>XLOOKUP(K78, pharmaceutical_index!B:B, pharmaceutical_index!A:A, "Not Found")</f>
      </c>
      <c r="J78" s="1" t="s">
        <v>205</v>
      </c>
      <c r="K78" s="1" t="s">
        <v>205</v>
      </c>
      <c r="L78" s="1" t="s">
        <v>20</v>
      </c>
      <c r="M78" s="1" t="s">
        <v>205</v>
      </c>
      <c r="N78" s="2"/>
      <c r="O78" s="2"/>
      <c r="P78" s="2"/>
      <c r="Q78" s="2"/>
    </row>
    <row x14ac:dyDescent="0.25" r="79" customHeight="1" ht="17.25">
      <c r="A79" s="1" t="s">
        <v>3696</v>
      </c>
      <c r="B79" s="1" t="s">
        <v>207</v>
      </c>
      <c r="C79" s="1" t="s">
        <v>3583</v>
      </c>
      <c r="D79" s="1" t="s">
        <v>20</v>
      </c>
      <c r="E79" s="1" t="s">
        <v>3572</v>
      </c>
      <c r="F79" s="1" t="s">
        <v>3573</v>
      </c>
      <c r="G79" s="1" t="s">
        <v>3574</v>
      </c>
      <c r="H79" s="2"/>
      <c r="I79" s="5">
        <f>XLOOKUP(K79, pharmaceutical_index!B:B, pharmaceutical_index!A:A, "Not Found")</f>
      </c>
      <c r="J79" s="1" t="s">
        <v>207</v>
      </c>
      <c r="K79" s="1" t="s">
        <v>207</v>
      </c>
      <c r="L79" s="1" t="s">
        <v>20</v>
      </c>
      <c r="M79" s="1" t="s">
        <v>207</v>
      </c>
      <c r="N79" s="2"/>
      <c r="O79" s="2"/>
      <c r="P79" s="2"/>
      <c r="Q79" s="2"/>
    </row>
    <row x14ac:dyDescent="0.25" r="80" customHeight="1" ht="17.25">
      <c r="A80" s="1" t="s">
        <v>3697</v>
      </c>
      <c r="B80" s="1" t="s">
        <v>209</v>
      </c>
      <c r="C80" s="1" t="s">
        <v>3571</v>
      </c>
      <c r="D80" s="1" t="s">
        <v>59</v>
      </c>
      <c r="E80" s="1" t="s">
        <v>3572</v>
      </c>
      <c r="F80" s="1" t="s">
        <v>3573</v>
      </c>
      <c r="G80" s="1" t="s">
        <v>3574</v>
      </c>
      <c r="H80" s="2"/>
      <c r="I80" s="5">
        <f>XLOOKUP(K80, pharmaceutical_index!B:B, pharmaceutical_index!A:A, "Not Found")</f>
      </c>
      <c r="J80" s="1" t="s">
        <v>3698</v>
      </c>
      <c r="K80" s="1" t="s">
        <v>209</v>
      </c>
      <c r="L80" s="1" t="s">
        <v>59</v>
      </c>
      <c r="M80" s="1" t="s">
        <v>3698</v>
      </c>
      <c r="N80" s="2"/>
      <c r="O80" s="2"/>
      <c r="P80" s="2"/>
      <c r="Q80" s="2"/>
    </row>
    <row x14ac:dyDescent="0.25" r="81" customHeight="1" ht="17.25">
      <c r="A81" s="1" t="s">
        <v>3699</v>
      </c>
      <c r="B81" s="1" t="s">
        <v>211</v>
      </c>
      <c r="C81" s="1" t="s">
        <v>3589</v>
      </c>
      <c r="D81" s="1" t="s">
        <v>62</v>
      </c>
      <c r="E81" s="1" t="s">
        <v>3572</v>
      </c>
      <c r="F81" s="1" t="s">
        <v>3573</v>
      </c>
      <c r="G81" s="1" t="s">
        <v>3574</v>
      </c>
      <c r="H81" s="2"/>
      <c r="I81" s="5">
        <f>XLOOKUP(K81, pharmaceutical_index!B:B, pharmaceutical_index!A:A, "Not Found")</f>
      </c>
      <c r="J81" s="1" t="s">
        <v>211</v>
      </c>
      <c r="K81" s="1" t="s">
        <v>211</v>
      </c>
      <c r="L81" s="1" t="s">
        <v>62</v>
      </c>
      <c r="M81" s="1" t="s">
        <v>211</v>
      </c>
      <c r="N81" s="2"/>
      <c r="O81" s="2"/>
      <c r="P81" s="2"/>
      <c r="Q81" s="2"/>
    </row>
    <row x14ac:dyDescent="0.25" r="82" customHeight="1" ht="17.25">
      <c r="A82" s="1" t="s">
        <v>3700</v>
      </c>
      <c r="B82" s="1" t="s">
        <v>213</v>
      </c>
      <c r="C82" s="1" t="s">
        <v>3701</v>
      </c>
      <c r="D82" s="1" t="s">
        <v>20</v>
      </c>
      <c r="E82" s="1" t="s">
        <v>3572</v>
      </c>
      <c r="F82" s="1" t="s">
        <v>3573</v>
      </c>
      <c r="G82" s="1" t="s">
        <v>3574</v>
      </c>
      <c r="H82" s="2"/>
      <c r="I82" s="5">
        <f>XLOOKUP(K82, pharmaceutical_index!B:B, pharmaceutical_index!A:A, "Not Found")</f>
      </c>
      <c r="J82" s="1" t="s">
        <v>213</v>
      </c>
      <c r="K82" s="1" t="s">
        <v>213</v>
      </c>
      <c r="L82" s="1" t="s">
        <v>20</v>
      </c>
      <c r="M82" s="1" t="s">
        <v>213</v>
      </c>
      <c r="N82" s="2"/>
      <c r="O82" s="2"/>
      <c r="P82" s="2"/>
      <c r="Q82" s="2"/>
    </row>
    <row x14ac:dyDescent="0.25" r="83" customHeight="1" ht="17.25">
      <c r="A83" s="1" t="s">
        <v>3702</v>
      </c>
      <c r="B83" s="1" t="s">
        <v>215</v>
      </c>
      <c r="C83" s="1" t="s">
        <v>3608</v>
      </c>
      <c r="D83" s="1" t="s">
        <v>216</v>
      </c>
      <c r="E83" s="1" t="s">
        <v>3572</v>
      </c>
      <c r="F83" s="1" t="s">
        <v>3573</v>
      </c>
      <c r="G83" s="1" t="s">
        <v>3574</v>
      </c>
      <c r="H83" s="2"/>
      <c r="I83" s="5">
        <f>XLOOKUP(K83, pharmaceutical_index!B:B, pharmaceutical_index!A:A, "Not Found")</f>
      </c>
      <c r="J83" s="1" t="s">
        <v>215</v>
      </c>
      <c r="K83" s="1" t="s">
        <v>215</v>
      </c>
      <c r="L83" s="1" t="s">
        <v>216</v>
      </c>
      <c r="M83" s="1" t="s">
        <v>215</v>
      </c>
      <c r="N83" s="2"/>
      <c r="O83" s="2"/>
      <c r="P83" s="2"/>
      <c r="Q83" s="2"/>
    </row>
    <row x14ac:dyDescent="0.25" r="84" customHeight="1" ht="17.25">
      <c r="A84" s="1" t="s">
        <v>3703</v>
      </c>
      <c r="B84" s="1" t="s">
        <v>218</v>
      </c>
      <c r="C84" s="1" t="s">
        <v>3608</v>
      </c>
      <c r="D84" s="1" t="s">
        <v>219</v>
      </c>
      <c r="E84" s="1" t="s">
        <v>3572</v>
      </c>
      <c r="F84" s="1" t="s">
        <v>3573</v>
      </c>
      <c r="G84" s="1" t="s">
        <v>3574</v>
      </c>
      <c r="H84" s="2"/>
      <c r="I84" s="5">
        <f>XLOOKUP(K84, pharmaceutical_index!B:B, pharmaceutical_index!A:A, "Not Found")</f>
      </c>
      <c r="J84" s="1" t="s">
        <v>218</v>
      </c>
      <c r="K84" s="1" t="s">
        <v>218</v>
      </c>
      <c r="L84" s="1" t="s">
        <v>219</v>
      </c>
      <c r="M84" s="1" t="s">
        <v>218</v>
      </c>
      <c r="N84" s="2"/>
      <c r="O84" s="2"/>
      <c r="P84" s="2"/>
      <c r="Q84" s="2"/>
    </row>
    <row x14ac:dyDescent="0.25" r="85" customHeight="1" ht="17.25">
      <c r="A85" s="1" t="s">
        <v>3704</v>
      </c>
      <c r="B85" s="1" t="s">
        <v>221</v>
      </c>
      <c r="C85" s="1" t="s">
        <v>3576</v>
      </c>
      <c r="D85" s="1" t="s">
        <v>20</v>
      </c>
      <c r="E85" s="1" t="s">
        <v>3572</v>
      </c>
      <c r="F85" s="1" t="s">
        <v>3573</v>
      </c>
      <c r="G85" s="1" t="s">
        <v>3574</v>
      </c>
      <c r="H85" s="2"/>
      <c r="I85" s="5">
        <f>XLOOKUP(K85, pharmaceutical_index!B:B, pharmaceutical_index!A:A, "Not Found")</f>
      </c>
      <c r="J85" s="1" t="s">
        <v>221</v>
      </c>
      <c r="K85" s="1" t="s">
        <v>221</v>
      </c>
      <c r="L85" s="1" t="s">
        <v>20</v>
      </c>
      <c r="M85" s="1" t="s">
        <v>221</v>
      </c>
      <c r="N85" s="2"/>
      <c r="O85" s="2"/>
      <c r="P85" s="2"/>
      <c r="Q85" s="2"/>
    </row>
    <row x14ac:dyDescent="0.25" r="86" customHeight="1" ht="17.25">
      <c r="A86" s="1" t="s">
        <v>3705</v>
      </c>
      <c r="B86" s="1" t="s">
        <v>223</v>
      </c>
      <c r="C86" s="1" t="s">
        <v>3589</v>
      </c>
      <c r="D86" s="1" t="s">
        <v>224</v>
      </c>
      <c r="E86" s="1" t="s">
        <v>3572</v>
      </c>
      <c r="F86" s="1" t="s">
        <v>3573</v>
      </c>
      <c r="G86" s="1" t="s">
        <v>3574</v>
      </c>
      <c r="H86" s="2"/>
      <c r="I86" s="5">
        <f>XLOOKUP(K86, pharmaceutical_index!B:B, pharmaceutical_index!A:A, "Not Found")</f>
      </c>
      <c r="J86" s="1" t="s">
        <v>223</v>
      </c>
      <c r="K86" s="1" t="s">
        <v>223</v>
      </c>
      <c r="L86" s="1" t="s">
        <v>224</v>
      </c>
      <c r="M86" s="1" t="s">
        <v>223</v>
      </c>
      <c r="N86" s="2"/>
      <c r="O86" s="2"/>
      <c r="P86" s="2"/>
      <c r="Q86" s="2"/>
    </row>
    <row x14ac:dyDescent="0.25" r="87" customHeight="1" ht="17.25">
      <c r="A87" s="1" t="s">
        <v>3706</v>
      </c>
      <c r="B87" s="1" t="s">
        <v>226</v>
      </c>
      <c r="C87" s="1" t="s">
        <v>3571</v>
      </c>
      <c r="D87" s="1" t="s">
        <v>76</v>
      </c>
      <c r="E87" s="1" t="s">
        <v>3572</v>
      </c>
      <c r="F87" s="1" t="s">
        <v>3573</v>
      </c>
      <c r="G87" s="1" t="s">
        <v>3574</v>
      </c>
      <c r="H87" s="2"/>
      <c r="I87" s="5">
        <f>XLOOKUP(K87, pharmaceutical_index!B:B, pharmaceutical_index!A:A, "Not Found")</f>
      </c>
      <c r="J87" s="1" t="s">
        <v>226</v>
      </c>
      <c r="K87" s="1" t="s">
        <v>226</v>
      </c>
      <c r="L87" s="1" t="s">
        <v>76</v>
      </c>
      <c r="M87" s="1" t="s">
        <v>226</v>
      </c>
      <c r="N87" s="2"/>
      <c r="O87" s="2"/>
      <c r="P87" s="2"/>
      <c r="Q87" s="2"/>
    </row>
    <row x14ac:dyDescent="0.25" r="88" customHeight="1" ht="17.25">
      <c r="A88" s="1" t="s">
        <v>3707</v>
      </c>
      <c r="B88" s="1" t="s">
        <v>228</v>
      </c>
      <c r="C88" s="1" t="s">
        <v>3571</v>
      </c>
      <c r="D88" s="1" t="s">
        <v>76</v>
      </c>
      <c r="E88" s="1" t="s">
        <v>3572</v>
      </c>
      <c r="F88" s="1" t="s">
        <v>3573</v>
      </c>
      <c r="G88" s="1" t="s">
        <v>3574</v>
      </c>
      <c r="H88" s="2"/>
      <c r="I88" s="5">
        <f>XLOOKUP(K88, pharmaceutical_index!B:B, pharmaceutical_index!A:A, "Not Found")</f>
      </c>
      <c r="J88" s="1" t="s">
        <v>228</v>
      </c>
      <c r="K88" s="1" t="s">
        <v>228</v>
      </c>
      <c r="L88" s="1" t="s">
        <v>76</v>
      </c>
      <c r="M88" s="1" t="s">
        <v>228</v>
      </c>
      <c r="N88" s="2"/>
      <c r="O88" s="2"/>
      <c r="P88" s="2"/>
      <c r="Q88" s="2"/>
    </row>
    <row x14ac:dyDescent="0.25" r="89" customHeight="1" ht="17.25">
      <c r="A89" s="1" t="s">
        <v>3708</v>
      </c>
      <c r="B89" s="1" t="s">
        <v>230</v>
      </c>
      <c r="C89" s="1" t="s">
        <v>3571</v>
      </c>
      <c r="D89" s="1" t="s">
        <v>231</v>
      </c>
      <c r="E89" s="1" t="s">
        <v>3572</v>
      </c>
      <c r="F89" s="1" t="s">
        <v>3573</v>
      </c>
      <c r="G89" s="1" t="s">
        <v>3574</v>
      </c>
      <c r="H89" s="2"/>
      <c r="I89" s="5">
        <f>XLOOKUP(K89, pharmaceutical_index!B:B, pharmaceutical_index!A:A, "Not Found")</f>
      </c>
      <c r="J89" s="1" t="s">
        <v>230</v>
      </c>
      <c r="K89" s="1" t="s">
        <v>230</v>
      </c>
      <c r="L89" s="1" t="s">
        <v>231</v>
      </c>
      <c r="M89" s="1" t="s">
        <v>230</v>
      </c>
      <c r="N89" s="2"/>
      <c r="O89" s="2"/>
      <c r="P89" s="2"/>
      <c r="Q89" s="2"/>
    </row>
    <row x14ac:dyDescent="0.25" r="90" customHeight="1" ht="17.25">
      <c r="A90" s="1" t="s">
        <v>3709</v>
      </c>
      <c r="B90" s="1" t="s">
        <v>233</v>
      </c>
      <c r="C90" s="1" t="s">
        <v>3571</v>
      </c>
      <c r="D90" s="1" t="s">
        <v>76</v>
      </c>
      <c r="E90" s="1" t="s">
        <v>3572</v>
      </c>
      <c r="F90" s="1" t="s">
        <v>3573</v>
      </c>
      <c r="G90" s="1" t="s">
        <v>3574</v>
      </c>
      <c r="H90" s="2"/>
      <c r="I90" s="5">
        <f>XLOOKUP(K90, pharmaceutical_index!B:B, pharmaceutical_index!A:A, "Not Found")</f>
      </c>
      <c r="J90" s="1" t="s">
        <v>233</v>
      </c>
      <c r="K90" s="1" t="s">
        <v>233</v>
      </c>
      <c r="L90" s="1" t="s">
        <v>76</v>
      </c>
      <c r="M90" s="1" t="s">
        <v>233</v>
      </c>
      <c r="N90" s="2"/>
      <c r="O90" s="2"/>
      <c r="P90" s="2"/>
      <c r="Q90" s="2"/>
    </row>
    <row x14ac:dyDescent="0.25" r="91" customHeight="1" ht="17.25">
      <c r="A91" s="1" t="s">
        <v>3710</v>
      </c>
      <c r="B91" s="1" t="s">
        <v>235</v>
      </c>
      <c r="C91" s="1" t="s">
        <v>3571</v>
      </c>
      <c r="D91" s="1" t="s">
        <v>76</v>
      </c>
      <c r="E91" s="1" t="s">
        <v>3572</v>
      </c>
      <c r="F91" s="1" t="s">
        <v>3573</v>
      </c>
      <c r="G91" s="1" t="s">
        <v>3574</v>
      </c>
      <c r="H91" s="2"/>
      <c r="I91" s="5">
        <f>XLOOKUP(K91, pharmaceutical_index!B:B, pharmaceutical_index!A:A, "Not Found")</f>
      </c>
      <c r="J91" s="1" t="s">
        <v>235</v>
      </c>
      <c r="K91" s="1" t="s">
        <v>235</v>
      </c>
      <c r="L91" s="1" t="s">
        <v>76</v>
      </c>
      <c r="M91" s="1" t="s">
        <v>235</v>
      </c>
      <c r="N91" s="2"/>
      <c r="O91" s="2"/>
      <c r="P91" s="2"/>
      <c r="Q91" s="2"/>
    </row>
    <row x14ac:dyDescent="0.25" r="92" customHeight="1" ht="17.25">
      <c r="A92" s="1" t="s">
        <v>3711</v>
      </c>
      <c r="B92" s="1" t="s">
        <v>237</v>
      </c>
      <c r="C92" s="1" t="s">
        <v>3712</v>
      </c>
      <c r="D92" s="1" t="s">
        <v>238</v>
      </c>
      <c r="E92" s="1" t="s">
        <v>3572</v>
      </c>
      <c r="F92" s="1" t="s">
        <v>3573</v>
      </c>
      <c r="G92" s="1" t="s">
        <v>3574</v>
      </c>
      <c r="H92" s="2"/>
      <c r="I92" s="5">
        <f>XLOOKUP(K92, pharmaceutical_index!B:B, pharmaceutical_index!A:A, "Not Found")</f>
      </c>
      <c r="J92" s="1" t="s">
        <v>237</v>
      </c>
      <c r="K92" s="1" t="s">
        <v>237</v>
      </c>
      <c r="L92" s="1" t="s">
        <v>238</v>
      </c>
      <c r="M92" s="1" t="s">
        <v>237</v>
      </c>
      <c r="N92" s="2"/>
      <c r="O92" s="2"/>
      <c r="P92" s="2"/>
      <c r="Q92" s="2"/>
    </row>
    <row x14ac:dyDescent="0.25" r="93" customHeight="1" ht="17.25">
      <c r="A93" s="1" t="s">
        <v>3713</v>
      </c>
      <c r="B93" s="1" t="s">
        <v>240</v>
      </c>
      <c r="C93" s="1" t="s">
        <v>3665</v>
      </c>
      <c r="D93" s="1" t="s">
        <v>20</v>
      </c>
      <c r="E93" s="1" t="s">
        <v>3572</v>
      </c>
      <c r="F93" s="1" t="s">
        <v>3573</v>
      </c>
      <c r="G93" s="1" t="s">
        <v>3574</v>
      </c>
      <c r="H93" s="2"/>
      <c r="I93" s="5">
        <f>XLOOKUP(K93, pharmaceutical_index!B:B, pharmaceutical_index!A:A, "Not Found")</f>
      </c>
      <c r="J93" s="1" t="s">
        <v>3714</v>
      </c>
      <c r="K93" s="1" t="s">
        <v>240</v>
      </c>
      <c r="L93" s="1" t="s">
        <v>20</v>
      </c>
      <c r="M93" s="1" t="s">
        <v>3715</v>
      </c>
      <c r="N93" s="2"/>
      <c r="O93" s="2"/>
      <c r="P93" s="2"/>
      <c r="Q93" s="2"/>
    </row>
    <row x14ac:dyDescent="0.25" r="94" customHeight="1" ht="17.25">
      <c r="A94" s="1" t="s">
        <v>3716</v>
      </c>
      <c r="B94" s="1" t="s">
        <v>242</v>
      </c>
      <c r="C94" s="1" t="s">
        <v>3587</v>
      </c>
      <c r="D94" s="1" t="s">
        <v>243</v>
      </c>
      <c r="E94" s="1" t="s">
        <v>3572</v>
      </c>
      <c r="F94" s="1" t="s">
        <v>3573</v>
      </c>
      <c r="G94" s="1" t="s">
        <v>3574</v>
      </c>
      <c r="H94" s="2"/>
      <c r="I94" s="5">
        <f>XLOOKUP(K94, pharmaceutical_index!B:B, pharmaceutical_index!A:A, "Not Found")</f>
      </c>
      <c r="J94" s="1" t="s">
        <v>3717</v>
      </c>
      <c r="K94" s="1" t="s">
        <v>242</v>
      </c>
      <c r="L94" s="1" t="s">
        <v>243</v>
      </c>
      <c r="M94" s="1" t="s">
        <v>3717</v>
      </c>
      <c r="N94" s="2"/>
      <c r="O94" s="2"/>
      <c r="P94" s="2"/>
      <c r="Q94" s="2"/>
    </row>
    <row x14ac:dyDescent="0.25" r="95" customHeight="1" ht="17.25">
      <c r="A95" s="1" t="s">
        <v>3718</v>
      </c>
      <c r="B95" s="1" t="s">
        <v>245</v>
      </c>
      <c r="C95" s="1" t="s">
        <v>3571</v>
      </c>
      <c r="D95" s="1" t="s">
        <v>76</v>
      </c>
      <c r="E95" s="1" t="s">
        <v>3572</v>
      </c>
      <c r="F95" s="1" t="s">
        <v>3573</v>
      </c>
      <c r="G95" s="1" t="s">
        <v>3574</v>
      </c>
      <c r="H95" s="2"/>
      <c r="I95" s="5">
        <f>XLOOKUP(K95, pharmaceutical_index!B:B, pharmaceutical_index!A:A, "Not Found")</f>
      </c>
      <c r="J95" s="1" t="s">
        <v>245</v>
      </c>
      <c r="K95" s="1" t="s">
        <v>245</v>
      </c>
      <c r="L95" s="1" t="s">
        <v>76</v>
      </c>
      <c r="M95" s="1" t="s">
        <v>245</v>
      </c>
      <c r="N95" s="2"/>
      <c r="O95" s="2"/>
      <c r="P95" s="2"/>
      <c r="Q95" s="2"/>
    </row>
    <row x14ac:dyDescent="0.25" r="96" customHeight="1" ht="17.25">
      <c r="A96" s="1" t="s">
        <v>3719</v>
      </c>
      <c r="B96" s="1" t="s">
        <v>247</v>
      </c>
      <c r="C96" s="1" t="s">
        <v>3665</v>
      </c>
      <c r="D96" s="1" t="s">
        <v>20</v>
      </c>
      <c r="E96" s="1" t="s">
        <v>3572</v>
      </c>
      <c r="F96" s="1" t="s">
        <v>3573</v>
      </c>
      <c r="G96" s="1" t="s">
        <v>3574</v>
      </c>
      <c r="H96" s="2"/>
      <c r="I96" s="5">
        <f>XLOOKUP(K96, pharmaceutical_index!B:B, pharmaceutical_index!A:A, "Not Found")</f>
      </c>
      <c r="J96" s="1" t="s">
        <v>247</v>
      </c>
      <c r="K96" s="1" t="s">
        <v>247</v>
      </c>
      <c r="L96" s="1" t="s">
        <v>20</v>
      </c>
      <c r="M96" s="1" t="s">
        <v>247</v>
      </c>
      <c r="N96" s="2"/>
      <c r="O96" s="2"/>
      <c r="P96" s="2"/>
      <c r="Q96" s="2"/>
    </row>
    <row x14ac:dyDescent="0.25" r="97" customHeight="1" ht="17.25">
      <c r="A97" s="1" t="s">
        <v>3720</v>
      </c>
      <c r="B97" s="1" t="s">
        <v>249</v>
      </c>
      <c r="C97" s="1" t="s">
        <v>3721</v>
      </c>
      <c r="D97" s="1" t="s">
        <v>20</v>
      </c>
      <c r="E97" s="1" t="s">
        <v>3572</v>
      </c>
      <c r="F97" s="1" t="s">
        <v>3573</v>
      </c>
      <c r="G97" s="1" t="s">
        <v>3574</v>
      </c>
      <c r="H97" s="2"/>
      <c r="I97" s="5">
        <f>XLOOKUP(K97, pharmaceutical_index!B:B, pharmaceutical_index!A:A, "Not Found")</f>
      </c>
      <c r="J97" s="1" t="s">
        <v>249</v>
      </c>
      <c r="K97" s="1" t="s">
        <v>249</v>
      </c>
      <c r="L97" s="1" t="s">
        <v>20</v>
      </c>
      <c r="M97" s="1" t="s">
        <v>249</v>
      </c>
      <c r="N97" s="2"/>
      <c r="O97" s="2"/>
      <c r="P97" s="2"/>
      <c r="Q97" s="2"/>
    </row>
    <row x14ac:dyDescent="0.25" r="98" customHeight="1" ht="17.25">
      <c r="A98" s="1" t="s">
        <v>3722</v>
      </c>
      <c r="B98" s="1" t="s">
        <v>251</v>
      </c>
      <c r="C98" s="1" t="s">
        <v>3723</v>
      </c>
      <c r="D98" s="1" t="s">
        <v>20</v>
      </c>
      <c r="E98" s="1" t="s">
        <v>3572</v>
      </c>
      <c r="F98" s="1" t="s">
        <v>3573</v>
      </c>
      <c r="G98" s="1" t="s">
        <v>3574</v>
      </c>
      <c r="H98" s="2"/>
      <c r="I98" s="5">
        <f>XLOOKUP(K98, pharmaceutical_index!B:B, pharmaceutical_index!A:A, "Not Found")</f>
      </c>
      <c r="J98" s="1" t="s">
        <v>251</v>
      </c>
      <c r="K98" s="1" t="s">
        <v>251</v>
      </c>
      <c r="L98" s="1" t="s">
        <v>20</v>
      </c>
      <c r="M98" s="1" t="s">
        <v>251</v>
      </c>
      <c r="N98" s="2"/>
      <c r="O98" s="2"/>
      <c r="P98" s="2"/>
      <c r="Q98" s="2"/>
    </row>
    <row x14ac:dyDescent="0.25" r="99" customHeight="1" ht="17.25">
      <c r="A99" s="1" t="s">
        <v>3724</v>
      </c>
      <c r="B99" s="1" t="s">
        <v>253</v>
      </c>
      <c r="C99" s="1" t="s">
        <v>3610</v>
      </c>
      <c r="D99" s="1" t="s">
        <v>254</v>
      </c>
      <c r="E99" s="1" t="s">
        <v>3572</v>
      </c>
      <c r="F99" s="1" t="s">
        <v>3573</v>
      </c>
      <c r="G99" s="1" t="s">
        <v>3574</v>
      </c>
      <c r="H99" s="2"/>
      <c r="I99" s="5">
        <f>XLOOKUP(K99, pharmaceutical_index!B:B, pharmaceutical_index!A:A, "Not Found")</f>
      </c>
      <c r="J99" s="1" t="s">
        <v>253</v>
      </c>
      <c r="K99" s="1" t="s">
        <v>253</v>
      </c>
      <c r="L99" s="1" t="s">
        <v>254</v>
      </c>
      <c r="M99" s="1" t="s">
        <v>253</v>
      </c>
      <c r="N99" s="2"/>
      <c r="O99" s="2"/>
      <c r="P99" s="2"/>
      <c r="Q99" s="2"/>
    </row>
    <row x14ac:dyDescent="0.25" r="100" customHeight="1" ht="17.25">
      <c r="A100" s="1" t="s">
        <v>3725</v>
      </c>
      <c r="B100" s="1" t="s">
        <v>256</v>
      </c>
      <c r="C100" s="1" t="s">
        <v>3726</v>
      </c>
      <c r="D100" s="1" t="s">
        <v>20</v>
      </c>
      <c r="E100" s="1" t="s">
        <v>3572</v>
      </c>
      <c r="F100" s="1" t="s">
        <v>3573</v>
      </c>
      <c r="G100" s="1" t="s">
        <v>3574</v>
      </c>
      <c r="H100" s="2"/>
      <c r="I100" s="5">
        <f>XLOOKUP(K100, pharmaceutical_index!B:B, pharmaceutical_index!A:A, "Not Found")</f>
      </c>
      <c r="J100" s="1" t="s">
        <v>256</v>
      </c>
      <c r="K100" s="1" t="s">
        <v>256</v>
      </c>
      <c r="L100" s="1" t="s">
        <v>20</v>
      </c>
      <c r="M100" s="1" t="s">
        <v>256</v>
      </c>
      <c r="N100" s="2"/>
      <c r="O100" s="2"/>
      <c r="P100" s="2"/>
      <c r="Q100" s="2"/>
    </row>
    <row x14ac:dyDescent="0.25" r="101" customHeight="1" ht="17.25">
      <c r="A101" s="1" t="s">
        <v>3727</v>
      </c>
      <c r="B101" s="1" t="s">
        <v>258</v>
      </c>
      <c r="C101" s="1" t="s">
        <v>3635</v>
      </c>
      <c r="D101" s="1" t="s">
        <v>20</v>
      </c>
      <c r="E101" s="1" t="s">
        <v>3572</v>
      </c>
      <c r="F101" s="1" t="s">
        <v>3573</v>
      </c>
      <c r="G101" s="1" t="s">
        <v>3574</v>
      </c>
      <c r="H101" s="2"/>
      <c r="I101" s="5">
        <f>XLOOKUP(K101, pharmaceutical_index!B:B, pharmaceutical_index!A:A, "Not Found")</f>
      </c>
      <c r="J101" s="1" t="s">
        <v>258</v>
      </c>
      <c r="K101" s="1" t="s">
        <v>258</v>
      </c>
      <c r="L101" s="1" t="s">
        <v>20</v>
      </c>
      <c r="M101" s="1" t="s">
        <v>258</v>
      </c>
      <c r="N101" s="2"/>
      <c r="O101" s="2"/>
      <c r="P101" s="2"/>
      <c r="Q101" s="2"/>
    </row>
    <row x14ac:dyDescent="0.25" r="102" customHeight="1" ht="17.25">
      <c r="A102" s="1" t="s">
        <v>3728</v>
      </c>
      <c r="B102" s="1" t="s">
        <v>260</v>
      </c>
      <c r="C102" s="1" t="s">
        <v>3622</v>
      </c>
      <c r="D102" s="1" t="s">
        <v>135</v>
      </c>
      <c r="E102" s="1" t="s">
        <v>3572</v>
      </c>
      <c r="F102" s="1" t="s">
        <v>3573</v>
      </c>
      <c r="G102" s="1" t="s">
        <v>3574</v>
      </c>
      <c r="H102" s="2"/>
      <c r="I102" s="5">
        <f>XLOOKUP(K102, pharmaceutical_index!B:B, pharmaceutical_index!A:A, "Not Found")</f>
      </c>
      <c r="J102" s="1" t="s">
        <v>260</v>
      </c>
      <c r="K102" s="1" t="s">
        <v>260</v>
      </c>
      <c r="L102" s="1" t="s">
        <v>135</v>
      </c>
      <c r="M102" s="1" t="s">
        <v>260</v>
      </c>
      <c r="N102" s="2"/>
      <c r="O102" s="2"/>
      <c r="P102" s="2"/>
      <c r="Q102" s="2"/>
    </row>
    <row x14ac:dyDescent="0.25" r="103" customHeight="1" ht="17.25">
      <c r="A103" s="1" t="s">
        <v>3729</v>
      </c>
      <c r="B103" s="1" t="s">
        <v>262</v>
      </c>
      <c r="C103" s="1" t="s">
        <v>3721</v>
      </c>
      <c r="D103" s="1" t="s">
        <v>20</v>
      </c>
      <c r="E103" s="1" t="s">
        <v>3572</v>
      </c>
      <c r="F103" s="1" t="s">
        <v>3573</v>
      </c>
      <c r="G103" s="1" t="s">
        <v>3574</v>
      </c>
      <c r="H103" s="2"/>
      <c r="I103" s="5">
        <f>XLOOKUP(K103, pharmaceutical_index!B:B, pharmaceutical_index!A:A, "Not Found")</f>
      </c>
      <c r="J103" s="1" t="s">
        <v>262</v>
      </c>
      <c r="K103" s="1" t="s">
        <v>262</v>
      </c>
      <c r="L103" s="1" t="s">
        <v>20</v>
      </c>
      <c r="M103" s="1" t="s">
        <v>262</v>
      </c>
      <c r="N103" s="2"/>
      <c r="O103" s="2"/>
      <c r="P103" s="2"/>
      <c r="Q103" s="2"/>
    </row>
    <row x14ac:dyDescent="0.25" r="104" customHeight="1" ht="17.25">
      <c r="A104" s="1" t="s">
        <v>3730</v>
      </c>
      <c r="B104" s="1" t="s">
        <v>264</v>
      </c>
      <c r="C104" s="1" t="s">
        <v>3608</v>
      </c>
      <c r="D104" s="1" t="s">
        <v>265</v>
      </c>
      <c r="E104" s="1" t="s">
        <v>3572</v>
      </c>
      <c r="F104" s="1" t="s">
        <v>3573</v>
      </c>
      <c r="G104" s="1" t="s">
        <v>3574</v>
      </c>
      <c r="H104" s="2"/>
      <c r="I104" s="5">
        <f>XLOOKUP(K104, pharmaceutical_index!B:B, pharmaceutical_index!A:A, "Not Found")</f>
      </c>
      <c r="J104" s="1" t="s">
        <v>264</v>
      </c>
      <c r="K104" s="1" t="s">
        <v>264</v>
      </c>
      <c r="L104" s="1" t="s">
        <v>265</v>
      </c>
      <c r="M104" s="1" t="s">
        <v>264</v>
      </c>
      <c r="N104" s="2"/>
      <c r="O104" s="2"/>
      <c r="P104" s="2"/>
      <c r="Q104" s="2"/>
    </row>
    <row x14ac:dyDescent="0.25" r="105" customHeight="1" ht="17.25">
      <c r="A105" s="1" t="s">
        <v>3731</v>
      </c>
      <c r="B105" s="1" t="s">
        <v>267</v>
      </c>
      <c r="C105" s="1" t="s">
        <v>3576</v>
      </c>
      <c r="D105" s="1" t="s">
        <v>20</v>
      </c>
      <c r="E105" s="1" t="s">
        <v>3572</v>
      </c>
      <c r="F105" s="1" t="s">
        <v>3573</v>
      </c>
      <c r="G105" s="1" t="s">
        <v>3574</v>
      </c>
      <c r="H105" s="2"/>
      <c r="I105" s="5">
        <f>XLOOKUP(K105, pharmaceutical_index!B:B, pharmaceutical_index!A:A, "Not Found")</f>
      </c>
      <c r="J105" s="1" t="s">
        <v>267</v>
      </c>
      <c r="K105" s="1" t="s">
        <v>267</v>
      </c>
      <c r="L105" s="1" t="s">
        <v>20</v>
      </c>
      <c r="M105" s="1" t="s">
        <v>267</v>
      </c>
      <c r="N105" s="2"/>
      <c r="O105" s="2"/>
      <c r="P105" s="2"/>
      <c r="Q105" s="2"/>
    </row>
    <row x14ac:dyDescent="0.25" r="106" customHeight="1" ht="17.25">
      <c r="A106" s="1" t="s">
        <v>3732</v>
      </c>
      <c r="B106" s="1" t="s">
        <v>269</v>
      </c>
      <c r="C106" s="1" t="s">
        <v>3733</v>
      </c>
      <c r="D106" s="1" t="s">
        <v>270</v>
      </c>
      <c r="E106" s="1" t="s">
        <v>3572</v>
      </c>
      <c r="F106" s="1" t="s">
        <v>3573</v>
      </c>
      <c r="G106" s="1" t="s">
        <v>3574</v>
      </c>
      <c r="H106" s="2"/>
      <c r="I106" s="5">
        <f>XLOOKUP(K106, pharmaceutical_index!B:B, pharmaceutical_index!A:A, "Not Found")</f>
      </c>
      <c r="J106" s="1" t="s">
        <v>269</v>
      </c>
      <c r="K106" s="1" t="s">
        <v>269</v>
      </c>
      <c r="L106" s="1" t="s">
        <v>270</v>
      </c>
      <c r="M106" s="1" t="s">
        <v>269</v>
      </c>
      <c r="N106" s="2"/>
      <c r="O106" s="2"/>
      <c r="P106" s="2"/>
      <c r="Q106" s="2"/>
    </row>
    <row x14ac:dyDescent="0.25" r="107" customHeight="1" ht="17.25">
      <c r="A107" s="1" t="s">
        <v>3734</v>
      </c>
      <c r="B107" s="1" t="s">
        <v>272</v>
      </c>
      <c r="C107" s="1" t="s">
        <v>3571</v>
      </c>
      <c r="D107" s="1" t="s">
        <v>76</v>
      </c>
      <c r="E107" s="1" t="s">
        <v>3572</v>
      </c>
      <c r="F107" s="1" t="s">
        <v>3573</v>
      </c>
      <c r="G107" s="1" t="s">
        <v>3574</v>
      </c>
      <c r="H107" s="2"/>
      <c r="I107" s="5">
        <f>XLOOKUP(K107, pharmaceutical_index!B:B, pharmaceutical_index!A:A, "Not Found")</f>
      </c>
      <c r="J107" s="1" t="s">
        <v>272</v>
      </c>
      <c r="K107" s="1" t="s">
        <v>272</v>
      </c>
      <c r="L107" s="1" t="s">
        <v>76</v>
      </c>
      <c r="M107" s="1" t="s">
        <v>272</v>
      </c>
      <c r="N107" s="2"/>
      <c r="O107" s="2"/>
      <c r="P107" s="2"/>
      <c r="Q107" s="2"/>
    </row>
    <row x14ac:dyDescent="0.25" r="108" customHeight="1" ht="17.25">
      <c r="A108" s="1" t="s">
        <v>3735</v>
      </c>
      <c r="B108" s="1" t="s">
        <v>274</v>
      </c>
      <c r="C108" s="1" t="s">
        <v>3583</v>
      </c>
      <c r="D108" s="1" t="s">
        <v>20</v>
      </c>
      <c r="E108" s="1" t="s">
        <v>3572</v>
      </c>
      <c r="F108" s="1" t="s">
        <v>3573</v>
      </c>
      <c r="G108" s="1" t="s">
        <v>3574</v>
      </c>
      <c r="H108" s="2"/>
      <c r="I108" s="5">
        <f>XLOOKUP(K108, pharmaceutical_index!B:B, pharmaceutical_index!A:A, "Not Found")</f>
      </c>
      <c r="J108" s="1" t="s">
        <v>274</v>
      </c>
      <c r="K108" s="1" t="s">
        <v>274</v>
      </c>
      <c r="L108" s="1" t="s">
        <v>20</v>
      </c>
      <c r="M108" s="1" t="s">
        <v>274</v>
      </c>
      <c r="N108" s="2"/>
      <c r="O108" s="2"/>
      <c r="P108" s="2"/>
      <c r="Q108" s="2"/>
    </row>
    <row x14ac:dyDescent="0.25" r="109" customHeight="1" ht="17.25">
      <c r="A109" s="1" t="s">
        <v>3736</v>
      </c>
      <c r="B109" s="1" t="s">
        <v>276</v>
      </c>
      <c r="C109" s="1" t="s">
        <v>3571</v>
      </c>
      <c r="D109" s="1" t="s">
        <v>76</v>
      </c>
      <c r="E109" s="1" t="s">
        <v>3572</v>
      </c>
      <c r="F109" s="1" t="s">
        <v>3573</v>
      </c>
      <c r="G109" s="1" t="s">
        <v>3574</v>
      </c>
      <c r="H109" s="2"/>
      <c r="I109" s="5">
        <f>XLOOKUP(K109, pharmaceutical_index!B:B, pharmaceutical_index!A:A, "Not Found")</f>
      </c>
      <c r="J109" s="1" t="s">
        <v>276</v>
      </c>
      <c r="K109" s="1" t="s">
        <v>276</v>
      </c>
      <c r="L109" s="1" t="s">
        <v>76</v>
      </c>
      <c r="M109" s="1" t="s">
        <v>276</v>
      </c>
      <c r="N109" s="2"/>
      <c r="O109" s="2"/>
      <c r="P109" s="2"/>
      <c r="Q109" s="2"/>
    </row>
    <row x14ac:dyDescent="0.25" r="110" customHeight="1" ht="17.25">
      <c r="A110" s="1" t="s">
        <v>3737</v>
      </c>
      <c r="B110" s="1" t="s">
        <v>278</v>
      </c>
      <c r="C110" s="1" t="s">
        <v>3571</v>
      </c>
      <c r="D110" s="1" t="s">
        <v>76</v>
      </c>
      <c r="E110" s="1" t="s">
        <v>3572</v>
      </c>
      <c r="F110" s="1" t="s">
        <v>3573</v>
      </c>
      <c r="G110" s="1" t="s">
        <v>3574</v>
      </c>
      <c r="H110" s="2"/>
      <c r="I110" s="5">
        <f>XLOOKUP(K110, pharmaceutical_index!B:B, pharmaceutical_index!A:A, "Not Found")</f>
      </c>
      <c r="J110" s="1" t="s">
        <v>278</v>
      </c>
      <c r="K110" s="1" t="s">
        <v>278</v>
      </c>
      <c r="L110" s="1" t="s">
        <v>76</v>
      </c>
      <c r="M110" s="1" t="s">
        <v>278</v>
      </c>
      <c r="N110" s="2"/>
      <c r="O110" s="2"/>
      <c r="P110" s="2"/>
      <c r="Q110" s="2"/>
    </row>
    <row x14ac:dyDescent="0.25" r="111" customHeight="1" ht="17.25">
      <c r="A111" s="1" t="s">
        <v>3738</v>
      </c>
      <c r="B111" s="1" t="s">
        <v>280</v>
      </c>
      <c r="C111" s="1" t="s">
        <v>3600</v>
      </c>
      <c r="D111" s="1" t="s">
        <v>281</v>
      </c>
      <c r="E111" s="1" t="s">
        <v>3572</v>
      </c>
      <c r="F111" s="1" t="s">
        <v>3573</v>
      </c>
      <c r="G111" s="1" t="s">
        <v>3574</v>
      </c>
      <c r="H111" s="2"/>
      <c r="I111" s="5">
        <f>XLOOKUP(K111, pharmaceutical_index!B:B, pharmaceutical_index!A:A, "Not Found")</f>
      </c>
      <c r="J111" s="1" t="s">
        <v>280</v>
      </c>
      <c r="K111" s="1" t="s">
        <v>280</v>
      </c>
      <c r="L111" s="1" t="s">
        <v>281</v>
      </c>
      <c r="M111" s="1" t="s">
        <v>280</v>
      </c>
      <c r="N111" s="2"/>
      <c r="O111" s="2"/>
      <c r="P111" s="2"/>
      <c r="Q111" s="2"/>
    </row>
    <row x14ac:dyDescent="0.25" r="112" customHeight="1" ht="17.25">
      <c r="A112" s="1" t="s">
        <v>3739</v>
      </c>
      <c r="B112" s="1" t="s">
        <v>283</v>
      </c>
      <c r="C112" s="1" t="s">
        <v>3571</v>
      </c>
      <c r="D112" s="1" t="s">
        <v>284</v>
      </c>
      <c r="E112" s="1" t="s">
        <v>3572</v>
      </c>
      <c r="F112" s="1" t="s">
        <v>3573</v>
      </c>
      <c r="G112" s="1" t="s">
        <v>3574</v>
      </c>
      <c r="H112" s="2"/>
      <c r="I112" s="5">
        <f>XLOOKUP(K112, pharmaceutical_index!B:B, pharmaceutical_index!A:A, "Not Found")</f>
      </c>
      <c r="J112" s="1" t="s">
        <v>283</v>
      </c>
      <c r="K112" s="1" t="s">
        <v>283</v>
      </c>
      <c r="L112" s="1" t="s">
        <v>284</v>
      </c>
      <c r="M112" s="1" t="s">
        <v>283</v>
      </c>
      <c r="N112" s="2"/>
      <c r="O112" s="2"/>
      <c r="P112" s="2"/>
      <c r="Q112" s="2"/>
    </row>
    <row x14ac:dyDescent="0.25" r="113" customHeight="1" ht="17.25">
      <c r="A113" s="1" t="s">
        <v>3740</v>
      </c>
      <c r="B113" s="1" t="s">
        <v>286</v>
      </c>
      <c r="C113" s="1" t="s">
        <v>3610</v>
      </c>
      <c r="D113" s="1" t="s">
        <v>287</v>
      </c>
      <c r="E113" s="1" t="s">
        <v>3572</v>
      </c>
      <c r="F113" s="1" t="s">
        <v>3573</v>
      </c>
      <c r="G113" s="1" t="s">
        <v>3574</v>
      </c>
      <c r="H113" s="2"/>
      <c r="I113" s="5">
        <f>XLOOKUP(K113, pharmaceutical_index!B:B, pharmaceutical_index!A:A, "Not Found")</f>
      </c>
      <c r="J113" s="1" t="s">
        <v>286</v>
      </c>
      <c r="K113" s="1" t="s">
        <v>286</v>
      </c>
      <c r="L113" s="1" t="s">
        <v>287</v>
      </c>
      <c r="M113" s="1" t="s">
        <v>286</v>
      </c>
      <c r="N113" s="2"/>
      <c r="O113" s="2"/>
      <c r="P113" s="2"/>
      <c r="Q113" s="2"/>
    </row>
    <row x14ac:dyDescent="0.25" r="114" customHeight="1" ht="17.25">
      <c r="A114" s="1" t="s">
        <v>3741</v>
      </c>
      <c r="B114" s="1" t="s">
        <v>289</v>
      </c>
      <c r="C114" s="1" t="s">
        <v>3701</v>
      </c>
      <c r="D114" s="1" t="s">
        <v>20</v>
      </c>
      <c r="E114" s="1" t="s">
        <v>3572</v>
      </c>
      <c r="F114" s="1" t="s">
        <v>3573</v>
      </c>
      <c r="G114" s="1" t="s">
        <v>3574</v>
      </c>
      <c r="H114" s="2"/>
      <c r="I114" s="5">
        <f>XLOOKUP(K114, pharmaceutical_index!B:B, pharmaceutical_index!A:A, "Not Found")</f>
      </c>
      <c r="J114" s="1" t="s">
        <v>289</v>
      </c>
      <c r="K114" s="1" t="s">
        <v>289</v>
      </c>
      <c r="L114" s="1" t="s">
        <v>20</v>
      </c>
      <c r="M114" s="1" t="s">
        <v>289</v>
      </c>
      <c r="N114" s="2"/>
      <c r="O114" s="2"/>
      <c r="P114" s="2"/>
      <c r="Q114" s="2"/>
    </row>
    <row x14ac:dyDescent="0.25" r="115" customHeight="1" ht="17.25">
      <c r="A115" s="1" t="s">
        <v>3742</v>
      </c>
      <c r="B115" s="1" t="s">
        <v>291</v>
      </c>
      <c r="C115" s="1" t="s">
        <v>3643</v>
      </c>
      <c r="D115" s="1" t="s">
        <v>120</v>
      </c>
      <c r="E115" s="1" t="s">
        <v>3572</v>
      </c>
      <c r="F115" s="1" t="s">
        <v>3573</v>
      </c>
      <c r="G115" s="1" t="s">
        <v>3574</v>
      </c>
      <c r="H115" s="2"/>
      <c r="I115" s="5">
        <f>XLOOKUP(K115, pharmaceutical_index!B:B, pharmaceutical_index!A:A, "Not Found")</f>
      </c>
      <c r="J115" s="1" t="s">
        <v>291</v>
      </c>
      <c r="K115" s="1" t="s">
        <v>291</v>
      </c>
      <c r="L115" s="1" t="s">
        <v>120</v>
      </c>
      <c r="M115" s="1" t="s">
        <v>291</v>
      </c>
      <c r="N115" s="2"/>
      <c r="O115" s="2"/>
      <c r="P115" s="2"/>
      <c r="Q115" s="2"/>
    </row>
    <row x14ac:dyDescent="0.25" r="116" customHeight="1" ht="17.25">
      <c r="A116" s="1" t="s">
        <v>3743</v>
      </c>
      <c r="B116" s="1" t="s">
        <v>293</v>
      </c>
      <c r="C116" s="1" t="s">
        <v>3589</v>
      </c>
      <c r="D116" s="1" t="s">
        <v>33</v>
      </c>
      <c r="E116" s="1" t="s">
        <v>3572</v>
      </c>
      <c r="F116" s="1" t="s">
        <v>3573</v>
      </c>
      <c r="G116" s="1" t="s">
        <v>3574</v>
      </c>
      <c r="H116" s="2"/>
      <c r="I116" s="5">
        <f>XLOOKUP(K116, pharmaceutical_index!B:B, pharmaceutical_index!A:A, "Not Found")</f>
      </c>
      <c r="J116" s="1" t="s">
        <v>293</v>
      </c>
      <c r="K116" s="1" t="s">
        <v>293</v>
      </c>
      <c r="L116" s="1" t="s">
        <v>33</v>
      </c>
      <c r="M116" s="1" t="s">
        <v>293</v>
      </c>
      <c r="N116" s="2"/>
      <c r="O116" s="2"/>
      <c r="P116" s="2"/>
      <c r="Q116" s="2"/>
    </row>
    <row x14ac:dyDescent="0.25" r="117" customHeight="1" ht="17.25">
      <c r="A117" s="1" t="s">
        <v>3744</v>
      </c>
      <c r="B117" s="1" t="s">
        <v>295</v>
      </c>
      <c r="C117" s="1" t="s">
        <v>3571</v>
      </c>
      <c r="D117" s="1" t="s">
        <v>81</v>
      </c>
      <c r="E117" s="1" t="s">
        <v>3572</v>
      </c>
      <c r="F117" s="1" t="s">
        <v>3573</v>
      </c>
      <c r="G117" s="1" t="s">
        <v>3574</v>
      </c>
      <c r="H117" s="2"/>
      <c r="I117" s="5">
        <f>XLOOKUP(K117, pharmaceutical_index!B:B, pharmaceutical_index!A:A, "Not Found")</f>
      </c>
      <c r="J117" s="1" t="s">
        <v>295</v>
      </c>
      <c r="K117" s="1" t="s">
        <v>295</v>
      </c>
      <c r="L117" s="1" t="s">
        <v>81</v>
      </c>
      <c r="M117" s="1" t="s">
        <v>295</v>
      </c>
      <c r="N117" s="2"/>
      <c r="O117" s="2"/>
      <c r="P117" s="2"/>
      <c r="Q117" s="2"/>
    </row>
    <row x14ac:dyDescent="0.25" r="118" customHeight="1" ht="17.25">
      <c r="A118" s="1" t="s">
        <v>3745</v>
      </c>
      <c r="B118" s="1" t="s">
        <v>297</v>
      </c>
      <c r="C118" s="1" t="s">
        <v>3571</v>
      </c>
      <c r="D118" s="1" t="s">
        <v>76</v>
      </c>
      <c r="E118" s="1" t="s">
        <v>3572</v>
      </c>
      <c r="F118" s="1" t="s">
        <v>3573</v>
      </c>
      <c r="G118" s="1" t="s">
        <v>3574</v>
      </c>
      <c r="H118" s="2"/>
      <c r="I118" s="5">
        <f>XLOOKUP(K118, pharmaceutical_index!B:B, pharmaceutical_index!A:A, "Not Found")</f>
      </c>
      <c r="J118" s="1" t="s">
        <v>297</v>
      </c>
      <c r="K118" s="1" t="s">
        <v>297</v>
      </c>
      <c r="L118" s="1" t="s">
        <v>76</v>
      </c>
      <c r="M118" s="1" t="s">
        <v>297</v>
      </c>
      <c r="N118" s="2"/>
      <c r="O118" s="2"/>
      <c r="P118" s="2"/>
      <c r="Q118" s="2"/>
    </row>
    <row x14ac:dyDescent="0.25" r="119" customHeight="1" ht="17.25">
      <c r="A119" s="1" t="s">
        <v>3746</v>
      </c>
      <c r="B119" s="1" t="s">
        <v>299</v>
      </c>
      <c r="C119" s="1" t="s">
        <v>3571</v>
      </c>
      <c r="D119" s="1" t="s">
        <v>20</v>
      </c>
      <c r="E119" s="1" t="s">
        <v>3572</v>
      </c>
      <c r="F119" s="1" t="s">
        <v>3573</v>
      </c>
      <c r="G119" s="1" t="s">
        <v>3574</v>
      </c>
      <c r="H119" s="2"/>
      <c r="I119" s="5">
        <f>XLOOKUP(K119, pharmaceutical_index!B:B, pharmaceutical_index!A:A, "Not Found")</f>
      </c>
      <c r="J119" s="1" t="s">
        <v>299</v>
      </c>
      <c r="K119" s="1" t="s">
        <v>299</v>
      </c>
      <c r="L119" s="1" t="s">
        <v>20</v>
      </c>
      <c r="M119" s="1" t="s">
        <v>299</v>
      </c>
      <c r="N119" s="2"/>
      <c r="O119" s="2"/>
      <c r="P119" s="2"/>
      <c r="Q119" s="2"/>
    </row>
    <row x14ac:dyDescent="0.25" r="120" customHeight="1" ht="17.25">
      <c r="A120" s="1" t="s">
        <v>3747</v>
      </c>
      <c r="B120" s="1" t="s">
        <v>301</v>
      </c>
      <c r="C120" s="1" t="s">
        <v>3619</v>
      </c>
      <c r="D120" s="1" t="s">
        <v>302</v>
      </c>
      <c r="E120" s="1" t="s">
        <v>3572</v>
      </c>
      <c r="F120" s="1" t="s">
        <v>3573</v>
      </c>
      <c r="G120" s="1" t="s">
        <v>3574</v>
      </c>
      <c r="H120" s="2"/>
      <c r="I120" s="5">
        <f>XLOOKUP(K120, pharmaceutical_index!B:B, pharmaceutical_index!A:A, "Not Found")</f>
      </c>
      <c r="J120" s="1" t="s">
        <v>301</v>
      </c>
      <c r="K120" s="1" t="s">
        <v>301</v>
      </c>
      <c r="L120" s="1" t="s">
        <v>302</v>
      </c>
      <c r="M120" s="1" t="s">
        <v>301</v>
      </c>
      <c r="N120" s="2"/>
      <c r="O120" s="2"/>
      <c r="P120" s="2"/>
      <c r="Q120" s="2"/>
    </row>
    <row x14ac:dyDescent="0.25" r="121" customHeight="1" ht="17.25">
      <c r="A121" s="1" t="s">
        <v>3748</v>
      </c>
      <c r="B121" s="1" t="s">
        <v>304</v>
      </c>
      <c r="C121" s="1" t="s">
        <v>3619</v>
      </c>
      <c r="D121" s="1" t="s">
        <v>302</v>
      </c>
      <c r="E121" s="1" t="s">
        <v>3572</v>
      </c>
      <c r="F121" s="1" t="s">
        <v>3573</v>
      </c>
      <c r="G121" s="1" t="s">
        <v>3574</v>
      </c>
      <c r="H121" s="2"/>
      <c r="I121" s="5">
        <f>XLOOKUP(K121, pharmaceutical_index!B:B, pharmaceutical_index!A:A, "Not Found")</f>
      </c>
      <c r="J121" s="1" t="s">
        <v>304</v>
      </c>
      <c r="K121" s="1" t="s">
        <v>304</v>
      </c>
      <c r="L121" s="1" t="s">
        <v>302</v>
      </c>
      <c r="M121" s="1" t="s">
        <v>304</v>
      </c>
      <c r="N121" s="2"/>
      <c r="O121" s="2"/>
      <c r="P121" s="2"/>
      <c r="Q121" s="2"/>
    </row>
    <row x14ac:dyDescent="0.25" r="122" customHeight="1" ht="17.25">
      <c r="A122" s="1" t="s">
        <v>3749</v>
      </c>
      <c r="B122" s="1" t="s">
        <v>306</v>
      </c>
      <c r="C122" s="1" t="s">
        <v>3600</v>
      </c>
      <c r="D122" s="1" t="s">
        <v>54</v>
      </c>
      <c r="E122" s="1" t="s">
        <v>3572</v>
      </c>
      <c r="F122" s="1" t="s">
        <v>3573</v>
      </c>
      <c r="G122" s="1" t="s">
        <v>3574</v>
      </c>
      <c r="H122" s="2"/>
      <c r="I122" s="5">
        <f>XLOOKUP(K122, pharmaceutical_index!B:B, pharmaceutical_index!A:A, "Not Found")</f>
      </c>
      <c r="J122" s="1" t="s">
        <v>306</v>
      </c>
      <c r="K122" s="1" t="s">
        <v>306</v>
      </c>
      <c r="L122" s="1" t="s">
        <v>54</v>
      </c>
      <c r="M122" s="1" t="s">
        <v>306</v>
      </c>
      <c r="N122" s="2"/>
      <c r="O122" s="2"/>
      <c r="P122" s="2"/>
      <c r="Q122" s="2"/>
    </row>
    <row x14ac:dyDescent="0.25" r="123" customHeight="1" ht="17.25">
      <c r="A123" s="1" t="s">
        <v>3750</v>
      </c>
      <c r="B123" s="1" t="s">
        <v>308</v>
      </c>
      <c r="C123" s="1" t="s">
        <v>3674</v>
      </c>
      <c r="D123" s="1" t="s">
        <v>20</v>
      </c>
      <c r="E123" s="1" t="s">
        <v>3572</v>
      </c>
      <c r="F123" s="1" t="s">
        <v>3573</v>
      </c>
      <c r="G123" s="1" t="s">
        <v>3574</v>
      </c>
      <c r="H123" s="2"/>
      <c r="I123" s="5">
        <f>XLOOKUP(K123, pharmaceutical_index!B:B, pharmaceutical_index!A:A, "Not Found")</f>
      </c>
      <c r="J123" s="1" t="s">
        <v>308</v>
      </c>
      <c r="K123" s="1" t="s">
        <v>308</v>
      </c>
      <c r="L123" s="1" t="s">
        <v>20</v>
      </c>
      <c r="M123" s="1" t="s">
        <v>308</v>
      </c>
      <c r="N123" s="2"/>
      <c r="O123" s="2"/>
      <c r="P123" s="2"/>
      <c r="Q123" s="2"/>
    </row>
    <row x14ac:dyDescent="0.25" r="124" customHeight="1" ht="17.25">
      <c r="A124" s="1" t="s">
        <v>3751</v>
      </c>
      <c r="B124" s="1" t="s">
        <v>310</v>
      </c>
      <c r="C124" s="1" t="s">
        <v>3597</v>
      </c>
      <c r="D124" s="1" t="s">
        <v>48</v>
      </c>
      <c r="E124" s="1" t="s">
        <v>3572</v>
      </c>
      <c r="F124" s="1" t="s">
        <v>3573</v>
      </c>
      <c r="G124" s="1" t="s">
        <v>3574</v>
      </c>
      <c r="H124" s="2"/>
      <c r="I124" s="5">
        <f>XLOOKUP(K124, pharmaceutical_index!B:B, pharmaceutical_index!A:A, "Not Found")</f>
      </c>
      <c r="J124" s="1" t="s">
        <v>310</v>
      </c>
      <c r="K124" s="1" t="s">
        <v>310</v>
      </c>
      <c r="L124" s="1" t="s">
        <v>48</v>
      </c>
      <c r="M124" s="1" t="s">
        <v>310</v>
      </c>
      <c r="N124" s="2"/>
      <c r="O124" s="2"/>
      <c r="P124" s="2"/>
      <c r="Q124" s="2"/>
    </row>
    <row x14ac:dyDescent="0.25" r="125" customHeight="1" ht="17.25">
      <c r="A125" s="1" t="s">
        <v>3752</v>
      </c>
      <c r="B125" s="1" t="s">
        <v>312</v>
      </c>
      <c r="C125" s="1" t="s">
        <v>3753</v>
      </c>
      <c r="D125" s="1" t="s">
        <v>20</v>
      </c>
      <c r="E125" s="1" t="s">
        <v>3572</v>
      </c>
      <c r="F125" s="1" t="s">
        <v>3573</v>
      </c>
      <c r="G125" s="1" t="s">
        <v>3574</v>
      </c>
      <c r="H125" s="2"/>
      <c r="I125" s="5">
        <f>XLOOKUP(K125, pharmaceutical_index!B:B, pharmaceutical_index!A:A, "Not Found")</f>
      </c>
      <c r="J125" s="1" t="s">
        <v>312</v>
      </c>
      <c r="K125" s="1" t="s">
        <v>312</v>
      </c>
      <c r="L125" s="1" t="s">
        <v>20</v>
      </c>
      <c r="M125" s="1" t="s">
        <v>312</v>
      </c>
      <c r="N125" s="2"/>
      <c r="O125" s="2"/>
      <c r="P125" s="2"/>
      <c r="Q125" s="2"/>
    </row>
    <row x14ac:dyDescent="0.25" r="126" customHeight="1" ht="17.25">
      <c r="A126" s="1" t="s">
        <v>3754</v>
      </c>
      <c r="B126" s="1" t="s">
        <v>314</v>
      </c>
      <c r="C126" s="1" t="s">
        <v>3755</v>
      </c>
      <c r="D126" s="1" t="s">
        <v>20</v>
      </c>
      <c r="E126" s="1" t="s">
        <v>3572</v>
      </c>
      <c r="F126" s="1" t="s">
        <v>3573</v>
      </c>
      <c r="G126" s="1" t="s">
        <v>3574</v>
      </c>
      <c r="H126" s="2"/>
      <c r="I126" s="5">
        <f>XLOOKUP(K126, pharmaceutical_index!B:B, pharmaceutical_index!A:A, "Not Found")</f>
      </c>
      <c r="J126" s="1" t="s">
        <v>314</v>
      </c>
      <c r="K126" s="1" t="s">
        <v>314</v>
      </c>
      <c r="L126" s="1" t="s">
        <v>20</v>
      </c>
      <c r="M126" s="1" t="s">
        <v>314</v>
      </c>
      <c r="N126" s="2"/>
      <c r="O126" s="2"/>
      <c r="P126" s="2"/>
      <c r="Q126" s="2"/>
    </row>
    <row x14ac:dyDescent="0.25" r="127" customHeight="1" ht="17.25">
      <c r="A127" s="1" t="s">
        <v>3756</v>
      </c>
      <c r="B127" s="1" t="s">
        <v>316</v>
      </c>
      <c r="C127" s="1" t="s">
        <v>3600</v>
      </c>
      <c r="D127" s="1" t="s">
        <v>157</v>
      </c>
      <c r="E127" s="1" t="s">
        <v>3572</v>
      </c>
      <c r="F127" s="1" t="s">
        <v>3573</v>
      </c>
      <c r="G127" s="1" t="s">
        <v>3574</v>
      </c>
      <c r="H127" s="2"/>
      <c r="I127" s="5">
        <f>XLOOKUP(K127, pharmaceutical_index!B:B, pharmaceutical_index!A:A, "Not Found")</f>
      </c>
      <c r="J127" s="1" t="s">
        <v>316</v>
      </c>
      <c r="K127" s="1" t="s">
        <v>316</v>
      </c>
      <c r="L127" s="1" t="s">
        <v>157</v>
      </c>
      <c r="M127" s="1" t="s">
        <v>316</v>
      </c>
      <c r="N127" s="2"/>
      <c r="O127" s="2"/>
      <c r="P127" s="2"/>
      <c r="Q127" s="2"/>
    </row>
    <row x14ac:dyDescent="0.25" r="128" customHeight="1" ht="17.25">
      <c r="A128" s="1" t="s">
        <v>3757</v>
      </c>
      <c r="B128" s="1" t="s">
        <v>318</v>
      </c>
      <c r="C128" s="1" t="s">
        <v>3597</v>
      </c>
      <c r="D128" s="1" t="s">
        <v>319</v>
      </c>
      <c r="E128" s="1" t="s">
        <v>3572</v>
      </c>
      <c r="F128" s="1" t="s">
        <v>3573</v>
      </c>
      <c r="G128" s="1" t="s">
        <v>3574</v>
      </c>
      <c r="H128" s="2"/>
      <c r="I128" s="5">
        <f>XLOOKUP(K128, pharmaceutical_index!B:B, pharmaceutical_index!A:A, "Not Found")</f>
      </c>
      <c r="J128" s="1" t="s">
        <v>318</v>
      </c>
      <c r="K128" s="1" t="s">
        <v>318</v>
      </c>
      <c r="L128" s="1" t="s">
        <v>319</v>
      </c>
      <c r="M128" s="1" t="s">
        <v>318</v>
      </c>
      <c r="N128" s="2"/>
      <c r="O128" s="2"/>
      <c r="P128" s="2"/>
      <c r="Q128" s="2"/>
    </row>
    <row x14ac:dyDescent="0.25" r="129" customHeight="1" ht="17.25">
      <c r="A129" s="1" t="s">
        <v>3758</v>
      </c>
      <c r="B129" s="1" t="s">
        <v>321</v>
      </c>
      <c r="C129" s="1" t="s">
        <v>3583</v>
      </c>
      <c r="D129" s="1" t="s">
        <v>20</v>
      </c>
      <c r="E129" s="1" t="s">
        <v>3572</v>
      </c>
      <c r="F129" s="1" t="s">
        <v>3573</v>
      </c>
      <c r="G129" s="1" t="s">
        <v>3574</v>
      </c>
      <c r="H129" s="2"/>
      <c r="I129" s="5">
        <f>XLOOKUP(K129, pharmaceutical_index!B:B, pharmaceutical_index!A:A, "Not Found")</f>
      </c>
      <c r="J129" s="1" t="s">
        <v>321</v>
      </c>
      <c r="K129" s="1" t="s">
        <v>321</v>
      </c>
      <c r="L129" s="1" t="s">
        <v>20</v>
      </c>
      <c r="M129" s="1" t="s">
        <v>321</v>
      </c>
      <c r="N129" s="2"/>
      <c r="O129" s="2"/>
      <c r="P129" s="2"/>
      <c r="Q129" s="2"/>
    </row>
    <row x14ac:dyDescent="0.25" r="130" customHeight="1" ht="17.25">
      <c r="A130" s="1" t="s">
        <v>3759</v>
      </c>
      <c r="B130" s="1" t="s">
        <v>323</v>
      </c>
      <c r="C130" s="1" t="s">
        <v>3571</v>
      </c>
      <c r="D130" s="1" t="s">
        <v>59</v>
      </c>
      <c r="E130" s="1" t="s">
        <v>3572</v>
      </c>
      <c r="F130" s="1" t="s">
        <v>3573</v>
      </c>
      <c r="G130" s="1" t="s">
        <v>3574</v>
      </c>
      <c r="H130" s="2"/>
      <c r="I130" s="5">
        <f>XLOOKUP(K130, pharmaceutical_index!B:B, pharmaceutical_index!A:A, "Not Found")</f>
      </c>
      <c r="J130" s="1" t="s">
        <v>323</v>
      </c>
      <c r="K130" s="1" t="s">
        <v>323</v>
      </c>
      <c r="L130" s="1" t="s">
        <v>59</v>
      </c>
      <c r="M130" s="1" t="s">
        <v>323</v>
      </c>
      <c r="N130" s="2"/>
      <c r="O130" s="2"/>
      <c r="P130" s="2"/>
      <c r="Q130" s="2"/>
    </row>
    <row x14ac:dyDescent="0.25" r="131" customHeight="1" ht="17.25">
      <c r="A131" s="1" t="s">
        <v>3760</v>
      </c>
      <c r="B131" s="1" t="s">
        <v>325</v>
      </c>
      <c r="C131" s="1" t="s">
        <v>3583</v>
      </c>
      <c r="D131" s="1" t="s">
        <v>20</v>
      </c>
      <c r="E131" s="1" t="s">
        <v>3572</v>
      </c>
      <c r="F131" s="1" t="s">
        <v>3573</v>
      </c>
      <c r="G131" s="1" t="s">
        <v>3574</v>
      </c>
      <c r="H131" s="2"/>
      <c r="I131" s="5">
        <f>XLOOKUP(K131, pharmaceutical_index!B:B, pharmaceutical_index!A:A, "Not Found")</f>
      </c>
      <c r="J131" s="1" t="s">
        <v>325</v>
      </c>
      <c r="K131" s="1" t="s">
        <v>325</v>
      </c>
      <c r="L131" s="1" t="s">
        <v>20</v>
      </c>
      <c r="M131" s="1" t="s">
        <v>325</v>
      </c>
      <c r="N131" s="2"/>
      <c r="O131" s="2"/>
      <c r="P131" s="2"/>
      <c r="Q131" s="2"/>
    </row>
    <row x14ac:dyDescent="0.25" r="132" customHeight="1" ht="17.25">
      <c r="A132" s="1" t="s">
        <v>3761</v>
      </c>
      <c r="B132" s="1" t="s">
        <v>327</v>
      </c>
      <c r="C132" s="1" t="s">
        <v>3762</v>
      </c>
      <c r="D132" s="1" t="s">
        <v>328</v>
      </c>
      <c r="E132" s="1" t="s">
        <v>3572</v>
      </c>
      <c r="F132" s="1" t="s">
        <v>3573</v>
      </c>
      <c r="G132" s="1" t="s">
        <v>3574</v>
      </c>
      <c r="H132" s="2"/>
      <c r="I132" s="5">
        <f>XLOOKUP(K132, pharmaceutical_index!B:B, pharmaceutical_index!A:A, "Not Found")</f>
      </c>
      <c r="J132" s="1" t="s">
        <v>327</v>
      </c>
      <c r="K132" s="1" t="s">
        <v>327</v>
      </c>
      <c r="L132" s="1" t="s">
        <v>328</v>
      </c>
      <c r="M132" s="1" t="s">
        <v>327</v>
      </c>
      <c r="N132" s="2"/>
      <c r="O132" s="2"/>
      <c r="P132" s="2"/>
      <c r="Q132" s="2"/>
    </row>
    <row x14ac:dyDescent="0.25" r="133" customHeight="1" ht="17.25">
      <c r="A133" s="1" t="s">
        <v>3763</v>
      </c>
      <c r="B133" s="1" t="s">
        <v>330</v>
      </c>
      <c r="C133" s="1" t="s">
        <v>3583</v>
      </c>
      <c r="D133" s="1" t="s">
        <v>20</v>
      </c>
      <c r="E133" s="1" t="s">
        <v>3572</v>
      </c>
      <c r="F133" s="1" t="s">
        <v>3573</v>
      </c>
      <c r="G133" s="1" t="s">
        <v>3574</v>
      </c>
      <c r="H133" s="2"/>
      <c r="I133" s="5">
        <f>XLOOKUP(K133, pharmaceutical_index!B:B, pharmaceutical_index!A:A, "Not Found")</f>
      </c>
      <c r="J133" s="1" t="s">
        <v>3764</v>
      </c>
      <c r="K133" s="1" t="s">
        <v>330</v>
      </c>
      <c r="L133" s="1" t="s">
        <v>20</v>
      </c>
      <c r="M133" s="1" t="s">
        <v>3764</v>
      </c>
      <c r="N133" s="2"/>
      <c r="O133" s="2"/>
      <c r="P133" s="2"/>
      <c r="Q133" s="2"/>
    </row>
    <row x14ac:dyDescent="0.25" r="134" customHeight="1" ht="17.25">
      <c r="A134" s="1" t="s">
        <v>3765</v>
      </c>
      <c r="B134" s="1" t="s">
        <v>332</v>
      </c>
      <c r="C134" s="1" t="s">
        <v>3571</v>
      </c>
      <c r="D134" s="1" t="s">
        <v>333</v>
      </c>
      <c r="E134" s="1" t="s">
        <v>3572</v>
      </c>
      <c r="F134" s="1" t="s">
        <v>3573</v>
      </c>
      <c r="G134" s="1" t="s">
        <v>3574</v>
      </c>
      <c r="H134" s="2"/>
      <c r="I134" s="5">
        <f>XLOOKUP(K134, pharmaceutical_index!B:B, pharmaceutical_index!A:A, "Not Found")</f>
      </c>
      <c r="J134" s="1" t="s">
        <v>332</v>
      </c>
      <c r="K134" s="1" t="s">
        <v>332</v>
      </c>
      <c r="L134" s="1" t="s">
        <v>333</v>
      </c>
      <c r="M134" s="1" t="s">
        <v>332</v>
      </c>
      <c r="N134" s="2"/>
      <c r="O134" s="2"/>
      <c r="P134" s="2"/>
      <c r="Q134" s="2"/>
    </row>
    <row x14ac:dyDescent="0.25" r="135" customHeight="1" ht="17.25">
      <c r="A135" s="1" t="s">
        <v>3766</v>
      </c>
      <c r="B135" s="1" t="s">
        <v>335</v>
      </c>
      <c r="C135" s="1" t="s">
        <v>3608</v>
      </c>
      <c r="D135" s="1" t="s">
        <v>265</v>
      </c>
      <c r="E135" s="1" t="s">
        <v>3572</v>
      </c>
      <c r="F135" s="1" t="s">
        <v>3573</v>
      </c>
      <c r="G135" s="1" t="s">
        <v>3574</v>
      </c>
      <c r="H135" s="2"/>
      <c r="I135" s="5">
        <f>XLOOKUP(K135, pharmaceutical_index!B:B, pharmaceutical_index!A:A, "Not Found")</f>
      </c>
      <c r="J135" s="1" t="s">
        <v>335</v>
      </c>
      <c r="K135" s="1" t="s">
        <v>335</v>
      </c>
      <c r="L135" s="1" t="s">
        <v>265</v>
      </c>
      <c r="M135" s="1" t="s">
        <v>335</v>
      </c>
      <c r="N135" s="2"/>
      <c r="O135" s="2"/>
      <c r="P135" s="2"/>
      <c r="Q135" s="2"/>
    </row>
    <row x14ac:dyDescent="0.25" r="136" customHeight="1" ht="17.25">
      <c r="A136" s="1" t="s">
        <v>3767</v>
      </c>
      <c r="B136" s="1" t="s">
        <v>337</v>
      </c>
      <c r="C136" s="1" t="s">
        <v>3571</v>
      </c>
      <c r="D136" s="1" t="s">
        <v>284</v>
      </c>
      <c r="E136" s="1" t="s">
        <v>3572</v>
      </c>
      <c r="F136" s="1" t="s">
        <v>3573</v>
      </c>
      <c r="G136" s="1" t="s">
        <v>3574</v>
      </c>
      <c r="H136" s="2"/>
      <c r="I136" s="5">
        <f>XLOOKUP(K136, pharmaceutical_index!B:B, pharmaceutical_index!A:A, "Not Found")</f>
      </c>
      <c r="J136" s="1" t="s">
        <v>337</v>
      </c>
      <c r="K136" s="1" t="s">
        <v>337</v>
      </c>
      <c r="L136" s="1" t="s">
        <v>284</v>
      </c>
      <c r="M136" s="1" t="s">
        <v>337</v>
      </c>
      <c r="N136" s="2"/>
      <c r="O136" s="2"/>
      <c r="P136" s="2"/>
      <c r="Q136" s="2"/>
    </row>
    <row x14ac:dyDescent="0.25" r="137" customHeight="1" ht="17.25">
      <c r="A137" s="1" t="s">
        <v>3768</v>
      </c>
      <c r="B137" s="1" t="s">
        <v>339</v>
      </c>
      <c r="C137" s="1" t="s">
        <v>3769</v>
      </c>
      <c r="D137" s="1" t="s">
        <v>340</v>
      </c>
      <c r="E137" s="1" t="s">
        <v>3572</v>
      </c>
      <c r="F137" s="1" t="s">
        <v>3573</v>
      </c>
      <c r="G137" s="1" t="s">
        <v>3574</v>
      </c>
      <c r="H137" s="2"/>
      <c r="I137" s="5">
        <f>XLOOKUP(K137, pharmaceutical_index!B:B, pharmaceutical_index!A:A, "Not Found")</f>
      </c>
      <c r="J137" s="1" t="s">
        <v>339</v>
      </c>
      <c r="K137" s="1" t="s">
        <v>339</v>
      </c>
      <c r="L137" s="1" t="s">
        <v>340</v>
      </c>
      <c r="M137" s="1" t="s">
        <v>339</v>
      </c>
      <c r="N137" s="2"/>
      <c r="O137" s="2"/>
      <c r="P137" s="2"/>
      <c r="Q137" s="2"/>
    </row>
    <row x14ac:dyDescent="0.25" r="138" customHeight="1" ht="17.25">
      <c r="A138" s="1" t="s">
        <v>3770</v>
      </c>
      <c r="B138" s="1" t="s">
        <v>342</v>
      </c>
      <c r="C138" s="1" t="s">
        <v>3583</v>
      </c>
      <c r="D138" s="1" t="s">
        <v>20</v>
      </c>
      <c r="E138" s="1" t="s">
        <v>3572</v>
      </c>
      <c r="F138" s="1" t="s">
        <v>3573</v>
      </c>
      <c r="G138" s="1" t="s">
        <v>3574</v>
      </c>
      <c r="H138" s="2"/>
      <c r="I138" s="5">
        <f>XLOOKUP(K138, pharmaceutical_index!B:B, pharmaceutical_index!A:A, "Not Found")</f>
      </c>
      <c r="J138" s="1" t="s">
        <v>342</v>
      </c>
      <c r="K138" s="1" t="s">
        <v>342</v>
      </c>
      <c r="L138" s="1" t="s">
        <v>20</v>
      </c>
      <c r="M138" s="1" t="s">
        <v>342</v>
      </c>
      <c r="N138" s="2"/>
      <c r="O138" s="2"/>
      <c r="P138" s="2"/>
      <c r="Q138" s="2"/>
    </row>
    <row x14ac:dyDescent="0.25" r="139" customHeight="1" ht="17.25">
      <c r="A139" s="1" t="s">
        <v>3771</v>
      </c>
      <c r="B139" s="1" t="s">
        <v>344</v>
      </c>
      <c r="C139" s="1" t="s">
        <v>3583</v>
      </c>
      <c r="D139" s="1" t="s">
        <v>20</v>
      </c>
      <c r="E139" s="1" t="s">
        <v>3572</v>
      </c>
      <c r="F139" s="1" t="s">
        <v>3573</v>
      </c>
      <c r="G139" s="1" t="s">
        <v>3574</v>
      </c>
      <c r="H139" s="2"/>
      <c r="I139" s="5">
        <f>XLOOKUP(K139, pharmaceutical_index!B:B, pharmaceutical_index!A:A, "Not Found")</f>
      </c>
      <c r="J139" s="1" t="s">
        <v>344</v>
      </c>
      <c r="K139" s="1" t="s">
        <v>344</v>
      </c>
      <c r="L139" s="1" t="s">
        <v>20</v>
      </c>
      <c r="M139" s="1" t="s">
        <v>344</v>
      </c>
      <c r="N139" s="2"/>
      <c r="O139" s="2"/>
      <c r="P139" s="2"/>
      <c r="Q139" s="2"/>
    </row>
    <row x14ac:dyDescent="0.25" r="140" customHeight="1" ht="17.25">
      <c r="A140" s="1" t="s">
        <v>3772</v>
      </c>
      <c r="B140" s="1" t="s">
        <v>346</v>
      </c>
      <c r="C140" s="1" t="s">
        <v>3571</v>
      </c>
      <c r="D140" s="1" t="s">
        <v>59</v>
      </c>
      <c r="E140" s="1" t="s">
        <v>3572</v>
      </c>
      <c r="F140" s="1" t="s">
        <v>3573</v>
      </c>
      <c r="G140" s="1" t="s">
        <v>3574</v>
      </c>
      <c r="H140" s="2"/>
      <c r="I140" s="5">
        <f>XLOOKUP(K140, pharmaceutical_index!B:B, pharmaceutical_index!A:A, "Not Found")</f>
      </c>
      <c r="J140" s="1" t="s">
        <v>346</v>
      </c>
      <c r="K140" s="1" t="s">
        <v>346</v>
      </c>
      <c r="L140" s="1" t="s">
        <v>59</v>
      </c>
      <c r="M140" s="1" t="s">
        <v>346</v>
      </c>
      <c r="N140" s="2"/>
      <c r="O140" s="2"/>
      <c r="P140" s="2"/>
      <c r="Q140" s="2"/>
    </row>
    <row x14ac:dyDescent="0.25" r="141" customHeight="1" ht="17.25">
      <c r="A141" s="1" t="s">
        <v>3773</v>
      </c>
      <c r="B141" s="1" t="s">
        <v>348</v>
      </c>
      <c r="C141" s="1" t="s">
        <v>3774</v>
      </c>
      <c r="D141" s="1" t="s">
        <v>20</v>
      </c>
      <c r="E141" s="1" t="s">
        <v>3572</v>
      </c>
      <c r="F141" s="1" t="s">
        <v>3573</v>
      </c>
      <c r="G141" s="1" t="s">
        <v>3574</v>
      </c>
      <c r="H141" s="2"/>
      <c r="I141" s="5">
        <f>XLOOKUP(K141, pharmaceutical_index!B:B, pharmaceutical_index!A:A, "Not Found")</f>
      </c>
      <c r="J141" s="1" t="s">
        <v>348</v>
      </c>
      <c r="K141" s="1" t="s">
        <v>348</v>
      </c>
      <c r="L141" s="1" t="s">
        <v>20</v>
      </c>
      <c r="M141" s="1" t="s">
        <v>348</v>
      </c>
      <c r="N141" s="2"/>
      <c r="O141" s="2"/>
      <c r="P141" s="2"/>
      <c r="Q141" s="2"/>
    </row>
    <row x14ac:dyDescent="0.25" r="142" customHeight="1" ht="17.25">
      <c r="A142" s="1" t="s">
        <v>3775</v>
      </c>
      <c r="B142" s="1" t="s">
        <v>350</v>
      </c>
      <c r="C142" s="1" t="s">
        <v>3587</v>
      </c>
      <c r="D142" s="1" t="s">
        <v>30</v>
      </c>
      <c r="E142" s="1" t="s">
        <v>3572</v>
      </c>
      <c r="F142" s="1" t="s">
        <v>3573</v>
      </c>
      <c r="G142" s="1" t="s">
        <v>3574</v>
      </c>
      <c r="H142" s="2"/>
      <c r="I142" s="5">
        <f>XLOOKUP(K142, pharmaceutical_index!B:B, pharmaceutical_index!A:A, "Not Found")</f>
      </c>
      <c r="J142" s="1" t="s">
        <v>350</v>
      </c>
      <c r="K142" s="1" t="s">
        <v>350</v>
      </c>
      <c r="L142" s="1" t="s">
        <v>30</v>
      </c>
      <c r="M142" s="1" t="s">
        <v>350</v>
      </c>
      <c r="N142" s="2"/>
      <c r="O142" s="2"/>
      <c r="P142" s="2"/>
      <c r="Q142" s="2"/>
    </row>
    <row x14ac:dyDescent="0.25" r="143" customHeight="1" ht="17.25">
      <c r="A143" s="1" t="s">
        <v>3776</v>
      </c>
      <c r="B143" s="1" t="s">
        <v>352</v>
      </c>
      <c r="C143" s="1" t="s">
        <v>3762</v>
      </c>
      <c r="D143" s="1" t="s">
        <v>328</v>
      </c>
      <c r="E143" s="1" t="s">
        <v>3572</v>
      </c>
      <c r="F143" s="1" t="s">
        <v>3573</v>
      </c>
      <c r="G143" s="1" t="s">
        <v>3574</v>
      </c>
      <c r="H143" s="2"/>
      <c r="I143" s="5">
        <f>XLOOKUP(K143, pharmaceutical_index!B:B, pharmaceutical_index!A:A, "Not Found")</f>
      </c>
      <c r="J143" s="1" t="s">
        <v>352</v>
      </c>
      <c r="K143" s="1" t="s">
        <v>352</v>
      </c>
      <c r="L143" s="1" t="s">
        <v>328</v>
      </c>
      <c r="M143" s="1" t="s">
        <v>352</v>
      </c>
      <c r="N143" s="2"/>
      <c r="O143" s="2"/>
      <c r="P143" s="2"/>
      <c r="Q143" s="2"/>
    </row>
    <row x14ac:dyDescent="0.25" r="144" customHeight="1" ht="17.25">
      <c r="A144" s="1" t="s">
        <v>3777</v>
      </c>
      <c r="B144" s="1" t="s">
        <v>354</v>
      </c>
      <c r="C144" s="1" t="s">
        <v>3733</v>
      </c>
      <c r="D144" s="1" t="s">
        <v>355</v>
      </c>
      <c r="E144" s="1" t="s">
        <v>3572</v>
      </c>
      <c r="F144" s="1" t="s">
        <v>3573</v>
      </c>
      <c r="G144" s="1" t="s">
        <v>3574</v>
      </c>
      <c r="H144" s="2"/>
      <c r="I144" s="5">
        <f>XLOOKUP(K144, pharmaceutical_index!B:B, pharmaceutical_index!A:A, "Not Found")</f>
      </c>
      <c r="J144" s="1" t="s">
        <v>354</v>
      </c>
      <c r="K144" s="1" t="s">
        <v>354</v>
      </c>
      <c r="L144" s="1" t="s">
        <v>355</v>
      </c>
      <c r="M144" s="1" t="s">
        <v>354</v>
      </c>
      <c r="N144" s="2"/>
      <c r="O144" s="2"/>
      <c r="P144" s="2"/>
      <c r="Q144" s="2"/>
    </row>
    <row x14ac:dyDescent="0.25" r="145" customHeight="1" ht="17.25">
      <c r="A145" s="1" t="s">
        <v>3778</v>
      </c>
      <c r="B145" s="1" t="s">
        <v>357</v>
      </c>
      <c r="C145" s="1" t="s">
        <v>3619</v>
      </c>
      <c r="D145" s="1" t="s">
        <v>358</v>
      </c>
      <c r="E145" s="1" t="s">
        <v>3572</v>
      </c>
      <c r="F145" s="1" t="s">
        <v>3573</v>
      </c>
      <c r="G145" s="1" t="s">
        <v>3574</v>
      </c>
      <c r="H145" s="2"/>
      <c r="I145" s="5">
        <f>XLOOKUP(K145, pharmaceutical_index!B:B, pharmaceutical_index!A:A, "Not Found")</f>
      </c>
      <c r="J145" s="1" t="s">
        <v>357</v>
      </c>
      <c r="K145" s="1" t="s">
        <v>357</v>
      </c>
      <c r="L145" s="1" t="s">
        <v>358</v>
      </c>
      <c r="M145" s="1" t="s">
        <v>357</v>
      </c>
      <c r="N145" s="2"/>
      <c r="O145" s="2"/>
      <c r="P145" s="2"/>
      <c r="Q145" s="2"/>
    </row>
    <row x14ac:dyDescent="0.25" r="146" customHeight="1" ht="17.25">
      <c r="A146" s="1" t="s">
        <v>3779</v>
      </c>
      <c r="B146" s="1" t="s">
        <v>360</v>
      </c>
      <c r="C146" s="1" t="s">
        <v>3643</v>
      </c>
      <c r="D146" s="1" t="s">
        <v>120</v>
      </c>
      <c r="E146" s="1" t="s">
        <v>3572</v>
      </c>
      <c r="F146" s="1" t="s">
        <v>3573</v>
      </c>
      <c r="G146" s="1" t="s">
        <v>3574</v>
      </c>
      <c r="H146" s="2"/>
      <c r="I146" s="5">
        <f>XLOOKUP(K146, pharmaceutical_index!B:B, pharmaceutical_index!A:A, "Not Found")</f>
      </c>
      <c r="J146" s="1" t="s">
        <v>360</v>
      </c>
      <c r="K146" s="1" t="s">
        <v>360</v>
      </c>
      <c r="L146" s="1" t="s">
        <v>120</v>
      </c>
      <c r="M146" s="1" t="s">
        <v>360</v>
      </c>
      <c r="N146" s="2"/>
      <c r="O146" s="2"/>
      <c r="P146" s="2"/>
      <c r="Q146" s="2"/>
    </row>
    <row x14ac:dyDescent="0.25" r="147" customHeight="1" ht="17.25">
      <c r="A147" s="1" t="s">
        <v>3780</v>
      </c>
      <c r="B147" s="1" t="s">
        <v>362</v>
      </c>
      <c r="C147" s="1" t="s">
        <v>3665</v>
      </c>
      <c r="D147" s="1" t="s">
        <v>20</v>
      </c>
      <c r="E147" s="1" t="s">
        <v>3572</v>
      </c>
      <c r="F147" s="1" t="s">
        <v>3573</v>
      </c>
      <c r="G147" s="1" t="s">
        <v>3574</v>
      </c>
      <c r="H147" s="2"/>
      <c r="I147" s="5">
        <f>XLOOKUP(K147, pharmaceutical_index!B:B, pharmaceutical_index!A:A, "Not Found")</f>
      </c>
      <c r="J147" s="1" t="s">
        <v>3781</v>
      </c>
      <c r="K147" s="1" t="s">
        <v>362</v>
      </c>
      <c r="L147" s="1" t="s">
        <v>20</v>
      </c>
      <c r="M147" s="1" t="s">
        <v>3782</v>
      </c>
      <c r="N147" s="2"/>
      <c r="O147" s="2"/>
      <c r="P147" s="2"/>
      <c r="Q147" s="2"/>
    </row>
    <row x14ac:dyDescent="0.25" r="148" customHeight="1" ht="17.25">
      <c r="A148" s="1" t="s">
        <v>3783</v>
      </c>
      <c r="B148" s="1" t="s">
        <v>364</v>
      </c>
      <c r="C148" s="1" t="s">
        <v>3597</v>
      </c>
      <c r="D148" s="1" t="s">
        <v>48</v>
      </c>
      <c r="E148" s="1" t="s">
        <v>3572</v>
      </c>
      <c r="F148" s="1" t="s">
        <v>3573</v>
      </c>
      <c r="G148" s="1" t="s">
        <v>3574</v>
      </c>
      <c r="H148" s="2"/>
      <c r="I148" s="5">
        <f>XLOOKUP(K148, pharmaceutical_index!B:B, pharmaceutical_index!A:A, "Not Found")</f>
      </c>
      <c r="J148" s="1" t="s">
        <v>364</v>
      </c>
      <c r="K148" s="1" t="s">
        <v>364</v>
      </c>
      <c r="L148" s="1" t="s">
        <v>48</v>
      </c>
      <c r="M148" s="1" t="s">
        <v>364</v>
      </c>
      <c r="N148" s="2"/>
      <c r="O148" s="2"/>
      <c r="P148" s="2"/>
      <c r="Q148" s="2"/>
    </row>
    <row x14ac:dyDescent="0.25" r="149" customHeight="1" ht="17.25">
      <c r="A149" s="1" t="s">
        <v>3784</v>
      </c>
      <c r="B149" s="1" t="s">
        <v>366</v>
      </c>
      <c r="C149" s="1" t="s">
        <v>3571</v>
      </c>
      <c r="D149" s="1" t="s">
        <v>13</v>
      </c>
      <c r="E149" s="1" t="s">
        <v>3572</v>
      </c>
      <c r="F149" s="1" t="s">
        <v>3573</v>
      </c>
      <c r="G149" s="1" t="s">
        <v>3574</v>
      </c>
      <c r="H149" s="2"/>
      <c r="I149" s="5">
        <f>XLOOKUP(K149, pharmaceutical_index!B:B, pharmaceutical_index!A:A, "Not Found")</f>
      </c>
      <c r="J149" s="1" t="s">
        <v>3785</v>
      </c>
      <c r="K149" s="1" t="s">
        <v>366</v>
      </c>
      <c r="L149" s="1" t="s">
        <v>13</v>
      </c>
      <c r="M149" s="1" t="s">
        <v>3785</v>
      </c>
      <c r="N149" s="2"/>
      <c r="O149" s="2"/>
      <c r="P149" s="2"/>
      <c r="Q149" s="2"/>
    </row>
    <row x14ac:dyDescent="0.25" r="150" customHeight="1" ht="17.25">
      <c r="A150" s="1" t="s">
        <v>3786</v>
      </c>
      <c r="B150" s="1" t="s">
        <v>368</v>
      </c>
      <c r="C150" s="1" t="s">
        <v>3571</v>
      </c>
      <c r="D150" s="1" t="s">
        <v>43</v>
      </c>
      <c r="E150" s="1" t="s">
        <v>3572</v>
      </c>
      <c r="F150" s="1" t="s">
        <v>3573</v>
      </c>
      <c r="G150" s="1" t="s">
        <v>3574</v>
      </c>
      <c r="H150" s="2"/>
      <c r="I150" s="5">
        <f>XLOOKUP(K150, pharmaceutical_index!B:B, pharmaceutical_index!A:A, "Not Found")</f>
      </c>
      <c r="J150" s="1" t="s">
        <v>368</v>
      </c>
      <c r="K150" s="1" t="s">
        <v>368</v>
      </c>
      <c r="L150" s="1" t="s">
        <v>43</v>
      </c>
      <c r="M150" s="1" t="s">
        <v>368</v>
      </c>
      <c r="N150" s="2"/>
      <c r="O150" s="2"/>
      <c r="P150" s="2"/>
      <c r="Q150" s="2"/>
    </row>
    <row x14ac:dyDescent="0.25" r="151" customHeight="1" ht="17.25">
      <c r="A151" s="1" t="s">
        <v>3787</v>
      </c>
      <c r="B151" s="1" t="s">
        <v>370</v>
      </c>
      <c r="C151" s="1" t="s">
        <v>3608</v>
      </c>
      <c r="D151" s="1" t="s">
        <v>371</v>
      </c>
      <c r="E151" s="1" t="s">
        <v>3572</v>
      </c>
      <c r="F151" s="1" t="s">
        <v>3573</v>
      </c>
      <c r="G151" s="1" t="s">
        <v>3574</v>
      </c>
      <c r="H151" s="2"/>
      <c r="I151" s="5">
        <f>XLOOKUP(K151, pharmaceutical_index!B:B, pharmaceutical_index!A:A, "Not Found")</f>
      </c>
      <c r="J151" s="1" t="s">
        <v>370</v>
      </c>
      <c r="K151" s="1" t="s">
        <v>370</v>
      </c>
      <c r="L151" s="1" t="s">
        <v>371</v>
      </c>
      <c r="M151" s="1" t="s">
        <v>370</v>
      </c>
      <c r="N151" s="2"/>
      <c r="O151" s="2"/>
      <c r="P151" s="2"/>
      <c r="Q151" s="2"/>
    </row>
    <row x14ac:dyDescent="0.25" r="152" customHeight="1" ht="17.25">
      <c r="A152" s="1" t="s">
        <v>3788</v>
      </c>
      <c r="B152" s="1" t="s">
        <v>373</v>
      </c>
      <c r="C152" s="1" t="s">
        <v>3589</v>
      </c>
      <c r="D152" s="1" t="s">
        <v>224</v>
      </c>
      <c r="E152" s="1" t="s">
        <v>3572</v>
      </c>
      <c r="F152" s="1" t="s">
        <v>3573</v>
      </c>
      <c r="G152" s="1" t="s">
        <v>3574</v>
      </c>
      <c r="H152" s="2"/>
      <c r="I152" s="5">
        <f>XLOOKUP(K152, pharmaceutical_index!B:B, pharmaceutical_index!A:A, "Not Found")</f>
      </c>
      <c r="J152" s="1" t="s">
        <v>373</v>
      </c>
      <c r="K152" s="1" t="s">
        <v>373</v>
      </c>
      <c r="L152" s="1" t="s">
        <v>224</v>
      </c>
      <c r="M152" s="1" t="s">
        <v>373</v>
      </c>
      <c r="N152" s="2"/>
      <c r="O152" s="2"/>
      <c r="P152" s="2"/>
      <c r="Q152" s="2"/>
    </row>
    <row x14ac:dyDescent="0.25" r="153" customHeight="1" ht="17.25">
      <c r="A153" s="1" t="s">
        <v>3789</v>
      </c>
      <c r="B153" s="1" t="s">
        <v>375</v>
      </c>
      <c r="C153" s="1" t="s">
        <v>3571</v>
      </c>
      <c r="D153" s="1" t="s">
        <v>20</v>
      </c>
      <c r="E153" s="1" t="s">
        <v>3572</v>
      </c>
      <c r="F153" s="1" t="s">
        <v>3573</v>
      </c>
      <c r="G153" s="1" t="s">
        <v>3574</v>
      </c>
      <c r="H153" s="2"/>
      <c r="I153" s="5">
        <f>XLOOKUP(K153, pharmaceutical_index!B:B, pharmaceutical_index!A:A, "Not Found")</f>
      </c>
      <c r="J153" s="1" t="s">
        <v>3790</v>
      </c>
      <c r="K153" s="1" t="s">
        <v>375</v>
      </c>
      <c r="L153" s="1" t="s">
        <v>20</v>
      </c>
      <c r="M153" s="1" t="s">
        <v>3791</v>
      </c>
      <c r="N153" s="2"/>
      <c r="O153" s="2"/>
      <c r="P153" s="2"/>
      <c r="Q153" s="2"/>
    </row>
    <row x14ac:dyDescent="0.25" r="154" customHeight="1" ht="17.25">
      <c r="A154" s="1" t="s">
        <v>3792</v>
      </c>
      <c r="B154" s="1" t="s">
        <v>377</v>
      </c>
      <c r="C154" s="1" t="s">
        <v>3597</v>
      </c>
      <c r="D154" s="1" t="s">
        <v>378</v>
      </c>
      <c r="E154" s="1" t="s">
        <v>3572</v>
      </c>
      <c r="F154" s="1" t="s">
        <v>3573</v>
      </c>
      <c r="G154" s="1" t="s">
        <v>3574</v>
      </c>
      <c r="H154" s="2"/>
      <c r="I154" s="5">
        <f>XLOOKUP(K154, pharmaceutical_index!B:B, pharmaceutical_index!A:A, "Not Found")</f>
      </c>
      <c r="J154" s="1" t="s">
        <v>377</v>
      </c>
      <c r="K154" s="1" t="s">
        <v>377</v>
      </c>
      <c r="L154" s="1" t="s">
        <v>378</v>
      </c>
      <c r="M154" s="1" t="s">
        <v>377</v>
      </c>
      <c r="N154" s="2"/>
      <c r="O154" s="2"/>
      <c r="P154" s="2"/>
      <c r="Q154" s="2"/>
    </row>
    <row x14ac:dyDescent="0.25" r="155" customHeight="1" ht="17.25">
      <c r="A155" s="1" t="s">
        <v>3793</v>
      </c>
      <c r="B155" s="1" t="s">
        <v>380</v>
      </c>
      <c r="C155" s="1" t="s">
        <v>3571</v>
      </c>
      <c r="D155" s="1" t="s">
        <v>381</v>
      </c>
      <c r="E155" s="1" t="s">
        <v>3572</v>
      </c>
      <c r="F155" s="1" t="s">
        <v>3573</v>
      </c>
      <c r="G155" s="1" t="s">
        <v>3574</v>
      </c>
      <c r="H155" s="2"/>
      <c r="I155" s="5">
        <f>XLOOKUP(K155, pharmaceutical_index!B:B, pharmaceutical_index!A:A, "Not Found")</f>
      </c>
      <c r="J155" s="1" t="s">
        <v>380</v>
      </c>
      <c r="K155" s="1" t="s">
        <v>380</v>
      </c>
      <c r="L155" s="1" t="s">
        <v>381</v>
      </c>
      <c r="M155" s="1" t="s">
        <v>380</v>
      </c>
      <c r="N155" s="2"/>
      <c r="O155" s="2"/>
      <c r="P155" s="2"/>
      <c r="Q155" s="2"/>
    </row>
    <row x14ac:dyDescent="0.25" r="156" customHeight="1" ht="17.25">
      <c r="A156" s="1" t="s">
        <v>3794</v>
      </c>
      <c r="B156" s="1" t="s">
        <v>383</v>
      </c>
      <c r="C156" s="1" t="s">
        <v>3589</v>
      </c>
      <c r="D156" s="1" t="s">
        <v>384</v>
      </c>
      <c r="E156" s="1" t="s">
        <v>3572</v>
      </c>
      <c r="F156" s="1" t="s">
        <v>3573</v>
      </c>
      <c r="G156" s="1" t="s">
        <v>3574</v>
      </c>
      <c r="H156" s="2"/>
      <c r="I156" s="5">
        <f>XLOOKUP(K156, pharmaceutical_index!B:B, pharmaceutical_index!A:A, "Not Found")</f>
      </c>
      <c r="J156" s="1" t="s">
        <v>383</v>
      </c>
      <c r="K156" s="1" t="s">
        <v>383</v>
      </c>
      <c r="L156" s="1" t="s">
        <v>384</v>
      </c>
      <c r="M156" s="1" t="s">
        <v>383</v>
      </c>
      <c r="N156" s="2"/>
      <c r="O156" s="2"/>
      <c r="P156" s="2"/>
      <c r="Q156" s="2"/>
    </row>
    <row x14ac:dyDescent="0.25" r="157" customHeight="1" ht="17.25">
      <c r="A157" s="1" t="s">
        <v>3795</v>
      </c>
      <c r="B157" s="1" t="s">
        <v>386</v>
      </c>
      <c r="C157" s="1" t="s">
        <v>3587</v>
      </c>
      <c r="D157" s="1" t="s">
        <v>30</v>
      </c>
      <c r="E157" s="1" t="s">
        <v>3572</v>
      </c>
      <c r="F157" s="1" t="s">
        <v>3573</v>
      </c>
      <c r="G157" s="1" t="s">
        <v>3574</v>
      </c>
      <c r="H157" s="2"/>
      <c r="I157" s="5">
        <f>XLOOKUP(K157, pharmaceutical_index!B:B, pharmaceutical_index!A:A, "Not Found")</f>
      </c>
      <c r="J157" s="1" t="s">
        <v>386</v>
      </c>
      <c r="K157" s="1" t="s">
        <v>386</v>
      </c>
      <c r="L157" s="1" t="s">
        <v>30</v>
      </c>
      <c r="M157" s="1" t="s">
        <v>386</v>
      </c>
      <c r="N157" s="2"/>
      <c r="O157" s="2"/>
      <c r="P157" s="2"/>
      <c r="Q157" s="2"/>
    </row>
    <row x14ac:dyDescent="0.25" r="158" customHeight="1" ht="17.25">
      <c r="A158" s="1" t="s">
        <v>3796</v>
      </c>
      <c r="B158" s="1" t="s">
        <v>388</v>
      </c>
      <c r="C158" s="1" t="s">
        <v>3723</v>
      </c>
      <c r="D158" s="1" t="s">
        <v>20</v>
      </c>
      <c r="E158" s="1" t="s">
        <v>3572</v>
      </c>
      <c r="F158" s="1" t="s">
        <v>3573</v>
      </c>
      <c r="G158" s="1" t="s">
        <v>3574</v>
      </c>
      <c r="H158" s="2"/>
      <c r="I158" s="5">
        <f>XLOOKUP(K158, pharmaceutical_index!B:B, pharmaceutical_index!A:A, "Not Found")</f>
      </c>
      <c r="J158" s="1" t="s">
        <v>388</v>
      </c>
      <c r="K158" s="1" t="s">
        <v>388</v>
      </c>
      <c r="L158" s="1" t="s">
        <v>20</v>
      </c>
      <c r="M158" s="1" t="s">
        <v>388</v>
      </c>
      <c r="N158" s="2"/>
      <c r="O158" s="2"/>
      <c r="P158" s="2"/>
      <c r="Q158" s="2"/>
    </row>
    <row x14ac:dyDescent="0.25" r="159" customHeight="1" ht="17.25">
      <c r="A159" s="1" t="s">
        <v>3797</v>
      </c>
      <c r="B159" s="1" t="s">
        <v>390</v>
      </c>
      <c r="C159" s="1" t="s">
        <v>3622</v>
      </c>
      <c r="D159" s="1" t="s">
        <v>91</v>
      </c>
      <c r="E159" s="1" t="s">
        <v>3572</v>
      </c>
      <c r="F159" s="1" t="s">
        <v>3573</v>
      </c>
      <c r="G159" s="1" t="s">
        <v>3574</v>
      </c>
      <c r="H159" s="2"/>
      <c r="I159" s="5">
        <f>XLOOKUP(K159, pharmaceutical_index!B:B, pharmaceutical_index!A:A, "Not Found")</f>
      </c>
      <c r="J159" s="1" t="s">
        <v>390</v>
      </c>
      <c r="K159" s="1" t="s">
        <v>390</v>
      </c>
      <c r="L159" s="1" t="s">
        <v>91</v>
      </c>
      <c r="M159" s="1" t="s">
        <v>390</v>
      </c>
      <c r="N159" s="2"/>
      <c r="O159" s="2"/>
      <c r="P159" s="2"/>
      <c r="Q159" s="2"/>
    </row>
    <row x14ac:dyDescent="0.25" r="160" customHeight="1" ht="17.25">
      <c r="A160" s="1" t="s">
        <v>3798</v>
      </c>
      <c r="B160" s="1" t="s">
        <v>392</v>
      </c>
      <c r="C160" s="1" t="s">
        <v>3647</v>
      </c>
      <c r="D160" s="1" t="s">
        <v>393</v>
      </c>
      <c r="E160" s="1" t="s">
        <v>3572</v>
      </c>
      <c r="F160" s="1" t="s">
        <v>3573</v>
      </c>
      <c r="G160" s="1" t="s">
        <v>3574</v>
      </c>
      <c r="H160" s="2"/>
      <c r="I160" s="5">
        <f>XLOOKUP(K160, pharmaceutical_index!B:B, pharmaceutical_index!A:A, "Not Found")</f>
      </c>
      <c r="J160" s="1" t="s">
        <v>392</v>
      </c>
      <c r="K160" s="1" t="s">
        <v>392</v>
      </c>
      <c r="L160" s="1" t="s">
        <v>393</v>
      </c>
      <c r="M160" s="1" t="s">
        <v>392</v>
      </c>
      <c r="N160" s="2"/>
      <c r="O160" s="2"/>
      <c r="P160" s="2"/>
      <c r="Q160" s="2"/>
    </row>
    <row x14ac:dyDescent="0.25" r="161" customHeight="1" ht="17.25">
      <c r="A161" s="1" t="s">
        <v>3799</v>
      </c>
      <c r="B161" s="1" t="s">
        <v>395</v>
      </c>
      <c r="C161" s="1" t="s">
        <v>3600</v>
      </c>
      <c r="D161" s="1" t="s">
        <v>54</v>
      </c>
      <c r="E161" s="1" t="s">
        <v>3572</v>
      </c>
      <c r="F161" s="1" t="s">
        <v>3573</v>
      </c>
      <c r="G161" s="1" t="s">
        <v>3574</v>
      </c>
      <c r="H161" s="2"/>
      <c r="I161" s="5">
        <f>XLOOKUP(K161, pharmaceutical_index!B:B, pharmaceutical_index!A:A, "Not Found")</f>
      </c>
      <c r="J161" s="1" t="s">
        <v>395</v>
      </c>
      <c r="K161" s="1" t="s">
        <v>395</v>
      </c>
      <c r="L161" s="1" t="s">
        <v>54</v>
      </c>
      <c r="M161" s="1" t="s">
        <v>395</v>
      </c>
      <c r="N161" s="2"/>
      <c r="O161" s="2"/>
      <c r="P161" s="2"/>
      <c r="Q161" s="2"/>
    </row>
    <row x14ac:dyDescent="0.25" r="162" customHeight="1" ht="17.25">
      <c r="A162" s="1" t="s">
        <v>3800</v>
      </c>
      <c r="B162" s="1" t="s">
        <v>397</v>
      </c>
      <c r="C162" s="1" t="s">
        <v>3589</v>
      </c>
      <c r="D162" s="1" t="s">
        <v>224</v>
      </c>
      <c r="E162" s="1" t="s">
        <v>3572</v>
      </c>
      <c r="F162" s="1" t="s">
        <v>3573</v>
      </c>
      <c r="G162" s="1" t="s">
        <v>3574</v>
      </c>
      <c r="H162" s="2"/>
      <c r="I162" s="5">
        <f>XLOOKUP(K162, pharmaceutical_index!B:B, pharmaceutical_index!A:A, "Not Found")</f>
      </c>
      <c r="J162" s="1" t="s">
        <v>397</v>
      </c>
      <c r="K162" s="1" t="s">
        <v>397</v>
      </c>
      <c r="L162" s="1" t="s">
        <v>224</v>
      </c>
      <c r="M162" s="1" t="s">
        <v>397</v>
      </c>
      <c r="N162" s="2"/>
      <c r="O162" s="2"/>
      <c r="P162" s="2"/>
      <c r="Q162" s="2"/>
    </row>
    <row x14ac:dyDescent="0.25" r="163" customHeight="1" ht="17.25">
      <c r="A163" s="1" t="s">
        <v>3801</v>
      </c>
      <c r="B163" s="1" t="s">
        <v>399</v>
      </c>
      <c r="C163" s="1" t="s">
        <v>3583</v>
      </c>
      <c r="D163" s="1" t="s">
        <v>20</v>
      </c>
      <c r="E163" s="1" t="s">
        <v>3572</v>
      </c>
      <c r="F163" s="1" t="s">
        <v>3573</v>
      </c>
      <c r="G163" s="1" t="s">
        <v>3574</v>
      </c>
      <c r="H163" s="2"/>
      <c r="I163" s="5">
        <f>XLOOKUP(K163, pharmaceutical_index!B:B, pharmaceutical_index!A:A, "Not Found")</f>
      </c>
      <c r="J163" s="1" t="s">
        <v>399</v>
      </c>
      <c r="K163" s="1" t="s">
        <v>399</v>
      </c>
      <c r="L163" s="1" t="s">
        <v>20</v>
      </c>
      <c r="M163" s="1" t="s">
        <v>399</v>
      </c>
      <c r="N163" s="2"/>
      <c r="O163" s="2"/>
      <c r="P163" s="2"/>
      <c r="Q163" s="2"/>
    </row>
    <row x14ac:dyDescent="0.25" r="164" customHeight="1" ht="17.25">
      <c r="A164" s="1" t="s">
        <v>3802</v>
      </c>
      <c r="B164" s="1" t="s">
        <v>401</v>
      </c>
      <c r="C164" s="1" t="s">
        <v>3597</v>
      </c>
      <c r="D164" s="1" t="s">
        <v>319</v>
      </c>
      <c r="E164" s="1" t="s">
        <v>3572</v>
      </c>
      <c r="F164" s="1" t="s">
        <v>3573</v>
      </c>
      <c r="G164" s="1" t="s">
        <v>3574</v>
      </c>
      <c r="H164" s="2"/>
      <c r="I164" s="5">
        <f>XLOOKUP(K164, pharmaceutical_index!B:B, pharmaceutical_index!A:A, "Not Found")</f>
      </c>
      <c r="J164" s="1" t="s">
        <v>401</v>
      </c>
      <c r="K164" s="1" t="s">
        <v>401</v>
      </c>
      <c r="L164" s="1" t="s">
        <v>319</v>
      </c>
      <c r="M164" s="1" t="s">
        <v>401</v>
      </c>
      <c r="N164" s="2"/>
      <c r="O164" s="2"/>
      <c r="P164" s="2"/>
      <c r="Q164" s="2"/>
    </row>
    <row x14ac:dyDescent="0.25" r="165" customHeight="1" ht="17.25">
      <c r="A165" s="1" t="s">
        <v>3803</v>
      </c>
      <c r="B165" s="1" t="s">
        <v>403</v>
      </c>
      <c r="C165" s="1" t="s">
        <v>3774</v>
      </c>
      <c r="D165" s="1" t="s">
        <v>20</v>
      </c>
      <c r="E165" s="1" t="s">
        <v>3572</v>
      </c>
      <c r="F165" s="1" t="s">
        <v>3573</v>
      </c>
      <c r="G165" s="1" t="s">
        <v>3574</v>
      </c>
      <c r="H165" s="2"/>
      <c r="I165" s="5">
        <f>XLOOKUP(K165, pharmaceutical_index!B:B, pharmaceutical_index!A:A, "Not Found")</f>
      </c>
      <c r="J165" s="1" t="s">
        <v>403</v>
      </c>
      <c r="K165" s="1" t="s">
        <v>403</v>
      </c>
      <c r="L165" s="1" t="s">
        <v>20</v>
      </c>
      <c r="M165" s="1" t="s">
        <v>403</v>
      </c>
      <c r="N165" s="2"/>
      <c r="O165" s="2"/>
      <c r="P165" s="2"/>
      <c r="Q165" s="2"/>
    </row>
    <row x14ac:dyDescent="0.25" r="166" customHeight="1" ht="17.25">
      <c r="A166" s="1" t="s">
        <v>3804</v>
      </c>
      <c r="B166" s="1" t="s">
        <v>405</v>
      </c>
      <c r="C166" s="1" t="s">
        <v>3589</v>
      </c>
      <c r="D166" s="1" t="s">
        <v>224</v>
      </c>
      <c r="E166" s="1" t="s">
        <v>3572</v>
      </c>
      <c r="F166" s="1" t="s">
        <v>3573</v>
      </c>
      <c r="G166" s="1" t="s">
        <v>3574</v>
      </c>
      <c r="H166" s="2"/>
      <c r="I166" s="5">
        <f>XLOOKUP(K166, pharmaceutical_index!B:B, pharmaceutical_index!A:A, "Not Found")</f>
      </c>
      <c r="J166" s="1" t="s">
        <v>405</v>
      </c>
      <c r="K166" s="1" t="s">
        <v>405</v>
      </c>
      <c r="L166" s="1" t="s">
        <v>224</v>
      </c>
      <c r="M166" s="1" t="s">
        <v>405</v>
      </c>
      <c r="N166" s="2"/>
      <c r="O166" s="2"/>
      <c r="P166" s="2"/>
      <c r="Q166" s="2"/>
    </row>
    <row x14ac:dyDescent="0.25" r="167" customHeight="1" ht="17.25">
      <c r="A167" s="1" t="s">
        <v>3805</v>
      </c>
      <c r="B167" s="1" t="s">
        <v>407</v>
      </c>
      <c r="C167" s="1" t="s">
        <v>3600</v>
      </c>
      <c r="D167" s="1" t="s">
        <v>281</v>
      </c>
      <c r="E167" s="1" t="s">
        <v>3572</v>
      </c>
      <c r="F167" s="1" t="s">
        <v>3573</v>
      </c>
      <c r="G167" s="1" t="s">
        <v>3574</v>
      </c>
      <c r="H167" s="2"/>
      <c r="I167" s="5">
        <f>XLOOKUP(K167, pharmaceutical_index!B:B, pharmaceutical_index!A:A, "Not Found")</f>
      </c>
      <c r="J167" s="1" t="s">
        <v>407</v>
      </c>
      <c r="K167" s="1" t="s">
        <v>407</v>
      </c>
      <c r="L167" s="1" t="s">
        <v>281</v>
      </c>
      <c r="M167" s="1" t="s">
        <v>407</v>
      </c>
      <c r="N167" s="2"/>
      <c r="O167" s="2"/>
      <c r="P167" s="2"/>
      <c r="Q167" s="2"/>
    </row>
    <row x14ac:dyDescent="0.25" r="168" customHeight="1" ht="17.25">
      <c r="A168" s="1" t="s">
        <v>3806</v>
      </c>
      <c r="B168" s="1" t="s">
        <v>409</v>
      </c>
      <c r="C168" s="1" t="s">
        <v>3583</v>
      </c>
      <c r="D168" s="1" t="s">
        <v>20</v>
      </c>
      <c r="E168" s="1" t="s">
        <v>3572</v>
      </c>
      <c r="F168" s="1" t="s">
        <v>3573</v>
      </c>
      <c r="G168" s="1" t="s">
        <v>3574</v>
      </c>
      <c r="H168" s="2"/>
      <c r="I168" s="5">
        <f>XLOOKUP(K168, pharmaceutical_index!B:B, pharmaceutical_index!A:A, "Not Found")</f>
      </c>
      <c r="J168" s="1" t="s">
        <v>409</v>
      </c>
      <c r="K168" s="1" t="s">
        <v>409</v>
      </c>
      <c r="L168" s="1" t="s">
        <v>20</v>
      </c>
      <c r="M168" s="1" t="s">
        <v>409</v>
      </c>
      <c r="N168" s="2"/>
      <c r="O168" s="2"/>
      <c r="P168" s="2"/>
      <c r="Q168" s="2"/>
    </row>
    <row x14ac:dyDescent="0.25" r="169" customHeight="1" ht="17.25">
      <c r="A169" s="1" t="s">
        <v>3807</v>
      </c>
      <c r="B169" s="1" t="s">
        <v>411</v>
      </c>
      <c r="C169" s="1" t="s">
        <v>3571</v>
      </c>
      <c r="D169" s="1" t="s">
        <v>76</v>
      </c>
      <c r="E169" s="1" t="s">
        <v>3572</v>
      </c>
      <c r="F169" s="1" t="s">
        <v>3573</v>
      </c>
      <c r="G169" s="1" t="s">
        <v>3574</v>
      </c>
      <c r="H169" s="2"/>
      <c r="I169" s="5">
        <f>XLOOKUP(K169, pharmaceutical_index!B:B, pharmaceutical_index!A:A, "Not Found")</f>
      </c>
      <c r="J169" s="1" t="s">
        <v>411</v>
      </c>
      <c r="K169" s="1" t="s">
        <v>411</v>
      </c>
      <c r="L169" s="1" t="s">
        <v>76</v>
      </c>
      <c r="M169" s="1" t="s">
        <v>411</v>
      </c>
      <c r="N169" s="2"/>
      <c r="O169" s="2"/>
      <c r="P169" s="2"/>
      <c r="Q169" s="2"/>
    </row>
    <row x14ac:dyDescent="0.25" r="170" customHeight="1" ht="17.25">
      <c r="A170" s="1" t="s">
        <v>3808</v>
      </c>
      <c r="B170" s="1" t="s">
        <v>413</v>
      </c>
      <c r="C170" s="1" t="s">
        <v>3600</v>
      </c>
      <c r="D170" s="1" t="s">
        <v>149</v>
      </c>
      <c r="E170" s="1" t="s">
        <v>3572</v>
      </c>
      <c r="F170" s="1" t="s">
        <v>3573</v>
      </c>
      <c r="G170" s="1" t="s">
        <v>3574</v>
      </c>
      <c r="H170" s="2"/>
      <c r="I170" s="5">
        <f>XLOOKUP(K170, pharmaceutical_index!B:B, pharmaceutical_index!A:A, "Not Found")</f>
      </c>
      <c r="J170" s="1" t="s">
        <v>413</v>
      </c>
      <c r="K170" s="1" t="s">
        <v>413</v>
      </c>
      <c r="L170" s="1" t="s">
        <v>149</v>
      </c>
      <c r="M170" s="1" t="s">
        <v>413</v>
      </c>
      <c r="N170" s="2"/>
      <c r="O170" s="2"/>
      <c r="P170" s="2"/>
      <c r="Q170" s="2"/>
    </row>
    <row x14ac:dyDescent="0.25" r="171" customHeight="1" ht="17.25">
      <c r="A171" s="1" t="s">
        <v>3809</v>
      </c>
      <c r="B171" s="1" t="s">
        <v>415</v>
      </c>
      <c r="C171" s="1" t="s">
        <v>3712</v>
      </c>
      <c r="D171" s="1" t="s">
        <v>416</v>
      </c>
      <c r="E171" s="1" t="s">
        <v>3572</v>
      </c>
      <c r="F171" s="1" t="s">
        <v>3573</v>
      </c>
      <c r="G171" s="1" t="s">
        <v>3574</v>
      </c>
      <c r="H171" s="2"/>
      <c r="I171" s="5">
        <f>XLOOKUP(K171, pharmaceutical_index!B:B, pharmaceutical_index!A:A, "Not Found")</f>
      </c>
      <c r="J171" s="1" t="s">
        <v>415</v>
      </c>
      <c r="K171" s="1" t="s">
        <v>415</v>
      </c>
      <c r="L171" s="1" t="s">
        <v>416</v>
      </c>
      <c r="M171" s="1" t="s">
        <v>415</v>
      </c>
      <c r="N171" s="2"/>
      <c r="O171" s="2"/>
      <c r="P171" s="2"/>
      <c r="Q171" s="2"/>
    </row>
    <row x14ac:dyDescent="0.25" r="172" customHeight="1" ht="17.25">
      <c r="A172" s="1" t="s">
        <v>3810</v>
      </c>
      <c r="B172" s="1" t="s">
        <v>418</v>
      </c>
      <c r="C172" s="1" t="s">
        <v>3571</v>
      </c>
      <c r="D172" s="1" t="s">
        <v>419</v>
      </c>
      <c r="E172" s="1" t="s">
        <v>3572</v>
      </c>
      <c r="F172" s="1" t="s">
        <v>3573</v>
      </c>
      <c r="G172" s="1" t="s">
        <v>3574</v>
      </c>
      <c r="H172" s="2"/>
      <c r="I172" s="5">
        <f>XLOOKUP(K172, pharmaceutical_index!B:B, pharmaceutical_index!A:A, "Not Found")</f>
      </c>
      <c r="J172" s="1" t="s">
        <v>418</v>
      </c>
      <c r="K172" s="1" t="s">
        <v>418</v>
      </c>
      <c r="L172" s="1" t="s">
        <v>419</v>
      </c>
      <c r="M172" s="1" t="s">
        <v>418</v>
      </c>
      <c r="N172" s="2"/>
      <c r="O172" s="2"/>
      <c r="P172" s="2"/>
      <c r="Q172" s="2"/>
    </row>
    <row x14ac:dyDescent="0.25" r="173" customHeight="1" ht="17.25">
      <c r="A173" s="1" t="s">
        <v>3811</v>
      </c>
      <c r="B173" s="1" t="s">
        <v>421</v>
      </c>
      <c r="C173" s="1" t="s">
        <v>3571</v>
      </c>
      <c r="D173" s="1" t="s">
        <v>422</v>
      </c>
      <c r="E173" s="1" t="s">
        <v>3572</v>
      </c>
      <c r="F173" s="1" t="s">
        <v>3573</v>
      </c>
      <c r="G173" s="1" t="s">
        <v>3574</v>
      </c>
      <c r="H173" s="2"/>
      <c r="I173" s="5">
        <f>XLOOKUP(K173, pharmaceutical_index!B:B, pharmaceutical_index!A:A, "Not Found")</f>
      </c>
      <c r="J173" s="1" t="s">
        <v>421</v>
      </c>
      <c r="K173" s="1" t="s">
        <v>421</v>
      </c>
      <c r="L173" s="1" t="s">
        <v>422</v>
      </c>
      <c r="M173" s="1" t="s">
        <v>421</v>
      </c>
      <c r="N173" s="2"/>
      <c r="O173" s="2"/>
      <c r="P173" s="2"/>
      <c r="Q173" s="2"/>
    </row>
    <row x14ac:dyDescent="0.25" r="174" customHeight="1" ht="17.25">
      <c r="A174" s="1" t="s">
        <v>3812</v>
      </c>
      <c r="B174" s="1" t="s">
        <v>424</v>
      </c>
      <c r="C174" s="1" t="s">
        <v>3755</v>
      </c>
      <c r="D174" s="1" t="s">
        <v>20</v>
      </c>
      <c r="E174" s="1" t="s">
        <v>3572</v>
      </c>
      <c r="F174" s="1" t="s">
        <v>3573</v>
      </c>
      <c r="G174" s="1" t="s">
        <v>3574</v>
      </c>
      <c r="H174" s="2"/>
      <c r="I174" s="5">
        <f>XLOOKUP(K174, pharmaceutical_index!B:B, pharmaceutical_index!A:A, "Not Found")</f>
      </c>
      <c r="J174" s="1" t="s">
        <v>424</v>
      </c>
      <c r="K174" s="1" t="s">
        <v>424</v>
      </c>
      <c r="L174" s="1" t="s">
        <v>20</v>
      </c>
      <c r="M174" s="1" t="s">
        <v>424</v>
      </c>
      <c r="N174" s="2"/>
      <c r="O174" s="2"/>
      <c r="P174" s="2"/>
      <c r="Q174" s="2"/>
    </row>
    <row x14ac:dyDescent="0.25" r="175" customHeight="1" ht="17.25">
      <c r="A175" s="1" t="s">
        <v>3813</v>
      </c>
      <c r="B175" s="1" t="s">
        <v>426</v>
      </c>
      <c r="C175" s="1" t="s">
        <v>3589</v>
      </c>
      <c r="D175" s="1" t="s">
        <v>62</v>
      </c>
      <c r="E175" s="1" t="s">
        <v>3572</v>
      </c>
      <c r="F175" s="1" t="s">
        <v>3573</v>
      </c>
      <c r="G175" s="1" t="s">
        <v>3574</v>
      </c>
      <c r="H175" s="2"/>
      <c r="I175" s="5">
        <f>XLOOKUP(K175, pharmaceutical_index!B:B, pharmaceutical_index!A:A, "Not Found")</f>
      </c>
      <c r="J175" s="1" t="s">
        <v>426</v>
      </c>
      <c r="K175" s="1" t="s">
        <v>426</v>
      </c>
      <c r="L175" s="1" t="s">
        <v>62</v>
      </c>
      <c r="M175" s="1" t="s">
        <v>426</v>
      </c>
      <c r="N175" s="2"/>
      <c r="O175" s="2"/>
      <c r="P175" s="2"/>
      <c r="Q175" s="2"/>
    </row>
    <row x14ac:dyDescent="0.25" r="176" customHeight="1" ht="17.25">
      <c r="A176" s="1" t="s">
        <v>3814</v>
      </c>
      <c r="B176" s="1" t="s">
        <v>428</v>
      </c>
      <c r="C176" s="1" t="s">
        <v>3571</v>
      </c>
      <c r="D176" s="1" t="s">
        <v>429</v>
      </c>
      <c r="E176" s="1" t="s">
        <v>3572</v>
      </c>
      <c r="F176" s="1" t="s">
        <v>3573</v>
      </c>
      <c r="G176" s="1" t="s">
        <v>3574</v>
      </c>
      <c r="H176" s="2"/>
      <c r="I176" s="5">
        <f>XLOOKUP(K176, pharmaceutical_index!B:B, pharmaceutical_index!A:A, "Not Found")</f>
      </c>
      <c r="J176" s="1" t="s">
        <v>428</v>
      </c>
      <c r="K176" s="1" t="s">
        <v>428</v>
      </c>
      <c r="L176" s="1" t="s">
        <v>429</v>
      </c>
      <c r="M176" s="1" t="s">
        <v>428</v>
      </c>
      <c r="N176" s="2"/>
      <c r="O176" s="2"/>
      <c r="P176" s="2"/>
      <c r="Q176" s="2"/>
    </row>
    <row x14ac:dyDescent="0.25" r="177" customHeight="1" ht="17.25">
      <c r="A177" s="1" t="s">
        <v>3815</v>
      </c>
      <c r="B177" s="1" t="s">
        <v>431</v>
      </c>
      <c r="C177" s="1" t="s">
        <v>3608</v>
      </c>
      <c r="D177" s="1" t="s">
        <v>265</v>
      </c>
      <c r="E177" s="1" t="s">
        <v>3572</v>
      </c>
      <c r="F177" s="1" t="s">
        <v>3573</v>
      </c>
      <c r="G177" s="1" t="s">
        <v>3574</v>
      </c>
      <c r="H177" s="2"/>
      <c r="I177" s="5">
        <f>XLOOKUP(K177, pharmaceutical_index!B:B, pharmaceutical_index!A:A, "Not Found")</f>
      </c>
      <c r="J177" s="1" t="s">
        <v>431</v>
      </c>
      <c r="K177" s="1" t="s">
        <v>431</v>
      </c>
      <c r="L177" s="1" t="s">
        <v>265</v>
      </c>
      <c r="M177" s="1" t="s">
        <v>431</v>
      </c>
      <c r="N177" s="2"/>
      <c r="O177" s="2"/>
      <c r="P177" s="2"/>
      <c r="Q177" s="2"/>
    </row>
    <row x14ac:dyDescent="0.25" r="178" customHeight="1" ht="17.25">
      <c r="A178" s="1" t="s">
        <v>3816</v>
      </c>
      <c r="B178" s="1" t="s">
        <v>433</v>
      </c>
      <c r="C178" s="1" t="s">
        <v>3733</v>
      </c>
      <c r="D178" s="1" t="s">
        <v>355</v>
      </c>
      <c r="E178" s="1" t="s">
        <v>3572</v>
      </c>
      <c r="F178" s="1" t="s">
        <v>3573</v>
      </c>
      <c r="G178" s="1" t="s">
        <v>3574</v>
      </c>
      <c r="H178" s="2"/>
      <c r="I178" s="5">
        <f>XLOOKUP(K178, pharmaceutical_index!B:B, pharmaceutical_index!A:A, "Not Found")</f>
      </c>
      <c r="J178" s="1" t="s">
        <v>3817</v>
      </c>
      <c r="K178" s="1" t="s">
        <v>433</v>
      </c>
      <c r="L178" s="1" t="s">
        <v>355</v>
      </c>
      <c r="M178" s="1" t="s">
        <v>3817</v>
      </c>
      <c r="N178" s="2"/>
      <c r="O178" s="2"/>
      <c r="P178" s="2"/>
      <c r="Q178" s="2"/>
    </row>
    <row x14ac:dyDescent="0.25" r="179" customHeight="1" ht="17.25">
      <c r="A179" s="1" t="s">
        <v>3818</v>
      </c>
      <c r="B179" s="1" t="s">
        <v>435</v>
      </c>
      <c r="C179" s="1" t="s">
        <v>3583</v>
      </c>
      <c r="D179" s="1" t="s">
        <v>20</v>
      </c>
      <c r="E179" s="1" t="s">
        <v>3572</v>
      </c>
      <c r="F179" s="1" t="s">
        <v>3573</v>
      </c>
      <c r="G179" s="1" t="s">
        <v>3574</v>
      </c>
      <c r="H179" s="2"/>
      <c r="I179" s="5">
        <f>XLOOKUP(K179, pharmaceutical_index!B:B, pharmaceutical_index!A:A, "Not Found")</f>
      </c>
      <c r="J179" s="1" t="s">
        <v>435</v>
      </c>
      <c r="K179" s="1" t="s">
        <v>435</v>
      </c>
      <c r="L179" s="1" t="s">
        <v>20</v>
      </c>
      <c r="M179" s="1" t="s">
        <v>435</v>
      </c>
      <c r="N179" s="2"/>
      <c r="O179" s="2"/>
      <c r="P179" s="2"/>
      <c r="Q179" s="2"/>
    </row>
    <row x14ac:dyDescent="0.25" r="180" customHeight="1" ht="17.25">
      <c r="A180" s="1" t="s">
        <v>3819</v>
      </c>
      <c r="B180" s="1" t="s">
        <v>437</v>
      </c>
      <c r="C180" s="1" t="s">
        <v>3608</v>
      </c>
      <c r="D180" s="1" t="s">
        <v>216</v>
      </c>
      <c r="E180" s="1" t="s">
        <v>3572</v>
      </c>
      <c r="F180" s="1" t="s">
        <v>3573</v>
      </c>
      <c r="G180" s="1" t="s">
        <v>3574</v>
      </c>
      <c r="H180" s="2"/>
      <c r="I180" s="5">
        <f>XLOOKUP(K180, pharmaceutical_index!B:B, pharmaceutical_index!A:A, "Not Found")</f>
      </c>
      <c r="J180" s="1" t="s">
        <v>437</v>
      </c>
      <c r="K180" s="1" t="s">
        <v>437</v>
      </c>
      <c r="L180" s="1" t="s">
        <v>216</v>
      </c>
      <c r="M180" s="1" t="s">
        <v>437</v>
      </c>
      <c r="N180" s="2"/>
      <c r="O180" s="2"/>
      <c r="P180" s="2"/>
      <c r="Q180" s="2"/>
    </row>
    <row x14ac:dyDescent="0.25" r="181" customHeight="1" ht="17.25">
      <c r="A181" s="1" t="s">
        <v>3820</v>
      </c>
      <c r="B181" s="1" t="s">
        <v>439</v>
      </c>
      <c r="C181" s="1" t="s">
        <v>3821</v>
      </c>
      <c r="D181" s="1" t="s">
        <v>440</v>
      </c>
      <c r="E181" s="1" t="s">
        <v>3572</v>
      </c>
      <c r="F181" s="1" t="s">
        <v>3573</v>
      </c>
      <c r="G181" s="1" t="s">
        <v>3574</v>
      </c>
      <c r="H181" s="2"/>
      <c r="I181" s="5">
        <f>XLOOKUP(K181, pharmaceutical_index!B:B, pharmaceutical_index!A:A, "Not Found")</f>
      </c>
      <c r="J181" s="1" t="s">
        <v>439</v>
      </c>
      <c r="K181" s="1" t="s">
        <v>439</v>
      </c>
      <c r="L181" s="1" t="s">
        <v>440</v>
      </c>
      <c r="M181" s="1" t="s">
        <v>439</v>
      </c>
      <c r="N181" s="2"/>
      <c r="O181" s="2"/>
      <c r="P181" s="2"/>
      <c r="Q181" s="2"/>
    </row>
    <row x14ac:dyDescent="0.25" r="182" customHeight="1" ht="17.25">
      <c r="A182" s="1" t="s">
        <v>3822</v>
      </c>
      <c r="B182" s="1" t="s">
        <v>442</v>
      </c>
      <c r="C182" s="1" t="s">
        <v>3571</v>
      </c>
      <c r="D182" s="1" t="s">
        <v>76</v>
      </c>
      <c r="E182" s="1" t="s">
        <v>3572</v>
      </c>
      <c r="F182" s="1" t="s">
        <v>3573</v>
      </c>
      <c r="G182" s="1" t="s">
        <v>3574</v>
      </c>
      <c r="H182" s="2"/>
      <c r="I182" s="5">
        <f>XLOOKUP(K182, pharmaceutical_index!B:B, pharmaceutical_index!A:A, "Not Found")</f>
      </c>
      <c r="J182" s="1" t="s">
        <v>442</v>
      </c>
      <c r="K182" s="1" t="s">
        <v>442</v>
      </c>
      <c r="L182" s="1" t="s">
        <v>76</v>
      </c>
      <c r="M182" s="1" t="s">
        <v>442</v>
      </c>
      <c r="N182" s="2"/>
      <c r="O182" s="2"/>
      <c r="P182" s="2"/>
      <c r="Q182" s="2"/>
    </row>
    <row x14ac:dyDescent="0.25" r="183" customHeight="1" ht="17.25">
      <c r="A183" s="1" t="s">
        <v>3823</v>
      </c>
      <c r="B183" s="1" t="s">
        <v>444</v>
      </c>
      <c r="C183" s="1" t="s">
        <v>3762</v>
      </c>
      <c r="D183" s="1" t="s">
        <v>445</v>
      </c>
      <c r="E183" s="1" t="s">
        <v>3572</v>
      </c>
      <c r="F183" s="1" t="s">
        <v>3573</v>
      </c>
      <c r="G183" s="1" t="s">
        <v>3574</v>
      </c>
      <c r="H183" s="2"/>
      <c r="I183" s="5">
        <f>XLOOKUP(K183, pharmaceutical_index!B:B, pharmaceutical_index!A:A, "Not Found")</f>
      </c>
      <c r="J183" s="1" t="s">
        <v>444</v>
      </c>
      <c r="K183" s="1" t="s">
        <v>444</v>
      </c>
      <c r="L183" s="1" t="s">
        <v>445</v>
      </c>
      <c r="M183" s="1" t="s">
        <v>444</v>
      </c>
      <c r="N183" s="2"/>
      <c r="O183" s="2"/>
      <c r="P183" s="2"/>
      <c r="Q183" s="2"/>
    </row>
    <row x14ac:dyDescent="0.25" r="184" customHeight="1" ht="17.25">
      <c r="A184" s="1" t="s">
        <v>3824</v>
      </c>
      <c r="B184" s="1" t="s">
        <v>447</v>
      </c>
      <c r="C184" s="1" t="s">
        <v>3762</v>
      </c>
      <c r="D184" s="1" t="s">
        <v>445</v>
      </c>
      <c r="E184" s="1" t="s">
        <v>3572</v>
      </c>
      <c r="F184" s="1" t="s">
        <v>3573</v>
      </c>
      <c r="G184" s="1" t="s">
        <v>3574</v>
      </c>
      <c r="H184" s="2"/>
      <c r="I184" s="5">
        <f>XLOOKUP(K184, pharmaceutical_index!B:B, pharmaceutical_index!A:A, "Not Found")</f>
      </c>
      <c r="J184" s="1" t="s">
        <v>447</v>
      </c>
      <c r="K184" s="1" t="s">
        <v>447</v>
      </c>
      <c r="L184" s="1" t="s">
        <v>445</v>
      </c>
      <c r="M184" s="1" t="s">
        <v>447</v>
      </c>
      <c r="N184" s="2"/>
      <c r="O184" s="2"/>
      <c r="P184" s="2"/>
      <c r="Q184" s="2"/>
    </row>
    <row x14ac:dyDescent="0.25" r="185" customHeight="1" ht="17.25">
      <c r="A185" s="1" t="s">
        <v>3825</v>
      </c>
      <c r="B185" s="1" t="s">
        <v>449</v>
      </c>
      <c r="C185" s="1" t="s">
        <v>3712</v>
      </c>
      <c r="D185" s="1" t="s">
        <v>450</v>
      </c>
      <c r="E185" s="1" t="s">
        <v>3572</v>
      </c>
      <c r="F185" s="1" t="s">
        <v>3573</v>
      </c>
      <c r="G185" s="1" t="s">
        <v>3574</v>
      </c>
      <c r="H185" s="2"/>
      <c r="I185" s="5">
        <f>XLOOKUP(K185, pharmaceutical_index!B:B, pharmaceutical_index!A:A, "Not Found")</f>
      </c>
      <c r="J185" s="1" t="s">
        <v>449</v>
      </c>
      <c r="K185" s="1" t="s">
        <v>449</v>
      </c>
      <c r="L185" s="1" t="s">
        <v>450</v>
      </c>
      <c r="M185" s="1" t="s">
        <v>449</v>
      </c>
      <c r="N185" s="2"/>
      <c r="O185" s="2"/>
      <c r="P185" s="2"/>
      <c r="Q185" s="2"/>
    </row>
    <row x14ac:dyDescent="0.25" r="186" customHeight="1" ht="17.25">
      <c r="A186" s="1" t="s">
        <v>3826</v>
      </c>
      <c r="B186" s="1" t="s">
        <v>452</v>
      </c>
      <c r="C186" s="1" t="s">
        <v>3571</v>
      </c>
      <c r="D186" s="1" t="s">
        <v>453</v>
      </c>
      <c r="E186" s="1" t="s">
        <v>3572</v>
      </c>
      <c r="F186" s="1" t="s">
        <v>3573</v>
      </c>
      <c r="G186" s="1" t="s">
        <v>3574</v>
      </c>
      <c r="H186" s="2"/>
      <c r="I186" s="5">
        <f>XLOOKUP(K186, pharmaceutical_index!B:B, pharmaceutical_index!A:A, "Not Found")</f>
      </c>
      <c r="J186" s="1" t="s">
        <v>452</v>
      </c>
      <c r="K186" s="1" t="s">
        <v>452</v>
      </c>
      <c r="L186" s="1" t="s">
        <v>453</v>
      </c>
      <c r="M186" s="1" t="s">
        <v>452</v>
      </c>
      <c r="N186" s="2"/>
      <c r="O186" s="2"/>
      <c r="P186" s="2"/>
      <c r="Q186" s="2"/>
    </row>
    <row x14ac:dyDescent="0.25" r="187" customHeight="1" ht="17.25">
      <c r="A187" s="1" t="s">
        <v>3827</v>
      </c>
      <c r="B187" s="1" t="s">
        <v>455</v>
      </c>
      <c r="C187" s="1" t="s">
        <v>3571</v>
      </c>
      <c r="D187" s="1" t="s">
        <v>59</v>
      </c>
      <c r="E187" s="1" t="s">
        <v>3572</v>
      </c>
      <c r="F187" s="1" t="s">
        <v>3573</v>
      </c>
      <c r="G187" s="1" t="s">
        <v>3574</v>
      </c>
      <c r="H187" s="2"/>
      <c r="I187" s="5">
        <f>XLOOKUP(K187, pharmaceutical_index!B:B, pharmaceutical_index!A:A, "Not Found")</f>
      </c>
      <c r="J187" s="1" t="s">
        <v>455</v>
      </c>
      <c r="K187" s="1" t="s">
        <v>455</v>
      </c>
      <c r="L187" s="1" t="s">
        <v>59</v>
      </c>
      <c r="M187" s="1" t="s">
        <v>455</v>
      </c>
      <c r="N187" s="2"/>
      <c r="O187" s="2"/>
      <c r="P187" s="2"/>
      <c r="Q187" s="2"/>
    </row>
    <row x14ac:dyDescent="0.25" r="188" customHeight="1" ht="17.25">
      <c r="A188" s="1" t="s">
        <v>3828</v>
      </c>
      <c r="B188" s="1" t="s">
        <v>457</v>
      </c>
      <c r="C188" s="1" t="s">
        <v>3701</v>
      </c>
      <c r="D188" s="1" t="s">
        <v>20</v>
      </c>
      <c r="E188" s="1" t="s">
        <v>3572</v>
      </c>
      <c r="F188" s="1" t="s">
        <v>3573</v>
      </c>
      <c r="G188" s="1" t="s">
        <v>3574</v>
      </c>
      <c r="H188" s="2"/>
      <c r="I188" s="5">
        <f>XLOOKUP(K188, pharmaceutical_index!B:B, pharmaceutical_index!A:A, "Not Found")</f>
      </c>
      <c r="J188" s="1" t="s">
        <v>457</v>
      </c>
      <c r="K188" s="1" t="s">
        <v>457</v>
      </c>
      <c r="L188" s="1" t="s">
        <v>20</v>
      </c>
      <c r="M188" s="1" t="s">
        <v>457</v>
      </c>
      <c r="N188" s="2"/>
      <c r="O188" s="2"/>
      <c r="P188" s="2"/>
      <c r="Q188" s="2"/>
    </row>
    <row x14ac:dyDescent="0.25" r="189" customHeight="1" ht="17.25">
      <c r="A189" s="1" t="s">
        <v>3829</v>
      </c>
      <c r="B189" s="1" t="s">
        <v>459</v>
      </c>
      <c r="C189" s="1" t="s">
        <v>3583</v>
      </c>
      <c r="D189" s="1" t="s">
        <v>20</v>
      </c>
      <c r="E189" s="1" t="s">
        <v>3572</v>
      </c>
      <c r="F189" s="1" t="s">
        <v>3573</v>
      </c>
      <c r="G189" s="1" t="s">
        <v>3574</v>
      </c>
      <c r="H189" s="2"/>
      <c r="I189" s="5">
        <f>XLOOKUP(K189, pharmaceutical_index!B:B, pharmaceutical_index!A:A, "Not Found")</f>
      </c>
      <c r="J189" s="1" t="s">
        <v>3830</v>
      </c>
      <c r="K189" s="1" t="s">
        <v>459</v>
      </c>
      <c r="L189" s="1" t="s">
        <v>20</v>
      </c>
      <c r="M189" s="1" t="s">
        <v>3830</v>
      </c>
      <c r="N189" s="2"/>
      <c r="O189" s="2"/>
      <c r="P189" s="2"/>
      <c r="Q189" s="2"/>
    </row>
    <row x14ac:dyDescent="0.25" r="190" customHeight="1" ht="17.25">
      <c r="A190" s="1" t="s">
        <v>3831</v>
      </c>
      <c r="B190" s="1" t="s">
        <v>461</v>
      </c>
      <c r="C190" s="1" t="s">
        <v>3665</v>
      </c>
      <c r="D190" s="1" t="s">
        <v>20</v>
      </c>
      <c r="E190" s="1" t="s">
        <v>3572</v>
      </c>
      <c r="F190" s="1" t="s">
        <v>3573</v>
      </c>
      <c r="G190" s="1" t="s">
        <v>3574</v>
      </c>
      <c r="H190" s="2"/>
      <c r="I190" s="5">
        <f>XLOOKUP(K190, pharmaceutical_index!B:B, pharmaceutical_index!A:A, "Not Found")</f>
      </c>
      <c r="J190" s="1" t="s">
        <v>461</v>
      </c>
      <c r="K190" s="1" t="s">
        <v>461</v>
      </c>
      <c r="L190" s="1" t="s">
        <v>20</v>
      </c>
      <c r="M190" s="1" t="s">
        <v>461</v>
      </c>
      <c r="N190" s="2"/>
      <c r="O190" s="2"/>
      <c r="P190" s="2"/>
      <c r="Q190" s="2"/>
    </row>
    <row x14ac:dyDescent="0.25" r="191" customHeight="1" ht="17.25">
      <c r="A191" s="1" t="s">
        <v>3832</v>
      </c>
      <c r="B191" s="1" t="s">
        <v>463</v>
      </c>
      <c r="C191" s="1" t="s">
        <v>3597</v>
      </c>
      <c r="D191" s="1" t="s">
        <v>48</v>
      </c>
      <c r="E191" s="1" t="s">
        <v>3572</v>
      </c>
      <c r="F191" s="1" t="s">
        <v>3573</v>
      </c>
      <c r="G191" s="1" t="s">
        <v>3574</v>
      </c>
      <c r="H191" s="2"/>
      <c r="I191" s="5">
        <f>XLOOKUP(K191, pharmaceutical_index!B:B, pharmaceutical_index!A:A, "Not Found")</f>
      </c>
      <c r="J191" s="1" t="s">
        <v>463</v>
      </c>
      <c r="K191" s="1" t="s">
        <v>463</v>
      </c>
      <c r="L191" s="1" t="s">
        <v>48</v>
      </c>
      <c r="M191" s="1" t="s">
        <v>463</v>
      </c>
      <c r="N191" s="2"/>
      <c r="O191" s="2"/>
      <c r="P191" s="2"/>
      <c r="Q191" s="2"/>
    </row>
    <row x14ac:dyDescent="0.25" r="192" customHeight="1" ht="17.25">
      <c r="A192" s="1" t="s">
        <v>3833</v>
      </c>
      <c r="B192" s="1" t="s">
        <v>465</v>
      </c>
      <c r="C192" s="1" t="s">
        <v>3597</v>
      </c>
      <c r="D192" s="1" t="s">
        <v>378</v>
      </c>
      <c r="E192" s="1" t="s">
        <v>3572</v>
      </c>
      <c r="F192" s="1" t="s">
        <v>3573</v>
      </c>
      <c r="G192" s="1" t="s">
        <v>3574</v>
      </c>
      <c r="H192" s="2"/>
      <c r="I192" s="5">
        <f>XLOOKUP(K192, pharmaceutical_index!B:B, pharmaceutical_index!A:A, "Not Found")</f>
      </c>
      <c r="J192" s="1" t="s">
        <v>465</v>
      </c>
      <c r="K192" s="1" t="s">
        <v>465</v>
      </c>
      <c r="L192" s="1" t="s">
        <v>378</v>
      </c>
      <c r="M192" s="1" t="s">
        <v>465</v>
      </c>
      <c r="N192" s="2"/>
      <c r="O192" s="2"/>
      <c r="P192" s="2"/>
      <c r="Q192" s="2"/>
    </row>
    <row x14ac:dyDescent="0.25" r="193" customHeight="1" ht="17.25">
      <c r="A193" s="1" t="s">
        <v>3834</v>
      </c>
      <c r="B193" s="1" t="s">
        <v>467</v>
      </c>
      <c r="C193" s="1" t="s">
        <v>3835</v>
      </c>
      <c r="D193" s="1" t="s">
        <v>20</v>
      </c>
      <c r="E193" s="1" t="s">
        <v>3572</v>
      </c>
      <c r="F193" s="1" t="s">
        <v>3573</v>
      </c>
      <c r="G193" s="1" t="s">
        <v>3574</v>
      </c>
      <c r="H193" s="2"/>
      <c r="I193" s="5">
        <f>XLOOKUP(K193, pharmaceutical_index!B:B, pharmaceutical_index!A:A, "Not Found")</f>
      </c>
      <c r="J193" s="1" t="s">
        <v>467</v>
      </c>
      <c r="K193" s="1" t="s">
        <v>467</v>
      </c>
      <c r="L193" s="1" t="s">
        <v>20</v>
      </c>
      <c r="M193" s="1" t="s">
        <v>467</v>
      </c>
      <c r="N193" s="2"/>
      <c r="O193" s="2"/>
      <c r="P193" s="2"/>
      <c r="Q193" s="2"/>
    </row>
    <row x14ac:dyDescent="0.25" r="194" customHeight="1" ht="17.25">
      <c r="A194" s="1" t="s">
        <v>3836</v>
      </c>
      <c r="B194" s="1" t="s">
        <v>469</v>
      </c>
      <c r="C194" s="1" t="s">
        <v>3762</v>
      </c>
      <c r="D194" s="1" t="s">
        <v>445</v>
      </c>
      <c r="E194" s="1" t="s">
        <v>3572</v>
      </c>
      <c r="F194" s="1" t="s">
        <v>3573</v>
      </c>
      <c r="G194" s="1" t="s">
        <v>3574</v>
      </c>
      <c r="H194" s="2"/>
      <c r="I194" s="5">
        <f>XLOOKUP(K194, pharmaceutical_index!B:B, pharmaceutical_index!A:A, "Not Found")</f>
      </c>
      <c r="J194" s="1" t="s">
        <v>469</v>
      </c>
      <c r="K194" s="1" t="s">
        <v>469</v>
      </c>
      <c r="L194" s="1" t="s">
        <v>445</v>
      </c>
      <c r="M194" s="1" t="s">
        <v>469</v>
      </c>
      <c r="N194" s="2"/>
      <c r="O194" s="2"/>
      <c r="P194" s="2"/>
      <c r="Q194" s="2"/>
    </row>
    <row x14ac:dyDescent="0.25" r="195" customHeight="1" ht="17.25">
      <c r="A195" s="1" t="s">
        <v>3837</v>
      </c>
      <c r="B195" s="1" t="s">
        <v>471</v>
      </c>
      <c r="C195" s="1" t="s">
        <v>3762</v>
      </c>
      <c r="D195" s="1" t="s">
        <v>20</v>
      </c>
      <c r="E195" s="1" t="s">
        <v>3572</v>
      </c>
      <c r="F195" s="1" t="s">
        <v>3573</v>
      </c>
      <c r="G195" s="1" t="s">
        <v>3574</v>
      </c>
      <c r="H195" s="2"/>
      <c r="I195" s="5">
        <f>XLOOKUP(K195, pharmaceutical_index!B:B, pharmaceutical_index!A:A, "Not Found")</f>
      </c>
      <c r="J195" s="1" t="s">
        <v>471</v>
      </c>
      <c r="K195" s="1" t="s">
        <v>471</v>
      </c>
      <c r="L195" s="1" t="s">
        <v>20</v>
      </c>
      <c r="M195" s="1" t="s">
        <v>471</v>
      </c>
      <c r="N195" s="2"/>
      <c r="O195" s="2"/>
      <c r="P195" s="2"/>
      <c r="Q195" s="2"/>
    </row>
    <row x14ac:dyDescent="0.25" r="196" customHeight="1" ht="17.25">
      <c r="A196" s="1" t="s">
        <v>3838</v>
      </c>
      <c r="B196" s="1" t="s">
        <v>473</v>
      </c>
      <c r="C196" s="1" t="s">
        <v>3595</v>
      </c>
      <c r="D196" s="1" t="s">
        <v>20</v>
      </c>
      <c r="E196" s="1" t="s">
        <v>3572</v>
      </c>
      <c r="F196" s="1" t="s">
        <v>3573</v>
      </c>
      <c r="G196" s="1" t="s">
        <v>3574</v>
      </c>
      <c r="H196" s="2"/>
      <c r="I196" s="5">
        <f>XLOOKUP(K196, pharmaceutical_index!B:B, pharmaceutical_index!A:A, "Not Found")</f>
      </c>
      <c r="J196" s="1" t="s">
        <v>473</v>
      </c>
      <c r="K196" s="1" t="s">
        <v>473</v>
      </c>
      <c r="L196" s="1" t="s">
        <v>20</v>
      </c>
      <c r="M196" s="1" t="s">
        <v>473</v>
      </c>
      <c r="N196" s="2"/>
      <c r="O196" s="2"/>
      <c r="P196" s="2"/>
      <c r="Q196" s="2"/>
    </row>
    <row x14ac:dyDescent="0.25" r="197" customHeight="1" ht="17.25">
      <c r="A197" s="1" t="s">
        <v>3839</v>
      </c>
      <c r="B197" s="1" t="s">
        <v>475</v>
      </c>
      <c r="C197" s="1" t="s">
        <v>3571</v>
      </c>
      <c r="D197" s="1" t="s">
        <v>76</v>
      </c>
      <c r="E197" s="1" t="s">
        <v>3572</v>
      </c>
      <c r="F197" s="1" t="s">
        <v>3573</v>
      </c>
      <c r="G197" s="1" t="s">
        <v>3574</v>
      </c>
      <c r="H197" s="2"/>
      <c r="I197" s="5">
        <f>XLOOKUP(K197, pharmaceutical_index!B:B, pharmaceutical_index!A:A, "Not Found")</f>
      </c>
      <c r="J197" s="1" t="s">
        <v>475</v>
      </c>
      <c r="K197" s="1" t="s">
        <v>475</v>
      </c>
      <c r="L197" s="1" t="s">
        <v>76</v>
      </c>
      <c r="M197" s="1" t="s">
        <v>475</v>
      </c>
      <c r="N197" s="2"/>
      <c r="O197" s="2"/>
      <c r="P197" s="2"/>
      <c r="Q197" s="2"/>
    </row>
    <row x14ac:dyDescent="0.25" r="198" customHeight="1" ht="17.25">
      <c r="A198" s="1" t="s">
        <v>3840</v>
      </c>
      <c r="B198" s="1" t="s">
        <v>477</v>
      </c>
      <c r="C198" s="1" t="s">
        <v>3571</v>
      </c>
      <c r="D198" s="1" t="s">
        <v>81</v>
      </c>
      <c r="E198" s="1" t="s">
        <v>3572</v>
      </c>
      <c r="F198" s="1" t="s">
        <v>3573</v>
      </c>
      <c r="G198" s="1" t="s">
        <v>3574</v>
      </c>
      <c r="H198" s="2"/>
      <c r="I198" s="5">
        <f>XLOOKUP(K198, pharmaceutical_index!B:B, pharmaceutical_index!A:A, "Not Found")</f>
      </c>
      <c r="J198" s="1" t="s">
        <v>477</v>
      </c>
      <c r="K198" s="1" t="s">
        <v>477</v>
      </c>
      <c r="L198" s="1" t="s">
        <v>81</v>
      </c>
      <c r="M198" s="1" t="s">
        <v>477</v>
      </c>
      <c r="N198" s="2"/>
      <c r="O198" s="2"/>
      <c r="P198" s="2"/>
      <c r="Q198" s="2"/>
    </row>
    <row x14ac:dyDescent="0.25" r="199" customHeight="1" ht="17.25">
      <c r="A199" s="1" t="s">
        <v>3841</v>
      </c>
      <c r="B199" s="1" t="s">
        <v>479</v>
      </c>
      <c r="C199" s="1" t="s">
        <v>3583</v>
      </c>
      <c r="D199" s="1" t="s">
        <v>20</v>
      </c>
      <c r="E199" s="1" t="s">
        <v>3572</v>
      </c>
      <c r="F199" s="1" t="s">
        <v>3573</v>
      </c>
      <c r="G199" s="1" t="s">
        <v>3574</v>
      </c>
      <c r="H199" s="2"/>
      <c r="I199" s="5">
        <f>XLOOKUP(K199, pharmaceutical_index!B:B, pharmaceutical_index!A:A, "Not Found")</f>
      </c>
      <c r="J199" s="1" t="s">
        <v>479</v>
      </c>
      <c r="K199" s="1" t="s">
        <v>479</v>
      </c>
      <c r="L199" s="1" t="s">
        <v>20</v>
      </c>
      <c r="M199" s="1" t="s">
        <v>479</v>
      </c>
      <c r="N199" s="2"/>
      <c r="O199" s="2"/>
      <c r="P199" s="2"/>
      <c r="Q199" s="2"/>
    </row>
    <row x14ac:dyDescent="0.25" r="200" customHeight="1" ht="17.25">
      <c r="A200" s="1" t="s">
        <v>3842</v>
      </c>
      <c r="B200" s="1" t="s">
        <v>481</v>
      </c>
      <c r="C200" s="1" t="s">
        <v>3608</v>
      </c>
      <c r="D200" s="1" t="s">
        <v>482</v>
      </c>
      <c r="E200" s="1" t="s">
        <v>3572</v>
      </c>
      <c r="F200" s="1" t="s">
        <v>3573</v>
      </c>
      <c r="G200" s="1" t="s">
        <v>3574</v>
      </c>
      <c r="H200" s="2"/>
      <c r="I200" s="5">
        <f>XLOOKUP(K200, pharmaceutical_index!B:B, pharmaceutical_index!A:A, "Not Found")</f>
      </c>
      <c r="J200" s="1" t="s">
        <v>481</v>
      </c>
      <c r="K200" s="1" t="s">
        <v>481</v>
      </c>
      <c r="L200" s="1" t="s">
        <v>482</v>
      </c>
      <c r="M200" s="1" t="s">
        <v>481</v>
      </c>
      <c r="N200" s="2"/>
      <c r="O200" s="2"/>
      <c r="P200" s="2"/>
      <c r="Q200" s="2"/>
    </row>
    <row x14ac:dyDescent="0.25" r="201" customHeight="1" ht="17.25">
      <c r="A201" s="1" t="s">
        <v>3843</v>
      </c>
      <c r="B201" s="1" t="s">
        <v>484</v>
      </c>
      <c r="C201" s="1" t="s">
        <v>3587</v>
      </c>
      <c r="D201" s="1" t="s">
        <v>30</v>
      </c>
      <c r="E201" s="1" t="s">
        <v>3572</v>
      </c>
      <c r="F201" s="1" t="s">
        <v>3573</v>
      </c>
      <c r="G201" s="1" t="s">
        <v>3574</v>
      </c>
      <c r="H201" s="2"/>
      <c r="I201" s="5">
        <f>XLOOKUP(K201, pharmaceutical_index!B:B, pharmaceutical_index!A:A, "Not Found")</f>
      </c>
      <c r="J201" s="1" t="s">
        <v>484</v>
      </c>
      <c r="K201" s="1" t="s">
        <v>484</v>
      </c>
      <c r="L201" s="1" t="s">
        <v>30</v>
      </c>
      <c r="M201" s="1" t="s">
        <v>484</v>
      </c>
      <c r="N201" s="2"/>
      <c r="O201" s="2"/>
      <c r="P201" s="2"/>
      <c r="Q201" s="2"/>
    </row>
    <row x14ac:dyDescent="0.25" r="202" customHeight="1" ht="17.25">
      <c r="A202" s="1" t="s">
        <v>3844</v>
      </c>
      <c r="B202" s="1" t="s">
        <v>486</v>
      </c>
      <c r="C202" s="1" t="s">
        <v>3600</v>
      </c>
      <c r="D202" s="1" t="s">
        <v>281</v>
      </c>
      <c r="E202" s="1" t="s">
        <v>3572</v>
      </c>
      <c r="F202" s="1" t="s">
        <v>3573</v>
      </c>
      <c r="G202" s="1" t="s">
        <v>3574</v>
      </c>
      <c r="H202" s="2"/>
      <c r="I202" s="5">
        <f>XLOOKUP(K202, pharmaceutical_index!B:B, pharmaceutical_index!A:A, "Not Found")</f>
      </c>
      <c r="J202" s="1" t="s">
        <v>486</v>
      </c>
      <c r="K202" s="1" t="s">
        <v>486</v>
      </c>
      <c r="L202" s="1" t="s">
        <v>281</v>
      </c>
      <c r="M202" s="1" t="s">
        <v>486</v>
      </c>
      <c r="N202" s="2"/>
      <c r="O202" s="2"/>
      <c r="P202" s="2"/>
      <c r="Q202" s="2"/>
    </row>
    <row x14ac:dyDescent="0.25" r="203" customHeight="1" ht="17.25">
      <c r="A203" s="1" t="s">
        <v>3845</v>
      </c>
      <c r="B203" s="1" t="s">
        <v>488</v>
      </c>
      <c r="C203" s="1" t="s">
        <v>3651</v>
      </c>
      <c r="D203" s="1" t="s">
        <v>489</v>
      </c>
      <c r="E203" s="1" t="s">
        <v>3572</v>
      </c>
      <c r="F203" s="1" t="s">
        <v>3573</v>
      </c>
      <c r="G203" s="1" t="s">
        <v>3574</v>
      </c>
      <c r="H203" s="2"/>
      <c r="I203" s="5">
        <f>XLOOKUP(K203, pharmaceutical_index!B:B, pharmaceutical_index!A:A, "Not Found")</f>
      </c>
      <c r="J203" s="1" t="s">
        <v>488</v>
      </c>
      <c r="K203" s="1" t="s">
        <v>488</v>
      </c>
      <c r="L203" s="1" t="s">
        <v>489</v>
      </c>
      <c r="M203" s="1" t="s">
        <v>488</v>
      </c>
      <c r="N203" s="2"/>
      <c r="O203" s="2"/>
      <c r="P203" s="2"/>
      <c r="Q203" s="2"/>
    </row>
    <row x14ac:dyDescent="0.25" r="204" customHeight="1" ht="17.25">
      <c r="A204" s="1" t="s">
        <v>3846</v>
      </c>
      <c r="B204" s="1" t="s">
        <v>491</v>
      </c>
      <c r="C204" s="1" t="s">
        <v>3647</v>
      </c>
      <c r="D204" s="1" t="s">
        <v>492</v>
      </c>
      <c r="E204" s="1" t="s">
        <v>3572</v>
      </c>
      <c r="F204" s="1" t="s">
        <v>3573</v>
      </c>
      <c r="G204" s="1" t="s">
        <v>3574</v>
      </c>
      <c r="H204" s="2"/>
      <c r="I204" s="5">
        <f>XLOOKUP(K204, pharmaceutical_index!B:B, pharmaceutical_index!A:A, "Not Found")</f>
      </c>
      <c r="J204" s="1" t="s">
        <v>491</v>
      </c>
      <c r="K204" s="1" t="s">
        <v>491</v>
      </c>
      <c r="L204" s="1" t="s">
        <v>492</v>
      </c>
      <c r="M204" s="1" t="s">
        <v>491</v>
      </c>
      <c r="N204" s="2"/>
      <c r="O204" s="2"/>
      <c r="P204" s="2"/>
      <c r="Q204" s="2"/>
    </row>
    <row x14ac:dyDescent="0.25" r="205" customHeight="1" ht="17.25">
      <c r="A205" s="1" t="s">
        <v>3847</v>
      </c>
      <c r="B205" s="1" t="s">
        <v>494</v>
      </c>
      <c r="C205" s="1" t="s">
        <v>3583</v>
      </c>
      <c r="D205" s="1" t="s">
        <v>20</v>
      </c>
      <c r="E205" s="1" t="s">
        <v>3572</v>
      </c>
      <c r="F205" s="1" t="s">
        <v>3573</v>
      </c>
      <c r="G205" s="1" t="s">
        <v>3574</v>
      </c>
      <c r="H205" s="2"/>
      <c r="I205" s="5">
        <f>XLOOKUP(K205, pharmaceutical_index!B:B, pharmaceutical_index!A:A, "Not Found")</f>
      </c>
      <c r="J205" s="1" t="s">
        <v>494</v>
      </c>
      <c r="K205" s="1" t="s">
        <v>494</v>
      </c>
      <c r="L205" s="1" t="s">
        <v>20</v>
      </c>
      <c r="M205" s="1" t="s">
        <v>494</v>
      </c>
      <c r="N205" s="2"/>
      <c r="O205" s="2"/>
      <c r="P205" s="2"/>
      <c r="Q205" s="2"/>
    </row>
    <row x14ac:dyDescent="0.25" r="206" customHeight="1" ht="17.25">
      <c r="A206" s="1" t="s">
        <v>3848</v>
      </c>
      <c r="B206" s="1" t="s">
        <v>496</v>
      </c>
      <c r="C206" s="1" t="s">
        <v>3610</v>
      </c>
      <c r="D206" s="1" t="s">
        <v>71</v>
      </c>
      <c r="E206" s="1" t="s">
        <v>3572</v>
      </c>
      <c r="F206" s="1" t="s">
        <v>3573</v>
      </c>
      <c r="G206" s="1" t="s">
        <v>3574</v>
      </c>
      <c r="H206" s="2"/>
      <c r="I206" s="5">
        <f>XLOOKUP(K206, pharmaceutical_index!B:B, pharmaceutical_index!A:A, "Not Found")</f>
      </c>
      <c r="J206" s="1" t="s">
        <v>496</v>
      </c>
      <c r="K206" s="1" t="s">
        <v>496</v>
      </c>
      <c r="L206" s="1" t="s">
        <v>71</v>
      </c>
      <c r="M206" s="1" t="s">
        <v>496</v>
      </c>
      <c r="N206" s="2"/>
      <c r="O206" s="2"/>
      <c r="P206" s="2"/>
      <c r="Q206" s="2"/>
    </row>
    <row x14ac:dyDescent="0.25" r="207" customHeight="1" ht="17.25">
      <c r="A207" s="1" t="s">
        <v>3849</v>
      </c>
      <c r="B207" s="1" t="s">
        <v>498</v>
      </c>
      <c r="C207" s="1" t="s">
        <v>3610</v>
      </c>
      <c r="D207" s="1" t="s">
        <v>254</v>
      </c>
      <c r="E207" s="1" t="s">
        <v>3572</v>
      </c>
      <c r="F207" s="1" t="s">
        <v>3573</v>
      </c>
      <c r="G207" s="1" t="s">
        <v>3574</v>
      </c>
      <c r="H207" s="2"/>
      <c r="I207" s="5">
        <f>XLOOKUP(K207, pharmaceutical_index!B:B, pharmaceutical_index!A:A, "Not Found")</f>
      </c>
      <c r="J207" s="1" t="s">
        <v>498</v>
      </c>
      <c r="K207" s="1" t="s">
        <v>498</v>
      </c>
      <c r="L207" s="1" t="s">
        <v>254</v>
      </c>
      <c r="M207" s="1" t="s">
        <v>498</v>
      </c>
      <c r="N207" s="2"/>
      <c r="O207" s="2"/>
      <c r="P207" s="2"/>
      <c r="Q207" s="2"/>
    </row>
    <row x14ac:dyDescent="0.25" r="208" customHeight="1" ht="17.25">
      <c r="A208" s="1" t="s">
        <v>3850</v>
      </c>
      <c r="B208" s="1" t="s">
        <v>500</v>
      </c>
      <c r="C208" s="1" t="s">
        <v>3583</v>
      </c>
      <c r="D208" s="1" t="s">
        <v>20</v>
      </c>
      <c r="E208" s="1" t="s">
        <v>3572</v>
      </c>
      <c r="F208" s="1" t="s">
        <v>3573</v>
      </c>
      <c r="G208" s="1" t="s">
        <v>3574</v>
      </c>
      <c r="H208" s="2"/>
      <c r="I208" s="5">
        <f>XLOOKUP(K208, pharmaceutical_index!B:B, pharmaceutical_index!A:A, "Not Found")</f>
      </c>
      <c r="J208" s="1" t="s">
        <v>500</v>
      </c>
      <c r="K208" s="1" t="s">
        <v>500</v>
      </c>
      <c r="L208" s="1" t="s">
        <v>20</v>
      </c>
      <c r="M208" s="1" t="s">
        <v>500</v>
      </c>
      <c r="N208" s="2"/>
      <c r="O208" s="2"/>
      <c r="P208" s="2"/>
      <c r="Q208" s="2"/>
    </row>
    <row x14ac:dyDescent="0.25" r="209" customHeight="1" ht="17.25">
      <c r="A209" s="1" t="s">
        <v>3851</v>
      </c>
      <c r="B209" s="1" t="s">
        <v>502</v>
      </c>
      <c r="C209" s="1" t="s">
        <v>3585</v>
      </c>
      <c r="D209" s="1" t="s">
        <v>20</v>
      </c>
      <c r="E209" s="1" t="s">
        <v>3572</v>
      </c>
      <c r="F209" s="1" t="s">
        <v>3573</v>
      </c>
      <c r="G209" s="1" t="s">
        <v>3574</v>
      </c>
      <c r="H209" s="2"/>
      <c r="I209" s="5">
        <f>XLOOKUP(K209, pharmaceutical_index!B:B, pharmaceutical_index!A:A, "Not Found")</f>
      </c>
      <c r="J209" s="1" t="s">
        <v>502</v>
      </c>
      <c r="K209" s="1" t="s">
        <v>502</v>
      </c>
      <c r="L209" s="1" t="s">
        <v>20</v>
      </c>
      <c r="M209" s="1" t="s">
        <v>502</v>
      </c>
      <c r="N209" s="2"/>
      <c r="O209" s="2"/>
      <c r="P209" s="2"/>
      <c r="Q209" s="2"/>
    </row>
    <row x14ac:dyDescent="0.25" r="210" customHeight="1" ht="17.25">
      <c r="A210" s="1" t="s">
        <v>3852</v>
      </c>
      <c r="B210" s="1" t="s">
        <v>504</v>
      </c>
      <c r="C210" s="1" t="s">
        <v>3762</v>
      </c>
      <c r="D210" s="1" t="s">
        <v>445</v>
      </c>
      <c r="E210" s="1" t="s">
        <v>3572</v>
      </c>
      <c r="F210" s="1" t="s">
        <v>3573</v>
      </c>
      <c r="G210" s="1" t="s">
        <v>3574</v>
      </c>
      <c r="H210" s="1" t="s">
        <v>3853</v>
      </c>
      <c r="I210" s="5">
        <f>XLOOKUP(K210, pharmaceutical_index!B:B, pharmaceutical_index!A:A, "Not Found")</f>
      </c>
      <c r="J210" s="1" t="s">
        <v>504</v>
      </c>
      <c r="K210" s="1" t="s">
        <v>504</v>
      </c>
      <c r="L210" s="1" t="s">
        <v>445</v>
      </c>
      <c r="M210" s="1" t="s">
        <v>504</v>
      </c>
      <c r="N210" s="2"/>
      <c r="O210" s="2"/>
      <c r="P210" s="2"/>
      <c r="Q210" s="2"/>
    </row>
    <row x14ac:dyDescent="0.25" r="211" customHeight="1" ht="17.25">
      <c r="A211" s="1" t="s">
        <v>3854</v>
      </c>
      <c r="B211" s="1" t="s">
        <v>506</v>
      </c>
      <c r="C211" s="1" t="s">
        <v>3587</v>
      </c>
      <c r="D211" s="1" t="s">
        <v>30</v>
      </c>
      <c r="E211" s="1" t="s">
        <v>3572</v>
      </c>
      <c r="F211" s="1" t="s">
        <v>3573</v>
      </c>
      <c r="G211" s="1" t="s">
        <v>3574</v>
      </c>
      <c r="H211" s="2"/>
      <c r="I211" s="5">
        <f>XLOOKUP(K211, pharmaceutical_index!B:B, pharmaceutical_index!A:A, "Not Found")</f>
      </c>
      <c r="J211" s="1" t="s">
        <v>506</v>
      </c>
      <c r="K211" s="1" t="s">
        <v>506</v>
      </c>
      <c r="L211" s="1" t="s">
        <v>30</v>
      </c>
      <c r="M211" s="1" t="s">
        <v>506</v>
      </c>
      <c r="N211" s="2"/>
      <c r="O211" s="2"/>
      <c r="P211" s="2"/>
      <c r="Q211" s="2"/>
    </row>
    <row x14ac:dyDescent="0.25" r="212" customHeight="1" ht="17.25">
      <c r="A212" s="1" t="s">
        <v>3855</v>
      </c>
      <c r="B212" s="1" t="s">
        <v>508</v>
      </c>
      <c r="C212" s="1" t="s">
        <v>3665</v>
      </c>
      <c r="D212" s="1" t="s">
        <v>20</v>
      </c>
      <c r="E212" s="1" t="s">
        <v>3572</v>
      </c>
      <c r="F212" s="1" t="s">
        <v>3573</v>
      </c>
      <c r="G212" s="1" t="s">
        <v>3574</v>
      </c>
      <c r="H212" s="2"/>
      <c r="I212" s="5">
        <f>XLOOKUP(K212, pharmaceutical_index!B:B, pharmaceutical_index!A:A, "Not Found")</f>
      </c>
      <c r="J212" s="1" t="s">
        <v>508</v>
      </c>
      <c r="K212" s="1" t="s">
        <v>508</v>
      </c>
      <c r="L212" s="1" t="s">
        <v>20</v>
      </c>
      <c r="M212" s="1" t="s">
        <v>508</v>
      </c>
      <c r="N212" s="2"/>
      <c r="O212" s="2"/>
      <c r="P212" s="2"/>
      <c r="Q212" s="2"/>
    </row>
    <row x14ac:dyDescent="0.25" r="213" customHeight="1" ht="17.25">
      <c r="A213" s="1" t="s">
        <v>3856</v>
      </c>
      <c r="B213" s="1" t="s">
        <v>510</v>
      </c>
      <c r="C213" s="1" t="s">
        <v>3589</v>
      </c>
      <c r="D213" s="1" t="s">
        <v>224</v>
      </c>
      <c r="E213" s="1" t="s">
        <v>3572</v>
      </c>
      <c r="F213" s="1" t="s">
        <v>3573</v>
      </c>
      <c r="G213" s="1" t="s">
        <v>3574</v>
      </c>
      <c r="H213" s="2"/>
      <c r="I213" s="5">
        <f>XLOOKUP(K213, pharmaceutical_index!B:B, pharmaceutical_index!A:A, "Not Found")</f>
      </c>
      <c r="J213" s="1" t="s">
        <v>510</v>
      </c>
      <c r="K213" s="1" t="s">
        <v>510</v>
      </c>
      <c r="L213" s="1" t="s">
        <v>224</v>
      </c>
      <c r="M213" s="1" t="s">
        <v>510</v>
      </c>
      <c r="N213" s="2"/>
      <c r="O213" s="2"/>
      <c r="P213" s="2"/>
      <c r="Q213" s="2"/>
    </row>
    <row x14ac:dyDescent="0.25" r="214" customHeight="1" ht="17.25">
      <c r="A214" s="1" t="s">
        <v>3857</v>
      </c>
      <c r="B214" s="1" t="s">
        <v>512</v>
      </c>
      <c r="C214" s="1" t="s">
        <v>3571</v>
      </c>
      <c r="D214" s="1" t="s">
        <v>59</v>
      </c>
      <c r="E214" s="1" t="s">
        <v>3572</v>
      </c>
      <c r="F214" s="1" t="s">
        <v>3573</v>
      </c>
      <c r="G214" s="1" t="s">
        <v>3574</v>
      </c>
      <c r="H214" s="2"/>
      <c r="I214" s="5">
        <f>XLOOKUP(K214, pharmaceutical_index!B:B, pharmaceutical_index!A:A, "Not Found")</f>
      </c>
      <c r="J214" s="1" t="s">
        <v>512</v>
      </c>
      <c r="K214" s="1" t="s">
        <v>512</v>
      </c>
      <c r="L214" s="1" t="s">
        <v>59</v>
      </c>
      <c r="M214" s="1" t="s">
        <v>512</v>
      </c>
      <c r="N214" s="2"/>
      <c r="O214" s="2"/>
      <c r="P214" s="2"/>
      <c r="Q214" s="2"/>
    </row>
    <row x14ac:dyDescent="0.25" r="215" customHeight="1" ht="17.25">
      <c r="A215" s="1" t="s">
        <v>3858</v>
      </c>
      <c r="B215" s="1" t="s">
        <v>514</v>
      </c>
      <c r="C215" s="1" t="s">
        <v>3583</v>
      </c>
      <c r="D215" s="1" t="s">
        <v>20</v>
      </c>
      <c r="E215" s="1" t="s">
        <v>3572</v>
      </c>
      <c r="F215" s="1" t="s">
        <v>3573</v>
      </c>
      <c r="G215" s="1" t="s">
        <v>3574</v>
      </c>
      <c r="H215" s="2"/>
      <c r="I215" s="5">
        <f>XLOOKUP(K215, pharmaceutical_index!B:B, pharmaceutical_index!A:A, "Not Found")</f>
      </c>
      <c r="J215" s="1" t="s">
        <v>514</v>
      </c>
      <c r="K215" s="1" t="s">
        <v>514</v>
      </c>
      <c r="L215" s="1" t="s">
        <v>20</v>
      </c>
      <c r="M215" s="1" t="s">
        <v>514</v>
      </c>
      <c r="N215" s="2"/>
      <c r="O215" s="2"/>
      <c r="P215" s="2"/>
      <c r="Q215" s="2"/>
    </row>
    <row x14ac:dyDescent="0.25" r="216" customHeight="1" ht="17.25">
      <c r="A216" s="1" t="s">
        <v>3859</v>
      </c>
      <c r="B216" s="1" t="s">
        <v>516</v>
      </c>
      <c r="C216" s="1" t="s">
        <v>3571</v>
      </c>
      <c r="D216" s="1" t="s">
        <v>76</v>
      </c>
      <c r="E216" s="1" t="s">
        <v>3572</v>
      </c>
      <c r="F216" s="1" t="s">
        <v>3573</v>
      </c>
      <c r="G216" s="1" t="s">
        <v>3574</v>
      </c>
      <c r="H216" s="2"/>
      <c r="I216" s="5">
        <f>XLOOKUP(K216, pharmaceutical_index!B:B, pharmaceutical_index!A:A, "Not Found")</f>
      </c>
      <c r="J216" s="1" t="s">
        <v>516</v>
      </c>
      <c r="K216" s="1" t="s">
        <v>516</v>
      </c>
      <c r="L216" s="1" t="s">
        <v>76</v>
      </c>
      <c r="M216" s="1" t="s">
        <v>516</v>
      </c>
      <c r="N216" s="2"/>
      <c r="O216" s="2"/>
      <c r="P216" s="2"/>
      <c r="Q216" s="2"/>
    </row>
    <row x14ac:dyDescent="0.25" r="217" customHeight="1" ht="17.25">
      <c r="A217" s="1" t="s">
        <v>3860</v>
      </c>
      <c r="B217" s="1" t="s">
        <v>518</v>
      </c>
      <c r="C217" s="1" t="s">
        <v>3600</v>
      </c>
      <c r="D217" s="1" t="s">
        <v>519</v>
      </c>
      <c r="E217" s="1" t="s">
        <v>3572</v>
      </c>
      <c r="F217" s="1" t="s">
        <v>3573</v>
      </c>
      <c r="G217" s="1" t="s">
        <v>3574</v>
      </c>
      <c r="H217" s="2"/>
      <c r="I217" s="5">
        <f>XLOOKUP(K217, pharmaceutical_index!B:B, pharmaceutical_index!A:A, "Not Found")</f>
      </c>
      <c r="J217" s="1" t="s">
        <v>518</v>
      </c>
      <c r="K217" s="1" t="s">
        <v>518</v>
      </c>
      <c r="L217" s="1" t="s">
        <v>519</v>
      </c>
      <c r="M217" s="1" t="s">
        <v>518</v>
      </c>
      <c r="N217" s="2"/>
      <c r="O217" s="2"/>
      <c r="P217" s="2"/>
      <c r="Q217" s="2"/>
    </row>
    <row x14ac:dyDescent="0.25" r="218" customHeight="1" ht="17.25">
      <c r="A218" s="1" t="s">
        <v>3861</v>
      </c>
      <c r="B218" s="1" t="s">
        <v>521</v>
      </c>
      <c r="C218" s="1" t="s">
        <v>3608</v>
      </c>
      <c r="D218" s="1" t="s">
        <v>522</v>
      </c>
      <c r="E218" s="1" t="s">
        <v>3572</v>
      </c>
      <c r="F218" s="1" t="s">
        <v>3573</v>
      </c>
      <c r="G218" s="1" t="s">
        <v>3574</v>
      </c>
      <c r="H218" s="2"/>
      <c r="I218" s="5">
        <f>XLOOKUP(K218, pharmaceutical_index!B:B, pharmaceutical_index!A:A, "Not Found")</f>
      </c>
      <c r="J218" s="1" t="s">
        <v>521</v>
      </c>
      <c r="K218" s="1" t="s">
        <v>521</v>
      </c>
      <c r="L218" s="1" t="s">
        <v>522</v>
      </c>
      <c r="M218" s="1" t="s">
        <v>521</v>
      </c>
      <c r="N218" s="2"/>
      <c r="O218" s="2"/>
      <c r="P218" s="2"/>
      <c r="Q218" s="2"/>
    </row>
    <row x14ac:dyDescent="0.25" r="219" customHeight="1" ht="17.25">
      <c r="A219" s="1" t="s">
        <v>3862</v>
      </c>
      <c r="B219" s="1" t="s">
        <v>524</v>
      </c>
      <c r="C219" s="1" t="s">
        <v>3608</v>
      </c>
      <c r="D219" s="1" t="s">
        <v>522</v>
      </c>
      <c r="E219" s="1" t="s">
        <v>3572</v>
      </c>
      <c r="F219" s="1" t="s">
        <v>3573</v>
      </c>
      <c r="G219" s="1" t="s">
        <v>3574</v>
      </c>
      <c r="H219" s="2"/>
      <c r="I219" s="5">
        <f>XLOOKUP(K219, pharmaceutical_index!B:B, pharmaceutical_index!A:A, "Not Found")</f>
      </c>
      <c r="J219" s="1" t="s">
        <v>524</v>
      </c>
      <c r="K219" s="1" t="s">
        <v>524</v>
      </c>
      <c r="L219" s="1" t="s">
        <v>522</v>
      </c>
      <c r="M219" s="1" t="s">
        <v>524</v>
      </c>
      <c r="N219" s="2"/>
      <c r="O219" s="2"/>
      <c r="P219" s="2"/>
      <c r="Q219" s="2"/>
    </row>
    <row x14ac:dyDescent="0.25" r="220" customHeight="1" ht="17.25">
      <c r="A220" s="1" t="s">
        <v>3863</v>
      </c>
      <c r="B220" s="1" t="s">
        <v>526</v>
      </c>
      <c r="C220" s="1" t="s">
        <v>3576</v>
      </c>
      <c r="D220" s="1" t="s">
        <v>20</v>
      </c>
      <c r="E220" s="1" t="s">
        <v>3572</v>
      </c>
      <c r="F220" s="1" t="s">
        <v>3573</v>
      </c>
      <c r="G220" s="1" t="s">
        <v>3574</v>
      </c>
      <c r="H220" s="2"/>
      <c r="I220" s="5">
        <f>XLOOKUP(K220, pharmaceutical_index!B:B, pharmaceutical_index!A:A, "Not Found")</f>
      </c>
      <c r="J220" s="1" t="s">
        <v>526</v>
      </c>
      <c r="K220" s="1" t="s">
        <v>526</v>
      </c>
      <c r="L220" s="1" t="s">
        <v>20</v>
      </c>
      <c r="M220" s="1" t="s">
        <v>526</v>
      </c>
      <c r="N220" s="2"/>
      <c r="O220" s="2"/>
      <c r="P220" s="2"/>
      <c r="Q220" s="2"/>
    </row>
    <row x14ac:dyDescent="0.25" r="221" customHeight="1" ht="17.25">
      <c r="A221" s="1" t="s">
        <v>3864</v>
      </c>
      <c r="B221" s="1" t="s">
        <v>528</v>
      </c>
      <c r="C221" s="1" t="s">
        <v>3608</v>
      </c>
      <c r="D221" s="1" t="s">
        <v>529</v>
      </c>
      <c r="E221" s="1" t="s">
        <v>3572</v>
      </c>
      <c r="F221" s="1" t="s">
        <v>3573</v>
      </c>
      <c r="G221" s="1" t="s">
        <v>3574</v>
      </c>
      <c r="H221" s="2"/>
      <c r="I221" s="5">
        <f>XLOOKUP(K221, pharmaceutical_index!B:B, pharmaceutical_index!A:A, "Not Found")</f>
      </c>
      <c r="J221" s="1" t="s">
        <v>528</v>
      </c>
      <c r="K221" s="1" t="s">
        <v>528</v>
      </c>
      <c r="L221" s="1" t="s">
        <v>529</v>
      </c>
      <c r="M221" s="1" t="s">
        <v>528</v>
      </c>
      <c r="N221" s="2"/>
      <c r="O221" s="2"/>
      <c r="P221" s="2"/>
      <c r="Q221" s="2"/>
    </row>
    <row x14ac:dyDescent="0.25" r="222" customHeight="1" ht="17.25">
      <c r="A222" s="1" t="s">
        <v>3865</v>
      </c>
      <c r="B222" s="1" t="s">
        <v>531</v>
      </c>
      <c r="C222" s="1" t="s">
        <v>3866</v>
      </c>
      <c r="D222" s="1" t="s">
        <v>532</v>
      </c>
      <c r="E222" s="1" t="s">
        <v>3572</v>
      </c>
      <c r="F222" s="1" t="s">
        <v>3573</v>
      </c>
      <c r="G222" s="1" t="s">
        <v>3574</v>
      </c>
      <c r="H222" s="2"/>
      <c r="I222" s="5">
        <f>XLOOKUP(K222, pharmaceutical_index!B:B, pharmaceutical_index!A:A, "Not Found")</f>
      </c>
      <c r="J222" s="1" t="s">
        <v>531</v>
      </c>
      <c r="K222" s="1" t="s">
        <v>531</v>
      </c>
      <c r="L222" s="1" t="s">
        <v>532</v>
      </c>
      <c r="M222" s="1" t="s">
        <v>531</v>
      </c>
      <c r="N222" s="2"/>
      <c r="O222" s="2"/>
      <c r="P222" s="2"/>
      <c r="Q222" s="2"/>
    </row>
    <row x14ac:dyDescent="0.25" r="223" customHeight="1" ht="17.25">
      <c r="A223" s="1" t="s">
        <v>3867</v>
      </c>
      <c r="B223" s="1" t="s">
        <v>534</v>
      </c>
      <c r="C223" s="1" t="s">
        <v>3769</v>
      </c>
      <c r="D223" s="1" t="s">
        <v>340</v>
      </c>
      <c r="E223" s="1" t="s">
        <v>3572</v>
      </c>
      <c r="F223" s="1" t="s">
        <v>3573</v>
      </c>
      <c r="G223" s="1" t="s">
        <v>3574</v>
      </c>
      <c r="H223" s="2"/>
      <c r="I223" s="5">
        <f>XLOOKUP(K223, pharmaceutical_index!B:B, pharmaceutical_index!A:A, "Not Found")</f>
      </c>
      <c r="J223" s="1" t="s">
        <v>534</v>
      </c>
      <c r="K223" s="1" t="s">
        <v>534</v>
      </c>
      <c r="L223" s="1" t="s">
        <v>340</v>
      </c>
      <c r="M223" s="1" t="s">
        <v>534</v>
      </c>
      <c r="N223" s="2"/>
      <c r="O223" s="2"/>
      <c r="P223" s="2"/>
      <c r="Q223" s="2"/>
    </row>
    <row x14ac:dyDescent="0.25" r="224" customHeight="1" ht="17.25">
      <c r="A224" s="1" t="s">
        <v>3868</v>
      </c>
      <c r="B224" s="1" t="s">
        <v>536</v>
      </c>
      <c r="C224" s="1" t="s">
        <v>3665</v>
      </c>
      <c r="D224" s="1" t="s">
        <v>20</v>
      </c>
      <c r="E224" s="1" t="s">
        <v>3572</v>
      </c>
      <c r="F224" s="1" t="s">
        <v>3573</v>
      </c>
      <c r="G224" s="1" t="s">
        <v>3574</v>
      </c>
      <c r="H224" s="2"/>
      <c r="I224" s="5">
        <f>XLOOKUP(K224, pharmaceutical_index!B:B, pharmaceutical_index!A:A, "Not Found")</f>
      </c>
      <c r="J224" s="1" t="s">
        <v>536</v>
      </c>
      <c r="K224" s="1" t="s">
        <v>536</v>
      </c>
      <c r="L224" s="1" t="s">
        <v>20</v>
      </c>
      <c r="M224" s="1" t="s">
        <v>536</v>
      </c>
      <c r="N224" s="2"/>
      <c r="O224" s="2"/>
      <c r="P224" s="2"/>
      <c r="Q224" s="2"/>
    </row>
    <row x14ac:dyDescent="0.25" r="225" customHeight="1" ht="17.25">
      <c r="A225" s="1" t="s">
        <v>3869</v>
      </c>
      <c r="B225" s="1" t="s">
        <v>538</v>
      </c>
      <c r="C225" s="1" t="s">
        <v>3589</v>
      </c>
      <c r="D225" s="1" t="s">
        <v>384</v>
      </c>
      <c r="E225" s="1" t="s">
        <v>3572</v>
      </c>
      <c r="F225" s="1" t="s">
        <v>3573</v>
      </c>
      <c r="G225" s="1" t="s">
        <v>3574</v>
      </c>
      <c r="H225" s="2"/>
      <c r="I225" s="5">
        <f>XLOOKUP(K225, pharmaceutical_index!B:B, pharmaceutical_index!A:A, "Not Found")</f>
      </c>
      <c r="J225" s="1" t="s">
        <v>538</v>
      </c>
      <c r="K225" s="1" t="s">
        <v>538</v>
      </c>
      <c r="L225" s="1" t="s">
        <v>384</v>
      </c>
      <c r="M225" s="1" t="s">
        <v>538</v>
      </c>
      <c r="N225" s="2"/>
      <c r="O225" s="2"/>
      <c r="P225" s="2"/>
      <c r="Q225" s="2"/>
    </row>
    <row x14ac:dyDescent="0.25" r="226" customHeight="1" ht="17.25">
      <c r="A226" s="1" t="s">
        <v>3870</v>
      </c>
      <c r="B226" s="1" t="s">
        <v>540</v>
      </c>
      <c r="C226" s="1" t="s">
        <v>3583</v>
      </c>
      <c r="D226" s="1" t="s">
        <v>20</v>
      </c>
      <c r="E226" s="1" t="s">
        <v>3572</v>
      </c>
      <c r="F226" s="1" t="s">
        <v>3573</v>
      </c>
      <c r="G226" s="1" t="s">
        <v>3574</v>
      </c>
      <c r="H226" s="2"/>
      <c r="I226" s="5">
        <f>XLOOKUP(K226, pharmaceutical_index!B:B, pharmaceutical_index!A:A, "Not Found")</f>
      </c>
      <c r="J226" s="1" t="s">
        <v>540</v>
      </c>
      <c r="K226" s="1" t="s">
        <v>540</v>
      </c>
      <c r="L226" s="1" t="s">
        <v>20</v>
      </c>
      <c r="M226" s="1" t="s">
        <v>540</v>
      </c>
      <c r="N226" s="2"/>
      <c r="O226" s="2"/>
      <c r="P226" s="2"/>
      <c r="Q226" s="2"/>
    </row>
    <row x14ac:dyDescent="0.25" r="227" customHeight="1" ht="17.25">
      <c r="A227" s="1" t="s">
        <v>3871</v>
      </c>
      <c r="B227" s="1" t="s">
        <v>542</v>
      </c>
      <c r="C227" s="1" t="s">
        <v>3610</v>
      </c>
      <c r="D227" s="1" t="s">
        <v>254</v>
      </c>
      <c r="E227" s="1" t="s">
        <v>3572</v>
      </c>
      <c r="F227" s="1" t="s">
        <v>3573</v>
      </c>
      <c r="G227" s="1" t="s">
        <v>3574</v>
      </c>
      <c r="H227" s="2"/>
      <c r="I227" s="5">
        <f>XLOOKUP(K227, pharmaceutical_index!B:B, pharmaceutical_index!A:A, "Not Found")</f>
      </c>
      <c r="J227" s="1" t="s">
        <v>542</v>
      </c>
      <c r="K227" s="1" t="s">
        <v>542</v>
      </c>
      <c r="L227" s="1" t="s">
        <v>254</v>
      </c>
      <c r="M227" s="1" t="s">
        <v>542</v>
      </c>
      <c r="N227" s="2"/>
      <c r="O227" s="2"/>
      <c r="P227" s="2"/>
      <c r="Q227" s="2"/>
    </row>
    <row x14ac:dyDescent="0.25" r="228" customHeight="1" ht="17.25">
      <c r="A228" s="1" t="s">
        <v>3872</v>
      </c>
      <c r="B228" s="1" t="s">
        <v>544</v>
      </c>
      <c r="C228" s="1" t="s">
        <v>3643</v>
      </c>
      <c r="D228" s="1" t="s">
        <v>545</v>
      </c>
      <c r="E228" s="1" t="s">
        <v>3572</v>
      </c>
      <c r="F228" s="1" t="s">
        <v>3573</v>
      </c>
      <c r="G228" s="1" t="s">
        <v>3574</v>
      </c>
      <c r="H228" s="2"/>
      <c r="I228" s="5">
        <f>XLOOKUP(K228, pharmaceutical_index!B:B, pharmaceutical_index!A:A, "Not Found")</f>
      </c>
      <c r="J228" s="1" t="s">
        <v>544</v>
      </c>
      <c r="K228" s="1" t="s">
        <v>544</v>
      </c>
      <c r="L228" s="1" t="s">
        <v>545</v>
      </c>
      <c r="M228" s="1" t="s">
        <v>544</v>
      </c>
      <c r="N228" s="2"/>
      <c r="O228" s="2"/>
      <c r="P228" s="2"/>
      <c r="Q228" s="2"/>
    </row>
    <row x14ac:dyDescent="0.25" r="229" customHeight="1" ht="17.25">
      <c r="A229" s="1" t="s">
        <v>3873</v>
      </c>
      <c r="B229" s="1" t="s">
        <v>547</v>
      </c>
      <c r="C229" s="1" t="s">
        <v>3762</v>
      </c>
      <c r="D229" s="1" t="s">
        <v>328</v>
      </c>
      <c r="E229" s="1" t="s">
        <v>3572</v>
      </c>
      <c r="F229" s="1" t="s">
        <v>3573</v>
      </c>
      <c r="G229" s="1" t="s">
        <v>3574</v>
      </c>
      <c r="H229" s="2"/>
      <c r="I229" s="5">
        <f>XLOOKUP(K229, pharmaceutical_index!B:B, pharmaceutical_index!A:A, "Not Found")</f>
      </c>
      <c r="J229" s="1" t="s">
        <v>547</v>
      </c>
      <c r="K229" s="1" t="s">
        <v>547</v>
      </c>
      <c r="L229" s="1" t="s">
        <v>328</v>
      </c>
      <c r="M229" s="1" t="s">
        <v>547</v>
      </c>
      <c r="N229" s="2"/>
      <c r="O229" s="2"/>
      <c r="P229" s="2"/>
      <c r="Q229" s="2"/>
    </row>
    <row x14ac:dyDescent="0.25" r="230" customHeight="1" ht="17.25">
      <c r="A230" s="1" t="s">
        <v>3874</v>
      </c>
      <c r="B230" s="1" t="s">
        <v>549</v>
      </c>
      <c r="C230" s="1" t="s">
        <v>3619</v>
      </c>
      <c r="D230" s="1" t="s">
        <v>86</v>
      </c>
      <c r="E230" s="1" t="s">
        <v>3572</v>
      </c>
      <c r="F230" s="1" t="s">
        <v>3573</v>
      </c>
      <c r="G230" s="1" t="s">
        <v>3574</v>
      </c>
      <c r="H230" s="2"/>
      <c r="I230" s="5">
        <f>XLOOKUP(K230, pharmaceutical_index!B:B, pharmaceutical_index!A:A, "Not Found")</f>
      </c>
      <c r="J230" s="1" t="s">
        <v>549</v>
      </c>
      <c r="K230" s="1" t="s">
        <v>549</v>
      </c>
      <c r="L230" s="1" t="s">
        <v>86</v>
      </c>
      <c r="M230" s="1" t="s">
        <v>549</v>
      </c>
      <c r="N230" s="2"/>
      <c r="O230" s="2"/>
      <c r="P230" s="2"/>
      <c r="Q230" s="2"/>
    </row>
    <row x14ac:dyDescent="0.25" r="231" customHeight="1" ht="17.25">
      <c r="A231" s="1" t="s">
        <v>3875</v>
      </c>
      <c r="B231" s="1" t="s">
        <v>551</v>
      </c>
      <c r="C231" s="1" t="s">
        <v>3774</v>
      </c>
      <c r="D231" s="1" t="s">
        <v>20</v>
      </c>
      <c r="E231" s="1" t="s">
        <v>3572</v>
      </c>
      <c r="F231" s="1" t="s">
        <v>3573</v>
      </c>
      <c r="G231" s="1" t="s">
        <v>3574</v>
      </c>
      <c r="H231" s="2"/>
      <c r="I231" s="5">
        <f>XLOOKUP(K231, pharmaceutical_index!B:B, pharmaceutical_index!A:A, "Not Found")</f>
      </c>
      <c r="J231" s="1" t="s">
        <v>551</v>
      </c>
      <c r="K231" s="1" t="s">
        <v>551</v>
      </c>
      <c r="L231" s="1" t="s">
        <v>20</v>
      </c>
      <c r="M231" s="1" t="s">
        <v>551</v>
      </c>
      <c r="N231" s="2"/>
      <c r="O231" s="2"/>
      <c r="P231" s="2"/>
      <c r="Q231" s="2"/>
    </row>
    <row x14ac:dyDescent="0.25" r="232" customHeight="1" ht="17.25">
      <c r="A232" s="1" t="s">
        <v>3876</v>
      </c>
      <c r="B232" s="1" t="s">
        <v>553</v>
      </c>
      <c r="C232" s="1" t="s">
        <v>3877</v>
      </c>
      <c r="D232" s="1" t="s">
        <v>554</v>
      </c>
      <c r="E232" s="1" t="s">
        <v>3572</v>
      </c>
      <c r="F232" s="1" t="s">
        <v>3573</v>
      </c>
      <c r="G232" s="1" t="s">
        <v>3574</v>
      </c>
      <c r="H232" s="2"/>
      <c r="I232" s="5">
        <f>XLOOKUP(K232, pharmaceutical_index!B:B, pharmaceutical_index!A:A, "Not Found")</f>
      </c>
      <c r="J232" s="1" t="s">
        <v>553</v>
      </c>
      <c r="K232" s="1" t="s">
        <v>553</v>
      </c>
      <c r="L232" s="1" t="s">
        <v>554</v>
      </c>
      <c r="M232" s="1" t="s">
        <v>553</v>
      </c>
      <c r="N232" s="2"/>
      <c r="O232" s="2"/>
      <c r="P232" s="2"/>
      <c r="Q232" s="2"/>
    </row>
    <row x14ac:dyDescent="0.25" r="233" customHeight="1" ht="17.25">
      <c r="A233" s="1" t="s">
        <v>3878</v>
      </c>
      <c r="B233" s="1" t="s">
        <v>556</v>
      </c>
      <c r="C233" s="1" t="s">
        <v>3866</v>
      </c>
      <c r="D233" s="1" t="s">
        <v>557</v>
      </c>
      <c r="E233" s="1" t="s">
        <v>3572</v>
      </c>
      <c r="F233" s="1" t="s">
        <v>3573</v>
      </c>
      <c r="G233" s="1" t="s">
        <v>3574</v>
      </c>
      <c r="H233" s="2"/>
      <c r="I233" s="5">
        <f>XLOOKUP(K233, pharmaceutical_index!B:B, pharmaceutical_index!A:A, "Not Found")</f>
      </c>
      <c r="J233" s="1" t="s">
        <v>556</v>
      </c>
      <c r="K233" s="1" t="s">
        <v>556</v>
      </c>
      <c r="L233" s="1" t="s">
        <v>557</v>
      </c>
      <c r="M233" s="1" t="s">
        <v>556</v>
      </c>
      <c r="N233" s="2"/>
      <c r="O233" s="2"/>
      <c r="P233" s="2"/>
      <c r="Q233" s="2"/>
    </row>
    <row x14ac:dyDescent="0.25" r="234" customHeight="1" ht="17.25">
      <c r="A234" s="1" t="s">
        <v>3879</v>
      </c>
      <c r="B234" s="1" t="s">
        <v>559</v>
      </c>
      <c r="C234" s="1" t="s">
        <v>3647</v>
      </c>
      <c r="D234" s="1" t="s">
        <v>560</v>
      </c>
      <c r="E234" s="1" t="s">
        <v>3572</v>
      </c>
      <c r="F234" s="1" t="s">
        <v>3573</v>
      </c>
      <c r="G234" s="1" t="s">
        <v>3574</v>
      </c>
      <c r="H234" s="2"/>
      <c r="I234" s="5">
        <f>XLOOKUP(K234, pharmaceutical_index!B:B, pharmaceutical_index!A:A, "Not Found")</f>
      </c>
      <c r="J234" s="1" t="s">
        <v>559</v>
      </c>
      <c r="K234" s="1" t="s">
        <v>559</v>
      </c>
      <c r="L234" s="1" t="s">
        <v>560</v>
      </c>
      <c r="M234" s="1" t="s">
        <v>559</v>
      </c>
      <c r="N234" s="2"/>
      <c r="O234" s="2"/>
      <c r="P234" s="2"/>
      <c r="Q234" s="2"/>
    </row>
    <row x14ac:dyDescent="0.25" r="235" customHeight="1" ht="17.25">
      <c r="A235" s="1" t="s">
        <v>3880</v>
      </c>
      <c r="B235" s="1" t="s">
        <v>562</v>
      </c>
      <c r="C235" s="1" t="s">
        <v>3622</v>
      </c>
      <c r="D235" s="1" t="s">
        <v>135</v>
      </c>
      <c r="E235" s="1" t="s">
        <v>3572</v>
      </c>
      <c r="F235" s="1" t="s">
        <v>3573</v>
      </c>
      <c r="G235" s="1" t="s">
        <v>3574</v>
      </c>
      <c r="H235" s="2"/>
      <c r="I235" s="5">
        <f>XLOOKUP(K235, pharmaceutical_index!B:B, pharmaceutical_index!A:A, "Not Found")</f>
      </c>
      <c r="J235" s="1" t="s">
        <v>562</v>
      </c>
      <c r="K235" s="1" t="s">
        <v>562</v>
      </c>
      <c r="L235" s="1" t="s">
        <v>135</v>
      </c>
      <c r="M235" s="1" t="s">
        <v>562</v>
      </c>
      <c r="N235" s="2"/>
      <c r="O235" s="2"/>
      <c r="P235" s="2"/>
      <c r="Q235" s="2"/>
    </row>
    <row x14ac:dyDescent="0.25" r="236" customHeight="1" ht="17.25">
      <c r="A236" s="1" t="s">
        <v>3881</v>
      </c>
      <c r="B236" s="1" t="s">
        <v>564</v>
      </c>
      <c r="C236" s="1" t="s">
        <v>3619</v>
      </c>
      <c r="D236" s="1" t="s">
        <v>86</v>
      </c>
      <c r="E236" s="1" t="s">
        <v>3572</v>
      </c>
      <c r="F236" s="1" t="s">
        <v>3573</v>
      </c>
      <c r="G236" s="1" t="s">
        <v>3574</v>
      </c>
      <c r="H236" s="2"/>
      <c r="I236" s="5">
        <f>XLOOKUP(K236, pharmaceutical_index!B:B, pharmaceutical_index!A:A, "Not Found")</f>
      </c>
      <c r="J236" s="1" t="s">
        <v>564</v>
      </c>
      <c r="K236" s="1" t="s">
        <v>564</v>
      </c>
      <c r="L236" s="1" t="s">
        <v>86</v>
      </c>
      <c r="M236" s="1" t="s">
        <v>564</v>
      </c>
      <c r="N236" s="2"/>
      <c r="O236" s="2"/>
      <c r="P236" s="2"/>
      <c r="Q236" s="2"/>
    </row>
    <row x14ac:dyDescent="0.25" r="237" customHeight="1" ht="17.25">
      <c r="A237" s="1" t="s">
        <v>3882</v>
      </c>
      <c r="B237" s="1" t="s">
        <v>566</v>
      </c>
      <c r="C237" s="1" t="s">
        <v>3589</v>
      </c>
      <c r="D237" s="1" t="s">
        <v>62</v>
      </c>
      <c r="E237" s="1" t="s">
        <v>3572</v>
      </c>
      <c r="F237" s="1" t="s">
        <v>3573</v>
      </c>
      <c r="G237" s="1" t="s">
        <v>3574</v>
      </c>
      <c r="H237" s="2"/>
      <c r="I237" s="5">
        <f>XLOOKUP(K237, pharmaceutical_index!B:B, pharmaceutical_index!A:A, "Not Found")</f>
      </c>
      <c r="J237" s="1" t="s">
        <v>566</v>
      </c>
      <c r="K237" s="1" t="s">
        <v>566</v>
      </c>
      <c r="L237" s="1" t="s">
        <v>62</v>
      </c>
      <c r="M237" s="1" t="s">
        <v>566</v>
      </c>
      <c r="N237" s="2"/>
      <c r="O237" s="2"/>
      <c r="P237" s="2"/>
      <c r="Q237" s="2"/>
    </row>
    <row x14ac:dyDescent="0.25" r="238" customHeight="1" ht="17.25">
      <c r="A238" s="1" t="s">
        <v>3883</v>
      </c>
      <c r="B238" s="1" t="s">
        <v>568</v>
      </c>
      <c r="C238" s="1" t="s">
        <v>3589</v>
      </c>
      <c r="D238" s="1" t="s">
        <v>62</v>
      </c>
      <c r="E238" s="1" t="s">
        <v>3572</v>
      </c>
      <c r="F238" s="1" t="s">
        <v>3573</v>
      </c>
      <c r="G238" s="1" t="s">
        <v>3574</v>
      </c>
      <c r="H238" s="2"/>
      <c r="I238" s="5">
        <f>XLOOKUP(K238, pharmaceutical_index!B:B, pharmaceutical_index!A:A, "Not Found")</f>
      </c>
      <c r="J238" s="1" t="s">
        <v>568</v>
      </c>
      <c r="K238" s="1" t="s">
        <v>568</v>
      </c>
      <c r="L238" s="1" t="s">
        <v>62</v>
      </c>
      <c r="M238" s="1" t="s">
        <v>568</v>
      </c>
      <c r="N238" s="2"/>
      <c r="O238" s="2"/>
      <c r="P238" s="2"/>
      <c r="Q238" s="2"/>
    </row>
    <row x14ac:dyDescent="0.25" r="239" customHeight="1" ht="17.25">
      <c r="A239" s="1" t="s">
        <v>3884</v>
      </c>
      <c r="B239" s="1" t="s">
        <v>570</v>
      </c>
      <c r="C239" s="1" t="s">
        <v>3733</v>
      </c>
      <c r="D239" s="1" t="s">
        <v>355</v>
      </c>
      <c r="E239" s="1" t="s">
        <v>3572</v>
      </c>
      <c r="F239" s="1" t="s">
        <v>3573</v>
      </c>
      <c r="G239" s="1" t="s">
        <v>3574</v>
      </c>
      <c r="H239" s="2"/>
      <c r="I239" s="5">
        <f>XLOOKUP(K239, pharmaceutical_index!B:B, pharmaceutical_index!A:A, "Not Found")</f>
      </c>
      <c r="J239" s="1" t="s">
        <v>570</v>
      </c>
      <c r="K239" s="1" t="s">
        <v>570</v>
      </c>
      <c r="L239" s="1" t="s">
        <v>355</v>
      </c>
      <c r="M239" s="1" t="s">
        <v>570</v>
      </c>
      <c r="N239" s="2"/>
      <c r="O239" s="2"/>
      <c r="P239" s="2"/>
      <c r="Q239" s="2"/>
    </row>
    <row x14ac:dyDescent="0.25" r="240" customHeight="1" ht="17.25">
      <c r="A240" s="1" t="s">
        <v>3885</v>
      </c>
      <c r="B240" s="1" t="s">
        <v>572</v>
      </c>
      <c r="C240" s="1" t="s">
        <v>3610</v>
      </c>
      <c r="D240" s="1" t="s">
        <v>573</v>
      </c>
      <c r="E240" s="1" t="s">
        <v>3572</v>
      </c>
      <c r="F240" s="1" t="s">
        <v>3573</v>
      </c>
      <c r="G240" s="1" t="s">
        <v>3574</v>
      </c>
      <c r="H240" s="2"/>
      <c r="I240" s="5">
        <f>XLOOKUP(K240, pharmaceutical_index!B:B, pharmaceutical_index!A:A, "Not Found")</f>
      </c>
      <c r="J240" s="1" t="s">
        <v>572</v>
      </c>
      <c r="K240" s="1" t="s">
        <v>572</v>
      </c>
      <c r="L240" s="1" t="s">
        <v>573</v>
      </c>
      <c r="M240" s="1" t="s">
        <v>572</v>
      </c>
      <c r="N240" s="2"/>
      <c r="O240" s="2"/>
      <c r="P240" s="2"/>
      <c r="Q240" s="2"/>
    </row>
    <row x14ac:dyDescent="0.25" r="241" customHeight="1" ht="17.25">
      <c r="A241" s="1" t="s">
        <v>3886</v>
      </c>
      <c r="B241" s="1" t="s">
        <v>575</v>
      </c>
      <c r="C241" s="1" t="s">
        <v>3762</v>
      </c>
      <c r="D241" s="1" t="s">
        <v>445</v>
      </c>
      <c r="E241" s="1" t="s">
        <v>3572</v>
      </c>
      <c r="F241" s="1" t="s">
        <v>3573</v>
      </c>
      <c r="G241" s="1" t="s">
        <v>3574</v>
      </c>
      <c r="H241" s="2"/>
      <c r="I241" s="5">
        <f>XLOOKUP(K241, pharmaceutical_index!B:B, pharmaceutical_index!A:A, "Not Found")</f>
      </c>
      <c r="J241" s="1" t="s">
        <v>575</v>
      </c>
      <c r="K241" s="1" t="s">
        <v>575</v>
      </c>
      <c r="L241" s="1" t="s">
        <v>445</v>
      </c>
      <c r="M241" s="1" t="s">
        <v>575</v>
      </c>
      <c r="N241" s="2"/>
      <c r="O241" s="2"/>
      <c r="P241" s="2"/>
      <c r="Q241" s="2"/>
    </row>
    <row x14ac:dyDescent="0.25" r="242" customHeight="1" ht="17.25">
      <c r="A242" s="1" t="s">
        <v>3887</v>
      </c>
      <c r="B242" s="1" t="s">
        <v>577</v>
      </c>
      <c r="C242" s="1" t="s">
        <v>3712</v>
      </c>
      <c r="D242" s="1" t="s">
        <v>578</v>
      </c>
      <c r="E242" s="1" t="s">
        <v>3572</v>
      </c>
      <c r="F242" s="1" t="s">
        <v>3573</v>
      </c>
      <c r="G242" s="1" t="s">
        <v>3574</v>
      </c>
      <c r="H242" s="2"/>
      <c r="I242" s="5">
        <f>XLOOKUP(K242, pharmaceutical_index!B:B, pharmaceutical_index!A:A, "Not Found")</f>
      </c>
      <c r="J242" s="1" t="s">
        <v>577</v>
      </c>
      <c r="K242" s="1" t="s">
        <v>577</v>
      </c>
      <c r="L242" s="1" t="s">
        <v>578</v>
      </c>
      <c r="M242" s="1" t="s">
        <v>577</v>
      </c>
      <c r="N242" s="2"/>
      <c r="O242" s="2"/>
      <c r="P242" s="2"/>
      <c r="Q242" s="2"/>
    </row>
    <row x14ac:dyDescent="0.25" r="243" customHeight="1" ht="17.25">
      <c r="A243" s="1" t="s">
        <v>3888</v>
      </c>
      <c r="B243" s="1" t="s">
        <v>580</v>
      </c>
      <c r="C243" s="1" t="s">
        <v>3762</v>
      </c>
      <c r="D243" s="1" t="s">
        <v>581</v>
      </c>
      <c r="E243" s="1" t="s">
        <v>3572</v>
      </c>
      <c r="F243" s="1" t="s">
        <v>3573</v>
      </c>
      <c r="G243" s="1" t="s">
        <v>3574</v>
      </c>
      <c r="H243" s="2"/>
      <c r="I243" s="5">
        <f>XLOOKUP(K243, pharmaceutical_index!B:B, pharmaceutical_index!A:A, "Not Found")</f>
      </c>
      <c r="J243" s="1" t="s">
        <v>580</v>
      </c>
      <c r="K243" s="1" t="s">
        <v>580</v>
      </c>
      <c r="L243" s="1" t="s">
        <v>581</v>
      </c>
      <c r="M243" s="1" t="s">
        <v>580</v>
      </c>
      <c r="N243" s="2"/>
      <c r="O243" s="2"/>
      <c r="P243" s="2"/>
      <c r="Q243" s="2"/>
    </row>
    <row x14ac:dyDescent="0.25" r="244" customHeight="1" ht="17.25">
      <c r="A244" s="1" t="s">
        <v>3889</v>
      </c>
      <c r="B244" s="1" t="s">
        <v>583</v>
      </c>
      <c r="C244" s="1" t="s">
        <v>3597</v>
      </c>
      <c r="D244" s="1" t="s">
        <v>319</v>
      </c>
      <c r="E244" s="1" t="s">
        <v>3572</v>
      </c>
      <c r="F244" s="1" t="s">
        <v>3573</v>
      </c>
      <c r="G244" s="1" t="s">
        <v>3574</v>
      </c>
      <c r="H244" s="2"/>
      <c r="I244" s="5">
        <f>XLOOKUP(K244, pharmaceutical_index!B:B, pharmaceutical_index!A:A, "Not Found")</f>
      </c>
      <c r="J244" s="1" t="s">
        <v>583</v>
      </c>
      <c r="K244" s="1" t="s">
        <v>583</v>
      </c>
      <c r="L244" s="1" t="s">
        <v>319</v>
      </c>
      <c r="M244" s="1" t="s">
        <v>583</v>
      </c>
      <c r="N244" s="2"/>
      <c r="O244" s="2"/>
      <c r="P244" s="2"/>
      <c r="Q244" s="2"/>
    </row>
    <row x14ac:dyDescent="0.25" r="245" customHeight="1" ht="17.25">
      <c r="A245" s="1" t="s">
        <v>3890</v>
      </c>
      <c r="B245" s="1" t="s">
        <v>585</v>
      </c>
      <c r="C245" s="1" t="s">
        <v>3866</v>
      </c>
      <c r="D245" s="1" t="s">
        <v>20</v>
      </c>
      <c r="E245" s="1" t="s">
        <v>3572</v>
      </c>
      <c r="F245" s="1" t="s">
        <v>3573</v>
      </c>
      <c r="G245" s="1" t="s">
        <v>3574</v>
      </c>
      <c r="H245" s="2"/>
      <c r="I245" s="5">
        <f>XLOOKUP(K245, pharmaceutical_index!B:B, pharmaceutical_index!A:A, "Not Found")</f>
      </c>
      <c r="J245" s="1" t="s">
        <v>585</v>
      </c>
      <c r="K245" s="1" t="s">
        <v>585</v>
      </c>
      <c r="L245" s="1" t="s">
        <v>20</v>
      </c>
      <c r="M245" s="1" t="s">
        <v>585</v>
      </c>
      <c r="N245" s="2"/>
      <c r="O245" s="2"/>
      <c r="P245" s="2"/>
      <c r="Q245" s="2"/>
    </row>
    <row x14ac:dyDescent="0.25" r="246" customHeight="1" ht="17.25">
      <c r="A246" s="1" t="s">
        <v>3891</v>
      </c>
      <c r="B246" s="1" t="s">
        <v>587</v>
      </c>
      <c r="C246" s="1" t="s">
        <v>3571</v>
      </c>
      <c r="D246" s="1" t="s">
        <v>36</v>
      </c>
      <c r="E246" s="1" t="s">
        <v>3572</v>
      </c>
      <c r="F246" s="1" t="s">
        <v>3573</v>
      </c>
      <c r="G246" s="1" t="s">
        <v>3574</v>
      </c>
      <c r="H246" s="2"/>
      <c r="I246" s="5">
        <f>XLOOKUP(K246, pharmaceutical_index!B:B, pharmaceutical_index!A:A, "Not Found")</f>
      </c>
      <c r="J246" s="1" t="s">
        <v>587</v>
      </c>
      <c r="K246" s="1" t="s">
        <v>587</v>
      </c>
      <c r="L246" s="1" t="s">
        <v>36</v>
      </c>
      <c r="M246" s="1" t="s">
        <v>587</v>
      </c>
      <c r="N246" s="2"/>
      <c r="O246" s="2"/>
      <c r="P246" s="2"/>
      <c r="Q246" s="2"/>
    </row>
    <row x14ac:dyDescent="0.25" r="247" customHeight="1" ht="17.25">
      <c r="A247" s="1" t="s">
        <v>3892</v>
      </c>
      <c r="B247" s="1" t="s">
        <v>589</v>
      </c>
      <c r="C247" s="1" t="s">
        <v>3583</v>
      </c>
      <c r="D247" s="1" t="s">
        <v>20</v>
      </c>
      <c r="E247" s="1" t="s">
        <v>3572</v>
      </c>
      <c r="F247" s="1" t="s">
        <v>3573</v>
      </c>
      <c r="G247" s="1" t="s">
        <v>3574</v>
      </c>
      <c r="H247" s="2"/>
      <c r="I247" s="5">
        <f>XLOOKUP(K247, pharmaceutical_index!B:B, pharmaceutical_index!A:A, "Not Found")</f>
      </c>
      <c r="J247" s="1" t="s">
        <v>589</v>
      </c>
      <c r="K247" s="1" t="s">
        <v>589</v>
      </c>
      <c r="L247" s="1" t="s">
        <v>20</v>
      </c>
      <c r="M247" s="1" t="s">
        <v>589</v>
      </c>
      <c r="N247" s="2"/>
      <c r="O247" s="2"/>
      <c r="P247" s="2"/>
      <c r="Q247" s="2"/>
    </row>
    <row x14ac:dyDescent="0.25" r="248" customHeight="1" ht="17.25">
      <c r="A248" s="1" t="s">
        <v>3893</v>
      </c>
      <c r="B248" s="1" t="s">
        <v>591</v>
      </c>
      <c r="C248" s="1" t="s">
        <v>3583</v>
      </c>
      <c r="D248" s="1" t="s">
        <v>20</v>
      </c>
      <c r="E248" s="1" t="s">
        <v>3572</v>
      </c>
      <c r="F248" s="1" t="s">
        <v>3573</v>
      </c>
      <c r="G248" s="1" t="s">
        <v>3574</v>
      </c>
      <c r="H248" s="2"/>
      <c r="I248" s="5">
        <f>XLOOKUP(K248, pharmaceutical_index!B:B, pharmaceutical_index!A:A, "Not Found")</f>
      </c>
      <c r="J248" s="1" t="s">
        <v>591</v>
      </c>
      <c r="K248" s="1" t="s">
        <v>591</v>
      </c>
      <c r="L248" s="1" t="s">
        <v>20</v>
      </c>
      <c r="M248" s="1" t="s">
        <v>591</v>
      </c>
      <c r="N248" s="2"/>
      <c r="O248" s="2"/>
      <c r="P248" s="2"/>
      <c r="Q248" s="2"/>
    </row>
    <row x14ac:dyDescent="0.25" r="249" customHeight="1" ht="17.25">
      <c r="A249" s="1" t="s">
        <v>3894</v>
      </c>
      <c r="B249" s="1" t="s">
        <v>593</v>
      </c>
      <c r="C249" s="1" t="s">
        <v>3571</v>
      </c>
      <c r="D249" s="1" t="s">
        <v>231</v>
      </c>
      <c r="E249" s="1" t="s">
        <v>3572</v>
      </c>
      <c r="F249" s="1" t="s">
        <v>3573</v>
      </c>
      <c r="G249" s="1" t="s">
        <v>3574</v>
      </c>
      <c r="H249" s="2"/>
      <c r="I249" s="5">
        <f>XLOOKUP(K249, pharmaceutical_index!B:B, pharmaceutical_index!A:A, "Not Found")</f>
      </c>
      <c r="J249" s="1" t="s">
        <v>3895</v>
      </c>
      <c r="K249" s="1" t="s">
        <v>593</v>
      </c>
      <c r="L249" s="1" t="s">
        <v>231</v>
      </c>
      <c r="M249" s="1" t="s">
        <v>3896</v>
      </c>
      <c r="N249" s="2"/>
      <c r="O249" s="2"/>
      <c r="P249" s="2"/>
      <c r="Q249" s="2"/>
    </row>
    <row x14ac:dyDescent="0.25" r="250" customHeight="1" ht="17.25">
      <c r="A250" s="1" t="s">
        <v>3897</v>
      </c>
      <c r="B250" s="1" t="s">
        <v>595</v>
      </c>
      <c r="C250" s="1" t="s">
        <v>3589</v>
      </c>
      <c r="D250" s="1" t="s">
        <v>62</v>
      </c>
      <c r="E250" s="1" t="s">
        <v>3572</v>
      </c>
      <c r="F250" s="1" t="s">
        <v>3573</v>
      </c>
      <c r="G250" s="1" t="s">
        <v>3574</v>
      </c>
      <c r="H250" s="2"/>
      <c r="I250" s="5">
        <f>XLOOKUP(K250, pharmaceutical_index!B:B, pharmaceutical_index!A:A, "Not Found")</f>
      </c>
      <c r="J250" s="1" t="s">
        <v>595</v>
      </c>
      <c r="K250" s="1" t="s">
        <v>595</v>
      </c>
      <c r="L250" s="1" t="s">
        <v>62</v>
      </c>
      <c r="M250" s="1" t="s">
        <v>595</v>
      </c>
      <c r="N250" s="2"/>
      <c r="O250" s="2"/>
      <c r="P250" s="2"/>
      <c r="Q250" s="2"/>
    </row>
    <row x14ac:dyDescent="0.25" r="251" customHeight="1" ht="17.25">
      <c r="A251" s="1" t="s">
        <v>3898</v>
      </c>
      <c r="B251" s="1" t="s">
        <v>597</v>
      </c>
      <c r="C251" s="1" t="s">
        <v>3571</v>
      </c>
      <c r="D251" s="1" t="s">
        <v>598</v>
      </c>
      <c r="E251" s="1" t="s">
        <v>3572</v>
      </c>
      <c r="F251" s="1" t="s">
        <v>3573</v>
      </c>
      <c r="G251" s="1" t="s">
        <v>3574</v>
      </c>
      <c r="H251" s="2"/>
      <c r="I251" s="5">
        <f>XLOOKUP(K251, pharmaceutical_index!B:B, pharmaceutical_index!A:A, "Not Found")</f>
      </c>
      <c r="J251" s="1" t="s">
        <v>597</v>
      </c>
      <c r="K251" s="1" t="s">
        <v>597</v>
      </c>
      <c r="L251" s="1" t="s">
        <v>598</v>
      </c>
      <c r="M251" s="1" t="s">
        <v>597</v>
      </c>
      <c r="N251" s="2"/>
      <c r="O251" s="2"/>
      <c r="P251" s="2"/>
      <c r="Q251" s="2"/>
    </row>
    <row x14ac:dyDescent="0.25" r="252" customHeight="1" ht="17.25">
      <c r="A252" s="1" t="s">
        <v>3899</v>
      </c>
      <c r="B252" s="1" t="s">
        <v>600</v>
      </c>
      <c r="C252" s="1" t="s">
        <v>3608</v>
      </c>
      <c r="D252" s="1" t="s">
        <v>175</v>
      </c>
      <c r="E252" s="1" t="s">
        <v>3572</v>
      </c>
      <c r="F252" s="1" t="s">
        <v>3573</v>
      </c>
      <c r="G252" s="1" t="s">
        <v>3574</v>
      </c>
      <c r="H252" s="2"/>
      <c r="I252" s="5">
        <f>XLOOKUP(K252, pharmaceutical_index!B:B, pharmaceutical_index!A:A, "Not Found")</f>
      </c>
      <c r="J252" s="1" t="s">
        <v>600</v>
      </c>
      <c r="K252" s="1" t="s">
        <v>600</v>
      </c>
      <c r="L252" s="1" t="s">
        <v>175</v>
      </c>
      <c r="M252" s="1" t="s">
        <v>600</v>
      </c>
      <c r="N252" s="2"/>
      <c r="O252" s="2"/>
      <c r="P252" s="2"/>
      <c r="Q252" s="2"/>
    </row>
    <row x14ac:dyDescent="0.25" r="253" customHeight="1" ht="17.25">
      <c r="A253" s="1" t="s">
        <v>3900</v>
      </c>
      <c r="B253" s="1" t="s">
        <v>602</v>
      </c>
      <c r="C253" s="1" t="s">
        <v>3608</v>
      </c>
      <c r="D253" s="1" t="s">
        <v>175</v>
      </c>
      <c r="E253" s="1" t="s">
        <v>3572</v>
      </c>
      <c r="F253" s="1" t="s">
        <v>3573</v>
      </c>
      <c r="G253" s="1" t="s">
        <v>3574</v>
      </c>
      <c r="H253" s="2"/>
      <c r="I253" s="5">
        <f>XLOOKUP(K253, pharmaceutical_index!B:B, pharmaceutical_index!A:A, "Not Found")</f>
      </c>
      <c r="J253" s="1" t="s">
        <v>602</v>
      </c>
      <c r="K253" s="1" t="s">
        <v>602</v>
      </c>
      <c r="L253" s="1" t="s">
        <v>175</v>
      </c>
      <c r="M253" s="1" t="s">
        <v>602</v>
      </c>
      <c r="N253" s="2"/>
      <c r="O253" s="2"/>
      <c r="P253" s="2"/>
      <c r="Q253" s="2"/>
    </row>
    <row x14ac:dyDescent="0.25" r="254" customHeight="1" ht="17.25">
      <c r="A254" s="1" t="s">
        <v>3901</v>
      </c>
      <c r="B254" s="1" t="s">
        <v>604</v>
      </c>
      <c r="C254" s="1" t="s">
        <v>3608</v>
      </c>
      <c r="D254" s="1" t="s">
        <v>175</v>
      </c>
      <c r="E254" s="1" t="s">
        <v>3572</v>
      </c>
      <c r="F254" s="1" t="s">
        <v>3573</v>
      </c>
      <c r="G254" s="1" t="s">
        <v>3574</v>
      </c>
      <c r="H254" s="2"/>
      <c r="I254" s="5">
        <f>XLOOKUP(K254, pharmaceutical_index!B:B, pharmaceutical_index!A:A, "Not Found")</f>
      </c>
      <c r="J254" s="1" t="s">
        <v>604</v>
      </c>
      <c r="K254" s="1" t="s">
        <v>604</v>
      </c>
      <c r="L254" s="1" t="s">
        <v>175</v>
      </c>
      <c r="M254" s="1" t="s">
        <v>604</v>
      </c>
      <c r="N254" s="2"/>
      <c r="O254" s="2"/>
      <c r="P254" s="2"/>
      <c r="Q254" s="2"/>
    </row>
    <row x14ac:dyDescent="0.25" r="255" customHeight="1" ht="17.25">
      <c r="A255" s="1" t="s">
        <v>3902</v>
      </c>
      <c r="B255" s="1" t="s">
        <v>606</v>
      </c>
      <c r="C255" s="1" t="s">
        <v>3608</v>
      </c>
      <c r="D255" s="1" t="s">
        <v>175</v>
      </c>
      <c r="E255" s="1" t="s">
        <v>3572</v>
      </c>
      <c r="F255" s="1" t="s">
        <v>3573</v>
      </c>
      <c r="G255" s="1" t="s">
        <v>3574</v>
      </c>
      <c r="H255" s="2"/>
      <c r="I255" s="5">
        <f>XLOOKUP(K255, pharmaceutical_index!B:B, pharmaceutical_index!A:A, "Not Found")</f>
      </c>
      <c r="J255" s="1" t="s">
        <v>606</v>
      </c>
      <c r="K255" s="1" t="s">
        <v>606</v>
      </c>
      <c r="L255" s="1" t="s">
        <v>175</v>
      </c>
      <c r="M255" s="1" t="s">
        <v>606</v>
      </c>
      <c r="N255" s="2"/>
      <c r="O255" s="2"/>
      <c r="P255" s="2"/>
      <c r="Q255" s="2"/>
    </row>
    <row x14ac:dyDescent="0.25" r="256" customHeight="1" ht="17.25">
      <c r="A256" s="1" t="s">
        <v>3903</v>
      </c>
      <c r="B256" s="1" t="s">
        <v>608</v>
      </c>
      <c r="C256" s="1" t="s">
        <v>3608</v>
      </c>
      <c r="D256" s="1" t="s">
        <v>175</v>
      </c>
      <c r="E256" s="1" t="s">
        <v>3572</v>
      </c>
      <c r="F256" s="1" t="s">
        <v>3573</v>
      </c>
      <c r="G256" s="1" t="s">
        <v>3574</v>
      </c>
      <c r="H256" s="2"/>
      <c r="I256" s="5">
        <f>XLOOKUP(K256, pharmaceutical_index!B:B, pharmaceutical_index!A:A, "Not Found")</f>
      </c>
      <c r="J256" s="1" t="s">
        <v>608</v>
      </c>
      <c r="K256" s="1" t="s">
        <v>608</v>
      </c>
      <c r="L256" s="1" t="s">
        <v>175</v>
      </c>
      <c r="M256" s="1" t="s">
        <v>608</v>
      </c>
      <c r="N256" s="2"/>
      <c r="O256" s="2"/>
      <c r="P256" s="2"/>
      <c r="Q256" s="2"/>
    </row>
    <row x14ac:dyDescent="0.25" r="257" customHeight="1" ht="17.25">
      <c r="A257" s="1" t="s">
        <v>3904</v>
      </c>
      <c r="B257" s="1" t="s">
        <v>610</v>
      </c>
      <c r="C257" s="1" t="s">
        <v>3905</v>
      </c>
      <c r="D257" s="1" t="s">
        <v>20</v>
      </c>
      <c r="E257" s="1" t="s">
        <v>3572</v>
      </c>
      <c r="F257" s="1" t="s">
        <v>3573</v>
      </c>
      <c r="G257" s="1" t="s">
        <v>3574</v>
      </c>
      <c r="H257" s="2"/>
      <c r="I257" s="5">
        <f>XLOOKUP(K257, pharmaceutical_index!B:B, pharmaceutical_index!A:A, "Not Found")</f>
      </c>
      <c r="J257" s="1" t="s">
        <v>3906</v>
      </c>
      <c r="K257" s="1" t="s">
        <v>610</v>
      </c>
      <c r="L257" s="1" t="s">
        <v>20</v>
      </c>
      <c r="M257" s="1" t="s">
        <v>3906</v>
      </c>
      <c r="N257" s="2"/>
      <c r="O257" s="2"/>
      <c r="P257" s="2"/>
      <c r="Q257" s="2"/>
    </row>
    <row x14ac:dyDescent="0.25" r="258" customHeight="1" ht="17.25">
      <c r="A258" s="1" t="s">
        <v>3907</v>
      </c>
      <c r="B258" s="1" t="s">
        <v>612</v>
      </c>
      <c r="C258" s="1" t="s">
        <v>3665</v>
      </c>
      <c r="D258" s="1" t="s">
        <v>20</v>
      </c>
      <c r="E258" s="1" t="s">
        <v>3572</v>
      </c>
      <c r="F258" s="1" t="s">
        <v>3573</v>
      </c>
      <c r="G258" s="1" t="s">
        <v>3574</v>
      </c>
      <c r="H258" s="2"/>
      <c r="I258" s="5">
        <f>XLOOKUP(K258, pharmaceutical_index!B:B, pharmaceutical_index!A:A, "Not Found")</f>
      </c>
      <c r="J258" s="1" t="s">
        <v>612</v>
      </c>
      <c r="K258" s="1" t="s">
        <v>612</v>
      </c>
      <c r="L258" s="1" t="s">
        <v>20</v>
      </c>
      <c r="M258" s="1" t="s">
        <v>612</v>
      </c>
      <c r="N258" s="2"/>
      <c r="O258" s="2"/>
      <c r="P258" s="2"/>
      <c r="Q258" s="2"/>
    </row>
    <row x14ac:dyDescent="0.25" r="259" customHeight="1" ht="17.25">
      <c r="A259" s="1" t="s">
        <v>3908</v>
      </c>
      <c r="B259" s="1" t="s">
        <v>614</v>
      </c>
      <c r="C259" s="1" t="s">
        <v>3682</v>
      </c>
      <c r="D259" s="1" t="s">
        <v>185</v>
      </c>
      <c r="E259" s="1" t="s">
        <v>3572</v>
      </c>
      <c r="F259" s="1" t="s">
        <v>3573</v>
      </c>
      <c r="G259" s="1" t="s">
        <v>3574</v>
      </c>
      <c r="H259" s="2"/>
      <c r="I259" s="5">
        <f>XLOOKUP(K259, pharmaceutical_index!B:B, pharmaceutical_index!A:A, "Not Found")</f>
      </c>
      <c r="J259" s="1" t="s">
        <v>614</v>
      </c>
      <c r="K259" s="1" t="s">
        <v>614</v>
      </c>
      <c r="L259" s="1" t="s">
        <v>185</v>
      </c>
      <c r="M259" s="1" t="s">
        <v>614</v>
      </c>
      <c r="N259" s="2"/>
      <c r="O259" s="2"/>
      <c r="P259" s="2"/>
      <c r="Q259" s="2"/>
    </row>
    <row x14ac:dyDescent="0.25" r="260" customHeight="1" ht="17.25">
      <c r="A260" s="1" t="s">
        <v>3909</v>
      </c>
      <c r="B260" s="1" t="s">
        <v>616</v>
      </c>
      <c r="C260" s="1" t="s">
        <v>3583</v>
      </c>
      <c r="D260" s="1" t="s">
        <v>20</v>
      </c>
      <c r="E260" s="1" t="s">
        <v>3572</v>
      </c>
      <c r="F260" s="1" t="s">
        <v>3573</v>
      </c>
      <c r="G260" s="1" t="s">
        <v>3574</v>
      </c>
      <c r="H260" s="2"/>
      <c r="I260" s="5">
        <f>XLOOKUP(K260, pharmaceutical_index!B:B, pharmaceutical_index!A:A, "Not Found")</f>
      </c>
      <c r="J260" s="1" t="s">
        <v>616</v>
      </c>
      <c r="K260" s="1" t="s">
        <v>616</v>
      </c>
      <c r="L260" s="1" t="s">
        <v>20</v>
      </c>
      <c r="M260" s="1" t="s">
        <v>616</v>
      </c>
      <c r="N260" s="2"/>
      <c r="O260" s="2"/>
      <c r="P260" s="2"/>
      <c r="Q260" s="2"/>
    </row>
    <row x14ac:dyDescent="0.25" r="261" customHeight="1" ht="17.25">
      <c r="A261" s="1" t="s">
        <v>3910</v>
      </c>
      <c r="B261" s="1" t="s">
        <v>618</v>
      </c>
      <c r="C261" s="1" t="s">
        <v>3762</v>
      </c>
      <c r="D261" s="1" t="s">
        <v>619</v>
      </c>
      <c r="E261" s="1" t="s">
        <v>3572</v>
      </c>
      <c r="F261" s="1" t="s">
        <v>3573</v>
      </c>
      <c r="G261" s="1" t="s">
        <v>3574</v>
      </c>
      <c r="H261" s="2"/>
      <c r="I261" s="5">
        <f>XLOOKUP(K261, pharmaceutical_index!B:B, pharmaceutical_index!A:A, "Not Found")</f>
      </c>
      <c r="J261" s="1" t="s">
        <v>618</v>
      </c>
      <c r="K261" s="1" t="s">
        <v>618</v>
      </c>
      <c r="L261" s="1" t="s">
        <v>619</v>
      </c>
      <c r="M261" s="1" t="s">
        <v>618</v>
      </c>
      <c r="N261" s="2"/>
      <c r="O261" s="2"/>
      <c r="P261" s="2"/>
      <c r="Q261" s="2"/>
    </row>
    <row x14ac:dyDescent="0.25" r="262" customHeight="1" ht="17.25">
      <c r="A262" s="1" t="s">
        <v>3911</v>
      </c>
      <c r="B262" s="1" t="s">
        <v>621</v>
      </c>
      <c r="C262" s="1" t="s">
        <v>3762</v>
      </c>
      <c r="D262" s="1" t="s">
        <v>619</v>
      </c>
      <c r="E262" s="1" t="s">
        <v>3572</v>
      </c>
      <c r="F262" s="1" t="s">
        <v>3573</v>
      </c>
      <c r="G262" s="1" t="s">
        <v>3574</v>
      </c>
      <c r="H262" s="2"/>
      <c r="I262" s="5">
        <f>XLOOKUP(K262, pharmaceutical_index!B:B, pharmaceutical_index!A:A, "Not Found")</f>
      </c>
      <c r="J262" s="1" t="s">
        <v>621</v>
      </c>
      <c r="K262" s="1" t="s">
        <v>621</v>
      </c>
      <c r="L262" s="1" t="s">
        <v>619</v>
      </c>
      <c r="M262" s="1" t="s">
        <v>621</v>
      </c>
      <c r="N262" s="2"/>
      <c r="O262" s="2"/>
      <c r="P262" s="2"/>
      <c r="Q262" s="2"/>
    </row>
    <row x14ac:dyDescent="0.25" r="263" customHeight="1" ht="17.25">
      <c r="A263" s="1" t="s">
        <v>3912</v>
      </c>
      <c r="B263" s="1" t="s">
        <v>623</v>
      </c>
      <c r="C263" s="1" t="s">
        <v>3571</v>
      </c>
      <c r="D263" s="1" t="s">
        <v>453</v>
      </c>
      <c r="E263" s="1" t="s">
        <v>3572</v>
      </c>
      <c r="F263" s="1" t="s">
        <v>3573</v>
      </c>
      <c r="G263" s="1" t="s">
        <v>3574</v>
      </c>
      <c r="H263" s="2"/>
      <c r="I263" s="5">
        <f>XLOOKUP(K263, pharmaceutical_index!B:B, pharmaceutical_index!A:A, "Not Found")</f>
      </c>
      <c r="J263" s="1" t="s">
        <v>623</v>
      </c>
      <c r="K263" s="1" t="s">
        <v>623</v>
      </c>
      <c r="L263" s="1" t="s">
        <v>453</v>
      </c>
      <c r="M263" s="1" t="s">
        <v>623</v>
      </c>
      <c r="N263" s="2"/>
      <c r="O263" s="2"/>
      <c r="P263" s="2"/>
      <c r="Q263" s="2"/>
    </row>
    <row x14ac:dyDescent="0.25" r="264" customHeight="1" ht="17.25">
      <c r="A264" s="1" t="s">
        <v>3913</v>
      </c>
      <c r="B264" s="1" t="s">
        <v>625</v>
      </c>
      <c r="C264" s="1" t="s">
        <v>3589</v>
      </c>
      <c r="D264" s="1" t="s">
        <v>384</v>
      </c>
      <c r="E264" s="1" t="s">
        <v>3572</v>
      </c>
      <c r="F264" s="1" t="s">
        <v>3573</v>
      </c>
      <c r="G264" s="1" t="s">
        <v>3574</v>
      </c>
      <c r="H264" s="2"/>
      <c r="I264" s="5">
        <f>XLOOKUP(K264, pharmaceutical_index!B:B, pharmaceutical_index!A:A, "Not Found")</f>
      </c>
      <c r="J264" s="1" t="s">
        <v>625</v>
      </c>
      <c r="K264" s="1" t="s">
        <v>625</v>
      </c>
      <c r="L264" s="1" t="s">
        <v>384</v>
      </c>
      <c r="M264" s="1" t="s">
        <v>625</v>
      </c>
      <c r="N264" s="2"/>
      <c r="O264" s="2"/>
      <c r="P264" s="2"/>
      <c r="Q264" s="2"/>
    </row>
    <row x14ac:dyDescent="0.25" r="265" customHeight="1" ht="17.25">
      <c r="A265" s="1" t="s">
        <v>3914</v>
      </c>
      <c r="B265" s="1" t="s">
        <v>627</v>
      </c>
      <c r="C265" s="1" t="s">
        <v>3571</v>
      </c>
      <c r="D265" s="1" t="s">
        <v>43</v>
      </c>
      <c r="E265" s="1" t="s">
        <v>3572</v>
      </c>
      <c r="F265" s="1" t="s">
        <v>3573</v>
      </c>
      <c r="G265" s="1" t="s">
        <v>3574</v>
      </c>
      <c r="H265" s="2"/>
      <c r="I265" s="5">
        <f>XLOOKUP(K265, pharmaceutical_index!B:B, pharmaceutical_index!A:A, "Not Found")</f>
      </c>
      <c r="J265" s="1" t="s">
        <v>627</v>
      </c>
      <c r="K265" s="1" t="s">
        <v>627</v>
      </c>
      <c r="L265" s="1" t="s">
        <v>43</v>
      </c>
      <c r="M265" s="1" t="s">
        <v>627</v>
      </c>
      <c r="N265" s="2"/>
      <c r="O265" s="2"/>
      <c r="P265" s="2"/>
      <c r="Q265" s="2"/>
    </row>
    <row x14ac:dyDescent="0.25" r="266" customHeight="1" ht="17.25">
      <c r="A266" s="1" t="s">
        <v>3915</v>
      </c>
      <c r="B266" s="1" t="s">
        <v>629</v>
      </c>
      <c r="C266" s="1" t="s">
        <v>3571</v>
      </c>
      <c r="D266" s="1" t="s">
        <v>59</v>
      </c>
      <c r="E266" s="1" t="s">
        <v>3572</v>
      </c>
      <c r="F266" s="1" t="s">
        <v>3573</v>
      </c>
      <c r="G266" s="1" t="s">
        <v>3574</v>
      </c>
      <c r="H266" s="2"/>
      <c r="I266" s="5">
        <f>XLOOKUP(K266, pharmaceutical_index!B:B, pharmaceutical_index!A:A, "Not Found")</f>
      </c>
      <c r="J266" s="1" t="s">
        <v>629</v>
      </c>
      <c r="K266" s="1" t="s">
        <v>629</v>
      </c>
      <c r="L266" s="1" t="s">
        <v>59</v>
      </c>
      <c r="M266" s="1" t="s">
        <v>629</v>
      </c>
      <c r="N266" s="2"/>
      <c r="O266" s="2"/>
      <c r="P266" s="2"/>
      <c r="Q266" s="2"/>
    </row>
    <row x14ac:dyDescent="0.25" r="267" customHeight="1" ht="17.25">
      <c r="A267" s="1" t="s">
        <v>3916</v>
      </c>
      <c r="B267" s="1" t="s">
        <v>631</v>
      </c>
      <c r="C267" s="1" t="s">
        <v>3643</v>
      </c>
      <c r="D267" s="1" t="s">
        <v>632</v>
      </c>
      <c r="E267" s="1" t="s">
        <v>3572</v>
      </c>
      <c r="F267" s="1" t="s">
        <v>3573</v>
      </c>
      <c r="G267" s="1" t="s">
        <v>3574</v>
      </c>
      <c r="H267" s="2"/>
      <c r="I267" s="5">
        <f>XLOOKUP(K267, pharmaceutical_index!B:B, pharmaceutical_index!A:A, "Not Found")</f>
      </c>
      <c r="J267" s="1" t="s">
        <v>631</v>
      </c>
      <c r="K267" s="1" t="s">
        <v>631</v>
      </c>
      <c r="L267" s="1" t="s">
        <v>632</v>
      </c>
      <c r="M267" s="1" t="s">
        <v>631</v>
      </c>
      <c r="N267" s="2"/>
      <c r="O267" s="2"/>
      <c r="P267" s="2"/>
      <c r="Q267" s="2"/>
    </row>
    <row x14ac:dyDescent="0.25" r="268" customHeight="1" ht="17.25">
      <c r="A268" s="1" t="s">
        <v>3917</v>
      </c>
      <c r="B268" s="1" t="s">
        <v>634</v>
      </c>
      <c r="C268" s="1" t="s">
        <v>3597</v>
      </c>
      <c r="D268" s="1" t="s">
        <v>48</v>
      </c>
      <c r="E268" s="1" t="s">
        <v>3572</v>
      </c>
      <c r="F268" s="1" t="s">
        <v>3573</v>
      </c>
      <c r="G268" s="1" t="s">
        <v>3574</v>
      </c>
      <c r="H268" s="2"/>
      <c r="I268" s="5">
        <f>XLOOKUP(K268, pharmaceutical_index!B:B, pharmaceutical_index!A:A, "Not Found")</f>
      </c>
      <c r="J268" s="1" t="s">
        <v>634</v>
      </c>
      <c r="K268" s="1" t="s">
        <v>634</v>
      </c>
      <c r="L268" s="1" t="s">
        <v>48</v>
      </c>
      <c r="M268" s="1" t="s">
        <v>634</v>
      </c>
      <c r="N268" s="2"/>
      <c r="O268" s="2"/>
      <c r="P268" s="2"/>
      <c r="Q268" s="2"/>
    </row>
    <row x14ac:dyDescent="0.25" r="269" customHeight="1" ht="17.25">
      <c r="A269" s="1" t="s">
        <v>3918</v>
      </c>
      <c r="B269" s="1" t="s">
        <v>636</v>
      </c>
      <c r="C269" s="1" t="s">
        <v>3600</v>
      </c>
      <c r="D269" s="1" t="s">
        <v>281</v>
      </c>
      <c r="E269" s="1" t="s">
        <v>3572</v>
      </c>
      <c r="F269" s="1" t="s">
        <v>3573</v>
      </c>
      <c r="G269" s="1" t="s">
        <v>3574</v>
      </c>
      <c r="H269" s="2"/>
      <c r="I269" s="5">
        <f>XLOOKUP(K269, pharmaceutical_index!B:B, pharmaceutical_index!A:A, "Not Found")</f>
      </c>
      <c r="J269" s="1" t="s">
        <v>636</v>
      </c>
      <c r="K269" s="1" t="s">
        <v>636</v>
      </c>
      <c r="L269" s="1" t="s">
        <v>281</v>
      </c>
      <c r="M269" s="1" t="s">
        <v>636</v>
      </c>
      <c r="N269" s="2"/>
      <c r="O269" s="2"/>
      <c r="P269" s="2"/>
      <c r="Q269" s="2"/>
    </row>
    <row x14ac:dyDescent="0.25" r="270" customHeight="1" ht="17.25">
      <c r="A270" s="1" t="s">
        <v>3919</v>
      </c>
      <c r="B270" s="1" t="s">
        <v>638</v>
      </c>
      <c r="C270" s="1" t="s">
        <v>3589</v>
      </c>
      <c r="D270" s="1" t="s">
        <v>62</v>
      </c>
      <c r="E270" s="1" t="s">
        <v>3572</v>
      </c>
      <c r="F270" s="1" t="s">
        <v>3573</v>
      </c>
      <c r="G270" s="1" t="s">
        <v>3574</v>
      </c>
      <c r="H270" s="2"/>
      <c r="I270" s="5">
        <f>XLOOKUP(K270, pharmaceutical_index!B:B, pharmaceutical_index!A:A, "Not Found")</f>
      </c>
      <c r="J270" s="1" t="s">
        <v>638</v>
      </c>
      <c r="K270" s="1" t="s">
        <v>638</v>
      </c>
      <c r="L270" s="1" t="s">
        <v>62</v>
      </c>
      <c r="M270" s="1" t="s">
        <v>638</v>
      </c>
      <c r="N270" s="2"/>
      <c r="O270" s="2"/>
      <c r="P270" s="2"/>
      <c r="Q270" s="2"/>
    </row>
    <row x14ac:dyDescent="0.25" r="271" customHeight="1" ht="17.25">
      <c r="A271" s="1" t="s">
        <v>3920</v>
      </c>
      <c r="B271" s="1" t="s">
        <v>640</v>
      </c>
      <c r="C271" s="1" t="s">
        <v>3866</v>
      </c>
      <c r="D271" s="1" t="s">
        <v>641</v>
      </c>
      <c r="E271" s="1" t="s">
        <v>3572</v>
      </c>
      <c r="F271" s="1" t="s">
        <v>3573</v>
      </c>
      <c r="G271" s="1" t="s">
        <v>3574</v>
      </c>
      <c r="H271" s="2"/>
      <c r="I271" s="5">
        <f>XLOOKUP(K271, pharmaceutical_index!B:B, pharmaceutical_index!A:A, "Not Found")</f>
      </c>
      <c r="J271" s="1" t="s">
        <v>640</v>
      </c>
      <c r="K271" s="1" t="s">
        <v>640</v>
      </c>
      <c r="L271" s="1" t="s">
        <v>641</v>
      </c>
      <c r="M271" s="1" t="s">
        <v>640</v>
      </c>
      <c r="N271" s="2"/>
      <c r="O271" s="2"/>
      <c r="P271" s="2"/>
      <c r="Q271" s="2"/>
    </row>
    <row x14ac:dyDescent="0.25" r="272" customHeight="1" ht="17.25">
      <c r="A272" s="1" t="s">
        <v>3921</v>
      </c>
      <c r="B272" s="1" t="s">
        <v>643</v>
      </c>
      <c r="C272" s="1" t="s">
        <v>3571</v>
      </c>
      <c r="D272" s="1" t="s">
        <v>13</v>
      </c>
      <c r="E272" s="1" t="s">
        <v>3572</v>
      </c>
      <c r="F272" s="1" t="s">
        <v>3573</v>
      </c>
      <c r="G272" s="1" t="s">
        <v>3574</v>
      </c>
      <c r="H272" s="2"/>
      <c r="I272" s="5">
        <f>XLOOKUP(K272, pharmaceutical_index!B:B, pharmaceutical_index!A:A, "Not Found")</f>
      </c>
      <c r="J272" s="1" t="s">
        <v>643</v>
      </c>
      <c r="K272" s="1" t="s">
        <v>643</v>
      </c>
      <c r="L272" s="1" t="s">
        <v>13</v>
      </c>
      <c r="M272" s="1" t="s">
        <v>643</v>
      </c>
      <c r="N272" s="2"/>
      <c r="O272" s="2"/>
      <c r="P272" s="2"/>
      <c r="Q272" s="2"/>
    </row>
    <row x14ac:dyDescent="0.25" r="273" customHeight="1" ht="17.25">
      <c r="A273" s="1" t="s">
        <v>3922</v>
      </c>
      <c r="B273" s="1" t="s">
        <v>645</v>
      </c>
      <c r="C273" s="1" t="s">
        <v>3571</v>
      </c>
      <c r="D273" s="1" t="s">
        <v>23</v>
      </c>
      <c r="E273" s="1" t="s">
        <v>3572</v>
      </c>
      <c r="F273" s="1" t="s">
        <v>3573</v>
      </c>
      <c r="G273" s="1" t="s">
        <v>3574</v>
      </c>
      <c r="H273" s="2"/>
      <c r="I273" s="5">
        <f>XLOOKUP(K273, pharmaceutical_index!B:B, pharmaceutical_index!A:A, "Not Found")</f>
      </c>
      <c r="J273" s="1" t="s">
        <v>3923</v>
      </c>
      <c r="K273" s="1" t="s">
        <v>645</v>
      </c>
      <c r="L273" s="1" t="s">
        <v>23</v>
      </c>
      <c r="M273" s="1" t="s">
        <v>3924</v>
      </c>
      <c r="N273" s="2"/>
      <c r="O273" s="2"/>
      <c r="P273" s="2"/>
      <c r="Q273" s="2"/>
    </row>
    <row x14ac:dyDescent="0.25" r="274" customHeight="1" ht="17.25">
      <c r="A274" s="1" t="s">
        <v>3925</v>
      </c>
      <c r="B274" s="1" t="s">
        <v>647</v>
      </c>
      <c r="C274" s="1" t="s">
        <v>3571</v>
      </c>
      <c r="D274" s="1" t="s">
        <v>23</v>
      </c>
      <c r="E274" s="1" t="s">
        <v>3572</v>
      </c>
      <c r="F274" s="1" t="s">
        <v>3573</v>
      </c>
      <c r="G274" s="1" t="s">
        <v>3574</v>
      </c>
      <c r="H274" s="2"/>
      <c r="I274" s="5">
        <f>XLOOKUP(K274, pharmaceutical_index!B:B, pharmaceutical_index!A:A, "Not Found")</f>
      </c>
      <c r="J274" s="1" t="s">
        <v>3926</v>
      </c>
      <c r="K274" s="1" t="s">
        <v>647</v>
      </c>
      <c r="L274" s="1" t="s">
        <v>23</v>
      </c>
      <c r="M274" s="1" t="s">
        <v>3927</v>
      </c>
      <c r="N274" s="2"/>
      <c r="O274" s="2"/>
      <c r="P274" s="2"/>
      <c r="Q274" s="2"/>
    </row>
    <row x14ac:dyDescent="0.25" r="275" customHeight="1" ht="17.25">
      <c r="A275" s="1" t="s">
        <v>3928</v>
      </c>
      <c r="B275" s="1" t="s">
        <v>649</v>
      </c>
      <c r="C275" s="1" t="s">
        <v>3647</v>
      </c>
      <c r="D275" s="1" t="s">
        <v>650</v>
      </c>
      <c r="E275" s="1" t="s">
        <v>3572</v>
      </c>
      <c r="F275" s="1" t="s">
        <v>3573</v>
      </c>
      <c r="G275" s="1" t="s">
        <v>3574</v>
      </c>
      <c r="H275" s="2"/>
      <c r="I275" s="5">
        <f>XLOOKUP(K275, pharmaceutical_index!B:B, pharmaceutical_index!A:A, "Not Found")</f>
      </c>
      <c r="J275" s="1" t="s">
        <v>649</v>
      </c>
      <c r="K275" s="1" t="s">
        <v>649</v>
      </c>
      <c r="L275" s="1" t="s">
        <v>650</v>
      </c>
      <c r="M275" s="1" t="s">
        <v>649</v>
      </c>
      <c r="N275" s="2"/>
      <c r="O275" s="2"/>
      <c r="P275" s="2"/>
      <c r="Q275" s="2"/>
    </row>
    <row x14ac:dyDescent="0.25" r="276" customHeight="1" ht="17.25">
      <c r="A276" s="1" t="s">
        <v>3929</v>
      </c>
      <c r="B276" s="1" t="s">
        <v>652</v>
      </c>
      <c r="C276" s="1" t="s">
        <v>3597</v>
      </c>
      <c r="D276" s="1" t="s">
        <v>48</v>
      </c>
      <c r="E276" s="1" t="s">
        <v>3572</v>
      </c>
      <c r="F276" s="1" t="s">
        <v>3573</v>
      </c>
      <c r="G276" s="1" t="s">
        <v>3574</v>
      </c>
      <c r="H276" s="2"/>
      <c r="I276" s="5">
        <f>XLOOKUP(K276, pharmaceutical_index!B:B, pharmaceutical_index!A:A, "Not Found")</f>
      </c>
      <c r="J276" s="1" t="s">
        <v>652</v>
      </c>
      <c r="K276" s="1" t="s">
        <v>652</v>
      </c>
      <c r="L276" s="1" t="s">
        <v>48</v>
      </c>
      <c r="M276" s="1" t="s">
        <v>652</v>
      </c>
      <c r="N276" s="2"/>
      <c r="O276" s="2"/>
      <c r="P276" s="2"/>
      <c r="Q276" s="2"/>
    </row>
    <row x14ac:dyDescent="0.25" r="277" customHeight="1" ht="17.25">
      <c r="A277" s="1" t="s">
        <v>3930</v>
      </c>
      <c r="B277" s="1" t="s">
        <v>654</v>
      </c>
      <c r="C277" s="1" t="s">
        <v>3583</v>
      </c>
      <c r="D277" s="1" t="s">
        <v>20</v>
      </c>
      <c r="E277" s="1" t="s">
        <v>3572</v>
      </c>
      <c r="F277" s="1" t="s">
        <v>3573</v>
      </c>
      <c r="G277" s="1" t="s">
        <v>3574</v>
      </c>
      <c r="H277" s="2"/>
      <c r="I277" s="5">
        <f>XLOOKUP(K277, pharmaceutical_index!B:B, pharmaceutical_index!A:A, "Not Found")</f>
      </c>
      <c r="J277" s="1" t="s">
        <v>654</v>
      </c>
      <c r="K277" s="1" t="s">
        <v>654</v>
      </c>
      <c r="L277" s="1" t="s">
        <v>20</v>
      </c>
      <c r="M277" s="1" t="s">
        <v>654</v>
      </c>
      <c r="N277" s="2"/>
      <c r="O277" s="2"/>
      <c r="P277" s="2"/>
      <c r="Q277" s="2"/>
    </row>
    <row x14ac:dyDescent="0.25" r="278" customHeight="1" ht="17.25">
      <c r="A278" s="1" t="s">
        <v>3931</v>
      </c>
      <c r="B278" s="1" t="s">
        <v>656</v>
      </c>
      <c r="C278" s="1" t="s">
        <v>3583</v>
      </c>
      <c r="D278" s="1" t="s">
        <v>20</v>
      </c>
      <c r="E278" s="1" t="s">
        <v>3572</v>
      </c>
      <c r="F278" s="1" t="s">
        <v>3573</v>
      </c>
      <c r="G278" s="1" t="s">
        <v>3574</v>
      </c>
      <c r="H278" s="2"/>
      <c r="I278" s="5">
        <f>XLOOKUP(K278, pharmaceutical_index!B:B, pharmaceutical_index!A:A, "Not Found")</f>
      </c>
      <c r="J278" s="1" t="s">
        <v>656</v>
      </c>
      <c r="K278" s="1" t="s">
        <v>656</v>
      </c>
      <c r="L278" s="1" t="s">
        <v>20</v>
      </c>
      <c r="M278" s="1" t="s">
        <v>656</v>
      </c>
      <c r="N278" s="2"/>
      <c r="O278" s="2"/>
      <c r="P278" s="2"/>
      <c r="Q278" s="2"/>
    </row>
    <row x14ac:dyDescent="0.25" r="279" customHeight="1" ht="17.25">
      <c r="A279" s="1" t="s">
        <v>3932</v>
      </c>
      <c r="B279" s="1" t="s">
        <v>658</v>
      </c>
      <c r="C279" s="1" t="s">
        <v>3933</v>
      </c>
      <c r="D279" s="1" t="s">
        <v>20</v>
      </c>
      <c r="E279" s="1" t="s">
        <v>3572</v>
      </c>
      <c r="F279" s="1" t="s">
        <v>3573</v>
      </c>
      <c r="G279" s="1" t="s">
        <v>3574</v>
      </c>
      <c r="H279" s="2"/>
      <c r="I279" s="5">
        <f>XLOOKUP(K279, pharmaceutical_index!B:B, pharmaceutical_index!A:A, "Not Found")</f>
      </c>
      <c r="J279" s="1" t="s">
        <v>658</v>
      </c>
      <c r="K279" s="1" t="s">
        <v>658</v>
      </c>
      <c r="L279" s="1" t="s">
        <v>20</v>
      </c>
      <c r="M279" s="1" t="s">
        <v>658</v>
      </c>
      <c r="N279" s="2"/>
      <c r="O279" s="2"/>
      <c r="P279" s="2"/>
      <c r="Q279" s="2"/>
    </row>
    <row x14ac:dyDescent="0.25" r="280" customHeight="1" ht="17.25">
      <c r="A280" s="1" t="s">
        <v>3934</v>
      </c>
      <c r="B280" s="1" t="s">
        <v>660</v>
      </c>
      <c r="C280" s="1" t="s">
        <v>3935</v>
      </c>
      <c r="D280" s="1" t="s">
        <v>661</v>
      </c>
      <c r="E280" s="1" t="s">
        <v>3572</v>
      </c>
      <c r="F280" s="1" t="s">
        <v>3573</v>
      </c>
      <c r="G280" s="1" t="s">
        <v>3574</v>
      </c>
      <c r="H280" s="2"/>
      <c r="I280" s="5">
        <f>XLOOKUP(K280, pharmaceutical_index!B:B, pharmaceutical_index!A:A, "Not Found")</f>
      </c>
      <c r="J280" s="1" t="s">
        <v>3936</v>
      </c>
      <c r="K280" s="1" t="s">
        <v>660</v>
      </c>
      <c r="L280" s="1" t="s">
        <v>661</v>
      </c>
      <c r="M280" s="1" t="s">
        <v>3937</v>
      </c>
      <c r="N280" s="2"/>
      <c r="O280" s="2"/>
      <c r="P280" s="2"/>
      <c r="Q280" s="2"/>
    </row>
    <row x14ac:dyDescent="0.25" r="281" customHeight="1" ht="17.25">
      <c r="A281" s="1" t="s">
        <v>3938</v>
      </c>
      <c r="B281" s="1" t="s">
        <v>663</v>
      </c>
      <c r="C281" s="1" t="s">
        <v>3571</v>
      </c>
      <c r="D281" s="1" t="s">
        <v>76</v>
      </c>
      <c r="E281" s="1" t="s">
        <v>3572</v>
      </c>
      <c r="F281" s="1" t="s">
        <v>3573</v>
      </c>
      <c r="G281" s="1" t="s">
        <v>3574</v>
      </c>
      <c r="H281" s="2"/>
      <c r="I281" s="5">
        <f>XLOOKUP(K281, pharmaceutical_index!B:B, pharmaceutical_index!A:A, "Not Found")</f>
      </c>
      <c r="J281" s="1" t="s">
        <v>663</v>
      </c>
      <c r="K281" s="1" t="s">
        <v>663</v>
      </c>
      <c r="L281" s="1" t="s">
        <v>76</v>
      </c>
      <c r="M281" s="1" t="s">
        <v>663</v>
      </c>
      <c r="N281" s="2"/>
      <c r="O281" s="2"/>
      <c r="P281" s="2"/>
      <c r="Q281" s="2"/>
    </row>
    <row x14ac:dyDescent="0.25" r="282" customHeight="1" ht="17.25">
      <c r="A282" s="1" t="s">
        <v>3939</v>
      </c>
      <c r="B282" s="1" t="s">
        <v>665</v>
      </c>
      <c r="C282" s="1" t="s">
        <v>3940</v>
      </c>
      <c r="D282" s="1" t="s">
        <v>20</v>
      </c>
      <c r="E282" s="1" t="s">
        <v>3572</v>
      </c>
      <c r="F282" s="1" t="s">
        <v>3573</v>
      </c>
      <c r="G282" s="1" t="s">
        <v>3574</v>
      </c>
      <c r="H282" s="2"/>
      <c r="I282" s="5">
        <f>XLOOKUP(K282, pharmaceutical_index!B:B, pharmaceutical_index!A:A, "Not Found")</f>
      </c>
      <c r="J282" s="1" t="s">
        <v>665</v>
      </c>
      <c r="K282" s="1" t="s">
        <v>665</v>
      </c>
      <c r="L282" s="1" t="s">
        <v>20</v>
      </c>
      <c r="M282" s="1" t="s">
        <v>665</v>
      </c>
      <c r="N282" s="2"/>
      <c r="O282" s="2"/>
      <c r="P282" s="2"/>
      <c r="Q282" s="2"/>
    </row>
    <row x14ac:dyDescent="0.25" r="283" customHeight="1" ht="17.25">
      <c r="A283" s="1" t="s">
        <v>3941</v>
      </c>
      <c r="B283" s="1" t="s">
        <v>667</v>
      </c>
      <c r="C283" s="1" t="s">
        <v>3608</v>
      </c>
      <c r="D283" s="1" t="s">
        <v>668</v>
      </c>
      <c r="E283" s="1" t="s">
        <v>3572</v>
      </c>
      <c r="F283" s="1" t="s">
        <v>3573</v>
      </c>
      <c r="G283" s="1" t="s">
        <v>3574</v>
      </c>
      <c r="H283" s="2"/>
      <c r="I283" s="5">
        <f>XLOOKUP(K283, pharmaceutical_index!B:B, pharmaceutical_index!A:A, "Not Found")</f>
      </c>
      <c r="J283" s="1" t="s">
        <v>667</v>
      </c>
      <c r="K283" s="1" t="s">
        <v>667</v>
      </c>
      <c r="L283" s="1" t="s">
        <v>668</v>
      </c>
      <c r="M283" s="1" t="s">
        <v>667</v>
      </c>
      <c r="N283" s="2"/>
      <c r="O283" s="2"/>
      <c r="P283" s="2"/>
      <c r="Q283" s="2"/>
    </row>
    <row x14ac:dyDescent="0.25" r="284" customHeight="1" ht="17.25">
      <c r="A284" s="1" t="s">
        <v>3942</v>
      </c>
      <c r="B284" s="1" t="s">
        <v>670</v>
      </c>
      <c r="C284" s="1" t="s">
        <v>3576</v>
      </c>
      <c r="D284" s="1" t="s">
        <v>20</v>
      </c>
      <c r="E284" s="1" t="s">
        <v>3572</v>
      </c>
      <c r="F284" s="1" t="s">
        <v>3573</v>
      </c>
      <c r="G284" s="1" t="s">
        <v>3574</v>
      </c>
      <c r="H284" s="2"/>
      <c r="I284" s="5">
        <f>XLOOKUP(K284, pharmaceutical_index!B:B, pharmaceutical_index!A:A, "Not Found")</f>
      </c>
      <c r="J284" s="1" t="s">
        <v>3943</v>
      </c>
      <c r="K284" s="1" t="s">
        <v>670</v>
      </c>
      <c r="L284" s="1" t="s">
        <v>20</v>
      </c>
      <c r="M284" s="1" t="s">
        <v>3943</v>
      </c>
      <c r="N284" s="2"/>
      <c r="O284" s="2"/>
      <c r="P284" s="2"/>
      <c r="Q284" s="2"/>
    </row>
    <row x14ac:dyDescent="0.25" r="285" customHeight="1" ht="17.25">
      <c r="A285" s="1" t="s">
        <v>3944</v>
      </c>
      <c r="B285" s="1" t="s">
        <v>672</v>
      </c>
      <c r="C285" s="1" t="s">
        <v>3571</v>
      </c>
      <c r="D285" s="1" t="s">
        <v>59</v>
      </c>
      <c r="E285" s="1" t="s">
        <v>3572</v>
      </c>
      <c r="F285" s="1" t="s">
        <v>3573</v>
      </c>
      <c r="G285" s="1" t="s">
        <v>3574</v>
      </c>
      <c r="H285" s="2"/>
      <c r="I285" s="5">
        <f>XLOOKUP(K285, pharmaceutical_index!B:B, pharmaceutical_index!A:A, "Not Found")</f>
      </c>
      <c r="J285" s="1" t="s">
        <v>672</v>
      </c>
      <c r="K285" s="1" t="s">
        <v>672</v>
      </c>
      <c r="L285" s="1" t="s">
        <v>59</v>
      </c>
      <c r="M285" s="1" t="s">
        <v>672</v>
      </c>
      <c r="N285" s="2"/>
      <c r="O285" s="2"/>
      <c r="P285" s="2"/>
      <c r="Q285" s="2"/>
    </row>
    <row x14ac:dyDescent="0.25" r="286" customHeight="1" ht="17.25">
      <c r="A286" s="1" t="s">
        <v>3945</v>
      </c>
      <c r="B286" s="1" t="s">
        <v>674</v>
      </c>
      <c r="C286" s="1" t="s">
        <v>3608</v>
      </c>
      <c r="D286" s="1" t="s">
        <v>668</v>
      </c>
      <c r="E286" s="1" t="s">
        <v>3572</v>
      </c>
      <c r="F286" s="1" t="s">
        <v>3573</v>
      </c>
      <c r="G286" s="1" t="s">
        <v>3574</v>
      </c>
      <c r="H286" s="2"/>
      <c r="I286" s="5">
        <f>XLOOKUP(K286, pharmaceutical_index!B:B, pharmaceutical_index!A:A, "Not Found")</f>
      </c>
      <c r="J286" s="1" t="s">
        <v>674</v>
      </c>
      <c r="K286" s="1" t="s">
        <v>674</v>
      </c>
      <c r="L286" s="1" t="s">
        <v>668</v>
      </c>
      <c r="M286" s="1" t="s">
        <v>674</v>
      </c>
      <c r="N286" s="2"/>
      <c r="O286" s="2"/>
      <c r="P286" s="2"/>
      <c r="Q286" s="2"/>
    </row>
    <row x14ac:dyDescent="0.25" r="287" customHeight="1" ht="17.25">
      <c r="A287" s="1" t="s">
        <v>3946</v>
      </c>
      <c r="B287" s="1" t="s">
        <v>676</v>
      </c>
      <c r="C287" s="1" t="s">
        <v>3866</v>
      </c>
      <c r="D287" s="1" t="s">
        <v>641</v>
      </c>
      <c r="E287" s="1" t="s">
        <v>3572</v>
      </c>
      <c r="F287" s="1" t="s">
        <v>3573</v>
      </c>
      <c r="G287" s="1" t="s">
        <v>3574</v>
      </c>
      <c r="H287" s="2"/>
      <c r="I287" s="5">
        <f>XLOOKUP(K287, pharmaceutical_index!B:B, pharmaceutical_index!A:A, "Not Found")</f>
      </c>
      <c r="J287" s="1" t="s">
        <v>676</v>
      </c>
      <c r="K287" s="1" t="s">
        <v>676</v>
      </c>
      <c r="L287" s="1" t="s">
        <v>641</v>
      </c>
      <c r="M287" s="1" t="s">
        <v>676</v>
      </c>
      <c r="N287" s="2"/>
      <c r="O287" s="2"/>
      <c r="P287" s="2"/>
      <c r="Q287" s="2"/>
    </row>
    <row x14ac:dyDescent="0.25" r="288" customHeight="1" ht="17.25">
      <c r="A288" s="1" t="s">
        <v>3947</v>
      </c>
      <c r="B288" s="1" t="s">
        <v>678</v>
      </c>
      <c r="C288" s="1" t="s">
        <v>3589</v>
      </c>
      <c r="D288" s="1" t="s">
        <v>62</v>
      </c>
      <c r="E288" s="1" t="s">
        <v>3572</v>
      </c>
      <c r="F288" s="1" t="s">
        <v>3573</v>
      </c>
      <c r="G288" s="1" t="s">
        <v>3574</v>
      </c>
      <c r="H288" s="2"/>
      <c r="I288" s="5">
        <f>XLOOKUP(K288, pharmaceutical_index!B:B, pharmaceutical_index!A:A, "Not Found")</f>
      </c>
      <c r="J288" s="1" t="s">
        <v>678</v>
      </c>
      <c r="K288" s="1" t="s">
        <v>678</v>
      </c>
      <c r="L288" s="1" t="s">
        <v>62</v>
      </c>
      <c r="M288" s="1" t="s">
        <v>678</v>
      </c>
      <c r="N288" s="2"/>
      <c r="O288" s="2"/>
      <c r="P288" s="2"/>
      <c r="Q288" s="2"/>
    </row>
    <row x14ac:dyDescent="0.25" r="289" customHeight="1" ht="17.25">
      <c r="A289" s="1" t="s">
        <v>3948</v>
      </c>
      <c r="B289" s="1" t="s">
        <v>680</v>
      </c>
      <c r="C289" s="1" t="s">
        <v>3610</v>
      </c>
      <c r="D289" s="1" t="s">
        <v>681</v>
      </c>
      <c r="E289" s="1" t="s">
        <v>3572</v>
      </c>
      <c r="F289" s="1" t="s">
        <v>3573</v>
      </c>
      <c r="G289" s="1" t="s">
        <v>3574</v>
      </c>
      <c r="H289" s="2"/>
      <c r="I289" s="5">
        <f>XLOOKUP(K289, pharmaceutical_index!B:B, pharmaceutical_index!A:A, "Not Found")</f>
      </c>
      <c r="J289" s="1" t="s">
        <v>680</v>
      </c>
      <c r="K289" s="1" t="s">
        <v>680</v>
      </c>
      <c r="L289" s="1" t="s">
        <v>681</v>
      </c>
      <c r="M289" s="1" t="s">
        <v>680</v>
      </c>
      <c r="N289" s="2"/>
      <c r="O289" s="2"/>
      <c r="P289" s="2"/>
      <c r="Q289" s="2"/>
    </row>
    <row x14ac:dyDescent="0.25" r="290" customHeight="1" ht="17.25">
      <c r="A290" s="1" t="s">
        <v>3949</v>
      </c>
      <c r="B290" s="1" t="s">
        <v>683</v>
      </c>
      <c r="C290" s="1" t="s">
        <v>3866</v>
      </c>
      <c r="D290" s="1" t="s">
        <v>684</v>
      </c>
      <c r="E290" s="1" t="s">
        <v>3572</v>
      </c>
      <c r="F290" s="1" t="s">
        <v>3573</v>
      </c>
      <c r="G290" s="1" t="s">
        <v>3574</v>
      </c>
      <c r="H290" s="2"/>
      <c r="I290" s="5">
        <f>XLOOKUP(K290, pharmaceutical_index!B:B, pharmaceutical_index!A:A, "Not Found")</f>
      </c>
      <c r="J290" s="1" t="s">
        <v>683</v>
      </c>
      <c r="K290" s="1" t="s">
        <v>683</v>
      </c>
      <c r="L290" s="1" t="s">
        <v>684</v>
      </c>
      <c r="M290" s="1" t="s">
        <v>683</v>
      </c>
      <c r="N290" s="2"/>
      <c r="O290" s="2"/>
      <c r="P290" s="2"/>
      <c r="Q290" s="2"/>
    </row>
    <row x14ac:dyDescent="0.25" r="291" customHeight="1" ht="17.25">
      <c r="A291" s="1" t="s">
        <v>3950</v>
      </c>
      <c r="B291" s="1" t="s">
        <v>686</v>
      </c>
      <c r="C291" s="1" t="s">
        <v>3571</v>
      </c>
      <c r="D291" s="1" t="s">
        <v>598</v>
      </c>
      <c r="E291" s="1" t="s">
        <v>3572</v>
      </c>
      <c r="F291" s="1" t="s">
        <v>3573</v>
      </c>
      <c r="G291" s="1" t="s">
        <v>3574</v>
      </c>
      <c r="H291" s="2"/>
      <c r="I291" s="5">
        <f>XLOOKUP(K291, pharmaceutical_index!B:B, pharmaceutical_index!A:A, "Not Found")</f>
      </c>
      <c r="J291" s="1" t="s">
        <v>3951</v>
      </c>
      <c r="K291" s="1" t="s">
        <v>686</v>
      </c>
      <c r="L291" s="1" t="s">
        <v>598</v>
      </c>
      <c r="M291" s="1" t="s">
        <v>3952</v>
      </c>
      <c r="N291" s="2"/>
      <c r="O291" s="2"/>
      <c r="P291" s="2"/>
      <c r="Q291" s="2"/>
    </row>
    <row x14ac:dyDescent="0.25" r="292" customHeight="1" ht="17.25">
      <c r="A292" s="1" t="s">
        <v>3953</v>
      </c>
      <c r="B292" s="1" t="s">
        <v>688</v>
      </c>
      <c r="C292" s="1" t="s">
        <v>3576</v>
      </c>
      <c r="D292" s="1" t="s">
        <v>20</v>
      </c>
      <c r="E292" s="1" t="s">
        <v>3572</v>
      </c>
      <c r="F292" s="1" t="s">
        <v>3573</v>
      </c>
      <c r="G292" s="1" t="s">
        <v>3574</v>
      </c>
      <c r="H292" s="2"/>
      <c r="I292" s="5">
        <f>XLOOKUP(K292, pharmaceutical_index!B:B, pharmaceutical_index!A:A, "Not Found")</f>
      </c>
      <c r="J292" s="1" t="s">
        <v>3954</v>
      </c>
      <c r="K292" s="1" t="s">
        <v>688</v>
      </c>
      <c r="L292" s="1" t="s">
        <v>20</v>
      </c>
      <c r="M292" s="1" t="s">
        <v>3955</v>
      </c>
      <c r="N292" s="2"/>
      <c r="O292" s="2"/>
      <c r="P292" s="2"/>
      <c r="Q292" s="2"/>
    </row>
    <row x14ac:dyDescent="0.25" r="293" customHeight="1" ht="17.25">
      <c r="A293" s="1" t="s">
        <v>3956</v>
      </c>
      <c r="B293" s="1" t="s">
        <v>690</v>
      </c>
      <c r="C293" s="1" t="s">
        <v>3733</v>
      </c>
      <c r="D293" s="1" t="s">
        <v>691</v>
      </c>
      <c r="E293" s="1" t="s">
        <v>3572</v>
      </c>
      <c r="F293" s="1" t="s">
        <v>3573</v>
      </c>
      <c r="G293" s="1" t="s">
        <v>3574</v>
      </c>
      <c r="H293" s="2"/>
      <c r="I293" s="5">
        <f>XLOOKUP(K293, pharmaceutical_index!B:B, pharmaceutical_index!A:A, "Not Found")</f>
      </c>
      <c r="J293" s="1" t="s">
        <v>690</v>
      </c>
      <c r="K293" s="1" t="s">
        <v>690</v>
      </c>
      <c r="L293" s="1" t="s">
        <v>691</v>
      </c>
      <c r="M293" s="1" t="s">
        <v>690</v>
      </c>
      <c r="N293" s="2"/>
      <c r="O293" s="2"/>
      <c r="P293" s="2"/>
      <c r="Q293" s="2"/>
    </row>
    <row x14ac:dyDescent="0.25" r="294" customHeight="1" ht="17.25">
      <c r="A294" s="1" t="s">
        <v>3957</v>
      </c>
      <c r="B294" s="1" t="s">
        <v>693</v>
      </c>
      <c r="C294" s="1" t="s">
        <v>3608</v>
      </c>
      <c r="D294" s="1" t="s">
        <v>219</v>
      </c>
      <c r="E294" s="1" t="s">
        <v>3572</v>
      </c>
      <c r="F294" s="1" t="s">
        <v>3573</v>
      </c>
      <c r="G294" s="1" t="s">
        <v>3574</v>
      </c>
      <c r="H294" s="2"/>
      <c r="I294" s="5">
        <f>XLOOKUP(K294, pharmaceutical_index!B:B, pharmaceutical_index!A:A, "Not Found")</f>
      </c>
      <c r="J294" s="1" t="s">
        <v>693</v>
      </c>
      <c r="K294" s="1" t="s">
        <v>693</v>
      </c>
      <c r="L294" s="1" t="s">
        <v>219</v>
      </c>
      <c r="M294" s="1" t="s">
        <v>693</v>
      </c>
      <c r="N294" s="2"/>
      <c r="O294" s="2"/>
      <c r="P294" s="2"/>
      <c r="Q294" s="2"/>
    </row>
    <row x14ac:dyDescent="0.25" r="295" customHeight="1" ht="17.25">
      <c r="A295" s="1" t="s">
        <v>3958</v>
      </c>
      <c r="B295" s="1" t="s">
        <v>695</v>
      </c>
      <c r="C295" s="1" t="s">
        <v>3576</v>
      </c>
      <c r="D295" s="1" t="s">
        <v>20</v>
      </c>
      <c r="E295" s="1" t="s">
        <v>3572</v>
      </c>
      <c r="F295" s="1" t="s">
        <v>3573</v>
      </c>
      <c r="G295" s="1" t="s">
        <v>3574</v>
      </c>
      <c r="H295" s="2"/>
      <c r="I295" s="5">
        <f>XLOOKUP(K295, pharmaceutical_index!B:B, pharmaceutical_index!A:A, "Not Found")</f>
      </c>
      <c r="J295" s="1" t="s">
        <v>695</v>
      </c>
      <c r="K295" s="1" t="s">
        <v>695</v>
      </c>
      <c r="L295" s="1" t="s">
        <v>20</v>
      </c>
      <c r="M295" s="1" t="s">
        <v>695</v>
      </c>
      <c r="N295" s="2"/>
      <c r="O295" s="2"/>
      <c r="P295" s="2"/>
      <c r="Q295" s="2"/>
    </row>
    <row x14ac:dyDescent="0.25" r="296" customHeight="1" ht="17.25">
      <c r="A296" s="1" t="s">
        <v>3959</v>
      </c>
      <c r="B296" s="1" t="s">
        <v>697</v>
      </c>
      <c r="C296" s="1" t="s">
        <v>3866</v>
      </c>
      <c r="D296" s="1" t="s">
        <v>698</v>
      </c>
      <c r="E296" s="1" t="s">
        <v>3572</v>
      </c>
      <c r="F296" s="1" t="s">
        <v>3573</v>
      </c>
      <c r="G296" s="1" t="s">
        <v>3574</v>
      </c>
      <c r="H296" s="2"/>
      <c r="I296" s="5">
        <f>XLOOKUP(K296, pharmaceutical_index!B:B, pharmaceutical_index!A:A, "Not Found")</f>
      </c>
      <c r="J296" s="1" t="s">
        <v>697</v>
      </c>
      <c r="K296" s="1" t="s">
        <v>697</v>
      </c>
      <c r="L296" s="1" t="s">
        <v>698</v>
      </c>
      <c r="M296" s="1" t="s">
        <v>697</v>
      </c>
      <c r="N296" s="2"/>
      <c r="O296" s="2"/>
      <c r="P296" s="2"/>
      <c r="Q296" s="2"/>
    </row>
    <row x14ac:dyDescent="0.25" r="297" customHeight="1" ht="17.25">
      <c r="A297" s="1" t="s">
        <v>3960</v>
      </c>
      <c r="B297" s="1" t="s">
        <v>700</v>
      </c>
      <c r="C297" s="1" t="s">
        <v>3701</v>
      </c>
      <c r="D297" s="1" t="s">
        <v>20</v>
      </c>
      <c r="E297" s="1" t="s">
        <v>3572</v>
      </c>
      <c r="F297" s="1" t="s">
        <v>3573</v>
      </c>
      <c r="G297" s="1" t="s">
        <v>3574</v>
      </c>
      <c r="H297" s="2"/>
      <c r="I297" s="5">
        <f>XLOOKUP(K297, pharmaceutical_index!B:B, pharmaceutical_index!A:A, "Not Found")</f>
      </c>
      <c r="J297" s="1" t="s">
        <v>700</v>
      </c>
      <c r="K297" s="1" t="s">
        <v>700</v>
      </c>
      <c r="L297" s="1" t="s">
        <v>20</v>
      </c>
      <c r="M297" s="1" t="s">
        <v>700</v>
      </c>
      <c r="N297" s="2"/>
      <c r="O297" s="2"/>
      <c r="P297" s="2"/>
      <c r="Q297" s="2"/>
    </row>
    <row x14ac:dyDescent="0.25" r="298" customHeight="1" ht="17.25">
      <c r="A298" s="1" t="s">
        <v>3961</v>
      </c>
      <c r="B298" s="1" t="s">
        <v>702</v>
      </c>
      <c r="C298" s="1" t="s">
        <v>3576</v>
      </c>
      <c r="D298" s="1" t="s">
        <v>20</v>
      </c>
      <c r="E298" s="1" t="s">
        <v>3572</v>
      </c>
      <c r="F298" s="1" t="s">
        <v>3573</v>
      </c>
      <c r="G298" s="1" t="s">
        <v>3574</v>
      </c>
      <c r="H298" s="2"/>
      <c r="I298" s="5">
        <f>XLOOKUP(K298, pharmaceutical_index!B:B, pharmaceutical_index!A:A, "Not Found")</f>
      </c>
      <c r="J298" s="1" t="s">
        <v>702</v>
      </c>
      <c r="K298" s="1" t="s">
        <v>702</v>
      </c>
      <c r="L298" s="1" t="s">
        <v>20</v>
      </c>
      <c r="M298" s="1" t="s">
        <v>702</v>
      </c>
      <c r="N298" s="2"/>
      <c r="O298" s="2"/>
      <c r="P298" s="2"/>
      <c r="Q298" s="2"/>
    </row>
    <row x14ac:dyDescent="0.25" r="299" customHeight="1" ht="17.25">
      <c r="A299" s="1" t="s">
        <v>3962</v>
      </c>
      <c r="B299" s="1" t="s">
        <v>704</v>
      </c>
      <c r="C299" s="1" t="s">
        <v>3866</v>
      </c>
      <c r="D299" s="1" t="s">
        <v>698</v>
      </c>
      <c r="E299" s="1" t="s">
        <v>3572</v>
      </c>
      <c r="F299" s="1" t="s">
        <v>3573</v>
      </c>
      <c r="G299" s="1" t="s">
        <v>3574</v>
      </c>
      <c r="H299" s="2"/>
      <c r="I299" s="5">
        <f>XLOOKUP(K299, pharmaceutical_index!B:B, pharmaceutical_index!A:A, "Not Found")</f>
      </c>
      <c r="J299" s="1" t="s">
        <v>704</v>
      </c>
      <c r="K299" s="1" t="s">
        <v>704</v>
      </c>
      <c r="L299" s="1" t="s">
        <v>698</v>
      </c>
      <c r="M299" s="1" t="s">
        <v>704</v>
      </c>
      <c r="N299" s="2"/>
      <c r="O299" s="2"/>
      <c r="P299" s="2"/>
      <c r="Q299" s="2"/>
    </row>
    <row x14ac:dyDescent="0.25" r="300" customHeight="1" ht="17.25">
      <c r="A300" s="1" t="s">
        <v>3963</v>
      </c>
      <c r="B300" s="1" t="s">
        <v>706</v>
      </c>
      <c r="C300" s="1" t="s">
        <v>3964</v>
      </c>
      <c r="D300" s="1" t="s">
        <v>20</v>
      </c>
      <c r="E300" s="1" t="s">
        <v>3572</v>
      </c>
      <c r="F300" s="1" t="s">
        <v>3573</v>
      </c>
      <c r="G300" s="1" t="s">
        <v>3574</v>
      </c>
      <c r="H300" s="2"/>
      <c r="I300" s="5">
        <f>XLOOKUP(K300, pharmaceutical_index!B:B, pharmaceutical_index!A:A, "Not Found")</f>
      </c>
      <c r="J300" s="1" t="s">
        <v>706</v>
      </c>
      <c r="K300" s="1" t="s">
        <v>706</v>
      </c>
      <c r="L300" s="1" t="s">
        <v>20</v>
      </c>
      <c r="M300" s="1" t="s">
        <v>706</v>
      </c>
      <c r="N300" s="2"/>
      <c r="O300" s="2"/>
      <c r="P300" s="2"/>
      <c r="Q300" s="2"/>
    </row>
    <row x14ac:dyDescent="0.25" r="301" customHeight="1" ht="17.25">
      <c r="A301" s="1" t="s">
        <v>3965</v>
      </c>
      <c r="B301" s="1" t="s">
        <v>708</v>
      </c>
      <c r="C301" s="1" t="s">
        <v>3622</v>
      </c>
      <c r="D301" s="1" t="s">
        <v>135</v>
      </c>
      <c r="E301" s="1" t="s">
        <v>3572</v>
      </c>
      <c r="F301" s="1" t="s">
        <v>3573</v>
      </c>
      <c r="G301" s="1" t="s">
        <v>3574</v>
      </c>
      <c r="H301" s="2"/>
      <c r="I301" s="5">
        <f>XLOOKUP(K301, pharmaceutical_index!B:B, pharmaceutical_index!A:A, "Not Found")</f>
      </c>
      <c r="J301" s="1" t="s">
        <v>708</v>
      </c>
      <c r="K301" s="1" t="s">
        <v>708</v>
      </c>
      <c r="L301" s="1" t="s">
        <v>135</v>
      </c>
      <c r="M301" s="1" t="s">
        <v>708</v>
      </c>
      <c r="N301" s="2"/>
      <c r="O301" s="2"/>
      <c r="P301" s="2"/>
      <c r="Q301" s="2"/>
    </row>
    <row x14ac:dyDescent="0.25" r="302" customHeight="1" ht="17.25">
      <c r="A302" s="1" t="s">
        <v>3966</v>
      </c>
      <c r="B302" s="1" t="s">
        <v>710</v>
      </c>
      <c r="C302" s="1" t="s">
        <v>3571</v>
      </c>
      <c r="D302" s="1" t="s">
        <v>711</v>
      </c>
      <c r="E302" s="1" t="s">
        <v>3572</v>
      </c>
      <c r="F302" s="1" t="s">
        <v>3573</v>
      </c>
      <c r="G302" s="1" t="s">
        <v>3574</v>
      </c>
      <c r="H302" s="2"/>
      <c r="I302" s="5">
        <f>XLOOKUP(K302, pharmaceutical_index!B:B, pharmaceutical_index!A:A, "Not Found")</f>
      </c>
      <c r="J302" s="1" t="s">
        <v>710</v>
      </c>
      <c r="K302" s="1" t="s">
        <v>710</v>
      </c>
      <c r="L302" s="1" t="s">
        <v>711</v>
      </c>
      <c r="M302" s="1" t="s">
        <v>710</v>
      </c>
      <c r="N302" s="2"/>
      <c r="O302" s="2"/>
      <c r="P302" s="2"/>
      <c r="Q302" s="2"/>
    </row>
    <row x14ac:dyDescent="0.25" r="303" customHeight="1" ht="17.25">
      <c r="A303" s="1" t="s">
        <v>3967</v>
      </c>
      <c r="B303" s="1" t="s">
        <v>713</v>
      </c>
      <c r="C303" s="1" t="s">
        <v>3583</v>
      </c>
      <c r="D303" s="1" t="s">
        <v>20</v>
      </c>
      <c r="E303" s="1" t="s">
        <v>3572</v>
      </c>
      <c r="F303" s="1" t="s">
        <v>3573</v>
      </c>
      <c r="G303" s="1" t="s">
        <v>3574</v>
      </c>
      <c r="H303" s="2"/>
      <c r="I303" s="5">
        <f>XLOOKUP(K303, pharmaceutical_index!B:B, pharmaceutical_index!A:A, "Not Found")</f>
      </c>
      <c r="J303" s="1" t="s">
        <v>713</v>
      </c>
      <c r="K303" s="1" t="s">
        <v>713</v>
      </c>
      <c r="L303" s="1" t="s">
        <v>20</v>
      </c>
      <c r="M303" s="1" t="s">
        <v>713</v>
      </c>
      <c r="N303" s="2"/>
      <c r="O303" s="2"/>
      <c r="P303" s="2"/>
      <c r="Q303" s="2"/>
    </row>
    <row x14ac:dyDescent="0.25" r="304" customHeight="1" ht="17.25">
      <c r="A304" s="1" t="s">
        <v>3968</v>
      </c>
      <c r="B304" s="1" t="s">
        <v>715</v>
      </c>
      <c r="C304" s="1" t="s">
        <v>3608</v>
      </c>
      <c r="D304" s="1" t="s">
        <v>371</v>
      </c>
      <c r="E304" s="1" t="s">
        <v>3572</v>
      </c>
      <c r="F304" s="1" t="s">
        <v>3573</v>
      </c>
      <c r="G304" s="1" t="s">
        <v>3574</v>
      </c>
      <c r="H304" s="2"/>
      <c r="I304" s="5">
        <f>XLOOKUP(K304, pharmaceutical_index!B:B, pharmaceutical_index!A:A, "Not Found")</f>
      </c>
      <c r="J304" s="1" t="s">
        <v>715</v>
      </c>
      <c r="K304" s="1" t="s">
        <v>715</v>
      </c>
      <c r="L304" s="1" t="s">
        <v>371</v>
      </c>
      <c r="M304" s="1" t="s">
        <v>715</v>
      </c>
      <c r="N304" s="2"/>
      <c r="O304" s="2"/>
      <c r="P304" s="2"/>
      <c r="Q304" s="2"/>
    </row>
    <row x14ac:dyDescent="0.25" r="305" customHeight="1" ht="17.25">
      <c r="A305" s="1" t="s">
        <v>3969</v>
      </c>
      <c r="B305" s="1" t="s">
        <v>717</v>
      </c>
      <c r="C305" s="1" t="s">
        <v>3571</v>
      </c>
      <c r="D305" s="1" t="s">
        <v>114</v>
      </c>
      <c r="E305" s="1" t="s">
        <v>3572</v>
      </c>
      <c r="F305" s="1" t="s">
        <v>3573</v>
      </c>
      <c r="G305" s="1" t="s">
        <v>3574</v>
      </c>
      <c r="H305" s="2"/>
      <c r="I305" s="5">
        <f>XLOOKUP(K305, pharmaceutical_index!B:B, pharmaceutical_index!A:A, "Not Found")</f>
      </c>
      <c r="J305" s="1" t="s">
        <v>717</v>
      </c>
      <c r="K305" s="1" t="s">
        <v>717</v>
      </c>
      <c r="L305" s="1" t="s">
        <v>114</v>
      </c>
      <c r="M305" s="1" t="s">
        <v>717</v>
      </c>
      <c r="N305" s="2"/>
      <c r="O305" s="2"/>
      <c r="P305" s="2"/>
      <c r="Q305" s="2"/>
    </row>
    <row x14ac:dyDescent="0.25" r="306" customHeight="1" ht="17.25">
      <c r="A306" s="1" t="s">
        <v>3970</v>
      </c>
      <c r="B306" s="1" t="s">
        <v>719</v>
      </c>
      <c r="C306" s="1" t="s">
        <v>3571</v>
      </c>
      <c r="D306" s="1" t="s">
        <v>422</v>
      </c>
      <c r="E306" s="1" t="s">
        <v>3572</v>
      </c>
      <c r="F306" s="1" t="s">
        <v>3573</v>
      </c>
      <c r="G306" s="1" t="s">
        <v>3574</v>
      </c>
      <c r="H306" s="2"/>
      <c r="I306" s="5">
        <f>XLOOKUP(K306, pharmaceutical_index!B:B, pharmaceutical_index!A:A, "Not Found")</f>
      </c>
      <c r="J306" s="1" t="s">
        <v>719</v>
      </c>
      <c r="K306" s="1" t="s">
        <v>719</v>
      </c>
      <c r="L306" s="1" t="s">
        <v>422</v>
      </c>
      <c r="M306" s="1" t="s">
        <v>719</v>
      </c>
      <c r="N306" s="2"/>
      <c r="O306" s="2"/>
      <c r="P306" s="2"/>
      <c r="Q306" s="2"/>
    </row>
    <row x14ac:dyDescent="0.25" r="307" customHeight="1" ht="17.25">
      <c r="A307" s="1" t="s">
        <v>3971</v>
      </c>
      <c r="B307" s="1" t="s">
        <v>721</v>
      </c>
      <c r="C307" s="1" t="s">
        <v>3583</v>
      </c>
      <c r="D307" s="1" t="s">
        <v>20</v>
      </c>
      <c r="E307" s="1" t="s">
        <v>3572</v>
      </c>
      <c r="F307" s="1" t="s">
        <v>3573</v>
      </c>
      <c r="G307" s="1" t="s">
        <v>3574</v>
      </c>
      <c r="H307" s="2"/>
      <c r="I307" s="5">
        <f>XLOOKUP(K307, pharmaceutical_index!B:B, pharmaceutical_index!A:A, "Not Found")</f>
      </c>
      <c r="J307" s="1" t="s">
        <v>721</v>
      </c>
      <c r="K307" s="1" t="s">
        <v>721</v>
      </c>
      <c r="L307" s="1" t="s">
        <v>20</v>
      </c>
      <c r="M307" s="1" t="s">
        <v>721</v>
      </c>
      <c r="N307" s="2"/>
      <c r="O307" s="2"/>
      <c r="P307" s="2"/>
      <c r="Q307" s="2"/>
    </row>
    <row x14ac:dyDescent="0.25" r="308" customHeight="1" ht="17.25">
      <c r="A308" s="1" t="s">
        <v>3972</v>
      </c>
      <c r="B308" s="1" t="s">
        <v>723</v>
      </c>
      <c r="C308" s="1" t="s">
        <v>3622</v>
      </c>
      <c r="D308" s="1" t="s">
        <v>135</v>
      </c>
      <c r="E308" s="1" t="s">
        <v>3572</v>
      </c>
      <c r="F308" s="1" t="s">
        <v>3573</v>
      </c>
      <c r="G308" s="1" t="s">
        <v>3574</v>
      </c>
      <c r="H308" s="2"/>
      <c r="I308" s="5">
        <f>XLOOKUP(K308, pharmaceutical_index!B:B, pharmaceutical_index!A:A, "Not Found")</f>
      </c>
      <c r="J308" s="1" t="s">
        <v>723</v>
      </c>
      <c r="K308" s="1" t="s">
        <v>723</v>
      </c>
      <c r="L308" s="1" t="s">
        <v>135</v>
      </c>
      <c r="M308" s="1" t="s">
        <v>723</v>
      </c>
      <c r="N308" s="2"/>
      <c r="O308" s="2"/>
      <c r="P308" s="2"/>
      <c r="Q308" s="2"/>
    </row>
    <row x14ac:dyDescent="0.25" r="309" customHeight="1" ht="17.25">
      <c r="A309" s="1" t="s">
        <v>3973</v>
      </c>
      <c r="B309" s="1" t="s">
        <v>725</v>
      </c>
      <c r="C309" s="1" t="s">
        <v>3974</v>
      </c>
      <c r="D309" s="1" t="s">
        <v>20</v>
      </c>
      <c r="E309" s="1" t="s">
        <v>3572</v>
      </c>
      <c r="F309" s="1" t="s">
        <v>3573</v>
      </c>
      <c r="G309" s="1" t="s">
        <v>3574</v>
      </c>
      <c r="H309" s="2"/>
      <c r="I309" s="5">
        <f>XLOOKUP(K309, pharmaceutical_index!B:B, pharmaceutical_index!A:A, "Not Found")</f>
      </c>
      <c r="J309" s="1" t="s">
        <v>725</v>
      </c>
      <c r="K309" s="1" t="s">
        <v>725</v>
      </c>
      <c r="L309" s="1" t="s">
        <v>20</v>
      </c>
      <c r="M309" s="1" t="s">
        <v>725</v>
      </c>
      <c r="N309" s="2"/>
      <c r="O309" s="2"/>
      <c r="P309" s="2"/>
      <c r="Q309" s="2"/>
    </row>
    <row x14ac:dyDescent="0.25" r="310" customHeight="1" ht="17.25">
      <c r="A310" s="1" t="s">
        <v>3975</v>
      </c>
      <c r="B310" s="1" t="s">
        <v>727</v>
      </c>
      <c r="C310" s="1" t="s">
        <v>3774</v>
      </c>
      <c r="D310" s="1" t="s">
        <v>20</v>
      </c>
      <c r="E310" s="1" t="s">
        <v>3572</v>
      </c>
      <c r="F310" s="1" t="s">
        <v>3573</v>
      </c>
      <c r="G310" s="1" t="s">
        <v>3574</v>
      </c>
      <c r="H310" s="2"/>
      <c r="I310" s="5">
        <f>XLOOKUP(K310, pharmaceutical_index!B:B, pharmaceutical_index!A:A, "Not Found")</f>
      </c>
      <c r="J310" s="1" t="s">
        <v>3976</v>
      </c>
      <c r="K310" s="1" t="s">
        <v>727</v>
      </c>
      <c r="L310" s="1" t="s">
        <v>20</v>
      </c>
      <c r="M310" s="1" t="s">
        <v>3977</v>
      </c>
      <c r="N310" s="2"/>
      <c r="O310" s="2"/>
      <c r="P310" s="2"/>
      <c r="Q310" s="2"/>
    </row>
    <row x14ac:dyDescent="0.25" r="311" customHeight="1" ht="17.25">
      <c r="A311" s="1" t="s">
        <v>3978</v>
      </c>
      <c r="B311" s="1" t="s">
        <v>729</v>
      </c>
      <c r="C311" s="1" t="s">
        <v>3576</v>
      </c>
      <c r="D311" s="1" t="s">
        <v>20</v>
      </c>
      <c r="E311" s="1" t="s">
        <v>3572</v>
      </c>
      <c r="F311" s="1" t="s">
        <v>3573</v>
      </c>
      <c r="G311" s="1" t="s">
        <v>3574</v>
      </c>
      <c r="H311" s="2"/>
      <c r="I311" s="5">
        <f>XLOOKUP(K311, pharmaceutical_index!B:B, pharmaceutical_index!A:A, "Not Found")</f>
      </c>
      <c r="J311" s="1" t="s">
        <v>3979</v>
      </c>
      <c r="K311" s="1" t="s">
        <v>729</v>
      </c>
      <c r="L311" s="1" t="s">
        <v>20</v>
      </c>
      <c r="M311" s="1" t="s">
        <v>3980</v>
      </c>
      <c r="N311" s="2"/>
      <c r="O311" s="2"/>
      <c r="P311" s="2"/>
      <c r="Q311" s="2"/>
    </row>
    <row x14ac:dyDescent="0.25" r="312" customHeight="1" ht="17.25">
      <c r="A312" s="1" t="s">
        <v>3981</v>
      </c>
      <c r="B312" s="1" t="s">
        <v>731</v>
      </c>
      <c r="C312" s="1" t="s">
        <v>3583</v>
      </c>
      <c r="D312" s="1" t="s">
        <v>20</v>
      </c>
      <c r="E312" s="1" t="s">
        <v>3572</v>
      </c>
      <c r="F312" s="1" t="s">
        <v>3573</v>
      </c>
      <c r="G312" s="1" t="s">
        <v>3574</v>
      </c>
      <c r="H312" s="2"/>
      <c r="I312" s="5">
        <f>XLOOKUP(K312, pharmaceutical_index!B:B, pharmaceutical_index!A:A, "Not Found")</f>
      </c>
      <c r="J312" s="1" t="s">
        <v>731</v>
      </c>
      <c r="K312" s="1" t="s">
        <v>731</v>
      </c>
      <c r="L312" s="1" t="s">
        <v>20</v>
      </c>
      <c r="M312" s="1" t="s">
        <v>731</v>
      </c>
      <c r="N312" s="2"/>
      <c r="O312" s="2"/>
      <c r="P312" s="2"/>
      <c r="Q312" s="2"/>
    </row>
    <row x14ac:dyDescent="0.25" r="313" customHeight="1" ht="17.25">
      <c r="A313" s="1" t="s">
        <v>3982</v>
      </c>
      <c r="B313" s="1" t="s">
        <v>733</v>
      </c>
      <c r="C313" s="1" t="s">
        <v>3571</v>
      </c>
      <c r="D313" s="1" t="s">
        <v>231</v>
      </c>
      <c r="E313" s="1" t="s">
        <v>3572</v>
      </c>
      <c r="F313" s="1" t="s">
        <v>3573</v>
      </c>
      <c r="G313" s="1" t="s">
        <v>3574</v>
      </c>
      <c r="H313" s="2"/>
      <c r="I313" s="5">
        <f>XLOOKUP(K313, pharmaceutical_index!B:B, pharmaceutical_index!A:A, "Not Found")</f>
      </c>
      <c r="J313" s="1" t="s">
        <v>733</v>
      </c>
      <c r="K313" s="1" t="s">
        <v>733</v>
      </c>
      <c r="L313" s="1" t="s">
        <v>231</v>
      </c>
      <c r="M313" s="1" t="s">
        <v>733</v>
      </c>
      <c r="N313" s="2"/>
      <c r="O313" s="2"/>
      <c r="P313" s="2"/>
      <c r="Q313" s="2"/>
    </row>
    <row x14ac:dyDescent="0.25" r="314" customHeight="1" ht="17.25">
      <c r="A314" s="1" t="s">
        <v>3983</v>
      </c>
      <c r="B314" s="1" t="s">
        <v>735</v>
      </c>
      <c r="C314" s="1" t="s">
        <v>3583</v>
      </c>
      <c r="D314" s="1" t="s">
        <v>20</v>
      </c>
      <c r="E314" s="1" t="s">
        <v>3572</v>
      </c>
      <c r="F314" s="1" t="s">
        <v>3573</v>
      </c>
      <c r="G314" s="1" t="s">
        <v>3574</v>
      </c>
      <c r="H314" s="2"/>
      <c r="I314" s="5">
        <f>XLOOKUP(K314, pharmaceutical_index!B:B, pharmaceutical_index!A:A, "Not Found")</f>
      </c>
      <c r="J314" s="1" t="s">
        <v>735</v>
      </c>
      <c r="K314" s="1" t="s">
        <v>735</v>
      </c>
      <c r="L314" s="1" t="s">
        <v>20</v>
      </c>
      <c r="M314" s="1" t="s">
        <v>735</v>
      </c>
      <c r="N314" s="2"/>
      <c r="O314" s="2"/>
      <c r="P314" s="2"/>
      <c r="Q314" s="2"/>
    </row>
    <row x14ac:dyDescent="0.25" r="315" customHeight="1" ht="17.25">
      <c r="A315" s="1" t="s">
        <v>3984</v>
      </c>
      <c r="B315" s="1" t="s">
        <v>737</v>
      </c>
      <c r="C315" s="1" t="s">
        <v>3608</v>
      </c>
      <c r="D315" s="1" t="s">
        <v>522</v>
      </c>
      <c r="E315" s="1" t="s">
        <v>3572</v>
      </c>
      <c r="F315" s="1" t="s">
        <v>3573</v>
      </c>
      <c r="G315" s="1" t="s">
        <v>3574</v>
      </c>
      <c r="H315" s="2"/>
      <c r="I315" s="5">
        <f>XLOOKUP(K315, pharmaceutical_index!B:B, pharmaceutical_index!A:A, "Not Found")</f>
      </c>
      <c r="J315" s="1" t="s">
        <v>737</v>
      </c>
      <c r="K315" s="1" t="s">
        <v>737</v>
      </c>
      <c r="L315" s="1" t="s">
        <v>522</v>
      </c>
      <c r="M315" s="1" t="s">
        <v>737</v>
      </c>
      <c r="N315" s="2"/>
      <c r="O315" s="2"/>
      <c r="P315" s="2"/>
      <c r="Q315" s="2"/>
    </row>
    <row x14ac:dyDescent="0.25" r="316" customHeight="1" ht="17.25">
      <c r="A316" s="1" t="s">
        <v>3985</v>
      </c>
      <c r="B316" s="1" t="s">
        <v>739</v>
      </c>
      <c r="C316" s="1" t="s">
        <v>3610</v>
      </c>
      <c r="D316" s="1" t="s">
        <v>191</v>
      </c>
      <c r="E316" s="1" t="s">
        <v>3572</v>
      </c>
      <c r="F316" s="1" t="s">
        <v>3573</v>
      </c>
      <c r="G316" s="1" t="s">
        <v>3574</v>
      </c>
      <c r="H316" s="2"/>
      <c r="I316" s="5">
        <f>XLOOKUP(K316, pharmaceutical_index!B:B, pharmaceutical_index!A:A, "Not Found")</f>
      </c>
      <c r="J316" s="1" t="s">
        <v>739</v>
      </c>
      <c r="K316" s="1" t="s">
        <v>739</v>
      </c>
      <c r="L316" s="1" t="s">
        <v>191</v>
      </c>
      <c r="M316" s="1" t="s">
        <v>739</v>
      </c>
      <c r="N316" s="2"/>
      <c r="O316" s="2"/>
      <c r="P316" s="2"/>
      <c r="Q316" s="2"/>
    </row>
    <row x14ac:dyDescent="0.25" r="317" customHeight="1" ht="17.25">
      <c r="A317" s="1" t="s">
        <v>3986</v>
      </c>
      <c r="B317" s="1" t="s">
        <v>741</v>
      </c>
      <c r="C317" s="1" t="s">
        <v>3587</v>
      </c>
      <c r="D317" s="1" t="s">
        <v>30</v>
      </c>
      <c r="E317" s="1" t="s">
        <v>3572</v>
      </c>
      <c r="F317" s="1" t="s">
        <v>3573</v>
      </c>
      <c r="G317" s="1" t="s">
        <v>3574</v>
      </c>
      <c r="H317" s="2"/>
      <c r="I317" s="5">
        <f>XLOOKUP(K317, pharmaceutical_index!B:B, pharmaceutical_index!A:A, "Not Found")</f>
      </c>
      <c r="J317" s="1" t="s">
        <v>741</v>
      </c>
      <c r="K317" s="1" t="s">
        <v>741</v>
      </c>
      <c r="L317" s="1" t="s">
        <v>30</v>
      </c>
      <c r="M317" s="1" t="s">
        <v>741</v>
      </c>
      <c r="N317" s="2"/>
      <c r="O317" s="2"/>
      <c r="P317" s="2"/>
      <c r="Q317" s="2"/>
    </row>
    <row x14ac:dyDescent="0.25" r="318" customHeight="1" ht="17.25">
      <c r="A318" s="1" t="s">
        <v>3987</v>
      </c>
      <c r="B318" s="1" t="s">
        <v>743</v>
      </c>
      <c r="C318" s="1" t="s">
        <v>3649</v>
      </c>
      <c r="D318" s="1" t="s">
        <v>20</v>
      </c>
      <c r="E318" s="1" t="s">
        <v>3572</v>
      </c>
      <c r="F318" s="1" t="s">
        <v>3573</v>
      </c>
      <c r="G318" s="1" t="s">
        <v>3574</v>
      </c>
      <c r="H318" s="2"/>
      <c r="I318" s="5">
        <f>XLOOKUP(K318, pharmaceutical_index!B:B, pharmaceutical_index!A:A, "Not Found")</f>
      </c>
      <c r="J318" s="1" t="s">
        <v>743</v>
      </c>
      <c r="K318" s="1" t="s">
        <v>743</v>
      </c>
      <c r="L318" s="1" t="s">
        <v>20</v>
      </c>
      <c r="M318" s="1" t="s">
        <v>743</v>
      </c>
      <c r="N318" s="2"/>
      <c r="O318" s="2"/>
      <c r="P318" s="2"/>
      <c r="Q318" s="2"/>
    </row>
    <row x14ac:dyDescent="0.25" r="319" customHeight="1" ht="17.25">
      <c r="A319" s="1" t="s">
        <v>3988</v>
      </c>
      <c r="B319" s="1" t="s">
        <v>745</v>
      </c>
      <c r="C319" s="1" t="s">
        <v>3583</v>
      </c>
      <c r="D319" s="1" t="s">
        <v>20</v>
      </c>
      <c r="E319" s="1" t="s">
        <v>3572</v>
      </c>
      <c r="F319" s="1" t="s">
        <v>3573</v>
      </c>
      <c r="G319" s="1" t="s">
        <v>3574</v>
      </c>
      <c r="H319" s="2"/>
      <c r="I319" s="5">
        <f>XLOOKUP(K319, pharmaceutical_index!B:B, pharmaceutical_index!A:A, "Not Found")</f>
      </c>
      <c r="J319" s="1" t="s">
        <v>745</v>
      </c>
      <c r="K319" s="1" t="s">
        <v>745</v>
      </c>
      <c r="L319" s="1" t="s">
        <v>20</v>
      </c>
      <c r="M319" s="1" t="s">
        <v>745</v>
      </c>
      <c r="N319" s="2"/>
      <c r="O319" s="2"/>
      <c r="P319" s="2"/>
      <c r="Q319" s="2"/>
    </row>
    <row x14ac:dyDescent="0.25" r="320" customHeight="1" ht="17.25">
      <c r="A320" s="1" t="s">
        <v>3989</v>
      </c>
      <c r="B320" s="1" t="s">
        <v>747</v>
      </c>
      <c r="C320" s="1" t="s">
        <v>3600</v>
      </c>
      <c r="D320" s="1" t="s">
        <v>162</v>
      </c>
      <c r="E320" s="1" t="s">
        <v>3572</v>
      </c>
      <c r="F320" s="1" t="s">
        <v>3573</v>
      </c>
      <c r="G320" s="1" t="s">
        <v>3574</v>
      </c>
      <c r="H320" s="2"/>
      <c r="I320" s="5">
        <f>XLOOKUP(K320, pharmaceutical_index!B:B, pharmaceutical_index!A:A, "Not Found")</f>
      </c>
      <c r="J320" s="1" t="s">
        <v>747</v>
      </c>
      <c r="K320" s="1" t="s">
        <v>747</v>
      </c>
      <c r="L320" s="1" t="s">
        <v>162</v>
      </c>
      <c r="M320" s="1" t="s">
        <v>747</v>
      </c>
      <c r="N320" s="2"/>
      <c r="O320" s="2"/>
      <c r="P320" s="2"/>
      <c r="Q320" s="2"/>
    </row>
    <row x14ac:dyDescent="0.25" r="321" customHeight="1" ht="17.25">
      <c r="A321" s="1" t="s">
        <v>3990</v>
      </c>
      <c r="B321" s="1" t="s">
        <v>749</v>
      </c>
      <c r="C321" s="1" t="s">
        <v>3991</v>
      </c>
      <c r="D321" s="1" t="s">
        <v>20</v>
      </c>
      <c r="E321" s="1" t="s">
        <v>3572</v>
      </c>
      <c r="F321" s="1" t="s">
        <v>3573</v>
      </c>
      <c r="G321" s="1" t="s">
        <v>3574</v>
      </c>
      <c r="H321" s="2"/>
      <c r="I321" s="5">
        <f>XLOOKUP(K321, pharmaceutical_index!B:B, pharmaceutical_index!A:A, "Not Found")</f>
      </c>
      <c r="J321" s="1" t="s">
        <v>749</v>
      </c>
      <c r="K321" s="1" t="s">
        <v>749</v>
      </c>
      <c r="L321" s="1" t="s">
        <v>20</v>
      </c>
      <c r="M321" s="1" t="s">
        <v>749</v>
      </c>
      <c r="N321" s="2"/>
      <c r="O321" s="2"/>
      <c r="P321" s="2"/>
      <c r="Q321" s="2"/>
    </row>
    <row x14ac:dyDescent="0.25" r="322" customHeight="1" ht="17.25">
      <c r="A322" s="1" t="s">
        <v>3992</v>
      </c>
      <c r="B322" s="1" t="s">
        <v>751</v>
      </c>
      <c r="C322" s="1" t="s">
        <v>3587</v>
      </c>
      <c r="D322" s="1" t="s">
        <v>30</v>
      </c>
      <c r="E322" s="1" t="s">
        <v>3572</v>
      </c>
      <c r="F322" s="1" t="s">
        <v>3573</v>
      </c>
      <c r="G322" s="1" t="s">
        <v>3574</v>
      </c>
      <c r="H322" s="2"/>
      <c r="I322" s="5">
        <f>XLOOKUP(K322, pharmaceutical_index!B:B, pharmaceutical_index!A:A, "Not Found")</f>
      </c>
      <c r="J322" s="1" t="s">
        <v>3993</v>
      </c>
      <c r="K322" s="1" t="s">
        <v>751</v>
      </c>
      <c r="L322" s="1" t="s">
        <v>30</v>
      </c>
      <c r="M322" s="1" t="s">
        <v>3993</v>
      </c>
      <c r="N322" s="2"/>
      <c r="O322" s="2"/>
      <c r="P322" s="2"/>
      <c r="Q322" s="2"/>
    </row>
    <row x14ac:dyDescent="0.25" r="323" customHeight="1" ht="17.25">
      <c r="A323" s="1" t="s">
        <v>3994</v>
      </c>
      <c r="B323" s="1" t="s">
        <v>753</v>
      </c>
      <c r="C323" s="1" t="s">
        <v>3665</v>
      </c>
      <c r="D323" s="1" t="s">
        <v>20</v>
      </c>
      <c r="E323" s="1" t="s">
        <v>3572</v>
      </c>
      <c r="F323" s="1" t="s">
        <v>3573</v>
      </c>
      <c r="G323" s="1" t="s">
        <v>3574</v>
      </c>
      <c r="H323" s="2"/>
      <c r="I323" s="5">
        <f>XLOOKUP(K323, pharmaceutical_index!B:B, pharmaceutical_index!A:A, "Not Found")</f>
      </c>
      <c r="J323" s="1" t="s">
        <v>753</v>
      </c>
      <c r="K323" s="1" t="s">
        <v>753</v>
      </c>
      <c r="L323" s="1" t="s">
        <v>20</v>
      </c>
      <c r="M323" s="1" t="s">
        <v>753</v>
      </c>
      <c r="N323" s="2"/>
      <c r="O323" s="2"/>
      <c r="P323" s="2"/>
      <c r="Q323" s="2"/>
    </row>
    <row x14ac:dyDescent="0.25" r="324" customHeight="1" ht="17.25">
      <c r="A324" s="1" t="s">
        <v>3995</v>
      </c>
      <c r="B324" s="1" t="s">
        <v>755</v>
      </c>
      <c r="C324" s="1" t="s">
        <v>3647</v>
      </c>
      <c r="D324" s="1" t="s">
        <v>756</v>
      </c>
      <c r="E324" s="1" t="s">
        <v>3572</v>
      </c>
      <c r="F324" s="1" t="s">
        <v>3573</v>
      </c>
      <c r="G324" s="1" t="s">
        <v>3574</v>
      </c>
      <c r="H324" s="2"/>
      <c r="I324" s="5">
        <f>XLOOKUP(K324, pharmaceutical_index!B:B, pharmaceutical_index!A:A, "Not Found")</f>
      </c>
      <c r="J324" s="1" t="s">
        <v>755</v>
      </c>
      <c r="K324" s="1" t="s">
        <v>755</v>
      </c>
      <c r="L324" s="1" t="s">
        <v>756</v>
      </c>
      <c r="M324" s="1" t="s">
        <v>755</v>
      </c>
      <c r="N324" s="2"/>
      <c r="O324" s="2"/>
      <c r="P324" s="2"/>
      <c r="Q324" s="2"/>
    </row>
    <row x14ac:dyDescent="0.25" r="325" customHeight="1" ht="17.25">
      <c r="A325" s="1" t="s">
        <v>3996</v>
      </c>
      <c r="B325" s="1" t="s">
        <v>758</v>
      </c>
      <c r="C325" s="1" t="s">
        <v>3589</v>
      </c>
      <c r="D325" s="1" t="s">
        <v>62</v>
      </c>
      <c r="E325" s="1" t="s">
        <v>3572</v>
      </c>
      <c r="F325" s="1" t="s">
        <v>3573</v>
      </c>
      <c r="G325" s="1" t="s">
        <v>3574</v>
      </c>
      <c r="H325" s="2"/>
      <c r="I325" s="5">
        <f>XLOOKUP(K325, pharmaceutical_index!B:B, pharmaceutical_index!A:A, "Not Found")</f>
      </c>
      <c r="J325" s="1" t="s">
        <v>758</v>
      </c>
      <c r="K325" s="1" t="s">
        <v>758</v>
      </c>
      <c r="L325" s="1" t="s">
        <v>62</v>
      </c>
      <c r="M325" s="1" t="s">
        <v>758</v>
      </c>
      <c r="N325" s="2"/>
      <c r="O325" s="2"/>
      <c r="P325" s="2"/>
      <c r="Q325" s="2"/>
    </row>
    <row x14ac:dyDescent="0.25" r="326" customHeight="1" ht="17.25">
      <c r="A326" s="1" t="s">
        <v>3997</v>
      </c>
      <c r="B326" s="1" t="s">
        <v>760</v>
      </c>
      <c r="C326" s="1" t="s">
        <v>3608</v>
      </c>
      <c r="D326" s="1" t="s">
        <v>482</v>
      </c>
      <c r="E326" s="1" t="s">
        <v>3572</v>
      </c>
      <c r="F326" s="1" t="s">
        <v>3573</v>
      </c>
      <c r="G326" s="1" t="s">
        <v>3574</v>
      </c>
      <c r="H326" s="2"/>
      <c r="I326" s="5">
        <f>XLOOKUP(K326, pharmaceutical_index!B:B, pharmaceutical_index!A:A, "Not Found")</f>
      </c>
      <c r="J326" s="1" t="s">
        <v>760</v>
      </c>
      <c r="K326" s="1" t="s">
        <v>760</v>
      </c>
      <c r="L326" s="1" t="s">
        <v>482</v>
      </c>
      <c r="M326" s="1" t="s">
        <v>760</v>
      </c>
      <c r="N326" s="2"/>
      <c r="O326" s="2"/>
      <c r="P326" s="2"/>
      <c r="Q326" s="2"/>
    </row>
    <row x14ac:dyDescent="0.25" r="327" customHeight="1" ht="17.25">
      <c r="A327" s="1" t="s">
        <v>3998</v>
      </c>
      <c r="B327" s="1" t="s">
        <v>762</v>
      </c>
      <c r="C327" s="1" t="s">
        <v>3576</v>
      </c>
      <c r="D327" s="1" t="s">
        <v>20</v>
      </c>
      <c r="E327" s="1" t="s">
        <v>3572</v>
      </c>
      <c r="F327" s="1" t="s">
        <v>3573</v>
      </c>
      <c r="G327" s="1" t="s">
        <v>3574</v>
      </c>
      <c r="H327" s="2"/>
      <c r="I327" s="5">
        <f>XLOOKUP(K327, pharmaceutical_index!B:B, pharmaceutical_index!A:A, "Not Found")</f>
      </c>
      <c r="J327" s="1" t="s">
        <v>762</v>
      </c>
      <c r="K327" s="1" t="s">
        <v>762</v>
      </c>
      <c r="L327" s="1" t="s">
        <v>20</v>
      </c>
      <c r="M327" s="1" t="s">
        <v>762</v>
      </c>
      <c r="N327" s="2"/>
      <c r="O327" s="2"/>
      <c r="P327" s="2"/>
      <c r="Q327" s="2"/>
    </row>
    <row x14ac:dyDescent="0.25" r="328" customHeight="1" ht="17.25">
      <c r="A328" s="1" t="s">
        <v>3999</v>
      </c>
      <c r="B328" s="1" t="s">
        <v>764</v>
      </c>
      <c r="C328" s="1" t="s">
        <v>3866</v>
      </c>
      <c r="D328" s="1" t="s">
        <v>765</v>
      </c>
      <c r="E328" s="1" t="s">
        <v>3572</v>
      </c>
      <c r="F328" s="1" t="s">
        <v>3573</v>
      </c>
      <c r="G328" s="1" t="s">
        <v>3574</v>
      </c>
      <c r="H328" s="2"/>
      <c r="I328" s="5">
        <f>XLOOKUP(K328, pharmaceutical_index!B:B, pharmaceutical_index!A:A, "Not Found")</f>
      </c>
      <c r="J328" s="1" t="s">
        <v>764</v>
      </c>
      <c r="K328" s="1" t="s">
        <v>764</v>
      </c>
      <c r="L328" s="1" t="s">
        <v>765</v>
      </c>
      <c r="M328" s="1" t="s">
        <v>764</v>
      </c>
      <c r="N328" s="2"/>
      <c r="O328" s="2"/>
      <c r="P328" s="2"/>
      <c r="Q328" s="2"/>
    </row>
    <row x14ac:dyDescent="0.25" r="329" customHeight="1" ht="17.25">
      <c r="A329" s="1" t="s">
        <v>4000</v>
      </c>
      <c r="B329" s="1" t="s">
        <v>767</v>
      </c>
      <c r="C329" s="1" t="s">
        <v>3589</v>
      </c>
      <c r="D329" s="1" t="s">
        <v>384</v>
      </c>
      <c r="E329" s="1" t="s">
        <v>3572</v>
      </c>
      <c r="F329" s="1" t="s">
        <v>3573</v>
      </c>
      <c r="G329" s="1" t="s">
        <v>3574</v>
      </c>
      <c r="H329" s="2"/>
      <c r="I329" s="5">
        <f>XLOOKUP(K329, pharmaceutical_index!B:B, pharmaceutical_index!A:A, "Not Found")</f>
      </c>
      <c r="J329" s="1" t="s">
        <v>767</v>
      </c>
      <c r="K329" s="1" t="s">
        <v>767</v>
      </c>
      <c r="L329" s="1" t="s">
        <v>384</v>
      </c>
      <c r="M329" s="1" t="s">
        <v>767</v>
      </c>
      <c r="N329" s="2"/>
      <c r="O329" s="2"/>
      <c r="P329" s="2"/>
      <c r="Q329" s="2"/>
    </row>
    <row x14ac:dyDescent="0.25" r="330" customHeight="1" ht="17.25">
      <c r="A330" s="1" t="s">
        <v>4001</v>
      </c>
      <c r="B330" s="1" t="s">
        <v>769</v>
      </c>
      <c r="C330" s="1" t="s">
        <v>3571</v>
      </c>
      <c r="D330" s="1" t="s">
        <v>770</v>
      </c>
      <c r="E330" s="1" t="s">
        <v>3572</v>
      </c>
      <c r="F330" s="1" t="s">
        <v>3573</v>
      </c>
      <c r="G330" s="1" t="s">
        <v>3574</v>
      </c>
      <c r="H330" s="2"/>
      <c r="I330" s="5">
        <f>XLOOKUP(K330, pharmaceutical_index!B:B, pharmaceutical_index!A:A, "Not Found")</f>
      </c>
      <c r="J330" s="1" t="s">
        <v>769</v>
      </c>
      <c r="K330" s="1" t="s">
        <v>769</v>
      </c>
      <c r="L330" s="1" t="s">
        <v>770</v>
      </c>
      <c r="M330" s="1" t="s">
        <v>769</v>
      </c>
      <c r="N330" s="2"/>
      <c r="O330" s="2"/>
      <c r="P330" s="2"/>
      <c r="Q330" s="2"/>
    </row>
    <row x14ac:dyDescent="0.25" r="331" customHeight="1" ht="17.25">
      <c r="A331" s="1" t="s">
        <v>4002</v>
      </c>
      <c r="B331" s="1" t="s">
        <v>772</v>
      </c>
      <c r="C331" s="1" t="s">
        <v>3608</v>
      </c>
      <c r="D331" s="1" t="s">
        <v>773</v>
      </c>
      <c r="E331" s="1" t="s">
        <v>3572</v>
      </c>
      <c r="F331" s="1" t="s">
        <v>3573</v>
      </c>
      <c r="G331" s="1" t="s">
        <v>3574</v>
      </c>
      <c r="H331" s="2"/>
      <c r="I331" s="5">
        <f>XLOOKUP(K331, pharmaceutical_index!B:B, pharmaceutical_index!A:A, "Not Found")</f>
      </c>
      <c r="J331" s="1" t="s">
        <v>772</v>
      </c>
      <c r="K331" s="1" t="s">
        <v>772</v>
      </c>
      <c r="L331" s="1" t="s">
        <v>773</v>
      </c>
      <c r="M331" s="1" t="s">
        <v>772</v>
      </c>
      <c r="N331" s="2"/>
      <c r="O331" s="2"/>
      <c r="P331" s="2"/>
      <c r="Q331" s="2"/>
    </row>
    <row x14ac:dyDescent="0.25" r="332" customHeight="1" ht="17.25">
      <c r="A332" s="1" t="s">
        <v>4003</v>
      </c>
      <c r="B332" s="1" t="s">
        <v>775</v>
      </c>
      <c r="C332" s="1" t="s">
        <v>3571</v>
      </c>
      <c r="D332" s="1" t="s">
        <v>81</v>
      </c>
      <c r="E332" s="1" t="s">
        <v>3572</v>
      </c>
      <c r="F332" s="1" t="s">
        <v>3573</v>
      </c>
      <c r="G332" s="1" t="s">
        <v>3574</v>
      </c>
      <c r="H332" s="2"/>
      <c r="I332" s="5">
        <f>XLOOKUP(K332, pharmaceutical_index!B:B, pharmaceutical_index!A:A, "Not Found")</f>
      </c>
      <c r="J332" s="1" t="s">
        <v>775</v>
      </c>
      <c r="K332" s="1" t="s">
        <v>775</v>
      </c>
      <c r="L332" s="1" t="s">
        <v>81</v>
      </c>
      <c r="M332" s="1" t="s">
        <v>775</v>
      </c>
      <c r="N332" s="2"/>
      <c r="O332" s="2"/>
      <c r="P332" s="2"/>
      <c r="Q332" s="2"/>
    </row>
    <row x14ac:dyDescent="0.25" r="333" customHeight="1" ht="17.25">
      <c r="A333" s="1" t="s">
        <v>4004</v>
      </c>
      <c r="B333" s="1" t="s">
        <v>777</v>
      </c>
      <c r="C333" s="1" t="s">
        <v>3600</v>
      </c>
      <c r="D333" s="1" t="s">
        <v>149</v>
      </c>
      <c r="E333" s="1" t="s">
        <v>3572</v>
      </c>
      <c r="F333" s="1" t="s">
        <v>3573</v>
      </c>
      <c r="G333" s="1" t="s">
        <v>3574</v>
      </c>
      <c r="H333" s="2"/>
      <c r="I333" s="5">
        <f>XLOOKUP(K333, pharmaceutical_index!B:B, pharmaceutical_index!A:A, "Not Found")</f>
      </c>
      <c r="J333" s="1" t="s">
        <v>4005</v>
      </c>
      <c r="K333" s="1" t="s">
        <v>777</v>
      </c>
      <c r="L333" s="1" t="s">
        <v>149</v>
      </c>
      <c r="M333" s="1" t="s">
        <v>4006</v>
      </c>
      <c r="N333" s="2"/>
      <c r="O333" s="2"/>
      <c r="P333" s="2"/>
      <c r="Q333" s="2"/>
    </row>
    <row x14ac:dyDescent="0.25" r="334" customHeight="1" ht="17.25">
      <c r="A334" s="1" t="s">
        <v>4007</v>
      </c>
      <c r="B334" s="1" t="s">
        <v>779</v>
      </c>
      <c r="C334" s="1" t="s">
        <v>3643</v>
      </c>
      <c r="D334" s="1" t="s">
        <v>120</v>
      </c>
      <c r="E334" s="1" t="s">
        <v>3572</v>
      </c>
      <c r="F334" s="1" t="s">
        <v>3573</v>
      </c>
      <c r="G334" s="1" t="s">
        <v>3574</v>
      </c>
      <c r="H334" s="2"/>
      <c r="I334" s="5">
        <f>XLOOKUP(K334, pharmaceutical_index!B:B, pharmaceutical_index!A:A, "Not Found")</f>
      </c>
      <c r="J334" s="1" t="s">
        <v>779</v>
      </c>
      <c r="K334" s="1" t="s">
        <v>779</v>
      </c>
      <c r="L334" s="1" t="s">
        <v>120</v>
      </c>
      <c r="M334" s="1" t="s">
        <v>779</v>
      </c>
      <c r="N334" s="2"/>
      <c r="O334" s="2"/>
      <c r="P334" s="2"/>
      <c r="Q334" s="2"/>
    </row>
    <row x14ac:dyDescent="0.25" r="335" customHeight="1" ht="17.25">
      <c r="A335" s="1" t="s">
        <v>4008</v>
      </c>
      <c r="B335" s="1" t="s">
        <v>781</v>
      </c>
      <c r="C335" s="1" t="s">
        <v>3608</v>
      </c>
      <c r="D335" s="1" t="s">
        <v>68</v>
      </c>
      <c r="E335" s="1" t="s">
        <v>3572</v>
      </c>
      <c r="F335" s="1" t="s">
        <v>3573</v>
      </c>
      <c r="G335" s="1" t="s">
        <v>3574</v>
      </c>
      <c r="H335" s="2"/>
      <c r="I335" s="5">
        <f>XLOOKUP(K335, pharmaceutical_index!B:B, pharmaceutical_index!A:A, "Not Found")</f>
      </c>
      <c r="J335" s="1" t="s">
        <v>781</v>
      </c>
      <c r="K335" s="1" t="s">
        <v>781</v>
      </c>
      <c r="L335" s="1" t="s">
        <v>68</v>
      </c>
      <c r="M335" s="1" t="s">
        <v>781</v>
      </c>
      <c r="N335" s="2"/>
      <c r="O335" s="2"/>
      <c r="P335" s="2"/>
      <c r="Q335" s="2"/>
    </row>
    <row x14ac:dyDescent="0.25" r="336" customHeight="1" ht="17.25">
      <c r="A336" s="1" t="s">
        <v>4009</v>
      </c>
      <c r="B336" s="1" t="s">
        <v>783</v>
      </c>
      <c r="C336" s="1" t="s">
        <v>3608</v>
      </c>
      <c r="D336" s="1" t="s">
        <v>784</v>
      </c>
      <c r="E336" s="1" t="s">
        <v>3572</v>
      </c>
      <c r="F336" s="1" t="s">
        <v>3573</v>
      </c>
      <c r="G336" s="1" t="s">
        <v>3574</v>
      </c>
      <c r="H336" s="2"/>
      <c r="I336" s="5">
        <f>XLOOKUP(K336, pharmaceutical_index!B:B, pharmaceutical_index!A:A, "Not Found")</f>
      </c>
      <c r="J336" s="1" t="s">
        <v>4010</v>
      </c>
      <c r="K336" s="1" t="s">
        <v>783</v>
      </c>
      <c r="L336" s="1" t="s">
        <v>784</v>
      </c>
      <c r="M336" s="1" t="s">
        <v>4011</v>
      </c>
      <c r="N336" s="2"/>
      <c r="O336" s="2"/>
      <c r="P336" s="2"/>
      <c r="Q336" s="2"/>
    </row>
    <row x14ac:dyDescent="0.25" r="337" customHeight="1" ht="17.25">
      <c r="A337" s="1" t="s">
        <v>4012</v>
      </c>
      <c r="B337" s="1" t="s">
        <v>786</v>
      </c>
      <c r="C337" s="1" t="s">
        <v>4013</v>
      </c>
      <c r="D337" s="1" t="s">
        <v>20</v>
      </c>
      <c r="E337" s="1" t="s">
        <v>3572</v>
      </c>
      <c r="F337" s="1" t="s">
        <v>3573</v>
      </c>
      <c r="G337" s="1" t="s">
        <v>3574</v>
      </c>
      <c r="H337" s="2"/>
      <c r="I337" s="5">
        <f>XLOOKUP(K337, pharmaceutical_index!B:B, pharmaceutical_index!A:A, "Not Found")</f>
      </c>
      <c r="J337" s="1" t="s">
        <v>786</v>
      </c>
      <c r="K337" s="1" t="s">
        <v>786</v>
      </c>
      <c r="L337" s="1" t="s">
        <v>20</v>
      </c>
      <c r="M337" s="1" t="s">
        <v>786</v>
      </c>
      <c r="N337" s="2"/>
      <c r="O337" s="2"/>
      <c r="P337" s="2"/>
      <c r="Q337" s="2"/>
    </row>
    <row x14ac:dyDescent="0.25" r="338" customHeight="1" ht="17.25">
      <c r="A338" s="1" t="s">
        <v>4014</v>
      </c>
      <c r="B338" s="1" t="s">
        <v>788</v>
      </c>
      <c r="C338" s="1" t="s">
        <v>3583</v>
      </c>
      <c r="D338" s="1" t="s">
        <v>20</v>
      </c>
      <c r="E338" s="1" t="s">
        <v>3572</v>
      </c>
      <c r="F338" s="1" t="s">
        <v>3573</v>
      </c>
      <c r="G338" s="1" t="s">
        <v>3574</v>
      </c>
      <c r="H338" s="2"/>
      <c r="I338" s="5">
        <f>XLOOKUP(K338, pharmaceutical_index!B:B, pharmaceutical_index!A:A, "Not Found")</f>
      </c>
      <c r="J338" s="1" t="s">
        <v>788</v>
      </c>
      <c r="K338" s="1" t="s">
        <v>788</v>
      </c>
      <c r="L338" s="1" t="s">
        <v>20</v>
      </c>
      <c r="M338" s="1" t="s">
        <v>788</v>
      </c>
      <c r="N338" s="2"/>
      <c r="O338" s="2"/>
      <c r="P338" s="2"/>
      <c r="Q338" s="2"/>
    </row>
    <row x14ac:dyDescent="0.25" r="339" customHeight="1" ht="17.25">
      <c r="A339" s="1" t="s">
        <v>4015</v>
      </c>
      <c r="B339" s="1" t="s">
        <v>790</v>
      </c>
      <c r="C339" s="1" t="s">
        <v>4016</v>
      </c>
      <c r="D339" s="1" t="s">
        <v>20</v>
      </c>
      <c r="E339" s="1" t="s">
        <v>3572</v>
      </c>
      <c r="F339" s="1" t="s">
        <v>3573</v>
      </c>
      <c r="G339" s="1" t="s">
        <v>3574</v>
      </c>
      <c r="H339" s="2"/>
      <c r="I339" s="5">
        <f>XLOOKUP(K339, pharmaceutical_index!B:B, pharmaceutical_index!A:A, "Not Found")</f>
      </c>
      <c r="J339" s="1" t="s">
        <v>790</v>
      </c>
      <c r="K339" s="1" t="s">
        <v>790</v>
      </c>
      <c r="L339" s="1" t="s">
        <v>20</v>
      </c>
      <c r="M339" s="1" t="s">
        <v>790</v>
      </c>
      <c r="N339" s="2"/>
      <c r="O339" s="2"/>
      <c r="P339" s="2"/>
      <c r="Q339" s="2"/>
    </row>
    <row x14ac:dyDescent="0.25" r="340" customHeight="1" ht="17.25">
      <c r="A340" s="1" t="s">
        <v>4017</v>
      </c>
      <c r="B340" s="1" t="s">
        <v>792</v>
      </c>
      <c r="C340" s="1" t="s">
        <v>3643</v>
      </c>
      <c r="D340" s="1" t="s">
        <v>120</v>
      </c>
      <c r="E340" s="1" t="s">
        <v>3572</v>
      </c>
      <c r="F340" s="1" t="s">
        <v>3573</v>
      </c>
      <c r="G340" s="1" t="s">
        <v>3574</v>
      </c>
      <c r="H340" s="2"/>
      <c r="I340" s="5">
        <f>XLOOKUP(K340, pharmaceutical_index!B:B, pharmaceutical_index!A:A, "Not Found")</f>
      </c>
      <c r="J340" s="1" t="s">
        <v>792</v>
      </c>
      <c r="K340" s="1" t="s">
        <v>792</v>
      </c>
      <c r="L340" s="1" t="s">
        <v>120</v>
      </c>
      <c r="M340" s="1" t="s">
        <v>792</v>
      </c>
      <c r="N340" s="2"/>
      <c r="O340" s="2"/>
      <c r="P340" s="2"/>
      <c r="Q340" s="2"/>
    </row>
    <row x14ac:dyDescent="0.25" r="341" customHeight="1" ht="17.25">
      <c r="A341" s="1" t="s">
        <v>4018</v>
      </c>
      <c r="B341" s="1" t="s">
        <v>794</v>
      </c>
      <c r="C341" s="1" t="s">
        <v>3571</v>
      </c>
      <c r="D341" s="1" t="s">
        <v>59</v>
      </c>
      <c r="E341" s="1" t="s">
        <v>3572</v>
      </c>
      <c r="F341" s="1" t="s">
        <v>3573</v>
      </c>
      <c r="G341" s="1" t="s">
        <v>3574</v>
      </c>
      <c r="H341" s="2"/>
      <c r="I341" s="5">
        <f>XLOOKUP(K341, pharmaceutical_index!B:B, pharmaceutical_index!A:A, "Not Found")</f>
      </c>
      <c r="J341" s="1" t="s">
        <v>794</v>
      </c>
      <c r="K341" s="1" t="s">
        <v>794</v>
      </c>
      <c r="L341" s="1" t="s">
        <v>59</v>
      </c>
      <c r="M341" s="1" t="s">
        <v>794</v>
      </c>
      <c r="N341" s="2"/>
      <c r="O341" s="2"/>
      <c r="P341" s="2"/>
      <c r="Q341" s="2"/>
    </row>
    <row x14ac:dyDescent="0.25" r="342" customHeight="1" ht="17.25">
      <c r="A342" s="1" t="s">
        <v>4019</v>
      </c>
      <c r="B342" s="1" t="s">
        <v>796</v>
      </c>
      <c r="C342" s="1" t="s">
        <v>3674</v>
      </c>
      <c r="D342" s="1" t="s">
        <v>20</v>
      </c>
      <c r="E342" s="1" t="s">
        <v>3572</v>
      </c>
      <c r="F342" s="1" t="s">
        <v>3573</v>
      </c>
      <c r="G342" s="1" t="s">
        <v>3574</v>
      </c>
      <c r="H342" s="2"/>
      <c r="I342" s="5">
        <f>XLOOKUP(K342, pharmaceutical_index!B:B, pharmaceutical_index!A:A, "Not Found")</f>
      </c>
      <c r="J342" s="1" t="s">
        <v>796</v>
      </c>
      <c r="K342" s="1" t="s">
        <v>796</v>
      </c>
      <c r="L342" s="1" t="s">
        <v>20</v>
      </c>
      <c r="M342" s="1" t="s">
        <v>796</v>
      </c>
      <c r="N342" s="2"/>
      <c r="O342" s="2"/>
      <c r="P342" s="2"/>
      <c r="Q342" s="2"/>
    </row>
    <row x14ac:dyDescent="0.25" r="343" customHeight="1" ht="17.25">
      <c r="A343" s="1" t="s">
        <v>4020</v>
      </c>
      <c r="B343" s="1" t="s">
        <v>798</v>
      </c>
      <c r="C343" s="1" t="s">
        <v>3600</v>
      </c>
      <c r="D343" s="1" t="s">
        <v>519</v>
      </c>
      <c r="E343" s="1" t="s">
        <v>3572</v>
      </c>
      <c r="F343" s="1" t="s">
        <v>3573</v>
      </c>
      <c r="G343" s="1" t="s">
        <v>3574</v>
      </c>
      <c r="H343" s="2"/>
      <c r="I343" s="5">
        <f>XLOOKUP(K343, pharmaceutical_index!B:B, pharmaceutical_index!A:A, "Not Found")</f>
      </c>
      <c r="J343" s="1" t="s">
        <v>798</v>
      </c>
      <c r="K343" s="1" t="s">
        <v>798</v>
      </c>
      <c r="L343" s="1" t="s">
        <v>519</v>
      </c>
      <c r="M343" s="1" t="s">
        <v>798</v>
      </c>
      <c r="N343" s="2"/>
      <c r="O343" s="2"/>
      <c r="P343" s="2"/>
      <c r="Q343" s="2"/>
    </row>
    <row x14ac:dyDescent="0.25" r="344" customHeight="1" ht="17.25">
      <c r="A344" s="1" t="s">
        <v>4021</v>
      </c>
      <c r="B344" s="1" t="s">
        <v>800</v>
      </c>
      <c r="C344" s="1" t="s">
        <v>3712</v>
      </c>
      <c r="D344" s="1" t="s">
        <v>578</v>
      </c>
      <c r="E344" s="1" t="s">
        <v>3572</v>
      </c>
      <c r="F344" s="1" t="s">
        <v>3573</v>
      </c>
      <c r="G344" s="1" t="s">
        <v>3574</v>
      </c>
      <c r="H344" s="2"/>
      <c r="I344" s="5">
        <f>XLOOKUP(K344, pharmaceutical_index!B:B, pharmaceutical_index!A:A, "Not Found")</f>
      </c>
      <c r="J344" s="1" t="s">
        <v>800</v>
      </c>
      <c r="K344" s="1" t="s">
        <v>800</v>
      </c>
      <c r="L344" s="1" t="s">
        <v>578</v>
      </c>
      <c r="M344" s="1" t="s">
        <v>800</v>
      </c>
      <c r="N344" s="2"/>
      <c r="O344" s="2"/>
      <c r="P344" s="2"/>
      <c r="Q344" s="2"/>
    </row>
    <row x14ac:dyDescent="0.25" r="345" customHeight="1" ht="17.25">
      <c r="A345" s="1" t="s">
        <v>4022</v>
      </c>
      <c r="B345" s="1" t="s">
        <v>802</v>
      </c>
      <c r="C345" s="1" t="s">
        <v>3587</v>
      </c>
      <c r="D345" s="1" t="s">
        <v>30</v>
      </c>
      <c r="E345" s="1" t="s">
        <v>3572</v>
      </c>
      <c r="F345" s="1" t="s">
        <v>3573</v>
      </c>
      <c r="G345" s="1" t="s">
        <v>3574</v>
      </c>
      <c r="H345" s="2"/>
      <c r="I345" s="5">
        <f>XLOOKUP(K345, pharmaceutical_index!B:B, pharmaceutical_index!A:A, "Not Found")</f>
      </c>
      <c r="J345" s="1" t="s">
        <v>802</v>
      </c>
      <c r="K345" s="1" t="s">
        <v>802</v>
      </c>
      <c r="L345" s="1" t="s">
        <v>30</v>
      </c>
      <c r="M345" s="1" t="s">
        <v>802</v>
      </c>
      <c r="N345" s="2"/>
      <c r="O345" s="2"/>
      <c r="P345" s="2"/>
      <c r="Q345" s="2"/>
    </row>
    <row x14ac:dyDescent="0.25" r="346" customHeight="1" ht="17.25">
      <c r="A346" s="1" t="s">
        <v>4023</v>
      </c>
      <c r="B346" s="1" t="s">
        <v>804</v>
      </c>
      <c r="C346" s="1" t="s">
        <v>3610</v>
      </c>
      <c r="D346" s="1" t="s">
        <v>191</v>
      </c>
      <c r="E346" s="1" t="s">
        <v>3572</v>
      </c>
      <c r="F346" s="1" t="s">
        <v>3573</v>
      </c>
      <c r="G346" s="1" t="s">
        <v>3574</v>
      </c>
      <c r="H346" s="2"/>
      <c r="I346" s="5">
        <f>XLOOKUP(K346, pharmaceutical_index!B:B, pharmaceutical_index!A:A, "Not Found")</f>
      </c>
      <c r="J346" s="1" t="s">
        <v>804</v>
      </c>
      <c r="K346" s="1" t="s">
        <v>804</v>
      </c>
      <c r="L346" s="1" t="s">
        <v>191</v>
      </c>
      <c r="M346" s="1" t="s">
        <v>804</v>
      </c>
      <c r="N346" s="2"/>
      <c r="O346" s="2"/>
      <c r="P346" s="2"/>
      <c r="Q346" s="2"/>
    </row>
    <row x14ac:dyDescent="0.25" r="347" customHeight="1" ht="17.25">
      <c r="A347" s="1" t="s">
        <v>4024</v>
      </c>
      <c r="B347" s="1" t="s">
        <v>806</v>
      </c>
      <c r="C347" s="1" t="s">
        <v>3597</v>
      </c>
      <c r="D347" s="1" t="s">
        <v>48</v>
      </c>
      <c r="E347" s="1" t="s">
        <v>3572</v>
      </c>
      <c r="F347" s="1" t="s">
        <v>3573</v>
      </c>
      <c r="G347" s="1" t="s">
        <v>3574</v>
      </c>
      <c r="H347" s="2"/>
      <c r="I347" s="5">
        <f>XLOOKUP(K347, pharmaceutical_index!B:B, pharmaceutical_index!A:A, "Not Found")</f>
      </c>
      <c r="J347" s="1" t="s">
        <v>806</v>
      </c>
      <c r="K347" s="1" t="s">
        <v>806</v>
      </c>
      <c r="L347" s="1" t="s">
        <v>48</v>
      </c>
      <c r="M347" s="1" t="s">
        <v>806</v>
      </c>
      <c r="N347" s="2"/>
      <c r="O347" s="2"/>
      <c r="P347" s="2"/>
      <c r="Q347" s="2"/>
    </row>
    <row x14ac:dyDescent="0.25" r="348" customHeight="1" ht="17.25">
      <c r="A348" s="1" t="s">
        <v>4025</v>
      </c>
      <c r="B348" s="1" t="s">
        <v>808</v>
      </c>
      <c r="C348" s="1" t="s">
        <v>3647</v>
      </c>
      <c r="D348" s="1" t="s">
        <v>125</v>
      </c>
      <c r="E348" s="1" t="s">
        <v>3572</v>
      </c>
      <c r="F348" s="1" t="s">
        <v>3573</v>
      </c>
      <c r="G348" s="1" t="s">
        <v>3574</v>
      </c>
      <c r="H348" s="2"/>
      <c r="I348" s="5">
        <f>XLOOKUP(K348, pharmaceutical_index!B:B, pharmaceutical_index!A:A, "Not Found")</f>
      </c>
      <c r="J348" s="1" t="s">
        <v>808</v>
      </c>
      <c r="K348" s="1" t="s">
        <v>808</v>
      </c>
      <c r="L348" s="1" t="s">
        <v>125</v>
      </c>
      <c r="M348" s="1" t="s">
        <v>808</v>
      </c>
      <c r="N348" s="2"/>
      <c r="O348" s="2"/>
      <c r="P348" s="2"/>
      <c r="Q348" s="2"/>
    </row>
    <row x14ac:dyDescent="0.25" r="349" customHeight="1" ht="17.25">
      <c r="A349" s="1" t="s">
        <v>4026</v>
      </c>
      <c r="B349" s="1" t="s">
        <v>810</v>
      </c>
      <c r="C349" s="1" t="s">
        <v>3585</v>
      </c>
      <c r="D349" s="1" t="s">
        <v>20</v>
      </c>
      <c r="E349" s="1" t="s">
        <v>3572</v>
      </c>
      <c r="F349" s="1" t="s">
        <v>3573</v>
      </c>
      <c r="G349" s="1" t="s">
        <v>3574</v>
      </c>
      <c r="H349" s="2"/>
      <c r="I349" s="5">
        <f>XLOOKUP(K349, pharmaceutical_index!B:B, pharmaceutical_index!A:A, "Not Found")</f>
      </c>
      <c r="J349" s="1" t="s">
        <v>810</v>
      </c>
      <c r="K349" s="1" t="s">
        <v>810</v>
      </c>
      <c r="L349" s="1" t="s">
        <v>20</v>
      </c>
      <c r="M349" s="1" t="s">
        <v>810</v>
      </c>
      <c r="N349" s="2"/>
      <c r="O349" s="2"/>
      <c r="P349" s="2"/>
      <c r="Q349" s="2"/>
    </row>
    <row x14ac:dyDescent="0.25" r="350" customHeight="1" ht="17.25">
      <c r="A350" s="1" t="s">
        <v>4027</v>
      </c>
      <c r="B350" s="1" t="s">
        <v>812</v>
      </c>
      <c r="C350" s="1" t="s">
        <v>3600</v>
      </c>
      <c r="D350" s="1" t="s">
        <v>20</v>
      </c>
      <c r="E350" s="1" t="s">
        <v>3572</v>
      </c>
      <c r="F350" s="1" t="s">
        <v>3573</v>
      </c>
      <c r="G350" s="1" t="s">
        <v>3574</v>
      </c>
      <c r="H350" s="2"/>
      <c r="I350" s="5">
        <f>XLOOKUP(K350, pharmaceutical_index!B:B, pharmaceutical_index!A:A, "Not Found")</f>
      </c>
      <c r="J350" s="1" t="s">
        <v>4028</v>
      </c>
      <c r="K350" s="1" t="s">
        <v>812</v>
      </c>
      <c r="L350" s="1" t="s">
        <v>20</v>
      </c>
      <c r="M350" s="1" t="s">
        <v>4029</v>
      </c>
      <c r="N350" s="2"/>
      <c r="O350" s="2"/>
      <c r="P350" s="2"/>
      <c r="Q350" s="2"/>
    </row>
    <row x14ac:dyDescent="0.25" r="351" customHeight="1" ht="17.25">
      <c r="A351" s="1" t="s">
        <v>4030</v>
      </c>
      <c r="B351" s="1" t="s">
        <v>814</v>
      </c>
      <c r="C351" s="1" t="s">
        <v>3643</v>
      </c>
      <c r="D351" s="1" t="s">
        <v>117</v>
      </c>
      <c r="E351" s="1" t="s">
        <v>3572</v>
      </c>
      <c r="F351" s="1" t="s">
        <v>3573</v>
      </c>
      <c r="G351" s="1" t="s">
        <v>3574</v>
      </c>
      <c r="H351" s="2"/>
      <c r="I351" s="5">
        <f>XLOOKUP(K351, pharmaceutical_index!B:B, pharmaceutical_index!A:A, "Not Found")</f>
      </c>
      <c r="J351" s="1" t="s">
        <v>814</v>
      </c>
      <c r="K351" s="1" t="s">
        <v>814</v>
      </c>
      <c r="L351" s="1" t="s">
        <v>117</v>
      </c>
      <c r="M351" s="1" t="s">
        <v>814</v>
      </c>
      <c r="N351" s="2"/>
      <c r="O351" s="2"/>
      <c r="P351" s="2"/>
      <c r="Q351" s="2"/>
    </row>
    <row x14ac:dyDescent="0.25" r="352" customHeight="1" ht="17.25">
      <c r="A352" s="1" t="s">
        <v>4031</v>
      </c>
      <c r="B352" s="1" t="s">
        <v>816</v>
      </c>
      <c r="C352" s="1" t="s">
        <v>3674</v>
      </c>
      <c r="D352" s="1" t="s">
        <v>20</v>
      </c>
      <c r="E352" s="1" t="s">
        <v>3572</v>
      </c>
      <c r="F352" s="1" t="s">
        <v>3573</v>
      </c>
      <c r="G352" s="1" t="s">
        <v>3574</v>
      </c>
      <c r="H352" s="1" t="s">
        <v>3853</v>
      </c>
      <c r="I352" s="5">
        <f>XLOOKUP(K352, pharmaceutical_index!B:B, pharmaceutical_index!A:A, "Not Found")</f>
      </c>
      <c r="J352" s="1" t="s">
        <v>816</v>
      </c>
      <c r="K352" s="1" t="s">
        <v>816</v>
      </c>
      <c r="L352" s="1" t="s">
        <v>20</v>
      </c>
      <c r="M352" s="1" t="s">
        <v>816</v>
      </c>
      <c r="N352" s="2"/>
      <c r="O352" s="2"/>
      <c r="P352" s="2"/>
      <c r="Q352" s="2"/>
    </row>
    <row x14ac:dyDescent="0.25" r="353" customHeight="1" ht="17.25">
      <c r="A353" s="1" t="s">
        <v>4032</v>
      </c>
      <c r="B353" s="1" t="s">
        <v>818</v>
      </c>
      <c r="C353" s="1" t="s">
        <v>3589</v>
      </c>
      <c r="D353" s="1" t="s">
        <v>62</v>
      </c>
      <c r="E353" s="1" t="s">
        <v>3572</v>
      </c>
      <c r="F353" s="1" t="s">
        <v>3573</v>
      </c>
      <c r="G353" s="1" t="s">
        <v>3574</v>
      </c>
      <c r="H353" s="2"/>
      <c r="I353" s="5">
        <f>XLOOKUP(K353, pharmaceutical_index!B:B, pharmaceutical_index!A:A, "Not Found")</f>
      </c>
      <c r="J353" s="1" t="s">
        <v>818</v>
      </c>
      <c r="K353" s="1" t="s">
        <v>818</v>
      </c>
      <c r="L353" s="1" t="s">
        <v>62</v>
      </c>
      <c r="M353" s="1" t="s">
        <v>818</v>
      </c>
      <c r="N353" s="2"/>
      <c r="O353" s="2"/>
      <c r="P353" s="2"/>
      <c r="Q353" s="2"/>
    </row>
    <row x14ac:dyDescent="0.25" r="354" customHeight="1" ht="17.25">
      <c r="A354" s="1" t="s">
        <v>4033</v>
      </c>
      <c r="B354" s="1" t="s">
        <v>820</v>
      </c>
      <c r="C354" s="1" t="s">
        <v>3571</v>
      </c>
      <c r="D354" s="1" t="s">
        <v>422</v>
      </c>
      <c r="E354" s="1" t="s">
        <v>3572</v>
      </c>
      <c r="F354" s="1" t="s">
        <v>3573</v>
      </c>
      <c r="G354" s="1" t="s">
        <v>3574</v>
      </c>
      <c r="H354" s="2"/>
      <c r="I354" s="5">
        <f>XLOOKUP(K354, pharmaceutical_index!B:B, pharmaceutical_index!A:A, "Not Found")</f>
      </c>
      <c r="J354" s="1" t="s">
        <v>820</v>
      </c>
      <c r="K354" s="1" t="s">
        <v>820</v>
      </c>
      <c r="L354" s="1" t="s">
        <v>422</v>
      </c>
      <c r="M354" s="1" t="s">
        <v>820</v>
      </c>
      <c r="N354" s="2"/>
      <c r="O354" s="2"/>
      <c r="P354" s="2"/>
      <c r="Q354" s="2"/>
    </row>
    <row x14ac:dyDescent="0.25" r="355" customHeight="1" ht="17.25">
      <c r="A355" s="1" t="s">
        <v>4034</v>
      </c>
      <c r="B355" s="1" t="s">
        <v>822</v>
      </c>
      <c r="C355" s="1" t="s">
        <v>3589</v>
      </c>
      <c r="D355" s="1" t="s">
        <v>62</v>
      </c>
      <c r="E355" s="1" t="s">
        <v>3572</v>
      </c>
      <c r="F355" s="1" t="s">
        <v>3573</v>
      </c>
      <c r="G355" s="1" t="s">
        <v>3574</v>
      </c>
      <c r="H355" s="2"/>
      <c r="I355" s="5">
        <f>XLOOKUP(K355, pharmaceutical_index!B:B, pharmaceutical_index!A:A, "Not Found")</f>
      </c>
      <c r="J355" s="1" t="s">
        <v>822</v>
      </c>
      <c r="K355" s="1" t="s">
        <v>822</v>
      </c>
      <c r="L355" s="1" t="s">
        <v>62</v>
      </c>
      <c r="M355" s="1" t="s">
        <v>822</v>
      </c>
      <c r="N355" s="2"/>
      <c r="O355" s="2"/>
      <c r="P355" s="2"/>
      <c r="Q355" s="2"/>
    </row>
    <row x14ac:dyDescent="0.25" r="356" customHeight="1" ht="17.25">
      <c r="A356" s="1" t="s">
        <v>4035</v>
      </c>
      <c r="B356" s="1" t="s">
        <v>824</v>
      </c>
      <c r="C356" s="1" t="s">
        <v>3571</v>
      </c>
      <c r="D356" s="1" t="s">
        <v>76</v>
      </c>
      <c r="E356" s="1" t="s">
        <v>3572</v>
      </c>
      <c r="F356" s="1" t="s">
        <v>3573</v>
      </c>
      <c r="G356" s="1" t="s">
        <v>3574</v>
      </c>
      <c r="H356" s="2"/>
      <c r="I356" s="5">
        <f>XLOOKUP(K356, pharmaceutical_index!B:B, pharmaceutical_index!A:A, "Not Found")</f>
      </c>
      <c r="J356" s="1" t="s">
        <v>824</v>
      </c>
      <c r="K356" s="1" t="s">
        <v>824</v>
      </c>
      <c r="L356" s="1" t="s">
        <v>76</v>
      </c>
      <c r="M356" s="1" t="s">
        <v>824</v>
      </c>
      <c r="N356" s="2"/>
      <c r="O356" s="2"/>
      <c r="P356" s="2"/>
      <c r="Q356" s="2"/>
    </row>
    <row x14ac:dyDescent="0.25" r="357" customHeight="1" ht="17.25">
      <c r="A357" s="1" t="s">
        <v>4036</v>
      </c>
      <c r="B357" s="1" t="s">
        <v>826</v>
      </c>
      <c r="C357" s="1" t="s">
        <v>3643</v>
      </c>
      <c r="D357" s="1" t="s">
        <v>545</v>
      </c>
      <c r="E357" s="1" t="s">
        <v>3572</v>
      </c>
      <c r="F357" s="1" t="s">
        <v>3573</v>
      </c>
      <c r="G357" s="1" t="s">
        <v>3574</v>
      </c>
      <c r="H357" s="2"/>
      <c r="I357" s="5">
        <f>XLOOKUP(K357, pharmaceutical_index!B:B, pharmaceutical_index!A:A, "Not Found")</f>
      </c>
      <c r="J357" s="1" t="s">
        <v>826</v>
      </c>
      <c r="K357" s="1" t="s">
        <v>826</v>
      </c>
      <c r="L357" s="1" t="s">
        <v>545</v>
      </c>
      <c r="M357" s="1" t="s">
        <v>826</v>
      </c>
      <c r="N357" s="2"/>
      <c r="O357" s="2"/>
      <c r="P357" s="2"/>
      <c r="Q357" s="2"/>
    </row>
    <row x14ac:dyDescent="0.25" r="358" customHeight="1" ht="17.25">
      <c r="A358" s="1" t="s">
        <v>4037</v>
      </c>
      <c r="B358" s="1" t="s">
        <v>828</v>
      </c>
      <c r="C358" s="1" t="s">
        <v>3571</v>
      </c>
      <c r="D358" s="1" t="s">
        <v>81</v>
      </c>
      <c r="E358" s="1" t="s">
        <v>3572</v>
      </c>
      <c r="F358" s="1" t="s">
        <v>3573</v>
      </c>
      <c r="G358" s="1" t="s">
        <v>3574</v>
      </c>
      <c r="H358" s="2"/>
      <c r="I358" s="5">
        <f>XLOOKUP(K358, pharmaceutical_index!B:B, pharmaceutical_index!A:A, "Not Found")</f>
      </c>
      <c r="J358" s="1" t="s">
        <v>828</v>
      </c>
      <c r="K358" s="1" t="s">
        <v>828</v>
      </c>
      <c r="L358" s="1" t="s">
        <v>81</v>
      </c>
      <c r="M358" s="1" t="s">
        <v>828</v>
      </c>
      <c r="N358" s="2"/>
      <c r="O358" s="2"/>
      <c r="P358" s="2"/>
      <c r="Q358" s="2"/>
    </row>
    <row x14ac:dyDescent="0.25" r="359" customHeight="1" ht="17.25">
      <c r="A359" s="1" t="s">
        <v>4038</v>
      </c>
      <c r="B359" s="1" t="s">
        <v>830</v>
      </c>
      <c r="C359" s="1" t="s">
        <v>3608</v>
      </c>
      <c r="D359" s="1" t="s">
        <v>831</v>
      </c>
      <c r="E359" s="1" t="s">
        <v>3572</v>
      </c>
      <c r="F359" s="1" t="s">
        <v>3573</v>
      </c>
      <c r="G359" s="1" t="s">
        <v>3574</v>
      </c>
      <c r="H359" s="2"/>
      <c r="I359" s="5">
        <f>XLOOKUP(K359, pharmaceutical_index!B:B, pharmaceutical_index!A:A, "Not Found")</f>
      </c>
      <c r="J359" s="1" t="s">
        <v>830</v>
      </c>
      <c r="K359" s="1" t="s">
        <v>830</v>
      </c>
      <c r="L359" s="1" t="s">
        <v>831</v>
      </c>
      <c r="M359" s="1" t="s">
        <v>830</v>
      </c>
      <c r="N359" s="2"/>
      <c r="O359" s="2"/>
      <c r="P359" s="2"/>
      <c r="Q359" s="2"/>
    </row>
    <row x14ac:dyDescent="0.25" r="360" customHeight="1" ht="17.25">
      <c r="A360" s="1" t="s">
        <v>4039</v>
      </c>
      <c r="B360" s="1" t="s">
        <v>833</v>
      </c>
      <c r="C360" s="1" t="s">
        <v>3647</v>
      </c>
      <c r="D360" s="1" t="s">
        <v>834</v>
      </c>
      <c r="E360" s="1" t="s">
        <v>3572</v>
      </c>
      <c r="F360" s="1" t="s">
        <v>3573</v>
      </c>
      <c r="G360" s="1" t="s">
        <v>3574</v>
      </c>
      <c r="H360" s="2"/>
      <c r="I360" s="5">
        <f>XLOOKUP(K360, pharmaceutical_index!B:B, pharmaceutical_index!A:A, "Not Found")</f>
      </c>
      <c r="J360" s="1" t="s">
        <v>833</v>
      </c>
      <c r="K360" s="1" t="s">
        <v>833</v>
      </c>
      <c r="L360" s="1" t="s">
        <v>834</v>
      </c>
      <c r="M360" s="1" t="s">
        <v>833</v>
      </c>
      <c r="N360" s="2"/>
      <c r="O360" s="2"/>
      <c r="P360" s="2"/>
      <c r="Q360" s="2"/>
    </row>
    <row x14ac:dyDescent="0.25" r="361" customHeight="1" ht="17.25">
      <c r="A361" s="1" t="s">
        <v>4040</v>
      </c>
      <c r="B361" s="1" t="s">
        <v>836</v>
      </c>
      <c r="C361" s="1" t="s">
        <v>3866</v>
      </c>
      <c r="D361" s="1" t="s">
        <v>837</v>
      </c>
      <c r="E361" s="1" t="s">
        <v>3572</v>
      </c>
      <c r="F361" s="1" t="s">
        <v>3573</v>
      </c>
      <c r="G361" s="1" t="s">
        <v>3574</v>
      </c>
      <c r="H361" s="2"/>
      <c r="I361" s="5">
        <f>XLOOKUP(K361, pharmaceutical_index!B:B, pharmaceutical_index!A:A, "Not Found")</f>
      </c>
      <c r="J361" s="1" t="s">
        <v>836</v>
      </c>
      <c r="K361" s="1" t="s">
        <v>836</v>
      </c>
      <c r="L361" s="1" t="s">
        <v>837</v>
      </c>
      <c r="M361" s="1" t="s">
        <v>836</v>
      </c>
      <c r="N361" s="2"/>
      <c r="O361" s="2"/>
      <c r="P361" s="2"/>
      <c r="Q361" s="2"/>
    </row>
    <row x14ac:dyDescent="0.25" r="362" customHeight="1" ht="17.25">
      <c r="A362" s="1" t="s">
        <v>4041</v>
      </c>
      <c r="B362" s="1" t="s">
        <v>839</v>
      </c>
      <c r="C362" s="1" t="s">
        <v>3583</v>
      </c>
      <c r="D362" s="1" t="s">
        <v>20</v>
      </c>
      <c r="E362" s="1" t="s">
        <v>3572</v>
      </c>
      <c r="F362" s="1" t="s">
        <v>3573</v>
      </c>
      <c r="G362" s="1" t="s">
        <v>3574</v>
      </c>
      <c r="H362" s="2"/>
      <c r="I362" s="5">
        <f>XLOOKUP(K362, pharmaceutical_index!B:B, pharmaceutical_index!A:A, "Not Found")</f>
      </c>
      <c r="J362" s="1" t="s">
        <v>839</v>
      </c>
      <c r="K362" s="1" t="s">
        <v>839</v>
      </c>
      <c r="L362" s="1" t="s">
        <v>20</v>
      </c>
      <c r="M362" s="1" t="s">
        <v>839</v>
      </c>
      <c r="N362" s="2"/>
      <c r="O362" s="2"/>
      <c r="P362" s="2"/>
      <c r="Q362" s="2"/>
    </row>
    <row x14ac:dyDescent="0.25" r="363" customHeight="1" ht="17.25">
      <c r="A363" s="1" t="s">
        <v>4042</v>
      </c>
      <c r="B363" s="1" t="s">
        <v>841</v>
      </c>
      <c r="C363" s="1" t="s">
        <v>3571</v>
      </c>
      <c r="D363" s="1" t="s">
        <v>711</v>
      </c>
      <c r="E363" s="1" t="s">
        <v>3572</v>
      </c>
      <c r="F363" s="1" t="s">
        <v>3573</v>
      </c>
      <c r="G363" s="1" t="s">
        <v>3574</v>
      </c>
      <c r="H363" s="2"/>
      <c r="I363" s="5">
        <f>XLOOKUP(K363, pharmaceutical_index!B:B, pharmaceutical_index!A:A, "Not Found")</f>
      </c>
      <c r="J363" s="1" t="s">
        <v>841</v>
      </c>
      <c r="K363" s="1" t="s">
        <v>841</v>
      </c>
      <c r="L363" s="1" t="s">
        <v>711</v>
      </c>
      <c r="M363" s="1" t="s">
        <v>841</v>
      </c>
      <c r="N363" s="2"/>
      <c r="O363" s="2"/>
      <c r="P363" s="2"/>
      <c r="Q363" s="2"/>
    </row>
    <row x14ac:dyDescent="0.25" r="364" customHeight="1" ht="17.25">
      <c r="A364" s="1" t="s">
        <v>4043</v>
      </c>
      <c r="B364" s="1" t="s">
        <v>843</v>
      </c>
      <c r="C364" s="1" t="s">
        <v>3610</v>
      </c>
      <c r="D364" s="1" t="s">
        <v>573</v>
      </c>
      <c r="E364" s="1" t="s">
        <v>3572</v>
      </c>
      <c r="F364" s="1" t="s">
        <v>3573</v>
      </c>
      <c r="G364" s="1" t="s">
        <v>3574</v>
      </c>
      <c r="H364" s="2"/>
      <c r="I364" s="5">
        <f>XLOOKUP(K364, pharmaceutical_index!B:B, pharmaceutical_index!A:A, "Not Found")</f>
      </c>
      <c r="J364" s="1" t="s">
        <v>843</v>
      </c>
      <c r="K364" s="1" t="s">
        <v>843</v>
      </c>
      <c r="L364" s="1" t="s">
        <v>573</v>
      </c>
      <c r="M364" s="1" t="s">
        <v>843</v>
      </c>
      <c r="N364" s="2"/>
      <c r="O364" s="2"/>
      <c r="P364" s="2"/>
      <c r="Q364" s="2"/>
    </row>
    <row x14ac:dyDescent="0.25" r="365" customHeight="1" ht="17.25">
      <c r="A365" s="1" t="s">
        <v>4044</v>
      </c>
      <c r="B365" s="1" t="s">
        <v>845</v>
      </c>
      <c r="C365" s="1" t="s">
        <v>3643</v>
      </c>
      <c r="D365" s="1" t="s">
        <v>545</v>
      </c>
      <c r="E365" s="1" t="s">
        <v>3572</v>
      </c>
      <c r="F365" s="1" t="s">
        <v>3573</v>
      </c>
      <c r="G365" s="1" t="s">
        <v>3574</v>
      </c>
      <c r="H365" s="2"/>
      <c r="I365" s="5">
        <f>XLOOKUP(K365, pharmaceutical_index!B:B, pharmaceutical_index!A:A, "Not Found")</f>
      </c>
      <c r="J365" s="1" t="s">
        <v>845</v>
      </c>
      <c r="K365" s="1" t="s">
        <v>845</v>
      </c>
      <c r="L365" s="1" t="s">
        <v>545</v>
      </c>
      <c r="M365" s="1" t="s">
        <v>845</v>
      </c>
      <c r="N365" s="2"/>
      <c r="O365" s="2"/>
      <c r="P365" s="2"/>
      <c r="Q365" s="2"/>
    </row>
    <row x14ac:dyDescent="0.25" r="366" customHeight="1" ht="17.25">
      <c r="A366" s="1" t="s">
        <v>4045</v>
      </c>
      <c r="B366" s="1" t="s">
        <v>847</v>
      </c>
      <c r="C366" s="1" t="s">
        <v>3608</v>
      </c>
      <c r="D366" s="1" t="s">
        <v>216</v>
      </c>
      <c r="E366" s="1" t="s">
        <v>3572</v>
      </c>
      <c r="F366" s="1" t="s">
        <v>3573</v>
      </c>
      <c r="G366" s="1" t="s">
        <v>3574</v>
      </c>
      <c r="H366" s="2"/>
      <c r="I366" s="5">
        <f>XLOOKUP(K366, pharmaceutical_index!B:B, pharmaceutical_index!A:A, "Not Found")</f>
      </c>
      <c r="J366" s="1" t="s">
        <v>847</v>
      </c>
      <c r="K366" s="1" t="s">
        <v>847</v>
      </c>
      <c r="L366" s="1" t="s">
        <v>216</v>
      </c>
      <c r="M366" s="1" t="s">
        <v>847</v>
      </c>
      <c r="N366" s="2"/>
      <c r="O366" s="2"/>
      <c r="P366" s="2"/>
      <c r="Q366" s="2"/>
    </row>
    <row x14ac:dyDescent="0.25" r="367" customHeight="1" ht="17.25">
      <c r="A367" s="1" t="s">
        <v>4046</v>
      </c>
      <c r="B367" s="1" t="s">
        <v>849</v>
      </c>
      <c r="C367" s="1" t="s">
        <v>3571</v>
      </c>
      <c r="D367" s="1" t="s">
        <v>453</v>
      </c>
      <c r="E367" s="1" t="s">
        <v>3572</v>
      </c>
      <c r="F367" s="1" t="s">
        <v>3573</v>
      </c>
      <c r="G367" s="1" t="s">
        <v>3574</v>
      </c>
      <c r="H367" s="2"/>
      <c r="I367" s="5">
        <f>XLOOKUP(K367, pharmaceutical_index!B:B, pharmaceutical_index!A:A, "Not Found")</f>
      </c>
      <c r="J367" s="1" t="s">
        <v>849</v>
      </c>
      <c r="K367" s="1" t="s">
        <v>849</v>
      </c>
      <c r="L367" s="1" t="s">
        <v>453</v>
      </c>
      <c r="M367" s="1" t="s">
        <v>849</v>
      </c>
      <c r="N367" s="2"/>
      <c r="O367" s="2"/>
      <c r="P367" s="2"/>
      <c r="Q367" s="2"/>
    </row>
    <row x14ac:dyDescent="0.25" r="368" customHeight="1" ht="17.25">
      <c r="A368" s="1" t="s">
        <v>4047</v>
      </c>
      <c r="B368" s="1" t="s">
        <v>851</v>
      </c>
      <c r="C368" s="1" t="s">
        <v>3583</v>
      </c>
      <c r="D368" s="1" t="s">
        <v>20</v>
      </c>
      <c r="E368" s="1" t="s">
        <v>3572</v>
      </c>
      <c r="F368" s="1" t="s">
        <v>3573</v>
      </c>
      <c r="G368" s="1" t="s">
        <v>3574</v>
      </c>
      <c r="H368" s="2"/>
      <c r="I368" s="5">
        <f>XLOOKUP(K368, pharmaceutical_index!B:B, pharmaceutical_index!A:A, "Not Found")</f>
      </c>
      <c r="J368" s="1" t="s">
        <v>851</v>
      </c>
      <c r="K368" s="1" t="s">
        <v>851</v>
      </c>
      <c r="L368" s="1" t="s">
        <v>20</v>
      </c>
      <c r="M368" s="1" t="s">
        <v>851</v>
      </c>
      <c r="N368" s="2"/>
      <c r="O368" s="2"/>
      <c r="P368" s="2"/>
      <c r="Q368" s="2"/>
    </row>
    <row x14ac:dyDescent="0.25" r="369" customHeight="1" ht="17.25">
      <c r="A369" s="1" t="s">
        <v>4048</v>
      </c>
      <c r="B369" s="1" t="s">
        <v>853</v>
      </c>
      <c r="C369" s="1" t="s">
        <v>3643</v>
      </c>
      <c r="D369" s="1" t="s">
        <v>117</v>
      </c>
      <c r="E369" s="1" t="s">
        <v>3572</v>
      </c>
      <c r="F369" s="1" t="s">
        <v>3573</v>
      </c>
      <c r="G369" s="1" t="s">
        <v>3574</v>
      </c>
      <c r="H369" s="2"/>
      <c r="I369" s="5">
        <f>XLOOKUP(K369, pharmaceutical_index!B:B, pharmaceutical_index!A:A, "Not Found")</f>
      </c>
      <c r="J369" s="1" t="s">
        <v>853</v>
      </c>
      <c r="K369" s="1" t="s">
        <v>853</v>
      </c>
      <c r="L369" s="1" t="s">
        <v>117</v>
      </c>
      <c r="M369" s="1" t="s">
        <v>853</v>
      </c>
      <c r="N369" s="2"/>
      <c r="O369" s="2"/>
      <c r="P369" s="2"/>
      <c r="Q369" s="2"/>
    </row>
    <row x14ac:dyDescent="0.25" r="370" customHeight="1" ht="17.25">
      <c r="A370" s="1" t="s">
        <v>4049</v>
      </c>
      <c r="B370" s="1" t="s">
        <v>855</v>
      </c>
      <c r="C370" s="1" t="s">
        <v>3674</v>
      </c>
      <c r="D370" s="1" t="s">
        <v>20</v>
      </c>
      <c r="E370" s="1" t="s">
        <v>3572</v>
      </c>
      <c r="F370" s="1" t="s">
        <v>3573</v>
      </c>
      <c r="G370" s="1" t="s">
        <v>3574</v>
      </c>
      <c r="H370" s="1" t="s">
        <v>3853</v>
      </c>
      <c r="I370" s="5">
        <f>XLOOKUP(K370, pharmaceutical_index!B:B, pharmaceutical_index!A:A, "Not Found")</f>
      </c>
      <c r="J370" s="1" t="s">
        <v>855</v>
      </c>
      <c r="K370" s="1" t="s">
        <v>855</v>
      </c>
      <c r="L370" s="1" t="s">
        <v>20</v>
      </c>
      <c r="M370" s="1" t="s">
        <v>855</v>
      </c>
      <c r="N370" s="2"/>
      <c r="O370" s="2"/>
      <c r="P370" s="2"/>
      <c r="Q370" s="2"/>
    </row>
    <row x14ac:dyDescent="0.25" r="371" customHeight="1" ht="17.25">
      <c r="A371" s="1" t="s">
        <v>4050</v>
      </c>
      <c r="B371" s="1" t="s">
        <v>857</v>
      </c>
      <c r="C371" s="1" t="s">
        <v>3821</v>
      </c>
      <c r="D371" s="1" t="s">
        <v>440</v>
      </c>
      <c r="E371" s="1" t="s">
        <v>3572</v>
      </c>
      <c r="F371" s="1" t="s">
        <v>3573</v>
      </c>
      <c r="G371" s="1" t="s">
        <v>3574</v>
      </c>
      <c r="H371" s="2"/>
      <c r="I371" s="5">
        <f>XLOOKUP(K371, pharmaceutical_index!B:B, pharmaceutical_index!A:A, "Not Found")</f>
      </c>
      <c r="J371" s="1" t="s">
        <v>857</v>
      </c>
      <c r="K371" s="1" t="s">
        <v>857</v>
      </c>
      <c r="L371" s="1" t="s">
        <v>440</v>
      </c>
      <c r="M371" s="1" t="s">
        <v>857</v>
      </c>
      <c r="N371" s="2"/>
      <c r="O371" s="2"/>
      <c r="P371" s="2"/>
      <c r="Q371" s="2"/>
    </row>
    <row x14ac:dyDescent="0.25" r="372" customHeight="1" ht="17.25">
      <c r="A372" s="1" t="s">
        <v>4051</v>
      </c>
      <c r="B372" s="1" t="s">
        <v>859</v>
      </c>
      <c r="C372" s="1" t="s">
        <v>4052</v>
      </c>
      <c r="D372" s="1" t="s">
        <v>20</v>
      </c>
      <c r="E372" s="1" t="s">
        <v>3572</v>
      </c>
      <c r="F372" s="1" t="s">
        <v>3573</v>
      </c>
      <c r="G372" s="1" t="s">
        <v>3574</v>
      </c>
      <c r="H372" s="2"/>
      <c r="I372" s="5">
        <f>XLOOKUP(K372, pharmaceutical_index!B:B, pharmaceutical_index!A:A, "Not Found")</f>
      </c>
      <c r="J372" s="1" t="s">
        <v>859</v>
      </c>
      <c r="K372" s="1" t="s">
        <v>859</v>
      </c>
      <c r="L372" s="1" t="s">
        <v>20</v>
      </c>
      <c r="M372" s="1" t="s">
        <v>859</v>
      </c>
      <c r="N372" s="2"/>
      <c r="O372" s="2"/>
      <c r="P372" s="2"/>
      <c r="Q372" s="2"/>
    </row>
    <row x14ac:dyDescent="0.25" r="373" customHeight="1" ht="17.25">
      <c r="A373" s="1" t="s">
        <v>4053</v>
      </c>
      <c r="B373" s="1" t="s">
        <v>861</v>
      </c>
      <c r="C373" s="1" t="s">
        <v>3571</v>
      </c>
      <c r="D373" s="1" t="s">
        <v>862</v>
      </c>
      <c r="E373" s="1" t="s">
        <v>3572</v>
      </c>
      <c r="F373" s="1" t="s">
        <v>3573</v>
      </c>
      <c r="G373" s="1" t="s">
        <v>3574</v>
      </c>
      <c r="H373" s="2"/>
      <c r="I373" s="5">
        <f>XLOOKUP(K373, pharmaceutical_index!B:B, pharmaceutical_index!A:A, "Not Found")</f>
      </c>
      <c r="J373" s="1" t="s">
        <v>861</v>
      </c>
      <c r="K373" s="1" t="s">
        <v>861</v>
      </c>
      <c r="L373" s="1" t="s">
        <v>862</v>
      </c>
      <c r="M373" s="1" t="s">
        <v>861</v>
      </c>
      <c r="N373" s="2"/>
      <c r="O373" s="2"/>
      <c r="P373" s="2"/>
      <c r="Q373" s="2"/>
    </row>
    <row x14ac:dyDescent="0.25" r="374" customHeight="1" ht="17.25">
      <c r="A374" s="1" t="s">
        <v>4054</v>
      </c>
      <c r="B374" s="1" t="s">
        <v>864</v>
      </c>
      <c r="C374" s="1" t="s">
        <v>3866</v>
      </c>
      <c r="D374" s="1" t="s">
        <v>557</v>
      </c>
      <c r="E374" s="1" t="s">
        <v>3572</v>
      </c>
      <c r="F374" s="1" t="s">
        <v>3573</v>
      </c>
      <c r="G374" s="1" t="s">
        <v>3574</v>
      </c>
      <c r="H374" s="2"/>
      <c r="I374" s="5">
        <f>XLOOKUP(K374, pharmaceutical_index!B:B, pharmaceutical_index!A:A, "Not Found")</f>
      </c>
      <c r="J374" s="1" t="s">
        <v>864</v>
      </c>
      <c r="K374" s="1" t="s">
        <v>864</v>
      </c>
      <c r="L374" s="1" t="s">
        <v>557</v>
      </c>
      <c r="M374" s="1" t="s">
        <v>864</v>
      </c>
      <c r="N374" s="2"/>
      <c r="O374" s="2"/>
      <c r="P374" s="2"/>
      <c r="Q374" s="2"/>
    </row>
    <row x14ac:dyDescent="0.25" r="375" customHeight="1" ht="17.25">
      <c r="A375" s="1" t="s">
        <v>4055</v>
      </c>
      <c r="B375" s="1" t="s">
        <v>866</v>
      </c>
      <c r="C375" s="1" t="s">
        <v>3571</v>
      </c>
      <c r="D375" s="1" t="s">
        <v>867</v>
      </c>
      <c r="E375" s="1" t="s">
        <v>3572</v>
      </c>
      <c r="F375" s="1" t="s">
        <v>3573</v>
      </c>
      <c r="G375" s="1" t="s">
        <v>3574</v>
      </c>
      <c r="H375" s="2"/>
      <c r="I375" s="5">
        <f>XLOOKUP(K375, pharmaceutical_index!B:B, pharmaceutical_index!A:A, "Not Found")</f>
      </c>
      <c r="J375" s="1" t="s">
        <v>866</v>
      </c>
      <c r="K375" s="1" t="s">
        <v>866</v>
      </c>
      <c r="L375" s="1" t="s">
        <v>867</v>
      </c>
      <c r="M375" s="1" t="s">
        <v>866</v>
      </c>
      <c r="N375" s="2"/>
      <c r="O375" s="2"/>
      <c r="P375" s="2"/>
      <c r="Q375" s="2"/>
    </row>
    <row x14ac:dyDescent="0.25" r="376" customHeight="1" ht="17.25">
      <c r="A376" s="1" t="s">
        <v>4056</v>
      </c>
      <c r="B376" s="1" t="s">
        <v>869</v>
      </c>
      <c r="C376" s="1" t="s">
        <v>3597</v>
      </c>
      <c r="D376" s="1" t="s">
        <v>378</v>
      </c>
      <c r="E376" s="1" t="s">
        <v>3572</v>
      </c>
      <c r="F376" s="1" t="s">
        <v>3573</v>
      </c>
      <c r="G376" s="1" t="s">
        <v>3574</v>
      </c>
      <c r="H376" s="2"/>
      <c r="I376" s="5">
        <f>XLOOKUP(K376, pharmaceutical_index!B:B, pharmaceutical_index!A:A, "Not Found")</f>
      </c>
      <c r="J376" s="1" t="s">
        <v>869</v>
      </c>
      <c r="K376" s="1" t="s">
        <v>869</v>
      </c>
      <c r="L376" s="1" t="s">
        <v>378</v>
      </c>
      <c r="M376" s="1" t="s">
        <v>869</v>
      </c>
      <c r="N376" s="2"/>
      <c r="O376" s="2"/>
      <c r="P376" s="2"/>
      <c r="Q376" s="2"/>
    </row>
    <row x14ac:dyDescent="0.25" r="377" customHeight="1" ht="17.25">
      <c r="A377" s="1" t="s">
        <v>4057</v>
      </c>
      <c r="B377" s="1" t="s">
        <v>871</v>
      </c>
      <c r="C377" s="1" t="s">
        <v>3600</v>
      </c>
      <c r="D377" s="1" t="s">
        <v>157</v>
      </c>
      <c r="E377" s="1" t="s">
        <v>3572</v>
      </c>
      <c r="F377" s="1" t="s">
        <v>3573</v>
      </c>
      <c r="G377" s="1" t="s">
        <v>3574</v>
      </c>
      <c r="H377" s="2"/>
      <c r="I377" s="5">
        <f>XLOOKUP(K377, pharmaceutical_index!B:B, pharmaceutical_index!A:A, "Not Found")</f>
      </c>
      <c r="J377" s="1" t="s">
        <v>871</v>
      </c>
      <c r="K377" s="1" t="s">
        <v>871</v>
      </c>
      <c r="L377" s="1" t="s">
        <v>157</v>
      </c>
      <c r="M377" s="1" t="s">
        <v>871</v>
      </c>
      <c r="N377" s="2"/>
      <c r="O377" s="2"/>
      <c r="P377" s="2"/>
      <c r="Q377" s="2"/>
    </row>
    <row x14ac:dyDescent="0.25" r="378" customHeight="1" ht="17.25">
      <c r="A378" s="1" t="s">
        <v>4058</v>
      </c>
      <c r="B378" s="1" t="s">
        <v>873</v>
      </c>
      <c r="C378" s="1" t="s">
        <v>3597</v>
      </c>
      <c r="D378" s="1" t="s">
        <v>378</v>
      </c>
      <c r="E378" s="1" t="s">
        <v>3572</v>
      </c>
      <c r="F378" s="1" t="s">
        <v>3573</v>
      </c>
      <c r="G378" s="1" t="s">
        <v>3574</v>
      </c>
      <c r="H378" s="2"/>
      <c r="I378" s="5">
        <f>XLOOKUP(K378, pharmaceutical_index!B:B, pharmaceutical_index!A:A, "Not Found")</f>
      </c>
      <c r="J378" s="1" t="s">
        <v>873</v>
      </c>
      <c r="K378" s="1" t="s">
        <v>873</v>
      </c>
      <c r="L378" s="1" t="s">
        <v>378</v>
      </c>
      <c r="M378" s="1" t="s">
        <v>873</v>
      </c>
      <c r="N378" s="2"/>
      <c r="O378" s="2"/>
      <c r="P378" s="2"/>
      <c r="Q378" s="2"/>
    </row>
    <row x14ac:dyDescent="0.25" r="379" customHeight="1" ht="17.25">
      <c r="A379" s="1" t="s">
        <v>4059</v>
      </c>
      <c r="B379" s="1" t="s">
        <v>875</v>
      </c>
      <c r="C379" s="1" t="s">
        <v>3701</v>
      </c>
      <c r="D379" s="1" t="s">
        <v>20</v>
      </c>
      <c r="E379" s="1" t="s">
        <v>3572</v>
      </c>
      <c r="F379" s="1" t="s">
        <v>3573</v>
      </c>
      <c r="G379" s="1" t="s">
        <v>3574</v>
      </c>
      <c r="H379" s="2"/>
      <c r="I379" s="5">
        <f>XLOOKUP(K379, pharmaceutical_index!B:B, pharmaceutical_index!A:A, "Not Found")</f>
      </c>
      <c r="J379" s="1" t="s">
        <v>875</v>
      </c>
      <c r="K379" s="1" t="s">
        <v>875</v>
      </c>
      <c r="L379" s="1" t="s">
        <v>20</v>
      </c>
      <c r="M379" s="1" t="s">
        <v>875</v>
      </c>
      <c r="N379" s="2"/>
      <c r="O379" s="2"/>
      <c r="P379" s="2"/>
      <c r="Q379" s="2"/>
    </row>
    <row x14ac:dyDescent="0.25" r="380" customHeight="1" ht="17.25">
      <c r="A380" s="1" t="s">
        <v>4060</v>
      </c>
      <c r="B380" s="1" t="s">
        <v>877</v>
      </c>
      <c r="C380" s="1" t="s">
        <v>3571</v>
      </c>
      <c r="D380" s="1" t="s">
        <v>231</v>
      </c>
      <c r="E380" s="1" t="s">
        <v>3572</v>
      </c>
      <c r="F380" s="1" t="s">
        <v>3573</v>
      </c>
      <c r="G380" s="1" t="s">
        <v>3574</v>
      </c>
      <c r="H380" s="2"/>
      <c r="I380" s="5">
        <f>XLOOKUP(K380, pharmaceutical_index!B:B, pharmaceutical_index!A:A, "Not Found")</f>
      </c>
      <c r="J380" s="1" t="s">
        <v>877</v>
      </c>
      <c r="K380" s="1" t="s">
        <v>877</v>
      </c>
      <c r="L380" s="1" t="s">
        <v>231</v>
      </c>
      <c r="M380" s="1" t="s">
        <v>877</v>
      </c>
      <c r="N380" s="2"/>
      <c r="O380" s="2"/>
      <c r="P380" s="2"/>
      <c r="Q380" s="2"/>
    </row>
    <row x14ac:dyDescent="0.25" r="381" customHeight="1" ht="17.25">
      <c r="A381" s="1" t="s">
        <v>4061</v>
      </c>
      <c r="B381" s="1" t="s">
        <v>879</v>
      </c>
      <c r="C381" s="1" t="s">
        <v>3647</v>
      </c>
      <c r="D381" s="1" t="s">
        <v>560</v>
      </c>
      <c r="E381" s="1" t="s">
        <v>3572</v>
      </c>
      <c r="F381" s="1" t="s">
        <v>3573</v>
      </c>
      <c r="G381" s="1" t="s">
        <v>3574</v>
      </c>
      <c r="H381" s="2"/>
      <c r="I381" s="5">
        <f>XLOOKUP(K381, pharmaceutical_index!B:B, pharmaceutical_index!A:A, "Not Found")</f>
      </c>
      <c r="J381" s="1" t="s">
        <v>879</v>
      </c>
      <c r="K381" s="1" t="s">
        <v>879</v>
      </c>
      <c r="L381" s="1" t="s">
        <v>560</v>
      </c>
      <c r="M381" s="1" t="s">
        <v>879</v>
      </c>
      <c r="N381" s="2"/>
      <c r="O381" s="2"/>
      <c r="P381" s="2"/>
      <c r="Q381" s="2"/>
    </row>
    <row x14ac:dyDescent="0.25" r="382" customHeight="1" ht="17.25">
      <c r="A382" s="1" t="s">
        <v>4062</v>
      </c>
      <c r="B382" s="1" t="s">
        <v>881</v>
      </c>
      <c r="C382" s="1" t="s">
        <v>3587</v>
      </c>
      <c r="D382" s="1" t="s">
        <v>30</v>
      </c>
      <c r="E382" s="1" t="s">
        <v>3572</v>
      </c>
      <c r="F382" s="1" t="s">
        <v>3573</v>
      </c>
      <c r="G382" s="1" t="s">
        <v>3574</v>
      </c>
      <c r="H382" s="2"/>
      <c r="I382" s="5">
        <f>XLOOKUP(K382, pharmaceutical_index!B:B, pharmaceutical_index!A:A, "Not Found")</f>
      </c>
      <c r="J382" s="1" t="s">
        <v>4063</v>
      </c>
      <c r="K382" s="1" t="s">
        <v>881</v>
      </c>
      <c r="L382" s="1" t="s">
        <v>30</v>
      </c>
      <c r="M382" s="1" t="s">
        <v>4063</v>
      </c>
      <c r="N382" s="2"/>
      <c r="O382" s="2"/>
      <c r="P382" s="2"/>
      <c r="Q382" s="2"/>
    </row>
    <row x14ac:dyDescent="0.25" r="383" customHeight="1" ht="17.25">
      <c r="A383" s="1" t="s">
        <v>4064</v>
      </c>
      <c r="B383" s="1" t="s">
        <v>883</v>
      </c>
      <c r="C383" s="1" t="s">
        <v>3647</v>
      </c>
      <c r="D383" s="1" t="s">
        <v>650</v>
      </c>
      <c r="E383" s="1" t="s">
        <v>3572</v>
      </c>
      <c r="F383" s="1" t="s">
        <v>3573</v>
      </c>
      <c r="G383" s="1" t="s">
        <v>3574</v>
      </c>
      <c r="H383" s="2"/>
      <c r="I383" s="5">
        <f>XLOOKUP(K383, pharmaceutical_index!B:B, pharmaceutical_index!A:A, "Not Found")</f>
      </c>
      <c r="J383" s="1" t="s">
        <v>883</v>
      </c>
      <c r="K383" s="1" t="s">
        <v>883</v>
      </c>
      <c r="L383" s="1" t="s">
        <v>650</v>
      </c>
      <c r="M383" s="1" t="s">
        <v>883</v>
      </c>
      <c r="N383" s="2"/>
      <c r="O383" s="2"/>
      <c r="P383" s="2"/>
      <c r="Q383" s="2"/>
    </row>
    <row x14ac:dyDescent="0.25" r="384" customHeight="1" ht="17.25">
      <c r="A384" s="1" t="s">
        <v>4065</v>
      </c>
      <c r="B384" s="1" t="s">
        <v>885</v>
      </c>
      <c r="C384" s="1" t="s">
        <v>3610</v>
      </c>
      <c r="D384" s="1" t="s">
        <v>681</v>
      </c>
      <c r="E384" s="1" t="s">
        <v>3572</v>
      </c>
      <c r="F384" s="1" t="s">
        <v>3573</v>
      </c>
      <c r="G384" s="1" t="s">
        <v>3574</v>
      </c>
      <c r="H384" s="2"/>
      <c r="I384" s="5">
        <f>XLOOKUP(K384, pharmaceutical_index!B:B, pharmaceutical_index!A:A, "Not Found")</f>
      </c>
      <c r="J384" s="1" t="s">
        <v>885</v>
      </c>
      <c r="K384" s="1" t="s">
        <v>885</v>
      </c>
      <c r="L384" s="1" t="s">
        <v>681</v>
      </c>
      <c r="M384" s="1" t="s">
        <v>885</v>
      </c>
      <c r="N384" s="2"/>
      <c r="O384" s="2"/>
      <c r="P384" s="2"/>
      <c r="Q384" s="2"/>
    </row>
    <row x14ac:dyDescent="0.25" r="385" customHeight="1" ht="17.25">
      <c r="A385" s="1" t="s">
        <v>4066</v>
      </c>
      <c r="B385" s="1" t="s">
        <v>887</v>
      </c>
      <c r="C385" s="1" t="s">
        <v>3571</v>
      </c>
      <c r="D385" s="1" t="s">
        <v>231</v>
      </c>
      <c r="E385" s="1" t="s">
        <v>3572</v>
      </c>
      <c r="F385" s="1" t="s">
        <v>3573</v>
      </c>
      <c r="G385" s="1" t="s">
        <v>3574</v>
      </c>
      <c r="H385" s="2"/>
      <c r="I385" s="5">
        <f>XLOOKUP(K385, pharmaceutical_index!B:B, pharmaceutical_index!A:A, "Not Found")</f>
      </c>
      <c r="J385" s="1" t="s">
        <v>4067</v>
      </c>
      <c r="K385" s="1" t="s">
        <v>887</v>
      </c>
      <c r="L385" s="1" t="s">
        <v>231</v>
      </c>
      <c r="M385" s="1" t="s">
        <v>4068</v>
      </c>
      <c r="N385" s="2"/>
      <c r="O385" s="2"/>
      <c r="P385" s="2"/>
      <c r="Q385" s="2"/>
    </row>
    <row x14ac:dyDescent="0.25" r="386" customHeight="1" ht="17.25">
      <c r="A386" s="1" t="s">
        <v>4069</v>
      </c>
      <c r="B386" s="1" t="s">
        <v>889</v>
      </c>
      <c r="C386" s="1" t="s">
        <v>3600</v>
      </c>
      <c r="D386" s="1" t="s">
        <v>54</v>
      </c>
      <c r="E386" s="1" t="s">
        <v>3572</v>
      </c>
      <c r="F386" s="1" t="s">
        <v>3573</v>
      </c>
      <c r="G386" s="1" t="s">
        <v>3574</v>
      </c>
      <c r="H386" s="2"/>
      <c r="I386" s="5">
        <f>XLOOKUP(K386, pharmaceutical_index!B:B, pharmaceutical_index!A:A, "Not Found")</f>
      </c>
      <c r="J386" s="1" t="s">
        <v>889</v>
      </c>
      <c r="K386" s="1" t="s">
        <v>889</v>
      </c>
      <c r="L386" s="1" t="s">
        <v>54</v>
      </c>
      <c r="M386" s="1" t="s">
        <v>889</v>
      </c>
      <c r="N386" s="2"/>
      <c r="O386" s="2"/>
      <c r="P386" s="2"/>
      <c r="Q386" s="2"/>
    </row>
    <row x14ac:dyDescent="0.25" r="387" customHeight="1" ht="17.25">
      <c r="A387" s="1" t="s">
        <v>4070</v>
      </c>
      <c r="B387" s="1" t="s">
        <v>891</v>
      </c>
      <c r="C387" s="1" t="s">
        <v>3622</v>
      </c>
      <c r="D387" s="1" t="s">
        <v>135</v>
      </c>
      <c r="E387" s="1" t="s">
        <v>3572</v>
      </c>
      <c r="F387" s="1" t="s">
        <v>3573</v>
      </c>
      <c r="G387" s="1" t="s">
        <v>3574</v>
      </c>
      <c r="H387" s="2"/>
      <c r="I387" s="5">
        <f>XLOOKUP(K387, pharmaceutical_index!B:B, pharmaceutical_index!A:A, "Not Found")</f>
      </c>
      <c r="J387" s="1" t="s">
        <v>891</v>
      </c>
      <c r="K387" s="1" t="s">
        <v>891</v>
      </c>
      <c r="L387" s="1" t="s">
        <v>135</v>
      </c>
      <c r="M387" s="1" t="s">
        <v>891</v>
      </c>
      <c r="N387" s="2"/>
      <c r="O387" s="2"/>
      <c r="P387" s="2"/>
      <c r="Q387" s="2"/>
    </row>
    <row x14ac:dyDescent="0.25" r="388" customHeight="1" ht="17.25">
      <c r="A388" s="1" t="s">
        <v>4071</v>
      </c>
      <c r="B388" s="1" t="s">
        <v>893</v>
      </c>
      <c r="C388" s="1" t="s">
        <v>3619</v>
      </c>
      <c r="D388" s="1" t="s">
        <v>358</v>
      </c>
      <c r="E388" s="1" t="s">
        <v>3572</v>
      </c>
      <c r="F388" s="1" t="s">
        <v>3573</v>
      </c>
      <c r="G388" s="1" t="s">
        <v>3574</v>
      </c>
      <c r="H388" s="2"/>
      <c r="I388" s="5">
        <f>XLOOKUP(K388, pharmaceutical_index!B:B, pharmaceutical_index!A:A, "Not Found")</f>
      </c>
      <c r="J388" s="1" t="s">
        <v>893</v>
      </c>
      <c r="K388" s="1" t="s">
        <v>893</v>
      </c>
      <c r="L388" s="1" t="s">
        <v>358</v>
      </c>
      <c r="M388" s="1" t="s">
        <v>893</v>
      </c>
      <c r="N388" s="2"/>
      <c r="O388" s="2"/>
      <c r="P388" s="2"/>
      <c r="Q388" s="2"/>
    </row>
    <row x14ac:dyDescent="0.25" r="389" customHeight="1" ht="17.25">
      <c r="A389" s="1" t="s">
        <v>4072</v>
      </c>
      <c r="B389" s="1" t="s">
        <v>895</v>
      </c>
      <c r="C389" s="1" t="s">
        <v>3866</v>
      </c>
      <c r="D389" s="1" t="s">
        <v>532</v>
      </c>
      <c r="E389" s="1" t="s">
        <v>3572</v>
      </c>
      <c r="F389" s="1" t="s">
        <v>3573</v>
      </c>
      <c r="G389" s="1" t="s">
        <v>3574</v>
      </c>
      <c r="H389" s="2"/>
      <c r="I389" s="5">
        <f>XLOOKUP(K389, pharmaceutical_index!B:B, pharmaceutical_index!A:A, "Not Found")</f>
      </c>
      <c r="J389" s="1" t="s">
        <v>895</v>
      </c>
      <c r="K389" s="1" t="s">
        <v>895</v>
      </c>
      <c r="L389" s="1" t="s">
        <v>532</v>
      </c>
      <c r="M389" s="1" t="s">
        <v>895</v>
      </c>
      <c r="N389" s="2"/>
      <c r="O389" s="2"/>
      <c r="P389" s="2"/>
      <c r="Q389" s="2"/>
    </row>
    <row x14ac:dyDescent="0.25" r="390" customHeight="1" ht="17.25">
      <c r="A390" s="1" t="s">
        <v>4073</v>
      </c>
      <c r="B390" s="1" t="s">
        <v>897</v>
      </c>
      <c r="C390" s="1" t="s">
        <v>3608</v>
      </c>
      <c r="D390" s="1" t="s">
        <v>219</v>
      </c>
      <c r="E390" s="1" t="s">
        <v>3572</v>
      </c>
      <c r="F390" s="1" t="s">
        <v>3573</v>
      </c>
      <c r="G390" s="1" t="s">
        <v>3574</v>
      </c>
      <c r="H390" s="2"/>
      <c r="I390" s="5">
        <f>XLOOKUP(K390, pharmaceutical_index!B:B, pharmaceutical_index!A:A, "Not Found")</f>
      </c>
      <c r="J390" s="1" t="s">
        <v>897</v>
      </c>
      <c r="K390" s="1" t="s">
        <v>897</v>
      </c>
      <c r="L390" s="1" t="s">
        <v>219</v>
      </c>
      <c r="M390" s="1" t="s">
        <v>897</v>
      </c>
      <c r="N390" s="2"/>
      <c r="O390" s="2"/>
      <c r="P390" s="2"/>
      <c r="Q390" s="2"/>
    </row>
    <row x14ac:dyDescent="0.25" r="391" customHeight="1" ht="17.25">
      <c r="A391" s="1" t="s">
        <v>4074</v>
      </c>
      <c r="B391" s="1" t="s">
        <v>899</v>
      </c>
      <c r="C391" s="1" t="s">
        <v>3665</v>
      </c>
      <c r="D391" s="1" t="s">
        <v>20</v>
      </c>
      <c r="E391" s="1" t="s">
        <v>3572</v>
      </c>
      <c r="F391" s="1" t="s">
        <v>3573</v>
      </c>
      <c r="G391" s="1" t="s">
        <v>3574</v>
      </c>
      <c r="H391" s="2"/>
      <c r="I391" s="5">
        <f>XLOOKUP(K391, pharmaceutical_index!B:B, pharmaceutical_index!A:A, "Not Found")</f>
      </c>
      <c r="J391" s="1" t="s">
        <v>899</v>
      </c>
      <c r="K391" s="1" t="s">
        <v>899</v>
      </c>
      <c r="L391" s="1" t="s">
        <v>20</v>
      </c>
      <c r="M391" s="1" t="s">
        <v>899</v>
      </c>
      <c r="N391" s="2"/>
      <c r="O391" s="2"/>
      <c r="P391" s="2"/>
      <c r="Q391" s="2"/>
    </row>
    <row x14ac:dyDescent="0.25" r="392" customHeight="1" ht="17.25">
      <c r="A392" s="1" t="s">
        <v>4075</v>
      </c>
      <c r="B392" s="1" t="s">
        <v>901</v>
      </c>
      <c r="C392" s="1" t="s">
        <v>3665</v>
      </c>
      <c r="D392" s="1" t="s">
        <v>20</v>
      </c>
      <c r="E392" s="1" t="s">
        <v>3572</v>
      </c>
      <c r="F392" s="1" t="s">
        <v>3573</v>
      </c>
      <c r="G392" s="1" t="s">
        <v>3574</v>
      </c>
      <c r="H392" s="2"/>
      <c r="I392" s="5">
        <f>XLOOKUP(K392, pharmaceutical_index!B:B, pharmaceutical_index!A:A, "Not Found")</f>
      </c>
      <c r="J392" s="1" t="s">
        <v>901</v>
      </c>
      <c r="K392" s="1" t="s">
        <v>901</v>
      </c>
      <c r="L392" s="1" t="s">
        <v>20</v>
      </c>
      <c r="M392" s="1" t="s">
        <v>901</v>
      </c>
      <c r="N392" s="2"/>
      <c r="O392" s="2"/>
      <c r="P392" s="2"/>
      <c r="Q392" s="2"/>
    </row>
    <row x14ac:dyDescent="0.25" r="393" customHeight="1" ht="17.25">
      <c r="A393" s="1" t="s">
        <v>4076</v>
      </c>
      <c r="B393" s="1" t="s">
        <v>903</v>
      </c>
      <c r="C393" s="1" t="s">
        <v>3587</v>
      </c>
      <c r="D393" s="1" t="s">
        <v>30</v>
      </c>
      <c r="E393" s="1" t="s">
        <v>3572</v>
      </c>
      <c r="F393" s="1" t="s">
        <v>3573</v>
      </c>
      <c r="G393" s="1" t="s">
        <v>3574</v>
      </c>
      <c r="H393" s="2"/>
      <c r="I393" s="5">
        <f>XLOOKUP(K393, pharmaceutical_index!B:B, pharmaceutical_index!A:A, "Not Found")</f>
      </c>
      <c r="J393" s="1" t="s">
        <v>903</v>
      </c>
      <c r="K393" s="1" t="s">
        <v>903</v>
      </c>
      <c r="L393" s="1" t="s">
        <v>30</v>
      </c>
      <c r="M393" s="1" t="s">
        <v>903</v>
      </c>
      <c r="N393" s="2"/>
      <c r="O393" s="2"/>
      <c r="P393" s="2"/>
      <c r="Q393" s="2"/>
    </row>
    <row x14ac:dyDescent="0.25" r="394" customHeight="1" ht="17.25">
      <c r="A394" s="1" t="s">
        <v>4077</v>
      </c>
      <c r="B394" s="1" t="s">
        <v>905</v>
      </c>
      <c r="C394" s="1" t="s">
        <v>3571</v>
      </c>
      <c r="D394" s="1" t="s">
        <v>906</v>
      </c>
      <c r="E394" s="1" t="s">
        <v>3572</v>
      </c>
      <c r="F394" s="1" t="s">
        <v>3573</v>
      </c>
      <c r="G394" s="1" t="s">
        <v>3574</v>
      </c>
      <c r="H394" s="2"/>
      <c r="I394" s="5">
        <f>XLOOKUP(K394, pharmaceutical_index!B:B, pharmaceutical_index!A:A, "Not Found")</f>
      </c>
      <c r="J394" s="1" t="s">
        <v>905</v>
      </c>
      <c r="K394" s="1" t="s">
        <v>905</v>
      </c>
      <c r="L394" s="1" t="s">
        <v>906</v>
      </c>
      <c r="M394" s="1" t="s">
        <v>905</v>
      </c>
      <c r="N394" s="2"/>
      <c r="O394" s="2"/>
      <c r="P394" s="2"/>
      <c r="Q394" s="2"/>
    </row>
    <row x14ac:dyDescent="0.25" r="395" customHeight="1" ht="17.25">
      <c r="A395" s="1" t="s">
        <v>4078</v>
      </c>
      <c r="B395" s="1" t="s">
        <v>908</v>
      </c>
      <c r="C395" s="1" t="s">
        <v>3733</v>
      </c>
      <c r="D395" s="1" t="s">
        <v>691</v>
      </c>
      <c r="E395" s="1" t="s">
        <v>3572</v>
      </c>
      <c r="F395" s="1" t="s">
        <v>3573</v>
      </c>
      <c r="G395" s="1" t="s">
        <v>3574</v>
      </c>
      <c r="H395" s="2"/>
      <c r="I395" s="5">
        <f>XLOOKUP(K395, pharmaceutical_index!B:B, pharmaceutical_index!A:A, "Not Found")</f>
      </c>
      <c r="J395" s="1" t="s">
        <v>908</v>
      </c>
      <c r="K395" s="1" t="s">
        <v>908</v>
      </c>
      <c r="L395" s="1" t="s">
        <v>691</v>
      </c>
      <c r="M395" s="1" t="s">
        <v>908</v>
      </c>
      <c r="N395" s="2"/>
      <c r="O395" s="2"/>
      <c r="P395" s="2"/>
      <c r="Q395" s="2"/>
    </row>
    <row x14ac:dyDescent="0.25" r="396" customHeight="1" ht="17.25">
      <c r="A396" s="1" t="s">
        <v>4079</v>
      </c>
      <c r="B396" s="1" t="s">
        <v>910</v>
      </c>
      <c r="C396" s="1" t="s">
        <v>3701</v>
      </c>
      <c r="D396" s="1" t="s">
        <v>20</v>
      </c>
      <c r="E396" s="1" t="s">
        <v>3572</v>
      </c>
      <c r="F396" s="1" t="s">
        <v>3573</v>
      </c>
      <c r="G396" s="1" t="s">
        <v>3574</v>
      </c>
      <c r="H396" s="2"/>
      <c r="I396" s="5">
        <f>XLOOKUP(K396, pharmaceutical_index!B:B, pharmaceutical_index!A:A, "Not Found")</f>
      </c>
      <c r="J396" s="1" t="s">
        <v>910</v>
      </c>
      <c r="K396" s="1" t="s">
        <v>910</v>
      </c>
      <c r="L396" s="1" t="s">
        <v>20</v>
      </c>
      <c r="M396" s="1" t="s">
        <v>910</v>
      </c>
      <c r="N396" s="2"/>
      <c r="O396" s="2"/>
      <c r="P396" s="2"/>
      <c r="Q396" s="2"/>
    </row>
    <row x14ac:dyDescent="0.25" r="397" customHeight="1" ht="17.25">
      <c r="A397" s="1" t="s">
        <v>4080</v>
      </c>
      <c r="B397" s="1" t="s">
        <v>912</v>
      </c>
      <c r="C397" s="1" t="s">
        <v>3643</v>
      </c>
      <c r="D397" s="1" t="s">
        <v>188</v>
      </c>
      <c r="E397" s="1" t="s">
        <v>3572</v>
      </c>
      <c r="F397" s="1" t="s">
        <v>3573</v>
      </c>
      <c r="G397" s="1" t="s">
        <v>3574</v>
      </c>
      <c r="H397" s="2"/>
      <c r="I397" s="5">
        <f>XLOOKUP(K397, pharmaceutical_index!B:B, pharmaceutical_index!A:A, "Not Found")</f>
      </c>
      <c r="J397" s="1" t="s">
        <v>912</v>
      </c>
      <c r="K397" s="1" t="s">
        <v>912</v>
      </c>
      <c r="L397" s="1" t="s">
        <v>188</v>
      </c>
      <c r="M397" s="1" t="s">
        <v>912</v>
      </c>
      <c r="N397" s="2"/>
      <c r="O397" s="2"/>
      <c r="P397" s="2"/>
      <c r="Q397" s="2"/>
    </row>
    <row x14ac:dyDescent="0.25" r="398" customHeight="1" ht="17.25">
      <c r="A398" s="1" t="s">
        <v>4081</v>
      </c>
      <c r="B398" s="1" t="s">
        <v>914</v>
      </c>
      <c r="C398" s="1" t="s">
        <v>3589</v>
      </c>
      <c r="D398" s="1" t="s">
        <v>915</v>
      </c>
      <c r="E398" s="1" t="s">
        <v>3572</v>
      </c>
      <c r="F398" s="1" t="s">
        <v>3573</v>
      </c>
      <c r="G398" s="1" t="s">
        <v>3574</v>
      </c>
      <c r="H398" s="2"/>
      <c r="I398" s="5">
        <f>XLOOKUP(K398, pharmaceutical_index!B:B, pharmaceutical_index!A:A, "Not Found")</f>
      </c>
      <c r="J398" s="1" t="s">
        <v>914</v>
      </c>
      <c r="K398" s="1" t="s">
        <v>914</v>
      </c>
      <c r="L398" s="1" t="s">
        <v>915</v>
      </c>
      <c r="M398" s="1" t="s">
        <v>914</v>
      </c>
      <c r="N398" s="2"/>
      <c r="O398" s="2"/>
      <c r="P398" s="2"/>
      <c r="Q398" s="2"/>
    </row>
    <row x14ac:dyDescent="0.25" r="399" customHeight="1" ht="17.25">
      <c r="A399" s="1" t="s">
        <v>4082</v>
      </c>
      <c r="B399" s="1" t="s">
        <v>917</v>
      </c>
      <c r="C399" s="1" t="s">
        <v>3583</v>
      </c>
      <c r="D399" s="1" t="s">
        <v>20</v>
      </c>
      <c r="E399" s="1" t="s">
        <v>3572</v>
      </c>
      <c r="F399" s="1" t="s">
        <v>3573</v>
      </c>
      <c r="G399" s="1" t="s">
        <v>3574</v>
      </c>
      <c r="H399" s="2"/>
      <c r="I399" s="5">
        <f>XLOOKUP(K399, pharmaceutical_index!B:B, pharmaceutical_index!A:A, "Not Found")</f>
      </c>
      <c r="J399" s="1" t="s">
        <v>917</v>
      </c>
      <c r="K399" s="1" t="s">
        <v>917</v>
      </c>
      <c r="L399" s="1" t="s">
        <v>20</v>
      </c>
      <c r="M399" s="1" t="s">
        <v>917</v>
      </c>
      <c r="N399" s="2"/>
      <c r="O399" s="2"/>
      <c r="P399" s="2"/>
      <c r="Q399" s="2"/>
    </row>
    <row x14ac:dyDescent="0.25" r="400" customHeight="1" ht="17.25">
      <c r="A400" s="1" t="s">
        <v>4083</v>
      </c>
      <c r="B400" s="1" t="s">
        <v>919</v>
      </c>
      <c r="C400" s="1" t="s">
        <v>3608</v>
      </c>
      <c r="D400" s="1" t="s">
        <v>371</v>
      </c>
      <c r="E400" s="1" t="s">
        <v>3572</v>
      </c>
      <c r="F400" s="1" t="s">
        <v>3573</v>
      </c>
      <c r="G400" s="1" t="s">
        <v>3574</v>
      </c>
      <c r="H400" s="2"/>
      <c r="I400" s="5">
        <f>XLOOKUP(K400, pharmaceutical_index!B:B, pharmaceutical_index!A:A, "Not Found")</f>
      </c>
      <c r="J400" s="1" t="s">
        <v>919</v>
      </c>
      <c r="K400" s="1" t="s">
        <v>919</v>
      </c>
      <c r="L400" s="1" t="s">
        <v>371</v>
      </c>
      <c r="M400" s="1" t="s">
        <v>919</v>
      </c>
      <c r="N400" s="2"/>
      <c r="O400" s="2"/>
      <c r="P400" s="2"/>
      <c r="Q400" s="2"/>
    </row>
    <row x14ac:dyDescent="0.25" r="401" customHeight="1" ht="17.25">
      <c r="A401" s="1" t="s">
        <v>4084</v>
      </c>
      <c r="B401" s="1" t="s">
        <v>921</v>
      </c>
      <c r="C401" s="1" t="s">
        <v>3571</v>
      </c>
      <c r="D401" s="1" t="s">
        <v>114</v>
      </c>
      <c r="E401" s="1" t="s">
        <v>3572</v>
      </c>
      <c r="F401" s="1" t="s">
        <v>3573</v>
      </c>
      <c r="G401" s="1" t="s">
        <v>3574</v>
      </c>
      <c r="H401" s="2"/>
      <c r="I401" s="5">
        <f>XLOOKUP(K401, pharmaceutical_index!B:B, pharmaceutical_index!A:A, "Not Found")</f>
      </c>
      <c r="J401" s="1" t="s">
        <v>921</v>
      </c>
      <c r="K401" s="1" t="s">
        <v>921</v>
      </c>
      <c r="L401" s="1" t="s">
        <v>114</v>
      </c>
      <c r="M401" s="1" t="s">
        <v>921</v>
      </c>
      <c r="N401" s="2"/>
      <c r="O401" s="2"/>
      <c r="P401" s="2"/>
      <c r="Q401" s="2"/>
    </row>
    <row x14ac:dyDescent="0.25" r="402" customHeight="1" ht="17.25">
      <c r="A402" s="1" t="s">
        <v>4085</v>
      </c>
      <c r="B402" s="1" t="s">
        <v>923</v>
      </c>
      <c r="C402" s="1" t="s">
        <v>3643</v>
      </c>
      <c r="D402" s="1" t="s">
        <v>120</v>
      </c>
      <c r="E402" s="1" t="s">
        <v>3572</v>
      </c>
      <c r="F402" s="1" t="s">
        <v>3573</v>
      </c>
      <c r="G402" s="1" t="s">
        <v>3574</v>
      </c>
      <c r="H402" s="2"/>
      <c r="I402" s="5">
        <f>XLOOKUP(K402, pharmaceutical_index!B:B, pharmaceutical_index!A:A, "Not Found")</f>
      </c>
      <c r="J402" s="1" t="s">
        <v>923</v>
      </c>
      <c r="K402" s="1" t="s">
        <v>923</v>
      </c>
      <c r="L402" s="1" t="s">
        <v>120</v>
      </c>
      <c r="M402" s="1" t="s">
        <v>923</v>
      </c>
      <c r="N402" s="2"/>
      <c r="O402" s="2"/>
      <c r="P402" s="2"/>
      <c r="Q402" s="2"/>
    </row>
    <row x14ac:dyDescent="0.25" r="403" customHeight="1" ht="17.25">
      <c r="A403" s="1" t="s">
        <v>4086</v>
      </c>
      <c r="B403" s="1" t="s">
        <v>925</v>
      </c>
      <c r="C403" s="1" t="s">
        <v>3643</v>
      </c>
      <c r="D403" s="1" t="s">
        <v>632</v>
      </c>
      <c r="E403" s="1" t="s">
        <v>3572</v>
      </c>
      <c r="F403" s="1" t="s">
        <v>3573</v>
      </c>
      <c r="G403" s="1" t="s">
        <v>3574</v>
      </c>
      <c r="H403" s="2"/>
      <c r="I403" s="5">
        <f>XLOOKUP(K403, pharmaceutical_index!B:B, pharmaceutical_index!A:A, "Not Found")</f>
      </c>
      <c r="J403" s="1" t="s">
        <v>925</v>
      </c>
      <c r="K403" s="1" t="s">
        <v>925</v>
      </c>
      <c r="L403" s="1" t="s">
        <v>632</v>
      </c>
      <c r="M403" s="1" t="s">
        <v>925</v>
      </c>
      <c r="N403" s="2"/>
      <c r="O403" s="2"/>
      <c r="P403" s="2"/>
      <c r="Q403" s="2"/>
    </row>
    <row x14ac:dyDescent="0.25" r="404" customHeight="1" ht="17.25">
      <c r="A404" s="1" t="s">
        <v>4087</v>
      </c>
      <c r="B404" s="1" t="s">
        <v>927</v>
      </c>
      <c r="C404" s="1" t="s">
        <v>3821</v>
      </c>
      <c r="D404" s="1" t="s">
        <v>928</v>
      </c>
      <c r="E404" s="1" t="s">
        <v>3572</v>
      </c>
      <c r="F404" s="1" t="s">
        <v>3573</v>
      </c>
      <c r="G404" s="1" t="s">
        <v>3574</v>
      </c>
      <c r="H404" s="2"/>
      <c r="I404" s="5">
        <f>XLOOKUP(K404, pharmaceutical_index!B:B, pharmaceutical_index!A:A, "Not Found")</f>
      </c>
      <c r="J404" s="1" t="s">
        <v>927</v>
      </c>
      <c r="K404" s="1" t="s">
        <v>927</v>
      </c>
      <c r="L404" s="1" t="s">
        <v>928</v>
      </c>
      <c r="M404" s="1" t="s">
        <v>927</v>
      </c>
      <c r="N404" s="2"/>
      <c r="O404" s="2"/>
      <c r="P404" s="2"/>
      <c r="Q404" s="2"/>
    </row>
    <row x14ac:dyDescent="0.25" r="405" customHeight="1" ht="17.25">
      <c r="A405" s="1" t="s">
        <v>4088</v>
      </c>
      <c r="B405" s="1" t="s">
        <v>930</v>
      </c>
      <c r="C405" s="1" t="s">
        <v>3608</v>
      </c>
      <c r="D405" s="1" t="s">
        <v>219</v>
      </c>
      <c r="E405" s="1" t="s">
        <v>3572</v>
      </c>
      <c r="F405" s="1" t="s">
        <v>3573</v>
      </c>
      <c r="G405" s="1" t="s">
        <v>3574</v>
      </c>
      <c r="H405" s="2"/>
      <c r="I405" s="5">
        <f>XLOOKUP(K405, pharmaceutical_index!B:B, pharmaceutical_index!A:A, "Not Found")</f>
      </c>
      <c r="J405" s="1" t="s">
        <v>930</v>
      </c>
      <c r="K405" s="1" t="s">
        <v>930</v>
      </c>
      <c r="L405" s="1" t="s">
        <v>219</v>
      </c>
      <c r="M405" s="1" t="s">
        <v>930</v>
      </c>
      <c r="N405" s="2"/>
      <c r="O405" s="2"/>
      <c r="P405" s="2"/>
      <c r="Q405" s="2"/>
    </row>
    <row x14ac:dyDescent="0.25" r="406" customHeight="1" ht="17.25">
      <c r="A406" s="1" t="s">
        <v>4089</v>
      </c>
      <c r="B406" s="1" t="s">
        <v>932</v>
      </c>
      <c r="C406" s="1" t="s">
        <v>3587</v>
      </c>
      <c r="D406" s="1" t="s">
        <v>30</v>
      </c>
      <c r="E406" s="1" t="s">
        <v>3572</v>
      </c>
      <c r="F406" s="1" t="s">
        <v>3573</v>
      </c>
      <c r="G406" s="1" t="s">
        <v>3574</v>
      </c>
      <c r="H406" s="2"/>
      <c r="I406" s="5">
        <f>XLOOKUP(K406, pharmaceutical_index!B:B, pharmaceutical_index!A:A, "Not Found")</f>
      </c>
      <c r="J406" s="1" t="s">
        <v>932</v>
      </c>
      <c r="K406" s="1" t="s">
        <v>932</v>
      </c>
      <c r="L406" s="1" t="s">
        <v>30</v>
      </c>
      <c r="M406" s="1" t="s">
        <v>932</v>
      </c>
      <c r="N406" s="2"/>
      <c r="O406" s="2"/>
      <c r="P406" s="2"/>
      <c r="Q406" s="2"/>
    </row>
    <row x14ac:dyDescent="0.25" r="407" customHeight="1" ht="17.25">
      <c r="A407" s="1" t="s">
        <v>4090</v>
      </c>
      <c r="B407" s="1" t="s">
        <v>934</v>
      </c>
      <c r="C407" s="1" t="s">
        <v>3762</v>
      </c>
      <c r="D407" s="1" t="s">
        <v>328</v>
      </c>
      <c r="E407" s="1" t="s">
        <v>3572</v>
      </c>
      <c r="F407" s="1" t="s">
        <v>3573</v>
      </c>
      <c r="G407" s="1" t="s">
        <v>3574</v>
      </c>
      <c r="H407" s="2"/>
      <c r="I407" s="5">
        <f>XLOOKUP(K407, pharmaceutical_index!B:B, pharmaceutical_index!A:A, "Not Found")</f>
      </c>
      <c r="J407" s="1" t="s">
        <v>934</v>
      </c>
      <c r="K407" s="1" t="s">
        <v>934</v>
      </c>
      <c r="L407" s="1" t="s">
        <v>328</v>
      </c>
      <c r="M407" s="1" t="s">
        <v>934</v>
      </c>
      <c r="N407" s="2"/>
      <c r="O407" s="2"/>
      <c r="P407" s="2"/>
      <c r="Q407" s="2"/>
    </row>
    <row x14ac:dyDescent="0.25" r="408" customHeight="1" ht="17.25">
      <c r="A408" s="1" t="s">
        <v>4091</v>
      </c>
      <c r="B408" s="1" t="s">
        <v>936</v>
      </c>
      <c r="C408" s="1" t="s">
        <v>3571</v>
      </c>
      <c r="D408" s="1" t="s">
        <v>59</v>
      </c>
      <c r="E408" s="1" t="s">
        <v>3572</v>
      </c>
      <c r="F408" s="1" t="s">
        <v>3573</v>
      </c>
      <c r="G408" s="1" t="s">
        <v>3574</v>
      </c>
      <c r="H408" s="2"/>
      <c r="I408" s="5">
        <f>XLOOKUP(K408, pharmaceutical_index!B:B, pharmaceutical_index!A:A, "Not Found")</f>
      </c>
      <c r="J408" s="1" t="s">
        <v>936</v>
      </c>
      <c r="K408" s="1" t="s">
        <v>936</v>
      </c>
      <c r="L408" s="1" t="s">
        <v>59</v>
      </c>
      <c r="M408" s="1" t="s">
        <v>936</v>
      </c>
      <c r="N408" s="2"/>
      <c r="O408" s="2"/>
      <c r="P408" s="2"/>
      <c r="Q408" s="2"/>
    </row>
    <row x14ac:dyDescent="0.25" r="409" customHeight="1" ht="17.25">
      <c r="A409" s="1" t="s">
        <v>4092</v>
      </c>
      <c r="B409" s="1" t="s">
        <v>938</v>
      </c>
      <c r="C409" s="1" t="s">
        <v>3571</v>
      </c>
      <c r="D409" s="1" t="s">
        <v>711</v>
      </c>
      <c r="E409" s="1" t="s">
        <v>3572</v>
      </c>
      <c r="F409" s="1" t="s">
        <v>3573</v>
      </c>
      <c r="G409" s="1" t="s">
        <v>3574</v>
      </c>
      <c r="H409" s="2"/>
      <c r="I409" s="5">
        <f>XLOOKUP(K409, pharmaceutical_index!B:B, pharmaceutical_index!A:A, "Not Found")</f>
      </c>
      <c r="J409" s="1" t="s">
        <v>938</v>
      </c>
      <c r="K409" s="1" t="s">
        <v>938</v>
      </c>
      <c r="L409" s="1" t="s">
        <v>711</v>
      </c>
      <c r="M409" s="1" t="s">
        <v>938</v>
      </c>
      <c r="N409" s="2"/>
      <c r="O409" s="2"/>
      <c r="P409" s="2"/>
      <c r="Q409" s="2"/>
    </row>
    <row x14ac:dyDescent="0.25" r="410" customHeight="1" ht="17.25">
      <c r="A410" s="1" t="s">
        <v>4093</v>
      </c>
      <c r="B410" s="1" t="s">
        <v>940</v>
      </c>
      <c r="C410" s="1" t="s">
        <v>3571</v>
      </c>
      <c r="D410" s="1" t="s">
        <v>453</v>
      </c>
      <c r="E410" s="1" t="s">
        <v>3572</v>
      </c>
      <c r="F410" s="1" t="s">
        <v>3573</v>
      </c>
      <c r="G410" s="1" t="s">
        <v>3574</v>
      </c>
      <c r="H410" s="2"/>
      <c r="I410" s="5">
        <f>XLOOKUP(K410, pharmaceutical_index!B:B, pharmaceutical_index!A:A, "Not Found")</f>
      </c>
      <c r="J410" s="1" t="s">
        <v>940</v>
      </c>
      <c r="K410" s="1" t="s">
        <v>940</v>
      </c>
      <c r="L410" s="1" t="s">
        <v>453</v>
      </c>
      <c r="M410" s="1" t="s">
        <v>940</v>
      </c>
      <c r="N410" s="2"/>
      <c r="O410" s="2"/>
      <c r="P410" s="2"/>
      <c r="Q410" s="2"/>
    </row>
    <row x14ac:dyDescent="0.25" r="411" customHeight="1" ht="17.25">
      <c r="A411" s="1" t="s">
        <v>4094</v>
      </c>
      <c r="B411" s="1" t="s">
        <v>942</v>
      </c>
      <c r="C411" s="1" t="s">
        <v>3935</v>
      </c>
      <c r="D411" s="1" t="s">
        <v>943</v>
      </c>
      <c r="E411" s="1" t="s">
        <v>3572</v>
      </c>
      <c r="F411" s="1" t="s">
        <v>3573</v>
      </c>
      <c r="G411" s="1" t="s">
        <v>3574</v>
      </c>
      <c r="H411" s="2"/>
      <c r="I411" s="5">
        <f>XLOOKUP(K411, pharmaceutical_index!B:B, pharmaceutical_index!A:A, "Not Found")</f>
      </c>
      <c r="J411" s="1" t="s">
        <v>942</v>
      </c>
      <c r="K411" s="1" t="s">
        <v>942</v>
      </c>
      <c r="L411" s="1" t="s">
        <v>943</v>
      </c>
      <c r="M411" s="1" t="s">
        <v>942</v>
      </c>
      <c r="N411" s="2"/>
      <c r="O411" s="2"/>
      <c r="P411" s="2"/>
      <c r="Q411" s="2"/>
    </row>
    <row x14ac:dyDescent="0.25" r="412" customHeight="1" ht="17.25">
      <c r="A412" s="1" t="s">
        <v>4095</v>
      </c>
      <c r="B412" s="1" t="s">
        <v>945</v>
      </c>
      <c r="C412" s="1" t="s">
        <v>3635</v>
      </c>
      <c r="D412" s="1" t="s">
        <v>20</v>
      </c>
      <c r="E412" s="1" t="s">
        <v>3572</v>
      </c>
      <c r="F412" s="1" t="s">
        <v>3573</v>
      </c>
      <c r="G412" s="1" t="s">
        <v>3574</v>
      </c>
      <c r="H412" s="2"/>
      <c r="I412" s="5">
        <f>XLOOKUP(K412, pharmaceutical_index!B:B, pharmaceutical_index!A:A, "Not Found")</f>
      </c>
      <c r="J412" s="1" t="s">
        <v>945</v>
      </c>
      <c r="K412" s="1" t="s">
        <v>945</v>
      </c>
      <c r="L412" s="1" t="s">
        <v>20</v>
      </c>
      <c r="M412" s="1" t="s">
        <v>945</v>
      </c>
      <c r="N412" s="2"/>
      <c r="O412" s="2"/>
      <c r="P412" s="2"/>
      <c r="Q412" s="2"/>
    </row>
    <row x14ac:dyDescent="0.25" r="413" customHeight="1" ht="17.25">
      <c r="A413" s="1" t="s">
        <v>4096</v>
      </c>
      <c r="B413" s="1" t="s">
        <v>947</v>
      </c>
      <c r="C413" s="1" t="s">
        <v>3571</v>
      </c>
      <c r="D413" s="1" t="s">
        <v>948</v>
      </c>
      <c r="E413" s="1" t="s">
        <v>3572</v>
      </c>
      <c r="F413" s="1" t="s">
        <v>3573</v>
      </c>
      <c r="G413" s="1" t="s">
        <v>3574</v>
      </c>
      <c r="H413" s="2"/>
      <c r="I413" s="5">
        <f>XLOOKUP(K413, pharmaceutical_index!B:B, pharmaceutical_index!A:A, "Not Found")</f>
      </c>
      <c r="J413" s="1" t="s">
        <v>947</v>
      </c>
      <c r="K413" s="1" t="s">
        <v>947</v>
      </c>
      <c r="L413" s="1" t="s">
        <v>948</v>
      </c>
      <c r="M413" s="1" t="s">
        <v>947</v>
      </c>
      <c r="N413" s="2"/>
      <c r="O413" s="2"/>
      <c r="P413" s="2"/>
      <c r="Q413" s="2"/>
    </row>
    <row x14ac:dyDescent="0.25" r="414" customHeight="1" ht="17.25">
      <c r="A414" s="1" t="s">
        <v>4097</v>
      </c>
      <c r="B414" s="1" t="s">
        <v>950</v>
      </c>
      <c r="C414" s="1" t="s">
        <v>3571</v>
      </c>
      <c r="D414" s="1" t="s">
        <v>20</v>
      </c>
      <c r="E414" s="1" t="s">
        <v>3572</v>
      </c>
      <c r="F414" s="1" t="s">
        <v>3573</v>
      </c>
      <c r="G414" s="1" t="s">
        <v>3574</v>
      </c>
      <c r="H414" s="2"/>
      <c r="I414" s="5">
        <f>XLOOKUP(K414, pharmaceutical_index!B:B, pharmaceutical_index!A:A, "Not Found")</f>
      </c>
      <c r="J414" s="1" t="s">
        <v>4098</v>
      </c>
      <c r="K414" s="1" t="s">
        <v>950</v>
      </c>
      <c r="L414" s="1" t="s">
        <v>20</v>
      </c>
      <c r="M414" s="1" t="s">
        <v>4099</v>
      </c>
      <c r="N414" s="2"/>
      <c r="O414" s="2"/>
      <c r="P414" s="2"/>
      <c r="Q414" s="2"/>
    </row>
    <row x14ac:dyDescent="0.25" r="415" customHeight="1" ht="17.25">
      <c r="A415" s="1" t="s">
        <v>4100</v>
      </c>
      <c r="B415" s="1" t="s">
        <v>952</v>
      </c>
      <c r="C415" s="1" t="s">
        <v>3576</v>
      </c>
      <c r="D415" s="1" t="s">
        <v>20</v>
      </c>
      <c r="E415" s="1" t="s">
        <v>3572</v>
      </c>
      <c r="F415" s="1" t="s">
        <v>3573</v>
      </c>
      <c r="G415" s="1" t="s">
        <v>3574</v>
      </c>
      <c r="H415" s="2"/>
      <c r="I415" s="5">
        <f>XLOOKUP(K415, pharmaceutical_index!B:B, pharmaceutical_index!A:A, "Not Found")</f>
      </c>
      <c r="J415" s="1" t="s">
        <v>952</v>
      </c>
      <c r="K415" s="1" t="s">
        <v>952</v>
      </c>
      <c r="L415" s="1" t="s">
        <v>20</v>
      </c>
      <c r="M415" s="1" t="s">
        <v>952</v>
      </c>
      <c r="N415" s="2"/>
      <c r="O415" s="2"/>
      <c r="P415" s="2"/>
      <c r="Q415" s="2"/>
    </row>
    <row x14ac:dyDescent="0.25" r="416" customHeight="1" ht="17.25">
      <c r="A416" s="1" t="s">
        <v>4101</v>
      </c>
      <c r="B416" s="1" t="s">
        <v>954</v>
      </c>
      <c r="C416" s="1" t="s">
        <v>3571</v>
      </c>
      <c r="D416" s="1" t="s">
        <v>96</v>
      </c>
      <c r="E416" s="1" t="s">
        <v>3572</v>
      </c>
      <c r="F416" s="1" t="s">
        <v>3573</v>
      </c>
      <c r="G416" s="1" t="s">
        <v>3574</v>
      </c>
      <c r="H416" s="2"/>
      <c r="I416" s="5">
        <f>XLOOKUP(K416, pharmaceutical_index!B:B, pharmaceutical_index!A:A, "Not Found")</f>
      </c>
      <c r="J416" s="1" t="s">
        <v>954</v>
      </c>
      <c r="K416" s="1" t="s">
        <v>954</v>
      </c>
      <c r="L416" s="1" t="s">
        <v>96</v>
      </c>
      <c r="M416" s="1" t="s">
        <v>954</v>
      </c>
      <c r="N416" s="2"/>
      <c r="O416" s="2"/>
      <c r="P416" s="2"/>
      <c r="Q416" s="2"/>
    </row>
    <row x14ac:dyDescent="0.25" r="417" customHeight="1" ht="17.25">
      <c r="A417" s="1" t="s">
        <v>4102</v>
      </c>
      <c r="B417" s="1" t="s">
        <v>956</v>
      </c>
      <c r="C417" s="1" t="s">
        <v>3866</v>
      </c>
      <c r="D417" s="1" t="s">
        <v>837</v>
      </c>
      <c r="E417" s="1" t="s">
        <v>3572</v>
      </c>
      <c r="F417" s="1" t="s">
        <v>3573</v>
      </c>
      <c r="G417" s="1" t="s">
        <v>3574</v>
      </c>
      <c r="H417" s="2"/>
      <c r="I417" s="5">
        <f>XLOOKUP(K417, pharmaceutical_index!B:B, pharmaceutical_index!A:A, "Not Found")</f>
      </c>
      <c r="J417" s="1" t="s">
        <v>956</v>
      </c>
      <c r="K417" s="1" t="s">
        <v>956</v>
      </c>
      <c r="L417" s="1" t="s">
        <v>837</v>
      </c>
      <c r="M417" s="1" t="s">
        <v>956</v>
      </c>
      <c r="N417" s="2"/>
      <c r="O417" s="2"/>
      <c r="P417" s="2"/>
      <c r="Q417" s="2"/>
    </row>
    <row x14ac:dyDescent="0.25" r="418" customHeight="1" ht="17.25">
      <c r="A418" s="1" t="s">
        <v>4103</v>
      </c>
      <c r="B418" s="1" t="s">
        <v>958</v>
      </c>
      <c r="C418" s="1" t="s">
        <v>3622</v>
      </c>
      <c r="D418" s="1" t="s">
        <v>135</v>
      </c>
      <c r="E418" s="1" t="s">
        <v>3572</v>
      </c>
      <c r="F418" s="1" t="s">
        <v>3573</v>
      </c>
      <c r="G418" s="1" t="s">
        <v>3574</v>
      </c>
      <c r="H418" s="2"/>
      <c r="I418" s="5">
        <f>XLOOKUP(K418, pharmaceutical_index!B:B, pharmaceutical_index!A:A, "Not Found")</f>
      </c>
      <c r="J418" s="1" t="s">
        <v>958</v>
      </c>
      <c r="K418" s="1" t="s">
        <v>958</v>
      </c>
      <c r="L418" s="1" t="s">
        <v>135</v>
      </c>
      <c r="M418" s="1" t="s">
        <v>958</v>
      </c>
      <c r="N418" s="2"/>
      <c r="O418" s="2"/>
      <c r="P418" s="2"/>
      <c r="Q418" s="2"/>
    </row>
    <row x14ac:dyDescent="0.25" r="419" customHeight="1" ht="17.25">
      <c r="A419" s="1" t="s">
        <v>4104</v>
      </c>
      <c r="B419" s="1" t="s">
        <v>960</v>
      </c>
      <c r="C419" s="1" t="s">
        <v>3866</v>
      </c>
      <c r="D419" s="1" t="s">
        <v>837</v>
      </c>
      <c r="E419" s="1" t="s">
        <v>3572</v>
      </c>
      <c r="F419" s="1" t="s">
        <v>3573</v>
      </c>
      <c r="G419" s="1" t="s">
        <v>3574</v>
      </c>
      <c r="H419" s="2"/>
      <c r="I419" s="5">
        <f>XLOOKUP(K419, pharmaceutical_index!B:B, pharmaceutical_index!A:A, "Not Found")</f>
      </c>
      <c r="J419" s="1" t="s">
        <v>960</v>
      </c>
      <c r="K419" s="1" t="s">
        <v>960</v>
      </c>
      <c r="L419" s="1" t="s">
        <v>837</v>
      </c>
      <c r="M419" s="1" t="s">
        <v>960</v>
      </c>
      <c r="N419" s="2"/>
      <c r="O419" s="2"/>
      <c r="P419" s="2"/>
      <c r="Q419" s="2"/>
    </row>
    <row x14ac:dyDescent="0.25" r="420" customHeight="1" ht="17.25">
      <c r="A420" s="1" t="s">
        <v>4105</v>
      </c>
      <c r="B420" s="1" t="s">
        <v>962</v>
      </c>
      <c r="C420" s="1" t="s">
        <v>3651</v>
      </c>
      <c r="D420" s="1" t="s">
        <v>20</v>
      </c>
      <c r="E420" s="1" t="s">
        <v>3572</v>
      </c>
      <c r="F420" s="1" t="s">
        <v>3573</v>
      </c>
      <c r="G420" s="1" t="s">
        <v>3574</v>
      </c>
      <c r="H420" s="2"/>
      <c r="I420" s="5">
        <f>XLOOKUP(K420, pharmaceutical_index!B:B, pharmaceutical_index!A:A, "Not Found")</f>
      </c>
      <c r="J420" s="1" t="s">
        <v>962</v>
      </c>
      <c r="K420" s="1" t="s">
        <v>962</v>
      </c>
      <c r="L420" s="1" t="s">
        <v>20</v>
      </c>
      <c r="M420" s="1" t="s">
        <v>962</v>
      </c>
      <c r="N420" s="2"/>
      <c r="O420" s="2"/>
      <c r="P420" s="2"/>
      <c r="Q420" s="2"/>
    </row>
    <row x14ac:dyDescent="0.25" r="421" customHeight="1" ht="17.25">
      <c r="A421" s="1" t="s">
        <v>4106</v>
      </c>
      <c r="B421" s="1" t="s">
        <v>964</v>
      </c>
      <c r="C421" s="1" t="s">
        <v>4107</v>
      </c>
      <c r="D421" s="1" t="s">
        <v>20</v>
      </c>
      <c r="E421" s="1" t="s">
        <v>3572</v>
      </c>
      <c r="F421" s="1" t="s">
        <v>3573</v>
      </c>
      <c r="G421" s="1" t="s">
        <v>3574</v>
      </c>
      <c r="H421" s="2"/>
      <c r="I421" s="5">
        <f>XLOOKUP(K421, pharmaceutical_index!B:B, pharmaceutical_index!A:A, "Not Found")</f>
      </c>
      <c r="J421" s="1" t="s">
        <v>964</v>
      </c>
      <c r="K421" s="1" t="s">
        <v>964</v>
      </c>
      <c r="L421" s="1" t="s">
        <v>20</v>
      </c>
      <c r="M421" s="1" t="s">
        <v>964</v>
      </c>
      <c r="N421" s="2"/>
      <c r="O421" s="2"/>
      <c r="P421" s="2"/>
      <c r="Q421" s="2"/>
    </row>
    <row x14ac:dyDescent="0.25" r="422" customHeight="1" ht="17.25">
      <c r="A422" s="1" t="s">
        <v>4108</v>
      </c>
      <c r="B422" s="1" t="s">
        <v>966</v>
      </c>
      <c r="C422" s="1" t="s">
        <v>3635</v>
      </c>
      <c r="D422" s="1" t="s">
        <v>20</v>
      </c>
      <c r="E422" s="1" t="s">
        <v>3572</v>
      </c>
      <c r="F422" s="1" t="s">
        <v>3573</v>
      </c>
      <c r="G422" s="1" t="s">
        <v>3574</v>
      </c>
      <c r="H422" s="2"/>
      <c r="I422" s="5">
        <f>XLOOKUP(K422, pharmaceutical_index!B:B, pharmaceutical_index!A:A, "Not Found")</f>
      </c>
      <c r="J422" s="1" t="s">
        <v>966</v>
      </c>
      <c r="K422" s="1" t="s">
        <v>966</v>
      </c>
      <c r="L422" s="1" t="s">
        <v>20</v>
      </c>
      <c r="M422" s="1" t="s">
        <v>966</v>
      </c>
      <c r="N422" s="2"/>
      <c r="O422" s="2"/>
      <c r="P422" s="2"/>
      <c r="Q422" s="2"/>
    </row>
    <row x14ac:dyDescent="0.25" r="423" customHeight="1" ht="17.25">
      <c r="A423" s="1" t="s">
        <v>4109</v>
      </c>
      <c r="B423" s="1" t="s">
        <v>968</v>
      </c>
      <c r="C423" s="1" t="s">
        <v>3571</v>
      </c>
      <c r="D423" s="1" t="s">
        <v>862</v>
      </c>
      <c r="E423" s="1" t="s">
        <v>3572</v>
      </c>
      <c r="F423" s="1" t="s">
        <v>3573</v>
      </c>
      <c r="G423" s="1" t="s">
        <v>3574</v>
      </c>
      <c r="H423" s="2"/>
      <c r="I423" s="5">
        <f>XLOOKUP(K423, pharmaceutical_index!B:B, pharmaceutical_index!A:A, "Not Found")</f>
      </c>
      <c r="J423" s="1" t="s">
        <v>968</v>
      </c>
      <c r="K423" s="1" t="s">
        <v>968</v>
      </c>
      <c r="L423" s="1" t="s">
        <v>862</v>
      </c>
      <c r="M423" s="1" t="s">
        <v>968</v>
      </c>
      <c r="N423" s="2"/>
      <c r="O423" s="2"/>
      <c r="P423" s="2"/>
      <c r="Q423" s="2"/>
    </row>
    <row x14ac:dyDescent="0.25" r="424" customHeight="1" ht="17.25">
      <c r="A424" s="1" t="s">
        <v>4110</v>
      </c>
      <c r="B424" s="1" t="s">
        <v>970</v>
      </c>
      <c r="C424" s="1" t="s">
        <v>3635</v>
      </c>
      <c r="D424" s="1" t="s">
        <v>20</v>
      </c>
      <c r="E424" s="1" t="s">
        <v>3572</v>
      </c>
      <c r="F424" s="1" t="s">
        <v>3573</v>
      </c>
      <c r="G424" s="1" t="s">
        <v>3574</v>
      </c>
      <c r="H424" s="2"/>
      <c r="I424" s="5">
        <f>XLOOKUP(K424, pharmaceutical_index!B:B, pharmaceutical_index!A:A, "Not Found")</f>
      </c>
      <c r="J424" s="1" t="s">
        <v>970</v>
      </c>
      <c r="K424" s="1" t="s">
        <v>970</v>
      </c>
      <c r="L424" s="1" t="s">
        <v>20</v>
      </c>
      <c r="M424" s="1" t="s">
        <v>970</v>
      </c>
      <c r="N424" s="2"/>
      <c r="O424" s="2"/>
      <c r="P424" s="2"/>
      <c r="Q424" s="2"/>
    </row>
    <row x14ac:dyDescent="0.25" r="425" customHeight="1" ht="17.25">
      <c r="A425" s="1" t="s">
        <v>4111</v>
      </c>
      <c r="B425" s="1" t="s">
        <v>972</v>
      </c>
      <c r="C425" s="1" t="s">
        <v>3571</v>
      </c>
      <c r="D425" s="1" t="s">
        <v>453</v>
      </c>
      <c r="E425" s="1" t="s">
        <v>3572</v>
      </c>
      <c r="F425" s="1" t="s">
        <v>3573</v>
      </c>
      <c r="G425" s="1" t="s">
        <v>3574</v>
      </c>
      <c r="H425" s="2"/>
      <c r="I425" s="5">
        <f>XLOOKUP(K425, pharmaceutical_index!B:B, pharmaceutical_index!A:A, "Not Found")</f>
      </c>
      <c r="J425" s="1" t="s">
        <v>972</v>
      </c>
      <c r="K425" s="1" t="s">
        <v>972</v>
      </c>
      <c r="L425" s="1" t="s">
        <v>453</v>
      </c>
      <c r="M425" s="1" t="s">
        <v>972</v>
      </c>
      <c r="N425" s="2"/>
      <c r="O425" s="2"/>
      <c r="P425" s="2"/>
      <c r="Q425" s="2"/>
    </row>
    <row x14ac:dyDescent="0.25" r="426" customHeight="1" ht="17.25">
      <c r="A426" s="1" t="s">
        <v>4112</v>
      </c>
      <c r="B426" s="1" t="s">
        <v>974</v>
      </c>
      <c r="C426" s="1" t="s">
        <v>3571</v>
      </c>
      <c r="D426" s="1" t="s">
        <v>453</v>
      </c>
      <c r="E426" s="1" t="s">
        <v>3572</v>
      </c>
      <c r="F426" s="1" t="s">
        <v>3573</v>
      </c>
      <c r="G426" s="1" t="s">
        <v>3574</v>
      </c>
      <c r="H426" s="2"/>
      <c r="I426" s="5">
        <f>XLOOKUP(K426, pharmaceutical_index!B:B, pharmaceutical_index!A:A, "Not Found")</f>
      </c>
      <c r="J426" s="1" t="s">
        <v>974</v>
      </c>
      <c r="K426" s="1" t="s">
        <v>974</v>
      </c>
      <c r="L426" s="1" t="s">
        <v>453</v>
      </c>
      <c r="M426" s="1" t="s">
        <v>974</v>
      </c>
      <c r="N426" s="2"/>
      <c r="O426" s="2"/>
      <c r="P426" s="2"/>
      <c r="Q426" s="2"/>
    </row>
    <row x14ac:dyDescent="0.25" r="427" customHeight="1" ht="17.25">
      <c r="A427" s="1" t="s">
        <v>4113</v>
      </c>
      <c r="B427" s="1" t="s">
        <v>976</v>
      </c>
      <c r="C427" s="1" t="s">
        <v>3769</v>
      </c>
      <c r="D427" s="1" t="s">
        <v>340</v>
      </c>
      <c r="E427" s="1" t="s">
        <v>3572</v>
      </c>
      <c r="F427" s="1" t="s">
        <v>3573</v>
      </c>
      <c r="G427" s="1" t="s">
        <v>3574</v>
      </c>
      <c r="H427" s="2"/>
      <c r="I427" s="5">
        <f>XLOOKUP(K427, pharmaceutical_index!B:B, pharmaceutical_index!A:A, "Not Found")</f>
      </c>
      <c r="J427" s="1" t="s">
        <v>976</v>
      </c>
      <c r="K427" s="1" t="s">
        <v>976</v>
      </c>
      <c r="L427" s="1" t="s">
        <v>340</v>
      </c>
      <c r="M427" s="1" t="s">
        <v>976</v>
      </c>
      <c r="N427" s="2"/>
      <c r="O427" s="2"/>
      <c r="P427" s="2"/>
      <c r="Q427" s="2"/>
    </row>
    <row x14ac:dyDescent="0.25" r="428" customHeight="1" ht="17.25">
      <c r="A428" s="1" t="s">
        <v>4114</v>
      </c>
      <c r="B428" s="1" t="s">
        <v>978</v>
      </c>
      <c r="C428" s="1" t="s">
        <v>3610</v>
      </c>
      <c r="D428" s="1" t="s">
        <v>254</v>
      </c>
      <c r="E428" s="1" t="s">
        <v>3572</v>
      </c>
      <c r="F428" s="1" t="s">
        <v>3573</v>
      </c>
      <c r="G428" s="1" t="s">
        <v>3574</v>
      </c>
      <c r="H428" s="2"/>
      <c r="I428" s="5">
        <f>XLOOKUP(K428, pharmaceutical_index!B:B, pharmaceutical_index!A:A, "Not Found")</f>
      </c>
      <c r="J428" s="1" t="s">
        <v>978</v>
      </c>
      <c r="K428" s="1" t="s">
        <v>978</v>
      </c>
      <c r="L428" s="1" t="s">
        <v>254</v>
      </c>
      <c r="M428" s="1" t="s">
        <v>978</v>
      </c>
      <c r="N428" s="2"/>
      <c r="O428" s="2"/>
      <c r="P428" s="2"/>
      <c r="Q428" s="2"/>
    </row>
    <row x14ac:dyDescent="0.25" r="429" customHeight="1" ht="17.25">
      <c r="A429" s="1" t="s">
        <v>4115</v>
      </c>
      <c r="B429" s="1" t="s">
        <v>980</v>
      </c>
      <c r="C429" s="1" t="s">
        <v>3712</v>
      </c>
      <c r="D429" s="1" t="s">
        <v>450</v>
      </c>
      <c r="E429" s="1" t="s">
        <v>3572</v>
      </c>
      <c r="F429" s="1" t="s">
        <v>3573</v>
      </c>
      <c r="G429" s="1" t="s">
        <v>3574</v>
      </c>
      <c r="H429" s="2"/>
      <c r="I429" s="5">
        <f>XLOOKUP(K429, pharmaceutical_index!B:B, pharmaceutical_index!A:A, "Not Found")</f>
      </c>
      <c r="J429" s="1" t="s">
        <v>980</v>
      </c>
      <c r="K429" s="1" t="s">
        <v>980</v>
      </c>
      <c r="L429" s="1" t="s">
        <v>450</v>
      </c>
      <c r="M429" s="1" t="s">
        <v>980</v>
      </c>
      <c r="N429" s="2"/>
      <c r="O429" s="2"/>
      <c r="P429" s="2"/>
      <c r="Q429" s="2"/>
    </row>
    <row x14ac:dyDescent="0.25" r="430" customHeight="1" ht="17.25">
      <c r="A430" s="1" t="s">
        <v>4116</v>
      </c>
      <c r="B430" s="1" t="s">
        <v>982</v>
      </c>
      <c r="C430" s="1" t="s">
        <v>3622</v>
      </c>
      <c r="D430" s="1" t="s">
        <v>135</v>
      </c>
      <c r="E430" s="1" t="s">
        <v>3572</v>
      </c>
      <c r="F430" s="1" t="s">
        <v>3573</v>
      </c>
      <c r="G430" s="1" t="s">
        <v>3574</v>
      </c>
      <c r="H430" s="2"/>
      <c r="I430" s="5">
        <f>XLOOKUP(K430, pharmaceutical_index!B:B, pharmaceutical_index!A:A, "Not Found")</f>
      </c>
      <c r="J430" s="1" t="s">
        <v>982</v>
      </c>
      <c r="K430" s="1" t="s">
        <v>982</v>
      </c>
      <c r="L430" s="1" t="s">
        <v>135</v>
      </c>
      <c r="M430" s="1" t="s">
        <v>982</v>
      </c>
      <c r="N430" s="2"/>
      <c r="O430" s="2"/>
      <c r="P430" s="2"/>
      <c r="Q430" s="2"/>
    </row>
    <row x14ac:dyDescent="0.25" r="431" customHeight="1" ht="17.25">
      <c r="A431" s="1" t="s">
        <v>4117</v>
      </c>
      <c r="B431" s="1" t="s">
        <v>984</v>
      </c>
      <c r="C431" s="1" t="s">
        <v>3622</v>
      </c>
      <c r="D431" s="1" t="s">
        <v>135</v>
      </c>
      <c r="E431" s="1" t="s">
        <v>3572</v>
      </c>
      <c r="F431" s="1" t="s">
        <v>3573</v>
      </c>
      <c r="G431" s="1" t="s">
        <v>3574</v>
      </c>
      <c r="H431" s="2"/>
      <c r="I431" s="5">
        <f>XLOOKUP(K431, pharmaceutical_index!B:B, pharmaceutical_index!A:A, "Not Found")</f>
      </c>
      <c r="J431" s="1" t="s">
        <v>984</v>
      </c>
      <c r="K431" s="1" t="s">
        <v>984</v>
      </c>
      <c r="L431" s="1" t="s">
        <v>135</v>
      </c>
      <c r="M431" s="1" t="s">
        <v>984</v>
      </c>
      <c r="N431" s="2"/>
      <c r="O431" s="2"/>
      <c r="P431" s="2"/>
      <c r="Q431" s="2"/>
    </row>
    <row x14ac:dyDescent="0.25" r="432" customHeight="1" ht="17.25">
      <c r="A432" s="1" t="s">
        <v>4118</v>
      </c>
      <c r="B432" s="1" t="s">
        <v>986</v>
      </c>
      <c r="C432" s="1" t="s">
        <v>3682</v>
      </c>
      <c r="D432" s="1" t="s">
        <v>185</v>
      </c>
      <c r="E432" s="1" t="s">
        <v>3572</v>
      </c>
      <c r="F432" s="1" t="s">
        <v>3573</v>
      </c>
      <c r="G432" s="1" t="s">
        <v>3574</v>
      </c>
      <c r="H432" s="2"/>
      <c r="I432" s="5">
        <f>XLOOKUP(K432, pharmaceutical_index!B:B, pharmaceutical_index!A:A, "Not Found")</f>
      </c>
      <c r="J432" s="1" t="s">
        <v>986</v>
      </c>
      <c r="K432" s="1" t="s">
        <v>986</v>
      </c>
      <c r="L432" s="1" t="s">
        <v>185</v>
      </c>
      <c r="M432" s="1" t="s">
        <v>986</v>
      </c>
      <c r="N432" s="2"/>
      <c r="O432" s="2"/>
      <c r="P432" s="2"/>
      <c r="Q432" s="2"/>
    </row>
    <row x14ac:dyDescent="0.25" r="433" customHeight="1" ht="17.25">
      <c r="A433" s="1" t="s">
        <v>4119</v>
      </c>
      <c r="B433" s="1" t="s">
        <v>988</v>
      </c>
      <c r="C433" s="1" t="s">
        <v>3600</v>
      </c>
      <c r="D433" s="1" t="s">
        <v>54</v>
      </c>
      <c r="E433" s="1" t="s">
        <v>3572</v>
      </c>
      <c r="F433" s="1" t="s">
        <v>3573</v>
      </c>
      <c r="G433" s="1" t="s">
        <v>3574</v>
      </c>
      <c r="H433" s="2"/>
      <c r="I433" s="5">
        <f>XLOOKUP(K433, pharmaceutical_index!B:B, pharmaceutical_index!A:A, "Not Found")</f>
      </c>
      <c r="J433" s="1" t="s">
        <v>988</v>
      </c>
      <c r="K433" s="1" t="s">
        <v>988</v>
      </c>
      <c r="L433" s="1" t="s">
        <v>54</v>
      </c>
      <c r="M433" s="1" t="s">
        <v>988</v>
      </c>
      <c r="N433" s="2"/>
      <c r="O433" s="2"/>
      <c r="P433" s="2"/>
      <c r="Q433" s="2"/>
    </row>
    <row x14ac:dyDescent="0.25" r="434" customHeight="1" ht="17.25">
      <c r="A434" s="1" t="s">
        <v>4120</v>
      </c>
      <c r="B434" s="1" t="s">
        <v>990</v>
      </c>
      <c r="C434" s="1" t="s">
        <v>3682</v>
      </c>
      <c r="D434" s="1" t="s">
        <v>185</v>
      </c>
      <c r="E434" s="1" t="s">
        <v>3572</v>
      </c>
      <c r="F434" s="1" t="s">
        <v>3573</v>
      </c>
      <c r="G434" s="1" t="s">
        <v>3574</v>
      </c>
      <c r="H434" s="2"/>
      <c r="I434" s="5">
        <f>XLOOKUP(K434, pharmaceutical_index!B:B, pharmaceutical_index!A:A, "Not Found")</f>
      </c>
      <c r="J434" s="1" t="s">
        <v>4121</v>
      </c>
      <c r="K434" s="1" t="s">
        <v>990</v>
      </c>
      <c r="L434" s="1" t="s">
        <v>185</v>
      </c>
      <c r="M434" s="1" t="s">
        <v>4122</v>
      </c>
      <c r="N434" s="2"/>
      <c r="O434" s="2"/>
      <c r="P434" s="2"/>
      <c r="Q434" s="2"/>
    </row>
    <row x14ac:dyDescent="0.25" r="435" customHeight="1" ht="17.25">
      <c r="A435" s="1" t="s">
        <v>4123</v>
      </c>
      <c r="B435" s="1" t="s">
        <v>992</v>
      </c>
      <c r="C435" s="1" t="s">
        <v>3866</v>
      </c>
      <c r="D435" s="1" t="s">
        <v>641</v>
      </c>
      <c r="E435" s="1" t="s">
        <v>3572</v>
      </c>
      <c r="F435" s="1" t="s">
        <v>3573</v>
      </c>
      <c r="G435" s="1" t="s">
        <v>3574</v>
      </c>
      <c r="H435" s="2"/>
      <c r="I435" s="5">
        <f>XLOOKUP(K435, pharmaceutical_index!B:B, pharmaceutical_index!A:A, "Not Found")</f>
      </c>
      <c r="J435" s="1" t="s">
        <v>992</v>
      </c>
      <c r="K435" s="1" t="s">
        <v>992</v>
      </c>
      <c r="L435" s="1" t="s">
        <v>641</v>
      </c>
      <c r="M435" s="1" t="s">
        <v>992</v>
      </c>
      <c r="N435" s="2"/>
      <c r="O435" s="2"/>
      <c r="P435" s="2"/>
      <c r="Q435" s="2"/>
    </row>
    <row x14ac:dyDescent="0.25" r="436" customHeight="1" ht="17.25">
      <c r="A436" s="1" t="s">
        <v>4124</v>
      </c>
      <c r="B436" s="1" t="s">
        <v>994</v>
      </c>
      <c r="C436" s="1" t="s">
        <v>3643</v>
      </c>
      <c r="D436" s="1" t="s">
        <v>545</v>
      </c>
      <c r="E436" s="1" t="s">
        <v>3572</v>
      </c>
      <c r="F436" s="1" t="s">
        <v>3573</v>
      </c>
      <c r="G436" s="1" t="s">
        <v>3574</v>
      </c>
      <c r="H436" s="2"/>
      <c r="I436" s="5">
        <f>XLOOKUP(K436, pharmaceutical_index!B:B, pharmaceutical_index!A:A, "Not Found")</f>
      </c>
      <c r="J436" s="1" t="s">
        <v>994</v>
      </c>
      <c r="K436" s="1" t="s">
        <v>994</v>
      </c>
      <c r="L436" s="1" t="s">
        <v>545</v>
      </c>
      <c r="M436" s="1" t="s">
        <v>994</v>
      </c>
      <c r="N436" s="2"/>
      <c r="O436" s="2"/>
      <c r="P436" s="2"/>
      <c r="Q436" s="2"/>
    </row>
    <row x14ac:dyDescent="0.25" r="437" customHeight="1" ht="17.25">
      <c r="A437" s="1" t="s">
        <v>4125</v>
      </c>
      <c r="B437" s="1" t="s">
        <v>996</v>
      </c>
      <c r="C437" s="1" t="s">
        <v>3595</v>
      </c>
      <c r="D437" s="1" t="s">
        <v>20</v>
      </c>
      <c r="E437" s="1" t="s">
        <v>3572</v>
      </c>
      <c r="F437" s="1" t="s">
        <v>3573</v>
      </c>
      <c r="G437" s="1" t="s">
        <v>3574</v>
      </c>
      <c r="H437" s="2"/>
      <c r="I437" s="5">
        <f>XLOOKUP(K437, pharmaceutical_index!B:B, pharmaceutical_index!A:A, "Not Found")</f>
      </c>
      <c r="J437" s="1" t="s">
        <v>996</v>
      </c>
      <c r="K437" s="1" t="s">
        <v>996</v>
      </c>
      <c r="L437" s="1" t="s">
        <v>20</v>
      </c>
      <c r="M437" s="1" t="s">
        <v>996</v>
      </c>
      <c r="N437" s="2"/>
      <c r="O437" s="2"/>
      <c r="P437" s="2"/>
      <c r="Q437" s="2"/>
    </row>
    <row x14ac:dyDescent="0.25" r="438" customHeight="1" ht="17.25">
      <c r="A438" s="1" t="s">
        <v>4126</v>
      </c>
      <c r="B438" s="1" t="s">
        <v>998</v>
      </c>
      <c r="C438" s="1" t="s">
        <v>3600</v>
      </c>
      <c r="D438" s="1" t="s">
        <v>519</v>
      </c>
      <c r="E438" s="1" t="s">
        <v>3572</v>
      </c>
      <c r="F438" s="1" t="s">
        <v>3573</v>
      </c>
      <c r="G438" s="1" t="s">
        <v>3574</v>
      </c>
      <c r="H438" s="2"/>
      <c r="I438" s="5">
        <f>XLOOKUP(K438, pharmaceutical_index!B:B, pharmaceutical_index!A:A, "Not Found")</f>
      </c>
      <c r="J438" s="1" t="s">
        <v>998</v>
      </c>
      <c r="K438" s="1" t="s">
        <v>998</v>
      </c>
      <c r="L438" s="1" t="s">
        <v>519</v>
      </c>
      <c r="M438" s="1" t="s">
        <v>998</v>
      </c>
      <c r="N438" s="2"/>
      <c r="O438" s="2"/>
      <c r="P438" s="2"/>
      <c r="Q438" s="2"/>
    </row>
    <row x14ac:dyDescent="0.25" r="439" customHeight="1" ht="17.25">
      <c r="A439" s="1" t="s">
        <v>4127</v>
      </c>
      <c r="B439" s="1" t="s">
        <v>1000</v>
      </c>
      <c r="C439" s="1" t="s">
        <v>3690</v>
      </c>
      <c r="D439" s="1" t="s">
        <v>20</v>
      </c>
      <c r="E439" s="1" t="s">
        <v>3572</v>
      </c>
      <c r="F439" s="1" t="s">
        <v>3573</v>
      </c>
      <c r="G439" s="1" t="s">
        <v>3574</v>
      </c>
      <c r="H439" s="2"/>
      <c r="I439" s="5">
        <f>XLOOKUP(K439, pharmaceutical_index!B:B, pharmaceutical_index!A:A, "Not Found")</f>
      </c>
      <c r="J439" s="1" t="s">
        <v>1000</v>
      </c>
      <c r="K439" s="1" t="s">
        <v>1000</v>
      </c>
      <c r="L439" s="1" t="s">
        <v>20</v>
      </c>
      <c r="M439" s="1" t="s">
        <v>1000</v>
      </c>
      <c r="N439" s="2"/>
      <c r="O439" s="2"/>
      <c r="P439" s="2"/>
      <c r="Q439" s="2"/>
    </row>
    <row x14ac:dyDescent="0.25" r="440" customHeight="1" ht="17.25">
      <c r="A440" s="1" t="s">
        <v>4128</v>
      </c>
      <c r="B440" s="1" t="s">
        <v>1002</v>
      </c>
      <c r="C440" s="1" t="s">
        <v>3589</v>
      </c>
      <c r="D440" s="1" t="s">
        <v>111</v>
      </c>
      <c r="E440" s="1" t="s">
        <v>3572</v>
      </c>
      <c r="F440" s="1" t="s">
        <v>3573</v>
      </c>
      <c r="G440" s="1" t="s">
        <v>3574</v>
      </c>
      <c r="H440" s="2"/>
      <c r="I440" s="5">
        <f>XLOOKUP(K440, pharmaceutical_index!B:B, pharmaceutical_index!A:A, "Not Found")</f>
      </c>
      <c r="J440" s="1" t="s">
        <v>1002</v>
      </c>
      <c r="K440" s="1" t="s">
        <v>1002</v>
      </c>
      <c r="L440" s="1" t="s">
        <v>111</v>
      </c>
      <c r="M440" s="1" t="s">
        <v>1002</v>
      </c>
      <c r="N440" s="2"/>
      <c r="O440" s="2"/>
      <c r="P440" s="2"/>
      <c r="Q440" s="2"/>
    </row>
    <row x14ac:dyDescent="0.25" r="441" customHeight="1" ht="17.25">
      <c r="A441" s="1" t="s">
        <v>4129</v>
      </c>
      <c r="B441" s="1" t="s">
        <v>1004</v>
      </c>
      <c r="C441" s="1" t="s">
        <v>3608</v>
      </c>
      <c r="D441" s="1" t="s">
        <v>522</v>
      </c>
      <c r="E441" s="1" t="s">
        <v>3572</v>
      </c>
      <c r="F441" s="1" t="s">
        <v>3573</v>
      </c>
      <c r="G441" s="1" t="s">
        <v>3574</v>
      </c>
      <c r="H441" s="2"/>
      <c r="I441" s="5">
        <f>XLOOKUP(K441, pharmaceutical_index!B:B, pharmaceutical_index!A:A, "Not Found")</f>
      </c>
      <c r="J441" s="1" t="s">
        <v>1004</v>
      </c>
      <c r="K441" s="1" t="s">
        <v>1004</v>
      </c>
      <c r="L441" s="1" t="s">
        <v>522</v>
      </c>
      <c r="M441" s="1" t="s">
        <v>1004</v>
      </c>
      <c r="N441" s="2"/>
      <c r="O441" s="2"/>
      <c r="P441" s="2"/>
      <c r="Q441" s="2"/>
    </row>
    <row x14ac:dyDescent="0.25" r="442" customHeight="1" ht="17.25">
      <c r="A442" s="1" t="s">
        <v>4130</v>
      </c>
      <c r="B442" s="1" t="s">
        <v>1006</v>
      </c>
      <c r="C442" s="1" t="s">
        <v>3571</v>
      </c>
      <c r="D442" s="1" t="s">
        <v>1007</v>
      </c>
      <c r="E442" s="1" t="s">
        <v>3572</v>
      </c>
      <c r="F442" s="1" t="s">
        <v>3573</v>
      </c>
      <c r="G442" s="1" t="s">
        <v>3574</v>
      </c>
      <c r="H442" s="2"/>
      <c r="I442" s="5">
        <f>XLOOKUP(K442, pharmaceutical_index!B:B, pharmaceutical_index!A:A, "Not Found")</f>
      </c>
      <c r="J442" s="1" t="s">
        <v>1006</v>
      </c>
      <c r="K442" s="1" t="s">
        <v>1006</v>
      </c>
      <c r="L442" s="1" t="s">
        <v>1007</v>
      </c>
      <c r="M442" s="1" t="s">
        <v>1006</v>
      </c>
      <c r="N442" s="2"/>
      <c r="O442" s="2"/>
      <c r="P442" s="2"/>
      <c r="Q442" s="2"/>
    </row>
    <row x14ac:dyDescent="0.25" r="443" customHeight="1" ht="17.25">
      <c r="A443" s="1" t="s">
        <v>4131</v>
      </c>
      <c r="B443" s="1" t="s">
        <v>1009</v>
      </c>
      <c r="C443" s="1" t="s">
        <v>3587</v>
      </c>
      <c r="D443" s="1" t="s">
        <v>30</v>
      </c>
      <c r="E443" s="1" t="s">
        <v>3572</v>
      </c>
      <c r="F443" s="1" t="s">
        <v>3573</v>
      </c>
      <c r="G443" s="1" t="s">
        <v>3574</v>
      </c>
      <c r="H443" s="2"/>
      <c r="I443" s="5">
        <f>XLOOKUP(K443, pharmaceutical_index!B:B, pharmaceutical_index!A:A, "Not Found")</f>
      </c>
      <c r="J443" s="1" t="s">
        <v>1009</v>
      </c>
      <c r="K443" s="1" t="s">
        <v>1009</v>
      </c>
      <c r="L443" s="1" t="s">
        <v>30</v>
      </c>
      <c r="M443" s="1" t="s">
        <v>1009</v>
      </c>
      <c r="N443" s="2"/>
      <c r="O443" s="2"/>
      <c r="P443" s="2"/>
      <c r="Q443" s="2"/>
    </row>
    <row x14ac:dyDescent="0.25" r="444" customHeight="1" ht="17.25">
      <c r="A444" s="1" t="s">
        <v>4132</v>
      </c>
      <c r="B444" s="1" t="s">
        <v>1011</v>
      </c>
      <c r="C444" s="1" t="s">
        <v>3866</v>
      </c>
      <c r="D444" s="1" t="s">
        <v>532</v>
      </c>
      <c r="E444" s="1" t="s">
        <v>3572</v>
      </c>
      <c r="F444" s="1" t="s">
        <v>3573</v>
      </c>
      <c r="G444" s="1" t="s">
        <v>3574</v>
      </c>
      <c r="H444" s="2"/>
      <c r="I444" s="5">
        <f>XLOOKUP(K444, pharmaceutical_index!B:B, pharmaceutical_index!A:A, "Not Found")</f>
      </c>
      <c r="J444" s="1" t="s">
        <v>1011</v>
      </c>
      <c r="K444" s="1" t="s">
        <v>1011</v>
      </c>
      <c r="L444" s="1" t="s">
        <v>532</v>
      </c>
      <c r="M444" s="1" t="s">
        <v>1011</v>
      </c>
      <c r="N444" s="2"/>
      <c r="O444" s="2"/>
      <c r="P444" s="2"/>
      <c r="Q444" s="2"/>
    </row>
    <row x14ac:dyDescent="0.25" r="445" customHeight="1" ht="17.25">
      <c r="A445" s="1" t="s">
        <v>4133</v>
      </c>
      <c r="B445" s="1" t="s">
        <v>1013</v>
      </c>
      <c r="C445" s="1" t="s">
        <v>3769</v>
      </c>
      <c r="D445" s="1" t="s">
        <v>340</v>
      </c>
      <c r="E445" s="1" t="s">
        <v>3572</v>
      </c>
      <c r="F445" s="1" t="s">
        <v>3573</v>
      </c>
      <c r="G445" s="1" t="s">
        <v>3574</v>
      </c>
      <c r="H445" s="2"/>
      <c r="I445" s="5">
        <f>XLOOKUP(K445, pharmaceutical_index!B:B, pharmaceutical_index!A:A, "Not Found")</f>
      </c>
      <c r="J445" s="1" t="s">
        <v>1013</v>
      </c>
      <c r="K445" s="1" t="s">
        <v>1013</v>
      </c>
      <c r="L445" s="1" t="s">
        <v>340</v>
      </c>
      <c r="M445" s="1" t="s">
        <v>1013</v>
      </c>
      <c r="N445" s="2"/>
      <c r="O445" s="2"/>
      <c r="P445" s="2"/>
      <c r="Q445" s="2"/>
    </row>
    <row x14ac:dyDescent="0.25" r="446" customHeight="1" ht="17.25">
      <c r="A446" s="1" t="s">
        <v>4134</v>
      </c>
      <c r="B446" s="1" t="s">
        <v>1015</v>
      </c>
      <c r="C446" s="1" t="s">
        <v>3665</v>
      </c>
      <c r="D446" s="1" t="s">
        <v>20</v>
      </c>
      <c r="E446" s="1" t="s">
        <v>3572</v>
      </c>
      <c r="F446" s="1" t="s">
        <v>3573</v>
      </c>
      <c r="G446" s="1" t="s">
        <v>3574</v>
      </c>
      <c r="H446" s="2"/>
      <c r="I446" s="5">
        <f>XLOOKUP(K446, pharmaceutical_index!B:B, pharmaceutical_index!A:A, "Not Found")</f>
      </c>
      <c r="J446" s="1" t="s">
        <v>1015</v>
      </c>
      <c r="K446" s="1" t="s">
        <v>1015</v>
      </c>
      <c r="L446" s="1" t="s">
        <v>20</v>
      </c>
      <c r="M446" s="1" t="s">
        <v>1015</v>
      </c>
      <c r="N446" s="2"/>
      <c r="O446" s="2"/>
      <c r="P446" s="2"/>
      <c r="Q446" s="2"/>
    </row>
    <row x14ac:dyDescent="0.25" r="447" customHeight="1" ht="17.25">
      <c r="A447" s="1" t="s">
        <v>4135</v>
      </c>
      <c r="B447" s="1" t="s">
        <v>1017</v>
      </c>
      <c r="C447" s="1" t="s">
        <v>3576</v>
      </c>
      <c r="D447" s="1" t="s">
        <v>20</v>
      </c>
      <c r="E447" s="1" t="s">
        <v>3572</v>
      </c>
      <c r="F447" s="1" t="s">
        <v>3573</v>
      </c>
      <c r="G447" s="1" t="s">
        <v>3574</v>
      </c>
      <c r="H447" s="2"/>
      <c r="I447" s="5">
        <f>XLOOKUP(K447, pharmaceutical_index!B:B, pharmaceutical_index!A:A, "Not Found")</f>
      </c>
      <c r="J447" s="1" t="s">
        <v>1017</v>
      </c>
      <c r="K447" s="1" t="s">
        <v>1017</v>
      </c>
      <c r="L447" s="1" t="s">
        <v>20</v>
      </c>
      <c r="M447" s="1" t="s">
        <v>1017</v>
      </c>
      <c r="N447" s="2"/>
      <c r="O447" s="2"/>
      <c r="P447" s="2"/>
      <c r="Q447" s="2"/>
    </row>
    <row x14ac:dyDescent="0.25" r="448" customHeight="1" ht="17.25">
      <c r="A448" s="1" t="s">
        <v>4136</v>
      </c>
      <c r="B448" s="1" t="s">
        <v>1019</v>
      </c>
      <c r="C448" s="1" t="s">
        <v>3701</v>
      </c>
      <c r="D448" s="1" t="s">
        <v>20</v>
      </c>
      <c r="E448" s="1" t="s">
        <v>3572</v>
      </c>
      <c r="F448" s="1" t="s">
        <v>3573</v>
      </c>
      <c r="G448" s="1" t="s">
        <v>3574</v>
      </c>
      <c r="H448" s="2"/>
      <c r="I448" s="5">
        <f>XLOOKUP(K448, pharmaceutical_index!B:B, pharmaceutical_index!A:A, "Not Found")</f>
      </c>
      <c r="J448" s="1" t="s">
        <v>1019</v>
      </c>
      <c r="K448" s="1" t="s">
        <v>1019</v>
      </c>
      <c r="L448" s="1" t="s">
        <v>20</v>
      </c>
      <c r="M448" s="1" t="s">
        <v>1019</v>
      </c>
      <c r="N448" s="2"/>
      <c r="O448" s="2"/>
      <c r="P448" s="2"/>
      <c r="Q448" s="2"/>
    </row>
    <row x14ac:dyDescent="0.25" r="449" customHeight="1" ht="17.25">
      <c r="A449" s="1" t="s">
        <v>4137</v>
      </c>
      <c r="B449" s="1" t="s">
        <v>1021</v>
      </c>
      <c r="C449" s="1" t="s">
        <v>3571</v>
      </c>
      <c r="D449" s="1" t="s">
        <v>333</v>
      </c>
      <c r="E449" s="1" t="s">
        <v>3572</v>
      </c>
      <c r="F449" s="1" t="s">
        <v>3573</v>
      </c>
      <c r="G449" s="1" t="s">
        <v>3574</v>
      </c>
      <c r="H449" s="2"/>
      <c r="I449" s="5">
        <f>XLOOKUP(K449, pharmaceutical_index!B:B, pharmaceutical_index!A:A, "Not Found")</f>
      </c>
      <c r="J449" s="1" t="s">
        <v>1021</v>
      </c>
      <c r="K449" s="1" t="s">
        <v>1021</v>
      </c>
      <c r="L449" s="1" t="s">
        <v>333</v>
      </c>
      <c r="M449" s="1" t="s">
        <v>1021</v>
      </c>
      <c r="N449" s="2"/>
      <c r="O449" s="2"/>
      <c r="P449" s="2"/>
      <c r="Q449" s="2"/>
    </row>
    <row x14ac:dyDescent="0.25" r="450" customHeight="1" ht="17.25">
      <c r="A450" s="1" t="s">
        <v>4138</v>
      </c>
      <c r="B450" s="1" t="s">
        <v>1023</v>
      </c>
      <c r="C450" s="1" t="s">
        <v>3589</v>
      </c>
      <c r="D450" s="1" t="s">
        <v>224</v>
      </c>
      <c r="E450" s="1" t="s">
        <v>3572</v>
      </c>
      <c r="F450" s="1" t="s">
        <v>3573</v>
      </c>
      <c r="G450" s="1" t="s">
        <v>3574</v>
      </c>
      <c r="H450" s="2"/>
      <c r="I450" s="5">
        <f>XLOOKUP(K450, pharmaceutical_index!B:B, pharmaceutical_index!A:A, "Not Found")</f>
      </c>
      <c r="J450" s="1" t="s">
        <v>1023</v>
      </c>
      <c r="K450" s="1" t="s">
        <v>1023</v>
      </c>
      <c r="L450" s="1" t="s">
        <v>224</v>
      </c>
      <c r="M450" s="1" t="s">
        <v>1023</v>
      </c>
      <c r="N450" s="2"/>
      <c r="O450" s="2"/>
      <c r="P450" s="2"/>
      <c r="Q450" s="2"/>
    </row>
    <row x14ac:dyDescent="0.25" r="451" customHeight="1" ht="17.25">
      <c r="A451" s="1" t="s">
        <v>4139</v>
      </c>
      <c r="B451" s="1" t="s">
        <v>1025</v>
      </c>
      <c r="C451" s="1" t="s">
        <v>3583</v>
      </c>
      <c r="D451" s="1" t="s">
        <v>20</v>
      </c>
      <c r="E451" s="1" t="s">
        <v>3572</v>
      </c>
      <c r="F451" s="1" t="s">
        <v>3573</v>
      </c>
      <c r="G451" s="1" t="s">
        <v>3574</v>
      </c>
      <c r="H451" s="2"/>
      <c r="I451" s="5">
        <f>XLOOKUP(K451, pharmaceutical_index!B:B, pharmaceutical_index!A:A, "Not Found")</f>
      </c>
      <c r="J451" s="1" t="s">
        <v>1025</v>
      </c>
      <c r="K451" s="1" t="s">
        <v>1025</v>
      </c>
      <c r="L451" s="1" t="s">
        <v>20</v>
      </c>
      <c r="M451" s="1" t="s">
        <v>1025</v>
      </c>
      <c r="N451" s="2"/>
      <c r="O451" s="2"/>
      <c r="P451" s="2"/>
      <c r="Q451" s="2"/>
    </row>
    <row x14ac:dyDescent="0.25" r="452" customHeight="1" ht="17.25">
      <c r="A452" s="1" t="s">
        <v>4140</v>
      </c>
      <c r="B452" s="1" t="s">
        <v>1027</v>
      </c>
      <c r="C452" s="1" t="s">
        <v>3589</v>
      </c>
      <c r="D452" s="1" t="s">
        <v>51</v>
      </c>
      <c r="E452" s="1" t="s">
        <v>3572</v>
      </c>
      <c r="F452" s="1" t="s">
        <v>3573</v>
      </c>
      <c r="G452" s="1" t="s">
        <v>3574</v>
      </c>
      <c r="H452" s="2"/>
      <c r="I452" s="5">
        <f>XLOOKUP(K452, pharmaceutical_index!B:B, pharmaceutical_index!A:A, "Not Found")</f>
      </c>
      <c r="J452" s="1" t="s">
        <v>1027</v>
      </c>
      <c r="K452" s="1" t="s">
        <v>1027</v>
      </c>
      <c r="L452" s="1" t="s">
        <v>51</v>
      </c>
      <c r="M452" s="1" t="s">
        <v>1027</v>
      </c>
      <c r="N452" s="2"/>
      <c r="O452" s="2"/>
      <c r="P452" s="2"/>
      <c r="Q452" s="2"/>
    </row>
    <row x14ac:dyDescent="0.25" r="453" customHeight="1" ht="17.25">
      <c r="A453" s="1" t="s">
        <v>4141</v>
      </c>
      <c r="B453" s="1" t="s">
        <v>1029</v>
      </c>
      <c r="C453" s="1" t="s">
        <v>3571</v>
      </c>
      <c r="D453" s="1" t="s">
        <v>453</v>
      </c>
      <c r="E453" s="1" t="s">
        <v>3572</v>
      </c>
      <c r="F453" s="1" t="s">
        <v>3573</v>
      </c>
      <c r="G453" s="1" t="s">
        <v>3574</v>
      </c>
      <c r="H453" s="2"/>
      <c r="I453" s="5">
        <f>XLOOKUP(K453, pharmaceutical_index!B:B, pharmaceutical_index!A:A, "Not Found")</f>
      </c>
      <c r="J453" s="1" t="s">
        <v>1029</v>
      </c>
      <c r="K453" s="1" t="s">
        <v>1029</v>
      </c>
      <c r="L453" s="1" t="s">
        <v>453</v>
      </c>
      <c r="M453" s="1" t="s">
        <v>1029</v>
      </c>
      <c r="N453" s="2"/>
      <c r="O453" s="2"/>
      <c r="P453" s="2"/>
      <c r="Q453" s="2"/>
    </row>
    <row x14ac:dyDescent="0.25" r="454" customHeight="1" ht="17.25">
      <c r="A454" s="1" t="s">
        <v>4142</v>
      </c>
      <c r="B454" s="1" t="s">
        <v>1031</v>
      </c>
      <c r="C454" s="1" t="s">
        <v>3587</v>
      </c>
      <c r="D454" s="1" t="s">
        <v>30</v>
      </c>
      <c r="E454" s="1" t="s">
        <v>3572</v>
      </c>
      <c r="F454" s="1" t="s">
        <v>3573</v>
      </c>
      <c r="G454" s="1" t="s">
        <v>3574</v>
      </c>
      <c r="H454" s="2"/>
      <c r="I454" s="5">
        <f>XLOOKUP(K454, pharmaceutical_index!B:B, pharmaceutical_index!A:A, "Not Found")</f>
      </c>
      <c r="J454" s="1" t="s">
        <v>1031</v>
      </c>
      <c r="K454" s="1" t="s">
        <v>1031</v>
      </c>
      <c r="L454" s="1" t="s">
        <v>30</v>
      </c>
      <c r="M454" s="1" t="s">
        <v>1031</v>
      </c>
      <c r="N454" s="2"/>
      <c r="O454" s="2"/>
      <c r="P454" s="2"/>
      <c r="Q454" s="2"/>
    </row>
    <row x14ac:dyDescent="0.25" r="455" customHeight="1" ht="17.25">
      <c r="A455" s="1" t="s">
        <v>4143</v>
      </c>
      <c r="B455" s="1" t="s">
        <v>1033</v>
      </c>
      <c r="C455" s="1" t="s">
        <v>3571</v>
      </c>
      <c r="D455" s="1" t="s">
        <v>231</v>
      </c>
      <c r="E455" s="1" t="s">
        <v>3572</v>
      </c>
      <c r="F455" s="1" t="s">
        <v>3573</v>
      </c>
      <c r="G455" s="1" t="s">
        <v>3574</v>
      </c>
      <c r="H455" s="2"/>
      <c r="I455" s="5">
        <f>XLOOKUP(K455, pharmaceutical_index!B:B, pharmaceutical_index!A:A, "Not Found")</f>
      </c>
      <c r="J455" s="1" t="s">
        <v>4144</v>
      </c>
      <c r="K455" s="1" t="s">
        <v>1033</v>
      </c>
      <c r="L455" s="1" t="s">
        <v>231</v>
      </c>
      <c r="M455" s="1" t="s">
        <v>4145</v>
      </c>
      <c r="N455" s="2"/>
      <c r="O455" s="2"/>
      <c r="P455" s="2"/>
      <c r="Q455" s="2"/>
    </row>
    <row x14ac:dyDescent="0.25" r="456" customHeight="1" ht="17.25">
      <c r="A456" s="1" t="s">
        <v>4146</v>
      </c>
      <c r="B456" s="1" t="s">
        <v>1035</v>
      </c>
      <c r="C456" s="1" t="s">
        <v>3712</v>
      </c>
      <c r="D456" s="1" t="s">
        <v>578</v>
      </c>
      <c r="E456" s="1" t="s">
        <v>3572</v>
      </c>
      <c r="F456" s="1" t="s">
        <v>3573</v>
      </c>
      <c r="G456" s="1" t="s">
        <v>3574</v>
      </c>
      <c r="H456" s="2"/>
      <c r="I456" s="5">
        <f>XLOOKUP(K456, pharmaceutical_index!B:B, pharmaceutical_index!A:A, "Not Found")</f>
      </c>
      <c r="J456" s="1" t="s">
        <v>1035</v>
      </c>
      <c r="K456" s="1" t="s">
        <v>1035</v>
      </c>
      <c r="L456" s="1" t="s">
        <v>578</v>
      </c>
      <c r="M456" s="1" t="s">
        <v>1035</v>
      </c>
      <c r="N456" s="2"/>
      <c r="O456" s="2"/>
      <c r="P456" s="2"/>
      <c r="Q456" s="2"/>
    </row>
    <row x14ac:dyDescent="0.25" r="457" customHeight="1" ht="17.25">
      <c r="A457" s="1" t="s">
        <v>4147</v>
      </c>
      <c r="B457" s="1" t="s">
        <v>1037</v>
      </c>
      <c r="C457" s="1" t="s">
        <v>3821</v>
      </c>
      <c r="D457" s="1" t="s">
        <v>440</v>
      </c>
      <c r="E457" s="1" t="s">
        <v>3572</v>
      </c>
      <c r="F457" s="1" t="s">
        <v>3573</v>
      </c>
      <c r="G457" s="1" t="s">
        <v>3574</v>
      </c>
      <c r="H457" s="2"/>
      <c r="I457" s="5">
        <f>XLOOKUP(K457, pharmaceutical_index!B:B, pharmaceutical_index!A:A, "Not Found")</f>
      </c>
      <c r="J457" s="1" t="s">
        <v>1037</v>
      </c>
      <c r="K457" s="1" t="s">
        <v>1037</v>
      </c>
      <c r="L457" s="1" t="s">
        <v>440</v>
      </c>
      <c r="M457" s="1" t="s">
        <v>1037</v>
      </c>
      <c r="N457" s="2"/>
      <c r="O457" s="2"/>
      <c r="P457" s="2"/>
      <c r="Q457" s="2"/>
    </row>
    <row x14ac:dyDescent="0.25" r="458" customHeight="1" ht="17.25">
      <c r="A458" s="1" t="s">
        <v>4148</v>
      </c>
      <c r="B458" s="1" t="s">
        <v>1039</v>
      </c>
      <c r="C458" s="1" t="s">
        <v>3571</v>
      </c>
      <c r="D458" s="1" t="s">
        <v>867</v>
      </c>
      <c r="E458" s="1" t="s">
        <v>3572</v>
      </c>
      <c r="F458" s="1" t="s">
        <v>3573</v>
      </c>
      <c r="G458" s="1" t="s">
        <v>3574</v>
      </c>
      <c r="H458" s="2"/>
      <c r="I458" s="5">
        <f>XLOOKUP(K458, pharmaceutical_index!B:B, pharmaceutical_index!A:A, "Not Found")</f>
      </c>
      <c r="J458" s="1" t="s">
        <v>1039</v>
      </c>
      <c r="K458" s="1" t="s">
        <v>1039</v>
      </c>
      <c r="L458" s="1" t="s">
        <v>867</v>
      </c>
      <c r="M458" s="1" t="s">
        <v>1039</v>
      </c>
      <c r="N458" s="2"/>
      <c r="O458" s="2"/>
      <c r="P458" s="2"/>
      <c r="Q458" s="2"/>
    </row>
    <row x14ac:dyDescent="0.25" r="459" customHeight="1" ht="17.25">
      <c r="A459" s="1" t="s">
        <v>4149</v>
      </c>
      <c r="B459" s="1" t="s">
        <v>1041</v>
      </c>
      <c r="C459" s="1" t="s">
        <v>3753</v>
      </c>
      <c r="D459" s="1" t="s">
        <v>20</v>
      </c>
      <c r="E459" s="1" t="s">
        <v>3572</v>
      </c>
      <c r="F459" s="1" t="s">
        <v>3573</v>
      </c>
      <c r="G459" s="1" t="s">
        <v>3574</v>
      </c>
      <c r="H459" s="2"/>
      <c r="I459" s="5">
        <f>XLOOKUP(K459, pharmaceutical_index!B:B, pharmaceutical_index!A:A, "Not Found")</f>
      </c>
      <c r="J459" s="1" t="s">
        <v>1041</v>
      </c>
      <c r="K459" s="1" t="s">
        <v>1041</v>
      </c>
      <c r="L459" s="1" t="s">
        <v>20</v>
      </c>
      <c r="M459" s="1" t="s">
        <v>1041</v>
      </c>
      <c r="N459" s="2"/>
      <c r="O459" s="2"/>
      <c r="P459" s="2"/>
      <c r="Q459" s="2"/>
    </row>
    <row x14ac:dyDescent="0.25" r="460" customHeight="1" ht="17.25">
      <c r="A460" s="1" t="s">
        <v>4150</v>
      </c>
      <c r="B460" s="1" t="s">
        <v>1043</v>
      </c>
      <c r="C460" s="1" t="s">
        <v>3643</v>
      </c>
      <c r="D460" s="1" t="s">
        <v>117</v>
      </c>
      <c r="E460" s="1" t="s">
        <v>3572</v>
      </c>
      <c r="F460" s="1" t="s">
        <v>3573</v>
      </c>
      <c r="G460" s="1" t="s">
        <v>3574</v>
      </c>
      <c r="H460" s="2"/>
      <c r="I460" s="5">
        <f>XLOOKUP(K460, pharmaceutical_index!B:B, pharmaceutical_index!A:A, "Not Found")</f>
      </c>
      <c r="J460" s="1" t="s">
        <v>1043</v>
      </c>
      <c r="K460" s="1" t="s">
        <v>1043</v>
      </c>
      <c r="L460" s="1" t="s">
        <v>117</v>
      </c>
      <c r="M460" s="1" t="s">
        <v>1043</v>
      </c>
      <c r="N460" s="2"/>
      <c r="O460" s="2"/>
      <c r="P460" s="2"/>
      <c r="Q460" s="2"/>
    </row>
    <row x14ac:dyDescent="0.25" r="461" customHeight="1" ht="17.25">
      <c r="A461" s="1" t="s">
        <v>4151</v>
      </c>
      <c r="B461" s="1" t="s">
        <v>1045</v>
      </c>
      <c r="C461" s="1" t="s">
        <v>3600</v>
      </c>
      <c r="D461" s="1" t="s">
        <v>1046</v>
      </c>
      <c r="E461" s="1" t="s">
        <v>3572</v>
      </c>
      <c r="F461" s="1" t="s">
        <v>3573</v>
      </c>
      <c r="G461" s="1" t="s">
        <v>3574</v>
      </c>
      <c r="H461" s="2"/>
      <c r="I461" s="5">
        <f>XLOOKUP(K461, pharmaceutical_index!B:B, pharmaceutical_index!A:A, "Not Found")</f>
      </c>
      <c r="J461" s="1" t="s">
        <v>1045</v>
      </c>
      <c r="K461" s="1" t="s">
        <v>1045</v>
      </c>
      <c r="L461" s="1" t="s">
        <v>1046</v>
      </c>
      <c r="M461" s="1" t="s">
        <v>1045</v>
      </c>
      <c r="N461" s="2"/>
      <c r="O461" s="2"/>
      <c r="P461" s="2"/>
      <c r="Q461" s="2"/>
    </row>
    <row x14ac:dyDescent="0.25" r="462" customHeight="1" ht="17.25">
      <c r="A462" s="1" t="s">
        <v>4152</v>
      </c>
      <c r="B462" s="1" t="s">
        <v>1048</v>
      </c>
      <c r="C462" s="1" t="s">
        <v>3583</v>
      </c>
      <c r="D462" s="1" t="s">
        <v>20</v>
      </c>
      <c r="E462" s="1" t="s">
        <v>3572</v>
      </c>
      <c r="F462" s="1" t="s">
        <v>3573</v>
      </c>
      <c r="G462" s="1" t="s">
        <v>3574</v>
      </c>
      <c r="H462" s="2"/>
      <c r="I462" s="5">
        <f>XLOOKUP(K462, pharmaceutical_index!B:B, pharmaceutical_index!A:A, "Not Found")</f>
      </c>
      <c r="J462" s="1" t="s">
        <v>1048</v>
      </c>
      <c r="K462" s="1" t="s">
        <v>1048</v>
      </c>
      <c r="L462" s="1" t="s">
        <v>20</v>
      </c>
      <c r="M462" s="1" t="s">
        <v>1048</v>
      </c>
      <c r="N462" s="2"/>
      <c r="O462" s="2"/>
      <c r="P462" s="2"/>
      <c r="Q462" s="2"/>
    </row>
    <row x14ac:dyDescent="0.25" r="463" customHeight="1" ht="17.25">
      <c r="A463" s="1" t="s">
        <v>4153</v>
      </c>
      <c r="B463" s="1" t="s">
        <v>1050</v>
      </c>
      <c r="C463" s="1" t="s">
        <v>3600</v>
      </c>
      <c r="D463" s="1" t="s">
        <v>1046</v>
      </c>
      <c r="E463" s="1" t="s">
        <v>3572</v>
      </c>
      <c r="F463" s="1" t="s">
        <v>3573</v>
      </c>
      <c r="G463" s="1" t="s">
        <v>3574</v>
      </c>
      <c r="H463" s="2"/>
      <c r="I463" s="5">
        <f>XLOOKUP(K463, pharmaceutical_index!B:B, pharmaceutical_index!A:A, "Not Found")</f>
      </c>
      <c r="J463" s="1" t="s">
        <v>1050</v>
      </c>
      <c r="K463" s="1" t="s">
        <v>1050</v>
      </c>
      <c r="L463" s="1" t="s">
        <v>1046</v>
      </c>
      <c r="M463" s="1" t="s">
        <v>1050</v>
      </c>
      <c r="N463" s="2"/>
      <c r="O463" s="2"/>
      <c r="P463" s="2"/>
      <c r="Q463" s="2"/>
    </row>
    <row x14ac:dyDescent="0.25" r="464" customHeight="1" ht="17.25">
      <c r="A464" s="1" t="s">
        <v>4154</v>
      </c>
      <c r="B464" s="1" t="s">
        <v>1052</v>
      </c>
      <c r="C464" s="1" t="s">
        <v>3589</v>
      </c>
      <c r="D464" s="1" t="s">
        <v>62</v>
      </c>
      <c r="E464" s="1" t="s">
        <v>3572</v>
      </c>
      <c r="F464" s="1" t="s">
        <v>3573</v>
      </c>
      <c r="G464" s="1" t="s">
        <v>3574</v>
      </c>
      <c r="H464" s="2"/>
      <c r="I464" s="5">
        <f>XLOOKUP(K464, pharmaceutical_index!B:B, pharmaceutical_index!A:A, "Not Found")</f>
      </c>
      <c r="J464" s="1" t="s">
        <v>1052</v>
      </c>
      <c r="K464" s="1" t="s">
        <v>1052</v>
      </c>
      <c r="L464" s="1" t="s">
        <v>62</v>
      </c>
      <c r="M464" s="1" t="s">
        <v>1052</v>
      </c>
      <c r="N464" s="2"/>
      <c r="O464" s="2"/>
      <c r="P464" s="2"/>
      <c r="Q464" s="2"/>
    </row>
    <row x14ac:dyDescent="0.25" r="465" customHeight="1" ht="17.25">
      <c r="A465" s="1" t="s">
        <v>4155</v>
      </c>
      <c r="B465" s="1" t="s">
        <v>1054</v>
      </c>
      <c r="C465" s="1" t="s">
        <v>3571</v>
      </c>
      <c r="D465" s="1" t="s">
        <v>23</v>
      </c>
      <c r="E465" s="1" t="s">
        <v>3572</v>
      </c>
      <c r="F465" s="1" t="s">
        <v>3573</v>
      </c>
      <c r="G465" s="1" t="s">
        <v>3574</v>
      </c>
      <c r="H465" s="2"/>
      <c r="I465" s="5">
        <f>XLOOKUP(K465, pharmaceutical_index!B:B, pharmaceutical_index!A:A, "Not Found")</f>
      </c>
      <c r="J465" s="1" t="s">
        <v>1054</v>
      </c>
      <c r="K465" s="1" t="s">
        <v>1054</v>
      </c>
      <c r="L465" s="1" t="s">
        <v>23</v>
      </c>
      <c r="M465" s="1" t="s">
        <v>1054</v>
      </c>
      <c r="N465" s="2"/>
      <c r="O465" s="2"/>
      <c r="P465" s="2"/>
      <c r="Q465" s="2"/>
    </row>
    <row x14ac:dyDescent="0.25" r="466" customHeight="1" ht="17.25">
      <c r="A466" s="1" t="s">
        <v>4156</v>
      </c>
      <c r="B466" s="1" t="s">
        <v>1056</v>
      </c>
      <c r="C466" s="1" t="s">
        <v>3576</v>
      </c>
      <c r="D466" s="1" t="s">
        <v>20</v>
      </c>
      <c r="E466" s="1" t="s">
        <v>3572</v>
      </c>
      <c r="F466" s="1" t="s">
        <v>3573</v>
      </c>
      <c r="G466" s="1" t="s">
        <v>3574</v>
      </c>
      <c r="H466" s="2"/>
      <c r="I466" s="5">
        <f>XLOOKUP(K466, pharmaceutical_index!B:B, pharmaceutical_index!A:A, "Not Found")</f>
      </c>
      <c r="J466" s="1" t="s">
        <v>4157</v>
      </c>
      <c r="K466" s="1" t="s">
        <v>1056</v>
      </c>
      <c r="L466" s="1" t="s">
        <v>20</v>
      </c>
      <c r="M466" s="1" t="s">
        <v>4158</v>
      </c>
      <c r="N466" s="2"/>
      <c r="O466" s="2"/>
      <c r="P466" s="2"/>
      <c r="Q466" s="2"/>
    </row>
    <row x14ac:dyDescent="0.25" r="467" customHeight="1" ht="17.25">
      <c r="A467" s="1" t="s">
        <v>4159</v>
      </c>
      <c r="B467" s="1" t="s">
        <v>1058</v>
      </c>
      <c r="C467" s="1" t="s">
        <v>3576</v>
      </c>
      <c r="D467" s="1" t="s">
        <v>20</v>
      </c>
      <c r="E467" s="1" t="s">
        <v>3572</v>
      </c>
      <c r="F467" s="1" t="s">
        <v>3573</v>
      </c>
      <c r="G467" s="1" t="s">
        <v>3574</v>
      </c>
      <c r="H467" s="2"/>
      <c r="I467" s="5">
        <f>XLOOKUP(K467, pharmaceutical_index!B:B, pharmaceutical_index!A:A, "Not Found")</f>
      </c>
      <c r="J467" s="1" t="s">
        <v>4160</v>
      </c>
      <c r="K467" s="1" t="s">
        <v>1058</v>
      </c>
      <c r="L467" s="1" t="s">
        <v>20</v>
      </c>
      <c r="M467" s="1" t="s">
        <v>4161</v>
      </c>
      <c r="N467" s="2"/>
      <c r="O467" s="2"/>
      <c r="P467" s="2"/>
      <c r="Q467" s="2"/>
    </row>
    <row x14ac:dyDescent="0.25" r="468" customHeight="1" ht="17.25">
      <c r="A468" s="1" t="s">
        <v>4162</v>
      </c>
      <c r="B468" s="1" t="s">
        <v>1060</v>
      </c>
      <c r="C468" s="1" t="s">
        <v>3576</v>
      </c>
      <c r="D468" s="1" t="s">
        <v>20</v>
      </c>
      <c r="E468" s="1" t="s">
        <v>3572</v>
      </c>
      <c r="F468" s="1" t="s">
        <v>3573</v>
      </c>
      <c r="G468" s="1" t="s">
        <v>3574</v>
      </c>
      <c r="H468" s="2"/>
      <c r="I468" s="5">
        <f>XLOOKUP(K468, pharmaceutical_index!B:B, pharmaceutical_index!A:A, "Not Found")</f>
      </c>
      <c r="J468" s="1" t="s">
        <v>4163</v>
      </c>
      <c r="K468" s="1" t="s">
        <v>1060</v>
      </c>
      <c r="L468" s="1" t="s">
        <v>20</v>
      </c>
      <c r="M468" s="1" t="s">
        <v>4164</v>
      </c>
      <c r="N468" s="2"/>
      <c r="O468" s="2"/>
      <c r="P468" s="2"/>
      <c r="Q468" s="2"/>
    </row>
    <row x14ac:dyDescent="0.25" r="469" customHeight="1" ht="17.25">
      <c r="A469" s="1" t="s">
        <v>4165</v>
      </c>
      <c r="B469" s="1" t="s">
        <v>1062</v>
      </c>
      <c r="C469" s="1" t="s">
        <v>3576</v>
      </c>
      <c r="D469" s="1" t="s">
        <v>20</v>
      </c>
      <c r="E469" s="1" t="s">
        <v>3572</v>
      </c>
      <c r="F469" s="1" t="s">
        <v>3573</v>
      </c>
      <c r="G469" s="1" t="s">
        <v>3574</v>
      </c>
      <c r="H469" s="2"/>
      <c r="I469" s="5">
        <f>XLOOKUP(K469, pharmaceutical_index!B:B, pharmaceutical_index!A:A, "Not Found")</f>
      </c>
      <c r="J469" s="1" t="s">
        <v>4166</v>
      </c>
      <c r="K469" s="1" t="s">
        <v>1062</v>
      </c>
      <c r="L469" s="1" t="s">
        <v>20</v>
      </c>
      <c r="M469" s="1" t="s">
        <v>4167</v>
      </c>
      <c r="N469" s="2"/>
      <c r="O469" s="2"/>
      <c r="P469" s="2"/>
      <c r="Q469" s="2"/>
    </row>
    <row x14ac:dyDescent="0.25" r="470" customHeight="1" ht="17.25">
      <c r="A470" s="1" t="s">
        <v>4168</v>
      </c>
      <c r="B470" s="1" t="s">
        <v>1064</v>
      </c>
      <c r="C470" s="1" t="s">
        <v>3576</v>
      </c>
      <c r="D470" s="1" t="s">
        <v>20</v>
      </c>
      <c r="E470" s="1" t="s">
        <v>3572</v>
      </c>
      <c r="F470" s="1" t="s">
        <v>3573</v>
      </c>
      <c r="G470" s="1" t="s">
        <v>3574</v>
      </c>
      <c r="H470" s="2"/>
      <c r="I470" s="5">
        <f>XLOOKUP(K470, pharmaceutical_index!B:B, pharmaceutical_index!A:A, "Not Found")</f>
      </c>
      <c r="J470" s="1" t="s">
        <v>4169</v>
      </c>
      <c r="K470" s="1" t="s">
        <v>1064</v>
      </c>
      <c r="L470" s="1" t="s">
        <v>20</v>
      </c>
      <c r="M470" s="1" t="s">
        <v>4170</v>
      </c>
      <c r="N470" s="2"/>
      <c r="O470" s="2"/>
      <c r="P470" s="2"/>
      <c r="Q470" s="2"/>
    </row>
    <row x14ac:dyDescent="0.25" r="471" customHeight="1" ht="17.25">
      <c r="A471" s="1" t="s">
        <v>4171</v>
      </c>
      <c r="B471" s="1" t="s">
        <v>1066</v>
      </c>
      <c r="C471" s="1" t="s">
        <v>3576</v>
      </c>
      <c r="D471" s="1" t="s">
        <v>20</v>
      </c>
      <c r="E471" s="1" t="s">
        <v>3572</v>
      </c>
      <c r="F471" s="1" t="s">
        <v>3573</v>
      </c>
      <c r="G471" s="1" t="s">
        <v>3574</v>
      </c>
      <c r="H471" s="2"/>
      <c r="I471" s="5">
        <f>XLOOKUP(K471, pharmaceutical_index!B:B, pharmaceutical_index!A:A, "Not Found")</f>
      </c>
      <c r="J471" s="1" t="s">
        <v>4172</v>
      </c>
      <c r="K471" s="1" t="s">
        <v>1066</v>
      </c>
      <c r="L471" s="1" t="s">
        <v>20</v>
      </c>
      <c r="M471" s="1" t="s">
        <v>4173</v>
      </c>
      <c r="N471" s="2"/>
      <c r="O471" s="2"/>
      <c r="P471" s="2"/>
      <c r="Q471" s="2"/>
    </row>
    <row x14ac:dyDescent="0.25" r="472" customHeight="1" ht="17.25">
      <c r="A472" s="1" t="s">
        <v>4174</v>
      </c>
      <c r="B472" s="1" t="s">
        <v>1068</v>
      </c>
      <c r="C472" s="1" t="s">
        <v>3600</v>
      </c>
      <c r="D472" s="1" t="s">
        <v>149</v>
      </c>
      <c r="E472" s="1" t="s">
        <v>3572</v>
      </c>
      <c r="F472" s="1" t="s">
        <v>3573</v>
      </c>
      <c r="G472" s="1" t="s">
        <v>3574</v>
      </c>
      <c r="H472" s="2"/>
      <c r="I472" s="5">
        <f>XLOOKUP(K472, pharmaceutical_index!B:B, pharmaceutical_index!A:A, "Not Found")</f>
      </c>
      <c r="J472" s="1" t="s">
        <v>1068</v>
      </c>
      <c r="K472" s="1" t="s">
        <v>1068</v>
      </c>
      <c r="L472" s="1" t="s">
        <v>149</v>
      </c>
      <c r="M472" s="1" t="s">
        <v>1068</v>
      </c>
      <c r="N472" s="2"/>
      <c r="O472" s="2"/>
      <c r="P472" s="2"/>
      <c r="Q472" s="2"/>
    </row>
    <row x14ac:dyDescent="0.25" r="473" customHeight="1" ht="17.25">
      <c r="A473" s="1" t="s">
        <v>4175</v>
      </c>
      <c r="B473" s="1" t="s">
        <v>1070</v>
      </c>
      <c r="C473" s="1" t="s">
        <v>3571</v>
      </c>
      <c r="D473" s="1" t="s">
        <v>59</v>
      </c>
      <c r="E473" s="1" t="s">
        <v>3572</v>
      </c>
      <c r="F473" s="1" t="s">
        <v>3573</v>
      </c>
      <c r="G473" s="1" t="s">
        <v>3574</v>
      </c>
      <c r="H473" s="2"/>
      <c r="I473" s="5">
        <f>XLOOKUP(K473, pharmaceutical_index!B:B, pharmaceutical_index!A:A, "Not Found")</f>
      </c>
      <c r="J473" s="1" t="s">
        <v>1070</v>
      </c>
      <c r="K473" s="1" t="s">
        <v>1070</v>
      </c>
      <c r="L473" s="1" t="s">
        <v>59</v>
      </c>
      <c r="M473" s="1" t="s">
        <v>1070</v>
      </c>
      <c r="N473" s="2"/>
      <c r="O473" s="2"/>
      <c r="P473" s="2"/>
      <c r="Q473" s="2"/>
    </row>
    <row x14ac:dyDescent="0.25" r="474" customHeight="1" ht="17.25">
      <c r="A474" s="1" t="s">
        <v>4176</v>
      </c>
      <c r="B474" s="1" t="s">
        <v>1072</v>
      </c>
      <c r="C474" s="1" t="s">
        <v>3622</v>
      </c>
      <c r="D474" s="1" t="s">
        <v>135</v>
      </c>
      <c r="E474" s="1" t="s">
        <v>3572</v>
      </c>
      <c r="F474" s="1" t="s">
        <v>3573</v>
      </c>
      <c r="G474" s="1" t="s">
        <v>3574</v>
      </c>
      <c r="H474" s="2"/>
      <c r="I474" s="5">
        <f>XLOOKUP(K474, pharmaceutical_index!B:B, pharmaceutical_index!A:A, "Not Found")</f>
      </c>
      <c r="J474" s="1" t="s">
        <v>1072</v>
      </c>
      <c r="K474" s="1" t="s">
        <v>1072</v>
      </c>
      <c r="L474" s="1" t="s">
        <v>135</v>
      </c>
      <c r="M474" s="1" t="s">
        <v>1072</v>
      </c>
      <c r="N474" s="2"/>
      <c r="O474" s="2"/>
      <c r="P474" s="2"/>
      <c r="Q474" s="2"/>
    </row>
    <row x14ac:dyDescent="0.25" r="475" customHeight="1" ht="17.25">
      <c r="A475" s="1" t="s">
        <v>4177</v>
      </c>
      <c r="B475" s="1" t="s">
        <v>1074</v>
      </c>
      <c r="C475" s="1" t="s">
        <v>3647</v>
      </c>
      <c r="D475" s="1" t="s">
        <v>188</v>
      </c>
      <c r="E475" s="1" t="s">
        <v>3572</v>
      </c>
      <c r="F475" s="1" t="s">
        <v>3573</v>
      </c>
      <c r="G475" s="1" t="s">
        <v>3574</v>
      </c>
      <c r="H475" s="2"/>
      <c r="I475" s="5">
        <f>XLOOKUP(K475, pharmaceutical_index!B:B, pharmaceutical_index!A:A, "Not Found")</f>
      </c>
      <c r="J475" s="1" t="s">
        <v>1074</v>
      </c>
      <c r="K475" s="1" t="s">
        <v>1074</v>
      </c>
      <c r="L475" s="1" t="s">
        <v>188</v>
      </c>
      <c r="M475" s="1" t="s">
        <v>1074</v>
      </c>
      <c r="N475" s="2"/>
      <c r="O475" s="2"/>
      <c r="P475" s="2"/>
      <c r="Q475" s="2"/>
    </row>
    <row x14ac:dyDescent="0.25" r="476" customHeight="1" ht="17.25">
      <c r="A476" s="1" t="s">
        <v>4178</v>
      </c>
      <c r="B476" s="1" t="s">
        <v>1076</v>
      </c>
      <c r="C476" s="1" t="s">
        <v>3866</v>
      </c>
      <c r="D476" s="1" t="s">
        <v>557</v>
      </c>
      <c r="E476" s="1" t="s">
        <v>3572</v>
      </c>
      <c r="F476" s="1" t="s">
        <v>3573</v>
      </c>
      <c r="G476" s="1" t="s">
        <v>3574</v>
      </c>
      <c r="H476" s="2"/>
      <c r="I476" s="5">
        <f>XLOOKUP(K476, pharmaceutical_index!B:B, pharmaceutical_index!A:A, "Not Found")</f>
      </c>
      <c r="J476" s="1" t="s">
        <v>1076</v>
      </c>
      <c r="K476" s="1" t="s">
        <v>1076</v>
      </c>
      <c r="L476" s="1" t="s">
        <v>557</v>
      </c>
      <c r="M476" s="1" t="s">
        <v>1076</v>
      </c>
      <c r="N476" s="2"/>
      <c r="O476" s="2"/>
      <c r="P476" s="2"/>
      <c r="Q476" s="2"/>
    </row>
    <row x14ac:dyDescent="0.25" r="477" customHeight="1" ht="17.25">
      <c r="A477" s="1" t="s">
        <v>4179</v>
      </c>
      <c r="B477" s="1" t="s">
        <v>1078</v>
      </c>
      <c r="C477" s="1" t="s">
        <v>3571</v>
      </c>
      <c r="D477" s="1" t="s">
        <v>231</v>
      </c>
      <c r="E477" s="1" t="s">
        <v>3572</v>
      </c>
      <c r="F477" s="1" t="s">
        <v>3573</v>
      </c>
      <c r="G477" s="1" t="s">
        <v>3574</v>
      </c>
      <c r="H477" s="2"/>
      <c r="I477" s="5">
        <f>XLOOKUP(K477, pharmaceutical_index!B:B, pharmaceutical_index!A:A, "Not Found")</f>
      </c>
      <c r="J477" s="1" t="s">
        <v>1078</v>
      </c>
      <c r="K477" s="1" t="s">
        <v>1078</v>
      </c>
      <c r="L477" s="1" t="s">
        <v>231</v>
      </c>
      <c r="M477" s="1" t="s">
        <v>1078</v>
      </c>
      <c r="N477" s="2"/>
      <c r="O477" s="2"/>
      <c r="P477" s="2"/>
      <c r="Q477" s="2"/>
    </row>
    <row x14ac:dyDescent="0.25" r="478" customHeight="1" ht="17.25">
      <c r="A478" s="1" t="s">
        <v>4180</v>
      </c>
      <c r="B478" s="1" t="s">
        <v>1080</v>
      </c>
      <c r="C478" s="1" t="s">
        <v>3571</v>
      </c>
      <c r="D478" s="1" t="s">
        <v>59</v>
      </c>
      <c r="E478" s="1" t="s">
        <v>3572</v>
      </c>
      <c r="F478" s="1" t="s">
        <v>3573</v>
      </c>
      <c r="G478" s="1" t="s">
        <v>3574</v>
      </c>
      <c r="H478" s="2"/>
      <c r="I478" s="5">
        <f>XLOOKUP(K478, pharmaceutical_index!B:B, pharmaceutical_index!A:A, "Not Found")</f>
      </c>
      <c r="J478" s="1" t="s">
        <v>1080</v>
      </c>
      <c r="K478" s="1" t="s">
        <v>1080</v>
      </c>
      <c r="L478" s="1" t="s">
        <v>59</v>
      </c>
      <c r="M478" s="1" t="s">
        <v>1080</v>
      </c>
      <c r="N478" s="2"/>
      <c r="O478" s="2"/>
      <c r="P478" s="2"/>
      <c r="Q478" s="2"/>
    </row>
    <row x14ac:dyDescent="0.25" r="479" customHeight="1" ht="17.25">
      <c r="A479" s="1" t="s">
        <v>4181</v>
      </c>
      <c r="B479" s="1" t="s">
        <v>1082</v>
      </c>
      <c r="C479" s="1" t="s">
        <v>3635</v>
      </c>
      <c r="D479" s="1" t="s">
        <v>20</v>
      </c>
      <c r="E479" s="1" t="s">
        <v>3572</v>
      </c>
      <c r="F479" s="1" t="s">
        <v>3573</v>
      </c>
      <c r="G479" s="1" t="s">
        <v>3574</v>
      </c>
      <c r="H479" s="2"/>
      <c r="I479" s="5">
        <f>XLOOKUP(K479, pharmaceutical_index!B:B, pharmaceutical_index!A:A, "Not Found")</f>
      </c>
      <c r="J479" s="1" t="s">
        <v>1082</v>
      </c>
      <c r="K479" s="1" t="s">
        <v>1082</v>
      </c>
      <c r="L479" s="1" t="s">
        <v>20</v>
      </c>
      <c r="M479" s="1" t="s">
        <v>1082</v>
      </c>
      <c r="N479" s="2"/>
      <c r="O479" s="2"/>
      <c r="P479" s="2"/>
      <c r="Q479" s="2"/>
    </row>
    <row x14ac:dyDescent="0.25" r="480" customHeight="1" ht="17.25">
      <c r="A480" s="1" t="s">
        <v>4182</v>
      </c>
      <c r="B480" s="1" t="s">
        <v>1084</v>
      </c>
      <c r="C480" s="1" t="s">
        <v>3583</v>
      </c>
      <c r="D480" s="1" t="s">
        <v>20</v>
      </c>
      <c r="E480" s="1" t="s">
        <v>3572</v>
      </c>
      <c r="F480" s="1" t="s">
        <v>3573</v>
      </c>
      <c r="G480" s="1" t="s">
        <v>3574</v>
      </c>
      <c r="H480" s="2"/>
      <c r="I480" s="5">
        <f>XLOOKUP(K480, pharmaceutical_index!B:B, pharmaceutical_index!A:A, "Not Found")</f>
      </c>
      <c r="J480" s="1" t="s">
        <v>1084</v>
      </c>
      <c r="K480" s="1" t="s">
        <v>1084</v>
      </c>
      <c r="L480" s="1" t="s">
        <v>20</v>
      </c>
      <c r="M480" s="1" t="s">
        <v>1084</v>
      </c>
      <c r="N480" s="2"/>
      <c r="O480" s="2"/>
      <c r="P480" s="2"/>
      <c r="Q480" s="2"/>
    </row>
    <row x14ac:dyDescent="0.25" r="481" customHeight="1" ht="17.25">
      <c r="A481" s="1" t="s">
        <v>4183</v>
      </c>
      <c r="B481" s="1" t="s">
        <v>1086</v>
      </c>
      <c r="C481" s="1" t="s">
        <v>3608</v>
      </c>
      <c r="D481" s="1" t="s">
        <v>773</v>
      </c>
      <c r="E481" s="1" t="s">
        <v>3572</v>
      </c>
      <c r="F481" s="1" t="s">
        <v>3573</v>
      </c>
      <c r="G481" s="1" t="s">
        <v>3574</v>
      </c>
      <c r="H481" s="2"/>
      <c r="I481" s="5">
        <f>XLOOKUP(K481, pharmaceutical_index!B:B, pharmaceutical_index!A:A, "Not Found")</f>
      </c>
      <c r="J481" s="1" t="s">
        <v>4184</v>
      </c>
      <c r="K481" s="1" t="s">
        <v>1086</v>
      </c>
      <c r="L481" s="1" t="s">
        <v>773</v>
      </c>
      <c r="M481" s="1" t="s">
        <v>4184</v>
      </c>
      <c r="N481" s="2"/>
      <c r="O481" s="2"/>
      <c r="P481" s="2"/>
      <c r="Q481" s="2"/>
    </row>
    <row x14ac:dyDescent="0.25" r="482" customHeight="1" ht="17.25">
      <c r="A482" s="1" t="s">
        <v>4185</v>
      </c>
      <c r="B482" s="1" t="s">
        <v>1088</v>
      </c>
      <c r="C482" s="1" t="s">
        <v>3647</v>
      </c>
      <c r="D482" s="1" t="s">
        <v>650</v>
      </c>
      <c r="E482" s="1" t="s">
        <v>3572</v>
      </c>
      <c r="F482" s="1" t="s">
        <v>3573</v>
      </c>
      <c r="G482" s="1" t="s">
        <v>3574</v>
      </c>
      <c r="H482" s="2"/>
      <c r="I482" s="5">
        <f>XLOOKUP(K482, pharmaceutical_index!B:B, pharmaceutical_index!A:A, "Not Found")</f>
      </c>
      <c r="J482" s="1" t="s">
        <v>1088</v>
      </c>
      <c r="K482" s="1" t="s">
        <v>1088</v>
      </c>
      <c r="L482" s="1" t="s">
        <v>650</v>
      </c>
      <c r="M482" s="1" t="s">
        <v>1088</v>
      </c>
      <c r="N482" s="2"/>
      <c r="O482" s="2"/>
      <c r="P482" s="2"/>
      <c r="Q482" s="2"/>
    </row>
    <row x14ac:dyDescent="0.25" r="483" customHeight="1" ht="17.25">
      <c r="A483" s="1" t="s">
        <v>4186</v>
      </c>
      <c r="B483" s="1" t="s">
        <v>1090</v>
      </c>
      <c r="C483" s="1" t="s">
        <v>3571</v>
      </c>
      <c r="D483" s="1" t="s">
        <v>770</v>
      </c>
      <c r="E483" s="1" t="s">
        <v>3572</v>
      </c>
      <c r="F483" s="1" t="s">
        <v>3573</v>
      </c>
      <c r="G483" s="1" t="s">
        <v>3574</v>
      </c>
      <c r="H483" s="2"/>
      <c r="I483" s="5">
        <f>XLOOKUP(K483, pharmaceutical_index!B:B, pharmaceutical_index!A:A, "Not Found")</f>
      </c>
      <c r="J483" s="1" t="s">
        <v>1090</v>
      </c>
      <c r="K483" s="1" t="s">
        <v>1090</v>
      </c>
      <c r="L483" s="1" t="s">
        <v>770</v>
      </c>
      <c r="M483" s="1" t="s">
        <v>1090</v>
      </c>
      <c r="N483" s="2"/>
      <c r="O483" s="2"/>
      <c r="P483" s="2"/>
      <c r="Q483" s="2"/>
    </row>
    <row x14ac:dyDescent="0.25" r="484" customHeight="1" ht="17.25">
      <c r="A484" s="1" t="s">
        <v>4187</v>
      </c>
      <c r="B484" s="1" t="s">
        <v>1092</v>
      </c>
      <c r="C484" s="1" t="s">
        <v>3600</v>
      </c>
      <c r="D484" s="1" t="s">
        <v>65</v>
      </c>
      <c r="E484" s="1" t="s">
        <v>3572</v>
      </c>
      <c r="F484" s="1" t="s">
        <v>3573</v>
      </c>
      <c r="G484" s="1" t="s">
        <v>3574</v>
      </c>
      <c r="H484" s="2"/>
      <c r="I484" s="5">
        <f>XLOOKUP(K484, pharmaceutical_index!B:B, pharmaceutical_index!A:A, "Not Found")</f>
      </c>
      <c r="J484" s="1" t="s">
        <v>1092</v>
      </c>
      <c r="K484" s="1" t="s">
        <v>1092</v>
      </c>
      <c r="L484" s="1" t="s">
        <v>65</v>
      </c>
      <c r="M484" s="1" t="s">
        <v>1092</v>
      </c>
      <c r="N484" s="2"/>
      <c r="O484" s="2"/>
      <c r="P484" s="2"/>
      <c r="Q484" s="2"/>
    </row>
    <row x14ac:dyDescent="0.25" r="485" customHeight="1" ht="17.25">
      <c r="A485" s="1" t="s">
        <v>4188</v>
      </c>
      <c r="B485" s="1" t="s">
        <v>1094</v>
      </c>
      <c r="C485" s="1" t="s">
        <v>3649</v>
      </c>
      <c r="D485" s="1" t="s">
        <v>20</v>
      </c>
      <c r="E485" s="1" t="s">
        <v>3572</v>
      </c>
      <c r="F485" s="1" t="s">
        <v>3573</v>
      </c>
      <c r="G485" s="1" t="s">
        <v>3574</v>
      </c>
      <c r="H485" s="2"/>
      <c r="I485" s="5">
        <f>XLOOKUP(K485, pharmaceutical_index!B:B, pharmaceutical_index!A:A, "Not Found")</f>
      </c>
      <c r="J485" s="1" t="s">
        <v>1094</v>
      </c>
      <c r="K485" s="1" t="s">
        <v>1094</v>
      </c>
      <c r="L485" s="1" t="s">
        <v>20</v>
      </c>
      <c r="M485" s="1" t="s">
        <v>1094</v>
      </c>
      <c r="N485" s="2"/>
      <c r="O485" s="2"/>
      <c r="P485" s="2"/>
      <c r="Q485" s="2"/>
    </row>
    <row x14ac:dyDescent="0.25" r="486" customHeight="1" ht="17.25">
      <c r="A486" s="1" t="s">
        <v>4189</v>
      </c>
      <c r="B486" s="1" t="s">
        <v>1096</v>
      </c>
      <c r="C486" s="1" t="s">
        <v>3712</v>
      </c>
      <c r="D486" s="1" t="s">
        <v>450</v>
      </c>
      <c r="E486" s="1" t="s">
        <v>3572</v>
      </c>
      <c r="F486" s="1" t="s">
        <v>3573</v>
      </c>
      <c r="G486" s="1" t="s">
        <v>3574</v>
      </c>
      <c r="H486" s="2"/>
      <c r="I486" s="5">
        <f>XLOOKUP(K486, pharmaceutical_index!B:B, pharmaceutical_index!A:A, "Not Found")</f>
      </c>
      <c r="J486" s="1" t="s">
        <v>1096</v>
      </c>
      <c r="K486" s="1" t="s">
        <v>1096</v>
      </c>
      <c r="L486" s="1" t="s">
        <v>450</v>
      </c>
      <c r="M486" s="1" t="s">
        <v>1096</v>
      </c>
      <c r="N486" s="2"/>
      <c r="O486" s="2"/>
      <c r="P486" s="2"/>
      <c r="Q486" s="2"/>
    </row>
    <row x14ac:dyDescent="0.25" r="487" customHeight="1" ht="17.25">
      <c r="A487" s="1" t="s">
        <v>4190</v>
      </c>
      <c r="B487" s="1" t="s">
        <v>1098</v>
      </c>
      <c r="C487" s="1" t="s">
        <v>3701</v>
      </c>
      <c r="D487" s="1" t="s">
        <v>20</v>
      </c>
      <c r="E487" s="1" t="s">
        <v>3572</v>
      </c>
      <c r="F487" s="1" t="s">
        <v>3573</v>
      </c>
      <c r="G487" s="1" t="s">
        <v>3574</v>
      </c>
      <c r="H487" s="2"/>
      <c r="I487" s="5">
        <f>XLOOKUP(K487, pharmaceutical_index!B:B, pharmaceutical_index!A:A, "Not Found")</f>
      </c>
      <c r="J487" s="1" t="s">
        <v>1098</v>
      </c>
      <c r="K487" s="1" t="s">
        <v>1098</v>
      </c>
      <c r="L487" s="1" t="s">
        <v>20</v>
      </c>
      <c r="M487" s="1" t="s">
        <v>1098</v>
      </c>
      <c r="N487" s="2"/>
      <c r="O487" s="2"/>
      <c r="P487" s="2"/>
      <c r="Q487" s="2"/>
    </row>
    <row x14ac:dyDescent="0.25" r="488" customHeight="1" ht="17.25">
      <c r="A488" s="1" t="s">
        <v>4191</v>
      </c>
      <c r="B488" s="1" t="s">
        <v>1100</v>
      </c>
      <c r="C488" s="1" t="s">
        <v>3589</v>
      </c>
      <c r="D488" s="1" t="s">
        <v>224</v>
      </c>
      <c r="E488" s="1" t="s">
        <v>3572</v>
      </c>
      <c r="F488" s="1" t="s">
        <v>3573</v>
      </c>
      <c r="G488" s="1" t="s">
        <v>3574</v>
      </c>
      <c r="H488" s="2"/>
      <c r="I488" s="5">
        <f>XLOOKUP(K488, pharmaceutical_index!B:B, pharmaceutical_index!A:A, "Not Found")</f>
      </c>
      <c r="J488" s="1" t="s">
        <v>1100</v>
      </c>
      <c r="K488" s="1" t="s">
        <v>1100</v>
      </c>
      <c r="L488" s="1" t="s">
        <v>224</v>
      </c>
      <c r="M488" s="1" t="s">
        <v>1100</v>
      </c>
      <c r="N488" s="2"/>
      <c r="O488" s="2"/>
      <c r="P488" s="2"/>
      <c r="Q488" s="2"/>
    </row>
    <row x14ac:dyDescent="0.25" r="489" customHeight="1" ht="17.25">
      <c r="A489" s="1" t="s">
        <v>4192</v>
      </c>
      <c r="B489" s="1" t="s">
        <v>1102</v>
      </c>
      <c r="C489" s="1" t="s">
        <v>3597</v>
      </c>
      <c r="D489" s="1" t="s">
        <v>378</v>
      </c>
      <c r="E489" s="1" t="s">
        <v>3572</v>
      </c>
      <c r="F489" s="1" t="s">
        <v>3573</v>
      </c>
      <c r="G489" s="1" t="s">
        <v>3574</v>
      </c>
      <c r="H489" s="2"/>
      <c r="I489" s="5">
        <f>XLOOKUP(K489, pharmaceutical_index!B:B, pharmaceutical_index!A:A, "Not Found")</f>
      </c>
      <c r="J489" s="1" t="s">
        <v>1102</v>
      </c>
      <c r="K489" s="1" t="s">
        <v>1102</v>
      </c>
      <c r="L489" s="1" t="s">
        <v>378</v>
      </c>
      <c r="M489" s="1" t="s">
        <v>1102</v>
      </c>
      <c r="N489" s="2"/>
      <c r="O489" s="2"/>
      <c r="P489" s="2"/>
      <c r="Q489" s="2"/>
    </row>
    <row x14ac:dyDescent="0.25" r="490" customHeight="1" ht="17.25">
      <c r="A490" s="1" t="s">
        <v>4193</v>
      </c>
      <c r="B490" s="1" t="s">
        <v>1104</v>
      </c>
      <c r="C490" s="1" t="s">
        <v>3762</v>
      </c>
      <c r="D490" s="1" t="s">
        <v>328</v>
      </c>
      <c r="E490" s="1" t="s">
        <v>3572</v>
      </c>
      <c r="F490" s="1" t="s">
        <v>3573</v>
      </c>
      <c r="G490" s="1" t="s">
        <v>3574</v>
      </c>
      <c r="H490" s="2"/>
      <c r="I490" s="5">
        <f>XLOOKUP(K490, pharmaceutical_index!B:B, pharmaceutical_index!A:A, "Not Found")</f>
      </c>
      <c r="J490" s="1" t="s">
        <v>1104</v>
      </c>
      <c r="K490" s="1" t="s">
        <v>1104</v>
      </c>
      <c r="L490" s="1" t="s">
        <v>328</v>
      </c>
      <c r="M490" s="1" t="s">
        <v>1104</v>
      </c>
      <c r="N490" s="2"/>
      <c r="O490" s="2"/>
      <c r="P490" s="2"/>
      <c r="Q490" s="2"/>
    </row>
    <row x14ac:dyDescent="0.25" r="491" customHeight="1" ht="17.25">
      <c r="A491" s="1" t="s">
        <v>4194</v>
      </c>
      <c r="B491" s="1" t="s">
        <v>1106</v>
      </c>
      <c r="C491" s="1" t="s">
        <v>3583</v>
      </c>
      <c r="D491" s="1" t="s">
        <v>20</v>
      </c>
      <c r="E491" s="1" t="s">
        <v>3572</v>
      </c>
      <c r="F491" s="1" t="s">
        <v>3573</v>
      </c>
      <c r="G491" s="1" t="s">
        <v>3574</v>
      </c>
      <c r="H491" s="2"/>
      <c r="I491" s="5">
        <f>XLOOKUP(K491, pharmaceutical_index!B:B, pharmaceutical_index!A:A, "Not Found")</f>
      </c>
      <c r="J491" s="1" t="s">
        <v>1106</v>
      </c>
      <c r="K491" s="1" t="s">
        <v>1106</v>
      </c>
      <c r="L491" s="1" t="s">
        <v>20</v>
      </c>
      <c r="M491" s="1" t="s">
        <v>1106</v>
      </c>
      <c r="N491" s="2"/>
      <c r="O491" s="2"/>
      <c r="P491" s="2"/>
      <c r="Q491" s="2"/>
    </row>
    <row x14ac:dyDescent="0.25" r="492" customHeight="1" ht="17.25">
      <c r="A492" s="1" t="s">
        <v>4195</v>
      </c>
      <c r="B492" s="1" t="s">
        <v>1108</v>
      </c>
      <c r="C492" s="1" t="s">
        <v>3600</v>
      </c>
      <c r="D492" s="1" t="s">
        <v>154</v>
      </c>
      <c r="E492" s="1" t="s">
        <v>3572</v>
      </c>
      <c r="F492" s="1" t="s">
        <v>3573</v>
      </c>
      <c r="G492" s="1" t="s">
        <v>3574</v>
      </c>
      <c r="H492" s="2"/>
      <c r="I492" s="5">
        <f>XLOOKUP(K492, pharmaceutical_index!B:B, pharmaceutical_index!A:A, "Not Found")</f>
      </c>
      <c r="J492" s="1" t="s">
        <v>1108</v>
      </c>
      <c r="K492" s="1" t="s">
        <v>1108</v>
      </c>
      <c r="L492" s="1" t="s">
        <v>154</v>
      </c>
      <c r="M492" s="1" t="s">
        <v>1108</v>
      </c>
      <c r="N492" s="2"/>
      <c r="O492" s="2"/>
      <c r="P492" s="2"/>
      <c r="Q492" s="2"/>
    </row>
    <row x14ac:dyDescent="0.25" r="493" customHeight="1" ht="17.25">
      <c r="A493" s="1" t="s">
        <v>4196</v>
      </c>
      <c r="B493" s="1" t="s">
        <v>1110</v>
      </c>
      <c r="C493" s="1" t="s">
        <v>3877</v>
      </c>
      <c r="D493" s="1" t="s">
        <v>1111</v>
      </c>
      <c r="E493" s="1" t="s">
        <v>3572</v>
      </c>
      <c r="F493" s="1" t="s">
        <v>3573</v>
      </c>
      <c r="G493" s="1" t="s">
        <v>3574</v>
      </c>
      <c r="H493" s="2"/>
      <c r="I493" s="5">
        <f>XLOOKUP(K493, pharmaceutical_index!B:B, pharmaceutical_index!A:A, "Not Found")</f>
      </c>
      <c r="J493" s="1" t="s">
        <v>1110</v>
      </c>
      <c r="K493" s="1" t="s">
        <v>1110</v>
      </c>
      <c r="L493" s="1" t="s">
        <v>1111</v>
      </c>
      <c r="M493" s="1" t="s">
        <v>1110</v>
      </c>
      <c r="N493" s="2"/>
      <c r="O493" s="2"/>
      <c r="P493" s="2"/>
      <c r="Q493" s="2"/>
    </row>
    <row x14ac:dyDescent="0.25" r="494" customHeight="1" ht="17.25">
      <c r="A494" s="1" t="s">
        <v>4197</v>
      </c>
      <c r="B494" s="1" t="s">
        <v>1113</v>
      </c>
      <c r="C494" s="1" t="s">
        <v>3665</v>
      </c>
      <c r="D494" s="1" t="s">
        <v>20</v>
      </c>
      <c r="E494" s="1" t="s">
        <v>3572</v>
      </c>
      <c r="F494" s="1" t="s">
        <v>3573</v>
      </c>
      <c r="G494" s="1" t="s">
        <v>3574</v>
      </c>
      <c r="H494" s="2"/>
      <c r="I494" s="5">
        <f>XLOOKUP(K494, pharmaceutical_index!B:B, pharmaceutical_index!A:A, "Not Found")</f>
      </c>
      <c r="J494" s="1" t="s">
        <v>1113</v>
      </c>
      <c r="K494" s="1" t="s">
        <v>1113</v>
      </c>
      <c r="L494" s="1" t="s">
        <v>20</v>
      </c>
      <c r="M494" s="1" t="s">
        <v>1113</v>
      </c>
      <c r="N494" s="2"/>
      <c r="O494" s="2"/>
      <c r="P494" s="2"/>
      <c r="Q494" s="2"/>
    </row>
    <row x14ac:dyDescent="0.25" r="495" customHeight="1" ht="17.25">
      <c r="A495" s="1" t="s">
        <v>4198</v>
      </c>
      <c r="B495" s="1" t="s">
        <v>1115</v>
      </c>
      <c r="C495" s="1" t="s">
        <v>3651</v>
      </c>
      <c r="D495" s="1" t="s">
        <v>489</v>
      </c>
      <c r="E495" s="1" t="s">
        <v>3572</v>
      </c>
      <c r="F495" s="1" t="s">
        <v>3573</v>
      </c>
      <c r="G495" s="1" t="s">
        <v>3574</v>
      </c>
      <c r="H495" s="2"/>
      <c r="I495" s="5">
        <f>XLOOKUP(K495, pharmaceutical_index!B:B, pharmaceutical_index!A:A, "Not Found")</f>
      </c>
      <c r="J495" s="1" t="s">
        <v>1115</v>
      </c>
      <c r="K495" s="1" t="s">
        <v>1115</v>
      </c>
      <c r="L495" s="1" t="s">
        <v>489</v>
      </c>
      <c r="M495" s="1" t="s">
        <v>1115</v>
      </c>
      <c r="N495" s="2"/>
      <c r="O495" s="2"/>
      <c r="P495" s="2"/>
      <c r="Q495" s="2"/>
    </row>
    <row x14ac:dyDescent="0.25" r="496" customHeight="1" ht="17.25">
      <c r="A496" s="1" t="s">
        <v>4199</v>
      </c>
      <c r="B496" s="1" t="s">
        <v>1117</v>
      </c>
      <c r="C496" s="1" t="s">
        <v>3622</v>
      </c>
      <c r="D496" s="1" t="s">
        <v>1118</v>
      </c>
      <c r="E496" s="1" t="s">
        <v>3572</v>
      </c>
      <c r="F496" s="1" t="s">
        <v>3573</v>
      </c>
      <c r="G496" s="1" t="s">
        <v>3574</v>
      </c>
      <c r="H496" s="2"/>
      <c r="I496" s="5">
        <f>XLOOKUP(K496, pharmaceutical_index!B:B, pharmaceutical_index!A:A, "Not Found")</f>
      </c>
      <c r="J496" s="1" t="s">
        <v>1117</v>
      </c>
      <c r="K496" s="1" t="s">
        <v>1117</v>
      </c>
      <c r="L496" s="1" t="s">
        <v>1118</v>
      </c>
      <c r="M496" s="1" t="s">
        <v>1117</v>
      </c>
      <c r="N496" s="2"/>
      <c r="O496" s="2"/>
      <c r="P496" s="2"/>
      <c r="Q496" s="2"/>
    </row>
    <row x14ac:dyDescent="0.25" r="497" customHeight="1" ht="17.25">
      <c r="A497" s="1" t="s">
        <v>4200</v>
      </c>
      <c r="B497" s="1" t="s">
        <v>1120</v>
      </c>
      <c r="C497" s="1" t="s">
        <v>3622</v>
      </c>
      <c r="D497" s="1" t="s">
        <v>135</v>
      </c>
      <c r="E497" s="1" t="s">
        <v>3572</v>
      </c>
      <c r="F497" s="1" t="s">
        <v>3573</v>
      </c>
      <c r="G497" s="1" t="s">
        <v>3574</v>
      </c>
      <c r="H497" s="2"/>
      <c r="I497" s="5">
        <f>XLOOKUP(K497, pharmaceutical_index!B:B, pharmaceutical_index!A:A, "Not Found")</f>
      </c>
      <c r="J497" s="1" t="s">
        <v>1120</v>
      </c>
      <c r="K497" s="1" t="s">
        <v>1120</v>
      </c>
      <c r="L497" s="1" t="s">
        <v>135</v>
      </c>
      <c r="M497" s="1" t="s">
        <v>1120</v>
      </c>
      <c r="N497" s="2"/>
      <c r="O497" s="2"/>
      <c r="P497" s="2"/>
      <c r="Q497" s="2"/>
    </row>
    <row x14ac:dyDescent="0.25" r="498" customHeight="1" ht="17.25">
      <c r="A498" s="1" t="s">
        <v>4201</v>
      </c>
      <c r="B498" s="1" t="s">
        <v>1122</v>
      </c>
      <c r="C498" s="1" t="s">
        <v>3600</v>
      </c>
      <c r="D498" s="1" t="s">
        <v>54</v>
      </c>
      <c r="E498" s="1" t="s">
        <v>3572</v>
      </c>
      <c r="F498" s="1" t="s">
        <v>3573</v>
      </c>
      <c r="G498" s="1" t="s">
        <v>3574</v>
      </c>
      <c r="H498" s="2"/>
      <c r="I498" s="5">
        <f>XLOOKUP(K498, pharmaceutical_index!B:B, pharmaceutical_index!A:A, "Not Found")</f>
      </c>
      <c r="J498" s="1" t="s">
        <v>1122</v>
      </c>
      <c r="K498" s="1" t="s">
        <v>1122</v>
      </c>
      <c r="L498" s="1" t="s">
        <v>54</v>
      </c>
      <c r="M498" s="1" t="s">
        <v>1122</v>
      </c>
      <c r="N498" s="2"/>
      <c r="O498" s="2"/>
      <c r="P498" s="2"/>
      <c r="Q498" s="2"/>
    </row>
    <row x14ac:dyDescent="0.25" r="499" customHeight="1" ht="17.25">
      <c r="A499" s="1" t="s">
        <v>4202</v>
      </c>
      <c r="B499" s="1" t="s">
        <v>1124</v>
      </c>
      <c r="C499" s="1" t="s">
        <v>3571</v>
      </c>
      <c r="D499" s="1" t="s">
        <v>231</v>
      </c>
      <c r="E499" s="1" t="s">
        <v>3572</v>
      </c>
      <c r="F499" s="1" t="s">
        <v>3573</v>
      </c>
      <c r="G499" s="1" t="s">
        <v>3574</v>
      </c>
      <c r="H499" s="2"/>
      <c r="I499" s="5">
        <f>XLOOKUP(K499, pharmaceutical_index!B:B, pharmaceutical_index!A:A, "Not Found")</f>
      </c>
      <c r="J499" s="1" t="s">
        <v>1124</v>
      </c>
      <c r="K499" s="1" t="s">
        <v>1124</v>
      </c>
      <c r="L499" s="1" t="s">
        <v>231</v>
      </c>
      <c r="M499" s="1" t="s">
        <v>1124</v>
      </c>
      <c r="N499" s="2"/>
      <c r="O499" s="2"/>
      <c r="P499" s="2"/>
      <c r="Q499" s="2"/>
    </row>
    <row x14ac:dyDescent="0.25" r="500" customHeight="1" ht="17.25">
      <c r="A500" s="1" t="s">
        <v>4203</v>
      </c>
      <c r="B500" s="1" t="s">
        <v>1126</v>
      </c>
      <c r="C500" s="1" t="s">
        <v>3608</v>
      </c>
      <c r="D500" s="1" t="s">
        <v>1127</v>
      </c>
      <c r="E500" s="1" t="s">
        <v>3572</v>
      </c>
      <c r="F500" s="1" t="s">
        <v>3573</v>
      </c>
      <c r="G500" s="1" t="s">
        <v>3574</v>
      </c>
      <c r="H500" s="2"/>
      <c r="I500" s="5">
        <f>XLOOKUP(K500, pharmaceutical_index!B:B, pharmaceutical_index!A:A, "Not Found")</f>
      </c>
      <c r="J500" s="1" t="s">
        <v>1126</v>
      </c>
      <c r="K500" s="1" t="s">
        <v>1126</v>
      </c>
      <c r="L500" s="1" t="s">
        <v>1127</v>
      </c>
      <c r="M500" s="1" t="s">
        <v>1126</v>
      </c>
      <c r="N500" s="2"/>
      <c r="O500" s="2"/>
      <c r="P500" s="2"/>
      <c r="Q500" s="2"/>
    </row>
    <row x14ac:dyDescent="0.25" r="501" customHeight="1" ht="17.25">
      <c r="A501" s="1" t="s">
        <v>4204</v>
      </c>
      <c r="B501" s="1" t="s">
        <v>1129</v>
      </c>
      <c r="C501" s="1" t="s">
        <v>3589</v>
      </c>
      <c r="D501" s="1" t="s">
        <v>915</v>
      </c>
      <c r="E501" s="1" t="s">
        <v>3572</v>
      </c>
      <c r="F501" s="1" t="s">
        <v>3573</v>
      </c>
      <c r="G501" s="1" t="s">
        <v>3574</v>
      </c>
      <c r="H501" s="2"/>
      <c r="I501" s="5">
        <f>XLOOKUP(K501, pharmaceutical_index!B:B, pharmaceutical_index!A:A, "Not Found")</f>
      </c>
      <c r="J501" s="1" t="s">
        <v>1129</v>
      </c>
      <c r="K501" s="1" t="s">
        <v>1129</v>
      </c>
      <c r="L501" s="1" t="s">
        <v>915</v>
      </c>
      <c r="M501" s="1" t="s">
        <v>1129</v>
      </c>
      <c r="N501" s="2"/>
      <c r="O501" s="2"/>
      <c r="P501" s="2"/>
      <c r="Q501" s="2"/>
    </row>
    <row x14ac:dyDescent="0.25" r="502" customHeight="1" ht="17.25">
      <c r="A502" s="1" t="s">
        <v>4205</v>
      </c>
      <c r="B502" s="1" t="s">
        <v>1131</v>
      </c>
      <c r="C502" s="1" t="s">
        <v>3608</v>
      </c>
      <c r="D502" s="1" t="s">
        <v>522</v>
      </c>
      <c r="E502" s="1" t="s">
        <v>3572</v>
      </c>
      <c r="F502" s="1" t="s">
        <v>3573</v>
      </c>
      <c r="G502" s="1" t="s">
        <v>3574</v>
      </c>
      <c r="H502" s="2"/>
      <c r="I502" s="5">
        <f>XLOOKUP(K502, pharmaceutical_index!B:B, pharmaceutical_index!A:A, "Not Found")</f>
      </c>
      <c r="J502" s="1" t="s">
        <v>1131</v>
      </c>
      <c r="K502" s="1" t="s">
        <v>1131</v>
      </c>
      <c r="L502" s="1" t="s">
        <v>522</v>
      </c>
      <c r="M502" s="1" t="s">
        <v>1131</v>
      </c>
      <c r="N502" s="2"/>
      <c r="O502" s="2"/>
      <c r="P502" s="2"/>
      <c r="Q502" s="2"/>
    </row>
    <row x14ac:dyDescent="0.25" r="503" customHeight="1" ht="17.25">
      <c r="A503" s="1" t="s">
        <v>4206</v>
      </c>
      <c r="B503" s="1" t="s">
        <v>1133</v>
      </c>
      <c r="C503" s="1" t="s">
        <v>3583</v>
      </c>
      <c r="D503" s="1" t="s">
        <v>20</v>
      </c>
      <c r="E503" s="1" t="s">
        <v>3572</v>
      </c>
      <c r="F503" s="1" t="s">
        <v>3573</v>
      </c>
      <c r="G503" s="1" t="s">
        <v>3574</v>
      </c>
      <c r="H503" s="2"/>
      <c r="I503" s="5">
        <f>XLOOKUP(K503, pharmaceutical_index!B:B, pharmaceutical_index!A:A, "Not Found")</f>
      </c>
      <c r="J503" s="1" t="s">
        <v>1133</v>
      </c>
      <c r="K503" s="1" t="s">
        <v>1133</v>
      </c>
      <c r="L503" s="1" t="s">
        <v>20</v>
      </c>
      <c r="M503" s="1" t="s">
        <v>1133</v>
      </c>
      <c r="N503" s="2"/>
      <c r="O503" s="2"/>
      <c r="P503" s="2"/>
      <c r="Q503" s="2"/>
    </row>
    <row x14ac:dyDescent="0.25" r="504" customHeight="1" ht="17.25">
      <c r="A504" s="1" t="s">
        <v>4207</v>
      </c>
      <c r="B504" s="1" t="s">
        <v>1135</v>
      </c>
      <c r="C504" s="1" t="s">
        <v>3583</v>
      </c>
      <c r="D504" s="1" t="s">
        <v>20</v>
      </c>
      <c r="E504" s="1" t="s">
        <v>3572</v>
      </c>
      <c r="F504" s="1" t="s">
        <v>3573</v>
      </c>
      <c r="G504" s="1" t="s">
        <v>3574</v>
      </c>
      <c r="H504" s="2"/>
      <c r="I504" s="5">
        <f>XLOOKUP(K504, pharmaceutical_index!B:B, pharmaceutical_index!A:A, "Not Found")</f>
      </c>
      <c r="J504" s="1" t="s">
        <v>1135</v>
      </c>
      <c r="K504" s="1" t="s">
        <v>1135</v>
      </c>
      <c r="L504" s="1" t="s">
        <v>20</v>
      </c>
      <c r="M504" s="1" t="s">
        <v>1135</v>
      </c>
      <c r="N504" s="2"/>
      <c r="O504" s="2"/>
      <c r="P504" s="2"/>
      <c r="Q504" s="2"/>
    </row>
    <row x14ac:dyDescent="0.25" r="505" customHeight="1" ht="17.25">
      <c r="A505" s="1" t="s">
        <v>4208</v>
      </c>
      <c r="B505" s="1" t="s">
        <v>1137</v>
      </c>
      <c r="C505" s="1" t="s">
        <v>3635</v>
      </c>
      <c r="D505" s="1" t="s">
        <v>20</v>
      </c>
      <c r="E505" s="1" t="s">
        <v>3572</v>
      </c>
      <c r="F505" s="1" t="s">
        <v>3573</v>
      </c>
      <c r="G505" s="1" t="s">
        <v>3574</v>
      </c>
      <c r="H505" s="1" t="s">
        <v>4209</v>
      </c>
      <c r="I505" s="5">
        <f>XLOOKUP(K505, pharmaceutical_index!B:B, pharmaceutical_index!A:A, "Not Found")</f>
      </c>
      <c r="J505" s="1" t="s">
        <v>1137</v>
      </c>
      <c r="K505" s="1" t="s">
        <v>1137</v>
      </c>
      <c r="L505" s="1" t="s">
        <v>20</v>
      </c>
      <c r="M505" s="1" t="s">
        <v>1137</v>
      </c>
      <c r="N505" s="2"/>
      <c r="O505" s="2"/>
      <c r="P505" s="2"/>
      <c r="Q505" s="2"/>
    </row>
    <row x14ac:dyDescent="0.25" r="506" customHeight="1" ht="17.25">
      <c r="A506" s="1" t="s">
        <v>4210</v>
      </c>
      <c r="B506" s="1" t="s">
        <v>1139</v>
      </c>
      <c r="C506" s="1" t="s">
        <v>3674</v>
      </c>
      <c r="D506" s="1" t="s">
        <v>20</v>
      </c>
      <c r="E506" s="1" t="s">
        <v>3572</v>
      </c>
      <c r="F506" s="1" t="s">
        <v>3573</v>
      </c>
      <c r="G506" s="1" t="s">
        <v>3574</v>
      </c>
      <c r="H506" s="2"/>
      <c r="I506" s="5">
        <f>XLOOKUP(K506, pharmaceutical_index!B:B, pharmaceutical_index!A:A, "Not Found")</f>
      </c>
      <c r="J506" s="1" t="s">
        <v>1139</v>
      </c>
      <c r="K506" s="1" t="s">
        <v>1139</v>
      </c>
      <c r="L506" s="1" t="s">
        <v>20</v>
      </c>
      <c r="M506" s="1" t="s">
        <v>1139</v>
      </c>
      <c r="N506" s="2"/>
      <c r="O506" s="2"/>
      <c r="P506" s="2"/>
      <c r="Q506" s="2"/>
    </row>
    <row x14ac:dyDescent="0.25" r="507" customHeight="1" ht="17.25">
      <c r="A507" s="1" t="s">
        <v>4211</v>
      </c>
      <c r="B507" s="1" t="s">
        <v>1141</v>
      </c>
      <c r="C507" s="1" t="s">
        <v>3674</v>
      </c>
      <c r="D507" s="1" t="s">
        <v>1142</v>
      </c>
      <c r="E507" s="1" t="s">
        <v>3572</v>
      </c>
      <c r="F507" s="1" t="s">
        <v>3573</v>
      </c>
      <c r="G507" s="1" t="s">
        <v>3574</v>
      </c>
      <c r="H507" s="1" t="s">
        <v>4212</v>
      </c>
      <c r="I507" s="5">
        <f>XLOOKUP(K507, pharmaceutical_index!B:B, pharmaceutical_index!A:A, "Not Found")</f>
      </c>
      <c r="J507" s="1" t="s">
        <v>4213</v>
      </c>
      <c r="K507" s="1" t="s">
        <v>1141</v>
      </c>
      <c r="L507" s="1" t="s">
        <v>1142</v>
      </c>
      <c r="M507" s="1" t="s">
        <v>4213</v>
      </c>
      <c r="N507" s="2"/>
      <c r="O507" s="2"/>
      <c r="P507" s="2"/>
      <c r="Q507" s="2"/>
    </row>
    <row x14ac:dyDescent="0.25" r="508" customHeight="1" ht="17.25">
      <c r="A508" s="1" t="s">
        <v>4214</v>
      </c>
      <c r="B508" s="1" t="s">
        <v>1144</v>
      </c>
      <c r="C508" s="1" t="s">
        <v>3674</v>
      </c>
      <c r="D508" s="1" t="s">
        <v>1145</v>
      </c>
      <c r="E508" s="1" t="s">
        <v>3572</v>
      </c>
      <c r="F508" s="1" t="s">
        <v>3573</v>
      </c>
      <c r="G508" s="1" t="s">
        <v>3574</v>
      </c>
      <c r="H508" s="1" t="s">
        <v>4215</v>
      </c>
      <c r="I508" s="5">
        <f>XLOOKUP(K508, pharmaceutical_index!B:B, pharmaceutical_index!A:A, "Not Found")</f>
      </c>
      <c r="J508" s="1" t="s">
        <v>4216</v>
      </c>
      <c r="K508" s="1" t="s">
        <v>1144</v>
      </c>
      <c r="L508" s="1" t="s">
        <v>1145</v>
      </c>
      <c r="M508" s="1" t="s">
        <v>4216</v>
      </c>
      <c r="N508" s="2"/>
      <c r="O508" s="2"/>
      <c r="P508" s="2"/>
      <c r="Q508" s="2"/>
    </row>
    <row x14ac:dyDescent="0.25" r="509" customHeight="1" ht="17.25">
      <c r="A509" s="1" t="s">
        <v>4217</v>
      </c>
      <c r="B509" s="1" t="s">
        <v>1147</v>
      </c>
      <c r="C509" s="1" t="s">
        <v>3674</v>
      </c>
      <c r="D509" s="1" t="s">
        <v>1148</v>
      </c>
      <c r="E509" s="1" t="s">
        <v>3572</v>
      </c>
      <c r="F509" s="1" t="s">
        <v>3573</v>
      </c>
      <c r="G509" s="1" t="s">
        <v>3574</v>
      </c>
      <c r="H509" s="1" t="s">
        <v>4215</v>
      </c>
      <c r="I509" s="5">
        <f>XLOOKUP(K509, pharmaceutical_index!B:B, pharmaceutical_index!A:A, "Not Found")</f>
      </c>
      <c r="J509" s="1" t="s">
        <v>4218</v>
      </c>
      <c r="K509" s="1" t="s">
        <v>1147</v>
      </c>
      <c r="L509" s="1" t="s">
        <v>1148</v>
      </c>
      <c r="M509" s="1" t="s">
        <v>4218</v>
      </c>
      <c r="N509" s="2"/>
      <c r="O509" s="2"/>
      <c r="P509" s="2"/>
      <c r="Q509" s="2"/>
    </row>
    <row x14ac:dyDescent="0.25" r="510" customHeight="1" ht="17.25">
      <c r="A510" s="1" t="s">
        <v>4219</v>
      </c>
      <c r="B510" s="1" t="s">
        <v>1150</v>
      </c>
      <c r="C510" s="1" t="s">
        <v>3674</v>
      </c>
      <c r="D510" s="1" t="s">
        <v>1148</v>
      </c>
      <c r="E510" s="1" t="s">
        <v>3572</v>
      </c>
      <c r="F510" s="1" t="s">
        <v>3573</v>
      </c>
      <c r="G510" s="1" t="s">
        <v>3574</v>
      </c>
      <c r="H510" s="1" t="s">
        <v>4212</v>
      </c>
      <c r="I510" s="5">
        <f>XLOOKUP(K510, pharmaceutical_index!B:B, pharmaceutical_index!A:A, "Not Found")</f>
      </c>
      <c r="J510" s="1" t="s">
        <v>4220</v>
      </c>
      <c r="K510" s="1" t="s">
        <v>1150</v>
      </c>
      <c r="L510" s="1" t="s">
        <v>1148</v>
      </c>
      <c r="M510" s="1" t="s">
        <v>4220</v>
      </c>
      <c r="N510" s="2"/>
      <c r="O510" s="2"/>
      <c r="P510" s="2"/>
      <c r="Q510" s="2"/>
    </row>
    <row x14ac:dyDescent="0.25" r="511" customHeight="1" ht="17.25">
      <c r="A511" s="1" t="s">
        <v>4221</v>
      </c>
      <c r="B511" s="1" t="s">
        <v>1152</v>
      </c>
      <c r="C511" s="1" t="s">
        <v>3635</v>
      </c>
      <c r="D511" s="1" t="s">
        <v>20</v>
      </c>
      <c r="E511" s="1" t="s">
        <v>3572</v>
      </c>
      <c r="F511" s="1" t="s">
        <v>3573</v>
      </c>
      <c r="G511" s="1" t="s">
        <v>3574</v>
      </c>
      <c r="H511" s="1" t="s">
        <v>3853</v>
      </c>
      <c r="I511" s="5">
        <f>XLOOKUP(K511, pharmaceutical_index!B:B, pharmaceutical_index!A:A, "Not Found")</f>
      </c>
      <c r="J511" s="1" t="s">
        <v>4222</v>
      </c>
      <c r="K511" s="1" t="s">
        <v>1152</v>
      </c>
      <c r="L511" s="1" t="s">
        <v>20</v>
      </c>
      <c r="M511" s="1" t="s">
        <v>4222</v>
      </c>
      <c r="N511" s="2"/>
      <c r="O511" s="2"/>
      <c r="P511" s="2"/>
      <c r="Q511" s="2"/>
    </row>
    <row x14ac:dyDescent="0.25" r="512" customHeight="1" ht="17.25">
      <c r="A512" s="1" t="s">
        <v>4223</v>
      </c>
      <c r="B512" s="1" t="s">
        <v>1154</v>
      </c>
      <c r="C512" s="1" t="s">
        <v>3674</v>
      </c>
      <c r="D512" s="1" t="s">
        <v>1155</v>
      </c>
      <c r="E512" s="1" t="s">
        <v>3572</v>
      </c>
      <c r="F512" s="1" t="s">
        <v>3573</v>
      </c>
      <c r="G512" s="1" t="s">
        <v>3574</v>
      </c>
      <c r="H512" s="1" t="s">
        <v>3853</v>
      </c>
      <c r="I512" s="5">
        <f>XLOOKUP(K512, pharmaceutical_index!B:B, pharmaceutical_index!A:A, "Not Found")</f>
      </c>
      <c r="J512" s="1" t="s">
        <v>4224</v>
      </c>
      <c r="K512" s="1" t="s">
        <v>1154</v>
      </c>
      <c r="L512" s="1" t="s">
        <v>1155</v>
      </c>
      <c r="M512" s="1" t="s">
        <v>4224</v>
      </c>
      <c r="N512" s="2"/>
      <c r="O512" s="2"/>
      <c r="P512" s="2"/>
      <c r="Q512" s="2"/>
    </row>
    <row x14ac:dyDescent="0.25" r="513" customHeight="1" ht="17.25">
      <c r="A513" s="1" t="s">
        <v>4225</v>
      </c>
      <c r="B513" s="1" t="s">
        <v>1157</v>
      </c>
      <c r="C513" s="1" t="s">
        <v>3674</v>
      </c>
      <c r="D513" s="1" t="s">
        <v>1158</v>
      </c>
      <c r="E513" s="1" t="s">
        <v>3572</v>
      </c>
      <c r="F513" s="1" t="s">
        <v>3573</v>
      </c>
      <c r="G513" s="1" t="s">
        <v>3574</v>
      </c>
      <c r="H513" s="1" t="s">
        <v>4215</v>
      </c>
      <c r="I513" s="5">
        <f>XLOOKUP(K513, pharmaceutical_index!B:B, pharmaceutical_index!A:A, "Not Found")</f>
      </c>
      <c r="J513" s="1" t="s">
        <v>1157</v>
      </c>
      <c r="K513" s="1" t="s">
        <v>1157</v>
      </c>
      <c r="L513" s="1" t="s">
        <v>1158</v>
      </c>
      <c r="M513" s="1" t="s">
        <v>1157</v>
      </c>
      <c r="N513" s="2"/>
      <c r="O513" s="2"/>
      <c r="P513" s="2"/>
      <c r="Q513" s="2"/>
    </row>
    <row x14ac:dyDescent="0.25" r="514" customHeight="1" ht="17.25">
      <c r="A514" s="1" t="s">
        <v>4226</v>
      </c>
      <c r="B514" s="1" t="s">
        <v>1160</v>
      </c>
      <c r="C514" s="1" t="s">
        <v>3762</v>
      </c>
      <c r="D514" s="1" t="s">
        <v>328</v>
      </c>
      <c r="E514" s="1" t="s">
        <v>3572</v>
      </c>
      <c r="F514" s="1" t="s">
        <v>3573</v>
      </c>
      <c r="G514" s="1" t="s">
        <v>3574</v>
      </c>
      <c r="H514" s="2"/>
      <c r="I514" s="5">
        <f>XLOOKUP(K514, pharmaceutical_index!B:B, pharmaceutical_index!A:A, "Not Found")</f>
      </c>
      <c r="J514" s="1" t="s">
        <v>1160</v>
      </c>
      <c r="K514" s="1" t="s">
        <v>1160</v>
      </c>
      <c r="L514" s="1" t="s">
        <v>328</v>
      </c>
      <c r="M514" s="1" t="s">
        <v>1160</v>
      </c>
      <c r="N514" s="2"/>
      <c r="O514" s="2"/>
      <c r="P514" s="2"/>
      <c r="Q514" s="2"/>
    </row>
    <row x14ac:dyDescent="0.25" r="515" customHeight="1" ht="17.25">
      <c r="A515" s="1" t="s">
        <v>4227</v>
      </c>
      <c r="B515" s="1" t="s">
        <v>1162</v>
      </c>
      <c r="C515" s="1" t="s">
        <v>3585</v>
      </c>
      <c r="D515" s="1" t="s">
        <v>20</v>
      </c>
      <c r="E515" s="1" t="s">
        <v>3572</v>
      </c>
      <c r="F515" s="1" t="s">
        <v>3573</v>
      </c>
      <c r="G515" s="1" t="s">
        <v>3574</v>
      </c>
      <c r="H515" s="2"/>
      <c r="I515" s="5">
        <f>XLOOKUP(K515, pharmaceutical_index!B:B, pharmaceutical_index!A:A, "Not Found")</f>
      </c>
      <c r="J515" s="1" t="s">
        <v>1162</v>
      </c>
      <c r="K515" s="1" t="s">
        <v>1162</v>
      </c>
      <c r="L515" s="1" t="s">
        <v>20</v>
      </c>
      <c r="M515" s="1" t="s">
        <v>1162</v>
      </c>
      <c r="N515" s="2"/>
      <c r="O515" s="2"/>
      <c r="P515" s="2"/>
      <c r="Q515" s="2"/>
    </row>
    <row x14ac:dyDescent="0.25" r="516" customHeight="1" ht="17.25">
      <c r="A516" s="1" t="s">
        <v>4228</v>
      </c>
      <c r="B516" s="1" t="s">
        <v>1164</v>
      </c>
      <c r="C516" s="1" t="s">
        <v>3622</v>
      </c>
      <c r="D516" s="1" t="s">
        <v>135</v>
      </c>
      <c r="E516" s="1" t="s">
        <v>3572</v>
      </c>
      <c r="F516" s="1" t="s">
        <v>3573</v>
      </c>
      <c r="G516" s="1" t="s">
        <v>3574</v>
      </c>
      <c r="H516" s="2"/>
      <c r="I516" s="5">
        <f>XLOOKUP(K516, pharmaceutical_index!B:B, pharmaceutical_index!A:A, "Not Found")</f>
      </c>
      <c r="J516" s="1" t="s">
        <v>1164</v>
      </c>
      <c r="K516" s="1" t="s">
        <v>1164</v>
      </c>
      <c r="L516" s="1" t="s">
        <v>135</v>
      </c>
      <c r="M516" s="1" t="s">
        <v>1164</v>
      </c>
      <c r="N516" s="2"/>
      <c r="O516" s="2"/>
      <c r="P516" s="2"/>
      <c r="Q516" s="2"/>
    </row>
    <row x14ac:dyDescent="0.25" r="517" customHeight="1" ht="17.25">
      <c r="A517" s="1" t="s">
        <v>4229</v>
      </c>
      <c r="B517" s="1" t="s">
        <v>1166</v>
      </c>
      <c r="C517" s="1" t="s">
        <v>3571</v>
      </c>
      <c r="D517" s="1" t="s">
        <v>13</v>
      </c>
      <c r="E517" s="1" t="s">
        <v>3572</v>
      </c>
      <c r="F517" s="1" t="s">
        <v>3573</v>
      </c>
      <c r="G517" s="1" t="s">
        <v>3574</v>
      </c>
      <c r="H517" s="2"/>
      <c r="I517" s="5">
        <f>XLOOKUP(K517, pharmaceutical_index!B:B, pharmaceutical_index!A:A, "Not Found")</f>
      </c>
      <c r="J517" s="1" t="s">
        <v>1166</v>
      </c>
      <c r="K517" s="1" t="s">
        <v>1166</v>
      </c>
      <c r="L517" s="1" t="s">
        <v>13</v>
      </c>
      <c r="M517" s="1" t="s">
        <v>1166</v>
      </c>
      <c r="N517" s="2"/>
      <c r="O517" s="2"/>
      <c r="P517" s="2"/>
      <c r="Q517" s="2"/>
    </row>
    <row x14ac:dyDescent="0.25" r="518" customHeight="1" ht="17.25">
      <c r="A518" s="1" t="s">
        <v>4230</v>
      </c>
      <c r="B518" s="1" t="s">
        <v>1168</v>
      </c>
      <c r="C518" s="1" t="s">
        <v>3576</v>
      </c>
      <c r="D518" s="1" t="s">
        <v>20</v>
      </c>
      <c r="E518" s="1" t="s">
        <v>3572</v>
      </c>
      <c r="F518" s="1" t="s">
        <v>3573</v>
      </c>
      <c r="G518" s="1" t="s">
        <v>3574</v>
      </c>
      <c r="H518" s="2"/>
      <c r="I518" s="5">
        <f>XLOOKUP(K518, pharmaceutical_index!B:B, pharmaceutical_index!A:A, "Not Found")</f>
      </c>
      <c r="J518" s="1" t="s">
        <v>4231</v>
      </c>
      <c r="K518" s="1" t="s">
        <v>1168</v>
      </c>
      <c r="L518" s="1" t="s">
        <v>20</v>
      </c>
      <c r="M518" s="1" t="s">
        <v>4232</v>
      </c>
      <c r="N518" s="2"/>
      <c r="O518" s="2"/>
      <c r="P518" s="2"/>
      <c r="Q518" s="2"/>
    </row>
    <row x14ac:dyDescent="0.25" r="519" customHeight="1" ht="17.25">
      <c r="A519" s="1" t="s">
        <v>4233</v>
      </c>
      <c r="B519" s="1" t="s">
        <v>1170</v>
      </c>
      <c r="C519" s="1" t="s">
        <v>3576</v>
      </c>
      <c r="D519" s="1" t="s">
        <v>20</v>
      </c>
      <c r="E519" s="1" t="s">
        <v>3572</v>
      </c>
      <c r="F519" s="1" t="s">
        <v>3573</v>
      </c>
      <c r="G519" s="1" t="s">
        <v>3574</v>
      </c>
      <c r="H519" s="2"/>
      <c r="I519" s="5">
        <f>XLOOKUP(K519, pharmaceutical_index!B:B, pharmaceutical_index!A:A, "Not Found")</f>
      </c>
      <c r="J519" s="1" t="s">
        <v>4234</v>
      </c>
      <c r="K519" s="1" t="s">
        <v>1170</v>
      </c>
      <c r="L519" s="1" t="s">
        <v>20</v>
      </c>
      <c r="M519" s="1" t="s">
        <v>4235</v>
      </c>
      <c r="N519" s="2"/>
      <c r="O519" s="2"/>
      <c r="P519" s="2"/>
      <c r="Q519" s="2"/>
    </row>
    <row x14ac:dyDescent="0.25" r="520" customHeight="1" ht="17.25">
      <c r="A520" s="1" t="s">
        <v>4236</v>
      </c>
      <c r="B520" s="1" t="s">
        <v>1172</v>
      </c>
      <c r="C520" s="1" t="s">
        <v>3576</v>
      </c>
      <c r="D520" s="1" t="s">
        <v>20</v>
      </c>
      <c r="E520" s="1" t="s">
        <v>3572</v>
      </c>
      <c r="F520" s="1" t="s">
        <v>3573</v>
      </c>
      <c r="G520" s="1" t="s">
        <v>3574</v>
      </c>
      <c r="H520" s="2"/>
      <c r="I520" s="5">
        <f>XLOOKUP(K520, pharmaceutical_index!B:B, pharmaceutical_index!A:A, "Not Found")</f>
      </c>
      <c r="J520" s="1" t="s">
        <v>4237</v>
      </c>
      <c r="K520" s="1" t="s">
        <v>1172</v>
      </c>
      <c r="L520" s="1" t="s">
        <v>20</v>
      </c>
      <c r="M520" s="1" t="s">
        <v>4238</v>
      </c>
      <c r="N520" s="2"/>
      <c r="O520" s="2"/>
      <c r="P520" s="2"/>
      <c r="Q520" s="2"/>
    </row>
    <row x14ac:dyDescent="0.25" r="521" customHeight="1" ht="17.25">
      <c r="A521" s="1" t="s">
        <v>4239</v>
      </c>
      <c r="B521" s="1" t="s">
        <v>1174</v>
      </c>
      <c r="C521" s="1" t="s">
        <v>3866</v>
      </c>
      <c r="D521" s="1" t="s">
        <v>20</v>
      </c>
      <c r="E521" s="1" t="s">
        <v>3572</v>
      </c>
      <c r="F521" s="1" t="s">
        <v>3573</v>
      </c>
      <c r="G521" s="1" t="s">
        <v>3574</v>
      </c>
      <c r="H521" s="2"/>
      <c r="I521" s="5">
        <f>XLOOKUP(K521, pharmaceutical_index!B:B, pharmaceutical_index!A:A, "Not Found")</f>
      </c>
      <c r="J521" s="1" t="s">
        <v>1174</v>
      </c>
      <c r="K521" s="1" t="s">
        <v>1174</v>
      </c>
      <c r="L521" s="1" t="s">
        <v>20</v>
      </c>
      <c r="M521" s="1" t="s">
        <v>1174</v>
      </c>
      <c r="N521" s="2"/>
      <c r="O521" s="2"/>
      <c r="P521" s="2"/>
      <c r="Q521" s="2"/>
    </row>
    <row x14ac:dyDescent="0.25" r="522" customHeight="1" ht="17.25">
      <c r="A522" s="1" t="s">
        <v>4240</v>
      </c>
      <c r="B522" s="1" t="s">
        <v>1176</v>
      </c>
      <c r="C522" s="1" t="s">
        <v>3576</v>
      </c>
      <c r="D522" s="1" t="s">
        <v>20</v>
      </c>
      <c r="E522" s="1" t="s">
        <v>3572</v>
      </c>
      <c r="F522" s="1" t="s">
        <v>3573</v>
      </c>
      <c r="G522" s="1" t="s">
        <v>3574</v>
      </c>
      <c r="H522" s="2"/>
      <c r="I522" s="5">
        <f>XLOOKUP(K522, pharmaceutical_index!B:B, pharmaceutical_index!A:A, "Not Found")</f>
      </c>
      <c r="J522" s="1" t="s">
        <v>4241</v>
      </c>
      <c r="K522" s="1" t="s">
        <v>1176</v>
      </c>
      <c r="L522" s="1" t="s">
        <v>20</v>
      </c>
      <c r="M522" s="1" t="s">
        <v>4242</v>
      </c>
      <c r="N522" s="2"/>
      <c r="O522" s="2"/>
      <c r="P522" s="2"/>
      <c r="Q522" s="2"/>
    </row>
    <row x14ac:dyDescent="0.25" r="523" customHeight="1" ht="17.25">
      <c r="A523" s="1" t="s">
        <v>4243</v>
      </c>
      <c r="B523" s="1" t="s">
        <v>1178</v>
      </c>
      <c r="C523" s="1" t="s">
        <v>3877</v>
      </c>
      <c r="D523" s="1" t="s">
        <v>554</v>
      </c>
      <c r="E523" s="1" t="s">
        <v>3572</v>
      </c>
      <c r="F523" s="1" t="s">
        <v>3573</v>
      </c>
      <c r="G523" s="1" t="s">
        <v>3574</v>
      </c>
      <c r="H523" s="2"/>
      <c r="I523" s="5">
        <f>XLOOKUP(K523, pharmaceutical_index!B:B, pharmaceutical_index!A:A, "Not Found")</f>
      </c>
      <c r="J523" s="1" t="s">
        <v>4244</v>
      </c>
      <c r="K523" s="1" t="s">
        <v>1178</v>
      </c>
      <c r="L523" s="1" t="s">
        <v>554</v>
      </c>
      <c r="M523" s="1" t="s">
        <v>4245</v>
      </c>
      <c r="N523" s="2"/>
      <c r="O523" s="2"/>
      <c r="P523" s="2"/>
      <c r="Q523" s="2"/>
    </row>
    <row x14ac:dyDescent="0.25" r="524" customHeight="1" ht="17.25">
      <c r="A524" s="1" t="s">
        <v>4246</v>
      </c>
      <c r="B524" s="1" t="s">
        <v>1180</v>
      </c>
      <c r="C524" s="1" t="s">
        <v>3600</v>
      </c>
      <c r="D524" s="1" t="s">
        <v>20</v>
      </c>
      <c r="E524" s="1" t="s">
        <v>3572</v>
      </c>
      <c r="F524" s="1" t="s">
        <v>3573</v>
      </c>
      <c r="G524" s="1" t="s">
        <v>3574</v>
      </c>
      <c r="H524" s="2"/>
      <c r="I524" s="5">
        <f>XLOOKUP(K524, pharmaceutical_index!B:B, pharmaceutical_index!A:A, "Not Found")</f>
      </c>
      <c r="J524" s="1" t="s">
        <v>1180</v>
      </c>
      <c r="K524" s="1" t="s">
        <v>1180</v>
      </c>
      <c r="L524" s="1" t="s">
        <v>20</v>
      </c>
      <c r="M524" s="1" t="s">
        <v>1180</v>
      </c>
      <c r="N524" s="2"/>
      <c r="O524" s="2"/>
      <c r="P524" s="2"/>
      <c r="Q524" s="2"/>
    </row>
    <row x14ac:dyDescent="0.25" r="525" customHeight="1" ht="17.25">
      <c r="A525" s="1" t="s">
        <v>4247</v>
      </c>
      <c r="B525" s="1" t="s">
        <v>1182</v>
      </c>
      <c r="C525" s="1" t="s">
        <v>3753</v>
      </c>
      <c r="D525" s="1" t="s">
        <v>20</v>
      </c>
      <c r="E525" s="1" t="s">
        <v>3572</v>
      </c>
      <c r="F525" s="1" t="s">
        <v>3573</v>
      </c>
      <c r="G525" s="1" t="s">
        <v>3574</v>
      </c>
      <c r="H525" s="2"/>
      <c r="I525" s="5">
        <f>XLOOKUP(K525, pharmaceutical_index!B:B, pharmaceutical_index!A:A, "Not Found")</f>
      </c>
      <c r="J525" s="1" t="s">
        <v>1182</v>
      </c>
      <c r="K525" s="1" t="s">
        <v>1182</v>
      </c>
      <c r="L525" s="1" t="s">
        <v>20</v>
      </c>
      <c r="M525" s="1" t="s">
        <v>1182</v>
      </c>
      <c r="N525" s="2"/>
      <c r="O525" s="2"/>
      <c r="P525" s="2"/>
      <c r="Q525" s="2"/>
    </row>
    <row x14ac:dyDescent="0.25" r="526" customHeight="1" ht="17.25">
      <c r="A526" s="1" t="s">
        <v>4248</v>
      </c>
      <c r="B526" s="1" t="s">
        <v>1184</v>
      </c>
      <c r="C526" s="1" t="s">
        <v>3583</v>
      </c>
      <c r="D526" s="1" t="s">
        <v>20</v>
      </c>
      <c r="E526" s="1" t="s">
        <v>3572</v>
      </c>
      <c r="F526" s="1" t="s">
        <v>3573</v>
      </c>
      <c r="G526" s="1" t="s">
        <v>3574</v>
      </c>
      <c r="H526" s="2"/>
      <c r="I526" s="5">
        <f>XLOOKUP(K526, pharmaceutical_index!B:B, pharmaceutical_index!A:A, "Not Found")</f>
      </c>
      <c r="J526" s="1" t="s">
        <v>1184</v>
      </c>
      <c r="K526" s="1" t="s">
        <v>1184</v>
      </c>
      <c r="L526" s="1" t="s">
        <v>20</v>
      </c>
      <c r="M526" s="1" t="s">
        <v>1184</v>
      </c>
      <c r="N526" s="2"/>
      <c r="O526" s="2"/>
      <c r="P526" s="2"/>
      <c r="Q526" s="2"/>
    </row>
    <row x14ac:dyDescent="0.25" r="527" customHeight="1" ht="17.25">
      <c r="A527" s="1" t="s">
        <v>4249</v>
      </c>
      <c r="B527" s="1" t="s">
        <v>1186</v>
      </c>
      <c r="C527" s="1" t="s">
        <v>3576</v>
      </c>
      <c r="D527" s="1" t="s">
        <v>20</v>
      </c>
      <c r="E527" s="1" t="s">
        <v>4250</v>
      </c>
      <c r="F527" s="1" t="s">
        <v>4251</v>
      </c>
      <c r="G527" s="1" t="s">
        <v>4252</v>
      </c>
      <c r="H527" s="2"/>
      <c r="I527" s="5">
        <f>XLOOKUP(K527, pharmaceutical_index!B:B, pharmaceutical_index!A:A, "Not Found")</f>
      </c>
      <c r="J527" s="1" t="s">
        <v>1186</v>
      </c>
      <c r="K527" s="1" t="s">
        <v>1186</v>
      </c>
      <c r="L527" s="1" t="s">
        <v>20</v>
      </c>
      <c r="M527" s="1" t="s">
        <v>1186</v>
      </c>
      <c r="N527" s="2"/>
      <c r="O527" s="2"/>
      <c r="P527" s="2"/>
      <c r="Q527" s="2"/>
    </row>
    <row x14ac:dyDescent="0.25" r="528" customHeight="1" ht="17.25">
      <c r="A528" s="1" t="s">
        <v>4253</v>
      </c>
      <c r="B528" s="1" t="s">
        <v>1192</v>
      </c>
      <c r="C528" s="1" t="s">
        <v>3576</v>
      </c>
      <c r="D528" s="1" t="s">
        <v>20</v>
      </c>
      <c r="E528" s="1" t="s">
        <v>4250</v>
      </c>
      <c r="F528" s="1" t="s">
        <v>4251</v>
      </c>
      <c r="G528" s="1" t="s">
        <v>4252</v>
      </c>
      <c r="H528" s="2"/>
      <c r="I528" s="5">
        <f>XLOOKUP(K528, pharmaceutical_index!B:B, pharmaceutical_index!A:A, "Not Found")</f>
      </c>
      <c r="J528" s="1" t="s">
        <v>1192</v>
      </c>
      <c r="K528" s="1" t="s">
        <v>1192</v>
      </c>
      <c r="L528" s="1" t="s">
        <v>20</v>
      </c>
      <c r="M528" s="1" t="s">
        <v>1192</v>
      </c>
      <c r="N528" s="2"/>
      <c r="O528" s="2"/>
      <c r="P528" s="2"/>
      <c r="Q528" s="2"/>
    </row>
    <row x14ac:dyDescent="0.25" r="529" customHeight="1" ht="17.25">
      <c r="A529" s="1" t="s">
        <v>4254</v>
      </c>
      <c r="B529" s="1" t="s">
        <v>1194</v>
      </c>
      <c r="C529" s="1" t="s">
        <v>3576</v>
      </c>
      <c r="D529" s="1" t="s">
        <v>20</v>
      </c>
      <c r="E529" s="1" t="s">
        <v>4250</v>
      </c>
      <c r="F529" s="1" t="s">
        <v>4251</v>
      </c>
      <c r="G529" s="1" t="s">
        <v>4252</v>
      </c>
      <c r="H529" s="2"/>
      <c r="I529" s="5">
        <f>XLOOKUP(K529, pharmaceutical_index!B:B, pharmaceutical_index!A:A, "Not Found")</f>
      </c>
      <c r="J529" s="1" t="s">
        <v>1194</v>
      </c>
      <c r="K529" s="1" t="s">
        <v>1194</v>
      </c>
      <c r="L529" s="1" t="s">
        <v>20</v>
      </c>
      <c r="M529" s="1" t="s">
        <v>1194</v>
      </c>
      <c r="N529" s="2"/>
      <c r="O529" s="2"/>
      <c r="P529" s="2"/>
      <c r="Q529" s="2"/>
    </row>
    <row x14ac:dyDescent="0.25" r="530" customHeight="1" ht="17.25">
      <c r="A530" s="1" t="s">
        <v>4255</v>
      </c>
      <c r="B530" s="1" t="s">
        <v>1196</v>
      </c>
      <c r="C530" s="1" t="s">
        <v>3576</v>
      </c>
      <c r="D530" s="1" t="s">
        <v>20</v>
      </c>
      <c r="E530" s="1" t="s">
        <v>4250</v>
      </c>
      <c r="F530" s="1" t="s">
        <v>4251</v>
      </c>
      <c r="G530" s="1" t="s">
        <v>4252</v>
      </c>
      <c r="H530" s="2"/>
      <c r="I530" s="5">
        <f>XLOOKUP(K530, pharmaceutical_index!B:B, pharmaceutical_index!A:A, "Not Found")</f>
      </c>
      <c r="J530" s="1" t="s">
        <v>1196</v>
      </c>
      <c r="K530" s="1" t="s">
        <v>1196</v>
      </c>
      <c r="L530" s="1" t="s">
        <v>20</v>
      </c>
      <c r="M530" s="1" t="s">
        <v>1196</v>
      </c>
      <c r="N530" s="2"/>
      <c r="O530" s="2"/>
      <c r="P530" s="2"/>
      <c r="Q530" s="2"/>
    </row>
    <row x14ac:dyDescent="0.25" r="531" customHeight="1" ht="17.25">
      <c r="A531" s="1" t="s">
        <v>4256</v>
      </c>
      <c r="B531" s="1" t="s">
        <v>1198</v>
      </c>
      <c r="C531" s="1" t="s">
        <v>3576</v>
      </c>
      <c r="D531" s="1" t="s">
        <v>20</v>
      </c>
      <c r="E531" s="1" t="s">
        <v>4250</v>
      </c>
      <c r="F531" s="1" t="s">
        <v>4251</v>
      </c>
      <c r="G531" s="1" t="s">
        <v>4252</v>
      </c>
      <c r="H531" s="2"/>
      <c r="I531" s="5">
        <f>XLOOKUP(K531, pharmaceutical_index!B:B, pharmaceutical_index!A:A, "Not Found")</f>
      </c>
      <c r="J531" s="1" t="s">
        <v>1198</v>
      </c>
      <c r="K531" s="1" t="s">
        <v>1198</v>
      </c>
      <c r="L531" s="1" t="s">
        <v>20</v>
      </c>
      <c r="M531" s="1" t="s">
        <v>1198</v>
      </c>
      <c r="N531" s="2"/>
      <c r="O531" s="2"/>
      <c r="P531" s="2"/>
      <c r="Q531" s="2"/>
    </row>
    <row x14ac:dyDescent="0.25" r="532" customHeight="1" ht="17.25">
      <c r="A532" s="1" t="s">
        <v>4257</v>
      </c>
      <c r="B532" s="1" t="s">
        <v>1200</v>
      </c>
      <c r="C532" s="1" t="s">
        <v>3576</v>
      </c>
      <c r="D532" s="1" t="s">
        <v>20</v>
      </c>
      <c r="E532" s="1" t="s">
        <v>4250</v>
      </c>
      <c r="F532" s="1" t="s">
        <v>4251</v>
      </c>
      <c r="G532" s="1" t="s">
        <v>4252</v>
      </c>
      <c r="H532" s="2"/>
      <c r="I532" s="5">
        <f>XLOOKUP(K532, pharmaceutical_index!B:B, pharmaceutical_index!A:A, "Not Found")</f>
      </c>
      <c r="J532" s="1" t="s">
        <v>1200</v>
      </c>
      <c r="K532" s="1" t="s">
        <v>1200</v>
      </c>
      <c r="L532" s="1" t="s">
        <v>20</v>
      </c>
      <c r="M532" s="1" t="s">
        <v>1200</v>
      </c>
      <c r="N532" s="2"/>
      <c r="O532" s="2"/>
      <c r="P532" s="2"/>
      <c r="Q532" s="2"/>
    </row>
    <row x14ac:dyDescent="0.25" r="533" customHeight="1" ht="17.25">
      <c r="A533" s="1" t="s">
        <v>4258</v>
      </c>
      <c r="B533" s="1" t="s">
        <v>1202</v>
      </c>
      <c r="C533" s="1" t="s">
        <v>3576</v>
      </c>
      <c r="D533" s="1" t="s">
        <v>20</v>
      </c>
      <c r="E533" s="1" t="s">
        <v>4250</v>
      </c>
      <c r="F533" s="1" t="s">
        <v>4251</v>
      </c>
      <c r="G533" s="1" t="s">
        <v>4252</v>
      </c>
      <c r="H533" s="2"/>
      <c r="I533" s="5">
        <f>XLOOKUP(K533, pharmaceutical_index!B:B, pharmaceutical_index!A:A, "Not Found")</f>
      </c>
      <c r="J533" s="1" t="s">
        <v>1202</v>
      </c>
      <c r="K533" s="1" t="s">
        <v>1202</v>
      </c>
      <c r="L533" s="1" t="s">
        <v>20</v>
      </c>
      <c r="M533" s="1" t="s">
        <v>1202</v>
      </c>
      <c r="N533" s="2"/>
      <c r="O533" s="2"/>
      <c r="P533" s="2"/>
      <c r="Q533" s="2"/>
    </row>
    <row x14ac:dyDescent="0.25" r="534" customHeight="1" ht="17.25">
      <c r="A534" s="1" t="s">
        <v>4259</v>
      </c>
      <c r="B534" s="1" t="s">
        <v>1204</v>
      </c>
      <c r="C534" s="1" t="s">
        <v>3576</v>
      </c>
      <c r="D534" s="1" t="s">
        <v>20</v>
      </c>
      <c r="E534" s="1" t="s">
        <v>4250</v>
      </c>
      <c r="F534" s="1" t="s">
        <v>4251</v>
      </c>
      <c r="G534" s="1" t="s">
        <v>4252</v>
      </c>
      <c r="H534" s="2"/>
      <c r="I534" s="5">
        <f>XLOOKUP(K534, pharmaceutical_index!B:B, pharmaceutical_index!A:A, "Not Found")</f>
      </c>
      <c r="J534" s="1" t="s">
        <v>1204</v>
      </c>
      <c r="K534" s="1" t="s">
        <v>1204</v>
      </c>
      <c r="L534" s="1" t="s">
        <v>20</v>
      </c>
      <c r="M534" s="1" t="s">
        <v>1204</v>
      </c>
      <c r="N534" s="2"/>
      <c r="O534" s="2"/>
      <c r="P534" s="2"/>
      <c r="Q534" s="2"/>
    </row>
    <row x14ac:dyDescent="0.25" r="535" customHeight="1" ht="17.25">
      <c r="A535" s="1" t="s">
        <v>4260</v>
      </c>
      <c r="B535" s="1" t="s">
        <v>1206</v>
      </c>
      <c r="C535" s="1" t="s">
        <v>3576</v>
      </c>
      <c r="D535" s="1" t="s">
        <v>20</v>
      </c>
      <c r="E535" s="1" t="s">
        <v>4250</v>
      </c>
      <c r="F535" s="1" t="s">
        <v>4251</v>
      </c>
      <c r="G535" s="1" t="s">
        <v>4252</v>
      </c>
      <c r="H535" s="2"/>
      <c r="I535" s="5">
        <f>XLOOKUP(K535, pharmaceutical_index!B:B, pharmaceutical_index!A:A, "Not Found")</f>
      </c>
      <c r="J535" s="1" t="s">
        <v>1206</v>
      </c>
      <c r="K535" s="1" t="s">
        <v>1206</v>
      </c>
      <c r="L535" s="1" t="s">
        <v>20</v>
      </c>
      <c r="M535" s="1" t="s">
        <v>1206</v>
      </c>
      <c r="N535" s="2"/>
      <c r="O535" s="2"/>
      <c r="P535" s="2"/>
      <c r="Q535" s="2"/>
    </row>
    <row x14ac:dyDescent="0.25" r="536" customHeight="1" ht="17.25">
      <c r="A536" s="1" t="s">
        <v>4261</v>
      </c>
      <c r="B536" s="1" t="s">
        <v>1208</v>
      </c>
      <c r="C536" s="1" t="s">
        <v>3576</v>
      </c>
      <c r="D536" s="1" t="s">
        <v>20</v>
      </c>
      <c r="E536" s="1" t="s">
        <v>4250</v>
      </c>
      <c r="F536" s="1" t="s">
        <v>4251</v>
      </c>
      <c r="G536" s="1" t="s">
        <v>4252</v>
      </c>
      <c r="H536" s="2"/>
      <c r="I536" s="5">
        <f>XLOOKUP(K536, pharmaceutical_index!B:B, pharmaceutical_index!A:A, "Not Found")</f>
      </c>
      <c r="J536" s="1" t="s">
        <v>1208</v>
      </c>
      <c r="K536" s="1" t="s">
        <v>1208</v>
      </c>
      <c r="L536" s="1" t="s">
        <v>20</v>
      </c>
      <c r="M536" s="1" t="s">
        <v>1208</v>
      </c>
      <c r="N536" s="2"/>
      <c r="O536" s="2"/>
      <c r="P536" s="2"/>
      <c r="Q536" s="2"/>
    </row>
    <row x14ac:dyDescent="0.25" r="537" customHeight="1" ht="17.25">
      <c r="A537" s="1" t="s">
        <v>4262</v>
      </c>
      <c r="B537" s="1" t="s">
        <v>1210</v>
      </c>
      <c r="C537" s="1" t="s">
        <v>3576</v>
      </c>
      <c r="D537" s="1" t="s">
        <v>20</v>
      </c>
      <c r="E537" s="1" t="s">
        <v>4250</v>
      </c>
      <c r="F537" s="1" t="s">
        <v>4251</v>
      </c>
      <c r="G537" s="1" t="s">
        <v>4252</v>
      </c>
      <c r="H537" s="2"/>
      <c r="I537" s="5">
        <f>XLOOKUP(K537, pharmaceutical_index!B:B, pharmaceutical_index!A:A, "Not Found")</f>
      </c>
      <c r="J537" s="1" t="s">
        <v>1210</v>
      </c>
      <c r="K537" s="1" t="s">
        <v>1210</v>
      </c>
      <c r="L537" s="1" t="s">
        <v>20</v>
      </c>
      <c r="M537" s="1" t="s">
        <v>1210</v>
      </c>
      <c r="N537" s="2"/>
      <c r="O537" s="2"/>
      <c r="P537" s="2"/>
      <c r="Q537" s="2"/>
    </row>
    <row x14ac:dyDescent="0.25" r="538" customHeight="1" ht="17.25">
      <c r="A538" s="1" t="s">
        <v>4263</v>
      </c>
      <c r="B538" s="1" t="s">
        <v>1212</v>
      </c>
      <c r="C538" s="1" t="s">
        <v>3576</v>
      </c>
      <c r="D538" s="1" t="s">
        <v>20</v>
      </c>
      <c r="E538" s="1" t="s">
        <v>4250</v>
      </c>
      <c r="F538" s="1" t="s">
        <v>4251</v>
      </c>
      <c r="G538" s="1" t="s">
        <v>4252</v>
      </c>
      <c r="H538" s="2"/>
      <c r="I538" s="5">
        <f>XLOOKUP(K538, pharmaceutical_index!B:B, pharmaceutical_index!A:A, "Not Found")</f>
      </c>
      <c r="J538" s="1" t="s">
        <v>1212</v>
      </c>
      <c r="K538" s="1" t="s">
        <v>1212</v>
      </c>
      <c r="L538" s="1" t="s">
        <v>20</v>
      </c>
      <c r="M538" s="1" t="s">
        <v>1212</v>
      </c>
      <c r="N538" s="2"/>
      <c r="O538" s="2"/>
      <c r="P538" s="2"/>
      <c r="Q538" s="2"/>
    </row>
    <row x14ac:dyDescent="0.25" r="539" customHeight="1" ht="17.25">
      <c r="A539" s="1" t="s">
        <v>4264</v>
      </c>
      <c r="B539" s="1" t="s">
        <v>1214</v>
      </c>
      <c r="C539" s="1" t="s">
        <v>3576</v>
      </c>
      <c r="D539" s="1" t="s">
        <v>20</v>
      </c>
      <c r="E539" s="1" t="s">
        <v>4250</v>
      </c>
      <c r="F539" s="1" t="s">
        <v>4251</v>
      </c>
      <c r="G539" s="1" t="s">
        <v>4252</v>
      </c>
      <c r="H539" s="2"/>
      <c r="I539" s="5">
        <f>XLOOKUP(K539, pharmaceutical_index!B:B, pharmaceutical_index!A:A, "Not Found")</f>
      </c>
      <c r="J539" s="1" t="s">
        <v>1214</v>
      </c>
      <c r="K539" s="1" t="s">
        <v>1214</v>
      </c>
      <c r="L539" s="1" t="s">
        <v>20</v>
      </c>
      <c r="M539" s="1" t="s">
        <v>1214</v>
      </c>
      <c r="N539" s="2"/>
      <c r="O539" s="2"/>
      <c r="P539" s="2"/>
      <c r="Q539" s="2"/>
    </row>
    <row x14ac:dyDescent="0.25" r="540" customHeight="1" ht="17.25">
      <c r="A540" s="1" t="s">
        <v>4265</v>
      </c>
      <c r="B540" s="1" t="s">
        <v>1216</v>
      </c>
      <c r="C540" s="1" t="s">
        <v>3576</v>
      </c>
      <c r="D540" s="1" t="s">
        <v>20</v>
      </c>
      <c r="E540" s="1" t="s">
        <v>4250</v>
      </c>
      <c r="F540" s="1" t="s">
        <v>4251</v>
      </c>
      <c r="G540" s="1" t="s">
        <v>4252</v>
      </c>
      <c r="H540" s="2"/>
      <c r="I540" s="5">
        <f>XLOOKUP(K540, pharmaceutical_index!B:B, pharmaceutical_index!A:A, "Not Found")</f>
      </c>
      <c r="J540" s="1" t="s">
        <v>1216</v>
      </c>
      <c r="K540" s="1" t="s">
        <v>1216</v>
      </c>
      <c r="L540" s="1" t="s">
        <v>20</v>
      </c>
      <c r="M540" s="1" t="s">
        <v>1216</v>
      </c>
      <c r="N540" s="2"/>
      <c r="O540" s="2"/>
      <c r="P540" s="2"/>
      <c r="Q540" s="2"/>
    </row>
    <row x14ac:dyDescent="0.25" r="541" customHeight="1" ht="17.25">
      <c r="A541" s="1" t="s">
        <v>4266</v>
      </c>
      <c r="B541" s="1" t="s">
        <v>1218</v>
      </c>
      <c r="C541" s="1" t="s">
        <v>3576</v>
      </c>
      <c r="D541" s="1" t="s">
        <v>20</v>
      </c>
      <c r="E541" s="1" t="s">
        <v>4250</v>
      </c>
      <c r="F541" s="1" t="s">
        <v>4251</v>
      </c>
      <c r="G541" s="1" t="s">
        <v>4252</v>
      </c>
      <c r="H541" s="2"/>
      <c r="I541" s="5">
        <f>XLOOKUP(K541, pharmaceutical_index!B:B, pharmaceutical_index!A:A, "Not Found")</f>
      </c>
      <c r="J541" s="1" t="s">
        <v>1218</v>
      </c>
      <c r="K541" s="1" t="s">
        <v>1218</v>
      </c>
      <c r="L541" s="1" t="s">
        <v>20</v>
      </c>
      <c r="M541" s="1" t="s">
        <v>1218</v>
      </c>
      <c r="N541" s="2"/>
      <c r="O541" s="2"/>
      <c r="P541" s="2"/>
      <c r="Q541" s="2"/>
    </row>
    <row x14ac:dyDescent="0.25" r="542" customHeight="1" ht="17.25">
      <c r="A542" s="1" t="s">
        <v>4267</v>
      </c>
      <c r="B542" s="1" t="s">
        <v>1220</v>
      </c>
      <c r="C542" s="1" t="s">
        <v>3576</v>
      </c>
      <c r="D542" s="1" t="s">
        <v>20</v>
      </c>
      <c r="E542" s="1" t="s">
        <v>4250</v>
      </c>
      <c r="F542" s="1" t="s">
        <v>4251</v>
      </c>
      <c r="G542" s="1" t="s">
        <v>4252</v>
      </c>
      <c r="H542" s="2"/>
      <c r="I542" s="5">
        <f>XLOOKUP(K542, pharmaceutical_index!B:B, pharmaceutical_index!A:A, "Not Found")</f>
      </c>
      <c r="J542" s="1" t="s">
        <v>1220</v>
      </c>
      <c r="K542" s="1" t="s">
        <v>1220</v>
      </c>
      <c r="L542" s="1" t="s">
        <v>20</v>
      </c>
      <c r="M542" s="1" t="s">
        <v>1220</v>
      </c>
      <c r="N542" s="2"/>
      <c r="O542" s="2"/>
      <c r="P542" s="2"/>
      <c r="Q542" s="2"/>
    </row>
    <row x14ac:dyDescent="0.25" r="543" customHeight="1" ht="17.25">
      <c r="A543" s="1" t="s">
        <v>4268</v>
      </c>
      <c r="B543" s="1" t="s">
        <v>1222</v>
      </c>
      <c r="C543" s="1" t="s">
        <v>3576</v>
      </c>
      <c r="D543" s="1" t="s">
        <v>20</v>
      </c>
      <c r="E543" s="1" t="s">
        <v>4250</v>
      </c>
      <c r="F543" s="1" t="s">
        <v>4251</v>
      </c>
      <c r="G543" s="1" t="s">
        <v>4252</v>
      </c>
      <c r="H543" s="2"/>
      <c r="I543" s="5">
        <f>XLOOKUP(K543, pharmaceutical_index!B:B, pharmaceutical_index!A:A, "Not Found")</f>
      </c>
      <c r="J543" s="1" t="s">
        <v>1222</v>
      </c>
      <c r="K543" s="1" t="s">
        <v>1222</v>
      </c>
      <c r="L543" s="1" t="s">
        <v>20</v>
      </c>
      <c r="M543" s="1" t="s">
        <v>1222</v>
      </c>
      <c r="N543" s="2"/>
      <c r="O543" s="2"/>
      <c r="P543" s="2"/>
      <c r="Q543" s="2"/>
    </row>
    <row x14ac:dyDescent="0.25" r="544" customHeight="1" ht="17.25">
      <c r="A544" s="1" t="s">
        <v>4269</v>
      </c>
      <c r="B544" s="1" t="s">
        <v>1224</v>
      </c>
      <c r="C544" s="1" t="s">
        <v>3576</v>
      </c>
      <c r="D544" s="1" t="s">
        <v>20</v>
      </c>
      <c r="E544" s="1" t="s">
        <v>4250</v>
      </c>
      <c r="F544" s="1" t="s">
        <v>4251</v>
      </c>
      <c r="G544" s="1" t="s">
        <v>4252</v>
      </c>
      <c r="H544" s="2"/>
      <c r="I544" s="5">
        <f>XLOOKUP(K544, pharmaceutical_index!B:B, pharmaceutical_index!A:A, "Not Found")</f>
      </c>
      <c r="J544" s="1" t="s">
        <v>1224</v>
      </c>
      <c r="K544" s="1" t="s">
        <v>1224</v>
      </c>
      <c r="L544" s="1" t="s">
        <v>20</v>
      </c>
      <c r="M544" s="1" t="s">
        <v>1224</v>
      </c>
      <c r="N544" s="2"/>
      <c r="O544" s="2"/>
      <c r="P544" s="2"/>
      <c r="Q544" s="2"/>
    </row>
    <row x14ac:dyDescent="0.25" r="545" customHeight="1" ht="17.25">
      <c r="A545" s="1" t="s">
        <v>4270</v>
      </c>
      <c r="B545" s="1" t="s">
        <v>1226</v>
      </c>
      <c r="C545" s="1" t="s">
        <v>3576</v>
      </c>
      <c r="D545" s="1" t="s">
        <v>20</v>
      </c>
      <c r="E545" s="1" t="s">
        <v>4250</v>
      </c>
      <c r="F545" s="1" t="s">
        <v>4251</v>
      </c>
      <c r="G545" s="1" t="s">
        <v>4252</v>
      </c>
      <c r="H545" s="2"/>
      <c r="I545" s="5">
        <f>XLOOKUP(K545, pharmaceutical_index!B:B, pharmaceutical_index!A:A, "Not Found")</f>
      </c>
      <c r="J545" s="1" t="s">
        <v>1226</v>
      </c>
      <c r="K545" s="1" t="s">
        <v>1226</v>
      </c>
      <c r="L545" s="1" t="s">
        <v>20</v>
      </c>
      <c r="M545" s="1" t="s">
        <v>1226</v>
      </c>
      <c r="N545" s="2"/>
      <c r="O545" s="2"/>
      <c r="P545" s="2"/>
      <c r="Q545" s="2"/>
    </row>
    <row x14ac:dyDescent="0.25" r="546" customHeight="1" ht="17.25">
      <c r="A546" s="1" t="s">
        <v>4271</v>
      </c>
      <c r="B546" s="1" t="s">
        <v>1228</v>
      </c>
      <c r="C546" s="1" t="s">
        <v>3576</v>
      </c>
      <c r="D546" s="1" t="s">
        <v>20</v>
      </c>
      <c r="E546" s="1" t="s">
        <v>4250</v>
      </c>
      <c r="F546" s="1" t="s">
        <v>4251</v>
      </c>
      <c r="G546" s="1" t="s">
        <v>4252</v>
      </c>
      <c r="H546" s="2"/>
      <c r="I546" s="5">
        <f>XLOOKUP(K546, pharmaceutical_index!B:B, pharmaceutical_index!A:A, "Not Found")</f>
      </c>
      <c r="J546" s="1" t="s">
        <v>1228</v>
      </c>
      <c r="K546" s="1" t="s">
        <v>1228</v>
      </c>
      <c r="L546" s="1" t="s">
        <v>20</v>
      </c>
      <c r="M546" s="1" t="s">
        <v>1228</v>
      </c>
      <c r="N546" s="2"/>
      <c r="O546" s="2"/>
      <c r="P546" s="2"/>
      <c r="Q546" s="2"/>
    </row>
    <row x14ac:dyDescent="0.25" r="547" customHeight="1" ht="17.25">
      <c r="A547" s="1" t="s">
        <v>4272</v>
      </c>
      <c r="B547" s="1" t="s">
        <v>1230</v>
      </c>
      <c r="C547" s="1" t="s">
        <v>3576</v>
      </c>
      <c r="D547" s="1" t="s">
        <v>20</v>
      </c>
      <c r="E547" s="1" t="s">
        <v>4250</v>
      </c>
      <c r="F547" s="1" t="s">
        <v>4251</v>
      </c>
      <c r="G547" s="1" t="s">
        <v>4252</v>
      </c>
      <c r="H547" s="2"/>
      <c r="I547" s="5">
        <f>XLOOKUP(K547, pharmaceutical_index!B:B, pharmaceutical_index!A:A, "Not Found")</f>
      </c>
      <c r="J547" s="1" t="s">
        <v>1230</v>
      </c>
      <c r="K547" s="1" t="s">
        <v>1230</v>
      </c>
      <c r="L547" s="1" t="s">
        <v>20</v>
      </c>
      <c r="M547" s="1" t="s">
        <v>1230</v>
      </c>
      <c r="N547" s="2"/>
      <c r="O547" s="2"/>
      <c r="P547" s="2"/>
      <c r="Q547" s="2"/>
    </row>
    <row x14ac:dyDescent="0.25" r="548" customHeight="1" ht="17.25">
      <c r="A548" s="1" t="s">
        <v>4273</v>
      </c>
      <c r="B548" s="1" t="s">
        <v>1232</v>
      </c>
      <c r="C548" s="1" t="s">
        <v>3576</v>
      </c>
      <c r="D548" s="1" t="s">
        <v>20</v>
      </c>
      <c r="E548" s="1" t="s">
        <v>4250</v>
      </c>
      <c r="F548" s="1" t="s">
        <v>4251</v>
      </c>
      <c r="G548" s="1" t="s">
        <v>4252</v>
      </c>
      <c r="H548" s="2"/>
      <c r="I548" s="5">
        <f>XLOOKUP(K548, pharmaceutical_index!B:B, pharmaceutical_index!A:A, "Not Found")</f>
      </c>
      <c r="J548" s="1" t="s">
        <v>1232</v>
      </c>
      <c r="K548" s="1" t="s">
        <v>1232</v>
      </c>
      <c r="L548" s="1" t="s">
        <v>20</v>
      </c>
      <c r="M548" s="1" t="s">
        <v>1232</v>
      </c>
      <c r="N548" s="2"/>
      <c r="O548" s="2"/>
      <c r="P548" s="2"/>
      <c r="Q548" s="2"/>
    </row>
    <row x14ac:dyDescent="0.25" r="549" customHeight="1" ht="17.25">
      <c r="A549" s="1" t="s">
        <v>4274</v>
      </c>
      <c r="B549" s="1" t="s">
        <v>1234</v>
      </c>
      <c r="C549" s="1" t="s">
        <v>3576</v>
      </c>
      <c r="D549" s="1" t="s">
        <v>20</v>
      </c>
      <c r="E549" s="1" t="s">
        <v>4250</v>
      </c>
      <c r="F549" s="1" t="s">
        <v>4251</v>
      </c>
      <c r="G549" s="1" t="s">
        <v>4252</v>
      </c>
      <c r="H549" s="2"/>
      <c r="I549" s="5">
        <f>XLOOKUP(K549, pharmaceutical_index!B:B, pharmaceutical_index!A:A, "Not Found")</f>
      </c>
      <c r="J549" s="1" t="s">
        <v>1234</v>
      </c>
      <c r="K549" s="1" t="s">
        <v>1234</v>
      </c>
      <c r="L549" s="1" t="s">
        <v>20</v>
      </c>
      <c r="M549" s="1" t="s">
        <v>1234</v>
      </c>
      <c r="N549" s="2"/>
      <c r="O549" s="2"/>
      <c r="P549" s="2"/>
      <c r="Q549" s="2"/>
    </row>
    <row x14ac:dyDescent="0.25" r="550" customHeight="1" ht="17.25">
      <c r="A550" s="1" t="s">
        <v>4275</v>
      </c>
      <c r="B550" s="1" t="s">
        <v>1236</v>
      </c>
      <c r="C550" s="1" t="s">
        <v>3576</v>
      </c>
      <c r="D550" s="1" t="s">
        <v>20</v>
      </c>
      <c r="E550" s="1" t="s">
        <v>4250</v>
      </c>
      <c r="F550" s="1" t="s">
        <v>4251</v>
      </c>
      <c r="G550" s="1" t="s">
        <v>4252</v>
      </c>
      <c r="H550" s="2"/>
      <c r="I550" s="5">
        <f>XLOOKUP(K550, pharmaceutical_index!B:B, pharmaceutical_index!A:A, "Not Found")</f>
      </c>
      <c r="J550" s="1" t="s">
        <v>1236</v>
      </c>
      <c r="K550" s="1" t="s">
        <v>1236</v>
      </c>
      <c r="L550" s="1" t="s">
        <v>20</v>
      </c>
      <c r="M550" s="1" t="s">
        <v>1236</v>
      </c>
      <c r="N550" s="2"/>
      <c r="O550" s="2"/>
      <c r="P550" s="2"/>
      <c r="Q550" s="2"/>
    </row>
    <row x14ac:dyDescent="0.25" r="551" customHeight="1" ht="17.25">
      <c r="A551" s="1" t="s">
        <v>4276</v>
      </c>
      <c r="B551" s="1" t="s">
        <v>1238</v>
      </c>
      <c r="C551" s="1" t="s">
        <v>3576</v>
      </c>
      <c r="D551" s="1" t="s">
        <v>20</v>
      </c>
      <c r="E551" s="1" t="s">
        <v>4250</v>
      </c>
      <c r="F551" s="1" t="s">
        <v>4251</v>
      </c>
      <c r="G551" s="1" t="s">
        <v>4252</v>
      </c>
      <c r="H551" s="2"/>
      <c r="I551" s="5">
        <f>XLOOKUP(K551, pharmaceutical_index!B:B, pharmaceutical_index!A:A, "Not Found")</f>
      </c>
      <c r="J551" s="1" t="s">
        <v>1238</v>
      </c>
      <c r="K551" s="1" t="s">
        <v>1238</v>
      </c>
      <c r="L551" s="1" t="s">
        <v>20</v>
      </c>
      <c r="M551" s="1" t="s">
        <v>1238</v>
      </c>
      <c r="N551" s="2"/>
      <c r="O551" s="2"/>
      <c r="P551" s="2"/>
      <c r="Q551" s="2"/>
    </row>
    <row x14ac:dyDescent="0.25" r="552" customHeight="1" ht="17.25">
      <c r="A552" s="1" t="s">
        <v>4277</v>
      </c>
      <c r="B552" s="1" t="s">
        <v>1240</v>
      </c>
      <c r="C552" s="1" t="s">
        <v>3576</v>
      </c>
      <c r="D552" s="1" t="s">
        <v>20</v>
      </c>
      <c r="E552" s="1" t="s">
        <v>4250</v>
      </c>
      <c r="F552" s="1" t="s">
        <v>4251</v>
      </c>
      <c r="G552" s="1" t="s">
        <v>4252</v>
      </c>
      <c r="H552" s="2"/>
      <c r="I552" s="5">
        <f>XLOOKUP(K552, pharmaceutical_index!B:B, pharmaceutical_index!A:A, "Not Found")</f>
      </c>
      <c r="J552" s="1" t="s">
        <v>1240</v>
      </c>
      <c r="K552" s="1" t="s">
        <v>1240</v>
      </c>
      <c r="L552" s="1" t="s">
        <v>20</v>
      </c>
      <c r="M552" s="1" t="s">
        <v>1240</v>
      </c>
      <c r="N552" s="2"/>
      <c r="O552" s="2"/>
      <c r="P552" s="2"/>
      <c r="Q552" s="2"/>
    </row>
    <row x14ac:dyDescent="0.25" r="553" customHeight="1" ht="17.25">
      <c r="A553" s="1" t="s">
        <v>4278</v>
      </c>
      <c r="B553" s="1" t="s">
        <v>1242</v>
      </c>
      <c r="C553" s="1" t="s">
        <v>3576</v>
      </c>
      <c r="D553" s="1" t="s">
        <v>20</v>
      </c>
      <c r="E553" s="1" t="s">
        <v>4250</v>
      </c>
      <c r="F553" s="1" t="s">
        <v>4251</v>
      </c>
      <c r="G553" s="1" t="s">
        <v>4252</v>
      </c>
      <c r="H553" s="2"/>
      <c r="I553" s="5">
        <f>XLOOKUP(K553, pharmaceutical_index!B:B, pharmaceutical_index!A:A, "Not Found")</f>
      </c>
      <c r="J553" s="1" t="s">
        <v>1242</v>
      </c>
      <c r="K553" s="1" t="s">
        <v>1242</v>
      </c>
      <c r="L553" s="1" t="s">
        <v>20</v>
      </c>
      <c r="M553" s="1" t="s">
        <v>1242</v>
      </c>
      <c r="N553" s="2"/>
      <c r="O553" s="2"/>
      <c r="P553" s="2"/>
      <c r="Q553" s="2"/>
    </row>
    <row x14ac:dyDescent="0.25" r="554" customHeight="1" ht="17.25">
      <c r="A554" s="1" t="s">
        <v>4279</v>
      </c>
      <c r="B554" s="1" t="s">
        <v>1244</v>
      </c>
      <c r="C554" s="1" t="s">
        <v>3576</v>
      </c>
      <c r="D554" s="1" t="s">
        <v>20</v>
      </c>
      <c r="E554" s="1" t="s">
        <v>4250</v>
      </c>
      <c r="F554" s="1" t="s">
        <v>4251</v>
      </c>
      <c r="G554" s="1" t="s">
        <v>4252</v>
      </c>
      <c r="H554" s="2"/>
      <c r="I554" s="5">
        <f>XLOOKUP(K554, pharmaceutical_index!B:B, pharmaceutical_index!A:A, "Not Found")</f>
      </c>
      <c r="J554" s="1" t="s">
        <v>4280</v>
      </c>
      <c r="K554" s="1" t="s">
        <v>1244</v>
      </c>
      <c r="L554" s="1" t="s">
        <v>20</v>
      </c>
      <c r="M554" s="1" t="s">
        <v>4281</v>
      </c>
      <c r="N554" s="2"/>
      <c r="O554" s="2"/>
      <c r="P554" s="2"/>
      <c r="Q554" s="2"/>
    </row>
    <row x14ac:dyDescent="0.25" r="555" customHeight="1" ht="17.25">
      <c r="A555" s="1" t="s">
        <v>4282</v>
      </c>
      <c r="B555" s="1" t="s">
        <v>1246</v>
      </c>
      <c r="C555" s="1" t="s">
        <v>3576</v>
      </c>
      <c r="D555" s="1" t="s">
        <v>20</v>
      </c>
      <c r="E555" s="1" t="s">
        <v>4250</v>
      </c>
      <c r="F555" s="1" t="s">
        <v>4251</v>
      </c>
      <c r="G555" s="1" t="s">
        <v>4252</v>
      </c>
      <c r="H555" s="2"/>
      <c r="I555" s="5">
        <f>XLOOKUP(K555, pharmaceutical_index!B:B, pharmaceutical_index!A:A, "Not Found")</f>
      </c>
      <c r="J555" s="1" t="s">
        <v>1246</v>
      </c>
      <c r="K555" s="1" t="s">
        <v>1246</v>
      </c>
      <c r="L555" s="1" t="s">
        <v>20</v>
      </c>
      <c r="M555" s="1" t="s">
        <v>1246</v>
      </c>
      <c r="N555" s="2"/>
      <c r="O555" s="2"/>
      <c r="P555" s="2"/>
      <c r="Q555" s="2"/>
    </row>
    <row x14ac:dyDescent="0.25" r="556" customHeight="1" ht="17.25">
      <c r="A556" s="1" t="s">
        <v>4283</v>
      </c>
      <c r="B556" s="1" t="s">
        <v>1248</v>
      </c>
      <c r="C556" s="1" t="s">
        <v>3576</v>
      </c>
      <c r="D556" s="1" t="s">
        <v>20</v>
      </c>
      <c r="E556" s="1" t="s">
        <v>4250</v>
      </c>
      <c r="F556" s="1" t="s">
        <v>4251</v>
      </c>
      <c r="G556" s="1" t="s">
        <v>4252</v>
      </c>
      <c r="H556" s="2"/>
      <c r="I556" s="5">
        <f>XLOOKUP(K556, pharmaceutical_index!B:B, pharmaceutical_index!A:A, "Not Found")</f>
      </c>
      <c r="J556" s="1" t="s">
        <v>1248</v>
      </c>
      <c r="K556" s="1" t="s">
        <v>1248</v>
      </c>
      <c r="L556" s="1" t="s">
        <v>20</v>
      </c>
      <c r="M556" s="1" t="s">
        <v>1248</v>
      </c>
      <c r="N556" s="2"/>
      <c r="O556" s="2"/>
      <c r="P556" s="2"/>
      <c r="Q556" s="2"/>
    </row>
    <row x14ac:dyDescent="0.25" r="557" customHeight="1" ht="17.25">
      <c r="A557" s="1" t="s">
        <v>4284</v>
      </c>
      <c r="B557" s="1" t="s">
        <v>1250</v>
      </c>
      <c r="C557" s="1" t="s">
        <v>3576</v>
      </c>
      <c r="D557" s="1" t="s">
        <v>20</v>
      </c>
      <c r="E557" s="1" t="s">
        <v>4250</v>
      </c>
      <c r="F557" s="1" t="s">
        <v>4251</v>
      </c>
      <c r="G557" s="1" t="s">
        <v>4252</v>
      </c>
      <c r="H557" s="2"/>
      <c r="I557" s="5">
        <f>XLOOKUP(K557, pharmaceutical_index!B:B, pharmaceutical_index!A:A, "Not Found")</f>
      </c>
      <c r="J557" s="1" t="s">
        <v>1250</v>
      </c>
      <c r="K557" s="1" t="s">
        <v>1250</v>
      </c>
      <c r="L557" s="1" t="s">
        <v>20</v>
      </c>
      <c r="M557" s="1" t="s">
        <v>1250</v>
      </c>
      <c r="N557" s="2"/>
      <c r="O557" s="2"/>
      <c r="P557" s="2"/>
      <c r="Q557" s="2"/>
    </row>
    <row x14ac:dyDescent="0.25" r="558" customHeight="1" ht="17.25">
      <c r="A558" s="1" t="s">
        <v>4285</v>
      </c>
      <c r="B558" s="1" t="s">
        <v>1252</v>
      </c>
      <c r="C558" s="1" t="s">
        <v>3576</v>
      </c>
      <c r="D558" s="1" t="s">
        <v>20</v>
      </c>
      <c r="E558" s="1" t="s">
        <v>4250</v>
      </c>
      <c r="F558" s="1" t="s">
        <v>4251</v>
      </c>
      <c r="G558" s="1" t="s">
        <v>4252</v>
      </c>
      <c r="H558" s="2"/>
      <c r="I558" s="5">
        <f>XLOOKUP(K558, pharmaceutical_index!B:B, pharmaceutical_index!A:A, "Not Found")</f>
      </c>
      <c r="J558" s="1" t="s">
        <v>1252</v>
      </c>
      <c r="K558" s="1" t="s">
        <v>1252</v>
      </c>
      <c r="L558" s="1" t="s">
        <v>20</v>
      </c>
      <c r="M558" s="1" t="s">
        <v>1252</v>
      </c>
      <c r="N558" s="2"/>
      <c r="O558" s="2"/>
      <c r="P558" s="2"/>
      <c r="Q558" s="2"/>
    </row>
    <row x14ac:dyDescent="0.25" r="559" customHeight="1" ht="17.25">
      <c r="A559" s="1" t="s">
        <v>4286</v>
      </c>
      <c r="B559" s="1" t="s">
        <v>1254</v>
      </c>
      <c r="C559" s="1" t="s">
        <v>3576</v>
      </c>
      <c r="D559" s="1" t="s">
        <v>20</v>
      </c>
      <c r="E559" s="1" t="s">
        <v>4250</v>
      </c>
      <c r="F559" s="1" t="s">
        <v>4251</v>
      </c>
      <c r="G559" s="1" t="s">
        <v>4252</v>
      </c>
      <c r="H559" s="2"/>
      <c r="I559" s="5">
        <f>XLOOKUP(K559, pharmaceutical_index!B:B, pharmaceutical_index!A:A, "Not Found")</f>
      </c>
      <c r="J559" s="1" t="s">
        <v>1254</v>
      </c>
      <c r="K559" s="1" t="s">
        <v>1254</v>
      </c>
      <c r="L559" s="1" t="s">
        <v>20</v>
      </c>
      <c r="M559" s="1" t="s">
        <v>1254</v>
      </c>
      <c r="N559" s="2"/>
      <c r="O559" s="2"/>
      <c r="P559" s="2"/>
      <c r="Q559" s="2"/>
    </row>
    <row x14ac:dyDescent="0.25" r="560" customHeight="1" ht="17.25">
      <c r="A560" s="1" t="s">
        <v>4287</v>
      </c>
      <c r="B560" s="1" t="s">
        <v>1256</v>
      </c>
      <c r="C560" s="1" t="s">
        <v>3576</v>
      </c>
      <c r="D560" s="1" t="s">
        <v>20</v>
      </c>
      <c r="E560" s="1" t="s">
        <v>4250</v>
      </c>
      <c r="F560" s="1" t="s">
        <v>4251</v>
      </c>
      <c r="G560" s="1" t="s">
        <v>4252</v>
      </c>
      <c r="H560" s="2"/>
      <c r="I560" s="5">
        <f>XLOOKUP(K560, pharmaceutical_index!B:B, pharmaceutical_index!A:A, "Not Found")</f>
      </c>
      <c r="J560" s="1" t="s">
        <v>1256</v>
      </c>
      <c r="K560" s="1" t="s">
        <v>1256</v>
      </c>
      <c r="L560" s="1" t="s">
        <v>20</v>
      </c>
      <c r="M560" s="1" t="s">
        <v>1256</v>
      </c>
      <c r="N560" s="2"/>
      <c r="O560" s="2"/>
      <c r="P560" s="2"/>
      <c r="Q560" s="2"/>
    </row>
    <row x14ac:dyDescent="0.25" r="561" customHeight="1" ht="17.25">
      <c r="A561" s="1" t="s">
        <v>4288</v>
      </c>
      <c r="B561" s="1" t="s">
        <v>1258</v>
      </c>
      <c r="C561" s="1" t="s">
        <v>3576</v>
      </c>
      <c r="D561" s="1" t="s">
        <v>20</v>
      </c>
      <c r="E561" s="1" t="s">
        <v>4250</v>
      </c>
      <c r="F561" s="1" t="s">
        <v>4251</v>
      </c>
      <c r="G561" s="1" t="s">
        <v>4252</v>
      </c>
      <c r="H561" s="2"/>
      <c r="I561" s="5">
        <f>XLOOKUP(K561, pharmaceutical_index!B:B, pharmaceutical_index!A:A, "Not Found")</f>
      </c>
      <c r="J561" s="1" t="s">
        <v>1258</v>
      </c>
      <c r="K561" s="1" t="s">
        <v>1258</v>
      </c>
      <c r="L561" s="1" t="s">
        <v>20</v>
      </c>
      <c r="M561" s="1" t="s">
        <v>1258</v>
      </c>
      <c r="N561" s="2"/>
      <c r="O561" s="2"/>
      <c r="P561" s="2"/>
      <c r="Q561" s="2"/>
    </row>
    <row x14ac:dyDescent="0.25" r="562" customHeight="1" ht="17.25">
      <c r="A562" s="1" t="s">
        <v>4289</v>
      </c>
      <c r="B562" s="1" t="s">
        <v>1260</v>
      </c>
      <c r="C562" s="1" t="s">
        <v>3576</v>
      </c>
      <c r="D562" s="1" t="s">
        <v>20</v>
      </c>
      <c r="E562" s="1" t="s">
        <v>4250</v>
      </c>
      <c r="F562" s="1" t="s">
        <v>4251</v>
      </c>
      <c r="G562" s="1" t="s">
        <v>4252</v>
      </c>
      <c r="H562" s="2"/>
      <c r="I562" s="5">
        <f>XLOOKUP(K562, pharmaceutical_index!B:B, pharmaceutical_index!A:A, "Not Found")</f>
      </c>
      <c r="J562" s="1" t="s">
        <v>1260</v>
      </c>
      <c r="K562" s="1" t="s">
        <v>1260</v>
      </c>
      <c r="L562" s="1" t="s">
        <v>20</v>
      </c>
      <c r="M562" s="1" t="s">
        <v>1260</v>
      </c>
      <c r="N562" s="2"/>
      <c r="O562" s="2"/>
      <c r="P562" s="2"/>
      <c r="Q562" s="2"/>
    </row>
    <row x14ac:dyDescent="0.25" r="563" customHeight="1" ht="17.25">
      <c r="A563" s="1" t="s">
        <v>4290</v>
      </c>
      <c r="B563" s="1" t="s">
        <v>1262</v>
      </c>
      <c r="C563" s="1" t="s">
        <v>3576</v>
      </c>
      <c r="D563" s="1" t="s">
        <v>20</v>
      </c>
      <c r="E563" s="1" t="s">
        <v>4250</v>
      </c>
      <c r="F563" s="1" t="s">
        <v>4251</v>
      </c>
      <c r="G563" s="1" t="s">
        <v>4252</v>
      </c>
      <c r="H563" s="2"/>
      <c r="I563" s="5">
        <f>XLOOKUP(K563, pharmaceutical_index!B:B, pharmaceutical_index!A:A, "Not Found")</f>
      </c>
      <c r="J563" s="1" t="s">
        <v>1262</v>
      </c>
      <c r="K563" s="1" t="s">
        <v>1262</v>
      </c>
      <c r="L563" s="1" t="s">
        <v>20</v>
      </c>
      <c r="M563" s="1" t="s">
        <v>1262</v>
      </c>
      <c r="N563" s="2"/>
      <c r="O563" s="2"/>
      <c r="P563" s="2"/>
      <c r="Q563" s="2"/>
    </row>
    <row x14ac:dyDescent="0.25" r="564" customHeight="1" ht="17.25">
      <c r="A564" s="1" t="s">
        <v>4291</v>
      </c>
      <c r="B564" s="1" t="s">
        <v>1264</v>
      </c>
      <c r="C564" s="1" t="s">
        <v>3576</v>
      </c>
      <c r="D564" s="1" t="s">
        <v>20</v>
      </c>
      <c r="E564" s="1" t="s">
        <v>4250</v>
      </c>
      <c r="F564" s="1" t="s">
        <v>4251</v>
      </c>
      <c r="G564" s="1" t="s">
        <v>4252</v>
      </c>
      <c r="H564" s="2"/>
      <c r="I564" s="5">
        <f>XLOOKUP(K564, pharmaceutical_index!B:B, pharmaceutical_index!A:A, "Not Found")</f>
      </c>
      <c r="J564" s="1" t="s">
        <v>1264</v>
      </c>
      <c r="K564" s="1" t="s">
        <v>1264</v>
      </c>
      <c r="L564" s="1" t="s">
        <v>20</v>
      </c>
      <c r="M564" s="1" t="s">
        <v>1264</v>
      </c>
      <c r="N564" s="2"/>
      <c r="O564" s="2"/>
      <c r="P564" s="2"/>
      <c r="Q564" s="2"/>
    </row>
    <row x14ac:dyDescent="0.25" r="565" customHeight="1" ht="17.25">
      <c r="A565" s="1" t="s">
        <v>4292</v>
      </c>
      <c r="B565" s="1" t="s">
        <v>1266</v>
      </c>
      <c r="C565" s="1" t="s">
        <v>3576</v>
      </c>
      <c r="D565" s="1" t="s">
        <v>20</v>
      </c>
      <c r="E565" s="1" t="s">
        <v>4250</v>
      </c>
      <c r="F565" s="1" t="s">
        <v>4251</v>
      </c>
      <c r="G565" s="1" t="s">
        <v>4252</v>
      </c>
      <c r="H565" s="2"/>
      <c r="I565" s="5">
        <f>XLOOKUP(K565, pharmaceutical_index!B:B, pharmaceutical_index!A:A, "Not Found")</f>
      </c>
      <c r="J565" s="1" t="s">
        <v>1266</v>
      </c>
      <c r="K565" s="1" t="s">
        <v>1266</v>
      </c>
      <c r="L565" s="1" t="s">
        <v>20</v>
      </c>
      <c r="M565" s="1" t="s">
        <v>1266</v>
      </c>
      <c r="N565" s="2"/>
      <c r="O565" s="2"/>
      <c r="P565" s="2"/>
      <c r="Q565" s="2"/>
    </row>
    <row x14ac:dyDescent="0.25" r="566" customHeight="1" ht="17.25">
      <c r="A566" s="1" t="s">
        <v>4293</v>
      </c>
      <c r="B566" s="1" t="s">
        <v>1268</v>
      </c>
      <c r="C566" s="1" t="s">
        <v>3576</v>
      </c>
      <c r="D566" s="1" t="s">
        <v>20</v>
      </c>
      <c r="E566" s="1" t="s">
        <v>4250</v>
      </c>
      <c r="F566" s="1" t="s">
        <v>4251</v>
      </c>
      <c r="G566" s="1" t="s">
        <v>4252</v>
      </c>
      <c r="H566" s="2"/>
      <c r="I566" s="5">
        <f>XLOOKUP(K566, pharmaceutical_index!B:B, pharmaceutical_index!A:A, "Not Found")</f>
      </c>
      <c r="J566" s="1" t="s">
        <v>1268</v>
      </c>
      <c r="K566" s="1" t="s">
        <v>1268</v>
      </c>
      <c r="L566" s="1" t="s">
        <v>20</v>
      </c>
      <c r="M566" s="1" t="s">
        <v>1268</v>
      </c>
      <c r="N566" s="2"/>
      <c r="O566" s="2"/>
      <c r="P566" s="2"/>
      <c r="Q566" s="2"/>
    </row>
    <row x14ac:dyDescent="0.25" r="567" customHeight="1" ht="17.25">
      <c r="A567" s="1" t="s">
        <v>4294</v>
      </c>
      <c r="B567" s="1" t="s">
        <v>1270</v>
      </c>
      <c r="C567" s="1" t="s">
        <v>3576</v>
      </c>
      <c r="D567" s="1" t="s">
        <v>20</v>
      </c>
      <c r="E567" s="1" t="s">
        <v>4250</v>
      </c>
      <c r="F567" s="1" t="s">
        <v>4251</v>
      </c>
      <c r="G567" s="1" t="s">
        <v>4252</v>
      </c>
      <c r="H567" s="2"/>
      <c r="I567" s="5">
        <f>XLOOKUP(K567, pharmaceutical_index!B:B, pharmaceutical_index!A:A, "Not Found")</f>
      </c>
      <c r="J567" s="1" t="s">
        <v>1270</v>
      </c>
      <c r="K567" s="1" t="s">
        <v>1270</v>
      </c>
      <c r="L567" s="1" t="s">
        <v>20</v>
      </c>
      <c r="M567" s="1" t="s">
        <v>1270</v>
      </c>
      <c r="N567" s="2"/>
      <c r="O567" s="2"/>
      <c r="P567" s="2"/>
      <c r="Q567" s="2"/>
    </row>
    <row x14ac:dyDescent="0.25" r="568" customHeight="1" ht="17.25">
      <c r="A568" s="1" t="s">
        <v>4295</v>
      </c>
      <c r="B568" s="1" t="s">
        <v>1272</v>
      </c>
      <c r="C568" s="1" t="s">
        <v>3576</v>
      </c>
      <c r="D568" s="1" t="s">
        <v>20</v>
      </c>
      <c r="E568" s="1" t="s">
        <v>4250</v>
      </c>
      <c r="F568" s="1" t="s">
        <v>4251</v>
      </c>
      <c r="G568" s="1" t="s">
        <v>4252</v>
      </c>
      <c r="H568" s="2"/>
      <c r="I568" s="5">
        <f>XLOOKUP(K568, pharmaceutical_index!B:B, pharmaceutical_index!A:A, "Not Found")</f>
      </c>
      <c r="J568" s="1" t="s">
        <v>1272</v>
      </c>
      <c r="K568" s="1" t="s">
        <v>1272</v>
      </c>
      <c r="L568" s="1" t="s">
        <v>20</v>
      </c>
      <c r="M568" s="1" t="s">
        <v>1272</v>
      </c>
      <c r="N568" s="2"/>
      <c r="O568" s="2"/>
      <c r="P568" s="2"/>
      <c r="Q568" s="2"/>
    </row>
    <row x14ac:dyDescent="0.25" r="569" customHeight="1" ht="17.25">
      <c r="A569" s="1" t="s">
        <v>4296</v>
      </c>
      <c r="B569" s="1" t="s">
        <v>1274</v>
      </c>
      <c r="C569" s="1" t="s">
        <v>3576</v>
      </c>
      <c r="D569" s="1" t="s">
        <v>20</v>
      </c>
      <c r="E569" s="1" t="s">
        <v>4250</v>
      </c>
      <c r="F569" s="1" t="s">
        <v>4251</v>
      </c>
      <c r="G569" s="1" t="s">
        <v>4252</v>
      </c>
      <c r="H569" s="2"/>
      <c r="I569" s="5">
        <f>XLOOKUP(K569, pharmaceutical_index!B:B, pharmaceutical_index!A:A, "Not Found")</f>
      </c>
      <c r="J569" s="1" t="s">
        <v>1274</v>
      </c>
      <c r="K569" s="1" t="s">
        <v>1274</v>
      </c>
      <c r="L569" s="1" t="s">
        <v>20</v>
      </c>
      <c r="M569" s="1" t="s">
        <v>1274</v>
      </c>
      <c r="N569" s="2"/>
      <c r="O569" s="2"/>
      <c r="P569" s="2"/>
      <c r="Q569" s="2"/>
    </row>
    <row x14ac:dyDescent="0.25" r="570" customHeight="1" ht="17.25">
      <c r="A570" s="1" t="s">
        <v>4297</v>
      </c>
      <c r="B570" s="1" t="s">
        <v>1276</v>
      </c>
      <c r="C570" s="1" t="s">
        <v>3576</v>
      </c>
      <c r="D570" s="1" t="s">
        <v>20</v>
      </c>
      <c r="E570" s="1" t="s">
        <v>4250</v>
      </c>
      <c r="F570" s="1" t="s">
        <v>4251</v>
      </c>
      <c r="G570" s="1" t="s">
        <v>4252</v>
      </c>
      <c r="H570" s="2"/>
      <c r="I570" s="5">
        <f>XLOOKUP(K570, pharmaceutical_index!B:B, pharmaceutical_index!A:A, "Not Found")</f>
      </c>
      <c r="J570" s="1" t="s">
        <v>1276</v>
      </c>
      <c r="K570" s="1" t="s">
        <v>1276</v>
      </c>
      <c r="L570" s="1" t="s">
        <v>20</v>
      </c>
      <c r="M570" s="1" t="s">
        <v>1276</v>
      </c>
      <c r="N570" s="2"/>
      <c r="O570" s="2"/>
      <c r="P570" s="2"/>
      <c r="Q570" s="2"/>
    </row>
    <row x14ac:dyDescent="0.25" r="571" customHeight="1" ht="17.25">
      <c r="A571" s="1" t="s">
        <v>4298</v>
      </c>
      <c r="B571" s="1" t="s">
        <v>1278</v>
      </c>
      <c r="C571" s="1" t="s">
        <v>3576</v>
      </c>
      <c r="D571" s="1" t="s">
        <v>20</v>
      </c>
      <c r="E571" s="1" t="s">
        <v>4250</v>
      </c>
      <c r="F571" s="1" t="s">
        <v>4251</v>
      </c>
      <c r="G571" s="1" t="s">
        <v>4252</v>
      </c>
      <c r="H571" s="2"/>
      <c r="I571" s="5">
        <f>XLOOKUP(K571, pharmaceutical_index!B:B, pharmaceutical_index!A:A, "Not Found")</f>
      </c>
      <c r="J571" s="1" t="s">
        <v>1278</v>
      </c>
      <c r="K571" s="1" t="s">
        <v>1278</v>
      </c>
      <c r="L571" s="1" t="s">
        <v>20</v>
      </c>
      <c r="M571" s="1" t="s">
        <v>1278</v>
      </c>
      <c r="N571" s="2"/>
      <c r="O571" s="2"/>
      <c r="P571" s="2"/>
      <c r="Q571" s="2"/>
    </row>
    <row x14ac:dyDescent="0.25" r="572" customHeight="1" ht="17.25">
      <c r="A572" s="1" t="s">
        <v>4299</v>
      </c>
      <c r="B572" s="1" t="s">
        <v>1280</v>
      </c>
      <c r="C572" s="1" t="s">
        <v>3576</v>
      </c>
      <c r="D572" s="1" t="s">
        <v>20</v>
      </c>
      <c r="E572" s="1" t="s">
        <v>4250</v>
      </c>
      <c r="F572" s="1" t="s">
        <v>4251</v>
      </c>
      <c r="G572" s="1" t="s">
        <v>4252</v>
      </c>
      <c r="H572" s="2"/>
      <c r="I572" s="5">
        <f>XLOOKUP(K572, pharmaceutical_index!B:B, pharmaceutical_index!A:A, "Not Found")</f>
      </c>
      <c r="J572" s="1" t="s">
        <v>1280</v>
      </c>
      <c r="K572" s="1" t="s">
        <v>1280</v>
      </c>
      <c r="L572" s="1" t="s">
        <v>20</v>
      </c>
      <c r="M572" s="1" t="s">
        <v>1280</v>
      </c>
      <c r="N572" s="2"/>
      <c r="O572" s="2"/>
      <c r="P572" s="2"/>
      <c r="Q572" s="2"/>
    </row>
    <row x14ac:dyDescent="0.25" r="573" customHeight="1" ht="17.25">
      <c r="A573" s="1" t="s">
        <v>4300</v>
      </c>
      <c r="B573" s="1" t="s">
        <v>1282</v>
      </c>
      <c r="C573" s="1" t="s">
        <v>3576</v>
      </c>
      <c r="D573" s="1" t="s">
        <v>20</v>
      </c>
      <c r="E573" s="1" t="s">
        <v>4250</v>
      </c>
      <c r="F573" s="1" t="s">
        <v>4251</v>
      </c>
      <c r="G573" s="1" t="s">
        <v>4252</v>
      </c>
      <c r="H573" s="2"/>
      <c r="I573" s="5">
        <f>XLOOKUP(K573, pharmaceutical_index!B:B, pharmaceutical_index!A:A, "Not Found")</f>
      </c>
      <c r="J573" s="1" t="s">
        <v>1282</v>
      </c>
      <c r="K573" s="1" t="s">
        <v>1282</v>
      </c>
      <c r="L573" s="1" t="s">
        <v>20</v>
      </c>
      <c r="M573" s="1" t="s">
        <v>1282</v>
      </c>
      <c r="N573" s="2"/>
      <c r="O573" s="2"/>
      <c r="P573" s="2"/>
      <c r="Q573" s="2"/>
    </row>
    <row x14ac:dyDescent="0.25" r="574" customHeight="1" ht="17.25">
      <c r="A574" s="1" t="s">
        <v>4301</v>
      </c>
      <c r="B574" s="1" t="s">
        <v>1284</v>
      </c>
      <c r="C574" s="1" t="s">
        <v>3576</v>
      </c>
      <c r="D574" s="1" t="s">
        <v>20</v>
      </c>
      <c r="E574" s="1" t="s">
        <v>4250</v>
      </c>
      <c r="F574" s="1" t="s">
        <v>4251</v>
      </c>
      <c r="G574" s="1" t="s">
        <v>4252</v>
      </c>
      <c r="H574" s="2"/>
      <c r="I574" s="5">
        <f>XLOOKUP(K574, pharmaceutical_index!B:B, pharmaceutical_index!A:A, "Not Found")</f>
      </c>
      <c r="J574" s="1" t="s">
        <v>1284</v>
      </c>
      <c r="K574" s="1" t="s">
        <v>1284</v>
      </c>
      <c r="L574" s="1" t="s">
        <v>20</v>
      </c>
      <c r="M574" s="1" t="s">
        <v>1284</v>
      </c>
      <c r="N574" s="2"/>
      <c r="O574" s="2"/>
      <c r="P574" s="2"/>
      <c r="Q574" s="2"/>
    </row>
    <row x14ac:dyDescent="0.25" r="575" customHeight="1" ht="17.25">
      <c r="A575" s="1" t="s">
        <v>4302</v>
      </c>
      <c r="B575" s="1" t="s">
        <v>1286</v>
      </c>
      <c r="C575" s="1" t="s">
        <v>3576</v>
      </c>
      <c r="D575" s="1" t="s">
        <v>20</v>
      </c>
      <c r="E575" s="1" t="s">
        <v>4250</v>
      </c>
      <c r="F575" s="1" t="s">
        <v>4251</v>
      </c>
      <c r="G575" s="1" t="s">
        <v>4252</v>
      </c>
      <c r="H575" s="2"/>
      <c r="I575" s="5">
        <f>XLOOKUP(K575, pharmaceutical_index!B:B, pharmaceutical_index!A:A, "Not Found")</f>
      </c>
      <c r="J575" s="1" t="s">
        <v>1286</v>
      </c>
      <c r="K575" s="1" t="s">
        <v>1286</v>
      </c>
      <c r="L575" s="1" t="s">
        <v>20</v>
      </c>
      <c r="M575" s="1" t="s">
        <v>1286</v>
      </c>
      <c r="N575" s="2"/>
      <c r="O575" s="2"/>
      <c r="P575" s="2"/>
      <c r="Q575" s="2"/>
    </row>
    <row x14ac:dyDescent="0.25" r="576" customHeight="1" ht="17.25">
      <c r="A576" s="1" t="s">
        <v>4303</v>
      </c>
      <c r="B576" s="1" t="s">
        <v>1288</v>
      </c>
      <c r="C576" s="1" t="s">
        <v>3576</v>
      </c>
      <c r="D576" s="1" t="s">
        <v>20</v>
      </c>
      <c r="E576" s="1" t="s">
        <v>4250</v>
      </c>
      <c r="F576" s="1" t="s">
        <v>4251</v>
      </c>
      <c r="G576" s="1" t="s">
        <v>4252</v>
      </c>
      <c r="H576" s="2"/>
      <c r="I576" s="5">
        <f>XLOOKUP(K576, pharmaceutical_index!B:B, pharmaceutical_index!A:A, "Not Found")</f>
      </c>
      <c r="J576" s="1" t="s">
        <v>1288</v>
      </c>
      <c r="K576" s="1" t="s">
        <v>1288</v>
      </c>
      <c r="L576" s="1" t="s">
        <v>20</v>
      </c>
      <c r="M576" s="1" t="s">
        <v>1288</v>
      </c>
      <c r="N576" s="2"/>
      <c r="O576" s="2"/>
      <c r="P576" s="2"/>
      <c r="Q576" s="2"/>
    </row>
    <row x14ac:dyDescent="0.25" r="577" customHeight="1" ht="17.25">
      <c r="A577" s="1" t="s">
        <v>4304</v>
      </c>
      <c r="B577" s="1" t="s">
        <v>1290</v>
      </c>
      <c r="C577" s="1" t="s">
        <v>3576</v>
      </c>
      <c r="D577" s="1" t="s">
        <v>20</v>
      </c>
      <c r="E577" s="1" t="s">
        <v>4250</v>
      </c>
      <c r="F577" s="1" t="s">
        <v>4251</v>
      </c>
      <c r="G577" s="1" t="s">
        <v>4252</v>
      </c>
      <c r="H577" s="2"/>
      <c r="I577" s="5">
        <f>XLOOKUP(K577, pharmaceutical_index!B:B, pharmaceutical_index!A:A, "Not Found")</f>
      </c>
      <c r="J577" s="1" t="s">
        <v>1290</v>
      </c>
      <c r="K577" s="1" t="s">
        <v>1290</v>
      </c>
      <c r="L577" s="1" t="s">
        <v>20</v>
      </c>
      <c r="M577" s="1" t="s">
        <v>1290</v>
      </c>
      <c r="N577" s="2"/>
      <c r="O577" s="2"/>
      <c r="P577" s="2"/>
      <c r="Q577" s="2"/>
    </row>
    <row x14ac:dyDescent="0.25" r="578" customHeight="1" ht="17.25">
      <c r="A578" s="1" t="s">
        <v>4305</v>
      </c>
      <c r="B578" s="1" t="s">
        <v>1292</v>
      </c>
      <c r="C578" s="1" t="s">
        <v>3576</v>
      </c>
      <c r="D578" s="1" t="s">
        <v>20</v>
      </c>
      <c r="E578" s="1" t="s">
        <v>4250</v>
      </c>
      <c r="F578" s="1" t="s">
        <v>4251</v>
      </c>
      <c r="G578" s="1" t="s">
        <v>4252</v>
      </c>
      <c r="H578" s="2"/>
      <c r="I578" s="5">
        <f>XLOOKUP(K578, pharmaceutical_index!B:B, pharmaceutical_index!A:A, "Not Found")</f>
      </c>
      <c r="J578" s="1" t="s">
        <v>1292</v>
      </c>
      <c r="K578" s="1" t="s">
        <v>1292</v>
      </c>
      <c r="L578" s="1" t="s">
        <v>20</v>
      </c>
      <c r="M578" s="1" t="s">
        <v>1292</v>
      </c>
      <c r="N578" s="2"/>
      <c r="O578" s="2"/>
      <c r="P578" s="2"/>
      <c r="Q578" s="2"/>
    </row>
    <row x14ac:dyDescent="0.25" r="579" customHeight="1" ht="17.25">
      <c r="A579" s="1" t="s">
        <v>4306</v>
      </c>
      <c r="B579" s="1" t="s">
        <v>1294</v>
      </c>
      <c r="C579" s="1" t="s">
        <v>3576</v>
      </c>
      <c r="D579" s="1" t="s">
        <v>20</v>
      </c>
      <c r="E579" s="1" t="s">
        <v>4250</v>
      </c>
      <c r="F579" s="1" t="s">
        <v>4251</v>
      </c>
      <c r="G579" s="1" t="s">
        <v>4252</v>
      </c>
      <c r="H579" s="2"/>
      <c r="I579" s="5">
        <f>XLOOKUP(K579, pharmaceutical_index!B:B, pharmaceutical_index!A:A, "Not Found")</f>
      </c>
      <c r="J579" s="1" t="s">
        <v>1294</v>
      </c>
      <c r="K579" s="1" t="s">
        <v>1294</v>
      </c>
      <c r="L579" s="1" t="s">
        <v>20</v>
      </c>
      <c r="M579" s="1" t="s">
        <v>1294</v>
      </c>
      <c r="N579" s="2"/>
      <c r="O579" s="2"/>
      <c r="P579" s="2"/>
      <c r="Q579" s="2"/>
    </row>
    <row x14ac:dyDescent="0.25" r="580" customHeight="1" ht="17.25">
      <c r="A580" s="1" t="s">
        <v>4307</v>
      </c>
      <c r="B580" s="1" t="s">
        <v>1296</v>
      </c>
      <c r="C580" s="1" t="s">
        <v>3576</v>
      </c>
      <c r="D580" s="1" t="s">
        <v>20</v>
      </c>
      <c r="E580" s="1" t="s">
        <v>4250</v>
      </c>
      <c r="F580" s="1" t="s">
        <v>4251</v>
      </c>
      <c r="G580" s="1" t="s">
        <v>4252</v>
      </c>
      <c r="H580" s="2"/>
      <c r="I580" s="5">
        <f>XLOOKUP(K580, pharmaceutical_index!B:B, pharmaceutical_index!A:A, "Not Found")</f>
      </c>
      <c r="J580" s="1" t="s">
        <v>1296</v>
      </c>
      <c r="K580" s="1" t="s">
        <v>1296</v>
      </c>
      <c r="L580" s="1" t="s">
        <v>20</v>
      </c>
      <c r="M580" s="1" t="s">
        <v>1296</v>
      </c>
      <c r="N580" s="2"/>
      <c r="O580" s="2"/>
      <c r="P580" s="2"/>
      <c r="Q580" s="2"/>
    </row>
    <row x14ac:dyDescent="0.25" r="581" customHeight="1" ht="17.25">
      <c r="A581" s="1" t="s">
        <v>4308</v>
      </c>
      <c r="B581" s="1" t="s">
        <v>1298</v>
      </c>
      <c r="C581" s="1" t="s">
        <v>3576</v>
      </c>
      <c r="D581" s="1" t="s">
        <v>20</v>
      </c>
      <c r="E581" s="1" t="s">
        <v>4250</v>
      </c>
      <c r="F581" s="1" t="s">
        <v>4251</v>
      </c>
      <c r="G581" s="1" t="s">
        <v>4252</v>
      </c>
      <c r="H581" s="2"/>
      <c r="I581" s="5">
        <f>XLOOKUP(K581, pharmaceutical_index!B:B, pharmaceutical_index!A:A, "Not Found")</f>
      </c>
      <c r="J581" s="1" t="s">
        <v>1298</v>
      </c>
      <c r="K581" s="1" t="s">
        <v>1298</v>
      </c>
      <c r="L581" s="1" t="s">
        <v>20</v>
      </c>
      <c r="M581" s="1" t="s">
        <v>1298</v>
      </c>
      <c r="N581" s="2"/>
      <c r="O581" s="2"/>
      <c r="P581" s="2"/>
      <c r="Q581" s="2"/>
    </row>
    <row x14ac:dyDescent="0.25" r="582" customHeight="1" ht="17.25">
      <c r="A582" s="1" t="s">
        <v>4309</v>
      </c>
      <c r="B582" s="1" t="s">
        <v>1300</v>
      </c>
      <c r="C582" s="1" t="s">
        <v>3576</v>
      </c>
      <c r="D582" s="1" t="s">
        <v>20</v>
      </c>
      <c r="E582" s="1" t="s">
        <v>4250</v>
      </c>
      <c r="F582" s="1" t="s">
        <v>4251</v>
      </c>
      <c r="G582" s="1" t="s">
        <v>4252</v>
      </c>
      <c r="H582" s="2"/>
      <c r="I582" s="5">
        <f>XLOOKUP(K582, pharmaceutical_index!B:B, pharmaceutical_index!A:A, "Not Found")</f>
      </c>
      <c r="J582" s="1" t="s">
        <v>1300</v>
      </c>
      <c r="K582" s="1" t="s">
        <v>1300</v>
      </c>
      <c r="L582" s="1" t="s">
        <v>20</v>
      </c>
      <c r="M582" s="1" t="s">
        <v>1300</v>
      </c>
      <c r="N582" s="2"/>
      <c r="O582" s="2"/>
      <c r="P582" s="2"/>
      <c r="Q582" s="2"/>
    </row>
    <row x14ac:dyDescent="0.25" r="583" customHeight="1" ht="17.25">
      <c r="A583" s="1" t="s">
        <v>4310</v>
      </c>
      <c r="B583" s="1" t="s">
        <v>1302</v>
      </c>
      <c r="C583" s="1" t="s">
        <v>3576</v>
      </c>
      <c r="D583" s="1" t="s">
        <v>20</v>
      </c>
      <c r="E583" s="1" t="s">
        <v>4250</v>
      </c>
      <c r="F583" s="1" t="s">
        <v>4251</v>
      </c>
      <c r="G583" s="1" t="s">
        <v>4252</v>
      </c>
      <c r="H583" s="2"/>
      <c r="I583" s="5">
        <f>XLOOKUP(K583, pharmaceutical_index!B:B, pharmaceutical_index!A:A, "Not Found")</f>
      </c>
      <c r="J583" s="1" t="s">
        <v>1302</v>
      </c>
      <c r="K583" s="1" t="s">
        <v>1302</v>
      </c>
      <c r="L583" s="1" t="s">
        <v>20</v>
      </c>
      <c r="M583" s="1" t="s">
        <v>1302</v>
      </c>
      <c r="N583" s="2"/>
      <c r="O583" s="2"/>
      <c r="P583" s="2"/>
      <c r="Q583" s="2"/>
    </row>
    <row x14ac:dyDescent="0.25" r="584" customHeight="1" ht="17.25">
      <c r="A584" s="1" t="s">
        <v>4311</v>
      </c>
      <c r="B584" s="1" t="s">
        <v>1304</v>
      </c>
      <c r="C584" s="1" t="s">
        <v>3576</v>
      </c>
      <c r="D584" s="1" t="s">
        <v>20</v>
      </c>
      <c r="E584" s="1" t="s">
        <v>4250</v>
      </c>
      <c r="F584" s="1" t="s">
        <v>4251</v>
      </c>
      <c r="G584" s="1" t="s">
        <v>4252</v>
      </c>
      <c r="H584" s="2"/>
      <c r="I584" s="5">
        <f>XLOOKUP(K584, pharmaceutical_index!B:B, pharmaceutical_index!A:A, "Not Found")</f>
      </c>
      <c r="J584" s="1" t="s">
        <v>1304</v>
      </c>
      <c r="K584" s="1" t="s">
        <v>1304</v>
      </c>
      <c r="L584" s="1" t="s">
        <v>20</v>
      </c>
      <c r="M584" s="1" t="s">
        <v>1304</v>
      </c>
      <c r="N584" s="2"/>
      <c r="O584" s="2"/>
      <c r="P584" s="2"/>
      <c r="Q584" s="2"/>
    </row>
    <row x14ac:dyDescent="0.25" r="585" customHeight="1" ht="17.25">
      <c r="A585" s="1" t="s">
        <v>4312</v>
      </c>
      <c r="B585" s="1" t="s">
        <v>1306</v>
      </c>
      <c r="C585" s="1" t="s">
        <v>3576</v>
      </c>
      <c r="D585" s="1" t="s">
        <v>20</v>
      </c>
      <c r="E585" s="1" t="s">
        <v>4250</v>
      </c>
      <c r="F585" s="1" t="s">
        <v>4251</v>
      </c>
      <c r="G585" s="1" t="s">
        <v>4252</v>
      </c>
      <c r="H585" s="2"/>
      <c r="I585" s="5">
        <f>XLOOKUP(K585, pharmaceutical_index!B:B, pharmaceutical_index!A:A, "Not Found")</f>
      </c>
      <c r="J585" s="1" t="s">
        <v>1306</v>
      </c>
      <c r="K585" s="1" t="s">
        <v>1306</v>
      </c>
      <c r="L585" s="1" t="s">
        <v>20</v>
      </c>
      <c r="M585" s="1" t="s">
        <v>1306</v>
      </c>
      <c r="N585" s="2"/>
      <c r="O585" s="2"/>
      <c r="P585" s="2"/>
      <c r="Q585" s="2"/>
    </row>
    <row x14ac:dyDescent="0.25" r="586" customHeight="1" ht="17.25">
      <c r="A586" s="1" t="s">
        <v>4313</v>
      </c>
      <c r="B586" s="1" t="s">
        <v>1308</v>
      </c>
      <c r="C586" s="1" t="s">
        <v>3576</v>
      </c>
      <c r="D586" s="1" t="s">
        <v>20</v>
      </c>
      <c r="E586" s="1" t="s">
        <v>4250</v>
      </c>
      <c r="F586" s="1" t="s">
        <v>4251</v>
      </c>
      <c r="G586" s="1" t="s">
        <v>4252</v>
      </c>
      <c r="H586" s="2"/>
      <c r="I586" s="5">
        <f>XLOOKUP(K586, pharmaceutical_index!B:B, pharmaceutical_index!A:A, "Not Found")</f>
      </c>
      <c r="J586" s="1" t="s">
        <v>1308</v>
      </c>
      <c r="K586" s="1" t="s">
        <v>1308</v>
      </c>
      <c r="L586" s="1" t="s">
        <v>20</v>
      </c>
      <c r="M586" s="1" t="s">
        <v>1308</v>
      </c>
      <c r="N586" s="2"/>
      <c r="O586" s="2"/>
      <c r="P586" s="2"/>
      <c r="Q586" s="2"/>
    </row>
    <row x14ac:dyDescent="0.25" r="587" customHeight="1" ht="17.25">
      <c r="A587" s="1" t="s">
        <v>4314</v>
      </c>
      <c r="B587" s="1" t="s">
        <v>1310</v>
      </c>
      <c r="C587" s="1" t="s">
        <v>3576</v>
      </c>
      <c r="D587" s="1" t="s">
        <v>20</v>
      </c>
      <c r="E587" s="1" t="s">
        <v>4250</v>
      </c>
      <c r="F587" s="1" t="s">
        <v>4251</v>
      </c>
      <c r="G587" s="1" t="s">
        <v>4252</v>
      </c>
      <c r="H587" s="2"/>
      <c r="I587" s="5">
        <f>XLOOKUP(K587, pharmaceutical_index!B:B, pharmaceutical_index!A:A, "Not Found")</f>
      </c>
      <c r="J587" s="1" t="s">
        <v>1310</v>
      </c>
      <c r="K587" s="1" t="s">
        <v>1310</v>
      </c>
      <c r="L587" s="1" t="s">
        <v>20</v>
      </c>
      <c r="M587" s="1" t="s">
        <v>1310</v>
      </c>
      <c r="N587" s="2"/>
      <c r="O587" s="2"/>
      <c r="P587" s="2"/>
      <c r="Q587" s="2"/>
    </row>
    <row x14ac:dyDescent="0.25" r="588" customHeight="1" ht="17.25">
      <c r="A588" s="1" t="s">
        <v>4315</v>
      </c>
      <c r="B588" s="1" t="s">
        <v>1312</v>
      </c>
      <c r="C588" s="1" t="s">
        <v>3576</v>
      </c>
      <c r="D588" s="1" t="s">
        <v>20</v>
      </c>
      <c r="E588" s="1" t="s">
        <v>4250</v>
      </c>
      <c r="F588" s="1" t="s">
        <v>4251</v>
      </c>
      <c r="G588" s="1" t="s">
        <v>4252</v>
      </c>
      <c r="H588" s="2"/>
      <c r="I588" s="5">
        <f>XLOOKUP(K588, pharmaceutical_index!B:B, pharmaceutical_index!A:A, "Not Found")</f>
      </c>
      <c r="J588" s="1" t="s">
        <v>1312</v>
      </c>
      <c r="K588" s="1" t="s">
        <v>1312</v>
      </c>
      <c r="L588" s="1" t="s">
        <v>20</v>
      </c>
      <c r="M588" s="1" t="s">
        <v>1312</v>
      </c>
      <c r="N588" s="2"/>
      <c r="O588" s="2"/>
      <c r="P588" s="2"/>
      <c r="Q588" s="2"/>
    </row>
    <row x14ac:dyDescent="0.25" r="589" customHeight="1" ht="17.25">
      <c r="A589" s="1" t="s">
        <v>4316</v>
      </c>
      <c r="B589" s="1" t="s">
        <v>1314</v>
      </c>
      <c r="C589" s="1" t="s">
        <v>3576</v>
      </c>
      <c r="D589" s="1" t="s">
        <v>20</v>
      </c>
      <c r="E589" s="1" t="s">
        <v>4250</v>
      </c>
      <c r="F589" s="1" t="s">
        <v>4251</v>
      </c>
      <c r="G589" s="1" t="s">
        <v>4252</v>
      </c>
      <c r="H589" s="2"/>
      <c r="I589" s="5">
        <f>XLOOKUP(K589, pharmaceutical_index!B:B, pharmaceutical_index!A:A, "Not Found")</f>
      </c>
      <c r="J589" s="1" t="s">
        <v>1314</v>
      </c>
      <c r="K589" s="1" t="s">
        <v>1314</v>
      </c>
      <c r="L589" s="1" t="s">
        <v>20</v>
      </c>
      <c r="M589" s="1" t="s">
        <v>1314</v>
      </c>
      <c r="N589" s="2"/>
      <c r="O589" s="2"/>
      <c r="P589" s="2"/>
      <c r="Q589" s="2"/>
    </row>
    <row x14ac:dyDescent="0.25" r="590" customHeight="1" ht="17.25">
      <c r="A590" s="1" t="s">
        <v>4317</v>
      </c>
      <c r="B590" s="1" t="s">
        <v>1316</v>
      </c>
      <c r="C590" s="1" t="s">
        <v>3576</v>
      </c>
      <c r="D590" s="1" t="s">
        <v>20</v>
      </c>
      <c r="E590" s="1" t="s">
        <v>4250</v>
      </c>
      <c r="F590" s="1" t="s">
        <v>4251</v>
      </c>
      <c r="G590" s="1" t="s">
        <v>4252</v>
      </c>
      <c r="H590" s="2"/>
      <c r="I590" s="5">
        <f>XLOOKUP(K590, pharmaceutical_index!B:B, pharmaceutical_index!A:A, "Not Found")</f>
      </c>
      <c r="J590" s="1" t="s">
        <v>1316</v>
      </c>
      <c r="K590" s="1" t="s">
        <v>1316</v>
      </c>
      <c r="L590" s="1" t="s">
        <v>20</v>
      </c>
      <c r="M590" s="1" t="s">
        <v>1316</v>
      </c>
      <c r="N590" s="2"/>
      <c r="O590" s="2"/>
      <c r="P590" s="2"/>
      <c r="Q590" s="2"/>
    </row>
    <row x14ac:dyDescent="0.25" r="591" customHeight="1" ht="17.25">
      <c r="A591" s="1" t="s">
        <v>4318</v>
      </c>
      <c r="B591" s="1" t="s">
        <v>1318</v>
      </c>
      <c r="C591" s="1" t="s">
        <v>3576</v>
      </c>
      <c r="D591" s="1" t="s">
        <v>20</v>
      </c>
      <c r="E591" s="1" t="s">
        <v>4250</v>
      </c>
      <c r="F591" s="1" t="s">
        <v>4251</v>
      </c>
      <c r="G591" s="1" t="s">
        <v>4252</v>
      </c>
      <c r="H591" s="2"/>
      <c r="I591" s="5">
        <f>XLOOKUP(K591, pharmaceutical_index!B:B, pharmaceutical_index!A:A, "Not Found")</f>
      </c>
      <c r="J591" s="1" t="s">
        <v>1318</v>
      </c>
      <c r="K591" s="1" t="s">
        <v>1318</v>
      </c>
      <c r="L591" s="1" t="s">
        <v>20</v>
      </c>
      <c r="M591" s="1" t="s">
        <v>1318</v>
      </c>
      <c r="N591" s="2"/>
      <c r="O591" s="2"/>
      <c r="P591" s="2"/>
      <c r="Q591" s="2"/>
    </row>
    <row x14ac:dyDescent="0.25" r="592" customHeight="1" ht="17.25">
      <c r="A592" s="1" t="s">
        <v>4319</v>
      </c>
      <c r="B592" s="1" t="s">
        <v>1320</v>
      </c>
      <c r="C592" s="1" t="s">
        <v>3576</v>
      </c>
      <c r="D592" s="1" t="s">
        <v>20</v>
      </c>
      <c r="E592" s="1" t="s">
        <v>4250</v>
      </c>
      <c r="F592" s="1" t="s">
        <v>4251</v>
      </c>
      <c r="G592" s="1" t="s">
        <v>4252</v>
      </c>
      <c r="H592" s="2"/>
      <c r="I592" s="5">
        <f>XLOOKUP(K592, pharmaceutical_index!B:B, pharmaceutical_index!A:A, "Not Found")</f>
      </c>
      <c r="J592" s="1" t="s">
        <v>1320</v>
      </c>
      <c r="K592" s="1" t="s">
        <v>1320</v>
      </c>
      <c r="L592" s="1" t="s">
        <v>20</v>
      </c>
      <c r="M592" s="1" t="s">
        <v>1320</v>
      </c>
      <c r="N592" s="2"/>
      <c r="O592" s="2"/>
      <c r="P592" s="2"/>
      <c r="Q592" s="2"/>
    </row>
    <row x14ac:dyDescent="0.25" r="593" customHeight="1" ht="17.25">
      <c r="A593" s="1" t="s">
        <v>4320</v>
      </c>
      <c r="B593" s="1" t="s">
        <v>1322</v>
      </c>
      <c r="C593" s="1" t="s">
        <v>3576</v>
      </c>
      <c r="D593" s="1" t="s">
        <v>20</v>
      </c>
      <c r="E593" s="1" t="s">
        <v>4250</v>
      </c>
      <c r="F593" s="1" t="s">
        <v>4251</v>
      </c>
      <c r="G593" s="1" t="s">
        <v>4252</v>
      </c>
      <c r="H593" s="2"/>
      <c r="I593" s="5">
        <f>XLOOKUP(K593, pharmaceutical_index!B:B, pharmaceutical_index!A:A, "Not Found")</f>
      </c>
      <c r="J593" s="1" t="s">
        <v>1322</v>
      </c>
      <c r="K593" s="1" t="s">
        <v>1322</v>
      </c>
      <c r="L593" s="1" t="s">
        <v>20</v>
      </c>
      <c r="M593" s="1" t="s">
        <v>1322</v>
      </c>
      <c r="N593" s="2"/>
      <c r="O593" s="2"/>
      <c r="P593" s="2"/>
      <c r="Q593" s="2"/>
    </row>
    <row x14ac:dyDescent="0.25" r="594" customHeight="1" ht="17.25">
      <c r="A594" s="1" t="s">
        <v>4321</v>
      </c>
      <c r="B594" s="1" t="s">
        <v>1324</v>
      </c>
      <c r="C594" s="1" t="s">
        <v>3576</v>
      </c>
      <c r="D594" s="1" t="s">
        <v>20</v>
      </c>
      <c r="E594" s="1" t="s">
        <v>4250</v>
      </c>
      <c r="F594" s="1" t="s">
        <v>4251</v>
      </c>
      <c r="G594" s="1" t="s">
        <v>4252</v>
      </c>
      <c r="H594" s="2"/>
      <c r="I594" s="5">
        <f>XLOOKUP(K594, pharmaceutical_index!B:B, pharmaceutical_index!A:A, "Not Found")</f>
      </c>
      <c r="J594" s="1" t="s">
        <v>1324</v>
      </c>
      <c r="K594" s="1" t="s">
        <v>1324</v>
      </c>
      <c r="L594" s="1" t="s">
        <v>20</v>
      </c>
      <c r="M594" s="1" t="s">
        <v>1324</v>
      </c>
      <c r="N594" s="2"/>
      <c r="O594" s="2"/>
      <c r="P594" s="2"/>
      <c r="Q594" s="2"/>
    </row>
    <row x14ac:dyDescent="0.25" r="595" customHeight="1" ht="17.25">
      <c r="A595" s="1" t="s">
        <v>4322</v>
      </c>
      <c r="B595" s="1" t="s">
        <v>1326</v>
      </c>
      <c r="C595" s="1" t="s">
        <v>3576</v>
      </c>
      <c r="D595" s="1" t="s">
        <v>20</v>
      </c>
      <c r="E595" s="1" t="s">
        <v>4250</v>
      </c>
      <c r="F595" s="1" t="s">
        <v>4251</v>
      </c>
      <c r="G595" s="1" t="s">
        <v>4252</v>
      </c>
      <c r="H595" s="2"/>
      <c r="I595" s="5">
        <f>XLOOKUP(K595, pharmaceutical_index!B:B, pharmaceutical_index!A:A, "Not Found")</f>
      </c>
      <c r="J595" s="1" t="s">
        <v>1326</v>
      </c>
      <c r="K595" s="1" t="s">
        <v>1326</v>
      </c>
      <c r="L595" s="1" t="s">
        <v>20</v>
      </c>
      <c r="M595" s="1" t="s">
        <v>1326</v>
      </c>
      <c r="N595" s="2"/>
      <c r="O595" s="2"/>
      <c r="P595" s="2"/>
      <c r="Q595" s="2"/>
    </row>
    <row x14ac:dyDescent="0.25" r="596" customHeight="1" ht="17.25">
      <c r="A596" s="1" t="s">
        <v>4323</v>
      </c>
      <c r="B596" s="1" t="s">
        <v>1328</v>
      </c>
      <c r="C596" s="1" t="s">
        <v>3576</v>
      </c>
      <c r="D596" s="1" t="s">
        <v>20</v>
      </c>
      <c r="E596" s="1" t="s">
        <v>4250</v>
      </c>
      <c r="F596" s="1" t="s">
        <v>4251</v>
      </c>
      <c r="G596" s="1" t="s">
        <v>4252</v>
      </c>
      <c r="H596" s="2"/>
      <c r="I596" s="5">
        <f>XLOOKUP(K596, pharmaceutical_index!B:B, pharmaceutical_index!A:A, "Not Found")</f>
      </c>
      <c r="J596" s="1" t="s">
        <v>1328</v>
      </c>
      <c r="K596" s="1" t="s">
        <v>1328</v>
      </c>
      <c r="L596" s="1" t="s">
        <v>20</v>
      </c>
      <c r="M596" s="1" t="s">
        <v>1328</v>
      </c>
      <c r="N596" s="2"/>
      <c r="O596" s="2"/>
      <c r="P596" s="2"/>
      <c r="Q596" s="2"/>
    </row>
    <row x14ac:dyDescent="0.25" r="597" customHeight="1" ht="17.25">
      <c r="A597" s="1" t="s">
        <v>4324</v>
      </c>
      <c r="B597" s="1" t="s">
        <v>1330</v>
      </c>
      <c r="C597" s="1" t="s">
        <v>3576</v>
      </c>
      <c r="D597" s="1" t="s">
        <v>20</v>
      </c>
      <c r="E597" s="1" t="s">
        <v>4250</v>
      </c>
      <c r="F597" s="1" t="s">
        <v>4251</v>
      </c>
      <c r="G597" s="1" t="s">
        <v>4252</v>
      </c>
      <c r="H597" s="2"/>
      <c r="I597" s="5">
        <f>XLOOKUP(K597, pharmaceutical_index!B:B, pharmaceutical_index!A:A, "Not Found")</f>
      </c>
      <c r="J597" s="1" t="s">
        <v>1330</v>
      </c>
      <c r="K597" s="1" t="s">
        <v>1330</v>
      </c>
      <c r="L597" s="1" t="s">
        <v>20</v>
      </c>
      <c r="M597" s="1" t="s">
        <v>1330</v>
      </c>
      <c r="N597" s="2"/>
      <c r="O597" s="2"/>
      <c r="P597" s="2"/>
      <c r="Q597" s="2"/>
    </row>
    <row x14ac:dyDescent="0.25" r="598" customHeight="1" ht="17.25">
      <c r="A598" s="1" t="s">
        <v>4325</v>
      </c>
      <c r="B598" s="1" t="s">
        <v>1332</v>
      </c>
      <c r="C598" s="1" t="s">
        <v>3576</v>
      </c>
      <c r="D598" s="1" t="s">
        <v>20</v>
      </c>
      <c r="E598" s="1" t="s">
        <v>4250</v>
      </c>
      <c r="F598" s="1" t="s">
        <v>4251</v>
      </c>
      <c r="G598" s="1" t="s">
        <v>4252</v>
      </c>
      <c r="H598" s="2"/>
      <c r="I598" s="5">
        <f>XLOOKUP(K598, pharmaceutical_index!B:B, pharmaceutical_index!A:A, "Not Found")</f>
      </c>
      <c r="J598" s="1" t="s">
        <v>1332</v>
      </c>
      <c r="K598" s="1" t="s">
        <v>1332</v>
      </c>
      <c r="L598" s="1" t="s">
        <v>20</v>
      </c>
      <c r="M598" s="1" t="s">
        <v>1332</v>
      </c>
      <c r="N598" s="2"/>
      <c r="O598" s="2"/>
      <c r="P598" s="2"/>
      <c r="Q598" s="2"/>
    </row>
    <row x14ac:dyDescent="0.25" r="599" customHeight="1" ht="17.25">
      <c r="A599" s="1" t="s">
        <v>4326</v>
      </c>
      <c r="B599" s="1" t="s">
        <v>1334</v>
      </c>
      <c r="C599" s="1" t="s">
        <v>3576</v>
      </c>
      <c r="D599" s="1" t="s">
        <v>20</v>
      </c>
      <c r="E599" s="1" t="s">
        <v>4250</v>
      </c>
      <c r="F599" s="1" t="s">
        <v>4251</v>
      </c>
      <c r="G599" s="1" t="s">
        <v>4252</v>
      </c>
      <c r="H599" s="2"/>
      <c r="I599" s="5">
        <f>XLOOKUP(K599, pharmaceutical_index!B:B, pharmaceutical_index!A:A, "Not Found")</f>
      </c>
      <c r="J599" s="1" t="s">
        <v>1334</v>
      </c>
      <c r="K599" s="1" t="s">
        <v>1334</v>
      </c>
      <c r="L599" s="1" t="s">
        <v>20</v>
      </c>
      <c r="M599" s="1" t="s">
        <v>1334</v>
      </c>
      <c r="N599" s="2"/>
      <c r="O599" s="2"/>
      <c r="P599" s="2"/>
      <c r="Q599" s="2"/>
    </row>
    <row x14ac:dyDescent="0.25" r="600" customHeight="1" ht="17.25">
      <c r="A600" s="1" t="s">
        <v>4327</v>
      </c>
      <c r="B600" s="1" t="s">
        <v>1336</v>
      </c>
      <c r="C600" s="1" t="s">
        <v>3576</v>
      </c>
      <c r="D600" s="1" t="s">
        <v>20</v>
      </c>
      <c r="E600" s="1" t="s">
        <v>4250</v>
      </c>
      <c r="F600" s="1" t="s">
        <v>4251</v>
      </c>
      <c r="G600" s="1" t="s">
        <v>4252</v>
      </c>
      <c r="H600" s="2"/>
      <c r="I600" s="5">
        <f>XLOOKUP(K600, pharmaceutical_index!B:B, pharmaceutical_index!A:A, "Not Found")</f>
      </c>
      <c r="J600" s="1" t="s">
        <v>1336</v>
      </c>
      <c r="K600" s="1" t="s">
        <v>1336</v>
      </c>
      <c r="L600" s="1" t="s">
        <v>20</v>
      </c>
      <c r="M600" s="1" t="s">
        <v>1336</v>
      </c>
      <c r="N600" s="2"/>
      <c r="O600" s="2"/>
      <c r="P600" s="2"/>
      <c r="Q600" s="2"/>
    </row>
    <row x14ac:dyDescent="0.25" r="601" customHeight="1" ht="17.25">
      <c r="A601" s="1" t="s">
        <v>4328</v>
      </c>
      <c r="B601" s="1" t="s">
        <v>1338</v>
      </c>
      <c r="C601" s="1" t="s">
        <v>3576</v>
      </c>
      <c r="D601" s="1" t="s">
        <v>20</v>
      </c>
      <c r="E601" s="1" t="s">
        <v>4250</v>
      </c>
      <c r="F601" s="1" t="s">
        <v>4251</v>
      </c>
      <c r="G601" s="1" t="s">
        <v>4252</v>
      </c>
      <c r="H601" s="2"/>
      <c r="I601" s="5">
        <f>XLOOKUP(K601, pharmaceutical_index!B:B, pharmaceutical_index!A:A, "Not Found")</f>
      </c>
      <c r="J601" s="1" t="s">
        <v>1338</v>
      </c>
      <c r="K601" s="1" t="s">
        <v>1338</v>
      </c>
      <c r="L601" s="1" t="s">
        <v>20</v>
      </c>
      <c r="M601" s="1" t="s">
        <v>1338</v>
      </c>
      <c r="N601" s="2"/>
      <c r="O601" s="2"/>
      <c r="P601" s="2"/>
      <c r="Q601" s="2"/>
    </row>
    <row x14ac:dyDescent="0.25" r="602" customHeight="1" ht="17.25">
      <c r="A602" s="1" t="s">
        <v>4329</v>
      </c>
      <c r="B602" s="1" t="s">
        <v>1340</v>
      </c>
      <c r="C602" s="1" t="s">
        <v>3576</v>
      </c>
      <c r="D602" s="1" t="s">
        <v>20</v>
      </c>
      <c r="E602" s="1" t="s">
        <v>4250</v>
      </c>
      <c r="F602" s="1" t="s">
        <v>4251</v>
      </c>
      <c r="G602" s="1" t="s">
        <v>4252</v>
      </c>
      <c r="H602" s="2"/>
      <c r="I602" s="5">
        <f>XLOOKUP(K602, pharmaceutical_index!B:B, pharmaceutical_index!A:A, "Not Found")</f>
      </c>
      <c r="J602" s="1" t="s">
        <v>1340</v>
      </c>
      <c r="K602" s="1" t="s">
        <v>1340</v>
      </c>
      <c r="L602" s="1" t="s">
        <v>20</v>
      </c>
      <c r="M602" s="1" t="s">
        <v>1340</v>
      </c>
      <c r="N602" s="2"/>
      <c r="O602" s="2"/>
      <c r="P602" s="2"/>
      <c r="Q602" s="2"/>
    </row>
    <row x14ac:dyDescent="0.25" r="603" customHeight="1" ht="17.25">
      <c r="A603" s="1" t="s">
        <v>4330</v>
      </c>
      <c r="B603" s="1" t="s">
        <v>1342</v>
      </c>
      <c r="C603" s="1" t="s">
        <v>3576</v>
      </c>
      <c r="D603" s="1" t="s">
        <v>20</v>
      </c>
      <c r="E603" s="1" t="s">
        <v>4250</v>
      </c>
      <c r="F603" s="1" t="s">
        <v>4251</v>
      </c>
      <c r="G603" s="1" t="s">
        <v>4252</v>
      </c>
      <c r="H603" s="2"/>
      <c r="I603" s="5">
        <f>XLOOKUP(K603, pharmaceutical_index!B:B, pharmaceutical_index!A:A, "Not Found")</f>
      </c>
      <c r="J603" s="1" t="s">
        <v>1342</v>
      </c>
      <c r="K603" s="1" t="s">
        <v>1342</v>
      </c>
      <c r="L603" s="1" t="s">
        <v>20</v>
      </c>
      <c r="M603" s="1" t="s">
        <v>1342</v>
      </c>
      <c r="N603" s="2"/>
      <c r="O603" s="2"/>
      <c r="P603" s="2"/>
      <c r="Q603" s="2"/>
    </row>
    <row x14ac:dyDescent="0.25" r="604" customHeight="1" ht="17.25">
      <c r="A604" s="1" t="s">
        <v>4331</v>
      </c>
      <c r="B604" s="1" t="s">
        <v>1344</v>
      </c>
      <c r="C604" s="1" t="s">
        <v>3576</v>
      </c>
      <c r="D604" s="1" t="s">
        <v>20</v>
      </c>
      <c r="E604" s="1" t="s">
        <v>4250</v>
      </c>
      <c r="F604" s="1" t="s">
        <v>4251</v>
      </c>
      <c r="G604" s="1" t="s">
        <v>4252</v>
      </c>
      <c r="H604" s="2"/>
      <c r="I604" s="5">
        <f>XLOOKUP(K604, pharmaceutical_index!B:B, pharmaceutical_index!A:A, "Not Found")</f>
      </c>
      <c r="J604" s="1" t="s">
        <v>1344</v>
      </c>
      <c r="K604" s="1" t="s">
        <v>1344</v>
      </c>
      <c r="L604" s="1" t="s">
        <v>20</v>
      </c>
      <c r="M604" s="1" t="s">
        <v>1344</v>
      </c>
      <c r="N604" s="2"/>
      <c r="O604" s="2"/>
      <c r="P604" s="2"/>
      <c r="Q604" s="2"/>
    </row>
    <row x14ac:dyDescent="0.25" r="605" customHeight="1" ht="17.25">
      <c r="A605" s="1" t="s">
        <v>4332</v>
      </c>
      <c r="B605" s="1" t="s">
        <v>1346</v>
      </c>
      <c r="C605" s="1" t="s">
        <v>3576</v>
      </c>
      <c r="D605" s="1" t="s">
        <v>20</v>
      </c>
      <c r="E605" s="1" t="s">
        <v>4250</v>
      </c>
      <c r="F605" s="1" t="s">
        <v>4251</v>
      </c>
      <c r="G605" s="1" t="s">
        <v>4252</v>
      </c>
      <c r="H605" s="2"/>
      <c r="I605" s="5">
        <f>XLOOKUP(K605, pharmaceutical_index!B:B, pharmaceutical_index!A:A, "Not Found")</f>
      </c>
      <c r="J605" s="1" t="s">
        <v>1346</v>
      </c>
      <c r="K605" s="1" t="s">
        <v>1346</v>
      </c>
      <c r="L605" s="1" t="s">
        <v>20</v>
      </c>
      <c r="M605" s="1" t="s">
        <v>1346</v>
      </c>
      <c r="N605" s="2"/>
      <c r="O605" s="2"/>
      <c r="P605" s="2"/>
      <c r="Q605" s="2"/>
    </row>
    <row x14ac:dyDescent="0.25" r="606" customHeight="1" ht="17.25">
      <c r="A606" s="1" t="s">
        <v>4333</v>
      </c>
      <c r="B606" s="1" t="s">
        <v>1348</v>
      </c>
      <c r="C606" s="1" t="s">
        <v>3576</v>
      </c>
      <c r="D606" s="1" t="s">
        <v>20</v>
      </c>
      <c r="E606" s="1" t="s">
        <v>4250</v>
      </c>
      <c r="F606" s="1" t="s">
        <v>4251</v>
      </c>
      <c r="G606" s="1" t="s">
        <v>4252</v>
      </c>
      <c r="H606" s="2"/>
      <c r="I606" s="5">
        <f>XLOOKUP(K606, pharmaceutical_index!B:B, pharmaceutical_index!A:A, "Not Found")</f>
      </c>
      <c r="J606" s="1" t="s">
        <v>1348</v>
      </c>
      <c r="K606" s="1" t="s">
        <v>1348</v>
      </c>
      <c r="L606" s="1" t="s">
        <v>20</v>
      </c>
      <c r="M606" s="1" t="s">
        <v>1348</v>
      </c>
      <c r="N606" s="2"/>
      <c r="O606" s="2"/>
      <c r="P606" s="2"/>
      <c r="Q606" s="2"/>
    </row>
    <row x14ac:dyDescent="0.25" r="607" customHeight="1" ht="17.25">
      <c r="A607" s="1" t="s">
        <v>4334</v>
      </c>
      <c r="B607" s="1" t="s">
        <v>1350</v>
      </c>
      <c r="C607" s="1" t="s">
        <v>3576</v>
      </c>
      <c r="D607" s="1" t="s">
        <v>20</v>
      </c>
      <c r="E607" s="1" t="s">
        <v>4250</v>
      </c>
      <c r="F607" s="1" t="s">
        <v>4251</v>
      </c>
      <c r="G607" s="1" t="s">
        <v>4252</v>
      </c>
      <c r="H607" s="2"/>
      <c r="I607" s="5">
        <f>XLOOKUP(K607, pharmaceutical_index!B:B, pharmaceutical_index!A:A, "Not Found")</f>
      </c>
      <c r="J607" s="1" t="s">
        <v>1350</v>
      </c>
      <c r="K607" s="1" t="s">
        <v>1350</v>
      </c>
      <c r="L607" s="1" t="s">
        <v>20</v>
      </c>
      <c r="M607" s="1" t="s">
        <v>1350</v>
      </c>
      <c r="N607" s="2"/>
      <c r="O607" s="2"/>
      <c r="P607" s="2"/>
      <c r="Q607" s="2"/>
    </row>
    <row x14ac:dyDescent="0.25" r="608" customHeight="1" ht="17.25">
      <c r="A608" s="1" t="s">
        <v>4335</v>
      </c>
      <c r="B608" s="1" t="s">
        <v>1352</v>
      </c>
      <c r="C608" s="1" t="s">
        <v>3576</v>
      </c>
      <c r="D608" s="1" t="s">
        <v>20</v>
      </c>
      <c r="E608" s="1" t="s">
        <v>4250</v>
      </c>
      <c r="F608" s="1" t="s">
        <v>4251</v>
      </c>
      <c r="G608" s="1" t="s">
        <v>4252</v>
      </c>
      <c r="H608" s="2"/>
      <c r="I608" s="5">
        <f>XLOOKUP(K608, pharmaceutical_index!B:B, pharmaceutical_index!A:A, "Not Found")</f>
      </c>
      <c r="J608" s="1" t="s">
        <v>1352</v>
      </c>
      <c r="K608" s="1" t="s">
        <v>1352</v>
      </c>
      <c r="L608" s="1" t="s">
        <v>20</v>
      </c>
      <c r="M608" s="1" t="s">
        <v>1352</v>
      </c>
      <c r="N608" s="2"/>
      <c r="O608" s="2"/>
      <c r="P608" s="2"/>
      <c r="Q608" s="2"/>
    </row>
    <row x14ac:dyDescent="0.25" r="609" customHeight="1" ht="17.25">
      <c r="A609" s="1" t="s">
        <v>4336</v>
      </c>
      <c r="B609" s="1" t="s">
        <v>1354</v>
      </c>
      <c r="C609" s="1" t="s">
        <v>3576</v>
      </c>
      <c r="D609" s="1" t="s">
        <v>20</v>
      </c>
      <c r="E609" s="1" t="s">
        <v>4250</v>
      </c>
      <c r="F609" s="1" t="s">
        <v>4251</v>
      </c>
      <c r="G609" s="1" t="s">
        <v>4252</v>
      </c>
      <c r="H609" s="2"/>
      <c r="I609" s="5">
        <f>XLOOKUP(K609, pharmaceutical_index!B:B, pharmaceutical_index!A:A, "Not Found")</f>
      </c>
      <c r="J609" s="1" t="s">
        <v>1354</v>
      </c>
      <c r="K609" s="1" t="s">
        <v>1354</v>
      </c>
      <c r="L609" s="1" t="s">
        <v>20</v>
      </c>
      <c r="M609" s="1" t="s">
        <v>1354</v>
      </c>
      <c r="N609" s="2"/>
      <c r="O609" s="2"/>
      <c r="P609" s="2"/>
      <c r="Q609" s="2"/>
    </row>
    <row x14ac:dyDescent="0.25" r="610" customHeight="1" ht="17.25">
      <c r="A610" s="1" t="s">
        <v>4337</v>
      </c>
      <c r="B610" s="1" t="s">
        <v>1356</v>
      </c>
      <c r="C610" s="1" t="s">
        <v>3576</v>
      </c>
      <c r="D610" s="1" t="s">
        <v>20</v>
      </c>
      <c r="E610" s="1" t="s">
        <v>4250</v>
      </c>
      <c r="F610" s="1" t="s">
        <v>4251</v>
      </c>
      <c r="G610" s="1" t="s">
        <v>4252</v>
      </c>
      <c r="H610" s="2"/>
      <c r="I610" s="5">
        <f>XLOOKUP(K610, pharmaceutical_index!B:B, pharmaceutical_index!A:A, "Not Found")</f>
      </c>
      <c r="J610" s="1" t="s">
        <v>1356</v>
      </c>
      <c r="K610" s="1" t="s">
        <v>1356</v>
      </c>
      <c r="L610" s="1" t="s">
        <v>20</v>
      </c>
      <c r="M610" s="1" t="s">
        <v>1356</v>
      </c>
      <c r="N610" s="2"/>
      <c r="O610" s="2"/>
      <c r="P610" s="2"/>
      <c r="Q610" s="2"/>
    </row>
    <row x14ac:dyDescent="0.25" r="611" customHeight="1" ht="17.25">
      <c r="A611" s="1" t="s">
        <v>4338</v>
      </c>
      <c r="B611" s="1" t="s">
        <v>1358</v>
      </c>
      <c r="C611" s="1" t="s">
        <v>3576</v>
      </c>
      <c r="D611" s="1" t="s">
        <v>20</v>
      </c>
      <c r="E611" s="1" t="s">
        <v>4250</v>
      </c>
      <c r="F611" s="1" t="s">
        <v>4251</v>
      </c>
      <c r="G611" s="1" t="s">
        <v>4252</v>
      </c>
      <c r="H611" s="2"/>
      <c r="I611" s="5">
        <f>XLOOKUP(K611, pharmaceutical_index!B:B, pharmaceutical_index!A:A, "Not Found")</f>
      </c>
      <c r="J611" s="1" t="s">
        <v>1358</v>
      </c>
      <c r="K611" s="1" t="s">
        <v>1358</v>
      </c>
      <c r="L611" s="1" t="s">
        <v>20</v>
      </c>
      <c r="M611" s="1" t="s">
        <v>1358</v>
      </c>
      <c r="N611" s="2"/>
      <c r="O611" s="2"/>
      <c r="P611" s="2"/>
      <c r="Q611" s="2"/>
    </row>
    <row x14ac:dyDescent="0.25" r="612" customHeight="1" ht="17.25">
      <c r="A612" s="1" t="s">
        <v>4339</v>
      </c>
      <c r="B612" s="1" t="s">
        <v>1360</v>
      </c>
      <c r="C612" s="1" t="s">
        <v>3576</v>
      </c>
      <c r="D612" s="1" t="s">
        <v>20</v>
      </c>
      <c r="E612" s="1" t="s">
        <v>4250</v>
      </c>
      <c r="F612" s="1" t="s">
        <v>4251</v>
      </c>
      <c r="G612" s="1" t="s">
        <v>4252</v>
      </c>
      <c r="H612" s="2"/>
      <c r="I612" s="5">
        <f>XLOOKUP(K612, pharmaceutical_index!B:B, pharmaceutical_index!A:A, "Not Found")</f>
      </c>
      <c r="J612" s="1" t="s">
        <v>1360</v>
      </c>
      <c r="K612" s="1" t="s">
        <v>1360</v>
      </c>
      <c r="L612" s="1" t="s">
        <v>20</v>
      </c>
      <c r="M612" s="1" t="s">
        <v>1360</v>
      </c>
      <c r="N612" s="2"/>
      <c r="O612" s="2"/>
      <c r="P612" s="2"/>
      <c r="Q612" s="2"/>
    </row>
    <row x14ac:dyDescent="0.25" r="613" customHeight="1" ht="17.25">
      <c r="A613" s="1" t="s">
        <v>4340</v>
      </c>
      <c r="B613" s="1" t="s">
        <v>1362</v>
      </c>
      <c r="C613" s="1" t="s">
        <v>3576</v>
      </c>
      <c r="D613" s="1" t="s">
        <v>20</v>
      </c>
      <c r="E613" s="1" t="s">
        <v>4250</v>
      </c>
      <c r="F613" s="1" t="s">
        <v>4251</v>
      </c>
      <c r="G613" s="1" t="s">
        <v>4252</v>
      </c>
      <c r="H613" s="2"/>
      <c r="I613" s="5">
        <f>XLOOKUP(K613, pharmaceutical_index!B:B, pharmaceutical_index!A:A, "Not Found")</f>
      </c>
      <c r="J613" s="1" t="s">
        <v>1362</v>
      </c>
      <c r="K613" s="1" t="s">
        <v>1362</v>
      </c>
      <c r="L613" s="1" t="s">
        <v>20</v>
      </c>
      <c r="M613" s="1" t="s">
        <v>1362</v>
      </c>
      <c r="N613" s="2"/>
      <c r="O613" s="2"/>
      <c r="P613" s="2"/>
      <c r="Q613" s="2"/>
    </row>
    <row x14ac:dyDescent="0.25" r="614" customHeight="1" ht="17.25">
      <c r="A614" s="1" t="s">
        <v>4341</v>
      </c>
      <c r="B614" s="1" t="s">
        <v>1364</v>
      </c>
      <c r="C614" s="1" t="s">
        <v>3576</v>
      </c>
      <c r="D614" s="1" t="s">
        <v>20</v>
      </c>
      <c r="E614" s="1" t="s">
        <v>4250</v>
      </c>
      <c r="F614" s="1" t="s">
        <v>4251</v>
      </c>
      <c r="G614" s="1" t="s">
        <v>4252</v>
      </c>
      <c r="H614" s="2"/>
      <c r="I614" s="5">
        <f>XLOOKUP(K614, pharmaceutical_index!B:B, pharmaceutical_index!A:A, "Not Found")</f>
      </c>
      <c r="J614" s="1" t="s">
        <v>1364</v>
      </c>
      <c r="K614" s="1" t="s">
        <v>1364</v>
      </c>
      <c r="L614" s="1" t="s">
        <v>20</v>
      </c>
      <c r="M614" s="1" t="s">
        <v>1364</v>
      </c>
      <c r="N614" s="2"/>
      <c r="O614" s="2"/>
      <c r="P614" s="2"/>
      <c r="Q614" s="2"/>
    </row>
    <row x14ac:dyDescent="0.25" r="615" customHeight="1" ht="17.25">
      <c r="A615" s="1" t="s">
        <v>4342</v>
      </c>
      <c r="B615" s="1" t="s">
        <v>1366</v>
      </c>
      <c r="C615" s="1" t="s">
        <v>3576</v>
      </c>
      <c r="D615" s="1" t="s">
        <v>20</v>
      </c>
      <c r="E615" s="1" t="s">
        <v>4250</v>
      </c>
      <c r="F615" s="1" t="s">
        <v>4251</v>
      </c>
      <c r="G615" s="1" t="s">
        <v>4252</v>
      </c>
      <c r="H615" s="2"/>
      <c r="I615" s="5">
        <f>XLOOKUP(K615, pharmaceutical_index!B:B, pharmaceutical_index!A:A, "Not Found")</f>
      </c>
      <c r="J615" s="1" t="s">
        <v>1366</v>
      </c>
      <c r="K615" s="1" t="s">
        <v>1366</v>
      </c>
      <c r="L615" s="1" t="s">
        <v>20</v>
      </c>
      <c r="M615" s="1" t="s">
        <v>1366</v>
      </c>
      <c r="N615" s="2"/>
      <c r="O615" s="2"/>
      <c r="P615" s="2"/>
      <c r="Q615" s="2"/>
    </row>
    <row x14ac:dyDescent="0.25" r="616" customHeight="1" ht="17.25">
      <c r="A616" s="1" t="s">
        <v>4343</v>
      </c>
      <c r="B616" s="1" t="s">
        <v>1368</v>
      </c>
      <c r="C616" s="1" t="s">
        <v>3576</v>
      </c>
      <c r="D616" s="1" t="s">
        <v>20</v>
      </c>
      <c r="E616" s="1" t="s">
        <v>4250</v>
      </c>
      <c r="F616" s="1" t="s">
        <v>4251</v>
      </c>
      <c r="G616" s="1" t="s">
        <v>4252</v>
      </c>
      <c r="H616" s="2"/>
      <c r="I616" s="5">
        <f>XLOOKUP(K616, pharmaceutical_index!B:B, pharmaceutical_index!A:A, "Not Found")</f>
      </c>
      <c r="J616" s="1" t="s">
        <v>1368</v>
      </c>
      <c r="K616" s="1" t="s">
        <v>1368</v>
      </c>
      <c r="L616" s="1" t="s">
        <v>20</v>
      </c>
      <c r="M616" s="1" t="s">
        <v>1368</v>
      </c>
      <c r="N616" s="2"/>
      <c r="O616" s="2"/>
      <c r="P616" s="2"/>
      <c r="Q616" s="2"/>
    </row>
    <row x14ac:dyDescent="0.25" r="617" customHeight="1" ht="17.25">
      <c r="A617" s="1" t="s">
        <v>4344</v>
      </c>
      <c r="B617" s="1" t="s">
        <v>1370</v>
      </c>
      <c r="C617" s="1" t="s">
        <v>3576</v>
      </c>
      <c r="D617" s="1" t="s">
        <v>20</v>
      </c>
      <c r="E617" s="1" t="s">
        <v>4250</v>
      </c>
      <c r="F617" s="1" t="s">
        <v>4251</v>
      </c>
      <c r="G617" s="1" t="s">
        <v>4252</v>
      </c>
      <c r="H617" s="2"/>
      <c r="I617" s="5">
        <f>XLOOKUP(K617, pharmaceutical_index!B:B, pharmaceutical_index!A:A, "Not Found")</f>
      </c>
      <c r="J617" s="1" t="s">
        <v>1370</v>
      </c>
      <c r="K617" s="1" t="s">
        <v>1370</v>
      </c>
      <c r="L617" s="1" t="s">
        <v>20</v>
      </c>
      <c r="M617" s="1" t="s">
        <v>1370</v>
      </c>
      <c r="N617" s="2"/>
      <c r="O617" s="2"/>
      <c r="P617" s="2"/>
      <c r="Q617" s="2"/>
    </row>
    <row x14ac:dyDescent="0.25" r="618" customHeight="1" ht="17.25">
      <c r="A618" s="1" t="s">
        <v>4345</v>
      </c>
      <c r="B618" s="1" t="s">
        <v>1372</v>
      </c>
      <c r="C618" s="1" t="s">
        <v>3576</v>
      </c>
      <c r="D618" s="1" t="s">
        <v>20</v>
      </c>
      <c r="E618" s="1" t="s">
        <v>4250</v>
      </c>
      <c r="F618" s="1" t="s">
        <v>4251</v>
      </c>
      <c r="G618" s="1" t="s">
        <v>4252</v>
      </c>
      <c r="H618" s="2"/>
      <c r="I618" s="5">
        <f>XLOOKUP(K618, pharmaceutical_index!B:B, pharmaceutical_index!A:A, "Not Found")</f>
      </c>
      <c r="J618" s="1" t="s">
        <v>1372</v>
      </c>
      <c r="K618" s="1" t="s">
        <v>1372</v>
      </c>
      <c r="L618" s="1" t="s">
        <v>20</v>
      </c>
      <c r="M618" s="1" t="s">
        <v>1372</v>
      </c>
      <c r="N618" s="2"/>
      <c r="O618" s="2"/>
      <c r="P618" s="2"/>
      <c r="Q618" s="2"/>
    </row>
    <row x14ac:dyDescent="0.25" r="619" customHeight="1" ht="17.25">
      <c r="A619" s="1" t="s">
        <v>4346</v>
      </c>
      <c r="B619" s="1" t="s">
        <v>1374</v>
      </c>
      <c r="C619" s="1" t="s">
        <v>3576</v>
      </c>
      <c r="D619" s="1" t="s">
        <v>20</v>
      </c>
      <c r="E619" s="1" t="s">
        <v>4250</v>
      </c>
      <c r="F619" s="1" t="s">
        <v>4251</v>
      </c>
      <c r="G619" s="1" t="s">
        <v>4252</v>
      </c>
      <c r="H619" s="2"/>
      <c r="I619" s="5">
        <f>XLOOKUP(K619, pharmaceutical_index!B:B, pharmaceutical_index!A:A, "Not Found")</f>
      </c>
      <c r="J619" s="1" t="s">
        <v>1374</v>
      </c>
      <c r="K619" s="1" t="s">
        <v>1374</v>
      </c>
      <c r="L619" s="1" t="s">
        <v>20</v>
      </c>
      <c r="M619" s="1" t="s">
        <v>1374</v>
      </c>
      <c r="N619" s="2"/>
      <c r="O619" s="2"/>
      <c r="P619" s="2"/>
      <c r="Q619" s="2"/>
    </row>
    <row x14ac:dyDescent="0.25" r="620" customHeight="1" ht="17.25">
      <c r="A620" s="1" t="s">
        <v>4347</v>
      </c>
      <c r="B620" s="1" t="s">
        <v>1376</v>
      </c>
      <c r="C620" s="1" t="s">
        <v>3576</v>
      </c>
      <c r="D620" s="1" t="s">
        <v>20</v>
      </c>
      <c r="E620" s="1" t="s">
        <v>4250</v>
      </c>
      <c r="F620" s="1" t="s">
        <v>4251</v>
      </c>
      <c r="G620" s="1" t="s">
        <v>4252</v>
      </c>
      <c r="H620" s="2"/>
      <c r="I620" s="5">
        <f>XLOOKUP(K620, pharmaceutical_index!B:B, pharmaceutical_index!A:A, "Not Found")</f>
      </c>
      <c r="J620" s="1" t="s">
        <v>1376</v>
      </c>
      <c r="K620" s="1" t="s">
        <v>1376</v>
      </c>
      <c r="L620" s="1" t="s">
        <v>20</v>
      </c>
      <c r="M620" s="1" t="s">
        <v>1376</v>
      </c>
      <c r="N620" s="2"/>
      <c r="O620" s="2"/>
      <c r="P620" s="2"/>
      <c r="Q620" s="2"/>
    </row>
    <row x14ac:dyDescent="0.25" r="621" customHeight="1" ht="17.25">
      <c r="A621" s="1" t="s">
        <v>4348</v>
      </c>
      <c r="B621" s="1" t="s">
        <v>1378</v>
      </c>
      <c r="C621" s="1" t="s">
        <v>3576</v>
      </c>
      <c r="D621" s="1" t="s">
        <v>20</v>
      </c>
      <c r="E621" s="1" t="s">
        <v>4250</v>
      </c>
      <c r="F621" s="1" t="s">
        <v>4251</v>
      </c>
      <c r="G621" s="1" t="s">
        <v>4252</v>
      </c>
      <c r="H621" s="2"/>
      <c r="I621" s="5">
        <f>XLOOKUP(K621, pharmaceutical_index!B:B, pharmaceutical_index!A:A, "Not Found")</f>
      </c>
      <c r="J621" s="1" t="s">
        <v>1378</v>
      </c>
      <c r="K621" s="1" t="s">
        <v>1378</v>
      </c>
      <c r="L621" s="1" t="s">
        <v>20</v>
      </c>
      <c r="M621" s="1" t="s">
        <v>1378</v>
      </c>
      <c r="N621" s="2"/>
      <c r="O621" s="2"/>
      <c r="P621" s="2"/>
      <c r="Q621" s="2"/>
    </row>
    <row x14ac:dyDescent="0.25" r="622" customHeight="1" ht="17.25">
      <c r="A622" s="1" t="s">
        <v>4349</v>
      </c>
      <c r="B622" s="1" t="s">
        <v>1380</v>
      </c>
      <c r="C622" s="1" t="s">
        <v>3576</v>
      </c>
      <c r="D622" s="1" t="s">
        <v>20</v>
      </c>
      <c r="E622" s="1" t="s">
        <v>4250</v>
      </c>
      <c r="F622" s="1" t="s">
        <v>4251</v>
      </c>
      <c r="G622" s="1" t="s">
        <v>4252</v>
      </c>
      <c r="H622" s="2"/>
      <c r="I622" s="5">
        <f>XLOOKUP(K622, pharmaceutical_index!B:B, pharmaceutical_index!A:A, "Not Found")</f>
      </c>
      <c r="J622" s="1" t="s">
        <v>1380</v>
      </c>
      <c r="K622" s="1" t="s">
        <v>1380</v>
      </c>
      <c r="L622" s="1" t="s">
        <v>20</v>
      </c>
      <c r="M622" s="1" t="s">
        <v>1380</v>
      </c>
      <c r="N622" s="2"/>
      <c r="O622" s="2"/>
      <c r="P622" s="2"/>
      <c r="Q622" s="2"/>
    </row>
    <row x14ac:dyDescent="0.25" r="623" customHeight="1" ht="17.25">
      <c r="A623" s="1" t="s">
        <v>4350</v>
      </c>
      <c r="B623" s="1" t="s">
        <v>1382</v>
      </c>
      <c r="C623" s="1" t="s">
        <v>3576</v>
      </c>
      <c r="D623" s="1" t="s">
        <v>20</v>
      </c>
      <c r="E623" s="1" t="s">
        <v>4250</v>
      </c>
      <c r="F623" s="1" t="s">
        <v>4251</v>
      </c>
      <c r="G623" s="1" t="s">
        <v>4252</v>
      </c>
      <c r="H623" s="2"/>
      <c r="I623" s="5">
        <f>XLOOKUP(K623, pharmaceutical_index!B:B, pharmaceutical_index!A:A, "Not Found")</f>
      </c>
      <c r="J623" s="1" t="s">
        <v>1382</v>
      </c>
      <c r="K623" s="1" t="s">
        <v>1382</v>
      </c>
      <c r="L623" s="1" t="s">
        <v>20</v>
      </c>
      <c r="M623" s="1" t="s">
        <v>1382</v>
      </c>
      <c r="N623" s="2"/>
      <c r="O623" s="2"/>
      <c r="P623" s="2"/>
      <c r="Q623" s="2"/>
    </row>
    <row x14ac:dyDescent="0.25" r="624" customHeight="1" ht="17.25">
      <c r="A624" s="1" t="s">
        <v>4351</v>
      </c>
      <c r="B624" s="1" t="s">
        <v>1384</v>
      </c>
      <c r="C624" s="1" t="s">
        <v>3576</v>
      </c>
      <c r="D624" s="1" t="s">
        <v>20</v>
      </c>
      <c r="E624" s="1" t="s">
        <v>4250</v>
      </c>
      <c r="F624" s="1" t="s">
        <v>4251</v>
      </c>
      <c r="G624" s="1" t="s">
        <v>4252</v>
      </c>
      <c r="H624" s="2"/>
      <c r="I624" s="5">
        <f>XLOOKUP(K624, pharmaceutical_index!B:B, pharmaceutical_index!A:A, "Not Found")</f>
      </c>
      <c r="J624" s="1" t="s">
        <v>1384</v>
      </c>
      <c r="K624" s="1" t="s">
        <v>1384</v>
      </c>
      <c r="L624" s="1" t="s">
        <v>20</v>
      </c>
      <c r="M624" s="1" t="s">
        <v>1384</v>
      </c>
      <c r="N624" s="2"/>
      <c r="O624" s="2"/>
      <c r="P624" s="2"/>
      <c r="Q624" s="2"/>
    </row>
    <row x14ac:dyDescent="0.25" r="625" customHeight="1" ht="17.25">
      <c r="A625" s="1" t="s">
        <v>4352</v>
      </c>
      <c r="B625" s="1" t="s">
        <v>1386</v>
      </c>
      <c r="C625" s="1" t="s">
        <v>3576</v>
      </c>
      <c r="D625" s="1" t="s">
        <v>20</v>
      </c>
      <c r="E625" s="1" t="s">
        <v>4250</v>
      </c>
      <c r="F625" s="1" t="s">
        <v>4251</v>
      </c>
      <c r="G625" s="1" t="s">
        <v>4252</v>
      </c>
      <c r="H625" s="2"/>
      <c r="I625" s="5">
        <f>XLOOKUP(K625, pharmaceutical_index!B:B, pharmaceutical_index!A:A, "Not Found")</f>
      </c>
      <c r="J625" s="1" t="s">
        <v>1386</v>
      </c>
      <c r="K625" s="1" t="s">
        <v>1386</v>
      </c>
      <c r="L625" s="1" t="s">
        <v>20</v>
      </c>
      <c r="M625" s="1" t="s">
        <v>1386</v>
      </c>
      <c r="N625" s="2"/>
      <c r="O625" s="2"/>
      <c r="P625" s="2"/>
      <c r="Q625" s="2"/>
    </row>
    <row x14ac:dyDescent="0.25" r="626" customHeight="1" ht="17.25">
      <c r="A626" s="1" t="s">
        <v>4353</v>
      </c>
      <c r="B626" s="1" t="s">
        <v>1388</v>
      </c>
      <c r="C626" s="1" t="s">
        <v>3576</v>
      </c>
      <c r="D626" s="1" t="s">
        <v>20</v>
      </c>
      <c r="E626" s="1" t="s">
        <v>4250</v>
      </c>
      <c r="F626" s="1" t="s">
        <v>4251</v>
      </c>
      <c r="G626" s="1" t="s">
        <v>4252</v>
      </c>
      <c r="H626" s="2"/>
      <c r="I626" s="5">
        <f>XLOOKUP(K626, pharmaceutical_index!B:B, pharmaceutical_index!A:A, "Not Found")</f>
      </c>
      <c r="J626" s="1" t="s">
        <v>1388</v>
      </c>
      <c r="K626" s="1" t="s">
        <v>1388</v>
      </c>
      <c r="L626" s="1" t="s">
        <v>20</v>
      </c>
      <c r="M626" s="1" t="s">
        <v>1388</v>
      </c>
      <c r="N626" s="2"/>
      <c r="O626" s="2"/>
      <c r="P626" s="2"/>
      <c r="Q626" s="2"/>
    </row>
    <row x14ac:dyDescent="0.25" r="627" customHeight="1" ht="17.25">
      <c r="A627" s="1" t="s">
        <v>4354</v>
      </c>
      <c r="B627" s="1" t="s">
        <v>1390</v>
      </c>
      <c r="C627" s="1" t="s">
        <v>3576</v>
      </c>
      <c r="D627" s="1" t="s">
        <v>20</v>
      </c>
      <c r="E627" s="1" t="s">
        <v>4250</v>
      </c>
      <c r="F627" s="1" t="s">
        <v>4251</v>
      </c>
      <c r="G627" s="1" t="s">
        <v>4252</v>
      </c>
      <c r="H627" s="2"/>
      <c r="I627" s="5">
        <f>XLOOKUP(K627, pharmaceutical_index!B:B, pharmaceutical_index!A:A, "Not Found")</f>
      </c>
      <c r="J627" s="1" t="s">
        <v>1390</v>
      </c>
      <c r="K627" s="1" t="s">
        <v>1390</v>
      </c>
      <c r="L627" s="1" t="s">
        <v>20</v>
      </c>
      <c r="M627" s="1" t="s">
        <v>1390</v>
      </c>
      <c r="N627" s="2"/>
      <c r="O627" s="2"/>
      <c r="P627" s="2"/>
      <c r="Q627" s="2"/>
    </row>
    <row x14ac:dyDescent="0.25" r="628" customHeight="1" ht="17.25">
      <c r="A628" s="1" t="s">
        <v>4355</v>
      </c>
      <c r="B628" s="1" t="s">
        <v>1392</v>
      </c>
      <c r="C628" s="1" t="s">
        <v>3576</v>
      </c>
      <c r="D628" s="1" t="s">
        <v>20</v>
      </c>
      <c r="E628" s="1" t="s">
        <v>4250</v>
      </c>
      <c r="F628" s="1" t="s">
        <v>4251</v>
      </c>
      <c r="G628" s="1" t="s">
        <v>4252</v>
      </c>
      <c r="H628" s="2"/>
      <c r="I628" s="5">
        <f>XLOOKUP(K628, pharmaceutical_index!B:B, pharmaceutical_index!A:A, "Not Found")</f>
      </c>
      <c r="J628" s="1" t="s">
        <v>1392</v>
      </c>
      <c r="K628" s="1" t="s">
        <v>1392</v>
      </c>
      <c r="L628" s="1" t="s">
        <v>20</v>
      </c>
      <c r="M628" s="1" t="s">
        <v>1392</v>
      </c>
      <c r="N628" s="2"/>
      <c r="O628" s="2"/>
      <c r="P628" s="2"/>
      <c r="Q628" s="2"/>
    </row>
    <row x14ac:dyDescent="0.25" r="629" customHeight="1" ht="17.25">
      <c r="A629" s="1" t="s">
        <v>4356</v>
      </c>
      <c r="B629" s="1" t="s">
        <v>1394</v>
      </c>
      <c r="C629" s="1" t="s">
        <v>3576</v>
      </c>
      <c r="D629" s="1" t="s">
        <v>20</v>
      </c>
      <c r="E629" s="1" t="s">
        <v>4250</v>
      </c>
      <c r="F629" s="1" t="s">
        <v>4251</v>
      </c>
      <c r="G629" s="1" t="s">
        <v>4252</v>
      </c>
      <c r="H629" s="2"/>
      <c r="I629" s="5">
        <f>XLOOKUP(K629, pharmaceutical_index!B:B, pharmaceutical_index!A:A, "Not Found")</f>
      </c>
      <c r="J629" s="1" t="s">
        <v>1394</v>
      </c>
      <c r="K629" s="1" t="s">
        <v>1394</v>
      </c>
      <c r="L629" s="1" t="s">
        <v>20</v>
      </c>
      <c r="M629" s="1" t="s">
        <v>1394</v>
      </c>
      <c r="N629" s="2"/>
      <c r="O629" s="2"/>
      <c r="P629" s="2"/>
      <c r="Q629" s="2"/>
    </row>
    <row x14ac:dyDescent="0.25" r="630" customHeight="1" ht="17.25">
      <c r="A630" s="1" t="s">
        <v>4357</v>
      </c>
      <c r="B630" s="1" t="s">
        <v>1396</v>
      </c>
      <c r="C630" s="1" t="s">
        <v>3576</v>
      </c>
      <c r="D630" s="1" t="s">
        <v>20</v>
      </c>
      <c r="E630" s="1" t="s">
        <v>4250</v>
      </c>
      <c r="F630" s="1" t="s">
        <v>4251</v>
      </c>
      <c r="G630" s="1" t="s">
        <v>4252</v>
      </c>
      <c r="H630" s="2"/>
      <c r="I630" s="5">
        <f>XLOOKUP(K630, pharmaceutical_index!B:B, pharmaceutical_index!A:A, "Not Found")</f>
      </c>
      <c r="J630" s="1" t="s">
        <v>1396</v>
      </c>
      <c r="K630" s="1" t="s">
        <v>1396</v>
      </c>
      <c r="L630" s="1" t="s">
        <v>20</v>
      </c>
      <c r="M630" s="1" t="s">
        <v>1396</v>
      </c>
      <c r="N630" s="2"/>
      <c r="O630" s="2"/>
      <c r="P630" s="2"/>
      <c r="Q630" s="2"/>
    </row>
    <row x14ac:dyDescent="0.25" r="631" customHeight="1" ht="17.25">
      <c r="A631" s="1" t="s">
        <v>4358</v>
      </c>
      <c r="B631" s="1" t="s">
        <v>1398</v>
      </c>
      <c r="C631" s="1" t="s">
        <v>3576</v>
      </c>
      <c r="D631" s="1" t="s">
        <v>20</v>
      </c>
      <c r="E631" s="1" t="s">
        <v>4250</v>
      </c>
      <c r="F631" s="1" t="s">
        <v>4251</v>
      </c>
      <c r="G631" s="1" t="s">
        <v>4252</v>
      </c>
      <c r="H631" s="2"/>
      <c r="I631" s="5">
        <f>XLOOKUP(K631, pharmaceutical_index!B:B, pharmaceutical_index!A:A, "Not Found")</f>
      </c>
      <c r="J631" s="1" t="s">
        <v>1398</v>
      </c>
      <c r="K631" s="1" t="s">
        <v>1398</v>
      </c>
      <c r="L631" s="1" t="s">
        <v>20</v>
      </c>
      <c r="M631" s="1" t="s">
        <v>1398</v>
      </c>
      <c r="N631" s="2"/>
      <c r="O631" s="2"/>
      <c r="P631" s="2"/>
      <c r="Q631" s="2"/>
    </row>
    <row x14ac:dyDescent="0.25" r="632" customHeight="1" ht="17.25">
      <c r="A632" s="1" t="s">
        <v>4359</v>
      </c>
      <c r="B632" s="1" t="s">
        <v>1400</v>
      </c>
      <c r="C632" s="1" t="s">
        <v>3576</v>
      </c>
      <c r="D632" s="1" t="s">
        <v>20</v>
      </c>
      <c r="E632" s="1" t="s">
        <v>4250</v>
      </c>
      <c r="F632" s="1" t="s">
        <v>4251</v>
      </c>
      <c r="G632" s="1" t="s">
        <v>4252</v>
      </c>
      <c r="H632" s="2"/>
      <c r="I632" s="5">
        <f>XLOOKUP(K632, pharmaceutical_index!B:B, pharmaceutical_index!A:A, "Not Found")</f>
      </c>
      <c r="J632" s="1" t="s">
        <v>1400</v>
      </c>
      <c r="K632" s="1" t="s">
        <v>1400</v>
      </c>
      <c r="L632" s="1" t="s">
        <v>20</v>
      </c>
      <c r="M632" s="1" t="s">
        <v>1400</v>
      </c>
      <c r="N632" s="2"/>
      <c r="O632" s="2"/>
      <c r="P632" s="2"/>
      <c r="Q632" s="2"/>
    </row>
    <row x14ac:dyDescent="0.25" r="633" customHeight="1" ht="17.25">
      <c r="A633" s="1" t="s">
        <v>4360</v>
      </c>
      <c r="B633" s="1" t="s">
        <v>1402</v>
      </c>
      <c r="C633" s="1" t="s">
        <v>3576</v>
      </c>
      <c r="D633" s="1" t="s">
        <v>20</v>
      </c>
      <c r="E633" s="1" t="s">
        <v>4250</v>
      </c>
      <c r="F633" s="1" t="s">
        <v>4251</v>
      </c>
      <c r="G633" s="1" t="s">
        <v>4252</v>
      </c>
      <c r="H633" s="2"/>
      <c r="I633" s="5">
        <f>XLOOKUP(K633, pharmaceutical_index!B:B, pharmaceutical_index!A:A, "Not Found")</f>
      </c>
      <c r="J633" s="1" t="s">
        <v>1402</v>
      </c>
      <c r="K633" s="1" t="s">
        <v>1402</v>
      </c>
      <c r="L633" s="1" t="s">
        <v>20</v>
      </c>
      <c r="M633" s="1" t="s">
        <v>1402</v>
      </c>
      <c r="N633" s="2"/>
      <c r="O633" s="2"/>
      <c r="P633" s="2"/>
      <c r="Q633" s="2"/>
    </row>
    <row x14ac:dyDescent="0.25" r="634" customHeight="1" ht="17.25">
      <c r="A634" s="1" t="s">
        <v>4361</v>
      </c>
      <c r="B634" s="1" t="s">
        <v>1404</v>
      </c>
      <c r="C634" s="1" t="s">
        <v>3576</v>
      </c>
      <c r="D634" s="1" t="s">
        <v>20</v>
      </c>
      <c r="E634" s="1" t="s">
        <v>4250</v>
      </c>
      <c r="F634" s="1" t="s">
        <v>4251</v>
      </c>
      <c r="G634" s="1" t="s">
        <v>4252</v>
      </c>
      <c r="H634" s="2"/>
      <c r="I634" s="5">
        <f>XLOOKUP(K634, pharmaceutical_index!B:B, pharmaceutical_index!A:A, "Not Found")</f>
      </c>
      <c r="J634" s="1" t="s">
        <v>1404</v>
      </c>
      <c r="K634" s="1" t="s">
        <v>1404</v>
      </c>
      <c r="L634" s="1" t="s">
        <v>20</v>
      </c>
      <c r="M634" s="1" t="s">
        <v>1404</v>
      </c>
      <c r="N634" s="2"/>
      <c r="O634" s="2"/>
      <c r="P634" s="2"/>
      <c r="Q634" s="2"/>
    </row>
    <row x14ac:dyDescent="0.25" r="635" customHeight="1" ht="17.25">
      <c r="A635" s="1" t="s">
        <v>4362</v>
      </c>
      <c r="B635" s="1" t="s">
        <v>1406</v>
      </c>
      <c r="C635" s="1" t="s">
        <v>3576</v>
      </c>
      <c r="D635" s="1" t="s">
        <v>20</v>
      </c>
      <c r="E635" s="1" t="s">
        <v>4250</v>
      </c>
      <c r="F635" s="1" t="s">
        <v>4251</v>
      </c>
      <c r="G635" s="1" t="s">
        <v>4252</v>
      </c>
      <c r="H635" s="2"/>
      <c r="I635" s="5">
        <f>XLOOKUP(K635, pharmaceutical_index!B:B, pharmaceutical_index!A:A, "Not Found")</f>
      </c>
      <c r="J635" s="1" t="s">
        <v>1406</v>
      </c>
      <c r="K635" s="1" t="s">
        <v>1406</v>
      </c>
      <c r="L635" s="1" t="s">
        <v>20</v>
      </c>
      <c r="M635" s="1" t="s">
        <v>1406</v>
      </c>
      <c r="N635" s="2"/>
      <c r="O635" s="2"/>
      <c r="P635" s="2"/>
      <c r="Q635" s="2"/>
    </row>
    <row x14ac:dyDescent="0.25" r="636" customHeight="1" ht="17.25">
      <c r="A636" s="1" t="s">
        <v>4363</v>
      </c>
      <c r="B636" s="1" t="s">
        <v>1408</v>
      </c>
      <c r="C636" s="1" t="s">
        <v>3576</v>
      </c>
      <c r="D636" s="1" t="s">
        <v>20</v>
      </c>
      <c r="E636" s="1" t="s">
        <v>4250</v>
      </c>
      <c r="F636" s="1" t="s">
        <v>4251</v>
      </c>
      <c r="G636" s="1" t="s">
        <v>4252</v>
      </c>
      <c r="H636" s="2"/>
      <c r="I636" s="5">
        <f>XLOOKUP(K636, pharmaceutical_index!B:B, pharmaceutical_index!A:A, "Not Found")</f>
      </c>
      <c r="J636" s="1" t="s">
        <v>1408</v>
      </c>
      <c r="K636" s="1" t="s">
        <v>1408</v>
      </c>
      <c r="L636" s="1" t="s">
        <v>20</v>
      </c>
      <c r="M636" s="1" t="s">
        <v>1408</v>
      </c>
      <c r="N636" s="2"/>
      <c r="O636" s="2"/>
      <c r="P636" s="2"/>
      <c r="Q636" s="2"/>
    </row>
    <row x14ac:dyDescent="0.25" r="637" customHeight="1" ht="17.25">
      <c r="A637" s="1" t="s">
        <v>4364</v>
      </c>
      <c r="B637" s="1" t="s">
        <v>1410</v>
      </c>
      <c r="C637" s="1" t="s">
        <v>3576</v>
      </c>
      <c r="D637" s="1" t="s">
        <v>20</v>
      </c>
      <c r="E637" s="1" t="s">
        <v>4250</v>
      </c>
      <c r="F637" s="1" t="s">
        <v>4251</v>
      </c>
      <c r="G637" s="1" t="s">
        <v>4252</v>
      </c>
      <c r="H637" s="2"/>
      <c r="I637" s="5">
        <f>XLOOKUP(K637, pharmaceutical_index!B:B, pharmaceutical_index!A:A, "Not Found")</f>
      </c>
      <c r="J637" s="1" t="s">
        <v>1410</v>
      </c>
      <c r="K637" s="1" t="s">
        <v>1410</v>
      </c>
      <c r="L637" s="1" t="s">
        <v>20</v>
      </c>
      <c r="M637" s="1" t="s">
        <v>1410</v>
      </c>
      <c r="N637" s="2"/>
      <c r="O637" s="2"/>
      <c r="P637" s="2"/>
      <c r="Q637" s="2"/>
    </row>
    <row x14ac:dyDescent="0.25" r="638" customHeight="1" ht="17.25">
      <c r="A638" s="1" t="s">
        <v>4365</v>
      </c>
      <c r="B638" s="1" t="s">
        <v>1412</v>
      </c>
      <c r="C638" s="1" t="s">
        <v>3576</v>
      </c>
      <c r="D638" s="1" t="s">
        <v>20</v>
      </c>
      <c r="E638" s="1" t="s">
        <v>4250</v>
      </c>
      <c r="F638" s="1" t="s">
        <v>4251</v>
      </c>
      <c r="G638" s="1" t="s">
        <v>4252</v>
      </c>
      <c r="H638" s="2"/>
      <c r="I638" s="5">
        <f>XLOOKUP(K638, pharmaceutical_index!B:B, pharmaceutical_index!A:A, "Not Found")</f>
      </c>
      <c r="J638" s="1" t="s">
        <v>1412</v>
      </c>
      <c r="K638" s="1" t="s">
        <v>1412</v>
      </c>
      <c r="L638" s="1" t="s">
        <v>20</v>
      </c>
      <c r="M638" s="1" t="s">
        <v>1412</v>
      </c>
      <c r="N638" s="2"/>
      <c r="O638" s="2"/>
      <c r="P638" s="2"/>
      <c r="Q638" s="2"/>
    </row>
    <row x14ac:dyDescent="0.25" r="639" customHeight="1" ht="17.25">
      <c r="A639" s="1" t="s">
        <v>4366</v>
      </c>
      <c r="B639" s="1" t="s">
        <v>1414</v>
      </c>
      <c r="C639" s="1" t="s">
        <v>3576</v>
      </c>
      <c r="D639" s="1" t="s">
        <v>20</v>
      </c>
      <c r="E639" s="1" t="s">
        <v>4250</v>
      </c>
      <c r="F639" s="1" t="s">
        <v>4251</v>
      </c>
      <c r="G639" s="1" t="s">
        <v>4252</v>
      </c>
      <c r="H639" s="2"/>
      <c r="I639" s="5">
        <f>XLOOKUP(K639, pharmaceutical_index!B:B, pharmaceutical_index!A:A, "Not Found")</f>
      </c>
      <c r="J639" s="1" t="s">
        <v>1414</v>
      </c>
      <c r="K639" s="1" t="s">
        <v>1414</v>
      </c>
      <c r="L639" s="1" t="s">
        <v>20</v>
      </c>
      <c r="M639" s="1" t="s">
        <v>1414</v>
      </c>
      <c r="N639" s="2"/>
      <c r="O639" s="2"/>
      <c r="P639" s="2"/>
      <c r="Q639" s="2"/>
    </row>
    <row x14ac:dyDescent="0.25" r="640" customHeight="1" ht="17.25">
      <c r="A640" s="1" t="s">
        <v>4367</v>
      </c>
      <c r="B640" s="1" t="s">
        <v>1416</v>
      </c>
      <c r="C640" s="1" t="s">
        <v>3576</v>
      </c>
      <c r="D640" s="1" t="s">
        <v>20</v>
      </c>
      <c r="E640" s="1" t="s">
        <v>4250</v>
      </c>
      <c r="F640" s="1" t="s">
        <v>4251</v>
      </c>
      <c r="G640" s="1" t="s">
        <v>4252</v>
      </c>
      <c r="H640" s="2"/>
      <c r="I640" s="5">
        <f>XLOOKUP(K640, pharmaceutical_index!B:B, pharmaceutical_index!A:A, "Not Found")</f>
      </c>
      <c r="J640" s="1" t="s">
        <v>1416</v>
      </c>
      <c r="K640" s="1" t="s">
        <v>1416</v>
      </c>
      <c r="L640" s="1" t="s">
        <v>20</v>
      </c>
      <c r="M640" s="1" t="s">
        <v>1416</v>
      </c>
      <c r="N640" s="2"/>
      <c r="O640" s="2"/>
      <c r="P640" s="2"/>
      <c r="Q640" s="2"/>
    </row>
    <row x14ac:dyDescent="0.25" r="641" customHeight="1" ht="17.25">
      <c r="A641" s="1" t="s">
        <v>4368</v>
      </c>
      <c r="B641" s="1" t="s">
        <v>1418</v>
      </c>
      <c r="C641" s="1" t="s">
        <v>3576</v>
      </c>
      <c r="D641" s="1" t="s">
        <v>20</v>
      </c>
      <c r="E641" s="1" t="s">
        <v>4250</v>
      </c>
      <c r="F641" s="1" t="s">
        <v>4251</v>
      </c>
      <c r="G641" s="1" t="s">
        <v>4252</v>
      </c>
      <c r="H641" s="2"/>
      <c r="I641" s="5">
        <f>XLOOKUP(K641, pharmaceutical_index!B:B, pharmaceutical_index!A:A, "Not Found")</f>
      </c>
      <c r="J641" s="1" t="s">
        <v>1418</v>
      </c>
      <c r="K641" s="1" t="s">
        <v>1418</v>
      </c>
      <c r="L641" s="1" t="s">
        <v>20</v>
      </c>
      <c r="M641" s="1" t="s">
        <v>1418</v>
      </c>
      <c r="N641" s="2"/>
      <c r="O641" s="2"/>
      <c r="P641" s="2"/>
      <c r="Q641" s="2"/>
    </row>
    <row x14ac:dyDescent="0.25" r="642" customHeight="1" ht="17.25">
      <c r="A642" s="1" t="s">
        <v>4369</v>
      </c>
      <c r="B642" s="1" t="s">
        <v>1420</v>
      </c>
      <c r="C642" s="1" t="s">
        <v>3576</v>
      </c>
      <c r="D642" s="1" t="s">
        <v>20</v>
      </c>
      <c r="E642" s="1" t="s">
        <v>4250</v>
      </c>
      <c r="F642" s="1" t="s">
        <v>4251</v>
      </c>
      <c r="G642" s="1" t="s">
        <v>4252</v>
      </c>
      <c r="H642" s="2"/>
      <c r="I642" s="5">
        <f>XLOOKUP(K642, pharmaceutical_index!B:B, pharmaceutical_index!A:A, "Not Found")</f>
      </c>
      <c r="J642" s="1" t="s">
        <v>1420</v>
      </c>
      <c r="K642" s="1" t="s">
        <v>1420</v>
      </c>
      <c r="L642" s="1" t="s">
        <v>20</v>
      </c>
      <c r="M642" s="1" t="s">
        <v>1420</v>
      </c>
      <c r="N642" s="2"/>
      <c r="O642" s="2"/>
      <c r="P642" s="2"/>
      <c r="Q642" s="2"/>
    </row>
    <row x14ac:dyDescent="0.25" r="643" customHeight="1" ht="17.25">
      <c r="A643" s="1" t="s">
        <v>4370</v>
      </c>
      <c r="B643" s="1" t="s">
        <v>1422</v>
      </c>
      <c r="C643" s="1" t="s">
        <v>3576</v>
      </c>
      <c r="D643" s="1" t="s">
        <v>20</v>
      </c>
      <c r="E643" s="1" t="s">
        <v>4250</v>
      </c>
      <c r="F643" s="1" t="s">
        <v>4251</v>
      </c>
      <c r="G643" s="1" t="s">
        <v>4252</v>
      </c>
      <c r="H643" s="2"/>
      <c r="I643" s="5">
        <f>XLOOKUP(K643, pharmaceutical_index!B:B, pharmaceutical_index!A:A, "Not Found")</f>
      </c>
      <c r="J643" s="1" t="s">
        <v>1422</v>
      </c>
      <c r="K643" s="1" t="s">
        <v>1422</v>
      </c>
      <c r="L643" s="1" t="s">
        <v>20</v>
      </c>
      <c r="M643" s="1" t="s">
        <v>1422</v>
      </c>
      <c r="N643" s="2"/>
      <c r="O643" s="2"/>
      <c r="P643" s="2"/>
      <c r="Q643" s="2"/>
    </row>
    <row x14ac:dyDescent="0.25" r="644" customHeight="1" ht="17.25">
      <c r="A644" s="1" t="s">
        <v>4371</v>
      </c>
      <c r="B644" s="1" t="s">
        <v>1424</v>
      </c>
      <c r="C644" s="1" t="s">
        <v>3576</v>
      </c>
      <c r="D644" s="1" t="s">
        <v>20</v>
      </c>
      <c r="E644" s="1" t="s">
        <v>4250</v>
      </c>
      <c r="F644" s="1" t="s">
        <v>4251</v>
      </c>
      <c r="G644" s="1" t="s">
        <v>4252</v>
      </c>
      <c r="H644" s="2"/>
      <c r="I644" s="5">
        <f>XLOOKUP(K644, pharmaceutical_index!B:B, pharmaceutical_index!A:A, "Not Found")</f>
      </c>
      <c r="J644" s="1" t="s">
        <v>1424</v>
      </c>
      <c r="K644" s="1" t="s">
        <v>1424</v>
      </c>
      <c r="L644" s="1" t="s">
        <v>20</v>
      </c>
      <c r="M644" s="1" t="s">
        <v>1424</v>
      </c>
      <c r="N644" s="2"/>
      <c r="O644" s="2"/>
      <c r="P644" s="2"/>
      <c r="Q644" s="2"/>
    </row>
    <row x14ac:dyDescent="0.25" r="645" customHeight="1" ht="17.25">
      <c r="A645" s="1" t="s">
        <v>4372</v>
      </c>
      <c r="B645" s="1" t="s">
        <v>1426</v>
      </c>
      <c r="C645" s="1" t="s">
        <v>3576</v>
      </c>
      <c r="D645" s="1" t="s">
        <v>20</v>
      </c>
      <c r="E645" s="1" t="s">
        <v>4250</v>
      </c>
      <c r="F645" s="1" t="s">
        <v>4251</v>
      </c>
      <c r="G645" s="1" t="s">
        <v>4252</v>
      </c>
      <c r="H645" s="2"/>
      <c r="I645" s="5">
        <f>XLOOKUP(K645, pharmaceutical_index!B:B, pharmaceutical_index!A:A, "Not Found")</f>
      </c>
      <c r="J645" s="1" t="s">
        <v>1426</v>
      </c>
      <c r="K645" s="1" t="s">
        <v>1426</v>
      </c>
      <c r="L645" s="1" t="s">
        <v>20</v>
      </c>
      <c r="M645" s="1" t="s">
        <v>1426</v>
      </c>
      <c r="N645" s="2"/>
      <c r="O645" s="2"/>
      <c r="P645" s="2"/>
      <c r="Q645" s="2"/>
    </row>
    <row x14ac:dyDescent="0.25" r="646" customHeight="1" ht="17.25">
      <c r="A646" s="1" t="s">
        <v>4373</v>
      </c>
      <c r="B646" s="1" t="s">
        <v>1428</v>
      </c>
      <c r="C646" s="1" t="s">
        <v>3576</v>
      </c>
      <c r="D646" s="1" t="s">
        <v>20</v>
      </c>
      <c r="E646" s="1" t="s">
        <v>4250</v>
      </c>
      <c r="F646" s="1" t="s">
        <v>4251</v>
      </c>
      <c r="G646" s="1" t="s">
        <v>4252</v>
      </c>
      <c r="H646" s="2"/>
      <c r="I646" s="5">
        <f>XLOOKUP(K646, pharmaceutical_index!B:B, pharmaceutical_index!A:A, "Not Found")</f>
      </c>
      <c r="J646" s="1" t="s">
        <v>1428</v>
      </c>
      <c r="K646" s="1" t="s">
        <v>1428</v>
      </c>
      <c r="L646" s="1" t="s">
        <v>20</v>
      </c>
      <c r="M646" s="1" t="s">
        <v>1428</v>
      </c>
      <c r="N646" s="2"/>
      <c r="O646" s="2"/>
      <c r="P646" s="2"/>
      <c r="Q646" s="2"/>
    </row>
    <row x14ac:dyDescent="0.25" r="647" customHeight="1" ht="17.25">
      <c r="A647" s="1" t="s">
        <v>4374</v>
      </c>
      <c r="B647" s="1" t="s">
        <v>1430</v>
      </c>
      <c r="C647" s="1" t="s">
        <v>3576</v>
      </c>
      <c r="D647" s="1" t="s">
        <v>20</v>
      </c>
      <c r="E647" s="1" t="s">
        <v>4250</v>
      </c>
      <c r="F647" s="1" t="s">
        <v>4251</v>
      </c>
      <c r="G647" s="1" t="s">
        <v>4252</v>
      </c>
      <c r="H647" s="2"/>
      <c r="I647" s="5">
        <f>XLOOKUP(K647, pharmaceutical_index!B:B, pharmaceutical_index!A:A, "Not Found")</f>
      </c>
      <c r="J647" s="1" t="s">
        <v>1430</v>
      </c>
      <c r="K647" s="1" t="s">
        <v>1430</v>
      </c>
      <c r="L647" s="1" t="s">
        <v>20</v>
      </c>
      <c r="M647" s="1" t="s">
        <v>1430</v>
      </c>
      <c r="N647" s="2"/>
      <c r="O647" s="2"/>
      <c r="P647" s="2"/>
      <c r="Q647" s="2"/>
    </row>
    <row x14ac:dyDescent="0.25" r="648" customHeight="1" ht="17.25">
      <c r="A648" s="1" t="s">
        <v>4375</v>
      </c>
      <c r="B648" s="1" t="s">
        <v>1432</v>
      </c>
      <c r="C648" s="1" t="s">
        <v>3576</v>
      </c>
      <c r="D648" s="1" t="s">
        <v>20</v>
      </c>
      <c r="E648" s="1" t="s">
        <v>4250</v>
      </c>
      <c r="F648" s="1" t="s">
        <v>4251</v>
      </c>
      <c r="G648" s="1" t="s">
        <v>4252</v>
      </c>
      <c r="H648" s="2"/>
      <c r="I648" s="5">
        <f>XLOOKUP(K648, pharmaceutical_index!B:B, pharmaceutical_index!A:A, "Not Found")</f>
      </c>
      <c r="J648" s="1" t="s">
        <v>1432</v>
      </c>
      <c r="K648" s="1" t="s">
        <v>1432</v>
      </c>
      <c r="L648" s="1" t="s">
        <v>20</v>
      </c>
      <c r="M648" s="1" t="s">
        <v>1432</v>
      </c>
      <c r="N648" s="2"/>
      <c r="O648" s="2"/>
      <c r="P648" s="2"/>
      <c r="Q648" s="2"/>
    </row>
    <row x14ac:dyDescent="0.25" r="649" customHeight="1" ht="17.25">
      <c r="A649" s="1" t="s">
        <v>4376</v>
      </c>
      <c r="B649" s="1" t="s">
        <v>1434</v>
      </c>
      <c r="C649" s="1" t="s">
        <v>3576</v>
      </c>
      <c r="D649" s="1" t="s">
        <v>20</v>
      </c>
      <c r="E649" s="1" t="s">
        <v>4250</v>
      </c>
      <c r="F649" s="1" t="s">
        <v>4251</v>
      </c>
      <c r="G649" s="1" t="s">
        <v>4252</v>
      </c>
      <c r="H649" s="2"/>
      <c r="I649" s="5">
        <f>XLOOKUP(K649, pharmaceutical_index!B:B, pharmaceutical_index!A:A, "Not Found")</f>
      </c>
      <c r="J649" s="1" t="s">
        <v>1434</v>
      </c>
      <c r="K649" s="1" t="s">
        <v>1434</v>
      </c>
      <c r="L649" s="1" t="s">
        <v>20</v>
      </c>
      <c r="M649" s="1" t="s">
        <v>1434</v>
      </c>
      <c r="N649" s="2"/>
      <c r="O649" s="2"/>
      <c r="P649" s="2"/>
      <c r="Q649" s="2"/>
    </row>
    <row x14ac:dyDescent="0.25" r="650" customHeight="1" ht="17.25">
      <c r="A650" s="1" t="s">
        <v>4377</v>
      </c>
      <c r="B650" s="1" t="s">
        <v>1436</v>
      </c>
      <c r="C650" s="1" t="s">
        <v>3576</v>
      </c>
      <c r="D650" s="1" t="s">
        <v>20</v>
      </c>
      <c r="E650" s="1" t="s">
        <v>4250</v>
      </c>
      <c r="F650" s="1" t="s">
        <v>4251</v>
      </c>
      <c r="G650" s="1" t="s">
        <v>4252</v>
      </c>
      <c r="H650" s="2"/>
      <c r="I650" s="5">
        <f>XLOOKUP(K650, pharmaceutical_index!B:B, pharmaceutical_index!A:A, "Not Found")</f>
      </c>
      <c r="J650" s="1" t="s">
        <v>1436</v>
      </c>
      <c r="K650" s="1" t="s">
        <v>1436</v>
      </c>
      <c r="L650" s="1" t="s">
        <v>20</v>
      </c>
      <c r="M650" s="1" t="s">
        <v>1436</v>
      </c>
      <c r="N650" s="2"/>
      <c r="O650" s="2"/>
      <c r="P650" s="2"/>
      <c r="Q650" s="2"/>
    </row>
    <row x14ac:dyDescent="0.25" r="651" customHeight="1" ht="17.25">
      <c r="A651" s="1" t="s">
        <v>4378</v>
      </c>
      <c r="B651" s="1" t="s">
        <v>1438</v>
      </c>
      <c r="C651" s="1" t="s">
        <v>3576</v>
      </c>
      <c r="D651" s="1" t="s">
        <v>20</v>
      </c>
      <c r="E651" s="1" t="s">
        <v>4250</v>
      </c>
      <c r="F651" s="1" t="s">
        <v>4251</v>
      </c>
      <c r="G651" s="1" t="s">
        <v>4252</v>
      </c>
      <c r="H651" s="2"/>
      <c r="I651" s="5">
        <f>XLOOKUP(K651, pharmaceutical_index!B:B, pharmaceutical_index!A:A, "Not Found")</f>
      </c>
      <c r="J651" s="1" t="s">
        <v>1438</v>
      </c>
      <c r="K651" s="1" t="s">
        <v>1438</v>
      </c>
      <c r="L651" s="1" t="s">
        <v>20</v>
      </c>
      <c r="M651" s="1" t="s">
        <v>1438</v>
      </c>
      <c r="N651" s="2"/>
      <c r="O651" s="2"/>
      <c r="P651" s="2"/>
      <c r="Q651" s="2"/>
    </row>
    <row x14ac:dyDescent="0.25" r="652" customHeight="1" ht="17.25">
      <c r="A652" s="1" t="s">
        <v>4379</v>
      </c>
      <c r="B652" s="1" t="s">
        <v>1440</v>
      </c>
      <c r="C652" s="1" t="s">
        <v>3576</v>
      </c>
      <c r="D652" s="1" t="s">
        <v>20</v>
      </c>
      <c r="E652" s="1" t="s">
        <v>4250</v>
      </c>
      <c r="F652" s="1" t="s">
        <v>4251</v>
      </c>
      <c r="G652" s="1" t="s">
        <v>4252</v>
      </c>
      <c r="H652" s="2"/>
      <c r="I652" s="5">
        <f>XLOOKUP(K652, pharmaceutical_index!B:B, pharmaceutical_index!A:A, "Not Found")</f>
      </c>
      <c r="J652" s="1" t="s">
        <v>1440</v>
      </c>
      <c r="K652" s="1" t="s">
        <v>1440</v>
      </c>
      <c r="L652" s="1" t="s">
        <v>20</v>
      </c>
      <c r="M652" s="1" t="s">
        <v>1440</v>
      </c>
      <c r="N652" s="2"/>
      <c r="O652" s="2"/>
      <c r="P652" s="2"/>
      <c r="Q652" s="2"/>
    </row>
    <row x14ac:dyDescent="0.25" r="653" customHeight="1" ht="17.25">
      <c r="A653" s="1" t="s">
        <v>4380</v>
      </c>
      <c r="B653" s="1" t="s">
        <v>1442</v>
      </c>
      <c r="C653" s="1" t="s">
        <v>3576</v>
      </c>
      <c r="D653" s="1" t="s">
        <v>20</v>
      </c>
      <c r="E653" s="1" t="s">
        <v>4250</v>
      </c>
      <c r="F653" s="1" t="s">
        <v>4251</v>
      </c>
      <c r="G653" s="1" t="s">
        <v>4252</v>
      </c>
      <c r="H653" s="2"/>
      <c r="I653" s="5">
        <f>XLOOKUP(K653, pharmaceutical_index!B:B, pharmaceutical_index!A:A, "Not Found")</f>
      </c>
      <c r="J653" s="1" t="s">
        <v>1442</v>
      </c>
      <c r="K653" s="1" t="s">
        <v>1442</v>
      </c>
      <c r="L653" s="1" t="s">
        <v>20</v>
      </c>
      <c r="M653" s="1" t="s">
        <v>1442</v>
      </c>
      <c r="N653" s="2"/>
      <c r="O653" s="2"/>
      <c r="P653" s="2"/>
      <c r="Q653" s="2"/>
    </row>
    <row x14ac:dyDescent="0.25" r="654" customHeight="1" ht="17.25">
      <c r="A654" s="1" t="s">
        <v>4381</v>
      </c>
      <c r="B654" s="1" t="s">
        <v>1444</v>
      </c>
      <c r="C654" s="1" t="s">
        <v>3576</v>
      </c>
      <c r="D654" s="1" t="s">
        <v>20</v>
      </c>
      <c r="E654" s="1" t="s">
        <v>4250</v>
      </c>
      <c r="F654" s="1" t="s">
        <v>4251</v>
      </c>
      <c r="G654" s="1" t="s">
        <v>4252</v>
      </c>
      <c r="H654" s="2"/>
      <c r="I654" s="5">
        <f>XLOOKUP(K654, pharmaceutical_index!B:B, pharmaceutical_index!A:A, "Not Found")</f>
      </c>
      <c r="J654" s="1" t="s">
        <v>1444</v>
      </c>
      <c r="K654" s="1" t="s">
        <v>1444</v>
      </c>
      <c r="L654" s="1" t="s">
        <v>20</v>
      </c>
      <c r="M654" s="1" t="s">
        <v>1444</v>
      </c>
      <c r="N654" s="2"/>
      <c r="O654" s="2"/>
      <c r="P654" s="2"/>
      <c r="Q654" s="2"/>
    </row>
    <row x14ac:dyDescent="0.25" r="655" customHeight="1" ht="17.25">
      <c r="A655" s="1" t="s">
        <v>4382</v>
      </c>
      <c r="B655" s="1" t="s">
        <v>1446</v>
      </c>
      <c r="C655" s="1" t="s">
        <v>3576</v>
      </c>
      <c r="D655" s="1" t="s">
        <v>20</v>
      </c>
      <c r="E655" s="1" t="s">
        <v>4250</v>
      </c>
      <c r="F655" s="1" t="s">
        <v>4251</v>
      </c>
      <c r="G655" s="1" t="s">
        <v>4252</v>
      </c>
      <c r="H655" s="2"/>
      <c r="I655" s="5">
        <f>XLOOKUP(K655, pharmaceutical_index!B:B, pharmaceutical_index!A:A, "Not Found")</f>
      </c>
      <c r="J655" s="1" t="s">
        <v>1446</v>
      </c>
      <c r="K655" s="1" t="s">
        <v>1446</v>
      </c>
      <c r="L655" s="1" t="s">
        <v>20</v>
      </c>
      <c r="M655" s="1" t="s">
        <v>1446</v>
      </c>
      <c r="N655" s="2"/>
      <c r="O655" s="2"/>
      <c r="P655" s="2"/>
      <c r="Q655" s="2"/>
    </row>
    <row x14ac:dyDescent="0.25" r="656" customHeight="1" ht="17.25">
      <c r="A656" s="1" t="s">
        <v>4383</v>
      </c>
      <c r="B656" s="1" t="s">
        <v>1448</v>
      </c>
      <c r="C656" s="1" t="s">
        <v>3576</v>
      </c>
      <c r="D656" s="1" t="s">
        <v>20</v>
      </c>
      <c r="E656" s="1" t="s">
        <v>4250</v>
      </c>
      <c r="F656" s="1" t="s">
        <v>4251</v>
      </c>
      <c r="G656" s="1" t="s">
        <v>4252</v>
      </c>
      <c r="H656" s="2"/>
      <c r="I656" s="5">
        <f>XLOOKUP(K656, pharmaceutical_index!B:B, pharmaceutical_index!A:A, "Not Found")</f>
      </c>
      <c r="J656" s="1" t="s">
        <v>1448</v>
      </c>
      <c r="K656" s="1" t="s">
        <v>1448</v>
      </c>
      <c r="L656" s="1" t="s">
        <v>20</v>
      </c>
      <c r="M656" s="1" t="s">
        <v>1448</v>
      </c>
      <c r="N656" s="2"/>
      <c r="O656" s="2"/>
      <c r="P656" s="2"/>
      <c r="Q656" s="2"/>
    </row>
    <row x14ac:dyDescent="0.25" r="657" customHeight="1" ht="17.25">
      <c r="A657" s="1" t="s">
        <v>4384</v>
      </c>
      <c r="B657" s="1" t="s">
        <v>1450</v>
      </c>
      <c r="C657" s="1" t="s">
        <v>3576</v>
      </c>
      <c r="D657" s="1" t="s">
        <v>20</v>
      </c>
      <c r="E657" s="1" t="s">
        <v>4250</v>
      </c>
      <c r="F657" s="1" t="s">
        <v>4251</v>
      </c>
      <c r="G657" s="1" t="s">
        <v>4252</v>
      </c>
      <c r="H657" s="2"/>
      <c r="I657" s="5">
        <f>XLOOKUP(K657, pharmaceutical_index!B:B, pharmaceutical_index!A:A, "Not Found")</f>
      </c>
      <c r="J657" s="1" t="s">
        <v>1450</v>
      </c>
      <c r="K657" s="1" t="s">
        <v>1450</v>
      </c>
      <c r="L657" s="1" t="s">
        <v>20</v>
      </c>
      <c r="M657" s="1" t="s">
        <v>1450</v>
      </c>
      <c r="N657" s="2"/>
      <c r="O657" s="2"/>
      <c r="P657" s="2"/>
      <c r="Q657" s="2"/>
    </row>
    <row x14ac:dyDescent="0.25" r="658" customHeight="1" ht="17.25">
      <c r="A658" s="1" t="s">
        <v>4385</v>
      </c>
      <c r="B658" s="1" t="s">
        <v>1452</v>
      </c>
      <c r="C658" s="1" t="s">
        <v>3576</v>
      </c>
      <c r="D658" s="1" t="s">
        <v>20</v>
      </c>
      <c r="E658" s="1" t="s">
        <v>4250</v>
      </c>
      <c r="F658" s="1" t="s">
        <v>4251</v>
      </c>
      <c r="G658" s="1" t="s">
        <v>4252</v>
      </c>
      <c r="H658" s="2"/>
      <c r="I658" s="5">
        <f>XLOOKUP(K658, pharmaceutical_index!B:B, pharmaceutical_index!A:A, "Not Found")</f>
      </c>
      <c r="J658" s="1" t="s">
        <v>1452</v>
      </c>
      <c r="K658" s="1" t="s">
        <v>1452</v>
      </c>
      <c r="L658" s="1" t="s">
        <v>20</v>
      </c>
      <c r="M658" s="1" t="s">
        <v>1452</v>
      </c>
      <c r="N658" s="2"/>
      <c r="O658" s="2"/>
      <c r="P658" s="2"/>
      <c r="Q658" s="2"/>
    </row>
    <row x14ac:dyDescent="0.25" r="659" customHeight="1" ht="17.25">
      <c r="A659" s="1" t="s">
        <v>4386</v>
      </c>
      <c r="B659" s="1" t="s">
        <v>1454</v>
      </c>
      <c r="C659" s="1" t="s">
        <v>3576</v>
      </c>
      <c r="D659" s="1" t="s">
        <v>20</v>
      </c>
      <c r="E659" s="1" t="s">
        <v>4250</v>
      </c>
      <c r="F659" s="1" t="s">
        <v>4251</v>
      </c>
      <c r="G659" s="1" t="s">
        <v>4252</v>
      </c>
      <c r="H659" s="2"/>
      <c r="I659" s="5">
        <f>XLOOKUP(K659, pharmaceutical_index!B:B, pharmaceutical_index!A:A, "Not Found")</f>
      </c>
      <c r="J659" s="1" t="s">
        <v>1454</v>
      </c>
      <c r="K659" s="1" t="s">
        <v>1454</v>
      </c>
      <c r="L659" s="1" t="s">
        <v>20</v>
      </c>
      <c r="M659" s="1" t="s">
        <v>1454</v>
      </c>
      <c r="N659" s="2"/>
      <c r="O659" s="2"/>
      <c r="P659" s="2"/>
      <c r="Q659" s="2"/>
    </row>
    <row x14ac:dyDescent="0.25" r="660" customHeight="1" ht="17.25">
      <c r="A660" s="1" t="s">
        <v>4387</v>
      </c>
      <c r="B660" s="1" t="s">
        <v>1456</v>
      </c>
      <c r="C660" s="1" t="s">
        <v>3576</v>
      </c>
      <c r="D660" s="1" t="s">
        <v>20</v>
      </c>
      <c r="E660" s="1" t="s">
        <v>4250</v>
      </c>
      <c r="F660" s="1" t="s">
        <v>4251</v>
      </c>
      <c r="G660" s="1" t="s">
        <v>4252</v>
      </c>
      <c r="H660" s="2"/>
      <c r="I660" s="5">
        <f>XLOOKUP(K660, pharmaceutical_index!B:B, pharmaceutical_index!A:A, "Not Found")</f>
      </c>
      <c r="J660" s="1" t="s">
        <v>1456</v>
      </c>
      <c r="K660" s="1" t="s">
        <v>1456</v>
      </c>
      <c r="L660" s="1" t="s">
        <v>20</v>
      </c>
      <c r="M660" s="1" t="s">
        <v>1456</v>
      </c>
      <c r="N660" s="2"/>
      <c r="O660" s="2"/>
      <c r="P660" s="2"/>
      <c r="Q660" s="2"/>
    </row>
    <row x14ac:dyDescent="0.25" r="661" customHeight="1" ht="17.25">
      <c r="A661" s="1" t="s">
        <v>4388</v>
      </c>
      <c r="B661" s="1" t="s">
        <v>1458</v>
      </c>
      <c r="C661" s="1" t="s">
        <v>3576</v>
      </c>
      <c r="D661" s="1" t="s">
        <v>20</v>
      </c>
      <c r="E661" s="1" t="s">
        <v>4250</v>
      </c>
      <c r="F661" s="1" t="s">
        <v>4251</v>
      </c>
      <c r="G661" s="1" t="s">
        <v>4252</v>
      </c>
      <c r="H661" s="2"/>
      <c r="I661" s="5">
        <f>XLOOKUP(K661, pharmaceutical_index!B:B, pharmaceutical_index!A:A, "Not Found")</f>
      </c>
      <c r="J661" s="1" t="s">
        <v>1458</v>
      </c>
      <c r="K661" s="1" t="s">
        <v>1458</v>
      </c>
      <c r="L661" s="1" t="s">
        <v>20</v>
      </c>
      <c r="M661" s="1" t="s">
        <v>1458</v>
      </c>
      <c r="N661" s="2"/>
      <c r="O661" s="2"/>
      <c r="P661" s="2"/>
      <c r="Q661" s="2"/>
    </row>
    <row x14ac:dyDescent="0.25" r="662" customHeight="1" ht="17.25">
      <c r="A662" s="1" t="s">
        <v>4389</v>
      </c>
      <c r="B662" s="1" t="s">
        <v>1460</v>
      </c>
      <c r="C662" s="1" t="s">
        <v>3576</v>
      </c>
      <c r="D662" s="1" t="s">
        <v>20</v>
      </c>
      <c r="E662" s="1" t="s">
        <v>4250</v>
      </c>
      <c r="F662" s="1" t="s">
        <v>4251</v>
      </c>
      <c r="G662" s="1" t="s">
        <v>4252</v>
      </c>
      <c r="H662" s="2"/>
      <c r="I662" s="5">
        <f>XLOOKUP(K662, pharmaceutical_index!B:B, pharmaceutical_index!A:A, "Not Found")</f>
      </c>
      <c r="J662" s="1" t="s">
        <v>1460</v>
      </c>
      <c r="K662" s="1" t="s">
        <v>1460</v>
      </c>
      <c r="L662" s="1" t="s">
        <v>20</v>
      </c>
      <c r="M662" s="1" t="s">
        <v>1460</v>
      </c>
      <c r="N662" s="2"/>
      <c r="O662" s="2"/>
      <c r="P662" s="2"/>
      <c r="Q662" s="2"/>
    </row>
    <row x14ac:dyDescent="0.25" r="663" customHeight="1" ht="17.25">
      <c r="A663" s="1" t="s">
        <v>4390</v>
      </c>
      <c r="B663" s="1" t="s">
        <v>1462</v>
      </c>
      <c r="C663" s="1" t="s">
        <v>3576</v>
      </c>
      <c r="D663" s="1" t="s">
        <v>20</v>
      </c>
      <c r="E663" s="1" t="s">
        <v>4250</v>
      </c>
      <c r="F663" s="1" t="s">
        <v>4251</v>
      </c>
      <c r="G663" s="1" t="s">
        <v>4252</v>
      </c>
      <c r="H663" s="2"/>
      <c r="I663" s="5">
        <f>XLOOKUP(K663, pharmaceutical_index!B:B, pharmaceutical_index!A:A, "Not Found")</f>
      </c>
      <c r="J663" s="1" t="s">
        <v>1462</v>
      </c>
      <c r="K663" s="1" t="s">
        <v>1462</v>
      </c>
      <c r="L663" s="1" t="s">
        <v>20</v>
      </c>
      <c r="M663" s="1" t="s">
        <v>1462</v>
      </c>
      <c r="N663" s="2"/>
      <c r="O663" s="2"/>
      <c r="P663" s="2"/>
      <c r="Q663" s="2"/>
    </row>
    <row x14ac:dyDescent="0.25" r="664" customHeight="1" ht="17.25">
      <c r="A664" s="1" t="s">
        <v>4391</v>
      </c>
      <c r="B664" s="1" t="s">
        <v>1464</v>
      </c>
      <c r="C664" s="1" t="s">
        <v>3576</v>
      </c>
      <c r="D664" s="1" t="s">
        <v>20</v>
      </c>
      <c r="E664" s="1" t="s">
        <v>4250</v>
      </c>
      <c r="F664" s="1" t="s">
        <v>4251</v>
      </c>
      <c r="G664" s="1" t="s">
        <v>4252</v>
      </c>
      <c r="H664" s="2"/>
      <c r="I664" s="5">
        <f>XLOOKUP(K664, pharmaceutical_index!B:B, pharmaceutical_index!A:A, "Not Found")</f>
      </c>
      <c r="J664" s="1" t="s">
        <v>1464</v>
      </c>
      <c r="K664" s="1" t="s">
        <v>1464</v>
      </c>
      <c r="L664" s="1" t="s">
        <v>20</v>
      </c>
      <c r="M664" s="1" t="s">
        <v>1464</v>
      </c>
      <c r="N664" s="2"/>
      <c r="O664" s="2"/>
      <c r="P664" s="2"/>
      <c r="Q664" s="2"/>
    </row>
    <row x14ac:dyDescent="0.25" r="665" customHeight="1" ht="17.25">
      <c r="A665" s="1" t="s">
        <v>4392</v>
      </c>
      <c r="B665" s="1" t="s">
        <v>1466</v>
      </c>
      <c r="C665" s="1" t="s">
        <v>3576</v>
      </c>
      <c r="D665" s="1" t="s">
        <v>20</v>
      </c>
      <c r="E665" s="1" t="s">
        <v>4250</v>
      </c>
      <c r="F665" s="1" t="s">
        <v>4251</v>
      </c>
      <c r="G665" s="1" t="s">
        <v>4252</v>
      </c>
      <c r="H665" s="2"/>
      <c r="I665" s="5">
        <f>XLOOKUP(K665, pharmaceutical_index!B:B, pharmaceutical_index!A:A, "Not Found")</f>
      </c>
      <c r="J665" s="1" t="s">
        <v>1466</v>
      </c>
      <c r="K665" s="1" t="s">
        <v>1466</v>
      </c>
      <c r="L665" s="1" t="s">
        <v>20</v>
      </c>
      <c r="M665" s="1" t="s">
        <v>1466</v>
      </c>
      <c r="N665" s="2"/>
      <c r="O665" s="2"/>
      <c r="P665" s="2"/>
      <c r="Q665" s="2"/>
    </row>
    <row x14ac:dyDescent="0.25" r="666" customHeight="1" ht="17.25">
      <c r="A666" s="1" t="s">
        <v>4393</v>
      </c>
      <c r="B666" s="1" t="s">
        <v>1468</v>
      </c>
      <c r="C666" s="1" t="s">
        <v>3576</v>
      </c>
      <c r="D666" s="1" t="s">
        <v>20</v>
      </c>
      <c r="E666" s="1" t="s">
        <v>4250</v>
      </c>
      <c r="F666" s="1" t="s">
        <v>4251</v>
      </c>
      <c r="G666" s="1" t="s">
        <v>4252</v>
      </c>
      <c r="H666" s="2"/>
      <c r="I666" s="5">
        <f>XLOOKUP(K666, pharmaceutical_index!B:B, pharmaceutical_index!A:A, "Not Found")</f>
      </c>
      <c r="J666" s="1" t="s">
        <v>1468</v>
      </c>
      <c r="K666" s="1" t="s">
        <v>1468</v>
      </c>
      <c r="L666" s="1" t="s">
        <v>20</v>
      </c>
      <c r="M666" s="1" t="s">
        <v>1468</v>
      </c>
      <c r="N666" s="2"/>
      <c r="O666" s="2"/>
      <c r="P666" s="2"/>
      <c r="Q666" s="2"/>
    </row>
    <row x14ac:dyDescent="0.25" r="667" customHeight="1" ht="17.25">
      <c r="A667" s="1" t="s">
        <v>4394</v>
      </c>
      <c r="B667" s="1" t="s">
        <v>1470</v>
      </c>
      <c r="C667" s="1" t="s">
        <v>3576</v>
      </c>
      <c r="D667" s="1" t="s">
        <v>20</v>
      </c>
      <c r="E667" s="1" t="s">
        <v>4250</v>
      </c>
      <c r="F667" s="1" t="s">
        <v>4251</v>
      </c>
      <c r="G667" s="1" t="s">
        <v>4252</v>
      </c>
      <c r="H667" s="2"/>
      <c r="I667" s="5">
        <f>XLOOKUP(K667, pharmaceutical_index!B:B, pharmaceutical_index!A:A, "Not Found")</f>
      </c>
      <c r="J667" s="1" t="s">
        <v>1470</v>
      </c>
      <c r="K667" s="1" t="s">
        <v>1470</v>
      </c>
      <c r="L667" s="1" t="s">
        <v>20</v>
      </c>
      <c r="M667" s="1" t="s">
        <v>1470</v>
      </c>
      <c r="N667" s="2"/>
      <c r="O667" s="2"/>
      <c r="P667" s="2"/>
      <c r="Q667" s="2"/>
    </row>
    <row x14ac:dyDescent="0.25" r="668" customHeight="1" ht="17.25">
      <c r="A668" s="1" t="s">
        <v>4395</v>
      </c>
      <c r="B668" s="1" t="s">
        <v>1472</v>
      </c>
      <c r="C668" s="1" t="s">
        <v>3576</v>
      </c>
      <c r="D668" s="1" t="s">
        <v>20</v>
      </c>
      <c r="E668" s="1" t="s">
        <v>4250</v>
      </c>
      <c r="F668" s="1" t="s">
        <v>4251</v>
      </c>
      <c r="G668" s="1" t="s">
        <v>4252</v>
      </c>
      <c r="H668" s="2"/>
      <c r="I668" s="5">
        <f>XLOOKUP(K668, pharmaceutical_index!B:B, pharmaceutical_index!A:A, "Not Found")</f>
      </c>
      <c r="J668" s="1" t="s">
        <v>1472</v>
      </c>
      <c r="K668" s="1" t="s">
        <v>1472</v>
      </c>
      <c r="L668" s="1" t="s">
        <v>20</v>
      </c>
      <c r="M668" s="1" t="s">
        <v>1472</v>
      </c>
      <c r="N668" s="2"/>
      <c r="O668" s="2"/>
      <c r="P668" s="2"/>
      <c r="Q668" s="2"/>
    </row>
    <row x14ac:dyDescent="0.25" r="669" customHeight="1" ht="17.25">
      <c r="A669" s="1" t="s">
        <v>4396</v>
      </c>
      <c r="B669" s="1" t="s">
        <v>1474</v>
      </c>
      <c r="C669" s="1" t="s">
        <v>3576</v>
      </c>
      <c r="D669" s="1" t="s">
        <v>20</v>
      </c>
      <c r="E669" s="1" t="s">
        <v>4250</v>
      </c>
      <c r="F669" s="1" t="s">
        <v>4251</v>
      </c>
      <c r="G669" s="1" t="s">
        <v>4252</v>
      </c>
      <c r="H669" s="2"/>
      <c r="I669" s="5">
        <f>XLOOKUP(K669, pharmaceutical_index!B:B, pharmaceutical_index!A:A, "Not Found")</f>
      </c>
      <c r="J669" s="1" t="s">
        <v>1474</v>
      </c>
      <c r="K669" s="1" t="s">
        <v>1474</v>
      </c>
      <c r="L669" s="1" t="s">
        <v>20</v>
      </c>
      <c r="M669" s="1" t="s">
        <v>1474</v>
      </c>
      <c r="N669" s="2"/>
      <c r="O669" s="2"/>
      <c r="P669" s="2"/>
      <c r="Q669" s="2"/>
    </row>
    <row x14ac:dyDescent="0.25" r="670" customHeight="1" ht="17.25">
      <c r="A670" s="1" t="s">
        <v>4397</v>
      </c>
      <c r="B670" s="1" t="s">
        <v>1476</v>
      </c>
      <c r="C670" s="1" t="s">
        <v>3576</v>
      </c>
      <c r="D670" s="1" t="s">
        <v>20</v>
      </c>
      <c r="E670" s="1" t="s">
        <v>4250</v>
      </c>
      <c r="F670" s="1" t="s">
        <v>4251</v>
      </c>
      <c r="G670" s="1" t="s">
        <v>4252</v>
      </c>
      <c r="H670" s="2"/>
      <c r="I670" s="5">
        <f>XLOOKUP(K670, pharmaceutical_index!B:B, pharmaceutical_index!A:A, "Not Found")</f>
      </c>
      <c r="J670" s="1" t="s">
        <v>1476</v>
      </c>
      <c r="K670" s="1" t="s">
        <v>1476</v>
      </c>
      <c r="L670" s="1" t="s">
        <v>20</v>
      </c>
      <c r="M670" s="1" t="s">
        <v>1476</v>
      </c>
      <c r="N670" s="2"/>
      <c r="O670" s="2"/>
      <c r="P670" s="2"/>
      <c r="Q670" s="2"/>
    </row>
    <row x14ac:dyDescent="0.25" r="671" customHeight="1" ht="17.25">
      <c r="A671" s="1" t="s">
        <v>4398</v>
      </c>
      <c r="B671" s="1" t="s">
        <v>1478</v>
      </c>
      <c r="C671" s="1" t="s">
        <v>3576</v>
      </c>
      <c r="D671" s="1" t="s">
        <v>20</v>
      </c>
      <c r="E671" s="1" t="s">
        <v>4250</v>
      </c>
      <c r="F671" s="1" t="s">
        <v>4251</v>
      </c>
      <c r="G671" s="1" t="s">
        <v>4252</v>
      </c>
      <c r="H671" s="2"/>
      <c r="I671" s="5">
        <f>XLOOKUP(K671, pharmaceutical_index!B:B, pharmaceutical_index!A:A, "Not Found")</f>
      </c>
      <c r="J671" s="1" t="s">
        <v>1478</v>
      </c>
      <c r="K671" s="1" t="s">
        <v>1478</v>
      </c>
      <c r="L671" s="1" t="s">
        <v>20</v>
      </c>
      <c r="M671" s="1" t="s">
        <v>1478</v>
      </c>
      <c r="N671" s="2"/>
      <c r="O671" s="2"/>
      <c r="P671" s="2"/>
      <c r="Q671" s="2"/>
    </row>
    <row x14ac:dyDescent="0.25" r="672" customHeight="1" ht="17.25">
      <c r="A672" s="1" t="s">
        <v>4399</v>
      </c>
      <c r="B672" s="1" t="s">
        <v>1480</v>
      </c>
      <c r="C672" s="1" t="s">
        <v>3576</v>
      </c>
      <c r="D672" s="1" t="s">
        <v>20</v>
      </c>
      <c r="E672" s="1" t="s">
        <v>4250</v>
      </c>
      <c r="F672" s="1" t="s">
        <v>4251</v>
      </c>
      <c r="G672" s="1" t="s">
        <v>4252</v>
      </c>
      <c r="H672" s="2"/>
      <c r="I672" s="5">
        <f>XLOOKUP(K672, pharmaceutical_index!B:B, pharmaceutical_index!A:A, "Not Found")</f>
      </c>
      <c r="J672" s="1" t="s">
        <v>1480</v>
      </c>
      <c r="K672" s="1" t="s">
        <v>1480</v>
      </c>
      <c r="L672" s="1" t="s">
        <v>20</v>
      </c>
      <c r="M672" s="1" t="s">
        <v>1480</v>
      </c>
      <c r="N672" s="2"/>
      <c r="O672" s="2"/>
      <c r="P672" s="2"/>
      <c r="Q672" s="2"/>
    </row>
    <row x14ac:dyDescent="0.25" r="673" customHeight="1" ht="17.25">
      <c r="A673" s="1" t="s">
        <v>4400</v>
      </c>
      <c r="B673" s="1" t="s">
        <v>1482</v>
      </c>
      <c r="C673" s="1" t="s">
        <v>3576</v>
      </c>
      <c r="D673" s="1" t="s">
        <v>20</v>
      </c>
      <c r="E673" s="1" t="s">
        <v>4250</v>
      </c>
      <c r="F673" s="1" t="s">
        <v>4251</v>
      </c>
      <c r="G673" s="1" t="s">
        <v>4252</v>
      </c>
      <c r="H673" s="2"/>
      <c r="I673" s="5">
        <f>XLOOKUP(K673, pharmaceutical_index!B:B, pharmaceutical_index!A:A, "Not Found")</f>
      </c>
      <c r="J673" s="1" t="s">
        <v>1482</v>
      </c>
      <c r="K673" s="1" t="s">
        <v>1482</v>
      </c>
      <c r="L673" s="1" t="s">
        <v>20</v>
      </c>
      <c r="M673" s="1" t="s">
        <v>1482</v>
      </c>
      <c r="N673" s="2"/>
      <c r="O673" s="2"/>
      <c r="P673" s="2"/>
      <c r="Q673" s="2"/>
    </row>
    <row x14ac:dyDescent="0.25" r="674" customHeight="1" ht="17.25">
      <c r="A674" s="1" t="s">
        <v>4401</v>
      </c>
      <c r="B674" s="1" t="s">
        <v>1484</v>
      </c>
      <c r="C674" s="1" t="s">
        <v>3576</v>
      </c>
      <c r="D674" s="1" t="s">
        <v>20</v>
      </c>
      <c r="E674" s="1" t="s">
        <v>4250</v>
      </c>
      <c r="F674" s="1" t="s">
        <v>4251</v>
      </c>
      <c r="G674" s="1" t="s">
        <v>4252</v>
      </c>
      <c r="H674" s="2"/>
      <c r="I674" s="5">
        <f>XLOOKUP(K674, pharmaceutical_index!B:B, pharmaceutical_index!A:A, "Not Found")</f>
      </c>
      <c r="J674" s="1" t="s">
        <v>1484</v>
      </c>
      <c r="K674" s="1" t="s">
        <v>1484</v>
      </c>
      <c r="L674" s="1" t="s">
        <v>20</v>
      </c>
      <c r="M674" s="1" t="s">
        <v>1484</v>
      </c>
      <c r="N674" s="2"/>
      <c r="O674" s="2"/>
      <c r="P674" s="2"/>
      <c r="Q674" s="2"/>
    </row>
    <row x14ac:dyDescent="0.25" r="675" customHeight="1" ht="17.25">
      <c r="A675" s="1" t="s">
        <v>4402</v>
      </c>
      <c r="B675" s="1" t="s">
        <v>1486</v>
      </c>
      <c r="C675" s="1" t="s">
        <v>3576</v>
      </c>
      <c r="D675" s="1" t="s">
        <v>20</v>
      </c>
      <c r="E675" s="1" t="s">
        <v>4250</v>
      </c>
      <c r="F675" s="1" t="s">
        <v>4251</v>
      </c>
      <c r="G675" s="1" t="s">
        <v>4252</v>
      </c>
      <c r="H675" s="2"/>
      <c r="I675" s="5">
        <f>XLOOKUP(K675, pharmaceutical_index!B:B, pharmaceutical_index!A:A, "Not Found")</f>
      </c>
      <c r="J675" s="1" t="s">
        <v>1486</v>
      </c>
      <c r="K675" s="1" t="s">
        <v>1486</v>
      </c>
      <c r="L675" s="1" t="s">
        <v>20</v>
      </c>
      <c r="M675" s="1" t="s">
        <v>1486</v>
      </c>
      <c r="N675" s="2"/>
      <c r="O675" s="2"/>
      <c r="P675" s="2"/>
      <c r="Q675" s="2"/>
    </row>
    <row x14ac:dyDescent="0.25" r="676" customHeight="1" ht="17.25">
      <c r="A676" s="1" t="s">
        <v>4403</v>
      </c>
      <c r="B676" s="1" t="s">
        <v>1488</v>
      </c>
      <c r="C676" s="1" t="s">
        <v>3576</v>
      </c>
      <c r="D676" s="1" t="s">
        <v>20</v>
      </c>
      <c r="E676" s="1" t="s">
        <v>4250</v>
      </c>
      <c r="F676" s="1" t="s">
        <v>4251</v>
      </c>
      <c r="G676" s="1" t="s">
        <v>4252</v>
      </c>
      <c r="H676" s="2"/>
      <c r="I676" s="5">
        <f>XLOOKUP(K676, pharmaceutical_index!B:B, pharmaceutical_index!A:A, "Not Found")</f>
      </c>
      <c r="J676" s="1" t="s">
        <v>1488</v>
      </c>
      <c r="K676" s="1" t="s">
        <v>1488</v>
      </c>
      <c r="L676" s="1" t="s">
        <v>20</v>
      </c>
      <c r="M676" s="1" t="s">
        <v>1488</v>
      </c>
      <c r="N676" s="2"/>
      <c r="O676" s="2"/>
      <c r="P676" s="2"/>
      <c r="Q676" s="2"/>
    </row>
    <row x14ac:dyDescent="0.25" r="677" customHeight="1" ht="17.25">
      <c r="A677" s="1" t="s">
        <v>4404</v>
      </c>
      <c r="B677" s="1" t="s">
        <v>1490</v>
      </c>
      <c r="C677" s="1" t="s">
        <v>3576</v>
      </c>
      <c r="D677" s="1" t="s">
        <v>20</v>
      </c>
      <c r="E677" s="1" t="s">
        <v>4250</v>
      </c>
      <c r="F677" s="1" t="s">
        <v>4251</v>
      </c>
      <c r="G677" s="1" t="s">
        <v>4252</v>
      </c>
      <c r="H677" s="2"/>
      <c r="I677" s="5">
        <f>XLOOKUP(K677, pharmaceutical_index!B:B, pharmaceutical_index!A:A, "Not Found")</f>
      </c>
      <c r="J677" s="1" t="s">
        <v>1490</v>
      </c>
      <c r="K677" s="1" t="s">
        <v>1490</v>
      </c>
      <c r="L677" s="1" t="s">
        <v>20</v>
      </c>
      <c r="M677" s="1" t="s">
        <v>1490</v>
      </c>
      <c r="N677" s="2"/>
      <c r="O677" s="2"/>
      <c r="P677" s="2"/>
      <c r="Q677" s="2"/>
    </row>
    <row x14ac:dyDescent="0.25" r="678" customHeight="1" ht="17.25">
      <c r="A678" s="1" t="s">
        <v>4405</v>
      </c>
      <c r="B678" s="1" t="s">
        <v>1492</v>
      </c>
      <c r="C678" s="1" t="s">
        <v>3576</v>
      </c>
      <c r="D678" s="1" t="s">
        <v>20</v>
      </c>
      <c r="E678" s="1" t="s">
        <v>4250</v>
      </c>
      <c r="F678" s="1" t="s">
        <v>4251</v>
      </c>
      <c r="G678" s="1" t="s">
        <v>4252</v>
      </c>
      <c r="H678" s="2"/>
      <c r="I678" s="5">
        <f>XLOOKUP(K678, pharmaceutical_index!B:B, pharmaceutical_index!A:A, "Not Found")</f>
      </c>
      <c r="J678" s="1" t="s">
        <v>1492</v>
      </c>
      <c r="K678" s="1" t="s">
        <v>1492</v>
      </c>
      <c r="L678" s="1" t="s">
        <v>20</v>
      </c>
      <c r="M678" s="1" t="s">
        <v>1492</v>
      </c>
      <c r="N678" s="2"/>
      <c r="O678" s="2"/>
      <c r="P678" s="2"/>
      <c r="Q678" s="2"/>
    </row>
    <row x14ac:dyDescent="0.25" r="679" customHeight="1" ht="17.25">
      <c r="A679" s="1" t="s">
        <v>4406</v>
      </c>
      <c r="B679" s="1" t="s">
        <v>1494</v>
      </c>
      <c r="C679" s="1" t="s">
        <v>3576</v>
      </c>
      <c r="D679" s="1" t="s">
        <v>20</v>
      </c>
      <c r="E679" s="1" t="s">
        <v>4250</v>
      </c>
      <c r="F679" s="1" t="s">
        <v>4251</v>
      </c>
      <c r="G679" s="1" t="s">
        <v>4252</v>
      </c>
      <c r="H679" s="2"/>
      <c r="I679" s="5">
        <f>XLOOKUP(K679, pharmaceutical_index!B:B, pharmaceutical_index!A:A, "Not Found")</f>
      </c>
      <c r="J679" s="1" t="s">
        <v>1494</v>
      </c>
      <c r="K679" s="1" t="s">
        <v>1494</v>
      </c>
      <c r="L679" s="1" t="s">
        <v>20</v>
      </c>
      <c r="M679" s="1" t="s">
        <v>1494</v>
      </c>
      <c r="N679" s="2"/>
      <c r="O679" s="2"/>
      <c r="P679" s="2"/>
      <c r="Q679" s="2"/>
    </row>
    <row x14ac:dyDescent="0.25" r="680" customHeight="1" ht="17.25">
      <c r="A680" s="1" t="s">
        <v>4407</v>
      </c>
      <c r="B680" s="1" t="s">
        <v>1496</v>
      </c>
      <c r="C680" s="1" t="s">
        <v>3576</v>
      </c>
      <c r="D680" s="1" t="s">
        <v>20</v>
      </c>
      <c r="E680" s="1" t="s">
        <v>4250</v>
      </c>
      <c r="F680" s="1" t="s">
        <v>4251</v>
      </c>
      <c r="G680" s="1" t="s">
        <v>4252</v>
      </c>
      <c r="H680" s="2"/>
      <c r="I680" s="5">
        <f>XLOOKUP(K680, pharmaceutical_index!B:B, pharmaceutical_index!A:A, "Not Found")</f>
      </c>
      <c r="J680" s="1" t="s">
        <v>1496</v>
      </c>
      <c r="K680" s="1" t="s">
        <v>1496</v>
      </c>
      <c r="L680" s="1" t="s">
        <v>20</v>
      </c>
      <c r="M680" s="1" t="s">
        <v>1496</v>
      </c>
      <c r="N680" s="2"/>
      <c r="O680" s="2"/>
      <c r="P680" s="2"/>
      <c r="Q680" s="2"/>
    </row>
    <row x14ac:dyDescent="0.25" r="681" customHeight="1" ht="17.25">
      <c r="A681" s="1" t="s">
        <v>4408</v>
      </c>
      <c r="B681" s="1" t="s">
        <v>1498</v>
      </c>
      <c r="C681" s="1" t="s">
        <v>3576</v>
      </c>
      <c r="D681" s="1" t="s">
        <v>20</v>
      </c>
      <c r="E681" s="1" t="s">
        <v>4250</v>
      </c>
      <c r="F681" s="1" t="s">
        <v>4251</v>
      </c>
      <c r="G681" s="1" t="s">
        <v>4252</v>
      </c>
      <c r="H681" s="2"/>
      <c r="I681" s="5">
        <f>XLOOKUP(K681, pharmaceutical_index!B:B, pharmaceutical_index!A:A, "Not Found")</f>
      </c>
      <c r="J681" s="1" t="s">
        <v>1498</v>
      </c>
      <c r="K681" s="1" t="s">
        <v>1498</v>
      </c>
      <c r="L681" s="1" t="s">
        <v>20</v>
      </c>
      <c r="M681" s="1" t="s">
        <v>1498</v>
      </c>
      <c r="N681" s="2"/>
      <c r="O681" s="2"/>
      <c r="P681" s="2"/>
      <c r="Q681" s="2"/>
    </row>
    <row x14ac:dyDescent="0.25" r="682" customHeight="1" ht="17.25">
      <c r="A682" s="1" t="s">
        <v>4409</v>
      </c>
      <c r="B682" s="1" t="s">
        <v>1500</v>
      </c>
      <c r="C682" s="1" t="s">
        <v>3576</v>
      </c>
      <c r="D682" s="1" t="s">
        <v>20</v>
      </c>
      <c r="E682" s="1" t="s">
        <v>4250</v>
      </c>
      <c r="F682" s="1" t="s">
        <v>4251</v>
      </c>
      <c r="G682" s="1" t="s">
        <v>4252</v>
      </c>
      <c r="H682" s="2"/>
      <c r="I682" s="5">
        <f>XLOOKUP(K682, pharmaceutical_index!B:B, pharmaceutical_index!A:A, "Not Found")</f>
      </c>
      <c r="J682" s="1" t="s">
        <v>1500</v>
      </c>
      <c r="K682" s="1" t="s">
        <v>1500</v>
      </c>
      <c r="L682" s="1" t="s">
        <v>20</v>
      </c>
      <c r="M682" s="1" t="s">
        <v>1500</v>
      </c>
      <c r="N682" s="2"/>
      <c r="O682" s="2"/>
      <c r="P682" s="2"/>
      <c r="Q682" s="2"/>
    </row>
    <row x14ac:dyDescent="0.25" r="683" customHeight="1" ht="17.25">
      <c r="A683" s="1" t="s">
        <v>4410</v>
      </c>
      <c r="B683" s="1" t="s">
        <v>1502</v>
      </c>
      <c r="C683" s="1" t="s">
        <v>3576</v>
      </c>
      <c r="D683" s="1" t="s">
        <v>20</v>
      </c>
      <c r="E683" s="1" t="s">
        <v>4250</v>
      </c>
      <c r="F683" s="1" t="s">
        <v>4251</v>
      </c>
      <c r="G683" s="1" t="s">
        <v>4252</v>
      </c>
      <c r="H683" s="2"/>
      <c r="I683" s="5">
        <f>XLOOKUP(K683, pharmaceutical_index!B:B, pharmaceutical_index!A:A, "Not Found")</f>
      </c>
      <c r="J683" s="1" t="s">
        <v>1502</v>
      </c>
      <c r="K683" s="1" t="s">
        <v>1502</v>
      </c>
      <c r="L683" s="1" t="s">
        <v>20</v>
      </c>
      <c r="M683" s="1" t="s">
        <v>1502</v>
      </c>
      <c r="N683" s="2"/>
      <c r="O683" s="2"/>
      <c r="P683" s="2"/>
      <c r="Q683" s="2"/>
    </row>
    <row x14ac:dyDescent="0.25" r="684" customHeight="1" ht="17.25">
      <c r="A684" s="1" t="s">
        <v>4411</v>
      </c>
      <c r="B684" s="1" t="s">
        <v>1504</v>
      </c>
      <c r="C684" s="1" t="s">
        <v>3576</v>
      </c>
      <c r="D684" s="1" t="s">
        <v>20</v>
      </c>
      <c r="E684" s="1" t="s">
        <v>4250</v>
      </c>
      <c r="F684" s="1" t="s">
        <v>4251</v>
      </c>
      <c r="G684" s="1" t="s">
        <v>4252</v>
      </c>
      <c r="H684" s="2"/>
      <c r="I684" s="5">
        <f>XLOOKUP(K684, pharmaceutical_index!B:B, pharmaceutical_index!A:A, "Not Found")</f>
      </c>
      <c r="J684" s="1" t="s">
        <v>1504</v>
      </c>
      <c r="K684" s="1" t="s">
        <v>1504</v>
      </c>
      <c r="L684" s="1" t="s">
        <v>20</v>
      </c>
      <c r="M684" s="1" t="s">
        <v>1504</v>
      </c>
      <c r="N684" s="2"/>
      <c r="O684" s="2"/>
      <c r="P684" s="2"/>
      <c r="Q684" s="2"/>
    </row>
    <row x14ac:dyDescent="0.25" r="685" customHeight="1" ht="17.25">
      <c r="A685" s="1" t="s">
        <v>4412</v>
      </c>
      <c r="B685" s="1" t="s">
        <v>1506</v>
      </c>
      <c r="C685" s="1" t="s">
        <v>3576</v>
      </c>
      <c r="D685" s="1" t="s">
        <v>20</v>
      </c>
      <c r="E685" s="1" t="s">
        <v>4250</v>
      </c>
      <c r="F685" s="1" t="s">
        <v>4251</v>
      </c>
      <c r="G685" s="1" t="s">
        <v>4252</v>
      </c>
      <c r="H685" s="2"/>
      <c r="I685" s="5">
        <f>XLOOKUP(K685, pharmaceutical_index!B:B, pharmaceutical_index!A:A, "Not Found")</f>
      </c>
      <c r="J685" s="1" t="s">
        <v>1506</v>
      </c>
      <c r="K685" s="1" t="s">
        <v>1506</v>
      </c>
      <c r="L685" s="1" t="s">
        <v>20</v>
      </c>
      <c r="M685" s="1" t="s">
        <v>1506</v>
      </c>
      <c r="N685" s="2"/>
      <c r="O685" s="2"/>
      <c r="P685" s="2"/>
      <c r="Q685" s="2"/>
    </row>
    <row x14ac:dyDescent="0.25" r="686" customHeight="1" ht="17.25">
      <c r="A686" s="1" t="s">
        <v>4413</v>
      </c>
      <c r="B686" s="1" t="s">
        <v>1508</v>
      </c>
      <c r="C686" s="1" t="s">
        <v>3576</v>
      </c>
      <c r="D686" s="1" t="s">
        <v>20</v>
      </c>
      <c r="E686" s="1" t="s">
        <v>4250</v>
      </c>
      <c r="F686" s="1" t="s">
        <v>4251</v>
      </c>
      <c r="G686" s="1" t="s">
        <v>4252</v>
      </c>
      <c r="H686" s="2"/>
      <c r="I686" s="5">
        <f>XLOOKUP(K686, pharmaceutical_index!B:B, pharmaceutical_index!A:A, "Not Found")</f>
      </c>
      <c r="J686" s="1" t="s">
        <v>1508</v>
      </c>
      <c r="K686" s="1" t="s">
        <v>1508</v>
      </c>
      <c r="L686" s="1" t="s">
        <v>20</v>
      </c>
      <c r="M686" s="1" t="s">
        <v>1508</v>
      </c>
      <c r="N686" s="2"/>
      <c r="O686" s="2"/>
      <c r="P686" s="2"/>
      <c r="Q686" s="2"/>
    </row>
    <row x14ac:dyDescent="0.25" r="687" customHeight="1" ht="17.25">
      <c r="A687" s="1" t="s">
        <v>4414</v>
      </c>
      <c r="B687" s="1" t="s">
        <v>1510</v>
      </c>
      <c r="C687" s="1" t="s">
        <v>3576</v>
      </c>
      <c r="D687" s="1" t="s">
        <v>20</v>
      </c>
      <c r="E687" s="1" t="s">
        <v>4250</v>
      </c>
      <c r="F687" s="1" t="s">
        <v>4251</v>
      </c>
      <c r="G687" s="1" t="s">
        <v>4252</v>
      </c>
      <c r="H687" s="2"/>
      <c r="I687" s="5">
        <f>XLOOKUP(K687, pharmaceutical_index!B:B, pharmaceutical_index!A:A, "Not Found")</f>
      </c>
      <c r="J687" s="1" t="s">
        <v>1510</v>
      </c>
      <c r="K687" s="1" t="s">
        <v>1510</v>
      </c>
      <c r="L687" s="1" t="s">
        <v>20</v>
      </c>
      <c r="M687" s="1" t="s">
        <v>1510</v>
      </c>
      <c r="N687" s="2"/>
      <c r="O687" s="2"/>
      <c r="P687" s="2"/>
      <c r="Q687" s="2"/>
    </row>
    <row x14ac:dyDescent="0.25" r="688" customHeight="1" ht="17.25">
      <c r="A688" s="1" t="s">
        <v>4415</v>
      </c>
      <c r="B688" s="1" t="s">
        <v>1512</v>
      </c>
      <c r="C688" s="1" t="s">
        <v>3576</v>
      </c>
      <c r="D688" s="1" t="s">
        <v>20</v>
      </c>
      <c r="E688" s="1" t="s">
        <v>4250</v>
      </c>
      <c r="F688" s="1" t="s">
        <v>4251</v>
      </c>
      <c r="G688" s="1" t="s">
        <v>4252</v>
      </c>
      <c r="H688" s="2"/>
      <c r="I688" s="5">
        <f>XLOOKUP(K688, pharmaceutical_index!B:B, pharmaceutical_index!A:A, "Not Found")</f>
      </c>
      <c r="J688" s="1" t="s">
        <v>1512</v>
      </c>
      <c r="K688" s="1" t="s">
        <v>1512</v>
      </c>
      <c r="L688" s="1" t="s">
        <v>20</v>
      </c>
      <c r="M688" s="1" t="s">
        <v>1512</v>
      </c>
      <c r="N688" s="2"/>
      <c r="O688" s="2"/>
      <c r="P688" s="2"/>
      <c r="Q688" s="2"/>
    </row>
    <row x14ac:dyDescent="0.25" r="689" customHeight="1" ht="17.25">
      <c r="A689" s="1" t="s">
        <v>4416</v>
      </c>
      <c r="B689" s="1" t="s">
        <v>1514</v>
      </c>
      <c r="C689" s="1" t="s">
        <v>3576</v>
      </c>
      <c r="D689" s="1" t="s">
        <v>20</v>
      </c>
      <c r="E689" s="1" t="s">
        <v>4250</v>
      </c>
      <c r="F689" s="1" t="s">
        <v>4251</v>
      </c>
      <c r="G689" s="1" t="s">
        <v>4252</v>
      </c>
      <c r="H689" s="2"/>
      <c r="I689" s="5">
        <f>XLOOKUP(K689, pharmaceutical_index!B:B, pharmaceutical_index!A:A, "Not Found")</f>
      </c>
      <c r="J689" s="1" t="s">
        <v>1514</v>
      </c>
      <c r="K689" s="1" t="s">
        <v>1514</v>
      </c>
      <c r="L689" s="1" t="s">
        <v>20</v>
      </c>
      <c r="M689" s="1" t="s">
        <v>1514</v>
      </c>
      <c r="N689" s="2"/>
      <c r="O689" s="2"/>
      <c r="P689" s="2"/>
      <c r="Q689" s="2"/>
    </row>
    <row x14ac:dyDescent="0.25" r="690" customHeight="1" ht="17.25">
      <c r="A690" s="1" t="s">
        <v>4417</v>
      </c>
      <c r="B690" s="1" t="s">
        <v>1516</v>
      </c>
      <c r="C690" s="1" t="s">
        <v>3576</v>
      </c>
      <c r="D690" s="1" t="s">
        <v>20</v>
      </c>
      <c r="E690" s="1" t="s">
        <v>4250</v>
      </c>
      <c r="F690" s="1" t="s">
        <v>4251</v>
      </c>
      <c r="G690" s="1" t="s">
        <v>4252</v>
      </c>
      <c r="H690" s="2"/>
      <c r="I690" s="5">
        <f>XLOOKUP(K690, pharmaceutical_index!B:B, pharmaceutical_index!A:A, "Not Found")</f>
      </c>
      <c r="J690" s="1" t="s">
        <v>1516</v>
      </c>
      <c r="K690" s="1" t="s">
        <v>1516</v>
      </c>
      <c r="L690" s="1" t="s">
        <v>20</v>
      </c>
      <c r="M690" s="1" t="s">
        <v>1516</v>
      </c>
      <c r="N690" s="2"/>
      <c r="O690" s="2"/>
      <c r="P690" s="2"/>
      <c r="Q690" s="2"/>
    </row>
    <row x14ac:dyDescent="0.25" r="691" customHeight="1" ht="17.25">
      <c r="A691" s="1" t="s">
        <v>4418</v>
      </c>
      <c r="B691" s="1" t="s">
        <v>1518</v>
      </c>
      <c r="C691" s="1" t="s">
        <v>3576</v>
      </c>
      <c r="D691" s="1" t="s">
        <v>20</v>
      </c>
      <c r="E691" s="1" t="s">
        <v>4250</v>
      </c>
      <c r="F691" s="1" t="s">
        <v>4251</v>
      </c>
      <c r="G691" s="1" t="s">
        <v>4252</v>
      </c>
      <c r="H691" s="2"/>
      <c r="I691" s="5">
        <f>XLOOKUP(K691, pharmaceutical_index!B:B, pharmaceutical_index!A:A, "Not Found")</f>
      </c>
      <c r="J691" s="1" t="s">
        <v>1518</v>
      </c>
      <c r="K691" s="1" t="s">
        <v>1518</v>
      </c>
      <c r="L691" s="1" t="s">
        <v>20</v>
      </c>
      <c r="M691" s="1" t="s">
        <v>1518</v>
      </c>
      <c r="N691" s="2"/>
      <c r="O691" s="2"/>
      <c r="P691" s="2"/>
      <c r="Q691" s="2"/>
    </row>
    <row x14ac:dyDescent="0.25" r="692" customHeight="1" ht="17.25">
      <c r="A692" s="1" t="s">
        <v>4419</v>
      </c>
      <c r="B692" s="1" t="s">
        <v>1520</v>
      </c>
      <c r="C692" s="1" t="s">
        <v>3576</v>
      </c>
      <c r="D692" s="1" t="s">
        <v>20</v>
      </c>
      <c r="E692" s="1" t="s">
        <v>4250</v>
      </c>
      <c r="F692" s="1" t="s">
        <v>4251</v>
      </c>
      <c r="G692" s="1" t="s">
        <v>4252</v>
      </c>
      <c r="H692" s="2"/>
      <c r="I692" s="5">
        <f>XLOOKUP(K692, pharmaceutical_index!B:B, pharmaceutical_index!A:A, "Not Found")</f>
      </c>
      <c r="J692" s="1" t="s">
        <v>1520</v>
      </c>
      <c r="K692" s="1" t="s">
        <v>1520</v>
      </c>
      <c r="L692" s="1" t="s">
        <v>20</v>
      </c>
      <c r="M692" s="1" t="s">
        <v>1520</v>
      </c>
      <c r="N692" s="2"/>
      <c r="O692" s="2"/>
      <c r="P692" s="2"/>
      <c r="Q692" s="2"/>
    </row>
    <row x14ac:dyDescent="0.25" r="693" customHeight="1" ht="17.25">
      <c r="A693" s="1" t="s">
        <v>4420</v>
      </c>
      <c r="B693" s="1" t="s">
        <v>1522</v>
      </c>
      <c r="C693" s="1" t="s">
        <v>3576</v>
      </c>
      <c r="D693" s="1" t="s">
        <v>20</v>
      </c>
      <c r="E693" s="1" t="s">
        <v>4250</v>
      </c>
      <c r="F693" s="1" t="s">
        <v>4251</v>
      </c>
      <c r="G693" s="1" t="s">
        <v>4252</v>
      </c>
      <c r="H693" s="2"/>
      <c r="I693" s="5">
        <f>XLOOKUP(K693, pharmaceutical_index!B:B, pharmaceutical_index!A:A, "Not Found")</f>
      </c>
      <c r="J693" s="1" t="s">
        <v>1522</v>
      </c>
      <c r="K693" s="1" t="s">
        <v>1522</v>
      </c>
      <c r="L693" s="1" t="s">
        <v>20</v>
      </c>
      <c r="M693" s="1" t="s">
        <v>1522</v>
      </c>
      <c r="N693" s="2"/>
      <c r="O693" s="2"/>
      <c r="P693" s="2"/>
      <c r="Q693" s="2"/>
    </row>
    <row x14ac:dyDescent="0.25" r="694" customHeight="1" ht="17.25">
      <c r="A694" s="1" t="s">
        <v>4421</v>
      </c>
      <c r="B694" s="1" t="s">
        <v>1524</v>
      </c>
      <c r="C694" s="1" t="s">
        <v>3576</v>
      </c>
      <c r="D694" s="1" t="s">
        <v>20</v>
      </c>
      <c r="E694" s="1" t="s">
        <v>4250</v>
      </c>
      <c r="F694" s="1" t="s">
        <v>4251</v>
      </c>
      <c r="G694" s="1" t="s">
        <v>4252</v>
      </c>
      <c r="H694" s="2"/>
      <c r="I694" s="5">
        <f>XLOOKUP(K694, pharmaceutical_index!B:B, pharmaceutical_index!A:A, "Not Found")</f>
      </c>
      <c r="J694" s="1" t="s">
        <v>1524</v>
      </c>
      <c r="K694" s="1" t="s">
        <v>1524</v>
      </c>
      <c r="L694" s="1" t="s">
        <v>20</v>
      </c>
      <c r="M694" s="1" t="s">
        <v>1524</v>
      </c>
      <c r="N694" s="2"/>
      <c r="O694" s="2"/>
      <c r="P694" s="2"/>
      <c r="Q694" s="2"/>
    </row>
    <row x14ac:dyDescent="0.25" r="695" customHeight="1" ht="17.25">
      <c r="A695" s="1" t="s">
        <v>4422</v>
      </c>
      <c r="B695" s="1" t="s">
        <v>1526</v>
      </c>
      <c r="C695" s="1" t="s">
        <v>3576</v>
      </c>
      <c r="D695" s="1" t="s">
        <v>20</v>
      </c>
      <c r="E695" s="1" t="s">
        <v>4250</v>
      </c>
      <c r="F695" s="1" t="s">
        <v>4251</v>
      </c>
      <c r="G695" s="1" t="s">
        <v>4252</v>
      </c>
      <c r="H695" s="2"/>
      <c r="I695" s="5">
        <f>XLOOKUP(K695, pharmaceutical_index!B:B, pharmaceutical_index!A:A, "Not Found")</f>
      </c>
      <c r="J695" s="1" t="s">
        <v>1526</v>
      </c>
      <c r="K695" s="1" t="s">
        <v>1526</v>
      </c>
      <c r="L695" s="1" t="s">
        <v>20</v>
      </c>
      <c r="M695" s="1" t="s">
        <v>1526</v>
      </c>
      <c r="N695" s="2"/>
      <c r="O695" s="2"/>
      <c r="P695" s="2"/>
      <c r="Q695" s="2"/>
    </row>
    <row x14ac:dyDescent="0.25" r="696" customHeight="1" ht="17.25">
      <c r="A696" s="1" t="s">
        <v>4423</v>
      </c>
      <c r="B696" s="1" t="s">
        <v>1528</v>
      </c>
      <c r="C696" s="1" t="s">
        <v>3576</v>
      </c>
      <c r="D696" s="1" t="s">
        <v>20</v>
      </c>
      <c r="E696" s="1" t="s">
        <v>4250</v>
      </c>
      <c r="F696" s="1" t="s">
        <v>4251</v>
      </c>
      <c r="G696" s="1" t="s">
        <v>4252</v>
      </c>
      <c r="H696" s="2"/>
      <c r="I696" s="5">
        <f>XLOOKUP(K696, pharmaceutical_index!B:B, pharmaceutical_index!A:A, "Not Found")</f>
      </c>
      <c r="J696" s="1" t="s">
        <v>1528</v>
      </c>
      <c r="K696" s="1" t="s">
        <v>1528</v>
      </c>
      <c r="L696" s="1" t="s">
        <v>20</v>
      </c>
      <c r="M696" s="1" t="s">
        <v>1528</v>
      </c>
      <c r="N696" s="2"/>
      <c r="O696" s="2"/>
      <c r="P696" s="2"/>
      <c r="Q696" s="2"/>
    </row>
    <row x14ac:dyDescent="0.25" r="697" customHeight="1" ht="17.25">
      <c r="A697" s="1" t="s">
        <v>4424</v>
      </c>
      <c r="B697" s="1" t="s">
        <v>1530</v>
      </c>
      <c r="C697" s="1" t="s">
        <v>3576</v>
      </c>
      <c r="D697" s="1" t="s">
        <v>20</v>
      </c>
      <c r="E697" s="1" t="s">
        <v>4250</v>
      </c>
      <c r="F697" s="1" t="s">
        <v>4251</v>
      </c>
      <c r="G697" s="1" t="s">
        <v>4252</v>
      </c>
      <c r="H697" s="2"/>
      <c r="I697" s="5">
        <f>XLOOKUP(K697, pharmaceutical_index!B:B, pharmaceutical_index!A:A, "Not Found")</f>
      </c>
      <c r="J697" s="1" t="s">
        <v>1530</v>
      </c>
      <c r="K697" s="1" t="s">
        <v>1530</v>
      </c>
      <c r="L697" s="1" t="s">
        <v>20</v>
      </c>
      <c r="M697" s="1" t="s">
        <v>1530</v>
      </c>
      <c r="N697" s="2"/>
      <c r="O697" s="2"/>
      <c r="P697" s="2"/>
      <c r="Q697" s="2"/>
    </row>
    <row x14ac:dyDescent="0.25" r="698" customHeight="1" ht="17.25">
      <c r="A698" s="1" t="s">
        <v>4425</v>
      </c>
      <c r="B698" s="1" t="s">
        <v>1532</v>
      </c>
      <c r="C698" s="1" t="s">
        <v>3576</v>
      </c>
      <c r="D698" s="1" t="s">
        <v>20</v>
      </c>
      <c r="E698" s="1" t="s">
        <v>4250</v>
      </c>
      <c r="F698" s="1" t="s">
        <v>4251</v>
      </c>
      <c r="G698" s="1" t="s">
        <v>4252</v>
      </c>
      <c r="H698" s="2"/>
      <c r="I698" s="5">
        <f>XLOOKUP(K698, pharmaceutical_index!B:B, pharmaceutical_index!A:A, "Not Found")</f>
      </c>
      <c r="J698" s="1" t="s">
        <v>1532</v>
      </c>
      <c r="K698" s="1" t="s">
        <v>1532</v>
      </c>
      <c r="L698" s="1" t="s">
        <v>20</v>
      </c>
      <c r="M698" s="1" t="s">
        <v>1532</v>
      </c>
      <c r="N698" s="2"/>
      <c r="O698" s="2"/>
      <c r="P698" s="2"/>
      <c r="Q698" s="2"/>
    </row>
    <row x14ac:dyDescent="0.25" r="699" customHeight="1" ht="17.25">
      <c r="A699" s="1" t="s">
        <v>4426</v>
      </c>
      <c r="B699" s="1" t="s">
        <v>1534</v>
      </c>
      <c r="C699" s="1" t="s">
        <v>3576</v>
      </c>
      <c r="D699" s="1" t="s">
        <v>20</v>
      </c>
      <c r="E699" s="1" t="s">
        <v>4250</v>
      </c>
      <c r="F699" s="1" t="s">
        <v>4251</v>
      </c>
      <c r="G699" s="1" t="s">
        <v>4252</v>
      </c>
      <c r="H699" s="2"/>
      <c r="I699" s="5">
        <f>XLOOKUP(K699, pharmaceutical_index!B:B, pharmaceutical_index!A:A, "Not Found")</f>
      </c>
      <c r="J699" s="1" t="s">
        <v>1534</v>
      </c>
      <c r="K699" s="1" t="s">
        <v>1534</v>
      </c>
      <c r="L699" s="1" t="s">
        <v>20</v>
      </c>
      <c r="M699" s="1" t="s">
        <v>1534</v>
      </c>
      <c r="N699" s="2"/>
      <c r="O699" s="2"/>
      <c r="P699" s="2"/>
      <c r="Q699" s="2"/>
    </row>
    <row x14ac:dyDescent="0.25" r="700" customHeight="1" ht="17.25">
      <c r="A700" s="1" t="s">
        <v>4427</v>
      </c>
      <c r="B700" s="1" t="s">
        <v>1536</v>
      </c>
      <c r="C700" s="1" t="s">
        <v>3576</v>
      </c>
      <c r="D700" s="1" t="s">
        <v>20</v>
      </c>
      <c r="E700" s="1" t="s">
        <v>4250</v>
      </c>
      <c r="F700" s="1" t="s">
        <v>4251</v>
      </c>
      <c r="G700" s="1" t="s">
        <v>4252</v>
      </c>
      <c r="H700" s="2"/>
      <c r="I700" s="5">
        <f>XLOOKUP(K700, pharmaceutical_index!B:B, pharmaceutical_index!A:A, "Not Found")</f>
      </c>
      <c r="J700" s="1" t="s">
        <v>1536</v>
      </c>
      <c r="K700" s="1" t="s">
        <v>1536</v>
      </c>
      <c r="L700" s="1" t="s">
        <v>20</v>
      </c>
      <c r="M700" s="1" t="s">
        <v>1536</v>
      </c>
      <c r="N700" s="2"/>
      <c r="O700" s="2"/>
      <c r="P700" s="2"/>
      <c r="Q700" s="2"/>
    </row>
    <row x14ac:dyDescent="0.25" r="701" customHeight="1" ht="17.25">
      <c r="A701" s="1" t="s">
        <v>4428</v>
      </c>
      <c r="B701" s="1" t="s">
        <v>1538</v>
      </c>
      <c r="C701" s="1" t="s">
        <v>3576</v>
      </c>
      <c r="D701" s="1" t="s">
        <v>20</v>
      </c>
      <c r="E701" s="1" t="s">
        <v>4250</v>
      </c>
      <c r="F701" s="1" t="s">
        <v>4251</v>
      </c>
      <c r="G701" s="1" t="s">
        <v>4252</v>
      </c>
      <c r="H701" s="2"/>
      <c r="I701" s="5">
        <f>XLOOKUP(K701, pharmaceutical_index!B:B, pharmaceutical_index!A:A, "Not Found")</f>
      </c>
      <c r="J701" s="1" t="s">
        <v>1538</v>
      </c>
      <c r="K701" s="1" t="s">
        <v>1538</v>
      </c>
      <c r="L701" s="1" t="s">
        <v>20</v>
      </c>
      <c r="M701" s="1" t="s">
        <v>1538</v>
      </c>
      <c r="N701" s="2"/>
      <c r="O701" s="2"/>
      <c r="P701" s="2"/>
      <c r="Q701" s="2"/>
    </row>
    <row x14ac:dyDescent="0.25" r="702" customHeight="1" ht="17.25">
      <c r="A702" s="1" t="s">
        <v>4429</v>
      </c>
      <c r="B702" s="1" t="s">
        <v>1540</v>
      </c>
      <c r="C702" s="1" t="s">
        <v>3576</v>
      </c>
      <c r="D702" s="1" t="s">
        <v>20</v>
      </c>
      <c r="E702" s="1" t="s">
        <v>4250</v>
      </c>
      <c r="F702" s="1" t="s">
        <v>4251</v>
      </c>
      <c r="G702" s="1" t="s">
        <v>4252</v>
      </c>
      <c r="H702" s="2"/>
      <c r="I702" s="5">
        <f>XLOOKUP(K702, pharmaceutical_index!B:B, pharmaceutical_index!A:A, "Not Found")</f>
      </c>
      <c r="J702" s="1" t="s">
        <v>1540</v>
      </c>
      <c r="K702" s="1" t="s">
        <v>1540</v>
      </c>
      <c r="L702" s="1" t="s">
        <v>20</v>
      </c>
      <c r="M702" s="1" t="s">
        <v>1540</v>
      </c>
      <c r="N702" s="2"/>
      <c r="O702" s="2"/>
      <c r="P702" s="2"/>
      <c r="Q702" s="2"/>
    </row>
    <row x14ac:dyDescent="0.25" r="703" customHeight="1" ht="17.25">
      <c r="A703" s="1" t="s">
        <v>4430</v>
      </c>
      <c r="B703" s="1" t="s">
        <v>1542</v>
      </c>
      <c r="C703" s="1" t="s">
        <v>3576</v>
      </c>
      <c r="D703" s="1" t="s">
        <v>20</v>
      </c>
      <c r="E703" s="1" t="s">
        <v>4250</v>
      </c>
      <c r="F703" s="1" t="s">
        <v>4251</v>
      </c>
      <c r="G703" s="1" t="s">
        <v>4252</v>
      </c>
      <c r="H703" s="2"/>
      <c r="I703" s="5">
        <f>XLOOKUP(K703, pharmaceutical_index!B:B, pharmaceutical_index!A:A, "Not Found")</f>
      </c>
      <c r="J703" s="1" t="s">
        <v>1542</v>
      </c>
      <c r="K703" s="1" t="s">
        <v>1542</v>
      </c>
      <c r="L703" s="1" t="s">
        <v>20</v>
      </c>
      <c r="M703" s="1" t="s">
        <v>1542</v>
      </c>
      <c r="N703" s="2"/>
      <c r="O703" s="2"/>
      <c r="P703" s="2"/>
      <c r="Q703" s="2"/>
    </row>
    <row x14ac:dyDescent="0.25" r="704" customHeight="1" ht="17.25">
      <c r="A704" s="1" t="s">
        <v>4431</v>
      </c>
      <c r="B704" s="1" t="s">
        <v>1544</v>
      </c>
      <c r="C704" s="1" t="s">
        <v>3576</v>
      </c>
      <c r="D704" s="1" t="s">
        <v>20</v>
      </c>
      <c r="E704" s="1" t="s">
        <v>4250</v>
      </c>
      <c r="F704" s="1" t="s">
        <v>4251</v>
      </c>
      <c r="G704" s="1" t="s">
        <v>4252</v>
      </c>
      <c r="H704" s="2"/>
      <c r="I704" s="5">
        <f>XLOOKUP(K704, pharmaceutical_index!B:B, pharmaceutical_index!A:A, "Not Found")</f>
      </c>
      <c r="J704" s="1" t="s">
        <v>1544</v>
      </c>
      <c r="K704" s="1" t="s">
        <v>1544</v>
      </c>
      <c r="L704" s="1" t="s">
        <v>20</v>
      </c>
      <c r="M704" s="1" t="s">
        <v>1544</v>
      </c>
      <c r="N704" s="2"/>
      <c r="O704" s="2"/>
      <c r="P704" s="2"/>
      <c r="Q704" s="2"/>
    </row>
    <row x14ac:dyDescent="0.25" r="705" customHeight="1" ht="17.25">
      <c r="A705" s="1" t="s">
        <v>4432</v>
      </c>
      <c r="B705" s="1" t="s">
        <v>1546</v>
      </c>
      <c r="C705" s="1" t="s">
        <v>3576</v>
      </c>
      <c r="D705" s="1" t="s">
        <v>20</v>
      </c>
      <c r="E705" s="1" t="s">
        <v>4250</v>
      </c>
      <c r="F705" s="1" t="s">
        <v>4251</v>
      </c>
      <c r="G705" s="1" t="s">
        <v>4252</v>
      </c>
      <c r="H705" s="2"/>
      <c r="I705" s="5">
        <f>XLOOKUP(K705, pharmaceutical_index!B:B, pharmaceutical_index!A:A, "Not Found")</f>
      </c>
      <c r="J705" s="1" t="s">
        <v>1546</v>
      </c>
      <c r="K705" s="1" t="s">
        <v>1546</v>
      </c>
      <c r="L705" s="1" t="s">
        <v>20</v>
      </c>
      <c r="M705" s="1" t="s">
        <v>1546</v>
      </c>
      <c r="N705" s="2"/>
      <c r="O705" s="2"/>
      <c r="P705" s="2"/>
      <c r="Q705" s="2"/>
    </row>
    <row x14ac:dyDescent="0.25" r="706" customHeight="1" ht="17.25">
      <c r="A706" s="1" t="s">
        <v>4433</v>
      </c>
      <c r="B706" s="1" t="s">
        <v>1548</v>
      </c>
      <c r="C706" s="1" t="s">
        <v>3576</v>
      </c>
      <c r="D706" s="1" t="s">
        <v>20</v>
      </c>
      <c r="E706" s="1" t="s">
        <v>4250</v>
      </c>
      <c r="F706" s="1" t="s">
        <v>4251</v>
      </c>
      <c r="G706" s="1" t="s">
        <v>4252</v>
      </c>
      <c r="H706" s="2"/>
      <c r="I706" s="5">
        <f>XLOOKUP(K706, pharmaceutical_index!B:B, pharmaceutical_index!A:A, "Not Found")</f>
      </c>
      <c r="J706" s="1" t="s">
        <v>1548</v>
      </c>
      <c r="K706" s="1" t="s">
        <v>1548</v>
      </c>
      <c r="L706" s="1" t="s">
        <v>20</v>
      </c>
      <c r="M706" s="1" t="s">
        <v>1548</v>
      </c>
      <c r="N706" s="2"/>
      <c r="O706" s="2"/>
      <c r="P706" s="2"/>
      <c r="Q706" s="2"/>
    </row>
    <row x14ac:dyDescent="0.25" r="707" customHeight="1" ht="17.25">
      <c r="A707" s="1" t="s">
        <v>4434</v>
      </c>
      <c r="B707" s="1" t="s">
        <v>1550</v>
      </c>
      <c r="C707" s="1" t="s">
        <v>3576</v>
      </c>
      <c r="D707" s="1" t="s">
        <v>20</v>
      </c>
      <c r="E707" s="1" t="s">
        <v>4250</v>
      </c>
      <c r="F707" s="1" t="s">
        <v>4251</v>
      </c>
      <c r="G707" s="1" t="s">
        <v>4252</v>
      </c>
      <c r="H707" s="2"/>
      <c r="I707" s="5">
        <f>XLOOKUP(K707, pharmaceutical_index!B:B, pharmaceutical_index!A:A, "Not Found")</f>
      </c>
      <c r="J707" s="1" t="s">
        <v>1550</v>
      </c>
      <c r="K707" s="1" t="s">
        <v>1550</v>
      </c>
      <c r="L707" s="1" t="s">
        <v>20</v>
      </c>
      <c r="M707" s="1" t="s">
        <v>1550</v>
      </c>
      <c r="N707" s="2"/>
      <c r="O707" s="2"/>
      <c r="P707" s="2"/>
      <c r="Q707" s="2"/>
    </row>
    <row x14ac:dyDescent="0.25" r="708" customHeight="1" ht="17.25">
      <c r="A708" s="1" t="s">
        <v>4435</v>
      </c>
      <c r="B708" s="1" t="s">
        <v>1552</v>
      </c>
      <c r="C708" s="1" t="s">
        <v>3576</v>
      </c>
      <c r="D708" s="1" t="s">
        <v>20</v>
      </c>
      <c r="E708" s="1" t="s">
        <v>4250</v>
      </c>
      <c r="F708" s="1" t="s">
        <v>4251</v>
      </c>
      <c r="G708" s="1" t="s">
        <v>4252</v>
      </c>
      <c r="H708" s="2"/>
      <c r="I708" s="5">
        <f>XLOOKUP(K708, pharmaceutical_index!B:B, pharmaceutical_index!A:A, "Not Found")</f>
      </c>
      <c r="J708" s="1" t="s">
        <v>1552</v>
      </c>
      <c r="K708" s="1" t="s">
        <v>1552</v>
      </c>
      <c r="L708" s="1" t="s">
        <v>20</v>
      </c>
      <c r="M708" s="1" t="s">
        <v>1552</v>
      </c>
      <c r="N708" s="2"/>
      <c r="O708" s="2"/>
      <c r="P708" s="2"/>
      <c r="Q708" s="2"/>
    </row>
    <row x14ac:dyDescent="0.25" r="709" customHeight="1" ht="17.25">
      <c r="A709" s="1" t="s">
        <v>4436</v>
      </c>
      <c r="B709" s="1" t="s">
        <v>1554</v>
      </c>
      <c r="C709" s="1" t="s">
        <v>3576</v>
      </c>
      <c r="D709" s="1" t="s">
        <v>20</v>
      </c>
      <c r="E709" s="1" t="s">
        <v>4250</v>
      </c>
      <c r="F709" s="1" t="s">
        <v>4251</v>
      </c>
      <c r="G709" s="1" t="s">
        <v>4252</v>
      </c>
      <c r="H709" s="2"/>
      <c r="I709" s="5">
        <f>XLOOKUP(K709, pharmaceutical_index!B:B, pharmaceutical_index!A:A, "Not Found")</f>
      </c>
      <c r="J709" s="1" t="s">
        <v>1554</v>
      </c>
      <c r="K709" s="1" t="s">
        <v>1554</v>
      </c>
      <c r="L709" s="1" t="s">
        <v>20</v>
      </c>
      <c r="M709" s="1" t="s">
        <v>1554</v>
      </c>
      <c r="N709" s="2"/>
      <c r="O709" s="2"/>
      <c r="P709" s="2"/>
      <c r="Q709" s="2"/>
    </row>
    <row x14ac:dyDescent="0.25" r="710" customHeight="1" ht="17.25">
      <c r="A710" s="1" t="s">
        <v>4437</v>
      </c>
      <c r="B710" s="1" t="s">
        <v>1556</v>
      </c>
      <c r="C710" s="1" t="s">
        <v>3576</v>
      </c>
      <c r="D710" s="1" t="s">
        <v>20</v>
      </c>
      <c r="E710" s="1" t="s">
        <v>4250</v>
      </c>
      <c r="F710" s="1" t="s">
        <v>4251</v>
      </c>
      <c r="G710" s="1" t="s">
        <v>4252</v>
      </c>
      <c r="H710" s="2"/>
      <c r="I710" s="5">
        <f>XLOOKUP(K710, pharmaceutical_index!B:B, pharmaceutical_index!A:A, "Not Found")</f>
      </c>
      <c r="J710" s="1" t="s">
        <v>1556</v>
      </c>
      <c r="K710" s="1" t="s">
        <v>1556</v>
      </c>
      <c r="L710" s="1" t="s">
        <v>20</v>
      </c>
      <c r="M710" s="1" t="s">
        <v>1556</v>
      </c>
      <c r="N710" s="2"/>
      <c r="O710" s="2"/>
      <c r="P710" s="2"/>
      <c r="Q710" s="2"/>
    </row>
    <row x14ac:dyDescent="0.25" r="711" customHeight="1" ht="17.25">
      <c r="A711" s="1" t="s">
        <v>4438</v>
      </c>
      <c r="B711" s="1" t="s">
        <v>1558</v>
      </c>
      <c r="C711" s="1" t="s">
        <v>3576</v>
      </c>
      <c r="D711" s="1" t="s">
        <v>20</v>
      </c>
      <c r="E711" s="1" t="s">
        <v>4250</v>
      </c>
      <c r="F711" s="1" t="s">
        <v>4251</v>
      </c>
      <c r="G711" s="1" t="s">
        <v>4252</v>
      </c>
      <c r="H711" s="2"/>
      <c r="I711" s="5">
        <f>XLOOKUP(K711, pharmaceutical_index!B:B, pharmaceutical_index!A:A, "Not Found")</f>
      </c>
      <c r="J711" s="1" t="s">
        <v>1558</v>
      </c>
      <c r="K711" s="1" t="s">
        <v>1558</v>
      </c>
      <c r="L711" s="1" t="s">
        <v>20</v>
      </c>
      <c r="M711" s="1" t="s">
        <v>1558</v>
      </c>
      <c r="N711" s="2"/>
      <c r="O711" s="2"/>
      <c r="P711" s="2"/>
      <c r="Q711" s="2"/>
    </row>
    <row x14ac:dyDescent="0.25" r="712" customHeight="1" ht="17.25">
      <c r="A712" s="1" t="s">
        <v>4439</v>
      </c>
      <c r="B712" s="1" t="s">
        <v>1560</v>
      </c>
      <c r="C712" s="1" t="s">
        <v>3576</v>
      </c>
      <c r="D712" s="1" t="s">
        <v>20</v>
      </c>
      <c r="E712" s="1" t="s">
        <v>4250</v>
      </c>
      <c r="F712" s="1" t="s">
        <v>4251</v>
      </c>
      <c r="G712" s="1" t="s">
        <v>4252</v>
      </c>
      <c r="H712" s="2"/>
      <c r="I712" s="5">
        <f>XLOOKUP(K712, pharmaceutical_index!B:B, pharmaceutical_index!A:A, "Not Found")</f>
      </c>
      <c r="J712" s="1" t="s">
        <v>1560</v>
      </c>
      <c r="K712" s="1" t="s">
        <v>1560</v>
      </c>
      <c r="L712" s="1" t="s">
        <v>20</v>
      </c>
      <c r="M712" s="1" t="s">
        <v>1560</v>
      </c>
      <c r="N712" s="2"/>
      <c r="O712" s="2"/>
      <c r="P712" s="2"/>
      <c r="Q712" s="2"/>
    </row>
    <row x14ac:dyDescent="0.25" r="713" customHeight="1" ht="17.25">
      <c r="A713" s="1" t="s">
        <v>4440</v>
      </c>
      <c r="B713" s="1" t="s">
        <v>1562</v>
      </c>
      <c r="C713" s="1" t="s">
        <v>3576</v>
      </c>
      <c r="D713" s="1" t="s">
        <v>20</v>
      </c>
      <c r="E713" s="1" t="s">
        <v>4250</v>
      </c>
      <c r="F713" s="1" t="s">
        <v>4251</v>
      </c>
      <c r="G713" s="1" t="s">
        <v>4252</v>
      </c>
      <c r="H713" s="2"/>
      <c r="I713" s="5">
        <f>XLOOKUP(K713, pharmaceutical_index!B:B, pharmaceutical_index!A:A, "Not Found")</f>
      </c>
      <c r="J713" s="1" t="s">
        <v>1562</v>
      </c>
      <c r="K713" s="1" t="s">
        <v>1562</v>
      </c>
      <c r="L713" s="1" t="s">
        <v>20</v>
      </c>
      <c r="M713" s="1" t="s">
        <v>1562</v>
      </c>
      <c r="N713" s="2"/>
      <c r="O713" s="2"/>
      <c r="P713" s="2"/>
      <c r="Q713" s="2"/>
    </row>
    <row x14ac:dyDescent="0.25" r="714" customHeight="1" ht="17.25">
      <c r="A714" s="1" t="s">
        <v>4441</v>
      </c>
      <c r="B714" s="1" t="s">
        <v>1564</v>
      </c>
      <c r="C714" s="1" t="s">
        <v>3576</v>
      </c>
      <c r="D714" s="1" t="s">
        <v>20</v>
      </c>
      <c r="E714" s="1" t="s">
        <v>4250</v>
      </c>
      <c r="F714" s="1" t="s">
        <v>4251</v>
      </c>
      <c r="G714" s="1" t="s">
        <v>4252</v>
      </c>
      <c r="H714" s="2"/>
      <c r="I714" s="5">
        <f>XLOOKUP(K714, pharmaceutical_index!B:B, pharmaceutical_index!A:A, "Not Found")</f>
      </c>
      <c r="J714" s="1" t="s">
        <v>1564</v>
      </c>
      <c r="K714" s="1" t="s">
        <v>1564</v>
      </c>
      <c r="L714" s="1" t="s">
        <v>20</v>
      </c>
      <c r="M714" s="1" t="s">
        <v>1564</v>
      </c>
      <c r="N714" s="2"/>
      <c r="O714" s="2"/>
      <c r="P714" s="2"/>
      <c r="Q714" s="2"/>
    </row>
    <row x14ac:dyDescent="0.25" r="715" customHeight="1" ht="17.25">
      <c r="A715" s="1" t="s">
        <v>4442</v>
      </c>
      <c r="B715" s="1" t="s">
        <v>1566</v>
      </c>
      <c r="C715" s="1" t="s">
        <v>3576</v>
      </c>
      <c r="D715" s="1" t="s">
        <v>20</v>
      </c>
      <c r="E715" s="1" t="s">
        <v>4250</v>
      </c>
      <c r="F715" s="1" t="s">
        <v>4251</v>
      </c>
      <c r="G715" s="1" t="s">
        <v>4252</v>
      </c>
      <c r="H715" s="2"/>
      <c r="I715" s="5">
        <f>XLOOKUP(K715, pharmaceutical_index!B:B, pharmaceutical_index!A:A, "Not Found")</f>
      </c>
      <c r="J715" s="1" t="s">
        <v>1566</v>
      </c>
      <c r="K715" s="1" t="s">
        <v>1566</v>
      </c>
      <c r="L715" s="1" t="s">
        <v>20</v>
      </c>
      <c r="M715" s="1" t="s">
        <v>1566</v>
      </c>
      <c r="N715" s="2"/>
      <c r="O715" s="2"/>
      <c r="P715" s="2"/>
      <c r="Q715" s="2"/>
    </row>
    <row x14ac:dyDescent="0.25" r="716" customHeight="1" ht="17.25">
      <c r="A716" s="1" t="s">
        <v>4443</v>
      </c>
      <c r="B716" s="1" t="s">
        <v>1568</v>
      </c>
      <c r="C716" s="1" t="s">
        <v>3576</v>
      </c>
      <c r="D716" s="1" t="s">
        <v>20</v>
      </c>
      <c r="E716" s="1" t="s">
        <v>4250</v>
      </c>
      <c r="F716" s="1" t="s">
        <v>4251</v>
      </c>
      <c r="G716" s="1" t="s">
        <v>4252</v>
      </c>
      <c r="H716" s="2"/>
      <c r="I716" s="5">
        <f>XLOOKUP(K716, pharmaceutical_index!B:B, pharmaceutical_index!A:A, "Not Found")</f>
      </c>
      <c r="J716" s="1" t="s">
        <v>1568</v>
      </c>
      <c r="K716" s="1" t="s">
        <v>1568</v>
      </c>
      <c r="L716" s="1" t="s">
        <v>20</v>
      </c>
      <c r="M716" s="1" t="s">
        <v>1568</v>
      </c>
      <c r="N716" s="2"/>
      <c r="O716" s="2"/>
      <c r="P716" s="2"/>
      <c r="Q716" s="2"/>
    </row>
    <row x14ac:dyDescent="0.25" r="717" customHeight="1" ht="17.25">
      <c r="A717" s="1" t="s">
        <v>4444</v>
      </c>
      <c r="B717" s="1" t="s">
        <v>1570</v>
      </c>
      <c r="C717" s="1" t="s">
        <v>3576</v>
      </c>
      <c r="D717" s="1" t="s">
        <v>20</v>
      </c>
      <c r="E717" s="1" t="s">
        <v>4250</v>
      </c>
      <c r="F717" s="1" t="s">
        <v>4251</v>
      </c>
      <c r="G717" s="1" t="s">
        <v>4252</v>
      </c>
      <c r="H717" s="2"/>
      <c r="I717" s="5">
        <f>XLOOKUP(K717, pharmaceutical_index!B:B, pharmaceutical_index!A:A, "Not Found")</f>
      </c>
      <c r="J717" s="1" t="s">
        <v>1570</v>
      </c>
      <c r="K717" s="1" t="s">
        <v>1570</v>
      </c>
      <c r="L717" s="1" t="s">
        <v>20</v>
      </c>
      <c r="M717" s="1" t="s">
        <v>1570</v>
      </c>
      <c r="N717" s="2"/>
      <c r="O717" s="2"/>
      <c r="P717" s="2"/>
      <c r="Q717" s="2"/>
    </row>
    <row x14ac:dyDescent="0.25" r="718" customHeight="1" ht="17.25">
      <c r="A718" s="1" t="s">
        <v>4445</v>
      </c>
      <c r="B718" s="1" t="s">
        <v>1572</v>
      </c>
      <c r="C718" s="1" t="s">
        <v>3576</v>
      </c>
      <c r="D718" s="1" t="s">
        <v>20</v>
      </c>
      <c r="E718" s="1" t="s">
        <v>4250</v>
      </c>
      <c r="F718" s="1" t="s">
        <v>4251</v>
      </c>
      <c r="G718" s="1" t="s">
        <v>4252</v>
      </c>
      <c r="H718" s="2"/>
      <c r="I718" s="5">
        <f>XLOOKUP(K718, pharmaceutical_index!B:B, pharmaceutical_index!A:A, "Not Found")</f>
      </c>
      <c r="J718" s="1" t="s">
        <v>1572</v>
      </c>
      <c r="K718" s="1" t="s">
        <v>1572</v>
      </c>
      <c r="L718" s="1" t="s">
        <v>20</v>
      </c>
      <c r="M718" s="1" t="s">
        <v>1572</v>
      </c>
      <c r="N718" s="2"/>
      <c r="O718" s="2"/>
      <c r="P718" s="2"/>
      <c r="Q718" s="2"/>
    </row>
    <row x14ac:dyDescent="0.25" r="719" customHeight="1" ht="17.25">
      <c r="A719" s="1" t="s">
        <v>4446</v>
      </c>
      <c r="B719" s="1" t="s">
        <v>1574</v>
      </c>
      <c r="C719" s="1" t="s">
        <v>3576</v>
      </c>
      <c r="D719" s="1" t="s">
        <v>20</v>
      </c>
      <c r="E719" s="1" t="s">
        <v>4250</v>
      </c>
      <c r="F719" s="1" t="s">
        <v>4251</v>
      </c>
      <c r="G719" s="1" t="s">
        <v>4252</v>
      </c>
      <c r="H719" s="2"/>
      <c r="I719" s="5">
        <f>XLOOKUP(K719, pharmaceutical_index!B:B, pharmaceutical_index!A:A, "Not Found")</f>
      </c>
      <c r="J719" s="1" t="s">
        <v>1574</v>
      </c>
      <c r="K719" s="1" t="s">
        <v>1574</v>
      </c>
      <c r="L719" s="1" t="s">
        <v>20</v>
      </c>
      <c r="M719" s="1" t="s">
        <v>1574</v>
      </c>
      <c r="N719" s="2"/>
      <c r="O719" s="2"/>
      <c r="P719" s="2"/>
      <c r="Q719" s="2"/>
    </row>
    <row x14ac:dyDescent="0.25" r="720" customHeight="1" ht="17.25">
      <c r="A720" s="1" t="s">
        <v>4447</v>
      </c>
      <c r="B720" s="1" t="s">
        <v>1576</v>
      </c>
      <c r="C720" s="1" t="s">
        <v>3576</v>
      </c>
      <c r="D720" s="1" t="s">
        <v>20</v>
      </c>
      <c r="E720" s="1" t="s">
        <v>4250</v>
      </c>
      <c r="F720" s="1" t="s">
        <v>4251</v>
      </c>
      <c r="G720" s="1" t="s">
        <v>4252</v>
      </c>
      <c r="H720" s="2"/>
      <c r="I720" s="5">
        <f>XLOOKUP(K720, pharmaceutical_index!B:B, pharmaceutical_index!A:A, "Not Found")</f>
      </c>
      <c r="J720" s="1" t="s">
        <v>1576</v>
      </c>
      <c r="K720" s="1" t="s">
        <v>1576</v>
      </c>
      <c r="L720" s="1" t="s">
        <v>20</v>
      </c>
      <c r="M720" s="1" t="s">
        <v>1576</v>
      </c>
      <c r="N720" s="2"/>
      <c r="O720" s="2"/>
      <c r="P720" s="2"/>
      <c r="Q720" s="2"/>
    </row>
    <row x14ac:dyDescent="0.25" r="721" customHeight="1" ht="17.25">
      <c r="A721" s="1" t="s">
        <v>4448</v>
      </c>
      <c r="B721" s="1" t="s">
        <v>1578</v>
      </c>
      <c r="C721" s="1" t="s">
        <v>3576</v>
      </c>
      <c r="D721" s="1" t="s">
        <v>20</v>
      </c>
      <c r="E721" s="1" t="s">
        <v>4250</v>
      </c>
      <c r="F721" s="1" t="s">
        <v>4251</v>
      </c>
      <c r="G721" s="1" t="s">
        <v>4252</v>
      </c>
      <c r="H721" s="2"/>
      <c r="I721" s="5">
        <f>XLOOKUP(K721, pharmaceutical_index!B:B, pharmaceutical_index!A:A, "Not Found")</f>
      </c>
      <c r="J721" s="1" t="s">
        <v>1578</v>
      </c>
      <c r="K721" s="1" t="s">
        <v>1578</v>
      </c>
      <c r="L721" s="1" t="s">
        <v>20</v>
      </c>
      <c r="M721" s="1" t="s">
        <v>1578</v>
      </c>
      <c r="N721" s="2"/>
      <c r="O721" s="2"/>
      <c r="P721" s="2"/>
      <c r="Q721" s="2"/>
    </row>
    <row x14ac:dyDescent="0.25" r="722" customHeight="1" ht="17.25">
      <c r="A722" s="1" t="s">
        <v>4449</v>
      </c>
      <c r="B722" s="1" t="s">
        <v>1580</v>
      </c>
      <c r="C722" s="1" t="s">
        <v>3576</v>
      </c>
      <c r="D722" s="1" t="s">
        <v>20</v>
      </c>
      <c r="E722" s="1" t="s">
        <v>4250</v>
      </c>
      <c r="F722" s="1" t="s">
        <v>4251</v>
      </c>
      <c r="G722" s="1" t="s">
        <v>4252</v>
      </c>
      <c r="H722" s="2"/>
      <c r="I722" s="5">
        <f>XLOOKUP(K722, pharmaceutical_index!B:B, pharmaceutical_index!A:A, "Not Found")</f>
      </c>
      <c r="J722" s="1" t="s">
        <v>1580</v>
      </c>
      <c r="K722" s="1" t="s">
        <v>1580</v>
      </c>
      <c r="L722" s="1" t="s">
        <v>20</v>
      </c>
      <c r="M722" s="1" t="s">
        <v>1580</v>
      </c>
      <c r="N722" s="2"/>
      <c r="O722" s="2"/>
      <c r="P722" s="2"/>
      <c r="Q722" s="2"/>
    </row>
    <row x14ac:dyDescent="0.25" r="723" customHeight="1" ht="17.25">
      <c r="A723" s="1" t="s">
        <v>4450</v>
      </c>
      <c r="B723" s="1" t="s">
        <v>1582</v>
      </c>
      <c r="C723" s="1" t="s">
        <v>3576</v>
      </c>
      <c r="D723" s="1" t="s">
        <v>20</v>
      </c>
      <c r="E723" s="1" t="s">
        <v>4250</v>
      </c>
      <c r="F723" s="1" t="s">
        <v>4251</v>
      </c>
      <c r="G723" s="1" t="s">
        <v>4252</v>
      </c>
      <c r="H723" s="2"/>
      <c r="I723" s="5">
        <f>XLOOKUP(K723, pharmaceutical_index!B:B, pharmaceutical_index!A:A, "Not Found")</f>
      </c>
      <c r="J723" s="1" t="s">
        <v>1582</v>
      </c>
      <c r="K723" s="1" t="s">
        <v>1582</v>
      </c>
      <c r="L723" s="1" t="s">
        <v>20</v>
      </c>
      <c r="M723" s="1" t="s">
        <v>1582</v>
      </c>
      <c r="N723" s="2"/>
      <c r="O723" s="2"/>
      <c r="P723" s="2"/>
      <c r="Q723" s="2"/>
    </row>
    <row x14ac:dyDescent="0.25" r="724" customHeight="1" ht="17.25">
      <c r="A724" s="1" t="s">
        <v>4451</v>
      </c>
      <c r="B724" s="1" t="s">
        <v>1584</v>
      </c>
      <c r="C724" s="1" t="s">
        <v>3576</v>
      </c>
      <c r="D724" s="1" t="s">
        <v>20</v>
      </c>
      <c r="E724" s="1" t="s">
        <v>4250</v>
      </c>
      <c r="F724" s="1" t="s">
        <v>4251</v>
      </c>
      <c r="G724" s="1" t="s">
        <v>4252</v>
      </c>
      <c r="H724" s="2"/>
      <c r="I724" s="5">
        <f>XLOOKUP(K724, pharmaceutical_index!B:B, pharmaceutical_index!A:A, "Not Found")</f>
      </c>
      <c r="J724" s="1" t="s">
        <v>1584</v>
      </c>
      <c r="K724" s="1" t="s">
        <v>1584</v>
      </c>
      <c r="L724" s="1" t="s">
        <v>20</v>
      </c>
      <c r="M724" s="1" t="s">
        <v>1584</v>
      </c>
      <c r="N724" s="2"/>
      <c r="O724" s="2"/>
      <c r="P724" s="2"/>
      <c r="Q724" s="2"/>
    </row>
    <row x14ac:dyDescent="0.25" r="725" customHeight="1" ht="17.25">
      <c r="A725" s="1" t="s">
        <v>4452</v>
      </c>
      <c r="B725" s="1" t="s">
        <v>1586</v>
      </c>
      <c r="C725" s="1" t="s">
        <v>3576</v>
      </c>
      <c r="D725" s="1" t="s">
        <v>20</v>
      </c>
      <c r="E725" s="1" t="s">
        <v>4250</v>
      </c>
      <c r="F725" s="1" t="s">
        <v>4251</v>
      </c>
      <c r="G725" s="1" t="s">
        <v>4252</v>
      </c>
      <c r="H725" s="2"/>
      <c r="I725" s="5">
        <f>XLOOKUP(K725, pharmaceutical_index!B:B, pharmaceutical_index!A:A, "Not Found")</f>
      </c>
      <c r="J725" s="1" t="s">
        <v>1586</v>
      </c>
      <c r="K725" s="1" t="s">
        <v>1586</v>
      </c>
      <c r="L725" s="1" t="s">
        <v>20</v>
      </c>
      <c r="M725" s="1" t="s">
        <v>1586</v>
      </c>
      <c r="N725" s="2"/>
      <c r="O725" s="2"/>
      <c r="P725" s="2"/>
      <c r="Q725" s="2"/>
    </row>
    <row x14ac:dyDescent="0.25" r="726" customHeight="1" ht="17.25">
      <c r="A726" s="1" t="s">
        <v>4453</v>
      </c>
      <c r="B726" s="1" t="s">
        <v>1588</v>
      </c>
      <c r="C726" s="1" t="s">
        <v>3576</v>
      </c>
      <c r="D726" s="1" t="s">
        <v>20</v>
      </c>
      <c r="E726" s="1" t="s">
        <v>4250</v>
      </c>
      <c r="F726" s="1" t="s">
        <v>4251</v>
      </c>
      <c r="G726" s="1" t="s">
        <v>4252</v>
      </c>
      <c r="H726" s="2"/>
      <c r="I726" s="5">
        <f>XLOOKUP(K726, pharmaceutical_index!B:B, pharmaceutical_index!A:A, "Not Found")</f>
      </c>
      <c r="J726" s="1" t="s">
        <v>1588</v>
      </c>
      <c r="K726" s="1" t="s">
        <v>1588</v>
      </c>
      <c r="L726" s="1" t="s">
        <v>20</v>
      </c>
      <c r="M726" s="1" t="s">
        <v>1588</v>
      </c>
      <c r="N726" s="2"/>
      <c r="O726" s="2"/>
      <c r="P726" s="2"/>
      <c r="Q726" s="2"/>
    </row>
    <row x14ac:dyDescent="0.25" r="727" customHeight="1" ht="17.25">
      <c r="A727" s="1" t="s">
        <v>4454</v>
      </c>
      <c r="B727" s="1" t="s">
        <v>1590</v>
      </c>
      <c r="C727" s="1" t="s">
        <v>3576</v>
      </c>
      <c r="D727" s="1" t="s">
        <v>20</v>
      </c>
      <c r="E727" s="1" t="s">
        <v>4250</v>
      </c>
      <c r="F727" s="1" t="s">
        <v>4251</v>
      </c>
      <c r="G727" s="1" t="s">
        <v>4252</v>
      </c>
      <c r="H727" s="2"/>
      <c r="I727" s="5">
        <f>XLOOKUP(K727, pharmaceutical_index!B:B, pharmaceutical_index!A:A, "Not Found")</f>
      </c>
      <c r="J727" s="1" t="s">
        <v>1590</v>
      </c>
      <c r="K727" s="1" t="s">
        <v>1590</v>
      </c>
      <c r="L727" s="1" t="s">
        <v>20</v>
      </c>
      <c r="M727" s="1" t="s">
        <v>1590</v>
      </c>
      <c r="N727" s="2"/>
      <c r="O727" s="2"/>
      <c r="P727" s="2"/>
      <c r="Q727" s="2"/>
    </row>
    <row x14ac:dyDescent="0.25" r="728" customHeight="1" ht="17.25">
      <c r="A728" s="1" t="s">
        <v>4455</v>
      </c>
      <c r="B728" s="1" t="s">
        <v>1592</v>
      </c>
      <c r="C728" s="1" t="s">
        <v>3576</v>
      </c>
      <c r="D728" s="1" t="s">
        <v>20</v>
      </c>
      <c r="E728" s="1" t="s">
        <v>4250</v>
      </c>
      <c r="F728" s="1" t="s">
        <v>4251</v>
      </c>
      <c r="G728" s="1" t="s">
        <v>4252</v>
      </c>
      <c r="H728" s="2"/>
      <c r="I728" s="5">
        <f>XLOOKUP(K728, pharmaceutical_index!B:B, pharmaceutical_index!A:A, "Not Found")</f>
      </c>
      <c r="J728" s="1" t="s">
        <v>1592</v>
      </c>
      <c r="K728" s="1" t="s">
        <v>1592</v>
      </c>
      <c r="L728" s="1" t="s">
        <v>20</v>
      </c>
      <c r="M728" s="1" t="s">
        <v>1592</v>
      </c>
      <c r="N728" s="2"/>
      <c r="O728" s="2"/>
      <c r="P728" s="2"/>
      <c r="Q728" s="2"/>
    </row>
    <row x14ac:dyDescent="0.25" r="729" customHeight="1" ht="17.25">
      <c r="A729" s="1" t="s">
        <v>4456</v>
      </c>
      <c r="B729" s="1" t="s">
        <v>1594</v>
      </c>
      <c r="C729" s="1" t="s">
        <v>3576</v>
      </c>
      <c r="D729" s="1" t="s">
        <v>20</v>
      </c>
      <c r="E729" s="1" t="s">
        <v>4250</v>
      </c>
      <c r="F729" s="1" t="s">
        <v>4251</v>
      </c>
      <c r="G729" s="1" t="s">
        <v>4252</v>
      </c>
      <c r="H729" s="2"/>
      <c r="I729" s="5">
        <f>XLOOKUP(K729, pharmaceutical_index!B:B, pharmaceutical_index!A:A, "Not Found")</f>
      </c>
      <c r="J729" s="1" t="s">
        <v>1594</v>
      </c>
      <c r="K729" s="1" t="s">
        <v>1594</v>
      </c>
      <c r="L729" s="1" t="s">
        <v>20</v>
      </c>
      <c r="M729" s="1" t="s">
        <v>1594</v>
      </c>
      <c r="N729" s="2"/>
      <c r="O729" s="2"/>
      <c r="P729" s="2"/>
      <c r="Q729" s="2"/>
    </row>
    <row x14ac:dyDescent="0.25" r="730" customHeight="1" ht="17.25">
      <c r="A730" s="1" t="s">
        <v>4457</v>
      </c>
      <c r="B730" s="1" t="s">
        <v>1596</v>
      </c>
      <c r="C730" s="1" t="s">
        <v>3576</v>
      </c>
      <c r="D730" s="1" t="s">
        <v>20</v>
      </c>
      <c r="E730" s="1" t="s">
        <v>4250</v>
      </c>
      <c r="F730" s="1" t="s">
        <v>4251</v>
      </c>
      <c r="G730" s="1" t="s">
        <v>4252</v>
      </c>
      <c r="H730" s="2"/>
      <c r="I730" s="5">
        <f>XLOOKUP(K730, pharmaceutical_index!B:B, pharmaceutical_index!A:A, "Not Found")</f>
      </c>
      <c r="J730" s="1" t="s">
        <v>1596</v>
      </c>
      <c r="K730" s="1" t="s">
        <v>1596</v>
      </c>
      <c r="L730" s="1" t="s">
        <v>20</v>
      </c>
      <c r="M730" s="1" t="s">
        <v>1596</v>
      </c>
      <c r="N730" s="2"/>
      <c r="O730" s="2"/>
      <c r="P730" s="2"/>
      <c r="Q730" s="2"/>
    </row>
    <row x14ac:dyDescent="0.25" r="731" customHeight="1" ht="17.25">
      <c r="A731" s="1" t="s">
        <v>4458</v>
      </c>
      <c r="B731" s="1" t="s">
        <v>1598</v>
      </c>
      <c r="C731" s="1" t="s">
        <v>3576</v>
      </c>
      <c r="D731" s="1" t="s">
        <v>20</v>
      </c>
      <c r="E731" s="1" t="s">
        <v>4250</v>
      </c>
      <c r="F731" s="1" t="s">
        <v>4251</v>
      </c>
      <c r="G731" s="1" t="s">
        <v>4252</v>
      </c>
      <c r="H731" s="2"/>
      <c r="I731" s="5">
        <f>XLOOKUP(K731, pharmaceutical_index!B:B, pharmaceutical_index!A:A, "Not Found")</f>
      </c>
      <c r="J731" s="1" t="s">
        <v>1598</v>
      </c>
      <c r="K731" s="1" t="s">
        <v>1598</v>
      </c>
      <c r="L731" s="1" t="s">
        <v>20</v>
      </c>
      <c r="M731" s="1" t="s">
        <v>1598</v>
      </c>
      <c r="N731" s="2"/>
      <c r="O731" s="2"/>
      <c r="P731" s="2"/>
      <c r="Q731" s="2"/>
    </row>
    <row x14ac:dyDescent="0.25" r="732" customHeight="1" ht="17.25">
      <c r="A732" s="1" t="s">
        <v>4459</v>
      </c>
      <c r="B732" s="1" t="s">
        <v>1600</v>
      </c>
      <c r="C732" s="1" t="s">
        <v>3576</v>
      </c>
      <c r="D732" s="1" t="s">
        <v>20</v>
      </c>
      <c r="E732" s="1" t="s">
        <v>4250</v>
      </c>
      <c r="F732" s="1" t="s">
        <v>4251</v>
      </c>
      <c r="G732" s="1" t="s">
        <v>4252</v>
      </c>
      <c r="H732" s="2"/>
      <c r="I732" s="5">
        <f>XLOOKUP(K732, pharmaceutical_index!B:B, pharmaceutical_index!A:A, "Not Found")</f>
      </c>
      <c r="J732" s="1" t="s">
        <v>1600</v>
      </c>
      <c r="K732" s="1" t="s">
        <v>1600</v>
      </c>
      <c r="L732" s="1" t="s">
        <v>20</v>
      </c>
      <c r="M732" s="1" t="s">
        <v>1600</v>
      </c>
      <c r="N732" s="2"/>
      <c r="O732" s="2"/>
      <c r="P732" s="2"/>
      <c r="Q732" s="2"/>
    </row>
    <row x14ac:dyDescent="0.25" r="733" customHeight="1" ht="17.25">
      <c r="A733" s="1" t="s">
        <v>4460</v>
      </c>
      <c r="B733" s="1" t="s">
        <v>1602</v>
      </c>
      <c r="C733" s="1" t="s">
        <v>3576</v>
      </c>
      <c r="D733" s="1" t="s">
        <v>20</v>
      </c>
      <c r="E733" s="1" t="s">
        <v>4250</v>
      </c>
      <c r="F733" s="1" t="s">
        <v>4251</v>
      </c>
      <c r="G733" s="1" t="s">
        <v>4252</v>
      </c>
      <c r="H733" s="2"/>
      <c r="I733" s="5">
        <f>XLOOKUP(K733, pharmaceutical_index!B:B, pharmaceutical_index!A:A, "Not Found")</f>
      </c>
      <c r="J733" s="1" t="s">
        <v>1602</v>
      </c>
      <c r="K733" s="1" t="s">
        <v>1602</v>
      </c>
      <c r="L733" s="1" t="s">
        <v>20</v>
      </c>
      <c r="M733" s="1" t="s">
        <v>1602</v>
      </c>
      <c r="N733" s="2"/>
      <c r="O733" s="2"/>
      <c r="P733" s="2"/>
      <c r="Q733" s="2"/>
    </row>
    <row x14ac:dyDescent="0.25" r="734" customHeight="1" ht="17.25">
      <c r="A734" s="1" t="s">
        <v>4461</v>
      </c>
      <c r="B734" s="1" t="s">
        <v>1604</v>
      </c>
      <c r="C734" s="1" t="s">
        <v>3576</v>
      </c>
      <c r="D734" s="1" t="s">
        <v>20</v>
      </c>
      <c r="E734" s="1" t="s">
        <v>4250</v>
      </c>
      <c r="F734" s="1" t="s">
        <v>4251</v>
      </c>
      <c r="G734" s="1" t="s">
        <v>4252</v>
      </c>
      <c r="H734" s="2"/>
      <c r="I734" s="5">
        <f>XLOOKUP(K734, pharmaceutical_index!B:B, pharmaceutical_index!A:A, "Not Found")</f>
      </c>
      <c r="J734" s="1" t="s">
        <v>1604</v>
      </c>
      <c r="K734" s="1" t="s">
        <v>1604</v>
      </c>
      <c r="L734" s="1" t="s">
        <v>20</v>
      </c>
      <c r="M734" s="1" t="s">
        <v>1604</v>
      </c>
      <c r="N734" s="2"/>
      <c r="O734" s="2"/>
      <c r="P734" s="2"/>
      <c r="Q734" s="2"/>
    </row>
    <row x14ac:dyDescent="0.25" r="735" customHeight="1" ht="17.25">
      <c r="A735" s="1" t="s">
        <v>4462</v>
      </c>
      <c r="B735" s="1" t="s">
        <v>1606</v>
      </c>
      <c r="C735" s="1" t="s">
        <v>3576</v>
      </c>
      <c r="D735" s="1" t="s">
        <v>20</v>
      </c>
      <c r="E735" s="1" t="s">
        <v>4250</v>
      </c>
      <c r="F735" s="1" t="s">
        <v>4251</v>
      </c>
      <c r="G735" s="1" t="s">
        <v>4252</v>
      </c>
      <c r="H735" s="2"/>
      <c r="I735" s="5">
        <f>XLOOKUP(K735, pharmaceutical_index!B:B, pharmaceutical_index!A:A, "Not Found")</f>
      </c>
      <c r="J735" s="1" t="s">
        <v>1606</v>
      </c>
      <c r="K735" s="1" t="s">
        <v>1606</v>
      </c>
      <c r="L735" s="1" t="s">
        <v>20</v>
      </c>
      <c r="M735" s="1" t="s">
        <v>1606</v>
      </c>
      <c r="N735" s="2"/>
      <c r="O735" s="2"/>
      <c r="P735" s="2"/>
      <c r="Q735" s="2"/>
    </row>
    <row x14ac:dyDescent="0.25" r="736" customHeight="1" ht="17.25">
      <c r="A736" s="1" t="s">
        <v>4463</v>
      </c>
      <c r="B736" s="1" t="s">
        <v>1608</v>
      </c>
      <c r="C736" s="1" t="s">
        <v>3576</v>
      </c>
      <c r="D736" s="1" t="s">
        <v>20</v>
      </c>
      <c r="E736" s="1" t="s">
        <v>4250</v>
      </c>
      <c r="F736" s="1" t="s">
        <v>4251</v>
      </c>
      <c r="G736" s="1" t="s">
        <v>4252</v>
      </c>
      <c r="H736" s="2"/>
      <c r="I736" s="5">
        <f>XLOOKUP(K736, pharmaceutical_index!B:B, pharmaceutical_index!A:A, "Not Found")</f>
      </c>
      <c r="J736" s="1" t="s">
        <v>1608</v>
      </c>
      <c r="K736" s="1" t="s">
        <v>1608</v>
      </c>
      <c r="L736" s="1" t="s">
        <v>20</v>
      </c>
      <c r="M736" s="1" t="s">
        <v>1608</v>
      </c>
      <c r="N736" s="2"/>
      <c r="O736" s="2"/>
      <c r="P736" s="2"/>
      <c r="Q736" s="2"/>
    </row>
    <row x14ac:dyDescent="0.25" r="737" customHeight="1" ht="17.25">
      <c r="A737" s="1" t="s">
        <v>4464</v>
      </c>
      <c r="B737" s="1" t="s">
        <v>1610</v>
      </c>
      <c r="C737" s="1" t="s">
        <v>3576</v>
      </c>
      <c r="D737" s="1" t="s">
        <v>20</v>
      </c>
      <c r="E737" s="1" t="s">
        <v>4250</v>
      </c>
      <c r="F737" s="1" t="s">
        <v>4251</v>
      </c>
      <c r="G737" s="1" t="s">
        <v>4252</v>
      </c>
      <c r="H737" s="2"/>
      <c r="I737" s="5">
        <f>XLOOKUP(K737, pharmaceutical_index!B:B, pharmaceutical_index!A:A, "Not Found")</f>
      </c>
      <c r="J737" s="1" t="s">
        <v>1610</v>
      </c>
      <c r="K737" s="1" t="s">
        <v>1610</v>
      </c>
      <c r="L737" s="1" t="s">
        <v>20</v>
      </c>
      <c r="M737" s="1" t="s">
        <v>1610</v>
      </c>
      <c r="N737" s="2"/>
      <c r="O737" s="2"/>
      <c r="P737" s="2"/>
      <c r="Q737" s="2"/>
    </row>
    <row x14ac:dyDescent="0.25" r="738" customHeight="1" ht="17.25">
      <c r="A738" s="1" t="s">
        <v>4465</v>
      </c>
      <c r="B738" s="1" t="s">
        <v>1612</v>
      </c>
      <c r="C738" s="1" t="s">
        <v>3576</v>
      </c>
      <c r="D738" s="1" t="s">
        <v>20</v>
      </c>
      <c r="E738" s="1" t="s">
        <v>4250</v>
      </c>
      <c r="F738" s="1" t="s">
        <v>4251</v>
      </c>
      <c r="G738" s="1" t="s">
        <v>4252</v>
      </c>
      <c r="H738" s="2"/>
      <c r="I738" s="5">
        <f>XLOOKUP(K738, pharmaceutical_index!B:B, pharmaceutical_index!A:A, "Not Found")</f>
      </c>
      <c r="J738" s="1" t="s">
        <v>1612</v>
      </c>
      <c r="K738" s="1" t="s">
        <v>1612</v>
      </c>
      <c r="L738" s="1" t="s">
        <v>20</v>
      </c>
      <c r="M738" s="1" t="s">
        <v>1612</v>
      </c>
      <c r="N738" s="2"/>
      <c r="O738" s="2"/>
      <c r="P738" s="2"/>
      <c r="Q738" s="2"/>
    </row>
    <row x14ac:dyDescent="0.25" r="739" customHeight="1" ht="17.25">
      <c r="A739" s="1" t="s">
        <v>4466</v>
      </c>
      <c r="B739" s="1" t="s">
        <v>1614</v>
      </c>
      <c r="C739" s="1" t="s">
        <v>3576</v>
      </c>
      <c r="D739" s="1" t="s">
        <v>20</v>
      </c>
      <c r="E739" s="1" t="s">
        <v>4250</v>
      </c>
      <c r="F739" s="1" t="s">
        <v>4251</v>
      </c>
      <c r="G739" s="1" t="s">
        <v>4252</v>
      </c>
      <c r="H739" s="2"/>
      <c r="I739" s="5">
        <f>XLOOKUP(K739, pharmaceutical_index!B:B, pharmaceutical_index!A:A, "Not Found")</f>
      </c>
      <c r="J739" s="1" t="s">
        <v>1614</v>
      </c>
      <c r="K739" s="1" t="s">
        <v>1614</v>
      </c>
      <c r="L739" s="1" t="s">
        <v>20</v>
      </c>
      <c r="M739" s="1" t="s">
        <v>1614</v>
      </c>
      <c r="N739" s="2"/>
      <c r="O739" s="2"/>
      <c r="P739" s="2"/>
      <c r="Q739" s="2"/>
    </row>
    <row x14ac:dyDescent="0.25" r="740" customHeight="1" ht="17.25">
      <c r="A740" s="1" t="s">
        <v>4467</v>
      </c>
      <c r="B740" s="1" t="s">
        <v>1616</v>
      </c>
      <c r="C740" s="1" t="s">
        <v>3576</v>
      </c>
      <c r="D740" s="1" t="s">
        <v>20</v>
      </c>
      <c r="E740" s="1" t="s">
        <v>4250</v>
      </c>
      <c r="F740" s="1" t="s">
        <v>4251</v>
      </c>
      <c r="G740" s="1" t="s">
        <v>4252</v>
      </c>
      <c r="H740" s="2"/>
      <c r="I740" s="5">
        <f>XLOOKUP(K740, pharmaceutical_index!B:B, pharmaceutical_index!A:A, "Not Found")</f>
      </c>
      <c r="J740" s="1" t="s">
        <v>1616</v>
      </c>
      <c r="K740" s="1" t="s">
        <v>1616</v>
      </c>
      <c r="L740" s="1" t="s">
        <v>20</v>
      </c>
      <c r="M740" s="1" t="s">
        <v>1616</v>
      </c>
      <c r="N740" s="2"/>
      <c r="O740" s="2"/>
      <c r="P740" s="2"/>
      <c r="Q740" s="2"/>
    </row>
    <row x14ac:dyDescent="0.25" r="741" customHeight="1" ht="17.25">
      <c r="A741" s="1" t="s">
        <v>4468</v>
      </c>
      <c r="B741" s="1" t="s">
        <v>1618</v>
      </c>
      <c r="C741" s="1" t="s">
        <v>3576</v>
      </c>
      <c r="D741" s="1" t="s">
        <v>20</v>
      </c>
      <c r="E741" s="1" t="s">
        <v>4250</v>
      </c>
      <c r="F741" s="1" t="s">
        <v>4251</v>
      </c>
      <c r="G741" s="1" t="s">
        <v>4252</v>
      </c>
      <c r="H741" s="2"/>
      <c r="I741" s="5">
        <f>XLOOKUP(K741, pharmaceutical_index!B:B, pharmaceutical_index!A:A, "Not Found")</f>
      </c>
      <c r="J741" s="1" t="s">
        <v>1618</v>
      </c>
      <c r="K741" s="1" t="s">
        <v>1618</v>
      </c>
      <c r="L741" s="1" t="s">
        <v>20</v>
      </c>
      <c r="M741" s="1" t="s">
        <v>1618</v>
      </c>
      <c r="N741" s="2"/>
      <c r="O741" s="2"/>
      <c r="P741" s="2"/>
      <c r="Q741" s="2"/>
    </row>
    <row x14ac:dyDescent="0.25" r="742" customHeight="1" ht="17.25">
      <c r="A742" s="1" t="s">
        <v>4469</v>
      </c>
      <c r="B742" s="1" t="s">
        <v>1620</v>
      </c>
      <c r="C742" s="1" t="s">
        <v>3576</v>
      </c>
      <c r="D742" s="1" t="s">
        <v>20</v>
      </c>
      <c r="E742" s="1" t="s">
        <v>4250</v>
      </c>
      <c r="F742" s="1" t="s">
        <v>4251</v>
      </c>
      <c r="G742" s="1" t="s">
        <v>4252</v>
      </c>
      <c r="H742" s="2"/>
      <c r="I742" s="5">
        <f>XLOOKUP(K742, pharmaceutical_index!B:B, pharmaceutical_index!A:A, "Not Found")</f>
      </c>
      <c r="J742" s="1" t="s">
        <v>1620</v>
      </c>
      <c r="K742" s="1" t="s">
        <v>1620</v>
      </c>
      <c r="L742" s="1" t="s">
        <v>20</v>
      </c>
      <c r="M742" s="1" t="s">
        <v>1620</v>
      </c>
      <c r="N742" s="2"/>
      <c r="O742" s="2"/>
      <c r="P742" s="2"/>
      <c r="Q742" s="2"/>
    </row>
    <row x14ac:dyDescent="0.25" r="743" customHeight="1" ht="17.25">
      <c r="A743" s="1" t="s">
        <v>4470</v>
      </c>
      <c r="B743" s="1" t="s">
        <v>1622</v>
      </c>
      <c r="C743" s="1" t="s">
        <v>3576</v>
      </c>
      <c r="D743" s="1" t="s">
        <v>20</v>
      </c>
      <c r="E743" s="1" t="s">
        <v>4250</v>
      </c>
      <c r="F743" s="1" t="s">
        <v>4251</v>
      </c>
      <c r="G743" s="1" t="s">
        <v>4252</v>
      </c>
      <c r="H743" s="2"/>
      <c r="I743" s="5">
        <f>XLOOKUP(K743, pharmaceutical_index!B:B, pharmaceutical_index!A:A, "Not Found")</f>
      </c>
      <c r="J743" s="1" t="s">
        <v>1622</v>
      </c>
      <c r="K743" s="1" t="s">
        <v>1622</v>
      </c>
      <c r="L743" s="1" t="s">
        <v>20</v>
      </c>
      <c r="M743" s="1" t="s">
        <v>1622</v>
      </c>
      <c r="N743" s="2"/>
      <c r="O743" s="2"/>
      <c r="P743" s="2"/>
      <c r="Q743" s="2"/>
    </row>
    <row x14ac:dyDescent="0.25" r="744" customHeight="1" ht="17.25">
      <c r="A744" s="1" t="s">
        <v>4471</v>
      </c>
      <c r="B744" s="1" t="s">
        <v>1624</v>
      </c>
      <c r="C744" s="1" t="s">
        <v>3576</v>
      </c>
      <c r="D744" s="1" t="s">
        <v>20</v>
      </c>
      <c r="E744" s="1" t="s">
        <v>4250</v>
      </c>
      <c r="F744" s="1" t="s">
        <v>4251</v>
      </c>
      <c r="G744" s="1" t="s">
        <v>4252</v>
      </c>
      <c r="H744" s="2"/>
      <c r="I744" s="5">
        <f>XLOOKUP(K744, pharmaceutical_index!B:B, pharmaceutical_index!A:A, "Not Found")</f>
      </c>
      <c r="J744" s="1" t="s">
        <v>1624</v>
      </c>
      <c r="K744" s="1" t="s">
        <v>1624</v>
      </c>
      <c r="L744" s="1" t="s">
        <v>20</v>
      </c>
      <c r="M744" s="1" t="s">
        <v>1624</v>
      </c>
      <c r="N744" s="2"/>
      <c r="O744" s="2"/>
      <c r="P744" s="2"/>
      <c r="Q744" s="2"/>
    </row>
    <row x14ac:dyDescent="0.25" r="745" customHeight="1" ht="17.25">
      <c r="A745" s="1" t="s">
        <v>4472</v>
      </c>
      <c r="B745" s="1" t="s">
        <v>1626</v>
      </c>
      <c r="C745" s="1" t="s">
        <v>3576</v>
      </c>
      <c r="D745" s="1" t="s">
        <v>20</v>
      </c>
      <c r="E745" s="1" t="s">
        <v>4250</v>
      </c>
      <c r="F745" s="1" t="s">
        <v>4251</v>
      </c>
      <c r="G745" s="1" t="s">
        <v>4252</v>
      </c>
      <c r="H745" s="2"/>
      <c r="I745" s="5">
        <f>XLOOKUP(K745, pharmaceutical_index!B:B, pharmaceutical_index!A:A, "Not Found")</f>
      </c>
      <c r="J745" s="1" t="s">
        <v>1626</v>
      </c>
      <c r="K745" s="1" t="s">
        <v>1626</v>
      </c>
      <c r="L745" s="1" t="s">
        <v>20</v>
      </c>
      <c r="M745" s="1" t="s">
        <v>1626</v>
      </c>
      <c r="N745" s="2"/>
      <c r="O745" s="2"/>
      <c r="P745" s="2"/>
      <c r="Q745" s="2"/>
    </row>
    <row x14ac:dyDescent="0.25" r="746" customHeight="1" ht="17.25">
      <c r="A746" s="1" t="s">
        <v>4473</v>
      </c>
      <c r="B746" s="1" t="s">
        <v>1628</v>
      </c>
      <c r="C746" s="1" t="s">
        <v>3576</v>
      </c>
      <c r="D746" s="1" t="s">
        <v>20</v>
      </c>
      <c r="E746" s="1" t="s">
        <v>4250</v>
      </c>
      <c r="F746" s="1" t="s">
        <v>4251</v>
      </c>
      <c r="G746" s="1" t="s">
        <v>4252</v>
      </c>
      <c r="H746" s="2"/>
      <c r="I746" s="5">
        <f>XLOOKUP(K746, pharmaceutical_index!B:B, pharmaceutical_index!A:A, "Not Found")</f>
      </c>
      <c r="J746" s="1" t="s">
        <v>1628</v>
      </c>
      <c r="K746" s="1" t="s">
        <v>1628</v>
      </c>
      <c r="L746" s="1" t="s">
        <v>20</v>
      </c>
      <c r="M746" s="1" t="s">
        <v>1628</v>
      </c>
      <c r="N746" s="2"/>
      <c r="O746" s="2"/>
      <c r="P746" s="2"/>
      <c r="Q746" s="2"/>
    </row>
    <row x14ac:dyDescent="0.25" r="747" customHeight="1" ht="17.25">
      <c r="A747" s="1" t="s">
        <v>4474</v>
      </c>
      <c r="B747" s="1" t="s">
        <v>1630</v>
      </c>
      <c r="C747" s="1" t="s">
        <v>3576</v>
      </c>
      <c r="D747" s="1" t="s">
        <v>20</v>
      </c>
      <c r="E747" s="1" t="s">
        <v>4250</v>
      </c>
      <c r="F747" s="1" t="s">
        <v>4251</v>
      </c>
      <c r="G747" s="1" t="s">
        <v>4252</v>
      </c>
      <c r="H747" s="2"/>
      <c r="I747" s="5">
        <f>XLOOKUP(K747, pharmaceutical_index!B:B, pharmaceutical_index!A:A, "Not Found")</f>
      </c>
      <c r="J747" s="1" t="s">
        <v>1630</v>
      </c>
      <c r="K747" s="1" t="s">
        <v>1630</v>
      </c>
      <c r="L747" s="1" t="s">
        <v>20</v>
      </c>
      <c r="M747" s="1" t="s">
        <v>1630</v>
      </c>
      <c r="N747" s="2"/>
      <c r="O747" s="2"/>
      <c r="P747" s="2"/>
      <c r="Q747" s="2"/>
    </row>
    <row x14ac:dyDescent="0.25" r="748" customHeight="1" ht="17.25">
      <c r="A748" s="1" t="s">
        <v>4475</v>
      </c>
      <c r="B748" s="1" t="s">
        <v>1632</v>
      </c>
      <c r="C748" s="1" t="s">
        <v>3576</v>
      </c>
      <c r="D748" s="1" t="s">
        <v>20</v>
      </c>
      <c r="E748" s="1" t="s">
        <v>4250</v>
      </c>
      <c r="F748" s="1" t="s">
        <v>4251</v>
      </c>
      <c r="G748" s="1" t="s">
        <v>4252</v>
      </c>
      <c r="H748" s="2"/>
      <c r="I748" s="5">
        <f>XLOOKUP(K748, pharmaceutical_index!B:B, pharmaceutical_index!A:A, "Not Found")</f>
      </c>
      <c r="J748" s="1" t="s">
        <v>1632</v>
      </c>
      <c r="K748" s="1" t="s">
        <v>1632</v>
      </c>
      <c r="L748" s="1" t="s">
        <v>20</v>
      </c>
      <c r="M748" s="1" t="s">
        <v>1632</v>
      </c>
      <c r="N748" s="2"/>
      <c r="O748" s="2"/>
      <c r="P748" s="2"/>
      <c r="Q748" s="2"/>
    </row>
    <row x14ac:dyDescent="0.25" r="749" customHeight="1" ht="17.25">
      <c r="A749" s="1" t="s">
        <v>4476</v>
      </c>
      <c r="B749" s="1" t="s">
        <v>1634</v>
      </c>
      <c r="C749" s="1" t="s">
        <v>3576</v>
      </c>
      <c r="D749" s="1" t="s">
        <v>20</v>
      </c>
      <c r="E749" s="1" t="s">
        <v>4250</v>
      </c>
      <c r="F749" s="1" t="s">
        <v>4251</v>
      </c>
      <c r="G749" s="1" t="s">
        <v>4252</v>
      </c>
      <c r="H749" s="2"/>
      <c r="I749" s="5">
        <f>XLOOKUP(K749, pharmaceutical_index!B:B, pharmaceutical_index!A:A, "Not Found")</f>
      </c>
      <c r="J749" s="1" t="s">
        <v>1634</v>
      </c>
      <c r="K749" s="1" t="s">
        <v>1634</v>
      </c>
      <c r="L749" s="1" t="s">
        <v>20</v>
      </c>
      <c r="M749" s="1" t="s">
        <v>1634</v>
      </c>
      <c r="N749" s="2"/>
      <c r="O749" s="2"/>
      <c r="P749" s="2"/>
      <c r="Q749" s="2"/>
    </row>
    <row x14ac:dyDescent="0.25" r="750" customHeight="1" ht="17.25">
      <c r="A750" s="1" t="s">
        <v>4477</v>
      </c>
      <c r="B750" s="1" t="s">
        <v>1636</v>
      </c>
      <c r="C750" s="1" t="s">
        <v>3576</v>
      </c>
      <c r="D750" s="1" t="s">
        <v>20</v>
      </c>
      <c r="E750" s="1" t="s">
        <v>4250</v>
      </c>
      <c r="F750" s="1" t="s">
        <v>4251</v>
      </c>
      <c r="G750" s="1" t="s">
        <v>4252</v>
      </c>
      <c r="H750" s="2"/>
      <c r="I750" s="5">
        <f>XLOOKUP(K750, pharmaceutical_index!B:B, pharmaceutical_index!A:A, "Not Found")</f>
      </c>
      <c r="J750" s="1" t="s">
        <v>1636</v>
      </c>
      <c r="K750" s="1" t="s">
        <v>1636</v>
      </c>
      <c r="L750" s="1" t="s">
        <v>20</v>
      </c>
      <c r="M750" s="1" t="s">
        <v>1636</v>
      </c>
      <c r="N750" s="2"/>
      <c r="O750" s="2"/>
      <c r="P750" s="2"/>
      <c r="Q750" s="2"/>
    </row>
    <row x14ac:dyDescent="0.25" r="751" customHeight="1" ht="17.25">
      <c r="A751" s="1" t="s">
        <v>4478</v>
      </c>
      <c r="B751" s="1" t="s">
        <v>1638</v>
      </c>
      <c r="C751" s="1" t="s">
        <v>3576</v>
      </c>
      <c r="D751" s="1" t="s">
        <v>20</v>
      </c>
      <c r="E751" s="1" t="s">
        <v>4250</v>
      </c>
      <c r="F751" s="1" t="s">
        <v>4251</v>
      </c>
      <c r="G751" s="1" t="s">
        <v>4252</v>
      </c>
      <c r="H751" s="2"/>
      <c r="I751" s="5">
        <f>XLOOKUP(K751, pharmaceutical_index!B:B, pharmaceutical_index!A:A, "Not Found")</f>
      </c>
      <c r="J751" s="1" t="s">
        <v>1638</v>
      </c>
      <c r="K751" s="1" t="s">
        <v>1638</v>
      </c>
      <c r="L751" s="1" t="s">
        <v>20</v>
      </c>
      <c r="M751" s="1" t="s">
        <v>1638</v>
      </c>
      <c r="N751" s="2"/>
      <c r="O751" s="2"/>
      <c r="P751" s="2"/>
      <c r="Q751" s="2"/>
    </row>
    <row x14ac:dyDescent="0.25" r="752" customHeight="1" ht="17.25">
      <c r="A752" s="1" t="s">
        <v>4479</v>
      </c>
      <c r="B752" s="1" t="s">
        <v>1640</v>
      </c>
      <c r="C752" s="1" t="s">
        <v>3576</v>
      </c>
      <c r="D752" s="1" t="s">
        <v>20</v>
      </c>
      <c r="E752" s="1" t="s">
        <v>4250</v>
      </c>
      <c r="F752" s="1" t="s">
        <v>4251</v>
      </c>
      <c r="G752" s="1" t="s">
        <v>4252</v>
      </c>
      <c r="H752" s="2"/>
      <c r="I752" s="5">
        <f>XLOOKUP(K752, pharmaceutical_index!B:B, pharmaceutical_index!A:A, "Not Found")</f>
      </c>
      <c r="J752" s="1" t="s">
        <v>1640</v>
      </c>
      <c r="K752" s="1" t="s">
        <v>1640</v>
      </c>
      <c r="L752" s="1" t="s">
        <v>20</v>
      </c>
      <c r="M752" s="1" t="s">
        <v>1640</v>
      </c>
      <c r="N752" s="2"/>
      <c r="O752" s="2"/>
      <c r="P752" s="2"/>
      <c r="Q752" s="2"/>
    </row>
    <row x14ac:dyDescent="0.25" r="753" customHeight="1" ht="17.25">
      <c r="A753" s="1" t="s">
        <v>4480</v>
      </c>
      <c r="B753" s="1" t="s">
        <v>1642</v>
      </c>
      <c r="C753" s="1" t="s">
        <v>3576</v>
      </c>
      <c r="D753" s="1" t="s">
        <v>20</v>
      </c>
      <c r="E753" s="1" t="s">
        <v>4250</v>
      </c>
      <c r="F753" s="1" t="s">
        <v>4251</v>
      </c>
      <c r="G753" s="1" t="s">
        <v>4252</v>
      </c>
      <c r="H753" s="2"/>
      <c r="I753" s="5">
        <f>XLOOKUP(K753, pharmaceutical_index!B:B, pharmaceutical_index!A:A, "Not Found")</f>
      </c>
      <c r="J753" s="1" t="s">
        <v>1642</v>
      </c>
      <c r="K753" s="1" t="s">
        <v>1642</v>
      </c>
      <c r="L753" s="1" t="s">
        <v>20</v>
      </c>
      <c r="M753" s="1" t="s">
        <v>1642</v>
      </c>
      <c r="N753" s="2"/>
      <c r="O753" s="2"/>
      <c r="P753" s="2"/>
      <c r="Q753" s="2"/>
    </row>
    <row x14ac:dyDescent="0.25" r="754" customHeight="1" ht="17.25">
      <c r="A754" s="1" t="s">
        <v>4481</v>
      </c>
      <c r="B754" s="1" t="s">
        <v>1644</v>
      </c>
      <c r="C754" s="1" t="s">
        <v>3576</v>
      </c>
      <c r="D754" s="1" t="s">
        <v>20</v>
      </c>
      <c r="E754" s="1" t="s">
        <v>4250</v>
      </c>
      <c r="F754" s="1" t="s">
        <v>4251</v>
      </c>
      <c r="G754" s="1" t="s">
        <v>4252</v>
      </c>
      <c r="H754" s="2"/>
      <c r="I754" s="5">
        <f>XLOOKUP(K754, pharmaceutical_index!B:B, pharmaceutical_index!A:A, "Not Found")</f>
      </c>
      <c r="J754" s="1" t="s">
        <v>1644</v>
      </c>
      <c r="K754" s="1" t="s">
        <v>1644</v>
      </c>
      <c r="L754" s="1" t="s">
        <v>20</v>
      </c>
      <c r="M754" s="1" t="s">
        <v>1644</v>
      </c>
      <c r="N754" s="2"/>
      <c r="O754" s="2"/>
      <c r="P754" s="2"/>
      <c r="Q754" s="2"/>
    </row>
    <row x14ac:dyDescent="0.25" r="755" customHeight="1" ht="17.25">
      <c r="A755" s="1" t="s">
        <v>4482</v>
      </c>
      <c r="B755" s="1" t="s">
        <v>1646</v>
      </c>
      <c r="C755" s="1" t="s">
        <v>3576</v>
      </c>
      <c r="D755" s="1" t="s">
        <v>20</v>
      </c>
      <c r="E755" s="1" t="s">
        <v>4250</v>
      </c>
      <c r="F755" s="1" t="s">
        <v>4251</v>
      </c>
      <c r="G755" s="1" t="s">
        <v>4252</v>
      </c>
      <c r="H755" s="2"/>
      <c r="I755" s="5">
        <f>XLOOKUP(K755, pharmaceutical_index!B:B, pharmaceutical_index!A:A, "Not Found")</f>
      </c>
      <c r="J755" s="1" t="s">
        <v>1646</v>
      </c>
      <c r="K755" s="1" t="s">
        <v>1646</v>
      </c>
      <c r="L755" s="1" t="s">
        <v>20</v>
      </c>
      <c r="M755" s="1" t="s">
        <v>1646</v>
      </c>
      <c r="N755" s="2"/>
      <c r="O755" s="2"/>
      <c r="P755" s="2"/>
      <c r="Q755" s="2"/>
    </row>
    <row x14ac:dyDescent="0.25" r="756" customHeight="1" ht="17.25">
      <c r="A756" s="1" t="s">
        <v>4483</v>
      </c>
      <c r="B756" s="1" t="s">
        <v>1648</v>
      </c>
      <c r="C756" s="1" t="s">
        <v>3576</v>
      </c>
      <c r="D756" s="1" t="s">
        <v>20</v>
      </c>
      <c r="E756" s="1" t="s">
        <v>4250</v>
      </c>
      <c r="F756" s="1" t="s">
        <v>4251</v>
      </c>
      <c r="G756" s="1" t="s">
        <v>4252</v>
      </c>
      <c r="H756" s="2"/>
      <c r="I756" s="5">
        <f>XLOOKUP(K756, pharmaceutical_index!B:B, pharmaceutical_index!A:A, "Not Found")</f>
      </c>
      <c r="J756" s="1" t="s">
        <v>1648</v>
      </c>
      <c r="K756" s="1" t="s">
        <v>1648</v>
      </c>
      <c r="L756" s="1" t="s">
        <v>20</v>
      </c>
      <c r="M756" s="1" t="s">
        <v>1648</v>
      </c>
      <c r="N756" s="2"/>
      <c r="O756" s="2"/>
      <c r="P756" s="2"/>
      <c r="Q756" s="2"/>
    </row>
    <row x14ac:dyDescent="0.25" r="757" customHeight="1" ht="17.25">
      <c r="A757" s="1" t="s">
        <v>4484</v>
      </c>
      <c r="B757" s="1" t="s">
        <v>1650</v>
      </c>
      <c r="C757" s="1" t="s">
        <v>3576</v>
      </c>
      <c r="D757" s="1" t="s">
        <v>20</v>
      </c>
      <c r="E757" s="1" t="s">
        <v>4250</v>
      </c>
      <c r="F757" s="1" t="s">
        <v>4251</v>
      </c>
      <c r="G757" s="1" t="s">
        <v>4252</v>
      </c>
      <c r="H757" s="2"/>
      <c r="I757" s="5">
        <f>XLOOKUP(K757, pharmaceutical_index!B:B, pharmaceutical_index!A:A, "Not Found")</f>
      </c>
      <c r="J757" s="1" t="s">
        <v>1650</v>
      </c>
      <c r="K757" s="1" t="s">
        <v>1650</v>
      </c>
      <c r="L757" s="1" t="s">
        <v>20</v>
      </c>
      <c r="M757" s="1" t="s">
        <v>1650</v>
      </c>
      <c r="N757" s="2"/>
      <c r="O757" s="2"/>
      <c r="P757" s="2"/>
      <c r="Q757" s="2"/>
    </row>
    <row x14ac:dyDescent="0.25" r="758" customHeight="1" ht="17.25">
      <c r="A758" s="1" t="s">
        <v>4485</v>
      </c>
      <c r="B758" s="1" t="s">
        <v>1652</v>
      </c>
      <c r="C758" s="1" t="s">
        <v>3576</v>
      </c>
      <c r="D758" s="1" t="s">
        <v>20</v>
      </c>
      <c r="E758" s="1" t="s">
        <v>4250</v>
      </c>
      <c r="F758" s="1" t="s">
        <v>4251</v>
      </c>
      <c r="G758" s="1" t="s">
        <v>4252</v>
      </c>
      <c r="H758" s="2"/>
      <c r="I758" s="5">
        <f>XLOOKUP(K758, pharmaceutical_index!B:B, pharmaceutical_index!A:A, "Not Found")</f>
      </c>
      <c r="J758" s="1" t="s">
        <v>1652</v>
      </c>
      <c r="K758" s="1" t="s">
        <v>1652</v>
      </c>
      <c r="L758" s="1" t="s">
        <v>20</v>
      </c>
      <c r="M758" s="1" t="s">
        <v>1652</v>
      </c>
      <c r="N758" s="2"/>
      <c r="O758" s="2"/>
      <c r="P758" s="2"/>
      <c r="Q758" s="2"/>
    </row>
    <row x14ac:dyDescent="0.25" r="759" customHeight="1" ht="17.25">
      <c r="A759" s="1" t="s">
        <v>4486</v>
      </c>
      <c r="B759" s="1" t="s">
        <v>1654</v>
      </c>
      <c r="C759" s="1" t="s">
        <v>3576</v>
      </c>
      <c r="D759" s="1" t="s">
        <v>20</v>
      </c>
      <c r="E759" s="1" t="s">
        <v>4250</v>
      </c>
      <c r="F759" s="1" t="s">
        <v>4251</v>
      </c>
      <c r="G759" s="1" t="s">
        <v>4252</v>
      </c>
      <c r="H759" s="2"/>
      <c r="I759" s="5">
        <f>XLOOKUP(K759, pharmaceutical_index!B:B, pharmaceutical_index!A:A, "Not Found")</f>
      </c>
      <c r="J759" s="1" t="s">
        <v>1654</v>
      </c>
      <c r="K759" s="1" t="s">
        <v>1654</v>
      </c>
      <c r="L759" s="1" t="s">
        <v>20</v>
      </c>
      <c r="M759" s="1" t="s">
        <v>1654</v>
      </c>
      <c r="N759" s="2"/>
      <c r="O759" s="2"/>
      <c r="P759" s="2"/>
      <c r="Q759" s="2"/>
    </row>
    <row x14ac:dyDescent="0.25" r="760" customHeight="1" ht="17.25">
      <c r="A760" s="1" t="s">
        <v>4487</v>
      </c>
      <c r="B760" s="1" t="s">
        <v>1656</v>
      </c>
      <c r="C760" s="1" t="s">
        <v>3576</v>
      </c>
      <c r="D760" s="1" t="s">
        <v>20</v>
      </c>
      <c r="E760" s="1" t="s">
        <v>4250</v>
      </c>
      <c r="F760" s="1" t="s">
        <v>4251</v>
      </c>
      <c r="G760" s="1" t="s">
        <v>4252</v>
      </c>
      <c r="H760" s="2"/>
      <c r="I760" s="5">
        <f>XLOOKUP(K760, pharmaceutical_index!B:B, pharmaceutical_index!A:A, "Not Found")</f>
      </c>
      <c r="J760" s="1" t="s">
        <v>1656</v>
      </c>
      <c r="K760" s="1" t="s">
        <v>1656</v>
      </c>
      <c r="L760" s="1" t="s">
        <v>20</v>
      </c>
      <c r="M760" s="1" t="s">
        <v>1656</v>
      </c>
      <c r="N760" s="2"/>
      <c r="O760" s="2"/>
      <c r="P760" s="2"/>
      <c r="Q760" s="2"/>
    </row>
    <row x14ac:dyDescent="0.25" r="761" customHeight="1" ht="17.25">
      <c r="A761" s="1" t="s">
        <v>4488</v>
      </c>
      <c r="B761" s="1" t="s">
        <v>1658</v>
      </c>
      <c r="C761" s="1" t="s">
        <v>3576</v>
      </c>
      <c r="D761" s="1" t="s">
        <v>20</v>
      </c>
      <c r="E761" s="1" t="s">
        <v>4250</v>
      </c>
      <c r="F761" s="1" t="s">
        <v>4251</v>
      </c>
      <c r="G761" s="1" t="s">
        <v>4252</v>
      </c>
      <c r="H761" s="2"/>
      <c r="I761" s="5">
        <f>XLOOKUP(K761, pharmaceutical_index!B:B, pharmaceutical_index!A:A, "Not Found")</f>
      </c>
      <c r="J761" s="1" t="s">
        <v>1658</v>
      </c>
      <c r="K761" s="1" t="s">
        <v>1658</v>
      </c>
      <c r="L761" s="1" t="s">
        <v>20</v>
      </c>
      <c r="M761" s="1" t="s">
        <v>1658</v>
      </c>
      <c r="N761" s="2"/>
      <c r="O761" s="2"/>
      <c r="P761" s="2"/>
      <c r="Q761" s="2"/>
    </row>
    <row x14ac:dyDescent="0.25" r="762" customHeight="1" ht="17.25">
      <c r="A762" s="1" t="s">
        <v>4489</v>
      </c>
      <c r="B762" s="1" t="s">
        <v>1660</v>
      </c>
      <c r="C762" s="1" t="s">
        <v>3576</v>
      </c>
      <c r="D762" s="1" t="s">
        <v>20</v>
      </c>
      <c r="E762" s="1" t="s">
        <v>4250</v>
      </c>
      <c r="F762" s="1" t="s">
        <v>4251</v>
      </c>
      <c r="G762" s="1" t="s">
        <v>4252</v>
      </c>
      <c r="H762" s="2"/>
      <c r="I762" s="5">
        <f>XLOOKUP(K762, pharmaceutical_index!B:B, pharmaceutical_index!A:A, "Not Found")</f>
      </c>
      <c r="J762" s="1" t="s">
        <v>1660</v>
      </c>
      <c r="K762" s="1" t="s">
        <v>1660</v>
      </c>
      <c r="L762" s="1" t="s">
        <v>20</v>
      </c>
      <c r="M762" s="1" t="s">
        <v>1660</v>
      </c>
      <c r="N762" s="2"/>
      <c r="O762" s="2"/>
      <c r="P762" s="2"/>
      <c r="Q762" s="2"/>
    </row>
    <row x14ac:dyDescent="0.25" r="763" customHeight="1" ht="17.25">
      <c r="A763" s="1" t="s">
        <v>4490</v>
      </c>
      <c r="B763" s="1" t="s">
        <v>1662</v>
      </c>
      <c r="C763" s="1" t="s">
        <v>3576</v>
      </c>
      <c r="D763" s="1" t="s">
        <v>20</v>
      </c>
      <c r="E763" s="1" t="s">
        <v>4250</v>
      </c>
      <c r="F763" s="1" t="s">
        <v>4251</v>
      </c>
      <c r="G763" s="1" t="s">
        <v>4252</v>
      </c>
      <c r="H763" s="2"/>
      <c r="I763" s="5">
        <f>XLOOKUP(K763, pharmaceutical_index!B:B, pharmaceutical_index!A:A, "Not Found")</f>
      </c>
      <c r="J763" s="1" t="s">
        <v>1662</v>
      </c>
      <c r="K763" s="1" t="s">
        <v>1662</v>
      </c>
      <c r="L763" s="1" t="s">
        <v>20</v>
      </c>
      <c r="M763" s="1" t="s">
        <v>1662</v>
      </c>
      <c r="N763" s="2"/>
      <c r="O763" s="2"/>
      <c r="P763" s="2"/>
      <c r="Q763" s="2"/>
    </row>
    <row x14ac:dyDescent="0.25" r="764" customHeight="1" ht="17.25">
      <c r="A764" s="1" t="s">
        <v>4491</v>
      </c>
      <c r="B764" s="1" t="s">
        <v>1664</v>
      </c>
      <c r="C764" s="1" t="s">
        <v>3576</v>
      </c>
      <c r="D764" s="1" t="s">
        <v>20</v>
      </c>
      <c r="E764" s="1" t="s">
        <v>4250</v>
      </c>
      <c r="F764" s="1" t="s">
        <v>4251</v>
      </c>
      <c r="G764" s="1" t="s">
        <v>4252</v>
      </c>
      <c r="H764" s="2"/>
      <c r="I764" s="5">
        <f>XLOOKUP(K764, pharmaceutical_index!B:B, pharmaceutical_index!A:A, "Not Found")</f>
      </c>
      <c r="J764" s="1" t="s">
        <v>1664</v>
      </c>
      <c r="K764" s="1" t="s">
        <v>1664</v>
      </c>
      <c r="L764" s="1" t="s">
        <v>20</v>
      </c>
      <c r="M764" s="1" t="s">
        <v>1664</v>
      </c>
      <c r="N764" s="2"/>
      <c r="O764" s="2"/>
      <c r="P764" s="2"/>
      <c r="Q764" s="2"/>
    </row>
    <row x14ac:dyDescent="0.25" r="765" customHeight="1" ht="17.25">
      <c r="A765" s="1" t="s">
        <v>4492</v>
      </c>
      <c r="B765" s="1" t="s">
        <v>1666</v>
      </c>
      <c r="C765" s="1" t="s">
        <v>3576</v>
      </c>
      <c r="D765" s="1" t="s">
        <v>20</v>
      </c>
      <c r="E765" s="1" t="s">
        <v>4250</v>
      </c>
      <c r="F765" s="1" t="s">
        <v>4251</v>
      </c>
      <c r="G765" s="1" t="s">
        <v>4252</v>
      </c>
      <c r="H765" s="2"/>
      <c r="I765" s="5">
        <f>XLOOKUP(K765, pharmaceutical_index!B:B, pharmaceutical_index!A:A, "Not Found")</f>
      </c>
      <c r="J765" s="1" t="s">
        <v>1666</v>
      </c>
      <c r="K765" s="1" t="s">
        <v>1666</v>
      </c>
      <c r="L765" s="1" t="s">
        <v>20</v>
      </c>
      <c r="M765" s="1" t="s">
        <v>1666</v>
      </c>
      <c r="N765" s="2"/>
      <c r="O765" s="2"/>
      <c r="P765" s="2"/>
      <c r="Q765" s="2"/>
    </row>
    <row x14ac:dyDescent="0.25" r="766" customHeight="1" ht="17.25">
      <c r="A766" s="1" t="s">
        <v>4493</v>
      </c>
      <c r="B766" s="1" t="s">
        <v>1668</v>
      </c>
      <c r="C766" s="1" t="s">
        <v>3576</v>
      </c>
      <c r="D766" s="1" t="s">
        <v>20</v>
      </c>
      <c r="E766" s="1" t="s">
        <v>4250</v>
      </c>
      <c r="F766" s="1" t="s">
        <v>4251</v>
      </c>
      <c r="G766" s="1" t="s">
        <v>4252</v>
      </c>
      <c r="H766" s="2"/>
      <c r="I766" s="5">
        <f>XLOOKUP(K766, pharmaceutical_index!B:B, pharmaceutical_index!A:A, "Not Found")</f>
      </c>
      <c r="J766" s="1" t="s">
        <v>1668</v>
      </c>
      <c r="K766" s="1" t="s">
        <v>1668</v>
      </c>
      <c r="L766" s="1" t="s">
        <v>20</v>
      </c>
      <c r="M766" s="1" t="s">
        <v>1668</v>
      </c>
      <c r="N766" s="2"/>
      <c r="O766" s="2"/>
      <c r="P766" s="2"/>
      <c r="Q766" s="2"/>
    </row>
    <row x14ac:dyDescent="0.25" r="767" customHeight="1" ht="17.25">
      <c r="A767" s="1" t="s">
        <v>4494</v>
      </c>
      <c r="B767" s="1" t="s">
        <v>1670</v>
      </c>
      <c r="C767" s="1" t="s">
        <v>3576</v>
      </c>
      <c r="D767" s="1" t="s">
        <v>20</v>
      </c>
      <c r="E767" s="1" t="s">
        <v>4250</v>
      </c>
      <c r="F767" s="1" t="s">
        <v>4251</v>
      </c>
      <c r="G767" s="1" t="s">
        <v>4252</v>
      </c>
      <c r="H767" s="2"/>
      <c r="I767" s="5">
        <f>XLOOKUP(K767, pharmaceutical_index!B:B, pharmaceutical_index!A:A, "Not Found")</f>
      </c>
      <c r="J767" s="1" t="s">
        <v>1670</v>
      </c>
      <c r="K767" s="1" t="s">
        <v>1670</v>
      </c>
      <c r="L767" s="1" t="s">
        <v>20</v>
      </c>
      <c r="M767" s="1" t="s">
        <v>1670</v>
      </c>
      <c r="N767" s="2"/>
      <c r="O767" s="2"/>
      <c r="P767" s="2"/>
      <c r="Q767" s="2"/>
    </row>
    <row x14ac:dyDescent="0.25" r="768" customHeight="1" ht="17.25">
      <c r="A768" s="1" t="s">
        <v>4495</v>
      </c>
      <c r="B768" s="1" t="s">
        <v>1672</v>
      </c>
      <c r="C768" s="1" t="s">
        <v>3576</v>
      </c>
      <c r="D768" s="1" t="s">
        <v>20</v>
      </c>
      <c r="E768" s="1" t="s">
        <v>4250</v>
      </c>
      <c r="F768" s="1" t="s">
        <v>4251</v>
      </c>
      <c r="G768" s="1" t="s">
        <v>4252</v>
      </c>
      <c r="H768" s="2"/>
      <c r="I768" s="5">
        <f>XLOOKUP(K768, pharmaceutical_index!B:B, pharmaceutical_index!A:A, "Not Found")</f>
      </c>
      <c r="J768" s="1" t="s">
        <v>1672</v>
      </c>
      <c r="K768" s="1" t="s">
        <v>1672</v>
      </c>
      <c r="L768" s="1" t="s">
        <v>20</v>
      </c>
      <c r="M768" s="1" t="s">
        <v>1672</v>
      </c>
      <c r="N768" s="2"/>
      <c r="O768" s="2"/>
      <c r="P768" s="2"/>
      <c r="Q768" s="2"/>
    </row>
    <row x14ac:dyDescent="0.25" r="769" customHeight="1" ht="17.25">
      <c r="A769" s="1" t="s">
        <v>4496</v>
      </c>
      <c r="B769" s="1" t="s">
        <v>1674</v>
      </c>
      <c r="C769" s="1" t="s">
        <v>3576</v>
      </c>
      <c r="D769" s="1" t="s">
        <v>20</v>
      </c>
      <c r="E769" s="1" t="s">
        <v>4250</v>
      </c>
      <c r="F769" s="1" t="s">
        <v>4251</v>
      </c>
      <c r="G769" s="1" t="s">
        <v>4252</v>
      </c>
      <c r="H769" s="2"/>
      <c r="I769" s="5">
        <f>XLOOKUP(K769, pharmaceutical_index!B:B, pharmaceutical_index!A:A, "Not Found")</f>
      </c>
      <c r="J769" s="1" t="s">
        <v>1674</v>
      </c>
      <c r="K769" s="1" t="s">
        <v>1674</v>
      </c>
      <c r="L769" s="1" t="s">
        <v>20</v>
      </c>
      <c r="M769" s="1" t="s">
        <v>1674</v>
      </c>
      <c r="N769" s="2"/>
      <c r="O769" s="2"/>
      <c r="P769" s="2"/>
      <c r="Q769" s="2"/>
    </row>
    <row x14ac:dyDescent="0.25" r="770" customHeight="1" ht="17.25">
      <c r="A770" s="1" t="s">
        <v>4497</v>
      </c>
      <c r="B770" s="1" t="s">
        <v>1676</v>
      </c>
      <c r="C770" s="1" t="s">
        <v>3576</v>
      </c>
      <c r="D770" s="1" t="s">
        <v>20</v>
      </c>
      <c r="E770" s="1" t="s">
        <v>4250</v>
      </c>
      <c r="F770" s="1" t="s">
        <v>4251</v>
      </c>
      <c r="G770" s="1" t="s">
        <v>4252</v>
      </c>
      <c r="H770" s="2"/>
      <c r="I770" s="5">
        <f>XLOOKUP(K770, pharmaceutical_index!B:B, pharmaceutical_index!A:A, "Not Found")</f>
      </c>
      <c r="J770" s="1" t="s">
        <v>1676</v>
      </c>
      <c r="K770" s="1" t="s">
        <v>1676</v>
      </c>
      <c r="L770" s="1" t="s">
        <v>20</v>
      </c>
      <c r="M770" s="1" t="s">
        <v>1676</v>
      </c>
      <c r="N770" s="2"/>
      <c r="O770" s="2"/>
      <c r="P770" s="2"/>
      <c r="Q770" s="2"/>
    </row>
    <row x14ac:dyDescent="0.25" r="771" customHeight="1" ht="17.25">
      <c r="A771" s="1" t="s">
        <v>4498</v>
      </c>
      <c r="B771" s="1" t="s">
        <v>1678</v>
      </c>
      <c r="C771" s="1" t="s">
        <v>3576</v>
      </c>
      <c r="D771" s="1" t="s">
        <v>20</v>
      </c>
      <c r="E771" s="1" t="s">
        <v>4250</v>
      </c>
      <c r="F771" s="1" t="s">
        <v>4251</v>
      </c>
      <c r="G771" s="1" t="s">
        <v>4252</v>
      </c>
      <c r="H771" s="2"/>
      <c r="I771" s="5">
        <f>XLOOKUP(K771, pharmaceutical_index!B:B, pharmaceutical_index!A:A, "Not Found")</f>
      </c>
      <c r="J771" s="1" t="s">
        <v>1678</v>
      </c>
      <c r="K771" s="1" t="s">
        <v>1678</v>
      </c>
      <c r="L771" s="1" t="s">
        <v>20</v>
      </c>
      <c r="M771" s="1" t="s">
        <v>1678</v>
      </c>
      <c r="N771" s="2"/>
      <c r="O771" s="2"/>
      <c r="P771" s="2"/>
      <c r="Q771" s="2"/>
    </row>
    <row x14ac:dyDescent="0.25" r="772" customHeight="1" ht="17.25">
      <c r="A772" s="1" t="s">
        <v>4499</v>
      </c>
      <c r="B772" s="1" t="s">
        <v>1680</v>
      </c>
      <c r="C772" s="1" t="s">
        <v>3576</v>
      </c>
      <c r="D772" s="1" t="s">
        <v>20</v>
      </c>
      <c r="E772" s="1" t="s">
        <v>4250</v>
      </c>
      <c r="F772" s="1" t="s">
        <v>4251</v>
      </c>
      <c r="G772" s="1" t="s">
        <v>4252</v>
      </c>
      <c r="H772" s="2"/>
      <c r="I772" s="5">
        <f>XLOOKUP(K772, pharmaceutical_index!B:B, pharmaceutical_index!A:A, "Not Found")</f>
      </c>
      <c r="J772" s="1" t="s">
        <v>1680</v>
      </c>
      <c r="K772" s="1" t="s">
        <v>1680</v>
      </c>
      <c r="L772" s="1" t="s">
        <v>20</v>
      </c>
      <c r="M772" s="1" t="s">
        <v>1680</v>
      </c>
      <c r="N772" s="2"/>
      <c r="O772" s="2"/>
      <c r="P772" s="2"/>
      <c r="Q772" s="2"/>
    </row>
    <row x14ac:dyDescent="0.25" r="773" customHeight="1" ht="17.25">
      <c r="A773" s="1" t="s">
        <v>4500</v>
      </c>
      <c r="B773" s="1" t="s">
        <v>1682</v>
      </c>
      <c r="C773" s="1" t="s">
        <v>3576</v>
      </c>
      <c r="D773" s="1" t="s">
        <v>20</v>
      </c>
      <c r="E773" s="1" t="s">
        <v>4250</v>
      </c>
      <c r="F773" s="1" t="s">
        <v>4251</v>
      </c>
      <c r="G773" s="1" t="s">
        <v>4252</v>
      </c>
      <c r="H773" s="2"/>
      <c r="I773" s="5">
        <f>XLOOKUP(K773, pharmaceutical_index!B:B, pharmaceutical_index!A:A, "Not Found")</f>
      </c>
      <c r="J773" s="1" t="s">
        <v>1682</v>
      </c>
      <c r="K773" s="1" t="s">
        <v>1682</v>
      </c>
      <c r="L773" s="1" t="s">
        <v>20</v>
      </c>
      <c r="M773" s="1" t="s">
        <v>1682</v>
      </c>
      <c r="N773" s="2"/>
      <c r="O773" s="2"/>
      <c r="P773" s="2"/>
      <c r="Q773" s="2"/>
    </row>
    <row x14ac:dyDescent="0.25" r="774" customHeight="1" ht="17.25">
      <c r="A774" s="1" t="s">
        <v>4501</v>
      </c>
      <c r="B774" s="1" t="s">
        <v>1684</v>
      </c>
      <c r="C774" s="1" t="s">
        <v>3576</v>
      </c>
      <c r="D774" s="1" t="s">
        <v>20</v>
      </c>
      <c r="E774" s="1" t="s">
        <v>4250</v>
      </c>
      <c r="F774" s="1" t="s">
        <v>4251</v>
      </c>
      <c r="G774" s="1" t="s">
        <v>4252</v>
      </c>
      <c r="H774" s="2"/>
      <c r="I774" s="5">
        <f>XLOOKUP(K774, pharmaceutical_index!B:B, pharmaceutical_index!A:A, "Not Found")</f>
      </c>
      <c r="J774" s="1" t="s">
        <v>1684</v>
      </c>
      <c r="K774" s="1" t="s">
        <v>1684</v>
      </c>
      <c r="L774" s="1" t="s">
        <v>20</v>
      </c>
      <c r="M774" s="1" t="s">
        <v>1684</v>
      </c>
      <c r="N774" s="2"/>
      <c r="O774" s="2"/>
      <c r="P774" s="2"/>
      <c r="Q774" s="2"/>
    </row>
    <row x14ac:dyDescent="0.25" r="775" customHeight="1" ht="17.25">
      <c r="A775" s="1" t="s">
        <v>4502</v>
      </c>
      <c r="B775" s="1" t="s">
        <v>1686</v>
      </c>
      <c r="C775" s="1" t="s">
        <v>3576</v>
      </c>
      <c r="D775" s="1" t="s">
        <v>20</v>
      </c>
      <c r="E775" s="1" t="s">
        <v>4250</v>
      </c>
      <c r="F775" s="1" t="s">
        <v>4251</v>
      </c>
      <c r="G775" s="1" t="s">
        <v>4252</v>
      </c>
      <c r="H775" s="2"/>
      <c r="I775" s="5">
        <f>XLOOKUP(K775, pharmaceutical_index!B:B, pharmaceutical_index!A:A, "Not Found")</f>
      </c>
      <c r="J775" s="1" t="s">
        <v>1686</v>
      </c>
      <c r="K775" s="1" t="s">
        <v>1686</v>
      </c>
      <c r="L775" s="1" t="s">
        <v>20</v>
      </c>
      <c r="M775" s="1" t="s">
        <v>1686</v>
      </c>
      <c r="N775" s="2"/>
      <c r="O775" s="2"/>
      <c r="P775" s="2"/>
      <c r="Q775" s="2"/>
    </row>
    <row x14ac:dyDescent="0.25" r="776" customHeight="1" ht="17.25">
      <c r="A776" s="1" t="s">
        <v>4503</v>
      </c>
      <c r="B776" s="1" t="s">
        <v>1688</v>
      </c>
      <c r="C776" s="1" t="s">
        <v>3576</v>
      </c>
      <c r="D776" s="1" t="s">
        <v>20</v>
      </c>
      <c r="E776" s="1" t="s">
        <v>4250</v>
      </c>
      <c r="F776" s="1" t="s">
        <v>4251</v>
      </c>
      <c r="G776" s="1" t="s">
        <v>4252</v>
      </c>
      <c r="H776" s="2"/>
      <c r="I776" s="5">
        <f>XLOOKUP(K776, pharmaceutical_index!B:B, pharmaceutical_index!A:A, "Not Found")</f>
      </c>
      <c r="J776" s="1" t="s">
        <v>1688</v>
      </c>
      <c r="K776" s="1" t="s">
        <v>1688</v>
      </c>
      <c r="L776" s="1" t="s">
        <v>20</v>
      </c>
      <c r="M776" s="1" t="s">
        <v>1688</v>
      </c>
      <c r="N776" s="2"/>
      <c r="O776" s="2"/>
      <c r="P776" s="2"/>
      <c r="Q776" s="2"/>
    </row>
    <row x14ac:dyDescent="0.25" r="777" customHeight="1" ht="17.25">
      <c r="A777" s="1" t="s">
        <v>4504</v>
      </c>
      <c r="B777" s="1" t="s">
        <v>1690</v>
      </c>
      <c r="C777" s="1" t="s">
        <v>3576</v>
      </c>
      <c r="D777" s="1" t="s">
        <v>20</v>
      </c>
      <c r="E777" s="1" t="s">
        <v>4250</v>
      </c>
      <c r="F777" s="1" t="s">
        <v>4251</v>
      </c>
      <c r="G777" s="1" t="s">
        <v>4252</v>
      </c>
      <c r="H777" s="2"/>
      <c r="I777" s="5">
        <f>XLOOKUP(K777, pharmaceutical_index!B:B, pharmaceutical_index!A:A, "Not Found")</f>
      </c>
      <c r="J777" s="1" t="s">
        <v>1690</v>
      </c>
      <c r="K777" s="1" t="s">
        <v>1690</v>
      </c>
      <c r="L777" s="1" t="s">
        <v>20</v>
      </c>
      <c r="M777" s="1" t="s">
        <v>1690</v>
      </c>
      <c r="N777" s="2"/>
      <c r="O777" s="2"/>
      <c r="P777" s="2"/>
      <c r="Q777" s="2"/>
    </row>
    <row x14ac:dyDescent="0.25" r="778" customHeight="1" ht="17.25">
      <c r="A778" s="1" t="s">
        <v>4505</v>
      </c>
      <c r="B778" s="1" t="s">
        <v>1692</v>
      </c>
      <c r="C778" s="1" t="s">
        <v>3576</v>
      </c>
      <c r="D778" s="1" t="s">
        <v>20</v>
      </c>
      <c r="E778" s="1" t="s">
        <v>4250</v>
      </c>
      <c r="F778" s="1" t="s">
        <v>4251</v>
      </c>
      <c r="G778" s="1" t="s">
        <v>4252</v>
      </c>
      <c r="H778" s="2"/>
      <c r="I778" s="5">
        <f>XLOOKUP(K778, pharmaceutical_index!B:B, pharmaceutical_index!A:A, "Not Found")</f>
      </c>
      <c r="J778" s="1" t="s">
        <v>1692</v>
      </c>
      <c r="K778" s="1" t="s">
        <v>1692</v>
      </c>
      <c r="L778" s="1" t="s">
        <v>20</v>
      </c>
      <c r="M778" s="1" t="s">
        <v>1692</v>
      </c>
      <c r="N778" s="2"/>
      <c r="O778" s="2"/>
      <c r="P778" s="2"/>
      <c r="Q778" s="2"/>
    </row>
    <row x14ac:dyDescent="0.25" r="779" customHeight="1" ht="17.25">
      <c r="A779" s="1" t="s">
        <v>4506</v>
      </c>
      <c r="B779" s="1" t="s">
        <v>1694</v>
      </c>
      <c r="C779" s="1" t="s">
        <v>3576</v>
      </c>
      <c r="D779" s="1" t="s">
        <v>20</v>
      </c>
      <c r="E779" s="1" t="s">
        <v>4250</v>
      </c>
      <c r="F779" s="1" t="s">
        <v>4251</v>
      </c>
      <c r="G779" s="1" t="s">
        <v>4252</v>
      </c>
      <c r="H779" s="2"/>
      <c r="I779" s="5">
        <f>XLOOKUP(K779, pharmaceutical_index!B:B, pharmaceutical_index!A:A, "Not Found")</f>
      </c>
      <c r="J779" s="1" t="s">
        <v>1694</v>
      </c>
      <c r="K779" s="1" t="s">
        <v>1694</v>
      </c>
      <c r="L779" s="1" t="s">
        <v>20</v>
      </c>
      <c r="M779" s="1" t="s">
        <v>1694</v>
      </c>
      <c r="N779" s="2"/>
      <c r="O779" s="2"/>
      <c r="P779" s="2"/>
      <c r="Q779" s="2"/>
    </row>
    <row x14ac:dyDescent="0.25" r="780" customHeight="1" ht="17.25">
      <c r="A780" s="1" t="s">
        <v>4507</v>
      </c>
      <c r="B780" s="1" t="s">
        <v>1696</v>
      </c>
      <c r="C780" s="1" t="s">
        <v>3576</v>
      </c>
      <c r="D780" s="1" t="s">
        <v>20</v>
      </c>
      <c r="E780" s="1" t="s">
        <v>4250</v>
      </c>
      <c r="F780" s="1" t="s">
        <v>4251</v>
      </c>
      <c r="G780" s="1" t="s">
        <v>4252</v>
      </c>
      <c r="H780" s="2"/>
      <c r="I780" s="5">
        <f>XLOOKUP(K780, pharmaceutical_index!B:B, pharmaceutical_index!A:A, "Not Found")</f>
      </c>
      <c r="J780" s="1" t="s">
        <v>1696</v>
      </c>
      <c r="K780" s="1" t="s">
        <v>1696</v>
      </c>
      <c r="L780" s="1" t="s">
        <v>20</v>
      </c>
      <c r="M780" s="1" t="s">
        <v>1696</v>
      </c>
      <c r="N780" s="2"/>
      <c r="O780" s="2"/>
      <c r="P780" s="2"/>
      <c r="Q780" s="2"/>
    </row>
    <row x14ac:dyDescent="0.25" r="781" customHeight="1" ht="17.25">
      <c r="A781" s="1" t="s">
        <v>4508</v>
      </c>
      <c r="B781" s="1" t="s">
        <v>1698</v>
      </c>
      <c r="C781" s="1" t="s">
        <v>3576</v>
      </c>
      <c r="D781" s="1" t="s">
        <v>20</v>
      </c>
      <c r="E781" s="1" t="s">
        <v>4250</v>
      </c>
      <c r="F781" s="1" t="s">
        <v>4251</v>
      </c>
      <c r="G781" s="1" t="s">
        <v>4252</v>
      </c>
      <c r="H781" s="2"/>
      <c r="I781" s="5">
        <f>XLOOKUP(K781, pharmaceutical_index!B:B, pharmaceutical_index!A:A, "Not Found")</f>
      </c>
      <c r="J781" s="1" t="s">
        <v>1698</v>
      </c>
      <c r="K781" s="1" t="s">
        <v>1698</v>
      </c>
      <c r="L781" s="1" t="s">
        <v>20</v>
      </c>
      <c r="M781" s="1" t="s">
        <v>1698</v>
      </c>
      <c r="N781" s="2"/>
      <c r="O781" s="2"/>
      <c r="P781" s="2"/>
      <c r="Q781" s="2"/>
    </row>
    <row x14ac:dyDescent="0.25" r="782" customHeight="1" ht="17.25">
      <c r="A782" s="1" t="s">
        <v>4509</v>
      </c>
      <c r="B782" s="1" t="s">
        <v>1700</v>
      </c>
      <c r="C782" s="1" t="s">
        <v>3576</v>
      </c>
      <c r="D782" s="1" t="s">
        <v>20</v>
      </c>
      <c r="E782" s="1" t="s">
        <v>4250</v>
      </c>
      <c r="F782" s="1" t="s">
        <v>4251</v>
      </c>
      <c r="G782" s="1" t="s">
        <v>4252</v>
      </c>
      <c r="H782" s="2"/>
      <c r="I782" s="5">
        <f>XLOOKUP(K782, pharmaceutical_index!B:B, pharmaceutical_index!A:A, "Not Found")</f>
      </c>
      <c r="J782" s="1" t="s">
        <v>1700</v>
      </c>
      <c r="K782" s="1" t="s">
        <v>1700</v>
      </c>
      <c r="L782" s="1" t="s">
        <v>20</v>
      </c>
      <c r="M782" s="1" t="s">
        <v>1700</v>
      </c>
      <c r="N782" s="2"/>
      <c r="O782" s="2"/>
      <c r="P782" s="2"/>
      <c r="Q782" s="2"/>
    </row>
    <row x14ac:dyDescent="0.25" r="783" customHeight="1" ht="17.25">
      <c r="A783" s="1" t="s">
        <v>4510</v>
      </c>
      <c r="B783" s="1" t="s">
        <v>1702</v>
      </c>
      <c r="C783" s="1" t="s">
        <v>3576</v>
      </c>
      <c r="D783" s="1" t="s">
        <v>20</v>
      </c>
      <c r="E783" s="1" t="s">
        <v>4250</v>
      </c>
      <c r="F783" s="1" t="s">
        <v>4251</v>
      </c>
      <c r="G783" s="1" t="s">
        <v>4252</v>
      </c>
      <c r="H783" s="2"/>
      <c r="I783" s="5">
        <f>XLOOKUP(K783, pharmaceutical_index!B:B, pharmaceutical_index!A:A, "Not Found")</f>
      </c>
      <c r="J783" s="1" t="s">
        <v>1702</v>
      </c>
      <c r="K783" s="1" t="s">
        <v>1702</v>
      </c>
      <c r="L783" s="1" t="s">
        <v>20</v>
      </c>
      <c r="M783" s="1" t="s">
        <v>1702</v>
      </c>
      <c r="N783" s="2"/>
      <c r="O783" s="2"/>
      <c r="P783" s="2"/>
      <c r="Q783" s="2"/>
    </row>
    <row x14ac:dyDescent="0.25" r="784" customHeight="1" ht="17.25">
      <c r="A784" s="1" t="s">
        <v>4511</v>
      </c>
      <c r="B784" s="1" t="s">
        <v>1704</v>
      </c>
      <c r="C784" s="1" t="s">
        <v>3576</v>
      </c>
      <c r="D784" s="1" t="s">
        <v>20</v>
      </c>
      <c r="E784" s="1" t="s">
        <v>4250</v>
      </c>
      <c r="F784" s="1" t="s">
        <v>4251</v>
      </c>
      <c r="G784" s="1" t="s">
        <v>4252</v>
      </c>
      <c r="H784" s="2"/>
      <c r="I784" s="5">
        <f>XLOOKUP(K784, pharmaceutical_index!B:B, pharmaceutical_index!A:A, "Not Found")</f>
      </c>
      <c r="J784" s="1" t="s">
        <v>1704</v>
      </c>
      <c r="K784" s="1" t="s">
        <v>1704</v>
      </c>
      <c r="L784" s="1" t="s">
        <v>20</v>
      </c>
      <c r="M784" s="1" t="s">
        <v>1704</v>
      </c>
      <c r="N784" s="2"/>
      <c r="O784" s="2"/>
      <c r="P784" s="2"/>
      <c r="Q784" s="2"/>
    </row>
    <row x14ac:dyDescent="0.25" r="785" customHeight="1" ht="17.25">
      <c r="A785" s="1" t="s">
        <v>4512</v>
      </c>
      <c r="B785" s="1" t="s">
        <v>1706</v>
      </c>
      <c r="C785" s="1" t="s">
        <v>3576</v>
      </c>
      <c r="D785" s="1" t="s">
        <v>20</v>
      </c>
      <c r="E785" s="1" t="s">
        <v>4250</v>
      </c>
      <c r="F785" s="1" t="s">
        <v>4251</v>
      </c>
      <c r="G785" s="1" t="s">
        <v>4252</v>
      </c>
      <c r="H785" s="2"/>
      <c r="I785" s="5">
        <f>XLOOKUP(K785, pharmaceutical_index!B:B, pharmaceutical_index!A:A, "Not Found")</f>
      </c>
      <c r="J785" s="1" t="s">
        <v>1706</v>
      </c>
      <c r="K785" s="1" t="s">
        <v>1706</v>
      </c>
      <c r="L785" s="1" t="s">
        <v>20</v>
      </c>
      <c r="M785" s="1" t="s">
        <v>1706</v>
      </c>
      <c r="N785" s="2"/>
      <c r="O785" s="2"/>
      <c r="P785" s="2"/>
      <c r="Q785" s="2"/>
    </row>
    <row x14ac:dyDescent="0.25" r="786" customHeight="1" ht="17.25">
      <c r="A786" s="1" t="s">
        <v>4513</v>
      </c>
      <c r="B786" s="1" t="s">
        <v>1708</v>
      </c>
      <c r="C786" s="1" t="s">
        <v>3576</v>
      </c>
      <c r="D786" s="1" t="s">
        <v>20</v>
      </c>
      <c r="E786" s="1" t="s">
        <v>4250</v>
      </c>
      <c r="F786" s="1" t="s">
        <v>4251</v>
      </c>
      <c r="G786" s="1" t="s">
        <v>4252</v>
      </c>
      <c r="H786" s="2"/>
      <c r="I786" s="5">
        <f>XLOOKUP(K786, pharmaceutical_index!B:B, pharmaceutical_index!A:A, "Not Found")</f>
      </c>
      <c r="J786" s="1" t="s">
        <v>1708</v>
      </c>
      <c r="K786" s="1" t="s">
        <v>1708</v>
      </c>
      <c r="L786" s="1" t="s">
        <v>20</v>
      </c>
      <c r="M786" s="1" t="s">
        <v>1708</v>
      </c>
      <c r="N786" s="2"/>
      <c r="O786" s="2"/>
      <c r="P786" s="2"/>
      <c r="Q786" s="2"/>
    </row>
    <row x14ac:dyDescent="0.25" r="787" customHeight="1" ht="17.25">
      <c r="A787" s="1" t="s">
        <v>4514</v>
      </c>
      <c r="B787" s="1" t="s">
        <v>1710</v>
      </c>
      <c r="C787" s="1" t="s">
        <v>3576</v>
      </c>
      <c r="D787" s="1" t="s">
        <v>20</v>
      </c>
      <c r="E787" s="1" t="s">
        <v>4250</v>
      </c>
      <c r="F787" s="1" t="s">
        <v>4251</v>
      </c>
      <c r="G787" s="1" t="s">
        <v>4252</v>
      </c>
      <c r="H787" s="2"/>
      <c r="I787" s="5">
        <f>XLOOKUP(K787, pharmaceutical_index!B:B, pharmaceutical_index!A:A, "Not Found")</f>
      </c>
      <c r="J787" s="1" t="s">
        <v>1710</v>
      </c>
      <c r="K787" s="1" t="s">
        <v>1710</v>
      </c>
      <c r="L787" s="1" t="s">
        <v>20</v>
      </c>
      <c r="M787" s="1" t="s">
        <v>1710</v>
      </c>
      <c r="N787" s="2"/>
      <c r="O787" s="2"/>
      <c r="P787" s="2"/>
      <c r="Q787" s="2"/>
    </row>
    <row x14ac:dyDescent="0.25" r="788" customHeight="1" ht="17.25">
      <c r="A788" s="1" t="s">
        <v>4515</v>
      </c>
      <c r="B788" s="1" t="s">
        <v>1712</v>
      </c>
      <c r="C788" s="1" t="s">
        <v>3576</v>
      </c>
      <c r="D788" s="1" t="s">
        <v>20</v>
      </c>
      <c r="E788" s="1" t="s">
        <v>4250</v>
      </c>
      <c r="F788" s="1" t="s">
        <v>4251</v>
      </c>
      <c r="G788" s="1" t="s">
        <v>4252</v>
      </c>
      <c r="H788" s="2"/>
      <c r="I788" s="5">
        <f>XLOOKUP(K788, pharmaceutical_index!B:B, pharmaceutical_index!A:A, "Not Found")</f>
      </c>
      <c r="J788" s="1" t="s">
        <v>1712</v>
      </c>
      <c r="K788" s="1" t="s">
        <v>1712</v>
      </c>
      <c r="L788" s="1" t="s">
        <v>20</v>
      </c>
      <c r="M788" s="1" t="s">
        <v>1712</v>
      </c>
      <c r="N788" s="2"/>
      <c r="O788" s="2"/>
      <c r="P788" s="2"/>
      <c r="Q788" s="2"/>
    </row>
    <row x14ac:dyDescent="0.25" r="789" customHeight="1" ht="17.25">
      <c r="A789" s="1" t="s">
        <v>4516</v>
      </c>
      <c r="B789" s="1" t="s">
        <v>1714</v>
      </c>
      <c r="C789" s="1" t="s">
        <v>3576</v>
      </c>
      <c r="D789" s="1" t="s">
        <v>20</v>
      </c>
      <c r="E789" s="1" t="s">
        <v>4250</v>
      </c>
      <c r="F789" s="1" t="s">
        <v>4251</v>
      </c>
      <c r="G789" s="1" t="s">
        <v>4252</v>
      </c>
      <c r="H789" s="2"/>
      <c r="I789" s="5">
        <f>XLOOKUP(K789, pharmaceutical_index!B:B, pharmaceutical_index!A:A, "Not Found")</f>
      </c>
      <c r="J789" s="1" t="s">
        <v>1714</v>
      </c>
      <c r="K789" s="1" t="s">
        <v>1714</v>
      </c>
      <c r="L789" s="1" t="s">
        <v>20</v>
      </c>
      <c r="M789" s="1" t="s">
        <v>1714</v>
      </c>
      <c r="N789" s="2"/>
      <c r="O789" s="2"/>
      <c r="P789" s="2"/>
      <c r="Q789" s="2"/>
    </row>
    <row x14ac:dyDescent="0.25" r="790" customHeight="1" ht="17.25">
      <c r="A790" s="1" t="s">
        <v>4517</v>
      </c>
      <c r="B790" s="1" t="s">
        <v>1716</v>
      </c>
      <c r="C790" s="1" t="s">
        <v>3576</v>
      </c>
      <c r="D790" s="1" t="s">
        <v>20</v>
      </c>
      <c r="E790" s="1" t="s">
        <v>4250</v>
      </c>
      <c r="F790" s="1" t="s">
        <v>4251</v>
      </c>
      <c r="G790" s="1" t="s">
        <v>4252</v>
      </c>
      <c r="H790" s="2"/>
      <c r="I790" s="5">
        <f>XLOOKUP(K790, pharmaceutical_index!B:B, pharmaceutical_index!A:A, "Not Found")</f>
      </c>
      <c r="J790" s="1" t="s">
        <v>1716</v>
      </c>
      <c r="K790" s="1" t="s">
        <v>1716</v>
      </c>
      <c r="L790" s="1" t="s">
        <v>20</v>
      </c>
      <c r="M790" s="1" t="s">
        <v>1716</v>
      </c>
      <c r="N790" s="2"/>
      <c r="O790" s="2"/>
      <c r="P790" s="2"/>
      <c r="Q790" s="2"/>
    </row>
    <row x14ac:dyDescent="0.25" r="791" customHeight="1" ht="17.25">
      <c r="A791" s="1" t="s">
        <v>4518</v>
      </c>
      <c r="B791" s="1" t="s">
        <v>1718</v>
      </c>
      <c r="C791" s="1" t="s">
        <v>3576</v>
      </c>
      <c r="D791" s="1" t="s">
        <v>20</v>
      </c>
      <c r="E791" s="1" t="s">
        <v>4250</v>
      </c>
      <c r="F791" s="1" t="s">
        <v>4251</v>
      </c>
      <c r="G791" s="1" t="s">
        <v>4252</v>
      </c>
      <c r="H791" s="2"/>
      <c r="I791" s="5">
        <f>XLOOKUP(K791, pharmaceutical_index!B:B, pharmaceutical_index!A:A, "Not Found")</f>
      </c>
      <c r="J791" s="1" t="s">
        <v>1718</v>
      </c>
      <c r="K791" s="1" t="s">
        <v>1718</v>
      </c>
      <c r="L791" s="1" t="s">
        <v>20</v>
      </c>
      <c r="M791" s="1" t="s">
        <v>1718</v>
      </c>
      <c r="N791" s="2"/>
      <c r="O791" s="2"/>
      <c r="P791" s="2"/>
      <c r="Q791" s="2"/>
    </row>
    <row x14ac:dyDescent="0.25" r="792" customHeight="1" ht="17.25">
      <c r="A792" s="1" t="s">
        <v>4519</v>
      </c>
      <c r="B792" s="1" t="s">
        <v>1720</v>
      </c>
      <c r="C792" s="1" t="s">
        <v>3576</v>
      </c>
      <c r="D792" s="1" t="s">
        <v>20</v>
      </c>
      <c r="E792" s="1" t="s">
        <v>4250</v>
      </c>
      <c r="F792" s="1" t="s">
        <v>4251</v>
      </c>
      <c r="G792" s="1" t="s">
        <v>4252</v>
      </c>
      <c r="H792" s="2"/>
      <c r="I792" s="5">
        <f>XLOOKUP(K792, pharmaceutical_index!B:B, pharmaceutical_index!A:A, "Not Found")</f>
      </c>
      <c r="J792" s="1" t="s">
        <v>1720</v>
      </c>
      <c r="K792" s="1" t="s">
        <v>1720</v>
      </c>
      <c r="L792" s="1" t="s">
        <v>20</v>
      </c>
      <c r="M792" s="1" t="s">
        <v>1720</v>
      </c>
      <c r="N792" s="2"/>
      <c r="O792" s="2"/>
      <c r="P792" s="2"/>
      <c r="Q792" s="2"/>
    </row>
    <row x14ac:dyDescent="0.25" r="793" customHeight="1" ht="17.25">
      <c r="A793" s="1" t="s">
        <v>4520</v>
      </c>
      <c r="B793" s="1" t="s">
        <v>1722</v>
      </c>
      <c r="C793" s="1" t="s">
        <v>3576</v>
      </c>
      <c r="D793" s="1" t="s">
        <v>20</v>
      </c>
      <c r="E793" s="1" t="s">
        <v>4250</v>
      </c>
      <c r="F793" s="1" t="s">
        <v>4251</v>
      </c>
      <c r="G793" s="1" t="s">
        <v>4252</v>
      </c>
      <c r="H793" s="2"/>
      <c r="I793" s="5">
        <f>XLOOKUP(K793, pharmaceutical_index!B:B, pharmaceutical_index!A:A, "Not Found")</f>
      </c>
      <c r="J793" s="1" t="s">
        <v>1722</v>
      </c>
      <c r="K793" s="1" t="s">
        <v>1722</v>
      </c>
      <c r="L793" s="1" t="s">
        <v>20</v>
      </c>
      <c r="M793" s="1" t="s">
        <v>1722</v>
      </c>
      <c r="N793" s="2"/>
      <c r="O793" s="2"/>
      <c r="P793" s="2"/>
      <c r="Q793" s="2"/>
    </row>
    <row x14ac:dyDescent="0.25" r="794" customHeight="1" ht="17.25">
      <c r="A794" s="1" t="s">
        <v>4521</v>
      </c>
      <c r="B794" s="1" t="s">
        <v>1724</v>
      </c>
      <c r="C794" s="1" t="s">
        <v>3576</v>
      </c>
      <c r="D794" s="1" t="s">
        <v>20</v>
      </c>
      <c r="E794" s="1" t="s">
        <v>4250</v>
      </c>
      <c r="F794" s="1" t="s">
        <v>4251</v>
      </c>
      <c r="G794" s="1" t="s">
        <v>4252</v>
      </c>
      <c r="H794" s="2"/>
      <c r="I794" s="5">
        <f>XLOOKUP(K794, pharmaceutical_index!B:B, pharmaceutical_index!A:A, "Not Found")</f>
      </c>
      <c r="J794" s="1" t="s">
        <v>1724</v>
      </c>
      <c r="K794" s="1" t="s">
        <v>1724</v>
      </c>
      <c r="L794" s="1" t="s">
        <v>20</v>
      </c>
      <c r="M794" s="1" t="s">
        <v>1724</v>
      </c>
      <c r="N794" s="2"/>
      <c r="O794" s="2"/>
      <c r="P794" s="2"/>
      <c r="Q794" s="2"/>
    </row>
    <row x14ac:dyDescent="0.25" r="795" customHeight="1" ht="17.25">
      <c r="A795" s="1" t="s">
        <v>4522</v>
      </c>
      <c r="B795" s="1" t="s">
        <v>1726</v>
      </c>
      <c r="C795" s="1" t="s">
        <v>3576</v>
      </c>
      <c r="D795" s="1" t="s">
        <v>20</v>
      </c>
      <c r="E795" s="1" t="s">
        <v>4250</v>
      </c>
      <c r="F795" s="1" t="s">
        <v>4251</v>
      </c>
      <c r="G795" s="1" t="s">
        <v>4252</v>
      </c>
      <c r="H795" s="2"/>
      <c r="I795" s="5">
        <f>XLOOKUP(K795, pharmaceutical_index!B:B, pharmaceutical_index!A:A, "Not Found")</f>
      </c>
      <c r="J795" s="1" t="s">
        <v>1726</v>
      </c>
      <c r="K795" s="1" t="s">
        <v>1726</v>
      </c>
      <c r="L795" s="1" t="s">
        <v>20</v>
      </c>
      <c r="M795" s="1" t="s">
        <v>1726</v>
      </c>
      <c r="N795" s="2"/>
      <c r="O795" s="2"/>
      <c r="P795" s="2"/>
      <c r="Q795" s="2"/>
    </row>
    <row x14ac:dyDescent="0.25" r="796" customHeight="1" ht="17.25">
      <c r="A796" s="1" t="s">
        <v>4523</v>
      </c>
      <c r="B796" s="1" t="s">
        <v>1728</v>
      </c>
      <c r="C796" s="1" t="s">
        <v>3576</v>
      </c>
      <c r="D796" s="1" t="s">
        <v>20</v>
      </c>
      <c r="E796" s="1" t="s">
        <v>4250</v>
      </c>
      <c r="F796" s="1" t="s">
        <v>4251</v>
      </c>
      <c r="G796" s="1" t="s">
        <v>4252</v>
      </c>
      <c r="H796" s="2"/>
      <c r="I796" s="5">
        <f>XLOOKUP(K796, pharmaceutical_index!B:B, pharmaceutical_index!A:A, "Not Found")</f>
      </c>
      <c r="J796" s="1" t="s">
        <v>1728</v>
      </c>
      <c r="K796" s="1" t="s">
        <v>1728</v>
      </c>
      <c r="L796" s="1" t="s">
        <v>20</v>
      </c>
      <c r="M796" s="1" t="s">
        <v>1728</v>
      </c>
      <c r="N796" s="2"/>
      <c r="O796" s="2"/>
      <c r="P796" s="2"/>
      <c r="Q796" s="2"/>
    </row>
    <row x14ac:dyDescent="0.25" r="797" customHeight="1" ht="17.25">
      <c r="A797" s="1" t="s">
        <v>4524</v>
      </c>
      <c r="B797" s="1" t="s">
        <v>1730</v>
      </c>
      <c r="C797" s="1" t="s">
        <v>3576</v>
      </c>
      <c r="D797" s="1" t="s">
        <v>20</v>
      </c>
      <c r="E797" s="1" t="s">
        <v>4250</v>
      </c>
      <c r="F797" s="1" t="s">
        <v>4251</v>
      </c>
      <c r="G797" s="1" t="s">
        <v>4252</v>
      </c>
      <c r="H797" s="2"/>
      <c r="I797" s="5">
        <f>XLOOKUP(K797, pharmaceutical_index!B:B, pharmaceutical_index!A:A, "Not Found")</f>
      </c>
      <c r="J797" s="1" t="s">
        <v>1730</v>
      </c>
      <c r="K797" s="1" t="s">
        <v>1730</v>
      </c>
      <c r="L797" s="1" t="s">
        <v>20</v>
      </c>
      <c r="M797" s="1" t="s">
        <v>1730</v>
      </c>
      <c r="N797" s="2"/>
      <c r="O797" s="2"/>
      <c r="P797" s="2"/>
      <c r="Q797" s="2"/>
    </row>
    <row x14ac:dyDescent="0.25" r="798" customHeight="1" ht="17.25">
      <c r="A798" s="1" t="s">
        <v>4525</v>
      </c>
      <c r="B798" s="1" t="s">
        <v>1732</v>
      </c>
      <c r="C798" s="1" t="s">
        <v>3576</v>
      </c>
      <c r="D798" s="1" t="s">
        <v>20</v>
      </c>
      <c r="E798" s="1" t="s">
        <v>4250</v>
      </c>
      <c r="F798" s="1" t="s">
        <v>4251</v>
      </c>
      <c r="G798" s="1" t="s">
        <v>4252</v>
      </c>
      <c r="H798" s="2"/>
      <c r="I798" s="5">
        <f>XLOOKUP(K798, pharmaceutical_index!B:B, pharmaceutical_index!A:A, "Not Found")</f>
      </c>
      <c r="J798" s="1" t="s">
        <v>1732</v>
      </c>
      <c r="K798" s="1" t="s">
        <v>1732</v>
      </c>
      <c r="L798" s="1" t="s">
        <v>20</v>
      </c>
      <c r="M798" s="1" t="s">
        <v>1732</v>
      </c>
      <c r="N798" s="2"/>
      <c r="O798" s="2"/>
      <c r="P798" s="2"/>
      <c r="Q798" s="2"/>
    </row>
    <row x14ac:dyDescent="0.25" r="799" customHeight="1" ht="17.25">
      <c r="A799" s="1" t="s">
        <v>4526</v>
      </c>
      <c r="B799" s="1" t="s">
        <v>1734</v>
      </c>
      <c r="C799" s="1" t="s">
        <v>3576</v>
      </c>
      <c r="D799" s="1" t="s">
        <v>20</v>
      </c>
      <c r="E799" s="1" t="s">
        <v>4250</v>
      </c>
      <c r="F799" s="1" t="s">
        <v>4251</v>
      </c>
      <c r="G799" s="1" t="s">
        <v>4252</v>
      </c>
      <c r="H799" s="2"/>
      <c r="I799" s="5">
        <f>XLOOKUP(K799, pharmaceutical_index!B:B, pharmaceutical_index!A:A, "Not Found")</f>
      </c>
      <c r="J799" s="1" t="s">
        <v>1734</v>
      </c>
      <c r="K799" s="1" t="s">
        <v>1734</v>
      </c>
      <c r="L799" s="1" t="s">
        <v>20</v>
      </c>
      <c r="M799" s="1" t="s">
        <v>1734</v>
      </c>
      <c r="N799" s="2"/>
      <c r="O799" s="2"/>
      <c r="P799" s="2"/>
      <c r="Q799" s="2"/>
    </row>
    <row x14ac:dyDescent="0.25" r="800" customHeight="1" ht="17.25">
      <c r="A800" s="1" t="s">
        <v>4527</v>
      </c>
      <c r="B800" s="1" t="s">
        <v>1736</v>
      </c>
      <c r="C800" s="1" t="s">
        <v>3576</v>
      </c>
      <c r="D800" s="1" t="s">
        <v>20</v>
      </c>
      <c r="E800" s="1" t="s">
        <v>4250</v>
      </c>
      <c r="F800" s="1" t="s">
        <v>4251</v>
      </c>
      <c r="G800" s="1" t="s">
        <v>4252</v>
      </c>
      <c r="H800" s="2"/>
      <c r="I800" s="5">
        <f>XLOOKUP(K800, pharmaceutical_index!B:B, pharmaceutical_index!A:A, "Not Found")</f>
      </c>
      <c r="J800" s="1" t="s">
        <v>1736</v>
      </c>
      <c r="K800" s="1" t="s">
        <v>1736</v>
      </c>
      <c r="L800" s="1" t="s">
        <v>20</v>
      </c>
      <c r="M800" s="1" t="s">
        <v>1736</v>
      </c>
      <c r="N800" s="2"/>
      <c r="O800" s="2"/>
      <c r="P800" s="2"/>
      <c r="Q800" s="2"/>
    </row>
    <row x14ac:dyDescent="0.25" r="801" customHeight="1" ht="17.25">
      <c r="A801" s="1" t="s">
        <v>4528</v>
      </c>
      <c r="B801" s="1" t="s">
        <v>1738</v>
      </c>
      <c r="C801" s="1" t="s">
        <v>3576</v>
      </c>
      <c r="D801" s="1" t="s">
        <v>20</v>
      </c>
      <c r="E801" s="1" t="s">
        <v>4250</v>
      </c>
      <c r="F801" s="1" t="s">
        <v>4251</v>
      </c>
      <c r="G801" s="1" t="s">
        <v>4252</v>
      </c>
      <c r="H801" s="2"/>
      <c r="I801" s="5">
        <f>XLOOKUP(K801, pharmaceutical_index!B:B, pharmaceutical_index!A:A, "Not Found")</f>
      </c>
      <c r="J801" s="1" t="s">
        <v>1738</v>
      </c>
      <c r="K801" s="1" t="s">
        <v>1738</v>
      </c>
      <c r="L801" s="1" t="s">
        <v>20</v>
      </c>
      <c r="M801" s="1" t="s">
        <v>1738</v>
      </c>
      <c r="N801" s="2"/>
      <c r="O801" s="2"/>
      <c r="P801" s="2"/>
      <c r="Q801" s="2"/>
    </row>
    <row x14ac:dyDescent="0.25" r="802" customHeight="1" ht="17.25">
      <c r="A802" s="1" t="s">
        <v>4529</v>
      </c>
      <c r="B802" s="1" t="s">
        <v>1740</v>
      </c>
      <c r="C802" s="1" t="s">
        <v>3576</v>
      </c>
      <c r="D802" s="1" t="s">
        <v>20</v>
      </c>
      <c r="E802" s="1" t="s">
        <v>4250</v>
      </c>
      <c r="F802" s="1" t="s">
        <v>4251</v>
      </c>
      <c r="G802" s="1" t="s">
        <v>4252</v>
      </c>
      <c r="H802" s="2"/>
      <c r="I802" s="5">
        <f>XLOOKUP(K802, pharmaceutical_index!B:B, pharmaceutical_index!A:A, "Not Found")</f>
      </c>
      <c r="J802" s="1" t="s">
        <v>1740</v>
      </c>
      <c r="K802" s="1" t="s">
        <v>1740</v>
      </c>
      <c r="L802" s="1" t="s">
        <v>20</v>
      </c>
      <c r="M802" s="1" t="s">
        <v>1740</v>
      </c>
      <c r="N802" s="2"/>
      <c r="O802" s="2"/>
      <c r="P802" s="2"/>
      <c r="Q802" s="2"/>
    </row>
    <row x14ac:dyDescent="0.25" r="803" customHeight="1" ht="17.25">
      <c r="A803" s="1" t="s">
        <v>4530</v>
      </c>
      <c r="B803" s="1" t="s">
        <v>1742</v>
      </c>
      <c r="C803" s="1" t="s">
        <v>3576</v>
      </c>
      <c r="D803" s="1" t="s">
        <v>20</v>
      </c>
      <c r="E803" s="1" t="s">
        <v>4250</v>
      </c>
      <c r="F803" s="1" t="s">
        <v>4251</v>
      </c>
      <c r="G803" s="1" t="s">
        <v>4252</v>
      </c>
      <c r="H803" s="2"/>
      <c r="I803" s="5">
        <f>XLOOKUP(K803, pharmaceutical_index!B:B, pharmaceutical_index!A:A, "Not Found")</f>
      </c>
      <c r="J803" s="1" t="s">
        <v>1742</v>
      </c>
      <c r="K803" s="1" t="s">
        <v>1742</v>
      </c>
      <c r="L803" s="1" t="s">
        <v>20</v>
      </c>
      <c r="M803" s="1" t="s">
        <v>1742</v>
      </c>
      <c r="N803" s="2"/>
      <c r="O803" s="2"/>
      <c r="P803" s="2"/>
      <c r="Q803" s="2"/>
    </row>
    <row x14ac:dyDescent="0.25" r="804" customHeight="1" ht="17.25">
      <c r="A804" s="1" t="s">
        <v>4531</v>
      </c>
      <c r="B804" s="1" t="s">
        <v>1744</v>
      </c>
      <c r="C804" s="1" t="s">
        <v>3576</v>
      </c>
      <c r="D804" s="1" t="s">
        <v>20</v>
      </c>
      <c r="E804" s="1" t="s">
        <v>4250</v>
      </c>
      <c r="F804" s="1" t="s">
        <v>4251</v>
      </c>
      <c r="G804" s="1" t="s">
        <v>4252</v>
      </c>
      <c r="H804" s="2"/>
      <c r="I804" s="5">
        <f>XLOOKUP(K804, pharmaceutical_index!B:B, pharmaceutical_index!A:A, "Not Found")</f>
      </c>
      <c r="J804" s="1" t="s">
        <v>1744</v>
      </c>
      <c r="K804" s="1" t="s">
        <v>1744</v>
      </c>
      <c r="L804" s="1" t="s">
        <v>20</v>
      </c>
      <c r="M804" s="1" t="s">
        <v>1744</v>
      </c>
      <c r="N804" s="2"/>
      <c r="O804" s="2"/>
      <c r="P804" s="2"/>
      <c r="Q804" s="2"/>
    </row>
    <row x14ac:dyDescent="0.25" r="805" customHeight="1" ht="17.25">
      <c r="A805" s="1" t="s">
        <v>4532</v>
      </c>
      <c r="B805" s="1" t="s">
        <v>1746</v>
      </c>
      <c r="C805" s="1" t="s">
        <v>3576</v>
      </c>
      <c r="D805" s="1" t="s">
        <v>20</v>
      </c>
      <c r="E805" s="1" t="s">
        <v>4250</v>
      </c>
      <c r="F805" s="1" t="s">
        <v>4251</v>
      </c>
      <c r="G805" s="1" t="s">
        <v>4252</v>
      </c>
      <c r="H805" s="2"/>
      <c r="I805" s="5">
        <f>XLOOKUP(K805, pharmaceutical_index!B:B, pharmaceutical_index!A:A, "Not Found")</f>
      </c>
      <c r="J805" s="1" t="s">
        <v>1746</v>
      </c>
      <c r="K805" s="1" t="s">
        <v>1746</v>
      </c>
      <c r="L805" s="1" t="s">
        <v>20</v>
      </c>
      <c r="M805" s="1" t="s">
        <v>1746</v>
      </c>
      <c r="N805" s="2"/>
      <c r="O805" s="2"/>
      <c r="P805" s="2"/>
      <c r="Q805" s="2"/>
    </row>
    <row x14ac:dyDescent="0.25" r="806" customHeight="1" ht="17.25">
      <c r="A806" s="1" t="s">
        <v>4533</v>
      </c>
      <c r="B806" s="1" t="s">
        <v>1748</v>
      </c>
      <c r="C806" s="1" t="s">
        <v>3576</v>
      </c>
      <c r="D806" s="1" t="s">
        <v>20</v>
      </c>
      <c r="E806" s="1" t="s">
        <v>4250</v>
      </c>
      <c r="F806" s="1" t="s">
        <v>4251</v>
      </c>
      <c r="G806" s="1" t="s">
        <v>4252</v>
      </c>
      <c r="H806" s="2"/>
      <c r="I806" s="5">
        <f>XLOOKUP(K806, pharmaceutical_index!B:B, pharmaceutical_index!A:A, "Not Found")</f>
      </c>
      <c r="J806" s="1" t="s">
        <v>1748</v>
      </c>
      <c r="K806" s="1" t="s">
        <v>1748</v>
      </c>
      <c r="L806" s="1" t="s">
        <v>20</v>
      </c>
      <c r="M806" s="1" t="s">
        <v>1748</v>
      </c>
      <c r="N806" s="2"/>
      <c r="O806" s="2"/>
      <c r="P806" s="2"/>
      <c r="Q806" s="2"/>
    </row>
    <row x14ac:dyDescent="0.25" r="807" customHeight="1" ht="17.25">
      <c r="A807" s="1" t="s">
        <v>4534</v>
      </c>
      <c r="B807" s="1" t="s">
        <v>1750</v>
      </c>
      <c r="C807" s="1" t="s">
        <v>3576</v>
      </c>
      <c r="D807" s="1" t="s">
        <v>20</v>
      </c>
      <c r="E807" s="1" t="s">
        <v>4250</v>
      </c>
      <c r="F807" s="1" t="s">
        <v>4251</v>
      </c>
      <c r="G807" s="1" t="s">
        <v>4252</v>
      </c>
      <c r="H807" s="2"/>
      <c r="I807" s="5">
        <f>XLOOKUP(K807, pharmaceutical_index!B:B, pharmaceutical_index!A:A, "Not Found")</f>
      </c>
      <c r="J807" s="1" t="s">
        <v>1750</v>
      </c>
      <c r="K807" s="1" t="s">
        <v>1750</v>
      </c>
      <c r="L807" s="1" t="s">
        <v>20</v>
      </c>
      <c r="M807" s="1" t="s">
        <v>1750</v>
      </c>
      <c r="N807" s="2"/>
      <c r="O807" s="2"/>
      <c r="P807" s="2"/>
      <c r="Q807" s="2"/>
    </row>
    <row x14ac:dyDescent="0.25" r="808" customHeight="1" ht="17.25">
      <c r="A808" s="1" t="s">
        <v>4535</v>
      </c>
      <c r="B808" s="1" t="s">
        <v>1752</v>
      </c>
      <c r="C808" s="1" t="s">
        <v>3576</v>
      </c>
      <c r="D808" s="1" t="s">
        <v>20</v>
      </c>
      <c r="E808" s="1" t="s">
        <v>4250</v>
      </c>
      <c r="F808" s="1" t="s">
        <v>4251</v>
      </c>
      <c r="G808" s="1" t="s">
        <v>4252</v>
      </c>
      <c r="H808" s="2"/>
      <c r="I808" s="5">
        <f>XLOOKUP(K808, pharmaceutical_index!B:B, pharmaceutical_index!A:A, "Not Found")</f>
      </c>
      <c r="J808" s="1" t="s">
        <v>1752</v>
      </c>
      <c r="K808" s="1" t="s">
        <v>1752</v>
      </c>
      <c r="L808" s="1" t="s">
        <v>20</v>
      </c>
      <c r="M808" s="1" t="s">
        <v>1752</v>
      </c>
      <c r="N808" s="2"/>
      <c r="O808" s="2"/>
      <c r="P808" s="2"/>
      <c r="Q808" s="2"/>
    </row>
    <row x14ac:dyDescent="0.25" r="809" customHeight="1" ht="17.25">
      <c r="A809" s="1" t="s">
        <v>4536</v>
      </c>
      <c r="B809" s="1" t="s">
        <v>1754</v>
      </c>
      <c r="C809" s="1" t="s">
        <v>3576</v>
      </c>
      <c r="D809" s="1" t="s">
        <v>20</v>
      </c>
      <c r="E809" s="1" t="s">
        <v>4250</v>
      </c>
      <c r="F809" s="1" t="s">
        <v>4251</v>
      </c>
      <c r="G809" s="1" t="s">
        <v>4252</v>
      </c>
      <c r="H809" s="2"/>
      <c r="I809" s="5">
        <f>XLOOKUP(K809, pharmaceutical_index!B:B, pharmaceutical_index!A:A, "Not Found")</f>
      </c>
      <c r="J809" s="1" t="s">
        <v>1754</v>
      </c>
      <c r="K809" s="1" t="s">
        <v>1754</v>
      </c>
      <c r="L809" s="1" t="s">
        <v>20</v>
      </c>
      <c r="M809" s="1" t="s">
        <v>1754</v>
      </c>
      <c r="N809" s="2"/>
      <c r="O809" s="2"/>
      <c r="P809" s="2"/>
      <c r="Q809" s="2"/>
    </row>
    <row x14ac:dyDescent="0.25" r="810" customHeight="1" ht="17.25">
      <c r="A810" s="1" t="s">
        <v>4537</v>
      </c>
      <c r="B810" s="1" t="s">
        <v>1756</v>
      </c>
      <c r="C810" s="1" t="s">
        <v>3576</v>
      </c>
      <c r="D810" s="1" t="s">
        <v>20</v>
      </c>
      <c r="E810" s="1" t="s">
        <v>4250</v>
      </c>
      <c r="F810" s="1" t="s">
        <v>4251</v>
      </c>
      <c r="G810" s="1" t="s">
        <v>4252</v>
      </c>
      <c r="H810" s="2"/>
      <c r="I810" s="5">
        <f>XLOOKUP(K810, pharmaceutical_index!B:B, pharmaceutical_index!A:A, "Not Found")</f>
      </c>
      <c r="J810" s="1" t="s">
        <v>1756</v>
      </c>
      <c r="K810" s="1" t="s">
        <v>1756</v>
      </c>
      <c r="L810" s="1" t="s">
        <v>20</v>
      </c>
      <c r="M810" s="1" t="s">
        <v>1756</v>
      </c>
      <c r="N810" s="2"/>
      <c r="O810" s="2"/>
      <c r="P810" s="2"/>
      <c r="Q810" s="2"/>
    </row>
    <row x14ac:dyDescent="0.25" r="811" customHeight="1" ht="17.25">
      <c r="A811" s="1" t="s">
        <v>4538</v>
      </c>
      <c r="B811" s="1" t="s">
        <v>1758</v>
      </c>
      <c r="C811" s="1" t="s">
        <v>3576</v>
      </c>
      <c r="D811" s="1" t="s">
        <v>20</v>
      </c>
      <c r="E811" s="1" t="s">
        <v>4250</v>
      </c>
      <c r="F811" s="1" t="s">
        <v>4251</v>
      </c>
      <c r="G811" s="1" t="s">
        <v>4252</v>
      </c>
      <c r="H811" s="2"/>
      <c r="I811" s="5">
        <f>XLOOKUP(K811, pharmaceutical_index!B:B, pharmaceutical_index!A:A, "Not Found")</f>
      </c>
      <c r="J811" s="1" t="s">
        <v>1758</v>
      </c>
      <c r="K811" s="1" t="s">
        <v>1758</v>
      </c>
      <c r="L811" s="1" t="s">
        <v>20</v>
      </c>
      <c r="M811" s="1" t="s">
        <v>1758</v>
      </c>
      <c r="N811" s="2"/>
      <c r="O811" s="2"/>
      <c r="P811" s="2"/>
      <c r="Q811" s="2"/>
    </row>
    <row x14ac:dyDescent="0.25" r="812" customHeight="1" ht="17.25">
      <c r="A812" s="1" t="s">
        <v>4539</v>
      </c>
      <c r="B812" s="1" t="s">
        <v>1760</v>
      </c>
      <c r="C812" s="1" t="s">
        <v>3576</v>
      </c>
      <c r="D812" s="1" t="s">
        <v>20</v>
      </c>
      <c r="E812" s="1" t="s">
        <v>4250</v>
      </c>
      <c r="F812" s="1" t="s">
        <v>4251</v>
      </c>
      <c r="G812" s="1" t="s">
        <v>4252</v>
      </c>
      <c r="H812" s="2"/>
      <c r="I812" s="5">
        <f>XLOOKUP(K812, pharmaceutical_index!B:B, pharmaceutical_index!A:A, "Not Found")</f>
      </c>
      <c r="J812" s="1" t="s">
        <v>1760</v>
      </c>
      <c r="K812" s="1" t="s">
        <v>1760</v>
      </c>
      <c r="L812" s="1" t="s">
        <v>20</v>
      </c>
      <c r="M812" s="1" t="s">
        <v>1760</v>
      </c>
      <c r="N812" s="2"/>
      <c r="O812" s="2"/>
      <c r="P812" s="2"/>
      <c r="Q812" s="2"/>
    </row>
    <row x14ac:dyDescent="0.25" r="813" customHeight="1" ht="17.25">
      <c r="A813" s="1" t="s">
        <v>4540</v>
      </c>
      <c r="B813" s="1" t="s">
        <v>1762</v>
      </c>
      <c r="C813" s="1" t="s">
        <v>3576</v>
      </c>
      <c r="D813" s="1" t="s">
        <v>20</v>
      </c>
      <c r="E813" s="1" t="s">
        <v>4250</v>
      </c>
      <c r="F813" s="1" t="s">
        <v>4251</v>
      </c>
      <c r="G813" s="1" t="s">
        <v>4252</v>
      </c>
      <c r="H813" s="2"/>
      <c r="I813" s="5">
        <f>XLOOKUP(K813, pharmaceutical_index!B:B, pharmaceutical_index!A:A, "Not Found")</f>
      </c>
      <c r="J813" s="1" t="s">
        <v>1762</v>
      </c>
      <c r="K813" s="1" t="s">
        <v>1762</v>
      </c>
      <c r="L813" s="1" t="s">
        <v>20</v>
      </c>
      <c r="M813" s="1" t="s">
        <v>1762</v>
      </c>
      <c r="N813" s="2"/>
      <c r="O813" s="2"/>
      <c r="P813" s="2"/>
      <c r="Q813" s="2"/>
    </row>
    <row x14ac:dyDescent="0.25" r="814" customHeight="1" ht="17.25">
      <c r="A814" s="1" t="s">
        <v>4541</v>
      </c>
      <c r="B814" s="1" t="s">
        <v>1764</v>
      </c>
      <c r="C814" s="1" t="s">
        <v>3576</v>
      </c>
      <c r="D814" s="1" t="s">
        <v>20</v>
      </c>
      <c r="E814" s="1" t="s">
        <v>4250</v>
      </c>
      <c r="F814" s="1" t="s">
        <v>4251</v>
      </c>
      <c r="G814" s="1" t="s">
        <v>4252</v>
      </c>
      <c r="H814" s="2"/>
      <c r="I814" s="5">
        <f>XLOOKUP(K814, pharmaceutical_index!B:B, pharmaceutical_index!A:A, "Not Found")</f>
      </c>
      <c r="J814" s="1" t="s">
        <v>1764</v>
      </c>
      <c r="K814" s="1" t="s">
        <v>1764</v>
      </c>
      <c r="L814" s="1" t="s">
        <v>20</v>
      </c>
      <c r="M814" s="1" t="s">
        <v>1764</v>
      </c>
      <c r="N814" s="2"/>
      <c r="O814" s="2"/>
      <c r="P814" s="2"/>
      <c r="Q814" s="2"/>
    </row>
    <row x14ac:dyDescent="0.25" r="815" customHeight="1" ht="17.25">
      <c r="A815" s="1" t="s">
        <v>4542</v>
      </c>
      <c r="B815" s="1" t="s">
        <v>1766</v>
      </c>
      <c r="C815" s="1" t="s">
        <v>3576</v>
      </c>
      <c r="D815" s="1" t="s">
        <v>20</v>
      </c>
      <c r="E815" s="1" t="s">
        <v>4250</v>
      </c>
      <c r="F815" s="1" t="s">
        <v>4251</v>
      </c>
      <c r="G815" s="1" t="s">
        <v>4252</v>
      </c>
      <c r="H815" s="2"/>
      <c r="I815" s="5">
        <f>XLOOKUP(K815, pharmaceutical_index!B:B, pharmaceutical_index!A:A, "Not Found")</f>
      </c>
      <c r="J815" s="1" t="s">
        <v>1766</v>
      </c>
      <c r="K815" s="1" t="s">
        <v>1766</v>
      </c>
      <c r="L815" s="1" t="s">
        <v>20</v>
      </c>
      <c r="M815" s="1" t="s">
        <v>1766</v>
      </c>
      <c r="N815" s="2"/>
      <c r="O815" s="2"/>
      <c r="P815" s="2"/>
      <c r="Q815" s="2"/>
    </row>
    <row x14ac:dyDescent="0.25" r="816" customHeight="1" ht="17.25">
      <c r="A816" s="1" t="s">
        <v>4543</v>
      </c>
      <c r="B816" s="1" t="s">
        <v>1768</v>
      </c>
      <c r="C816" s="1" t="s">
        <v>3576</v>
      </c>
      <c r="D816" s="1" t="s">
        <v>20</v>
      </c>
      <c r="E816" s="1" t="s">
        <v>4250</v>
      </c>
      <c r="F816" s="1" t="s">
        <v>4251</v>
      </c>
      <c r="G816" s="1" t="s">
        <v>4252</v>
      </c>
      <c r="H816" s="2"/>
      <c r="I816" s="5">
        <f>XLOOKUP(K816, pharmaceutical_index!B:B, pharmaceutical_index!A:A, "Not Found")</f>
      </c>
      <c r="J816" s="1" t="s">
        <v>1768</v>
      </c>
      <c r="K816" s="1" t="s">
        <v>1768</v>
      </c>
      <c r="L816" s="1" t="s">
        <v>20</v>
      </c>
      <c r="M816" s="1" t="s">
        <v>1768</v>
      </c>
      <c r="N816" s="2"/>
      <c r="O816" s="2"/>
      <c r="P816" s="2"/>
      <c r="Q816" s="2"/>
    </row>
    <row x14ac:dyDescent="0.25" r="817" customHeight="1" ht="17.25">
      <c r="A817" s="1" t="s">
        <v>4544</v>
      </c>
      <c r="B817" s="1" t="s">
        <v>1770</v>
      </c>
      <c r="C817" s="1" t="s">
        <v>3576</v>
      </c>
      <c r="D817" s="1" t="s">
        <v>20</v>
      </c>
      <c r="E817" s="1" t="s">
        <v>4250</v>
      </c>
      <c r="F817" s="1" t="s">
        <v>4251</v>
      </c>
      <c r="G817" s="1" t="s">
        <v>4252</v>
      </c>
      <c r="H817" s="2"/>
      <c r="I817" s="5">
        <f>XLOOKUP(K817, pharmaceutical_index!B:B, pharmaceutical_index!A:A, "Not Found")</f>
      </c>
      <c r="J817" s="1" t="s">
        <v>1770</v>
      </c>
      <c r="K817" s="1" t="s">
        <v>1770</v>
      </c>
      <c r="L817" s="1" t="s">
        <v>20</v>
      </c>
      <c r="M817" s="1" t="s">
        <v>1770</v>
      </c>
      <c r="N817" s="2"/>
      <c r="O817" s="2"/>
      <c r="P817" s="2"/>
      <c r="Q817" s="2"/>
    </row>
    <row x14ac:dyDescent="0.25" r="818" customHeight="1" ht="17.25">
      <c r="A818" s="1" t="s">
        <v>4545</v>
      </c>
      <c r="B818" s="1" t="s">
        <v>1772</v>
      </c>
      <c r="C818" s="1" t="s">
        <v>3576</v>
      </c>
      <c r="D818" s="1" t="s">
        <v>20</v>
      </c>
      <c r="E818" s="1" t="s">
        <v>4250</v>
      </c>
      <c r="F818" s="1" t="s">
        <v>4251</v>
      </c>
      <c r="G818" s="1" t="s">
        <v>4252</v>
      </c>
      <c r="H818" s="2"/>
      <c r="I818" s="5">
        <f>XLOOKUP(K818, pharmaceutical_index!B:B, pharmaceutical_index!A:A, "Not Found")</f>
      </c>
      <c r="J818" s="1" t="s">
        <v>1772</v>
      </c>
      <c r="K818" s="1" t="s">
        <v>1772</v>
      </c>
      <c r="L818" s="1" t="s">
        <v>20</v>
      </c>
      <c r="M818" s="1" t="s">
        <v>1772</v>
      </c>
      <c r="N818" s="2"/>
      <c r="O818" s="2"/>
      <c r="P818" s="2"/>
      <c r="Q818" s="2"/>
    </row>
    <row x14ac:dyDescent="0.25" r="819" customHeight="1" ht="17.25">
      <c r="A819" s="1" t="s">
        <v>4546</v>
      </c>
      <c r="B819" s="1" t="s">
        <v>1774</v>
      </c>
      <c r="C819" s="1" t="s">
        <v>3576</v>
      </c>
      <c r="D819" s="1" t="s">
        <v>20</v>
      </c>
      <c r="E819" s="1" t="s">
        <v>4250</v>
      </c>
      <c r="F819" s="1" t="s">
        <v>4251</v>
      </c>
      <c r="G819" s="1" t="s">
        <v>4252</v>
      </c>
      <c r="H819" s="2"/>
      <c r="I819" s="5">
        <f>XLOOKUP(K819, pharmaceutical_index!B:B, pharmaceutical_index!A:A, "Not Found")</f>
      </c>
      <c r="J819" s="1" t="s">
        <v>1774</v>
      </c>
      <c r="K819" s="1" t="s">
        <v>1774</v>
      </c>
      <c r="L819" s="1" t="s">
        <v>20</v>
      </c>
      <c r="M819" s="1" t="s">
        <v>1774</v>
      </c>
      <c r="N819" s="2"/>
      <c r="O819" s="2"/>
      <c r="P819" s="2"/>
      <c r="Q819" s="2"/>
    </row>
    <row x14ac:dyDescent="0.25" r="820" customHeight="1" ht="17.25">
      <c r="A820" s="1" t="s">
        <v>4547</v>
      </c>
      <c r="B820" s="1" t="s">
        <v>1776</v>
      </c>
      <c r="C820" s="1" t="s">
        <v>3576</v>
      </c>
      <c r="D820" s="1" t="s">
        <v>20</v>
      </c>
      <c r="E820" s="1" t="s">
        <v>4250</v>
      </c>
      <c r="F820" s="1" t="s">
        <v>4251</v>
      </c>
      <c r="G820" s="1" t="s">
        <v>4252</v>
      </c>
      <c r="H820" s="2"/>
      <c r="I820" s="5">
        <f>XLOOKUP(K820, pharmaceutical_index!B:B, pharmaceutical_index!A:A, "Not Found")</f>
      </c>
      <c r="J820" s="1" t="s">
        <v>1776</v>
      </c>
      <c r="K820" s="1" t="s">
        <v>1776</v>
      </c>
      <c r="L820" s="1" t="s">
        <v>20</v>
      </c>
      <c r="M820" s="1" t="s">
        <v>1776</v>
      </c>
      <c r="N820" s="2"/>
      <c r="O820" s="2"/>
      <c r="P820" s="2"/>
      <c r="Q820" s="2"/>
    </row>
    <row x14ac:dyDescent="0.25" r="821" customHeight="1" ht="17.25">
      <c r="A821" s="1" t="s">
        <v>4548</v>
      </c>
      <c r="B821" s="1" t="s">
        <v>1778</v>
      </c>
      <c r="C821" s="1" t="s">
        <v>3576</v>
      </c>
      <c r="D821" s="1" t="s">
        <v>20</v>
      </c>
      <c r="E821" s="1" t="s">
        <v>4250</v>
      </c>
      <c r="F821" s="1" t="s">
        <v>4251</v>
      </c>
      <c r="G821" s="1" t="s">
        <v>4252</v>
      </c>
      <c r="H821" s="2"/>
      <c r="I821" s="5">
        <f>XLOOKUP(K821, pharmaceutical_index!B:B, pharmaceutical_index!A:A, "Not Found")</f>
      </c>
      <c r="J821" s="1" t="s">
        <v>1778</v>
      </c>
      <c r="K821" s="1" t="s">
        <v>1778</v>
      </c>
      <c r="L821" s="1" t="s">
        <v>20</v>
      </c>
      <c r="M821" s="1" t="s">
        <v>1778</v>
      </c>
      <c r="N821" s="2"/>
      <c r="O821" s="2"/>
      <c r="P821" s="2"/>
      <c r="Q821" s="2"/>
    </row>
    <row x14ac:dyDescent="0.25" r="822" customHeight="1" ht="17.25">
      <c r="A822" s="1" t="s">
        <v>4549</v>
      </c>
      <c r="B822" s="1" t="s">
        <v>1780</v>
      </c>
      <c r="C822" s="1" t="s">
        <v>3576</v>
      </c>
      <c r="D822" s="1" t="s">
        <v>20</v>
      </c>
      <c r="E822" s="1" t="s">
        <v>4250</v>
      </c>
      <c r="F822" s="1" t="s">
        <v>4251</v>
      </c>
      <c r="G822" s="1" t="s">
        <v>4252</v>
      </c>
      <c r="H822" s="2"/>
      <c r="I822" s="5">
        <f>XLOOKUP(K822, pharmaceutical_index!B:B, pharmaceutical_index!A:A, "Not Found")</f>
      </c>
      <c r="J822" s="1" t="s">
        <v>1780</v>
      </c>
      <c r="K822" s="1" t="s">
        <v>1780</v>
      </c>
      <c r="L822" s="1" t="s">
        <v>20</v>
      </c>
      <c r="M822" s="1" t="s">
        <v>1780</v>
      </c>
      <c r="N822" s="2"/>
      <c r="O822" s="2"/>
      <c r="P822" s="2"/>
      <c r="Q822" s="2"/>
    </row>
    <row x14ac:dyDescent="0.25" r="823" customHeight="1" ht="17.25">
      <c r="A823" s="1" t="s">
        <v>4550</v>
      </c>
      <c r="B823" s="1" t="s">
        <v>1782</v>
      </c>
      <c r="C823" s="1" t="s">
        <v>3576</v>
      </c>
      <c r="D823" s="1" t="s">
        <v>20</v>
      </c>
      <c r="E823" s="1" t="s">
        <v>4250</v>
      </c>
      <c r="F823" s="1" t="s">
        <v>4251</v>
      </c>
      <c r="G823" s="1" t="s">
        <v>4252</v>
      </c>
      <c r="H823" s="2"/>
      <c r="I823" s="5">
        <f>XLOOKUP(K823, pharmaceutical_index!B:B, pharmaceutical_index!A:A, "Not Found")</f>
      </c>
      <c r="J823" s="1" t="s">
        <v>1782</v>
      </c>
      <c r="K823" s="1" t="s">
        <v>1782</v>
      </c>
      <c r="L823" s="1" t="s">
        <v>20</v>
      </c>
      <c r="M823" s="1" t="s">
        <v>1782</v>
      </c>
      <c r="N823" s="2"/>
      <c r="O823" s="2"/>
      <c r="P823" s="2"/>
      <c r="Q823" s="2"/>
    </row>
    <row x14ac:dyDescent="0.25" r="824" customHeight="1" ht="17.25">
      <c r="A824" s="1" t="s">
        <v>4551</v>
      </c>
      <c r="B824" s="1" t="s">
        <v>1784</v>
      </c>
      <c r="C824" s="1" t="s">
        <v>3576</v>
      </c>
      <c r="D824" s="1" t="s">
        <v>20</v>
      </c>
      <c r="E824" s="1" t="s">
        <v>4250</v>
      </c>
      <c r="F824" s="1" t="s">
        <v>4251</v>
      </c>
      <c r="G824" s="1" t="s">
        <v>4252</v>
      </c>
      <c r="H824" s="2"/>
      <c r="I824" s="5">
        <f>XLOOKUP(K824, pharmaceutical_index!B:B, pharmaceutical_index!A:A, "Not Found")</f>
      </c>
      <c r="J824" s="1" t="s">
        <v>1784</v>
      </c>
      <c r="K824" s="1" t="s">
        <v>1784</v>
      </c>
      <c r="L824" s="1" t="s">
        <v>20</v>
      </c>
      <c r="M824" s="1" t="s">
        <v>1784</v>
      </c>
      <c r="N824" s="2"/>
      <c r="O824" s="2"/>
      <c r="P824" s="2"/>
      <c r="Q824" s="2"/>
    </row>
    <row x14ac:dyDescent="0.25" r="825" customHeight="1" ht="17.25">
      <c r="A825" s="1" t="s">
        <v>4552</v>
      </c>
      <c r="B825" s="1" t="s">
        <v>1786</v>
      </c>
      <c r="C825" s="1" t="s">
        <v>3576</v>
      </c>
      <c r="D825" s="1" t="s">
        <v>20</v>
      </c>
      <c r="E825" s="1" t="s">
        <v>4250</v>
      </c>
      <c r="F825" s="1" t="s">
        <v>4251</v>
      </c>
      <c r="G825" s="1" t="s">
        <v>4252</v>
      </c>
      <c r="H825" s="2"/>
      <c r="I825" s="5">
        <f>XLOOKUP(K825, pharmaceutical_index!B:B, pharmaceutical_index!A:A, "Not Found")</f>
      </c>
      <c r="J825" s="1" t="s">
        <v>1786</v>
      </c>
      <c r="K825" s="1" t="s">
        <v>1786</v>
      </c>
      <c r="L825" s="1" t="s">
        <v>20</v>
      </c>
      <c r="M825" s="1" t="s">
        <v>1786</v>
      </c>
      <c r="N825" s="2"/>
      <c r="O825" s="2"/>
      <c r="P825" s="2"/>
      <c r="Q825" s="2"/>
    </row>
    <row x14ac:dyDescent="0.25" r="826" customHeight="1" ht="17.25">
      <c r="A826" s="1" t="s">
        <v>4553</v>
      </c>
      <c r="B826" s="1" t="s">
        <v>1788</v>
      </c>
      <c r="C826" s="1" t="s">
        <v>3576</v>
      </c>
      <c r="D826" s="1" t="s">
        <v>20</v>
      </c>
      <c r="E826" s="1" t="s">
        <v>4250</v>
      </c>
      <c r="F826" s="1" t="s">
        <v>4251</v>
      </c>
      <c r="G826" s="1" t="s">
        <v>4252</v>
      </c>
      <c r="H826" s="2"/>
      <c r="I826" s="5">
        <f>XLOOKUP(K826, pharmaceutical_index!B:B, pharmaceutical_index!A:A, "Not Found")</f>
      </c>
      <c r="J826" s="1" t="s">
        <v>1788</v>
      </c>
      <c r="K826" s="1" t="s">
        <v>1788</v>
      </c>
      <c r="L826" s="1" t="s">
        <v>20</v>
      </c>
      <c r="M826" s="1" t="s">
        <v>1788</v>
      </c>
      <c r="N826" s="2"/>
      <c r="O826" s="2"/>
      <c r="P826" s="2"/>
      <c r="Q826" s="2"/>
    </row>
    <row x14ac:dyDescent="0.25" r="827" customHeight="1" ht="17.25">
      <c r="A827" s="1" t="s">
        <v>4554</v>
      </c>
      <c r="B827" s="1" t="s">
        <v>1790</v>
      </c>
      <c r="C827" s="1" t="s">
        <v>3576</v>
      </c>
      <c r="D827" s="1" t="s">
        <v>20</v>
      </c>
      <c r="E827" s="1" t="s">
        <v>4250</v>
      </c>
      <c r="F827" s="1" t="s">
        <v>4251</v>
      </c>
      <c r="G827" s="1" t="s">
        <v>4252</v>
      </c>
      <c r="H827" s="2"/>
      <c r="I827" s="5">
        <f>XLOOKUP(K827, pharmaceutical_index!B:B, pharmaceutical_index!A:A, "Not Found")</f>
      </c>
      <c r="J827" s="1" t="s">
        <v>1790</v>
      </c>
      <c r="K827" s="1" t="s">
        <v>1790</v>
      </c>
      <c r="L827" s="1" t="s">
        <v>20</v>
      </c>
      <c r="M827" s="1" t="s">
        <v>1790</v>
      </c>
      <c r="N827" s="2"/>
      <c r="O827" s="2"/>
      <c r="P827" s="2"/>
      <c r="Q827" s="2"/>
    </row>
    <row x14ac:dyDescent="0.25" r="828" customHeight="1" ht="17.25">
      <c r="A828" s="1" t="s">
        <v>4555</v>
      </c>
      <c r="B828" s="1" t="s">
        <v>1792</v>
      </c>
      <c r="C828" s="1" t="s">
        <v>3576</v>
      </c>
      <c r="D828" s="1" t="s">
        <v>20</v>
      </c>
      <c r="E828" s="1" t="s">
        <v>4250</v>
      </c>
      <c r="F828" s="1" t="s">
        <v>4251</v>
      </c>
      <c r="G828" s="1" t="s">
        <v>4252</v>
      </c>
      <c r="H828" s="2"/>
      <c r="I828" s="5">
        <f>XLOOKUP(K828, pharmaceutical_index!B:B, pharmaceutical_index!A:A, "Not Found")</f>
      </c>
      <c r="J828" s="1" t="s">
        <v>1792</v>
      </c>
      <c r="K828" s="1" t="s">
        <v>1792</v>
      </c>
      <c r="L828" s="1" t="s">
        <v>20</v>
      </c>
      <c r="M828" s="1" t="s">
        <v>1792</v>
      </c>
      <c r="N828" s="2"/>
      <c r="O828" s="2"/>
      <c r="P828" s="2"/>
      <c r="Q828" s="2"/>
    </row>
    <row x14ac:dyDescent="0.25" r="829" customHeight="1" ht="17.25">
      <c r="A829" s="1" t="s">
        <v>4556</v>
      </c>
      <c r="B829" s="1" t="s">
        <v>1794</v>
      </c>
      <c r="C829" s="1" t="s">
        <v>3576</v>
      </c>
      <c r="D829" s="1" t="s">
        <v>20</v>
      </c>
      <c r="E829" s="1" t="s">
        <v>4250</v>
      </c>
      <c r="F829" s="1" t="s">
        <v>4251</v>
      </c>
      <c r="G829" s="1" t="s">
        <v>4252</v>
      </c>
      <c r="H829" s="2"/>
      <c r="I829" s="5">
        <f>XLOOKUP(K829, pharmaceutical_index!B:B, pharmaceutical_index!A:A, "Not Found")</f>
      </c>
      <c r="J829" s="1" t="s">
        <v>1794</v>
      </c>
      <c r="K829" s="1" t="s">
        <v>1794</v>
      </c>
      <c r="L829" s="1" t="s">
        <v>20</v>
      </c>
      <c r="M829" s="1" t="s">
        <v>1794</v>
      </c>
      <c r="N829" s="2"/>
      <c r="O829" s="2"/>
      <c r="P829" s="2"/>
      <c r="Q829" s="2"/>
    </row>
    <row x14ac:dyDescent="0.25" r="830" customHeight="1" ht="17.25">
      <c r="A830" s="1" t="s">
        <v>4557</v>
      </c>
      <c r="B830" s="1" t="s">
        <v>1796</v>
      </c>
      <c r="C830" s="1" t="s">
        <v>3576</v>
      </c>
      <c r="D830" s="1" t="s">
        <v>20</v>
      </c>
      <c r="E830" s="1" t="s">
        <v>4250</v>
      </c>
      <c r="F830" s="1" t="s">
        <v>4251</v>
      </c>
      <c r="G830" s="1" t="s">
        <v>4252</v>
      </c>
      <c r="H830" s="2"/>
      <c r="I830" s="5">
        <f>XLOOKUP(K830, pharmaceutical_index!B:B, pharmaceutical_index!A:A, "Not Found")</f>
      </c>
      <c r="J830" s="1" t="s">
        <v>1796</v>
      </c>
      <c r="K830" s="1" t="s">
        <v>1796</v>
      </c>
      <c r="L830" s="1" t="s">
        <v>20</v>
      </c>
      <c r="M830" s="1" t="s">
        <v>1796</v>
      </c>
      <c r="N830" s="2"/>
      <c r="O830" s="2"/>
      <c r="P830" s="2"/>
      <c r="Q830" s="2"/>
    </row>
    <row x14ac:dyDescent="0.25" r="831" customHeight="1" ht="17.25">
      <c r="A831" s="1" t="s">
        <v>4558</v>
      </c>
      <c r="B831" s="1" t="s">
        <v>1798</v>
      </c>
      <c r="C831" s="1" t="s">
        <v>3576</v>
      </c>
      <c r="D831" s="1" t="s">
        <v>20</v>
      </c>
      <c r="E831" s="1" t="s">
        <v>4250</v>
      </c>
      <c r="F831" s="1" t="s">
        <v>4251</v>
      </c>
      <c r="G831" s="1" t="s">
        <v>4252</v>
      </c>
      <c r="H831" s="2"/>
      <c r="I831" s="5">
        <f>XLOOKUP(K831, pharmaceutical_index!B:B, pharmaceutical_index!A:A, "Not Found")</f>
      </c>
      <c r="J831" s="1" t="s">
        <v>1798</v>
      </c>
      <c r="K831" s="1" t="s">
        <v>1798</v>
      </c>
      <c r="L831" s="1" t="s">
        <v>20</v>
      </c>
      <c r="M831" s="1" t="s">
        <v>1798</v>
      </c>
      <c r="N831" s="2"/>
      <c r="O831" s="2"/>
      <c r="P831" s="2"/>
      <c r="Q831" s="2"/>
    </row>
    <row x14ac:dyDescent="0.25" r="832" customHeight="1" ht="17.25">
      <c r="A832" s="1" t="s">
        <v>4559</v>
      </c>
      <c r="B832" s="1" t="s">
        <v>1800</v>
      </c>
      <c r="C832" s="1" t="s">
        <v>3576</v>
      </c>
      <c r="D832" s="1" t="s">
        <v>20</v>
      </c>
      <c r="E832" s="1" t="s">
        <v>4250</v>
      </c>
      <c r="F832" s="1" t="s">
        <v>4251</v>
      </c>
      <c r="G832" s="1" t="s">
        <v>4252</v>
      </c>
      <c r="H832" s="2"/>
      <c r="I832" s="5">
        <f>XLOOKUP(K832, pharmaceutical_index!B:B, pharmaceutical_index!A:A, "Not Found")</f>
      </c>
      <c r="J832" s="1" t="s">
        <v>1800</v>
      </c>
      <c r="K832" s="1" t="s">
        <v>1800</v>
      </c>
      <c r="L832" s="1" t="s">
        <v>20</v>
      </c>
      <c r="M832" s="1" t="s">
        <v>1800</v>
      </c>
      <c r="N832" s="2"/>
      <c r="O832" s="2"/>
      <c r="P832" s="2"/>
      <c r="Q832" s="2"/>
    </row>
    <row x14ac:dyDescent="0.25" r="833" customHeight="1" ht="17.25">
      <c r="A833" s="1" t="s">
        <v>4560</v>
      </c>
      <c r="B833" s="1" t="s">
        <v>1802</v>
      </c>
      <c r="C833" s="1" t="s">
        <v>3576</v>
      </c>
      <c r="D833" s="1" t="s">
        <v>20</v>
      </c>
      <c r="E833" s="1" t="s">
        <v>4250</v>
      </c>
      <c r="F833" s="1" t="s">
        <v>4251</v>
      </c>
      <c r="G833" s="1" t="s">
        <v>4252</v>
      </c>
      <c r="H833" s="2"/>
      <c r="I833" s="5">
        <f>XLOOKUP(K833, pharmaceutical_index!B:B, pharmaceutical_index!A:A, "Not Found")</f>
      </c>
      <c r="J833" s="1" t="s">
        <v>1802</v>
      </c>
      <c r="K833" s="1" t="s">
        <v>1802</v>
      </c>
      <c r="L833" s="1" t="s">
        <v>20</v>
      </c>
      <c r="M833" s="1" t="s">
        <v>1802</v>
      </c>
      <c r="N833" s="2"/>
      <c r="O833" s="2"/>
      <c r="P833" s="2"/>
      <c r="Q833" s="2"/>
    </row>
    <row x14ac:dyDescent="0.25" r="834" customHeight="1" ht="17.25">
      <c r="A834" s="1" t="s">
        <v>4561</v>
      </c>
      <c r="B834" s="1" t="s">
        <v>1804</v>
      </c>
      <c r="C834" s="1" t="s">
        <v>3576</v>
      </c>
      <c r="D834" s="1" t="s">
        <v>20</v>
      </c>
      <c r="E834" s="1" t="s">
        <v>4250</v>
      </c>
      <c r="F834" s="1" t="s">
        <v>4251</v>
      </c>
      <c r="G834" s="1" t="s">
        <v>4252</v>
      </c>
      <c r="H834" s="2"/>
      <c r="I834" s="5">
        <f>XLOOKUP(K834, pharmaceutical_index!B:B, pharmaceutical_index!A:A, "Not Found")</f>
      </c>
      <c r="J834" s="1" t="s">
        <v>4562</v>
      </c>
      <c r="K834" s="1" t="s">
        <v>1804</v>
      </c>
      <c r="L834" s="1" t="s">
        <v>20</v>
      </c>
      <c r="M834" s="1" t="s">
        <v>4563</v>
      </c>
      <c r="N834" s="2"/>
      <c r="O834" s="2"/>
      <c r="P834" s="2"/>
      <c r="Q834" s="2"/>
    </row>
    <row x14ac:dyDescent="0.25" r="835" customHeight="1" ht="17.25">
      <c r="A835" s="1" t="s">
        <v>4564</v>
      </c>
      <c r="B835" s="1" t="s">
        <v>1806</v>
      </c>
      <c r="C835" s="1" t="s">
        <v>3576</v>
      </c>
      <c r="D835" s="1" t="s">
        <v>20</v>
      </c>
      <c r="E835" s="1" t="s">
        <v>4250</v>
      </c>
      <c r="F835" s="1" t="s">
        <v>4251</v>
      </c>
      <c r="G835" s="1" t="s">
        <v>4252</v>
      </c>
      <c r="H835" s="2"/>
      <c r="I835" s="5">
        <f>XLOOKUP(K835, pharmaceutical_index!B:B, pharmaceutical_index!A:A, "Not Found")</f>
      </c>
      <c r="J835" s="1" t="s">
        <v>1806</v>
      </c>
      <c r="K835" s="1" t="s">
        <v>1806</v>
      </c>
      <c r="L835" s="1" t="s">
        <v>20</v>
      </c>
      <c r="M835" s="1" t="s">
        <v>1806</v>
      </c>
      <c r="N835" s="2"/>
      <c r="O835" s="2"/>
      <c r="P835" s="2"/>
      <c r="Q835" s="2"/>
    </row>
    <row x14ac:dyDescent="0.25" r="836" customHeight="1" ht="17.25">
      <c r="A836" s="1" t="s">
        <v>4565</v>
      </c>
      <c r="B836" s="1" t="s">
        <v>1808</v>
      </c>
      <c r="C836" s="1" t="s">
        <v>3576</v>
      </c>
      <c r="D836" s="1" t="s">
        <v>20</v>
      </c>
      <c r="E836" s="1" t="s">
        <v>4250</v>
      </c>
      <c r="F836" s="1" t="s">
        <v>4251</v>
      </c>
      <c r="G836" s="1" t="s">
        <v>4252</v>
      </c>
      <c r="H836" s="2"/>
      <c r="I836" s="5">
        <f>XLOOKUP(K836, pharmaceutical_index!B:B, pharmaceutical_index!A:A, "Not Found")</f>
      </c>
      <c r="J836" s="1" t="s">
        <v>1808</v>
      </c>
      <c r="K836" s="1" t="s">
        <v>1808</v>
      </c>
      <c r="L836" s="1" t="s">
        <v>20</v>
      </c>
      <c r="M836" s="1" t="s">
        <v>1808</v>
      </c>
      <c r="N836" s="2"/>
      <c r="O836" s="2"/>
      <c r="P836" s="2"/>
      <c r="Q836" s="2"/>
    </row>
    <row x14ac:dyDescent="0.25" r="837" customHeight="1" ht="17.25">
      <c r="A837" s="1" t="s">
        <v>4566</v>
      </c>
      <c r="B837" s="1" t="s">
        <v>1810</v>
      </c>
      <c r="C837" s="1" t="s">
        <v>3576</v>
      </c>
      <c r="D837" s="1" t="s">
        <v>20</v>
      </c>
      <c r="E837" s="1" t="s">
        <v>4250</v>
      </c>
      <c r="F837" s="1" t="s">
        <v>4251</v>
      </c>
      <c r="G837" s="1" t="s">
        <v>4252</v>
      </c>
      <c r="H837" s="2"/>
      <c r="I837" s="5">
        <f>XLOOKUP(K837, pharmaceutical_index!B:B, pharmaceutical_index!A:A, "Not Found")</f>
      </c>
      <c r="J837" s="1" t="s">
        <v>1810</v>
      </c>
      <c r="K837" s="1" t="s">
        <v>1810</v>
      </c>
      <c r="L837" s="1" t="s">
        <v>20</v>
      </c>
      <c r="M837" s="1" t="s">
        <v>1810</v>
      </c>
      <c r="N837" s="2"/>
      <c r="O837" s="2"/>
      <c r="P837" s="2"/>
      <c r="Q837" s="2"/>
    </row>
    <row x14ac:dyDescent="0.25" r="838" customHeight="1" ht="17.25">
      <c r="A838" s="1" t="s">
        <v>4567</v>
      </c>
      <c r="B838" s="1" t="s">
        <v>1812</v>
      </c>
      <c r="C838" s="1" t="s">
        <v>3576</v>
      </c>
      <c r="D838" s="1" t="s">
        <v>20</v>
      </c>
      <c r="E838" s="1" t="s">
        <v>4250</v>
      </c>
      <c r="F838" s="1" t="s">
        <v>4251</v>
      </c>
      <c r="G838" s="1" t="s">
        <v>4252</v>
      </c>
      <c r="H838" s="2"/>
      <c r="I838" s="5">
        <f>XLOOKUP(K838, pharmaceutical_index!B:B, pharmaceutical_index!A:A, "Not Found")</f>
      </c>
      <c r="J838" s="1" t="s">
        <v>1812</v>
      </c>
      <c r="K838" s="1" t="s">
        <v>1812</v>
      </c>
      <c r="L838" s="1" t="s">
        <v>20</v>
      </c>
      <c r="M838" s="1" t="s">
        <v>1812</v>
      </c>
      <c r="N838" s="2"/>
      <c r="O838" s="2"/>
      <c r="P838" s="2"/>
      <c r="Q838" s="2"/>
    </row>
    <row x14ac:dyDescent="0.25" r="839" customHeight="1" ht="17.25">
      <c r="A839" s="1" t="s">
        <v>4568</v>
      </c>
      <c r="B839" s="1" t="s">
        <v>1814</v>
      </c>
      <c r="C839" s="1" t="s">
        <v>3576</v>
      </c>
      <c r="D839" s="1" t="s">
        <v>20</v>
      </c>
      <c r="E839" s="1" t="s">
        <v>4250</v>
      </c>
      <c r="F839" s="1" t="s">
        <v>4251</v>
      </c>
      <c r="G839" s="1" t="s">
        <v>4252</v>
      </c>
      <c r="H839" s="2"/>
      <c r="I839" s="5">
        <f>XLOOKUP(K839, pharmaceutical_index!B:B, pharmaceutical_index!A:A, "Not Found")</f>
      </c>
      <c r="J839" s="1" t="s">
        <v>1814</v>
      </c>
      <c r="K839" s="1" t="s">
        <v>1814</v>
      </c>
      <c r="L839" s="1" t="s">
        <v>20</v>
      </c>
      <c r="M839" s="1" t="s">
        <v>1814</v>
      </c>
      <c r="N839" s="2"/>
      <c r="O839" s="2"/>
      <c r="P839" s="2"/>
      <c r="Q839" s="2"/>
    </row>
    <row x14ac:dyDescent="0.25" r="840" customHeight="1" ht="17.25">
      <c r="A840" s="1" t="s">
        <v>4569</v>
      </c>
      <c r="B840" s="1" t="s">
        <v>1816</v>
      </c>
      <c r="C840" s="1" t="s">
        <v>3576</v>
      </c>
      <c r="D840" s="1" t="s">
        <v>20</v>
      </c>
      <c r="E840" s="1" t="s">
        <v>4250</v>
      </c>
      <c r="F840" s="1" t="s">
        <v>4251</v>
      </c>
      <c r="G840" s="1" t="s">
        <v>4252</v>
      </c>
      <c r="H840" s="2"/>
      <c r="I840" s="5">
        <f>XLOOKUP(K840, pharmaceutical_index!B:B, pharmaceutical_index!A:A, "Not Found")</f>
      </c>
      <c r="J840" s="1" t="s">
        <v>1816</v>
      </c>
      <c r="K840" s="1" t="s">
        <v>1816</v>
      </c>
      <c r="L840" s="1" t="s">
        <v>20</v>
      </c>
      <c r="M840" s="1" t="s">
        <v>1816</v>
      </c>
      <c r="N840" s="2"/>
      <c r="O840" s="2"/>
      <c r="P840" s="2"/>
      <c r="Q840" s="2"/>
    </row>
    <row x14ac:dyDescent="0.25" r="841" customHeight="1" ht="17.25">
      <c r="A841" s="1" t="s">
        <v>4570</v>
      </c>
      <c r="B841" s="1" t="s">
        <v>1818</v>
      </c>
      <c r="C841" s="1" t="s">
        <v>3576</v>
      </c>
      <c r="D841" s="1" t="s">
        <v>20</v>
      </c>
      <c r="E841" s="1" t="s">
        <v>4250</v>
      </c>
      <c r="F841" s="1" t="s">
        <v>4251</v>
      </c>
      <c r="G841" s="1" t="s">
        <v>4252</v>
      </c>
      <c r="H841" s="2"/>
      <c r="I841" s="5">
        <f>XLOOKUP(K841, pharmaceutical_index!B:B, pharmaceutical_index!A:A, "Not Found")</f>
      </c>
      <c r="J841" s="1" t="s">
        <v>1818</v>
      </c>
      <c r="K841" s="1" t="s">
        <v>1818</v>
      </c>
      <c r="L841" s="1" t="s">
        <v>20</v>
      </c>
      <c r="M841" s="1" t="s">
        <v>1818</v>
      </c>
      <c r="N841" s="2"/>
      <c r="O841" s="2"/>
      <c r="P841" s="2"/>
      <c r="Q841" s="2"/>
    </row>
    <row x14ac:dyDescent="0.25" r="842" customHeight="1" ht="17.25">
      <c r="A842" s="1" t="s">
        <v>4571</v>
      </c>
      <c r="B842" s="1" t="s">
        <v>1820</v>
      </c>
      <c r="C842" s="1" t="s">
        <v>3576</v>
      </c>
      <c r="D842" s="1" t="s">
        <v>20</v>
      </c>
      <c r="E842" s="1" t="s">
        <v>4250</v>
      </c>
      <c r="F842" s="1" t="s">
        <v>4251</v>
      </c>
      <c r="G842" s="1" t="s">
        <v>4252</v>
      </c>
      <c r="H842" s="2"/>
      <c r="I842" s="5">
        <f>XLOOKUP(K842, pharmaceutical_index!B:B, pharmaceutical_index!A:A, "Not Found")</f>
      </c>
      <c r="J842" s="1" t="s">
        <v>1820</v>
      </c>
      <c r="K842" s="1" t="s">
        <v>1820</v>
      </c>
      <c r="L842" s="1" t="s">
        <v>20</v>
      </c>
      <c r="M842" s="1" t="s">
        <v>1820</v>
      </c>
      <c r="N842" s="2"/>
      <c r="O842" s="2"/>
      <c r="P842" s="2"/>
      <c r="Q842" s="2"/>
    </row>
    <row x14ac:dyDescent="0.25" r="843" customHeight="1" ht="17.25">
      <c r="A843" s="1" t="s">
        <v>4572</v>
      </c>
      <c r="B843" s="1" t="s">
        <v>1822</v>
      </c>
      <c r="C843" s="1" t="s">
        <v>3576</v>
      </c>
      <c r="D843" s="1" t="s">
        <v>20</v>
      </c>
      <c r="E843" s="1" t="s">
        <v>4250</v>
      </c>
      <c r="F843" s="1" t="s">
        <v>4251</v>
      </c>
      <c r="G843" s="1" t="s">
        <v>4252</v>
      </c>
      <c r="H843" s="2"/>
      <c r="I843" s="5">
        <f>XLOOKUP(K843, pharmaceutical_index!B:B, pharmaceutical_index!A:A, "Not Found")</f>
      </c>
      <c r="J843" s="1" t="s">
        <v>1822</v>
      </c>
      <c r="K843" s="1" t="s">
        <v>1822</v>
      </c>
      <c r="L843" s="1" t="s">
        <v>20</v>
      </c>
      <c r="M843" s="1" t="s">
        <v>1822</v>
      </c>
      <c r="N843" s="2"/>
      <c r="O843" s="2"/>
      <c r="P843" s="2"/>
      <c r="Q843" s="2"/>
    </row>
    <row x14ac:dyDescent="0.25" r="844" customHeight="1" ht="17.25">
      <c r="A844" s="1" t="s">
        <v>4573</v>
      </c>
      <c r="B844" s="1" t="s">
        <v>1824</v>
      </c>
      <c r="C844" s="1" t="s">
        <v>3576</v>
      </c>
      <c r="D844" s="1" t="s">
        <v>20</v>
      </c>
      <c r="E844" s="1" t="s">
        <v>4250</v>
      </c>
      <c r="F844" s="1" t="s">
        <v>4251</v>
      </c>
      <c r="G844" s="1" t="s">
        <v>4252</v>
      </c>
      <c r="H844" s="2"/>
      <c r="I844" s="5">
        <f>XLOOKUP(K844, pharmaceutical_index!B:B, pharmaceutical_index!A:A, "Not Found")</f>
      </c>
      <c r="J844" s="1" t="s">
        <v>1824</v>
      </c>
      <c r="K844" s="1" t="s">
        <v>1824</v>
      </c>
      <c r="L844" s="1" t="s">
        <v>20</v>
      </c>
      <c r="M844" s="1" t="s">
        <v>1824</v>
      </c>
      <c r="N844" s="2"/>
      <c r="O844" s="2"/>
      <c r="P844" s="2"/>
      <c r="Q844" s="2"/>
    </row>
    <row x14ac:dyDescent="0.25" r="845" customHeight="1" ht="17.25">
      <c r="A845" s="1" t="s">
        <v>4574</v>
      </c>
      <c r="B845" s="1" t="s">
        <v>1826</v>
      </c>
      <c r="C845" s="1" t="s">
        <v>3576</v>
      </c>
      <c r="D845" s="1" t="s">
        <v>20</v>
      </c>
      <c r="E845" s="1" t="s">
        <v>4250</v>
      </c>
      <c r="F845" s="1" t="s">
        <v>4251</v>
      </c>
      <c r="G845" s="1" t="s">
        <v>4252</v>
      </c>
      <c r="H845" s="2"/>
      <c r="I845" s="5">
        <f>XLOOKUP(K845, pharmaceutical_index!B:B, pharmaceutical_index!A:A, "Not Found")</f>
      </c>
      <c r="J845" s="1" t="s">
        <v>1826</v>
      </c>
      <c r="K845" s="1" t="s">
        <v>1826</v>
      </c>
      <c r="L845" s="1" t="s">
        <v>20</v>
      </c>
      <c r="M845" s="1" t="s">
        <v>1826</v>
      </c>
      <c r="N845" s="2"/>
      <c r="O845" s="2"/>
      <c r="P845" s="2"/>
      <c r="Q845" s="2"/>
    </row>
    <row x14ac:dyDescent="0.25" r="846" customHeight="1" ht="17.25">
      <c r="A846" s="1" t="s">
        <v>4575</v>
      </c>
      <c r="B846" s="1" t="s">
        <v>1828</v>
      </c>
      <c r="C846" s="1" t="s">
        <v>3576</v>
      </c>
      <c r="D846" s="1" t="s">
        <v>20</v>
      </c>
      <c r="E846" s="1" t="s">
        <v>4250</v>
      </c>
      <c r="F846" s="1" t="s">
        <v>4251</v>
      </c>
      <c r="G846" s="1" t="s">
        <v>4252</v>
      </c>
      <c r="H846" s="2"/>
      <c r="I846" s="5">
        <f>XLOOKUP(K846, pharmaceutical_index!B:B, pharmaceutical_index!A:A, "Not Found")</f>
      </c>
      <c r="J846" s="1" t="s">
        <v>1828</v>
      </c>
      <c r="K846" s="1" t="s">
        <v>1828</v>
      </c>
      <c r="L846" s="1" t="s">
        <v>20</v>
      </c>
      <c r="M846" s="1" t="s">
        <v>1828</v>
      </c>
      <c r="N846" s="2"/>
      <c r="O846" s="2"/>
      <c r="P846" s="2"/>
      <c r="Q846" s="2"/>
    </row>
    <row x14ac:dyDescent="0.25" r="847" customHeight="1" ht="17.25">
      <c r="A847" s="1" t="s">
        <v>4576</v>
      </c>
      <c r="B847" s="1" t="s">
        <v>1830</v>
      </c>
      <c r="C847" s="1" t="s">
        <v>3576</v>
      </c>
      <c r="D847" s="1" t="s">
        <v>20</v>
      </c>
      <c r="E847" s="1" t="s">
        <v>4250</v>
      </c>
      <c r="F847" s="1" t="s">
        <v>4251</v>
      </c>
      <c r="G847" s="1" t="s">
        <v>4252</v>
      </c>
      <c r="H847" s="2"/>
      <c r="I847" s="5">
        <f>XLOOKUP(K847, pharmaceutical_index!B:B, pharmaceutical_index!A:A, "Not Found")</f>
      </c>
      <c r="J847" s="1" t="s">
        <v>1830</v>
      </c>
      <c r="K847" s="1" t="s">
        <v>1830</v>
      </c>
      <c r="L847" s="1" t="s">
        <v>20</v>
      </c>
      <c r="M847" s="1" t="s">
        <v>1830</v>
      </c>
      <c r="N847" s="2"/>
      <c r="O847" s="2"/>
      <c r="P847" s="2"/>
      <c r="Q847" s="2"/>
    </row>
    <row x14ac:dyDescent="0.25" r="848" customHeight="1" ht="17.25">
      <c r="A848" s="1" t="s">
        <v>4577</v>
      </c>
      <c r="B848" s="1" t="s">
        <v>1832</v>
      </c>
      <c r="C848" s="1" t="s">
        <v>3576</v>
      </c>
      <c r="D848" s="1" t="s">
        <v>20</v>
      </c>
      <c r="E848" s="1" t="s">
        <v>4250</v>
      </c>
      <c r="F848" s="1" t="s">
        <v>4251</v>
      </c>
      <c r="G848" s="1" t="s">
        <v>4252</v>
      </c>
      <c r="H848" s="2"/>
      <c r="I848" s="5">
        <f>XLOOKUP(K848, pharmaceutical_index!B:B, pharmaceutical_index!A:A, "Not Found")</f>
      </c>
      <c r="J848" s="1" t="s">
        <v>1832</v>
      </c>
      <c r="K848" s="1" t="s">
        <v>1832</v>
      </c>
      <c r="L848" s="1" t="s">
        <v>20</v>
      </c>
      <c r="M848" s="1" t="s">
        <v>1832</v>
      </c>
      <c r="N848" s="2"/>
      <c r="O848" s="2"/>
      <c r="P848" s="2"/>
      <c r="Q848" s="2"/>
    </row>
    <row x14ac:dyDescent="0.25" r="849" customHeight="1" ht="17.25">
      <c r="A849" s="1" t="s">
        <v>4578</v>
      </c>
      <c r="B849" s="1" t="s">
        <v>1834</v>
      </c>
      <c r="C849" s="1" t="s">
        <v>3576</v>
      </c>
      <c r="D849" s="1" t="s">
        <v>20</v>
      </c>
      <c r="E849" s="1" t="s">
        <v>4250</v>
      </c>
      <c r="F849" s="1" t="s">
        <v>4251</v>
      </c>
      <c r="G849" s="1" t="s">
        <v>4252</v>
      </c>
      <c r="H849" s="2"/>
      <c r="I849" s="5">
        <f>XLOOKUP(K849, pharmaceutical_index!B:B, pharmaceutical_index!A:A, "Not Found")</f>
      </c>
      <c r="J849" s="1" t="s">
        <v>1834</v>
      </c>
      <c r="K849" s="1" t="s">
        <v>1834</v>
      </c>
      <c r="L849" s="1" t="s">
        <v>20</v>
      </c>
      <c r="M849" s="1" t="s">
        <v>1834</v>
      </c>
      <c r="N849" s="2"/>
      <c r="O849" s="2"/>
      <c r="P849" s="2"/>
      <c r="Q849" s="2"/>
    </row>
    <row x14ac:dyDescent="0.25" r="850" customHeight="1" ht="17.25">
      <c r="A850" s="1" t="s">
        <v>4579</v>
      </c>
      <c r="B850" s="1" t="s">
        <v>1836</v>
      </c>
      <c r="C850" s="1" t="s">
        <v>3576</v>
      </c>
      <c r="D850" s="1" t="s">
        <v>20</v>
      </c>
      <c r="E850" s="1" t="s">
        <v>4250</v>
      </c>
      <c r="F850" s="1" t="s">
        <v>4251</v>
      </c>
      <c r="G850" s="1" t="s">
        <v>4252</v>
      </c>
      <c r="H850" s="2"/>
      <c r="I850" s="5">
        <f>XLOOKUP(K850, pharmaceutical_index!B:B, pharmaceutical_index!A:A, "Not Found")</f>
      </c>
      <c r="J850" s="1" t="s">
        <v>1836</v>
      </c>
      <c r="K850" s="1" t="s">
        <v>1836</v>
      </c>
      <c r="L850" s="1" t="s">
        <v>20</v>
      </c>
      <c r="M850" s="1" t="s">
        <v>1836</v>
      </c>
      <c r="N850" s="2"/>
      <c r="O850" s="2"/>
      <c r="P850" s="2"/>
      <c r="Q850" s="2"/>
    </row>
    <row x14ac:dyDescent="0.25" r="851" customHeight="1" ht="17.25">
      <c r="A851" s="1" t="s">
        <v>4580</v>
      </c>
      <c r="B851" s="1" t="s">
        <v>1838</v>
      </c>
      <c r="C851" s="1" t="s">
        <v>3576</v>
      </c>
      <c r="D851" s="1" t="s">
        <v>20</v>
      </c>
      <c r="E851" s="1" t="s">
        <v>4250</v>
      </c>
      <c r="F851" s="1" t="s">
        <v>4251</v>
      </c>
      <c r="G851" s="1" t="s">
        <v>4252</v>
      </c>
      <c r="H851" s="2"/>
      <c r="I851" s="5">
        <f>XLOOKUP(K851, pharmaceutical_index!B:B, pharmaceutical_index!A:A, "Not Found")</f>
      </c>
      <c r="J851" s="1" t="s">
        <v>1838</v>
      </c>
      <c r="K851" s="1" t="s">
        <v>1838</v>
      </c>
      <c r="L851" s="1" t="s">
        <v>20</v>
      </c>
      <c r="M851" s="1" t="s">
        <v>1838</v>
      </c>
      <c r="N851" s="2"/>
      <c r="O851" s="2"/>
      <c r="P851" s="2"/>
      <c r="Q851" s="2"/>
    </row>
    <row x14ac:dyDescent="0.25" r="852" customHeight="1" ht="17.25">
      <c r="A852" s="1" t="s">
        <v>4581</v>
      </c>
      <c r="B852" s="1" t="s">
        <v>1840</v>
      </c>
      <c r="C852" s="1" t="s">
        <v>3576</v>
      </c>
      <c r="D852" s="1" t="s">
        <v>20</v>
      </c>
      <c r="E852" s="1" t="s">
        <v>4250</v>
      </c>
      <c r="F852" s="1" t="s">
        <v>4251</v>
      </c>
      <c r="G852" s="1" t="s">
        <v>4252</v>
      </c>
      <c r="H852" s="2"/>
      <c r="I852" s="5">
        <f>XLOOKUP(K852, pharmaceutical_index!B:B, pharmaceutical_index!A:A, "Not Found")</f>
      </c>
      <c r="J852" s="1" t="s">
        <v>1840</v>
      </c>
      <c r="K852" s="1" t="s">
        <v>1840</v>
      </c>
      <c r="L852" s="1" t="s">
        <v>20</v>
      </c>
      <c r="M852" s="1" t="s">
        <v>1840</v>
      </c>
      <c r="N852" s="2"/>
      <c r="O852" s="2"/>
      <c r="P852" s="2"/>
      <c r="Q852" s="2"/>
    </row>
    <row x14ac:dyDescent="0.25" r="853" customHeight="1" ht="17.25">
      <c r="A853" s="1" t="s">
        <v>4582</v>
      </c>
      <c r="B853" s="1" t="s">
        <v>1842</v>
      </c>
      <c r="C853" s="1" t="s">
        <v>3576</v>
      </c>
      <c r="D853" s="1" t="s">
        <v>20</v>
      </c>
      <c r="E853" s="1" t="s">
        <v>4250</v>
      </c>
      <c r="F853" s="1" t="s">
        <v>4251</v>
      </c>
      <c r="G853" s="1" t="s">
        <v>4252</v>
      </c>
      <c r="H853" s="2"/>
      <c r="I853" s="5">
        <f>XLOOKUP(K853, pharmaceutical_index!B:B, pharmaceutical_index!A:A, "Not Found")</f>
      </c>
      <c r="J853" s="1" t="s">
        <v>1842</v>
      </c>
      <c r="K853" s="1" t="s">
        <v>1842</v>
      </c>
      <c r="L853" s="1" t="s">
        <v>20</v>
      </c>
      <c r="M853" s="1" t="s">
        <v>1842</v>
      </c>
      <c r="N853" s="2"/>
      <c r="O853" s="2"/>
      <c r="P853" s="2"/>
      <c r="Q853" s="2"/>
    </row>
    <row x14ac:dyDescent="0.25" r="854" customHeight="1" ht="17.25">
      <c r="A854" s="1" t="s">
        <v>4583</v>
      </c>
      <c r="B854" s="1" t="s">
        <v>1844</v>
      </c>
      <c r="C854" s="1" t="s">
        <v>3576</v>
      </c>
      <c r="D854" s="1" t="s">
        <v>20</v>
      </c>
      <c r="E854" s="1" t="s">
        <v>4250</v>
      </c>
      <c r="F854" s="1" t="s">
        <v>4251</v>
      </c>
      <c r="G854" s="1" t="s">
        <v>4252</v>
      </c>
      <c r="H854" s="2"/>
      <c r="I854" s="5">
        <f>XLOOKUP(K854, pharmaceutical_index!B:B, pharmaceutical_index!A:A, "Not Found")</f>
      </c>
      <c r="J854" s="1" t="s">
        <v>1844</v>
      </c>
      <c r="K854" s="1" t="s">
        <v>1844</v>
      </c>
      <c r="L854" s="1" t="s">
        <v>20</v>
      </c>
      <c r="M854" s="1" t="s">
        <v>1844</v>
      </c>
      <c r="N854" s="2"/>
      <c r="O854" s="2"/>
      <c r="P854" s="2"/>
      <c r="Q854" s="2"/>
    </row>
    <row x14ac:dyDescent="0.25" r="855" customHeight="1" ht="17.25">
      <c r="A855" s="1" t="s">
        <v>4584</v>
      </c>
      <c r="B855" s="1" t="s">
        <v>1846</v>
      </c>
      <c r="C855" s="1" t="s">
        <v>3576</v>
      </c>
      <c r="D855" s="1" t="s">
        <v>20</v>
      </c>
      <c r="E855" s="1" t="s">
        <v>4250</v>
      </c>
      <c r="F855" s="1" t="s">
        <v>4251</v>
      </c>
      <c r="G855" s="1" t="s">
        <v>4252</v>
      </c>
      <c r="H855" s="2"/>
      <c r="I855" s="5">
        <f>XLOOKUP(K855, pharmaceutical_index!B:B, pharmaceutical_index!A:A, "Not Found")</f>
      </c>
      <c r="J855" s="1" t="s">
        <v>1846</v>
      </c>
      <c r="K855" s="1" t="s">
        <v>1846</v>
      </c>
      <c r="L855" s="1" t="s">
        <v>20</v>
      </c>
      <c r="M855" s="1" t="s">
        <v>1846</v>
      </c>
      <c r="N855" s="2"/>
      <c r="O855" s="2"/>
      <c r="P855" s="2"/>
      <c r="Q855" s="2"/>
    </row>
    <row x14ac:dyDescent="0.25" r="856" customHeight="1" ht="17.25">
      <c r="A856" s="1" t="s">
        <v>4585</v>
      </c>
      <c r="B856" s="1" t="s">
        <v>1848</v>
      </c>
      <c r="C856" s="1" t="s">
        <v>3576</v>
      </c>
      <c r="D856" s="1" t="s">
        <v>20</v>
      </c>
      <c r="E856" s="1" t="s">
        <v>4250</v>
      </c>
      <c r="F856" s="1" t="s">
        <v>4251</v>
      </c>
      <c r="G856" s="1" t="s">
        <v>4252</v>
      </c>
      <c r="H856" s="2"/>
      <c r="I856" s="5">
        <f>XLOOKUP(K856, pharmaceutical_index!B:B, pharmaceutical_index!A:A, "Not Found")</f>
      </c>
      <c r="J856" s="1" t="s">
        <v>1848</v>
      </c>
      <c r="K856" s="1" t="s">
        <v>1848</v>
      </c>
      <c r="L856" s="1" t="s">
        <v>20</v>
      </c>
      <c r="M856" s="1" t="s">
        <v>1848</v>
      </c>
      <c r="N856" s="2"/>
      <c r="O856" s="2"/>
      <c r="P856" s="2"/>
      <c r="Q856" s="2"/>
    </row>
    <row x14ac:dyDescent="0.25" r="857" customHeight="1" ht="17.25">
      <c r="A857" s="1" t="s">
        <v>4586</v>
      </c>
      <c r="B857" s="1" t="s">
        <v>1850</v>
      </c>
      <c r="C857" s="1" t="s">
        <v>3576</v>
      </c>
      <c r="D857" s="1" t="s">
        <v>20</v>
      </c>
      <c r="E857" s="1" t="s">
        <v>4250</v>
      </c>
      <c r="F857" s="1" t="s">
        <v>4251</v>
      </c>
      <c r="G857" s="1" t="s">
        <v>4252</v>
      </c>
      <c r="H857" s="2"/>
      <c r="I857" s="5">
        <f>XLOOKUP(K857, pharmaceutical_index!B:B, pharmaceutical_index!A:A, "Not Found")</f>
      </c>
      <c r="J857" s="1" t="s">
        <v>1850</v>
      </c>
      <c r="K857" s="1" t="s">
        <v>1850</v>
      </c>
      <c r="L857" s="1" t="s">
        <v>20</v>
      </c>
      <c r="M857" s="1" t="s">
        <v>1850</v>
      </c>
      <c r="N857" s="2"/>
      <c r="O857" s="2"/>
      <c r="P857" s="2"/>
      <c r="Q857" s="2"/>
    </row>
    <row x14ac:dyDescent="0.25" r="858" customHeight="1" ht="17.25">
      <c r="A858" s="1" t="s">
        <v>4587</v>
      </c>
      <c r="B858" s="1" t="s">
        <v>1852</v>
      </c>
      <c r="C858" s="1" t="s">
        <v>3576</v>
      </c>
      <c r="D858" s="1" t="s">
        <v>20</v>
      </c>
      <c r="E858" s="1" t="s">
        <v>4250</v>
      </c>
      <c r="F858" s="1" t="s">
        <v>4251</v>
      </c>
      <c r="G858" s="1" t="s">
        <v>4252</v>
      </c>
      <c r="H858" s="2"/>
      <c r="I858" s="5">
        <f>XLOOKUP(K858, pharmaceutical_index!B:B, pharmaceutical_index!A:A, "Not Found")</f>
      </c>
      <c r="J858" s="1" t="s">
        <v>1852</v>
      </c>
      <c r="K858" s="1" t="s">
        <v>1852</v>
      </c>
      <c r="L858" s="1" t="s">
        <v>20</v>
      </c>
      <c r="M858" s="1" t="s">
        <v>1852</v>
      </c>
      <c r="N858" s="2"/>
      <c r="O858" s="2"/>
      <c r="P858" s="2"/>
      <c r="Q858" s="2"/>
    </row>
    <row x14ac:dyDescent="0.25" r="859" customHeight="1" ht="17.25">
      <c r="A859" s="1" t="s">
        <v>4588</v>
      </c>
      <c r="B859" s="1" t="s">
        <v>1854</v>
      </c>
      <c r="C859" s="1" t="s">
        <v>3576</v>
      </c>
      <c r="D859" s="1" t="s">
        <v>20</v>
      </c>
      <c r="E859" s="1" t="s">
        <v>4250</v>
      </c>
      <c r="F859" s="1" t="s">
        <v>4251</v>
      </c>
      <c r="G859" s="1" t="s">
        <v>4252</v>
      </c>
      <c r="H859" s="2"/>
      <c r="I859" s="5">
        <f>XLOOKUP(K859, pharmaceutical_index!B:B, pharmaceutical_index!A:A, "Not Found")</f>
      </c>
      <c r="J859" s="1" t="s">
        <v>1854</v>
      </c>
      <c r="K859" s="1" t="s">
        <v>1854</v>
      </c>
      <c r="L859" s="1" t="s">
        <v>20</v>
      </c>
      <c r="M859" s="1" t="s">
        <v>1854</v>
      </c>
      <c r="N859" s="2"/>
      <c r="O859" s="2"/>
      <c r="P859" s="2"/>
      <c r="Q859" s="2"/>
    </row>
    <row x14ac:dyDescent="0.25" r="860" customHeight="1" ht="17.25">
      <c r="A860" s="1" t="s">
        <v>4589</v>
      </c>
      <c r="B860" s="1" t="s">
        <v>1856</v>
      </c>
      <c r="C860" s="1" t="s">
        <v>3576</v>
      </c>
      <c r="D860" s="1" t="s">
        <v>20</v>
      </c>
      <c r="E860" s="1" t="s">
        <v>4250</v>
      </c>
      <c r="F860" s="1" t="s">
        <v>4251</v>
      </c>
      <c r="G860" s="1" t="s">
        <v>4252</v>
      </c>
      <c r="H860" s="2"/>
      <c r="I860" s="5">
        <f>XLOOKUP(K860, pharmaceutical_index!B:B, pharmaceutical_index!A:A, "Not Found")</f>
      </c>
      <c r="J860" s="1" t="s">
        <v>1856</v>
      </c>
      <c r="K860" s="1" t="s">
        <v>1856</v>
      </c>
      <c r="L860" s="1" t="s">
        <v>20</v>
      </c>
      <c r="M860" s="1" t="s">
        <v>1856</v>
      </c>
      <c r="N860" s="2"/>
      <c r="O860" s="2"/>
      <c r="P860" s="2"/>
      <c r="Q860" s="2"/>
    </row>
    <row x14ac:dyDescent="0.25" r="861" customHeight="1" ht="17.25">
      <c r="A861" s="1" t="s">
        <v>4590</v>
      </c>
      <c r="B861" s="1" t="s">
        <v>1858</v>
      </c>
      <c r="C861" s="1" t="s">
        <v>3576</v>
      </c>
      <c r="D861" s="1" t="s">
        <v>20</v>
      </c>
      <c r="E861" s="1" t="s">
        <v>4250</v>
      </c>
      <c r="F861" s="1" t="s">
        <v>4251</v>
      </c>
      <c r="G861" s="1" t="s">
        <v>4252</v>
      </c>
      <c r="H861" s="2"/>
      <c r="I861" s="5">
        <f>XLOOKUP(K861, pharmaceutical_index!B:B, pharmaceutical_index!A:A, "Not Found")</f>
      </c>
      <c r="J861" s="1" t="s">
        <v>1858</v>
      </c>
      <c r="K861" s="1" t="s">
        <v>1858</v>
      </c>
      <c r="L861" s="1" t="s">
        <v>20</v>
      </c>
      <c r="M861" s="1" t="s">
        <v>1858</v>
      </c>
      <c r="N861" s="2"/>
      <c r="O861" s="2"/>
      <c r="P861" s="2"/>
      <c r="Q861" s="2"/>
    </row>
    <row x14ac:dyDescent="0.25" r="862" customHeight="1" ht="17.25">
      <c r="A862" s="1" t="s">
        <v>4591</v>
      </c>
      <c r="B862" s="1" t="s">
        <v>1860</v>
      </c>
      <c r="C862" s="1" t="s">
        <v>3576</v>
      </c>
      <c r="D862" s="1" t="s">
        <v>20</v>
      </c>
      <c r="E862" s="1" t="s">
        <v>4250</v>
      </c>
      <c r="F862" s="1" t="s">
        <v>4251</v>
      </c>
      <c r="G862" s="1" t="s">
        <v>4252</v>
      </c>
      <c r="H862" s="2"/>
      <c r="I862" s="5">
        <f>XLOOKUP(K862, pharmaceutical_index!B:B, pharmaceutical_index!A:A, "Not Found")</f>
      </c>
      <c r="J862" s="1" t="s">
        <v>1860</v>
      </c>
      <c r="K862" s="1" t="s">
        <v>1860</v>
      </c>
      <c r="L862" s="1" t="s">
        <v>20</v>
      </c>
      <c r="M862" s="1" t="s">
        <v>1860</v>
      </c>
      <c r="N862" s="2"/>
      <c r="O862" s="2"/>
      <c r="P862" s="2"/>
      <c r="Q862" s="2"/>
    </row>
    <row x14ac:dyDescent="0.25" r="863" customHeight="1" ht="17.25">
      <c r="A863" s="1" t="s">
        <v>4592</v>
      </c>
      <c r="B863" s="1" t="s">
        <v>1862</v>
      </c>
      <c r="C863" s="1" t="s">
        <v>3576</v>
      </c>
      <c r="D863" s="1" t="s">
        <v>20</v>
      </c>
      <c r="E863" s="1" t="s">
        <v>4250</v>
      </c>
      <c r="F863" s="1" t="s">
        <v>4251</v>
      </c>
      <c r="G863" s="1" t="s">
        <v>4252</v>
      </c>
      <c r="H863" s="2"/>
      <c r="I863" s="5">
        <f>XLOOKUP(K863, pharmaceutical_index!B:B, pharmaceutical_index!A:A, "Not Found")</f>
      </c>
      <c r="J863" s="1" t="s">
        <v>1862</v>
      </c>
      <c r="K863" s="1" t="s">
        <v>1862</v>
      </c>
      <c r="L863" s="1" t="s">
        <v>20</v>
      </c>
      <c r="M863" s="1" t="s">
        <v>1862</v>
      </c>
      <c r="N863" s="2"/>
      <c r="O863" s="2"/>
      <c r="P863" s="2"/>
      <c r="Q863" s="2"/>
    </row>
    <row x14ac:dyDescent="0.25" r="864" customHeight="1" ht="17.25">
      <c r="A864" s="1" t="s">
        <v>4593</v>
      </c>
      <c r="B864" s="1" t="s">
        <v>1864</v>
      </c>
      <c r="C864" s="1" t="s">
        <v>3576</v>
      </c>
      <c r="D864" s="1" t="s">
        <v>20</v>
      </c>
      <c r="E864" s="1" t="s">
        <v>4250</v>
      </c>
      <c r="F864" s="1" t="s">
        <v>4251</v>
      </c>
      <c r="G864" s="1" t="s">
        <v>4252</v>
      </c>
      <c r="H864" s="2"/>
      <c r="I864" s="5">
        <f>XLOOKUP(K864, pharmaceutical_index!B:B, pharmaceutical_index!A:A, "Not Found")</f>
      </c>
      <c r="J864" s="1" t="s">
        <v>1864</v>
      </c>
      <c r="K864" s="1" t="s">
        <v>1864</v>
      </c>
      <c r="L864" s="1" t="s">
        <v>20</v>
      </c>
      <c r="M864" s="1" t="s">
        <v>1864</v>
      </c>
      <c r="N864" s="2"/>
      <c r="O864" s="2"/>
      <c r="P864" s="2"/>
      <c r="Q864" s="2"/>
    </row>
    <row x14ac:dyDescent="0.25" r="865" customHeight="1" ht="17.25">
      <c r="A865" s="1" t="s">
        <v>4594</v>
      </c>
      <c r="B865" s="1" t="s">
        <v>1866</v>
      </c>
      <c r="C865" s="1" t="s">
        <v>3576</v>
      </c>
      <c r="D865" s="1" t="s">
        <v>20</v>
      </c>
      <c r="E865" s="1" t="s">
        <v>4250</v>
      </c>
      <c r="F865" s="1" t="s">
        <v>4251</v>
      </c>
      <c r="G865" s="1" t="s">
        <v>4252</v>
      </c>
      <c r="H865" s="2"/>
      <c r="I865" s="5">
        <f>XLOOKUP(K865, pharmaceutical_index!B:B, pharmaceutical_index!A:A, "Not Found")</f>
      </c>
      <c r="J865" s="1" t="s">
        <v>1866</v>
      </c>
      <c r="K865" s="1" t="s">
        <v>1866</v>
      </c>
      <c r="L865" s="1" t="s">
        <v>20</v>
      </c>
      <c r="M865" s="1" t="s">
        <v>1866</v>
      </c>
      <c r="N865" s="2"/>
      <c r="O865" s="2"/>
      <c r="P865" s="2"/>
      <c r="Q865" s="2"/>
    </row>
    <row x14ac:dyDescent="0.25" r="866" customHeight="1" ht="17.25">
      <c r="A866" s="1" t="s">
        <v>4595</v>
      </c>
      <c r="B866" s="1" t="s">
        <v>1868</v>
      </c>
      <c r="C866" s="1" t="s">
        <v>3576</v>
      </c>
      <c r="D866" s="1" t="s">
        <v>20</v>
      </c>
      <c r="E866" s="1" t="s">
        <v>4250</v>
      </c>
      <c r="F866" s="1" t="s">
        <v>4251</v>
      </c>
      <c r="G866" s="1" t="s">
        <v>4252</v>
      </c>
      <c r="H866" s="2"/>
      <c r="I866" s="5">
        <f>XLOOKUP(K866, pharmaceutical_index!B:B, pharmaceutical_index!A:A, "Not Found")</f>
      </c>
      <c r="J866" s="1" t="s">
        <v>1868</v>
      </c>
      <c r="K866" s="1" t="s">
        <v>1868</v>
      </c>
      <c r="L866" s="1" t="s">
        <v>20</v>
      </c>
      <c r="M866" s="1" t="s">
        <v>1868</v>
      </c>
      <c r="N866" s="2"/>
      <c r="O866" s="2"/>
      <c r="P866" s="2"/>
      <c r="Q866" s="2"/>
    </row>
    <row x14ac:dyDescent="0.25" r="867" customHeight="1" ht="17.25">
      <c r="A867" s="1" t="s">
        <v>4596</v>
      </c>
      <c r="B867" s="1" t="s">
        <v>1870</v>
      </c>
      <c r="C867" s="1" t="s">
        <v>3576</v>
      </c>
      <c r="D867" s="1" t="s">
        <v>20</v>
      </c>
      <c r="E867" s="1" t="s">
        <v>4250</v>
      </c>
      <c r="F867" s="1" t="s">
        <v>4251</v>
      </c>
      <c r="G867" s="1" t="s">
        <v>4252</v>
      </c>
      <c r="H867" s="2"/>
      <c r="I867" s="5">
        <f>XLOOKUP(K867, pharmaceutical_index!B:B, pharmaceutical_index!A:A, "Not Found")</f>
      </c>
      <c r="J867" s="1" t="s">
        <v>1870</v>
      </c>
      <c r="K867" s="1" t="s">
        <v>1870</v>
      </c>
      <c r="L867" s="1" t="s">
        <v>20</v>
      </c>
      <c r="M867" s="1" t="s">
        <v>1870</v>
      </c>
      <c r="N867" s="2"/>
      <c r="O867" s="2"/>
      <c r="P867" s="2"/>
      <c r="Q867" s="2"/>
    </row>
    <row x14ac:dyDescent="0.25" r="868" customHeight="1" ht="17.25">
      <c r="A868" s="1" t="s">
        <v>4597</v>
      </c>
      <c r="B868" s="1" t="s">
        <v>1872</v>
      </c>
      <c r="C868" s="1" t="s">
        <v>3576</v>
      </c>
      <c r="D868" s="1" t="s">
        <v>20</v>
      </c>
      <c r="E868" s="1" t="s">
        <v>4250</v>
      </c>
      <c r="F868" s="1" t="s">
        <v>4251</v>
      </c>
      <c r="G868" s="1" t="s">
        <v>4252</v>
      </c>
      <c r="H868" s="2"/>
      <c r="I868" s="5">
        <f>XLOOKUP(K868, pharmaceutical_index!B:B, pharmaceutical_index!A:A, "Not Found")</f>
      </c>
      <c r="J868" s="1" t="s">
        <v>1872</v>
      </c>
      <c r="K868" s="1" t="s">
        <v>1872</v>
      </c>
      <c r="L868" s="1" t="s">
        <v>20</v>
      </c>
      <c r="M868" s="1" t="s">
        <v>1872</v>
      </c>
      <c r="N868" s="2"/>
      <c r="O868" s="2"/>
      <c r="P868" s="2"/>
      <c r="Q868" s="2"/>
    </row>
    <row x14ac:dyDescent="0.25" r="869" customHeight="1" ht="17.25">
      <c r="A869" s="1" t="s">
        <v>4598</v>
      </c>
      <c r="B869" s="1" t="s">
        <v>1874</v>
      </c>
      <c r="C869" s="1" t="s">
        <v>3576</v>
      </c>
      <c r="D869" s="1" t="s">
        <v>20</v>
      </c>
      <c r="E869" s="1" t="s">
        <v>4250</v>
      </c>
      <c r="F869" s="1" t="s">
        <v>4251</v>
      </c>
      <c r="G869" s="1" t="s">
        <v>4252</v>
      </c>
      <c r="H869" s="2"/>
      <c r="I869" s="5">
        <f>XLOOKUP(K869, pharmaceutical_index!B:B, pharmaceutical_index!A:A, "Not Found")</f>
      </c>
      <c r="J869" s="1" t="s">
        <v>1874</v>
      </c>
      <c r="K869" s="1" t="s">
        <v>1874</v>
      </c>
      <c r="L869" s="1" t="s">
        <v>20</v>
      </c>
      <c r="M869" s="1" t="s">
        <v>1874</v>
      </c>
      <c r="N869" s="2"/>
      <c r="O869" s="2"/>
      <c r="P869" s="2"/>
      <c r="Q869" s="2"/>
    </row>
    <row x14ac:dyDescent="0.25" r="870" customHeight="1" ht="17.25">
      <c r="A870" s="1" t="s">
        <v>4599</v>
      </c>
      <c r="B870" s="1" t="s">
        <v>1876</v>
      </c>
      <c r="C870" s="1" t="s">
        <v>3576</v>
      </c>
      <c r="D870" s="1" t="s">
        <v>20</v>
      </c>
      <c r="E870" s="1" t="s">
        <v>4250</v>
      </c>
      <c r="F870" s="1" t="s">
        <v>4251</v>
      </c>
      <c r="G870" s="1" t="s">
        <v>4252</v>
      </c>
      <c r="H870" s="2"/>
      <c r="I870" s="5">
        <f>XLOOKUP(K870, pharmaceutical_index!B:B, pharmaceutical_index!A:A, "Not Found")</f>
      </c>
      <c r="J870" s="1" t="s">
        <v>1876</v>
      </c>
      <c r="K870" s="1" t="s">
        <v>1876</v>
      </c>
      <c r="L870" s="1" t="s">
        <v>20</v>
      </c>
      <c r="M870" s="1" t="s">
        <v>1876</v>
      </c>
      <c r="N870" s="2"/>
      <c r="O870" s="2"/>
      <c r="P870" s="2"/>
      <c r="Q870" s="2"/>
    </row>
    <row x14ac:dyDescent="0.25" r="871" customHeight="1" ht="17.25">
      <c r="A871" s="1" t="s">
        <v>4600</v>
      </c>
      <c r="B871" s="1" t="s">
        <v>1878</v>
      </c>
      <c r="C871" s="1" t="s">
        <v>3576</v>
      </c>
      <c r="D871" s="1" t="s">
        <v>20</v>
      </c>
      <c r="E871" s="1" t="s">
        <v>4250</v>
      </c>
      <c r="F871" s="1" t="s">
        <v>4251</v>
      </c>
      <c r="G871" s="1" t="s">
        <v>4252</v>
      </c>
      <c r="H871" s="2"/>
      <c r="I871" s="5">
        <f>XLOOKUP(K871, pharmaceutical_index!B:B, pharmaceutical_index!A:A, "Not Found")</f>
      </c>
      <c r="J871" s="1" t="s">
        <v>1878</v>
      </c>
      <c r="K871" s="1" t="s">
        <v>1878</v>
      </c>
      <c r="L871" s="1" t="s">
        <v>20</v>
      </c>
      <c r="M871" s="1" t="s">
        <v>1878</v>
      </c>
      <c r="N871" s="2"/>
      <c r="O871" s="2"/>
      <c r="P871" s="2"/>
      <c r="Q871" s="2"/>
    </row>
    <row x14ac:dyDescent="0.25" r="872" customHeight="1" ht="17.25">
      <c r="A872" s="1" t="s">
        <v>4601</v>
      </c>
      <c r="B872" s="1" t="s">
        <v>1880</v>
      </c>
      <c r="C872" s="1" t="s">
        <v>3576</v>
      </c>
      <c r="D872" s="1" t="s">
        <v>20</v>
      </c>
      <c r="E872" s="1" t="s">
        <v>4250</v>
      </c>
      <c r="F872" s="1" t="s">
        <v>4251</v>
      </c>
      <c r="G872" s="1" t="s">
        <v>4252</v>
      </c>
      <c r="H872" s="2"/>
      <c r="I872" s="5">
        <f>XLOOKUP(K872, pharmaceutical_index!B:B, pharmaceutical_index!A:A, "Not Found")</f>
      </c>
      <c r="J872" s="1" t="s">
        <v>4602</v>
      </c>
      <c r="K872" s="1" t="s">
        <v>1880</v>
      </c>
      <c r="L872" s="1" t="s">
        <v>20</v>
      </c>
      <c r="M872" s="1" t="s">
        <v>4603</v>
      </c>
      <c r="N872" s="2"/>
      <c r="O872" s="2"/>
      <c r="P872" s="2"/>
      <c r="Q872" s="2"/>
    </row>
    <row x14ac:dyDescent="0.25" r="873" customHeight="1" ht="17.25">
      <c r="A873" s="1" t="s">
        <v>4604</v>
      </c>
      <c r="B873" s="1" t="s">
        <v>1882</v>
      </c>
      <c r="C873" s="1" t="s">
        <v>3576</v>
      </c>
      <c r="D873" s="1" t="s">
        <v>20</v>
      </c>
      <c r="E873" s="1" t="s">
        <v>4250</v>
      </c>
      <c r="F873" s="1" t="s">
        <v>4251</v>
      </c>
      <c r="G873" s="1" t="s">
        <v>4252</v>
      </c>
      <c r="H873" s="2"/>
      <c r="I873" s="5">
        <f>XLOOKUP(K873, pharmaceutical_index!B:B, pharmaceutical_index!A:A, "Not Found")</f>
      </c>
      <c r="J873" s="1" t="s">
        <v>1882</v>
      </c>
      <c r="K873" s="1" t="s">
        <v>1882</v>
      </c>
      <c r="L873" s="1" t="s">
        <v>20</v>
      </c>
      <c r="M873" s="1" t="s">
        <v>1882</v>
      </c>
      <c r="N873" s="2"/>
      <c r="O873" s="2"/>
      <c r="P873" s="2"/>
      <c r="Q873" s="2"/>
    </row>
    <row x14ac:dyDescent="0.25" r="874" customHeight="1" ht="17.25">
      <c r="A874" s="1" t="s">
        <v>4605</v>
      </c>
      <c r="B874" s="1" t="s">
        <v>1884</v>
      </c>
      <c r="C874" s="1" t="s">
        <v>3576</v>
      </c>
      <c r="D874" s="1" t="s">
        <v>20</v>
      </c>
      <c r="E874" s="1" t="s">
        <v>4250</v>
      </c>
      <c r="F874" s="1" t="s">
        <v>4251</v>
      </c>
      <c r="G874" s="1" t="s">
        <v>4252</v>
      </c>
      <c r="H874" s="2"/>
      <c r="I874" s="5">
        <f>XLOOKUP(K874, pharmaceutical_index!B:B, pharmaceutical_index!A:A, "Not Found")</f>
      </c>
      <c r="J874" s="1" t="s">
        <v>1884</v>
      </c>
      <c r="K874" s="1" t="s">
        <v>1884</v>
      </c>
      <c r="L874" s="1" t="s">
        <v>20</v>
      </c>
      <c r="M874" s="1" t="s">
        <v>1884</v>
      </c>
      <c r="N874" s="2"/>
      <c r="O874" s="2"/>
      <c r="P874" s="2"/>
      <c r="Q874" s="2"/>
    </row>
    <row x14ac:dyDescent="0.25" r="875" customHeight="1" ht="17.25">
      <c r="A875" s="1" t="s">
        <v>4606</v>
      </c>
      <c r="B875" s="1" t="s">
        <v>1886</v>
      </c>
      <c r="C875" s="1" t="s">
        <v>3576</v>
      </c>
      <c r="D875" s="1" t="s">
        <v>20</v>
      </c>
      <c r="E875" s="1" t="s">
        <v>4250</v>
      </c>
      <c r="F875" s="1" t="s">
        <v>4251</v>
      </c>
      <c r="G875" s="1" t="s">
        <v>4252</v>
      </c>
      <c r="H875" s="2"/>
      <c r="I875" s="5">
        <f>XLOOKUP(K875, pharmaceutical_index!B:B, pharmaceutical_index!A:A, "Not Found")</f>
      </c>
      <c r="J875" s="1" t="s">
        <v>1886</v>
      </c>
      <c r="K875" s="1" t="s">
        <v>1886</v>
      </c>
      <c r="L875" s="1" t="s">
        <v>20</v>
      </c>
      <c r="M875" s="1" t="s">
        <v>1886</v>
      </c>
      <c r="N875" s="2"/>
      <c r="O875" s="2"/>
      <c r="P875" s="2"/>
      <c r="Q875" s="2"/>
    </row>
    <row x14ac:dyDescent="0.25" r="876" customHeight="1" ht="17.25">
      <c r="A876" s="1" t="s">
        <v>4607</v>
      </c>
      <c r="B876" s="1" t="s">
        <v>1888</v>
      </c>
      <c r="C876" s="1" t="s">
        <v>3576</v>
      </c>
      <c r="D876" s="1" t="s">
        <v>20</v>
      </c>
      <c r="E876" s="1" t="s">
        <v>4250</v>
      </c>
      <c r="F876" s="1" t="s">
        <v>4251</v>
      </c>
      <c r="G876" s="1" t="s">
        <v>4252</v>
      </c>
      <c r="H876" s="2"/>
      <c r="I876" s="5">
        <f>XLOOKUP(K876, pharmaceutical_index!B:B, pharmaceutical_index!A:A, "Not Found")</f>
      </c>
      <c r="J876" s="1" t="s">
        <v>1888</v>
      </c>
      <c r="K876" s="1" t="s">
        <v>1888</v>
      </c>
      <c r="L876" s="1" t="s">
        <v>20</v>
      </c>
      <c r="M876" s="1" t="s">
        <v>1888</v>
      </c>
      <c r="N876" s="2"/>
      <c r="O876" s="2"/>
      <c r="P876" s="2"/>
      <c r="Q876" s="2"/>
    </row>
    <row x14ac:dyDescent="0.25" r="877" customHeight="1" ht="17.25">
      <c r="A877" s="1" t="s">
        <v>4608</v>
      </c>
      <c r="B877" s="1" t="s">
        <v>1890</v>
      </c>
      <c r="C877" s="1" t="s">
        <v>3576</v>
      </c>
      <c r="D877" s="1" t="s">
        <v>20</v>
      </c>
      <c r="E877" s="1" t="s">
        <v>4250</v>
      </c>
      <c r="F877" s="1" t="s">
        <v>4251</v>
      </c>
      <c r="G877" s="1" t="s">
        <v>4252</v>
      </c>
      <c r="H877" s="2"/>
      <c r="I877" s="5">
        <f>XLOOKUP(K877, pharmaceutical_index!B:B, pharmaceutical_index!A:A, "Not Found")</f>
      </c>
      <c r="J877" s="1" t="s">
        <v>1890</v>
      </c>
      <c r="K877" s="1" t="s">
        <v>1890</v>
      </c>
      <c r="L877" s="1" t="s">
        <v>20</v>
      </c>
      <c r="M877" s="1" t="s">
        <v>1890</v>
      </c>
      <c r="N877" s="2"/>
      <c r="O877" s="2"/>
      <c r="P877" s="2"/>
      <c r="Q877" s="2"/>
    </row>
    <row x14ac:dyDescent="0.25" r="878" customHeight="1" ht="17.25">
      <c r="A878" s="1" t="s">
        <v>4609</v>
      </c>
      <c r="B878" s="1" t="s">
        <v>1892</v>
      </c>
      <c r="C878" s="1" t="s">
        <v>3576</v>
      </c>
      <c r="D878" s="1" t="s">
        <v>20</v>
      </c>
      <c r="E878" s="1" t="s">
        <v>4250</v>
      </c>
      <c r="F878" s="1" t="s">
        <v>4251</v>
      </c>
      <c r="G878" s="1" t="s">
        <v>4252</v>
      </c>
      <c r="H878" s="2"/>
      <c r="I878" s="5">
        <f>XLOOKUP(K878, pharmaceutical_index!B:B, pharmaceutical_index!A:A, "Not Found")</f>
      </c>
      <c r="J878" s="1" t="s">
        <v>1892</v>
      </c>
      <c r="K878" s="1" t="s">
        <v>1892</v>
      </c>
      <c r="L878" s="1" t="s">
        <v>20</v>
      </c>
      <c r="M878" s="1" t="s">
        <v>1892</v>
      </c>
      <c r="N878" s="2"/>
      <c r="O878" s="2"/>
      <c r="P878" s="2"/>
      <c r="Q878" s="2"/>
    </row>
    <row x14ac:dyDescent="0.25" r="879" customHeight="1" ht="17.25">
      <c r="A879" s="1" t="s">
        <v>4610</v>
      </c>
      <c r="B879" s="1" t="s">
        <v>1894</v>
      </c>
      <c r="C879" s="1" t="s">
        <v>3576</v>
      </c>
      <c r="D879" s="1" t="s">
        <v>20</v>
      </c>
      <c r="E879" s="1" t="s">
        <v>4250</v>
      </c>
      <c r="F879" s="1" t="s">
        <v>4251</v>
      </c>
      <c r="G879" s="1" t="s">
        <v>4252</v>
      </c>
      <c r="H879" s="2"/>
      <c r="I879" s="5">
        <f>XLOOKUP(K879, pharmaceutical_index!B:B, pharmaceutical_index!A:A, "Not Found")</f>
      </c>
      <c r="J879" s="1" t="s">
        <v>1894</v>
      </c>
      <c r="K879" s="1" t="s">
        <v>1894</v>
      </c>
      <c r="L879" s="1" t="s">
        <v>20</v>
      </c>
      <c r="M879" s="1" t="s">
        <v>1894</v>
      </c>
      <c r="N879" s="2"/>
      <c r="O879" s="2"/>
      <c r="P879" s="2"/>
      <c r="Q879" s="2"/>
    </row>
    <row x14ac:dyDescent="0.25" r="880" customHeight="1" ht="17.25">
      <c r="A880" s="1" t="s">
        <v>4611</v>
      </c>
      <c r="B880" s="1" t="s">
        <v>1896</v>
      </c>
      <c r="C880" s="1" t="s">
        <v>3576</v>
      </c>
      <c r="D880" s="1" t="s">
        <v>20</v>
      </c>
      <c r="E880" s="1" t="s">
        <v>4250</v>
      </c>
      <c r="F880" s="1" t="s">
        <v>4251</v>
      </c>
      <c r="G880" s="1" t="s">
        <v>4252</v>
      </c>
      <c r="H880" s="2"/>
      <c r="I880" s="5">
        <f>XLOOKUP(K880, pharmaceutical_index!B:B, pharmaceutical_index!A:A, "Not Found")</f>
      </c>
      <c r="J880" s="1" t="s">
        <v>1896</v>
      </c>
      <c r="K880" s="1" t="s">
        <v>1896</v>
      </c>
      <c r="L880" s="1" t="s">
        <v>20</v>
      </c>
      <c r="M880" s="1" t="s">
        <v>1896</v>
      </c>
      <c r="N880" s="2"/>
      <c r="O880" s="2"/>
      <c r="P880" s="2"/>
      <c r="Q880" s="2"/>
    </row>
    <row x14ac:dyDescent="0.25" r="881" customHeight="1" ht="17.25">
      <c r="A881" s="1" t="s">
        <v>4612</v>
      </c>
      <c r="B881" s="1" t="s">
        <v>1898</v>
      </c>
      <c r="C881" s="1" t="s">
        <v>3576</v>
      </c>
      <c r="D881" s="1" t="s">
        <v>20</v>
      </c>
      <c r="E881" s="1" t="s">
        <v>4250</v>
      </c>
      <c r="F881" s="1" t="s">
        <v>4251</v>
      </c>
      <c r="G881" s="1" t="s">
        <v>4252</v>
      </c>
      <c r="H881" s="2"/>
      <c r="I881" s="5">
        <f>XLOOKUP(K881, pharmaceutical_index!B:B, pharmaceutical_index!A:A, "Not Found")</f>
      </c>
      <c r="J881" s="1" t="s">
        <v>1898</v>
      </c>
      <c r="K881" s="1" t="s">
        <v>1898</v>
      </c>
      <c r="L881" s="1" t="s">
        <v>20</v>
      </c>
      <c r="M881" s="1" t="s">
        <v>1898</v>
      </c>
      <c r="N881" s="2"/>
      <c r="O881" s="2"/>
      <c r="P881" s="2"/>
      <c r="Q881" s="2"/>
    </row>
    <row x14ac:dyDescent="0.25" r="882" customHeight="1" ht="17.25">
      <c r="A882" s="1" t="s">
        <v>4613</v>
      </c>
      <c r="B882" s="1" t="s">
        <v>1900</v>
      </c>
      <c r="C882" s="1" t="s">
        <v>3576</v>
      </c>
      <c r="D882" s="1" t="s">
        <v>20</v>
      </c>
      <c r="E882" s="1" t="s">
        <v>4250</v>
      </c>
      <c r="F882" s="1" t="s">
        <v>4251</v>
      </c>
      <c r="G882" s="1" t="s">
        <v>4252</v>
      </c>
      <c r="H882" s="2"/>
      <c r="I882" s="5">
        <f>XLOOKUP(K882, pharmaceutical_index!B:B, pharmaceutical_index!A:A, "Not Found")</f>
      </c>
      <c r="J882" s="1" t="s">
        <v>1900</v>
      </c>
      <c r="K882" s="1" t="s">
        <v>1900</v>
      </c>
      <c r="L882" s="1" t="s">
        <v>20</v>
      </c>
      <c r="M882" s="1" t="s">
        <v>1900</v>
      </c>
      <c r="N882" s="2"/>
      <c r="O882" s="2"/>
      <c r="P882" s="2"/>
      <c r="Q882" s="2"/>
    </row>
    <row x14ac:dyDescent="0.25" r="883" customHeight="1" ht="17.25">
      <c r="A883" s="1" t="s">
        <v>4614</v>
      </c>
      <c r="B883" s="1" t="s">
        <v>1902</v>
      </c>
      <c r="C883" s="1" t="s">
        <v>3576</v>
      </c>
      <c r="D883" s="1" t="s">
        <v>20</v>
      </c>
      <c r="E883" s="1" t="s">
        <v>4250</v>
      </c>
      <c r="F883" s="1" t="s">
        <v>4251</v>
      </c>
      <c r="G883" s="1" t="s">
        <v>4252</v>
      </c>
      <c r="H883" s="2"/>
      <c r="I883" s="5">
        <f>XLOOKUP(K883, pharmaceutical_index!B:B, pharmaceutical_index!A:A, "Not Found")</f>
      </c>
      <c r="J883" s="1" t="s">
        <v>1902</v>
      </c>
      <c r="K883" s="1" t="s">
        <v>1902</v>
      </c>
      <c r="L883" s="1" t="s">
        <v>20</v>
      </c>
      <c r="M883" s="1" t="s">
        <v>1902</v>
      </c>
      <c r="N883" s="2"/>
      <c r="O883" s="2"/>
      <c r="P883" s="2"/>
      <c r="Q883" s="2"/>
    </row>
    <row x14ac:dyDescent="0.25" r="884" customHeight="1" ht="17.25">
      <c r="A884" s="1" t="s">
        <v>4615</v>
      </c>
      <c r="B884" s="1" t="s">
        <v>1904</v>
      </c>
      <c r="C884" s="1" t="s">
        <v>3576</v>
      </c>
      <c r="D884" s="1" t="s">
        <v>20</v>
      </c>
      <c r="E884" s="1" t="s">
        <v>4250</v>
      </c>
      <c r="F884" s="1" t="s">
        <v>4251</v>
      </c>
      <c r="G884" s="1" t="s">
        <v>4252</v>
      </c>
      <c r="H884" s="2"/>
      <c r="I884" s="5">
        <f>XLOOKUP(K884, pharmaceutical_index!B:B, pharmaceutical_index!A:A, "Not Found")</f>
      </c>
      <c r="J884" s="1" t="s">
        <v>1904</v>
      </c>
      <c r="K884" s="1" t="s">
        <v>1904</v>
      </c>
      <c r="L884" s="1" t="s">
        <v>20</v>
      </c>
      <c r="M884" s="1" t="s">
        <v>1904</v>
      </c>
      <c r="N884" s="2"/>
      <c r="O884" s="2"/>
      <c r="P884" s="2"/>
      <c r="Q884" s="2"/>
    </row>
    <row x14ac:dyDescent="0.25" r="885" customHeight="1" ht="17.25">
      <c r="A885" s="1" t="s">
        <v>4616</v>
      </c>
      <c r="B885" s="1" t="s">
        <v>1906</v>
      </c>
      <c r="C885" s="1" t="s">
        <v>3576</v>
      </c>
      <c r="D885" s="1" t="s">
        <v>20</v>
      </c>
      <c r="E885" s="1" t="s">
        <v>4250</v>
      </c>
      <c r="F885" s="1" t="s">
        <v>4251</v>
      </c>
      <c r="G885" s="1" t="s">
        <v>4252</v>
      </c>
      <c r="H885" s="2"/>
      <c r="I885" s="5">
        <f>XLOOKUP(K885, pharmaceutical_index!B:B, pharmaceutical_index!A:A, "Not Found")</f>
      </c>
      <c r="J885" s="1" t="s">
        <v>1906</v>
      </c>
      <c r="K885" s="1" t="s">
        <v>1906</v>
      </c>
      <c r="L885" s="1" t="s">
        <v>20</v>
      </c>
      <c r="M885" s="1" t="s">
        <v>1906</v>
      </c>
      <c r="N885" s="2"/>
      <c r="O885" s="2"/>
      <c r="P885" s="2"/>
      <c r="Q885" s="2"/>
    </row>
    <row x14ac:dyDescent="0.25" r="886" customHeight="1" ht="17.25">
      <c r="A886" s="1" t="s">
        <v>4617</v>
      </c>
      <c r="B886" s="1" t="s">
        <v>1908</v>
      </c>
      <c r="C886" s="1" t="s">
        <v>3576</v>
      </c>
      <c r="D886" s="1" t="s">
        <v>20</v>
      </c>
      <c r="E886" s="1" t="s">
        <v>4250</v>
      </c>
      <c r="F886" s="1" t="s">
        <v>4251</v>
      </c>
      <c r="G886" s="1" t="s">
        <v>4252</v>
      </c>
      <c r="H886" s="2"/>
      <c r="I886" s="5">
        <f>XLOOKUP(K886, pharmaceutical_index!B:B, pharmaceutical_index!A:A, "Not Found")</f>
      </c>
      <c r="J886" s="1" t="s">
        <v>1908</v>
      </c>
      <c r="K886" s="1" t="s">
        <v>1908</v>
      </c>
      <c r="L886" s="1" t="s">
        <v>20</v>
      </c>
      <c r="M886" s="1" t="s">
        <v>1908</v>
      </c>
      <c r="N886" s="2"/>
      <c r="O886" s="2"/>
      <c r="P886" s="2"/>
      <c r="Q886" s="2"/>
    </row>
    <row x14ac:dyDescent="0.25" r="887" customHeight="1" ht="17.25">
      <c r="A887" s="1" t="s">
        <v>4618</v>
      </c>
      <c r="B887" s="1" t="s">
        <v>1910</v>
      </c>
      <c r="C887" s="1" t="s">
        <v>3576</v>
      </c>
      <c r="D887" s="1" t="s">
        <v>20</v>
      </c>
      <c r="E887" s="1" t="s">
        <v>4250</v>
      </c>
      <c r="F887" s="1" t="s">
        <v>4251</v>
      </c>
      <c r="G887" s="1" t="s">
        <v>4252</v>
      </c>
      <c r="H887" s="2"/>
      <c r="I887" s="5">
        <f>XLOOKUP(K887, pharmaceutical_index!B:B, pharmaceutical_index!A:A, "Not Found")</f>
      </c>
      <c r="J887" s="1" t="s">
        <v>4619</v>
      </c>
      <c r="K887" s="1" t="s">
        <v>1910</v>
      </c>
      <c r="L887" s="1" t="s">
        <v>20</v>
      </c>
      <c r="M887" s="1" t="s">
        <v>4620</v>
      </c>
      <c r="N887" s="2"/>
      <c r="O887" s="2"/>
      <c r="P887" s="2"/>
      <c r="Q887" s="2"/>
    </row>
    <row x14ac:dyDescent="0.25" r="888" customHeight="1" ht="17.25">
      <c r="A888" s="1" t="s">
        <v>4621</v>
      </c>
      <c r="B888" s="1" t="s">
        <v>1912</v>
      </c>
      <c r="C888" s="1" t="s">
        <v>3576</v>
      </c>
      <c r="D888" s="1" t="s">
        <v>20</v>
      </c>
      <c r="E888" s="1" t="s">
        <v>4250</v>
      </c>
      <c r="F888" s="1" t="s">
        <v>4251</v>
      </c>
      <c r="G888" s="1" t="s">
        <v>4252</v>
      </c>
      <c r="H888" s="2"/>
      <c r="I888" s="5">
        <f>XLOOKUP(K888, pharmaceutical_index!B:B, pharmaceutical_index!A:A, "Not Found")</f>
      </c>
      <c r="J888" s="1" t="s">
        <v>4622</v>
      </c>
      <c r="K888" s="1" t="s">
        <v>1912</v>
      </c>
      <c r="L888" s="1" t="s">
        <v>20</v>
      </c>
      <c r="M888" s="1" t="s">
        <v>4623</v>
      </c>
      <c r="N888" s="2"/>
      <c r="O888" s="2"/>
      <c r="P888" s="2"/>
      <c r="Q888" s="2"/>
    </row>
    <row x14ac:dyDescent="0.25" r="889" customHeight="1" ht="17.25">
      <c r="A889" s="1" t="s">
        <v>4624</v>
      </c>
      <c r="B889" s="1" t="s">
        <v>1914</v>
      </c>
      <c r="C889" s="1" t="s">
        <v>3576</v>
      </c>
      <c r="D889" s="1" t="s">
        <v>20</v>
      </c>
      <c r="E889" s="1" t="s">
        <v>4250</v>
      </c>
      <c r="F889" s="1" t="s">
        <v>4251</v>
      </c>
      <c r="G889" s="1" t="s">
        <v>4252</v>
      </c>
      <c r="H889" s="2"/>
      <c r="I889" s="5">
        <f>XLOOKUP(K889, pharmaceutical_index!B:B, pharmaceutical_index!A:A, "Not Found")</f>
      </c>
      <c r="J889" s="1" t="s">
        <v>1914</v>
      </c>
      <c r="K889" s="1" t="s">
        <v>1914</v>
      </c>
      <c r="L889" s="1" t="s">
        <v>20</v>
      </c>
      <c r="M889" s="1" t="s">
        <v>1914</v>
      </c>
      <c r="N889" s="2"/>
      <c r="O889" s="2"/>
      <c r="P889" s="2"/>
      <c r="Q889" s="2"/>
    </row>
    <row x14ac:dyDescent="0.25" r="890" customHeight="1" ht="17.25">
      <c r="A890" s="1" t="s">
        <v>4625</v>
      </c>
      <c r="B890" s="1" t="s">
        <v>1916</v>
      </c>
      <c r="C890" s="1" t="s">
        <v>3576</v>
      </c>
      <c r="D890" s="1" t="s">
        <v>20</v>
      </c>
      <c r="E890" s="1" t="s">
        <v>4250</v>
      </c>
      <c r="F890" s="1" t="s">
        <v>4251</v>
      </c>
      <c r="G890" s="1" t="s">
        <v>4252</v>
      </c>
      <c r="H890" s="2"/>
      <c r="I890" s="5">
        <f>XLOOKUP(K890, pharmaceutical_index!B:B, pharmaceutical_index!A:A, "Not Found")</f>
      </c>
      <c r="J890" s="1" t="s">
        <v>1916</v>
      </c>
      <c r="K890" s="1" t="s">
        <v>1916</v>
      </c>
      <c r="L890" s="1" t="s">
        <v>20</v>
      </c>
      <c r="M890" s="1" t="s">
        <v>1916</v>
      </c>
      <c r="N890" s="2"/>
      <c r="O890" s="2"/>
      <c r="P890" s="2"/>
      <c r="Q890" s="2"/>
    </row>
    <row x14ac:dyDescent="0.25" r="891" customHeight="1" ht="17.25">
      <c r="A891" s="1" t="s">
        <v>4626</v>
      </c>
      <c r="B891" s="1" t="s">
        <v>1918</v>
      </c>
      <c r="C891" s="1" t="s">
        <v>3576</v>
      </c>
      <c r="D891" s="1" t="s">
        <v>20</v>
      </c>
      <c r="E891" s="1" t="s">
        <v>4250</v>
      </c>
      <c r="F891" s="1" t="s">
        <v>4251</v>
      </c>
      <c r="G891" s="1" t="s">
        <v>4252</v>
      </c>
      <c r="H891" s="2"/>
      <c r="I891" s="5">
        <f>XLOOKUP(K891, pharmaceutical_index!B:B, pharmaceutical_index!A:A, "Not Found")</f>
      </c>
      <c r="J891" s="1" t="s">
        <v>1918</v>
      </c>
      <c r="K891" s="1" t="s">
        <v>1918</v>
      </c>
      <c r="L891" s="1" t="s">
        <v>20</v>
      </c>
      <c r="M891" s="1" t="s">
        <v>1918</v>
      </c>
      <c r="N891" s="2"/>
      <c r="O891" s="2"/>
      <c r="P891" s="2"/>
      <c r="Q891" s="2"/>
    </row>
    <row x14ac:dyDescent="0.25" r="892" customHeight="1" ht="17.25">
      <c r="A892" s="1" t="s">
        <v>4627</v>
      </c>
      <c r="B892" s="1" t="s">
        <v>1920</v>
      </c>
      <c r="C892" s="1" t="s">
        <v>3576</v>
      </c>
      <c r="D892" s="1" t="s">
        <v>20</v>
      </c>
      <c r="E892" s="1" t="s">
        <v>4250</v>
      </c>
      <c r="F892" s="1" t="s">
        <v>4251</v>
      </c>
      <c r="G892" s="1" t="s">
        <v>4252</v>
      </c>
      <c r="H892" s="2"/>
      <c r="I892" s="5">
        <f>XLOOKUP(K892, pharmaceutical_index!B:B, pharmaceutical_index!A:A, "Not Found")</f>
      </c>
      <c r="J892" s="1" t="s">
        <v>1920</v>
      </c>
      <c r="K892" s="1" t="s">
        <v>1920</v>
      </c>
      <c r="L892" s="1" t="s">
        <v>20</v>
      </c>
      <c r="M892" s="1" t="s">
        <v>1920</v>
      </c>
      <c r="N892" s="2"/>
      <c r="O892" s="2"/>
      <c r="P892" s="2"/>
      <c r="Q892" s="2"/>
    </row>
    <row x14ac:dyDescent="0.25" r="893" customHeight="1" ht="17.25">
      <c r="A893" s="1" t="s">
        <v>4628</v>
      </c>
      <c r="B893" s="1" t="s">
        <v>1922</v>
      </c>
      <c r="C893" s="1" t="s">
        <v>3576</v>
      </c>
      <c r="D893" s="1" t="s">
        <v>20</v>
      </c>
      <c r="E893" s="1" t="s">
        <v>4250</v>
      </c>
      <c r="F893" s="1" t="s">
        <v>4251</v>
      </c>
      <c r="G893" s="1" t="s">
        <v>4252</v>
      </c>
      <c r="H893" s="2"/>
      <c r="I893" s="5">
        <f>XLOOKUP(K893, pharmaceutical_index!B:B, pharmaceutical_index!A:A, "Not Found")</f>
      </c>
      <c r="J893" s="1" t="s">
        <v>1922</v>
      </c>
      <c r="K893" s="1" t="s">
        <v>1922</v>
      </c>
      <c r="L893" s="1" t="s">
        <v>20</v>
      </c>
      <c r="M893" s="1" t="s">
        <v>1922</v>
      </c>
      <c r="N893" s="2"/>
      <c r="O893" s="2"/>
      <c r="P893" s="2"/>
      <c r="Q893" s="2"/>
    </row>
    <row x14ac:dyDescent="0.25" r="894" customHeight="1" ht="17.25">
      <c r="A894" s="1" t="s">
        <v>4629</v>
      </c>
      <c r="B894" s="1" t="s">
        <v>1924</v>
      </c>
      <c r="C894" s="1" t="s">
        <v>3576</v>
      </c>
      <c r="D894" s="1" t="s">
        <v>20</v>
      </c>
      <c r="E894" s="1" t="s">
        <v>4250</v>
      </c>
      <c r="F894" s="1" t="s">
        <v>4251</v>
      </c>
      <c r="G894" s="1" t="s">
        <v>4252</v>
      </c>
      <c r="H894" s="2"/>
      <c r="I894" s="5">
        <f>XLOOKUP(K894, pharmaceutical_index!B:B, pharmaceutical_index!A:A, "Not Found")</f>
      </c>
      <c r="J894" s="1" t="s">
        <v>1924</v>
      </c>
      <c r="K894" s="1" t="s">
        <v>1924</v>
      </c>
      <c r="L894" s="1" t="s">
        <v>20</v>
      </c>
      <c r="M894" s="1" t="s">
        <v>1924</v>
      </c>
      <c r="N894" s="2"/>
      <c r="O894" s="2"/>
      <c r="P894" s="2"/>
      <c r="Q894" s="2"/>
    </row>
    <row x14ac:dyDescent="0.25" r="895" customHeight="1" ht="17.25">
      <c r="A895" s="1" t="s">
        <v>4630</v>
      </c>
      <c r="B895" s="1" t="s">
        <v>1926</v>
      </c>
      <c r="C895" s="1" t="s">
        <v>3576</v>
      </c>
      <c r="D895" s="1" t="s">
        <v>20</v>
      </c>
      <c r="E895" s="1" t="s">
        <v>4250</v>
      </c>
      <c r="F895" s="1" t="s">
        <v>4251</v>
      </c>
      <c r="G895" s="1" t="s">
        <v>4252</v>
      </c>
      <c r="H895" s="2"/>
      <c r="I895" s="5">
        <f>XLOOKUP(K895, pharmaceutical_index!B:B, pharmaceutical_index!A:A, "Not Found")</f>
      </c>
      <c r="J895" s="1" t="s">
        <v>1926</v>
      </c>
      <c r="K895" s="1" t="s">
        <v>1926</v>
      </c>
      <c r="L895" s="1" t="s">
        <v>20</v>
      </c>
      <c r="M895" s="1" t="s">
        <v>1926</v>
      </c>
      <c r="N895" s="2"/>
      <c r="O895" s="2"/>
      <c r="P895" s="2"/>
      <c r="Q895" s="2"/>
    </row>
    <row x14ac:dyDescent="0.25" r="896" customHeight="1" ht="17.25">
      <c r="A896" s="1" t="s">
        <v>4631</v>
      </c>
      <c r="B896" s="1" t="s">
        <v>1928</v>
      </c>
      <c r="C896" s="1" t="s">
        <v>3576</v>
      </c>
      <c r="D896" s="1" t="s">
        <v>20</v>
      </c>
      <c r="E896" s="1" t="s">
        <v>4250</v>
      </c>
      <c r="F896" s="1" t="s">
        <v>4251</v>
      </c>
      <c r="G896" s="1" t="s">
        <v>4252</v>
      </c>
      <c r="H896" s="2"/>
      <c r="I896" s="5">
        <f>XLOOKUP(K896, pharmaceutical_index!B:B, pharmaceutical_index!A:A, "Not Found")</f>
      </c>
      <c r="J896" s="1" t="s">
        <v>1928</v>
      </c>
      <c r="K896" s="1" t="s">
        <v>1928</v>
      </c>
      <c r="L896" s="1" t="s">
        <v>20</v>
      </c>
      <c r="M896" s="1" t="s">
        <v>1928</v>
      </c>
      <c r="N896" s="2"/>
      <c r="O896" s="2"/>
      <c r="P896" s="2"/>
      <c r="Q896" s="2"/>
    </row>
    <row x14ac:dyDescent="0.25" r="897" customHeight="1" ht="17.25">
      <c r="A897" s="1" t="s">
        <v>4632</v>
      </c>
      <c r="B897" s="1" t="s">
        <v>1930</v>
      </c>
      <c r="C897" s="1" t="s">
        <v>3576</v>
      </c>
      <c r="D897" s="1" t="s">
        <v>20</v>
      </c>
      <c r="E897" s="1" t="s">
        <v>4250</v>
      </c>
      <c r="F897" s="1" t="s">
        <v>4251</v>
      </c>
      <c r="G897" s="1" t="s">
        <v>4252</v>
      </c>
      <c r="H897" s="2"/>
      <c r="I897" s="5">
        <f>XLOOKUP(K897, pharmaceutical_index!B:B, pharmaceutical_index!A:A, "Not Found")</f>
      </c>
      <c r="J897" s="1" t="s">
        <v>4633</v>
      </c>
      <c r="K897" s="1" t="s">
        <v>1930</v>
      </c>
      <c r="L897" s="1" t="s">
        <v>20</v>
      </c>
      <c r="M897" s="1" t="s">
        <v>4634</v>
      </c>
      <c r="N897" s="2"/>
      <c r="O897" s="2"/>
      <c r="P897" s="2"/>
      <c r="Q897" s="2"/>
    </row>
    <row x14ac:dyDescent="0.25" r="898" customHeight="1" ht="17.25">
      <c r="A898" s="1" t="s">
        <v>4635</v>
      </c>
      <c r="B898" s="1" t="s">
        <v>1932</v>
      </c>
      <c r="C898" s="1" t="s">
        <v>3576</v>
      </c>
      <c r="D898" s="1" t="s">
        <v>20</v>
      </c>
      <c r="E898" s="1" t="s">
        <v>4250</v>
      </c>
      <c r="F898" s="1" t="s">
        <v>4251</v>
      </c>
      <c r="G898" s="1" t="s">
        <v>4252</v>
      </c>
      <c r="H898" s="2"/>
      <c r="I898" s="5">
        <f>XLOOKUP(K898, pharmaceutical_index!B:B, pharmaceutical_index!A:A, "Not Found")</f>
      </c>
      <c r="J898" s="1" t="s">
        <v>4636</v>
      </c>
      <c r="K898" s="1" t="s">
        <v>1932</v>
      </c>
      <c r="L898" s="1" t="s">
        <v>20</v>
      </c>
      <c r="M898" s="1" t="s">
        <v>4637</v>
      </c>
      <c r="N898" s="2"/>
      <c r="O898" s="2"/>
      <c r="P898" s="2"/>
      <c r="Q898" s="2"/>
    </row>
    <row x14ac:dyDescent="0.25" r="899" customHeight="1" ht="17.25">
      <c r="A899" s="1" t="s">
        <v>4638</v>
      </c>
      <c r="B899" s="1" t="s">
        <v>1934</v>
      </c>
      <c r="C899" s="1" t="s">
        <v>3576</v>
      </c>
      <c r="D899" s="1" t="s">
        <v>20</v>
      </c>
      <c r="E899" s="1" t="s">
        <v>4250</v>
      </c>
      <c r="F899" s="1" t="s">
        <v>4251</v>
      </c>
      <c r="G899" s="1" t="s">
        <v>4252</v>
      </c>
      <c r="H899" s="2"/>
      <c r="I899" s="5">
        <f>XLOOKUP(K899, pharmaceutical_index!B:B, pharmaceutical_index!A:A, "Not Found")</f>
      </c>
      <c r="J899" s="1" t="s">
        <v>4639</v>
      </c>
      <c r="K899" s="1" t="s">
        <v>1934</v>
      </c>
      <c r="L899" s="1" t="s">
        <v>20</v>
      </c>
      <c r="M899" s="1" t="s">
        <v>4640</v>
      </c>
      <c r="N899" s="2"/>
      <c r="O899" s="2"/>
      <c r="P899" s="2"/>
      <c r="Q899" s="2"/>
    </row>
    <row x14ac:dyDescent="0.25" r="900" customHeight="1" ht="17.25">
      <c r="A900" s="1" t="s">
        <v>4641</v>
      </c>
      <c r="B900" s="1" t="s">
        <v>1936</v>
      </c>
      <c r="C900" s="1" t="s">
        <v>3576</v>
      </c>
      <c r="D900" s="1" t="s">
        <v>20</v>
      </c>
      <c r="E900" s="1" t="s">
        <v>4250</v>
      </c>
      <c r="F900" s="1" t="s">
        <v>4251</v>
      </c>
      <c r="G900" s="1" t="s">
        <v>4252</v>
      </c>
      <c r="H900" s="2"/>
      <c r="I900" s="5">
        <f>XLOOKUP(K900, pharmaceutical_index!B:B, pharmaceutical_index!A:A, "Not Found")</f>
      </c>
      <c r="J900" s="1" t="s">
        <v>4642</v>
      </c>
      <c r="K900" s="1" t="s">
        <v>1936</v>
      </c>
      <c r="L900" s="1" t="s">
        <v>20</v>
      </c>
      <c r="M900" s="1" t="s">
        <v>4643</v>
      </c>
      <c r="N900" s="2"/>
      <c r="O900" s="2"/>
      <c r="P900" s="2"/>
      <c r="Q900" s="2"/>
    </row>
    <row x14ac:dyDescent="0.25" r="901" customHeight="1" ht="17.25">
      <c r="A901" s="1" t="s">
        <v>4644</v>
      </c>
      <c r="B901" s="1" t="s">
        <v>1938</v>
      </c>
      <c r="C901" s="1" t="s">
        <v>3576</v>
      </c>
      <c r="D901" s="1" t="s">
        <v>20</v>
      </c>
      <c r="E901" s="1" t="s">
        <v>4250</v>
      </c>
      <c r="F901" s="1" t="s">
        <v>4251</v>
      </c>
      <c r="G901" s="1" t="s">
        <v>4252</v>
      </c>
      <c r="H901" s="2"/>
      <c r="I901" s="5">
        <f>XLOOKUP(K901, pharmaceutical_index!B:B, pharmaceutical_index!A:A, "Not Found")</f>
      </c>
      <c r="J901" s="1" t="s">
        <v>1938</v>
      </c>
      <c r="K901" s="1" t="s">
        <v>1938</v>
      </c>
      <c r="L901" s="1" t="s">
        <v>20</v>
      </c>
      <c r="M901" s="1" t="s">
        <v>1938</v>
      </c>
      <c r="N901" s="2"/>
      <c r="O901" s="2"/>
      <c r="P901" s="2"/>
      <c r="Q901" s="2"/>
    </row>
    <row x14ac:dyDescent="0.25" r="902" customHeight="1" ht="17.25">
      <c r="A902" s="1" t="s">
        <v>4645</v>
      </c>
      <c r="B902" s="1" t="s">
        <v>1940</v>
      </c>
      <c r="C902" s="1" t="s">
        <v>3576</v>
      </c>
      <c r="D902" s="1" t="s">
        <v>20</v>
      </c>
      <c r="E902" s="1" t="s">
        <v>4250</v>
      </c>
      <c r="F902" s="1" t="s">
        <v>4251</v>
      </c>
      <c r="G902" s="1" t="s">
        <v>4252</v>
      </c>
      <c r="H902" s="2"/>
      <c r="I902" s="5">
        <f>XLOOKUP(K902, pharmaceutical_index!B:B, pharmaceutical_index!A:A, "Not Found")</f>
      </c>
      <c r="J902" s="1" t="s">
        <v>4646</v>
      </c>
      <c r="K902" s="1" t="s">
        <v>1940</v>
      </c>
      <c r="L902" s="1" t="s">
        <v>20</v>
      </c>
      <c r="M902" s="1" t="s">
        <v>4647</v>
      </c>
      <c r="N902" s="2"/>
      <c r="O902" s="2"/>
      <c r="P902" s="2"/>
      <c r="Q902" s="2"/>
    </row>
    <row x14ac:dyDescent="0.25" r="903" customHeight="1" ht="17.25">
      <c r="A903" s="1" t="s">
        <v>4648</v>
      </c>
      <c r="B903" s="1" t="s">
        <v>1942</v>
      </c>
      <c r="C903" s="1" t="s">
        <v>3576</v>
      </c>
      <c r="D903" s="1" t="s">
        <v>20</v>
      </c>
      <c r="E903" s="1" t="s">
        <v>4250</v>
      </c>
      <c r="F903" s="1" t="s">
        <v>4251</v>
      </c>
      <c r="G903" s="1" t="s">
        <v>4252</v>
      </c>
      <c r="H903" s="2"/>
      <c r="I903" s="5">
        <f>XLOOKUP(K903, pharmaceutical_index!B:B, pharmaceutical_index!A:A, "Not Found")</f>
      </c>
      <c r="J903" s="1" t="s">
        <v>1942</v>
      </c>
      <c r="K903" s="1" t="s">
        <v>1942</v>
      </c>
      <c r="L903" s="1" t="s">
        <v>20</v>
      </c>
      <c r="M903" s="1" t="s">
        <v>1942</v>
      </c>
      <c r="N903" s="2"/>
      <c r="O903" s="2"/>
      <c r="P903" s="2"/>
      <c r="Q903" s="2"/>
    </row>
    <row x14ac:dyDescent="0.25" r="904" customHeight="1" ht="17.25">
      <c r="A904" s="1" t="s">
        <v>4649</v>
      </c>
      <c r="B904" s="1" t="s">
        <v>1944</v>
      </c>
      <c r="C904" s="1" t="s">
        <v>3576</v>
      </c>
      <c r="D904" s="1" t="s">
        <v>20</v>
      </c>
      <c r="E904" s="1" t="s">
        <v>4250</v>
      </c>
      <c r="F904" s="1" t="s">
        <v>4251</v>
      </c>
      <c r="G904" s="1" t="s">
        <v>4252</v>
      </c>
      <c r="H904" s="2"/>
      <c r="I904" s="5">
        <f>XLOOKUP(K904, pharmaceutical_index!B:B, pharmaceutical_index!A:A, "Not Found")</f>
      </c>
      <c r="J904" s="1" t="s">
        <v>4650</v>
      </c>
      <c r="K904" s="1" t="s">
        <v>1944</v>
      </c>
      <c r="L904" s="1" t="s">
        <v>20</v>
      </c>
      <c r="M904" s="1" t="s">
        <v>4651</v>
      </c>
      <c r="N904" s="2"/>
      <c r="O904" s="2"/>
      <c r="P904" s="2"/>
      <c r="Q904" s="2"/>
    </row>
    <row x14ac:dyDescent="0.25" r="905" customHeight="1" ht="17.25">
      <c r="A905" s="1" t="s">
        <v>4652</v>
      </c>
      <c r="B905" s="1" t="s">
        <v>1946</v>
      </c>
      <c r="C905" s="1" t="s">
        <v>3576</v>
      </c>
      <c r="D905" s="1" t="s">
        <v>20</v>
      </c>
      <c r="E905" s="1" t="s">
        <v>4250</v>
      </c>
      <c r="F905" s="1" t="s">
        <v>4251</v>
      </c>
      <c r="G905" s="1" t="s">
        <v>4252</v>
      </c>
      <c r="H905" s="2"/>
      <c r="I905" s="5">
        <f>XLOOKUP(K905, pharmaceutical_index!B:B, pharmaceutical_index!A:A, "Not Found")</f>
      </c>
      <c r="J905" s="1" t="s">
        <v>1946</v>
      </c>
      <c r="K905" s="1" t="s">
        <v>1946</v>
      </c>
      <c r="L905" s="1" t="s">
        <v>20</v>
      </c>
      <c r="M905" s="1" t="s">
        <v>1946</v>
      </c>
      <c r="N905" s="2"/>
      <c r="O905" s="2"/>
      <c r="P905" s="2"/>
      <c r="Q905" s="2"/>
    </row>
    <row x14ac:dyDescent="0.25" r="906" customHeight="1" ht="17.25">
      <c r="A906" s="1" t="s">
        <v>4653</v>
      </c>
      <c r="B906" s="1" t="s">
        <v>1948</v>
      </c>
      <c r="C906" s="1" t="s">
        <v>3576</v>
      </c>
      <c r="D906" s="1" t="s">
        <v>20</v>
      </c>
      <c r="E906" s="1" t="s">
        <v>4250</v>
      </c>
      <c r="F906" s="1" t="s">
        <v>4251</v>
      </c>
      <c r="G906" s="1" t="s">
        <v>4252</v>
      </c>
      <c r="H906" s="2"/>
      <c r="I906" s="5">
        <f>XLOOKUP(K906, pharmaceutical_index!B:B, pharmaceutical_index!A:A, "Not Found")</f>
      </c>
      <c r="J906" s="1" t="s">
        <v>1948</v>
      </c>
      <c r="K906" s="1" t="s">
        <v>1948</v>
      </c>
      <c r="L906" s="1" t="s">
        <v>20</v>
      </c>
      <c r="M906" s="1" t="s">
        <v>1948</v>
      </c>
      <c r="N906" s="2"/>
      <c r="O906" s="2"/>
      <c r="P906" s="2"/>
      <c r="Q906" s="2"/>
    </row>
    <row x14ac:dyDescent="0.25" r="907" customHeight="1" ht="17.25">
      <c r="A907" s="1" t="s">
        <v>4654</v>
      </c>
      <c r="B907" s="1" t="s">
        <v>1950</v>
      </c>
      <c r="C907" s="1" t="s">
        <v>3576</v>
      </c>
      <c r="D907" s="1" t="s">
        <v>20</v>
      </c>
      <c r="E907" s="1" t="s">
        <v>4250</v>
      </c>
      <c r="F907" s="1" t="s">
        <v>4251</v>
      </c>
      <c r="G907" s="1" t="s">
        <v>4252</v>
      </c>
      <c r="H907" s="2"/>
      <c r="I907" s="5">
        <f>XLOOKUP(K907, pharmaceutical_index!B:B, pharmaceutical_index!A:A, "Not Found")</f>
      </c>
      <c r="J907" s="1" t="s">
        <v>1950</v>
      </c>
      <c r="K907" s="1" t="s">
        <v>1950</v>
      </c>
      <c r="L907" s="1" t="s">
        <v>20</v>
      </c>
      <c r="M907" s="1" t="s">
        <v>1950</v>
      </c>
      <c r="N907" s="2"/>
      <c r="O907" s="2"/>
      <c r="P907" s="2"/>
      <c r="Q907" s="2"/>
    </row>
    <row x14ac:dyDescent="0.25" r="908" customHeight="1" ht="17.25">
      <c r="A908" s="1" t="s">
        <v>4655</v>
      </c>
      <c r="B908" s="1" t="s">
        <v>1952</v>
      </c>
      <c r="C908" s="1" t="s">
        <v>3576</v>
      </c>
      <c r="D908" s="1" t="s">
        <v>20</v>
      </c>
      <c r="E908" s="1" t="s">
        <v>4250</v>
      </c>
      <c r="F908" s="1" t="s">
        <v>4251</v>
      </c>
      <c r="G908" s="1" t="s">
        <v>4252</v>
      </c>
      <c r="H908" s="2"/>
      <c r="I908" s="5">
        <f>XLOOKUP(K908, pharmaceutical_index!B:B, pharmaceutical_index!A:A, "Not Found")</f>
      </c>
      <c r="J908" s="1" t="s">
        <v>1952</v>
      </c>
      <c r="K908" s="1" t="s">
        <v>1952</v>
      </c>
      <c r="L908" s="1" t="s">
        <v>20</v>
      </c>
      <c r="M908" s="1" t="s">
        <v>1952</v>
      </c>
      <c r="N908" s="2"/>
      <c r="O908" s="2"/>
      <c r="P908" s="2"/>
      <c r="Q908" s="2"/>
    </row>
    <row x14ac:dyDescent="0.25" r="909" customHeight="1" ht="17.25">
      <c r="A909" s="1" t="s">
        <v>4656</v>
      </c>
      <c r="B909" s="1" t="s">
        <v>1954</v>
      </c>
      <c r="C909" s="1" t="s">
        <v>3576</v>
      </c>
      <c r="D909" s="1" t="s">
        <v>20</v>
      </c>
      <c r="E909" s="1" t="s">
        <v>4250</v>
      </c>
      <c r="F909" s="1" t="s">
        <v>4251</v>
      </c>
      <c r="G909" s="1" t="s">
        <v>4252</v>
      </c>
      <c r="H909" s="2"/>
      <c r="I909" s="5">
        <f>XLOOKUP(K909, pharmaceutical_index!B:B, pharmaceutical_index!A:A, "Not Found")</f>
      </c>
      <c r="J909" s="1" t="s">
        <v>1954</v>
      </c>
      <c r="K909" s="1" t="s">
        <v>1954</v>
      </c>
      <c r="L909" s="1" t="s">
        <v>20</v>
      </c>
      <c r="M909" s="1" t="s">
        <v>1954</v>
      </c>
      <c r="N909" s="2"/>
      <c r="O909" s="2"/>
      <c r="P909" s="2"/>
      <c r="Q909" s="2"/>
    </row>
    <row x14ac:dyDescent="0.25" r="910" customHeight="1" ht="17.25">
      <c r="A910" s="1" t="s">
        <v>4657</v>
      </c>
      <c r="B910" s="1" t="s">
        <v>1956</v>
      </c>
      <c r="C910" s="1" t="s">
        <v>3576</v>
      </c>
      <c r="D910" s="1" t="s">
        <v>20</v>
      </c>
      <c r="E910" s="1" t="s">
        <v>4250</v>
      </c>
      <c r="F910" s="1" t="s">
        <v>4251</v>
      </c>
      <c r="G910" s="1" t="s">
        <v>4252</v>
      </c>
      <c r="H910" s="2"/>
      <c r="I910" s="5">
        <f>XLOOKUP(K910, pharmaceutical_index!B:B, pharmaceutical_index!A:A, "Not Found")</f>
      </c>
      <c r="J910" s="1" t="s">
        <v>1956</v>
      </c>
      <c r="K910" s="1" t="s">
        <v>1956</v>
      </c>
      <c r="L910" s="1" t="s">
        <v>20</v>
      </c>
      <c r="M910" s="1" t="s">
        <v>1956</v>
      </c>
      <c r="N910" s="2"/>
      <c r="O910" s="2"/>
      <c r="P910" s="2"/>
      <c r="Q910" s="2"/>
    </row>
    <row x14ac:dyDescent="0.25" r="911" customHeight="1" ht="17.25">
      <c r="A911" s="1" t="s">
        <v>4658</v>
      </c>
      <c r="B911" s="1" t="s">
        <v>1958</v>
      </c>
      <c r="C911" s="1" t="s">
        <v>3576</v>
      </c>
      <c r="D911" s="1" t="s">
        <v>20</v>
      </c>
      <c r="E911" s="1" t="s">
        <v>4250</v>
      </c>
      <c r="F911" s="1" t="s">
        <v>4251</v>
      </c>
      <c r="G911" s="1" t="s">
        <v>4252</v>
      </c>
      <c r="H911" s="2"/>
      <c r="I911" s="5">
        <f>XLOOKUP(K911, pharmaceutical_index!B:B, pharmaceutical_index!A:A, "Not Found")</f>
      </c>
      <c r="J911" s="1" t="s">
        <v>1958</v>
      </c>
      <c r="K911" s="1" t="s">
        <v>1958</v>
      </c>
      <c r="L911" s="1" t="s">
        <v>20</v>
      </c>
      <c r="M911" s="1" t="s">
        <v>1958</v>
      </c>
      <c r="N911" s="2"/>
      <c r="O911" s="2"/>
      <c r="P911" s="2"/>
      <c r="Q911" s="2"/>
    </row>
    <row x14ac:dyDescent="0.25" r="912" customHeight="1" ht="17.25">
      <c r="A912" s="1" t="s">
        <v>4659</v>
      </c>
      <c r="B912" s="1" t="s">
        <v>1960</v>
      </c>
      <c r="C912" s="1" t="s">
        <v>3576</v>
      </c>
      <c r="D912" s="1" t="s">
        <v>20</v>
      </c>
      <c r="E912" s="1" t="s">
        <v>4250</v>
      </c>
      <c r="F912" s="1" t="s">
        <v>4251</v>
      </c>
      <c r="G912" s="1" t="s">
        <v>4252</v>
      </c>
      <c r="H912" s="2"/>
      <c r="I912" s="5">
        <f>XLOOKUP(K912, pharmaceutical_index!B:B, pharmaceutical_index!A:A, "Not Found")</f>
      </c>
      <c r="J912" s="1" t="s">
        <v>1960</v>
      </c>
      <c r="K912" s="1" t="s">
        <v>1960</v>
      </c>
      <c r="L912" s="1" t="s">
        <v>20</v>
      </c>
      <c r="M912" s="1" t="s">
        <v>1960</v>
      </c>
      <c r="N912" s="2"/>
      <c r="O912" s="2"/>
      <c r="P912" s="2"/>
      <c r="Q912" s="2"/>
    </row>
    <row x14ac:dyDescent="0.25" r="913" customHeight="1" ht="17.25">
      <c r="A913" s="1" t="s">
        <v>4660</v>
      </c>
      <c r="B913" s="1" t="s">
        <v>1962</v>
      </c>
      <c r="C913" s="1" t="s">
        <v>3576</v>
      </c>
      <c r="D913" s="1" t="s">
        <v>20</v>
      </c>
      <c r="E913" s="1" t="s">
        <v>4250</v>
      </c>
      <c r="F913" s="1" t="s">
        <v>4251</v>
      </c>
      <c r="G913" s="1" t="s">
        <v>4252</v>
      </c>
      <c r="H913" s="2"/>
      <c r="I913" s="5">
        <f>XLOOKUP(K913, pharmaceutical_index!B:B, pharmaceutical_index!A:A, "Not Found")</f>
      </c>
      <c r="J913" s="1" t="s">
        <v>1962</v>
      </c>
      <c r="K913" s="1" t="s">
        <v>1962</v>
      </c>
      <c r="L913" s="1" t="s">
        <v>20</v>
      </c>
      <c r="M913" s="1" t="s">
        <v>1962</v>
      </c>
      <c r="N913" s="2"/>
      <c r="O913" s="2"/>
      <c r="P913" s="2"/>
      <c r="Q913" s="2"/>
    </row>
    <row x14ac:dyDescent="0.25" r="914" customHeight="1" ht="17.25">
      <c r="A914" s="1" t="s">
        <v>4661</v>
      </c>
      <c r="B914" s="1" t="s">
        <v>1964</v>
      </c>
      <c r="C914" s="1" t="s">
        <v>3576</v>
      </c>
      <c r="D914" s="1" t="s">
        <v>20</v>
      </c>
      <c r="E914" s="1" t="s">
        <v>4250</v>
      </c>
      <c r="F914" s="1" t="s">
        <v>4251</v>
      </c>
      <c r="G914" s="1" t="s">
        <v>4252</v>
      </c>
      <c r="H914" s="2"/>
      <c r="I914" s="5">
        <f>XLOOKUP(K914, pharmaceutical_index!B:B, pharmaceutical_index!A:A, "Not Found")</f>
      </c>
      <c r="J914" s="1" t="s">
        <v>1964</v>
      </c>
      <c r="K914" s="1" t="s">
        <v>1964</v>
      </c>
      <c r="L914" s="1" t="s">
        <v>20</v>
      </c>
      <c r="M914" s="1" t="s">
        <v>1964</v>
      </c>
      <c r="N914" s="2"/>
      <c r="O914" s="2"/>
      <c r="P914" s="2"/>
      <c r="Q914" s="2"/>
    </row>
    <row x14ac:dyDescent="0.25" r="915" customHeight="1" ht="17.25">
      <c r="A915" s="1" t="s">
        <v>4662</v>
      </c>
      <c r="B915" s="1" t="s">
        <v>1966</v>
      </c>
      <c r="C915" s="1" t="s">
        <v>3576</v>
      </c>
      <c r="D915" s="1" t="s">
        <v>20</v>
      </c>
      <c r="E915" s="1" t="s">
        <v>4250</v>
      </c>
      <c r="F915" s="1" t="s">
        <v>4251</v>
      </c>
      <c r="G915" s="1" t="s">
        <v>4252</v>
      </c>
      <c r="H915" s="2"/>
      <c r="I915" s="5">
        <f>XLOOKUP(K915, pharmaceutical_index!B:B, pharmaceutical_index!A:A, "Not Found")</f>
      </c>
      <c r="J915" s="1" t="s">
        <v>1966</v>
      </c>
      <c r="K915" s="1" t="s">
        <v>1966</v>
      </c>
      <c r="L915" s="1" t="s">
        <v>20</v>
      </c>
      <c r="M915" s="1" t="s">
        <v>1966</v>
      </c>
      <c r="N915" s="2"/>
      <c r="O915" s="2"/>
      <c r="P915" s="2"/>
      <c r="Q915" s="2"/>
    </row>
    <row x14ac:dyDescent="0.25" r="916" customHeight="1" ht="17.25">
      <c r="A916" s="1" t="s">
        <v>4663</v>
      </c>
      <c r="B916" s="1" t="s">
        <v>1968</v>
      </c>
      <c r="C916" s="1" t="s">
        <v>3576</v>
      </c>
      <c r="D916" s="1" t="s">
        <v>20</v>
      </c>
      <c r="E916" s="1" t="s">
        <v>4250</v>
      </c>
      <c r="F916" s="1" t="s">
        <v>4251</v>
      </c>
      <c r="G916" s="1" t="s">
        <v>4252</v>
      </c>
      <c r="H916" s="2"/>
      <c r="I916" s="5">
        <f>XLOOKUP(K916, pharmaceutical_index!B:B, pharmaceutical_index!A:A, "Not Found")</f>
      </c>
      <c r="J916" s="1" t="s">
        <v>1968</v>
      </c>
      <c r="K916" s="1" t="s">
        <v>1968</v>
      </c>
      <c r="L916" s="1" t="s">
        <v>20</v>
      </c>
      <c r="M916" s="1" t="s">
        <v>1968</v>
      </c>
      <c r="N916" s="2"/>
      <c r="O916" s="2"/>
      <c r="P916" s="2"/>
      <c r="Q916" s="2"/>
    </row>
    <row x14ac:dyDescent="0.25" r="917" customHeight="1" ht="17.25">
      <c r="A917" s="1" t="s">
        <v>4664</v>
      </c>
      <c r="B917" s="1" t="s">
        <v>1970</v>
      </c>
      <c r="C917" s="1" t="s">
        <v>3576</v>
      </c>
      <c r="D917" s="1" t="s">
        <v>20</v>
      </c>
      <c r="E917" s="1" t="s">
        <v>4250</v>
      </c>
      <c r="F917" s="1" t="s">
        <v>4251</v>
      </c>
      <c r="G917" s="1" t="s">
        <v>4252</v>
      </c>
      <c r="H917" s="2"/>
      <c r="I917" s="5">
        <f>XLOOKUP(K917, pharmaceutical_index!B:B, pharmaceutical_index!A:A, "Not Found")</f>
      </c>
      <c r="J917" s="1" t="s">
        <v>1970</v>
      </c>
      <c r="K917" s="1" t="s">
        <v>1970</v>
      </c>
      <c r="L917" s="1" t="s">
        <v>20</v>
      </c>
      <c r="M917" s="1" t="s">
        <v>1970</v>
      </c>
      <c r="N917" s="2"/>
      <c r="O917" s="2"/>
      <c r="P917" s="2"/>
      <c r="Q917" s="2"/>
    </row>
    <row x14ac:dyDescent="0.25" r="918" customHeight="1" ht="17.25">
      <c r="A918" s="1" t="s">
        <v>4665</v>
      </c>
      <c r="B918" s="1" t="s">
        <v>1972</v>
      </c>
      <c r="C918" s="1" t="s">
        <v>3576</v>
      </c>
      <c r="D918" s="1" t="s">
        <v>20</v>
      </c>
      <c r="E918" s="1" t="s">
        <v>4250</v>
      </c>
      <c r="F918" s="1" t="s">
        <v>4251</v>
      </c>
      <c r="G918" s="1" t="s">
        <v>4252</v>
      </c>
      <c r="H918" s="2"/>
      <c r="I918" s="5">
        <f>XLOOKUP(K918, pharmaceutical_index!B:B, pharmaceutical_index!A:A, "Not Found")</f>
      </c>
      <c r="J918" s="1" t="s">
        <v>1972</v>
      </c>
      <c r="K918" s="1" t="s">
        <v>1972</v>
      </c>
      <c r="L918" s="1" t="s">
        <v>20</v>
      </c>
      <c r="M918" s="1" t="s">
        <v>1972</v>
      </c>
      <c r="N918" s="2"/>
      <c r="O918" s="2"/>
      <c r="P918" s="2"/>
      <c r="Q918" s="2"/>
    </row>
    <row x14ac:dyDescent="0.25" r="919" customHeight="1" ht="17.25">
      <c r="A919" s="1" t="s">
        <v>4666</v>
      </c>
      <c r="B919" s="1" t="s">
        <v>1974</v>
      </c>
      <c r="C919" s="1" t="s">
        <v>3576</v>
      </c>
      <c r="D919" s="1" t="s">
        <v>20</v>
      </c>
      <c r="E919" s="1" t="s">
        <v>4250</v>
      </c>
      <c r="F919" s="1" t="s">
        <v>4251</v>
      </c>
      <c r="G919" s="1" t="s">
        <v>4252</v>
      </c>
      <c r="H919" s="2"/>
      <c r="I919" s="5">
        <f>XLOOKUP(K919, pharmaceutical_index!B:B, pharmaceutical_index!A:A, "Not Found")</f>
      </c>
      <c r="J919" s="1" t="s">
        <v>1974</v>
      </c>
      <c r="K919" s="1" t="s">
        <v>1974</v>
      </c>
      <c r="L919" s="1" t="s">
        <v>20</v>
      </c>
      <c r="M919" s="1" t="s">
        <v>1974</v>
      </c>
      <c r="N919" s="2"/>
      <c r="O919" s="2"/>
      <c r="P919" s="2"/>
      <c r="Q919" s="2"/>
    </row>
    <row x14ac:dyDescent="0.25" r="920" customHeight="1" ht="17.25">
      <c r="A920" s="1" t="s">
        <v>4667</v>
      </c>
      <c r="B920" s="1" t="s">
        <v>1976</v>
      </c>
      <c r="C920" s="1" t="s">
        <v>3576</v>
      </c>
      <c r="D920" s="1" t="s">
        <v>20</v>
      </c>
      <c r="E920" s="1" t="s">
        <v>4250</v>
      </c>
      <c r="F920" s="1" t="s">
        <v>4251</v>
      </c>
      <c r="G920" s="1" t="s">
        <v>4252</v>
      </c>
      <c r="H920" s="2"/>
      <c r="I920" s="5">
        <f>XLOOKUP(K920, pharmaceutical_index!B:B, pharmaceutical_index!A:A, "Not Found")</f>
      </c>
      <c r="J920" s="1" t="s">
        <v>1976</v>
      </c>
      <c r="K920" s="1" t="s">
        <v>1976</v>
      </c>
      <c r="L920" s="1" t="s">
        <v>20</v>
      </c>
      <c r="M920" s="1" t="s">
        <v>1976</v>
      </c>
      <c r="N920" s="2"/>
      <c r="O920" s="2"/>
      <c r="P920" s="2"/>
      <c r="Q920" s="2"/>
    </row>
    <row x14ac:dyDescent="0.25" r="921" customHeight="1" ht="17.25">
      <c r="A921" s="1" t="s">
        <v>4668</v>
      </c>
      <c r="B921" s="1" t="s">
        <v>1978</v>
      </c>
      <c r="C921" s="1" t="s">
        <v>3576</v>
      </c>
      <c r="D921" s="1" t="s">
        <v>20</v>
      </c>
      <c r="E921" s="1" t="s">
        <v>4250</v>
      </c>
      <c r="F921" s="1" t="s">
        <v>4251</v>
      </c>
      <c r="G921" s="1" t="s">
        <v>4252</v>
      </c>
      <c r="H921" s="2"/>
      <c r="I921" s="5">
        <f>XLOOKUP(K921, pharmaceutical_index!B:B, pharmaceutical_index!A:A, "Not Found")</f>
      </c>
      <c r="J921" s="1" t="s">
        <v>1978</v>
      </c>
      <c r="K921" s="1" t="s">
        <v>1978</v>
      </c>
      <c r="L921" s="1" t="s">
        <v>20</v>
      </c>
      <c r="M921" s="1" t="s">
        <v>1978</v>
      </c>
      <c r="N921" s="2"/>
      <c r="O921" s="2"/>
      <c r="P921" s="2"/>
      <c r="Q921" s="2"/>
    </row>
    <row x14ac:dyDescent="0.25" r="922" customHeight="1" ht="17.25">
      <c r="A922" s="1" t="s">
        <v>4669</v>
      </c>
      <c r="B922" s="1" t="s">
        <v>1980</v>
      </c>
      <c r="C922" s="1" t="s">
        <v>3576</v>
      </c>
      <c r="D922" s="1" t="s">
        <v>20</v>
      </c>
      <c r="E922" s="1" t="s">
        <v>4250</v>
      </c>
      <c r="F922" s="1" t="s">
        <v>4251</v>
      </c>
      <c r="G922" s="1" t="s">
        <v>4252</v>
      </c>
      <c r="H922" s="2"/>
      <c r="I922" s="5">
        <f>XLOOKUP(K922, pharmaceutical_index!B:B, pharmaceutical_index!A:A, "Not Found")</f>
      </c>
      <c r="J922" s="1" t="s">
        <v>1980</v>
      </c>
      <c r="K922" s="1" t="s">
        <v>1980</v>
      </c>
      <c r="L922" s="1" t="s">
        <v>20</v>
      </c>
      <c r="M922" s="1" t="s">
        <v>1980</v>
      </c>
      <c r="N922" s="2"/>
      <c r="O922" s="2"/>
      <c r="P922" s="2"/>
      <c r="Q922" s="2"/>
    </row>
    <row x14ac:dyDescent="0.25" r="923" customHeight="1" ht="17.25">
      <c r="A923" s="1" t="s">
        <v>4670</v>
      </c>
      <c r="B923" s="1" t="s">
        <v>1982</v>
      </c>
      <c r="C923" s="1" t="s">
        <v>3576</v>
      </c>
      <c r="D923" s="1" t="s">
        <v>20</v>
      </c>
      <c r="E923" s="1" t="s">
        <v>4250</v>
      </c>
      <c r="F923" s="1" t="s">
        <v>4251</v>
      </c>
      <c r="G923" s="1" t="s">
        <v>4252</v>
      </c>
      <c r="H923" s="2"/>
      <c r="I923" s="5">
        <f>XLOOKUP(K923, pharmaceutical_index!B:B, pharmaceutical_index!A:A, "Not Found")</f>
      </c>
      <c r="J923" s="1" t="s">
        <v>1982</v>
      </c>
      <c r="K923" s="1" t="s">
        <v>1982</v>
      </c>
      <c r="L923" s="1" t="s">
        <v>20</v>
      </c>
      <c r="M923" s="1" t="s">
        <v>1982</v>
      </c>
      <c r="N923" s="2"/>
      <c r="O923" s="2"/>
      <c r="P923" s="2"/>
      <c r="Q923" s="2"/>
    </row>
    <row x14ac:dyDescent="0.25" r="924" customHeight="1" ht="17.25">
      <c r="A924" s="1" t="s">
        <v>4671</v>
      </c>
      <c r="B924" s="1" t="s">
        <v>1984</v>
      </c>
      <c r="C924" s="1" t="s">
        <v>3576</v>
      </c>
      <c r="D924" s="1" t="s">
        <v>20</v>
      </c>
      <c r="E924" s="1" t="s">
        <v>4250</v>
      </c>
      <c r="F924" s="1" t="s">
        <v>4251</v>
      </c>
      <c r="G924" s="1" t="s">
        <v>4252</v>
      </c>
      <c r="H924" s="2"/>
      <c r="I924" s="5">
        <f>XLOOKUP(K924, pharmaceutical_index!B:B, pharmaceutical_index!A:A, "Not Found")</f>
      </c>
      <c r="J924" s="1" t="s">
        <v>1984</v>
      </c>
      <c r="K924" s="1" t="s">
        <v>1984</v>
      </c>
      <c r="L924" s="1" t="s">
        <v>20</v>
      </c>
      <c r="M924" s="1" t="s">
        <v>1984</v>
      </c>
      <c r="N924" s="2"/>
      <c r="O924" s="2"/>
      <c r="P924" s="2"/>
      <c r="Q924" s="2"/>
    </row>
    <row x14ac:dyDescent="0.25" r="925" customHeight="1" ht="17.25">
      <c r="A925" s="1" t="s">
        <v>4672</v>
      </c>
      <c r="B925" s="1" t="s">
        <v>1986</v>
      </c>
      <c r="C925" s="1" t="s">
        <v>3576</v>
      </c>
      <c r="D925" s="1" t="s">
        <v>20</v>
      </c>
      <c r="E925" s="1" t="s">
        <v>4250</v>
      </c>
      <c r="F925" s="1" t="s">
        <v>4251</v>
      </c>
      <c r="G925" s="1" t="s">
        <v>4252</v>
      </c>
      <c r="H925" s="2"/>
      <c r="I925" s="5">
        <f>XLOOKUP(K925, pharmaceutical_index!B:B, pharmaceutical_index!A:A, "Not Found")</f>
      </c>
      <c r="J925" s="1" t="s">
        <v>1986</v>
      </c>
      <c r="K925" s="1" t="s">
        <v>1986</v>
      </c>
      <c r="L925" s="1" t="s">
        <v>20</v>
      </c>
      <c r="M925" s="1" t="s">
        <v>1986</v>
      </c>
      <c r="N925" s="2"/>
      <c r="O925" s="2"/>
      <c r="P925" s="2"/>
      <c r="Q925" s="2"/>
    </row>
    <row x14ac:dyDescent="0.25" r="926" customHeight="1" ht="17.25">
      <c r="A926" s="1" t="s">
        <v>4673</v>
      </c>
      <c r="B926" s="1" t="s">
        <v>1988</v>
      </c>
      <c r="C926" s="1" t="s">
        <v>3576</v>
      </c>
      <c r="D926" s="1" t="s">
        <v>20</v>
      </c>
      <c r="E926" s="1" t="s">
        <v>4250</v>
      </c>
      <c r="F926" s="1" t="s">
        <v>4251</v>
      </c>
      <c r="G926" s="1" t="s">
        <v>4252</v>
      </c>
      <c r="H926" s="2"/>
      <c r="I926" s="5">
        <f>XLOOKUP(K926, pharmaceutical_index!B:B, pharmaceutical_index!A:A, "Not Found")</f>
      </c>
      <c r="J926" s="1" t="s">
        <v>1988</v>
      </c>
      <c r="K926" s="1" t="s">
        <v>1988</v>
      </c>
      <c r="L926" s="1" t="s">
        <v>20</v>
      </c>
      <c r="M926" s="1" t="s">
        <v>1988</v>
      </c>
      <c r="N926" s="2"/>
      <c r="O926" s="2"/>
      <c r="P926" s="2"/>
      <c r="Q926" s="2"/>
    </row>
    <row x14ac:dyDescent="0.25" r="927" customHeight="1" ht="17.25">
      <c r="A927" s="1" t="s">
        <v>4674</v>
      </c>
      <c r="B927" s="1" t="s">
        <v>1990</v>
      </c>
      <c r="C927" s="1" t="s">
        <v>3576</v>
      </c>
      <c r="D927" s="1" t="s">
        <v>20</v>
      </c>
      <c r="E927" s="1" t="s">
        <v>4250</v>
      </c>
      <c r="F927" s="1" t="s">
        <v>4251</v>
      </c>
      <c r="G927" s="1" t="s">
        <v>4252</v>
      </c>
      <c r="H927" s="2"/>
      <c r="I927" s="5">
        <f>XLOOKUP(K927, pharmaceutical_index!B:B, pharmaceutical_index!A:A, "Not Found")</f>
      </c>
      <c r="J927" s="1" t="s">
        <v>1990</v>
      </c>
      <c r="K927" s="1" t="s">
        <v>1990</v>
      </c>
      <c r="L927" s="1" t="s">
        <v>20</v>
      </c>
      <c r="M927" s="1" t="s">
        <v>1990</v>
      </c>
      <c r="N927" s="2"/>
      <c r="O927" s="2"/>
      <c r="P927" s="2"/>
      <c r="Q927" s="2"/>
    </row>
    <row x14ac:dyDescent="0.25" r="928" customHeight="1" ht="17.25">
      <c r="A928" s="1" t="s">
        <v>4675</v>
      </c>
      <c r="B928" s="1" t="s">
        <v>1992</v>
      </c>
      <c r="C928" s="1" t="s">
        <v>3576</v>
      </c>
      <c r="D928" s="1" t="s">
        <v>20</v>
      </c>
      <c r="E928" s="1" t="s">
        <v>4250</v>
      </c>
      <c r="F928" s="1" t="s">
        <v>4251</v>
      </c>
      <c r="G928" s="1" t="s">
        <v>4252</v>
      </c>
      <c r="H928" s="2"/>
      <c r="I928" s="5">
        <f>XLOOKUP(K928, pharmaceutical_index!B:B, pharmaceutical_index!A:A, "Not Found")</f>
      </c>
      <c r="J928" s="1" t="s">
        <v>1992</v>
      </c>
      <c r="K928" s="1" t="s">
        <v>1992</v>
      </c>
      <c r="L928" s="1" t="s">
        <v>20</v>
      </c>
      <c r="M928" s="1" t="s">
        <v>1992</v>
      </c>
      <c r="N928" s="2"/>
      <c r="O928" s="2"/>
      <c r="P928" s="2"/>
      <c r="Q928" s="2"/>
    </row>
    <row x14ac:dyDescent="0.25" r="929" customHeight="1" ht="17.25">
      <c r="A929" s="1" t="s">
        <v>4676</v>
      </c>
      <c r="B929" s="1" t="s">
        <v>1994</v>
      </c>
      <c r="C929" s="1" t="s">
        <v>3576</v>
      </c>
      <c r="D929" s="1" t="s">
        <v>20</v>
      </c>
      <c r="E929" s="1" t="s">
        <v>4250</v>
      </c>
      <c r="F929" s="1" t="s">
        <v>4251</v>
      </c>
      <c r="G929" s="1" t="s">
        <v>4252</v>
      </c>
      <c r="H929" s="2"/>
      <c r="I929" s="5">
        <f>XLOOKUP(K929, pharmaceutical_index!B:B, pharmaceutical_index!A:A, "Not Found")</f>
      </c>
      <c r="J929" s="1" t="s">
        <v>1994</v>
      </c>
      <c r="K929" s="1" t="s">
        <v>1994</v>
      </c>
      <c r="L929" s="1" t="s">
        <v>20</v>
      </c>
      <c r="M929" s="1" t="s">
        <v>1994</v>
      </c>
      <c r="N929" s="2"/>
      <c r="O929" s="2"/>
      <c r="P929" s="2"/>
      <c r="Q929" s="2"/>
    </row>
    <row x14ac:dyDescent="0.25" r="930" customHeight="1" ht="17.25">
      <c r="A930" s="1" t="s">
        <v>4677</v>
      </c>
      <c r="B930" s="1" t="s">
        <v>1996</v>
      </c>
      <c r="C930" s="1" t="s">
        <v>3576</v>
      </c>
      <c r="D930" s="1" t="s">
        <v>20</v>
      </c>
      <c r="E930" s="1" t="s">
        <v>4250</v>
      </c>
      <c r="F930" s="1" t="s">
        <v>4251</v>
      </c>
      <c r="G930" s="1" t="s">
        <v>4252</v>
      </c>
      <c r="H930" s="2"/>
      <c r="I930" s="5">
        <f>XLOOKUP(K930, pharmaceutical_index!B:B, pharmaceutical_index!A:A, "Not Found")</f>
      </c>
      <c r="J930" s="1" t="s">
        <v>1996</v>
      </c>
      <c r="K930" s="1" t="s">
        <v>1996</v>
      </c>
      <c r="L930" s="1" t="s">
        <v>20</v>
      </c>
      <c r="M930" s="1" t="s">
        <v>1996</v>
      </c>
      <c r="N930" s="2"/>
      <c r="O930" s="2"/>
      <c r="P930" s="2"/>
      <c r="Q930" s="2"/>
    </row>
    <row x14ac:dyDescent="0.25" r="931" customHeight="1" ht="17.25">
      <c r="A931" s="1" t="s">
        <v>4678</v>
      </c>
      <c r="B931" s="1" t="s">
        <v>1998</v>
      </c>
      <c r="C931" s="1" t="s">
        <v>3576</v>
      </c>
      <c r="D931" s="1" t="s">
        <v>20</v>
      </c>
      <c r="E931" s="1" t="s">
        <v>4250</v>
      </c>
      <c r="F931" s="1" t="s">
        <v>4251</v>
      </c>
      <c r="G931" s="1" t="s">
        <v>4252</v>
      </c>
      <c r="H931" s="2"/>
      <c r="I931" s="5">
        <f>XLOOKUP(K931, pharmaceutical_index!B:B, pharmaceutical_index!A:A, "Not Found")</f>
      </c>
      <c r="J931" s="1" t="s">
        <v>1998</v>
      </c>
      <c r="K931" s="1" t="s">
        <v>1998</v>
      </c>
      <c r="L931" s="1" t="s">
        <v>20</v>
      </c>
      <c r="M931" s="1" t="s">
        <v>1998</v>
      </c>
      <c r="N931" s="2"/>
      <c r="O931" s="2"/>
      <c r="P931" s="2"/>
      <c r="Q931" s="2"/>
    </row>
    <row x14ac:dyDescent="0.25" r="932" customHeight="1" ht="17.25">
      <c r="A932" s="1" t="s">
        <v>4679</v>
      </c>
      <c r="B932" s="1" t="s">
        <v>2000</v>
      </c>
      <c r="C932" s="1" t="s">
        <v>3576</v>
      </c>
      <c r="D932" s="1" t="s">
        <v>20</v>
      </c>
      <c r="E932" s="1" t="s">
        <v>4250</v>
      </c>
      <c r="F932" s="1" t="s">
        <v>4251</v>
      </c>
      <c r="G932" s="1" t="s">
        <v>4252</v>
      </c>
      <c r="H932" s="2"/>
      <c r="I932" s="5">
        <f>XLOOKUP(K932, pharmaceutical_index!B:B, pharmaceutical_index!A:A, "Not Found")</f>
      </c>
      <c r="J932" s="1" t="s">
        <v>2000</v>
      </c>
      <c r="K932" s="1" t="s">
        <v>2000</v>
      </c>
      <c r="L932" s="1" t="s">
        <v>20</v>
      </c>
      <c r="M932" s="1" t="s">
        <v>2000</v>
      </c>
      <c r="N932" s="2"/>
      <c r="O932" s="2"/>
      <c r="P932" s="2"/>
      <c r="Q932" s="2"/>
    </row>
    <row x14ac:dyDescent="0.25" r="933" customHeight="1" ht="17.25">
      <c r="A933" s="1" t="s">
        <v>4680</v>
      </c>
      <c r="B933" s="1" t="s">
        <v>2002</v>
      </c>
      <c r="C933" s="1" t="s">
        <v>3576</v>
      </c>
      <c r="D933" s="1" t="s">
        <v>20</v>
      </c>
      <c r="E933" s="1" t="s">
        <v>4250</v>
      </c>
      <c r="F933" s="1" t="s">
        <v>4251</v>
      </c>
      <c r="G933" s="1" t="s">
        <v>4252</v>
      </c>
      <c r="H933" s="2"/>
      <c r="I933" s="5">
        <f>XLOOKUP(K933, pharmaceutical_index!B:B, pharmaceutical_index!A:A, "Not Found")</f>
      </c>
      <c r="J933" s="1" t="s">
        <v>2002</v>
      </c>
      <c r="K933" s="1" t="s">
        <v>2002</v>
      </c>
      <c r="L933" s="1" t="s">
        <v>20</v>
      </c>
      <c r="M933" s="1" t="s">
        <v>2002</v>
      </c>
      <c r="N933" s="2"/>
      <c r="O933" s="2"/>
      <c r="P933" s="2"/>
      <c r="Q933" s="2"/>
    </row>
    <row x14ac:dyDescent="0.25" r="934" customHeight="1" ht="17.25">
      <c r="A934" s="1" t="s">
        <v>4681</v>
      </c>
      <c r="B934" s="1" t="s">
        <v>2004</v>
      </c>
      <c r="C934" s="1" t="s">
        <v>3576</v>
      </c>
      <c r="D934" s="1" t="s">
        <v>20</v>
      </c>
      <c r="E934" s="1" t="s">
        <v>4250</v>
      </c>
      <c r="F934" s="1" t="s">
        <v>4251</v>
      </c>
      <c r="G934" s="1" t="s">
        <v>4252</v>
      </c>
      <c r="H934" s="2"/>
      <c r="I934" s="5">
        <f>XLOOKUP(K934, pharmaceutical_index!B:B, pharmaceutical_index!A:A, "Not Found")</f>
      </c>
      <c r="J934" s="1" t="s">
        <v>2004</v>
      </c>
      <c r="K934" s="1" t="s">
        <v>2004</v>
      </c>
      <c r="L934" s="1" t="s">
        <v>20</v>
      </c>
      <c r="M934" s="1" t="s">
        <v>2004</v>
      </c>
      <c r="N934" s="2"/>
      <c r="O934" s="2"/>
      <c r="P934" s="2"/>
      <c r="Q934" s="2"/>
    </row>
    <row x14ac:dyDescent="0.25" r="935" customHeight="1" ht="17.25">
      <c r="A935" s="1" t="s">
        <v>4682</v>
      </c>
      <c r="B935" s="1" t="s">
        <v>2006</v>
      </c>
      <c r="C935" s="1" t="s">
        <v>3576</v>
      </c>
      <c r="D935" s="1" t="s">
        <v>20</v>
      </c>
      <c r="E935" s="1" t="s">
        <v>4250</v>
      </c>
      <c r="F935" s="1" t="s">
        <v>4251</v>
      </c>
      <c r="G935" s="1" t="s">
        <v>4252</v>
      </c>
      <c r="H935" s="2"/>
      <c r="I935" s="5">
        <f>XLOOKUP(K935, pharmaceutical_index!B:B, pharmaceutical_index!A:A, "Not Found")</f>
      </c>
      <c r="J935" s="1" t="s">
        <v>2006</v>
      </c>
      <c r="K935" s="1" t="s">
        <v>2006</v>
      </c>
      <c r="L935" s="1" t="s">
        <v>20</v>
      </c>
      <c r="M935" s="1" t="s">
        <v>2006</v>
      </c>
      <c r="N935" s="2"/>
      <c r="O935" s="2"/>
      <c r="P935" s="2"/>
      <c r="Q935" s="2"/>
    </row>
    <row x14ac:dyDescent="0.25" r="936" customHeight="1" ht="17.25">
      <c r="A936" s="1" t="s">
        <v>4683</v>
      </c>
      <c r="B936" s="1" t="s">
        <v>2008</v>
      </c>
      <c r="C936" s="1" t="s">
        <v>3576</v>
      </c>
      <c r="D936" s="1" t="s">
        <v>20</v>
      </c>
      <c r="E936" s="1" t="s">
        <v>4250</v>
      </c>
      <c r="F936" s="1" t="s">
        <v>4251</v>
      </c>
      <c r="G936" s="1" t="s">
        <v>4252</v>
      </c>
      <c r="H936" s="2"/>
      <c r="I936" s="5">
        <f>XLOOKUP(K936, pharmaceutical_index!B:B, pharmaceutical_index!A:A, "Not Found")</f>
      </c>
      <c r="J936" s="1" t="s">
        <v>2008</v>
      </c>
      <c r="K936" s="1" t="s">
        <v>2008</v>
      </c>
      <c r="L936" s="1" t="s">
        <v>20</v>
      </c>
      <c r="M936" s="1" t="s">
        <v>2008</v>
      </c>
      <c r="N936" s="2"/>
      <c r="O936" s="2"/>
      <c r="P936" s="2"/>
      <c r="Q936" s="2"/>
    </row>
    <row x14ac:dyDescent="0.25" r="937" customHeight="1" ht="17.25">
      <c r="A937" s="1" t="s">
        <v>4684</v>
      </c>
      <c r="B937" s="1" t="s">
        <v>2010</v>
      </c>
      <c r="C937" s="1" t="s">
        <v>3576</v>
      </c>
      <c r="D937" s="1" t="s">
        <v>20</v>
      </c>
      <c r="E937" s="1" t="s">
        <v>4250</v>
      </c>
      <c r="F937" s="1" t="s">
        <v>4251</v>
      </c>
      <c r="G937" s="1" t="s">
        <v>4252</v>
      </c>
      <c r="H937" s="2"/>
      <c r="I937" s="5">
        <f>XLOOKUP(K937, pharmaceutical_index!B:B, pharmaceutical_index!A:A, "Not Found")</f>
      </c>
      <c r="J937" s="1" t="s">
        <v>2010</v>
      </c>
      <c r="K937" s="1" t="s">
        <v>2010</v>
      </c>
      <c r="L937" s="1" t="s">
        <v>20</v>
      </c>
      <c r="M937" s="1" t="s">
        <v>2010</v>
      </c>
      <c r="N937" s="2"/>
      <c r="O937" s="2"/>
      <c r="P937" s="2"/>
      <c r="Q937" s="2"/>
    </row>
    <row x14ac:dyDescent="0.25" r="938" customHeight="1" ht="17.25">
      <c r="A938" s="1" t="s">
        <v>4685</v>
      </c>
      <c r="B938" s="1" t="s">
        <v>2012</v>
      </c>
      <c r="C938" s="1" t="s">
        <v>3576</v>
      </c>
      <c r="D938" s="1" t="s">
        <v>20</v>
      </c>
      <c r="E938" s="1" t="s">
        <v>4250</v>
      </c>
      <c r="F938" s="1" t="s">
        <v>4251</v>
      </c>
      <c r="G938" s="1" t="s">
        <v>4252</v>
      </c>
      <c r="H938" s="2"/>
      <c r="I938" s="5">
        <f>XLOOKUP(K938, pharmaceutical_index!B:B, pharmaceutical_index!A:A, "Not Found")</f>
      </c>
      <c r="J938" s="1" t="s">
        <v>2012</v>
      </c>
      <c r="K938" s="1" t="s">
        <v>2012</v>
      </c>
      <c r="L938" s="1" t="s">
        <v>20</v>
      </c>
      <c r="M938" s="1" t="s">
        <v>2012</v>
      </c>
      <c r="N938" s="2"/>
      <c r="O938" s="2"/>
      <c r="P938" s="2"/>
      <c r="Q938" s="2"/>
    </row>
    <row x14ac:dyDescent="0.25" r="939" customHeight="1" ht="17.25">
      <c r="A939" s="1" t="s">
        <v>4686</v>
      </c>
      <c r="B939" s="1" t="s">
        <v>2014</v>
      </c>
      <c r="C939" s="1" t="s">
        <v>3576</v>
      </c>
      <c r="D939" s="1" t="s">
        <v>20</v>
      </c>
      <c r="E939" s="1" t="s">
        <v>4250</v>
      </c>
      <c r="F939" s="1" t="s">
        <v>4251</v>
      </c>
      <c r="G939" s="1" t="s">
        <v>4252</v>
      </c>
      <c r="H939" s="2"/>
      <c r="I939" s="5">
        <f>XLOOKUP(K939, pharmaceutical_index!B:B, pharmaceutical_index!A:A, "Not Found")</f>
      </c>
      <c r="J939" s="1" t="s">
        <v>4687</v>
      </c>
      <c r="K939" s="1" t="s">
        <v>2014</v>
      </c>
      <c r="L939" s="1" t="s">
        <v>20</v>
      </c>
      <c r="M939" s="1" t="s">
        <v>4688</v>
      </c>
      <c r="N939" s="2"/>
      <c r="O939" s="2"/>
      <c r="P939" s="2"/>
      <c r="Q939" s="2"/>
    </row>
    <row x14ac:dyDescent="0.25" r="940" customHeight="1" ht="17.25">
      <c r="A940" s="1" t="s">
        <v>4689</v>
      </c>
      <c r="B940" s="1" t="s">
        <v>2016</v>
      </c>
      <c r="C940" s="1" t="s">
        <v>3576</v>
      </c>
      <c r="D940" s="1" t="s">
        <v>20</v>
      </c>
      <c r="E940" s="1" t="s">
        <v>4250</v>
      </c>
      <c r="F940" s="1" t="s">
        <v>4251</v>
      </c>
      <c r="G940" s="1" t="s">
        <v>4252</v>
      </c>
      <c r="H940" s="2"/>
      <c r="I940" s="5">
        <f>XLOOKUP(K940, pharmaceutical_index!B:B, pharmaceutical_index!A:A, "Not Found")</f>
      </c>
      <c r="J940" s="1" t="s">
        <v>2016</v>
      </c>
      <c r="K940" s="1" t="s">
        <v>2016</v>
      </c>
      <c r="L940" s="1" t="s">
        <v>20</v>
      </c>
      <c r="M940" s="1" t="s">
        <v>2016</v>
      </c>
      <c r="N940" s="2"/>
      <c r="O940" s="2"/>
      <c r="P940" s="2"/>
      <c r="Q940" s="2"/>
    </row>
    <row x14ac:dyDescent="0.25" r="941" customHeight="1" ht="17.25">
      <c r="A941" s="1" t="s">
        <v>4690</v>
      </c>
      <c r="B941" s="1" t="s">
        <v>2018</v>
      </c>
      <c r="C941" s="1" t="s">
        <v>3576</v>
      </c>
      <c r="D941" s="1" t="s">
        <v>20</v>
      </c>
      <c r="E941" s="1" t="s">
        <v>4250</v>
      </c>
      <c r="F941" s="1" t="s">
        <v>4251</v>
      </c>
      <c r="G941" s="1" t="s">
        <v>4252</v>
      </c>
      <c r="H941" s="2"/>
      <c r="I941" s="5">
        <f>XLOOKUP(K941, pharmaceutical_index!B:B, pharmaceutical_index!A:A, "Not Found")</f>
      </c>
      <c r="J941" s="1" t="s">
        <v>2018</v>
      </c>
      <c r="K941" s="1" t="s">
        <v>2018</v>
      </c>
      <c r="L941" s="1" t="s">
        <v>20</v>
      </c>
      <c r="M941" s="1" t="s">
        <v>2018</v>
      </c>
      <c r="N941" s="2"/>
      <c r="O941" s="2"/>
      <c r="P941" s="2"/>
      <c r="Q941" s="2"/>
    </row>
    <row x14ac:dyDescent="0.25" r="942" customHeight="1" ht="17.25">
      <c r="A942" s="1" t="s">
        <v>4691</v>
      </c>
      <c r="B942" s="1" t="s">
        <v>2020</v>
      </c>
      <c r="C942" s="1" t="s">
        <v>3576</v>
      </c>
      <c r="D942" s="1" t="s">
        <v>20</v>
      </c>
      <c r="E942" s="1" t="s">
        <v>4250</v>
      </c>
      <c r="F942" s="1" t="s">
        <v>4251</v>
      </c>
      <c r="G942" s="1" t="s">
        <v>4252</v>
      </c>
      <c r="H942" s="2"/>
      <c r="I942" s="5">
        <f>XLOOKUP(K942, pharmaceutical_index!B:B, pharmaceutical_index!A:A, "Not Found")</f>
      </c>
      <c r="J942" s="1" t="s">
        <v>2020</v>
      </c>
      <c r="K942" s="1" t="s">
        <v>2020</v>
      </c>
      <c r="L942" s="1" t="s">
        <v>20</v>
      </c>
      <c r="M942" s="1" t="s">
        <v>2020</v>
      </c>
      <c r="N942" s="2"/>
      <c r="O942" s="2"/>
      <c r="P942" s="2"/>
      <c r="Q942" s="2"/>
    </row>
    <row x14ac:dyDescent="0.25" r="943" customHeight="1" ht="17.25">
      <c r="A943" s="1" t="s">
        <v>4692</v>
      </c>
      <c r="B943" s="1" t="s">
        <v>2022</v>
      </c>
      <c r="C943" s="1" t="s">
        <v>3576</v>
      </c>
      <c r="D943" s="1" t="s">
        <v>20</v>
      </c>
      <c r="E943" s="1" t="s">
        <v>4250</v>
      </c>
      <c r="F943" s="1" t="s">
        <v>4251</v>
      </c>
      <c r="G943" s="1" t="s">
        <v>4252</v>
      </c>
      <c r="H943" s="2"/>
      <c r="I943" s="5">
        <f>XLOOKUP(K943, pharmaceutical_index!B:B, pharmaceutical_index!A:A, "Not Found")</f>
      </c>
      <c r="J943" s="1" t="s">
        <v>2022</v>
      </c>
      <c r="K943" s="1" t="s">
        <v>2022</v>
      </c>
      <c r="L943" s="1" t="s">
        <v>20</v>
      </c>
      <c r="M943" s="1" t="s">
        <v>2022</v>
      </c>
      <c r="N943" s="2"/>
      <c r="O943" s="2"/>
      <c r="P943" s="2"/>
      <c r="Q943" s="2"/>
    </row>
    <row x14ac:dyDescent="0.25" r="944" customHeight="1" ht="17.25">
      <c r="A944" s="1" t="s">
        <v>4693</v>
      </c>
      <c r="B944" s="1" t="s">
        <v>2024</v>
      </c>
      <c r="C944" s="1" t="s">
        <v>3576</v>
      </c>
      <c r="D944" s="1" t="s">
        <v>20</v>
      </c>
      <c r="E944" s="1" t="s">
        <v>4250</v>
      </c>
      <c r="F944" s="1" t="s">
        <v>4251</v>
      </c>
      <c r="G944" s="1" t="s">
        <v>4252</v>
      </c>
      <c r="H944" s="2"/>
      <c r="I944" s="5">
        <f>XLOOKUP(K944, pharmaceutical_index!B:B, pharmaceutical_index!A:A, "Not Found")</f>
      </c>
      <c r="J944" s="1" t="s">
        <v>2024</v>
      </c>
      <c r="K944" s="1" t="s">
        <v>2024</v>
      </c>
      <c r="L944" s="1" t="s">
        <v>20</v>
      </c>
      <c r="M944" s="1" t="s">
        <v>2024</v>
      </c>
      <c r="N944" s="2"/>
      <c r="O944" s="2"/>
      <c r="P944" s="2"/>
      <c r="Q944" s="2"/>
    </row>
    <row x14ac:dyDescent="0.25" r="945" customHeight="1" ht="17.25">
      <c r="A945" s="1" t="s">
        <v>4694</v>
      </c>
      <c r="B945" s="1" t="s">
        <v>2026</v>
      </c>
      <c r="C945" s="1" t="s">
        <v>3576</v>
      </c>
      <c r="D945" s="1" t="s">
        <v>20</v>
      </c>
      <c r="E945" s="1" t="s">
        <v>4250</v>
      </c>
      <c r="F945" s="1" t="s">
        <v>4251</v>
      </c>
      <c r="G945" s="1" t="s">
        <v>4252</v>
      </c>
      <c r="H945" s="2"/>
      <c r="I945" s="5">
        <f>XLOOKUP(K945, pharmaceutical_index!B:B, pharmaceutical_index!A:A, "Not Found")</f>
      </c>
      <c r="J945" s="1" t="s">
        <v>2026</v>
      </c>
      <c r="K945" s="1" t="s">
        <v>2026</v>
      </c>
      <c r="L945" s="1" t="s">
        <v>20</v>
      </c>
      <c r="M945" s="1" t="s">
        <v>2026</v>
      </c>
      <c r="N945" s="2"/>
      <c r="O945" s="2"/>
      <c r="P945" s="2"/>
      <c r="Q945" s="2"/>
    </row>
    <row x14ac:dyDescent="0.25" r="946" customHeight="1" ht="17.25">
      <c r="A946" s="1" t="s">
        <v>4695</v>
      </c>
      <c r="B946" s="1" t="s">
        <v>2028</v>
      </c>
      <c r="C946" s="1" t="s">
        <v>3576</v>
      </c>
      <c r="D946" s="1" t="s">
        <v>20</v>
      </c>
      <c r="E946" s="1" t="s">
        <v>4250</v>
      </c>
      <c r="F946" s="1" t="s">
        <v>4251</v>
      </c>
      <c r="G946" s="1" t="s">
        <v>4252</v>
      </c>
      <c r="H946" s="2"/>
      <c r="I946" s="5">
        <f>XLOOKUP(K946, pharmaceutical_index!B:B, pharmaceutical_index!A:A, "Not Found")</f>
      </c>
      <c r="J946" s="1" t="s">
        <v>2028</v>
      </c>
      <c r="K946" s="1" t="s">
        <v>2028</v>
      </c>
      <c r="L946" s="1" t="s">
        <v>20</v>
      </c>
      <c r="M946" s="1" t="s">
        <v>2028</v>
      </c>
      <c r="N946" s="2"/>
      <c r="O946" s="2"/>
      <c r="P946" s="2"/>
      <c r="Q946" s="2"/>
    </row>
    <row x14ac:dyDescent="0.25" r="947" customHeight="1" ht="17.25">
      <c r="A947" s="1" t="s">
        <v>4696</v>
      </c>
      <c r="B947" s="1" t="s">
        <v>2030</v>
      </c>
      <c r="C947" s="1" t="s">
        <v>3576</v>
      </c>
      <c r="D947" s="1" t="s">
        <v>20</v>
      </c>
      <c r="E947" s="1" t="s">
        <v>4250</v>
      </c>
      <c r="F947" s="1" t="s">
        <v>4251</v>
      </c>
      <c r="G947" s="1" t="s">
        <v>4252</v>
      </c>
      <c r="H947" s="2"/>
      <c r="I947" s="5">
        <f>XLOOKUP(K947, pharmaceutical_index!B:B, pharmaceutical_index!A:A, "Not Found")</f>
      </c>
      <c r="J947" s="1" t="s">
        <v>2030</v>
      </c>
      <c r="K947" s="1" t="s">
        <v>2030</v>
      </c>
      <c r="L947" s="1" t="s">
        <v>20</v>
      </c>
      <c r="M947" s="1" t="s">
        <v>2030</v>
      </c>
      <c r="N947" s="2"/>
      <c r="O947" s="2"/>
      <c r="P947" s="2"/>
      <c r="Q947" s="2"/>
    </row>
    <row x14ac:dyDescent="0.25" r="948" customHeight="1" ht="17.25">
      <c r="A948" s="1" t="s">
        <v>4697</v>
      </c>
      <c r="B948" s="1" t="s">
        <v>2032</v>
      </c>
      <c r="C948" s="1" t="s">
        <v>3576</v>
      </c>
      <c r="D948" s="1" t="s">
        <v>20</v>
      </c>
      <c r="E948" s="1" t="s">
        <v>4250</v>
      </c>
      <c r="F948" s="1" t="s">
        <v>4251</v>
      </c>
      <c r="G948" s="1" t="s">
        <v>4252</v>
      </c>
      <c r="H948" s="2"/>
      <c r="I948" s="5">
        <f>XLOOKUP(K948, pharmaceutical_index!B:B, pharmaceutical_index!A:A, "Not Found")</f>
      </c>
      <c r="J948" s="1" t="s">
        <v>2032</v>
      </c>
      <c r="K948" s="1" t="s">
        <v>2032</v>
      </c>
      <c r="L948" s="1" t="s">
        <v>20</v>
      </c>
      <c r="M948" s="1" t="s">
        <v>2032</v>
      </c>
      <c r="N948" s="2"/>
      <c r="O948" s="2"/>
      <c r="P948" s="2"/>
      <c r="Q948" s="2"/>
    </row>
    <row x14ac:dyDescent="0.25" r="949" customHeight="1" ht="17.25">
      <c r="A949" s="1" t="s">
        <v>4698</v>
      </c>
      <c r="B949" s="1" t="s">
        <v>2034</v>
      </c>
      <c r="C949" s="1" t="s">
        <v>3576</v>
      </c>
      <c r="D949" s="1" t="s">
        <v>20</v>
      </c>
      <c r="E949" s="1" t="s">
        <v>4250</v>
      </c>
      <c r="F949" s="1" t="s">
        <v>4251</v>
      </c>
      <c r="G949" s="1" t="s">
        <v>4252</v>
      </c>
      <c r="H949" s="2"/>
      <c r="I949" s="5">
        <f>XLOOKUP(K949, pharmaceutical_index!B:B, pharmaceutical_index!A:A, "Not Found")</f>
      </c>
      <c r="J949" s="1" t="s">
        <v>2034</v>
      </c>
      <c r="K949" s="1" t="s">
        <v>2034</v>
      </c>
      <c r="L949" s="1" t="s">
        <v>20</v>
      </c>
      <c r="M949" s="1" t="s">
        <v>2034</v>
      </c>
      <c r="N949" s="2"/>
      <c r="O949" s="2"/>
      <c r="P949" s="2"/>
      <c r="Q949" s="2"/>
    </row>
    <row x14ac:dyDescent="0.25" r="950" customHeight="1" ht="17.25">
      <c r="A950" s="1" t="s">
        <v>4699</v>
      </c>
      <c r="B950" s="1" t="s">
        <v>2036</v>
      </c>
      <c r="C950" s="1" t="s">
        <v>3576</v>
      </c>
      <c r="D950" s="1" t="s">
        <v>20</v>
      </c>
      <c r="E950" s="1" t="s">
        <v>4250</v>
      </c>
      <c r="F950" s="1" t="s">
        <v>4251</v>
      </c>
      <c r="G950" s="1" t="s">
        <v>4252</v>
      </c>
      <c r="H950" s="2"/>
      <c r="I950" s="5">
        <f>XLOOKUP(K950, pharmaceutical_index!B:B, pharmaceutical_index!A:A, "Not Found")</f>
      </c>
      <c r="J950" s="1" t="s">
        <v>2036</v>
      </c>
      <c r="K950" s="1" t="s">
        <v>2036</v>
      </c>
      <c r="L950" s="1" t="s">
        <v>20</v>
      </c>
      <c r="M950" s="1" t="s">
        <v>2036</v>
      </c>
      <c r="N950" s="2"/>
      <c r="O950" s="2"/>
      <c r="P950" s="2"/>
      <c r="Q950" s="2"/>
    </row>
    <row x14ac:dyDescent="0.25" r="951" customHeight="1" ht="17.25">
      <c r="A951" s="1" t="s">
        <v>4700</v>
      </c>
      <c r="B951" s="1" t="s">
        <v>2038</v>
      </c>
      <c r="C951" s="1" t="s">
        <v>3576</v>
      </c>
      <c r="D951" s="1" t="s">
        <v>20</v>
      </c>
      <c r="E951" s="1" t="s">
        <v>4250</v>
      </c>
      <c r="F951" s="1" t="s">
        <v>4251</v>
      </c>
      <c r="G951" s="1" t="s">
        <v>4252</v>
      </c>
      <c r="H951" s="2"/>
      <c r="I951" s="5">
        <f>XLOOKUP(K951, pharmaceutical_index!B:B, pharmaceutical_index!A:A, "Not Found")</f>
      </c>
      <c r="J951" s="1" t="s">
        <v>2038</v>
      </c>
      <c r="K951" s="1" t="s">
        <v>2038</v>
      </c>
      <c r="L951" s="1" t="s">
        <v>20</v>
      </c>
      <c r="M951" s="1" t="s">
        <v>2038</v>
      </c>
      <c r="N951" s="2"/>
      <c r="O951" s="2"/>
      <c r="P951" s="2"/>
      <c r="Q951" s="2"/>
    </row>
    <row x14ac:dyDescent="0.25" r="952" customHeight="1" ht="17.25">
      <c r="A952" s="1" t="s">
        <v>4701</v>
      </c>
      <c r="B952" s="1" t="s">
        <v>2040</v>
      </c>
      <c r="C952" s="1" t="s">
        <v>3576</v>
      </c>
      <c r="D952" s="1" t="s">
        <v>20</v>
      </c>
      <c r="E952" s="1" t="s">
        <v>4250</v>
      </c>
      <c r="F952" s="1" t="s">
        <v>4251</v>
      </c>
      <c r="G952" s="1" t="s">
        <v>4252</v>
      </c>
      <c r="H952" s="2"/>
      <c r="I952" s="5">
        <f>XLOOKUP(K952, pharmaceutical_index!B:B, pharmaceutical_index!A:A, "Not Found")</f>
      </c>
      <c r="J952" s="1" t="s">
        <v>2040</v>
      </c>
      <c r="K952" s="1" t="s">
        <v>2040</v>
      </c>
      <c r="L952" s="1" t="s">
        <v>20</v>
      </c>
      <c r="M952" s="1" t="s">
        <v>2040</v>
      </c>
      <c r="N952" s="2"/>
      <c r="O952" s="2"/>
      <c r="P952" s="2"/>
      <c r="Q952" s="2"/>
    </row>
    <row x14ac:dyDescent="0.25" r="953" customHeight="1" ht="17.25">
      <c r="A953" s="1" t="s">
        <v>4702</v>
      </c>
      <c r="B953" s="1" t="s">
        <v>2042</v>
      </c>
      <c r="C953" s="1" t="s">
        <v>3576</v>
      </c>
      <c r="D953" s="1" t="s">
        <v>20</v>
      </c>
      <c r="E953" s="1" t="s">
        <v>4250</v>
      </c>
      <c r="F953" s="1" t="s">
        <v>4251</v>
      </c>
      <c r="G953" s="1" t="s">
        <v>4252</v>
      </c>
      <c r="H953" s="2"/>
      <c r="I953" s="5">
        <f>XLOOKUP(K953, pharmaceutical_index!B:B, pharmaceutical_index!A:A, "Not Found")</f>
      </c>
      <c r="J953" s="1" t="s">
        <v>2042</v>
      </c>
      <c r="K953" s="1" t="s">
        <v>2042</v>
      </c>
      <c r="L953" s="1" t="s">
        <v>20</v>
      </c>
      <c r="M953" s="1" t="s">
        <v>2042</v>
      </c>
      <c r="N953" s="2"/>
      <c r="O953" s="2"/>
      <c r="P953" s="2"/>
      <c r="Q953" s="2"/>
    </row>
    <row x14ac:dyDescent="0.25" r="954" customHeight="1" ht="17.25">
      <c r="A954" s="1" t="s">
        <v>4703</v>
      </c>
      <c r="B954" s="1" t="s">
        <v>2044</v>
      </c>
      <c r="C954" s="1" t="s">
        <v>3576</v>
      </c>
      <c r="D954" s="1" t="s">
        <v>20</v>
      </c>
      <c r="E954" s="1" t="s">
        <v>4250</v>
      </c>
      <c r="F954" s="1" t="s">
        <v>4251</v>
      </c>
      <c r="G954" s="1" t="s">
        <v>4252</v>
      </c>
      <c r="H954" s="2"/>
      <c r="I954" s="5">
        <f>XLOOKUP(K954, pharmaceutical_index!B:B, pharmaceutical_index!A:A, "Not Found")</f>
      </c>
      <c r="J954" s="1" t="s">
        <v>2044</v>
      </c>
      <c r="K954" s="1" t="s">
        <v>2044</v>
      </c>
      <c r="L954" s="1" t="s">
        <v>20</v>
      </c>
      <c r="M954" s="1" t="s">
        <v>2044</v>
      </c>
      <c r="N954" s="2"/>
      <c r="O954" s="2"/>
      <c r="P954" s="2"/>
      <c r="Q954" s="2"/>
    </row>
    <row x14ac:dyDescent="0.25" r="955" customHeight="1" ht="17.25">
      <c r="A955" s="1" t="s">
        <v>4704</v>
      </c>
      <c r="B955" s="1" t="s">
        <v>2046</v>
      </c>
      <c r="C955" s="1" t="s">
        <v>3576</v>
      </c>
      <c r="D955" s="1" t="s">
        <v>20</v>
      </c>
      <c r="E955" s="1" t="s">
        <v>4250</v>
      </c>
      <c r="F955" s="1" t="s">
        <v>4251</v>
      </c>
      <c r="G955" s="1" t="s">
        <v>4252</v>
      </c>
      <c r="H955" s="2"/>
      <c r="I955" s="5">
        <f>XLOOKUP(K955, pharmaceutical_index!B:B, pharmaceutical_index!A:A, "Not Found")</f>
      </c>
      <c r="J955" s="1" t="s">
        <v>2046</v>
      </c>
      <c r="K955" s="1" t="s">
        <v>2046</v>
      </c>
      <c r="L955" s="1" t="s">
        <v>20</v>
      </c>
      <c r="M955" s="1" t="s">
        <v>2046</v>
      </c>
      <c r="N955" s="2"/>
      <c r="O955" s="2"/>
      <c r="P955" s="2"/>
      <c r="Q955" s="2"/>
    </row>
    <row x14ac:dyDescent="0.25" r="956" customHeight="1" ht="17.25">
      <c r="A956" s="1" t="s">
        <v>4705</v>
      </c>
      <c r="B956" s="1" t="s">
        <v>2048</v>
      </c>
      <c r="C956" s="1" t="s">
        <v>3576</v>
      </c>
      <c r="D956" s="1" t="s">
        <v>20</v>
      </c>
      <c r="E956" s="1" t="s">
        <v>4250</v>
      </c>
      <c r="F956" s="1" t="s">
        <v>4251</v>
      </c>
      <c r="G956" s="1" t="s">
        <v>4252</v>
      </c>
      <c r="H956" s="2"/>
      <c r="I956" s="5">
        <f>XLOOKUP(K956, pharmaceutical_index!B:B, pharmaceutical_index!A:A, "Not Found")</f>
      </c>
      <c r="J956" s="1" t="s">
        <v>2048</v>
      </c>
      <c r="K956" s="1" t="s">
        <v>2048</v>
      </c>
      <c r="L956" s="1" t="s">
        <v>20</v>
      </c>
      <c r="M956" s="1" t="s">
        <v>2048</v>
      </c>
      <c r="N956" s="2"/>
      <c r="O956" s="2"/>
      <c r="P956" s="2"/>
      <c r="Q956" s="2"/>
    </row>
    <row x14ac:dyDescent="0.25" r="957" customHeight="1" ht="17.25">
      <c r="A957" s="1" t="s">
        <v>4706</v>
      </c>
      <c r="B957" s="1" t="s">
        <v>2050</v>
      </c>
      <c r="C957" s="1" t="s">
        <v>3576</v>
      </c>
      <c r="D957" s="1" t="s">
        <v>20</v>
      </c>
      <c r="E957" s="1" t="s">
        <v>4250</v>
      </c>
      <c r="F957" s="1" t="s">
        <v>4251</v>
      </c>
      <c r="G957" s="1" t="s">
        <v>4252</v>
      </c>
      <c r="H957" s="2"/>
      <c r="I957" s="5">
        <f>XLOOKUP(K957, pharmaceutical_index!B:B, pharmaceutical_index!A:A, "Not Found")</f>
      </c>
      <c r="J957" s="1" t="s">
        <v>2050</v>
      </c>
      <c r="K957" s="1" t="s">
        <v>2050</v>
      </c>
      <c r="L957" s="1" t="s">
        <v>20</v>
      </c>
      <c r="M957" s="1" t="s">
        <v>2050</v>
      </c>
      <c r="N957" s="2"/>
      <c r="O957" s="2"/>
      <c r="P957" s="2"/>
      <c r="Q957" s="2"/>
    </row>
    <row x14ac:dyDescent="0.25" r="958" customHeight="1" ht="17.25">
      <c r="A958" s="1" t="s">
        <v>4707</v>
      </c>
      <c r="B958" s="1" t="s">
        <v>2052</v>
      </c>
      <c r="C958" s="1" t="s">
        <v>3576</v>
      </c>
      <c r="D958" s="1" t="s">
        <v>20</v>
      </c>
      <c r="E958" s="1" t="s">
        <v>4250</v>
      </c>
      <c r="F958" s="1" t="s">
        <v>4251</v>
      </c>
      <c r="G958" s="1" t="s">
        <v>4252</v>
      </c>
      <c r="H958" s="2"/>
      <c r="I958" s="5">
        <f>XLOOKUP(K958, pharmaceutical_index!B:B, pharmaceutical_index!A:A, "Not Found")</f>
      </c>
      <c r="J958" s="1" t="s">
        <v>2052</v>
      </c>
      <c r="K958" s="1" t="s">
        <v>2052</v>
      </c>
      <c r="L958" s="1" t="s">
        <v>20</v>
      </c>
      <c r="M958" s="1" t="s">
        <v>2052</v>
      </c>
      <c r="N958" s="2"/>
      <c r="O958" s="2"/>
      <c r="P958" s="2"/>
      <c r="Q958" s="2"/>
    </row>
    <row x14ac:dyDescent="0.25" r="959" customHeight="1" ht="17.25">
      <c r="A959" s="1" t="s">
        <v>4708</v>
      </c>
      <c r="B959" s="1" t="s">
        <v>2054</v>
      </c>
      <c r="C959" s="1" t="s">
        <v>3576</v>
      </c>
      <c r="D959" s="1" t="s">
        <v>20</v>
      </c>
      <c r="E959" s="1" t="s">
        <v>4250</v>
      </c>
      <c r="F959" s="1" t="s">
        <v>4251</v>
      </c>
      <c r="G959" s="1" t="s">
        <v>4252</v>
      </c>
      <c r="H959" s="2"/>
      <c r="I959" s="5">
        <f>XLOOKUP(K959, pharmaceutical_index!B:B, pharmaceutical_index!A:A, "Not Found")</f>
      </c>
      <c r="J959" s="1" t="s">
        <v>2054</v>
      </c>
      <c r="K959" s="1" t="s">
        <v>2054</v>
      </c>
      <c r="L959" s="1" t="s">
        <v>20</v>
      </c>
      <c r="M959" s="1" t="s">
        <v>2054</v>
      </c>
      <c r="N959" s="2"/>
      <c r="O959" s="2"/>
      <c r="P959" s="2"/>
      <c r="Q959" s="2"/>
    </row>
    <row x14ac:dyDescent="0.25" r="960" customHeight="1" ht="17.25">
      <c r="A960" s="1" t="s">
        <v>4709</v>
      </c>
      <c r="B960" s="1" t="s">
        <v>2056</v>
      </c>
      <c r="C960" s="1" t="s">
        <v>3576</v>
      </c>
      <c r="D960" s="1" t="s">
        <v>20</v>
      </c>
      <c r="E960" s="1" t="s">
        <v>4250</v>
      </c>
      <c r="F960" s="1" t="s">
        <v>4251</v>
      </c>
      <c r="G960" s="1" t="s">
        <v>4252</v>
      </c>
      <c r="H960" s="2"/>
      <c r="I960" s="5">
        <f>XLOOKUP(K960, pharmaceutical_index!B:B, pharmaceutical_index!A:A, "Not Found")</f>
      </c>
      <c r="J960" s="1" t="s">
        <v>2056</v>
      </c>
      <c r="K960" s="1" t="s">
        <v>2056</v>
      </c>
      <c r="L960" s="1" t="s">
        <v>20</v>
      </c>
      <c r="M960" s="1" t="s">
        <v>2056</v>
      </c>
      <c r="N960" s="2"/>
      <c r="O960" s="2"/>
      <c r="P960" s="2"/>
      <c r="Q960" s="2"/>
    </row>
    <row x14ac:dyDescent="0.25" r="961" customHeight="1" ht="17.25">
      <c r="A961" s="1" t="s">
        <v>4710</v>
      </c>
      <c r="B961" s="1" t="s">
        <v>2058</v>
      </c>
      <c r="C961" s="1" t="s">
        <v>3576</v>
      </c>
      <c r="D961" s="1" t="s">
        <v>20</v>
      </c>
      <c r="E961" s="1" t="s">
        <v>4250</v>
      </c>
      <c r="F961" s="1" t="s">
        <v>4251</v>
      </c>
      <c r="G961" s="1" t="s">
        <v>4252</v>
      </c>
      <c r="H961" s="2"/>
      <c r="I961" s="5">
        <f>XLOOKUP(K961, pharmaceutical_index!B:B, pharmaceutical_index!A:A, "Not Found")</f>
      </c>
      <c r="J961" s="1" t="s">
        <v>2058</v>
      </c>
      <c r="K961" s="1" t="s">
        <v>2058</v>
      </c>
      <c r="L961" s="1" t="s">
        <v>20</v>
      </c>
      <c r="M961" s="1" t="s">
        <v>2058</v>
      </c>
      <c r="N961" s="2"/>
      <c r="O961" s="2"/>
      <c r="P961" s="2"/>
      <c r="Q961" s="2"/>
    </row>
    <row x14ac:dyDescent="0.25" r="962" customHeight="1" ht="17.25">
      <c r="A962" s="1" t="s">
        <v>4711</v>
      </c>
      <c r="B962" s="1" t="s">
        <v>2060</v>
      </c>
      <c r="C962" s="1" t="s">
        <v>3576</v>
      </c>
      <c r="D962" s="1" t="s">
        <v>20</v>
      </c>
      <c r="E962" s="1" t="s">
        <v>4250</v>
      </c>
      <c r="F962" s="1" t="s">
        <v>4251</v>
      </c>
      <c r="G962" s="1" t="s">
        <v>4252</v>
      </c>
      <c r="H962" s="2"/>
      <c r="I962" s="5">
        <f>XLOOKUP(K962, pharmaceutical_index!B:B, pharmaceutical_index!A:A, "Not Found")</f>
      </c>
      <c r="J962" s="1" t="s">
        <v>2060</v>
      </c>
      <c r="K962" s="1" t="s">
        <v>2060</v>
      </c>
      <c r="L962" s="1" t="s">
        <v>20</v>
      </c>
      <c r="M962" s="1" t="s">
        <v>2060</v>
      </c>
      <c r="N962" s="2"/>
      <c r="O962" s="2"/>
      <c r="P962" s="2"/>
      <c r="Q962" s="2"/>
    </row>
    <row x14ac:dyDescent="0.25" r="963" customHeight="1" ht="17.25">
      <c r="A963" s="1" t="s">
        <v>4712</v>
      </c>
      <c r="B963" s="1" t="s">
        <v>2062</v>
      </c>
      <c r="C963" s="1" t="s">
        <v>3576</v>
      </c>
      <c r="D963" s="1" t="s">
        <v>20</v>
      </c>
      <c r="E963" s="1" t="s">
        <v>4250</v>
      </c>
      <c r="F963" s="1" t="s">
        <v>4251</v>
      </c>
      <c r="G963" s="1" t="s">
        <v>4252</v>
      </c>
      <c r="H963" s="2"/>
      <c r="I963" s="5">
        <f>XLOOKUP(K963, pharmaceutical_index!B:B, pharmaceutical_index!A:A, "Not Found")</f>
      </c>
      <c r="J963" s="1" t="s">
        <v>2062</v>
      </c>
      <c r="K963" s="1" t="s">
        <v>2062</v>
      </c>
      <c r="L963" s="1" t="s">
        <v>20</v>
      </c>
      <c r="M963" s="1" t="s">
        <v>2062</v>
      </c>
      <c r="N963" s="2"/>
      <c r="O963" s="2"/>
      <c r="P963" s="2"/>
      <c r="Q963" s="2"/>
    </row>
    <row x14ac:dyDescent="0.25" r="964" customHeight="1" ht="17.25">
      <c r="A964" s="1" t="s">
        <v>4713</v>
      </c>
      <c r="B964" s="1" t="s">
        <v>2064</v>
      </c>
      <c r="C964" s="1" t="s">
        <v>3576</v>
      </c>
      <c r="D964" s="1" t="s">
        <v>20</v>
      </c>
      <c r="E964" s="1" t="s">
        <v>4250</v>
      </c>
      <c r="F964" s="1" t="s">
        <v>4251</v>
      </c>
      <c r="G964" s="1" t="s">
        <v>4252</v>
      </c>
      <c r="H964" s="2"/>
      <c r="I964" s="5">
        <f>XLOOKUP(K964, pharmaceutical_index!B:B, pharmaceutical_index!A:A, "Not Found")</f>
      </c>
      <c r="J964" s="1" t="s">
        <v>2064</v>
      </c>
      <c r="K964" s="1" t="s">
        <v>2064</v>
      </c>
      <c r="L964" s="1" t="s">
        <v>20</v>
      </c>
      <c r="M964" s="1" t="s">
        <v>2064</v>
      </c>
      <c r="N964" s="2"/>
      <c r="O964" s="2"/>
      <c r="P964" s="2"/>
      <c r="Q964" s="2"/>
    </row>
    <row x14ac:dyDescent="0.25" r="965" customHeight="1" ht="17.25">
      <c r="A965" s="1" t="s">
        <v>4714</v>
      </c>
      <c r="B965" s="1" t="s">
        <v>2066</v>
      </c>
      <c r="C965" s="1" t="s">
        <v>3576</v>
      </c>
      <c r="D965" s="1" t="s">
        <v>20</v>
      </c>
      <c r="E965" s="1" t="s">
        <v>4250</v>
      </c>
      <c r="F965" s="1" t="s">
        <v>4251</v>
      </c>
      <c r="G965" s="1" t="s">
        <v>4252</v>
      </c>
      <c r="H965" s="2"/>
      <c r="I965" s="5">
        <f>XLOOKUP(K965, pharmaceutical_index!B:B, pharmaceutical_index!A:A, "Not Found")</f>
      </c>
      <c r="J965" s="1" t="s">
        <v>2066</v>
      </c>
      <c r="K965" s="1" t="s">
        <v>2066</v>
      </c>
      <c r="L965" s="1" t="s">
        <v>20</v>
      </c>
      <c r="M965" s="1" t="s">
        <v>2066</v>
      </c>
      <c r="N965" s="2"/>
      <c r="O965" s="2"/>
      <c r="P965" s="2"/>
      <c r="Q965" s="2"/>
    </row>
    <row x14ac:dyDescent="0.25" r="966" customHeight="1" ht="17.25">
      <c r="A966" s="1" t="s">
        <v>4715</v>
      </c>
      <c r="B966" s="1" t="s">
        <v>2068</v>
      </c>
      <c r="C966" s="1" t="s">
        <v>3576</v>
      </c>
      <c r="D966" s="1" t="s">
        <v>20</v>
      </c>
      <c r="E966" s="1" t="s">
        <v>4250</v>
      </c>
      <c r="F966" s="1" t="s">
        <v>4251</v>
      </c>
      <c r="G966" s="1" t="s">
        <v>4252</v>
      </c>
      <c r="H966" s="2"/>
      <c r="I966" s="5">
        <f>XLOOKUP(K966, pharmaceutical_index!B:B, pharmaceutical_index!A:A, "Not Found")</f>
      </c>
      <c r="J966" s="1" t="s">
        <v>2068</v>
      </c>
      <c r="K966" s="1" t="s">
        <v>2068</v>
      </c>
      <c r="L966" s="1" t="s">
        <v>20</v>
      </c>
      <c r="M966" s="1" t="s">
        <v>2068</v>
      </c>
      <c r="N966" s="2"/>
      <c r="O966" s="2"/>
      <c r="P966" s="2"/>
      <c r="Q966" s="2"/>
    </row>
    <row x14ac:dyDescent="0.25" r="967" customHeight="1" ht="17.25">
      <c r="A967" s="1" t="s">
        <v>4716</v>
      </c>
      <c r="B967" s="1" t="s">
        <v>2070</v>
      </c>
      <c r="C967" s="1" t="s">
        <v>3576</v>
      </c>
      <c r="D967" s="1" t="s">
        <v>20</v>
      </c>
      <c r="E967" s="1" t="s">
        <v>4250</v>
      </c>
      <c r="F967" s="1" t="s">
        <v>4251</v>
      </c>
      <c r="G967" s="1" t="s">
        <v>4252</v>
      </c>
      <c r="H967" s="2"/>
      <c r="I967" s="5">
        <f>XLOOKUP(K967, pharmaceutical_index!B:B, pharmaceutical_index!A:A, "Not Found")</f>
      </c>
      <c r="J967" s="1" t="s">
        <v>2070</v>
      </c>
      <c r="K967" s="1" t="s">
        <v>2070</v>
      </c>
      <c r="L967" s="1" t="s">
        <v>20</v>
      </c>
      <c r="M967" s="1" t="s">
        <v>2070</v>
      </c>
      <c r="N967" s="2"/>
      <c r="O967" s="2"/>
      <c r="P967" s="2"/>
      <c r="Q967" s="2"/>
    </row>
    <row x14ac:dyDescent="0.25" r="968" customHeight="1" ht="17.25">
      <c r="A968" s="1" t="s">
        <v>4717</v>
      </c>
      <c r="B968" s="1" t="s">
        <v>2072</v>
      </c>
      <c r="C968" s="1" t="s">
        <v>3576</v>
      </c>
      <c r="D968" s="1" t="s">
        <v>20</v>
      </c>
      <c r="E968" s="1" t="s">
        <v>4250</v>
      </c>
      <c r="F968" s="1" t="s">
        <v>4251</v>
      </c>
      <c r="G968" s="1" t="s">
        <v>4252</v>
      </c>
      <c r="H968" s="2"/>
      <c r="I968" s="5">
        <f>XLOOKUP(K968, pharmaceutical_index!B:B, pharmaceutical_index!A:A, "Not Found")</f>
      </c>
      <c r="J968" s="1" t="s">
        <v>2072</v>
      </c>
      <c r="K968" s="1" t="s">
        <v>2072</v>
      </c>
      <c r="L968" s="1" t="s">
        <v>20</v>
      </c>
      <c r="M968" s="1" t="s">
        <v>2072</v>
      </c>
      <c r="N968" s="2"/>
      <c r="O968" s="2"/>
      <c r="P968" s="2"/>
      <c r="Q968" s="2"/>
    </row>
    <row x14ac:dyDescent="0.25" r="969" customHeight="1" ht="17.25">
      <c r="A969" s="1" t="s">
        <v>4718</v>
      </c>
      <c r="B969" s="1" t="s">
        <v>2074</v>
      </c>
      <c r="C969" s="1" t="s">
        <v>3576</v>
      </c>
      <c r="D969" s="1" t="s">
        <v>20</v>
      </c>
      <c r="E969" s="1" t="s">
        <v>4250</v>
      </c>
      <c r="F969" s="1" t="s">
        <v>4251</v>
      </c>
      <c r="G969" s="1" t="s">
        <v>4252</v>
      </c>
      <c r="H969" s="2"/>
      <c r="I969" s="5">
        <f>XLOOKUP(K969, pharmaceutical_index!B:B, pharmaceutical_index!A:A, "Not Found")</f>
      </c>
      <c r="J969" s="1" t="s">
        <v>2074</v>
      </c>
      <c r="K969" s="1" t="s">
        <v>2074</v>
      </c>
      <c r="L969" s="1" t="s">
        <v>20</v>
      </c>
      <c r="M969" s="1" t="s">
        <v>2074</v>
      </c>
      <c r="N969" s="2"/>
      <c r="O969" s="2"/>
      <c r="P969" s="2"/>
      <c r="Q969" s="2"/>
    </row>
    <row x14ac:dyDescent="0.25" r="970" customHeight="1" ht="17.25">
      <c r="A970" s="1" t="s">
        <v>4719</v>
      </c>
      <c r="B970" s="1" t="s">
        <v>2076</v>
      </c>
      <c r="C970" s="1" t="s">
        <v>3576</v>
      </c>
      <c r="D970" s="1" t="s">
        <v>20</v>
      </c>
      <c r="E970" s="1" t="s">
        <v>4250</v>
      </c>
      <c r="F970" s="1" t="s">
        <v>4251</v>
      </c>
      <c r="G970" s="1" t="s">
        <v>4252</v>
      </c>
      <c r="H970" s="2"/>
      <c r="I970" s="5">
        <f>XLOOKUP(K970, pharmaceutical_index!B:B, pharmaceutical_index!A:A, "Not Found")</f>
      </c>
      <c r="J970" s="1" t="s">
        <v>2076</v>
      </c>
      <c r="K970" s="1" t="s">
        <v>2076</v>
      </c>
      <c r="L970" s="1" t="s">
        <v>20</v>
      </c>
      <c r="M970" s="1" t="s">
        <v>2076</v>
      </c>
      <c r="N970" s="2"/>
      <c r="O970" s="2"/>
      <c r="P970" s="2"/>
      <c r="Q970" s="2"/>
    </row>
    <row x14ac:dyDescent="0.25" r="971" customHeight="1" ht="17.25">
      <c r="A971" s="1" t="s">
        <v>4720</v>
      </c>
      <c r="B971" s="1" t="s">
        <v>2078</v>
      </c>
      <c r="C971" s="1" t="s">
        <v>3576</v>
      </c>
      <c r="D971" s="1" t="s">
        <v>20</v>
      </c>
      <c r="E971" s="1" t="s">
        <v>4250</v>
      </c>
      <c r="F971" s="1" t="s">
        <v>4251</v>
      </c>
      <c r="G971" s="1" t="s">
        <v>4252</v>
      </c>
      <c r="H971" s="2"/>
      <c r="I971" s="5">
        <f>XLOOKUP(K971, pharmaceutical_index!B:B, pharmaceutical_index!A:A, "Not Found")</f>
      </c>
      <c r="J971" s="1" t="s">
        <v>2078</v>
      </c>
      <c r="K971" s="1" t="s">
        <v>2078</v>
      </c>
      <c r="L971" s="1" t="s">
        <v>20</v>
      </c>
      <c r="M971" s="1" t="s">
        <v>2078</v>
      </c>
      <c r="N971" s="2"/>
      <c r="O971" s="2"/>
      <c r="P971" s="2"/>
      <c r="Q971" s="2"/>
    </row>
    <row x14ac:dyDescent="0.25" r="972" customHeight="1" ht="17.25">
      <c r="A972" s="1" t="s">
        <v>4721</v>
      </c>
      <c r="B972" s="1" t="s">
        <v>2080</v>
      </c>
      <c r="C972" s="1" t="s">
        <v>3576</v>
      </c>
      <c r="D972" s="1" t="s">
        <v>20</v>
      </c>
      <c r="E972" s="1" t="s">
        <v>4250</v>
      </c>
      <c r="F972" s="1" t="s">
        <v>4251</v>
      </c>
      <c r="G972" s="1" t="s">
        <v>4252</v>
      </c>
      <c r="H972" s="2"/>
      <c r="I972" s="5">
        <f>XLOOKUP(K972, pharmaceutical_index!B:B, pharmaceutical_index!A:A, "Not Found")</f>
      </c>
      <c r="J972" s="1" t="s">
        <v>2080</v>
      </c>
      <c r="K972" s="1" t="s">
        <v>2080</v>
      </c>
      <c r="L972" s="1" t="s">
        <v>20</v>
      </c>
      <c r="M972" s="1" t="s">
        <v>2080</v>
      </c>
      <c r="N972" s="2"/>
      <c r="O972" s="2"/>
      <c r="P972" s="2"/>
      <c r="Q972" s="2"/>
    </row>
    <row x14ac:dyDescent="0.25" r="973" customHeight="1" ht="17.25">
      <c r="A973" s="1" t="s">
        <v>4722</v>
      </c>
      <c r="B973" s="1" t="s">
        <v>2082</v>
      </c>
      <c r="C973" s="1" t="s">
        <v>3576</v>
      </c>
      <c r="D973" s="1" t="s">
        <v>20</v>
      </c>
      <c r="E973" s="1" t="s">
        <v>4250</v>
      </c>
      <c r="F973" s="1" t="s">
        <v>4251</v>
      </c>
      <c r="G973" s="1" t="s">
        <v>4252</v>
      </c>
      <c r="H973" s="2"/>
      <c r="I973" s="5">
        <f>XLOOKUP(K973, pharmaceutical_index!B:B, pharmaceutical_index!A:A, "Not Found")</f>
      </c>
      <c r="J973" s="1" t="s">
        <v>2082</v>
      </c>
      <c r="K973" s="1" t="s">
        <v>2082</v>
      </c>
      <c r="L973" s="1" t="s">
        <v>20</v>
      </c>
      <c r="M973" s="1" t="s">
        <v>2082</v>
      </c>
      <c r="N973" s="2"/>
      <c r="O973" s="2"/>
      <c r="P973" s="2"/>
      <c r="Q973" s="2"/>
    </row>
    <row x14ac:dyDescent="0.25" r="974" customHeight="1" ht="17.25">
      <c r="A974" s="1" t="s">
        <v>4723</v>
      </c>
      <c r="B974" s="1" t="s">
        <v>2084</v>
      </c>
      <c r="C974" s="1" t="s">
        <v>3576</v>
      </c>
      <c r="D974" s="1" t="s">
        <v>20</v>
      </c>
      <c r="E974" s="1" t="s">
        <v>4250</v>
      </c>
      <c r="F974" s="1" t="s">
        <v>4251</v>
      </c>
      <c r="G974" s="1" t="s">
        <v>4252</v>
      </c>
      <c r="H974" s="2"/>
      <c r="I974" s="5">
        <f>XLOOKUP(K974, pharmaceutical_index!B:B, pharmaceutical_index!A:A, "Not Found")</f>
      </c>
      <c r="J974" s="1" t="s">
        <v>2084</v>
      </c>
      <c r="K974" s="1" t="s">
        <v>2084</v>
      </c>
      <c r="L974" s="1" t="s">
        <v>20</v>
      </c>
      <c r="M974" s="1" t="s">
        <v>2084</v>
      </c>
      <c r="N974" s="2"/>
      <c r="O974" s="2"/>
      <c r="P974" s="2"/>
      <c r="Q974" s="2"/>
    </row>
    <row x14ac:dyDescent="0.25" r="975" customHeight="1" ht="17.25">
      <c r="A975" s="1" t="s">
        <v>4724</v>
      </c>
      <c r="B975" s="1" t="s">
        <v>2086</v>
      </c>
      <c r="C975" s="1" t="s">
        <v>3576</v>
      </c>
      <c r="D975" s="1" t="s">
        <v>20</v>
      </c>
      <c r="E975" s="1" t="s">
        <v>4250</v>
      </c>
      <c r="F975" s="1" t="s">
        <v>4251</v>
      </c>
      <c r="G975" s="1" t="s">
        <v>4252</v>
      </c>
      <c r="H975" s="2"/>
      <c r="I975" s="5">
        <f>XLOOKUP(K975, pharmaceutical_index!B:B, pharmaceutical_index!A:A, "Not Found")</f>
      </c>
      <c r="J975" s="1" t="s">
        <v>2086</v>
      </c>
      <c r="K975" s="1" t="s">
        <v>2086</v>
      </c>
      <c r="L975" s="1" t="s">
        <v>20</v>
      </c>
      <c r="M975" s="1" t="s">
        <v>2086</v>
      </c>
      <c r="N975" s="2"/>
      <c r="O975" s="2"/>
      <c r="P975" s="2"/>
      <c r="Q975" s="2"/>
    </row>
    <row x14ac:dyDescent="0.25" r="976" customHeight="1" ht="17.25">
      <c r="A976" s="1" t="s">
        <v>4725</v>
      </c>
      <c r="B976" s="1" t="s">
        <v>2088</v>
      </c>
      <c r="C976" s="1" t="s">
        <v>3576</v>
      </c>
      <c r="D976" s="1" t="s">
        <v>20</v>
      </c>
      <c r="E976" s="1" t="s">
        <v>4250</v>
      </c>
      <c r="F976" s="1" t="s">
        <v>4251</v>
      </c>
      <c r="G976" s="1" t="s">
        <v>4252</v>
      </c>
      <c r="H976" s="2"/>
      <c r="I976" s="5">
        <f>XLOOKUP(K976, pharmaceutical_index!B:B, pharmaceutical_index!A:A, "Not Found")</f>
      </c>
      <c r="J976" s="1" t="s">
        <v>2088</v>
      </c>
      <c r="K976" s="1" t="s">
        <v>2088</v>
      </c>
      <c r="L976" s="1" t="s">
        <v>20</v>
      </c>
      <c r="M976" s="1" t="s">
        <v>2088</v>
      </c>
      <c r="N976" s="2"/>
      <c r="O976" s="2"/>
      <c r="P976" s="2"/>
      <c r="Q976" s="2"/>
    </row>
    <row x14ac:dyDescent="0.25" r="977" customHeight="1" ht="17.25">
      <c r="A977" s="1" t="s">
        <v>4726</v>
      </c>
      <c r="B977" s="1" t="s">
        <v>2090</v>
      </c>
      <c r="C977" s="1" t="s">
        <v>3576</v>
      </c>
      <c r="D977" s="1" t="s">
        <v>20</v>
      </c>
      <c r="E977" s="1" t="s">
        <v>4250</v>
      </c>
      <c r="F977" s="1" t="s">
        <v>4251</v>
      </c>
      <c r="G977" s="1" t="s">
        <v>4252</v>
      </c>
      <c r="H977" s="2"/>
      <c r="I977" s="5">
        <f>XLOOKUP(K977, pharmaceutical_index!B:B, pharmaceutical_index!A:A, "Not Found")</f>
      </c>
      <c r="J977" s="1" t="s">
        <v>2090</v>
      </c>
      <c r="K977" s="1" t="s">
        <v>2090</v>
      </c>
      <c r="L977" s="1" t="s">
        <v>20</v>
      </c>
      <c r="M977" s="1" t="s">
        <v>2090</v>
      </c>
      <c r="N977" s="2"/>
      <c r="O977" s="2"/>
      <c r="P977" s="2"/>
      <c r="Q977" s="2"/>
    </row>
    <row x14ac:dyDescent="0.25" r="978" customHeight="1" ht="17.25">
      <c r="A978" s="1" t="s">
        <v>4727</v>
      </c>
      <c r="B978" s="1" t="s">
        <v>2092</v>
      </c>
      <c r="C978" s="1" t="s">
        <v>3576</v>
      </c>
      <c r="D978" s="1" t="s">
        <v>20</v>
      </c>
      <c r="E978" s="1" t="s">
        <v>4250</v>
      </c>
      <c r="F978" s="1" t="s">
        <v>4251</v>
      </c>
      <c r="G978" s="1" t="s">
        <v>4252</v>
      </c>
      <c r="H978" s="2"/>
      <c r="I978" s="5">
        <f>XLOOKUP(K978, pharmaceutical_index!B:B, pharmaceutical_index!A:A, "Not Found")</f>
      </c>
      <c r="J978" s="1" t="s">
        <v>2092</v>
      </c>
      <c r="K978" s="1" t="s">
        <v>2092</v>
      </c>
      <c r="L978" s="1" t="s">
        <v>20</v>
      </c>
      <c r="M978" s="1" t="s">
        <v>2092</v>
      </c>
      <c r="N978" s="2"/>
      <c r="O978" s="2"/>
      <c r="P978" s="2"/>
      <c r="Q978" s="2"/>
    </row>
    <row x14ac:dyDescent="0.25" r="979" customHeight="1" ht="17.25">
      <c r="A979" s="1" t="s">
        <v>4728</v>
      </c>
      <c r="B979" s="1" t="s">
        <v>2094</v>
      </c>
      <c r="C979" s="1" t="s">
        <v>3576</v>
      </c>
      <c r="D979" s="1" t="s">
        <v>20</v>
      </c>
      <c r="E979" s="1" t="s">
        <v>4250</v>
      </c>
      <c r="F979" s="1" t="s">
        <v>4251</v>
      </c>
      <c r="G979" s="1" t="s">
        <v>4252</v>
      </c>
      <c r="H979" s="2"/>
      <c r="I979" s="5">
        <f>XLOOKUP(K979, pharmaceutical_index!B:B, pharmaceutical_index!A:A, "Not Found")</f>
      </c>
      <c r="J979" s="1" t="s">
        <v>2094</v>
      </c>
      <c r="K979" s="1" t="s">
        <v>2094</v>
      </c>
      <c r="L979" s="1" t="s">
        <v>20</v>
      </c>
      <c r="M979" s="1" t="s">
        <v>2094</v>
      </c>
      <c r="N979" s="2"/>
      <c r="O979" s="2"/>
      <c r="P979" s="2"/>
      <c r="Q979" s="2"/>
    </row>
    <row x14ac:dyDescent="0.25" r="980" customHeight="1" ht="17.25">
      <c r="A980" s="1" t="s">
        <v>4729</v>
      </c>
      <c r="B980" s="1" t="s">
        <v>2096</v>
      </c>
      <c r="C980" s="1" t="s">
        <v>3576</v>
      </c>
      <c r="D980" s="1" t="s">
        <v>20</v>
      </c>
      <c r="E980" s="1" t="s">
        <v>4250</v>
      </c>
      <c r="F980" s="1" t="s">
        <v>4251</v>
      </c>
      <c r="G980" s="1" t="s">
        <v>4252</v>
      </c>
      <c r="H980" s="2"/>
      <c r="I980" s="5">
        <f>XLOOKUP(K980, pharmaceutical_index!B:B, pharmaceutical_index!A:A, "Not Found")</f>
      </c>
      <c r="J980" s="1" t="s">
        <v>2096</v>
      </c>
      <c r="K980" s="1" t="s">
        <v>2096</v>
      </c>
      <c r="L980" s="1" t="s">
        <v>20</v>
      </c>
      <c r="M980" s="1" t="s">
        <v>2096</v>
      </c>
      <c r="N980" s="2"/>
      <c r="O980" s="2"/>
      <c r="P980" s="2"/>
      <c r="Q980" s="2"/>
    </row>
    <row x14ac:dyDescent="0.25" r="981" customHeight="1" ht="17.25">
      <c r="A981" s="1" t="s">
        <v>4730</v>
      </c>
      <c r="B981" s="1" t="s">
        <v>2098</v>
      </c>
      <c r="C981" s="1" t="s">
        <v>3576</v>
      </c>
      <c r="D981" s="1" t="s">
        <v>20</v>
      </c>
      <c r="E981" s="1" t="s">
        <v>4250</v>
      </c>
      <c r="F981" s="1" t="s">
        <v>4251</v>
      </c>
      <c r="G981" s="1" t="s">
        <v>4252</v>
      </c>
      <c r="H981" s="2"/>
      <c r="I981" s="5">
        <f>XLOOKUP(K981, pharmaceutical_index!B:B, pharmaceutical_index!A:A, "Not Found")</f>
      </c>
      <c r="J981" s="1" t="s">
        <v>2098</v>
      </c>
      <c r="K981" s="1" t="s">
        <v>2098</v>
      </c>
      <c r="L981" s="1" t="s">
        <v>20</v>
      </c>
      <c r="M981" s="1" t="s">
        <v>2098</v>
      </c>
      <c r="N981" s="2"/>
      <c r="O981" s="2"/>
      <c r="P981" s="2"/>
      <c r="Q981" s="2"/>
    </row>
    <row x14ac:dyDescent="0.25" r="982" customHeight="1" ht="17.25">
      <c r="A982" s="1" t="s">
        <v>4731</v>
      </c>
      <c r="B982" s="1" t="s">
        <v>2100</v>
      </c>
      <c r="C982" s="1" t="s">
        <v>3576</v>
      </c>
      <c r="D982" s="1" t="s">
        <v>20</v>
      </c>
      <c r="E982" s="1" t="s">
        <v>4250</v>
      </c>
      <c r="F982" s="1" t="s">
        <v>4251</v>
      </c>
      <c r="G982" s="1" t="s">
        <v>4252</v>
      </c>
      <c r="H982" s="2"/>
      <c r="I982" s="5">
        <f>XLOOKUP(K982, pharmaceutical_index!B:B, pharmaceutical_index!A:A, "Not Found")</f>
      </c>
      <c r="J982" s="1" t="s">
        <v>2100</v>
      </c>
      <c r="K982" s="1" t="s">
        <v>2100</v>
      </c>
      <c r="L982" s="1" t="s">
        <v>20</v>
      </c>
      <c r="M982" s="1" t="s">
        <v>2100</v>
      </c>
      <c r="N982" s="2"/>
      <c r="O982" s="2"/>
      <c r="P982" s="2"/>
      <c r="Q982" s="2"/>
    </row>
    <row x14ac:dyDescent="0.25" r="983" customHeight="1" ht="17.25">
      <c r="A983" s="1" t="s">
        <v>4732</v>
      </c>
      <c r="B983" s="1" t="s">
        <v>2102</v>
      </c>
      <c r="C983" s="1" t="s">
        <v>3576</v>
      </c>
      <c r="D983" s="1" t="s">
        <v>20</v>
      </c>
      <c r="E983" s="1" t="s">
        <v>4250</v>
      </c>
      <c r="F983" s="1" t="s">
        <v>4251</v>
      </c>
      <c r="G983" s="1" t="s">
        <v>4252</v>
      </c>
      <c r="H983" s="2"/>
      <c r="I983" s="5">
        <f>XLOOKUP(K983, pharmaceutical_index!B:B, pharmaceutical_index!A:A, "Not Found")</f>
      </c>
      <c r="J983" s="1" t="s">
        <v>2102</v>
      </c>
      <c r="K983" s="1" t="s">
        <v>2102</v>
      </c>
      <c r="L983" s="1" t="s">
        <v>20</v>
      </c>
      <c r="M983" s="1" t="s">
        <v>2102</v>
      </c>
      <c r="N983" s="2"/>
      <c r="O983" s="2"/>
      <c r="P983" s="2"/>
      <c r="Q983" s="2"/>
    </row>
    <row x14ac:dyDescent="0.25" r="984" customHeight="1" ht="17.25">
      <c r="A984" s="1" t="s">
        <v>4733</v>
      </c>
      <c r="B984" s="1" t="s">
        <v>2104</v>
      </c>
      <c r="C984" s="1" t="s">
        <v>3576</v>
      </c>
      <c r="D984" s="1" t="s">
        <v>20</v>
      </c>
      <c r="E984" s="1" t="s">
        <v>4250</v>
      </c>
      <c r="F984" s="1" t="s">
        <v>4251</v>
      </c>
      <c r="G984" s="1" t="s">
        <v>4252</v>
      </c>
      <c r="H984" s="2"/>
      <c r="I984" s="5">
        <f>XLOOKUP(K984, pharmaceutical_index!B:B, pharmaceutical_index!A:A, "Not Found")</f>
      </c>
      <c r="J984" s="1" t="s">
        <v>2104</v>
      </c>
      <c r="K984" s="1" t="s">
        <v>2104</v>
      </c>
      <c r="L984" s="1" t="s">
        <v>20</v>
      </c>
      <c r="M984" s="1" t="s">
        <v>2104</v>
      </c>
      <c r="N984" s="2"/>
      <c r="O984" s="2"/>
      <c r="P984" s="2"/>
      <c r="Q984" s="2"/>
    </row>
    <row x14ac:dyDescent="0.25" r="985" customHeight="1" ht="17.25">
      <c r="A985" s="1" t="s">
        <v>4734</v>
      </c>
      <c r="B985" s="1" t="s">
        <v>2106</v>
      </c>
      <c r="C985" s="1" t="s">
        <v>3576</v>
      </c>
      <c r="D985" s="1" t="s">
        <v>20</v>
      </c>
      <c r="E985" s="1" t="s">
        <v>4250</v>
      </c>
      <c r="F985" s="1" t="s">
        <v>4251</v>
      </c>
      <c r="G985" s="1" t="s">
        <v>4252</v>
      </c>
      <c r="H985" s="2"/>
      <c r="I985" s="5">
        <f>XLOOKUP(K985, pharmaceutical_index!B:B, pharmaceutical_index!A:A, "Not Found")</f>
      </c>
      <c r="J985" s="1" t="s">
        <v>2106</v>
      </c>
      <c r="K985" s="1" t="s">
        <v>2106</v>
      </c>
      <c r="L985" s="1" t="s">
        <v>20</v>
      </c>
      <c r="M985" s="1" t="s">
        <v>2106</v>
      </c>
      <c r="N985" s="2"/>
      <c r="O985" s="2"/>
      <c r="P985" s="2"/>
      <c r="Q985" s="2"/>
    </row>
    <row x14ac:dyDescent="0.25" r="986" customHeight="1" ht="17.25">
      <c r="A986" s="1" t="s">
        <v>4735</v>
      </c>
      <c r="B986" s="1" t="s">
        <v>2108</v>
      </c>
      <c r="C986" s="1" t="s">
        <v>3576</v>
      </c>
      <c r="D986" s="1" t="s">
        <v>20</v>
      </c>
      <c r="E986" s="1" t="s">
        <v>4250</v>
      </c>
      <c r="F986" s="1" t="s">
        <v>4251</v>
      </c>
      <c r="G986" s="1" t="s">
        <v>4252</v>
      </c>
      <c r="H986" s="2"/>
      <c r="I986" s="5">
        <f>XLOOKUP(K986, pharmaceutical_index!B:B, pharmaceutical_index!A:A, "Not Found")</f>
      </c>
      <c r="J986" s="1" t="s">
        <v>2108</v>
      </c>
      <c r="K986" s="1" t="s">
        <v>2108</v>
      </c>
      <c r="L986" s="1" t="s">
        <v>20</v>
      </c>
      <c r="M986" s="1" t="s">
        <v>2108</v>
      </c>
      <c r="N986" s="2"/>
      <c r="O986" s="2"/>
      <c r="P986" s="2"/>
      <c r="Q986" s="2"/>
    </row>
    <row x14ac:dyDescent="0.25" r="987" customHeight="1" ht="17.25">
      <c r="A987" s="1" t="s">
        <v>4736</v>
      </c>
      <c r="B987" s="1" t="s">
        <v>2110</v>
      </c>
      <c r="C987" s="1" t="s">
        <v>3576</v>
      </c>
      <c r="D987" s="1" t="s">
        <v>20</v>
      </c>
      <c r="E987" s="1" t="s">
        <v>4250</v>
      </c>
      <c r="F987" s="1" t="s">
        <v>4251</v>
      </c>
      <c r="G987" s="1" t="s">
        <v>4252</v>
      </c>
      <c r="H987" s="2"/>
      <c r="I987" s="5">
        <f>XLOOKUP(K987, pharmaceutical_index!B:B, pharmaceutical_index!A:A, "Not Found")</f>
      </c>
      <c r="J987" s="1" t="s">
        <v>2110</v>
      </c>
      <c r="K987" s="1" t="s">
        <v>2110</v>
      </c>
      <c r="L987" s="1" t="s">
        <v>20</v>
      </c>
      <c r="M987" s="1" t="s">
        <v>2110</v>
      </c>
      <c r="N987" s="2"/>
      <c r="O987" s="2"/>
      <c r="P987" s="2"/>
      <c r="Q987" s="2"/>
    </row>
    <row x14ac:dyDescent="0.25" r="988" customHeight="1" ht="17.25">
      <c r="A988" s="1" t="s">
        <v>4737</v>
      </c>
      <c r="B988" s="1" t="s">
        <v>2112</v>
      </c>
      <c r="C988" s="1" t="s">
        <v>3576</v>
      </c>
      <c r="D988" s="1" t="s">
        <v>20</v>
      </c>
      <c r="E988" s="1" t="s">
        <v>4250</v>
      </c>
      <c r="F988" s="1" t="s">
        <v>4251</v>
      </c>
      <c r="G988" s="1" t="s">
        <v>4252</v>
      </c>
      <c r="H988" s="2"/>
      <c r="I988" s="5">
        <f>XLOOKUP(K988, pharmaceutical_index!B:B, pharmaceutical_index!A:A, "Not Found")</f>
      </c>
      <c r="J988" s="1" t="s">
        <v>2112</v>
      </c>
      <c r="K988" s="1" t="s">
        <v>2112</v>
      </c>
      <c r="L988" s="1" t="s">
        <v>20</v>
      </c>
      <c r="M988" s="1" t="s">
        <v>2112</v>
      </c>
      <c r="N988" s="2"/>
      <c r="O988" s="2"/>
      <c r="P988" s="2"/>
      <c r="Q988" s="2"/>
    </row>
    <row x14ac:dyDescent="0.25" r="989" customHeight="1" ht="17.25">
      <c r="A989" s="1" t="s">
        <v>4738</v>
      </c>
      <c r="B989" s="1" t="s">
        <v>2114</v>
      </c>
      <c r="C989" s="1" t="s">
        <v>3576</v>
      </c>
      <c r="D989" s="1" t="s">
        <v>20</v>
      </c>
      <c r="E989" s="1" t="s">
        <v>4250</v>
      </c>
      <c r="F989" s="1" t="s">
        <v>4251</v>
      </c>
      <c r="G989" s="1" t="s">
        <v>4252</v>
      </c>
      <c r="H989" s="2"/>
      <c r="I989" s="5">
        <f>XLOOKUP(K989, pharmaceutical_index!B:B, pharmaceutical_index!A:A, "Not Found")</f>
      </c>
      <c r="J989" s="1" t="s">
        <v>2114</v>
      </c>
      <c r="K989" s="1" t="s">
        <v>2114</v>
      </c>
      <c r="L989" s="1" t="s">
        <v>20</v>
      </c>
      <c r="M989" s="1" t="s">
        <v>2114</v>
      </c>
      <c r="N989" s="2"/>
      <c r="O989" s="2"/>
      <c r="P989" s="2"/>
      <c r="Q989" s="2"/>
    </row>
    <row x14ac:dyDescent="0.25" r="990" customHeight="1" ht="17.25">
      <c r="A990" s="1" t="s">
        <v>4739</v>
      </c>
      <c r="B990" s="1" t="s">
        <v>2116</v>
      </c>
      <c r="C990" s="1" t="s">
        <v>3576</v>
      </c>
      <c r="D990" s="1" t="s">
        <v>20</v>
      </c>
      <c r="E990" s="1" t="s">
        <v>4250</v>
      </c>
      <c r="F990" s="1" t="s">
        <v>4251</v>
      </c>
      <c r="G990" s="1" t="s">
        <v>4252</v>
      </c>
      <c r="H990" s="2"/>
      <c r="I990" s="5">
        <f>XLOOKUP(K990, pharmaceutical_index!B:B, pharmaceutical_index!A:A, "Not Found")</f>
      </c>
      <c r="J990" s="1" t="s">
        <v>2116</v>
      </c>
      <c r="K990" s="1" t="s">
        <v>2116</v>
      </c>
      <c r="L990" s="1" t="s">
        <v>20</v>
      </c>
      <c r="M990" s="1" t="s">
        <v>2116</v>
      </c>
      <c r="N990" s="2"/>
      <c r="O990" s="2"/>
      <c r="P990" s="2"/>
      <c r="Q990" s="2"/>
    </row>
    <row x14ac:dyDescent="0.25" r="991" customHeight="1" ht="17.25">
      <c r="A991" s="1" t="s">
        <v>4740</v>
      </c>
      <c r="B991" s="1" t="s">
        <v>2118</v>
      </c>
      <c r="C991" s="1" t="s">
        <v>3576</v>
      </c>
      <c r="D991" s="1" t="s">
        <v>20</v>
      </c>
      <c r="E991" s="1" t="s">
        <v>4250</v>
      </c>
      <c r="F991" s="1" t="s">
        <v>4251</v>
      </c>
      <c r="G991" s="1" t="s">
        <v>4252</v>
      </c>
      <c r="H991" s="2"/>
      <c r="I991" s="5">
        <f>XLOOKUP(K991, pharmaceutical_index!B:B, pharmaceutical_index!A:A, "Not Found")</f>
      </c>
      <c r="J991" s="1" t="s">
        <v>2118</v>
      </c>
      <c r="K991" s="1" t="s">
        <v>2118</v>
      </c>
      <c r="L991" s="1" t="s">
        <v>20</v>
      </c>
      <c r="M991" s="1" t="s">
        <v>2118</v>
      </c>
      <c r="N991" s="2"/>
      <c r="O991" s="2"/>
      <c r="P991" s="2"/>
      <c r="Q991" s="2"/>
    </row>
    <row x14ac:dyDescent="0.25" r="992" customHeight="1" ht="17.25">
      <c r="A992" s="1" t="s">
        <v>4741</v>
      </c>
      <c r="B992" s="1" t="s">
        <v>2120</v>
      </c>
      <c r="C992" s="1" t="s">
        <v>3576</v>
      </c>
      <c r="D992" s="1" t="s">
        <v>20</v>
      </c>
      <c r="E992" s="1" t="s">
        <v>4250</v>
      </c>
      <c r="F992" s="1" t="s">
        <v>4251</v>
      </c>
      <c r="G992" s="1" t="s">
        <v>4252</v>
      </c>
      <c r="H992" s="2"/>
      <c r="I992" s="5">
        <f>XLOOKUP(K992, pharmaceutical_index!B:B, pharmaceutical_index!A:A, "Not Found")</f>
      </c>
      <c r="J992" s="1" t="s">
        <v>2120</v>
      </c>
      <c r="K992" s="1" t="s">
        <v>2120</v>
      </c>
      <c r="L992" s="1" t="s">
        <v>20</v>
      </c>
      <c r="M992" s="1" t="s">
        <v>2120</v>
      </c>
      <c r="N992" s="2"/>
      <c r="O992" s="2"/>
      <c r="P992" s="2"/>
      <c r="Q992" s="2"/>
    </row>
    <row x14ac:dyDescent="0.25" r="993" customHeight="1" ht="17.25">
      <c r="A993" s="1" t="s">
        <v>4742</v>
      </c>
      <c r="B993" s="1" t="s">
        <v>2122</v>
      </c>
      <c r="C993" s="1" t="s">
        <v>3576</v>
      </c>
      <c r="D993" s="1" t="s">
        <v>20</v>
      </c>
      <c r="E993" s="1" t="s">
        <v>4250</v>
      </c>
      <c r="F993" s="1" t="s">
        <v>4251</v>
      </c>
      <c r="G993" s="1" t="s">
        <v>4252</v>
      </c>
      <c r="H993" s="2"/>
      <c r="I993" s="5">
        <f>XLOOKUP(K993, pharmaceutical_index!B:B, pharmaceutical_index!A:A, "Not Found")</f>
      </c>
      <c r="J993" s="1" t="s">
        <v>2122</v>
      </c>
      <c r="K993" s="1" t="s">
        <v>2122</v>
      </c>
      <c r="L993" s="1" t="s">
        <v>20</v>
      </c>
      <c r="M993" s="1" t="s">
        <v>2122</v>
      </c>
      <c r="N993" s="2"/>
      <c r="O993" s="2"/>
      <c r="P993" s="2"/>
      <c r="Q993" s="2"/>
    </row>
    <row x14ac:dyDescent="0.25" r="994" customHeight="1" ht="17.25">
      <c r="A994" s="1" t="s">
        <v>4743</v>
      </c>
      <c r="B994" s="1" t="s">
        <v>2124</v>
      </c>
      <c r="C994" s="1" t="s">
        <v>3576</v>
      </c>
      <c r="D994" s="1" t="s">
        <v>20</v>
      </c>
      <c r="E994" s="1" t="s">
        <v>4250</v>
      </c>
      <c r="F994" s="1" t="s">
        <v>4251</v>
      </c>
      <c r="G994" s="1" t="s">
        <v>4252</v>
      </c>
      <c r="H994" s="2"/>
      <c r="I994" s="5">
        <f>XLOOKUP(K994, pharmaceutical_index!B:B, pharmaceutical_index!A:A, "Not Found")</f>
      </c>
      <c r="J994" s="1" t="s">
        <v>2124</v>
      </c>
      <c r="K994" s="1" t="s">
        <v>2124</v>
      </c>
      <c r="L994" s="1" t="s">
        <v>20</v>
      </c>
      <c r="M994" s="1" t="s">
        <v>2124</v>
      </c>
      <c r="N994" s="2"/>
      <c r="O994" s="2"/>
      <c r="P994" s="2"/>
      <c r="Q994" s="2"/>
    </row>
    <row x14ac:dyDescent="0.25" r="995" customHeight="1" ht="17.25">
      <c r="A995" s="1" t="s">
        <v>4744</v>
      </c>
      <c r="B995" s="1" t="s">
        <v>2126</v>
      </c>
      <c r="C995" s="1" t="s">
        <v>3576</v>
      </c>
      <c r="D995" s="1" t="s">
        <v>20</v>
      </c>
      <c r="E995" s="1" t="s">
        <v>4250</v>
      </c>
      <c r="F995" s="1" t="s">
        <v>4251</v>
      </c>
      <c r="G995" s="1" t="s">
        <v>4252</v>
      </c>
      <c r="H995" s="2"/>
      <c r="I995" s="5">
        <f>XLOOKUP(K995, pharmaceutical_index!B:B, pharmaceutical_index!A:A, "Not Found")</f>
      </c>
      <c r="J995" s="1" t="s">
        <v>2126</v>
      </c>
      <c r="K995" s="1" t="s">
        <v>2126</v>
      </c>
      <c r="L995" s="1" t="s">
        <v>20</v>
      </c>
      <c r="M995" s="1" t="s">
        <v>2126</v>
      </c>
      <c r="N995" s="2"/>
      <c r="O995" s="2"/>
      <c r="P995" s="2"/>
      <c r="Q995" s="2"/>
    </row>
    <row x14ac:dyDescent="0.25" r="996" customHeight="1" ht="17.25">
      <c r="A996" s="1" t="s">
        <v>4745</v>
      </c>
      <c r="B996" s="1" t="s">
        <v>2128</v>
      </c>
      <c r="C996" s="1" t="s">
        <v>3576</v>
      </c>
      <c r="D996" s="1" t="s">
        <v>20</v>
      </c>
      <c r="E996" s="1" t="s">
        <v>4250</v>
      </c>
      <c r="F996" s="1" t="s">
        <v>4251</v>
      </c>
      <c r="G996" s="1" t="s">
        <v>4252</v>
      </c>
      <c r="H996" s="2"/>
      <c r="I996" s="5">
        <f>XLOOKUP(K996, pharmaceutical_index!B:B, pharmaceutical_index!A:A, "Not Found")</f>
      </c>
      <c r="J996" s="1" t="s">
        <v>2128</v>
      </c>
      <c r="K996" s="1" t="s">
        <v>2128</v>
      </c>
      <c r="L996" s="1" t="s">
        <v>20</v>
      </c>
      <c r="M996" s="1" t="s">
        <v>2128</v>
      </c>
      <c r="N996" s="2"/>
      <c r="O996" s="2"/>
      <c r="P996" s="2"/>
      <c r="Q996" s="2"/>
    </row>
    <row x14ac:dyDescent="0.25" r="997" customHeight="1" ht="17.25">
      <c r="A997" s="1" t="s">
        <v>4746</v>
      </c>
      <c r="B997" s="1" t="s">
        <v>2130</v>
      </c>
      <c r="C997" s="1" t="s">
        <v>3576</v>
      </c>
      <c r="D997" s="1" t="s">
        <v>20</v>
      </c>
      <c r="E997" s="1" t="s">
        <v>4250</v>
      </c>
      <c r="F997" s="1" t="s">
        <v>4251</v>
      </c>
      <c r="G997" s="1" t="s">
        <v>4252</v>
      </c>
      <c r="H997" s="2"/>
      <c r="I997" s="5">
        <f>XLOOKUP(K997, pharmaceutical_index!B:B, pharmaceutical_index!A:A, "Not Found")</f>
      </c>
      <c r="J997" s="1" t="s">
        <v>4747</v>
      </c>
      <c r="K997" s="1" t="s">
        <v>2130</v>
      </c>
      <c r="L997" s="1" t="s">
        <v>20</v>
      </c>
      <c r="M997" s="1" t="s">
        <v>4748</v>
      </c>
      <c r="N997" s="2"/>
      <c r="O997" s="2"/>
      <c r="P997" s="2"/>
      <c r="Q997" s="2"/>
    </row>
    <row x14ac:dyDescent="0.25" r="998" customHeight="1" ht="17.25">
      <c r="A998" s="1" t="s">
        <v>4749</v>
      </c>
      <c r="B998" s="1" t="s">
        <v>2132</v>
      </c>
      <c r="C998" s="1" t="s">
        <v>3576</v>
      </c>
      <c r="D998" s="1" t="s">
        <v>20</v>
      </c>
      <c r="E998" s="1" t="s">
        <v>4250</v>
      </c>
      <c r="F998" s="1" t="s">
        <v>4251</v>
      </c>
      <c r="G998" s="1" t="s">
        <v>4252</v>
      </c>
      <c r="H998" s="2"/>
      <c r="I998" s="5">
        <f>XLOOKUP(K998, pharmaceutical_index!B:B, pharmaceutical_index!A:A, "Not Found")</f>
      </c>
      <c r="J998" s="1" t="s">
        <v>4750</v>
      </c>
      <c r="K998" s="1" t="s">
        <v>2132</v>
      </c>
      <c r="L998" s="1" t="s">
        <v>20</v>
      </c>
      <c r="M998" s="1" t="s">
        <v>4751</v>
      </c>
      <c r="N998" s="2"/>
      <c r="O998" s="2"/>
      <c r="P998" s="2"/>
      <c r="Q998" s="2"/>
    </row>
    <row x14ac:dyDescent="0.25" r="999" customHeight="1" ht="17.25">
      <c r="A999" s="1" t="s">
        <v>4752</v>
      </c>
      <c r="B999" s="1" t="s">
        <v>2134</v>
      </c>
      <c r="C999" s="1" t="s">
        <v>3576</v>
      </c>
      <c r="D999" s="1" t="s">
        <v>20</v>
      </c>
      <c r="E999" s="1" t="s">
        <v>4250</v>
      </c>
      <c r="F999" s="1" t="s">
        <v>4251</v>
      </c>
      <c r="G999" s="1" t="s">
        <v>4252</v>
      </c>
      <c r="H999" s="2"/>
      <c r="I999" s="5">
        <f>XLOOKUP(K999, pharmaceutical_index!B:B, pharmaceutical_index!A:A, "Not Found")</f>
      </c>
      <c r="J999" s="1" t="s">
        <v>2134</v>
      </c>
      <c r="K999" s="1" t="s">
        <v>2134</v>
      </c>
      <c r="L999" s="1" t="s">
        <v>20</v>
      </c>
      <c r="M999" s="1" t="s">
        <v>2134</v>
      </c>
      <c r="N999" s="2"/>
      <c r="O999" s="2"/>
      <c r="P999" s="2"/>
      <c r="Q999" s="2"/>
    </row>
    <row x14ac:dyDescent="0.25" r="1000" customHeight="1" ht="17.25">
      <c r="A1000" s="1" t="s">
        <v>4753</v>
      </c>
      <c r="B1000" s="1" t="s">
        <v>2136</v>
      </c>
      <c r="C1000" s="1" t="s">
        <v>3576</v>
      </c>
      <c r="D1000" s="1" t="s">
        <v>20</v>
      </c>
      <c r="E1000" s="1" t="s">
        <v>4250</v>
      </c>
      <c r="F1000" s="1" t="s">
        <v>4251</v>
      </c>
      <c r="G1000" s="1" t="s">
        <v>4252</v>
      </c>
      <c r="H1000" s="2"/>
      <c r="I1000" s="5">
        <f>XLOOKUP(K1000, pharmaceutical_index!B:B, pharmaceutical_index!A:A, "Not Found")</f>
      </c>
      <c r="J1000" s="1" t="s">
        <v>2136</v>
      </c>
      <c r="K1000" s="1" t="s">
        <v>2136</v>
      </c>
      <c r="L1000" s="1" t="s">
        <v>20</v>
      </c>
      <c r="M1000" s="1" t="s">
        <v>2136</v>
      </c>
      <c r="N1000" s="2"/>
      <c r="O1000" s="2"/>
      <c r="P1000" s="2"/>
      <c r="Q1000" s="2"/>
    </row>
    <row x14ac:dyDescent="0.25" r="1001" customHeight="1" ht="17.25">
      <c r="A1001" s="1" t="s">
        <v>4754</v>
      </c>
      <c r="B1001" s="1" t="s">
        <v>2138</v>
      </c>
      <c r="C1001" s="1" t="s">
        <v>3576</v>
      </c>
      <c r="D1001" s="1" t="s">
        <v>20</v>
      </c>
      <c r="E1001" s="1" t="s">
        <v>4250</v>
      </c>
      <c r="F1001" s="1" t="s">
        <v>4251</v>
      </c>
      <c r="G1001" s="1" t="s">
        <v>4252</v>
      </c>
      <c r="H1001" s="2"/>
      <c r="I1001" s="5">
        <f>XLOOKUP(K1001, pharmaceutical_index!B:B, pharmaceutical_index!A:A, "Not Found")</f>
      </c>
      <c r="J1001" s="1" t="s">
        <v>2138</v>
      </c>
      <c r="K1001" s="1" t="s">
        <v>2138</v>
      </c>
      <c r="L1001" s="1" t="s">
        <v>20</v>
      </c>
      <c r="M1001" s="1" t="s">
        <v>2138</v>
      </c>
      <c r="N1001" s="2"/>
      <c r="O1001" s="2"/>
      <c r="P1001" s="2"/>
      <c r="Q1001" s="2"/>
    </row>
    <row x14ac:dyDescent="0.25" r="1002" customHeight="1" ht="17.25">
      <c r="A1002" s="1" t="s">
        <v>4755</v>
      </c>
      <c r="B1002" s="1" t="s">
        <v>2140</v>
      </c>
      <c r="C1002" s="1" t="s">
        <v>3576</v>
      </c>
      <c r="D1002" s="1" t="s">
        <v>20</v>
      </c>
      <c r="E1002" s="1" t="s">
        <v>4250</v>
      </c>
      <c r="F1002" s="1" t="s">
        <v>4251</v>
      </c>
      <c r="G1002" s="1" t="s">
        <v>4252</v>
      </c>
      <c r="H1002" s="2"/>
      <c r="I1002" s="5">
        <f>XLOOKUP(K1002, pharmaceutical_index!B:B, pharmaceutical_index!A:A, "Not Found")</f>
      </c>
      <c r="J1002" s="1" t="s">
        <v>2140</v>
      </c>
      <c r="K1002" s="1" t="s">
        <v>2140</v>
      </c>
      <c r="L1002" s="1" t="s">
        <v>20</v>
      </c>
      <c r="M1002" s="1" t="s">
        <v>2140</v>
      </c>
      <c r="N1002" s="2"/>
      <c r="O1002" s="2"/>
      <c r="P1002" s="2"/>
      <c r="Q1002" s="2"/>
    </row>
    <row x14ac:dyDescent="0.25" r="1003" customHeight="1" ht="17.25">
      <c r="A1003" s="1" t="s">
        <v>4756</v>
      </c>
      <c r="B1003" s="1" t="s">
        <v>2142</v>
      </c>
      <c r="C1003" s="1" t="s">
        <v>3576</v>
      </c>
      <c r="D1003" s="1" t="s">
        <v>20</v>
      </c>
      <c r="E1003" s="1" t="s">
        <v>4250</v>
      </c>
      <c r="F1003" s="1" t="s">
        <v>4251</v>
      </c>
      <c r="G1003" s="1" t="s">
        <v>4252</v>
      </c>
      <c r="H1003" s="2"/>
      <c r="I1003" s="5">
        <f>XLOOKUP(K1003, pharmaceutical_index!B:B, pharmaceutical_index!A:A, "Not Found")</f>
      </c>
      <c r="J1003" s="1" t="s">
        <v>2142</v>
      </c>
      <c r="K1003" s="1" t="s">
        <v>2142</v>
      </c>
      <c r="L1003" s="1" t="s">
        <v>20</v>
      </c>
      <c r="M1003" s="1" t="s">
        <v>2142</v>
      </c>
      <c r="N1003" s="2"/>
      <c r="O1003" s="2"/>
      <c r="P1003" s="2"/>
      <c r="Q1003" s="2"/>
    </row>
    <row x14ac:dyDescent="0.25" r="1004" customHeight="1" ht="17.25">
      <c r="A1004" s="1" t="s">
        <v>4757</v>
      </c>
      <c r="B1004" s="1" t="s">
        <v>2144</v>
      </c>
      <c r="C1004" s="1" t="s">
        <v>3576</v>
      </c>
      <c r="D1004" s="1" t="s">
        <v>20</v>
      </c>
      <c r="E1004" s="1" t="s">
        <v>4250</v>
      </c>
      <c r="F1004" s="1" t="s">
        <v>4251</v>
      </c>
      <c r="G1004" s="1" t="s">
        <v>4252</v>
      </c>
      <c r="H1004" s="2"/>
      <c r="I1004" s="5">
        <f>XLOOKUP(K1004, pharmaceutical_index!B:B, pharmaceutical_index!A:A, "Not Found")</f>
      </c>
      <c r="J1004" s="1" t="s">
        <v>2144</v>
      </c>
      <c r="K1004" s="1" t="s">
        <v>2144</v>
      </c>
      <c r="L1004" s="1" t="s">
        <v>20</v>
      </c>
      <c r="M1004" s="1" t="s">
        <v>2144</v>
      </c>
      <c r="N1004" s="2"/>
      <c r="O1004" s="2"/>
      <c r="P1004" s="2"/>
      <c r="Q1004" s="2"/>
    </row>
    <row x14ac:dyDescent="0.25" r="1005" customHeight="1" ht="17.25">
      <c r="A1005" s="1" t="s">
        <v>4758</v>
      </c>
      <c r="B1005" s="1" t="s">
        <v>2146</v>
      </c>
      <c r="C1005" s="1" t="s">
        <v>3576</v>
      </c>
      <c r="D1005" s="1" t="s">
        <v>20</v>
      </c>
      <c r="E1005" s="1" t="s">
        <v>4250</v>
      </c>
      <c r="F1005" s="1" t="s">
        <v>4251</v>
      </c>
      <c r="G1005" s="1" t="s">
        <v>4252</v>
      </c>
      <c r="H1005" s="2"/>
      <c r="I1005" s="5">
        <f>XLOOKUP(K1005, pharmaceutical_index!B:B, pharmaceutical_index!A:A, "Not Found")</f>
      </c>
      <c r="J1005" s="1" t="s">
        <v>2146</v>
      </c>
      <c r="K1005" s="1" t="s">
        <v>2146</v>
      </c>
      <c r="L1005" s="1" t="s">
        <v>20</v>
      </c>
      <c r="M1005" s="1" t="s">
        <v>2146</v>
      </c>
      <c r="N1005" s="2"/>
      <c r="O1005" s="2"/>
      <c r="P1005" s="2"/>
      <c r="Q1005" s="2"/>
    </row>
    <row x14ac:dyDescent="0.25" r="1006" customHeight="1" ht="17.25">
      <c r="A1006" s="1" t="s">
        <v>4759</v>
      </c>
      <c r="B1006" s="1" t="s">
        <v>2148</v>
      </c>
      <c r="C1006" s="1" t="s">
        <v>3576</v>
      </c>
      <c r="D1006" s="1" t="s">
        <v>20</v>
      </c>
      <c r="E1006" s="1" t="s">
        <v>4250</v>
      </c>
      <c r="F1006" s="1" t="s">
        <v>4251</v>
      </c>
      <c r="G1006" s="1" t="s">
        <v>4252</v>
      </c>
      <c r="H1006" s="2"/>
      <c r="I1006" s="5">
        <f>XLOOKUP(K1006, pharmaceutical_index!B:B, pharmaceutical_index!A:A, "Not Found")</f>
      </c>
      <c r="J1006" s="1" t="s">
        <v>2148</v>
      </c>
      <c r="K1006" s="1" t="s">
        <v>2148</v>
      </c>
      <c r="L1006" s="1" t="s">
        <v>20</v>
      </c>
      <c r="M1006" s="1" t="s">
        <v>2148</v>
      </c>
      <c r="N1006" s="2"/>
      <c r="O1006" s="2"/>
      <c r="P1006" s="2"/>
      <c r="Q1006" s="2"/>
    </row>
    <row x14ac:dyDescent="0.25" r="1007" customHeight="1" ht="17.25">
      <c r="A1007" s="1" t="s">
        <v>4760</v>
      </c>
      <c r="B1007" s="1" t="s">
        <v>2150</v>
      </c>
      <c r="C1007" s="1" t="s">
        <v>3576</v>
      </c>
      <c r="D1007" s="1" t="s">
        <v>20</v>
      </c>
      <c r="E1007" s="1" t="s">
        <v>4250</v>
      </c>
      <c r="F1007" s="1" t="s">
        <v>4251</v>
      </c>
      <c r="G1007" s="1" t="s">
        <v>4252</v>
      </c>
      <c r="H1007" s="2"/>
      <c r="I1007" s="5">
        <f>XLOOKUP(K1007, pharmaceutical_index!B:B, pharmaceutical_index!A:A, "Not Found")</f>
      </c>
      <c r="J1007" s="1" t="s">
        <v>2150</v>
      </c>
      <c r="K1007" s="1" t="s">
        <v>2150</v>
      </c>
      <c r="L1007" s="1" t="s">
        <v>20</v>
      </c>
      <c r="M1007" s="1" t="s">
        <v>2150</v>
      </c>
      <c r="N1007" s="2"/>
      <c r="O1007" s="2"/>
      <c r="P1007" s="2"/>
      <c r="Q1007" s="2"/>
    </row>
    <row x14ac:dyDescent="0.25" r="1008" customHeight="1" ht="17.25">
      <c r="A1008" s="1" t="s">
        <v>4761</v>
      </c>
      <c r="B1008" s="1" t="s">
        <v>2152</v>
      </c>
      <c r="C1008" s="1" t="s">
        <v>3576</v>
      </c>
      <c r="D1008" s="1" t="s">
        <v>20</v>
      </c>
      <c r="E1008" s="1" t="s">
        <v>4250</v>
      </c>
      <c r="F1008" s="1" t="s">
        <v>4251</v>
      </c>
      <c r="G1008" s="1" t="s">
        <v>4252</v>
      </c>
      <c r="H1008" s="2"/>
      <c r="I1008" s="5">
        <f>XLOOKUP(K1008, pharmaceutical_index!B:B, pharmaceutical_index!A:A, "Not Found")</f>
      </c>
      <c r="J1008" s="1" t="s">
        <v>2152</v>
      </c>
      <c r="K1008" s="1" t="s">
        <v>2152</v>
      </c>
      <c r="L1008" s="1" t="s">
        <v>20</v>
      </c>
      <c r="M1008" s="1" t="s">
        <v>2152</v>
      </c>
      <c r="N1008" s="2"/>
      <c r="O1008" s="2"/>
      <c r="P1008" s="2"/>
      <c r="Q1008" s="2"/>
    </row>
    <row x14ac:dyDescent="0.25" r="1009" customHeight="1" ht="17.25">
      <c r="A1009" s="1" t="s">
        <v>4762</v>
      </c>
      <c r="B1009" s="1" t="s">
        <v>2154</v>
      </c>
      <c r="C1009" s="1" t="s">
        <v>3576</v>
      </c>
      <c r="D1009" s="1" t="s">
        <v>20</v>
      </c>
      <c r="E1009" s="1" t="s">
        <v>4250</v>
      </c>
      <c r="F1009" s="1" t="s">
        <v>4251</v>
      </c>
      <c r="G1009" s="1" t="s">
        <v>4252</v>
      </c>
      <c r="H1009" s="2"/>
      <c r="I1009" s="5">
        <f>XLOOKUP(K1009, pharmaceutical_index!B:B, pharmaceutical_index!A:A, "Not Found")</f>
      </c>
      <c r="J1009" s="1" t="s">
        <v>2154</v>
      </c>
      <c r="K1009" s="1" t="s">
        <v>2154</v>
      </c>
      <c r="L1009" s="1" t="s">
        <v>20</v>
      </c>
      <c r="M1009" s="1" t="s">
        <v>2154</v>
      </c>
      <c r="N1009" s="2"/>
      <c r="O1009" s="2"/>
      <c r="P1009" s="2"/>
      <c r="Q1009" s="2"/>
    </row>
    <row x14ac:dyDescent="0.25" r="1010" customHeight="1" ht="17.25">
      <c r="A1010" s="1" t="s">
        <v>4763</v>
      </c>
      <c r="B1010" s="1" t="s">
        <v>2156</v>
      </c>
      <c r="C1010" s="1" t="s">
        <v>3576</v>
      </c>
      <c r="D1010" s="1" t="s">
        <v>20</v>
      </c>
      <c r="E1010" s="1" t="s">
        <v>4250</v>
      </c>
      <c r="F1010" s="1" t="s">
        <v>4251</v>
      </c>
      <c r="G1010" s="1" t="s">
        <v>4252</v>
      </c>
      <c r="H1010" s="2"/>
      <c r="I1010" s="5">
        <f>XLOOKUP(K1010, pharmaceutical_index!B:B, pharmaceutical_index!A:A, "Not Found")</f>
      </c>
      <c r="J1010" s="1" t="s">
        <v>2156</v>
      </c>
      <c r="K1010" s="1" t="s">
        <v>2156</v>
      </c>
      <c r="L1010" s="1" t="s">
        <v>20</v>
      </c>
      <c r="M1010" s="1" t="s">
        <v>2156</v>
      </c>
      <c r="N1010" s="2"/>
      <c r="O1010" s="2"/>
      <c r="P1010" s="2"/>
      <c r="Q1010" s="2"/>
    </row>
    <row x14ac:dyDescent="0.25" r="1011" customHeight="1" ht="17.25">
      <c r="A1011" s="1" t="s">
        <v>4764</v>
      </c>
      <c r="B1011" s="1" t="s">
        <v>2158</v>
      </c>
      <c r="C1011" s="1" t="s">
        <v>3576</v>
      </c>
      <c r="D1011" s="1" t="s">
        <v>20</v>
      </c>
      <c r="E1011" s="1" t="s">
        <v>4250</v>
      </c>
      <c r="F1011" s="1" t="s">
        <v>4251</v>
      </c>
      <c r="G1011" s="1" t="s">
        <v>4252</v>
      </c>
      <c r="H1011" s="2"/>
      <c r="I1011" s="5">
        <f>XLOOKUP(K1011, pharmaceutical_index!B:B, pharmaceutical_index!A:A, "Not Found")</f>
      </c>
      <c r="J1011" s="1" t="s">
        <v>2158</v>
      </c>
      <c r="K1011" s="1" t="s">
        <v>2158</v>
      </c>
      <c r="L1011" s="1" t="s">
        <v>20</v>
      </c>
      <c r="M1011" s="1" t="s">
        <v>2158</v>
      </c>
      <c r="N1011" s="2"/>
      <c r="O1011" s="2"/>
      <c r="P1011" s="2"/>
      <c r="Q1011" s="2"/>
    </row>
    <row x14ac:dyDescent="0.25" r="1012" customHeight="1" ht="17.25">
      <c r="A1012" s="1" t="s">
        <v>4765</v>
      </c>
      <c r="B1012" s="1" t="s">
        <v>2160</v>
      </c>
      <c r="C1012" s="1" t="s">
        <v>3576</v>
      </c>
      <c r="D1012" s="1" t="s">
        <v>20</v>
      </c>
      <c r="E1012" s="1" t="s">
        <v>4250</v>
      </c>
      <c r="F1012" s="1" t="s">
        <v>4251</v>
      </c>
      <c r="G1012" s="1" t="s">
        <v>4252</v>
      </c>
      <c r="H1012" s="2"/>
      <c r="I1012" s="5">
        <f>XLOOKUP(K1012, pharmaceutical_index!B:B, pharmaceutical_index!A:A, "Not Found")</f>
      </c>
      <c r="J1012" s="1" t="s">
        <v>2160</v>
      </c>
      <c r="K1012" s="1" t="s">
        <v>2160</v>
      </c>
      <c r="L1012" s="1" t="s">
        <v>20</v>
      </c>
      <c r="M1012" s="1" t="s">
        <v>2160</v>
      </c>
      <c r="N1012" s="2"/>
      <c r="O1012" s="2"/>
      <c r="P1012" s="2"/>
      <c r="Q1012" s="2"/>
    </row>
    <row x14ac:dyDescent="0.25" r="1013" customHeight="1" ht="17.25">
      <c r="A1013" s="1" t="s">
        <v>4766</v>
      </c>
      <c r="B1013" s="1" t="s">
        <v>2162</v>
      </c>
      <c r="C1013" s="1" t="s">
        <v>3576</v>
      </c>
      <c r="D1013" s="1" t="s">
        <v>20</v>
      </c>
      <c r="E1013" s="1" t="s">
        <v>4250</v>
      </c>
      <c r="F1013" s="1" t="s">
        <v>4251</v>
      </c>
      <c r="G1013" s="1" t="s">
        <v>4252</v>
      </c>
      <c r="H1013" s="2"/>
      <c r="I1013" s="5">
        <f>XLOOKUP(K1013, pharmaceutical_index!B:B, pharmaceutical_index!A:A, "Not Found")</f>
      </c>
      <c r="J1013" s="1" t="s">
        <v>2162</v>
      </c>
      <c r="K1013" s="1" t="s">
        <v>2162</v>
      </c>
      <c r="L1013" s="1" t="s">
        <v>20</v>
      </c>
      <c r="M1013" s="1" t="s">
        <v>2162</v>
      </c>
      <c r="N1013" s="2"/>
      <c r="O1013" s="2"/>
      <c r="P1013" s="2"/>
      <c r="Q1013" s="2"/>
    </row>
    <row x14ac:dyDescent="0.25" r="1014" customHeight="1" ht="17.25">
      <c r="A1014" s="1" t="s">
        <v>4767</v>
      </c>
      <c r="B1014" s="1" t="s">
        <v>2164</v>
      </c>
      <c r="C1014" s="1" t="s">
        <v>3576</v>
      </c>
      <c r="D1014" s="1" t="s">
        <v>20</v>
      </c>
      <c r="E1014" s="1" t="s">
        <v>4250</v>
      </c>
      <c r="F1014" s="1" t="s">
        <v>4251</v>
      </c>
      <c r="G1014" s="1" t="s">
        <v>4252</v>
      </c>
      <c r="H1014" s="2"/>
      <c r="I1014" s="5">
        <f>XLOOKUP(K1014, pharmaceutical_index!B:B, pharmaceutical_index!A:A, "Not Found")</f>
      </c>
      <c r="J1014" s="1" t="s">
        <v>2164</v>
      </c>
      <c r="K1014" s="1" t="s">
        <v>2164</v>
      </c>
      <c r="L1014" s="1" t="s">
        <v>20</v>
      </c>
      <c r="M1014" s="1" t="s">
        <v>2164</v>
      </c>
      <c r="N1014" s="2"/>
      <c r="O1014" s="2"/>
      <c r="P1014" s="2"/>
      <c r="Q1014" s="2"/>
    </row>
    <row x14ac:dyDescent="0.25" r="1015" customHeight="1" ht="17.25">
      <c r="A1015" s="1" t="s">
        <v>4768</v>
      </c>
      <c r="B1015" s="1" t="s">
        <v>2166</v>
      </c>
      <c r="C1015" s="1" t="s">
        <v>3576</v>
      </c>
      <c r="D1015" s="1" t="s">
        <v>20</v>
      </c>
      <c r="E1015" s="1" t="s">
        <v>4250</v>
      </c>
      <c r="F1015" s="1" t="s">
        <v>4251</v>
      </c>
      <c r="G1015" s="1" t="s">
        <v>4252</v>
      </c>
      <c r="H1015" s="2"/>
      <c r="I1015" s="5">
        <f>XLOOKUP(K1015, pharmaceutical_index!B:B, pharmaceutical_index!A:A, "Not Found")</f>
      </c>
      <c r="J1015" s="1" t="s">
        <v>2166</v>
      </c>
      <c r="K1015" s="1" t="s">
        <v>2166</v>
      </c>
      <c r="L1015" s="1" t="s">
        <v>20</v>
      </c>
      <c r="M1015" s="1" t="s">
        <v>2166</v>
      </c>
      <c r="N1015" s="2"/>
      <c r="O1015" s="2"/>
      <c r="P1015" s="2"/>
      <c r="Q1015" s="2"/>
    </row>
    <row x14ac:dyDescent="0.25" r="1016" customHeight="1" ht="17.25">
      <c r="A1016" s="1" t="s">
        <v>4769</v>
      </c>
      <c r="B1016" s="1" t="s">
        <v>2168</v>
      </c>
      <c r="C1016" s="1" t="s">
        <v>3576</v>
      </c>
      <c r="D1016" s="1" t="s">
        <v>20</v>
      </c>
      <c r="E1016" s="1" t="s">
        <v>4250</v>
      </c>
      <c r="F1016" s="1" t="s">
        <v>4251</v>
      </c>
      <c r="G1016" s="1" t="s">
        <v>4252</v>
      </c>
      <c r="H1016" s="2"/>
      <c r="I1016" s="5">
        <f>XLOOKUP(K1016, pharmaceutical_index!B:B, pharmaceutical_index!A:A, "Not Found")</f>
      </c>
      <c r="J1016" s="1" t="s">
        <v>2168</v>
      </c>
      <c r="K1016" s="1" t="s">
        <v>2168</v>
      </c>
      <c r="L1016" s="1" t="s">
        <v>20</v>
      </c>
      <c r="M1016" s="1" t="s">
        <v>2168</v>
      </c>
      <c r="N1016" s="2"/>
      <c r="O1016" s="2"/>
      <c r="P1016" s="2"/>
      <c r="Q1016" s="2"/>
    </row>
    <row x14ac:dyDescent="0.25" r="1017" customHeight="1" ht="17.25">
      <c r="A1017" s="1" t="s">
        <v>4770</v>
      </c>
      <c r="B1017" s="1" t="s">
        <v>2170</v>
      </c>
      <c r="C1017" s="1" t="s">
        <v>3576</v>
      </c>
      <c r="D1017" s="1" t="s">
        <v>20</v>
      </c>
      <c r="E1017" s="1" t="s">
        <v>4250</v>
      </c>
      <c r="F1017" s="1" t="s">
        <v>4251</v>
      </c>
      <c r="G1017" s="1" t="s">
        <v>4252</v>
      </c>
      <c r="H1017" s="2"/>
      <c r="I1017" s="5">
        <f>XLOOKUP(K1017, pharmaceutical_index!B:B, pharmaceutical_index!A:A, "Not Found")</f>
      </c>
      <c r="J1017" s="1" t="s">
        <v>2170</v>
      </c>
      <c r="K1017" s="1" t="s">
        <v>2170</v>
      </c>
      <c r="L1017" s="1" t="s">
        <v>20</v>
      </c>
      <c r="M1017" s="1" t="s">
        <v>2170</v>
      </c>
      <c r="N1017" s="2"/>
      <c r="O1017" s="2"/>
      <c r="P1017" s="2"/>
      <c r="Q1017" s="2"/>
    </row>
    <row x14ac:dyDescent="0.25" r="1018" customHeight="1" ht="17.25">
      <c r="A1018" s="1" t="s">
        <v>4771</v>
      </c>
      <c r="B1018" s="1" t="s">
        <v>2172</v>
      </c>
      <c r="C1018" s="1" t="s">
        <v>3576</v>
      </c>
      <c r="D1018" s="1" t="s">
        <v>20</v>
      </c>
      <c r="E1018" s="1" t="s">
        <v>4250</v>
      </c>
      <c r="F1018" s="1" t="s">
        <v>4251</v>
      </c>
      <c r="G1018" s="1" t="s">
        <v>4252</v>
      </c>
      <c r="H1018" s="2"/>
      <c r="I1018" s="5">
        <f>XLOOKUP(K1018, pharmaceutical_index!B:B, pharmaceutical_index!A:A, "Not Found")</f>
      </c>
      <c r="J1018" s="1" t="s">
        <v>2172</v>
      </c>
      <c r="K1018" s="1" t="s">
        <v>2172</v>
      </c>
      <c r="L1018" s="1" t="s">
        <v>20</v>
      </c>
      <c r="M1018" s="1" t="s">
        <v>2172</v>
      </c>
      <c r="N1018" s="2"/>
      <c r="O1018" s="2"/>
      <c r="P1018" s="2"/>
      <c r="Q1018" s="2"/>
    </row>
    <row x14ac:dyDescent="0.25" r="1019" customHeight="1" ht="17.25">
      <c r="A1019" s="1" t="s">
        <v>4772</v>
      </c>
      <c r="B1019" s="1" t="s">
        <v>2174</v>
      </c>
      <c r="C1019" s="1" t="s">
        <v>3576</v>
      </c>
      <c r="D1019" s="1" t="s">
        <v>20</v>
      </c>
      <c r="E1019" s="1" t="s">
        <v>4250</v>
      </c>
      <c r="F1019" s="1" t="s">
        <v>4251</v>
      </c>
      <c r="G1019" s="1" t="s">
        <v>4252</v>
      </c>
      <c r="H1019" s="2"/>
      <c r="I1019" s="5">
        <f>XLOOKUP(K1019, pharmaceutical_index!B:B, pharmaceutical_index!A:A, "Not Found")</f>
      </c>
      <c r="J1019" s="1" t="s">
        <v>2174</v>
      </c>
      <c r="K1019" s="1" t="s">
        <v>2174</v>
      </c>
      <c r="L1019" s="1" t="s">
        <v>20</v>
      </c>
      <c r="M1019" s="1" t="s">
        <v>2174</v>
      </c>
      <c r="N1019" s="2"/>
      <c r="O1019" s="2"/>
      <c r="P1019" s="2"/>
      <c r="Q1019" s="2"/>
    </row>
    <row x14ac:dyDescent="0.25" r="1020" customHeight="1" ht="17.25">
      <c r="A1020" s="1" t="s">
        <v>4773</v>
      </c>
      <c r="B1020" s="1" t="s">
        <v>2176</v>
      </c>
      <c r="C1020" s="1" t="s">
        <v>3576</v>
      </c>
      <c r="D1020" s="1" t="s">
        <v>20</v>
      </c>
      <c r="E1020" s="1" t="s">
        <v>4250</v>
      </c>
      <c r="F1020" s="1" t="s">
        <v>4251</v>
      </c>
      <c r="G1020" s="1" t="s">
        <v>4252</v>
      </c>
      <c r="H1020" s="2"/>
      <c r="I1020" s="5">
        <f>XLOOKUP(K1020, pharmaceutical_index!B:B, pharmaceutical_index!A:A, "Not Found")</f>
      </c>
      <c r="J1020" s="1" t="s">
        <v>2176</v>
      </c>
      <c r="K1020" s="1" t="s">
        <v>2176</v>
      </c>
      <c r="L1020" s="1" t="s">
        <v>20</v>
      </c>
      <c r="M1020" s="1" t="s">
        <v>2176</v>
      </c>
      <c r="N1020" s="2"/>
      <c r="O1020" s="2"/>
      <c r="P1020" s="2"/>
      <c r="Q1020" s="2"/>
    </row>
    <row x14ac:dyDescent="0.25" r="1021" customHeight="1" ht="17.25">
      <c r="A1021" s="1" t="s">
        <v>4774</v>
      </c>
      <c r="B1021" s="1" t="s">
        <v>2178</v>
      </c>
      <c r="C1021" s="1" t="s">
        <v>3576</v>
      </c>
      <c r="D1021" s="1" t="s">
        <v>20</v>
      </c>
      <c r="E1021" s="1" t="s">
        <v>4250</v>
      </c>
      <c r="F1021" s="1" t="s">
        <v>4251</v>
      </c>
      <c r="G1021" s="1" t="s">
        <v>4252</v>
      </c>
      <c r="H1021" s="2"/>
      <c r="I1021" s="5">
        <f>XLOOKUP(K1021, pharmaceutical_index!B:B, pharmaceutical_index!A:A, "Not Found")</f>
      </c>
      <c r="J1021" s="1" t="s">
        <v>4775</v>
      </c>
      <c r="K1021" s="1" t="s">
        <v>2178</v>
      </c>
      <c r="L1021" s="1" t="s">
        <v>20</v>
      </c>
      <c r="M1021" s="1" t="s">
        <v>4776</v>
      </c>
      <c r="N1021" s="2"/>
      <c r="O1021" s="2"/>
      <c r="P1021" s="2"/>
      <c r="Q1021" s="2"/>
    </row>
    <row x14ac:dyDescent="0.25" r="1022" customHeight="1" ht="17.25">
      <c r="A1022" s="1" t="s">
        <v>4777</v>
      </c>
      <c r="B1022" s="1" t="s">
        <v>2180</v>
      </c>
      <c r="C1022" s="1" t="s">
        <v>3576</v>
      </c>
      <c r="D1022" s="1" t="s">
        <v>20</v>
      </c>
      <c r="E1022" s="1" t="s">
        <v>4250</v>
      </c>
      <c r="F1022" s="1" t="s">
        <v>4251</v>
      </c>
      <c r="G1022" s="1" t="s">
        <v>4252</v>
      </c>
      <c r="H1022" s="2"/>
      <c r="I1022" s="5">
        <f>XLOOKUP(K1022, pharmaceutical_index!B:B, pharmaceutical_index!A:A, "Not Found")</f>
      </c>
      <c r="J1022" s="1" t="s">
        <v>4778</v>
      </c>
      <c r="K1022" s="1" t="s">
        <v>2180</v>
      </c>
      <c r="L1022" s="1" t="s">
        <v>20</v>
      </c>
      <c r="M1022" s="1" t="s">
        <v>4779</v>
      </c>
      <c r="N1022" s="2"/>
      <c r="O1022" s="2"/>
      <c r="P1022" s="2"/>
      <c r="Q1022" s="2"/>
    </row>
    <row x14ac:dyDescent="0.25" r="1023" customHeight="1" ht="17.25">
      <c r="A1023" s="1" t="s">
        <v>4780</v>
      </c>
      <c r="B1023" s="1" t="s">
        <v>2182</v>
      </c>
      <c r="C1023" s="1" t="s">
        <v>3576</v>
      </c>
      <c r="D1023" s="1" t="s">
        <v>20</v>
      </c>
      <c r="E1023" s="1" t="s">
        <v>4250</v>
      </c>
      <c r="F1023" s="1" t="s">
        <v>4251</v>
      </c>
      <c r="G1023" s="1" t="s">
        <v>4252</v>
      </c>
      <c r="H1023" s="2"/>
      <c r="I1023" s="5">
        <f>XLOOKUP(K1023, pharmaceutical_index!B:B, pharmaceutical_index!A:A, "Not Found")</f>
      </c>
      <c r="J1023" s="1" t="s">
        <v>4781</v>
      </c>
      <c r="K1023" s="1" t="s">
        <v>2182</v>
      </c>
      <c r="L1023" s="1" t="s">
        <v>20</v>
      </c>
      <c r="M1023" s="1" t="s">
        <v>4782</v>
      </c>
      <c r="N1023" s="2"/>
      <c r="O1023" s="2"/>
      <c r="P1023" s="2"/>
      <c r="Q1023" s="2"/>
    </row>
    <row x14ac:dyDescent="0.25" r="1024" customHeight="1" ht="17.25">
      <c r="A1024" s="1" t="s">
        <v>4783</v>
      </c>
      <c r="B1024" s="1" t="s">
        <v>2184</v>
      </c>
      <c r="C1024" s="1" t="s">
        <v>3576</v>
      </c>
      <c r="D1024" s="1" t="s">
        <v>20</v>
      </c>
      <c r="E1024" s="1" t="s">
        <v>4250</v>
      </c>
      <c r="F1024" s="1" t="s">
        <v>4251</v>
      </c>
      <c r="G1024" s="1" t="s">
        <v>4252</v>
      </c>
      <c r="H1024" s="2"/>
      <c r="I1024" s="5">
        <f>XLOOKUP(K1024, pharmaceutical_index!B:B, pharmaceutical_index!A:A, "Not Found")</f>
      </c>
      <c r="J1024" s="1" t="s">
        <v>2184</v>
      </c>
      <c r="K1024" s="1" t="s">
        <v>2184</v>
      </c>
      <c r="L1024" s="1" t="s">
        <v>20</v>
      </c>
      <c r="M1024" s="1" t="s">
        <v>2184</v>
      </c>
      <c r="N1024" s="2"/>
      <c r="O1024" s="2"/>
      <c r="P1024" s="2"/>
      <c r="Q1024" s="2"/>
    </row>
    <row x14ac:dyDescent="0.25" r="1025" customHeight="1" ht="17.25">
      <c r="A1025" s="1" t="s">
        <v>4784</v>
      </c>
      <c r="B1025" s="1" t="s">
        <v>2186</v>
      </c>
      <c r="C1025" s="1" t="s">
        <v>3576</v>
      </c>
      <c r="D1025" s="1" t="s">
        <v>20</v>
      </c>
      <c r="E1025" s="1" t="s">
        <v>4250</v>
      </c>
      <c r="F1025" s="1" t="s">
        <v>4251</v>
      </c>
      <c r="G1025" s="1" t="s">
        <v>4252</v>
      </c>
      <c r="H1025" s="2"/>
      <c r="I1025" s="5">
        <f>XLOOKUP(K1025, pharmaceutical_index!B:B, pharmaceutical_index!A:A, "Not Found")</f>
      </c>
      <c r="J1025" s="1" t="s">
        <v>2186</v>
      </c>
      <c r="K1025" s="1" t="s">
        <v>2186</v>
      </c>
      <c r="L1025" s="1" t="s">
        <v>20</v>
      </c>
      <c r="M1025" s="1" t="s">
        <v>2186</v>
      </c>
      <c r="N1025" s="2"/>
      <c r="O1025" s="2"/>
      <c r="P1025" s="2"/>
      <c r="Q1025" s="2"/>
    </row>
    <row x14ac:dyDescent="0.25" r="1026" customHeight="1" ht="17.25">
      <c r="A1026" s="1" t="s">
        <v>4785</v>
      </c>
      <c r="B1026" s="1" t="s">
        <v>2188</v>
      </c>
      <c r="C1026" s="1" t="s">
        <v>3576</v>
      </c>
      <c r="D1026" s="1" t="s">
        <v>20</v>
      </c>
      <c r="E1026" s="1" t="s">
        <v>4250</v>
      </c>
      <c r="F1026" s="1" t="s">
        <v>4251</v>
      </c>
      <c r="G1026" s="1" t="s">
        <v>4252</v>
      </c>
      <c r="H1026" s="2"/>
      <c r="I1026" s="5">
        <f>XLOOKUP(K1026, pharmaceutical_index!B:B, pharmaceutical_index!A:A, "Not Found")</f>
      </c>
      <c r="J1026" s="1" t="s">
        <v>2188</v>
      </c>
      <c r="K1026" s="1" t="s">
        <v>2188</v>
      </c>
      <c r="L1026" s="1" t="s">
        <v>20</v>
      </c>
      <c r="M1026" s="1" t="s">
        <v>2188</v>
      </c>
      <c r="N1026" s="2"/>
      <c r="O1026" s="2"/>
      <c r="P1026" s="2"/>
      <c r="Q1026" s="2"/>
    </row>
    <row x14ac:dyDescent="0.25" r="1027" customHeight="1" ht="17.25">
      <c r="A1027" s="1" t="s">
        <v>4786</v>
      </c>
      <c r="B1027" s="1" t="s">
        <v>2190</v>
      </c>
      <c r="C1027" s="1" t="s">
        <v>3576</v>
      </c>
      <c r="D1027" s="1" t="s">
        <v>20</v>
      </c>
      <c r="E1027" s="1" t="s">
        <v>4250</v>
      </c>
      <c r="F1027" s="1" t="s">
        <v>4251</v>
      </c>
      <c r="G1027" s="1" t="s">
        <v>4252</v>
      </c>
      <c r="H1027" s="2"/>
      <c r="I1027" s="5">
        <f>XLOOKUP(K1027, pharmaceutical_index!B:B, pharmaceutical_index!A:A, "Not Found")</f>
      </c>
      <c r="J1027" s="1" t="s">
        <v>4787</v>
      </c>
      <c r="K1027" s="1" t="s">
        <v>2190</v>
      </c>
      <c r="L1027" s="1" t="s">
        <v>20</v>
      </c>
      <c r="M1027" s="1" t="s">
        <v>4788</v>
      </c>
      <c r="N1027" s="2"/>
      <c r="O1027" s="2"/>
      <c r="P1027" s="2"/>
      <c r="Q1027" s="2"/>
    </row>
    <row x14ac:dyDescent="0.25" r="1028" customHeight="1" ht="17.25">
      <c r="A1028" s="1" t="s">
        <v>4789</v>
      </c>
      <c r="B1028" s="1" t="s">
        <v>2192</v>
      </c>
      <c r="C1028" s="1" t="s">
        <v>3576</v>
      </c>
      <c r="D1028" s="1" t="s">
        <v>20</v>
      </c>
      <c r="E1028" s="1" t="s">
        <v>4250</v>
      </c>
      <c r="F1028" s="1" t="s">
        <v>4251</v>
      </c>
      <c r="G1028" s="1" t="s">
        <v>4252</v>
      </c>
      <c r="H1028" s="2"/>
      <c r="I1028" s="5">
        <f>XLOOKUP(K1028, pharmaceutical_index!B:B, pharmaceutical_index!A:A, "Not Found")</f>
      </c>
      <c r="J1028" s="1" t="s">
        <v>2192</v>
      </c>
      <c r="K1028" s="1" t="s">
        <v>2192</v>
      </c>
      <c r="L1028" s="1" t="s">
        <v>20</v>
      </c>
      <c r="M1028" s="1" t="s">
        <v>2192</v>
      </c>
      <c r="N1028" s="2"/>
      <c r="O1028" s="2"/>
      <c r="P1028" s="2"/>
      <c r="Q1028" s="2"/>
    </row>
    <row x14ac:dyDescent="0.25" r="1029" customHeight="1" ht="17.25">
      <c r="A1029" s="1" t="s">
        <v>4790</v>
      </c>
      <c r="B1029" s="1" t="s">
        <v>2194</v>
      </c>
      <c r="C1029" s="1" t="s">
        <v>3576</v>
      </c>
      <c r="D1029" s="1" t="s">
        <v>20</v>
      </c>
      <c r="E1029" s="1" t="s">
        <v>4250</v>
      </c>
      <c r="F1029" s="1" t="s">
        <v>4251</v>
      </c>
      <c r="G1029" s="1" t="s">
        <v>4252</v>
      </c>
      <c r="H1029" s="2"/>
      <c r="I1029" s="5">
        <f>XLOOKUP(K1029, pharmaceutical_index!B:B, pharmaceutical_index!A:A, "Not Found")</f>
      </c>
      <c r="J1029" s="1" t="s">
        <v>2194</v>
      </c>
      <c r="K1029" s="1" t="s">
        <v>2194</v>
      </c>
      <c r="L1029" s="1" t="s">
        <v>20</v>
      </c>
      <c r="M1029" s="1" t="s">
        <v>2194</v>
      </c>
      <c r="N1029" s="2"/>
      <c r="O1029" s="2"/>
      <c r="P1029" s="2"/>
      <c r="Q1029" s="2"/>
    </row>
    <row x14ac:dyDescent="0.25" r="1030" customHeight="1" ht="17.25">
      <c r="A1030" s="1" t="s">
        <v>4791</v>
      </c>
      <c r="B1030" s="1" t="s">
        <v>2196</v>
      </c>
      <c r="C1030" s="1" t="s">
        <v>3576</v>
      </c>
      <c r="D1030" s="1" t="s">
        <v>20</v>
      </c>
      <c r="E1030" s="1" t="s">
        <v>4250</v>
      </c>
      <c r="F1030" s="1" t="s">
        <v>4251</v>
      </c>
      <c r="G1030" s="1" t="s">
        <v>4252</v>
      </c>
      <c r="H1030" s="2"/>
      <c r="I1030" s="5">
        <f>XLOOKUP(K1030, pharmaceutical_index!B:B, pharmaceutical_index!A:A, "Not Found")</f>
      </c>
      <c r="J1030" s="1" t="s">
        <v>2196</v>
      </c>
      <c r="K1030" s="1" t="s">
        <v>2196</v>
      </c>
      <c r="L1030" s="1" t="s">
        <v>20</v>
      </c>
      <c r="M1030" s="1" t="s">
        <v>2196</v>
      </c>
      <c r="N1030" s="2"/>
      <c r="O1030" s="2"/>
      <c r="P1030" s="2"/>
      <c r="Q1030" s="2"/>
    </row>
    <row x14ac:dyDescent="0.25" r="1031" customHeight="1" ht="17.25">
      <c r="A1031" s="1" t="s">
        <v>4792</v>
      </c>
      <c r="B1031" s="1" t="s">
        <v>2198</v>
      </c>
      <c r="C1031" s="1" t="s">
        <v>3576</v>
      </c>
      <c r="D1031" s="1" t="s">
        <v>20</v>
      </c>
      <c r="E1031" s="1" t="s">
        <v>4250</v>
      </c>
      <c r="F1031" s="1" t="s">
        <v>4251</v>
      </c>
      <c r="G1031" s="1" t="s">
        <v>4252</v>
      </c>
      <c r="H1031" s="2"/>
      <c r="I1031" s="5">
        <f>XLOOKUP(K1031, pharmaceutical_index!B:B, pharmaceutical_index!A:A, "Not Found")</f>
      </c>
      <c r="J1031" s="1" t="s">
        <v>2198</v>
      </c>
      <c r="K1031" s="1" t="s">
        <v>2198</v>
      </c>
      <c r="L1031" s="1" t="s">
        <v>20</v>
      </c>
      <c r="M1031" s="1" t="s">
        <v>2198</v>
      </c>
      <c r="N1031" s="2"/>
      <c r="O1031" s="2"/>
      <c r="P1031" s="2"/>
      <c r="Q1031" s="2"/>
    </row>
    <row x14ac:dyDescent="0.25" r="1032" customHeight="1" ht="17.25">
      <c r="A1032" s="1" t="s">
        <v>4793</v>
      </c>
      <c r="B1032" s="1" t="s">
        <v>2200</v>
      </c>
      <c r="C1032" s="1" t="s">
        <v>3576</v>
      </c>
      <c r="D1032" s="1" t="s">
        <v>20</v>
      </c>
      <c r="E1032" s="1" t="s">
        <v>4250</v>
      </c>
      <c r="F1032" s="1" t="s">
        <v>4251</v>
      </c>
      <c r="G1032" s="1" t="s">
        <v>4252</v>
      </c>
      <c r="H1032" s="2"/>
      <c r="I1032" s="5">
        <f>XLOOKUP(K1032, pharmaceutical_index!B:B, pharmaceutical_index!A:A, "Not Found")</f>
      </c>
      <c r="J1032" s="1" t="s">
        <v>4794</v>
      </c>
      <c r="K1032" s="1" t="s">
        <v>2200</v>
      </c>
      <c r="L1032" s="1" t="s">
        <v>20</v>
      </c>
      <c r="M1032" s="1" t="s">
        <v>4795</v>
      </c>
      <c r="N1032" s="2"/>
      <c r="O1032" s="2"/>
      <c r="P1032" s="2"/>
      <c r="Q1032" s="2"/>
    </row>
    <row x14ac:dyDescent="0.25" r="1033" customHeight="1" ht="17.25">
      <c r="A1033" s="1" t="s">
        <v>4796</v>
      </c>
      <c r="B1033" s="1" t="s">
        <v>2202</v>
      </c>
      <c r="C1033" s="1" t="s">
        <v>3576</v>
      </c>
      <c r="D1033" s="1" t="s">
        <v>20</v>
      </c>
      <c r="E1033" s="1" t="s">
        <v>4250</v>
      </c>
      <c r="F1033" s="1" t="s">
        <v>4251</v>
      </c>
      <c r="G1033" s="1" t="s">
        <v>4252</v>
      </c>
      <c r="H1033" s="2"/>
      <c r="I1033" s="5">
        <f>XLOOKUP(K1033, pharmaceutical_index!B:B, pharmaceutical_index!A:A, "Not Found")</f>
      </c>
      <c r="J1033" s="1" t="s">
        <v>2202</v>
      </c>
      <c r="K1033" s="1" t="s">
        <v>2202</v>
      </c>
      <c r="L1033" s="1" t="s">
        <v>20</v>
      </c>
      <c r="M1033" s="1" t="s">
        <v>2202</v>
      </c>
      <c r="N1033" s="2"/>
      <c r="O1033" s="2"/>
      <c r="P1033" s="2"/>
      <c r="Q1033" s="2"/>
    </row>
    <row x14ac:dyDescent="0.25" r="1034" customHeight="1" ht="17.25">
      <c r="A1034" s="1" t="s">
        <v>4797</v>
      </c>
      <c r="B1034" s="1" t="s">
        <v>2204</v>
      </c>
      <c r="C1034" s="1" t="s">
        <v>3576</v>
      </c>
      <c r="D1034" s="1" t="s">
        <v>20</v>
      </c>
      <c r="E1034" s="1" t="s">
        <v>4250</v>
      </c>
      <c r="F1034" s="1" t="s">
        <v>4251</v>
      </c>
      <c r="G1034" s="1" t="s">
        <v>4252</v>
      </c>
      <c r="H1034" s="2"/>
      <c r="I1034" s="5">
        <f>XLOOKUP(K1034, pharmaceutical_index!B:B, pharmaceutical_index!A:A, "Not Found")</f>
      </c>
      <c r="J1034" s="1" t="s">
        <v>2204</v>
      </c>
      <c r="K1034" s="1" t="s">
        <v>2204</v>
      </c>
      <c r="L1034" s="1" t="s">
        <v>20</v>
      </c>
      <c r="M1034" s="1" t="s">
        <v>2204</v>
      </c>
      <c r="N1034" s="2"/>
      <c r="O1034" s="2"/>
      <c r="P1034" s="2"/>
      <c r="Q1034" s="2"/>
    </row>
    <row x14ac:dyDescent="0.25" r="1035" customHeight="1" ht="17.25">
      <c r="A1035" s="1" t="s">
        <v>4798</v>
      </c>
      <c r="B1035" s="1" t="s">
        <v>2206</v>
      </c>
      <c r="C1035" s="1" t="s">
        <v>3576</v>
      </c>
      <c r="D1035" s="1" t="s">
        <v>20</v>
      </c>
      <c r="E1035" s="1" t="s">
        <v>4250</v>
      </c>
      <c r="F1035" s="1" t="s">
        <v>4251</v>
      </c>
      <c r="G1035" s="1" t="s">
        <v>4252</v>
      </c>
      <c r="H1035" s="2"/>
      <c r="I1035" s="5">
        <f>XLOOKUP(K1035, pharmaceutical_index!B:B, pharmaceutical_index!A:A, "Not Found")</f>
      </c>
      <c r="J1035" s="1" t="s">
        <v>2206</v>
      </c>
      <c r="K1035" s="1" t="s">
        <v>2206</v>
      </c>
      <c r="L1035" s="1" t="s">
        <v>20</v>
      </c>
      <c r="M1035" s="1" t="s">
        <v>2206</v>
      </c>
      <c r="N1035" s="2"/>
      <c r="O1035" s="2"/>
      <c r="P1035" s="2"/>
      <c r="Q1035" s="2"/>
    </row>
    <row x14ac:dyDescent="0.25" r="1036" customHeight="1" ht="17.25">
      <c r="A1036" s="1" t="s">
        <v>4799</v>
      </c>
      <c r="B1036" s="1" t="s">
        <v>2208</v>
      </c>
      <c r="C1036" s="1" t="s">
        <v>3576</v>
      </c>
      <c r="D1036" s="1" t="s">
        <v>20</v>
      </c>
      <c r="E1036" s="1" t="s">
        <v>4250</v>
      </c>
      <c r="F1036" s="1" t="s">
        <v>4251</v>
      </c>
      <c r="G1036" s="1" t="s">
        <v>4252</v>
      </c>
      <c r="H1036" s="2"/>
      <c r="I1036" s="5">
        <f>XLOOKUP(K1036, pharmaceutical_index!B:B, pharmaceutical_index!A:A, "Not Found")</f>
      </c>
      <c r="J1036" s="1" t="s">
        <v>2208</v>
      </c>
      <c r="K1036" s="1" t="s">
        <v>2208</v>
      </c>
      <c r="L1036" s="1" t="s">
        <v>20</v>
      </c>
      <c r="M1036" s="1" t="s">
        <v>2208</v>
      </c>
      <c r="N1036" s="2"/>
      <c r="O1036" s="2"/>
      <c r="P1036" s="2"/>
      <c r="Q1036" s="2"/>
    </row>
    <row x14ac:dyDescent="0.25" r="1037" customHeight="1" ht="17.25">
      <c r="A1037" s="1" t="s">
        <v>4800</v>
      </c>
      <c r="B1037" s="1" t="s">
        <v>2210</v>
      </c>
      <c r="C1037" s="1" t="s">
        <v>3576</v>
      </c>
      <c r="D1037" s="1" t="s">
        <v>20</v>
      </c>
      <c r="E1037" s="1" t="s">
        <v>4250</v>
      </c>
      <c r="F1037" s="1" t="s">
        <v>4251</v>
      </c>
      <c r="G1037" s="1" t="s">
        <v>4252</v>
      </c>
      <c r="H1037" s="2"/>
      <c r="I1037" s="5">
        <f>XLOOKUP(K1037, pharmaceutical_index!B:B, pharmaceutical_index!A:A, "Not Found")</f>
      </c>
      <c r="J1037" s="1" t="s">
        <v>2210</v>
      </c>
      <c r="K1037" s="1" t="s">
        <v>2210</v>
      </c>
      <c r="L1037" s="1" t="s">
        <v>20</v>
      </c>
      <c r="M1037" s="1" t="s">
        <v>2210</v>
      </c>
      <c r="N1037" s="2"/>
      <c r="O1037" s="2"/>
      <c r="P1037" s="2"/>
      <c r="Q1037" s="2"/>
    </row>
    <row x14ac:dyDescent="0.25" r="1038" customHeight="1" ht="17.25">
      <c r="A1038" s="1" t="s">
        <v>4801</v>
      </c>
      <c r="B1038" s="1" t="s">
        <v>2212</v>
      </c>
      <c r="C1038" s="1" t="s">
        <v>3576</v>
      </c>
      <c r="D1038" s="1" t="s">
        <v>20</v>
      </c>
      <c r="E1038" s="1" t="s">
        <v>4250</v>
      </c>
      <c r="F1038" s="1" t="s">
        <v>4251</v>
      </c>
      <c r="G1038" s="1" t="s">
        <v>4252</v>
      </c>
      <c r="H1038" s="2"/>
      <c r="I1038" s="5">
        <f>XLOOKUP(K1038, pharmaceutical_index!B:B, pharmaceutical_index!A:A, "Not Found")</f>
      </c>
      <c r="J1038" s="1" t="s">
        <v>2212</v>
      </c>
      <c r="K1038" s="1" t="s">
        <v>2212</v>
      </c>
      <c r="L1038" s="1" t="s">
        <v>20</v>
      </c>
      <c r="M1038" s="1" t="s">
        <v>2212</v>
      </c>
      <c r="N1038" s="2"/>
      <c r="O1038" s="2"/>
      <c r="P1038" s="2"/>
      <c r="Q1038" s="2"/>
    </row>
    <row x14ac:dyDescent="0.25" r="1039" customHeight="1" ht="17.25">
      <c r="A1039" s="1" t="s">
        <v>4802</v>
      </c>
      <c r="B1039" s="1" t="s">
        <v>2214</v>
      </c>
      <c r="C1039" s="1" t="s">
        <v>3576</v>
      </c>
      <c r="D1039" s="1" t="s">
        <v>20</v>
      </c>
      <c r="E1039" s="1" t="s">
        <v>4250</v>
      </c>
      <c r="F1039" s="1" t="s">
        <v>4251</v>
      </c>
      <c r="G1039" s="1" t="s">
        <v>4252</v>
      </c>
      <c r="H1039" s="2"/>
      <c r="I1039" s="5">
        <f>XLOOKUP(K1039, pharmaceutical_index!B:B, pharmaceutical_index!A:A, "Not Found")</f>
      </c>
      <c r="J1039" s="1" t="s">
        <v>2214</v>
      </c>
      <c r="K1039" s="1" t="s">
        <v>2214</v>
      </c>
      <c r="L1039" s="1" t="s">
        <v>20</v>
      </c>
      <c r="M1039" s="1" t="s">
        <v>2214</v>
      </c>
      <c r="N1039" s="2"/>
      <c r="O1039" s="2"/>
      <c r="P1039" s="2"/>
      <c r="Q1039" s="2"/>
    </row>
    <row x14ac:dyDescent="0.25" r="1040" customHeight="1" ht="17.25">
      <c r="A1040" s="1" t="s">
        <v>4803</v>
      </c>
      <c r="B1040" s="1" t="s">
        <v>2216</v>
      </c>
      <c r="C1040" s="1" t="s">
        <v>3576</v>
      </c>
      <c r="D1040" s="1" t="s">
        <v>20</v>
      </c>
      <c r="E1040" s="1" t="s">
        <v>4250</v>
      </c>
      <c r="F1040" s="1" t="s">
        <v>4251</v>
      </c>
      <c r="G1040" s="1" t="s">
        <v>4252</v>
      </c>
      <c r="H1040" s="2"/>
      <c r="I1040" s="5">
        <f>XLOOKUP(K1040, pharmaceutical_index!B:B, pharmaceutical_index!A:A, "Not Found")</f>
      </c>
      <c r="J1040" s="1" t="s">
        <v>4804</v>
      </c>
      <c r="K1040" s="1" t="s">
        <v>2216</v>
      </c>
      <c r="L1040" s="1" t="s">
        <v>20</v>
      </c>
      <c r="M1040" s="1" t="s">
        <v>4805</v>
      </c>
      <c r="N1040" s="2"/>
      <c r="O1040" s="2"/>
      <c r="P1040" s="2"/>
      <c r="Q1040" s="2"/>
    </row>
    <row x14ac:dyDescent="0.25" r="1041" customHeight="1" ht="17.25">
      <c r="A1041" s="1" t="s">
        <v>4806</v>
      </c>
      <c r="B1041" s="1" t="s">
        <v>2218</v>
      </c>
      <c r="C1041" s="1" t="s">
        <v>3576</v>
      </c>
      <c r="D1041" s="1" t="s">
        <v>20</v>
      </c>
      <c r="E1041" s="1" t="s">
        <v>4250</v>
      </c>
      <c r="F1041" s="1" t="s">
        <v>4251</v>
      </c>
      <c r="G1041" s="1" t="s">
        <v>4252</v>
      </c>
      <c r="H1041" s="2"/>
      <c r="I1041" s="5">
        <f>XLOOKUP(K1041, pharmaceutical_index!B:B, pharmaceutical_index!A:A, "Not Found")</f>
      </c>
      <c r="J1041" s="1" t="s">
        <v>4807</v>
      </c>
      <c r="K1041" s="1" t="s">
        <v>2218</v>
      </c>
      <c r="L1041" s="1" t="s">
        <v>20</v>
      </c>
      <c r="M1041" s="1" t="s">
        <v>4808</v>
      </c>
      <c r="N1041" s="2"/>
      <c r="O1041" s="2"/>
      <c r="P1041" s="2"/>
      <c r="Q1041" s="2"/>
    </row>
    <row x14ac:dyDescent="0.25" r="1042" customHeight="1" ht="17.25">
      <c r="A1042" s="1" t="s">
        <v>4809</v>
      </c>
      <c r="B1042" s="1" t="s">
        <v>2220</v>
      </c>
      <c r="C1042" s="1" t="s">
        <v>3576</v>
      </c>
      <c r="D1042" s="1" t="s">
        <v>20</v>
      </c>
      <c r="E1042" s="1" t="s">
        <v>4250</v>
      </c>
      <c r="F1042" s="1" t="s">
        <v>4251</v>
      </c>
      <c r="G1042" s="1" t="s">
        <v>4252</v>
      </c>
      <c r="H1042" s="2"/>
      <c r="I1042" s="5">
        <f>XLOOKUP(K1042, pharmaceutical_index!B:B, pharmaceutical_index!A:A, "Not Found")</f>
      </c>
      <c r="J1042" s="1" t="s">
        <v>4810</v>
      </c>
      <c r="K1042" s="1" t="s">
        <v>2220</v>
      </c>
      <c r="L1042" s="1" t="s">
        <v>20</v>
      </c>
      <c r="M1042" s="1" t="s">
        <v>4811</v>
      </c>
      <c r="N1042" s="2"/>
      <c r="O1042" s="2"/>
      <c r="P1042" s="2"/>
      <c r="Q1042" s="2"/>
    </row>
    <row x14ac:dyDescent="0.25" r="1043" customHeight="1" ht="17.25">
      <c r="A1043" s="1" t="s">
        <v>4812</v>
      </c>
      <c r="B1043" s="1" t="s">
        <v>2222</v>
      </c>
      <c r="C1043" s="1" t="s">
        <v>3576</v>
      </c>
      <c r="D1043" s="1" t="s">
        <v>20</v>
      </c>
      <c r="E1043" s="1" t="s">
        <v>4250</v>
      </c>
      <c r="F1043" s="1" t="s">
        <v>4251</v>
      </c>
      <c r="G1043" s="1" t="s">
        <v>4252</v>
      </c>
      <c r="H1043" s="2"/>
      <c r="I1043" s="5">
        <f>XLOOKUP(K1043, pharmaceutical_index!B:B, pharmaceutical_index!A:A, "Not Found")</f>
      </c>
      <c r="J1043" s="1" t="s">
        <v>4813</v>
      </c>
      <c r="K1043" s="1" t="s">
        <v>2222</v>
      </c>
      <c r="L1043" s="1" t="s">
        <v>20</v>
      </c>
      <c r="M1043" s="1" t="s">
        <v>4814</v>
      </c>
      <c r="N1043" s="2"/>
      <c r="O1043" s="2"/>
      <c r="P1043" s="2"/>
      <c r="Q1043" s="2"/>
    </row>
    <row x14ac:dyDescent="0.25" r="1044" customHeight="1" ht="17.25">
      <c r="A1044" s="1" t="s">
        <v>4815</v>
      </c>
      <c r="B1044" s="1" t="s">
        <v>2224</v>
      </c>
      <c r="C1044" s="1" t="s">
        <v>3576</v>
      </c>
      <c r="D1044" s="1" t="s">
        <v>20</v>
      </c>
      <c r="E1044" s="1" t="s">
        <v>4250</v>
      </c>
      <c r="F1044" s="1" t="s">
        <v>4251</v>
      </c>
      <c r="G1044" s="1" t="s">
        <v>4252</v>
      </c>
      <c r="H1044" s="2"/>
      <c r="I1044" s="5">
        <f>XLOOKUP(K1044, pharmaceutical_index!B:B, pharmaceutical_index!A:A, "Not Found")</f>
      </c>
      <c r="J1044" s="1" t="s">
        <v>4816</v>
      </c>
      <c r="K1044" s="1" t="s">
        <v>2224</v>
      </c>
      <c r="L1044" s="1" t="s">
        <v>20</v>
      </c>
      <c r="M1044" s="1" t="s">
        <v>4817</v>
      </c>
      <c r="N1044" s="2"/>
      <c r="O1044" s="2"/>
      <c r="P1044" s="2"/>
      <c r="Q1044" s="2"/>
    </row>
    <row x14ac:dyDescent="0.25" r="1045" customHeight="1" ht="17.25">
      <c r="A1045" s="1" t="s">
        <v>4818</v>
      </c>
      <c r="B1045" s="1" t="s">
        <v>2226</v>
      </c>
      <c r="C1045" s="1" t="s">
        <v>3576</v>
      </c>
      <c r="D1045" s="1" t="s">
        <v>20</v>
      </c>
      <c r="E1045" s="1" t="s">
        <v>4250</v>
      </c>
      <c r="F1045" s="1" t="s">
        <v>4251</v>
      </c>
      <c r="G1045" s="1" t="s">
        <v>4252</v>
      </c>
      <c r="H1045" s="2"/>
      <c r="I1045" s="5">
        <f>XLOOKUP(K1045, pharmaceutical_index!B:B, pharmaceutical_index!A:A, "Not Found")</f>
      </c>
      <c r="J1045" s="1" t="s">
        <v>2226</v>
      </c>
      <c r="K1045" s="1" t="s">
        <v>2226</v>
      </c>
      <c r="L1045" s="1" t="s">
        <v>20</v>
      </c>
      <c r="M1045" s="1" t="s">
        <v>2226</v>
      </c>
      <c r="N1045" s="2"/>
      <c r="O1045" s="2"/>
      <c r="P1045" s="2"/>
      <c r="Q1045" s="2"/>
    </row>
    <row x14ac:dyDescent="0.25" r="1046" customHeight="1" ht="17.25">
      <c r="A1046" s="1" t="s">
        <v>4819</v>
      </c>
      <c r="B1046" s="1" t="s">
        <v>2228</v>
      </c>
      <c r="C1046" s="1" t="s">
        <v>3576</v>
      </c>
      <c r="D1046" s="1" t="s">
        <v>20</v>
      </c>
      <c r="E1046" s="1" t="s">
        <v>4250</v>
      </c>
      <c r="F1046" s="1" t="s">
        <v>4251</v>
      </c>
      <c r="G1046" s="1" t="s">
        <v>4252</v>
      </c>
      <c r="H1046" s="2"/>
      <c r="I1046" s="5">
        <f>XLOOKUP(K1046, pharmaceutical_index!B:B, pharmaceutical_index!A:A, "Not Found")</f>
      </c>
      <c r="J1046" s="1" t="s">
        <v>2228</v>
      </c>
      <c r="K1046" s="1" t="s">
        <v>2228</v>
      </c>
      <c r="L1046" s="1" t="s">
        <v>20</v>
      </c>
      <c r="M1046" s="1" t="s">
        <v>2228</v>
      </c>
      <c r="N1046" s="2"/>
      <c r="O1046" s="2"/>
      <c r="P1046" s="2"/>
      <c r="Q1046" s="2"/>
    </row>
    <row x14ac:dyDescent="0.25" r="1047" customHeight="1" ht="17.25">
      <c r="A1047" s="1" t="s">
        <v>4820</v>
      </c>
      <c r="B1047" s="1" t="s">
        <v>2230</v>
      </c>
      <c r="C1047" s="1" t="s">
        <v>3576</v>
      </c>
      <c r="D1047" s="1" t="s">
        <v>20</v>
      </c>
      <c r="E1047" s="1" t="s">
        <v>4250</v>
      </c>
      <c r="F1047" s="1" t="s">
        <v>4251</v>
      </c>
      <c r="G1047" s="1" t="s">
        <v>4252</v>
      </c>
      <c r="H1047" s="2"/>
      <c r="I1047" s="5">
        <f>XLOOKUP(K1047, pharmaceutical_index!B:B, pharmaceutical_index!A:A, "Not Found")</f>
      </c>
      <c r="J1047" s="1" t="s">
        <v>2230</v>
      </c>
      <c r="K1047" s="1" t="s">
        <v>2230</v>
      </c>
      <c r="L1047" s="1" t="s">
        <v>20</v>
      </c>
      <c r="M1047" s="1" t="s">
        <v>2230</v>
      </c>
      <c r="N1047" s="2"/>
      <c r="O1047" s="2"/>
      <c r="P1047" s="2"/>
      <c r="Q1047" s="2"/>
    </row>
    <row x14ac:dyDescent="0.25" r="1048" customHeight="1" ht="17.25">
      <c r="A1048" s="1" t="s">
        <v>4821</v>
      </c>
      <c r="B1048" s="1" t="s">
        <v>2232</v>
      </c>
      <c r="C1048" s="1" t="s">
        <v>3576</v>
      </c>
      <c r="D1048" s="1" t="s">
        <v>20</v>
      </c>
      <c r="E1048" s="1" t="s">
        <v>4250</v>
      </c>
      <c r="F1048" s="1" t="s">
        <v>4251</v>
      </c>
      <c r="G1048" s="1" t="s">
        <v>4252</v>
      </c>
      <c r="H1048" s="2"/>
      <c r="I1048" s="5">
        <f>XLOOKUP(K1048, pharmaceutical_index!B:B, pharmaceutical_index!A:A, "Not Found")</f>
      </c>
      <c r="J1048" s="1" t="s">
        <v>2232</v>
      </c>
      <c r="K1048" s="1" t="s">
        <v>2232</v>
      </c>
      <c r="L1048" s="1" t="s">
        <v>20</v>
      </c>
      <c r="M1048" s="1" t="s">
        <v>2232</v>
      </c>
      <c r="N1048" s="2"/>
      <c r="O1048" s="2"/>
      <c r="P1048" s="2"/>
      <c r="Q1048" s="2"/>
    </row>
    <row x14ac:dyDescent="0.25" r="1049" customHeight="1" ht="17.25">
      <c r="A1049" s="1" t="s">
        <v>4822</v>
      </c>
      <c r="B1049" s="1" t="s">
        <v>2234</v>
      </c>
      <c r="C1049" s="1" t="s">
        <v>3576</v>
      </c>
      <c r="D1049" s="1" t="s">
        <v>20</v>
      </c>
      <c r="E1049" s="1" t="s">
        <v>4250</v>
      </c>
      <c r="F1049" s="1" t="s">
        <v>4251</v>
      </c>
      <c r="G1049" s="1" t="s">
        <v>4252</v>
      </c>
      <c r="H1049" s="2"/>
      <c r="I1049" s="5">
        <f>XLOOKUP(K1049, pharmaceutical_index!B:B, pharmaceutical_index!A:A, "Not Found")</f>
      </c>
      <c r="J1049" s="1" t="s">
        <v>2234</v>
      </c>
      <c r="K1049" s="1" t="s">
        <v>2234</v>
      </c>
      <c r="L1049" s="1" t="s">
        <v>20</v>
      </c>
      <c r="M1049" s="1" t="s">
        <v>2234</v>
      </c>
      <c r="N1049" s="2"/>
      <c r="O1049" s="2"/>
      <c r="P1049" s="2"/>
      <c r="Q1049" s="2"/>
    </row>
    <row x14ac:dyDescent="0.25" r="1050" customHeight="1" ht="17.25">
      <c r="A1050" s="1" t="s">
        <v>4823</v>
      </c>
      <c r="B1050" s="1" t="s">
        <v>2236</v>
      </c>
      <c r="C1050" s="1" t="s">
        <v>3576</v>
      </c>
      <c r="D1050" s="1" t="s">
        <v>20</v>
      </c>
      <c r="E1050" s="1" t="s">
        <v>4250</v>
      </c>
      <c r="F1050" s="1" t="s">
        <v>4251</v>
      </c>
      <c r="G1050" s="1" t="s">
        <v>4252</v>
      </c>
      <c r="H1050" s="2"/>
      <c r="I1050" s="5">
        <f>XLOOKUP(K1050, pharmaceutical_index!B:B, pharmaceutical_index!A:A, "Not Found")</f>
      </c>
      <c r="J1050" s="1" t="s">
        <v>2236</v>
      </c>
      <c r="K1050" s="1" t="s">
        <v>2236</v>
      </c>
      <c r="L1050" s="1" t="s">
        <v>20</v>
      </c>
      <c r="M1050" s="1" t="s">
        <v>2236</v>
      </c>
      <c r="N1050" s="2"/>
      <c r="O1050" s="2"/>
      <c r="P1050" s="2"/>
      <c r="Q1050" s="2"/>
    </row>
    <row x14ac:dyDescent="0.25" r="1051" customHeight="1" ht="17.25">
      <c r="A1051" s="1" t="s">
        <v>4824</v>
      </c>
      <c r="B1051" s="1" t="s">
        <v>2238</v>
      </c>
      <c r="C1051" s="1" t="s">
        <v>3576</v>
      </c>
      <c r="D1051" s="1" t="s">
        <v>20</v>
      </c>
      <c r="E1051" s="1" t="s">
        <v>4250</v>
      </c>
      <c r="F1051" s="1" t="s">
        <v>4251</v>
      </c>
      <c r="G1051" s="1" t="s">
        <v>4252</v>
      </c>
      <c r="H1051" s="2"/>
      <c r="I1051" s="5">
        <f>XLOOKUP(K1051, pharmaceutical_index!B:B, pharmaceutical_index!A:A, "Not Found")</f>
      </c>
      <c r="J1051" s="1" t="s">
        <v>2238</v>
      </c>
      <c r="K1051" s="1" t="s">
        <v>2238</v>
      </c>
      <c r="L1051" s="1" t="s">
        <v>20</v>
      </c>
      <c r="M1051" s="1" t="s">
        <v>2238</v>
      </c>
      <c r="N1051" s="2"/>
      <c r="O1051" s="2"/>
      <c r="P1051" s="2"/>
      <c r="Q1051" s="2"/>
    </row>
    <row x14ac:dyDescent="0.25" r="1052" customHeight="1" ht="17.25">
      <c r="A1052" s="1" t="s">
        <v>4825</v>
      </c>
      <c r="B1052" s="1" t="s">
        <v>2240</v>
      </c>
      <c r="C1052" s="1" t="s">
        <v>3576</v>
      </c>
      <c r="D1052" s="1" t="s">
        <v>20</v>
      </c>
      <c r="E1052" s="1" t="s">
        <v>4250</v>
      </c>
      <c r="F1052" s="1" t="s">
        <v>4251</v>
      </c>
      <c r="G1052" s="1" t="s">
        <v>4252</v>
      </c>
      <c r="H1052" s="2"/>
      <c r="I1052" s="5">
        <f>XLOOKUP(K1052, pharmaceutical_index!B:B, pharmaceutical_index!A:A, "Not Found")</f>
      </c>
      <c r="J1052" s="1" t="s">
        <v>2240</v>
      </c>
      <c r="K1052" s="1" t="s">
        <v>2240</v>
      </c>
      <c r="L1052" s="1" t="s">
        <v>20</v>
      </c>
      <c r="M1052" s="1" t="s">
        <v>2240</v>
      </c>
      <c r="N1052" s="2"/>
      <c r="O1052" s="2"/>
      <c r="P1052" s="2"/>
      <c r="Q1052" s="2"/>
    </row>
    <row x14ac:dyDescent="0.25" r="1053" customHeight="1" ht="17.25">
      <c r="A1053" s="1" t="s">
        <v>4826</v>
      </c>
      <c r="B1053" s="1" t="s">
        <v>2242</v>
      </c>
      <c r="C1053" s="1" t="s">
        <v>3576</v>
      </c>
      <c r="D1053" s="1" t="s">
        <v>20</v>
      </c>
      <c r="E1053" s="1" t="s">
        <v>4250</v>
      </c>
      <c r="F1053" s="1" t="s">
        <v>4251</v>
      </c>
      <c r="G1053" s="1" t="s">
        <v>4252</v>
      </c>
      <c r="H1053" s="2"/>
      <c r="I1053" s="5">
        <f>XLOOKUP(K1053, pharmaceutical_index!B:B, pharmaceutical_index!A:A, "Not Found")</f>
      </c>
      <c r="J1053" s="1" t="s">
        <v>2242</v>
      </c>
      <c r="K1053" s="1" t="s">
        <v>2242</v>
      </c>
      <c r="L1053" s="1" t="s">
        <v>20</v>
      </c>
      <c r="M1053" s="1" t="s">
        <v>2242</v>
      </c>
      <c r="N1053" s="2"/>
      <c r="O1053" s="2"/>
      <c r="P1053" s="2"/>
      <c r="Q1053" s="2"/>
    </row>
    <row x14ac:dyDescent="0.25" r="1054" customHeight="1" ht="17.25">
      <c r="A1054" s="1" t="s">
        <v>4827</v>
      </c>
      <c r="B1054" s="1" t="s">
        <v>2244</v>
      </c>
      <c r="C1054" s="1" t="s">
        <v>3576</v>
      </c>
      <c r="D1054" s="1" t="s">
        <v>20</v>
      </c>
      <c r="E1054" s="1" t="s">
        <v>4250</v>
      </c>
      <c r="F1054" s="1" t="s">
        <v>4251</v>
      </c>
      <c r="G1054" s="1" t="s">
        <v>4252</v>
      </c>
      <c r="H1054" s="2"/>
      <c r="I1054" s="5">
        <f>XLOOKUP(K1054, pharmaceutical_index!B:B, pharmaceutical_index!A:A, "Not Found")</f>
      </c>
      <c r="J1054" s="1" t="s">
        <v>2244</v>
      </c>
      <c r="K1054" s="1" t="s">
        <v>2244</v>
      </c>
      <c r="L1054" s="1" t="s">
        <v>20</v>
      </c>
      <c r="M1054" s="1" t="s">
        <v>2244</v>
      </c>
      <c r="N1054" s="2"/>
      <c r="O1054" s="2"/>
      <c r="P1054" s="2"/>
      <c r="Q1054" s="2"/>
    </row>
    <row x14ac:dyDescent="0.25" r="1055" customHeight="1" ht="17.25">
      <c r="A1055" s="1" t="s">
        <v>4828</v>
      </c>
      <c r="B1055" s="1" t="s">
        <v>2246</v>
      </c>
      <c r="C1055" s="1" t="s">
        <v>3576</v>
      </c>
      <c r="D1055" s="1" t="s">
        <v>20</v>
      </c>
      <c r="E1055" s="1" t="s">
        <v>4250</v>
      </c>
      <c r="F1055" s="1" t="s">
        <v>4251</v>
      </c>
      <c r="G1055" s="1" t="s">
        <v>4252</v>
      </c>
      <c r="H1055" s="2"/>
      <c r="I1055" s="5">
        <f>XLOOKUP(K1055, pharmaceutical_index!B:B, pharmaceutical_index!A:A, "Not Found")</f>
      </c>
      <c r="J1055" s="1" t="s">
        <v>2246</v>
      </c>
      <c r="K1055" s="1" t="s">
        <v>2246</v>
      </c>
      <c r="L1055" s="1" t="s">
        <v>20</v>
      </c>
      <c r="M1055" s="1" t="s">
        <v>2246</v>
      </c>
      <c r="N1055" s="2"/>
      <c r="O1055" s="2"/>
      <c r="P1055" s="2"/>
      <c r="Q1055" s="2"/>
    </row>
    <row x14ac:dyDescent="0.25" r="1056" customHeight="1" ht="17.25">
      <c r="A1056" s="1" t="s">
        <v>4829</v>
      </c>
      <c r="B1056" s="1" t="s">
        <v>2248</v>
      </c>
      <c r="C1056" s="1" t="s">
        <v>3576</v>
      </c>
      <c r="D1056" s="1" t="s">
        <v>20</v>
      </c>
      <c r="E1056" s="1" t="s">
        <v>4250</v>
      </c>
      <c r="F1056" s="1" t="s">
        <v>4251</v>
      </c>
      <c r="G1056" s="1" t="s">
        <v>4252</v>
      </c>
      <c r="H1056" s="2"/>
      <c r="I1056" s="5">
        <f>XLOOKUP(K1056, pharmaceutical_index!B:B, pharmaceutical_index!A:A, "Not Found")</f>
      </c>
      <c r="J1056" s="1" t="s">
        <v>2248</v>
      </c>
      <c r="K1056" s="1" t="s">
        <v>2248</v>
      </c>
      <c r="L1056" s="1" t="s">
        <v>20</v>
      </c>
      <c r="M1056" s="1" t="s">
        <v>2248</v>
      </c>
      <c r="N1056" s="2"/>
      <c r="O1056" s="2"/>
      <c r="P1056" s="2"/>
      <c r="Q1056" s="2"/>
    </row>
    <row x14ac:dyDescent="0.25" r="1057" customHeight="1" ht="17.25">
      <c r="A1057" s="1" t="s">
        <v>4830</v>
      </c>
      <c r="B1057" s="1" t="s">
        <v>2250</v>
      </c>
      <c r="C1057" s="1" t="s">
        <v>3576</v>
      </c>
      <c r="D1057" s="1" t="s">
        <v>20</v>
      </c>
      <c r="E1057" s="1" t="s">
        <v>4250</v>
      </c>
      <c r="F1057" s="1" t="s">
        <v>4251</v>
      </c>
      <c r="G1057" s="1" t="s">
        <v>4252</v>
      </c>
      <c r="H1057" s="2"/>
      <c r="I1057" s="5">
        <f>XLOOKUP(K1057, pharmaceutical_index!B:B, pharmaceutical_index!A:A, "Not Found")</f>
      </c>
      <c r="J1057" s="1" t="s">
        <v>2250</v>
      </c>
      <c r="K1057" s="1" t="s">
        <v>2250</v>
      </c>
      <c r="L1057" s="1" t="s">
        <v>20</v>
      </c>
      <c r="M1057" s="1" t="s">
        <v>2250</v>
      </c>
      <c r="N1057" s="2"/>
      <c r="O1057" s="2"/>
      <c r="P1057" s="2"/>
      <c r="Q1057" s="2"/>
    </row>
    <row x14ac:dyDescent="0.25" r="1058" customHeight="1" ht="17.25">
      <c r="A1058" s="1" t="s">
        <v>4831</v>
      </c>
      <c r="B1058" s="1" t="s">
        <v>2252</v>
      </c>
      <c r="C1058" s="1" t="s">
        <v>3576</v>
      </c>
      <c r="D1058" s="1" t="s">
        <v>20</v>
      </c>
      <c r="E1058" s="1" t="s">
        <v>4250</v>
      </c>
      <c r="F1058" s="1" t="s">
        <v>4251</v>
      </c>
      <c r="G1058" s="1" t="s">
        <v>4252</v>
      </c>
      <c r="H1058" s="2"/>
      <c r="I1058" s="5">
        <f>XLOOKUP(K1058, pharmaceutical_index!B:B, pharmaceutical_index!A:A, "Not Found")</f>
      </c>
      <c r="J1058" s="1" t="s">
        <v>2252</v>
      </c>
      <c r="K1058" s="1" t="s">
        <v>2252</v>
      </c>
      <c r="L1058" s="1" t="s">
        <v>20</v>
      </c>
      <c r="M1058" s="1" t="s">
        <v>2252</v>
      </c>
      <c r="N1058" s="2"/>
      <c r="O1058" s="2"/>
      <c r="P1058" s="2"/>
      <c r="Q1058" s="2"/>
    </row>
    <row x14ac:dyDescent="0.25" r="1059" customHeight="1" ht="17.25">
      <c r="A1059" s="1" t="s">
        <v>4832</v>
      </c>
      <c r="B1059" s="1" t="s">
        <v>2254</v>
      </c>
      <c r="C1059" s="1" t="s">
        <v>3576</v>
      </c>
      <c r="D1059" s="1" t="s">
        <v>20</v>
      </c>
      <c r="E1059" s="1" t="s">
        <v>4250</v>
      </c>
      <c r="F1059" s="1" t="s">
        <v>4251</v>
      </c>
      <c r="G1059" s="1" t="s">
        <v>4252</v>
      </c>
      <c r="H1059" s="2"/>
      <c r="I1059" s="5">
        <f>XLOOKUP(K1059, pharmaceutical_index!B:B, pharmaceutical_index!A:A, "Not Found")</f>
      </c>
      <c r="J1059" s="1" t="s">
        <v>2254</v>
      </c>
      <c r="K1059" s="1" t="s">
        <v>2254</v>
      </c>
      <c r="L1059" s="1" t="s">
        <v>20</v>
      </c>
      <c r="M1059" s="1" t="s">
        <v>2254</v>
      </c>
      <c r="N1059" s="2"/>
      <c r="O1059" s="2"/>
      <c r="P1059" s="2"/>
      <c r="Q1059" s="2"/>
    </row>
    <row x14ac:dyDescent="0.25" r="1060" customHeight="1" ht="17.25">
      <c r="A1060" s="1" t="s">
        <v>4833</v>
      </c>
      <c r="B1060" s="1" t="s">
        <v>2256</v>
      </c>
      <c r="C1060" s="1" t="s">
        <v>3576</v>
      </c>
      <c r="D1060" s="1" t="s">
        <v>20</v>
      </c>
      <c r="E1060" s="1" t="s">
        <v>4250</v>
      </c>
      <c r="F1060" s="1" t="s">
        <v>4251</v>
      </c>
      <c r="G1060" s="1" t="s">
        <v>4252</v>
      </c>
      <c r="H1060" s="2"/>
      <c r="I1060" s="5">
        <f>XLOOKUP(K1060, pharmaceutical_index!B:B, pharmaceutical_index!A:A, "Not Found")</f>
      </c>
      <c r="J1060" s="1" t="s">
        <v>2256</v>
      </c>
      <c r="K1060" s="1" t="s">
        <v>2256</v>
      </c>
      <c r="L1060" s="1" t="s">
        <v>20</v>
      </c>
      <c r="M1060" s="1" t="s">
        <v>2256</v>
      </c>
      <c r="N1060" s="2"/>
      <c r="O1060" s="2"/>
      <c r="P1060" s="2"/>
      <c r="Q1060" s="2"/>
    </row>
    <row x14ac:dyDescent="0.25" r="1061" customHeight="1" ht="17.25">
      <c r="A1061" s="1" t="s">
        <v>4834</v>
      </c>
      <c r="B1061" s="1" t="s">
        <v>2258</v>
      </c>
      <c r="C1061" s="1" t="s">
        <v>3576</v>
      </c>
      <c r="D1061" s="1" t="s">
        <v>20</v>
      </c>
      <c r="E1061" s="1" t="s">
        <v>4250</v>
      </c>
      <c r="F1061" s="1" t="s">
        <v>4251</v>
      </c>
      <c r="G1061" s="1" t="s">
        <v>4252</v>
      </c>
      <c r="H1061" s="2"/>
      <c r="I1061" s="5">
        <f>XLOOKUP(K1061, pharmaceutical_index!B:B, pharmaceutical_index!A:A, "Not Found")</f>
      </c>
      <c r="J1061" s="1" t="s">
        <v>2258</v>
      </c>
      <c r="K1061" s="1" t="s">
        <v>2258</v>
      </c>
      <c r="L1061" s="1" t="s">
        <v>20</v>
      </c>
      <c r="M1061" s="1" t="s">
        <v>2258</v>
      </c>
      <c r="N1061" s="2"/>
      <c r="O1061" s="2"/>
      <c r="P1061" s="2"/>
      <c r="Q1061" s="2"/>
    </row>
    <row x14ac:dyDescent="0.25" r="1062" customHeight="1" ht="17.25">
      <c r="A1062" s="1" t="s">
        <v>4835</v>
      </c>
      <c r="B1062" s="1" t="s">
        <v>2260</v>
      </c>
      <c r="C1062" s="1" t="s">
        <v>3576</v>
      </c>
      <c r="D1062" s="1" t="s">
        <v>20</v>
      </c>
      <c r="E1062" s="1" t="s">
        <v>4250</v>
      </c>
      <c r="F1062" s="1" t="s">
        <v>4251</v>
      </c>
      <c r="G1062" s="1" t="s">
        <v>4252</v>
      </c>
      <c r="H1062" s="2"/>
      <c r="I1062" s="5">
        <f>XLOOKUP(K1062, pharmaceutical_index!B:B, pharmaceutical_index!A:A, "Not Found")</f>
      </c>
      <c r="J1062" s="1" t="s">
        <v>2260</v>
      </c>
      <c r="K1062" s="1" t="s">
        <v>2260</v>
      </c>
      <c r="L1062" s="1" t="s">
        <v>20</v>
      </c>
      <c r="M1062" s="1" t="s">
        <v>2260</v>
      </c>
      <c r="N1062" s="2"/>
      <c r="O1062" s="2"/>
      <c r="P1062" s="2"/>
      <c r="Q1062" s="2"/>
    </row>
    <row x14ac:dyDescent="0.25" r="1063" customHeight="1" ht="17.25">
      <c r="A1063" s="1" t="s">
        <v>4836</v>
      </c>
      <c r="B1063" s="1" t="s">
        <v>2262</v>
      </c>
      <c r="C1063" s="1" t="s">
        <v>3576</v>
      </c>
      <c r="D1063" s="1" t="s">
        <v>20</v>
      </c>
      <c r="E1063" s="1" t="s">
        <v>4250</v>
      </c>
      <c r="F1063" s="1" t="s">
        <v>4251</v>
      </c>
      <c r="G1063" s="1" t="s">
        <v>4252</v>
      </c>
      <c r="H1063" s="2"/>
      <c r="I1063" s="5">
        <f>XLOOKUP(K1063, pharmaceutical_index!B:B, pharmaceutical_index!A:A, "Not Found")</f>
      </c>
      <c r="J1063" s="1" t="s">
        <v>2262</v>
      </c>
      <c r="K1063" s="1" t="s">
        <v>2262</v>
      </c>
      <c r="L1063" s="1" t="s">
        <v>20</v>
      </c>
      <c r="M1063" s="1" t="s">
        <v>2262</v>
      </c>
      <c r="N1063" s="2"/>
      <c r="O1063" s="2"/>
      <c r="P1063" s="2"/>
      <c r="Q1063" s="2"/>
    </row>
    <row x14ac:dyDescent="0.25" r="1064" customHeight="1" ht="17.25">
      <c r="A1064" s="1" t="s">
        <v>4837</v>
      </c>
      <c r="B1064" s="1" t="s">
        <v>2264</v>
      </c>
      <c r="C1064" s="1" t="s">
        <v>3576</v>
      </c>
      <c r="D1064" s="1" t="s">
        <v>20</v>
      </c>
      <c r="E1064" s="1" t="s">
        <v>4250</v>
      </c>
      <c r="F1064" s="1" t="s">
        <v>4251</v>
      </c>
      <c r="G1064" s="1" t="s">
        <v>4252</v>
      </c>
      <c r="H1064" s="2"/>
      <c r="I1064" s="5">
        <f>XLOOKUP(K1064, pharmaceutical_index!B:B, pharmaceutical_index!A:A, "Not Found")</f>
      </c>
      <c r="J1064" s="1" t="s">
        <v>2264</v>
      </c>
      <c r="K1064" s="1" t="s">
        <v>2264</v>
      </c>
      <c r="L1064" s="1" t="s">
        <v>20</v>
      </c>
      <c r="M1064" s="1" t="s">
        <v>2264</v>
      </c>
      <c r="N1064" s="2"/>
      <c r="O1064" s="2"/>
      <c r="P1064" s="2"/>
      <c r="Q1064" s="2"/>
    </row>
    <row x14ac:dyDescent="0.25" r="1065" customHeight="1" ht="17.25">
      <c r="A1065" s="1" t="s">
        <v>4838</v>
      </c>
      <c r="B1065" s="1" t="s">
        <v>2266</v>
      </c>
      <c r="C1065" s="1" t="s">
        <v>3576</v>
      </c>
      <c r="D1065" s="1" t="s">
        <v>20</v>
      </c>
      <c r="E1065" s="1" t="s">
        <v>4250</v>
      </c>
      <c r="F1065" s="1" t="s">
        <v>4251</v>
      </c>
      <c r="G1065" s="1" t="s">
        <v>4252</v>
      </c>
      <c r="H1065" s="2"/>
      <c r="I1065" s="5">
        <f>XLOOKUP(K1065, pharmaceutical_index!B:B, pharmaceutical_index!A:A, "Not Found")</f>
      </c>
      <c r="J1065" s="1" t="s">
        <v>2266</v>
      </c>
      <c r="K1065" s="1" t="s">
        <v>2266</v>
      </c>
      <c r="L1065" s="1" t="s">
        <v>20</v>
      </c>
      <c r="M1065" s="1" t="s">
        <v>2266</v>
      </c>
      <c r="N1065" s="2"/>
      <c r="O1065" s="2"/>
      <c r="P1065" s="2"/>
      <c r="Q1065" s="2"/>
    </row>
    <row x14ac:dyDescent="0.25" r="1066" customHeight="1" ht="17.25">
      <c r="A1066" s="1" t="s">
        <v>4839</v>
      </c>
      <c r="B1066" s="1" t="s">
        <v>2268</v>
      </c>
      <c r="C1066" s="1" t="s">
        <v>3576</v>
      </c>
      <c r="D1066" s="1" t="s">
        <v>20</v>
      </c>
      <c r="E1066" s="1" t="s">
        <v>4250</v>
      </c>
      <c r="F1066" s="1" t="s">
        <v>4251</v>
      </c>
      <c r="G1066" s="1" t="s">
        <v>4252</v>
      </c>
      <c r="H1066" s="2"/>
      <c r="I1066" s="5">
        <f>XLOOKUP(K1066, pharmaceutical_index!B:B, pharmaceutical_index!A:A, "Not Found")</f>
      </c>
      <c r="J1066" s="1" t="s">
        <v>2268</v>
      </c>
      <c r="K1066" s="1" t="s">
        <v>2268</v>
      </c>
      <c r="L1066" s="1" t="s">
        <v>20</v>
      </c>
      <c r="M1066" s="1" t="s">
        <v>2268</v>
      </c>
      <c r="N1066" s="2"/>
      <c r="O1066" s="2"/>
      <c r="P1066" s="2"/>
      <c r="Q1066" s="2"/>
    </row>
    <row x14ac:dyDescent="0.25" r="1067" customHeight="1" ht="17.25">
      <c r="A1067" s="1" t="s">
        <v>4840</v>
      </c>
      <c r="B1067" s="1" t="s">
        <v>2270</v>
      </c>
      <c r="C1067" s="1" t="s">
        <v>3576</v>
      </c>
      <c r="D1067" s="1" t="s">
        <v>20</v>
      </c>
      <c r="E1067" s="1" t="s">
        <v>4250</v>
      </c>
      <c r="F1067" s="1" t="s">
        <v>4251</v>
      </c>
      <c r="G1067" s="1" t="s">
        <v>4252</v>
      </c>
      <c r="H1067" s="2"/>
      <c r="I1067" s="5">
        <f>XLOOKUP(K1067, pharmaceutical_index!B:B, pharmaceutical_index!A:A, "Not Found")</f>
      </c>
      <c r="J1067" s="1" t="s">
        <v>2270</v>
      </c>
      <c r="K1067" s="1" t="s">
        <v>2270</v>
      </c>
      <c r="L1067" s="1" t="s">
        <v>20</v>
      </c>
      <c r="M1067" s="1" t="s">
        <v>2270</v>
      </c>
      <c r="N1067" s="2"/>
      <c r="O1067" s="2"/>
      <c r="P1067" s="2"/>
      <c r="Q1067" s="2"/>
    </row>
    <row x14ac:dyDescent="0.25" r="1068" customHeight="1" ht="17.25">
      <c r="A1068" s="1" t="s">
        <v>4841</v>
      </c>
      <c r="B1068" s="1" t="s">
        <v>2272</v>
      </c>
      <c r="C1068" s="1" t="s">
        <v>3576</v>
      </c>
      <c r="D1068" s="1" t="s">
        <v>20</v>
      </c>
      <c r="E1068" s="1" t="s">
        <v>4250</v>
      </c>
      <c r="F1068" s="1" t="s">
        <v>4251</v>
      </c>
      <c r="G1068" s="1" t="s">
        <v>4252</v>
      </c>
      <c r="H1068" s="2"/>
      <c r="I1068" s="5">
        <f>XLOOKUP(K1068, pharmaceutical_index!B:B, pharmaceutical_index!A:A, "Not Found")</f>
      </c>
      <c r="J1068" s="1" t="s">
        <v>4842</v>
      </c>
      <c r="K1068" s="1" t="s">
        <v>2272</v>
      </c>
      <c r="L1068" s="1" t="s">
        <v>20</v>
      </c>
      <c r="M1068" s="1" t="s">
        <v>4843</v>
      </c>
      <c r="N1068" s="2"/>
      <c r="O1068" s="2"/>
      <c r="P1068" s="2"/>
      <c r="Q1068" s="2"/>
    </row>
    <row x14ac:dyDescent="0.25" r="1069" customHeight="1" ht="17.25">
      <c r="A1069" s="1" t="s">
        <v>4844</v>
      </c>
      <c r="B1069" s="1" t="s">
        <v>2274</v>
      </c>
      <c r="C1069" s="1" t="s">
        <v>3576</v>
      </c>
      <c r="D1069" s="1" t="s">
        <v>20</v>
      </c>
      <c r="E1069" s="1" t="s">
        <v>4250</v>
      </c>
      <c r="F1069" s="1" t="s">
        <v>4251</v>
      </c>
      <c r="G1069" s="1" t="s">
        <v>4252</v>
      </c>
      <c r="H1069" s="2"/>
      <c r="I1069" s="5">
        <f>XLOOKUP(K1069, pharmaceutical_index!B:B, pharmaceutical_index!A:A, "Not Found")</f>
      </c>
      <c r="J1069" s="1" t="s">
        <v>2274</v>
      </c>
      <c r="K1069" s="1" t="s">
        <v>2274</v>
      </c>
      <c r="L1069" s="1" t="s">
        <v>20</v>
      </c>
      <c r="M1069" s="1" t="s">
        <v>2274</v>
      </c>
      <c r="N1069" s="2"/>
      <c r="O1069" s="2"/>
      <c r="P1069" s="2"/>
      <c r="Q1069" s="2"/>
    </row>
    <row x14ac:dyDescent="0.25" r="1070" customHeight="1" ht="17.25">
      <c r="A1070" s="1" t="s">
        <v>4845</v>
      </c>
      <c r="B1070" s="1" t="s">
        <v>2276</v>
      </c>
      <c r="C1070" s="1" t="s">
        <v>3576</v>
      </c>
      <c r="D1070" s="1" t="s">
        <v>20</v>
      </c>
      <c r="E1070" s="1" t="s">
        <v>4250</v>
      </c>
      <c r="F1070" s="1" t="s">
        <v>4251</v>
      </c>
      <c r="G1070" s="1" t="s">
        <v>4252</v>
      </c>
      <c r="H1070" s="2"/>
      <c r="I1070" s="5">
        <f>XLOOKUP(K1070, pharmaceutical_index!B:B, pharmaceutical_index!A:A, "Not Found")</f>
      </c>
      <c r="J1070" s="1" t="s">
        <v>2276</v>
      </c>
      <c r="K1070" s="1" t="s">
        <v>2276</v>
      </c>
      <c r="L1070" s="1" t="s">
        <v>20</v>
      </c>
      <c r="M1070" s="1" t="s">
        <v>2276</v>
      </c>
      <c r="N1070" s="2"/>
      <c r="O1070" s="2"/>
      <c r="P1070" s="2"/>
      <c r="Q1070" s="2"/>
    </row>
    <row x14ac:dyDescent="0.25" r="1071" customHeight="1" ht="17.25">
      <c r="A1071" s="1" t="s">
        <v>4846</v>
      </c>
      <c r="B1071" s="1" t="s">
        <v>2278</v>
      </c>
      <c r="C1071" s="1" t="s">
        <v>3576</v>
      </c>
      <c r="D1071" s="1" t="s">
        <v>20</v>
      </c>
      <c r="E1071" s="1" t="s">
        <v>4250</v>
      </c>
      <c r="F1071" s="1" t="s">
        <v>4251</v>
      </c>
      <c r="G1071" s="1" t="s">
        <v>4252</v>
      </c>
      <c r="H1071" s="2"/>
      <c r="I1071" s="5">
        <f>XLOOKUP(K1071, pharmaceutical_index!B:B, pharmaceutical_index!A:A, "Not Found")</f>
      </c>
      <c r="J1071" s="1" t="s">
        <v>2278</v>
      </c>
      <c r="K1071" s="1" t="s">
        <v>2278</v>
      </c>
      <c r="L1071" s="1" t="s">
        <v>20</v>
      </c>
      <c r="M1071" s="1" t="s">
        <v>2278</v>
      </c>
      <c r="N1071" s="2"/>
      <c r="O1071" s="2"/>
      <c r="P1071" s="2"/>
      <c r="Q1071" s="2"/>
    </row>
    <row x14ac:dyDescent="0.25" r="1072" customHeight="1" ht="17.25">
      <c r="A1072" s="1" t="s">
        <v>4847</v>
      </c>
      <c r="B1072" s="1" t="s">
        <v>2280</v>
      </c>
      <c r="C1072" s="1" t="s">
        <v>3576</v>
      </c>
      <c r="D1072" s="1" t="s">
        <v>20</v>
      </c>
      <c r="E1072" s="1" t="s">
        <v>4250</v>
      </c>
      <c r="F1072" s="1" t="s">
        <v>4251</v>
      </c>
      <c r="G1072" s="1" t="s">
        <v>4252</v>
      </c>
      <c r="H1072" s="2"/>
      <c r="I1072" s="5">
        <f>XLOOKUP(K1072, pharmaceutical_index!B:B, pharmaceutical_index!A:A, "Not Found")</f>
      </c>
      <c r="J1072" s="1" t="s">
        <v>2280</v>
      </c>
      <c r="K1072" s="1" t="s">
        <v>2280</v>
      </c>
      <c r="L1072" s="1" t="s">
        <v>20</v>
      </c>
      <c r="M1072" s="1" t="s">
        <v>2280</v>
      </c>
      <c r="N1072" s="2"/>
      <c r="O1072" s="2"/>
      <c r="P1072" s="2"/>
      <c r="Q1072" s="2"/>
    </row>
    <row x14ac:dyDescent="0.25" r="1073" customHeight="1" ht="17.25">
      <c r="A1073" s="1" t="s">
        <v>4848</v>
      </c>
      <c r="B1073" s="1" t="s">
        <v>2282</v>
      </c>
      <c r="C1073" s="1" t="s">
        <v>3576</v>
      </c>
      <c r="D1073" s="1" t="s">
        <v>20</v>
      </c>
      <c r="E1073" s="1" t="s">
        <v>4250</v>
      </c>
      <c r="F1073" s="1" t="s">
        <v>4251</v>
      </c>
      <c r="G1073" s="1" t="s">
        <v>4252</v>
      </c>
      <c r="H1073" s="2"/>
      <c r="I1073" s="5">
        <f>XLOOKUP(K1073, pharmaceutical_index!B:B, pharmaceutical_index!A:A, "Not Found")</f>
      </c>
      <c r="J1073" s="1" t="s">
        <v>2282</v>
      </c>
      <c r="K1073" s="1" t="s">
        <v>2282</v>
      </c>
      <c r="L1073" s="1" t="s">
        <v>20</v>
      </c>
      <c r="M1073" s="1" t="s">
        <v>2282</v>
      </c>
      <c r="N1073" s="2"/>
      <c r="O1073" s="2"/>
      <c r="P1073" s="2"/>
      <c r="Q1073" s="2"/>
    </row>
    <row x14ac:dyDescent="0.25" r="1074" customHeight="1" ht="17.25">
      <c r="A1074" s="1" t="s">
        <v>4849</v>
      </c>
      <c r="B1074" s="1" t="s">
        <v>2284</v>
      </c>
      <c r="C1074" s="1" t="s">
        <v>3576</v>
      </c>
      <c r="D1074" s="1" t="s">
        <v>20</v>
      </c>
      <c r="E1074" s="1" t="s">
        <v>4250</v>
      </c>
      <c r="F1074" s="1" t="s">
        <v>4251</v>
      </c>
      <c r="G1074" s="1" t="s">
        <v>4252</v>
      </c>
      <c r="H1074" s="2"/>
      <c r="I1074" s="5">
        <f>XLOOKUP(K1074, pharmaceutical_index!B:B, pharmaceutical_index!A:A, "Not Found")</f>
      </c>
      <c r="J1074" s="1" t="s">
        <v>2284</v>
      </c>
      <c r="K1074" s="1" t="s">
        <v>2284</v>
      </c>
      <c r="L1074" s="1" t="s">
        <v>20</v>
      </c>
      <c r="M1074" s="1" t="s">
        <v>2284</v>
      </c>
      <c r="N1074" s="2"/>
      <c r="O1074" s="2"/>
      <c r="P1074" s="2"/>
      <c r="Q1074" s="2"/>
    </row>
    <row x14ac:dyDescent="0.25" r="1075" customHeight="1" ht="17.25">
      <c r="A1075" s="1" t="s">
        <v>4850</v>
      </c>
      <c r="B1075" s="1" t="s">
        <v>2286</v>
      </c>
      <c r="C1075" s="1" t="s">
        <v>3576</v>
      </c>
      <c r="D1075" s="1" t="s">
        <v>20</v>
      </c>
      <c r="E1075" s="1" t="s">
        <v>4250</v>
      </c>
      <c r="F1075" s="1" t="s">
        <v>4251</v>
      </c>
      <c r="G1075" s="1" t="s">
        <v>4252</v>
      </c>
      <c r="H1075" s="2"/>
      <c r="I1075" s="5">
        <f>XLOOKUP(K1075, pharmaceutical_index!B:B, pharmaceutical_index!A:A, "Not Found")</f>
      </c>
      <c r="J1075" s="1" t="s">
        <v>2286</v>
      </c>
      <c r="K1075" s="1" t="s">
        <v>2286</v>
      </c>
      <c r="L1075" s="1" t="s">
        <v>20</v>
      </c>
      <c r="M1075" s="1" t="s">
        <v>2286</v>
      </c>
      <c r="N1075" s="2"/>
      <c r="O1075" s="2"/>
      <c r="P1075" s="2"/>
      <c r="Q1075" s="2"/>
    </row>
    <row x14ac:dyDescent="0.25" r="1076" customHeight="1" ht="17.25">
      <c r="A1076" s="1" t="s">
        <v>4851</v>
      </c>
      <c r="B1076" s="1" t="s">
        <v>2288</v>
      </c>
      <c r="C1076" s="1" t="s">
        <v>3576</v>
      </c>
      <c r="D1076" s="1" t="s">
        <v>20</v>
      </c>
      <c r="E1076" s="1" t="s">
        <v>4250</v>
      </c>
      <c r="F1076" s="1" t="s">
        <v>4251</v>
      </c>
      <c r="G1076" s="1" t="s">
        <v>4252</v>
      </c>
      <c r="H1076" s="2"/>
      <c r="I1076" s="5">
        <f>XLOOKUP(K1076, pharmaceutical_index!B:B, pharmaceutical_index!A:A, "Not Found")</f>
      </c>
      <c r="J1076" s="1" t="s">
        <v>2288</v>
      </c>
      <c r="K1076" s="1" t="s">
        <v>2288</v>
      </c>
      <c r="L1076" s="1" t="s">
        <v>20</v>
      </c>
      <c r="M1076" s="1" t="s">
        <v>2288</v>
      </c>
      <c r="N1076" s="2"/>
      <c r="O1076" s="2"/>
      <c r="P1076" s="2"/>
      <c r="Q1076" s="2"/>
    </row>
    <row x14ac:dyDescent="0.25" r="1077" customHeight="1" ht="17.25">
      <c r="A1077" s="1" t="s">
        <v>4852</v>
      </c>
      <c r="B1077" s="1" t="s">
        <v>2290</v>
      </c>
      <c r="C1077" s="1" t="s">
        <v>3576</v>
      </c>
      <c r="D1077" s="1" t="s">
        <v>20</v>
      </c>
      <c r="E1077" s="1" t="s">
        <v>4250</v>
      </c>
      <c r="F1077" s="1" t="s">
        <v>4251</v>
      </c>
      <c r="G1077" s="1" t="s">
        <v>4252</v>
      </c>
      <c r="H1077" s="2"/>
      <c r="I1077" s="5">
        <f>XLOOKUP(K1077, pharmaceutical_index!B:B, pharmaceutical_index!A:A, "Not Found")</f>
      </c>
      <c r="J1077" s="1" t="s">
        <v>2290</v>
      </c>
      <c r="K1077" s="1" t="s">
        <v>2290</v>
      </c>
      <c r="L1077" s="1" t="s">
        <v>20</v>
      </c>
      <c r="M1077" s="1" t="s">
        <v>2290</v>
      </c>
      <c r="N1077" s="2"/>
      <c r="O1077" s="2"/>
      <c r="P1077" s="2"/>
      <c r="Q1077" s="2"/>
    </row>
    <row x14ac:dyDescent="0.25" r="1078" customHeight="1" ht="17.25">
      <c r="A1078" s="1" t="s">
        <v>4853</v>
      </c>
      <c r="B1078" s="1" t="s">
        <v>2292</v>
      </c>
      <c r="C1078" s="1" t="s">
        <v>3576</v>
      </c>
      <c r="D1078" s="1" t="s">
        <v>20</v>
      </c>
      <c r="E1078" s="1" t="s">
        <v>4250</v>
      </c>
      <c r="F1078" s="1" t="s">
        <v>4251</v>
      </c>
      <c r="G1078" s="1" t="s">
        <v>4252</v>
      </c>
      <c r="H1078" s="2"/>
      <c r="I1078" s="5">
        <f>XLOOKUP(K1078, pharmaceutical_index!B:B, pharmaceutical_index!A:A, "Not Found")</f>
      </c>
      <c r="J1078" s="1" t="s">
        <v>2292</v>
      </c>
      <c r="K1078" s="1" t="s">
        <v>2292</v>
      </c>
      <c r="L1078" s="1" t="s">
        <v>20</v>
      </c>
      <c r="M1078" s="1" t="s">
        <v>2292</v>
      </c>
      <c r="N1078" s="2"/>
      <c r="O1078" s="2"/>
      <c r="P1078" s="2"/>
      <c r="Q1078" s="2"/>
    </row>
    <row x14ac:dyDescent="0.25" r="1079" customHeight="1" ht="17.25">
      <c r="A1079" s="1" t="s">
        <v>4854</v>
      </c>
      <c r="B1079" s="1" t="s">
        <v>2294</v>
      </c>
      <c r="C1079" s="1" t="s">
        <v>3576</v>
      </c>
      <c r="D1079" s="1" t="s">
        <v>20</v>
      </c>
      <c r="E1079" s="1" t="s">
        <v>4250</v>
      </c>
      <c r="F1079" s="1" t="s">
        <v>4251</v>
      </c>
      <c r="G1079" s="1" t="s">
        <v>4252</v>
      </c>
      <c r="H1079" s="2"/>
      <c r="I1079" s="5">
        <f>XLOOKUP(K1079, pharmaceutical_index!B:B, pharmaceutical_index!A:A, "Not Found")</f>
      </c>
      <c r="J1079" s="1" t="s">
        <v>2294</v>
      </c>
      <c r="K1079" s="1" t="s">
        <v>2294</v>
      </c>
      <c r="L1079" s="1" t="s">
        <v>20</v>
      </c>
      <c r="M1079" s="1" t="s">
        <v>2294</v>
      </c>
      <c r="N1079" s="2"/>
      <c r="O1079" s="2"/>
      <c r="P1079" s="2"/>
      <c r="Q1079" s="2"/>
    </row>
    <row x14ac:dyDescent="0.25" r="1080" customHeight="1" ht="17.25">
      <c r="A1080" s="1" t="s">
        <v>4855</v>
      </c>
      <c r="B1080" s="1" t="s">
        <v>2296</v>
      </c>
      <c r="C1080" s="1" t="s">
        <v>3576</v>
      </c>
      <c r="D1080" s="1" t="s">
        <v>20</v>
      </c>
      <c r="E1080" s="1" t="s">
        <v>4250</v>
      </c>
      <c r="F1080" s="1" t="s">
        <v>4251</v>
      </c>
      <c r="G1080" s="1" t="s">
        <v>4252</v>
      </c>
      <c r="H1080" s="2"/>
      <c r="I1080" s="5">
        <f>XLOOKUP(K1080, pharmaceutical_index!B:B, pharmaceutical_index!A:A, "Not Found")</f>
      </c>
      <c r="J1080" s="1" t="s">
        <v>2296</v>
      </c>
      <c r="K1080" s="1" t="s">
        <v>2296</v>
      </c>
      <c r="L1080" s="1" t="s">
        <v>20</v>
      </c>
      <c r="M1080" s="1" t="s">
        <v>2296</v>
      </c>
      <c r="N1080" s="2"/>
      <c r="O1080" s="2"/>
      <c r="P1080" s="2"/>
      <c r="Q1080" s="2"/>
    </row>
    <row x14ac:dyDescent="0.25" r="1081" customHeight="1" ht="17.25">
      <c r="A1081" s="1" t="s">
        <v>4856</v>
      </c>
      <c r="B1081" s="1" t="s">
        <v>2298</v>
      </c>
      <c r="C1081" s="1" t="s">
        <v>3576</v>
      </c>
      <c r="D1081" s="1" t="s">
        <v>20</v>
      </c>
      <c r="E1081" s="1" t="s">
        <v>4250</v>
      </c>
      <c r="F1081" s="1" t="s">
        <v>4251</v>
      </c>
      <c r="G1081" s="1" t="s">
        <v>4252</v>
      </c>
      <c r="H1081" s="2"/>
      <c r="I1081" s="5">
        <f>XLOOKUP(K1081, pharmaceutical_index!B:B, pharmaceutical_index!A:A, "Not Found")</f>
      </c>
      <c r="J1081" s="1" t="s">
        <v>2298</v>
      </c>
      <c r="K1081" s="1" t="s">
        <v>2298</v>
      </c>
      <c r="L1081" s="1" t="s">
        <v>20</v>
      </c>
      <c r="M1081" s="1" t="s">
        <v>2298</v>
      </c>
      <c r="N1081" s="2"/>
      <c r="O1081" s="2"/>
      <c r="P1081" s="2"/>
      <c r="Q1081" s="2"/>
    </row>
    <row x14ac:dyDescent="0.25" r="1082" customHeight="1" ht="17.25">
      <c r="A1082" s="1" t="s">
        <v>4857</v>
      </c>
      <c r="B1082" s="1" t="s">
        <v>2300</v>
      </c>
      <c r="C1082" s="1" t="s">
        <v>3576</v>
      </c>
      <c r="D1082" s="1" t="s">
        <v>20</v>
      </c>
      <c r="E1082" s="1" t="s">
        <v>4250</v>
      </c>
      <c r="F1082" s="1" t="s">
        <v>4251</v>
      </c>
      <c r="G1082" s="1" t="s">
        <v>4252</v>
      </c>
      <c r="H1082" s="2"/>
      <c r="I1082" s="5">
        <f>XLOOKUP(K1082, pharmaceutical_index!B:B, pharmaceutical_index!A:A, "Not Found")</f>
      </c>
      <c r="J1082" s="1" t="s">
        <v>2300</v>
      </c>
      <c r="K1082" s="1" t="s">
        <v>2300</v>
      </c>
      <c r="L1082" s="1" t="s">
        <v>20</v>
      </c>
      <c r="M1082" s="1" t="s">
        <v>2300</v>
      </c>
      <c r="N1082" s="2"/>
      <c r="O1082" s="2"/>
      <c r="P1082" s="2"/>
      <c r="Q1082" s="2"/>
    </row>
    <row x14ac:dyDescent="0.25" r="1083" customHeight="1" ht="17.25">
      <c r="A1083" s="1" t="s">
        <v>4858</v>
      </c>
      <c r="B1083" s="1" t="s">
        <v>2302</v>
      </c>
      <c r="C1083" s="1" t="s">
        <v>3576</v>
      </c>
      <c r="D1083" s="1" t="s">
        <v>20</v>
      </c>
      <c r="E1083" s="1" t="s">
        <v>4250</v>
      </c>
      <c r="F1083" s="1" t="s">
        <v>4251</v>
      </c>
      <c r="G1083" s="1" t="s">
        <v>4252</v>
      </c>
      <c r="H1083" s="2"/>
      <c r="I1083" s="5">
        <f>XLOOKUP(K1083, pharmaceutical_index!B:B, pharmaceutical_index!A:A, "Not Found")</f>
      </c>
      <c r="J1083" s="1" t="s">
        <v>2302</v>
      </c>
      <c r="K1083" s="1" t="s">
        <v>2302</v>
      </c>
      <c r="L1083" s="1" t="s">
        <v>20</v>
      </c>
      <c r="M1083" s="1" t="s">
        <v>2302</v>
      </c>
      <c r="N1083" s="2"/>
      <c r="O1083" s="2"/>
      <c r="P1083" s="2"/>
      <c r="Q1083" s="2"/>
    </row>
    <row x14ac:dyDescent="0.25" r="1084" customHeight="1" ht="17.25">
      <c r="A1084" s="1" t="s">
        <v>4859</v>
      </c>
      <c r="B1084" s="1" t="s">
        <v>2304</v>
      </c>
      <c r="C1084" s="1" t="s">
        <v>3576</v>
      </c>
      <c r="D1084" s="1" t="s">
        <v>20</v>
      </c>
      <c r="E1084" s="1" t="s">
        <v>4250</v>
      </c>
      <c r="F1084" s="1" t="s">
        <v>4251</v>
      </c>
      <c r="G1084" s="1" t="s">
        <v>4252</v>
      </c>
      <c r="H1084" s="2"/>
      <c r="I1084" s="5">
        <f>XLOOKUP(K1084, pharmaceutical_index!B:B, pharmaceutical_index!A:A, "Not Found")</f>
      </c>
      <c r="J1084" s="1" t="s">
        <v>2304</v>
      </c>
      <c r="K1084" s="1" t="s">
        <v>2304</v>
      </c>
      <c r="L1084" s="1" t="s">
        <v>20</v>
      </c>
      <c r="M1084" s="1" t="s">
        <v>2304</v>
      </c>
      <c r="N1084" s="2"/>
      <c r="O1084" s="2"/>
      <c r="P1084" s="2"/>
      <c r="Q1084" s="2"/>
    </row>
    <row x14ac:dyDescent="0.25" r="1085" customHeight="1" ht="17.25">
      <c r="A1085" s="1" t="s">
        <v>4860</v>
      </c>
      <c r="B1085" s="1" t="s">
        <v>2306</v>
      </c>
      <c r="C1085" s="1" t="s">
        <v>3576</v>
      </c>
      <c r="D1085" s="1" t="s">
        <v>20</v>
      </c>
      <c r="E1085" s="1" t="s">
        <v>4250</v>
      </c>
      <c r="F1085" s="1" t="s">
        <v>4251</v>
      </c>
      <c r="G1085" s="1" t="s">
        <v>4252</v>
      </c>
      <c r="H1085" s="2"/>
      <c r="I1085" s="5">
        <f>XLOOKUP(K1085, pharmaceutical_index!B:B, pharmaceutical_index!A:A, "Not Found")</f>
      </c>
      <c r="J1085" s="1" t="s">
        <v>2306</v>
      </c>
      <c r="K1085" s="1" t="s">
        <v>2306</v>
      </c>
      <c r="L1085" s="1" t="s">
        <v>20</v>
      </c>
      <c r="M1085" s="1" t="s">
        <v>2306</v>
      </c>
      <c r="N1085" s="2"/>
      <c r="O1085" s="2"/>
      <c r="P1085" s="2"/>
      <c r="Q1085" s="2"/>
    </row>
    <row x14ac:dyDescent="0.25" r="1086" customHeight="1" ht="17.25">
      <c r="A1086" s="1" t="s">
        <v>4861</v>
      </c>
      <c r="B1086" s="1" t="s">
        <v>2308</v>
      </c>
      <c r="C1086" s="1" t="s">
        <v>3576</v>
      </c>
      <c r="D1086" s="1" t="s">
        <v>20</v>
      </c>
      <c r="E1086" s="1" t="s">
        <v>4250</v>
      </c>
      <c r="F1086" s="1" t="s">
        <v>4251</v>
      </c>
      <c r="G1086" s="1" t="s">
        <v>4252</v>
      </c>
      <c r="H1086" s="2"/>
      <c r="I1086" s="5">
        <f>XLOOKUP(K1086, pharmaceutical_index!B:B, pharmaceutical_index!A:A, "Not Found")</f>
      </c>
      <c r="J1086" s="1" t="s">
        <v>2308</v>
      </c>
      <c r="K1086" s="1" t="s">
        <v>2308</v>
      </c>
      <c r="L1086" s="1" t="s">
        <v>20</v>
      </c>
      <c r="M1086" s="1" t="s">
        <v>2308</v>
      </c>
      <c r="N1086" s="2"/>
      <c r="O1086" s="2"/>
      <c r="P1086" s="2"/>
      <c r="Q1086" s="2"/>
    </row>
    <row x14ac:dyDescent="0.25" r="1087" customHeight="1" ht="17.25">
      <c r="A1087" s="1" t="s">
        <v>4862</v>
      </c>
      <c r="B1087" s="1" t="s">
        <v>2310</v>
      </c>
      <c r="C1087" s="1" t="s">
        <v>3576</v>
      </c>
      <c r="D1087" s="1" t="s">
        <v>20</v>
      </c>
      <c r="E1087" s="1" t="s">
        <v>4250</v>
      </c>
      <c r="F1087" s="1" t="s">
        <v>4251</v>
      </c>
      <c r="G1087" s="1" t="s">
        <v>4252</v>
      </c>
      <c r="H1087" s="2"/>
      <c r="I1087" s="5">
        <f>XLOOKUP(K1087, pharmaceutical_index!B:B, pharmaceutical_index!A:A, "Not Found")</f>
      </c>
      <c r="J1087" s="1" t="s">
        <v>2310</v>
      </c>
      <c r="K1087" s="1" t="s">
        <v>2310</v>
      </c>
      <c r="L1087" s="1" t="s">
        <v>20</v>
      </c>
      <c r="M1087" s="1" t="s">
        <v>2310</v>
      </c>
      <c r="N1087" s="2"/>
      <c r="O1087" s="2"/>
      <c r="P1087" s="2"/>
      <c r="Q1087" s="2"/>
    </row>
    <row x14ac:dyDescent="0.25" r="1088" customHeight="1" ht="17.25">
      <c r="A1088" s="1" t="s">
        <v>4863</v>
      </c>
      <c r="B1088" s="1" t="s">
        <v>2312</v>
      </c>
      <c r="C1088" s="1" t="s">
        <v>3576</v>
      </c>
      <c r="D1088" s="1" t="s">
        <v>20</v>
      </c>
      <c r="E1088" s="1" t="s">
        <v>4250</v>
      </c>
      <c r="F1088" s="1" t="s">
        <v>4251</v>
      </c>
      <c r="G1088" s="1" t="s">
        <v>4252</v>
      </c>
      <c r="H1088" s="2"/>
      <c r="I1088" s="5">
        <f>XLOOKUP(K1088, pharmaceutical_index!B:B, pharmaceutical_index!A:A, "Not Found")</f>
      </c>
      <c r="J1088" s="1" t="s">
        <v>2312</v>
      </c>
      <c r="K1088" s="1" t="s">
        <v>2312</v>
      </c>
      <c r="L1088" s="1" t="s">
        <v>20</v>
      </c>
      <c r="M1088" s="1" t="s">
        <v>2312</v>
      </c>
      <c r="N1088" s="2"/>
      <c r="O1088" s="2"/>
      <c r="P1088" s="2"/>
      <c r="Q1088" s="2"/>
    </row>
    <row x14ac:dyDescent="0.25" r="1089" customHeight="1" ht="17.25">
      <c r="A1089" s="1" t="s">
        <v>4864</v>
      </c>
      <c r="B1089" s="1" t="s">
        <v>2314</v>
      </c>
      <c r="C1089" s="1" t="s">
        <v>3576</v>
      </c>
      <c r="D1089" s="1" t="s">
        <v>20</v>
      </c>
      <c r="E1089" s="1" t="s">
        <v>4250</v>
      </c>
      <c r="F1089" s="1" t="s">
        <v>4251</v>
      </c>
      <c r="G1089" s="1" t="s">
        <v>4252</v>
      </c>
      <c r="H1089" s="2"/>
      <c r="I1089" s="5">
        <f>XLOOKUP(K1089, pharmaceutical_index!B:B, pharmaceutical_index!A:A, "Not Found")</f>
      </c>
      <c r="J1089" s="1" t="s">
        <v>2314</v>
      </c>
      <c r="K1089" s="1" t="s">
        <v>2314</v>
      </c>
      <c r="L1089" s="1" t="s">
        <v>20</v>
      </c>
      <c r="M1089" s="1" t="s">
        <v>2314</v>
      </c>
      <c r="N1089" s="2"/>
      <c r="O1089" s="2"/>
      <c r="P1089" s="2"/>
      <c r="Q1089" s="2"/>
    </row>
    <row x14ac:dyDescent="0.25" r="1090" customHeight="1" ht="17.25">
      <c r="A1090" s="1" t="s">
        <v>4865</v>
      </c>
      <c r="B1090" s="1" t="s">
        <v>2316</v>
      </c>
      <c r="C1090" s="1" t="s">
        <v>3576</v>
      </c>
      <c r="D1090" s="1" t="s">
        <v>20</v>
      </c>
      <c r="E1090" s="1" t="s">
        <v>4250</v>
      </c>
      <c r="F1090" s="1" t="s">
        <v>4251</v>
      </c>
      <c r="G1090" s="1" t="s">
        <v>4252</v>
      </c>
      <c r="H1090" s="2"/>
      <c r="I1090" s="5">
        <f>XLOOKUP(K1090, pharmaceutical_index!B:B, pharmaceutical_index!A:A, "Not Found")</f>
      </c>
      <c r="J1090" s="1" t="s">
        <v>2316</v>
      </c>
      <c r="K1090" s="1" t="s">
        <v>2316</v>
      </c>
      <c r="L1090" s="1" t="s">
        <v>20</v>
      </c>
      <c r="M1090" s="1" t="s">
        <v>2316</v>
      </c>
      <c r="N1090" s="2"/>
      <c r="O1090" s="2"/>
      <c r="P1090" s="2"/>
      <c r="Q1090" s="2"/>
    </row>
    <row x14ac:dyDescent="0.25" r="1091" customHeight="1" ht="17.25">
      <c r="A1091" s="1" t="s">
        <v>4866</v>
      </c>
      <c r="B1091" s="1" t="s">
        <v>2318</v>
      </c>
      <c r="C1091" s="1" t="s">
        <v>3576</v>
      </c>
      <c r="D1091" s="1" t="s">
        <v>20</v>
      </c>
      <c r="E1091" s="1" t="s">
        <v>4250</v>
      </c>
      <c r="F1091" s="1" t="s">
        <v>4251</v>
      </c>
      <c r="G1091" s="1" t="s">
        <v>4252</v>
      </c>
      <c r="H1091" s="2"/>
      <c r="I1091" s="5">
        <f>XLOOKUP(K1091, pharmaceutical_index!B:B, pharmaceutical_index!A:A, "Not Found")</f>
      </c>
      <c r="J1091" s="1" t="s">
        <v>2318</v>
      </c>
      <c r="K1091" s="1" t="s">
        <v>2318</v>
      </c>
      <c r="L1091" s="1" t="s">
        <v>20</v>
      </c>
      <c r="M1091" s="1" t="s">
        <v>2318</v>
      </c>
      <c r="N1091" s="2"/>
      <c r="O1091" s="2"/>
      <c r="P1091" s="2"/>
      <c r="Q1091" s="2"/>
    </row>
    <row x14ac:dyDescent="0.25" r="1092" customHeight="1" ht="17.25">
      <c r="A1092" s="1" t="s">
        <v>4867</v>
      </c>
      <c r="B1092" s="1" t="s">
        <v>2320</v>
      </c>
      <c r="C1092" s="1" t="s">
        <v>3576</v>
      </c>
      <c r="D1092" s="1" t="s">
        <v>20</v>
      </c>
      <c r="E1092" s="1" t="s">
        <v>4250</v>
      </c>
      <c r="F1092" s="1" t="s">
        <v>4251</v>
      </c>
      <c r="G1092" s="1" t="s">
        <v>4252</v>
      </c>
      <c r="H1092" s="2"/>
      <c r="I1092" s="5">
        <f>XLOOKUP(K1092, pharmaceutical_index!B:B, pharmaceutical_index!A:A, "Not Found")</f>
      </c>
      <c r="J1092" s="1" t="s">
        <v>2320</v>
      </c>
      <c r="K1092" s="1" t="s">
        <v>2320</v>
      </c>
      <c r="L1092" s="1" t="s">
        <v>20</v>
      </c>
      <c r="M1092" s="1" t="s">
        <v>2320</v>
      </c>
      <c r="N1092" s="2"/>
      <c r="O1092" s="2"/>
      <c r="P1092" s="2"/>
      <c r="Q1092" s="2"/>
    </row>
    <row x14ac:dyDescent="0.25" r="1093" customHeight="1" ht="17.25">
      <c r="A1093" s="1" t="s">
        <v>4868</v>
      </c>
      <c r="B1093" s="1" t="s">
        <v>2322</v>
      </c>
      <c r="C1093" s="1" t="s">
        <v>3576</v>
      </c>
      <c r="D1093" s="1" t="s">
        <v>20</v>
      </c>
      <c r="E1093" s="1" t="s">
        <v>4250</v>
      </c>
      <c r="F1093" s="1" t="s">
        <v>4251</v>
      </c>
      <c r="G1093" s="1" t="s">
        <v>4252</v>
      </c>
      <c r="H1093" s="2"/>
      <c r="I1093" s="5">
        <f>XLOOKUP(K1093, pharmaceutical_index!B:B, pharmaceutical_index!A:A, "Not Found")</f>
      </c>
      <c r="J1093" s="1" t="s">
        <v>2322</v>
      </c>
      <c r="K1093" s="1" t="s">
        <v>2322</v>
      </c>
      <c r="L1093" s="1" t="s">
        <v>20</v>
      </c>
      <c r="M1093" s="1" t="s">
        <v>2322</v>
      </c>
      <c r="N1093" s="2"/>
      <c r="O1093" s="2"/>
      <c r="P1093" s="2"/>
      <c r="Q1093" s="2"/>
    </row>
    <row x14ac:dyDescent="0.25" r="1094" customHeight="1" ht="17.25">
      <c r="A1094" s="1" t="s">
        <v>4869</v>
      </c>
      <c r="B1094" s="1" t="s">
        <v>2324</v>
      </c>
      <c r="C1094" s="1" t="s">
        <v>3576</v>
      </c>
      <c r="D1094" s="1" t="s">
        <v>20</v>
      </c>
      <c r="E1094" s="1" t="s">
        <v>4250</v>
      </c>
      <c r="F1094" s="1" t="s">
        <v>4251</v>
      </c>
      <c r="G1094" s="1" t="s">
        <v>4252</v>
      </c>
      <c r="H1094" s="2"/>
      <c r="I1094" s="5">
        <f>XLOOKUP(K1094, pharmaceutical_index!B:B, pharmaceutical_index!A:A, "Not Found")</f>
      </c>
      <c r="J1094" s="1" t="s">
        <v>2324</v>
      </c>
      <c r="K1094" s="1" t="s">
        <v>2324</v>
      </c>
      <c r="L1094" s="1" t="s">
        <v>20</v>
      </c>
      <c r="M1094" s="1" t="s">
        <v>2324</v>
      </c>
      <c r="N1094" s="2"/>
      <c r="O1094" s="2"/>
      <c r="P1094" s="2"/>
      <c r="Q1094" s="2"/>
    </row>
    <row x14ac:dyDescent="0.25" r="1095" customHeight="1" ht="17.25">
      <c r="A1095" s="1" t="s">
        <v>4870</v>
      </c>
      <c r="B1095" s="1" t="s">
        <v>2326</v>
      </c>
      <c r="C1095" s="1" t="s">
        <v>3576</v>
      </c>
      <c r="D1095" s="1" t="s">
        <v>20</v>
      </c>
      <c r="E1095" s="1" t="s">
        <v>4250</v>
      </c>
      <c r="F1095" s="1" t="s">
        <v>4251</v>
      </c>
      <c r="G1095" s="1" t="s">
        <v>4252</v>
      </c>
      <c r="H1095" s="2"/>
      <c r="I1095" s="5">
        <f>XLOOKUP(K1095, pharmaceutical_index!B:B, pharmaceutical_index!A:A, "Not Found")</f>
      </c>
      <c r="J1095" s="1" t="s">
        <v>2326</v>
      </c>
      <c r="K1095" s="1" t="s">
        <v>2326</v>
      </c>
      <c r="L1095" s="1" t="s">
        <v>20</v>
      </c>
      <c r="M1095" s="1" t="s">
        <v>2326</v>
      </c>
      <c r="N1095" s="2"/>
      <c r="O1095" s="2"/>
      <c r="P1095" s="2"/>
      <c r="Q1095" s="2"/>
    </row>
    <row x14ac:dyDescent="0.25" r="1096" customHeight="1" ht="17.25">
      <c r="A1096" s="1" t="s">
        <v>4871</v>
      </c>
      <c r="B1096" s="1" t="s">
        <v>2328</v>
      </c>
      <c r="C1096" s="1" t="s">
        <v>3576</v>
      </c>
      <c r="D1096" s="1" t="s">
        <v>20</v>
      </c>
      <c r="E1096" s="1" t="s">
        <v>4250</v>
      </c>
      <c r="F1096" s="1" t="s">
        <v>4251</v>
      </c>
      <c r="G1096" s="1" t="s">
        <v>4252</v>
      </c>
      <c r="H1096" s="2"/>
      <c r="I1096" s="5">
        <f>XLOOKUP(K1096, pharmaceutical_index!B:B, pharmaceutical_index!A:A, "Not Found")</f>
      </c>
      <c r="J1096" s="1" t="s">
        <v>2328</v>
      </c>
      <c r="K1096" s="1" t="s">
        <v>2328</v>
      </c>
      <c r="L1096" s="1" t="s">
        <v>20</v>
      </c>
      <c r="M1096" s="1" t="s">
        <v>2328</v>
      </c>
      <c r="N1096" s="2"/>
      <c r="O1096" s="2"/>
      <c r="P1096" s="2"/>
      <c r="Q1096" s="2"/>
    </row>
    <row x14ac:dyDescent="0.25" r="1097" customHeight="1" ht="17.25">
      <c r="A1097" s="1" t="s">
        <v>4872</v>
      </c>
      <c r="B1097" s="1" t="s">
        <v>2330</v>
      </c>
      <c r="C1097" s="1" t="s">
        <v>3576</v>
      </c>
      <c r="D1097" s="1" t="s">
        <v>20</v>
      </c>
      <c r="E1097" s="1" t="s">
        <v>4250</v>
      </c>
      <c r="F1097" s="1" t="s">
        <v>4251</v>
      </c>
      <c r="G1097" s="1" t="s">
        <v>4252</v>
      </c>
      <c r="H1097" s="2"/>
      <c r="I1097" s="5">
        <f>XLOOKUP(K1097, pharmaceutical_index!B:B, pharmaceutical_index!A:A, "Not Found")</f>
      </c>
      <c r="J1097" s="1" t="s">
        <v>2330</v>
      </c>
      <c r="K1097" s="1" t="s">
        <v>2330</v>
      </c>
      <c r="L1097" s="1" t="s">
        <v>20</v>
      </c>
      <c r="M1097" s="1" t="s">
        <v>2330</v>
      </c>
      <c r="N1097" s="2"/>
      <c r="O1097" s="2"/>
      <c r="P1097" s="2"/>
      <c r="Q1097" s="2"/>
    </row>
    <row x14ac:dyDescent="0.25" r="1098" customHeight="1" ht="17.25">
      <c r="A1098" s="1" t="s">
        <v>4873</v>
      </c>
      <c r="B1098" s="1" t="s">
        <v>2332</v>
      </c>
      <c r="C1098" s="1" t="s">
        <v>3576</v>
      </c>
      <c r="D1098" s="1" t="s">
        <v>20</v>
      </c>
      <c r="E1098" s="1" t="s">
        <v>4250</v>
      </c>
      <c r="F1098" s="1" t="s">
        <v>4251</v>
      </c>
      <c r="G1098" s="1" t="s">
        <v>4252</v>
      </c>
      <c r="H1098" s="2"/>
      <c r="I1098" s="5">
        <f>XLOOKUP(K1098, pharmaceutical_index!B:B, pharmaceutical_index!A:A, "Not Found")</f>
      </c>
      <c r="J1098" s="1" t="s">
        <v>2332</v>
      </c>
      <c r="K1098" s="1" t="s">
        <v>2332</v>
      </c>
      <c r="L1098" s="1" t="s">
        <v>20</v>
      </c>
      <c r="M1098" s="1" t="s">
        <v>2332</v>
      </c>
      <c r="N1098" s="2"/>
      <c r="O1098" s="2"/>
      <c r="P1098" s="2"/>
      <c r="Q1098" s="2"/>
    </row>
    <row x14ac:dyDescent="0.25" r="1099" customHeight="1" ht="17.25">
      <c r="A1099" s="1" t="s">
        <v>4874</v>
      </c>
      <c r="B1099" s="1" t="s">
        <v>2334</v>
      </c>
      <c r="C1099" s="1" t="s">
        <v>3576</v>
      </c>
      <c r="D1099" s="1" t="s">
        <v>20</v>
      </c>
      <c r="E1099" s="1" t="s">
        <v>4250</v>
      </c>
      <c r="F1099" s="1" t="s">
        <v>4251</v>
      </c>
      <c r="G1099" s="1" t="s">
        <v>4252</v>
      </c>
      <c r="H1099" s="2"/>
      <c r="I1099" s="5">
        <f>XLOOKUP(K1099, pharmaceutical_index!B:B, pharmaceutical_index!A:A, "Not Found")</f>
      </c>
      <c r="J1099" s="1" t="s">
        <v>2334</v>
      </c>
      <c r="K1099" s="1" t="s">
        <v>2334</v>
      </c>
      <c r="L1099" s="1" t="s">
        <v>20</v>
      </c>
      <c r="M1099" s="1" t="s">
        <v>2334</v>
      </c>
      <c r="N1099" s="2"/>
      <c r="O1099" s="2"/>
      <c r="P1099" s="2"/>
      <c r="Q1099" s="2"/>
    </row>
    <row x14ac:dyDescent="0.25" r="1100" customHeight="1" ht="17.25">
      <c r="A1100" s="1" t="s">
        <v>4875</v>
      </c>
      <c r="B1100" s="1" t="s">
        <v>2336</v>
      </c>
      <c r="C1100" s="1" t="s">
        <v>3576</v>
      </c>
      <c r="D1100" s="1" t="s">
        <v>20</v>
      </c>
      <c r="E1100" s="1" t="s">
        <v>4250</v>
      </c>
      <c r="F1100" s="1" t="s">
        <v>4251</v>
      </c>
      <c r="G1100" s="1" t="s">
        <v>4252</v>
      </c>
      <c r="H1100" s="2"/>
      <c r="I1100" s="5">
        <f>XLOOKUP(K1100, pharmaceutical_index!B:B, pharmaceutical_index!A:A, "Not Found")</f>
      </c>
      <c r="J1100" s="1" t="s">
        <v>2336</v>
      </c>
      <c r="K1100" s="1" t="s">
        <v>2336</v>
      </c>
      <c r="L1100" s="1" t="s">
        <v>20</v>
      </c>
      <c r="M1100" s="1" t="s">
        <v>2336</v>
      </c>
      <c r="N1100" s="2"/>
      <c r="O1100" s="2"/>
      <c r="P1100" s="2"/>
      <c r="Q1100" s="2"/>
    </row>
    <row x14ac:dyDescent="0.25" r="1101" customHeight="1" ht="17.25">
      <c r="A1101" s="1" t="s">
        <v>4876</v>
      </c>
      <c r="B1101" s="1" t="s">
        <v>2338</v>
      </c>
      <c r="C1101" s="1" t="s">
        <v>3576</v>
      </c>
      <c r="D1101" s="1" t="s">
        <v>20</v>
      </c>
      <c r="E1101" s="1" t="s">
        <v>4250</v>
      </c>
      <c r="F1101" s="1" t="s">
        <v>4251</v>
      </c>
      <c r="G1101" s="1" t="s">
        <v>4252</v>
      </c>
      <c r="H1101" s="2"/>
      <c r="I1101" s="5">
        <f>XLOOKUP(K1101, pharmaceutical_index!B:B, pharmaceutical_index!A:A, "Not Found")</f>
      </c>
      <c r="J1101" s="1" t="s">
        <v>2338</v>
      </c>
      <c r="K1101" s="1" t="s">
        <v>2338</v>
      </c>
      <c r="L1101" s="1" t="s">
        <v>20</v>
      </c>
      <c r="M1101" s="1" t="s">
        <v>2338</v>
      </c>
      <c r="N1101" s="2"/>
      <c r="O1101" s="2"/>
      <c r="P1101" s="2"/>
      <c r="Q1101" s="2"/>
    </row>
    <row x14ac:dyDescent="0.25" r="1102" customHeight="1" ht="17.25">
      <c r="A1102" s="1" t="s">
        <v>4877</v>
      </c>
      <c r="B1102" s="1" t="s">
        <v>2340</v>
      </c>
      <c r="C1102" s="1" t="s">
        <v>3576</v>
      </c>
      <c r="D1102" s="1" t="s">
        <v>20</v>
      </c>
      <c r="E1102" s="1" t="s">
        <v>4250</v>
      </c>
      <c r="F1102" s="1" t="s">
        <v>4251</v>
      </c>
      <c r="G1102" s="1" t="s">
        <v>4252</v>
      </c>
      <c r="H1102" s="2"/>
      <c r="I1102" s="5">
        <f>XLOOKUP(K1102, pharmaceutical_index!B:B, pharmaceutical_index!A:A, "Not Found")</f>
      </c>
      <c r="J1102" s="1" t="s">
        <v>2340</v>
      </c>
      <c r="K1102" s="1" t="s">
        <v>2340</v>
      </c>
      <c r="L1102" s="1" t="s">
        <v>20</v>
      </c>
      <c r="M1102" s="1" t="s">
        <v>2340</v>
      </c>
      <c r="N1102" s="2"/>
      <c r="O1102" s="2"/>
      <c r="P1102" s="2"/>
      <c r="Q1102" s="2"/>
    </row>
    <row x14ac:dyDescent="0.25" r="1103" customHeight="1" ht="17.25">
      <c r="A1103" s="1" t="s">
        <v>4878</v>
      </c>
      <c r="B1103" s="1" t="s">
        <v>2342</v>
      </c>
      <c r="C1103" s="1" t="s">
        <v>3576</v>
      </c>
      <c r="D1103" s="1" t="s">
        <v>20</v>
      </c>
      <c r="E1103" s="1" t="s">
        <v>4250</v>
      </c>
      <c r="F1103" s="1" t="s">
        <v>4251</v>
      </c>
      <c r="G1103" s="1" t="s">
        <v>4252</v>
      </c>
      <c r="H1103" s="2"/>
      <c r="I1103" s="5">
        <f>XLOOKUP(K1103, pharmaceutical_index!B:B, pharmaceutical_index!A:A, "Not Found")</f>
      </c>
      <c r="J1103" s="1" t="s">
        <v>2342</v>
      </c>
      <c r="K1103" s="1" t="s">
        <v>2342</v>
      </c>
      <c r="L1103" s="1" t="s">
        <v>20</v>
      </c>
      <c r="M1103" s="1" t="s">
        <v>2342</v>
      </c>
      <c r="N1103" s="2"/>
      <c r="O1103" s="2"/>
      <c r="P1103" s="2"/>
      <c r="Q1103" s="2"/>
    </row>
    <row x14ac:dyDescent="0.25" r="1104" customHeight="1" ht="17.25">
      <c r="A1104" s="1" t="s">
        <v>4879</v>
      </c>
      <c r="B1104" s="1" t="s">
        <v>2344</v>
      </c>
      <c r="C1104" s="1" t="s">
        <v>3576</v>
      </c>
      <c r="D1104" s="1" t="s">
        <v>20</v>
      </c>
      <c r="E1104" s="1" t="s">
        <v>4250</v>
      </c>
      <c r="F1104" s="1" t="s">
        <v>4251</v>
      </c>
      <c r="G1104" s="1" t="s">
        <v>4252</v>
      </c>
      <c r="H1104" s="2"/>
      <c r="I1104" s="5">
        <f>XLOOKUP(K1104, pharmaceutical_index!B:B, pharmaceutical_index!A:A, "Not Found")</f>
      </c>
      <c r="J1104" s="1" t="s">
        <v>2344</v>
      </c>
      <c r="K1104" s="1" t="s">
        <v>2344</v>
      </c>
      <c r="L1104" s="1" t="s">
        <v>20</v>
      </c>
      <c r="M1104" s="1" t="s">
        <v>2344</v>
      </c>
      <c r="N1104" s="2"/>
      <c r="O1104" s="2"/>
      <c r="P1104" s="2"/>
      <c r="Q1104" s="2"/>
    </row>
    <row x14ac:dyDescent="0.25" r="1105" customHeight="1" ht="17.25">
      <c r="A1105" s="1" t="s">
        <v>4880</v>
      </c>
      <c r="B1105" s="1" t="s">
        <v>2346</v>
      </c>
      <c r="C1105" s="1" t="s">
        <v>3576</v>
      </c>
      <c r="D1105" s="1" t="s">
        <v>20</v>
      </c>
      <c r="E1105" s="1" t="s">
        <v>4250</v>
      </c>
      <c r="F1105" s="1" t="s">
        <v>4251</v>
      </c>
      <c r="G1105" s="1" t="s">
        <v>4252</v>
      </c>
      <c r="H1105" s="2"/>
      <c r="I1105" s="5">
        <f>XLOOKUP(K1105, pharmaceutical_index!B:B, pharmaceutical_index!A:A, "Not Found")</f>
      </c>
      <c r="J1105" s="1" t="s">
        <v>2346</v>
      </c>
      <c r="K1105" s="1" t="s">
        <v>2346</v>
      </c>
      <c r="L1105" s="1" t="s">
        <v>20</v>
      </c>
      <c r="M1105" s="1" t="s">
        <v>2346</v>
      </c>
      <c r="N1105" s="2"/>
      <c r="O1105" s="2"/>
      <c r="P1105" s="2"/>
      <c r="Q1105" s="2"/>
    </row>
    <row x14ac:dyDescent="0.25" r="1106" customHeight="1" ht="17.25">
      <c r="A1106" s="1" t="s">
        <v>4881</v>
      </c>
      <c r="B1106" s="1" t="s">
        <v>2348</v>
      </c>
      <c r="C1106" s="1" t="s">
        <v>3576</v>
      </c>
      <c r="D1106" s="1" t="s">
        <v>20</v>
      </c>
      <c r="E1106" s="1" t="s">
        <v>4250</v>
      </c>
      <c r="F1106" s="1" t="s">
        <v>4251</v>
      </c>
      <c r="G1106" s="1" t="s">
        <v>4252</v>
      </c>
      <c r="H1106" s="2"/>
      <c r="I1106" s="5">
        <f>XLOOKUP(K1106, pharmaceutical_index!B:B, pharmaceutical_index!A:A, "Not Found")</f>
      </c>
      <c r="J1106" s="1" t="s">
        <v>2348</v>
      </c>
      <c r="K1106" s="1" t="s">
        <v>2348</v>
      </c>
      <c r="L1106" s="1" t="s">
        <v>20</v>
      </c>
      <c r="M1106" s="1" t="s">
        <v>2348</v>
      </c>
      <c r="N1106" s="2"/>
      <c r="O1106" s="2"/>
      <c r="P1106" s="2"/>
      <c r="Q1106" s="2"/>
    </row>
    <row x14ac:dyDescent="0.25" r="1107" customHeight="1" ht="17.25">
      <c r="A1107" s="1" t="s">
        <v>4882</v>
      </c>
      <c r="B1107" s="1" t="s">
        <v>2350</v>
      </c>
      <c r="C1107" s="1" t="s">
        <v>3576</v>
      </c>
      <c r="D1107" s="1" t="s">
        <v>20</v>
      </c>
      <c r="E1107" s="1" t="s">
        <v>4250</v>
      </c>
      <c r="F1107" s="1" t="s">
        <v>4251</v>
      </c>
      <c r="G1107" s="1" t="s">
        <v>4252</v>
      </c>
      <c r="H1107" s="2"/>
      <c r="I1107" s="5">
        <f>XLOOKUP(K1107, pharmaceutical_index!B:B, pharmaceutical_index!A:A, "Not Found")</f>
      </c>
      <c r="J1107" s="1" t="s">
        <v>2350</v>
      </c>
      <c r="K1107" s="1" t="s">
        <v>2350</v>
      </c>
      <c r="L1107" s="1" t="s">
        <v>20</v>
      </c>
      <c r="M1107" s="1" t="s">
        <v>2350</v>
      </c>
      <c r="N1107" s="2"/>
      <c r="O1107" s="2"/>
      <c r="P1107" s="2"/>
      <c r="Q1107" s="2"/>
    </row>
    <row x14ac:dyDescent="0.25" r="1108" customHeight="1" ht="17.25">
      <c r="A1108" s="1" t="s">
        <v>4883</v>
      </c>
      <c r="B1108" s="1" t="s">
        <v>2352</v>
      </c>
      <c r="C1108" s="1" t="s">
        <v>3576</v>
      </c>
      <c r="D1108" s="1" t="s">
        <v>20</v>
      </c>
      <c r="E1108" s="1" t="s">
        <v>4250</v>
      </c>
      <c r="F1108" s="1" t="s">
        <v>4251</v>
      </c>
      <c r="G1108" s="1" t="s">
        <v>4252</v>
      </c>
      <c r="H1108" s="2"/>
      <c r="I1108" s="5">
        <f>XLOOKUP(K1108, pharmaceutical_index!B:B, pharmaceutical_index!A:A, "Not Found")</f>
      </c>
      <c r="J1108" s="1" t="s">
        <v>2352</v>
      </c>
      <c r="K1108" s="1" t="s">
        <v>2352</v>
      </c>
      <c r="L1108" s="1" t="s">
        <v>20</v>
      </c>
      <c r="M1108" s="1" t="s">
        <v>2352</v>
      </c>
      <c r="N1108" s="2"/>
      <c r="O1108" s="2"/>
      <c r="P1108" s="2"/>
      <c r="Q1108" s="2"/>
    </row>
    <row x14ac:dyDescent="0.25" r="1109" customHeight="1" ht="17.25">
      <c r="A1109" s="1" t="s">
        <v>4884</v>
      </c>
      <c r="B1109" s="1" t="s">
        <v>2354</v>
      </c>
      <c r="C1109" s="1" t="s">
        <v>3576</v>
      </c>
      <c r="D1109" s="1" t="s">
        <v>20</v>
      </c>
      <c r="E1109" s="1" t="s">
        <v>4250</v>
      </c>
      <c r="F1109" s="1" t="s">
        <v>4251</v>
      </c>
      <c r="G1109" s="1" t="s">
        <v>4252</v>
      </c>
      <c r="H1109" s="2"/>
      <c r="I1109" s="5">
        <f>XLOOKUP(K1109, pharmaceutical_index!B:B, pharmaceutical_index!A:A, "Not Found")</f>
      </c>
      <c r="J1109" s="1" t="s">
        <v>2354</v>
      </c>
      <c r="K1109" s="1" t="s">
        <v>2354</v>
      </c>
      <c r="L1109" s="1" t="s">
        <v>20</v>
      </c>
      <c r="M1109" s="1" t="s">
        <v>2354</v>
      </c>
      <c r="N1109" s="2"/>
      <c r="O1109" s="2"/>
      <c r="P1109" s="2"/>
      <c r="Q1109" s="2"/>
    </row>
    <row x14ac:dyDescent="0.25" r="1110" customHeight="1" ht="17.25">
      <c r="A1110" s="1" t="s">
        <v>4885</v>
      </c>
      <c r="B1110" s="1" t="s">
        <v>2356</v>
      </c>
      <c r="C1110" s="1" t="s">
        <v>3576</v>
      </c>
      <c r="D1110" s="1" t="s">
        <v>20</v>
      </c>
      <c r="E1110" s="1" t="s">
        <v>4250</v>
      </c>
      <c r="F1110" s="1" t="s">
        <v>4251</v>
      </c>
      <c r="G1110" s="1" t="s">
        <v>4252</v>
      </c>
      <c r="H1110" s="2"/>
      <c r="I1110" s="5">
        <f>XLOOKUP(K1110, pharmaceutical_index!B:B, pharmaceutical_index!A:A, "Not Found")</f>
      </c>
      <c r="J1110" s="1" t="s">
        <v>2356</v>
      </c>
      <c r="K1110" s="1" t="s">
        <v>2356</v>
      </c>
      <c r="L1110" s="1" t="s">
        <v>20</v>
      </c>
      <c r="M1110" s="1" t="s">
        <v>2356</v>
      </c>
      <c r="N1110" s="2"/>
      <c r="O1110" s="2"/>
      <c r="P1110" s="2"/>
      <c r="Q1110" s="2"/>
    </row>
    <row x14ac:dyDescent="0.25" r="1111" customHeight="1" ht="17.25">
      <c r="A1111" s="1" t="s">
        <v>4886</v>
      </c>
      <c r="B1111" s="1" t="s">
        <v>2358</v>
      </c>
      <c r="C1111" s="1" t="s">
        <v>3576</v>
      </c>
      <c r="D1111" s="1" t="s">
        <v>20</v>
      </c>
      <c r="E1111" s="1" t="s">
        <v>4250</v>
      </c>
      <c r="F1111" s="1" t="s">
        <v>4251</v>
      </c>
      <c r="G1111" s="1" t="s">
        <v>4252</v>
      </c>
      <c r="H1111" s="2"/>
      <c r="I1111" s="5">
        <f>XLOOKUP(K1111, pharmaceutical_index!B:B, pharmaceutical_index!A:A, "Not Found")</f>
      </c>
      <c r="J1111" s="1" t="s">
        <v>2358</v>
      </c>
      <c r="K1111" s="1" t="s">
        <v>2358</v>
      </c>
      <c r="L1111" s="1" t="s">
        <v>20</v>
      </c>
      <c r="M1111" s="1" t="s">
        <v>2358</v>
      </c>
      <c r="N1111" s="2"/>
      <c r="O1111" s="2"/>
      <c r="P1111" s="2"/>
      <c r="Q1111" s="2"/>
    </row>
    <row x14ac:dyDescent="0.25" r="1112" customHeight="1" ht="17.25">
      <c r="A1112" s="1" t="s">
        <v>4887</v>
      </c>
      <c r="B1112" s="1" t="s">
        <v>2360</v>
      </c>
      <c r="C1112" s="1" t="s">
        <v>3576</v>
      </c>
      <c r="D1112" s="1" t="s">
        <v>20</v>
      </c>
      <c r="E1112" s="1" t="s">
        <v>4250</v>
      </c>
      <c r="F1112" s="1" t="s">
        <v>4251</v>
      </c>
      <c r="G1112" s="1" t="s">
        <v>4252</v>
      </c>
      <c r="H1112" s="2"/>
      <c r="I1112" s="5">
        <f>XLOOKUP(K1112, pharmaceutical_index!B:B, pharmaceutical_index!A:A, "Not Found")</f>
      </c>
      <c r="J1112" s="1" t="s">
        <v>2360</v>
      </c>
      <c r="K1112" s="1" t="s">
        <v>2360</v>
      </c>
      <c r="L1112" s="1" t="s">
        <v>20</v>
      </c>
      <c r="M1112" s="1" t="s">
        <v>2360</v>
      </c>
      <c r="N1112" s="2"/>
      <c r="O1112" s="2"/>
      <c r="P1112" s="2"/>
      <c r="Q1112" s="2"/>
    </row>
    <row x14ac:dyDescent="0.25" r="1113" customHeight="1" ht="17.25">
      <c r="A1113" s="1" t="s">
        <v>4888</v>
      </c>
      <c r="B1113" s="1" t="s">
        <v>2362</v>
      </c>
      <c r="C1113" s="1" t="s">
        <v>3576</v>
      </c>
      <c r="D1113" s="1" t="s">
        <v>20</v>
      </c>
      <c r="E1113" s="1" t="s">
        <v>4250</v>
      </c>
      <c r="F1113" s="1" t="s">
        <v>4251</v>
      </c>
      <c r="G1113" s="1" t="s">
        <v>4252</v>
      </c>
      <c r="H1113" s="2"/>
      <c r="I1113" s="5">
        <f>XLOOKUP(K1113, pharmaceutical_index!B:B, pharmaceutical_index!A:A, "Not Found")</f>
      </c>
      <c r="J1113" s="1" t="s">
        <v>2362</v>
      </c>
      <c r="K1113" s="1" t="s">
        <v>2362</v>
      </c>
      <c r="L1113" s="1" t="s">
        <v>20</v>
      </c>
      <c r="M1113" s="1" t="s">
        <v>2362</v>
      </c>
      <c r="N1113" s="2"/>
      <c r="O1113" s="2"/>
      <c r="P1113" s="2"/>
      <c r="Q1113" s="2"/>
    </row>
    <row x14ac:dyDescent="0.25" r="1114" customHeight="1" ht="17.25">
      <c r="A1114" s="1" t="s">
        <v>4889</v>
      </c>
      <c r="B1114" s="1" t="s">
        <v>2364</v>
      </c>
      <c r="C1114" s="1" t="s">
        <v>3576</v>
      </c>
      <c r="D1114" s="1" t="s">
        <v>20</v>
      </c>
      <c r="E1114" s="1" t="s">
        <v>4250</v>
      </c>
      <c r="F1114" s="1" t="s">
        <v>4251</v>
      </c>
      <c r="G1114" s="1" t="s">
        <v>4252</v>
      </c>
      <c r="H1114" s="2"/>
      <c r="I1114" s="5">
        <f>XLOOKUP(K1114, pharmaceutical_index!B:B, pharmaceutical_index!A:A, "Not Found")</f>
      </c>
      <c r="J1114" s="1" t="s">
        <v>2364</v>
      </c>
      <c r="K1114" s="1" t="s">
        <v>2364</v>
      </c>
      <c r="L1114" s="1" t="s">
        <v>20</v>
      </c>
      <c r="M1114" s="1" t="s">
        <v>2364</v>
      </c>
      <c r="N1114" s="2"/>
      <c r="O1114" s="2"/>
      <c r="P1114" s="2"/>
      <c r="Q1114" s="2"/>
    </row>
    <row x14ac:dyDescent="0.25" r="1115" customHeight="1" ht="17.25">
      <c r="A1115" s="1" t="s">
        <v>4890</v>
      </c>
      <c r="B1115" s="1" t="s">
        <v>2366</v>
      </c>
      <c r="C1115" s="1" t="s">
        <v>3576</v>
      </c>
      <c r="D1115" s="1" t="s">
        <v>20</v>
      </c>
      <c r="E1115" s="1" t="s">
        <v>4250</v>
      </c>
      <c r="F1115" s="1" t="s">
        <v>4251</v>
      </c>
      <c r="G1115" s="1" t="s">
        <v>4252</v>
      </c>
      <c r="H1115" s="2"/>
      <c r="I1115" s="5">
        <f>XLOOKUP(K1115, pharmaceutical_index!B:B, pharmaceutical_index!A:A, "Not Found")</f>
      </c>
      <c r="J1115" s="1" t="s">
        <v>2366</v>
      </c>
      <c r="K1115" s="1" t="s">
        <v>2366</v>
      </c>
      <c r="L1115" s="1" t="s">
        <v>20</v>
      </c>
      <c r="M1115" s="1" t="s">
        <v>2366</v>
      </c>
      <c r="N1115" s="2"/>
      <c r="O1115" s="2"/>
      <c r="P1115" s="2"/>
      <c r="Q1115" s="2"/>
    </row>
    <row x14ac:dyDescent="0.25" r="1116" customHeight="1" ht="17.25">
      <c r="A1116" s="1" t="s">
        <v>4891</v>
      </c>
      <c r="B1116" s="1" t="s">
        <v>2368</v>
      </c>
      <c r="C1116" s="1" t="s">
        <v>3576</v>
      </c>
      <c r="D1116" s="1" t="s">
        <v>20</v>
      </c>
      <c r="E1116" s="1" t="s">
        <v>4250</v>
      </c>
      <c r="F1116" s="1" t="s">
        <v>4251</v>
      </c>
      <c r="G1116" s="1" t="s">
        <v>4252</v>
      </c>
      <c r="H1116" s="2"/>
      <c r="I1116" s="5">
        <f>XLOOKUP(K1116, pharmaceutical_index!B:B, pharmaceutical_index!A:A, "Not Found")</f>
      </c>
      <c r="J1116" s="1" t="s">
        <v>2368</v>
      </c>
      <c r="K1116" s="1" t="s">
        <v>2368</v>
      </c>
      <c r="L1116" s="1" t="s">
        <v>20</v>
      </c>
      <c r="M1116" s="1" t="s">
        <v>2368</v>
      </c>
      <c r="N1116" s="2"/>
      <c r="O1116" s="2"/>
      <c r="P1116" s="2"/>
      <c r="Q1116" s="2"/>
    </row>
    <row x14ac:dyDescent="0.25" r="1117" customHeight="1" ht="17.25">
      <c r="A1117" s="1" t="s">
        <v>4892</v>
      </c>
      <c r="B1117" s="1" t="s">
        <v>2370</v>
      </c>
      <c r="C1117" s="1" t="s">
        <v>3576</v>
      </c>
      <c r="D1117" s="1" t="s">
        <v>20</v>
      </c>
      <c r="E1117" s="1" t="s">
        <v>4250</v>
      </c>
      <c r="F1117" s="1" t="s">
        <v>4251</v>
      </c>
      <c r="G1117" s="1" t="s">
        <v>4252</v>
      </c>
      <c r="H1117" s="2"/>
      <c r="I1117" s="5">
        <f>XLOOKUP(K1117, pharmaceutical_index!B:B, pharmaceutical_index!A:A, "Not Found")</f>
      </c>
      <c r="J1117" s="1" t="s">
        <v>2370</v>
      </c>
      <c r="K1117" s="1" t="s">
        <v>2370</v>
      </c>
      <c r="L1117" s="1" t="s">
        <v>20</v>
      </c>
      <c r="M1117" s="1" t="s">
        <v>2370</v>
      </c>
      <c r="N1117" s="2"/>
      <c r="O1117" s="2"/>
      <c r="P1117" s="2"/>
      <c r="Q1117" s="2"/>
    </row>
    <row x14ac:dyDescent="0.25" r="1118" customHeight="1" ht="17.25">
      <c r="A1118" s="1" t="s">
        <v>4893</v>
      </c>
      <c r="B1118" s="1" t="s">
        <v>2372</v>
      </c>
      <c r="C1118" s="1" t="s">
        <v>3576</v>
      </c>
      <c r="D1118" s="1" t="s">
        <v>20</v>
      </c>
      <c r="E1118" s="1" t="s">
        <v>4250</v>
      </c>
      <c r="F1118" s="1" t="s">
        <v>4251</v>
      </c>
      <c r="G1118" s="1" t="s">
        <v>4252</v>
      </c>
      <c r="H1118" s="2"/>
      <c r="I1118" s="5">
        <f>XLOOKUP(K1118, pharmaceutical_index!B:B, pharmaceutical_index!A:A, "Not Found")</f>
      </c>
      <c r="J1118" s="1" t="s">
        <v>2372</v>
      </c>
      <c r="K1118" s="1" t="s">
        <v>2372</v>
      </c>
      <c r="L1118" s="1" t="s">
        <v>20</v>
      </c>
      <c r="M1118" s="1" t="s">
        <v>2372</v>
      </c>
      <c r="N1118" s="2"/>
      <c r="O1118" s="2"/>
      <c r="P1118" s="2"/>
      <c r="Q1118" s="2"/>
    </row>
    <row x14ac:dyDescent="0.25" r="1119" customHeight="1" ht="17.25">
      <c r="A1119" s="1" t="s">
        <v>4894</v>
      </c>
      <c r="B1119" s="1" t="s">
        <v>2374</v>
      </c>
      <c r="C1119" s="1" t="s">
        <v>3576</v>
      </c>
      <c r="D1119" s="1" t="s">
        <v>20</v>
      </c>
      <c r="E1119" s="1" t="s">
        <v>4250</v>
      </c>
      <c r="F1119" s="1" t="s">
        <v>4251</v>
      </c>
      <c r="G1119" s="1" t="s">
        <v>4252</v>
      </c>
      <c r="H1119" s="2"/>
      <c r="I1119" s="5">
        <f>XLOOKUP(K1119, pharmaceutical_index!B:B, pharmaceutical_index!A:A, "Not Found")</f>
      </c>
      <c r="J1119" s="1" t="s">
        <v>2374</v>
      </c>
      <c r="K1119" s="1" t="s">
        <v>2374</v>
      </c>
      <c r="L1119" s="1" t="s">
        <v>20</v>
      </c>
      <c r="M1119" s="1" t="s">
        <v>2374</v>
      </c>
      <c r="N1119" s="2"/>
      <c r="O1119" s="2"/>
      <c r="P1119" s="2"/>
      <c r="Q1119" s="2"/>
    </row>
    <row x14ac:dyDescent="0.25" r="1120" customHeight="1" ht="17.25">
      <c r="A1120" s="1" t="s">
        <v>4895</v>
      </c>
      <c r="B1120" s="1" t="s">
        <v>2376</v>
      </c>
      <c r="C1120" s="1" t="s">
        <v>3576</v>
      </c>
      <c r="D1120" s="1" t="s">
        <v>20</v>
      </c>
      <c r="E1120" s="1" t="s">
        <v>4250</v>
      </c>
      <c r="F1120" s="1" t="s">
        <v>4251</v>
      </c>
      <c r="G1120" s="1" t="s">
        <v>4252</v>
      </c>
      <c r="H1120" s="2"/>
      <c r="I1120" s="5">
        <f>XLOOKUP(K1120, pharmaceutical_index!B:B, pharmaceutical_index!A:A, "Not Found")</f>
      </c>
      <c r="J1120" s="1" t="s">
        <v>2376</v>
      </c>
      <c r="K1120" s="1" t="s">
        <v>2376</v>
      </c>
      <c r="L1120" s="1" t="s">
        <v>20</v>
      </c>
      <c r="M1120" s="1" t="s">
        <v>2376</v>
      </c>
      <c r="N1120" s="2"/>
      <c r="O1120" s="2"/>
      <c r="P1120" s="2"/>
      <c r="Q1120" s="2"/>
    </row>
    <row x14ac:dyDescent="0.25" r="1121" customHeight="1" ht="17.25">
      <c r="A1121" s="1" t="s">
        <v>4896</v>
      </c>
      <c r="B1121" s="1" t="s">
        <v>2378</v>
      </c>
      <c r="C1121" s="1" t="s">
        <v>3576</v>
      </c>
      <c r="D1121" s="1" t="s">
        <v>20</v>
      </c>
      <c r="E1121" s="1" t="s">
        <v>4250</v>
      </c>
      <c r="F1121" s="1" t="s">
        <v>4251</v>
      </c>
      <c r="G1121" s="1" t="s">
        <v>4252</v>
      </c>
      <c r="H1121" s="2"/>
      <c r="I1121" s="5">
        <f>XLOOKUP(K1121, pharmaceutical_index!B:B, pharmaceutical_index!A:A, "Not Found")</f>
      </c>
      <c r="J1121" s="1" t="s">
        <v>2378</v>
      </c>
      <c r="K1121" s="1" t="s">
        <v>2378</v>
      </c>
      <c r="L1121" s="1" t="s">
        <v>20</v>
      </c>
      <c r="M1121" s="1" t="s">
        <v>2378</v>
      </c>
      <c r="N1121" s="2"/>
      <c r="O1121" s="2"/>
      <c r="P1121" s="2"/>
      <c r="Q1121" s="2"/>
    </row>
    <row x14ac:dyDescent="0.25" r="1122" customHeight="1" ht="17.25">
      <c r="A1122" s="1" t="s">
        <v>4897</v>
      </c>
      <c r="B1122" s="1" t="s">
        <v>2380</v>
      </c>
      <c r="C1122" s="1" t="s">
        <v>3576</v>
      </c>
      <c r="D1122" s="1" t="s">
        <v>20</v>
      </c>
      <c r="E1122" s="1" t="s">
        <v>4250</v>
      </c>
      <c r="F1122" s="1" t="s">
        <v>4251</v>
      </c>
      <c r="G1122" s="1" t="s">
        <v>4252</v>
      </c>
      <c r="H1122" s="2"/>
      <c r="I1122" s="5">
        <f>XLOOKUP(K1122, pharmaceutical_index!B:B, pharmaceutical_index!A:A, "Not Found")</f>
      </c>
      <c r="J1122" s="1" t="s">
        <v>2380</v>
      </c>
      <c r="K1122" s="1" t="s">
        <v>2380</v>
      </c>
      <c r="L1122" s="1" t="s">
        <v>20</v>
      </c>
      <c r="M1122" s="1" t="s">
        <v>2380</v>
      </c>
      <c r="N1122" s="2"/>
      <c r="O1122" s="2"/>
      <c r="P1122" s="2"/>
      <c r="Q1122" s="2"/>
    </row>
    <row x14ac:dyDescent="0.25" r="1123" customHeight="1" ht="17.25">
      <c r="A1123" s="1" t="s">
        <v>4898</v>
      </c>
      <c r="B1123" s="1" t="s">
        <v>2382</v>
      </c>
      <c r="C1123" s="1" t="s">
        <v>3576</v>
      </c>
      <c r="D1123" s="1" t="s">
        <v>20</v>
      </c>
      <c r="E1123" s="1" t="s">
        <v>4250</v>
      </c>
      <c r="F1123" s="1" t="s">
        <v>4251</v>
      </c>
      <c r="G1123" s="1" t="s">
        <v>4252</v>
      </c>
      <c r="H1123" s="2"/>
      <c r="I1123" s="5">
        <f>XLOOKUP(K1123, pharmaceutical_index!B:B, pharmaceutical_index!A:A, "Not Found")</f>
      </c>
      <c r="J1123" s="1" t="s">
        <v>2382</v>
      </c>
      <c r="K1123" s="1" t="s">
        <v>2382</v>
      </c>
      <c r="L1123" s="1" t="s">
        <v>20</v>
      </c>
      <c r="M1123" s="1" t="s">
        <v>2382</v>
      </c>
      <c r="N1123" s="2"/>
      <c r="O1123" s="2"/>
      <c r="P1123" s="2"/>
      <c r="Q1123" s="2"/>
    </row>
    <row x14ac:dyDescent="0.25" r="1124" customHeight="1" ht="17.25">
      <c r="A1124" s="1" t="s">
        <v>4899</v>
      </c>
      <c r="B1124" s="1" t="s">
        <v>2384</v>
      </c>
      <c r="C1124" s="1" t="s">
        <v>3576</v>
      </c>
      <c r="D1124" s="1" t="s">
        <v>20</v>
      </c>
      <c r="E1124" s="1" t="s">
        <v>4250</v>
      </c>
      <c r="F1124" s="1" t="s">
        <v>4251</v>
      </c>
      <c r="G1124" s="1" t="s">
        <v>4252</v>
      </c>
      <c r="H1124" s="2"/>
      <c r="I1124" s="5">
        <f>XLOOKUP(K1124, pharmaceutical_index!B:B, pharmaceutical_index!A:A, "Not Found")</f>
      </c>
      <c r="J1124" s="1" t="s">
        <v>2384</v>
      </c>
      <c r="K1124" s="1" t="s">
        <v>2384</v>
      </c>
      <c r="L1124" s="1" t="s">
        <v>20</v>
      </c>
      <c r="M1124" s="1" t="s">
        <v>2384</v>
      </c>
      <c r="N1124" s="2"/>
      <c r="O1124" s="2"/>
      <c r="P1124" s="2"/>
      <c r="Q1124" s="2"/>
    </row>
    <row x14ac:dyDescent="0.25" r="1125" customHeight="1" ht="17.25">
      <c r="A1125" s="1" t="s">
        <v>4900</v>
      </c>
      <c r="B1125" s="1" t="s">
        <v>2386</v>
      </c>
      <c r="C1125" s="1" t="s">
        <v>3576</v>
      </c>
      <c r="D1125" s="1" t="s">
        <v>20</v>
      </c>
      <c r="E1125" s="1" t="s">
        <v>4250</v>
      </c>
      <c r="F1125" s="1" t="s">
        <v>4251</v>
      </c>
      <c r="G1125" s="1" t="s">
        <v>4252</v>
      </c>
      <c r="H1125" s="2"/>
      <c r="I1125" s="5">
        <f>XLOOKUP(K1125, pharmaceutical_index!B:B, pharmaceutical_index!A:A, "Not Found")</f>
      </c>
      <c r="J1125" s="1" t="s">
        <v>2386</v>
      </c>
      <c r="K1125" s="1" t="s">
        <v>2386</v>
      </c>
      <c r="L1125" s="1" t="s">
        <v>20</v>
      </c>
      <c r="M1125" s="1" t="s">
        <v>2386</v>
      </c>
      <c r="N1125" s="2"/>
      <c r="O1125" s="2"/>
      <c r="P1125" s="2"/>
      <c r="Q1125" s="2"/>
    </row>
    <row x14ac:dyDescent="0.25" r="1126" customHeight="1" ht="17.25">
      <c r="A1126" s="1" t="s">
        <v>4901</v>
      </c>
      <c r="B1126" s="1" t="s">
        <v>2388</v>
      </c>
      <c r="C1126" s="1" t="s">
        <v>3576</v>
      </c>
      <c r="D1126" s="1" t="s">
        <v>20</v>
      </c>
      <c r="E1126" s="1" t="s">
        <v>4250</v>
      </c>
      <c r="F1126" s="1" t="s">
        <v>4251</v>
      </c>
      <c r="G1126" s="1" t="s">
        <v>4252</v>
      </c>
      <c r="H1126" s="2"/>
      <c r="I1126" s="5">
        <f>XLOOKUP(K1126, pharmaceutical_index!B:B, pharmaceutical_index!A:A, "Not Found")</f>
      </c>
      <c r="J1126" s="1" t="s">
        <v>2388</v>
      </c>
      <c r="K1126" s="1" t="s">
        <v>2388</v>
      </c>
      <c r="L1126" s="1" t="s">
        <v>20</v>
      </c>
      <c r="M1126" s="1" t="s">
        <v>2388</v>
      </c>
      <c r="N1126" s="2"/>
      <c r="O1126" s="2"/>
      <c r="P1126" s="2"/>
      <c r="Q1126" s="2"/>
    </row>
    <row x14ac:dyDescent="0.25" r="1127" customHeight="1" ht="17.25">
      <c r="A1127" s="1" t="s">
        <v>4902</v>
      </c>
      <c r="B1127" s="1" t="s">
        <v>2390</v>
      </c>
      <c r="C1127" s="1" t="s">
        <v>3576</v>
      </c>
      <c r="D1127" s="1" t="s">
        <v>20</v>
      </c>
      <c r="E1127" s="1" t="s">
        <v>4250</v>
      </c>
      <c r="F1127" s="1" t="s">
        <v>4251</v>
      </c>
      <c r="G1127" s="1" t="s">
        <v>4252</v>
      </c>
      <c r="H1127" s="2"/>
      <c r="I1127" s="5">
        <f>XLOOKUP(K1127, pharmaceutical_index!B:B, pharmaceutical_index!A:A, "Not Found")</f>
      </c>
      <c r="J1127" s="1" t="s">
        <v>2390</v>
      </c>
      <c r="K1127" s="1" t="s">
        <v>2390</v>
      </c>
      <c r="L1127" s="1" t="s">
        <v>20</v>
      </c>
      <c r="M1127" s="1" t="s">
        <v>2390</v>
      </c>
      <c r="N1127" s="2"/>
      <c r="O1127" s="2"/>
      <c r="P1127" s="2"/>
      <c r="Q1127" s="2"/>
    </row>
    <row x14ac:dyDescent="0.25" r="1128" customHeight="1" ht="17.25">
      <c r="A1128" s="1" t="s">
        <v>4903</v>
      </c>
      <c r="B1128" s="1" t="s">
        <v>2392</v>
      </c>
      <c r="C1128" s="1" t="s">
        <v>3576</v>
      </c>
      <c r="D1128" s="1" t="s">
        <v>20</v>
      </c>
      <c r="E1128" s="1" t="s">
        <v>4250</v>
      </c>
      <c r="F1128" s="1" t="s">
        <v>4251</v>
      </c>
      <c r="G1128" s="1" t="s">
        <v>4252</v>
      </c>
      <c r="H1128" s="2"/>
      <c r="I1128" s="5">
        <f>XLOOKUP(K1128, pharmaceutical_index!B:B, pharmaceutical_index!A:A, "Not Found")</f>
      </c>
      <c r="J1128" s="1" t="s">
        <v>2392</v>
      </c>
      <c r="K1128" s="1" t="s">
        <v>2392</v>
      </c>
      <c r="L1128" s="1" t="s">
        <v>20</v>
      </c>
      <c r="M1128" s="1" t="s">
        <v>2392</v>
      </c>
      <c r="N1128" s="2"/>
      <c r="O1128" s="2"/>
      <c r="P1128" s="2"/>
      <c r="Q1128" s="2"/>
    </row>
    <row x14ac:dyDescent="0.25" r="1129" customHeight="1" ht="17.25">
      <c r="A1129" s="1" t="s">
        <v>4904</v>
      </c>
      <c r="B1129" s="1" t="s">
        <v>2394</v>
      </c>
      <c r="C1129" s="1" t="s">
        <v>3576</v>
      </c>
      <c r="D1129" s="1" t="s">
        <v>20</v>
      </c>
      <c r="E1129" s="1" t="s">
        <v>4250</v>
      </c>
      <c r="F1129" s="1" t="s">
        <v>4251</v>
      </c>
      <c r="G1129" s="1" t="s">
        <v>4252</v>
      </c>
      <c r="H1129" s="2"/>
      <c r="I1129" s="5">
        <f>XLOOKUP(K1129, pharmaceutical_index!B:B, pharmaceutical_index!A:A, "Not Found")</f>
      </c>
      <c r="J1129" s="1" t="s">
        <v>2394</v>
      </c>
      <c r="K1129" s="1" t="s">
        <v>2394</v>
      </c>
      <c r="L1129" s="1" t="s">
        <v>20</v>
      </c>
      <c r="M1129" s="1" t="s">
        <v>2394</v>
      </c>
      <c r="N1129" s="2"/>
      <c r="O1129" s="2"/>
      <c r="P1129" s="2"/>
      <c r="Q1129" s="2"/>
    </row>
    <row x14ac:dyDescent="0.25" r="1130" customHeight="1" ht="17.25">
      <c r="A1130" s="1" t="s">
        <v>4905</v>
      </c>
      <c r="B1130" s="1" t="s">
        <v>2396</v>
      </c>
      <c r="C1130" s="1" t="s">
        <v>3576</v>
      </c>
      <c r="D1130" s="1" t="s">
        <v>20</v>
      </c>
      <c r="E1130" s="1" t="s">
        <v>4250</v>
      </c>
      <c r="F1130" s="1" t="s">
        <v>4251</v>
      </c>
      <c r="G1130" s="1" t="s">
        <v>4252</v>
      </c>
      <c r="H1130" s="2"/>
      <c r="I1130" s="5">
        <f>XLOOKUP(K1130, pharmaceutical_index!B:B, pharmaceutical_index!A:A, "Not Found")</f>
      </c>
      <c r="J1130" s="1" t="s">
        <v>2396</v>
      </c>
      <c r="K1130" s="1" t="s">
        <v>2396</v>
      </c>
      <c r="L1130" s="1" t="s">
        <v>20</v>
      </c>
      <c r="M1130" s="1" t="s">
        <v>2396</v>
      </c>
      <c r="N1130" s="2"/>
      <c r="O1130" s="2"/>
      <c r="P1130" s="2"/>
      <c r="Q1130" s="2"/>
    </row>
    <row x14ac:dyDescent="0.25" r="1131" customHeight="1" ht="17.25">
      <c r="A1131" s="1" t="s">
        <v>4906</v>
      </c>
      <c r="B1131" s="1" t="s">
        <v>2398</v>
      </c>
      <c r="C1131" s="1" t="s">
        <v>3576</v>
      </c>
      <c r="D1131" s="1" t="s">
        <v>20</v>
      </c>
      <c r="E1131" s="1" t="s">
        <v>4250</v>
      </c>
      <c r="F1131" s="1" t="s">
        <v>4251</v>
      </c>
      <c r="G1131" s="1" t="s">
        <v>4252</v>
      </c>
      <c r="H1131" s="2"/>
      <c r="I1131" s="5">
        <f>XLOOKUP(K1131, pharmaceutical_index!B:B, pharmaceutical_index!A:A, "Not Found")</f>
      </c>
      <c r="J1131" s="1" t="s">
        <v>2398</v>
      </c>
      <c r="K1131" s="1" t="s">
        <v>2398</v>
      </c>
      <c r="L1131" s="1" t="s">
        <v>20</v>
      </c>
      <c r="M1131" s="1" t="s">
        <v>2398</v>
      </c>
      <c r="N1131" s="2"/>
      <c r="O1131" s="2"/>
      <c r="P1131" s="2"/>
      <c r="Q1131" s="2"/>
    </row>
    <row x14ac:dyDescent="0.25" r="1132" customHeight="1" ht="17.25">
      <c r="A1132" s="1" t="s">
        <v>4907</v>
      </c>
      <c r="B1132" s="1" t="s">
        <v>2400</v>
      </c>
      <c r="C1132" s="1" t="s">
        <v>3576</v>
      </c>
      <c r="D1132" s="1" t="s">
        <v>20</v>
      </c>
      <c r="E1132" s="1" t="s">
        <v>4250</v>
      </c>
      <c r="F1132" s="1" t="s">
        <v>4251</v>
      </c>
      <c r="G1132" s="1" t="s">
        <v>4252</v>
      </c>
      <c r="H1132" s="2"/>
      <c r="I1132" s="5">
        <f>XLOOKUP(K1132, pharmaceutical_index!B:B, pharmaceutical_index!A:A, "Not Found")</f>
      </c>
      <c r="J1132" s="1" t="s">
        <v>2400</v>
      </c>
      <c r="K1132" s="1" t="s">
        <v>2400</v>
      </c>
      <c r="L1132" s="1" t="s">
        <v>20</v>
      </c>
      <c r="M1132" s="1" t="s">
        <v>2400</v>
      </c>
      <c r="N1132" s="2"/>
      <c r="O1132" s="2"/>
      <c r="P1132" s="2"/>
      <c r="Q1132" s="2"/>
    </row>
    <row x14ac:dyDescent="0.25" r="1133" customHeight="1" ht="17.25">
      <c r="A1133" s="1" t="s">
        <v>4908</v>
      </c>
      <c r="B1133" s="1" t="s">
        <v>2402</v>
      </c>
      <c r="C1133" s="1" t="s">
        <v>3576</v>
      </c>
      <c r="D1133" s="1" t="s">
        <v>20</v>
      </c>
      <c r="E1133" s="1" t="s">
        <v>4250</v>
      </c>
      <c r="F1133" s="1" t="s">
        <v>4251</v>
      </c>
      <c r="G1133" s="1" t="s">
        <v>4252</v>
      </c>
      <c r="H1133" s="2"/>
      <c r="I1133" s="5">
        <f>XLOOKUP(K1133, pharmaceutical_index!B:B, pharmaceutical_index!A:A, "Not Found")</f>
      </c>
      <c r="J1133" s="1" t="s">
        <v>2402</v>
      </c>
      <c r="K1133" s="1" t="s">
        <v>2402</v>
      </c>
      <c r="L1133" s="1" t="s">
        <v>20</v>
      </c>
      <c r="M1133" s="1" t="s">
        <v>2402</v>
      </c>
      <c r="N1133" s="2"/>
      <c r="O1133" s="2"/>
      <c r="P1133" s="2"/>
      <c r="Q1133" s="2"/>
    </row>
    <row x14ac:dyDescent="0.25" r="1134" customHeight="1" ht="17.25">
      <c r="A1134" s="1" t="s">
        <v>4909</v>
      </c>
      <c r="B1134" s="1" t="s">
        <v>2404</v>
      </c>
      <c r="C1134" s="1" t="s">
        <v>3576</v>
      </c>
      <c r="D1134" s="1" t="s">
        <v>20</v>
      </c>
      <c r="E1134" s="1" t="s">
        <v>4250</v>
      </c>
      <c r="F1134" s="1" t="s">
        <v>4251</v>
      </c>
      <c r="G1134" s="1" t="s">
        <v>4252</v>
      </c>
      <c r="H1134" s="2"/>
      <c r="I1134" s="5">
        <f>XLOOKUP(K1134, pharmaceutical_index!B:B, pharmaceutical_index!A:A, "Not Found")</f>
      </c>
      <c r="J1134" s="1" t="s">
        <v>2404</v>
      </c>
      <c r="K1134" s="1" t="s">
        <v>2404</v>
      </c>
      <c r="L1134" s="1" t="s">
        <v>20</v>
      </c>
      <c r="M1134" s="1" t="s">
        <v>2404</v>
      </c>
      <c r="N1134" s="2"/>
      <c r="O1134" s="2"/>
      <c r="P1134" s="2"/>
      <c r="Q1134" s="2"/>
    </row>
    <row x14ac:dyDescent="0.25" r="1135" customHeight="1" ht="17.25">
      <c r="A1135" s="1" t="s">
        <v>4910</v>
      </c>
      <c r="B1135" s="1" t="s">
        <v>2406</v>
      </c>
      <c r="C1135" s="1" t="s">
        <v>3576</v>
      </c>
      <c r="D1135" s="1" t="s">
        <v>20</v>
      </c>
      <c r="E1135" s="1" t="s">
        <v>4250</v>
      </c>
      <c r="F1135" s="1" t="s">
        <v>4251</v>
      </c>
      <c r="G1135" s="1" t="s">
        <v>4252</v>
      </c>
      <c r="H1135" s="2"/>
      <c r="I1135" s="5">
        <f>XLOOKUP(K1135, pharmaceutical_index!B:B, pharmaceutical_index!A:A, "Not Found")</f>
      </c>
      <c r="J1135" s="1" t="s">
        <v>2406</v>
      </c>
      <c r="K1135" s="1" t="s">
        <v>2406</v>
      </c>
      <c r="L1135" s="1" t="s">
        <v>20</v>
      </c>
      <c r="M1135" s="1" t="s">
        <v>2406</v>
      </c>
      <c r="N1135" s="2"/>
      <c r="O1135" s="2"/>
      <c r="P1135" s="2"/>
      <c r="Q1135" s="2"/>
    </row>
    <row x14ac:dyDescent="0.25" r="1136" customHeight="1" ht="17.25">
      <c r="A1136" s="1" t="s">
        <v>4911</v>
      </c>
      <c r="B1136" s="1" t="s">
        <v>2408</v>
      </c>
      <c r="C1136" s="1" t="s">
        <v>3576</v>
      </c>
      <c r="D1136" s="1" t="s">
        <v>20</v>
      </c>
      <c r="E1136" s="1" t="s">
        <v>4250</v>
      </c>
      <c r="F1136" s="1" t="s">
        <v>4251</v>
      </c>
      <c r="G1136" s="1" t="s">
        <v>4252</v>
      </c>
      <c r="H1136" s="2"/>
      <c r="I1136" s="5">
        <f>XLOOKUP(K1136, pharmaceutical_index!B:B, pharmaceutical_index!A:A, "Not Found")</f>
      </c>
      <c r="J1136" s="1" t="s">
        <v>2408</v>
      </c>
      <c r="K1136" s="1" t="s">
        <v>2408</v>
      </c>
      <c r="L1136" s="1" t="s">
        <v>20</v>
      </c>
      <c r="M1136" s="1" t="s">
        <v>2408</v>
      </c>
      <c r="N1136" s="2"/>
      <c r="O1136" s="2"/>
      <c r="P1136" s="2"/>
      <c r="Q1136" s="2"/>
    </row>
    <row x14ac:dyDescent="0.25" r="1137" customHeight="1" ht="17.25">
      <c r="A1137" s="1" t="s">
        <v>4912</v>
      </c>
      <c r="B1137" s="1" t="s">
        <v>2410</v>
      </c>
      <c r="C1137" s="1" t="s">
        <v>3576</v>
      </c>
      <c r="D1137" s="1" t="s">
        <v>20</v>
      </c>
      <c r="E1137" s="1" t="s">
        <v>4250</v>
      </c>
      <c r="F1137" s="1" t="s">
        <v>4251</v>
      </c>
      <c r="G1137" s="1" t="s">
        <v>4252</v>
      </c>
      <c r="H1137" s="2"/>
      <c r="I1137" s="5">
        <f>XLOOKUP(K1137, pharmaceutical_index!B:B, pharmaceutical_index!A:A, "Not Found")</f>
      </c>
      <c r="J1137" s="1" t="s">
        <v>2410</v>
      </c>
      <c r="K1137" s="1" t="s">
        <v>2410</v>
      </c>
      <c r="L1137" s="1" t="s">
        <v>20</v>
      </c>
      <c r="M1137" s="1" t="s">
        <v>2410</v>
      </c>
      <c r="N1137" s="2"/>
      <c r="O1137" s="2"/>
      <c r="P1137" s="2"/>
      <c r="Q1137" s="2"/>
    </row>
    <row x14ac:dyDescent="0.25" r="1138" customHeight="1" ht="17.25">
      <c r="A1138" s="1" t="s">
        <v>4913</v>
      </c>
      <c r="B1138" s="1" t="s">
        <v>2412</v>
      </c>
      <c r="C1138" s="1" t="s">
        <v>3576</v>
      </c>
      <c r="D1138" s="1" t="s">
        <v>20</v>
      </c>
      <c r="E1138" s="1" t="s">
        <v>4250</v>
      </c>
      <c r="F1138" s="1" t="s">
        <v>4251</v>
      </c>
      <c r="G1138" s="1" t="s">
        <v>4252</v>
      </c>
      <c r="H1138" s="2"/>
      <c r="I1138" s="5">
        <f>XLOOKUP(K1138, pharmaceutical_index!B:B, pharmaceutical_index!A:A, "Not Found")</f>
      </c>
      <c r="J1138" s="1" t="s">
        <v>2412</v>
      </c>
      <c r="K1138" s="1" t="s">
        <v>2412</v>
      </c>
      <c r="L1138" s="1" t="s">
        <v>20</v>
      </c>
      <c r="M1138" s="1" t="s">
        <v>2412</v>
      </c>
      <c r="N1138" s="2"/>
      <c r="O1138" s="2"/>
      <c r="P1138" s="2"/>
      <c r="Q1138" s="2"/>
    </row>
    <row x14ac:dyDescent="0.25" r="1139" customHeight="1" ht="17.25">
      <c r="A1139" s="1" t="s">
        <v>4914</v>
      </c>
      <c r="B1139" s="1" t="s">
        <v>2414</v>
      </c>
      <c r="C1139" s="1" t="s">
        <v>3576</v>
      </c>
      <c r="D1139" s="1" t="s">
        <v>20</v>
      </c>
      <c r="E1139" s="1" t="s">
        <v>4250</v>
      </c>
      <c r="F1139" s="1" t="s">
        <v>4251</v>
      </c>
      <c r="G1139" s="1" t="s">
        <v>4252</v>
      </c>
      <c r="H1139" s="2"/>
      <c r="I1139" s="5">
        <f>XLOOKUP(K1139, pharmaceutical_index!B:B, pharmaceutical_index!A:A, "Not Found")</f>
      </c>
      <c r="J1139" s="1" t="s">
        <v>2414</v>
      </c>
      <c r="K1139" s="1" t="s">
        <v>2414</v>
      </c>
      <c r="L1139" s="1" t="s">
        <v>20</v>
      </c>
      <c r="M1139" s="1" t="s">
        <v>2414</v>
      </c>
      <c r="N1139" s="2"/>
      <c r="O1139" s="2"/>
      <c r="P1139" s="2"/>
      <c r="Q1139" s="2"/>
    </row>
    <row x14ac:dyDescent="0.25" r="1140" customHeight="1" ht="17.25">
      <c r="A1140" s="1" t="s">
        <v>4915</v>
      </c>
      <c r="B1140" s="1" t="s">
        <v>2416</v>
      </c>
      <c r="C1140" s="1" t="s">
        <v>3576</v>
      </c>
      <c r="D1140" s="1" t="s">
        <v>20</v>
      </c>
      <c r="E1140" s="1" t="s">
        <v>4250</v>
      </c>
      <c r="F1140" s="1" t="s">
        <v>4251</v>
      </c>
      <c r="G1140" s="1" t="s">
        <v>4252</v>
      </c>
      <c r="H1140" s="2"/>
      <c r="I1140" s="5">
        <f>XLOOKUP(K1140, pharmaceutical_index!B:B, pharmaceutical_index!A:A, "Not Found")</f>
      </c>
      <c r="J1140" s="1" t="s">
        <v>2416</v>
      </c>
      <c r="K1140" s="1" t="s">
        <v>2416</v>
      </c>
      <c r="L1140" s="1" t="s">
        <v>20</v>
      </c>
      <c r="M1140" s="1" t="s">
        <v>2416</v>
      </c>
      <c r="N1140" s="2"/>
      <c r="O1140" s="2"/>
      <c r="P1140" s="2"/>
      <c r="Q1140" s="2"/>
    </row>
    <row x14ac:dyDescent="0.25" r="1141" customHeight="1" ht="17.25">
      <c r="A1141" s="1" t="s">
        <v>4916</v>
      </c>
      <c r="B1141" s="1" t="s">
        <v>2418</v>
      </c>
      <c r="C1141" s="1" t="s">
        <v>3576</v>
      </c>
      <c r="D1141" s="1" t="s">
        <v>20</v>
      </c>
      <c r="E1141" s="1" t="s">
        <v>4250</v>
      </c>
      <c r="F1141" s="1" t="s">
        <v>4251</v>
      </c>
      <c r="G1141" s="1" t="s">
        <v>4252</v>
      </c>
      <c r="H1141" s="2"/>
      <c r="I1141" s="5">
        <f>XLOOKUP(K1141, pharmaceutical_index!B:B, pharmaceutical_index!A:A, "Not Found")</f>
      </c>
      <c r="J1141" s="1" t="s">
        <v>2418</v>
      </c>
      <c r="K1141" s="1" t="s">
        <v>2418</v>
      </c>
      <c r="L1141" s="1" t="s">
        <v>20</v>
      </c>
      <c r="M1141" s="1" t="s">
        <v>2418</v>
      </c>
      <c r="N1141" s="2"/>
      <c r="O1141" s="2"/>
      <c r="P1141" s="2"/>
      <c r="Q1141" s="2"/>
    </row>
    <row x14ac:dyDescent="0.25" r="1142" customHeight="1" ht="17.25">
      <c r="A1142" s="1" t="s">
        <v>4917</v>
      </c>
      <c r="B1142" s="1" t="s">
        <v>2420</v>
      </c>
      <c r="C1142" s="1" t="s">
        <v>3576</v>
      </c>
      <c r="D1142" s="1" t="s">
        <v>20</v>
      </c>
      <c r="E1142" s="1" t="s">
        <v>4250</v>
      </c>
      <c r="F1142" s="1" t="s">
        <v>4251</v>
      </c>
      <c r="G1142" s="1" t="s">
        <v>4252</v>
      </c>
      <c r="H1142" s="2"/>
      <c r="I1142" s="5">
        <f>XLOOKUP(K1142, pharmaceutical_index!B:B, pharmaceutical_index!A:A, "Not Found")</f>
      </c>
      <c r="J1142" s="1" t="s">
        <v>2420</v>
      </c>
      <c r="K1142" s="1" t="s">
        <v>2420</v>
      </c>
      <c r="L1142" s="1" t="s">
        <v>20</v>
      </c>
      <c r="M1142" s="1" t="s">
        <v>2420</v>
      </c>
      <c r="N1142" s="2"/>
      <c r="O1142" s="2"/>
      <c r="P1142" s="2"/>
      <c r="Q1142" s="2"/>
    </row>
    <row x14ac:dyDescent="0.25" r="1143" customHeight="1" ht="17.25">
      <c r="A1143" s="1" t="s">
        <v>4918</v>
      </c>
      <c r="B1143" s="1" t="s">
        <v>2422</v>
      </c>
      <c r="C1143" s="1" t="s">
        <v>3576</v>
      </c>
      <c r="D1143" s="1" t="s">
        <v>20</v>
      </c>
      <c r="E1143" s="1" t="s">
        <v>4250</v>
      </c>
      <c r="F1143" s="1" t="s">
        <v>4251</v>
      </c>
      <c r="G1143" s="1" t="s">
        <v>4252</v>
      </c>
      <c r="H1143" s="2"/>
      <c r="I1143" s="5">
        <f>XLOOKUP(K1143, pharmaceutical_index!B:B, pharmaceutical_index!A:A, "Not Found")</f>
      </c>
      <c r="J1143" s="1" t="s">
        <v>2422</v>
      </c>
      <c r="K1143" s="1" t="s">
        <v>2422</v>
      </c>
      <c r="L1143" s="1" t="s">
        <v>20</v>
      </c>
      <c r="M1143" s="1" t="s">
        <v>2422</v>
      </c>
      <c r="N1143" s="2"/>
      <c r="O1143" s="2"/>
      <c r="P1143" s="2"/>
      <c r="Q1143" s="2"/>
    </row>
    <row x14ac:dyDescent="0.25" r="1144" customHeight="1" ht="17.25">
      <c r="A1144" s="1" t="s">
        <v>4919</v>
      </c>
      <c r="B1144" s="1" t="s">
        <v>2424</v>
      </c>
      <c r="C1144" s="1" t="s">
        <v>3576</v>
      </c>
      <c r="D1144" s="1" t="s">
        <v>20</v>
      </c>
      <c r="E1144" s="1" t="s">
        <v>4250</v>
      </c>
      <c r="F1144" s="1" t="s">
        <v>4251</v>
      </c>
      <c r="G1144" s="1" t="s">
        <v>4252</v>
      </c>
      <c r="H1144" s="2"/>
      <c r="I1144" s="5">
        <f>XLOOKUP(K1144, pharmaceutical_index!B:B, pharmaceutical_index!A:A, "Not Found")</f>
      </c>
      <c r="J1144" s="1" t="s">
        <v>2424</v>
      </c>
      <c r="K1144" s="1" t="s">
        <v>2424</v>
      </c>
      <c r="L1144" s="1" t="s">
        <v>20</v>
      </c>
      <c r="M1144" s="1" t="s">
        <v>2424</v>
      </c>
      <c r="N1144" s="2"/>
      <c r="O1144" s="2"/>
      <c r="P1144" s="2"/>
      <c r="Q1144" s="2"/>
    </row>
    <row x14ac:dyDescent="0.25" r="1145" customHeight="1" ht="17.25">
      <c r="A1145" s="1" t="s">
        <v>4920</v>
      </c>
      <c r="B1145" s="1" t="s">
        <v>2426</v>
      </c>
      <c r="C1145" s="1" t="s">
        <v>3576</v>
      </c>
      <c r="D1145" s="1" t="s">
        <v>20</v>
      </c>
      <c r="E1145" s="1" t="s">
        <v>4250</v>
      </c>
      <c r="F1145" s="1" t="s">
        <v>4251</v>
      </c>
      <c r="G1145" s="1" t="s">
        <v>4252</v>
      </c>
      <c r="H1145" s="2"/>
      <c r="I1145" s="5">
        <f>XLOOKUP(K1145, pharmaceutical_index!B:B, pharmaceutical_index!A:A, "Not Found")</f>
      </c>
      <c r="J1145" s="1" t="s">
        <v>2426</v>
      </c>
      <c r="K1145" s="1" t="s">
        <v>2426</v>
      </c>
      <c r="L1145" s="1" t="s">
        <v>20</v>
      </c>
      <c r="M1145" s="1" t="s">
        <v>2426</v>
      </c>
      <c r="N1145" s="2"/>
      <c r="O1145" s="2"/>
      <c r="P1145" s="2"/>
      <c r="Q1145" s="2"/>
    </row>
    <row x14ac:dyDescent="0.25" r="1146" customHeight="1" ht="17.25">
      <c r="A1146" s="1" t="s">
        <v>4921</v>
      </c>
      <c r="B1146" s="1" t="s">
        <v>2428</v>
      </c>
      <c r="C1146" s="1" t="s">
        <v>3576</v>
      </c>
      <c r="D1146" s="1" t="s">
        <v>20</v>
      </c>
      <c r="E1146" s="1" t="s">
        <v>4250</v>
      </c>
      <c r="F1146" s="1" t="s">
        <v>4251</v>
      </c>
      <c r="G1146" s="1" t="s">
        <v>4252</v>
      </c>
      <c r="H1146" s="2"/>
      <c r="I1146" s="5">
        <f>XLOOKUP(K1146, pharmaceutical_index!B:B, pharmaceutical_index!A:A, "Not Found")</f>
      </c>
      <c r="J1146" s="1" t="s">
        <v>2428</v>
      </c>
      <c r="K1146" s="1" t="s">
        <v>2428</v>
      </c>
      <c r="L1146" s="1" t="s">
        <v>20</v>
      </c>
      <c r="M1146" s="1" t="s">
        <v>2428</v>
      </c>
      <c r="N1146" s="2"/>
      <c r="O1146" s="2"/>
      <c r="P1146" s="2"/>
      <c r="Q1146" s="2"/>
    </row>
    <row x14ac:dyDescent="0.25" r="1147" customHeight="1" ht="17.25">
      <c r="A1147" s="1" t="s">
        <v>4922</v>
      </c>
      <c r="B1147" s="1" t="s">
        <v>2430</v>
      </c>
      <c r="C1147" s="1" t="s">
        <v>3576</v>
      </c>
      <c r="D1147" s="1" t="s">
        <v>20</v>
      </c>
      <c r="E1147" s="1" t="s">
        <v>4250</v>
      </c>
      <c r="F1147" s="1" t="s">
        <v>4251</v>
      </c>
      <c r="G1147" s="1" t="s">
        <v>4252</v>
      </c>
      <c r="H1147" s="2"/>
      <c r="I1147" s="5">
        <f>XLOOKUP(K1147, pharmaceutical_index!B:B, pharmaceutical_index!A:A, "Not Found")</f>
      </c>
      <c r="J1147" s="1" t="s">
        <v>2430</v>
      </c>
      <c r="K1147" s="1" t="s">
        <v>2430</v>
      </c>
      <c r="L1147" s="1" t="s">
        <v>20</v>
      </c>
      <c r="M1147" s="1" t="s">
        <v>2430</v>
      </c>
      <c r="N1147" s="2"/>
      <c r="O1147" s="2"/>
      <c r="P1147" s="2"/>
      <c r="Q1147" s="2"/>
    </row>
    <row x14ac:dyDescent="0.25" r="1148" customHeight="1" ht="17.25">
      <c r="A1148" s="1" t="s">
        <v>4923</v>
      </c>
      <c r="B1148" s="1" t="s">
        <v>2432</v>
      </c>
      <c r="C1148" s="1" t="s">
        <v>3576</v>
      </c>
      <c r="D1148" s="1" t="s">
        <v>20</v>
      </c>
      <c r="E1148" s="1" t="s">
        <v>4250</v>
      </c>
      <c r="F1148" s="1" t="s">
        <v>4251</v>
      </c>
      <c r="G1148" s="1" t="s">
        <v>4252</v>
      </c>
      <c r="H1148" s="2"/>
      <c r="I1148" s="5">
        <f>XLOOKUP(K1148, pharmaceutical_index!B:B, pharmaceutical_index!A:A, "Not Found")</f>
      </c>
      <c r="J1148" s="1" t="s">
        <v>2432</v>
      </c>
      <c r="K1148" s="1" t="s">
        <v>2432</v>
      </c>
      <c r="L1148" s="1" t="s">
        <v>20</v>
      </c>
      <c r="M1148" s="1" t="s">
        <v>2432</v>
      </c>
      <c r="N1148" s="2"/>
      <c r="O1148" s="2"/>
      <c r="P1148" s="2"/>
      <c r="Q1148" s="2"/>
    </row>
    <row x14ac:dyDescent="0.25" r="1149" customHeight="1" ht="17.25">
      <c r="A1149" s="1" t="s">
        <v>4924</v>
      </c>
      <c r="B1149" s="1" t="s">
        <v>2434</v>
      </c>
      <c r="C1149" s="1" t="s">
        <v>3576</v>
      </c>
      <c r="D1149" s="1" t="s">
        <v>20</v>
      </c>
      <c r="E1149" s="1" t="s">
        <v>4250</v>
      </c>
      <c r="F1149" s="1" t="s">
        <v>4251</v>
      </c>
      <c r="G1149" s="1" t="s">
        <v>4252</v>
      </c>
      <c r="H1149" s="2"/>
      <c r="I1149" s="5">
        <f>XLOOKUP(K1149, pharmaceutical_index!B:B, pharmaceutical_index!A:A, "Not Found")</f>
      </c>
      <c r="J1149" s="1" t="s">
        <v>2434</v>
      </c>
      <c r="K1149" s="1" t="s">
        <v>2434</v>
      </c>
      <c r="L1149" s="1" t="s">
        <v>20</v>
      </c>
      <c r="M1149" s="1" t="s">
        <v>2434</v>
      </c>
      <c r="N1149" s="2"/>
      <c r="O1149" s="2"/>
      <c r="P1149" s="2"/>
      <c r="Q1149" s="2"/>
    </row>
    <row x14ac:dyDescent="0.25" r="1150" customHeight="1" ht="17.25">
      <c r="A1150" s="1" t="s">
        <v>4925</v>
      </c>
      <c r="B1150" s="1" t="s">
        <v>2436</v>
      </c>
      <c r="C1150" s="1" t="s">
        <v>3576</v>
      </c>
      <c r="D1150" s="1" t="s">
        <v>20</v>
      </c>
      <c r="E1150" s="1" t="s">
        <v>4250</v>
      </c>
      <c r="F1150" s="1" t="s">
        <v>4251</v>
      </c>
      <c r="G1150" s="1" t="s">
        <v>4252</v>
      </c>
      <c r="H1150" s="2"/>
      <c r="I1150" s="5">
        <f>XLOOKUP(K1150, pharmaceutical_index!B:B, pharmaceutical_index!A:A, "Not Found")</f>
      </c>
      <c r="J1150" s="1" t="s">
        <v>2436</v>
      </c>
      <c r="K1150" s="1" t="s">
        <v>2436</v>
      </c>
      <c r="L1150" s="1" t="s">
        <v>20</v>
      </c>
      <c r="M1150" s="1" t="s">
        <v>2436</v>
      </c>
      <c r="N1150" s="2"/>
      <c r="O1150" s="2"/>
      <c r="P1150" s="2"/>
      <c r="Q1150" s="2"/>
    </row>
    <row x14ac:dyDescent="0.25" r="1151" customHeight="1" ht="17.25">
      <c r="A1151" s="1" t="s">
        <v>4926</v>
      </c>
      <c r="B1151" s="1" t="s">
        <v>2438</v>
      </c>
      <c r="C1151" s="1" t="s">
        <v>3576</v>
      </c>
      <c r="D1151" s="1" t="s">
        <v>20</v>
      </c>
      <c r="E1151" s="1" t="s">
        <v>4250</v>
      </c>
      <c r="F1151" s="1" t="s">
        <v>4251</v>
      </c>
      <c r="G1151" s="1" t="s">
        <v>4252</v>
      </c>
      <c r="H1151" s="2"/>
      <c r="I1151" s="5">
        <f>XLOOKUP(K1151, pharmaceutical_index!B:B, pharmaceutical_index!A:A, "Not Found")</f>
      </c>
      <c r="J1151" s="1" t="s">
        <v>2438</v>
      </c>
      <c r="K1151" s="1" t="s">
        <v>2438</v>
      </c>
      <c r="L1151" s="1" t="s">
        <v>20</v>
      </c>
      <c r="M1151" s="1" t="s">
        <v>2438</v>
      </c>
      <c r="N1151" s="2"/>
      <c r="O1151" s="2"/>
      <c r="P1151" s="2"/>
      <c r="Q1151" s="2"/>
    </row>
    <row x14ac:dyDescent="0.25" r="1152" customHeight="1" ht="17.25">
      <c r="A1152" s="1" t="s">
        <v>4927</v>
      </c>
      <c r="B1152" s="1" t="s">
        <v>2440</v>
      </c>
      <c r="C1152" s="1" t="s">
        <v>3576</v>
      </c>
      <c r="D1152" s="1" t="s">
        <v>20</v>
      </c>
      <c r="E1152" s="1" t="s">
        <v>4250</v>
      </c>
      <c r="F1152" s="1" t="s">
        <v>4251</v>
      </c>
      <c r="G1152" s="1" t="s">
        <v>4252</v>
      </c>
      <c r="H1152" s="2"/>
      <c r="I1152" s="5">
        <f>XLOOKUP(K1152, pharmaceutical_index!B:B, pharmaceutical_index!A:A, "Not Found")</f>
      </c>
      <c r="J1152" s="1" t="s">
        <v>2440</v>
      </c>
      <c r="K1152" s="1" t="s">
        <v>2440</v>
      </c>
      <c r="L1152" s="1" t="s">
        <v>20</v>
      </c>
      <c r="M1152" s="1" t="s">
        <v>2440</v>
      </c>
      <c r="N1152" s="2"/>
      <c r="O1152" s="2"/>
      <c r="P1152" s="2"/>
      <c r="Q1152" s="2"/>
    </row>
    <row x14ac:dyDescent="0.25" r="1153" customHeight="1" ht="17.25">
      <c r="A1153" s="1" t="s">
        <v>4928</v>
      </c>
      <c r="B1153" s="1" t="s">
        <v>2442</v>
      </c>
      <c r="C1153" s="1" t="s">
        <v>3576</v>
      </c>
      <c r="D1153" s="1" t="s">
        <v>20</v>
      </c>
      <c r="E1153" s="1" t="s">
        <v>4250</v>
      </c>
      <c r="F1153" s="1" t="s">
        <v>4251</v>
      </c>
      <c r="G1153" s="1" t="s">
        <v>4252</v>
      </c>
      <c r="H1153" s="2"/>
      <c r="I1153" s="5">
        <f>XLOOKUP(K1153, pharmaceutical_index!B:B, pharmaceutical_index!A:A, "Not Found")</f>
      </c>
      <c r="J1153" s="1" t="s">
        <v>2442</v>
      </c>
      <c r="K1153" s="1" t="s">
        <v>2442</v>
      </c>
      <c r="L1153" s="1" t="s">
        <v>20</v>
      </c>
      <c r="M1153" s="1" t="s">
        <v>2442</v>
      </c>
      <c r="N1153" s="2"/>
      <c r="O1153" s="2"/>
      <c r="P1153" s="2"/>
      <c r="Q1153" s="2"/>
    </row>
    <row x14ac:dyDescent="0.25" r="1154" customHeight="1" ht="17.25">
      <c r="A1154" s="1" t="s">
        <v>4929</v>
      </c>
      <c r="B1154" s="1" t="s">
        <v>2444</v>
      </c>
      <c r="C1154" s="1" t="s">
        <v>3576</v>
      </c>
      <c r="D1154" s="1" t="s">
        <v>20</v>
      </c>
      <c r="E1154" s="1" t="s">
        <v>4250</v>
      </c>
      <c r="F1154" s="1" t="s">
        <v>4251</v>
      </c>
      <c r="G1154" s="1" t="s">
        <v>4252</v>
      </c>
      <c r="H1154" s="2"/>
      <c r="I1154" s="5">
        <f>XLOOKUP(K1154, pharmaceutical_index!B:B, pharmaceutical_index!A:A, "Not Found")</f>
      </c>
      <c r="J1154" s="1" t="s">
        <v>2444</v>
      </c>
      <c r="K1154" s="1" t="s">
        <v>2444</v>
      </c>
      <c r="L1154" s="1" t="s">
        <v>20</v>
      </c>
      <c r="M1154" s="1" t="s">
        <v>2444</v>
      </c>
      <c r="N1154" s="2"/>
      <c r="O1154" s="2"/>
      <c r="P1154" s="2"/>
      <c r="Q1154" s="2"/>
    </row>
    <row x14ac:dyDescent="0.25" r="1155" customHeight="1" ht="17.25">
      <c r="A1155" s="1" t="s">
        <v>4930</v>
      </c>
      <c r="B1155" s="1" t="s">
        <v>2446</v>
      </c>
      <c r="C1155" s="1" t="s">
        <v>3576</v>
      </c>
      <c r="D1155" s="1" t="s">
        <v>20</v>
      </c>
      <c r="E1155" s="1" t="s">
        <v>4250</v>
      </c>
      <c r="F1155" s="1" t="s">
        <v>4251</v>
      </c>
      <c r="G1155" s="1" t="s">
        <v>4252</v>
      </c>
      <c r="H1155" s="2"/>
      <c r="I1155" s="5">
        <f>XLOOKUP(K1155, pharmaceutical_index!B:B, pharmaceutical_index!A:A, "Not Found")</f>
      </c>
      <c r="J1155" s="1" t="s">
        <v>2446</v>
      </c>
      <c r="K1155" s="1" t="s">
        <v>2446</v>
      </c>
      <c r="L1155" s="1" t="s">
        <v>20</v>
      </c>
      <c r="M1155" s="1" t="s">
        <v>2446</v>
      </c>
      <c r="N1155" s="2"/>
      <c r="O1155" s="2"/>
      <c r="P1155" s="2"/>
      <c r="Q1155" s="2"/>
    </row>
    <row x14ac:dyDescent="0.25" r="1156" customHeight="1" ht="17.25">
      <c r="A1156" s="1" t="s">
        <v>4931</v>
      </c>
      <c r="B1156" s="1" t="s">
        <v>2448</v>
      </c>
      <c r="C1156" s="1" t="s">
        <v>3576</v>
      </c>
      <c r="D1156" s="1" t="s">
        <v>20</v>
      </c>
      <c r="E1156" s="1" t="s">
        <v>4250</v>
      </c>
      <c r="F1156" s="1" t="s">
        <v>4251</v>
      </c>
      <c r="G1156" s="1" t="s">
        <v>4252</v>
      </c>
      <c r="H1156" s="2"/>
      <c r="I1156" s="5">
        <f>XLOOKUP(K1156, pharmaceutical_index!B:B, pharmaceutical_index!A:A, "Not Found")</f>
      </c>
      <c r="J1156" s="1" t="s">
        <v>2448</v>
      </c>
      <c r="K1156" s="1" t="s">
        <v>2448</v>
      </c>
      <c r="L1156" s="1" t="s">
        <v>20</v>
      </c>
      <c r="M1156" s="1" t="s">
        <v>2448</v>
      </c>
      <c r="N1156" s="2"/>
      <c r="O1156" s="2"/>
      <c r="P1156" s="2"/>
      <c r="Q1156" s="2"/>
    </row>
    <row x14ac:dyDescent="0.25" r="1157" customHeight="1" ht="17.25">
      <c r="A1157" s="1" t="s">
        <v>4932</v>
      </c>
      <c r="B1157" s="1" t="s">
        <v>2450</v>
      </c>
      <c r="C1157" s="1" t="s">
        <v>3576</v>
      </c>
      <c r="D1157" s="1" t="s">
        <v>20</v>
      </c>
      <c r="E1157" s="1" t="s">
        <v>4250</v>
      </c>
      <c r="F1157" s="1" t="s">
        <v>4251</v>
      </c>
      <c r="G1157" s="1" t="s">
        <v>4252</v>
      </c>
      <c r="H1157" s="2"/>
      <c r="I1157" s="5">
        <f>XLOOKUP(K1157, pharmaceutical_index!B:B, pharmaceutical_index!A:A, "Not Found")</f>
      </c>
      <c r="J1157" s="1" t="s">
        <v>2450</v>
      </c>
      <c r="K1157" s="1" t="s">
        <v>2450</v>
      </c>
      <c r="L1157" s="1" t="s">
        <v>20</v>
      </c>
      <c r="M1157" s="1" t="s">
        <v>2450</v>
      </c>
      <c r="N1157" s="2"/>
      <c r="O1157" s="2"/>
      <c r="P1157" s="2"/>
      <c r="Q1157" s="2"/>
    </row>
    <row x14ac:dyDescent="0.25" r="1158" customHeight="1" ht="17.25">
      <c r="A1158" s="1" t="s">
        <v>4933</v>
      </c>
      <c r="B1158" s="1" t="s">
        <v>2452</v>
      </c>
      <c r="C1158" s="1" t="s">
        <v>3576</v>
      </c>
      <c r="D1158" s="1" t="s">
        <v>20</v>
      </c>
      <c r="E1158" s="1" t="s">
        <v>4250</v>
      </c>
      <c r="F1158" s="1" t="s">
        <v>4251</v>
      </c>
      <c r="G1158" s="1" t="s">
        <v>4252</v>
      </c>
      <c r="H1158" s="2"/>
      <c r="I1158" s="5">
        <f>XLOOKUP(K1158, pharmaceutical_index!B:B, pharmaceutical_index!A:A, "Not Found")</f>
      </c>
      <c r="J1158" s="1" t="s">
        <v>2452</v>
      </c>
      <c r="K1158" s="1" t="s">
        <v>2452</v>
      </c>
      <c r="L1158" s="1" t="s">
        <v>20</v>
      </c>
      <c r="M1158" s="1" t="s">
        <v>2452</v>
      </c>
      <c r="N1158" s="2"/>
      <c r="O1158" s="2"/>
      <c r="P1158" s="2"/>
      <c r="Q1158" s="2"/>
    </row>
    <row x14ac:dyDescent="0.25" r="1159" customHeight="1" ht="17.25">
      <c r="A1159" s="1" t="s">
        <v>4934</v>
      </c>
      <c r="B1159" s="1" t="s">
        <v>2454</v>
      </c>
      <c r="C1159" s="1" t="s">
        <v>3576</v>
      </c>
      <c r="D1159" s="1" t="s">
        <v>20</v>
      </c>
      <c r="E1159" s="1" t="s">
        <v>4250</v>
      </c>
      <c r="F1159" s="1" t="s">
        <v>4251</v>
      </c>
      <c r="G1159" s="1" t="s">
        <v>4252</v>
      </c>
      <c r="H1159" s="2"/>
      <c r="I1159" s="5">
        <f>XLOOKUP(K1159, pharmaceutical_index!B:B, pharmaceutical_index!A:A, "Not Found")</f>
      </c>
      <c r="J1159" s="1" t="s">
        <v>2454</v>
      </c>
      <c r="K1159" s="1" t="s">
        <v>2454</v>
      </c>
      <c r="L1159" s="1" t="s">
        <v>20</v>
      </c>
      <c r="M1159" s="1" t="s">
        <v>2454</v>
      </c>
      <c r="N1159" s="2"/>
      <c r="O1159" s="2"/>
      <c r="P1159" s="2"/>
      <c r="Q1159" s="2"/>
    </row>
    <row x14ac:dyDescent="0.25" r="1160" customHeight="1" ht="17.25">
      <c r="A1160" s="1" t="s">
        <v>4935</v>
      </c>
      <c r="B1160" s="1" t="s">
        <v>2456</v>
      </c>
      <c r="C1160" s="1" t="s">
        <v>3576</v>
      </c>
      <c r="D1160" s="1" t="s">
        <v>20</v>
      </c>
      <c r="E1160" s="1" t="s">
        <v>4250</v>
      </c>
      <c r="F1160" s="1" t="s">
        <v>4251</v>
      </c>
      <c r="G1160" s="1" t="s">
        <v>4252</v>
      </c>
      <c r="H1160" s="2"/>
      <c r="I1160" s="5">
        <f>XLOOKUP(K1160, pharmaceutical_index!B:B, pharmaceutical_index!A:A, "Not Found")</f>
      </c>
      <c r="J1160" s="1" t="s">
        <v>2456</v>
      </c>
      <c r="K1160" s="1" t="s">
        <v>2456</v>
      </c>
      <c r="L1160" s="1" t="s">
        <v>20</v>
      </c>
      <c r="M1160" s="1" t="s">
        <v>2456</v>
      </c>
      <c r="N1160" s="2"/>
      <c r="O1160" s="2"/>
      <c r="P1160" s="2"/>
      <c r="Q1160" s="2"/>
    </row>
    <row x14ac:dyDescent="0.25" r="1161" customHeight="1" ht="17.25">
      <c r="A1161" s="1" t="s">
        <v>4936</v>
      </c>
      <c r="B1161" s="1" t="s">
        <v>2458</v>
      </c>
      <c r="C1161" s="1" t="s">
        <v>3576</v>
      </c>
      <c r="D1161" s="1" t="s">
        <v>20</v>
      </c>
      <c r="E1161" s="1" t="s">
        <v>4250</v>
      </c>
      <c r="F1161" s="1" t="s">
        <v>4251</v>
      </c>
      <c r="G1161" s="1" t="s">
        <v>4252</v>
      </c>
      <c r="H1161" s="2"/>
      <c r="I1161" s="5">
        <f>XLOOKUP(K1161, pharmaceutical_index!B:B, pharmaceutical_index!A:A, "Not Found")</f>
      </c>
      <c r="J1161" s="1" t="s">
        <v>2458</v>
      </c>
      <c r="K1161" s="1" t="s">
        <v>2458</v>
      </c>
      <c r="L1161" s="1" t="s">
        <v>20</v>
      </c>
      <c r="M1161" s="1" t="s">
        <v>2458</v>
      </c>
      <c r="N1161" s="2"/>
      <c r="O1161" s="2"/>
      <c r="P1161" s="2"/>
      <c r="Q1161" s="2"/>
    </row>
    <row x14ac:dyDescent="0.25" r="1162" customHeight="1" ht="17.25">
      <c r="A1162" s="1" t="s">
        <v>4937</v>
      </c>
      <c r="B1162" s="1" t="s">
        <v>2460</v>
      </c>
      <c r="C1162" s="1" t="s">
        <v>3576</v>
      </c>
      <c r="D1162" s="1" t="s">
        <v>20</v>
      </c>
      <c r="E1162" s="1" t="s">
        <v>4250</v>
      </c>
      <c r="F1162" s="1" t="s">
        <v>4251</v>
      </c>
      <c r="G1162" s="1" t="s">
        <v>4252</v>
      </c>
      <c r="H1162" s="2"/>
      <c r="I1162" s="5">
        <f>XLOOKUP(K1162, pharmaceutical_index!B:B, pharmaceutical_index!A:A, "Not Found")</f>
      </c>
      <c r="J1162" s="1" t="s">
        <v>2460</v>
      </c>
      <c r="K1162" s="1" t="s">
        <v>2460</v>
      </c>
      <c r="L1162" s="1" t="s">
        <v>20</v>
      </c>
      <c r="M1162" s="1" t="s">
        <v>2460</v>
      </c>
      <c r="N1162" s="2"/>
      <c r="O1162" s="2"/>
      <c r="P1162" s="2"/>
      <c r="Q1162" s="2"/>
    </row>
    <row x14ac:dyDescent="0.25" r="1163" customHeight="1" ht="17.25">
      <c r="A1163" s="1" t="s">
        <v>4938</v>
      </c>
      <c r="B1163" s="1" t="s">
        <v>2462</v>
      </c>
      <c r="C1163" s="1" t="s">
        <v>3576</v>
      </c>
      <c r="D1163" s="1" t="s">
        <v>20</v>
      </c>
      <c r="E1163" s="1" t="s">
        <v>4250</v>
      </c>
      <c r="F1163" s="1" t="s">
        <v>4251</v>
      </c>
      <c r="G1163" s="1" t="s">
        <v>4252</v>
      </c>
      <c r="H1163" s="2"/>
      <c r="I1163" s="5">
        <f>XLOOKUP(K1163, pharmaceutical_index!B:B, pharmaceutical_index!A:A, "Not Found")</f>
      </c>
      <c r="J1163" s="1" t="s">
        <v>2462</v>
      </c>
      <c r="K1163" s="1" t="s">
        <v>2462</v>
      </c>
      <c r="L1163" s="1" t="s">
        <v>20</v>
      </c>
      <c r="M1163" s="1" t="s">
        <v>2462</v>
      </c>
      <c r="N1163" s="2"/>
      <c r="O1163" s="2"/>
      <c r="P1163" s="2"/>
      <c r="Q1163" s="2"/>
    </row>
    <row x14ac:dyDescent="0.25" r="1164" customHeight="1" ht="17.25">
      <c r="A1164" s="1" t="s">
        <v>4939</v>
      </c>
      <c r="B1164" s="1" t="s">
        <v>2464</v>
      </c>
      <c r="C1164" s="1" t="s">
        <v>3576</v>
      </c>
      <c r="D1164" s="1" t="s">
        <v>20</v>
      </c>
      <c r="E1164" s="1" t="s">
        <v>4250</v>
      </c>
      <c r="F1164" s="1" t="s">
        <v>4251</v>
      </c>
      <c r="G1164" s="1" t="s">
        <v>4252</v>
      </c>
      <c r="H1164" s="2"/>
      <c r="I1164" s="5">
        <f>XLOOKUP(K1164, pharmaceutical_index!B:B, pharmaceutical_index!A:A, "Not Found")</f>
      </c>
      <c r="J1164" s="1" t="s">
        <v>2464</v>
      </c>
      <c r="K1164" s="1" t="s">
        <v>2464</v>
      </c>
      <c r="L1164" s="1" t="s">
        <v>20</v>
      </c>
      <c r="M1164" s="1" t="s">
        <v>2464</v>
      </c>
      <c r="N1164" s="2"/>
      <c r="O1164" s="2"/>
      <c r="P1164" s="2"/>
      <c r="Q1164" s="2"/>
    </row>
    <row x14ac:dyDescent="0.25" r="1165" customHeight="1" ht="17.25">
      <c r="A1165" s="1" t="s">
        <v>4940</v>
      </c>
      <c r="B1165" s="1" t="s">
        <v>2466</v>
      </c>
      <c r="C1165" s="1" t="s">
        <v>3576</v>
      </c>
      <c r="D1165" s="1" t="s">
        <v>20</v>
      </c>
      <c r="E1165" s="1" t="s">
        <v>4250</v>
      </c>
      <c r="F1165" s="1" t="s">
        <v>4251</v>
      </c>
      <c r="G1165" s="1" t="s">
        <v>4252</v>
      </c>
      <c r="H1165" s="2"/>
      <c r="I1165" s="5">
        <f>XLOOKUP(K1165, pharmaceutical_index!B:B, pharmaceutical_index!A:A, "Not Found")</f>
      </c>
      <c r="J1165" s="1" t="s">
        <v>2466</v>
      </c>
      <c r="K1165" s="1" t="s">
        <v>2466</v>
      </c>
      <c r="L1165" s="1" t="s">
        <v>20</v>
      </c>
      <c r="M1165" s="1" t="s">
        <v>2466</v>
      </c>
      <c r="N1165" s="2"/>
      <c r="O1165" s="2"/>
      <c r="P1165" s="2"/>
      <c r="Q1165" s="2"/>
    </row>
    <row x14ac:dyDescent="0.25" r="1166" customHeight="1" ht="17.25">
      <c r="A1166" s="1" t="s">
        <v>4941</v>
      </c>
      <c r="B1166" s="1" t="s">
        <v>2468</v>
      </c>
      <c r="C1166" s="1" t="s">
        <v>3576</v>
      </c>
      <c r="D1166" s="1" t="s">
        <v>20</v>
      </c>
      <c r="E1166" s="1" t="s">
        <v>4250</v>
      </c>
      <c r="F1166" s="1" t="s">
        <v>4251</v>
      </c>
      <c r="G1166" s="1" t="s">
        <v>4252</v>
      </c>
      <c r="H1166" s="2"/>
      <c r="I1166" s="5">
        <f>XLOOKUP(K1166, pharmaceutical_index!B:B, pharmaceutical_index!A:A, "Not Found")</f>
      </c>
      <c r="J1166" s="1" t="s">
        <v>2468</v>
      </c>
      <c r="K1166" s="1" t="s">
        <v>2468</v>
      </c>
      <c r="L1166" s="1" t="s">
        <v>20</v>
      </c>
      <c r="M1166" s="1" t="s">
        <v>2468</v>
      </c>
      <c r="N1166" s="2"/>
      <c r="O1166" s="2"/>
      <c r="P1166" s="2"/>
      <c r="Q1166" s="2"/>
    </row>
    <row x14ac:dyDescent="0.25" r="1167" customHeight="1" ht="17.25">
      <c r="A1167" s="1" t="s">
        <v>4942</v>
      </c>
      <c r="B1167" s="1" t="s">
        <v>2470</v>
      </c>
      <c r="C1167" s="1" t="s">
        <v>3576</v>
      </c>
      <c r="D1167" s="1" t="s">
        <v>20</v>
      </c>
      <c r="E1167" s="1" t="s">
        <v>4250</v>
      </c>
      <c r="F1167" s="1" t="s">
        <v>4251</v>
      </c>
      <c r="G1167" s="1" t="s">
        <v>4252</v>
      </c>
      <c r="H1167" s="2"/>
      <c r="I1167" s="5">
        <f>XLOOKUP(K1167, pharmaceutical_index!B:B, pharmaceutical_index!A:A, "Not Found")</f>
      </c>
      <c r="J1167" s="1" t="s">
        <v>2470</v>
      </c>
      <c r="K1167" s="1" t="s">
        <v>2470</v>
      </c>
      <c r="L1167" s="1" t="s">
        <v>20</v>
      </c>
      <c r="M1167" s="1" t="s">
        <v>2470</v>
      </c>
      <c r="N1167" s="2"/>
      <c r="O1167" s="2"/>
      <c r="P1167" s="2"/>
      <c r="Q1167" s="2"/>
    </row>
    <row x14ac:dyDescent="0.25" r="1168" customHeight="1" ht="17.25">
      <c r="A1168" s="1" t="s">
        <v>4943</v>
      </c>
      <c r="B1168" s="1" t="s">
        <v>2472</v>
      </c>
      <c r="C1168" s="1" t="s">
        <v>3576</v>
      </c>
      <c r="D1168" s="1" t="s">
        <v>20</v>
      </c>
      <c r="E1168" s="1" t="s">
        <v>4250</v>
      </c>
      <c r="F1168" s="1" t="s">
        <v>4251</v>
      </c>
      <c r="G1168" s="1" t="s">
        <v>4252</v>
      </c>
      <c r="H1168" s="2"/>
      <c r="I1168" s="5">
        <f>XLOOKUP(K1168, pharmaceutical_index!B:B, pharmaceutical_index!A:A, "Not Found")</f>
      </c>
      <c r="J1168" s="1" t="s">
        <v>2472</v>
      </c>
      <c r="K1168" s="1" t="s">
        <v>2472</v>
      </c>
      <c r="L1168" s="1" t="s">
        <v>20</v>
      </c>
      <c r="M1168" s="1" t="s">
        <v>2472</v>
      </c>
      <c r="N1168" s="2"/>
      <c r="O1168" s="2"/>
      <c r="P1168" s="2"/>
      <c r="Q1168" s="2"/>
    </row>
    <row x14ac:dyDescent="0.25" r="1169" customHeight="1" ht="17.25">
      <c r="A1169" s="1" t="s">
        <v>4944</v>
      </c>
      <c r="B1169" s="1" t="s">
        <v>2474</v>
      </c>
      <c r="C1169" s="1" t="s">
        <v>3576</v>
      </c>
      <c r="D1169" s="1" t="s">
        <v>20</v>
      </c>
      <c r="E1169" s="1" t="s">
        <v>4250</v>
      </c>
      <c r="F1169" s="1" t="s">
        <v>4251</v>
      </c>
      <c r="G1169" s="1" t="s">
        <v>4252</v>
      </c>
      <c r="H1169" s="2"/>
      <c r="I1169" s="5">
        <f>XLOOKUP(K1169, pharmaceutical_index!B:B, pharmaceutical_index!A:A, "Not Found")</f>
      </c>
      <c r="J1169" s="1" t="s">
        <v>2474</v>
      </c>
      <c r="K1169" s="1" t="s">
        <v>2474</v>
      </c>
      <c r="L1169" s="1" t="s">
        <v>20</v>
      </c>
      <c r="M1169" s="1" t="s">
        <v>2474</v>
      </c>
      <c r="N1169" s="2"/>
      <c r="O1169" s="2"/>
      <c r="P1169" s="2"/>
      <c r="Q1169" s="2"/>
    </row>
    <row x14ac:dyDescent="0.25" r="1170" customHeight="1" ht="17.25">
      <c r="A1170" s="1" t="s">
        <v>4945</v>
      </c>
      <c r="B1170" s="1" t="s">
        <v>2476</v>
      </c>
      <c r="C1170" s="1" t="s">
        <v>3576</v>
      </c>
      <c r="D1170" s="1" t="s">
        <v>20</v>
      </c>
      <c r="E1170" s="1" t="s">
        <v>4250</v>
      </c>
      <c r="F1170" s="1" t="s">
        <v>4251</v>
      </c>
      <c r="G1170" s="1" t="s">
        <v>4252</v>
      </c>
      <c r="H1170" s="2"/>
      <c r="I1170" s="5">
        <f>XLOOKUP(K1170, pharmaceutical_index!B:B, pharmaceutical_index!A:A, "Not Found")</f>
      </c>
      <c r="J1170" s="1" t="s">
        <v>2476</v>
      </c>
      <c r="K1170" s="1" t="s">
        <v>2476</v>
      </c>
      <c r="L1170" s="1" t="s">
        <v>20</v>
      </c>
      <c r="M1170" s="1" t="s">
        <v>2476</v>
      </c>
      <c r="N1170" s="2"/>
      <c r="O1170" s="2"/>
      <c r="P1170" s="2"/>
      <c r="Q1170" s="2"/>
    </row>
    <row x14ac:dyDescent="0.25" r="1171" customHeight="1" ht="17.25">
      <c r="A1171" s="1" t="s">
        <v>4946</v>
      </c>
      <c r="B1171" s="1" t="s">
        <v>2478</v>
      </c>
      <c r="C1171" s="1" t="s">
        <v>3576</v>
      </c>
      <c r="D1171" s="1" t="s">
        <v>20</v>
      </c>
      <c r="E1171" s="1" t="s">
        <v>4250</v>
      </c>
      <c r="F1171" s="1" t="s">
        <v>4251</v>
      </c>
      <c r="G1171" s="1" t="s">
        <v>4252</v>
      </c>
      <c r="H1171" s="2"/>
      <c r="I1171" s="5">
        <f>XLOOKUP(K1171, pharmaceutical_index!B:B, pharmaceutical_index!A:A, "Not Found")</f>
      </c>
      <c r="J1171" s="1" t="s">
        <v>2478</v>
      </c>
      <c r="K1171" s="1" t="s">
        <v>2478</v>
      </c>
      <c r="L1171" s="1" t="s">
        <v>20</v>
      </c>
      <c r="M1171" s="1" t="s">
        <v>2478</v>
      </c>
      <c r="N1171" s="2"/>
      <c r="O1171" s="2"/>
      <c r="P1171" s="2"/>
      <c r="Q1171" s="2"/>
    </row>
    <row x14ac:dyDescent="0.25" r="1172" customHeight="1" ht="17.25">
      <c r="A1172" s="1" t="s">
        <v>4947</v>
      </c>
      <c r="B1172" s="1" t="s">
        <v>2480</v>
      </c>
      <c r="C1172" s="1" t="s">
        <v>3576</v>
      </c>
      <c r="D1172" s="1" t="s">
        <v>20</v>
      </c>
      <c r="E1172" s="1" t="s">
        <v>4250</v>
      </c>
      <c r="F1172" s="1" t="s">
        <v>4251</v>
      </c>
      <c r="G1172" s="1" t="s">
        <v>4252</v>
      </c>
      <c r="H1172" s="2"/>
      <c r="I1172" s="5">
        <f>XLOOKUP(K1172, pharmaceutical_index!B:B, pharmaceutical_index!A:A, "Not Found")</f>
      </c>
      <c r="J1172" s="1" t="s">
        <v>2480</v>
      </c>
      <c r="K1172" s="1" t="s">
        <v>2480</v>
      </c>
      <c r="L1172" s="1" t="s">
        <v>20</v>
      </c>
      <c r="M1172" s="1" t="s">
        <v>2480</v>
      </c>
      <c r="N1172" s="2"/>
      <c r="O1172" s="2"/>
      <c r="P1172" s="2"/>
      <c r="Q1172" s="2"/>
    </row>
    <row x14ac:dyDescent="0.25" r="1173" customHeight="1" ht="17.25">
      <c r="A1173" s="1" t="s">
        <v>4948</v>
      </c>
      <c r="B1173" s="1" t="s">
        <v>2482</v>
      </c>
      <c r="C1173" s="1" t="s">
        <v>3576</v>
      </c>
      <c r="D1173" s="1" t="s">
        <v>20</v>
      </c>
      <c r="E1173" s="1" t="s">
        <v>4250</v>
      </c>
      <c r="F1173" s="1" t="s">
        <v>4251</v>
      </c>
      <c r="G1173" s="1" t="s">
        <v>4252</v>
      </c>
      <c r="H1173" s="2"/>
      <c r="I1173" s="5">
        <f>XLOOKUP(K1173, pharmaceutical_index!B:B, pharmaceutical_index!A:A, "Not Found")</f>
      </c>
      <c r="J1173" s="1" t="s">
        <v>2482</v>
      </c>
      <c r="K1173" s="1" t="s">
        <v>2482</v>
      </c>
      <c r="L1173" s="1" t="s">
        <v>20</v>
      </c>
      <c r="M1173" s="1" t="s">
        <v>2482</v>
      </c>
      <c r="N1173" s="2"/>
      <c r="O1173" s="2"/>
      <c r="P1173" s="2"/>
      <c r="Q1173" s="2"/>
    </row>
    <row x14ac:dyDescent="0.25" r="1174" customHeight="1" ht="17.25">
      <c r="A1174" s="1" t="s">
        <v>4949</v>
      </c>
      <c r="B1174" s="1" t="s">
        <v>2484</v>
      </c>
      <c r="C1174" s="1" t="s">
        <v>3576</v>
      </c>
      <c r="D1174" s="1" t="s">
        <v>20</v>
      </c>
      <c r="E1174" s="1" t="s">
        <v>4250</v>
      </c>
      <c r="F1174" s="1" t="s">
        <v>4251</v>
      </c>
      <c r="G1174" s="1" t="s">
        <v>4252</v>
      </c>
      <c r="H1174" s="2"/>
      <c r="I1174" s="5">
        <f>XLOOKUP(K1174, pharmaceutical_index!B:B, pharmaceutical_index!A:A, "Not Found")</f>
      </c>
      <c r="J1174" s="1" t="s">
        <v>2484</v>
      </c>
      <c r="K1174" s="1" t="s">
        <v>2484</v>
      </c>
      <c r="L1174" s="1" t="s">
        <v>20</v>
      </c>
      <c r="M1174" s="1" t="s">
        <v>2484</v>
      </c>
      <c r="N1174" s="2"/>
      <c r="O1174" s="2"/>
      <c r="P1174" s="2"/>
      <c r="Q1174" s="2"/>
    </row>
    <row x14ac:dyDescent="0.25" r="1175" customHeight="1" ht="17.25">
      <c r="A1175" s="1" t="s">
        <v>4950</v>
      </c>
      <c r="B1175" s="1" t="s">
        <v>2486</v>
      </c>
      <c r="C1175" s="1" t="s">
        <v>3576</v>
      </c>
      <c r="D1175" s="1" t="s">
        <v>20</v>
      </c>
      <c r="E1175" s="1" t="s">
        <v>4250</v>
      </c>
      <c r="F1175" s="1" t="s">
        <v>4251</v>
      </c>
      <c r="G1175" s="1" t="s">
        <v>4252</v>
      </c>
      <c r="H1175" s="2"/>
      <c r="I1175" s="5">
        <f>XLOOKUP(K1175, pharmaceutical_index!B:B, pharmaceutical_index!A:A, "Not Found")</f>
      </c>
      <c r="J1175" s="1" t="s">
        <v>2486</v>
      </c>
      <c r="K1175" s="1" t="s">
        <v>2486</v>
      </c>
      <c r="L1175" s="1" t="s">
        <v>20</v>
      </c>
      <c r="M1175" s="1" t="s">
        <v>2486</v>
      </c>
      <c r="N1175" s="2"/>
      <c r="O1175" s="2"/>
      <c r="P1175" s="2"/>
      <c r="Q1175" s="2"/>
    </row>
    <row x14ac:dyDescent="0.25" r="1176" customHeight="1" ht="17.25">
      <c r="A1176" s="1" t="s">
        <v>4951</v>
      </c>
      <c r="B1176" s="1" t="s">
        <v>2488</v>
      </c>
      <c r="C1176" s="1" t="s">
        <v>3576</v>
      </c>
      <c r="D1176" s="1" t="s">
        <v>20</v>
      </c>
      <c r="E1176" s="1" t="s">
        <v>4250</v>
      </c>
      <c r="F1176" s="1" t="s">
        <v>4251</v>
      </c>
      <c r="G1176" s="1" t="s">
        <v>4252</v>
      </c>
      <c r="H1176" s="2"/>
      <c r="I1176" s="5">
        <f>XLOOKUP(K1176, pharmaceutical_index!B:B, pharmaceutical_index!A:A, "Not Found")</f>
      </c>
      <c r="J1176" s="1" t="s">
        <v>2488</v>
      </c>
      <c r="K1176" s="1" t="s">
        <v>2488</v>
      </c>
      <c r="L1176" s="1" t="s">
        <v>20</v>
      </c>
      <c r="M1176" s="1" t="s">
        <v>2488</v>
      </c>
      <c r="N1176" s="2"/>
      <c r="O1176" s="2"/>
      <c r="P1176" s="2"/>
      <c r="Q1176" s="2"/>
    </row>
    <row x14ac:dyDescent="0.25" r="1177" customHeight="1" ht="17.25">
      <c r="A1177" s="1" t="s">
        <v>4952</v>
      </c>
      <c r="B1177" s="1" t="s">
        <v>2490</v>
      </c>
      <c r="C1177" s="1" t="s">
        <v>3576</v>
      </c>
      <c r="D1177" s="1" t="s">
        <v>20</v>
      </c>
      <c r="E1177" s="1" t="s">
        <v>4250</v>
      </c>
      <c r="F1177" s="1" t="s">
        <v>4251</v>
      </c>
      <c r="G1177" s="1" t="s">
        <v>4252</v>
      </c>
      <c r="H1177" s="2"/>
      <c r="I1177" s="5">
        <f>XLOOKUP(K1177, pharmaceutical_index!B:B, pharmaceutical_index!A:A, "Not Found")</f>
      </c>
      <c r="J1177" s="1" t="s">
        <v>2490</v>
      </c>
      <c r="K1177" s="1" t="s">
        <v>2490</v>
      </c>
      <c r="L1177" s="1" t="s">
        <v>20</v>
      </c>
      <c r="M1177" s="1" t="s">
        <v>2490</v>
      </c>
      <c r="N1177" s="2"/>
      <c r="O1177" s="2"/>
      <c r="P1177" s="2"/>
      <c r="Q1177" s="2"/>
    </row>
    <row x14ac:dyDescent="0.25" r="1178" customHeight="1" ht="17.25">
      <c r="A1178" s="1" t="s">
        <v>4953</v>
      </c>
      <c r="B1178" s="1" t="s">
        <v>2492</v>
      </c>
      <c r="C1178" s="1" t="s">
        <v>3576</v>
      </c>
      <c r="D1178" s="1" t="s">
        <v>20</v>
      </c>
      <c r="E1178" s="1" t="s">
        <v>4250</v>
      </c>
      <c r="F1178" s="1" t="s">
        <v>4251</v>
      </c>
      <c r="G1178" s="1" t="s">
        <v>4252</v>
      </c>
      <c r="H1178" s="2"/>
      <c r="I1178" s="5">
        <f>XLOOKUP(K1178, pharmaceutical_index!B:B, pharmaceutical_index!A:A, "Not Found")</f>
      </c>
      <c r="J1178" s="1" t="s">
        <v>2492</v>
      </c>
      <c r="K1178" s="1" t="s">
        <v>2492</v>
      </c>
      <c r="L1178" s="1" t="s">
        <v>20</v>
      </c>
      <c r="M1178" s="1" t="s">
        <v>2492</v>
      </c>
      <c r="N1178" s="2"/>
      <c r="O1178" s="2"/>
      <c r="P1178" s="2"/>
      <c r="Q1178" s="2"/>
    </row>
    <row x14ac:dyDescent="0.25" r="1179" customHeight="1" ht="17.25">
      <c r="A1179" s="1" t="s">
        <v>4954</v>
      </c>
      <c r="B1179" s="1" t="s">
        <v>2494</v>
      </c>
      <c r="C1179" s="1" t="s">
        <v>3576</v>
      </c>
      <c r="D1179" s="1" t="s">
        <v>20</v>
      </c>
      <c r="E1179" s="1" t="s">
        <v>4250</v>
      </c>
      <c r="F1179" s="1" t="s">
        <v>4251</v>
      </c>
      <c r="G1179" s="1" t="s">
        <v>4252</v>
      </c>
      <c r="H1179" s="2"/>
      <c r="I1179" s="5">
        <f>XLOOKUP(K1179, pharmaceutical_index!B:B, pharmaceutical_index!A:A, "Not Found")</f>
      </c>
      <c r="J1179" s="1" t="s">
        <v>2494</v>
      </c>
      <c r="K1179" s="1" t="s">
        <v>2494</v>
      </c>
      <c r="L1179" s="1" t="s">
        <v>20</v>
      </c>
      <c r="M1179" s="1" t="s">
        <v>2494</v>
      </c>
      <c r="N1179" s="2"/>
      <c r="O1179" s="2"/>
      <c r="P1179" s="2"/>
      <c r="Q1179" s="2"/>
    </row>
    <row x14ac:dyDescent="0.25" r="1180" customHeight="1" ht="17.25">
      <c r="A1180" s="1" t="s">
        <v>4955</v>
      </c>
      <c r="B1180" s="1" t="s">
        <v>2496</v>
      </c>
      <c r="C1180" s="1" t="s">
        <v>3576</v>
      </c>
      <c r="D1180" s="1" t="s">
        <v>20</v>
      </c>
      <c r="E1180" s="1" t="s">
        <v>4250</v>
      </c>
      <c r="F1180" s="1" t="s">
        <v>4251</v>
      </c>
      <c r="G1180" s="1" t="s">
        <v>4252</v>
      </c>
      <c r="H1180" s="2"/>
      <c r="I1180" s="5">
        <f>XLOOKUP(K1180, pharmaceutical_index!B:B, pharmaceutical_index!A:A, "Not Found")</f>
      </c>
      <c r="J1180" s="1" t="s">
        <v>2496</v>
      </c>
      <c r="K1180" s="1" t="s">
        <v>2496</v>
      </c>
      <c r="L1180" s="1" t="s">
        <v>20</v>
      </c>
      <c r="M1180" s="1" t="s">
        <v>2496</v>
      </c>
      <c r="N1180" s="2"/>
      <c r="O1180" s="2"/>
      <c r="P1180" s="2"/>
      <c r="Q1180" s="2"/>
    </row>
    <row x14ac:dyDescent="0.25" r="1181" customHeight="1" ht="17.25">
      <c r="A1181" s="1" t="s">
        <v>4956</v>
      </c>
      <c r="B1181" s="1" t="s">
        <v>2498</v>
      </c>
      <c r="C1181" s="1" t="s">
        <v>3576</v>
      </c>
      <c r="D1181" s="1" t="s">
        <v>20</v>
      </c>
      <c r="E1181" s="1" t="s">
        <v>4250</v>
      </c>
      <c r="F1181" s="1" t="s">
        <v>4251</v>
      </c>
      <c r="G1181" s="1" t="s">
        <v>4252</v>
      </c>
      <c r="H1181" s="2"/>
      <c r="I1181" s="5">
        <f>XLOOKUP(K1181, pharmaceutical_index!B:B, pharmaceutical_index!A:A, "Not Found")</f>
      </c>
      <c r="J1181" s="1" t="s">
        <v>2498</v>
      </c>
      <c r="K1181" s="1" t="s">
        <v>2498</v>
      </c>
      <c r="L1181" s="1" t="s">
        <v>20</v>
      </c>
      <c r="M1181" s="1" t="s">
        <v>2498</v>
      </c>
      <c r="N1181" s="2"/>
      <c r="O1181" s="2"/>
      <c r="P1181" s="2"/>
      <c r="Q1181" s="2"/>
    </row>
    <row x14ac:dyDescent="0.25" r="1182" customHeight="1" ht="17.25">
      <c r="A1182" s="1" t="s">
        <v>4957</v>
      </c>
      <c r="B1182" s="1" t="s">
        <v>2500</v>
      </c>
      <c r="C1182" s="1" t="s">
        <v>3576</v>
      </c>
      <c r="D1182" s="1" t="s">
        <v>20</v>
      </c>
      <c r="E1182" s="1" t="s">
        <v>4250</v>
      </c>
      <c r="F1182" s="1" t="s">
        <v>4251</v>
      </c>
      <c r="G1182" s="1" t="s">
        <v>4252</v>
      </c>
      <c r="H1182" s="2"/>
      <c r="I1182" s="5">
        <f>XLOOKUP(K1182, pharmaceutical_index!B:B, pharmaceutical_index!A:A, "Not Found")</f>
      </c>
      <c r="J1182" s="1" t="s">
        <v>2500</v>
      </c>
      <c r="K1182" s="1" t="s">
        <v>2500</v>
      </c>
      <c r="L1182" s="1" t="s">
        <v>20</v>
      </c>
      <c r="M1182" s="1" t="s">
        <v>2500</v>
      </c>
      <c r="N1182" s="2"/>
      <c r="O1182" s="2"/>
      <c r="P1182" s="2"/>
      <c r="Q1182" s="2"/>
    </row>
    <row x14ac:dyDescent="0.25" r="1183" customHeight="1" ht="17.25">
      <c r="A1183" s="1" t="s">
        <v>4958</v>
      </c>
      <c r="B1183" s="1" t="s">
        <v>2502</v>
      </c>
      <c r="C1183" s="1" t="s">
        <v>3576</v>
      </c>
      <c r="D1183" s="1" t="s">
        <v>20</v>
      </c>
      <c r="E1183" s="1" t="s">
        <v>4250</v>
      </c>
      <c r="F1183" s="1" t="s">
        <v>4251</v>
      </c>
      <c r="G1183" s="1" t="s">
        <v>4252</v>
      </c>
      <c r="H1183" s="2"/>
      <c r="I1183" s="5">
        <f>XLOOKUP(K1183, pharmaceutical_index!B:B, pharmaceutical_index!A:A, "Not Found")</f>
      </c>
      <c r="J1183" s="1" t="s">
        <v>2502</v>
      </c>
      <c r="K1183" s="1" t="s">
        <v>2502</v>
      </c>
      <c r="L1183" s="1" t="s">
        <v>20</v>
      </c>
      <c r="M1183" s="1" t="s">
        <v>2502</v>
      </c>
      <c r="N1183" s="2"/>
      <c r="O1183" s="2"/>
      <c r="P1183" s="2"/>
      <c r="Q1183" s="2"/>
    </row>
    <row x14ac:dyDescent="0.25" r="1184" customHeight="1" ht="17.25">
      <c r="A1184" s="1" t="s">
        <v>4959</v>
      </c>
      <c r="B1184" s="1" t="s">
        <v>2504</v>
      </c>
      <c r="C1184" s="1" t="s">
        <v>3576</v>
      </c>
      <c r="D1184" s="1" t="s">
        <v>20</v>
      </c>
      <c r="E1184" s="1" t="s">
        <v>4250</v>
      </c>
      <c r="F1184" s="1" t="s">
        <v>4251</v>
      </c>
      <c r="G1184" s="1" t="s">
        <v>4252</v>
      </c>
      <c r="H1184" s="2"/>
      <c r="I1184" s="5">
        <f>XLOOKUP(K1184, pharmaceutical_index!B:B, pharmaceutical_index!A:A, "Not Found")</f>
      </c>
      <c r="J1184" s="1" t="s">
        <v>2504</v>
      </c>
      <c r="K1184" s="1" t="s">
        <v>2504</v>
      </c>
      <c r="L1184" s="1" t="s">
        <v>20</v>
      </c>
      <c r="M1184" s="1" t="s">
        <v>2504</v>
      </c>
      <c r="N1184" s="2"/>
      <c r="O1184" s="2"/>
      <c r="P1184" s="2"/>
      <c r="Q1184" s="2"/>
    </row>
    <row x14ac:dyDescent="0.25" r="1185" customHeight="1" ht="17.25">
      <c r="A1185" s="1" t="s">
        <v>4960</v>
      </c>
      <c r="B1185" s="1" t="s">
        <v>2506</v>
      </c>
      <c r="C1185" s="1" t="s">
        <v>3576</v>
      </c>
      <c r="D1185" s="1" t="s">
        <v>20</v>
      </c>
      <c r="E1185" s="1" t="s">
        <v>4250</v>
      </c>
      <c r="F1185" s="1" t="s">
        <v>4251</v>
      </c>
      <c r="G1185" s="1" t="s">
        <v>4252</v>
      </c>
      <c r="H1185" s="2"/>
      <c r="I1185" s="5">
        <f>XLOOKUP(K1185, pharmaceutical_index!B:B, pharmaceutical_index!A:A, "Not Found")</f>
      </c>
      <c r="J1185" s="1" t="s">
        <v>2506</v>
      </c>
      <c r="K1185" s="1" t="s">
        <v>2506</v>
      </c>
      <c r="L1185" s="1" t="s">
        <v>20</v>
      </c>
      <c r="M1185" s="1" t="s">
        <v>2506</v>
      </c>
      <c r="N1185" s="2"/>
      <c r="O1185" s="2"/>
      <c r="P1185" s="2"/>
      <c r="Q1185" s="2"/>
    </row>
    <row x14ac:dyDescent="0.25" r="1186" customHeight="1" ht="17.25">
      <c r="A1186" s="1" t="s">
        <v>4961</v>
      </c>
      <c r="B1186" s="1" t="s">
        <v>2508</v>
      </c>
      <c r="C1186" s="1" t="s">
        <v>3576</v>
      </c>
      <c r="D1186" s="1" t="s">
        <v>20</v>
      </c>
      <c r="E1186" s="1" t="s">
        <v>4250</v>
      </c>
      <c r="F1186" s="1" t="s">
        <v>4251</v>
      </c>
      <c r="G1186" s="1" t="s">
        <v>4252</v>
      </c>
      <c r="H1186" s="2"/>
      <c r="I1186" s="5">
        <f>XLOOKUP(K1186, pharmaceutical_index!B:B, pharmaceutical_index!A:A, "Not Found")</f>
      </c>
      <c r="J1186" s="1" t="s">
        <v>2508</v>
      </c>
      <c r="K1186" s="1" t="s">
        <v>2508</v>
      </c>
      <c r="L1186" s="1" t="s">
        <v>20</v>
      </c>
      <c r="M1186" s="1" t="s">
        <v>2508</v>
      </c>
      <c r="N1186" s="2"/>
      <c r="O1186" s="2"/>
      <c r="P1186" s="2"/>
      <c r="Q1186" s="2"/>
    </row>
    <row x14ac:dyDescent="0.25" r="1187" customHeight="1" ht="17.25">
      <c r="A1187" s="1" t="s">
        <v>4962</v>
      </c>
      <c r="B1187" s="1" t="s">
        <v>2510</v>
      </c>
      <c r="C1187" s="1" t="s">
        <v>3576</v>
      </c>
      <c r="D1187" s="1" t="s">
        <v>20</v>
      </c>
      <c r="E1187" s="1" t="s">
        <v>4250</v>
      </c>
      <c r="F1187" s="1" t="s">
        <v>4251</v>
      </c>
      <c r="G1187" s="1" t="s">
        <v>4252</v>
      </c>
      <c r="H1187" s="2"/>
      <c r="I1187" s="5">
        <f>XLOOKUP(K1187, pharmaceutical_index!B:B, pharmaceutical_index!A:A, "Not Found")</f>
      </c>
      <c r="J1187" s="1" t="s">
        <v>2510</v>
      </c>
      <c r="K1187" s="1" t="s">
        <v>2510</v>
      </c>
      <c r="L1187" s="1" t="s">
        <v>20</v>
      </c>
      <c r="M1187" s="1" t="s">
        <v>2510</v>
      </c>
      <c r="N1187" s="2"/>
      <c r="O1187" s="2"/>
      <c r="P1187" s="2"/>
      <c r="Q1187" s="2"/>
    </row>
    <row x14ac:dyDescent="0.25" r="1188" customHeight="1" ht="17.25">
      <c r="A1188" s="1" t="s">
        <v>4963</v>
      </c>
      <c r="B1188" s="1" t="s">
        <v>2512</v>
      </c>
      <c r="C1188" s="1" t="s">
        <v>3576</v>
      </c>
      <c r="D1188" s="1" t="s">
        <v>20</v>
      </c>
      <c r="E1188" s="1" t="s">
        <v>4250</v>
      </c>
      <c r="F1188" s="1" t="s">
        <v>4251</v>
      </c>
      <c r="G1188" s="1" t="s">
        <v>4252</v>
      </c>
      <c r="H1188" s="2"/>
      <c r="I1188" s="5">
        <f>XLOOKUP(K1188, pharmaceutical_index!B:B, pharmaceutical_index!A:A, "Not Found")</f>
      </c>
      <c r="J1188" s="1" t="s">
        <v>2512</v>
      </c>
      <c r="K1188" s="1" t="s">
        <v>2512</v>
      </c>
      <c r="L1188" s="1" t="s">
        <v>20</v>
      </c>
      <c r="M1188" s="1" t="s">
        <v>2512</v>
      </c>
      <c r="N1188" s="2"/>
      <c r="O1188" s="2"/>
      <c r="P1188" s="2"/>
      <c r="Q1188" s="2"/>
    </row>
    <row x14ac:dyDescent="0.25" r="1189" customHeight="1" ht="17.25">
      <c r="A1189" s="1" t="s">
        <v>4964</v>
      </c>
      <c r="B1189" s="1" t="s">
        <v>2514</v>
      </c>
      <c r="C1189" s="1" t="s">
        <v>3576</v>
      </c>
      <c r="D1189" s="1" t="s">
        <v>20</v>
      </c>
      <c r="E1189" s="1" t="s">
        <v>4250</v>
      </c>
      <c r="F1189" s="1" t="s">
        <v>4251</v>
      </c>
      <c r="G1189" s="1" t="s">
        <v>4252</v>
      </c>
      <c r="H1189" s="2"/>
      <c r="I1189" s="5">
        <f>XLOOKUP(K1189, pharmaceutical_index!B:B, pharmaceutical_index!A:A, "Not Found")</f>
      </c>
      <c r="J1189" s="1" t="s">
        <v>2514</v>
      </c>
      <c r="K1189" s="1" t="s">
        <v>2514</v>
      </c>
      <c r="L1189" s="1" t="s">
        <v>20</v>
      </c>
      <c r="M1189" s="1" t="s">
        <v>2514</v>
      </c>
      <c r="N1189" s="2"/>
      <c r="O1189" s="2"/>
      <c r="P1189" s="2"/>
      <c r="Q1189" s="2"/>
    </row>
    <row x14ac:dyDescent="0.25" r="1190" customHeight="1" ht="17.25">
      <c r="A1190" s="1" t="s">
        <v>4965</v>
      </c>
      <c r="B1190" s="1" t="s">
        <v>2516</v>
      </c>
      <c r="C1190" s="1" t="s">
        <v>3576</v>
      </c>
      <c r="D1190" s="1" t="s">
        <v>20</v>
      </c>
      <c r="E1190" s="1" t="s">
        <v>4250</v>
      </c>
      <c r="F1190" s="1" t="s">
        <v>4251</v>
      </c>
      <c r="G1190" s="1" t="s">
        <v>4252</v>
      </c>
      <c r="H1190" s="2"/>
      <c r="I1190" s="5">
        <f>XLOOKUP(K1190, pharmaceutical_index!B:B, pharmaceutical_index!A:A, "Not Found")</f>
      </c>
      <c r="J1190" s="1" t="s">
        <v>2516</v>
      </c>
      <c r="K1190" s="1" t="s">
        <v>2516</v>
      </c>
      <c r="L1190" s="1" t="s">
        <v>20</v>
      </c>
      <c r="M1190" s="1" t="s">
        <v>2516</v>
      </c>
      <c r="N1190" s="2"/>
      <c r="O1190" s="2"/>
      <c r="P1190" s="2"/>
      <c r="Q1190" s="2"/>
    </row>
    <row x14ac:dyDescent="0.25" r="1191" customHeight="1" ht="17.25">
      <c r="A1191" s="1" t="s">
        <v>4966</v>
      </c>
      <c r="B1191" s="1" t="s">
        <v>2518</v>
      </c>
      <c r="C1191" s="1" t="s">
        <v>3576</v>
      </c>
      <c r="D1191" s="1" t="s">
        <v>20</v>
      </c>
      <c r="E1191" s="1" t="s">
        <v>4250</v>
      </c>
      <c r="F1191" s="1" t="s">
        <v>4251</v>
      </c>
      <c r="G1191" s="1" t="s">
        <v>4252</v>
      </c>
      <c r="H1191" s="2"/>
      <c r="I1191" s="5">
        <f>XLOOKUP(K1191, pharmaceutical_index!B:B, pharmaceutical_index!A:A, "Not Found")</f>
      </c>
      <c r="J1191" s="1" t="s">
        <v>2518</v>
      </c>
      <c r="K1191" s="1" t="s">
        <v>2518</v>
      </c>
      <c r="L1191" s="1" t="s">
        <v>20</v>
      </c>
      <c r="M1191" s="1" t="s">
        <v>2518</v>
      </c>
      <c r="N1191" s="2"/>
      <c r="O1191" s="2"/>
      <c r="P1191" s="2"/>
      <c r="Q1191" s="2"/>
    </row>
    <row x14ac:dyDescent="0.25" r="1192" customHeight="1" ht="17.25">
      <c r="A1192" s="1" t="s">
        <v>4967</v>
      </c>
      <c r="B1192" s="1" t="s">
        <v>2520</v>
      </c>
      <c r="C1192" s="1" t="s">
        <v>3576</v>
      </c>
      <c r="D1192" s="1" t="s">
        <v>20</v>
      </c>
      <c r="E1192" s="1" t="s">
        <v>4250</v>
      </c>
      <c r="F1192" s="1" t="s">
        <v>4251</v>
      </c>
      <c r="G1192" s="1" t="s">
        <v>4252</v>
      </c>
      <c r="H1192" s="2"/>
      <c r="I1192" s="5">
        <f>XLOOKUP(K1192, pharmaceutical_index!B:B, pharmaceutical_index!A:A, "Not Found")</f>
      </c>
      <c r="J1192" s="1" t="s">
        <v>2520</v>
      </c>
      <c r="K1192" s="1" t="s">
        <v>2520</v>
      </c>
      <c r="L1192" s="1" t="s">
        <v>20</v>
      </c>
      <c r="M1192" s="1" t="s">
        <v>2520</v>
      </c>
      <c r="N1192" s="2"/>
      <c r="O1192" s="2"/>
      <c r="P1192" s="2"/>
      <c r="Q1192" s="2"/>
    </row>
    <row x14ac:dyDescent="0.25" r="1193" customHeight="1" ht="17.25">
      <c r="A1193" s="1" t="s">
        <v>4968</v>
      </c>
      <c r="B1193" s="1" t="s">
        <v>2522</v>
      </c>
      <c r="C1193" s="1" t="s">
        <v>3576</v>
      </c>
      <c r="D1193" s="1" t="s">
        <v>20</v>
      </c>
      <c r="E1193" s="1" t="s">
        <v>4250</v>
      </c>
      <c r="F1193" s="1" t="s">
        <v>4251</v>
      </c>
      <c r="G1193" s="1" t="s">
        <v>4252</v>
      </c>
      <c r="H1193" s="2"/>
      <c r="I1193" s="5">
        <f>XLOOKUP(K1193, pharmaceutical_index!B:B, pharmaceutical_index!A:A, "Not Found")</f>
      </c>
      <c r="J1193" s="1" t="s">
        <v>2522</v>
      </c>
      <c r="K1193" s="1" t="s">
        <v>2522</v>
      </c>
      <c r="L1193" s="1" t="s">
        <v>20</v>
      </c>
      <c r="M1193" s="1" t="s">
        <v>2522</v>
      </c>
      <c r="N1193" s="2"/>
      <c r="O1193" s="2"/>
      <c r="P1193" s="2"/>
      <c r="Q1193" s="2"/>
    </row>
    <row x14ac:dyDescent="0.25" r="1194" customHeight="1" ht="17.25">
      <c r="A1194" s="1" t="s">
        <v>4969</v>
      </c>
      <c r="B1194" s="1" t="s">
        <v>2524</v>
      </c>
      <c r="C1194" s="1" t="s">
        <v>3576</v>
      </c>
      <c r="D1194" s="1" t="s">
        <v>20</v>
      </c>
      <c r="E1194" s="1" t="s">
        <v>4250</v>
      </c>
      <c r="F1194" s="1" t="s">
        <v>4251</v>
      </c>
      <c r="G1194" s="1" t="s">
        <v>4252</v>
      </c>
      <c r="H1194" s="2"/>
      <c r="I1194" s="5">
        <f>XLOOKUP(K1194, pharmaceutical_index!B:B, pharmaceutical_index!A:A, "Not Found")</f>
      </c>
      <c r="J1194" s="1" t="s">
        <v>2524</v>
      </c>
      <c r="K1194" s="1" t="s">
        <v>2524</v>
      </c>
      <c r="L1194" s="1" t="s">
        <v>20</v>
      </c>
      <c r="M1194" s="1" t="s">
        <v>2524</v>
      </c>
      <c r="N1194" s="2"/>
      <c r="O1194" s="2"/>
      <c r="P1194" s="2"/>
      <c r="Q1194" s="2"/>
    </row>
    <row x14ac:dyDescent="0.25" r="1195" customHeight="1" ht="17.25">
      <c r="A1195" s="1" t="s">
        <v>4970</v>
      </c>
      <c r="B1195" s="1" t="s">
        <v>2526</v>
      </c>
      <c r="C1195" s="1" t="s">
        <v>3576</v>
      </c>
      <c r="D1195" s="1" t="s">
        <v>20</v>
      </c>
      <c r="E1195" s="1" t="s">
        <v>4250</v>
      </c>
      <c r="F1195" s="1" t="s">
        <v>4251</v>
      </c>
      <c r="G1195" s="1" t="s">
        <v>4252</v>
      </c>
      <c r="H1195" s="2"/>
      <c r="I1195" s="5">
        <f>XLOOKUP(K1195, pharmaceutical_index!B:B, pharmaceutical_index!A:A, "Not Found")</f>
      </c>
      <c r="J1195" s="1" t="s">
        <v>2526</v>
      </c>
      <c r="K1195" s="1" t="s">
        <v>2526</v>
      </c>
      <c r="L1195" s="1" t="s">
        <v>20</v>
      </c>
      <c r="M1195" s="1" t="s">
        <v>2526</v>
      </c>
      <c r="N1195" s="2"/>
      <c r="O1195" s="2"/>
      <c r="P1195" s="2"/>
      <c r="Q1195" s="2"/>
    </row>
    <row x14ac:dyDescent="0.25" r="1196" customHeight="1" ht="17.25">
      <c r="A1196" s="1" t="s">
        <v>4971</v>
      </c>
      <c r="B1196" s="1" t="s">
        <v>2528</v>
      </c>
      <c r="C1196" s="1" t="s">
        <v>3576</v>
      </c>
      <c r="D1196" s="1" t="s">
        <v>20</v>
      </c>
      <c r="E1196" s="1" t="s">
        <v>4250</v>
      </c>
      <c r="F1196" s="1" t="s">
        <v>4251</v>
      </c>
      <c r="G1196" s="1" t="s">
        <v>4252</v>
      </c>
      <c r="H1196" s="2"/>
      <c r="I1196" s="5">
        <f>XLOOKUP(K1196, pharmaceutical_index!B:B, pharmaceutical_index!A:A, "Not Found")</f>
      </c>
      <c r="J1196" s="1" t="s">
        <v>2528</v>
      </c>
      <c r="K1196" s="1" t="s">
        <v>2528</v>
      </c>
      <c r="L1196" s="1" t="s">
        <v>20</v>
      </c>
      <c r="M1196" s="1" t="s">
        <v>2528</v>
      </c>
      <c r="N1196" s="2"/>
      <c r="O1196" s="2"/>
      <c r="P1196" s="2"/>
      <c r="Q1196" s="2"/>
    </row>
    <row x14ac:dyDescent="0.25" r="1197" customHeight="1" ht="17.25">
      <c r="A1197" s="1" t="s">
        <v>4972</v>
      </c>
      <c r="B1197" s="1" t="s">
        <v>2530</v>
      </c>
      <c r="C1197" s="1" t="s">
        <v>3576</v>
      </c>
      <c r="D1197" s="1" t="s">
        <v>20</v>
      </c>
      <c r="E1197" s="1" t="s">
        <v>4250</v>
      </c>
      <c r="F1197" s="1" t="s">
        <v>4251</v>
      </c>
      <c r="G1197" s="1" t="s">
        <v>4252</v>
      </c>
      <c r="H1197" s="2"/>
      <c r="I1197" s="5">
        <f>XLOOKUP(K1197, pharmaceutical_index!B:B, pharmaceutical_index!A:A, "Not Found")</f>
      </c>
      <c r="J1197" s="1" t="s">
        <v>2530</v>
      </c>
      <c r="K1197" s="1" t="s">
        <v>2530</v>
      </c>
      <c r="L1197" s="1" t="s">
        <v>20</v>
      </c>
      <c r="M1197" s="1" t="s">
        <v>2530</v>
      </c>
      <c r="N1197" s="2"/>
      <c r="O1197" s="2"/>
      <c r="P1197" s="2"/>
      <c r="Q1197" s="2"/>
    </row>
    <row x14ac:dyDescent="0.25" r="1198" customHeight="1" ht="17.25">
      <c r="A1198" s="1" t="s">
        <v>4973</v>
      </c>
      <c r="B1198" s="1" t="s">
        <v>2532</v>
      </c>
      <c r="C1198" s="1" t="s">
        <v>3576</v>
      </c>
      <c r="D1198" s="1" t="s">
        <v>20</v>
      </c>
      <c r="E1198" s="1" t="s">
        <v>4250</v>
      </c>
      <c r="F1198" s="1" t="s">
        <v>4251</v>
      </c>
      <c r="G1198" s="1" t="s">
        <v>4252</v>
      </c>
      <c r="H1198" s="2"/>
      <c r="I1198" s="5">
        <f>XLOOKUP(K1198, pharmaceutical_index!B:B, pharmaceutical_index!A:A, "Not Found")</f>
      </c>
      <c r="J1198" s="1" t="s">
        <v>2532</v>
      </c>
      <c r="K1198" s="1" t="s">
        <v>2532</v>
      </c>
      <c r="L1198" s="1" t="s">
        <v>20</v>
      </c>
      <c r="M1198" s="1" t="s">
        <v>2532</v>
      </c>
      <c r="N1198" s="2"/>
      <c r="O1198" s="2"/>
      <c r="P1198" s="2"/>
      <c r="Q1198" s="2"/>
    </row>
    <row x14ac:dyDescent="0.25" r="1199" customHeight="1" ht="17.25">
      <c r="A1199" s="1" t="s">
        <v>4974</v>
      </c>
      <c r="B1199" s="1" t="s">
        <v>2534</v>
      </c>
      <c r="C1199" s="1" t="s">
        <v>3576</v>
      </c>
      <c r="D1199" s="1" t="s">
        <v>20</v>
      </c>
      <c r="E1199" s="1" t="s">
        <v>4250</v>
      </c>
      <c r="F1199" s="1" t="s">
        <v>4251</v>
      </c>
      <c r="G1199" s="1" t="s">
        <v>4252</v>
      </c>
      <c r="H1199" s="2"/>
      <c r="I1199" s="5">
        <f>XLOOKUP(K1199, pharmaceutical_index!B:B, pharmaceutical_index!A:A, "Not Found")</f>
      </c>
      <c r="J1199" s="1" t="s">
        <v>2534</v>
      </c>
      <c r="K1199" s="1" t="s">
        <v>2534</v>
      </c>
      <c r="L1199" s="1" t="s">
        <v>20</v>
      </c>
      <c r="M1199" s="1" t="s">
        <v>2534</v>
      </c>
      <c r="N1199" s="2"/>
      <c r="O1199" s="2"/>
      <c r="P1199" s="2"/>
      <c r="Q1199" s="2"/>
    </row>
    <row x14ac:dyDescent="0.25" r="1200" customHeight="1" ht="17.25">
      <c r="A1200" s="1" t="s">
        <v>4975</v>
      </c>
      <c r="B1200" s="1" t="s">
        <v>2536</v>
      </c>
      <c r="C1200" s="1" t="s">
        <v>3576</v>
      </c>
      <c r="D1200" s="1" t="s">
        <v>20</v>
      </c>
      <c r="E1200" s="1" t="s">
        <v>4250</v>
      </c>
      <c r="F1200" s="1" t="s">
        <v>4251</v>
      </c>
      <c r="G1200" s="1" t="s">
        <v>4252</v>
      </c>
      <c r="H1200" s="2"/>
      <c r="I1200" s="5">
        <f>XLOOKUP(K1200, pharmaceutical_index!B:B, pharmaceutical_index!A:A, "Not Found")</f>
      </c>
      <c r="J1200" s="1" t="s">
        <v>2536</v>
      </c>
      <c r="K1200" s="1" t="s">
        <v>2536</v>
      </c>
      <c r="L1200" s="1" t="s">
        <v>20</v>
      </c>
      <c r="M1200" s="1" t="s">
        <v>2536</v>
      </c>
      <c r="N1200" s="2"/>
      <c r="O1200" s="2"/>
      <c r="P1200" s="2"/>
      <c r="Q1200" s="2"/>
    </row>
    <row x14ac:dyDescent="0.25" r="1201" customHeight="1" ht="17.25">
      <c r="A1201" s="1" t="s">
        <v>4976</v>
      </c>
      <c r="B1201" s="1" t="s">
        <v>2538</v>
      </c>
      <c r="C1201" s="1" t="s">
        <v>3576</v>
      </c>
      <c r="D1201" s="1" t="s">
        <v>20</v>
      </c>
      <c r="E1201" s="1" t="s">
        <v>4250</v>
      </c>
      <c r="F1201" s="1" t="s">
        <v>4251</v>
      </c>
      <c r="G1201" s="1" t="s">
        <v>4252</v>
      </c>
      <c r="H1201" s="2"/>
      <c r="I1201" s="5">
        <f>XLOOKUP(K1201, pharmaceutical_index!B:B, pharmaceutical_index!A:A, "Not Found")</f>
      </c>
      <c r="J1201" s="1" t="s">
        <v>4977</v>
      </c>
      <c r="K1201" s="1" t="s">
        <v>2538</v>
      </c>
      <c r="L1201" s="1" t="s">
        <v>20</v>
      </c>
      <c r="M1201" s="1" t="s">
        <v>4978</v>
      </c>
      <c r="N1201" s="2"/>
      <c r="O1201" s="2"/>
      <c r="P1201" s="2"/>
      <c r="Q1201" s="2"/>
    </row>
    <row x14ac:dyDescent="0.25" r="1202" customHeight="1" ht="17.25">
      <c r="A1202" s="1" t="s">
        <v>4979</v>
      </c>
      <c r="B1202" s="1" t="s">
        <v>2540</v>
      </c>
      <c r="C1202" s="1" t="s">
        <v>3576</v>
      </c>
      <c r="D1202" s="1" t="s">
        <v>20</v>
      </c>
      <c r="E1202" s="1" t="s">
        <v>4250</v>
      </c>
      <c r="F1202" s="1" t="s">
        <v>4251</v>
      </c>
      <c r="G1202" s="1" t="s">
        <v>4252</v>
      </c>
      <c r="H1202" s="2"/>
      <c r="I1202" s="5">
        <f>XLOOKUP(K1202, pharmaceutical_index!B:B, pharmaceutical_index!A:A, "Not Found")</f>
      </c>
      <c r="J1202" s="1" t="s">
        <v>2540</v>
      </c>
      <c r="K1202" s="1" t="s">
        <v>2540</v>
      </c>
      <c r="L1202" s="1" t="s">
        <v>20</v>
      </c>
      <c r="M1202" s="1" t="s">
        <v>2540</v>
      </c>
      <c r="N1202" s="2"/>
      <c r="O1202" s="2"/>
      <c r="P1202" s="2"/>
      <c r="Q1202" s="2"/>
    </row>
    <row x14ac:dyDescent="0.25" r="1203" customHeight="1" ht="17.25">
      <c r="A1203" s="1" t="s">
        <v>4980</v>
      </c>
      <c r="B1203" s="1" t="s">
        <v>2542</v>
      </c>
      <c r="C1203" s="1" t="s">
        <v>3576</v>
      </c>
      <c r="D1203" s="1" t="s">
        <v>20</v>
      </c>
      <c r="E1203" s="1" t="s">
        <v>4250</v>
      </c>
      <c r="F1203" s="1" t="s">
        <v>4251</v>
      </c>
      <c r="G1203" s="1" t="s">
        <v>4252</v>
      </c>
      <c r="H1203" s="2"/>
      <c r="I1203" s="5">
        <f>XLOOKUP(K1203, pharmaceutical_index!B:B, pharmaceutical_index!A:A, "Not Found")</f>
      </c>
      <c r="J1203" s="1" t="s">
        <v>2542</v>
      </c>
      <c r="K1203" s="1" t="s">
        <v>2542</v>
      </c>
      <c r="L1203" s="1" t="s">
        <v>20</v>
      </c>
      <c r="M1203" s="1" t="s">
        <v>2542</v>
      </c>
      <c r="N1203" s="2"/>
      <c r="O1203" s="2"/>
      <c r="P1203" s="2"/>
      <c r="Q1203" s="2"/>
    </row>
    <row x14ac:dyDescent="0.25" r="1204" customHeight="1" ht="17.25">
      <c r="A1204" s="1" t="s">
        <v>4981</v>
      </c>
      <c r="B1204" s="1" t="s">
        <v>2544</v>
      </c>
      <c r="C1204" s="1" t="s">
        <v>3576</v>
      </c>
      <c r="D1204" s="1" t="s">
        <v>20</v>
      </c>
      <c r="E1204" s="1" t="s">
        <v>4250</v>
      </c>
      <c r="F1204" s="1" t="s">
        <v>4251</v>
      </c>
      <c r="G1204" s="1" t="s">
        <v>4252</v>
      </c>
      <c r="H1204" s="2"/>
      <c r="I1204" s="5">
        <f>XLOOKUP(K1204, pharmaceutical_index!B:B, pharmaceutical_index!A:A, "Not Found")</f>
      </c>
      <c r="J1204" s="1" t="s">
        <v>2544</v>
      </c>
      <c r="K1204" s="1" t="s">
        <v>2544</v>
      </c>
      <c r="L1204" s="1" t="s">
        <v>20</v>
      </c>
      <c r="M1204" s="1" t="s">
        <v>2544</v>
      </c>
      <c r="N1204" s="2"/>
      <c r="O1204" s="2"/>
      <c r="P1204" s="2"/>
      <c r="Q1204" s="2"/>
    </row>
    <row x14ac:dyDescent="0.25" r="1205" customHeight="1" ht="17.25">
      <c r="A1205" s="1" t="s">
        <v>4982</v>
      </c>
      <c r="B1205" s="1" t="s">
        <v>2546</v>
      </c>
      <c r="C1205" s="1" t="s">
        <v>3576</v>
      </c>
      <c r="D1205" s="1" t="s">
        <v>20</v>
      </c>
      <c r="E1205" s="1" t="s">
        <v>4250</v>
      </c>
      <c r="F1205" s="1" t="s">
        <v>4251</v>
      </c>
      <c r="G1205" s="1" t="s">
        <v>4252</v>
      </c>
      <c r="H1205" s="2"/>
      <c r="I1205" s="5">
        <f>XLOOKUP(K1205, pharmaceutical_index!B:B, pharmaceutical_index!A:A, "Not Found")</f>
      </c>
      <c r="J1205" s="1" t="s">
        <v>2546</v>
      </c>
      <c r="K1205" s="1" t="s">
        <v>2546</v>
      </c>
      <c r="L1205" s="1" t="s">
        <v>20</v>
      </c>
      <c r="M1205" s="1" t="s">
        <v>2546</v>
      </c>
      <c r="N1205" s="2"/>
      <c r="O1205" s="2"/>
      <c r="P1205" s="2"/>
      <c r="Q1205" s="2"/>
    </row>
    <row x14ac:dyDescent="0.25" r="1206" customHeight="1" ht="17.25">
      <c r="A1206" s="1" t="s">
        <v>4983</v>
      </c>
      <c r="B1206" s="1" t="s">
        <v>2548</v>
      </c>
      <c r="C1206" s="1" t="s">
        <v>3576</v>
      </c>
      <c r="D1206" s="1" t="s">
        <v>20</v>
      </c>
      <c r="E1206" s="1" t="s">
        <v>4250</v>
      </c>
      <c r="F1206" s="1" t="s">
        <v>4251</v>
      </c>
      <c r="G1206" s="1" t="s">
        <v>4252</v>
      </c>
      <c r="H1206" s="2"/>
      <c r="I1206" s="5">
        <f>XLOOKUP(K1206, pharmaceutical_index!B:B, pharmaceutical_index!A:A, "Not Found")</f>
      </c>
      <c r="J1206" s="1" t="s">
        <v>2548</v>
      </c>
      <c r="K1206" s="1" t="s">
        <v>2548</v>
      </c>
      <c r="L1206" s="1" t="s">
        <v>20</v>
      </c>
      <c r="M1206" s="1" t="s">
        <v>2548</v>
      </c>
      <c r="N1206" s="2"/>
      <c r="O1206" s="2"/>
      <c r="P1206" s="2"/>
      <c r="Q1206" s="2"/>
    </row>
    <row x14ac:dyDescent="0.25" r="1207" customHeight="1" ht="17.25">
      <c r="A1207" s="1" t="s">
        <v>4984</v>
      </c>
      <c r="B1207" s="1" t="s">
        <v>2550</v>
      </c>
      <c r="C1207" s="1" t="s">
        <v>3576</v>
      </c>
      <c r="D1207" s="1" t="s">
        <v>20</v>
      </c>
      <c r="E1207" s="1" t="s">
        <v>4250</v>
      </c>
      <c r="F1207" s="1" t="s">
        <v>4251</v>
      </c>
      <c r="G1207" s="1" t="s">
        <v>4252</v>
      </c>
      <c r="H1207" s="2"/>
      <c r="I1207" s="5">
        <f>XLOOKUP(K1207, pharmaceutical_index!B:B, pharmaceutical_index!A:A, "Not Found")</f>
      </c>
      <c r="J1207" s="1" t="s">
        <v>2550</v>
      </c>
      <c r="K1207" s="1" t="s">
        <v>2550</v>
      </c>
      <c r="L1207" s="1" t="s">
        <v>20</v>
      </c>
      <c r="M1207" s="1" t="s">
        <v>2550</v>
      </c>
      <c r="N1207" s="2"/>
      <c r="O1207" s="2"/>
      <c r="P1207" s="2"/>
      <c r="Q1207" s="2"/>
    </row>
    <row x14ac:dyDescent="0.25" r="1208" customHeight="1" ht="17.25">
      <c r="A1208" s="1" t="s">
        <v>4985</v>
      </c>
      <c r="B1208" s="1" t="s">
        <v>2552</v>
      </c>
      <c r="C1208" s="1" t="s">
        <v>3576</v>
      </c>
      <c r="D1208" s="1" t="s">
        <v>20</v>
      </c>
      <c r="E1208" s="1" t="s">
        <v>4250</v>
      </c>
      <c r="F1208" s="1" t="s">
        <v>4251</v>
      </c>
      <c r="G1208" s="1" t="s">
        <v>4252</v>
      </c>
      <c r="H1208" s="2"/>
      <c r="I1208" s="5">
        <f>XLOOKUP(K1208, pharmaceutical_index!B:B, pharmaceutical_index!A:A, "Not Found")</f>
      </c>
      <c r="J1208" s="1" t="s">
        <v>2552</v>
      </c>
      <c r="K1208" s="1" t="s">
        <v>2552</v>
      </c>
      <c r="L1208" s="1" t="s">
        <v>20</v>
      </c>
      <c r="M1208" s="1" t="s">
        <v>2552</v>
      </c>
      <c r="N1208" s="2"/>
      <c r="O1208" s="2"/>
      <c r="P1208" s="2"/>
      <c r="Q1208" s="2"/>
    </row>
    <row x14ac:dyDescent="0.25" r="1209" customHeight="1" ht="17.25">
      <c r="A1209" s="1" t="s">
        <v>4986</v>
      </c>
      <c r="B1209" s="1" t="s">
        <v>2554</v>
      </c>
      <c r="C1209" s="1" t="s">
        <v>3576</v>
      </c>
      <c r="D1209" s="1" t="s">
        <v>20</v>
      </c>
      <c r="E1209" s="1" t="s">
        <v>4250</v>
      </c>
      <c r="F1209" s="1" t="s">
        <v>4251</v>
      </c>
      <c r="G1209" s="1" t="s">
        <v>4252</v>
      </c>
      <c r="H1209" s="2"/>
      <c r="I1209" s="5">
        <f>XLOOKUP(K1209, pharmaceutical_index!B:B, pharmaceutical_index!A:A, "Not Found")</f>
      </c>
      <c r="J1209" s="1" t="s">
        <v>2554</v>
      </c>
      <c r="K1209" s="1" t="s">
        <v>2554</v>
      </c>
      <c r="L1209" s="1" t="s">
        <v>20</v>
      </c>
      <c r="M1209" s="1" t="s">
        <v>2554</v>
      </c>
      <c r="N1209" s="2"/>
      <c r="O1209" s="2"/>
      <c r="P1209" s="2"/>
      <c r="Q1209" s="2"/>
    </row>
    <row x14ac:dyDescent="0.25" r="1210" customHeight="1" ht="17.25">
      <c r="A1210" s="1" t="s">
        <v>4987</v>
      </c>
      <c r="B1210" s="1" t="s">
        <v>2556</v>
      </c>
      <c r="C1210" s="1" t="s">
        <v>3576</v>
      </c>
      <c r="D1210" s="1" t="s">
        <v>20</v>
      </c>
      <c r="E1210" s="1" t="s">
        <v>4250</v>
      </c>
      <c r="F1210" s="1" t="s">
        <v>4251</v>
      </c>
      <c r="G1210" s="1" t="s">
        <v>4252</v>
      </c>
      <c r="H1210" s="2"/>
      <c r="I1210" s="5">
        <f>XLOOKUP(K1210, pharmaceutical_index!B:B, pharmaceutical_index!A:A, "Not Found")</f>
      </c>
      <c r="J1210" s="1" t="s">
        <v>4988</v>
      </c>
      <c r="K1210" s="1" t="s">
        <v>2556</v>
      </c>
      <c r="L1210" s="1" t="s">
        <v>20</v>
      </c>
      <c r="M1210" s="1" t="s">
        <v>4989</v>
      </c>
      <c r="N1210" s="2"/>
      <c r="O1210" s="2"/>
      <c r="P1210" s="2"/>
      <c r="Q1210" s="2"/>
    </row>
    <row x14ac:dyDescent="0.25" r="1211" customHeight="1" ht="17.25">
      <c r="A1211" s="1" t="s">
        <v>4990</v>
      </c>
      <c r="B1211" s="1" t="s">
        <v>2558</v>
      </c>
      <c r="C1211" s="1" t="s">
        <v>3576</v>
      </c>
      <c r="D1211" s="1" t="s">
        <v>20</v>
      </c>
      <c r="E1211" s="1" t="s">
        <v>4250</v>
      </c>
      <c r="F1211" s="1" t="s">
        <v>4251</v>
      </c>
      <c r="G1211" s="1" t="s">
        <v>4252</v>
      </c>
      <c r="H1211" s="2"/>
      <c r="I1211" s="5">
        <f>XLOOKUP(K1211, pharmaceutical_index!B:B, pharmaceutical_index!A:A, "Not Found")</f>
      </c>
      <c r="J1211" s="1" t="s">
        <v>4991</v>
      </c>
      <c r="K1211" s="1" t="s">
        <v>2558</v>
      </c>
      <c r="L1211" s="1" t="s">
        <v>20</v>
      </c>
      <c r="M1211" s="1" t="s">
        <v>4992</v>
      </c>
      <c r="N1211" s="2"/>
      <c r="O1211" s="2"/>
      <c r="P1211" s="2"/>
      <c r="Q1211" s="2"/>
    </row>
    <row x14ac:dyDescent="0.25" r="1212" customHeight="1" ht="17.25">
      <c r="A1212" s="1" t="s">
        <v>4993</v>
      </c>
      <c r="B1212" s="1" t="s">
        <v>2560</v>
      </c>
      <c r="C1212" s="1" t="s">
        <v>3576</v>
      </c>
      <c r="D1212" s="1" t="s">
        <v>20</v>
      </c>
      <c r="E1212" s="1" t="s">
        <v>4250</v>
      </c>
      <c r="F1212" s="1" t="s">
        <v>4251</v>
      </c>
      <c r="G1212" s="1" t="s">
        <v>4252</v>
      </c>
      <c r="H1212" s="2"/>
      <c r="I1212" s="5">
        <f>XLOOKUP(K1212, pharmaceutical_index!B:B, pharmaceutical_index!A:A, "Not Found")</f>
      </c>
      <c r="J1212" s="1" t="s">
        <v>2560</v>
      </c>
      <c r="K1212" s="1" t="s">
        <v>2560</v>
      </c>
      <c r="L1212" s="1" t="s">
        <v>20</v>
      </c>
      <c r="M1212" s="1" t="s">
        <v>2560</v>
      </c>
      <c r="N1212" s="2"/>
      <c r="O1212" s="2"/>
      <c r="P1212" s="2"/>
      <c r="Q1212" s="2"/>
    </row>
    <row x14ac:dyDescent="0.25" r="1213" customHeight="1" ht="17.25">
      <c r="A1213" s="1" t="s">
        <v>4994</v>
      </c>
      <c r="B1213" s="1" t="s">
        <v>2562</v>
      </c>
      <c r="C1213" s="1" t="s">
        <v>3576</v>
      </c>
      <c r="D1213" s="1" t="s">
        <v>20</v>
      </c>
      <c r="E1213" s="1" t="s">
        <v>4250</v>
      </c>
      <c r="F1213" s="1" t="s">
        <v>4251</v>
      </c>
      <c r="G1213" s="1" t="s">
        <v>4252</v>
      </c>
      <c r="H1213" s="2"/>
      <c r="I1213" s="5">
        <f>XLOOKUP(K1213, pharmaceutical_index!B:B, pharmaceutical_index!A:A, "Not Found")</f>
      </c>
      <c r="J1213" s="1" t="s">
        <v>2562</v>
      </c>
      <c r="K1213" s="1" t="s">
        <v>2562</v>
      </c>
      <c r="L1213" s="1" t="s">
        <v>20</v>
      </c>
      <c r="M1213" s="1" t="s">
        <v>2562</v>
      </c>
      <c r="N1213" s="2"/>
      <c r="O1213" s="2"/>
      <c r="P1213" s="2"/>
      <c r="Q1213" s="2"/>
    </row>
    <row x14ac:dyDescent="0.25" r="1214" customHeight="1" ht="17.25">
      <c r="A1214" s="1" t="s">
        <v>4995</v>
      </c>
      <c r="B1214" s="1" t="s">
        <v>2564</v>
      </c>
      <c r="C1214" s="1" t="s">
        <v>3576</v>
      </c>
      <c r="D1214" s="1" t="s">
        <v>20</v>
      </c>
      <c r="E1214" s="1" t="s">
        <v>4250</v>
      </c>
      <c r="F1214" s="1" t="s">
        <v>4251</v>
      </c>
      <c r="G1214" s="1" t="s">
        <v>4252</v>
      </c>
      <c r="H1214" s="2"/>
      <c r="I1214" s="5">
        <f>XLOOKUP(K1214, pharmaceutical_index!B:B, pharmaceutical_index!A:A, "Not Found")</f>
      </c>
      <c r="J1214" s="1" t="s">
        <v>2564</v>
      </c>
      <c r="K1214" s="1" t="s">
        <v>2564</v>
      </c>
      <c r="L1214" s="1" t="s">
        <v>20</v>
      </c>
      <c r="M1214" s="1" t="s">
        <v>2564</v>
      </c>
      <c r="N1214" s="2"/>
      <c r="O1214" s="2"/>
      <c r="P1214" s="2"/>
      <c r="Q1214" s="2"/>
    </row>
    <row x14ac:dyDescent="0.25" r="1215" customHeight="1" ht="17.25">
      <c r="A1215" s="1" t="s">
        <v>4996</v>
      </c>
      <c r="B1215" s="1" t="s">
        <v>2566</v>
      </c>
      <c r="C1215" s="1" t="s">
        <v>3576</v>
      </c>
      <c r="D1215" s="1" t="s">
        <v>20</v>
      </c>
      <c r="E1215" s="1" t="s">
        <v>4250</v>
      </c>
      <c r="F1215" s="1" t="s">
        <v>4251</v>
      </c>
      <c r="G1215" s="1" t="s">
        <v>4252</v>
      </c>
      <c r="H1215" s="2"/>
      <c r="I1215" s="5">
        <f>XLOOKUP(K1215, pharmaceutical_index!B:B, pharmaceutical_index!A:A, "Not Found")</f>
      </c>
      <c r="J1215" s="1" t="s">
        <v>2566</v>
      </c>
      <c r="K1215" s="1" t="s">
        <v>2566</v>
      </c>
      <c r="L1215" s="1" t="s">
        <v>20</v>
      </c>
      <c r="M1215" s="1" t="s">
        <v>2566</v>
      </c>
      <c r="N1215" s="2"/>
      <c r="O1215" s="2"/>
      <c r="P1215" s="2"/>
      <c r="Q1215" s="2"/>
    </row>
    <row x14ac:dyDescent="0.25" r="1216" customHeight="1" ht="17.25">
      <c r="A1216" s="1" t="s">
        <v>4997</v>
      </c>
      <c r="B1216" s="1" t="s">
        <v>2568</v>
      </c>
      <c r="C1216" s="1" t="s">
        <v>3576</v>
      </c>
      <c r="D1216" s="1" t="s">
        <v>20</v>
      </c>
      <c r="E1216" s="1" t="s">
        <v>4250</v>
      </c>
      <c r="F1216" s="1" t="s">
        <v>4251</v>
      </c>
      <c r="G1216" s="1" t="s">
        <v>4252</v>
      </c>
      <c r="H1216" s="2"/>
      <c r="I1216" s="5">
        <f>XLOOKUP(K1216, pharmaceutical_index!B:B, pharmaceutical_index!A:A, "Not Found")</f>
      </c>
      <c r="J1216" s="1" t="s">
        <v>2568</v>
      </c>
      <c r="K1216" s="1" t="s">
        <v>2568</v>
      </c>
      <c r="L1216" s="1" t="s">
        <v>20</v>
      </c>
      <c r="M1216" s="1" t="s">
        <v>2568</v>
      </c>
      <c r="N1216" s="2"/>
      <c r="O1216" s="2"/>
      <c r="P1216" s="2"/>
      <c r="Q1216" s="2"/>
    </row>
    <row x14ac:dyDescent="0.25" r="1217" customHeight="1" ht="17.25">
      <c r="A1217" s="1" t="s">
        <v>4998</v>
      </c>
      <c r="B1217" s="1" t="s">
        <v>2570</v>
      </c>
      <c r="C1217" s="1" t="s">
        <v>3576</v>
      </c>
      <c r="D1217" s="1" t="s">
        <v>20</v>
      </c>
      <c r="E1217" s="1" t="s">
        <v>4250</v>
      </c>
      <c r="F1217" s="1" t="s">
        <v>4251</v>
      </c>
      <c r="G1217" s="1" t="s">
        <v>4252</v>
      </c>
      <c r="H1217" s="2"/>
      <c r="I1217" s="5">
        <f>XLOOKUP(K1217, pharmaceutical_index!B:B, pharmaceutical_index!A:A, "Not Found")</f>
      </c>
      <c r="J1217" s="1" t="s">
        <v>2570</v>
      </c>
      <c r="K1217" s="1" t="s">
        <v>2570</v>
      </c>
      <c r="L1217" s="1" t="s">
        <v>20</v>
      </c>
      <c r="M1217" s="1" t="s">
        <v>2570</v>
      </c>
      <c r="N1217" s="2"/>
      <c r="O1217" s="2"/>
      <c r="P1217" s="2"/>
      <c r="Q1217" s="2"/>
    </row>
    <row x14ac:dyDescent="0.25" r="1218" customHeight="1" ht="17.25">
      <c r="A1218" s="1" t="s">
        <v>4999</v>
      </c>
      <c r="B1218" s="1" t="s">
        <v>2572</v>
      </c>
      <c r="C1218" s="1" t="s">
        <v>3576</v>
      </c>
      <c r="D1218" s="1" t="s">
        <v>20</v>
      </c>
      <c r="E1218" s="1" t="s">
        <v>4250</v>
      </c>
      <c r="F1218" s="1" t="s">
        <v>4251</v>
      </c>
      <c r="G1218" s="1" t="s">
        <v>4252</v>
      </c>
      <c r="H1218" s="2"/>
      <c r="I1218" s="5">
        <f>XLOOKUP(K1218, pharmaceutical_index!B:B, pharmaceutical_index!A:A, "Not Found")</f>
      </c>
      <c r="J1218" s="1" t="s">
        <v>2572</v>
      </c>
      <c r="K1218" s="1" t="s">
        <v>2572</v>
      </c>
      <c r="L1218" s="1" t="s">
        <v>20</v>
      </c>
      <c r="M1218" s="1" t="s">
        <v>2572</v>
      </c>
      <c r="N1218" s="2"/>
      <c r="O1218" s="2"/>
      <c r="P1218" s="2"/>
      <c r="Q1218" s="2"/>
    </row>
    <row x14ac:dyDescent="0.25" r="1219" customHeight="1" ht="17.25">
      <c r="A1219" s="1" t="s">
        <v>5000</v>
      </c>
      <c r="B1219" s="1" t="s">
        <v>2574</v>
      </c>
      <c r="C1219" s="1" t="s">
        <v>3576</v>
      </c>
      <c r="D1219" s="1" t="s">
        <v>20</v>
      </c>
      <c r="E1219" s="1" t="s">
        <v>4250</v>
      </c>
      <c r="F1219" s="1" t="s">
        <v>4251</v>
      </c>
      <c r="G1219" s="1" t="s">
        <v>4252</v>
      </c>
      <c r="H1219" s="2"/>
      <c r="I1219" s="5">
        <f>XLOOKUP(K1219, pharmaceutical_index!B:B, pharmaceutical_index!A:A, "Not Found")</f>
      </c>
      <c r="J1219" s="1" t="s">
        <v>2574</v>
      </c>
      <c r="K1219" s="1" t="s">
        <v>2574</v>
      </c>
      <c r="L1219" s="1" t="s">
        <v>20</v>
      </c>
      <c r="M1219" s="1" t="s">
        <v>2574</v>
      </c>
      <c r="N1219" s="2"/>
      <c r="O1219" s="2"/>
      <c r="P1219" s="2"/>
      <c r="Q1219" s="2"/>
    </row>
    <row x14ac:dyDescent="0.25" r="1220" customHeight="1" ht="17.25">
      <c r="A1220" s="1" t="s">
        <v>5001</v>
      </c>
      <c r="B1220" s="1" t="s">
        <v>2576</v>
      </c>
      <c r="C1220" s="1" t="s">
        <v>3576</v>
      </c>
      <c r="D1220" s="1" t="s">
        <v>20</v>
      </c>
      <c r="E1220" s="1" t="s">
        <v>4250</v>
      </c>
      <c r="F1220" s="1" t="s">
        <v>4251</v>
      </c>
      <c r="G1220" s="1" t="s">
        <v>4252</v>
      </c>
      <c r="H1220" s="2"/>
      <c r="I1220" s="5">
        <f>XLOOKUP(K1220, pharmaceutical_index!B:B, pharmaceutical_index!A:A, "Not Found")</f>
      </c>
      <c r="J1220" s="1" t="s">
        <v>2576</v>
      </c>
      <c r="K1220" s="1" t="s">
        <v>2576</v>
      </c>
      <c r="L1220" s="1" t="s">
        <v>20</v>
      </c>
      <c r="M1220" s="1" t="s">
        <v>2576</v>
      </c>
      <c r="N1220" s="2"/>
      <c r="O1220" s="2"/>
      <c r="P1220" s="2"/>
      <c r="Q1220" s="2"/>
    </row>
    <row x14ac:dyDescent="0.25" r="1221" customHeight="1" ht="17.25">
      <c r="A1221" s="1" t="s">
        <v>5002</v>
      </c>
      <c r="B1221" s="1" t="s">
        <v>2578</v>
      </c>
      <c r="C1221" s="1" t="s">
        <v>3576</v>
      </c>
      <c r="D1221" s="1" t="s">
        <v>20</v>
      </c>
      <c r="E1221" s="1" t="s">
        <v>4250</v>
      </c>
      <c r="F1221" s="1" t="s">
        <v>4251</v>
      </c>
      <c r="G1221" s="1" t="s">
        <v>4252</v>
      </c>
      <c r="H1221" s="2"/>
      <c r="I1221" s="5">
        <f>XLOOKUP(K1221, pharmaceutical_index!B:B, pharmaceutical_index!A:A, "Not Found")</f>
      </c>
      <c r="J1221" s="1" t="s">
        <v>2578</v>
      </c>
      <c r="K1221" s="1" t="s">
        <v>2578</v>
      </c>
      <c r="L1221" s="1" t="s">
        <v>20</v>
      </c>
      <c r="M1221" s="1" t="s">
        <v>2578</v>
      </c>
      <c r="N1221" s="2"/>
      <c r="O1221" s="2"/>
      <c r="P1221" s="2"/>
      <c r="Q1221" s="2"/>
    </row>
    <row x14ac:dyDescent="0.25" r="1222" customHeight="1" ht="17.25">
      <c r="A1222" s="1" t="s">
        <v>5003</v>
      </c>
      <c r="B1222" s="1" t="s">
        <v>2580</v>
      </c>
      <c r="C1222" s="1" t="s">
        <v>3576</v>
      </c>
      <c r="D1222" s="1" t="s">
        <v>20</v>
      </c>
      <c r="E1222" s="1" t="s">
        <v>4250</v>
      </c>
      <c r="F1222" s="1" t="s">
        <v>4251</v>
      </c>
      <c r="G1222" s="1" t="s">
        <v>4252</v>
      </c>
      <c r="H1222" s="2"/>
      <c r="I1222" s="5">
        <f>XLOOKUP(K1222, pharmaceutical_index!B:B, pharmaceutical_index!A:A, "Not Found")</f>
      </c>
      <c r="J1222" s="1" t="s">
        <v>2580</v>
      </c>
      <c r="K1222" s="1" t="s">
        <v>2580</v>
      </c>
      <c r="L1222" s="1" t="s">
        <v>20</v>
      </c>
      <c r="M1222" s="1" t="s">
        <v>2580</v>
      </c>
      <c r="N1222" s="2"/>
      <c r="O1222" s="2"/>
      <c r="P1222" s="2"/>
      <c r="Q1222" s="2"/>
    </row>
    <row x14ac:dyDescent="0.25" r="1223" customHeight="1" ht="17.25">
      <c r="A1223" s="1" t="s">
        <v>5004</v>
      </c>
      <c r="B1223" s="1" t="s">
        <v>2582</v>
      </c>
      <c r="C1223" s="1" t="s">
        <v>3576</v>
      </c>
      <c r="D1223" s="1" t="s">
        <v>20</v>
      </c>
      <c r="E1223" s="1" t="s">
        <v>4250</v>
      </c>
      <c r="F1223" s="1" t="s">
        <v>4251</v>
      </c>
      <c r="G1223" s="1" t="s">
        <v>4252</v>
      </c>
      <c r="H1223" s="2"/>
      <c r="I1223" s="5">
        <f>XLOOKUP(K1223, pharmaceutical_index!B:B, pharmaceutical_index!A:A, "Not Found")</f>
      </c>
      <c r="J1223" s="1" t="s">
        <v>2582</v>
      </c>
      <c r="K1223" s="1" t="s">
        <v>2582</v>
      </c>
      <c r="L1223" s="1" t="s">
        <v>20</v>
      </c>
      <c r="M1223" s="1" t="s">
        <v>2582</v>
      </c>
      <c r="N1223" s="2"/>
      <c r="O1223" s="2"/>
      <c r="P1223" s="2"/>
      <c r="Q1223" s="2"/>
    </row>
    <row x14ac:dyDescent="0.25" r="1224" customHeight="1" ht="17.25">
      <c r="A1224" s="1" t="s">
        <v>5005</v>
      </c>
      <c r="B1224" s="1" t="s">
        <v>2584</v>
      </c>
      <c r="C1224" s="1" t="s">
        <v>3576</v>
      </c>
      <c r="D1224" s="1" t="s">
        <v>20</v>
      </c>
      <c r="E1224" s="1" t="s">
        <v>4250</v>
      </c>
      <c r="F1224" s="1" t="s">
        <v>4251</v>
      </c>
      <c r="G1224" s="1" t="s">
        <v>4252</v>
      </c>
      <c r="H1224" s="2"/>
      <c r="I1224" s="5">
        <f>XLOOKUP(K1224, pharmaceutical_index!B:B, pharmaceutical_index!A:A, "Not Found")</f>
      </c>
      <c r="J1224" s="1" t="s">
        <v>2584</v>
      </c>
      <c r="K1224" s="1" t="s">
        <v>2584</v>
      </c>
      <c r="L1224" s="1" t="s">
        <v>20</v>
      </c>
      <c r="M1224" s="1" t="s">
        <v>2584</v>
      </c>
      <c r="N1224" s="2"/>
      <c r="O1224" s="2"/>
      <c r="P1224" s="2"/>
      <c r="Q1224" s="2"/>
    </row>
    <row x14ac:dyDescent="0.25" r="1225" customHeight="1" ht="17.25">
      <c r="A1225" s="1" t="s">
        <v>5006</v>
      </c>
      <c r="B1225" s="1" t="s">
        <v>2586</v>
      </c>
      <c r="C1225" s="1" t="s">
        <v>3576</v>
      </c>
      <c r="D1225" s="1" t="s">
        <v>20</v>
      </c>
      <c r="E1225" s="1" t="s">
        <v>4250</v>
      </c>
      <c r="F1225" s="1" t="s">
        <v>4251</v>
      </c>
      <c r="G1225" s="1" t="s">
        <v>4252</v>
      </c>
      <c r="H1225" s="2"/>
      <c r="I1225" s="5">
        <f>XLOOKUP(K1225, pharmaceutical_index!B:B, pharmaceutical_index!A:A, "Not Found")</f>
      </c>
      <c r="J1225" s="1" t="s">
        <v>2586</v>
      </c>
      <c r="K1225" s="1" t="s">
        <v>2586</v>
      </c>
      <c r="L1225" s="1" t="s">
        <v>20</v>
      </c>
      <c r="M1225" s="1" t="s">
        <v>2586</v>
      </c>
      <c r="N1225" s="2"/>
      <c r="O1225" s="2"/>
      <c r="P1225" s="2"/>
      <c r="Q1225" s="2"/>
    </row>
    <row x14ac:dyDescent="0.25" r="1226" customHeight="1" ht="17.25">
      <c r="A1226" s="1" t="s">
        <v>5007</v>
      </c>
      <c r="B1226" s="1" t="s">
        <v>2588</v>
      </c>
      <c r="C1226" s="1" t="s">
        <v>3576</v>
      </c>
      <c r="D1226" s="1" t="s">
        <v>20</v>
      </c>
      <c r="E1226" s="1" t="s">
        <v>4250</v>
      </c>
      <c r="F1226" s="1" t="s">
        <v>4251</v>
      </c>
      <c r="G1226" s="1" t="s">
        <v>4252</v>
      </c>
      <c r="H1226" s="2"/>
      <c r="I1226" s="5">
        <f>XLOOKUP(K1226, pharmaceutical_index!B:B, pharmaceutical_index!A:A, "Not Found")</f>
      </c>
      <c r="J1226" s="1" t="s">
        <v>2588</v>
      </c>
      <c r="K1226" s="1" t="s">
        <v>2588</v>
      </c>
      <c r="L1226" s="1" t="s">
        <v>20</v>
      </c>
      <c r="M1226" s="1" t="s">
        <v>2588</v>
      </c>
      <c r="N1226" s="2"/>
      <c r="O1226" s="2"/>
      <c r="P1226" s="2"/>
      <c r="Q1226" s="2"/>
    </row>
    <row x14ac:dyDescent="0.25" r="1227" customHeight="1" ht="17.25">
      <c r="A1227" s="1" t="s">
        <v>5008</v>
      </c>
      <c r="B1227" s="1" t="s">
        <v>2590</v>
      </c>
      <c r="C1227" s="1" t="s">
        <v>3576</v>
      </c>
      <c r="D1227" s="1" t="s">
        <v>20</v>
      </c>
      <c r="E1227" s="1" t="s">
        <v>4250</v>
      </c>
      <c r="F1227" s="1" t="s">
        <v>4251</v>
      </c>
      <c r="G1227" s="1" t="s">
        <v>4252</v>
      </c>
      <c r="H1227" s="2"/>
      <c r="I1227" s="5">
        <f>XLOOKUP(K1227, pharmaceutical_index!B:B, pharmaceutical_index!A:A, "Not Found")</f>
      </c>
      <c r="J1227" s="1" t="s">
        <v>2590</v>
      </c>
      <c r="K1227" s="1" t="s">
        <v>2590</v>
      </c>
      <c r="L1227" s="1" t="s">
        <v>20</v>
      </c>
      <c r="M1227" s="1" t="s">
        <v>2590</v>
      </c>
      <c r="N1227" s="2"/>
      <c r="O1227" s="2"/>
      <c r="P1227" s="2"/>
      <c r="Q1227" s="2"/>
    </row>
    <row x14ac:dyDescent="0.25" r="1228" customHeight="1" ht="17.25">
      <c r="A1228" s="1" t="s">
        <v>5009</v>
      </c>
      <c r="B1228" s="1" t="s">
        <v>2592</v>
      </c>
      <c r="C1228" s="1" t="s">
        <v>3576</v>
      </c>
      <c r="D1228" s="1" t="s">
        <v>20</v>
      </c>
      <c r="E1228" s="1" t="s">
        <v>4250</v>
      </c>
      <c r="F1228" s="1" t="s">
        <v>4251</v>
      </c>
      <c r="G1228" s="1" t="s">
        <v>4252</v>
      </c>
      <c r="H1228" s="2"/>
      <c r="I1228" s="5">
        <f>XLOOKUP(K1228, pharmaceutical_index!B:B, pharmaceutical_index!A:A, "Not Found")</f>
      </c>
      <c r="J1228" s="1" t="s">
        <v>2592</v>
      </c>
      <c r="K1228" s="1" t="s">
        <v>2592</v>
      </c>
      <c r="L1228" s="1" t="s">
        <v>20</v>
      </c>
      <c r="M1228" s="1" t="s">
        <v>2592</v>
      </c>
      <c r="N1228" s="2"/>
      <c r="O1228" s="2"/>
      <c r="P1228" s="2"/>
      <c r="Q1228" s="2"/>
    </row>
    <row x14ac:dyDescent="0.25" r="1229" customHeight="1" ht="17.25">
      <c r="A1229" s="1" t="s">
        <v>5010</v>
      </c>
      <c r="B1229" s="1" t="s">
        <v>2594</v>
      </c>
      <c r="C1229" s="1" t="s">
        <v>3576</v>
      </c>
      <c r="D1229" s="1" t="s">
        <v>20</v>
      </c>
      <c r="E1229" s="1" t="s">
        <v>4250</v>
      </c>
      <c r="F1229" s="1" t="s">
        <v>4251</v>
      </c>
      <c r="G1229" s="1" t="s">
        <v>4252</v>
      </c>
      <c r="H1229" s="2"/>
      <c r="I1229" s="5">
        <f>XLOOKUP(K1229, pharmaceutical_index!B:B, pharmaceutical_index!A:A, "Not Found")</f>
      </c>
      <c r="J1229" s="1" t="s">
        <v>2594</v>
      </c>
      <c r="K1229" s="1" t="s">
        <v>2594</v>
      </c>
      <c r="L1229" s="1" t="s">
        <v>20</v>
      </c>
      <c r="M1229" s="1" t="s">
        <v>2594</v>
      </c>
      <c r="N1229" s="2"/>
      <c r="O1229" s="2"/>
      <c r="P1229" s="2"/>
      <c r="Q1229" s="2"/>
    </row>
    <row x14ac:dyDescent="0.25" r="1230" customHeight="1" ht="17.25">
      <c r="A1230" s="1" t="s">
        <v>5011</v>
      </c>
      <c r="B1230" s="1" t="s">
        <v>2596</v>
      </c>
      <c r="C1230" s="1" t="s">
        <v>3576</v>
      </c>
      <c r="D1230" s="1" t="s">
        <v>20</v>
      </c>
      <c r="E1230" s="1" t="s">
        <v>4250</v>
      </c>
      <c r="F1230" s="1" t="s">
        <v>4251</v>
      </c>
      <c r="G1230" s="1" t="s">
        <v>4252</v>
      </c>
      <c r="H1230" s="2"/>
      <c r="I1230" s="5">
        <f>XLOOKUP(K1230, pharmaceutical_index!B:B, pharmaceutical_index!A:A, "Not Found")</f>
      </c>
      <c r="J1230" s="1" t="s">
        <v>2596</v>
      </c>
      <c r="K1230" s="1" t="s">
        <v>2596</v>
      </c>
      <c r="L1230" s="1" t="s">
        <v>20</v>
      </c>
      <c r="M1230" s="1" t="s">
        <v>2596</v>
      </c>
      <c r="N1230" s="2"/>
      <c r="O1230" s="2"/>
      <c r="P1230" s="2"/>
      <c r="Q1230" s="2"/>
    </row>
    <row x14ac:dyDescent="0.25" r="1231" customHeight="1" ht="17.25">
      <c r="A1231" s="1" t="s">
        <v>5012</v>
      </c>
      <c r="B1231" s="1" t="s">
        <v>2598</v>
      </c>
      <c r="C1231" s="1" t="s">
        <v>3576</v>
      </c>
      <c r="D1231" s="1" t="s">
        <v>20</v>
      </c>
      <c r="E1231" s="1" t="s">
        <v>4250</v>
      </c>
      <c r="F1231" s="1" t="s">
        <v>4251</v>
      </c>
      <c r="G1231" s="1" t="s">
        <v>4252</v>
      </c>
      <c r="H1231" s="2"/>
      <c r="I1231" s="5">
        <f>XLOOKUP(K1231, pharmaceutical_index!B:B, pharmaceutical_index!A:A, "Not Found")</f>
      </c>
      <c r="J1231" s="1" t="s">
        <v>2598</v>
      </c>
      <c r="K1231" s="1" t="s">
        <v>2598</v>
      </c>
      <c r="L1231" s="1" t="s">
        <v>20</v>
      </c>
      <c r="M1231" s="1" t="s">
        <v>2598</v>
      </c>
      <c r="N1231" s="2"/>
      <c r="O1231" s="2"/>
      <c r="P1231" s="2"/>
      <c r="Q1231" s="2"/>
    </row>
    <row x14ac:dyDescent="0.25" r="1232" customHeight="1" ht="17.25">
      <c r="A1232" s="1" t="s">
        <v>5013</v>
      </c>
      <c r="B1232" s="1" t="s">
        <v>2600</v>
      </c>
      <c r="C1232" s="1" t="s">
        <v>3576</v>
      </c>
      <c r="D1232" s="1" t="s">
        <v>20</v>
      </c>
      <c r="E1232" s="1" t="s">
        <v>4250</v>
      </c>
      <c r="F1232" s="1" t="s">
        <v>4251</v>
      </c>
      <c r="G1232" s="1" t="s">
        <v>4252</v>
      </c>
      <c r="H1232" s="2"/>
      <c r="I1232" s="5">
        <f>XLOOKUP(K1232, pharmaceutical_index!B:B, pharmaceutical_index!A:A, "Not Found")</f>
      </c>
      <c r="J1232" s="1" t="s">
        <v>2600</v>
      </c>
      <c r="K1232" s="1" t="s">
        <v>2600</v>
      </c>
      <c r="L1232" s="1" t="s">
        <v>20</v>
      </c>
      <c r="M1232" s="1" t="s">
        <v>2600</v>
      </c>
      <c r="N1232" s="2"/>
      <c r="O1232" s="2"/>
      <c r="P1232" s="2"/>
      <c r="Q1232" s="2"/>
    </row>
    <row x14ac:dyDescent="0.25" r="1233" customHeight="1" ht="17.25">
      <c r="A1233" s="1" t="s">
        <v>5014</v>
      </c>
      <c r="B1233" s="1" t="s">
        <v>2602</v>
      </c>
      <c r="C1233" s="1" t="s">
        <v>3576</v>
      </c>
      <c r="D1233" s="1" t="s">
        <v>20</v>
      </c>
      <c r="E1233" s="1" t="s">
        <v>4250</v>
      </c>
      <c r="F1233" s="1" t="s">
        <v>4251</v>
      </c>
      <c r="G1233" s="1" t="s">
        <v>4252</v>
      </c>
      <c r="H1233" s="2"/>
      <c r="I1233" s="5">
        <f>XLOOKUP(K1233, pharmaceutical_index!B:B, pharmaceutical_index!A:A, "Not Found")</f>
      </c>
      <c r="J1233" s="1" t="s">
        <v>2602</v>
      </c>
      <c r="K1233" s="1" t="s">
        <v>2602</v>
      </c>
      <c r="L1233" s="1" t="s">
        <v>20</v>
      </c>
      <c r="M1233" s="1" t="s">
        <v>2602</v>
      </c>
      <c r="N1233" s="2"/>
      <c r="O1233" s="2"/>
      <c r="P1233" s="2"/>
      <c r="Q1233" s="2"/>
    </row>
    <row x14ac:dyDescent="0.25" r="1234" customHeight="1" ht="17.25">
      <c r="A1234" s="1" t="s">
        <v>5015</v>
      </c>
      <c r="B1234" s="1" t="s">
        <v>2604</v>
      </c>
      <c r="C1234" s="1" t="s">
        <v>3576</v>
      </c>
      <c r="D1234" s="1" t="s">
        <v>20</v>
      </c>
      <c r="E1234" s="1" t="s">
        <v>4250</v>
      </c>
      <c r="F1234" s="1" t="s">
        <v>4251</v>
      </c>
      <c r="G1234" s="1" t="s">
        <v>4252</v>
      </c>
      <c r="H1234" s="2"/>
      <c r="I1234" s="5">
        <f>XLOOKUP(K1234, pharmaceutical_index!B:B, pharmaceutical_index!A:A, "Not Found")</f>
      </c>
      <c r="J1234" s="1" t="s">
        <v>2604</v>
      </c>
      <c r="K1234" s="1" t="s">
        <v>2604</v>
      </c>
      <c r="L1234" s="1" t="s">
        <v>20</v>
      </c>
      <c r="M1234" s="1" t="s">
        <v>2604</v>
      </c>
      <c r="N1234" s="2"/>
      <c r="O1234" s="2"/>
      <c r="P1234" s="2"/>
      <c r="Q1234" s="2"/>
    </row>
    <row x14ac:dyDescent="0.25" r="1235" customHeight="1" ht="17.25">
      <c r="A1235" s="1" t="s">
        <v>5016</v>
      </c>
      <c r="B1235" s="1" t="s">
        <v>2606</v>
      </c>
      <c r="C1235" s="1" t="s">
        <v>3576</v>
      </c>
      <c r="D1235" s="1" t="s">
        <v>20</v>
      </c>
      <c r="E1235" s="1" t="s">
        <v>4250</v>
      </c>
      <c r="F1235" s="1" t="s">
        <v>4251</v>
      </c>
      <c r="G1235" s="1" t="s">
        <v>4252</v>
      </c>
      <c r="H1235" s="2"/>
      <c r="I1235" s="5">
        <f>XLOOKUP(K1235, pharmaceutical_index!B:B, pharmaceutical_index!A:A, "Not Found")</f>
      </c>
      <c r="J1235" s="1" t="s">
        <v>2606</v>
      </c>
      <c r="K1235" s="1" t="s">
        <v>2606</v>
      </c>
      <c r="L1235" s="1" t="s">
        <v>20</v>
      </c>
      <c r="M1235" s="1" t="s">
        <v>2606</v>
      </c>
      <c r="N1235" s="2"/>
      <c r="O1235" s="2"/>
      <c r="P1235" s="2"/>
      <c r="Q1235" s="2"/>
    </row>
    <row x14ac:dyDescent="0.25" r="1236" customHeight="1" ht="17.25">
      <c r="A1236" s="1" t="s">
        <v>5017</v>
      </c>
      <c r="B1236" s="1" t="s">
        <v>2608</v>
      </c>
      <c r="C1236" s="1" t="s">
        <v>3576</v>
      </c>
      <c r="D1236" s="1" t="s">
        <v>20</v>
      </c>
      <c r="E1236" s="1" t="s">
        <v>4250</v>
      </c>
      <c r="F1236" s="1" t="s">
        <v>4251</v>
      </c>
      <c r="G1236" s="1" t="s">
        <v>4252</v>
      </c>
      <c r="H1236" s="2"/>
      <c r="I1236" s="5">
        <f>XLOOKUP(K1236, pharmaceutical_index!B:B, pharmaceutical_index!A:A, "Not Found")</f>
      </c>
      <c r="J1236" s="1" t="s">
        <v>2608</v>
      </c>
      <c r="K1236" s="1" t="s">
        <v>2608</v>
      </c>
      <c r="L1236" s="1" t="s">
        <v>20</v>
      </c>
      <c r="M1236" s="1" t="s">
        <v>2608</v>
      </c>
      <c r="N1236" s="2"/>
      <c r="O1236" s="2"/>
      <c r="P1236" s="2"/>
      <c r="Q1236" s="2"/>
    </row>
    <row x14ac:dyDescent="0.25" r="1237" customHeight="1" ht="17.25">
      <c r="A1237" s="1" t="s">
        <v>5018</v>
      </c>
      <c r="B1237" s="1" t="s">
        <v>2610</v>
      </c>
      <c r="C1237" s="1" t="s">
        <v>3576</v>
      </c>
      <c r="D1237" s="1" t="s">
        <v>20</v>
      </c>
      <c r="E1237" s="1" t="s">
        <v>4250</v>
      </c>
      <c r="F1237" s="1" t="s">
        <v>4251</v>
      </c>
      <c r="G1237" s="1" t="s">
        <v>4252</v>
      </c>
      <c r="H1237" s="2"/>
      <c r="I1237" s="5">
        <f>XLOOKUP(K1237, pharmaceutical_index!B:B, pharmaceutical_index!A:A, "Not Found")</f>
      </c>
      <c r="J1237" s="1" t="s">
        <v>2610</v>
      </c>
      <c r="K1237" s="1" t="s">
        <v>2610</v>
      </c>
      <c r="L1237" s="1" t="s">
        <v>20</v>
      </c>
      <c r="M1237" s="1" t="s">
        <v>2610</v>
      </c>
      <c r="N1237" s="2"/>
      <c r="O1237" s="2"/>
      <c r="P1237" s="2"/>
      <c r="Q1237" s="2"/>
    </row>
    <row x14ac:dyDescent="0.25" r="1238" customHeight="1" ht="17.25">
      <c r="A1238" s="1" t="s">
        <v>5019</v>
      </c>
      <c r="B1238" s="1" t="s">
        <v>2612</v>
      </c>
      <c r="C1238" s="1" t="s">
        <v>3576</v>
      </c>
      <c r="D1238" s="1" t="s">
        <v>20</v>
      </c>
      <c r="E1238" s="1" t="s">
        <v>4250</v>
      </c>
      <c r="F1238" s="1" t="s">
        <v>4251</v>
      </c>
      <c r="G1238" s="1" t="s">
        <v>4252</v>
      </c>
      <c r="H1238" s="2"/>
      <c r="I1238" s="5">
        <f>XLOOKUP(K1238, pharmaceutical_index!B:B, pharmaceutical_index!A:A, "Not Found")</f>
      </c>
      <c r="J1238" s="1" t="s">
        <v>2612</v>
      </c>
      <c r="K1238" s="1" t="s">
        <v>2612</v>
      </c>
      <c r="L1238" s="1" t="s">
        <v>20</v>
      </c>
      <c r="M1238" s="1" t="s">
        <v>2612</v>
      </c>
      <c r="N1238" s="2"/>
      <c r="O1238" s="2"/>
      <c r="P1238" s="2"/>
      <c r="Q1238" s="2"/>
    </row>
    <row x14ac:dyDescent="0.25" r="1239" customHeight="1" ht="17.25">
      <c r="A1239" s="1" t="s">
        <v>5020</v>
      </c>
      <c r="B1239" s="1" t="s">
        <v>2614</v>
      </c>
      <c r="C1239" s="1" t="s">
        <v>3576</v>
      </c>
      <c r="D1239" s="1" t="s">
        <v>20</v>
      </c>
      <c r="E1239" s="1" t="s">
        <v>4250</v>
      </c>
      <c r="F1239" s="1" t="s">
        <v>4251</v>
      </c>
      <c r="G1239" s="1" t="s">
        <v>4252</v>
      </c>
      <c r="H1239" s="2"/>
      <c r="I1239" s="5">
        <f>XLOOKUP(K1239, pharmaceutical_index!B:B, pharmaceutical_index!A:A, "Not Found")</f>
      </c>
      <c r="J1239" s="1" t="s">
        <v>2614</v>
      </c>
      <c r="K1239" s="1" t="s">
        <v>2614</v>
      </c>
      <c r="L1239" s="1" t="s">
        <v>20</v>
      </c>
      <c r="M1239" s="1" t="s">
        <v>2614</v>
      </c>
      <c r="N1239" s="2"/>
      <c r="O1239" s="2"/>
      <c r="P1239" s="2"/>
      <c r="Q1239" s="2"/>
    </row>
    <row x14ac:dyDescent="0.25" r="1240" customHeight="1" ht="17.25">
      <c r="A1240" s="1" t="s">
        <v>5021</v>
      </c>
      <c r="B1240" s="1" t="s">
        <v>2616</v>
      </c>
      <c r="C1240" s="1" t="s">
        <v>3576</v>
      </c>
      <c r="D1240" s="1" t="s">
        <v>20</v>
      </c>
      <c r="E1240" s="1" t="s">
        <v>4250</v>
      </c>
      <c r="F1240" s="1" t="s">
        <v>4251</v>
      </c>
      <c r="G1240" s="1" t="s">
        <v>4252</v>
      </c>
      <c r="H1240" s="2"/>
      <c r="I1240" s="5">
        <f>XLOOKUP(K1240, pharmaceutical_index!B:B, pharmaceutical_index!A:A, "Not Found")</f>
      </c>
      <c r="J1240" s="1" t="s">
        <v>2616</v>
      </c>
      <c r="K1240" s="1" t="s">
        <v>2616</v>
      </c>
      <c r="L1240" s="1" t="s">
        <v>20</v>
      </c>
      <c r="M1240" s="1" t="s">
        <v>2616</v>
      </c>
      <c r="N1240" s="2"/>
      <c r="O1240" s="2"/>
      <c r="P1240" s="2"/>
      <c r="Q1240" s="2"/>
    </row>
    <row x14ac:dyDescent="0.25" r="1241" customHeight="1" ht="17.25">
      <c r="A1241" s="1" t="s">
        <v>5022</v>
      </c>
      <c r="B1241" s="1" t="s">
        <v>2618</v>
      </c>
      <c r="C1241" s="1" t="s">
        <v>3576</v>
      </c>
      <c r="D1241" s="1" t="s">
        <v>20</v>
      </c>
      <c r="E1241" s="1" t="s">
        <v>4250</v>
      </c>
      <c r="F1241" s="1" t="s">
        <v>4251</v>
      </c>
      <c r="G1241" s="1" t="s">
        <v>4252</v>
      </c>
      <c r="H1241" s="2"/>
      <c r="I1241" s="5">
        <f>XLOOKUP(K1241, pharmaceutical_index!B:B, pharmaceutical_index!A:A, "Not Found")</f>
      </c>
      <c r="J1241" s="1" t="s">
        <v>2618</v>
      </c>
      <c r="K1241" s="1" t="s">
        <v>2618</v>
      </c>
      <c r="L1241" s="1" t="s">
        <v>20</v>
      </c>
      <c r="M1241" s="1" t="s">
        <v>2618</v>
      </c>
      <c r="N1241" s="2"/>
      <c r="O1241" s="2"/>
      <c r="P1241" s="2"/>
      <c r="Q1241" s="2"/>
    </row>
    <row x14ac:dyDescent="0.25" r="1242" customHeight="1" ht="17.25">
      <c r="A1242" s="1" t="s">
        <v>5023</v>
      </c>
      <c r="B1242" s="1" t="s">
        <v>2620</v>
      </c>
      <c r="C1242" s="1" t="s">
        <v>3576</v>
      </c>
      <c r="D1242" s="1" t="s">
        <v>20</v>
      </c>
      <c r="E1242" s="1" t="s">
        <v>4250</v>
      </c>
      <c r="F1242" s="1" t="s">
        <v>4251</v>
      </c>
      <c r="G1242" s="1" t="s">
        <v>4252</v>
      </c>
      <c r="H1242" s="2"/>
      <c r="I1242" s="5">
        <f>XLOOKUP(K1242, pharmaceutical_index!B:B, pharmaceutical_index!A:A, "Not Found")</f>
      </c>
      <c r="J1242" s="1" t="s">
        <v>2620</v>
      </c>
      <c r="K1242" s="1" t="s">
        <v>2620</v>
      </c>
      <c r="L1242" s="1" t="s">
        <v>20</v>
      </c>
      <c r="M1242" s="1" t="s">
        <v>2620</v>
      </c>
      <c r="N1242" s="2"/>
      <c r="O1242" s="2"/>
      <c r="P1242" s="2"/>
      <c r="Q1242" s="2"/>
    </row>
    <row x14ac:dyDescent="0.25" r="1243" customHeight="1" ht="17.25">
      <c r="A1243" s="1" t="s">
        <v>5024</v>
      </c>
      <c r="B1243" s="1" t="s">
        <v>2622</v>
      </c>
      <c r="C1243" s="1" t="s">
        <v>3576</v>
      </c>
      <c r="D1243" s="1" t="s">
        <v>20</v>
      </c>
      <c r="E1243" s="1" t="s">
        <v>4250</v>
      </c>
      <c r="F1243" s="1" t="s">
        <v>4251</v>
      </c>
      <c r="G1243" s="1" t="s">
        <v>4252</v>
      </c>
      <c r="H1243" s="2"/>
      <c r="I1243" s="5">
        <f>XLOOKUP(K1243, pharmaceutical_index!B:B, pharmaceutical_index!A:A, "Not Found")</f>
      </c>
      <c r="J1243" s="1" t="s">
        <v>2622</v>
      </c>
      <c r="K1243" s="1" t="s">
        <v>2622</v>
      </c>
      <c r="L1243" s="1" t="s">
        <v>20</v>
      </c>
      <c r="M1243" s="1" t="s">
        <v>2622</v>
      </c>
      <c r="N1243" s="2"/>
      <c r="O1243" s="2"/>
      <c r="P1243" s="2"/>
      <c r="Q1243" s="2"/>
    </row>
    <row x14ac:dyDescent="0.25" r="1244" customHeight="1" ht="17.25">
      <c r="A1244" s="1" t="s">
        <v>5025</v>
      </c>
      <c r="B1244" s="1" t="s">
        <v>2624</v>
      </c>
      <c r="C1244" s="1" t="s">
        <v>3576</v>
      </c>
      <c r="D1244" s="1" t="s">
        <v>20</v>
      </c>
      <c r="E1244" s="1" t="s">
        <v>4250</v>
      </c>
      <c r="F1244" s="1" t="s">
        <v>4251</v>
      </c>
      <c r="G1244" s="1" t="s">
        <v>4252</v>
      </c>
      <c r="H1244" s="2"/>
      <c r="I1244" s="5">
        <f>XLOOKUP(K1244, pharmaceutical_index!B:B, pharmaceutical_index!A:A, "Not Found")</f>
      </c>
      <c r="J1244" s="1" t="s">
        <v>2624</v>
      </c>
      <c r="K1244" s="1" t="s">
        <v>2624</v>
      </c>
      <c r="L1244" s="1" t="s">
        <v>20</v>
      </c>
      <c r="M1244" s="1" t="s">
        <v>2624</v>
      </c>
      <c r="N1244" s="2"/>
      <c r="O1244" s="2"/>
      <c r="P1244" s="2"/>
      <c r="Q1244" s="2"/>
    </row>
    <row x14ac:dyDescent="0.25" r="1245" customHeight="1" ht="17.25">
      <c r="A1245" s="1" t="s">
        <v>5026</v>
      </c>
      <c r="B1245" s="1" t="s">
        <v>2626</v>
      </c>
      <c r="C1245" s="1" t="s">
        <v>3576</v>
      </c>
      <c r="D1245" s="1" t="s">
        <v>20</v>
      </c>
      <c r="E1245" s="1" t="s">
        <v>4250</v>
      </c>
      <c r="F1245" s="1" t="s">
        <v>4251</v>
      </c>
      <c r="G1245" s="1" t="s">
        <v>4252</v>
      </c>
      <c r="H1245" s="2"/>
      <c r="I1245" s="5">
        <f>XLOOKUP(K1245, pharmaceutical_index!B:B, pharmaceutical_index!A:A, "Not Found")</f>
      </c>
      <c r="J1245" s="1" t="s">
        <v>2626</v>
      </c>
      <c r="K1245" s="1" t="s">
        <v>2626</v>
      </c>
      <c r="L1245" s="1" t="s">
        <v>20</v>
      </c>
      <c r="M1245" s="1" t="s">
        <v>2626</v>
      </c>
      <c r="N1245" s="2"/>
      <c r="O1245" s="2"/>
      <c r="P1245" s="2"/>
      <c r="Q1245" s="2"/>
    </row>
    <row x14ac:dyDescent="0.25" r="1246" customHeight="1" ht="17.25">
      <c r="A1246" s="1" t="s">
        <v>5027</v>
      </c>
      <c r="B1246" s="1" t="s">
        <v>2628</v>
      </c>
      <c r="C1246" s="1" t="s">
        <v>3576</v>
      </c>
      <c r="D1246" s="1" t="s">
        <v>20</v>
      </c>
      <c r="E1246" s="1" t="s">
        <v>4250</v>
      </c>
      <c r="F1246" s="1" t="s">
        <v>4251</v>
      </c>
      <c r="G1246" s="1" t="s">
        <v>4252</v>
      </c>
      <c r="H1246" s="2"/>
      <c r="I1246" s="5">
        <f>XLOOKUP(K1246, pharmaceutical_index!B:B, pharmaceutical_index!A:A, "Not Found")</f>
      </c>
      <c r="J1246" s="1" t="s">
        <v>2628</v>
      </c>
      <c r="K1246" s="1" t="s">
        <v>2628</v>
      </c>
      <c r="L1246" s="1" t="s">
        <v>20</v>
      </c>
      <c r="M1246" s="1" t="s">
        <v>2628</v>
      </c>
      <c r="N1246" s="2"/>
      <c r="O1246" s="2"/>
      <c r="P1246" s="2"/>
      <c r="Q1246" s="2"/>
    </row>
    <row x14ac:dyDescent="0.25" r="1247" customHeight="1" ht="17.25">
      <c r="A1247" s="1" t="s">
        <v>5028</v>
      </c>
      <c r="B1247" s="1" t="s">
        <v>2630</v>
      </c>
      <c r="C1247" s="1" t="s">
        <v>3576</v>
      </c>
      <c r="D1247" s="1" t="s">
        <v>20</v>
      </c>
      <c r="E1247" s="1" t="s">
        <v>4250</v>
      </c>
      <c r="F1247" s="1" t="s">
        <v>4251</v>
      </c>
      <c r="G1247" s="1" t="s">
        <v>4252</v>
      </c>
      <c r="H1247" s="2"/>
      <c r="I1247" s="5">
        <f>XLOOKUP(K1247, pharmaceutical_index!B:B, pharmaceutical_index!A:A, "Not Found")</f>
      </c>
      <c r="J1247" s="1" t="s">
        <v>2630</v>
      </c>
      <c r="K1247" s="1" t="s">
        <v>2630</v>
      </c>
      <c r="L1247" s="1" t="s">
        <v>20</v>
      </c>
      <c r="M1247" s="1" t="s">
        <v>2630</v>
      </c>
      <c r="N1247" s="2"/>
      <c r="O1247" s="2"/>
      <c r="P1247" s="2"/>
      <c r="Q1247" s="2"/>
    </row>
    <row x14ac:dyDescent="0.25" r="1248" customHeight="1" ht="17.25">
      <c r="A1248" s="1" t="s">
        <v>5029</v>
      </c>
      <c r="B1248" s="1" t="s">
        <v>2632</v>
      </c>
      <c r="C1248" s="1" t="s">
        <v>3576</v>
      </c>
      <c r="D1248" s="1" t="s">
        <v>20</v>
      </c>
      <c r="E1248" s="1" t="s">
        <v>4250</v>
      </c>
      <c r="F1248" s="1" t="s">
        <v>4251</v>
      </c>
      <c r="G1248" s="1" t="s">
        <v>4252</v>
      </c>
      <c r="H1248" s="2"/>
      <c r="I1248" s="5">
        <f>XLOOKUP(K1248, pharmaceutical_index!B:B, pharmaceutical_index!A:A, "Not Found")</f>
      </c>
      <c r="J1248" s="1" t="s">
        <v>2632</v>
      </c>
      <c r="K1248" s="1" t="s">
        <v>2632</v>
      </c>
      <c r="L1248" s="1" t="s">
        <v>20</v>
      </c>
      <c r="M1248" s="1" t="s">
        <v>2632</v>
      </c>
      <c r="N1248" s="2"/>
      <c r="O1248" s="2"/>
      <c r="P1248" s="2"/>
      <c r="Q1248" s="2"/>
    </row>
    <row x14ac:dyDescent="0.25" r="1249" customHeight="1" ht="17.25">
      <c r="A1249" s="1" t="s">
        <v>5030</v>
      </c>
      <c r="B1249" s="1" t="s">
        <v>2634</v>
      </c>
      <c r="C1249" s="1" t="s">
        <v>3576</v>
      </c>
      <c r="D1249" s="1" t="s">
        <v>20</v>
      </c>
      <c r="E1249" s="1" t="s">
        <v>4250</v>
      </c>
      <c r="F1249" s="1" t="s">
        <v>4251</v>
      </c>
      <c r="G1249" s="1" t="s">
        <v>4252</v>
      </c>
      <c r="H1249" s="2"/>
      <c r="I1249" s="5">
        <f>XLOOKUP(K1249, pharmaceutical_index!B:B, pharmaceutical_index!A:A, "Not Found")</f>
      </c>
      <c r="J1249" s="1" t="s">
        <v>2634</v>
      </c>
      <c r="K1249" s="1" t="s">
        <v>2634</v>
      </c>
      <c r="L1249" s="1" t="s">
        <v>20</v>
      </c>
      <c r="M1249" s="1" t="s">
        <v>2634</v>
      </c>
      <c r="N1249" s="2"/>
      <c r="O1249" s="2"/>
      <c r="P1249" s="2"/>
      <c r="Q1249" s="2"/>
    </row>
    <row x14ac:dyDescent="0.25" r="1250" customHeight="1" ht="17.25">
      <c r="A1250" s="1" t="s">
        <v>5031</v>
      </c>
      <c r="B1250" s="1" t="s">
        <v>2636</v>
      </c>
      <c r="C1250" s="1" t="s">
        <v>3576</v>
      </c>
      <c r="D1250" s="1" t="s">
        <v>20</v>
      </c>
      <c r="E1250" s="1" t="s">
        <v>4250</v>
      </c>
      <c r="F1250" s="1" t="s">
        <v>4251</v>
      </c>
      <c r="G1250" s="1" t="s">
        <v>4252</v>
      </c>
      <c r="H1250" s="2"/>
      <c r="I1250" s="5">
        <f>XLOOKUP(K1250, pharmaceutical_index!B:B, pharmaceutical_index!A:A, "Not Found")</f>
      </c>
      <c r="J1250" s="1" t="s">
        <v>2636</v>
      </c>
      <c r="K1250" s="1" t="s">
        <v>2636</v>
      </c>
      <c r="L1250" s="1" t="s">
        <v>20</v>
      </c>
      <c r="M1250" s="1" t="s">
        <v>2636</v>
      </c>
      <c r="N1250" s="2"/>
      <c r="O1250" s="2"/>
      <c r="P1250" s="2"/>
      <c r="Q1250" s="2"/>
    </row>
    <row x14ac:dyDescent="0.25" r="1251" customHeight="1" ht="17.25">
      <c r="A1251" s="1" t="s">
        <v>5032</v>
      </c>
      <c r="B1251" s="1" t="s">
        <v>2638</v>
      </c>
      <c r="C1251" s="1" t="s">
        <v>3576</v>
      </c>
      <c r="D1251" s="1" t="s">
        <v>20</v>
      </c>
      <c r="E1251" s="1" t="s">
        <v>4250</v>
      </c>
      <c r="F1251" s="1" t="s">
        <v>4251</v>
      </c>
      <c r="G1251" s="1" t="s">
        <v>4252</v>
      </c>
      <c r="H1251" s="2"/>
      <c r="I1251" s="5">
        <f>XLOOKUP(K1251, pharmaceutical_index!B:B, pharmaceutical_index!A:A, "Not Found")</f>
      </c>
      <c r="J1251" s="1" t="s">
        <v>2638</v>
      </c>
      <c r="K1251" s="1" t="s">
        <v>2638</v>
      </c>
      <c r="L1251" s="1" t="s">
        <v>20</v>
      </c>
      <c r="M1251" s="1" t="s">
        <v>2638</v>
      </c>
      <c r="N1251" s="2"/>
      <c r="O1251" s="2"/>
      <c r="P1251" s="2"/>
      <c r="Q1251" s="2"/>
    </row>
    <row x14ac:dyDescent="0.25" r="1252" customHeight="1" ht="17.25">
      <c r="A1252" s="1" t="s">
        <v>5033</v>
      </c>
      <c r="B1252" s="1" t="s">
        <v>2640</v>
      </c>
      <c r="C1252" s="1" t="s">
        <v>3576</v>
      </c>
      <c r="D1252" s="1" t="s">
        <v>20</v>
      </c>
      <c r="E1252" s="1" t="s">
        <v>4250</v>
      </c>
      <c r="F1252" s="1" t="s">
        <v>4251</v>
      </c>
      <c r="G1252" s="1" t="s">
        <v>4252</v>
      </c>
      <c r="H1252" s="2"/>
      <c r="I1252" s="5">
        <f>XLOOKUP(K1252, pharmaceutical_index!B:B, pharmaceutical_index!A:A, "Not Found")</f>
      </c>
      <c r="J1252" s="1" t="s">
        <v>2640</v>
      </c>
      <c r="K1252" s="1" t="s">
        <v>2640</v>
      </c>
      <c r="L1252" s="1" t="s">
        <v>20</v>
      </c>
      <c r="M1252" s="1" t="s">
        <v>2640</v>
      </c>
      <c r="N1252" s="2"/>
      <c r="O1252" s="2"/>
      <c r="P1252" s="2"/>
      <c r="Q1252" s="2"/>
    </row>
    <row x14ac:dyDescent="0.25" r="1253" customHeight="1" ht="17.25">
      <c r="A1253" s="1" t="s">
        <v>5034</v>
      </c>
      <c r="B1253" s="1" t="s">
        <v>2642</v>
      </c>
      <c r="C1253" s="1" t="s">
        <v>3576</v>
      </c>
      <c r="D1253" s="1" t="s">
        <v>20</v>
      </c>
      <c r="E1253" s="1" t="s">
        <v>4250</v>
      </c>
      <c r="F1253" s="1" t="s">
        <v>4251</v>
      </c>
      <c r="G1253" s="1" t="s">
        <v>4252</v>
      </c>
      <c r="H1253" s="2"/>
      <c r="I1253" s="5">
        <f>XLOOKUP(K1253, pharmaceutical_index!B:B, pharmaceutical_index!A:A, "Not Found")</f>
      </c>
      <c r="J1253" s="1" t="s">
        <v>2642</v>
      </c>
      <c r="K1253" s="1" t="s">
        <v>2642</v>
      </c>
      <c r="L1253" s="1" t="s">
        <v>20</v>
      </c>
      <c r="M1253" s="1" t="s">
        <v>2642</v>
      </c>
      <c r="N1253" s="2"/>
      <c r="O1253" s="2"/>
      <c r="P1253" s="2"/>
      <c r="Q1253" s="2"/>
    </row>
    <row x14ac:dyDescent="0.25" r="1254" customHeight="1" ht="17.25">
      <c r="A1254" s="1" t="s">
        <v>5035</v>
      </c>
      <c r="B1254" s="1" t="s">
        <v>2644</v>
      </c>
      <c r="C1254" s="1" t="s">
        <v>3576</v>
      </c>
      <c r="D1254" s="1" t="s">
        <v>20</v>
      </c>
      <c r="E1254" s="1" t="s">
        <v>4250</v>
      </c>
      <c r="F1254" s="1" t="s">
        <v>4251</v>
      </c>
      <c r="G1254" s="1" t="s">
        <v>4252</v>
      </c>
      <c r="H1254" s="2"/>
      <c r="I1254" s="5">
        <f>XLOOKUP(K1254, pharmaceutical_index!B:B, pharmaceutical_index!A:A, "Not Found")</f>
      </c>
      <c r="J1254" s="1" t="s">
        <v>2644</v>
      </c>
      <c r="K1254" s="1" t="s">
        <v>2644</v>
      </c>
      <c r="L1254" s="1" t="s">
        <v>20</v>
      </c>
      <c r="M1254" s="1" t="s">
        <v>2644</v>
      </c>
      <c r="N1254" s="2"/>
      <c r="O1254" s="2"/>
      <c r="P1254" s="2"/>
      <c r="Q1254" s="2"/>
    </row>
    <row x14ac:dyDescent="0.25" r="1255" customHeight="1" ht="17.25">
      <c r="A1255" s="1" t="s">
        <v>5036</v>
      </c>
      <c r="B1255" s="1" t="s">
        <v>2646</v>
      </c>
      <c r="C1255" s="1" t="s">
        <v>3576</v>
      </c>
      <c r="D1255" s="1" t="s">
        <v>20</v>
      </c>
      <c r="E1255" s="1" t="s">
        <v>4250</v>
      </c>
      <c r="F1255" s="1" t="s">
        <v>4251</v>
      </c>
      <c r="G1255" s="1" t="s">
        <v>4252</v>
      </c>
      <c r="H1255" s="2"/>
      <c r="I1255" s="5">
        <f>XLOOKUP(K1255, pharmaceutical_index!B:B, pharmaceutical_index!A:A, "Not Found")</f>
      </c>
      <c r="J1255" s="1" t="s">
        <v>2646</v>
      </c>
      <c r="K1255" s="1" t="s">
        <v>2646</v>
      </c>
      <c r="L1255" s="1" t="s">
        <v>20</v>
      </c>
      <c r="M1255" s="1" t="s">
        <v>2646</v>
      </c>
      <c r="N1255" s="2"/>
      <c r="O1255" s="2"/>
      <c r="P1255" s="2"/>
      <c r="Q1255" s="2"/>
    </row>
    <row x14ac:dyDescent="0.25" r="1256" customHeight="1" ht="17.25">
      <c r="A1256" s="1" t="s">
        <v>5037</v>
      </c>
      <c r="B1256" s="1" t="s">
        <v>2648</v>
      </c>
      <c r="C1256" s="1" t="s">
        <v>3576</v>
      </c>
      <c r="D1256" s="1" t="s">
        <v>20</v>
      </c>
      <c r="E1256" s="1" t="s">
        <v>4250</v>
      </c>
      <c r="F1256" s="1" t="s">
        <v>4251</v>
      </c>
      <c r="G1256" s="1" t="s">
        <v>4252</v>
      </c>
      <c r="H1256" s="2"/>
      <c r="I1256" s="5">
        <f>XLOOKUP(K1256, pharmaceutical_index!B:B, pharmaceutical_index!A:A, "Not Found")</f>
      </c>
      <c r="J1256" s="1" t="s">
        <v>2648</v>
      </c>
      <c r="K1256" s="1" t="s">
        <v>2648</v>
      </c>
      <c r="L1256" s="1" t="s">
        <v>20</v>
      </c>
      <c r="M1256" s="1" t="s">
        <v>2648</v>
      </c>
      <c r="N1256" s="2"/>
      <c r="O1256" s="2"/>
      <c r="P1256" s="2"/>
      <c r="Q1256" s="2"/>
    </row>
    <row x14ac:dyDescent="0.25" r="1257" customHeight="1" ht="17.25">
      <c r="A1257" s="1" t="s">
        <v>5038</v>
      </c>
      <c r="B1257" s="1" t="s">
        <v>2650</v>
      </c>
      <c r="C1257" s="1" t="s">
        <v>3576</v>
      </c>
      <c r="D1257" s="1" t="s">
        <v>20</v>
      </c>
      <c r="E1257" s="1" t="s">
        <v>4250</v>
      </c>
      <c r="F1257" s="1" t="s">
        <v>4251</v>
      </c>
      <c r="G1257" s="1" t="s">
        <v>4252</v>
      </c>
      <c r="H1257" s="2"/>
      <c r="I1257" s="5">
        <f>XLOOKUP(K1257, pharmaceutical_index!B:B, pharmaceutical_index!A:A, "Not Found")</f>
      </c>
      <c r="J1257" s="1" t="s">
        <v>2650</v>
      </c>
      <c r="K1257" s="1" t="s">
        <v>2650</v>
      </c>
      <c r="L1257" s="1" t="s">
        <v>20</v>
      </c>
      <c r="M1257" s="1" t="s">
        <v>2650</v>
      </c>
      <c r="N1257" s="2"/>
      <c r="O1257" s="2"/>
      <c r="P1257" s="2"/>
      <c r="Q1257" s="2"/>
    </row>
    <row x14ac:dyDescent="0.25" r="1258" customHeight="1" ht="17.25">
      <c r="A1258" s="1" t="s">
        <v>5039</v>
      </c>
      <c r="B1258" s="1" t="s">
        <v>2652</v>
      </c>
      <c r="C1258" s="1" t="s">
        <v>3576</v>
      </c>
      <c r="D1258" s="1" t="s">
        <v>20</v>
      </c>
      <c r="E1258" s="1" t="s">
        <v>4250</v>
      </c>
      <c r="F1258" s="1" t="s">
        <v>4251</v>
      </c>
      <c r="G1258" s="1" t="s">
        <v>4252</v>
      </c>
      <c r="H1258" s="2"/>
      <c r="I1258" s="5">
        <f>XLOOKUP(K1258, pharmaceutical_index!B:B, pharmaceutical_index!A:A, "Not Found")</f>
      </c>
      <c r="J1258" s="1" t="s">
        <v>2652</v>
      </c>
      <c r="K1258" s="1" t="s">
        <v>2652</v>
      </c>
      <c r="L1258" s="1" t="s">
        <v>20</v>
      </c>
      <c r="M1258" s="1" t="s">
        <v>2652</v>
      </c>
      <c r="N1258" s="2"/>
      <c r="O1258" s="2"/>
      <c r="P1258" s="2"/>
      <c r="Q1258" s="2"/>
    </row>
    <row x14ac:dyDescent="0.25" r="1259" customHeight="1" ht="17.25">
      <c r="A1259" s="1" t="s">
        <v>5040</v>
      </c>
      <c r="B1259" s="1" t="s">
        <v>2654</v>
      </c>
      <c r="C1259" s="1" t="s">
        <v>3576</v>
      </c>
      <c r="D1259" s="1" t="s">
        <v>20</v>
      </c>
      <c r="E1259" s="1" t="s">
        <v>4250</v>
      </c>
      <c r="F1259" s="1" t="s">
        <v>4251</v>
      </c>
      <c r="G1259" s="1" t="s">
        <v>4252</v>
      </c>
      <c r="H1259" s="2"/>
      <c r="I1259" s="5">
        <f>XLOOKUP(K1259, pharmaceutical_index!B:B, pharmaceutical_index!A:A, "Not Found")</f>
      </c>
      <c r="J1259" s="1" t="s">
        <v>2654</v>
      </c>
      <c r="K1259" s="1" t="s">
        <v>2654</v>
      </c>
      <c r="L1259" s="1" t="s">
        <v>20</v>
      </c>
      <c r="M1259" s="1" t="s">
        <v>2654</v>
      </c>
      <c r="N1259" s="2"/>
      <c r="O1259" s="2"/>
      <c r="P1259" s="2"/>
      <c r="Q1259" s="2"/>
    </row>
    <row x14ac:dyDescent="0.25" r="1260" customHeight="1" ht="17.25">
      <c r="A1260" s="1" t="s">
        <v>5041</v>
      </c>
      <c r="B1260" s="1" t="s">
        <v>2656</v>
      </c>
      <c r="C1260" s="1" t="s">
        <v>3576</v>
      </c>
      <c r="D1260" s="1" t="s">
        <v>20</v>
      </c>
      <c r="E1260" s="1" t="s">
        <v>4250</v>
      </c>
      <c r="F1260" s="1" t="s">
        <v>4251</v>
      </c>
      <c r="G1260" s="1" t="s">
        <v>4252</v>
      </c>
      <c r="H1260" s="2"/>
      <c r="I1260" s="5">
        <f>XLOOKUP(K1260, pharmaceutical_index!B:B, pharmaceutical_index!A:A, "Not Found")</f>
      </c>
      <c r="J1260" s="1" t="s">
        <v>2656</v>
      </c>
      <c r="K1260" s="1" t="s">
        <v>2656</v>
      </c>
      <c r="L1260" s="1" t="s">
        <v>20</v>
      </c>
      <c r="M1260" s="1" t="s">
        <v>2656</v>
      </c>
      <c r="N1260" s="2"/>
      <c r="O1260" s="2"/>
      <c r="P1260" s="2"/>
      <c r="Q1260" s="2"/>
    </row>
    <row x14ac:dyDescent="0.25" r="1261" customHeight="1" ht="17.25">
      <c r="A1261" s="1" t="s">
        <v>5042</v>
      </c>
      <c r="B1261" s="1" t="s">
        <v>2658</v>
      </c>
      <c r="C1261" s="1" t="s">
        <v>3576</v>
      </c>
      <c r="D1261" s="1" t="s">
        <v>20</v>
      </c>
      <c r="E1261" s="1" t="s">
        <v>4250</v>
      </c>
      <c r="F1261" s="1" t="s">
        <v>4251</v>
      </c>
      <c r="G1261" s="1" t="s">
        <v>4252</v>
      </c>
      <c r="H1261" s="2"/>
      <c r="I1261" s="5">
        <f>XLOOKUP(K1261, pharmaceutical_index!B:B, pharmaceutical_index!A:A, "Not Found")</f>
      </c>
      <c r="J1261" s="1" t="s">
        <v>2658</v>
      </c>
      <c r="K1261" s="1" t="s">
        <v>2658</v>
      </c>
      <c r="L1261" s="1" t="s">
        <v>20</v>
      </c>
      <c r="M1261" s="1" t="s">
        <v>2658</v>
      </c>
      <c r="N1261" s="2"/>
      <c r="O1261" s="2"/>
      <c r="P1261" s="2"/>
      <c r="Q1261" s="2"/>
    </row>
    <row x14ac:dyDescent="0.25" r="1262" customHeight="1" ht="17.25">
      <c r="A1262" s="1" t="s">
        <v>5043</v>
      </c>
      <c r="B1262" s="1" t="s">
        <v>2660</v>
      </c>
      <c r="C1262" s="1" t="s">
        <v>3576</v>
      </c>
      <c r="D1262" s="1" t="s">
        <v>20</v>
      </c>
      <c r="E1262" s="1" t="s">
        <v>4250</v>
      </c>
      <c r="F1262" s="1" t="s">
        <v>4251</v>
      </c>
      <c r="G1262" s="1" t="s">
        <v>4252</v>
      </c>
      <c r="H1262" s="2"/>
      <c r="I1262" s="5">
        <f>XLOOKUP(K1262, pharmaceutical_index!B:B, pharmaceutical_index!A:A, "Not Found")</f>
      </c>
      <c r="J1262" s="1" t="s">
        <v>2660</v>
      </c>
      <c r="K1262" s="1" t="s">
        <v>2660</v>
      </c>
      <c r="L1262" s="1" t="s">
        <v>20</v>
      </c>
      <c r="M1262" s="1" t="s">
        <v>2660</v>
      </c>
      <c r="N1262" s="2"/>
      <c r="O1262" s="2"/>
      <c r="P1262" s="2"/>
      <c r="Q1262" s="2"/>
    </row>
    <row x14ac:dyDescent="0.25" r="1263" customHeight="1" ht="17.25">
      <c r="A1263" s="1" t="s">
        <v>5044</v>
      </c>
      <c r="B1263" s="1" t="s">
        <v>2662</v>
      </c>
      <c r="C1263" s="1" t="s">
        <v>3576</v>
      </c>
      <c r="D1263" s="1" t="s">
        <v>20</v>
      </c>
      <c r="E1263" s="1" t="s">
        <v>4250</v>
      </c>
      <c r="F1263" s="1" t="s">
        <v>4251</v>
      </c>
      <c r="G1263" s="1" t="s">
        <v>4252</v>
      </c>
      <c r="H1263" s="2"/>
      <c r="I1263" s="5">
        <f>XLOOKUP(K1263, pharmaceutical_index!B:B, pharmaceutical_index!A:A, "Not Found")</f>
      </c>
      <c r="J1263" s="1" t="s">
        <v>2662</v>
      </c>
      <c r="K1263" s="1" t="s">
        <v>2662</v>
      </c>
      <c r="L1263" s="1" t="s">
        <v>20</v>
      </c>
      <c r="M1263" s="1" t="s">
        <v>2662</v>
      </c>
      <c r="N1263" s="2"/>
      <c r="O1263" s="2"/>
      <c r="P1263" s="2"/>
      <c r="Q1263" s="2"/>
    </row>
    <row x14ac:dyDescent="0.25" r="1264" customHeight="1" ht="17.25">
      <c r="A1264" s="1" t="s">
        <v>5045</v>
      </c>
      <c r="B1264" s="1" t="s">
        <v>2664</v>
      </c>
      <c r="C1264" s="1" t="s">
        <v>3576</v>
      </c>
      <c r="D1264" s="1" t="s">
        <v>20</v>
      </c>
      <c r="E1264" s="1" t="s">
        <v>4250</v>
      </c>
      <c r="F1264" s="1" t="s">
        <v>4251</v>
      </c>
      <c r="G1264" s="1" t="s">
        <v>4252</v>
      </c>
      <c r="H1264" s="2"/>
      <c r="I1264" s="5">
        <f>XLOOKUP(K1264, pharmaceutical_index!B:B, pharmaceutical_index!A:A, "Not Found")</f>
      </c>
      <c r="J1264" s="1" t="s">
        <v>2664</v>
      </c>
      <c r="K1264" s="1" t="s">
        <v>2664</v>
      </c>
      <c r="L1264" s="1" t="s">
        <v>20</v>
      </c>
      <c r="M1264" s="1" t="s">
        <v>2664</v>
      </c>
      <c r="N1264" s="2"/>
      <c r="O1264" s="2"/>
      <c r="P1264" s="2"/>
      <c r="Q1264" s="2"/>
    </row>
    <row x14ac:dyDescent="0.25" r="1265" customHeight="1" ht="17.25">
      <c r="A1265" s="1" t="s">
        <v>5046</v>
      </c>
      <c r="B1265" s="1" t="s">
        <v>2666</v>
      </c>
      <c r="C1265" s="1" t="s">
        <v>3576</v>
      </c>
      <c r="D1265" s="1" t="s">
        <v>20</v>
      </c>
      <c r="E1265" s="1" t="s">
        <v>4250</v>
      </c>
      <c r="F1265" s="1" t="s">
        <v>4251</v>
      </c>
      <c r="G1265" s="1" t="s">
        <v>4252</v>
      </c>
      <c r="H1265" s="2"/>
      <c r="I1265" s="5">
        <f>XLOOKUP(K1265, pharmaceutical_index!B:B, pharmaceutical_index!A:A, "Not Found")</f>
      </c>
      <c r="J1265" s="1" t="s">
        <v>2666</v>
      </c>
      <c r="K1265" s="1" t="s">
        <v>2666</v>
      </c>
      <c r="L1265" s="1" t="s">
        <v>20</v>
      </c>
      <c r="M1265" s="1" t="s">
        <v>2666</v>
      </c>
      <c r="N1265" s="2"/>
      <c r="O1265" s="2"/>
      <c r="P1265" s="2"/>
      <c r="Q1265" s="2"/>
    </row>
    <row x14ac:dyDescent="0.25" r="1266" customHeight="1" ht="17.25">
      <c r="A1266" s="1" t="s">
        <v>5047</v>
      </c>
      <c r="B1266" s="1" t="s">
        <v>2668</v>
      </c>
      <c r="C1266" s="1" t="s">
        <v>3576</v>
      </c>
      <c r="D1266" s="1" t="s">
        <v>20</v>
      </c>
      <c r="E1266" s="1" t="s">
        <v>4250</v>
      </c>
      <c r="F1266" s="1" t="s">
        <v>4251</v>
      </c>
      <c r="G1266" s="1" t="s">
        <v>4252</v>
      </c>
      <c r="H1266" s="2"/>
      <c r="I1266" s="5">
        <f>XLOOKUP(K1266, pharmaceutical_index!B:B, pharmaceutical_index!A:A, "Not Found")</f>
      </c>
      <c r="J1266" s="1" t="s">
        <v>2668</v>
      </c>
      <c r="K1266" s="1" t="s">
        <v>2668</v>
      </c>
      <c r="L1266" s="1" t="s">
        <v>20</v>
      </c>
      <c r="M1266" s="1" t="s">
        <v>2668</v>
      </c>
      <c r="N1266" s="2"/>
      <c r="O1266" s="2"/>
      <c r="P1266" s="2"/>
      <c r="Q1266" s="2"/>
    </row>
    <row x14ac:dyDescent="0.25" r="1267" customHeight="1" ht="17.25">
      <c r="A1267" s="1" t="s">
        <v>5048</v>
      </c>
      <c r="B1267" s="1" t="s">
        <v>2670</v>
      </c>
      <c r="C1267" s="1" t="s">
        <v>3576</v>
      </c>
      <c r="D1267" s="1" t="s">
        <v>20</v>
      </c>
      <c r="E1267" s="1" t="s">
        <v>4250</v>
      </c>
      <c r="F1267" s="1" t="s">
        <v>4251</v>
      </c>
      <c r="G1267" s="1" t="s">
        <v>4252</v>
      </c>
      <c r="H1267" s="2"/>
      <c r="I1267" s="5">
        <f>XLOOKUP(K1267, pharmaceutical_index!B:B, pharmaceutical_index!A:A, "Not Found")</f>
      </c>
      <c r="J1267" s="1" t="s">
        <v>2670</v>
      </c>
      <c r="K1267" s="1" t="s">
        <v>2670</v>
      </c>
      <c r="L1267" s="1" t="s">
        <v>20</v>
      </c>
      <c r="M1267" s="1" t="s">
        <v>2670</v>
      </c>
      <c r="N1267" s="2"/>
      <c r="O1267" s="2"/>
      <c r="P1267" s="2"/>
      <c r="Q1267" s="2"/>
    </row>
    <row x14ac:dyDescent="0.25" r="1268" customHeight="1" ht="17.25">
      <c r="A1268" s="1" t="s">
        <v>5049</v>
      </c>
      <c r="B1268" s="1" t="s">
        <v>2672</v>
      </c>
      <c r="C1268" s="1" t="s">
        <v>3576</v>
      </c>
      <c r="D1268" s="1" t="s">
        <v>20</v>
      </c>
      <c r="E1268" s="1" t="s">
        <v>4250</v>
      </c>
      <c r="F1268" s="1" t="s">
        <v>4251</v>
      </c>
      <c r="G1268" s="1" t="s">
        <v>4252</v>
      </c>
      <c r="H1268" s="2"/>
      <c r="I1268" s="5">
        <f>XLOOKUP(K1268, pharmaceutical_index!B:B, pharmaceutical_index!A:A, "Not Found")</f>
      </c>
      <c r="J1268" s="1" t="s">
        <v>2672</v>
      </c>
      <c r="K1268" s="1" t="s">
        <v>2672</v>
      </c>
      <c r="L1268" s="1" t="s">
        <v>20</v>
      </c>
      <c r="M1268" s="1" t="s">
        <v>2672</v>
      </c>
      <c r="N1268" s="2"/>
      <c r="O1268" s="2"/>
      <c r="P1268" s="2"/>
      <c r="Q1268" s="2"/>
    </row>
    <row x14ac:dyDescent="0.25" r="1269" customHeight="1" ht="17.25">
      <c r="A1269" s="1" t="s">
        <v>5050</v>
      </c>
      <c r="B1269" s="1" t="s">
        <v>2674</v>
      </c>
      <c r="C1269" s="1" t="s">
        <v>3576</v>
      </c>
      <c r="D1269" s="1" t="s">
        <v>20</v>
      </c>
      <c r="E1269" s="1" t="s">
        <v>4250</v>
      </c>
      <c r="F1269" s="1" t="s">
        <v>4251</v>
      </c>
      <c r="G1269" s="1" t="s">
        <v>4252</v>
      </c>
      <c r="H1269" s="2"/>
      <c r="I1269" s="5">
        <f>XLOOKUP(K1269, pharmaceutical_index!B:B, pharmaceutical_index!A:A, "Not Found")</f>
      </c>
      <c r="J1269" s="1" t="s">
        <v>2674</v>
      </c>
      <c r="K1269" s="1" t="s">
        <v>2674</v>
      </c>
      <c r="L1269" s="1" t="s">
        <v>20</v>
      </c>
      <c r="M1269" s="1" t="s">
        <v>2674</v>
      </c>
      <c r="N1269" s="2"/>
      <c r="O1269" s="2"/>
      <c r="P1269" s="2"/>
      <c r="Q1269" s="2"/>
    </row>
    <row x14ac:dyDescent="0.25" r="1270" customHeight="1" ht="17.25">
      <c r="A1270" s="1" t="s">
        <v>5051</v>
      </c>
      <c r="B1270" s="1" t="s">
        <v>2676</v>
      </c>
      <c r="C1270" s="1" t="s">
        <v>3576</v>
      </c>
      <c r="D1270" s="1" t="s">
        <v>20</v>
      </c>
      <c r="E1270" s="1" t="s">
        <v>4250</v>
      </c>
      <c r="F1270" s="1" t="s">
        <v>4251</v>
      </c>
      <c r="G1270" s="1" t="s">
        <v>4252</v>
      </c>
      <c r="H1270" s="2"/>
      <c r="I1270" s="5">
        <f>XLOOKUP(K1270, pharmaceutical_index!B:B, pharmaceutical_index!A:A, "Not Found")</f>
      </c>
      <c r="J1270" s="1" t="s">
        <v>2676</v>
      </c>
      <c r="K1270" s="1" t="s">
        <v>2676</v>
      </c>
      <c r="L1270" s="1" t="s">
        <v>20</v>
      </c>
      <c r="M1270" s="1" t="s">
        <v>2676</v>
      </c>
      <c r="N1270" s="2"/>
      <c r="O1270" s="2"/>
      <c r="P1270" s="2"/>
      <c r="Q1270" s="2"/>
    </row>
    <row x14ac:dyDescent="0.25" r="1271" customHeight="1" ht="17.25">
      <c r="A1271" s="1" t="s">
        <v>5052</v>
      </c>
      <c r="B1271" s="1" t="s">
        <v>2678</v>
      </c>
      <c r="C1271" s="1" t="s">
        <v>3576</v>
      </c>
      <c r="D1271" s="1" t="s">
        <v>20</v>
      </c>
      <c r="E1271" s="1" t="s">
        <v>4250</v>
      </c>
      <c r="F1271" s="1" t="s">
        <v>4251</v>
      </c>
      <c r="G1271" s="1" t="s">
        <v>4252</v>
      </c>
      <c r="H1271" s="2"/>
      <c r="I1271" s="5">
        <f>XLOOKUP(K1271, pharmaceutical_index!B:B, pharmaceutical_index!A:A, "Not Found")</f>
      </c>
      <c r="J1271" s="1" t="s">
        <v>2678</v>
      </c>
      <c r="K1271" s="1" t="s">
        <v>2678</v>
      </c>
      <c r="L1271" s="1" t="s">
        <v>20</v>
      </c>
      <c r="M1271" s="1" t="s">
        <v>2678</v>
      </c>
      <c r="N1271" s="2"/>
      <c r="O1271" s="2"/>
      <c r="P1271" s="2"/>
      <c r="Q1271" s="2"/>
    </row>
    <row x14ac:dyDescent="0.25" r="1272" customHeight="1" ht="17.25">
      <c r="A1272" s="1" t="s">
        <v>5053</v>
      </c>
      <c r="B1272" s="1" t="s">
        <v>2680</v>
      </c>
      <c r="C1272" s="1" t="s">
        <v>3576</v>
      </c>
      <c r="D1272" s="1" t="s">
        <v>20</v>
      </c>
      <c r="E1272" s="1" t="s">
        <v>4250</v>
      </c>
      <c r="F1272" s="1" t="s">
        <v>4251</v>
      </c>
      <c r="G1272" s="1" t="s">
        <v>4252</v>
      </c>
      <c r="H1272" s="2"/>
      <c r="I1272" s="5">
        <f>XLOOKUP(K1272, pharmaceutical_index!B:B, pharmaceutical_index!A:A, "Not Found")</f>
      </c>
      <c r="J1272" s="1" t="s">
        <v>2680</v>
      </c>
      <c r="K1272" s="1" t="s">
        <v>2680</v>
      </c>
      <c r="L1272" s="1" t="s">
        <v>20</v>
      </c>
      <c r="M1272" s="1" t="s">
        <v>2680</v>
      </c>
      <c r="N1272" s="2"/>
      <c r="O1272" s="2"/>
      <c r="P1272" s="2"/>
      <c r="Q1272" s="2"/>
    </row>
    <row x14ac:dyDescent="0.25" r="1273" customHeight="1" ht="17.25">
      <c r="A1273" s="1" t="s">
        <v>5054</v>
      </c>
      <c r="B1273" s="1" t="s">
        <v>2682</v>
      </c>
      <c r="C1273" s="1" t="s">
        <v>3576</v>
      </c>
      <c r="D1273" s="1" t="s">
        <v>20</v>
      </c>
      <c r="E1273" s="1" t="s">
        <v>4250</v>
      </c>
      <c r="F1273" s="1" t="s">
        <v>4251</v>
      </c>
      <c r="G1273" s="1" t="s">
        <v>4252</v>
      </c>
      <c r="H1273" s="2"/>
      <c r="I1273" s="5">
        <f>XLOOKUP(K1273, pharmaceutical_index!B:B, pharmaceutical_index!A:A, "Not Found")</f>
      </c>
      <c r="J1273" s="1" t="s">
        <v>2682</v>
      </c>
      <c r="K1273" s="1" t="s">
        <v>2682</v>
      </c>
      <c r="L1273" s="1" t="s">
        <v>20</v>
      </c>
      <c r="M1273" s="1" t="s">
        <v>2682</v>
      </c>
      <c r="N1273" s="2"/>
      <c r="O1273" s="2"/>
      <c r="P1273" s="2"/>
      <c r="Q1273" s="2"/>
    </row>
    <row x14ac:dyDescent="0.25" r="1274" customHeight="1" ht="17.25">
      <c r="A1274" s="1" t="s">
        <v>5055</v>
      </c>
      <c r="B1274" s="1" t="s">
        <v>2684</v>
      </c>
      <c r="C1274" s="1" t="s">
        <v>3576</v>
      </c>
      <c r="D1274" s="1" t="s">
        <v>20</v>
      </c>
      <c r="E1274" s="1" t="s">
        <v>4250</v>
      </c>
      <c r="F1274" s="1" t="s">
        <v>4251</v>
      </c>
      <c r="G1274" s="1" t="s">
        <v>4252</v>
      </c>
      <c r="H1274" s="2"/>
      <c r="I1274" s="5">
        <f>XLOOKUP(K1274, pharmaceutical_index!B:B, pharmaceutical_index!A:A, "Not Found")</f>
      </c>
      <c r="J1274" s="1" t="s">
        <v>2684</v>
      </c>
      <c r="K1274" s="1" t="s">
        <v>2684</v>
      </c>
      <c r="L1274" s="1" t="s">
        <v>20</v>
      </c>
      <c r="M1274" s="1" t="s">
        <v>2684</v>
      </c>
      <c r="N1274" s="2"/>
      <c r="O1274" s="2"/>
      <c r="P1274" s="2"/>
      <c r="Q1274" s="2"/>
    </row>
    <row x14ac:dyDescent="0.25" r="1275" customHeight="1" ht="17.25">
      <c r="A1275" s="1" t="s">
        <v>5056</v>
      </c>
      <c r="B1275" s="1" t="s">
        <v>2686</v>
      </c>
      <c r="C1275" s="1" t="s">
        <v>3576</v>
      </c>
      <c r="D1275" s="1" t="s">
        <v>20</v>
      </c>
      <c r="E1275" s="1" t="s">
        <v>4250</v>
      </c>
      <c r="F1275" s="1" t="s">
        <v>4251</v>
      </c>
      <c r="G1275" s="1" t="s">
        <v>4252</v>
      </c>
      <c r="H1275" s="2"/>
      <c r="I1275" s="5">
        <f>XLOOKUP(K1275, pharmaceutical_index!B:B, pharmaceutical_index!A:A, "Not Found")</f>
      </c>
      <c r="J1275" s="1" t="s">
        <v>2686</v>
      </c>
      <c r="K1275" s="1" t="s">
        <v>2686</v>
      </c>
      <c r="L1275" s="1" t="s">
        <v>20</v>
      </c>
      <c r="M1275" s="1" t="s">
        <v>2686</v>
      </c>
      <c r="N1275" s="2"/>
      <c r="O1275" s="2"/>
      <c r="P1275" s="2"/>
      <c r="Q1275" s="2"/>
    </row>
    <row x14ac:dyDescent="0.25" r="1276" customHeight="1" ht="17.25">
      <c r="A1276" s="1" t="s">
        <v>5057</v>
      </c>
      <c r="B1276" s="1" t="s">
        <v>2688</v>
      </c>
      <c r="C1276" s="1" t="s">
        <v>3576</v>
      </c>
      <c r="D1276" s="1" t="s">
        <v>20</v>
      </c>
      <c r="E1276" s="1" t="s">
        <v>4250</v>
      </c>
      <c r="F1276" s="1" t="s">
        <v>4251</v>
      </c>
      <c r="G1276" s="1" t="s">
        <v>4252</v>
      </c>
      <c r="H1276" s="2"/>
      <c r="I1276" s="5">
        <f>XLOOKUP(K1276, pharmaceutical_index!B:B, pharmaceutical_index!A:A, "Not Found")</f>
      </c>
      <c r="J1276" s="1" t="s">
        <v>2688</v>
      </c>
      <c r="K1276" s="1" t="s">
        <v>2688</v>
      </c>
      <c r="L1276" s="1" t="s">
        <v>20</v>
      </c>
      <c r="M1276" s="1" t="s">
        <v>2688</v>
      </c>
      <c r="N1276" s="2"/>
      <c r="O1276" s="2"/>
      <c r="P1276" s="2"/>
      <c r="Q1276" s="2"/>
    </row>
    <row x14ac:dyDescent="0.25" r="1277" customHeight="1" ht="17.25">
      <c r="A1277" s="1" t="s">
        <v>5058</v>
      </c>
      <c r="B1277" s="1" t="s">
        <v>2690</v>
      </c>
      <c r="C1277" s="1" t="s">
        <v>3576</v>
      </c>
      <c r="D1277" s="1" t="s">
        <v>20</v>
      </c>
      <c r="E1277" s="1" t="s">
        <v>4250</v>
      </c>
      <c r="F1277" s="1" t="s">
        <v>4251</v>
      </c>
      <c r="G1277" s="1" t="s">
        <v>4252</v>
      </c>
      <c r="H1277" s="2"/>
      <c r="I1277" s="5">
        <f>XLOOKUP(K1277, pharmaceutical_index!B:B, pharmaceutical_index!A:A, "Not Found")</f>
      </c>
      <c r="J1277" s="1" t="s">
        <v>2690</v>
      </c>
      <c r="K1277" s="1" t="s">
        <v>2690</v>
      </c>
      <c r="L1277" s="1" t="s">
        <v>20</v>
      </c>
      <c r="M1277" s="1" t="s">
        <v>2690</v>
      </c>
      <c r="N1277" s="2"/>
      <c r="O1277" s="2"/>
      <c r="P1277" s="2"/>
      <c r="Q1277" s="2"/>
    </row>
    <row x14ac:dyDescent="0.25" r="1278" customHeight="1" ht="17.25">
      <c r="A1278" s="1" t="s">
        <v>5059</v>
      </c>
      <c r="B1278" s="1" t="s">
        <v>2692</v>
      </c>
      <c r="C1278" s="1" t="s">
        <v>3576</v>
      </c>
      <c r="D1278" s="1" t="s">
        <v>20</v>
      </c>
      <c r="E1278" s="1" t="s">
        <v>4250</v>
      </c>
      <c r="F1278" s="1" t="s">
        <v>4251</v>
      </c>
      <c r="G1278" s="1" t="s">
        <v>4252</v>
      </c>
      <c r="H1278" s="2"/>
      <c r="I1278" s="5">
        <f>XLOOKUP(K1278, pharmaceutical_index!B:B, pharmaceutical_index!A:A, "Not Found")</f>
      </c>
      <c r="J1278" s="1" t="s">
        <v>2692</v>
      </c>
      <c r="K1278" s="1" t="s">
        <v>2692</v>
      </c>
      <c r="L1278" s="1" t="s">
        <v>20</v>
      </c>
      <c r="M1278" s="1" t="s">
        <v>2692</v>
      </c>
      <c r="N1278" s="2"/>
      <c r="O1278" s="2"/>
      <c r="P1278" s="2"/>
      <c r="Q1278" s="2"/>
    </row>
    <row x14ac:dyDescent="0.25" r="1279" customHeight="1" ht="17.25">
      <c r="A1279" s="1" t="s">
        <v>5060</v>
      </c>
      <c r="B1279" s="1" t="s">
        <v>2694</v>
      </c>
      <c r="C1279" s="1" t="s">
        <v>3576</v>
      </c>
      <c r="D1279" s="1" t="s">
        <v>20</v>
      </c>
      <c r="E1279" s="1" t="s">
        <v>4250</v>
      </c>
      <c r="F1279" s="1" t="s">
        <v>4251</v>
      </c>
      <c r="G1279" s="1" t="s">
        <v>4252</v>
      </c>
      <c r="H1279" s="2"/>
      <c r="I1279" s="5">
        <f>XLOOKUP(K1279, pharmaceutical_index!B:B, pharmaceutical_index!A:A, "Not Found")</f>
      </c>
      <c r="J1279" s="1" t="s">
        <v>2694</v>
      </c>
      <c r="K1279" s="1" t="s">
        <v>2694</v>
      </c>
      <c r="L1279" s="1" t="s">
        <v>20</v>
      </c>
      <c r="M1279" s="1" t="s">
        <v>2694</v>
      </c>
      <c r="N1279" s="2"/>
      <c r="O1279" s="2"/>
      <c r="P1279" s="2"/>
      <c r="Q1279" s="2"/>
    </row>
    <row x14ac:dyDescent="0.25" r="1280" customHeight="1" ht="17.25">
      <c r="A1280" s="1" t="s">
        <v>5061</v>
      </c>
      <c r="B1280" s="1" t="s">
        <v>2696</v>
      </c>
      <c r="C1280" s="1" t="s">
        <v>3576</v>
      </c>
      <c r="D1280" s="1" t="s">
        <v>20</v>
      </c>
      <c r="E1280" s="1" t="s">
        <v>4250</v>
      </c>
      <c r="F1280" s="1" t="s">
        <v>4251</v>
      </c>
      <c r="G1280" s="1" t="s">
        <v>4252</v>
      </c>
      <c r="H1280" s="2"/>
      <c r="I1280" s="5">
        <f>XLOOKUP(K1280, pharmaceutical_index!B:B, pharmaceutical_index!A:A, "Not Found")</f>
      </c>
      <c r="J1280" s="1" t="s">
        <v>2696</v>
      </c>
      <c r="K1280" s="1" t="s">
        <v>2696</v>
      </c>
      <c r="L1280" s="1" t="s">
        <v>20</v>
      </c>
      <c r="M1280" s="1" t="s">
        <v>2696</v>
      </c>
      <c r="N1280" s="2"/>
      <c r="O1280" s="2"/>
      <c r="P1280" s="2"/>
      <c r="Q1280" s="2"/>
    </row>
    <row x14ac:dyDescent="0.25" r="1281" customHeight="1" ht="17.25">
      <c r="A1281" s="1" t="s">
        <v>5062</v>
      </c>
      <c r="B1281" s="1" t="s">
        <v>2698</v>
      </c>
      <c r="C1281" s="1" t="s">
        <v>3576</v>
      </c>
      <c r="D1281" s="1" t="s">
        <v>20</v>
      </c>
      <c r="E1281" s="1" t="s">
        <v>4250</v>
      </c>
      <c r="F1281" s="1" t="s">
        <v>4251</v>
      </c>
      <c r="G1281" s="1" t="s">
        <v>4252</v>
      </c>
      <c r="H1281" s="2"/>
      <c r="I1281" s="5">
        <f>XLOOKUP(K1281, pharmaceutical_index!B:B, pharmaceutical_index!A:A, "Not Found")</f>
      </c>
      <c r="J1281" s="1" t="s">
        <v>2698</v>
      </c>
      <c r="K1281" s="1" t="s">
        <v>2698</v>
      </c>
      <c r="L1281" s="1" t="s">
        <v>20</v>
      </c>
      <c r="M1281" s="1" t="s">
        <v>2698</v>
      </c>
      <c r="N1281" s="2"/>
      <c r="O1281" s="2"/>
      <c r="P1281" s="2"/>
      <c r="Q1281" s="2"/>
    </row>
    <row x14ac:dyDescent="0.25" r="1282" customHeight="1" ht="17.25">
      <c r="A1282" s="1" t="s">
        <v>5063</v>
      </c>
      <c r="B1282" s="1" t="s">
        <v>2700</v>
      </c>
      <c r="C1282" s="1" t="s">
        <v>3576</v>
      </c>
      <c r="D1282" s="1" t="s">
        <v>20</v>
      </c>
      <c r="E1282" s="1" t="s">
        <v>4250</v>
      </c>
      <c r="F1282" s="1" t="s">
        <v>4251</v>
      </c>
      <c r="G1282" s="1" t="s">
        <v>4252</v>
      </c>
      <c r="H1282" s="2"/>
      <c r="I1282" s="5">
        <f>XLOOKUP(K1282, pharmaceutical_index!B:B, pharmaceutical_index!A:A, "Not Found")</f>
      </c>
      <c r="J1282" s="1" t="s">
        <v>2700</v>
      </c>
      <c r="K1282" s="1" t="s">
        <v>2700</v>
      </c>
      <c r="L1282" s="1" t="s">
        <v>20</v>
      </c>
      <c r="M1282" s="1" t="s">
        <v>2700</v>
      </c>
      <c r="N1282" s="2"/>
      <c r="O1282" s="2"/>
      <c r="P1282" s="2"/>
      <c r="Q1282" s="2"/>
    </row>
    <row x14ac:dyDescent="0.25" r="1283" customHeight="1" ht="17.25">
      <c r="A1283" s="1" t="s">
        <v>5064</v>
      </c>
      <c r="B1283" s="1" t="s">
        <v>2702</v>
      </c>
      <c r="C1283" s="1" t="s">
        <v>3576</v>
      </c>
      <c r="D1283" s="1" t="s">
        <v>20</v>
      </c>
      <c r="E1283" s="1" t="s">
        <v>4250</v>
      </c>
      <c r="F1283" s="1" t="s">
        <v>4251</v>
      </c>
      <c r="G1283" s="1" t="s">
        <v>4252</v>
      </c>
      <c r="H1283" s="2"/>
      <c r="I1283" s="5">
        <f>XLOOKUP(K1283, pharmaceutical_index!B:B, pharmaceutical_index!A:A, "Not Found")</f>
      </c>
      <c r="J1283" s="1" t="s">
        <v>2702</v>
      </c>
      <c r="K1283" s="1" t="s">
        <v>2702</v>
      </c>
      <c r="L1283" s="1" t="s">
        <v>20</v>
      </c>
      <c r="M1283" s="1" t="s">
        <v>2702</v>
      </c>
      <c r="N1283" s="2"/>
      <c r="O1283" s="2"/>
      <c r="P1283" s="2"/>
      <c r="Q1283" s="2"/>
    </row>
    <row x14ac:dyDescent="0.25" r="1284" customHeight="1" ht="17.25">
      <c r="A1284" s="1" t="s">
        <v>5065</v>
      </c>
      <c r="B1284" s="1" t="s">
        <v>2704</v>
      </c>
      <c r="C1284" s="1" t="s">
        <v>3576</v>
      </c>
      <c r="D1284" s="1" t="s">
        <v>20</v>
      </c>
      <c r="E1284" s="1" t="s">
        <v>4250</v>
      </c>
      <c r="F1284" s="1" t="s">
        <v>4251</v>
      </c>
      <c r="G1284" s="1" t="s">
        <v>4252</v>
      </c>
      <c r="H1284" s="2"/>
      <c r="I1284" s="5">
        <f>XLOOKUP(K1284, pharmaceutical_index!B:B, pharmaceutical_index!A:A, "Not Found")</f>
      </c>
      <c r="J1284" s="1" t="s">
        <v>2704</v>
      </c>
      <c r="K1284" s="1" t="s">
        <v>2704</v>
      </c>
      <c r="L1284" s="1" t="s">
        <v>20</v>
      </c>
      <c r="M1284" s="1" t="s">
        <v>2704</v>
      </c>
      <c r="N1284" s="2"/>
      <c r="O1284" s="2"/>
      <c r="P1284" s="2"/>
      <c r="Q1284" s="2"/>
    </row>
    <row x14ac:dyDescent="0.25" r="1285" customHeight="1" ht="17.25">
      <c r="A1285" s="1" t="s">
        <v>5066</v>
      </c>
      <c r="B1285" s="1" t="s">
        <v>2706</v>
      </c>
      <c r="C1285" s="1" t="s">
        <v>3576</v>
      </c>
      <c r="D1285" s="1" t="s">
        <v>20</v>
      </c>
      <c r="E1285" s="1" t="s">
        <v>4250</v>
      </c>
      <c r="F1285" s="1" t="s">
        <v>4251</v>
      </c>
      <c r="G1285" s="1" t="s">
        <v>4252</v>
      </c>
      <c r="H1285" s="2"/>
      <c r="I1285" s="5">
        <f>XLOOKUP(K1285, pharmaceutical_index!B:B, pharmaceutical_index!A:A, "Not Found")</f>
      </c>
      <c r="J1285" s="1" t="s">
        <v>2706</v>
      </c>
      <c r="K1285" s="1" t="s">
        <v>2706</v>
      </c>
      <c r="L1285" s="1" t="s">
        <v>20</v>
      </c>
      <c r="M1285" s="1" t="s">
        <v>2706</v>
      </c>
      <c r="N1285" s="2"/>
      <c r="O1285" s="2"/>
      <c r="P1285" s="2"/>
      <c r="Q1285" s="2"/>
    </row>
    <row x14ac:dyDescent="0.25" r="1286" customHeight="1" ht="17.25">
      <c r="A1286" s="1" t="s">
        <v>5067</v>
      </c>
      <c r="B1286" s="1" t="s">
        <v>2708</v>
      </c>
      <c r="C1286" s="1" t="s">
        <v>3576</v>
      </c>
      <c r="D1286" s="1" t="s">
        <v>20</v>
      </c>
      <c r="E1286" s="1" t="s">
        <v>4250</v>
      </c>
      <c r="F1286" s="1" t="s">
        <v>4251</v>
      </c>
      <c r="G1286" s="1" t="s">
        <v>4252</v>
      </c>
      <c r="H1286" s="2"/>
      <c r="I1286" s="5">
        <f>XLOOKUP(K1286, pharmaceutical_index!B:B, pharmaceutical_index!A:A, "Not Found")</f>
      </c>
      <c r="J1286" s="1" t="s">
        <v>2708</v>
      </c>
      <c r="K1286" s="1" t="s">
        <v>2708</v>
      </c>
      <c r="L1286" s="1" t="s">
        <v>20</v>
      </c>
      <c r="M1286" s="1" t="s">
        <v>2708</v>
      </c>
      <c r="N1286" s="2"/>
      <c r="O1286" s="2"/>
      <c r="P1286" s="2"/>
      <c r="Q1286" s="2"/>
    </row>
    <row x14ac:dyDescent="0.25" r="1287" customHeight="1" ht="17.25">
      <c r="A1287" s="1" t="s">
        <v>5068</v>
      </c>
      <c r="B1287" s="1" t="s">
        <v>2710</v>
      </c>
      <c r="C1287" s="1" t="s">
        <v>3576</v>
      </c>
      <c r="D1287" s="1" t="s">
        <v>20</v>
      </c>
      <c r="E1287" s="1" t="s">
        <v>4250</v>
      </c>
      <c r="F1287" s="1" t="s">
        <v>4251</v>
      </c>
      <c r="G1287" s="1" t="s">
        <v>4252</v>
      </c>
      <c r="H1287" s="2"/>
      <c r="I1287" s="5">
        <f>XLOOKUP(K1287, pharmaceutical_index!B:B, pharmaceutical_index!A:A, "Not Found")</f>
      </c>
      <c r="J1287" s="1" t="s">
        <v>2710</v>
      </c>
      <c r="K1287" s="1" t="s">
        <v>2710</v>
      </c>
      <c r="L1287" s="1" t="s">
        <v>20</v>
      </c>
      <c r="M1287" s="1" t="s">
        <v>2710</v>
      </c>
      <c r="N1287" s="2"/>
      <c r="O1287" s="2"/>
      <c r="P1287" s="2"/>
      <c r="Q1287" s="2"/>
    </row>
    <row x14ac:dyDescent="0.25" r="1288" customHeight="1" ht="17.25">
      <c r="A1288" s="1" t="s">
        <v>5069</v>
      </c>
      <c r="B1288" s="1" t="s">
        <v>2712</v>
      </c>
      <c r="C1288" s="1" t="s">
        <v>3576</v>
      </c>
      <c r="D1288" s="1" t="s">
        <v>20</v>
      </c>
      <c r="E1288" s="1" t="s">
        <v>4250</v>
      </c>
      <c r="F1288" s="1" t="s">
        <v>4251</v>
      </c>
      <c r="G1288" s="1" t="s">
        <v>4252</v>
      </c>
      <c r="H1288" s="2"/>
      <c r="I1288" s="5">
        <f>XLOOKUP(K1288, pharmaceutical_index!B:B, pharmaceutical_index!A:A, "Not Found")</f>
      </c>
      <c r="J1288" s="1" t="s">
        <v>2712</v>
      </c>
      <c r="K1288" s="1" t="s">
        <v>2712</v>
      </c>
      <c r="L1288" s="1" t="s">
        <v>20</v>
      </c>
      <c r="M1288" s="1" t="s">
        <v>2712</v>
      </c>
      <c r="N1288" s="2"/>
      <c r="O1288" s="2"/>
      <c r="P1288" s="2"/>
      <c r="Q1288" s="2"/>
    </row>
    <row x14ac:dyDescent="0.25" r="1289" customHeight="1" ht="17.25">
      <c r="A1289" s="1" t="s">
        <v>5070</v>
      </c>
      <c r="B1289" s="1" t="s">
        <v>2714</v>
      </c>
      <c r="C1289" s="1" t="s">
        <v>3576</v>
      </c>
      <c r="D1289" s="1" t="s">
        <v>20</v>
      </c>
      <c r="E1289" s="1" t="s">
        <v>4250</v>
      </c>
      <c r="F1289" s="1" t="s">
        <v>4251</v>
      </c>
      <c r="G1289" s="1" t="s">
        <v>4252</v>
      </c>
      <c r="H1289" s="2"/>
      <c r="I1289" s="5">
        <f>XLOOKUP(K1289, pharmaceutical_index!B:B, pharmaceutical_index!A:A, "Not Found")</f>
      </c>
      <c r="J1289" s="1" t="s">
        <v>2714</v>
      </c>
      <c r="K1289" s="1" t="s">
        <v>2714</v>
      </c>
      <c r="L1289" s="1" t="s">
        <v>20</v>
      </c>
      <c r="M1289" s="1" t="s">
        <v>2714</v>
      </c>
      <c r="N1289" s="2"/>
      <c r="O1289" s="2"/>
      <c r="P1289" s="2"/>
      <c r="Q1289" s="2"/>
    </row>
    <row x14ac:dyDescent="0.25" r="1290" customHeight="1" ht="17.25">
      <c r="A1290" s="1" t="s">
        <v>5071</v>
      </c>
      <c r="B1290" s="1" t="s">
        <v>2716</v>
      </c>
      <c r="C1290" s="1" t="s">
        <v>3576</v>
      </c>
      <c r="D1290" s="1" t="s">
        <v>20</v>
      </c>
      <c r="E1290" s="1" t="s">
        <v>4250</v>
      </c>
      <c r="F1290" s="1" t="s">
        <v>4251</v>
      </c>
      <c r="G1290" s="1" t="s">
        <v>4252</v>
      </c>
      <c r="H1290" s="2"/>
      <c r="I1290" s="5">
        <f>XLOOKUP(K1290, pharmaceutical_index!B:B, pharmaceutical_index!A:A, "Not Found")</f>
      </c>
      <c r="J1290" s="1" t="s">
        <v>2716</v>
      </c>
      <c r="K1290" s="1" t="s">
        <v>2716</v>
      </c>
      <c r="L1290" s="1" t="s">
        <v>20</v>
      </c>
      <c r="M1290" s="1" t="s">
        <v>2716</v>
      </c>
      <c r="N1290" s="2"/>
      <c r="O1290" s="2"/>
      <c r="P1290" s="2"/>
      <c r="Q1290" s="2"/>
    </row>
    <row x14ac:dyDescent="0.25" r="1291" customHeight="1" ht="17.25">
      <c r="A1291" s="1" t="s">
        <v>5072</v>
      </c>
      <c r="B1291" s="1" t="s">
        <v>2718</v>
      </c>
      <c r="C1291" s="1" t="s">
        <v>3576</v>
      </c>
      <c r="D1291" s="1" t="s">
        <v>20</v>
      </c>
      <c r="E1291" s="1" t="s">
        <v>4250</v>
      </c>
      <c r="F1291" s="1" t="s">
        <v>4251</v>
      </c>
      <c r="G1291" s="1" t="s">
        <v>4252</v>
      </c>
      <c r="H1291" s="2"/>
      <c r="I1291" s="5">
        <f>XLOOKUP(K1291, pharmaceutical_index!B:B, pharmaceutical_index!A:A, "Not Found")</f>
      </c>
      <c r="J1291" s="1" t="s">
        <v>2718</v>
      </c>
      <c r="K1291" s="1" t="s">
        <v>2718</v>
      </c>
      <c r="L1291" s="1" t="s">
        <v>20</v>
      </c>
      <c r="M1291" s="1" t="s">
        <v>2718</v>
      </c>
      <c r="N1291" s="2"/>
      <c r="O1291" s="2"/>
      <c r="P1291" s="2"/>
      <c r="Q1291" s="2"/>
    </row>
    <row x14ac:dyDescent="0.25" r="1292" customHeight="1" ht="17.25">
      <c r="A1292" s="1" t="s">
        <v>5073</v>
      </c>
      <c r="B1292" s="1" t="s">
        <v>2720</v>
      </c>
      <c r="C1292" s="1" t="s">
        <v>3576</v>
      </c>
      <c r="D1292" s="1" t="s">
        <v>20</v>
      </c>
      <c r="E1292" s="1" t="s">
        <v>4250</v>
      </c>
      <c r="F1292" s="1" t="s">
        <v>4251</v>
      </c>
      <c r="G1292" s="1" t="s">
        <v>4252</v>
      </c>
      <c r="H1292" s="2"/>
      <c r="I1292" s="5">
        <f>XLOOKUP(K1292, pharmaceutical_index!B:B, pharmaceutical_index!A:A, "Not Found")</f>
      </c>
      <c r="J1292" s="1" t="s">
        <v>2720</v>
      </c>
      <c r="K1292" s="1" t="s">
        <v>2720</v>
      </c>
      <c r="L1292" s="1" t="s">
        <v>20</v>
      </c>
      <c r="M1292" s="1" t="s">
        <v>2720</v>
      </c>
      <c r="N1292" s="2"/>
      <c r="O1292" s="2"/>
      <c r="P1292" s="2"/>
      <c r="Q1292" s="2"/>
    </row>
    <row x14ac:dyDescent="0.25" r="1293" customHeight="1" ht="17.25">
      <c r="A1293" s="1" t="s">
        <v>5074</v>
      </c>
      <c r="B1293" s="1" t="s">
        <v>2722</v>
      </c>
      <c r="C1293" s="1" t="s">
        <v>3576</v>
      </c>
      <c r="D1293" s="1" t="s">
        <v>20</v>
      </c>
      <c r="E1293" s="1" t="s">
        <v>4250</v>
      </c>
      <c r="F1293" s="1" t="s">
        <v>4251</v>
      </c>
      <c r="G1293" s="1" t="s">
        <v>4252</v>
      </c>
      <c r="H1293" s="2"/>
      <c r="I1293" s="5">
        <f>XLOOKUP(K1293, pharmaceutical_index!B:B, pharmaceutical_index!A:A, "Not Found")</f>
      </c>
      <c r="J1293" s="1" t="s">
        <v>2722</v>
      </c>
      <c r="K1293" s="1" t="s">
        <v>2722</v>
      </c>
      <c r="L1293" s="1" t="s">
        <v>20</v>
      </c>
      <c r="M1293" s="1" t="s">
        <v>2722</v>
      </c>
      <c r="N1293" s="2"/>
      <c r="O1293" s="2"/>
      <c r="P1293" s="2"/>
      <c r="Q1293" s="2"/>
    </row>
    <row x14ac:dyDescent="0.25" r="1294" customHeight="1" ht="17.25">
      <c r="A1294" s="1" t="s">
        <v>5075</v>
      </c>
      <c r="B1294" s="1" t="s">
        <v>2724</v>
      </c>
      <c r="C1294" s="1" t="s">
        <v>3576</v>
      </c>
      <c r="D1294" s="1" t="s">
        <v>20</v>
      </c>
      <c r="E1294" s="1" t="s">
        <v>4250</v>
      </c>
      <c r="F1294" s="1" t="s">
        <v>4251</v>
      </c>
      <c r="G1294" s="1" t="s">
        <v>4252</v>
      </c>
      <c r="H1294" s="2"/>
      <c r="I1294" s="5">
        <f>XLOOKUP(K1294, pharmaceutical_index!B:B, pharmaceutical_index!A:A, "Not Found")</f>
      </c>
      <c r="J1294" s="1" t="s">
        <v>2724</v>
      </c>
      <c r="K1294" s="1" t="s">
        <v>2724</v>
      </c>
      <c r="L1294" s="1" t="s">
        <v>20</v>
      </c>
      <c r="M1294" s="1" t="s">
        <v>2724</v>
      </c>
      <c r="N1294" s="2"/>
      <c r="O1294" s="2"/>
      <c r="P1294" s="2"/>
      <c r="Q1294" s="2"/>
    </row>
    <row x14ac:dyDescent="0.25" r="1295" customHeight="1" ht="17.25">
      <c r="A1295" s="1" t="s">
        <v>5076</v>
      </c>
      <c r="B1295" s="1" t="s">
        <v>2726</v>
      </c>
      <c r="C1295" s="1" t="s">
        <v>3576</v>
      </c>
      <c r="D1295" s="1" t="s">
        <v>20</v>
      </c>
      <c r="E1295" s="1" t="s">
        <v>4250</v>
      </c>
      <c r="F1295" s="1" t="s">
        <v>4251</v>
      </c>
      <c r="G1295" s="1" t="s">
        <v>4252</v>
      </c>
      <c r="H1295" s="2"/>
      <c r="I1295" s="5">
        <f>XLOOKUP(K1295, pharmaceutical_index!B:B, pharmaceutical_index!A:A, "Not Found")</f>
      </c>
      <c r="J1295" s="1" t="s">
        <v>2726</v>
      </c>
      <c r="K1295" s="1" t="s">
        <v>2726</v>
      </c>
      <c r="L1295" s="1" t="s">
        <v>20</v>
      </c>
      <c r="M1295" s="1" t="s">
        <v>2726</v>
      </c>
      <c r="N1295" s="2"/>
      <c r="O1295" s="2"/>
      <c r="P1295" s="2"/>
      <c r="Q1295" s="2"/>
    </row>
    <row x14ac:dyDescent="0.25" r="1296" customHeight="1" ht="17.25">
      <c r="A1296" s="1" t="s">
        <v>5077</v>
      </c>
      <c r="B1296" s="1" t="s">
        <v>2728</v>
      </c>
      <c r="C1296" s="1" t="s">
        <v>3576</v>
      </c>
      <c r="D1296" s="1" t="s">
        <v>20</v>
      </c>
      <c r="E1296" s="1" t="s">
        <v>4250</v>
      </c>
      <c r="F1296" s="1" t="s">
        <v>4251</v>
      </c>
      <c r="G1296" s="1" t="s">
        <v>4252</v>
      </c>
      <c r="H1296" s="2"/>
      <c r="I1296" s="5">
        <f>XLOOKUP(K1296, pharmaceutical_index!B:B, pharmaceutical_index!A:A, "Not Found")</f>
      </c>
      <c r="J1296" s="1" t="s">
        <v>2728</v>
      </c>
      <c r="K1296" s="1" t="s">
        <v>2728</v>
      </c>
      <c r="L1296" s="1" t="s">
        <v>20</v>
      </c>
      <c r="M1296" s="1" t="s">
        <v>2728</v>
      </c>
      <c r="N1296" s="2"/>
      <c r="O1296" s="2"/>
      <c r="P1296" s="2"/>
      <c r="Q1296" s="2"/>
    </row>
    <row x14ac:dyDescent="0.25" r="1297" customHeight="1" ht="17.25">
      <c r="A1297" s="1" t="s">
        <v>5078</v>
      </c>
      <c r="B1297" s="1" t="s">
        <v>2730</v>
      </c>
      <c r="C1297" s="1" t="s">
        <v>3576</v>
      </c>
      <c r="D1297" s="1" t="s">
        <v>20</v>
      </c>
      <c r="E1297" s="1" t="s">
        <v>4250</v>
      </c>
      <c r="F1297" s="1" t="s">
        <v>4251</v>
      </c>
      <c r="G1297" s="1" t="s">
        <v>4252</v>
      </c>
      <c r="H1297" s="2"/>
      <c r="I1297" s="5">
        <f>XLOOKUP(K1297, pharmaceutical_index!B:B, pharmaceutical_index!A:A, "Not Found")</f>
      </c>
      <c r="J1297" s="1" t="s">
        <v>2730</v>
      </c>
      <c r="K1297" s="1" t="s">
        <v>2730</v>
      </c>
      <c r="L1297" s="1" t="s">
        <v>20</v>
      </c>
      <c r="M1297" s="1" t="s">
        <v>2730</v>
      </c>
      <c r="N1297" s="2"/>
      <c r="O1297" s="2"/>
      <c r="P1297" s="2"/>
      <c r="Q1297" s="2"/>
    </row>
    <row x14ac:dyDescent="0.25" r="1298" customHeight="1" ht="17.25">
      <c r="A1298" s="1" t="s">
        <v>5079</v>
      </c>
      <c r="B1298" s="1" t="s">
        <v>2732</v>
      </c>
      <c r="C1298" s="1" t="s">
        <v>3576</v>
      </c>
      <c r="D1298" s="1" t="s">
        <v>20</v>
      </c>
      <c r="E1298" s="1" t="s">
        <v>4250</v>
      </c>
      <c r="F1298" s="1" t="s">
        <v>4251</v>
      </c>
      <c r="G1298" s="1" t="s">
        <v>4252</v>
      </c>
      <c r="H1298" s="2"/>
      <c r="I1298" s="5">
        <f>XLOOKUP(K1298, pharmaceutical_index!B:B, pharmaceutical_index!A:A, "Not Found")</f>
      </c>
      <c r="J1298" s="1" t="s">
        <v>2732</v>
      </c>
      <c r="K1298" s="1" t="s">
        <v>2732</v>
      </c>
      <c r="L1298" s="1" t="s">
        <v>20</v>
      </c>
      <c r="M1298" s="1" t="s">
        <v>2732</v>
      </c>
      <c r="N1298" s="2"/>
      <c r="O1298" s="2"/>
      <c r="P1298" s="2"/>
      <c r="Q1298" s="2"/>
    </row>
    <row x14ac:dyDescent="0.25" r="1299" customHeight="1" ht="17.25">
      <c r="A1299" s="1" t="s">
        <v>5080</v>
      </c>
      <c r="B1299" s="1" t="s">
        <v>2734</v>
      </c>
      <c r="C1299" s="1" t="s">
        <v>3576</v>
      </c>
      <c r="D1299" s="1" t="s">
        <v>20</v>
      </c>
      <c r="E1299" s="1" t="s">
        <v>4250</v>
      </c>
      <c r="F1299" s="1" t="s">
        <v>4251</v>
      </c>
      <c r="G1299" s="1" t="s">
        <v>4252</v>
      </c>
      <c r="H1299" s="2"/>
      <c r="I1299" s="5">
        <f>XLOOKUP(K1299, pharmaceutical_index!B:B, pharmaceutical_index!A:A, "Not Found")</f>
      </c>
      <c r="J1299" s="1" t="s">
        <v>2734</v>
      </c>
      <c r="K1299" s="1" t="s">
        <v>2734</v>
      </c>
      <c r="L1299" s="1" t="s">
        <v>20</v>
      </c>
      <c r="M1299" s="1" t="s">
        <v>2734</v>
      </c>
      <c r="N1299" s="2"/>
      <c r="O1299" s="2"/>
      <c r="P1299" s="2"/>
      <c r="Q1299" s="2"/>
    </row>
    <row x14ac:dyDescent="0.25" r="1300" customHeight="1" ht="17.25">
      <c r="A1300" s="1" t="s">
        <v>5081</v>
      </c>
      <c r="B1300" s="1" t="s">
        <v>2736</v>
      </c>
      <c r="C1300" s="1" t="s">
        <v>3576</v>
      </c>
      <c r="D1300" s="1" t="s">
        <v>20</v>
      </c>
      <c r="E1300" s="1" t="s">
        <v>4250</v>
      </c>
      <c r="F1300" s="1" t="s">
        <v>4251</v>
      </c>
      <c r="G1300" s="1" t="s">
        <v>4252</v>
      </c>
      <c r="H1300" s="2"/>
      <c r="I1300" s="5">
        <f>XLOOKUP(K1300, pharmaceutical_index!B:B, pharmaceutical_index!A:A, "Not Found")</f>
      </c>
      <c r="J1300" s="1" t="s">
        <v>2736</v>
      </c>
      <c r="K1300" s="1" t="s">
        <v>2736</v>
      </c>
      <c r="L1300" s="1" t="s">
        <v>20</v>
      </c>
      <c r="M1300" s="1" t="s">
        <v>2736</v>
      </c>
      <c r="N1300" s="2"/>
      <c r="O1300" s="2"/>
      <c r="P1300" s="2"/>
      <c r="Q1300" s="2"/>
    </row>
    <row x14ac:dyDescent="0.25" r="1301" customHeight="1" ht="17.25">
      <c r="A1301" s="1" t="s">
        <v>5082</v>
      </c>
      <c r="B1301" s="1" t="s">
        <v>2738</v>
      </c>
      <c r="C1301" s="1" t="s">
        <v>3576</v>
      </c>
      <c r="D1301" s="1" t="s">
        <v>20</v>
      </c>
      <c r="E1301" s="1" t="s">
        <v>4250</v>
      </c>
      <c r="F1301" s="1" t="s">
        <v>4251</v>
      </c>
      <c r="G1301" s="1" t="s">
        <v>4252</v>
      </c>
      <c r="H1301" s="2"/>
      <c r="I1301" s="5">
        <f>XLOOKUP(K1301, pharmaceutical_index!B:B, pharmaceutical_index!A:A, "Not Found")</f>
      </c>
      <c r="J1301" s="1" t="s">
        <v>2738</v>
      </c>
      <c r="K1301" s="1" t="s">
        <v>2738</v>
      </c>
      <c r="L1301" s="1" t="s">
        <v>20</v>
      </c>
      <c r="M1301" s="1" t="s">
        <v>2738</v>
      </c>
      <c r="N1301" s="2"/>
      <c r="O1301" s="2"/>
      <c r="P1301" s="2"/>
      <c r="Q1301" s="2"/>
    </row>
    <row x14ac:dyDescent="0.25" r="1302" customHeight="1" ht="17.25">
      <c r="A1302" s="1" t="s">
        <v>5083</v>
      </c>
      <c r="B1302" s="1" t="s">
        <v>2740</v>
      </c>
      <c r="C1302" s="1" t="s">
        <v>3576</v>
      </c>
      <c r="D1302" s="1" t="s">
        <v>20</v>
      </c>
      <c r="E1302" s="1" t="s">
        <v>4250</v>
      </c>
      <c r="F1302" s="1" t="s">
        <v>4251</v>
      </c>
      <c r="G1302" s="1" t="s">
        <v>4252</v>
      </c>
      <c r="H1302" s="2"/>
      <c r="I1302" s="5">
        <f>XLOOKUP(K1302, pharmaceutical_index!B:B, pharmaceutical_index!A:A, "Not Found")</f>
      </c>
      <c r="J1302" s="1" t="s">
        <v>2740</v>
      </c>
      <c r="K1302" s="1" t="s">
        <v>2740</v>
      </c>
      <c r="L1302" s="1" t="s">
        <v>20</v>
      </c>
      <c r="M1302" s="1" t="s">
        <v>2740</v>
      </c>
      <c r="N1302" s="2"/>
      <c r="O1302" s="2"/>
      <c r="P1302" s="2"/>
      <c r="Q1302" s="2"/>
    </row>
    <row x14ac:dyDescent="0.25" r="1303" customHeight="1" ht="17.25">
      <c r="A1303" s="1" t="s">
        <v>5084</v>
      </c>
      <c r="B1303" s="1" t="s">
        <v>2742</v>
      </c>
      <c r="C1303" s="1" t="s">
        <v>3576</v>
      </c>
      <c r="D1303" s="1" t="s">
        <v>20</v>
      </c>
      <c r="E1303" s="1" t="s">
        <v>4250</v>
      </c>
      <c r="F1303" s="1" t="s">
        <v>4251</v>
      </c>
      <c r="G1303" s="1" t="s">
        <v>4252</v>
      </c>
      <c r="H1303" s="2"/>
      <c r="I1303" s="5">
        <f>XLOOKUP(K1303, pharmaceutical_index!B:B, pharmaceutical_index!A:A, "Not Found")</f>
      </c>
      <c r="J1303" s="1" t="s">
        <v>2742</v>
      </c>
      <c r="K1303" s="1" t="s">
        <v>2742</v>
      </c>
      <c r="L1303" s="1" t="s">
        <v>20</v>
      </c>
      <c r="M1303" s="1" t="s">
        <v>2742</v>
      </c>
      <c r="N1303" s="2"/>
      <c r="O1303" s="2"/>
      <c r="P1303" s="2"/>
      <c r="Q1303" s="2"/>
    </row>
    <row x14ac:dyDescent="0.25" r="1304" customHeight="1" ht="17.25">
      <c r="A1304" s="1" t="s">
        <v>5085</v>
      </c>
      <c r="B1304" s="1" t="s">
        <v>2744</v>
      </c>
      <c r="C1304" s="1" t="s">
        <v>3576</v>
      </c>
      <c r="D1304" s="1" t="s">
        <v>20</v>
      </c>
      <c r="E1304" s="1" t="s">
        <v>4250</v>
      </c>
      <c r="F1304" s="1" t="s">
        <v>4251</v>
      </c>
      <c r="G1304" s="1" t="s">
        <v>4252</v>
      </c>
      <c r="H1304" s="2"/>
      <c r="I1304" s="5">
        <f>XLOOKUP(K1304, pharmaceutical_index!B:B, pharmaceutical_index!A:A, "Not Found")</f>
      </c>
      <c r="J1304" s="1" t="s">
        <v>2744</v>
      </c>
      <c r="K1304" s="1" t="s">
        <v>2744</v>
      </c>
      <c r="L1304" s="1" t="s">
        <v>20</v>
      </c>
      <c r="M1304" s="1" t="s">
        <v>2744</v>
      </c>
      <c r="N1304" s="2"/>
      <c r="O1304" s="2"/>
      <c r="P1304" s="2"/>
      <c r="Q1304" s="2"/>
    </row>
    <row x14ac:dyDescent="0.25" r="1305" customHeight="1" ht="17.25">
      <c r="A1305" s="1" t="s">
        <v>5086</v>
      </c>
      <c r="B1305" s="1" t="s">
        <v>2746</v>
      </c>
      <c r="C1305" s="1" t="s">
        <v>3576</v>
      </c>
      <c r="D1305" s="1" t="s">
        <v>20</v>
      </c>
      <c r="E1305" s="1" t="s">
        <v>4250</v>
      </c>
      <c r="F1305" s="1" t="s">
        <v>4251</v>
      </c>
      <c r="G1305" s="1" t="s">
        <v>4252</v>
      </c>
      <c r="H1305" s="2"/>
      <c r="I1305" s="5">
        <f>XLOOKUP(K1305, pharmaceutical_index!B:B, pharmaceutical_index!A:A, "Not Found")</f>
      </c>
      <c r="J1305" s="1" t="s">
        <v>2746</v>
      </c>
      <c r="K1305" s="1" t="s">
        <v>2746</v>
      </c>
      <c r="L1305" s="1" t="s">
        <v>20</v>
      </c>
      <c r="M1305" s="1" t="s">
        <v>2746</v>
      </c>
      <c r="N1305" s="2"/>
      <c r="O1305" s="2"/>
      <c r="P1305" s="2"/>
      <c r="Q1305" s="2"/>
    </row>
    <row x14ac:dyDescent="0.25" r="1306" customHeight="1" ht="17.25">
      <c r="A1306" s="1" t="s">
        <v>5087</v>
      </c>
      <c r="B1306" s="1" t="s">
        <v>2748</v>
      </c>
      <c r="C1306" s="1" t="s">
        <v>3576</v>
      </c>
      <c r="D1306" s="1" t="s">
        <v>20</v>
      </c>
      <c r="E1306" s="1" t="s">
        <v>4250</v>
      </c>
      <c r="F1306" s="1" t="s">
        <v>4251</v>
      </c>
      <c r="G1306" s="1" t="s">
        <v>4252</v>
      </c>
      <c r="H1306" s="2"/>
      <c r="I1306" s="5">
        <f>XLOOKUP(K1306, pharmaceutical_index!B:B, pharmaceutical_index!A:A, "Not Found")</f>
      </c>
      <c r="J1306" s="1" t="s">
        <v>2748</v>
      </c>
      <c r="K1306" s="1" t="s">
        <v>2748</v>
      </c>
      <c r="L1306" s="1" t="s">
        <v>20</v>
      </c>
      <c r="M1306" s="1" t="s">
        <v>2748</v>
      </c>
      <c r="N1306" s="2"/>
      <c r="O1306" s="2"/>
      <c r="P1306" s="2"/>
      <c r="Q1306" s="2"/>
    </row>
    <row x14ac:dyDescent="0.25" r="1307" customHeight="1" ht="17.25">
      <c r="A1307" s="1" t="s">
        <v>5088</v>
      </c>
      <c r="B1307" s="1" t="s">
        <v>2750</v>
      </c>
      <c r="C1307" s="1" t="s">
        <v>3576</v>
      </c>
      <c r="D1307" s="1" t="s">
        <v>20</v>
      </c>
      <c r="E1307" s="1" t="s">
        <v>4250</v>
      </c>
      <c r="F1307" s="1" t="s">
        <v>4251</v>
      </c>
      <c r="G1307" s="1" t="s">
        <v>4252</v>
      </c>
      <c r="H1307" s="2"/>
      <c r="I1307" s="5">
        <f>XLOOKUP(K1307, pharmaceutical_index!B:B, pharmaceutical_index!A:A, "Not Found")</f>
      </c>
      <c r="J1307" s="1" t="s">
        <v>2750</v>
      </c>
      <c r="K1307" s="1" t="s">
        <v>2750</v>
      </c>
      <c r="L1307" s="1" t="s">
        <v>20</v>
      </c>
      <c r="M1307" s="1" t="s">
        <v>2750</v>
      </c>
      <c r="N1307" s="2"/>
      <c r="O1307" s="2"/>
      <c r="P1307" s="2"/>
      <c r="Q1307" s="2"/>
    </row>
    <row x14ac:dyDescent="0.25" r="1308" customHeight="1" ht="17.25">
      <c r="A1308" s="1" t="s">
        <v>5089</v>
      </c>
      <c r="B1308" s="1" t="s">
        <v>2752</v>
      </c>
      <c r="C1308" s="1" t="s">
        <v>3576</v>
      </c>
      <c r="D1308" s="1" t="s">
        <v>20</v>
      </c>
      <c r="E1308" s="1" t="s">
        <v>4250</v>
      </c>
      <c r="F1308" s="1" t="s">
        <v>4251</v>
      </c>
      <c r="G1308" s="1" t="s">
        <v>4252</v>
      </c>
      <c r="H1308" s="2"/>
      <c r="I1308" s="5">
        <f>XLOOKUP(K1308, pharmaceutical_index!B:B, pharmaceutical_index!A:A, "Not Found")</f>
      </c>
      <c r="J1308" s="1" t="s">
        <v>2752</v>
      </c>
      <c r="K1308" s="1" t="s">
        <v>2752</v>
      </c>
      <c r="L1308" s="1" t="s">
        <v>20</v>
      </c>
      <c r="M1308" s="1" t="s">
        <v>2752</v>
      </c>
      <c r="N1308" s="2"/>
      <c r="O1308" s="2"/>
      <c r="P1308" s="2"/>
      <c r="Q1308" s="2"/>
    </row>
    <row x14ac:dyDescent="0.25" r="1309" customHeight="1" ht="17.25">
      <c r="A1309" s="1" t="s">
        <v>5090</v>
      </c>
      <c r="B1309" s="1" t="s">
        <v>2754</v>
      </c>
      <c r="C1309" s="1" t="s">
        <v>3576</v>
      </c>
      <c r="D1309" s="1" t="s">
        <v>20</v>
      </c>
      <c r="E1309" s="1" t="s">
        <v>4250</v>
      </c>
      <c r="F1309" s="1" t="s">
        <v>4251</v>
      </c>
      <c r="G1309" s="1" t="s">
        <v>4252</v>
      </c>
      <c r="H1309" s="2"/>
      <c r="I1309" s="5">
        <f>XLOOKUP(K1309, pharmaceutical_index!B:B, pharmaceutical_index!A:A, "Not Found")</f>
      </c>
      <c r="J1309" s="1" t="s">
        <v>2754</v>
      </c>
      <c r="K1309" s="1" t="s">
        <v>2754</v>
      </c>
      <c r="L1309" s="1" t="s">
        <v>20</v>
      </c>
      <c r="M1309" s="1" t="s">
        <v>2754</v>
      </c>
      <c r="N1309" s="2"/>
      <c r="O1309" s="2"/>
      <c r="P1309" s="2"/>
      <c r="Q1309" s="2"/>
    </row>
    <row x14ac:dyDescent="0.25" r="1310" customHeight="1" ht="17.25">
      <c r="A1310" s="1" t="s">
        <v>5091</v>
      </c>
      <c r="B1310" s="1" t="s">
        <v>2756</v>
      </c>
      <c r="C1310" s="1" t="s">
        <v>3576</v>
      </c>
      <c r="D1310" s="1" t="s">
        <v>20</v>
      </c>
      <c r="E1310" s="1" t="s">
        <v>4250</v>
      </c>
      <c r="F1310" s="1" t="s">
        <v>4251</v>
      </c>
      <c r="G1310" s="1" t="s">
        <v>4252</v>
      </c>
      <c r="H1310" s="2"/>
      <c r="I1310" s="5">
        <f>XLOOKUP(K1310, pharmaceutical_index!B:B, pharmaceutical_index!A:A, "Not Found")</f>
      </c>
      <c r="J1310" s="1" t="s">
        <v>2756</v>
      </c>
      <c r="K1310" s="1" t="s">
        <v>2756</v>
      </c>
      <c r="L1310" s="1" t="s">
        <v>20</v>
      </c>
      <c r="M1310" s="1" t="s">
        <v>2756</v>
      </c>
      <c r="N1310" s="2"/>
      <c r="O1310" s="2"/>
      <c r="P1310" s="2"/>
      <c r="Q1310" s="2"/>
    </row>
    <row x14ac:dyDescent="0.25" r="1311" customHeight="1" ht="17.25">
      <c r="A1311" s="1" t="s">
        <v>5092</v>
      </c>
      <c r="B1311" s="1" t="s">
        <v>2758</v>
      </c>
      <c r="C1311" s="1" t="s">
        <v>3576</v>
      </c>
      <c r="D1311" s="1" t="s">
        <v>20</v>
      </c>
      <c r="E1311" s="1" t="s">
        <v>4250</v>
      </c>
      <c r="F1311" s="1" t="s">
        <v>4251</v>
      </c>
      <c r="G1311" s="1" t="s">
        <v>4252</v>
      </c>
      <c r="H1311" s="2"/>
      <c r="I1311" s="5">
        <f>XLOOKUP(K1311, pharmaceutical_index!B:B, pharmaceutical_index!A:A, "Not Found")</f>
      </c>
      <c r="J1311" s="1" t="s">
        <v>2758</v>
      </c>
      <c r="K1311" s="1" t="s">
        <v>2758</v>
      </c>
      <c r="L1311" s="1" t="s">
        <v>20</v>
      </c>
      <c r="M1311" s="1" t="s">
        <v>2758</v>
      </c>
      <c r="N1311" s="2"/>
      <c r="O1311" s="2"/>
      <c r="P1311" s="2"/>
      <c r="Q1311" s="2"/>
    </row>
    <row x14ac:dyDescent="0.25" r="1312" customHeight="1" ht="17.25">
      <c r="A1312" s="1" t="s">
        <v>5093</v>
      </c>
      <c r="B1312" s="1" t="s">
        <v>2760</v>
      </c>
      <c r="C1312" s="1" t="s">
        <v>3576</v>
      </c>
      <c r="D1312" s="1" t="s">
        <v>20</v>
      </c>
      <c r="E1312" s="1" t="s">
        <v>4250</v>
      </c>
      <c r="F1312" s="1" t="s">
        <v>4251</v>
      </c>
      <c r="G1312" s="1" t="s">
        <v>4252</v>
      </c>
      <c r="H1312" s="2"/>
      <c r="I1312" s="5">
        <f>XLOOKUP(K1312, pharmaceutical_index!B:B, pharmaceutical_index!A:A, "Not Found")</f>
      </c>
      <c r="J1312" s="1" t="s">
        <v>2760</v>
      </c>
      <c r="K1312" s="1" t="s">
        <v>2760</v>
      </c>
      <c r="L1312" s="1" t="s">
        <v>20</v>
      </c>
      <c r="M1312" s="1" t="s">
        <v>2760</v>
      </c>
      <c r="N1312" s="2"/>
      <c r="O1312" s="2"/>
      <c r="P1312" s="2"/>
      <c r="Q1312" s="2"/>
    </row>
    <row x14ac:dyDescent="0.25" r="1313" customHeight="1" ht="17.25">
      <c r="A1313" s="1" t="s">
        <v>5094</v>
      </c>
      <c r="B1313" s="1" t="s">
        <v>2762</v>
      </c>
      <c r="C1313" s="1" t="s">
        <v>3576</v>
      </c>
      <c r="D1313" s="1" t="s">
        <v>20</v>
      </c>
      <c r="E1313" s="1" t="s">
        <v>4250</v>
      </c>
      <c r="F1313" s="1" t="s">
        <v>4251</v>
      </c>
      <c r="G1313" s="1" t="s">
        <v>4252</v>
      </c>
      <c r="H1313" s="2"/>
      <c r="I1313" s="5">
        <f>XLOOKUP(K1313, pharmaceutical_index!B:B, pharmaceutical_index!A:A, "Not Found")</f>
      </c>
      <c r="J1313" s="1" t="s">
        <v>2762</v>
      </c>
      <c r="K1313" s="1" t="s">
        <v>2762</v>
      </c>
      <c r="L1313" s="1" t="s">
        <v>20</v>
      </c>
      <c r="M1313" s="1" t="s">
        <v>2762</v>
      </c>
      <c r="N1313" s="2"/>
      <c r="O1313" s="2"/>
      <c r="P1313" s="2"/>
      <c r="Q1313" s="2"/>
    </row>
    <row x14ac:dyDescent="0.25" r="1314" customHeight="1" ht="17.25">
      <c r="A1314" s="1" t="s">
        <v>5095</v>
      </c>
      <c r="B1314" s="1" t="s">
        <v>2764</v>
      </c>
      <c r="C1314" s="1" t="s">
        <v>3576</v>
      </c>
      <c r="D1314" s="1" t="s">
        <v>20</v>
      </c>
      <c r="E1314" s="1" t="s">
        <v>4250</v>
      </c>
      <c r="F1314" s="1" t="s">
        <v>4251</v>
      </c>
      <c r="G1314" s="1" t="s">
        <v>4252</v>
      </c>
      <c r="H1314" s="2"/>
      <c r="I1314" s="5">
        <f>XLOOKUP(K1314, pharmaceutical_index!B:B, pharmaceutical_index!A:A, "Not Found")</f>
      </c>
      <c r="J1314" s="1" t="s">
        <v>2764</v>
      </c>
      <c r="K1314" s="1" t="s">
        <v>2764</v>
      </c>
      <c r="L1314" s="1" t="s">
        <v>20</v>
      </c>
      <c r="M1314" s="1" t="s">
        <v>2764</v>
      </c>
      <c r="N1314" s="2"/>
      <c r="O1314" s="2"/>
      <c r="P1314" s="2"/>
      <c r="Q1314" s="2"/>
    </row>
    <row x14ac:dyDescent="0.25" r="1315" customHeight="1" ht="17.25">
      <c r="A1315" s="1" t="s">
        <v>5096</v>
      </c>
      <c r="B1315" s="1" t="s">
        <v>2766</v>
      </c>
      <c r="C1315" s="1" t="s">
        <v>3576</v>
      </c>
      <c r="D1315" s="1" t="s">
        <v>20</v>
      </c>
      <c r="E1315" s="1" t="s">
        <v>4250</v>
      </c>
      <c r="F1315" s="1" t="s">
        <v>4251</v>
      </c>
      <c r="G1315" s="1" t="s">
        <v>4252</v>
      </c>
      <c r="H1315" s="2"/>
      <c r="I1315" s="5">
        <f>XLOOKUP(K1315, pharmaceutical_index!B:B, pharmaceutical_index!A:A, "Not Found")</f>
      </c>
      <c r="J1315" s="1" t="s">
        <v>2766</v>
      </c>
      <c r="K1315" s="1" t="s">
        <v>2766</v>
      </c>
      <c r="L1315" s="1" t="s">
        <v>20</v>
      </c>
      <c r="M1315" s="1" t="s">
        <v>2766</v>
      </c>
      <c r="N1315" s="2"/>
      <c r="O1315" s="2"/>
      <c r="P1315" s="2"/>
      <c r="Q1315" s="2"/>
    </row>
    <row x14ac:dyDescent="0.25" r="1316" customHeight="1" ht="17.25">
      <c r="A1316" s="1" t="s">
        <v>5097</v>
      </c>
      <c r="B1316" s="1" t="s">
        <v>2768</v>
      </c>
      <c r="C1316" s="1" t="s">
        <v>3576</v>
      </c>
      <c r="D1316" s="1" t="s">
        <v>20</v>
      </c>
      <c r="E1316" s="1" t="s">
        <v>4250</v>
      </c>
      <c r="F1316" s="1" t="s">
        <v>4251</v>
      </c>
      <c r="G1316" s="1" t="s">
        <v>4252</v>
      </c>
      <c r="H1316" s="2"/>
      <c r="I1316" s="5">
        <f>XLOOKUP(K1316, pharmaceutical_index!B:B, pharmaceutical_index!A:A, "Not Found")</f>
      </c>
      <c r="J1316" s="1" t="s">
        <v>2768</v>
      </c>
      <c r="K1316" s="1" t="s">
        <v>2768</v>
      </c>
      <c r="L1316" s="1" t="s">
        <v>20</v>
      </c>
      <c r="M1316" s="1" t="s">
        <v>2768</v>
      </c>
      <c r="N1316" s="2"/>
      <c r="O1316" s="2"/>
      <c r="P1316" s="2"/>
      <c r="Q1316" s="2"/>
    </row>
    <row x14ac:dyDescent="0.25" r="1317" customHeight="1" ht="17.25">
      <c r="A1317" s="1" t="s">
        <v>5098</v>
      </c>
      <c r="B1317" s="1" t="s">
        <v>2770</v>
      </c>
      <c r="C1317" s="1" t="s">
        <v>3576</v>
      </c>
      <c r="D1317" s="1" t="s">
        <v>20</v>
      </c>
      <c r="E1317" s="1" t="s">
        <v>4250</v>
      </c>
      <c r="F1317" s="1" t="s">
        <v>4251</v>
      </c>
      <c r="G1317" s="1" t="s">
        <v>4252</v>
      </c>
      <c r="H1317" s="2"/>
      <c r="I1317" s="5">
        <f>XLOOKUP(K1317, pharmaceutical_index!B:B, pharmaceutical_index!A:A, "Not Found")</f>
      </c>
      <c r="J1317" s="1" t="s">
        <v>2770</v>
      </c>
      <c r="K1317" s="1" t="s">
        <v>2770</v>
      </c>
      <c r="L1317" s="1" t="s">
        <v>20</v>
      </c>
      <c r="M1317" s="1" t="s">
        <v>2770</v>
      </c>
      <c r="N1317" s="2"/>
      <c r="O1317" s="2"/>
      <c r="P1317" s="2"/>
      <c r="Q1317" s="2"/>
    </row>
    <row x14ac:dyDescent="0.25" r="1318" customHeight="1" ht="17.25">
      <c r="A1318" s="1" t="s">
        <v>5099</v>
      </c>
      <c r="B1318" s="1" t="s">
        <v>2772</v>
      </c>
      <c r="C1318" s="1" t="s">
        <v>3576</v>
      </c>
      <c r="D1318" s="1" t="s">
        <v>20</v>
      </c>
      <c r="E1318" s="1" t="s">
        <v>4250</v>
      </c>
      <c r="F1318" s="1" t="s">
        <v>4251</v>
      </c>
      <c r="G1318" s="1" t="s">
        <v>4252</v>
      </c>
      <c r="H1318" s="2"/>
      <c r="I1318" s="5">
        <f>XLOOKUP(K1318, pharmaceutical_index!B:B, pharmaceutical_index!A:A, "Not Found")</f>
      </c>
      <c r="J1318" s="1" t="s">
        <v>2772</v>
      </c>
      <c r="K1318" s="1" t="s">
        <v>2772</v>
      </c>
      <c r="L1318" s="1" t="s">
        <v>20</v>
      </c>
      <c r="M1318" s="1" t="s">
        <v>2772</v>
      </c>
      <c r="N1318" s="2"/>
      <c r="O1318" s="2"/>
      <c r="P1318" s="2"/>
      <c r="Q1318" s="2"/>
    </row>
    <row x14ac:dyDescent="0.25" r="1319" customHeight="1" ht="17.25">
      <c r="A1319" s="1" t="s">
        <v>5100</v>
      </c>
      <c r="B1319" s="1" t="s">
        <v>2774</v>
      </c>
      <c r="C1319" s="1" t="s">
        <v>3576</v>
      </c>
      <c r="D1319" s="1" t="s">
        <v>20</v>
      </c>
      <c r="E1319" s="1" t="s">
        <v>4250</v>
      </c>
      <c r="F1319" s="1" t="s">
        <v>4251</v>
      </c>
      <c r="G1319" s="1" t="s">
        <v>4252</v>
      </c>
      <c r="H1319" s="2"/>
      <c r="I1319" s="5">
        <f>XLOOKUP(K1319, pharmaceutical_index!B:B, pharmaceutical_index!A:A, "Not Found")</f>
      </c>
      <c r="J1319" s="1" t="s">
        <v>2774</v>
      </c>
      <c r="K1319" s="1" t="s">
        <v>2774</v>
      </c>
      <c r="L1319" s="1" t="s">
        <v>20</v>
      </c>
      <c r="M1319" s="1" t="s">
        <v>2774</v>
      </c>
      <c r="N1319" s="2"/>
      <c r="O1319" s="2"/>
      <c r="P1319" s="2"/>
      <c r="Q1319" s="2"/>
    </row>
    <row x14ac:dyDescent="0.25" r="1320" customHeight="1" ht="17.25">
      <c r="A1320" s="1" t="s">
        <v>5101</v>
      </c>
      <c r="B1320" s="1" t="s">
        <v>2776</v>
      </c>
      <c r="C1320" s="1" t="s">
        <v>3576</v>
      </c>
      <c r="D1320" s="1" t="s">
        <v>20</v>
      </c>
      <c r="E1320" s="1" t="s">
        <v>4250</v>
      </c>
      <c r="F1320" s="1" t="s">
        <v>4251</v>
      </c>
      <c r="G1320" s="1" t="s">
        <v>4252</v>
      </c>
      <c r="H1320" s="2"/>
      <c r="I1320" s="5">
        <f>XLOOKUP(K1320, pharmaceutical_index!B:B, pharmaceutical_index!A:A, "Not Found")</f>
      </c>
      <c r="J1320" s="1" t="s">
        <v>2776</v>
      </c>
      <c r="K1320" s="1" t="s">
        <v>2776</v>
      </c>
      <c r="L1320" s="1" t="s">
        <v>20</v>
      </c>
      <c r="M1320" s="1" t="s">
        <v>2776</v>
      </c>
      <c r="N1320" s="2"/>
      <c r="O1320" s="2"/>
      <c r="P1320" s="2"/>
      <c r="Q1320" s="2"/>
    </row>
    <row x14ac:dyDescent="0.25" r="1321" customHeight="1" ht="17.25">
      <c r="A1321" s="1" t="s">
        <v>5102</v>
      </c>
      <c r="B1321" s="1" t="s">
        <v>2778</v>
      </c>
      <c r="C1321" s="1" t="s">
        <v>3576</v>
      </c>
      <c r="D1321" s="1" t="s">
        <v>20</v>
      </c>
      <c r="E1321" s="1" t="s">
        <v>4250</v>
      </c>
      <c r="F1321" s="1" t="s">
        <v>4251</v>
      </c>
      <c r="G1321" s="1" t="s">
        <v>4252</v>
      </c>
      <c r="H1321" s="2"/>
      <c r="I1321" s="5">
        <f>XLOOKUP(K1321, pharmaceutical_index!B:B, pharmaceutical_index!A:A, "Not Found")</f>
      </c>
      <c r="J1321" s="1" t="s">
        <v>2778</v>
      </c>
      <c r="K1321" s="1" t="s">
        <v>2778</v>
      </c>
      <c r="L1321" s="1" t="s">
        <v>20</v>
      </c>
      <c r="M1321" s="1" t="s">
        <v>2778</v>
      </c>
      <c r="N1321" s="2"/>
      <c r="O1321" s="2"/>
      <c r="P1321" s="2"/>
      <c r="Q1321" s="2"/>
    </row>
    <row x14ac:dyDescent="0.25" r="1322" customHeight="1" ht="17.25">
      <c r="A1322" s="1" t="s">
        <v>5103</v>
      </c>
      <c r="B1322" s="1" t="s">
        <v>2780</v>
      </c>
      <c r="C1322" s="1" t="s">
        <v>3576</v>
      </c>
      <c r="D1322" s="1" t="s">
        <v>20</v>
      </c>
      <c r="E1322" s="1" t="s">
        <v>4250</v>
      </c>
      <c r="F1322" s="1" t="s">
        <v>4251</v>
      </c>
      <c r="G1322" s="1" t="s">
        <v>4252</v>
      </c>
      <c r="H1322" s="2"/>
      <c r="I1322" s="5">
        <f>XLOOKUP(K1322, pharmaceutical_index!B:B, pharmaceutical_index!A:A, "Not Found")</f>
      </c>
      <c r="J1322" s="1" t="s">
        <v>2780</v>
      </c>
      <c r="K1322" s="1" t="s">
        <v>2780</v>
      </c>
      <c r="L1322" s="1" t="s">
        <v>20</v>
      </c>
      <c r="M1322" s="1" t="s">
        <v>2780</v>
      </c>
      <c r="N1322" s="2"/>
      <c r="O1322" s="2"/>
      <c r="P1322" s="2"/>
      <c r="Q1322" s="2"/>
    </row>
    <row x14ac:dyDescent="0.25" r="1323" customHeight="1" ht="17.25">
      <c r="A1323" s="1" t="s">
        <v>5104</v>
      </c>
      <c r="B1323" s="1" t="s">
        <v>2782</v>
      </c>
      <c r="C1323" s="1" t="s">
        <v>3576</v>
      </c>
      <c r="D1323" s="1" t="s">
        <v>20</v>
      </c>
      <c r="E1323" s="1" t="s">
        <v>4250</v>
      </c>
      <c r="F1323" s="1" t="s">
        <v>4251</v>
      </c>
      <c r="G1323" s="1" t="s">
        <v>4252</v>
      </c>
      <c r="H1323" s="2"/>
      <c r="I1323" s="5">
        <f>XLOOKUP(K1323, pharmaceutical_index!B:B, pharmaceutical_index!A:A, "Not Found")</f>
      </c>
      <c r="J1323" s="1" t="s">
        <v>2782</v>
      </c>
      <c r="K1323" s="1" t="s">
        <v>2782</v>
      </c>
      <c r="L1323" s="1" t="s">
        <v>20</v>
      </c>
      <c r="M1323" s="1" t="s">
        <v>2782</v>
      </c>
      <c r="N1323" s="2"/>
      <c r="O1323" s="2"/>
      <c r="P1323" s="2"/>
      <c r="Q1323" s="2"/>
    </row>
    <row x14ac:dyDescent="0.25" r="1324" customHeight="1" ht="17.25">
      <c r="A1324" s="1" t="s">
        <v>5105</v>
      </c>
      <c r="B1324" s="1" t="s">
        <v>2784</v>
      </c>
      <c r="C1324" s="1" t="s">
        <v>3576</v>
      </c>
      <c r="D1324" s="1" t="s">
        <v>20</v>
      </c>
      <c r="E1324" s="1" t="s">
        <v>4250</v>
      </c>
      <c r="F1324" s="1" t="s">
        <v>4251</v>
      </c>
      <c r="G1324" s="1" t="s">
        <v>4252</v>
      </c>
      <c r="H1324" s="2"/>
      <c r="I1324" s="5">
        <f>XLOOKUP(K1324, pharmaceutical_index!B:B, pharmaceutical_index!A:A, "Not Found")</f>
      </c>
      <c r="J1324" s="1" t="s">
        <v>2784</v>
      </c>
      <c r="K1324" s="1" t="s">
        <v>2784</v>
      </c>
      <c r="L1324" s="1" t="s">
        <v>20</v>
      </c>
      <c r="M1324" s="1" t="s">
        <v>2784</v>
      </c>
      <c r="N1324" s="2"/>
      <c r="O1324" s="2"/>
      <c r="P1324" s="2"/>
      <c r="Q1324" s="2"/>
    </row>
    <row x14ac:dyDescent="0.25" r="1325" customHeight="1" ht="17.25">
      <c r="A1325" s="1" t="s">
        <v>5106</v>
      </c>
      <c r="B1325" s="1" t="s">
        <v>2786</v>
      </c>
      <c r="C1325" s="1" t="s">
        <v>3576</v>
      </c>
      <c r="D1325" s="1" t="s">
        <v>20</v>
      </c>
      <c r="E1325" s="1" t="s">
        <v>4250</v>
      </c>
      <c r="F1325" s="1" t="s">
        <v>4251</v>
      </c>
      <c r="G1325" s="1" t="s">
        <v>4252</v>
      </c>
      <c r="H1325" s="2"/>
      <c r="I1325" s="5">
        <f>XLOOKUP(K1325, pharmaceutical_index!B:B, pharmaceutical_index!A:A, "Not Found")</f>
      </c>
      <c r="J1325" s="1" t="s">
        <v>2786</v>
      </c>
      <c r="K1325" s="1" t="s">
        <v>2786</v>
      </c>
      <c r="L1325" s="1" t="s">
        <v>20</v>
      </c>
      <c r="M1325" s="1" t="s">
        <v>2786</v>
      </c>
      <c r="N1325" s="2"/>
      <c r="O1325" s="2"/>
      <c r="P1325" s="2"/>
      <c r="Q1325" s="2"/>
    </row>
    <row x14ac:dyDescent="0.25" r="1326" customHeight="1" ht="17.25">
      <c r="A1326" s="1" t="s">
        <v>5107</v>
      </c>
      <c r="B1326" s="1" t="s">
        <v>2788</v>
      </c>
      <c r="C1326" s="1" t="s">
        <v>3576</v>
      </c>
      <c r="D1326" s="1" t="s">
        <v>20</v>
      </c>
      <c r="E1326" s="1" t="s">
        <v>4250</v>
      </c>
      <c r="F1326" s="1" t="s">
        <v>4251</v>
      </c>
      <c r="G1326" s="1" t="s">
        <v>4252</v>
      </c>
      <c r="H1326" s="2"/>
      <c r="I1326" s="5">
        <f>XLOOKUP(K1326, pharmaceutical_index!B:B, pharmaceutical_index!A:A, "Not Found")</f>
      </c>
      <c r="J1326" s="1" t="s">
        <v>2788</v>
      </c>
      <c r="K1326" s="1" t="s">
        <v>2788</v>
      </c>
      <c r="L1326" s="1" t="s">
        <v>20</v>
      </c>
      <c r="M1326" s="1" t="s">
        <v>2788</v>
      </c>
      <c r="N1326" s="2"/>
      <c r="O1326" s="2"/>
      <c r="P1326" s="2"/>
      <c r="Q1326" s="2"/>
    </row>
    <row x14ac:dyDescent="0.25" r="1327" customHeight="1" ht="17.25">
      <c r="A1327" s="1" t="s">
        <v>5108</v>
      </c>
      <c r="B1327" s="1" t="s">
        <v>2790</v>
      </c>
      <c r="C1327" s="1" t="s">
        <v>3576</v>
      </c>
      <c r="D1327" s="1" t="s">
        <v>20</v>
      </c>
      <c r="E1327" s="1" t="s">
        <v>4250</v>
      </c>
      <c r="F1327" s="1" t="s">
        <v>4251</v>
      </c>
      <c r="G1327" s="1" t="s">
        <v>4252</v>
      </c>
      <c r="H1327" s="2"/>
      <c r="I1327" s="5">
        <f>XLOOKUP(K1327, pharmaceutical_index!B:B, pharmaceutical_index!A:A, "Not Found")</f>
      </c>
      <c r="J1327" s="1" t="s">
        <v>2790</v>
      </c>
      <c r="K1327" s="1" t="s">
        <v>2790</v>
      </c>
      <c r="L1327" s="1" t="s">
        <v>20</v>
      </c>
      <c r="M1327" s="1" t="s">
        <v>2790</v>
      </c>
      <c r="N1327" s="2"/>
      <c r="O1327" s="2"/>
      <c r="P1327" s="2"/>
      <c r="Q1327" s="2"/>
    </row>
    <row x14ac:dyDescent="0.25" r="1328" customHeight="1" ht="17.25">
      <c r="A1328" s="1" t="s">
        <v>5109</v>
      </c>
      <c r="B1328" s="1" t="s">
        <v>2792</v>
      </c>
      <c r="C1328" s="1" t="s">
        <v>3576</v>
      </c>
      <c r="D1328" s="1" t="s">
        <v>20</v>
      </c>
      <c r="E1328" s="1" t="s">
        <v>4250</v>
      </c>
      <c r="F1328" s="1" t="s">
        <v>4251</v>
      </c>
      <c r="G1328" s="1" t="s">
        <v>4252</v>
      </c>
      <c r="H1328" s="2"/>
      <c r="I1328" s="5">
        <f>XLOOKUP(K1328, pharmaceutical_index!B:B, pharmaceutical_index!A:A, "Not Found")</f>
      </c>
      <c r="J1328" s="1" t="s">
        <v>2792</v>
      </c>
      <c r="K1328" s="1" t="s">
        <v>2792</v>
      </c>
      <c r="L1328" s="1" t="s">
        <v>20</v>
      </c>
      <c r="M1328" s="1" t="s">
        <v>2792</v>
      </c>
      <c r="N1328" s="2"/>
      <c r="O1328" s="2"/>
      <c r="P1328" s="2"/>
      <c r="Q1328" s="2"/>
    </row>
    <row x14ac:dyDescent="0.25" r="1329" customHeight="1" ht="17.25">
      <c r="A1329" s="1" t="s">
        <v>5110</v>
      </c>
      <c r="B1329" s="1" t="s">
        <v>2794</v>
      </c>
      <c r="C1329" s="1" t="s">
        <v>3576</v>
      </c>
      <c r="D1329" s="1" t="s">
        <v>20</v>
      </c>
      <c r="E1329" s="1" t="s">
        <v>4250</v>
      </c>
      <c r="F1329" s="1" t="s">
        <v>4251</v>
      </c>
      <c r="G1329" s="1" t="s">
        <v>4252</v>
      </c>
      <c r="H1329" s="2"/>
      <c r="I1329" s="5">
        <f>XLOOKUP(K1329, pharmaceutical_index!B:B, pharmaceutical_index!A:A, "Not Found")</f>
      </c>
      <c r="J1329" s="1" t="s">
        <v>2794</v>
      </c>
      <c r="K1329" s="1" t="s">
        <v>2794</v>
      </c>
      <c r="L1329" s="1" t="s">
        <v>20</v>
      </c>
      <c r="M1329" s="1" t="s">
        <v>2794</v>
      </c>
      <c r="N1329" s="2"/>
      <c r="O1329" s="2"/>
      <c r="P1329" s="2"/>
      <c r="Q1329" s="2"/>
    </row>
    <row x14ac:dyDescent="0.25" r="1330" customHeight="1" ht="17.25">
      <c r="A1330" s="1" t="s">
        <v>5111</v>
      </c>
      <c r="B1330" s="1" t="s">
        <v>2796</v>
      </c>
      <c r="C1330" s="1" t="s">
        <v>3576</v>
      </c>
      <c r="D1330" s="1" t="s">
        <v>20</v>
      </c>
      <c r="E1330" s="1" t="s">
        <v>4250</v>
      </c>
      <c r="F1330" s="1" t="s">
        <v>4251</v>
      </c>
      <c r="G1330" s="1" t="s">
        <v>4252</v>
      </c>
      <c r="H1330" s="2"/>
      <c r="I1330" s="5">
        <f>XLOOKUP(K1330, pharmaceutical_index!B:B, pharmaceutical_index!A:A, "Not Found")</f>
      </c>
      <c r="J1330" s="1" t="s">
        <v>2796</v>
      </c>
      <c r="K1330" s="1" t="s">
        <v>2796</v>
      </c>
      <c r="L1330" s="1" t="s">
        <v>20</v>
      </c>
      <c r="M1330" s="1" t="s">
        <v>2796</v>
      </c>
      <c r="N1330" s="2"/>
      <c r="O1330" s="2"/>
      <c r="P1330" s="2"/>
      <c r="Q1330" s="2"/>
    </row>
    <row x14ac:dyDescent="0.25" r="1331" customHeight="1" ht="17.25">
      <c r="A1331" s="1" t="s">
        <v>5112</v>
      </c>
      <c r="B1331" s="1" t="s">
        <v>2798</v>
      </c>
      <c r="C1331" s="1" t="s">
        <v>3576</v>
      </c>
      <c r="D1331" s="1" t="s">
        <v>20</v>
      </c>
      <c r="E1331" s="1" t="s">
        <v>4250</v>
      </c>
      <c r="F1331" s="1" t="s">
        <v>4251</v>
      </c>
      <c r="G1331" s="1" t="s">
        <v>4252</v>
      </c>
      <c r="H1331" s="2"/>
      <c r="I1331" s="5">
        <f>XLOOKUP(K1331, pharmaceutical_index!B:B, pharmaceutical_index!A:A, "Not Found")</f>
      </c>
      <c r="J1331" s="1" t="s">
        <v>2798</v>
      </c>
      <c r="K1331" s="1" t="s">
        <v>2798</v>
      </c>
      <c r="L1331" s="1" t="s">
        <v>20</v>
      </c>
      <c r="M1331" s="1" t="s">
        <v>2798</v>
      </c>
      <c r="N1331" s="2"/>
      <c r="O1331" s="2"/>
      <c r="P1331" s="2"/>
      <c r="Q1331" s="2"/>
    </row>
    <row x14ac:dyDescent="0.25" r="1332" customHeight="1" ht="17.25">
      <c r="A1332" s="1" t="s">
        <v>5113</v>
      </c>
      <c r="B1332" s="1" t="s">
        <v>2800</v>
      </c>
      <c r="C1332" s="1" t="s">
        <v>3576</v>
      </c>
      <c r="D1332" s="1" t="s">
        <v>20</v>
      </c>
      <c r="E1332" s="1" t="s">
        <v>4250</v>
      </c>
      <c r="F1332" s="1" t="s">
        <v>4251</v>
      </c>
      <c r="G1332" s="1" t="s">
        <v>4252</v>
      </c>
      <c r="H1332" s="2"/>
      <c r="I1332" s="5">
        <f>XLOOKUP(K1332, pharmaceutical_index!B:B, pharmaceutical_index!A:A, "Not Found")</f>
      </c>
      <c r="J1332" s="1" t="s">
        <v>2800</v>
      </c>
      <c r="K1332" s="1" t="s">
        <v>2800</v>
      </c>
      <c r="L1332" s="1" t="s">
        <v>20</v>
      </c>
      <c r="M1332" s="1" t="s">
        <v>2800</v>
      </c>
      <c r="N1332" s="2"/>
      <c r="O1332" s="2"/>
      <c r="P1332" s="2"/>
      <c r="Q1332" s="2"/>
    </row>
    <row x14ac:dyDescent="0.25" r="1333" customHeight="1" ht="17.25">
      <c r="A1333" s="1" t="s">
        <v>5114</v>
      </c>
      <c r="B1333" s="1" t="s">
        <v>2802</v>
      </c>
      <c r="C1333" s="1" t="s">
        <v>3576</v>
      </c>
      <c r="D1333" s="1" t="s">
        <v>20</v>
      </c>
      <c r="E1333" s="1" t="s">
        <v>4250</v>
      </c>
      <c r="F1333" s="1" t="s">
        <v>4251</v>
      </c>
      <c r="G1333" s="1" t="s">
        <v>4252</v>
      </c>
      <c r="H1333" s="2"/>
      <c r="I1333" s="5">
        <f>XLOOKUP(K1333, pharmaceutical_index!B:B, pharmaceutical_index!A:A, "Not Found")</f>
      </c>
      <c r="J1333" s="1" t="s">
        <v>2802</v>
      </c>
      <c r="K1333" s="1" t="s">
        <v>2802</v>
      </c>
      <c r="L1333" s="1" t="s">
        <v>20</v>
      </c>
      <c r="M1333" s="1" t="s">
        <v>2802</v>
      </c>
      <c r="N1333" s="2"/>
      <c r="O1333" s="2"/>
      <c r="P1333" s="2"/>
      <c r="Q1333" s="2"/>
    </row>
    <row x14ac:dyDescent="0.25" r="1334" customHeight="1" ht="17.25">
      <c r="A1334" s="1" t="s">
        <v>5115</v>
      </c>
      <c r="B1334" s="1" t="s">
        <v>2804</v>
      </c>
      <c r="C1334" s="1" t="s">
        <v>3576</v>
      </c>
      <c r="D1334" s="1" t="s">
        <v>20</v>
      </c>
      <c r="E1334" s="1" t="s">
        <v>4250</v>
      </c>
      <c r="F1334" s="1" t="s">
        <v>4251</v>
      </c>
      <c r="G1334" s="1" t="s">
        <v>4252</v>
      </c>
      <c r="H1334" s="2"/>
      <c r="I1334" s="5">
        <f>XLOOKUP(K1334, pharmaceutical_index!B:B, pharmaceutical_index!A:A, "Not Found")</f>
      </c>
      <c r="J1334" s="1" t="s">
        <v>2804</v>
      </c>
      <c r="K1334" s="1" t="s">
        <v>2804</v>
      </c>
      <c r="L1334" s="1" t="s">
        <v>20</v>
      </c>
      <c r="M1334" s="1" t="s">
        <v>2804</v>
      </c>
      <c r="N1334" s="2"/>
      <c r="O1334" s="2"/>
      <c r="P1334" s="2"/>
      <c r="Q1334" s="2"/>
    </row>
    <row x14ac:dyDescent="0.25" r="1335" customHeight="1" ht="17.25">
      <c r="A1335" s="1" t="s">
        <v>5116</v>
      </c>
      <c r="B1335" s="1" t="s">
        <v>2806</v>
      </c>
      <c r="C1335" s="1" t="s">
        <v>3576</v>
      </c>
      <c r="D1335" s="1" t="s">
        <v>20</v>
      </c>
      <c r="E1335" s="1" t="s">
        <v>4250</v>
      </c>
      <c r="F1335" s="1" t="s">
        <v>4251</v>
      </c>
      <c r="G1335" s="1" t="s">
        <v>4252</v>
      </c>
      <c r="H1335" s="2"/>
      <c r="I1335" s="5">
        <f>XLOOKUP(K1335, pharmaceutical_index!B:B, pharmaceutical_index!A:A, "Not Found")</f>
      </c>
      <c r="J1335" s="1" t="s">
        <v>2806</v>
      </c>
      <c r="K1335" s="1" t="s">
        <v>2806</v>
      </c>
      <c r="L1335" s="1" t="s">
        <v>20</v>
      </c>
      <c r="M1335" s="1" t="s">
        <v>2806</v>
      </c>
      <c r="N1335" s="2"/>
      <c r="O1335" s="2"/>
      <c r="P1335" s="2"/>
      <c r="Q1335" s="2"/>
    </row>
    <row x14ac:dyDescent="0.25" r="1336" customHeight="1" ht="17.25">
      <c r="A1336" s="1" t="s">
        <v>5117</v>
      </c>
      <c r="B1336" s="1" t="s">
        <v>2808</v>
      </c>
      <c r="C1336" s="1" t="s">
        <v>3576</v>
      </c>
      <c r="D1336" s="1" t="s">
        <v>20</v>
      </c>
      <c r="E1336" s="1" t="s">
        <v>4250</v>
      </c>
      <c r="F1336" s="1" t="s">
        <v>4251</v>
      </c>
      <c r="G1336" s="1" t="s">
        <v>4252</v>
      </c>
      <c r="H1336" s="2"/>
      <c r="I1336" s="5">
        <f>XLOOKUP(K1336, pharmaceutical_index!B:B, pharmaceutical_index!A:A, "Not Found")</f>
      </c>
      <c r="J1336" s="1" t="s">
        <v>2808</v>
      </c>
      <c r="K1336" s="1" t="s">
        <v>2808</v>
      </c>
      <c r="L1336" s="1" t="s">
        <v>20</v>
      </c>
      <c r="M1336" s="1" t="s">
        <v>2808</v>
      </c>
      <c r="N1336" s="2"/>
      <c r="O1336" s="2"/>
      <c r="P1336" s="2"/>
      <c r="Q1336" s="2"/>
    </row>
    <row x14ac:dyDescent="0.25" r="1337" customHeight="1" ht="17.25">
      <c r="A1337" s="1" t="s">
        <v>5118</v>
      </c>
      <c r="B1337" s="1" t="s">
        <v>2810</v>
      </c>
      <c r="C1337" s="1" t="s">
        <v>3576</v>
      </c>
      <c r="D1337" s="1" t="s">
        <v>20</v>
      </c>
      <c r="E1337" s="1" t="s">
        <v>4250</v>
      </c>
      <c r="F1337" s="1" t="s">
        <v>4251</v>
      </c>
      <c r="G1337" s="1" t="s">
        <v>4252</v>
      </c>
      <c r="H1337" s="2"/>
      <c r="I1337" s="5">
        <f>XLOOKUP(K1337, pharmaceutical_index!B:B, pharmaceutical_index!A:A, "Not Found")</f>
      </c>
      <c r="J1337" s="1" t="s">
        <v>2810</v>
      </c>
      <c r="K1337" s="1" t="s">
        <v>2810</v>
      </c>
      <c r="L1337" s="1" t="s">
        <v>20</v>
      </c>
      <c r="M1337" s="1" t="s">
        <v>2810</v>
      </c>
      <c r="N1337" s="2"/>
      <c r="O1337" s="2"/>
      <c r="P1337" s="2"/>
      <c r="Q1337" s="2"/>
    </row>
    <row x14ac:dyDescent="0.25" r="1338" customHeight="1" ht="17.25">
      <c r="A1338" s="1" t="s">
        <v>5119</v>
      </c>
      <c r="B1338" s="1" t="s">
        <v>2812</v>
      </c>
      <c r="C1338" s="1" t="s">
        <v>3576</v>
      </c>
      <c r="D1338" s="1" t="s">
        <v>20</v>
      </c>
      <c r="E1338" s="1" t="s">
        <v>4250</v>
      </c>
      <c r="F1338" s="1" t="s">
        <v>4251</v>
      </c>
      <c r="G1338" s="1" t="s">
        <v>4252</v>
      </c>
      <c r="H1338" s="2"/>
      <c r="I1338" s="5">
        <f>XLOOKUP(K1338, pharmaceutical_index!B:B, pharmaceutical_index!A:A, "Not Found")</f>
      </c>
      <c r="J1338" s="1" t="s">
        <v>2812</v>
      </c>
      <c r="K1338" s="1" t="s">
        <v>2812</v>
      </c>
      <c r="L1338" s="1" t="s">
        <v>20</v>
      </c>
      <c r="M1338" s="1" t="s">
        <v>2812</v>
      </c>
      <c r="N1338" s="2"/>
      <c r="O1338" s="2"/>
      <c r="P1338" s="2"/>
      <c r="Q1338" s="2"/>
    </row>
    <row x14ac:dyDescent="0.25" r="1339" customHeight="1" ht="17.25">
      <c r="A1339" s="1" t="s">
        <v>5120</v>
      </c>
      <c r="B1339" s="1" t="s">
        <v>2814</v>
      </c>
      <c r="C1339" s="1" t="s">
        <v>3576</v>
      </c>
      <c r="D1339" s="1" t="s">
        <v>20</v>
      </c>
      <c r="E1339" s="1" t="s">
        <v>4250</v>
      </c>
      <c r="F1339" s="1" t="s">
        <v>4251</v>
      </c>
      <c r="G1339" s="1" t="s">
        <v>4252</v>
      </c>
      <c r="H1339" s="2"/>
      <c r="I1339" s="5">
        <f>XLOOKUP(K1339, pharmaceutical_index!B:B, pharmaceutical_index!A:A, "Not Found")</f>
      </c>
      <c r="J1339" s="1" t="s">
        <v>2814</v>
      </c>
      <c r="K1339" s="1" t="s">
        <v>2814</v>
      </c>
      <c r="L1339" s="1" t="s">
        <v>20</v>
      </c>
      <c r="M1339" s="1" t="s">
        <v>2814</v>
      </c>
      <c r="N1339" s="2"/>
      <c r="O1339" s="2"/>
      <c r="P1339" s="2"/>
      <c r="Q1339" s="2"/>
    </row>
    <row x14ac:dyDescent="0.25" r="1340" customHeight="1" ht="17.25">
      <c r="A1340" s="1" t="s">
        <v>5121</v>
      </c>
      <c r="B1340" s="1" t="s">
        <v>2816</v>
      </c>
      <c r="C1340" s="1" t="s">
        <v>3576</v>
      </c>
      <c r="D1340" s="1" t="s">
        <v>20</v>
      </c>
      <c r="E1340" s="1" t="s">
        <v>4250</v>
      </c>
      <c r="F1340" s="1" t="s">
        <v>4251</v>
      </c>
      <c r="G1340" s="1" t="s">
        <v>4252</v>
      </c>
      <c r="H1340" s="2"/>
      <c r="I1340" s="5">
        <f>XLOOKUP(K1340, pharmaceutical_index!B:B, pharmaceutical_index!A:A, "Not Found")</f>
      </c>
      <c r="J1340" s="1" t="s">
        <v>2816</v>
      </c>
      <c r="K1340" s="1" t="s">
        <v>2816</v>
      </c>
      <c r="L1340" s="1" t="s">
        <v>20</v>
      </c>
      <c r="M1340" s="1" t="s">
        <v>2816</v>
      </c>
      <c r="N1340" s="2"/>
      <c r="O1340" s="2"/>
      <c r="P1340" s="2"/>
      <c r="Q1340" s="2"/>
    </row>
    <row x14ac:dyDescent="0.25" r="1341" customHeight="1" ht="17.25">
      <c r="A1341" s="1" t="s">
        <v>5122</v>
      </c>
      <c r="B1341" s="1" t="s">
        <v>2818</v>
      </c>
      <c r="C1341" s="1" t="s">
        <v>3576</v>
      </c>
      <c r="D1341" s="1" t="s">
        <v>20</v>
      </c>
      <c r="E1341" s="1" t="s">
        <v>4250</v>
      </c>
      <c r="F1341" s="1" t="s">
        <v>4251</v>
      </c>
      <c r="G1341" s="1" t="s">
        <v>4252</v>
      </c>
      <c r="H1341" s="2"/>
      <c r="I1341" s="5">
        <f>XLOOKUP(K1341, pharmaceutical_index!B:B, pharmaceutical_index!A:A, "Not Found")</f>
      </c>
      <c r="J1341" s="1" t="s">
        <v>2818</v>
      </c>
      <c r="K1341" s="1" t="s">
        <v>2818</v>
      </c>
      <c r="L1341" s="1" t="s">
        <v>20</v>
      </c>
      <c r="M1341" s="1" t="s">
        <v>2818</v>
      </c>
      <c r="N1341" s="2"/>
      <c r="O1341" s="2"/>
      <c r="P1341" s="2"/>
      <c r="Q1341" s="2"/>
    </row>
    <row x14ac:dyDescent="0.25" r="1342" customHeight="1" ht="17.25">
      <c r="A1342" s="1" t="s">
        <v>5123</v>
      </c>
      <c r="B1342" s="1" t="s">
        <v>2820</v>
      </c>
      <c r="C1342" s="1" t="s">
        <v>3576</v>
      </c>
      <c r="D1342" s="1" t="s">
        <v>20</v>
      </c>
      <c r="E1342" s="1" t="s">
        <v>4250</v>
      </c>
      <c r="F1342" s="1" t="s">
        <v>4251</v>
      </c>
      <c r="G1342" s="1" t="s">
        <v>4252</v>
      </c>
      <c r="H1342" s="2"/>
      <c r="I1342" s="5">
        <f>XLOOKUP(K1342, pharmaceutical_index!B:B, pharmaceutical_index!A:A, "Not Found")</f>
      </c>
      <c r="J1342" s="1" t="s">
        <v>2820</v>
      </c>
      <c r="K1342" s="1" t="s">
        <v>2820</v>
      </c>
      <c r="L1342" s="1" t="s">
        <v>20</v>
      </c>
      <c r="M1342" s="1" t="s">
        <v>2820</v>
      </c>
      <c r="N1342" s="2"/>
      <c r="O1342" s="2"/>
      <c r="P1342" s="2"/>
      <c r="Q1342" s="2"/>
    </row>
    <row x14ac:dyDescent="0.25" r="1343" customHeight="1" ht="17.25">
      <c r="A1343" s="1" t="s">
        <v>5124</v>
      </c>
      <c r="B1343" s="1" t="s">
        <v>2822</v>
      </c>
      <c r="C1343" s="1" t="s">
        <v>3576</v>
      </c>
      <c r="D1343" s="1" t="s">
        <v>20</v>
      </c>
      <c r="E1343" s="1" t="s">
        <v>4250</v>
      </c>
      <c r="F1343" s="1" t="s">
        <v>4251</v>
      </c>
      <c r="G1343" s="1" t="s">
        <v>4252</v>
      </c>
      <c r="H1343" s="2"/>
      <c r="I1343" s="5">
        <f>XLOOKUP(K1343, pharmaceutical_index!B:B, pharmaceutical_index!A:A, "Not Found")</f>
      </c>
      <c r="J1343" s="1" t="s">
        <v>2822</v>
      </c>
      <c r="K1343" s="1" t="s">
        <v>2822</v>
      </c>
      <c r="L1343" s="1" t="s">
        <v>20</v>
      </c>
      <c r="M1343" s="1" t="s">
        <v>2822</v>
      </c>
      <c r="N1343" s="2"/>
      <c r="O1343" s="2"/>
      <c r="P1343" s="2"/>
      <c r="Q1343" s="2"/>
    </row>
    <row x14ac:dyDescent="0.25" r="1344" customHeight="1" ht="17.25">
      <c r="A1344" s="1" t="s">
        <v>5125</v>
      </c>
      <c r="B1344" s="1" t="s">
        <v>2824</v>
      </c>
      <c r="C1344" s="1" t="s">
        <v>3576</v>
      </c>
      <c r="D1344" s="1" t="s">
        <v>20</v>
      </c>
      <c r="E1344" s="1" t="s">
        <v>4250</v>
      </c>
      <c r="F1344" s="1" t="s">
        <v>4251</v>
      </c>
      <c r="G1344" s="1" t="s">
        <v>4252</v>
      </c>
      <c r="H1344" s="2"/>
      <c r="I1344" s="5">
        <f>XLOOKUP(K1344, pharmaceutical_index!B:B, pharmaceutical_index!A:A, "Not Found")</f>
      </c>
      <c r="J1344" s="1" t="s">
        <v>2824</v>
      </c>
      <c r="K1344" s="1" t="s">
        <v>2824</v>
      </c>
      <c r="L1344" s="1" t="s">
        <v>20</v>
      </c>
      <c r="M1344" s="1" t="s">
        <v>2824</v>
      </c>
      <c r="N1344" s="2"/>
      <c r="O1344" s="2"/>
      <c r="P1344" s="2"/>
      <c r="Q1344" s="2"/>
    </row>
    <row x14ac:dyDescent="0.25" r="1345" customHeight="1" ht="17.25">
      <c r="A1345" s="1" t="s">
        <v>5126</v>
      </c>
      <c r="B1345" s="1" t="s">
        <v>2826</v>
      </c>
      <c r="C1345" s="1" t="s">
        <v>3576</v>
      </c>
      <c r="D1345" s="1" t="s">
        <v>20</v>
      </c>
      <c r="E1345" s="1" t="s">
        <v>4250</v>
      </c>
      <c r="F1345" s="1" t="s">
        <v>4251</v>
      </c>
      <c r="G1345" s="1" t="s">
        <v>4252</v>
      </c>
      <c r="H1345" s="2"/>
      <c r="I1345" s="5">
        <f>XLOOKUP(K1345, pharmaceutical_index!B:B, pharmaceutical_index!A:A, "Not Found")</f>
      </c>
      <c r="J1345" s="1" t="s">
        <v>2826</v>
      </c>
      <c r="K1345" s="1" t="s">
        <v>2826</v>
      </c>
      <c r="L1345" s="1" t="s">
        <v>20</v>
      </c>
      <c r="M1345" s="1" t="s">
        <v>2826</v>
      </c>
      <c r="N1345" s="2"/>
      <c r="O1345" s="2"/>
      <c r="P1345" s="2"/>
      <c r="Q1345" s="2"/>
    </row>
    <row x14ac:dyDescent="0.25" r="1346" customHeight="1" ht="17.25">
      <c r="A1346" s="1" t="s">
        <v>5127</v>
      </c>
      <c r="B1346" s="1" t="s">
        <v>2828</v>
      </c>
      <c r="C1346" s="1" t="s">
        <v>3576</v>
      </c>
      <c r="D1346" s="1" t="s">
        <v>20</v>
      </c>
      <c r="E1346" s="1" t="s">
        <v>4250</v>
      </c>
      <c r="F1346" s="1" t="s">
        <v>4251</v>
      </c>
      <c r="G1346" s="1" t="s">
        <v>4252</v>
      </c>
      <c r="H1346" s="2"/>
      <c r="I1346" s="5">
        <f>XLOOKUP(K1346, pharmaceutical_index!B:B, pharmaceutical_index!A:A, "Not Found")</f>
      </c>
      <c r="J1346" s="1" t="s">
        <v>2828</v>
      </c>
      <c r="K1346" s="1" t="s">
        <v>2828</v>
      </c>
      <c r="L1346" s="1" t="s">
        <v>20</v>
      </c>
      <c r="M1346" s="1" t="s">
        <v>2828</v>
      </c>
      <c r="N1346" s="2"/>
      <c r="O1346" s="2"/>
      <c r="P1346" s="2"/>
      <c r="Q1346" s="2"/>
    </row>
    <row x14ac:dyDescent="0.25" r="1347" customHeight="1" ht="17.25">
      <c r="A1347" s="1" t="s">
        <v>5128</v>
      </c>
      <c r="B1347" s="1" t="s">
        <v>2830</v>
      </c>
      <c r="C1347" s="1" t="s">
        <v>3576</v>
      </c>
      <c r="D1347" s="1" t="s">
        <v>20</v>
      </c>
      <c r="E1347" s="1" t="s">
        <v>4250</v>
      </c>
      <c r="F1347" s="1" t="s">
        <v>4251</v>
      </c>
      <c r="G1347" s="1" t="s">
        <v>4252</v>
      </c>
      <c r="H1347" s="2"/>
      <c r="I1347" s="5">
        <f>XLOOKUP(K1347, pharmaceutical_index!B:B, pharmaceutical_index!A:A, "Not Found")</f>
      </c>
      <c r="J1347" s="1" t="s">
        <v>2830</v>
      </c>
      <c r="K1347" s="1" t="s">
        <v>2830</v>
      </c>
      <c r="L1347" s="1" t="s">
        <v>20</v>
      </c>
      <c r="M1347" s="1" t="s">
        <v>2830</v>
      </c>
      <c r="N1347" s="2"/>
      <c r="O1347" s="2"/>
      <c r="P1347" s="2"/>
      <c r="Q1347" s="2"/>
    </row>
    <row x14ac:dyDescent="0.25" r="1348" customHeight="1" ht="17.25">
      <c r="A1348" s="1" t="s">
        <v>5129</v>
      </c>
      <c r="B1348" s="1" t="s">
        <v>2832</v>
      </c>
      <c r="C1348" s="1" t="s">
        <v>3576</v>
      </c>
      <c r="D1348" s="1" t="s">
        <v>20</v>
      </c>
      <c r="E1348" s="1" t="s">
        <v>4250</v>
      </c>
      <c r="F1348" s="1" t="s">
        <v>4251</v>
      </c>
      <c r="G1348" s="1" t="s">
        <v>4252</v>
      </c>
      <c r="H1348" s="2"/>
      <c r="I1348" s="5">
        <f>XLOOKUP(K1348, pharmaceutical_index!B:B, pharmaceutical_index!A:A, "Not Found")</f>
      </c>
      <c r="J1348" s="1" t="s">
        <v>2832</v>
      </c>
      <c r="K1348" s="1" t="s">
        <v>2832</v>
      </c>
      <c r="L1348" s="1" t="s">
        <v>20</v>
      </c>
      <c r="M1348" s="1" t="s">
        <v>2832</v>
      </c>
      <c r="N1348" s="2"/>
      <c r="O1348" s="2"/>
      <c r="P1348" s="2"/>
      <c r="Q1348" s="2"/>
    </row>
    <row x14ac:dyDescent="0.25" r="1349" customHeight="1" ht="17.25">
      <c r="A1349" s="1" t="s">
        <v>5130</v>
      </c>
      <c r="B1349" s="1" t="s">
        <v>2834</v>
      </c>
      <c r="C1349" s="1" t="s">
        <v>3576</v>
      </c>
      <c r="D1349" s="1" t="s">
        <v>20</v>
      </c>
      <c r="E1349" s="1" t="s">
        <v>4250</v>
      </c>
      <c r="F1349" s="1" t="s">
        <v>4251</v>
      </c>
      <c r="G1349" s="1" t="s">
        <v>4252</v>
      </c>
      <c r="H1349" s="2"/>
      <c r="I1349" s="5">
        <f>XLOOKUP(K1349, pharmaceutical_index!B:B, pharmaceutical_index!A:A, "Not Found")</f>
      </c>
      <c r="J1349" s="1" t="s">
        <v>2834</v>
      </c>
      <c r="K1349" s="1" t="s">
        <v>2834</v>
      </c>
      <c r="L1349" s="1" t="s">
        <v>20</v>
      </c>
      <c r="M1349" s="1" t="s">
        <v>2834</v>
      </c>
      <c r="N1349" s="2"/>
      <c r="O1349" s="2"/>
      <c r="P1349" s="2"/>
      <c r="Q1349" s="2"/>
    </row>
    <row x14ac:dyDescent="0.25" r="1350" customHeight="1" ht="17.25">
      <c r="A1350" s="1" t="s">
        <v>5131</v>
      </c>
      <c r="B1350" s="1" t="s">
        <v>2836</v>
      </c>
      <c r="C1350" s="1" t="s">
        <v>3576</v>
      </c>
      <c r="D1350" s="1" t="s">
        <v>20</v>
      </c>
      <c r="E1350" s="1" t="s">
        <v>4250</v>
      </c>
      <c r="F1350" s="1" t="s">
        <v>4251</v>
      </c>
      <c r="G1350" s="1" t="s">
        <v>4252</v>
      </c>
      <c r="H1350" s="2"/>
      <c r="I1350" s="5">
        <f>XLOOKUP(K1350, pharmaceutical_index!B:B, pharmaceutical_index!A:A, "Not Found")</f>
      </c>
      <c r="J1350" s="1" t="s">
        <v>2836</v>
      </c>
      <c r="K1350" s="1" t="s">
        <v>2836</v>
      </c>
      <c r="L1350" s="1" t="s">
        <v>20</v>
      </c>
      <c r="M1350" s="1" t="s">
        <v>2836</v>
      </c>
      <c r="N1350" s="2"/>
      <c r="O1350" s="2"/>
      <c r="P1350" s="2"/>
      <c r="Q1350" s="2"/>
    </row>
    <row x14ac:dyDescent="0.25" r="1351" customHeight="1" ht="17.25">
      <c r="A1351" s="1" t="s">
        <v>5132</v>
      </c>
      <c r="B1351" s="1" t="s">
        <v>2838</v>
      </c>
      <c r="C1351" s="1" t="s">
        <v>3576</v>
      </c>
      <c r="D1351" s="1" t="s">
        <v>20</v>
      </c>
      <c r="E1351" s="1" t="s">
        <v>4250</v>
      </c>
      <c r="F1351" s="1" t="s">
        <v>4251</v>
      </c>
      <c r="G1351" s="1" t="s">
        <v>4252</v>
      </c>
      <c r="H1351" s="2"/>
      <c r="I1351" s="5">
        <f>XLOOKUP(K1351, pharmaceutical_index!B:B, pharmaceutical_index!A:A, "Not Found")</f>
      </c>
      <c r="J1351" s="1" t="s">
        <v>2838</v>
      </c>
      <c r="K1351" s="1" t="s">
        <v>2838</v>
      </c>
      <c r="L1351" s="1" t="s">
        <v>20</v>
      </c>
      <c r="M1351" s="1" t="s">
        <v>2838</v>
      </c>
      <c r="N1351" s="2"/>
      <c r="O1351" s="2"/>
      <c r="P1351" s="2"/>
      <c r="Q1351" s="2"/>
    </row>
    <row x14ac:dyDescent="0.25" r="1352" customHeight="1" ht="17.25">
      <c r="A1352" s="1" t="s">
        <v>5133</v>
      </c>
      <c r="B1352" s="1" t="s">
        <v>2840</v>
      </c>
      <c r="C1352" s="1" t="s">
        <v>3576</v>
      </c>
      <c r="D1352" s="1" t="s">
        <v>20</v>
      </c>
      <c r="E1352" s="1" t="s">
        <v>4250</v>
      </c>
      <c r="F1352" s="1" t="s">
        <v>4251</v>
      </c>
      <c r="G1352" s="1" t="s">
        <v>4252</v>
      </c>
      <c r="H1352" s="2"/>
      <c r="I1352" s="5">
        <f>XLOOKUP(K1352, pharmaceutical_index!B:B, pharmaceutical_index!A:A, "Not Found")</f>
      </c>
      <c r="J1352" s="1" t="s">
        <v>2840</v>
      </c>
      <c r="K1352" s="1" t="s">
        <v>2840</v>
      </c>
      <c r="L1352" s="1" t="s">
        <v>20</v>
      </c>
      <c r="M1352" s="1" t="s">
        <v>2840</v>
      </c>
      <c r="N1352" s="2"/>
      <c r="O1352" s="2"/>
      <c r="P1352" s="2"/>
      <c r="Q1352" s="2"/>
    </row>
    <row x14ac:dyDescent="0.25" r="1353" customHeight="1" ht="17.25">
      <c r="A1353" s="1" t="s">
        <v>5134</v>
      </c>
      <c r="B1353" s="1" t="s">
        <v>2842</v>
      </c>
      <c r="C1353" s="1" t="s">
        <v>3576</v>
      </c>
      <c r="D1353" s="1" t="s">
        <v>20</v>
      </c>
      <c r="E1353" s="1" t="s">
        <v>4250</v>
      </c>
      <c r="F1353" s="1" t="s">
        <v>4251</v>
      </c>
      <c r="G1353" s="1" t="s">
        <v>4252</v>
      </c>
      <c r="H1353" s="2"/>
      <c r="I1353" s="5">
        <f>XLOOKUP(K1353, pharmaceutical_index!B:B, pharmaceutical_index!A:A, "Not Found")</f>
      </c>
      <c r="J1353" s="1" t="s">
        <v>2842</v>
      </c>
      <c r="K1353" s="1" t="s">
        <v>2842</v>
      </c>
      <c r="L1353" s="1" t="s">
        <v>20</v>
      </c>
      <c r="M1353" s="1" t="s">
        <v>2842</v>
      </c>
      <c r="N1353" s="2"/>
      <c r="O1353" s="2"/>
      <c r="P1353" s="2"/>
      <c r="Q1353" s="2"/>
    </row>
    <row x14ac:dyDescent="0.25" r="1354" customHeight="1" ht="17.25">
      <c r="A1354" s="1" t="s">
        <v>5135</v>
      </c>
      <c r="B1354" s="1" t="s">
        <v>2844</v>
      </c>
      <c r="C1354" s="1" t="s">
        <v>3576</v>
      </c>
      <c r="D1354" s="1" t="s">
        <v>20</v>
      </c>
      <c r="E1354" s="1" t="s">
        <v>4250</v>
      </c>
      <c r="F1354" s="1" t="s">
        <v>4251</v>
      </c>
      <c r="G1354" s="1" t="s">
        <v>4252</v>
      </c>
      <c r="H1354" s="2"/>
      <c r="I1354" s="5">
        <f>XLOOKUP(K1354, pharmaceutical_index!B:B, pharmaceutical_index!A:A, "Not Found")</f>
      </c>
      <c r="J1354" s="1" t="s">
        <v>2844</v>
      </c>
      <c r="K1354" s="1" t="s">
        <v>2844</v>
      </c>
      <c r="L1354" s="1" t="s">
        <v>20</v>
      </c>
      <c r="M1354" s="1" t="s">
        <v>2844</v>
      </c>
      <c r="N1354" s="2"/>
      <c r="O1354" s="2"/>
      <c r="P1354" s="2"/>
      <c r="Q1354" s="2"/>
    </row>
    <row x14ac:dyDescent="0.25" r="1355" customHeight="1" ht="17.25">
      <c r="A1355" s="1" t="s">
        <v>5136</v>
      </c>
      <c r="B1355" s="1" t="s">
        <v>2846</v>
      </c>
      <c r="C1355" s="1" t="s">
        <v>3576</v>
      </c>
      <c r="D1355" s="1" t="s">
        <v>20</v>
      </c>
      <c r="E1355" s="1" t="s">
        <v>4250</v>
      </c>
      <c r="F1355" s="1" t="s">
        <v>4251</v>
      </c>
      <c r="G1355" s="1" t="s">
        <v>4252</v>
      </c>
      <c r="H1355" s="2"/>
      <c r="I1355" s="5">
        <f>XLOOKUP(K1355, pharmaceutical_index!B:B, pharmaceutical_index!A:A, "Not Found")</f>
      </c>
      <c r="J1355" s="1" t="s">
        <v>2846</v>
      </c>
      <c r="K1355" s="1" t="s">
        <v>2846</v>
      </c>
      <c r="L1355" s="1" t="s">
        <v>20</v>
      </c>
      <c r="M1355" s="1" t="s">
        <v>2846</v>
      </c>
      <c r="N1355" s="2"/>
      <c r="O1355" s="2"/>
      <c r="P1355" s="2"/>
      <c r="Q1355" s="2"/>
    </row>
    <row x14ac:dyDescent="0.25" r="1356" customHeight="1" ht="17.25">
      <c r="A1356" s="1" t="s">
        <v>5137</v>
      </c>
      <c r="B1356" s="1" t="s">
        <v>2848</v>
      </c>
      <c r="C1356" s="1" t="s">
        <v>3576</v>
      </c>
      <c r="D1356" s="1" t="s">
        <v>20</v>
      </c>
      <c r="E1356" s="1" t="s">
        <v>4250</v>
      </c>
      <c r="F1356" s="1" t="s">
        <v>4251</v>
      </c>
      <c r="G1356" s="1" t="s">
        <v>4252</v>
      </c>
      <c r="H1356" s="2"/>
      <c r="I1356" s="5">
        <f>XLOOKUP(K1356, pharmaceutical_index!B:B, pharmaceutical_index!A:A, "Not Found")</f>
      </c>
      <c r="J1356" s="1" t="s">
        <v>2848</v>
      </c>
      <c r="K1356" s="1" t="s">
        <v>2848</v>
      </c>
      <c r="L1356" s="1" t="s">
        <v>20</v>
      </c>
      <c r="M1356" s="1" t="s">
        <v>2848</v>
      </c>
      <c r="N1356" s="2"/>
      <c r="O1356" s="2"/>
      <c r="P1356" s="2"/>
      <c r="Q1356" s="2"/>
    </row>
    <row x14ac:dyDescent="0.25" r="1357" customHeight="1" ht="17.25">
      <c r="A1357" s="1" t="s">
        <v>5138</v>
      </c>
      <c r="B1357" s="1" t="s">
        <v>2850</v>
      </c>
      <c r="C1357" s="1" t="s">
        <v>3576</v>
      </c>
      <c r="D1357" s="1" t="s">
        <v>20</v>
      </c>
      <c r="E1357" s="1" t="s">
        <v>4250</v>
      </c>
      <c r="F1357" s="1" t="s">
        <v>4251</v>
      </c>
      <c r="G1357" s="1" t="s">
        <v>4252</v>
      </c>
      <c r="H1357" s="2"/>
      <c r="I1357" s="5">
        <f>XLOOKUP(K1357, pharmaceutical_index!B:B, pharmaceutical_index!A:A, "Not Found")</f>
      </c>
      <c r="J1357" s="1" t="s">
        <v>2850</v>
      </c>
      <c r="K1357" s="1" t="s">
        <v>2850</v>
      </c>
      <c r="L1357" s="1" t="s">
        <v>20</v>
      </c>
      <c r="M1357" s="1" t="s">
        <v>2850</v>
      </c>
      <c r="N1357" s="2"/>
      <c r="O1357" s="2"/>
      <c r="P1357" s="2"/>
      <c r="Q1357" s="2"/>
    </row>
    <row x14ac:dyDescent="0.25" r="1358" customHeight="1" ht="17.25">
      <c r="A1358" s="1" t="s">
        <v>5139</v>
      </c>
      <c r="B1358" s="1" t="s">
        <v>2852</v>
      </c>
      <c r="C1358" s="1" t="s">
        <v>3576</v>
      </c>
      <c r="D1358" s="1" t="s">
        <v>20</v>
      </c>
      <c r="E1358" s="1" t="s">
        <v>4250</v>
      </c>
      <c r="F1358" s="1" t="s">
        <v>4251</v>
      </c>
      <c r="G1358" s="1" t="s">
        <v>4252</v>
      </c>
      <c r="H1358" s="2"/>
      <c r="I1358" s="5">
        <f>XLOOKUP(K1358, pharmaceutical_index!B:B, pharmaceutical_index!A:A, "Not Found")</f>
      </c>
      <c r="J1358" s="1" t="s">
        <v>2852</v>
      </c>
      <c r="K1358" s="1" t="s">
        <v>2852</v>
      </c>
      <c r="L1358" s="1" t="s">
        <v>20</v>
      </c>
      <c r="M1358" s="1" t="s">
        <v>2852</v>
      </c>
      <c r="N1358" s="2"/>
      <c r="O1358" s="2"/>
      <c r="P1358" s="2"/>
      <c r="Q1358" s="2"/>
    </row>
    <row x14ac:dyDescent="0.25" r="1359" customHeight="1" ht="17.25">
      <c r="A1359" s="1" t="s">
        <v>5140</v>
      </c>
      <c r="B1359" s="1" t="s">
        <v>2854</v>
      </c>
      <c r="C1359" s="1" t="s">
        <v>3576</v>
      </c>
      <c r="D1359" s="1" t="s">
        <v>20</v>
      </c>
      <c r="E1359" s="1" t="s">
        <v>4250</v>
      </c>
      <c r="F1359" s="1" t="s">
        <v>4251</v>
      </c>
      <c r="G1359" s="1" t="s">
        <v>4252</v>
      </c>
      <c r="H1359" s="2"/>
      <c r="I1359" s="5">
        <f>XLOOKUP(K1359, pharmaceutical_index!B:B, pharmaceutical_index!A:A, "Not Found")</f>
      </c>
      <c r="J1359" s="1" t="s">
        <v>2854</v>
      </c>
      <c r="K1359" s="1" t="s">
        <v>2854</v>
      </c>
      <c r="L1359" s="1" t="s">
        <v>20</v>
      </c>
      <c r="M1359" s="1" t="s">
        <v>2854</v>
      </c>
      <c r="N1359" s="2"/>
      <c r="O1359" s="2"/>
      <c r="P1359" s="2"/>
      <c r="Q1359" s="2"/>
    </row>
    <row x14ac:dyDescent="0.25" r="1360" customHeight="1" ht="17.25">
      <c r="A1360" s="1" t="s">
        <v>5141</v>
      </c>
      <c r="B1360" s="1" t="s">
        <v>2856</v>
      </c>
      <c r="C1360" s="1" t="s">
        <v>3576</v>
      </c>
      <c r="D1360" s="1" t="s">
        <v>20</v>
      </c>
      <c r="E1360" s="1" t="s">
        <v>4250</v>
      </c>
      <c r="F1360" s="1" t="s">
        <v>4251</v>
      </c>
      <c r="G1360" s="1" t="s">
        <v>4252</v>
      </c>
      <c r="H1360" s="2"/>
      <c r="I1360" s="5">
        <f>XLOOKUP(K1360, pharmaceutical_index!B:B, pharmaceutical_index!A:A, "Not Found")</f>
      </c>
      <c r="J1360" s="1" t="s">
        <v>2856</v>
      </c>
      <c r="K1360" s="1" t="s">
        <v>2856</v>
      </c>
      <c r="L1360" s="1" t="s">
        <v>20</v>
      </c>
      <c r="M1360" s="1" t="s">
        <v>2856</v>
      </c>
      <c r="N1360" s="2"/>
      <c r="O1360" s="2"/>
      <c r="P1360" s="2"/>
      <c r="Q1360" s="2"/>
    </row>
    <row x14ac:dyDescent="0.25" r="1361" customHeight="1" ht="17.25">
      <c r="A1361" s="1" t="s">
        <v>5142</v>
      </c>
      <c r="B1361" s="1" t="s">
        <v>2858</v>
      </c>
      <c r="C1361" s="1" t="s">
        <v>3576</v>
      </c>
      <c r="D1361" s="1" t="s">
        <v>20</v>
      </c>
      <c r="E1361" s="1" t="s">
        <v>4250</v>
      </c>
      <c r="F1361" s="1" t="s">
        <v>4251</v>
      </c>
      <c r="G1361" s="1" t="s">
        <v>4252</v>
      </c>
      <c r="H1361" s="2"/>
      <c r="I1361" s="5">
        <f>XLOOKUP(K1361, pharmaceutical_index!B:B, pharmaceutical_index!A:A, "Not Found")</f>
      </c>
      <c r="J1361" s="1" t="s">
        <v>2858</v>
      </c>
      <c r="K1361" s="1" t="s">
        <v>2858</v>
      </c>
      <c r="L1361" s="1" t="s">
        <v>20</v>
      </c>
      <c r="M1361" s="1" t="s">
        <v>2858</v>
      </c>
      <c r="N1361" s="2"/>
      <c r="O1361" s="2"/>
      <c r="P1361" s="2"/>
      <c r="Q1361" s="2"/>
    </row>
    <row x14ac:dyDescent="0.25" r="1362" customHeight="1" ht="17.25">
      <c r="A1362" s="1" t="s">
        <v>5143</v>
      </c>
      <c r="B1362" s="1" t="s">
        <v>2860</v>
      </c>
      <c r="C1362" s="1" t="s">
        <v>3576</v>
      </c>
      <c r="D1362" s="1" t="s">
        <v>20</v>
      </c>
      <c r="E1362" s="1" t="s">
        <v>4250</v>
      </c>
      <c r="F1362" s="1" t="s">
        <v>4251</v>
      </c>
      <c r="G1362" s="1" t="s">
        <v>4252</v>
      </c>
      <c r="H1362" s="2"/>
      <c r="I1362" s="5">
        <f>XLOOKUP(K1362, pharmaceutical_index!B:B, pharmaceutical_index!A:A, "Not Found")</f>
      </c>
      <c r="J1362" s="1" t="s">
        <v>2860</v>
      </c>
      <c r="K1362" s="1" t="s">
        <v>2860</v>
      </c>
      <c r="L1362" s="1" t="s">
        <v>20</v>
      </c>
      <c r="M1362" s="1" t="s">
        <v>2860</v>
      </c>
      <c r="N1362" s="2"/>
      <c r="O1362" s="2"/>
      <c r="P1362" s="2"/>
      <c r="Q1362" s="2"/>
    </row>
    <row x14ac:dyDescent="0.25" r="1363" customHeight="1" ht="17.25">
      <c r="A1363" s="1" t="s">
        <v>5144</v>
      </c>
      <c r="B1363" s="1" t="s">
        <v>2862</v>
      </c>
      <c r="C1363" s="1" t="s">
        <v>3576</v>
      </c>
      <c r="D1363" s="1" t="s">
        <v>20</v>
      </c>
      <c r="E1363" s="1" t="s">
        <v>4250</v>
      </c>
      <c r="F1363" s="1" t="s">
        <v>4251</v>
      </c>
      <c r="G1363" s="1" t="s">
        <v>4252</v>
      </c>
      <c r="H1363" s="2"/>
      <c r="I1363" s="5">
        <f>XLOOKUP(K1363, pharmaceutical_index!B:B, pharmaceutical_index!A:A, "Not Found")</f>
      </c>
      <c r="J1363" s="1" t="s">
        <v>2862</v>
      </c>
      <c r="K1363" s="1" t="s">
        <v>2862</v>
      </c>
      <c r="L1363" s="1" t="s">
        <v>20</v>
      </c>
      <c r="M1363" s="1" t="s">
        <v>2862</v>
      </c>
      <c r="N1363" s="2"/>
      <c r="O1363" s="2"/>
      <c r="P1363" s="2"/>
      <c r="Q1363" s="2"/>
    </row>
    <row x14ac:dyDescent="0.25" r="1364" customHeight="1" ht="17.25">
      <c r="A1364" s="1" t="s">
        <v>5145</v>
      </c>
      <c r="B1364" s="1" t="s">
        <v>2864</v>
      </c>
      <c r="C1364" s="1" t="s">
        <v>3576</v>
      </c>
      <c r="D1364" s="1" t="s">
        <v>20</v>
      </c>
      <c r="E1364" s="1" t="s">
        <v>4250</v>
      </c>
      <c r="F1364" s="1" t="s">
        <v>4251</v>
      </c>
      <c r="G1364" s="1" t="s">
        <v>4252</v>
      </c>
      <c r="H1364" s="2"/>
      <c r="I1364" s="5">
        <f>XLOOKUP(K1364, pharmaceutical_index!B:B, pharmaceutical_index!A:A, "Not Found")</f>
      </c>
      <c r="J1364" s="1" t="s">
        <v>2864</v>
      </c>
      <c r="K1364" s="1" t="s">
        <v>2864</v>
      </c>
      <c r="L1364" s="1" t="s">
        <v>20</v>
      </c>
      <c r="M1364" s="1" t="s">
        <v>2864</v>
      </c>
      <c r="N1364" s="2"/>
      <c r="O1364" s="2"/>
      <c r="P1364" s="2"/>
      <c r="Q1364" s="2"/>
    </row>
    <row x14ac:dyDescent="0.25" r="1365" customHeight="1" ht="17.25">
      <c r="A1365" s="1" t="s">
        <v>5146</v>
      </c>
      <c r="B1365" s="1" t="s">
        <v>2866</v>
      </c>
      <c r="C1365" s="1" t="s">
        <v>3576</v>
      </c>
      <c r="D1365" s="1" t="s">
        <v>20</v>
      </c>
      <c r="E1365" s="1" t="s">
        <v>4250</v>
      </c>
      <c r="F1365" s="1" t="s">
        <v>4251</v>
      </c>
      <c r="G1365" s="1" t="s">
        <v>4252</v>
      </c>
      <c r="H1365" s="2"/>
      <c r="I1365" s="5">
        <f>XLOOKUP(K1365, pharmaceutical_index!B:B, pharmaceutical_index!A:A, "Not Found")</f>
      </c>
      <c r="J1365" s="1" t="s">
        <v>2866</v>
      </c>
      <c r="K1365" s="1" t="s">
        <v>2866</v>
      </c>
      <c r="L1365" s="1" t="s">
        <v>20</v>
      </c>
      <c r="M1365" s="1" t="s">
        <v>2866</v>
      </c>
      <c r="N1365" s="2"/>
      <c r="O1365" s="2"/>
      <c r="P1365" s="2"/>
      <c r="Q1365" s="2"/>
    </row>
    <row x14ac:dyDescent="0.25" r="1366" customHeight="1" ht="17.25">
      <c r="A1366" s="1" t="s">
        <v>5147</v>
      </c>
      <c r="B1366" s="1" t="s">
        <v>2868</v>
      </c>
      <c r="C1366" s="1" t="s">
        <v>3576</v>
      </c>
      <c r="D1366" s="1" t="s">
        <v>20</v>
      </c>
      <c r="E1366" s="1" t="s">
        <v>4250</v>
      </c>
      <c r="F1366" s="1" t="s">
        <v>4251</v>
      </c>
      <c r="G1366" s="1" t="s">
        <v>4252</v>
      </c>
      <c r="H1366" s="2"/>
      <c r="I1366" s="5">
        <f>XLOOKUP(K1366, pharmaceutical_index!B:B, pharmaceutical_index!A:A, "Not Found")</f>
      </c>
      <c r="J1366" s="1" t="s">
        <v>2868</v>
      </c>
      <c r="K1366" s="1" t="s">
        <v>2868</v>
      </c>
      <c r="L1366" s="1" t="s">
        <v>20</v>
      </c>
      <c r="M1366" s="1" t="s">
        <v>2868</v>
      </c>
      <c r="N1366" s="2"/>
      <c r="O1366" s="2"/>
      <c r="P1366" s="2"/>
      <c r="Q1366" s="2"/>
    </row>
    <row x14ac:dyDescent="0.25" r="1367" customHeight="1" ht="17.25">
      <c r="A1367" s="1" t="s">
        <v>5148</v>
      </c>
      <c r="B1367" s="1" t="s">
        <v>2870</v>
      </c>
      <c r="C1367" s="1" t="s">
        <v>3576</v>
      </c>
      <c r="D1367" s="1" t="s">
        <v>20</v>
      </c>
      <c r="E1367" s="1" t="s">
        <v>4250</v>
      </c>
      <c r="F1367" s="1" t="s">
        <v>4251</v>
      </c>
      <c r="G1367" s="1" t="s">
        <v>4252</v>
      </c>
      <c r="H1367" s="2"/>
      <c r="I1367" s="5">
        <f>XLOOKUP(K1367, pharmaceutical_index!B:B, pharmaceutical_index!A:A, "Not Found")</f>
      </c>
      <c r="J1367" s="1" t="s">
        <v>2870</v>
      </c>
      <c r="K1367" s="1" t="s">
        <v>2870</v>
      </c>
      <c r="L1367" s="1" t="s">
        <v>20</v>
      </c>
      <c r="M1367" s="1" t="s">
        <v>2870</v>
      </c>
      <c r="N1367" s="2"/>
      <c r="O1367" s="2"/>
      <c r="P1367" s="2"/>
      <c r="Q1367" s="2"/>
    </row>
    <row x14ac:dyDescent="0.25" r="1368" customHeight="1" ht="17.25">
      <c r="A1368" s="1" t="s">
        <v>5149</v>
      </c>
      <c r="B1368" s="1" t="s">
        <v>2872</v>
      </c>
      <c r="C1368" s="1" t="s">
        <v>3576</v>
      </c>
      <c r="D1368" s="1" t="s">
        <v>20</v>
      </c>
      <c r="E1368" s="1" t="s">
        <v>4250</v>
      </c>
      <c r="F1368" s="1" t="s">
        <v>4251</v>
      </c>
      <c r="G1368" s="1" t="s">
        <v>4252</v>
      </c>
      <c r="H1368" s="2"/>
      <c r="I1368" s="5">
        <f>XLOOKUP(K1368, pharmaceutical_index!B:B, pharmaceutical_index!A:A, "Not Found")</f>
      </c>
      <c r="J1368" s="1" t="s">
        <v>2872</v>
      </c>
      <c r="K1368" s="1" t="s">
        <v>2872</v>
      </c>
      <c r="L1368" s="1" t="s">
        <v>20</v>
      </c>
      <c r="M1368" s="1" t="s">
        <v>2872</v>
      </c>
      <c r="N1368" s="2"/>
      <c r="O1368" s="2"/>
      <c r="P1368" s="2"/>
      <c r="Q1368" s="2"/>
    </row>
    <row x14ac:dyDescent="0.25" r="1369" customHeight="1" ht="17.25">
      <c r="A1369" s="1" t="s">
        <v>5150</v>
      </c>
      <c r="B1369" s="1" t="s">
        <v>2874</v>
      </c>
      <c r="C1369" s="1" t="s">
        <v>3576</v>
      </c>
      <c r="D1369" s="1" t="s">
        <v>20</v>
      </c>
      <c r="E1369" s="1" t="s">
        <v>4250</v>
      </c>
      <c r="F1369" s="1" t="s">
        <v>4251</v>
      </c>
      <c r="G1369" s="1" t="s">
        <v>4252</v>
      </c>
      <c r="H1369" s="2"/>
      <c r="I1369" s="5">
        <f>XLOOKUP(K1369, pharmaceutical_index!B:B, pharmaceutical_index!A:A, "Not Found")</f>
      </c>
      <c r="J1369" s="1" t="s">
        <v>2874</v>
      </c>
      <c r="K1369" s="1" t="s">
        <v>2874</v>
      </c>
      <c r="L1369" s="1" t="s">
        <v>20</v>
      </c>
      <c r="M1369" s="1" t="s">
        <v>2874</v>
      </c>
      <c r="N1369" s="2"/>
      <c r="O1369" s="2"/>
      <c r="P1369" s="2"/>
      <c r="Q1369" s="2"/>
    </row>
    <row x14ac:dyDescent="0.25" r="1370" customHeight="1" ht="17.25">
      <c r="A1370" s="1" t="s">
        <v>5151</v>
      </c>
      <c r="B1370" s="1" t="s">
        <v>2876</v>
      </c>
      <c r="C1370" s="1" t="s">
        <v>3576</v>
      </c>
      <c r="D1370" s="1" t="s">
        <v>20</v>
      </c>
      <c r="E1370" s="1" t="s">
        <v>4250</v>
      </c>
      <c r="F1370" s="1" t="s">
        <v>4251</v>
      </c>
      <c r="G1370" s="1" t="s">
        <v>4252</v>
      </c>
      <c r="H1370" s="2"/>
      <c r="I1370" s="5">
        <f>XLOOKUP(K1370, pharmaceutical_index!B:B, pharmaceutical_index!A:A, "Not Found")</f>
      </c>
      <c r="J1370" s="1" t="s">
        <v>2876</v>
      </c>
      <c r="K1370" s="1" t="s">
        <v>2876</v>
      </c>
      <c r="L1370" s="1" t="s">
        <v>20</v>
      </c>
      <c r="M1370" s="1" t="s">
        <v>2876</v>
      </c>
      <c r="N1370" s="2"/>
      <c r="O1370" s="2"/>
      <c r="P1370" s="2"/>
      <c r="Q1370" s="2"/>
    </row>
    <row x14ac:dyDescent="0.25" r="1371" customHeight="1" ht="17.25">
      <c r="A1371" s="1" t="s">
        <v>5152</v>
      </c>
      <c r="B1371" s="1" t="s">
        <v>2878</v>
      </c>
      <c r="C1371" s="1" t="s">
        <v>3576</v>
      </c>
      <c r="D1371" s="1" t="s">
        <v>20</v>
      </c>
      <c r="E1371" s="1" t="s">
        <v>4250</v>
      </c>
      <c r="F1371" s="1" t="s">
        <v>4251</v>
      </c>
      <c r="G1371" s="1" t="s">
        <v>4252</v>
      </c>
      <c r="H1371" s="2"/>
      <c r="I1371" s="5">
        <f>XLOOKUP(K1371, pharmaceutical_index!B:B, pharmaceutical_index!A:A, "Not Found")</f>
      </c>
      <c r="J1371" s="1" t="s">
        <v>2878</v>
      </c>
      <c r="K1371" s="1" t="s">
        <v>2878</v>
      </c>
      <c r="L1371" s="1" t="s">
        <v>20</v>
      </c>
      <c r="M1371" s="1" t="s">
        <v>2878</v>
      </c>
      <c r="N1371" s="2"/>
      <c r="O1371" s="2"/>
      <c r="P1371" s="2"/>
      <c r="Q1371" s="2"/>
    </row>
    <row x14ac:dyDescent="0.25" r="1372" customHeight="1" ht="17.25">
      <c r="A1372" s="1" t="s">
        <v>5153</v>
      </c>
      <c r="B1372" s="1" t="s">
        <v>2880</v>
      </c>
      <c r="C1372" s="1" t="s">
        <v>3576</v>
      </c>
      <c r="D1372" s="1" t="s">
        <v>20</v>
      </c>
      <c r="E1372" s="1" t="s">
        <v>4250</v>
      </c>
      <c r="F1372" s="1" t="s">
        <v>4251</v>
      </c>
      <c r="G1372" s="1" t="s">
        <v>4252</v>
      </c>
      <c r="H1372" s="2"/>
      <c r="I1372" s="5">
        <f>XLOOKUP(K1372, pharmaceutical_index!B:B, pharmaceutical_index!A:A, "Not Found")</f>
      </c>
      <c r="J1372" s="1" t="s">
        <v>2880</v>
      </c>
      <c r="K1372" s="1" t="s">
        <v>2880</v>
      </c>
      <c r="L1372" s="1" t="s">
        <v>20</v>
      </c>
      <c r="M1372" s="1" t="s">
        <v>2880</v>
      </c>
      <c r="N1372" s="2"/>
      <c r="O1372" s="2"/>
      <c r="P1372" s="2"/>
      <c r="Q1372" s="2"/>
    </row>
    <row x14ac:dyDescent="0.25" r="1373" customHeight="1" ht="17.25">
      <c r="A1373" s="1" t="s">
        <v>5154</v>
      </c>
      <c r="B1373" s="1" t="s">
        <v>2882</v>
      </c>
      <c r="C1373" s="1" t="s">
        <v>3576</v>
      </c>
      <c r="D1373" s="1" t="s">
        <v>20</v>
      </c>
      <c r="E1373" s="1" t="s">
        <v>4250</v>
      </c>
      <c r="F1373" s="1" t="s">
        <v>4251</v>
      </c>
      <c r="G1373" s="1" t="s">
        <v>4252</v>
      </c>
      <c r="H1373" s="2"/>
      <c r="I1373" s="5">
        <f>XLOOKUP(K1373, pharmaceutical_index!B:B, pharmaceutical_index!A:A, "Not Found")</f>
      </c>
      <c r="J1373" s="1" t="s">
        <v>2882</v>
      </c>
      <c r="K1373" s="1" t="s">
        <v>2882</v>
      </c>
      <c r="L1373" s="1" t="s">
        <v>20</v>
      </c>
      <c r="M1373" s="1" t="s">
        <v>2882</v>
      </c>
      <c r="N1373" s="2"/>
      <c r="O1373" s="2"/>
      <c r="P1373" s="2"/>
      <c r="Q1373" s="2"/>
    </row>
    <row x14ac:dyDescent="0.25" r="1374" customHeight="1" ht="17.25">
      <c r="A1374" s="1" t="s">
        <v>5155</v>
      </c>
      <c r="B1374" s="1" t="s">
        <v>2884</v>
      </c>
      <c r="C1374" s="1" t="s">
        <v>3576</v>
      </c>
      <c r="D1374" s="1" t="s">
        <v>20</v>
      </c>
      <c r="E1374" s="1" t="s">
        <v>4250</v>
      </c>
      <c r="F1374" s="1" t="s">
        <v>4251</v>
      </c>
      <c r="G1374" s="1" t="s">
        <v>4252</v>
      </c>
      <c r="H1374" s="2"/>
      <c r="I1374" s="5">
        <f>XLOOKUP(K1374, pharmaceutical_index!B:B, pharmaceutical_index!A:A, "Not Found")</f>
      </c>
      <c r="J1374" s="1" t="s">
        <v>2884</v>
      </c>
      <c r="K1374" s="1" t="s">
        <v>2884</v>
      </c>
      <c r="L1374" s="1" t="s">
        <v>20</v>
      </c>
      <c r="M1374" s="1" t="s">
        <v>2884</v>
      </c>
      <c r="N1374" s="2"/>
      <c r="O1374" s="2"/>
      <c r="P1374" s="2"/>
      <c r="Q1374" s="2"/>
    </row>
    <row x14ac:dyDescent="0.25" r="1375" customHeight="1" ht="17.25">
      <c r="A1375" s="1" t="s">
        <v>5156</v>
      </c>
      <c r="B1375" s="1" t="s">
        <v>2886</v>
      </c>
      <c r="C1375" s="1" t="s">
        <v>3576</v>
      </c>
      <c r="D1375" s="1" t="s">
        <v>20</v>
      </c>
      <c r="E1375" s="1" t="s">
        <v>4250</v>
      </c>
      <c r="F1375" s="1" t="s">
        <v>4251</v>
      </c>
      <c r="G1375" s="1" t="s">
        <v>4252</v>
      </c>
      <c r="H1375" s="2"/>
      <c r="I1375" s="5">
        <f>XLOOKUP(K1375, pharmaceutical_index!B:B, pharmaceutical_index!A:A, "Not Found")</f>
      </c>
      <c r="J1375" s="1" t="s">
        <v>2886</v>
      </c>
      <c r="K1375" s="1" t="s">
        <v>2886</v>
      </c>
      <c r="L1375" s="1" t="s">
        <v>20</v>
      </c>
      <c r="M1375" s="1" t="s">
        <v>2886</v>
      </c>
      <c r="N1375" s="2"/>
      <c r="O1375" s="2"/>
      <c r="P1375" s="2"/>
      <c r="Q1375" s="2"/>
    </row>
    <row x14ac:dyDescent="0.25" r="1376" customHeight="1" ht="17.25">
      <c r="A1376" s="1" t="s">
        <v>5157</v>
      </c>
      <c r="B1376" s="1" t="s">
        <v>2888</v>
      </c>
      <c r="C1376" s="1" t="s">
        <v>3576</v>
      </c>
      <c r="D1376" s="1" t="s">
        <v>20</v>
      </c>
      <c r="E1376" s="1" t="s">
        <v>4250</v>
      </c>
      <c r="F1376" s="1" t="s">
        <v>4251</v>
      </c>
      <c r="G1376" s="1" t="s">
        <v>4252</v>
      </c>
      <c r="H1376" s="2"/>
      <c r="I1376" s="5">
        <f>XLOOKUP(K1376, pharmaceutical_index!B:B, pharmaceutical_index!A:A, "Not Found")</f>
      </c>
      <c r="J1376" s="1" t="s">
        <v>2888</v>
      </c>
      <c r="K1376" s="1" t="s">
        <v>2888</v>
      </c>
      <c r="L1376" s="1" t="s">
        <v>20</v>
      </c>
      <c r="M1376" s="1" t="s">
        <v>2888</v>
      </c>
      <c r="N1376" s="2"/>
      <c r="O1376" s="2"/>
      <c r="P1376" s="2"/>
      <c r="Q1376" s="2"/>
    </row>
    <row x14ac:dyDescent="0.25" r="1377" customHeight="1" ht="17.25">
      <c r="A1377" s="1" t="s">
        <v>5158</v>
      </c>
      <c r="B1377" s="1" t="s">
        <v>2890</v>
      </c>
      <c r="C1377" s="1" t="s">
        <v>3576</v>
      </c>
      <c r="D1377" s="1" t="s">
        <v>20</v>
      </c>
      <c r="E1377" s="1" t="s">
        <v>4250</v>
      </c>
      <c r="F1377" s="1" t="s">
        <v>4251</v>
      </c>
      <c r="G1377" s="1" t="s">
        <v>4252</v>
      </c>
      <c r="H1377" s="2"/>
      <c r="I1377" s="5">
        <f>XLOOKUP(K1377, pharmaceutical_index!B:B, pharmaceutical_index!A:A, "Not Found")</f>
      </c>
      <c r="J1377" s="1" t="s">
        <v>2890</v>
      </c>
      <c r="K1377" s="1" t="s">
        <v>2890</v>
      </c>
      <c r="L1377" s="1" t="s">
        <v>20</v>
      </c>
      <c r="M1377" s="1" t="s">
        <v>2890</v>
      </c>
      <c r="N1377" s="2"/>
      <c r="O1377" s="2"/>
      <c r="P1377" s="2"/>
      <c r="Q1377" s="2"/>
    </row>
    <row x14ac:dyDescent="0.25" r="1378" customHeight="1" ht="17.25">
      <c r="A1378" s="1" t="s">
        <v>5159</v>
      </c>
      <c r="B1378" s="1" t="s">
        <v>2892</v>
      </c>
      <c r="C1378" s="1" t="s">
        <v>3576</v>
      </c>
      <c r="D1378" s="1" t="s">
        <v>20</v>
      </c>
      <c r="E1378" s="1" t="s">
        <v>4250</v>
      </c>
      <c r="F1378" s="1" t="s">
        <v>4251</v>
      </c>
      <c r="G1378" s="1" t="s">
        <v>4252</v>
      </c>
      <c r="H1378" s="2"/>
      <c r="I1378" s="5">
        <f>XLOOKUP(K1378, pharmaceutical_index!B:B, pharmaceutical_index!A:A, "Not Found")</f>
      </c>
      <c r="J1378" s="1" t="s">
        <v>2892</v>
      </c>
      <c r="K1378" s="1" t="s">
        <v>2892</v>
      </c>
      <c r="L1378" s="1" t="s">
        <v>20</v>
      </c>
      <c r="M1378" s="1" t="s">
        <v>2892</v>
      </c>
      <c r="N1378" s="2"/>
      <c r="O1378" s="2"/>
      <c r="P1378" s="2"/>
      <c r="Q1378" s="2"/>
    </row>
    <row x14ac:dyDescent="0.25" r="1379" customHeight="1" ht="17.25">
      <c r="A1379" s="1" t="s">
        <v>5160</v>
      </c>
      <c r="B1379" s="1" t="s">
        <v>2894</v>
      </c>
      <c r="C1379" s="1" t="s">
        <v>3576</v>
      </c>
      <c r="D1379" s="1" t="s">
        <v>20</v>
      </c>
      <c r="E1379" s="1" t="s">
        <v>4250</v>
      </c>
      <c r="F1379" s="1" t="s">
        <v>4251</v>
      </c>
      <c r="G1379" s="1" t="s">
        <v>4252</v>
      </c>
      <c r="H1379" s="2"/>
      <c r="I1379" s="5">
        <f>XLOOKUP(K1379, pharmaceutical_index!B:B, pharmaceutical_index!A:A, "Not Found")</f>
      </c>
      <c r="J1379" s="1" t="s">
        <v>2894</v>
      </c>
      <c r="K1379" s="1" t="s">
        <v>2894</v>
      </c>
      <c r="L1379" s="1" t="s">
        <v>20</v>
      </c>
      <c r="M1379" s="1" t="s">
        <v>2894</v>
      </c>
      <c r="N1379" s="2"/>
      <c r="O1379" s="2"/>
      <c r="P1379" s="2"/>
      <c r="Q1379" s="2"/>
    </row>
    <row x14ac:dyDescent="0.25" r="1380" customHeight="1" ht="17.25">
      <c r="A1380" s="1" t="s">
        <v>5161</v>
      </c>
      <c r="B1380" s="1" t="s">
        <v>2896</v>
      </c>
      <c r="C1380" s="1" t="s">
        <v>3576</v>
      </c>
      <c r="D1380" s="1" t="s">
        <v>20</v>
      </c>
      <c r="E1380" s="1" t="s">
        <v>4250</v>
      </c>
      <c r="F1380" s="1" t="s">
        <v>4251</v>
      </c>
      <c r="G1380" s="1" t="s">
        <v>4252</v>
      </c>
      <c r="H1380" s="2"/>
      <c r="I1380" s="5">
        <f>XLOOKUP(K1380, pharmaceutical_index!B:B, pharmaceutical_index!A:A, "Not Found")</f>
      </c>
      <c r="J1380" s="1" t="s">
        <v>2896</v>
      </c>
      <c r="K1380" s="1" t="s">
        <v>2896</v>
      </c>
      <c r="L1380" s="1" t="s">
        <v>20</v>
      </c>
      <c r="M1380" s="1" t="s">
        <v>2896</v>
      </c>
      <c r="N1380" s="2"/>
      <c r="O1380" s="2"/>
      <c r="P1380" s="2"/>
      <c r="Q1380" s="2"/>
    </row>
    <row x14ac:dyDescent="0.25" r="1381" customHeight="1" ht="17.25">
      <c r="A1381" s="1" t="s">
        <v>5162</v>
      </c>
      <c r="B1381" s="1" t="s">
        <v>2898</v>
      </c>
      <c r="C1381" s="1" t="s">
        <v>3576</v>
      </c>
      <c r="D1381" s="1" t="s">
        <v>20</v>
      </c>
      <c r="E1381" s="1" t="s">
        <v>4250</v>
      </c>
      <c r="F1381" s="1" t="s">
        <v>4251</v>
      </c>
      <c r="G1381" s="1" t="s">
        <v>4252</v>
      </c>
      <c r="H1381" s="2"/>
      <c r="I1381" s="5">
        <f>XLOOKUP(K1381, pharmaceutical_index!B:B, pharmaceutical_index!A:A, "Not Found")</f>
      </c>
      <c r="J1381" s="1" t="s">
        <v>2898</v>
      </c>
      <c r="K1381" s="1" t="s">
        <v>2898</v>
      </c>
      <c r="L1381" s="1" t="s">
        <v>20</v>
      </c>
      <c r="M1381" s="1" t="s">
        <v>2898</v>
      </c>
      <c r="N1381" s="2"/>
      <c r="O1381" s="2"/>
      <c r="P1381" s="2"/>
      <c r="Q1381" s="2"/>
    </row>
    <row x14ac:dyDescent="0.25" r="1382" customHeight="1" ht="17.25">
      <c r="A1382" s="1" t="s">
        <v>5163</v>
      </c>
      <c r="B1382" s="1" t="s">
        <v>2900</v>
      </c>
      <c r="C1382" s="1" t="s">
        <v>3576</v>
      </c>
      <c r="D1382" s="1" t="s">
        <v>20</v>
      </c>
      <c r="E1382" s="1" t="s">
        <v>4250</v>
      </c>
      <c r="F1382" s="1" t="s">
        <v>4251</v>
      </c>
      <c r="G1382" s="1" t="s">
        <v>4252</v>
      </c>
      <c r="H1382" s="2"/>
      <c r="I1382" s="5">
        <f>XLOOKUP(K1382, pharmaceutical_index!B:B, pharmaceutical_index!A:A, "Not Found")</f>
      </c>
      <c r="J1382" s="1" t="s">
        <v>2900</v>
      </c>
      <c r="K1382" s="1" t="s">
        <v>2900</v>
      </c>
      <c r="L1382" s="1" t="s">
        <v>20</v>
      </c>
      <c r="M1382" s="1" t="s">
        <v>2900</v>
      </c>
      <c r="N1382" s="2"/>
      <c r="O1382" s="2"/>
      <c r="P1382" s="2"/>
      <c r="Q1382" s="2"/>
    </row>
    <row x14ac:dyDescent="0.25" r="1383" customHeight="1" ht="17.25">
      <c r="A1383" s="1" t="s">
        <v>5164</v>
      </c>
      <c r="B1383" s="1" t="s">
        <v>2902</v>
      </c>
      <c r="C1383" s="1" t="s">
        <v>3576</v>
      </c>
      <c r="D1383" s="1" t="s">
        <v>20</v>
      </c>
      <c r="E1383" s="1" t="s">
        <v>4250</v>
      </c>
      <c r="F1383" s="1" t="s">
        <v>4251</v>
      </c>
      <c r="G1383" s="1" t="s">
        <v>4252</v>
      </c>
      <c r="H1383" s="2"/>
      <c r="I1383" s="5">
        <f>XLOOKUP(K1383, pharmaceutical_index!B:B, pharmaceutical_index!A:A, "Not Found")</f>
      </c>
      <c r="J1383" s="1" t="s">
        <v>2902</v>
      </c>
      <c r="K1383" s="1" t="s">
        <v>2902</v>
      </c>
      <c r="L1383" s="1" t="s">
        <v>20</v>
      </c>
      <c r="M1383" s="1" t="s">
        <v>2902</v>
      </c>
      <c r="N1383" s="2"/>
      <c r="O1383" s="2"/>
      <c r="P1383" s="2"/>
      <c r="Q1383" s="2"/>
    </row>
    <row x14ac:dyDescent="0.25" r="1384" customHeight="1" ht="17.25">
      <c r="A1384" s="1" t="s">
        <v>5165</v>
      </c>
      <c r="B1384" s="1" t="s">
        <v>2904</v>
      </c>
      <c r="C1384" s="1" t="s">
        <v>3576</v>
      </c>
      <c r="D1384" s="1" t="s">
        <v>20</v>
      </c>
      <c r="E1384" s="1" t="s">
        <v>4250</v>
      </c>
      <c r="F1384" s="1" t="s">
        <v>4251</v>
      </c>
      <c r="G1384" s="1" t="s">
        <v>4252</v>
      </c>
      <c r="H1384" s="2"/>
      <c r="I1384" s="5">
        <f>XLOOKUP(K1384, pharmaceutical_index!B:B, pharmaceutical_index!A:A, "Not Found")</f>
      </c>
      <c r="J1384" s="1" t="s">
        <v>2904</v>
      </c>
      <c r="K1384" s="1" t="s">
        <v>2904</v>
      </c>
      <c r="L1384" s="1" t="s">
        <v>20</v>
      </c>
      <c r="M1384" s="1" t="s">
        <v>2904</v>
      </c>
      <c r="N1384" s="2"/>
      <c r="O1384" s="2"/>
      <c r="P1384" s="2"/>
      <c r="Q1384" s="2"/>
    </row>
    <row x14ac:dyDescent="0.25" r="1385" customHeight="1" ht="17.25">
      <c r="A1385" s="1" t="s">
        <v>5166</v>
      </c>
      <c r="B1385" s="1" t="s">
        <v>2906</v>
      </c>
      <c r="C1385" s="1" t="s">
        <v>3576</v>
      </c>
      <c r="D1385" s="1" t="s">
        <v>20</v>
      </c>
      <c r="E1385" s="1" t="s">
        <v>4250</v>
      </c>
      <c r="F1385" s="1" t="s">
        <v>4251</v>
      </c>
      <c r="G1385" s="1" t="s">
        <v>4252</v>
      </c>
      <c r="H1385" s="2"/>
      <c r="I1385" s="5">
        <f>XLOOKUP(K1385, pharmaceutical_index!B:B, pharmaceutical_index!A:A, "Not Found")</f>
      </c>
      <c r="J1385" s="1" t="s">
        <v>2906</v>
      </c>
      <c r="K1385" s="1" t="s">
        <v>2906</v>
      </c>
      <c r="L1385" s="1" t="s">
        <v>20</v>
      </c>
      <c r="M1385" s="1" t="s">
        <v>2906</v>
      </c>
      <c r="N1385" s="2"/>
      <c r="O1385" s="2"/>
      <c r="P1385" s="2"/>
      <c r="Q1385" s="2"/>
    </row>
    <row x14ac:dyDescent="0.25" r="1386" customHeight="1" ht="17.25">
      <c r="A1386" s="1" t="s">
        <v>5167</v>
      </c>
      <c r="B1386" s="1" t="s">
        <v>2908</v>
      </c>
      <c r="C1386" s="1" t="s">
        <v>3576</v>
      </c>
      <c r="D1386" s="1" t="s">
        <v>20</v>
      </c>
      <c r="E1386" s="1" t="s">
        <v>4250</v>
      </c>
      <c r="F1386" s="1" t="s">
        <v>4251</v>
      </c>
      <c r="G1386" s="1" t="s">
        <v>4252</v>
      </c>
      <c r="H1386" s="2"/>
      <c r="I1386" s="5">
        <f>XLOOKUP(K1386, pharmaceutical_index!B:B, pharmaceutical_index!A:A, "Not Found")</f>
      </c>
      <c r="J1386" s="1" t="s">
        <v>2908</v>
      </c>
      <c r="K1386" s="1" t="s">
        <v>2908</v>
      </c>
      <c r="L1386" s="1" t="s">
        <v>20</v>
      </c>
      <c r="M1386" s="1" t="s">
        <v>2908</v>
      </c>
      <c r="N1386" s="2"/>
      <c r="O1386" s="2"/>
      <c r="P1386" s="2"/>
      <c r="Q1386" s="2"/>
    </row>
    <row x14ac:dyDescent="0.25" r="1387" customHeight="1" ht="17.25">
      <c r="A1387" s="1" t="s">
        <v>5168</v>
      </c>
      <c r="B1387" s="1" t="s">
        <v>2910</v>
      </c>
      <c r="C1387" s="1" t="s">
        <v>3576</v>
      </c>
      <c r="D1387" s="1" t="s">
        <v>20</v>
      </c>
      <c r="E1387" s="1" t="s">
        <v>4250</v>
      </c>
      <c r="F1387" s="1" t="s">
        <v>4251</v>
      </c>
      <c r="G1387" s="1" t="s">
        <v>4252</v>
      </c>
      <c r="H1387" s="2"/>
      <c r="I1387" s="5">
        <f>XLOOKUP(K1387, pharmaceutical_index!B:B, pharmaceutical_index!A:A, "Not Found")</f>
      </c>
      <c r="J1387" s="1" t="s">
        <v>2910</v>
      </c>
      <c r="K1387" s="1" t="s">
        <v>2910</v>
      </c>
      <c r="L1387" s="1" t="s">
        <v>20</v>
      </c>
      <c r="M1387" s="1" t="s">
        <v>2910</v>
      </c>
      <c r="N1387" s="2"/>
      <c r="O1387" s="2"/>
      <c r="P1387" s="2"/>
      <c r="Q1387" s="2"/>
    </row>
    <row x14ac:dyDescent="0.25" r="1388" customHeight="1" ht="17.25">
      <c r="A1388" s="1" t="s">
        <v>5169</v>
      </c>
      <c r="B1388" s="1" t="s">
        <v>2912</v>
      </c>
      <c r="C1388" s="1" t="s">
        <v>3576</v>
      </c>
      <c r="D1388" s="1" t="s">
        <v>20</v>
      </c>
      <c r="E1388" s="1" t="s">
        <v>4250</v>
      </c>
      <c r="F1388" s="1" t="s">
        <v>4251</v>
      </c>
      <c r="G1388" s="1" t="s">
        <v>4252</v>
      </c>
      <c r="H1388" s="2"/>
      <c r="I1388" s="5">
        <f>XLOOKUP(K1388, pharmaceutical_index!B:B, pharmaceutical_index!A:A, "Not Found")</f>
      </c>
      <c r="J1388" s="1" t="s">
        <v>2912</v>
      </c>
      <c r="K1388" s="1" t="s">
        <v>2912</v>
      </c>
      <c r="L1388" s="1" t="s">
        <v>20</v>
      </c>
      <c r="M1388" s="1" t="s">
        <v>2912</v>
      </c>
      <c r="N1388" s="2"/>
      <c r="O1388" s="2"/>
      <c r="P1388" s="2"/>
      <c r="Q1388" s="2"/>
    </row>
    <row x14ac:dyDescent="0.25" r="1389" customHeight="1" ht="17.25">
      <c r="A1389" s="1" t="s">
        <v>5170</v>
      </c>
      <c r="B1389" s="1" t="s">
        <v>2914</v>
      </c>
      <c r="C1389" s="1" t="s">
        <v>3576</v>
      </c>
      <c r="D1389" s="1" t="s">
        <v>20</v>
      </c>
      <c r="E1389" s="1" t="s">
        <v>4250</v>
      </c>
      <c r="F1389" s="1" t="s">
        <v>4251</v>
      </c>
      <c r="G1389" s="1" t="s">
        <v>4252</v>
      </c>
      <c r="H1389" s="2"/>
      <c r="I1389" s="5">
        <f>XLOOKUP(K1389, pharmaceutical_index!B:B, pharmaceutical_index!A:A, "Not Found")</f>
      </c>
      <c r="J1389" s="1" t="s">
        <v>2914</v>
      </c>
      <c r="K1389" s="1" t="s">
        <v>2914</v>
      </c>
      <c r="L1389" s="1" t="s">
        <v>20</v>
      </c>
      <c r="M1389" s="1" t="s">
        <v>2914</v>
      </c>
      <c r="N1389" s="2"/>
      <c r="O1389" s="2"/>
      <c r="P1389" s="2"/>
      <c r="Q1389" s="2"/>
    </row>
    <row x14ac:dyDescent="0.25" r="1390" customHeight="1" ht="17.25">
      <c r="A1390" s="1" t="s">
        <v>5171</v>
      </c>
      <c r="B1390" s="1" t="s">
        <v>2916</v>
      </c>
      <c r="C1390" s="1" t="s">
        <v>3576</v>
      </c>
      <c r="D1390" s="1" t="s">
        <v>20</v>
      </c>
      <c r="E1390" s="1" t="s">
        <v>4250</v>
      </c>
      <c r="F1390" s="1" t="s">
        <v>4251</v>
      </c>
      <c r="G1390" s="1" t="s">
        <v>4252</v>
      </c>
      <c r="H1390" s="2"/>
      <c r="I1390" s="5">
        <f>XLOOKUP(K1390, pharmaceutical_index!B:B, pharmaceutical_index!A:A, "Not Found")</f>
      </c>
      <c r="J1390" s="1" t="s">
        <v>2916</v>
      </c>
      <c r="K1390" s="1" t="s">
        <v>2916</v>
      </c>
      <c r="L1390" s="1" t="s">
        <v>20</v>
      </c>
      <c r="M1390" s="1" t="s">
        <v>2916</v>
      </c>
      <c r="N1390" s="2"/>
      <c r="O1390" s="2"/>
      <c r="P1390" s="2"/>
      <c r="Q1390" s="2"/>
    </row>
    <row x14ac:dyDescent="0.25" r="1391" customHeight="1" ht="17.25">
      <c r="A1391" s="1" t="s">
        <v>5172</v>
      </c>
      <c r="B1391" s="1" t="s">
        <v>2918</v>
      </c>
      <c r="C1391" s="1" t="s">
        <v>3576</v>
      </c>
      <c r="D1391" s="1" t="s">
        <v>20</v>
      </c>
      <c r="E1391" s="1" t="s">
        <v>4250</v>
      </c>
      <c r="F1391" s="1" t="s">
        <v>4251</v>
      </c>
      <c r="G1391" s="1" t="s">
        <v>4252</v>
      </c>
      <c r="H1391" s="2"/>
      <c r="I1391" s="5">
        <f>XLOOKUP(K1391, pharmaceutical_index!B:B, pharmaceutical_index!A:A, "Not Found")</f>
      </c>
      <c r="J1391" s="1" t="s">
        <v>2918</v>
      </c>
      <c r="K1391" s="1" t="s">
        <v>2918</v>
      </c>
      <c r="L1391" s="1" t="s">
        <v>20</v>
      </c>
      <c r="M1391" s="1" t="s">
        <v>2918</v>
      </c>
      <c r="N1391" s="2"/>
      <c r="O1391" s="2"/>
      <c r="P1391" s="2"/>
      <c r="Q1391" s="2"/>
    </row>
    <row x14ac:dyDescent="0.25" r="1392" customHeight="1" ht="17.25">
      <c r="A1392" s="1" t="s">
        <v>5173</v>
      </c>
      <c r="B1392" s="1" t="s">
        <v>2920</v>
      </c>
      <c r="C1392" s="1" t="s">
        <v>3576</v>
      </c>
      <c r="D1392" s="1" t="s">
        <v>20</v>
      </c>
      <c r="E1392" s="1" t="s">
        <v>4250</v>
      </c>
      <c r="F1392" s="1" t="s">
        <v>4251</v>
      </c>
      <c r="G1392" s="1" t="s">
        <v>4252</v>
      </c>
      <c r="H1392" s="2"/>
      <c r="I1392" s="5">
        <f>XLOOKUP(K1392, pharmaceutical_index!B:B, pharmaceutical_index!A:A, "Not Found")</f>
      </c>
      <c r="J1392" s="1" t="s">
        <v>2920</v>
      </c>
      <c r="K1392" s="1" t="s">
        <v>2920</v>
      </c>
      <c r="L1392" s="1" t="s">
        <v>20</v>
      </c>
      <c r="M1392" s="1" t="s">
        <v>2920</v>
      </c>
      <c r="N1392" s="2"/>
      <c r="O1392" s="2"/>
      <c r="P1392" s="2"/>
      <c r="Q1392" s="2"/>
    </row>
    <row x14ac:dyDescent="0.25" r="1393" customHeight="1" ht="17.25">
      <c r="A1393" s="1" t="s">
        <v>5174</v>
      </c>
      <c r="B1393" s="1" t="s">
        <v>2922</v>
      </c>
      <c r="C1393" s="1" t="s">
        <v>3576</v>
      </c>
      <c r="D1393" s="1" t="s">
        <v>20</v>
      </c>
      <c r="E1393" s="1" t="s">
        <v>4250</v>
      </c>
      <c r="F1393" s="1" t="s">
        <v>4251</v>
      </c>
      <c r="G1393" s="1" t="s">
        <v>4252</v>
      </c>
      <c r="H1393" s="2"/>
      <c r="I1393" s="5">
        <f>XLOOKUP(K1393, pharmaceutical_index!B:B, pharmaceutical_index!A:A, "Not Found")</f>
      </c>
      <c r="J1393" s="1" t="s">
        <v>2922</v>
      </c>
      <c r="K1393" s="1" t="s">
        <v>2922</v>
      </c>
      <c r="L1393" s="1" t="s">
        <v>20</v>
      </c>
      <c r="M1393" s="1" t="s">
        <v>2922</v>
      </c>
      <c r="N1393" s="2"/>
      <c r="O1393" s="2"/>
      <c r="P1393" s="2"/>
      <c r="Q1393" s="2"/>
    </row>
    <row x14ac:dyDescent="0.25" r="1394" customHeight="1" ht="17.25">
      <c r="A1394" s="1" t="s">
        <v>5175</v>
      </c>
      <c r="B1394" s="1" t="s">
        <v>2924</v>
      </c>
      <c r="C1394" s="1" t="s">
        <v>3576</v>
      </c>
      <c r="D1394" s="1" t="s">
        <v>20</v>
      </c>
      <c r="E1394" s="1" t="s">
        <v>4250</v>
      </c>
      <c r="F1394" s="1" t="s">
        <v>4251</v>
      </c>
      <c r="G1394" s="1" t="s">
        <v>4252</v>
      </c>
      <c r="H1394" s="2"/>
      <c r="I1394" s="5">
        <f>XLOOKUP(K1394, pharmaceutical_index!B:B, pharmaceutical_index!A:A, "Not Found")</f>
      </c>
      <c r="J1394" s="1" t="s">
        <v>2924</v>
      </c>
      <c r="K1394" s="1" t="s">
        <v>2924</v>
      </c>
      <c r="L1394" s="1" t="s">
        <v>20</v>
      </c>
      <c r="M1394" s="1" t="s">
        <v>2924</v>
      </c>
      <c r="N1394" s="2"/>
      <c r="O1394" s="2"/>
      <c r="P1394" s="2"/>
      <c r="Q1394" s="2"/>
    </row>
    <row x14ac:dyDescent="0.25" r="1395" customHeight="1" ht="17.25">
      <c r="A1395" s="1" t="s">
        <v>5176</v>
      </c>
      <c r="B1395" s="1" t="s">
        <v>2926</v>
      </c>
      <c r="C1395" s="1" t="s">
        <v>3576</v>
      </c>
      <c r="D1395" s="1" t="s">
        <v>20</v>
      </c>
      <c r="E1395" s="1" t="s">
        <v>4250</v>
      </c>
      <c r="F1395" s="1" t="s">
        <v>4251</v>
      </c>
      <c r="G1395" s="1" t="s">
        <v>4252</v>
      </c>
      <c r="H1395" s="2"/>
      <c r="I1395" s="5">
        <f>XLOOKUP(K1395, pharmaceutical_index!B:B, pharmaceutical_index!A:A, "Not Found")</f>
      </c>
      <c r="J1395" s="1" t="s">
        <v>2926</v>
      </c>
      <c r="K1395" s="1" t="s">
        <v>2926</v>
      </c>
      <c r="L1395" s="1" t="s">
        <v>20</v>
      </c>
      <c r="M1395" s="1" t="s">
        <v>2926</v>
      </c>
      <c r="N1395" s="2"/>
      <c r="O1395" s="2"/>
      <c r="P1395" s="2"/>
      <c r="Q1395" s="2"/>
    </row>
    <row x14ac:dyDescent="0.25" r="1396" customHeight="1" ht="17.25">
      <c r="A1396" s="1" t="s">
        <v>5177</v>
      </c>
      <c r="B1396" s="1" t="s">
        <v>2928</v>
      </c>
      <c r="C1396" s="1" t="s">
        <v>3576</v>
      </c>
      <c r="D1396" s="1" t="s">
        <v>20</v>
      </c>
      <c r="E1396" s="1" t="s">
        <v>4250</v>
      </c>
      <c r="F1396" s="1" t="s">
        <v>4251</v>
      </c>
      <c r="G1396" s="1" t="s">
        <v>4252</v>
      </c>
      <c r="H1396" s="2"/>
      <c r="I1396" s="5">
        <f>XLOOKUP(K1396, pharmaceutical_index!B:B, pharmaceutical_index!A:A, "Not Found")</f>
      </c>
      <c r="J1396" s="1" t="s">
        <v>2928</v>
      </c>
      <c r="K1396" s="1" t="s">
        <v>2928</v>
      </c>
      <c r="L1396" s="1" t="s">
        <v>20</v>
      </c>
      <c r="M1396" s="1" t="s">
        <v>2928</v>
      </c>
      <c r="N1396" s="2"/>
      <c r="O1396" s="2"/>
      <c r="P1396" s="2"/>
      <c r="Q1396" s="2"/>
    </row>
    <row x14ac:dyDescent="0.25" r="1397" customHeight="1" ht="17.25">
      <c r="A1397" s="1" t="s">
        <v>5178</v>
      </c>
      <c r="B1397" s="1" t="s">
        <v>2930</v>
      </c>
      <c r="C1397" s="1" t="s">
        <v>3576</v>
      </c>
      <c r="D1397" s="1" t="s">
        <v>20</v>
      </c>
      <c r="E1397" s="1" t="s">
        <v>4250</v>
      </c>
      <c r="F1397" s="1" t="s">
        <v>4251</v>
      </c>
      <c r="G1397" s="1" t="s">
        <v>4252</v>
      </c>
      <c r="H1397" s="2"/>
      <c r="I1397" s="5">
        <f>XLOOKUP(K1397, pharmaceutical_index!B:B, pharmaceutical_index!A:A, "Not Found")</f>
      </c>
      <c r="J1397" s="1" t="s">
        <v>2930</v>
      </c>
      <c r="K1397" s="1" t="s">
        <v>2930</v>
      </c>
      <c r="L1397" s="1" t="s">
        <v>20</v>
      </c>
      <c r="M1397" s="1" t="s">
        <v>2930</v>
      </c>
      <c r="N1397" s="2"/>
      <c r="O1397" s="2"/>
      <c r="P1397" s="2"/>
      <c r="Q1397" s="2"/>
    </row>
    <row x14ac:dyDescent="0.25" r="1398" customHeight="1" ht="17.25">
      <c r="A1398" s="1" t="s">
        <v>5179</v>
      </c>
      <c r="B1398" s="1" t="s">
        <v>2932</v>
      </c>
      <c r="C1398" s="1" t="s">
        <v>3576</v>
      </c>
      <c r="D1398" s="1" t="s">
        <v>20</v>
      </c>
      <c r="E1398" s="1" t="s">
        <v>4250</v>
      </c>
      <c r="F1398" s="1" t="s">
        <v>4251</v>
      </c>
      <c r="G1398" s="1" t="s">
        <v>4252</v>
      </c>
      <c r="H1398" s="2"/>
      <c r="I1398" s="5">
        <f>XLOOKUP(K1398, pharmaceutical_index!B:B, pharmaceutical_index!A:A, "Not Found")</f>
      </c>
      <c r="J1398" s="1" t="s">
        <v>2932</v>
      </c>
      <c r="K1398" s="1" t="s">
        <v>2932</v>
      </c>
      <c r="L1398" s="1" t="s">
        <v>20</v>
      </c>
      <c r="M1398" s="1" t="s">
        <v>2932</v>
      </c>
      <c r="N1398" s="2"/>
      <c r="O1398" s="2"/>
      <c r="P1398" s="2"/>
      <c r="Q1398" s="2"/>
    </row>
    <row x14ac:dyDescent="0.25" r="1399" customHeight="1" ht="17.25">
      <c r="A1399" s="1" t="s">
        <v>5180</v>
      </c>
      <c r="B1399" s="1" t="s">
        <v>2934</v>
      </c>
      <c r="C1399" s="1" t="s">
        <v>3576</v>
      </c>
      <c r="D1399" s="1" t="s">
        <v>20</v>
      </c>
      <c r="E1399" s="1" t="s">
        <v>4250</v>
      </c>
      <c r="F1399" s="1" t="s">
        <v>4251</v>
      </c>
      <c r="G1399" s="1" t="s">
        <v>4252</v>
      </c>
      <c r="H1399" s="2"/>
      <c r="I1399" s="5">
        <f>XLOOKUP(K1399, pharmaceutical_index!B:B, pharmaceutical_index!A:A, "Not Found")</f>
      </c>
      <c r="J1399" s="1" t="s">
        <v>2934</v>
      </c>
      <c r="K1399" s="1" t="s">
        <v>2934</v>
      </c>
      <c r="L1399" s="1" t="s">
        <v>20</v>
      </c>
      <c r="M1399" s="1" t="s">
        <v>2934</v>
      </c>
      <c r="N1399" s="2"/>
      <c r="O1399" s="2"/>
      <c r="P1399" s="2"/>
      <c r="Q1399" s="2"/>
    </row>
    <row x14ac:dyDescent="0.25" r="1400" customHeight="1" ht="17.25">
      <c r="A1400" s="1" t="s">
        <v>5181</v>
      </c>
      <c r="B1400" s="1" t="s">
        <v>2936</v>
      </c>
      <c r="C1400" s="1" t="s">
        <v>3576</v>
      </c>
      <c r="D1400" s="1" t="s">
        <v>20</v>
      </c>
      <c r="E1400" s="1" t="s">
        <v>4250</v>
      </c>
      <c r="F1400" s="1" t="s">
        <v>4251</v>
      </c>
      <c r="G1400" s="1" t="s">
        <v>4252</v>
      </c>
      <c r="H1400" s="2"/>
      <c r="I1400" s="5">
        <f>XLOOKUP(K1400, pharmaceutical_index!B:B, pharmaceutical_index!A:A, "Not Found")</f>
      </c>
      <c r="J1400" s="1" t="s">
        <v>2936</v>
      </c>
      <c r="K1400" s="1" t="s">
        <v>2936</v>
      </c>
      <c r="L1400" s="1" t="s">
        <v>20</v>
      </c>
      <c r="M1400" s="1" t="s">
        <v>2936</v>
      </c>
      <c r="N1400" s="2"/>
      <c r="O1400" s="2"/>
      <c r="P1400" s="2"/>
      <c r="Q1400" s="2"/>
    </row>
    <row x14ac:dyDescent="0.25" r="1401" customHeight="1" ht="17.25">
      <c r="A1401" s="1" t="s">
        <v>5182</v>
      </c>
      <c r="B1401" s="1" t="s">
        <v>2938</v>
      </c>
      <c r="C1401" s="1" t="s">
        <v>3576</v>
      </c>
      <c r="D1401" s="1" t="s">
        <v>20</v>
      </c>
      <c r="E1401" s="1" t="s">
        <v>4250</v>
      </c>
      <c r="F1401" s="1" t="s">
        <v>4251</v>
      </c>
      <c r="G1401" s="1" t="s">
        <v>4252</v>
      </c>
      <c r="H1401" s="2"/>
      <c r="I1401" s="5">
        <f>XLOOKUP(K1401, pharmaceutical_index!B:B, pharmaceutical_index!A:A, "Not Found")</f>
      </c>
      <c r="J1401" s="1" t="s">
        <v>2938</v>
      </c>
      <c r="K1401" s="1" t="s">
        <v>2938</v>
      </c>
      <c r="L1401" s="1" t="s">
        <v>20</v>
      </c>
      <c r="M1401" s="1" t="s">
        <v>2938</v>
      </c>
      <c r="N1401" s="2"/>
      <c r="O1401" s="2"/>
      <c r="P1401" s="2"/>
      <c r="Q1401" s="2"/>
    </row>
    <row x14ac:dyDescent="0.25" r="1402" customHeight="1" ht="17.25">
      <c r="A1402" s="1" t="s">
        <v>5183</v>
      </c>
      <c r="B1402" s="1" t="s">
        <v>2940</v>
      </c>
      <c r="C1402" s="1" t="s">
        <v>3576</v>
      </c>
      <c r="D1402" s="1" t="s">
        <v>20</v>
      </c>
      <c r="E1402" s="1" t="s">
        <v>4250</v>
      </c>
      <c r="F1402" s="1" t="s">
        <v>4251</v>
      </c>
      <c r="G1402" s="1" t="s">
        <v>4252</v>
      </c>
      <c r="H1402" s="2"/>
      <c r="I1402" s="5">
        <f>XLOOKUP(K1402, pharmaceutical_index!B:B, pharmaceutical_index!A:A, "Not Found")</f>
      </c>
      <c r="J1402" s="1" t="s">
        <v>2940</v>
      </c>
      <c r="K1402" s="1" t="s">
        <v>2940</v>
      </c>
      <c r="L1402" s="1" t="s">
        <v>20</v>
      </c>
      <c r="M1402" s="1" t="s">
        <v>2940</v>
      </c>
      <c r="N1402" s="2"/>
      <c r="O1402" s="2"/>
      <c r="P1402" s="2"/>
      <c r="Q1402" s="2"/>
    </row>
    <row x14ac:dyDescent="0.25" r="1403" customHeight="1" ht="17.25">
      <c r="A1403" s="1" t="s">
        <v>5184</v>
      </c>
      <c r="B1403" s="1" t="s">
        <v>2942</v>
      </c>
      <c r="C1403" s="1" t="s">
        <v>3576</v>
      </c>
      <c r="D1403" s="1" t="s">
        <v>20</v>
      </c>
      <c r="E1403" s="1" t="s">
        <v>4250</v>
      </c>
      <c r="F1403" s="1" t="s">
        <v>4251</v>
      </c>
      <c r="G1403" s="1" t="s">
        <v>4252</v>
      </c>
      <c r="H1403" s="2"/>
      <c r="I1403" s="5">
        <f>XLOOKUP(K1403, pharmaceutical_index!B:B, pharmaceutical_index!A:A, "Not Found")</f>
      </c>
      <c r="J1403" s="1" t="s">
        <v>2942</v>
      </c>
      <c r="K1403" s="1" t="s">
        <v>2942</v>
      </c>
      <c r="L1403" s="1" t="s">
        <v>20</v>
      </c>
      <c r="M1403" s="1" t="s">
        <v>2942</v>
      </c>
      <c r="N1403" s="2"/>
      <c r="O1403" s="2"/>
      <c r="P1403" s="2"/>
      <c r="Q1403" s="2"/>
    </row>
    <row x14ac:dyDescent="0.25" r="1404" customHeight="1" ht="17.25">
      <c r="A1404" s="1" t="s">
        <v>5185</v>
      </c>
      <c r="B1404" s="1" t="s">
        <v>2944</v>
      </c>
      <c r="C1404" s="1" t="s">
        <v>3576</v>
      </c>
      <c r="D1404" s="1" t="s">
        <v>20</v>
      </c>
      <c r="E1404" s="1" t="s">
        <v>4250</v>
      </c>
      <c r="F1404" s="1" t="s">
        <v>4251</v>
      </c>
      <c r="G1404" s="1" t="s">
        <v>4252</v>
      </c>
      <c r="H1404" s="2"/>
      <c r="I1404" s="5">
        <f>XLOOKUP(K1404, pharmaceutical_index!B:B, pharmaceutical_index!A:A, "Not Found")</f>
      </c>
      <c r="J1404" s="1" t="s">
        <v>2944</v>
      </c>
      <c r="K1404" s="1" t="s">
        <v>2944</v>
      </c>
      <c r="L1404" s="1" t="s">
        <v>20</v>
      </c>
      <c r="M1404" s="1" t="s">
        <v>2944</v>
      </c>
      <c r="N1404" s="2"/>
      <c r="O1404" s="2"/>
      <c r="P1404" s="2"/>
      <c r="Q1404" s="2"/>
    </row>
    <row x14ac:dyDescent="0.25" r="1405" customHeight="1" ht="17.25">
      <c r="A1405" s="1" t="s">
        <v>5186</v>
      </c>
      <c r="B1405" s="1" t="s">
        <v>2946</v>
      </c>
      <c r="C1405" s="1" t="s">
        <v>3576</v>
      </c>
      <c r="D1405" s="1" t="s">
        <v>20</v>
      </c>
      <c r="E1405" s="1" t="s">
        <v>4250</v>
      </c>
      <c r="F1405" s="1" t="s">
        <v>4251</v>
      </c>
      <c r="G1405" s="1" t="s">
        <v>4252</v>
      </c>
      <c r="H1405" s="2"/>
      <c r="I1405" s="5">
        <f>XLOOKUP(K1405, pharmaceutical_index!B:B, pharmaceutical_index!A:A, "Not Found")</f>
      </c>
      <c r="J1405" s="1" t="s">
        <v>2946</v>
      </c>
      <c r="K1405" s="1" t="s">
        <v>2946</v>
      </c>
      <c r="L1405" s="1" t="s">
        <v>20</v>
      </c>
      <c r="M1405" s="1" t="s">
        <v>2946</v>
      </c>
      <c r="N1405" s="2"/>
      <c r="O1405" s="2"/>
      <c r="P1405" s="2"/>
      <c r="Q1405" s="2"/>
    </row>
    <row x14ac:dyDescent="0.25" r="1406" customHeight="1" ht="17.25">
      <c r="A1406" s="1" t="s">
        <v>5187</v>
      </c>
      <c r="B1406" s="1" t="s">
        <v>2948</v>
      </c>
      <c r="C1406" s="1" t="s">
        <v>3576</v>
      </c>
      <c r="D1406" s="1" t="s">
        <v>20</v>
      </c>
      <c r="E1406" s="1" t="s">
        <v>4250</v>
      </c>
      <c r="F1406" s="1" t="s">
        <v>4251</v>
      </c>
      <c r="G1406" s="1" t="s">
        <v>4252</v>
      </c>
      <c r="H1406" s="2"/>
      <c r="I1406" s="5">
        <f>XLOOKUP(K1406, pharmaceutical_index!B:B, pharmaceutical_index!A:A, "Not Found")</f>
      </c>
      <c r="J1406" s="1" t="s">
        <v>2948</v>
      </c>
      <c r="K1406" s="1" t="s">
        <v>2948</v>
      </c>
      <c r="L1406" s="1" t="s">
        <v>20</v>
      </c>
      <c r="M1406" s="1" t="s">
        <v>2948</v>
      </c>
      <c r="N1406" s="2"/>
      <c r="O1406" s="2"/>
      <c r="P1406" s="2"/>
      <c r="Q1406" s="2"/>
    </row>
    <row x14ac:dyDescent="0.25" r="1407" customHeight="1" ht="17.25">
      <c r="A1407" s="1" t="s">
        <v>5188</v>
      </c>
      <c r="B1407" s="1" t="s">
        <v>2950</v>
      </c>
      <c r="C1407" s="1" t="s">
        <v>3576</v>
      </c>
      <c r="D1407" s="1" t="s">
        <v>20</v>
      </c>
      <c r="E1407" s="1" t="s">
        <v>4250</v>
      </c>
      <c r="F1407" s="1" t="s">
        <v>4251</v>
      </c>
      <c r="G1407" s="1" t="s">
        <v>4252</v>
      </c>
      <c r="H1407" s="2"/>
      <c r="I1407" s="5">
        <f>XLOOKUP(K1407, pharmaceutical_index!B:B, pharmaceutical_index!A:A, "Not Found")</f>
      </c>
      <c r="J1407" s="1" t="s">
        <v>2950</v>
      </c>
      <c r="K1407" s="1" t="s">
        <v>2950</v>
      </c>
      <c r="L1407" s="1" t="s">
        <v>20</v>
      </c>
      <c r="M1407" s="1" t="s">
        <v>2950</v>
      </c>
      <c r="N1407" s="2"/>
      <c r="O1407" s="2"/>
      <c r="P1407" s="2"/>
      <c r="Q1407" s="2"/>
    </row>
    <row x14ac:dyDescent="0.25" r="1408" customHeight="1" ht="17.25">
      <c r="A1408" s="1" t="s">
        <v>5189</v>
      </c>
      <c r="B1408" s="1" t="s">
        <v>2952</v>
      </c>
      <c r="C1408" s="1" t="s">
        <v>3576</v>
      </c>
      <c r="D1408" s="1" t="s">
        <v>20</v>
      </c>
      <c r="E1408" s="1" t="s">
        <v>4250</v>
      </c>
      <c r="F1408" s="1" t="s">
        <v>4251</v>
      </c>
      <c r="G1408" s="1" t="s">
        <v>4252</v>
      </c>
      <c r="H1408" s="2"/>
      <c r="I1408" s="5">
        <f>XLOOKUP(K1408, pharmaceutical_index!B:B, pharmaceutical_index!A:A, "Not Found")</f>
      </c>
      <c r="J1408" s="1" t="s">
        <v>2952</v>
      </c>
      <c r="K1408" s="1" t="s">
        <v>2952</v>
      </c>
      <c r="L1408" s="1" t="s">
        <v>20</v>
      </c>
      <c r="M1408" s="1" t="s">
        <v>2952</v>
      </c>
      <c r="N1408" s="2"/>
      <c r="O1408" s="2"/>
      <c r="P1408" s="2"/>
      <c r="Q1408" s="2"/>
    </row>
    <row x14ac:dyDescent="0.25" r="1409" customHeight="1" ht="17.25">
      <c r="A1409" s="1" t="s">
        <v>5190</v>
      </c>
      <c r="B1409" s="1" t="s">
        <v>2954</v>
      </c>
      <c r="C1409" s="1" t="s">
        <v>3576</v>
      </c>
      <c r="D1409" s="1" t="s">
        <v>20</v>
      </c>
      <c r="E1409" s="1" t="s">
        <v>4250</v>
      </c>
      <c r="F1409" s="1" t="s">
        <v>4251</v>
      </c>
      <c r="G1409" s="1" t="s">
        <v>4252</v>
      </c>
      <c r="H1409" s="2"/>
      <c r="I1409" s="5">
        <f>XLOOKUP(K1409, pharmaceutical_index!B:B, pharmaceutical_index!A:A, "Not Found")</f>
      </c>
      <c r="J1409" s="1" t="s">
        <v>2954</v>
      </c>
      <c r="K1409" s="1" t="s">
        <v>2954</v>
      </c>
      <c r="L1409" s="1" t="s">
        <v>20</v>
      </c>
      <c r="M1409" s="1" t="s">
        <v>2954</v>
      </c>
      <c r="N1409" s="2"/>
      <c r="O1409" s="2"/>
      <c r="P1409" s="2"/>
      <c r="Q1409" s="2"/>
    </row>
    <row x14ac:dyDescent="0.25" r="1410" customHeight="1" ht="17.25">
      <c r="A1410" s="1" t="s">
        <v>5191</v>
      </c>
      <c r="B1410" s="1" t="s">
        <v>2956</v>
      </c>
      <c r="C1410" s="1" t="s">
        <v>3576</v>
      </c>
      <c r="D1410" s="1" t="s">
        <v>20</v>
      </c>
      <c r="E1410" s="1" t="s">
        <v>4250</v>
      </c>
      <c r="F1410" s="1" t="s">
        <v>4251</v>
      </c>
      <c r="G1410" s="1" t="s">
        <v>4252</v>
      </c>
      <c r="H1410" s="2"/>
      <c r="I1410" s="5">
        <f>XLOOKUP(K1410, pharmaceutical_index!B:B, pharmaceutical_index!A:A, "Not Found")</f>
      </c>
      <c r="J1410" s="1" t="s">
        <v>2956</v>
      </c>
      <c r="K1410" s="1" t="s">
        <v>2956</v>
      </c>
      <c r="L1410" s="1" t="s">
        <v>20</v>
      </c>
      <c r="M1410" s="1" t="s">
        <v>2956</v>
      </c>
      <c r="N1410" s="2"/>
      <c r="O1410" s="2"/>
      <c r="P1410" s="2"/>
      <c r="Q1410" s="2"/>
    </row>
    <row x14ac:dyDescent="0.25" r="1411" customHeight="1" ht="17.25">
      <c r="A1411" s="1" t="s">
        <v>5192</v>
      </c>
      <c r="B1411" s="1" t="s">
        <v>2958</v>
      </c>
      <c r="C1411" s="1" t="s">
        <v>3576</v>
      </c>
      <c r="D1411" s="1" t="s">
        <v>20</v>
      </c>
      <c r="E1411" s="1" t="s">
        <v>4250</v>
      </c>
      <c r="F1411" s="1" t="s">
        <v>4251</v>
      </c>
      <c r="G1411" s="1" t="s">
        <v>4252</v>
      </c>
      <c r="H1411" s="2"/>
      <c r="I1411" s="5">
        <f>XLOOKUP(K1411, pharmaceutical_index!B:B, pharmaceutical_index!A:A, "Not Found")</f>
      </c>
      <c r="J1411" s="1" t="s">
        <v>2958</v>
      </c>
      <c r="K1411" s="1" t="s">
        <v>2958</v>
      </c>
      <c r="L1411" s="1" t="s">
        <v>20</v>
      </c>
      <c r="M1411" s="1" t="s">
        <v>2958</v>
      </c>
      <c r="N1411" s="2"/>
      <c r="O1411" s="2"/>
      <c r="P1411" s="2"/>
      <c r="Q1411" s="2"/>
    </row>
    <row x14ac:dyDescent="0.25" r="1412" customHeight="1" ht="17.25">
      <c r="A1412" s="1" t="s">
        <v>5193</v>
      </c>
      <c r="B1412" s="1" t="s">
        <v>2960</v>
      </c>
      <c r="C1412" s="1" t="s">
        <v>3576</v>
      </c>
      <c r="D1412" s="1" t="s">
        <v>20</v>
      </c>
      <c r="E1412" s="1" t="s">
        <v>4250</v>
      </c>
      <c r="F1412" s="1" t="s">
        <v>4251</v>
      </c>
      <c r="G1412" s="1" t="s">
        <v>4252</v>
      </c>
      <c r="H1412" s="2"/>
      <c r="I1412" s="5">
        <f>XLOOKUP(K1412, pharmaceutical_index!B:B, pharmaceutical_index!A:A, "Not Found")</f>
      </c>
      <c r="J1412" s="1" t="s">
        <v>2960</v>
      </c>
      <c r="K1412" s="1" t="s">
        <v>2960</v>
      </c>
      <c r="L1412" s="1" t="s">
        <v>20</v>
      </c>
      <c r="M1412" s="1" t="s">
        <v>2960</v>
      </c>
      <c r="N1412" s="2"/>
      <c r="O1412" s="2"/>
      <c r="P1412" s="2"/>
      <c r="Q1412" s="2"/>
    </row>
    <row x14ac:dyDescent="0.25" r="1413" customHeight="1" ht="17.25">
      <c r="A1413" s="1" t="s">
        <v>5194</v>
      </c>
      <c r="B1413" s="1" t="s">
        <v>2962</v>
      </c>
      <c r="C1413" s="1" t="s">
        <v>3576</v>
      </c>
      <c r="D1413" s="1" t="s">
        <v>20</v>
      </c>
      <c r="E1413" s="1" t="s">
        <v>4250</v>
      </c>
      <c r="F1413" s="1" t="s">
        <v>4251</v>
      </c>
      <c r="G1413" s="1" t="s">
        <v>4252</v>
      </c>
      <c r="H1413" s="2"/>
      <c r="I1413" s="5">
        <f>XLOOKUP(K1413, pharmaceutical_index!B:B, pharmaceutical_index!A:A, "Not Found")</f>
      </c>
      <c r="J1413" s="1" t="s">
        <v>2962</v>
      </c>
      <c r="K1413" s="1" t="s">
        <v>2962</v>
      </c>
      <c r="L1413" s="1" t="s">
        <v>20</v>
      </c>
      <c r="M1413" s="1" t="s">
        <v>2962</v>
      </c>
      <c r="N1413" s="2"/>
      <c r="O1413" s="2"/>
      <c r="P1413" s="2"/>
      <c r="Q1413" s="2"/>
    </row>
    <row x14ac:dyDescent="0.25" r="1414" customHeight="1" ht="17.25">
      <c r="A1414" s="1" t="s">
        <v>5195</v>
      </c>
      <c r="B1414" s="1" t="s">
        <v>2964</v>
      </c>
      <c r="C1414" s="1" t="s">
        <v>3576</v>
      </c>
      <c r="D1414" s="1" t="s">
        <v>20</v>
      </c>
      <c r="E1414" s="1" t="s">
        <v>4250</v>
      </c>
      <c r="F1414" s="1" t="s">
        <v>4251</v>
      </c>
      <c r="G1414" s="1" t="s">
        <v>4252</v>
      </c>
      <c r="H1414" s="2"/>
      <c r="I1414" s="5">
        <f>XLOOKUP(K1414, pharmaceutical_index!B:B, pharmaceutical_index!A:A, "Not Found")</f>
      </c>
      <c r="J1414" s="1" t="s">
        <v>2964</v>
      </c>
      <c r="K1414" s="1" t="s">
        <v>2964</v>
      </c>
      <c r="L1414" s="1" t="s">
        <v>20</v>
      </c>
      <c r="M1414" s="1" t="s">
        <v>2964</v>
      </c>
      <c r="N1414" s="2"/>
      <c r="O1414" s="2"/>
      <c r="P1414" s="2"/>
      <c r="Q1414" s="2"/>
    </row>
    <row x14ac:dyDescent="0.25" r="1415" customHeight="1" ht="17.25">
      <c r="A1415" s="1" t="s">
        <v>5196</v>
      </c>
      <c r="B1415" s="1" t="s">
        <v>2966</v>
      </c>
      <c r="C1415" s="1" t="s">
        <v>3576</v>
      </c>
      <c r="D1415" s="1" t="s">
        <v>20</v>
      </c>
      <c r="E1415" s="1" t="s">
        <v>4250</v>
      </c>
      <c r="F1415" s="1" t="s">
        <v>4251</v>
      </c>
      <c r="G1415" s="1" t="s">
        <v>4252</v>
      </c>
      <c r="H1415" s="2"/>
      <c r="I1415" s="5">
        <f>XLOOKUP(K1415, pharmaceutical_index!B:B, pharmaceutical_index!A:A, "Not Found")</f>
      </c>
      <c r="J1415" s="1" t="s">
        <v>2966</v>
      </c>
      <c r="K1415" s="1" t="s">
        <v>2966</v>
      </c>
      <c r="L1415" s="1" t="s">
        <v>20</v>
      </c>
      <c r="M1415" s="1" t="s">
        <v>2966</v>
      </c>
      <c r="N1415" s="2"/>
      <c r="O1415" s="2"/>
      <c r="P1415" s="2"/>
      <c r="Q1415" s="2"/>
    </row>
    <row x14ac:dyDescent="0.25" r="1416" customHeight="1" ht="17.25">
      <c r="A1416" s="1" t="s">
        <v>5197</v>
      </c>
      <c r="B1416" s="1" t="s">
        <v>2968</v>
      </c>
      <c r="C1416" s="1" t="s">
        <v>3576</v>
      </c>
      <c r="D1416" s="1" t="s">
        <v>20</v>
      </c>
      <c r="E1416" s="1" t="s">
        <v>4250</v>
      </c>
      <c r="F1416" s="1" t="s">
        <v>4251</v>
      </c>
      <c r="G1416" s="1" t="s">
        <v>4252</v>
      </c>
      <c r="H1416" s="2"/>
      <c r="I1416" s="5">
        <f>XLOOKUP(K1416, pharmaceutical_index!B:B, pharmaceutical_index!A:A, "Not Found")</f>
      </c>
      <c r="J1416" s="1" t="s">
        <v>2968</v>
      </c>
      <c r="K1416" s="1" t="s">
        <v>2968</v>
      </c>
      <c r="L1416" s="1" t="s">
        <v>20</v>
      </c>
      <c r="M1416" s="1" t="s">
        <v>2968</v>
      </c>
      <c r="N1416" s="2"/>
      <c r="O1416" s="2"/>
      <c r="P1416" s="2"/>
      <c r="Q1416" s="2"/>
    </row>
    <row x14ac:dyDescent="0.25" r="1417" customHeight="1" ht="17.25">
      <c r="A1417" s="1" t="s">
        <v>5198</v>
      </c>
      <c r="B1417" s="1" t="s">
        <v>2970</v>
      </c>
      <c r="C1417" s="1" t="s">
        <v>3576</v>
      </c>
      <c r="D1417" s="1" t="s">
        <v>20</v>
      </c>
      <c r="E1417" s="1" t="s">
        <v>4250</v>
      </c>
      <c r="F1417" s="1" t="s">
        <v>4251</v>
      </c>
      <c r="G1417" s="1" t="s">
        <v>4252</v>
      </c>
      <c r="H1417" s="2"/>
      <c r="I1417" s="5">
        <f>XLOOKUP(K1417, pharmaceutical_index!B:B, pharmaceutical_index!A:A, "Not Found")</f>
      </c>
      <c r="J1417" s="1" t="s">
        <v>2970</v>
      </c>
      <c r="K1417" s="1" t="s">
        <v>2970</v>
      </c>
      <c r="L1417" s="1" t="s">
        <v>20</v>
      </c>
      <c r="M1417" s="1" t="s">
        <v>2970</v>
      </c>
      <c r="N1417" s="2"/>
      <c r="O1417" s="2"/>
      <c r="P1417" s="2"/>
      <c r="Q1417" s="2"/>
    </row>
    <row x14ac:dyDescent="0.25" r="1418" customHeight="1" ht="17.25">
      <c r="A1418" s="1" t="s">
        <v>5199</v>
      </c>
      <c r="B1418" s="1" t="s">
        <v>2972</v>
      </c>
      <c r="C1418" s="1" t="s">
        <v>3576</v>
      </c>
      <c r="D1418" s="1" t="s">
        <v>20</v>
      </c>
      <c r="E1418" s="1" t="s">
        <v>4250</v>
      </c>
      <c r="F1418" s="1" t="s">
        <v>4251</v>
      </c>
      <c r="G1418" s="1" t="s">
        <v>4252</v>
      </c>
      <c r="H1418" s="2"/>
      <c r="I1418" s="5">
        <f>XLOOKUP(K1418, pharmaceutical_index!B:B, pharmaceutical_index!A:A, "Not Found")</f>
      </c>
      <c r="J1418" s="1" t="s">
        <v>2972</v>
      </c>
      <c r="K1418" s="1" t="s">
        <v>2972</v>
      </c>
      <c r="L1418" s="1" t="s">
        <v>20</v>
      </c>
      <c r="M1418" s="1" t="s">
        <v>2972</v>
      </c>
      <c r="N1418" s="2"/>
      <c r="O1418" s="2"/>
      <c r="P1418" s="2"/>
      <c r="Q1418" s="2"/>
    </row>
    <row x14ac:dyDescent="0.25" r="1419" customHeight="1" ht="17.25">
      <c r="A1419" s="1" t="s">
        <v>5200</v>
      </c>
      <c r="B1419" s="1" t="s">
        <v>2974</v>
      </c>
      <c r="C1419" s="1" t="s">
        <v>3576</v>
      </c>
      <c r="D1419" s="1" t="s">
        <v>20</v>
      </c>
      <c r="E1419" s="1" t="s">
        <v>4250</v>
      </c>
      <c r="F1419" s="1" t="s">
        <v>4251</v>
      </c>
      <c r="G1419" s="1" t="s">
        <v>4252</v>
      </c>
      <c r="H1419" s="2"/>
      <c r="I1419" s="5">
        <f>XLOOKUP(K1419, pharmaceutical_index!B:B, pharmaceutical_index!A:A, "Not Found")</f>
      </c>
      <c r="J1419" s="1" t="s">
        <v>2974</v>
      </c>
      <c r="K1419" s="1" t="s">
        <v>2974</v>
      </c>
      <c r="L1419" s="1" t="s">
        <v>20</v>
      </c>
      <c r="M1419" s="1" t="s">
        <v>2974</v>
      </c>
      <c r="N1419" s="2"/>
      <c r="O1419" s="2"/>
      <c r="P1419" s="2"/>
      <c r="Q1419" s="2"/>
    </row>
    <row x14ac:dyDescent="0.25" r="1420" customHeight="1" ht="17.25">
      <c r="A1420" s="1" t="s">
        <v>5201</v>
      </c>
      <c r="B1420" s="1" t="s">
        <v>2976</v>
      </c>
      <c r="C1420" s="1" t="s">
        <v>3576</v>
      </c>
      <c r="D1420" s="1" t="s">
        <v>20</v>
      </c>
      <c r="E1420" s="1" t="s">
        <v>4250</v>
      </c>
      <c r="F1420" s="1" t="s">
        <v>4251</v>
      </c>
      <c r="G1420" s="1" t="s">
        <v>4252</v>
      </c>
      <c r="H1420" s="2"/>
      <c r="I1420" s="5">
        <f>XLOOKUP(K1420, pharmaceutical_index!B:B, pharmaceutical_index!A:A, "Not Found")</f>
      </c>
      <c r="J1420" s="1" t="s">
        <v>2976</v>
      </c>
      <c r="K1420" s="1" t="s">
        <v>2976</v>
      </c>
      <c r="L1420" s="1" t="s">
        <v>20</v>
      </c>
      <c r="M1420" s="1" t="s">
        <v>2976</v>
      </c>
      <c r="N1420" s="2"/>
      <c r="O1420" s="2"/>
      <c r="P1420" s="2"/>
      <c r="Q1420" s="2"/>
    </row>
    <row x14ac:dyDescent="0.25" r="1421" customHeight="1" ht="17.25">
      <c r="A1421" s="1" t="s">
        <v>5202</v>
      </c>
      <c r="B1421" s="1" t="s">
        <v>2978</v>
      </c>
      <c r="C1421" s="1" t="s">
        <v>3576</v>
      </c>
      <c r="D1421" s="1" t="s">
        <v>20</v>
      </c>
      <c r="E1421" s="1" t="s">
        <v>4250</v>
      </c>
      <c r="F1421" s="1" t="s">
        <v>4251</v>
      </c>
      <c r="G1421" s="1" t="s">
        <v>4252</v>
      </c>
      <c r="H1421" s="2"/>
      <c r="I1421" s="5">
        <f>XLOOKUP(K1421, pharmaceutical_index!B:B, pharmaceutical_index!A:A, "Not Found")</f>
      </c>
      <c r="J1421" s="1" t="s">
        <v>2978</v>
      </c>
      <c r="K1421" s="1" t="s">
        <v>2978</v>
      </c>
      <c r="L1421" s="1" t="s">
        <v>20</v>
      </c>
      <c r="M1421" s="1" t="s">
        <v>2978</v>
      </c>
      <c r="N1421" s="2"/>
      <c r="O1421" s="2"/>
      <c r="P1421" s="2"/>
      <c r="Q1421" s="2"/>
    </row>
    <row x14ac:dyDescent="0.25" r="1422" customHeight="1" ht="17.25">
      <c r="A1422" s="1" t="s">
        <v>5203</v>
      </c>
      <c r="B1422" s="1" t="s">
        <v>2980</v>
      </c>
      <c r="C1422" s="1" t="s">
        <v>3576</v>
      </c>
      <c r="D1422" s="1" t="s">
        <v>20</v>
      </c>
      <c r="E1422" s="1" t="s">
        <v>4250</v>
      </c>
      <c r="F1422" s="1" t="s">
        <v>4251</v>
      </c>
      <c r="G1422" s="1" t="s">
        <v>4252</v>
      </c>
      <c r="H1422" s="2"/>
      <c r="I1422" s="5">
        <f>XLOOKUP(K1422, pharmaceutical_index!B:B, pharmaceutical_index!A:A, "Not Found")</f>
      </c>
      <c r="J1422" s="1" t="s">
        <v>2980</v>
      </c>
      <c r="K1422" s="1" t="s">
        <v>2980</v>
      </c>
      <c r="L1422" s="1" t="s">
        <v>20</v>
      </c>
      <c r="M1422" s="1" t="s">
        <v>2980</v>
      </c>
      <c r="N1422" s="2"/>
      <c r="O1422" s="2"/>
      <c r="P1422" s="2"/>
      <c r="Q1422" s="2"/>
    </row>
    <row x14ac:dyDescent="0.25" r="1423" customHeight="1" ht="17.25">
      <c r="A1423" s="1" t="s">
        <v>5204</v>
      </c>
      <c r="B1423" s="1" t="s">
        <v>2982</v>
      </c>
      <c r="C1423" s="1" t="s">
        <v>3576</v>
      </c>
      <c r="D1423" s="1" t="s">
        <v>20</v>
      </c>
      <c r="E1423" s="1" t="s">
        <v>4250</v>
      </c>
      <c r="F1423" s="1" t="s">
        <v>4251</v>
      </c>
      <c r="G1423" s="1" t="s">
        <v>4252</v>
      </c>
      <c r="H1423" s="2"/>
      <c r="I1423" s="5">
        <f>XLOOKUP(K1423, pharmaceutical_index!B:B, pharmaceutical_index!A:A, "Not Found")</f>
      </c>
      <c r="J1423" s="1" t="s">
        <v>2982</v>
      </c>
      <c r="K1423" s="1" t="s">
        <v>2982</v>
      </c>
      <c r="L1423" s="1" t="s">
        <v>20</v>
      </c>
      <c r="M1423" s="1" t="s">
        <v>2982</v>
      </c>
      <c r="N1423" s="2"/>
      <c r="O1423" s="2"/>
      <c r="P1423" s="2"/>
      <c r="Q1423" s="2"/>
    </row>
    <row x14ac:dyDescent="0.25" r="1424" customHeight="1" ht="17.25">
      <c r="A1424" s="1" t="s">
        <v>5205</v>
      </c>
      <c r="B1424" s="1" t="s">
        <v>2984</v>
      </c>
      <c r="C1424" s="1" t="s">
        <v>3576</v>
      </c>
      <c r="D1424" s="1" t="s">
        <v>20</v>
      </c>
      <c r="E1424" s="1" t="s">
        <v>4250</v>
      </c>
      <c r="F1424" s="1" t="s">
        <v>4251</v>
      </c>
      <c r="G1424" s="1" t="s">
        <v>4252</v>
      </c>
      <c r="H1424" s="2"/>
      <c r="I1424" s="5">
        <f>XLOOKUP(K1424, pharmaceutical_index!B:B, pharmaceutical_index!A:A, "Not Found")</f>
      </c>
      <c r="J1424" s="1" t="s">
        <v>2984</v>
      </c>
      <c r="K1424" s="1" t="s">
        <v>2984</v>
      </c>
      <c r="L1424" s="1" t="s">
        <v>20</v>
      </c>
      <c r="M1424" s="1" t="s">
        <v>2984</v>
      </c>
      <c r="N1424" s="2"/>
      <c r="O1424" s="2"/>
      <c r="P1424" s="2"/>
      <c r="Q1424" s="2"/>
    </row>
    <row x14ac:dyDescent="0.25" r="1425" customHeight="1" ht="17.25">
      <c r="A1425" s="1" t="s">
        <v>5206</v>
      </c>
      <c r="B1425" s="1" t="s">
        <v>2986</v>
      </c>
      <c r="C1425" s="1" t="s">
        <v>3576</v>
      </c>
      <c r="D1425" s="1" t="s">
        <v>20</v>
      </c>
      <c r="E1425" s="1" t="s">
        <v>4250</v>
      </c>
      <c r="F1425" s="1" t="s">
        <v>4251</v>
      </c>
      <c r="G1425" s="1" t="s">
        <v>4252</v>
      </c>
      <c r="H1425" s="2"/>
      <c r="I1425" s="5">
        <f>XLOOKUP(K1425, pharmaceutical_index!B:B, pharmaceutical_index!A:A, "Not Found")</f>
      </c>
      <c r="J1425" s="1" t="s">
        <v>2986</v>
      </c>
      <c r="K1425" s="1" t="s">
        <v>2986</v>
      </c>
      <c r="L1425" s="1" t="s">
        <v>20</v>
      </c>
      <c r="M1425" s="1" t="s">
        <v>2986</v>
      </c>
      <c r="N1425" s="2"/>
      <c r="O1425" s="2"/>
      <c r="P1425" s="2"/>
      <c r="Q1425" s="2"/>
    </row>
    <row x14ac:dyDescent="0.25" r="1426" customHeight="1" ht="17.25">
      <c r="A1426" s="1" t="s">
        <v>5207</v>
      </c>
      <c r="B1426" s="1" t="s">
        <v>2988</v>
      </c>
      <c r="C1426" s="1" t="s">
        <v>3576</v>
      </c>
      <c r="D1426" s="1" t="s">
        <v>20</v>
      </c>
      <c r="E1426" s="1" t="s">
        <v>4250</v>
      </c>
      <c r="F1426" s="1" t="s">
        <v>4251</v>
      </c>
      <c r="G1426" s="1" t="s">
        <v>4252</v>
      </c>
      <c r="H1426" s="2"/>
      <c r="I1426" s="5">
        <f>XLOOKUP(K1426, pharmaceutical_index!B:B, pharmaceutical_index!A:A, "Not Found")</f>
      </c>
      <c r="J1426" s="1" t="s">
        <v>2988</v>
      </c>
      <c r="K1426" s="1" t="s">
        <v>2988</v>
      </c>
      <c r="L1426" s="1" t="s">
        <v>20</v>
      </c>
      <c r="M1426" s="1" t="s">
        <v>2988</v>
      </c>
      <c r="N1426" s="2"/>
      <c r="O1426" s="2"/>
      <c r="P1426" s="2"/>
      <c r="Q1426" s="2"/>
    </row>
    <row x14ac:dyDescent="0.25" r="1427" customHeight="1" ht="17.25">
      <c r="A1427" s="1" t="s">
        <v>5208</v>
      </c>
      <c r="B1427" s="1" t="s">
        <v>2990</v>
      </c>
      <c r="C1427" s="1" t="s">
        <v>3576</v>
      </c>
      <c r="D1427" s="1" t="s">
        <v>20</v>
      </c>
      <c r="E1427" s="1" t="s">
        <v>4250</v>
      </c>
      <c r="F1427" s="1" t="s">
        <v>4251</v>
      </c>
      <c r="G1427" s="1" t="s">
        <v>4252</v>
      </c>
      <c r="H1427" s="2"/>
      <c r="I1427" s="5">
        <f>XLOOKUP(K1427, pharmaceutical_index!B:B, pharmaceutical_index!A:A, "Not Found")</f>
      </c>
      <c r="J1427" s="1" t="s">
        <v>2990</v>
      </c>
      <c r="K1427" s="1" t="s">
        <v>2990</v>
      </c>
      <c r="L1427" s="1" t="s">
        <v>20</v>
      </c>
      <c r="M1427" s="1" t="s">
        <v>2990</v>
      </c>
      <c r="N1427" s="2"/>
      <c r="O1427" s="2"/>
      <c r="P1427" s="2"/>
      <c r="Q1427" s="2"/>
    </row>
    <row x14ac:dyDescent="0.25" r="1428" customHeight="1" ht="17.25">
      <c r="A1428" s="1" t="s">
        <v>5209</v>
      </c>
      <c r="B1428" s="1" t="s">
        <v>2992</v>
      </c>
      <c r="C1428" s="1" t="s">
        <v>3576</v>
      </c>
      <c r="D1428" s="1" t="s">
        <v>20</v>
      </c>
      <c r="E1428" s="1" t="s">
        <v>4250</v>
      </c>
      <c r="F1428" s="1" t="s">
        <v>4251</v>
      </c>
      <c r="G1428" s="1" t="s">
        <v>4252</v>
      </c>
      <c r="H1428" s="2"/>
      <c r="I1428" s="5">
        <f>XLOOKUP(K1428, pharmaceutical_index!B:B, pharmaceutical_index!A:A, "Not Found")</f>
      </c>
      <c r="J1428" s="1" t="s">
        <v>2992</v>
      </c>
      <c r="K1428" s="1" t="s">
        <v>2992</v>
      </c>
      <c r="L1428" s="1" t="s">
        <v>20</v>
      </c>
      <c r="M1428" s="1" t="s">
        <v>2992</v>
      </c>
      <c r="N1428" s="2"/>
      <c r="O1428" s="2"/>
      <c r="P1428" s="2"/>
      <c r="Q1428" s="2"/>
    </row>
    <row x14ac:dyDescent="0.25" r="1429" customHeight="1" ht="17.25">
      <c r="A1429" s="1" t="s">
        <v>5210</v>
      </c>
      <c r="B1429" s="1" t="s">
        <v>2994</v>
      </c>
      <c r="C1429" s="1" t="s">
        <v>3576</v>
      </c>
      <c r="D1429" s="1" t="s">
        <v>20</v>
      </c>
      <c r="E1429" s="1" t="s">
        <v>4250</v>
      </c>
      <c r="F1429" s="1" t="s">
        <v>4251</v>
      </c>
      <c r="G1429" s="1" t="s">
        <v>4252</v>
      </c>
      <c r="H1429" s="2"/>
      <c r="I1429" s="5">
        <f>XLOOKUP(K1429, pharmaceutical_index!B:B, pharmaceutical_index!A:A, "Not Found")</f>
      </c>
      <c r="J1429" s="1" t="s">
        <v>2994</v>
      </c>
      <c r="K1429" s="1" t="s">
        <v>2994</v>
      </c>
      <c r="L1429" s="1" t="s">
        <v>20</v>
      </c>
      <c r="M1429" s="1" t="s">
        <v>2994</v>
      </c>
      <c r="N1429" s="2"/>
      <c r="O1429" s="2"/>
      <c r="P1429" s="2"/>
      <c r="Q1429" s="2"/>
    </row>
    <row x14ac:dyDescent="0.25" r="1430" customHeight="1" ht="17.25">
      <c r="A1430" s="1" t="s">
        <v>5211</v>
      </c>
      <c r="B1430" s="1" t="s">
        <v>2996</v>
      </c>
      <c r="C1430" s="1" t="s">
        <v>3576</v>
      </c>
      <c r="D1430" s="1" t="s">
        <v>20</v>
      </c>
      <c r="E1430" s="1" t="s">
        <v>4250</v>
      </c>
      <c r="F1430" s="1" t="s">
        <v>4251</v>
      </c>
      <c r="G1430" s="1" t="s">
        <v>4252</v>
      </c>
      <c r="H1430" s="2"/>
      <c r="I1430" s="5">
        <f>XLOOKUP(K1430, pharmaceutical_index!B:B, pharmaceutical_index!A:A, "Not Found")</f>
      </c>
      <c r="J1430" s="1" t="s">
        <v>2996</v>
      </c>
      <c r="K1430" s="1" t="s">
        <v>2996</v>
      </c>
      <c r="L1430" s="1" t="s">
        <v>20</v>
      </c>
      <c r="M1430" s="1" t="s">
        <v>2996</v>
      </c>
      <c r="N1430" s="2"/>
      <c r="O1430" s="2"/>
      <c r="P1430" s="2"/>
      <c r="Q1430" s="2"/>
    </row>
    <row x14ac:dyDescent="0.25" r="1431" customHeight="1" ht="17.25">
      <c r="A1431" s="1" t="s">
        <v>5212</v>
      </c>
      <c r="B1431" s="1" t="s">
        <v>2998</v>
      </c>
      <c r="C1431" s="1" t="s">
        <v>3576</v>
      </c>
      <c r="D1431" s="1" t="s">
        <v>20</v>
      </c>
      <c r="E1431" s="1" t="s">
        <v>4250</v>
      </c>
      <c r="F1431" s="1" t="s">
        <v>4251</v>
      </c>
      <c r="G1431" s="1" t="s">
        <v>4252</v>
      </c>
      <c r="H1431" s="2"/>
      <c r="I1431" s="5">
        <f>XLOOKUP(K1431, pharmaceutical_index!B:B, pharmaceutical_index!A:A, "Not Found")</f>
      </c>
      <c r="J1431" s="1" t="s">
        <v>2998</v>
      </c>
      <c r="K1431" s="1" t="s">
        <v>2998</v>
      </c>
      <c r="L1431" s="1" t="s">
        <v>20</v>
      </c>
      <c r="M1431" s="1" t="s">
        <v>2998</v>
      </c>
      <c r="N1431" s="2"/>
      <c r="O1431" s="2"/>
      <c r="P1431" s="2"/>
      <c r="Q1431" s="2"/>
    </row>
    <row x14ac:dyDescent="0.25" r="1432" customHeight="1" ht="17.25">
      <c r="A1432" s="1" t="s">
        <v>5213</v>
      </c>
      <c r="B1432" s="1" t="s">
        <v>3000</v>
      </c>
      <c r="C1432" s="1" t="s">
        <v>3576</v>
      </c>
      <c r="D1432" s="1" t="s">
        <v>20</v>
      </c>
      <c r="E1432" s="1" t="s">
        <v>4250</v>
      </c>
      <c r="F1432" s="1" t="s">
        <v>4251</v>
      </c>
      <c r="G1432" s="1" t="s">
        <v>4252</v>
      </c>
      <c r="H1432" s="2"/>
      <c r="I1432" s="5">
        <f>XLOOKUP(K1432, pharmaceutical_index!B:B, pharmaceutical_index!A:A, "Not Found")</f>
      </c>
      <c r="J1432" s="1" t="s">
        <v>3000</v>
      </c>
      <c r="K1432" s="1" t="s">
        <v>3000</v>
      </c>
      <c r="L1432" s="1" t="s">
        <v>20</v>
      </c>
      <c r="M1432" s="1" t="s">
        <v>3000</v>
      </c>
      <c r="N1432" s="2"/>
      <c r="O1432" s="2"/>
      <c r="P1432" s="2"/>
      <c r="Q1432" s="2"/>
    </row>
    <row x14ac:dyDescent="0.25" r="1433" customHeight="1" ht="17.25">
      <c r="A1433" s="1" t="s">
        <v>5214</v>
      </c>
      <c r="B1433" s="1" t="s">
        <v>3002</v>
      </c>
      <c r="C1433" s="1" t="s">
        <v>3576</v>
      </c>
      <c r="D1433" s="1" t="s">
        <v>20</v>
      </c>
      <c r="E1433" s="1" t="s">
        <v>4250</v>
      </c>
      <c r="F1433" s="1" t="s">
        <v>4251</v>
      </c>
      <c r="G1433" s="1" t="s">
        <v>4252</v>
      </c>
      <c r="H1433" s="2"/>
      <c r="I1433" s="5">
        <f>XLOOKUP(K1433, pharmaceutical_index!B:B, pharmaceutical_index!A:A, "Not Found")</f>
      </c>
      <c r="J1433" s="1" t="s">
        <v>3002</v>
      </c>
      <c r="K1433" s="1" t="s">
        <v>3002</v>
      </c>
      <c r="L1433" s="1" t="s">
        <v>20</v>
      </c>
      <c r="M1433" s="1" t="s">
        <v>3002</v>
      </c>
      <c r="N1433" s="2"/>
      <c r="O1433" s="2"/>
      <c r="P1433" s="2"/>
      <c r="Q1433" s="2"/>
    </row>
    <row x14ac:dyDescent="0.25" r="1434" customHeight="1" ht="17.25">
      <c r="A1434" s="1" t="s">
        <v>5215</v>
      </c>
      <c r="B1434" s="1" t="s">
        <v>3004</v>
      </c>
      <c r="C1434" s="1" t="s">
        <v>3576</v>
      </c>
      <c r="D1434" s="1" t="s">
        <v>20</v>
      </c>
      <c r="E1434" s="1" t="s">
        <v>4250</v>
      </c>
      <c r="F1434" s="1" t="s">
        <v>4251</v>
      </c>
      <c r="G1434" s="1" t="s">
        <v>4252</v>
      </c>
      <c r="H1434" s="2"/>
      <c r="I1434" s="5">
        <f>XLOOKUP(K1434, pharmaceutical_index!B:B, pharmaceutical_index!A:A, "Not Found")</f>
      </c>
      <c r="J1434" s="1" t="s">
        <v>3004</v>
      </c>
      <c r="K1434" s="1" t="s">
        <v>3004</v>
      </c>
      <c r="L1434" s="1" t="s">
        <v>20</v>
      </c>
      <c r="M1434" s="1" t="s">
        <v>3004</v>
      </c>
      <c r="N1434" s="2"/>
      <c r="O1434" s="2"/>
      <c r="P1434" s="2"/>
      <c r="Q1434" s="2"/>
    </row>
    <row x14ac:dyDescent="0.25" r="1435" customHeight="1" ht="17.25">
      <c r="A1435" s="1" t="s">
        <v>5216</v>
      </c>
      <c r="B1435" s="1" t="s">
        <v>3006</v>
      </c>
      <c r="C1435" s="1" t="s">
        <v>3576</v>
      </c>
      <c r="D1435" s="1" t="s">
        <v>20</v>
      </c>
      <c r="E1435" s="1" t="s">
        <v>4250</v>
      </c>
      <c r="F1435" s="1" t="s">
        <v>4251</v>
      </c>
      <c r="G1435" s="1" t="s">
        <v>4252</v>
      </c>
      <c r="H1435" s="2"/>
      <c r="I1435" s="5">
        <f>XLOOKUP(K1435, pharmaceutical_index!B:B, pharmaceutical_index!A:A, "Not Found")</f>
      </c>
      <c r="J1435" s="1" t="s">
        <v>3006</v>
      </c>
      <c r="K1435" s="1" t="s">
        <v>3006</v>
      </c>
      <c r="L1435" s="1" t="s">
        <v>20</v>
      </c>
      <c r="M1435" s="1" t="s">
        <v>3006</v>
      </c>
      <c r="N1435" s="2"/>
      <c r="O1435" s="2"/>
      <c r="P1435" s="2"/>
      <c r="Q1435" s="2"/>
    </row>
    <row x14ac:dyDescent="0.25" r="1436" customHeight="1" ht="17.25">
      <c r="A1436" s="1" t="s">
        <v>5217</v>
      </c>
      <c r="B1436" s="1" t="s">
        <v>3008</v>
      </c>
      <c r="C1436" s="1" t="s">
        <v>3576</v>
      </c>
      <c r="D1436" s="1" t="s">
        <v>20</v>
      </c>
      <c r="E1436" s="1" t="s">
        <v>4250</v>
      </c>
      <c r="F1436" s="1" t="s">
        <v>4251</v>
      </c>
      <c r="G1436" s="1" t="s">
        <v>4252</v>
      </c>
      <c r="H1436" s="2"/>
      <c r="I1436" s="5">
        <f>XLOOKUP(K1436, pharmaceutical_index!B:B, pharmaceutical_index!A:A, "Not Found")</f>
      </c>
      <c r="J1436" s="1" t="s">
        <v>3008</v>
      </c>
      <c r="K1436" s="1" t="s">
        <v>3008</v>
      </c>
      <c r="L1436" s="1" t="s">
        <v>20</v>
      </c>
      <c r="M1436" s="1" t="s">
        <v>3008</v>
      </c>
      <c r="N1436" s="2"/>
      <c r="O1436" s="2"/>
      <c r="P1436" s="2"/>
      <c r="Q1436" s="2"/>
    </row>
    <row x14ac:dyDescent="0.25" r="1437" customHeight="1" ht="17.25">
      <c r="A1437" s="1" t="s">
        <v>5218</v>
      </c>
      <c r="B1437" s="1" t="s">
        <v>3010</v>
      </c>
      <c r="C1437" s="1" t="s">
        <v>3576</v>
      </c>
      <c r="D1437" s="1" t="s">
        <v>20</v>
      </c>
      <c r="E1437" s="1" t="s">
        <v>4250</v>
      </c>
      <c r="F1437" s="1" t="s">
        <v>4251</v>
      </c>
      <c r="G1437" s="1" t="s">
        <v>4252</v>
      </c>
      <c r="H1437" s="2"/>
      <c r="I1437" s="5">
        <f>XLOOKUP(K1437, pharmaceutical_index!B:B, pharmaceutical_index!A:A, "Not Found")</f>
      </c>
      <c r="J1437" s="1" t="s">
        <v>3010</v>
      </c>
      <c r="K1437" s="1" t="s">
        <v>3010</v>
      </c>
      <c r="L1437" s="1" t="s">
        <v>20</v>
      </c>
      <c r="M1437" s="1" t="s">
        <v>3010</v>
      </c>
      <c r="N1437" s="2"/>
      <c r="O1437" s="2"/>
      <c r="P1437" s="2"/>
      <c r="Q1437" s="2"/>
    </row>
    <row x14ac:dyDescent="0.25" r="1438" customHeight="1" ht="17.25">
      <c r="A1438" s="1" t="s">
        <v>5219</v>
      </c>
      <c r="B1438" s="1" t="s">
        <v>3012</v>
      </c>
      <c r="C1438" s="1" t="s">
        <v>3576</v>
      </c>
      <c r="D1438" s="1" t="s">
        <v>20</v>
      </c>
      <c r="E1438" s="1" t="s">
        <v>4250</v>
      </c>
      <c r="F1438" s="1" t="s">
        <v>4251</v>
      </c>
      <c r="G1438" s="1" t="s">
        <v>4252</v>
      </c>
      <c r="H1438" s="2"/>
      <c r="I1438" s="5">
        <f>XLOOKUP(K1438, pharmaceutical_index!B:B, pharmaceutical_index!A:A, "Not Found")</f>
      </c>
      <c r="J1438" s="1" t="s">
        <v>3012</v>
      </c>
      <c r="K1438" s="1" t="s">
        <v>3012</v>
      </c>
      <c r="L1438" s="1" t="s">
        <v>20</v>
      </c>
      <c r="M1438" s="1" t="s">
        <v>3012</v>
      </c>
      <c r="N1438" s="2"/>
      <c r="O1438" s="2"/>
      <c r="P1438" s="2"/>
      <c r="Q1438" s="2"/>
    </row>
    <row x14ac:dyDescent="0.25" r="1439" customHeight="1" ht="17.25">
      <c r="A1439" s="1" t="s">
        <v>5220</v>
      </c>
      <c r="B1439" s="1" t="s">
        <v>3014</v>
      </c>
      <c r="C1439" s="1" t="s">
        <v>3576</v>
      </c>
      <c r="D1439" s="1" t="s">
        <v>20</v>
      </c>
      <c r="E1439" s="1" t="s">
        <v>4250</v>
      </c>
      <c r="F1439" s="1" t="s">
        <v>4251</v>
      </c>
      <c r="G1439" s="1" t="s">
        <v>4252</v>
      </c>
      <c r="H1439" s="2"/>
      <c r="I1439" s="5">
        <f>XLOOKUP(K1439, pharmaceutical_index!B:B, pharmaceutical_index!A:A, "Not Found")</f>
      </c>
      <c r="J1439" s="1" t="s">
        <v>3014</v>
      </c>
      <c r="K1439" s="1" t="s">
        <v>3014</v>
      </c>
      <c r="L1439" s="1" t="s">
        <v>20</v>
      </c>
      <c r="M1439" s="1" t="s">
        <v>3014</v>
      </c>
      <c r="N1439" s="2"/>
      <c r="O1439" s="2"/>
      <c r="P1439" s="2"/>
      <c r="Q1439" s="2"/>
    </row>
    <row x14ac:dyDescent="0.25" r="1440" customHeight="1" ht="17.25">
      <c r="A1440" s="1" t="s">
        <v>5221</v>
      </c>
      <c r="B1440" s="1" t="s">
        <v>3016</v>
      </c>
      <c r="C1440" s="1" t="s">
        <v>3576</v>
      </c>
      <c r="D1440" s="1" t="s">
        <v>20</v>
      </c>
      <c r="E1440" s="1" t="s">
        <v>4250</v>
      </c>
      <c r="F1440" s="1" t="s">
        <v>4251</v>
      </c>
      <c r="G1440" s="1" t="s">
        <v>4252</v>
      </c>
      <c r="H1440" s="2"/>
      <c r="I1440" s="5">
        <f>XLOOKUP(K1440, pharmaceutical_index!B:B, pharmaceutical_index!A:A, "Not Found")</f>
      </c>
      <c r="J1440" s="1" t="s">
        <v>3016</v>
      </c>
      <c r="K1440" s="1" t="s">
        <v>3016</v>
      </c>
      <c r="L1440" s="1" t="s">
        <v>20</v>
      </c>
      <c r="M1440" s="1" t="s">
        <v>3016</v>
      </c>
      <c r="N1440" s="2"/>
      <c r="O1440" s="2"/>
      <c r="P1440" s="2"/>
      <c r="Q1440" s="2"/>
    </row>
    <row x14ac:dyDescent="0.25" r="1441" customHeight="1" ht="17.25">
      <c r="A1441" s="1" t="s">
        <v>5222</v>
      </c>
      <c r="B1441" s="1" t="s">
        <v>3018</v>
      </c>
      <c r="C1441" s="1" t="s">
        <v>3576</v>
      </c>
      <c r="D1441" s="1" t="s">
        <v>20</v>
      </c>
      <c r="E1441" s="1" t="s">
        <v>4250</v>
      </c>
      <c r="F1441" s="1" t="s">
        <v>4251</v>
      </c>
      <c r="G1441" s="1" t="s">
        <v>4252</v>
      </c>
      <c r="H1441" s="2"/>
      <c r="I1441" s="5">
        <f>XLOOKUP(K1441, pharmaceutical_index!B:B, pharmaceutical_index!A:A, "Not Found")</f>
      </c>
      <c r="J1441" s="1" t="s">
        <v>3018</v>
      </c>
      <c r="K1441" s="1" t="s">
        <v>3018</v>
      </c>
      <c r="L1441" s="1" t="s">
        <v>20</v>
      </c>
      <c r="M1441" s="1" t="s">
        <v>3018</v>
      </c>
      <c r="N1441" s="2"/>
      <c r="O1441" s="2"/>
      <c r="P1441" s="2"/>
      <c r="Q1441" s="2"/>
    </row>
    <row x14ac:dyDescent="0.25" r="1442" customHeight="1" ht="17.25">
      <c r="A1442" s="1" t="s">
        <v>5223</v>
      </c>
      <c r="B1442" s="1" t="s">
        <v>3020</v>
      </c>
      <c r="C1442" s="1" t="s">
        <v>3576</v>
      </c>
      <c r="D1442" s="1" t="s">
        <v>20</v>
      </c>
      <c r="E1442" s="1" t="s">
        <v>4250</v>
      </c>
      <c r="F1442" s="1" t="s">
        <v>4251</v>
      </c>
      <c r="G1442" s="1" t="s">
        <v>4252</v>
      </c>
      <c r="H1442" s="2"/>
      <c r="I1442" s="5">
        <f>XLOOKUP(K1442, pharmaceutical_index!B:B, pharmaceutical_index!A:A, "Not Found")</f>
      </c>
      <c r="J1442" s="1" t="s">
        <v>3020</v>
      </c>
      <c r="K1442" s="1" t="s">
        <v>3020</v>
      </c>
      <c r="L1442" s="1" t="s">
        <v>20</v>
      </c>
      <c r="M1442" s="1" t="s">
        <v>3020</v>
      </c>
      <c r="N1442" s="2"/>
      <c r="O1442" s="2"/>
      <c r="P1442" s="2"/>
      <c r="Q1442" s="2"/>
    </row>
    <row x14ac:dyDescent="0.25" r="1443" customHeight="1" ht="17.25">
      <c r="A1443" s="1" t="s">
        <v>5224</v>
      </c>
      <c r="B1443" s="1" t="s">
        <v>3022</v>
      </c>
      <c r="C1443" s="1" t="s">
        <v>3576</v>
      </c>
      <c r="D1443" s="1" t="s">
        <v>20</v>
      </c>
      <c r="E1443" s="1" t="s">
        <v>4250</v>
      </c>
      <c r="F1443" s="1" t="s">
        <v>4251</v>
      </c>
      <c r="G1443" s="1" t="s">
        <v>4252</v>
      </c>
      <c r="H1443" s="2"/>
      <c r="I1443" s="5">
        <f>XLOOKUP(K1443, pharmaceutical_index!B:B, pharmaceutical_index!A:A, "Not Found")</f>
      </c>
      <c r="J1443" s="1" t="s">
        <v>3022</v>
      </c>
      <c r="K1443" s="1" t="s">
        <v>3022</v>
      </c>
      <c r="L1443" s="1" t="s">
        <v>20</v>
      </c>
      <c r="M1443" s="1" t="s">
        <v>3022</v>
      </c>
      <c r="N1443" s="2"/>
      <c r="O1443" s="2"/>
      <c r="P1443" s="2"/>
      <c r="Q1443" s="2"/>
    </row>
    <row x14ac:dyDescent="0.25" r="1444" customHeight="1" ht="17.25">
      <c r="A1444" s="1" t="s">
        <v>5225</v>
      </c>
      <c r="B1444" s="1" t="s">
        <v>3024</v>
      </c>
      <c r="C1444" s="1" t="s">
        <v>3576</v>
      </c>
      <c r="D1444" s="1" t="s">
        <v>20</v>
      </c>
      <c r="E1444" s="1" t="s">
        <v>4250</v>
      </c>
      <c r="F1444" s="1" t="s">
        <v>4251</v>
      </c>
      <c r="G1444" s="1" t="s">
        <v>4252</v>
      </c>
      <c r="H1444" s="2"/>
      <c r="I1444" s="5">
        <f>XLOOKUP(K1444, pharmaceutical_index!B:B, pharmaceutical_index!A:A, "Not Found")</f>
      </c>
      <c r="J1444" s="1" t="s">
        <v>3024</v>
      </c>
      <c r="K1444" s="1" t="s">
        <v>3024</v>
      </c>
      <c r="L1444" s="1" t="s">
        <v>20</v>
      </c>
      <c r="M1444" s="1" t="s">
        <v>3024</v>
      </c>
      <c r="N1444" s="2"/>
      <c r="O1444" s="2"/>
      <c r="P1444" s="2"/>
      <c r="Q1444" s="2"/>
    </row>
    <row x14ac:dyDescent="0.25" r="1445" customHeight="1" ht="17.25">
      <c r="A1445" s="1" t="s">
        <v>5226</v>
      </c>
      <c r="B1445" s="1" t="s">
        <v>3026</v>
      </c>
      <c r="C1445" s="1" t="s">
        <v>3576</v>
      </c>
      <c r="D1445" s="1" t="s">
        <v>20</v>
      </c>
      <c r="E1445" s="1" t="s">
        <v>4250</v>
      </c>
      <c r="F1445" s="1" t="s">
        <v>4251</v>
      </c>
      <c r="G1445" s="1" t="s">
        <v>4252</v>
      </c>
      <c r="H1445" s="2"/>
      <c r="I1445" s="5">
        <f>XLOOKUP(K1445, pharmaceutical_index!B:B, pharmaceutical_index!A:A, "Not Found")</f>
      </c>
      <c r="J1445" s="1" t="s">
        <v>3026</v>
      </c>
      <c r="K1445" s="1" t="s">
        <v>3026</v>
      </c>
      <c r="L1445" s="1" t="s">
        <v>20</v>
      </c>
      <c r="M1445" s="1" t="s">
        <v>3026</v>
      </c>
      <c r="N1445" s="2"/>
      <c r="O1445" s="2"/>
      <c r="P1445" s="2"/>
      <c r="Q1445" s="2"/>
    </row>
    <row x14ac:dyDescent="0.25" r="1446" customHeight="1" ht="17.25">
      <c r="A1446" s="1" t="s">
        <v>5227</v>
      </c>
      <c r="B1446" s="1" t="s">
        <v>3028</v>
      </c>
      <c r="C1446" s="1" t="s">
        <v>3576</v>
      </c>
      <c r="D1446" s="1" t="s">
        <v>20</v>
      </c>
      <c r="E1446" s="1" t="s">
        <v>4250</v>
      </c>
      <c r="F1446" s="1" t="s">
        <v>4251</v>
      </c>
      <c r="G1446" s="1" t="s">
        <v>4252</v>
      </c>
      <c r="H1446" s="2"/>
      <c r="I1446" s="5">
        <f>XLOOKUP(K1446, pharmaceutical_index!B:B, pharmaceutical_index!A:A, "Not Found")</f>
      </c>
      <c r="J1446" s="1" t="s">
        <v>3028</v>
      </c>
      <c r="K1446" s="1" t="s">
        <v>3028</v>
      </c>
      <c r="L1446" s="1" t="s">
        <v>20</v>
      </c>
      <c r="M1446" s="1" t="s">
        <v>3028</v>
      </c>
      <c r="N1446" s="2"/>
      <c r="O1446" s="2"/>
      <c r="P1446" s="2"/>
      <c r="Q1446" s="2"/>
    </row>
    <row x14ac:dyDescent="0.25" r="1447" customHeight="1" ht="17.25">
      <c r="A1447" s="1" t="s">
        <v>5228</v>
      </c>
      <c r="B1447" s="1" t="s">
        <v>3030</v>
      </c>
      <c r="C1447" s="1" t="s">
        <v>3576</v>
      </c>
      <c r="D1447" s="1" t="s">
        <v>20</v>
      </c>
      <c r="E1447" s="1" t="s">
        <v>4250</v>
      </c>
      <c r="F1447" s="1" t="s">
        <v>4251</v>
      </c>
      <c r="G1447" s="1" t="s">
        <v>4252</v>
      </c>
      <c r="H1447" s="2"/>
      <c r="I1447" s="5">
        <f>XLOOKUP(K1447, pharmaceutical_index!B:B, pharmaceutical_index!A:A, "Not Found")</f>
      </c>
      <c r="J1447" s="1" t="s">
        <v>3030</v>
      </c>
      <c r="K1447" s="1" t="s">
        <v>3030</v>
      </c>
      <c r="L1447" s="1" t="s">
        <v>20</v>
      </c>
      <c r="M1447" s="1" t="s">
        <v>3030</v>
      </c>
      <c r="N1447" s="2"/>
      <c r="O1447" s="2"/>
      <c r="P1447" s="2"/>
      <c r="Q1447" s="2"/>
    </row>
    <row x14ac:dyDescent="0.25" r="1448" customHeight="1" ht="17.25">
      <c r="A1448" s="1" t="s">
        <v>5229</v>
      </c>
      <c r="B1448" s="1" t="s">
        <v>3032</v>
      </c>
      <c r="C1448" s="1" t="s">
        <v>3576</v>
      </c>
      <c r="D1448" s="1" t="s">
        <v>20</v>
      </c>
      <c r="E1448" s="1" t="s">
        <v>4250</v>
      </c>
      <c r="F1448" s="1" t="s">
        <v>4251</v>
      </c>
      <c r="G1448" s="1" t="s">
        <v>4252</v>
      </c>
      <c r="H1448" s="2"/>
      <c r="I1448" s="5">
        <f>XLOOKUP(K1448, pharmaceutical_index!B:B, pharmaceutical_index!A:A, "Not Found")</f>
      </c>
      <c r="J1448" s="1" t="s">
        <v>3032</v>
      </c>
      <c r="K1448" s="1" t="s">
        <v>3032</v>
      </c>
      <c r="L1448" s="1" t="s">
        <v>20</v>
      </c>
      <c r="M1448" s="1" t="s">
        <v>3032</v>
      </c>
      <c r="N1448" s="2"/>
      <c r="O1448" s="2"/>
      <c r="P1448" s="2"/>
      <c r="Q1448" s="2"/>
    </row>
    <row x14ac:dyDescent="0.25" r="1449" customHeight="1" ht="17.25">
      <c r="A1449" s="1" t="s">
        <v>5230</v>
      </c>
      <c r="B1449" s="1" t="s">
        <v>3034</v>
      </c>
      <c r="C1449" s="1" t="s">
        <v>3576</v>
      </c>
      <c r="D1449" s="1" t="s">
        <v>20</v>
      </c>
      <c r="E1449" s="1" t="s">
        <v>4250</v>
      </c>
      <c r="F1449" s="1" t="s">
        <v>4251</v>
      </c>
      <c r="G1449" s="1" t="s">
        <v>4252</v>
      </c>
      <c r="H1449" s="2"/>
      <c r="I1449" s="5">
        <f>XLOOKUP(K1449, pharmaceutical_index!B:B, pharmaceutical_index!A:A, "Not Found")</f>
      </c>
      <c r="J1449" s="1" t="s">
        <v>3034</v>
      </c>
      <c r="K1449" s="1" t="s">
        <v>3034</v>
      </c>
      <c r="L1449" s="1" t="s">
        <v>20</v>
      </c>
      <c r="M1449" s="1" t="s">
        <v>3034</v>
      </c>
      <c r="N1449" s="2"/>
      <c r="O1449" s="2"/>
      <c r="P1449" s="2"/>
      <c r="Q1449" s="2"/>
    </row>
    <row x14ac:dyDescent="0.25" r="1450" customHeight="1" ht="17.25">
      <c r="A1450" s="1" t="s">
        <v>5231</v>
      </c>
      <c r="B1450" s="1" t="s">
        <v>3036</v>
      </c>
      <c r="C1450" s="1" t="s">
        <v>3576</v>
      </c>
      <c r="D1450" s="1" t="s">
        <v>20</v>
      </c>
      <c r="E1450" s="1" t="s">
        <v>4250</v>
      </c>
      <c r="F1450" s="1" t="s">
        <v>4251</v>
      </c>
      <c r="G1450" s="1" t="s">
        <v>4252</v>
      </c>
      <c r="H1450" s="2"/>
      <c r="I1450" s="5">
        <f>XLOOKUP(K1450, pharmaceutical_index!B:B, pharmaceutical_index!A:A, "Not Found")</f>
      </c>
      <c r="J1450" s="1" t="s">
        <v>3036</v>
      </c>
      <c r="K1450" s="1" t="s">
        <v>3036</v>
      </c>
      <c r="L1450" s="1" t="s">
        <v>20</v>
      </c>
      <c r="M1450" s="1" t="s">
        <v>3036</v>
      </c>
      <c r="N1450" s="2"/>
      <c r="O1450" s="2"/>
      <c r="P1450" s="2"/>
      <c r="Q1450" s="2"/>
    </row>
    <row x14ac:dyDescent="0.25" r="1451" customHeight="1" ht="17.25">
      <c r="A1451" s="1" t="s">
        <v>5232</v>
      </c>
      <c r="B1451" s="1" t="s">
        <v>3038</v>
      </c>
      <c r="C1451" s="1" t="s">
        <v>3576</v>
      </c>
      <c r="D1451" s="1" t="s">
        <v>20</v>
      </c>
      <c r="E1451" s="1" t="s">
        <v>4250</v>
      </c>
      <c r="F1451" s="1" t="s">
        <v>4251</v>
      </c>
      <c r="G1451" s="1" t="s">
        <v>4252</v>
      </c>
      <c r="H1451" s="2"/>
      <c r="I1451" s="5">
        <f>XLOOKUP(K1451, pharmaceutical_index!B:B, pharmaceutical_index!A:A, "Not Found")</f>
      </c>
      <c r="J1451" s="1" t="s">
        <v>3038</v>
      </c>
      <c r="K1451" s="1" t="s">
        <v>3038</v>
      </c>
      <c r="L1451" s="1" t="s">
        <v>20</v>
      </c>
      <c r="M1451" s="1" t="s">
        <v>3038</v>
      </c>
      <c r="N1451" s="2"/>
      <c r="O1451" s="2"/>
      <c r="P1451" s="2"/>
      <c r="Q1451" s="2"/>
    </row>
    <row x14ac:dyDescent="0.25" r="1452" customHeight="1" ht="17.25">
      <c r="A1452" s="1" t="s">
        <v>5233</v>
      </c>
      <c r="B1452" s="1" t="s">
        <v>3040</v>
      </c>
      <c r="C1452" s="1" t="s">
        <v>3576</v>
      </c>
      <c r="D1452" s="1" t="s">
        <v>20</v>
      </c>
      <c r="E1452" s="1" t="s">
        <v>4250</v>
      </c>
      <c r="F1452" s="1" t="s">
        <v>4251</v>
      </c>
      <c r="G1452" s="1" t="s">
        <v>4252</v>
      </c>
      <c r="H1452" s="2"/>
      <c r="I1452" s="5">
        <f>XLOOKUP(K1452, pharmaceutical_index!B:B, pharmaceutical_index!A:A, "Not Found")</f>
      </c>
      <c r="J1452" s="1" t="s">
        <v>3040</v>
      </c>
      <c r="K1452" s="1" t="s">
        <v>3040</v>
      </c>
      <c r="L1452" s="1" t="s">
        <v>20</v>
      </c>
      <c r="M1452" s="1" t="s">
        <v>3040</v>
      </c>
      <c r="N1452" s="2"/>
      <c r="O1452" s="2"/>
      <c r="P1452" s="2"/>
      <c r="Q1452" s="2"/>
    </row>
    <row x14ac:dyDescent="0.25" r="1453" customHeight="1" ht="17.25">
      <c r="A1453" s="1" t="s">
        <v>5234</v>
      </c>
      <c r="B1453" s="1" t="s">
        <v>3042</v>
      </c>
      <c r="C1453" s="1" t="s">
        <v>3576</v>
      </c>
      <c r="D1453" s="1" t="s">
        <v>20</v>
      </c>
      <c r="E1453" s="1" t="s">
        <v>4250</v>
      </c>
      <c r="F1453" s="1" t="s">
        <v>4251</v>
      </c>
      <c r="G1453" s="1" t="s">
        <v>4252</v>
      </c>
      <c r="H1453" s="2"/>
      <c r="I1453" s="5">
        <f>XLOOKUP(K1453, pharmaceutical_index!B:B, pharmaceutical_index!A:A, "Not Found")</f>
      </c>
      <c r="J1453" s="1" t="s">
        <v>3042</v>
      </c>
      <c r="K1453" s="1" t="s">
        <v>3042</v>
      </c>
      <c r="L1453" s="1" t="s">
        <v>20</v>
      </c>
      <c r="M1453" s="1" t="s">
        <v>3042</v>
      </c>
      <c r="N1453" s="2"/>
      <c r="O1453" s="2"/>
      <c r="P1453" s="2"/>
      <c r="Q1453" s="2"/>
    </row>
    <row x14ac:dyDescent="0.25" r="1454" customHeight="1" ht="17.25">
      <c r="A1454" s="1" t="s">
        <v>5235</v>
      </c>
      <c r="B1454" s="1" t="s">
        <v>3044</v>
      </c>
      <c r="C1454" s="1" t="s">
        <v>3576</v>
      </c>
      <c r="D1454" s="1" t="s">
        <v>20</v>
      </c>
      <c r="E1454" s="1" t="s">
        <v>4250</v>
      </c>
      <c r="F1454" s="1" t="s">
        <v>4251</v>
      </c>
      <c r="G1454" s="1" t="s">
        <v>4252</v>
      </c>
      <c r="H1454" s="2"/>
      <c r="I1454" s="5">
        <f>XLOOKUP(K1454, pharmaceutical_index!B:B, pharmaceutical_index!A:A, "Not Found")</f>
      </c>
      <c r="J1454" s="1" t="s">
        <v>3044</v>
      </c>
      <c r="K1454" s="1" t="s">
        <v>3044</v>
      </c>
      <c r="L1454" s="1" t="s">
        <v>20</v>
      </c>
      <c r="M1454" s="1" t="s">
        <v>3044</v>
      </c>
      <c r="N1454" s="2"/>
      <c r="O1454" s="2"/>
      <c r="P1454" s="2"/>
      <c r="Q1454" s="2"/>
    </row>
    <row x14ac:dyDescent="0.25" r="1455" customHeight="1" ht="17.25">
      <c r="A1455" s="1" t="s">
        <v>5236</v>
      </c>
      <c r="B1455" s="1" t="s">
        <v>3046</v>
      </c>
      <c r="C1455" s="1" t="s">
        <v>3576</v>
      </c>
      <c r="D1455" s="1" t="s">
        <v>20</v>
      </c>
      <c r="E1455" s="1" t="s">
        <v>4250</v>
      </c>
      <c r="F1455" s="1" t="s">
        <v>4251</v>
      </c>
      <c r="G1455" s="1" t="s">
        <v>4252</v>
      </c>
      <c r="H1455" s="2"/>
      <c r="I1455" s="5">
        <f>XLOOKUP(K1455, pharmaceutical_index!B:B, pharmaceutical_index!A:A, "Not Found")</f>
      </c>
      <c r="J1455" s="1" t="s">
        <v>3046</v>
      </c>
      <c r="K1455" s="1" t="s">
        <v>3046</v>
      </c>
      <c r="L1455" s="1" t="s">
        <v>20</v>
      </c>
      <c r="M1455" s="1" t="s">
        <v>3046</v>
      </c>
      <c r="N1455" s="2"/>
      <c r="O1455" s="2"/>
      <c r="P1455" s="2"/>
      <c r="Q1455" s="2"/>
    </row>
    <row x14ac:dyDescent="0.25" r="1456" customHeight="1" ht="17.25">
      <c r="A1456" s="1" t="s">
        <v>5237</v>
      </c>
      <c r="B1456" s="1" t="s">
        <v>3048</v>
      </c>
      <c r="C1456" s="1" t="s">
        <v>3576</v>
      </c>
      <c r="D1456" s="1" t="s">
        <v>20</v>
      </c>
      <c r="E1456" s="1" t="s">
        <v>4250</v>
      </c>
      <c r="F1456" s="1" t="s">
        <v>4251</v>
      </c>
      <c r="G1456" s="1" t="s">
        <v>4252</v>
      </c>
      <c r="H1456" s="2"/>
      <c r="I1456" s="5">
        <f>XLOOKUP(K1456, pharmaceutical_index!B:B, pharmaceutical_index!A:A, "Not Found")</f>
      </c>
      <c r="J1456" s="1" t="s">
        <v>3048</v>
      </c>
      <c r="K1456" s="1" t="s">
        <v>3048</v>
      </c>
      <c r="L1456" s="1" t="s">
        <v>20</v>
      </c>
      <c r="M1456" s="1" t="s">
        <v>3048</v>
      </c>
      <c r="N1456" s="2"/>
      <c r="O1456" s="2"/>
      <c r="P1456" s="2"/>
      <c r="Q1456" s="2"/>
    </row>
    <row x14ac:dyDescent="0.25" r="1457" customHeight="1" ht="17.25">
      <c r="A1457" s="1" t="s">
        <v>5238</v>
      </c>
      <c r="B1457" s="1" t="s">
        <v>3050</v>
      </c>
      <c r="C1457" s="1" t="s">
        <v>3576</v>
      </c>
      <c r="D1457" s="1" t="s">
        <v>20</v>
      </c>
      <c r="E1457" s="1" t="s">
        <v>4250</v>
      </c>
      <c r="F1457" s="1" t="s">
        <v>4251</v>
      </c>
      <c r="G1457" s="1" t="s">
        <v>4252</v>
      </c>
      <c r="H1457" s="2"/>
      <c r="I1457" s="5">
        <f>XLOOKUP(K1457, pharmaceutical_index!B:B, pharmaceutical_index!A:A, "Not Found")</f>
      </c>
      <c r="J1457" s="1" t="s">
        <v>3050</v>
      </c>
      <c r="K1457" s="1" t="s">
        <v>3050</v>
      </c>
      <c r="L1457" s="1" t="s">
        <v>20</v>
      </c>
      <c r="M1457" s="1" t="s">
        <v>3050</v>
      </c>
      <c r="N1457" s="2"/>
      <c r="O1457" s="2"/>
      <c r="P1457" s="2"/>
      <c r="Q1457" s="2"/>
    </row>
    <row x14ac:dyDescent="0.25" r="1458" customHeight="1" ht="17.25">
      <c r="A1458" s="1" t="s">
        <v>5239</v>
      </c>
      <c r="B1458" s="1" t="s">
        <v>3052</v>
      </c>
      <c r="C1458" s="1" t="s">
        <v>3576</v>
      </c>
      <c r="D1458" s="1" t="s">
        <v>20</v>
      </c>
      <c r="E1458" s="1" t="s">
        <v>4250</v>
      </c>
      <c r="F1458" s="1" t="s">
        <v>4251</v>
      </c>
      <c r="G1458" s="1" t="s">
        <v>4252</v>
      </c>
      <c r="H1458" s="2"/>
      <c r="I1458" s="5">
        <f>XLOOKUP(K1458, pharmaceutical_index!B:B, pharmaceutical_index!A:A, "Not Found")</f>
      </c>
      <c r="J1458" s="1" t="s">
        <v>3052</v>
      </c>
      <c r="K1458" s="1" t="s">
        <v>3052</v>
      </c>
      <c r="L1458" s="1" t="s">
        <v>20</v>
      </c>
      <c r="M1458" s="1" t="s">
        <v>3052</v>
      </c>
      <c r="N1458" s="2"/>
      <c r="O1458" s="2"/>
      <c r="P1458" s="2"/>
      <c r="Q1458" s="2"/>
    </row>
    <row x14ac:dyDescent="0.25" r="1459" customHeight="1" ht="17.25">
      <c r="A1459" s="1" t="s">
        <v>5240</v>
      </c>
      <c r="B1459" s="1" t="s">
        <v>3054</v>
      </c>
      <c r="C1459" s="1" t="s">
        <v>3576</v>
      </c>
      <c r="D1459" s="1" t="s">
        <v>20</v>
      </c>
      <c r="E1459" s="1" t="s">
        <v>4250</v>
      </c>
      <c r="F1459" s="1" t="s">
        <v>4251</v>
      </c>
      <c r="G1459" s="1" t="s">
        <v>4252</v>
      </c>
      <c r="H1459" s="2"/>
      <c r="I1459" s="5">
        <f>XLOOKUP(K1459, pharmaceutical_index!B:B, pharmaceutical_index!A:A, "Not Found")</f>
      </c>
      <c r="J1459" s="1" t="s">
        <v>3054</v>
      </c>
      <c r="K1459" s="1" t="s">
        <v>3054</v>
      </c>
      <c r="L1459" s="1" t="s">
        <v>20</v>
      </c>
      <c r="M1459" s="1" t="s">
        <v>3054</v>
      </c>
      <c r="N1459" s="2"/>
      <c r="O1459" s="2"/>
      <c r="P1459" s="2"/>
      <c r="Q1459" s="2"/>
    </row>
    <row x14ac:dyDescent="0.25" r="1460" customHeight="1" ht="17.25">
      <c r="A1460" s="1" t="s">
        <v>5241</v>
      </c>
      <c r="B1460" s="1" t="s">
        <v>3056</v>
      </c>
      <c r="C1460" s="1" t="s">
        <v>3576</v>
      </c>
      <c r="D1460" s="1" t="s">
        <v>20</v>
      </c>
      <c r="E1460" s="1" t="s">
        <v>4250</v>
      </c>
      <c r="F1460" s="1" t="s">
        <v>4251</v>
      </c>
      <c r="G1460" s="1" t="s">
        <v>4252</v>
      </c>
      <c r="H1460" s="2"/>
      <c r="I1460" s="5">
        <f>XLOOKUP(K1460, pharmaceutical_index!B:B, pharmaceutical_index!A:A, "Not Found")</f>
      </c>
      <c r="J1460" s="1" t="s">
        <v>3056</v>
      </c>
      <c r="K1460" s="1" t="s">
        <v>3056</v>
      </c>
      <c r="L1460" s="1" t="s">
        <v>20</v>
      </c>
      <c r="M1460" s="1" t="s">
        <v>3056</v>
      </c>
      <c r="N1460" s="2"/>
      <c r="O1460" s="2"/>
      <c r="P1460" s="2"/>
      <c r="Q1460" s="2"/>
    </row>
    <row x14ac:dyDescent="0.25" r="1461" customHeight="1" ht="17.25">
      <c r="A1461" s="1" t="s">
        <v>5242</v>
      </c>
      <c r="B1461" s="1" t="s">
        <v>3058</v>
      </c>
      <c r="C1461" s="1" t="s">
        <v>3576</v>
      </c>
      <c r="D1461" s="1" t="s">
        <v>20</v>
      </c>
      <c r="E1461" s="1" t="s">
        <v>4250</v>
      </c>
      <c r="F1461" s="1" t="s">
        <v>4251</v>
      </c>
      <c r="G1461" s="1" t="s">
        <v>4252</v>
      </c>
      <c r="H1461" s="2"/>
      <c r="I1461" s="5">
        <f>XLOOKUP(K1461, pharmaceutical_index!B:B, pharmaceutical_index!A:A, "Not Found")</f>
      </c>
      <c r="J1461" s="1" t="s">
        <v>3058</v>
      </c>
      <c r="K1461" s="1" t="s">
        <v>3058</v>
      </c>
      <c r="L1461" s="1" t="s">
        <v>20</v>
      </c>
      <c r="M1461" s="1" t="s">
        <v>3058</v>
      </c>
      <c r="N1461" s="2"/>
      <c r="O1461" s="2"/>
      <c r="P1461" s="2"/>
      <c r="Q1461" s="2"/>
    </row>
    <row x14ac:dyDescent="0.25" r="1462" customHeight="1" ht="17.25">
      <c r="A1462" s="1" t="s">
        <v>5243</v>
      </c>
      <c r="B1462" s="1" t="s">
        <v>3060</v>
      </c>
      <c r="C1462" s="1" t="s">
        <v>3576</v>
      </c>
      <c r="D1462" s="1" t="s">
        <v>20</v>
      </c>
      <c r="E1462" s="1" t="s">
        <v>4250</v>
      </c>
      <c r="F1462" s="1" t="s">
        <v>4251</v>
      </c>
      <c r="G1462" s="1" t="s">
        <v>4252</v>
      </c>
      <c r="H1462" s="2"/>
      <c r="I1462" s="5">
        <f>XLOOKUP(K1462, pharmaceutical_index!B:B, pharmaceutical_index!A:A, "Not Found")</f>
      </c>
      <c r="J1462" s="1" t="s">
        <v>3060</v>
      </c>
      <c r="K1462" s="1" t="s">
        <v>3060</v>
      </c>
      <c r="L1462" s="1" t="s">
        <v>20</v>
      </c>
      <c r="M1462" s="1" t="s">
        <v>3060</v>
      </c>
      <c r="N1462" s="2"/>
      <c r="O1462" s="2"/>
      <c r="P1462" s="2"/>
      <c r="Q1462" s="2"/>
    </row>
    <row x14ac:dyDescent="0.25" r="1463" customHeight="1" ht="17.25">
      <c r="A1463" s="1" t="s">
        <v>5244</v>
      </c>
      <c r="B1463" s="1" t="s">
        <v>3062</v>
      </c>
      <c r="C1463" s="1" t="s">
        <v>3576</v>
      </c>
      <c r="D1463" s="1" t="s">
        <v>20</v>
      </c>
      <c r="E1463" s="1" t="s">
        <v>4250</v>
      </c>
      <c r="F1463" s="1" t="s">
        <v>4251</v>
      </c>
      <c r="G1463" s="1" t="s">
        <v>4252</v>
      </c>
      <c r="H1463" s="2"/>
      <c r="I1463" s="5">
        <f>XLOOKUP(K1463, pharmaceutical_index!B:B, pharmaceutical_index!A:A, "Not Found")</f>
      </c>
      <c r="J1463" s="1" t="s">
        <v>3062</v>
      </c>
      <c r="K1463" s="1" t="s">
        <v>3062</v>
      </c>
      <c r="L1463" s="1" t="s">
        <v>20</v>
      </c>
      <c r="M1463" s="1" t="s">
        <v>3062</v>
      </c>
      <c r="N1463" s="2"/>
      <c r="O1463" s="2"/>
      <c r="P1463" s="2"/>
      <c r="Q1463" s="2"/>
    </row>
    <row x14ac:dyDescent="0.25" r="1464" customHeight="1" ht="17.25">
      <c r="A1464" s="1" t="s">
        <v>5245</v>
      </c>
      <c r="B1464" s="1" t="s">
        <v>3064</v>
      </c>
      <c r="C1464" s="1" t="s">
        <v>3576</v>
      </c>
      <c r="D1464" s="1" t="s">
        <v>20</v>
      </c>
      <c r="E1464" s="1" t="s">
        <v>4250</v>
      </c>
      <c r="F1464" s="1" t="s">
        <v>4251</v>
      </c>
      <c r="G1464" s="1" t="s">
        <v>4252</v>
      </c>
      <c r="H1464" s="2"/>
      <c r="I1464" s="5">
        <f>XLOOKUP(K1464, pharmaceutical_index!B:B, pharmaceutical_index!A:A, "Not Found")</f>
      </c>
      <c r="J1464" s="1" t="s">
        <v>3064</v>
      </c>
      <c r="K1464" s="1" t="s">
        <v>3064</v>
      </c>
      <c r="L1464" s="1" t="s">
        <v>20</v>
      </c>
      <c r="M1464" s="1" t="s">
        <v>3064</v>
      </c>
      <c r="N1464" s="2"/>
      <c r="O1464" s="2"/>
      <c r="P1464" s="2"/>
      <c r="Q1464" s="2"/>
    </row>
    <row x14ac:dyDescent="0.25" r="1465" customHeight="1" ht="17.25">
      <c r="A1465" s="1" t="s">
        <v>5246</v>
      </c>
      <c r="B1465" s="1" t="s">
        <v>3066</v>
      </c>
      <c r="C1465" s="1" t="s">
        <v>3576</v>
      </c>
      <c r="D1465" s="1" t="s">
        <v>20</v>
      </c>
      <c r="E1465" s="1" t="s">
        <v>4250</v>
      </c>
      <c r="F1465" s="1" t="s">
        <v>4251</v>
      </c>
      <c r="G1465" s="1" t="s">
        <v>4252</v>
      </c>
      <c r="H1465" s="2"/>
      <c r="I1465" s="5">
        <f>XLOOKUP(K1465, pharmaceutical_index!B:B, pharmaceutical_index!A:A, "Not Found")</f>
      </c>
      <c r="J1465" s="1" t="s">
        <v>3066</v>
      </c>
      <c r="K1465" s="1" t="s">
        <v>3066</v>
      </c>
      <c r="L1465" s="1" t="s">
        <v>20</v>
      </c>
      <c r="M1465" s="1" t="s">
        <v>3066</v>
      </c>
      <c r="N1465" s="2"/>
      <c r="O1465" s="2"/>
      <c r="P1465" s="2"/>
      <c r="Q1465" s="2"/>
    </row>
    <row x14ac:dyDescent="0.25" r="1466" customHeight="1" ht="17.25">
      <c r="A1466" s="1" t="s">
        <v>5247</v>
      </c>
      <c r="B1466" s="1" t="s">
        <v>3068</v>
      </c>
      <c r="C1466" s="1" t="s">
        <v>3576</v>
      </c>
      <c r="D1466" s="1" t="s">
        <v>20</v>
      </c>
      <c r="E1466" s="1" t="s">
        <v>4250</v>
      </c>
      <c r="F1466" s="1" t="s">
        <v>4251</v>
      </c>
      <c r="G1466" s="1" t="s">
        <v>4252</v>
      </c>
      <c r="H1466" s="2"/>
      <c r="I1466" s="5">
        <f>XLOOKUP(K1466, pharmaceutical_index!B:B, pharmaceutical_index!A:A, "Not Found")</f>
      </c>
      <c r="J1466" s="1" t="s">
        <v>3068</v>
      </c>
      <c r="K1466" s="1" t="s">
        <v>3068</v>
      </c>
      <c r="L1466" s="1" t="s">
        <v>20</v>
      </c>
      <c r="M1466" s="1" t="s">
        <v>3068</v>
      </c>
      <c r="N1466" s="2"/>
      <c r="O1466" s="2"/>
      <c r="P1466" s="2"/>
      <c r="Q1466" s="2"/>
    </row>
    <row x14ac:dyDescent="0.25" r="1467" customHeight="1" ht="17.25">
      <c r="A1467" s="1" t="s">
        <v>5248</v>
      </c>
      <c r="B1467" s="1" t="s">
        <v>3070</v>
      </c>
      <c r="C1467" s="1" t="s">
        <v>3576</v>
      </c>
      <c r="D1467" s="1" t="s">
        <v>20</v>
      </c>
      <c r="E1467" s="1" t="s">
        <v>4250</v>
      </c>
      <c r="F1467" s="1" t="s">
        <v>4251</v>
      </c>
      <c r="G1467" s="1" t="s">
        <v>4252</v>
      </c>
      <c r="H1467" s="2"/>
      <c r="I1467" s="5">
        <f>XLOOKUP(K1467, pharmaceutical_index!B:B, pharmaceutical_index!A:A, "Not Found")</f>
      </c>
      <c r="J1467" s="1" t="s">
        <v>3070</v>
      </c>
      <c r="K1467" s="1" t="s">
        <v>3070</v>
      </c>
      <c r="L1467" s="1" t="s">
        <v>20</v>
      </c>
      <c r="M1467" s="1" t="s">
        <v>3070</v>
      </c>
      <c r="N1467" s="2"/>
      <c r="O1467" s="2"/>
      <c r="P1467" s="2"/>
      <c r="Q1467" s="2"/>
    </row>
    <row x14ac:dyDescent="0.25" r="1468" customHeight="1" ht="17.25">
      <c r="A1468" s="1" t="s">
        <v>5249</v>
      </c>
      <c r="B1468" s="1" t="s">
        <v>3072</v>
      </c>
      <c r="C1468" s="1" t="s">
        <v>3576</v>
      </c>
      <c r="D1468" s="1" t="s">
        <v>20</v>
      </c>
      <c r="E1468" s="1" t="s">
        <v>4250</v>
      </c>
      <c r="F1468" s="1" t="s">
        <v>4251</v>
      </c>
      <c r="G1468" s="1" t="s">
        <v>4252</v>
      </c>
      <c r="H1468" s="2"/>
      <c r="I1468" s="5">
        <f>XLOOKUP(K1468, pharmaceutical_index!B:B, pharmaceutical_index!A:A, "Not Found")</f>
      </c>
      <c r="J1468" s="1" t="s">
        <v>3072</v>
      </c>
      <c r="K1468" s="1" t="s">
        <v>3072</v>
      </c>
      <c r="L1468" s="1" t="s">
        <v>20</v>
      </c>
      <c r="M1468" s="1" t="s">
        <v>3072</v>
      </c>
      <c r="N1468" s="2"/>
      <c r="O1468" s="2"/>
      <c r="P1468" s="2"/>
      <c r="Q1468" s="2"/>
    </row>
    <row x14ac:dyDescent="0.25" r="1469" customHeight="1" ht="17.25">
      <c r="A1469" s="1" t="s">
        <v>5250</v>
      </c>
      <c r="B1469" s="1" t="s">
        <v>3074</v>
      </c>
      <c r="C1469" s="1" t="s">
        <v>3576</v>
      </c>
      <c r="D1469" s="1" t="s">
        <v>20</v>
      </c>
      <c r="E1469" s="1" t="s">
        <v>4250</v>
      </c>
      <c r="F1469" s="1" t="s">
        <v>4251</v>
      </c>
      <c r="G1469" s="1" t="s">
        <v>4252</v>
      </c>
      <c r="H1469" s="2"/>
      <c r="I1469" s="5">
        <f>XLOOKUP(K1469, pharmaceutical_index!B:B, pharmaceutical_index!A:A, "Not Found")</f>
      </c>
      <c r="J1469" s="1" t="s">
        <v>3074</v>
      </c>
      <c r="K1469" s="1" t="s">
        <v>3074</v>
      </c>
      <c r="L1469" s="1" t="s">
        <v>20</v>
      </c>
      <c r="M1469" s="1" t="s">
        <v>3074</v>
      </c>
      <c r="N1469" s="2"/>
      <c r="O1469" s="2"/>
      <c r="P1469" s="2"/>
      <c r="Q1469" s="2"/>
    </row>
    <row x14ac:dyDescent="0.25" r="1470" customHeight="1" ht="17.25">
      <c r="A1470" s="1" t="s">
        <v>5251</v>
      </c>
      <c r="B1470" s="1" t="s">
        <v>3076</v>
      </c>
      <c r="C1470" s="1" t="s">
        <v>3576</v>
      </c>
      <c r="D1470" s="1" t="s">
        <v>20</v>
      </c>
      <c r="E1470" s="1" t="s">
        <v>4250</v>
      </c>
      <c r="F1470" s="1" t="s">
        <v>4251</v>
      </c>
      <c r="G1470" s="1" t="s">
        <v>4252</v>
      </c>
      <c r="H1470" s="2"/>
      <c r="I1470" s="5">
        <f>XLOOKUP(K1470, pharmaceutical_index!B:B, pharmaceutical_index!A:A, "Not Found")</f>
      </c>
      <c r="J1470" s="1" t="s">
        <v>3076</v>
      </c>
      <c r="K1470" s="1" t="s">
        <v>3076</v>
      </c>
      <c r="L1470" s="1" t="s">
        <v>20</v>
      </c>
      <c r="M1470" s="1" t="s">
        <v>3076</v>
      </c>
      <c r="N1470" s="2"/>
      <c r="O1470" s="2"/>
      <c r="P1470" s="2"/>
      <c r="Q1470" s="2"/>
    </row>
    <row x14ac:dyDescent="0.25" r="1471" customHeight="1" ht="17.25">
      <c r="A1471" s="1" t="s">
        <v>5252</v>
      </c>
      <c r="B1471" s="1" t="s">
        <v>3078</v>
      </c>
      <c r="C1471" s="1" t="s">
        <v>3576</v>
      </c>
      <c r="D1471" s="1" t="s">
        <v>20</v>
      </c>
      <c r="E1471" s="1" t="s">
        <v>4250</v>
      </c>
      <c r="F1471" s="1" t="s">
        <v>4251</v>
      </c>
      <c r="G1471" s="1" t="s">
        <v>4252</v>
      </c>
      <c r="H1471" s="2"/>
      <c r="I1471" s="5">
        <f>XLOOKUP(K1471, pharmaceutical_index!B:B, pharmaceutical_index!A:A, "Not Found")</f>
      </c>
      <c r="J1471" s="1" t="s">
        <v>3078</v>
      </c>
      <c r="K1471" s="1" t="s">
        <v>3078</v>
      </c>
      <c r="L1471" s="1" t="s">
        <v>20</v>
      </c>
      <c r="M1471" s="1" t="s">
        <v>3078</v>
      </c>
      <c r="N1471" s="2"/>
      <c r="O1471" s="2"/>
      <c r="P1471" s="2"/>
      <c r="Q1471" s="2"/>
    </row>
    <row x14ac:dyDescent="0.25" r="1472" customHeight="1" ht="17.25">
      <c r="A1472" s="1" t="s">
        <v>5253</v>
      </c>
      <c r="B1472" s="1" t="s">
        <v>3080</v>
      </c>
      <c r="C1472" s="1" t="s">
        <v>3576</v>
      </c>
      <c r="D1472" s="1" t="s">
        <v>20</v>
      </c>
      <c r="E1472" s="1" t="s">
        <v>4250</v>
      </c>
      <c r="F1472" s="1" t="s">
        <v>4251</v>
      </c>
      <c r="G1472" s="1" t="s">
        <v>4252</v>
      </c>
      <c r="H1472" s="2"/>
      <c r="I1472" s="5">
        <f>XLOOKUP(K1472, pharmaceutical_index!B:B, pharmaceutical_index!A:A, "Not Found")</f>
      </c>
      <c r="J1472" s="1" t="s">
        <v>3080</v>
      </c>
      <c r="K1472" s="1" t="s">
        <v>3080</v>
      </c>
      <c r="L1472" s="1" t="s">
        <v>20</v>
      </c>
      <c r="M1472" s="1" t="s">
        <v>3080</v>
      </c>
      <c r="N1472" s="2"/>
      <c r="O1472" s="2"/>
      <c r="P1472" s="2"/>
      <c r="Q1472" s="2"/>
    </row>
    <row x14ac:dyDescent="0.25" r="1473" customHeight="1" ht="17.25">
      <c r="A1473" s="1" t="s">
        <v>5254</v>
      </c>
      <c r="B1473" s="1" t="s">
        <v>3082</v>
      </c>
      <c r="C1473" s="1" t="s">
        <v>3576</v>
      </c>
      <c r="D1473" s="1" t="s">
        <v>20</v>
      </c>
      <c r="E1473" s="1" t="s">
        <v>4250</v>
      </c>
      <c r="F1473" s="1" t="s">
        <v>4251</v>
      </c>
      <c r="G1473" s="1" t="s">
        <v>4252</v>
      </c>
      <c r="H1473" s="2"/>
      <c r="I1473" s="5">
        <f>XLOOKUP(K1473, pharmaceutical_index!B:B, pharmaceutical_index!A:A, "Not Found")</f>
      </c>
      <c r="J1473" s="1" t="s">
        <v>3082</v>
      </c>
      <c r="K1473" s="1" t="s">
        <v>3082</v>
      </c>
      <c r="L1473" s="1" t="s">
        <v>20</v>
      </c>
      <c r="M1473" s="1" t="s">
        <v>3082</v>
      </c>
      <c r="N1473" s="2"/>
      <c r="O1473" s="2"/>
      <c r="P1473" s="2"/>
      <c r="Q1473" s="2"/>
    </row>
    <row x14ac:dyDescent="0.25" r="1474" customHeight="1" ht="17.25">
      <c r="A1474" s="1" t="s">
        <v>5255</v>
      </c>
      <c r="B1474" s="1" t="s">
        <v>3084</v>
      </c>
      <c r="C1474" s="1" t="s">
        <v>3576</v>
      </c>
      <c r="D1474" s="1" t="s">
        <v>20</v>
      </c>
      <c r="E1474" s="1" t="s">
        <v>4250</v>
      </c>
      <c r="F1474" s="1" t="s">
        <v>4251</v>
      </c>
      <c r="G1474" s="1" t="s">
        <v>4252</v>
      </c>
      <c r="H1474" s="2"/>
      <c r="I1474" s="5">
        <f>XLOOKUP(K1474, pharmaceutical_index!B:B, pharmaceutical_index!A:A, "Not Found")</f>
      </c>
      <c r="J1474" s="1" t="s">
        <v>3084</v>
      </c>
      <c r="K1474" s="1" t="s">
        <v>3084</v>
      </c>
      <c r="L1474" s="1" t="s">
        <v>20</v>
      </c>
      <c r="M1474" s="1" t="s">
        <v>3084</v>
      </c>
      <c r="N1474" s="2"/>
      <c r="O1474" s="2"/>
      <c r="P1474" s="2"/>
      <c r="Q1474" s="2"/>
    </row>
    <row x14ac:dyDescent="0.25" r="1475" customHeight="1" ht="17.25">
      <c r="A1475" s="1" t="s">
        <v>5256</v>
      </c>
      <c r="B1475" s="1" t="s">
        <v>3086</v>
      </c>
      <c r="C1475" s="1" t="s">
        <v>3576</v>
      </c>
      <c r="D1475" s="1" t="s">
        <v>20</v>
      </c>
      <c r="E1475" s="1" t="s">
        <v>4250</v>
      </c>
      <c r="F1475" s="1" t="s">
        <v>4251</v>
      </c>
      <c r="G1475" s="1" t="s">
        <v>4252</v>
      </c>
      <c r="H1475" s="2"/>
      <c r="I1475" s="5">
        <f>XLOOKUP(K1475, pharmaceutical_index!B:B, pharmaceutical_index!A:A, "Not Found")</f>
      </c>
      <c r="J1475" s="1" t="s">
        <v>3086</v>
      </c>
      <c r="K1475" s="1" t="s">
        <v>3086</v>
      </c>
      <c r="L1475" s="1" t="s">
        <v>20</v>
      </c>
      <c r="M1475" s="1" t="s">
        <v>3086</v>
      </c>
      <c r="N1475" s="2"/>
      <c r="O1475" s="2"/>
      <c r="P1475" s="2"/>
      <c r="Q1475" s="2"/>
    </row>
    <row x14ac:dyDescent="0.25" r="1476" customHeight="1" ht="17.25">
      <c r="A1476" s="1" t="s">
        <v>5257</v>
      </c>
      <c r="B1476" s="1" t="s">
        <v>3088</v>
      </c>
      <c r="C1476" s="1" t="s">
        <v>3576</v>
      </c>
      <c r="D1476" s="1" t="s">
        <v>20</v>
      </c>
      <c r="E1476" s="1" t="s">
        <v>4250</v>
      </c>
      <c r="F1476" s="1" t="s">
        <v>4251</v>
      </c>
      <c r="G1476" s="1" t="s">
        <v>4252</v>
      </c>
      <c r="H1476" s="2"/>
      <c r="I1476" s="5">
        <f>XLOOKUP(K1476, pharmaceutical_index!B:B, pharmaceutical_index!A:A, "Not Found")</f>
      </c>
      <c r="J1476" s="1" t="s">
        <v>3088</v>
      </c>
      <c r="K1476" s="1" t="s">
        <v>3088</v>
      </c>
      <c r="L1476" s="1" t="s">
        <v>20</v>
      </c>
      <c r="M1476" s="1" t="s">
        <v>3088</v>
      </c>
      <c r="N1476" s="2"/>
      <c r="O1476" s="2"/>
      <c r="P1476" s="2"/>
      <c r="Q1476" s="2"/>
    </row>
    <row x14ac:dyDescent="0.25" r="1477" customHeight="1" ht="17.25">
      <c r="A1477" s="1" t="s">
        <v>5258</v>
      </c>
      <c r="B1477" s="1" t="s">
        <v>3090</v>
      </c>
      <c r="C1477" s="1" t="s">
        <v>3576</v>
      </c>
      <c r="D1477" s="1" t="s">
        <v>20</v>
      </c>
      <c r="E1477" s="1" t="s">
        <v>4250</v>
      </c>
      <c r="F1477" s="1" t="s">
        <v>4251</v>
      </c>
      <c r="G1477" s="1" t="s">
        <v>4252</v>
      </c>
      <c r="H1477" s="2"/>
      <c r="I1477" s="5">
        <f>XLOOKUP(K1477, pharmaceutical_index!B:B, pharmaceutical_index!A:A, "Not Found")</f>
      </c>
      <c r="J1477" s="1" t="s">
        <v>3090</v>
      </c>
      <c r="K1477" s="1" t="s">
        <v>3090</v>
      </c>
      <c r="L1477" s="1" t="s">
        <v>20</v>
      </c>
      <c r="M1477" s="1" t="s">
        <v>3090</v>
      </c>
      <c r="N1477" s="2"/>
      <c r="O1477" s="2"/>
      <c r="P1477" s="2"/>
      <c r="Q1477" s="2"/>
    </row>
    <row x14ac:dyDescent="0.25" r="1478" customHeight="1" ht="17.25">
      <c r="A1478" s="1" t="s">
        <v>5259</v>
      </c>
      <c r="B1478" s="1" t="s">
        <v>3092</v>
      </c>
      <c r="C1478" s="1" t="s">
        <v>3576</v>
      </c>
      <c r="D1478" s="1" t="s">
        <v>20</v>
      </c>
      <c r="E1478" s="1" t="s">
        <v>4250</v>
      </c>
      <c r="F1478" s="1" t="s">
        <v>4251</v>
      </c>
      <c r="G1478" s="1" t="s">
        <v>4252</v>
      </c>
      <c r="H1478" s="2"/>
      <c r="I1478" s="5">
        <f>XLOOKUP(K1478, pharmaceutical_index!B:B, pharmaceutical_index!A:A, "Not Found")</f>
      </c>
      <c r="J1478" s="1" t="s">
        <v>3092</v>
      </c>
      <c r="K1478" s="1" t="s">
        <v>3092</v>
      </c>
      <c r="L1478" s="1" t="s">
        <v>20</v>
      </c>
      <c r="M1478" s="1" t="s">
        <v>3092</v>
      </c>
      <c r="N1478" s="2"/>
      <c r="O1478" s="2"/>
      <c r="P1478" s="2"/>
      <c r="Q1478" s="2"/>
    </row>
    <row x14ac:dyDescent="0.25" r="1479" customHeight="1" ht="17.25">
      <c r="A1479" s="1" t="s">
        <v>5260</v>
      </c>
      <c r="B1479" s="1" t="s">
        <v>3094</v>
      </c>
      <c r="C1479" s="1" t="s">
        <v>3576</v>
      </c>
      <c r="D1479" s="1" t="s">
        <v>20</v>
      </c>
      <c r="E1479" s="1" t="s">
        <v>4250</v>
      </c>
      <c r="F1479" s="1" t="s">
        <v>4251</v>
      </c>
      <c r="G1479" s="1" t="s">
        <v>4252</v>
      </c>
      <c r="H1479" s="2"/>
      <c r="I1479" s="5">
        <f>XLOOKUP(K1479, pharmaceutical_index!B:B, pharmaceutical_index!A:A, "Not Found")</f>
      </c>
      <c r="J1479" s="1" t="s">
        <v>3094</v>
      </c>
      <c r="K1479" s="1" t="s">
        <v>3094</v>
      </c>
      <c r="L1479" s="1" t="s">
        <v>20</v>
      </c>
      <c r="M1479" s="1" t="s">
        <v>3094</v>
      </c>
      <c r="N1479" s="2"/>
      <c r="O1479" s="2"/>
      <c r="P1479" s="2"/>
      <c r="Q1479" s="2"/>
    </row>
    <row x14ac:dyDescent="0.25" r="1480" customHeight="1" ht="17.25">
      <c r="A1480" s="1" t="s">
        <v>5261</v>
      </c>
      <c r="B1480" s="1" t="s">
        <v>3096</v>
      </c>
      <c r="C1480" s="1" t="s">
        <v>3576</v>
      </c>
      <c r="D1480" s="1" t="s">
        <v>20</v>
      </c>
      <c r="E1480" s="1" t="s">
        <v>4250</v>
      </c>
      <c r="F1480" s="1" t="s">
        <v>4251</v>
      </c>
      <c r="G1480" s="1" t="s">
        <v>4252</v>
      </c>
      <c r="H1480" s="2"/>
      <c r="I1480" s="5">
        <f>XLOOKUP(K1480, pharmaceutical_index!B:B, pharmaceutical_index!A:A, "Not Found")</f>
      </c>
      <c r="J1480" s="1" t="s">
        <v>3096</v>
      </c>
      <c r="K1480" s="1" t="s">
        <v>3096</v>
      </c>
      <c r="L1480" s="1" t="s">
        <v>20</v>
      </c>
      <c r="M1480" s="1" t="s">
        <v>3096</v>
      </c>
      <c r="N1480" s="2"/>
      <c r="O1480" s="2"/>
      <c r="P1480" s="2"/>
      <c r="Q1480" s="2"/>
    </row>
    <row x14ac:dyDescent="0.25" r="1481" customHeight="1" ht="17.25">
      <c r="A1481" s="1" t="s">
        <v>5262</v>
      </c>
      <c r="B1481" s="1" t="s">
        <v>3098</v>
      </c>
      <c r="C1481" s="1" t="s">
        <v>3576</v>
      </c>
      <c r="D1481" s="1" t="s">
        <v>20</v>
      </c>
      <c r="E1481" s="1" t="s">
        <v>4250</v>
      </c>
      <c r="F1481" s="1" t="s">
        <v>4251</v>
      </c>
      <c r="G1481" s="1" t="s">
        <v>4252</v>
      </c>
      <c r="H1481" s="2"/>
      <c r="I1481" s="5">
        <f>XLOOKUP(K1481, pharmaceutical_index!B:B, pharmaceutical_index!A:A, "Not Found")</f>
      </c>
      <c r="J1481" s="1" t="s">
        <v>3098</v>
      </c>
      <c r="K1481" s="1" t="s">
        <v>3098</v>
      </c>
      <c r="L1481" s="1" t="s">
        <v>20</v>
      </c>
      <c r="M1481" s="1" t="s">
        <v>3098</v>
      </c>
      <c r="N1481" s="2"/>
      <c r="O1481" s="2"/>
      <c r="P1481" s="2"/>
      <c r="Q1481" s="2"/>
    </row>
    <row x14ac:dyDescent="0.25" r="1482" customHeight="1" ht="17.25">
      <c r="A1482" s="1" t="s">
        <v>5263</v>
      </c>
      <c r="B1482" s="1" t="s">
        <v>3100</v>
      </c>
      <c r="C1482" s="1" t="s">
        <v>3576</v>
      </c>
      <c r="D1482" s="1" t="s">
        <v>20</v>
      </c>
      <c r="E1482" s="1" t="s">
        <v>4250</v>
      </c>
      <c r="F1482" s="1" t="s">
        <v>4251</v>
      </c>
      <c r="G1482" s="1" t="s">
        <v>4252</v>
      </c>
      <c r="H1482" s="2"/>
      <c r="I1482" s="5">
        <f>XLOOKUP(K1482, pharmaceutical_index!B:B, pharmaceutical_index!A:A, "Not Found")</f>
      </c>
      <c r="J1482" s="1" t="s">
        <v>3100</v>
      </c>
      <c r="K1482" s="1" t="s">
        <v>3100</v>
      </c>
      <c r="L1482" s="1" t="s">
        <v>20</v>
      </c>
      <c r="M1482" s="1" t="s">
        <v>3100</v>
      </c>
      <c r="N1482" s="2"/>
      <c r="O1482" s="2"/>
      <c r="P1482" s="2"/>
      <c r="Q1482" s="2"/>
    </row>
    <row x14ac:dyDescent="0.25" r="1483" customHeight="1" ht="17.25">
      <c r="A1483" s="1" t="s">
        <v>5264</v>
      </c>
      <c r="B1483" s="1" t="s">
        <v>3102</v>
      </c>
      <c r="C1483" s="1" t="s">
        <v>3576</v>
      </c>
      <c r="D1483" s="1" t="s">
        <v>20</v>
      </c>
      <c r="E1483" s="1" t="s">
        <v>4250</v>
      </c>
      <c r="F1483" s="1" t="s">
        <v>4251</v>
      </c>
      <c r="G1483" s="1" t="s">
        <v>4252</v>
      </c>
      <c r="H1483" s="2"/>
      <c r="I1483" s="5">
        <f>XLOOKUP(K1483, pharmaceutical_index!B:B, pharmaceutical_index!A:A, "Not Found")</f>
      </c>
      <c r="J1483" s="1" t="s">
        <v>3102</v>
      </c>
      <c r="K1483" s="1" t="s">
        <v>3102</v>
      </c>
      <c r="L1483" s="1" t="s">
        <v>20</v>
      </c>
      <c r="M1483" s="1" t="s">
        <v>3102</v>
      </c>
      <c r="N1483" s="2"/>
      <c r="O1483" s="2"/>
      <c r="P1483" s="2"/>
      <c r="Q1483" s="2"/>
    </row>
    <row x14ac:dyDescent="0.25" r="1484" customHeight="1" ht="17.25">
      <c r="A1484" s="1" t="s">
        <v>5265</v>
      </c>
      <c r="B1484" s="1" t="s">
        <v>3104</v>
      </c>
      <c r="C1484" s="1" t="s">
        <v>3576</v>
      </c>
      <c r="D1484" s="1" t="s">
        <v>20</v>
      </c>
      <c r="E1484" s="1" t="s">
        <v>4250</v>
      </c>
      <c r="F1484" s="1" t="s">
        <v>4251</v>
      </c>
      <c r="G1484" s="1" t="s">
        <v>4252</v>
      </c>
      <c r="H1484" s="2"/>
      <c r="I1484" s="5">
        <f>XLOOKUP(K1484, pharmaceutical_index!B:B, pharmaceutical_index!A:A, "Not Found")</f>
      </c>
      <c r="J1484" s="1" t="s">
        <v>3104</v>
      </c>
      <c r="K1484" s="1" t="s">
        <v>3104</v>
      </c>
      <c r="L1484" s="1" t="s">
        <v>20</v>
      </c>
      <c r="M1484" s="1" t="s">
        <v>3104</v>
      </c>
      <c r="N1484" s="2"/>
      <c r="O1484" s="2"/>
      <c r="P1484" s="2"/>
      <c r="Q1484" s="2"/>
    </row>
    <row x14ac:dyDescent="0.25" r="1485" customHeight="1" ht="17.25">
      <c r="A1485" s="1" t="s">
        <v>5266</v>
      </c>
      <c r="B1485" s="1" t="s">
        <v>3106</v>
      </c>
      <c r="C1485" s="1" t="s">
        <v>3576</v>
      </c>
      <c r="D1485" s="1" t="s">
        <v>20</v>
      </c>
      <c r="E1485" s="1" t="s">
        <v>4250</v>
      </c>
      <c r="F1485" s="1" t="s">
        <v>4251</v>
      </c>
      <c r="G1485" s="1" t="s">
        <v>4252</v>
      </c>
      <c r="H1485" s="2"/>
      <c r="I1485" s="5">
        <f>XLOOKUP(K1485, pharmaceutical_index!B:B, pharmaceutical_index!A:A, "Not Found")</f>
      </c>
      <c r="J1485" s="1" t="s">
        <v>3106</v>
      </c>
      <c r="K1485" s="1" t="s">
        <v>3106</v>
      </c>
      <c r="L1485" s="1" t="s">
        <v>20</v>
      </c>
      <c r="M1485" s="1" t="s">
        <v>3106</v>
      </c>
      <c r="N1485" s="2"/>
      <c r="O1485" s="2"/>
      <c r="P1485" s="2"/>
      <c r="Q1485" s="2"/>
    </row>
    <row x14ac:dyDescent="0.25" r="1486" customHeight="1" ht="17.25">
      <c r="A1486" s="1" t="s">
        <v>5267</v>
      </c>
      <c r="B1486" s="1" t="s">
        <v>3108</v>
      </c>
      <c r="C1486" s="1" t="s">
        <v>3576</v>
      </c>
      <c r="D1486" s="1" t="s">
        <v>20</v>
      </c>
      <c r="E1486" s="1" t="s">
        <v>4250</v>
      </c>
      <c r="F1486" s="1" t="s">
        <v>4251</v>
      </c>
      <c r="G1486" s="1" t="s">
        <v>4252</v>
      </c>
      <c r="H1486" s="2"/>
      <c r="I1486" s="5">
        <f>XLOOKUP(K1486, pharmaceutical_index!B:B, pharmaceutical_index!A:A, "Not Found")</f>
      </c>
      <c r="J1486" s="1" t="s">
        <v>3108</v>
      </c>
      <c r="K1486" s="1" t="s">
        <v>3108</v>
      </c>
      <c r="L1486" s="1" t="s">
        <v>20</v>
      </c>
      <c r="M1486" s="1" t="s">
        <v>3108</v>
      </c>
      <c r="N1486" s="2"/>
      <c r="O1486" s="2"/>
      <c r="P1486" s="2"/>
      <c r="Q1486" s="2"/>
    </row>
    <row x14ac:dyDescent="0.25" r="1487" customHeight="1" ht="17.25">
      <c r="A1487" s="1" t="s">
        <v>5268</v>
      </c>
      <c r="B1487" s="1" t="s">
        <v>3110</v>
      </c>
      <c r="C1487" s="1" t="s">
        <v>3576</v>
      </c>
      <c r="D1487" s="1" t="s">
        <v>20</v>
      </c>
      <c r="E1487" s="1" t="s">
        <v>4250</v>
      </c>
      <c r="F1487" s="1" t="s">
        <v>4251</v>
      </c>
      <c r="G1487" s="1" t="s">
        <v>4252</v>
      </c>
      <c r="H1487" s="2"/>
      <c r="I1487" s="5">
        <f>XLOOKUP(K1487, pharmaceutical_index!B:B, pharmaceutical_index!A:A, "Not Found")</f>
      </c>
      <c r="J1487" s="1" t="s">
        <v>3110</v>
      </c>
      <c r="K1487" s="1" t="s">
        <v>3110</v>
      </c>
      <c r="L1487" s="1" t="s">
        <v>20</v>
      </c>
      <c r="M1487" s="1" t="s">
        <v>3110</v>
      </c>
      <c r="N1487" s="2"/>
      <c r="O1487" s="2"/>
      <c r="P1487" s="2"/>
      <c r="Q1487" s="2"/>
    </row>
    <row x14ac:dyDescent="0.25" r="1488" customHeight="1" ht="17.25">
      <c r="A1488" s="1" t="s">
        <v>5269</v>
      </c>
      <c r="B1488" s="1" t="s">
        <v>3112</v>
      </c>
      <c r="C1488" s="1" t="s">
        <v>3576</v>
      </c>
      <c r="D1488" s="1" t="s">
        <v>20</v>
      </c>
      <c r="E1488" s="1" t="s">
        <v>4250</v>
      </c>
      <c r="F1488" s="1" t="s">
        <v>4251</v>
      </c>
      <c r="G1488" s="1" t="s">
        <v>4252</v>
      </c>
      <c r="H1488" s="2"/>
      <c r="I1488" s="5">
        <f>XLOOKUP(K1488, pharmaceutical_index!B:B, pharmaceutical_index!A:A, "Not Found")</f>
      </c>
      <c r="J1488" s="1" t="s">
        <v>3112</v>
      </c>
      <c r="K1488" s="1" t="s">
        <v>3112</v>
      </c>
      <c r="L1488" s="1" t="s">
        <v>20</v>
      </c>
      <c r="M1488" s="1" t="s">
        <v>3112</v>
      </c>
      <c r="N1488" s="2"/>
      <c r="O1488" s="2"/>
      <c r="P1488" s="2"/>
      <c r="Q1488" s="2"/>
    </row>
    <row x14ac:dyDescent="0.25" r="1489" customHeight="1" ht="17.25">
      <c r="A1489" s="1" t="s">
        <v>5270</v>
      </c>
      <c r="B1489" s="1" t="s">
        <v>3114</v>
      </c>
      <c r="C1489" s="1" t="s">
        <v>3576</v>
      </c>
      <c r="D1489" s="1" t="s">
        <v>20</v>
      </c>
      <c r="E1489" s="1" t="s">
        <v>4250</v>
      </c>
      <c r="F1489" s="1" t="s">
        <v>4251</v>
      </c>
      <c r="G1489" s="1" t="s">
        <v>4252</v>
      </c>
      <c r="H1489" s="2"/>
      <c r="I1489" s="5">
        <f>XLOOKUP(K1489, pharmaceutical_index!B:B, pharmaceutical_index!A:A, "Not Found")</f>
      </c>
      <c r="J1489" s="1" t="s">
        <v>3114</v>
      </c>
      <c r="K1489" s="1" t="s">
        <v>3114</v>
      </c>
      <c r="L1489" s="1" t="s">
        <v>20</v>
      </c>
      <c r="M1489" s="1" t="s">
        <v>3114</v>
      </c>
      <c r="N1489" s="2"/>
      <c r="O1489" s="2"/>
      <c r="P1489" s="2"/>
      <c r="Q1489" s="2"/>
    </row>
    <row x14ac:dyDescent="0.25" r="1490" customHeight="1" ht="17.25">
      <c r="A1490" s="1" t="s">
        <v>5271</v>
      </c>
      <c r="B1490" s="1" t="s">
        <v>3116</v>
      </c>
      <c r="C1490" s="1" t="s">
        <v>3576</v>
      </c>
      <c r="D1490" s="1" t="s">
        <v>20</v>
      </c>
      <c r="E1490" s="1" t="s">
        <v>4250</v>
      </c>
      <c r="F1490" s="1" t="s">
        <v>4251</v>
      </c>
      <c r="G1490" s="1" t="s">
        <v>4252</v>
      </c>
      <c r="H1490" s="2"/>
      <c r="I1490" s="5">
        <f>XLOOKUP(K1490, pharmaceutical_index!B:B, pharmaceutical_index!A:A, "Not Found")</f>
      </c>
      <c r="J1490" s="1" t="s">
        <v>3116</v>
      </c>
      <c r="K1490" s="1" t="s">
        <v>3116</v>
      </c>
      <c r="L1490" s="1" t="s">
        <v>20</v>
      </c>
      <c r="M1490" s="1" t="s">
        <v>3116</v>
      </c>
      <c r="N1490" s="2"/>
      <c r="O1490" s="2"/>
      <c r="P1490" s="2"/>
      <c r="Q1490" s="2"/>
    </row>
    <row x14ac:dyDescent="0.25" r="1491" customHeight="1" ht="17.25">
      <c r="A1491" s="1" t="s">
        <v>5272</v>
      </c>
      <c r="B1491" s="1" t="s">
        <v>3118</v>
      </c>
      <c r="C1491" s="1" t="s">
        <v>3576</v>
      </c>
      <c r="D1491" s="1" t="s">
        <v>20</v>
      </c>
      <c r="E1491" s="1" t="s">
        <v>4250</v>
      </c>
      <c r="F1491" s="1" t="s">
        <v>4251</v>
      </c>
      <c r="G1491" s="1" t="s">
        <v>4252</v>
      </c>
      <c r="H1491" s="2"/>
      <c r="I1491" s="5">
        <f>XLOOKUP(K1491, pharmaceutical_index!B:B, pharmaceutical_index!A:A, "Not Found")</f>
      </c>
      <c r="J1491" s="1" t="s">
        <v>3118</v>
      </c>
      <c r="K1491" s="1" t="s">
        <v>3118</v>
      </c>
      <c r="L1491" s="1" t="s">
        <v>20</v>
      </c>
      <c r="M1491" s="1" t="s">
        <v>3118</v>
      </c>
      <c r="N1491" s="2"/>
      <c r="O1491" s="2"/>
      <c r="P1491" s="2"/>
      <c r="Q1491" s="2"/>
    </row>
    <row x14ac:dyDescent="0.25" r="1492" customHeight="1" ht="17.25">
      <c r="A1492" s="1" t="s">
        <v>5273</v>
      </c>
      <c r="B1492" s="1" t="s">
        <v>3120</v>
      </c>
      <c r="C1492" s="1" t="s">
        <v>3576</v>
      </c>
      <c r="D1492" s="1" t="s">
        <v>20</v>
      </c>
      <c r="E1492" s="1" t="s">
        <v>4250</v>
      </c>
      <c r="F1492" s="1" t="s">
        <v>4251</v>
      </c>
      <c r="G1492" s="1" t="s">
        <v>4252</v>
      </c>
      <c r="H1492" s="2"/>
      <c r="I1492" s="5">
        <f>XLOOKUP(K1492, pharmaceutical_index!B:B, pharmaceutical_index!A:A, "Not Found")</f>
      </c>
      <c r="J1492" s="1" t="s">
        <v>3120</v>
      </c>
      <c r="K1492" s="1" t="s">
        <v>3120</v>
      </c>
      <c r="L1492" s="1" t="s">
        <v>20</v>
      </c>
      <c r="M1492" s="1" t="s">
        <v>3120</v>
      </c>
      <c r="N1492" s="2"/>
      <c r="O1492" s="2"/>
      <c r="P1492" s="2"/>
      <c r="Q1492" s="2"/>
    </row>
    <row x14ac:dyDescent="0.25" r="1493" customHeight="1" ht="17.25">
      <c r="A1493" s="1" t="s">
        <v>5274</v>
      </c>
      <c r="B1493" s="1" t="s">
        <v>3122</v>
      </c>
      <c r="C1493" s="1" t="s">
        <v>3576</v>
      </c>
      <c r="D1493" s="1" t="s">
        <v>20</v>
      </c>
      <c r="E1493" s="1" t="s">
        <v>4250</v>
      </c>
      <c r="F1493" s="1" t="s">
        <v>4251</v>
      </c>
      <c r="G1493" s="1" t="s">
        <v>4252</v>
      </c>
      <c r="H1493" s="2"/>
      <c r="I1493" s="5">
        <f>XLOOKUP(K1493, pharmaceutical_index!B:B, pharmaceutical_index!A:A, "Not Found")</f>
      </c>
      <c r="J1493" s="1" t="s">
        <v>3122</v>
      </c>
      <c r="K1493" s="1" t="s">
        <v>3122</v>
      </c>
      <c r="L1493" s="1" t="s">
        <v>20</v>
      </c>
      <c r="M1493" s="1" t="s">
        <v>3122</v>
      </c>
      <c r="N1493" s="2"/>
      <c r="O1493" s="2"/>
      <c r="P1493" s="2"/>
      <c r="Q1493" s="2"/>
    </row>
    <row x14ac:dyDescent="0.25" r="1494" customHeight="1" ht="17.25">
      <c r="A1494" s="1" t="s">
        <v>5275</v>
      </c>
      <c r="B1494" s="1" t="s">
        <v>3124</v>
      </c>
      <c r="C1494" s="1" t="s">
        <v>3576</v>
      </c>
      <c r="D1494" s="1" t="s">
        <v>20</v>
      </c>
      <c r="E1494" s="1" t="s">
        <v>4250</v>
      </c>
      <c r="F1494" s="1" t="s">
        <v>4251</v>
      </c>
      <c r="G1494" s="1" t="s">
        <v>4252</v>
      </c>
      <c r="H1494" s="2"/>
      <c r="I1494" s="5">
        <f>XLOOKUP(K1494, pharmaceutical_index!B:B, pharmaceutical_index!A:A, "Not Found")</f>
      </c>
      <c r="J1494" s="1" t="s">
        <v>3124</v>
      </c>
      <c r="K1494" s="1" t="s">
        <v>3124</v>
      </c>
      <c r="L1494" s="1" t="s">
        <v>20</v>
      </c>
      <c r="M1494" s="1" t="s">
        <v>3124</v>
      </c>
      <c r="N1494" s="2"/>
      <c r="O1494" s="2"/>
      <c r="P1494" s="2"/>
      <c r="Q1494" s="2"/>
    </row>
    <row x14ac:dyDescent="0.25" r="1495" customHeight="1" ht="17.25">
      <c r="A1495" s="1" t="s">
        <v>5276</v>
      </c>
      <c r="B1495" s="1" t="s">
        <v>3126</v>
      </c>
      <c r="C1495" s="1" t="s">
        <v>3576</v>
      </c>
      <c r="D1495" s="1" t="s">
        <v>20</v>
      </c>
      <c r="E1495" s="1" t="s">
        <v>4250</v>
      </c>
      <c r="F1495" s="1" t="s">
        <v>4251</v>
      </c>
      <c r="G1495" s="1" t="s">
        <v>4252</v>
      </c>
      <c r="H1495" s="2"/>
      <c r="I1495" s="5">
        <f>XLOOKUP(K1495, pharmaceutical_index!B:B, pharmaceutical_index!A:A, "Not Found")</f>
      </c>
      <c r="J1495" s="1" t="s">
        <v>3126</v>
      </c>
      <c r="K1495" s="1" t="s">
        <v>3126</v>
      </c>
      <c r="L1495" s="1" t="s">
        <v>20</v>
      </c>
      <c r="M1495" s="1" t="s">
        <v>3126</v>
      </c>
      <c r="N1495" s="2"/>
      <c r="O1495" s="2"/>
      <c r="P1495" s="2"/>
      <c r="Q1495" s="2"/>
    </row>
    <row x14ac:dyDescent="0.25" r="1496" customHeight="1" ht="17.25">
      <c r="A1496" s="1" t="s">
        <v>5277</v>
      </c>
      <c r="B1496" s="1" t="s">
        <v>3128</v>
      </c>
      <c r="C1496" s="1" t="s">
        <v>3576</v>
      </c>
      <c r="D1496" s="1" t="s">
        <v>20</v>
      </c>
      <c r="E1496" s="1" t="s">
        <v>4250</v>
      </c>
      <c r="F1496" s="1" t="s">
        <v>4251</v>
      </c>
      <c r="G1496" s="1" t="s">
        <v>4252</v>
      </c>
      <c r="H1496" s="2"/>
      <c r="I1496" s="5">
        <f>XLOOKUP(K1496, pharmaceutical_index!B:B, pharmaceutical_index!A:A, "Not Found")</f>
      </c>
      <c r="J1496" s="1" t="s">
        <v>3128</v>
      </c>
      <c r="K1496" s="1" t="s">
        <v>3128</v>
      </c>
      <c r="L1496" s="1" t="s">
        <v>20</v>
      </c>
      <c r="M1496" s="1" t="s">
        <v>3128</v>
      </c>
      <c r="N1496" s="2"/>
      <c r="O1496" s="2"/>
      <c r="P1496" s="2"/>
      <c r="Q1496" s="2"/>
    </row>
    <row x14ac:dyDescent="0.25" r="1497" customHeight="1" ht="17.25">
      <c r="A1497" s="1" t="s">
        <v>5278</v>
      </c>
      <c r="B1497" s="1" t="s">
        <v>3130</v>
      </c>
      <c r="C1497" s="1" t="s">
        <v>3576</v>
      </c>
      <c r="D1497" s="1" t="s">
        <v>20</v>
      </c>
      <c r="E1497" s="1" t="s">
        <v>4250</v>
      </c>
      <c r="F1497" s="1" t="s">
        <v>4251</v>
      </c>
      <c r="G1497" s="1" t="s">
        <v>4252</v>
      </c>
      <c r="H1497" s="2"/>
      <c r="I1497" s="5">
        <f>XLOOKUP(K1497, pharmaceutical_index!B:B, pharmaceutical_index!A:A, "Not Found")</f>
      </c>
      <c r="J1497" s="1" t="s">
        <v>3130</v>
      </c>
      <c r="K1497" s="1" t="s">
        <v>3130</v>
      </c>
      <c r="L1497" s="1" t="s">
        <v>20</v>
      </c>
      <c r="M1497" s="1" t="s">
        <v>3130</v>
      </c>
      <c r="N1497" s="2"/>
      <c r="O1497" s="2"/>
      <c r="P1497" s="2"/>
      <c r="Q1497" s="2"/>
    </row>
    <row x14ac:dyDescent="0.25" r="1498" customHeight="1" ht="17.25">
      <c r="A1498" s="1" t="s">
        <v>5279</v>
      </c>
      <c r="B1498" s="1" t="s">
        <v>3132</v>
      </c>
      <c r="C1498" s="1" t="s">
        <v>3576</v>
      </c>
      <c r="D1498" s="1" t="s">
        <v>20</v>
      </c>
      <c r="E1498" s="1" t="s">
        <v>4250</v>
      </c>
      <c r="F1498" s="1" t="s">
        <v>4251</v>
      </c>
      <c r="G1498" s="1" t="s">
        <v>4252</v>
      </c>
      <c r="H1498" s="2"/>
      <c r="I1498" s="5">
        <f>XLOOKUP(K1498, pharmaceutical_index!B:B, pharmaceutical_index!A:A, "Not Found")</f>
      </c>
      <c r="J1498" s="1" t="s">
        <v>3132</v>
      </c>
      <c r="K1498" s="1" t="s">
        <v>3132</v>
      </c>
      <c r="L1498" s="1" t="s">
        <v>20</v>
      </c>
      <c r="M1498" s="1" t="s">
        <v>3132</v>
      </c>
      <c r="N1498" s="2"/>
      <c r="O1498" s="2"/>
      <c r="P1498" s="2"/>
      <c r="Q1498" s="2"/>
    </row>
    <row x14ac:dyDescent="0.25" r="1499" customHeight="1" ht="17.25">
      <c r="A1499" s="1" t="s">
        <v>5280</v>
      </c>
      <c r="B1499" s="1" t="s">
        <v>3134</v>
      </c>
      <c r="C1499" s="1" t="s">
        <v>3576</v>
      </c>
      <c r="D1499" s="1" t="s">
        <v>20</v>
      </c>
      <c r="E1499" s="1" t="s">
        <v>4250</v>
      </c>
      <c r="F1499" s="1" t="s">
        <v>4251</v>
      </c>
      <c r="G1499" s="1" t="s">
        <v>4252</v>
      </c>
      <c r="H1499" s="2"/>
      <c r="I1499" s="5">
        <f>XLOOKUP(K1499, pharmaceutical_index!B:B, pharmaceutical_index!A:A, "Not Found")</f>
      </c>
      <c r="J1499" s="1" t="s">
        <v>3134</v>
      </c>
      <c r="K1499" s="1" t="s">
        <v>3134</v>
      </c>
      <c r="L1499" s="1" t="s">
        <v>20</v>
      </c>
      <c r="M1499" s="1" t="s">
        <v>3134</v>
      </c>
      <c r="N1499" s="2"/>
      <c r="O1499" s="2"/>
      <c r="P1499" s="2"/>
      <c r="Q1499" s="2"/>
    </row>
    <row x14ac:dyDescent="0.25" r="1500" customHeight="1" ht="17.25">
      <c r="A1500" s="1" t="s">
        <v>5281</v>
      </c>
      <c r="B1500" s="1" t="s">
        <v>3136</v>
      </c>
      <c r="C1500" s="1" t="s">
        <v>3576</v>
      </c>
      <c r="D1500" s="1" t="s">
        <v>20</v>
      </c>
      <c r="E1500" s="1" t="s">
        <v>4250</v>
      </c>
      <c r="F1500" s="1" t="s">
        <v>4251</v>
      </c>
      <c r="G1500" s="1" t="s">
        <v>4252</v>
      </c>
      <c r="H1500" s="2"/>
      <c r="I1500" s="5">
        <f>XLOOKUP(K1500, pharmaceutical_index!B:B, pharmaceutical_index!A:A, "Not Found")</f>
      </c>
      <c r="J1500" s="1" t="s">
        <v>3136</v>
      </c>
      <c r="K1500" s="1" t="s">
        <v>3136</v>
      </c>
      <c r="L1500" s="1" t="s">
        <v>20</v>
      </c>
      <c r="M1500" s="1" t="s">
        <v>3136</v>
      </c>
      <c r="N1500" s="2"/>
      <c r="O1500" s="2"/>
      <c r="P1500" s="2"/>
      <c r="Q1500" s="2"/>
    </row>
    <row x14ac:dyDescent="0.25" r="1501" customHeight="1" ht="17.25">
      <c r="A1501" s="1" t="s">
        <v>5282</v>
      </c>
      <c r="B1501" s="1" t="s">
        <v>3138</v>
      </c>
      <c r="C1501" s="1" t="s">
        <v>3576</v>
      </c>
      <c r="D1501" s="1" t="s">
        <v>20</v>
      </c>
      <c r="E1501" s="1" t="s">
        <v>4250</v>
      </c>
      <c r="F1501" s="1" t="s">
        <v>4251</v>
      </c>
      <c r="G1501" s="1" t="s">
        <v>4252</v>
      </c>
      <c r="H1501" s="2"/>
      <c r="I1501" s="5">
        <f>XLOOKUP(K1501, pharmaceutical_index!B:B, pharmaceutical_index!A:A, "Not Found")</f>
      </c>
      <c r="J1501" s="1" t="s">
        <v>3138</v>
      </c>
      <c r="K1501" s="1" t="s">
        <v>3138</v>
      </c>
      <c r="L1501" s="1" t="s">
        <v>20</v>
      </c>
      <c r="M1501" s="1" t="s">
        <v>3138</v>
      </c>
      <c r="N1501" s="2"/>
      <c r="O1501" s="2"/>
      <c r="P1501" s="2"/>
      <c r="Q1501" s="2"/>
    </row>
    <row x14ac:dyDescent="0.25" r="1502" customHeight="1" ht="17.25">
      <c r="A1502" s="1" t="s">
        <v>5283</v>
      </c>
      <c r="B1502" s="1" t="s">
        <v>3140</v>
      </c>
      <c r="C1502" s="1" t="s">
        <v>3576</v>
      </c>
      <c r="D1502" s="1" t="s">
        <v>20</v>
      </c>
      <c r="E1502" s="1" t="s">
        <v>4250</v>
      </c>
      <c r="F1502" s="1" t="s">
        <v>4251</v>
      </c>
      <c r="G1502" s="1" t="s">
        <v>4252</v>
      </c>
      <c r="H1502" s="2"/>
      <c r="I1502" s="5">
        <f>XLOOKUP(K1502, pharmaceutical_index!B:B, pharmaceutical_index!A:A, "Not Found")</f>
      </c>
      <c r="J1502" s="1" t="s">
        <v>3140</v>
      </c>
      <c r="K1502" s="1" t="s">
        <v>3140</v>
      </c>
      <c r="L1502" s="1" t="s">
        <v>20</v>
      </c>
      <c r="M1502" s="1" t="s">
        <v>3140</v>
      </c>
      <c r="N1502" s="2"/>
      <c r="O1502" s="2"/>
      <c r="P1502" s="2"/>
      <c r="Q1502" s="2"/>
    </row>
    <row x14ac:dyDescent="0.25" r="1503" customHeight="1" ht="17.25">
      <c r="A1503" s="1" t="s">
        <v>5284</v>
      </c>
      <c r="B1503" s="1" t="s">
        <v>3142</v>
      </c>
      <c r="C1503" s="1" t="s">
        <v>3576</v>
      </c>
      <c r="D1503" s="1" t="s">
        <v>20</v>
      </c>
      <c r="E1503" s="1" t="s">
        <v>4250</v>
      </c>
      <c r="F1503" s="1" t="s">
        <v>4251</v>
      </c>
      <c r="G1503" s="1" t="s">
        <v>4252</v>
      </c>
      <c r="H1503" s="2"/>
      <c r="I1503" s="5">
        <f>XLOOKUP(K1503, pharmaceutical_index!B:B, pharmaceutical_index!A:A, "Not Found")</f>
      </c>
      <c r="J1503" s="1" t="s">
        <v>3142</v>
      </c>
      <c r="K1503" s="1" t="s">
        <v>3142</v>
      </c>
      <c r="L1503" s="1" t="s">
        <v>20</v>
      </c>
      <c r="M1503" s="1" t="s">
        <v>3142</v>
      </c>
      <c r="N1503" s="2"/>
      <c r="O1503" s="2"/>
      <c r="P1503" s="2"/>
      <c r="Q1503" s="2"/>
    </row>
    <row x14ac:dyDescent="0.25" r="1504" customHeight="1" ht="17.25">
      <c r="A1504" s="1" t="s">
        <v>5285</v>
      </c>
      <c r="B1504" s="1" t="s">
        <v>3144</v>
      </c>
      <c r="C1504" s="1" t="s">
        <v>3576</v>
      </c>
      <c r="D1504" s="1" t="s">
        <v>20</v>
      </c>
      <c r="E1504" s="1" t="s">
        <v>4250</v>
      </c>
      <c r="F1504" s="1" t="s">
        <v>4251</v>
      </c>
      <c r="G1504" s="1" t="s">
        <v>4252</v>
      </c>
      <c r="H1504" s="2"/>
      <c r="I1504" s="5">
        <f>XLOOKUP(K1504, pharmaceutical_index!B:B, pharmaceutical_index!A:A, "Not Found")</f>
      </c>
      <c r="J1504" s="1" t="s">
        <v>3144</v>
      </c>
      <c r="K1504" s="1" t="s">
        <v>3144</v>
      </c>
      <c r="L1504" s="1" t="s">
        <v>20</v>
      </c>
      <c r="M1504" s="1" t="s">
        <v>3144</v>
      </c>
      <c r="N1504" s="2"/>
      <c r="O1504" s="2"/>
      <c r="P1504" s="2"/>
      <c r="Q1504" s="2"/>
    </row>
    <row x14ac:dyDescent="0.25" r="1505" customHeight="1" ht="17.25">
      <c r="A1505" s="1" t="s">
        <v>5286</v>
      </c>
      <c r="B1505" s="1" t="s">
        <v>3146</v>
      </c>
      <c r="C1505" s="1" t="s">
        <v>3576</v>
      </c>
      <c r="D1505" s="1" t="s">
        <v>20</v>
      </c>
      <c r="E1505" s="1" t="s">
        <v>4250</v>
      </c>
      <c r="F1505" s="1" t="s">
        <v>4251</v>
      </c>
      <c r="G1505" s="1" t="s">
        <v>4252</v>
      </c>
      <c r="H1505" s="2"/>
      <c r="I1505" s="5">
        <f>XLOOKUP(K1505, pharmaceutical_index!B:B, pharmaceutical_index!A:A, "Not Found")</f>
      </c>
      <c r="J1505" s="1" t="s">
        <v>3146</v>
      </c>
      <c r="K1505" s="1" t="s">
        <v>3146</v>
      </c>
      <c r="L1505" s="1" t="s">
        <v>20</v>
      </c>
      <c r="M1505" s="1" t="s">
        <v>3146</v>
      </c>
      <c r="N1505" s="2"/>
      <c r="O1505" s="2"/>
      <c r="P1505" s="2"/>
      <c r="Q1505" s="2"/>
    </row>
    <row x14ac:dyDescent="0.25" r="1506" customHeight="1" ht="17.25">
      <c r="A1506" s="1" t="s">
        <v>5287</v>
      </c>
      <c r="B1506" s="1" t="s">
        <v>3148</v>
      </c>
      <c r="C1506" s="1" t="s">
        <v>3576</v>
      </c>
      <c r="D1506" s="1" t="s">
        <v>20</v>
      </c>
      <c r="E1506" s="1" t="s">
        <v>4250</v>
      </c>
      <c r="F1506" s="1" t="s">
        <v>4251</v>
      </c>
      <c r="G1506" s="1" t="s">
        <v>4252</v>
      </c>
      <c r="H1506" s="2"/>
      <c r="I1506" s="5">
        <f>XLOOKUP(K1506, pharmaceutical_index!B:B, pharmaceutical_index!A:A, "Not Found")</f>
      </c>
      <c r="J1506" s="1" t="s">
        <v>3148</v>
      </c>
      <c r="K1506" s="1" t="s">
        <v>3148</v>
      </c>
      <c r="L1506" s="1" t="s">
        <v>20</v>
      </c>
      <c r="M1506" s="1" t="s">
        <v>3148</v>
      </c>
      <c r="N1506" s="2"/>
      <c r="O1506" s="2"/>
      <c r="P1506" s="2"/>
      <c r="Q1506" s="2"/>
    </row>
    <row x14ac:dyDescent="0.25" r="1507" customHeight="1" ht="17.25">
      <c r="A1507" s="1" t="s">
        <v>5288</v>
      </c>
      <c r="B1507" s="1" t="s">
        <v>3150</v>
      </c>
      <c r="C1507" s="1" t="s">
        <v>3576</v>
      </c>
      <c r="D1507" s="1" t="s">
        <v>20</v>
      </c>
      <c r="E1507" s="1" t="s">
        <v>4250</v>
      </c>
      <c r="F1507" s="1" t="s">
        <v>4251</v>
      </c>
      <c r="G1507" s="1" t="s">
        <v>4252</v>
      </c>
      <c r="H1507" s="2"/>
      <c r="I1507" s="5">
        <f>XLOOKUP(K1507, pharmaceutical_index!B:B, pharmaceutical_index!A:A, "Not Found")</f>
      </c>
      <c r="J1507" s="1" t="s">
        <v>3150</v>
      </c>
      <c r="K1507" s="1" t="s">
        <v>3150</v>
      </c>
      <c r="L1507" s="1" t="s">
        <v>20</v>
      </c>
      <c r="M1507" s="1" t="s">
        <v>3150</v>
      </c>
      <c r="N1507" s="2"/>
      <c r="O1507" s="2"/>
      <c r="P1507" s="2"/>
      <c r="Q1507" s="2"/>
    </row>
    <row x14ac:dyDescent="0.25" r="1508" customHeight="1" ht="17.25">
      <c r="A1508" s="1" t="s">
        <v>5289</v>
      </c>
      <c r="B1508" s="1" t="s">
        <v>3152</v>
      </c>
      <c r="C1508" s="1" t="s">
        <v>3576</v>
      </c>
      <c r="D1508" s="1" t="s">
        <v>20</v>
      </c>
      <c r="E1508" s="1" t="s">
        <v>4250</v>
      </c>
      <c r="F1508" s="1" t="s">
        <v>4251</v>
      </c>
      <c r="G1508" s="1" t="s">
        <v>4252</v>
      </c>
      <c r="H1508" s="2"/>
      <c r="I1508" s="5">
        <f>XLOOKUP(K1508, pharmaceutical_index!B:B, pharmaceutical_index!A:A, "Not Found")</f>
      </c>
      <c r="J1508" s="1" t="s">
        <v>3152</v>
      </c>
      <c r="K1508" s="1" t="s">
        <v>3152</v>
      </c>
      <c r="L1508" s="1" t="s">
        <v>20</v>
      </c>
      <c r="M1508" s="1" t="s">
        <v>3152</v>
      </c>
      <c r="N1508" s="2"/>
      <c r="O1508" s="2"/>
      <c r="P1508" s="2"/>
      <c r="Q1508" s="2"/>
    </row>
    <row x14ac:dyDescent="0.25" r="1509" customHeight="1" ht="17.25">
      <c r="A1509" s="1" t="s">
        <v>5290</v>
      </c>
      <c r="B1509" s="1" t="s">
        <v>3154</v>
      </c>
      <c r="C1509" s="1" t="s">
        <v>3576</v>
      </c>
      <c r="D1509" s="1" t="s">
        <v>20</v>
      </c>
      <c r="E1509" s="1" t="s">
        <v>4250</v>
      </c>
      <c r="F1509" s="1" t="s">
        <v>4251</v>
      </c>
      <c r="G1509" s="1" t="s">
        <v>4252</v>
      </c>
      <c r="H1509" s="2"/>
      <c r="I1509" s="5">
        <f>XLOOKUP(K1509, pharmaceutical_index!B:B, pharmaceutical_index!A:A, "Not Found")</f>
      </c>
      <c r="J1509" s="1" t="s">
        <v>3154</v>
      </c>
      <c r="K1509" s="1" t="s">
        <v>3154</v>
      </c>
      <c r="L1509" s="1" t="s">
        <v>20</v>
      </c>
      <c r="M1509" s="1" t="s">
        <v>3154</v>
      </c>
      <c r="N1509" s="2"/>
      <c r="O1509" s="2"/>
      <c r="P1509" s="2"/>
      <c r="Q1509" s="2"/>
    </row>
    <row x14ac:dyDescent="0.25" r="1510" customHeight="1" ht="17.25">
      <c r="A1510" s="1" t="s">
        <v>5291</v>
      </c>
      <c r="B1510" s="1" t="s">
        <v>3156</v>
      </c>
      <c r="C1510" s="1" t="s">
        <v>3576</v>
      </c>
      <c r="D1510" s="1" t="s">
        <v>20</v>
      </c>
      <c r="E1510" s="1" t="s">
        <v>4250</v>
      </c>
      <c r="F1510" s="1" t="s">
        <v>4251</v>
      </c>
      <c r="G1510" s="1" t="s">
        <v>4252</v>
      </c>
      <c r="H1510" s="2"/>
      <c r="I1510" s="5">
        <f>XLOOKUP(K1510, pharmaceutical_index!B:B, pharmaceutical_index!A:A, "Not Found")</f>
      </c>
      <c r="J1510" s="1" t="s">
        <v>3156</v>
      </c>
      <c r="K1510" s="1" t="s">
        <v>3156</v>
      </c>
      <c r="L1510" s="1" t="s">
        <v>20</v>
      </c>
      <c r="M1510" s="1" t="s">
        <v>3156</v>
      </c>
      <c r="N1510" s="2"/>
      <c r="O1510" s="2"/>
      <c r="P1510" s="2"/>
      <c r="Q1510" s="2"/>
    </row>
    <row x14ac:dyDescent="0.25" r="1511" customHeight="1" ht="17.25">
      <c r="A1511" s="1" t="s">
        <v>5292</v>
      </c>
      <c r="B1511" s="1" t="s">
        <v>3158</v>
      </c>
      <c r="C1511" s="1" t="s">
        <v>3576</v>
      </c>
      <c r="D1511" s="1" t="s">
        <v>20</v>
      </c>
      <c r="E1511" s="1" t="s">
        <v>4250</v>
      </c>
      <c r="F1511" s="1" t="s">
        <v>4251</v>
      </c>
      <c r="G1511" s="1" t="s">
        <v>4252</v>
      </c>
      <c r="H1511" s="2"/>
      <c r="I1511" s="5">
        <f>XLOOKUP(K1511, pharmaceutical_index!B:B, pharmaceutical_index!A:A, "Not Found")</f>
      </c>
      <c r="J1511" s="1" t="s">
        <v>3158</v>
      </c>
      <c r="K1511" s="1" t="s">
        <v>3158</v>
      </c>
      <c r="L1511" s="1" t="s">
        <v>20</v>
      </c>
      <c r="M1511" s="1" t="s">
        <v>3158</v>
      </c>
      <c r="N1511" s="2"/>
      <c r="O1511" s="2"/>
      <c r="P1511" s="2"/>
      <c r="Q1511" s="2"/>
    </row>
    <row x14ac:dyDescent="0.25" r="1512" customHeight="1" ht="17.25">
      <c r="A1512" s="1" t="s">
        <v>5293</v>
      </c>
      <c r="B1512" s="1" t="s">
        <v>3160</v>
      </c>
      <c r="C1512" s="1" t="s">
        <v>3576</v>
      </c>
      <c r="D1512" s="1" t="s">
        <v>20</v>
      </c>
      <c r="E1512" s="1" t="s">
        <v>4250</v>
      </c>
      <c r="F1512" s="1" t="s">
        <v>4251</v>
      </c>
      <c r="G1512" s="1" t="s">
        <v>4252</v>
      </c>
      <c r="H1512" s="2"/>
      <c r="I1512" s="5">
        <f>XLOOKUP(K1512, pharmaceutical_index!B:B, pharmaceutical_index!A:A, "Not Found")</f>
      </c>
      <c r="J1512" s="1" t="s">
        <v>3160</v>
      </c>
      <c r="K1512" s="1" t="s">
        <v>3160</v>
      </c>
      <c r="L1512" s="1" t="s">
        <v>20</v>
      </c>
      <c r="M1512" s="1" t="s">
        <v>3160</v>
      </c>
      <c r="N1512" s="2"/>
      <c r="O1512" s="2"/>
      <c r="P1512" s="2"/>
      <c r="Q1512" s="2"/>
    </row>
    <row x14ac:dyDescent="0.25" r="1513" customHeight="1" ht="17.25">
      <c r="A1513" s="1" t="s">
        <v>5294</v>
      </c>
      <c r="B1513" s="1" t="s">
        <v>3162</v>
      </c>
      <c r="C1513" s="1" t="s">
        <v>3576</v>
      </c>
      <c r="D1513" s="1" t="s">
        <v>20</v>
      </c>
      <c r="E1513" s="1" t="s">
        <v>4250</v>
      </c>
      <c r="F1513" s="1" t="s">
        <v>4251</v>
      </c>
      <c r="G1513" s="1" t="s">
        <v>4252</v>
      </c>
      <c r="H1513" s="2"/>
      <c r="I1513" s="5">
        <f>XLOOKUP(K1513, pharmaceutical_index!B:B, pharmaceutical_index!A:A, "Not Found")</f>
      </c>
      <c r="J1513" s="1" t="s">
        <v>3162</v>
      </c>
      <c r="K1513" s="1" t="s">
        <v>3162</v>
      </c>
      <c r="L1513" s="1" t="s">
        <v>20</v>
      </c>
      <c r="M1513" s="1" t="s">
        <v>3162</v>
      </c>
      <c r="N1513" s="2"/>
      <c r="O1513" s="2"/>
      <c r="P1513" s="2"/>
      <c r="Q1513" s="2"/>
    </row>
    <row x14ac:dyDescent="0.25" r="1514" customHeight="1" ht="17.25">
      <c r="A1514" s="1" t="s">
        <v>5295</v>
      </c>
      <c r="B1514" s="1" t="s">
        <v>3164</v>
      </c>
      <c r="C1514" s="1" t="s">
        <v>3576</v>
      </c>
      <c r="D1514" s="1" t="s">
        <v>20</v>
      </c>
      <c r="E1514" s="1" t="s">
        <v>4250</v>
      </c>
      <c r="F1514" s="1" t="s">
        <v>4251</v>
      </c>
      <c r="G1514" s="1" t="s">
        <v>4252</v>
      </c>
      <c r="H1514" s="2"/>
      <c r="I1514" s="5">
        <f>XLOOKUP(K1514, pharmaceutical_index!B:B, pharmaceutical_index!A:A, "Not Found")</f>
      </c>
      <c r="J1514" s="1" t="s">
        <v>3164</v>
      </c>
      <c r="K1514" s="1" t="s">
        <v>3164</v>
      </c>
      <c r="L1514" s="1" t="s">
        <v>20</v>
      </c>
      <c r="M1514" s="1" t="s">
        <v>3164</v>
      </c>
      <c r="N1514" s="2"/>
      <c r="O1514" s="2"/>
      <c r="P1514" s="2"/>
      <c r="Q1514" s="2"/>
    </row>
    <row x14ac:dyDescent="0.25" r="1515" customHeight="1" ht="17.25">
      <c r="A1515" s="1" t="s">
        <v>5296</v>
      </c>
      <c r="B1515" s="1" t="s">
        <v>3166</v>
      </c>
      <c r="C1515" s="1" t="s">
        <v>3576</v>
      </c>
      <c r="D1515" s="1" t="s">
        <v>20</v>
      </c>
      <c r="E1515" s="1" t="s">
        <v>4250</v>
      </c>
      <c r="F1515" s="1" t="s">
        <v>4251</v>
      </c>
      <c r="G1515" s="1" t="s">
        <v>4252</v>
      </c>
      <c r="H1515" s="2"/>
      <c r="I1515" s="5">
        <f>XLOOKUP(K1515, pharmaceutical_index!B:B, pharmaceutical_index!A:A, "Not Found")</f>
      </c>
      <c r="J1515" s="1" t="s">
        <v>3166</v>
      </c>
      <c r="K1515" s="1" t="s">
        <v>3166</v>
      </c>
      <c r="L1515" s="1" t="s">
        <v>20</v>
      </c>
      <c r="M1515" s="1" t="s">
        <v>3166</v>
      </c>
      <c r="N1515" s="2"/>
      <c r="O1515" s="2"/>
      <c r="P1515" s="2"/>
      <c r="Q1515" s="2"/>
    </row>
    <row x14ac:dyDescent="0.25" r="1516" customHeight="1" ht="17.25">
      <c r="A1516" s="1" t="s">
        <v>5297</v>
      </c>
      <c r="B1516" s="1" t="s">
        <v>3168</v>
      </c>
      <c r="C1516" s="1" t="s">
        <v>3576</v>
      </c>
      <c r="D1516" s="1" t="s">
        <v>20</v>
      </c>
      <c r="E1516" s="1" t="s">
        <v>4250</v>
      </c>
      <c r="F1516" s="1" t="s">
        <v>4251</v>
      </c>
      <c r="G1516" s="1" t="s">
        <v>4252</v>
      </c>
      <c r="H1516" s="2"/>
      <c r="I1516" s="5">
        <f>XLOOKUP(K1516, pharmaceutical_index!B:B, pharmaceutical_index!A:A, "Not Found")</f>
      </c>
      <c r="J1516" s="1" t="s">
        <v>3168</v>
      </c>
      <c r="K1516" s="1" t="s">
        <v>3168</v>
      </c>
      <c r="L1516" s="1" t="s">
        <v>20</v>
      </c>
      <c r="M1516" s="1" t="s">
        <v>3168</v>
      </c>
      <c r="N1516" s="2"/>
      <c r="O1516" s="2"/>
      <c r="P1516" s="2"/>
      <c r="Q1516" s="2"/>
    </row>
    <row x14ac:dyDescent="0.25" r="1517" customHeight="1" ht="17.25">
      <c r="A1517" s="1" t="s">
        <v>5298</v>
      </c>
      <c r="B1517" s="1" t="s">
        <v>3170</v>
      </c>
      <c r="C1517" s="1" t="s">
        <v>3576</v>
      </c>
      <c r="D1517" s="1" t="s">
        <v>20</v>
      </c>
      <c r="E1517" s="1" t="s">
        <v>4250</v>
      </c>
      <c r="F1517" s="1" t="s">
        <v>4251</v>
      </c>
      <c r="G1517" s="1" t="s">
        <v>4252</v>
      </c>
      <c r="H1517" s="2"/>
      <c r="I1517" s="5">
        <f>XLOOKUP(K1517, pharmaceutical_index!B:B, pharmaceutical_index!A:A, "Not Found")</f>
      </c>
      <c r="J1517" s="1" t="s">
        <v>3170</v>
      </c>
      <c r="K1517" s="1" t="s">
        <v>3170</v>
      </c>
      <c r="L1517" s="1" t="s">
        <v>20</v>
      </c>
      <c r="M1517" s="1" t="s">
        <v>3170</v>
      </c>
      <c r="N1517" s="2"/>
      <c r="O1517" s="2"/>
      <c r="P1517" s="2"/>
      <c r="Q1517" s="2"/>
    </row>
    <row x14ac:dyDescent="0.25" r="1518" customHeight="1" ht="17.25">
      <c r="A1518" s="1" t="s">
        <v>5299</v>
      </c>
      <c r="B1518" s="1" t="s">
        <v>3172</v>
      </c>
      <c r="C1518" s="1" t="s">
        <v>3576</v>
      </c>
      <c r="D1518" s="1" t="s">
        <v>20</v>
      </c>
      <c r="E1518" s="1" t="s">
        <v>4250</v>
      </c>
      <c r="F1518" s="1" t="s">
        <v>4251</v>
      </c>
      <c r="G1518" s="1" t="s">
        <v>4252</v>
      </c>
      <c r="H1518" s="2"/>
      <c r="I1518" s="5">
        <f>XLOOKUP(K1518, pharmaceutical_index!B:B, pharmaceutical_index!A:A, "Not Found")</f>
      </c>
      <c r="J1518" s="1" t="s">
        <v>3172</v>
      </c>
      <c r="K1518" s="1" t="s">
        <v>3172</v>
      </c>
      <c r="L1518" s="1" t="s">
        <v>20</v>
      </c>
      <c r="M1518" s="1" t="s">
        <v>3172</v>
      </c>
      <c r="N1518" s="2"/>
      <c r="O1518" s="2"/>
      <c r="P1518" s="2"/>
      <c r="Q1518" s="2"/>
    </row>
    <row x14ac:dyDescent="0.25" r="1519" customHeight="1" ht="17.25">
      <c r="A1519" s="1" t="s">
        <v>5300</v>
      </c>
      <c r="B1519" s="1" t="s">
        <v>3174</v>
      </c>
      <c r="C1519" s="1" t="s">
        <v>3576</v>
      </c>
      <c r="D1519" s="1" t="s">
        <v>20</v>
      </c>
      <c r="E1519" s="1" t="s">
        <v>4250</v>
      </c>
      <c r="F1519" s="1" t="s">
        <v>4251</v>
      </c>
      <c r="G1519" s="1" t="s">
        <v>4252</v>
      </c>
      <c r="H1519" s="2"/>
      <c r="I1519" s="5">
        <f>XLOOKUP(K1519, pharmaceutical_index!B:B, pharmaceutical_index!A:A, "Not Found")</f>
      </c>
      <c r="J1519" s="1" t="s">
        <v>3174</v>
      </c>
      <c r="K1519" s="1" t="s">
        <v>3174</v>
      </c>
      <c r="L1519" s="1" t="s">
        <v>20</v>
      </c>
      <c r="M1519" s="1" t="s">
        <v>3174</v>
      </c>
      <c r="N1519" s="2"/>
      <c r="O1519" s="2"/>
      <c r="P1519" s="2"/>
      <c r="Q1519" s="2"/>
    </row>
    <row x14ac:dyDescent="0.25" r="1520" customHeight="1" ht="17.25">
      <c r="A1520" s="1" t="s">
        <v>5301</v>
      </c>
      <c r="B1520" s="1" t="s">
        <v>3176</v>
      </c>
      <c r="C1520" s="1" t="s">
        <v>3576</v>
      </c>
      <c r="D1520" s="1" t="s">
        <v>20</v>
      </c>
      <c r="E1520" s="1" t="s">
        <v>4250</v>
      </c>
      <c r="F1520" s="1" t="s">
        <v>4251</v>
      </c>
      <c r="G1520" s="1" t="s">
        <v>4252</v>
      </c>
      <c r="H1520" s="2"/>
      <c r="I1520" s="5">
        <f>XLOOKUP(K1520, pharmaceutical_index!B:B, pharmaceutical_index!A:A, "Not Found")</f>
      </c>
      <c r="J1520" s="1" t="s">
        <v>3176</v>
      </c>
      <c r="K1520" s="1" t="s">
        <v>3176</v>
      </c>
      <c r="L1520" s="1" t="s">
        <v>20</v>
      </c>
      <c r="M1520" s="1" t="s">
        <v>3176</v>
      </c>
      <c r="N1520" s="2"/>
      <c r="O1520" s="2"/>
      <c r="P1520" s="2"/>
      <c r="Q1520" s="2"/>
    </row>
    <row x14ac:dyDescent="0.25" r="1521" customHeight="1" ht="17.25">
      <c r="A1521" s="1" t="s">
        <v>5302</v>
      </c>
      <c r="B1521" s="1" t="s">
        <v>3178</v>
      </c>
      <c r="C1521" s="1" t="s">
        <v>3576</v>
      </c>
      <c r="D1521" s="1" t="s">
        <v>20</v>
      </c>
      <c r="E1521" s="1" t="s">
        <v>4250</v>
      </c>
      <c r="F1521" s="1" t="s">
        <v>4251</v>
      </c>
      <c r="G1521" s="1" t="s">
        <v>4252</v>
      </c>
      <c r="H1521" s="2"/>
      <c r="I1521" s="5">
        <f>XLOOKUP(K1521, pharmaceutical_index!B:B, pharmaceutical_index!A:A, "Not Found")</f>
      </c>
      <c r="J1521" s="1" t="s">
        <v>3178</v>
      </c>
      <c r="K1521" s="1" t="s">
        <v>3178</v>
      </c>
      <c r="L1521" s="1" t="s">
        <v>20</v>
      </c>
      <c r="M1521" s="1" t="s">
        <v>3178</v>
      </c>
      <c r="N1521" s="2"/>
      <c r="O1521" s="2"/>
      <c r="P1521" s="2"/>
      <c r="Q1521" s="2"/>
    </row>
    <row x14ac:dyDescent="0.25" r="1522" customHeight="1" ht="17.25">
      <c r="A1522" s="1" t="s">
        <v>5303</v>
      </c>
      <c r="B1522" s="1" t="s">
        <v>3180</v>
      </c>
      <c r="C1522" s="1" t="s">
        <v>3576</v>
      </c>
      <c r="D1522" s="1" t="s">
        <v>20</v>
      </c>
      <c r="E1522" s="1" t="s">
        <v>4250</v>
      </c>
      <c r="F1522" s="1" t="s">
        <v>4251</v>
      </c>
      <c r="G1522" s="1" t="s">
        <v>4252</v>
      </c>
      <c r="H1522" s="2"/>
      <c r="I1522" s="5">
        <f>XLOOKUP(K1522, pharmaceutical_index!B:B, pharmaceutical_index!A:A, "Not Found")</f>
      </c>
      <c r="J1522" s="1" t="s">
        <v>3180</v>
      </c>
      <c r="K1522" s="1" t="s">
        <v>3180</v>
      </c>
      <c r="L1522" s="1" t="s">
        <v>20</v>
      </c>
      <c r="M1522" s="1" t="s">
        <v>3180</v>
      </c>
      <c r="N1522" s="2"/>
      <c r="O1522" s="2"/>
      <c r="P1522" s="2"/>
      <c r="Q1522" s="2"/>
    </row>
    <row x14ac:dyDescent="0.25" r="1523" customHeight="1" ht="17.25">
      <c r="A1523" s="1" t="s">
        <v>5304</v>
      </c>
      <c r="B1523" s="1" t="s">
        <v>3182</v>
      </c>
      <c r="C1523" s="1" t="s">
        <v>3576</v>
      </c>
      <c r="D1523" s="1" t="s">
        <v>20</v>
      </c>
      <c r="E1523" s="1" t="s">
        <v>4250</v>
      </c>
      <c r="F1523" s="1" t="s">
        <v>4251</v>
      </c>
      <c r="G1523" s="1" t="s">
        <v>4252</v>
      </c>
      <c r="H1523" s="2"/>
      <c r="I1523" s="5">
        <f>XLOOKUP(K1523, pharmaceutical_index!B:B, pharmaceutical_index!A:A, "Not Found")</f>
      </c>
      <c r="J1523" s="1" t="s">
        <v>3182</v>
      </c>
      <c r="K1523" s="1" t="s">
        <v>3182</v>
      </c>
      <c r="L1523" s="1" t="s">
        <v>20</v>
      </c>
      <c r="M1523" s="1" t="s">
        <v>3182</v>
      </c>
      <c r="N1523" s="2"/>
      <c r="O1523" s="2"/>
      <c r="P1523" s="2"/>
      <c r="Q1523" s="2"/>
    </row>
    <row x14ac:dyDescent="0.25" r="1524" customHeight="1" ht="17.25">
      <c r="A1524" s="1" t="s">
        <v>5305</v>
      </c>
      <c r="B1524" s="1" t="s">
        <v>3184</v>
      </c>
      <c r="C1524" s="1" t="s">
        <v>3576</v>
      </c>
      <c r="D1524" s="1" t="s">
        <v>20</v>
      </c>
      <c r="E1524" s="1" t="s">
        <v>4250</v>
      </c>
      <c r="F1524" s="1" t="s">
        <v>4251</v>
      </c>
      <c r="G1524" s="1" t="s">
        <v>4252</v>
      </c>
      <c r="H1524" s="2"/>
      <c r="I1524" s="5">
        <f>XLOOKUP(K1524, pharmaceutical_index!B:B, pharmaceutical_index!A:A, "Not Found")</f>
      </c>
      <c r="J1524" s="1" t="s">
        <v>3184</v>
      </c>
      <c r="K1524" s="1" t="s">
        <v>3184</v>
      </c>
      <c r="L1524" s="1" t="s">
        <v>20</v>
      </c>
      <c r="M1524" s="1" t="s">
        <v>3184</v>
      </c>
      <c r="N1524" s="2"/>
      <c r="O1524" s="2"/>
      <c r="P1524" s="2"/>
      <c r="Q1524" s="2"/>
    </row>
    <row x14ac:dyDescent="0.25" r="1525" customHeight="1" ht="17.25">
      <c r="A1525" s="1" t="s">
        <v>5306</v>
      </c>
      <c r="B1525" s="1" t="s">
        <v>3186</v>
      </c>
      <c r="C1525" s="1" t="s">
        <v>3576</v>
      </c>
      <c r="D1525" s="1" t="s">
        <v>20</v>
      </c>
      <c r="E1525" s="1" t="s">
        <v>4250</v>
      </c>
      <c r="F1525" s="1" t="s">
        <v>4251</v>
      </c>
      <c r="G1525" s="1" t="s">
        <v>4252</v>
      </c>
      <c r="H1525" s="2"/>
      <c r="I1525" s="5">
        <f>XLOOKUP(K1525, pharmaceutical_index!B:B, pharmaceutical_index!A:A, "Not Found")</f>
      </c>
      <c r="J1525" s="1" t="s">
        <v>3186</v>
      </c>
      <c r="K1525" s="1" t="s">
        <v>3186</v>
      </c>
      <c r="L1525" s="1" t="s">
        <v>20</v>
      </c>
      <c r="M1525" s="1" t="s">
        <v>3186</v>
      </c>
      <c r="N1525" s="2"/>
      <c r="O1525" s="2"/>
      <c r="P1525" s="2"/>
      <c r="Q1525" s="2"/>
    </row>
    <row x14ac:dyDescent="0.25" r="1526" customHeight="1" ht="17.25">
      <c r="A1526" s="1" t="s">
        <v>5307</v>
      </c>
      <c r="B1526" s="1" t="s">
        <v>3188</v>
      </c>
      <c r="C1526" s="1" t="s">
        <v>3576</v>
      </c>
      <c r="D1526" s="1" t="s">
        <v>20</v>
      </c>
      <c r="E1526" s="1" t="s">
        <v>4250</v>
      </c>
      <c r="F1526" s="1" t="s">
        <v>4251</v>
      </c>
      <c r="G1526" s="1" t="s">
        <v>4252</v>
      </c>
      <c r="H1526" s="2"/>
      <c r="I1526" s="5">
        <f>XLOOKUP(K1526, pharmaceutical_index!B:B, pharmaceutical_index!A:A, "Not Found")</f>
      </c>
      <c r="J1526" s="1" t="s">
        <v>3188</v>
      </c>
      <c r="K1526" s="1" t="s">
        <v>3188</v>
      </c>
      <c r="L1526" s="1" t="s">
        <v>20</v>
      </c>
      <c r="M1526" s="1" t="s">
        <v>3188</v>
      </c>
      <c r="N1526" s="2"/>
      <c r="O1526" s="2"/>
      <c r="P1526" s="2"/>
      <c r="Q1526" s="2"/>
    </row>
    <row x14ac:dyDescent="0.25" r="1527" customHeight="1" ht="17.25">
      <c r="A1527" s="1" t="s">
        <v>5308</v>
      </c>
      <c r="B1527" s="1" t="s">
        <v>3190</v>
      </c>
      <c r="C1527" s="1" t="s">
        <v>3576</v>
      </c>
      <c r="D1527" s="1" t="s">
        <v>20</v>
      </c>
      <c r="E1527" s="1" t="s">
        <v>4250</v>
      </c>
      <c r="F1527" s="1" t="s">
        <v>4251</v>
      </c>
      <c r="G1527" s="1" t="s">
        <v>4252</v>
      </c>
      <c r="H1527" s="2"/>
      <c r="I1527" s="5">
        <f>XLOOKUP(K1527, pharmaceutical_index!B:B, pharmaceutical_index!A:A, "Not Found")</f>
      </c>
      <c r="J1527" s="1" t="s">
        <v>3190</v>
      </c>
      <c r="K1527" s="1" t="s">
        <v>3190</v>
      </c>
      <c r="L1527" s="1" t="s">
        <v>20</v>
      </c>
      <c r="M1527" s="1" t="s">
        <v>3190</v>
      </c>
      <c r="N1527" s="2"/>
      <c r="O1527" s="2"/>
      <c r="P1527" s="2"/>
      <c r="Q1527" s="2"/>
    </row>
    <row x14ac:dyDescent="0.25" r="1528" customHeight="1" ht="17.25">
      <c r="A1528" s="1" t="s">
        <v>5309</v>
      </c>
      <c r="B1528" s="1" t="s">
        <v>3192</v>
      </c>
      <c r="C1528" s="1" t="s">
        <v>3576</v>
      </c>
      <c r="D1528" s="1" t="s">
        <v>20</v>
      </c>
      <c r="E1528" s="1" t="s">
        <v>4250</v>
      </c>
      <c r="F1528" s="1" t="s">
        <v>4251</v>
      </c>
      <c r="G1528" s="1" t="s">
        <v>4252</v>
      </c>
      <c r="H1528" s="2"/>
      <c r="I1528" s="5">
        <f>XLOOKUP(K1528, pharmaceutical_index!B:B, pharmaceutical_index!A:A, "Not Found")</f>
      </c>
      <c r="J1528" s="1" t="s">
        <v>3192</v>
      </c>
      <c r="K1528" s="1" t="s">
        <v>3192</v>
      </c>
      <c r="L1528" s="1" t="s">
        <v>20</v>
      </c>
      <c r="M1528" s="1" t="s">
        <v>3192</v>
      </c>
      <c r="N1528" s="2"/>
      <c r="O1528" s="2"/>
      <c r="P1528" s="2"/>
      <c r="Q1528" s="2"/>
    </row>
    <row x14ac:dyDescent="0.25" r="1529" customHeight="1" ht="17.25">
      <c r="A1529" s="1" t="s">
        <v>5310</v>
      </c>
      <c r="B1529" s="1" t="s">
        <v>3194</v>
      </c>
      <c r="C1529" s="1" t="s">
        <v>3576</v>
      </c>
      <c r="D1529" s="1" t="s">
        <v>20</v>
      </c>
      <c r="E1529" s="1" t="s">
        <v>4250</v>
      </c>
      <c r="F1529" s="1" t="s">
        <v>4251</v>
      </c>
      <c r="G1529" s="1" t="s">
        <v>4252</v>
      </c>
      <c r="H1529" s="2"/>
      <c r="I1529" s="5">
        <f>XLOOKUP(K1529, pharmaceutical_index!B:B, pharmaceutical_index!A:A, "Not Found")</f>
      </c>
      <c r="J1529" s="1" t="s">
        <v>3194</v>
      </c>
      <c r="K1529" s="1" t="s">
        <v>3194</v>
      </c>
      <c r="L1529" s="1" t="s">
        <v>20</v>
      </c>
      <c r="M1529" s="1" t="s">
        <v>3194</v>
      </c>
      <c r="N1529" s="2"/>
      <c r="O1529" s="2"/>
      <c r="P1529" s="2"/>
      <c r="Q1529" s="2"/>
    </row>
    <row x14ac:dyDescent="0.25" r="1530" customHeight="1" ht="17.25">
      <c r="A1530" s="1" t="s">
        <v>5311</v>
      </c>
      <c r="B1530" s="1" t="s">
        <v>3196</v>
      </c>
      <c r="C1530" s="1" t="s">
        <v>3576</v>
      </c>
      <c r="D1530" s="1" t="s">
        <v>20</v>
      </c>
      <c r="E1530" s="1" t="s">
        <v>4250</v>
      </c>
      <c r="F1530" s="1" t="s">
        <v>4251</v>
      </c>
      <c r="G1530" s="1" t="s">
        <v>4252</v>
      </c>
      <c r="H1530" s="2"/>
      <c r="I1530" s="5">
        <f>XLOOKUP(K1530, pharmaceutical_index!B:B, pharmaceutical_index!A:A, "Not Found")</f>
      </c>
      <c r="J1530" s="1" t="s">
        <v>3196</v>
      </c>
      <c r="K1530" s="1" t="s">
        <v>3196</v>
      </c>
      <c r="L1530" s="1" t="s">
        <v>20</v>
      </c>
      <c r="M1530" s="1" t="s">
        <v>3196</v>
      </c>
      <c r="N1530" s="2"/>
      <c r="O1530" s="2"/>
      <c r="P1530" s="2"/>
      <c r="Q1530" s="2"/>
    </row>
    <row x14ac:dyDescent="0.25" r="1531" customHeight="1" ht="17.25">
      <c r="A1531" s="1" t="s">
        <v>5312</v>
      </c>
      <c r="B1531" s="1" t="s">
        <v>3198</v>
      </c>
      <c r="C1531" s="1" t="s">
        <v>3576</v>
      </c>
      <c r="D1531" s="1" t="s">
        <v>20</v>
      </c>
      <c r="E1531" s="1" t="s">
        <v>4250</v>
      </c>
      <c r="F1531" s="1" t="s">
        <v>4251</v>
      </c>
      <c r="G1531" s="1" t="s">
        <v>4252</v>
      </c>
      <c r="H1531" s="2"/>
      <c r="I1531" s="5">
        <f>XLOOKUP(K1531, pharmaceutical_index!B:B, pharmaceutical_index!A:A, "Not Found")</f>
      </c>
      <c r="J1531" s="1" t="s">
        <v>3198</v>
      </c>
      <c r="K1531" s="1" t="s">
        <v>3198</v>
      </c>
      <c r="L1531" s="1" t="s">
        <v>20</v>
      </c>
      <c r="M1531" s="1" t="s">
        <v>3198</v>
      </c>
      <c r="N1531" s="2"/>
      <c r="O1531" s="2"/>
      <c r="P1531" s="2"/>
      <c r="Q1531" s="2"/>
    </row>
    <row x14ac:dyDescent="0.25" r="1532" customHeight="1" ht="17.25">
      <c r="A1532" s="1" t="s">
        <v>5313</v>
      </c>
      <c r="B1532" s="1" t="s">
        <v>3200</v>
      </c>
      <c r="C1532" s="1" t="s">
        <v>3576</v>
      </c>
      <c r="D1532" s="1" t="s">
        <v>20</v>
      </c>
      <c r="E1532" s="1" t="s">
        <v>4250</v>
      </c>
      <c r="F1532" s="1" t="s">
        <v>4251</v>
      </c>
      <c r="G1532" s="1" t="s">
        <v>4252</v>
      </c>
      <c r="H1532" s="2"/>
      <c r="I1532" s="5">
        <f>XLOOKUP(K1532, pharmaceutical_index!B:B, pharmaceutical_index!A:A, "Not Found")</f>
      </c>
      <c r="J1532" s="1" t="s">
        <v>3200</v>
      </c>
      <c r="K1532" s="1" t="s">
        <v>3200</v>
      </c>
      <c r="L1532" s="1" t="s">
        <v>20</v>
      </c>
      <c r="M1532" s="1" t="s">
        <v>3200</v>
      </c>
      <c r="N1532" s="2"/>
      <c r="O1532" s="2"/>
      <c r="P1532" s="2"/>
      <c r="Q1532" s="2"/>
    </row>
    <row x14ac:dyDescent="0.25" r="1533" customHeight="1" ht="17.25">
      <c r="A1533" s="1" t="s">
        <v>5314</v>
      </c>
      <c r="B1533" s="1" t="s">
        <v>3202</v>
      </c>
      <c r="C1533" s="1" t="s">
        <v>3576</v>
      </c>
      <c r="D1533" s="1" t="s">
        <v>20</v>
      </c>
      <c r="E1533" s="1" t="s">
        <v>4250</v>
      </c>
      <c r="F1533" s="1" t="s">
        <v>4251</v>
      </c>
      <c r="G1533" s="1" t="s">
        <v>4252</v>
      </c>
      <c r="H1533" s="2"/>
      <c r="I1533" s="5">
        <f>XLOOKUP(K1533, pharmaceutical_index!B:B, pharmaceutical_index!A:A, "Not Found")</f>
      </c>
      <c r="J1533" s="1" t="s">
        <v>3202</v>
      </c>
      <c r="K1533" s="1" t="s">
        <v>3202</v>
      </c>
      <c r="L1533" s="1" t="s">
        <v>20</v>
      </c>
      <c r="M1533" s="1" t="s">
        <v>3202</v>
      </c>
      <c r="N1533" s="2"/>
      <c r="O1533" s="2"/>
      <c r="P1533" s="2"/>
      <c r="Q1533" s="2"/>
    </row>
    <row x14ac:dyDescent="0.25" r="1534" customHeight="1" ht="17.25">
      <c r="A1534" s="1" t="s">
        <v>5315</v>
      </c>
      <c r="B1534" s="1" t="s">
        <v>3204</v>
      </c>
      <c r="C1534" s="1" t="s">
        <v>3576</v>
      </c>
      <c r="D1534" s="1" t="s">
        <v>20</v>
      </c>
      <c r="E1534" s="1" t="s">
        <v>4250</v>
      </c>
      <c r="F1534" s="1" t="s">
        <v>4251</v>
      </c>
      <c r="G1534" s="1" t="s">
        <v>4252</v>
      </c>
      <c r="H1534" s="2"/>
      <c r="I1534" s="5">
        <f>XLOOKUP(K1534, pharmaceutical_index!B:B, pharmaceutical_index!A:A, "Not Found")</f>
      </c>
      <c r="J1534" s="1" t="s">
        <v>3204</v>
      </c>
      <c r="K1534" s="1" t="s">
        <v>3204</v>
      </c>
      <c r="L1534" s="1" t="s">
        <v>20</v>
      </c>
      <c r="M1534" s="1" t="s">
        <v>3204</v>
      </c>
      <c r="N1534" s="2"/>
      <c r="O1534" s="2"/>
      <c r="P1534" s="2"/>
      <c r="Q1534" s="2"/>
    </row>
    <row x14ac:dyDescent="0.25" r="1535" customHeight="1" ht="17.25">
      <c r="A1535" s="1" t="s">
        <v>5316</v>
      </c>
      <c r="B1535" s="1" t="s">
        <v>3206</v>
      </c>
      <c r="C1535" s="1" t="s">
        <v>3576</v>
      </c>
      <c r="D1535" s="1" t="s">
        <v>20</v>
      </c>
      <c r="E1535" s="1" t="s">
        <v>4250</v>
      </c>
      <c r="F1535" s="1" t="s">
        <v>4251</v>
      </c>
      <c r="G1535" s="1" t="s">
        <v>4252</v>
      </c>
      <c r="H1535" s="2"/>
      <c r="I1535" s="5">
        <f>XLOOKUP(K1535, pharmaceutical_index!B:B, pharmaceutical_index!A:A, "Not Found")</f>
      </c>
      <c r="J1535" s="1" t="s">
        <v>3206</v>
      </c>
      <c r="K1535" s="1" t="s">
        <v>3206</v>
      </c>
      <c r="L1535" s="1" t="s">
        <v>20</v>
      </c>
      <c r="M1535" s="1" t="s">
        <v>3206</v>
      </c>
      <c r="N1535" s="2"/>
      <c r="O1535" s="2"/>
      <c r="P1535" s="2"/>
      <c r="Q1535" s="2"/>
    </row>
    <row x14ac:dyDescent="0.25" r="1536" customHeight="1" ht="17.25">
      <c r="A1536" s="1" t="s">
        <v>5317</v>
      </c>
      <c r="B1536" s="1" t="s">
        <v>3208</v>
      </c>
      <c r="C1536" s="1" t="s">
        <v>3576</v>
      </c>
      <c r="D1536" s="1" t="s">
        <v>20</v>
      </c>
      <c r="E1536" s="1" t="s">
        <v>4250</v>
      </c>
      <c r="F1536" s="1" t="s">
        <v>4251</v>
      </c>
      <c r="G1536" s="1" t="s">
        <v>4252</v>
      </c>
      <c r="H1536" s="2"/>
      <c r="I1536" s="5">
        <f>XLOOKUP(K1536, pharmaceutical_index!B:B, pharmaceutical_index!A:A, "Not Found")</f>
      </c>
      <c r="J1536" s="1" t="s">
        <v>3208</v>
      </c>
      <c r="K1536" s="1" t="s">
        <v>3208</v>
      </c>
      <c r="L1536" s="1" t="s">
        <v>20</v>
      </c>
      <c r="M1536" s="1" t="s">
        <v>3208</v>
      </c>
      <c r="N1536" s="2"/>
      <c r="O1536" s="2"/>
      <c r="P1536" s="2"/>
      <c r="Q1536" s="2"/>
    </row>
    <row x14ac:dyDescent="0.25" r="1537" customHeight="1" ht="17.25">
      <c r="A1537" s="1" t="s">
        <v>5318</v>
      </c>
      <c r="B1537" s="1" t="s">
        <v>3210</v>
      </c>
      <c r="C1537" s="1" t="s">
        <v>3576</v>
      </c>
      <c r="D1537" s="1" t="s">
        <v>20</v>
      </c>
      <c r="E1537" s="1" t="s">
        <v>4250</v>
      </c>
      <c r="F1537" s="1" t="s">
        <v>4251</v>
      </c>
      <c r="G1537" s="1" t="s">
        <v>4252</v>
      </c>
      <c r="H1537" s="2"/>
      <c r="I1537" s="5">
        <f>XLOOKUP(K1537, pharmaceutical_index!B:B, pharmaceutical_index!A:A, "Not Found")</f>
      </c>
      <c r="J1537" s="1" t="s">
        <v>3210</v>
      </c>
      <c r="K1537" s="1" t="s">
        <v>3210</v>
      </c>
      <c r="L1537" s="1" t="s">
        <v>20</v>
      </c>
      <c r="M1537" s="1" t="s">
        <v>3210</v>
      </c>
      <c r="N1537" s="2"/>
      <c r="O1537" s="2"/>
      <c r="P1537" s="2"/>
      <c r="Q1537" s="2"/>
    </row>
    <row x14ac:dyDescent="0.25" r="1538" customHeight="1" ht="17.25">
      <c r="A1538" s="1" t="s">
        <v>5319</v>
      </c>
      <c r="B1538" s="1" t="s">
        <v>3212</v>
      </c>
      <c r="C1538" s="1" t="s">
        <v>3576</v>
      </c>
      <c r="D1538" s="1" t="s">
        <v>20</v>
      </c>
      <c r="E1538" s="1" t="s">
        <v>4250</v>
      </c>
      <c r="F1538" s="1" t="s">
        <v>4251</v>
      </c>
      <c r="G1538" s="1" t="s">
        <v>4252</v>
      </c>
      <c r="H1538" s="2"/>
      <c r="I1538" s="5">
        <f>XLOOKUP(K1538, pharmaceutical_index!B:B, pharmaceutical_index!A:A, "Not Found")</f>
      </c>
      <c r="J1538" s="1" t="s">
        <v>3212</v>
      </c>
      <c r="K1538" s="1" t="s">
        <v>3212</v>
      </c>
      <c r="L1538" s="1" t="s">
        <v>20</v>
      </c>
      <c r="M1538" s="1" t="s">
        <v>3212</v>
      </c>
      <c r="N1538" s="2"/>
      <c r="O1538" s="2"/>
      <c r="P1538" s="2"/>
      <c r="Q1538" s="2"/>
    </row>
    <row x14ac:dyDescent="0.25" r="1539" customHeight="1" ht="17.25">
      <c r="A1539" s="1" t="s">
        <v>5320</v>
      </c>
      <c r="B1539" s="1" t="s">
        <v>3214</v>
      </c>
      <c r="C1539" s="1" t="s">
        <v>3576</v>
      </c>
      <c r="D1539" s="1" t="s">
        <v>20</v>
      </c>
      <c r="E1539" s="1" t="s">
        <v>4250</v>
      </c>
      <c r="F1539" s="1" t="s">
        <v>4251</v>
      </c>
      <c r="G1539" s="1" t="s">
        <v>4252</v>
      </c>
      <c r="H1539" s="2"/>
      <c r="I1539" s="5">
        <f>XLOOKUP(K1539, pharmaceutical_index!B:B, pharmaceutical_index!A:A, "Not Found")</f>
      </c>
      <c r="J1539" s="1" t="s">
        <v>3214</v>
      </c>
      <c r="K1539" s="1" t="s">
        <v>3214</v>
      </c>
      <c r="L1539" s="1" t="s">
        <v>20</v>
      </c>
      <c r="M1539" s="1" t="s">
        <v>3214</v>
      </c>
      <c r="N1539" s="2"/>
      <c r="O1539" s="2"/>
      <c r="P1539" s="2"/>
      <c r="Q1539" s="2"/>
    </row>
    <row x14ac:dyDescent="0.25" r="1540" customHeight="1" ht="17.25">
      <c r="A1540" s="1" t="s">
        <v>5321</v>
      </c>
      <c r="B1540" s="1" t="s">
        <v>3216</v>
      </c>
      <c r="C1540" s="1" t="s">
        <v>3576</v>
      </c>
      <c r="D1540" s="1" t="s">
        <v>20</v>
      </c>
      <c r="E1540" s="1" t="s">
        <v>4250</v>
      </c>
      <c r="F1540" s="1" t="s">
        <v>4251</v>
      </c>
      <c r="G1540" s="1" t="s">
        <v>4252</v>
      </c>
      <c r="H1540" s="2"/>
      <c r="I1540" s="5">
        <f>XLOOKUP(K1540, pharmaceutical_index!B:B, pharmaceutical_index!A:A, "Not Found")</f>
      </c>
      <c r="J1540" s="1" t="s">
        <v>3216</v>
      </c>
      <c r="K1540" s="1" t="s">
        <v>3216</v>
      </c>
      <c r="L1540" s="1" t="s">
        <v>20</v>
      </c>
      <c r="M1540" s="1" t="s">
        <v>3216</v>
      </c>
      <c r="N1540" s="2"/>
      <c r="O1540" s="2"/>
      <c r="P1540" s="2"/>
      <c r="Q1540" s="2"/>
    </row>
    <row x14ac:dyDescent="0.25" r="1541" customHeight="1" ht="17.25">
      <c r="A1541" s="1" t="s">
        <v>5322</v>
      </c>
      <c r="B1541" s="1" t="s">
        <v>3218</v>
      </c>
      <c r="C1541" s="1" t="s">
        <v>3576</v>
      </c>
      <c r="D1541" s="1" t="s">
        <v>20</v>
      </c>
      <c r="E1541" s="1" t="s">
        <v>4250</v>
      </c>
      <c r="F1541" s="1" t="s">
        <v>4251</v>
      </c>
      <c r="G1541" s="1" t="s">
        <v>4252</v>
      </c>
      <c r="H1541" s="2"/>
      <c r="I1541" s="5">
        <f>XLOOKUP(K1541, pharmaceutical_index!B:B, pharmaceutical_index!A:A, "Not Found")</f>
      </c>
      <c r="J1541" s="1" t="s">
        <v>3218</v>
      </c>
      <c r="K1541" s="1" t="s">
        <v>3218</v>
      </c>
      <c r="L1541" s="1" t="s">
        <v>20</v>
      </c>
      <c r="M1541" s="1" t="s">
        <v>3218</v>
      </c>
      <c r="N1541" s="2"/>
      <c r="O1541" s="2"/>
      <c r="P1541" s="2"/>
      <c r="Q1541" s="2"/>
    </row>
    <row x14ac:dyDescent="0.25" r="1542" customHeight="1" ht="17.25">
      <c r="A1542" s="1" t="s">
        <v>5323</v>
      </c>
      <c r="B1542" s="1" t="s">
        <v>3220</v>
      </c>
      <c r="C1542" s="1" t="s">
        <v>3576</v>
      </c>
      <c r="D1542" s="1" t="s">
        <v>20</v>
      </c>
      <c r="E1542" s="1" t="s">
        <v>4250</v>
      </c>
      <c r="F1542" s="1" t="s">
        <v>4251</v>
      </c>
      <c r="G1542" s="1" t="s">
        <v>4252</v>
      </c>
      <c r="H1542" s="2"/>
      <c r="I1542" s="5">
        <f>XLOOKUP(K1542, pharmaceutical_index!B:B, pharmaceutical_index!A:A, "Not Found")</f>
      </c>
      <c r="J1542" s="1" t="s">
        <v>3220</v>
      </c>
      <c r="K1542" s="1" t="s">
        <v>3220</v>
      </c>
      <c r="L1542" s="1" t="s">
        <v>20</v>
      </c>
      <c r="M1542" s="1" t="s">
        <v>3220</v>
      </c>
      <c r="N1542" s="2"/>
      <c r="O1542" s="2"/>
      <c r="P1542" s="2"/>
      <c r="Q1542" s="2"/>
    </row>
    <row x14ac:dyDescent="0.25" r="1543" customHeight="1" ht="17.25">
      <c r="A1543" s="1" t="s">
        <v>5324</v>
      </c>
      <c r="B1543" s="1" t="s">
        <v>3222</v>
      </c>
      <c r="C1543" s="1" t="s">
        <v>3576</v>
      </c>
      <c r="D1543" s="1" t="s">
        <v>20</v>
      </c>
      <c r="E1543" s="1" t="s">
        <v>4250</v>
      </c>
      <c r="F1543" s="1" t="s">
        <v>4251</v>
      </c>
      <c r="G1543" s="1" t="s">
        <v>4252</v>
      </c>
      <c r="H1543" s="2"/>
      <c r="I1543" s="5">
        <f>XLOOKUP(K1543, pharmaceutical_index!B:B, pharmaceutical_index!A:A, "Not Found")</f>
      </c>
      <c r="J1543" s="1" t="s">
        <v>3222</v>
      </c>
      <c r="K1543" s="1" t="s">
        <v>3222</v>
      </c>
      <c r="L1543" s="1" t="s">
        <v>20</v>
      </c>
      <c r="M1543" s="1" t="s">
        <v>3222</v>
      </c>
      <c r="N1543" s="2"/>
      <c r="O1543" s="2"/>
      <c r="P1543" s="2"/>
      <c r="Q1543" s="2"/>
    </row>
    <row x14ac:dyDescent="0.25" r="1544" customHeight="1" ht="17.25">
      <c r="A1544" s="1" t="s">
        <v>5325</v>
      </c>
      <c r="B1544" s="1" t="s">
        <v>3224</v>
      </c>
      <c r="C1544" s="1" t="s">
        <v>3576</v>
      </c>
      <c r="D1544" s="1" t="s">
        <v>20</v>
      </c>
      <c r="E1544" s="1" t="s">
        <v>4250</v>
      </c>
      <c r="F1544" s="1" t="s">
        <v>4251</v>
      </c>
      <c r="G1544" s="1" t="s">
        <v>4252</v>
      </c>
      <c r="H1544" s="2"/>
      <c r="I1544" s="5">
        <f>XLOOKUP(K1544, pharmaceutical_index!B:B, pharmaceutical_index!A:A, "Not Found")</f>
      </c>
      <c r="J1544" s="1" t="s">
        <v>3224</v>
      </c>
      <c r="K1544" s="1" t="s">
        <v>3224</v>
      </c>
      <c r="L1544" s="1" t="s">
        <v>20</v>
      </c>
      <c r="M1544" s="1" t="s">
        <v>3224</v>
      </c>
      <c r="N1544" s="2"/>
      <c r="O1544" s="2"/>
      <c r="P1544" s="2"/>
      <c r="Q1544" s="2"/>
    </row>
    <row x14ac:dyDescent="0.25" r="1545" customHeight="1" ht="17.25">
      <c r="A1545" s="1" t="s">
        <v>5326</v>
      </c>
      <c r="B1545" s="1" t="s">
        <v>3226</v>
      </c>
      <c r="C1545" s="1" t="s">
        <v>3576</v>
      </c>
      <c r="D1545" s="1" t="s">
        <v>20</v>
      </c>
      <c r="E1545" s="1" t="s">
        <v>4250</v>
      </c>
      <c r="F1545" s="1" t="s">
        <v>4251</v>
      </c>
      <c r="G1545" s="1" t="s">
        <v>4252</v>
      </c>
      <c r="H1545" s="2"/>
      <c r="I1545" s="5">
        <f>XLOOKUP(K1545, pharmaceutical_index!B:B, pharmaceutical_index!A:A, "Not Found")</f>
      </c>
      <c r="J1545" s="1" t="s">
        <v>3226</v>
      </c>
      <c r="K1545" s="1" t="s">
        <v>3226</v>
      </c>
      <c r="L1545" s="1" t="s">
        <v>20</v>
      </c>
      <c r="M1545" s="1" t="s">
        <v>3226</v>
      </c>
      <c r="N1545" s="2"/>
      <c r="O1545" s="2"/>
      <c r="P1545" s="2"/>
      <c r="Q1545" s="2"/>
    </row>
    <row x14ac:dyDescent="0.25" r="1546" customHeight="1" ht="17.25">
      <c r="A1546" s="1" t="s">
        <v>5327</v>
      </c>
      <c r="B1546" s="1" t="s">
        <v>3228</v>
      </c>
      <c r="C1546" s="1" t="s">
        <v>3576</v>
      </c>
      <c r="D1546" s="1" t="s">
        <v>20</v>
      </c>
      <c r="E1546" s="1" t="s">
        <v>4250</v>
      </c>
      <c r="F1546" s="1" t="s">
        <v>4251</v>
      </c>
      <c r="G1546" s="1" t="s">
        <v>4252</v>
      </c>
      <c r="H1546" s="2"/>
      <c r="I1546" s="5">
        <f>XLOOKUP(K1546, pharmaceutical_index!B:B, pharmaceutical_index!A:A, "Not Found")</f>
      </c>
      <c r="J1546" s="1" t="s">
        <v>3228</v>
      </c>
      <c r="K1546" s="1" t="s">
        <v>3228</v>
      </c>
      <c r="L1546" s="1" t="s">
        <v>20</v>
      </c>
      <c r="M1546" s="1" t="s">
        <v>3228</v>
      </c>
      <c r="N1546" s="2"/>
      <c r="O1546" s="2"/>
      <c r="P1546" s="2"/>
      <c r="Q1546" s="2"/>
    </row>
    <row x14ac:dyDescent="0.25" r="1547" customHeight="1" ht="17.25">
      <c r="A1547" s="1" t="s">
        <v>5328</v>
      </c>
      <c r="B1547" s="1" t="s">
        <v>3230</v>
      </c>
      <c r="C1547" s="1" t="s">
        <v>3576</v>
      </c>
      <c r="D1547" s="1" t="s">
        <v>20</v>
      </c>
      <c r="E1547" s="1" t="s">
        <v>4250</v>
      </c>
      <c r="F1547" s="1" t="s">
        <v>4251</v>
      </c>
      <c r="G1547" s="1" t="s">
        <v>4252</v>
      </c>
      <c r="H1547" s="2"/>
      <c r="I1547" s="5">
        <f>XLOOKUP(K1547, pharmaceutical_index!B:B, pharmaceutical_index!A:A, "Not Found")</f>
      </c>
      <c r="J1547" s="1" t="s">
        <v>3230</v>
      </c>
      <c r="K1547" s="1" t="s">
        <v>3230</v>
      </c>
      <c r="L1547" s="1" t="s">
        <v>20</v>
      </c>
      <c r="M1547" s="1" t="s">
        <v>3230</v>
      </c>
      <c r="N1547" s="2"/>
      <c r="O1547" s="2"/>
      <c r="P1547" s="2"/>
      <c r="Q1547" s="2"/>
    </row>
    <row x14ac:dyDescent="0.25" r="1548" customHeight="1" ht="17.25">
      <c r="A1548" s="1" t="s">
        <v>5329</v>
      </c>
      <c r="B1548" s="1" t="s">
        <v>3232</v>
      </c>
      <c r="C1548" s="1" t="s">
        <v>3576</v>
      </c>
      <c r="D1548" s="1" t="s">
        <v>20</v>
      </c>
      <c r="E1548" s="1" t="s">
        <v>4250</v>
      </c>
      <c r="F1548" s="1" t="s">
        <v>4251</v>
      </c>
      <c r="G1548" s="1" t="s">
        <v>4252</v>
      </c>
      <c r="H1548" s="2"/>
      <c r="I1548" s="5">
        <f>XLOOKUP(K1548, pharmaceutical_index!B:B, pharmaceutical_index!A:A, "Not Found")</f>
      </c>
      <c r="J1548" s="1" t="s">
        <v>3232</v>
      </c>
      <c r="K1548" s="1" t="s">
        <v>3232</v>
      </c>
      <c r="L1548" s="1" t="s">
        <v>20</v>
      </c>
      <c r="M1548" s="1" t="s">
        <v>3232</v>
      </c>
      <c r="N1548" s="2"/>
      <c r="O1548" s="2"/>
      <c r="P1548" s="2"/>
      <c r="Q1548" s="2"/>
    </row>
    <row x14ac:dyDescent="0.25" r="1549" customHeight="1" ht="17.25">
      <c r="A1549" s="1" t="s">
        <v>5330</v>
      </c>
      <c r="B1549" s="1" t="s">
        <v>3234</v>
      </c>
      <c r="C1549" s="1" t="s">
        <v>3576</v>
      </c>
      <c r="D1549" s="1" t="s">
        <v>20</v>
      </c>
      <c r="E1549" s="1" t="s">
        <v>4250</v>
      </c>
      <c r="F1549" s="1" t="s">
        <v>4251</v>
      </c>
      <c r="G1549" s="1" t="s">
        <v>4252</v>
      </c>
      <c r="H1549" s="2"/>
      <c r="I1549" s="5">
        <f>XLOOKUP(K1549, pharmaceutical_index!B:B, pharmaceutical_index!A:A, "Not Found")</f>
      </c>
      <c r="J1549" s="1" t="s">
        <v>3234</v>
      </c>
      <c r="K1549" s="1" t="s">
        <v>3234</v>
      </c>
      <c r="L1549" s="1" t="s">
        <v>20</v>
      </c>
      <c r="M1549" s="1" t="s">
        <v>3234</v>
      </c>
      <c r="N1549" s="2"/>
      <c r="O1549" s="2"/>
      <c r="P1549" s="2"/>
      <c r="Q1549" s="2"/>
    </row>
    <row x14ac:dyDescent="0.25" r="1550" customHeight="1" ht="17.25">
      <c r="A1550" s="1" t="s">
        <v>5331</v>
      </c>
      <c r="B1550" s="1" t="s">
        <v>3236</v>
      </c>
      <c r="C1550" s="1" t="s">
        <v>3576</v>
      </c>
      <c r="D1550" s="1" t="s">
        <v>20</v>
      </c>
      <c r="E1550" s="1" t="s">
        <v>4250</v>
      </c>
      <c r="F1550" s="1" t="s">
        <v>4251</v>
      </c>
      <c r="G1550" s="1" t="s">
        <v>4252</v>
      </c>
      <c r="H1550" s="2"/>
      <c r="I1550" s="5">
        <f>XLOOKUP(K1550, pharmaceutical_index!B:B, pharmaceutical_index!A:A, "Not Found")</f>
      </c>
      <c r="J1550" s="1" t="s">
        <v>3236</v>
      </c>
      <c r="K1550" s="1" t="s">
        <v>3236</v>
      </c>
      <c r="L1550" s="1" t="s">
        <v>20</v>
      </c>
      <c r="M1550" s="1" t="s">
        <v>3236</v>
      </c>
      <c r="N1550" s="2"/>
      <c r="O1550" s="2"/>
      <c r="P1550" s="2"/>
      <c r="Q1550" s="2"/>
    </row>
    <row x14ac:dyDescent="0.25" r="1551" customHeight="1" ht="17.25">
      <c r="A1551" s="1" t="s">
        <v>5332</v>
      </c>
      <c r="B1551" s="1" t="s">
        <v>3238</v>
      </c>
      <c r="C1551" s="1" t="s">
        <v>3576</v>
      </c>
      <c r="D1551" s="1" t="s">
        <v>20</v>
      </c>
      <c r="E1551" s="1" t="s">
        <v>4250</v>
      </c>
      <c r="F1551" s="1" t="s">
        <v>4251</v>
      </c>
      <c r="G1551" s="1" t="s">
        <v>4252</v>
      </c>
      <c r="H1551" s="2"/>
      <c r="I1551" s="5">
        <f>XLOOKUP(K1551, pharmaceutical_index!B:B, pharmaceutical_index!A:A, "Not Found")</f>
      </c>
      <c r="J1551" s="1" t="s">
        <v>3238</v>
      </c>
      <c r="K1551" s="1" t="s">
        <v>3238</v>
      </c>
      <c r="L1551" s="1" t="s">
        <v>20</v>
      </c>
      <c r="M1551" s="1" t="s">
        <v>3238</v>
      </c>
      <c r="N1551" s="2"/>
      <c r="O1551" s="2"/>
      <c r="P1551" s="2"/>
      <c r="Q1551" s="2"/>
    </row>
    <row x14ac:dyDescent="0.25" r="1552" customHeight="1" ht="17.25">
      <c r="A1552" s="1" t="s">
        <v>5333</v>
      </c>
      <c r="B1552" s="1" t="s">
        <v>3240</v>
      </c>
      <c r="C1552" s="1" t="s">
        <v>3576</v>
      </c>
      <c r="D1552" s="1" t="s">
        <v>20</v>
      </c>
      <c r="E1552" s="1" t="s">
        <v>4250</v>
      </c>
      <c r="F1552" s="1" t="s">
        <v>4251</v>
      </c>
      <c r="G1552" s="1" t="s">
        <v>4252</v>
      </c>
      <c r="H1552" s="2"/>
      <c r="I1552" s="5">
        <f>XLOOKUP(K1552, pharmaceutical_index!B:B, pharmaceutical_index!A:A, "Not Found")</f>
      </c>
      <c r="J1552" s="1" t="s">
        <v>3240</v>
      </c>
      <c r="K1552" s="1" t="s">
        <v>3240</v>
      </c>
      <c r="L1552" s="1" t="s">
        <v>20</v>
      </c>
      <c r="M1552" s="1" t="s">
        <v>3240</v>
      </c>
      <c r="N1552" s="2"/>
      <c r="O1552" s="2"/>
      <c r="P1552" s="2"/>
      <c r="Q1552" s="2"/>
    </row>
    <row x14ac:dyDescent="0.25" r="1553" customHeight="1" ht="17.25">
      <c r="A1553" s="1" t="s">
        <v>5334</v>
      </c>
      <c r="B1553" s="1" t="s">
        <v>3242</v>
      </c>
      <c r="C1553" s="1" t="s">
        <v>3576</v>
      </c>
      <c r="D1553" s="1" t="s">
        <v>20</v>
      </c>
      <c r="E1553" s="1" t="s">
        <v>4250</v>
      </c>
      <c r="F1553" s="1" t="s">
        <v>4251</v>
      </c>
      <c r="G1553" s="1" t="s">
        <v>4252</v>
      </c>
      <c r="H1553" s="2"/>
      <c r="I1553" s="5">
        <f>XLOOKUP(K1553, pharmaceutical_index!B:B, pharmaceutical_index!A:A, "Not Found")</f>
      </c>
      <c r="J1553" s="1" t="s">
        <v>3242</v>
      </c>
      <c r="K1553" s="1" t="s">
        <v>3242</v>
      </c>
      <c r="L1553" s="1" t="s">
        <v>20</v>
      </c>
      <c r="M1553" s="1" t="s">
        <v>3242</v>
      </c>
      <c r="N1553" s="2"/>
      <c r="O1553" s="2"/>
      <c r="P1553" s="2"/>
      <c r="Q1553" s="2"/>
    </row>
    <row x14ac:dyDescent="0.25" r="1554" customHeight="1" ht="17.25">
      <c r="A1554" s="1" t="s">
        <v>5335</v>
      </c>
      <c r="B1554" s="1" t="s">
        <v>3244</v>
      </c>
      <c r="C1554" s="1" t="s">
        <v>3576</v>
      </c>
      <c r="D1554" s="1" t="s">
        <v>20</v>
      </c>
      <c r="E1554" s="1" t="s">
        <v>4250</v>
      </c>
      <c r="F1554" s="1" t="s">
        <v>4251</v>
      </c>
      <c r="G1554" s="1" t="s">
        <v>4252</v>
      </c>
      <c r="H1554" s="2"/>
      <c r="I1554" s="5">
        <f>XLOOKUP(K1554, pharmaceutical_index!B:B, pharmaceutical_index!A:A, "Not Found")</f>
      </c>
      <c r="J1554" s="1" t="s">
        <v>3244</v>
      </c>
      <c r="K1554" s="1" t="s">
        <v>3244</v>
      </c>
      <c r="L1554" s="1" t="s">
        <v>20</v>
      </c>
      <c r="M1554" s="1" t="s">
        <v>3244</v>
      </c>
      <c r="N1554" s="2"/>
      <c r="O1554" s="2"/>
      <c r="P1554" s="2"/>
      <c r="Q1554" s="2"/>
    </row>
    <row x14ac:dyDescent="0.25" r="1555" customHeight="1" ht="17.25">
      <c r="A1555" s="1" t="s">
        <v>5336</v>
      </c>
      <c r="B1555" s="1" t="s">
        <v>3246</v>
      </c>
      <c r="C1555" s="1" t="s">
        <v>3576</v>
      </c>
      <c r="D1555" s="1" t="s">
        <v>20</v>
      </c>
      <c r="E1555" s="1" t="s">
        <v>4250</v>
      </c>
      <c r="F1555" s="1" t="s">
        <v>4251</v>
      </c>
      <c r="G1555" s="1" t="s">
        <v>4252</v>
      </c>
      <c r="H1555" s="2"/>
      <c r="I1555" s="5">
        <f>XLOOKUP(K1555, pharmaceutical_index!B:B, pharmaceutical_index!A:A, "Not Found")</f>
      </c>
      <c r="J1555" s="1" t="s">
        <v>3246</v>
      </c>
      <c r="K1555" s="1" t="s">
        <v>3246</v>
      </c>
      <c r="L1555" s="1" t="s">
        <v>20</v>
      </c>
      <c r="M1555" s="1" t="s">
        <v>3246</v>
      </c>
      <c r="N1555" s="2"/>
      <c r="O1555" s="2"/>
      <c r="P1555" s="2"/>
      <c r="Q1555" s="2"/>
    </row>
    <row x14ac:dyDescent="0.25" r="1556" customHeight="1" ht="17.25">
      <c r="A1556" s="1" t="s">
        <v>5337</v>
      </c>
      <c r="B1556" s="1" t="s">
        <v>3248</v>
      </c>
      <c r="C1556" s="1" t="s">
        <v>3576</v>
      </c>
      <c r="D1556" s="1" t="s">
        <v>20</v>
      </c>
      <c r="E1556" s="1" t="s">
        <v>4250</v>
      </c>
      <c r="F1556" s="1" t="s">
        <v>4251</v>
      </c>
      <c r="G1556" s="1" t="s">
        <v>4252</v>
      </c>
      <c r="H1556" s="2"/>
      <c r="I1556" s="5">
        <f>XLOOKUP(K1556, pharmaceutical_index!B:B, pharmaceutical_index!A:A, "Not Found")</f>
      </c>
      <c r="J1556" s="1" t="s">
        <v>3248</v>
      </c>
      <c r="K1556" s="1" t="s">
        <v>3248</v>
      </c>
      <c r="L1556" s="1" t="s">
        <v>20</v>
      </c>
      <c r="M1556" s="1" t="s">
        <v>3248</v>
      </c>
      <c r="N1556" s="2"/>
      <c r="O1556" s="2"/>
      <c r="P1556" s="2"/>
      <c r="Q1556" s="2"/>
    </row>
    <row x14ac:dyDescent="0.25" r="1557" customHeight="1" ht="17.25">
      <c r="A1557" s="1" t="s">
        <v>5338</v>
      </c>
      <c r="B1557" s="1" t="s">
        <v>3250</v>
      </c>
      <c r="C1557" s="1" t="s">
        <v>3576</v>
      </c>
      <c r="D1557" s="1" t="s">
        <v>20</v>
      </c>
      <c r="E1557" s="1" t="s">
        <v>4250</v>
      </c>
      <c r="F1557" s="1" t="s">
        <v>4251</v>
      </c>
      <c r="G1557" s="1" t="s">
        <v>4252</v>
      </c>
      <c r="H1557" s="2"/>
      <c r="I1557" s="5">
        <f>XLOOKUP(K1557, pharmaceutical_index!B:B, pharmaceutical_index!A:A, "Not Found")</f>
      </c>
      <c r="J1557" s="1" t="s">
        <v>3250</v>
      </c>
      <c r="K1557" s="1" t="s">
        <v>3250</v>
      </c>
      <c r="L1557" s="1" t="s">
        <v>20</v>
      </c>
      <c r="M1557" s="1" t="s">
        <v>3250</v>
      </c>
      <c r="N1557" s="2"/>
      <c r="O1557" s="2"/>
      <c r="P1557" s="2"/>
      <c r="Q1557" s="2"/>
    </row>
    <row x14ac:dyDescent="0.25" r="1558" customHeight="1" ht="17.25">
      <c r="A1558" s="1" t="s">
        <v>5339</v>
      </c>
      <c r="B1558" s="1" t="s">
        <v>3252</v>
      </c>
      <c r="C1558" s="1" t="s">
        <v>3576</v>
      </c>
      <c r="D1558" s="1" t="s">
        <v>20</v>
      </c>
      <c r="E1558" s="1" t="s">
        <v>4250</v>
      </c>
      <c r="F1558" s="1" t="s">
        <v>4251</v>
      </c>
      <c r="G1558" s="1" t="s">
        <v>4252</v>
      </c>
      <c r="H1558" s="2"/>
      <c r="I1558" s="5">
        <f>XLOOKUP(K1558, pharmaceutical_index!B:B, pharmaceutical_index!A:A, "Not Found")</f>
      </c>
      <c r="J1558" s="1" t="s">
        <v>3252</v>
      </c>
      <c r="K1558" s="1" t="s">
        <v>3252</v>
      </c>
      <c r="L1558" s="1" t="s">
        <v>20</v>
      </c>
      <c r="M1558" s="1" t="s">
        <v>3252</v>
      </c>
      <c r="N1558" s="2"/>
      <c r="O1558" s="2"/>
      <c r="P1558" s="2"/>
      <c r="Q1558" s="2"/>
    </row>
    <row x14ac:dyDescent="0.25" r="1559" customHeight="1" ht="17.25">
      <c r="A1559" s="1" t="s">
        <v>5340</v>
      </c>
      <c r="B1559" s="1" t="s">
        <v>3254</v>
      </c>
      <c r="C1559" s="1" t="s">
        <v>3576</v>
      </c>
      <c r="D1559" s="1" t="s">
        <v>20</v>
      </c>
      <c r="E1559" s="1" t="s">
        <v>4250</v>
      </c>
      <c r="F1559" s="1" t="s">
        <v>4251</v>
      </c>
      <c r="G1559" s="1" t="s">
        <v>4252</v>
      </c>
      <c r="H1559" s="2"/>
      <c r="I1559" s="5">
        <f>XLOOKUP(K1559, pharmaceutical_index!B:B, pharmaceutical_index!A:A, "Not Found")</f>
      </c>
      <c r="J1559" s="1" t="s">
        <v>3254</v>
      </c>
      <c r="K1559" s="1" t="s">
        <v>3254</v>
      </c>
      <c r="L1559" s="1" t="s">
        <v>20</v>
      </c>
      <c r="M1559" s="1" t="s">
        <v>3254</v>
      </c>
      <c r="N1559" s="2"/>
      <c r="O1559" s="2"/>
      <c r="P1559" s="2"/>
      <c r="Q1559" s="2"/>
    </row>
    <row x14ac:dyDescent="0.25" r="1560" customHeight="1" ht="17.25">
      <c r="A1560" s="1" t="s">
        <v>5341</v>
      </c>
      <c r="B1560" s="1" t="s">
        <v>3256</v>
      </c>
      <c r="C1560" s="1" t="s">
        <v>3576</v>
      </c>
      <c r="D1560" s="1" t="s">
        <v>20</v>
      </c>
      <c r="E1560" s="1" t="s">
        <v>4250</v>
      </c>
      <c r="F1560" s="1" t="s">
        <v>4251</v>
      </c>
      <c r="G1560" s="1" t="s">
        <v>4252</v>
      </c>
      <c r="H1560" s="2"/>
      <c r="I1560" s="5">
        <f>XLOOKUP(K1560, pharmaceutical_index!B:B, pharmaceutical_index!A:A, "Not Found")</f>
      </c>
      <c r="J1560" s="1" t="s">
        <v>3256</v>
      </c>
      <c r="K1560" s="1" t="s">
        <v>3256</v>
      </c>
      <c r="L1560" s="1" t="s">
        <v>20</v>
      </c>
      <c r="M1560" s="1" t="s">
        <v>3256</v>
      </c>
      <c r="N1560" s="2"/>
      <c r="O1560" s="2"/>
      <c r="P1560" s="2"/>
      <c r="Q1560" s="2"/>
    </row>
    <row x14ac:dyDescent="0.25" r="1561" customHeight="1" ht="17.25">
      <c r="A1561" s="1" t="s">
        <v>5342</v>
      </c>
      <c r="B1561" s="1" t="s">
        <v>3258</v>
      </c>
      <c r="C1561" s="1" t="s">
        <v>3576</v>
      </c>
      <c r="D1561" s="1" t="s">
        <v>20</v>
      </c>
      <c r="E1561" s="1" t="s">
        <v>4250</v>
      </c>
      <c r="F1561" s="1" t="s">
        <v>4251</v>
      </c>
      <c r="G1561" s="1" t="s">
        <v>4252</v>
      </c>
      <c r="H1561" s="2"/>
      <c r="I1561" s="5">
        <f>XLOOKUP(K1561, pharmaceutical_index!B:B, pharmaceutical_index!A:A, "Not Found")</f>
      </c>
      <c r="J1561" s="1" t="s">
        <v>3258</v>
      </c>
      <c r="K1561" s="1" t="s">
        <v>3258</v>
      </c>
      <c r="L1561" s="1" t="s">
        <v>20</v>
      </c>
      <c r="M1561" s="1" t="s">
        <v>3258</v>
      </c>
      <c r="N1561" s="2"/>
      <c r="O1561" s="2"/>
      <c r="P1561" s="2"/>
      <c r="Q1561" s="2"/>
    </row>
    <row x14ac:dyDescent="0.25" r="1562" customHeight="1" ht="17.25">
      <c r="A1562" s="1" t="s">
        <v>5343</v>
      </c>
      <c r="B1562" s="1" t="s">
        <v>3260</v>
      </c>
      <c r="C1562" s="1" t="s">
        <v>3576</v>
      </c>
      <c r="D1562" s="1" t="s">
        <v>20</v>
      </c>
      <c r="E1562" s="1" t="s">
        <v>4250</v>
      </c>
      <c r="F1562" s="1" t="s">
        <v>4251</v>
      </c>
      <c r="G1562" s="1" t="s">
        <v>4252</v>
      </c>
      <c r="H1562" s="2"/>
      <c r="I1562" s="5">
        <f>XLOOKUP(K1562, pharmaceutical_index!B:B, pharmaceutical_index!A:A, "Not Found")</f>
      </c>
      <c r="J1562" s="1" t="s">
        <v>3260</v>
      </c>
      <c r="K1562" s="1" t="s">
        <v>3260</v>
      </c>
      <c r="L1562" s="1" t="s">
        <v>20</v>
      </c>
      <c r="M1562" s="1" t="s">
        <v>3260</v>
      </c>
      <c r="N1562" s="2"/>
      <c r="O1562" s="2"/>
      <c r="P1562" s="2"/>
      <c r="Q1562" s="2"/>
    </row>
    <row x14ac:dyDescent="0.25" r="1563" customHeight="1" ht="17.25">
      <c r="A1563" s="1" t="s">
        <v>5344</v>
      </c>
      <c r="B1563" s="1" t="s">
        <v>3262</v>
      </c>
      <c r="C1563" s="1" t="s">
        <v>3576</v>
      </c>
      <c r="D1563" s="1" t="s">
        <v>20</v>
      </c>
      <c r="E1563" s="1" t="s">
        <v>4250</v>
      </c>
      <c r="F1563" s="1" t="s">
        <v>4251</v>
      </c>
      <c r="G1563" s="1" t="s">
        <v>4252</v>
      </c>
      <c r="H1563" s="2"/>
      <c r="I1563" s="5">
        <f>XLOOKUP(K1563, pharmaceutical_index!B:B, pharmaceutical_index!A:A, "Not Found")</f>
      </c>
      <c r="J1563" s="1" t="s">
        <v>3262</v>
      </c>
      <c r="K1563" s="1" t="s">
        <v>3262</v>
      </c>
      <c r="L1563" s="1" t="s">
        <v>20</v>
      </c>
      <c r="M1563" s="1" t="s">
        <v>3262</v>
      </c>
      <c r="N1563" s="2"/>
      <c r="O1563" s="2"/>
      <c r="P1563" s="2"/>
      <c r="Q1563" s="2"/>
    </row>
    <row x14ac:dyDescent="0.25" r="1564" customHeight="1" ht="17.25">
      <c r="A1564" s="1" t="s">
        <v>5345</v>
      </c>
      <c r="B1564" s="1" t="s">
        <v>3264</v>
      </c>
      <c r="C1564" s="1" t="s">
        <v>3576</v>
      </c>
      <c r="D1564" s="1" t="s">
        <v>20</v>
      </c>
      <c r="E1564" s="1" t="s">
        <v>4250</v>
      </c>
      <c r="F1564" s="1" t="s">
        <v>4251</v>
      </c>
      <c r="G1564" s="1" t="s">
        <v>4252</v>
      </c>
      <c r="H1564" s="2"/>
      <c r="I1564" s="5">
        <f>XLOOKUP(K1564, pharmaceutical_index!B:B, pharmaceutical_index!A:A, "Not Found")</f>
      </c>
      <c r="J1564" s="1" t="s">
        <v>3264</v>
      </c>
      <c r="K1564" s="1" t="s">
        <v>3264</v>
      </c>
      <c r="L1564" s="1" t="s">
        <v>20</v>
      </c>
      <c r="M1564" s="1" t="s">
        <v>3264</v>
      </c>
      <c r="N1564" s="2"/>
      <c r="O1564" s="2"/>
      <c r="P1564" s="2"/>
      <c r="Q1564" s="2"/>
    </row>
    <row x14ac:dyDescent="0.25" r="1565" customHeight="1" ht="17.25">
      <c r="A1565" s="1" t="s">
        <v>5346</v>
      </c>
      <c r="B1565" s="1" t="s">
        <v>3266</v>
      </c>
      <c r="C1565" s="1" t="s">
        <v>3576</v>
      </c>
      <c r="D1565" s="1" t="s">
        <v>20</v>
      </c>
      <c r="E1565" s="1" t="s">
        <v>4250</v>
      </c>
      <c r="F1565" s="1" t="s">
        <v>4251</v>
      </c>
      <c r="G1565" s="1" t="s">
        <v>4252</v>
      </c>
      <c r="H1565" s="2"/>
      <c r="I1565" s="5">
        <f>XLOOKUP(K1565, pharmaceutical_index!B:B, pharmaceutical_index!A:A, "Not Found")</f>
      </c>
      <c r="J1565" s="1" t="s">
        <v>3266</v>
      </c>
      <c r="K1565" s="1" t="s">
        <v>3266</v>
      </c>
      <c r="L1565" s="1" t="s">
        <v>20</v>
      </c>
      <c r="M1565" s="1" t="s">
        <v>3266</v>
      </c>
      <c r="N1565" s="2"/>
      <c r="O1565" s="2"/>
      <c r="P1565" s="2"/>
      <c r="Q1565" s="2"/>
    </row>
    <row x14ac:dyDescent="0.25" r="1566" customHeight="1" ht="17.25">
      <c r="A1566" s="1" t="s">
        <v>5347</v>
      </c>
      <c r="B1566" s="1" t="s">
        <v>3268</v>
      </c>
      <c r="C1566" s="1" t="s">
        <v>3576</v>
      </c>
      <c r="D1566" s="1" t="s">
        <v>20</v>
      </c>
      <c r="E1566" s="1" t="s">
        <v>4250</v>
      </c>
      <c r="F1566" s="1" t="s">
        <v>4251</v>
      </c>
      <c r="G1566" s="1" t="s">
        <v>4252</v>
      </c>
      <c r="H1566" s="2"/>
      <c r="I1566" s="5">
        <f>XLOOKUP(K1566, pharmaceutical_index!B:B, pharmaceutical_index!A:A, "Not Found")</f>
      </c>
      <c r="J1566" s="1" t="s">
        <v>3268</v>
      </c>
      <c r="K1566" s="1" t="s">
        <v>3268</v>
      </c>
      <c r="L1566" s="1" t="s">
        <v>20</v>
      </c>
      <c r="M1566" s="1" t="s">
        <v>3268</v>
      </c>
      <c r="N1566" s="2"/>
      <c r="O1566" s="2"/>
      <c r="P1566" s="2"/>
      <c r="Q1566" s="2"/>
    </row>
    <row x14ac:dyDescent="0.25" r="1567" customHeight="1" ht="17.25">
      <c r="A1567" s="1" t="s">
        <v>5348</v>
      </c>
      <c r="B1567" s="1" t="s">
        <v>3270</v>
      </c>
      <c r="C1567" s="1" t="s">
        <v>3576</v>
      </c>
      <c r="D1567" s="1" t="s">
        <v>20</v>
      </c>
      <c r="E1567" s="1" t="s">
        <v>4250</v>
      </c>
      <c r="F1567" s="1" t="s">
        <v>4251</v>
      </c>
      <c r="G1567" s="1" t="s">
        <v>4252</v>
      </c>
      <c r="H1567" s="2"/>
      <c r="I1567" s="5">
        <f>XLOOKUP(K1567, pharmaceutical_index!B:B, pharmaceutical_index!A:A, "Not Found")</f>
      </c>
      <c r="J1567" s="1" t="s">
        <v>3270</v>
      </c>
      <c r="K1567" s="1" t="s">
        <v>3270</v>
      </c>
      <c r="L1567" s="1" t="s">
        <v>20</v>
      </c>
      <c r="M1567" s="1" t="s">
        <v>3270</v>
      </c>
      <c r="N1567" s="2"/>
      <c r="O1567" s="2"/>
      <c r="P1567" s="2"/>
      <c r="Q1567" s="2"/>
    </row>
    <row x14ac:dyDescent="0.25" r="1568" customHeight="1" ht="17.25">
      <c r="A1568" s="1" t="s">
        <v>5349</v>
      </c>
      <c r="B1568" s="1" t="s">
        <v>3272</v>
      </c>
      <c r="C1568" s="1" t="s">
        <v>3576</v>
      </c>
      <c r="D1568" s="1" t="s">
        <v>20</v>
      </c>
      <c r="E1568" s="1" t="s">
        <v>4250</v>
      </c>
      <c r="F1568" s="1" t="s">
        <v>4251</v>
      </c>
      <c r="G1568" s="1" t="s">
        <v>4252</v>
      </c>
      <c r="H1568" s="2"/>
      <c r="I1568" s="5">
        <f>XLOOKUP(K1568, pharmaceutical_index!B:B, pharmaceutical_index!A:A, "Not Found")</f>
      </c>
      <c r="J1568" s="1" t="s">
        <v>3272</v>
      </c>
      <c r="K1568" s="1" t="s">
        <v>3272</v>
      </c>
      <c r="L1568" s="1" t="s">
        <v>20</v>
      </c>
      <c r="M1568" s="1" t="s">
        <v>3272</v>
      </c>
      <c r="N1568" s="2"/>
      <c r="O1568" s="2"/>
      <c r="P1568" s="2"/>
      <c r="Q1568" s="2"/>
    </row>
    <row x14ac:dyDescent="0.25" r="1569" customHeight="1" ht="17.25">
      <c r="A1569" s="1" t="s">
        <v>5350</v>
      </c>
      <c r="B1569" s="1" t="s">
        <v>3274</v>
      </c>
      <c r="C1569" s="1" t="s">
        <v>3576</v>
      </c>
      <c r="D1569" s="1" t="s">
        <v>20</v>
      </c>
      <c r="E1569" s="1" t="s">
        <v>4250</v>
      </c>
      <c r="F1569" s="1" t="s">
        <v>4251</v>
      </c>
      <c r="G1569" s="1" t="s">
        <v>4252</v>
      </c>
      <c r="H1569" s="2"/>
      <c r="I1569" s="5">
        <f>XLOOKUP(K1569, pharmaceutical_index!B:B, pharmaceutical_index!A:A, "Not Found")</f>
      </c>
      <c r="J1569" s="1" t="s">
        <v>3274</v>
      </c>
      <c r="K1569" s="1" t="s">
        <v>3274</v>
      </c>
      <c r="L1569" s="1" t="s">
        <v>20</v>
      </c>
      <c r="M1569" s="1" t="s">
        <v>3274</v>
      </c>
      <c r="N1569" s="2"/>
      <c r="O1569" s="2"/>
      <c r="P1569" s="2"/>
      <c r="Q1569" s="2"/>
    </row>
    <row x14ac:dyDescent="0.25" r="1570" customHeight="1" ht="17.25">
      <c r="A1570" s="1" t="s">
        <v>5351</v>
      </c>
      <c r="B1570" s="1" t="s">
        <v>3276</v>
      </c>
      <c r="C1570" s="1" t="s">
        <v>3576</v>
      </c>
      <c r="D1570" s="1" t="s">
        <v>20</v>
      </c>
      <c r="E1570" s="1" t="s">
        <v>4250</v>
      </c>
      <c r="F1570" s="1" t="s">
        <v>4251</v>
      </c>
      <c r="G1570" s="1" t="s">
        <v>4252</v>
      </c>
      <c r="H1570" s="2"/>
      <c r="I1570" s="5">
        <f>XLOOKUP(K1570, pharmaceutical_index!B:B, pharmaceutical_index!A:A, "Not Found")</f>
      </c>
      <c r="J1570" s="1" t="s">
        <v>3276</v>
      </c>
      <c r="K1570" s="1" t="s">
        <v>3276</v>
      </c>
      <c r="L1570" s="1" t="s">
        <v>20</v>
      </c>
      <c r="M1570" s="1" t="s">
        <v>3276</v>
      </c>
      <c r="N1570" s="2"/>
      <c r="O1570" s="2"/>
      <c r="P1570" s="2"/>
      <c r="Q1570" s="2"/>
    </row>
    <row x14ac:dyDescent="0.25" r="1571" customHeight="1" ht="17.25">
      <c r="A1571" s="1" t="s">
        <v>5352</v>
      </c>
      <c r="B1571" s="1" t="s">
        <v>3278</v>
      </c>
      <c r="C1571" s="1" t="s">
        <v>3576</v>
      </c>
      <c r="D1571" s="1" t="s">
        <v>20</v>
      </c>
      <c r="E1571" s="1" t="s">
        <v>4250</v>
      </c>
      <c r="F1571" s="1" t="s">
        <v>4251</v>
      </c>
      <c r="G1571" s="1" t="s">
        <v>4252</v>
      </c>
      <c r="H1571" s="2"/>
      <c r="I1571" s="5">
        <f>XLOOKUP(K1571, pharmaceutical_index!B:B, pharmaceutical_index!A:A, "Not Found")</f>
      </c>
      <c r="J1571" s="1" t="s">
        <v>3278</v>
      </c>
      <c r="K1571" s="1" t="s">
        <v>3278</v>
      </c>
      <c r="L1571" s="1" t="s">
        <v>20</v>
      </c>
      <c r="M1571" s="1" t="s">
        <v>3278</v>
      </c>
      <c r="N1571" s="2"/>
      <c r="O1571" s="2"/>
      <c r="P1571" s="2"/>
      <c r="Q1571" s="2"/>
    </row>
    <row x14ac:dyDescent="0.25" r="1572" customHeight="1" ht="17.25">
      <c r="A1572" s="1" t="s">
        <v>5353</v>
      </c>
      <c r="B1572" s="1" t="s">
        <v>3280</v>
      </c>
      <c r="C1572" s="1" t="s">
        <v>3576</v>
      </c>
      <c r="D1572" s="1" t="s">
        <v>20</v>
      </c>
      <c r="E1572" s="1" t="s">
        <v>4250</v>
      </c>
      <c r="F1572" s="1" t="s">
        <v>4251</v>
      </c>
      <c r="G1572" s="1" t="s">
        <v>4252</v>
      </c>
      <c r="H1572" s="2"/>
      <c r="I1572" s="5">
        <f>XLOOKUP(K1572, pharmaceutical_index!B:B, pharmaceutical_index!A:A, "Not Found")</f>
      </c>
      <c r="J1572" s="1" t="s">
        <v>3280</v>
      </c>
      <c r="K1572" s="1" t="s">
        <v>3280</v>
      </c>
      <c r="L1572" s="1" t="s">
        <v>20</v>
      </c>
      <c r="M1572" s="1" t="s">
        <v>3280</v>
      </c>
      <c r="N1572" s="2"/>
      <c r="O1572" s="2"/>
      <c r="P1572" s="2"/>
      <c r="Q1572" s="2"/>
    </row>
    <row x14ac:dyDescent="0.25" r="1573" customHeight="1" ht="17.25">
      <c r="A1573" s="1" t="s">
        <v>5354</v>
      </c>
      <c r="B1573" s="1" t="s">
        <v>3282</v>
      </c>
      <c r="C1573" s="1" t="s">
        <v>3576</v>
      </c>
      <c r="D1573" s="1" t="s">
        <v>20</v>
      </c>
      <c r="E1573" s="1" t="s">
        <v>4250</v>
      </c>
      <c r="F1573" s="1" t="s">
        <v>4251</v>
      </c>
      <c r="G1573" s="1" t="s">
        <v>4252</v>
      </c>
      <c r="H1573" s="2"/>
      <c r="I1573" s="5">
        <f>XLOOKUP(K1573, pharmaceutical_index!B:B, pharmaceutical_index!A:A, "Not Found")</f>
      </c>
      <c r="J1573" s="1" t="s">
        <v>3282</v>
      </c>
      <c r="K1573" s="1" t="s">
        <v>3282</v>
      </c>
      <c r="L1573" s="1" t="s">
        <v>20</v>
      </c>
      <c r="M1573" s="1" t="s">
        <v>3282</v>
      </c>
      <c r="N1573" s="2"/>
      <c r="O1573" s="2"/>
      <c r="P1573" s="2"/>
      <c r="Q1573" s="2"/>
    </row>
    <row x14ac:dyDescent="0.25" r="1574" customHeight="1" ht="17.25">
      <c r="A1574" s="1" t="s">
        <v>5355</v>
      </c>
      <c r="B1574" s="1" t="s">
        <v>3284</v>
      </c>
      <c r="C1574" s="1" t="s">
        <v>3576</v>
      </c>
      <c r="D1574" s="1" t="s">
        <v>20</v>
      </c>
      <c r="E1574" s="1" t="s">
        <v>4250</v>
      </c>
      <c r="F1574" s="1" t="s">
        <v>4251</v>
      </c>
      <c r="G1574" s="1" t="s">
        <v>4252</v>
      </c>
      <c r="H1574" s="2"/>
      <c r="I1574" s="5">
        <f>XLOOKUP(K1574, pharmaceutical_index!B:B, pharmaceutical_index!A:A, "Not Found")</f>
      </c>
      <c r="J1574" s="1" t="s">
        <v>3284</v>
      </c>
      <c r="K1574" s="1" t="s">
        <v>3284</v>
      </c>
      <c r="L1574" s="1" t="s">
        <v>20</v>
      </c>
      <c r="M1574" s="1" t="s">
        <v>3284</v>
      </c>
      <c r="N1574" s="2"/>
      <c r="O1574" s="2"/>
      <c r="P1574" s="2"/>
      <c r="Q1574" s="2"/>
    </row>
    <row x14ac:dyDescent="0.25" r="1575" customHeight="1" ht="17.25">
      <c r="A1575" s="1" t="s">
        <v>5356</v>
      </c>
      <c r="B1575" s="1" t="s">
        <v>3286</v>
      </c>
      <c r="C1575" s="1" t="s">
        <v>3576</v>
      </c>
      <c r="D1575" s="1" t="s">
        <v>20</v>
      </c>
      <c r="E1575" s="1" t="s">
        <v>4250</v>
      </c>
      <c r="F1575" s="1" t="s">
        <v>4251</v>
      </c>
      <c r="G1575" s="1" t="s">
        <v>4252</v>
      </c>
      <c r="H1575" s="2"/>
      <c r="I1575" s="5">
        <f>XLOOKUP(K1575, pharmaceutical_index!B:B, pharmaceutical_index!A:A, "Not Found")</f>
      </c>
      <c r="J1575" s="1" t="s">
        <v>3286</v>
      </c>
      <c r="K1575" s="1" t="s">
        <v>3286</v>
      </c>
      <c r="L1575" s="1" t="s">
        <v>20</v>
      </c>
      <c r="M1575" s="1" t="s">
        <v>3286</v>
      </c>
      <c r="N1575" s="2"/>
      <c r="O1575" s="2"/>
      <c r="P1575" s="2"/>
      <c r="Q1575" s="2"/>
    </row>
    <row x14ac:dyDescent="0.25" r="1576" customHeight="1" ht="17.25">
      <c r="A1576" s="1" t="s">
        <v>5357</v>
      </c>
      <c r="B1576" s="1" t="s">
        <v>3288</v>
      </c>
      <c r="C1576" s="1" t="s">
        <v>3576</v>
      </c>
      <c r="D1576" s="1" t="s">
        <v>20</v>
      </c>
      <c r="E1576" s="1" t="s">
        <v>4250</v>
      </c>
      <c r="F1576" s="1" t="s">
        <v>4251</v>
      </c>
      <c r="G1576" s="1" t="s">
        <v>4252</v>
      </c>
      <c r="H1576" s="2"/>
      <c r="I1576" s="5">
        <f>XLOOKUP(K1576, pharmaceutical_index!B:B, pharmaceutical_index!A:A, "Not Found")</f>
      </c>
      <c r="J1576" s="1" t="s">
        <v>3288</v>
      </c>
      <c r="K1576" s="1" t="s">
        <v>3288</v>
      </c>
      <c r="L1576" s="1" t="s">
        <v>20</v>
      </c>
      <c r="M1576" s="1" t="s">
        <v>3288</v>
      </c>
      <c r="N1576" s="2"/>
      <c r="O1576" s="2"/>
      <c r="P1576" s="2"/>
      <c r="Q1576" s="2"/>
    </row>
    <row x14ac:dyDescent="0.25" r="1577" customHeight="1" ht="17.25">
      <c r="A1577" s="1" t="s">
        <v>5358</v>
      </c>
      <c r="B1577" s="1" t="s">
        <v>3290</v>
      </c>
      <c r="C1577" s="1" t="s">
        <v>3576</v>
      </c>
      <c r="D1577" s="1" t="s">
        <v>20</v>
      </c>
      <c r="E1577" s="1" t="s">
        <v>4250</v>
      </c>
      <c r="F1577" s="1" t="s">
        <v>4251</v>
      </c>
      <c r="G1577" s="1" t="s">
        <v>4252</v>
      </c>
      <c r="H1577" s="2"/>
      <c r="I1577" s="5">
        <f>XLOOKUP(K1577, pharmaceutical_index!B:B, pharmaceutical_index!A:A, "Not Found")</f>
      </c>
      <c r="J1577" s="1" t="s">
        <v>3290</v>
      </c>
      <c r="K1577" s="1" t="s">
        <v>3290</v>
      </c>
      <c r="L1577" s="1" t="s">
        <v>20</v>
      </c>
      <c r="M1577" s="1" t="s">
        <v>3290</v>
      </c>
      <c r="N1577" s="2"/>
      <c r="O1577" s="2"/>
      <c r="P1577" s="2"/>
      <c r="Q1577" s="2"/>
    </row>
    <row x14ac:dyDescent="0.25" r="1578" customHeight="1" ht="17.25">
      <c r="A1578" s="1" t="s">
        <v>5359</v>
      </c>
      <c r="B1578" s="1" t="s">
        <v>3292</v>
      </c>
      <c r="C1578" s="1" t="s">
        <v>3576</v>
      </c>
      <c r="D1578" s="1" t="s">
        <v>20</v>
      </c>
      <c r="E1578" s="1" t="s">
        <v>4250</v>
      </c>
      <c r="F1578" s="1" t="s">
        <v>4251</v>
      </c>
      <c r="G1578" s="1" t="s">
        <v>4252</v>
      </c>
      <c r="H1578" s="2"/>
      <c r="I1578" s="5">
        <f>XLOOKUP(K1578, pharmaceutical_index!B:B, pharmaceutical_index!A:A, "Not Found")</f>
      </c>
      <c r="J1578" s="1" t="s">
        <v>3292</v>
      </c>
      <c r="K1578" s="1" t="s">
        <v>3292</v>
      </c>
      <c r="L1578" s="1" t="s">
        <v>20</v>
      </c>
      <c r="M1578" s="1" t="s">
        <v>3292</v>
      </c>
      <c r="N1578" s="2"/>
      <c r="O1578" s="2"/>
      <c r="P1578" s="2"/>
      <c r="Q1578" s="2"/>
    </row>
    <row x14ac:dyDescent="0.25" r="1579" customHeight="1" ht="17.25">
      <c r="A1579" s="1" t="s">
        <v>5360</v>
      </c>
      <c r="B1579" s="1" t="s">
        <v>3294</v>
      </c>
      <c r="C1579" s="1" t="s">
        <v>3576</v>
      </c>
      <c r="D1579" s="1" t="s">
        <v>20</v>
      </c>
      <c r="E1579" s="1" t="s">
        <v>4250</v>
      </c>
      <c r="F1579" s="1" t="s">
        <v>4251</v>
      </c>
      <c r="G1579" s="1" t="s">
        <v>4252</v>
      </c>
      <c r="H1579" s="2"/>
      <c r="I1579" s="5">
        <f>XLOOKUP(K1579, pharmaceutical_index!B:B, pharmaceutical_index!A:A, "Not Found")</f>
      </c>
      <c r="J1579" s="1" t="s">
        <v>3294</v>
      </c>
      <c r="K1579" s="1" t="s">
        <v>3294</v>
      </c>
      <c r="L1579" s="1" t="s">
        <v>20</v>
      </c>
      <c r="M1579" s="1" t="s">
        <v>3294</v>
      </c>
      <c r="N1579" s="2"/>
      <c r="O1579" s="2"/>
      <c r="P1579" s="2"/>
      <c r="Q1579" s="2"/>
    </row>
    <row x14ac:dyDescent="0.25" r="1580" customHeight="1" ht="17.25">
      <c r="A1580" s="1" t="s">
        <v>5361</v>
      </c>
      <c r="B1580" s="1" t="s">
        <v>3296</v>
      </c>
      <c r="C1580" s="1" t="s">
        <v>3576</v>
      </c>
      <c r="D1580" s="1" t="s">
        <v>20</v>
      </c>
      <c r="E1580" s="1" t="s">
        <v>4250</v>
      </c>
      <c r="F1580" s="1" t="s">
        <v>4251</v>
      </c>
      <c r="G1580" s="1" t="s">
        <v>4252</v>
      </c>
      <c r="H1580" s="2"/>
      <c r="I1580" s="5">
        <f>XLOOKUP(K1580, pharmaceutical_index!B:B, pharmaceutical_index!A:A, "Not Found")</f>
      </c>
      <c r="J1580" s="1" t="s">
        <v>3296</v>
      </c>
      <c r="K1580" s="1" t="s">
        <v>3296</v>
      </c>
      <c r="L1580" s="1" t="s">
        <v>20</v>
      </c>
      <c r="M1580" s="1" t="s">
        <v>3296</v>
      </c>
      <c r="N1580" s="2"/>
      <c r="O1580" s="2"/>
      <c r="P1580" s="2"/>
      <c r="Q1580" s="2"/>
    </row>
    <row x14ac:dyDescent="0.25" r="1581" customHeight="1" ht="17.25">
      <c r="A1581" s="1" t="s">
        <v>5362</v>
      </c>
      <c r="B1581" s="1" t="s">
        <v>3298</v>
      </c>
      <c r="C1581" s="1" t="s">
        <v>3576</v>
      </c>
      <c r="D1581" s="1" t="s">
        <v>20</v>
      </c>
      <c r="E1581" s="1" t="s">
        <v>4250</v>
      </c>
      <c r="F1581" s="1" t="s">
        <v>4251</v>
      </c>
      <c r="G1581" s="1" t="s">
        <v>4252</v>
      </c>
      <c r="H1581" s="2"/>
      <c r="I1581" s="5">
        <f>XLOOKUP(K1581, pharmaceutical_index!B:B, pharmaceutical_index!A:A, "Not Found")</f>
      </c>
      <c r="J1581" s="1" t="s">
        <v>3298</v>
      </c>
      <c r="K1581" s="1" t="s">
        <v>3298</v>
      </c>
      <c r="L1581" s="1" t="s">
        <v>20</v>
      </c>
      <c r="M1581" s="1" t="s">
        <v>3298</v>
      </c>
      <c r="N1581" s="2"/>
      <c r="O1581" s="2"/>
      <c r="P1581" s="2"/>
      <c r="Q1581" s="2"/>
    </row>
    <row x14ac:dyDescent="0.25" r="1582" customHeight="1" ht="17.25">
      <c r="A1582" s="1" t="s">
        <v>5363</v>
      </c>
      <c r="B1582" s="1" t="s">
        <v>3300</v>
      </c>
      <c r="C1582" s="1" t="s">
        <v>3576</v>
      </c>
      <c r="D1582" s="1" t="s">
        <v>20</v>
      </c>
      <c r="E1582" s="1" t="s">
        <v>4250</v>
      </c>
      <c r="F1582" s="1" t="s">
        <v>4251</v>
      </c>
      <c r="G1582" s="1" t="s">
        <v>4252</v>
      </c>
      <c r="H1582" s="2"/>
      <c r="I1582" s="5">
        <f>XLOOKUP(K1582, pharmaceutical_index!B:B, pharmaceutical_index!A:A, "Not Found")</f>
      </c>
      <c r="J1582" s="1" t="s">
        <v>5364</v>
      </c>
      <c r="K1582" s="1" t="s">
        <v>3300</v>
      </c>
      <c r="L1582" s="1" t="s">
        <v>20</v>
      </c>
      <c r="M1582" s="1" t="s">
        <v>5365</v>
      </c>
      <c r="N1582" s="2"/>
      <c r="O1582" s="2"/>
      <c r="P1582" s="2"/>
      <c r="Q1582" s="2"/>
    </row>
    <row x14ac:dyDescent="0.25" r="1583" customHeight="1" ht="17.25">
      <c r="A1583" s="1" t="s">
        <v>5366</v>
      </c>
      <c r="B1583" s="1" t="s">
        <v>3302</v>
      </c>
      <c r="C1583" s="1" t="s">
        <v>3576</v>
      </c>
      <c r="D1583" s="1" t="s">
        <v>20</v>
      </c>
      <c r="E1583" s="1" t="s">
        <v>4250</v>
      </c>
      <c r="F1583" s="1" t="s">
        <v>4251</v>
      </c>
      <c r="G1583" s="1" t="s">
        <v>4252</v>
      </c>
      <c r="H1583" s="2"/>
      <c r="I1583" s="5">
        <f>XLOOKUP(K1583, pharmaceutical_index!B:B, pharmaceutical_index!A:A, "Not Found")</f>
      </c>
      <c r="J1583" s="1" t="s">
        <v>3302</v>
      </c>
      <c r="K1583" s="1" t="s">
        <v>3302</v>
      </c>
      <c r="L1583" s="1" t="s">
        <v>20</v>
      </c>
      <c r="M1583" s="1" t="s">
        <v>3302</v>
      </c>
      <c r="N1583" s="2"/>
      <c r="O1583" s="2"/>
      <c r="P1583" s="2"/>
      <c r="Q1583" s="2"/>
    </row>
    <row x14ac:dyDescent="0.25" r="1584" customHeight="1" ht="17.25">
      <c r="A1584" s="1" t="s">
        <v>5367</v>
      </c>
      <c r="B1584" s="1" t="s">
        <v>3304</v>
      </c>
      <c r="C1584" s="1" t="s">
        <v>3576</v>
      </c>
      <c r="D1584" s="1" t="s">
        <v>20</v>
      </c>
      <c r="E1584" s="1" t="s">
        <v>4250</v>
      </c>
      <c r="F1584" s="1" t="s">
        <v>4251</v>
      </c>
      <c r="G1584" s="1" t="s">
        <v>4252</v>
      </c>
      <c r="H1584" s="2"/>
      <c r="I1584" s="5">
        <f>XLOOKUP(K1584, pharmaceutical_index!B:B, pharmaceutical_index!A:A, "Not Found")</f>
      </c>
      <c r="J1584" s="1" t="s">
        <v>3304</v>
      </c>
      <c r="K1584" s="1" t="s">
        <v>3304</v>
      </c>
      <c r="L1584" s="1" t="s">
        <v>20</v>
      </c>
      <c r="M1584" s="1" t="s">
        <v>3304</v>
      </c>
      <c r="N1584" s="2"/>
      <c r="O1584" s="2"/>
      <c r="P1584" s="2"/>
      <c r="Q1584" s="2"/>
    </row>
    <row x14ac:dyDescent="0.25" r="1585" customHeight="1" ht="17.25">
      <c r="A1585" s="1" t="s">
        <v>5368</v>
      </c>
      <c r="B1585" s="1" t="s">
        <v>3306</v>
      </c>
      <c r="C1585" s="1" t="s">
        <v>3576</v>
      </c>
      <c r="D1585" s="1" t="s">
        <v>20</v>
      </c>
      <c r="E1585" s="1" t="s">
        <v>4250</v>
      </c>
      <c r="F1585" s="1" t="s">
        <v>4251</v>
      </c>
      <c r="G1585" s="1" t="s">
        <v>4252</v>
      </c>
      <c r="H1585" s="2"/>
      <c r="I1585" s="5">
        <f>XLOOKUP(K1585, pharmaceutical_index!B:B, pharmaceutical_index!A:A, "Not Found")</f>
      </c>
      <c r="J1585" s="1" t="s">
        <v>3306</v>
      </c>
      <c r="K1585" s="1" t="s">
        <v>3306</v>
      </c>
      <c r="L1585" s="1" t="s">
        <v>20</v>
      </c>
      <c r="M1585" s="1" t="s">
        <v>3306</v>
      </c>
      <c r="N1585" s="2"/>
      <c r="O1585" s="2"/>
      <c r="P1585" s="2"/>
      <c r="Q1585" s="2"/>
    </row>
    <row x14ac:dyDescent="0.25" r="1586" customHeight="1" ht="17.25">
      <c r="A1586" s="1" t="s">
        <v>5369</v>
      </c>
      <c r="B1586" s="1" t="s">
        <v>3308</v>
      </c>
      <c r="C1586" s="1" t="s">
        <v>3576</v>
      </c>
      <c r="D1586" s="1" t="s">
        <v>20</v>
      </c>
      <c r="E1586" s="1" t="s">
        <v>4250</v>
      </c>
      <c r="F1586" s="1" t="s">
        <v>4251</v>
      </c>
      <c r="G1586" s="1" t="s">
        <v>4252</v>
      </c>
      <c r="H1586" s="2"/>
      <c r="I1586" s="5">
        <f>XLOOKUP(K1586, pharmaceutical_index!B:B, pharmaceutical_index!A:A, "Not Found")</f>
      </c>
      <c r="J1586" s="1" t="s">
        <v>3308</v>
      </c>
      <c r="K1586" s="1" t="s">
        <v>3308</v>
      </c>
      <c r="L1586" s="1" t="s">
        <v>20</v>
      </c>
      <c r="M1586" s="1" t="s">
        <v>3308</v>
      </c>
      <c r="N1586" s="2"/>
      <c r="O1586" s="2"/>
      <c r="P1586" s="2"/>
      <c r="Q1586" s="2"/>
    </row>
    <row x14ac:dyDescent="0.25" r="1587" customHeight="1" ht="17.25">
      <c r="A1587" s="1" t="s">
        <v>5370</v>
      </c>
      <c r="B1587" s="1" t="s">
        <v>3310</v>
      </c>
      <c r="C1587" s="1" t="s">
        <v>3576</v>
      </c>
      <c r="D1587" s="1" t="s">
        <v>20</v>
      </c>
      <c r="E1587" s="1" t="s">
        <v>4250</v>
      </c>
      <c r="F1587" s="1" t="s">
        <v>4251</v>
      </c>
      <c r="G1587" s="1" t="s">
        <v>4252</v>
      </c>
      <c r="H1587" s="2"/>
      <c r="I1587" s="5">
        <f>XLOOKUP(K1587, pharmaceutical_index!B:B, pharmaceutical_index!A:A, "Not Found")</f>
      </c>
      <c r="J1587" s="1" t="s">
        <v>3310</v>
      </c>
      <c r="K1587" s="1" t="s">
        <v>3310</v>
      </c>
      <c r="L1587" s="1" t="s">
        <v>20</v>
      </c>
      <c r="M1587" s="1" t="s">
        <v>3310</v>
      </c>
      <c r="N1587" s="2"/>
      <c r="O1587" s="2"/>
      <c r="P1587" s="2"/>
      <c r="Q1587" s="2"/>
    </row>
    <row x14ac:dyDescent="0.25" r="1588" customHeight="1" ht="17.25">
      <c r="A1588" s="1" t="s">
        <v>5371</v>
      </c>
      <c r="B1588" s="1" t="s">
        <v>3312</v>
      </c>
      <c r="C1588" s="1" t="s">
        <v>3576</v>
      </c>
      <c r="D1588" s="1" t="s">
        <v>20</v>
      </c>
      <c r="E1588" s="1" t="s">
        <v>4250</v>
      </c>
      <c r="F1588" s="1" t="s">
        <v>4251</v>
      </c>
      <c r="G1588" s="1" t="s">
        <v>4252</v>
      </c>
      <c r="H1588" s="2"/>
      <c r="I1588" s="5">
        <f>XLOOKUP(K1588, pharmaceutical_index!B:B, pharmaceutical_index!A:A, "Not Found")</f>
      </c>
      <c r="J1588" s="1" t="s">
        <v>3312</v>
      </c>
      <c r="K1588" s="1" t="s">
        <v>3312</v>
      </c>
      <c r="L1588" s="1" t="s">
        <v>20</v>
      </c>
      <c r="M1588" s="1" t="s">
        <v>3312</v>
      </c>
      <c r="N1588" s="2"/>
      <c r="O1588" s="2"/>
      <c r="P1588" s="2"/>
      <c r="Q1588" s="2"/>
    </row>
    <row x14ac:dyDescent="0.25" r="1589" customHeight="1" ht="17.25">
      <c r="A1589" s="1" t="s">
        <v>5372</v>
      </c>
      <c r="B1589" s="1" t="s">
        <v>3314</v>
      </c>
      <c r="C1589" s="1" t="s">
        <v>3576</v>
      </c>
      <c r="D1589" s="1" t="s">
        <v>20</v>
      </c>
      <c r="E1589" s="1" t="s">
        <v>4250</v>
      </c>
      <c r="F1589" s="1" t="s">
        <v>4251</v>
      </c>
      <c r="G1589" s="1" t="s">
        <v>4252</v>
      </c>
      <c r="H1589" s="2"/>
      <c r="I1589" s="5">
        <f>XLOOKUP(K1589, pharmaceutical_index!B:B, pharmaceutical_index!A:A, "Not Found")</f>
      </c>
      <c r="J1589" s="1" t="s">
        <v>3314</v>
      </c>
      <c r="K1589" s="1" t="s">
        <v>3314</v>
      </c>
      <c r="L1589" s="1" t="s">
        <v>20</v>
      </c>
      <c r="M1589" s="1" t="s">
        <v>3314</v>
      </c>
      <c r="N1589" s="2"/>
      <c r="O1589" s="2"/>
      <c r="P1589" s="2"/>
      <c r="Q1589" s="2"/>
    </row>
    <row x14ac:dyDescent="0.25" r="1590" customHeight="1" ht="17.25">
      <c r="A1590" s="1" t="s">
        <v>5373</v>
      </c>
      <c r="B1590" s="1" t="s">
        <v>3316</v>
      </c>
      <c r="C1590" s="1" t="s">
        <v>3576</v>
      </c>
      <c r="D1590" s="1" t="s">
        <v>20</v>
      </c>
      <c r="E1590" s="1" t="s">
        <v>4250</v>
      </c>
      <c r="F1590" s="1" t="s">
        <v>4251</v>
      </c>
      <c r="G1590" s="1" t="s">
        <v>4252</v>
      </c>
      <c r="H1590" s="2"/>
      <c r="I1590" s="5">
        <f>XLOOKUP(K1590, pharmaceutical_index!B:B, pharmaceutical_index!A:A, "Not Found")</f>
      </c>
      <c r="J1590" s="1" t="s">
        <v>3316</v>
      </c>
      <c r="K1590" s="1" t="s">
        <v>3316</v>
      </c>
      <c r="L1590" s="1" t="s">
        <v>20</v>
      </c>
      <c r="M1590" s="1" t="s">
        <v>3316</v>
      </c>
      <c r="N1590" s="2"/>
      <c r="O1590" s="2"/>
      <c r="P1590" s="2"/>
      <c r="Q1590" s="2"/>
    </row>
    <row x14ac:dyDescent="0.25" r="1591" customHeight="1" ht="17.25">
      <c r="A1591" s="1" t="s">
        <v>5374</v>
      </c>
      <c r="B1591" s="1" t="s">
        <v>3318</v>
      </c>
      <c r="C1591" s="1" t="s">
        <v>3576</v>
      </c>
      <c r="D1591" s="1" t="s">
        <v>20</v>
      </c>
      <c r="E1591" s="1" t="s">
        <v>4250</v>
      </c>
      <c r="F1591" s="1" t="s">
        <v>4251</v>
      </c>
      <c r="G1591" s="1" t="s">
        <v>4252</v>
      </c>
      <c r="H1591" s="2"/>
      <c r="I1591" s="5">
        <f>XLOOKUP(K1591, pharmaceutical_index!B:B, pharmaceutical_index!A:A, "Not Found")</f>
      </c>
      <c r="J1591" s="1" t="s">
        <v>3318</v>
      </c>
      <c r="K1591" s="1" t="s">
        <v>3318</v>
      </c>
      <c r="L1591" s="1" t="s">
        <v>20</v>
      </c>
      <c r="M1591" s="1" t="s">
        <v>3318</v>
      </c>
      <c r="N1591" s="2"/>
      <c r="O1591" s="2"/>
      <c r="P1591" s="2"/>
      <c r="Q1591" s="2"/>
    </row>
    <row x14ac:dyDescent="0.25" r="1592" customHeight="1" ht="17.25">
      <c r="A1592" s="1" t="s">
        <v>5375</v>
      </c>
      <c r="B1592" s="1" t="s">
        <v>3320</v>
      </c>
      <c r="C1592" s="1" t="s">
        <v>3576</v>
      </c>
      <c r="D1592" s="1" t="s">
        <v>20</v>
      </c>
      <c r="E1592" s="1" t="s">
        <v>4250</v>
      </c>
      <c r="F1592" s="1" t="s">
        <v>4251</v>
      </c>
      <c r="G1592" s="1" t="s">
        <v>4252</v>
      </c>
      <c r="H1592" s="2"/>
      <c r="I1592" s="5">
        <f>XLOOKUP(K1592, pharmaceutical_index!B:B, pharmaceutical_index!A:A, "Not Found")</f>
      </c>
      <c r="J1592" s="1" t="s">
        <v>3320</v>
      </c>
      <c r="K1592" s="1" t="s">
        <v>3320</v>
      </c>
      <c r="L1592" s="1" t="s">
        <v>20</v>
      </c>
      <c r="M1592" s="1" t="s">
        <v>3320</v>
      </c>
      <c r="N1592" s="2"/>
      <c r="O1592" s="2"/>
      <c r="P1592" s="2"/>
      <c r="Q1592" s="2"/>
    </row>
    <row x14ac:dyDescent="0.25" r="1593" customHeight="1" ht="17.25">
      <c r="A1593" s="1" t="s">
        <v>5376</v>
      </c>
      <c r="B1593" s="1" t="s">
        <v>3322</v>
      </c>
      <c r="C1593" s="1" t="s">
        <v>3576</v>
      </c>
      <c r="D1593" s="1" t="s">
        <v>20</v>
      </c>
      <c r="E1593" s="1" t="s">
        <v>4250</v>
      </c>
      <c r="F1593" s="1" t="s">
        <v>4251</v>
      </c>
      <c r="G1593" s="1" t="s">
        <v>4252</v>
      </c>
      <c r="H1593" s="2"/>
      <c r="I1593" s="5">
        <f>XLOOKUP(K1593, pharmaceutical_index!B:B, pharmaceutical_index!A:A, "Not Found")</f>
      </c>
      <c r="J1593" s="1" t="s">
        <v>3322</v>
      </c>
      <c r="K1593" s="1" t="s">
        <v>3322</v>
      </c>
      <c r="L1593" s="1" t="s">
        <v>20</v>
      </c>
      <c r="M1593" s="1" t="s">
        <v>3322</v>
      </c>
      <c r="N1593" s="2"/>
      <c r="O1593" s="2"/>
      <c r="P1593" s="2"/>
      <c r="Q1593" s="2"/>
    </row>
    <row x14ac:dyDescent="0.25" r="1594" customHeight="1" ht="17.25">
      <c r="A1594" s="1" t="s">
        <v>5377</v>
      </c>
      <c r="B1594" s="1" t="s">
        <v>3324</v>
      </c>
      <c r="C1594" s="1" t="s">
        <v>3576</v>
      </c>
      <c r="D1594" s="1" t="s">
        <v>20</v>
      </c>
      <c r="E1594" s="1" t="s">
        <v>4250</v>
      </c>
      <c r="F1594" s="1" t="s">
        <v>4251</v>
      </c>
      <c r="G1594" s="1" t="s">
        <v>4252</v>
      </c>
      <c r="H1594" s="2"/>
      <c r="I1594" s="5">
        <f>XLOOKUP(K1594, pharmaceutical_index!B:B, pharmaceutical_index!A:A, "Not Found")</f>
      </c>
      <c r="J1594" s="1" t="s">
        <v>3324</v>
      </c>
      <c r="K1594" s="1" t="s">
        <v>3324</v>
      </c>
      <c r="L1594" s="1" t="s">
        <v>20</v>
      </c>
      <c r="M1594" s="1" t="s">
        <v>3324</v>
      </c>
      <c r="N1594" s="2"/>
      <c r="O1594" s="2"/>
      <c r="P1594" s="2"/>
      <c r="Q1594" s="2"/>
    </row>
    <row x14ac:dyDescent="0.25" r="1595" customHeight="1" ht="17.25">
      <c r="A1595" s="1" t="s">
        <v>5378</v>
      </c>
      <c r="B1595" s="1" t="s">
        <v>3326</v>
      </c>
      <c r="C1595" s="1" t="s">
        <v>3576</v>
      </c>
      <c r="D1595" s="1" t="s">
        <v>20</v>
      </c>
      <c r="E1595" s="1" t="s">
        <v>4250</v>
      </c>
      <c r="F1595" s="1" t="s">
        <v>4251</v>
      </c>
      <c r="G1595" s="1" t="s">
        <v>4252</v>
      </c>
      <c r="H1595" s="2"/>
      <c r="I1595" s="5">
        <f>XLOOKUP(K1595, pharmaceutical_index!B:B, pharmaceutical_index!A:A, "Not Found")</f>
      </c>
      <c r="J1595" s="1" t="s">
        <v>3326</v>
      </c>
      <c r="K1595" s="1" t="s">
        <v>3326</v>
      </c>
      <c r="L1595" s="1" t="s">
        <v>20</v>
      </c>
      <c r="M1595" s="1" t="s">
        <v>3326</v>
      </c>
      <c r="N1595" s="2"/>
      <c r="O1595" s="2"/>
      <c r="P1595" s="2"/>
      <c r="Q1595" s="2"/>
    </row>
    <row x14ac:dyDescent="0.25" r="1596" customHeight="1" ht="17.25">
      <c r="A1596" s="1" t="s">
        <v>5379</v>
      </c>
      <c r="B1596" s="1" t="s">
        <v>3328</v>
      </c>
      <c r="C1596" s="1" t="s">
        <v>3576</v>
      </c>
      <c r="D1596" s="1" t="s">
        <v>20</v>
      </c>
      <c r="E1596" s="1" t="s">
        <v>4250</v>
      </c>
      <c r="F1596" s="1" t="s">
        <v>4251</v>
      </c>
      <c r="G1596" s="1" t="s">
        <v>4252</v>
      </c>
      <c r="H1596" s="2"/>
      <c r="I1596" s="5">
        <f>XLOOKUP(K1596, pharmaceutical_index!B:B, pharmaceutical_index!A:A, "Not Found")</f>
      </c>
      <c r="J1596" s="1" t="s">
        <v>3328</v>
      </c>
      <c r="K1596" s="1" t="s">
        <v>3328</v>
      </c>
      <c r="L1596" s="1" t="s">
        <v>20</v>
      </c>
      <c r="M1596" s="1" t="s">
        <v>3328</v>
      </c>
      <c r="N1596" s="2"/>
      <c r="O1596" s="2"/>
      <c r="P1596" s="2"/>
      <c r="Q1596" s="2"/>
    </row>
    <row x14ac:dyDescent="0.25" r="1597" customHeight="1" ht="17.25">
      <c r="A1597" s="1" t="s">
        <v>5380</v>
      </c>
      <c r="B1597" s="1" t="s">
        <v>3330</v>
      </c>
      <c r="C1597" s="1" t="s">
        <v>3576</v>
      </c>
      <c r="D1597" s="1" t="s">
        <v>20</v>
      </c>
      <c r="E1597" s="1" t="s">
        <v>4250</v>
      </c>
      <c r="F1597" s="1" t="s">
        <v>4251</v>
      </c>
      <c r="G1597" s="1" t="s">
        <v>4252</v>
      </c>
      <c r="H1597" s="2"/>
      <c r="I1597" s="5">
        <f>XLOOKUP(K1597, pharmaceutical_index!B:B, pharmaceutical_index!A:A, "Not Found")</f>
      </c>
      <c r="J1597" s="1" t="s">
        <v>3330</v>
      </c>
      <c r="K1597" s="1" t="s">
        <v>3330</v>
      </c>
      <c r="L1597" s="1" t="s">
        <v>20</v>
      </c>
      <c r="M1597" s="1" t="s">
        <v>3330</v>
      </c>
      <c r="N1597" s="2"/>
      <c r="O1597" s="2"/>
      <c r="P1597" s="2"/>
      <c r="Q1597" s="2"/>
    </row>
    <row x14ac:dyDescent="0.25" r="1598" customHeight="1" ht="17.25">
      <c r="A1598" s="1" t="s">
        <v>5381</v>
      </c>
      <c r="B1598" s="1" t="s">
        <v>3332</v>
      </c>
      <c r="C1598" s="1" t="s">
        <v>3576</v>
      </c>
      <c r="D1598" s="1" t="s">
        <v>20</v>
      </c>
      <c r="E1598" s="1" t="s">
        <v>4250</v>
      </c>
      <c r="F1598" s="1" t="s">
        <v>4251</v>
      </c>
      <c r="G1598" s="1" t="s">
        <v>4252</v>
      </c>
      <c r="H1598" s="2"/>
      <c r="I1598" s="5">
        <f>XLOOKUP(K1598, pharmaceutical_index!B:B, pharmaceutical_index!A:A, "Not Found")</f>
      </c>
      <c r="J1598" s="1" t="s">
        <v>3332</v>
      </c>
      <c r="K1598" s="1" t="s">
        <v>3332</v>
      </c>
      <c r="L1598" s="1" t="s">
        <v>20</v>
      </c>
      <c r="M1598" s="1" t="s">
        <v>3332</v>
      </c>
      <c r="N1598" s="2"/>
      <c r="O1598" s="2"/>
      <c r="P1598" s="2"/>
      <c r="Q1598" s="2"/>
    </row>
    <row x14ac:dyDescent="0.25" r="1599" customHeight="1" ht="17.25">
      <c r="A1599" s="1" t="s">
        <v>5382</v>
      </c>
      <c r="B1599" s="1" t="s">
        <v>3334</v>
      </c>
      <c r="C1599" s="1" t="s">
        <v>3576</v>
      </c>
      <c r="D1599" s="1" t="s">
        <v>20</v>
      </c>
      <c r="E1599" s="1" t="s">
        <v>4250</v>
      </c>
      <c r="F1599" s="1" t="s">
        <v>4251</v>
      </c>
      <c r="G1599" s="1" t="s">
        <v>4252</v>
      </c>
      <c r="H1599" s="2"/>
      <c r="I1599" s="5">
        <f>XLOOKUP(K1599, pharmaceutical_index!B:B, pharmaceutical_index!A:A, "Not Found")</f>
      </c>
      <c r="J1599" s="1" t="s">
        <v>3334</v>
      </c>
      <c r="K1599" s="1" t="s">
        <v>3334</v>
      </c>
      <c r="L1599" s="1" t="s">
        <v>20</v>
      </c>
      <c r="M1599" s="1" t="s">
        <v>3334</v>
      </c>
      <c r="N1599" s="2"/>
      <c r="O1599" s="2"/>
      <c r="P1599" s="2"/>
      <c r="Q1599" s="2"/>
    </row>
    <row x14ac:dyDescent="0.25" r="1600" customHeight="1" ht="17.25">
      <c r="A1600" s="1" t="s">
        <v>5383</v>
      </c>
      <c r="B1600" s="1" t="s">
        <v>3336</v>
      </c>
      <c r="C1600" s="1" t="s">
        <v>3576</v>
      </c>
      <c r="D1600" s="1" t="s">
        <v>20</v>
      </c>
      <c r="E1600" s="1" t="s">
        <v>4250</v>
      </c>
      <c r="F1600" s="1" t="s">
        <v>4251</v>
      </c>
      <c r="G1600" s="1" t="s">
        <v>4252</v>
      </c>
      <c r="H1600" s="2"/>
      <c r="I1600" s="5">
        <f>XLOOKUP(K1600, pharmaceutical_index!B:B, pharmaceutical_index!A:A, "Not Found")</f>
      </c>
      <c r="J1600" s="1" t="s">
        <v>3336</v>
      </c>
      <c r="K1600" s="1" t="s">
        <v>3336</v>
      </c>
      <c r="L1600" s="1" t="s">
        <v>20</v>
      </c>
      <c r="M1600" s="1" t="s">
        <v>3336</v>
      </c>
      <c r="N1600" s="2"/>
      <c r="O1600" s="2"/>
      <c r="P1600" s="2"/>
      <c r="Q1600" s="2"/>
    </row>
    <row x14ac:dyDescent="0.25" r="1601" customHeight="1" ht="17.25">
      <c r="A1601" s="1" t="s">
        <v>5384</v>
      </c>
      <c r="B1601" s="1" t="s">
        <v>3338</v>
      </c>
      <c r="C1601" s="1" t="s">
        <v>3576</v>
      </c>
      <c r="D1601" s="1" t="s">
        <v>20</v>
      </c>
      <c r="E1601" s="1" t="s">
        <v>4250</v>
      </c>
      <c r="F1601" s="1" t="s">
        <v>4251</v>
      </c>
      <c r="G1601" s="1" t="s">
        <v>4252</v>
      </c>
      <c r="H1601" s="2"/>
      <c r="I1601" s="5">
        <f>XLOOKUP(K1601, pharmaceutical_index!B:B, pharmaceutical_index!A:A, "Not Found")</f>
      </c>
      <c r="J1601" s="1" t="s">
        <v>3338</v>
      </c>
      <c r="K1601" s="1" t="s">
        <v>3338</v>
      </c>
      <c r="L1601" s="1" t="s">
        <v>20</v>
      </c>
      <c r="M1601" s="1" t="s">
        <v>3338</v>
      </c>
      <c r="N1601" s="2"/>
      <c r="O1601" s="2"/>
      <c r="P1601" s="2"/>
      <c r="Q1601" s="2"/>
    </row>
    <row x14ac:dyDescent="0.25" r="1602" customHeight="1" ht="17.25">
      <c r="A1602" s="1" t="s">
        <v>5385</v>
      </c>
      <c r="B1602" s="1" t="s">
        <v>3340</v>
      </c>
      <c r="C1602" s="1" t="s">
        <v>3576</v>
      </c>
      <c r="D1602" s="1" t="s">
        <v>20</v>
      </c>
      <c r="E1602" s="1" t="s">
        <v>4250</v>
      </c>
      <c r="F1602" s="1" t="s">
        <v>4251</v>
      </c>
      <c r="G1602" s="1" t="s">
        <v>4252</v>
      </c>
      <c r="H1602" s="2"/>
      <c r="I1602" s="5">
        <f>XLOOKUP(K1602, pharmaceutical_index!B:B, pharmaceutical_index!A:A, "Not Found")</f>
      </c>
      <c r="J1602" s="1" t="s">
        <v>3340</v>
      </c>
      <c r="K1602" s="1" t="s">
        <v>3340</v>
      </c>
      <c r="L1602" s="1" t="s">
        <v>20</v>
      </c>
      <c r="M1602" s="1" t="s">
        <v>3340</v>
      </c>
      <c r="N1602" s="2"/>
      <c r="O1602" s="2"/>
      <c r="P1602" s="2"/>
      <c r="Q1602" s="2"/>
    </row>
    <row x14ac:dyDescent="0.25" r="1603" customHeight="1" ht="17.25">
      <c r="A1603" s="1" t="s">
        <v>5386</v>
      </c>
      <c r="B1603" s="1" t="s">
        <v>3342</v>
      </c>
      <c r="C1603" s="1" t="s">
        <v>3576</v>
      </c>
      <c r="D1603" s="1" t="s">
        <v>20</v>
      </c>
      <c r="E1603" s="1" t="s">
        <v>4250</v>
      </c>
      <c r="F1603" s="1" t="s">
        <v>4251</v>
      </c>
      <c r="G1603" s="1" t="s">
        <v>4252</v>
      </c>
      <c r="H1603" s="2"/>
      <c r="I1603" s="5">
        <f>XLOOKUP(K1603, pharmaceutical_index!B:B, pharmaceutical_index!A:A, "Not Found")</f>
      </c>
      <c r="J1603" s="1" t="s">
        <v>3342</v>
      </c>
      <c r="K1603" s="1" t="s">
        <v>3342</v>
      </c>
      <c r="L1603" s="1" t="s">
        <v>20</v>
      </c>
      <c r="M1603" s="1" t="s">
        <v>3342</v>
      </c>
      <c r="N1603" s="2"/>
      <c r="O1603" s="2"/>
      <c r="P1603" s="2"/>
      <c r="Q1603" s="2"/>
    </row>
    <row x14ac:dyDescent="0.25" r="1604" customHeight="1" ht="17.25">
      <c r="A1604" s="1" t="s">
        <v>5387</v>
      </c>
      <c r="B1604" s="1" t="s">
        <v>3344</v>
      </c>
      <c r="C1604" s="1" t="s">
        <v>3576</v>
      </c>
      <c r="D1604" s="1" t="s">
        <v>20</v>
      </c>
      <c r="E1604" s="1" t="s">
        <v>4250</v>
      </c>
      <c r="F1604" s="1" t="s">
        <v>4251</v>
      </c>
      <c r="G1604" s="1" t="s">
        <v>4252</v>
      </c>
      <c r="H1604" s="2"/>
      <c r="I1604" s="5">
        <f>XLOOKUP(K1604, pharmaceutical_index!B:B, pharmaceutical_index!A:A, "Not Found")</f>
      </c>
      <c r="J1604" s="1" t="s">
        <v>3344</v>
      </c>
      <c r="K1604" s="1" t="s">
        <v>3344</v>
      </c>
      <c r="L1604" s="1" t="s">
        <v>20</v>
      </c>
      <c r="M1604" s="1" t="s">
        <v>3344</v>
      </c>
      <c r="N1604" s="2"/>
      <c r="O1604" s="2"/>
      <c r="P1604" s="2"/>
      <c r="Q1604" s="2"/>
    </row>
    <row x14ac:dyDescent="0.25" r="1605" customHeight="1" ht="17.25">
      <c r="A1605" s="1" t="s">
        <v>5388</v>
      </c>
      <c r="B1605" s="1" t="s">
        <v>3346</v>
      </c>
      <c r="C1605" s="1" t="s">
        <v>3576</v>
      </c>
      <c r="D1605" s="1" t="s">
        <v>20</v>
      </c>
      <c r="E1605" s="1" t="s">
        <v>4250</v>
      </c>
      <c r="F1605" s="1" t="s">
        <v>4251</v>
      </c>
      <c r="G1605" s="1" t="s">
        <v>4252</v>
      </c>
      <c r="H1605" s="2"/>
      <c r="I1605" s="5">
        <f>XLOOKUP(K1605, pharmaceutical_index!B:B, pharmaceutical_index!A:A, "Not Found")</f>
      </c>
      <c r="J1605" s="1" t="s">
        <v>3346</v>
      </c>
      <c r="K1605" s="1" t="s">
        <v>3346</v>
      </c>
      <c r="L1605" s="1" t="s">
        <v>20</v>
      </c>
      <c r="M1605" s="1" t="s">
        <v>3346</v>
      </c>
      <c r="N1605" s="2"/>
      <c r="O1605" s="2"/>
      <c r="P1605" s="2"/>
      <c r="Q1605" s="2"/>
    </row>
    <row x14ac:dyDescent="0.25" r="1606" customHeight="1" ht="17.25">
      <c r="A1606" s="1" t="s">
        <v>5389</v>
      </c>
      <c r="B1606" s="1" t="s">
        <v>3348</v>
      </c>
      <c r="C1606" s="1" t="s">
        <v>3576</v>
      </c>
      <c r="D1606" s="1" t="s">
        <v>20</v>
      </c>
      <c r="E1606" s="1" t="s">
        <v>4250</v>
      </c>
      <c r="F1606" s="1" t="s">
        <v>4251</v>
      </c>
      <c r="G1606" s="1" t="s">
        <v>4252</v>
      </c>
      <c r="H1606" s="2"/>
      <c r="I1606" s="5">
        <f>XLOOKUP(K1606, pharmaceutical_index!B:B, pharmaceutical_index!A:A, "Not Found")</f>
      </c>
      <c r="J1606" s="1" t="s">
        <v>3348</v>
      </c>
      <c r="K1606" s="1" t="s">
        <v>3348</v>
      </c>
      <c r="L1606" s="1" t="s">
        <v>20</v>
      </c>
      <c r="M1606" s="1" t="s">
        <v>3348</v>
      </c>
      <c r="N1606" s="2"/>
      <c r="O1606" s="2"/>
      <c r="P1606" s="2"/>
      <c r="Q1606" s="2"/>
    </row>
    <row x14ac:dyDescent="0.25" r="1607" customHeight="1" ht="17.25">
      <c r="A1607" s="1" t="s">
        <v>5390</v>
      </c>
      <c r="B1607" s="1" t="s">
        <v>3350</v>
      </c>
      <c r="C1607" s="1" t="s">
        <v>3576</v>
      </c>
      <c r="D1607" s="1" t="s">
        <v>20</v>
      </c>
      <c r="E1607" s="1" t="s">
        <v>4250</v>
      </c>
      <c r="F1607" s="1" t="s">
        <v>4251</v>
      </c>
      <c r="G1607" s="1" t="s">
        <v>4252</v>
      </c>
      <c r="H1607" s="2"/>
      <c r="I1607" s="5">
        <f>XLOOKUP(K1607, pharmaceutical_index!B:B, pharmaceutical_index!A:A, "Not Found")</f>
      </c>
      <c r="J1607" s="1" t="s">
        <v>3350</v>
      </c>
      <c r="K1607" s="1" t="s">
        <v>3350</v>
      </c>
      <c r="L1607" s="1" t="s">
        <v>20</v>
      </c>
      <c r="M1607" s="1" t="s">
        <v>3350</v>
      </c>
      <c r="N1607" s="2"/>
      <c r="O1607" s="2"/>
      <c r="P1607" s="2"/>
      <c r="Q1607" s="2"/>
    </row>
    <row x14ac:dyDescent="0.25" r="1608" customHeight="1" ht="17.25">
      <c r="A1608" s="1" t="s">
        <v>5391</v>
      </c>
      <c r="B1608" s="1" t="s">
        <v>3352</v>
      </c>
      <c r="C1608" s="1" t="s">
        <v>3576</v>
      </c>
      <c r="D1608" s="1" t="s">
        <v>20</v>
      </c>
      <c r="E1608" s="1" t="s">
        <v>4250</v>
      </c>
      <c r="F1608" s="1" t="s">
        <v>4251</v>
      </c>
      <c r="G1608" s="1" t="s">
        <v>4252</v>
      </c>
      <c r="H1608" s="2"/>
      <c r="I1608" s="5">
        <f>XLOOKUP(K1608, pharmaceutical_index!B:B, pharmaceutical_index!A:A, "Not Found")</f>
      </c>
      <c r="J1608" s="1" t="s">
        <v>3352</v>
      </c>
      <c r="K1608" s="1" t="s">
        <v>3352</v>
      </c>
      <c r="L1608" s="1" t="s">
        <v>20</v>
      </c>
      <c r="M1608" s="1" t="s">
        <v>3352</v>
      </c>
      <c r="N1608" s="2"/>
      <c r="O1608" s="2"/>
      <c r="P1608" s="2"/>
      <c r="Q1608" s="2"/>
    </row>
    <row x14ac:dyDescent="0.25" r="1609" customHeight="1" ht="17.25">
      <c r="A1609" s="1" t="s">
        <v>5392</v>
      </c>
      <c r="B1609" s="1" t="s">
        <v>3354</v>
      </c>
      <c r="C1609" s="1" t="s">
        <v>3576</v>
      </c>
      <c r="D1609" s="1" t="s">
        <v>20</v>
      </c>
      <c r="E1609" s="1" t="s">
        <v>4250</v>
      </c>
      <c r="F1609" s="1" t="s">
        <v>4251</v>
      </c>
      <c r="G1609" s="1" t="s">
        <v>4252</v>
      </c>
      <c r="H1609" s="2"/>
      <c r="I1609" s="5">
        <f>XLOOKUP(K1609, pharmaceutical_index!B:B, pharmaceutical_index!A:A, "Not Found")</f>
      </c>
      <c r="J1609" s="1" t="s">
        <v>3354</v>
      </c>
      <c r="K1609" s="1" t="s">
        <v>3354</v>
      </c>
      <c r="L1609" s="1" t="s">
        <v>20</v>
      </c>
      <c r="M1609" s="1" t="s">
        <v>3354</v>
      </c>
      <c r="N1609" s="2"/>
      <c r="O1609" s="2"/>
      <c r="P1609" s="2"/>
      <c r="Q1609" s="2"/>
    </row>
    <row x14ac:dyDescent="0.25" r="1610" customHeight="1" ht="17.25">
      <c r="A1610" s="1" t="s">
        <v>5393</v>
      </c>
      <c r="B1610" s="1" t="s">
        <v>3356</v>
      </c>
      <c r="C1610" s="1" t="s">
        <v>3576</v>
      </c>
      <c r="D1610" s="1" t="s">
        <v>20</v>
      </c>
      <c r="E1610" s="1" t="s">
        <v>4250</v>
      </c>
      <c r="F1610" s="1" t="s">
        <v>4251</v>
      </c>
      <c r="G1610" s="1" t="s">
        <v>4252</v>
      </c>
      <c r="H1610" s="2"/>
      <c r="I1610" s="5">
        <f>XLOOKUP(K1610, pharmaceutical_index!B:B, pharmaceutical_index!A:A, "Not Found")</f>
      </c>
      <c r="J1610" s="1" t="s">
        <v>3356</v>
      </c>
      <c r="K1610" s="1" t="s">
        <v>3356</v>
      </c>
      <c r="L1610" s="1" t="s">
        <v>20</v>
      </c>
      <c r="M1610" s="1" t="s">
        <v>3356</v>
      </c>
      <c r="N1610" s="2"/>
      <c r="O1610" s="2"/>
      <c r="P1610" s="2"/>
      <c r="Q1610" s="2"/>
    </row>
    <row x14ac:dyDescent="0.25" r="1611" customHeight="1" ht="17.25">
      <c r="A1611" s="1" t="s">
        <v>5394</v>
      </c>
      <c r="B1611" s="1" t="s">
        <v>3358</v>
      </c>
      <c r="C1611" s="1" t="s">
        <v>3576</v>
      </c>
      <c r="D1611" s="1" t="s">
        <v>20</v>
      </c>
      <c r="E1611" s="1" t="s">
        <v>4250</v>
      </c>
      <c r="F1611" s="1" t="s">
        <v>4251</v>
      </c>
      <c r="G1611" s="1" t="s">
        <v>4252</v>
      </c>
      <c r="H1611" s="2"/>
      <c r="I1611" s="5">
        <f>XLOOKUP(K1611, pharmaceutical_index!B:B, pharmaceutical_index!A:A, "Not Found")</f>
      </c>
      <c r="J1611" s="1" t="s">
        <v>3358</v>
      </c>
      <c r="K1611" s="1" t="s">
        <v>3358</v>
      </c>
      <c r="L1611" s="1" t="s">
        <v>20</v>
      </c>
      <c r="M1611" s="1" t="s">
        <v>3358</v>
      </c>
      <c r="N1611" s="2"/>
      <c r="O1611" s="2"/>
      <c r="P1611" s="2"/>
      <c r="Q1611" s="2"/>
    </row>
    <row x14ac:dyDescent="0.25" r="1612" customHeight="1" ht="17.25">
      <c r="A1612" s="1" t="s">
        <v>5395</v>
      </c>
      <c r="B1612" s="1" t="s">
        <v>3360</v>
      </c>
      <c r="C1612" s="1" t="s">
        <v>3576</v>
      </c>
      <c r="D1612" s="1" t="s">
        <v>20</v>
      </c>
      <c r="E1612" s="1" t="s">
        <v>4250</v>
      </c>
      <c r="F1612" s="1" t="s">
        <v>4251</v>
      </c>
      <c r="G1612" s="1" t="s">
        <v>4252</v>
      </c>
      <c r="H1612" s="2"/>
      <c r="I1612" s="5">
        <f>XLOOKUP(K1612, pharmaceutical_index!B:B, pharmaceutical_index!A:A, "Not Found")</f>
      </c>
      <c r="J1612" s="1" t="s">
        <v>3360</v>
      </c>
      <c r="K1612" s="1" t="s">
        <v>3360</v>
      </c>
      <c r="L1612" s="1" t="s">
        <v>20</v>
      </c>
      <c r="M1612" s="1" t="s">
        <v>3360</v>
      </c>
      <c r="N1612" s="2"/>
      <c r="O1612" s="2"/>
      <c r="P1612" s="2"/>
      <c r="Q1612" s="2"/>
    </row>
    <row x14ac:dyDescent="0.25" r="1613" customHeight="1" ht="17.25">
      <c r="A1613" s="1" t="s">
        <v>5396</v>
      </c>
      <c r="B1613" s="1" t="s">
        <v>3362</v>
      </c>
      <c r="C1613" s="1" t="s">
        <v>3576</v>
      </c>
      <c r="D1613" s="1" t="s">
        <v>20</v>
      </c>
      <c r="E1613" s="1" t="s">
        <v>4250</v>
      </c>
      <c r="F1613" s="1" t="s">
        <v>4251</v>
      </c>
      <c r="G1613" s="1" t="s">
        <v>4252</v>
      </c>
      <c r="H1613" s="2"/>
      <c r="I1613" s="5">
        <f>XLOOKUP(K1613, pharmaceutical_index!B:B, pharmaceutical_index!A:A, "Not Found")</f>
      </c>
      <c r="J1613" s="1" t="s">
        <v>3362</v>
      </c>
      <c r="K1613" s="1" t="s">
        <v>3362</v>
      </c>
      <c r="L1613" s="1" t="s">
        <v>20</v>
      </c>
      <c r="M1613" s="1" t="s">
        <v>3362</v>
      </c>
      <c r="N1613" s="2"/>
      <c r="O1613" s="2"/>
      <c r="P1613" s="2"/>
      <c r="Q1613" s="2"/>
    </row>
    <row x14ac:dyDescent="0.25" r="1614" customHeight="1" ht="17.25">
      <c r="A1614" s="1" t="s">
        <v>5397</v>
      </c>
      <c r="B1614" s="1" t="s">
        <v>3364</v>
      </c>
      <c r="C1614" s="1" t="s">
        <v>3576</v>
      </c>
      <c r="D1614" s="1" t="s">
        <v>20</v>
      </c>
      <c r="E1614" s="1" t="s">
        <v>4250</v>
      </c>
      <c r="F1614" s="1" t="s">
        <v>4251</v>
      </c>
      <c r="G1614" s="1" t="s">
        <v>4252</v>
      </c>
      <c r="H1614" s="2"/>
      <c r="I1614" s="5">
        <f>XLOOKUP(K1614, pharmaceutical_index!B:B, pharmaceutical_index!A:A, "Not Found")</f>
      </c>
      <c r="J1614" s="1" t="s">
        <v>3364</v>
      </c>
      <c r="K1614" s="1" t="s">
        <v>3364</v>
      </c>
      <c r="L1614" s="1" t="s">
        <v>20</v>
      </c>
      <c r="M1614" s="1" t="s">
        <v>3364</v>
      </c>
      <c r="N1614" s="2"/>
      <c r="O1614" s="2"/>
      <c r="P1614" s="2"/>
      <c r="Q1614" s="2"/>
    </row>
    <row x14ac:dyDescent="0.25" r="1615" customHeight="1" ht="17.25">
      <c r="A1615" s="1" t="s">
        <v>5398</v>
      </c>
      <c r="B1615" s="1" t="s">
        <v>3366</v>
      </c>
      <c r="C1615" s="1" t="s">
        <v>3576</v>
      </c>
      <c r="D1615" s="1" t="s">
        <v>20</v>
      </c>
      <c r="E1615" s="1" t="s">
        <v>4250</v>
      </c>
      <c r="F1615" s="1" t="s">
        <v>4251</v>
      </c>
      <c r="G1615" s="1" t="s">
        <v>4252</v>
      </c>
      <c r="H1615" s="2"/>
      <c r="I1615" s="5">
        <f>XLOOKUP(K1615, pharmaceutical_index!B:B, pharmaceutical_index!A:A, "Not Found")</f>
      </c>
      <c r="J1615" s="1" t="s">
        <v>3366</v>
      </c>
      <c r="K1615" s="1" t="s">
        <v>3366</v>
      </c>
      <c r="L1615" s="1" t="s">
        <v>20</v>
      </c>
      <c r="M1615" s="1" t="s">
        <v>3366</v>
      </c>
      <c r="N1615" s="2"/>
      <c r="O1615" s="2"/>
      <c r="P1615" s="2"/>
      <c r="Q1615" s="2"/>
    </row>
    <row x14ac:dyDescent="0.25" r="1616" customHeight="1" ht="17.25">
      <c r="A1616" s="1" t="s">
        <v>5399</v>
      </c>
      <c r="B1616" s="1" t="s">
        <v>3368</v>
      </c>
      <c r="C1616" s="1" t="s">
        <v>3576</v>
      </c>
      <c r="D1616" s="1" t="s">
        <v>20</v>
      </c>
      <c r="E1616" s="1" t="s">
        <v>4250</v>
      </c>
      <c r="F1616" s="1" t="s">
        <v>4251</v>
      </c>
      <c r="G1616" s="1" t="s">
        <v>4252</v>
      </c>
      <c r="H1616" s="2"/>
      <c r="I1616" s="5">
        <f>XLOOKUP(K1616, pharmaceutical_index!B:B, pharmaceutical_index!A:A, "Not Found")</f>
      </c>
      <c r="J1616" s="1" t="s">
        <v>3368</v>
      </c>
      <c r="K1616" s="1" t="s">
        <v>3368</v>
      </c>
      <c r="L1616" s="1" t="s">
        <v>20</v>
      </c>
      <c r="M1616" s="1" t="s">
        <v>3368</v>
      </c>
      <c r="N1616" s="2"/>
      <c r="O1616" s="2"/>
      <c r="P1616" s="2"/>
      <c r="Q1616" s="2"/>
    </row>
    <row x14ac:dyDescent="0.25" r="1617" customHeight="1" ht="17.25">
      <c r="A1617" s="1" t="s">
        <v>5400</v>
      </c>
      <c r="B1617" s="1" t="s">
        <v>3370</v>
      </c>
      <c r="C1617" s="1" t="s">
        <v>3576</v>
      </c>
      <c r="D1617" s="1" t="s">
        <v>20</v>
      </c>
      <c r="E1617" s="1" t="s">
        <v>4250</v>
      </c>
      <c r="F1617" s="1" t="s">
        <v>4251</v>
      </c>
      <c r="G1617" s="1" t="s">
        <v>4252</v>
      </c>
      <c r="H1617" s="2"/>
      <c r="I1617" s="5">
        <f>XLOOKUP(K1617, pharmaceutical_index!B:B, pharmaceutical_index!A:A, "Not Found")</f>
      </c>
      <c r="J1617" s="1" t="s">
        <v>3370</v>
      </c>
      <c r="K1617" s="1" t="s">
        <v>3370</v>
      </c>
      <c r="L1617" s="1" t="s">
        <v>20</v>
      </c>
      <c r="M1617" s="1" t="s">
        <v>3370</v>
      </c>
      <c r="N1617" s="2"/>
      <c r="O1617" s="2"/>
      <c r="P1617" s="2"/>
      <c r="Q1617" s="2"/>
    </row>
    <row x14ac:dyDescent="0.25" r="1618" customHeight="1" ht="17.25">
      <c r="A1618" s="1" t="s">
        <v>5401</v>
      </c>
      <c r="B1618" s="1" t="s">
        <v>3372</v>
      </c>
      <c r="C1618" s="1" t="s">
        <v>3576</v>
      </c>
      <c r="D1618" s="1" t="s">
        <v>20</v>
      </c>
      <c r="E1618" s="1" t="s">
        <v>4250</v>
      </c>
      <c r="F1618" s="1" t="s">
        <v>4251</v>
      </c>
      <c r="G1618" s="1" t="s">
        <v>4252</v>
      </c>
      <c r="H1618" s="2"/>
      <c r="I1618" s="5">
        <f>XLOOKUP(K1618, pharmaceutical_index!B:B, pharmaceutical_index!A:A, "Not Found")</f>
      </c>
      <c r="J1618" s="1" t="s">
        <v>3372</v>
      </c>
      <c r="K1618" s="1" t="s">
        <v>3372</v>
      </c>
      <c r="L1618" s="1" t="s">
        <v>20</v>
      </c>
      <c r="M1618" s="1" t="s">
        <v>3372</v>
      </c>
      <c r="N1618" s="2"/>
      <c r="O1618" s="2"/>
      <c r="P1618" s="2"/>
      <c r="Q1618" s="2"/>
    </row>
    <row x14ac:dyDescent="0.25" r="1619" customHeight="1" ht="17.25">
      <c r="A1619" s="1" t="s">
        <v>5402</v>
      </c>
      <c r="B1619" s="1" t="s">
        <v>3374</v>
      </c>
      <c r="C1619" s="1" t="s">
        <v>3576</v>
      </c>
      <c r="D1619" s="1" t="s">
        <v>20</v>
      </c>
      <c r="E1619" s="1" t="s">
        <v>4250</v>
      </c>
      <c r="F1619" s="1" t="s">
        <v>4251</v>
      </c>
      <c r="G1619" s="1" t="s">
        <v>4252</v>
      </c>
      <c r="H1619" s="2"/>
      <c r="I1619" s="5">
        <f>XLOOKUP(K1619, pharmaceutical_index!B:B, pharmaceutical_index!A:A, "Not Found")</f>
      </c>
      <c r="J1619" s="1" t="s">
        <v>3374</v>
      </c>
      <c r="K1619" s="1" t="s">
        <v>3374</v>
      </c>
      <c r="L1619" s="1" t="s">
        <v>20</v>
      </c>
      <c r="M1619" s="1" t="s">
        <v>3374</v>
      </c>
      <c r="N1619" s="2"/>
      <c r="O1619" s="2"/>
      <c r="P1619" s="2"/>
      <c r="Q1619" s="2"/>
    </row>
    <row x14ac:dyDescent="0.25" r="1620" customHeight="1" ht="17.25">
      <c r="A1620" s="1" t="s">
        <v>5403</v>
      </c>
      <c r="B1620" s="1" t="s">
        <v>3376</v>
      </c>
      <c r="C1620" s="1" t="s">
        <v>3576</v>
      </c>
      <c r="D1620" s="1" t="s">
        <v>20</v>
      </c>
      <c r="E1620" s="1" t="s">
        <v>4250</v>
      </c>
      <c r="F1620" s="1" t="s">
        <v>4251</v>
      </c>
      <c r="G1620" s="1" t="s">
        <v>4252</v>
      </c>
      <c r="H1620" s="2"/>
      <c r="I1620" s="5">
        <f>XLOOKUP(K1620, pharmaceutical_index!B:B, pharmaceutical_index!A:A, "Not Found")</f>
      </c>
      <c r="J1620" s="1" t="s">
        <v>3376</v>
      </c>
      <c r="K1620" s="1" t="s">
        <v>3376</v>
      </c>
      <c r="L1620" s="1" t="s">
        <v>20</v>
      </c>
      <c r="M1620" s="1" t="s">
        <v>3376</v>
      </c>
      <c r="N1620" s="2"/>
      <c r="O1620" s="2"/>
      <c r="P1620" s="2"/>
      <c r="Q1620" s="2"/>
    </row>
    <row x14ac:dyDescent="0.25" r="1621" customHeight="1" ht="17.25">
      <c r="A1621" s="1" t="s">
        <v>5404</v>
      </c>
      <c r="B1621" s="1" t="s">
        <v>3378</v>
      </c>
      <c r="C1621" s="1" t="s">
        <v>3576</v>
      </c>
      <c r="D1621" s="1" t="s">
        <v>20</v>
      </c>
      <c r="E1621" s="1" t="s">
        <v>4250</v>
      </c>
      <c r="F1621" s="1" t="s">
        <v>4251</v>
      </c>
      <c r="G1621" s="1" t="s">
        <v>4252</v>
      </c>
      <c r="H1621" s="2"/>
      <c r="I1621" s="5">
        <f>XLOOKUP(K1621, pharmaceutical_index!B:B, pharmaceutical_index!A:A, "Not Found")</f>
      </c>
      <c r="J1621" s="1" t="s">
        <v>3378</v>
      </c>
      <c r="K1621" s="1" t="s">
        <v>3378</v>
      </c>
      <c r="L1621" s="1" t="s">
        <v>20</v>
      </c>
      <c r="M1621" s="1" t="s">
        <v>3378</v>
      </c>
      <c r="N1621" s="2"/>
      <c r="O1621" s="2"/>
      <c r="P1621" s="2"/>
      <c r="Q1621" s="2"/>
    </row>
    <row x14ac:dyDescent="0.25" r="1622" customHeight="1" ht="17.25">
      <c r="A1622" s="1" t="s">
        <v>5405</v>
      </c>
      <c r="B1622" s="1" t="s">
        <v>3380</v>
      </c>
      <c r="C1622" s="1" t="s">
        <v>3576</v>
      </c>
      <c r="D1622" s="1" t="s">
        <v>20</v>
      </c>
      <c r="E1622" s="1" t="s">
        <v>4250</v>
      </c>
      <c r="F1622" s="1" t="s">
        <v>4251</v>
      </c>
      <c r="G1622" s="1" t="s">
        <v>4252</v>
      </c>
      <c r="H1622" s="2"/>
      <c r="I1622" s="5">
        <f>XLOOKUP(K1622, pharmaceutical_index!B:B, pharmaceutical_index!A:A, "Not Found")</f>
      </c>
      <c r="J1622" s="1" t="s">
        <v>3380</v>
      </c>
      <c r="K1622" s="1" t="s">
        <v>3380</v>
      </c>
      <c r="L1622" s="1" t="s">
        <v>20</v>
      </c>
      <c r="M1622" s="1" t="s">
        <v>3380</v>
      </c>
      <c r="N1622" s="2"/>
      <c r="O1622" s="2"/>
      <c r="P1622" s="2"/>
      <c r="Q1622" s="2"/>
    </row>
    <row x14ac:dyDescent="0.25" r="1623" customHeight="1" ht="17.25">
      <c r="A1623" s="1" t="s">
        <v>5406</v>
      </c>
      <c r="B1623" s="1" t="s">
        <v>3382</v>
      </c>
      <c r="C1623" s="1" t="s">
        <v>3576</v>
      </c>
      <c r="D1623" s="1" t="s">
        <v>20</v>
      </c>
      <c r="E1623" s="1" t="s">
        <v>4250</v>
      </c>
      <c r="F1623" s="1" t="s">
        <v>4251</v>
      </c>
      <c r="G1623" s="1" t="s">
        <v>4252</v>
      </c>
      <c r="H1623" s="2"/>
      <c r="I1623" s="5">
        <f>XLOOKUP(K1623, pharmaceutical_index!B:B, pharmaceutical_index!A:A, "Not Found")</f>
      </c>
      <c r="J1623" s="1" t="s">
        <v>3382</v>
      </c>
      <c r="K1623" s="1" t="s">
        <v>3382</v>
      </c>
      <c r="L1623" s="1" t="s">
        <v>20</v>
      </c>
      <c r="M1623" s="1" t="s">
        <v>3382</v>
      </c>
      <c r="N1623" s="2"/>
      <c r="O1623" s="2"/>
      <c r="P1623" s="2"/>
      <c r="Q1623" s="2"/>
    </row>
    <row x14ac:dyDescent="0.25" r="1624" customHeight="1" ht="17.25">
      <c r="A1624" s="1" t="s">
        <v>5407</v>
      </c>
      <c r="B1624" s="1" t="s">
        <v>3384</v>
      </c>
      <c r="C1624" s="1" t="s">
        <v>3576</v>
      </c>
      <c r="D1624" s="1" t="s">
        <v>20</v>
      </c>
      <c r="E1624" s="1" t="s">
        <v>4250</v>
      </c>
      <c r="F1624" s="1" t="s">
        <v>4251</v>
      </c>
      <c r="G1624" s="1" t="s">
        <v>4252</v>
      </c>
      <c r="H1624" s="2"/>
      <c r="I1624" s="5">
        <f>XLOOKUP(K1624, pharmaceutical_index!B:B, pharmaceutical_index!A:A, "Not Found")</f>
      </c>
      <c r="J1624" s="1" t="s">
        <v>3384</v>
      </c>
      <c r="K1624" s="1" t="s">
        <v>3384</v>
      </c>
      <c r="L1624" s="1" t="s">
        <v>20</v>
      </c>
      <c r="M1624" s="1" t="s">
        <v>3384</v>
      </c>
      <c r="N1624" s="2"/>
      <c r="O1624" s="2"/>
      <c r="P1624" s="2"/>
      <c r="Q1624" s="2"/>
    </row>
    <row x14ac:dyDescent="0.25" r="1625" customHeight="1" ht="17.25">
      <c r="A1625" s="1" t="s">
        <v>5408</v>
      </c>
      <c r="B1625" s="1" t="s">
        <v>3386</v>
      </c>
      <c r="C1625" s="1" t="s">
        <v>3576</v>
      </c>
      <c r="D1625" s="1" t="s">
        <v>20</v>
      </c>
      <c r="E1625" s="1" t="s">
        <v>4250</v>
      </c>
      <c r="F1625" s="1" t="s">
        <v>4251</v>
      </c>
      <c r="G1625" s="1" t="s">
        <v>4252</v>
      </c>
      <c r="H1625" s="2"/>
      <c r="I1625" s="5">
        <f>XLOOKUP(K1625, pharmaceutical_index!B:B, pharmaceutical_index!A:A, "Not Found")</f>
      </c>
      <c r="J1625" s="1" t="s">
        <v>3386</v>
      </c>
      <c r="K1625" s="1" t="s">
        <v>3386</v>
      </c>
      <c r="L1625" s="1" t="s">
        <v>20</v>
      </c>
      <c r="M1625" s="1" t="s">
        <v>3386</v>
      </c>
      <c r="N1625" s="2"/>
      <c r="O1625" s="2"/>
      <c r="P1625" s="2"/>
      <c r="Q1625" s="2"/>
    </row>
    <row x14ac:dyDescent="0.25" r="1626" customHeight="1" ht="17.25">
      <c r="A1626" s="1" t="s">
        <v>5409</v>
      </c>
      <c r="B1626" s="1" t="s">
        <v>3388</v>
      </c>
      <c r="C1626" s="1" t="s">
        <v>3576</v>
      </c>
      <c r="D1626" s="1" t="s">
        <v>20</v>
      </c>
      <c r="E1626" s="1" t="s">
        <v>4250</v>
      </c>
      <c r="F1626" s="1" t="s">
        <v>4251</v>
      </c>
      <c r="G1626" s="1" t="s">
        <v>4252</v>
      </c>
      <c r="H1626" s="2"/>
      <c r="I1626" s="5">
        <f>XLOOKUP(K1626, pharmaceutical_index!B:B, pharmaceutical_index!A:A, "Not Found")</f>
      </c>
      <c r="J1626" s="1" t="s">
        <v>3388</v>
      </c>
      <c r="K1626" s="1" t="s">
        <v>3388</v>
      </c>
      <c r="L1626" s="1" t="s">
        <v>20</v>
      </c>
      <c r="M1626" s="1" t="s">
        <v>3388</v>
      </c>
      <c r="N1626" s="2"/>
      <c r="O1626" s="2"/>
      <c r="P1626" s="2"/>
      <c r="Q1626" s="2"/>
    </row>
    <row x14ac:dyDescent="0.25" r="1627" customHeight="1" ht="17.25">
      <c r="A1627" s="1" t="s">
        <v>5410</v>
      </c>
      <c r="B1627" s="1" t="s">
        <v>3390</v>
      </c>
      <c r="C1627" s="1" t="s">
        <v>3576</v>
      </c>
      <c r="D1627" s="1" t="s">
        <v>20</v>
      </c>
      <c r="E1627" s="1" t="s">
        <v>4250</v>
      </c>
      <c r="F1627" s="1" t="s">
        <v>4251</v>
      </c>
      <c r="G1627" s="1" t="s">
        <v>4252</v>
      </c>
      <c r="H1627" s="2"/>
      <c r="I1627" s="5">
        <f>XLOOKUP(K1627, pharmaceutical_index!B:B, pharmaceutical_index!A:A, "Not Found")</f>
      </c>
      <c r="J1627" s="1" t="s">
        <v>3390</v>
      </c>
      <c r="K1627" s="1" t="s">
        <v>3390</v>
      </c>
      <c r="L1627" s="1" t="s">
        <v>20</v>
      </c>
      <c r="M1627" s="1" t="s">
        <v>3390</v>
      </c>
      <c r="N1627" s="2"/>
      <c r="O1627" s="2"/>
      <c r="P1627" s="2"/>
      <c r="Q1627" s="2"/>
    </row>
    <row x14ac:dyDescent="0.25" r="1628" customHeight="1" ht="17.25">
      <c r="A1628" s="1" t="s">
        <v>5411</v>
      </c>
      <c r="B1628" s="1" t="s">
        <v>3392</v>
      </c>
      <c r="C1628" s="1" t="s">
        <v>3576</v>
      </c>
      <c r="D1628" s="1" t="s">
        <v>20</v>
      </c>
      <c r="E1628" s="1" t="s">
        <v>4250</v>
      </c>
      <c r="F1628" s="1" t="s">
        <v>4251</v>
      </c>
      <c r="G1628" s="1" t="s">
        <v>4252</v>
      </c>
      <c r="H1628" s="2"/>
      <c r="I1628" s="5">
        <f>XLOOKUP(K1628, pharmaceutical_index!B:B, pharmaceutical_index!A:A, "Not Found")</f>
      </c>
      <c r="J1628" s="1" t="s">
        <v>3392</v>
      </c>
      <c r="K1628" s="1" t="s">
        <v>3392</v>
      </c>
      <c r="L1628" s="1" t="s">
        <v>20</v>
      </c>
      <c r="M1628" s="1" t="s">
        <v>3392</v>
      </c>
      <c r="N1628" s="2"/>
      <c r="O1628" s="2"/>
      <c r="P1628" s="2"/>
      <c r="Q1628" s="2"/>
    </row>
    <row x14ac:dyDescent="0.25" r="1629" customHeight="1" ht="17.25">
      <c r="A1629" s="1" t="s">
        <v>5412</v>
      </c>
      <c r="B1629" s="1" t="s">
        <v>3394</v>
      </c>
      <c r="C1629" s="1" t="s">
        <v>3576</v>
      </c>
      <c r="D1629" s="1" t="s">
        <v>20</v>
      </c>
      <c r="E1629" s="1" t="s">
        <v>4250</v>
      </c>
      <c r="F1629" s="1" t="s">
        <v>4251</v>
      </c>
      <c r="G1629" s="1" t="s">
        <v>4252</v>
      </c>
      <c r="H1629" s="2"/>
      <c r="I1629" s="5">
        <f>XLOOKUP(K1629, pharmaceutical_index!B:B, pharmaceutical_index!A:A, "Not Found")</f>
      </c>
      <c r="J1629" s="1" t="s">
        <v>3394</v>
      </c>
      <c r="K1629" s="1" t="s">
        <v>3394</v>
      </c>
      <c r="L1629" s="1" t="s">
        <v>20</v>
      </c>
      <c r="M1629" s="1" t="s">
        <v>3394</v>
      </c>
      <c r="N1629" s="2"/>
      <c r="O1629" s="2"/>
      <c r="P1629" s="2"/>
      <c r="Q1629" s="2"/>
    </row>
    <row x14ac:dyDescent="0.25" r="1630" customHeight="1" ht="17.25">
      <c r="A1630" s="1" t="s">
        <v>5413</v>
      </c>
      <c r="B1630" s="1" t="s">
        <v>3396</v>
      </c>
      <c r="C1630" s="1" t="s">
        <v>3576</v>
      </c>
      <c r="D1630" s="1" t="s">
        <v>20</v>
      </c>
      <c r="E1630" s="1" t="s">
        <v>4250</v>
      </c>
      <c r="F1630" s="1" t="s">
        <v>4251</v>
      </c>
      <c r="G1630" s="1" t="s">
        <v>4252</v>
      </c>
      <c r="H1630" s="2"/>
      <c r="I1630" s="5">
        <f>XLOOKUP(K1630, pharmaceutical_index!B:B, pharmaceutical_index!A:A, "Not Found")</f>
      </c>
      <c r="J1630" s="1" t="s">
        <v>3396</v>
      </c>
      <c r="K1630" s="1" t="s">
        <v>3396</v>
      </c>
      <c r="L1630" s="1" t="s">
        <v>20</v>
      </c>
      <c r="M1630" s="1" t="s">
        <v>3396</v>
      </c>
      <c r="N1630" s="2"/>
      <c r="O1630" s="2"/>
      <c r="P1630" s="2"/>
      <c r="Q1630" s="2"/>
    </row>
    <row x14ac:dyDescent="0.25" r="1631" customHeight="1" ht="17.25">
      <c r="A1631" s="1" t="s">
        <v>5414</v>
      </c>
      <c r="B1631" s="1" t="s">
        <v>3398</v>
      </c>
      <c r="C1631" s="1" t="s">
        <v>3576</v>
      </c>
      <c r="D1631" s="1" t="s">
        <v>20</v>
      </c>
      <c r="E1631" s="1" t="s">
        <v>4250</v>
      </c>
      <c r="F1631" s="1" t="s">
        <v>4251</v>
      </c>
      <c r="G1631" s="1" t="s">
        <v>4252</v>
      </c>
      <c r="H1631" s="2"/>
      <c r="I1631" s="5">
        <f>XLOOKUP(K1631, pharmaceutical_index!B:B, pharmaceutical_index!A:A, "Not Found")</f>
      </c>
      <c r="J1631" s="1" t="s">
        <v>3398</v>
      </c>
      <c r="K1631" s="1" t="s">
        <v>3398</v>
      </c>
      <c r="L1631" s="1" t="s">
        <v>20</v>
      </c>
      <c r="M1631" s="1" t="s">
        <v>3398</v>
      </c>
      <c r="N1631" s="2"/>
      <c r="O1631" s="2"/>
      <c r="P1631" s="2"/>
      <c r="Q1631" s="2"/>
    </row>
    <row x14ac:dyDescent="0.25" r="1632" customHeight="1" ht="17.25">
      <c r="A1632" s="1" t="s">
        <v>5415</v>
      </c>
      <c r="B1632" s="1" t="s">
        <v>3400</v>
      </c>
      <c r="C1632" s="1" t="s">
        <v>3576</v>
      </c>
      <c r="D1632" s="1" t="s">
        <v>20</v>
      </c>
      <c r="E1632" s="1" t="s">
        <v>4250</v>
      </c>
      <c r="F1632" s="1" t="s">
        <v>4251</v>
      </c>
      <c r="G1632" s="1" t="s">
        <v>4252</v>
      </c>
      <c r="H1632" s="2"/>
      <c r="I1632" s="5">
        <f>XLOOKUP(K1632, pharmaceutical_index!B:B, pharmaceutical_index!A:A, "Not Found")</f>
      </c>
      <c r="J1632" s="1" t="s">
        <v>3400</v>
      </c>
      <c r="K1632" s="1" t="s">
        <v>3400</v>
      </c>
      <c r="L1632" s="1" t="s">
        <v>20</v>
      </c>
      <c r="M1632" s="1" t="s">
        <v>3400</v>
      </c>
      <c r="N1632" s="2"/>
      <c r="O1632" s="2"/>
      <c r="P1632" s="2"/>
      <c r="Q1632" s="2"/>
    </row>
    <row x14ac:dyDescent="0.25" r="1633" customHeight="1" ht="17.25">
      <c r="A1633" s="1" t="s">
        <v>5416</v>
      </c>
      <c r="B1633" s="1" t="s">
        <v>3402</v>
      </c>
      <c r="C1633" s="1" t="s">
        <v>3576</v>
      </c>
      <c r="D1633" s="1" t="s">
        <v>20</v>
      </c>
      <c r="E1633" s="1" t="s">
        <v>4250</v>
      </c>
      <c r="F1633" s="1" t="s">
        <v>4251</v>
      </c>
      <c r="G1633" s="1" t="s">
        <v>4252</v>
      </c>
      <c r="H1633" s="2"/>
      <c r="I1633" s="5">
        <f>XLOOKUP(K1633, pharmaceutical_index!B:B, pharmaceutical_index!A:A, "Not Found")</f>
      </c>
      <c r="J1633" s="1" t="s">
        <v>3402</v>
      </c>
      <c r="K1633" s="1" t="s">
        <v>3402</v>
      </c>
      <c r="L1633" s="1" t="s">
        <v>20</v>
      </c>
      <c r="M1633" s="1" t="s">
        <v>3402</v>
      </c>
      <c r="N1633" s="2"/>
      <c r="O1633" s="2"/>
      <c r="P1633" s="2"/>
      <c r="Q1633" s="2"/>
    </row>
    <row x14ac:dyDescent="0.25" r="1634" customHeight="1" ht="17.25">
      <c r="A1634" s="1" t="s">
        <v>5417</v>
      </c>
      <c r="B1634" s="1" t="s">
        <v>3404</v>
      </c>
      <c r="C1634" s="1" t="s">
        <v>3576</v>
      </c>
      <c r="D1634" s="1" t="s">
        <v>20</v>
      </c>
      <c r="E1634" s="1" t="s">
        <v>4250</v>
      </c>
      <c r="F1634" s="1" t="s">
        <v>4251</v>
      </c>
      <c r="G1634" s="1" t="s">
        <v>4252</v>
      </c>
      <c r="H1634" s="2"/>
      <c r="I1634" s="5">
        <f>XLOOKUP(K1634, pharmaceutical_index!B:B, pharmaceutical_index!A:A, "Not Found")</f>
      </c>
      <c r="J1634" s="1" t="s">
        <v>3404</v>
      </c>
      <c r="K1634" s="1" t="s">
        <v>3404</v>
      </c>
      <c r="L1634" s="1" t="s">
        <v>20</v>
      </c>
      <c r="M1634" s="1" t="s">
        <v>3404</v>
      </c>
      <c r="N1634" s="2"/>
      <c r="O1634" s="2"/>
      <c r="P1634" s="2"/>
      <c r="Q1634" s="2"/>
    </row>
    <row x14ac:dyDescent="0.25" r="1635" customHeight="1" ht="17.25">
      <c r="A1635" s="1" t="s">
        <v>5418</v>
      </c>
      <c r="B1635" s="1" t="s">
        <v>3406</v>
      </c>
      <c r="C1635" s="1" t="s">
        <v>3576</v>
      </c>
      <c r="D1635" s="1" t="s">
        <v>20</v>
      </c>
      <c r="E1635" s="1" t="s">
        <v>4250</v>
      </c>
      <c r="F1635" s="1" t="s">
        <v>4251</v>
      </c>
      <c r="G1635" s="1" t="s">
        <v>4252</v>
      </c>
      <c r="H1635" s="2"/>
      <c r="I1635" s="5">
        <f>XLOOKUP(K1635, pharmaceutical_index!B:B, pharmaceutical_index!A:A, "Not Found")</f>
      </c>
      <c r="J1635" s="1" t="s">
        <v>3406</v>
      </c>
      <c r="K1635" s="1" t="s">
        <v>3406</v>
      </c>
      <c r="L1635" s="1" t="s">
        <v>20</v>
      </c>
      <c r="M1635" s="1" t="s">
        <v>3406</v>
      </c>
      <c r="N1635" s="2"/>
      <c r="O1635" s="2"/>
      <c r="P1635" s="2"/>
      <c r="Q1635" s="2"/>
    </row>
    <row x14ac:dyDescent="0.25" r="1636" customHeight="1" ht="17.25">
      <c r="A1636" s="1" t="s">
        <v>5419</v>
      </c>
      <c r="B1636" s="1" t="s">
        <v>3408</v>
      </c>
      <c r="C1636" s="1" t="s">
        <v>3576</v>
      </c>
      <c r="D1636" s="1" t="s">
        <v>20</v>
      </c>
      <c r="E1636" s="1" t="s">
        <v>4250</v>
      </c>
      <c r="F1636" s="1" t="s">
        <v>4251</v>
      </c>
      <c r="G1636" s="1" t="s">
        <v>4252</v>
      </c>
      <c r="H1636" s="2"/>
      <c r="I1636" s="5">
        <f>XLOOKUP(K1636, pharmaceutical_index!B:B, pharmaceutical_index!A:A, "Not Found")</f>
      </c>
      <c r="J1636" s="1" t="s">
        <v>3408</v>
      </c>
      <c r="K1636" s="1" t="s">
        <v>3408</v>
      </c>
      <c r="L1636" s="1" t="s">
        <v>20</v>
      </c>
      <c r="M1636" s="1" t="s">
        <v>3408</v>
      </c>
      <c r="N1636" s="2"/>
      <c r="O1636" s="2"/>
      <c r="P1636" s="2"/>
      <c r="Q1636" s="2"/>
    </row>
    <row x14ac:dyDescent="0.25" r="1637" customHeight="1" ht="17.25">
      <c r="A1637" s="1" t="s">
        <v>5420</v>
      </c>
      <c r="B1637" s="1" t="s">
        <v>3410</v>
      </c>
      <c r="C1637" s="1" t="s">
        <v>3576</v>
      </c>
      <c r="D1637" s="1" t="s">
        <v>20</v>
      </c>
      <c r="E1637" s="1" t="s">
        <v>4250</v>
      </c>
      <c r="F1637" s="1" t="s">
        <v>4251</v>
      </c>
      <c r="G1637" s="1" t="s">
        <v>4252</v>
      </c>
      <c r="H1637" s="2"/>
      <c r="I1637" s="5">
        <f>XLOOKUP(K1637, pharmaceutical_index!B:B, pharmaceutical_index!A:A, "Not Found")</f>
      </c>
      <c r="J1637" s="1" t="s">
        <v>3410</v>
      </c>
      <c r="K1637" s="1" t="s">
        <v>3410</v>
      </c>
      <c r="L1637" s="1" t="s">
        <v>20</v>
      </c>
      <c r="M1637" s="1" t="s">
        <v>3410</v>
      </c>
      <c r="N1637" s="2"/>
      <c r="O1637" s="2"/>
      <c r="P1637" s="2"/>
      <c r="Q1637" s="2"/>
    </row>
    <row x14ac:dyDescent="0.25" r="1638" customHeight="1" ht="17.25">
      <c r="A1638" s="1" t="s">
        <v>5421</v>
      </c>
      <c r="B1638" s="1" t="s">
        <v>3412</v>
      </c>
      <c r="C1638" s="1" t="s">
        <v>3576</v>
      </c>
      <c r="D1638" s="1" t="s">
        <v>20</v>
      </c>
      <c r="E1638" s="1" t="s">
        <v>4250</v>
      </c>
      <c r="F1638" s="1" t="s">
        <v>4251</v>
      </c>
      <c r="G1638" s="1" t="s">
        <v>4252</v>
      </c>
      <c r="H1638" s="2"/>
      <c r="I1638" s="5">
        <f>XLOOKUP(K1638, pharmaceutical_index!B:B, pharmaceutical_index!A:A, "Not Found")</f>
      </c>
      <c r="J1638" s="1" t="s">
        <v>3412</v>
      </c>
      <c r="K1638" s="1" t="s">
        <v>3412</v>
      </c>
      <c r="L1638" s="1" t="s">
        <v>20</v>
      </c>
      <c r="M1638" s="1" t="s">
        <v>3412</v>
      </c>
      <c r="N1638" s="2"/>
      <c r="O1638" s="2"/>
      <c r="P1638" s="2"/>
      <c r="Q1638" s="2"/>
    </row>
    <row x14ac:dyDescent="0.25" r="1639" customHeight="1" ht="17.25">
      <c r="A1639" s="1" t="s">
        <v>5422</v>
      </c>
      <c r="B1639" s="1" t="s">
        <v>3414</v>
      </c>
      <c r="C1639" s="1" t="s">
        <v>3576</v>
      </c>
      <c r="D1639" s="1" t="s">
        <v>20</v>
      </c>
      <c r="E1639" s="1" t="s">
        <v>4250</v>
      </c>
      <c r="F1639" s="1" t="s">
        <v>4251</v>
      </c>
      <c r="G1639" s="1" t="s">
        <v>4252</v>
      </c>
      <c r="H1639" s="2"/>
      <c r="I1639" s="5">
        <f>XLOOKUP(K1639, pharmaceutical_index!B:B, pharmaceutical_index!A:A, "Not Found")</f>
      </c>
      <c r="J1639" s="1" t="s">
        <v>3414</v>
      </c>
      <c r="K1639" s="1" t="s">
        <v>3414</v>
      </c>
      <c r="L1639" s="1" t="s">
        <v>20</v>
      </c>
      <c r="M1639" s="1" t="s">
        <v>3414</v>
      </c>
      <c r="N1639" s="2"/>
      <c r="O1639" s="2"/>
      <c r="P1639" s="2"/>
      <c r="Q1639" s="2"/>
    </row>
    <row x14ac:dyDescent="0.25" r="1640" customHeight="1" ht="17.25">
      <c r="A1640" s="1" t="s">
        <v>5423</v>
      </c>
      <c r="B1640" s="1" t="s">
        <v>3416</v>
      </c>
      <c r="C1640" s="1" t="s">
        <v>3576</v>
      </c>
      <c r="D1640" s="1" t="s">
        <v>20</v>
      </c>
      <c r="E1640" s="1" t="s">
        <v>4250</v>
      </c>
      <c r="F1640" s="1" t="s">
        <v>4251</v>
      </c>
      <c r="G1640" s="1" t="s">
        <v>4252</v>
      </c>
      <c r="H1640" s="2"/>
      <c r="I1640" s="5">
        <f>XLOOKUP(K1640, pharmaceutical_index!B:B, pharmaceutical_index!A:A, "Not Found")</f>
      </c>
      <c r="J1640" s="1" t="s">
        <v>3416</v>
      </c>
      <c r="K1640" s="1" t="s">
        <v>3416</v>
      </c>
      <c r="L1640" s="1" t="s">
        <v>20</v>
      </c>
      <c r="M1640" s="1" t="s">
        <v>3416</v>
      </c>
      <c r="N1640" s="2"/>
      <c r="O1640" s="2"/>
      <c r="P1640" s="2"/>
      <c r="Q1640" s="2"/>
    </row>
    <row x14ac:dyDescent="0.25" r="1641" customHeight="1" ht="17.25">
      <c r="A1641" s="1" t="s">
        <v>5424</v>
      </c>
      <c r="B1641" s="1" t="s">
        <v>3418</v>
      </c>
      <c r="C1641" s="1" t="s">
        <v>3576</v>
      </c>
      <c r="D1641" s="1" t="s">
        <v>20</v>
      </c>
      <c r="E1641" s="1" t="s">
        <v>4250</v>
      </c>
      <c r="F1641" s="1" t="s">
        <v>4251</v>
      </c>
      <c r="G1641" s="1" t="s">
        <v>4252</v>
      </c>
      <c r="H1641" s="2"/>
      <c r="I1641" s="5">
        <f>XLOOKUP(K1641, pharmaceutical_index!B:B, pharmaceutical_index!A:A, "Not Found")</f>
      </c>
      <c r="J1641" s="1" t="s">
        <v>3418</v>
      </c>
      <c r="K1641" s="1" t="s">
        <v>3418</v>
      </c>
      <c r="L1641" s="1" t="s">
        <v>20</v>
      </c>
      <c r="M1641" s="1" t="s">
        <v>3418</v>
      </c>
      <c r="N1641" s="2"/>
      <c r="O1641" s="2"/>
      <c r="P1641" s="2"/>
      <c r="Q1641" s="2"/>
    </row>
    <row x14ac:dyDescent="0.25" r="1642" customHeight="1" ht="17.25">
      <c r="A1642" s="1" t="s">
        <v>5425</v>
      </c>
      <c r="B1642" s="1" t="s">
        <v>3420</v>
      </c>
      <c r="C1642" s="1" t="s">
        <v>3576</v>
      </c>
      <c r="D1642" s="1" t="s">
        <v>20</v>
      </c>
      <c r="E1642" s="1" t="s">
        <v>4250</v>
      </c>
      <c r="F1642" s="1" t="s">
        <v>4251</v>
      </c>
      <c r="G1642" s="1" t="s">
        <v>4252</v>
      </c>
      <c r="H1642" s="2"/>
      <c r="I1642" s="5">
        <f>XLOOKUP(K1642, pharmaceutical_index!B:B, pharmaceutical_index!A:A, "Not Found")</f>
      </c>
      <c r="J1642" s="1" t="s">
        <v>3420</v>
      </c>
      <c r="K1642" s="1" t="s">
        <v>3420</v>
      </c>
      <c r="L1642" s="1" t="s">
        <v>20</v>
      </c>
      <c r="M1642" s="1" t="s">
        <v>3420</v>
      </c>
      <c r="N1642" s="2"/>
      <c r="O1642" s="2"/>
      <c r="P1642" s="2"/>
      <c r="Q1642" s="2"/>
    </row>
    <row x14ac:dyDescent="0.25" r="1643" customHeight="1" ht="17.25">
      <c r="A1643" s="1" t="s">
        <v>5426</v>
      </c>
      <c r="B1643" s="1" t="s">
        <v>3422</v>
      </c>
      <c r="C1643" s="1" t="s">
        <v>3576</v>
      </c>
      <c r="D1643" s="1" t="s">
        <v>20</v>
      </c>
      <c r="E1643" s="1" t="s">
        <v>4250</v>
      </c>
      <c r="F1643" s="1" t="s">
        <v>4251</v>
      </c>
      <c r="G1643" s="1" t="s">
        <v>4252</v>
      </c>
      <c r="H1643" s="2"/>
      <c r="I1643" s="5">
        <f>XLOOKUP(K1643, pharmaceutical_index!B:B, pharmaceutical_index!A:A, "Not Found")</f>
      </c>
      <c r="J1643" s="1" t="s">
        <v>3422</v>
      </c>
      <c r="K1643" s="1" t="s">
        <v>3422</v>
      </c>
      <c r="L1643" s="1" t="s">
        <v>20</v>
      </c>
      <c r="M1643" s="1" t="s">
        <v>3422</v>
      </c>
      <c r="N1643" s="2"/>
      <c r="O1643" s="2"/>
      <c r="P1643" s="2"/>
      <c r="Q1643" s="2"/>
    </row>
    <row x14ac:dyDescent="0.25" r="1644" customHeight="1" ht="17.25">
      <c r="A1644" s="1" t="s">
        <v>5427</v>
      </c>
      <c r="B1644" s="1" t="s">
        <v>3424</v>
      </c>
      <c r="C1644" s="1" t="s">
        <v>3576</v>
      </c>
      <c r="D1644" s="1" t="s">
        <v>20</v>
      </c>
      <c r="E1644" s="1" t="s">
        <v>4250</v>
      </c>
      <c r="F1644" s="1" t="s">
        <v>4251</v>
      </c>
      <c r="G1644" s="1" t="s">
        <v>4252</v>
      </c>
      <c r="H1644" s="2"/>
      <c r="I1644" s="5">
        <f>XLOOKUP(K1644, pharmaceutical_index!B:B, pharmaceutical_index!A:A, "Not Found")</f>
      </c>
      <c r="J1644" s="1" t="s">
        <v>3424</v>
      </c>
      <c r="K1644" s="1" t="s">
        <v>3424</v>
      </c>
      <c r="L1644" s="1" t="s">
        <v>20</v>
      </c>
      <c r="M1644" s="1" t="s">
        <v>3424</v>
      </c>
      <c r="N1644" s="2"/>
      <c r="O1644" s="2"/>
      <c r="P1644" s="2"/>
      <c r="Q1644" s="2"/>
    </row>
    <row x14ac:dyDescent="0.25" r="1645" customHeight="1" ht="17.25">
      <c r="A1645" s="1" t="s">
        <v>5428</v>
      </c>
      <c r="B1645" s="1" t="s">
        <v>3426</v>
      </c>
      <c r="C1645" s="1" t="s">
        <v>3576</v>
      </c>
      <c r="D1645" s="1" t="s">
        <v>20</v>
      </c>
      <c r="E1645" s="1" t="s">
        <v>4250</v>
      </c>
      <c r="F1645" s="1" t="s">
        <v>4251</v>
      </c>
      <c r="G1645" s="1" t="s">
        <v>4252</v>
      </c>
      <c r="H1645" s="2"/>
      <c r="I1645" s="5">
        <f>XLOOKUP(K1645, pharmaceutical_index!B:B, pharmaceutical_index!A:A, "Not Found")</f>
      </c>
      <c r="J1645" s="1" t="s">
        <v>3426</v>
      </c>
      <c r="K1645" s="1" t="s">
        <v>3426</v>
      </c>
      <c r="L1645" s="1" t="s">
        <v>20</v>
      </c>
      <c r="M1645" s="1" t="s">
        <v>3426</v>
      </c>
      <c r="N1645" s="2"/>
      <c r="O1645" s="2"/>
      <c r="P1645" s="2"/>
      <c r="Q1645" s="2"/>
    </row>
    <row x14ac:dyDescent="0.25" r="1646" customHeight="1" ht="17.25">
      <c r="A1646" s="1" t="s">
        <v>5429</v>
      </c>
      <c r="B1646" s="1" t="s">
        <v>3428</v>
      </c>
      <c r="C1646" s="1" t="s">
        <v>3576</v>
      </c>
      <c r="D1646" s="1" t="s">
        <v>20</v>
      </c>
      <c r="E1646" s="1" t="s">
        <v>4250</v>
      </c>
      <c r="F1646" s="1" t="s">
        <v>4251</v>
      </c>
      <c r="G1646" s="1" t="s">
        <v>4252</v>
      </c>
      <c r="H1646" s="2"/>
      <c r="I1646" s="5">
        <f>XLOOKUP(K1646, pharmaceutical_index!B:B, pharmaceutical_index!A:A, "Not Found")</f>
      </c>
      <c r="J1646" s="1" t="s">
        <v>3428</v>
      </c>
      <c r="K1646" s="1" t="s">
        <v>3428</v>
      </c>
      <c r="L1646" s="1" t="s">
        <v>20</v>
      </c>
      <c r="M1646" s="1" t="s">
        <v>3428</v>
      </c>
      <c r="N1646" s="2"/>
      <c r="O1646" s="2"/>
      <c r="P1646" s="2"/>
      <c r="Q1646" s="2"/>
    </row>
    <row x14ac:dyDescent="0.25" r="1647" customHeight="1" ht="17.25">
      <c r="A1647" s="1" t="s">
        <v>5430</v>
      </c>
      <c r="B1647" s="1" t="s">
        <v>3430</v>
      </c>
      <c r="C1647" s="1" t="s">
        <v>3576</v>
      </c>
      <c r="D1647" s="1" t="s">
        <v>20</v>
      </c>
      <c r="E1647" s="1" t="s">
        <v>4250</v>
      </c>
      <c r="F1647" s="1" t="s">
        <v>4251</v>
      </c>
      <c r="G1647" s="1" t="s">
        <v>4252</v>
      </c>
      <c r="H1647" s="2"/>
      <c r="I1647" s="5">
        <f>XLOOKUP(K1647, pharmaceutical_index!B:B, pharmaceutical_index!A:A, "Not Found")</f>
      </c>
      <c r="J1647" s="1" t="s">
        <v>3430</v>
      </c>
      <c r="K1647" s="1" t="s">
        <v>3430</v>
      </c>
      <c r="L1647" s="1" t="s">
        <v>20</v>
      </c>
      <c r="M1647" s="1" t="s">
        <v>3430</v>
      </c>
      <c r="N1647" s="2"/>
      <c r="O1647" s="2"/>
      <c r="P1647" s="2"/>
      <c r="Q1647" s="2"/>
    </row>
    <row x14ac:dyDescent="0.25" r="1648" customHeight="1" ht="17.25">
      <c r="A1648" s="1" t="s">
        <v>5431</v>
      </c>
      <c r="B1648" s="1" t="s">
        <v>3432</v>
      </c>
      <c r="C1648" s="1" t="s">
        <v>3576</v>
      </c>
      <c r="D1648" s="1" t="s">
        <v>20</v>
      </c>
      <c r="E1648" s="1" t="s">
        <v>4250</v>
      </c>
      <c r="F1648" s="1" t="s">
        <v>4251</v>
      </c>
      <c r="G1648" s="1" t="s">
        <v>4252</v>
      </c>
      <c r="H1648" s="2"/>
      <c r="I1648" s="5">
        <f>XLOOKUP(K1648, pharmaceutical_index!B:B, pharmaceutical_index!A:A, "Not Found")</f>
      </c>
      <c r="J1648" s="1" t="s">
        <v>3432</v>
      </c>
      <c r="K1648" s="1" t="s">
        <v>3432</v>
      </c>
      <c r="L1648" s="1" t="s">
        <v>20</v>
      </c>
      <c r="M1648" s="1" t="s">
        <v>3432</v>
      </c>
      <c r="N1648" s="2"/>
      <c r="O1648" s="2"/>
      <c r="P1648" s="2"/>
      <c r="Q1648" s="2"/>
    </row>
    <row x14ac:dyDescent="0.25" r="1649" customHeight="1" ht="17.25">
      <c r="A1649" s="1" t="s">
        <v>5432</v>
      </c>
      <c r="B1649" s="1" t="s">
        <v>3434</v>
      </c>
      <c r="C1649" s="1" t="s">
        <v>3576</v>
      </c>
      <c r="D1649" s="1" t="s">
        <v>20</v>
      </c>
      <c r="E1649" s="1" t="s">
        <v>4250</v>
      </c>
      <c r="F1649" s="1" t="s">
        <v>4251</v>
      </c>
      <c r="G1649" s="1" t="s">
        <v>4252</v>
      </c>
      <c r="H1649" s="2"/>
      <c r="I1649" s="5">
        <f>XLOOKUP(K1649, pharmaceutical_index!B:B, pharmaceutical_index!A:A, "Not Found")</f>
      </c>
      <c r="J1649" s="1" t="s">
        <v>3434</v>
      </c>
      <c r="K1649" s="1" t="s">
        <v>3434</v>
      </c>
      <c r="L1649" s="1" t="s">
        <v>20</v>
      </c>
      <c r="M1649" s="1" t="s">
        <v>3434</v>
      </c>
      <c r="N1649" s="2"/>
      <c r="O1649" s="2"/>
      <c r="P1649" s="2"/>
      <c r="Q1649" s="2"/>
    </row>
    <row x14ac:dyDescent="0.25" r="1650" customHeight="1" ht="17.25">
      <c r="A1650" s="1" t="s">
        <v>5433</v>
      </c>
      <c r="B1650" s="1" t="s">
        <v>3436</v>
      </c>
      <c r="C1650" s="1" t="s">
        <v>3576</v>
      </c>
      <c r="D1650" s="1" t="s">
        <v>20</v>
      </c>
      <c r="E1650" s="1" t="s">
        <v>4250</v>
      </c>
      <c r="F1650" s="1" t="s">
        <v>4251</v>
      </c>
      <c r="G1650" s="1" t="s">
        <v>4252</v>
      </c>
      <c r="H1650" s="2"/>
      <c r="I1650" s="5">
        <f>XLOOKUP(K1650, pharmaceutical_index!B:B, pharmaceutical_index!A:A, "Not Found")</f>
      </c>
      <c r="J1650" s="1" t="s">
        <v>3436</v>
      </c>
      <c r="K1650" s="1" t="s">
        <v>3436</v>
      </c>
      <c r="L1650" s="1" t="s">
        <v>20</v>
      </c>
      <c r="M1650" s="1" t="s">
        <v>3436</v>
      </c>
      <c r="N1650" s="2"/>
      <c r="O1650" s="2"/>
      <c r="P1650" s="2"/>
      <c r="Q1650" s="2"/>
    </row>
    <row x14ac:dyDescent="0.25" r="1651" customHeight="1" ht="17.25">
      <c r="A1651" s="1" t="s">
        <v>5434</v>
      </c>
      <c r="B1651" s="1" t="s">
        <v>3438</v>
      </c>
      <c r="C1651" s="1" t="s">
        <v>3576</v>
      </c>
      <c r="D1651" s="1" t="s">
        <v>20</v>
      </c>
      <c r="E1651" s="1" t="s">
        <v>4250</v>
      </c>
      <c r="F1651" s="1" t="s">
        <v>4251</v>
      </c>
      <c r="G1651" s="1" t="s">
        <v>4252</v>
      </c>
      <c r="H1651" s="2"/>
      <c r="I1651" s="5">
        <f>XLOOKUP(K1651, pharmaceutical_index!B:B, pharmaceutical_index!A:A, "Not Found")</f>
      </c>
      <c r="J1651" s="1" t="s">
        <v>3438</v>
      </c>
      <c r="K1651" s="1" t="s">
        <v>3438</v>
      </c>
      <c r="L1651" s="1" t="s">
        <v>20</v>
      </c>
      <c r="M1651" s="1" t="s">
        <v>3438</v>
      </c>
      <c r="N1651" s="2"/>
      <c r="O1651" s="2"/>
      <c r="P1651" s="2"/>
      <c r="Q1651" s="2"/>
    </row>
    <row x14ac:dyDescent="0.25" r="1652" customHeight="1" ht="17.25">
      <c r="A1652" s="1" t="s">
        <v>5435</v>
      </c>
      <c r="B1652" s="1" t="s">
        <v>3440</v>
      </c>
      <c r="C1652" s="1" t="s">
        <v>3576</v>
      </c>
      <c r="D1652" s="1" t="s">
        <v>20</v>
      </c>
      <c r="E1652" s="1" t="s">
        <v>4250</v>
      </c>
      <c r="F1652" s="1" t="s">
        <v>4251</v>
      </c>
      <c r="G1652" s="1" t="s">
        <v>4252</v>
      </c>
      <c r="H1652" s="2"/>
      <c r="I1652" s="5">
        <f>XLOOKUP(K1652, pharmaceutical_index!B:B, pharmaceutical_index!A:A, "Not Found")</f>
      </c>
      <c r="J1652" s="1" t="s">
        <v>3440</v>
      </c>
      <c r="K1652" s="1" t="s">
        <v>3440</v>
      </c>
      <c r="L1652" s="1" t="s">
        <v>20</v>
      </c>
      <c r="M1652" s="1" t="s">
        <v>3440</v>
      </c>
      <c r="N1652" s="2"/>
      <c r="O1652" s="2"/>
      <c r="P1652" s="2"/>
      <c r="Q1652" s="2"/>
    </row>
    <row x14ac:dyDescent="0.25" r="1653" customHeight="1" ht="17.25">
      <c r="A1653" s="1" t="s">
        <v>5436</v>
      </c>
      <c r="B1653" s="1" t="s">
        <v>3442</v>
      </c>
      <c r="C1653" s="1" t="s">
        <v>3576</v>
      </c>
      <c r="D1653" s="1" t="s">
        <v>20</v>
      </c>
      <c r="E1653" s="1" t="s">
        <v>4250</v>
      </c>
      <c r="F1653" s="1" t="s">
        <v>4251</v>
      </c>
      <c r="G1653" s="1" t="s">
        <v>4252</v>
      </c>
      <c r="H1653" s="2"/>
      <c r="I1653" s="5">
        <f>XLOOKUP(K1653, pharmaceutical_index!B:B, pharmaceutical_index!A:A, "Not Found")</f>
      </c>
      <c r="J1653" s="1" t="s">
        <v>3442</v>
      </c>
      <c r="K1653" s="1" t="s">
        <v>3442</v>
      </c>
      <c r="L1653" s="1" t="s">
        <v>20</v>
      </c>
      <c r="M1653" s="1" t="s">
        <v>3442</v>
      </c>
      <c r="N1653" s="2"/>
      <c r="O1653" s="2"/>
      <c r="P1653" s="2"/>
      <c r="Q1653" s="2"/>
    </row>
    <row x14ac:dyDescent="0.25" r="1654" customHeight="1" ht="17.25">
      <c r="A1654" s="1" t="s">
        <v>5437</v>
      </c>
      <c r="B1654" s="1" t="s">
        <v>3444</v>
      </c>
      <c r="C1654" s="1" t="s">
        <v>3576</v>
      </c>
      <c r="D1654" s="1" t="s">
        <v>20</v>
      </c>
      <c r="E1654" s="1" t="s">
        <v>4250</v>
      </c>
      <c r="F1654" s="1" t="s">
        <v>4251</v>
      </c>
      <c r="G1654" s="1" t="s">
        <v>4252</v>
      </c>
      <c r="H1654" s="2"/>
      <c r="I1654" s="5">
        <f>XLOOKUP(K1654, pharmaceutical_index!B:B, pharmaceutical_index!A:A, "Not Found")</f>
      </c>
      <c r="J1654" s="1" t="s">
        <v>3444</v>
      </c>
      <c r="K1654" s="1" t="s">
        <v>3444</v>
      </c>
      <c r="L1654" s="1" t="s">
        <v>20</v>
      </c>
      <c r="M1654" s="1" t="s">
        <v>3444</v>
      </c>
      <c r="N1654" s="2"/>
      <c r="O1654" s="2"/>
      <c r="P1654" s="2"/>
      <c r="Q1654" s="2"/>
    </row>
    <row x14ac:dyDescent="0.25" r="1655" customHeight="1" ht="17.25">
      <c r="A1655" s="1" t="s">
        <v>5438</v>
      </c>
      <c r="B1655" s="1" t="s">
        <v>3446</v>
      </c>
      <c r="C1655" s="1" t="s">
        <v>3576</v>
      </c>
      <c r="D1655" s="1" t="s">
        <v>20</v>
      </c>
      <c r="E1655" s="1" t="s">
        <v>4250</v>
      </c>
      <c r="F1655" s="1" t="s">
        <v>4251</v>
      </c>
      <c r="G1655" s="1" t="s">
        <v>4252</v>
      </c>
      <c r="H1655" s="2"/>
      <c r="I1655" s="5">
        <f>XLOOKUP(K1655, pharmaceutical_index!B:B, pharmaceutical_index!A:A, "Not Found")</f>
      </c>
      <c r="J1655" s="1" t="s">
        <v>3446</v>
      </c>
      <c r="K1655" s="1" t="s">
        <v>3446</v>
      </c>
      <c r="L1655" s="1" t="s">
        <v>20</v>
      </c>
      <c r="M1655" s="1" t="s">
        <v>3446</v>
      </c>
      <c r="N1655" s="2"/>
      <c r="O1655" s="2"/>
      <c r="P1655" s="2"/>
      <c r="Q1655" s="2"/>
    </row>
    <row x14ac:dyDescent="0.25" r="1656" customHeight="1" ht="17.25">
      <c r="A1656" s="1" t="s">
        <v>5439</v>
      </c>
      <c r="B1656" s="1" t="s">
        <v>3448</v>
      </c>
      <c r="C1656" s="1" t="s">
        <v>3576</v>
      </c>
      <c r="D1656" s="1" t="s">
        <v>20</v>
      </c>
      <c r="E1656" s="1" t="s">
        <v>4250</v>
      </c>
      <c r="F1656" s="1" t="s">
        <v>4251</v>
      </c>
      <c r="G1656" s="1" t="s">
        <v>4252</v>
      </c>
      <c r="H1656" s="2"/>
      <c r="I1656" s="5">
        <f>XLOOKUP(K1656, pharmaceutical_index!B:B, pharmaceutical_index!A:A, "Not Found")</f>
      </c>
      <c r="J1656" s="1" t="s">
        <v>3448</v>
      </c>
      <c r="K1656" s="1" t="s">
        <v>3448</v>
      </c>
      <c r="L1656" s="1" t="s">
        <v>20</v>
      </c>
      <c r="M1656" s="1" t="s">
        <v>3448</v>
      </c>
      <c r="N1656" s="2"/>
      <c r="O1656" s="2"/>
      <c r="P1656" s="2"/>
      <c r="Q1656" s="2"/>
    </row>
    <row x14ac:dyDescent="0.25" r="1657" customHeight="1" ht="17.25">
      <c r="A1657" s="1" t="s">
        <v>5440</v>
      </c>
      <c r="B1657" s="1" t="s">
        <v>3450</v>
      </c>
      <c r="C1657" s="1" t="s">
        <v>3576</v>
      </c>
      <c r="D1657" s="1" t="s">
        <v>20</v>
      </c>
      <c r="E1657" s="1" t="s">
        <v>4250</v>
      </c>
      <c r="F1657" s="1" t="s">
        <v>4251</v>
      </c>
      <c r="G1657" s="1" t="s">
        <v>4252</v>
      </c>
      <c r="H1657" s="2"/>
      <c r="I1657" s="5">
        <f>XLOOKUP(K1657, pharmaceutical_index!B:B, pharmaceutical_index!A:A, "Not Found")</f>
      </c>
      <c r="J1657" s="1" t="s">
        <v>3450</v>
      </c>
      <c r="K1657" s="1" t="s">
        <v>3450</v>
      </c>
      <c r="L1657" s="1" t="s">
        <v>20</v>
      </c>
      <c r="M1657" s="1" t="s">
        <v>3450</v>
      </c>
      <c r="N1657" s="2"/>
      <c r="O1657" s="2"/>
      <c r="P1657" s="2"/>
      <c r="Q1657" s="2"/>
    </row>
    <row x14ac:dyDescent="0.25" r="1658" customHeight="1" ht="17.25">
      <c r="A1658" s="1" t="s">
        <v>5441</v>
      </c>
      <c r="B1658" s="1" t="s">
        <v>3452</v>
      </c>
      <c r="C1658" s="1" t="s">
        <v>3576</v>
      </c>
      <c r="D1658" s="1" t="s">
        <v>20</v>
      </c>
      <c r="E1658" s="1" t="s">
        <v>4250</v>
      </c>
      <c r="F1658" s="1" t="s">
        <v>4251</v>
      </c>
      <c r="G1658" s="1" t="s">
        <v>4252</v>
      </c>
      <c r="H1658" s="2"/>
      <c r="I1658" s="5">
        <f>XLOOKUP(K1658, pharmaceutical_index!B:B, pharmaceutical_index!A:A, "Not Found")</f>
      </c>
      <c r="J1658" s="1" t="s">
        <v>3452</v>
      </c>
      <c r="K1658" s="1" t="s">
        <v>3452</v>
      </c>
      <c r="L1658" s="1" t="s">
        <v>20</v>
      </c>
      <c r="M1658" s="1" t="s">
        <v>3452</v>
      </c>
      <c r="N1658" s="2"/>
      <c r="O1658" s="2"/>
      <c r="P1658" s="2"/>
      <c r="Q1658" s="2"/>
    </row>
    <row x14ac:dyDescent="0.25" r="1659" customHeight="1" ht="17.25">
      <c r="A1659" s="1" t="s">
        <v>5442</v>
      </c>
      <c r="B1659" s="1" t="s">
        <v>3454</v>
      </c>
      <c r="C1659" s="1" t="s">
        <v>3576</v>
      </c>
      <c r="D1659" s="1" t="s">
        <v>20</v>
      </c>
      <c r="E1659" s="1" t="s">
        <v>4250</v>
      </c>
      <c r="F1659" s="1" t="s">
        <v>4251</v>
      </c>
      <c r="G1659" s="1" t="s">
        <v>4252</v>
      </c>
      <c r="H1659" s="2"/>
      <c r="I1659" s="5">
        <f>XLOOKUP(K1659, pharmaceutical_index!B:B, pharmaceutical_index!A:A, "Not Found")</f>
      </c>
      <c r="J1659" s="1" t="s">
        <v>3454</v>
      </c>
      <c r="K1659" s="1" t="s">
        <v>3454</v>
      </c>
      <c r="L1659" s="1" t="s">
        <v>20</v>
      </c>
      <c r="M1659" s="1" t="s">
        <v>3454</v>
      </c>
      <c r="N1659" s="2"/>
      <c r="O1659" s="2"/>
      <c r="P1659" s="2"/>
      <c r="Q1659" s="2"/>
    </row>
    <row x14ac:dyDescent="0.25" r="1660" customHeight="1" ht="17.25">
      <c r="A1660" s="1" t="s">
        <v>5443</v>
      </c>
      <c r="B1660" s="1" t="s">
        <v>3456</v>
      </c>
      <c r="C1660" s="1" t="s">
        <v>3576</v>
      </c>
      <c r="D1660" s="1" t="s">
        <v>20</v>
      </c>
      <c r="E1660" s="1" t="s">
        <v>4250</v>
      </c>
      <c r="F1660" s="1" t="s">
        <v>4251</v>
      </c>
      <c r="G1660" s="1" t="s">
        <v>4252</v>
      </c>
      <c r="H1660" s="2"/>
      <c r="I1660" s="5">
        <f>XLOOKUP(K1660, pharmaceutical_index!B:B, pharmaceutical_index!A:A, "Not Found")</f>
      </c>
      <c r="J1660" s="1" t="s">
        <v>3456</v>
      </c>
      <c r="K1660" s="1" t="s">
        <v>3456</v>
      </c>
      <c r="L1660" s="1" t="s">
        <v>20</v>
      </c>
      <c r="M1660" s="1" t="s">
        <v>3456</v>
      </c>
      <c r="N1660" s="2"/>
      <c r="O1660" s="2"/>
      <c r="P1660" s="2"/>
      <c r="Q1660" s="2"/>
    </row>
    <row x14ac:dyDescent="0.25" r="1661" customHeight="1" ht="17.25">
      <c r="A1661" s="1" t="s">
        <v>5444</v>
      </c>
      <c r="B1661" s="1" t="s">
        <v>3458</v>
      </c>
      <c r="C1661" s="1" t="s">
        <v>3576</v>
      </c>
      <c r="D1661" s="1" t="s">
        <v>20</v>
      </c>
      <c r="E1661" s="1" t="s">
        <v>4250</v>
      </c>
      <c r="F1661" s="1" t="s">
        <v>4251</v>
      </c>
      <c r="G1661" s="1" t="s">
        <v>4252</v>
      </c>
      <c r="H1661" s="2"/>
      <c r="I1661" s="5">
        <f>XLOOKUP(K1661, pharmaceutical_index!B:B, pharmaceutical_index!A:A, "Not Found")</f>
      </c>
      <c r="J1661" s="1" t="s">
        <v>3458</v>
      </c>
      <c r="K1661" s="1" t="s">
        <v>3458</v>
      </c>
      <c r="L1661" s="1" t="s">
        <v>20</v>
      </c>
      <c r="M1661" s="1" t="s">
        <v>3458</v>
      </c>
      <c r="N1661" s="2"/>
      <c r="O1661" s="2"/>
      <c r="P1661" s="2"/>
      <c r="Q1661" s="2"/>
    </row>
    <row x14ac:dyDescent="0.25" r="1662" customHeight="1" ht="17.25">
      <c r="A1662" s="1" t="s">
        <v>5445</v>
      </c>
      <c r="B1662" s="1" t="s">
        <v>3460</v>
      </c>
      <c r="C1662" s="1" t="s">
        <v>3576</v>
      </c>
      <c r="D1662" s="1" t="s">
        <v>20</v>
      </c>
      <c r="E1662" s="1" t="s">
        <v>4250</v>
      </c>
      <c r="F1662" s="1" t="s">
        <v>4251</v>
      </c>
      <c r="G1662" s="1" t="s">
        <v>4252</v>
      </c>
      <c r="H1662" s="2"/>
      <c r="I1662" s="5">
        <f>XLOOKUP(K1662, pharmaceutical_index!B:B, pharmaceutical_index!A:A, "Not Found")</f>
      </c>
      <c r="J1662" s="1" t="s">
        <v>3460</v>
      </c>
      <c r="K1662" s="1" t="s">
        <v>3460</v>
      </c>
      <c r="L1662" s="1" t="s">
        <v>20</v>
      </c>
      <c r="M1662" s="1" t="s">
        <v>3460</v>
      </c>
      <c r="N1662" s="2"/>
      <c r="O1662" s="2"/>
      <c r="P1662" s="2"/>
      <c r="Q1662" s="2"/>
    </row>
    <row x14ac:dyDescent="0.25" r="1663" customHeight="1" ht="17.25">
      <c r="A1663" s="1" t="s">
        <v>5446</v>
      </c>
      <c r="B1663" s="1" t="s">
        <v>3462</v>
      </c>
      <c r="C1663" s="1" t="s">
        <v>3576</v>
      </c>
      <c r="D1663" s="1" t="s">
        <v>20</v>
      </c>
      <c r="E1663" s="1" t="s">
        <v>4250</v>
      </c>
      <c r="F1663" s="1" t="s">
        <v>4251</v>
      </c>
      <c r="G1663" s="1" t="s">
        <v>4252</v>
      </c>
      <c r="H1663" s="2"/>
      <c r="I1663" s="5">
        <f>XLOOKUP(K1663, pharmaceutical_index!B:B, pharmaceutical_index!A:A, "Not Found")</f>
      </c>
      <c r="J1663" s="1" t="s">
        <v>3462</v>
      </c>
      <c r="K1663" s="1" t="s">
        <v>3462</v>
      </c>
      <c r="L1663" s="1" t="s">
        <v>20</v>
      </c>
      <c r="M1663" s="1" t="s">
        <v>3462</v>
      </c>
      <c r="N1663" s="2"/>
      <c r="O1663" s="2"/>
      <c r="P1663" s="2"/>
      <c r="Q1663" s="2"/>
    </row>
    <row x14ac:dyDescent="0.25" r="1664" customHeight="1" ht="17.25">
      <c r="A1664" s="1" t="s">
        <v>5447</v>
      </c>
      <c r="B1664" s="1" t="s">
        <v>3464</v>
      </c>
      <c r="C1664" s="1" t="s">
        <v>3576</v>
      </c>
      <c r="D1664" s="1" t="s">
        <v>20</v>
      </c>
      <c r="E1664" s="1" t="s">
        <v>4250</v>
      </c>
      <c r="F1664" s="1" t="s">
        <v>4251</v>
      </c>
      <c r="G1664" s="1" t="s">
        <v>4252</v>
      </c>
      <c r="H1664" s="2"/>
      <c r="I1664" s="5">
        <f>XLOOKUP(K1664, pharmaceutical_index!B:B, pharmaceutical_index!A:A, "Not Found")</f>
      </c>
      <c r="J1664" s="1" t="s">
        <v>3464</v>
      </c>
      <c r="K1664" s="1" t="s">
        <v>3464</v>
      </c>
      <c r="L1664" s="1" t="s">
        <v>20</v>
      </c>
      <c r="M1664" s="1" t="s">
        <v>3464</v>
      </c>
      <c r="N1664" s="2"/>
      <c r="O1664" s="2"/>
      <c r="P1664" s="2"/>
      <c r="Q1664" s="2"/>
    </row>
    <row x14ac:dyDescent="0.25" r="1665" customHeight="1" ht="17.25">
      <c r="A1665" s="1" t="s">
        <v>5448</v>
      </c>
      <c r="B1665" s="1" t="s">
        <v>3466</v>
      </c>
      <c r="C1665" s="1" t="s">
        <v>3576</v>
      </c>
      <c r="D1665" s="1" t="s">
        <v>20</v>
      </c>
      <c r="E1665" s="1" t="s">
        <v>4250</v>
      </c>
      <c r="F1665" s="1" t="s">
        <v>4251</v>
      </c>
      <c r="G1665" s="1" t="s">
        <v>4252</v>
      </c>
      <c r="H1665" s="2"/>
      <c r="I1665" s="5">
        <f>XLOOKUP(K1665, pharmaceutical_index!B:B, pharmaceutical_index!A:A, "Not Found")</f>
      </c>
      <c r="J1665" s="1" t="s">
        <v>3466</v>
      </c>
      <c r="K1665" s="1" t="s">
        <v>3466</v>
      </c>
      <c r="L1665" s="1" t="s">
        <v>20</v>
      </c>
      <c r="M1665" s="1" t="s">
        <v>3466</v>
      </c>
      <c r="N1665" s="2"/>
      <c r="O1665" s="2"/>
      <c r="P1665" s="2"/>
      <c r="Q1665" s="2"/>
    </row>
    <row x14ac:dyDescent="0.25" r="1666" customHeight="1" ht="17.25">
      <c r="A1666" s="1" t="s">
        <v>5449</v>
      </c>
      <c r="B1666" s="1" t="s">
        <v>3468</v>
      </c>
      <c r="C1666" s="1" t="s">
        <v>3576</v>
      </c>
      <c r="D1666" s="1" t="s">
        <v>20</v>
      </c>
      <c r="E1666" s="1" t="s">
        <v>4250</v>
      </c>
      <c r="F1666" s="1" t="s">
        <v>4251</v>
      </c>
      <c r="G1666" s="1" t="s">
        <v>4252</v>
      </c>
      <c r="H1666" s="2"/>
      <c r="I1666" s="5">
        <f>XLOOKUP(K1666, pharmaceutical_index!B:B, pharmaceutical_index!A:A, "Not Found")</f>
      </c>
      <c r="J1666" s="1" t="s">
        <v>3468</v>
      </c>
      <c r="K1666" s="1" t="s">
        <v>3468</v>
      </c>
      <c r="L1666" s="1" t="s">
        <v>20</v>
      </c>
      <c r="M1666" s="1" t="s">
        <v>3468</v>
      </c>
      <c r="N1666" s="2"/>
      <c r="O1666" s="2"/>
      <c r="P1666" s="2"/>
      <c r="Q1666" s="2"/>
    </row>
    <row x14ac:dyDescent="0.25" r="1667" customHeight="1" ht="17.25">
      <c r="A1667" s="1" t="s">
        <v>5450</v>
      </c>
      <c r="B1667" s="1" t="s">
        <v>3470</v>
      </c>
      <c r="C1667" s="1" t="s">
        <v>3576</v>
      </c>
      <c r="D1667" s="1" t="s">
        <v>20</v>
      </c>
      <c r="E1667" s="1" t="s">
        <v>4250</v>
      </c>
      <c r="F1667" s="1" t="s">
        <v>4251</v>
      </c>
      <c r="G1667" s="1" t="s">
        <v>4252</v>
      </c>
      <c r="H1667" s="2"/>
      <c r="I1667" s="5">
        <f>XLOOKUP(K1667, pharmaceutical_index!B:B, pharmaceutical_index!A:A, "Not Found")</f>
      </c>
      <c r="J1667" s="1" t="s">
        <v>3470</v>
      </c>
      <c r="K1667" s="1" t="s">
        <v>3470</v>
      </c>
      <c r="L1667" s="1" t="s">
        <v>20</v>
      </c>
      <c r="M1667" s="1" t="s">
        <v>3470</v>
      </c>
      <c r="N1667" s="2"/>
      <c r="O1667" s="2"/>
      <c r="P1667" s="2"/>
      <c r="Q1667" s="2"/>
    </row>
    <row x14ac:dyDescent="0.25" r="1668" customHeight="1" ht="17.25">
      <c r="A1668" s="1" t="s">
        <v>5451</v>
      </c>
      <c r="B1668" s="1" t="s">
        <v>3472</v>
      </c>
      <c r="C1668" s="1" t="s">
        <v>3576</v>
      </c>
      <c r="D1668" s="1" t="s">
        <v>20</v>
      </c>
      <c r="E1668" s="1" t="s">
        <v>4250</v>
      </c>
      <c r="F1668" s="1" t="s">
        <v>4251</v>
      </c>
      <c r="G1668" s="1" t="s">
        <v>4252</v>
      </c>
      <c r="H1668" s="2"/>
      <c r="I1668" s="5">
        <f>XLOOKUP(K1668, pharmaceutical_index!B:B, pharmaceutical_index!A:A, "Not Found")</f>
      </c>
      <c r="J1668" s="1" t="s">
        <v>3472</v>
      </c>
      <c r="K1668" s="1" t="s">
        <v>3472</v>
      </c>
      <c r="L1668" s="1" t="s">
        <v>20</v>
      </c>
      <c r="M1668" s="1" t="s">
        <v>3472</v>
      </c>
      <c r="N1668" s="2"/>
      <c r="O1668" s="2"/>
      <c r="P1668" s="2"/>
      <c r="Q1668" s="2"/>
    </row>
    <row x14ac:dyDescent="0.25" r="1669" customHeight="1" ht="17.25">
      <c r="A1669" s="1" t="s">
        <v>5452</v>
      </c>
      <c r="B1669" s="1" t="s">
        <v>3474</v>
      </c>
      <c r="C1669" s="1" t="s">
        <v>3576</v>
      </c>
      <c r="D1669" s="1" t="s">
        <v>20</v>
      </c>
      <c r="E1669" s="1" t="s">
        <v>4250</v>
      </c>
      <c r="F1669" s="1" t="s">
        <v>4251</v>
      </c>
      <c r="G1669" s="1" t="s">
        <v>4252</v>
      </c>
      <c r="H1669" s="2"/>
      <c r="I1669" s="5">
        <f>XLOOKUP(K1669, pharmaceutical_index!B:B, pharmaceutical_index!A:A, "Not Found")</f>
      </c>
      <c r="J1669" s="1" t="s">
        <v>3474</v>
      </c>
      <c r="K1669" s="1" t="s">
        <v>3474</v>
      </c>
      <c r="L1669" s="1" t="s">
        <v>20</v>
      </c>
      <c r="M1669" s="1" t="s">
        <v>3474</v>
      </c>
      <c r="N1669" s="2"/>
      <c r="O1669" s="2"/>
      <c r="P1669" s="2"/>
      <c r="Q1669" s="2"/>
    </row>
    <row x14ac:dyDescent="0.25" r="1670" customHeight="1" ht="17.25">
      <c r="A1670" s="1" t="s">
        <v>5453</v>
      </c>
      <c r="B1670" s="1" t="s">
        <v>3476</v>
      </c>
      <c r="C1670" s="1" t="s">
        <v>3576</v>
      </c>
      <c r="D1670" s="1" t="s">
        <v>20</v>
      </c>
      <c r="E1670" s="1" t="s">
        <v>4250</v>
      </c>
      <c r="F1670" s="1" t="s">
        <v>4251</v>
      </c>
      <c r="G1670" s="1" t="s">
        <v>4252</v>
      </c>
      <c r="H1670" s="2"/>
      <c r="I1670" s="5">
        <f>XLOOKUP(K1670, pharmaceutical_index!B:B, pharmaceutical_index!A:A, "Not Found")</f>
      </c>
      <c r="J1670" s="1" t="s">
        <v>3476</v>
      </c>
      <c r="K1670" s="1" t="s">
        <v>3476</v>
      </c>
      <c r="L1670" s="1" t="s">
        <v>20</v>
      </c>
      <c r="M1670" s="1" t="s">
        <v>3476</v>
      </c>
      <c r="N1670" s="2"/>
      <c r="O1670" s="2"/>
      <c r="P1670" s="2"/>
      <c r="Q1670" s="2"/>
    </row>
    <row x14ac:dyDescent="0.25" r="1671" customHeight="1" ht="17.25">
      <c r="A1671" s="1" t="s">
        <v>5454</v>
      </c>
      <c r="B1671" s="1" t="s">
        <v>3478</v>
      </c>
      <c r="C1671" s="1" t="s">
        <v>3576</v>
      </c>
      <c r="D1671" s="1" t="s">
        <v>20</v>
      </c>
      <c r="E1671" s="1" t="s">
        <v>4250</v>
      </c>
      <c r="F1671" s="1" t="s">
        <v>4251</v>
      </c>
      <c r="G1671" s="1" t="s">
        <v>4252</v>
      </c>
      <c r="H1671" s="2"/>
      <c r="I1671" s="5">
        <f>XLOOKUP(K1671, pharmaceutical_index!B:B, pharmaceutical_index!A:A, "Not Found")</f>
      </c>
      <c r="J1671" s="1" t="s">
        <v>3478</v>
      </c>
      <c r="K1671" s="1" t="s">
        <v>3478</v>
      </c>
      <c r="L1671" s="1" t="s">
        <v>20</v>
      </c>
      <c r="M1671" s="1" t="s">
        <v>3478</v>
      </c>
      <c r="N1671" s="2"/>
      <c r="O1671" s="2"/>
      <c r="P1671" s="2"/>
      <c r="Q1671" s="2"/>
    </row>
    <row x14ac:dyDescent="0.25" r="1672" customHeight="1" ht="17.25">
      <c r="A1672" s="1" t="s">
        <v>5455</v>
      </c>
      <c r="B1672" s="1" t="s">
        <v>3480</v>
      </c>
      <c r="C1672" s="1" t="s">
        <v>3576</v>
      </c>
      <c r="D1672" s="1" t="s">
        <v>20</v>
      </c>
      <c r="E1672" s="1" t="s">
        <v>4250</v>
      </c>
      <c r="F1672" s="1" t="s">
        <v>4251</v>
      </c>
      <c r="G1672" s="1" t="s">
        <v>4252</v>
      </c>
      <c r="H1672" s="2"/>
      <c r="I1672" s="5">
        <f>XLOOKUP(K1672, pharmaceutical_index!B:B, pharmaceutical_index!A:A, "Not Found")</f>
      </c>
      <c r="J1672" s="1" t="s">
        <v>3480</v>
      </c>
      <c r="K1672" s="1" t="s">
        <v>3480</v>
      </c>
      <c r="L1672" s="1" t="s">
        <v>20</v>
      </c>
      <c r="M1672" s="1" t="s">
        <v>3480</v>
      </c>
      <c r="N1672" s="2"/>
      <c r="O1672" s="2"/>
      <c r="P1672" s="2"/>
      <c r="Q1672" s="2"/>
    </row>
    <row x14ac:dyDescent="0.25" r="1673" customHeight="1" ht="17.25">
      <c r="A1673" s="1" t="s">
        <v>5456</v>
      </c>
      <c r="B1673" s="1" t="s">
        <v>3482</v>
      </c>
      <c r="C1673" s="1" t="s">
        <v>3576</v>
      </c>
      <c r="D1673" s="1" t="s">
        <v>20</v>
      </c>
      <c r="E1673" s="1" t="s">
        <v>4250</v>
      </c>
      <c r="F1673" s="1" t="s">
        <v>4251</v>
      </c>
      <c r="G1673" s="1" t="s">
        <v>4252</v>
      </c>
      <c r="H1673" s="2"/>
      <c r="I1673" s="5">
        <f>XLOOKUP(K1673, pharmaceutical_index!B:B, pharmaceutical_index!A:A, "Not Found")</f>
      </c>
      <c r="J1673" s="1" t="s">
        <v>3482</v>
      </c>
      <c r="K1673" s="1" t="s">
        <v>3482</v>
      </c>
      <c r="L1673" s="1" t="s">
        <v>20</v>
      </c>
      <c r="M1673" s="1" t="s">
        <v>3482</v>
      </c>
      <c r="N1673" s="2"/>
      <c r="O1673" s="2"/>
      <c r="P1673" s="2"/>
      <c r="Q1673" s="2"/>
    </row>
    <row x14ac:dyDescent="0.25" r="1674" customHeight="1" ht="17.25">
      <c r="A1674" s="1" t="s">
        <v>5457</v>
      </c>
      <c r="B1674" s="1" t="s">
        <v>3484</v>
      </c>
      <c r="C1674" s="1" t="s">
        <v>3576</v>
      </c>
      <c r="D1674" s="1" t="s">
        <v>20</v>
      </c>
      <c r="E1674" s="1" t="s">
        <v>4250</v>
      </c>
      <c r="F1674" s="1" t="s">
        <v>4251</v>
      </c>
      <c r="G1674" s="1" t="s">
        <v>4252</v>
      </c>
      <c r="H1674" s="2"/>
      <c r="I1674" s="5">
        <f>XLOOKUP(K1674, pharmaceutical_index!B:B, pharmaceutical_index!A:A, "Not Found")</f>
      </c>
      <c r="J1674" s="1" t="s">
        <v>3484</v>
      </c>
      <c r="K1674" s="1" t="s">
        <v>3484</v>
      </c>
      <c r="L1674" s="1" t="s">
        <v>20</v>
      </c>
      <c r="M1674" s="1" t="s">
        <v>3484</v>
      </c>
      <c r="N1674" s="2"/>
      <c r="O1674" s="2"/>
      <c r="P1674" s="2"/>
      <c r="Q1674" s="2"/>
    </row>
    <row x14ac:dyDescent="0.25" r="1675" customHeight="1" ht="17.25">
      <c r="A1675" s="1" t="s">
        <v>5458</v>
      </c>
      <c r="B1675" s="1" t="s">
        <v>3486</v>
      </c>
      <c r="C1675" s="1" t="s">
        <v>3576</v>
      </c>
      <c r="D1675" s="1" t="s">
        <v>20</v>
      </c>
      <c r="E1675" s="1" t="s">
        <v>4250</v>
      </c>
      <c r="F1675" s="1" t="s">
        <v>4251</v>
      </c>
      <c r="G1675" s="1" t="s">
        <v>4252</v>
      </c>
      <c r="H1675" s="2"/>
      <c r="I1675" s="5">
        <f>XLOOKUP(K1675, pharmaceutical_index!B:B, pharmaceutical_index!A:A, "Not Found")</f>
      </c>
      <c r="J1675" s="1" t="s">
        <v>3486</v>
      </c>
      <c r="K1675" s="1" t="s">
        <v>3486</v>
      </c>
      <c r="L1675" s="1" t="s">
        <v>20</v>
      </c>
      <c r="M1675" s="1" t="s">
        <v>3486</v>
      </c>
      <c r="N1675" s="2"/>
      <c r="O1675" s="2"/>
      <c r="P1675" s="2"/>
      <c r="Q1675" s="2"/>
    </row>
    <row x14ac:dyDescent="0.25" r="1676" customHeight="1" ht="17.25">
      <c r="A1676" s="1" t="s">
        <v>5459</v>
      </c>
      <c r="B1676" s="1" t="s">
        <v>3488</v>
      </c>
      <c r="C1676" s="1" t="s">
        <v>3576</v>
      </c>
      <c r="D1676" s="1" t="s">
        <v>20</v>
      </c>
      <c r="E1676" s="1" t="s">
        <v>4250</v>
      </c>
      <c r="F1676" s="1" t="s">
        <v>4251</v>
      </c>
      <c r="G1676" s="1" t="s">
        <v>4252</v>
      </c>
      <c r="H1676" s="2"/>
      <c r="I1676" s="5">
        <f>XLOOKUP(K1676, pharmaceutical_index!B:B, pharmaceutical_index!A:A, "Not Found")</f>
      </c>
      <c r="J1676" s="1" t="s">
        <v>3488</v>
      </c>
      <c r="K1676" s="1" t="s">
        <v>3488</v>
      </c>
      <c r="L1676" s="1" t="s">
        <v>20</v>
      </c>
      <c r="M1676" s="1" t="s">
        <v>3488</v>
      </c>
      <c r="N1676" s="2"/>
      <c r="O1676" s="2"/>
      <c r="P1676" s="2"/>
      <c r="Q1676" s="2"/>
    </row>
    <row x14ac:dyDescent="0.25" r="1677" customHeight="1" ht="17.25">
      <c r="A1677" s="1" t="s">
        <v>5460</v>
      </c>
      <c r="B1677" s="1" t="s">
        <v>3490</v>
      </c>
      <c r="C1677" s="1" t="s">
        <v>3576</v>
      </c>
      <c r="D1677" s="1" t="s">
        <v>20</v>
      </c>
      <c r="E1677" s="1" t="s">
        <v>4250</v>
      </c>
      <c r="F1677" s="1" t="s">
        <v>4251</v>
      </c>
      <c r="G1677" s="1" t="s">
        <v>4252</v>
      </c>
      <c r="H1677" s="2"/>
      <c r="I1677" s="5">
        <f>XLOOKUP(K1677, pharmaceutical_index!B:B, pharmaceutical_index!A:A, "Not Found")</f>
      </c>
      <c r="J1677" s="1" t="s">
        <v>3490</v>
      </c>
      <c r="K1677" s="1" t="s">
        <v>3490</v>
      </c>
      <c r="L1677" s="1" t="s">
        <v>20</v>
      </c>
      <c r="M1677" s="1" t="s">
        <v>3490</v>
      </c>
      <c r="N1677" s="2"/>
      <c r="O1677" s="2"/>
      <c r="P1677" s="2"/>
      <c r="Q1677" s="2"/>
    </row>
    <row x14ac:dyDescent="0.25" r="1678" customHeight="1" ht="17.25">
      <c r="A1678" s="1" t="s">
        <v>5461</v>
      </c>
      <c r="B1678" s="1" t="s">
        <v>3492</v>
      </c>
      <c r="C1678" s="1" t="s">
        <v>3576</v>
      </c>
      <c r="D1678" s="1" t="s">
        <v>20</v>
      </c>
      <c r="E1678" s="1" t="s">
        <v>4250</v>
      </c>
      <c r="F1678" s="1" t="s">
        <v>4251</v>
      </c>
      <c r="G1678" s="1" t="s">
        <v>4252</v>
      </c>
      <c r="H1678" s="2"/>
      <c r="I1678" s="5">
        <f>XLOOKUP(K1678, pharmaceutical_index!B:B, pharmaceutical_index!A:A, "Not Found")</f>
      </c>
      <c r="J1678" s="1" t="s">
        <v>3492</v>
      </c>
      <c r="K1678" s="1" t="s">
        <v>3492</v>
      </c>
      <c r="L1678" s="1" t="s">
        <v>20</v>
      </c>
      <c r="M1678" s="1" t="s">
        <v>3492</v>
      </c>
      <c r="N1678" s="2"/>
      <c r="O1678" s="2"/>
      <c r="P1678" s="2"/>
      <c r="Q1678" s="2"/>
    </row>
    <row x14ac:dyDescent="0.25" r="1679" customHeight="1" ht="17.25">
      <c r="A1679" s="1" t="s">
        <v>5462</v>
      </c>
      <c r="B1679" s="1" t="s">
        <v>3494</v>
      </c>
      <c r="C1679" s="1" t="s">
        <v>3576</v>
      </c>
      <c r="D1679" s="1" t="s">
        <v>20</v>
      </c>
      <c r="E1679" s="1" t="s">
        <v>4250</v>
      </c>
      <c r="F1679" s="1" t="s">
        <v>4251</v>
      </c>
      <c r="G1679" s="1" t="s">
        <v>4252</v>
      </c>
      <c r="H1679" s="2"/>
      <c r="I1679" s="5">
        <f>XLOOKUP(K1679, pharmaceutical_index!B:B, pharmaceutical_index!A:A, "Not Found")</f>
      </c>
      <c r="J1679" s="1" t="s">
        <v>3494</v>
      </c>
      <c r="K1679" s="1" t="s">
        <v>3494</v>
      </c>
      <c r="L1679" s="1" t="s">
        <v>20</v>
      </c>
      <c r="M1679" s="1" t="s">
        <v>3494</v>
      </c>
      <c r="N1679" s="2"/>
      <c r="O1679" s="2"/>
      <c r="P1679" s="2"/>
      <c r="Q1679" s="2"/>
    </row>
    <row x14ac:dyDescent="0.25" r="1680" customHeight="1" ht="17.25">
      <c r="A1680" s="1" t="s">
        <v>5463</v>
      </c>
      <c r="B1680" s="1" t="s">
        <v>3496</v>
      </c>
      <c r="C1680" s="1" t="s">
        <v>3576</v>
      </c>
      <c r="D1680" s="1" t="s">
        <v>20</v>
      </c>
      <c r="E1680" s="1" t="s">
        <v>4250</v>
      </c>
      <c r="F1680" s="1" t="s">
        <v>4251</v>
      </c>
      <c r="G1680" s="1" t="s">
        <v>4252</v>
      </c>
      <c r="H1680" s="2"/>
      <c r="I1680" s="5">
        <f>XLOOKUP(K1680, pharmaceutical_index!B:B, pharmaceutical_index!A:A, "Not Found")</f>
      </c>
      <c r="J1680" s="1" t="s">
        <v>3496</v>
      </c>
      <c r="K1680" s="1" t="s">
        <v>3496</v>
      </c>
      <c r="L1680" s="1" t="s">
        <v>20</v>
      </c>
      <c r="M1680" s="1" t="s">
        <v>3496</v>
      </c>
      <c r="N1680" s="2"/>
      <c r="O1680" s="2"/>
      <c r="P1680" s="2"/>
      <c r="Q1680" s="2"/>
    </row>
    <row x14ac:dyDescent="0.25" r="1681" customHeight="1" ht="17.25">
      <c r="A1681" s="1" t="s">
        <v>5464</v>
      </c>
      <c r="B1681" s="1" t="s">
        <v>3498</v>
      </c>
      <c r="C1681" s="1" t="s">
        <v>3576</v>
      </c>
      <c r="D1681" s="1" t="s">
        <v>20</v>
      </c>
      <c r="E1681" s="1" t="s">
        <v>4250</v>
      </c>
      <c r="F1681" s="1" t="s">
        <v>4251</v>
      </c>
      <c r="G1681" s="1" t="s">
        <v>4252</v>
      </c>
      <c r="H1681" s="2"/>
      <c r="I1681" s="5">
        <f>XLOOKUP(K1681, pharmaceutical_index!B:B, pharmaceutical_index!A:A, "Not Found")</f>
      </c>
      <c r="J1681" s="1" t="s">
        <v>3498</v>
      </c>
      <c r="K1681" s="1" t="s">
        <v>3498</v>
      </c>
      <c r="L1681" s="1" t="s">
        <v>20</v>
      </c>
      <c r="M1681" s="1" t="s">
        <v>3498</v>
      </c>
      <c r="N1681" s="2"/>
      <c r="O1681" s="2"/>
      <c r="P1681" s="2"/>
      <c r="Q1681" s="2"/>
    </row>
    <row x14ac:dyDescent="0.25" r="1682" customHeight="1" ht="17.25">
      <c r="A1682" s="1" t="s">
        <v>5465</v>
      </c>
      <c r="B1682" s="1" t="s">
        <v>3500</v>
      </c>
      <c r="C1682" s="1" t="s">
        <v>3576</v>
      </c>
      <c r="D1682" s="1" t="s">
        <v>20</v>
      </c>
      <c r="E1682" s="1" t="s">
        <v>4250</v>
      </c>
      <c r="F1682" s="1" t="s">
        <v>4251</v>
      </c>
      <c r="G1682" s="1" t="s">
        <v>4252</v>
      </c>
      <c r="H1682" s="2"/>
      <c r="I1682" s="5">
        <f>XLOOKUP(K1682, pharmaceutical_index!B:B, pharmaceutical_index!A:A, "Not Found")</f>
      </c>
      <c r="J1682" s="1" t="s">
        <v>3500</v>
      </c>
      <c r="K1682" s="1" t="s">
        <v>3500</v>
      </c>
      <c r="L1682" s="1" t="s">
        <v>20</v>
      </c>
      <c r="M1682" s="1" t="s">
        <v>3500</v>
      </c>
      <c r="N1682" s="2"/>
      <c r="O1682" s="2"/>
      <c r="P1682" s="2"/>
      <c r="Q1682" s="2"/>
    </row>
    <row x14ac:dyDescent="0.25" r="1683" customHeight="1" ht="17.25">
      <c r="A1683" s="1" t="s">
        <v>5466</v>
      </c>
      <c r="B1683" s="1" t="s">
        <v>3502</v>
      </c>
      <c r="C1683" s="1" t="s">
        <v>3576</v>
      </c>
      <c r="D1683" s="1" t="s">
        <v>20</v>
      </c>
      <c r="E1683" s="1" t="s">
        <v>4250</v>
      </c>
      <c r="F1683" s="1" t="s">
        <v>4251</v>
      </c>
      <c r="G1683" s="1" t="s">
        <v>4252</v>
      </c>
      <c r="H1683" s="2"/>
      <c r="I1683" s="5">
        <f>XLOOKUP(K1683, pharmaceutical_index!B:B, pharmaceutical_index!A:A, "Not Found")</f>
      </c>
      <c r="J1683" s="1" t="s">
        <v>3502</v>
      </c>
      <c r="K1683" s="1" t="s">
        <v>3502</v>
      </c>
      <c r="L1683" s="1" t="s">
        <v>20</v>
      </c>
      <c r="M1683" s="1" t="s">
        <v>3502</v>
      </c>
      <c r="N1683" s="2"/>
      <c r="O1683" s="2"/>
      <c r="P1683" s="2"/>
      <c r="Q1683" s="2"/>
    </row>
    <row x14ac:dyDescent="0.25" r="1684" customHeight="1" ht="17.25">
      <c r="A1684" s="1" t="s">
        <v>5467</v>
      </c>
      <c r="B1684" s="1" t="s">
        <v>3504</v>
      </c>
      <c r="C1684" s="1" t="s">
        <v>3576</v>
      </c>
      <c r="D1684" s="1" t="s">
        <v>20</v>
      </c>
      <c r="E1684" s="1" t="s">
        <v>4250</v>
      </c>
      <c r="F1684" s="1" t="s">
        <v>4251</v>
      </c>
      <c r="G1684" s="1" t="s">
        <v>4252</v>
      </c>
      <c r="H1684" s="2"/>
      <c r="I1684" s="5">
        <f>XLOOKUP(K1684, pharmaceutical_index!B:B, pharmaceutical_index!A:A, "Not Found")</f>
      </c>
      <c r="J1684" s="1" t="s">
        <v>3504</v>
      </c>
      <c r="K1684" s="1" t="s">
        <v>3504</v>
      </c>
      <c r="L1684" s="1" t="s">
        <v>20</v>
      </c>
      <c r="M1684" s="1" t="s">
        <v>3504</v>
      </c>
      <c r="N1684" s="2"/>
      <c r="O1684" s="2"/>
      <c r="P1684" s="2"/>
      <c r="Q1684" s="2"/>
    </row>
    <row x14ac:dyDescent="0.25" r="1685" customHeight="1" ht="17.25">
      <c r="A1685" s="1" t="s">
        <v>5468</v>
      </c>
      <c r="B1685" s="1" t="s">
        <v>3506</v>
      </c>
      <c r="C1685" s="1" t="s">
        <v>3576</v>
      </c>
      <c r="D1685" s="1" t="s">
        <v>20</v>
      </c>
      <c r="E1685" s="1" t="s">
        <v>4250</v>
      </c>
      <c r="F1685" s="1" t="s">
        <v>4251</v>
      </c>
      <c r="G1685" s="1" t="s">
        <v>4252</v>
      </c>
      <c r="H1685" s="2"/>
      <c r="I1685" s="5">
        <f>XLOOKUP(K1685, pharmaceutical_index!B:B, pharmaceutical_index!A:A, "Not Found")</f>
      </c>
      <c r="J1685" s="1" t="s">
        <v>3506</v>
      </c>
      <c r="K1685" s="1" t="s">
        <v>3506</v>
      </c>
      <c r="L1685" s="1" t="s">
        <v>20</v>
      </c>
      <c r="M1685" s="1" t="s">
        <v>3506</v>
      </c>
      <c r="N1685" s="2"/>
      <c r="O1685" s="2"/>
      <c r="P1685" s="2"/>
      <c r="Q1685" s="2"/>
    </row>
    <row x14ac:dyDescent="0.25" r="1686" customHeight="1" ht="17.25">
      <c r="A1686" s="1" t="s">
        <v>5469</v>
      </c>
      <c r="B1686" s="1" t="s">
        <v>3508</v>
      </c>
      <c r="C1686" s="1" t="s">
        <v>3576</v>
      </c>
      <c r="D1686" s="1" t="s">
        <v>20</v>
      </c>
      <c r="E1686" s="1" t="s">
        <v>4250</v>
      </c>
      <c r="F1686" s="1" t="s">
        <v>4251</v>
      </c>
      <c r="G1686" s="1" t="s">
        <v>4252</v>
      </c>
      <c r="H1686" s="2"/>
      <c r="I1686" s="5">
        <f>XLOOKUP(K1686, pharmaceutical_index!B:B, pharmaceutical_index!A:A, "Not Found")</f>
      </c>
      <c r="J1686" s="1" t="s">
        <v>3508</v>
      </c>
      <c r="K1686" s="1" t="s">
        <v>3508</v>
      </c>
      <c r="L1686" s="1" t="s">
        <v>20</v>
      </c>
      <c r="M1686" s="1" t="s">
        <v>3508</v>
      </c>
      <c r="N1686" s="2"/>
      <c r="O1686" s="2"/>
      <c r="P1686" s="2"/>
      <c r="Q1686" s="2"/>
    </row>
    <row x14ac:dyDescent="0.25" r="1687" customHeight="1" ht="17.25">
      <c r="A1687" s="1" t="s">
        <v>5470</v>
      </c>
      <c r="B1687" s="1" t="s">
        <v>3510</v>
      </c>
      <c r="C1687" s="1" t="s">
        <v>3576</v>
      </c>
      <c r="D1687" s="1" t="s">
        <v>20</v>
      </c>
      <c r="E1687" s="1" t="s">
        <v>4250</v>
      </c>
      <c r="F1687" s="1" t="s">
        <v>4251</v>
      </c>
      <c r="G1687" s="1" t="s">
        <v>4252</v>
      </c>
      <c r="H1687" s="2"/>
      <c r="I1687" s="5">
        <f>XLOOKUP(K1687, pharmaceutical_index!B:B, pharmaceutical_index!A:A, "Not Found")</f>
      </c>
      <c r="J1687" s="1" t="s">
        <v>3510</v>
      </c>
      <c r="K1687" s="1" t="s">
        <v>3510</v>
      </c>
      <c r="L1687" s="1" t="s">
        <v>20</v>
      </c>
      <c r="M1687" s="1" t="s">
        <v>3510</v>
      </c>
      <c r="N1687" s="2"/>
      <c r="O1687" s="2"/>
      <c r="P1687" s="2"/>
      <c r="Q1687" s="2"/>
    </row>
    <row x14ac:dyDescent="0.25" r="1688" customHeight="1" ht="17.25">
      <c r="A1688" s="1" t="s">
        <v>5471</v>
      </c>
      <c r="B1688" s="1" t="s">
        <v>3512</v>
      </c>
      <c r="C1688" s="1" t="s">
        <v>3576</v>
      </c>
      <c r="D1688" s="1" t="s">
        <v>20</v>
      </c>
      <c r="E1688" s="1" t="s">
        <v>4250</v>
      </c>
      <c r="F1688" s="1" t="s">
        <v>4251</v>
      </c>
      <c r="G1688" s="1" t="s">
        <v>4252</v>
      </c>
      <c r="H1688" s="2"/>
      <c r="I1688" s="5">
        <f>XLOOKUP(K1688, pharmaceutical_index!B:B, pharmaceutical_index!A:A, "Not Found")</f>
      </c>
      <c r="J1688" s="1" t="s">
        <v>3512</v>
      </c>
      <c r="K1688" s="1" t="s">
        <v>3512</v>
      </c>
      <c r="L1688" s="1" t="s">
        <v>20</v>
      </c>
      <c r="M1688" s="1" t="s">
        <v>3512</v>
      </c>
      <c r="N1688" s="2"/>
      <c r="O1688" s="2"/>
      <c r="P1688" s="2"/>
      <c r="Q1688" s="2"/>
    </row>
    <row x14ac:dyDescent="0.25" r="1689" customHeight="1" ht="17.25">
      <c r="A1689" s="1" t="s">
        <v>5472</v>
      </c>
      <c r="B1689" s="1" t="s">
        <v>3514</v>
      </c>
      <c r="C1689" s="1" t="s">
        <v>3576</v>
      </c>
      <c r="D1689" s="1" t="s">
        <v>20</v>
      </c>
      <c r="E1689" s="1" t="s">
        <v>4250</v>
      </c>
      <c r="F1689" s="1" t="s">
        <v>4251</v>
      </c>
      <c r="G1689" s="1" t="s">
        <v>4252</v>
      </c>
      <c r="H1689" s="2"/>
      <c r="I1689" s="5">
        <f>XLOOKUP(K1689, pharmaceutical_index!B:B, pharmaceutical_index!A:A, "Not Found")</f>
      </c>
      <c r="J1689" s="1" t="s">
        <v>3514</v>
      </c>
      <c r="K1689" s="1" t="s">
        <v>3514</v>
      </c>
      <c r="L1689" s="1" t="s">
        <v>20</v>
      </c>
      <c r="M1689" s="1" t="s">
        <v>3514</v>
      </c>
      <c r="N1689" s="2"/>
      <c r="O1689" s="2"/>
      <c r="P1689" s="2"/>
      <c r="Q1689" s="2"/>
    </row>
    <row x14ac:dyDescent="0.25" r="1690" customHeight="1" ht="17.25">
      <c r="A1690" s="1" t="s">
        <v>5473</v>
      </c>
      <c r="B1690" s="1" t="s">
        <v>3516</v>
      </c>
      <c r="C1690" s="1" t="s">
        <v>3576</v>
      </c>
      <c r="D1690" s="1" t="s">
        <v>20</v>
      </c>
      <c r="E1690" s="1" t="s">
        <v>4250</v>
      </c>
      <c r="F1690" s="1" t="s">
        <v>4251</v>
      </c>
      <c r="G1690" s="1" t="s">
        <v>4252</v>
      </c>
      <c r="H1690" s="2"/>
      <c r="I1690" s="5">
        <f>XLOOKUP(K1690, pharmaceutical_index!B:B, pharmaceutical_index!A:A, "Not Found")</f>
      </c>
      <c r="J1690" s="1" t="s">
        <v>3516</v>
      </c>
      <c r="K1690" s="1" t="s">
        <v>3516</v>
      </c>
      <c r="L1690" s="1" t="s">
        <v>20</v>
      </c>
      <c r="M1690" s="1" t="s">
        <v>3516</v>
      </c>
      <c r="N1690" s="2"/>
      <c r="O1690" s="2"/>
      <c r="P1690" s="2"/>
      <c r="Q1690" s="2"/>
    </row>
    <row x14ac:dyDescent="0.25" r="1691" customHeight="1" ht="17.25">
      <c r="A1691" s="1" t="s">
        <v>5474</v>
      </c>
      <c r="B1691" s="1" t="s">
        <v>3518</v>
      </c>
      <c r="C1691" s="1" t="s">
        <v>3576</v>
      </c>
      <c r="D1691" s="1" t="s">
        <v>20</v>
      </c>
      <c r="E1691" s="1" t="s">
        <v>4250</v>
      </c>
      <c r="F1691" s="1" t="s">
        <v>4251</v>
      </c>
      <c r="G1691" s="1" t="s">
        <v>4252</v>
      </c>
      <c r="H1691" s="2"/>
      <c r="I1691" s="5">
        <f>XLOOKUP(K1691, pharmaceutical_index!B:B, pharmaceutical_index!A:A, "Not Found")</f>
      </c>
      <c r="J1691" s="1" t="s">
        <v>3518</v>
      </c>
      <c r="K1691" s="1" t="s">
        <v>3518</v>
      </c>
      <c r="L1691" s="1" t="s">
        <v>20</v>
      </c>
      <c r="M1691" s="1" t="s">
        <v>3518</v>
      </c>
      <c r="N1691" s="2"/>
      <c r="O1691" s="2"/>
      <c r="P1691" s="2"/>
      <c r="Q1691" s="2"/>
    </row>
    <row x14ac:dyDescent="0.25" r="1692" customHeight="1" ht="17.25">
      <c r="A1692" s="1" t="s">
        <v>5475</v>
      </c>
      <c r="B1692" s="1" t="s">
        <v>3520</v>
      </c>
      <c r="C1692" s="1" t="s">
        <v>3576</v>
      </c>
      <c r="D1692" s="1" t="s">
        <v>20</v>
      </c>
      <c r="E1692" s="1" t="s">
        <v>4250</v>
      </c>
      <c r="F1692" s="1" t="s">
        <v>4251</v>
      </c>
      <c r="G1692" s="1" t="s">
        <v>4252</v>
      </c>
      <c r="H1692" s="2"/>
      <c r="I1692" s="5">
        <f>XLOOKUP(K1692, pharmaceutical_index!B:B, pharmaceutical_index!A:A, "Not Found")</f>
      </c>
      <c r="J1692" s="1" t="s">
        <v>3520</v>
      </c>
      <c r="K1692" s="1" t="s">
        <v>3520</v>
      </c>
      <c r="L1692" s="1" t="s">
        <v>20</v>
      </c>
      <c r="M1692" s="1" t="s">
        <v>3520</v>
      </c>
      <c r="N1692" s="2"/>
      <c r="O1692" s="2"/>
      <c r="P1692" s="2"/>
      <c r="Q1692" s="2"/>
    </row>
    <row x14ac:dyDescent="0.25" r="1693" customHeight="1" ht="17.25">
      <c r="A1693" s="1" t="s">
        <v>5476</v>
      </c>
      <c r="B1693" s="1" t="s">
        <v>3522</v>
      </c>
      <c r="C1693" s="1" t="s">
        <v>3576</v>
      </c>
      <c r="D1693" s="1" t="s">
        <v>20</v>
      </c>
      <c r="E1693" s="1" t="s">
        <v>4250</v>
      </c>
      <c r="F1693" s="1" t="s">
        <v>4251</v>
      </c>
      <c r="G1693" s="1" t="s">
        <v>4252</v>
      </c>
      <c r="H1693" s="2"/>
      <c r="I1693" s="5">
        <f>XLOOKUP(K1693, pharmaceutical_index!B:B, pharmaceutical_index!A:A, "Not Found")</f>
      </c>
      <c r="J1693" s="1" t="s">
        <v>3522</v>
      </c>
      <c r="K1693" s="1" t="s">
        <v>3522</v>
      </c>
      <c r="L1693" s="1" t="s">
        <v>20</v>
      </c>
      <c r="M1693" s="1" t="s">
        <v>3522</v>
      </c>
      <c r="N1693" s="2"/>
      <c r="O1693" s="2"/>
      <c r="P1693" s="2"/>
      <c r="Q1693" s="2"/>
    </row>
    <row x14ac:dyDescent="0.25" r="1694" customHeight="1" ht="17.25">
      <c r="A1694" s="1" t="s">
        <v>5477</v>
      </c>
      <c r="B1694" s="1" t="s">
        <v>3524</v>
      </c>
      <c r="C1694" s="1" t="s">
        <v>3576</v>
      </c>
      <c r="D1694" s="1" t="s">
        <v>20</v>
      </c>
      <c r="E1694" s="1" t="s">
        <v>4250</v>
      </c>
      <c r="F1694" s="1" t="s">
        <v>4251</v>
      </c>
      <c r="G1694" s="1" t="s">
        <v>4252</v>
      </c>
      <c r="H1694" s="2"/>
      <c r="I1694" s="5">
        <f>XLOOKUP(K1694, pharmaceutical_index!B:B, pharmaceutical_index!A:A, "Not Found")</f>
      </c>
      <c r="J1694" s="1" t="s">
        <v>3524</v>
      </c>
      <c r="K1694" s="1" t="s">
        <v>3524</v>
      </c>
      <c r="L1694" s="1" t="s">
        <v>20</v>
      </c>
      <c r="M1694" s="1" t="s">
        <v>3524</v>
      </c>
      <c r="N1694" s="2"/>
      <c r="O1694" s="2"/>
      <c r="P1694" s="2"/>
      <c r="Q1694" s="2"/>
    </row>
    <row x14ac:dyDescent="0.25" r="1695" customHeight="1" ht="17.25">
      <c r="A1695" s="1" t="s">
        <v>5478</v>
      </c>
      <c r="B1695" s="1" t="s">
        <v>3526</v>
      </c>
      <c r="C1695" s="1" t="s">
        <v>3576</v>
      </c>
      <c r="D1695" s="1" t="s">
        <v>20</v>
      </c>
      <c r="E1695" s="1" t="s">
        <v>4250</v>
      </c>
      <c r="F1695" s="1" t="s">
        <v>4251</v>
      </c>
      <c r="G1695" s="1" t="s">
        <v>4252</v>
      </c>
      <c r="H1695" s="2"/>
      <c r="I1695" s="5">
        <f>XLOOKUP(K1695, pharmaceutical_index!B:B, pharmaceutical_index!A:A, "Not Found")</f>
      </c>
      <c r="J1695" s="1" t="s">
        <v>3526</v>
      </c>
      <c r="K1695" s="1" t="s">
        <v>3526</v>
      </c>
      <c r="L1695" s="1" t="s">
        <v>20</v>
      </c>
      <c r="M1695" s="1" t="s">
        <v>3526</v>
      </c>
      <c r="N1695" s="2"/>
      <c r="O1695" s="2"/>
      <c r="P1695" s="2"/>
      <c r="Q1695" s="2"/>
    </row>
    <row x14ac:dyDescent="0.25" r="1696" customHeight="1" ht="17.25">
      <c r="A1696" s="1" t="s">
        <v>5479</v>
      </c>
      <c r="B1696" s="1" t="s">
        <v>3528</v>
      </c>
      <c r="C1696" s="1" t="s">
        <v>3576</v>
      </c>
      <c r="D1696" s="1" t="s">
        <v>20</v>
      </c>
      <c r="E1696" s="1" t="s">
        <v>4250</v>
      </c>
      <c r="F1696" s="1" t="s">
        <v>4251</v>
      </c>
      <c r="G1696" s="1" t="s">
        <v>4252</v>
      </c>
      <c r="H1696" s="2"/>
      <c r="I1696" s="5">
        <f>XLOOKUP(K1696, pharmaceutical_index!B:B, pharmaceutical_index!A:A, "Not Found")</f>
      </c>
      <c r="J1696" s="1" t="s">
        <v>3528</v>
      </c>
      <c r="K1696" s="1" t="s">
        <v>3528</v>
      </c>
      <c r="L1696" s="1" t="s">
        <v>20</v>
      </c>
      <c r="M1696" s="1" t="s">
        <v>3528</v>
      </c>
      <c r="N1696" s="2"/>
      <c r="O1696" s="2"/>
      <c r="P1696" s="2"/>
      <c r="Q1696" s="2"/>
    </row>
    <row x14ac:dyDescent="0.25" r="1697" customHeight="1" ht="17.25">
      <c r="A1697" s="1" t="s">
        <v>5480</v>
      </c>
      <c r="B1697" s="1" t="s">
        <v>3530</v>
      </c>
      <c r="C1697" s="1" t="s">
        <v>3576</v>
      </c>
      <c r="D1697" s="1" t="s">
        <v>20</v>
      </c>
      <c r="E1697" s="1" t="s">
        <v>4250</v>
      </c>
      <c r="F1697" s="1" t="s">
        <v>4251</v>
      </c>
      <c r="G1697" s="1" t="s">
        <v>4252</v>
      </c>
      <c r="H1697" s="2"/>
      <c r="I1697" s="5">
        <f>XLOOKUP(K1697, pharmaceutical_index!B:B, pharmaceutical_index!A:A, "Not Found")</f>
      </c>
      <c r="J1697" s="1" t="s">
        <v>3530</v>
      </c>
      <c r="K1697" s="1" t="s">
        <v>3530</v>
      </c>
      <c r="L1697" s="1" t="s">
        <v>20</v>
      </c>
      <c r="M1697" s="1" t="s">
        <v>3530</v>
      </c>
      <c r="N1697" s="2"/>
      <c r="O1697" s="2"/>
      <c r="P1697" s="2"/>
      <c r="Q1697" s="2"/>
    </row>
    <row x14ac:dyDescent="0.25" r="1698" customHeight="1" ht="17.25">
      <c r="A1698" s="1" t="s">
        <v>5481</v>
      </c>
      <c r="B1698" s="1" t="s">
        <v>3532</v>
      </c>
      <c r="C1698" s="1" t="s">
        <v>3576</v>
      </c>
      <c r="D1698" s="1" t="s">
        <v>20</v>
      </c>
      <c r="E1698" s="1" t="s">
        <v>4250</v>
      </c>
      <c r="F1698" s="1" t="s">
        <v>4251</v>
      </c>
      <c r="G1698" s="1" t="s">
        <v>4252</v>
      </c>
      <c r="H1698" s="2"/>
      <c r="I1698" s="5">
        <f>XLOOKUP(K1698, pharmaceutical_index!B:B, pharmaceutical_index!A:A, "Not Found")</f>
      </c>
      <c r="J1698" s="1" t="s">
        <v>3532</v>
      </c>
      <c r="K1698" s="1" t="s">
        <v>3532</v>
      </c>
      <c r="L1698" s="1" t="s">
        <v>20</v>
      </c>
      <c r="M1698" s="1" t="s">
        <v>3532</v>
      </c>
      <c r="N1698" s="2"/>
      <c r="O1698" s="2"/>
      <c r="P1698" s="2"/>
      <c r="Q1698" s="2"/>
    </row>
    <row x14ac:dyDescent="0.25" r="1699" customHeight="1" ht="17.25">
      <c r="A1699" s="1" t="s">
        <v>5482</v>
      </c>
      <c r="B1699" s="1" t="s">
        <v>3534</v>
      </c>
      <c r="C1699" s="1" t="s">
        <v>3576</v>
      </c>
      <c r="D1699" s="1" t="s">
        <v>20</v>
      </c>
      <c r="E1699" s="1" t="s">
        <v>4250</v>
      </c>
      <c r="F1699" s="1" t="s">
        <v>4251</v>
      </c>
      <c r="G1699" s="1" t="s">
        <v>4252</v>
      </c>
      <c r="H1699" s="2"/>
      <c r="I1699" s="5">
        <f>XLOOKUP(K1699, pharmaceutical_index!B:B, pharmaceutical_index!A:A, "Not Found")</f>
      </c>
      <c r="J1699" s="1" t="s">
        <v>3534</v>
      </c>
      <c r="K1699" s="1" t="s">
        <v>3534</v>
      </c>
      <c r="L1699" s="1" t="s">
        <v>20</v>
      </c>
      <c r="M1699" s="1" t="s">
        <v>3534</v>
      </c>
      <c r="N1699" s="2"/>
      <c r="O1699" s="2"/>
      <c r="P1699" s="2"/>
      <c r="Q1699" s="2"/>
    </row>
    <row x14ac:dyDescent="0.25" r="1700" customHeight="1" ht="17.25">
      <c r="A1700" s="1" t="s">
        <v>5483</v>
      </c>
      <c r="B1700" s="1" t="s">
        <v>3536</v>
      </c>
      <c r="C1700" s="1" t="s">
        <v>3576</v>
      </c>
      <c r="D1700" s="1" t="s">
        <v>20</v>
      </c>
      <c r="E1700" s="1" t="s">
        <v>4250</v>
      </c>
      <c r="F1700" s="1" t="s">
        <v>4251</v>
      </c>
      <c r="G1700" s="1" t="s">
        <v>4252</v>
      </c>
      <c r="H1700" s="2"/>
      <c r="I1700" s="5">
        <f>XLOOKUP(K1700, pharmaceutical_index!B:B, pharmaceutical_index!A:A, "Not Found")</f>
      </c>
      <c r="J1700" s="1" t="s">
        <v>3536</v>
      </c>
      <c r="K1700" s="1" t="s">
        <v>3536</v>
      </c>
      <c r="L1700" s="1" t="s">
        <v>20</v>
      </c>
      <c r="M1700" s="1" t="s">
        <v>3536</v>
      </c>
      <c r="N1700" s="2"/>
      <c r="O1700" s="2"/>
      <c r="P1700" s="2"/>
      <c r="Q1700" s="2"/>
    </row>
    <row x14ac:dyDescent="0.25" r="1701" customHeight="1" ht="17.25">
      <c r="A1701" s="1" t="s">
        <v>5484</v>
      </c>
      <c r="B1701" s="1" t="s">
        <v>3538</v>
      </c>
      <c r="C1701" s="1" t="s">
        <v>3576</v>
      </c>
      <c r="D1701" s="1" t="s">
        <v>20</v>
      </c>
      <c r="E1701" s="1" t="s">
        <v>4250</v>
      </c>
      <c r="F1701" s="1" t="s">
        <v>4251</v>
      </c>
      <c r="G1701" s="1" t="s">
        <v>4252</v>
      </c>
      <c r="H1701" s="2"/>
      <c r="I1701" s="5">
        <f>XLOOKUP(K1701, pharmaceutical_index!B:B, pharmaceutical_index!A:A, "Not Found")</f>
      </c>
      <c r="J1701" s="1" t="s">
        <v>3538</v>
      </c>
      <c r="K1701" s="1" t="s">
        <v>3538</v>
      </c>
      <c r="L1701" s="1" t="s">
        <v>20</v>
      </c>
      <c r="M1701" s="1" t="s">
        <v>3538</v>
      </c>
      <c r="N1701" s="2"/>
      <c r="O1701" s="2"/>
      <c r="P1701" s="2"/>
      <c r="Q1701" s="2"/>
    </row>
    <row x14ac:dyDescent="0.25" r="1702" customHeight="1" ht="17.25">
      <c r="A1702" s="1" t="s">
        <v>5485</v>
      </c>
      <c r="B1702" s="1" t="s">
        <v>3540</v>
      </c>
      <c r="C1702" s="1" t="s">
        <v>3576</v>
      </c>
      <c r="D1702" s="1" t="s">
        <v>20</v>
      </c>
      <c r="E1702" s="1" t="s">
        <v>4250</v>
      </c>
      <c r="F1702" s="1" t="s">
        <v>4251</v>
      </c>
      <c r="G1702" s="1" t="s">
        <v>4252</v>
      </c>
      <c r="H1702" s="2"/>
      <c r="I1702" s="5">
        <f>XLOOKUP(K1702, pharmaceutical_index!B:B, pharmaceutical_index!A:A, "Not Found")</f>
      </c>
      <c r="J1702" s="1" t="s">
        <v>3540</v>
      </c>
      <c r="K1702" s="1" t="s">
        <v>3540</v>
      </c>
      <c r="L1702" s="1" t="s">
        <v>20</v>
      </c>
      <c r="M1702" s="1" t="s">
        <v>3540</v>
      </c>
      <c r="N1702" s="2"/>
      <c r="O1702" s="2"/>
      <c r="P1702" s="2"/>
      <c r="Q1702" s="2"/>
    </row>
    <row x14ac:dyDescent="0.25" r="1703" customHeight="1" ht="17.25">
      <c r="A1703" s="1" t="s">
        <v>5486</v>
      </c>
      <c r="B1703" s="1" t="s">
        <v>3542</v>
      </c>
      <c r="C1703" s="1" t="s">
        <v>3576</v>
      </c>
      <c r="D1703" s="1" t="s">
        <v>20</v>
      </c>
      <c r="E1703" s="1" t="s">
        <v>4250</v>
      </c>
      <c r="F1703" s="1" t="s">
        <v>4251</v>
      </c>
      <c r="G1703" s="1" t="s">
        <v>4252</v>
      </c>
      <c r="H1703" s="2"/>
      <c r="I1703" s="5">
        <f>XLOOKUP(K1703, pharmaceutical_index!B:B, pharmaceutical_index!A:A, "Not Found")</f>
      </c>
      <c r="J1703" s="1" t="s">
        <v>3542</v>
      </c>
      <c r="K1703" s="1" t="s">
        <v>3542</v>
      </c>
      <c r="L1703" s="1" t="s">
        <v>20</v>
      </c>
      <c r="M1703" s="1" t="s">
        <v>3542</v>
      </c>
      <c r="N1703" s="2"/>
      <c r="O1703" s="2"/>
      <c r="P1703" s="2"/>
      <c r="Q1703" s="2"/>
    </row>
    <row x14ac:dyDescent="0.25" r="1704" customHeight="1" ht="17.25">
      <c r="A1704" s="1" t="s">
        <v>5487</v>
      </c>
      <c r="B1704" s="1" t="s">
        <v>3544</v>
      </c>
      <c r="C1704" s="1" t="s">
        <v>3576</v>
      </c>
      <c r="D1704" s="1" t="s">
        <v>20</v>
      </c>
      <c r="E1704" s="1" t="s">
        <v>4250</v>
      </c>
      <c r="F1704" s="1" t="s">
        <v>4251</v>
      </c>
      <c r="G1704" s="1" t="s">
        <v>4252</v>
      </c>
      <c r="H1704" s="2"/>
      <c r="I1704" s="5">
        <f>XLOOKUP(K1704, pharmaceutical_index!B:B, pharmaceutical_index!A:A, "Not Found")</f>
      </c>
      <c r="J1704" s="1" t="s">
        <v>3544</v>
      </c>
      <c r="K1704" s="1" t="s">
        <v>3544</v>
      </c>
      <c r="L1704" s="1" t="s">
        <v>20</v>
      </c>
      <c r="M1704" s="1" t="s">
        <v>3544</v>
      </c>
      <c r="N1704" s="2"/>
      <c r="O1704" s="2"/>
      <c r="P1704" s="2"/>
      <c r="Q1704" s="2"/>
    </row>
    <row x14ac:dyDescent="0.25" r="1705" customHeight="1" ht="17.25">
      <c r="A1705" s="1" t="s">
        <v>5488</v>
      </c>
      <c r="B1705" s="1" t="s">
        <v>3546</v>
      </c>
      <c r="C1705" s="1" t="s">
        <v>3576</v>
      </c>
      <c r="D1705" s="1" t="s">
        <v>20</v>
      </c>
      <c r="E1705" s="1" t="s">
        <v>4250</v>
      </c>
      <c r="F1705" s="1" t="s">
        <v>4251</v>
      </c>
      <c r="G1705" s="1" t="s">
        <v>4252</v>
      </c>
      <c r="H1705" s="2"/>
      <c r="I1705" s="5">
        <f>XLOOKUP(K1705, pharmaceutical_index!B:B, pharmaceutical_index!A:A, "Not Found")</f>
      </c>
      <c r="J1705" s="1" t="s">
        <v>3546</v>
      </c>
      <c r="K1705" s="1" t="s">
        <v>3546</v>
      </c>
      <c r="L1705" s="1" t="s">
        <v>20</v>
      </c>
      <c r="M1705" s="1" t="s">
        <v>3546</v>
      </c>
      <c r="N1705" s="2"/>
      <c r="O1705" s="2"/>
      <c r="P1705" s="2"/>
      <c r="Q1705" s="2"/>
    </row>
    <row x14ac:dyDescent="0.25" r="1706" customHeight="1" ht="17.25">
      <c r="A1706" s="1" t="s">
        <v>5489</v>
      </c>
      <c r="B1706" s="1" t="s">
        <v>3548</v>
      </c>
      <c r="C1706" s="1" t="s">
        <v>3576</v>
      </c>
      <c r="D1706" s="1" t="s">
        <v>20</v>
      </c>
      <c r="E1706" s="1" t="s">
        <v>4250</v>
      </c>
      <c r="F1706" s="1" t="s">
        <v>4251</v>
      </c>
      <c r="G1706" s="1" t="s">
        <v>4252</v>
      </c>
      <c r="H1706" s="2"/>
      <c r="I1706" s="5">
        <f>XLOOKUP(K1706, pharmaceutical_index!B:B, pharmaceutical_index!A:A, "Not Found")</f>
      </c>
      <c r="J1706" s="1" t="s">
        <v>3548</v>
      </c>
      <c r="K1706" s="1" t="s">
        <v>3548</v>
      </c>
      <c r="L1706" s="1" t="s">
        <v>20</v>
      </c>
      <c r="M1706" s="1" t="s">
        <v>3548</v>
      </c>
      <c r="N1706" s="2"/>
      <c r="O1706" s="2"/>
      <c r="P1706" s="2"/>
      <c r="Q1706" s="2"/>
    </row>
    <row x14ac:dyDescent="0.25" r="1707" customHeight="1" ht="17.25">
      <c r="A1707" s="1" t="s">
        <v>5490</v>
      </c>
      <c r="B1707" s="1" t="s">
        <v>3550</v>
      </c>
      <c r="C1707" s="1" t="s">
        <v>3576</v>
      </c>
      <c r="D1707" s="1" t="s">
        <v>20</v>
      </c>
      <c r="E1707" s="1" t="s">
        <v>4250</v>
      </c>
      <c r="F1707" s="1" t="s">
        <v>4251</v>
      </c>
      <c r="G1707" s="1" t="s">
        <v>4252</v>
      </c>
      <c r="H1707" s="2"/>
      <c r="I1707" s="5">
        <f>XLOOKUP(K1707, pharmaceutical_index!B:B, pharmaceutical_index!A:A, "Not Found")</f>
      </c>
      <c r="J1707" s="1" t="s">
        <v>3550</v>
      </c>
      <c r="K1707" s="1" t="s">
        <v>3550</v>
      </c>
      <c r="L1707" s="1" t="s">
        <v>20</v>
      </c>
      <c r="M1707" s="1" t="s">
        <v>3550</v>
      </c>
      <c r="N1707" s="2"/>
      <c r="O1707" s="2"/>
      <c r="P1707" s="2"/>
      <c r="Q1707" s="2"/>
    </row>
    <row x14ac:dyDescent="0.25" r="1708" customHeight="1" ht="17.25">
      <c r="A1708" s="1" t="s">
        <v>5491</v>
      </c>
      <c r="B1708" s="1" t="s">
        <v>3552</v>
      </c>
      <c r="C1708" s="1" t="s">
        <v>3576</v>
      </c>
      <c r="D1708" s="1" t="s">
        <v>20</v>
      </c>
      <c r="E1708" s="1" t="s">
        <v>4250</v>
      </c>
      <c r="F1708" s="1" t="s">
        <v>4251</v>
      </c>
      <c r="G1708" s="1" t="s">
        <v>4252</v>
      </c>
      <c r="H1708" s="2"/>
      <c r="I1708" s="5">
        <f>XLOOKUP(K1708, pharmaceutical_index!B:B, pharmaceutical_index!A:A, "Not Found")</f>
      </c>
      <c r="J1708" s="1" t="s">
        <v>3552</v>
      </c>
      <c r="K1708" s="1" t="s">
        <v>3552</v>
      </c>
      <c r="L1708" s="1" t="s">
        <v>20</v>
      </c>
      <c r="M1708" s="1" t="s">
        <v>3552</v>
      </c>
      <c r="N1708" s="2"/>
      <c r="O1708" s="2"/>
      <c r="P1708" s="2"/>
      <c r="Q1708" s="2"/>
    </row>
    <row x14ac:dyDescent="0.25" r="1709" customHeight="1" ht="17.25">
      <c r="A1709" s="1" t="s">
        <v>5492</v>
      </c>
      <c r="B1709" s="1" t="s">
        <v>3554</v>
      </c>
      <c r="C1709" s="1" t="s">
        <v>3576</v>
      </c>
      <c r="D1709" s="1" t="s">
        <v>20</v>
      </c>
      <c r="E1709" s="1" t="s">
        <v>4250</v>
      </c>
      <c r="F1709" s="1" t="s">
        <v>4251</v>
      </c>
      <c r="G1709" s="1" t="s">
        <v>4252</v>
      </c>
      <c r="H1709" s="2"/>
      <c r="I1709" s="5">
        <f>XLOOKUP(K1709, pharmaceutical_index!B:B, pharmaceutical_index!A:A, "Not Found")</f>
      </c>
      <c r="J1709" s="1" t="s">
        <v>3554</v>
      </c>
      <c r="K1709" s="1" t="s">
        <v>3554</v>
      </c>
      <c r="L1709" s="1" t="s">
        <v>20</v>
      </c>
      <c r="M1709" s="1" t="s">
        <v>3554</v>
      </c>
      <c r="N1709" s="2"/>
      <c r="O1709" s="2"/>
      <c r="P1709" s="2"/>
      <c r="Q1709" s="2"/>
    </row>
    <row x14ac:dyDescent="0.25" r="1710" customHeight="1" ht="17.25">
      <c r="A1710" s="1" t="s">
        <v>5493</v>
      </c>
      <c r="B1710" s="1" t="s">
        <v>3556</v>
      </c>
      <c r="C1710" s="1" t="s">
        <v>3576</v>
      </c>
      <c r="D1710" s="1" t="s">
        <v>20</v>
      </c>
      <c r="E1710" s="1" t="s">
        <v>4250</v>
      </c>
      <c r="F1710" s="1" t="s">
        <v>4251</v>
      </c>
      <c r="G1710" s="1" t="s">
        <v>4252</v>
      </c>
      <c r="H1710" s="2"/>
      <c r="I1710" s="5">
        <f>XLOOKUP(K1710, pharmaceutical_index!B:B, pharmaceutical_index!A:A, "Not Found")</f>
      </c>
      <c r="J1710" s="1" t="s">
        <v>3556</v>
      </c>
      <c r="K1710" s="1" t="s">
        <v>3556</v>
      </c>
      <c r="L1710" s="1" t="s">
        <v>20</v>
      </c>
      <c r="M1710" s="1" t="s">
        <v>3556</v>
      </c>
      <c r="N1710" s="2"/>
      <c r="O1710" s="2"/>
      <c r="P1710" s="2"/>
      <c r="Q1710" s="2"/>
    </row>
    <row x14ac:dyDescent="0.25" r="1711" customHeight="1" ht="17.25">
      <c r="A1711" s="2"/>
      <c r="B1711" s="1" t="s">
        <v>5494</v>
      </c>
      <c r="C1711" s="2"/>
      <c r="D1711" s="2"/>
      <c r="E1711" s="2"/>
      <c r="F1711" s="2"/>
      <c r="G1711" s="2"/>
      <c r="H1711" s="2"/>
      <c r="I1711" s="5">
        <f>XLOOKUP(K1711, pharmaceutical_index!B:B, pharmaceutical_index!A:A, "Not Found")</f>
      </c>
      <c r="J1711" s="2"/>
      <c r="K1711" s="1"/>
      <c r="L1711" s="2"/>
      <c r="M1711" s="2"/>
      <c r="N1711" s="2"/>
      <c r="O1711" s="2"/>
      <c r="P1711" s="2"/>
      <c r="Q1711" s="2"/>
    </row>
    <row x14ac:dyDescent="0.25" r="1712" customHeight="1" ht="17.25">
      <c r="A1712" s="2"/>
      <c r="B1712" s="2"/>
      <c r="C1712" s="2"/>
      <c r="D1712" s="2"/>
      <c r="E1712" s="2"/>
      <c r="F1712" s="2"/>
      <c r="G1712" s="2"/>
      <c r="H1712" s="2"/>
      <c r="I1712" s="5">
        <f>XLOOKUP(K1712, pharmaceutical_index!B:B, pharmaceutical_index!A:A, "Not Found")</f>
      </c>
      <c r="J1712" s="2"/>
      <c r="K1712" s="1"/>
      <c r="L1712" s="2"/>
      <c r="M1712" s="2"/>
      <c r="N1712" s="2"/>
      <c r="O1712" s="2"/>
      <c r="P1712" s="2"/>
      <c r="Q171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71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2.43357142857143" customWidth="1" bestFit="1"/>
    <col min="2" max="2" style="4" width="50.57642857142857" customWidth="1" bestFit="1"/>
    <col min="3" max="3" style="3" width="65.43357142857143" customWidth="1" bestFit="1"/>
    <col min="4" max="4" style="3" width="24.290714285714284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7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/>
      <c r="I2" s="2"/>
      <c r="J2" s="2"/>
      <c r="K2" s="2"/>
    </row>
    <row x14ac:dyDescent="0.25" r="3" customHeight="1" ht="17.25">
      <c r="A3" s="1" t="s">
        <v>18</v>
      </c>
      <c r="B3" s="1" t="s">
        <v>19</v>
      </c>
      <c r="C3" s="1" t="s">
        <v>20</v>
      </c>
      <c r="D3" s="1" t="s">
        <v>14</v>
      </c>
      <c r="E3" s="1" t="s">
        <v>15</v>
      </c>
      <c r="F3" s="1" t="s">
        <v>16</v>
      </c>
      <c r="G3" s="1" t="s">
        <v>17</v>
      </c>
      <c r="H3" s="2"/>
      <c r="I3" s="2"/>
      <c r="J3" s="2"/>
      <c r="K3" s="2"/>
    </row>
    <row x14ac:dyDescent="0.25" r="4" customHeight="1" ht="17.25">
      <c r="A4" s="1" t="s">
        <v>21</v>
      </c>
      <c r="B4" s="1" t="s">
        <v>22</v>
      </c>
      <c r="C4" s="1" t="s">
        <v>23</v>
      </c>
      <c r="D4" s="1" t="s">
        <v>14</v>
      </c>
      <c r="E4" s="1" t="s">
        <v>15</v>
      </c>
      <c r="F4" s="1" t="s">
        <v>16</v>
      </c>
      <c r="G4" s="1" t="s">
        <v>17</v>
      </c>
      <c r="H4" s="2"/>
      <c r="I4" s="2"/>
      <c r="J4" s="2"/>
      <c r="K4" s="2"/>
    </row>
    <row x14ac:dyDescent="0.25" r="5" customHeight="1" ht="17.25">
      <c r="A5" s="1" t="s">
        <v>24</v>
      </c>
      <c r="B5" s="1" t="s">
        <v>25</v>
      </c>
      <c r="C5" s="1" t="s">
        <v>20</v>
      </c>
      <c r="D5" s="1" t="s">
        <v>14</v>
      </c>
      <c r="E5" s="1" t="s">
        <v>15</v>
      </c>
      <c r="F5" s="1" t="s">
        <v>16</v>
      </c>
      <c r="G5" s="1" t="s">
        <v>17</v>
      </c>
      <c r="H5" s="2"/>
      <c r="I5" s="2"/>
      <c r="J5" s="2"/>
      <c r="K5" s="2"/>
    </row>
    <row x14ac:dyDescent="0.25" r="6" customHeight="1" ht="17.25">
      <c r="A6" s="1" t="s">
        <v>26</v>
      </c>
      <c r="B6" s="1" t="s">
        <v>27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17</v>
      </c>
      <c r="H6" s="2"/>
      <c r="I6" s="2"/>
      <c r="J6" s="2"/>
      <c r="K6" s="2"/>
    </row>
    <row x14ac:dyDescent="0.25" r="7" customHeight="1" ht="17.25">
      <c r="A7" s="1" t="s">
        <v>28</v>
      </c>
      <c r="B7" s="1" t="s">
        <v>29</v>
      </c>
      <c r="C7" s="1" t="s">
        <v>30</v>
      </c>
      <c r="D7" s="1" t="s">
        <v>14</v>
      </c>
      <c r="E7" s="1" t="s">
        <v>15</v>
      </c>
      <c r="F7" s="1" t="s">
        <v>16</v>
      </c>
      <c r="G7" s="1" t="s">
        <v>17</v>
      </c>
      <c r="H7" s="2"/>
      <c r="I7" s="2"/>
      <c r="J7" s="2"/>
      <c r="K7" s="2"/>
    </row>
    <row x14ac:dyDescent="0.25" r="8" customHeight="1" ht="17.25">
      <c r="A8" s="1" t="s">
        <v>31</v>
      </c>
      <c r="B8" s="1" t="s">
        <v>32</v>
      </c>
      <c r="C8" s="1" t="s">
        <v>33</v>
      </c>
      <c r="D8" s="1" t="s">
        <v>14</v>
      </c>
      <c r="E8" s="1" t="s">
        <v>15</v>
      </c>
      <c r="F8" s="1" t="s">
        <v>16</v>
      </c>
      <c r="G8" s="1" t="s">
        <v>17</v>
      </c>
      <c r="H8" s="2"/>
      <c r="I8" s="2"/>
      <c r="J8" s="2"/>
      <c r="K8" s="2"/>
    </row>
    <row x14ac:dyDescent="0.25" r="9" customHeight="1" ht="17.25">
      <c r="A9" s="1" t="s">
        <v>34</v>
      </c>
      <c r="B9" s="1" t="s">
        <v>35</v>
      </c>
      <c r="C9" s="1" t="s">
        <v>36</v>
      </c>
      <c r="D9" s="1" t="s">
        <v>14</v>
      </c>
      <c r="E9" s="1" t="s">
        <v>15</v>
      </c>
      <c r="F9" s="1" t="s">
        <v>16</v>
      </c>
      <c r="G9" s="1" t="s">
        <v>17</v>
      </c>
      <c r="H9" s="2"/>
      <c r="I9" s="2"/>
      <c r="J9" s="2"/>
      <c r="K9" s="2"/>
    </row>
    <row x14ac:dyDescent="0.25" r="10" customHeight="1" ht="17.25">
      <c r="A10" s="1" t="s">
        <v>37</v>
      </c>
      <c r="B10" s="1" t="s">
        <v>38</v>
      </c>
      <c r="C10" s="1" t="s">
        <v>20</v>
      </c>
      <c r="D10" s="1" t="s">
        <v>14</v>
      </c>
      <c r="E10" s="1" t="s">
        <v>15</v>
      </c>
      <c r="F10" s="1" t="s">
        <v>16</v>
      </c>
      <c r="G10" s="1" t="s">
        <v>17</v>
      </c>
      <c r="H10" s="2"/>
      <c r="I10" s="2"/>
      <c r="J10" s="2"/>
      <c r="K10" s="2"/>
    </row>
    <row x14ac:dyDescent="0.25" r="11" customHeight="1" ht="17.25">
      <c r="A11" s="1" t="s">
        <v>39</v>
      </c>
      <c r="B11" s="1" t="s">
        <v>40</v>
      </c>
      <c r="C11" s="1" t="s">
        <v>20</v>
      </c>
      <c r="D11" s="1" t="s">
        <v>14</v>
      </c>
      <c r="E11" s="1" t="s">
        <v>15</v>
      </c>
      <c r="F11" s="1" t="s">
        <v>16</v>
      </c>
      <c r="G11" s="1" t="s">
        <v>17</v>
      </c>
      <c r="H11" s="2"/>
      <c r="I11" s="2"/>
      <c r="J11" s="2"/>
      <c r="K11" s="2"/>
    </row>
    <row x14ac:dyDescent="0.25" r="12" customHeight="1" ht="17.25">
      <c r="A12" s="1" t="s">
        <v>41</v>
      </c>
      <c r="B12" s="1" t="s">
        <v>42</v>
      </c>
      <c r="C12" s="1" t="s">
        <v>43</v>
      </c>
      <c r="D12" s="1" t="s">
        <v>14</v>
      </c>
      <c r="E12" s="1" t="s">
        <v>15</v>
      </c>
      <c r="F12" s="1" t="s">
        <v>16</v>
      </c>
      <c r="G12" s="1" t="s">
        <v>17</v>
      </c>
      <c r="H12" s="2"/>
      <c r="I12" s="2"/>
      <c r="J12" s="2"/>
      <c r="K12" s="2"/>
    </row>
    <row x14ac:dyDescent="0.25" r="13" customHeight="1" ht="17.25">
      <c r="A13" s="1" t="s">
        <v>44</v>
      </c>
      <c r="B13" s="1" t="s">
        <v>45</v>
      </c>
      <c r="C13" s="1" t="s">
        <v>20</v>
      </c>
      <c r="D13" s="1" t="s">
        <v>14</v>
      </c>
      <c r="E13" s="1" t="s">
        <v>15</v>
      </c>
      <c r="F13" s="1" t="s">
        <v>16</v>
      </c>
      <c r="G13" s="1" t="s">
        <v>17</v>
      </c>
      <c r="H13" s="2"/>
      <c r="I13" s="2"/>
      <c r="J13" s="2"/>
      <c r="K13" s="2"/>
    </row>
    <row x14ac:dyDescent="0.25" r="14" customHeight="1" ht="17.25">
      <c r="A14" s="1" t="s">
        <v>46</v>
      </c>
      <c r="B14" s="1" t="s">
        <v>47</v>
      </c>
      <c r="C14" s="1" t="s">
        <v>48</v>
      </c>
      <c r="D14" s="1" t="s">
        <v>14</v>
      </c>
      <c r="E14" s="1" t="s">
        <v>15</v>
      </c>
      <c r="F14" s="1" t="s">
        <v>16</v>
      </c>
      <c r="G14" s="1" t="s">
        <v>17</v>
      </c>
      <c r="H14" s="2"/>
      <c r="I14" s="2"/>
      <c r="J14" s="2"/>
      <c r="K14" s="2"/>
    </row>
    <row x14ac:dyDescent="0.25" r="15" customHeight="1" ht="17.25">
      <c r="A15" s="1" t="s">
        <v>49</v>
      </c>
      <c r="B15" s="1" t="s">
        <v>50</v>
      </c>
      <c r="C15" s="1" t="s">
        <v>51</v>
      </c>
      <c r="D15" s="1" t="s">
        <v>14</v>
      </c>
      <c r="E15" s="1" t="s">
        <v>15</v>
      </c>
      <c r="F15" s="1" t="s">
        <v>16</v>
      </c>
      <c r="G15" s="1" t="s">
        <v>17</v>
      </c>
      <c r="H15" s="2"/>
      <c r="I15" s="2"/>
      <c r="J15" s="2"/>
      <c r="K15" s="2"/>
    </row>
    <row x14ac:dyDescent="0.25" r="16" customHeight="1" ht="17.25">
      <c r="A16" s="1" t="s">
        <v>52</v>
      </c>
      <c r="B16" s="1" t="s">
        <v>53</v>
      </c>
      <c r="C16" s="1" t="s">
        <v>54</v>
      </c>
      <c r="D16" s="1" t="s">
        <v>14</v>
      </c>
      <c r="E16" s="1" t="s">
        <v>15</v>
      </c>
      <c r="F16" s="1" t="s">
        <v>16</v>
      </c>
      <c r="G16" s="1" t="s">
        <v>17</v>
      </c>
      <c r="H16" s="2"/>
      <c r="I16" s="2"/>
      <c r="J16" s="2"/>
      <c r="K16" s="2"/>
    </row>
    <row x14ac:dyDescent="0.25" r="17" customHeight="1" ht="17.25">
      <c r="A17" s="1" t="s">
        <v>55</v>
      </c>
      <c r="B17" s="1" t="s">
        <v>56</v>
      </c>
      <c r="C17" s="1" t="s">
        <v>20</v>
      </c>
      <c r="D17" s="1" t="s">
        <v>14</v>
      </c>
      <c r="E17" s="1" t="s">
        <v>15</v>
      </c>
      <c r="F17" s="1" t="s">
        <v>16</v>
      </c>
      <c r="G17" s="1" t="s">
        <v>17</v>
      </c>
      <c r="H17" s="2"/>
      <c r="I17" s="2"/>
      <c r="J17" s="2"/>
      <c r="K17" s="2"/>
    </row>
    <row x14ac:dyDescent="0.25" r="18" customHeight="1" ht="17.25">
      <c r="A18" s="1" t="s">
        <v>57</v>
      </c>
      <c r="B18" s="1" t="s">
        <v>58</v>
      </c>
      <c r="C18" s="1" t="s">
        <v>59</v>
      </c>
      <c r="D18" s="1" t="s">
        <v>14</v>
      </c>
      <c r="E18" s="1" t="s">
        <v>15</v>
      </c>
      <c r="F18" s="1" t="s">
        <v>16</v>
      </c>
      <c r="G18" s="1" t="s">
        <v>17</v>
      </c>
      <c r="H18" s="2"/>
      <c r="I18" s="2"/>
      <c r="J18" s="2"/>
      <c r="K18" s="2"/>
    </row>
    <row x14ac:dyDescent="0.25" r="19" customHeight="1" ht="17.25">
      <c r="A19" s="1" t="s">
        <v>60</v>
      </c>
      <c r="B19" s="1" t="s">
        <v>61</v>
      </c>
      <c r="C19" s="1" t="s">
        <v>62</v>
      </c>
      <c r="D19" s="1" t="s">
        <v>14</v>
      </c>
      <c r="E19" s="1" t="s">
        <v>15</v>
      </c>
      <c r="F19" s="1" t="s">
        <v>16</v>
      </c>
      <c r="G19" s="1" t="s">
        <v>17</v>
      </c>
      <c r="H19" s="2"/>
      <c r="I19" s="2"/>
      <c r="J19" s="2"/>
      <c r="K19" s="2"/>
    </row>
    <row x14ac:dyDescent="0.25" r="20" customHeight="1" ht="17.25">
      <c r="A20" s="1" t="s">
        <v>63</v>
      </c>
      <c r="B20" s="1" t="s">
        <v>64</v>
      </c>
      <c r="C20" s="1" t="s">
        <v>65</v>
      </c>
      <c r="D20" s="1" t="s">
        <v>14</v>
      </c>
      <c r="E20" s="1" t="s">
        <v>15</v>
      </c>
      <c r="F20" s="1" t="s">
        <v>16</v>
      </c>
      <c r="G20" s="1" t="s">
        <v>17</v>
      </c>
      <c r="H20" s="2"/>
      <c r="I20" s="2"/>
      <c r="J20" s="2"/>
      <c r="K20" s="2"/>
    </row>
    <row x14ac:dyDescent="0.25" r="21" customHeight="1" ht="17.25">
      <c r="A21" s="1" t="s">
        <v>66</v>
      </c>
      <c r="B21" s="1" t="s">
        <v>67</v>
      </c>
      <c r="C21" s="1" t="s">
        <v>68</v>
      </c>
      <c r="D21" s="1" t="s">
        <v>14</v>
      </c>
      <c r="E21" s="1" t="s">
        <v>15</v>
      </c>
      <c r="F21" s="1" t="s">
        <v>16</v>
      </c>
      <c r="G21" s="1" t="s">
        <v>17</v>
      </c>
      <c r="H21" s="2"/>
      <c r="I21" s="2"/>
      <c r="J21" s="2"/>
      <c r="K21" s="2"/>
    </row>
    <row x14ac:dyDescent="0.25" r="22" customHeight="1" ht="17.25">
      <c r="A22" s="1" t="s">
        <v>69</v>
      </c>
      <c r="B22" s="1" t="s">
        <v>70</v>
      </c>
      <c r="C22" s="1" t="s">
        <v>71</v>
      </c>
      <c r="D22" s="1" t="s">
        <v>14</v>
      </c>
      <c r="E22" s="1" t="s">
        <v>15</v>
      </c>
      <c r="F22" s="1" t="s">
        <v>16</v>
      </c>
      <c r="G22" s="1" t="s">
        <v>17</v>
      </c>
      <c r="H22" s="2"/>
      <c r="I22" s="2"/>
      <c r="J22" s="2"/>
      <c r="K22" s="2"/>
    </row>
    <row x14ac:dyDescent="0.25" r="23" customHeight="1" ht="17.25">
      <c r="A23" s="1" t="s">
        <v>72</v>
      </c>
      <c r="B23" s="1" t="s">
        <v>73</v>
      </c>
      <c r="C23" s="1" t="s">
        <v>62</v>
      </c>
      <c r="D23" s="1" t="s">
        <v>14</v>
      </c>
      <c r="E23" s="1" t="s">
        <v>15</v>
      </c>
      <c r="F23" s="1" t="s">
        <v>16</v>
      </c>
      <c r="G23" s="1" t="s">
        <v>17</v>
      </c>
      <c r="H23" s="2"/>
      <c r="I23" s="2"/>
      <c r="J23" s="2"/>
      <c r="K23" s="2"/>
    </row>
    <row x14ac:dyDescent="0.25" r="24" customHeight="1" ht="17.25">
      <c r="A24" s="1" t="s">
        <v>74</v>
      </c>
      <c r="B24" s="1" t="s">
        <v>75</v>
      </c>
      <c r="C24" s="1" t="s">
        <v>76</v>
      </c>
      <c r="D24" s="1" t="s">
        <v>14</v>
      </c>
      <c r="E24" s="1" t="s">
        <v>15</v>
      </c>
      <c r="F24" s="1" t="s">
        <v>16</v>
      </c>
      <c r="G24" s="1" t="s">
        <v>17</v>
      </c>
      <c r="H24" s="2"/>
      <c r="I24" s="2"/>
      <c r="J24" s="2"/>
      <c r="K24" s="2"/>
    </row>
    <row x14ac:dyDescent="0.25" r="25" customHeight="1" ht="17.25">
      <c r="A25" s="1" t="s">
        <v>77</v>
      </c>
      <c r="B25" s="1" t="s">
        <v>78</v>
      </c>
      <c r="C25" s="1" t="s">
        <v>76</v>
      </c>
      <c r="D25" s="1" t="s">
        <v>14</v>
      </c>
      <c r="E25" s="1" t="s">
        <v>15</v>
      </c>
      <c r="F25" s="1" t="s">
        <v>16</v>
      </c>
      <c r="G25" s="1" t="s">
        <v>17</v>
      </c>
      <c r="H25" s="2"/>
      <c r="I25" s="2"/>
      <c r="J25" s="2"/>
      <c r="K25" s="2"/>
    </row>
    <row x14ac:dyDescent="0.25" r="26" customHeight="1" ht="17.25">
      <c r="A26" s="1" t="s">
        <v>79</v>
      </c>
      <c r="B26" s="1" t="s">
        <v>80</v>
      </c>
      <c r="C26" s="1" t="s">
        <v>81</v>
      </c>
      <c r="D26" s="1" t="s">
        <v>14</v>
      </c>
      <c r="E26" s="1" t="s">
        <v>15</v>
      </c>
      <c r="F26" s="1" t="s">
        <v>16</v>
      </c>
      <c r="G26" s="1" t="s">
        <v>17</v>
      </c>
      <c r="H26" s="2"/>
      <c r="I26" s="2"/>
      <c r="J26" s="2"/>
      <c r="K26" s="2"/>
    </row>
    <row x14ac:dyDescent="0.25" r="27" customHeight="1" ht="17.25">
      <c r="A27" s="1" t="s">
        <v>82</v>
      </c>
      <c r="B27" s="1" t="s">
        <v>83</v>
      </c>
      <c r="C27" s="1" t="s">
        <v>76</v>
      </c>
      <c r="D27" s="1" t="s">
        <v>14</v>
      </c>
      <c r="E27" s="1" t="s">
        <v>15</v>
      </c>
      <c r="F27" s="1" t="s">
        <v>16</v>
      </c>
      <c r="G27" s="1" t="s">
        <v>17</v>
      </c>
      <c r="H27" s="2"/>
      <c r="I27" s="2"/>
      <c r="J27" s="2"/>
      <c r="K27" s="2"/>
    </row>
    <row x14ac:dyDescent="0.25" r="28" customHeight="1" ht="17.25">
      <c r="A28" s="1" t="s">
        <v>84</v>
      </c>
      <c r="B28" s="1" t="s">
        <v>85</v>
      </c>
      <c r="C28" s="1" t="s">
        <v>86</v>
      </c>
      <c r="D28" s="1" t="s">
        <v>14</v>
      </c>
      <c r="E28" s="1" t="s">
        <v>15</v>
      </c>
      <c r="F28" s="1" t="s">
        <v>16</v>
      </c>
      <c r="G28" s="1" t="s">
        <v>17</v>
      </c>
      <c r="H28" s="2"/>
      <c r="I28" s="2"/>
      <c r="J28" s="2"/>
      <c r="K28" s="2"/>
    </row>
    <row x14ac:dyDescent="0.25" r="29" customHeight="1" ht="17.25">
      <c r="A29" s="1" t="s">
        <v>87</v>
      </c>
      <c r="B29" s="1" t="s">
        <v>88</v>
      </c>
      <c r="C29" s="1" t="s">
        <v>86</v>
      </c>
      <c r="D29" s="1" t="s">
        <v>14</v>
      </c>
      <c r="E29" s="1" t="s">
        <v>15</v>
      </c>
      <c r="F29" s="1" t="s">
        <v>16</v>
      </c>
      <c r="G29" s="1" t="s">
        <v>17</v>
      </c>
      <c r="H29" s="2"/>
      <c r="I29" s="2"/>
      <c r="J29" s="2"/>
      <c r="K29" s="2"/>
    </row>
    <row x14ac:dyDescent="0.25" r="30" customHeight="1" ht="17.25">
      <c r="A30" s="1" t="s">
        <v>89</v>
      </c>
      <c r="B30" s="1" t="s">
        <v>90</v>
      </c>
      <c r="C30" s="1" t="s">
        <v>91</v>
      </c>
      <c r="D30" s="1" t="s">
        <v>14</v>
      </c>
      <c r="E30" s="1" t="s">
        <v>15</v>
      </c>
      <c r="F30" s="1" t="s">
        <v>16</v>
      </c>
      <c r="G30" s="1" t="s">
        <v>17</v>
      </c>
      <c r="H30" s="2"/>
      <c r="I30" s="2"/>
      <c r="J30" s="2"/>
      <c r="K30" s="2"/>
    </row>
    <row x14ac:dyDescent="0.25" r="31" customHeight="1" ht="17.25">
      <c r="A31" s="1" t="s">
        <v>92</v>
      </c>
      <c r="B31" s="1" t="s">
        <v>93</v>
      </c>
      <c r="C31" s="1" t="s">
        <v>20</v>
      </c>
      <c r="D31" s="1" t="s">
        <v>14</v>
      </c>
      <c r="E31" s="1" t="s">
        <v>15</v>
      </c>
      <c r="F31" s="1" t="s">
        <v>16</v>
      </c>
      <c r="G31" s="1" t="s">
        <v>17</v>
      </c>
      <c r="H31" s="2"/>
      <c r="I31" s="2"/>
      <c r="J31" s="2"/>
      <c r="K31" s="2"/>
    </row>
    <row x14ac:dyDescent="0.25" r="32" customHeight="1" ht="17.25">
      <c r="A32" s="1" t="s">
        <v>94</v>
      </c>
      <c r="B32" s="1" t="s">
        <v>95</v>
      </c>
      <c r="C32" s="1" t="s">
        <v>96</v>
      </c>
      <c r="D32" s="1" t="s">
        <v>14</v>
      </c>
      <c r="E32" s="1" t="s">
        <v>15</v>
      </c>
      <c r="F32" s="1" t="s">
        <v>16</v>
      </c>
      <c r="G32" s="1" t="s">
        <v>17</v>
      </c>
      <c r="H32" s="2"/>
      <c r="I32" s="2"/>
      <c r="J32" s="2"/>
      <c r="K32" s="2"/>
    </row>
    <row x14ac:dyDescent="0.25" r="33" customHeight="1" ht="17.25">
      <c r="A33" s="1" t="s">
        <v>97</v>
      </c>
      <c r="B33" s="1" t="s">
        <v>98</v>
      </c>
      <c r="C33" s="1" t="s">
        <v>96</v>
      </c>
      <c r="D33" s="1" t="s">
        <v>14</v>
      </c>
      <c r="E33" s="1" t="s">
        <v>15</v>
      </c>
      <c r="F33" s="1" t="s">
        <v>16</v>
      </c>
      <c r="G33" s="1" t="s">
        <v>17</v>
      </c>
      <c r="H33" s="2"/>
      <c r="I33" s="2"/>
      <c r="J33" s="2"/>
      <c r="K33" s="2"/>
    </row>
    <row x14ac:dyDescent="0.25" r="34" customHeight="1" ht="17.25">
      <c r="A34" s="1" t="s">
        <v>99</v>
      </c>
      <c r="B34" s="1" t="s">
        <v>100</v>
      </c>
      <c r="C34" s="1" t="s">
        <v>96</v>
      </c>
      <c r="D34" s="1" t="s">
        <v>14</v>
      </c>
      <c r="E34" s="1" t="s">
        <v>15</v>
      </c>
      <c r="F34" s="1" t="s">
        <v>16</v>
      </c>
      <c r="G34" s="1" t="s">
        <v>17</v>
      </c>
      <c r="H34" s="2"/>
      <c r="I34" s="2"/>
      <c r="J34" s="2"/>
      <c r="K34" s="2"/>
    </row>
    <row x14ac:dyDescent="0.25" r="35" customHeight="1" ht="17.25">
      <c r="A35" s="1" t="s">
        <v>101</v>
      </c>
      <c r="B35" s="1" t="s">
        <v>102</v>
      </c>
      <c r="C35" s="1" t="s">
        <v>96</v>
      </c>
      <c r="D35" s="1" t="s">
        <v>14</v>
      </c>
      <c r="E35" s="1" t="s">
        <v>15</v>
      </c>
      <c r="F35" s="1" t="s">
        <v>16</v>
      </c>
      <c r="G35" s="1" t="s">
        <v>17</v>
      </c>
      <c r="H35" s="2"/>
      <c r="I35" s="2"/>
      <c r="J35" s="2"/>
      <c r="K35" s="2"/>
    </row>
    <row x14ac:dyDescent="0.25" r="36" customHeight="1" ht="17.25">
      <c r="A36" s="1" t="s">
        <v>103</v>
      </c>
      <c r="B36" s="1" t="s">
        <v>104</v>
      </c>
      <c r="C36" s="1" t="s">
        <v>20</v>
      </c>
      <c r="D36" s="1" t="s">
        <v>14</v>
      </c>
      <c r="E36" s="1" t="s">
        <v>15</v>
      </c>
      <c r="F36" s="1" t="s">
        <v>16</v>
      </c>
      <c r="G36" s="1" t="s">
        <v>17</v>
      </c>
      <c r="H36" s="2"/>
      <c r="I36" s="2"/>
      <c r="J36" s="2"/>
      <c r="K36" s="2"/>
    </row>
    <row x14ac:dyDescent="0.25" r="37" customHeight="1" ht="17.25">
      <c r="A37" s="1" t="s">
        <v>105</v>
      </c>
      <c r="B37" s="1" t="s">
        <v>106</v>
      </c>
      <c r="C37" s="1" t="s">
        <v>20</v>
      </c>
      <c r="D37" s="1" t="s">
        <v>14</v>
      </c>
      <c r="E37" s="1" t="s">
        <v>15</v>
      </c>
      <c r="F37" s="1" t="s">
        <v>16</v>
      </c>
      <c r="G37" s="1" t="s">
        <v>17</v>
      </c>
      <c r="H37" s="2"/>
      <c r="I37" s="2"/>
      <c r="J37" s="2"/>
      <c r="K37" s="2"/>
    </row>
    <row x14ac:dyDescent="0.25" r="38" customHeight="1" ht="17.25">
      <c r="A38" s="1" t="s">
        <v>107</v>
      </c>
      <c r="B38" s="1" t="s">
        <v>108</v>
      </c>
      <c r="C38" s="1" t="s">
        <v>62</v>
      </c>
      <c r="D38" s="1" t="s">
        <v>14</v>
      </c>
      <c r="E38" s="1" t="s">
        <v>15</v>
      </c>
      <c r="F38" s="1" t="s">
        <v>16</v>
      </c>
      <c r="G38" s="1" t="s">
        <v>17</v>
      </c>
      <c r="H38" s="2"/>
      <c r="I38" s="2"/>
      <c r="J38" s="2"/>
      <c r="K38" s="2"/>
    </row>
    <row x14ac:dyDescent="0.25" r="39" customHeight="1" ht="17.25">
      <c r="A39" s="1" t="s">
        <v>109</v>
      </c>
      <c r="B39" s="1" t="s">
        <v>110</v>
      </c>
      <c r="C39" s="1" t="s">
        <v>111</v>
      </c>
      <c r="D39" s="1" t="s">
        <v>14</v>
      </c>
      <c r="E39" s="1" t="s">
        <v>15</v>
      </c>
      <c r="F39" s="1" t="s">
        <v>16</v>
      </c>
      <c r="G39" s="1" t="s">
        <v>17</v>
      </c>
      <c r="H39" s="2"/>
      <c r="I39" s="2"/>
      <c r="J39" s="2"/>
      <c r="K39" s="2"/>
    </row>
    <row x14ac:dyDescent="0.25" r="40" customHeight="1" ht="17.25">
      <c r="A40" s="1" t="s">
        <v>112</v>
      </c>
      <c r="B40" s="1" t="s">
        <v>113</v>
      </c>
      <c r="C40" s="1" t="s">
        <v>114</v>
      </c>
      <c r="D40" s="1" t="s">
        <v>14</v>
      </c>
      <c r="E40" s="1" t="s">
        <v>15</v>
      </c>
      <c r="F40" s="1" t="s">
        <v>16</v>
      </c>
      <c r="G40" s="1" t="s">
        <v>17</v>
      </c>
      <c r="H40" s="2"/>
      <c r="I40" s="2"/>
      <c r="J40" s="2"/>
      <c r="K40" s="2"/>
    </row>
    <row x14ac:dyDescent="0.25" r="41" customHeight="1" ht="17.25">
      <c r="A41" s="1" t="s">
        <v>115</v>
      </c>
      <c r="B41" s="1" t="s">
        <v>116</v>
      </c>
      <c r="C41" s="1" t="s">
        <v>117</v>
      </c>
      <c r="D41" s="1" t="s">
        <v>14</v>
      </c>
      <c r="E41" s="1" t="s">
        <v>15</v>
      </c>
      <c r="F41" s="1" t="s">
        <v>16</v>
      </c>
      <c r="G41" s="1" t="s">
        <v>17</v>
      </c>
      <c r="H41" s="2"/>
      <c r="I41" s="2"/>
      <c r="J41" s="2"/>
      <c r="K41" s="2"/>
    </row>
    <row x14ac:dyDescent="0.25" r="42" customHeight="1" ht="17.25">
      <c r="A42" s="1" t="s">
        <v>118</v>
      </c>
      <c r="B42" s="1" t="s">
        <v>119</v>
      </c>
      <c r="C42" s="1" t="s">
        <v>120</v>
      </c>
      <c r="D42" s="1" t="s">
        <v>14</v>
      </c>
      <c r="E42" s="1" t="s">
        <v>15</v>
      </c>
      <c r="F42" s="1" t="s">
        <v>16</v>
      </c>
      <c r="G42" s="1" t="s">
        <v>17</v>
      </c>
      <c r="H42" s="2"/>
      <c r="I42" s="2"/>
      <c r="J42" s="2"/>
      <c r="K42" s="2"/>
    </row>
    <row x14ac:dyDescent="0.25" r="43" customHeight="1" ht="17.25">
      <c r="A43" s="1" t="s">
        <v>121</v>
      </c>
      <c r="B43" s="1" t="s">
        <v>122</v>
      </c>
      <c r="C43" s="1" t="s">
        <v>20</v>
      </c>
      <c r="D43" s="1" t="s">
        <v>14</v>
      </c>
      <c r="E43" s="1" t="s">
        <v>15</v>
      </c>
      <c r="F43" s="1" t="s">
        <v>16</v>
      </c>
      <c r="G43" s="1" t="s">
        <v>17</v>
      </c>
      <c r="H43" s="2"/>
      <c r="I43" s="2"/>
      <c r="J43" s="2"/>
      <c r="K43" s="2"/>
    </row>
    <row x14ac:dyDescent="0.25" r="44" customHeight="1" ht="17.25">
      <c r="A44" s="1" t="s">
        <v>123</v>
      </c>
      <c r="B44" s="1" t="s">
        <v>124</v>
      </c>
      <c r="C44" s="1" t="s">
        <v>125</v>
      </c>
      <c r="D44" s="1" t="s">
        <v>14</v>
      </c>
      <c r="E44" s="1" t="s">
        <v>15</v>
      </c>
      <c r="F44" s="1" t="s">
        <v>16</v>
      </c>
      <c r="G44" s="1" t="s">
        <v>17</v>
      </c>
      <c r="H44" s="2"/>
      <c r="I44" s="2"/>
      <c r="J44" s="2"/>
      <c r="K44" s="2"/>
    </row>
    <row x14ac:dyDescent="0.25" r="45" customHeight="1" ht="17.25">
      <c r="A45" s="1" t="s">
        <v>126</v>
      </c>
      <c r="B45" s="1" t="s">
        <v>127</v>
      </c>
      <c r="C45" s="1" t="s">
        <v>20</v>
      </c>
      <c r="D45" s="1" t="s">
        <v>14</v>
      </c>
      <c r="E45" s="1" t="s">
        <v>15</v>
      </c>
      <c r="F45" s="1" t="s">
        <v>16</v>
      </c>
      <c r="G45" s="1" t="s">
        <v>17</v>
      </c>
      <c r="H45" s="2"/>
      <c r="I45" s="2"/>
      <c r="J45" s="2"/>
      <c r="K45" s="2"/>
    </row>
    <row x14ac:dyDescent="0.25" r="46" customHeight="1" ht="17.25">
      <c r="A46" s="1" t="s">
        <v>128</v>
      </c>
      <c r="B46" s="1" t="s">
        <v>129</v>
      </c>
      <c r="C46" s="1" t="s">
        <v>130</v>
      </c>
      <c r="D46" s="1" t="s">
        <v>14</v>
      </c>
      <c r="E46" s="1" t="s">
        <v>15</v>
      </c>
      <c r="F46" s="1" t="s">
        <v>16</v>
      </c>
      <c r="G46" s="1" t="s">
        <v>17</v>
      </c>
      <c r="H46" s="2"/>
      <c r="I46" s="2"/>
      <c r="J46" s="2"/>
      <c r="K46" s="2"/>
    </row>
    <row x14ac:dyDescent="0.25" r="47" customHeight="1" ht="17.25">
      <c r="A47" s="1" t="s">
        <v>131</v>
      </c>
      <c r="B47" s="1" t="s">
        <v>132</v>
      </c>
      <c r="C47" s="1" t="s">
        <v>20</v>
      </c>
      <c r="D47" s="1" t="s">
        <v>14</v>
      </c>
      <c r="E47" s="1" t="s">
        <v>15</v>
      </c>
      <c r="F47" s="1" t="s">
        <v>16</v>
      </c>
      <c r="G47" s="1" t="s">
        <v>17</v>
      </c>
      <c r="H47" s="2"/>
      <c r="I47" s="2"/>
      <c r="J47" s="2"/>
      <c r="K47" s="2"/>
    </row>
    <row x14ac:dyDescent="0.25" r="48" customHeight="1" ht="17.25">
      <c r="A48" s="1" t="s">
        <v>133</v>
      </c>
      <c r="B48" s="1" t="s">
        <v>134</v>
      </c>
      <c r="C48" s="1" t="s">
        <v>135</v>
      </c>
      <c r="D48" s="1" t="s">
        <v>14</v>
      </c>
      <c r="E48" s="1" t="s">
        <v>15</v>
      </c>
      <c r="F48" s="1" t="s">
        <v>16</v>
      </c>
      <c r="G48" s="1" t="s">
        <v>17</v>
      </c>
      <c r="H48" s="2"/>
      <c r="I48" s="2"/>
      <c r="J48" s="2"/>
      <c r="K48" s="2"/>
    </row>
    <row x14ac:dyDescent="0.25" r="49" customHeight="1" ht="17.25">
      <c r="A49" s="1" t="s">
        <v>136</v>
      </c>
      <c r="B49" s="1" t="s">
        <v>137</v>
      </c>
      <c r="C49" s="1" t="s">
        <v>20</v>
      </c>
      <c r="D49" s="1" t="s">
        <v>14</v>
      </c>
      <c r="E49" s="1" t="s">
        <v>15</v>
      </c>
      <c r="F49" s="1" t="s">
        <v>16</v>
      </c>
      <c r="G49" s="1" t="s">
        <v>17</v>
      </c>
      <c r="H49" s="2"/>
      <c r="I49" s="2"/>
      <c r="J49" s="2"/>
      <c r="K49" s="2"/>
    </row>
    <row x14ac:dyDescent="0.25" r="50" customHeight="1" ht="17.25">
      <c r="A50" s="1" t="s">
        <v>138</v>
      </c>
      <c r="B50" s="1" t="s">
        <v>139</v>
      </c>
      <c r="C50" s="1" t="s">
        <v>59</v>
      </c>
      <c r="D50" s="1" t="s">
        <v>14</v>
      </c>
      <c r="E50" s="1" t="s">
        <v>15</v>
      </c>
      <c r="F50" s="1" t="s">
        <v>16</v>
      </c>
      <c r="G50" s="1" t="s">
        <v>17</v>
      </c>
      <c r="H50" s="2"/>
      <c r="I50" s="2"/>
      <c r="J50" s="2"/>
      <c r="K50" s="2"/>
    </row>
    <row x14ac:dyDescent="0.25" r="51" customHeight="1" ht="17.25">
      <c r="A51" s="1" t="s">
        <v>140</v>
      </c>
      <c r="B51" s="1" t="s">
        <v>141</v>
      </c>
      <c r="C51" s="1" t="s">
        <v>62</v>
      </c>
      <c r="D51" s="1" t="s">
        <v>14</v>
      </c>
      <c r="E51" s="1" t="s">
        <v>15</v>
      </c>
      <c r="F51" s="1" t="s">
        <v>16</v>
      </c>
      <c r="G51" s="1" t="s">
        <v>17</v>
      </c>
      <c r="H51" s="2"/>
      <c r="I51" s="2"/>
      <c r="J51" s="2"/>
      <c r="K51" s="2"/>
    </row>
    <row x14ac:dyDescent="0.25" r="52" customHeight="1" ht="17.25">
      <c r="A52" s="1" t="s">
        <v>142</v>
      </c>
      <c r="B52" s="1" t="s">
        <v>143</v>
      </c>
      <c r="C52" s="1" t="s">
        <v>76</v>
      </c>
      <c r="D52" s="1" t="s">
        <v>14</v>
      </c>
      <c r="E52" s="1" t="s">
        <v>15</v>
      </c>
      <c r="F52" s="1" t="s">
        <v>16</v>
      </c>
      <c r="G52" s="1" t="s">
        <v>17</v>
      </c>
      <c r="H52" s="2"/>
      <c r="I52" s="2"/>
      <c r="J52" s="2"/>
      <c r="K52" s="2"/>
    </row>
    <row x14ac:dyDescent="0.25" r="53" customHeight="1" ht="17.25">
      <c r="A53" s="1" t="s">
        <v>144</v>
      </c>
      <c r="B53" s="1" t="s">
        <v>145</v>
      </c>
      <c r="C53" s="1" t="s">
        <v>146</v>
      </c>
      <c r="D53" s="1" t="s">
        <v>14</v>
      </c>
      <c r="E53" s="1" t="s">
        <v>15</v>
      </c>
      <c r="F53" s="1" t="s">
        <v>16</v>
      </c>
      <c r="G53" s="1" t="s">
        <v>17</v>
      </c>
      <c r="H53" s="2"/>
      <c r="I53" s="2"/>
      <c r="J53" s="2"/>
      <c r="K53" s="2"/>
    </row>
    <row x14ac:dyDescent="0.25" r="54" customHeight="1" ht="17.25">
      <c r="A54" s="1" t="s">
        <v>147</v>
      </c>
      <c r="B54" s="1" t="s">
        <v>148</v>
      </c>
      <c r="C54" s="1" t="s">
        <v>149</v>
      </c>
      <c r="D54" s="1" t="s">
        <v>14</v>
      </c>
      <c r="E54" s="1" t="s">
        <v>15</v>
      </c>
      <c r="F54" s="1" t="s">
        <v>16</v>
      </c>
      <c r="G54" s="1" t="s">
        <v>17</v>
      </c>
      <c r="H54" s="2"/>
      <c r="I54" s="2"/>
      <c r="J54" s="2"/>
      <c r="K54" s="2"/>
    </row>
    <row x14ac:dyDescent="0.25" r="55" customHeight="1" ht="17.25">
      <c r="A55" s="1" t="s">
        <v>150</v>
      </c>
      <c r="B55" s="1" t="s">
        <v>151</v>
      </c>
      <c r="C55" s="1" t="s">
        <v>20</v>
      </c>
      <c r="D55" s="1" t="s">
        <v>14</v>
      </c>
      <c r="E55" s="1" t="s">
        <v>15</v>
      </c>
      <c r="F55" s="1" t="s">
        <v>16</v>
      </c>
      <c r="G55" s="1" t="s">
        <v>17</v>
      </c>
      <c r="H55" s="2"/>
      <c r="I55" s="2"/>
      <c r="J55" s="2"/>
      <c r="K55" s="2"/>
    </row>
    <row x14ac:dyDescent="0.25" r="56" customHeight="1" ht="17.25">
      <c r="A56" s="1" t="s">
        <v>152</v>
      </c>
      <c r="B56" s="1" t="s">
        <v>153</v>
      </c>
      <c r="C56" s="1" t="s">
        <v>154</v>
      </c>
      <c r="D56" s="1" t="s">
        <v>14</v>
      </c>
      <c r="E56" s="1" t="s">
        <v>15</v>
      </c>
      <c r="F56" s="1" t="s">
        <v>16</v>
      </c>
      <c r="G56" s="1" t="s">
        <v>17</v>
      </c>
      <c r="H56" s="2"/>
      <c r="I56" s="2"/>
      <c r="J56" s="2"/>
      <c r="K56" s="2"/>
    </row>
    <row x14ac:dyDescent="0.25" r="57" customHeight="1" ht="17.25">
      <c r="A57" s="1" t="s">
        <v>155</v>
      </c>
      <c r="B57" s="1" t="s">
        <v>156</v>
      </c>
      <c r="C57" s="1" t="s">
        <v>157</v>
      </c>
      <c r="D57" s="1" t="s">
        <v>14</v>
      </c>
      <c r="E57" s="1" t="s">
        <v>15</v>
      </c>
      <c r="F57" s="1" t="s">
        <v>16</v>
      </c>
      <c r="G57" s="1" t="s">
        <v>17</v>
      </c>
      <c r="H57" s="2"/>
      <c r="I57" s="2"/>
      <c r="J57" s="2"/>
      <c r="K57" s="2"/>
    </row>
    <row x14ac:dyDescent="0.25" r="58" customHeight="1" ht="17.25">
      <c r="A58" s="1" t="s">
        <v>158</v>
      </c>
      <c r="B58" s="1" t="s">
        <v>159</v>
      </c>
      <c r="C58" s="1" t="s">
        <v>76</v>
      </c>
      <c r="D58" s="1" t="s">
        <v>14</v>
      </c>
      <c r="E58" s="1" t="s">
        <v>15</v>
      </c>
      <c r="F58" s="1" t="s">
        <v>16</v>
      </c>
      <c r="G58" s="1" t="s">
        <v>17</v>
      </c>
      <c r="H58" s="2"/>
      <c r="I58" s="2"/>
      <c r="J58" s="2"/>
      <c r="K58" s="2"/>
    </row>
    <row x14ac:dyDescent="0.25" r="59" customHeight="1" ht="17.25">
      <c r="A59" s="1" t="s">
        <v>160</v>
      </c>
      <c r="B59" s="1" t="s">
        <v>161</v>
      </c>
      <c r="C59" s="1" t="s">
        <v>162</v>
      </c>
      <c r="D59" s="1" t="s">
        <v>14</v>
      </c>
      <c r="E59" s="1" t="s">
        <v>15</v>
      </c>
      <c r="F59" s="1" t="s">
        <v>16</v>
      </c>
      <c r="G59" s="1" t="s">
        <v>17</v>
      </c>
      <c r="H59" s="2"/>
      <c r="I59" s="2"/>
      <c r="J59" s="2"/>
      <c r="K59" s="2"/>
    </row>
    <row x14ac:dyDescent="0.25" r="60" customHeight="1" ht="17.25">
      <c r="A60" s="1" t="s">
        <v>163</v>
      </c>
      <c r="B60" s="1" t="s">
        <v>164</v>
      </c>
      <c r="C60" s="1" t="s">
        <v>20</v>
      </c>
      <c r="D60" s="1" t="s">
        <v>14</v>
      </c>
      <c r="E60" s="1" t="s">
        <v>15</v>
      </c>
      <c r="F60" s="1" t="s">
        <v>16</v>
      </c>
      <c r="G60" s="1" t="s">
        <v>17</v>
      </c>
      <c r="H60" s="2"/>
      <c r="I60" s="2"/>
      <c r="J60" s="2"/>
      <c r="K60" s="2"/>
    </row>
    <row x14ac:dyDescent="0.25" r="61" customHeight="1" ht="17.25">
      <c r="A61" s="1" t="s">
        <v>165</v>
      </c>
      <c r="B61" s="1" t="s">
        <v>166</v>
      </c>
      <c r="C61" s="1" t="s">
        <v>20</v>
      </c>
      <c r="D61" s="1" t="s">
        <v>14</v>
      </c>
      <c r="E61" s="1" t="s">
        <v>15</v>
      </c>
      <c r="F61" s="1" t="s">
        <v>16</v>
      </c>
      <c r="G61" s="1" t="s">
        <v>17</v>
      </c>
      <c r="H61" s="2"/>
      <c r="I61" s="2"/>
      <c r="J61" s="2"/>
      <c r="K61" s="2"/>
    </row>
    <row x14ac:dyDescent="0.25" r="62" customHeight="1" ht="17.25">
      <c r="A62" s="1" t="s">
        <v>167</v>
      </c>
      <c r="B62" s="1" t="s">
        <v>168</v>
      </c>
      <c r="C62" s="1" t="s">
        <v>20</v>
      </c>
      <c r="D62" s="1" t="s">
        <v>14</v>
      </c>
      <c r="E62" s="1" t="s">
        <v>15</v>
      </c>
      <c r="F62" s="1" t="s">
        <v>16</v>
      </c>
      <c r="G62" s="1" t="s">
        <v>17</v>
      </c>
      <c r="H62" s="2"/>
      <c r="I62" s="2"/>
      <c r="J62" s="2"/>
      <c r="K62" s="2"/>
    </row>
    <row x14ac:dyDescent="0.25" r="63" customHeight="1" ht="17.25">
      <c r="A63" s="1" t="s">
        <v>169</v>
      </c>
      <c r="B63" s="1" t="s">
        <v>170</v>
      </c>
      <c r="C63" s="1" t="s">
        <v>20</v>
      </c>
      <c r="D63" s="1" t="s">
        <v>14</v>
      </c>
      <c r="E63" s="1" t="s">
        <v>15</v>
      </c>
      <c r="F63" s="1" t="s">
        <v>16</v>
      </c>
      <c r="G63" s="1" t="s">
        <v>17</v>
      </c>
      <c r="H63" s="2"/>
      <c r="I63" s="2"/>
      <c r="J63" s="2"/>
      <c r="K63" s="2"/>
    </row>
    <row x14ac:dyDescent="0.25" r="64" customHeight="1" ht="17.25">
      <c r="A64" s="1" t="s">
        <v>171</v>
      </c>
      <c r="B64" s="1" t="s">
        <v>172</v>
      </c>
      <c r="C64" s="1" t="s">
        <v>146</v>
      </c>
      <c r="D64" s="1" t="s">
        <v>14</v>
      </c>
      <c r="E64" s="1" t="s">
        <v>15</v>
      </c>
      <c r="F64" s="1" t="s">
        <v>16</v>
      </c>
      <c r="G64" s="1" t="s">
        <v>17</v>
      </c>
      <c r="H64" s="2"/>
      <c r="I64" s="2"/>
      <c r="J64" s="2"/>
      <c r="K64" s="2"/>
    </row>
    <row x14ac:dyDescent="0.25" r="65" customHeight="1" ht="17.25">
      <c r="A65" s="1" t="s">
        <v>173</v>
      </c>
      <c r="B65" s="1" t="s">
        <v>174</v>
      </c>
      <c r="C65" s="1" t="s">
        <v>175</v>
      </c>
      <c r="D65" s="1" t="s">
        <v>14</v>
      </c>
      <c r="E65" s="1" t="s">
        <v>15</v>
      </c>
      <c r="F65" s="1" t="s">
        <v>16</v>
      </c>
      <c r="G65" s="1" t="s">
        <v>17</v>
      </c>
      <c r="H65" s="2"/>
      <c r="I65" s="2"/>
      <c r="J65" s="2"/>
      <c r="K65" s="2"/>
    </row>
    <row x14ac:dyDescent="0.25" r="66" customHeight="1" ht="17.25">
      <c r="A66" s="1" t="s">
        <v>176</v>
      </c>
      <c r="B66" s="1" t="s">
        <v>177</v>
      </c>
      <c r="C66" s="1" t="s">
        <v>20</v>
      </c>
      <c r="D66" s="1" t="s">
        <v>14</v>
      </c>
      <c r="E66" s="1" t="s">
        <v>15</v>
      </c>
      <c r="F66" s="1" t="s">
        <v>16</v>
      </c>
      <c r="G66" s="1" t="s">
        <v>17</v>
      </c>
      <c r="H66" s="2"/>
      <c r="I66" s="2"/>
      <c r="J66" s="2"/>
      <c r="K66" s="2"/>
    </row>
    <row x14ac:dyDescent="0.25" r="67" customHeight="1" ht="17.25">
      <c r="A67" s="1" t="s">
        <v>178</v>
      </c>
      <c r="B67" s="1" t="s">
        <v>179</v>
      </c>
      <c r="C67" s="1" t="s">
        <v>20</v>
      </c>
      <c r="D67" s="1" t="s">
        <v>14</v>
      </c>
      <c r="E67" s="1" t="s">
        <v>15</v>
      </c>
      <c r="F67" s="1" t="s">
        <v>16</v>
      </c>
      <c r="G67" s="1" t="s">
        <v>17</v>
      </c>
      <c r="H67" s="2"/>
      <c r="I67" s="2"/>
      <c r="J67" s="2"/>
      <c r="K67" s="2"/>
    </row>
    <row x14ac:dyDescent="0.25" r="68" customHeight="1" ht="17.25">
      <c r="A68" s="1" t="s">
        <v>180</v>
      </c>
      <c r="B68" s="1" t="s">
        <v>181</v>
      </c>
      <c r="C68" s="1" t="s">
        <v>182</v>
      </c>
      <c r="D68" s="1" t="s">
        <v>14</v>
      </c>
      <c r="E68" s="1" t="s">
        <v>15</v>
      </c>
      <c r="F68" s="1" t="s">
        <v>16</v>
      </c>
      <c r="G68" s="1" t="s">
        <v>17</v>
      </c>
      <c r="H68" s="2"/>
      <c r="I68" s="2"/>
      <c r="J68" s="2"/>
      <c r="K68" s="2"/>
    </row>
    <row x14ac:dyDescent="0.25" r="69" customHeight="1" ht="17.25">
      <c r="A69" s="1" t="s">
        <v>183</v>
      </c>
      <c r="B69" s="1" t="s">
        <v>184</v>
      </c>
      <c r="C69" s="1" t="s">
        <v>185</v>
      </c>
      <c r="D69" s="1" t="s">
        <v>14</v>
      </c>
      <c r="E69" s="1" t="s">
        <v>15</v>
      </c>
      <c r="F69" s="1" t="s">
        <v>16</v>
      </c>
      <c r="G69" s="1" t="s">
        <v>17</v>
      </c>
      <c r="H69" s="2"/>
      <c r="I69" s="2"/>
      <c r="J69" s="2"/>
      <c r="K69" s="2"/>
    </row>
    <row x14ac:dyDescent="0.25" r="70" customHeight="1" ht="17.25">
      <c r="A70" s="1" t="s">
        <v>186</v>
      </c>
      <c r="B70" s="1" t="s">
        <v>187</v>
      </c>
      <c r="C70" s="1" t="s">
        <v>188</v>
      </c>
      <c r="D70" s="1" t="s">
        <v>14</v>
      </c>
      <c r="E70" s="1" t="s">
        <v>15</v>
      </c>
      <c r="F70" s="1" t="s">
        <v>16</v>
      </c>
      <c r="G70" s="1" t="s">
        <v>17</v>
      </c>
      <c r="H70" s="2"/>
      <c r="I70" s="2"/>
      <c r="J70" s="2"/>
      <c r="K70" s="2"/>
    </row>
    <row x14ac:dyDescent="0.25" r="71" customHeight="1" ht="17.25">
      <c r="A71" s="1" t="s">
        <v>189</v>
      </c>
      <c r="B71" s="1" t="s">
        <v>190</v>
      </c>
      <c r="C71" s="1" t="s">
        <v>191</v>
      </c>
      <c r="D71" s="1" t="s">
        <v>14</v>
      </c>
      <c r="E71" s="1" t="s">
        <v>15</v>
      </c>
      <c r="F71" s="1" t="s">
        <v>16</v>
      </c>
      <c r="G71" s="1" t="s">
        <v>17</v>
      </c>
      <c r="H71" s="2"/>
      <c r="I71" s="2"/>
      <c r="J71" s="2"/>
      <c r="K71" s="2"/>
    </row>
    <row x14ac:dyDescent="0.25" r="72" customHeight="1" ht="17.25">
      <c r="A72" s="1" t="s">
        <v>192</v>
      </c>
      <c r="B72" s="1" t="s">
        <v>193</v>
      </c>
      <c r="C72" s="1" t="s">
        <v>20</v>
      </c>
      <c r="D72" s="1" t="s">
        <v>14</v>
      </c>
      <c r="E72" s="1" t="s">
        <v>15</v>
      </c>
      <c r="F72" s="1" t="s">
        <v>16</v>
      </c>
      <c r="G72" s="1" t="s">
        <v>17</v>
      </c>
      <c r="H72" s="2"/>
      <c r="I72" s="2"/>
      <c r="J72" s="2"/>
      <c r="K72" s="2"/>
    </row>
    <row x14ac:dyDescent="0.25" r="73" customHeight="1" ht="17.25">
      <c r="A73" s="1" t="s">
        <v>194</v>
      </c>
      <c r="B73" s="1" t="s">
        <v>195</v>
      </c>
      <c r="C73" s="1" t="s">
        <v>20</v>
      </c>
      <c r="D73" s="1" t="s">
        <v>14</v>
      </c>
      <c r="E73" s="1" t="s">
        <v>15</v>
      </c>
      <c r="F73" s="1" t="s">
        <v>16</v>
      </c>
      <c r="G73" s="1" t="s">
        <v>17</v>
      </c>
      <c r="H73" s="2"/>
      <c r="I73" s="2"/>
      <c r="J73" s="2"/>
      <c r="K73" s="2"/>
    </row>
    <row x14ac:dyDescent="0.25" r="74" customHeight="1" ht="17.25">
      <c r="A74" s="1" t="s">
        <v>196</v>
      </c>
      <c r="B74" s="1" t="s">
        <v>197</v>
      </c>
      <c r="C74" s="1" t="s">
        <v>20</v>
      </c>
      <c r="D74" s="1" t="s">
        <v>14</v>
      </c>
      <c r="E74" s="1" t="s">
        <v>15</v>
      </c>
      <c r="F74" s="1" t="s">
        <v>16</v>
      </c>
      <c r="G74" s="1" t="s">
        <v>17</v>
      </c>
      <c r="H74" s="2"/>
      <c r="I74" s="2"/>
      <c r="J74" s="2"/>
      <c r="K74" s="2"/>
    </row>
    <row x14ac:dyDescent="0.25" r="75" customHeight="1" ht="17.25">
      <c r="A75" s="1" t="s">
        <v>198</v>
      </c>
      <c r="B75" s="1" t="s">
        <v>199</v>
      </c>
      <c r="C75" s="1" t="s">
        <v>20</v>
      </c>
      <c r="D75" s="1" t="s">
        <v>14</v>
      </c>
      <c r="E75" s="1" t="s">
        <v>15</v>
      </c>
      <c r="F75" s="1" t="s">
        <v>16</v>
      </c>
      <c r="G75" s="1" t="s">
        <v>17</v>
      </c>
      <c r="H75" s="2"/>
      <c r="I75" s="2"/>
      <c r="J75" s="2"/>
      <c r="K75" s="2"/>
    </row>
    <row x14ac:dyDescent="0.25" r="76" customHeight="1" ht="17.25">
      <c r="A76" s="1" t="s">
        <v>200</v>
      </c>
      <c r="B76" s="1" t="s">
        <v>201</v>
      </c>
      <c r="C76" s="1" t="s">
        <v>162</v>
      </c>
      <c r="D76" s="1" t="s">
        <v>14</v>
      </c>
      <c r="E76" s="1" t="s">
        <v>15</v>
      </c>
      <c r="F76" s="1" t="s">
        <v>16</v>
      </c>
      <c r="G76" s="1" t="s">
        <v>17</v>
      </c>
      <c r="H76" s="2"/>
      <c r="I76" s="2"/>
      <c r="J76" s="2"/>
      <c r="K76" s="2"/>
    </row>
    <row x14ac:dyDescent="0.25" r="77" customHeight="1" ht="17.25">
      <c r="A77" s="1" t="s">
        <v>202</v>
      </c>
      <c r="B77" s="1" t="s">
        <v>203</v>
      </c>
      <c r="C77" s="1" t="s">
        <v>30</v>
      </c>
      <c r="D77" s="1" t="s">
        <v>14</v>
      </c>
      <c r="E77" s="1" t="s">
        <v>15</v>
      </c>
      <c r="F77" s="1" t="s">
        <v>16</v>
      </c>
      <c r="G77" s="1" t="s">
        <v>17</v>
      </c>
      <c r="H77" s="2"/>
      <c r="I77" s="2"/>
      <c r="J77" s="2"/>
      <c r="K77" s="2"/>
    </row>
    <row x14ac:dyDescent="0.25" r="78" customHeight="1" ht="17.25">
      <c r="A78" s="1" t="s">
        <v>204</v>
      </c>
      <c r="B78" s="1" t="s">
        <v>205</v>
      </c>
      <c r="C78" s="1" t="s">
        <v>20</v>
      </c>
      <c r="D78" s="1" t="s">
        <v>14</v>
      </c>
      <c r="E78" s="1" t="s">
        <v>15</v>
      </c>
      <c r="F78" s="1" t="s">
        <v>16</v>
      </c>
      <c r="G78" s="1" t="s">
        <v>17</v>
      </c>
      <c r="H78" s="2"/>
      <c r="I78" s="2"/>
      <c r="J78" s="2"/>
      <c r="K78" s="2"/>
    </row>
    <row x14ac:dyDescent="0.25" r="79" customHeight="1" ht="17.25">
      <c r="A79" s="1" t="s">
        <v>206</v>
      </c>
      <c r="B79" s="1" t="s">
        <v>207</v>
      </c>
      <c r="C79" s="1" t="s">
        <v>20</v>
      </c>
      <c r="D79" s="1" t="s">
        <v>14</v>
      </c>
      <c r="E79" s="1" t="s">
        <v>15</v>
      </c>
      <c r="F79" s="1" t="s">
        <v>16</v>
      </c>
      <c r="G79" s="1" t="s">
        <v>17</v>
      </c>
      <c r="H79" s="2"/>
      <c r="I79" s="2"/>
      <c r="J79" s="2"/>
      <c r="K79" s="2"/>
    </row>
    <row x14ac:dyDescent="0.25" r="80" customHeight="1" ht="17.25">
      <c r="A80" s="1" t="s">
        <v>208</v>
      </c>
      <c r="B80" s="1" t="s">
        <v>209</v>
      </c>
      <c r="C80" s="1" t="s">
        <v>59</v>
      </c>
      <c r="D80" s="1" t="s">
        <v>14</v>
      </c>
      <c r="E80" s="1" t="s">
        <v>15</v>
      </c>
      <c r="F80" s="1" t="s">
        <v>16</v>
      </c>
      <c r="G80" s="1" t="s">
        <v>17</v>
      </c>
      <c r="H80" s="2"/>
      <c r="I80" s="2"/>
      <c r="J80" s="2"/>
      <c r="K80" s="2"/>
    </row>
    <row x14ac:dyDescent="0.25" r="81" customHeight="1" ht="17.25">
      <c r="A81" s="1" t="s">
        <v>210</v>
      </c>
      <c r="B81" s="1" t="s">
        <v>211</v>
      </c>
      <c r="C81" s="1" t="s">
        <v>62</v>
      </c>
      <c r="D81" s="1" t="s">
        <v>14</v>
      </c>
      <c r="E81" s="1" t="s">
        <v>15</v>
      </c>
      <c r="F81" s="1" t="s">
        <v>16</v>
      </c>
      <c r="G81" s="1" t="s">
        <v>17</v>
      </c>
      <c r="H81" s="2"/>
      <c r="I81" s="2"/>
      <c r="J81" s="2"/>
      <c r="K81" s="2"/>
    </row>
    <row x14ac:dyDescent="0.25" r="82" customHeight="1" ht="17.25">
      <c r="A82" s="1" t="s">
        <v>212</v>
      </c>
      <c r="B82" s="1" t="s">
        <v>213</v>
      </c>
      <c r="C82" s="1" t="s">
        <v>20</v>
      </c>
      <c r="D82" s="1" t="s">
        <v>14</v>
      </c>
      <c r="E82" s="1" t="s">
        <v>15</v>
      </c>
      <c r="F82" s="1" t="s">
        <v>16</v>
      </c>
      <c r="G82" s="1" t="s">
        <v>17</v>
      </c>
      <c r="H82" s="2"/>
      <c r="I82" s="2"/>
      <c r="J82" s="2"/>
      <c r="K82" s="2"/>
    </row>
    <row x14ac:dyDescent="0.25" r="83" customHeight="1" ht="17.25">
      <c r="A83" s="1" t="s">
        <v>214</v>
      </c>
      <c r="B83" s="1" t="s">
        <v>215</v>
      </c>
      <c r="C83" s="1" t="s">
        <v>216</v>
      </c>
      <c r="D83" s="1" t="s">
        <v>14</v>
      </c>
      <c r="E83" s="1" t="s">
        <v>15</v>
      </c>
      <c r="F83" s="1" t="s">
        <v>16</v>
      </c>
      <c r="G83" s="1" t="s">
        <v>17</v>
      </c>
      <c r="H83" s="2"/>
      <c r="I83" s="2"/>
      <c r="J83" s="2"/>
      <c r="K83" s="2"/>
    </row>
    <row x14ac:dyDescent="0.25" r="84" customHeight="1" ht="17.25">
      <c r="A84" s="1" t="s">
        <v>217</v>
      </c>
      <c r="B84" s="1" t="s">
        <v>218</v>
      </c>
      <c r="C84" s="1" t="s">
        <v>219</v>
      </c>
      <c r="D84" s="1" t="s">
        <v>14</v>
      </c>
      <c r="E84" s="1" t="s">
        <v>15</v>
      </c>
      <c r="F84" s="1" t="s">
        <v>16</v>
      </c>
      <c r="G84" s="1" t="s">
        <v>17</v>
      </c>
      <c r="H84" s="2"/>
      <c r="I84" s="2"/>
      <c r="J84" s="2"/>
      <c r="K84" s="2"/>
    </row>
    <row x14ac:dyDescent="0.25" r="85" customHeight="1" ht="17.25">
      <c r="A85" s="1" t="s">
        <v>220</v>
      </c>
      <c r="B85" s="1" t="s">
        <v>221</v>
      </c>
      <c r="C85" s="1" t="s">
        <v>20</v>
      </c>
      <c r="D85" s="1" t="s">
        <v>14</v>
      </c>
      <c r="E85" s="1" t="s">
        <v>15</v>
      </c>
      <c r="F85" s="1" t="s">
        <v>16</v>
      </c>
      <c r="G85" s="1" t="s">
        <v>17</v>
      </c>
      <c r="H85" s="2"/>
      <c r="I85" s="2"/>
      <c r="J85" s="2"/>
      <c r="K85" s="2"/>
    </row>
    <row x14ac:dyDescent="0.25" r="86" customHeight="1" ht="17.25">
      <c r="A86" s="1" t="s">
        <v>222</v>
      </c>
      <c r="B86" s="1" t="s">
        <v>223</v>
      </c>
      <c r="C86" s="1" t="s">
        <v>224</v>
      </c>
      <c r="D86" s="1" t="s">
        <v>14</v>
      </c>
      <c r="E86" s="1" t="s">
        <v>15</v>
      </c>
      <c r="F86" s="1" t="s">
        <v>16</v>
      </c>
      <c r="G86" s="1" t="s">
        <v>17</v>
      </c>
      <c r="H86" s="2"/>
      <c r="I86" s="2"/>
      <c r="J86" s="2"/>
      <c r="K86" s="2"/>
    </row>
    <row x14ac:dyDescent="0.25" r="87" customHeight="1" ht="17.25">
      <c r="A87" s="1" t="s">
        <v>225</v>
      </c>
      <c r="B87" s="1" t="s">
        <v>226</v>
      </c>
      <c r="C87" s="1" t="s">
        <v>76</v>
      </c>
      <c r="D87" s="1" t="s">
        <v>14</v>
      </c>
      <c r="E87" s="1" t="s">
        <v>15</v>
      </c>
      <c r="F87" s="1" t="s">
        <v>16</v>
      </c>
      <c r="G87" s="1" t="s">
        <v>17</v>
      </c>
      <c r="H87" s="2"/>
      <c r="I87" s="2"/>
      <c r="J87" s="2"/>
      <c r="K87" s="2"/>
    </row>
    <row x14ac:dyDescent="0.25" r="88" customHeight="1" ht="17.25">
      <c r="A88" s="1" t="s">
        <v>227</v>
      </c>
      <c r="B88" s="1" t="s">
        <v>228</v>
      </c>
      <c r="C88" s="1" t="s">
        <v>76</v>
      </c>
      <c r="D88" s="1" t="s">
        <v>14</v>
      </c>
      <c r="E88" s="1" t="s">
        <v>15</v>
      </c>
      <c r="F88" s="1" t="s">
        <v>16</v>
      </c>
      <c r="G88" s="1" t="s">
        <v>17</v>
      </c>
      <c r="H88" s="2"/>
      <c r="I88" s="2"/>
      <c r="J88" s="2"/>
      <c r="K88" s="2"/>
    </row>
    <row x14ac:dyDescent="0.25" r="89" customHeight="1" ht="17.25">
      <c r="A89" s="1" t="s">
        <v>229</v>
      </c>
      <c r="B89" s="1" t="s">
        <v>230</v>
      </c>
      <c r="C89" s="1" t="s">
        <v>231</v>
      </c>
      <c r="D89" s="1" t="s">
        <v>14</v>
      </c>
      <c r="E89" s="1" t="s">
        <v>15</v>
      </c>
      <c r="F89" s="1" t="s">
        <v>16</v>
      </c>
      <c r="G89" s="1" t="s">
        <v>17</v>
      </c>
      <c r="H89" s="2"/>
      <c r="I89" s="2"/>
      <c r="J89" s="2"/>
      <c r="K89" s="2"/>
    </row>
    <row x14ac:dyDescent="0.25" r="90" customHeight="1" ht="17.25">
      <c r="A90" s="1" t="s">
        <v>232</v>
      </c>
      <c r="B90" s="1" t="s">
        <v>233</v>
      </c>
      <c r="C90" s="1" t="s">
        <v>76</v>
      </c>
      <c r="D90" s="1" t="s">
        <v>14</v>
      </c>
      <c r="E90" s="1" t="s">
        <v>15</v>
      </c>
      <c r="F90" s="1" t="s">
        <v>16</v>
      </c>
      <c r="G90" s="1" t="s">
        <v>17</v>
      </c>
      <c r="H90" s="2"/>
      <c r="I90" s="2"/>
      <c r="J90" s="2"/>
      <c r="K90" s="2"/>
    </row>
    <row x14ac:dyDescent="0.25" r="91" customHeight="1" ht="17.25">
      <c r="A91" s="1" t="s">
        <v>234</v>
      </c>
      <c r="B91" s="1" t="s">
        <v>235</v>
      </c>
      <c r="C91" s="1" t="s">
        <v>76</v>
      </c>
      <c r="D91" s="1" t="s">
        <v>14</v>
      </c>
      <c r="E91" s="1" t="s">
        <v>15</v>
      </c>
      <c r="F91" s="1" t="s">
        <v>16</v>
      </c>
      <c r="G91" s="1" t="s">
        <v>17</v>
      </c>
      <c r="H91" s="2"/>
      <c r="I91" s="2"/>
      <c r="J91" s="2"/>
      <c r="K91" s="2"/>
    </row>
    <row x14ac:dyDescent="0.25" r="92" customHeight="1" ht="17.25">
      <c r="A92" s="1" t="s">
        <v>236</v>
      </c>
      <c r="B92" s="1" t="s">
        <v>237</v>
      </c>
      <c r="C92" s="1" t="s">
        <v>238</v>
      </c>
      <c r="D92" s="1" t="s">
        <v>14</v>
      </c>
      <c r="E92" s="1" t="s">
        <v>15</v>
      </c>
      <c r="F92" s="1" t="s">
        <v>16</v>
      </c>
      <c r="G92" s="1" t="s">
        <v>17</v>
      </c>
      <c r="H92" s="2"/>
      <c r="I92" s="2"/>
      <c r="J92" s="2"/>
      <c r="K92" s="2"/>
    </row>
    <row x14ac:dyDescent="0.25" r="93" customHeight="1" ht="17.25">
      <c r="A93" s="1" t="s">
        <v>239</v>
      </c>
      <c r="B93" s="1" t="s">
        <v>240</v>
      </c>
      <c r="C93" s="1" t="s">
        <v>20</v>
      </c>
      <c r="D93" s="1" t="s">
        <v>14</v>
      </c>
      <c r="E93" s="1" t="s">
        <v>15</v>
      </c>
      <c r="F93" s="1" t="s">
        <v>16</v>
      </c>
      <c r="G93" s="1" t="s">
        <v>17</v>
      </c>
      <c r="H93" s="2"/>
      <c r="I93" s="2"/>
      <c r="J93" s="2"/>
      <c r="K93" s="2"/>
    </row>
    <row x14ac:dyDescent="0.25" r="94" customHeight="1" ht="17.25">
      <c r="A94" s="1" t="s">
        <v>241</v>
      </c>
      <c r="B94" s="1" t="s">
        <v>242</v>
      </c>
      <c r="C94" s="1" t="s">
        <v>243</v>
      </c>
      <c r="D94" s="1" t="s">
        <v>14</v>
      </c>
      <c r="E94" s="1" t="s">
        <v>15</v>
      </c>
      <c r="F94" s="1" t="s">
        <v>16</v>
      </c>
      <c r="G94" s="1" t="s">
        <v>17</v>
      </c>
      <c r="H94" s="2"/>
      <c r="I94" s="2"/>
      <c r="J94" s="2"/>
      <c r="K94" s="2"/>
    </row>
    <row x14ac:dyDescent="0.25" r="95" customHeight="1" ht="17.25">
      <c r="A95" s="1" t="s">
        <v>244</v>
      </c>
      <c r="B95" s="1" t="s">
        <v>245</v>
      </c>
      <c r="C95" s="1" t="s">
        <v>76</v>
      </c>
      <c r="D95" s="1" t="s">
        <v>14</v>
      </c>
      <c r="E95" s="1" t="s">
        <v>15</v>
      </c>
      <c r="F95" s="1" t="s">
        <v>16</v>
      </c>
      <c r="G95" s="1" t="s">
        <v>17</v>
      </c>
      <c r="H95" s="2"/>
      <c r="I95" s="2"/>
      <c r="J95" s="2"/>
      <c r="K95" s="2"/>
    </row>
    <row x14ac:dyDescent="0.25" r="96" customHeight="1" ht="17.25">
      <c r="A96" s="1" t="s">
        <v>246</v>
      </c>
      <c r="B96" s="1" t="s">
        <v>247</v>
      </c>
      <c r="C96" s="1" t="s">
        <v>20</v>
      </c>
      <c r="D96" s="1" t="s">
        <v>14</v>
      </c>
      <c r="E96" s="1" t="s">
        <v>15</v>
      </c>
      <c r="F96" s="1" t="s">
        <v>16</v>
      </c>
      <c r="G96" s="1" t="s">
        <v>17</v>
      </c>
      <c r="H96" s="2"/>
      <c r="I96" s="2"/>
      <c r="J96" s="2"/>
      <c r="K96" s="2"/>
    </row>
    <row x14ac:dyDescent="0.25" r="97" customHeight="1" ht="17.25">
      <c r="A97" s="1" t="s">
        <v>248</v>
      </c>
      <c r="B97" s="1" t="s">
        <v>249</v>
      </c>
      <c r="C97" s="1" t="s">
        <v>20</v>
      </c>
      <c r="D97" s="1" t="s">
        <v>14</v>
      </c>
      <c r="E97" s="1" t="s">
        <v>15</v>
      </c>
      <c r="F97" s="1" t="s">
        <v>16</v>
      </c>
      <c r="G97" s="1" t="s">
        <v>17</v>
      </c>
      <c r="H97" s="2"/>
      <c r="I97" s="2"/>
      <c r="J97" s="2"/>
      <c r="K97" s="2"/>
    </row>
    <row x14ac:dyDescent="0.25" r="98" customHeight="1" ht="17.25">
      <c r="A98" s="1" t="s">
        <v>250</v>
      </c>
      <c r="B98" s="1" t="s">
        <v>251</v>
      </c>
      <c r="C98" s="1" t="s">
        <v>20</v>
      </c>
      <c r="D98" s="1" t="s">
        <v>14</v>
      </c>
      <c r="E98" s="1" t="s">
        <v>15</v>
      </c>
      <c r="F98" s="1" t="s">
        <v>16</v>
      </c>
      <c r="G98" s="1" t="s">
        <v>17</v>
      </c>
      <c r="H98" s="2"/>
      <c r="I98" s="2"/>
      <c r="J98" s="2"/>
      <c r="K98" s="2"/>
    </row>
    <row x14ac:dyDescent="0.25" r="99" customHeight="1" ht="17.25">
      <c r="A99" s="1" t="s">
        <v>252</v>
      </c>
      <c r="B99" s="1" t="s">
        <v>253</v>
      </c>
      <c r="C99" s="1" t="s">
        <v>254</v>
      </c>
      <c r="D99" s="1" t="s">
        <v>14</v>
      </c>
      <c r="E99" s="1" t="s">
        <v>15</v>
      </c>
      <c r="F99" s="1" t="s">
        <v>16</v>
      </c>
      <c r="G99" s="1" t="s">
        <v>17</v>
      </c>
      <c r="H99" s="2"/>
      <c r="I99" s="2"/>
      <c r="J99" s="2"/>
      <c r="K99" s="2"/>
    </row>
    <row x14ac:dyDescent="0.25" r="100" customHeight="1" ht="17.25">
      <c r="A100" s="1" t="s">
        <v>255</v>
      </c>
      <c r="B100" s="1" t="s">
        <v>256</v>
      </c>
      <c r="C100" s="1" t="s">
        <v>20</v>
      </c>
      <c r="D100" s="1" t="s">
        <v>14</v>
      </c>
      <c r="E100" s="1" t="s">
        <v>15</v>
      </c>
      <c r="F100" s="1" t="s">
        <v>16</v>
      </c>
      <c r="G100" s="1" t="s">
        <v>17</v>
      </c>
      <c r="H100" s="2"/>
      <c r="I100" s="2"/>
      <c r="J100" s="2"/>
      <c r="K100" s="2"/>
    </row>
    <row x14ac:dyDescent="0.25" r="101" customHeight="1" ht="17.25">
      <c r="A101" s="1" t="s">
        <v>257</v>
      </c>
      <c r="B101" s="1" t="s">
        <v>258</v>
      </c>
      <c r="C101" s="1" t="s">
        <v>20</v>
      </c>
      <c r="D101" s="1" t="s">
        <v>14</v>
      </c>
      <c r="E101" s="1" t="s">
        <v>15</v>
      </c>
      <c r="F101" s="1" t="s">
        <v>16</v>
      </c>
      <c r="G101" s="1" t="s">
        <v>17</v>
      </c>
      <c r="H101" s="2"/>
      <c r="I101" s="2"/>
      <c r="J101" s="2"/>
      <c r="K101" s="2"/>
    </row>
    <row x14ac:dyDescent="0.25" r="102" customHeight="1" ht="17.25">
      <c r="A102" s="1" t="s">
        <v>259</v>
      </c>
      <c r="B102" s="1" t="s">
        <v>260</v>
      </c>
      <c r="C102" s="1" t="s">
        <v>135</v>
      </c>
      <c r="D102" s="1" t="s">
        <v>14</v>
      </c>
      <c r="E102" s="1" t="s">
        <v>15</v>
      </c>
      <c r="F102" s="1" t="s">
        <v>16</v>
      </c>
      <c r="G102" s="1" t="s">
        <v>17</v>
      </c>
      <c r="H102" s="2"/>
      <c r="I102" s="2"/>
      <c r="J102" s="2"/>
      <c r="K102" s="2"/>
    </row>
    <row x14ac:dyDescent="0.25" r="103" customHeight="1" ht="17.25">
      <c r="A103" s="1" t="s">
        <v>261</v>
      </c>
      <c r="B103" s="1" t="s">
        <v>262</v>
      </c>
      <c r="C103" s="1" t="s">
        <v>20</v>
      </c>
      <c r="D103" s="1" t="s">
        <v>14</v>
      </c>
      <c r="E103" s="1" t="s">
        <v>15</v>
      </c>
      <c r="F103" s="1" t="s">
        <v>16</v>
      </c>
      <c r="G103" s="1" t="s">
        <v>17</v>
      </c>
      <c r="H103" s="2"/>
      <c r="I103" s="2"/>
      <c r="J103" s="2"/>
      <c r="K103" s="2"/>
    </row>
    <row x14ac:dyDescent="0.25" r="104" customHeight="1" ht="17.25">
      <c r="A104" s="1" t="s">
        <v>263</v>
      </c>
      <c r="B104" s="1" t="s">
        <v>264</v>
      </c>
      <c r="C104" s="1" t="s">
        <v>265</v>
      </c>
      <c r="D104" s="1" t="s">
        <v>14</v>
      </c>
      <c r="E104" s="1" t="s">
        <v>15</v>
      </c>
      <c r="F104" s="1" t="s">
        <v>16</v>
      </c>
      <c r="G104" s="1" t="s">
        <v>17</v>
      </c>
      <c r="H104" s="2"/>
      <c r="I104" s="2"/>
      <c r="J104" s="2"/>
      <c r="K104" s="2"/>
    </row>
    <row x14ac:dyDescent="0.25" r="105" customHeight="1" ht="17.25">
      <c r="A105" s="1" t="s">
        <v>266</v>
      </c>
      <c r="B105" s="1" t="s">
        <v>267</v>
      </c>
      <c r="C105" s="1" t="s">
        <v>20</v>
      </c>
      <c r="D105" s="1" t="s">
        <v>14</v>
      </c>
      <c r="E105" s="1" t="s">
        <v>15</v>
      </c>
      <c r="F105" s="1" t="s">
        <v>16</v>
      </c>
      <c r="G105" s="1" t="s">
        <v>17</v>
      </c>
      <c r="H105" s="2"/>
      <c r="I105" s="2"/>
      <c r="J105" s="2"/>
      <c r="K105" s="2"/>
    </row>
    <row x14ac:dyDescent="0.25" r="106" customHeight="1" ht="17.25">
      <c r="A106" s="1" t="s">
        <v>268</v>
      </c>
      <c r="B106" s="1" t="s">
        <v>269</v>
      </c>
      <c r="C106" s="1" t="s">
        <v>270</v>
      </c>
      <c r="D106" s="1" t="s">
        <v>14</v>
      </c>
      <c r="E106" s="1" t="s">
        <v>15</v>
      </c>
      <c r="F106" s="1" t="s">
        <v>16</v>
      </c>
      <c r="G106" s="1" t="s">
        <v>17</v>
      </c>
      <c r="H106" s="2"/>
      <c r="I106" s="2"/>
      <c r="J106" s="2"/>
      <c r="K106" s="2"/>
    </row>
    <row x14ac:dyDescent="0.25" r="107" customHeight="1" ht="17.25">
      <c r="A107" s="1" t="s">
        <v>271</v>
      </c>
      <c r="B107" s="1" t="s">
        <v>272</v>
      </c>
      <c r="C107" s="1" t="s">
        <v>76</v>
      </c>
      <c r="D107" s="1" t="s">
        <v>14</v>
      </c>
      <c r="E107" s="1" t="s">
        <v>15</v>
      </c>
      <c r="F107" s="1" t="s">
        <v>16</v>
      </c>
      <c r="G107" s="1" t="s">
        <v>17</v>
      </c>
      <c r="H107" s="2"/>
      <c r="I107" s="2"/>
      <c r="J107" s="2"/>
      <c r="K107" s="2"/>
    </row>
    <row x14ac:dyDescent="0.25" r="108" customHeight="1" ht="17.25">
      <c r="A108" s="1" t="s">
        <v>273</v>
      </c>
      <c r="B108" s="1" t="s">
        <v>274</v>
      </c>
      <c r="C108" s="1" t="s">
        <v>20</v>
      </c>
      <c r="D108" s="1" t="s">
        <v>14</v>
      </c>
      <c r="E108" s="1" t="s">
        <v>15</v>
      </c>
      <c r="F108" s="1" t="s">
        <v>16</v>
      </c>
      <c r="G108" s="1" t="s">
        <v>17</v>
      </c>
      <c r="H108" s="2"/>
      <c r="I108" s="2"/>
      <c r="J108" s="2"/>
      <c r="K108" s="2"/>
    </row>
    <row x14ac:dyDescent="0.25" r="109" customHeight="1" ht="17.25">
      <c r="A109" s="1" t="s">
        <v>275</v>
      </c>
      <c r="B109" s="1" t="s">
        <v>276</v>
      </c>
      <c r="C109" s="1" t="s">
        <v>76</v>
      </c>
      <c r="D109" s="1" t="s">
        <v>14</v>
      </c>
      <c r="E109" s="1" t="s">
        <v>15</v>
      </c>
      <c r="F109" s="1" t="s">
        <v>16</v>
      </c>
      <c r="G109" s="1" t="s">
        <v>17</v>
      </c>
      <c r="H109" s="2"/>
      <c r="I109" s="2"/>
      <c r="J109" s="2"/>
      <c r="K109" s="2"/>
    </row>
    <row x14ac:dyDescent="0.25" r="110" customHeight="1" ht="17.25">
      <c r="A110" s="1" t="s">
        <v>277</v>
      </c>
      <c r="B110" s="1" t="s">
        <v>278</v>
      </c>
      <c r="C110" s="1" t="s">
        <v>76</v>
      </c>
      <c r="D110" s="1" t="s">
        <v>14</v>
      </c>
      <c r="E110" s="1" t="s">
        <v>15</v>
      </c>
      <c r="F110" s="1" t="s">
        <v>16</v>
      </c>
      <c r="G110" s="1" t="s">
        <v>17</v>
      </c>
      <c r="H110" s="2"/>
      <c r="I110" s="2"/>
      <c r="J110" s="2"/>
      <c r="K110" s="2"/>
    </row>
    <row x14ac:dyDescent="0.25" r="111" customHeight="1" ht="17.25">
      <c r="A111" s="1" t="s">
        <v>279</v>
      </c>
      <c r="B111" s="1" t="s">
        <v>280</v>
      </c>
      <c r="C111" s="1" t="s">
        <v>281</v>
      </c>
      <c r="D111" s="1" t="s">
        <v>14</v>
      </c>
      <c r="E111" s="1" t="s">
        <v>15</v>
      </c>
      <c r="F111" s="1" t="s">
        <v>16</v>
      </c>
      <c r="G111" s="1" t="s">
        <v>17</v>
      </c>
      <c r="H111" s="2"/>
      <c r="I111" s="2"/>
      <c r="J111" s="2"/>
      <c r="K111" s="2"/>
    </row>
    <row x14ac:dyDescent="0.25" r="112" customHeight="1" ht="17.25">
      <c r="A112" s="1" t="s">
        <v>282</v>
      </c>
      <c r="B112" s="1" t="s">
        <v>283</v>
      </c>
      <c r="C112" s="1" t="s">
        <v>284</v>
      </c>
      <c r="D112" s="1" t="s">
        <v>14</v>
      </c>
      <c r="E112" s="1" t="s">
        <v>15</v>
      </c>
      <c r="F112" s="1" t="s">
        <v>16</v>
      </c>
      <c r="G112" s="1" t="s">
        <v>17</v>
      </c>
      <c r="H112" s="2"/>
      <c r="I112" s="2"/>
      <c r="J112" s="2"/>
      <c r="K112" s="2"/>
    </row>
    <row x14ac:dyDescent="0.25" r="113" customHeight="1" ht="17.25">
      <c r="A113" s="1" t="s">
        <v>285</v>
      </c>
      <c r="B113" s="1" t="s">
        <v>286</v>
      </c>
      <c r="C113" s="1" t="s">
        <v>287</v>
      </c>
      <c r="D113" s="1" t="s">
        <v>14</v>
      </c>
      <c r="E113" s="1" t="s">
        <v>15</v>
      </c>
      <c r="F113" s="1" t="s">
        <v>16</v>
      </c>
      <c r="G113" s="1" t="s">
        <v>17</v>
      </c>
      <c r="H113" s="2"/>
      <c r="I113" s="2"/>
      <c r="J113" s="2"/>
      <c r="K113" s="2"/>
    </row>
    <row x14ac:dyDescent="0.25" r="114" customHeight="1" ht="17.25">
      <c r="A114" s="1" t="s">
        <v>288</v>
      </c>
      <c r="B114" s="1" t="s">
        <v>289</v>
      </c>
      <c r="C114" s="1" t="s">
        <v>20</v>
      </c>
      <c r="D114" s="1" t="s">
        <v>14</v>
      </c>
      <c r="E114" s="1" t="s">
        <v>15</v>
      </c>
      <c r="F114" s="1" t="s">
        <v>16</v>
      </c>
      <c r="G114" s="1" t="s">
        <v>17</v>
      </c>
      <c r="H114" s="2"/>
      <c r="I114" s="2"/>
      <c r="J114" s="2"/>
      <c r="K114" s="2"/>
    </row>
    <row x14ac:dyDescent="0.25" r="115" customHeight="1" ht="17.25">
      <c r="A115" s="1" t="s">
        <v>290</v>
      </c>
      <c r="B115" s="1" t="s">
        <v>291</v>
      </c>
      <c r="C115" s="1" t="s">
        <v>120</v>
      </c>
      <c r="D115" s="1" t="s">
        <v>14</v>
      </c>
      <c r="E115" s="1" t="s">
        <v>15</v>
      </c>
      <c r="F115" s="1" t="s">
        <v>16</v>
      </c>
      <c r="G115" s="1" t="s">
        <v>17</v>
      </c>
      <c r="H115" s="2"/>
      <c r="I115" s="2"/>
      <c r="J115" s="2"/>
      <c r="K115" s="2"/>
    </row>
    <row x14ac:dyDescent="0.25" r="116" customHeight="1" ht="17.25">
      <c r="A116" s="1" t="s">
        <v>292</v>
      </c>
      <c r="B116" s="1" t="s">
        <v>293</v>
      </c>
      <c r="C116" s="1" t="s">
        <v>33</v>
      </c>
      <c r="D116" s="1" t="s">
        <v>14</v>
      </c>
      <c r="E116" s="1" t="s">
        <v>15</v>
      </c>
      <c r="F116" s="1" t="s">
        <v>16</v>
      </c>
      <c r="G116" s="1" t="s">
        <v>17</v>
      </c>
      <c r="H116" s="2"/>
      <c r="I116" s="2"/>
      <c r="J116" s="2"/>
      <c r="K116" s="2"/>
    </row>
    <row x14ac:dyDescent="0.25" r="117" customHeight="1" ht="17.25">
      <c r="A117" s="1" t="s">
        <v>294</v>
      </c>
      <c r="B117" s="1" t="s">
        <v>295</v>
      </c>
      <c r="C117" s="1" t="s">
        <v>81</v>
      </c>
      <c r="D117" s="1" t="s">
        <v>14</v>
      </c>
      <c r="E117" s="1" t="s">
        <v>15</v>
      </c>
      <c r="F117" s="1" t="s">
        <v>16</v>
      </c>
      <c r="G117" s="1" t="s">
        <v>17</v>
      </c>
      <c r="H117" s="2"/>
      <c r="I117" s="2"/>
      <c r="J117" s="2"/>
      <c r="K117" s="2"/>
    </row>
    <row x14ac:dyDescent="0.25" r="118" customHeight="1" ht="17.25">
      <c r="A118" s="1" t="s">
        <v>296</v>
      </c>
      <c r="B118" s="1" t="s">
        <v>297</v>
      </c>
      <c r="C118" s="1" t="s">
        <v>76</v>
      </c>
      <c r="D118" s="1" t="s">
        <v>14</v>
      </c>
      <c r="E118" s="1" t="s">
        <v>15</v>
      </c>
      <c r="F118" s="1" t="s">
        <v>16</v>
      </c>
      <c r="G118" s="1" t="s">
        <v>17</v>
      </c>
      <c r="H118" s="2"/>
      <c r="I118" s="2"/>
      <c r="J118" s="2"/>
      <c r="K118" s="2"/>
    </row>
    <row x14ac:dyDescent="0.25" r="119" customHeight="1" ht="17.25">
      <c r="A119" s="1" t="s">
        <v>298</v>
      </c>
      <c r="B119" s="1" t="s">
        <v>299</v>
      </c>
      <c r="C119" s="1" t="s">
        <v>20</v>
      </c>
      <c r="D119" s="1" t="s">
        <v>14</v>
      </c>
      <c r="E119" s="1" t="s">
        <v>15</v>
      </c>
      <c r="F119" s="1" t="s">
        <v>16</v>
      </c>
      <c r="G119" s="1" t="s">
        <v>17</v>
      </c>
      <c r="H119" s="2"/>
      <c r="I119" s="2"/>
      <c r="J119" s="2"/>
      <c r="K119" s="2"/>
    </row>
    <row x14ac:dyDescent="0.25" r="120" customHeight="1" ht="17.25">
      <c r="A120" s="1" t="s">
        <v>300</v>
      </c>
      <c r="B120" s="1" t="s">
        <v>301</v>
      </c>
      <c r="C120" s="1" t="s">
        <v>302</v>
      </c>
      <c r="D120" s="1" t="s">
        <v>14</v>
      </c>
      <c r="E120" s="1" t="s">
        <v>15</v>
      </c>
      <c r="F120" s="1" t="s">
        <v>16</v>
      </c>
      <c r="G120" s="1" t="s">
        <v>17</v>
      </c>
      <c r="H120" s="2"/>
      <c r="I120" s="2"/>
      <c r="J120" s="2"/>
      <c r="K120" s="2"/>
    </row>
    <row x14ac:dyDescent="0.25" r="121" customHeight="1" ht="17.25">
      <c r="A121" s="1" t="s">
        <v>303</v>
      </c>
      <c r="B121" s="1" t="s">
        <v>304</v>
      </c>
      <c r="C121" s="1" t="s">
        <v>302</v>
      </c>
      <c r="D121" s="1" t="s">
        <v>14</v>
      </c>
      <c r="E121" s="1" t="s">
        <v>15</v>
      </c>
      <c r="F121" s="1" t="s">
        <v>16</v>
      </c>
      <c r="G121" s="1" t="s">
        <v>17</v>
      </c>
      <c r="H121" s="2"/>
      <c r="I121" s="2"/>
      <c r="J121" s="2"/>
      <c r="K121" s="2"/>
    </row>
    <row x14ac:dyDescent="0.25" r="122" customHeight="1" ht="17.25">
      <c r="A122" s="1" t="s">
        <v>305</v>
      </c>
      <c r="B122" s="1" t="s">
        <v>306</v>
      </c>
      <c r="C122" s="1" t="s">
        <v>54</v>
      </c>
      <c r="D122" s="1" t="s">
        <v>14</v>
      </c>
      <c r="E122" s="1" t="s">
        <v>15</v>
      </c>
      <c r="F122" s="1" t="s">
        <v>16</v>
      </c>
      <c r="G122" s="1" t="s">
        <v>17</v>
      </c>
      <c r="H122" s="2"/>
      <c r="I122" s="2"/>
      <c r="J122" s="2"/>
      <c r="K122" s="2"/>
    </row>
    <row x14ac:dyDescent="0.25" r="123" customHeight="1" ht="17.25">
      <c r="A123" s="1" t="s">
        <v>307</v>
      </c>
      <c r="B123" s="1" t="s">
        <v>308</v>
      </c>
      <c r="C123" s="1" t="s">
        <v>20</v>
      </c>
      <c r="D123" s="1" t="s">
        <v>14</v>
      </c>
      <c r="E123" s="1" t="s">
        <v>15</v>
      </c>
      <c r="F123" s="1" t="s">
        <v>16</v>
      </c>
      <c r="G123" s="1" t="s">
        <v>17</v>
      </c>
      <c r="H123" s="2"/>
      <c r="I123" s="2"/>
      <c r="J123" s="2"/>
      <c r="K123" s="2"/>
    </row>
    <row x14ac:dyDescent="0.25" r="124" customHeight="1" ht="17.25">
      <c r="A124" s="1" t="s">
        <v>309</v>
      </c>
      <c r="B124" s="1" t="s">
        <v>310</v>
      </c>
      <c r="C124" s="1" t="s">
        <v>48</v>
      </c>
      <c r="D124" s="1" t="s">
        <v>14</v>
      </c>
      <c r="E124" s="1" t="s">
        <v>15</v>
      </c>
      <c r="F124" s="1" t="s">
        <v>16</v>
      </c>
      <c r="G124" s="1" t="s">
        <v>17</v>
      </c>
      <c r="H124" s="2"/>
      <c r="I124" s="2"/>
      <c r="J124" s="2"/>
      <c r="K124" s="2"/>
    </row>
    <row x14ac:dyDescent="0.25" r="125" customHeight="1" ht="17.25">
      <c r="A125" s="1" t="s">
        <v>311</v>
      </c>
      <c r="B125" s="1" t="s">
        <v>312</v>
      </c>
      <c r="C125" s="1" t="s">
        <v>20</v>
      </c>
      <c r="D125" s="1" t="s">
        <v>14</v>
      </c>
      <c r="E125" s="1" t="s">
        <v>15</v>
      </c>
      <c r="F125" s="1" t="s">
        <v>16</v>
      </c>
      <c r="G125" s="1" t="s">
        <v>17</v>
      </c>
      <c r="H125" s="2"/>
      <c r="I125" s="2"/>
      <c r="J125" s="2"/>
      <c r="K125" s="2"/>
    </row>
    <row x14ac:dyDescent="0.25" r="126" customHeight="1" ht="17.25">
      <c r="A126" s="1" t="s">
        <v>313</v>
      </c>
      <c r="B126" s="1" t="s">
        <v>314</v>
      </c>
      <c r="C126" s="1" t="s">
        <v>20</v>
      </c>
      <c r="D126" s="1" t="s">
        <v>14</v>
      </c>
      <c r="E126" s="1" t="s">
        <v>15</v>
      </c>
      <c r="F126" s="1" t="s">
        <v>16</v>
      </c>
      <c r="G126" s="1" t="s">
        <v>17</v>
      </c>
      <c r="H126" s="2"/>
      <c r="I126" s="2"/>
      <c r="J126" s="2"/>
      <c r="K126" s="2"/>
    </row>
    <row x14ac:dyDescent="0.25" r="127" customHeight="1" ht="17.25">
      <c r="A127" s="1" t="s">
        <v>315</v>
      </c>
      <c r="B127" s="1" t="s">
        <v>316</v>
      </c>
      <c r="C127" s="1" t="s">
        <v>157</v>
      </c>
      <c r="D127" s="1" t="s">
        <v>14</v>
      </c>
      <c r="E127" s="1" t="s">
        <v>15</v>
      </c>
      <c r="F127" s="1" t="s">
        <v>16</v>
      </c>
      <c r="G127" s="1" t="s">
        <v>17</v>
      </c>
      <c r="H127" s="2"/>
      <c r="I127" s="2"/>
      <c r="J127" s="2"/>
      <c r="K127" s="2"/>
    </row>
    <row x14ac:dyDescent="0.25" r="128" customHeight="1" ht="17.25">
      <c r="A128" s="1" t="s">
        <v>317</v>
      </c>
      <c r="B128" s="1" t="s">
        <v>318</v>
      </c>
      <c r="C128" s="1" t="s">
        <v>319</v>
      </c>
      <c r="D128" s="1" t="s">
        <v>14</v>
      </c>
      <c r="E128" s="1" t="s">
        <v>15</v>
      </c>
      <c r="F128" s="1" t="s">
        <v>16</v>
      </c>
      <c r="G128" s="1" t="s">
        <v>17</v>
      </c>
      <c r="H128" s="2"/>
      <c r="I128" s="2"/>
      <c r="J128" s="2"/>
      <c r="K128" s="2"/>
    </row>
    <row x14ac:dyDescent="0.25" r="129" customHeight="1" ht="17.25">
      <c r="A129" s="1" t="s">
        <v>320</v>
      </c>
      <c r="B129" s="1" t="s">
        <v>321</v>
      </c>
      <c r="C129" s="1" t="s">
        <v>20</v>
      </c>
      <c r="D129" s="1" t="s">
        <v>14</v>
      </c>
      <c r="E129" s="1" t="s">
        <v>15</v>
      </c>
      <c r="F129" s="1" t="s">
        <v>16</v>
      </c>
      <c r="G129" s="1" t="s">
        <v>17</v>
      </c>
      <c r="H129" s="2"/>
      <c r="I129" s="2"/>
      <c r="J129" s="2"/>
      <c r="K129" s="2"/>
    </row>
    <row x14ac:dyDescent="0.25" r="130" customHeight="1" ht="17.25">
      <c r="A130" s="1" t="s">
        <v>322</v>
      </c>
      <c r="B130" s="1" t="s">
        <v>323</v>
      </c>
      <c r="C130" s="1" t="s">
        <v>59</v>
      </c>
      <c r="D130" s="1" t="s">
        <v>14</v>
      </c>
      <c r="E130" s="1" t="s">
        <v>15</v>
      </c>
      <c r="F130" s="1" t="s">
        <v>16</v>
      </c>
      <c r="G130" s="1" t="s">
        <v>17</v>
      </c>
      <c r="H130" s="2"/>
      <c r="I130" s="2"/>
      <c r="J130" s="2"/>
      <c r="K130" s="2"/>
    </row>
    <row x14ac:dyDescent="0.25" r="131" customHeight="1" ht="17.25">
      <c r="A131" s="1" t="s">
        <v>324</v>
      </c>
      <c r="B131" s="1" t="s">
        <v>325</v>
      </c>
      <c r="C131" s="1" t="s">
        <v>20</v>
      </c>
      <c r="D131" s="1" t="s">
        <v>14</v>
      </c>
      <c r="E131" s="1" t="s">
        <v>15</v>
      </c>
      <c r="F131" s="1" t="s">
        <v>16</v>
      </c>
      <c r="G131" s="1" t="s">
        <v>17</v>
      </c>
      <c r="H131" s="2"/>
      <c r="I131" s="2"/>
      <c r="J131" s="2"/>
      <c r="K131" s="2"/>
    </row>
    <row x14ac:dyDescent="0.25" r="132" customHeight="1" ht="17.25">
      <c r="A132" s="1" t="s">
        <v>326</v>
      </c>
      <c r="B132" s="1" t="s">
        <v>327</v>
      </c>
      <c r="C132" s="1" t="s">
        <v>328</v>
      </c>
      <c r="D132" s="1" t="s">
        <v>14</v>
      </c>
      <c r="E132" s="1" t="s">
        <v>15</v>
      </c>
      <c r="F132" s="1" t="s">
        <v>16</v>
      </c>
      <c r="G132" s="1" t="s">
        <v>17</v>
      </c>
      <c r="H132" s="2"/>
      <c r="I132" s="2"/>
      <c r="J132" s="2"/>
      <c r="K132" s="2"/>
    </row>
    <row x14ac:dyDescent="0.25" r="133" customHeight="1" ht="17.25">
      <c r="A133" s="1" t="s">
        <v>329</v>
      </c>
      <c r="B133" s="1" t="s">
        <v>330</v>
      </c>
      <c r="C133" s="1" t="s">
        <v>20</v>
      </c>
      <c r="D133" s="1" t="s">
        <v>14</v>
      </c>
      <c r="E133" s="1" t="s">
        <v>15</v>
      </c>
      <c r="F133" s="1" t="s">
        <v>16</v>
      </c>
      <c r="G133" s="1" t="s">
        <v>17</v>
      </c>
      <c r="H133" s="2"/>
      <c r="I133" s="2"/>
      <c r="J133" s="2"/>
      <c r="K133" s="2"/>
    </row>
    <row x14ac:dyDescent="0.25" r="134" customHeight="1" ht="17.25">
      <c r="A134" s="1" t="s">
        <v>331</v>
      </c>
      <c r="B134" s="1" t="s">
        <v>332</v>
      </c>
      <c r="C134" s="1" t="s">
        <v>333</v>
      </c>
      <c r="D134" s="1" t="s">
        <v>14</v>
      </c>
      <c r="E134" s="1" t="s">
        <v>15</v>
      </c>
      <c r="F134" s="1" t="s">
        <v>16</v>
      </c>
      <c r="G134" s="1" t="s">
        <v>17</v>
      </c>
      <c r="H134" s="2"/>
      <c r="I134" s="2"/>
      <c r="J134" s="2"/>
      <c r="K134" s="2"/>
    </row>
    <row x14ac:dyDescent="0.25" r="135" customHeight="1" ht="17.25">
      <c r="A135" s="1" t="s">
        <v>334</v>
      </c>
      <c r="B135" s="1" t="s">
        <v>335</v>
      </c>
      <c r="C135" s="1" t="s">
        <v>265</v>
      </c>
      <c r="D135" s="1" t="s">
        <v>14</v>
      </c>
      <c r="E135" s="1" t="s">
        <v>15</v>
      </c>
      <c r="F135" s="1" t="s">
        <v>16</v>
      </c>
      <c r="G135" s="1" t="s">
        <v>17</v>
      </c>
      <c r="H135" s="2"/>
      <c r="I135" s="2"/>
      <c r="J135" s="2"/>
      <c r="K135" s="2"/>
    </row>
    <row x14ac:dyDescent="0.25" r="136" customHeight="1" ht="17.25">
      <c r="A136" s="1" t="s">
        <v>336</v>
      </c>
      <c r="B136" s="1" t="s">
        <v>337</v>
      </c>
      <c r="C136" s="1" t="s">
        <v>284</v>
      </c>
      <c r="D136" s="1" t="s">
        <v>14</v>
      </c>
      <c r="E136" s="1" t="s">
        <v>15</v>
      </c>
      <c r="F136" s="1" t="s">
        <v>16</v>
      </c>
      <c r="G136" s="1" t="s">
        <v>17</v>
      </c>
      <c r="H136" s="2"/>
      <c r="I136" s="2"/>
      <c r="J136" s="2"/>
      <c r="K136" s="2"/>
    </row>
    <row x14ac:dyDescent="0.25" r="137" customHeight="1" ht="17.25">
      <c r="A137" s="1" t="s">
        <v>338</v>
      </c>
      <c r="B137" s="1" t="s">
        <v>339</v>
      </c>
      <c r="C137" s="1" t="s">
        <v>340</v>
      </c>
      <c r="D137" s="1" t="s">
        <v>14</v>
      </c>
      <c r="E137" s="1" t="s">
        <v>15</v>
      </c>
      <c r="F137" s="1" t="s">
        <v>16</v>
      </c>
      <c r="G137" s="1" t="s">
        <v>17</v>
      </c>
      <c r="H137" s="2"/>
      <c r="I137" s="2"/>
      <c r="J137" s="2"/>
      <c r="K137" s="2"/>
    </row>
    <row x14ac:dyDescent="0.25" r="138" customHeight="1" ht="17.25">
      <c r="A138" s="1" t="s">
        <v>341</v>
      </c>
      <c r="B138" s="1" t="s">
        <v>342</v>
      </c>
      <c r="C138" s="1" t="s">
        <v>20</v>
      </c>
      <c r="D138" s="1" t="s">
        <v>14</v>
      </c>
      <c r="E138" s="1" t="s">
        <v>15</v>
      </c>
      <c r="F138" s="1" t="s">
        <v>16</v>
      </c>
      <c r="G138" s="1" t="s">
        <v>17</v>
      </c>
      <c r="H138" s="2"/>
      <c r="I138" s="2"/>
      <c r="J138" s="2"/>
      <c r="K138" s="2"/>
    </row>
    <row x14ac:dyDescent="0.25" r="139" customHeight="1" ht="17.25">
      <c r="A139" s="1" t="s">
        <v>343</v>
      </c>
      <c r="B139" s="1" t="s">
        <v>344</v>
      </c>
      <c r="C139" s="1" t="s">
        <v>20</v>
      </c>
      <c r="D139" s="1" t="s">
        <v>14</v>
      </c>
      <c r="E139" s="1" t="s">
        <v>15</v>
      </c>
      <c r="F139" s="1" t="s">
        <v>16</v>
      </c>
      <c r="G139" s="1" t="s">
        <v>17</v>
      </c>
      <c r="H139" s="2"/>
      <c r="I139" s="2"/>
      <c r="J139" s="2"/>
      <c r="K139" s="2"/>
    </row>
    <row x14ac:dyDescent="0.25" r="140" customHeight="1" ht="17.25">
      <c r="A140" s="1" t="s">
        <v>345</v>
      </c>
      <c r="B140" s="1" t="s">
        <v>346</v>
      </c>
      <c r="C140" s="1" t="s">
        <v>59</v>
      </c>
      <c r="D140" s="1" t="s">
        <v>14</v>
      </c>
      <c r="E140" s="1" t="s">
        <v>15</v>
      </c>
      <c r="F140" s="1" t="s">
        <v>16</v>
      </c>
      <c r="G140" s="1" t="s">
        <v>17</v>
      </c>
      <c r="H140" s="2"/>
      <c r="I140" s="2"/>
      <c r="J140" s="2"/>
      <c r="K140" s="2"/>
    </row>
    <row x14ac:dyDescent="0.25" r="141" customHeight="1" ht="17.25">
      <c r="A141" s="1" t="s">
        <v>347</v>
      </c>
      <c r="B141" s="1" t="s">
        <v>348</v>
      </c>
      <c r="C141" s="1" t="s">
        <v>20</v>
      </c>
      <c r="D141" s="1" t="s">
        <v>14</v>
      </c>
      <c r="E141" s="1" t="s">
        <v>15</v>
      </c>
      <c r="F141" s="1" t="s">
        <v>16</v>
      </c>
      <c r="G141" s="1" t="s">
        <v>17</v>
      </c>
      <c r="H141" s="2"/>
      <c r="I141" s="2"/>
      <c r="J141" s="2"/>
      <c r="K141" s="2"/>
    </row>
    <row x14ac:dyDescent="0.25" r="142" customHeight="1" ht="17.25">
      <c r="A142" s="1" t="s">
        <v>349</v>
      </c>
      <c r="B142" s="1" t="s">
        <v>350</v>
      </c>
      <c r="C142" s="1" t="s">
        <v>30</v>
      </c>
      <c r="D142" s="1" t="s">
        <v>14</v>
      </c>
      <c r="E142" s="1" t="s">
        <v>15</v>
      </c>
      <c r="F142" s="1" t="s">
        <v>16</v>
      </c>
      <c r="G142" s="1" t="s">
        <v>17</v>
      </c>
      <c r="H142" s="2"/>
      <c r="I142" s="2"/>
      <c r="J142" s="2"/>
      <c r="K142" s="2"/>
    </row>
    <row x14ac:dyDescent="0.25" r="143" customHeight="1" ht="17.25">
      <c r="A143" s="1" t="s">
        <v>351</v>
      </c>
      <c r="B143" s="1" t="s">
        <v>352</v>
      </c>
      <c r="C143" s="1" t="s">
        <v>328</v>
      </c>
      <c r="D143" s="1" t="s">
        <v>14</v>
      </c>
      <c r="E143" s="1" t="s">
        <v>15</v>
      </c>
      <c r="F143" s="1" t="s">
        <v>16</v>
      </c>
      <c r="G143" s="1" t="s">
        <v>17</v>
      </c>
      <c r="H143" s="2"/>
      <c r="I143" s="2"/>
      <c r="J143" s="2"/>
      <c r="K143" s="2"/>
    </row>
    <row x14ac:dyDescent="0.25" r="144" customHeight="1" ht="17.25">
      <c r="A144" s="1" t="s">
        <v>353</v>
      </c>
      <c r="B144" s="1" t="s">
        <v>354</v>
      </c>
      <c r="C144" s="1" t="s">
        <v>355</v>
      </c>
      <c r="D144" s="1" t="s">
        <v>14</v>
      </c>
      <c r="E144" s="1" t="s">
        <v>15</v>
      </c>
      <c r="F144" s="1" t="s">
        <v>16</v>
      </c>
      <c r="G144" s="1" t="s">
        <v>17</v>
      </c>
      <c r="H144" s="2"/>
      <c r="I144" s="2"/>
      <c r="J144" s="2"/>
      <c r="K144" s="2"/>
    </row>
    <row x14ac:dyDescent="0.25" r="145" customHeight="1" ht="17.25">
      <c r="A145" s="1" t="s">
        <v>356</v>
      </c>
      <c r="B145" s="1" t="s">
        <v>357</v>
      </c>
      <c r="C145" s="1" t="s">
        <v>358</v>
      </c>
      <c r="D145" s="1" t="s">
        <v>14</v>
      </c>
      <c r="E145" s="1" t="s">
        <v>15</v>
      </c>
      <c r="F145" s="1" t="s">
        <v>16</v>
      </c>
      <c r="G145" s="1" t="s">
        <v>17</v>
      </c>
      <c r="H145" s="2"/>
      <c r="I145" s="2"/>
      <c r="J145" s="2"/>
      <c r="K145" s="2"/>
    </row>
    <row x14ac:dyDescent="0.25" r="146" customHeight="1" ht="17.25">
      <c r="A146" s="1" t="s">
        <v>359</v>
      </c>
      <c r="B146" s="1" t="s">
        <v>360</v>
      </c>
      <c r="C146" s="1" t="s">
        <v>120</v>
      </c>
      <c r="D146" s="1" t="s">
        <v>14</v>
      </c>
      <c r="E146" s="1" t="s">
        <v>15</v>
      </c>
      <c r="F146" s="1" t="s">
        <v>16</v>
      </c>
      <c r="G146" s="1" t="s">
        <v>17</v>
      </c>
      <c r="H146" s="2"/>
      <c r="I146" s="2"/>
      <c r="J146" s="2"/>
      <c r="K146" s="2"/>
    </row>
    <row x14ac:dyDescent="0.25" r="147" customHeight="1" ht="17.25">
      <c r="A147" s="1" t="s">
        <v>361</v>
      </c>
      <c r="B147" s="1" t="s">
        <v>362</v>
      </c>
      <c r="C147" s="1" t="s">
        <v>20</v>
      </c>
      <c r="D147" s="1" t="s">
        <v>14</v>
      </c>
      <c r="E147" s="1" t="s">
        <v>15</v>
      </c>
      <c r="F147" s="1" t="s">
        <v>16</v>
      </c>
      <c r="G147" s="1" t="s">
        <v>17</v>
      </c>
      <c r="H147" s="2"/>
      <c r="I147" s="2"/>
      <c r="J147" s="2"/>
      <c r="K147" s="2"/>
    </row>
    <row x14ac:dyDescent="0.25" r="148" customHeight="1" ht="17.25">
      <c r="A148" s="1" t="s">
        <v>363</v>
      </c>
      <c r="B148" s="1" t="s">
        <v>364</v>
      </c>
      <c r="C148" s="1" t="s">
        <v>48</v>
      </c>
      <c r="D148" s="1" t="s">
        <v>14</v>
      </c>
      <c r="E148" s="1" t="s">
        <v>15</v>
      </c>
      <c r="F148" s="1" t="s">
        <v>16</v>
      </c>
      <c r="G148" s="1" t="s">
        <v>17</v>
      </c>
      <c r="H148" s="2"/>
      <c r="I148" s="2"/>
      <c r="J148" s="2"/>
      <c r="K148" s="2"/>
    </row>
    <row x14ac:dyDescent="0.25" r="149" customHeight="1" ht="17.25">
      <c r="A149" s="1" t="s">
        <v>365</v>
      </c>
      <c r="B149" s="1" t="s">
        <v>366</v>
      </c>
      <c r="C149" s="1" t="s">
        <v>13</v>
      </c>
      <c r="D149" s="1" t="s">
        <v>14</v>
      </c>
      <c r="E149" s="1" t="s">
        <v>15</v>
      </c>
      <c r="F149" s="1" t="s">
        <v>16</v>
      </c>
      <c r="G149" s="1" t="s">
        <v>17</v>
      </c>
      <c r="H149" s="2"/>
      <c r="I149" s="2"/>
      <c r="J149" s="2"/>
      <c r="K149" s="2"/>
    </row>
    <row x14ac:dyDescent="0.25" r="150" customHeight="1" ht="17.25">
      <c r="A150" s="1" t="s">
        <v>367</v>
      </c>
      <c r="B150" s="1" t="s">
        <v>368</v>
      </c>
      <c r="C150" s="1" t="s">
        <v>43</v>
      </c>
      <c r="D150" s="1" t="s">
        <v>14</v>
      </c>
      <c r="E150" s="1" t="s">
        <v>15</v>
      </c>
      <c r="F150" s="1" t="s">
        <v>16</v>
      </c>
      <c r="G150" s="1" t="s">
        <v>17</v>
      </c>
      <c r="H150" s="2"/>
      <c r="I150" s="2"/>
      <c r="J150" s="2"/>
      <c r="K150" s="2"/>
    </row>
    <row x14ac:dyDescent="0.25" r="151" customHeight="1" ht="17.25">
      <c r="A151" s="1" t="s">
        <v>369</v>
      </c>
      <c r="B151" s="1" t="s">
        <v>370</v>
      </c>
      <c r="C151" s="1" t="s">
        <v>371</v>
      </c>
      <c r="D151" s="1" t="s">
        <v>14</v>
      </c>
      <c r="E151" s="1" t="s">
        <v>15</v>
      </c>
      <c r="F151" s="1" t="s">
        <v>16</v>
      </c>
      <c r="G151" s="1" t="s">
        <v>17</v>
      </c>
      <c r="H151" s="2"/>
      <c r="I151" s="2"/>
      <c r="J151" s="2"/>
      <c r="K151" s="2"/>
    </row>
    <row x14ac:dyDescent="0.25" r="152" customHeight="1" ht="17.25">
      <c r="A152" s="1" t="s">
        <v>372</v>
      </c>
      <c r="B152" s="1" t="s">
        <v>373</v>
      </c>
      <c r="C152" s="1" t="s">
        <v>224</v>
      </c>
      <c r="D152" s="1" t="s">
        <v>14</v>
      </c>
      <c r="E152" s="1" t="s">
        <v>15</v>
      </c>
      <c r="F152" s="1" t="s">
        <v>16</v>
      </c>
      <c r="G152" s="1" t="s">
        <v>17</v>
      </c>
      <c r="H152" s="2"/>
      <c r="I152" s="2"/>
      <c r="J152" s="2"/>
      <c r="K152" s="2"/>
    </row>
    <row x14ac:dyDescent="0.25" r="153" customHeight="1" ht="17.25">
      <c r="A153" s="1" t="s">
        <v>374</v>
      </c>
      <c r="B153" s="1" t="s">
        <v>375</v>
      </c>
      <c r="C153" s="1" t="s">
        <v>20</v>
      </c>
      <c r="D153" s="1" t="s">
        <v>14</v>
      </c>
      <c r="E153" s="1" t="s">
        <v>15</v>
      </c>
      <c r="F153" s="1" t="s">
        <v>16</v>
      </c>
      <c r="G153" s="1" t="s">
        <v>17</v>
      </c>
      <c r="H153" s="2"/>
      <c r="I153" s="2"/>
      <c r="J153" s="2"/>
      <c r="K153" s="2"/>
    </row>
    <row x14ac:dyDescent="0.25" r="154" customHeight="1" ht="17.25">
      <c r="A154" s="1" t="s">
        <v>376</v>
      </c>
      <c r="B154" s="1" t="s">
        <v>377</v>
      </c>
      <c r="C154" s="1" t="s">
        <v>378</v>
      </c>
      <c r="D154" s="1" t="s">
        <v>14</v>
      </c>
      <c r="E154" s="1" t="s">
        <v>15</v>
      </c>
      <c r="F154" s="1" t="s">
        <v>16</v>
      </c>
      <c r="G154" s="1" t="s">
        <v>17</v>
      </c>
      <c r="H154" s="2"/>
      <c r="I154" s="2"/>
      <c r="J154" s="2"/>
      <c r="K154" s="2"/>
    </row>
    <row x14ac:dyDescent="0.25" r="155" customHeight="1" ht="17.25">
      <c r="A155" s="1" t="s">
        <v>379</v>
      </c>
      <c r="B155" s="1" t="s">
        <v>380</v>
      </c>
      <c r="C155" s="1" t="s">
        <v>381</v>
      </c>
      <c r="D155" s="1" t="s">
        <v>14</v>
      </c>
      <c r="E155" s="1" t="s">
        <v>15</v>
      </c>
      <c r="F155" s="1" t="s">
        <v>16</v>
      </c>
      <c r="G155" s="1" t="s">
        <v>17</v>
      </c>
      <c r="H155" s="2"/>
      <c r="I155" s="2"/>
      <c r="J155" s="2"/>
      <c r="K155" s="2"/>
    </row>
    <row x14ac:dyDescent="0.25" r="156" customHeight="1" ht="17.25">
      <c r="A156" s="1" t="s">
        <v>382</v>
      </c>
      <c r="B156" s="1" t="s">
        <v>383</v>
      </c>
      <c r="C156" s="1" t="s">
        <v>384</v>
      </c>
      <c r="D156" s="1" t="s">
        <v>14</v>
      </c>
      <c r="E156" s="1" t="s">
        <v>15</v>
      </c>
      <c r="F156" s="1" t="s">
        <v>16</v>
      </c>
      <c r="G156" s="1" t="s">
        <v>17</v>
      </c>
      <c r="H156" s="2"/>
      <c r="I156" s="2"/>
      <c r="J156" s="2"/>
      <c r="K156" s="2"/>
    </row>
    <row x14ac:dyDescent="0.25" r="157" customHeight="1" ht="17.25">
      <c r="A157" s="1" t="s">
        <v>385</v>
      </c>
      <c r="B157" s="1" t="s">
        <v>386</v>
      </c>
      <c r="C157" s="1" t="s">
        <v>30</v>
      </c>
      <c r="D157" s="1" t="s">
        <v>14</v>
      </c>
      <c r="E157" s="1" t="s">
        <v>15</v>
      </c>
      <c r="F157" s="1" t="s">
        <v>16</v>
      </c>
      <c r="G157" s="1" t="s">
        <v>17</v>
      </c>
      <c r="H157" s="2"/>
      <c r="I157" s="2"/>
      <c r="J157" s="2"/>
      <c r="K157" s="2"/>
    </row>
    <row x14ac:dyDescent="0.25" r="158" customHeight="1" ht="17.25">
      <c r="A158" s="1" t="s">
        <v>387</v>
      </c>
      <c r="B158" s="1" t="s">
        <v>388</v>
      </c>
      <c r="C158" s="1" t="s">
        <v>20</v>
      </c>
      <c r="D158" s="1" t="s">
        <v>14</v>
      </c>
      <c r="E158" s="1" t="s">
        <v>15</v>
      </c>
      <c r="F158" s="1" t="s">
        <v>16</v>
      </c>
      <c r="G158" s="1" t="s">
        <v>17</v>
      </c>
      <c r="H158" s="2"/>
      <c r="I158" s="2"/>
      <c r="J158" s="2"/>
      <c r="K158" s="2"/>
    </row>
    <row x14ac:dyDescent="0.25" r="159" customHeight="1" ht="17.25">
      <c r="A159" s="1" t="s">
        <v>389</v>
      </c>
      <c r="B159" s="1" t="s">
        <v>390</v>
      </c>
      <c r="C159" s="1" t="s">
        <v>91</v>
      </c>
      <c r="D159" s="1" t="s">
        <v>14</v>
      </c>
      <c r="E159" s="1" t="s">
        <v>15</v>
      </c>
      <c r="F159" s="1" t="s">
        <v>16</v>
      </c>
      <c r="G159" s="1" t="s">
        <v>17</v>
      </c>
      <c r="H159" s="2"/>
      <c r="I159" s="2"/>
      <c r="J159" s="2"/>
      <c r="K159" s="2"/>
    </row>
    <row x14ac:dyDescent="0.25" r="160" customHeight="1" ht="17.25">
      <c r="A160" s="1" t="s">
        <v>391</v>
      </c>
      <c r="B160" s="1" t="s">
        <v>392</v>
      </c>
      <c r="C160" s="1" t="s">
        <v>393</v>
      </c>
      <c r="D160" s="1" t="s">
        <v>14</v>
      </c>
      <c r="E160" s="1" t="s">
        <v>15</v>
      </c>
      <c r="F160" s="1" t="s">
        <v>16</v>
      </c>
      <c r="G160" s="1" t="s">
        <v>17</v>
      </c>
      <c r="H160" s="2"/>
      <c r="I160" s="2"/>
      <c r="J160" s="2"/>
      <c r="K160" s="2"/>
    </row>
    <row x14ac:dyDescent="0.25" r="161" customHeight="1" ht="17.25">
      <c r="A161" s="1" t="s">
        <v>394</v>
      </c>
      <c r="B161" s="1" t="s">
        <v>395</v>
      </c>
      <c r="C161" s="1" t="s">
        <v>54</v>
      </c>
      <c r="D161" s="1" t="s">
        <v>14</v>
      </c>
      <c r="E161" s="1" t="s">
        <v>15</v>
      </c>
      <c r="F161" s="1" t="s">
        <v>16</v>
      </c>
      <c r="G161" s="1" t="s">
        <v>17</v>
      </c>
      <c r="H161" s="2"/>
      <c r="I161" s="2"/>
      <c r="J161" s="2"/>
      <c r="K161" s="2"/>
    </row>
    <row x14ac:dyDescent="0.25" r="162" customHeight="1" ht="17.25">
      <c r="A162" s="1" t="s">
        <v>396</v>
      </c>
      <c r="B162" s="1" t="s">
        <v>397</v>
      </c>
      <c r="C162" s="1" t="s">
        <v>224</v>
      </c>
      <c r="D162" s="1" t="s">
        <v>14</v>
      </c>
      <c r="E162" s="1" t="s">
        <v>15</v>
      </c>
      <c r="F162" s="1" t="s">
        <v>16</v>
      </c>
      <c r="G162" s="1" t="s">
        <v>17</v>
      </c>
      <c r="H162" s="2"/>
      <c r="I162" s="2"/>
      <c r="J162" s="2"/>
      <c r="K162" s="2"/>
    </row>
    <row x14ac:dyDescent="0.25" r="163" customHeight="1" ht="17.25">
      <c r="A163" s="1" t="s">
        <v>398</v>
      </c>
      <c r="B163" s="1" t="s">
        <v>399</v>
      </c>
      <c r="C163" s="1" t="s">
        <v>20</v>
      </c>
      <c r="D163" s="1" t="s">
        <v>14</v>
      </c>
      <c r="E163" s="1" t="s">
        <v>15</v>
      </c>
      <c r="F163" s="1" t="s">
        <v>16</v>
      </c>
      <c r="G163" s="1" t="s">
        <v>17</v>
      </c>
      <c r="H163" s="2"/>
      <c r="I163" s="2"/>
      <c r="J163" s="2"/>
      <c r="K163" s="2"/>
    </row>
    <row x14ac:dyDescent="0.25" r="164" customHeight="1" ht="17.25">
      <c r="A164" s="1" t="s">
        <v>400</v>
      </c>
      <c r="B164" s="1" t="s">
        <v>401</v>
      </c>
      <c r="C164" s="1" t="s">
        <v>319</v>
      </c>
      <c r="D164" s="1" t="s">
        <v>14</v>
      </c>
      <c r="E164" s="1" t="s">
        <v>15</v>
      </c>
      <c r="F164" s="1" t="s">
        <v>16</v>
      </c>
      <c r="G164" s="1" t="s">
        <v>17</v>
      </c>
      <c r="H164" s="2"/>
      <c r="I164" s="2"/>
      <c r="J164" s="2"/>
      <c r="K164" s="2"/>
    </row>
    <row x14ac:dyDescent="0.25" r="165" customHeight="1" ht="17.25">
      <c r="A165" s="1" t="s">
        <v>402</v>
      </c>
      <c r="B165" s="1" t="s">
        <v>403</v>
      </c>
      <c r="C165" s="1" t="s">
        <v>20</v>
      </c>
      <c r="D165" s="1" t="s">
        <v>14</v>
      </c>
      <c r="E165" s="1" t="s">
        <v>15</v>
      </c>
      <c r="F165" s="1" t="s">
        <v>16</v>
      </c>
      <c r="G165" s="1" t="s">
        <v>17</v>
      </c>
      <c r="H165" s="2"/>
      <c r="I165" s="2"/>
      <c r="J165" s="2"/>
      <c r="K165" s="2"/>
    </row>
    <row x14ac:dyDescent="0.25" r="166" customHeight="1" ht="17.25">
      <c r="A166" s="1" t="s">
        <v>404</v>
      </c>
      <c r="B166" s="1" t="s">
        <v>405</v>
      </c>
      <c r="C166" s="1" t="s">
        <v>224</v>
      </c>
      <c r="D166" s="1" t="s">
        <v>14</v>
      </c>
      <c r="E166" s="1" t="s">
        <v>15</v>
      </c>
      <c r="F166" s="1" t="s">
        <v>16</v>
      </c>
      <c r="G166" s="1" t="s">
        <v>17</v>
      </c>
      <c r="H166" s="2"/>
      <c r="I166" s="2"/>
      <c r="J166" s="2"/>
      <c r="K166" s="2"/>
    </row>
    <row x14ac:dyDescent="0.25" r="167" customHeight="1" ht="17.25">
      <c r="A167" s="1" t="s">
        <v>406</v>
      </c>
      <c r="B167" s="1" t="s">
        <v>407</v>
      </c>
      <c r="C167" s="1" t="s">
        <v>281</v>
      </c>
      <c r="D167" s="1" t="s">
        <v>14</v>
      </c>
      <c r="E167" s="1" t="s">
        <v>15</v>
      </c>
      <c r="F167" s="1" t="s">
        <v>16</v>
      </c>
      <c r="G167" s="1" t="s">
        <v>17</v>
      </c>
      <c r="H167" s="2"/>
      <c r="I167" s="2"/>
      <c r="J167" s="2"/>
      <c r="K167" s="2"/>
    </row>
    <row x14ac:dyDescent="0.25" r="168" customHeight="1" ht="17.25">
      <c r="A168" s="1" t="s">
        <v>408</v>
      </c>
      <c r="B168" s="1" t="s">
        <v>409</v>
      </c>
      <c r="C168" s="1" t="s">
        <v>20</v>
      </c>
      <c r="D168" s="1" t="s">
        <v>14</v>
      </c>
      <c r="E168" s="1" t="s">
        <v>15</v>
      </c>
      <c r="F168" s="1" t="s">
        <v>16</v>
      </c>
      <c r="G168" s="1" t="s">
        <v>17</v>
      </c>
      <c r="H168" s="2"/>
      <c r="I168" s="2"/>
      <c r="J168" s="2"/>
      <c r="K168" s="2"/>
    </row>
    <row x14ac:dyDescent="0.25" r="169" customHeight="1" ht="17.25">
      <c r="A169" s="1" t="s">
        <v>410</v>
      </c>
      <c r="B169" s="1" t="s">
        <v>411</v>
      </c>
      <c r="C169" s="1" t="s">
        <v>76</v>
      </c>
      <c r="D169" s="1" t="s">
        <v>14</v>
      </c>
      <c r="E169" s="1" t="s">
        <v>15</v>
      </c>
      <c r="F169" s="1" t="s">
        <v>16</v>
      </c>
      <c r="G169" s="1" t="s">
        <v>17</v>
      </c>
      <c r="H169" s="2"/>
      <c r="I169" s="2"/>
      <c r="J169" s="2"/>
      <c r="K169" s="2"/>
    </row>
    <row x14ac:dyDescent="0.25" r="170" customHeight="1" ht="17.25">
      <c r="A170" s="1" t="s">
        <v>412</v>
      </c>
      <c r="B170" s="1" t="s">
        <v>413</v>
      </c>
      <c r="C170" s="1" t="s">
        <v>149</v>
      </c>
      <c r="D170" s="1" t="s">
        <v>14</v>
      </c>
      <c r="E170" s="1" t="s">
        <v>15</v>
      </c>
      <c r="F170" s="1" t="s">
        <v>16</v>
      </c>
      <c r="G170" s="1" t="s">
        <v>17</v>
      </c>
      <c r="H170" s="2"/>
      <c r="I170" s="2"/>
      <c r="J170" s="2"/>
      <c r="K170" s="2"/>
    </row>
    <row x14ac:dyDescent="0.25" r="171" customHeight="1" ht="17.25">
      <c r="A171" s="1" t="s">
        <v>414</v>
      </c>
      <c r="B171" s="1" t="s">
        <v>415</v>
      </c>
      <c r="C171" s="1" t="s">
        <v>416</v>
      </c>
      <c r="D171" s="1" t="s">
        <v>14</v>
      </c>
      <c r="E171" s="1" t="s">
        <v>15</v>
      </c>
      <c r="F171" s="1" t="s">
        <v>16</v>
      </c>
      <c r="G171" s="1" t="s">
        <v>17</v>
      </c>
      <c r="H171" s="2"/>
      <c r="I171" s="2"/>
      <c r="J171" s="2"/>
      <c r="K171" s="2"/>
    </row>
    <row x14ac:dyDescent="0.25" r="172" customHeight="1" ht="17.25">
      <c r="A172" s="1" t="s">
        <v>417</v>
      </c>
      <c r="B172" s="1" t="s">
        <v>418</v>
      </c>
      <c r="C172" s="1" t="s">
        <v>419</v>
      </c>
      <c r="D172" s="1" t="s">
        <v>14</v>
      </c>
      <c r="E172" s="1" t="s">
        <v>15</v>
      </c>
      <c r="F172" s="1" t="s">
        <v>16</v>
      </c>
      <c r="G172" s="1" t="s">
        <v>17</v>
      </c>
      <c r="H172" s="2"/>
      <c r="I172" s="2"/>
      <c r="J172" s="2"/>
      <c r="K172" s="2"/>
    </row>
    <row x14ac:dyDescent="0.25" r="173" customHeight="1" ht="17.25">
      <c r="A173" s="1" t="s">
        <v>420</v>
      </c>
      <c r="B173" s="1" t="s">
        <v>421</v>
      </c>
      <c r="C173" s="1" t="s">
        <v>422</v>
      </c>
      <c r="D173" s="1" t="s">
        <v>14</v>
      </c>
      <c r="E173" s="1" t="s">
        <v>15</v>
      </c>
      <c r="F173" s="1" t="s">
        <v>16</v>
      </c>
      <c r="G173" s="1" t="s">
        <v>17</v>
      </c>
      <c r="H173" s="2"/>
      <c r="I173" s="2"/>
      <c r="J173" s="2"/>
      <c r="K173" s="2"/>
    </row>
    <row x14ac:dyDescent="0.25" r="174" customHeight="1" ht="17.25">
      <c r="A174" s="1" t="s">
        <v>423</v>
      </c>
      <c r="B174" s="1" t="s">
        <v>424</v>
      </c>
      <c r="C174" s="1" t="s">
        <v>20</v>
      </c>
      <c r="D174" s="1" t="s">
        <v>14</v>
      </c>
      <c r="E174" s="1" t="s">
        <v>15</v>
      </c>
      <c r="F174" s="1" t="s">
        <v>16</v>
      </c>
      <c r="G174" s="1" t="s">
        <v>17</v>
      </c>
      <c r="H174" s="2"/>
      <c r="I174" s="2"/>
      <c r="J174" s="2"/>
      <c r="K174" s="2"/>
    </row>
    <row x14ac:dyDescent="0.25" r="175" customHeight="1" ht="17.25">
      <c r="A175" s="1" t="s">
        <v>425</v>
      </c>
      <c r="B175" s="1" t="s">
        <v>426</v>
      </c>
      <c r="C175" s="1" t="s">
        <v>62</v>
      </c>
      <c r="D175" s="1" t="s">
        <v>14</v>
      </c>
      <c r="E175" s="1" t="s">
        <v>15</v>
      </c>
      <c r="F175" s="1" t="s">
        <v>16</v>
      </c>
      <c r="G175" s="1" t="s">
        <v>17</v>
      </c>
      <c r="H175" s="2"/>
      <c r="I175" s="2"/>
      <c r="J175" s="2"/>
      <c r="K175" s="2"/>
    </row>
    <row x14ac:dyDescent="0.25" r="176" customHeight="1" ht="17.25">
      <c r="A176" s="1" t="s">
        <v>427</v>
      </c>
      <c r="B176" s="1" t="s">
        <v>428</v>
      </c>
      <c r="C176" s="1" t="s">
        <v>429</v>
      </c>
      <c r="D176" s="1" t="s">
        <v>14</v>
      </c>
      <c r="E176" s="1" t="s">
        <v>15</v>
      </c>
      <c r="F176" s="1" t="s">
        <v>16</v>
      </c>
      <c r="G176" s="1" t="s">
        <v>17</v>
      </c>
      <c r="H176" s="2"/>
      <c r="I176" s="2"/>
      <c r="J176" s="2"/>
      <c r="K176" s="2"/>
    </row>
    <row x14ac:dyDescent="0.25" r="177" customHeight="1" ht="17.25">
      <c r="A177" s="1" t="s">
        <v>430</v>
      </c>
      <c r="B177" s="1" t="s">
        <v>431</v>
      </c>
      <c r="C177" s="1" t="s">
        <v>265</v>
      </c>
      <c r="D177" s="1" t="s">
        <v>14</v>
      </c>
      <c r="E177" s="1" t="s">
        <v>15</v>
      </c>
      <c r="F177" s="1" t="s">
        <v>16</v>
      </c>
      <c r="G177" s="1" t="s">
        <v>17</v>
      </c>
      <c r="H177" s="2"/>
      <c r="I177" s="2"/>
      <c r="J177" s="2"/>
      <c r="K177" s="2"/>
    </row>
    <row x14ac:dyDescent="0.25" r="178" customHeight="1" ht="17.25">
      <c r="A178" s="1" t="s">
        <v>432</v>
      </c>
      <c r="B178" s="1" t="s">
        <v>433</v>
      </c>
      <c r="C178" s="1" t="s">
        <v>355</v>
      </c>
      <c r="D178" s="1" t="s">
        <v>14</v>
      </c>
      <c r="E178" s="1" t="s">
        <v>15</v>
      </c>
      <c r="F178" s="1" t="s">
        <v>16</v>
      </c>
      <c r="G178" s="1" t="s">
        <v>17</v>
      </c>
      <c r="H178" s="2"/>
      <c r="I178" s="2"/>
      <c r="J178" s="2"/>
      <c r="K178" s="2"/>
    </row>
    <row x14ac:dyDescent="0.25" r="179" customHeight="1" ht="17.25">
      <c r="A179" s="1" t="s">
        <v>434</v>
      </c>
      <c r="B179" s="1" t="s">
        <v>435</v>
      </c>
      <c r="C179" s="1" t="s">
        <v>20</v>
      </c>
      <c r="D179" s="1" t="s">
        <v>14</v>
      </c>
      <c r="E179" s="1" t="s">
        <v>15</v>
      </c>
      <c r="F179" s="1" t="s">
        <v>16</v>
      </c>
      <c r="G179" s="1" t="s">
        <v>17</v>
      </c>
      <c r="H179" s="2"/>
      <c r="I179" s="2"/>
      <c r="J179" s="2"/>
      <c r="K179" s="2"/>
    </row>
    <row x14ac:dyDescent="0.25" r="180" customHeight="1" ht="17.25">
      <c r="A180" s="1" t="s">
        <v>436</v>
      </c>
      <c r="B180" s="1" t="s">
        <v>437</v>
      </c>
      <c r="C180" s="1" t="s">
        <v>216</v>
      </c>
      <c r="D180" s="1" t="s">
        <v>14</v>
      </c>
      <c r="E180" s="1" t="s">
        <v>15</v>
      </c>
      <c r="F180" s="1" t="s">
        <v>16</v>
      </c>
      <c r="G180" s="1" t="s">
        <v>17</v>
      </c>
      <c r="H180" s="2"/>
      <c r="I180" s="2"/>
      <c r="J180" s="2"/>
      <c r="K180" s="2"/>
    </row>
    <row x14ac:dyDescent="0.25" r="181" customHeight="1" ht="17.25">
      <c r="A181" s="1" t="s">
        <v>438</v>
      </c>
      <c r="B181" s="1" t="s">
        <v>439</v>
      </c>
      <c r="C181" s="1" t="s">
        <v>440</v>
      </c>
      <c r="D181" s="1" t="s">
        <v>14</v>
      </c>
      <c r="E181" s="1" t="s">
        <v>15</v>
      </c>
      <c r="F181" s="1" t="s">
        <v>16</v>
      </c>
      <c r="G181" s="1" t="s">
        <v>17</v>
      </c>
      <c r="H181" s="2"/>
      <c r="I181" s="2"/>
      <c r="J181" s="2"/>
      <c r="K181" s="2"/>
    </row>
    <row x14ac:dyDescent="0.25" r="182" customHeight="1" ht="17.25">
      <c r="A182" s="1" t="s">
        <v>441</v>
      </c>
      <c r="B182" s="1" t="s">
        <v>442</v>
      </c>
      <c r="C182" s="1" t="s">
        <v>76</v>
      </c>
      <c r="D182" s="1" t="s">
        <v>14</v>
      </c>
      <c r="E182" s="1" t="s">
        <v>15</v>
      </c>
      <c r="F182" s="1" t="s">
        <v>16</v>
      </c>
      <c r="G182" s="1" t="s">
        <v>17</v>
      </c>
      <c r="H182" s="2"/>
      <c r="I182" s="2"/>
      <c r="J182" s="2"/>
      <c r="K182" s="2"/>
    </row>
    <row x14ac:dyDescent="0.25" r="183" customHeight="1" ht="17.25">
      <c r="A183" s="1" t="s">
        <v>443</v>
      </c>
      <c r="B183" s="1" t="s">
        <v>444</v>
      </c>
      <c r="C183" s="1" t="s">
        <v>445</v>
      </c>
      <c r="D183" s="1" t="s">
        <v>14</v>
      </c>
      <c r="E183" s="1" t="s">
        <v>15</v>
      </c>
      <c r="F183" s="1" t="s">
        <v>16</v>
      </c>
      <c r="G183" s="1" t="s">
        <v>17</v>
      </c>
      <c r="H183" s="2"/>
      <c r="I183" s="2"/>
      <c r="J183" s="2"/>
      <c r="K183" s="2"/>
    </row>
    <row x14ac:dyDescent="0.25" r="184" customHeight="1" ht="17.25">
      <c r="A184" s="1" t="s">
        <v>446</v>
      </c>
      <c r="B184" s="1" t="s">
        <v>447</v>
      </c>
      <c r="C184" s="1" t="s">
        <v>445</v>
      </c>
      <c r="D184" s="1" t="s">
        <v>14</v>
      </c>
      <c r="E184" s="1" t="s">
        <v>15</v>
      </c>
      <c r="F184" s="1" t="s">
        <v>16</v>
      </c>
      <c r="G184" s="1" t="s">
        <v>17</v>
      </c>
      <c r="H184" s="2"/>
      <c r="I184" s="2"/>
      <c r="J184" s="2"/>
      <c r="K184" s="2"/>
    </row>
    <row x14ac:dyDescent="0.25" r="185" customHeight="1" ht="17.25">
      <c r="A185" s="1" t="s">
        <v>448</v>
      </c>
      <c r="B185" s="1" t="s">
        <v>449</v>
      </c>
      <c r="C185" s="1" t="s">
        <v>450</v>
      </c>
      <c r="D185" s="1" t="s">
        <v>14</v>
      </c>
      <c r="E185" s="1" t="s">
        <v>15</v>
      </c>
      <c r="F185" s="1" t="s">
        <v>16</v>
      </c>
      <c r="G185" s="1" t="s">
        <v>17</v>
      </c>
      <c r="H185" s="2"/>
      <c r="I185" s="2"/>
      <c r="J185" s="2"/>
      <c r="K185" s="2"/>
    </row>
    <row x14ac:dyDescent="0.25" r="186" customHeight="1" ht="17.25">
      <c r="A186" s="1" t="s">
        <v>451</v>
      </c>
      <c r="B186" s="1" t="s">
        <v>452</v>
      </c>
      <c r="C186" s="1" t="s">
        <v>453</v>
      </c>
      <c r="D186" s="1" t="s">
        <v>14</v>
      </c>
      <c r="E186" s="1" t="s">
        <v>15</v>
      </c>
      <c r="F186" s="1" t="s">
        <v>16</v>
      </c>
      <c r="G186" s="1" t="s">
        <v>17</v>
      </c>
      <c r="H186" s="2"/>
      <c r="I186" s="2"/>
      <c r="J186" s="2"/>
      <c r="K186" s="2"/>
    </row>
    <row x14ac:dyDescent="0.25" r="187" customHeight="1" ht="17.25">
      <c r="A187" s="1" t="s">
        <v>454</v>
      </c>
      <c r="B187" s="1" t="s">
        <v>455</v>
      </c>
      <c r="C187" s="1" t="s">
        <v>59</v>
      </c>
      <c r="D187" s="1" t="s">
        <v>14</v>
      </c>
      <c r="E187" s="1" t="s">
        <v>15</v>
      </c>
      <c r="F187" s="1" t="s">
        <v>16</v>
      </c>
      <c r="G187" s="1" t="s">
        <v>17</v>
      </c>
      <c r="H187" s="2"/>
      <c r="I187" s="2"/>
      <c r="J187" s="2"/>
      <c r="K187" s="2"/>
    </row>
    <row x14ac:dyDescent="0.25" r="188" customHeight="1" ht="17.25">
      <c r="A188" s="1" t="s">
        <v>456</v>
      </c>
      <c r="B188" s="1" t="s">
        <v>457</v>
      </c>
      <c r="C188" s="1" t="s">
        <v>20</v>
      </c>
      <c r="D188" s="1" t="s">
        <v>14</v>
      </c>
      <c r="E188" s="1" t="s">
        <v>15</v>
      </c>
      <c r="F188" s="1" t="s">
        <v>16</v>
      </c>
      <c r="G188" s="1" t="s">
        <v>17</v>
      </c>
      <c r="H188" s="2"/>
      <c r="I188" s="2"/>
      <c r="J188" s="2"/>
      <c r="K188" s="2"/>
    </row>
    <row x14ac:dyDescent="0.25" r="189" customHeight="1" ht="17.25">
      <c r="A189" s="1" t="s">
        <v>458</v>
      </c>
      <c r="B189" s="1" t="s">
        <v>459</v>
      </c>
      <c r="C189" s="1" t="s">
        <v>20</v>
      </c>
      <c r="D189" s="1" t="s">
        <v>14</v>
      </c>
      <c r="E189" s="1" t="s">
        <v>15</v>
      </c>
      <c r="F189" s="1" t="s">
        <v>16</v>
      </c>
      <c r="G189" s="1" t="s">
        <v>17</v>
      </c>
      <c r="H189" s="2"/>
      <c r="I189" s="2"/>
      <c r="J189" s="2"/>
      <c r="K189" s="2"/>
    </row>
    <row x14ac:dyDescent="0.25" r="190" customHeight="1" ht="17.25">
      <c r="A190" s="1" t="s">
        <v>460</v>
      </c>
      <c r="B190" s="1" t="s">
        <v>461</v>
      </c>
      <c r="C190" s="1" t="s">
        <v>20</v>
      </c>
      <c r="D190" s="1" t="s">
        <v>14</v>
      </c>
      <c r="E190" s="1" t="s">
        <v>15</v>
      </c>
      <c r="F190" s="1" t="s">
        <v>16</v>
      </c>
      <c r="G190" s="1" t="s">
        <v>17</v>
      </c>
      <c r="H190" s="2"/>
      <c r="I190" s="2"/>
      <c r="J190" s="2"/>
      <c r="K190" s="2"/>
    </row>
    <row x14ac:dyDescent="0.25" r="191" customHeight="1" ht="17.25">
      <c r="A191" s="1" t="s">
        <v>462</v>
      </c>
      <c r="B191" s="1" t="s">
        <v>463</v>
      </c>
      <c r="C191" s="1" t="s">
        <v>48</v>
      </c>
      <c r="D191" s="1" t="s">
        <v>14</v>
      </c>
      <c r="E191" s="1" t="s">
        <v>15</v>
      </c>
      <c r="F191" s="1" t="s">
        <v>16</v>
      </c>
      <c r="G191" s="1" t="s">
        <v>17</v>
      </c>
      <c r="H191" s="2"/>
      <c r="I191" s="2"/>
      <c r="J191" s="2"/>
      <c r="K191" s="2"/>
    </row>
    <row x14ac:dyDescent="0.25" r="192" customHeight="1" ht="17.25">
      <c r="A192" s="1" t="s">
        <v>464</v>
      </c>
      <c r="B192" s="1" t="s">
        <v>465</v>
      </c>
      <c r="C192" s="1" t="s">
        <v>378</v>
      </c>
      <c r="D192" s="1" t="s">
        <v>14</v>
      </c>
      <c r="E192" s="1" t="s">
        <v>15</v>
      </c>
      <c r="F192" s="1" t="s">
        <v>16</v>
      </c>
      <c r="G192" s="1" t="s">
        <v>17</v>
      </c>
      <c r="H192" s="2"/>
      <c r="I192" s="2"/>
      <c r="J192" s="2"/>
      <c r="K192" s="2"/>
    </row>
    <row x14ac:dyDescent="0.25" r="193" customHeight="1" ht="17.25">
      <c r="A193" s="1" t="s">
        <v>466</v>
      </c>
      <c r="B193" s="1" t="s">
        <v>467</v>
      </c>
      <c r="C193" s="1" t="s">
        <v>20</v>
      </c>
      <c r="D193" s="1" t="s">
        <v>14</v>
      </c>
      <c r="E193" s="1" t="s">
        <v>15</v>
      </c>
      <c r="F193" s="1" t="s">
        <v>16</v>
      </c>
      <c r="G193" s="1" t="s">
        <v>17</v>
      </c>
      <c r="H193" s="2"/>
      <c r="I193" s="2"/>
      <c r="J193" s="2"/>
      <c r="K193" s="2"/>
    </row>
    <row x14ac:dyDescent="0.25" r="194" customHeight="1" ht="17.25">
      <c r="A194" s="1" t="s">
        <v>468</v>
      </c>
      <c r="B194" s="1" t="s">
        <v>469</v>
      </c>
      <c r="C194" s="1" t="s">
        <v>445</v>
      </c>
      <c r="D194" s="1" t="s">
        <v>14</v>
      </c>
      <c r="E194" s="1" t="s">
        <v>15</v>
      </c>
      <c r="F194" s="1" t="s">
        <v>16</v>
      </c>
      <c r="G194" s="1" t="s">
        <v>17</v>
      </c>
      <c r="H194" s="2"/>
      <c r="I194" s="2"/>
      <c r="J194" s="2"/>
      <c r="K194" s="2"/>
    </row>
    <row x14ac:dyDescent="0.25" r="195" customHeight="1" ht="17.25">
      <c r="A195" s="1" t="s">
        <v>470</v>
      </c>
      <c r="B195" s="1" t="s">
        <v>471</v>
      </c>
      <c r="C195" s="1" t="s">
        <v>20</v>
      </c>
      <c r="D195" s="1" t="s">
        <v>14</v>
      </c>
      <c r="E195" s="1" t="s">
        <v>15</v>
      </c>
      <c r="F195" s="1" t="s">
        <v>16</v>
      </c>
      <c r="G195" s="1" t="s">
        <v>17</v>
      </c>
      <c r="H195" s="2"/>
      <c r="I195" s="2"/>
      <c r="J195" s="2"/>
      <c r="K195" s="2"/>
    </row>
    <row x14ac:dyDescent="0.25" r="196" customHeight="1" ht="17.25">
      <c r="A196" s="1" t="s">
        <v>472</v>
      </c>
      <c r="B196" s="1" t="s">
        <v>473</v>
      </c>
      <c r="C196" s="1" t="s">
        <v>20</v>
      </c>
      <c r="D196" s="1" t="s">
        <v>14</v>
      </c>
      <c r="E196" s="1" t="s">
        <v>15</v>
      </c>
      <c r="F196" s="1" t="s">
        <v>16</v>
      </c>
      <c r="G196" s="1" t="s">
        <v>17</v>
      </c>
      <c r="H196" s="2"/>
      <c r="I196" s="2"/>
      <c r="J196" s="2"/>
      <c r="K196" s="2"/>
    </row>
    <row x14ac:dyDescent="0.25" r="197" customHeight="1" ht="17.25">
      <c r="A197" s="1" t="s">
        <v>474</v>
      </c>
      <c r="B197" s="1" t="s">
        <v>475</v>
      </c>
      <c r="C197" s="1" t="s">
        <v>76</v>
      </c>
      <c r="D197" s="1" t="s">
        <v>14</v>
      </c>
      <c r="E197" s="1" t="s">
        <v>15</v>
      </c>
      <c r="F197" s="1" t="s">
        <v>16</v>
      </c>
      <c r="G197" s="1" t="s">
        <v>17</v>
      </c>
      <c r="H197" s="2"/>
      <c r="I197" s="2"/>
      <c r="J197" s="2"/>
      <c r="K197" s="2"/>
    </row>
    <row x14ac:dyDescent="0.25" r="198" customHeight="1" ht="17.25">
      <c r="A198" s="1" t="s">
        <v>476</v>
      </c>
      <c r="B198" s="1" t="s">
        <v>477</v>
      </c>
      <c r="C198" s="1" t="s">
        <v>81</v>
      </c>
      <c r="D198" s="1" t="s">
        <v>14</v>
      </c>
      <c r="E198" s="1" t="s">
        <v>15</v>
      </c>
      <c r="F198" s="1" t="s">
        <v>16</v>
      </c>
      <c r="G198" s="1" t="s">
        <v>17</v>
      </c>
      <c r="H198" s="2"/>
      <c r="I198" s="2"/>
      <c r="J198" s="2"/>
      <c r="K198" s="2"/>
    </row>
    <row x14ac:dyDescent="0.25" r="199" customHeight="1" ht="17.25">
      <c r="A199" s="1" t="s">
        <v>478</v>
      </c>
      <c r="B199" s="1" t="s">
        <v>479</v>
      </c>
      <c r="C199" s="1" t="s">
        <v>20</v>
      </c>
      <c r="D199" s="1" t="s">
        <v>14</v>
      </c>
      <c r="E199" s="1" t="s">
        <v>15</v>
      </c>
      <c r="F199" s="1" t="s">
        <v>16</v>
      </c>
      <c r="G199" s="1" t="s">
        <v>17</v>
      </c>
      <c r="H199" s="2"/>
      <c r="I199" s="2"/>
      <c r="J199" s="2"/>
      <c r="K199" s="2"/>
    </row>
    <row x14ac:dyDescent="0.25" r="200" customHeight="1" ht="17.25">
      <c r="A200" s="1" t="s">
        <v>480</v>
      </c>
      <c r="B200" s="1" t="s">
        <v>481</v>
      </c>
      <c r="C200" s="1" t="s">
        <v>482</v>
      </c>
      <c r="D200" s="1" t="s">
        <v>14</v>
      </c>
      <c r="E200" s="1" t="s">
        <v>15</v>
      </c>
      <c r="F200" s="1" t="s">
        <v>16</v>
      </c>
      <c r="G200" s="1" t="s">
        <v>17</v>
      </c>
      <c r="H200" s="2"/>
      <c r="I200" s="2"/>
      <c r="J200" s="2"/>
      <c r="K200" s="2"/>
    </row>
    <row x14ac:dyDescent="0.25" r="201" customHeight="1" ht="17.25">
      <c r="A201" s="1" t="s">
        <v>483</v>
      </c>
      <c r="B201" s="1" t="s">
        <v>484</v>
      </c>
      <c r="C201" s="1" t="s">
        <v>30</v>
      </c>
      <c r="D201" s="1" t="s">
        <v>14</v>
      </c>
      <c r="E201" s="1" t="s">
        <v>15</v>
      </c>
      <c r="F201" s="1" t="s">
        <v>16</v>
      </c>
      <c r="G201" s="1" t="s">
        <v>17</v>
      </c>
      <c r="H201" s="2"/>
      <c r="I201" s="2"/>
      <c r="J201" s="2"/>
      <c r="K201" s="2"/>
    </row>
    <row x14ac:dyDescent="0.25" r="202" customHeight="1" ht="17.25">
      <c r="A202" s="1" t="s">
        <v>485</v>
      </c>
      <c r="B202" s="1" t="s">
        <v>486</v>
      </c>
      <c r="C202" s="1" t="s">
        <v>281</v>
      </c>
      <c r="D202" s="1" t="s">
        <v>14</v>
      </c>
      <c r="E202" s="1" t="s">
        <v>15</v>
      </c>
      <c r="F202" s="1" t="s">
        <v>16</v>
      </c>
      <c r="G202" s="1" t="s">
        <v>17</v>
      </c>
      <c r="H202" s="2"/>
      <c r="I202" s="2"/>
      <c r="J202" s="2"/>
      <c r="K202" s="2"/>
    </row>
    <row x14ac:dyDescent="0.25" r="203" customHeight="1" ht="17.25">
      <c r="A203" s="1" t="s">
        <v>487</v>
      </c>
      <c r="B203" s="1" t="s">
        <v>488</v>
      </c>
      <c r="C203" s="1" t="s">
        <v>489</v>
      </c>
      <c r="D203" s="1" t="s">
        <v>14</v>
      </c>
      <c r="E203" s="1" t="s">
        <v>15</v>
      </c>
      <c r="F203" s="1" t="s">
        <v>16</v>
      </c>
      <c r="G203" s="1" t="s">
        <v>17</v>
      </c>
      <c r="H203" s="2"/>
      <c r="I203" s="2"/>
      <c r="J203" s="2"/>
      <c r="K203" s="2"/>
    </row>
    <row x14ac:dyDescent="0.25" r="204" customHeight="1" ht="17.25">
      <c r="A204" s="1" t="s">
        <v>490</v>
      </c>
      <c r="B204" s="1" t="s">
        <v>491</v>
      </c>
      <c r="C204" s="1" t="s">
        <v>492</v>
      </c>
      <c r="D204" s="1" t="s">
        <v>14</v>
      </c>
      <c r="E204" s="1" t="s">
        <v>15</v>
      </c>
      <c r="F204" s="1" t="s">
        <v>16</v>
      </c>
      <c r="G204" s="1" t="s">
        <v>17</v>
      </c>
      <c r="H204" s="2"/>
      <c r="I204" s="2"/>
      <c r="J204" s="2"/>
      <c r="K204" s="2"/>
    </row>
    <row x14ac:dyDescent="0.25" r="205" customHeight="1" ht="17.25">
      <c r="A205" s="1" t="s">
        <v>493</v>
      </c>
      <c r="B205" s="1" t="s">
        <v>494</v>
      </c>
      <c r="C205" s="1" t="s">
        <v>20</v>
      </c>
      <c r="D205" s="1" t="s">
        <v>14</v>
      </c>
      <c r="E205" s="1" t="s">
        <v>15</v>
      </c>
      <c r="F205" s="1" t="s">
        <v>16</v>
      </c>
      <c r="G205" s="1" t="s">
        <v>17</v>
      </c>
      <c r="H205" s="2"/>
      <c r="I205" s="2"/>
      <c r="J205" s="2"/>
      <c r="K205" s="2"/>
    </row>
    <row x14ac:dyDescent="0.25" r="206" customHeight="1" ht="17.25">
      <c r="A206" s="1" t="s">
        <v>495</v>
      </c>
      <c r="B206" s="1" t="s">
        <v>496</v>
      </c>
      <c r="C206" s="1" t="s">
        <v>71</v>
      </c>
      <c r="D206" s="1" t="s">
        <v>14</v>
      </c>
      <c r="E206" s="1" t="s">
        <v>15</v>
      </c>
      <c r="F206" s="1" t="s">
        <v>16</v>
      </c>
      <c r="G206" s="1" t="s">
        <v>17</v>
      </c>
      <c r="H206" s="2"/>
      <c r="I206" s="2"/>
      <c r="J206" s="2"/>
      <c r="K206" s="2"/>
    </row>
    <row x14ac:dyDescent="0.25" r="207" customHeight="1" ht="17.25">
      <c r="A207" s="1" t="s">
        <v>497</v>
      </c>
      <c r="B207" s="1" t="s">
        <v>498</v>
      </c>
      <c r="C207" s="1" t="s">
        <v>254</v>
      </c>
      <c r="D207" s="1" t="s">
        <v>14</v>
      </c>
      <c r="E207" s="1" t="s">
        <v>15</v>
      </c>
      <c r="F207" s="1" t="s">
        <v>16</v>
      </c>
      <c r="G207" s="1" t="s">
        <v>17</v>
      </c>
      <c r="H207" s="2"/>
      <c r="I207" s="2"/>
      <c r="J207" s="2"/>
      <c r="K207" s="2"/>
    </row>
    <row x14ac:dyDescent="0.25" r="208" customHeight="1" ht="17.25">
      <c r="A208" s="1" t="s">
        <v>499</v>
      </c>
      <c r="B208" s="1" t="s">
        <v>500</v>
      </c>
      <c r="C208" s="1" t="s">
        <v>20</v>
      </c>
      <c r="D208" s="1" t="s">
        <v>14</v>
      </c>
      <c r="E208" s="1" t="s">
        <v>15</v>
      </c>
      <c r="F208" s="1" t="s">
        <v>16</v>
      </c>
      <c r="G208" s="1" t="s">
        <v>17</v>
      </c>
      <c r="H208" s="2"/>
      <c r="I208" s="2"/>
      <c r="J208" s="2"/>
      <c r="K208" s="2"/>
    </row>
    <row x14ac:dyDescent="0.25" r="209" customHeight="1" ht="17.25">
      <c r="A209" s="1" t="s">
        <v>501</v>
      </c>
      <c r="B209" s="1" t="s">
        <v>502</v>
      </c>
      <c r="C209" s="1" t="s">
        <v>20</v>
      </c>
      <c r="D209" s="1" t="s">
        <v>14</v>
      </c>
      <c r="E209" s="1" t="s">
        <v>15</v>
      </c>
      <c r="F209" s="1" t="s">
        <v>16</v>
      </c>
      <c r="G209" s="1" t="s">
        <v>17</v>
      </c>
      <c r="H209" s="2"/>
      <c r="I209" s="2"/>
      <c r="J209" s="2"/>
      <c r="K209" s="2"/>
    </row>
    <row x14ac:dyDescent="0.25" r="210" customHeight="1" ht="17.25">
      <c r="A210" s="1" t="s">
        <v>503</v>
      </c>
      <c r="B210" s="1" t="s">
        <v>504</v>
      </c>
      <c r="C210" s="1" t="s">
        <v>445</v>
      </c>
      <c r="D210" s="1" t="s">
        <v>14</v>
      </c>
      <c r="E210" s="1" t="s">
        <v>15</v>
      </c>
      <c r="F210" s="1" t="s">
        <v>16</v>
      </c>
      <c r="G210" s="1" t="s">
        <v>17</v>
      </c>
      <c r="H210" s="2"/>
      <c r="I210" s="2"/>
      <c r="J210" s="2"/>
      <c r="K210" s="2"/>
    </row>
    <row x14ac:dyDescent="0.25" r="211" customHeight="1" ht="17.25">
      <c r="A211" s="1" t="s">
        <v>505</v>
      </c>
      <c r="B211" s="1" t="s">
        <v>506</v>
      </c>
      <c r="C211" s="1" t="s">
        <v>30</v>
      </c>
      <c r="D211" s="1" t="s">
        <v>14</v>
      </c>
      <c r="E211" s="1" t="s">
        <v>15</v>
      </c>
      <c r="F211" s="1" t="s">
        <v>16</v>
      </c>
      <c r="G211" s="1" t="s">
        <v>17</v>
      </c>
      <c r="H211" s="2"/>
      <c r="I211" s="2"/>
      <c r="J211" s="2"/>
      <c r="K211" s="2"/>
    </row>
    <row x14ac:dyDescent="0.25" r="212" customHeight="1" ht="17.25">
      <c r="A212" s="1" t="s">
        <v>507</v>
      </c>
      <c r="B212" s="1" t="s">
        <v>508</v>
      </c>
      <c r="C212" s="1" t="s">
        <v>20</v>
      </c>
      <c r="D212" s="1" t="s">
        <v>14</v>
      </c>
      <c r="E212" s="1" t="s">
        <v>15</v>
      </c>
      <c r="F212" s="1" t="s">
        <v>16</v>
      </c>
      <c r="G212" s="1" t="s">
        <v>17</v>
      </c>
      <c r="H212" s="2"/>
      <c r="I212" s="2"/>
      <c r="J212" s="2"/>
      <c r="K212" s="2"/>
    </row>
    <row x14ac:dyDescent="0.25" r="213" customHeight="1" ht="17.25">
      <c r="A213" s="1" t="s">
        <v>509</v>
      </c>
      <c r="B213" s="1" t="s">
        <v>510</v>
      </c>
      <c r="C213" s="1" t="s">
        <v>224</v>
      </c>
      <c r="D213" s="1" t="s">
        <v>14</v>
      </c>
      <c r="E213" s="1" t="s">
        <v>15</v>
      </c>
      <c r="F213" s="1" t="s">
        <v>16</v>
      </c>
      <c r="G213" s="1" t="s">
        <v>17</v>
      </c>
      <c r="H213" s="2"/>
      <c r="I213" s="2"/>
      <c r="J213" s="2"/>
      <c r="K213" s="2"/>
    </row>
    <row x14ac:dyDescent="0.25" r="214" customHeight="1" ht="17.25">
      <c r="A214" s="1" t="s">
        <v>511</v>
      </c>
      <c r="B214" s="1" t="s">
        <v>512</v>
      </c>
      <c r="C214" s="1" t="s">
        <v>59</v>
      </c>
      <c r="D214" s="1" t="s">
        <v>14</v>
      </c>
      <c r="E214" s="1" t="s">
        <v>15</v>
      </c>
      <c r="F214" s="1" t="s">
        <v>16</v>
      </c>
      <c r="G214" s="1" t="s">
        <v>17</v>
      </c>
      <c r="H214" s="2"/>
      <c r="I214" s="2"/>
      <c r="J214" s="2"/>
      <c r="K214" s="2"/>
    </row>
    <row x14ac:dyDescent="0.25" r="215" customHeight="1" ht="17.25">
      <c r="A215" s="1" t="s">
        <v>513</v>
      </c>
      <c r="B215" s="1" t="s">
        <v>514</v>
      </c>
      <c r="C215" s="1" t="s">
        <v>20</v>
      </c>
      <c r="D215" s="1" t="s">
        <v>14</v>
      </c>
      <c r="E215" s="1" t="s">
        <v>15</v>
      </c>
      <c r="F215" s="1" t="s">
        <v>16</v>
      </c>
      <c r="G215" s="1" t="s">
        <v>17</v>
      </c>
      <c r="H215" s="2"/>
      <c r="I215" s="2"/>
      <c r="J215" s="2"/>
      <c r="K215" s="2"/>
    </row>
    <row x14ac:dyDescent="0.25" r="216" customHeight="1" ht="17.25">
      <c r="A216" s="1" t="s">
        <v>515</v>
      </c>
      <c r="B216" s="1" t="s">
        <v>516</v>
      </c>
      <c r="C216" s="1" t="s">
        <v>76</v>
      </c>
      <c r="D216" s="1" t="s">
        <v>14</v>
      </c>
      <c r="E216" s="1" t="s">
        <v>15</v>
      </c>
      <c r="F216" s="1" t="s">
        <v>16</v>
      </c>
      <c r="G216" s="1" t="s">
        <v>17</v>
      </c>
      <c r="H216" s="2"/>
      <c r="I216" s="2"/>
      <c r="J216" s="2"/>
      <c r="K216" s="2"/>
    </row>
    <row x14ac:dyDescent="0.25" r="217" customHeight="1" ht="17.25">
      <c r="A217" s="1" t="s">
        <v>517</v>
      </c>
      <c r="B217" s="1" t="s">
        <v>518</v>
      </c>
      <c r="C217" s="1" t="s">
        <v>519</v>
      </c>
      <c r="D217" s="1" t="s">
        <v>14</v>
      </c>
      <c r="E217" s="1" t="s">
        <v>15</v>
      </c>
      <c r="F217" s="1" t="s">
        <v>16</v>
      </c>
      <c r="G217" s="1" t="s">
        <v>17</v>
      </c>
      <c r="H217" s="2"/>
      <c r="I217" s="2"/>
      <c r="J217" s="2"/>
      <c r="K217" s="2"/>
    </row>
    <row x14ac:dyDescent="0.25" r="218" customHeight="1" ht="17.25">
      <c r="A218" s="1" t="s">
        <v>520</v>
      </c>
      <c r="B218" s="1" t="s">
        <v>521</v>
      </c>
      <c r="C218" s="1" t="s">
        <v>522</v>
      </c>
      <c r="D218" s="1" t="s">
        <v>14</v>
      </c>
      <c r="E218" s="1" t="s">
        <v>15</v>
      </c>
      <c r="F218" s="1" t="s">
        <v>16</v>
      </c>
      <c r="G218" s="1" t="s">
        <v>17</v>
      </c>
      <c r="H218" s="2"/>
      <c r="I218" s="2"/>
      <c r="J218" s="2"/>
      <c r="K218" s="2"/>
    </row>
    <row x14ac:dyDescent="0.25" r="219" customHeight="1" ht="17.25">
      <c r="A219" s="1" t="s">
        <v>523</v>
      </c>
      <c r="B219" s="1" t="s">
        <v>524</v>
      </c>
      <c r="C219" s="1" t="s">
        <v>522</v>
      </c>
      <c r="D219" s="1" t="s">
        <v>14</v>
      </c>
      <c r="E219" s="1" t="s">
        <v>15</v>
      </c>
      <c r="F219" s="1" t="s">
        <v>16</v>
      </c>
      <c r="G219" s="1" t="s">
        <v>17</v>
      </c>
      <c r="H219" s="2"/>
      <c r="I219" s="2"/>
      <c r="J219" s="2"/>
      <c r="K219" s="2"/>
    </row>
    <row x14ac:dyDescent="0.25" r="220" customHeight="1" ht="17.25">
      <c r="A220" s="1" t="s">
        <v>525</v>
      </c>
      <c r="B220" s="1" t="s">
        <v>526</v>
      </c>
      <c r="C220" s="1" t="s">
        <v>20</v>
      </c>
      <c r="D220" s="1" t="s">
        <v>14</v>
      </c>
      <c r="E220" s="1" t="s">
        <v>15</v>
      </c>
      <c r="F220" s="1" t="s">
        <v>16</v>
      </c>
      <c r="G220" s="1" t="s">
        <v>17</v>
      </c>
      <c r="H220" s="2"/>
      <c r="I220" s="2"/>
      <c r="J220" s="2"/>
      <c r="K220" s="2"/>
    </row>
    <row x14ac:dyDescent="0.25" r="221" customHeight="1" ht="17.25">
      <c r="A221" s="1" t="s">
        <v>527</v>
      </c>
      <c r="B221" s="1" t="s">
        <v>528</v>
      </c>
      <c r="C221" s="1" t="s">
        <v>529</v>
      </c>
      <c r="D221" s="1" t="s">
        <v>14</v>
      </c>
      <c r="E221" s="1" t="s">
        <v>15</v>
      </c>
      <c r="F221" s="1" t="s">
        <v>16</v>
      </c>
      <c r="G221" s="1" t="s">
        <v>17</v>
      </c>
      <c r="H221" s="2"/>
      <c r="I221" s="2"/>
      <c r="J221" s="2"/>
      <c r="K221" s="2"/>
    </row>
    <row x14ac:dyDescent="0.25" r="222" customHeight="1" ht="17.25">
      <c r="A222" s="1" t="s">
        <v>530</v>
      </c>
      <c r="B222" s="1" t="s">
        <v>531</v>
      </c>
      <c r="C222" s="1" t="s">
        <v>532</v>
      </c>
      <c r="D222" s="1" t="s">
        <v>14</v>
      </c>
      <c r="E222" s="1" t="s">
        <v>15</v>
      </c>
      <c r="F222" s="1" t="s">
        <v>16</v>
      </c>
      <c r="G222" s="1" t="s">
        <v>17</v>
      </c>
      <c r="H222" s="2"/>
      <c r="I222" s="2"/>
      <c r="J222" s="2"/>
      <c r="K222" s="2"/>
    </row>
    <row x14ac:dyDescent="0.25" r="223" customHeight="1" ht="17.25">
      <c r="A223" s="1" t="s">
        <v>533</v>
      </c>
      <c r="B223" s="1" t="s">
        <v>534</v>
      </c>
      <c r="C223" s="1" t="s">
        <v>340</v>
      </c>
      <c r="D223" s="1" t="s">
        <v>14</v>
      </c>
      <c r="E223" s="1" t="s">
        <v>15</v>
      </c>
      <c r="F223" s="1" t="s">
        <v>16</v>
      </c>
      <c r="G223" s="1" t="s">
        <v>17</v>
      </c>
      <c r="H223" s="2"/>
      <c r="I223" s="2"/>
      <c r="J223" s="2"/>
      <c r="K223" s="2"/>
    </row>
    <row x14ac:dyDescent="0.25" r="224" customHeight="1" ht="17.25">
      <c r="A224" s="1" t="s">
        <v>535</v>
      </c>
      <c r="B224" s="1" t="s">
        <v>536</v>
      </c>
      <c r="C224" s="1" t="s">
        <v>20</v>
      </c>
      <c r="D224" s="1" t="s">
        <v>14</v>
      </c>
      <c r="E224" s="1" t="s">
        <v>15</v>
      </c>
      <c r="F224" s="1" t="s">
        <v>16</v>
      </c>
      <c r="G224" s="1" t="s">
        <v>17</v>
      </c>
      <c r="H224" s="2"/>
      <c r="I224" s="2"/>
      <c r="J224" s="2"/>
      <c r="K224" s="2"/>
    </row>
    <row x14ac:dyDescent="0.25" r="225" customHeight="1" ht="17.25">
      <c r="A225" s="1" t="s">
        <v>537</v>
      </c>
      <c r="B225" s="1" t="s">
        <v>538</v>
      </c>
      <c r="C225" s="1" t="s">
        <v>384</v>
      </c>
      <c r="D225" s="1" t="s">
        <v>14</v>
      </c>
      <c r="E225" s="1" t="s">
        <v>15</v>
      </c>
      <c r="F225" s="1" t="s">
        <v>16</v>
      </c>
      <c r="G225" s="1" t="s">
        <v>17</v>
      </c>
      <c r="H225" s="2"/>
      <c r="I225" s="2"/>
      <c r="J225" s="2"/>
      <c r="K225" s="2"/>
    </row>
    <row x14ac:dyDescent="0.25" r="226" customHeight="1" ht="17.25">
      <c r="A226" s="1" t="s">
        <v>539</v>
      </c>
      <c r="B226" s="1" t="s">
        <v>540</v>
      </c>
      <c r="C226" s="1" t="s">
        <v>20</v>
      </c>
      <c r="D226" s="1" t="s">
        <v>14</v>
      </c>
      <c r="E226" s="1" t="s">
        <v>15</v>
      </c>
      <c r="F226" s="1" t="s">
        <v>16</v>
      </c>
      <c r="G226" s="1" t="s">
        <v>17</v>
      </c>
      <c r="H226" s="2"/>
      <c r="I226" s="2"/>
      <c r="J226" s="2"/>
      <c r="K226" s="2"/>
    </row>
    <row x14ac:dyDescent="0.25" r="227" customHeight="1" ht="17.25">
      <c r="A227" s="1" t="s">
        <v>541</v>
      </c>
      <c r="B227" s="1" t="s">
        <v>542</v>
      </c>
      <c r="C227" s="1" t="s">
        <v>254</v>
      </c>
      <c r="D227" s="1" t="s">
        <v>14</v>
      </c>
      <c r="E227" s="1" t="s">
        <v>15</v>
      </c>
      <c r="F227" s="1" t="s">
        <v>16</v>
      </c>
      <c r="G227" s="1" t="s">
        <v>17</v>
      </c>
      <c r="H227" s="2"/>
      <c r="I227" s="2"/>
      <c r="J227" s="2"/>
      <c r="K227" s="2"/>
    </row>
    <row x14ac:dyDescent="0.25" r="228" customHeight="1" ht="17.25">
      <c r="A228" s="1" t="s">
        <v>543</v>
      </c>
      <c r="B228" s="1" t="s">
        <v>544</v>
      </c>
      <c r="C228" s="1" t="s">
        <v>545</v>
      </c>
      <c r="D228" s="1" t="s">
        <v>14</v>
      </c>
      <c r="E228" s="1" t="s">
        <v>15</v>
      </c>
      <c r="F228" s="1" t="s">
        <v>16</v>
      </c>
      <c r="G228" s="1" t="s">
        <v>17</v>
      </c>
      <c r="H228" s="2"/>
      <c r="I228" s="2"/>
      <c r="J228" s="2"/>
      <c r="K228" s="2"/>
    </row>
    <row x14ac:dyDescent="0.25" r="229" customHeight="1" ht="17.25">
      <c r="A229" s="1" t="s">
        <v>546</v>
      </c>
      <c r="B229" s="1" t="s">
        <v>547</v>
      </c>
      <c r="C229" s="1" t="s">
        <v>328</v>
      </c>
      <c r="D229" s="1" t="s">
        <v>14</v>
      </c>
      <c r="E229" s="1" t="s">
        <v>15</v>
      </c>
      <c r="F229" s="1" t="s">
        <v>16</v>
      </c>
      <c r="G229" s="1" t="s">
        <v>17</v>
      </c>
      <c r="H229" s="2"/>
      <c r="I229" s="2"/>
      <c r="J229" s="2"/>
      <c r="K229" s="2"/>
    </row>
    <row x14ac:dyDescent="0.25" r="230" customHeight="1" ht="17.25">
      <c r="A230" s="1" t="s">
        <v>548</v>
      </c>
      <c r="B230" s="1" t="s">
        <v>549</v>
      </c>
      <c r="C230" s="1" t="s">
        <v>86</v>
      </c>
      <c r="D230" s="1" t="s">
        <v>14</v>
      </c>
      <c r="E230" s="1" t="s">
        <v>15</v>
      </c>
      <c r="F230" s="1" t="s">
        <v>16</v>
      </c>
      <c r="G230" s="1" t="s">
        <v>17</v>
      </c>
      <c r="H230" s="2"/>
      <c r="I230" s="2"/>
      <c r="J230" s="2"/>
      <c r="K230" s="2"/>
    </row>
    <row x14ac:dyDescent="0.25" r="231" customHeight="1" ht="17.25">
      <c r="A231" s="1" t="s">
        <v>550</v>
      </c>
      <c r="B231" s="1" t="s">
        <v>551</v>
      </c>
      <c r="C231" s="1" t="s">
        <v>20</v>
      </c>
      <c r="D231" s="1" t="s">
        <v>14</v>
      </c>
      <c r="E231" s="1" t="s">
        <v>15</v>
      </c>
      <c r="F231" s="1" t="s">
        <v>16</v>
      </c>
      <c r="G231" s="1" t="s">
        <v>17</v>
      </c>
      <c r="H231" s="2"/>
      <c r="I231" s="2"/>
      <c r="J231" s="2"/>
      <c r="K231" s="2"/>
    </row>
    <row x14ac:dyDescent="0.25" r="232" customHeight="1" ht="17.25">
      <c r="A232" s="1" t="s">
        <v>552</v>
      </c>
      <c r="B232" s="1" t="s">
        <v>553</v>
      </c>
      <c r="C232" s="1" t="s">
        <v>554</v>
      </c>
      <c r="D232" s="1" t="s">
        <v>14</v>
      </c>
      <c r="E232" s="1" t="s">
        <v>15</v>
      </c>
      <c r="F232" s="1" t="s">
        <v>16</v>
      </c>
      <c r="G232" s="1" t="s">
        <v>17</v>
      </c>
      <c r="H232" s="2"/>
      <c r="I232" s="2"/>
      <c r="J232" s="2"/>
      <c r="K232" s="2"/>
    </row>
    <row x14ac:dyDescent="0.25" r="233" customHeight="1" ht="17.25">
      <c r="A233" s="1" t="s">
        <v>555</v>
      </c>
      <c r="B233" s="1" t="s">
        <v>556</v>
      </c>
      <c r="C233" s="1" t="s">
        <v>557</v>
      </c>
      <c r="D233" s="1" t="s">
        <v>14</v>
      </c>
      <c r="E233" s="1" t="s">
        <v>15</v>
      </c>
      <c r="F233" s="1" t="s">
        <v>16</v>
      </c>
      <c r="G233" s="1" t="s">
        <v>17</v>
      </c>
      <c r="H233" s="2"/>
      <c r="I233" s="2"/>
      <c r="J233" s="2"/>
      <c r="K233" s="2"/>
    </row>
    <row x14ac:dyDescent="0.25" r="234" customHeight="1" ht="17.25">
      <c r="A234" s="1" t="s">
        <v>558</v>
      </c>
      <c r="B234" s="1" t="s">
        <v>559</v>
      </c>
      <c r="C234" s="1" t="s">
        <v>560</v>
      </c>
      <c r="D234" s="1" t="s">
        <v>14</v>
      </c>
      <c r="E234" s="1" t="s">
        <v>15</v>
      </c>
      <c r="F234" s="1" t="s">
        <v>16</v>
      </c>
      <c r="G234" s="1" t="s">
        <v>17</v>
      </c>
      <c r="H234" s="2"/>
      <c r="I234" s="2"/>
      <c r="J234" s="2"/>
      <c r="K234" s="2"/>
    </row>
    <row x14ac:dyDescent="0.25" r="235" customHeight="1" ht="17.25">
      <c r="A235" s="1" t="s">
        <v>561</v>
      </c>
      <c r="B235" s="1" t="s">
        <v>562</v>
      </c>
      <c r="C235" s="1" t="s">
        <v>135</v>
      </c>
      <c r="D235" s="1" t="s">
        <v>14</v>
      </c>
      <c r="E235" s="1" t="s">
        <v>15</v>
      </c>
      <c r="F235" s="1" t="s">
        <v>16</v>
      </c>
      <c r="G235" s="1" t="s">
        <v>17</v>
      </c>
      <c r="H235" s="2"/>
      <c r="I235" s="2"/>
      <c r="J235" s="2"/>
      <c r="K235" s="2"/>
    </row>
    <row x14ac:dyDescent="0.25" r="236" customHeight="1" ht="17.25">
      <c r="A236" s="1" t="s">
        <v>563</v>
      </c>
      <c r="B236" s="1" t="s">
        <v>564</v>
      </c>
      <c r="C236" s="1" t="s">
        <v>86</v>
      </c>
      <c r="D236" s="1" t="s">
        <v>14</v>
      </c>
      <c r="E236" s="1" t="s">
        <v>15</v>
      </c>
      <c r="F236" s="1" t="s">
        <v>16</v>
      </c>
      <c r="G236" s="1" t="s">
        <v>17</v>
      </c>
      <c r="H236" s="2"/>
      <c r="I236" s="2"/>
      <c r="J236" s="2"/>
      <c r="K236" s="2"/>
    </row>
    <row x14ac:dyDescent="0.25" r="237" customHeight="1" ht="17.25">
      <c r="A237" s="1" t="s">
        <v>565</v>
      </c>
      <c r="B237" s="1" t="s">
        <v>566</v>
      </c>
      <c r="C237" s="1" t="s">
        <v>62</v>
      </c>
      <c r="D237" s="1" t="s">
        <v>14</v>
      </c>
      <c r="E237" s="1" t="s">
        <v>15</v>
      </c>
      <c r="F237" s="1" t="s">
        <v>16</v>
      </c>
      <c r="G237" s="1" t="s">
        <v>17</v>
      </c>
      <c r="H237" s="2"/>
      <c r="I237" s="2"/>
      <c r="J237" s="2"/>
      <c r="K237" s="2"/>
    </row>
    <row x14ac:dyDescent="0.25" r="238" customHeight="1" ht="17.25">
      <c r="A238" s="1" t="s">
        <v>567</v>
      </c>
      <c r="B238" s="1" t="s">
        <v>568</v>
      </c>
      <c r="C238" s="1" t="s">
        <v>62</v>
      </c>
      <c r="D238" s="1" t="s">
        <v>14</v>
      </c>
      <c r="E238" s="1" t="s">
        <v>15</v>
      </c>
      <c r="F238" s="1" t="s">
        <v>16</v>
      </c>
      <c r="G238" s="1" t="s">
        <v>17</v>
      </c>
      <c r="H238" s="2"/>
      <c r="I238" s="2"/>
      <c r="J238" s="2"/>
      <c r="K238" s="2"/>
    </row>
    <row x14ac:dyDescent="0.25" r="239" customHeight="1" ht="17.25">
      <c r="A239" s="1" t="s">
        <v>569</v>
      </c>
      <c r="B239" s="1" t="s">
        <v>570</v>
      </c>
      <c r="C239" s="1" t="s">
        <v>355</v>
      </c>
      <c r="D239" s="1" t="s">
        <v>14</v>
      </c>
      <c r="E239" s="1" t="s">
        <v>15</v>
      </c>
      <c r="F239" s="1" t="s">
        <v>16</v>
      </c>
      <c r="G239" s="1" t="s">
        <v>17</v>
      </c>
      <c r="H239" s="2"/>
      <c r="I239" s="2"/>
      <c r="J239" s="2"/>
      <c r="K239" s="2"/>
    </row>
    <row x14ac:dyDescent="0.25" r="240" customHeight="1" ht="17.25">
      <c r="A240" s="1" t="s">
        <v>571</v>
      </c>
      <c r="B240" s="1" t="s">
        <v>572</v>
      </c>
      <c r="C240" s="1" t="s">
        <v>573</v>
      </c>
      <c r="D240" s="1" t="s">
        <v>14</v>
      </c>
      <c r="E240" s="1" t="s">
        <v>15</v>
      </c>
      <c r="F240" s="1" t="s">
        <v>16</v>
      </c>
      <c r="G240" s="1" t="s">
        <v>17</v>
      </c>
      <c r="H240" s="2"/>
      <c r="I240" s="2"/>
      <c r="J240" s="2"/>
      <c r="K240" s="2"/>
    </row>
    <row x14ac:dyDescent="0.25" r="241" customHeight="1" ht="17.25">
      <c r="A241" s="1" t="s">
        <v>574</v>
      </c>
      <c r="B241" s="1" t="s">
        <v>575</v>
      </c>
      <c r="C241" s="1" t="s">
        <v>445</v>
      </c>
      <c r="D241" s="1" t="s">
        <v>14</v>
      </c>
      <c r="E241" s="1" t="s">
        <v>15</v>
      </c>
      <c r="F241" s="1" t="s">
        <v>16</v>
      </c>
      <c r="G241" s="1" t="s">
        <v>17</v>
      </c>
      <c r="H241" s="2"/>
      <c r="I241" s="2"/>
      <c r="J241" s="2"/>
      <c r="K241" s="2"/>
    </row>
    <row x14ac:dyDescent="0.25" r="242" customHeight="1" ht="17.25">
      <c r="A242" s="1" t="s">
        <v>576</v>
      </c>
      <c r="B242" s="1" t="s">
        <v>577</v>
      </c>
      <c r="C242" s="1" t="s">
        <v>578</v>
      </c>
      <c r="D242" s="1" t="s">
        <v>14</v>
      </c>
      <c r="E242" s="1" t="s">
        <v>15</v>
      </c>
      <c r="F242" s="1" t="s">
        <v>16</v>
      </c>
      <c r="G242" s="1" t="s">
        <v>17</v>
      </c>
      <c r="H242" s="2"/>
      <c r="I242" s="2"/>
      <c r="J242" s="2"/>
      <c r="K242" s="2"/>
    </row>
    <row x14ac:dyDescent="0.25" r="243" customHeight="1" ht="17.25">
      <c r="A243" s="1" t="s">
        <v>579</v>
      </c>
      <c r="B243" s="1" t="s">
        <v>580</v>
      </c>
      <c r="C243" s="1" t="s">
        <v>581</v>
      </c>
      <c r="D243" s="1" t="s">
        <v>14</v>
      </c>
      <c r="E243" s="1" t="s">
        <v>15</v>
      </c>
      <c r="F243" s="1" t="s">
        <v>16</v>
      </c>
      <c r="G243" s="1" t="s">
        <v>17</v>
      </c>
      <c r="H243" s="2"/>
      <c r="I243" s="2"/>
      <c r="J243" s="2"/>
      <c r="K243" s="2"/>
    </row>
    <row x14ac:dyDescent="0.25" r="244" customHeight="1" ht="17.25">
      <c r="A244" s="1" t="s">
        <v>582</v>
      </c>
      <c r="B244" s="1" t="s">
        <v>583</v>
      </c>
      <c r="C244" s="1" t="s">
        <v>319</v>
      </c>
      <c r="D244" s="1" t="s">
        <v>14</v>
      </c>
      <c r="E244" s="1" t="s">
        <v>15</v>
      </c>
      <c r="F244" s="1" t="s">
        <v>16</v>
      </c>
      <c r="G244" s="1" t="s">
        <v>17</v>
      </c>
      <c r="H244" s="2"/>
      <c r="I244" s="2"/>
      <c r="J244" s="2"/>
      <c r="K244" s="2"/>
    </row>
    <row x14ac:dyDescent="0.25" r="245" customHeight="1" ht="17.25">
      <c r="A245" s="1" t="s">
        <v>584</v>
      </c>
      <c r="B245" s="1" t="s">
        <v>585</v>
      </c>
      <c r="C245" s="1" t="s">
        <v>20</v>
      </c>
      <c r="D245" s="1" t="s">
        <v>14</v>
      </c>
      <c r="E245" s="1" t="s">
        <v>15</v>
      </c>
      <c r="F245" s="1" t="s">
        <v>16</v>
      </c>
      <c r="G245" s="1" t="s">
        <v>17</v>
      </c>
      <c r="H245" s="2"/>
      <c r="I245" s="2"/>
      <c r="J245" s="2"/>
      <c r="K245" s="2"/>
    </row>
    <row x14ac:dyDescent="0.25" r="246" customHeight="1" ht="17.25">
      <c r="A246" s="1" t="s">
        <v>586</v>
      </c>
      <c r="B246" s="1" t="s">
        <v>587</v>
      </c>
      <c r="C246" s="1" t="s">
        <v>36</v>
      </c>
      <c r="D246" s="1" t="s">
        <v>14</v>
      </c>
      <c r="E246" s="1" t="s">
        <v>15</v>
      </c>
      <c r="F246" s="1" t="s">
        <v>16</v>
      </c>
      <c r="G246" s="1" t="s">
        <v>17</v>
      </c>
      <c r="H246" s="2"/>
      <c r="I246" s="2"/>
      <c r="J246" s="2"/>
      <c r="K246" s="2"/>
    </row>
    <row x14ac:dyDescent="0.25" r="247" customHeight="1" ht="17.25">
      <c r="A247" s="1" t="s">
        <v>588</v>
      </c>
      <c r="B247" s="1" t="s">
        <v>589</v>
      </c>
      <c r="C247" s="1" t="s">
        <v>20</v>
      </c>
      <c r="D247" s="1" t="s">
        <v>14</v>
      </c>
      <c r="E247" s="1" t="s">
        <v>15</v>
      </c>
      <c r="F247" s="1" t="s">
        <v>16</v>
      </c>
      <c r="G247" s="1" t="s">
        <v>17</v>
      </c>
      <c r="H247" s="2"/>
      <c r="I247" s="2"/>
      <c r="J247" s="2"/>
      <c r="K247" s="2"/>
    </row>
    <row x14ac:dyDescent="0.25" r="248" customHeight="1" ht="17.25">
      <c r="A248" s="1" t="s">
        <v>590</v>
      </c>
      <c r="B248" s="1" t="s">
        <v>591</v>
      </c>
      <c r="C248" s="1" t="s">
        <v>20</v>
      </c>
      <c r="D248" s="1" t="s">
        <v>14</v>
      </c>
      <c r="E248" s="1" t="s">
        <v>15</v>
      </c>
      <c r="F248" s="1" t="s">
        <v>16</v>
      </c>
      <c r="G248" s="1" t="s">
        <v>17</v>
      </c>
      <c r="H248" s="2"/>
      <c r="I248" s="2"/>
      <c r="J248" s="2"/>
      <c r="K248" s="2"/>
    </row>
    <row x14ac:dyDescent="0.25" r="249" customHeight="1" ht="17.25">
      <c r="A249" s="1" t="s">
        <v>592</v>
      </c>
      <c r="B249" s="1" t="s">
        <v>593</v>
      </c>
      <c r="C249" s="1" t="s">
        <v>231</v>
      </c>
      <c r="D249" s="1" t="s">
        <v>14</v>
      </c>
      <c r="E249" s="1" t="s">
        <v>15</v>
      </c>
      <c r="F249" s="1" t="s">
        <v>16</v>
      </c>
      <c r="G249" s="1" t="s">
        <v>17</v>
      </c>
      <c r="H249" s="2"/>
      <c r="I249" s="2"/>
      <c r="J249" s="2"/>
      <c r="K249" s="2"/>
    </row>
    <row x14ac:dyDescent="0.25" r="250" customHeight="1" ht="17.25">
      <c r="A250" s="1" t="s">
        <v>594</v>
      </c>
      <c r="B250" s="1" t="s">
        <v>595</v>
      </c>
      <c r="C250" s="1" t="s">
        <v>62</v>
      </c>
      <c r="D250" s="1" t="s">
        <v>14</v>
      </c>
      <c r="E250" s="1" t="s">
        <v>15</v>
      </c>
      <c r="F250" s="1" t="s">
        <v>16</v>
      </c>
      <c r="G250" s="1" t="s">
        <v>17</v>
      </c>
      <c r="H250" s="2"/>
      <c r="I250" s="2"/>
      <c r="J250" s="2"/>
      <c r="K250" s="2"/>
    </row>
    <row x14ac:dyDescent="0.25" r="251" customHeight="1" ht="17.25">
      <c r="A251" s="1" t="s">
        <v>596</v>
      </c>
      <c r="B251" s="1" t="s">
        <v>597</v>
      </c>
      <c r="C251" s="1" t="s">
        <v>598</v>
      </c>
      <c r="D251" s="1" t="s">
        <v>14</v>
      </c>
      <c r="E251" s="1" t="s">
        <v>15</v>
      </c>
      <c r="F251" s="1" t="s">
        <v>16</v>
      </c>
      <c r="G251" s="1" t="s">
        <v>17</v>
      </c>
      <c r="H251" s="2"/>
      <c r="I251" s="2"/>
      <c r="J251" s="2"/>
      <c r="K251" s="2"/>
    </row>
    <row x14ac:dyDescent="0.25" r="252" customHeight="1" ht="17.25">
      <c r="A252" s="1" t="s">
        <v>599</v>
      </c>
      <c r="B252" s="1" t="s">
        <v>600</v>
      </c>
      <c r="C252" s="1" t="s">
        <v>175</v>
      </c>
      <c r="D252" s="1" t="s">
        <v>14</v>
      </c>
      <c r="E252" s="1" t="s">
        <v>15</v>
      </c>
      <c r="F252" s="1" t="s">
        <v>16</v>
      </c>
      <c r="G252" s="1" t="s">
        <v>17</v>
      </c>
      <c r="H252" s="2"/>
      <c r="I252" s="2"/>
      <c r="J252" s="2"/>
      <c r="K252" s="2"/>
    </row>
    <row x14ac:dyDescent="0.25" r="253" customHeight="1" ht="17.25">
      <c r="A253" s="1" t="s">
        <v>601</v>
      </c>
      <c r="B253" s="1" t="s">
        <v>602</v>
      </c>
      <c r="C253" s="1" t="s">
        <v>175</v>
      </c>
      <c r="D253" s="1" t="s">
        <v>14</v>
      </c>
      <c r="E253" s="1" t="s">
        <v>15</v>
      </c>
      <c r="F253" s="1" t="s">
        <v>16</v>
      </c>
      <c r="G253" s="1" t="s">
        <v>17</v>
      </c>
      <c r="H253" s="2"/>
      <c r="I253" s="2"/>
      <c r="J253" s="2"/>
      <c r="K253" s="2"/>
    </row>
    <row x14ac:dyDescent="0.25" r="254" customHeight="1" ht="17.25">
      <c r="A254" s="1" t="s">
        <v>603</v>
      </c>
      <c r="B254" s="1" t="s">
        <v>604</v>
      </c>
      <c r="C254" s="1" t="s">
        <v>175</v>
      </c>
      <c r="D254" s="1" t="s">
        <v>14</v>
      </c>
      <c r="E254" s="1" t="s">
        <v>15</v>
      </c>
      <c r="F254" s="1" t="s">
        <v>16</v>
      </c>
      <c r="G254" s="1" t="s">
        <v>17</v>
      </c>
      <c r="H254" s="2"/>
      <c r="I254" s="2"/>
      <c r="J254" s="2"/>
      <c r="K254" s="2"/>
    </row>
    <row x14ac:dyDescent="0.25" r="255" customHeight="1" ht="17.25">
      <c r="A255" s="1" t="s">
        <v>605</v>
      </c>
      <c r="B255" s="1" t="s">
        <v>606</v>
      </c>
      <c r="C255" s="1" t="s">
        <v>175</v>
      </c>
      <c r="D255" s="1" t="s">
        <v>14</v>
      </c>
      <c r="E255" s="1" t="s">
        <v>15</v>
      </c>
      <c r="F255" s="1" t="s">
        <v>16</v>
      </c>
      <c r="G255" s="1" t="s">
        <v>17</v>
      </c>
      <c r="H255" s="2"/>
      <c r="I255" s="2"/>
      <c r="J255" s="2"/>
      <c r="K255" s="2"/>
    </row>
    <row x14ac:dyDescent="0.25" r="256" customHeight="1" ht="17.25">
      <c r="A256" s="1" t="s">
        <v>607</v>
      </c>
      <c r="B256" s="1" t="s">
        <v>608</v>
      </c>
      <c r="C256" s="1" t="s">
        <v>175</v>
      </c>
      <c r="D256" s="1" t="s">
        <v>14</v>
      </c>
      <c r="E256" s="1" t="s">
        <v>15</v>
      </c>
      <c r="F256" s="1" t="s">
        <v>16</v>
      </c>
      <c r="G256" s="1" t="s">
        <v>17</v>
      </c>
      <c r="H256" s="2"/>
      <c r="I256" s="2"/>
      <c r="J256" s="2"/>
      <c r="K256" s="2"/>
    </row>
    <row x14ac:dyDescent="0.25" r="257" customHeight="1" ht="17.25">
      <c r="A257" s="1" t="s">
        <v>609</v>
      </c>
      <c r="B257" s="1" t="s">
        <v>610</v>
      </c>
      <c r="C257" s="1" t="s">
        <v>20</v>
      </c>
      <c r="D257" s="1" t="s">
        <v>14</v>
      </c>
      <c r="E257" s="1" t="s">
        <v>15</v>
      </c>
      <c r="F257" s="1" t="s">
        <v>16</v>
      </c>
      <c r="G257" s="1" t="s">
        <v>17</v>
      </c>
      <c r="H257" s="2"/>
      <c r="I257" s="2"/>
      <c r="J257" s="2"/>
      <c r="K257" s="2"/>
    </row>
    <row x14ac:dyDescent="0.25" r="258" customHeight="1" ht="17.25">
      <c r="A258" s="1" t="s">
        <v>611</v>
      </c>
      <c r="B258" s="1" t="s">
        <v>612</v>
      </c>
      <c r="C258" s="1" t="s">
        <v>20</v>
      </c>
      <c r="D258" s="1" t="s">
        <v>14</v>
      </c>
      <c r="E258" s="1" t="s">
        <v>15</v>
      </c>
      <c r="F258" s="1" t="s">
        <v>16</v>
      </c>
      <c r="G258" s="1" t="s">
        <v>17</v>
      </c>
      <c r="H258" s="2"/>
      <c r="I258" s="2"/>
      <c r="J258" s="2"/>
      <c r="K258" s="2"/>
    </row>
    <row x14ac:dyDescent="0.25" r="259" customHeight="1" ht="17.25">
      <c r="A259" s="1" t="s">
        <v>613</v>
      </c>
      <c r="B259" s="1" t="s">
        <v>614</v>
      </c>
      <c r="C259" s="1" t="s">
        <v>185</v>
      </c>
      <c r="D259" s="1" t="s">
        <v>14</v>
      </c>
      <c r="E259" s="1" t="s">
        <v>15</v>
      </c>
      <c r="F259" s="1" t="s">
        <v>16</v>
      </c>
      <c r="G259" s="1" t="s">
        <v>17</v>
      </c>
      <c r="H259" s="2"/>
      <c r="I259" s="2"/>
      <c r="J259" s="2"/>
      <c r="K259" s="2"/>
    </row>
    <row x14ac:dyDescent="0.25" r="260" customHeight="1" ht="17.25">
      <c r="A260" s="1" t="s">
        <v>615</v>
      </c>
      <c r="B260" s="1" t="s">
        <v>616</v>
      </c>
      <c r="C260" s="1" t="s">
        <v>20</v>
      </c>
      <c r="D260" s="1" t="s">
        <v>14</v>
      </c>
      <c r="E260" s="1" t="s">
        <v>15</v>
      </c>
      <c r="F260" s="1" t="s">
        <v>16</v>
      </c>
      <c r="G260" s="1" t="s">
        <v>17</v>
      </c>
      <c r="H260" s="2"/>
      <c r="I260" s="2"/>
      <c r="J260" s="2"/>
      <c r="K260" s="2"/>
    </row>
    <row x14ac:dyDescent="0.25" r="261" customHeight="1" ht="17.25">
      <c r="A261" s="1" t="s">
        <v>617</v>
      </c>
      <c r="B261" s="1" t="s">
        <v>618</v>
      </c>
      <c r="C261" s="1" t="s">
        <v>619</v>
      </c>
      <c r="D261" s="1" t="s">
        <v>14</v>
      </c>
      <c r="E261" s="1" t="s">
        <v>15</v>
      </c>
      <c r="F261" s="1" t="s">
        <v>16</v>
      </c>
      <c r="G261" s="1" t="s">
        <v>17</v>
      </c>
      <c r="H261" s="2"/>
      <c r="I261" s="2"/>
      <c r="J261" s="2"/>
      <c r="K261" s="2"/>
    </row>
    <row x14ac:dyDescent="0.25" r="262" customHeight="1" ht="17.25">
      <c r="A262" s="1" t="s">
        <v>620</v>
      </c>
      <c r="B262" s="1" t="s">
        <v>621</v>
      </c>
      <c r="C262" s="1" t="s">
        <v>619</v>
      </c>
      <c r="D262" s="1" t="s">
        <v>14</v>
      </c>
      <c r="E262" s="1" t="s">
        <v>15</v>
      </c>
      <c r="F262" s="1" t="s">
        <v>16</v>
      </c>
      <c r="G262" s="1" t="s">
        <v>17</v>
      </c>
      <c r="H262" s="2"/>
      <c r="I262" s="2"/>
      <c r="J262" s="2"/>
      <c r="K262" s="2"/>
    </row>
    <row x14ac:dyDescent="0.25" r="263" customHeight="1" ht="17.25">
      <c r="A263" s="1" t="s">
        <v>622</v>
      </c>
      <c r="B263" s="1" t="s">
        <v>623</v>
      </c>
      <c r="C263" s="1" t="s">
        <v>453</v>
      </c>
      <c r="D263" s="1" t="s">
        <v>14</v>
      </c>
      <c r="E263" s="1" t="s">
        <v>15</v>
      </c>
      <c r="F263" s="1" t="s">
        <v>16</v>
      </c>
      <c r="G263" s="1" t="s">
        <v>17</v>
      </c>
      <c r="H263" s="2"/>
      <c r="I263" s="2"/>
      <c r="J263" s="2"/>
      <c r="K263" s="2"/>
    </row>
    <row x14ac:dyDescent="0.25" r="264" customHeight="1" ht="17.25">
      <c r="A264" s="1" t="s">
        <v>624</v>
      </c>
      <c r="B264" s="1" t="s">
        <v>625</v>
      </c>
      <c r="C264" s="1" t="s">
        <v>384</v>
      </c>
      <c r="D264" s="1" t="s">
        <v>14</v>
      </c>
      <c r="E264" s="1" t="s">
        <v>15</v>
      </c>
      <c r="F264" s="1" t="s">
        <v>16</v>
      </c>
      <c r="G264" s="1" t="s">
        <v>17</v>
      </c>
      <c r="H264" s="2"/>
      <c r="I264" s="2"/>
      <c r="J264" s="2"/>
      <c r="K264" s="2"/>
    </row>
    <row x14ac:dyDescent="0.25" r="265" customHeight="1" ht="17.25">
      <c r="A265" s="1" t="s">
        <v>626</v>
      </c>
      <c r="B265" s="1" t="s">
        <v>627</v>
      </c>
      <c r="C265" s="1" t="s">
        <v>43</v>
      </c>
      <c r="D265" s="1" t="s">
        <v>14</v>
      </c>
      <c r="E265" s="1" t="s">
        <v>15</v>
      </c>
      <c r="F265" s="1" t="s">
        <v>16</v>
      </c>
      <c r="G265" s="1" t="s">
        <v>17</v>
      </c>
      <c r="H265" s="2"/>
      <c r="I265" s="2"/>
      <c r="J265" s="2"/>
      <c r="K265" s="2"/>
    </row>
    <row x14ac:dyDescent="0.25" r="266" customHeight="1" ht="17.25">
      <c r="A266" s="1" t="s">
        <v>628</v>
      </c>
      <c r="B266" s="1" t="s">
        <v>629</v>
      </c>
      <c r="C266" s="1" t="s">
        <v>59</v>
      </c>
      <c r="D266" s="1" t="s">
        <v>14</v>
      </c>
      <c r="E266" s="1" t="s">
        <v>15</v>
      </c>
      <c r="F266" s="1" t="s">
        <v>16</v>
      </c>
      <c r="G266" s="1" t="s">
        <v>17</v>
      </c>
      <c r="H266" s="2"/>
      <c r="I266" s="2"/>
      <c r="J266" s="2"/>
      <c r="K266" s="2"/>
    </row>
    <row x14ac:dyDescent="0.25" r="267" customHeight="1" ht="17.25">
      <c r="A267" s="1" t="s">
        <v>630</v>
      </c>
      <c r="B267" s="1" t="s">
        <v>631</v>
      </c>
      <c r="C267" s="1" t="s">
        <v>632</v>
      </c>
      <c r="D267" s="1" t="s">
        <v>14</v>
      </c>
      <c r="E267" s="1" t="s">
        <v>15</v>
      </c>
      <c r="F267" s="1" t="s">
        <v>16</v>
      </c>
      <c r="G267" s="1" t="s">
        <v>17</v>
      </c>
      <c r="H267" s="2"/>
      <c r="I267" s="2"/>
      <c r="J267" s="2"/>
      <c r="K267" s="2"/>
    </row>
    <row x14ac:dyDescent="0.25" r="268" customHeight="1" ht="17.25">
      <c r="A268" s="1" t="s">
        <v>633</v>
      </c>
      <c r="B268" s="1" t="s">
        <v>634</v>
      </c>
      <c r="C268" s="1" t="s">
        <v>48</v>
      </c>
      <c r="D268" s="1" t="s">
        <v>14</v>
      </c>
      <c r="E268" s="1" t="s">
        <v>15</v>
      </c>
      <c r="F268" s="1" t="s">
        <v>16</v>
      </c>
      <c r="G268" s="1" t="s">
        <v>17</v>
      </c>
      <c r="H268" s="2"/>
      <c r="I268" s="2"/>
      <c r="J268" s="2"/>
      <c r="K268" s="2"/>
    </row>
    <row x14ac:dyDescent="0.25" r="269" customHeight="1" ht="17.25">
      <c r="A269" s="1" t="s">
        <v>635</v>
      </c>
      <c r="B269" s="1" t="s">
        <v>636</v>
      </c>
      <c r="C269" s="1" t="s">
        <v>281</v>
      </c>
      <c r="D269" s="1" t="s">
        <v>14</v>
      </c>
      <c r="E269" s="1" t="s">
        <v>15</v>
      </c>
      <c r="F269" s="1" t="s">
        <v>16</v>
      </c>
      <c r="G269" s="1" t="s">
        <v>17</v>
      </c>
      <c r="H269" s="2"/>
      <c r="I269" s="2"/>
      <c r="J269" s="2"/>
      <c r="K269" s="2"/>
    </row>
    <row x14ac:dyDescent="0.25" r="270" customHeight="1" ht="17.25">
      <c r="A270" s="1" t="s">
        <v>637</v>
      </c>
      <c r="B270" s="1" t="s">
        <v>638</v>
      </c>
      <c r="C270" s="1" t="s">
        <v>62</v>
      </c>
      <c r="D270" s="1" t="s">
        <v>14</v>
      </c>
      <c r="E270" s="1" t="s">
        <v>15</v>
      </c>
      <c r="F270" s="1" t="s">
        <v>16</v>
      </c>
      <c r="G270" s="1" t="s">
        <v>17</v>
      </c>
      <c r="H270" s="2"/>
      <c r="I270" s="2"/>
      <c r="J270" s="2"/>
      <c r="K270" s="2"/>
    </row>
    <row x14ac:dyDescent="0.25" r="271" customHeight="1" ht="17.25">
      <c r="A271" s="1" t="s">
        <v>639</v>
      </c>
      <c r="B271" s="1" t="s">
        <v>640</v>
      </c>
      <c r="C271" s="1" t="s">
        <v>641</v>
      </c>
      <c r="D271" s="1" t="s">
        <v>14</v>
      </c>
      <c r="E271" s="1" t="s">
        <v>15</v>
      </c>
      <c r="F271" s="1" t="s">
        <v>16</v>
      </c>
      <c r="G271" s="1" t="s">
        <v>17</v>
      </c>
      <c r="H271" s="2"/>
      <c r="I271" s="2"/>
      <c r="J271" s="2"/>
      <c r="K271" s="2"/>
    </row>
    <row x14ac:dyDescent="0.25" r="272" customHeight="1" ht="17.25">
      <c r="A272" s="1" t="s">
        <v>642</v>
      </c>
      <c r="B272" s="1" t="s">
        <v>643</v>
      </c>
      <c r="C272" s="1" t="s">
        <v>13</v>
      </c>
      <c r="D272" s="1" t="s">
        <v>14</v>
      </c>
      <c r="E272" s="1" t="s">
        <v>15</v>
      </c>
      <c r="F272" s="1" t="s">
        <v>16</v>
      </c>
      <c r="G272" s="1" t="s">
        <v>17</v>
      </c>
      <c r="H272" s="2"/>
      <c r="I272" s="2"/>
      <c r="J272" s="2"/>
      <c r="K272" s="2"/>
    </row>
    <row x14ac:dyDescent="0.25" r="273" customHeight="1" ht="17.25">
      <c r="A273" s="1" t="s">
        <v>644</v>
      </c>
      <c r="B273" s="1" t="s">
        <v>645</v>
      </c>
      <c r="C273" s="1" t="s">
        <v>23</v>
      </c>
      <c r="D273" s="1" t="s">
        <v>14</v>
      </c>
      <c r="E273" s="1" t="s">
        <v>15</v>
      </c>
      <c r="F273" s="1" t="s">
        <v>16</v>
      </c>
      <c r="G273" s="1" t="s">
        <v>17</v>
      </c>
      <c r="H273" s="2"/>
      <c r="I273" s="2"/>
      <c r="J273" s="2"/>
      <c r="K273" s="2"/>
    </row>
    <row x14ac:dyDescent="0.25" r="274" customHeight="1" ht="17.25">
      <c r="A274" s="1" t="s">
        <v>646</v>
      </c>
      <c r="B274" s="1" t="s">
        <v>647</v>
      </c>
      <c r="C274" s="1" t="s">
        <v>23</v>
      </c>
      <c r="D274" s="1" t="s">
        <v>14</v>
      </c>
      <c r="E274" s="1" t="s">
        <v>15</v>
      </c>
      <c r="F274" s="1" t="s">
        <v>16</v>
      </c>
      <c r="G274" s="1" t="s">
        <v>17</v>
      </c>
      <c r="H274" s="2"/>
      <c r="I274" s="2"/>
      <c r="J274" s="2"/>
      <c r="K274" s="2"/>
    </row>
    <row x14ac:dyDescent="0.25" r="275" customHeight="1" ht="17.25">
      <c r="A275" s="1" t="s">
        <v>648</v>
      </c>
      <c r="B275" s="1" t="s">
        <v>649</v>
      </c>
      <c r="C275" s="1" t="s">
        <v>650</v>
      </c>
      <c r="D275" s="1" t="s">
        <v>14</v>
      </c>
      <c r="E275" s="1" t="s">
        <v>15</v>
      </c>
      <c r="F275" s="1" t="s">
        <v>16</v>
      </c>
      <c r="G275" s="1" t="s">
        <v>17</v>
      </c>
      <c r="H275" s="2"/>
      <c r="I275" s="2"/>
      <c r="J275" s="2"/>
      <c r="K275" s="2"/>
    </row>
    <row x14ac:dyDescent="0.25" r="276" customHeight="1" ht="17.25">
      <c r="A276" s="1" t="s">
        <v>651</v>
      </c>
      <c r="B276" s="1" t="s">
        <v>652</v>
      </c>
      <c r="C276" s="1" t="s">
        <v>48</v>
      </c>
      <c r="D276" s="1" t="s">
        <v>14</v>
      </c>
      <c r="E276" s="1" t="s">
        <v>15</v>
      </c>
      <c r="F276" s="1" t="s">
        <v>16</v>
      </c>
      <c r="G276" s="1" t="s">
        <v>17</v>
      </c>
      <c r="H276" s="2"/>
      <c r="I276" s="2"/>
      <c r="J276" s="2"/>
      <c r="K276" s="2"/>
    </row>
    <row x14ac:dyDescent="0.25" r="277" customHeight="1" ht="17.25">
      <c r="A277" s="1" t="s">
        <v>653</v>
      </c>
      <c r="B277" s="1" t="s">
        <v>654</v>
      </c>
      <c r="C277" s="1" t="s">
        <v>20</v>
      </c>
      <c r="D277" s="1" t="s">
        <v>14</v>
      </c>
      <c r="E277" s="1" t="s">
        <v>15</v>
      </c>
      <c r="F277" s="1" t="s">
        <v>16</v>
      </c>
      <c r="G277" s="1" t="s">
        <v>17</v>
      </c>
      <c r="H277" s="2"/>
      <c r="I277" s="2"/>
      <c r="J277" s="2"/>
      <c r="K277" s="2"/>
    </row>
    <row x14ac:dyDescent="0.25" r="278" customHeight="1" ht="17.25">
      <c r="A278" s="1" t="s">
        <v>655</v>
      </c>
      <c r="B278" s="1" t="s">
        <v>656</v>
      </c>
      <c r="C278" s="1" t="s">
        <v>20</v>
      </c>
      <c r="D278" s="1" t="s">
        <v>14</v>
      </c>
      <c r="E278" s="1" t="s">
        <v>15</v>
      </c>
      <c r="F278" s="1" t="s">
        <v>16</v>
      </c>
      <c r="G278" s="1" t="s">
        <v>17</v>
      </c>
      <c r="H278" s="2"/>
      <c r="I278" s="2"/>
      <c r="J278" s="2"/>
      <c r="K278" s="2"/>
    </row>
    <row x14ac:dyDescent="0.25" r="279" customHeight="1" ht="17.25">
      <c r="A279" s="1" t="s">
        <v>657</v>
      </c>
      <c r="B279" s="1" t="s">
        <v>658</v>
      </c>
      <c r="C279" s="1" t="s">
        <v>20</v>
      </c>
      <c r="D279" s="1" t="s">
        <v>14</v>
      </c>
      <c r="E279" s="1" t="s">
        <v>15</v>
      </c>
      <c r="F279" s="1" t="s">
        <v>16</v>
      </c>
      <c r="G279" s="1" t="s">
        <v>17</v>
      </c>
      <c r="H279" s="2"/>
      <c r="I279" s="2"/>
      <c r="J279" s="2"/>
      <c r="K279" s="2"/>
    </row>
    <row x14ac:dyDescent="0.25" r="280" customHeight="1" ht="17.25">
      <c r="A280" s="1" t="s">
        <v>659</v>
      </c>
      <c r="B280" s="1" t="s">
        <v>660</v>
      </c>
      <c r="C280" s="1" t="s">
        <v>661</v>
      </c>
      <c r="D280" s="1" t="s">
        <v>14</v>
      </c>
      <c r="E280" s="1" t="s">
        <v>15</v>
      </c>
      <c r="F280" s="1" t="s">
        <v>16</v>
      </c>
      <c r="G280" s="1" t="s">
        <v>17</v>
      </c>
      <c r="H280" s="2"/>
      <c r="I280" s="2"/>
      <c r="J280" s="2"/>
      <c r="K280" s="2"/>
    </row>
    <row x14ac:dyDescent="0.25" r="281" customHeight="1" ht="17.25">
      <c r="A281" s="1" t="s">
        <v>662</v>
      </c>
      <c r="B281" s="1" t="s">
        <v>663</v>
      </c>
      <c r="C281" s="1" t="s">
        <v>76</v>
      </c>
      <c r="D281" s="1" t="s">
        <v>14</v>
      </c>
      <c r="E281" s="1" t="s">
        <v>15</v>
      </c>
      <c r="F281" s="1" t="s">
        <v>16</v>
      </c>
      <c r="G281" s="1" t="s">
        <v>17</v>
      </c>
      <c r="H281" s="2"/>
      <c r="I281" s="2"/>
      <c r="J281" s="2"/>
      <c r="K281" s="2"/>
    </row>
    <row x14ac:dyDescent="0.25" r="282" customHeight="1" ht="17.25">
      <c r="A282" s="1" t="s">
        <v>664</v>
      </c>
      <c r="B282" s="1" t="s">
        <v>665</v>
      </c>
      <c r="C282" s="1" t="s">
        <v>20</v>
      </c>
      <c r="D282" s="1" t="s">
        <v>14</v>
      </c>
      <c r="E282" s="1" t="s">
        <v>15</v>
      </c>
      <c r="F282" s="1" t="s">
        <v>16</v>
      </c>
      <c r="G282" s="1" t="s">
        <v>17</v>
      </c>
      <c r="H282" s="2"/>
      <c r="I282" s="2"/>
      <c r="J282" s="2"/>
      <c r="K282" s="2"/>
    </row>
    <row x14ac:dyDescent="0.25" r="283" customHeight="1" ht="17.25">
      <c r="A283" s="1" t="s">
        <v>666</v>
      </c>
      <c r="B283" s="1" t="s">
        <v>667</v>
      </c>
      <c r="C283" s="1" t="s">
        <v>668</v>
      </c>
      <c r="D283" s="1" t="s">
        <v>14</v>
      </c>
      <c r="E283" s="1" t="s">
        <v>15</v>
      </c>
      <c r="F283" s="1" t="s">
        <v>16</v>
      </c>
      <c r="G283" s="1" t="s">
        <v>17</v>
      </c>
      <c r="H283" s="2"/>
      <c r="I283" s="2"/>
      <c r="J283" s="2"/>
      <c r="K283" s="2"/>
    </row>
    <row x14ac:dyDescent="0.25" r="284" customHeight="1" ht="17.25">
      <c r="A284" s="1" t="s">
        <v>669</v>
      </c>
      <c r="B284" s="1" t="s">
        <v>670</v>
      </c>
      <c r="C284" s="1" t="s">
        <v>20</v>
      </c>
      <c r="D284" s="1" t="s">
        <v>14</v>
      </c>
      <c r="E284" s="1" t="s">
        <v>15</v>
      </c>
      <c r="F284" s="1" t="s">
        <v>16</v>
      </c>
      <c r="G284" s="1" t="s">
        <v>17</v>
      </c>
      <c r="H284" s="2"/>
      <c r="I284" s="2"/>
      <c r="J284" s="2"/>
      <c r="K284" s="2"/>
    </row>
    <row x14ac:dyDescent="0.25" r="285" customHeight="1" ht="17.25">
      <c r="A285" s="1" t="s">
        <v>671</v>
      </c>
      <c r="B285" s="1" t="s">
        <v>672</v>
      </c>
      <c r="C285" s="1" t="s">
        <v>59</v>
      </c>
      <c r="D285" s="1" t="s">
        <v>14</v>
      </c>
      <c r="E285" s="1" t="s">
        <v>15</v>
      </c>
      <c r="F285" s="1" t="s">
        <v>16</v>
      </c>
      <c r="G285" s="1" t="s">
        <v>17</v>
      </c>
      <c r="H285" s="2"/>
      <c r="I285" s="2"/>
      <c r="J285" s="2"/>
      <c r="K285" s="2"/>
    </row>
    <row x14ac:dyDescent="0.25" r="286" customHeight="1" ht="17.25">
      <c r="A286" s="1" t="s">
        <v>673</v>
      </c>
      <c r="B286" s="1" t="s">
        <v>674</v>
      </c>
      <c r="C286" s="1" t="s">
        <v>668</v>
      </c>
      <c r="D286" s="1" t="s">
        <v>14</v>
      </c>
      <c r="E286" s="1" t="s">
        <v>15</v>
      </c>
      <c r="F286" s="1" t="s">
        <v>16</v>
      </c>
      <c r="G286" s="1" t="s">
        <v>17</v>
      </c>
      <c r="H286" s="2"/>
      <c r="I286" s="2"/>
      <c r="J286" s="2"/>
      <c r="K286" s="2"/>
    </row>
    <row x14ac:dyDescent="0.25" r="287" customHeight="1" ht="17.25">
      <c r="A287" s="1" t="s">
        <v>675</v>
      </c>
      <c r="B287" s="1" t="s">
        <v>676</v>
      </c>
      <c r="C287" s="1" t="s">
        <v>641</v>
      </c>
      <c r="D287" s="1" t="s">
        <v>14</v>
      </c>
      <c r="E287" s="1" t="s">
        <v>15</v>
      </c>
      <c r="F287" s="1" t="s">
        <v>16</v>
      </c>
      <c r="G287" s="1" t="s">
        <v>17</v>
      </c>
      <c r="H287" s="2"/>
      <c r="I287" s="2"/>
      <c r="J287" s="2"/>
      <c r="K287" s="2"/>
    </row>
    <row x14ac:dyDescent="0.25" r="288" customHeight="1" ht="17.25">
      <c r="A288" s="1" t="s">
        <v>677</v>
      </c>
      <c r="B288" s="1" t="s">
        <v>678</v>
      </c>
      <c r="C288" s="1" t="s">
        <v>62</v>
      </c>
      <c r="D288" s="1" t="s">
        <v>14</v>
      </c>
      <c r="E288" s="1" t="s">
        <v>15</v>
      </c>
      <c r="F288" s="1" t="s">
        <v>16</v>
      </c>
      <c r="G288" s="1" t="s">
        <v>17</v>
      </c>
      <c r="H288" s="2"/>
      <c r="I288" s="2"/>
      <c r="J288" s="2"/>
      <c r="K288" s="2"/>
    </row>
    <row x14ac:dyDescent="0.25" r="289" customHeight="1" ht="17.25">
      <c r="A289" s="1" t="s">
        <v>679</v>
      </c>
      <c r="B289" s="1" t="s">
        <v>680</v>
      </c>
      <c r="C289" s="1" t="s">
        <v>681</v>
      </c>
      <c r="D289" s="1" t="s">
        <v>14</v>
      </c>
      <c r="E289" s="1" t="s">
        <v>15</v>
      </c>
      <c r="F289" s="1" t="s">
        <v>16</v>
      </c>
      <c r="G289" s="1" t="s">
        <v>17</v>
      </c>
      <c r="H289" s="2"/>
      <c r="I289" s="2"/>
      <c r="J289" s="2"/>
      <c r="K289" s="2"/>
    </row>
    <row x14ac:dyDescent="0.25" r="290" customHeight="1" ht="17.25">
      <c r="A290" s="1" t="s">
        <v>682</v>
      </c>
      <c r="B290" s="1" t="s">
        <v>683</v>
      </c>
      <c r="C290" s="1" t="s">
        <v>684</v>
      </c>
      <c r="D290" s="1" t="s">
        <v>14</v>
      </c>
      <c r="E290" s="1" t="s">
        <v>15</v>
      </c>
      <c r="F290" s="1" t="s">
        <v>16</v>
      </c>
      <c r="G290" s="1" t="s">
        <v>17</v>
      </c>
      <c r="H290" s="2"/>
      <c r="I290" s="2"/>
      <c r="J290" s="2"/>
      <c r="K290" s="2"/>
    </row>
    <row x14ac:dyDescent="0.25" r="291" customHeight="1" ht="17.25">
      <c r="A291" s="1" t="s">
        <v>685</v>
      </c>
      <c r="B291" s="1" t="s">
        <v>686</v>
      </c>
      <c r="C291" s="1" t="s">
        <v>598</v>
      </c>
      <c r="D291" s="1" t="s">
        <v>14</v>
      </c>
      <c r="E291" s="1" t="s">
        <v>15</v>
      </c>
      <c r="F291" s="1" t="s">
        <v>16</v>
      </c>
      <c r="G291" s="1" t="s">
        <v>17</v>
      </c>
      <c r="H291" s="2"/>
      <c r="I291" s="2"/>
      <c r="J291" s="2"/>
      <c r="K291" s="2"/>
    </row>
    <row x14ac:dyDescent="0.25" r="292" customHeight="1" ht="17.25">
      <c r="A292" s="1" t="s">
        <v>687</v>
      </c>
      <c r="B292" s="1" t="s">
        <v>688</v>
      </c>
      <c r="C292" s="1" t="s">
        <v>20</v>
      </c>
      <c r="D292" s="1" t="s">
        <v>14</v>
      </c>
      <c r="E292" s="1" t="s">
        <v>15</v>
      </c>
      <c r="F292" s="1" t="s">
        <v>16</v>
      </c>
      <c r="G292" s="1" t="s">
        <v>17</v>
      </c>
      <c r="H292" s="2"/>
      <c r="I292" s="2"/>
      <c r="J292" s="2"/>
      <c r="K292" s="2"/>
    </row>
    <row x14ac:dyDescent="0.25" r="293" customHeight="1" ht="17.25">
      <c r="A293" s="1" t="s">
        <v>689</v>
      </c>
      <c r="B293" s="1" t="s">
        <v>690</v>
      </c>
      <c r="C293" s="1" t="s">
        <v>691</v>
      </c>
      <c r="D293" s="1" t="s">
        <v>14</v>
      </c>
      <c r="E293" s="1" t="s">
        <v>15</v>
      </c>
      <c r="F293" s="1" t="s">
        <v>16</v>
      </c>
      <c r="G293" s="1" t="s">
        <v>17</v>
      </c>
      <c r="H293" s="2"/>
      <c r="I293" s="2"/>
      <c r="J293" s="2"/>
      <c r="K293" s="2"/>
    </row>
    <row x14ac:dyDescent="0.25" r="294" customHeight="1" ht="17.25">
      <c r="A294" s="1" t="s">
        <v>692</v>
      </c>
      <c r="B294" s="1" t="s">
        <v>693</v>
      </c>
      <c r="C294" s="1" t="s">
        <v>219</v>
      </c>
      <c r="D294" s="1" t="s">
        <v>14</v>
      </c>
      <c r="E294" s="1" t="s">
        <v>15</v>
      </c>
      <c r="F294" s="1" t="s">
        <v>16</v>
      </c>
      <c r="G294" s="1" t="s">
        <v>17</v>
      </c>
      <c r="H294" s="2"/>
      <c r="I294" s="2"/>
      <c r="J294" s="2"/>
      <c r="K294" s="2"/>
    </row>
    <row x14ac:dyDescent="0.25" r="295" customHeight="1" ht="17.25">
      <c r="A295" s="1" t="s">
        <v>694</v>
      </c>
      <c r="B295" s="1" t="s">
        <v>695</v>
      </c>
      <c r="C295" s="1" t="s">
        <v>20</v>
      </c>
      <c r="D295" s="1" t="s">
        <v>14</v>
      </c>
      <c r="E295" s="1" t="s">
        <v>15</v>
      </c>
      <c r="F295" s="1" t="s">
        <v>16</v>
      </c>
      <c r="G295" s="1" t="s">
        <v>17</v>
      </c>
      <c r="H295" s="2"/>
      <c r="I295" s="2"/>
      <c r="J295" s="2"/>
      <c r="K295" s="2"/>
    </row>
    <row x14ac:dyDescent="0.25" r="296" customHeight="1" ht="17.25">
      <c r="A296" s="1" t="s">
        <v>696</v>
      </c>
      <c r="B296" s="1" t="s">
        <v>697</v>
      </c>
      <c r="C296" s="1" t="s">
        <v>698</v>
      </c>
      <c r="D296" s="1" t="s">
        <v>14</v>
      </c>
      <c r="E296" s="1" t="s">
        <v>15</v>
      </c>
      <c r="F296" s="1" t="s">
        <v>16</v>
      </c>
      <c r="G296" s="1" t="s">
        <v>17</v>
      </c>
      <c r="H296" s="2"/>
      <c r="I296" s="2"/>
      <c r="J296" s="2"/>
      <c r="K296" s="2"/>
    </row>
    <row x14ac:dyDescent="0.25" r="297" customHeight="1" ht="17.25">
      <c r="A297" s="1" t="s">
        <v>699</v>
      </c>
      <c r="B297" s="1" t="s">
        <v>700</v>
      </c>
      <c r="C297" s="1" t="s">
        <v>20</v>
      </c>
      <c r="D297" s="1" t="s">
        <v>14</v>
      </c>
      <c r="E297" s="1" t="s">
        <v>15</v>
      </c>
      <c r="F297" s="1" t="s">
        <v>16</v>
      </c>
      <c r="G297" s="1" t="s">
        <v>17</v>
      </c>
      <c r="H297" s="2"/>
      <c r="I297" s="2"/>
      <c r="J297" s="2"/>
      <c r="K297" s="2"/>
    </row>
    <row x14ac:dyDescent="0.25" r="298" customHeight="1" ht="17.25">
      <c r="A298" s="1" t="s">
        <v>701</v>
      </c>
      <c r="B298" s="1" t="s">
        <v>702</v>
      </c>
      <c r="C298" s="1" t="s">
        <v>20</v>
      </c>
      <c r="D298" s="1" t="s">
        <v>14</v>
      </c>
      <c r="E298" s="1" t="s">
        <v>15</v>
      </c>
      <c r="F298" s="1" t="s">
        <v>16</v>
      </c>
      <c r="G298" s="1" t="s">
        <v>17</v>
      </c>
      <c r="H298" s="2"/>
      <c r="I298" s="2"/>
      <c r="J298" s="2"/>
      <c r="K298" s="2"/>
    </row>
    <row x14ac:dyDescent="0.25" r="299" customHeight="1" ht="17.25">
      <c r="A299" s="1" t="s">
        <v>703</v>
      </c>
      <c r="B299" s="1" t="s">
        <v>704</v>
      </c>
      <c r="C299" s="1" t="s">
        <v>698</v>
      </c>
      <c r="D299" s="1" t="s">
        <v>14</v>
      </c>
      <c r="E299" s="1" t="s">
        <v>15</v>
      </c>
      <c r="F299" s="1" t="s">
        <v>16</v>
      </c>
      <c r="G299" s="1" t="s">
        <v>17</v>
      </c>
      <c r="H299" s="2"/>
      <c r="I299" s="2"/>
      <c r="J299" s="2"/>
      <c r="K299" s="2"/>
    </row>
    <row x14ac:dyDescent="0.25" r="300" customHeight="1" ht="17.25">
      <c r="A300" s="1" t="s">
        <v>705</v>
      </c>
      <c r="B300" s="1" t="s">
        <v>706</v>
      </c>
      <c r="C300" s="1" t="s">
        <v>20</v>
      </c>
      <c r="D300" s="1" t="s">
        <v>14</v>
      </c>
      <c r="E300" s="1" t="s">
        <v>15</v>
      </c>
      <c r="F300" s="1" t="s">
        <v>16</v>
      </c>
      <c r="G300" s="1" t="s">
        <v>17</v>
      </c>
      <c r="H300" s="2"/>
      <c r="I300" s="2"/>
      <c r="J300" s="2"/>
      <c r="K300" s="2"/>
    </row>
    <row x14ac:dyDescent="0.25" r="301" customHeight="1" ht="17.25">
      <c r="A301" s="1" t="s">
        <v>707</v>
      </c>
      <c r="B301" s="1" t="s">
        <v>708</v>
      </c>
      <c r="C301" s="1" t="s">
        <v>135</v>
      </c>
      <c r="D301" s="1" t="s">
        <v>14</v>
      </c>
      <c r="E301" s="1" t="s">
        <v>15</v>
      </c>
      <c r="F301" s="1" t="s">
        <v>16</v>
      </c>
      <c r="G301" s="1" t="s">
        <v>17</v>
      </c>
      <c r="H301" s="2"/>
      <c r="I301" s="2"/>
      <c r="J301" s="2"/>
      <c r="K301" s="2"/>
    </row>
    <row x14ac:dyDescent="0.25" r="302" customHeight="1" ht="17.25">
      <c r="A302" s="1" t="s">
        <v>709</v>
      </c>
      <c r="B302" s="1" t="s">
        <v>710</v>
      </c>
      <c r="C302" s="1" t="s">
        <v>711</v>
      </c>
      <c r="D302" s="1" t="s">
        <v>14</v>
      </c>
      <c r="E302" s="1" t="s">
        <v>15</v>
      </c>
      <c r="F302" s="1" t="s">
        <v>16</v>
      </c>
      <c r="G302" s="1" t="s">
        <v>17</v>
      </c>
      <c r="H302" s="2"/>
      <c r="I302" s="2"/>
      <c r="J302" s="2"/>
      <c r="K302" s="2"/>
    </row>
    <row x14ac:dyDescent="0.25" r="303" customHeight="1" ht="17.25">
      <c r="A303" s="1" t="s">
        <v>712</v>
      </c>
      <c r="B303" s="1" t="s">
        <v>713</v>
      </c>
      <c r="C303" s="1" t="s">
        <v>20</v>
      </c>
      <c r="D303" s="1" t="s">
        <v>14</v>
      </c>
      <c r="E303" s="1" t="s">
        <v>15</v>
      </c>
      <c r="F303" s="1" t="s">
        <v>16</v>
      </c>
      <c r="G303" s="1" t="s">
        <v>17</v>
      </c>
      <c r="H303" s="2"/>
      <c r="I303" s="2"/>
      <c r="J303" s="2"/>
      <c r="K303" s="2"/>
    </row>
    <row x14ac:dyDescent="0.25" r="304" customHeight="1" ht="17.25">
      <c r="A304" s="1" t="s">
        <v>714</v>
      </c>
      <c r="B304" s="1" t="s">
        <v>715</v>
      </c>
      <c r="C304" s="1" t="s">
        <v>371</v>
      </c>
      <c r="D304" s="1" t="s">
        <v>14</v>
      </c>
      <c r="E304" s="1" t="s">
        <v>15</v>
      </c>
      <c r="F304" s="1" t="s">
        <v>16</v>
      </c>
      <c r="G304" s="1" t="s">
        <v>17</v>
      </c>
      <c r="H304" s="2"/>
      <c r="I304" s="2"/>
      <c r="J304" s="2"/>
      <c r="K304" s="2"/>
    </row>
    <row x14ac:dyDescent="0.25" r="305" customHeight="1" ht="17.25">
      <c r="A305" s="1" t="s">
        <v>716</v>
      </c>
      <c r="B305" s="1" t="s">
        <v>717</v>
      </c>
      <c r="C305" s="1" t="s">
        <v>114</v>
      </c>
      <c r="D305" s="1" t="s">
        <v>14</v>
      </c>
      <c r="E305" s="1" t="s">
        <v>15</v>
      </c>
      <c r="F305" s="1" t="s">
        <v>16</v>
      </c>
      <c r="G305" s="1" t="s">
        <v>17</v>
      </c>
      <c r="H305" s="2"/>
      <c r="I305" s="2"/>
      <c r="J305" s="2"/>
      <c r="K305" s="2"/>
    </row>
    <row x14ac:dyDescent="0.25" r="306" customHeight="1" ht="17.25">
      <c r="A306" s="1" t="s">
        <v>718</v>
      </c>
      <c r="B306" s="1" t="s">
        <v>719</v>
      </c>
      <c r="C306" s="1" t="s">
        <v>422</v>
      </c>
      <c r="D306" s="1" t="s">
        <v>14</v>
      </c>
      <c r="E306" s="1" t="s">
        <v>15</v>
      </c>
      <c r="F306" s="1" t="s">
        <v>16</v>
      </c>
      <c r="G306" s="1" t="s">
        <v>17</v>
      </c>
      <c r="H306" s="2"/>
      <c r="I306" s="2"/>
      <c r="J306" s="2"/>
      <c r="K306" s="2"/>
    </row>
    <row x14ac:dyDescent="0.25" r="307" customHeight="1" ht="17.25">
      <c r="A307" s="1" t="s">
        <v>720</v>
      </c>
      <c r="B307" s="1" t="s">
        <v>721</v>
      </c>
      <c r="C307" s="1" t="s">
        <v>20</v>
      </c>
      <c r="D307" s="1" t="s">
        <v>14</v>
      </c>
      <c r="E307" s="1" t="s">
        <v>15</v>
      </c>
      <c r="F307" s="1" t="s">
        <v>16</v>
      </c>
      <c r="G307" s="1" t="s">
        <v>17</v>
      </c>
      <c r="H307" s="2"/>
      <c r="I307" s="2"/>
      <c r="J307" s="2"/>
      <c r="K307" s="2"/>
    </row>
    <row x14ac:dyDescent="0.25" r="308" customHeight="1" ht="17.25">
      <c r="A308" s="1" t="s">
        <v>722</v>
      </c>
      <c r="B308" s="1" t="s">
        <v>723</v>
      </c>
      <c r="C308" s="1" t="s">
        <v>135</v>
      </c>
      <c r="D308" s="1" t="s">
        <v>14</v>
      </c>
      <c r="E308" s="1" t="s">
        <v>15</v>
      </c>
      <c r="F308" s="1" t="s">
        <v>16</v>
      </c>
      <c r="G308" s="1" t="s">
        <v>17</v>
      </c>
      <c r="H308" s="2"/>
      <c r="I308" s="2"/>
      <c r="J308" s="2"/>
      <c r="K308" s="2"/>
    </row>
    <row x14ac:dyDescent="0.25" r="309" customHeight="1" ht="17.25">
      <c r="A309" s="1" t="s">
        <v>724</v>
      </c>
      <c r="B309" s="1" t="s">
        <v>725</v>
      </c>
      <c r="C309" s="1" t="s">
        <v>20</v>
      </c>
      <c r="D309" s="1" t="s">
        <v>14</v>
      </c>
      <c r="E309" s="1" t="s">
        <v>15</v>
      </c>
      <c r="F309" s="1" t="s">
        <v>16</v>
      </c>
      <c r="G309" s="1" t="s">
        <v>17</v>
      </c>
      <c r="H309" s="2"/>
      <c r="I309" s="2"/>
      <c r="J309" s="2"/>
      <c r="K309" s="2"/>
    </row>
    <row x14ac:dyDescent="0.25" r="310" customHeight="1" ht="17.25">
      <c r="A310" s="1" t="s">
        <v>726</v>
      </c>
      <c r="B310" s="1" t="s">
        <v>727</v>
      </c>
      <c r="C310" s="1" t="s">
        <v>20</v>
      </c>
      <c r="D310" s="1" t="s">
        <v>14</v>
      </c>
      <c r="E310" s="1" t="s">
        <v>15</v>
      </c>
      <c r="F310" s="1" t="s">
        <v>16</v>
      </c>
      <c r="G310" s="1" t="s">
        <v>17</v>
      </c>
      <c r="H310" s="2"/>
      <c r="I310" s="2"/>
      <c r="J310" s="2"/>
      <c r="K310" s="2"/>
    </row>
    <row x14ac:dyDescent="0.25" r="311" customHeight="1" ht="17.25">
      <c r="A311" s="1" t="s">
        <v>728</v>
      </c>
      <c r="B311" s="1" t="s">
        <v>729</v>
      </c>
      <c r="C311" s="1" t="s">
        <v>20</v>
      </c>
      <c r="D311" s="1" t="s">
        <v>14</v>
      </c>
      <c r="E311" s="1" t="s">
        <v>15</v>
      </c>
      <c r="F311" s="1" t="s">
        <v>16</v>
      </c>
      <c r="G311" s="1" t="s">
        <v>17</v>
      </c>
      <c r="H311" s="2"/>
      <c r="I311" s="2"/>
      <c r="J311" s="2"/>
      <c r="K311" s="2"/>
    </row>
    <row x14ac:dyDescent="0.25" r="312" customHeight="1" ht="17.25">
      <c r="A312" s="1" t="s">
        <v>730</v>
      </c>
      <c r="B312" s="1" t="s">
        <v>731</v>
      </c>
      <c r="C312" s="1" t="s">
        <v>20</v>
      </c>
      <c r="D312" s="1" t="s">
        <v>14</v>
      </c>
      <c r="E312" s="1" t="s">
        <v>15</v>
      </c>
      <c r="F312" s="1" t="s">
        <v>16</v>
      </c>
      <c r="G312" s="1" t="s">
        <v>17</v>
      </c>
      <c r="H312" s="2"/>
      <c r="I312" s="2"/>
      <c r="J312" s="2"/>
      <c r="K312" s="2"/>
    </row>
    <row x14ac:dyDescent="0.25" r="313" customHeight="1" ht="17.25">
      <c r="A313" s="1" t="s">
        <v>732</v>
      </c>
      <c r="B313" s="1" t="s">
        <v>733</v>
      </c>
      <c r="C313" s="1" t="s">
        <v>231</v>
      </c>
      <c r="D313" s="1" t="s">
        <v>14</v>
      </c>
      <c r="E313" s="1" t="s">
        <v>15</v>
      </c>
      <c r="F313" s="1" t="s">
        <v>16</v>
      </c>
      <c r="G313" s="1" t="s">
        <v>17</v>
      </c>
      <c r="H313" s="2"/>
      <c r="I313" s="2"/>
      <c r="J313" s="2"/>
      <c r="K313" s="2"/>
    </row>
    <row x14ac:dyDescent="0.25" r="314" customHeight="1" ht="17.25">
      <c r="A314" s="1" t="s">
        <v>734</v>
      </c>
      <c r="B314" s="1" t="s">
        <v>735</v>
      </c>
      <c r="C314" s="1" t="s">
        <v>20</v>
      </c>
      <c r="D314" s="1" t="s">
        <v>14</v>
      </c>
      <c r="E314" s="1" t="s">
        <v>15</v>
      </c>
      <c r="F314" s="1" t="s">
        <v>16</v>
      </c>
      <c r="G314" s="1" t="s">
        <v>17</v>
      </c>
      <c r="H314" s="2"/>
      <c r="I314" s="2"/>
      <c r="J314" s="2"/>
      <c r="K314" s="2"/>
    </row>
    <row x14ac:dyDescent="0.25" r="315" customHeight="1" ht="17.25">
      <c r="A315" s="1" t="s">
        <v>736</v>
      </c>
      <c r="B315" s="1" t="s">
        <v>737</v>
      </c>
      <c r="C315" s="1" t="s">
        <v>522</v>
      </c>
      <c r="D315" s="1" t="s">
        <v>14</v>
      </c>
      <c r="E315" s="1" t="s">
        <v>15</v>
      </c>
      <c r="F315" s="1" t="s">
        <v>16</v>
      </c>
      <c r="G315" s="1" t="s">
        <v>17</v>
      </c>
      <c r="H315" s="2"/>
      <c r="I315" s="2"/>
      <c r="J315" s="2"/>
      <c r="K315" s="2"/>
    </row>
    <row x14ac:dyDescent="0.25" r="316" customHeight="1" ht="17.25">
      <c r="A316" s="1" t="s">
        <v>738</v>
      </c>
      <c r="B316" s="1" t="s">
        <v>739</v>
      </c>
      <c r="C316" s="1" t="s">
        <v>191</v>
      </c>
      <c r="D316" s="1" t="s">
        <v>14</v>
      </c>
      <c r="E316" s="1" t="s">
        <v>15</v>
      </c>
      <c r="F316" s="1" t="s">
        <v>16</v>
      </c>
      <c r="G316" s="1" t="s">
        <v>17</v>
      </c>
      <c r="H316" s="2"/>
      <c r="I316" s="2"/>
      <c r="J316" s="2"/>
      <c r="K316" s="2"/>
    </row>
    <row x14ac:dyDescent="0.25" r="317" customHeight="1" ht="17.25">
      <c r="A317" s="1" t="s">
        <v>740</v>
      </c>
      <c r="B317" s="1" t="s">
        <v>741</v>
      </c>
      <c r="C317" s="1" t="s">
        <v>30</v>
      </c>
      <c r="D317" s="1" t="s">
        <v>14</v>
      </c>
      <c r="E317" s="1" t="s">
        <v>15</v>
      </c>
      <c r="F317" s="1" t="s">
        <v>16</v>
      </c>
      <c r="G317" s="1" t="s">
        <v>17</v>
      </c>
      <c r="H317" s="2"/>
      <c r="I317" s="2"/>
      <c r="J317" s="2"/>
      <c r="K317" s="2"/>
    </row>
    <row x14ac:dyDescent="0.25" r="318" customHeight="1" ht="17.25">
      <c r="A318" s="1" t="s">
        <v>742</v>
      </c>
      <c r="B318" s="1" t="s">
        <v>743</v>
      </c>
      <c r="C318" s="1" t="s">
        <v>20</v>
      </c>
      <c r="D318" s="1" t="s">
        <v>14</v>
      </c>
      <c r="E318" s="1" t="s">
        <v>15</v>
      </c>
      <c r="F318" s="1" t="s">
        <v>16</v>
      </c>
      <c r="G318" s="1" t="s">
        <v>17</v>
      </c>
      <c r="H318" s="2"/>
      <c r="I318" s="2"/>
      <c r="J318" s="2"/>
      <c r="K318" s="2"/>
    </row>
    <row x14ac:dyDescent="0.25" r="319" customHeight="1" ht="17.25">
      <c r="A319" s="1" t="s">
        <v>744</v>
      </c>
      <c r="B319" s="1" t="s">
        <v>745</v>
      </c>
      <c r="C319" s="1" t="s">
        <v>20</v>
      </c>
      <c r="D319" s="1" t="s">
        <v>14</v>
      </c>
      <c r="E319" s="1" t="s">
        <v>15</v>
      </c>
      <c r="F319" s="1" t="s">
        <v>16</v>
      </c>
      <c r="G319" s="1" t="s">
        <v>17</v>
      </c>
      <c r="H319" s="2"/>
      <c r="I319" s="2"/>
      <c r="J319" s="2"/>
      <c r="K319" s="2"/>
    </row>
    <row x14ac:dyDescent="0.25" r="320" customHeight="1" ht="17.25">
      <c r="A320" s="1" t="s">
        <v>746</v>
      </c>
      <c r="B320" s="1" t="s">
        <v>747</v>
      </c>
      <c r="C320" s="1" t="s">
        <v>162</v>
      </c>
      <c r="D320" s="1" t="s">
        <v>14</v>
      </c>
      <c r="E320" s="1" t="s">
        <v>15</v>
      </c>
      <c r="F320" s="1" t="s">
        <v>16</v>
      </c>
      <c r="G320" s="1" t="s">
        <v>17</v>
      </c>
      <c r="H320" s="2"/>
      <c r="I320" s="2"/>
      <c r="J320" s="2"/>
      <c r="K320" s="2"/>
    </row>
    <row x14ac:dyDescent="0.25" r="321" customHeight="1" ht="17.25">
      <c r="A321" s="1" t="s">
        <v>748</v>
      </c>
      <c r="B321" s="1" t="s">
        <v>749</v>
      </c>
      <c r="C321" s="1" t="s">
        <v>20</v>
      </c>
      <c r="D321" s="1" t="s">
        <v>14</v>
      </c>
      <c r="E321" s="1" t="s">
        <v>15</v>
      </c>
      <c r="F321" s="1" t="s">
        <v>16</v>
      </c>
      <c r="G321" s="1" t="s">
        <v>17</v>
      </c>
      <c r="H321" s="2"/>
      <c r="I321" s="2"/>
      <c r="J321" s="2"/>
      <c r="K321" s="2"/>
    </row>
    <row x14ac:dyDescent="0.25" r="322" customHeight="1" ht="17.25">
      <c r="A322" s="1" t="s">
        <v>750</v>
      </c>
      <c r="B322" s="1" t="s">
        <v>751</v>
      </c>
      <c r="C322" s="1" t="s">
        <v>30</v>
      </c>
      <c r="D322" s="1" t="s">
        <v>14</v>
      </c>
      <c r="E322" s="1" t="s">
        <v>15</v>
      </c>
      <c r="F322" s="1" t="s">
        <v>16</v>
      </c>
      <c r="G322" s="1" t="s">
        <v>17</v>
      </c>
      <c r="H322" s="2"/>
      <c r="I322" s="2"/>
      <c r="J322" s="2"/>
      <c r="K322" s="2"/>
    </row>
    <row x14ac:dyDescent="0.25" r="323" customHeight="1" ht="17.25">
      <c r="A323" s="1" t="s">
        <v>752</v>
      </c>
      <c r="B323" s="1" t="s">
        <v>753</v>
      </c>
      <c r="C323" s="1" t="s">
        <v>20</v>
      </c>
      <c r="D323" s="1" t="s">
        <v>14</v>
      </c>
      <c r="E323" s="1" t="s">
        <v>15</v>
      </c>
      <c r="F323" s="1" t="s">
        <v>16</v>
      </c>
      <c r="G323" s="1" t="s">
        <v>17</v>
      </c>
      <c r="H323" s="2"/>
      <c r="I323" s="2"/>
      <c r="J323" s="2"/>
      <c r="K323" s="2"/>
    </row>
    <row x14ac:dyDescent="0.25" r="324" customHeight="1" ht="17.25">
      <c r="A324" s="1" t="s">
        <v>754</v>
      </c>
      <c r="B324" s="1" t="s">
        <v>755</v>
      </c>
      <c r="C324" s="1" t="s">
        <v>756</v>
      </c>
      <c r="D324" s="1" t="s">
        <v>14</v>
      </c>
      <c r="E324" s="1" t="s">
        <v>15</v>
      </c>
      <c r="F324" s="1" t="s">
        <v>16</v>
      </c>
      <c r="G324" s="1" t="s">
        <v>17</v>
      </c>
      <c r="H324" s="2"/>
      <c r="I324" s="2"/>
      <c r="J324" s="2"/>
      <c r="K324" s="2"/>
    </row>
    <row x14ac:dyDescent="0.25" r="325" customHeight="1" ht="17.25">
      <c r="A325" s="1" t="s">
        <v>757</v>
      </c>
      <c r="B325" s="1" t="s">
        <v>758</v>
      </c>
      <c r="C325" s="1" t="s">
        <v>62</v>
      </c>
      <c r="D325" s="1" t="s">
        <v>14</v>
      </c>
      <c r="E325" s="1" t="s">
        <v>15</v>
      </c>
      <c r="F325" s="1" t="s">
        <v>16</v>
      </c>
      <c r="G325" s="1" t="s">
        <v>17</v>
      </c>
      <c r="H325" s="2"/>
      <c r="I325" s="2"/>
      <c r="J325" s="2"/>
      <c r="K325" s="2"/>
    </row>
    <row x14ac:dyDescent="0.25" r="326" customHeight="1" ht="17.25">
      <c r="A326" s="1" t="s">
        <v>759</v>
      </c>
      <c r="B326" s="1" t="s">
        <v>760</v>
      </c>
      <c r="C326" s="1" t="s">
        <v>482</v>
      </c>
      <c r="D326" s="1" t="s">
        <v>14</v>
      </c>
      <c r="E326" s="1" t="s">
        <v>15</v>
      </c>
      <c r="F326" s="1" t="s">
        <v>16</v>
      </c>
      <c r="G326" s="1" t="s">
        <v>17</v>
      </c>
      <c r="H326" s="2"/>
      <c r="I326" s="2"/>
      <c r="J326" s="2"/>
      <c r="K326" s="2"/>
    </row>
    <row x14ac:dyDescent="0.25" r="327" customHeight="1" ht="17.25">
      <c r="A327" s="1" t="s">
        <v>761</v>
      </c>
      <c r="B327" s="1" t="s">
        <v>762</v>
      </c>
      <c r="C327" s="1" t="s">
        <v>20</v>
      </c>
      <c r="D327" s="1" t="s">
        <v>14</v>
      </c>
      <c r="E327" s="1" t="s">
        <v>15</v>
      </c>
      <c r="F327" s="1" t="s">
        <v>16</v>
      </c>
      <c r="G327" s="1" t="s">
        <v>17</v>
      </c>
      <c r="H327" s="2"/>
      <c r="I327" s="2"/>
      <c r="J327" s="2"/>
      <c r="K327" s="2"/>
    </row>
    <row x14ac:dyDescent="0.25" r="328" customHeight="1" ht="17.25">
      <c r="A328" s="1" t="s">
        <v>763</v>
      </c>
      <c r="B328" s="1" t="s">
        <v>764</v>
      </c>
      <c r="C328" s="1" t="s">
        <v>765</v>
      </c>
      <c r="D328" s="1" t="s">
        <v>14</v>
      </c>
      <c r="E328" s="1" t="s">
        <v>15</v>
      </c>
      <c r="F328" s="1" t="s">
        <v>16</v>
      </c>
      <c r="G328" s="1" t="s">
        <v>17</v>
      </c>
      <c r="H328" s="2"/>
      <c r="I328" s="2"/>
      <c r="J328" s="2"/>
      <c r="K328" s="2"/>
    </row>
    <row x14ac:dyDescent="0.25" r="329" customHeight="1" ht="17.25">
      <c r="A329" s="1" t="s">
        <v>766</v>
      </c>
      <c r="B329" s="1" t="s">
        <v>767</v>
      </c>
      <c r="C329" s="1" t="s">
        <v>384</v>
      </c>
      <c r="D329" s="1" t="s">
        <v>14</v>
      </c>
      <c r="E329" s="1" t="s">
        <v>15</v>
      </c>
      <c r="F329" s="1" t="s">
        <v>16</v>
      </c>
      <c r="G329" s="1" t="s">
        <v>17</v>
      </c>
      <c r="H329" s="2"/>
      <c r="I329" s="2"/>
      <c r="J329" s="2"/>
      <c r="K329" s="2"/>
    </row>
    <row x14ac:dyDescent="0.25" r="330" customHeight="1" ht="17.25">
      <c r="A330" s="1" t="s">
        <v>768</v>
      </c>
      <c r="B330" s="1" t="s">
        <v>769</v>
      </c>
      <c r="C330" s="1" t="s">
        <v>770</v>
      </c>
      <c r="D330" s="1" t="s">
        <v>14</v>
      </c>
      <c r="E330" s="1" t="s">
        <v>15</v>
      </c>
      <c r="F330" s="1" t="s">
        <v>16</v>
      </c>
      <c r="G330" s="1" t="s">
        <v>17</v>
      </c>
      <c r="H330" s="2"/>
      <c r="I330" s="2"/>
      <c r="J330" s="2"/>
      <c r="K330" s="2"/>
    </row>
    <row x14ac:dyDescent="0.25" r="331" customHeight="1" ht="17.25">
      <c r="A331" s="1" t="s">
        <v>771</v>
      </c>
      <c r="B331" s="1" t="s">
        <v>772</v>
      </c>
      <c r="C331" s="1" t="s">
        <v>773</v>
      </c>
      <c r="D331" s="1" t="s">
        <v>14</v>
      </c>
      <c r="E331" s="1" t="s">
        <v>15</v>
      </c>
      <c r="F331" s="1" t="s">
        <v>16</v>
      </c>
      <c r="G331" s="1" t="s">
        <v>17</v>
      </c>
      <c r="H331" s="2"/>
      <c r="I331" s="2"/>
      <c r="J331" s="2"/>
      <c r="K331" s="2"/>
    </row>
    <row x14ac:dyDescent="0.25" r="332" customHeight="1" ht="17.25">
      <c r="A332" s="1" t="s">
        <v>774</v>
      </c>
      <c r="B332" s="1" t="s">
        <v>775</v>
      </c>
      <c r="C332" s="1" t="s">
        <v>81</v>
      </c>
      <c r="D332" s="1" t="s">
        <v>14</v>
      </c>
      <c r="E332" s="1" t="s">
        <v>15</v>
      </c>
      <c r="F332" s="1" t="s">
        <v>16</v>
      </c>
      <c r="G332" s="1" t="s">
        <v>17</v>
      </c>
      <c r="H332" s="2"/>
      <c r="I332" s="2"/>
      <c r="J332" s="2"/>
      <c r="K332" s="2"/>
    </row>
    <row x14ac:dyDescent="0.25" r="333" customHeight="1" ht="17.25">
      <c r="A333" s="1" t="s">
        <v>776</v>
      </c>
      <c r="B333" s="1" t="s">
        <v>777</v>
      </c>
      <c r="C333" s="1" t="s">
        <v>149</v>
      </c>
      <c r="D333" s="1" t="s">
        <v>14</v>
      </c>
      <c r="E333" s="1" t="s">
        <v>15</v>
      </c>
      <c r="F333" s="1" t="s">
        <v>16</v>
      </c>
      <c r="G333" s="1" t="s">
        <v>17</v>
      </c>
      <c r="H333" s="2"/>
      <c r="I333" s="2"/>
      <c r="J333" s="2"/>
      <c r="K333" s="2"/>
    </row>
    <row x14ac:dyDescent="0.25" r="334" customHeight="1" ht="17.25">
      <c r="A334" s="1" t="s">
        <v>778</v>
      </c>
      <c r="B334" s="1" t="s">
        <v>779</v>
      </c>
      <c r="C334" s="1" t="s">
        <v>120</v>
      </c>
      <c r="D334" s="1" t="s">
        <v>14</v>
      </c>
      <c r="E334" s="1" t="s">
        <v>15</v>
      </c>
      <c r="F334" s="1" t="s">
        <v>16</v>
      </c>
      <c r="G334" s="1" t="s">
        <v>17</v>
      </c>
      <c r="H334" s="2"/>
      <c r="I334" s="2"/>
      <c r="J334" s="2"/>
      <c r="K334" s="2"/>
    </row>
    <row x14ac:dyDescent="0.25" r="335" customHeight="1" ht="17.25">
      <c r="A335" s="1" t="s">
        <v>780</v>
      </c>
      <c r="B335" s="1" t="s">
        <v>781</v>
      </c>
      <c r="C335" s="1" t="s">
        <v>68</v>
      </c>
      <c r="D335" s="1" t="s">
        <v>14</v>
      </c>
      <c r="E335" s="1" t="s">
        <v>15</v>
      </c>
      <c r="F335" s="1" t="s">
        <v>16</v>
      </c>
      <c r="G335" s="1" t="s">
        <v>17</v>
      </c>
      <c r="H335" s="2"/>
      <c r="I335" s="2"/>
      <c r="J335" s="2"/>
      <c r="K335" s="2"/>
    </row>
    <row x14ac:dyDescent="0.25" r="336" customHeight="1" ht="17.25">
      <c r="A336" s="1" t="s">
        <v>782</v>
      </c>
      <c r="B336" s="1" t="s">
        <v>783</v>
      </c>
      <c r="C336" s="1" t="s">
        <v>784</v>
      </c>
      <c r="D336" s="1" t="s">
        <v>14</v>
      </c>
      <c r="E336" s="1" t="s">
        <v>15</v>
      </c>
      <c r="F336" s="1" t="s">
        <v>16</v>
      </c>
      <c r="G336" s="1" t="s">
        <v>17</v>
      </c>
      <c r="H336" s="2"/>
      <c r="I336" s="2"/>
      <c r="J336" s="2"/>
      <c r="K336" s="2"/>
    </row>
    <row x14ac:dyDescent="0.25" r="337" customHeight="1" ht="17.25">
      <c r="A337" s="1" t="s">
        <v>785</v>
      </c>
      <c r="B337" s="1" t="s">
        <v>786</v>
      </c>
      <c r="C337" s="1" t="s">
        <v>20</v>
      </c>
      <c r="D337" s="1" t="s">
        <v>14</v>
      </c>
      <c r="E337" s="1" t="s">
        <v>15</v>
      </c>
      <c r="F337" s="1" t="s">
        <v>16</v>
      </c>
      <c r="G337" s="1" t="s">
        <v>17</v>
      </c>
      <c r="H337" s="2"/>
      <c r="I337" s="2"/>
      <c r="J337" s="2"/>
      <c r="K337" s="2"/>
    </row>
    <row x14ac:dyDescent="0.25" r="338" customHeight="1" ht="17.25">
      <c r="A338" s="1" t="s">
        <v>787</v>
      </c>
      <c r="B338" s="1" t="s">
        <v>788</v>
      </c>
      <c r="C338" s="1" t="s">
        <v>20</v>
      </c>
      <c r="D338" s="1" t="s">
        <v>14</v>
      </c>
      <c r="E338" s="1" t="s">
        <v>15</v>
      </c>
      <c r="F338" s="1" t="s">
        <v>16</v>
      </c>
      <c r="G338" s="1" t="s">
        <v>17</v>
      </c>
      <c r="H338" s="2"/>
      <c r="I338" s="2"/>
      <c r="J338" s="2"/>
      <c r="K338" s="2"/>
    </row>
    <row x14ac:dyDescent="0.25" r="339" customHeight="1" ht="17.25">
      <c r="A339" s="1" t="s">
        <v>789</v>
      </c>
      <c r="B339" s="1" t="s">
        <v>790</v>
      </c>
      <c r="C339" s="1" t="s">
        <v>20</v>
      </c>
      <c r="D339" s="1" t="s">
        <v>14</v>
      </c>
      <c r="E339" s="1" t="s">
        <v>15</v>
      </c>
      <c r="F339" s="1" t="s">
        <v>16</v>
      </c>
      <c r="G339" s="1" t="s">
        <v>17</v>
      </c>
      <c r="H339" s="2"/>
      <c r="I339" s="2"/>
      <c r="J339" s="2"/>
      <c r="K339" s="2"/>
    </row>
    <row x14ac:dyDescent="0.25" r="340" customHeight="1" ht="17.25">
      <c r="A340" s="1" t="s">
        <v>791</v>
      </c>
      <c r="B340" s="1" t="s">
        <v>792</v>
      </c>
      <c r="C340" s="1" t="s">
        <v>120</v>
      </c>
      <c r="D340" s="1" t="s">
        <v>14</v>
      </c>
      <c r="E340" s="1" t="s">
        <v>15</v>
      </c>
      <c r="F340" s="1" t="s">
        <v>16</v>
      </c>
      <c r="G340" s="1" t="s">
        <v>17</v>
      </c>
      <c r="H340" s="2"/>
      <c r="I340" s="2"/>
      <c r="J340" s="2"/>
      <c r="K340" s="2"/>
    </row>
    <row x14ac:dyDescent="0.25" r="341" customHeight="1" ht="17.25">
      <c r="A341" s="1" t="s">
        <v>793</v>
      </c>
      <c r="B341" s="1" t="s">
        <v>794</v>
      </c>
      <c r="C341" s="1" t="s">
        <v>59</v>
      </c>
      <c r="D341" s="1" t="s">
        <v>14</v>
      </c>
      <c r="E341" s="1" t="s">
        <v>15</v>
      </c>
      <c r="F341" s="1" t="s">
        <v>16</v>
      </c>
      <c r="G341" s="1" t="s">
        <v>17</v>
      </c>
      <c r="H341" s="2"/>
      <c r="I341" s="2"/>
      <c r="J341" s="2"/>
      <c r="K341" s="2"/>
    </row>
    <row x14ac:dyDescent="0.25" r="342" customHeight="1" ht="17.25">
      <c r="A342" s="1" t="s">
        <v>795</v>
      </c>
      <c r="B342" s="1" t="s">
        <v>796</v>
      </c>
      <c r="C342" s="1" t="s">
        <v>20</v>
      </c>
      <c r="D342" s="1" t="s">
        <v>14</v>
      </c>
      <c r="E342" s="1" t="s">
        <v>15</v>
      </c>
      <c r="F342" s="1" t="s">
        <v>16</v>
      </c>
      <c r="G342" s="1" t="s">
        <v>17</v>
      </c>
      <c r="H342" s="2"/>
      <c r="I342" s="2"/>
      <c r="J342" s="2"/>
      <c r="K342" s="2"/>
    </row>
    <row x14ac:dyDescent="0.25" r="343" customHeight="1" ht="17.25">
      <c r="A343" s="1" t="s">
        <v>797</v>
      </c>
      <c r="B343" s="1" t="s">
        <v>798</v>
      </c>
      <c r="C343" s="1" t="s">
        <v>519</v>
      </c>
      <c r="D343" s="1" t="s">
        <v>14</v>
      </c>
      <c r="E343" s="1" t="s">
        <v>15</v>
      </c>
      <c r="F343" s="1" t="s">
        <v>16</v>
      </c>
      <c r="G343" s="1" t="s">
        <v>17</v>
      </c>
      <c r="H343" s="2"/>
      <c r="I343" s="2"/>
      <c r="J343" s="2"/>
      <c r="K343" s="2"/>
    </row>
    <row x14ac:dyDescent="0.25" r="344" customHeight="1" ht="17.25">
      <c r="A344" s="1" t="s">
        <v>799</v>
      </c>
      <c r="B344" s="1" t="s">
        <v>800</v>
      </c>
      <c r="C344" s="1" t="s">
        <v>578</v>
      </c>
      <c r="D344" s="1" t="s">
        <v>14</v>
      </c>
      <c r="E344" s="1" t="s">
        <v>15</v>
      </c>
      <c r="F344" s="1" t="s">
        <v>16</v>
      </c>
      <c r="G344" s="1" t="s">
        <v>17</v>
      </c>
      <c r="H344" s="2"/>
      <c r="I344" s="2"/>
      <c r="J344" s="2"/>
      <c r="K344" s="2"/>
    </row>
    <row x14ac:dyDescent="0.25" r="345" customHeight="1" ht="17.25">
      <c r="A345" s="1" t="s">
        <v>801</v>
      </c>
      <c r="B345" s="1" t="s">
        <v>802</v>
      </c>
      <c r="C345" s="1" t="s">
        <v>30</v>
      </c>
      <c r="D345" s="1" t="s">
        <v>14</v>
      </c>
      <c r="E345" s="1" t="s">
        <v>15</v>
      </c>
      <c r="F345" s="1" t="s">
        <v>16</v>
      </c>
      <c r="G345" s="1" t="s">
        <v>17</v>
      </c>
      <c r="H345" s="2"/>
      <c r="I345" s="2"/>
      <c r="J345" s="2"/>
      <c r="K345" s="2"/>
    </row>
    <row x14ac:dyDescent="0.25" r="346" customHeight="1" ht="17.25">
      <c r="A346" s="1" t="s">
        <v>803</v>
      </c>
      <c r="B346" s="1" t="s">
        <v>804</v>
      </c>
      <c r="C346" s="1" t="s">
        <v>191</v>
      </c>
      <c r="D346" s="1" t="s">
        <v>14</v>
      </c>
      <c r="E346" s="1" t="s">
        <v>15</v>
      </c>
      <c r="F346" s="1" t="s">
        <v>16</v>
      </c>
      <c r="G346" s="1" t="s">
        <v>17</v>
      </c>
      <c r="H346" s="2"/>
      <c r="I346" s="2"/>
      <c r="J346" s="2"/>
      <c r="K346" s="2"/>
    </row>
    <row x14ac:dyDescent="0.25" r="347" customHeight="1" ht="17.25">
      <c r="A347" s="1" t="s">
        <v>805</v>
      </c>
      <c r="B347" s="1" t="s">
        <v>806</v>
      </c>
      <c r="C347" s="1" t="s">
        <v>48</v>
      </c>
      <c r="D347" s="1" t="s">
        <v>14</v>
      </c>
      <c r="E347" s="1" t="s">
        <v>15</v>
      </c>
      <c r="F347" s="1" t="s">
        <v>16</v>
      </c>
      <c r="G347" s="1" t="s">
        <v>17</v>
      </c>
      <c r="H347" s="2"/>
      <c r="I347" s="2"/>
      <c r="J347" s="2"/>
      <c r="K347" s="2"/>
    </row>
    <row x14ac:dyDescent="0.25" r="348" customHeight="1" ht="17.25">
      <c r="A348" s="1" t="s">
        <v>807</v>
      </c>
      <c r="B348" s="1" t="s">
        <v>808</v>
      </c>
      <c r="C348" s="1" t="s">
        <v>125</v>
      </c>
      <c r="D348" s="1" t="s">
        <v>14</v>
      </c>
      <c r="E348" s="1" t="s">
        <v>15</v>
      </c>
      <c r="F348" s="1" t="s">
        <v>16</v>
      </c>
      <c r="G348" s="1" t="s">
        <v>17</v>
      </c>
      <c r="H348" s="2"/>
      <c r="I348" s="2"/>
      <c r="J348" s="2"/>
      <c r="K348" s="2"/>
    </row>
    <row x14ac:dyDescent="0.25" r="349" customHeight="1" ht="17.25">
      <c r="A349" s="1" t="s">
        <v>809</v>
      </c>
      <c r="B349" s="1" t="s">
        <v>810</v>
      </c>
      <c r="C349" s="1" t="s">
        <v>20</v>
      </c>
      <c r="D349" s="1" t="s">
        <v>14</v>
      </c>
      <c r="E349" s="1" t="s">
        <v>15</v>
      </c>
      <c r="F349" s="1" t="s">
        <v>16</v>
      </c>
      <c r="G349" s="1" t="s">
        <v>17</v>
      </c>
      <c r="H349" s="2"/>
      <c r="I349" s="2"/>
      <c r="J349" s="2"/>
      <c r="K349" s="2"/>
    </row>
    <row x14ac:dyDescent="0.25" r="350" customHeight="1" ht="17.25">
      <c r="A350" s="1" t="s">
        <v>811</v>
      </c>
      <c r="B350" s="1" t="s">
        <v>812</v>
      </c>
      <c r="C350" s="1" t="s">
        <v>20</v>
      </c>
      <c r="D350" s="1" t="s">
        <v>14</v>
      </c>
      <c r="E350" s="1" t="s">
        <v>15</v>
      </c>
      <c r="F350" s="1" t="s">
        <v>16</v>
      </c>
      <c r="G350" s="1" t="s">
        <v>17</v>
      </c>
      <c r="H350" s="2"/>
      <c r="I350" s="2"/>
      <c r="J350" s="2"/>
      <c r="K350" s="2"/>
    </row>
    <row x14ac:dyDescent="0.25" r="351" customHeight="1" ht="17.25">
      <c r="A351" s="1" t="s">
        <v>813</v>
      </c>
      <c r="B351" s="1" t="s">
        <v>814</v>
      </c>
      <c r="C351" s="1" t="s">
        <v>117</v>
      </c>
      <c r="D351" s="1" t="s">
        <v>14</v>
      </c>
      <c r="E351" s="1" t="s">
        <v>15</v>
      </c>
      <c r="F351" s="1" t="s">
        <v>16</v>
      </c>
      <c r="G351" s="1" t="s">
        <v>17</v>
      </c>
      <c r="H351" s="2"/>
      <c r="I351" s="2"/>
      <c r="J351" s="2"/>
      <c r="K351" s="2"/>
    </row>
    <row x14ac:dyDescent="0.25" r="352" customHeight="1" ht="17.25">
      <c r="A352" s="1" t="s">
        <v>815</v>
      </c>
      <c r="B352" s="1" t="s">
        <v>816</v>
      </c>
      <c r="C352" s="1" t="s">
        <v>20</v>
      </c>
      <c r="D352" s="1" t="s">
        <v>14</v>
      </c>
      <c r="E352" s="1" t="s">
        <v>15</v>
      </c>
      <c r="F352" s="1" t="s">
        <v>16</v>
      </c>
      <c r="G352" s="1" t="s">
        <v>17</v>
      </c>
      <c r="H352" s="2"/>
      <c r="I352" s="2"/>
      <c r="J352" s="2"/>
      <c r="K352" s="2"/>
    </row>
    <row x14ac:dyDescent="0.25" r="353" customHeight="1" ht="17.25">
      <c r="A353" s="1" t="s">
        <v>817</v>
      </c>
      <c r="B353" s="1" t="s">
        <v>818</v>
      </c>
      <c r="C353" s="1" t="s">
        <v>62</v>
      </c>
      <c r="D353" s="1" t="s">
        <v>14</v>
      </c>
      <c r="E353" s="1" t="s">
        <v>15</v>
      </c>
      <c r="F353" s="1" t="s">
        <v>16</v>
      </c>
      <c r="G353" s="1" t="s">
        <v>17</v>
      </c>
      <c r="H353" s="2"/>
      <c r="I353" s="2"/>
      <c r="J353" s="2"/>
      <c r="K353" s="2"/>
    </row>
    <row x14ac:dyDescent="0.25" r="354" customHeight="1" ht="17.25">
      <c r="A354" s="1" t="s">
        <v>819</v>
      </c>
      <c r="B354" s="1" t="s">
        <v>820</v>
      </c>
      <c r="C354" s="1" t="s">
        <v>422</v>
      </c>
      <c r="D354" s="1" t="s">
        <v>14</v>
      </c>
      <c r="E354" s="1" t="s">
        <v>15</v>
      </c>
      <c r="F354" s="1" t="s">
        <v>16</v>
      </c>
      <c r="G354" s="1" t="s">
        <v>17</v>
      </c>
      <c r="H354" s="2"/>
      <c r="I354" s="2"/>
      <c r="J354" s="2"/>
      <c r="K354" s="2"/>
    </row>
    <row x14ac:dyDescent="0.25" r="355" customHeight="1" ht="17.25">
      <c r="A355" s="1" t="s">
        <v>821</v>
      </c>
      <c r="B355" s="1" t="s">
        <v>822</v>
      </c>
      <c r="C355" s="1" t="s">
        <v>62</v>
      </c>
      <c r="D355" s="1" t="s">
        <v>14</v>
      </c>
      <c r="E355" s="1" t="s">
        <v>15</v>
      </c>
      <c r="F355" s="1" t="s">
        <v>16</v>
      </c>
      <c r="G355" s="1" t="s">
        <v>17</v>
      </c>
      <c r="H355" s="2"/>
      <c r="I355" s="2"/>
      <c r="J355" s="2"/>
      <c r="K355" s="2"/>
    </row>
    <row x14ac:dyDescent="0.25" r="356" customHeight="1" ht="17.25">
      <c r="A356" s="1" t="s">
        <v>823</v>
      </c>
      <c r="B356" s="1" t="s">
        <v>824</v>
      </c>
      <c r="C356" s="1" t="s">
        <v>76</v>
      </c>
      <c r="D356" s="1" t="s">
        <v>14</v>
      </c>
      <c r="E356" s="1" t="s">
        <v>15</v>
      </c>
      <c r="F356" s="1" t="s">
        <v>16</v>
      </c>
      <c r="G356" s="1" t="s">
        <v>17</v>
      </c>
      <c r="H356" s="2"/>
      <c r="I356" s="2"/>
      <c r="J356" s="2"/>
      <c r="K356" s="2"/>
    </row>
    <row x14ac:dyDescent="0.25" r="357" customHeight="1" ht="17.25">
      <c r="A357" s="1" t="s">
        <v>825</v>
      </c>
      <c r="B357" s="1" t="s">
        <v>826</v>
      </c>
      <c r="C357" s="1" t="s">
        <v>545</v>
      </c>
      <c r="D357" s="1" t="s">
        <v>14</v>
      </c>
      <c r="E357" s="1" t="s">
        <v>15</v>
      </c>
      <c r="F357" s="1" t="s">
        <v>16</v>
      </c>
      <c r="G357" s="1" t="s">
        <v>17</v>
      </c>
      <c r="H357" s="2"/>
      <c r="I357" s="2"/>
      <c r="J357" s="2"/>
      <c r="K357" s="2"/>
    </row>
    <row x14ac:dyDescent="0.25" r="358" customHeight="1" ht="17.25">
      <c r="A358" s="1" t="s">
        <v>827</v>
      </c>
      <c r="B358" s="1" t="s">
        <v>828</v>
      </c>
      <c r="C358" s="1" t="s">
        <v>81</v>
      </c>
      <c r="D358" s="1" t="s">
        <v>14</v>
      </c>
      <c r="E358" s="1" t="s">
        <v>15</v>
      </c>
      <c r="F358" s="1" t="s">
        <v>16</v>
      </c>
      <c r="G358" s="1" t="s">
        <v>17</v>
      </c>
      <c r="H358" s="2"/>
      <c r="I358" s="2"/>
      <c r="J358" s="2"/>
      <c r="K358" s="2"/>
    </row>
    <row x14ac:dyDescent="0.25" r="359" customHeight="1" ht="17.25">
      <c r="A359" s="1" t="s">
        <v>829</v>
      </c>
      <c r="B359" s="1" t="s">
        <v>830</v>
      </c>
      <c r="C359" s="1" t="s">
        <v>831</v>
      </c>
      <c r="D359" s="1" t="s">
        <v>14</v>
      </c>
      <c r="E359" s="1" t="s">
        <v>15</v>
      </c>
      <c r="F359" s="1" t="s">
        <v>16</v>
      </c>
      <c r="G359" s="1" t="s">
        <v>17</v>
      </c>
      <c r="H359" s="2"/>
      <c r="I359" s="2"/>
      <c r="J359" s="2"/>
      <c r="K359" s="2"/>
    </row>
    <row x14ac:dyDescent="0.25" r="360" customHeight="1" ht="17.25">
      <c r="A360" s="1" t="s">
        <v>832</v>
      </c>
      <c r="B360" s="1" t="s">
        <v>833</v>
      </c>
      <c r="C360" s="1" t="s">
        <v>834</v>
      </c>
      <c r="D360" s="1" t="s">
        <v>14</v>
      </c>
      <c r="E360" s="1" t="s">
        <v>15</v>
      </c>
      <c r="F360" s="1" t="s">
        <v>16</v>
      </c>
      <c r="G360" s="1" t="s">
        <v>17</v>
      </c>
      <c r="H360" s="2"/>
      <c r="I360" s="2"/>
      <c r="J360" s="2"/>
      <c r="K360" s="2"/>
    </row>
    <row x14ac:dyDescent="0.25" r="361" customHeight="1" ht="17.25">
      <c r="A361" s="1" t="s">
        <v>835</v>
      </c>
      <c r="B361" s="1" t="s">
        <v>836</v>
      </c>
      <c r="C361" s="1" t="s">
        <v>837</v>
      </c>
      <c r="D361" s="1" t="s">
        <v>14</v>
      </c>
      <c r="E361" s="1" t="s">
        <v>15</v>
      </c>
      <c r="F361" s="1" t="s">
        <v>16</v>
      </c>
      <c r="G361" s="1" t="s">
        <v>17</v>
      </c>
      <c r="H361" s="2"/>
      <c r="I361" s="2"/>
      <c r="J361" s="2"/>
      <c r="K361" s="2"/>
    </row>
    <row x14ac:dyDescent="0.25" r="362" customHeight="1" ht="17.25">
      <c r="A362" s="1" t="s">
        <v>838</v>
      </c>
      <c r="B362" s="1" t="s">
        <v>839</v>
      </c>
      <c r="C362" s="1" t="s">
        <v>20</v>
      </c>
      <c r="D362" s="1" t="s">
        <v>14</v>
      </c>
      <c r="E362" s="1" t="s">
        <v>15</v>
      </c>
      <c r="F362" s="1" t="s">
        <v>16</v>
      </c>
      <c r="G362" s="1" t="s">
        <v>17</v>
      </c>
      <c r="H362" s="2"/>
      <c r="I362" s="2"/>
      <c r="J362" s="2"/>
      <c r="K362" s="2"/>
    </row>
    <row x14ac:dyDescent="0.25" r="363" customHeight="1" ht="17.25">
      <c r="A363" s="1" t="s">
        <v>840</v>
      </c>
      <c r="B363" s="1" t="s">
        <v>841</v>
      </c>
      <c r="C363" s="1" t="s">
        <v>711</v>
      </c>
      <c r="D363" s="1" t="s">
        <v>14</v>
      </c>
      <c r="E363" s="1" t="s">
        <v>15</v>
      </c>
      <c r="F363" s="1" t="s">
        <v>16</v>
      </c>
      <c r="G363" s="1" t="s">
        <v>17</v>
      </c>
      <c r="H363" s="2"/>
      <c r="I363" s="2"/>
      <c r="J363" s="2"/>
      <c r="K363" s="2"/>
    </row>
    <row x14ac:dyDescent="0.25" r="364" customHeight="1" ht="17.25">
      <c r="A364" s="1" t="s">
        <v>842</v>
      </c>
      <c r="B364" s="1" t="s">
        <v>843</v>
      </c>
      <c r="C364" s="1" t="s">
        <v>573</v>
      </c>
      <c r="D364" s="1" t="s">
        <v>14</v>
      </c>
      <c r="E364" s="1" t="s">
        <v>15</v>
      </c>
      <c r="F364" s="1" t="s">
        <v>16</v>
      </c>
      <c r="G364" s="1" t="s">
        <v>17</v>
      </c>
      <c r="H364" s="2"/>
      <c r="I364" s="2"/>
      <c r="J364" s="2"/>
      <c r="K364" s="2"/>
    </row>
    <row x14ac:dyDescent="0.25" r="365" customHeight="1" ht="17.25">
      <c r="A365" s="1" t="s">
        <v>844</v>
      </c>
      <c r="B365" s="1" t="s">
        <v>845</v>
      </c>
      <c r="C365" s="1" t="s">
        <v>545</v>
      </c>
      <c r="D365" s="1" t="s">
        <v>14</v>
      </c>
      <c r="E365" s="1" t="s">
        <v>15</v>
      </c>
      <c r="F365" s="1" t="s">
        <v>16</v>
      </c>
      <c r="G365" s="1" t="s">
        <v>17</v>
      </c>
      <c r="H365" s="2"/>
      <c r="I365" s="2"/>
      <c r="J365" s="2"/>
      <c r="K365" s="2"/>
    </row>
    <row x14ac:dyDescent="0.25" r="366" customHeight="1" ht="17.25">
      <c r="A366" s="1" t="s">
        <v>846</v>
      </c>
      <c r="B366" s="1" t="s">
        <v>847</v>
      </c>
      <c r="C366" s="1" t="s">
        <v>216</v>
      </c>
      <c r="D366" s="1" t="s">
        <v>14</v>
      </c>
      <c r="E366" s="1" t="s">
        <v>15</v>
      </c>
      <c r="F366" s="1" t="s">
        <v>16</v>
      </c>
      <c r="G366" s="1" t="s">
        <v>17</v>
      </c>
      <c r="H366" s="2"/>
      <c r="I366" s="2"/>
      <c r="J366" s="2"/>
      <c r="K366" s="2"/>
    </row>
    <row x14ac:dyDescent="0.25" r="367" customHeight="1" ht="17.25">
      <c r="A367" s="1" t="s">
        <v>848</v>
      </c>
      <c r="B367" s="1" t="s">
        <v>849</v>
      </c>
      <c r="C367" s="1" t="s">
        <v>453</v>
      </c>
      <c r="D367" s="1" t="s">
        <v>14</v>
      </c>
      <c r="E367" s="1" t="s">
        <v>15</v>
      </c>
      <c r="F367" s="1" t="s">
        <v>16</v>
      </c>
      <c r="G367" s="1" t="s">
        <v>17</v>
      </c>
      <c r="H367" s="2"/>
      <c r="I367" s="2"/>
      <c r="J367" s="2"/>
      <c r="K367" s="2"/>
    </row>
    <row x14ac:dyDescent="0.25" r="368" customHeight="1" ht="17.25">
      <c r="A368" s="1" t="s">
        <v>850</v>
      </c>
      <c r="B368" s="1" t="s">
        <v>851</v>
      </c>
      <c r="C368" s="1" t="s">
        <v>20</v>
      </c>
      <c r="D368" s="1" t="s">
        <v>14</v>
      </c>
      <c r="E368" s="1" t="s">
        <v>15</v>
      </c>
      <c r="F368" s="1" t="s">
        <v>16</v>
      </c>
      <c r="G368" s="1" t="s">
        <v>17</v>
      </c>
      <c r="H368" s="2"/>
      <c r="I368" s="2"/>
      <c r="J368" s="2"/>
      <c r="K368" s="2"/>
    </row>
    <row x14ac:dyDescent="0.25" r="369" customHeight="1" ht="17.25">
      <c r="A369" s="1" t="s">
        <v>852</v>
      </c>
      <c r="B369" s="1" t="s">
        <v>853</v>
      </c>
      <c r="C369" s="1" t="s">
        <v>117</v>
      </c>
      <c r="D369" s="1" t="s">
        <v>14</v>
      </c>
      <c r="E369" s="1" t="s">
        <v>15</v>
      </c>
      <c r="F369" s="1" t="s">
        <v>16</v>
      </c>
      <c r="G369" s="1" t="s">
        <v>17</v>
      </c>
      <c r="H369" s="2"/>
      <c r="I369" s="2"/>
      <c r="J369" s="2"/>
      <c r="K369" s="2"/>
    </row>
    <row x14ac:dyDescent="0.25" r="370" customHeight="1" ht="17.25">
      <c r="A370" s="1" t="s">
        <v>854</v>
      </c>
      <c r="B370" s="1" t="s">
        <v>855</v>
      </c>
      <c r="C370" s="1" t="s">
        <v>20</v>
      </c>
      <c r="D370" s="1" t="s">
        <v>14</v>
      </c>
      <c r="E370" s="1" t="s">
        <v>15</v>
      </c>
      <c r="F370" s="1" t="s">
        <v>16</v>
      </c>
      <c r="G370" s="1" t="s">
        <v>17</v>
      </c>
      <c r="H370" s="2"/>
      <c r="I370" s="2"/>
      <c r="J370" s="2"/>
      <c r="K370" s="2"/>
    </row>
    <row x14ac:dyDescent="0.25" r="371" customHeight="1" ht="17.25">
      <c r="A371" s="1" t="s">
        <v>856</v>
      </c>
      <c r="B371" s="1" t="s">
        <v>857</v>
      </c>
      <c r="C371" s="1" t="s">
        <v>440</v>
      </c>
      <c r="D371" s="1" t="s">
        <v>14</v>
      </c>
      <c r="E371" s="1" t="s">
        <v>15</v>
      </c>
      <c r="F371" s="1" t="s">
        <v>16</v>
      </c>
      <c r="G371" s="1" t="s">
        <v>17</v>
      </c>
      <c r="H371" s="2"/>
      <c r="I371" s="2"/>
      <c r="J371" s="2"/>
      <c r="K371" s="2"/>
    </row>
    <row x14ac:dyDescent="0.25" r="372" customHeight="1" ht="17.25">
      <c r="A372" s="1" t="s">
        <v>858</v>
      </c>
      <c r="B372" s="1" t="s">
        <v>859</v>
      </c>
      <c r="C372" s="1" t="s">
        <v>20</v>
      </c>
      <c r="D372" s="1" t="s">
        <v>14</v>
      </c>
      <c r="E372" s="1" t="s">
        <v>15</v>
      </c>
      <c r="F372" s="1" t="s">
        <v>16</v>
      </c>
      <c r="G372" s="1" t="s">
        <v>17</v>
      </c>
      <c r="H372" s="2"/>
      <c r="I372" s="2"/>
      <c r="J372" s="2"/>
      <c r="K372" s="2"/>
    </row>
    <row x14ac:dyDescent="0.25" r="373" customHeight="1" ht="17.25">
      <c r="A373" s="1" t="s">
        <v>860</v>
      </c>
      <c r="B373" s="1" t="s">
        <v>861</v>
      </c>
      <c r="C373" s="1" t="s">
        <v>862</v>
      </c>
      <c r="D373" s="1" t="s">
        <v>14</v>
      </c>
      <c r="E373" s="1" t="s">
        <v>15</v>
      </c>
      <c r="F373" s="1" t="s">
        <v>16</v>
      </c>
      <c r="G373" s="1" t="s">
        <v>17</v>
      </c>
      <c r="H373" s="2"/>
      <c r="I373" s="2"/>
      <c r="J373" s="2"/>
      <c r="K373" s="2"/>
    </row>
    <row x14ac:dyDescent="0.25" r="374" customHeight="1" ht="17.25">
      <c r="A374" s="1" t="s">
        <v>863</v>
      </c>
      <c r="B374" s="1" t="s">
        <v>864</v>
      </c>
      <c r="C374" s="1" t="s">
        <v>557</v>
      </c>
      <c r="D374" s="1" t="s">
        <v>14</v>
      </c>
      <c r="E374" s="1" t="s">
        <v>15</v>
      </c>
      <c r="F374" s="1" t="s">
        <v>16</v>
      </c>
      <c r="G374" s="1" t="s">
        <v>17</v>
      </c>
      <c r="H374" s="2"/>
      <c r="I374" s="2"/>
      <c r="J374" s="2"/>
      <c r="K374" s="2"/>
    </row>
    <row x14ac:dyDescent="0.25" r="375" customHeight="1" ht="17.25">
      <c r="A375" s="1" t="s">
        <v>865</v>
      </c>
      <c r="B375" s="1" t="s">
        <v>866</v>
      </c>
      <c r="C375" s="1" t="s">
        <v>867</v>
      </c>
      <c r="D375" s="1" t="s">
        <v>14</v>
      </c>
      <c r="E375" s="1" t="s">
        <v>15</v>
      </c>
      <c r="F375" s="1" t="s">
        <v>16</v>
      </c>
      <c r="G375" s="1" t="s">
        <v>17</v>
      </c>
      <c r="H375" s="2"/>
      <c r="I375" s="2"/>
      <c r="J375" s="2"/>
      <c r="K375" s="2"/>
    </row>
    <row x14ac:dyDescent="0.25" r="376" customHeight="1" ht="17.25">
      <c r="A376" s="1" t="s">
        <v>868</v>
      </c>
      <c r="B376" s="1" t="s">
        <v>869</v>
      </c>
      <c r="C376" s="1" t="s">
        <v>378</v>
      </c>
      <c r="D376" s="1" t="s">
        <v>14</v>
      </c>
      <c r="E376" s="1" t="s">
        <v>15</v>
      </c>
      <c r="F376" s="1" t="s">
        <v>16</v>
      </c>
      <c r="G376" s="1" t="s">
        <v>17</v>
      </c>
      <c r="H376" s="2"/>
      <c r="I376" s="2"/>
      <c r="J376" s="2"/>
      <c r="K376" s="2"/>
    </row>
    <row x14ac:dyDescent="0.25" r="377" customHeight="1" ht="17.25">
      <c r="A377" s="1" t="s">
        <v>870</v>
      </c>
      <c r="B377" s="1" t="s">
        <v>871</v>
      </c>
      <c r="C377" s="1" t="s">
        <v>157</v>
      </c>
      <c r="D377" s="1" t="s">
        <v>14</v>
      </c>
      <c r="E377" s="1" t="s">
        <v>15</v>
      </c>
      <c r="F377" s="1" t="s">
        <v>16</v>
      </c>
      <c r="G377" s="1" t="s">
        <v>17</v>
      </c>
      <c r="H377" s="2"/>
      <c r="I377" s="2"/>
      <c r="J377" s="2"/>
      <c r="K377" s="2"/>
    </row>
    <row x14ac:dyDescent="0.25" r="378" customHeight="1" ht="17.25">
      <c r="A378" s="1" t="s">
        <v>872</v>
      </c>
      <c r="B378" s="1" t="s">
        <v>873</v>
      </c>
      <c r="C378" s="1" t="s">
        <v>378</v>
      </c>
      <c r="D378" s="1" t="s">
        <v>14</v>
      </c>
      <c r="E378" s="1" t="s">
        <v>15</v>
      </c>
      <c r="F378" s="1" t="s">
        <v>16</v>
      </c>
      <c r="G378" s="1" t="s">
        <v>17</v>
      </c>
      <c r="H378" s="2"/>
      <c r="I378" s="2"/>
      <c r="J378" s="2"/>
      <c r="K378" s="2"/>
    </row>
    <row x14ac:dyDescent="0.25" r="379" customHeight="1" ht="17.25">
      <c r="A379" s="1" t="s">
        <v>874</v>
      </c>
      <c r="B379" s="1" t="s">
        <v>875</v>
      </c>
      <c r="C379" s="1" t="s">
        <v>20</v>
      </c>
      <c r="D379" s="1" t="s">
        <v>14</v>
      </c>
      <c r="E379" s="1" t="s">
        <v>15</v>
      </c>
      <c r="F379" s="1" t="s">
        <v>16</v>
      </c>
      <c r="G379" s="1" t="s">
        <v>17</v>
      </c>
      <c r="H379" s="2"/>
      <c r="I379" s="2"/>
      <c r="J379" s="2"/>
      <c r="K379" s="2"/>
    </row>
    <row x14ac:dyDescent="0.25" r="380" customHeight="1" ht="17.25">
      <c r="A380" s="1" t="s">
        <v>876</v>
      </c>
      <c r="B380" s="1" t="s">
        <v>877</v>
      </c>
      <c r="C380" s="1" t="s">
        <v>231</v>
      </c>
      <c r="D380" s="1" t="s">
        <v>14</v>
      </c>
      <c r="E380" s="1" t="s">
        <v>15</v>
      </c>
      <c r="F380" s="1" t="s">
        <v>16</v>
      </c>
      <c r="G380" s="1" t="s">
        <v>17</v>
      </c>
      <c r="H380" s="2"/>
      <c r="I380" s="2"/>
      <c r="J380" s="2"/>
      <c r="K380" s="2"/>
    </row>
    <row x14ac:dyDescent="0.25" r="381" customHeight="1" ht="17.25">
      <c r="A381" s="1" t="s">
        <v>878</v>
      </c>
      <c r="B381" s="1" t="s">
        <v>879</v>
      </c>
      <c r="C381" s="1" t="s">
        <v>560</v>
      </c>
      <c r="D381" s="1" t="s">
        <v>14</v>
      </c>
      <c r="E381" s="1" t="s">
        <v>15</v>
      </c>
      <c r="F381" s="1" t="s">
        <v>16</v>
      </c>
      <c r="G381" s="1" t="s">
        <v>17</v>
      </c>
      <c r="H381" s="2"/>
      <c r="I381" s="2"/>
      <c r="J381" s="2"/>
      <c r="K381" s="2"/>
    </row>
    <row x14ac:dyDescent="0.25" r="382" customHeight="1" ht="17.25">
      <c r="A382" s="1" t="s">
        <v>880</v>
      </c>
      <c r="B382" s="1" t="s">
        <v>881</v>
      </c>
      <c r="C382" s="1" t="s">
        <v>30</v>
      </c>
      <c r="D382" s="1" t="s">
        <v>14</v>
      </c>
      <c r="E382" s="1" t="s">
        <v>15</v>
      </c>
      <c r="F382" s="1" t="s">
        <v>16</v>
      </c>
      <c r="G382" s="1" t="s">
        <v>17</v>
      </c>
      <c r="H382" s="2"/>
      <c r="I382" s="2"/>
      <c r="J382" s="2"/>
      <c r="K382" s="2"/>
    </row>
    <row x14ac:dyDescent="0.25" r="383" customHeight="1" ht="17.25">
      <c r="A383" s="1" t="s">
        <v>882</v>
      </c>
      <c r="B383" s="1" t="s">
        <v>883</v>
      </c>
      <c r="C383" s="1" t="s">
        <v>650</v>
      </c>
      <c r="D383" s="1" t="s">
        <v>14</v>
      </c>
      <c r="E383" s="1" t="s">
        <v>15</v>
      </c>
      <c r="F383" s="1" t="s">
        <v>16</v>
      </c>
      <c r="G383" s="1" t="s">
        <v>17</v>
      </c>
      <c r="H383" s="2"/>
      <c r="I383" s="2"/>
      <c r="J383" s="2"/>
      <c r="K383" s="2"/>
    </row>
    <row x14ac:dyDescent="0.25" r="384" customHeight="1" ht="17.25">
      <c r="A384" s="1" t="s">
        <v>884</v>
      </c>
      <c r="B384" s="1" t="s">
        <v>885</v>
      </c>
      <c r="C384" s="1" t="s">
        <v>681</v>
      </c>
      <c r="D384" s="1" t="s">
        <v>14</v>
      </c>
      <c r="E384" s="1" t="s">
        <v>15</v>
      </c>
      <c r="F384" s="1" t="s">
        <v>16</v>
      </c>
      <c r="G384" s="1" t="s">
        <v>17</v>
      </c>
      <c r="H384" s="2"/>
      <c r="I384" s="2"/>
      <c r="J384" s="2"/>
      <c r="K384" s="2"/>
    </row>
    <row x14ac:dyDescent="0.25" r="385" customHeight="1" ht="17.25">
      <c r="A385" s="1" t="s">
        <v>886</v>
      </c>
      <c r="B385" s="1" t="s">
        <v>887</v>
      </c>
      <c r="C385" s="1" t="s">
        <v>231</v>
      </c>
      <c r="D385" s="1" t="s">
        <v>14</v>
      </c>
      <c r="E385" s="1" t="s">
        <v>15</v>
      </c>
      <c r="F385" s="1" t="s">
        <v>16</v>
      </c>
      <c r="G385" s="1" t="s">
        <v>17</v>
      </c>
      <c r="H385" s="2"/>
      <c r="I385" s="2"/>
      <c r="J385" s="2"/>
      <c r="K385" s="2"/>
    </row>
    <row x14ac:dyDescent="0.25" r="386" customHeight="1" ht="17.25">
      <c r="A386" s="1" t="s">
        <v>888</v>
      </c>
      <c r="B386" s="1" t="s">
        <v>889</v>
      </c>
      <c r="C386" s="1" t="s">
        <v>54</v>
      </c>
      <c r="D386" s="1" t="s">
        <v>14</v>
      </c>
      <c r="E386" s="1" t="s">
        <v>15</v>
      </c>
      <c r="F386" s="1" t="s">
        <v>16</v>
      </c>
      <c r="G386" s="1" t="s">
        <v>17</v>
      </c>
      <c r="H386" s="2"/>
      <c r="I386" s="2"/>
      <c r="J386" s="2"/>
      <c r="K386" s="2"/>
    </row>
    <row x14ac:dyDescent="0.25" r="387" customHeight="1" ht="17.25">
      <c r="A387" s="1" t="s">
        <v>890</v>
      </c>
      <c r="B387" s="1" t="s">
        <v>891</v>
      </c>
      <c r="C387" s="1" t="s">
        <v>135</v>
      </c>
      <c r="D387" s="1" t="s">
        <v>14</v>
      </c>
      <c r="E387" s="1" t="s">
        <v>15</v>
      </c>
      <c r="F387" s="1" t="s">
        <v>16</v>
      </c>
      <c r="G387" s="1" t="s">
        <v>17</v>
      </c>
      <c r="H387" s="2"/>
      <c r="I387" s="2"/>
      <c r="J387" s="2"/>
      <c r="K387" s="2"/>
    </row>
    <row x14ac:dyDescent="0.25" r="388" customHeight="1" ht="17.25">
      <c r="A388" s="1" t="s">
        <v>892</v>
      </c>
      <c r="B388" s="1" t="s">
        <v>893</v>
      </c>
      <c r="C388" s="1" t="s">
        <v>358</v>
      </c>
      <c r="D388" s="1" t="s">
        <v>14</v>
      </c>
      <c r="E388" s="1" t="s">
        <v>15</v>
      </c>
      <c r="F388" s="1" t="s">
        <v>16</v>
      </c>
      <c r="G388" s="1" t="s">
        <v>17</v>
      </c>
      <c r="H388" s="2"/>
      <c r="I388" s="2"/>
      <c r="J388" s="2"/>
      <c r="K388" s="2"/>
    </row>
    <row x14ac:dyDescent="0.25" r="389" customHeight="1" ht="17.25">
      <c r="A389" s="1" t="s">
        <v>894</v>
      </c>
      <c r="B389" s="1" t="s">
        <v>895</v>
      </c>
      <c r="C389" s="1" t="s">
        <v>532</v>
      </c>
      <c r="D389" s="1" t="s">
        <v>14</v>
      </c>
      <c r="E389" s="1" t="s">
        <v>15</v>
      </c>
      <c r="F389" s="1" t="s">
        <v>16</v>
      </c>
      <c r="G389" s="1" t="s">
        <v>17</v>
      </c>
      <c r="H389" s="2"/>
      <c r="I389" s="2"/>
      <c r="J389" s="2"/>
      <c r="K389" s="2"/>
    </row>
    <row x14ac:dyDescent="0.25" r="390" customHeight="1" ht="17.25">
      <c r="A390" s="1" t="s">
        <v>896</v>
      </c>
      <c r="B390" s="1" t="s">
        <v>897</v>
      </c>
      <c r="C390" s="1" t="s">
        <v>219</v>
      </c>
      <c r="D390" s="1" t="s">
        <v>14</v>
      </c>
      <c r="E390" s="1" t="s">
        <v>15</v>
      </c>
      <c r="F390" s="1" t="s">
        <v>16</v>
      </c>
      <c r="G390" s="1" t="s">
        <v>17</v>
      </c>
      <c r="H390" s="2"/>
      <c r="I390" s="2"/>
      <c r="J390" s="2"/>
      <c r="K390" s="2"/>
    </row>
    <row x14ac:dyDescent="0.25" r="391" customHeight="1" ht="17.25">
      <c r="A391" s="1" t="s">
        <v>898</v>
      </c>
      <c r="B391" s="1" t="s">
        <v>899</v>
      </c>
      <c r="C391" s="1" t="s">
        <v>20</v>
      </c>
      <c r="D391" s="1" t="s">
        <v>14</v>
      </c>
      <c r="E391" s="1" t="s">
        <v>15</v>
      </c>
      <c r="F391" s="1" t="s">
        <v>16</v>
      </c>
      <c r="G391" s="1" t="s">
        <v>17</v>
      </c>
      <c r="H391" s="2"/>
      <c r="I391" s="2"/>
      <c r="J391" s="2"/>
      <c r="K391" s="2"/>
    </row>
    <row x14ac:dyDescent="0.25" r="392" customHeight="1" ht="17.25">
      <c r="A392" s="1" t="s">
        <v>900</v>
      </c>
      <c r="B392" s="1" t="s">
        <v>901</v>
      </c>
      <c r="C392" s="1" t="s">
        <v>20</v>
      </c>
      <c r="D392" s="1" t="s">
        <v>14</v>
      </c>
      <c r="E392" s="1" t="s">
        <v>15</v>
      </c>
      <c r="F392" s="1" t="s">
        <v>16</v>
      </c>
      <c r="G392" s="1" t="s">
        <v>17</v>
      </c>
      <c r="H392" s="2"/>
      <c r="I392" s="2"/>
      <c r="J392" s="2"/>
      <c r="K392" s="2"/>
    </row>
    <row x14ac:dyDescent="0.25" r="393" customHeight="1" ht="17.25">
      <c r="A393" s="1" t="s">
        <v>902</v>
      </c>
      <c r="B393" s="1" t="s">
        <v>903</v>
      </c>
      <c r="C393" s="1" t="s">
        <v>30</v>
      </c>
      <c r="D393" s="1" t="s">
        <v>14</v>
      </c>
      <c r="E393" s="1" t="s">
        <v>15</v>
      </c>
      <c r="F393" s="1" t="s">
        <v>16</v>
      </c>
      <c r="G393" s="1" t="s">
        <v>17</v>
      </c>
      <c r="H393" s="2"/>
      <c r="I393" s="2"/>
      <c r="J393" s="2"/>
      <c r="K393" s="2"/>
    </row>
    <row x14ac:dyDescent="0.25" r="394" customHeight="1" ht="17.25">
      <c r="A394" s="1" t="s">
        <v>904</v>
      </c>
      <c r="B394" s="1" t="s">
        <v>905</v>
      </c>
      <c r="C394" s="1" t="s">
        <v>906</v>
      </c>
      <c r="D394" s="1" t="s">
        <v>14</v>
      </c>
      <c r="E394" s="1" t="s">
        <v>15</v>
      </c>
      <c r="F394" s="1" t="s">
        <v>16</v>
      </c>
      <c r="G394" s="1" t="s">
        <v>17</v>
      </c>
      <c r="H394" s="2"/>
      <c r="I394" s="2"/>
      <c r="J394" s="2"/>
      <c r="K394" s="2"/>
    </row>
    <row x14ac:dyDescent="0.25" r="395" customHeight="1" ht="17.25">
      <c r="A395" s="1" t="s">
        <v>907</v>
      </c>
      <c r="B395" s="1" t="s">
        <v>908</v>
      </c>
      <c r="C395" s="1" t="s">
        <v>691</v>
      </c>
      <c r="D395" s="1" t="s">
        <v>14</v>
      </c>
      <c r="E395" s="1" t="s">
        <v>15</v>
      </c>
      <c r="F395" s="1" t="s">
        <v>16</v>
      </c>
      <c r="G395" s="1" t="s">
        <v>17</v>
      </c>
      <c r="H395" s="2"/>
      <c r="I395" s="2"/>
      <c r="J395" s="2"/>
      <c r="K395" s="2"/>
    </row>
    <row x14ac:dyDescent="0.25" r="396" customHeight="1" ht="17.25">
      <c r="A396" s="1" t="s">
        <v>909</v>
      </c>
      <c r="B396" s="1" t="s">
        <v>910</v>
      </c>
      <c r="C396" s="1" t="s">
        <v>20</v>
      </c>
      <c r="D396" s="1" t="s">
        <v>14</v>
      </c>
      <c r="E396" s="1" t="s">
        <v>15</v>
      </c>
      <c r="F396" s="1" t="s">
        <v>16</v>
      </c>
      <c r="G396" s="1" t="s">
        <v>17</v>
      </c>
      <c r="H396" s="2"/>
      <c r="I396" s="2"/>
      <c r="J396" s="2"/>
      <c r="K396" s="2"/>
    </row>
    <row x14ac:dyDescent="0.25" r="397" customHeight="1" ht="17.25">
      <c r="A397" s="1" t="s">
        <v>911</v>
      </c>
      <c r="B397" s="1" t="s">
        <v>912</v>
      </c>
      <c r="C397" s="1" t="s">
        <v>188</v>
      </c>
      <c r="D397" s="1" t="s">
        <v>14</v>
      </c>
      <c r="E397" s="1" t="s">
        <v>15</v>
      </c>
      <c r="F397" s="1" t="s">
        <v>16</v>
      </c>
      <c r="G397" s="1" t="s">
        <v>17</v>
      </c>
      <c r="H397" s="2"/>
      <c r="I397" s="2"/>
      <c r="J397" s="2"/>
      <c r="K397" s="2"/>
    </row>
    <row x14ac:dyDescent="0.25" r="398" customHeight="1" ht="17.25">
      <c r="A398" s="1" t="s">
        <v>913</v>
      </c>
      <c r="B398" s="1" t="s">
        <v>914</v>
      </c>
      <c r="C398" s="1" t="s">
        <v>915</v>
      </c>
      <c r="D398" s="1" t="s">
        <v>14</v>
      </c>
      <c r="E398" s="1" t="s">
        <v>15</v>
      </c>
      <c r="F398" s="1" t="s">
        <v>16</v>
      </c>
      <c r="G398" s="1" t="s">
        <v>17</v>
      </c>
      <c r="H398" s="2"/>
      <c r="I398" s="2"/>
      <c r="J398" s="2"/>
      <c r="K398" s="2"/>
    </row>
    <row x14ac:dyDescent="0.25" r="399" customHeight="1" ht="17.25">
      <c r="A399" s="1" t="s">
        <v>916</v>
      </c>
      <c r="B399" s="1" t="s">
        <v>917</v>
      </c>
      <c r="C399" s="1" t="s">
        <v>20</v>
      </c>
      <c r="D399" s="1" t="s">
        <v>14</v>
      </c>
      <c r="E399" s="1" t="s">
        <v>15</v>
      </c>
      <c r="F399" s="1" t="s">
        <v>16</v>
      </c>
      <c r="G399" s="1" t="s">
        <v>17</v>
      </c>
      <c r="H399" s="2"/>
      <c r="I399" s="2"/>
      <c r="J399" s="2"/>
      <c r="K399" s="2"/>
    </row>
    <row x14ac:dyDescent="0.25" r="400" customHeight="1" ht="17.25">
      <c r="A400" s="1" t="s">
        <v>918</v>
      </c>
      <c r="B400" s="1" t="s">
        <v>919</v>
      </c>
      <c r="C400" s="1" t="s">
        <v>371</v>
      </c>
      <c r="D400" s="1" t="s">
        <v>14</v>
      </c>
      <c r="E400" s="1" t="s">
        <v>15</v>
      </c>
      <c r="F400" s="1" t="s">
        <v>16</v>
      </c>
      <c r="G400" s="1" t="s">
        <v>17</v>
      </c>
      <c r="H400" s="2"/>
      <c r="I400" s="2"/>
      <c r="J400" s="2"/>
      <c r="K400" s="2"/>
    </row>
    <row x14ac:dyDescent="0.25" r="401" customHeight="1" ht="17.25">
      <c r="A401" s="1" t="s">
        <v>920</v>
      </c>
      <c r="B401" s="1" t="s">
        <v>921</v>
      </c>
      <c r="C401" s="1" t="s">
        <v>114</v>
      </c>
      <c r="D401" s="1" t="s">
        <v>14</v>
      </c>
      <c r="E401" s="1" t="s">
        <v>15</v>
      </c>
      <c r="F401" s="1" t="s">
        <v>16</v>
      </c>
      <c r="G401" s="1" t="s">
        <v>17</v>
      </c>
      <c r="H401" s="2"/>
      <c r="I401" s="2"/>
      <c r="J401" s="2"/>
      <c r="K401" s="2"/>
    </row>
    <row x14ac:dyDescent="0.25" r="402" customHeight="1" ht="17.25">
      <c r="A402" s="1" t="s">
        <v>922</v>
      </c>
      <c r="B402" s="1" t="s">
        <v>923</v>
      </c>
      <c r="C402" s="1" t="s">
        <v>120</v>
      </c>
      <c r="D402" s="1" t="s">
        <v>14</v>
      </c>
      <c r="E402" s="1" t="s">
        <v>15</v>
      </c>
      <c r="F402" s="1" t="s">
        <v>16</v>
      </c>
      <c r="G402" s="1" t="s">
        <v>17</v>
      </c>
      <c r="H402" s="2"/>
      <c r="I402" s="2"/>
      <c r="J402" s="2"/>
      <c r="K402" s="2"/>
    </row>
    <row x14ac:dyDescent="0.25" r="403" customHeight="1" ht="17.25">
      <c r="A403" s="1" t="s">
        <v>924</v>
      </c>
      <c r="B403" s="1" t="s">
        <v>925</v>
      </c>
      <c r="C403" s="1" t="s">
        <v>632</v>
      </c>
      <c r="D403" s="1" t="s">
        <v>14</v>
      </c>
      <c r="E403" s="1" t="s">
        <v>15</v>
      </c>
      <c r="F403" s="1" t="s">
        <v>16</v>
      </c>
      <c r="G403" s="1" t="s">
        <v>17</v>
      </c>
      <c r="H403" s="2"/>
      <c r="I403" s="2"/>
      <c r="J403" s="2"/>
      <c r="K403" s="2"/>
    </row>
    <row x14ac:dyDescent="0.25" r="404" customHeight="1" ht="17.25">
      <c r="A404" s="1" t="s">
        <v>926</v>
      </c>
      <c r="B404" s="1" t="s">
        <v>927</v>
      </c>
      <c r="C404" s="1" t="s">
        <v>928</v>
      </c>
      <c r="D404" s="1" t="s">
        <v>14</v>
      </c>
      <c r="E404" s="1" t="s">
        <v>15</v>
      </c>
      <c r="F404" s="1" t="s">
        <v>16</v>
      </c>
      <c r="G404" s="1" t="s">
        <v>17</v>
      </c>
      <c r="H404" s="2"/>
      <c r="I404" s="2"/>
      <c r="J404" s="2"/>
      <c r="K404" s="2"/>
    </row>
    <row x14ac:dyDescent="0.25" r="405" customHeight="1" ht="17.25">
      <c r="A405" s="1" t="s">
        <v>929</v>
      </c>
      <c r="B405" s="1" t="s">
        <v>930</v>
      </c>
      <c r="C405" s="1" t="s">
        <v>219</v>
      </c>
      <c r="D405" s="1" t="s">
        <v>14</v>
      </c>
      <c r="E405" s="1" t="s">
        <v>15</v>
      </c>
      <c r="F405" s="1" t="s">
        <v>16</v>
      </c>
      <c r="G405" s="1" t="s">
        <v>17</v>
      </c>
      <c r="H405" s="2"/>
      <c r="I405" s="2"/>
      <c r="J405" s="2"/>
      <c r="K405" s="2"/>
    </row>
    <row x14ac:dyDescent="0.25" r="406" customHeight="1" ht="17.25">
      <c r="A406" s="1" t="s">
        <v>931</v>
      </c>
      <c r="B406" s="1" t="s">
        <v>932</v>
      </c>
      <c r="C406" s="1" t="s">
        <v>30</v>
      </c>
      <c r="D406" s="1" t="s">
        <v>14</v>
      </c>
      <c r="E406" s="1" t="s">
        <v>15</v>
      </c>
      <c r="F406" s="1" t="s">
        <v>16</v>
      </c>
      <c r="G406" s="1" t="s">
        <v>17</v>
      </c>
      <c r="H406" s="2"/>
      <c r="I406" s="2"/>
      <c r="J406" s="2"/>
      <c r="K406" s="2"/>
    </row>
    <row x14ac:dyDescent="0.25" r="407" customHeight="1" ht="17.25">
      <c r="A407" s="1" t="s">
        <v>933</v>
      </c>
      <c r="B407" s="1" t="s">
        <v>934</v>
      </c>
      <c r="C407" s="1" t="s">
        <v>328</v>
      </c>
      <c r="D407" s="1" t="s">
        <v>14</v>
      </c>
      <c r="E407" s="1" t="s">
        <v>15</v>
      </c>
      <c r="F407" s="1" t="s">
        <v>16</v>
      </c>
      <c r="G407" s="1" t="s">
        <v>17</v>
      </c>
      <c r="H407" s="2"/>
      <c r="I407" s="2"/>
      <c r="J407" s="2"/>
      <c r="K407" s="2"/>
    </row>
    <row x14ac:dyDescent="0.25" r="408" customHeight="1" ht="17.25">
      <c r="A408" s="1" t="s">
        <v>935</v>
      </c>
      <c r="B408" s="1" t="s">
        <v>936</v>
      </c>
      <c r="C408" s="1" t="s">
        <v>59</v>
      </c>
      <c r="D408" s="1" t="s">
        <v>14</v>
      </c>
      <c r="E408" s="1" t="s">
        <v>15</v>
      </c>
      <c r="F408" s="1" t="s">
        <v>16</v>
      </c>
      <c r="G408" s="1" t="s">
        <v>17</v>
      </c>
      <c r="H408" s="2"/>
      <c r="I408" s="2"/>
      <c r="J408" s="2"/>
      <c r="K408" s="2"/>
    </row>
    <row x14ac:dyDescent="0.25" r="409" customHeight="1" ht="17.25">
      <c r="A409" s="1" t="s">
        <v>937</v>
      </c>
      <c r="B409" s="1" t="s">
        <v>938</v>
      </c>
      <c r="C409" s="1" t="s">
        <v>711</v>
      </c>
      <c r="D409" s="1" t="s">
        <v>14</v>
      </c>
      <c r="E409" s="1" t="s">
        <v>15</v>
      </c>
      <c r="F409" s="1" t="s">
        <v>16</v>
      </c>
      <c r="G409" s="1" t="s">
        <v>17</v>
      </c>
      <c r="H409" s="2"/>
      <c r="I409" s="2"/>
      <c r="J409" s="2"/>
      <c r="K409" s="2"/>
    </row>
    <row x14ac:dyDescent="0.25" r="410" customHeight="1" ht="17.25">
      <c r="A410" s="1" t="s">
        <v>939</v>
      </c>
      <c r="B410" s="1" t="s">
        <v>940</v>
      </c>
      <c r="C410" s="1" t="s">
        <v>453</v>
      </c>
      <c r="D410" s="1" t="s">
        <v>14</v>
      </c>
      <c r="E410" s="1" t="s">
        <v>15</v>
      </c>
      <c r="F410" s="1" t="s">
        <v>16</v>
      </c>
      <c r="G410" s="1" t="s">
        <v>17</v>
      </c>
      <c r="H410" s="2"/>
      <c r="I410" s="2"/>
      <c r="J410" s="2"/>
      <c r="K410" s="2"/>
    </row>
    <row x14ac:dyDescent="0.25" r="411" customHeight="1" ht="17.25">
      <c r="A411" s="1" t="s">
        <v>941</v>
      </c>
      <c r="B411" s="1" t="s">
        <v>942</v>
      </c>
      <c r="C411" s="1" t="s">
        <v>943</v>
      </c>
      <c r="D411" s="1" t="s">
        <v>14</v>
      </c>
      <c r="E411" s="1" t="s">
        <v>15</v>
      </c>
      <c r="F411" s="1" t="s">
        <v>16</v>
      </c>
      <c r="G411" s="1" t="s">
        <v>17</v>
      </c>
      <c r="H411" s="2"/>
      <c r="I411" s="2"/>
      <c r="J411" s="2"/>
      <c r="K411" s="2"/>
    </row>
    <row x14ac:dyDescent="0.25" r="412" customHeight="1" ht="17.25">
      <c r="A412" s="1" t="s">
        <v>944</v>
      </c>
      <c r="B412" s="1" t="s">
        <v>945</v>
      </c>
      <c r="C412" s="1" t="s">
        <v>20</v>
      </c>
      <c r="D412" s="1" t="s">
        <v>14</v>
      </c>
      <c r="E412" s="1" t="s">
        <v>15</v>
      </c>
      <c r="F412" s="1" t="s">
        <v>16</v>
      </c>
      <c r="G412" s="1" t="s">
        <v>17</v>
      </c>
      <c r="H412" s="2"/>
      <c r="I412" s="2"/>
      <c r="J412" s="2"/>
      <c r="K412" s="2"/>
    </row>
    <row x14ac:dyDescent="0.25" r="413" customHeight="1" ht="17.25">
      <c r="A413" s="1" t="s">
        <v>946</v>
      </c>
      <c r="B413" s="1" t="s">
        <v>947</v>
      </c>
      <c r="C413" s="1" t="s">
        <v>948</v>
      </c>
      <c r="D413" s="1" t="s">
        <v>14</v>
      </c>
      <c r="E413" s="1" t="s">
        <v>15</v>
      </c>
      <c r="F413" s="1" t="s">
        <v>16</v>
      </c>
      <c r="G413" s="1" t="s">
        <v>17</v>
      </c>
      <c r="H413" s="2"/>
      <c r="I413" s="2"/>
      <c r="J413" s="2"/>
      <c r="K413" s="2"/>
    </row>
    <row x14ac:dyDescent="0.25" r="414" customHeight="1" ht="17.25">
      <c r="A414" s="1" t="s">
        <v>949</v>
      </c>
      <c r="B414" s="1" t="s">
        <v>950</v>
      </c>
      <c r="C414" s="1" t="s">
        <v>20</v>
      </c>
      <c r="D414" s="1" t="s">
        <v>14</v>
      </c>
      <c r="E414" s="1" t="s">
        <v>15</v>
      </c>
      <c r="F414" s="1" t="s">
        <v>16</v>
      </c>
      <c r="G414" s="1" t="s">
        <v>17</v>
      </c>
      <c r="H414" s="2"/>
      <c r="I414" s="2"/>
      <c r="J414" s="2"/>
      <c r="K414" s="2"/>
    </row>
    <row x14ac:dyDescent="0.25" r="415" customHeight="1" ht="17.25">
      <c r="A415" s="1" t="s">
        <v>951</v>
      </c>
      <c r="B415" s="1" t="s">
        <v>952</v>
      </c>
      <c r="C415" s="1" t="s">
        <v>20</v>
      </c>
      <c r="D415" s="1" t="s">
        <v>14</v>
      </c>
      <c r="E415" s="1" t="s">
        <v>15</v>
      </c>
      <c r="F415" s="1" t="s">
        <v>16</v>
      </c>
      <c r="G415" s="1" t="s">
        <v>17</v>
      </c>
      <c r="H415" s="2"/>
      <c r="I415" s="2"/>
      <c r="J415" s="2"/>
      <c r="K415" s="2"/>
    </row>
    <row x14ac:dyDescent="0.25" r="416" customHeight="1" ht="17.25">
      <c r="A416" s="1" t="s">
        <v>953</v>
      </c>
      <c r="B416" s="1" t="s">
        <v>954</v>
      </c>
      <c r="C416" s="1" t="s">
        <v>96</v>
      </c>
      <c r="D416" s="1" t="s">
        <v>14</v>
      </c>
      <c r="E416" s="1" t="s">
        <v>15</v>
      </c>
      <c r="F416" s="1" t="s">
        <v>16</v>
      </c>
      <c r="G416" s="1" t="s">
        <v>17</v>
      </c>
      <c r="H416" s="2"/>
      <c r="I416" s="2"/>
      <c r="J416" s="2"/>
      <c r="K416" s="2"/>
    </row>
    <row x14ac:dyDescent="0.25" r="417" customHeight="1" ht="17.25">
      <c r="A417" s="1" t="s">
        <v>955</v>
      </c>
      <c r="B417" s="1" t="s">
        <v>956</v>
      </c>
      <c r="C417" s="1" t="s">
        <v>837</v>
      </c>
      <c r="D417" s="1" t="s">
        <v>14</v>
      </c>
      <c r="E417" s="1" t="s">
        <v>15</v>
      </c>
      <c r="F417" s="1" t="s">
        <v>16</v>
      </c>
      <c r="G417" s="1" t="s">
        <v>17</v>
      </c>
      <c r="H417" s="2"/>
      <c r="I417" s="2"/>
      <c r="J417" s="2"/>
      <c r="K417" s="2"/>
    </row>
    <row x14ac:dyDescent="0.25" r="418" customHeight="1" ht="17.25">
      <c r="A418" s="1" t="s">
        <v>957</v>
      </c>
      <c r="B418" s="1" t="s">
        <v>958</v>
      </c>
      <c r="C418" s="1" t="s">
        <v>135</v>
      </c>
      <c r="D418" s="1" t="s">
        <v>14</v>
      </c>
      <c r="E418" s="1" t="s">
        <v>15</v>
      </c>
      <c r="F418" s="1" t="s">
        <v>16</v>
      </c>
      <c r="G418" s="1" t="s">
        <v>17</v>
      </c>
      <c r="H418" s="2"/>
      <c r="I418" s="2"/>
      <c r="J418" s="2"/>
      <c r="K418" s="2"/>
    </row>
    <row x14ac:dyDescent="0.25" r="419" customHeight="1" ht="17.25">
      <c r="A419" s="1" t="s">
        <v>959</v>
      </c>
      <c r="B419" s="1" t="s">
        <v>960</v>
      </c>
      <c r="C419" s="1" t="s">
        <v>837</v>
      </c>
      <c r="D419" s="1" t="s">
        <v>14</v>
      </c>
      <c r="E419" s="1" t="s">
        <v>15</v>
      </c>
      <c r="F419" s="1" t="s">
        <v>16</v>
      </c>
      <c r="G419" s="1" t="s">
        <v>17</v>
      </c>
      <c r="H419" s="2"/>
      <c r="I419" s="2"/>
      <c r="J419" s="2"/>
      <c r="K419" s="2"/>
    </row>
    <row x14ac:dyDescent="0.25" r="420" customHeight="1" ht="17.25">
      <c r="A420" s="1" t="s">
        <v>961</v>
      </c>
      <c r="B420" s="1" t="s">
        <v>962</v>
      </c>
      <c r="C420" s="1" t="s">
        <v>20</v>
      </c>
      <c r="D420" s="1" t="s">
        <v>14</v>
      </c>
      <c r="E420" s="1" t="s">
        <v>15</v>
      </c>
      <c r="F420" s="1" t="s">
        <v>16</v>
      </c>
      <c r="G420" s="1" t="s">
        <v>17</v>
      </c>
      <c r="H420" s="2"/>
      <c r="I420" s="2"/>
      <c r="J420" s="2"/>
      <c r="K420" s="2"/>
    </row>
    <row x14ac:dyDescent="0.25" r="421" customHeight="1" ht="17.25">
      <c r="A421" s="1" t="s">
        <v>963</v>
      </c>
      <c r="B421" s="1" t="s">
        <v>964</v>
      </c>
      <c r="C421" s="1" t="s">
        <v>20</v>
      </c>
      <c r="D421" s="1" t="s">
        <v>14</v>
      </c>
      <c r="E421" s="1" t="s">
        <v>15</v>
      </c>
      <c r="F421" s="1" t="s">
        <v>16</v>
      </c>
      <c r="G421" s="1" t="s">
        <v>17</v>
      </c>
      <c r="H421" s="2"/>
      <c r="I421" s="2"/>
      <c r="J421" s="2"/>
      <c r="K421" s="2"/>
    </row>
    <row x14ac:dyDescent="0.25" r="422" customHeight="1" ht="17.25">
      <c r="A422" s="1" t="s">
        <v>965</v>
      </c>
      <c r="B422" s="1" t="s">
        <v>966</v>
      </c>
      <c r="C422" s="1" t="s">
        <v>20</v>
      </c>
      <c r="D422" s="1" t="s">
        <v>14</v>
      </c>
      <c r="E422" s="1" t="s">
        <v>15</v>
      </c>
      <c r="F422" s="1" t="s">
        <v>16</v>
      </c>
      <c r="G422" s="1" t="s">
        <v>17</v>
      </c>
      <c r="H422" s="2"/>
      <c r="I422" s="2"/>
      <c r="J422" s="2"/>
      <c r="K422" s="2"/>
    </row>
    <row x14ac:dyDescent="0.25" r="423" customHeight="1" ht="17.25">
      <c r="A423" s="1" t="s">
        <v>967</v>
      </c>
      <c r="B423" s="1" t="s">
        <v>968</v>
      </c>
      <c r="C423" s="1" t="s">
        <v>862</v>
      </c>
      <c r="D423" s="1" t="s">
        <v>14</v>
      </c>
      <c r="E423" s="1" t="s">
        <v>15</v>
      </c>
      <c r="F423" s="1" t="s">
        <v>16</v>
      </c>
      <c r="G423" s="1" t="s">
        <v>17</v>
      </c>
      <c r="H423" s="2"/>
      <c r="I423" s="2"/>
      <c r="J423" s="2"/>
      <c r="K423" s="2"/>
    </row>
    <row x14ac:dyDescent="0.25" r="424" customHeight="1" ht="17.25">
      <c r="A424" s="1" t="s">
        <v>969</v>
      </c>
      <c r="B424" s="1" t="s">
        <v>970</v>
      </c>
      <c r="C424" s="1" t="s">
        <v>20</v>
      </c>
      <c r="D424" s="1" t="s">
        <v>14</v>
      </c>
      <c r="E424" s="1" t="s">
        <v>15</v>
      </c>
      <c r="F424" s="1" t="s">
        <v>16</v>
      </c>
      <c r="G424" s="1" t="s">
        <v>17</v>
      </c>
      <c r="H424" s="2"/>
      <c r="I424" s="2"/>
      <c r="J424" s="2"/>
      <c r="K424" s="2"/>
    </row>
    <row x14ac:dyDescent="0.25" r="425" customHeight="1" ht="17.25">
      <c r="A425" s="1" t="s">
        <v>971</v>
      </c>
      <c r="B425" s="1" t="s">
        <v>972</v>
      </c>
      <c r="C425" s="1" t="s">
        <v>453</v>
      </c>
      <c r="D425" s="1" t="s">
        <v>14</v>
      </c>
      <c r="E425" s="1" t="s">
        <v>15</v>
      </c>
      <c r="F425" s="1" t="s">
        <v>16</v>
      </c>
      <c r="G425" s="1" t="s">
        <v>17</v>
      </c>
      <c r="H425" s="2"/>
      <c r="I425" s="2"/>
      <c r="J425" s="2"/>
      <c r="K425" s="2"/>
    </row>
    <row x14ac:dyDescent="0.25" r="426" customHeight="1" ht="17.25">
      <c r="A426" s="1" t="s">
        <v>973</v>
      </c>
      <c r="B426" s="1" t="s">
        <v>974</v>
      </c>
      <c r="C426" s="1" t="s">
        <v>453</v>
      </c>
      <c r="D426" s="1" t="s">
        <v>14</v>
      </c>
      <c r="E426" s="1" t="s">
        <v>15</v>
      </c>
      <c r="F426" s="1" t="s">
        <v>16</v>
      </c>
      <c r="G426" s="1" t="s">
        <v>17</v>
      </c>
      <c r="H426" s="2"/>
      <c r="I426" s="2"/>
      <c r="J426" s="2"/>
      <c r="K426" s="2"/>
    </row>
    <row x14ac:dyDescent="0.25" r="427" customHeight="1" ht="17.25">
      <c r="A427" s="1" t="s">
        <v>975</v>
      </c>
      <c r="B427" s="1" t="s">
        <v>976</v>
      </c>
      <c r="C427" s="1" t="s">
        <v>340</v>
      </c>
      <c r="D427" s="1" t="s">
        <v>14</v>
      </c>
      <c r="E427" s="1" t="s">
        <v>15</v>
      </c>
      <c r="F427" s="1" t="s">
        <v>16</v>
      </c>
      <c r="G427" s="1" t="s">
        <v>17</v>
      </c>
      <c r="H427" s="2"/>
      <c r="I427" s="2"/>
      <c r="J427" s="2"/>
      <c r="K427" s="2"/>
    </row>
    <row x14ac:dyDescent="0.25" r="428" customHeight="1" ht="17.25">
      <c r="A428" s="1" t="s">
        <v>977</v>
      </c>
      <c r="B428" s="1" t="s">
        <v>978</v>
      </c>
      <c r="C428" s="1" t="s">
        <v>254</v>
      </c>
      <c r="D428" s="1" t="s">
        <v>14</v>
      </c>
      <c r="E428" s="1" t="s">
        <v>15</v>
      </c>
      <c r="F428" s="1" t="s">
        <v>16</v>
      </c>
      <c r="G428" s="1" t="s">
        <v>17</v>
      </c>
      <c r="H428" s="2"/>
      <c r="I428" s="2"/>
      <c r="J428" s="2"/>
      <c r="K428" s="2"/>
    </row>
    <row x14ac:dyDescent="0.25" r="429" customHeight="1" ht="17.25">
      <c r="A429" s="1" t="s">
        <v>979</v>
      </c>
      <c r="B429" s="1" t="s">
        <v>980</v>
      </c>
      <c r="C429" s="1" t="s">
        <v>450</v>
      </c>
      <c r="D429" s="1" t="s">
        <v>14</v>
      </c>
      <c r="E429" s="1" t="s">
        <v>15</v>
      </c>
      <c r="F429" s="1" t="s">
        <v>16</v>
      </c>
      <c r="G429" s="1" t="s">
        <v>17</v>
      </c>
      <c r="H429" s="2"/>
      <c r="I429" s="2"/>
      <c r="J429" s="2"/>
      <c r="K429" s="2"/>
    </row>
    <row x14ac:dyDescent="0.25" r="430" customHeight="1" ht="17.25">
      <c r="A430" s="1" t="s">
        <v>981</v>
      </c>
      <c r="B430" s="1" t="s">
        <v>982</v>
      </c>
      <c r="C430" s="1" t="s">
        <v>135</v>
      </c>
      <c r="D430" s="1" t="s">
        <v>14</v>
      </c>
      <c r="E430" s="1" t="s">
        <v>15</v>
      </c>
      <c r="F430" s="1" t="s">
        <v>16</v>
      </c>
      <c r="G430" s="1" t="s">
        <v>17</v>
      </c>
      <c r="H430" s="2"/>
      <c r="I430" s="2"/>
      <c r="J430" s="2"/>
      <c r="K430" s="2"/>
    </row>
    <row x14ac:dyDescent="0.25" r="431" customHeight="1" ht="17.25">
      <c r="A431" s="1" t="s">
        <v>983</v>
      </c>
      <c r="B431" s="1" t="s">
        <v>984</v>
      </c>
      <c r="C431" s="1" t="s">
        <v>135</v>
      </c>
      <c r="D431" s="1" t="s">
        <v>14</v>
      </c>
      <c r="E431" s="1" t="s">
        <v>15</v>
      </c>
      <c r="F431" s="1" t="s">
        <v>16</v>
      </c>
      <c r="G431" s="1" t="s">
        <v>17</v>
      </c>
      <c r="H431" s="2"/>
      <c r="I431" s="2"/>
      <c r="J431" s="2"/>
      <c r="K431" s="2"/>
    </row>
    <row x14ac:dyDescent="0.25" r="432" customHeight="1" ht="17.25">
      <c r="A432" s="1" t="s">
        <v>985</v>
      </c>
      <c r="B432" s="1" t="s">
        <v>986</v>
      </c>
      <c r="C432" s="1" t="s">
        <v>185</v>
      </c>
      <c r="D432" s="1" t="s">
        <v>14</v>
      </c>
      <c r="E432" s="1" t="s">
        <v>15</v>
      </c>
      <c r="F432" s="1" t="s">
        <v>16</v>
      </c>
      <c r="G432" s="1" t="s">
        <v>17</v>
      </c>
      <c r="H432" s="2"/>
      <c r="I432" s="2"/>
      <c r="J432" s="2"/>
      <c r="K432" s="2"/>
    </row>
    <row x14ac:dyDescent="0.25" r="433" customHeight="1" ht="17.25">
      <c r="A433" s="1" t="s">
        <v>987</v>
      </c>
      <c r="B433" s="1" t="s">
        <v>988</v>
      </c>
      <c r="C433" s="1" t="s">
        <v>54</v>
      </c>
      <c r="D433" s="1" t="s">
        <v>14</v>
      </c>
      <c r="E433" s="1" t="s">
        <v>15</v>
      </c>
      <c r="F433" s="1" t="s">
        <v>16</v>
      </c>
      <c r="G433" s="1" t="s">
        <v>17</v>
      </c>
      <c r="H433" s="2"/>
      <c r="I433" s="2"/>
      <c r="J433" s="2"/>
      <c r="K433" s="2"/>
    </row>
    <row x14ac:dyDescent="0.25" r="434" customHeight="1" ht="17.25">
      <c r="A434" s="1" t="s">
        <v>989</v>
      </c>
      <c r="B434" s="1" t="s">
        <v>990</v>
      </c>
      <c r="C434" s="1" t="s">
        <v>185</v>
      </c>
      <c r="D434" s="1" t="s">
        <v>14</v>
      </c>
      <c r="E434" s="1" t="s">
        <v>15</v>
      </c>
      <c r="F434" s="1" t="s">
        <v>16</v>
      </c>
      <c r="G434" s="1" t="s">
        <v>17</v>
      </c>
      <c r="H434" s="2"/>
      <c r="I434" s="2"/>
      <c r="J434" s="2"/>
      <c r="K434" s="2"/>
    </row>
    <row x14ac:dyDescent="0.25" r="435" customHeight="1" ht="17.25">
      <c r="A435" s="1" t="s">
        <v>991</v>
      </c>
      <c r="B435" s="1" t="s">
        <v>992</v>
      </c>
      <c r="C435" s="1" t="s">
        <v>641</v>
      </c>
      <c r="D435" s="1" t="s">
        <v>14</v>
      </c>
      <c r="E435" s="1" t="s">
        <v>15</v>
      </c>
      <c r="F435" s="1" t="s">
        <v>16</v>
      </c>
      <c r="G435" s="1" t="s">
        <v>17</v>
      </c>
      <c r="H435" s="2"/>
      <c r="I435" s="2"/>
      <c r="J435" s="2"/>
      <c r="K435" s="2"/>
    </row>
    <row x14ac:dyDescent="0.25" r="436" customHeight="1" ht="17.25">
      <c r="A436" s="1" t="s">
        <v>993</v>
      </c>
      <c r="B436" s="1" t="s">
        <v>994</v>
      </c>
      <c r="C436" s="1" t="s">
        <v>545</v>
      </c>
      <c r="D436" s="1" t="s">
        <v>14</v>
      </c>
      <c r="E436" s="1" t="s">
        <v>15</v>
      </c>
      <c r="F436" s="1" t="s">
        <v>16</v>
      </c>
      <c r="G436" s="1" t="s">
        <v>17</v>
      </c>
      <c r="H436" s="2"/>
      <c r="I436" s="2"/>
      <c r="J436" s="2"/>
      <c r="K436" s="2"/>
    </row>
    <row x14ac:dyDescent="0.25" r="437" customHeight="1" ht="17.25">
      <c r="A437" s="1" t="s">
        <v>995</v>
      </c>
      <c r="B437" s="1" t="s">
        <v>996</v>
      </c>
      <c r="C437" s="1" t="s">
        <v>20</v>
      </c>
      <c r="D437" s="1" t="s">
        <v>14</v>
      </c>
      <c r="E437" s="1" t="s">
        <v>15</v>
      </c>
      <c r="F437" s="1" t="s">
        <v>16</v>
      </c>
      <c r="G437" s="1" t="s">
        <v>17</v>
      </c>
      <c r="H437" s="2"/>
      <c r="I437" s="2"/>
      <c r="J437" s="2"/>
      <c r="K437" s="2"/>
    </row>
    <row x14ac:dyDescent="0.25" r="438" customHeight="1" ht="17.25">
      <c r="A438" s="1" t="s">
        <v>997</v>
      </c>
      <c r="B438" s="1" t="s">
        <v>998</v>
      </c>
      <c r="C438" s="1" t="s">
        <v>519</v>
      </c>
      <c r="D438" s="1" t="s">
        <v>14</v>
      </c>
      <c r="E438" s="1" t="s">
        <v>15</v>
      </c>
      <c r="F438" s="1" t="s">
        <v>16</v>
      </c>
      <c r="G438" s="1" t="s">
        <v>17</v>
      </c>
      <c r="H438" s="2"/>
      <c r="I438" s="2"/>
      <c r="J438" s="2"/>
      <c r="K438" s="2"/>
    </row>
    <row x14ac:dyDescent="0.25" r="439" customHeight="1" ht="17.25">
      <c r="A439" s="1" t="s">
        <v>999</v>
      </c>
      <c r="B439" s="1" t="s">
        <v>1000</v>
      </c>
      <c r="C439" s="1" t="s">
        <v>20</v>
      </c>
      <c r="D439" s="1" t="s">
        <v>14</v>
      </c>
      <c r="E439" s="1" t="s">
        <v>15</v>
      </c>
      <c r="F439" s="1" t="s">
        <v>16</v>
      </c>
      <c r="G439" s="1" t="s">
        <v>17</v>
      </c>
      <c r="H439" s="2"/>
      <c r="I439" s="2"/>
      <c r="J439" s="2"/>
      <c r="K439" s="2"/>
    </row>
    <row x14ac:dyDescent="0.25" r="440" customHeight="1" ht="17.25">
      <c r="A440" s="1" t="s">
        <v>1001</v>
      </c>
      <c r="B440" s="1" t="s">
        <v>1002</v>
      </c>
      <c r="C440" s="1" t="s">
        <v>111</v>
      </c>
      <c r="D440" s="1" t="s">
        <v>14</v>
      </c>
      <c r="E440" s="1" t="s">
        <v>15</v>
      </c>
      <c r="F440" s="1" t="s">
        <v>16</v>
      </c>
      <c r="G440" s="1" t="s">
        <v>17</v>
      </c>
      <c r="H440" s="2"/>
      <c r="I440" s="2"/>
      <c r="J440" s="2"/>
      <c r="K440" s="2"/>
    </row>
    <row x14ac:dyDescent="0.25" r="441" customHeight="1" ht="17.25">
      <c r="A441" s="1" t="s">
        <v>1003</v>
      </c>
      <c r="B441" s="1" t="s">
        <v>1004</v>
      </c>
      <c r="C441" s="1" t="s">
        <v>522</v>
      </c>
      <c r="D441" s="1" t="s">
        <v>14</v>
      </c>
      <c r="E441" s="1" t="s">
        <v>15</v>
      </c>
      <c r="F441" s="1" t="s">
        <v>16</v>
      </c>
      <c r="G441" s="1" t="s">
        <v>17</v>
      </c>
      <c r="H441" s="2"/>
      <c r="I441" s="2"/>
      <c r="J441" s="2"/>
      <c r="K441" s="2"/>
    </row>
    <row x14ac:dyDescent="0.25" r="442" customHeight="1" ht="17.25">
      <c r="A442" s="1" t="s">
        <v>1005</v>
      </c>
      <c r="B442" s="1" t="s">
        <v>1006</v>
      </c>
      <c r="C442" s="1" t="s">
        <v>1007</v>
      </c>
      <c r="D442" s="1" t="s">
        <v>14</v>
      </c>
      <c r="E442" s="1" t="s">
        <v>15</v>
      </c>
      <c r="F442" s="1" t="s">
        <v>16</v>
      </c>
      <c r="G442" s="1" t="s">
        <v>17</v>
      </c>
      <c r="H442" s="2"/>
      <c r="I442" s="2"/>
      <c r="J442" s="2"/>
      <c r="K442" s="2"/>
    </row>
    <row x14ac:dyDescent="0.25" r="443" customHeight="1" ht="17.25">
      <c r="A443" s="1" t="s">
        <v>1008</v>
      </c>
      <c r="B443" s="1" t="s">
        <v>1009</v>
      </c>
      <c r="C443" s="1" t="s">
        <v>30</v>
      </c>
      <c r="D443" s="1" t="s">
        <v>14</v>
      </c>
      <c r="E443" s="1" t="s">
        <v>15</v>
      </c>
      <c r="F443" s="1" t="s">
        <v>16</v>
      </c>
      <c r="G443" s="1" t="s">
        <v>17</v>
      </c>
      <c r="H443" s="2"/>
      <c r="I443" s="2"/>
      <c r="J443" s="2"/>
      <c r="K443" s="2"/>
    </row>
    <row x14ac:dyDescent="0.25" r="444" customHeight="1" ht="17.25">
      <c r="A444" s="1" t="s">
        <v>1010</v>
      </c>
      <c r="B444" s="1" t="s">
        <v>1011</v>
      </c>
      <c r="C444" s="1" t="s">
        <v>532</v>
      </c>
      <c r="D444" s="1" t="s">
        <v>14</v>
      </c>
      <c r="E444" s="1" t="s">
        <v>15</v>
      </c>
      <c r="F444" s="1" t="s">
        <v>16</v>
      </c>
      <c r="G444" s="1" t="s">
        <v>17</v>
      </c>
      <c r="H444" s="2"/>
      <c r="I444" s="2"/>
      <c r="J444" s="2"/>
      <c r="K444" s="2"/>
    </row>
    <row x14ac:dyDescent="0.25" r="445" customHeight="1" ht="17.25">
      <c r="A445" s="1" t="s">
        <v>1012</v>
      </c>
      <c r="B445" s="1" t="s">
        <v>1013</v>
      </c>
      <c r="C445" s="1" t="s">
        <v>340</v>
      </c>
      <c r="D445" s="1" t="s">
        <v>14</v>
      </c>
      <c r="E445" s="1" t="s">
        <v>15</v>
      </c>
      <c r="F445" s="1" t="s">
        <v>16</v>
      </c>
      <c r="G445" s="1" t="s">
        <v>17</v>
      </c>
      <c r="H445" s="2"/>
      <c r="I445" s="2"/>
      <c r="J445" s="2"/>
      <c r="K445" s="2"/>
    </row>
    <row x14ac:dyDescent="0.25" r="446" customHeight="1" ht="17.25">
      <c r="A446" s="1" t="s">
        <v>1014</v>
      </c>
      <c r="B446" s="1" t="s">
        <v>1015</v>
      </c>
      <c r="C446" s="1" t="s">
        <v>20</v>
      </c>
      <c r="D446" s="1" t="s">
        <v>14</v>
      </c>
      <c r="E446" s="1" t="s">
        <v>15</v>
      </c>
      <c r="F446" s="1" t="s">
        <v>16</v>
      </c>
      <c r="G446" s="1" t="s">
        <v>17</v>
      </c>
      <c r="H446" s="2"/>
      <c r="I446" s="2"/>
      <c r="J446" s="2"/>
      <c r="K446" s="2"/>
    </row>
    <row x14ac:dyDescent="0.25" r="447" customHeight="1" ht="17.25">
      <c r="A447" s="1" t="s">
        <v>1016</v>
      </c>
      <c r="B447" s="1" t="s">
        <v>1017</v>
      </c>
      <c r="C447" s="1" t="s">
        <v>20</v>
      </c>
      <c r="D447" s="1" t="s">
        <v>14</v>
      </c>
      <c r="E447" s="1" t="s">
        <v>15</v>
      </c>
      <c r="F447" s="1" t="s">
        <v>16</v>
      </c>
      <c r="G447" s="1" t="s">
        <v>17</v>
      </c>
      <c r="H447" s="2"/>
      <c r="I447" s="2"/>
      <c r="J447" s="2"/>
      <c r="K447" s="2"/>
    </row>
    <row x14ac:dyDescent="0.25" r="448" customHeight="1" ht="17.25">
      <c r="A448" s="1" t="s">
        <v>1018</v>
      </c>
      <c r="B448" s="1" t="s">
        <v>1019</v>
      </c>
      <c r="C448" s="1" t="s">
        <v>20</v>
      </c>
      <c r="D448" s="1" t="s">
        <v>14</v>
      </c>
      <c r="E448" s="1" t="s">
        <v>15</v>
      </c>
      <c r="F448" s="1" t="s">
        <v>16</v>
      </c>
      <c r="G448" s="1" t="s">
        <v>17</v>
      </c>
      <c r="H448" s="2"/>
      <c r="I448" s="2"/>
      <c r="J448" s="2"/>
      <c r="K448" s="2"/>
    </row>
    <row x14ac:dyDescent="0.25" r="449" customHeight="1" ht="17.25">
      <c r="A449" s="1" t="s">
        <v>1020</v>
      </c>
      <c r="B449" s="1" t="s">
        <v>1021</v>
      </c>
      <c r="C449" s="1" t="s">
        <v>333</v>
      </c>
      <c r="D449" s="1" t="s">
        <v>14</v>
      </c>
      <c r="E449" s="1" t="s">
        <v>15</v>
      </c>
      <c r="F449" s="1" t="s">
        <v>16</v>
      </c>
      <c r="G449" s="1" t="s">
        <v>17</v>
      </c>
      <c r="H449" s="2"/>
      <c r="I449" s="2"/>
      <c r="J449" s="2"/>
      <c r="K449" s="2"/>
    </row>
    <row x14ac:dyDescent="0.25" r="450" customHeight="1" ht="17.25">
      <c r="A450" s="1" t="s">
        <v>1022</v>
      </c>
      <c r="B450" s="1" t="s">
        <v>1023</v>
      </c>
      <c r="C450" s="1" t="s">
        <v>224</v>
      </c>
      <c r="D450" s="1" t="s">
        <v>14</v>
      </c>
      <c r="E450" s="1" t="s">
        <v>15</v>
      </c>
      <c r="F450" s="1" t="s">
        <v>16</v>
      </c>
      <c r="G450" s="1" t="s">
        <v>17</v>
      </c>
      <c r="H450" s="2"/>
      <c r="I450" s="2"/>
      <c r="J450" s="2"/>
      <c r="K450" s="2"/>
    </row>
    <row x14ac:dyDescent="0.25" r="451" customHeight="1" ht="17.25">
      <c r="A451" s="1" t="s">
        <v>1024</v>
      </c>
      <c r="B451" s="1" t="s">
        <v>1025</v>
      </c>
      <c r="C451" s="1" t="s">
        <v>20</v>
      </c>
      <c r="D451" s="1" t="s">
        <v>14</v>
      </c>
      <c r="E451" s="1" t="s">
        <v>15</v>
      </c>
      <c r="F451" s="1" t="s">
        <v>16</v>
      </c>
      <c r="G451" s="1" t="s">
        <v>17</v>
      </c>
      <c r="H451" s="2"/>
      <c r="I451" s="2"/>
      <c r="J451" s="2"/>
      <c r="K451" s="2"/>
    </row>
    <row x14ac:dyDescent="0.25" r="452" customHeight="1" ht="17.25">
      <c r="A452" s="1" t="s">
        <v>1026</v>
      </c>
      <c r="B452" s="1" t="s">
        <v>1027</v>
      </c>
      <c r="C452" s="1" t="s">
        <v>51</v>
      </c>
      <c r="D452" s="1" t="s">
        <v>14</v>
      </c>
      <c r="E452" s="1" t="s">
        <v>15</v>
      </c>
      <c r="F452" s="1" t="s">
        <v>16</v>
      </c>
      <c r="G452" s="1" t="s">
        <v>17</v>
      </c>
      <c r="H452" s="2"/>
      <c r="I452" s="2"/>
      <c r="J452" s="2"/>
      <c r="K452" s="2"/>
    </row>
    <row x14ac:dyDescent="0.25" r="453" customHeight="1" ht="17.25">
      <c r="A453" s="1" t="s">
        <v>1028</v>
      </c>
      <c r="B453" s="1" t="s">
        <v>1029</v>
      </c>
      <c r="C453" s="1" t="s">
        <v>453</v>
      </c>
      <c r="D453" s="1" t="s">
        <v>14</v>
      </c>
      <c r="E453" s="1" t="s">
        <v>15</v>
      </c>
      <c r="F453" s="1" t="s">
        <v>16</v>
      </c>
      <c r="G453" s="1" t="s">
        <v>17</v>
      </c>
      <c r="H453" s="2"/>
      <c r="I453" s="2"/>
      <c r="J453" s="2"/>
      <c r="K453" s="2"/>
    </row>
    <row x14ac:dyDescent="0.25" r="454" customHeight="1" ht="17.25">
      <c r="A454" s="1" t="s">
        <v>1030</v>
      </c>
      <c r="B454" s="1" t="s">
        <v>1031</v>
      </c>
      <c r="C454" s="1" t="s">
        <v>30</v>
      </c>
      <c r="D454" s="1" t="s">
        <v>14</v>
      </c>
      <c r="E454" s="1" t="s">
        <v>15</v>
      </c>
      <c r="F454" s="1" t="s">
        <v>16</v>
      </c>
      <c r="G454" s="1" t="s">
        <v>17</v>
      </c>
      <c r="H454" s="2"/>
      <c r="I454" s="2"/>
      <c r="J454" s="2"/>
      <c r="K454" s="2"/>
    </row>
    <row x14ac:dyDescent="0.25" r="455" customHeight="1" ht="17.25">
      <c r="A455" s="1" t="s">
        <v>1032</v>
      </c>
      <c r="B455" s="1" t="s">
        <v>1033</v>
      </c>
      <c r="C455" s="1" t="s">
        <v>231</v>
      </c>
      <c r="D455" s="1" t="s">
        <v>14</v>
      </c>
      <c r="E455" s="1" t="s">
        <v>15</v>
      </c>
      <c r="F455" s="1" t="s">
        <v>16</v>
      </c>
      <c r="G455" s="1" t="s">
        <v>17</v>
      </c>
      <c r="H455" s="2"/>
      <c r="I455" s="2"/>
      <c r="J455" s="2"/>
      <c r="K455" s="2"/>
    </row>
    <row x14ac:dyDescent="0.25" r="456" customHeight="1" ht="17.25">
      <c r="A456" s="1" t="s">
        <v>1034</v>
      </c>
      <c r="B456" s="1" t="s">
        <v>1035</v>
      </c>
      <c r="C456" s="1" t="s">
        <v>578</v>
      </c>
      <c r="D456" s="1" t="s">
        <v>14</v>
      </c>
      <c r="E456" s="1" t="s">
        <v>15</v>
      </c>
      <c r="F456" s="1" t="s">
        <v>16</v>
      </c>
      <c r="G456" s="1" t="s">
        <v>17</v>
      </c>
      <c r="H456" s="2"/>
      <c r="I456" s="2"/>
      <c r="J456" s="2"/>
      <c r="K456" s="2"/>
    </row>
    <row x14ac:dyDescent="0.25" r="457" customHeight="1" ht="17.25">
      <c r="A457" s="1" t="s">
        <v>1036</v>
      </c>
      <c r="B457" s="1" t="s">
        <v>1037</v>
      </c>
      <c r="C457" s="1" t="s">
        <v>440</v>
      </c>
      <c r="D457" s="1" t="s">
        <v>14</v>
      </c>
      <c r="E457" s="1" t="s">
        <v>15</v>
      </c>
      <c r="F457" s="1" t="s">
        <v>16</v>
      </c>
      <c r="G457" s="1" t="s">
        <v>17</v>
      </c>
      <c r="H457" s="2"/>
      <c r="I457" s="2"/>
      <c r="J457" s="2"/>
      <c r="K457" s="2"/>
    </row>
    <row x14ac:dyDescent="0.25" r="458" customHeight="1" ht="17.25">
      <c r="A458" s="1" t="s">
        <v>1038</v>
      </c>
      <c r="B458" s="1" t="s">
        <v>1039</v>
      </c>
      <c r="C458" s="1" t="s">
        <v>867</v>
      </c>
      <c r="D458" s="1" t="s">
        <v>14</v>
      </c>
      <c r="E458" s="1" t="s">
        <v>15</v>
      </c>
      <c r="F458" s="1" t="s">
        <v>16</v>
      </c>
      <c r="G458" s="1" t="s">
        <v>17</v>
      </c>
      <c r="H458" s="2"/>
      <c r="I458" s="2"/>
      <c r="J458" s="2"/>
      <c r="K458" s="2"/>
    </row>
    <row x14ac:dyDescent="0.25" r="459" customHeight="1" ht="17.25">
      <c r="A459" s="1" t="s">
        <v>1040</v>
      </c>
      <c r="B459" s="1" t="s">
        <v>1041</v>
      </c>
      <c r="C459" s="1" t="s">
        <v>20</v>
      </c>
      <c r="D459" s="1" t="s">
        <v>14</v>
      </c>
      <c r="E459" s="1" t="s">
        <v>15</v>
      </c>
      <c r="F459" s="1" t="s">
        <v>16</v>
      </c>
      <c r="G459" s="1" t="s">
        <v>17</v>
      </c>
      <c r="H459" s="2"/>
      <c r="I459" s="2"/>
      <c r="J459" s="2"/>
      <c r="K459" s="2"/>
    </row>
    <row x14ac:dyDescent="0.25" r="460" customHeight="1" ht="17.25">
      <c r="A460" s="1" t="s">
        <v>1042</v>
      </c>
      <c r="B460" s="1" t="s">
        <v>1043</v>
      </c>
      <c r="C460" s="1" t="s">
        <v>117</v>
      </c>
      <c r="D460" s="1" t="s">
        <v>14</v>
      </c>
      <c r="E460" s="1" t="s">
        <v>15</v>
      </c>
      <c r="F460" s="1" t="s">
        <v>16</v>
      </c>
      <c r="G460" s="1" t="s">
        <v>17</v>
      </c>
      <c r="H460" s="2"/>
      <c r="I460" s="2"/>
      <c r="J460" s="2"/>
      <c r="K460" s="2"/>
    </row>
    <row x14ac:dyDescent="0.25" r="461" customHeight="1" ht="17.25">
      <c r="A461" s="1" t="s">
        <v>1044</v>
      </c>
      <c r="B461" s="1" t="s">
        <v>1045</v>
      </c>
      <c r="C461" s="1" t="s">
        <v>1046</v>
      </c>
      <c r="D461" s="1" t="s">
        <v>14</v>
      </c>
      <c r="E461" s="1" t="s">
        <v>15</v>
      </c>
      <c r="F461" s="1" t="s">
        <v>16</v>
      </c>
      <c r="G461" s="1" t="s">
        <v>17</v>
      </c>
      <c r="H461" s="2"/>
      <c r="I461" s="2"/>
      <c r="J461" s="2"/>
      <c r="K461" s="2"/>
    </row>
    <row x14ac:dyDescent="0.25" r="462" customHeight="1" ht="17.25">
      <c r="A462" s="1" t="s">
        <v>1047</v>
      </c>
      <c r="B462" s="1" t="s">
        <v>1048</v>
      </c>
      <c r="C462" s="1" t="s">
        <v>20</v>
      </c>
      <c r="D462" s="1" t="s">
        <v>14</v>
      </c>
      <c r="E462" s="1" t="s">
        <v>15</v>
      </c>
      <c r="F462" s="1" t="s">
        <v>16</v>
      </c>
      <c r="G462" s="1" t="s">
        <v>17</v>
      </c>
      <c r="H462" s="2"/>
      <c r="I462" s="2"/>
      <c r="J462" s="2"/>
      <c r="K462" s="2"/>
    </row>
    <row x14ac:dyDescent="0.25" r="463" customHeight="1" ht="17.25">
      <c r="A463" s="1" t="s">
        <v>1049</v>
      </c>
      <c r="B463" s="1" t="s">
        <v>1050</v>
      </c>
      <c r="C463" s="1" t="s">
        <v>1046</v>
      </c>
      <c r="D463" s="1" t="s">
        <v>14</v>
      </c>
      <c r="E463" s="1" t="s">
        <v>15</v>
      </c>
      <c r="F463" s="1" t="s">
        <v>16</v>
      </c>
      <c r="G463" s="1" t="s">
        <v>17</v>
      </c>
      <c r="H463" s="2"/>
      <c r="I463" s="2"/>
      <c r="J463" s="2"/>
      <c r="K463" s="2"/>
    </row>
    <row x14ac:dyDescent="0.25" r="464" customHeight="1" ht="17.25">
      <c r="A464" s="1" t="s">
        <v>1051</v>
      </c>
      <c r="B464" s="1" t="s">
        <v>1052</v>
      </c>
      <c r="C464" s="1" t="s">
        <v>62</v>
      </c>
      <c r="D464" s="1" t="s">
        <v>14</v>
      </c>
      <c r="E464" s="1" t="s">
        <v>15</v>
      </c>
      <c r="F464" s="1" t="s">
        <v>16</v>
      </c>
      <c r="G464" s="1" t="s">
        <v>17</v>
      </c>
      <c r="H464" s="2"/>
      <c r="I464" s="2"/>
      <c r="J464" s="2"/>
      <c r="K464" s="2"/>
    </row>
    <row x14ac:dyDescent="0.25" r="465" customHeight="1" ht="17.25">
      <c r="A465" s="1" t="s">
        <v>1053</v>
      </c>
      <c r="B465" s="1" t="s">
        <v>1054</v>
      </c>
      <c r="C465" s="1" t="s">
        <v>23</v>
      </c>
      <c r="D465" s="1" t="s">
        <v>14</v>
      </c>
      <c r="E465" s="1" t="s">
        <v>15</v>
      </c>
      <c r="F465" s="1" t="s">
        <v>16</v>
      </c>
      <c r="G465" s="1" t="s">
        <v>17</v>
      </c>
      <c r="H465" s="2"/>
      <c r="I465" s="2"/>
      <c r="J465" s="2"/>
      <c r="K465" s="2"/>
    </row>
    <row x14ac:dyDescent="0.25" r="466" customHeight="1" ht="17.25">
      <c r="A466" s="1" t="s">
        <v>1055</v>
      </c>
      <c r="B466" s="1" t="s">
        <v>1056</v>
      </c>
      <c r="C466" s="1" t="s">
        <v>20</v>
      </c>
      <c r="D466" s="1" t="s">
        <v>14</v>
      </c>
      <c r="E466" s="1" t="s">
        <v>15</v>
      </c>
      <c r="F466" s="1" t="s">
        <v>16</v>
      </c>
      <c r="G466" s="1" t="s">
        <v>17</v>
      </c>
      <c r="H466" s="2"/>
      <c r="I466" s="2"/>
      <c r="J466" s="2"/>
      <c r="K466" s="2"/>
    </row>
    <row x14ac:dyDescent="0.25" r="467" customHeight="1" ht="17.25">
      <c r="A467" s="1" t="s">
        <v>1057</v>
      </c>
      <c r="B467" s="1" t="s">
        <v>1058</v>
      </c>
      <c r="C467" s="1" t="s">
        <v>20</v>
      </c>
      <c r="D467" s="1" t="s">
        <v>14</v>
      </c>
      <c r="E467" s="1" t="s">
        <v>15</v>
      </c>
      <c r="F467" s="1" t="s">
        <v>16</v>
      </c>
      <c r="G467" s="1" t="s">
        <v>17</v>
      </c>
      <c r="H467" s="2"/>
      <c r="I467" s="2"/>
      <c r="J467" s="2"/>
      <c r="K467" s="2"/>
    </row>
    <row x14ac:dyDescent="0.25" r="468" customHeight="1" ht="17.25">
      <c r="A468" s="1" t="s">
        <v>1059</v>
      </c>
      <c r="B468" s="1" t="s">
        <v>1060</v>
      </c>
      <c r="C468" s="1" t="s">
        <v>20</v>
      </c>
      <c r="D468" s="1" t="s">
        <v>14</v>
      </c>
      <c r="E468" s="1" t="s">
        <v>15</v>
      </c>
      <c r="F468" s="1" t="s">
        <v>16</v>
      </c>
      <c r="G468" s="1" t="s">
        <v>17</v>
      </c>
      <c r="H468" s="2"/>
      <c r="I468" s="2"/>
      <c r="J468" s="2"/>
      <c r="K468" s="2"/>
    </row>
    <row x14ac:dyDescent="0.25" r="469" customHeight="1" ht="17.25">
      <c r="A469" s="1" t="s">
        <v>1061</v>
      </c>
      <c r="B469" s="1" t="s">
        <v>1062</v>
      </c>
      <c r="C469" s="1" t="s">
        <v>20</v>
      </c>
      <c r="D469" s="1" t="s">
        <v>14</v>
      </c>
      <c r="E469" s="1" t="s">
        <v>15</v>
      </c>
      <c r="F469" s="1" t="s">
        <v>16</v>
      </c>
      <c r="G469" s="1" t="s">
        <v>17</v>
      </c>
      <c r="H469" s="2"/>
      <c r="I469" s="2"/>
      <c r="J469" s="2"/>
      <c r="K469" s="2"/>
    </row>
    <row x14ac:dyDescent="0.25" r="470" customHeight="1" ht="17.25">
      <c r="A470" s="1" t="s">
        <v>1063</v>
      </c>
      <c r="B470" s="1" t="s">
        <v>1064</v>
      </c>
      <c r="C470" s="1" t="s">
        <v>20</v>
      </c>
      <c r="D470" s="1" t="s">
        <v>14</v>
      </c>
      <c r="E470" s="1" t="s">
        <v>15</v>
      </c>
      <c r="F470" s="1" t="s">
        <v>16</v>
      </c>
      <c r="G470" s="1" t="s">
        <v>17</v>
      </c>
      <c r="H470" s="2"/>
      <c r="I470" s="2"/>
      <c r="J470" s="2"/>
      <c r="K470" s="2"/>
    </row>
    <row x14ac:dyDescent="0.25" r="471" customHeight="1" ht="17.25">
      <c r="A471" s="1" t="s">
        <v>1065</v>
      </c>
      <c r="B471" s="1" t="s">
        <v>1066</v>
      </c>
      <c r="C471" s="1" t="s">
        <v>20</v>
      </c>
      <c r="D471" s="1" t="s">
        <v>14</v>
      </c>
      <c r="E471" s="1" t="s">
        <v>15</v>
      </c>
      <c r="F471" s="1" t="s">
        <v>16</v>
      </c>
      <c r="G471" s="1" t="s">
        <v>17</v>
      </c>
      <c r="H471" s="2"/>
      <c r="I471" s="2"/>
      <c r="J471" s="2"/>
      <c r="K471" s="2"/>
    </row>
    <row x14ac:dyDescent="0.25" r="472" customHeight="1" ht="17.25">
      <c r="A472" s="1" t="s">
        <v>1067</v>
      </c>
      <c r="B472" s="1" t="s">
        <v>1068</v>
      </c>
      <c r="C472" s="1" t="s">
        <v>149</v>
      </c>
      <c r="D472" s="1" t="s">
        <v>14</v>
      </c>
      <c r="E472" s="1" t="s">
        <v>15</v>
      </c>
      <c r="F472" s="1" t="s">
        <v>16</v>
      </c>
      <c r="G472" s="1" t="s">
        <v>17</v>
      </c>
      <c r="H472" s="2"/>
      <c r="I472" s="2"/>
      <c r="J472" s="2"/>
      <c r="K472" s="2"/>
    </row>
    <row x14ac:dyDescent="0.25" r="473" customHeight="1" ht="17.25">
      <c r="A473" s="1" t="s">
        <v>1069</v>
      </c>
      <c r="B473" s="1" t="s">
        <v>1070</v>
      </c>
      <c r="C473" s="1" t="s">
        <v>59</v>
      </c>
      <c r="D473" s="1" t="s">
        <v>14</v>
      </c>
      <c r="E473" s="1" t="s">
        <v>15</v>
      </c>
      <c r="F473" s="1" t="s">
        <v>16</v>
      </c>
      <c r="G473" s="1" t="s">
        <v>17</v>
      </c>
      <c r="H473" s="2"/>
      <c r="I473" s="2"/>
      <c r="J473" s="2"/>
      <c r="K473" s="2"/>
    </row>
    <row x14ac:dyDescent="0.25" r="474" customHeight="1" ht="17.25">
      <c r="A474" s="1" t="s">
        <v>1071</v>
      </c>
      <c r="B474" s="1" t="s">
        <v>1072</v>
      </c>
      <c r="C474" s="1" t="s">
        <v>135</v>
      </c>
      <c r="D474" s="1" t="s">
        <v>14</v>
      </c>
      <c r="E474" s="1" t="s">
        <v>15</v>
      </c>
      <c r="F474" s="1" t="s">
        <v>16</v>
      </c>
      <c r="G474" s="1" t="s">
        <v>17</v>
      </c>
      <c r="H474" s="2"/>
      <c r="I474" s="2"/>
      <c r="J474" s="2"/>
      <c r="K474" s="2"/>
    </row>
    <row x14ac:dyDescent="0.25" r="475" customHeight="1" ht="17.25">
      <c r="A475" s="1" t="s">
        <v>1073</v>
      </c>
      <c r="B475" s="1" t="s">
        <v>1074</v>
      </c>
      <c r="C475" s="1" t="s">
        <v>188</v>
      </c>
      <c r="D475" s="1" t="s">
        <v>14</v>
      </c>
      <c r="E475" s="1" t="s">
        <v>15</v>
      </c>
      <c r="F475" s="1" t="s">
        <v>16</v>
      </c>
      <c r="G475" s="1" t="s">
        <v>17</v>
      </c>
      <c r="H475" s="2"/>
      <c r="I475" s="2"/>
      <c r="J475" s="2"/>
      <c r="K475" s="2"/>
    </row>
    <row x14ac:dyDescent="0.25" r="476" customHeight="1" ht="17.25">
      <c r="A476" s="1" t="s">
        <v>1075</v>
      </c>
      <c r="B476" s="1" t="s">
        <v>1076</v>
      </c>
      <c r="C476" s="1" t="s">
        <v>557</v>
      </c>
      <c r="D476" s="1" t="s">
        <v>14</v>
      </c>
      <c r="E476" s="1" t="s">
        <v>15</v>
      </c>
      <c r="F476" s="1" t="s">
        <v>16</v>
      </c>
      <c r="G476" s="1" t="s">
        <v>17</v>
      </c>
      <c r="H476" s="2"/>
      <c r="I476" s="2"/>
      <c r="J476" s="2"/>
      <c r="K476" s="2"/>
    </row>
    <row x14ac:dyDescent="0.25" r="477" customHeight="1" ht="17.25">
      <c r="A477" s="1" t="s">
        <v>1077</v>
      </c>
      <c r="B477" s="1" t="s">
        <v>1078</v>
      </c>
      <c r="C477" s="1" t="s">
        <v>231</v>
      </c>
      <c r="D477" s="1" t="s">
        <v>14</v>
      </c>
      <c r="E477" s="1" t="s">
        <v>15</v>
      </c>
      <c r="F477" s="1" t="s">
        <v>16</v>
      </c>
      <c r="G477" s="1" t="s">
        <v>17</v>
      </c>
      <c r="H477" s="2"/>
      <c r="I477" s="2"/>
      <c r="J477" s="2"/>
      <c r="K477" s="2"/>
    </row>
    <row x14ac:dyDescent="0.25" r="478" customHeight="1" ht="17.25">
      <c r="A478" s="1" t="s">
        <v>1079</v>
      </c>
      <c r="B478" s="1" t="s">
        <v>1080</v>
      </c>
      <c r="C478" s="1" t="s">
        <v>59</v>
      </c>
      <c r="D478" s="1" t="s">
        <v>14</v>
      </c>
      <c r="E478" s="1" t="s">
        <v>15</v>
      </c>
      <c r="F478" s="1" t="s">
        <v>16</v>
      </c>
      <c r="G478" s="1" t="s">
        <v>17</v>
      </c>
      <c r="H478" s="2"/>
      <c r="I478" s="2"/>
      <c r="J478" s="2"/>
      <c r="K478" s="2"/>
    </row>
    <row x14ac:dyDescent="0.25" r="479" customHeight="1" ht="17.25">
      <c r="A479" s="1" t="s">
        <v>1081</v>
      </c>
      <c r="B479" s="1" t="s">
        <v>1082</v>
      </c>
      <c r="C479" s="1" t="s">
        <v>20</v>
      </c>
      <c r="D479" s="1" t="s">
        <v>14</v>
      </c>
      <c r="E479" s="1" t="s">
        <v>15</v>
      </c>
      <c r="F479" s="1" t="s">
        <v>16</v>
      </c>
      <c r="G479" s="1" t="s">
        <v>17</v>
      </c>
      <c r="H479" s="2"/>
      <c r="I479" s="2"/>
      <c r="J479" s="2"/>
      <c r="K479" s="2"/>
    </row>
    <row x14ac:dyDescent="0.25" r="480" customHeight="1" ht="17.25">
      <c r="A480" s="1" t="s">
        <v>1083</v>
      </c>
      <c r="B480" s="1" t="s">
        <v>1084</v>
      </c>
      <c r="C480" s="1" t="s">
        <v>20</v>
      </c>
      <c r="D480" s="1" t="s">
        <v>14</v>
      </c>
      <c r="E480" s="1" t="s">
        <v>15</v>
      </c>
      <c r="F480" s="1" t="s">
        <v>16</v>
      </c>
      <c r="G480" s="1" t="s">
        <v>17</v>
      </c>
      <c r="H480" s="2"/>
      <c r="I480" s="2"/>
      <c r="J480" s="2"/>
      <c r="K480" s="2"/>
    </row>
    <row x14ac:dyDescent="0.25" r="481" customHeight="1" ht="17.25">
      <c r="A481" s="1" t="s">
        <v>1085</v>
      </c>
      <c r="B481" s="1" t="s">
        <v>1086</v>
      </c>
      <c r="C481" s="1" t="s">
        <v>773</v>
      </c>
      <c r="D481" s="1" t="s">
        <v>14</v>
      </c>
      <c r="E481" s="1" t="s">
        <v>15</v>
      </c>
      <c r="F481" s="1" t="s">
        <v>16</v>
      </c>
      <c r="G481" s="1" t="s">
        <v>17</v>
      </c>
      <c r="H481" s="2"/>
      <c r="I481" s="2"/>
      <c r="J481" s="2"/>
      <c r="K481" s="2"/>
    </row>
    <row x14ac:dyDescent="0.25" r="482" customHeight="1" ht="17.25">
      <c r="A482" s="1" t="s">
        <v>1087</v>
      </c>
      <c r="B482" s="1" t="s">
        <v>1088</v>
      </c>
      <c r="C482" s="1" t="s">
        <v>650</v>
      </c>
      <c r="D482" s="1" t="s">
        <v>14</v>
      </c>
      <c r="E482" s="1" t="s">
        <v>15</v>
      </c>
      <c r="F482" s="1" t="s">
        <v>16</v>
      </c>
      <c r="G482" s="1" t="s">
        <v>17</v>
      </c>
      <c r="H482" s="2"/>
      <c r="I482" s="2"/>
      <c r="J482" s="2"/>
      <c r="K482" s="2"/>
    </row>
    <row x14ac:dyDescent="0.25" r="483" customHeight="1" ht="17.25">
      <c r="A483" s="1" t="s">
        <v>1089</v>
      </c>
      <c r="B483" s="1" t="s">
        <v>1090</v>
      </c>
      <c r="C483" s="1" t="s">
        <v>770</v>
      </c>
      <c r="D483" s="1" t="s">
        <v>14</v>
      </c>
      <c r="E483" s="1" t="s">
        <v>15</v>
      </c>
      <c r="F483" s="1" t="s">
        <v>16</v>
      </c>
      <c r="G483" s="1" t="s">
        <v>17</v>
      </c>
      <c r="H483" s="2"/>
      <c r="I483" s="2"/>
      <c r="J483" s="2"/>
      <c r="K483" s="2"/>
    </row>
    <row x14ac:dyDescent="0.25" r="484" customHeight="1" ht="17.25">
      <c r="A484" s="1" t="s">
        <v>1091</v>
      </c>
      <c r="B484" s="1" t="s">
        <v>1092</v>
      </c>
      <c r="C484" s="1" t="s">
        <v>65</v>
      </c>
      <c r="D484" s="1" t="s">
        <v>14</v>
      </c>
      <c r="E484" s="1" t="s">
        <v>15</v>
      </c>
      <c r="F484" s="1" t="s">
        <v>16</v>
      </c>
      <c r="G484" s="1" t="s">
        <v>17</v>
      </c>
      <c r="H484" s="2"/>
      <c r="I484" s="2"/>
      <c r="J484" s="2"/>
      <c r="K484" s="2"/>
    </row>
    <row x14ac:dyDescent="0.25" r="485" customHeight="1" ht="17.25">
      <c r="A485" s="1" t="s">
        <v>1093</v>
      </c>
      <c r="B485" s="1" t="s">
        <v>1094</v>
      </c>
      <c r="C485" s="1" t="s">
        <v>20</v>
      </c>
      <c r="D485" s="1" t="s">
        <v>14</v>
      </c>
      <c r="E485" s="1" t="s">
        <v>15</v>
      </c>
      <c r="F485" s="1" t="s">
        <v>16</v>
      </c>
      <c r="G485" s="1" t="s">
        <v>17</v>
      </c>
      <c r="H485" s="2"/>
      <c r="I485" s="2"/>
      <c r="J485" s="2"/>
      <c r="K485" s="2"/>
    </row>
    <row x14ac:dyDescent="0.25" r="486" customHeight="1" ht="17.25">
      <c r="A486" s="1" t="s">
        <v>1095</v>
      </c>
      <c r="B486" s="1" t="s">
        <v>1096</v>
      </c>
      <c r="C486" s="1" t="s">
        <v>450</v>
      </c>
      <c r="D486" s="1" t="s">
        <v>14</v>
      </c>
      <c r="E486" s="1" t="s">
        <v>15</v>
      </c>
      <c r="F486" s="1" t="s">
        <v>16</v>
      </c>
      <c r="G486" s="1" t="s">
        <v>17</v>
      </c>
      <c r="H486" s="2"/>
      <c r="I486" s="2"/>
      <c r="J486" s="2"/>
      <c r="K486" s="2"/>
    </row>
    <row x14ac:dyDescent="0.25" r="487" customHeight="1" ht="17.25">
      <c r="A487" s="1" t="s">
        <v>1097</v>
      </c>
      <c r="B487" s="1" t="s">
        <v>1098</v>
      </c>
      <c r="C487" s="1" t="s">
        <v>20</v>
      </c>
      <c r="D487" s="1" t="s">
        <v>14</v>
      </c>
      <c r="E487" s="1" t="s">
        <v>15</v>
      </c>
      <c r="F487" s="1" t="s">
        <v>16</v>
      </c>
      <c r="G487" s="1" t="s">
        <v>17</v>
      </c>
      <c r="H487" s="2"/>
      <c r="I487" s="2"/>
      <c r="J487" s="2"/>
      <c r="K487" s="2"/>
    </row>
    <row x14ac:dyDescent="0.25" r="488" customHeight="1" ht="17.25">
      <c r="A488" s="1" t="s">
        <v>1099</v>
      </c>
      <c r="B488" s="1" t="s">
        <v>1100</v>
      </c>
      <c r="C488" s="1" t="s">
        <v>224</v>
      </c>
      <c r="D488" s="1" t="s">
        <v>14</v>
      </c>
      <c r="E488" s="1" t="s">
        <v>15</v>
      </c>
      <c r="F488" s="1" t="s">
        <v>16</v>
      </c>
      <c r="G488" s="1" t="s">
        <v>17</v>
      </c>
      <c r="H488" s="2"/>
      <c r="I488" s="2"/>
      <c r="J488" s="2"/>
      <c r="K488" s="2"/>
    </row>
    <row x14ac:dyDescent="0.25" r="489" customHeight="1" ht="17.25">
      <c r="A489" s="1" t="s">
        <v>1101</v>
      </c>
      <c r="B489" s="1" t="s">
        <v>1102</v>
      </c>
      <c r="C489" s="1" t="s">
        <v>378</v>
      </c>
      <c r="D489" s="1" t="s">
        <v>14</v>
      </c>
      <c r="E489" s="1" t="s">
        <v>15</v>
      </c>
      <c r="F489" s="1" t="s">
        <v>16</v>
      </c>
      <c r="G489" s="1" t="s">
        <v>17</v>
      </c>
      <c r="H489" s="2"/>
      <c r="I489" s="2"/>
      <c r="J489" s="2"/>
      <c r="K489" s="2"/>
    </row>
    <row x14ac:dyDescent="0.25" r="490" customHeight="1" ht="17.25">
      <c r="A490" s="1" t="s">
        <v>1103</v>
      </c>
      <c r="B490" s="1" t="s">
        <v>1104</v>
      </c>
      <c r="C490" s="1" t="s">
        <v>328</v>
      </c>
      <c r="D490" s="1" t="s">
        <v>14</v>
      </c>
      <c r="E490" s="1" t="s">
        <v>15</v>
      </c>
      <c r="F490" s="1" t="s">
        <v>16</v>
      </c>
      <c r="G490" s="1" t="s">
        <v>17</v>
      </c>
      <c r="H490" s="2"/>
      <c r="I490" s="2"/>
      <c r="J490" s="2"/>
      <c r="K490" s="2"/>
    </row>
    <row x14ac:dyDescent="0.25" r="491" customHeight="1" ht="17.25">
      <c r="A491" s="1" t="s">
        <v>1105</v>
      </c>
      <c r="B491" s="1" t="s">
        <v>1106</v>
      </c>
      <c r="C491" s="1" t="s">
        <v>20</v>
      </c>
      <c r="D491" s="1" t="s">
        <v>14</v>
      </c>
      <c r="E491" s="1" t="s">
        <v>15</v>
      </c>
      <c r="F491" s="1" t="s">
        <v>16</v>
      </c>
      <c r="G491" s="1" t="s">
        <v>17</v>
      </c>
      <c r="H491" s="2"/>
      <c r="I491" s="2"/>
      <c r="J491" s="2"/>
      <c r="K491" s="2"/>
    </row>
    <row x14ac:dyDescent="0.25" r="492" customHeight="1" ht="17.25">
      <c r="A492" s="1" t="s">
        <v>1107</v>
      </c>
      <c r="B492" s="1" t="s">
        <v>1108</v>
      </c>
      <c r="C492" s="1" t="s">
        <v>154</v>
      </c>
      <c r="D492" s="1" t="s">
        <v>14</v>
      </c>
      <c r="E492" s="1" t="s">
        <v>15</v>
      </c>
      <c r="F492" s="1" t="s">
        <v>16</v>
      </c>
      <c r="G492" s="1" t="s">
        <v>17</v>
      </c>
      <c r="H492" s="2"/>
      <c r="I492" s="2"/>
      <c r="J492" s="2"/>
      <c r="K492" s="2"/>
    </row>
    <row x14ac:dyDescent="0.25" r="493" customHeight="1" ht="17.25">
      <c r="A493" s="1" t="s">
        <v>1109</v>
      </c>
      <c r="B493" s="1" t="s">
        <v>1110</v>
      </c>
      <c r="C493" s="1" t="s">
        <v>1111</v>
      </c>
      <c r="D493" s="1" t="s">
        <v>14</v>
      </c>
      <c r="E493" s="1" t="s">
        <v>15</v>
      </c>
      <c r="F493" s="1" t="s">
        <v>16</v>
      </c>
      <c r="G493" s="1" t="s">
        <v>17</v>
      </c>
      <c r="H493" s="2"/>
      <c r="I493" s="2"/>
      <c r="J493" s="2"/>
      <c r="K493" s="2"/>
    </row>
    <row x14ac:dyDescent="0.25" r="494" customHeight="1" ht="17.25">
      <c r="A494" s="1" t="s">
        <v>1112</v>
      </c>
      <c r="B494" s="1" t="s">
        <v>1113</v>
      </c>
      <c r="C494" s="1" t="s">
        <v>20</v>
      </c>
      <c r="D494" s="1" t="s">
        <v>14</v>
      </c>
      <c r="E494" s="1" t="s">
        <v>15</v>
      </c>
      <c r="F494" s="1" t="s">
        <v>16</v>
      </c>
      <c r="G494" s="1" t="s">
        <v>17</v>
      </c>
      <c r="H494" s="2"/>
      <c r="I494" s="2"/>
      <c r="J494" s="2"/>
      <c r="K494" s="2"/>
    </row>
    <row x14ac:dyDescent="0.25" r="495" customHeight="1" ht="17.25">
      <c r="A495" s="1" t="s">
        <v>1114</v>
      </c>
      <c r="B495" s="1" t="s">
        <v>1115</v>
      </c>
      <c r="C495" s="1" t="s">
        <v>489</v>
      </c>
      <c r="D495" s="1" t="s">
        <v>14</v>
      </c>
      <c r="E495" s="1" t="s">
        <v>15</v>
      </c>
      <c r="F495" s="1" t="s">
        <v>16</v>
      </c>
      <c r="G495" s="1" t="s">
        <v>17</v>
      </c>
      <c r="H495" s="2"/>
      <c r="I495" s="2"/>
      <c r="J495" s="2"/>
      <c r="K495" s="2"/>
    </row>
    <row x14ac:dyDescent="0.25" r="496" customHeight="1" ht="17.25">
      <c r="A496" s="1" t="s">
        <v>1116</v>
      </c>
      <c r="B496" s="1" t="s">
        <v>1117</v>
      </c>
      <c r="C496" s="1" t="s">
        <v>1118</v>
      </c>
      <c r="D496" s="1" t="s">
        <v>14</v>
      </c>
      <c r="E496" s="1" t="s">
        <v>15</v>
      </c>
      <c r="F496" s="1" t="s">
        <v>16</v>
      </c>
      <c r="G496" s="1" t="s">
        <v>17</v>
      </c>
      <c r="H496" s="2"/>
      <c r="I496" s="2"/>
      <c r="J496" s="2"/>
      <c r="K496" s="2"/>
    </row>
    <row x14ac:dyDescent="0.25" r="497" customHeight="1" ht="17.25">
      <c r="A497" s="1" t="s">
        <v>1119</v>
      </c>
      <c r="B497" s="1" t="s">
        <v>1120</v>
      </c>
      <c r="C497" s="1" t="s">
        <v>135</v>
      </c>
      <c r="D497" s="1" t="s">
        <v>14</v>
      </c>
      <c r="E497" s="1" t="s">
        <v>15</v>
      </c>
      <c r="F497" s="1" t="s">
        <v>16</v>
      </c>
      <c r="G497" s="1" t="s">
        <v>17</v>
      </c>
      <c r="H497" s="2"/>
      <c r="I497" s="2"/>
      <c r="J497" s="2"/>
      <c r="K497" s="2"/>
    </row>
    <row x14ac:dyDescent="0.25" r="498" customHeight="1" ht="17.25">
      <c r="A498" s="1" t="s">
        <v>1121</v>
      </c>
      <c r="B498" s="1" t="s">
        <v>1122</v>
      </c>
      <c r="C498" s="1" t="s">
        <v>54</v>
      </c>
      <c r="D498" s="1" t="s">
        <v>14</v>
      </c>
      <c r="E498" s="1" t="s">
        <v>15</v>
      </c>
      <c r="F498" s="1" t="s">
        <v>16</v>
      </c>
      <c r="G498" s="1" t="s">
        <v>17</v>
      </c>
      <c r="H498" s="2"/>
      <c r="I498" s="2"/>
      <c r="J498" s="2"/>
      <c r="K498" s="2"/>
    </row>
    <row x14ac:dyDescent="0.25" r="499" customHeight="1" ht="17.25">
      <c r="A499" s="1" t="s">
        <v>1123</v>
      </c>
      <c r="B499" s="1" t="s">
        <v>1124</v>
      </c>
      <c r="C499" s="1" t="s">
        <v>231</v>
      </c>
      <c r="D499" s="1" t="s">
        <v>14</v>
      </c>
      <c r="E499" s="1" t="s">
        <v>15</v>
      </c>
      <c r="F499" s="1" t="s">
        <v>16</v>
      </c>
      <c r="G499" s="1" t="s">
        <v>17</v>
      </c>
      <c r="H499" s="2"/>
      <c r="I499" s="2"/>
      <c r="J499" s="2"/>
      <c r="K499" s="2"/>
    </row>
    <row x14ac:dyDescent="0.25" r="500" customHeight="1" ht="17.25">
      <c r="A500" s="1" t="s">
        <v>1125</v>
      </c>
      <c r="B500" s="1" t="s">
        <v>1126</v>
      </c>
      <c r="C500" s="1" t="s">
        <v>1127</v>
      </c>
      <c r="D500" s="1" t="s">
        <v>14</v>
      </c>
      <c r="E500" s="1" t="s">
        <v>15</v>
      </c>
      <c r="F500" s="1" t="s">
        <v>16</v>
      </c>
      <c r="G500" s="1" t="s">
        <v>17</v>
      </c>
      <c r="H500" s="2"/>
      <c r="I500" s="2"/>
      <c r="J500" s="2"/>
      <c r="K500" s="2"/>
    </row>
    <row x14ac:dyDescent="0.25" r="501" customHeight="1" ht="17.25">
      <c r="A501" s="1" t="s">
        <v>1128</v>
      </c>
      <c r="B501" s="1" t="s">
        <v>1129</v>
      </c>
      <c r="C501" s="1" t="s">
        <v>915</v>
      </c>
      <c r="D501" s="1" t="s">
        <v>14</v>
      </c>
      <c r="E501" s="1" t="s">
        <v>15</v>
      </c>
      <c r="F501" s="1" t="s">
        <v>16</v>
      </c>
      <c r="G501" s="1" t="s">
        <v>17</v>
      </c>
      <c r="H501" s="2"/>
      <c r="I501" s="2"/>
      <c r="J501" s="2"/>
      <c r="K501" s="2"/>
    </row>
    <row x14ac:dyDescent="0.25" r="502" customHeight="1" ht="17.25">
      <c r="A502" s="1" t="s">
        <v>1130</v>
      </c>
      <c r="B502" s="1" t="s">
        <v>1131</v>
      </c>
      <c r="C502" s="1" t="s">
        <v>522</v>
      </c>
      <c r="D502" s="1" t="s">
        <v>14</v>
      </c>
      <c r="E502" s="1" t="s">
        <v>15</v>
      </c>
      <c r="F502" s="1" t="s">
        <v>16</v>
      </c>
      <c r="G502" s="1" t="s">
        <v>17</v>
      </c>
      <c r="H502" s="2"/>
      <c r="I502" s="2"/>
      <c r="J502" s="2"/>
      <c r="K502" s="2"/>
    </row>
    <row x14ac:dyDescent="0.25" r="503" customHeight="1" ht="17.25">
      <c r="A503" s="1" t="s">
        <v>1132</v>
      </c>
      <c r="B503" s="1" t="s">
        <v>1133</v>
      </c>
      <c r="C503" s="1" t="s">
        <v>20</v>
      </c>
      <c r="D503" s="1" t="s">
        <v>14</v>
      </c>
      <c r="E503" s="1" t="s">
        <v>15</v>
      </c>
      <c r="F503" s="1" t="s">
        <v>16</v>
      </c>
      <c r="G503" s="1" t="s">
        <v>17</v>
      </c>
      <c r="H503" s="2"/>
      <c r="I503" s="2"/>
      <c r="J503" s="2"/>
      <c r="K503" s="2"/>
    </row>
    <row x14ac:dyDescent="0.25" r="504" customHeight="1" ht="17.25">
      <c r="A504" s="1" t="s">
        <v>1134</v>
      </c>
      <c r="B504" s="1" t="s">
        <v>1135</v>
      </c>
      <c r="C504" s="1" t="s">
        <v>20</v>
      </c>
      <c r="D504" s="1" t="s">
        <v>14</v>
      </c>
      <c r="E504" s="1" t="s">
        <v>15</v>
      </c>
      <c r="F504" s="1" t="s">
        <v>16</v>
      </c>
      <c r="G504" s="1" t="s">
        <v>17</v>
      </c>
      <c r="H504" s="2"/>
      <c r="I504" s="2"/>
      <c r="J504" s="2"/>
      <c r="K504" s="2"/>
    </row>
    <row x14ac:dyDescent="0.25" r="505" customHeight="1" ht="17.25">
      <c r="A505" s="1" t="s">
        <v>1136</v>
      </c>
      <c r="B505" s="1" t="s">
        <v>1137</v>
      </c>
      <c r="C505" s="1" t="s">
        <v>20</v>
      </c>
      <c r="D505" s="1" t="s">
        <v>14</v>
      </c>
      <c r="E505" s="1" t="s">
        <v>15</v>
      </c>
      <c r="F505" s="1" t="s">
        <v>16</v>
      </c>
      <c r="G505" s="1" t="s">
        <v>17</v>
      </c>
      <c r="H505" s="2"/>
      <c r="I505" s="2"/>
      <c r="J505" s="2"/>
      <c r="K505" s="2"/>
    </row>
    <row x14ac:dyDescent="0.25" r="506" customHeight="1" ht="17.25">
      <c r="A506" s="1" t="s">
        <v>1138</v>
      </c>
      <c r="B506" s="1" t="s">
        <v>1139</v>
      </c>
      <c r="C506" s="1" t="s">
        <v>20</v>
      </c>
      <c r="D506" s="1" t="s">
        <v>14</v>
      </c>
      <c r="E506" s="1" t="s">
        <v>15</v>
      </c>
      <c r="F506" s="1" t="s">
        <v>16</v>
      </c>
      <c r="G506" s="1" t="s">
        <v>17</v>
      </c>
      <c r="H506" s="2"/>
      <c r="I506" s="2"/>
      <c r="J506" s="2"/>
      <c r="K506" s="2"/>
    </row>
    <row x14ac:dyDescent="0.25" r="507" customHeight="1" ht="17.25">
      <c r="A507" s="1" t="s">
        <v>1140</v>
      </c>
      <c r="B507" s="1" t="s">
        <v>1141</v>
      </c>
      <c r="C507" s="1" t="s">
        <v>1142</v>
      </c>
      <c r="D507" s="1" t="s">
        <v>14</v>
      </c>
      <c r="E507" s="1" t="s">
        <v>15</v>
      </c>
      <c r="F507" s="1" t="s">
        <v>16</v>
      </c>
      <c r="G507" s="1" t="s">
        <v>17</v>
      </c>
      <c r="H507" s="2"/>
      <c r="I507" s="2"/>
      <c r="J507" s="2"/>
      <c r="K507" s="2"/>
    </row>
    <row x14ac:dyDescent="0.25" r="508" customHeight="1" ht="17.25">
      <c r="A508" s="1" t="s">
        <v>1143</v>
      </c>
      <c r="B508" s="1" t="s">
        <v>1144</v>
      </c>
      <c r="C508" s="1" t="s">
        <v>1145</v>
      </c>
      <c r="D508" s="1" t="s">
        <v>14</v>
      </c>
      <c r="E508" s="1" t="s">
        <v>15</v>
      </c>
      <c r="F508" s="1" t="s">
        <v>16</v>
      </c>
      <c r="G508" s="1" t="s">
        <v>17</v>
      </c>
      <c r="H508" s="2"/>
      <c r="I508" s="2"/>
      <c r="J508" s="2"/>
      <c r="K508" s="2"/>
    </row>
    <row x14ac:dyDescent="0.25" r="509" customHeight="1" ht="17.25">
      <c r="A509" s="1" t="s">
        <v>1146</v>
      </c>
      <c r="B509" s="1" t="s">
        <v>1147</v>
      </c>
      <c r="C509" s="1" t="s">
        <v>1148</v>
      </c>
      <c r="D509" s="1" t="s">
        <v>14</v>
      </c>
      <c r="E509" s="1" t="s">
        <v>15</v>
      </c>
      <c r="F509" s="1" t="s">
        <v>16</v>
      </c>
      <c r="G509" s="1" t="s">
        <v>17</v>
      </c>
      <c r="H509" s="2"/>
      <c r="I509" s="2"/>
      <c r="J509" s="2"/>
      <c r="K509" s="2"/>
    </row>
    <row x14ac:dyDescent="0.25" r="510" customHeight="1" ht="17.25">
      <c r="A510" s="1" t="s">
        <v>1149</v>
      </c>
      <c r="B510" s="1" t="s">
        <v>1150</v>
      </c>
      <c r="C510" s="1" t="s">
        <v>1148</v>
      </c>
      <c r="D510" s="1" t="s">
        <v>14</v>
      </c>
      <c r="E510" s="1" t="s">
        <v>15</v>
      </c>
      <c r="F510" s="1" t="s">
        <v>16</v>
      </c>
      <c r="G510" s="1" t="s">
        <v>17</v>
      </c>
      <c r="H510" s="2"/>
      <c r="I510" s="2"/>
      <c r="J510" s="2"/>
      <c r="K510" s="2"/>
    </row>
    <row x14ac:dyDescent="0.25" r="511" customHeight="1" ht="17.25">
      <c r="A511" s="1" t="s">
        <v>1151</v>
      </c>
      <c r="B511" s="1" t="s">
        <v>1152</v>
      </c>
      <c r="C511" s="1" t="s">
        <v>20</v>
      </c>
      <c r="D511" s="1" t="s">
        <v>14</v>
      </c>
      <c r="E511" s="1" t="s">
        <v>15</v>
      </c>
      <c r="F511" s="1" t="s">
        <v>16</v>
      </c>
      <c r="G511" s="1" t="s">
        <v>17</v>
      </c>
      <c r="H511" s="2"/>
      <c r="I511" s="2"/>
      <c r="J511" s="2"/>
      <c r="K511" s="2"/>
    </row>
    <row x14ac:dyDescent="0.25" r="512" customHeight="1" ht="17.25">
      <c r="A512" s="1" t="s">
        <v>1153</v>
      </c>
      <c r="B512" s="1" t="s">
        <v>1154</v>
      </c>
      <c r="C512" s="1" t="s">
        <v>1155</v>
      </c>
      <c r="D512" s="1" t="s">
        <v>14</v>
      </c>
      <c r="E512" s="1" t="s">
        <v>15</v>
      </c>
      <c r="F512" s="1" t="s">
        <v>16</v>
      </c>
      <c r="G512" s="1" t="s">
        <v>17</v>
      </c>
      <c r="H512" s="2"/>
      <c r="I512" s="2"/>
      <c r="J512" s="2"/>
      <c r="K512" s="2"/>
    </row>
    <row x14ac:dyDescent="0.25" r="513" customHeight="1" ht="17.25">
      <c r="A513" s="1" t="s">
        <v>1156</v>
      </c>
      <c r="B513" s="1" t="s">
        <v>1157</v>
      </c>
      <c r="C513" s="1" t="s">
        <v>1158</v>
      </c>
      <c r="D513" s="1" t="s">
        <v>14</v>
      </c>
      <c r="E513" s="1" t="s">
        <v>15</v>
      </c>
      <c r="F513" s="1" t="s">
        <v>16</v>
      </c>
      <c r="G513" s="1" t="s">
        <v>17</v>
      </c>
      <c r="H513" s="2"/>
      <c r="I513" s="2"/>
      <c r="J513" s="2"/>
      <c r="K513" s="2"/>
    </row>
    <row x14ac:dyDescent="0.25" r="514" customHeight="1" ht="17.25">
      <c r="A514" s="1" t="s">
        <v>1159</v>
      </c>
      <c r="B514" s="1" t="s">
        <v>1160</v>
      </c>
      <c r="C514" s="1" t="s">
        <v>328</v>
      </c>
      <c r="D514" s="1" t="s">
        <v>14</v>
      </c>
      <c r="E514" s="1" t="s">
        <v>15</v>
      </c>
      <c r="F514" s="1" t="s">
        <v>16</v>
      </c>
      <c r="G514" s="1" t="s">
        <v>17</v>
      </c>
      <c r="H514" s="2"/>
      <c r="I514" s="2"/>
      <c r="J514" s="2"/>
      <c r="K514" s="2"/>
    </row>
    <row x14ac:dyDescent="0.25" r="515" customHeight="1" ht="17.25">
      <c r="A515" s="1" t="s">
        <v>1161</v>
      </c>
      <c r="B515" s="1" t="s">
        <v>1162</v>
      </c>
      <c r="C515" s="1" t="s">
        <v>20</v>
      </c>
      <c r="D515" s="1" t="s">
        <v>14</v>
      </c>
      <c r="E515" s="1" t="s">
        <v>15</v>
      </c>
      <c r="F515" s="1" t="s">
        <v>16</v>
      </c>
      <c r="G515" s="1" t="s">
        <v>17</v>
      </c>
      <c r="H515" s="2"/>
      <c r="I515" s="2"/>
      <c r="J515" s="2"/>
      <c r="K515" s="2"/>
    </row>
    <row x14ac:dyDescent="0.25" r="516" customHeight="1" ht="17.25">
      <c r="A516" s="1" t="s">
        <v>1163</v>
      </c>
      <c r="B516" s="1" t="s">
        <v>1164</v>
      </c>
      <c r="C516" s="1" t="s">
        <v>135</v>
      </c>
      <c r="D516" s="1" t="s">
        <v>14</v>
      </c>
      <c r="E516" s="1" t="s">
        <v>15</v>
      </c>
      <c r="F516" s="1" t="s">
        <v>16</v>
      </c>
      <c r="G516" s="1" t="s">
        <v>17</v>
      </c>
      <c r="H516" s="2"/>
      <c r="I516" s="2"/>
      <c r="J516" s="2"/>
      <c r="K516" s="2"/>
    </row>
    <row x14ac:dyDescent="0.25" r="517" customHeight="1" ht="17.25">
      <c r="A517" s="1" t="s">
        <v>1165</v>
      </c>
      <c r="B517" s="1" t="s">
        <v>1166</v>
      </c>
      <c r="C517" s="1" t="s">
        <v>13</v>
      </c>
      <c r="D517" s="1" t="s">
        <v>14</v>
      </c>
      <c r="E517" s="1" t="s">
        <v>15</v>
      </c>
      <c r="F517" s="1" t="s">
        <v>16</v>
      </c>
      <c r="G517" s="1" t="s">
        <v>17</v>
      </c>
      <c r="H517" s="2"/>
      <c r="I517" s="2"/>
      <c r="J517" s="2"/>
      <c r="K517" s="2"/>
    </row>
    <row x14ac:dyDescent="0.25" r="518" customHeight="1" ht="17.25">
      <c r="A518" s="1" t="s">
        <v>1167</v>
      </c>
      <c r="B518" s="1" t="s">
        <v>1168</v>
      </c>
      <c r="C518" s="1" t="s">
        <v>20</v>
      </c>
      <c r="D518" s="1" t="s">
        <v>14</v>
      </c>
      <c r="E518" s="1" t="s">
        <v>15</v>
      </c>
      <c r="F518" s="1" t="s">
        <v>16</v>
      </c>
      <c r="G518" s="1" t="s">
        <v>17</v>
      </c>
      <c r="H518" s="2"/>
      <c r="I518" s="2"/>
      <c r="J518" s="2"/>
      <c r="K518" s="2"/>
    </row>
    <row x14ac:dyDescent="0.25" r="519" customHeight="1" ht="17.25">
      <c r="A519" s="1" t="s">
        <v>1169</v>
      </c>
      <c r="B519" s="1" t="s">
        <v>1170</v>
      </c>
      <c r="C519" s="1" t="s">
        <v>20</v>
      </c>
      <c r="D519" s="1" t="s">
        <v>14</v>
      </c>
      <c r="E519" s="1" t="s">
        <v>15</v>
      </c>
      <c r="F519" s="1" t="s">
        <v>16</v>
      </c>
      <c r="G519" s="1" t="s">
        <v>17</v>
      </c>
      <c r="H519" s="2"/>
      <c r="I519" s="2"/>
      <c r="J519" s="2"/>
      <c r="K519" s="2"/>
    </row>
    <row x14ac:dyDescent="0.25" r="520" customHeight="1" ht="17.25">
      <c r="A520" s="1" t="s">
        <v>1171</v>
      </c>
      <c r="B520" s="1" t="s">
        <v>1172</v>
      </c>
      <c r="C520" s="1" t="s">
        <v>20</v>
      </c>
      <c r="D520" s="1" t="s">
        <v>14</v>
      </c>
      <c r="E520" s="1" t="s">
        <v>15</v>
      </c>
      <c r="F520" s="1" t="s">
        <v>16</v>
      </c>
      <c r="G520" s="1" t="s">
        <v>17</v>
      </c>
      <c r="H520" s="2"/>
      <c r="I520" s="2"/>
      <c r="J520" s="2"/>
      <c r="K520" s="2"/>
    </row>
    <row x14ac:dyDescent="0.25" r="521" customHeight="1" ht="17.25">
      <c r="A521" s="1" t="s">
        <v>1173</v>
      </c>
      <c r="B521" s="1" t="s">
        <v>1174</v>
      </c>
      <c r="C521" s="1" t="s">
        <v>20</v>
      </c>
      <c r="D521" s="1" t="s">
        <v>14</v>
      </c>
      <c r="E521" s="1" t="s">
        <v>15</v>
      </c>
      <c r="F521" s="1" t="s">
        <v>16</v>
      </c>
      <c r="G521" s="1" t="s">
        <v>17</v>
      </c>
      <c r="H521" s="2"/>
      <c r="I521" s="2"/>
      <c r="J521" s="2"/>
      <c r="K521" s="2"/>
    </row>
    <row x14ac:dyDescent="0.25" r="522" customHeight="1" ht="17.25">
      <c r="A522" s="1" t="s">
        <v>1175</v>
      </c>
      <c r="B522" s="1" t="s">
        <v>1176</v>
      </c>
      <c r="C522" s="1" t="s">
        <v>20</v>
      </c>
      <c r="D522" s="1" t="s">
        <v>14</v>
      </c>
      <c r="E522" s="1" t="s">
        <v>15</v>
      </c>
      <c r="F522" s="1" t="s">
        <v>16</v>
      </c>
      <c r="G522" s="1" t="s">
        <v>17</v>
      </c>
      <c r="H522" s="2"/>
      <c r="I522" s="2"/>
      <c r="J522" s="2"/>
      <c r="K522" s="2"/>
    </row>
    <row x14ac:dyDescent="0.25" r="523" customHeight="1" ht="17.25">
      <c r="A523" s="1" t="s">
        <v>1177</v>
      </c>
      <c r="B523" s="1" t="s">
        <v>1178</v>
      </c>
      <c r="C523" s="1" t="s">
        <v>554</v>
      </c>
      <c r="D523" s="1" t="s">
        <v>14</v>
      </c>
      <c r="E523" s="1" t="s">
        <v>15</v>
      </c>
      <c r="F523" s="1" t="s">
        <v>16</v>
      </c>
      <c r="G523" s="1" t="s">
        <v>17</v>
      </c>
      <c r="H523" s="2"/>
      <c r="I523" s="2"/>
      <c r="J523" s="2"/>
      <c r="K523" s="2"/>
    </row>
    <row x14ac:dyDescent="0.25" r="524" customHeight="1" ht="17.25">
      <c r="A524" s="1" t="s">
        <v>1179</v>
      </c>
      <c r="B524" s="1" t="s">
        <v>1180</v>
      </c>
      <c r="C524" s="1" t="s">
        <v>20</v>
      </c>
      <c r="D524" s="1" t="s">
        <v>14</v>
      </c>
      <c r="E524" s="1" t="s">
        <v>15</v>
      </c>
      <c r="F524" s="1" t="s">
        <v>16</v>
      </c>
      <c r="G524" s="1" t="s">
        <v>17</v>
      </c>
      <c r="H524" s="2"/>
      <c r="I524" s="2"/>
      <c r="J524" s="2"/>
      <c r="K524" s="2"/>
    </row>
    <row x14ac:dyDescent="0.25" r="525" customHeight="1" ht="17.25">
      <c r="A525" s="1" t="s">
        <v>1181</v>
      </c>
      <c r="B525" s="1" t="s">
        <v>1182</v>
      </c>
      <c r="C525" s="1" t="s">
        <v>20</v>
      </c>
      <c r="D525" s="1" t="s">
        <v>14</v>
      </c>
      <c r="E525" s="1" t="s">
        <v>15</v>
      </c>
      <c r="F525" s="1" t="s">
        <v>16</v>
      </c>
      <c r="G525" s="1" t="s">
        <v>17</v>
      </c>
      <c r="H525" s="2"/>
      <c r="I525" s="2"/>
      <c r="J525" s="2"/>
      <c r="K525" s="2"/>
    </row>
    <row x14ac:dyDescent="0.25" r="526" customHeight="1" ht="17.25">
      <c r="A526" s="1" t="s">
        <v>1183</v>
      </c>
      <c r="B526" s="1" t="s">
        <v>1184</v>
      </c>
      <c r="C526" s="1" t="s">
        <v>20</v>
      </c>
      <c r="D526" s="1" t="s">
        <v>14</v>
      </c>
      <c r="E526" s="1" t="s">
        <v>15</v>
      </c>
      <c r="F526" s="1" t="s">
        <v>16</v>
      </c>
      <c r="G526" s="1" t="s">
        <v>17</v>
      </c>
      <c r="H526" s="2"/>
      <c r="I526" s="2"/>
      <c r="J526" s="2"/>
      <c r="K526" s="2"/>
    </row>
    <row x14ac:dyDescent="0.25" r="527" customHeight="1" ht="17.25">
      <c r="A527" s="1" t="s">
        <v>1185</v>
      </c>
      <c r="B527" s="1" t="s">
        <v>1186</v>
      </c>
      <c r="C527" s="1" t="s">
        <v>20</v>
      </c>
      <c r="D527" s="1" t="s">
        <v>1187</v>
      </c>
      <c r="E527" s="1" t="s">
        <v>1188</v>
      </c>
      <c r="F527" s="1" t="s">
        <v>1189</v>
      </c>
      <c r="G527" s="1" t="s">
        <v>1190</v>
      </c>
      <c r="H527" s="2"/>
      <c r="I527" s="2"/>
      <c r="J527" s="2"/>
      <c r="K527" s="2"/>
    </row>
    <row x14ac:dyDescent="0.25" r="528" customHeight="1" ht="17.25">
      <c r="A528" s="1" t="s">
        <v>1191</v>
      </c>
      <c r="B528" s="1" t="s">
        <v>1192</v>
      </c>
      <c r="C528" s="1" t="s">
        <v>20</v>
      </c>
      <c r="D528" s="1" t="s">
        <v>1187</v>
      </c>
      <c r="E528" s="1" t="s">
        <v>1188</v>
      </c>
      <c r="F528" s="1" t="s">
        <v>1189</v>
      </c>
      <c r="G528" s="1" t="s">
        <v>1190</v>
      </c>
      <c r="H528" s="2"/>
      <c r="I528" s="2"/>
      <c r="J528" s="2"/>
      <c r="K528" s="2"/>
    </row>
    <row x14ac:dyDescent="0.25" r="529" customHeight="1" ht="17.25">
      <c r="A529" s="1" t="s">
        <v>1193</v>
      </c>
      <c r="B529" s="1" t="s">
        <v>1194</v>
      </c>
      <c r="C529" s="1" t="s">
        <v>20</v>
      </c>
      <c r="D529" s="1" t="s">
        <v>1187</v>
      </c>
      <c r="E529" s="1" t="s">
        <v>1188</v>
      </c>
      <c r="F529" s="1" t="s">
        <v>1189</v>
      </c>
      <c r="G529" s="1" t="s">
        <v>1190</v>
      </c>
      <c r="H529" s="2"/>
      <c r="I529" s="2"/>
      <c r="J529" s="2"/>
      <c r="K529" s="2"/>
    </row>
    <row x14ac:dyDescent="0.25" r="530" customHeight="1" ht="17.25">
      <c r="A530" s="1" t="s">
        <v>1195</v>
      </c>
      <c r="B530" s="1" t="s">
        <v>1196</v>
      </c>
      <c r="C530" s="1" t="s">
        <v>20</v>
      </c>
      <c r="D530" s="1" t="s">
        <v>1187</v>
      </c>
      <c r="E530" s="1" t="s">
        <v>1188</v>
      </c>
      <c r="F530" s="1" t="s">
        <v>1189</v>
      </c>
      <c r="G530" s="1" t="s">
        <v>1190</v>
      </c>
      <c r="H530" s="2"/>
      <c r="I530" s="2"/>
      <c r="J530" s="2"/>
      <c r="K530" s="2"/>
    </row>
    <row x14ac:dyDescent="0.25" r="531" customHeight="1" ht="17.25">
      <c r="A531" s="1" t="s">
        <v>1197</v>
      </c>
      <c r="B531" s="1" t="s">
        <v>1198</v>
      </c>
      <c r="C531" s="1" t="s">
        <v>20</v>
      </c>
      <c r="D531" s="1" t="s">
        <v>1187</v>
      </c>
      <c r="E531" s="1" t="s">
        <v>1188</v>
      </c>
      <c r="F531" s="1" t="s">
        <v>1189</v>
      </c>
      <c r="G531" s="1" t="s">
        <v>1190</v>
      </c>
      <c r="H531" s="2"/>
      <c r="I531" s="2"/>
      <c r="J531" s="2"/>
      <c r="K531" s="2"/>
    </row>
    <row x14ac:dyDescent="0.25" r="532" customHeight="1" ht="17.25">
      <c r="A532" s="1" t="s">
        <v>1199</v>
      </c>
      <c r="B532" s="1" t="s">
        <v>1200</v>
      </c>
      <c r="C532" s="1" t="s">
        <v>20</v>
      </c>
      <c r="D532" s="1" t="s">
        <v>1187</v>
      </c>
      <c r="E532" s="1" t="s">
        <v>1188</v>
      </c>
      <c r="F532" s="1" t="s">
        <v>1189</v>
      </c>
      <c r="G532" s="1" t="s">
        <v>1190</v>
      </c>
      <c r="H532" s="2"/>
      <c r="I532" s="2"/>
      <c r="J532" s="2"/>
      <c r="K532" s="2"/>
    </row>
    <row x14ac:dyDescent="0.25" r="533" customHeight="1" ht="17.25">
      <c r="A533" s="1" t="s">
        <v>1201</v>
      </c>
      <c r="B533" s="1" t="s">
        <v>1202</v>
      </c>
      <c r="C533" s="1" t="s">
        <v>20</v>
      </c>
      <c r="D533" s="1" t="s">
        <v>1187</v>
      </c>
      <c r="E533" s="1" t="s">
        <v>1188</v>
      </c>
      <c r="F533" s="1" t="s">
        <v>1189</v>
      </c>
      <c r="G533" s="1" t="s">
        <v>1190</v>
      </c>
      <c r="H533" s="2"/>
      <c r="I533" s="2"/>
      <c r="J533" s="2"/>
      <c r="K533" s="2"/>
    </row>
    <row x14ac:dyDescent="0.25" r="534" customHeight="1" ht="17.25">
      <c r="A534" s="1" t="s">
        <v>1203</v>
      </c>
      <c r="B534" s="1" t="s">
        <v>1204</v>
      </c>
      <c r="C534" s="1" t="s">
        <v>20</v>
      </c>
      <c r="D534" s="1" t="s">
        <v>1187</v>
      </c>
      <c r="E534" s="1" t="s">
        <v>1188</v>
      </c>
      <c r="F534" s="1" t="s">
        <v>1189</v>
      </c>
      <c r="G534" s="1" t="s">
        <v>1190</v>
      </c>
      <c r="H534" s="2"/>
      <c r="I534" s="2"/>
      <c r="J534" s="2"/>
      <c r="K534" s="2"/>
    </row>
    <row x14ac:dyDescent="0.25" r="535" customHeight="1" ht="17.25">
      <c r="A535" s="1" t="s">
        <v>1205</v>
      </c>
      <c r="B535" s="1" t="s">
        <v>1206</v>
      </c>
      <c r="C535" s="1" t="s">
        <v>20</v>
      </c>
      <c r="D535" s="1" t="s">
        <v>1187</v>
      </c>
      <c r="E535" s="1" t="s">
        <v>1188</v>
      </c>
      <c r="F535" s="1" t="s">
        <v>1189</v>
      </c>
      <c r="G535" s="1" t="s">
        <v>1190</v>
      </c>
      <c r="H535" s="2"/>
      <c r="I535" s="2"/>
      <c r="J535" s="2"/>
      <c r="K535" s="2"/>
    </row>
    <row x14ac:dyDescent="0.25" r="536" customHeight="1" ht="17.25">
      <c r="A536" s="1" t="s">
        <v>1207</v>
      </c>
      <c r="B536" s="1" t="s">
        <v>1208</v>
      </c>
      <c r="C536" s="1" t="s">
        <v>20</v>
      </c>
      <c r="D536" s="1" t="s">
        <v>1187</v>
      </c>
      <c r="E536" s="1" t="s">
        <v>1188</v>
      </c>
      <c r="F536" s="1" t="s">
        <v>1189</v>
      </c>
      <c r="G536" s="1" t="s">
        <v>1190</v>
      </c>
      <c r="H536" s="2"/>
      <c r="I536" s="2"/>
      <c r="J536" s="2"/>
      <c r="K536" s="2"/>
    </row>
    <row x14ac:dyDescent="0.25" r="537" customHeight="1" ht="17.25">
      <c r="A537" s="1" t="s">
        <v>1209</v>
      </c>
      <c r="B537" s="1" t="s">
        <v>1210</v>
      </c>
      <c r="C537" s="1" t="s">
        <v>20</v>
      </c>
      <c r="D537" s="1" t="s">
        <v>1187</v>
      </c>
      <c r="E537" s="1" t="s">
        <v>1188</v>
      </c>
      <c r="F537" s="1" t="s">
        <v>1189</v>
      </c>
      <c r="G537" s="1" t="s">
        <v>1190</v>
      </c>
      <c r="H537" s="2"/>
      <c r="I537" s="2"/>
      <c r="J537" s="2"/>
      <c r="K537" s="2"/>
    </row>
    <row x14ac:dyDescent="0.25" r="538" customHeight="1" ht="17.25">
      <c r="A538" s="1" t="s">
        <v>1211</v>
      </c>
      <c r="B538" s="1" t="s">
        <v>1212</v>
      </c>
      <c r="C538" s="1" t="s">
        <v>20</v>
      </c>
      <c r="D538" s="1" t="s">
        <v>1187</v>
      </c>
      <c r="E538" s="1" t="s">
        <v>1188</v>
      </c>
      <c r="F538" s="1" t="s">
        <v>1189</v>
      </c>
      <c r="G538" s="1" t="s">
        <v>1190</v>
      </c>
      <c r="H538" s="2"/>
      <c r="I538" s="2"/>
      <c r="J538" s="2"/>
      <c r="K538" s="2"/>
    </row>
    <row x14ac:dyDescent="0.25" r="539" customHeight="1" ht="17.25">
      <c r="A539" s="1" t="s">
        <v>1213</v>
      </c>
      <c r="B539" s="1" t="s">
        <v>1214</v>
      </c>
      <c r="C539" s="1" t="s">
        <v>20</v>
      </c>
      <c r="D539" s="1" t="s">
        <v>1187</v>
      </c>
      <c r="E539" s="1" t="s">
        <v>1188</v>
      </c>
      <c r="F539" s="1" t="s">
        <v>1189</v>
      </c>
      <c r="G539" s="1" t="s">
        <v>1190</v>
      </c>
      <c r="H539" s="2"/>
      <c r="I539" s="2"/>
      <c r="J539" s="2"/>
      <c r="K539" s="2"/>
    </row>
    <row x14ac:dyDescent="0.25" r="540" customHeight="1" ht="17.25">
      <c r="A540" s="1" t="s">
        <v>1215</v>
      </c>
      <c r="B540" s="1" t="s">
        <v>1216</v>
      </c>
      <c r="C540" s="1" t="s">
        <v>20</v>
      </c>
      <c r="D540" s="1" t="s">
        <v>1187</v>
      </c>
      <c r="E540" s="1" t="s">
        <v>1188</v>
      </c>
      <c r="F540" s="1" t="s">
        <v>1189</v>
      </c>
      <c r="G540" s="1" t="s">
        <v>1190</v>
      </c>
      <c r="H540" s="2"/>
      <c r="I540" s="2"/>
      <c r="J540" s="2"/>
      <c r="K540" s="2"/>
    </row>
    <row x14ac:dyDescent="0.25" r="541" customHeight="1" ht="17.25">
      <c r="A541" s="1" t="s">
        <v>1217</v>
      </c>
      <c r="B541" s="1" t="s">
        <v>1218</v>
      </c>
      <c r="C541" s="1" t="s">
        <v>20</v>
      </c>
      <c r="D541" s="1" t="s">
        <v>1187</v>
      </c>
      <c r="E541" s="1" t="s">
        <v>1188</v>
      </c>
      <c r="F541" s="1" t="s">
        <v>1189</v>
      </c>
      <c r="G541" s="1" t="s">
        <v>1190</v>
      </c>
      <c r="H541" s="2"/>
      <c r="I541" s="2"/>
      <c r="J541" s="2"/>
      <c r="K541" s="2"/>
    </row>
    <row x14ac:dyDescent="0.25" r="542" customHeight="1" ht="17.25">
      <c r="A542" s="1" t="s">
        <v>1219</v>
      </c>
      <c r="B542" s="1" t="s">
        <v>1220</v>
      </c>
      <c r="C542" s="1" t="s">
        <v>20</v>
      </c>
      <c r="D542" s="1" t="s">
        <v>1187</v>
      </c>
      <c r="E542" s="1" t="s">
        <v>1188</v>
      </c>
      <c r="F542" s="1" t="s">
        <v>1189</v>
      </c>
      <c r="G542" s="1" t="s">
        <v>1190</v>
      </c>
      <c r="H542" s="2"/>
      <c r="I542" s="2"/>
      <c r="J542" s="2"/>
      <c r="K542" s="2"/>
    </row>
    <row x14ac:dyDescent="0.25" r="543" customHeight="1" ht="17.25">
      <c r="A543" s="1" t="s">
        <v>1221</v>
      </c>
      <c r="B543" s="1" t="s">
        <v>1222</v>
      </c>
      <c r="C543" s="1" t="s">
        <v>20</v>
      </c>
      <c r="D543" s="1" t="s">
        <v>1187</v>
      </c>
      <c r="E543" s="1" t="s">
        <v>1188</v>
      </c>
      <c r="F543" s="1" t="s">
        <v>1189</v>
      </c>
      <c r="G543" s="1" t="s">
        <v>1190</v>
      </c>
      <c r="H543" s="2"/>
      <c r="I543" s="2"/>
      <c r="J543" s="2"/>
      <c r="K543" s="2"/>
    </row>
    <row x14ac:dyDescent="0.25" r="544" customHeight="1" ht="17.25">
      <c r="A544" s="1" t="s">
        <v>1223</v>
      </c>
      <c r="B544" s="1" t="s">
        <v>1224</v>
      </c>
      <c r="C544" s="1" t="s">
        <v>20</v>
      </c>
      <c r="D544" s="1" t="s">
        <v>1187</v>
      </c>
      <c r="E544" s="1" t="s">
        <v>1188</v>
      </c>
      <c r="F544" s="1" t="s">
        <v>1189</v>
      </c>
      <c r="G544" s="1" t="s">
        <v>1190</v>
      </c>
      <c r="H544" s="2"/>
      <c r="I544" s="2"/>
      <c r="J544" s="2"/>
      <c r="K544" s="2"/>
    </row>
    <row x14ac:dyDescent="0.25" r="545" customHeight="1" ht="17.25">
      <c r="A545" s="1" t="s">
        <v>1225</v>
      </c>
      <c r="B545" s="1" t="s">
        <v>1226</v>
      </c>
      <c r="C545" s="1" t="s">
        <v>20</v>
      </c>
      <c r="D545" s="1" t="s">
        <v>1187</v>
      </c>
      <c r="E545" s="1" t="s">
        <v>1188</v>
      </c>
      <c r="F545" s="1" t="s">
        <v>1189</v>
      </c>
      <c r="G545" s="1" t="s">
        <v>1190</v>
      </c>
      <c r="H545" s="2"/>
      <c r="I545" s="2"/>
      <c r="J545" s="2"/>
      <c r="K545" s="2"/>
    </row>
    <row x14ac:dyDescent="0.25" r="546" customHeight="1" ht="17.25">
      <c r="A546" s="1" t="s">
        <v>1227</v>
      </c>
      <c r="B546" s="1" t="s">
        <v>1228</v>
      </c>
      <c r="C546" s="1" t="s">
        <v>20</v>
      </c>
      <c r="D546" s="1" t="s">
        <v>1187</v>
      </c>
      <c r="E546" s="1" t="s">
        <v>1188</v>
      </c>
      <c r="F546" s="1" t="s">
        <v>1189</v>
      </c>
      <c r="G546" s="1" t="s">
        <v>1190</v>
      </c>
      <c r="H546" s="2"/>
      <c r="I546" s="2"/>
      <c r="J546" s="2"/>
      <c r="K546" s="2"/>
    </row>
    <row x14ac:dyDescent="0.25" r="547" customHeight="1" ht="17.25">
      <c r="A547" s="1" t="s">
        <v>1229</v>
      </c>
      <c r="B547" s="1" t="s">
        <v>1230</v>
      </c>
      <c r="C547" s="1" t="s">
        <v>20</v>
      </c>
      <c r="D547" s="1" t="s">
        <v>1187</v>
      </c>
      <c r="E547" s="1" t="s">
        <v>1188</v>
      </c>
      <c r="F547" s="1" t="s">
        <v>1189</v>
      </c>
      <c r="G547" s="1" t="s">
        <v>1190</v>
      </c>
      <c r="H547" s="2"/>
      <c r="I547" s="2"/>
      <c r="J547" s="2"/>
      <c r="K547" s="2"/>
    </row>
    <row x14ac:dyDescent="0.25" r="548" customHeight="1" ht="17.25">
      <c r="A548" s="1" t="s">
        <v>1231</v>
      </c>
      <c r="B548" s="1" t="s">
        <v>1232</v>
      </c>
      <c r="C548" s="1" t="s">
        <v>20</v>
      </c>
      <c r="D548" s="1" t="s">
        <v>1187</v>
      </c>
      <c r="E548" s="1" t="s">
        <v>1188</v>
      </c>
      <c r="F548" s="1" t="s">
        <v>1189</v>
      </c>
      <c r="G548" s="1" t="s">
        <v>1190</v>
      </c>
      <c r="H548" s="2"/>
      <c r="I548" s="2"/>
      <c r="J548" s="2"/>
      <c r="K548" s="2"/>
    </row>
    <row x14ac:dyDescent="0.25" r="549" customHeight="1" ht="17.25">
      <c r="A549" s="1" t="s">
        <v>1233</v>
      </c>
      <c r="B549" s="1" t="s">
        <v>1234</v>
      </c>
      <c r="C549" s="1" t="s">
        <v>20</v>
      </c>
      <c r="D549" s="1" t="s">
        <v>1187</v>
      </c>
      <c r="E549" s="1" t="s">
        <v>1188</v>
      </c>
      <c r="F549" s="1" t="s">
        <v>1189</v>
      </c>
      <c r="G549" s="1" t="s">
        <v>1190</v>
      </c>
      <c r="H549" s="2"/>
      <c r="I549" s="2"/>
      <c r="J549" s="2"/>
      <c r="K549" s="2"/>
    </row>
    <row x14ac:dyDescent="0.25" r="550" customHeight="1" ht="17.25">
      <c r="A550" s="1" t="s">
        <v>1235</v>
      </c>
      <c r="B550" s="1" t="s">
        <v>1236</v>
      </c>
      <c r="C550" s="1" t="s">
        <v>20</v>
      </c>
      <c r="D550" s="1" t="s">
        <v>1187</v>
      </c>
      <c r="E550" s="1" t="s">
        <v>1188</v>
      </c>
      <c r="F550" s="1" t="s">
        <v>1189</v>
      </c>
      <c r="G550" s="1" t="s">
        <v>1190</v>
      </c>
      <c r="H550" s="2"/>
      <c r="I550" s="2"/>
      <c r="J550" s="2"/>
      <c r="K550" s="2"/>
    </row>
    <row x14ac:dyDescent="0.25" r="551" customHeight="1" ht="17.25">
      <c r="A551" s="1" t="s">
        <v>1237</v>
      </c>
      <c r="B551" s="1" t="s">
        <v>1238</v>
      </c>
      <c r="C551" s="1" t="s">
        <v>20</v>
      </c>
      <c r="D551" s="1" t="s">
        <v>1187</v>
      </c>
      <c r="E551" s="1" t="s">
        <v>1188</v>
      </c>
      <c r="F551" s="1" t="s">
        <v>1189</v>
      </c>
      <c r="G551" s="1" t="s">
        <v>1190</v>
      </c>
      <c r="H551" s="2"/>
      <c r="I551" s="2"/>
      <c r="J551" s="2"/>
      <c r="K551" s="2"/>
    </row>
    <row x14ac:dyDescent="0.25" r="552" customHeight="1" ht="17.25">
      <c r="A552" s="1" t="s">
        <v>1239</v>
      </c>
      <c r="B552" s="1" t="s">
        <v>1240</v>
      </c>
      <c r="C552" s="1" t="s">
        <v>20</v>
      </c>
      <c r="D552" s="1" t="s">
        <v>1187</v>
      </c>
      <c r="E552" s="1" t="s">
        <v>1188</v>
      </c>
      <c r="F552" s="1" t="s">
        <v>1189</v>
      </c>
      <c r="G552" s="1" t="s">
        <v>1190</v>
      </c>
      <c r="H552" s="2"/>
      <c r="I552" s="2"/>
      <c r="J552" s="2"/>
      <c r="K552" s="2"/>
    </row>
    <row x14ac:dyDescent="0.25" r="553" customHeight="1" ht="17.25">
      <c r="A553" s="1" t="s">
        <v>1241</v>
      </c>
      <c r="B553" s="1" t="s">
        <v>1242</v>
      </c>
      <c r="C553" s="1" t="s">
        <v>20</v>
      </c>
      <c r="D553" s="1" t="s">
        <v>1187</v>
      </c>
      <c r="E553" s="1" t="s">
        <v>1188</v>
      </c>
      <c r="F553" s="1" t="s">
        <v>1189</v>
      </c>
      <c r="G553" s="1" t="s">
        <v>1190</v>
      </c>
      <c r="H553" s="2"/>
      <c r="I553" s="2"/>
      <c r="J553" s="2"/>
      <c r="K553" s="2"/>
    </row>
    <row x14ac:dyDescent="0.25" r="554" customHeight="1" ht="17.25">
      <c r="A554" s="1" t="s">
        <v>1243</v>
      </c>
      <c r="B554" s="1" t="s">
        <v>1244</v>
      </c>
      <c r="C554" s="1" t="s">
        <v>20</v>
      </c>
      <c r="D554" s="1" t="s">
        <v>1187</v>
      </c>
      <c r="E554" s="1" t="s">
        <v>1188</v>
      </c>
      <c r="F554" s="1" t="s">
        <v>1189</v>
      </c>
      <c r="G554" s="1" t="s">
        <v>1190</v>
      </c>
      <c r="H554" s="2"/>
      <c r="I554" s="2"/>
      <c r="J554" s="2"/>
      <c r="K554" s="2"/>
    </row>
    <row x14ac:dyDescent="0.25" r="555" customHeight="1" ht="17.25">
      <c r="A555" s="1" t="s">
        <v>1245</v>
      </c>
      <c r="B555" s="1" t="s">
        <v>1246</v>
      </c>
      <c r="C555" s="1" t="s">
        <v>20</v>
      </c>
      <c r="D555" s="1" t="s">
        <v>1187</v>
      </c>
      <c r="E555" s="1" t="s">
        <v>1188</v>
      </c>
      <c r="F555" s="1" t="s">
        <v>1189</v>
      </c>
      <c r="G555" s="1" t="s">
        <v>1190</v>
      </c>
      <c r="H555" s="2"/>
      <c r="I555" s="2"/>
      <c r="J555" s="2"/>
      <c r="K555" s="2"/>
    </row>
    <row x14ac:dyDescent="0.25" r="556" customHeight="1" ht="17.25">
      <c r="A556" s="1" t="s">
        <v>1247</v>
      </c>
      <c r="B556" s="1" t="s">
        <v>1248</v>
      </c>
      <c r="C556" s="1" t="s">
        <v>20</v>
      </c>
      <c r="D556" s="1" t="s">
        <v>1187</v>
      </c>
      <c r="E556" s="1" t="s">
        <v>1188</v>
      </c>
      <c r="F556" s="1" t="s">
        <v>1189</v>
      </c>
      <c r="G556" s="1" t="s">
        <v>1190</v>
      </c>
      <c r="H556" s="2"/>
      <c r="I556" s="2"/>
      <c r="J556" s="2"/>
      <c r="K556" s="2"/>
    </row>
    <row x14ac:dyDescent="0.25" r="557" customHeight="1" ht="17.25">
      <c r="A557" s="1" t="s">
        <v>1249</v>
      </c>
      <c r="B557" s="1" t="s">
        <v>1250</v>
      </c>
      <c r="C557" s="1" t="s">
        <v>20</v>
      </c>
      <c r="D557" s="1" t="s">
        <v>1187</v>
      </c>
      <c r="E557" s="1" t="s">
        <v>1188</v>
      </c>
      <c r="F557" s="1" t="s">
        <v>1189</v>
      </c>
      <c r="G557" s="1" t="s">
        <v>1190</v>
      </c>
      <c r="H557" s="2"/>
      <c r="I557" s="2"/>
      <c r="J557" s="2"/>
      <c r="K557" s="2"/>
    </row>
    <row x14ac:dyDescent="0.25" r="558" customHeight="1" ht="17.25">
      <c r="A558" s="1" t="s">
        <v>1251</v>
      </c>
      <c r="B558" s="1" t="s">
        <v>1252</v>
      </c>
      <c r="C558" s="1" t="s">
        <v>20</v>
      </c>
      <c r="D558" s="1" t="s">
        <v>1187</v>
      </c>
      <c r="E558" s="1" t="s">
        <v>1188</v>
      </c>
      <c r="F558" s="1" t="s">
        <v>1189</v>
      </c>
      <c r="G558" s="1" t="s">
        <v>1190</v>
      </c>
      <c r="H558" s="2"/>
      <c r="I558" s="2"/>
      <c r="J558" s="2"/>
      <c r="K558" s="2"/>
    </row>
    <row x14ac:dyDescent="0.25" r="559" customHeight="1" ht="17.25">
      <c r="A559" s="1" t="s">
        <v>1253</v>
      </c>
      <c r="B559" s="1" t="s">
        <v>1254</v>
      </c>
      <c r="C559" s="1" t="s">
        <v>20</v>
      </c>
      <c r="D559" s="1" t="s">
        <v>1187</v>
      </c>
      <c r="E559" s="1" t="s">
        <v>1188</v>
      </c>
      <c r="F559" s="1" t="s">
        <v>1189</v>
      </c>
      <c r="G559" s="1" t="s">
        <v>1190</v>
      </c>
      <c r="H559" s="2"/>
      <c r="I559" s="2"/>
      <c r="J559" s="2"/>
      <c r="K559" s="2"/>
    </row>
    <row x14ac:dyDescent="0.25" r="560" customHeight="1" ht="17.25">
      <c r="A560" s="1" t="s">
        <v>1255</v>
      </c>
      <c r="B560" s="1" t="s">
        <v>1256</v>
      </c>
      <c r="C560" s="1" t="s">
        <v>20</v>
      </c>
      <c r="D560" s="1" t="s">
        <v>1187</v>
      </c>
      <c r="E560" s="1" t="s">
        <v>1188</v>
      </c>
      <c r="F560" s="1" t="s">
        <v>1189</v>
      </c>
      <c r="G560" s="1" t="s">
        <v>1190</v>
      </c>
      <c r="H560" s="2"/>
      <c r="I560" s="2"/>
      <c r="J560" s="2"/>
      <c r="K560" s="2"/>
    </row>
    <row x14ac:dyDescent="0.25" r="561" customHeight="1" ht="17.25">
      <c r="A561" s="1" t="s">
        <v>1257</v>
      </c>
      <c r="B561" s="1" t="s">
        <v>1258</v>
      </c>
      <c r="C561" s="1" t="s">
        <v>20</v>
      </c>
      <c r="D561" s="1" t="s">
        <v>1187</v>
      </c>
      <c r="E561" s="1" t="s">
        <v>1188</v>
      </c>
      <c r="F561" s="1" t="s">
        <v>1189</v>
      </c>
      <c r="G561" s="1" t="s">
        <v>1190</v>
      </c>
      <c r="H561" s="2"/>
      <c r="I561" s="2"/>
      <c r="J561" s="2"/>
      <c r="K561" s="2"/>
    </row>
    <row x14ac:dyDescent="0.25" r="562" customHeight="1" ht="17.25">
      <c r="A562" s="1" t="s">
        <v>1259</v>
      </c>
      <c r="B562" s="1" t="s">
        <v>1260</v>
      </c>
      <c r="C562" s="1" t="s">
        <v>20</v>
      </c>
      <c r="D562" s="1" t="s">
        <v>1187</v>
      </c>
      <c r="E562" s="1" t="s">
        <v>1188</v>
      </c>
      <c r="F562" s="1" t="s">
        <v>1189</v>
      </c>
      <c r="G562" s="1" t="s">
        <v>1190</v>
      </c>
      <c r="H562" s="2"/>
      <c r="I562" s="2"/>
      <c r="J562" s="2"/>
      <c r="K562" s="2"/>
    </row>
    <row x14ac:dyDescent="0.25" r="563" customHeight="1" ht="17.25">
      <c r="A563" s="1" t="s">
        <v>1261</v>
      </c>
      <c r="B563" s="1" t="s">
        <v>1262</v>
      </c>
      <c r="C563" s="1" t="s">
        <v>20</v>
      </c>
      <c r="D563" s="1" t="s">
        <v>1187</v>
      </c>
      <c r="E563" s="1" t="s">
        <v>1188</v>
      </c>
      <c r="F563" s="1" t="s">
        <v>1189</v>
      </c>
      <c r="G563" s="1" t="s">
        <v>1190</v>
      </c>
      <c r="H563" s="2"/>
      <c r="I563" s="2"/>
      <c r="J563" s="2"/>
      <c r="K563" s="2"/>
    </row>
    <row x14ac:dyDescent="0.25" r="564" customHeight="1" ht="17.25">
      <c r="A564" s="1" t="s">
        <v>1263</v>
      </c>
      <c r="B564" s="1" t="s">
        <v>1264</v>
      </c>
      <c r="C564" s="1" t="s">
        <v>20</v>
      </c>
      <c r="D564" s="1" t="s">
        <v>1187</v>
      </c>
      <c r="E564" s="1" t="s">
        <v>1188</v>
      </c>
      <c r="F564" s="1" t="s">
        <v>1189</v>
      </c>
      <c r="G564" s="1" t="s">
        <v>1190</v>
      </c>
      <c r="H564" s="2"/>
      <c r="I564" s="2"/>
      <c r="J564" s="2"/>
      <c r="K564" s="2"/>
    </row>
    <row x14ac:dyDescent="0.25" r="565" customHeight="1" ht="17.25">
      <c r="A565" s="1" t="s">
        <v>1265</v>
      </c>
      <c r="B565" s="1" t="s">
        <v>1266</v>
      </c>
      <c r="C565" s="1" t="s">
        <v>20</v>
      </c>
      <c r="D565" s="1" t="s">
        <v>1187</v>
      </c>
      <c r="E565" s="1" t="s">
        <v>1188</v>
      </c>
      <c r="F565" s="1" t="s">
        <v>1189</v>
      </c>
      <c r="G565" s="1" t="s">
        <v>1190</v>
      </c>
      <c r="H565" s="2"/>
      <c r="I565" s="2"/>
      <c r="J565" s="2"/>
      <c r="K565" s="2"/>
    </row>
    <row x14ac:dyDescent="0.25" r="566" customHeight="1" ht="17.25">
      <c r="A566" s="1" t="s">
        <v>1267</v>
      </c>
      <c r="B566" s="1" t="s">
        <v>1268</v>
      </c>
      <c r="C566" s="1" t="s">
        <v>20</v>
      </c>
      <c r="D566" s="1" t="s">
        <v>1187</v>
      </c>
      <c r="E566" s="1" t="s">
        <v>1188</v>
      </c>
      <c r="F566" s="1" t="s">
        <v>1189</v>
      </c>
      <c r="G566" s="1" t="s">
        <v>1190</v>
      </c>
      <c r="H566" s="2"/>
      <c r="I566" s="2"/>
      <c r="J566" s="2"/>
      <c r="K566" s="2"/>
    </row>
    <row x14ac:dyDescent="0.25" r="567" customHeight="1" ht="17.25">
      <c r="A567" s="1" t="s">
        <v>1269</v>
      </c>
      <c r="B567" s="1" t="s">
        <v>1270</v>
      </c>
      <c r="C567" s="1" t="s">
        <v>20</v>
      </c>
      <c r="D567" s="1" t="s">
        <v>1187</v>
      </c>
      <c r="E567" s="1" t="s">
        <v>1188</v>
      </c>
      <c r="F567" s="1" t="s">
        <v>1189</v>
      </c>
      <c r="G567" s="1" t="s">
        <v>1190</v>
      </c>
      <c r="H567" s="2"/>
      <c r="I567" s="2"/>
      <c r="J567" s="2"/>
      <c r="K567" s="2"/>
    </row>
    <row x14ac:dyDescent="0.25" r="568" customHeight="1" ht="17.25">
      <c r="A568" s="1" t="s">
        <v>1271</v>
      </c>
      <c r="B568" s="1" t="s">
        <v>1272</v>
      </c>
      <c r="C568" s="1" t="s">
        <v>20</v>
      </c>
      <c r="D568" s="1" t="s">
        <v>1187</v>
      </c>
      <c r="E568" s="1" t="s">
        <v>1188</v>
      </c>
      <c r="F568" s="1" t="s">
        <v>1189</v>
      </c>
      <c r="G568" s="1" t="s">
        <v>1190</v>
      </c>
      <c r="H568" s="2"/>
      <c r="I568" s="2"/>
      <c r="J568" s="2"/>
      <c r="K568" s="2"/>
    </row>
    <row x14ac:dyDescent="0.25" r="569" customHeight="1" ht="17.25">
      <c r="A569" s="1" t="s">
        <v>1273</v>
      </c>
      <c r="B569" s="1" t="s">
        <v>1274</v>
      </c>
      <c r="C569" s="1" t="s">
        <v>20</v>
      </c>
      <c r="D569" s="1" t="s">
        <v>1187</v>
      </c>
      <c r="E569" s="1" t="s">
        <v>1188</v>
      </c>
      <c r="F569" s="1" t="s">
        <v>1189</v>
      </c>
      <c r="G569" s="1" t="s">
        <v>1190</v>
      </c>
      <c r="H569" s="2"/>
      <c r="I569" s="2"/>
      <c r="J569" s="2"/>
      <c r="K569" s="2"/>
    </row>
    <row x14ac:dyDescent="0.25" r="570" customHeight="1" ht="17.25">
      <c r="A570" s="1" t="s">
        <v>1275</v>
      </c>
      <c r="B570" s="1" t="s">
        <v>1276</v>
      </c>
      <c r="C570" s="1" t="s">
        <v>20</v>
      </c>
      <c r="D570" s="1" t="s">
        <v>1187</v>
      </c>
      <c r="E570" s="1" t="s">
        <v>1188</v>
      </c>
      <c r="F570" s="1" t="s">
        <v>1189</v>
      </c>
      <c r="G570" s="1" t="s">
        <v>1190</v>
      </c>
      <c r="H570" s="2"/>
      <c r="I570" s="2"/>
      <c r="J570" s="2"/>
      <c r="K570" s="2"/>
    </row>
    <row x14ac:dyDescent="0.25" r="571" customHeight="1" ht="17.25">
      <c r="A571" s="1" t="s">
        <v>1277</v>
      </c>
      <c r="B571" s="1" t="s">
        <v>1278</v>
      </c>
      <c r="C571" s="1" t="s">
        <v>20</v>
      </c>
      <c r="D571" s="1" t="s">
        <v>1187</v>
      </c>
      <c r="E571" s="1" t="s">
        <v>1188</v>
      </c>
      <c r="F571" s="1" t="s">
        <v>1189</v>
      </c>
      <c r="G571" s="1" t="s">
        <v>1190</v>
      </c>
      <c r="H571" s="2"/>
      <c r="I571" s="2"/>
      <c r="J571" s="2"/>
      <c r="K571" s="2"/>
    </row>
    <row x14ac:dyDescent="0.25" r="572" customHeight="1" ht="17.25">
      <c r="A572" s="1" t="s">
        <v>1279</v>
      </c>
      <c r="B572" s="1" t="s">
        <v>1280</v>
      </c>
      <c r="C572" s="1" t="s">
        <v>20</v>
      </c>
      <c r="D572" s="1" t="s">
        <v>1187</v>
      </c>
      <c r="E572" s="1" t="s">
        <v>1188</v>
      </c>
      <c r="F572" s="1" t="s">
        <v>1189</v>
      </c>
      <c r="G572" s="1" t="s">
        <v>1190</v>
      </c>
      <c r="H572" s="2"/>
      <c r="I572" s="2"/>
      <c r="J572" s="2"/>
      <c r="K572" s="2"/>
    </row>
    <row x14ac:dyDescent="0.25" r="573" customHeight="1" ht="17.25">
      <c r="A573" s="1" t="s">
        <v>1281</v>
      </c>
      <c r="B573" s="1" t="s">
        <v>1282</v>
      </c>
      <c r="C573" s="1" t="s">
        <v>20</v>
      </c>
      <c r="D573" s="1" t="s">
        <v>1187</v>
      </c>
      <c r="E573" s="1" t="s">
        <v>1188</v>
      </c>
      <c r="F573" s="1" t="s">
        <v>1189</v>
      </c>
      <c r="G573" s="1" t="s">
        <v>1190</v>
      </c>
      <c r="H573" s="2"/>
      <c r="I573" s="2"/>
      <c r="J573" s="2"/>
      <c r="K573" s="2"/>
    </row>
    <row x14ac:dyDescent="0.25" r="574" customHeight="1" ht="17.25">
      <c r="A574" s="1" t="s">
        <v>1283</v>
      </c>
      <c r="B574" s="1" t="s">
        <v>1284</v>
      </c>
      <c r="C574" s="1" t="s">
        <v>20</v>
      </c>
      <c r="D574" s="1" t="s">
        <v>1187</v>
      </c>
      <c r="E574" s="1" t="s">
        <v>1188</v>
      </c>
      <c r="F574" s="1" t="s">
        <v>1189</v>
      </c>
      <c r="G574" s="1" t="s">
        <v>1190</v>
      </c>
      <c r="H574" s="2"/>
      <c r="I574" s="2"/>
      <c r="J574" s="2"/>
      <c r="K574" s="2"/>
    </row>
    <row x14ac:dyDescent="0.25" r="575" customHeight="1" ht="17.25">
      <c r="A575" s="1" t="s">
        <v>1285</v>
      </c>
      <c r="B575" s="1" t="s">
        <v>1286</v>
      </c>
      <c r="C575" s="1" t="s">
        <v>20</v>
      </c>
      <c r="D575" s="1" t="s">
        <v>1187</v>
      </c>
      <c r="E575" s="1" t="s">
        <v>1188</v>
      </c>
      <c r="F575" s="1" t="s">
        <v>1189</v>
      </c>
      <c r="G575" s="1" t="s">
        <v>1190</v>
      </c>
      <c r="H575" s="2"/>
      <c r="I575" s="2"/>
      <c r="J575" s="2"/>
      <c r="K575" s="2"/>
    </row>
    <row x14ac:dyDescent="0.25" r="576" customHeight="1" ht="17.25">
      <c r="A576" s="1" t="s">
        <v>1287</v>
      </c>
      <c r="B576" s="1" t="s">
        <v>1288</v>
      </c>
      <c r="C576" s="1" t="s">
        <v>20</v>
      </c>
      <c r="D576" s="1" t="s">
        <v>1187</v>
      </c>
      <c r="E576" s="1" t="s">
        <v>1188</v>
      </c>
      <c r="F576" s="1" t="s">
        <v>1189</v>
      </c>
      <c r="G576" s="1" t="s">
        <v>1190</v>
      </c>
      <c r="H576" s="2"/>
      <c r="I576" s="2"/>
      <c r="J576" s="2"/>
      <c r="K576" s="2"/>
    </row>
    <row x14ac:dyDescent="0.25" r="577" customHeight="1" ht="17.25">
      <c r="A577" s="1" t="s">
        <v>1289</v>
      </c>
      <c r="B577" s="1" t="s">
        <v>1290</v>
      </c>
      <c r="C577" s="1" t="s">
        <v>20</v>
      </c>
      <c r="D577" s="1" t="s">
        <v>1187</v>
      </c>
      <c r="E577" s="1" t="s">
        <v>1188</v>
      </c>
      <c r="F577" s="1" t="s">
        <v>1189</v>
      </c>
      <c r="G577" s="1" t="s">
        <v>1190</v>
      </c>
      <c r="H577" s="2"/>
      <c r="I577" s="2"/>
      <c r="J577" s="2"/>
      <c r="K577" s="2"/>
    </row>
    <row x14ac:dyDescent="0.25" r="578" customHeight="1" ht="17.25">
      <c r="A578" s="1" t="s">
        <v>1291</v>
      </c>
      <c r="B578" s="1" t="s">
        <v>1292</v>
      </c>
      <c r="C578" s="1" t="s">
        <v>20</v>
      </c>
      <c r="D578" s="1" t="s">
        <v>1187</v>
      </c>
      <c r="E578" s="1" t="s">
        <v>1188</v>
      </c>
      <c r="F578" s="1" t="s">
        <v>1189</v>
      </c>
      <c r="G578" s="1" t="s">
        <v>1190</v>
      </c>
      <c r="H578" s="2"/>
      <c r="I578" s="2"/>
      <c r="J578" s="2"/>
      <c r="K578" s="2"/>
    </row>
    <row x14ac:dyDescent="0.25" r="579" customHeight="1" ht="17.25">
      <c r="A579" s="1" t="s">
        <v>1293</v>
      </c>
      <c r="B579" s="1" t="s">
        <v>1294</v>
      </c>
      <c r="C579" s="1" t="s">
        <v>20</v>
      </c>
      <c r="D579" s="1" t="s">
        <v>1187</v>
      </c>
      <c r="E579" s="1" t="s">
        <v>1188</v>
      </c>
      <c r="F579" s="1" t="s">
        <v>1189</v>
      </c>
      <c r="G579" s="1" t="s">
        <v>1190</v>
      </c>
      <c r="H579" s="2"/>
      <c r="I579" s="2"/>
      <c r="J579" s="2"/>
      <c r="K579" s="2"/>
    </row>
    <row x14ac:dyDescent="0.25" r="580" customHeight="1" ht="17.25">
      <c r="A580" s="1" t="s">
        <v>1295</v>
      </c>
      <c r="B580" s="1" t="s">
        <v>1296</v>
      </c>
      <c r="C580" s="1" t="s">
        <v>20</v>
      </c>
      <c r="D580" s="1" t="s">
        <v>1187</v>
      </c>
      <c r="E580" s="1" t="s">
        <v>1188</v>
      </c>
      <c r="F580" s="1" t="s">
        <v>1189</v>
      </c>
      <c r="G580" s="1" t="s">
        <v>1190</v>
      </c>
      <c r="H580" s="2"/>
      <c r="I580" s="2"/>
      <c r="J580" s="2"/>
      <c r="K580" s="2"/>
    </row>
    <row x14ac:dyDescent="0.25" r="581" customHeight="1" ht="17.25">
      <c r="A581" s="1" t="s">
        <v>1297</v>
      </c>
      <c r="B581" s="1" t="s">
        <v>1298</v>
      </c>
      <c r="C581" s="1" t="s">
        <v>20</v>
      </c>
      <c r="D581" s="1" t="s">
        <v>1187</v>
      </c>
      <c r="E581" s="1" t="s">
        <v>1188</v>
      </c>
      <c r="F581" s="1" t="s">
        <v>1189</v>
      </c>
      <c r="G581" s="1" t="s">
        <v>1190</v>
      </c>
      <c r="H581" s="2"/>
      <c r="I581" s="2"/>
      <c r="J581" s="2"/>
      <c r="K581" s="2"/>
    </row>
    <row x14ac:dyDescent="0.25" r="582" customHeight="1" ht="17.25">
      <c r="A582" s="1" t="s">
        <v>1299</v>
      </c>
      <c r="B582" s="1" t="s">
        <v>1300</v>
      </c>
      <c r="C582" s="1" t="s">
        <v>20</v>
      </c>
      <c r="D582" s="1" t="s">
        <v>1187</v>
      </c>
      <c r="E582" s="1" t="s">
        <v>1188</v>
      </c>
      <c r="F582" s="1" t="s">
        <v>1189</v>
      </c>
      <c r="G582" s="1" t="s">
        <v>1190</v>
      </c>
      <c r="H582" s="2"/>
      <c r="I582" s="2"/>
      <c r="J582" s="2"/>
      <c r="K582" s="2"/>
    </row>
    <row x14ac:dyDescent="0.25" r="583" customHeight="1" ht="17.25">
      <c r="A583" s="1" t="s">
        <v>1301</v>
      </c>
      <c r="B583" s="1" t="s">
        <v>1302</v>
      </c>
      <c r="C583" s="1" t="s">
        <v>20</v>
      </c>
      <c r="D583" s="1" t="s">
        <v>1187</v>
      </c>
      <c r="E583" s="1" t="s">
        <v>1188</v>
      </c>
      <c r="F583" s="1" t="s">
        <v>1189</v>
      </c>
      <c r="G583" s="1" t="s">
        <v>1190</v>
      </c>
      <c r="H583" s="2"/>
      <c r="I583" s="2"/>
      <c r="J583" s="2"/>
      <c r="K583" s="2"/>
    </row>
    <row x14ac:dyDescent="0.25" r="584" customHeight="1" ht="17.25">
      <c r="A584" s="1" t="s">
        <v>1303</v>
      </c>
      <c r="B584" s="1" t="s">
        <v>1304</v>
      </c>
      <c r="C584" s="1" t="s">
        <v>20</v>
      </c>
      <c r="D584" s="1" t="s">
        <v>1187</v>
      </c>
      <c r="E584" s="1" t="s">
        <v>1188</v>
      </c>
      <c r="F584" s="1" t="s">
        <v>1189</v>
      </c>
      <c r="G584" s="1" t="s">
        <v>1190</v>
      </c>
      <c r="H584" s="2"/>
      <c r="I584" s="2"/>
      <c r="J584" s="2"/>
      <c r="K584" s="2"/>
    </row>
    <row x14ac:dyDescent="0.25" r="585" customHeight="1" ht="17.25">
      <c r="A585" s="1" t="s">
        <v>1305</v>
      </c>
      <c r="B585" s="1" t="s">
        <v>1306</v>
      </c>
      <c r="C585" s="1" t="s">
        <v>20</v>
      </c>
      <c r="D585" s="1" t="s">
        <v>1187</v>
      </c>
      <c r="E585" s="1" t="s">
        <v>1188</v>
      </c>
      <c r="F585" s="1" t="s">
        <v>1189</v>
      </c>
      <c r="G585" s="1" t="s">
        <v>1190</v>
      </c>
      <c r="H585" s="2"/>
      <c r="I585" s="2"/>
      <c r="J585" s="2"/>
      <c r="K585" s="2"/>
    </row>
    <row x14ac:dyDescent="0.25" r="586" customHeight="1" ht="17.25">
      <c r="A586" s="1" t="s">
        <v>1307</v>
      </c>
      <c r="B586" s="1" t="s">
        <v>1308</v>
      </c>
      <c r="C586" s="1" t="s">
        <v>20</v>
      </c>
      <c r="D586" s="1" t="s">
        <v>1187</v>
      </c>
      <c r="E586" s="1" t="s">
        <v>1188</v>
      </c>
      <c r="F586" s="1" t="s">
        <v>1189</v>
      </c>
      <c r="G586" s="1" t="s">
        <v>1190</v>
      </c>
      <c r="H586" s="2"/>
      <c r="I586" s="2"/>
      <c r="J586" s="2"/>
      <c r="K586" s="2"/>
    </row>
    <row x14ac:dyDescent="0.25" r="587" customHeight="1" ht="17.25">
      <c r="A587" s="1" t="s">
        <v>1309</v>
      </c>
      <c r="B587" s="1" t="s">
        <v>1310</v>
      </c>
      <c r="C587" s="1" t="s">
        <v>20</v>
      </c>
      <c r="D587" s="1" t="s">
        <v>1187</v>
      </c>
      <c r="E587" s="1" t="s">
        <v>1188</v>
      </c>
      <c r="F587" s="1" t="s">
        <v>1189</v>
      </c>
      <c r="G587" s="1" t="s">
        <v>1190</v>
      </c>
      <c r="H587" s="2"/>
      <c r="I587" s="2"/>
      <c r="J587" s="2"/>
      <c r="K587" s="2"/>
    </row>
    <row x14ac:dyDescent="0.25" r="588" customHeight="1" ht="17.25">
      <c r="A588" s="1" t="s">
        <v>1311</v>
      </c>
      <c r="B588" s="1" t="s">
        <v>1312</v>
      </c>
      <c r="C588" s="1" t="s">
        <v>20</v>
      </c>
      <c r="D588" s="1" t="s">
        <v>1187</v>
      </c>
      <c r="E588" s="1" t="s">
        <v>1188</v>
      </c>
      <c r="F588" s="1" t="s">
        <v>1189</v>
      </c>
      <c r="G588" s="1" t="s">
        <v>1190</v>
      </c>
      <c r="H588" s="2"/>
      <c r="I588" s="2"/>
      <c r="J588" s="2"/>
      <c r="K588" s="2"/>
    </row>
    <row x14ac:dyDescent="0.25" r="589" customHeight="1" ht="17.25">
      <c r="A589" s="1" t="s">
        <v>1313</v>
      </c>
      <c r="B589" s="1" t="s">
        <v>1314</v>
      </c>
      <c r="C589" s="1" t="s">
        <v>20</v>
      </c>
      <c r="D589" s="1" t="s">
        <v>1187</v>
      </c>
      <c r="E589" s="1" t="s">
        <v>1188</v>
      </c>
      <c r="F589" s="1" t="s">
        <v>1189</v>
      </c>
      <c r="G589" s="1" t="s">
        <v>1190</v>
      </c>
      <c r="H589" s="2"/>
      <c r="I589" s="2"/>
      <c r="J589" s="2"/>
      <c r="K589" s="2"/>
    </row>
    <row x14ac:dyDescent="0.25" r="590" customHeight="1" ht="17.25">
      <c r="A590" s="1" t="s">
        <v>1315</v>
      </c>
      <c r="B590" s="1" t="s">
        <v>1316</v>
      </c>
      <c r="C590" s="1" t="s">
        <v>20</v>
      </c>
      <c r="D590" s="1" t="s">
        <v>1187</v>
      </c>
      <c r="E590" s="1" t="s">
        <v>1188</v>
      </c>
      <c r="F590" s="1" t="s">
        <v>1189</v>
      </c>
      <c r="G590" s="1" t="s">
        <v>1190</v>
      </c>
      <c r="H590" s="2"/>
      <c r="I590" s="2"/>
      <c r="J590" s="2"/>
      <c r="K590" s="2"/>
    </row>
    <row x14ac:dyDescent="0.25" r="591" customHeight="1" ht="17.25">
      <c r="A591" s="1" t="s">
        <v>1317</v>
      </c>
      <c r="B591" s="1" t="s">
        <v>1318</v>
      </c>
      <c r="C591" s="1" t="s">
        <v>20</v>
      </c>
      <c r="D591" s="1" t="s">
        <v>1187</v>
      </c>
      <c r="E591" s="1" t="s">
        <v>1188</v>
      </c>
      <c r="F591" s="1" t="s">
        <v>1189</v>
      </c>
      <c r="G591" s="1" t="s">
        <v>1190</v>
      </c>
      <c r="H591" s="2"/>
      <c r="I591" s="2"/>
      <c r="J591" s="2"/>
      <c r="K591" s="2"/>
    </row>
    <row x14ac:dyDescent="0.25" r="592" customHeight="1" ht="17.25">
      <c r="A592" s="1" t="s">
        <v>1319</v>
      </c>
      <c r="B592" s="1" t="s">
        <v>1320</v>
      </c>
      <c r="C592" s="1" t="s">
        <v>20</v>
      </c>
      <c r="D592" s="1" t="s">
        <v>1187</v>
      </c>
      <c r="E592" s="1" t="s">
        <v>1188</v>
      </c>
      <c r="F592" s="1" t="s">
        <v>1189</v>
      </c>
      <c r="G592" s="1" t="s">
        <v>1190</v>
      </c>
      <c r="H592" s="2"/>
      <c r="I592" s="2"/>
      <c r="J592" s="2"/>
      <c r="K592" s="2"/>
    </row>
    <row x14ac:dyDescent="0.25" r="593" customHeight="1" ht="17.25">
      <c r="A593" s="1" t="s">
        <v>1321</v>
      </c>
      <c r="B593" s="1" t="s">
        <v>1322</v>
      </c>
      <c r="C593" s="1" t="s">
        <v>20</v>
      </c>
      <c r="D593" s="1" t="s">
        <v>1187</v>
      </c>
      <c r="E593" s="1" t="s">
        <v>1188</v>
      </c>
      <c r="F593" s="1" t="s">
        <v>1189</v>
      </c>
      <c r="G593" s="1" t="s">
        <v>1190</v>
      </c>
      <c r="H593" s="2"/>
      <c r="I593" s="2"/>
      <c r="J593" s="2"/>
      <c r="K593" s="2"/>
    </row>
    <row x14ac:dyDescent="0.25" r="594" customHeight="1" ht="17.25">
      <c r="A594" s="1" t="s">
        <v>1323</v>
      </c>
      <c r="B594" s="1" t="s">
        <v>1324</v>
      </c>
      <c r="C594" s="1" t="s">
        <v>20</v>
      </c>
      <c r="D594" s="1" t="s">
        <v>1187</v>
      </c>
      <c r="E594" s="1" t="s">
        <v>1188</v>
      </c>
      <c r="F594" s="1" t="s">
        <v>1189</v>
      </c>
      <c r="G594" s="1" t="s">
        <v>1190</v>
      </c>
      <c r="H594" s="2"/>
      <c r="I594" s="2"/>
      <c r="J594" s="2"/>
      <c r="K594" s="2"/>
    </row>
    <row x14ac:dyDescent="0.25" r="595" customHeight="1" ht="17.25">
      <c r="A595" s="1" t="s">
        <v>1325</v>
      </c>
      <c r="B595" s="1" t="s">
        <v>1326</v>
      </c>
      <c r="C595" s="1" t="s">
        <v>20</v>
      </c>
      <c r="D595" s="1" t="s">
        <v>1187</v>
      </c>
      <c r="E595" s="1" t="s">
        <v>1188</v>
      </c>
      <c r="F595" s="1" t="s">
        <v>1189</v>
      </c>
      <c r="G595" s="1" t="s">
        <v>1190</v>
      </c>
      <c r="H595" s="2"/>
      <c r="I595" s="2"/>
      <c r="J595" s="2"/>
      <c r="K595" s="2"/>
    </row>
    <row x14ac:dyDescent="0.25" r="596" customHeight="1" ht="17.25">
      <c r="A596" s="1" t="s">
        <v>1327</v>
      </c>
      <c r="B596" s="1" t="s">
        <v>1328</v>
      </c>
      <c r="C596" s="1" t="s">
        <v>20</v>
      </c>
      <c r="D596" s="1" t="s">
        <v>1187</v>
      </c>
      <c r="E596" s="1" t="s">
        <v>1188</v>
      </c>
      <c r="F596" s="1" t="s">
        <v>1189</v>
      </c>
      <c r="G596" s="1" t="s">
        <v>1190</v>
      </c>
      <c r="H596" s="2"/>
      <c r="I596" s="2"/>
      <c r="J596" s="2"/>
      <c r="K596" s="2"/>
    </row>
    <row x14ac:dyDescent="0.25" r="597" customHeight="1" ht="17.25">
      <c r="A597" s="1" t="s">
        <v>1329</v>
      </c>
      <c r="B597" s="1" t="s">
        <v>1330</v>
      </c>
      <c r="C597" s="1" t="s">
        <v>20</v>
      </c>
      <c r="D597" s="1" t="s">
        <v>1187</v>
      </c>
      <c r="E597" s="1" t="s">
        <v>1188</v>
      </c>
      <c r="F597" s="1" t="s">
        <v>1189</v>
      </c>
      <c r="G597" s="1" t="s">
        <v>1190</v>
      </c>
      <c r="H597" s="2"/>
      <c r="I597" s="2"/>
      <c r="J597" s="2"/>
      <c r="K597" s="2"/>
    </row>
    <row x14ac:dyDescent="0.25" r="598" customHeight="1" ht="17.25">
      <c r="A598" s="1" t="s">
        <v>1331</v>
      </c>
      <c r="B598" s="1" t="s">
        <v>1332</v>
      </c>
      <c r="C598" s="1" t="s">
        <v>20</v>
      </c>
      <c r="D598" s="1" t="s">
        <v>1187</v>
      </c>
      <c r="E598" s="1" t="s">
        <v>1188</v>
      </c>
      <c r="F598" s="1" t="s">
        <v>1189</v>
      </c>
      <c r="G598" s="1" t="s">
        <v>1190</v>
      </c>
      <c r="H598" s="2"/>
      <c r="I598" s="2"/>
      <c r="J598" s="2"/>
      <c r="K598" s="2"/>
    </row>
    <row x14ac:dyDescent="0.25" r="599" customHeight="1" ht="17.25">
      <c r="A599" s="1" t="s">
        <v>1333</v>
      </c>
      <c r="B599" s="1" t="s">
        <v>1334</v>
      </c>
      <c r="C599" s="1" t="s">
        <v>20</v>
      </c>
      <c r="D599" s="1" t="s">
        <v>1187</v>
      </c>
      <c r="E599" s="1" t="s">
        <v>1188</v>
      </c>
      <c r="F599" s="1" t="s">
        <v>1189</v>
      </c>
      <c r="G599" s="1" t="s">
        <v>1190</v>
      </c>
      <c r="H599" s="2"/>
      <c r="I599" s="2"/>
      <c r="J599" s="2"/>
      <c r="K599" s="2"/>
    </row>
    <row x14ac:dyDescent="0.25" r="600" customHeight="1" ht="17.25">
      <c r="A600" s="1" t="s">
        <v>1335</v>
      </c>
      <c r="B600" s="1" t="s">
        <v>1336</v>
      </c>
      <c r="C600" s="1" t="s">
        <v>20</v>
      </c>
      <c r="D600" s="1" t="s">
        <v>1187</v>
      </c>
      <c r="E600" s="1" t="s">
        <v>1188</v>
      </c>
      <c r="F600" s="1" t="s">
        <v>1189</v>
      </c>
      <c r="G600" s="1" t="s">
        <v>1190</v>
      </c>
      <c r="H600" s="2"/>
      <c r="I600" s="2"/>
      <c r="J600" s="2"/>
      <c r="K600" s="2"/>
    </row>
    <row x14ac:dyDescent="0.25" r="601" customHeight="1" ht="17.25">
      <c r="A601" s="1" t="s">
        <v>1337</v>
      </c>
      <c r="B601" s="1" t="s">
        <v>1338</v>
      </c>
      <c r="C601" s="1" t="s">
        <v>20</v>
      </c>
      <c r="D601" s="1" t="s">
        <v>1187</v>
      </c>
      <c r="E601" s="1" t="s">
        <v>1188</v>
      </c>
      <c r="F601" s="1" t="s">
        <v>1189</v>
      </c>
      <c r="G601" s="1" t="s">
        <v>1190</v>
      </c>
      <c r="H601" s="2"/>
      <c r="I601" s="2"/>
      <c r="J601" s="2"/>
      <c r="K601" s="2"/>
    </row>
    <row x14ac:dyDescent="0.25" r="602" customHeight="1" ht="17.25">
      <c r="A602" s="1" t="s">
        <v>1339</v>
      </c>
      <c r="B602" s="1" t="s">
        <v>1340</v>
      </c>
      <c r="C602" s="1" t="s">
        <v>20</v>
      </c>
      <c r="D602" s="1" t="s">
        <v>1187</v>
      </c>
      <c r="E602" s="1" t="s">
        <v>1188</v>
      </c>
      <c r="F602" s="1" t="s">
        <v>1189</v>
      </c>
      <c r="G602" s="1" t="s">
        <v>1190</v>
      </c>
      <c r="H602" s="2"/>
      <c r="I602" s="2"/>
      <c r="J602" s="2"/>
      <c r="K602" s="2"/>
    </row>
    <row x14ac:dyDescent="0.25" r="603" customHeight="1" ht="17.25">
      <c r="A603" s="1" t="s">
        <v>1341</v>
      </c>
      <c r="B603" s="1" t="s">
        <v>1342</v>
      </c>
      <c r="C603" s="1" t="s">
        <v>20</v>
      </c>
      <c r="D603" s="1" t="s">
        <v>1187</v>
      </c>
      <c r="E603" s="1" t="s">
        <v>1188</v>
      </c>
      <c r="F603" s="1" t="s">
        <v>1189</v>
      </c>
      <c r="G603" s="1" t="s">
        <v>1190</v>
      </c>
      <c r="H603" s="2"/>
      <c r="I603" s="2"/>
      <c r="J603" s="2"/>
      <c r="K603" s="2"/>
    </row>
    <row x14ac:dyDescent="0.25" r="604" customHeight="1" ht="17.25">
      <c r="A604" s="1" t="s">
        <v>1343</v>
      </c>
      <c r="B604" s="1" t="s">
        <v>1344</v>
      </c>
      <c r="C604" s="1" t="s">
        <v>20</v>
      </c>
      <c r="D604" s="1" t="s">
        <v>1187</v>
      </c>
      <c r="E604" s="1" t="s">
        <v>1188</v>
      </c>
      <c r="F604" s="1" t="s">
        <v>1189</v>
      </c>
      <c r="G604" s="1" t="s">
        <v>1190</v>
      </c>
      <c r="H604" s="2"/>
      <c r="I604" s="2"/>
      <c r="J604" s="2"/>
      <c r="K604" s="2"/>
    </row>
    <row x14ac:dyDescent="0.25" r="605" customHeight="1" ht="17.25">
      <c r="A605" s="1" t="s">
        <v>1345</v>
      </c>
      <c r="B605" s="1" t="s">
        <v>1346</v>
      </c>
      <c r="C605" s="1" t="s">
        <v>20</v>
      </c>
      <c r="D605" s="1" t="s">
        <v>1187</v>
      </c>
      <c r="E605" s="1" t="s">
        <v>1188</v>
      </c>
      <c r="F605" s="1" t="s">
        <v>1189</v>
      </c>
      <c r="G605" s="1" t="s">
        <v>1190</v>
      </c>
      <c r="H605" s="2"/>
      <c r="I605" s="2"/>
      <c r="J605" s="2"/>
      <c r="K605" s="2"/>
    </row>
    <row x14ac:dyDescent="0.25" r="606" customHeight="1" ht="17.25">
      <c r="A606" s="1" t="s">
        <v>1347</v>
      </c>
      <c r="B606" s="1" t="s">
        <v>1348</v>
      </c>
      <c r="C606" s="1" t="s">
        <v>20</v>
      </c>
      <c r="D606" s="1" t="s">
        <v>1187</v>
      </c>
      <c r="E606" s="1" t="s">
        <v>1188</v>
      </c>
      <c r="F606" s="1" t="s">
        <v>1189</v>
      </c>
      <c r="G606" s="1" t="s">
        <v>1190</v>
      </c>
      <c r="H606" s="2"/>
      <c r="I606" s="2"/>
      <c r="J606" s="2"/>
      <c r="K606" s="2"/>
    </row>
    <row x14ac:dyDescent="0.25" r="607" customHeight="1" ht="17.25">
      <c r="A607" s="1" t="s">
        <v>1349</v>
      </c>
      <c r="B607" s="1" t="s">
        <v>1350</v>
      </c>
      <c r="C607" s="1" t="s">
        <v>20</v>
      </c>
      <c r="D607" s="1" t="s">
        <v>1187</v>
      </c>
      <c r="E607" s="1" t="s">
        <v>1188</v>
      </c>
      <c r="F607" s="1" t="s">
        <v>1189</v>
      </c>
      <c r="G607" s="1" t="s">
        <v>1190</v>
      </c>
      <c r="H607" s="2"/>
      <c r="I607" s="2"/>
      <c r="J607" s="2"/>
      <c r="K607" s="2"/>
    </row>
    <row x14ac:dyDescent="0.25" r="608" customHeight="1" ht="17.25">
      <c r="A608" s="1" t="s">
        <v>1351</v>
      </c>
      <c r="B608" s="1" t="s">
        <v>1352</v>
      </c>
      <c r="C608" s="1" t="s">
        <v>20</v>
      </c>
      <c r="D608" s="1" t="s">
        <v>1187</v>
      </c>
      <c r="E608" s="1" t="s">
        <v>1188</v>
      </c>
      <c r="F608" s="1" t="s">
        <v>1189</v>
      </c>
      <c r="G608" s="1" t="s">
        <v>1190</v>
      </c>
      <c r="H608" s="2"/>
      <c r="I608" s="2"/>
      <c r="J608" s="2"/>
      <c r="K608" s="2"/>
    </row>
    <row x14ac:dyDescent="0.25" r="609" customHeight="1" ht="17.25">
      <c r="A609" s="1" t="s">
        <v>1353</v>
      </c>
      <c r="B609" s="1" t="s">
        <v>1354</v>
      </c>
      <c r="C609" s="1" t="s">
        <v>20</v>
      </c>
      <c r="D609" s="1" t="s">
        <v>1187</v>
      </c>
      <c r="E609" s="1" t="s">
        <v>1188</v>
      </c>
      <c r="F609" s="1" t="s">
        <v>1189</v>
      </c>
      <c r="G609" s="1" t="s">
        <v>1190</v>
      </c>
      <c r="H609" s="2"/>
      <c r="I609" s="2"/>
      <c r="J609" s="2"/>
      <c r="K609" s="2"/>
    </row>
    <row x14ac:dyDescent="0.25" r="610" customHeight="1" ht="17.25">
      <c r="A610" s="1" t="s">
        <v>1355</v>
      </c>
      <c r="B610" s="1" t="s">
        <v>1356</v>
      </c>
      <c r="C610" s="1" t="s">
        <v>20</v>
      </c>
      <c r="D610" s="1" t="s">
        <v>1187</v>
      </c>
      <c r="E610" s="1" t="s">
        <v>1188</v>
      </c>
      <c r="F610" s="1" t="s">
        <v>1189</v>
      </c>
      <c r="G610" s="1" t="s">
        <v>1190</v>
      </c>
      <c r="H610" s="2"/>
      <c r="I610" s="2"/>
      <c r="J610" s="2"/>
      <c r="K610" s="2"/>
    </row>
    <row x14ac:dyDescent="0.25" r="611" customHeight="1" ht="17.25">
      <c r="A611" s="1" t="s">
        <v>1357</v>
      </c>
      <c r="B611" s="1" t="s">
        <v>1358</v>
      </c>
      <c r="C611" s="1" t="s">
        <v>20</v>
      </c>
      <c r="D611" s="1" t="s">
        <v>1187</v>
      </c>
      <c r="E611" s="1" t="s">
        <v>1188</v>
      </c>
      <c r="F611" s="1" t="s">
        <v>1189</v>
      </c>
      <c r="G611" s="1" t="s">
        <v>1190</v>
      </c>
      <c r="H611" s="2"/>
      <c r="I611" s="2"/>
      <c r="J611" s="2"/>
      <c r="K611" s="2"/>
    </row>
    <row x14ac:dyDescent="0.25" r="612" customHeight="1" ht="17.25">
      <c r="A612" s="1" t="s">
        <v>1359</v>
      </c>
      <c r="B612" s="1" t="s">
        <v>1360</v>
      </c>
      <c r="C612" s="1" t="s">
        <v>20</v>
      </c>
      <c r="D612" s="1" t="s">
        <v>1187</v>
      </c>
      <c r="E612" s="1" t="s">
        <v>1188</v>
      </c>
      <c r="F612" s="1" t="s">
        <v>1189</v>
      </c>
      <c r="G612" s="1" t="s">
        <v>1190</v>
      </c>
      <c r="H612" s="2"/>
      <c r="I612" s="2"/>
      <c r="J612" s="2"/>
      <c r="K612" s="2"/>
    </row>
    <row x14ac:dyDescent="0.25" r="613" customHeight="1" ht="17.25">
      <c r="A613" s="1" t="s">
        <v>1361</v>
      </c>
      <c r="B613" s="1" t="s">
        <v>1362</v>
      </c>
      <c r="C613" s="1" t="s">
        <v>20</v>
      </c>
      <c r="D613" s="1" t="s">
        <v>1187</v>
      </c>
      <c r="E613" s="1" t="s">
        <v>1188</v>
      </c>
      <c r="F613" s="1" t="s">
        <v>1189</v>
      </c>
      <c r="G613" s="1" t="s">
        <v>1190</v>
      </c>
      <c r="H613" s="2"/>
      <c r="I613" s="2"/>
      <c r="J613" s="2"/>
      <c r="K613" s="2"/>
    </row>
    <row x14ac:dyDescent="0.25" r="614" customHeight="1" ht="17.25">
      <c r="A614" s="1" t="s">
        <v>1363</v>
      </c>
      <c r="B614" s="1" t="s">
        <v>1364</v>
      </c>
      <c r="C614" s="1" t="s">
        <v>20</v>
      </c>
      <c r="D614" s="1" t="s">
        <v>1187</v>
      </c>
      <c r="E614" s="1" t="s">
        <v>1188</v>
      </c>
      <c r="F614" s="1" t="s">
        <v>1189</v>
      </c>
      <c r="G614" s="1" t="s">
        <v>1190</v>
      </c>
      <c r="H614" s="2"/>
      <c r="I614" s="2"/>
      <c r="J614" s="2"/>
      <c r="K614" s="2"/>
    </row>
    <row x14ac:dyDescent="0.25" r="615" customHeight="1" ht="17.25">
      <c r="A615" s="1" t="s">
        <v>1365</v>
      </c>
      <c r="B615" s="1" t="s">
        <v>1366</v>
      </c>
      <c r="C615" s="1" t="s">
        <v>20</v>
      </c>
      <c r="D615" s="1" t="s">
        <v>1187</v>
      </c>
      <c r="E615" s="1" t="s">
        <v>1188</v>
      </c>
      <c r="F615" s="1" t="s">
        <v>1189</v>
      </c>
      <c r="G615" s="1" t="s">
        <v>1190</v>
      </c>
      <c r="H615" s="2"/>
      <c r="I615" s="2"/>
      <c r="J615" s="2"/>
      <c r="K615" s="2"/>
    </row>
    <row x14ac:dyDescent="0.25" r="616" customHeight="1" ht="17.25">
      <c r="A616" s="1" t="s">
        <v>1367</v>
      </c>
      <c r="B616" s="1" t="s">
        <v>1368</v>
      </c>
      <c r="C616" s="1" t="s">
        <v>20</v>
      </c>
      <c r="D616" s="1" t="s">
        <v>1187</v>
      </c>
      <c r="E616" s="1" t="s">
        <v>1188</v>
      </c>
      <c r="F616" s="1" t="s">
        <v>1189</v>
      </c>
      <c r="G616" s="1" t="s">
        <v>1190</v>
      </c>
      <c r="H616" s="2"/>
      <c r="I616" s="2"/>
      <c r="J616" s="2"/>
      <c r="K616" s="2"/>
    </row>
    <row x14ac:dyDescent="0.25" r="617" customHeight="1" ht="17.25">
      <c r="A617" s="1" t="s">
        <v>1369</v>
      </c>
      <c r="B617" s="1" t="s">
        <v>1370</v>
      </c>
      <c r="C617" s="1" t="s">
        <v>20</v>
      </c>
      <c r="D617" s="1" t="s">
        <v>1187</v>
      </c>
      <c r="E617" s="1" t="s">
        <v>1188</v>
      </c>
      <c r="F617" s="1" t="s">
        <v>1189</v>
      </c>
      <c r="G617" s="1" t="s">
        <v>1190</v>
      </c>
      <c r="H617" s="2"/>
      <c r="I617" s="2"/>
      <c r="J617" s="2"/>
      <c r="K617" s="2"/>
    </row>
    <row x14ac:dyDescent="0.25" r="618" customHeight="1" ht="17.25">
      <c r="A618" s="1" t="s">
        <v>1371</v>
      </c>
      <c r="B618" s="1" t="s">
        <v>1372</v>
      </c>
      <c r="C618" s="1" t="s">
        <v>20</v>
      </c>
      <c r="D618" s="1" t="s">
        <v>1187</v>
      </c>
      <c r="E618" s="1" t="s">
        <v>1188</v>
      </c>
      <c r="F618" s="1" t="s">
        <v>1189</v>
      </c>
      <c r="G618" s="1" t="s">
        <v>1190</v>
      </c>
      <c r="H618" s="2"/>
      <c r="I618" s="2"/>
      <c r="J618" s="2"/>
      <c r="K618" s="2"/>
    </row>
    <row x14ac:dyDescent="0.25" r="619" customHeight="1" ht="17.25">
      <c r="A619" s="1" t="s">
        <v>1373</v>
      </c>
      <c r="B619" s="1" t="s">
        <v>1374</v>
      </c>
      <c r="C619" s="1" t="s">
        <v>20</v>
      </c>
      <c r="D619" s="1" t="s">
        <v>1187</v>
      </c>
      <c r="E619" s="1" t="s">
        <v>1188</v>
      </c>
      <c r="F619" s="1" t="s">
        <v>1189</v>
      </c>
      <c r="G619" s="1" t="s">
        <v>1190</v>
      </c>
      <c r="H619" s="2"/>
      <c r="I619" s="2"/>
      <c r="J619" s="2"/>
      <c r="K619" s="2"/>
    </row>
    <row x14ac:dyDescent="0.25" r="620" customHeight="1" ht="17.25">
      <c r="A620" s="1" t="s">
        <v>1375</v>
      </c>
      <c r="B620" s="1" t="s">
        <v>1376</v>
      </c>
      <c r="C620" s="1" t="s">
        <v>20</v>
      </c>
      <c r="D620" s="1" t="s">
        <v>1187</v>
      </c>
      <c r="E620" s="1" t="s">
        <v>1188</v>
      </c>
      <c r="F620" s="1" t="s">
        <v>1189</v>
      </c>
      <c r="G620" s="1" t="s">
        <v>1190</v>
      </c>
      <c r="H620" s="2"/>
      <c r="I620" s="2"/>
      <c r="J620" s="2"/>
      <c r="K620" s="2"/>
    </row>
    <row x14ac:dyDescent="0.25" r="621" customHeight="1" ht="17.25">
      <c r="A621" s="1" t="s">
        <v>1377</v>
      </c>
      <c r="B621" s="1" t="s">
        <v>1378</v>
      </c>
      <c r="C621" s="1" t="s">
        <v>20</v>
      </c>
      <c r="D621" s="1" t="s">
        <v>1187</v>
      </c>
      <c r="E621" s="1" t="s">
        <v>1188</v>
      </c>
      <c r="F621" s="1" t="s">
        <v>1189</v>
      </c>
      <c r="G621" s="1" t="s">
        <v>1190</v>
      </c>
      <c r="H621" s="2"/>
      <c r="I621" s="2"/>
      <c r="J621" s="2"/>
      <c r="K621" s="2"/>
    </row>
    <row x14ac:dyDescent="0.25" r="622" customHeight="1" ht="17.25">
      <c r="A622" s="1" t="s">
        <v>1379</v>
      </c>
      <c r="B622" s="1" t="s">
        <v>1380</v>
      </c>
      <c r="C622" s="1" t="s">
        <v>20</v>
      </c>
      <c r="D622" s="1" t="s">
        <v>1187</v>
      </c>
      <c r="E622" s="1" t="s">
        <v>1188</v>
      </c>
      <c r="F622" s="1" t="s">
        <v>1189</v>
      </c>
      <c r="G622" s="1" t="s">
        <v>1190</v>
      </c>
      <c r="H622" s="2"/>
      <c r="I622" s="2"/>
      <c r="J622" s="2"/>
      <c r="K622" s="2"/>
    </row>
    <row x14ac:dyDescent="0.25" r="623" customHeight="1" ht="17.25">
      <c r="A623" s="1" t="s">
        <v>1381</v>
      </c>
      <c r="B623" s="1" t="s">
        <v>1382</v>
      </c>
      <c r="C623" s="1" t="s">
        <v>20</v>
      </c>
      <c r="D623" s="1" t="s">
        <v>1187</v>
      </c>
      <c r="E623" s="1" t="s">
        <v>1188</v>
      </c>
      <c r="F623" s="1" t="s">
        <v>1189</v>
      </c>
      <c r="G623" s="1" t="s">
        <v>1190</v>
      </c>
      <c r="H623" s="2"/>
      <c r="I623" s="2"/>
      <c r="J623" s="2"/>
      <c r="K623" s="2"/>
    </row>
    <row x14ac:dyDescent="0.25" r="624" customHeight="1" ht="17.25">
      <c r="A624" s="1" t="s">
        <v>1383</v>
      </c>
      <c r="B624" s="1" t="s">
        <v>1384</v>
      </c>
      <c r="C624" s="1" t="s">
        <v>20</v>
      </c>
      <c r="D624" s="1" t="s">
        <v>1187</v>
      </c>
      <c r="E624" s="1" t="s">
        <v>1188</v>
      </c>
      <c r="F624" s="1" t="s">
        <v>1189</v>
      </c>
      <c r="G624" s="1" t="s">
        <v>1190</v>
      </c>
      <c r="H624" s="2"/>
      <c r="I624" s="2"/>
      <c r="J624" s="2"/>
      <c r="K624" s="2"/>
    </row>
    <row x14ac:dyDescent="0.25" r="625" customHeight="1" ht="17.25">
      <c r="A625" s="1" t="s">
        <v>1385</v>
      </c>
      <c r="B625" s="1" t="s">
        <v>1386</v>
      </c>
      <c r="C625" s="1" t="s">
        <v>20</v>
      </c>
      <c r="D625" s="1" t="s">
        <v>1187</v>
      </c>
      <c r="E625" s="1" t="s">
        <v>1188</v>
      </c>
      <c r="F625" s="1" t="s">
        <v>1189</v>
      </c>
      <c r="G625" s="1" t="s">
        <v>1190</v>
      </c>
      <c r="H625" s="2"/>
      <c r="I625" s="2"/>
      <c r="J625" s="2"/>
      <c r="K625" s="2"/>
    </row>
    <row x14ac:dyDescent="0.25" r="626" customHeight="1" ht="17.25">
      <c r="A626" s="1" t="s">
        <v>1387</v>
      </c>
      <c r="B626" s="1" t="s">
        <v>1388</v>
      </c>
      <c r="C626" s="1" t="s">
        <v>20</v>
      </c>
      <c r="D626" s="1" t="s">
        <v>1187</v>
      </c>
      <c r="E626" s="1" t="s">
        <v>1188</v>
      </c>
      <c r="F626" s="1" t="s">
        <v>1189</v>
      </c>
      <c r="G626" s="1" t="s">
        <v>1190</v>
      </c>
      <c r="H626" s="2"/>
      <c r="I626" s="2"/>
      <c r="J626" s="2"/>
      <c r="K626" s="2"/>
    </row>
    <row x14ac:dyDescent="0.25" r="627" customHeight="1" ht="17.25">
      <c r="A627" s="1" t="s">
        <v>1389</v>
      </c>
      <c r="B627" s="1" t="s">
        <v>1390</v>
      </c>
      <c r="C627" s="1" t="s">
        <v>20</v>
      </c>
      <c r="D627" s="1" t="s">
        <v>1187</v>
      </c>
      <c r="E627" s="1" t="s">
        <v>1188</v>
      </c>
      <c r="F627" s="1" t="s">
        <v>1189</v>
      </c>
      <c r="G627" s="1" t="s">
        <v>1190</v>
      </c>
      <c r="H627" s="2"/>
      <c r="I627" s="2"/>
      <c r="J627" s="2"/>
      <c r="K627" s="2"/>
    </row>
    <row x14ac:dyDescent="0.25" r="628" customHeight="1" ht="17.25">
      <c r="A628" s="1" t="s">
        <v>1391</v>
      </c>
      <c r="B628" s="1" t="s">
        <v>1392</v>
      </c>
      <c r="C628" s="1" t="s">
        <v>20</v>
      </c>
      <c r="D628" s="1" t="s">
        <v>1187</v>
      </c>
      <c r="E628" s="1" t="s">
        <v>1188</v>
      </c>
      <c r="F628" s="1" t="s">
        <v>1189</v>
      </c>
      <c r="G628" s="1" t="s">
        <v>1190</v>
      </c>
      <c r="H628" s="2"/>
      <c r="I628" s="2"/>
      <c r="J628" s="2"/>
      <c r="K628" s="2"/>
    </row>
    <row x14ac:dyDescent="0.25" r="629" customHeight="1" ht="17.25">
      <c r="A629" s="1" t="s">
        <v>1393</v>
      </c>
      <c r="B629" s="1" t="s">
        <v>1394</v>
      </c>
      <c r="C629" s="1" t="s">
        <v>20</v>
      </c>
      <c r="D629" s="1" t="s">
        <v>1187</v>
      </c>
      <c r="E629" s="1" t="s">
        <v>1188</v>
      </c>
      <c r="F629" s="1" t="s">
        <v>1189</v>
      </c>
      <c r="G629" s="1" t="s">
        <v>1190</v>
      </c>
      <c r="H629" s="2"/>
      <c r="I629" s="2"/>
      <c r="J629" s="2"/>
      <c r="K629" s="2"/>
    </row>
    <row x14ac:dyDescent="0.25" r="630" customHeight="1" ht="17.25">
      <c r="A630" s="1" t="s">
        <v>1395</v>
      </c>
      <c r="B630" s="1" t="s">
        <v>1396</v>
      </c>
      <c r="C630" s="1" t="s">
        <v>20</v>
      </c>
      <c r="D630" s="1" t="s">
        <v>1187</v>
      </c>
      <c r="E630" s="1" t="s">
        <v>1188</v>
      </c>
      <c r="F630" s="1" t="s">
        <v>1189</v>
      </c>
      <c r="G630" s="1" t="s">
        <v>1190</v>
      </c>
      <c r="H630" s="2"/>
      <c r="I630" s="2"/>
      <c r="J630" s="2"/>
      <c r="K630" s="2"/>
    </row>
    <row x14ac:dyDescent="0.25" r="631" customHeight="1" ht="17.25">
      <c r="A631" s="1" t="s">
        <v>1397</v>
      </c>
      <c r="B631" s="1" t="s">
        <v>1398</v>
      </c>
      <c r="C631" s="1" t="s">
        <v>20</v>
      </c>
      <c r="D631" s="1" t="s">
        <v>1187</v>
      </c>
      <c r="E631" s="1" t="s">
        <v>1188</v>
      </c>
      <c r="F631" s="1" t="s">
        <v>1189</v>
      </c>
      <c r="G631" s="1" t="s">
        <v>1190</v>
      </c>
      <c r="H631" s="2"/>
      <c r="I631" s="2"/>
      <c r="J631" s="2"/>
      <c r="K631" s="2"/>
    </row>
    <row x14ac:dyDescent="0.25" r="632" customHeight="1" ht="17.25">
      <c r="A632" s="1" t="s">
        <v>1399</v>
      </c>
      <c r="B632" s="1" t="s">
        <v>1400</v>
      </c>
      <c r="C632" s="1" t="s">
        <v>20</v>
      </c>
      <c r="D632" s="1" t="s">
        <v>1187</v>
      </c>
      <c r="E632" s="1" t="s">
        <v>1188</v>
      </c>
      <c r="F632" s="1" t="s">
        <v>1189</v>
      </c>
      <c r="G632" s="1" t="s">
        <v>1190</v>
      </c>
      <c r="H632" s="2"/>
      <c r="I632" s="2"/>
      <c r="J632" s="2"/>
      <c r="K632" s="2"/>
    </row>
    <row x14ac:dyDescent="0.25" r="633" customHeight="1" ht="17.25">
      <c r="A633" s="1" t="s">
        <v>1401</v>
      </c>
      <c r="B633" s="1" t="s">
        <v>1402</v>
      </c>
      <c r="C633" s="1" t="s">
        <v>20</v>
      </c>
      <c r="D633" s="1" t="s">
        <v>1187</v>
      </c>
      <c r="E633" s="1" t="s">
        <v>1188</v>
      </c>
      <c r="F633" s="1" t="s">
        <v>1189</v>
      </c>
      <c r="G633" s="1" t="s">
        <v>1190</v>
      </c>
      <c r="H633" s="2"/>
      <c r="I633" s="2"/>
      <c r="J633" s="2"/>
      <c r="K633" s="2"/>
    </row>
    <row x14ac:dyDescent="0.25" r="634" customHeight="1" ht="17.25">
      <c r="A634" s="1" t="s">
        <v>1403</v>
      </c>
      <c r="B634" s="1" t="s">
        <v>1404</v>
      </c>
      <c r="C634" s="1" t="s">
        <v>20</v>
      </c>
      <c r="D634" s="1" t="s">
        <v>1187</v>
      </c>
      <c r="E634" s="1" t="s">
        <v>1188</v>
      </c>
      <c r="F634" s="1" t="s">
        <v>1189</v>
      </c>
      <c r="G634" s="1" t="s">
        <v>1190</v>
      </c>
      <c r="H634" s="2"/>
      <c r="I634" s="2"/>
      <c r="J634" s="2"/>
      <c r="K634" s="2"/>
    </row>
    <row x14ac:dyDescent="0.25" r="635" customHeight="1" ht="17.25">
      <c r="A635" s="1" t="s">
        <v>1405</v>
      </c>
      <c r="B635" s="1" t="s">
        <v>1406</v>
      </c>
      <c r="C635" s="1" t="s">
        <v>20</v>
      </c>
      <c r="D635" s="1" t="s">
        <v>1187</v>
      </c>
      <c r="E635" s="1" t="s">
        <v>1188</v>
      </c>
      <c r="F635" s="1" t="s">
        <v>1189</v>
      </c>
      <c r="G635" s="1" t="s">
        <v>1190</v>
      </c>
      <c r="H635" s="2"/>
      <c r="I635" s="2"/>
      <c r="J635" s="2"/>
      <c r="K635" s="2"/>
    </row>
    <row x14ac:dyDescent="0.25" r="636" customHeight="1" ht="17.25">
      <c r="A636" s="1" t="s">
        <v>1407</v>
      </c>
      <c r="B636" s="1" t="s">
        <v>1408</v>
      </c>
      <c r="C636" s="1" t="s">
        <v>20</v>
      </c>
      <c r="D636" s="1" t="s">
        <v>1187</v>
      </c>
      <c r="E636" s="1" t="s">
        <v>1188</v>
      </c>
      <c r="F636" s="1" t="s">
        <v>1189</v>
      </c>
      <c r="G636" s="1" t="s">
        <v>1190</v>
      </c>
      <c r="H636" s="2"/>
      <c r="I636" s="2"/>
      <c r="J636" s="2"/>
      <c r="K636" s="2"/>
    </row>
    <row x14ac:dyDescent="0.25" r="637" customHeight="1" ht="17.25">
      <c r="A637" s="1" t="s">
        <v>1409</v>
      </c>
      <c r="B637" s="1" t="s">
        <v>1410</v>
      </c>
      <c r="C637" s="1" t="s">
        <v>20</v>
      </c>
      <c r="D637" s="1" t="s">
        <v>1187</v>
      </c>
      <c r="E637" s="1" t="s">
        <v>1188</v>
      </c>
      <c r="F637" s="1" t="s">
        <v>1189</v>
      </c>
      <c r="G637" s="1" t="s">
        <v>1190</v>
      </c>
      <c r="H637" s="2"/>
      <c r="I637" s="2"/>
      <c r="J637" s="2"/>
      <c r="K637" s="2"/>
    </row>
    <row x14ac:dyDescent="0.25" r="638" customHeight="1" ht="17.25">
      <c r="A638" s="1" t="s">
        <v>1411</v>
      </c>
      <c r="B638" s="1" t="s">
        <v>1412</v>
      </c>
      <c r="C638" s="1" t="s">
        <v>20</v>
      </c>
      <c r="D638" s="1" t="s">
        <v>1187</v>
      </c>
      <c r="E638" s="1" t="s">
        <v>1188</v>
      </c>
      <c r="F638" s="1" t="s">
        <v>1189</v>
      </c>
      <c r="G638" s="1" t="s">
        <v>1190</v>
      </c>
      <c r="H638" s="2"/>
      <c r="I638" s="2"/>
      <c r="J638" s="2"/>
      <c r="K638" s="2"/>
    </row>
    <row x14ac:dyDescent="0.25" r="639" customHeight="1" ht="17.25">
      <c r="A639" s="1" t="s">
        <v>1413</v>
      </c>
      <c r="B639" s="1" t="s">
        <v>1414</v>
      </c>
      <c r="C639" s="1" t="s">
        <v>20</v>
      </c>
      <c r="D639" s="1" t="s">
        <v>1187</v>
      </c>
      <c r="E639" s="1" t="s">
        <v>1188</v>
      </c>
      <c r="F639" s="1" t="s">
        <v>1189</v>
      </c>
      <c r="G639" s="1" t="s">
        <v>1190</v>
      </c>
      <c r="H639" s="2"/>
      <c r="I639" s="2"/>
      <c r="J639" s="2"/>
      <c r="K639" s="2"/>
    </row>
    <row x14ac:dyDescent="0.25" r="640" customHeight="1" ht="17.25">
      <c r="A640" s="1" t="s">
        <v>1415</v>
      </c>
      <c r="B640" s="1" t="s">
        <v>1416</v>
      </c>
      <c r="C640" s="1" t="s">
        <v>20</v>
      </c>
      <c r="D640" s="1" t="s">
        <v>1187</v>
      </c>
      <c r="E640" s="1" t="s">
        <v>1188</v>
      </c>
      <c r="F640" s="1" t="s">
        <v>1189</v>
      </c>
      <c r="G640" s="1" t="s">
        <v>1190</v>
      </c>
      <c r="H640" s="2"/>
      <c r="I640" s="2"/>
      <c r="J640" s="2"/>
      <c r="K640" s="2"/>
    </row>
    <row x14ac:dyDescent="0.25" r="641" customHeight="1" ht="17.25">
      <c r="A641" s="1" t="s">
        <v>1417</v>
      </c>
      <c r="B641" s="1" t="s">
        <v>1418</v>
      </c>
      <c r="C641" s="1" t="s">
        <v>20</v>
      </c>
      <c r="D641" s="1" t="s">
        <v>1187</v>
      </c>
      <c r="E641" s="1" t="s">
        <v>1188</v>
      </c>
      <c r="F641" s="1" t="s">
        <v>1189</v>
      </c>
      <c r="G641" s="1" t="s">
        <v>1190</v>
      </c>
      <c r="H641" s="2"/>
      <c r="I641" s="2"/>
      <c r="J641" s="2"/>
      <c r="K641" s="2"/>
    </row>
    <row x14ac:dyDescent="0.25" r="642" customHeight="1" ht="17.25">
      <c r="A642" s="1" t="s">
        <v>1419</v>
      </c>
      <c r="B642" s="1" t="s">
        <v>1420</v>
      </c>
      <c r="C642" s="1" t="s">
        <v>20</v>
      </c>
      <c r="D642" s="1" t="s">
        <v>1187</v>
      </c>
      <c r="E642" s="1" t="s">
        <v>1188</v>
      </c>
      <c r="F642" s="1" t="s">
        <v>1189</v>
      </c>
      <c r="G642" s="1" t="s">
        <v>1190</v>
      </c>
      <c r="H642" s="2"/>
      <c r="I642" s="2"/>
      <c r="J642" s="2"/>
      <c r="K642" s="2"/>
    </row>
    <row x14ac:dyDescent="0.25" r="643" customHeight="1" ht="17.25">
      <c r="A643" s="1" t="s">
        <v>1421</v>
      </c>
      <c r="B643" s="1" t="s">
        <v>1422</v>
      </c>
      <c r="C643" s="1" t="s">
        <v>20</v>
      </c>
      <c r="D643" s="1" t="s">
        <v>1187</v>
      </c>
      <c r="E643" s="1" t="s">
        <v>1188</v>
      </c>
      <c r="F643" s="1" t="s">
        <v>1189</v>
      </c>
      <c r="G643" s="1" t="s">
        <v>1190</v>
      </c>
      <c r="H643" s="2"/>
      <c r="I643" s="2"/>
      <c r="J643" s="2"/>
      <c r="K643" s="2"/>
    </row>
    <row x14ac:dyDescent="0.25" r="644" customHeight="1" ht="17.25">
      <c r="A644" s="1" t="s">
        <v>1423</v>
      </c>
      <c r="B644" s="1" t="s">
        <v>1424</v>
      </c>
      <c r="C644" s="1" t="s">
        <v>20</v>
      </c>
      <c r="D644" s="1" t="s">
        <v>1187</v>
      </c>
      <c r="E644" s="1" t="s">
        <v>1188</v>
      </c>
      <c r="F644" s="1" t="s">
        <v>1189</v>
      </c>
      <c r="G644" s="1" t="s">
        <v>1190</v>
      </c>
      <c r="H644" s="2"/>
      <c r="I644" s="2"/>
      <c r="J644" s="2"/>
      <c r="K644" s="2"/>
    </row>
    <row x14ac:dyDescent="0.25" r="645" customHeight="1" ht="17.25">
      <c r="A645" s="1" t="s">
        <v>1425</v>
      </c>
      <c r="B645" s="1" t="s">
        <v>1426</v>
      </c>
      <c r="C645" s="1" t="s">
        <v>20</v>
      </c>
      <c r="D645" s="1" t="s">
        <v>1187</v>
      </c>
      <c r="E645" s="1" t="s">
        <v>1188</v>
      </c>
      <c r="F645" s="1" t="s">
        <v>1189</v>
      </c>
      <c r="G645" s="1" t="s">
        <v>1190</v>
      </c>
      <c r="H645" s="2"/>
      <c r="I645" s="2"/>
      <c r="J645" s="2"/>
      <c r="K645" s="2"/>
    </row>
    <row x14ac:dyDescent="0.25" r="646" customHeight="1" ht="17.25">
      <c r="A646" s="1" t="s">
        <v>1427</v>
      </c>
      <c r="B646" s="1" t="s">
        <v>1428</v>
      </c>
      <c r="C646" s="1" t="s">
        <v>20</v>
      </c>
      <c r="D646" s="1" t="s">
        <v>1187</v>
      </c>
      <c r="E646" s="1" t="s">
        <v>1188</v>
      </c>
      <c r="F646" s="1" t="s">
        <v>1189</v>
      </c>
      <c r="G646" s="1" t="s">
        <v>1190</v>
      </c>
      <c r="H646" s="2"/>
      <c r="I646" s="2"/>
      <c r="J646" s="2"/>
      <c r="K646" s="2"/>
    </row>
    <row x14ac:dyDescent="0.25" r="647" customHeight="1" ht="17.25">
      <c r="A647" s="1" t="s">
        <v>1429</v>
      </c>
      <c r="B647" s="1" t="s">
        <v>1430</v>
      </c>
      <c r="C647" s="1" t="s">
        <v>20</v>
      </c>
      <c r="D647" s="1" t="s">
        <v>1187</v>
      </c>
      <c r="E647" s="1" t="s">
        <v>1188</v>
      </c>
      <c r="F647" s="1" t="s">
        <v>1189</v>
      </c>
      <c r="G647" s="1" t="s">
        <v>1190</v>
      </c>
      <c r="H647" s="2"/>
      <c r="I647" s="2"/>
      <c r="J647" s="2"/>
      <c r="K647" s="2"/>
    </row>
    <row x14ac:dyDescent="0.25" r="648" customHeight="1" ht="17.25">
      <c r="A648" s="1" t="s">
        <v>1431</v>
      </c>
      <c r="B648" s="1" t="s">
        <v>1432</v>
      </c>
      <c r="C648" s="1" t="s">
        <v>20</v>
      </c>
      <c r="D648" s="1" t="s">
        <v>1187</v>
      </c>
      <c r="E648" s="1" t="s">
        <v>1188</v>
      </c>
      <c r="F648" s="1" t="s">
        <v>1189</v>
      </c>
      <c r="G648" s="1" t="s">
        <v>1190</v>
      </c>
      <c r="H648" s="2"/>
      <c r="I648" s="2"/>
      <c r="J648" s="2"/>
      <c r="K648" s="2"/>
    </row>
    <row x14ac:dyDescent="0.25" r="649" customHeight="1" ht="17.25">
      <c r="A649" s="1" t="s">
        <v>1433</v>
      </c>
      <c r="B649" s="1" t="s">
        <v>1434</v>
      </c>
      <c r="C649" s="1" t="s">
        <v>20</v>
      </c>
      <c r="D649" s="1" t="s">
        <v>1187</v>
      </c>
      <c r="E649" s="1" t="s">
        <v>1188</v>
      </c>
      <c r="F649" s="1" t="s">
        <v>1189</v>
      </c>
      <c r="G649" s="1" t="s">
        <v>1190</v>
      </c>
      <c r="H649" s="2"/>
      <c r="I649" s="2"/>
      <c r="J649" s="2"/>
      <c r="K649" s="2"/>
    </row>
    <row x14ac:dyDescent="0.25" r="650" customHeight="1" ht="17.25">
      <c r="A650" s="1" t="s">
        <v>1435</v>
      </c>
      <c r="B650" s="1" t="s">
        <v>1436</v>
      </c>
      <c r="C650" s="1" t="s">
        <v>20</v>
      </c>
      <c r="D650" s="1" t="s">
        <v>1187</v>
      </c>
      <c r="E650" s="1" t="s">
        <v>1188</v>
      </c>
      <c r="F650" s="1" t="s">
        <v>1189</v>
      </c>
      <c r="G650" s="1" t="s">
        <v>1190</v>
      </c>
      <c r="H650" s="2"/>
      <c r="I650" s="2"/>
      <c r="J650" s="2"/>
      <c r="K650" s="2"/>
    </row>
    <row x14ac:dyDescent="0.25" r="651" customHeight="1" ht="17.25">
      <c r="A651" s="1" t="s">
        <v>1437</v>
      </c>
      <c r="B651" s="1" t="s">
        <v>1438</v>
      </c>
      <c r="C651" s="1" t="s">
        <v>20</v>
      </c>
      <c r="D651" s="1" t="s">
        <v>1187</v>
      </c>
      <c r="E651" s="1" t="s">
        <v>1188</v>
      </c>
      <c r="F651" s="1" t="s">
        <v>1189</v>
      </c>
      <c r="G651" s="1" t="s">
        <v>1190</v>
      </c>
      <c r="H651" s="2"/>
      <c r="I651" s="2"/>
      <c r="J651" s="2"/>
      <c r="K651" s="2"/>
    </row>
    <row x14ac:dyDescent="0.25" r="652" customHeight="1" ht="17.25">
      <c r="A652" s="1" t="s">
        <v>1439</v>
      </c>
      <c r="B652" s="1" t="s">
        <v>1440</v>
      </c>
      <c r="C652" s="1" t="s">
        <v>20</v>
      </c>
      <c r="D652" s="1" t="s">
        <v>1187</v>
      </c>
      <c r="E652" s="1" t="s">
        <v>1188</v>
      </c>
      <c r="F652" s="1" t="s">
        <v>1189</v>
      </c>
      <c r="G652" s="1" t="s">
        <v>1190</v>
      </c>
      <c r="H652" s="2"/>
      <c r="I652" s="2"/>
      <c r="J652" s="2"/>
      <c r="K652" s="2"/>
    </row>
    <row x14ac:dyDescent="0.25" r="653" customHeight="1" ht="17.25">
      <c r="A653" s="1" t="s">
        <v>1441</v>
      </c>
      <c r="B653" s="1" t="s">
        <v>1442</v>
      </c>
      <c r="C653" s="1" t="s">
        <v>20</v>
      </c>
      <c r="D653" s="1" t="s">
        <v>1187</v>
      </c>
      <c r="E653" s="1" t="s">
        <v>1188</v>
      </c>
      <c r="F653" s="1" t="s">
        <v>1189</v>
      </c>
      <c r="G653" s="1" t="s">
        <v>1190</v>
      </c>
      <c r="H653" s="2"/>
      <c r="I653" s="2"/>
      <c r="J653" s="2"/>
      <c r="K653" s="2"/>
    </row>
    <row x14ac:dyDescent="0.25" r="654" customHeight="1" ht="17.25">
      <c r="A654" s="1" t="s">
        <v>1443</v>
      </c>
      <c r="B654" s="1" t="s">
        <v>1444</v>
      </c>
      <c r="C654" s="1" t="s">
        <v>20</v>
      </c>
      <c r="D654" s="1" t="s">
        <v>1187</v>
      </c>
      <c r="E654" s="1" t="s">
        <v>1188</v>
      </c>
      <c r="F654" s="1" t="s">
        <v>1189</v>
      </c>
      <c r="G654" s="1" t="s">
        <v>1190</v>
      </c>
      <c r="H654" s="2"/>
      <c r="I654" s="2"/>
      <c r="J654" s="2"/>
      <c r="K654" s="2"/>
    </row>
    <row x14ac:dyDescent="0.25" r="655" customHeight="1" ht="17.25">
      <c r="A655" s="1" t="s">
        <v>1445</v>
      </c>
      <c r="B655" s="1" t="s">
        <v>1446</v>
      </c>
      <c r="C655" s="1" t="s">
        <v>20</v>
      </c>
      <c r="D655" s="1" t="s">
        <v>1187</v>
      </c>
      <c r="E655" s="1" t="s">
        <v>1188</v>
      </c>
      <c r="F655" s="1" t="s">
        <v>1189</v>
      </c>
      <c r="G655" s="1" t="s">
        <v>1190</v>
      </c>
      <c r="H655" s="2"/>
      <c r="I655" s="2"/>
      <c r="J655" s="2"/>
      <c r="K655" s="2"/>
    </row>
    <row x14ac:dyDescent="0.25" r="656" customHeight="1" ht="17.25">
      <c r="A656" s="1" t="s">
        <v>1447</v>
      </c>
      <c r="B656" s="1" t="s">
        <v>1448</v>
      </c>
      <c r="C656" s="1" t="s">
        <v>20</v>
      </c>
      <c r="D656" s="1" t="s">
        <v>1187</v>
      </c>
      <c r="E656" s="1" t="s">
        <v>1188</v>
      </c>
      <c r="F656" s="1" t="s">
        <v>1189</v>
      </c>
      <c r="G656" s="1" t="s">
        <v>1190</v>
      </c>
      <c r="H656" s="2"/>
      <c r="I656" s="2"/>
      <c r="J656" s="2"/>
      <c r="K656" s="2"/>
    </row>
    <row x14ac:dyDescent="0.25" r="657" customHeight="1" ht="17.25">
      <c r="A657" s="1" t="s">
        <v>1449</v>
      </c>
      <c r="B657" s="1" t="s">
        <v>1450</v>
      </c>
      <c r="C657" s="1" t="s">
        <v>20</v>
      </c>
      <c r="D657" s="1" t="s">
        <v>1187</v>
      </c>
      <c r="E657" s="1" t="s">
        <v>1188</v>
      </c>
      <c r="F657" s="1" t="s">
        <v>1189</v>
      </c>
      <c r="G657" s="1" t="s">
        <v>1190</v>
      </c>
      <c r="H657" s="2"/>
      <c r="I657" s="2"/>
      <c r="J657" s="2"/>
      <c r="K657" s="2"/>
    </row>
    <row x14ac:dyDescent="0.25" r="658" customHeight="1" ht="17.25">
      <c r="A658" s="1" t="s">
        <v>1451</v>
      </c>
      <c r="B658" s="1" t="s">
        <v>1452</v>
      </c>
      <c r="C658" s="1" t="s">
        <v>20</v>
      </c>
      <c r="D658" s="1" t="s">
        <v>1187</v>
      </c>
      <c r="E658" s="1" t="s">
        <v>1188</v>
      </c>
      <c r="F658" s="1" t="s">
        <v>1189</v>
      </c>
      <c r="G658" s="1" t="s">
        <v>1190</v>
      </c>
      <c r="H658" s="2"/>
      <c r="I658" s="2"/>
      <c r="J658" s="2"/>
      <c r="K658" s="2"/>
    </row>
    <row x14ac:dyDescent="0.25" r="659" customHeight="1" ht="17.25">
      <c r="A659" s="1" t="s">
        <v>1453</v>
      </c>
      <c r="B659" s="1" t="s">
        <v>1454</v>
      </c>
      <c r="C659" s="1" t="s">
        <v>20</v>
      </c>
      <c r="D659" s="1" t="s">
        <v>1187</v>
      </c>
      <c r="E659" s="1" t="s">
        <v>1188</v>
      </c>
      <c r="F659" s="1" t="s">
        <v>1189</v>
      </c>
      <c r="G659" s="1" t="s">
        <v>1190</v>
      </c>
      <c r="H659" s="2"/>
      <c r="I659" s="2"/>
      <c r="J659" s="2"/>
      <c r="K659" s="2"/>
    </row>
    <row x14ac:dyDescent="0.25" r="660" customHeight="1" ht="17.25">
      <c r="A660" s="1" t="s">
        <v>1455</v>
      </c>
      <c r="B660" s="1" t="s">
        <v>1456</v>
      </c>
      <c r="C660" s="1" t="s">
        <v>20</v>
      </c>
      <c r="D660" s="1" t="s">
        <v>1187</v>
      </c>
      <c r="E660" s="1" t="s">
        <v>1188</v>
      </c>
      <c r="F660" s="1" t="s">
        <v>1189</v>
      </c>
      <c r="G660" s="1" t="s">
        <v>1190</v>
      </c>
      <c r="H660" s="2"/>
      <c r="I660" s="2"/>
      <c r="J660" s="2"/>
      <c r="K660" s="2"/>
    </row>
    <row x14ac:dyDescent="0.25" r="661" customHeight="1" ht="17.25">
      <c r="A661" s="1" t="s">
        <v>1457</v>
      </c>
      <c r="B661" s="1" t="s">
        <v>1458</v>
      </c>
      <c r="C661" s="1" t="s">
        <v>20</v>
      </c>
      <c r="D661" s="1" t="s">
        <v>1187</v>
      </c>
      <c r="E661" s="1" t="s">
        <v>1188</v>
      </c>
      <c r="F661" s="1" t="s">
        <v>1189</v>
      </c>
      <c r="G661" s="1" t="s">
        <v>1190</v>
      </c>
      <c r="H661" s="2"/>
      <c r="I661" s="2"/>
      <c r="J661" s="2"/>
      <c r="K661" s="2"/>
    </row>
    <row x14ac:dyDescent="0.25" r="662" customHeight="1" ht="17.25">
      <c r="A662" s="1" t="s">
        <v>1459</v>
      </c>
      <c r="B662" s="1" t="s">
        <v>1460</v>
      </c>
      <c r="C662" s="1" t="s">
        <v>20</v>
      </c>
      <c r="D662" s="1" t="s">
        <v>1187</v>
      </c>
      <c r="E662" s="1" t="s">
        <v>1188</v>
      </c>
      <c r="F662" s="1" t="s">
        <v>1189</v>
      </c>
      <c r="G662" s="1" t="s">
        <v>1190</v>
      </c>
      <c r="H662" s="2"/>
      <c r="I662" s="2"/>
      <c r="J662" s="2"/>
      <c r="K662" s="2"/>
    </row>
    <row x14ac:dyDescent="0.25" r="663" customHeight="1" ht="17.25">
      <c r="A663" s="1" t="s">
        <v>1461</v>
      </c>
      <c r="B663" s="1" t="s">
        <v>1462</v>
      </c>
      <c r="C663" s="1" t="s">
        <v>20</v>
      </c>
      <c r="D663" s="1" t="s">
        <v>1187</v>
      </c>
      <c r="E663" s="1" t="s">
        <v>1188</v>
      </c>
      <c r="F663" s="1" t="s">
        <v>1189</v>
      </c>
      <c r="G663" s="1" t="s">
        <v>1190</v>
      </c>
      <c r="H663" s="2"/>
      <c r="I663" s="2"/>
      <c r="J663" s="2"/>
      <c r="K663" s="2"/>
    </row>
    <row x14ac:dyDescent="0.25" r="664" customHeight="1" ht="17.25">
      <c r="A664" s="1" t="s">
        <v>1463</v>
      </c>
      <c r="B664" s="1" t="s">
        <v>1464</v>
      </c>
      <c r="C664" s="1" t="s">
        <v>20</v>
      </c>
      <c r="D664" s="1" t="s">
        <v>1187</v>
      </c>
      <c r="E664" s="1" t="s">
        <v>1188</v>
      </c>
      <c r="F664" s="1" t="s">
        <v>1189</v>
      </c>
      <c r="G664" s="1" t="s">
        <v>1190</v>
      </c>
      <c r="H664" s="2"/>
      <c r="I664" s="2"/>
      <c r="J664" s="2"/>
      <c r="K664" s="2"/>
    </row>
    <row x14ac:dyDescent="0.25" r="665" customHeight="1" ht="17.25">
      <c r="A665" s="1" t="s">
        <v>1465</v>
      </c>
      <c r="B665" s="1" t="s">
        <v>1466</v>
      </c>
      <c r="C665" s="1" t="s">
        <v>20</v>
      </c>
      <c r="D665" s="1" t="s">
        <v>1187</v>
      </c>
      <c r="E665" s="1" t="s">
        <v>1188</v>
      </c>
      <c r="F665" s="1" t="s">
        <v>1189</v>
      </c>
      <c r="G665" s="1" t="s">
        <v>1190</v>
      </c>
      <c r="H665" s="2"/>
      <c r="I665" s="2"/>
      <c r="J665" s="2"/>
      <c r="K665" s="2"/>
    </row>
    <row x14ac:dyDescent="0.25" r="666" customHeight="1" ht="17.25">
      <c r="A666" s="1" t="s">
        <v>1467</v>
      </c>
      <c r="B666" s="1" t="s">
        <v>1468</v>
      </c>
      <c r="C666" s="1" t="s">
        <v>20</v>
      </c>
      <c r="D666" s="1" t="s">
        <v>1187</v>
      </c>
      <c r="E666" s="1" t="s">
        <v>1188</v>
      </c>
      <c r="F666" s="1" t="s">
        <v>1189</v>
      </c>
      <c r="G666" s="1" t="s">
        <v>1190</v>
      </c>
      <c r="H666" s="2"/>
      <c r="I666" s="2"/>
      <c r="J666" s="2"/>
      <c r="K666" s="2"/>
    </row>
    <row x14ac:dyDescent="0.25" r="667" customHeight="1" ht="17.25">
      <c r="A667" s="1" t="s">
        <v>1469</v>
      </c>
      <c r="B667" s="1" t="s">
        <v>1470</v>
      </c>
      <c r="C667" s="1" t="s">
        <v>20</v>
      </c>
      <c r="D667" s="1" t="s">
        <v>1187</v>
      </c>
      <c r="E667" s="1" t="s">
        <v>1188</v>
      </c>
      <c r="F667" s="1" t="s">
        <v>1189</v>
      </c>
      <c r="G667" s="1" t="s">
        <v>1190</v>
      </c>
      <c r="H667" s="2"/>
      <c r="I667" s="2"/>
      <c r="J667" s="2"/>
      <c r="K667" s="2"/>
    </row>
    <row x14ac:dyDescent="0.25" r="668" customHeight="1" ht="17.25">
      <c r="A668" s="1" t="s">
        <v>1471</v>
      </c>
      <c r="B668" s="1" t="s">
        <v>1472</v>
      </c>
      <c r="C668" s="1" t="s">
        <v>20</v>
      </c>
      <c r="D668" s="1" t="s">
        <v>1187</v>
      </c>
      <c r="E668" s="1" t="s">
        <v>1188</v>
      </c>
      <c r="F668" s="1" t="s">
        <v>1189</v>
      </c>
      <c r="G668" s="1" t="s">
        <v>1190</v>
      </c>
      <c r="H668" s="2"/>
      <c r="I668" s="2"/>
      <c r="J668" s="2"/>
      <c r="K668" s="2"/>
    </row>
    <row x14ac:dyDescent="0.25" r="669" customHeight="1" ht="17.25">
      <c r="A669" s="1" t="s">
        <v>1473</v>
      </c>
      <c r="B669" s="1" t="s">
        <v>1474</v>
      </c>
      <c r="C669" s="1" t="s">
        <v>20</v>
      </c>
      <c r="D669" s="1" t="s">
        <v>1187</v>
      </c>
      <c r="E669" s="1" t="s">
        <v>1188</v>
      </c>
      <c r="F669" s="1" t="s">
        <v>1189</v>
      </c>
      <c r="G669" s="1" t="s">
        <v>1190</v>
      </c>
      <c r="H669" s="2"/>
      <c r="I669" s="2"/>
      <c r="J669" s="2"/>
      <c r="K669" s="2"/>
    </row>
    <row x14ac:dyDescent="0.25" r="670" customHeight="1" ht="17.25">
      <c r="A670" s="1" t="s">
        <v>1475</v>
      </c>
      <c r="B670" s="1" t="s">
        <v>1476</v>
      </c>
      <c r="C670" s="1" t="s">
        <v>20</v>
      </c>
      <c r="D670" s="1" t="s">
        <v>1187</v>
      </c>
      <c r="E670" s="1" t="s">
        <v>1188</v>
      </c>
      <c r="F670" s="1" t="s">
        <v>1189</v>
      </c>
      <c r="G670" s="1" t="s">
        <v>1190</v>
      </c>
      <c r="H670" s="2"/>
      <c r="I670" s="2"/>
      <c r="J670" s="2"/>
      <c r="K670" s="2"/>
    </row>
    <row x14ac:dyDescent="0.25" r="671" customHeight="1" ht="17.25">
      <c r="A671" s="1" t="s">
        <v>1477</v>
      </c>
      <c r="B671" s="1" t="s">
        <v>1478</v>
      </c>
      <c r="C671" s="1" t="s">
        <v>20</v>
      </c>
      <c r="D671" s="1" t="s">
        <v>1187</v>
      </c>
      <c r="E671" s="1" t="s">
        <v>1188</v>
      </c>
      <c r="F671" s="1" t="s">
        <v>1189</v>
      </c>
      <c r="G671" s="1" t="s">
        <v>1190</v>
      </c>
      <c r="H671" s="2"/>
      <c r="I671" s="2"/>
      <c r="J671" s="2"/>
      <c r="K671" s="2"/>
    </row>
    <row x14ac:dyDescent="0.25" r="672" customHeight="1" ht="17.25">
      <c r="A672" s="1" t="s">
        <v>1479</v>
      </c>
      <c r="B672" s="1" t="s">
        <v>1480</v>
      </c>
      <c r="C672" s="1" t="s">
        <v>20</v>
      </c>
      <c r="D672" s="1" t="s">
        <v>1187</v>
      </c>
      <c r="E672" s="1" t="s">
        <v>1188</v>
      </c>
      <c r="F672" s="1" t="s">
        <v>1189</v>
      </c>
      <c r="G672" s="1" t="s">
        <v>1190</v>
      </c>
      <c r="H672" s="2"/>
      <c r="I672" s="2"/>
      <c r="J672" s="2"/>
      <c r="K672" s="2"/>
    </row>
    <row x14ac:dyDescent="0.25" r="673" customHeight="1" ht="17.25">
      <c r="A673" s="1" t="s">
        <v>1481</v>
      </c>
      <c r="B673" s="1" t="s">
        <v>1482</v>
      </c>
      <c r="C673" s="1" t="s">
        <v>20</v>
      </c>
      <c r="D673" s="1" t="s">
        <v>1187</v>
      </c>
      <c r="E673" s="1" t="s">
        <v>1188</v>
      </c>
      <c r="F673" s="1" t="s">
        <v>1189</v>
      </c>
      <c r="G673" s="1" t="s">
        <v>1190</v>
      </c>
      <c r="H673" s="2"/>
      <c r="I673" s="2"/>
      <c r="J673" s="2"/>
      <c r="K673" s="2"/>
    </row>
    <row x14ac:dyDescent="0.25" r="674" customHeight="1" ht="17.25">
      <c r="A674" s="1" t="s">
        <v>1483</v>
      </c>
      <c r="B674" s="1" t="s">
        <v>1484</v>
      </c>
      <c r="C674" s="1" t="s">
        <v>20</v>
      </c>
      <c r="D674" s="1" t="s">
        <v>1187</v>
      </c>
      <c r="E674" s="1" t="s">
        <v>1188</v>
      </c>
      <c r="F674" s="1" t="s">
        <v>1189</v>
      </c>
      <c r="G674" s="1" t="s">
        <v>1190</v>
      </c>
      <c r="H674" s="2"/>
      <c r="I674" s="2"/>
      <c r="J674" s="2"/>
      <c r="K674" s="2"/>
    </row>
    <row x14ac:dyDescent="0.25" r="675" customHeight="1" ht="17.25">
      <c r="A675" s="1" t="s">
        <v>1485</v>
      </c>
      <c r="B675" s="1" t="s">
        <v>1486</v>
      </c>
      <c r="C675" s="1" t="s">
        <v>20</v>
      </c>
      <c r="D675" s="1" t="s">
        <v>1187</v>
      </c>
      <c r="E675" s="1" t="s">
        <v>1188</v>
      </c>
      <c r="F675" s="1" t="s">
        <v>1189</v>
      </c>
      <c r="G675" s="1" t="s">
        <v>1190</v>
      </c>
      <c r="H675" s="2"/>
      <c r="I675" s="2"/>
      <c r="J675" s="2"/>
      <c r="K675" s="2"/>
    </row>
    <row x14ac:dyDescent="0.25" r="676" customHeight="1" ht="17.25">
      <c r="A676" s="1" t="s">
        <v>1487</v>
      </c>
      <c r="B676" s="1" t="s">
        <v>1488</v>
      </c>
      <c r="C676" s="1" t="s">
        <v>20</v>
      </c>
      <c r="D676" s="1" t="s">
        <v>1187</v>
      </c>
      <c r="E676" s="1" t="s">
        <v>1188</v>
      </c>
      <c r="F676" s="1" t="s">
        <v>1189</v>
      </c>
      <c r="G676" s="1" t="s">
        <v>1190</v>
      </c>
      <c r="H676" s="2"/>
      <c r="I676" s="2"/>
      <c r="J676" s="2"/>
      <c r="K676" s="2"/>
    </row>
    <row x14ac:dyDescent="0.25" r="677" customHeight="1" ht="17.25">
      <c r="A677" s="1" t="s">
        <v>1489</v>
      </c>
      <c r="B677" s="1" t="s">
        <v>1490</v>
      </c>
      <c r="C677" s="1" t="s">
        <v>20</v>
      </c>
      <c r="D677" s="1" t="s">
        <v>1187</v>
      </c>
      <c r="E677" s="1" t="s">
        <v>1188</v>
      </c>
      <c r="F677" s="1" t="s">
        <v>1189</v>
      </c>
      <c r="G677" s="1" t="s">
        <v>1190</v>
      </c>
      <c r="H677" s="2"/>
      <c r="I677" s="2"/>
      <c r="J677" s="2"/>
      <c r="K677" s="2"/>
    </row>
    <row x14ac:dyDescent="0.25" r="678" customHeight="1" ht="17.25">
      <c r="A678" s="1" t="s">
        <v>1491</v>
      </c>
      <c r="B678" s="1" t="s">
        <v>1492</v>
      </c>
      <c r="C678" s="1" t="s">
        <v>20</v>
      </c>
      <c r="D678" s="1" t="s">
        <v>1187</v>
      </c>
      <c r="E678" s="1" t="s">
        <v>1188</v>
      </c>
      <c r="F678" s="1" t="s">
        <v>1189</v>
      </c>
      <c r="G678" s="1" t="s">
        <v>1190</v>
      </c>
      <c r="H678" s="2"/>
      <c r="I678" s="2"/>
      <c r="J678" s="2"/>
      <c r="K678" s="2"/>
    </row>
    <row x14ac:dyDescent="0.25" r="679" customHeight="1" ht="17.25">
      <c r="A679" s="1" t="s">
        <v>1493</v>
      </c>
      <c r="B679" s="1" t="s">
        <v>1494</v>
      </c>
      <c r="C679" s="1" t="s">
        <v>20</v>
      </c>
      <c r="D679" s="1" t="s">
        <v>1187</v>
      </c>
      <c r="E679" s="1" t="s">
        <v>1188</v>
      </c>
      <c r="F679" s="1" t="s">
        <v>1189</v>
      </c>
      <c r="G679" s="1" t="s">
        <v>1190</v>
      </c>
      <c r="H679" s="2"/>
      <c r="I679" s="2"/>
      <c r="J679" s="2"/>
      <c r="K679" s="2"/>
    </row>
    <row x14ac:dyDescent="0.25" r="680" customHeight="1" ht="17.25">
      <c r="A680" s="1" t="s">
        <v>1495</v>
      </c>
      <c r="B680" s="1" t="s">
        <v>1496</v>
      </c>
      <c r="C680" s="1" t="s">
        <v>20</v>
      </c>
      <c r="D680" s="1" t="s">
        <v>1187</v>
      </c>
      <c r="E680" s="1" t="s">
        <v>1188</v>
      </c>
      <c r="F680" s="1" t="s">
        <v>1189</v>
      </c>
      <c r="G680" s="1" t="s">
        <v>1190</v>
      </c>
      <c r="H680" s="2"/>
      <c r="I680" s="2"/>
      <c r="J680" s="2"/>
      <c r="K680" s="2"/>
    </row>
    <row x14ac:dyDescent="0.25" r="681" customHeight="1" ht="17.25">
      <c r="A681" s="1" t="s">
        <v>1497</v>
      </c>
      <c r="B681" s="1" t="s">
        <v>1498</v>
      </c>
      <c r="C681" s="1" t="s">
        <v>20</v>
      </c>
      <c r="D681" s="1" t="s">
        <v>1187</v>
      </c>
      <c r="E681" s="1" t="s">
        <v>1188</v>
      </c>
      <c r="F681" s="1" t="s">
        <v>1189</v>
      </c>
      <c r="G681" s="1" t="s">
        <v>1190</v>
      </c>
      <c r="H681" s="2"/>
      <c r="I681" s="2"/>
      <c r="J681" s="2"/>
      <c r="K681" s="2"/>
    </row>
    <row x14ac:dyDescent="0.25" r="682" customHeight="1" ht="17.25">
      <c r="A682" s="1" t="s">
        <v>1499</v>
      </c>
      <c r="B682" s="1" t="s">
        <v>1500</v>
      </c>
      <c r="C682" s="1" t="s">
        <v>20</v>
      </c>
      <c r="D682" s="1" t="s">
        <v>1187</v>
      </c>
      <c r="E682" s="1" t="s">
        <v>1188</v>
      </c>
      <c r="F682" s="1" t="s">
        <v>1189</v>
      </c>
      <c r="G682" s="1" t="s">
        <v>1190</v>
      </c>
      <c r="H682" s="2"/>
      <c r="I682" s="2"/>
      <c r="J682" s="2"/>
      <c r="K682" s="2"/>
    </row>
    <row x14ac:dyDescent="0.25" r="683" customHeight="1" ht="17.25">
      <c r="A683" s="1" t="s">
        <v>1501</v>
      </c>
      <c r="B683" s="1" t="s">
        <v>1502</v>
      </c>
      <c r="C683" s="1" t="s">
        <v>20</v>
      </c>
      <c r="D683" s="1" t="s">
        <v>1187</v>
      </c>
      <c r="E683" s="1" t="s">
        <v>1188</v>
      </c>
      <c r="F683" s="1" t="s">
        <v>1189</v>
      </c>
      <c r="G683" s="1" t="s">
        <v>1190</v>
      </c>
      <c r="H683" s="2"/>
      <c r="I683" s="2"/>
      <c r="J683" s="2"/>
      <c r="K683" s="2"/>
    </row>
    <row x14ac:dyDescent="0.25" r="684" customHeight="1" ht="17.25">
      <c r="A684" s="1" t="s">
        <v>1503</v>
      </c>
      <c r="B684" s="1" t="s">
        <v>1504</v>
      </c>
      <c r="C684" s="1" t="s">
        <v>20</v>
      </c>
      <c r="D684" s="1" t="s">
        <v>1187</v>
      </c>
      <c r="E684" s="1" t="s">
        <v>1188</v>
      </c>
      <c r="F684" s="1" t="s">
        <v>1189</v>
      </c>
      <c r="G684" s="1" t="s">
        <v>1190</v>
      </c>
      <c r="H684" s="2"/>
      <c r="I684" s="2"/>
      <c r="J684" s="2"/>
      <c r="K684" s="2"/>
    </row>
    <row x14ac:dyDescent="0.25" r="685" customHeight="1" ht="17.25">
      <c r="A685" s="1" t="s">
        <v>1505</v>
      </c>
      <c r="B685" s="1" t="s">
        <v>1506</v>
      </c>
      <c r="C685" s="1" t="s">
        <v>20</v>
      </c>
      <c r="D685" s="1" t="s">
        <v>1187</v>
      </c>
      <c r="E685" s="1" t="s">
        <v>1188</v>
      </c>
      <c r="F685" s="1" t="s">
        <v>1189</v>
      </c>
      <c r="G685" s="1" t="s">
        <v>1190</v>
      </c>
      <c r="H685" s="2"/>
      <c r="I685" s="2"/>
      <c r="J685" s="2"/>
      <c r="K685" s="2"/>
    </row>
    <row x14ac:dyDescent="0.25" r="686" customHeight="1" ht="17.25">
      <c r="A686" s="1" t="s">
        <v>1507</v>
      </c>
      <c r="B686" s="1" t="s">
        <v>1508</v>
      </c>
      <c r="C686" s="1" t="s">
        <v>20</v>
      </c>
      <c r="D686" s="1" t="s">
        <v>1187</v>
      </c>
      <c r="E686" s="1" t="s">
        <v>1188</v>
      </c>
      <c r="F686" s="1" t="s">
        <v>1189</v>
      </c>
      <c r="G686" s="1" t="s">
        <v>1190</v>
      </c>
      <c r="H686" s="2"/>
      <c r="I686" s="2"/>
      <c r="J686" s="2"/>
      <c r="K686" s="2"/>
    </row>
    <row x14ac:dyDescent="0.25" r="687" customHeight="1" ht="17.25">
      <c r="A687" s="1" t="s">
        <v>1509</v>
      </c>
      <c r="B687" s="1" t="s">
        <v>1510</v>
      </c>
      <c r="C687" s="1" t="s">
        <v>20</v>
      </c>
      <c r="D687" s="1" t="s">
        <v>1187</v>
      </c>
      <c r="E687" s="1" t="s">
        <v>1188</v>
      </c>
      <c r="F687" s="1" t="s">
        <v>1189</v>
      </c>
      <c r="G687" s="1" t="s">
        <v>1190</v>
      </c>
      <c r="H687" s="2"/>
      <c r="I687" s="2"/>
      <c r="J687" s="2"/>
      <c r="K687" s="2"/>
    </row>
    <row x14ac:dyDescent="0.25" r="688" customHeight="1" ht="17.25">
      <c r="A688" s="1" t="s">
        <v>1511</v>
      </c>
      <c r="B688" s="1" t="s">
        <v>1512</v>
      </c>
      <c r="C688" s="1" t="s">
        <v>20</v>
      </c>
      <c r="D688" s="1" t="s">
        <v>1187</v>
      </c>
      <c r="E688" s="1" t="s">
        <v>1188</v>
      </c>
      <c r="F688" s="1" t="s">
        <v>1189</v>
      </c>
      <c r="G688" s="1" t="s">
        <v>1190</v>
      </c>
      <c r="H688" s="2"/>
      <c r="I688" s="2"/>
      <c r="J688" s="2"/>
      <c r="K688" s="2"/>
    </row>
    <row x14ac:dyDescent="0.25" r="689" customHeight="1" ht="17.25">
      <c r="A689" s="1" t="s">
        <v>1513</v>
      </c>
      <c r="B689" s="1" t="s">
        <v>1514</v>
      </c>
      <c r="C689" s="1" t="s">
        <v>20</v>
      </c>
      <c r="D689" s="1" t="s">
        <v>1187</v>
      </c>
      <c r="E689" s="1" t="s">
        <v>1188</v>
      </c>
      <c r="F689" s="1" t="s">
        <v>1189</v>
      </c>
      <c r="G689" s="1" t="s">
        <v>1190</v>
      </c>
      <c r="H689" s="2"/>
      <c r="I689" s="2"/>
      <c r="J689" s="2"/>
      <c r="K689" s="2"/>
    </row>
    <row x14ac:dyDescent="0.25" r="690" customHeight="1" ht="17.25">
      <c r="A690" s="1" t="s">
        <v>1515</v>
      </c>
      <c r="B690" s="1" t="s">
        <v>1516</v>
      </c>
      <c r="C690" s="1" t="s">
        <v>20</v>
      </c>
      <c r="D690" s="1" t="s">
        <v>1187</v>
      </c>
      <c r="E690" s="1" t="s">
        <v>1188</v>
      </c>
      <c r="F690" s="1" t="s">
        <v>1189</v>
      </c>
      <c r="G690" s="1" t="s">
        <v>1190</v>
      </c>
      <c r="H690" s="2"/>
      <c r="I690" s="2"/>
      <c r="J690" s="2"/>
      <c r="K690" s="2"/>
    </row>
    <row x14ac:dyDescent="0.25" r="691" customHeight="1" ht="17.25">
      <c r="A691" s="1" t="s">
        <v>1517</v>
      </c>
      <c r="B691" s="1" t="s">
        <v>1518</v>
      </c>
      <c r="C691" s="1" t="s">
        <v>20</v>
      </c>
      <c r="D691" s="1" t="s">
        <v>1187</v>
      </c>
      <c r="E691" s="1" t="s">
        <v>1188</v>
      </c>
      <c r="F691" s="1" t="s">
        <v>1189</v>
      </c>
      <c r="G691" s="1" t="s">
        <v>1190</v>
      </c>
      <c r="H691" s="2"/>
      <c r="I691" s="2"/>
      <c r="J691" s="2"/>
      <c r="K691" s="2"/>
    </row>
    <row x14ac:dyDescent="0.25" r="692" customHeight="1" ht="17.25">
      <c r="A692" s="1" t="s">
        <v>1519</v>
      </c>
      <c r="B692" s="1" t="s">
        <v>1520</v>
      </c>
      <c r="C692" s="1" t="s">
        <v>20</v>
      </c>
      <c r="D692" s="1" t="s">
        <v>1187</v>
      </c>
      <c r="E692" s="1" t="s">
        <v>1188</v>
      </c>
      <c r="F692" s="1" t="s">
        <v>1189</v>
      </c>
      <c r="G692" s="1" t="s">
        <v>1190</v>
      </c>
      <c r="H692" s="2"/>
      <c r="I692" s="2"/>
      <c r="J692" s="2"/>
      <c r="K692" s="2"/>
    </row>
    <row x14ac:dyDescent="0.25" r="693" customHeight="1" ht="17.25">
      <c r="A693" s="1" t="s">
        <v>1521</v>
      </c>
      <c r="B693" s="1" t="s">
        <v>1522</v>
      </c>
      <c r="C693" s="1" t="s">
        <v>20</v>
      </c>
      <c r="D693" s="1" t="s">
        <v>1187</v>
      </c>
      <c r="E693" s="1" t="s">
        <v>1188</v>
      </c>
      <c r="F693" s="1" t="s">
        <v>1189</v>
      </c>
      <c r="G693" s="1" t="s">
        <v>1190</v>
      </c>
      <c r="H693" s="2"/>
      <c r="I693" s="2"/>
      <c r="J693" s="2"/>
      <c r="K693" s="2"/>
    </row>
    <row x14ac:dyDescent="0.25" r="694" customHeight="1" ht="17.25">
      <c r="A694" s="1" t="s">
        <v>1523</v>
      </c>
      <c r="B694" s="1" t="s">
        <v>1524</v>
      </c>
      <c r="C694" s="1" t="s">
        <v>20</v>
      </c>
      <c r="D694" s="1" t="s">
        <v>1187</v>
      </c>
      <c r="E694" s="1" t="s">
        <v>1188</v>
      </c>
      <c r="F694" s="1" t="s">
        <v>1189</v>
      </c>
      <c r="G694" s="1" t="s">
        <v>1190</v>
      </c>
      <c r="H694" s="2"/>
      <c r="I694" s="2"/>
      <c r="J694" s="2"/>
      <c r="K694" s="2"/>
    </row>
    <row x14ac:dyDescent="0.25" r="695" customHeight="1" ht="17.25">
      <c r="A695" s="1" t="s">
        <v>1525</v>
      </c>
      <c r="B695" s="1" t="s">
        <v>1526</v>
      </c>
      <c r="C695" s="1" t="s">
        <v>20</v>
      </c>
      <c r="D695" s="1" t="s">
        <v>1187</v>
      </c>
      <c r="E695" s="1" t="s">
        <v>1188</v>
      </c>
      <c r="F695" s="1" t="s">
        <v>1189</v>
      </c>
      <c r="G695" s="1" t="s">
        <v>1190</v>
      </c>
      <c r="H695" s="2"/>
      <c r="I695" s="2"/>
      <c r="J695" s="2"/>
      <c r="K695" s="2"/>
    </row>
    <row x14ac:dyDescent="0.25" r="696" customHeight="1" ht="17.25">
      <c r="A696" s="1" t="s">
        <v>1527</v>
      </c>
      <c r="B696" s="1" t="s">
        <v>1528</v>
      </c>
      <c r="C696" s="1" t="s">
        <v>20</v>
      </c>
      <c r="D696" s="1" t="s">
        <v>1187</v>
      </c>
      <c r="E696" s="1" t="s">
        <v>1188</v>
      </c>
      <c r="F696" s="1" t="s">
        <v>1189</v>
      </c>
      <c r="G696" s="1" t="s">
        <v>1190</v>
      </c>
      <c r="H696" s="2"/>
      <c r="I696" s="2"/>
      <c r="J696" s="2"/>
      <c r="K696" s="2"/>
    </row>
    <row x14ac:dyDescent="0.25" r="697" customHeight="1" ht="17.25">
      <c r="A697" s="1" t="s">
        <v>1529</v>
      </c>
      <c r="B697" s="1" t="s">
        <v>1530</v>
      </c>
      <c r="C697" s="1" t="s">
        <v>20</v>
      </c>
      <c r="D697" s="1" t="s">
        <v>1187</v>
      </c>
      <c r="E697" s="1" t="s">
        <v>1188</v>
      </c>
      <c r="F697" s="1" t="s">
        <v>1189</v>
      </c>
      <c r="G697" s="1" t="s">
        <v>1190</v>
      </c>
      <c r="H697" s="2"/>
      <c r="I697" s="2"/>
      <c r="J697" s="2"/>
      <c r="K697" s="2"/>
    </row>
    <row x14ac:dyDescent="0.25" r="698" customHeight="1" ht="17.25">
      <c r="A698" s="1" t="s">
        <v>1531</v>
      </c>
      <c r="B698" s="1" t="s">
        <v>1532</v>
      </c>
      <c r="C698" s="1" t="s">
        <v>20</v>
      </c>
      <c r="D698" s="1" t="s">
        <v>1187</v>
      </c>
      <c r="E698" s="1" t="s">
        <v>1188</v>
      </c>
      <c r="F698" s="1" t="s">
        <v>1189</v>
      </c>
      <c r="G698" s="1" t="s">
        <v>1190</v>
      </c>
      <c r="H698" s="2"/>
      <c r="I698" s="2"/>
      <c r="J698" s="2"/>
      <c r="K698" s="2"/>
    </row>
    <row x14ac:dyDescent="0.25" r="699" customHeight="1" ht="17.25">
      <c r="A699" s="1" t="s">
        <v>1533</v>
      </c>
      <c r="B699" s="1" t="s">
        <v>1534</v>
      </c>
      <c r="C699" s="1" t="s">
        <v>20</v>
      </c>
      <c r="D699" s="1" t="s">
        <v>1187</v>
      </c>
      <c r="E699" s="1" t="s">
        <v>1188</v>
      </c>
      <c r="F699" s="1" t="s">
        <v>1189</v>
      </c>
      <c r="G699" s="1" t="s">
        <v>1190</v>
      </c>
      <c r="H699" s="2"/>
      <c r="I699" s="2"/>
      <c r="J699" s="2"/>
      <c r="K699" s="2"/>
    </row>
    <row x14ac:dyDescent="0.25" r="700" customHeight="1" ht="17.25">
      <c r="A700" s="1" t="s">
        <v>1535</v>
      </c>
      <c r="B700" s="1" t="s">
        <v>1536</v>
      </c>
      <c r="C700" s="1" t="s">
        <v>20</v>
      </c>
      <c r="D700" s="1" t="s">
        <v>1187</v>
      </c>
      <c r="E700" s="1" t="s">
        <v>1188</v>
      </c>
      <c r="F700" s="1" t="s">
        <v>1189</v>
      </c>
      <c r="G700" s="1" t="s">
        <v>1190</v>
      </c>
      <c r="H700" s="2"/>
      <c r="I700" s="2"/>
      <c r="J700" s="2"/>
      <c r="K700" s="2"/>
    </row>
    <row x14ac:dyDescent="0.25" r="701" customHeight="1" ht="17.25">
      <c r="A701" s="1" t="s">
        <v>1537</v>
      </c>
      <c r="B701" s="1" t="s">
        <v>1538</v>
      </c>
      <c r="C701" s="1" t="s">
        <v>20</v>
      </c>
      <c r="D701" s="1" t="s">
        <v>1187</v>
      </c>
      <c r="E701" s="1" t="s">
        <v>1188</v>
      </c>
      <c r="F701" s="1" t="s">
        <v>1189</v>
      </c>
      <c r="G701" s="1" t="s">
        <v>1190</v>
      </c>
      <c r="H701" s="2"/>
      <c r="I701" s="2"/>
      <c r="J701" s="2"/>
      <c r="K701" s="2"/>
    </row>
    <row x14ac:dyDescent="0.25" r="702" customHeight="1" ht="17.25">
      <c r="A702" s="1" t="s">
        <v>1539</v>
      </c>
      <c r="B702" s="1" t="s">
        <v>1540</v>
      </c>
      <c r="C702" s="1" t="s">
        <v>20</v>
      </c>
      <c r="D702" s="1" t="s">
        <v>1187</v>
      </c>
      <c r="E702" s="1" t="s">
        <v>1188</v>
      </c>
      <c r="F702" s="1" t="s">
        <v>1189</v>
      </c>
      <c r="G702" s="1" t="s">
        <v>1190</v>
      </c>
      <c r="H702" s="2"/>
      <c r="I702" s="2"/>
      <c r="J702" s="2"/>
      <c r="K702" s="2"/>
    </row>
    <row x14ac:dyDescent="0.25" r="703" customHeight="1" ht="17.25">
      <c r="A703" s="1" t="s">
        <v>1541</v>
      </c>
      <c r="B703" s="1" t="s">
        <v>1542</v>
      </c>
      <c r="C703" s="1" t="s">
        <v>20</v>
      </c>
      <c r="D703" s="1" t="s">
        <v>1187</v>
      </c>
      <c r="E703" s="1" t="s">
        <v>1188</v>
      </c>
      <c r="F703" s="1" t="s">
        <v>1189</v>
      </c>
      <c r="G703" s="1" t="s">
        <v>1190</v>
      </c>
      <c r="H703" s="2"/>
      <c r="I703" s="2"/>
      <c r="J703" s="2"/>
      <c r="K703" s="2"/>
    </row>
    <row x14ac:dyDescent="0.25" r="704" customHeight="1" ht="17.25">
      <c r="A704" s="1" t="s">
        <v>1543</v>
      </c>
      <c r="B704" s="1" t="s">
        <v>1544</v>
      </c>
      <c r="C704" s="1" t="s">
        <v>20</v>
      </c>
      <c r="D704" s="1" t="s">
        <v>1187</v>
      </c>
      <c r="E704" s="1" t="s">
        <v>1188</v>
      </c>
      <c r="F704" s="1" t="s">
        <v>1189</v>
      </c>
      <c r="G704" s="1" t="s">
        <v>1190</v>
      </c>
      <c r="H704" s="2"/>
      <c r="I704" s="2"/>
      <c r="J704" s="2"/>
      <c r="K704" s="2"/>
    </row>
    <row x14ac:dyDescent="0.25" r="705" customHeight="1" ht="17.25">
      <c r="A705" s="1" t="s">
        <v>1545</v>
      </c>
      <c r="B705" s="1" t="s">
        <v>1546</v>
      </c>
      <c r="C705" s="1" t="s">
        <v>20</v>
      </c>
      <c r="D705" s="1" t="s">
        <v>1187</v>
      </c>
      <c r="E705" s="1" t="s">
        <v>1188</v>
      </c>
      <c r="F705" s="1" t="s">
        <v>1189</v>
      </c>
      <c r="G705" s="1" t="s">
        <v>1190</v>
      </c>
      <c r="H705" s="2"/>
      <c r="I705" s="2"/>
      <c r="J705" s="2"/>
      <c r="K705" s="2"/>
    </row>
    <row x14ac:dyDescent="0.25" r="706" customHeight="1" ht="17.25">
      <c r="A706" s="1" t="s">
        <v>1547</v>
      </c>
      <c r="B706" s="1" t="s">
        <v>1548</v>
      </c>
      <c r="C706" s="1" t="s">
        <v>20</v>
      </c>
      <c r="D706" s="1" t="s">
        <v>1187</v>
      </c>
      <c r="E706" s="1" t="s">
        <v>1188</v>
      </c>
      <c r="F706" s="1" t="s">
        <v>1189</v>
      </c>
      <c r="G706" s="1" t="s">
        <v>1190</v>
      </c>
      <c r="H706" s="2"/>
      <c r="I706" s="2"/>
      <c r="J706" s="2"/>
      <c r="K706" s="2"/>
    </row>
    <row x14ac:dyDescent="0.25" r="707" customHeight="1" ht="17.25">
      <c r="A707" s="1" t="s">
        <v>1549</v>
      </c>
      <c r="B707" s="1" t="s">
        <v>1550</v>
      </c>
      <c r="C707" s="1" t="s">
        <v>20</v>
      </c>
      <c r="D707" s="1" t="s">
        <v>1187</v>
      </c>
      <c r="E707" s="1" t="s">
        <v>1188</v>
      </c>
      <c r="F707" s="1" t="s">
        <v>1189</v>
      </c>
      <c r="G707" s="1" t="s">
        <v>1190</v>
      </c>
      <c r="H707" s="2"/>
      <c r="I707" s="2"/>
      <c r="J707" s="2"/>
      <c r="K707" s="2"/>
    </row>
    <row x14ac:dyDescent="0.25" r="708" customHeight="1" ht="17.25">
      <c r="A708" s="1" t="s">
        <v>1551</v>
      </c>
      <c r="B708" s="1" t="s">
        <v>1552</v>
      </c>
      <c r="C708" s="1" t="s">
        <v>20</v>
      </c>
      <c r="D708" s="1" t="s">
        <v>1187</v>
      </c>
      <c r="E708" s="1" t="s">
        <v>1188</v>
      </c>
      <c r="F708" s="1" t="s">
        <v>1189</v>
      </c>
      <c r="G708" s="1" t="s">
        <v>1190</v>
      </c>
      <c r="H708" s="2"/>
      <c r="I708" s="2"/>
      <c r="J708" s="2"/>
      <c r="K708" s="2"/>
    </row>
    <row x14ac:dyDescent="0.25" r="709" customHeight="1" ht="17.25">
      <c r="A709" s="1" t="s">
        <v>1553</v>
      </c>
      <c r="B709" s="1" t="s">
        <v>1554</v>
      </c>
      <c r="C709" s="1" t="s">
        <v>20</v>
      </c>
      <c r="D709" s="1" t="s">
        <v>1187</v>
      </c>
      <c r="E709" s="1" t="s">
        <v>1188</v>
      </c>
      <c r="F709" s="1" t="s">
        <v>1189</v>
      </c>
      <c r="G709" s="1" t="s">
        <v>1190</v>
      </c>
      <c r="H709" s="2"/>
      <c r="I709" s="2"/>
      <c r="J709" s="2"/>
      <c r="K709" s="2"/>
    </row>
    <row x14ac:dyDescent="0.25" r="710" customHeight="1" ht="17.25">
      <c r="A710" s="1" t="s">
        <v>1555</v>
      </c>
      <c r="B710" s="1" t="s">
        <v>1556</v>
      </c>
      <c r="C710" s="1" t="s">
        <v>20</v>
      </c>
      <c r="D710" s="1" t="s">
        <v>1187</v>
      </c>
      <c r="E710" s="1" t="s">
        <v>1188</v>
      </c>
      <c r="F710" s="1" t="s">
        <v>1189</v>
      </c>
      <c r="G710" s="1" t="s">
        <v>1190</v>
      </c>
      <c r="H710" s="2"/>
      <c r="I710" s="2"/>
      <c r="J710" s="2"/>
      <c r="K710" s="2"/>
    </row>
    <row x14ac:dyDescent="0.25" r="711" customHeight="1" ht="17.25">
      <c r="A711" s="1" t="s">
        <v>1557</v>
      </c>
      <c r="B711" s="1" t="s">
        <v>1558</v>
      </c>
      <c r="C711" s="1" t="s">
        <v>20</v>
      </c>
      <c r="D711" s="1" t="s">
        <v>1187</v>
      </c>
      <c r="E711" s="1" t="s">
        <v>1188</v>
      </c>
      <c r="F711" s="1" t="s">
        <v>1189</v>
      </c>
      <c r="G711" s="1" t="s">
        <v>1190</v>
      </c>
      <c r="H711" s="2"/>
      <c r="I711" s="2"/>
      <c r="J711" s="2"/>
      <c r="K711" s="2"/>
    </row>
    <row x14ac:dyDescent="0.25" r="712" customHeight="1" ht="17.25">
      <c r="A712" s="1" t="s">
        <v>1559</v>
      </c>
      <c r="B712" s="1" t="s">
        <v>1560</v>
      </c>
      <c r="C712" s="1" t="s">
        <v>20</v>
      </c>
      <c r="D712" s="1" t="s">
        <v>1187</v>
      </c>
      <c r="E712" s="1" t="s">
        <v>1188</v>
      </c>
      <c r="F712" s="1" t="s">
        <v>1189</v>
      </c>
      <c r="G712" s="1" t="s">
        <v>1190</v>
      </c>
      <c r="H712" s="2"/>
      <c r="I712" s="2"/>
      <c r="J712" s="2"/>
      <c r="K712" s="2"/>
    </row>
    <row x14ac:dyDescent="0.25" r="713" customHeight="1" ht="17.25">
      <c r="A713" s="1" t="s">
        <v>1561</v>
      </c>
      <c r="B713" s="1" t="s">
        <v>1562</v>
      </c>
      <c r="C713" s="1" t="s">
        <v>20</v>
      </c>
      <c r="D713" s="1" t="s">
        <v>1187</v>
      </c>
      <c r="E713" s="1" t="s">
        <v>1188</v>
      </c>
      <c r="F713" s="1" t="s">
        <v>1189</v>
      </c>
      <c r="G713" s="1" t="s">
        <v>1190</v>
      </c>
      <c r="H713" s="2"/>
      <c r="I713" s="2"/>
      <c r="J713" s="2"/>
      <c r="K713" s="2"/>
    </row>
    <row x14ac:dyDescent="0.25" r="714" customHeight="1" ht="17.25">
      <c r="A714" s="1" t="s">
        <v>1563</v>
      </c>
      <c r="B714" s="1" t="s">
        <v>1564</v>
      </c>
      <c r="C714" s="1" t="s">
        <v>20</v>
      </c>
      <c r="D714" s="1" t="s">
        <v>1187</v>
      </c>
      <c r="E714" s="1" t="s">
        <v>1188</v>
      </c>
      <c r="F714" s="1" t="s">
        <v>1189</v>
      </c>
      <c r="G714" s="1" t="s">
        <v>1190</v>
      </c>
      <c r="H714" s="2"/>
      <c r="I714" s="2"/>
      <c r="J714" s="2"/>
      <c r="K714" s="2"/>
    </row>
    <row x14ac:dyDescent="0.25" r="715" customHeight="1" ht="17.25">
      <c r="A715" s="1" t="s">
        <v>1565</v>
      </c>
      <c r="B715" s="1" t="s">
        <v>1566</v>
      </c>
      <c r="C715" s="1" t="s">
        <v>20</v>
      </c>
      <c r="D715" s="1" t="s">
        <v>1187</v>
      </c>
      <c r="E715" s="1" t="s">
        <v>1188</v>
      </c>
      <c r="F715" s="1" t="s">
        <v>1189</v>
      </c>
      <c r="G715" s="1" t="s">
        <v>1190</v>
      </c>
      <c r="H715" s="2"/>
      <c r="I715" s="2"/>
      <c r="J715" s="2"/>
      <c r="K715" s="2"/>
    </row>
    <row x14ac:dyDescent="0.25" r="716" customHeight="1" ht="17.25">
      <c r="A716" s="1" t="s">
        <v>1567</v>
      </c>
      <c r="B716" s="1" t="s">
        <v>1568</v>
      </c>
      <c r="C716" s="1" t="s">
        <v>20</v>
      </c>
      <c r="D716" s="1" t="s">
        <v>1187</v>
      </c>
      <c r="E716" s="1" t="s">
        <v>1188</v>
      </c>
      <c r="F716" s="1" t="s">
        <v>1189</v>
      </c>
      <c r="G716" s="1" t="s">
        <v>1190</v>
      </c>
      <c r="H716" s="2"/>
      <c r="I716" s="2"/>
      <c r="J716" s="2"/>
      <c r="K716" s="2"/>
    </row>
    <row x14ac:dyDescent="0.25" r="717" customHeight="1" ht="17.25">
      <c r="A717" s="1" t="s">
        <v>1569</v>
      </c>
      <c r="B717" s="1" t="s">
        <v>1570</v>
      </c>
      <c r="C717" s="1" t="s">
        <v>20</v>
      </c>
      <c r="D717" s="1" t="s">
        <v>1187</v>
      </c>
      <c r="E717" s="1" t="s">
        <v>1188</v>
      </c>
      <c r="F717" s="1" t="s">
        <v>1189</v>
      </c>
      <c r="G717" s="1" t="s">
        <v>1190</v>
      </c>
      <c r="H717" s="2"/>
      <c r="I717" s="2"/>
      <c r="J717" s="2"/>
      <c r="K717" s="2"/>
    </row>
    <row x14ac:dyDescent="0.25" r="718" customHeight="1" ht="17.25">
      <c r="A718" s="1" t="s">
        <v>1571</v>
      </c>
      <c r="B718" s="1" t="s">
        <v>1572</v>
      </c>
      <c r="C718" s="1" t="s">
        <v>20</v>
      </c>
      <c r="D718" s="1" t="s">
        <v>1187</v>
      </c>
      <c r="E718" s="1" t="s">
        <v>1188</v>
      </c>
      <c r="F718" s="1" t="s">
        <v>1189</v>
      </c>
      <c r="G718" s="1" t="s">
        <v>1190</v>
      </c>
      <c r="H718" s="2"/>
      <c r="I718" s="2"/>
      <c r="J718" s="2"/>
      <c r="K718" s="2"/>
    </row>
    <row x14ac:dyDescent="0.25" r="719" customHeight="1" ht="17.25">
      <c r="A719" s="1" t="s">
        <v>1573</v>
      </c>
      <c r="B719" s="1" t="s">
        <v>1574</v>
      </c>
      <c r="C719" s="1" t="s">
        <v>20</v>
      </c>
      <c r="D719" s="1" t="s">
        <v>1187</v>
      </c>
      <c r="E719" s="1" t="s">
        <v>1188</v>
      </c>
      <c r="F719" s="1" t="s">
        <v>1189</v>
      </c>
      <c r="G719" s="1" t="s">
        <v>1190</v>
      </c>
      <c r="H719" s="2"/>
      <c r="I719" s="2"/>
      <c r="J719" s="2"/>
      <c r="K719" s="2"/>
    </row>
    <row x14ac:dyDescent="0.25" r="720" customHeight="1" ht="17.25">
      <c r="A720" s="1" t="s">
        <v>1575</v>
      </c>
      <c r="B720" s="1" t="s">
        <v>1576</v>
      </c>
      <c r="C720" s="1" t="s">
        <v>20</v>
      </c>
      <c r="D720" s="1" t="s">
        <v>1187</v>
      </c>
      <c r="E720" s="1" t="s">
        <v>1188</v>
      </c>
      <c r="F720" s="1" t="s">
        <v>1189</v>
      </c>
      <c r="G720" s="1" t="s">
        <v>1190</v>
      </c>
      <c r="H720" s="2"/>
      <c r="I720" s="2"/>
      <c r="J720" s="2"/>
      <c r="K720" s="2"/>
    </row>
    <row x14ac:dyDescent="0.25" r="721" customHeight="1" ht="17.25">
      <c r="A721" s="1" t="s">
        <v>1577</v>
      </c>
      <c r="B721" s="1" t="s">
        <v>1578</v>
      </c>
      <c r="C721" s="1" t="s">
        <v>20</v>
      </c>
      <c r="D721" s="1" t="s">
        <v>1187</v>
      </c>
      <c r="E721" s="1" t="s">
        <v>1188</v>
      </c>
      <c r="F721" s="1" t="s">
        <v>1189</v>
      </c>
      <c r="G721" s="1" t="s">
        <v>1190</v>
      </c>
      <c r="H721" s="2"/>
      <c r="I721" s="2"/>
      <c r="J721" s="2"/>
      <c r="K721" s="2"/>
    </row>
    <row x14ac:dyDescent="0.25" r="722" customHeight="1" ht="17.25">
      <c r="A722" s="1" t="s">
        <v>1579</v>
      </c>
      <c r="B722" s="1" t="s">
        <v>1580</v>
      </c>
      <c r="C722" s="1" t="s">
        <v>20</v>
      </c>
      <c r="D722" s="1" t="s">
        <v>1187</v>
      </c>
      <c r="E722" s="1" t="s">
        <v>1188</v>
      </c>
      <c r="F722" s="1" t="s">
        <v>1189</v>
      </c>
      <c r="G722" s="1" t="s">
        <v>1190</v>
      </c>
      <c r="H722" s="2"/>
      <c r="I722" s="2"/>
      <c r="J722" s="2"/>
      <c r="K722" s="2"/>
    </row>
    <row x14ac:dyDescent="0.25" r="723" customHeight="1" ht="17.25">
      <c r="A723" s="1" t="s">
        <v>1581</v>
      </c>
      <c r="B723" s="1" t="s">
        <v>1582</v>
      </c>
      <c r="C723" s="1" t="s">
        <v>20</v>
      </c>
      <c r="D723" s="1" t="s">
        <v>1187</v>
      </c>
      <c r="E723" s="1" t="s">
        <v>1188</v>
      </c>
      <c r="F723" s="1" t="s">
        <v>1189</v>
      </c>
      <c r="G723" s="1" t="s">
        <v>1190</v>
      </c>
      <c r="H723" s="2"/>
      <c r="I723" s="2"/>
      <c r="J723" s="2"/>
      <c r="K723" s="2"/>
    </row>
    <row x14ac:dyDescent="0.25" r="724" customHeight="1" ht="17.25">
      <c r="A724" s="1" t="s">
        <v>1583</v>
      </c>
      <c r="B724" s="1" t="s">
        <v>1584</v>
      </c>
      <c r="C724" s="1" t="s">
        <v>20</v>
      </c>
      <c r="D724" s="1" t="s">
        <v>1187</v>
      </c>
      <c r="E724" s="1" t="s">
        <v>1188</v>
      </c>
      <c r="F724" s="1" t="s">
        <v>1189</v>
      </c>
      <c r="G724" s="1" t="s">
        <v>1190</v>
      </c>
      <c r="H724" s="2"/>
      <c r="I724" s="2"/>
      <c r="J724" s="2"/>
      <c r="K724" s="2"/>
    </row>
    <row x14ac:dyDescent="0.25" r="725" customHeight="1" ht="17.25">
      <c r="A725" s="1" t="s">
        <v>1585</v>
      </c>
      <c r="B725" s="1" t="s">
        <v>1586</v>
      </c>
      <c r="C725" s="1" t="s">
        <v>20</v>
      </c>
      <c r="D725" s="1" t="s">
        <v>1187</v>
      </c>
      <c r="E725" s="1" t="s">
        <v>1188</v>
      </c>
      <c r="F725" s="1" t="s">
        <v>1189</v>
      </c>
      <c r="G725" s="1" t="s">
        <v>1190</v>
      </c>
      <c r="H725" s="2"/>
      <c r="I725" s="2"/>
      <c r="J725" s="2"/>
      <c r="K725" s="2"/>
    </row>
    <row x14ac:dyDescent="0.25" r="726" customHeight="1" ht="17.25">
      <c r="A726" s="1" t="s">
        <v>1587</v>
      </c>
      <c r="B726" s="1" t="s">
        <v>1588</v>
      </c>
      <c r="C726" s="1" t="s">
        <v>20</v>
      </c>
      <c r="D726" s="1" t="s">
        <v>1187</v>
      </c>
      <c r="E726" s="1" t="s">
        <v>1188</v>
      </c>
      <c r="F726" s="1" t="s">
        <v>1189</v>
      </c>
      <c r="G726" s="1" t="s">
        <v>1190</v>
      </c>
      <c r="H726" s="2"/>
      <c r="I726" s="2"/>
      <c r="J726" s="2"/>
      <c r="K726" s="2"/>
    </row>
    <row x14ac:dyDescent="0.25" r="727" customHeight="1" ht="17.25">
      <c r="A727" s="1" t="s">
        <v>1589</v>
      </c>
      <c r="B727" s="1" t="s">
        <v>1590</v>
      </c>
      <c r="C727" s="1" t="s">
        <v>20</v>
      </c>
      <c r="D727" s="1" t="s">
        <v>1187</v>
      </c>
      <c r="E727" s="1" t="s">
        <v>1188</v>
      </c>
      <c r="F727" s="1" t="s">
        <v>1189</v>
      </c>
      <c r="G727" s="1" t="s">
        <v>1190</v>
      </c>
      <c r="H727" s="2"/>
      <c r="I727" s="2"/>
      <c r="J727" s="2"/>
      <c r="K727" s="2"/>
    </row>
    <row x14ac:dyDescent="0.25" r="728" customHeight="1" ht="17.25">
      <c r="A728" s="1" t="s">
        <v>1591</v>
      </c>
      <c r="B728" s="1" t="s">
        <v>1592</v>
      </c>
      <c r="C728" s="1" t="s">
        <v>20</v>
      </c>
      <c r="D728" s="1" t="s">
        <v>1187</v>
      </c>
      <c r="E728" s="1" t="s">
        <v>1188</v>
      </c>
      <c r="F728" s="1" t="s">
        <v>1189</v>
      </c>
      <c r="G728" s="1" t="s">
        <v>1190</v>
      </c>
      <c r="H728" s="2"/>
      <c r="I728" s="2"/>
      <c r="J728" s="2"/>
      <c r="K728" s="2"/>
    </row>
    <row x14ac:dyDescent="0.25" r="729" customHeight="1" ht="17.25">
      <c r="A729" s="1" t="s">
        <v>1593</v>
      </c>
      <c r="B729" s="1" t="s">
        <v>1594</v>
      </c>
      <c r="C729" s="1" t="s">
        <v>20</v>
      </c>
      <c r="D729" s="1" t="s">
        <v>1187</v>
      </c>
      <c r="E729" s="1" t="s">
        <v>1188</v>
      </c>
      <c r="F729" s="1" t="s">
        <v>1189</v>
      </c>
      <c r="G729" s="1" t="s">
        <v>1190</v>
      </c>
      <c r="H729" s="2"/>
      <c r="I729" s="2"/>
      <c r="J729" s="2"/>
      <c r="K729" s="2"/>
    </row>
    <row x14ac:dyDescent="0.25" r="730" customHeight="1" ht="17.25">
      <c r="A730" s="1" t="s">
        <v>1595</v>
      </c>
      <c r="B730" s="1" t="s">
        <v>1596</v>
      </c>
      <c r="C730" s="1" t="s">
        <v>20</v>
      </c>
      <c r="D730" s="1" t="s">
        <v>1187</v>
      </c>
      <c r="E730" s="1" t="s">
        <v>1188</v>
      </c>
      <c r="F730" s="1" t="s">
        <v>1189</v>
      </c>
      <c r="G730" s="1" t="s">
        <v>1190</v>
      </c>
      <c r="H730" s="2"/>
      <c r="I730" s="2"/>
      <c r="J730" s="2"/>
      <c r="K730" s="2"/>
    </row>
    <row x14ac:dyDescent="0.25" r="731" customHeight="1" ht="17.25">
      <c r="A731" s="1" t="s">
        <v>1597</v>
      </c>
      <c r="B731" s="1" t="s">
        <v>1598</v>
      </c>
      <c r="C731" s="1" t="s">
        <v>20</v>
      </c>
      <c r="D731" s="1" t="s">
        <v>1187</v>
      </c>
      <c r="E731" s="1" t="s">
        <v>1188</v>
      </c>
      <c r="F731" s="1" t="s">
        <v>1189</v>
      </c>
      <c r="G731" s="1" t="s">
        <v>1190</v>
      </c>
      <c r="H731" s="2"/>
      <c r="I731" s="2"/>
      <c r="J731" s="2"/>
      <c r="K731" s="2"/>
    </row>
    <row x14ac:dyDescent="0.25" r="732" customHeight="1" ht="17.25">
      <c r="A732" s="1" t="s">
        <v>1599</v>
      </c>
      <c r="B732" s="1" t="s">
        <v>1600</v>
      </c>
      <c r="C732" s="1" t="s">
        <v>20</v>
      </c>
      <c r="D732" s="1" t="s">
        <v>1187</v>
      </c>
      <c r="E732" s="1" t="s">
        <v>1188</v>
      </c>
      <c r="F732" s="1" t="s">
        <v>1189</v>
      </c>
      <c r="G732" s="1" t="s">
        <v>1190</v>
      </c>
      <c r="H732" s="2"/>
      <c r="I732" s="2"/>
      <c r="J732" s="2"/>
      <c r="K732" s="2"/>
    </row>
    <row x14ac:dyDescent="0.25" r="733" customHeight="1" ht="17.25">
      <c r="A733" s="1" t="s">
        <v>1601</v>
      </c>
      <c r="B733" s="1" t="s">
        <v>1602</v>
      </c>
      <c r="C733" s="1" t="s">
        <v>20</v>
      </c>
      <c r="D733" s="1" t="s">
        <v>1187</v>
      </c>
      <c r="E733" s="1" t="s">
        <v>1188</v>
      </c>
      <c r="F733" s="1" t="s">
        <v>1189</v>
      </c>
      <c r="G733" s="1" t="s">
        <v>1190</v>
      </c>
      <c r="H733" s="2"/>
      <c r="I733" s="2"/>
      <c r="J733" s="2"/>
      <c r="K733" s="2"/>
    </row>
    <row x14ac:dyDescent="0.25" r="734" customHeight="1" ht="17.25">
      <c r="A734" s="1" t="s">
        <v>1603</v>
      </c>
      <c r="B734" s="1" t="s">
        <v>1604</v>
      </c>
      <c r="C734" s="1" t="s">
        <v>20</v>
      </c>
      <c r="D734" s="1" t="s">
        <v>1187</v>
      </c>
      <c r="E734" s="1" t="s">
        <v>1188</v>
      </c>
      <c r="F734" s="1" t="s">
        <v>1189</v>
      </c>
      <c r="G734" s="1" t="s">
        <v>1190</v>
      </c>
      <c r="H734" s="2"/>
      <c r="I734" s="2"/>
      <c r="J734" s="2"/>
      <c r="K734" s="2"/>
    </row>
    <row x14ac:dyDescent="0.25" r="735" customHeight="1" ht="17.25">
      <c r="A735" s="1" t="s">
        <v>1605</v>
      </c>
      <c r="B735" s="1" t="s">
        <v>1606</v>
      </c>
      <c r="C735" s="1" t="s">
        <v>20</v>
      </c>
      <c r="D735" s="1" t="s">
        <v>1187</v>
      </c>
      <c r="E735" s="1" t="s">
        <v>1188</v>
      </c>
      <c r="F735" s="1" t="s">
        <v>1189</v>
      </c>
      <c r="G735" s="1" t="s">
        <v>1190</v>
      </c>
      <c r="H735" s="2"/>
      <c r="I735" s="2"/>
      <c r="J735" s="2"/>
      <c r="K735" s="2"/>
    </row>
    <row x14ac:dyDescent="0.25" r="736" customHeight="1" ht="17.25">
      <c r="A736" s="1" t="s">
        <v>1607</v>
      </c>
      <c r="B736" s="1" t="s">
        <v>1608</v>
      </c>
      <c r="C736" s="1" t="s">
        <v>20</v>
      </c>
      <c r="D736" s="1" t="s">
        <v>1187</v>
      </c>
      <c r="E736" s="1" t="s">
        <v>1188</v>
      </c>
      <c r="F736" s="1" t="s">
        <v>1189</v>
      </c>
      <c r="G736" s="1" t="s">
        <v>1190</v>
      </c>
      <c r="H736" s="2"/>
      <c r="I736" s="2"/>
      <c r="J736" s="2"/>
      <c r="K736" s="2"/>
    </row>
    <row x14ac:dyDescent="0.25" r="737" customHeight="1" ht="17.25">
      <c r="A737" s="1" t="s">
        <v>1609</v>
      </c>
      <c r="B737" s="1" t="s">
        <v>1610</v>
      </c>
      <c r="C737" s="1" t="s">
        <v>20</v>
      </c>
      <c r="D737" s="1" t="s">
        <v>1187</v>
      </c>
      <c r="E737" s="1" t="s">
        <v>1188</v>
      </c>
      <c r="F737" s="1" t="s">
        <v>1189</v>
      </c>
      <c r="G737" s="1" t="s">
        <v>1190</v>
      </c>
      <c r="H737" s="2"/>
      <c r="I737" s="2"/>
      <c r="J737" s="2"/>
      <c r="K737" s="2"/>
    </row>
    <row x14ac:dyDescent="0.25" r="738" customHeight="1" ht="17.25">
      <c r="A738" s="1" t="s">
        <v>1611</v>
      </c>
      <c r="B738" s="1" t="s">
        <v>1612</v>
      </c>
      <c r="C738" s="1" t="s">
        <v>20</v>
      </c>
      <c r="D738" s="1" t="s">
        <v>1187</v>
      </c>
      <c r="E738" s="1" t="s">
        <v>1188</v>
      </c>
      <c r="F738" s="1" t="s">
        <v>1189</v>
      </c>
      <c r="G738" s="1" t="s">
        <v>1190</v>
      </c>
      <c r="H738" s="2"/>
      <c r="I738" s="2"/>
      <c r="J738" s="2"/>
      <c r="K738" s="2"/>
    </row>
    <row x14ac:dyDescent="0.25" r="739" customHeight="1" ht="17.25">
      <c r="A739" s="1" t="s">
        <v>1613</v>
      </c>
      <c r="B739" s="1" t="s">
        <v>1614</v>
      </c>
      <c r="C739" s="1" t="s">
        <v>20</v>
      </c>
      <c r="D739" s="1" t="s">
        <v>1187</v>
      </c>
      <c r="E739" s="1" t="s">
        <v>1188</v>
      </c>
      <c r="F739" s="1" t="s">
        <v>1189</v>
      </c>
      <c r="G739" s="1" t="s">
        <v>1190</v>
      </c>
      <c r="H739" s="2"/>
      <c r="I739" s="2"/>
      <c r="J739" s="2"/>
      <c r="K739" s="2"/>
    </row>
    <row x14ac:dyDescent="0.25" r="740" customHeight="1" ht="17.25">
      <c r="A740" s="1" t="s">
        <v>1615</v>
      </c>
      <c r="B740" s="1" t="s">
        <v>1616</v>
      </c>
      <c r="C740" s="1" t="s">
        <v>20</v>
      </c>
      <c r="D740" s="1" t="s">
        <v>1187</v>
      </c>
      <c r="E740" s="1" t="s">
        <v>1188</v>
      </c>
      <c r="F740" s="1" t="s">
        <v>1189</v>
      </c>
      <c r="G740" s="1" t="s">
        <v>1190</v>
      </c>
      <c r="H740" s="2"/>
      <c r="I740" s="2"/>
      <c r="J740" s="2"/>
      <c r="K740" s="2"/>
    </row>
    <row x14ac:dyDescent="0.25" r="741" customHeight="1" ht="17.25">
      <c r="A741" s="1" t="s">
        <v>1617</v>
      </c>
      <c r="B741" s="1" t="s">
        <v>1618</v>
      </c>
      <c r="C741" s="1" t="s">
        <v>20</v>
      </c>
      <c r="D741" s="1" t="s">
        <v>1187</v>
      </c>
      <c r="E741" s="1" t="s">
        <v>1188</v>
      </c>
      <c r="F741" s="1" t="s">
        <v>1189</v>
      </c>
      <c r="G741" s="1" t="s">
        <v>1190</v>
      </c>
      <c r="H741" s="2"/>
      <c r="I741" s="2"/>
      <c r="J741" s="2"/>
      <c r="K741" s="2"/>
    </row>
    <row x14ac:dyDescent="0.25" r="742" customHeight="1" ht="17.25">
      <c r="A742" s="1" t="s">
        <v>1619</v>
      </c>
      <c r="B742" s="1" t="s">
        <v>1620</v>
      </c>
      <c r="C742" s="1" t="s">
        <v>20</v>
      </c>
      <c r="D742" s="1" t="s">
        <v>1187</v>
      </c>
      <c r="E742" s="1" t="s">
        <v>1188</v>
      </c>
      <c r="F742" s="1" t="s">
        <v>1189</v>
      </c>
      <c r="G742" s="1" t="s">
        <v>1190</v>
      </c>
      <c r="H742" s="2"/>
      <c r="I742" s="2"/>
      <c r="J742" s="2"/>
      <c r="K742" s="2"/>
    </row>
    <row x14ac:dyDescent="0.25" r="743" customHeight="1" ht="17.25">
      <c r="A743" s="1" t="s">
        <v>1621</v>
      </c>
      <c r="B743" s="1" t="s">
        <v>1622</v>
      </c>
      <c r="C743" s="1" t="s">
        <v>20</v>
      </c>
      <c r="D743" s="1" t="s">
        <v>1187</v>
      </c>
      <c r="E743" s="1" t="s">
        <v>1188</v>
      </c>
      <c r="F743" s="1" t="s">
        <v>1189</v>
      </c>
      <c r="G743" s="1" t="s">
        <v>1190</v>
      </c>
      <c r="H743" s="2"/>
      <c r="I743" s="2"/>
      <c r="J743" s="2"/>
      <c r="K743" s="2"/>
    </row>
    <row x14ac:dyDescent="0.25" r="744" customHeight="1" ht="17.25">
      <c r="A744" s="1" t="s">
        <v>1623</v>
      </c>
      <c r="B744" s="1" t="s">
        <v>1624</v>
      </c>
      <c r="C744" s="1" t="s">
        <v>20</v>
      </c>
      <c r="D744" s="1" t="s">
        <v>1187</v>
      </c>
      <c r="E744" s="1" t="s">
        <v>1188</v>
      </c>
      <c r="F744" s="1" t="s">
        <v>1189</v>
      </c>
      <c r="G744" s="1" t="s">
        <v>1190</v>
      </c>
      <c r="H744" s="2"/>
      <c r="I744" s="2"/>
      <c r="J744" s="2"/>
      <c r="K744" s="2"/>
    </row>
    <row x14ac:dyDescent="0.25" r="745" customHeight="1" ht="17.25">
      <c r="A745" s="1" t="s">
        <v>1625</v>
      </c>
      <c r="B745" s="1" t="s">
        <v>1626</v>
      </c>
      <c r="C745" s="1" t="s">
        <v>20</v>
      </c>
      <c r="D745" s="1" t="s">
        <v>1187</v>
      </c>
      <c r="E745" s="1" t="s">
        <v>1188</v>
      </c>
      <c r="F745" s="1" t="s">
        <v>1189</v>
      </c>
      <c r="G745" s="1" t="s">
        <v>1190</v>
      </c>
      <c r="H745" s="2"/>
      <c r="I745" s="2"/>
      <c r="J745" s="2"/>
      <c r="K745" s="2"/>
    </row>
    <row x14ac:dyDescent="0.25" r="746" customHeight="1" ht="17.25">
      <c r="A746" s="1" t="s">
        <v>1627</v>
      </c>
      <c r="B746" s="1" t="s">
        <v>1628</v>
      </c>
      <c r="C746" s="1" t="s">
        <v>20</v>
      </c>
      <c r="D746" s="1" t="s">
        <v>1187</v>
      </c>
      <c r="E746" s="1" t="s">
        <v>1188</v>
      </c>
      <c r="F746" s="1" t="s">
        <v>1189</v>
      </c>
      <c r="G746" s="1" t="s">
        <v>1190</v>
      </c>
      <c r="H746" s="2"/>
      <c r="I746" s="2"/>
      <c r="J746" s="2"/>
      <c r="K746" s="2"/>
    </row>
    <row x14ac:dyDescent="0.25" r="747" customHeight="1" ht="17.25">
      <c r="A747" s="1" t="s">
        <v>1629</v>
      </c>
      <c r="B747" s="1" t="s">
        <v>1630</v>
      </c>
      <c r="C747" s="1" t="s">
        <v>20</v>
      </c>
      <c r="D747" s="1" t="s">
        <v>1187</v>
      </c>
      <c r="E747" s="1" t="s">
        <v>1188</v>
      </c>
      <c r="F747" s="1" t="s">
        <v>1189</v>
      </c>
      <c r="G747" s="1" t="s">
        <v>1190</v>
      </c>
      <c r="H747" s="2"/>
      <c r="I747" s="2"/>
      <c r="J747" s="2"/>
      <c r="K747" s="2"/>
    </row>
    <row x14ac:dyDescent="0.25" r="748" customHeight="1" ht="17.25">
      <c r="A748" s="1" t="s">
        <v>1631</v>
      </c>
      <c r="B748" s="1" t="s">
        <v>1632</v>
      </c>
      <c r="C748" s="1" t="s">
        <v>20</v>
      </c>
      <c r="D748" s="1" t="s">
        <v>1187</v>
      </c>
      <c r="E748" s="1" t="s">
        <v>1188</v>
      </c>
      <c r="F748" s="1" t="s">
        <v>1189</v>
      </c>
      <c r="G748" s="1" t="s">
        <v>1190</v>
      </c>
      <c r="H748" s="2"/>
      <c r="I748" s="2"/>
      <c r="J748" s="2"/>
      <c r="K748" s="2"/>
    </row>
    <row x14ac:dyDescent="0.25" r="749" customHeight="1" ht="17.25">
      <c r="A749" s="1" t="s">
        <v>1633</v>
      </c>
      <c r="B749" s="1" t="s">
        <v>1634</v>
      </c>
      <c r="C749" s="1" t="s">
        <v>20</v>
      </c>
      <c r="D749" s="1" t="s">
        <v>1187</v>
      </c>
      <c r="E749" s="1" t="s">
        <v>1188</v>
      </c>
      <c r="F749" s="1" t="s">
        <v>1189</v>
      </c>
      <c r="G749" s="1" t="s">
        <v>1190</v>
      </c>
      <c r="H749" s="2"/>
      <c r="I749" s="2"/>
      <c r="J749" s="2"/>
      <c r="K749" s="2"/>
    </row>
    <row x14ac:dyDescent="0.25" r="750" customHeight="1" ht="17.25">
      <c r="A750" s="1" t="s">
        <v>1635</v>
      </c>
      <c r="B750" s="1" t="s">
        <v>1636</v>
      </c>
      <c r="C750" s="1" t="s">
        <v>20</v>
      </c>
      <c r="D750" s="1" t="s">
        <v>1187</v>
      </c>
      <c r="E750" s="1" t="s">
        <v>1188</v>
      </c>
      <c r="F750" s="1" t="s">
        <v>1189</v>
      </c>
      <c r="G750" s="1" t="s">
        <v>1190</v>
      </c>
      <c r="H750" s="2"/>
      <c r="I750" s="2"/>
      <c r="J750" s="2"/>
      <c r="K750" s="2"/>
    </row>
    <row x14ac:dyDescent="0.25" r="751" customHeight="1" ht="17.25">
      <c r="A751" s="1" t="s">
        <v>1637</v>
      </c>
      <c r="B751" s="1" t="s">
        <v>1638</v>
      </c>
      <c r="C751" s="1" t="s">
        <v>20</v>
      </c>
      <c r="D751" s="1" t="s">
        <v>1187</v>
      </c>
      <c r="E751" s="1" t="s">
        <v>1188</v>
      </c>
      <c r="F751" s="1" t="s">
        <v>1189</v>
      </c>
      <c r="G751" s="1" t="s">
        <v>1190</v>
      </c>
      <c r="H751" s="2"/>
      <c r="I751" s="2"/>
      <c r="J751" s="2"/>
      <c r="K751" s="2"/>
    </row>
    <row x14ac:dyDescent="0.25" r="752" customHeight="1" ht="17.25">
      <c r="A752" s="1" t="s">
        <v>1639</v>
      </c>
      <c r="B752" s="1" t="s">
        <v>1640</v>
      </c>
      <c r="C752" s="1" t="s">
        <v>20</v>
      </c>
      <c r="D752" s="1" t="s">
        <v>1187</v>
      </c>
      <c r="E752" s="1" t="s">
        <v>1188</v>
      </c>
      <c r="F752" s="1" t="s">
        <v>1189</v>
      </c>
      <c r="G752" s="1" t="s">
        <v>1190</v>
      </c>
      <c r="H752" s="2"/>
      <c r="I752" s="2"/>
      <c r="J752" s="2"/>
      <c r="K752" s="2"/>
    </row>
    <row x14ac:dyDescent="0.25" r="753" customHeight="1" ht="17.25">
      <c r="A753" s="1" t="s">
        <v>1641</v>
      </c>
      <c r="B753" s="1" t="s">
        <v>1642</v>
      </c>
      <c r="C753" s="1" t="s">
        <v>20</v>
      </c>
      <c r="D753" s="1" t="s">
        <v>1187</v>
      </c>
      <c r="E753" s="1" t="s">
        <v>1188</v>
      </c>
      <c r="F753" s="1" t="s">
        <v>1189</v>
      </c>
      <c r="G753" s="1" t="s">
        <v>1190</v>
      </c>
      <c r="H753" s="2"/>
      <c r="I753" s="2"/>
      <c r="J753" s="2"/>
      <c r="K753" s="2"/>
    </row>
    <row x14ac:dyDescent="0.25" r="754" customHeight="1" ht="17.25">
      <c r="A754" s="1" t="s">
        <v>1643</v>
      </c>
      <c r="B754" s="1" t="s">
        <v>1644</v>
      </c>
      <c r="C754" s="1" t="s">
        <v>20</v>
      </c>
      <c r="D754" s="1" t="s">
        <v>1187</v>
      </c>
      <c r="E754" s="1" t="s">
        <v>1188</v>
      </c>
      <c r="F754" s="1" t="s">
        <v>1189</v>
      </c>
      <c r="G754" s="1" t="s">
        <v>1190</v>
      </c>
      <c r="H754" s="2"/>
      <c r="I754" s="2"/>
      <c r="J754" s="2"/>
      <c r="K754" s="2"/>
    </row>
    <row x14ac:dyDescent="0.25" r="755" customHeight="1" ht="17.25">
      <c r="A755" s="1" t="s">
        <v>1645</v>
      </c>
      <c r="B755" s="1" t="s">
        <v>1646</v>
      </c>
      <c r="C755" s="1" t="s">
        <v>20</v>
      </c>
      <c r="D755" s="1" t="s">
        <v>1187</v>
      </c>
      <c r="E755" s="1" t="s">
        <v>1188</v>
      </c>
      <c r="F755" s="1" t="s">
        <v>1189</v>
      </c>
      <c r="G755" s="1" t="s">
        <v>1190</v>
      </c>
      <c r="H755" s="2"/>
      <c r="I755" s="2"/>
      <c r="J755" s="2"/>
      <c r="K755" s="2"/>
    </row>
    <row x14ac:dyDescent="0.25" r="756" customHeight="1" ht="17.25">
      <c r="A756" s="1" t="s">
        <v>1647</v>
      </c>
      <c r="B756" s="1" t="s">
        <v>1648</v>
      </c>
      <c r="C756" s="1" t="s">
        <v>20</v>
      </c>
      <c r="D756" s="1" t="s">
        <v>1187</v>
      </c>
      <c r="E756" s="1" t="s">
        <v>1188</v>
      </c>
      <c r="F756" s="1" t="s">
        <v>1189</v>
      </c>
      <c r="G756" s="1" t="s">
        <v>1190</v>
      </c>
      <c r="H756" s="2"/>
      <c r="I756" s="2"/>
      <c r="J756" s="2"/>
      <c r="K756" s="2"/>
    </row>
    <row x14ac:dyDescent="0.25" r="757" customHeight="1" ht="17.25">
      <c r="A757" s="1" t="s">
        <v>1649</v>
      </c>
      <c r="B757" s="1" t="s">
        <v>1650</v>
      </c>
      <c r="C757" s="1" t="s">
        <v>20</v>
      </c>
      <c r="D757" s="1" t="s">
        <v>1187</v>
      </c>
      <c r="E757" s="1" t="s">
        <v>1188</v>
      </c>
      <c r="F757" s="1" t="s">
        <v>1189</v>
      </c>
      <c r="G757" s="1" t="s">
        <v>1190</v>
      </c>
      <c r="H757" s="2"/>
      <c r="I757" s="2"/>
      <c r="J757" s="2"/>
      <c r="K757" s="2"/>
    </row>
    <row x14ac:dyDescent="0.25" r="758" customHeight="1" ht="17.25">
      <c r="A758" s="1" t="s">
        <v>1651</v>
      </c>
      <c r="B758" s="1" t="s">
        <v>1652</v>
      </c>
      <c r="C758" s="1" t="s">
        <v>20</v>
      </c>
      <c r="D758" s="1" t="s">
        <v>1187</v>
      </c>
      <c r="E758" s="1" t="s">
        <v>1188</v>
      </c>
      <c r="F758" s="1" t="s">
        <v>1189</v>
      </c>
      <c r="G758" s="1" t="s">
        <v>1190</v>
      </c>
      <c r="H758" s="2"/>
      <c r="I758" s="2"/>
      <c r="J758" s="2"/>
      <c r="K758" s="2"/>
    </row>
    <row x14ac:dyDescent="0.25" r="759" customHeight="1" ht="17.25">
      <c r="A759" s="1" t="s">
        <v>1653</v>
      </c>
      <c r="B759" s="1" t="s">
        <v>1654</v>
      </c>
      <c r="C759" s="1" t="s">
        <v>20</v>
      </c>
      <c r="D759" s="1" t="s">
        <v>1187</v>
      </c>
      <c r="E759" s="1" t="s">
        <v>1188</v>
      </c>
      <c r="F759" s="1" t="s">
        <v>1189</v>
      </c>
      <c r="G759" s="1" t="s">
        <v>1190</v>
      </c>
      <c r="H759" s="2"/>
      <c r="I759" s="2"/>
      <c r="J759" s="2"/>
      <c r="K759" s="2"/>
    </row>
    <row x14ac:dyDescent="0.25" r="760" customHeight="1" ht="17.25">
      <c r="A760" s="1" t="s">
        <v>1655</v>
      </c>
      <c r="B760" s="1" t="s">
        <v>1656</v>
      </c>
      <c r="C760" s="1" t="s">
        <v>20</v>
      </c>
      <c r="D760" s="1" t="s">
        <v>1187</v>
      </c>
      <c r="E760" s="1" t="s">
        <v>1188</v>
      </c>
      <c r="F760" s="1" t="s">
        <v>1189</v>
      </c>
      <c r="G760" s="1" t="s">
        <v>1190</v>
      </c>
      <c r="H760" s="2"/>
      <c r="I760" s="2"/>
      <c r="J760" s="2"/>
      <c r="K760" s="2"/>
    </row>
    <row x14ac:dyDescent="0.25" r="761" customHeight="1" ht="17.25">
      <c r="A761" s="1" t="s">
        <v>1657</v>
      </c>
      <c r="B761" s="1" t="s">
        <v>1658</v>
      </c>
      <c r="C761" s="1" t="s">
        <v>20</v>
      </c>
      <c r="D761" s="1" t="s">
        <v>1187</v>
      </c>
      <c r="E761" s="1" t="s">
        <v>1188</v>
      </c>
      <c r="F761" s="1" t="s">
        <v>1189</v>
      </c>
      <c r="G761" s="1" t="s">
        <v>1190</v>
      </c>
      <c r="H761" s="2"/>
      <c r="I761" s="2"/>
      <c r="J761" s="2"/>
      <c r="K761" s="2"/>
    </row>
    <row x14ac:dyDescent="0.25" r="762" customHeight="1" ht="17.25">
      <c r="A762" s="1" t="s">
        <v>1659</v>
      </c>
      <c r="B762" s="1" t="s">
        <v>1660</v>
      </c>
      <c r="C762" s="1" t="s">
        <v>20</v>
      </c>
      <c r="D762" s="1" t="s">
        <v>1187</v>
      </c>
      <c r="E762" s="1" t="s">
        <v>1188</v>
      </c>
      <c r="F762" s="1" t="s">
        <v>1189</v>
      </c>
      <c r="G762" s="1" t="s">
        <v>1190</v>
      </c>
      <c r="H762" s="2"/>
      <c r="I762" s="2"/>
      <c r="J762" s="2"/>
      <c r="K762" s="2"/>
    </row>
    <row x14ac:dyDescent="0.25" r="763" customHeight="1" ht="17.25">
      <c r="A763" s="1" t="s">
        <v>1661</v>
      </c>
      <c r="B763" s="1" t="s">
        <v>1662</v>
      </c>
      <c r="C763" s="1" t="s">
        <v>20</v>
      </c>
      <c r="D763" s="1" t="s">
        <v>1187</v>
      </c>
      <c r="E763" s="1" t="s">
        <v>1188</v>
      </c>
      <c r="F763" s="1" t="s">
        <v>1189</v>
      </c>
      <c r="G763" s="1" t="s">
        <v>1190</v>
      </c>
      <c r="H763" s="2"/>
      <c r="I763" s="2"/>
      <c r="J763" s="2"/>
      <c r="K763" s="2"/>
    </row>
    <row x14ac:dyDescent="0.25" r="764" customHeight="1" ht="17.25">
      <c r="A764" s="1" t="s">
        <v>1663</v>
      </c>
      <c r="B764" s="1" t="s">
        <v>1664</v>
      </c>
      <c r="C764" s="1" t="s">
        <v>20</v>
      </c>
      <c r="D764" s="1" t="s">
        <v>1187</v>
      </c>
      <c r="E764" s="1" t="s">
        <v>1188</v>
      </c>
      <c r="F764" s="1" t="s">
        <v>1189</v>
      </c>
      <c r="G764" s="1" t="s">
        <v>1190</v>
      </c>
      <c r="H764" s="2"/>
      <c r="I764" s="2"/>
      <c r="J764" s="2"/>
      <c r="K764" s="2"/>
    </row>
    <row x14ac:dyDescent="0.25" r="765" customHeight="1" ht="17.25">
      <c r="A765" s="1" t="s">
        <v>1665</v>
      </c>
      <c r="B765" s="1" t="s">
        <v>1666</v>
      </c>
      <c r="C765" s="1" t="s">
        <v>20</v>
      </c>
      <c r="D765" s="1" t="s">
        <v>1187</v>
      </c>
      <c r="E765" s="1" t="s">
        <v>1188</v>
      </c>
      <c r="F765" s="1" t="s">
        <v>1189</v>
      </c>
      <c r="G765" s="1" t="s">
        <v>1190</v>
      </c>
      <c r="H765" s="2"/>
      <c r="I765" s="2"/>
      <c r="J765" s="2"/>
      <c r="K765" s="2"/>
    </row>
    <row x14ac:dyDescent="0.25" r="766" customHeight="1" ht="17.25">
      <c r="A766" s="1" t="s">
        <v>1667</v>
      </c>
      <c r="B766" s="1" t="s">
        <v>1668</v>
      </c>
      <c r="C766" s="1" t="s">
        <v>20</v>
      </c>
      <c r="D766" s="1" t="s">
        <v>1187</v>
      </c>
      <c r="E766" s="1" t="s">
        <v>1188</v>
      </c>
      <c r="F766" s="1" t="s">
        <v>1189</v>
      </c>
      <c r="G766" s="1" t="s">
        <v>1190</v>
      </c>
      <c r="H766" s="2"/>
      <c r="I766" s="2"/>
      <c r="J766" s="2"/>
      <c r="K766" s="2"/>
    </row>
    <row x14ac:dyDescent="0.25" r="767" customHeight="1" ht="17.25">
      <c r="A767" s="1" t="s">
        <v>1669</v>
      </c>
      <c r="B767" s="1" t="s">
        <v>1670</v>
      </c>
      <c r="C767" s="1" t="s">
        <v>20</v>
      </c>
      <c r="D767" s="1" t="s">
        <v>1187</v>
      </c>
      <c r="E767" s="1" t="s">
        <v>1188</v>
      </c>
      <c r="F767" s="1" t="s">
        <v>1189</v>
      </c>
      <c r="G767" s="1" t="s">
        <v>1190</v>
      </c>
      <c r="H767" s="2"/>
      <c r="I767" s="2"/>
      <c r="J767" s="2"/>
      <c r="K767" s="2"/>
    </row>
    <row x14ac:dyDescent="0.25" r="768" customHeight="1" ht="17.25">
      <c r="A768" s="1" t="s">
        <v>1671</v>
      </c>
      <c r="B768" s="1" t="s">
        <v>1672</v>
      </c>
      <c r="C768" s="1" t="s">
        <v>20</v>
      </c>
      <c r="D768" s="1" t="s">
        <v>1187</v>
      </c>
      <c r="E768" s="1" t="s">
        <v>1188</v>
      </c>
      <c r="F768" s="1" t="s">
        <v>1189</v>
      </c>
      <c r="G768" s="1" t="s">
        <v>1190</v>
      </c>
      <c r="H768" s="2"/>
      <c r="I768" s="2"/>
      <c r="J768" s="2"/>
      <c r="K768" s="2"/>
    </row>
    <row x14ac:dyDescent="0.25" r="769" customHeight="1" ht="17.25">
      <c r="A769" s="1" t="s">
        <v>1673</v>
      </c>
      <c r="B769" s="1" t="s">
        <v>1674</v>
      </c>
      <c r="C769" s="1" t="s">
        <v>20</v>
      </c>
      <c r="D769" s="1" t="s">
        <v>1187</v>
      </c>
      <c r="E769" s="1" t="s">
        <v>1188</v>
      </c>
      <c r="F769" s="1" t="s">
        <v>1189</v>
      </c>
      <c r="G769" s="1" t="s">
        <v>1190</v>
      </c>
      <c r="H769" s="2"/>
      <c r="I769" s="2"/>
      <c r="J769" s="2"/>
      <c r="K769" s="2"/>
    </row>
    <row x14ac:dyDescent="0.25" r="770" customHeight="1" ht="17.25">
      <c r="A770" s="1" t="s">
        <v>1675</v>
      </c>
      <c r="B770" s="1" t="s">
        <v>1676</v>
      </c>
      <c r="C770" s="1" t="s">
        <v>20</v>
      </c>
      <c r="D770" s="1" t="s">
        <v>1187</v>
      </c>
      <c r="E770" s="1" t="s">
        <v>1188</v>
      </c>
      <c r="F770" s="1" t="s">
        <v>1189</v>
      </c>
      <c r="G770" s="1" t="s">
        <v>1190</v>
      </c>
      <c r="H770" s="2"/>
      <c r="I770" s="2"/>
      <c r="J770" s="2"/>
      <c r="K770" s="2"/>
    </row>
    <row x14ac:dyDescent="0.25" r="771" customHeight="1" ht="17.25">
      <c r="A771" s="1" t="s">
        <v>1677</v>
      </c>
      <c r="B771" s="1" t="s">
        <v>1678</v>
      </c>
      <c r="C771" s="1" t="s">
        <v>20</v>
      </c>
      <c r="D771" s="1" t="s">
        <v>1187</v>
      </c>
      <c r="E771" s="1" t="s">
        <v>1188</v>
      </c>
      <c r="F771" s="1" t="s">
        <v>1189</v>
      </c>
      <c r="G771" s="1" t="s">
        <v>1190</v>
      </c>
      <c r="H771" s="2"/>
      <c r="I771" s="2"/>
      <c r="J771" s="2"/>
      <c r="K771" s="2"/>
    </row>
    <row x14ac:dyDescent="0.25" r="772" customHeight="1" ht="17.25">
      <c r="A772" s="1" t="s">
        <v>1679</v>
      </c>
      <c r="B772" s="1" t="s">
        <v>1680</v>
      </c>
      <c r="C772" s="1" t="s">
        <v>20</v>
      </c>
      <c r="D772" s="1" t="s">
        <v>1187</v>
      </c>
      <c r="E772" s="1" t="s">
        <v>1188</v>
      </c>
      <c r="F772" s="1" t="s">
        <v>1189</v>
      </c>
      <c r="G772" s="1" t="s">
        <v>1190</v>
      </c>
      <c r="H772" s="2"/>
      <c r="I772" s="2"/>
      <c r="J772" s="2"/>
      <c r="K772" s="2"/>
    </row>
    <row x14ac:dyDescent="0.25" r="773" customHeight="1" ht="17.25">
      <c r="A773" s="1" t="s">
        <v>1681</v>
      </c>
      <c r="B773" s="1" t="s">
        <v>1682</v>
      </c>
      <c r="C773" s="1" t="s">
        <v>20</v>
      </c>
      <c r="D773" s="1" t="s">
        <v>1187</v>
      </c>
      <c r="E773" s="1" t="s">
        <v>1188</v>
      </c>
      <c r="F773" s="1" t="s">
        <v>1189</v>
      </c>
      <c r="G773" s="1" t="s">
        <v>1190</v>
      </c>
      <c r="H773" s="2"/>
      <c r="I773" s="2"/>
      <c r="J773" s="2"/>
      <c r="K773" s="2"/>
    </row>
    <row x14ac:dyDescent="0.25" r="774" customHeight="1" ht="17.25">
      <c r="A774" s="1" t="s">
        <v>1683</v>
      </c>
      <c r="B774" s="1" t="s">
        <v>1684</v>
      </c>
      <c r="C774" s="1" t="s">
        <v>20</v>
      </c>
      <c r="D774" s="1" t="s">
        <v>1187</v>
      </c>
      <c r="E774" s="1" t="s">
        <v>1188</v>
      </c>
      <c r="F774" s="1" t="s">
        <v>1189</v>
      </c>
      <c r="G774" s="1" t="s">
        <v>1190</v>
      </c>
      <c r="H774" s="2"/>
      <c r="I774" s="2"/>
      <c r="J774" s="2"/>
      <c r="K774" s="2"/>
    </row>
    <row x14ac:dyDescent="0.25" r="775" customHeight="1" ht="17.25">
      <c r="A775" s="1" t="s">
        <v>1685</v>
      </c>
      <c r="B775" s="1" t="s">
        <v>1686</v>
      </c>
      <c r="C775" s="1" t="s">
        <v>20</v>
      </c>
      <c r="D775" s="1" t="s">
        <v>1187</v>
      </c>
      <c r="E775" s="1" t="s">
        <v>1188</v>
      </c>
      <c r="F775" s="1" t="s">
        <v>1189</v>
      </c>
      <c r="G775" s="1" t="s">
        <v>1190</v>
      </c>
      <c r="H775" s="2"/>
      <c r="I775" s="2"/>
      <c r="J775" s="2"/>
      <c r="K775" s="2"/>
    </row>
    <row x14ac:dyDescent="0.25" r="776" customHeight="1" ht="17.25">
      <c r="A776" s="1" t="s">
        <v>1687</v>
      </c>
      <c r="B776" s="1" t="s">
        <v>1688</v>
      </c>
      <c r="C776" s="1" t="s">
        <v>20</v>
      </c>
      <c r="D776" s="1" t="s">
        <v>1187</v>
      </c>
      <c r="E776" s="1" t="s">
        <v>1188</v>
      </c>
      <c r="F776" s="1" t="s">
        <v>1189</v>
      </c>
      <c r="G776" s="1" t="s">
        <v>1190</v>
      </c>
      <c r="H776" s="2"/>
      <c r="I776" s="2"/>
      <c r="J776" s="2"/>
      <c r="K776" s="2"/>
    </row>
    <row x14ac:dyDescent="0.25" r="777" customHeight="1" ht="17.25">
      <c r="A777" s="1" t="s">
        <v>1689</v>
      </c>
      <c r="B777" s="1" t="s">
        <v>1690</v>
      </c>
      <c r="C777" s="1" t="s">
        <v>20</v>
      </c>
      <c r="D777" s="1" t="s">
        <v>1187</v>
      </c>
      <c r="E777" s="1" t="s">
        <v>1188</v>
      </c>
      <c r="F777" s="1" t="s">
        <v>1189</v>
      </c>
      <c r="G777" s="1" t="s">
        <v>1190</v>
      </c>
      <c r="H777" s="2"/>
      <c r="I777" s="2"/>
      <c r="J777" s="2"/>
      <c r="K777" s="2"/>
    </row>
    <row x14ac:dyDescent="0.25" r="778" customHeight="1" ht="17.25">
      <c r="A778" s="1" t="s">
        <v>1691</v>
      </c>
      <c r="B778" s="1" t="s">
        <v>1692</v>
      </c>
      <c r="C778" s="1" t="s">
        <v>20</v>
      </c>
      <c r="D778" s="1" t="s">
        <v>1187</v>
      </c>
      <c r="E778" s="1" t="s">
        <v>1188</v>
      </c>
      <c r="F778" s="1" t="s">
        <v>1189</v>
      </c>
      <c r="G778" s="1" t="s">
        <v>1190</v>
      </c>
      <c r="H778" s="2"/>
      <c r="I778" s="2"/>
      <c r="J778" s="2"/>
      <c r="K778" s="2"/>
    </row>
    <row x14ac:dyDescent="0.25" r="779" customHeight="1" ht="17.25">
      <c r="A779" s="1" t="s">
        <v>1693</v>
      </c>
      <c r="B779" s="1" t="s">
        <v>1694</v>
      </c>
      <c r="C779" s="1" t="s">
        <v>20</v>
      </c>
      <c r="D779" s="1" t="s">
        <v>1187</v>
      </c>
      <c r="E779" s="1" t="s">
        <v>1188</v>
      </c>
      <c r="F779" s="1" t="s">
        <v>1189</v>
      </c>
      <c r="G779" s="1" t="s">
        <v>1190</v>
      </c>
      <c r="H779" s="2"/>
      <c r="I779" s="2"/>
      <c r="J779" s="2"/>
      <c r="K779" s="2"/>
    </row>
    <row x14ac:dyDescent="0.25" r="780" customHeight="1" ht="17.25">
      <c r="A780" s="1" t="s">
        <v>1695</v>
      </c>
      <c r="B780" s="1" t="s">
        <v>1696</v>
      </c>
      <c r="C780" s="1" t="s">
        <v>20</v>
      </c>
      <c r="D780" s="1" t="s">
        <v>1187</v>
      </c>
      <c r="E780" s="1" t="s">
        <v>1188</v>
      </c>
      <c r="F780" s="1" t="s">
        <v>1189</v>
      </c>
      <c r="G780" s="1" t="s">
        <v>1190</v>
      </c>
      <c r="H780" s="2"/>
      <c r="I780" s="2"/>
      <c r="J780" s="2"/>
      <c r="K780" s="2"/>
    </row>
    <row x14ac:dyDescent="0.25" r="781" customHeight="1" ht="17.25">
      <c r="A781" s="1" t="s">
        <v>1697</v>
      </c>
      <c r="B781" s="1" t="s">
        <v>1698</v>
      </c>
      <c r="C781" s="1" t="s">
        <v>20</v>
      </c>
      <c r="D781" s="1" t="s">
        <v>1187</v>
      </c>
      <c r="E781" s="1" t="s">
        <v>1188</v>
      </c>
      <c r="F781" s="1" t="s">
        <v>1189</v>
      </c>
      <c r="G781" s="1" t="s">
        <v>1190</v>
      </c>
      <c r="H781" s="2"/>
      <c r="I781" s="2"/>
      <c r="J781" s="2"/>
      <c r="K781" s="2"/>
    </row>
    <row x14ac:dyDescent="0.25" r="782" customHeight="1" ht="17.25">
      <c r="A782" s="1" t="s">
        <v>1699</v>
      </c>
      <c r="B782" s="1" t="s">
        <v>1700</v>
      </c>
      <c r="C782" s="1" t="s">
        <v>20</v>
      </c>
      <c r="D782" s="1" t="s">
        <v>1187</v>
      </c>
      <c r="E782" s="1" t="s">
        <v>1188</v>
      </c>
      <c r="F782" s="1" t="s">
        <v>1189</v>
      </c>
      <c r="G782" s="1" t="s">
        <v>1190</v>
      </c>
      <c r="H782" s="2"/>
      <c r="I782" s="2"/>
      <c r="J782" s="2"/>
      <c r="K782" s="2"/>
    </row>
    <row x14ac:dyDescent="0.25" r="783" customHeight="1" ht="17.25">
      <c r="A783" s="1" t="s">
        <v>1701</v>
      </c>
      <c r="B783" s="1" t="s">
        <v>1702</v>
      </c>
      <c r="C783" s="1" t="s">
        <v>20</v>
      </c>
      <c r="D783" s="1" t="s">
        <v>1187</v>
      </c>
      <c r="E783" s="1" t="s">
        <v>1188</v>
      </c>
      <c r="F783" s="1" t="s">
        <v>1189</v>
      </c>
      <c r="G783" s="1" t="s">
        <v>1190</v>
      </c>
      <c r="H783" s="2"/>
      <c r="I783" s="2"/>
      <c r="J783" s="2"/>
      <c r="K783" s="2"/>
    </row>
    <row x14ac:dyDescent="0.25" r="784" customHeight="1" ht="17.25">
      <c r="A784" s="1" t="s">
        <v>1703</v>
      </c>
      <c r="B784" s="1" t="s">
        <v>1704</v>
      </c>
      <c r="C784" s="1" t="s">
        <v>20</v>
      </c>
      <c r="D784" s="1" t="s">
        <v>1187</v>
      </c>
      <c r="E784" s="1" t="s">
        <v>1188</v>
      </c>
      <c r="F784" s="1" t="s">
        <v>1189</v>
      </c>
      <c r="G784" s="1" t="s">
        <v>1190</v>
      </c>
      <c r="H784" s="2"/>
      <c r="I784" s="2"/>
      <c r="J784" s="2"/>
      <c r="K784" s="2"/>
    </row>
    <row x14ac:dyDescent="0.25" r="785" customHeight="1" ht="17.25">
      <c r="A785" s="1" t="s">
        <v>1705</v>
      </c>
      <c r="B785" s="1" t="s">
        <v>1706</v>
      </c>
      <c r="C785" s="1" t="s">
        <v>20</v>
      </c>
      <c r="D785" s="1" t="s">
        <v>1187</v>
      </c>
      <c r="E785" s="1" t="s">
        <v>1188</v>
      </c>
      <c r="F785" s="1" t="s">
        <v>1189</v>
      </c>
      <c r="G785" s="1" t="s">
        <v>1190</v>
      </c>
      <c r="H785" s="2"/>
      <c r="I785" s="2"/>
      <c r="J785" s="2"/>
      <c r="K785" s="2"/>
    </row>
    <row x14ac:dyDescent="0.25" r="786" customHeight="1" ht="17.25">
      <c r="A786" s="1" t="s">
        <v>1707</v>
      </c>
      <c r="B786" s="1" t="s">
        <v>1708</v>
      </c>
      <c r="C786" s="1" t="s">
        <v>20</v>
      </c>
      <c r="D786" s="1" t="s">
        <v>1187</v>
      </c>
      <c r="E786" s="1" t="s">
        <v>1188</v>
      </c>
      <c r="F786" s="1" t="s">
        <v>1189</v>
      </c>
      <c r="G786" s="1" t="s">
        <v>1190</v>
      </c>
      <c r="H786" s="2"/>
      <c r="I786" s="2"/>
      <c r="J786" s="2"/>
      <c r="K786" s="2"/>
    </row>
    <row x14ac:dyDescent="0.25" r="787" customHeight="1" ht="17.25">
      <c r="A787" s="1" t="s">
        <v>1709</v>
      </c>
      <c r="B787" s="1" t="s">
        <v>1710</v>
      </c>
      <c r="C787" s="1" t="s">
        <v>20</v>
      </c>
      <c r="D787" s="1" t="s">
        <v>1187</v>
      </c>
      <c r="E787" s="1" t="s">
        <v>1188</v>
      </c>
      <c r="F787" s="1" t="s">
        <v>1189</v>
      </c>
      <c r="G787" s="1" t="s">
        <v>1190</v>
      </c>
      <c r="H787" s="2"/>
      <c r="I787" s="2"/>
      <c r="J787" s="2"/>
      <c r="K787" s="2"/>
    </row>
    <row x14ac:dyDescent="0.25" r="788" customHeight="1" ht="17.25">
      <c r="A788" s="1" t="s">
        <v>1711</v>
      </c>
      <c r="B788" s="1" t="s">
        <v>1712</v>
      </c>
      <c r="C788" s="1" t="s">
        <v>20</v>
      </c>
      <c r="D788" s="1" t="s">
        <v>1187</v>
      </c>
      <c r="E788" s="1" t="s">
        <v>1188</v>
      </c>
      <c r="F788" s="1" t="s">
        <v>1189</v>
      </c>
      <c r="G788" s="1" t="s">
        <v>1190</v>
      </c>
      <c r="H788" s="2"/>
      <c r="I788" s="2"/>
      <c r="J788" s="2"/>
      <c r="K788" s="2"/>
    </row>
    <row x14ac:dyDescent="0.25" r="789" customHeight="1" ht="17.25">
      <c r="A789" s="1" t="s">
        <v>1713</v>
      </c>
      <c r="B789" s="1" t="s">
        <v>1714</v>
      </c>
      <c r="C789" s="1" t="s">
        <v>20</v>
      </c>
      <c r="D789" s="1" t="s">
        <v>1187</v>
      </c>
      <c r="E789" s="1" t="s">
        <v>1188</v>
      </c>
      <c r="F789" s="1" t="s">
        <v>1189</v>
      </c>
      <c r="G789" s="1" t="s">
        <v>1190</v>
      </c>
      <c r="H789" s="2"/>
      <c r="I789" s="2"/>
      <c r="J789" s="2"/>
      <c r="K789" s="2"/>
    </row>
    <row x14ac:dyDescent="0.25" r="790" customHeight="1" ht="17.25">
      <c r="A790" s="1" t="s">
        <v>1715</v>
      </c>
      <c r="B790" s="1" t="s">
        <v>1716</v>
      </c>
      <c r="C790" s="1" t="s">
        <v>20</v>
      </c>
      <c r="D790" s="1" t="s">
        <v>1187</v>
      </c>
      <c r="E790" s="1" t="s">
        <v>1188</v>
      </c>
      <c r="F790" s="1" t="s">
        <v>1189</v>
      </c>
      <c r="G790" s="1" t="s">
        <v>1190</v>
      </c>
      <c r="H790" s="2"/>
      <c r="I790" s="2"/>
      <c r="J790" s="2"/>
      <c r="K790" s="2"/>
    </row>
    <row x14ac:dyDescent="0.25" r="791" customHeight="1" ht="17.25">
      <c r="A791" s="1" t="s">
        <v>1717</v>
      </c>
      <c r="B791" s="1" t="s">
        <v>1718</v>
      </c>
      <c r="C791" s="1" t="s">
        <v>20</v>
      </c>
      <c r="D791" s="1" t="s">
        <v>1187</v>
      </c>
      <c r="E791" s="1" t="s">
        <v>1188</v>
      </c>
      <c r="F791" s="1" t="s">
        <v>1189</v>
      </c>
      <c r="G791" s="1" t="s">
        <v>1190</v>
      </c>
      <c r="H791" s="2"/>
      <c r="I791" s="2"/>
      <c r="J791" s="2"/>
      <c r="K791" s="2"/>
    </row>
    <row x14ac:dyDescent="0.25" r="792" customHeight="1" ht="17.25">
      <c r="A792" s="1" t="s">
        <v>1719</v>
      </c>
      <c r="B792" s="1" t="s">
        <v>1720</v>
      </c>
      <c r="C792" s="1" t="s">
        <v>20</v>
      </c>
      <c r="D792" s="1" t="s">
        <v>1187</v>
      </c>
      <c r="E792" s="1" t="s">
        <v>1188</v>
      </c>
      <c r="F792" s="1" t="s">
        <v>1189</v>
      </c>
      <c r="G792" s="1" t="s">
        <v>1190</v>
      </c>
      <c r="H792" s="2"/>
      <c r="I792" s="2"/>
      <c r="J792" s="2"/>
      <c r="K792" s="2"/>
    </row>
    <row x14ac:dyDescent="0.25" r="793" customHeight="1" ht="17.25">
      <c r="A793" s="1" t="s">
        <v>1721</v>
      </c>
      <c r="B793" s="1" t="s">
        <v>1722</v>
      </c>
      <c r="C793" s="1" t="s">
        <v>20</v>
      </c>
      <c r="D793" s="1" t="s">
        <v>1187</v>
      </c>
      <c r="E793" s="1" t="s">
        <v>1188</v>
      </c>
      <c r="F793" s="1" t="s">
        <v>1189</v>
      </c>
      <c r="G793" s="1" t="s">
        <v>1190</v>
      </c>
      <c r="H793" s="2"/>
      <c r="I793" s="2"/>
      <c r="J793" s="2"/>
      <c r="K793" s="2"/>
    </row>
    <row x14ac:dyDescent="0.25" r="794" customHeight="1" ht="17.25">
      <c r="A794" s="1" t="s">
        <v>1723</v>
      </c>
      <c r="B794" s="1" t="s">
        <v>1724</v>
      </c>
      <c r="C794" s="1" t="s">
        <v>20</v>
      </c>
      <c r="D794" s="1" t="s">
        <v>1187</v>
      </c>
      <c r="E794" s="1" t="s">
        <v>1188</v>
      </c>
      <c r="F794" s="1" t="s">
        <v>1189</v>
      </c>
      <c r="G794" s="1" t="s">
        <v>1190</v>
      </c>
      <c r="H794" s="2"/>
      <c r="I794" s="2"/>
      <c r="J794" s="2"/>
      <c r="K794" s="2"/>
    </row>
    <row x14ac:dyDescent="0.25" r="795" customHeight="1" ht="17.25">
      <c r="A795" s="1" t="s">
        <v>1725</v>
      </c>
      <c r="B795" s="1" t="s">
        <v>1726</v>
      </c>
      <c r="C795" s="1" t="s">
        <v>20</v>
      </c>
      <c r="D795" s="1" t="s">
        <v>1187</v>
      </c>
      <c r="E795" s="1" t="s">
        <v>1188</v>
      </c>
      <c r="F795" s="1" t="s">
        <v>1189</v>
      </c>
      <c r="G795" s="1" t="s">
        <v>1190</v>
      </c>
      <c r="H795" s="2"/>
      <c r="I795" s="2"/>
      <c r="J795" s="2"/>
      <c r="K795" s="2"/>
    </row>
    <row x14ac:dyDescent="0.25" r="796" customHeight="1" ht="17.25">
      <c r="A796" s="1" t="s">
        <v>1727</v>
      </c>
      <c r="B796" s="1" t="s">
        <v>1728</v>
      </c>
      <c r="C796" s="1" t="s">
        <v>20</v>
      </c>
      <c r="D796" s="1" t="s">
        <v>1187</v>
      </c>
      <c r="E796" s="1" t="s">
        <v>1188</v>
      </c>
      <c r="F796" s="1" t="s">
        <v>1189</v>
      </c>
      <c r="G796" s="1" t="s">
        <v>1190</v>
      </c>
      <c r="H796" s="2"/>
      <c r="I796" s="2"/>
      <c r="J796" s="2"/>
      <c r="K796" s="2"/>
    </row>
    <row x14ac:dyDescent="0.25" r="797" customHeight="1" ht="17.25">
      <c r="A797" s="1" t="s">
        <v>1729</v>
      </c>
      <c r="B797" s="1" t="s">
        <v>1730</v>
      </c>
      <c r="C797" s="1" t="s">
        <v>20</v>
      </c>
      <c r="D797" s="1" t="s">
        <v>1187</v>
      </c>
      <c r="E797" s="1" t="s">
        <v>1188</v>
      </c>
      <c r="F797" s="1" t="s">
        <v>1189</v>
      </c>
      <c r="G797" s="1" t="s">
        <v>1190</v>
      </c>
      <c r="H797" s="2"/>
      <c r="I797" s="2"/>
      <c r="J797" s="2"/>
      <c r="K797" s="2"/>
    </row>
    <row x14ac:dyDescent="0.25" r="798" customHeight="1" ht="17.25">
      <c r="A798" s="1" t="s">
        <v>1731</v>
      </c>
      <c r="B798" s="1" t="s">
        <v>1732</v>
      </c>
      <c r="C798" s="1" t="s">
        <v>20</v>
      </c>
      <c r="D798" s="1" t="s">
        <v>1187</v>
      </c>
      <c r="E798" s="1" t="s">
        <v>1188</v>
      </c>
      <c r="F798" s="1" t="s">
        <v>1189</v>
      </c>
      <c r="G798" s="1" t="s">
        <v>1190</v>
      </c>
      <c r="H798" s="2"/>
      <c r="I798" s="2"/>
      <c r="J798" s="2"/>
      <c r="K798" s="2"/>
    </row>
    <row x14ac:dyDescent="0.25" r="799" customHeight="1" ht="17.25">
      <c r="A799" s="1" t="s">
        <v>1733</v>
      </c>
      <c r="B799" s="1" t="s">
        <v>1734</v>
      </c>
      <c r="C799" s="1" t="s">
        <v>20</v>
      </c>
      <c r="D799" s="1" t="s">
        <v>1187</v>
      </c>
      <c r="E799" s="1" t="s">
        <v>1188</v>
      </c>
      <c r="F799" s="1" t="s">
        <v>1189</v>
      </c>
      <c r="G799" s="1" t="s">
        <v>1190</v>
      </c>
      <c r="H799" s="2"/>
      <c r="I799" s="2"/>
      <c r="J799" s="2"/>
      <c r="K799" s="2"/>
    </row>
    <row x14ac:dyDescent="0.25" r="800" customHeight="1" ht="17.25">
      <c r="A800" s="1" t="s">
        <v>1735</v>
      </c>
      <c r="B800" s="1" t="s">
        <v>1736</v>
      </c>
      <c r="C800" s="1" t="s">
        <v>20</v>
      </c>
      <c r="D800" s="1" t="s">
        <v>1187</v>
      </c>
      <c r="E800" s="1" t="s">
        <v>1188</v>
      </c>
      <c r="F800" s="1" t="s">
        <v>1189</v>
      </c>
      <c r="G800" s="1" t="s">
        <v>1190</v>
      </c>
      <c r="H800" s="2"/>
      <c r="I800" s="2"/>
      <c r="J800" s="2"/>
      <c r="K800" s="2"/>
    </row>
    <row x14ac:dyDescent="0.25" r="801" customHeight="1" ht="17.25">
      <c r="A801" s="1" t="s">
        <v>1737</v>
      </c>
      <c r="B801" s="1" t="s">
        <v>1738</v>
      </c>
      <c r="C801" s="1" t="s">
        <v>20</v>
      </c>
      <c r="D801" s="1" t="s">
        <v>1187</v>
      </c>
      <c r="E801" s="1" t="s">
        <v>1188</v>
      </c>
      <c r="F801" s="1" t="s">
        <v>1189</v>
      </c>
      <c r="G801" s="1" t="s">
        <v>1190</v>
      </c>
      <c r="H801" s="2"/>
      <c r="I801" s="2"/>
      <c r="J801" s="2"/>
      <c r="K801" s="2"/>
    </row>
    <row x14ac:dyDescent="0.25" r="802" customHeight="1" ht="17.25">
      <c r="A802" s="1" t="s">
        <v>1739</v>
      </c>
      <c r="B802" s="1" t="s">
        <v>1740</v>
      </c>
      <c r="C802" s="1" t="s">
        <v>20</v>
      </c>
      <c r="D802" s="1" t="s">
        <v>1187</v>
      </c>
      <c r="E802" s="1" t="s">
        <v>1188</v>
      </c>
      <c r="F802" s="1" t="s">
        <v>1189</v>
      </c>
      <c r="G802" s="1" t="s">
        <v>1190</v>
      </c>
      <c r="H802" s="2"/>
      <c r="I802" s="2"/>
      <c r="J802" s="2"/>
      <c r="K802" s="2"/>
    </row>
    <row x14ac:dyDescent="0.25" r="803" customHeight="1" ht="17.25">
      <c r="A803" s="1" t="s">
        <v>1741</v>
      </c>
      <c r="B803" s="1" t="s">
        <v>1742</v>
      </c>
      <c r="C803" s="1" t="s">
        <v>20</v>
      </c>
      <c r="D803" s="1" t="s">
        <v>1187</v>
      </c>
      <c r="E803" s="1" t="s">
        <v>1188</v>
      </c>
      <c r="F803" s="1" t="s">
        <v>1189</v>
      </c>
      <c r="G803" s="1" t="s">
        <v>1190</v>
      </c>
      <c r="H803" s="2"/>
      <c r="I803" s="2"/>
      <c r="J803" s="2"/>
      <c r="K803" s="2"/>
    </row>
    <row x14ac:dyDescent="0.25" r="804" customHeight="1" ht="17.25">
      <c r="A804" s="1" t="s">
        <v>1743</v>
      </c>
      <c r="B804" s="1" t="s">
        <v>1744</v>
      </c>
      <c r="C804" s="1" t="s">
        <v>20</v>
      </c>
      <c r="D804" s="1" t="s">
        <v>1187</v>
      </c>
      <c r="E804" s="1" t="s">
        <v>1188</v>
      </c>
      <c r="F804" s="1" t="s">
        <v>1189</v>
      </c>
      <c r="G804" s="1" t="s">
        <v>1190</v>
      </c>
      <c r="H804" s="2"/>
      <c r="I804" s="2"/>
      <c r="J804" s="2"/>
      <c r="K804" s="2"/>
    </row>
    <row x14ac:dyDescent="0.25" r="805" customHeight="1" ht="17.25">
      <c r="A805" s="1" t="s">
        <v>1745</v>
      </c>
      <c r="B805" s="1" t="s">
        <v>1746</v>
      </c>
      <c r="C805" s="1" t="s">
        <v>20</v>
      </c>
      <c r="D805" s="1" t="s">
        <v>1187</v>
      </c>
      <c r="E805" s="1" t="s">
        <v>1188</v>
      </c>
      <c r="F805" s="1" t="s">
        <v>1189</v>
      </c>
      <c r="G805" s="1" t="s">
        <v>1190</v>
      </c>
      <c r="H805" s="2"/>
      <c r="I805" s="2"/>
      <c r="J805" s="2"/>
      <c r="K805" s="2"/>
    </row>
    <row x14ac:dyDescent="0.25" r="806" customHeight="1" ht="17.25">
      <c r="A806" s="1" t="s">
        <v>1747</v>
      </c>
      <c r="B806" s="1" t="s">
        <v>1748</v>
      </c>
      <c r="C806" s="1" t="s">
        <v>20</v>
      </c>
      <c r="D806" s="1" t="s">
        <v>1187</v>
      </c>
      <c r="E806" s="1" t="s">
        <v>1188</v>
      </c>
      <c r="F806" s="1" t="s">
        <v>1189</v>
      </c>
      <c r="G806" s="1" t="s">
        <v>1190</v>
      </c>
      <c r="H806" s="2"/>
      <c r="I806" s="2"/>
      <c r="J806" s="2"/>
      <c r="K806" s="2"/>
    </row>
    <row x14ac:dyDescent="0.25" r="807" customHeight="1" ht="17.25">
      <c r="A807" s="1" t="s">
        <v>1749</v>
      </c>
      <c r="B807" s="1" t="s">
        <v>1750</v>
      </c>
      <c r="C807" s="1" t="s">
        <v>20</v>
      </c>
      <c r="D807" s="1" t="s">
        <v>1187</v>
      </c>
      <c r="E807" s="1" t="s">
        <v>1188</v>
      </c>
      <c r="F807" s="1" t="s">
        <v>1189</v>
      </c>
      <c r="G807" s="1" t="s">
        <v>1190</v>
      </c>
      <c r="H807" s="2"/>
      <c r="I807" s="2"/>
      <c r="J807" s="2"/>
      <c r="K807" s="2"/>
    </row>
    <row x14ac:dyDescent="0.25" r="808" customHeight="1" ht="17.25">
      <c r="A808" s="1" t="s">
        <v>1751</v>
      </c>
      <c r="B808" s="1" t="s">
        <v>1752</v>
      </c>
      <c r="C808" s="1" t="s">
        <v>20</v>
      </c>
      <c r="D808" s="1" t="s">
        <v>1187</v>
      </c>
      <c r="E808" s="1" t="s">
        <v>1188</v>
      </c>
      <c r="F808" s="1" t="s">
        <v>1189</v>
      </c>
      <c r="G808" s="1" t="s">
        <v>1190</v>
      </c>
      <c r="H808" s="2"/>
      <c r="I808" s="2"/>
      <c r="J808" s="2"/>
      <c r="K808" s="2"/>
    </row>
    <row x14ac:dyDescent="0.25" r="809" customHeight="1" ht="17.25">
      <c r="A809" s="1" t="s">
        <v>1753</v>
      </c>
      <c r="B809" s="1" t="s">
        <v>1754</v>
      </c>
      <c r="C809" s="1" t="s">
        <v>20</v>
      </c>
      <c r="D809" s="1" t="s">
        <v>1187</v>
      </c>
      <c r="E809" s="1" t="s">
        <v>1188</v>
      </c>
      <c r="F809" s="1" t="s">
        <v>1189</v>
      </c>
      <c r="G809" s="1" t="s">
        <v>1190</v>
      </c>
      <c r="H809" s="2"/>
      <c r="I809" s="2"/>
      <c r="J809" s="2"/>
      <c r="K809" s="2"/>
    </row>
    <row x14ac:dyDescent="0.25" r="810" customHeight="1" ht="17.25">
      <c r="A810" s="1" t="s">
        <v>1755</v>
      </c>
      <c r="B810" s="1" t="s">
        <v>1756</v>
      </c>
      <c r="C810" s="1" t="s">
        <v>20</v>
      </c>
      <c r="D810" s="1" t="s">
        <v>1187</v>
      </c>
      <c r="E810" s="1" t="s">
        <v>1188</v>
      </c>
      <c r="F810" s="1" t="s">
        <v>1189</v>
      </c>
      <c r="G810" s="1" t="s">
        <v>1190</v>
      </c>
      <c r="H810" s="2"/>
      <c r="I810" s="2"/>
      <c r="J810" s="2"/>
      <c r="K810" s="2"/>
    </row>
    <row x14ac:dyDescent="0.25" r="811" customHeight="1" ht="17.25">
      <c r="A811" s="1" t="s">
        <v>1757</v>
      </c>
      <c r="B811" s="1" t="s">
        <v>1758</v>
      </c>
      <c r="C811" s="1" t="s">
        <v>20</v>
      </c>
      <c r="D811" s="1" t="s">
        <v>1187</v>
      </c>
      <c r="E811" s="1" t="s">
        <v>1188</v>
      </c>
      <c r="F811" s="1" t="s">
        <v>1189</v>
      </c>
      <c r="G811" s="1" t="s">
        <v>1190</v>
      </c>
      <c r="H811" s="2"/>
      <c r="I811" s="2"/>
      <c r="J811" s="2"/>
      <c r="K811" s="2"/>
    </row>
    <row x14ac:dyDescent="0.25" r="812" customHeight="1" ht="17.25">
      <c r="A812" s="1" t="s">
        <v>1759</v>
      </c>
      <c r="B812" s="1" t="s">
        <v>1760</v>
      </c>
      <c r="C812" s="1" t="s">
        <v>20</v>
      </c>
      <c r="D812" s="1" t="s">
        <v>1187</v>
      </c>
      <c r="E812" s="1" t="s">
        <v>1188</v>
      </c>
      <c r="F812" s="1" t="s">
        <v>1189</v>
      </c>
      <c r="G812" s="1" t="s">
        <v>1190</v>
      </c>
      <c r="H812" s="2"/>
      <c r="I812" s="2"/>
      <c r="J812" s="2"/>
      <c r="K812" s="2"/>
    </row>
    <row x14ac:dyDescent="0.25" r="813" customHeight="1" ht="17.25">
      <c r="A813" s="1" t="s">
        <v>1761</v>
      </c>
      <c r="B813" s="1" t="s">
        <v>1762</v>
      </c>
      <c r="C813" s="1" t="s">
        <v>20</v>
      </c>
      <c r="D813" s="1" t="s">
        <v>1187</v>
      </c>
      <c r="E813" s="1" t="s">
        <v>1188</v>
      </c>
      <c r="F813" s="1" t="s">
        <v>1189</v>
      </c>
      <c r="G813" s="1" t="s">
        <v>1190</v>
      </c>
      <c r="H813" s="2"/>
      <c r="I813" s="2"/>
      <c r="J813" s="2"/>
      <c r="K813" s="2"/>
    </row>
    <row x14ac:dyDescent="0.25" r="814" customHeight="1" ht="17.25">
      <c r="A814" s="1" t="s">
        <v>1763</v>
      </c>
      <c r="B814" s="1" t="s">
        <v>1764</v>
      </c>
      <c r="C814" s="1" t="s">
        <v>20</v>
      </c>
      <c r="D814" s="1" t="s">
        <v>1187</v>
      </c>
      <c r="E814" s="1" t="s">
        <v>1188</v>
      </c>
      <c r="F814" s="1" t="s">
        <v>1189</v>
      </c>
      <c r="G814" s="1" t="s">
        <v>1190</v>
      </c>
      <c r="H814" s="2"/>
      <c r="I814" s="2"/>
      <c r="J814" s="2"/>
      <c r="K814" s="2"/>
    </row>
    <row x14ac:dyDescent="0.25" r="815" customHeight="1" ht="17.25">
      <c r="A815" s="1" t="s">
        <v>1765</v>
      </c>
      <c r="B815" s="1" t="s">
        <v>1766</v>
      </c>
      <c r="C815" s="1" t="s">
        <v>20</v>
      </c>
      <c r="D815" s="1" t="s">
        <v>1187</v>
      </c>
      <c r="E815" s="1" t="s">
        <v>1188</v>
      </c>
      <c r="F815" s="1" t="s">
        <v>1189</v>
      </c>
      <c r="G815" s="1" t="s">
        <v>1190</v>
      </c>
      <c r="H815" s="2"/>
      <c r="I815" s="2"/>
      <c r="J815" s="2"/>
      <c r="K815" s="2"/>
    </row>
    <row x14ac:dyDescent="0.25" r="816" customHeight="1" ht="17.25">
      <c r="A816" s="1" t="s">
        <v>1767</v>
      </c>
      <c r="B816" s="1" t="s">
        <v>1768</v>
      </c>
      <c r="C816" s="1" t="s">
        <v>20</v>
      </c>
      <c r="D816" s="1" t="s">
        <v>1187</v>
      </c>
      <c r="E816" s="1" t="s">
        <v>1188</v>
      </c>
      <c r="F816" s="1" t="s">
        <v>1189</v>
      </c>
      <c r="G816" s="1" t="s">
        <v>1190</v>
      </c>
      <c r="H816" s="2"/>
      <c r="I816" s="2"/>
      <c r="J816" s="2"/>
      <c r="K816" s="2"/>
    </row>
    <row x14ac:dyDescent="0.25" r="817" customHeight="1" ht="17.25">
      <c r="A817" s="1" t="s">
        <v>1769</v>
      </c>
      <c r="B817" s="1" t="s">
        <v>1770</v>
      </c>
      <c r="C817" s="1" t="s">
        <v>20</v>
      </c>
      <c r="D817" s="1" t="s">
        <v>1187</v>
      </c>
      <c r="E817" s="1" t="s">
        <v>1188</v>
      </c>
      <c r="F817" s="1" t="s">
        <v>1189</v>
      </c>
      <c r="G817" s="1" t="s">
        <v>1190</v>
      </c>
      <c r="H817" s="2"/>
      <c r="I817" s="2"/>
      <c r="J817" s="2"/>
      <c r="K817" s="2"/>
    </row>
    <row x14ac:dyDescent="0.25" r="818" customHeight="1" ht="17.25">
      <c r="A818" s="1" t="s">
        <v>1771</v>
      </c>
      <c r="B818" s="1" t="s">
        <v>1772</v>
      </c>
      <c r="C818" s="1" t="s">
        <v>20</v>
      </c>
      <c r="D818" s="1" t="s">
        <v>1187</v>
      </c>
      <c r="E818" s="1" t="s">
        <v>1188</v>
      </c>
      <c r="F818" s="1" t="s">
        <v>1189</v>
      </c>
      <c r="G818" s="1" t="s">
        <v>1190</v>
      </c>
      <c r="H818" s="2"/>
      <c r="I818" s="2"/>
      <c r="J818" s="2"/>
      <c r="K818" s="2"/>
    </row>
    <row x14ac:dyDescent="0.25" r="819" customHeight="1" ht="17.25">
      <c r="A819" s="1" t="s">
        <v>1773</v>
      </c>
      <c r="B819" s="1" t="s">
        <v>1774</v>
      </c>
      <c r="C819" s="1" t="s">
        <v>20</v>
      </c>
      <c r="D819" s="1" t="s">
        <v>1187</v>
      </c>
      <c r="E819" s="1" t="s">
        <v>1188</v>
      </c>
      <c r="F819" s="1" t="s">
        <v>1189</v>
      </c>
      <c r="G819" s="1" t="s">
        <v>1190</v>
      </c>
      <c r="H819" s="2"/>
      <c r="I819" s="2"/>
      <c r="J819" s="2"/>
      <c r="K819" s="2"/>
    </row>
    <row x14ac:dyDescent="0.25" r="820" customHeight="1" ht="17.25">
      <c r="A820" s="1" t="s">
        <v>1775</v>
      </c>
      <c r="B820" s="1" t="s">
        <v>1776</v>
      </c>
      <c r="C820" s="1" t="s">
        <v>20</v>
      </c>
      <c r="D820" s="1" t="s">
        <v>1187</v>
      </c>
      <c r="E820" s="1" t="s">
        <v>1188</v>
      </c>
      <c r="F820" s="1" t="s">
        <v>1189</v>
      </c>
      <c r="G820" s="1" t="s">
        <v>1190</v>
      </c>
      <c r="H820" s="2"/>
      <c r="I820" s="2"/>
      <c r="J820" s="2"/>
      <c r="K820" s="2"/>
    </row>
    <row x14ac:dyDescent="0.25" r="821" customHeight="1" ht="17.25">
      <c r="A821" s="1" t="s">
        <v>1777</v>
      </c>
      <c r="B821" s="1" t="s">
        <v>1778</v>
      </c>
      <c r="C821" s="1" t="s">
        <v>20</v>
      </c>
      <c r="D821" s="1" t="s">
        <v>1187</v>
      </c>
      <c r="E821" s="1" t="s">
        <v>1188</v>
      </c>
      <c r="F821" s="1" t="s">
        <v>1189</v>
      </c>
      <c r="G821" s="1" t="s">
        <v>1190</v>
      </c>
      <c r="H821" s="2"/>
      <c r="I821" s="2"/>
      <c r="J821" s="2"/>
      <c r="K821" s="2"/>
    </row>
    <row x14ac:dyDescent="0.25" r="822" customHeight="1" ht="17.25">
      <c r="A822" s="1" t="s">
        <v>1779</v>
      </c>
      <c r="B822" s="1" t="s">
        <v>1780</v>
      </c>
      <c r="C822" s="1" t="s">
        <v>20</v>
      </c>
      <c r="D822" s="1" t="s">
        <v>1187</v>
      </c>
      <c r="E822" s="1" t="s">
        <v>1188</v>
      </c>
      <c r="F822" s="1" t="s">
        <v>1189</v>
      </c>
      <c r="G822" s="1" t="s">
        <v>1190</v>
      </c>
      <c r="H822" s="2"/>
      <c r="I822" s="2"/>
      <c r="J822" s="2"/>
      <c r="K822" s="2"/>
    </row>
    <row x14ac:dyDescent="0.25" r="823" customHeight="1" ht="17.25">
      <c r="A823" s="1" t="s">
        <v>1781</v>
      </c>
      <c r="B823" s="1" t="s">
        <v>1782</v>
      </c>
      <c r="C823" s="1" t="s">
        <v>20</v>
      </c>
      <c r="D823" s="1" t="s">
        <v>1187</v>
      </c>
      <c r="E823" s="1" t="s">
        <v>1188</v>
      </c>
      <c r="F823" s="1" t="s">
        <v>1189</v>
      </c>
      <c r="G823" s="1" t="s">
        <v>1190</v>
      </c>
      <c r="H823" s="2"/>
      <c r="I823" s="2"/>
      <c r="J823" s="2"/>
      <c r="K823" s="2"/>
    </row>
    <row x14ac:dyDescent="0.25" r="824" customHeight="1" ht="17.25">
      <c r="A824" s="1" t="s">
        <v>1783</v>
      </c>
      <c r="B824" s="1" t="s">
        <v>1784</v>
      </c>
      <c r="C824" s="1" t="s">
        <v>20</v>
      </c>
      <c r="D824" s="1" t="s">
        <v>1187</v>
      </c>
      <c r="E824" s="1" t="s">
        <v>1188</v>
      </c>
      <c r="F824" s="1" t="s">
        <v>1189</v>
      </c>
      <c r="G824" s="1" t="s">
        <v>1190</v>
      </c>
      <c r="H824" s="2"/>
      <c r="I824" s="2"/>
      <c r="J824" s="2"/>
      <c r="K824" s="2"/>
    </row>
    <row x14ac:dyDescent="0.25" r="825" customHeight="1" ht="17.25">
      <c r="A825" s="1" t="s">
        <v>1785</v>
      </c>
      <c r="B825" s="1" t="s">
        <v>1786</v>
      </c>
      <c r="C825" s="1" t="s">
        <v>20</v>
      </c>
      <c r="D825" s="1" t="s">
        <v>1187</v>
      </c>
      <c r="E825" s="1" t="s">
        <v>1188</v>
      </c>
      <c r="F825" s="1" t="s">
        <v>1189</v>
      </c>
      <c r="G825" s="1" t="s">
        <v>1190</v>
      </c>
      <c r="H825" s="2"/>
      <c r="I825" s="2"/>
      <c r="J825" s="2"/>
      <c r="K825" s="2"/>
    </row>
    <row x14ac:dyDescent="0.25" r="826" customHeight="1" ht="17.25">
      <c r="A826" s="1" t="s">
        <v>1787</v>
      </c>
      <c r="B826" s="1" t="s">
        <v>1788</v>
      </c>
      <c r="C826" s="1" t="s">
        <v>20</v>
      </c>
      <c r="D826" s="1" t="s">
        <v>1187</v>
      </c>
      <c r="E826" s="1" t="s">
        <v>1188</v>
      </c>
      <c r="F826" s="1" t="s">
        <v>1189</v>
      </c>
      <c r="G826" s="1" t="s">
        <v>1190</v>
      </c>
      <c r="H826" s="2"/>
      <c r="I826" s="2"/>
      <c r="J826" s="2"/>
      <c r="K826" s="2"/>
    </row>
    <row x14ac:dyDescent="0.25" r="827" customHeight="1" ht="17.25">
      <c r="A827" s="1" t="s">
        <v>1789</v>
      </c>
      <c r="B827" s="1" t="s">
        <v>1790</v>
      </c>
      <c r="C827" s="1" t="s">
        <v>20</v>
      </c>
      <c r="D827" s="1" t="s">
        <v>1187</v>
      </c>
      <c r="E827" s="1" t="s">
        <v>1188</v>
      </c>
      <c r="F827" s="1" t="s">
        <v>1189</v>
      </c>
      <c r="G827" s="1" t="s">
        <v>1190</v>
      </c>
      <c r="H827" s="2"/>
      <c r="I827" s="2"/>
      <c r="J827" s="2"/>
      <c r="K827" s="2"/>
    </row>
    <row x14ac:dyDescent="0.25" r="828" customHeight="1" ht="17.25">
      <c r="A828" s="1" t="s">
        <v>1791</v>
      </c>
      <c r="B828" s="1" t="s">
        <v>1792</v>
      </c>
      <c r="C828" s="1" t="s">
        <v>20</v>
      </c>
      <c r="D828" s="1" t="s">
        <v>1187</v>
      </c>
      <c r="E828" s="1" t="s">
        <v>1188</v>
      </c>
      <c r="F828" s="1" t="s">
        <v>1189</v>
      </c>
      <c r="G828" s="1" t="s">
        <v>1190</v>
      </c>
      <c r="H828" s="2"/>
      <c r="I828" s="2"/>
      <c r="J828" s="2"/>
      <c r="K828" s="2"/>
    </row>
    <row x14ac:dyDescent="0.25" r="829" customHeight="1" ht="17.25">
      <c r="A829" s="1" t="s">
        <v>1793</v>
      </c>
      <c r="B829" s="1" t="s">
        <v>1794</v>
      </c>
      <c r="C829" s="1" t="s">
        <v>20</v>
      </c>
      <c r="D829" s="1" t="s">
        <v>1187</v>
      </c>
      <c r="E829" s="1" t="s">
        <v>1188</v>
      </c>
      <c r="F829" s="1" t="s">
        <v>1189</v>
      </c>
      <c r="G829" s="1" t="s">
        <v>1190</v>
      </c>
      <c r="H829" s="2"/>
      <c r="I829" s="2"/>
      <c r="J829" s="2"/>
      <c r="K829" s="2"/>
    </row>
    <row x14ac:dyDescent="0.25" r="830" customHeight="1" ht="17.25">
      <c r="A830" s="1" t="s">
        <v>1795</v>
      </c>
      <c r="B830" s="1" t="s">
        <v>1796</v>
      </c>
      <c r="C830" s="1" t="s">
        <v>20</v>
      </c>
      <c r="D830" s="1" t="s">
        <v>1187</v>
      </c>
      <c r="E830" s="1" t="s">
        <v>1188</v>
      </c>
      <c r="F830" s="1" t="s">
        <v>1189</v>
      </c>
      <c r="G830" s="1" t="s">
        <v>1190</v>
      </c>
      <c r="H830" s="2"/>
      <c r="I830" s="2"/>
      <c r="J830" s="2"/>
      <c r="K830" s="2"/>
    </row>
    <row x14ac:dyDescent="0.25" r="831" customHeight="1" ht="17.25">
      <c r="A831" s="1" t="s">
        <v>1797</v>
      </c>
      <c r="B831" s="1" t="s">
        <v>1798</v>
      </c>
      <c r="C831" s="1" t="s">
        <v>20</v>
      </c>
      <c r="D831" s="1" t="s">
        <v>1187</v>
      </c>
      <c r="E831" s="1" t="s">
        <v>1188</v>
      </c>
      <c r="F831" s="1" t="s">
        <v>1189</v>
      </c>
      <c r="G831" s="1" t="s">
        <v>1190</v>
      </c>
      <c r="H831" s="2"/>
      <c r="I831" s="2"/>
      <c r="J831" s="2"/>
      <c r="K831" s="2"/>
    </row>
    <row x14ac:dyDescent="0.25" r="832" customHeight="1" ht="17.25">
      <c r="A832" s="1" t="s">
        <v>1799</v>
      </c>
      <c r="B832" s="1" t="s">
        <v>1800</v>
      </c>
      <c r="C832" s="1" t="s">
        <v>20</v>
      </c>
      <c r="D832" s="1" t="s">
        <v>1187</v>
      </c>
      <c r="E832" s="1" t="s">
        <v>1188</v>
      </c>
      <c r="F832" s="1" t="s">
        <v>1189</v>
      </c>
      <c r="G832" s="1" t="s">
        <v>1190</v>
      </c>
      <c r="H832" s="2"/>
      <c r="I832" s="2"/>
      <c r="J832" s="2"/>
      <c r="K832" s="2"/>
    </row>
    <row x14ac:dyDescent="0.25" r="833" customHeight="1" ht="17.25">
      <c r="A833" s="1" t="s">
        <v>1801</v>
      </c>
      <c r="B833" s="1" t="s">
        <v>1802</v>
      </c>
      <c r="C833" s="1" t="s">
        <v>20</v>
      </c>
      <c r="D833" s="1" t="s">
        <v>1187</v>
      </c>
      <c r="E833" s="1" t="s">
        <v>1188</v>
      </c>
      <c r="F833" s="1" t="s">
        <v>1189</v>
      </c>
      <c r="G833" s="1" t="s">
        <v>1190</v>
      </c>
      <c r="H833" s="2"/>
      <c r="I833" s="2"/>
      <c r="J833" s="2"/>
      <c r="K833" s="2"/>
    </row>
    <row x14ac:dyDescent="0.25" r="834" customHeight="1" ht="17.25">
      <c r="A834" s="1" t="s">
        <v>1803</v>
      </c>
      <c r="B834" s="1" t="s">
        <v>1804</v>
      </c>
      <c r="C834" s="1" t="s">
        <v>20</v>
      </c>
      <c r="D834" s="1" t="s">
        <v>1187</v>
      </c>
      <c r="E834" s="1" t="s">
        <v>1188</v>
      </c>
      <c r="F834" s="1" t="s">
        <v>1189</v>
      </c>
      <c r="G834" s="1" t="s">
        <v>1190</v>
      </c>
      <c r="H834" s="2"/>
      <c r="I834" s="2"/>
      <c r="J834" s="2"/>
      <c r="K834" s="2"/>
    </row>
    <row x14ac:dyDescent="0.25" r="835" customHeight="1" ht="17.25">
      <c r="A835" s="1" t="s">
        <v>1805</v>
      </c>
      <c r="B835" s="1" t="s">
        <v>1806</v>
      </c>
      <c r="C835" s="1" t="s">
        <v>20</v>
      </c>
      <c r="D835" s="1" t="s">
        <v>1187</v>
      </c>
      <c r="E835" s="1" t="s">
        <v>1188</v>
      </c>
      <c r="F835" s="1" t="s">
        <v>1189</v>
      </c>
      <c r="G835" s="1" t="s">
        <v>1190</v>
      </c>
      <c r="H835" s="2"/>
      <c r="I835" s="2"/>
      <c r="J835" s="2"/>
      <c r="K835" s="2"/>
    </row>
    <row x14ac:dyDescent="0.25" r="836" customHeight="1" ht="17.25">
      <c r="A836" s="1" t="s">
        <v>1807</v>
      </c>
      <c r="B836" s="1" t="s">
        <v>1808</v>
      </c>
      <c r="C836" s="1" t="s">
        <v>20</v>
      </c>
      <c r="D836" s="1" t="s">
        <v>1187</v>
      </c>
      <c r="E836" s="1" t="s">
        <v>1188</v>
      </c>
      <c r="F836" s="1" t="s">
        <v>1189</v>
      </c>
      <c r="G836" s="1" t="s">
        <v>1190</v>
      </c>
      <c r="H836" s="2"/>
      <c r="I836" s="2"/>
      <c r="J836" s="2"/>
      <c r="K836" s="2"/>
    </row>
    <row x14ac:dyDescent="0.25" r="837" customHeight="1" ht="17.25">
      <c r="A837" s="1" t="s">
        <v>1809</v>
      </c>
      <c r="B837" s="1" t="s">
        <v>1810</v>
      </c>
      <c r="C837" s="1" t="s">
        <v>20</v>
      </c>
      <c r="D837" s="1" t="s">
        <v>1187</v>
      </c>
      <c r="E837" s="1" t="s">
        <v>1188</v>
      </c>
      <c r="F837" s="1" t="s">
        <v>1189</v>
      </c>
      <c r="G837" s="1" t="s">
        <v>1190</v>
      </c>
      <c r="H837" s="2"/>
      <c r="I837" s="2"/>
      <c r="J837" s="2"/>
      <c r="K837" s="2"/>
    </row>
    <row x14ac:dyDescent="0.25" r="838" customHeight="1" ht="17.25">
      <c r="A838" s="1" t="s">
        <v>1811</v>
      </c>
      <c r="B838" s="1" t="s">
        <v>1812</v>
      </c>
      <c r="C838" s="1" t="s">
        <v>20</v>
      </c>
      <c r="D838" s="1" t="s">
        <v>1187</v>
      </c>
      <c r="E838" s="1" t="s">
        <v>1188</v>
      </c>
      <c r="F838" s="1" t="s">
        <v>1189</v>
      </c>
      <c r="G838" s="1" t="s">
        <v>1190</v>
      </c>
      <c r="H838" s="2"/>
      <c r="I838" s="2"/>
      <c r="J838" s="2"/>
      <c r="K838" s="2"/>
    </row>
    <row x14ac:dyDescent="0.25" r="839" customHeight="1" ht="17.25">
      <c r="A839" s="1" t="s">
        <v>1813</v>
      </c>
      <c r="B839" s="1" t="s">
        <v>1814</v>
      </c>
      <c r="C839" s="1" t="s">
        <v>20</v>
      </c>
      <c r="D839" s="1" t="s">
        <v>1187</v>
      </c>
      <c r="E839" s="1" t="s">
        <v>1188</v>
      </c>
      <c r="F839" s="1" t="s">
        <v>1189</v>
      </c>
      <c r="G839" s="1" t="s">
        <v>1190</v>
      </c>
      <c r="H839" s="2"/>
      <c r="I839" s="2"/>
      <c r="J839" s="2"/>
      <c r="K839" s="2"/>
    </row>
    <row x14ac:dyDescent="0.25" r="840" customHeight="1" ht="17.25">
      <c r="A840" s="1" t="s">
        <v>1815</v>
      </c>
      <c r="B840" s="1" t="s">
        <v>1816</v>
      </c>
      <c r="C840" s="1" t="s">
        <v>20</v>
      </c>
      <c r="D840" s="1" t="s">
        <v>1187</v>
      </c>
      <c r="E840" s="1" t="s">
        <v>1188</v>
      </c>
      <c r="F840" s="1" t="s">
        <v>1189</v>
      </c>
      <c r="G840" s="1" t="s">
        <v>1190</v>
      </c>
      <c r="H840" s="2"/>
      <c r="I840" s="2"/>
      <c r="J840" s="2"/>
      <c r="K840" s="2"/>
    </row>
    <row x14ac:dyDescent="0.25" r="841" customHeight="1" ht="17.25">
      <c r="A841" s="1" t="s">
        <v>1817</v>
      </c>
      <c r="B841" s="1" t="s">
        <v>1818</v>
      </c>
      <c r="C841" s="1" t="s">
        <v>20</v>
      </c>
      <c r="D841" s="1" t="s">
        <v>1187</v>
      </c>
      <c r="E841" s="1" t="s">
        <v>1188</v>
      </c>
      <c r="F841" s="1" t="s">
        <v>1189</v>
      </c>
      <c r="G841" s="1" t="s">
        <v>1190</v>
      </c>
      <c r="H841" s="2"/>
      <c r="I841" s="2"/>
      <c r="J841" s="2"/>
      <c r="K841" s="2"/>
    </row>
    <row x14ac:dyDescent="0.25" r="842" customHeight="1" ht="17.25">
      <c r="A842" s="1" t="s">
        <v>1819</v>
      </c>
      <c r="B842" s="1" t="s">
        <v>1820</v>
      </c>
      <c r="C842" s="1" t="s">
        <v>20</v>
      </c>
      <c r="D842" s="1" t="s">
        <v>1187</v>
      </c>
      <c r="E842" s="1" t="s">
        <v>1188</v>
      </c>
      <c r="F842" s="1" t="s">
        <v>1189</v>
      </c>
      <c r="G842" s="1" t="s">
        <v>1190</v>
      </c>
      <c r="H842" s="2"/>
      <c r="I842" s="2"/>
      <c r="J842" s="2"/>
      <c r="K842" s="2"/>
    </row>
    <row x14ac:dyDescent="0.25" r="843" customHeight="1" ht="17.25">
      <c r="A843" s="1" t="s">
        <v>1821</v>
      </c>
      <c r="B843" s="1" t="s">
        <v>1822</v>
      </c>
      <c r="C843" s="1" t="s">
        <v>20</v>
      </c>
      <c r="D843" s="1" t="s">
        <v>1187</v>
      </c>
      <c r="E843" s="1" t="s">
        <v>1188</v>
      </c>
      <c r="F843" s="1" t="s">
        <v>1189</v>
      </c>
      <c r="G843" s="1" t="s">
        <v>1190</v>
      </c>
      <c r="H843" s="2"/>
      <c r="I843" s="2"/>
      <c r="J843" s="2"/>
      <c r="K843" s="2"/>
    </row>
    <row x14ac:dyDescent="0.25" r="844" customHeight="1" ht="17.25">
      <c r="A844" s="1" t="s">
        <v>1823</v>
      </c>
      <c r="B844" s="1" t="s">
        <v>1824</v>
      </c>
      <c r="C844" s="1" t="s">
        <v>20</v>
      </c>
      <c r="D844" s="1" t="s">
        <v>1187</v>
      </c>
      <c r="E844" s="1" t="s">
        <v>1188</v>
      </c>
      <c r="F844" s="1" t="s">
        <v>1189</v>
      </c>
      <c r="G844" s="1" t="s">
        <v>1190</v>
      </c>
      <c r="H844" s="2"/>
      <c r="I844" s="2"/>
      <c r="J844" s="2"/>
      <c r="K844" s="2"/>
    </row>
    <row x14ac:dyDescent="0.25" r="845" customHeight="1" ht="17.25">
      <c r="A845" s="1" t="s">
        <v>1825</v>
      </c>
      <c r="B845" s="1" t="s">
        <v>1826</v>
      </c>
      <c r="C845" s="1" t="s">
        <v>20</v>
      </c>
      <c r="D845" s="1" t="s">
        <v>1187</v>
      </c>
      <c r="E845" s="1" t="s">
        <v>1188</v>
      </c>
      <c r="F845" s="1" t="s">
        <v>1189</v>
      </c>
      <c r="G845" s="1" t="s">
        <v>1190</v>
      </c>
      <c r="H845" s="2"/>
      <c r="I845" s="2"/>
      <c r="J845" s="2"/>
      <c r="K845" s="2"/>
    </row>
    <row x14ac:dyDescent="0.25" r="846" customHeight="1" ht="17.25">
      <c r="A846" s="1" t="s">
        <v>1827</v>
      </c>
      <c r="B846" s="1" t="s">
        <v>1828</v>
      </c>
      <c r="C846" s="1" t="s">
        <v>20</v>
      </c>
      <c r="D846" s="1" t="s">
        <v>1187</v>
      </c>
      <c r="E846" s="1" t="s">
        <v>1188</v>
      </c>
      <c r="F846" s="1" t="s">
        <v>1189</v>
      </c>
      <c r="G846" s="1" t="s">
        <v>1190</v>
      </c>
      <c r="H846" s="2"/>
      <c r="I846" s="2"/>
      <c r="J846" s="2"/>
      <c r="K846" s="2"/>
    </row>
    <row x14ac:dyDescent="0.25" r="847" customHeight="1" ht="17.25">
      <c r="A847" s="1" t="s">
        <v>1829</v>
      </c>
      <c r="B847" s="1" t="s">
        <v>1830</v>
      </c>
      <c r="C847" s="1" t="s">
        <v>20</v>
      </c>
      <c r="D847" s="1" t="s">
        <v>1187</v>
      </c>
      <c r="E847" s="1" t="s">
        <v>1188</v>
      </c>
      <c r="F847" s="1" t="s">
        <v>1189</v>
      </c>
      <c r="G847" s="1" t="s">
        <v>1190</v>
      </c>
      <c r="H847" s="2"/>
      <c r="I847" s="2"/>
      <c r="J847" s="2"/>
      <c r="K847" s="2"/>
    </row>
    <row x14ac:dyDescent="0.25" r="848" customHeight="1" ht="17.25">
      <c r="A848" s="1" t="s">
        <v>1831</v>
      </c>
      <c r="B848" s="1" t="s">
        <v>1832</v>
      </c>
      <c r="C848" s="1" t="s">
        <v>20</v>
      </c>
      <c r="D848" s="1" t="s">
        <v>1187</v>
      </c>
      <c r="E848" s="1" t="s">
        <v>1188</v>
      </c>
      <c r="F848" s="1" t="s">
        <v>1189</v>
      </c>
      <c r="G848" s="1" t="s">
        <v>1190</v>
      </c>
      <c r="H848" s="2"/>
      <c r="I848" s="2"/>
      <c r="J848" s="2"/>
      <c r="K848" s="2"/>
    </row>
    <row x14ac:dyDescent="0.25" r="849" customHeight="1" ht="17.25">
      <c r="A849" s="1" t="s">
        <v>1833</v>
      </c>
      <c r="B849" s="1" t="s">
        <v>1834</v>
      </c>
      <c r="C849" s="1" t="s">
        <v>20</v>
      </c>
      <c r="D849" s="1" t="s">
        <v>1187</v>
      </c>
      <c r="E849" s="1" t="s">
        <v>1188</v>
      </c>
      <c r="F849" s="1" t="s">
        <v>1189</v>
      </c>
      <c r="G849" s="1" t="s">
        <v>1190</v>
      </c>
      <c r="H849" s="2"/>
      <c r="I849" s="2"/>
      <c r="J849" s="2"/>
      <c r="K849" s="2"/>
    </row>
    <row x14ac:dyDescent="0.25" r="850" customHeight="1" ht="17.25">
      <c r="A850" s="1" t="s">
        <v>1835</v>
      </c>
      <c r="B850" s="1" t="s">
        <v>1836</v>
      </c>
      <c r="C850" s="1" t="s">
        <v>20</v>
      </c>
      <c r="D850" s="1" t="s">
        <v>1187</v>
      </c>
      <c r="E850" s="1" t="s">
        <v>1188</v>
      </c>
      <c r="F850" s="1" t="s">
        <v>1189</v>
      </c>
      <c r="G850" s="1" t="s">
        <v>1190</v>
      </c>
      <c r="H850" s="2"/>
      <c r="I850" s="2"/>
      <c r="J850" s="2"/>
      <c r="K850" s="2"/>
    </row>
    <row x14ac:dyDescent="0.25" r="851" customHeight="1" ht="17.25">
      <c r="A851" s="1" t="s">
        <v>1837</v>
      </c>
      <c r="B851" s="1" t="s">
        <v>1838</v>
      </c>
      <c r="C851" s="1" t="s">
        <v>20</v>
      </c>
      <c r="D851" s="1" t="s">
        <v>1187</v>
      </c>
      <c r="E851" s="1" t="s">
        <v>1188</v>
      </c>
      <c r="F851" s="1" t="s">
        <v>1189</v>
      </c>
      <c r="G851" s="1" t="s">
        <v>1190</v>
      </c>
      <c r="H851" s="2"/>
      <c r="I851" s="2"/>
      <c r="J851" s="2"/>
      <c r="K851" s="2"/>
    </row>
    <row x14ac:dyDescent="0.25" r="852" customHeight="1" ht="17.25">
      <c r="A852" s="1" t="s">
        <v>1839</v>
      </c>
      <c r="B852" s="1" t="s">
        <v>1840</v>
      </c>
      <c r="C852" s="1" t="s">
        <v>20</v>
      </c>
      <c r="D852" s="1" t="s">
        <v>1187</v>
      </c>
      <c r="E852" s="1" t="s">
        <v>1188</v>
      </c>
      <c r="F852" s="1" t="s">
        <v>1189</v>
      </c>
      <c r="G852" s="1" t="s">
        <v>1190</v>
      </c>
      <c r="H852" s="2"/>
      <c r="I852" s="2"/>
      <c r="J852" s="2"/>
      <c r="K852" s="2"/>
    </row>
    <row x14ac:dyDescent="0.25" r="853" customHeight="1" ht="17.25">
      <c r="A853" s="1" t="s">
        <v>1841</v>
      </c>
      <c r="B853" s="1" t="s">
        <v>1842</v>
      </c>
      <c r="C853" s="1" t="s">
        <v>20</v>
      </c>
      <c r="D853" s="1" t="s">
        <v>1187</v>
      </c>
      <c r="E853" s="1" t="s">
        <v>1188</v>
      </c>
      <c r="F853" s="1" t="s">
        <v>1189</v>
      </c>
      <c r="G853" s="1" t="s">
        <v>1190</v>
      </c>
      <c r="H853" s="2"/>
      <c r="I853" s="2"/>
      <c r="J853" s="2"/>
      <c r="K853" s="2"/>
    </row>
    <row x14ac:dyDescent="0.25" r="854" customHeight="1" ht="17.25">
      <c r="A854" s="1" t="s">
        <v>1843</v>
      </c>
      <c r="B854" s="1" t="s">
        <v>1844</v>
      </c>
      <c r="C854" s="1" t="s">
        <v>20</v>
      </c>
      <c r="D854" s="1" t="s">
        <v>1187</v>
      </c>
      <c r="E854" s="1" t="s">
        <v>1188</v>
      </c>
      <c r="F854" s="1" t="s">
        <v>1189</v>
      </c>
      <c r="G854" s="1" t="s">
        <v>1190</v>
      </c>
      <c r="H854" s="2"/>
      <c r="I854" s="2"/>
      <c r="J854" s="2"/>
      <c r="K854" s="2"/>
    </row>
    <row x14ac:dyDescent="0.25" r="855" customHeight="1" ht="17.25">
      <c r="A855" s="1" t="s">
        <v>1845</v>
      </c>
      <c r="B855" s="1" t="s">
        <v>1846</v>
      </c>
      <c r="C855" s="1" t="s">
        <v>20</v>
      </c>
      <c r="D855" s="1" t="s">
        <v>1187</v>
      </c>
      <c r="E855" s="1" t="s">
        <v>1188</v>
      </c>
      <c r="F855" s="1" t="s">
        <v>1189</v>
      </c>
      <c r="G855" s="1" t="s">
        <v>1190</v>
      </c>
      <c r="H855" s="2"/>
      <c r="I855" s="2"/>
      <c r="J855" s="2"/>
      <c r="K855" s="2"/>
    </row>
    <row x14ac:dyDescent="0.25" r="856" customHeight="1" ht="17.25">
      <c r="A856" s="1" t="s">
        <v>1847</v>
      </c>
      <c r="B856" s="1" t="s">
        <v>1848</v>
      </c>
      <c r="C856" s="1" t="s">
        <v>20</v>
      </c>
      <c r="D856" s="1" t="s">
        <v>1187</v>
      </c>
      <c r="E856" s="1" t="s">
        <v>1188</v>
      </c>
      <c r="F856" s="1" t="s">
        <v>1189</v>
      </c>
      <c r="G856" s="1" t="s">
        <v>1190</v>
      </c>
      <c r="H856" s="2"/>
      <c r="I856" s="2"/>
      <c r="J856" s="2"/>
      <c r="K856" s="2"/>
    </row>
    <row x14ac:dyDescent="0.25" r="857" customHeight="1" ht="17.25">
      <c r="A857" s="1" t="s">
        <v>1849</v>
      </c>
      <c r="B857" s="1" t="s">
        <v>1850</v>
      </c>
      <c r="C857" s="1" t="s">
        <v>20</v>
      </c>
      <c r="D857" s="1" t="s">
        <v>1187</v>
      </c>
      <c r="E857" s="1" t="s">
        <v>1188</v>
      </c>
      <c r="F857" s="1" t="s">
        <v>1189</v>
      </c>
      <c r="G857" s="1" t="s">
        <v>1190</v>
      </c>
      <c r="H857" s="2"/>
      <c r="I857" s="2"/>
      <c r="J857" s="2"/>
      <c r="K857" s="2"/>
    </row>
    <row x14ac:dyDescent="0.25" r="858" customHeight="1" ht="17.25">
      <c r="A858" s="1" t="s">
        <v>1851</v>
      </c>
      <c r="B858" s="1" t="s">
        <v>1852</v>
      </c>
      <c r="C858" s="1" t="s">
        <v>20</v>
      </c>
      <c r="D858" s="1" t="s">
        <v>1187</v>
      </c>
      <c r="E858" s="1" t="s">
        <v>1188</v>
      </c>
      <c r="F858" s="1" t="s">
        <v>1189</v>
      </c>
      <c r="G858" s="1" t="s">
        <v>1190</v>
      </c>
      <c r="H858" s="2"/>
      <c r="I858" s="2"/>
      <c r="J858" s="2"/>
      <c r="K858" s="2"/>
    </row>
    <row x14ac:dyDescent="0.25" r="859" customHeight="1" ht="17.25">
      <c r="A859" s="1" t="s">
        <v>1853</v>
      </c>
      <c r="B859" s="1" t="s">
        <v>1854</v>
      </c>
      <c r="C859" s="1" t="s">
        <v>20</v>
      </c>
      <c r="D859" s="1" t="s">
        <v>1187</v>
      </c>
      <c r="E859" s="1" t="s">
        <v>1188</v>
      </c>
      <c r="F859" s="1" t="s">
        <v>1189</v>
      </c>
      <c r="G859" s="1" t="s">
        <v>1190</v>
      </c>
      <c r="H859" s="2"/>
      <c r="I859" s="2"/>
      <c r="J859" s="2"/>
      <c r="K859" s="2"/>
    </row>
    <row x14ac:dyDescent="0.25" r="860" customHeight="1" ht="17.25">
      <c r="A860" s="1" t="s">
        <v>1855</v>
      </c>
      <c r="B860" s="1" t="s">
        <v>1856</v>
      </c>
      <c r="C860" s="1" t="s">
        <v>20</v>
      </c>
      <c r="D860" s="1" t="s">
        <v>1187</v>
      </c>
      <c r="E860" s="1" t="s">
        <v>1188</v>
      </c>
      <c r="F860" s="1" t="s">
        <v>1189</v>
      </c>
      <c r="G860" s="1" t="s">
        <v>1190</v>
      </c>
      <c r="H860" s="2"/>
      <c r="I860" s="2"/>
      <c r="J860" s="2"/>
      <c r="K860" s="2"/>
    </row>
    <row x14ac:dyDescent="0.25" r="861" customHeight="1" ht="17.25">
      <c r="A861" s="1" t="s">
        <v>1857</v>
      </c>
      <c r="B861" s="1" t="s">
        <v>1858</v>
      </c>
      <c r="C861" s="1" t="s">
        <v>20</v>
      </c>
      <c r="D861" s="1" t="s">
        <v>1187</v>
      </c>
      <c r="E861" s="1" t="s">
        <v>1188</v>
      </c>
      <c r="F861" s="1" t="s">
        <v>1189</v>
      </c>
      <c r="G861" s="1" t="s">
        <v>1190</v>
      </c>
      <c r="H861" s="2"/>
      <c r="I861" s="2"/>
      <c r="J861" s="2"/>
      <c r="K861" s="2"/>
    </row>
    <row x14ac:dyDescent="0.25" r="862" customHeight="1" ht="17.25">
      <c r="A862" s="1" t="s">
        <v>1859</v>
      </c>
      <c r="B862" s="1" t="s">
        <v>1860</v>
      </c>
      <c r="C862" s="1" t="s">
        <v>20</v>
      </c>
      <c r="D862" s="1" t="s">
        <v>1187</v>
      </c>
      <c r="E862" s="1" t="s">
        <v>1188</v>
      </c>
      <c r="F862" s="1" t="s">
        <v>1189</v>
      </c>
      <c r="G862" s="1" t="s">
        <v>1190</v>
      </c>
      <c r="H862" s="2"/>
      <c r="I862" s="2"/>
      <c r="J862" s="2"/>
      <c r="K862" s="2"/>
    </row>
    <row x14ac:dyDescent="0.25" r="863" customHeight="1" ht="17.25">
      <c r="A863" s="1" t="s">
        <v>1861</v>
      </c>
      <c r="B863" s="1" t="s">
        <v>1862</v>
      </c>
      <c r="C863" s="1" t="s">
        <v>20</v>
      </c>
      <c r="D863" s="1" t="s">
        <v>1187</v>
      </c>
      <c r="E863" s="1" t="s">
        <v>1188</v>
      </c>
      <c r="F863" s="1" t="s">
        <v>1189</v>
      </c>
      <c r="G863" s="1" t="s">
        <v>1190</v>
      </c>
      <c r="H863" s="2"/>
      <c r="I863" s="2"/>
      <c r="J863" s="2"/>
      <c r="K863" s="2"/>
    </row>
    <row x14ac:dyDescent="0.25" r="864" customHeight="1" ht="17.25">
      <c r="A864" s="1" t="s">
        <v>1863</v>
      </c>
      <c r="B864" s="1" t="s">
        <v>1864</v>
      </c>
      <c r="C864" s="1" t="s">
        <v>20</v>
      </c>
      <c r="D864" s="1" t="s">
        <v>1187</v>
      </c>
      <c r="E864" s="1" t="s">
        <v>1188</v>
      </c>
      <c r="F864" s="1" t="s">
        <v>1189</v>
      </c>
      <c r="G864" s="1" t="s">
        <v>1190</v>
      </c>
      <c r="H864" s="2"/>
      <c r="I864" s="2"/>
      <c r="J864" s="2"/>
      <c r="K864" s="2"/>
    </row>
    <row x14ac:dyDescent="0.25" r="865" customHeight="1" ht="17.25">
      <c r="A865" s="1" t="s">
        <v>1865</v>
      </c>
      <c r="B865" s="1" t="s">
        <v>1866</v>
      </c>
      <c r="C865" s="1" t="s">
        <v>20</v>
      </c>
      <c r="D865" s="1" t="s">
        <v>1187</v>
      </c>
      <c r="E865" s="1" t="s">
        <v>1188</v>
      </c>
      <c r="F865" s="1" t="s">
        <v>1189</v>
      </c>
      <c r="G865" s="1" t="s">
        <v>1190</v>
      </c>
      <c r="H865" s="2"/>
      <c r="I865" s="2"/>
      <c r="J865" s="2"/>
      <c r="K865" s="2"/>
    </row>
    <row x14ac:dyDescent="0.25" r="866" customHeight="1" ht="17.25">
      <c r="A866" s="1" t="s">
        <v>1867</v>
      </c>
      <c r="B866" s="1" t="s">
        <v>1868</v>
      </c>
      <c r="C866" s="1" t="s">
        <v>20</v>
      </c>
      <c r="D866" s="1" t="s">
        <v>1187</v>
      </c>
      <c r="E866" s="1" t="s">
        <v>1188</v>
      </c>
      <c r="F866" s="1" t="s">
        <v>1189</v>
      </c>
      <c r="G866" s="1" t="s">
        <v>1190</v>
      </c>
      <c r="H866" s="2"/>
      <c r="I866" s="2"/>
      <c r="J866" s="2"/>
      <c r="K866" s="2"/>
    </row>
    <row x14ac:dyDescent="0.25" r="867" customHeight="1" ht="17.25">
      <c r="A867" s="1" t="s">
        <v>1869</v>
      </c>
      <c r="B867" s="1" t="s">
        <v>1870</v>
      </c>
      <c r="C867" s="1" t="s">
        <v>20</v>
      </c>
      <c r="D867" s="1" t="s">
        <v>1187</v>
      </c>
      <c r="E867" s="1" t="s">
        <v>1188</v>
      </c>
      <c r="F867" s="1" t="s">
        <v>1189</v>
      </c>
      <c r="G867" s="1" t="s">
        <v>1190</v>
      </c>
      <c r="H867" s="2"/>
      <c r="I867" s="2"/>
      <c r="J867" s="2"/>
      <c r="K867" s="2"/>
    </row>
    <row x14ac:dyDescent="0.25" r="868" customHeight="1" ht="17.25">
      <c r="A868" s="1" t="s">
        <v>1871</v>
      </c>
      <c r="B868" s="1" t="s">
        <v>1872</v>
      </c>
      <c r="C868" s="1" t="s">
        <v>20</v>
      </c>
      <c r="D868" s="1" t="s">
        <v>1187</v>
      </c>
      <c r="E868" s="1" t="s">
        <v>1188</v>
      </c>
      <c r="F868" s="1" t="s">
        <v>1189</v>
      </c>
      <c r="G868" s="1" t="s">
        <v>1190</v>
      </c>
      <c r="H868" s="2"/>
      <c r="I868" s="2"/>
      <c r="J868" s="2"/>
      <c r="K868" s="2"/>
    </row>
    <row x14ac:dyDescent="0.25" r="869" customHeight="1" ht="17.25">
      <c r="A869" s="1" t="s">
        <v>1873</v>
      </c>
      <c r="B869" s="1" t="s">
        <v>1874</v>
      </c>
      <c r="C869" s="1" t="s">
        <v>20</v>
      </c>
      <c r="D869" s="1" t="s">
        <v>1187</v>
      </c>
      <c r="E869" s="1" t="s">
        <v>1188</v>
      </c>
      <c r="F869" s="1" t="s">
        <v>1189</v>
      </c>
      <c r="G869" s="1" t="s">
        <v>1190</v>
      </c>
      <c r="H869" s="2"/>
      <c r="I869" s="2"/>
      <c r="J869" s="2"/>
      <c r="K869" s="2"/>
    </row>
    <row x14ac:dyDescent="0.25" r="870" customHeight="1" ht="17.25">
      <c r="A870" s="1" t="s">
        <v>1875</v>
      </c>
      <c r="B870" s="1" t="s">
        <v>1876</v>
      </c>
      <c r="C870" s="1" t="s">
        <v>20</v>
      </c>
      <c r="D870" s="1" t="s">
        <v>1187</v>
      </c>
      <c r="E870" s="1" t="s">
        <v>1188</v>
      </c>
      <c r="F870" s="1" t="s">
        <v>1189</v>
      </c>
      <c r="G870" s="1" t="s">
        <v>1190</v>
      </c>
      <c r="H870" s="2"/>
      <c r="I870" s="2"/>
      <c r="J870" s="2"/>
      <c r="K870" s="2"/>
    </row>
    <row x14ac:dyDescent="0.25" r="871" customHeight="1" ht="17.25">
      <c r="A871" s="1" t="s">
        <v>1877</v>
      </c>
      <c r="B871" s="1" t="s">
        <v>1878</v>
      </c>
      <c r="C871" s="1" t="s">
        <v>20</v>
      </c>
      <c r="D871" s="1" t="s">
        <v>1187</v>
      </c>
      <c r="E871" s="1" t="s">
        <v>1188</v>
      </c>
      <c r="F871" s="1" t="s">
        <v>1189</v>
      </c>
      <c r="G871" s="1" t="s">
        <v>1190</v>
      </c>
      <c r="H871" s="2"/>
      <c r="I871" s="2"/>
      <c r="J871" s="2"/>
      <c r="K871" s="2"/>
    </row>
    <row x14ac:dyDescent="0.25" r="872" customHeight="1" ht="17.25">
      <c r="A872" s="1" t="s">
        <v>1879</v>
      </c>
      <c r="B872" s="1" t="s">
        <v>1880</v>
      </c>
      <c r="C872" s="1" t="s">
        <v>20</v>
      </c>
      <c r="D872" s="1" t="s">
        <v>1187</v>
      </c>
      <c r="E872" s="1" t="s">
        <v>1188</v>
      </c>
      <c r="F872" s="1" t="s">
        <v>1189</v>
      </c>
      <c r="G872" s="1" t="s">
        <v>1190</v>
      </c>
      <c r="H872" s="2"/>
      <c r="I872" s="2"/>
      <c r="J872" s="2"/>
      <c r="K872" s="2"/>
    </row>
    <row x14ac:dyDescent="0.25" r="873" customHeight="1" ht="17.25">
      <c r="A873" s="1" t="s">
        <v>1881</v>
      </c>
      <c r="B873" s="1" t="s">
        <v>1882</v>
      </c>
      <c r="C873" s="1" t="s">
        <v>20</v>
      </c>
      <c r="D873" s="1" t="s">
        <v>1187</v>
      </c>
      <c r="E873" s="1" t="s">
        <v>1188</v>
      </c>
      <c r="F873" s="1" t="s">
        <v>1189</v>
      </c>
      <c r="G873" s="1" t="s">
        <v>1190</v>
      </c>
      <c r="H873" s="2"/>
      <c r="I873" s="2"/>
      <c r="J873" s="2"/>
      <c r="K873" s="2"/>
    </row>
    <row x14ac:dyDescent="0.25" r="874" customHeight="1" ht="17.25">
      <c r="A874" s="1" t="s">
        <v>1883</v>
      </c>
      <c r="B874" s="1" t="s">
        <v>1884</v>
      </c>
      <c r="C874" s="1" t="s">
        <v>20</v>
      </c>
      <c r="D874" s="1" t="s">
        <v>1187</v>
      </c>
      <c r="E874" s="1" t="s">
        <v>1188</v>
      </c>
      <c r="F874" s="1" t="s">
        <v>1189</v>
      </c>
      <c r="G874" s="1" t="s">
        <v>1190</v>
      </c>
      <c r="H874" s="2"/>
      <c r="I874" s="2"/>
      <c r="J874" s="2"/>
      <c r="K874" s="2"/>
    </row>
    <row x14ac:dyDescent="0.25" r="875" customHeight="1" ht="17.25">
      <c r="A875" s="1" t="s">
        <v>1885</v>
      </c>
      <c r="B875" s="1" t="s">
        <v>1886</v>
      </c>
      <c r="C875" s="1" t="s">
        <v>20</v>
      </c>
      <c r="D875" s="1" t="s">
        <v>1187</v>
      </c>
      <c r="E875" s="1" t="s">
        <v>1188</v>
      </c>
      <c r="F875" s="1" t="s">
        <v>1189</v>
      </c>
      <c r="G875" s="1" t="s">
        <v>1190</v>
      </c>
      <c r="H875" s="2"/>
      <c r="I875" s="2"/>
      <c r="J875" s="2"/>
      <c r="K875" s="2"/>
    </row>
    <row x14ac:dyDescent="0.25" r="876" customHeight="1" ht="17.25">
      <c r="A876" s="1" t="s">
        <v>1887</v>
      </c>
      <c r="B876" s="1" t="s">
        <v>1888</v>
      </c>
      <c r="C876" s="1" t="s">
        <v>20</v>
      </c>
      <c r="D876" s="1" t="s">
        <v>1187</v>
      </c>
      <c r="E876" s="1" t="s">
        <v>1188</v>
      </c>
      <c r="F876" s="1" t="s">
        <v>1189</v>
      </c>
      <c r="G876" s="1" t="s">
        <v>1190</v>
      </c>
      <c r="H876" s="2"/>
      <c r="I876" s="2"/>
      <c r="J876" s="2"/>
      <c r="K876" s="2"/>
    </row>
    <row x14ac:dyDescent="0.25" r="877" customHeight="1" ht="17.25">
      <c r="A877" s="1" t="s">
        <v>1889</v>
      </c>
      <c r="B877" s="1" t="s">
        <v>1890</v>
      </c>
      <c r="C877" s="1" t="s">
        <v>20</v>
      </c>
      <c r="D877" s="1" t="s">
        <v>1187</v>
      </c>
      <c r="E877" s="1" t="s">
        <v>1188</v>
      </c>
      <c r="F877" s="1" t="s">
        <v>1189</v>
      </c>
      <c r="G877" s="1" t="s">
        <v>1190</v>
      </c>
      <c r="H877" s="2"/>
      <c r="I877" s="2"/>
      <c r="J877" s="2"/>
      <c r="K877" s="2"/>
    </row>
    <row x14ac:dyDescent="0.25" r="878" customHeight="1" ht="17.25">
      <c r="A878" s="1" t="s">
        <v>1891</v>
      </c>
      <c r="B878" s="1" t="s">
        <v>1892</v>
      </c>
      <c r="C878" s="1" t="s">
        <v>20</v>
      </c>
      <c r="D878" s="1" t="s">
        <v>1187</v>
      </c>
      <c r="E878" s="1" t="s">
        <v>1188</v>
      </c>
      <c r="F878" s="1" t="s">
        <v>1189</v>
      </c>
      <c r="G878" s="1" t="s">
        <v>1190</v>
      </c>
      <c r="H878" s="2"/>
      <c r="I878" s="2"/>
      <c r="J878" s="2"/>
      <c r="K878" s="2"/>
    </row>
    <row x14ac:dyDescent="0.25" r="879" customHeight="1" ht="17.25">
      <c r="A879" s="1" t="s">
        <v>1893</v>
      </c>
      <c r="B879" s="1" t="s">
        <v>1894</v>
      </c>
      <c r="C879" s="1" t="s">
        <v>20</v>
      </c>
      <c r="D879" s="1" t="s">
        <v>1187</v>
      </c>
      <c r="E879" s="1" t="s">
        <v>1188</v>
      </c>
      <c r="F879" s="1" t="s">
        <v>1189</v>
      </c>
      <c r="G879" s="1" t="s">
        <v>1190</v>
      </c>
      <c r="H879" s="2"/>
      <c r="I879" s="2"/>
      <c r="J879" s="2"/>
      <c r="K879" s="2"/>
    </row>
    <row x14ac:dyDescent="0.25" r="880" customHeight="1" ht="17.25">
      <c r="A880" s="1" t="s">
        <v>1895</v>
      </c>
      <c r="B880" s="1" t="s">
        <v>1896</v>
      </c>
      <c r="C880" s="1" t="s">
        <v>20</v>
      </c>
      <c r="D880" s="1" t="s">
        <v>1187</v>
      </c>
      <c r="E880" s="1" t="s">
        <v>1188</v>
      </c>
      <c r="F880" s="1" t="s">
        <v>1189</v>
      </c>
      <c r="G880" s="1" t="s">
        <v>1190</v>
      </c>
      <c r="H880" s="2"/>
      <c r="I880" s="2"/>
      <c r="J880" s="2"/>
      <c r="K880" s="2"/>
    </row>
    <row x14ac:dyDescent="0.25" r="881" customHeight="1" ht="17.25">
      <c r="A881" s="1" t="s">
        <v>1897</v>
      </c>
      <c r="B881" s="1" t="s">
        <v>1898</v>
      </c>
      <c r="C881" s="1" t="s">
        <v>20</v>
      </c>
      <c r="D881" s="1" t="s">
        <v>1187</v>
      </c>
      <c r="E881" s="1" t="s">
        <v>1188</v>
      </c>
      <c r="F881" s="1" t="s">
        <v>1189</v>
      </c>
      <c r="G881" s="1" t="s">
        <v>1190</v>
      </c>
      <c r="H881" s="2"/>
      <c r="I881" s="2"/>
      <c r="J881" s="2"/>
      <c r="K881" s="2"/>
    </row>
    <row x14ac:dyDescent="0.25" r="882" customHeight="1" ht="17.25">
      <c r="A882" s="1" t="s">
        <v>1899</v>
      </c>
      <c r="B882" s="1" t="s">
        <v>1900</v>
      </c>
      <c r="C882" s="1" t="s">
        <v>20</v>
      </c>
      <c r="D882" s="1" t="s">
        <v>1187</v>
      </c>
      <c r="E882" s="1" t="s">
        <v>1188</v>
      </c>
      <c r="F882" s="1" t="s">
        <v>1189</v>
      </c>
      <c r="G882" s="1" t="s">
        <v>1190</v>
      </c>
      <c r="H882" s="2"/>
      <c r="I882" s="2"/>
      <c r="J882" s="2"/>
      <c r="K882" s="2"/>
    </row>
    <row x14ac:dyDescent="0.25" r="883" customHeight="1" ht="17.25">
      <c r="A883" s="1" t="s">
        <v>1901</v>
      </c>
      <c r="B883" s="1" t="s">
        <v>1902</v>
      </c>
      <c r="C883" s="1" t="s">
        <v>20</v>
      </c>
      <c r="D883" s="1" t="s">
        <v>1187</v>
      </c>
      <c r="E883" s="1" t="s">
        <v>1188</v>
      </c>
      <c r="F883" s="1" t="s">
        <v>1189</v>
      </c>
      <c r="G883" s="1" t="s">
        <v>1190</v>
      </c>
      <c r="H883" s="2"/>
      <c r="I883" s="2"/>
      <c r="J883" s="2"/>
      <c r="K883" s="2"/>
    </row>
    <row x14ac:dyDescent="0.25" r="884" customHeight="1" ht="17.25">
      <c r="A884" s="1" t="s">
        <v>1903</v>
      </c>
      <c r="B884" s="1" t="s">
        <v>1904</v>
      </c>
      <c r="C884" s="1" t="s">
        <v>20</v>
      </c>
      <c r="D884" s="1" t="s">
        <v>1187</v>
      </c>
      <c r="E884" s="1" t="s">
        <v>1188</v>
      </c>
      <c r="F884" s="1" t="s">
        <v>1189</v>
      </c>
      <c r="G884" s="1" t="s">
        <v>1190</v>
      </c>
      <c r="H884" s="2"/>
      <c r="I884" s="2"/>
      <c r="J884" s="2"/>
      <c r="K884" s="2"/>
    </row>
    <row x14ac:dyDescent="0.25" r="885" customHeight="1" ht="17.25">
      <c r="A885" s="1" t="s">
        <v>1905</v>
      </c>
      <c r="B885" s="1" t="s">
        <v>1906</v>
      </c>
      <c r="C885" s="1" t="s">
        <v>20</v>
      </c>
      <c r="D885" s="1" t="s">
        <v>1187</v>
      </c>
      <c r="E885" s="1" t="s">
        <v>1188</v>
      </c>
      <c r="F885" s="1" t="s">
        <v>1189</v>
      </c>
      <c r="G885" s="1" t="s">
        <v>1190</v>
      </c>
      <c r="H885" s="2"/>
      <c r="I885" s="2"/>
      <c r="J885" s="2"/>
      <c r="K885" s="2"/>
    </row>
    <row x14ac:dyDescent="0.25" r="886" customHeight="1" ht="17.25">
      <c r="A886" s="1" t="s">
        <v>1907</v>
      </c>
      <c r="B886" s="1" t="s">
        <v>1908</v>
      </c>
      <c r="C886" s="1" t="s">
        <v>20</v>
      </c>
      <c r="D886" s="1" t="s">
        <v>1187</v>
      </c>
      <c r="E886" s="1" t="s">
        <v>1188</v>
      </c>
      <c r="F886" s="1" t="s">
        <v>1189</v>
      </c>
      <c r="G886" s="1" t="s">
        <v>1190</v>
      </c>
      <c r="H886" s="2"/>
      <c r="I886" s="2"/>
      <c r="J886" s="2"/>
      <c r="K886" s="2"/>
    </row>
    <row x14ac:dyDescent="0.25" r="887" customHeight="1" ht="17.25">
      <c r="A887" s="1" t="s">
        <v>1909</v>
      </c>
      <c r="B887" s="1" t="s">
        <v>1910</v>
      </c>
      <c r="C887" s="1" t="s">
        <v>20</v>
      </c>
      <c r="D887" s="1" t="s">
        <v>1187</v>
      </c>
      <c r="E887" s="1" t="s">
        <v>1188</v>
      </c>
      <c r="F887" s="1" t="s">
        <v>1189</v>
      </c>
      <c r="G887" s="1" t="s">
        <v>1190</v>
      </c>
      <c r="H887" s="2"/>
      <c r="I887" s="2"/>
      <c r="J887" s="2"/>
      <c r="K887" s="2"/>
    </row>
    <row x14ac:dyDescent="0.25" r="888" customHeight="1" ht="17.25">
      <c r="A888" s="1" t="s">
        <v>1911</v>
      </c>
      <c r="B888" s="1" t="s">
        <v>1912</v>
      </c>
      <c r="C888" s="1" t="s">
        <v>20</v>
      </c>
      <c r="D888" s="1" t="s">
        <v>1187</v>
      </c>
      <c r="E888" s="1" t="s">
        <v>1188</v>
      </c>
      <c r="F888" s="1" t="s">
        <v>1189</v>
      </c>
      <c r="G888" s="1" t="s">
        <v>1190</v>
      </c>
      <c r="H888" s="2"/>
      <c r="I888" s="2"/>
      <c r="J888" s="2"/>
      <c r="K888" s="2"/>
    </row>
    <row x14ac:dyDescent="0.25" r="889" customHeight="1" ht="17.25">
      <c r="A889" s="1" t="s">
        <v>1913</v>
      </c>
      <c r="B889" s="1" t="s">
        <v>1914</v>
      </c>
      <c r="C889" s="1" t="s">
        <v>20</v>
      </c>
      <c r="D889" s="1" t="s">
        <v>1187</v>
      </c>
      <c r="E889" s="1" t="s">
        <v>1188</v>
      </c>
      <c r="F889" s="1" t="s">
        <v>1189</v>
      </c>
      <c r="G889" s="1" t="s">
        <v>1190</v>
      </c>
      <c r="H889" s="2"/>
      <c r="I889" s="2"/>
      <c r="J889" s="2"/>
      <c r="K889" s="2"/>
    </row>
    <row x14ac:dyDescent="0.25" r="890" customHeight="1" ht="17.25">
      <c r="A890" s="1" t="s">
        <v>1915</v>
      </c>
      <c r="B890" s="1" t="s">
        <v>1916</v>
      </c>
      <c r="C890" s="1" t="s">
        <v>20</v>
      </c>
      <c r="D890" s="1" t="s">
        <v>1187</v>
      </c>
      <c r="E890" s="1" t="s">
        <v>1188</v>
      </c>
      <c r="F890" s="1" t="s">
        <v>1189</v>
      </c>
      <c r="G890" s="1" t="s">
        <v>1190</v>
      </c>
      <c r="H890" s="2"/>
      <c r="I890" s="2"/>
      <c r="J890" s="2"/>
      <c r="K890" s="2"/>
    </row>
    <row x14ac:dyDescent="0.25" r="891" customHeight="1" ht="17.25">
      <c r="A891" s="1" t="s">
        <v>1917</v>
      </c>
      <c r="B891" s="1" t="s">
        <v>1918</v>
      </c>
      <c r="C891" s="1" t="s">
        <v>20</v>
      </c>
      <c r="D891" s="1" t="s">
        <v>1187</v>
      </c>
      <c r="E891" s="1" t="s">
        <v>1188</v>
      </c>
      <c r="F891" s="1" t="s">
        <v>1189</v>
      </c>
      <c r="G891" s="1" t="s">
        <v>1190</v>
      </c>
      <c r="H891" s="2"/>
      <c r="I891" s="2"/>
      <c r="J891" s="2"/>
      <c r="K891" s="2"/>
    </row>
    <row x14ac:dyDescent="0.25" r="892" customHeight="1" ht="17.25">
      <c r="A892" s="1" t="s">
        <v>1919</v>
      </c>
      <c r="B892" s="1" t="s">
        <v>1920</v>
      </c>
      <c r="C892" s="1" t="s">
        <v>20</v>
      </c>
      <c r="D892" s="1" t="s">
        <v>1187</v>
      </c>
      <c r="E892" s="1" t="s">
        <v>1188</v>
      </c>
      <c r="F892" s="1" t="s">
        <v>1189</v>
      </c>
      <c r="G892" s="1" t="s">
        <v>1190</v>
      </c>
      <c r="H892" s="2"/>
      <c r="I892" s="2"/>
      <c r="J892" s="2"/>
      <c r="K892" s="2"/>
    </row>
    <row x14ac:dyDescent="0.25" r="893" customHeight="1" ht="17.25">
      <c r="A893" s="1" t="s">
        <v>1921</v>
      </c>
      <c r="B893" s="1" t="s">
        <v>1922</v>
      </c>
      <c r="C893" s="1" t="s">
        <v>20</v>
      </c>
      <c r="D893" s="1" t="s">
        <v>1187</v>
      </c>
      <c r="E893" s="1" t="s">
        <v>1188</v>
      </c>
      <c r="F893" s="1" t="s">
        <v>1189</v>
      </c>
      <c r="G893" s="1" t="s">
        <v>1190</v>
      </c>
      <c r="H893" s="2"/>
      <c r="I893" s="2"/>
      <c r="J893" s="2"/>
      <c r="K893" s="2"/>
    </row>
    <row x14ac:dyDescent="0.25" r="894" customHeight="1" ht="17.25">
      <c r="A894" s="1" t="s">
        <v>1923</v>
      </c>
      <c r="B894" s="1" t="s">
        <v>1924</v>
      </c>
      <c r="C894" s="1" t="s">
        <v>20</v>
      </c>
      <c r="D894" s="1" t="s">
        <v>1187</v>
      </c>
      <c r="E894" s="1" t="s">
        <v>1188</v>
      </c>
      <c r="F894" s="1" t="s">
        <v>1189</v>
      </c>
      <c r="G894" s="1" t="s">
        <v>1190</v>
      </c>
      <c r="H894" s="2"/>
      <c r="I894" s="2"/>
      <c r="J894" s="2"/>
      <c r="K894" s="2"/>
    </row>
    <row x14ac:dyDescent="0.25" r="895" customHeight="1" ht="17.25">
      <c r="A895" s="1" t="s">
        <v>1925</v>
      </c>
      <c r="B895" s="1" t="s">
        <v>1926</v>
      </c>
      <c r="C895" s="1" t="s">
        <v>20</v>
      </c>
      <c r="D895" s="1" t="s">
        <v>1187</v>
      </c>
      <c r="E895" s="1" t="s">
        <v>1188</v>
      </c>
      <c r="F895" s="1" t="s">
        <v>1189</v>
      </c>
      <c r="G895" s="1" t="s">
        <v>1190</v>
      </c>
      <c r="H895" s="2"/>
      <c r="I895" s="2"/>
      <c r="J895" s="2"/>
      <c r="K895" s="2"/>
    </row>
    <row x14ac:dyDescent="0.25" r="896" customHeight="1" ht="17.25">
      <c r="A896" s="1" t="s">
        <v>1927</v>
      </c>
      <c r="B896" s="1" t="s">
        <v>1928</v>
      </c>
      <c r="C896" s="1" t="s">
        <v>20</v>
      </c>
      <c r="D896" s="1" t="s">
        <v>1187</v>
      </c>
      <c r="E896" s="1" t="s">
        <v>1188</v>
      </c>
      <c r="F896" s="1" t="s">
        <v>1189</v>
      </c>
      <c r="G896" s="1" t="s">
        <v>1190</v>
      </c>
      <c r="H896" s="2"/>
      <c r="I896" s="2"/>
      <c r="J896" s="2"/>
      <c r="K896" s="2"/>
    </row>
    <row x14ac:dyDescent="0.25" r="897" customHeight="1" ht="17.25">
      <c r="A897" s="1" t="s">
        <v>1929</v>
      </c>
      <c r="B897" s="1" t="s">
        <v>1930</v>
      </c>
      <c r="C897" s="1" t="s">
        <v>20</v>
      </c>
      <c r="D897" s="1" t="s">
        <v>1187</v>
      </c>
      <c r="E897" s="1" t="s">
        <v>1188</v>
      </c>
      <c r="F897" s="1" t="s">
        <v>1189</v>
      </c>
      <c r="G897" s="1" t="s">
        <v>1190</v>
      </c>
      <c r="H897" s="2"/>
      <c r="I897" s="2"/>
      <c r="J897" s="2"/>
      <c r="K897" s="2"/>
    </row>
    <row x14ac:dyDescent="0.25" r="898" customHeight="1" ht="17.25">
      <c r="A898" s="1" t="s">
        <v>1931</v>
      </c>
      <c r="B898" s="1" t="s">
        <v>1932</v>
      </c>
      <c r="C898" s="1" t="s">
        <v>20</v>
      </c>
      <c r="D898" s="1" t="s">
        <v>1187</v>
      </c>
      <c r="E898" s="1" t="s">
        <v>1188</v>
      </c>
      <c r="F898" s="1" t="s">
        <v>1189</v>
      </c>
      <c r="G898" s="1" t="s">
        <v>1190</v>
      </c>
      <c r="H898" s="2"/>
      <c r="I898" s="2"/>
      <c r="J898" s="2"/>
      <c r="K898" s="2"/>
    </row>
    <row x14ac:dyDescent="0.25" r="899" customHeight="1" ht="17.25">
      <c r="A899" s="1" t="s">
        <v>1933</v>
      </c>
      <c r="B899" s="1" t="s">
        <v>1934</v>
      </c>
      <c r="C899" s="1" t="s">
        <v>20</v>
      </c>
      <c r="D899" s="1" t="s">
        <v>1187</v>
      </c>
      <c r="E899" s="1" t="s">
        <v>1188</v>
      </c>
      <c r="F899" s="1" t="s">
        <v>1189</v>
      </c>
      <c r="G899" s="1" t="s">
        <v>1190</v>
      </c>
      <c r="H899" s="2"/>
      <c r="I899" s="2"/>
      <c r="J899" s="2"/>
      <c r="K899" s="2"/>
    </row>
    <row x14ac:dyDescent="0.25" r="900" customHeight="1" ht="17.25">
      <c r="A900" s="1" t="s">
        <v>1935</v>
      </c>
      <c r="B900" s="1" t="s">
        <v>1936</v>
      </c>
      <c r="C900" s="1" t="s">
        <v>20</v>
      </c>
      <c r="D900" s="1" t="s">
        <v>1187</v>
      </c>
      <c r="E900" s="1" t="s">
        <v>1188</v>
      </c>
      <c r="F900" s="1" t="s">
        <v>1189</v>
      </c>
      <c r="G900" s="1" t="s">
        <v>1190</v>
      </c>
      <c r="H900" s="2"/>
      <c r="I900" s="2"/>
      <c r="J900" s="2"/>
      <c r="K900" s="2"/>
    </row>
    <row x14ac:dyDescent="0.25" r="901" customHeight="1" ht="17.25">
      <c r="A901" s="1" t="s">
        <v>1937</v>
      </c>
      <c r="B901" s="1" t="s">
        <v>1938</v>
      </c>
      <c r="C901" s="1" t="s">
        <v>20</v>
      </c>
      <c r="D901" s="1" t="s">
        <v>1187</v>
      </c>
      <c r="E901" s="1" t="s">
        <v>1188</v>
      </c>
      <c r="F901" s="1" t="s">
        <v>1189</v>
      </c>
      <c r="G901" s="1" t="s">
        <v>1190</v>
      </c>
      <c r="H901" s="2"/>
      <c r="I901" s="2"/>
      <c r="J901" s="2"/>
      <c r="K901" s="2"/>
    </row>
    <row x14ac:dyDescent="0.25" r="902" customHeight="1" ht="17.25">
      <c r="A902" s="1" t="s">
        <v>1939</v>
      </c>
      <c r="B902" s="1" t="s">
        <v>1940</v>
      </c>
      <c r="C902" s="1" t="s">
        <v>20</v>
      </c>
      <c r="D902" s="1" t="s">
        <v>1187</v>
      </c>
      <c r="E902" s="1" t="s">
        <v>1188</v>
      </c>
      <c r="F902" s="1" t="s">
        <v>1189</v>
      </c>
      <c r="G902" s="1" t="s">
        <v>1190</v>
      </c>
      <c r="H902" s="2"/>
      <c r="I902" s="2"/>
      <c r="J902" s="2"/>
      <c r="K902" s="2"/>
    </row>
    <row x14ac:dyDescent="0.25" r="903" customHeight="1" ht="17.25">
      <c r="A903" s="1" t="s">
        <v>1941</v>
      </c>
      <c r="B903" s="1" t="s">
        <v>1942</v>
      </c>
      <c r="C903" s="1" t="s">
        <v>20</v>
      </c>
      <c r="D903" s="1" t="s">
        <v>1187</v>
      </c>
      <c r="E903" s="1" t="s">
        <v>1188</v>
      </c>
      <c r="F903" s="1" t="s">
        <v>1189</v>
      </c>
      <c r="G903" s="1" t="s">
        <v>1190</v>
      </c>
      <c r="H903" s="2"/>
      <c r="I903" s="2"/>
      <c r="J903" s="2"/>
      <c r="K903" s="2"/>
    </row>
    <row x14ac:dyDescent="0.25" r="904" customHeight="1" ht="17.25">
      <c r="A904" s="1" t="s">
        <v>1943</v>
      </c>
      <c r="B904" s="1" t="s">
        <v>1944</v>
      </c>
      <c r="C904" s="1" t="s">
        <v>20</v>
      </c>
      <c r="D904" s="1" t="s">
        <v>1187</v>
      </c>
      <c r="E904" s="1" t="s">
        <v>1188</v>
      </c>
      <c r="F904" s="1" t="s">
        <v>1189</v>
      </c>
      <c r="G904" s="1" t="s">
        <v>1190</v>
      </c>
      <c r="H904" s="2"/>
      <c r="I904" s="2"/>
      <c r="J904" s="2"/>
      <c r="K904" s="2"/>
    </row>
    <row x14ac:dyDescent="0.25" r="905" customHeight="1" ht="17.25">
      <c r="A905" s="1" t="s">
        <v>1945</v>
      </c>
      <c r="B905" s="1" t="s">
        <v>1946</v>
      </c>
      <c r="C905" s="1" t="s">
        <v>20</v>
      </c>
      <c r="D905" s="1" t="s">
        <v>1187</v>
      </c>
      <c r="E905" s="1" t="s">
        <v>1188</v>
      </c>
      <c r="F905" s="1" t="s">
        <v>1189</v>
      </c>
      <c r="G905" s="1" t="s">
        <v>1190</v>
      </c>
      <c r="H905" s="2"/>
      <c r="I905" s="2"/>
      <c r="J905" s="2"/>
      <c r="K905" s="2"/>
    </row>
    <row x14ac:dyDescent="0.25" r="906" customHeight="1" ht="17.25">
      <c r="A906" s="1" t="s">
        <v>1947</v>
      </c>
      <c r="B906" s="1" t="s">
        <v>1948</v>
      </c>
      <c r="C906" s="1" t="s">
        <v>20</v>
      </c>
      <c r="D906" s="1" t="s">
        <v>1187</v>
      </c>
      <c r="E906" s="1" t="s">
        <v>1188</v>
      </c>
      <c r="F906" s="1" t="s">
        <v>1189</v>
      </c>
      <c r="G906" s="1" t="s">
        <v>1190</v>
      </c>
      <c r="H906" s="2"/>
      <c r="I906" s="2"/>
      <c r="J906" s="2"/>
      <c r="K906" s="2"/>
    </row>
    <row x14ac:dyDescent="0.25" r="907" customHeight="1" ht="17.25">
      <c r="A907" s="1" t="s">
        <v>1949</v>
      </c>
      <c r="B907" s="1" t="s">
        <v>1950</v>
      </c>
      <c r="C907" s="1" t="s">
        <v>20</v>
      </c>
      <c r="D907" s="1" t="s">
        <v>1187</v>
      </c>
      <c r="E907" s="1" t="s">
        <v>1188</v>
      </c>
      <c r="F907" s="1" t="s">
        <v>1189</v>
      </c>
      <c r="G907" s="1" t="s">
        <v>1190</v>
      </c>
      <c r="H907" s="2"/>
      <c r="I907" s="2"/>
      <c r="J907" s="2"/>
      <c r="K907" s="2"/>
    </row>
    <row x14ac:dyDescent="0.25" r="908" customHeight="1" ht="17.25">
      <c r="A908" s="1" t="s">
        <v>1951</v>
      </c>
      <c r="B908" s="1" t="s">
        <v>1952</v>
      </c>
      <c r="C908" s="1" t="s">
        <v>20</v>
      </c>
      <c r="D908" s="1" t="s">
        <v>1187</v>
      </c>
      <c r="E908" s="1" t="s">
        <v>1188</v>
      </c>
      <c r="F908" s="1" t="s">
        <v>1189</v>
      </c>
      <c r="G908" s="1" t="s">
        <v>1190</v>
      </c>
      <c r="H908" s="2"/>
      <c r="I908" s="2"/>
      <c r="J908" s="2"/>
      <c r="K908" s="2"/>
    </row>
    <row x14ac:dyDescent="0.25" r="909" customHeight="1" ht="17.25">
      <c r="A909" s="1" t="s">
        <v>1953</v>
      </c>
      <c r="B909" s="1" t="s">
        <v>1954</v>
      </c>
      <c r="C909" s="1" t="s">
        <v>20</v>
      </c>
      <c r="D909" s="1" t="s">
        <v>1187</v>
      </c>
      <c r="E909" s="1" t="s">
        <v>1188</v>
      </c>
      <c r="F909" s="1" t="s">
        <v>1189</v>
      </c>
      <c r="G909" s="1" t="s">
        <v>1190</v>
      </c>
      <c r="H909" s="2"/>
      <c r="I909" s="2"/>
      <c r="J909" s="2"/>
      <c r="K909" s="2"/>
    </row>
    <row x14ac:dyDescent="0.25" r="910" customHeight="1" ht="17.25">
      <c r="A910" s="1" t="s">
        <v>1955</v>
      </c>
      <c r="B910" s="1" t="s">
        <v>1956</v>
      </c>
      <c r="C910" s="1" t="s">
        <v>20</v>
      </c>
      <c r="D910" s="1" t="s">
        <v>1187</v>
      </c>
      <c r="E910" s="1" t="s">
        <v>1188</v>
      </c>
      <c r="F910" s="1" t="s">
        <v>1189</v>
      </c>
      <c r="G910" s="1" t="s">
        <v>1190</v>
      </c>
      <c r="H910" s="2"/>
      <c r="I910" s="2"/>
      <c r="J910" s="2"/>
      <c r="K910" s="2"/>
    </row>
    <row x14ac:dyDescent="0.25" r="911" customHeight="1" ht="17.25">
      <c r="A911" s="1" t="s">
        <v>1957</v>
      </c>
      <c r="B911" s="1" t="s">
        <v>1958</v>
      </c>
      <c r="C911" s="1" t="s">
        <v>20</v>
      </c>
      <c r="D911" s="1" t="s">
        <v>1187</v>
      </c>
      <c r="E911" s="1" t="s">
        <v>1188</v>
      </c>
      <c r="F911" s="1" t="s">
        <v>1189</v>
      </c>
      <c r="G911" s="1" t="s">
        <v>1190</v>
      </c>
      <c r="H911" s="2"/>
      <c r="I911" s="2"/>
      <c r="J911" s="2"/>
      <c r="K911" s="2"/>
    </row>
    <row x14ac:dyDescent="0.25" r="912" customHeight="1" ht="17.25">
      <c r="A912" s="1" t="s">
        <v>1959</v>
      </c>
      <c r="B912" s="1" t="s">
        <v>1960</v>
      </c>
      <c r="C912" s="1" t="s">
        <v>20</v>
      </c>
      <c r="D912" s="1" t="s">
        <v>1187</v>
      </c>
      <c r="E912" s="1" t="s">
        <v>1188</v>
      </c>
      <c r="F912" s="1" t="s">
        <v>1189</v>
      </c>
      <c r="G912" s="1" t="s">
        <v>1190</v>
      </c>
      <c r="H912" s="2"/>
      <c r="I912" s="2"/>
      <c r="J912" s="2"/>
      <c r="K912" s="2"/>
    </row>
    <row x14ac:dyDescent="0.25" r="913" customHeight="1" ht="17.25">
      <c r="A913" s="1" t="s">
        <v>1961</v>
      </c>
      <c r="B913" s="1" t="s">
        <v>1962</v>
      </c>
      <c r="C913" s="1" t="s">
        <v>20</v>
      </c>
      <c r="D913" s="1" t="s">
        <v>1187</v>
      </c>
      <c r="E913" s="1" t="s">
        <v>1188</v>
      </c>
      <c r="F913" s="1" t="s">
        <v>1189</v>
      </c>
      <c r="G913" s="1" t="s">
        <v>1190</v>
      </c>
      <c r="H913" s="2"/>
      <c r="I913" s="2"/>
      <c r="J913" s="2"/>
      <c r="K913" s="2"/>
    </row>
    <row x14ac:dyDescent="0.25" r="914" customHeight="1" ht="17.25">
      <c r="A914" s="1" t="s">
        <v>1963</v>
      </c>
      <c r="B914" s="1" t="s">
        <v>1964</v>
      </c>
      <c r="C914" s="1" t="s">
        <v>20</v>
      </c>
      <c r="D914" s="1" t="s">
        <v>1187</v>
      </c>
      <c r="E914" s="1" t="s">
        <v>1188</v>
      </c>
      <c r="F914" s="1" t="s">
        <v>1189</v>
      </c>
      <c r="G914" s="1" t="s">
        <v>1190</v>
      </c>
      <c r="H914" s="2"/>
      <c r="I914" s="2"/>
      <c r="J914" s="2"/>
      <c r="K914" s="2"/>
    </row>
    <row x14ac:dyDescent="0.25" r="915" customHeight="1" ht="17.25">
      <c r="A915" s="1" t="s">
        <v>1965</v>
      </c>
      <c r="B915" s="1" t="s">
        <v>1966</v>
      </c>
      <c r="C915" s="1" t="s">
        <v>20</v>
      </c>
      <c r="D915" s="1" t="s">
        <v>1187</v>
      </c>
      <c r="E915" s="1" t="s">
        <v>1188</v>
      </c>
      <c r="F915" s="1" t="s">
        <v>1189</v>
      </c>
      <c r="G915" s="1" t="s">
        <v>1190</v>
      </c>
      <c r="H915" s="2"/>
      <c r="I915" s="2"/>
      <c r="J915" s="2"/>
      <c r="K915" s="2"/>
    </row>
    <row x14ac:dyDescent="0.25" r="916" customHeight="1" ht="17.25">
      <c r="A916" s="1" t="s">
        <v>1967</v>
      </c>
      <c r="B916" s="1" t="s">
        <v>1968</v>
      </c>
      <c r="C916" s="1" t="s">
        <v>20</v>
      </c>
      <c r="D916" s="1" t="s">
        <v>1187</v>
      </c>
      <c r="E916" s="1" t="s">
        <v>1188</v>
      </c>
      <c r="F916" s="1" t="s">
        <v>1189</v>
      </c>
      <c r="G916" s="1" t="s">
        <v>1190</v>
      </c>
      <c r="H916" s="2"/>
      <c r="I916" s="2"/>
      <c r="J916" s="2"/>
      <c r="K916" s="2"/>
    </row>
    <row x14ac:dyDescent="0.25" r="917" customHeight="1" ht="17.25">
      <c r="A917" s="1" t="s">
        <v>1969</v>
      </c>
      <c r="B917" s="1" t="s">
        <v>1970</v>
      </c>
      <c r="C917" s="1" t="s">
        <v>20</v>
      </c>
      <c r="D917" s="1" t="s">
        <v>1187</v>
      </c>
      <c r="E917" s="1" t="s">
        <v>1188</v>
      </c>
      <c r="F917" s="1" t="s">
        <v>1189</v>
      </c>
      <c r="G917" s="1" t="s">
        <v>1190</v>
      </c>
      <c r="H917" s="2"/>
      <c r="I917" s="2"/>
      <c r="J917" s="2"/>
      <c r="K917" s="2"/>
    </row>
    <row x14ac:dyDescent="0.25" r="918" customHeight="1" ht="17.25">
      <c r="A918" s="1" t="s">
        <v>1971</v>
      </c>
      <c r="B918" s="1" t="s">
        <v>1972</v>
      </c>
      <c r="C918" s="1" t="s">
        <v>20</v>
      </c>
      <c r="D918" s="1" t="s">
        <v>1187</v>
      </c>
      <c r="E918" s="1" t="s">
        <v>1188</v>
      </c>
      <c r="F918" s="1" t="s">
        <v>1189</v>
      </c>
      <c r="G918" s="1" t="s">
        <v>1190</v>
      </c>
      <c r="H918" s="2"/>
      <c r="I918" s="2"/>
      <c r="J918" s="2"/>
      <c r="K918" s="2"/>
    </row>
    <row x14ac:dyDescent="0.25" r="919" customHeight="1" ht="17.25">
      <c r="A919" s="1" t="s">
        <v>1973</v>
      </c>
      <c r="B919" s="1" t="s">
        <v>1974</v>
      </c>
      <c r="C919" s="1" t="s">
        <v>20</v>
      </c>
      <c r="D919" s="1" t="s">
        <v>1187</v>
      </c>
      <c r="E919" s="1" t="s">
        <v>1188</v>
      </c>
      <c r="F919" s="1" t="s">
        <v>1189</v>
      </c>
      <c r="G919" s="1" t="s">
        <v>1190</v>
      </c>
      <c r="H919" s="2"/>
      <c r="I919" s="2"/>
      <c r="J919" s="2"/>
      <c r="K919" s="2"/>
    </row>
    <row x14ac:dyDescent="0.25" r="920" customHeight="1" ht="17.25">
      <c r="A920" s="1" t="s">
        <v>1975</v>
      </c>
      <c r="B920" s="1" t="s">
        <v>1976</v>
      </c>
      <c r="C920" s="1" t="s">
        <v>20</v>
      </c>
      <c r="D920" s="1" t="s">
        <v>1187</v>
      </c>
      <c r="E920" s="1" t="s">
        <v>1188</v>
      </c>
      <c r="F920" s="1" t="s">
        <v>1189</v>
      </c>
      <c r="G920" s="1" t="s">
        <v>1190</v>
      </c>
      <c r="H920" s="2"/>
      <c r="I920" s="2"/>
      <c r="J920" s="2"/>
      <c r="K920" s="2"/>
    </row>
    <row x14ac:dyDescent="0.25" r="921" customHeight="1" ht="17.25">
      <c r="A921" s="1" t="s">
        <v>1977</v>
      </c>
      <c r="B921" s="1" t="s">
        <v>1978</v>
      </c>
      <c r="C921" s="1" t="s">
        <v>20</v>
      </c>
      <c r="D921" s="1" t="s">
        <v>1187</v>
      </c>
      <c r="E921" s="1" t="s">
        <v>1188</v>
      </c>
      <c r="F921" s="1" t="s">
        <v>1189</v>
      </c>
      <c r="G921" s="1" t="s">
        <v>1190</v>
      </c>
      <c r="H921" s="2"/>
      <c r="I921" s="2"/>
      <c r="J921" s="2"/>
      <c r="K921" s="2"/>
    </row>
    <row x14ac:dyDescent="0.25" r="922" customHeight="1" ht="17.25">
      <c r="A922" s="1" t="s">
        <v>1979</v>
      </c>
      <c r="B922" s="1" t="s">
        <v>1980</v>
      </c>
      <c r="C922" s="1" t="s">
        <v>20</v>
      </c>
      <c r="D922" s="1" t="s">
        <v>1187</v>
      </c>
      <c r="E922" s="1" t="s">
        <v>1188</v>
      </c>
      <c r="F922" s="1" t="s">
        <v>1189</v>
      </c>
      <c r="G922" s="1" t="s">
        <v>1190</v>
      </c>
      <c r="H922" s="2"/>
      <c r="I922" s="2"/>
      <c r="J922" s="2"/>
      <c r="K922" s="2"/>
    </row>
    <row x14ac:dyDescent="0.25" r="923" customHeight="1" ht="17.25">
      <c r="A923" s="1" t="s">
        <v>1981</v>
      </c>
      <c r="B923" s="1" t="s">
        <v>1982</v>
      </c>
      <c r="C923" s="1" t="s">
        <v>20</v>
      </c>
      <c r="D923" s="1" t="s">
        <v>1187</v>
      </c>
      <c r="E923" s="1" t="s">
        <v>1188</v>
      </c>
      <c r="F923" s="1" t="s">
        <v>1189</v>
      </c>
      <c r="G923" s="1" t="s">
        <v>1190</v>
      </c>
      <c r="H923" s="2"/>
      <c r="I923" s="2"/>
      <c r="J923" s="2"/>
      <c r="K923" s="2"/>
    </row>
    <row x14ac:dyDescent="0.25" r="924" customHeight="1" ht="17.25">
      <c r="A924" s="1" t="s">
        <v>1983</v>
      </c>
      <c r="B924" s="1" t="s">
        <v>1984</v>
      </c>
      <c r="C924" s="1" t="s">
        <v>20</v>
      </c>
      <c r="D924" s="1" t="s">
        <v>1187</v>
      </c>
      <c r="E924" s="1" t="s">
        <v>1188</v>
      </c>
      <c r="F924" s="1" t="s">
        <v>1189</v>
      </c>
      <c r="G924" s="1" t="s">
        <v>1190</v>
      </c>
      <c r="H924" s="2"/>
      <c r="I924" s="2"/>
      <c r="J924" s="2"/>
      <c r="K924" s="2"/>
    </row>
    <row x14ac:dyDescent="0.25" r="925" customHeight="1" ht="17.25">
      <c r="A925" s="1" t="s">
        <v>1985</v>
      </c>
      <c r="B925" s="1" t="s">
        <v>1986</v>
      </c>
      <c r="C925" s="1" t="s">
        <v>20</v>
      </c>
      <c r="D925" s="1" t="s">
        <v>1187</v>
      </c>
      <c r="E925" s="1" t="s">
        <v>1188</v>
      </c>
      <c r="F925" s="1" t="s">
        <v>1189</v>
      </c>
      <c r="G925" s="1" t="s">
        <v>1190</v>
      </c>
      <c r="H925" s="2"/>
      <c r="I925" s="2"/>
      <c r="J925" s="2"/>
      <c r="K925" s="2"/>
    </row>
    <row x14ac:dyDescent="0.25" r="926" customHeight="1" ht="17.25">
      <c r="A926" s="1" t="s">
        <v>1987</v>
      </c>
      <c r="B926" s="1" t="s">
        <v>1988</v>
      </c>
      <c r="C926" s="1" t="s">
        <v>20</v>
      </c>
      <c r="D926" s="1" t="s">
        <v>1187</v>
      </c>
      <c r="E926" s="1" t="s">
        <v>1188</v>
      </c>
      <c r="F926" s="1" t="s">
        <v>1189</v>
      </c>
      <c r="G926" s="1" t="s">
        <v>1190</v>
      </c>
      <c r="H926" s="2"/>
      <c r="I926" s="2"/>
      <c r="J926" s="2"/>
      <c r="K926" s="2"/>
    </row>
    <row x14ac:dyDescent="0.25" r="927" customHeight="1" ht="17.25">
      <c r="A927" s="1" t="s">
        <v>1989</v>
      </c>
      <c r="B927" s="1" t="s">
        <v>1990</v>
      </c>
      <c r="C927" s="1" t="s">
        <v>20</v>
      </c>
      <c r="D927" s="1" t="s">
        <v>1187</v>
      </c>
      <c r="E927" s="1" t="s">
        <v>1188</v>
      </c>
      <c r="F927" s="1" t="s">
        <v>1189</v>
      </c>
      <c r="G927" s="1" t="s">
        <v>1190</v>
      </c>
      <c r="H927" s="2"/>
      <c r="I927" s="2"/>
      <c r="J927" s="2"/>
      <c r="K927" s="2"/>
    </row>
    <row x14ac:dyDescent="0.25" r="928" customHeight="1" ht="17.25">
      <c r="A928" s="1" t="s">
        <v>1991</v>
      </c>
      <c r="B928" s="1" t="s">
        <v>1992</v>
      </c>
      <c r="C928" s="1" t="s">
        <v>20</v>
      </c>
      <c r="D928" s="1" t="s">
        <v>1187</v>
      </c>
      <c r="E928" s="1" t="s">
        <v>1188</v>
      </c>
      <c r="F928" s="1" t="s">
        <v>1189</v>
      </c>
      <c r="G928" s="1" t="s">
        <v>1190</v>
      </c>
      <c r="H928" s="2"/>
      <c r="I928" s="2"/>
      <c r="J928" s="2"/>
      <c r="K928" s="2"/>
    </row>
    <row x14ac:dyDescent="0.25" r="929" customHeight="1" ht="17.25">
      <c r="A929" s="1" t="s">
        <v>1993</v>
      </c>
      <c r="B929" s="1" t="s">
        <v>1994</v>
      </c>
      <c r="C929" s="1" t="s">
        <v>20</v>
      </c>
      <c r="D929" s="1" t="s">
        <v>1187</v>
      </c>
      <c r="E929" s="1" t="s">
        <v>1188</v>
      </c>
      <c r="F929" s="1" t="s">
        <v>1189</v>
      </c>
      <c r="G929" s="1" t="s">
        <v>1190</v>
      </c>
      <c r="H929" s="2"/>
      <c r="I929" s="2"/>
      <c r="J929" s="2"/>
      <c r="K929" s="2"/>
    </row>
    <row x14ac:dyDescent="0.25" r="930" customHeight="1" ht="17.25">
      <c r="A930" s="1" t="s">
        <v>1995</v>
      </c>
      <c r="B930" s="1" t="s">
        <v>1996</v>
      </c>
      <c r="C930" s="1" t="s">
        <v>20</v>
      </c>
      <c r="D930" s="1" t="s">
        <v>1187</v>
      </c>
      <c r="E930" s="1" t="s">
        <v>1188</v>
      </c>
      <c r="F930" s="1" t="s">
        <v>1189</v>
      </c>
      <c r="G930" s="1" t="s">
        <v>1190</v>
      </c>
      <c r="H930" s="2"/>
      <c r="I930" s="2"/>
      <c r="J930" s="2"/>
      <c r="K930" s="2"/>
    </row>
    <row x14ac:dyDescent="0.25" r="931" customHeight="1" ht="17.25">
      <c r="A931" s="1" t="s">
        <v>1997</v>
      </c>
      <c r="B931" s="1" t="s">
        <v>1998</v>
      </c>
      <c r="C931" s="1" t="s">
        <v>20</v>
      </c>
      <c r="D931" s="1" t="s">
        <v>1187</v>
      </c>
      <c r="E931" s="1" t="s">
        <v>1188</v>
      </c>
      <c r="F931" s="1" t="s">
        <v>1189</v>
      </c>
      <c r="G931" s="1" t="s">
        <v>1190</v>
      </c>
      <c r="H931" s="2"/>
      <c r="I931" s="2"/>
      <c r="J931" s="2"/>
      <c r="K931" s="2"/>
    </row>
    <row x14ac:dyDescent="0.25" r="932" customHeight="1" ht="17.25">
      <c r="A932" s="1" t="s">
        <v>1999</v>
      </c>
      <c r="B932" s="1" t="s">
        <v>2000</v>
      </c>
      <c r="C932" s="1" t="s">
        <v>20</v>
      </c>
      <c r="D932" s="1" t="s">
        <v>1187</v>
      </c>
      <c r="E932" s="1" t="s">
        <v>1188</v>
      </c>
      <c r="F932" s="1" t="s">
        <v>1189</v>
      </c>
      <c r="G932" s="1" t="s">
        <v>1190</v>
      </c>
      <c r="H932" s="2"/>
      <c r="I932" s="2"/>
      <c r="J932" s="2"/>
      <c r="K932" s="2"/>
    </row>
    <row x14ac:dyDescent="0.25" r="933" customHeight="1" ht="17.25">
      <c r="A933" s="1" t="s">
        <v>2001</v>
      </c>
      <c r="B933" s="1" t="s">
        <v>2002</v>
      </c>
      <c r="C933" s="1" t="s">
        <v>20</v>
      </c>
      <c r="D933" s="1" t="s">
        <v>1187</v>
      </c>
      <c r="E933" s="1" t="s">
        <v>1188</v>
      </c>
      <c r="F933" s="1" t="s">
        <v>1189</v>
      </c>
      <c r="G933" s="1" t="s">
        <v>1190</v>
      </c>
      <c r="H933" s="2"/>
      <c r="I933" s="2"/>
      <c r="J933" s="2"/>
      <c r="K933" s="2"/>
    </row>
    <row x14ac:dyDescent="0.25" r="934" customHeight="1" ht="17.25">
      <c r="A934" s="1" t="s">
        <v>2003</v>
      </c>
      <c r="B934" s="1" t="s">
        <v>2004</v>
      </c>
      <c r="C934" s="1" t="s">
        <v>20</v>
      </c>
      <c r="D934" s="1" t="s">
        <v>1187</v>
      </c>
      <c r="E934" s="1" t="s">
        <v>1188</v>
      </c>
      <c r="F934" s="1" t="s">
        <v>1189</v>
      </c>
      <c r="G934" s="1" t="s">
        <v>1190</v>
      </c>
      <c r="H934" s="2"/>
      <c r="I934" s="2"/>
      <c r="J934" s="2"/>
      <c r="K934" s="2"/>
    </row>
    <row x14ac:dyDescent="0.25" r="935" customHeight="1" ht="17.25">
      <c r="A935" s="1" t="s">
        <v>2005</v>
      </c>
      <c r="B935" s="1" t="s">
        <v>2006</v>
      </c>
      <c r="C935" s="1" t="s">
        <v>20</v>
      </c>
      <c r="D935" s="1" t="s">
        <v>1187</v>
      </c>
      <c r="E935" s="1" t="s">
        <v>1188</v>
      </c>
      <c r="F935" s="1" t="s">
        <v>1189</v>
      </c>
      <c r="G935" s="1" t="s">
        <v>1190</v>
      </c>
      <c r="H935" s="2"/>
      <c r="I935" s="2"/>
      <c r="J935" s="2"/>
      <c r="K935" s="2"/>
    </row>
    <row x14ac:dyDescent="0.25" r="936" customHeight="1" ht="17.25">
      <c r="A936" s="1" t="s">
        <v>2007</v>
      </c>
      <c r="B936" s="1" t="s">
        <v>2008</v>
      </c>
      <c r="C936" s="1" t="s">
        <v>20</v>
      </c>
      <c r="D936" s="1" t="s">
        <v>1187</v>
      </c>
      <c r="E936" s="1" t="s">
        <v>1188</v>
      </c>
      <c r="F936" s="1" t="s">
        <v>1189</v>
      </c>
      <c r="G936" s="1" t="s">
        <v>1190</v>
      </c>
      <c r="H936" s="2"/>
      <c r="I936" s="2"/>
      <c r="J936" s="2"/>
      <c r="K936" s="2"/>
    </row>
    <row x14ac:dyDescent="0.25" r="937" customHeight="1" ht="17.25">
      <c r="A937" s="1" t="s">
        <v>2009</v>
      </c>
      <c r="B937" s="1" t="s">
        <v>2010</v>
      </c>
      <c r="C937" s="1" t="s">
        <v>20</v>
      </c>
      <c r="D937" s="1" t="s">
        <v>1187</v>
      </c>
      <c r="E937" s="1" t="s">
        <v>1188</v>
      </c>
      <c r="F937" s="1" t="s">
        <v>1189</v>
      </c>
      <c r="G937" s="1" t="s">
        <v>1190</v>
      </c>
      <c r="H937" s="2"/>
      <c r="I937" s="2"/>
      <c r="J937" s="2"/>
      <c r="K937" s="2"/>
    </row>
    <row x14ac:dyDescent="0.25" r="938" customHeight="1" ht="17.25">
      <c r="A938" s="1" t="s">
        <v>2011</v>
      </c>
      <c r="B938" s="1" t="s">
        <v>2012</v>
      </c>
      <c r="C938" s="1" t="s">
        <v>20</v>
      </c>
      <c r="D938" s="1" t="s">
        <v>1187</v>
      </c>
      <c r="E938" s="1" t="s">
        <v>1188</v>
      </c>
      <c r="F938" s="1" t="s">
        <v>1189</v>
      </c>
      <c r="G938" s="1" t="s">
        <v>1190</v>
      </c>
      <c r="H938" s="2"/>
      <c r="I938" s="2"/>
      <c r="J938" s="2"/>
      <c r="K938" s="2"/>
    </row>
    <row x14ac:dyDescent="0.25" r="939" customHeight="1" ht="17.25">
      <c r="A939" s="1" t="s">
        <v>2013</v>
      </c>
      <c r="B939" s="1" t="s">
        <v>2014</v>
      </c>
      <c r="C939" s="1" t="s">
        <v>20</v>
      </c>
      <c r="D939" s="1" t="s">
        <v>1187</v>
      </c>
      <c r="E939" s="1" t="s">
        <v>1188</v>
      </c>
      <c r="F939" s="1" t="s">
        <v>1189</v>
      </c>
      <c r="G939" s="1" t="s">
        <v>1190</v>
      </c>
      <c r="H939" s="2"/>
      <c r="I939" s="2"/>
      <c r="J939" s="2"/>
      <c r="K939" s="2"/>
    </row>
    <row x14ac:dyDescent="0.25" r="940" customHeight="1" ht="17.25">
      <c r="A940" s="1" t="s">
        <v>2015</v>
      </c>
      <c r="B940" s="1" t="s">
        <v>2016</v>
      </c>
      <c r="C940" s="1" t="s">
        <v>20</v>
      </c>
      <c r="D940" s="1" t="s">
        <v>1187</v>
      </c>
      <c r="E940" s="1" t="s">
        <v>1188</v>
      </c>
      <c r="F940" s="1" t="s">
        <v>1189</v>
      </c>
      <c r="G940" s="1" t="s">
        <v>1190</v>
      </c>
      <c r="H940" s="2"/>
      <c r="I940" s="2"/>
      <c r="J940" s="2"/>
      <c r="K940" s="2"/>
    </row>
    <row x14ac:dyDescent="0.25" r="941" customHeight="1" ht="17.25">
      <c r="A941" s="1" t="s">
        <v>2017</v>
      </c>
      <c r="B941" s="1" t="s">
        <v>2018</v>
      </c>
      <c r="C941" s="1" t="s">
        <v>20</v>
      </c>
      <c r="D941" s="1" t="s">
        <v>1187</v>
      </c>
      <c r="E941" s="1" t="s">
        <v>1188</v>
      </c>
      <c r="F941" s="1" t="s">
        <v>1189</v>
      </c>
      <c r="G941" s="1" t="s">
        <v>1190</v>
      </c>
      <c r="H941" s="2"/>
      <c r="I941" s="2"/>
      <c r="J941" s="2"/>
      <c r="K941" s="2"/>
    </row>
    <row x14ac:dyDescent="0.25" r="942" customHeight="1" ht="17.25">
      <c r="A942" s="1" t="s">
        <v>2019</v>
      </c>
      <c r="B942" s="1" t="s">
        <v>2020</v>
      </c>
      <c r="C942" s="1" t="s">
        <v>20</v>
      </c>
      <c r="D942" s="1" t="s">
        <v>1187</v>
      </c>
      <c r="E942" s="1" t="s">
        <v>1188</v>
      </c>
      <c r="F942" s="1" t="s">
        <v>1189</v>
      </c>
      <c r="G942" s="1" t="s">
        <v>1190</v>
      </c>
      <c r="H942" s="2"/>
      <c r="I942" s="2"/>
      <c r="J942" s="2"/>
      <c r="K942" s="2"/>
    </row>
    <row x14ac:dyDescent="0.25" r="943" customHeight="1" ht="17.25">
      <c r="A943" s="1" t="s">
        <v>2021</v>
      </c>
      <c r="B943" s="1" t="s">
        <v>2022</v>
      </c>
      <c r="C943" s="1" t="s">
        <v>20</v>
      </c>
      <c r="D943" s="1" t="s">
        <v>1187</v>
      </c>
      <c r="E943" s="1" t="s">
        <v>1188</v>
      </c>
      <c r="F943" s="1" t="s">
        <v>1189</v>
      </c>
      <c r="G943" s="1" t="s">
        <v>1190</v>
      </c>
      <c r="H943" s="2"/>
      <c r="I943" s="2"/>
      <c r="J943" s="2"/>
      <c r="K943" s="2"/>
    </row>
    <row x14ac:dyDescent="0.25" r="944" customHeight="1" ht="17.25">
      <c r="A944" s="1" t="s">
        <v>2023</v>
      </c>
      <c r="B944" s="1" t="s">
        <v>2024</v>
      </c>
      <c r="C944" s="1" t="s">
        <v>20</v>
      </c>
      <c r="D944" s="1" t="s">
        <v>1187</v>
      </c>
      <c r="E944" s="1" t="s">
        <v>1188</v>
      </c>
      <c r="F944" s="1" t="s">
        <v>1189</v>
      </c>
      <c r="G944" s="1" t="s">
        <v>1190</v>
      </c>
      <c r="H944" s="2"/>
      <c r="I944" s="2"/>
      <c r="J944" s="2"/>
      <c r="K944" s="2"/>
    </row>
    <row x14ac:dyDescent="0.25" r="945" customHeight="1" ht="17.25">
      <c r="A945" s="1" t="s">
        <v>2025</v>
      </c>
      <c r="B945" s="1" t="s">
        <v>2026</v>
      </c>
      <c r="C945" s="1" t="s">
        <v>20</v>
      </c>
      <c r="D945" s="1" t="s">
        <v>1187</v>
      </c>
      <c r="E945" s="1" t="s">
        <v>1188</v>
      </c>
      <c r="F945" s="1" t="s">
        <v>1189</v>
      </c>
      <c r="G945" s="1" t="s">
        <v>1190</v>
      </c>
      <c r="H945" s="2"/>
      <c r="I945" s="2"/>
      <c r="J945" s="2"/>
      <c r="K945" s="2"/>
    </row>
    <row x14ac:dyDescent="0.25" r="946" customHeight="1" ht="17.25">
      <c r="A946" s="1" t="s">
        <v>2027</v>
      </c>
      <c r="B946" s="1" t="s">
        <v>2028</v>
      </c>
      <c r="C946" s="1" t="s">
        <v>20</v>
      </c>
      <c r="D946" s="1" t="s">
        <v>1187</v>
      </c>
      <c r="E946" s="1" t="s">
        <v>1188</v>
      </c>
      <c r="F946" s="1" t="s">
        <v>1189</v>
      </c>
      <c r="G946" s="1" t="s">
        <v>1190</v>
      </c>
      <c r="H946" s="2"/>
      <c r="I946" s="2"/>
      <c r="J946" s="2"/>
      <c r="K946" s="2"/>
    </row>
    <row x14ac:dyDescent="0.25" r="947" customHeight="1" ht="17.25">
      <c r="A947" s="1" t="s">
        <v>2029</v>
      </c>
      <c r="B947" s="1" t="s">
        <v>2030</v>
      </c>
      <c r="C947" s="1" t="s">
        <v>20</v>
      </c>
      <c r="D947" s="1" t="s">
        <v>1187</v>
      </c>
      <c r="E947" s="1" t="s">
        <v>1188</v>
      </c>
      <c r="F947" s="1" t="s">
        <v>1189</v>
      </c>
      <c r="G947" s="1" t="s">
        <v>1190</v>
      </c>
      <c r="H947" s="2"/>
      <c r="I947" s="2"/>
      <c r="J947" s="2"/>
      <c r="K947" s="2"/>
    </row>
    <row x14ac:dyDescent="0.25" r="948" customHeight="1" ht="17.25">
      <c r="A948" s="1" t="s">
        <v>2031</v>
      </c>
      <c r="B948" s="1" t="s">
        <v>2032</v>
      </c>
      <c r="C948" s="1" t="s">
        <v>20</v>
      </c>
      <c r="D948" s="1" t="s">
        <v>1187</v>
      </c>
      <c r="E948" s="1" t="s">
        <v>1188</v>
      </c>
      <c r="F948" s="1" t="s">
        <v>1189</v>
      </c>
      <c r="G948" s="1" t="s">
        <v>1190</v>
      </c>
      <c r="H948" s="2"/>
      <c r="I948" s="2"/>
      <c r="J948" s="2"/>
      <c r="K948" s="2"/>
    </row>
    <row x14ac:dyDescent="0.25" r="949" customHeight="1" ht="17.25">
      <c r="A949" s="1" t="s">
        <v>2033</v>
      </c>
      <c r="B949" s="1" t="s">
        <v>2034</v>
      </c>
      <c r="C949" s="1" t="s">
        <v>20</v>
      </c>
      <c r="D949" s="1" t="s">
        <v>1187</v>
      </c>
      <c r="E949" s="1" t="s">
        <v>1188</v>
      </c>
      <c r="F949" s="1" t="s">
        <v>1189</v>
      </c>
      <c r="G949" s="1" t="s">
        <v>1190</v>
      </c>
      <c r="H949" s="2"/>
      <c r="I949" s="2"/>
      <c r="J949" s="2"/>
      <c r="K949" s="2"/>
    </row>
    <row x14ac:dyDescent="0.25" r="950" customHeight="1" ht="17.25">
      <c r="A950" s="1" t="s">
        <v>2035</v>
      </c>
      <c r="B950" s="1" t="s">
        <v>2036</v>
      </c>
      <c r="C950" s="1" t="s">
        <v>20</v>
      </c>
      <c r="D950" s="1" t="s">
        <v>1187</v>
      </c>
      <c r="E950" s="1" t="s">
        <v>1188</v>
      </c>
      <c r="F950" s="1" t="s">
        <v>1189</v>
      </c>
      <c r="G950" s="1" t="s">
        <v>1190</v>
      </c>
      <c r="H950" s="2"/>
      <c r="I950" s="2"/>
      <c r="J950" s="2"/>
      <c r="K950" s="2"/>
    </row>
    <row x14ac:dyDescent="0.25" r="951" customHeight="1" ht="17.25">
      <c r="A951" s="1" t="s">
        <v>2037</v>
      </c>
      <c r="B951" s="1" t="s">
        <v>2038</v>
      </c>
      <c r="C951" s="1" t="s">
        <v>20</v>
      </c>
      <c r="D951" s="1" t="s">
        <v>1187</v>
      </c>
      <c r="E951" s="1" t="s">
        <v>1188</v>
      </c>
      <c r="F951" s="1" t="s">
        <v>1189</v>
      </c>
      <c r="G951" s="1" t="s">
        <v>1190</v>
      </c>
      <c r="H951" s="2"/>
      <c r="I951" s="2"/>
      <c r="J951" s="2"/>
      <c r="K951" s="2"/>
    </row>
    <row x14ac:dyDescent="0.25" r="952" customHeight="1" ht="17.25">
      <c r="A952" s="1" t="s">
        <v>2039</v>
      </c>
      <c r="B952" s="1" t="s">
        <v>2040</v>
      </c>
      <c r="C952" s="1" t="s">
        <v>20</v>
      </c>
      <c r="D952" s="1" t="s">
        <v>1187</v>
      </c>
      <c r="E952" s="1" t="s">
        <v>1188</v>
      </c>
      <c r="F952" s="1" t="s">
        <v>1189</v>
      </c>
      <c r="G952" s="1" t="s">
        <v>1190</v>
      </c>
      <c r="H952" s="2"/>
      <c r="I952" s="2"/>
      <c r="J952" s="2"/>
      <c r="K952" s="2"/>
    </row>
    <row x14ac:dyDescent="0.25" r="953" customHeight="1" ht="17.25">
      <c r="A953" s="1" t="s">
        <v>2041</v>
      </c>
      <c r="B953" s="1" t="s">
        <v>2042</v>
      </c>
      <c r="C953" s="1" t="s">
        <v>20</v>
      </c>
      <c r="D953" s="1" t="s">
        <v>1187</v>
      </c>
      <c r="E953" s="1" t="s">
        <v>1188</v>
      </c>
      <c r="F953" s="1" t="s">
        <v>1189</v>
      </c>
      <c r="G953" s="1" t="s">
        <v>1190</v>
      </c>
      <c r="H953" s="2"/>
      <c r="I953" s="2"/>
      <c r="J953" s="2"/>
      <c r="K953" s="2"/>
    </row>
    <row x14ac:dyDescent="0.25" r="954" customHeight="1" ht="17.25">
      <c r="A954" s="1" t="s">
        <v>2043</v>
      </c>
      <c r="B954" s="1" t="s">
        <v>2044</v>
      </c>
      <c r="C954" s="1" t="s">
        <v>20</v>
      </c>
      <c r="D954" s="1" t="s">
        <v>1187</v>
      </c>
      <c r="E954" s="1" t="s">
        <v>1188</v>
      </c>
      <c r="F954" s="1" t="s">
        <v>1189</v>
      </c>
      <c r="G954" s="1" t="s">
        <v>1190</v>
      </c>
      <c r="H954" s="2"/>
      <c r="I954" s="2"/>
      <c r="J954" s="2"/>
      <c r="K954" s="2"/>
    </row>
    <row x14ac:dyDescent="0.25" r="955" customHeight="1" ht="17.25">
      <c r="A955" s="1" t="s">
        <v>2045</v>
      </c>
      <c r="B955" s="1" t="s">
        <v>2046</v>
      </c>
      <c r="C955" s="1" t="s">
        <v>20</v>
      </c>
      <c r="D955" s="1" t="s">
        <v>1187</v>
      </c>
      <c r="E955" s="1" t="s">
        <v>1188</v>
      </c>
      <c r="F955" s="1" t="s">
        <v>1189</v>
      </c>
      <c r="G955" s="1" t="s">
        <v>1190</v>
      </c>
      <c r="H955" s="2"/>
      <c r="I955" s="2"/>
      <c r="J955" s="2"/>
      <c r="K955" s="2"/>
    </row>
    <row x14ac:dyDescent="0.25" r="956" customHeight="1" ht="17.25">
      <c r="A956" s="1" t="s">
        <v>2047</v>
      </c>
      <c r="B956" s="1" t="s">
        <v>2048</v>
      </c>
      <c r="C956" s="1" t="s">
        <v>20</v>
      </c>
      <c r="D956" s="1" t="s">
        <v>1187</v>
      </c>
      <c r="E956" s="1" t="s">
        <v>1188</v>
      </c>
      <c r="F956" s="1" t="s">
        <v>1189</v>
      </c>
      <c r="G956" s="1" t="s">
        <v>1190</v>
      </c>
      <c r="H956" s="2"/>
      <c r="I956" s="2"/>
      <c r="J956" s="2"/>
      <c r="K956" s="2"/>
    </row>
    <row x14ac:dyDescent="0.25" r="957" customHeight="1" ht="17.25">
      <c r="A957" s="1" t="s">
        <v>2049</v>
      </c>
      <c r="B957" s="1" t="s">
        <v>2050</v>
      </c>
      <c r="C957" s="1" t="s">
        <v>20</v>
      </c>
      <c r="D957" s="1" t="s">
        <v>1187</v>
      </c>
      <c r="E957" s="1" t="s">
        <v>1188</v>
      </c>
      <c r="F957" s="1" t="s">
        <v>1189</v>
      </c>
      <c r="G957" s="1" t="s">
        <v>1190</v>
      </c>
      <c r="H957" s="2"/>
      <c r="I957" s="2"/>
      <c r="J957" s="2"/>
      <c r="K957" s="2"/>
    </row>
    <row x14ac:dyDescent="0.25" r="958" customHeight="1" ht="17.25">
      <c r="A958" s="1" t="s">
        <v>2051</v>
      </c>
      <c r="B958" s="1" t="s">
        <v>2052</v>
      </c>
      <c r="C958" s="1" t="s">
        <v>20</v>
      </c>
      <c r="D958" s="1" t="s">
        <v>1187</v>
      </c>
      <c r="E958" s="1" t="s">
        <v>1188</v>
      </c>
      <c r="F958" s="1" t="s">
        <v>1189</v>
      </c>
      <c r="G958" s="1" t="s">
        <v>1190</v>
      </c>
      <c r="H958" s="2"/>
      <c r="I958" s="2"/>
      <c r="J958" s="2"/>
      <c r="K958" s="2"/>
    </row>
    <row x14ac:dyDescent="0.25" r="959" customHeight="1" ht="17.25">
      <c r="A959" s="1" t="s">
        <v>2053</v>
      </c>
      <c r="B959" s="1" t="s">
        <v>2054</v>
      </c>
      <c r="C959" s="1" t="s">
        <v>20</v>
      </c>
      <c r="D959" s="1" t="s">
        <v>1187</v>
      </c>
      <c r="E959" s="1" t="s">
        <v>1188</v>
      </c>
      <c r="F959" s="1" t="s">
        <v>1189</v>
      </c>
      <c r="G959" s="1" t="s">
        <v>1190</v>
      </c>
      <c r="H959" s="2"/>
      <c r="I959" s="2"/>
      <c r="J959" s="2"/>
      <c r="K959" s="2"/>
    </row>
    <row x14ac:dyDescent="0.25" r="960" customHeight="1" ht="17.25">
      <c r="A960" s="1" t="s">
        <v>2055</v>
      </c>
      <c r="B960" s="1" t="s">
        <v>2056</v>
      </c>
      <c r="C960" s="1" t="s">
        <v>20</v>
      </c>
      <c r="D960" s="1" t="s">
        <v>1187</v>
      </c>
      <c r="E960" s="1" t="s">
        <v>1188</v>
      </c>
      <c r="F960" s="1" t="s">
        <v>1189</v>
      </c>
      <c r="G960" s="1" t="s">
        <v>1190</v>
      </c>
      <c r="H960" s="2"/>
      <c r="I960" s="2"/>
      <c r="J960" s="2"/>
      <c r="K960" s="2"/>
    </row>
    <row x14ac:dyDescent="0.25" r="961" customHeight="1" ht="17.25">
      <c r="A961" s="1" t="s">
        <v>2057</v>
      </c>
      <c r="B961" s="1" t="s">
        <v>2058</v>
      </c>
      <c r="C961" s="1" t="s">
        <v>20</v>
      </c>
      <c r="D961" s="1" t="s">
        <v>1187</v>
      </c>
      <c r="E961" s="1" t="s">
        <v>1188</v>
      </c>
      <c r="F961" s="1" t="s">
        <v>1189</v>
      </c>
      <c r="G961" s="1" t="s">
        <v>1190</v>
      </c>
      <c r="H961" s="2"/>
      <c r="I961" s="2"/>
      <c r="J961" s="2"/>
      <c r="K961" s="2"/>
    </row>
    <row x14ac:dyDescent="0.25" r="962" customHeight="1" ht="17.25">
      <c r="A962" s="1" t="s">
        <v>2059</v>
      </c>
      <c r="B962" s="1" t="s">
        <v>2060</v>
      </c>
      <c r="C962" s="1" t="s">
        <v>20</v>
      </c>
      <c r="D962" s="1" t="s">
        <v>1187</v>
      </c>
      <c r="E962" s="1" t="s">
        <v>1188</v>
      </c>
      <c r="F962" s="1" t="s">
        <v>1189</v>
      </c>
      <c r="G962" s="1" t="s">
        <v>1190</v>
      </c>
      <c r="H962" s="2"/>
      <c r="I962" s="2"/>
      <c r="J962" s="2"/>
      <c r="K962" s="2"/>
    </row>
    <row x14ac:dyDescent="0.25" r="963" customHeight="1" ht="17.25">
      <c r="A963" s="1" t="s">
        <v>2061</v>
      </c>
      <c r="B963" s="1" t="s">
        <v>2062</v>
      </c>
      <c r="C963" s="1" t="s">
        <v>20</v>
      </c>
      <c r="D963" s="1" t="s">
        <v>1187</v>
      </c>
      <c r="E963" s="1" t="s">
        <v>1188</v>
      </c>
      <c r="F963" s="1" t="s">
        <v>1189</v>
      </c>
      <c r="G963" s="1" t="s">
        <v>1190</v>
      </c>
      <c r="H963" s="2"/>
      <c r="I963" s="2"/>
      <c r="J963" s="2"/>
      <c r="K963" s="2"/>
    </row>
    <row x14ac:dyDescent="0.25" r="964" customHeight="1" ht="17.25">
      <c r="A964" s="1" t="s">
        <v>2063</v>
      </c>
      <c r="B964" s="1" t="s">
        <v>2064</v>
      </c>
      <c r="C964" s="1" t="s">
        <v>20</v>
      </c>
      <c r="D964" s="1" t="s">
        <v>1187</v>
      </c>
      <c r="E964" s="1" t="s">
        <v>1188</v>
      </c>
      <c r="F964" s="1" t="s">
        <v>1189</v>
      </c>
      <c r="G964" s="1" t="s">
        <v>1190</v>
      </c>
      <c r="H964" s="2"/>
      <c r="I964" s="2"/>
      <c r="J964" s="2"/>
      <c r="K964" s="2"/>
    </row>
    <row x14ac:dyDescent="0.25" r="965" customHeight="1" ht="17.25">
      <c r="A965" s="1" t="s">
        <v>2065</v>
      </c>
      <c r="B965" s="1" t="s">
        <v>2066</v>
      </c>
      <c r="C965" s="1" t="s">
        <v>20</v>
      </c>
      <c r="D965" s="1" t="s">
        <v>1187</v>
      </c>
      <c r="E965" s="1" t="s">
        <v>1188</v>
      </c>
      <c r="F965" s="1" t="s">
        <v>1189</v>
      </c>
      <c r="G965" s="1" t="s">
        <v>1190</v>
      </c>
      <c r="H965" s="2"/>
      <c r="I965" s="2"/>
      <c r="J965" s="2"/>
      <c r="K965" s="2"/>
    </row>
    <row x14ac:dyDescent="0.25" r="966" customHeight="1" ht="17.25">
      <c r="A966" s="1" t="s">
        <v>2067</v>
      </c>
      <c r="B966" s="1" t="s">
        <v>2068</v>
      </c>
      <c r="C966" s="1" t="s">
        <v>20</v>
      </c>
      <c r="D966" s="1" t="s">
        <v>1187</v>
      </c>
      <c r="E966" s="1" t="s">
        <v>1188</v>
      </c>
      <c r="F966" s="1" t="s">
        <v>1189</v>
      </c>
      <c r="G966" s="1" t="s">
        <v>1190</v>
      </c>
      <c r="H966" s="2"/>
      <c r="I966" s="2"/>
      <c r="J966" s="2"/>
      <c r="K966" s="2"/>
    </row>
    <row x14ac:dyDescent="0.25" r="967" customHeight="1" ht="17.25">
      <c r="A967" s="1" t="s">
        <v>2069</v>
      </c>
      <c r="B967" s="1" t="s">
        <v>2070</v>
      </c>
      <c r="C967" s="1" t="s">
        <v>20</v>
      </c>
      <c r="D967" s="1" t="s">
        <v>1187</v>
      </c>
      <c r="E967" s="1" t="s">
        <v>1188</v>
      </c>
      <c r="F967" s="1" t="s">
        <v>1189</v>
      </c>
      <c r="G967" s="1" t="s">
        <v>1190</v>
      </c>
      <c r="H967" s="2"/>
      <c r="I967" s="2"/>
      <c r="J967" s="2"/>
      <c r="K967" s="2"/>
    </row>
    <row x14ac:dyDescent="0.25" r="968" customHeight="1" ht="17.25">
      <c r="A968" s="1" t="s">
        <v>2071</v>
      </c>
      <c r="B968" s="1" t="s">
        <v>2072</v>
      </c>
      <c r="C968" s="1" t="s">
        <v>20</v>
      </c>
      <c r="D968" s="1" t="s">
        <v>1187</v>
      </c>
      <c r="E968" s="1" t="s">
        <v>1188</v>
      </c>
      <c r="F968" s="1" t="s">
        <v>1189</v>
      </c>
      <c r="G968" s="1" t="s">
        <v>1190</v>
      </c>
      <c r="H968" s="2"/>
      <c r="I968" s="2"/>
      <c r="J968" s="2"/>
      <c r="K968" s="2"/>
    </row>
    <row x14ac:dyDescent="0.25" r="969" customHeight="1" ht="17.25">
      <c r="A969" s="1" t="s">
        <v>2073</v>
      </c>
      <c r="B969" s="1" t="s">
        <v>2074</v>
      </c>
      <c r="C969" s="1" t="s">
        <v>20</v>
      </c>
      <c r="D969" s="1" t="s">
        <v>1187</v>
      </c>
      <c r="E969" s="1" t="s">
        <v>1188</v>
      </c>
      <c r="F969" s="1" t="s">
        <v>1189</v>
      </c>
      <c r="G969" s="1" t="s">
        <v>1190</v>
      </c>
      <c r="H969" s="2"/>
      <c r="I969" s="2"/>
      <c r="J969" s="2"/>
      <c r="K969" s="2"/>
    </row>
    <row x14ac:dyDescent="0.25" r="970" customHeight="1" ht="17.25">
      <c r="A970" s="1" t="s">
        <v>2075</v>
      </c>
      <c r="B970" s="1" t="s">
        <v>2076</v>
      </c>
      <c r="C970" s="1" t="s">
        <v>20</v>
      </c>
      <c r="D970" s="1" t="s">
        <v>1187</v>
      </c>
      <c r="E970" s="1" t="s">
        <v>1188</v>
      </c>
      <c r="F970" s="1" t="s">
        <v>1189</v>
      </c>
      <c r="G970" s="1" t="s">
        <v>1190</v>
      </c>
      <c r="H970" s="2"/>
      <c r="I970" s="2"/>
      <c r="J970" s="2"/>
      <c r="K970" s="2"/>
    </row>
    <row x14ac:dyDescent="0.25" r="971" customHeight="1" ht="17.25">
      <c r="A971" s="1" t="s">
        <v>2077</v>
      </c>
      <c r="B971" s="1" t="s">
        <v>2078</v>
      </c>
      <c r="C971" s="1" t="s">
        <v>20</v>
      </c>
      <c r="D971" s="1" t="s">
        <v>1187</v>
      </c>
      <c r="E971" s="1" t="s">
        <v>1188</v>
      </c>
      <c r="F971" s="1" t="s">
        <v>1189</v>
      </c>
      <c r="G971" s="1" t="s">
        <v>1190</v>
      </c>
      <c r="H971" s="2"/>
      <c r="I971" s="2"/>
      <c r="J971" s="2"/>
      <c r="K971" s="2"/>
    </row>
    <row x14ac:dyDescent="0.25" r="972" customHeight="1" ht="17.25">
      <c r="A972" s="1" t="s">
        <v>2079</v>
      </c>
      <c r="B972" s="1" t="s">
        <v>2080</v>
      </c>
      <c r="C972" s="1" t="s">
        <v>20</v>
      </c>
      <c r="D972" s="1" t="s">
        <v>1187</v>
      </c>
      <c r="E972" s="1" t="s">
        <v>1188</v>
      </c>
      <c r="F972" s="1" t="s">
        <v>1189</v>
      </c>
      <c r="G972" s="1" t="s">
        <v>1190</v>
      </c>
      <c r="H972" s="2"/>
      <c r="I972" s="2"/>
      <c r="J972" s="2"/>
      <c r="K972" s="2"/>
    </row>
    <row x14ac:dyDescent="0.25" r="973" customHeight="1" ht="17.25">
      <c r="A973" s="1" t="s">
        <v>2081</v>
      </c>
      <c r="B973" s="1" t="s">
        <v>2082</v>
      </c>
      <c r="C973" s="1" t="s">
        <v>20</v>
      </c>
      <c r="D973" s="1" t="s">
        <v>1187</v>
      </c>
      <c r="E973" s="1" t="s">
        <v>1188</v>
      </c>
      <c r="F973" s="1" t="s">
        <v>1189</v>
      </c>
      <c r="G973" s="1" t="s">
        <v>1190</v>
      </c>
      <c r="H973" s="2"/>
      <c r="I973" s="2"/>
      <c r="J973" s="2"/>
      <c r="K973" s="2"/>
    </row>
    <row x14ac:dyDescent="0.25" r="974" customHeight="1" ht="17.25">
      <c r="A974" s="1" t="s">
        <v>2083</v>
      </c>
      <c r="B974" s="1" t="s">
        <v>2084</v>
      </c>
      <c r="C974" s="1" t="s">
        <v>20</v>
      </c>
      <c r="D974" s="1" t="s">
        <v>1187</v>
      </c>
      <c r="E974" s="1" t="s">
        <v>1188</v>
      </c>
      <c r="F974" s="1" t="s">
        <v>1189</v>
      </c>
      <c r="G974" s="1" t="s">
        <v>1190</v>
      </c>
      <c r="H974" s="2"/>
      <c r="I974" s="2"/>
      <c r="J974" s="2"/>
      <c r="K974" s="2"/>
    </row>
    <row x14ac:dyDescent="0.25" r="975" customHeight="1" ht="17.25">
      <c r="A975" s="1" t="s">
        <v>2085</v>
      </c>
      <c r="B975" s="1" t="s">
        <v>2086</v>
      </c>
      <c r="C975" s="1" t="s">
        <v>20</v>
      </c>
      <c r="D975" s="1" t="s">
        <v>1187</v>
      </c>
      <c r="E975" s="1" t="s">
        <v>1188</v>
      </c>
      <c r="F975" s="1" t="s">
        <v>1189</v>
      </c>
      <c r="G975" s="1" t="s">
        <v>1190</v>
      </c>
      <c r="H975" s="2"/>
      <c r="I975" s="2"/>
      <c r="J975" s="2"/>
      <c r="K975" s="2"/>
    </row>
    <row x14ac:dyDescent="0.25" r="976" customHeight="1" ht="17.25">
      <c r="A976" s="1" t="s">
        <v>2087</v>
      </c>
      <c r="B976" s="1" t="s">
        <v>2088</v>
      </c>
      <c r="C976" s="1" t="s">
        <v>20</v>
      </c>
      <c r="D976" s="1" t="s">
        <v>1187</v>
      </c>
      <c r="E976" s="1" t="s">
        <v>1188</v>
      </c>
      <c r="F976" s="1" t="s">
        <v>1189</v>
      </c>
      <c r="G976" s="1" t="s">
        <v>1190</v>
      </c>
      <c r="H976" s="2"/>
      <c r="I976" s="2"/>
      <c r="J976" s="2"/>
      <c r="K976" s="2"/>
    </row>
    <row x14ac:dyDescent="0.25" r="977" customHeight="1" ht="17.25">
      <c r="A977" s="1" t="s">
        <v>2089</v>
      </c>
      <c r="B977" s="1" t="s">
        <v>2090</v>
      </c>
      <c r="C977" s="1" t="s">
        <v>20</v>
      </c>
      <c r="D977" s="1" t="s">
        <v>1187</v>
      </c>
      <c r="E977" s="1" t="s">
        <v>1188</v>
      </c>
      <c r="F977" s="1" t="s">
        <v>1189</v>
      </c>
      <c r="G977" s="1" t="s">
        <v>1190</v>
      </c>
      <c r="H977" s="2"/>
      <c r="I977" s="2"/>
      <c r="J977" s="2"/>
      <c r="K977" s="2"/>
    </row>
    <row x14ac:dyDescent="0.25" r="978" customHeight="1" ht="17.25">
      <c r="A978" s="1" t="s">
        <v>2091</v>
      </c>
      <c r="B978" s="1" t="s">
        <v>2092</v>
      </c>
      <c r="C978" s="1" t="s">
        <v>20</v>
      </c>
      <c r="D978" s="1" t="s">
        <v>1187</v>
      </c>
      <c r="E978" s="1" t="s">
        <v>1188</v>
      </c>
      <c r="F978" s="1" t="s">
        <v>1189</v>
      </c>
      <c r="G978" s="1" t="s">
        <v>1190</v>
      </c>
      <c r="H978" s="2"/>
      <c r="I978" s="2"/>
      <c r="J978" s="2"/>
      <c r="K978" s="2"/>
    </row>
    <row x14ac:dyDescent="0.25" r="979" customHeight="1" ht="17.25">
      <c r="A979" s="1" t="s">
        <v>2093</v>
      </c>
      <c r="B979" s="1" t="s">
        <v>2094</v>
      </c>
      <c r="C979" s="1" t="s">
        <v>20</v>
      </c>
      <c r="D979" s="1" t="s">
        <v>1187</v>
      </c>
      <c r="E979" s="1" t="s">
        <v>1188</v>
      </c>
      <c r="F979" s="1" t="s">
        <v>1189</v>
      </c>
      <c r="G979" s="1" t="s">
        <v>1190</v>
      </c>
      <c r="H979" s="2"/>
      <c r="I979" s="2"/>
      <c r="J979" s="2"/>
      <c r="K979" s="2"/>
    </row>
    <row x14ac:dyDescent="0.25" r="980" customHeight="1" ht="17.25">
      <c r="A980" s="1" t="s">
        <v>2095</v>
      </c>
      <c r="B980" s="1" t="s">
        <v>2096</v>
      </c>
      <c r="C980" s="1" t="s">
        <v>20</v>
      </c>
      <c r="D980" s="1" t="s">
        <v>1187</v>
      </c>
      <c r="E980" s="1" t="s">
        <v>1188</v>
      </c>
      <c r="F980" s="1" t="s">
        <v>1189</v>
      </c>
      <c r="G980" s="1" t="s">
        <v>1190</v>
      </c>
      <c r="H980" s="2"/>
      <c r="I980" s="2"/>
      <c r="J980" s="2"/>
      <c r="K980" s="2"/>
    </row>
    <row x14ac:dyDescent="0.25" r="981" customHeight="1" ht="17.25">
      <c r="A981" s="1" t="s">
        <v>2097</v>
      </c>
      <c r="B981" s="1" t="s">
        <v>2098</v>
      </c>
      <c r="C981" s="1" t="s">
        <v>20</v>
      </c>
      <c r="D981" s="1" t="s">
        <v>1187</v>
      </c>
      <c r="E981" s="1" t="s">
        <v>1188</v>
      </c>
      <c r="F981" s="1" t="s">
        <v>1189</v>
      </c>
      <c r="G981" s="1" t="s">
        <v>1190</v>
      </c>
      <c r="H981" s="2"/>
      <c r="I981" s="2"/>
      <c r="J981" s="2"/>
      <c r="K981" s="2"/>
    </row>
    <row x14ac:dyDescent="0.25" r="982" customHeight="1" ht="17.25">
      <c r="A982" s="1" t="s">
        <v>2099</v>
      </c>
      <c r="B982" s="1" t="s">
        <v>2100</v>
      </c>
      <c r="C982" s="1" t="s">
        <v>20</v>
      </c>
      <c r="D982" s="1" t="s">
        <v>1187</v>
      </c>
      <c r="E982" s="1" t="s">
        <v>1188</v>
      </c>
      <c r="F982" s="1" t="s">
        <v>1189</v>
      </c>
      <c r="G982" s="1" t="s">
        <v>1190</v>
      </c>
      <c r="H982" s="2"/>
      <c r="I982" s="2"/>
      <c r="J982" s="2"/>
      <c r="K982" s="2"/>
    </row>
    <row x14ac:dyDescent="0.25" r="983" customHeight="1" ht="17.25">
      <c r="A983" s="1" t="s">
        <v>2101</v>
      </c>
      <c r="B983" s="1" t="s">
        <v>2102</v>
      </c>
      <c r="C983" s="1" t="s">
        <v>20</v>
      </c>
      <c r="D983" s="1" t="s">
        <v>1187</v>
      </c>
      <c r="E983" s="1" t="s">
        <v>1188</v>
      </c>
      <c r="F983" s="1" t="s">
        <v>1189</v>
      </c>
      <c r="G983" s="1" t="s">
        <v>1190</v>
      </c>
      <c r="H983" s="2"/>
      <c r="I983" s="2"/>
      <c r="J983" s="2"/>
      <c r="K983" s="2"/>
    </row>
    <row x14ac:dyDescent="0.25" r="984" customHeight="1" ht="17.25">
      <c r="A984" s="1" t="s">
        <v>2103</v>
      </c>
      <c r="B984" s="1" t="s">
        <v>2104</v>
      </c>
      <c r="C984" s="1" t="s">
        <v>20</v>
      </c>
      <c r="D984" s="1" t="s">
        <v>1187</v>
      </c>
      <c r="E984" s="1" t="s">
        <v>1188</v>
      </c>
      <c r="F984" s="1" t="s">
        <v>1189</v>
      </c>
      <c r="G984" s="1" t="s">
        <v>1190</v>
      </c>
      <c r="H984" s="2"/>
      <c r="I984" s="2"/>
      <c r="J984" s="2"/>
      <c r="K984" s="2"/>
    </row>
    <row x14ac:dyDescent="0.25" r="985" customHeight="1" ht="17.25">
      <c r="A985" s="1" t="s">
        <v>2105</v>
      </c>
      <c r="B985" s="1" t="s">
        <v>2106</v>
      </c>
      <c r="C985" s="1" t="s">
        <v>20</v>
      </c>
      <c r="D985" s="1" t="s">
        <v>1187</v>
      </c>
      <c r="E985" s="1" t="s">
        <v>1188</v>
      </c>
      <c r="F985" s="1" t="s">
        <v>1189</v>
      </c>
      <c r="G985" s="1" t="s">
        <v>1190</v>
      </c>
      <c r="H985" s="2"/>
      <c r="I985" s="2"/>
      <c r="J985" s="2"/>
      <c r="K985" s="2"/>
    </row>
    <row x14ac:dyDescent="0.25" r="986" customHeight="1" ht="17.25">
      <c r="A986" s="1" t="s">
        <v>2107</v>
      </c>
      <c r="B986" s="1" t="s">
        <v>2108</v>
      </c>
      <c r="C986" s="1" t="s">
        <v>20</v>
      </c>
      <c r="D986" s="1" t="s">
        <v>1187</v>
      </c>
      <c r="E986" s="1" t="s">
        <v>1188</v>
      </c>
      <c r="F986" s="1" t="s">
        <v>1189</v>
      </c>
      <c r="G986" s="1" t="s">
        <v>1190</v>
      </c>
      <c r="H986" s="2"/>
      <c r="I986" s="2"/>
      <c r="J986" s="2"/>
      <c r="K986" s="2"/>
    </row>
    <row x14ac:dyDescent="0.25" r="987" customHeight="1" ht="17.25">
      <c r="A987" s="1" t="s">
        <v>2109</v>
      </c>
      <c r="B987" s="1" t="s">
        <v>2110</v>
      </c>
      <c r="C987" s="1" t="s">
        <v>20</v>
      </c>
      <c r="D987" s="1" t="s">
        <v>1187</v>
      </c>
      <c r="E987" s="1" t="s">
        <v>1188</v>
      </c>
      <c r="F987" s="1" t="s">
        <v>1189</v>
      </c>
      <c r="G987" s="1" t="s">
        <v>1190</v>
      </c>
      <c r="H987" s="2"/>
      <c r="I987" s="2"/>
      <c r="J987" s="2"/>
      <c r="K987" s="2"/>
    </row>
    <row x14ac:dyDescent="0.25" r="988" customHeight="1" ht="17.25">
      <c r="A988" s="1" t="s">
        <v>2111</v>
      </c>
      <c r="B988" s="1" t="s">
        <v>2112</v>
      </c>
      <c r="C988" s="1" t="s">
        <v>20</v>
      </c>
      <c r="D988" s="1" t="s">
        <v>1187</v>
      </c>
      <c r="E988" s="1" t="s">
        <v>1188</v>
      </c>
      <c r="F988" s="1" t="s">
        <v>1189</v>
      </c>
      <c r="G988" s="1" t="s">
        <v>1190</v>
      </c>
      <c r="H988" s="2"/>
      <c r="I988" s="2"/>
      <c r="J988" s="2"/>
      <c r="K988" s="2"/>
    </row>
    <row x14ac:dyDescent="0.25" r="989" customHeight="1" ht="17.25">
      <c r="A989" s="1" t="s">
        <v>2113</v>
      </c>
      <c r="B989" s="1" t="s">
        <v>2114</v>
      </c>
      <c r="C989" s="1" t="s">
        <v>20</v>
      </c>
      <c r="D989" s="1" t="s">
        <v>1187</v>
      </c>
      <c r="E989" s="1" t="s">
        <v>1188</v>
      </c>
      <c r="F989" s="1" t="s">
        <v>1189</v>
      </c>
      <c r="G989" s="1" t="s">
        <v>1190</v>
      </c>
      <c r="H989" s="2"/>
      <c r="I989" s="2"/>
      <c r="J989" s="2"/>
      <c r="K989" s="2"/>
    </row>
    <row x14ac:dyDescent="0.25" r="990" customHeight="1" ht="17.25">
      <c r="A990" s="1" t="s">
        <v>2115</v>
      </c>
      <c r="B990" s="1" t="s">
        <v>2116</v>
      </c>
      <c r="C990" s="1" t="s">
        <v>20</v>
      </c>
      <c r="D990" s="1" t="s">
        <v>1187</v>
      </c>
      <c r="E990" s="1" t="s">
        <v>1188</v>
      </c>
      <c r="F990" s="1" t="s">
        <v>1189</v>
      </c>
      <c r="G990" s="1" t="s">
        <v>1190</v>
      </c>
      <c r="H990" s="2"/>
      <c r="I990" s="2"/>
      <c r="J990" s="2"/>
      <c r="K990" s="2"/>
    </row>
    <row x14ac:dyDescent="0.25" r="991" customHeight="1" ht="17.25">
      <c r="A991" s="1" t="s">
        <v>2117</v>
      </c>
      <c r="B991" s="1" t="s">
        <v>2118</v>
      </c>
      <c r="C991" s="1" t="s">
        <v>20</v>
      </c>
      <c r="D991" s="1" t="s">
        <v>1187</v>
      </c>
      <c r="E991" s="1" t="s">
        <v>1188</v>
      </c>
      <c r="F991" s="1" t="s">
        <v>1189</v>
      </c>
      <c r="G991" s="1" t="s">
        <v>1190</v>
      </c>
      <c r="H991" s="2"/>
      <c r="I991" s="2"/>
      <c r="J991" s="2"/>
      <c r="K991" s="2"/>
    </row>
    <row x14ac:dyDescent="0.25" r="992" customHeight="1" ht="17.25">
      <c r="A992" s="1" t="s">
        <v>2119</v>
      </c>
      <c r="B992" s="1" t="s">
        <v>2120</v>
      </c>
      <c r="C992" s="1" t="s">
        <v>20</v>
      </c>
      <c r="D992" s="1" t="s">
        <v>1187</v>
      </c>
      <c r="E992" s="1" t="s">
        <v>1188</v>
      </c>
      <c r="F992" s="1" t="s">
        <v>1189</v>
      </c>
      <c r="G992" s="1" t="s">
        <v>1190</v>
      </c>
      <c r="H992" s="2"/>
      <c r="I992" s="2"/>
      <c r="J992" s="2"/>
      <c r="K992" s="2"/>
    </row>
    <row x14ac:dyDescent="0.25" r="993" customHeight="1" ht="17.25">
      <c r="A993" s="1" t="s">
        <v>2121</v>
      </c>
      <c r="B993" s="1" t="s">
        <v>2122</v>
      </c>
      <c r="C993" s="1" t="s">
        <v>20</v>
      </c>
      <c r="D993" s="1" t="s">
        <v>1187</v>
      </c>
      <c r="E993" s="1" t="s">
        <v>1188</v>
      </c>
      <c r="F993" s="1" t="s">
        <v>1189</v>
      </c>
      <c r="G993" s="1" t="s">
        <v>1190</v>
      </c>
      <c r="H993" s="2"/>
      <c r="I993" s="2"/>
      <c r="J993" s="2"/>
      <c r="K993" s="2"/>
    </row>
    <row x14ac:dyDescent="0.25" r="994" customHeight="1" ht="17.25">
      <c r="A994" s="1" t="s">
        <v>2123</v>
      </c>
      <c r="B994" s="1" t="s">
        <v>2124</v>
      </c>
      <c r="C994" s="1" t="s">
        <v>20</v>
      </c>
      <c r="D994" s="1" t="s">
        <v>1187</v>
      </c>
      <c r="E994" s="1" t="s">
        <v>1188</v>
      </c>
      <c r="F994" s="1" t="s">
        <v>1189</v>
      </c>
      <c r="G994" s="1" t="s">
        <v>1190</v>
      </c>
      <c r="H994" s="2"/>
      <c r="I994" s="2"/>
      <c r="J994" s="2"/>
      <c r="K994" s="2"/>
    </row>
    <row x14ac:dyDescent="0.25" r="995" customHeight="1" ht="17.25">
      <c r="A995" s="1" t="s">
        <v>2125</v>
      </c>
      <c r="B995" s="1" t="s">
        <v>2126</v>
      </c>
      <c r="C995" s="1" t="s">
        <v>20</v>
      </c>
      <c r="D995" s="1" t="s">
        <v>1187</v>
      </c>
      <c r="E995" s="1" t="s">
        <v>1188</v>
      </c>
      <c r="F995" s="1" t="s">
        <v>1189</v>
      </c>
      <c r="G995" s="1" t="s">
        <v>1190</v>
      </c>
      <c r="H995" s="2"/>
      <c r="I995" s="2"/>
      <c r="J995" s="2"/>
      <c r="K995" s="2"/>
    </row>
    <row x14ac:dyDescent="0.25" r="996" customHeight="1" ht="17.25">
      <c r="A996" s="1" t="s">
        <v>2127</v>
      </c>
      <c r="B996" s="1" t="s">
        <v>2128</v>
      </c>
      <c r="C996" s="1" t="s">
        <v>20</v>
      </c>
      <c r="D996" s="1" t="s">
        <v>1187</v>
      </c>
      <c r="E996" s="1" t="s">
        <v>1188</v>
      </c>
      <c r="F996" s="1" t="s">
        <v>1189</v>
      </c>
      <c r="G996" s="1" t="s">
        <v>1190</v>
      </c>
      <c r="H996" s="2"/>
      <c r="I996" s="2"/>
      <c r="J996" s="2"/>
      <c r="K996" s="2"/>
    </row>
    <row x14ac:dyDescent="0.25" r="997" customHeight="1" ht="17.25">
      <c r="A997" s="1" t="s">
        <v>2129</v>
      </c>
      <c r="B997" s="1" t="s">
        <v>2130</v>
      </c>
      <c r="C997" s="1" t="s">
        <v>20</v>
      </c>
      <c r="D997" s="1" t="s">
        <v>1187</v>
      </c>
      <c r="E997" s="1" t="s">
        <v>1188</v>
      </c>
      <c r="F997" s="1" t="s">
        <v>1189</v>
      </c>
      <c r="G997" s="1" t="s">
        <v>1190</v>
      </c>
      <c r="H997" s="2"/>
      <c r="I997" s="2"/>
      <c r="J997" s="2"/>
      <c r="K997" s="2"/>
    </row>
    <row x14ac:dyDescent="0.25" r="998" customHeight="1" ht="17.25">
      <c r="A998" s="1" t="s">
        <v>2131</v>
      </c>
      <c r="B998" s="1" t="s">
        <v>2132</v>
      </c>
      <c r="C998" s="1" t="s">
        <v>20</v>
      </c>
      <c r="D998" s="1" t="s">
        <v>1187</v>
      </c>
      <c r="E998" s="1" t="s">
        <v>1188</v>
      </c>
      <c r="F998" s="1" t="s">
        <v>1189</v>
      </c>
      <c r="G998" s="1" t="s">
        <v>1190</v>
      </c>
      <c r="H998" s="2"/>
      <c r="I998" s="2"/>
      <c r="J998" s="2"/>
      <c r="K998" s="2"/>
    </row>
    <row x14ac:dyDescent="0.25" r="999" customHeight="1" ht="17.25">
      <c r="A999" s="1" t="s">
        <v>2133</v>
      </c>
      <c r="B999" s="1" t="s">
        <v>2134</v>
      </c>
      <c r="C999" s="1" t="s">
        <v>20</v>
      </c>
      <c r="D999" s="1" t="s">
        <v>1187</v>
      </c>
      <c r="E999" s="1" t="s">
        <v>1188</v>
      </c>
      <c r="F999" s="1" t="s">
        <v>1189</v>
      </c>
      <c r="G999" s="1" t="s">
        <v>1190</v>
      </c>
      <c r="H999" s="2"/>
      <c r="I999" s="2"/>
      <c r="J999" s="2"/>
      <c r="K999" s="2"/>
    </row>
    <row x14ac:dyDescent="0.25" r="1000" customHeight="1" ht="17.25">
      <c r="A1000" s="1" t="s">
        <v>2135</v>
      </c>
      <c r="B1000" s="1" t="s">
        <v>2136</v>
      </c>
      <c r="C1000" s="1" t="s">
        <v>20</v>
      </c>
      <c r="D1000" s="1" t="s">
        <v>1187</v>
      </c>
      <c r="E1000" s="1" t="s">
        <v>1188</v>
      </c>
      <c r="F1000" s="1" t="s">
        <v>1189</v>
      </c>
      <c r="G1000" s="1" t="s">
        <v>1190</v>
      </c>
      <c r="H1000" s="2"/>
      <c r="I1000" s="2"/>
      <c r="J1000" s="2"/>
      <c r="K1000" s="2"/>
    </row>
    <row x14ac:dyDescent="0.25" r="1001" customHeight="1" ht="17.25">
      <c r="A1001" s="1" t="s">
        <v>2137</v>
      </c>
      <c r="B1001" s="1" t="s">
        <v>2138</v>
      </c>
      <c r="C1001" s="1" t="s">
        <v>20</v>
      </c>
      <c r="D1001" s="1" t="s">
        <v>1187</v>
      </c>
      <c r="E1001" s="1" t="s">
        <v>1188</v>
      </c>
      <c r="F1001" s="1" t="s">
        <v>1189</v>
      </c>
      <c r="G1001" s="1" t="s">
        <v>1190</v>
      </c>
      <c r="H1001" s="2"/>
      <c r="I1001" s="2"/>
      <c r="J1001" s="2"/>
      <c r="K1001" s="2"/>
    </row>
    <row x14ac:dyDescent="0.25" r="1002" customHeight="1" ht="17.25">
      <c r="A1002" s="1" t="s">
        <v>2139</v>
      </c>
      <c r="B1002" s="1" t="s">
        <v>2140</v>
      </c>
      <c r="C1002" s="1" t="s">
        <v>20</v>
      </c>
      <c r="D1002" s="1" t="s">
        <v>1187</v>
      </c>
      <c r="E1002" s="1" t="s">
        <v>1188</v>
      </c>
      <c r="F1002" s="1" t="s">
        <v>1189</v>
      </c>
      <c r="G1002" s="1" t="s">
        <v>1190</v>
      </c>
      <c r="H1002" s="2"/>
      <c r="I1002" s="2"/>
      <c r="J1002" s="2"/>
      <c r="K1002" s="2"/>
    </row>
    <row x14ac:dyDescent="0.25" r="1003" customHeight="1" ht="17.25">
      <c r="A1003" s="1" t="s">
        <v>2141</v>
      </c>
      <c r="B1003" s="1" t="s">
        <v>2142</v>
      </c>
      <c r="C1003" s="1" t="s">
        <v>20</v>
      </c>
      <c r="D1003" s="1" t="s">
        <v>1187</v>
      </c>
      <c r="E1003" s="1" t="s">
        <v>1188</v>
      </c>
      <c r="F1003" s="1" t="s">
        <v>1189</v>
      </c>
      <c r="G1003" s="1" t="s">
        <v>1190</v>
      </c>
      <c r="H1003" s="2"/>
      <c r="I1003" s="2"/>
      <c r="J1003" s="2"/>
      <c r="K1003" s="2"/>
    </row>
    <row x14ac:dyDescent="0.25" r="1004" customHeight="1" ht="17.25">
      <c r="A1004" s="1" t="s">
        <v>2143</v>
      </c>
      <c r="B1004" s="1" t="s">
        <v>2144</v>
      </c>
      <c r="C1004" s="1" t="s">
        <v>20</v>
      </c>
      <c r="D1004" s="1" t="s">
        <v>1187</v>
      </c>
      <c r="E1004" s="1" t="s">
        <v>1188</v>
      </c>
      <c r="F1004" s="1" t="s">
        <v>1189</v>
      </c>
      <c r="G1004" s="1" t="s">
        <v>1190</v>
      </c>
      <c r="H1004" s="2"/>
      <c r="I1004" s="2"/>
      <c r="J1004" s="2"/>
      <c r="K1004" s="2"/>
    </row>
    <row x14ac:dyDescent="0.25" r="1005" customHeight="1" ht="17.25">
      <c r="A1005" s="1" t="s">
        <v>2145</v>
      </c>
      <c r="B1005" s="1" t="s">
        <v>2146</v>
      </c>
      <c r="C1005" s="1" t="s">
        <v>20</v>
      </c>
      <c r="D1005" s="1" t="s">
        <v>1187</v>
      </c>
      <c r="E1005" s="1" t="s">
        <v>1188</v>
      </c>
      <c r="F1005" s="1" t="s">
        <v>1189</v>
      </c>
      <c r="G1005" s="1" t="s">
        <v>1190</v>
      </c>
      <c r="H1005" s="2"/>
      <c r="I1005" s="2"/>
      <c r="J1005" s="2"/>
      <c r="K1005" s="2"/>
    </row>
    <row x14ac:dyDescent="0.25" r="1006" customHeight="1" ht="17.25">
      <c r="A1006" s="1" t="s">
        <v>2147</v>
      </c>
      <c r="B1006" s="1" t="s">
        <v>2148</v>
      </c>
      <c r="C1006" s="1" t="s">
        <v>20</v>
      </c>
      <c r="D1006" s="1" t="s">
        <v>1187</v>
      </c>
      <c r="E1006" s="1" t="s">
        <v>1188</v>
      </c>
      <c r="F1006" s="1" t="s">
        <v>1189</v>
      </c>
      <c r="G1006" s="1" t="s">
        <v>1190</v>
      </c>
      <c r="H1006" s="2"/>
      <c r="I1006" s="2"/>
      <c r="J1006" s="2"/>
      <c r="K1006" s="2"/>
    </row>
    <row x14ac:dyDescent="0.25" r="1007" customHeight="1" ht="17.25">
      <c r="A1007" s="1" t="s">
        <v>2149</v>
      </c>
      <c r="B1007" s="1" t="s">
        <v>2150</v>
      </c>
      <c r="C1007" s="1" t="s">
        <v>20</v>
      </c>
      <c r="D1007" s="1" t="s">
        <v>1187</v>
      </c>
      <c r="E1007" s="1" t="s">
        <v>1188</v>
      </c>
      <c r="F1007" s="1" t="s">
        <v>1189</v>
      </c>
      <c r="G1007" s="1" t="s">
        <v>1190</v>
      </c>
      <c r="H1007" s="2"/>
      <c r="I1007" s="2"/>
      <c r="J1007" s="2"/>
      <c r="K1007" s="2"/>
    </row>
    <row x14ac:dyDescent="0.25" r="1008" customHeight="1" ht="17.25">
      <c r="A1008" s="1" t="s">
        <v>2151</v>
      </c>
      <c r="B1008" s="1" t="s">
        <v>2152</v>
      </c>
      <c r="C1008" s="1" t="s">
        <v>20</v>
      </c>
      <c r="D1008" s="1" t="s">
        <v>1187</v>
      </c>
      <c r="E1008" s="1" t="s">
        <v>1188</v>
      </c>
      <c r="F1008" s="1" t="s">
        <v>1189</v>
      </c>
      <c r="G1008" s="1" t="s">
        <v>1190</v>
      </c>
      <c r="H1008" s="2"/>
      <c r="I1008" s="2"/>
      <c r="J1008" s="2"/>
      <c r="K1008" s="2"/>
    </row>
    <row x14ac:dyDescent="0.25" r="1009" customHeight="1" ht="17.25">
      <c r="A1009" s="1" t="s">
        <v>2153</v>
      </c>
      <c r="B1009" s="1" t="s">
        <v>2154</v>
      </c>
      <c r="C1009" s="1" t="s">
        <v>20</v>
      </c>
      <c r="D1009" s="1" t="s">
        <v>1187</v>
      </c>
      <c r="E1009" s="1" t="s">
        <v>1188</v>
      </c>
      <c r="F1009" s="1" t="s">
        <v>1189</v>
      </c>
      <c r="G1009" s="1" t="s">
        <v>1190</v>
      </c>
      <c r="H1009" s="2"/>
      <c r="I1009" s="2"/>
      <c r="J1009" s="2"/>
      <c r="K1009" s="2"/>
    </row>
    <row x14ac:dyDescent="0.25" r="1010" customHeight="1" ht="17.25">
      <c r="A1010" s="1" t="s">
        <v>2155</v>
      </c>
      <c r="B1010" s="1" t="s">
        <v>2156</v>
      </c>
      <c r="C1010" s="1" t="s">
        <v>20</v>
      </c>
      <c r="D1010" s="1" t="s">
        <v>1187</v>
      </c>
      <c r="E1010" s="1" t="s">
        <v>1188</v>
      </c>
      <c r="F1010" s="1" t="s">
        <v>1189</v>
      </c>
      <c r="G1010" s="1" t="s">
        <v>1190</v>
      </c>
      <c r="H1010" s="2"/>
      <c r="I1010" s="2"/>
      <c r="J1010" s="2"/>
      <c r="K1010" s="2"/>
    </row>
    <row x14ac:dyDescent="0.25" r="1011" customHeight="1" ht="17.25">
      <c r="A1011" s="1" t="s">
        <v>2157</v>
      </c>
      <c r="B1011" s="1" t="s">
        <v>2158</v>
      </c>
      <c r="C1011" s="1" t="s">
        <v>20</v>
      </c>
      <c r="D1011" s="1" t="s">
        <v>1187</v>
      </c>
      <c r="E1011" s="1" t="s">
        <v>1188</v>
      </c>
      <c r="F1011" s="1" t="s">
        <v>1189</v>
      </c>
      <c r="G1011" s="1" t="s">
        <v>1190</v>
      </c>
      <c r="H1011" s="2"/>
      <c r="I1011" s="2"/>
      <c r="J1011" s="2"/>
      <c r="K1011" s="2"/>
    </row>
    <row x14ac:dyDescent="0.25" r="1012" customHeight="1" ht="17.25">
      <c r="A1012" s="1" t="s">
        <v>2159</v>
      </c>
      <c r="B1012" s="1" t="s">
        <v>2160</v>
      </c>
      <c r="C1012" s="1" t="s">
        <v>20</v>
      </c>
      <c r="D1012" s="1" t="s">
        <v>1187</v>
      </c>
      <c r="E1012" s="1" t="s">
        <v>1188</v>
      </c>
      <c r="F1012" s="1" t="s">
        <v>1189</v>
      </c>
      <c r="G1012" s="1" t="s">
        <v>1190</v>
      </c>
      <c r="H1012" s="2"/>
      <c r="I1012" s="2"/>
      <c r="J1012" s="2"/>
      <c r="K1012" s="2"/>
    </row>
    <row x14ac:dyDescent="0.25" r="1013" customHeight="1" ht="17.25">
      <c r="A1013" s="1" t="s">
        <v>2161</v>
      </c>
      <c r="B1013" s="1" t="s">
        <v>2162</v>
      </c>
      <c r="C1013" s="1" t="s">
        <v>20</v>
      </c>
      <c r="D1013" s="1" t="s">
        <v>1187</v>
      </c>
      <c r="E1013" s="1" t="s">
        <v>1188</v>
      </c>
      <c r="F1013" s="1" t="s">
        <v>1189</v>
      </c>
      <c r="G1013" s="1" t="s">
        <v>1190</v>
      </c>
      <c r="H1013" s="2"/>
      <c r="I1013" s="2"/>
      <c r="J1013" s="2"/>
      <c r="K1013" s="2"/>
    </row>
    <row x14ac:dyDescent="0.25" r="1014" customHeight="1" ht="17.25">
      <c r="A1014" s="1" t="s">
        <v>2163</v>
      </c>
      <c r="B1014" s="1" t="s">
        <v>2164</v>
      </c>
      <c r="C1014" s="1" t="s">
        <v>20</v>
      </c>
      <c r="D1014" s="1" t="s">
        <v>1187</v>
      </c>
      <c r="E1014" s="1" t="s">
        <v>1188</v>
      </c>
      <c r="F1014" s="1" t="s">
        <v>1189</v>
      </c>
      <c r="G1014" s="1" t="s">
        <v>1190</v>
      </c>
      <c r="H1014" s="2"/>
      <c r="I1014" s="2"/>
      <c r="J1014" s="2"/>
      <c r="K1014" s="2"/>
    </row>
    <row x14ac:dyDescent="0.25" r="1015" customHeight="1" ht="17.25">
      <c r="A1015" s="1" t="s">
        <v>2165</v>
      </c>
      <c r="B1015" s="1" t="s">
        <v>2166</v>
      </c>
      <c r="C1015" s="1" t="s">
        <v>20</v>
      </c>
      <c r="D1015" s="1" t="s">
        <v>1187</v>
      </c>
      <c r="E1015" s="1" t="s">
        <v>1188</v>
      </c>
      <c r="F1015" s="1" t="s">
        <v>1189</v>
      </c>
      <c r="G1015" s="1" t="s">
        <v>1190</v>
      </c>
      <c r="H1015" s="2"/>
      <c r="I1015" s="2"/>
      <c r="J1015" s="2"/>
      <c r="K1015" s="2"/>
    </row>
    <row x14ac:dyDescent="0.25" r="1016" customHeight="1" ht="17.25">
      <c r="A1016" s="1" t="s">
        <v>2167</v>
      </c>
      <c r="B1016" s="1" t="s">
        <v>2168</v>
      </c>
      <c r="C1016" s="1" t="s">
        <v>20</v>
      </c>
      <c r="D1016" s="1" t="s">
        <v>1187</v>
      </c>
      <c r="E1016" s="1" t="s">
        <v>1188</v>
      </c>
      <c r="F1016" s="1" t="s">
        <v>1189</v>
      </c>
      <c r="G1016" s="1" t="s">
        <v>1190</v>
      </c>
      <c r="H1016" s="2"/>
      <c r="I1016" s="2"/>
      <c r="J1016" s="2"/>
      <c r="K1016" s="2"/>
    </row>
    <row x14ac:dyDescent="0.25" r="1017" customHeight="1" ht="17.25">
      <c r="A1017" s="1" t="s">
        <v>2169</v>
      </c>
      <c r="B1017" s="1" t="s">
        <v>2170</v>
      </c>
      <c r="C1017" s="1" t="s">
        <v>20</v>
      </c>
      <c r="D1017" s="1" t="s">
        <v>1187</v>
      </c>
      <c r="E1017" s="1" t="s">
        <v>1188</v>
      </c>
      <c r="F1017" s="1" t="s">
        <v>1189</v>
      </c>
      <c r="G1017" s="1" t="s">
        <v>1190</v>
      </c>
      <c r="H1017" s="2"/>
      <c r="I1017" s="2"/>
      <c r="J1017" s="2"/>
      <c r="K1017" s="2"/>
    </row>
    <row x14ac:dyDescent="0.25" r="1018" customHeight="1" ht="17.25">
      <c r="A1018" s="1" t="s">
        <v>2171</v>
      </c>
      <c r="B1018" s="1" t="s">
        <v>2172</v>
      </c>
      <c r="C1018" s="1" t="s">
        <v>20</v>
      </c>
      <c r="D1018" s="1" t="s">
        <v>1187</v>
      </c>
      <c r="E1018" s="1" t="s">
        <v>1188</v>
      </c>
      <c r="F1018" s="1" t="s">
        <v>1189</v>
      </c>
      <c r="G1018" s="1" t="s">
        <v>1190</v>
      </c>
      <c r="H1018" s="2"/>
      <c r="I1018" s="2"/>
      <c r="J1018" s="2"/>
      <c r="K1018" s="2"/>
    </row>
    <row x14ac:dyDescent="0.25" r="1019" customHeight="1" ht="17.25">
      <c r="A1019" s="1" t="s">
        <v>2173</v>
      </c>
      <c r="B1019" s="1" t="s">
        <v>2174</v>
      </c>
      <c r="C1019" s="1" t="s">
        <v>20</v>
      </c>
      <c r="D1019" s="1" t="s">
        <v>1187</v>
      </c>
      <c r="E1019" s="1" t="s">
        <v>1188</v>
      </c>
      <c r="F1019" s="1" t="s">
        <v>1189</v>
      </c>
      <c r="G1019" s="1" t="s">
        <v>1190</v>
      </c>
      <c r="H1019" s="2"/>
      <c r="I1019" s="2"/>
      <c r="J1019" s="2"/>
      <c r="K1019" s="2"/>
    </row>
    <row x14ac:dyDescent="0.25" r="1020" customHeight="1" ht="17.25">
      <c r="A1020" s="1" t="s">
        <v>2175</v>
      </c>
      <c r="B1020" s="1" t="s">
        <v>2176</v>
      </c>
      <c r="C1020" s="1" t="s">
        <v>20</v>
      </c>
      <c r="D1020" s="1" t="s">
        <v>1187</v>
      </c>
      <c r="E1020" s="1" t="s">
        <v>1188</v>
      </c>
      <c r="F1020" s="1" t="s">
        <v>1189</v>
      </c>
      <c r="G1020" s="1" t="s">
        <v>1190</v>
      </c>
      <c r="H1020" s="2"/>
      <c r="I1020" s="2"/>
      <c r="J1020" s="2"/>
      <c r="K1020" s="2"/>
    </row>
    <row x14ac:dyDescent="0.25" r="1021" customHeight="1" ht="17.25">
      <c r="A1021" s="1" t="s">
        <v>2177</v>
      </c>
      <c r="B1021" s="1" t="s">
        <v>2178</v>
      </c>
      <c r="C1021" s="1" t="s">
        <v>20</v>
      </c>
      <c r="D1021" s="1" t="s">
        <v>1187</v>
      </c>
      <c r="E1021" s="1" t="s">
        <v>1188</v>
      </c>
      <c r="F1021" s="1" t="s">
        <v>1189</v>
      </c>
      <c r="G1021" s="1" t="s">
        <v>1190</v>
      </c>
      <c r="H1021" s="2"/>
      <c r="I1021" s="2"/>
      <c r="J1021" s="2"/>
      <c r="K1021" s="2"/>
    </row>
    <row x14ac:dyDescent="0.25" r="1022" customHeight="1" ht="17.25">
      <c r="A1022" s="1" t="s">
        <v>2179</v>
      </c>
      <c r="B1022" s="1" t="s">
        <v>2180</v>
      </c>
      <c r="C1022" s="1" t="s">
        <v>20</v>
      </c>
      <c r="D1022" s="1" t="s">
        <v>1187</v>
      </c>
      <c r="E1022" s="1" t="s">
        <v>1188</v>
      </c>
      <c r="F1022" s="1" t="s">
        <v>1189</v>
      </c>
      <c r="G1022" s="1" t="s">
        <v>1190</v>
      </c>
      <c r="H1022" s="2"/>
      <c r="I1022" s="2"/>
      <c r="J1022" s="2"/>
      <c r="K1022" s="2"/>
    </row>
    <row x14ac:dyDescent="0.25" r="1023" customHeight="1" ht="17.25">
      <c r="A1023" s="1" t="s">
        <v>2181</v>
      </c>
      <c r="B1023" s="1" t="s">
        <v>2182</v>
      </c>
      <c r="C1023" s="1" t="s">
        <v>20</v>
      </c>
      <c r="D1023" s="1" t="s">
        <v>1187</v>
      </c>
      <c r="E1023" s="1" t="s">
        <v>1188</v>
      </c>
      <c r="F1023" s="1" t="s">
        <v>1189</v>
      </c>
      <c r="G1023" s="1" t="s">
        <v>1190</v>
      </c>
      <c r="H1023" s="2"/>
      <c r="I1023" s="2"/>
      <c r="J1023" s="2"/>
      <c r="K1023" s="2"/>
    </row>
    <row x14ac:dyDescent="0.25" r="1024" customHeight="1" ht="17.25">
      <c r="A1024" s="1" t="s">
        <v>2183</v>
      </c>
      <c r="B1024" s="1" t="s">
        <v>2184</v>
      </c>
      <c r="C1024" s="1" t="s">
        <v>20</v>
      </c>
      <c r="D1024" s="1" t="s">
        <v>1187</v>
      </c>
      <c r="E1024" s="1" t="s">
        <v>1188</v>
      </c>
      <c r="F1024" s="1" t="s">
        <v>1189</v>
      </c>
      <c r="G1024" s="1" t="s">
        <v>1190</v>
      </c>
      <c r="H1024" s="2"/>
      <c r="I1024" s="2"/>
      <c r="J1024" s="2"/>
      <c r="K1024" s="2"/>
    </row>
    <row x14ac:dyDescent="0.25" r="1025" customHeight="1" ht="17.25">
      <c r="A1025" s="1" t="s">
        <v>2185</v>
      </c>
      <c r="B1025" s="1" t="s">
        <v>2186</v>
      </c>
      <c r="C1025" s="1" t="s">
        <v>20</v>
      </c>
      <c r="D1025" s="1" t="s">
        <v>1187</v>
      </c>
      <c r="E1025" s="1" t="s">
        <v>1188</v>
      </c>
      <c r="F1025" s="1" t="s">
        <v>1189</v>
      </c>
      <c r="G1025" s="1" t="s">
        <v>1190</v>
      </c>
      <c r="H1025" s="2"/>
      <c r="I1025" s="2"/>
      <c r="J1025" s="2"/>
      <c r="K1025" s="2"/>
    </row>
    <row x14ac:dyDescent="0.25" r="1026" customHeight="1" ht="17.25">
      <c r="A1026" s="1" t="s">
        <v>2187</v>
      </c>
      <c r="B1026" s="1" t="s">
        <v>2188</v>
      </c>
      <c r="C1026" s="1" t="s">
        <v>20</v>
      </c>
      <c r="D1026" s="1" t="s">
        <v>1187</v>
      </c>
      <c r="E1026" s="1" t="s">
        <v>1188</v>
      </c>
      <c r="F1026" s="1" t="s">
        <v>1189</v>
      </c>
      <c r="G1026" s="1" t="s">
        <v>1190</v>
      </c>
      <c r="H1026" s="2"/>
      <c r="I1026" s="2"/>
      <c r="J1026" s="2"/>
      <c r="K1026" s="2"/>
    </row>
    <row x14ac:dyDescent="0.25" r="1027" customHeight="1" ht="17.25">
      <c r="A1027" s="1" t="s">
        <v>2189</v>
      </c>
      <c r="B1027" s="1" t="s">
        <v>2190</v>
      </c>
      <c r="C1027" s="1" t="s">
        <v>20</v>
      </c>
      <c r="D1027" s="1" t="s">
        <v>1187</v>
      </c>
      <c r="E1027" s="1" t="s">
        <v>1188</v>
      </c>
      <c r="F1027" s="1" t="s">
        <v>1189</v>
      </c>
      <c r="G1027" s="1" t="s">
        <v>1190</v>
      </c>
      <c r="H1027" s="2"/>
      <c r="I1027" s="2"/>
      <c r="J1027" s="2"/>
      <c r="K1027" s="2"/>
    </row>
    <row x14ac:dyDescent="0.25" r="1028" customHeight="1" ht="17.25">
      <c r="A1028" s="1" t="s">
        <v>2191</v>
      </c>
      <c r="B1028" s="1" t="s">
        <v>2192</v>
      </c>
      <c r="C1028" s="1" t="s">
        <v>20</v>
      </c>
      <c r="D1028" s="1" t="s">
        <v>1187</v>
      </c>
      <c r="E1028" s="1" t="s">
        <v>1188</v>
      </c>
      <c r="F1028" s="1" t="s">
        <v>1189</v>
      </c>
      <c r="G1028" s="1" t="s">
        <v>1190</v>
      </c>
      <c r="H1028" s="2"/>
      <c r="I1028" s="2"/>
      <c r="J1028" s="2"/>
      <c r="K1028" s="2"/>
    </row>
    <row x14ac:dyDescent="0.25" r="1029" customHeight="1" ht="17.25">
      <c r="A1029" s="1" t="s">
        <v>2193</v>
      </c>
      <c r="B1029" s="1" t="s">
        <v>2194</v>
      </c>
      <c r="C1029" s="1" t="s">
        <v>20</v>
      </c>
      <c r="D1029" s="1" t="s">
        <v>1187</v>
      </c>
      <c r="E1029" s="1" t="s">
        <v>1188</v>
      </c>
      <c r="F1029" s="1" t="s">
        <v>1189</v>
      </c>
      <c r="G1029" s="1" t="s">
        <v>1190</v>
      </c>
      <c r="H1029" s="2"/>
      <c r="I1029" s="2"/>
      <c r="J1029" s="2"/>
      <c r="K1029" s="2"/>
    </row>
    <row x14ac:dyDescent="0.25" r="1030" customHeight="1" ht="17.25">
      <c r="A1030" s="1" t="s">
        <v>2195</v>
      </c>
      <c r="B1030" s="1" t="s">
        <v>2196</v>
      </c>
      <c r="C1030" s="1" t="s">
        <v>20</v>
      </c>
      <c r="D1030" s="1" t="s">
        <v>1187</v>
      </c>
      <c r="E1030" s="1" t="s">
        <v>1188</v>
      </c>
      <c r="F1030" s="1" t="s">
        <v>1189</v>
      </c>
      <c r="G1030" s="1" t="s">
        <v>1190</v>
      </c>
      <c r="H1030" s="2"/>
      <c r="I1030" s="2"/>
      <c r="J1030" s="2"/>
      <c r="K1030" s="2"/>
    </row>
    <row x14ac:dyDescent="0.25" r="1031" customHeight="1" ht="17.25">
      <c r="A1031" s="1" t="s">
        <v>2197</v>
      </c>
      <c r="B1031" s="1" t="s">
        <v>2198</v>
      </c>
      <c r="C1031" s="1" t="s">
        <v>20</v>
      </c>
      <c r="D1031" s="1" t="s">
        <v>1187</v>
      </c>
      <c r="E1031" s="1" t="s">
        <v>1188</v>
      </c>
      <c r="F1031" s="1" t="s">
        <v>1189</v>
      </c>
      <c r="G1031" s="1" t="s">
        <v>1190</v>
      </c>
      <c r="H1031" s="2"/>
      <c r="I1031" s="2"/>
      <c r="J1031" s="2"/>
      <c r="K1031" s="2"/>
    </row>
    <row x14ac:dyDescent="0.25" r="1032" customHeight="1" ht="17.25">
      <c r="A1032" s="1" t="s">
        <v>2199</v>
      </c>
      <c r="B1032" s="1" t="s">
        <v>2200</v>
      </c>
      <c r="C1032" s="1" t="s">
        <v>20</v>
      </c>
      <c r="D1032" s="1" t="s">
        <v>1187</v>
      </c>
      <c r="E1032" s="1" t="s">
        <v>1188</v>
      </c>
      <c r="F1032" s="1" t="s">
        <v>1189</v>
      </c>
      <c r="G1032" s="1" t="s">
        <v>1190</v>
      </c>
      <c r="H1032" s="2"/>
      <c r="I1032" s="2"/>
      <c r="J1032" s="2"/>
      <c r="K1032" s="2"/>
    </row>
    <row x14ac:dyDescent="0.25" r="1033" customHeight="1" ht="17.25">
      <c r="A1033" s="1" t="s">
        <v>2201</v>
      </c>
      <c r="B1033" s="1" t="s">
        <v>2202</v>
      </c>
      <c r="C1033" s="1" t="s">
        <v>20</v>
      </c>
      <c r="D1033" s="1" t="s">
        <v>1187</v>
      </c>
      <c r="E1033" s="1" t="s">
        <v>1188</v>
      </c>
      <c r="F1033" s="1" t="s">
        <v>1189</v>
      </c>
      <c r="G1033" s="1" t="s">
        <v>1190</v>
      </c>
      <c r="H1033" s="2"/>
      <c r="I1033" s="2"/>
      <c r="J1033" s="2"/>
      <c r="K1033" s="2"/>
    </row>
    <row x14ac:dyDescent="0.25" r="1034" customHeight="1" ht="17.25">
      <c r="A1034" s="1" t="s">
        <v>2203</v>
      </c>
      <c r="B1034" s="1" t="s">
        <v>2204</v>
      </c>
      <c r="C1034" s="1" t="s">
        <v>20</v>
      </c>
      <c r="D1034" s="1" t="s">
        <v>1187</v>
      </c>
      <c r="E1034" s="1" t="s">
        <v>1188</v>
      </c>
      <c r="F1034" s="1" t="s">
        <v>1189</v>
      </c>
      <c r="G1034" s="1" t="s">
        <v>1190</v>
      </c>
      <c r="H1034" s="2"/>
      <c r="I1034" s="2"/>
      <c r="J1034" s="2"/>
      <c r="K1034" s="2"/>
    </row>
    <row x14ac:dyDescent="0.25" r="1035" customHeight="1" ht="17.25">
      <c r="A1035" s="1" t="s">
        <v>2205</v>
      </c>
      <c r="B1035" s="1" t="s">
        <v>2206</v>
      </c>
      <c r="C1035" s="1" t="s">
        <v>20</v>
      </c>
      <c r="D1035" s="1" t="s">
        <v>1187</v>
      </c>
      <c r="E1035" s="1" t="s">
        <v>1188</v>
      </c>
      <c r="F1035" s="1" t="s">
        <v>1189</v>
      </c>
      <c r="G1035" s="1" t="s">
        <v>1190</v>
      </c>
      <c r="H1035" s="2"/>
      <c r="I1035" s="2"/>
      <c r="J1035" s="2"/>
      <c r="K1035" s="2"/>
    </row>
    <row x14ac:dyDescent="0.25" r="1036" customHeight="1" ht="17.25">
      <c r="A1036" s="1" t="s">
        <v>2207</v>
      </c>
      <c r="B1036" s="1" t="s">
        <v>2208</v>
      </c>
      <c r="C1036" s="1" t="s">
        <v>20</v>
      </c>
      <c r="D1036" s="1" t="s">
        <v>1187</v>
      </c>
      <c r="E1036" s="1" t="s">
        <v>1188</v>
      </c>
      <c r="F1036" s="1" t="s">
        <v>1189</v>
      </c>
      <c r="G1036" s="1" t="s">
        <v>1190</v>
      </c>
      <c r="H1036" s="2"/>
      <c r="I1036" s="2"/>
      <c r="J1036" s="2"/>
      <c r="K1036" s="2"/>
    </row>
    <row x14ac:dyDescent="0.25" r="1037" customHeight="1" ht="17.25">
      <c r="A1037" s="1" t="s">
        <v>2209</v>
      </c>
      <c r="B1037" s="1" t="s">
        <v>2210</v>
      </c>
      <c r="C1037" s="1" t="s">
        <v>20</v>
      </c>
      <c r="D1037" s="1" t="s">
        <v>1187</v>
      </c>
      <c r="E1037" s="1" t="s">
        <v>1188</v>
      </c>
      <c r="F1037" s="1" t="s">
        <v>1189</v>
      </c>
      <c r="G1037" s="1" t="s">
        <v>1190</v>
      </c>
      <c r="H1037" s="2"/>
      <c r="I1037" s="2"/>
      <c r="J1037" s="2"/>
      <c r="K1037" s="2"/>
    </row>
    <row x14ac:dyDescent="0.25" r="1038" customHeight="1" ht="17.25">
      <c r="A1038" s="1" t="s">
        <v>2211</v>
      </c>
      <c r="B1038" s="1" t="s">
        <v>2212</v>
      </c>
      <c r="C1038" s="1" t="s">
        <v>20</v>
      </c>
      <c r="D1038" s="1" t="s">
        <v>1187</v>
      </c>
      <c r="E1038" s="1" t="s">
        <v>1188</v>
      </c>
      <c r="F1038" s="1" t="s">
        <v>1189</v>
      </c>
      <c r="G1038" s="1" t="s">
        <v>1190</v>
      </c>
      <c r="H1038" s="2"/>
      <c r="I1038" s="2"/>
      <c r="J1038" s="2"/>
      <c r="K1038" s="2"/>
    </row>
    <row x14ac:dyDescent="0.25" r="1039" customHeight="1" ht="17.25">
      <c r="A1039" s="1" t="s">
        <v>2213</v>
      </c>
      <c r="B1039" s="1" t="s">
        <v>2214</v>
      </c>
      <c r="C1039" s="1" t="s">
        <v>20</v>
      </c>
      <c r="D1039" s="1" t="s">
        <v>1187</v>
      </c>
      <c r="E1039" s="1" t="s">
        <v>1188</v>
      </c>
      <c r="F1039" s="1" t="s">
        <v>1189</v>
      </c>
      <c r="G1039" s="1" t="s">
        <v>1190</v>
      </c>
      <c r="H1039" s="2"/>
      <c r="I1039" s="2"/>
      <c r="J1039" s="2"/>
      <c r="K1039" s="2"/>
    </row>
    <row x14ac:dyDescent="0.25" r="1040" customHeight="1" ht="17.25">
      <c r="A1040" s="1" t="s">
        <v>2215</v>
      </c>
      <c r="B1040" s="1" t="s">
        <v>2216</v>
      </c>
      <c r="C1040" s="1" t="s">
        <v>20</v>
      </c>
      <c r="D1040" s="1" t="s">
        <v>1187</v>
      </c>
      <c r="E1040" s="1" t="s">
        <v>1188</v>
      </c>
      <c r="F1040" s="1" t="s">
        <v>1189</v>
      </c>
      <c r="G1040" s="1" t="s">
        <v>1190</v>
      </c>
      <c r="H1040" s="2"/>
      <c r="I1040" s="2"/>
      <c r="J1040" s="2"/>
      <c r="K1040" s="2"/>
    </row>
    <row x14ac:dyDescent="0.25" r="1041" customHeight="1" ht="17.25">
      <c r="A1041" s="1" t="s">
        <v>2217</v>
      </c>
      <c r="B1041" s="1" t="s">
        <v>2218</v>
      </c>
      <c r="C1041" s="1" t="s">
        <v>20</v>
      </c>
      <c r="D1041" s="1" t="s">
        <v>1187</v>
      </c>
      <c r="E1041" s="1" t="s">
        <v>1188</v>
      </c>
      <c r="F1041" s="1" t="s">
        <v>1189</v>
      </c>
      <c r="G1041" s="1" t="s">
        <v>1190</v>
      </c>
      <c r="H1041" s="2"/>
      <c r="I1041" s="2"/>
      <c r="J1041" s="2"/>
      <c r="K1041" s="2"/>
    </row>
    <row x14ac:dyDescent="0.25" r="1042" customHeight="1" ht="17.25">
      <c r="A1042" s="1" t="s">
        <v>2219</v>
      </c>
      <c r="B1042" s="1" t="s">
        <v>2220</v>
      </c>
      <c r="C1042" s="1" t="s">
        <v>20</v>
      </c>
      <c r="D1042" s="1" t="s">
        <v>1187</v>
      </c>
      <c r="E1042" s="1" t="s">
        <v>1188</v>
      </c>
      <c r="F1042" s="1" t="s">
        <v>1189</v>
      </c>
      <c r="G1042" s="1" t="s">
        <v>1190</v>
      </c>
      <c r="H1042" s="2"/>
      <c r="I1042" s="2"/>
      <c r="J1042" s="2"/>
      <c r="K1042" s="2"/>
    </row>
    <row x14ac:dyDescent="0.25" r="1043" customHeight="1" ht="17.25">
      <c r="A1043" s="1" t="s">
        <v>2221</v>
      </c>
      <c r="B1043" s="1" t="s">
        <v>2222</v>
      </c>
      <c r="C1043" s="1" t="s">
        <v>20</v>
      </c>
      <c r="D1043" s="1" t="s">
        <v>1187</v>
      </c>
      <c r="E1043" s="1" t="s">
        <v>1188</v>
      </c>
      <c r="F1043" s="1" t="s">
        <v>1189</v>
      </c>
      <c r="G1043" s="1" t="s">
        <v>1190</v>
      </c>
      <c r="H1043" s="2"/>
      <c r="I1043" s="2"/>
      <c r="J1043" s="2"/>
      <c r="K1043" s="2"/>
    </row>
    <row x14ac:dyDescent="0.25" r="1044" customHeight="1" ht="17.25">
      <c r="A1044" s="1" t="s">
        <v>2223</v>
      </c>
      <c r="B1044" s="1" t="s">
        <v>2224</v>
      </c>
      <c r="C1044" s="1" t="s">
        <v>20</v>
      </c>
      <c r="D1044" s="1" t="s">
        <v>1187</v>
      </c>
      <c r="E1044" s="1" t="s">
        <v>1188</v>
      </c>
      <c r="F1044" s="1" t="s">
        <v>1189</v>
      </c>
      <c r="G1044" s="1" t="s">
        <v>1190</v>
      </c>
      <c r="H1044" s="2"/>
      <c r="I1044" s="2"/>
      <c r="J1044" s="2"/>
      <c r="K1044" s="2"/>
    </row>
    <row x14ac:dyDescent="0.25" r="1045" customHeight="1" ht="17.25">
      <c r="A1045" s="1" t="s">
        <v>2225</v>
      </c>
      <c r="B1045" s="1" t="s">
        <v>2226</v>
      </c>
      <c r="C1045" s="1" t="s">
        <v>20</v>
      </c>
      <c r="D1045" s="1" t="s">
        <v>1187</v>
      </c>
      <c r="E1045" s="1" t="s">
        <v>1188</v>
      </c>
      <c r="F1045" s="1" t="s">
        <v>1189</v>
      </c>
      <c r="G1045" s="1" t="s">
        <v>1190</v>
      </c>
      <c r="H1045" s="2"/>
      <c r="I1045" s="2"/>
      <c r="J1045" s="2"/>
      <c r="K1045" s="2"/>
    </row>
    <row x14ac:dyDescent="0.25" r="1046" customHeight="1" ht="17.25">
      <c r="A1046" s="1" t="s">
        <v>2227</v>
      </c>
      <c r="B1046" s="1" t="s">
        <v>2228</v>
      </c>
      <c r="C1046" s="1" t="s">
        <v>20</v>
      </c>
      <c r="D1046" s="1" t="s">
        <v>1187</v>
      </c>
      <c r="E1046" s="1" t="s">
        <v>1188</v>
      </c>
      <c r="F1046" s="1" t="s">
        <v>1189</v>
      </c>
      <c r="G1046" s="1" t="s">
        <v>1190</v>
      </c>
      <c r="H1046" s="2"/>
      <c r="I1046" s="2"/>
      <c r="J1046" s="2"/>
      <c r="K1046" s="2"/>
    </row>
    <row x14ac:dyDescent="0.25" r="1047" customHeight="1" ht="17.25">
      <c r="A1047" s="1" t="s">
        <v>2229</v>
      </c>
      <c r="B1047" s="1" t="s">
        <v>2230</v>
      </c>
      <c r="C1047" s="1" t="s">
        <v>20</v>
      </c>
      <c r="D1047" s="1" t="s">
        <v>1187</v>
      </c>
      <c r="E1047" s="1" t="s">
        <v>1188</v>
      </c>
      <c r="F1047" s="1" t="s">
        <v>1189</v>
      </c>
      <c r="G1047" s="1" t="s">
        <v>1190</v>
      </c>
      <c r="H1047" s="2"/>
      <c r="I1047" s="2"/>
      <c r="J1047" s="2"/>
      <c r="K1047" s="2"/>
    </row>
    <row x14ac:dyDescent="0.25" r="1048" customHeight="1" ht="17.25">
      <c r="A1048" s="1" t="s">
        <v>2231</v>
      </c>
      <c r="B1048" s="1" t="s">
        <v>2232</v>
      </c>
      <c r="C1048" s="1" t="s">
        <v>20</v>
      </c>
      <c r="D1048" s="1" t="s">
        <v>1187</v>
      </c>
      <c r="E1048" s="1" t="s">
        <v>1188</v>
      </c>
      <c r="F1048" s="1" t="s">
        <v>1189</v>
      </c>
      <c r="G1048" s="1" t="s">
        <v>1190</v>
      </c>
      <c r="H1048" s="2"/>
      <c r="I1048" s="2"/>
      <c r="J1048" s="2"/>
      <c r="K1048" s="2"/>
    </row>
    <row x14ac:dyDescent="0.25" r="1049" customHeight="1" ht="17.25">
      <c r="A1049" s="1" t="s">
        <v>2233</v>
      </c>
      <c r="B1049" s="1" t="s">
        <v>2234</v>
      </c>
      <c r="C1049" s="1" t="s">
        <v>20</v>
      </c>
      <c r="D1049" s="1" t="s">
        <v>1187</v>
      </c>
      <c r="E1049" s="1" t="s">
        <v>1188</v>
      </c>
      <c r="F1049" s="1" t="s">
        <v>1189</v>
      </c>
      <c r="G1049" s="1" t="s">
        <v>1190</v>
      </c>
      <c r="H1049" s="2"/>
      <c r="I1049" s="2"/>
      <c r="J1049" s="2"/>
      <c r="K1049" s="2"/>
    </row>
    <row x14ac:dyDescent="0.25" r="1050" customHeight="1" ht="17.25">
      <c r="A1050" s="1" t="s">
        <v>2235</v>
      </c>
      <c r="B1050" s="1" t="s">
        <v>2236</v>
      </c>
      <c r="C1050" s="1" t="s">
        <v>20</v>
      </c>
      <c r="D1050" s="1" t="s">
        <v>1187</v>
      </c>
      <c r="E1050" s="1" t="s">
        <v>1188</v>
      </c>
      <c r="F1050" s="1" t="s">
        <v>1189</v>
      </c>
      <c r="G1050" s="1" t="s">
        <v>1190</v>
      </c>
      <c r="H1050" s="2"/>
      <c r="I1050" s="2"/>
      <c r="J1050" s="2"/>
      <c r="K1050" s="2"/>
    </row>
    <row x14ac:dyDescent="0.25" r="1051" customHeight="1" ht="17.25">
      <c r="A1051" s="1" t="s">
        <v>2237</v>
      </c>
      <c r="B1051" s="1" t="s">
        <v>2238</v>
      </c>
      <c r="C1051" s="1" t="s">
        <v>20</v>
      </c>
      <c r="D1051" s="1" t="s">
        <v>1187</v>
      </c>
      <c r="E1051" s="1" t="s">
        <v>1188</v>
      </c>
      <c r="F1051" s="1" t="s">
        <v>1189</v>
      </c>
      <c r="G1051" s="1" t="s">
        <v>1190</v>
      </c>
      <c r="H1051" s="2"/>
      <c r="I1051" s="2"/>
      <c r="J1051" s="2"/>
      <c r="K1051" s="2"/>
    </row>
    <row x14ac:dyDescent="0.25" r="1052" customHeight="1" ht="17.25">
      <c r="A1052" s="1" t="s">
        <v>2239</v>
      </c>
      <c r="B1052" s="1" t="s">
        <v>2240</v>
      </c>
      <c r="C1052" s="1" t="s">
        <v>20</v>
      </c>
      <c r="D1052" s="1" t="s">
        <v>1187</v>
      </c>
      <c r="E1052" s="1" t="s">
        <v>1188</v>
      </c>
      <c r="F1052" s="1" t="s">
        <v>1189</v>
      </c>
      <c r="G1052" s="1" t="s">
        <v>1190</v>
      </c>
      <c r="H1052" s="2"/>
      <c r="I1052" s="2"/>
      <c r="J1052" s="2"/>
      <c r="K1052" s="2"/>
    </row>
    <row x14ac:dyDescent="0.25" r="1053" customHeight="1" ht="17.25">
      <c r="A1053" s="1" t="s">
        <v>2241</v>
      </c>
      <c r="B1053" s="1" t="s">
        <v>2242</v>
      </c>
      <c r="C1053" s="1" t="s">
        <v>20</v>
      </c>
      <c r="D1053" s="1" t="s">
        <v>1187</v>
      </c>
      <c r="E1053" s="1" t="s">
        <v>1188</v>
      </c>
      <c r="F1053" s="1" t="s">
        <v>1189</v>
      </c>
      <c r="G1053" s="1" t="s">
        <v>1190</v>
      </c>
      <c r="H1053" s="2"/>
      <c r="I1053" s="2"/>
      <c r="J1053" s="2"/>
      <c r="K1053" s="2"/>
    </row>
    <row x14ac:dyDescent="0.25" r="1054" customHeight="1" ht="17.25">
      <c r="A1054" s="1" t="s">
        <v>2243</v>
      </c>
      <c r="B1054" s="1" t="s">
        <v>2244</v>
      </c>
      <c r="C1054" s="1" t="s">
        <v>20</v>
      </c>
      <c r="D1054" s="1" t="s">
        <v>1187</v>
      </c>
      <c r="E1054" s="1" t="s">
        <v>1188</v>
      </c>
      <c r="F1054" s="1" t="s">
        <v>1189</v>
      </c>
      <c r="G1054" s="1" t="s">
        <v>1190</v>
      </c>
      <c r="H1054" s="2"/>
      <c r="I1054" s="2"/>
      <c r="J1054" s="2"/>
      <c r="K1054" s="2"/>
    </row>
    <row x14ac:dyDescent="0.25" r="1055" customHeight="1" ht="17.25">
      <c r="A1055" s="1" t="s">
        <v>2245</v>
      </c>
      <c r="B1055" s="1" t="s">
        <v>2246</v>
      </c>
      <c r="C1055" s="1" t="s">
        <v>20</v>
      </c>
      <c r="D1055" s="1" t="s">
        <v>1187</v>
      </c>
      <c r="E1055" s="1" t="s">
        <v>1188</v>
      </c>
      <c r="F1055" s="1" t="s">
        <v>1189</v>
      </c>
      <c r="G1055" s="1" t="s">
        <v>1190</v>
      </c>
      <c r="H1055" s="2"/>
      <c r="I1055" s="2"/>
      <c r="J1055" s="2"/>
      <c r="K1055" s="2"/>
    </row>
    <row x14ac:dyDescent="0.25" r="1056" customHeight="1" ht="17.25">
      <c r="A1056" s="1" t="s">
        <v>2247</v>
      </c>
      <c r="B1056" s="1" t="s">
        <v>2248</v>
      </c>
      <c r="C1056" s="1" t="s">
        <v>20</v>
      </c>
      <c r="D1056" s="1" t="s">
        <v>1187</v>
      </c>
      <c r="E1056" s="1" t="s">
        <v>1188</v>
      </c>
      <c r="F1056" s="1" t="s">
        <v>1189</v>
      </c>
      <c r="G1056" s="1" t="s">
        <v>1190</v>
      </c>
      <c r="H1056" s="2"/>
      <c r="I1056" s="2"/>
      <c r="J1056" s="2"/>
      <c r="K1056" s="2"/>
    </row>
    <row x14ac:dyDescent="0.25" r="1057" customHeight="1" ht="17.25">
      <c r="A1057" s="1" t="s">
        <v>2249</v>
      </c>
      <c r="B1057" s="1" t="s">
        <v>2250</v>
      </c>
      <c r="C1057" s="1" t="s">
        <v>20</v>
      </c>
      <c r="D1057" s="1" t="s">
        <v>1187</v>
      </c>
      <c r="E1057" s="1" t="s">
        <v>1188</v>
      </c>
      <c r="F1057" s="1" t="s">
        <v>1189</v>
      </c>
      <c r="G1057" s="1" t="s">
        <v>1190</v>
      </c>
      <c r="H1057" s="2"/>
      <c r="I1057" s="2"/>
      <c r="J1057" s="2"/>
      <c r="K1057" s="2"/>
    </row>
    <row x14ac:dyDescent="0.25" r="1058" customHeight="1" ht="17.25">
      <c r="A1058" s="1" t="s">
        <v>2251</v>
      </c>
      <c r="B1058" s="1" t="s">
        <v>2252</v>
      </c>
      <c r="C1058" s="1" t="s">
        <v>20</v>
      </c>
      <c r="D1058" s="1" t="s">
        <v>1187</v>
      </c>
      <c r="E1058" s="1" t="s">
        <v>1188</v>
      </c>
      <c r="F1058" s="1" t="s">
        <v>1189</v>
      </c>
      <c r="G1058" s="1" t="s">
        <v>1190</v>
      </c>
      <c r="H1058" s="2"/>
      <c r="I1058" s="2"/>
      <c r="J1058" s="2"/>
      <c r="K1058" s="2"/>
    </row>
    <row x14ac:dyDescent="0.25" r="1059" customHeight="1" ht="17.25">
      <c r="A1059" s="1" t="s">
        <v>2253</v>
      </c>
      <c r="B1059" s="1" t="s">
        <v>2254</v>
      </c>
      <c r="C1059" s="1" t="s">
        <v>20</v>
      </c>
      <c r="D1059" s="1" t="s">
        <v>1187</v>
      </c>
      <c r="E1059" s="1" t="s">
        <v>1188</v>
      </c>
      <c r="F1059" s="1" t="s">
        <v>1189</v>
      </c>
      <c r="G1059" s="1" t="s">
        <v>1190</v>
      </c>
      <c r="H1059" s="2"/>
      <c r="I1059" s="2"/>
      <c r="J1059" s="2"/>
      <c r="K1059" s="2"/>
    </row>
    <row x14ac:dyDescent="0.25" r="1060" customHeight="1" ht="17.25">
      <c r="A1060" s="1" t="s">
        <v>2255</v>
      </c>
      <c r="B1060" s="1" t="s">
        <v>2256</v>
      </c>
      <c r="C1060" s="1" t="s">
        <v>20</v>
      </c>
      <c r="D1060" s="1" t="s">
        <v>1187</v>
      </c>
      <c r="E1060" s="1" t="s">
        <v>1188</v>
      </c>
      <c r="F1060" s="1" t="s">
        <v>1189</v>
      </c>
      <c r="G1060" s="1" t="s">
        <v>1190</v>
      </c>
      <c r="H1060" s="2"/>
      <c r="I1060" s="2"/>
      <c r="J1060" s="2"/>
      <c r="K1060" s="2"/>
    </row>
    <row x14ac:dyDescent="0.25" r="1061" customHeight="1" ht="17.25">
      <c r="A1061" s="1" t="s">
        <v>2257</v>
      </c>
      <c r="B1061" s="1" t="s">
        <v>2258</v>
      </c>
      <c r="C1061" s="1" t="s">
        <v>20</v>
      </c>
      <c r="D1061" s="1" t="s">
        <v>1187</v>
      </c>
      <c r="E1061" s="1" t="s">
        <v>1188</v>
      </c>
      <c r="F1061" s="1" t="s">
        <v>1189</v>
      </c>
      <c r="G1061" s="1" t="s">
        <v>1190</v>
      </c>
      <c r="H1061" s="2"/>
      <c r="I1061" s="2"/>
      <c r="J1061" s="2"/>
      <c r="K1061" s="2"/>
    </row>
    <row x14ac:dyDescent="0.25" r="1062" customHeight="1" ht="17.25">
      <c r="A1062" s="1" t="s">
        <v>2259</v>
      </c>
      <c r="B1062" s="1" t="s">
        <v>2260</v>
      </c>
      <c r="C1062" s="1" t="s">
        <v>20</v>
      </c>
      <c r="D1062" s="1" t="s">
        <v>1187</v>
      </c>
      <c r="E1062" s="1" t="s">
        <v>1188</v>
      </c>
      <c r="F1062" s="1" t="s">
        <v>1189</v>
      </c>
      <c r="G1062" s="1" t="s">
        <v>1190</v>
      </c>
      <c r="H1062" s="2"/>
      <c r="I1062" s="2"/>
      <c r="J1062" s="2"/>
      <c r="K1062" s="2"/>
    </row>
    <row x14ac:dyDescent="0.25" r="1063" customHeight="1" ht="17.25">
      <c r="A1063" s="1" t="s">
        <v>2261</v>
      </c>
      <c r="B1063" s="1" t="s">
        <v>2262</v>
      </c>
      <c r="C1063" s="1" t="s">
        <v>20</v>
      </c>
      <c r="D1063" s="1" t="s">
        <v>1187</v>
      </c>
      <c r="E1063" s="1" t="s">
        <v>1188</v>
      </c>
      <c r="F1063" s="1" t="s">
        <v>1189</v>
      </c>
      <c r="G1063" s="1" t="s">
        <v>1190</v>
      </c>
      <c r="H1063" s="2"/>
      <c r="I1063" s="2"/>
      <c r="J1063" s="2"/>
      <c r="K1063" s="2"/>
    </row>
    <row x14ac:dyDescent="0.25" r="1064" customHeight="1" ht="17.25">
      <c r="A1064" s="1" t="s">
        <v>2263</v>
      </c>
      <c r="B1064" s="1" t="s">
        <v>2264</v>
      </c>
      <c r="C1064" s="1" t="s">
        <v>20</v>
      </c>
      <c r="D1064" s="1" t="s">
        <v>1187</v>
      </c>
      <c r="E1064" s="1" t="s">
        <v>1188</v>
      </c>
      <c r="F1064" s="1" t="s">
        <v>1189</v>
      </c>
      <c r="G1064" s="1" t="s">
        <v>1190</v>
      </c>
      <c r="H1064" s="2"/>
      <c r="I1064" s="2"/>
      <c r="J1064" s="2"/>
      <c r="K1064" s="2"/>
    </row>
    <row x14ac:dyDescent="0.25" r="1065" customHeight="1" ht="17.25">
      <c r="A1065" s="1" t="s">
        <v>2265</v>
      </c>
      <c r="B1065" s="1" t="s">
        <v>2266</v>
      </c>
      <c r="C1065" s="1" t="s">
        <v>20</v>
      </c>
      <c r="D1065" s="1" t="s">
        <v>1187</v>
      </c>
      <c r="E1065" s="1" t="s">
        <v>1188</v>
      </c>
      <c r="F1065" s="1" t="s">
        <v>1189</v>
      </c>
      <c r="G1065" s="1" t="s">
        <v>1190</v>
      </c>
      <c r="H1065" s="2"/>
      <c r="I1065" s="2"/>
      <c r="J1065" s="2"/>
      <c r="K1065" s="2"/>
    </row>
    <row x14ac:dyDescent="0.25" r="1066" customHeight="1" ht="17.25">
      <c r="A1066" s="1" t="s">
        <v>2267</v>
      </c>
      <c r="B1066" s="1" t="s">
        <v>2268</v>
      </c>
      <c r="C1066" s="1" t="s">
        <v>20</v>
      </c>
      <c r="D1066" s="1" t="s">
        <v>1187</v>
      </c>
      <c r="E1066" s="1" t="s">
        <v>1188</v>
      </c>
      <c r="F1066" s="1" t="s">
        <v>1189</v>
      </c>
      <c r="G1066" s="1" t="s">
        <v>1190</v>
      </c>
      <c r="H1066" s="2"/>
      <c r="I1066" s="2"/>
      <c r="J1066" s="2"/>
      <c r="K1066" s="2"/>
    </row>
    <row x14ac:dyDescent="0.25" r="1067" customHeight="1" ht="17.25">
      <c r="A1067" s="1" t="s">
        <v>2269</v>
      </c>
      <c r="B1067" s="1" t="s">
        <v>2270</v>
      </c>
      <c r="C1067" s="1" t="s">
        <v>20</v>
      </c>
      <c r="D1067" s="1" t="s">
        <v>1187</v>
      </c>
      <c r="E1067" s="1" t="s">
        <v>1188</v>
      </c>
      <c r="F1067" s="1" t="s">
        <v>1189</v>
      </c>
      <c r="G1067" s="1" t="s">
        <v>1190</v>
      </c>
      <c r="H1067" s="2"/>
      <c r="I1067" s="2"/>
      <c r="J1067" s="2"/>
      <c r="K1067" s="2"/>
    </row>
    <row x14ac:dyDescent="0.25" r="1068" customHeight="1" ht="17.25">
      <c r="A1068" s="1" t="s">
        <v>2271</v>
      </c>
      <c r="B1068" s="1" t="s">
        <v>2272</v>
      </c>
      <c r="C1068" s="1" t="s">
        <v>20</v>
      </c>
      <c r="D1068" s="1" t="s">
        <v>1187</v>
      </c>
      <c r="E1068" s="1" t="s">
        <v>1188</v>
      </c>
      <c r="F1068" s="1" t="s">
        <v>1189</v>
      </c>
      <c r="G1068" s="1" t="s">
        <v>1190</v>
      </c>
      <c r="H1068" s="2"/>
      <c r="I1068" s="2"/>
      <c r="J1068" s="2"/>
      <c r="K1068" s="2"/>
    </row>
    <row x14ac:dyDescent="0.25" r="1069" customHeight="1" ht="17.25">
      <c r="A1069" s="1" t="s">
        <v>2273</v>
      </c>
      <c r="B1069" s="1" t="s">
        <v>2274</v>
      </c>
      <c r="C1069" s="1" t="s">
        <v>20</v>
      </c>
      <c r="D1069" s="1" t="s">
        <v>1187</v>
      </c>
      <c r="E1069" s="1" t="s">
        <v>1188</v>
      </c>
      <c r="F1069" s="1" t="s">
        <v>1189</v>
      </c>
      <c r="G1069" s="1" t="s">
        <v>1190</v>
      </c>
      <c r="H1069" s="2"/>
      <c r="I1069" s="2"/>
      <c r="J1069" s="2"/>
      <c r="K1069" s="2"/>
    </row>
    <row x14ac:dyDescent="0.25" r="1070" customHeight="1" ht="17.25">
      <c r="A1070" s="1" t="s">
        <v>2275</v>
      </c>
      <c r="B1070" s="1" t="s">
        <v>2276</v>
      </c>
      <c r="C1070" s="1" t="s">
        <v>20</v>
      </c>
      <c r="D1070" s="1" t="s">
        <v>1187</v>
      </c>
      <c r="E1070" s="1" t="s">
        <v>1188</v>
      </c>
      <c r="F1070" s="1" t="s">
        <v>1189</v>
      </c>
      <c r="G1070" s="1" t="s">
        <v>1190</v>
      </c>
      <c r="H1070" s="2"/>
      <c r="I1070" s="2"/>
      <c r="J1070" s="2"/>
      <c r="K1070" s="2"/>
    </row>
    <row x14ac:dyDescent="0.25" r="1071" customHeight="1" ht="17.25">
      <c r="A1071" s="1" t="s">
        <v>2277</v>
      </c>
      <c r="B1071" s="1" t="s">
        <v>2278</v>
      </c>
      <c r="C1071" s="1" t="s">
        <v>20</v>
      </c>
      <c r="D1071" s="1" t="s">
        <v>1187</v>
      </c>
      <c r="E1071" s="1" t="s">
        <v>1188</v>
      </c>
      <c r="F1071" s="1" t="s">
        <v>1189</v>
      </c>
      <c r="G1071" s="1" t="s">
        <v>1190</v>
      </c>
      <c r="H1071" s="2"/>
      <c r="I1071" s="2"/>
      <c r="J1071" s="2"/>
      <c r="K1071" s="2"/>
    </row>
    <row x14ac:dyDescent="0.25" r="1072" customHeight="1" ht="17.25">
      <c r="A1072" s="1" t="s">
        <v>2279</v>
      </c>
      <c r="B1072" s="1" t="s">
        <v>2280</v>
      </c>
      <c r="C1072" s="1" t="s">
        <v>20</v>
      </c>
      <c r="D1072" s="1" t="s">
        <v>1187</v>
      </c>
      <c r="E1072" s="1" t="s">
        <v>1188</v>
      </c>
      <c r="F1072" s="1" t="s">
        <v>1189</v>
      </c>
      <c r="G1072" s="1" t="s">
        <v>1190</v>
      </c>
      <c r="H1072" s="2"/>
      <c r="I1072" s="2"/>
      <c r="J1072" s="2"/>
      <c r="K1072" s="2"/>
    </row>
    <row x14ac:dyDescent="0.25" r="1073" customHeight="1" ht="17.25">
      <c r="A1073" s="1" t="s">
        <v>2281</v>
      </c>
      <c r="B1073" s="1" t="s">
        <v>2282</v>
      </c>
      <c r="C1073" s="1" t="s">
        <v>20</v>
      </c>
      <c r="D1073" s="1" t="s">
        <v>1187</v>
      </c>
      <c r="E1073" s="1" t="s">
        <v>1188</v>
      </c>
      <c r="F1073" s="1" t="s">
        <v>1189</v>
      </c>
      <c r="G1073" s="1" t="s">
        <v>1190</v>
      </c>
      <c r="H1073" s="2"/>
      <c r="I1073" s="2"/>
      <c r="J1073" s="2"/>
      <c r="K1073" s="2"/>
    </row>
    <row x14ac:dyDescent="0.25" r="1074" customHeight="1" ht="17.25">
      <c r="A1074" s="1" t="s">
        <v>2283</v>
      </c>
      <c r="B1074" s="1" t="s">
        <v>2284</v>
      </c>
      <c r="C1074" s="1" t="s">
        <v>20</v>
      </c>
      <c r="D1074" s="1" t="s">
        <v>1187</v>
      </c>
      <c r="E1074" s="1" t="s">
        <v>1188</v>
      </c>
      <c r="F1074" s="1" t="s">
        <v>1189</v>
      </c>
      <c r="G1074" s="1" t="s">
        <v>1190</v>
      </c>
      <c r="H1074" s="2"/>
      <c r="I1074" s="2"/>
      <c r="J1074" s="2"/>
      <c r="K1074" s="2"/>
    </row>
    <row x14ac:dyDescent="0.25" r="1075" customHeight="1" ht="17.25">
      <c r="A1075" s="1" t="s">
        <v>2285</v>
      </c>
      <c r="B1075" s="1" t="s">
        <v>2286</v>
      </c>
      <c r="C1075" s="1" t="s">
        <v>20</v>
      </c>
      <c r="D1075" s="1" t="s">
        <v>1187</v>
      </c>
      <c r="E1075" s="1" t="s">
        <v>1188</v>
      </c>
      <c r="F1075" s="1" t="s">
        <v>1189</v>
      </c>
      <c r="G1075" s="1" t="s">
        <v>1190</v>
      </c>
      <c r="H1075" s="2"/>
      <c r="I1075" s="2"/>
      <c r="J1075" s="2"/>
      <c r="K1075" s="2"/>
    </row>
    <row x14ac:dyDescent="0.25" r="1076" customHeight="1" ht="17.25">
      <c r="A1076" s="1" t="s">
        <v>2287</v>
      </c>
      <c r="B1076" s="1" t="s">
        <v>2288</v>
      </c>
      <c r="C1076" s="1" t="s">
        <v>20</v>
      </c>
      <c r="D1076" s="1" t="s">
        <v>1187</v>
      </c>
      <c r="E1076" s="1" t="s">
        <v>1188</v>
      </c>
      <c r="F1076" s="1" t="s">
        <v>1189</v>
      </c>
      <c r="G1076" s="1" t="s">
        <v>1190</v>
      </c>
      <c r="H1076" s="2"/>
      <c r="I1076" s="2"/>
      <c r="J1076" s="2"/>
      <c r="K1076" s="2"/>
    </row>
    <row x14ac:dyDescent="0.25" r="1077" customHeight="1" ht="17.25">
      <c r="A1077" s="1" t="s">
        <v>2289</v>
      </c>
      <c r="B1077" s="1" t="s">
        <v>2290</v>
      </c>
      <c r="C1077" s="1" t="s">
        <v>20</v>
      </c>
      <c r="D1077" s="1" t="s">
        <v>1187</v>
      </c>
      <c r="E1077" s="1" t="s">
        <v>1188</v>
      </c>
      <c r="F1077" s="1" t="s">
        <v>1189</v>
      </c>
      <c r="G1077" s="1" t="s">
        <v>1190</v>
      </c>
      <c r="H1077" s="2"/>
      <c r="I1077" s="2"/>
      <c r="J1077" s="2"/>
      <c r="K1077" s="2"/>
    </row>
    <row x14ac:dyDescent="0.25" r="1078" customHeight="1" ht="17.25">
      <c r="A1078" s="1" t="s">
        <v>2291</v>
      </c>
      <c r="B1078" s="1" t="s">
        <v>2292</v>
      </c>
      <c r="C1078" s="1" t="s">
        <v>20</v>
      </c>
      <c r="D1078" s="1" t="s">
        <v>1187</v>
      </c>
      <c r="E1078" s="1" t="s">
        <v>1188</v>
      </c>
      <c r="F1078" s="1" t="s">
        <v>1189</v>
      </c>
      <c r="G1078" s="1" t="s">
        <v>1190</v>
      </c>
      <c r="H1078" s="2"/>
      <c r="I1078" s="2"/>
      <c r="J1078" s="2"/>
      <c r="K1078" s="2"/>
    </row>
    <row x14ac:dyDescent="0.25" r="1079" customHeight="1" ht="17.25">
      <c r="A1079" s="1" t="s">
        <v>2293</v>
      </c>
      <c r="B1079" s="1" t="s">
        <v>2294</v>
      </c>
      <c r="C1079" s="1" t="s">
        <v>20</v>
      </c>
      <c r="D1079" s="1" t="s">
        <v>1187</v>
      </c>
      <c r="E1079" s="1" t="s">
        <v>1188</v>
      </c>
      <c r="F1079" s="1" t="s">
        <v>1189</v>
      </c>
      <c r="G1079" s="1" t="s">
        <v>1190</v>
      </c>
      <c r="H1079" s="2"/>
      <c r="I1079" s="2"/>
      <c r="J1079" s="2"/>
      <c r="K1079" s="2"/>
    </row>
    <row x14ac:dyDescent="0.25" r="1080" customHeight="1" ht="17.25">
      <c r="A1080" s="1" t="s">
        <v>2295</v>
      </c>
      <c r="B1080" s="1" t="s">
        <v>2296</v>
      </c>
      <c r="C1080" s="1" t="s">
        <v>20</v>
      </c>
      <c r="D1080" s="1" t="s">
        <v>1187</v>
      </c>
      <c r="E1080" s="1" t="s">
        <v>1188</v>
      </c>
      <c r="F1080" s="1" t="s">
        <v>1189</v>
      </c>
      <c r="G1080" s="1" t="s">
        <v>1190</v>
      </c>
      <c r="H1080" s="2"/>
      <c r="I1080" s="2"/>
      <c r="J1080" s="2"/>
      <c r="K1080" s="2"/>
    </row>
    <row x14ac:dyDescent="0.25" r="1081" customHeight="1" ht="17.25">
      <c r="A1081" s="1" t="s">
        <v>2297</v>
      </c>
      <c r="B1081" s="1" t="s">
        <v>2298</v>
      </c>
      <c r="C1081" s="1" t="s">
        <v>20</v>
      </c>
      <c r="D1081" s="1" t="s">
        <v>1187</v>
      </c>
      <c r="E1081" s="1" t="s">
        <v>1188</v>
      </c>
      <c r="F1081" s="1" t="s">
        <v>1189</v>
      </c>
      <c r="G1081" s="1" t="s">
        <v>1190</v>
      </c>
      <c r="H1081" s="2"/>
      <c r="I1081" s="2"/>
      <c r="J1081" s="2"/>
      <c r="K1081" s="2"/>
    </row>
    <row x14ac:dyDescent="0.25" r="1082" customHeight="1" ht="17.25">
      <c r="A1082" s="1" t="s">
        <v>2299</v>
      </c>
      <c r="B1082" s="1" t="s">
        <v>2300</v>
      </c>
      <c r="C1082" s="1" t="s">
        <v>20</v>
      </c>
      <c r="D1082" s="1" t="s">
        <v>1187</v>
      </c>
      <c r="E1082" s="1" t="s">
        <v>1188</v>
      </c>
      <c r="F1082" s="1" t="s">
        <v>1189</v>
      </c>
      <c r="G1082" s="1" t="s">
        <v>1190</v>
      </c>
      <c r="H1082" s="2"/>
      <c r="I1082" s="2"/>
      <c r="J1082" s="2"/>
      <c r="K1082" s="2"/>
    </row>
    <row x14ac:dyDescent="0.25" r="1083" customHeight="1" ht="17.25">
      <c r="A1083" s="1" t="s">
        <v>2301</v>
      </c>
      <c r="B1083" s="1" t="s">
        <v>2302</v>
      </c>
      <c r="C1083" s="1" t="s">
        <v>20</v>
      </c>
      <c r="D1083" s="1" t="s">
        <v>1187</v>
      </c>
      <c r="E1083" s="1" t="s">
        <v>1188</v>
      </c>
      <c r="F1083" s="1" t="s">
        <v>1189</v>
      </c>
      <c r="G1083" s="1" t="s">
        <v>1190</v>
      </c>
      <c r="H1083" s="2"/>
      <c r="I1083" s="2"/>
      <c r="J1083" s="2"/>
      <c r="K1083" s="2"/>
    </row>
    <row x14ac:dyDescent="0.25" r="1084" customHeight="1" ht="17.25">
      <c r="A1084" s="1" t="s">
        <v>2303</v>
      </c>
      <c r="B1084" s="1" t="s">
        <v>2304</v>
      </c>
      <c r="C1084" s="1" t="s">
        <v>20</v>
      </c>
      <c r="D1084" s="1" t="s">
        <v>1187</v>
      </c>
      <c r="E1084" s="1" t="s">
        <v>1188</v>
      </c>
      <c r="F1084" s="1" t="s">
        <v>1189</v>
      </c>
      <c r="G1084" s="1" t="s">
        <v>1190</v>
      </c>
      <c r="H1084" s="2"/>
      <c r="I1084" s="2"/>
      <c r="J1084" s="2"/>
      <c r="K1084" s="2"/>
    </row>
    <row x14ac:dyDescent="0.25" r="1085" customHeight="1" ht="17.25">
      <c r="A1085" s="1" t="s">
        <v>2305</v>
      </c>
      <c r="B1085" s="1" t="s">
        <v>2306</v>
      </c>
      <c r="C1085" s="1" t="s">
        <v>20</v>
      </c>
      <c r="D1085" s="1" t="s">
        <v>1187</v>
      </c>
      <c r="E1085" s="1" t="s">
        <v>1188</v>
      </c>
      <c r="F1085" s="1" t="s">
        <v>1189</v>
      </c>
      <c r="G1085" s="1" t="s">
        <v>1190</v>
      </c>
      <c r="H1085" s="2"/>
      <c r="I1085" s="2"/>
      <c r="J1085" s="2"/>
      <c r="K1085" s="2"/>
    </row>
    <row x14ac:dyDescent="0.25" r="1086" customHeight="1" ht="17.25">
      <c r="A1086" s="1" t="s">
        <v>2307</v>
      </c>
      <c r="B1086" s="1" t="s">
        <v>2308</v>
      </c>
      <c r="C1086" s="1" t="s">
        <v>20</v>
      </c>
      <c r="D1086" s="1" t="s">
        <v>1187</v>
      </c>
      <c r="E1086" s="1" t="s">
        <v>1188</v>
      </c>
      <c r="F1086" s="1" t="s">
        <v>1189</v>
      </c>
      <c r="G1086" s="1" t="s">
        <v>1190</v>
      </c>
      <c r="H1086" s="2"/>
      <c r="I1086" s="2"/>
      <c r="J1086" s="2"/>
      <c r="K1086" s="2"/>
    </row>
    <row x14ac:dyDescent="0.25" r="1087" customHeight="1" ht="17.25">
      <c r="A1087" s="1" t="s">
        <v>2309</v>
      </c>
      <c r="B1087" s="1" t="s">
        <v>2310</v>
      </c>
      <c r="C1087" s="1" t="s">
        <v>20</v>
      </c>
      <c r="D1087" s="1" t="s">
        <v>1187</v>
      </c>
      <c r="E1087" s="1" t="s">
        <v>1188</v>
      </c>
      <c r="F1087" s="1" t="s">
        <v>1189</v>
      </c>
      <c r="G1087" s="1" t="s">
        <v>1190</v>
      </c>
      <c r="H1087" s="2"/>
      <c r="I1087" s="2"/>
      <c r="J1087" s="2"/>
      <c r="K1087" s="2"/>
    </row>
    <row x14ac:dyDescent="0.25" r="1088" customHeight="1" ht="17.25">
      <c r="A1088" s="1" t="s">
        <v>2311</v>
      </c>
      <c r="B1088" s="1" t="s">
        <v>2312</v>
      </c>
      <c r="C1088" s="1" t="s">
        <v>20</v>
      </c>
      <c r="D1088" s="1" t="s">
        <v>1187</v>
      </c>
      <c r="E1088" s="1" t="s">
        <v>1188</v>
      </c>
      <c r="F1088" s="1" t="s">
        <v>1189</v>
      </c>
      <c r="G1088" s="1" t="s">
        <v>1190</v>
      </c>
      <c r="H1088" s="2"/>
      <c r="I1088" s="2"/>
      <c r="J1088" s="2"/>
      <c r="K1088" s="2"/>
    </row>
    <row x14ac:dyDescent="0.25" r="1089" customHeight="1" ht="17.25">
      <c r="A1089" s="1" t="s">
        <v>2313</v>
      </c>
      <c r="B1089" s="1" t="s">
        <v>2314</v>
      </c>
      <c r="C1089" s="1" t="s">
        <v>20</v>
      </c>
      <c r="D1089" s="1" t="s">
        <v>1187</v>
      </c>
      <c r="E1089" s="1" t="s">
        <v>1188</v>
      </c>
      <c r="F1089" s="1" t="s">
        <v>1189</v>
      </c>
      <c r="G1089" s="1" t="s">
        <v>1190</v>
      </c>
      <c r="H1089" s="2"/>
      <c r="I1089" s="2"/>
      <c r="J1089" s="2"/>
      <c r="K1089" s="2"/>
    </row>
    <row x14ac:dyDescent="0.25" r="1090" customHeight="1" ht="17.25">
      <c r="A1090" s="1" t="s">
        <v>2315</v>
      </c>
      <c r="B1090" s="1" t="s">
        <v>2316</v>
      </c>
      <c r="C1090" s="1" t="s">
        <v>20</v>
      </c>
      <c r="D1090" s="1" t="s">
        <v>1187</v>
      </c>
      <c r="E1090" s="1" t="s">
        <v>1188</v>
      </c>
      <c r="F1090" s="1" t="s">
        <v>1189</v>
      </c>
      <c r="G1090" s="1" t="s">
        <v>1190</v>
      </c>
      <c r="H1090" s="2"/>
      <c r="I1090" s="2"/>
      <c r="J1090" s="2"/>
      <c r="K1090" s="2"/>
    </row>
    <row x14ac:dyDescent="0.25" r="1091" customHeight="1" ht="17.25">
      <c r="A1091" s="1" t="s">
        <v>2317</v>
      </c>
      <c r="B1091" s="1" t="s">
        <v>2318</v>
      </c>
      <c r="C1091" s="1" t="s">
        <v>20</v>
      </c>
      <c r="D1091" s="1" t="s">
        <v>1187</v>
      </c>
      <c r="E1091" s="1" t="s">
        <v>1188</v>
      </c>
      <c r="F1091" s="1" t="s">
        <v>1189</v>
      </c>
      <c r="G1091" s="1" t="s">
        <v>1190</v>
      </c>
      <c r="H1091" s="2"/>
      <c r="I1091" s="2"/>
      <c r="J1091" s="2"/>
      <c r="K1091" s="2"/>
    </row>
    <row x14ac:dyDescent="0.25" r="1092" customHeight="1" ht="17.25">
      <c r="A1092" s="1" t="s">
        <v>2319</v>
      </c>
      <c r="B1092" s="1" t="s">
        <v>2320</v>
      </c>
      <c r="C1092" s="1" t="s">
        <v>20</v>
      </c>
      <c r="D1092" s="1" t="s">
        <v>1187</v>
      </c>
      <c r="E1092" s="1" t="s">
        <v>1188</v>
      </c>
      <c r="F1092" s="1" t="s">
        <v>1189</v>
      </c>
      <c r="G1092" s="1" t="s">
        <v>1190</v>
      </c>
      <c r="H1092" s="2"/>
      <c r="I1092" s="2"/>
      <c r="J1092" s="2"/>
      <c r="K1092" s="2"/>
    </row>
    <row x14ac:dyDescent="0.25" r="1093" customHeight="1" ht="17.25">
      <c r="A1093" s="1" t="s">
        <v>2321</v>
      </c>
      <c r="B1093" s="1" t="s">
        <v>2322</v>
      </c>
      <c r="C1093" s="1" t="s">
        <v>20</v>
      </c>
      <c r="D1093" s="1" t="s">
        <v>1187</v>
      </c>
      <c r="E1093" s="1" t="s">
        <v>1188</v>
      </c>
      <c r="F1093" s="1" t="s">
        <v>1189</v>
      </c>
      <c r="G1093" s="1" t="s">
        <v>1190</v>
      </c>
      <c r="H1093" s="2"/>
      <c r="I1093" s="2"/>
      <c r="J1093" s="2"/>
      <c r="K1093" s="2"/>
    </row>
    <row x14ac:dyDescent="0.25" r="1094" customHeight="1" ht="17.25">
      <c r="A1094" s="1" t="s">
        <v>2323</v>
      </c>
      <c r="B1094" s="1" t="s">
        <v>2324</v>
      </c>
      <c r="C1094" s="1" t="s">
        <v>20</v>
      </c>
      <c r="D1094" s="1" t="s">
        <v>1187</v>
      </c>
      <c r="E1094" s="1" t="s">
        <v>1188</v>
      </c>
      <c r="F1094" s="1" t="s">
        <v>1189</v>
      </c>
      <c r="G1094" s="1" t="s">
        <v>1190</v>
      </c>
      <c r="H1094" s="2"/>
      <c r="I1094" s="2"/>
      <c r="J1094" s="2"/>
      <c r="K1094" s="2"/>
    </row>
    <row x14ac:dyDescent="0.25" r="1095" customHeight="1" ht="17.25">
      <c r="A1095" s="1" t="s">
        <v>2325</v>
      </c>
      <c r="B1095" s="1" t="s">
        <v>2326</v>
      </c>
      <c r="C1095" s="1" t="s">
        <v>20</v>
      </c>
      <c r="D1095" s="1" t="s">
        <v>1187</v>
      </c>
      <c r="E1095" s="1" t="s">
        <v>1188</v>
      </c>
      <c r="F1095" s="1" t="s">
        <v>1189</v>
      </c>
      <c r="G1095" s="1" t="s">
        <v>1190</v>
      </c>
      <c r="H1095" s="2"/>
      <c r="I1095" s="2"/>
      <c r="J1095" s="2"/>
      <c r="K1095" s="2"/>
    </row>
    <row x14ac:dyDescent="0.25" r="1096" customHeight="1" ht="17.25">
      <c r="A1096" s="1" t="s">
        <v>2327</v>
      </c>
      <c r="B1096" s="1" t="s">
        <v>2328</v>
      </c>
      <c r="C1096" s="1" t="s">
        <v>20</v>
      </c>
      <c r="D1096" s="1" t="s">
        <v>1187</v>
      </c>
      <c r="E1096" s="1" t="s">
        <v>1188</v>
      </c>
      <c r="F1096" s="1" t="s">
        <v>1189</v>
      </c>
      <c r="G1096" s="1" t="s">
        <v>1190</v>
      </c>
      <c r="H1096" s="2"/>
      <c r="I1096" s="2"/>
      <c r="J1096" s="2"/>
      <c r="K1096" s="2"/>
    </row>
    <row x14ac:dyDescent="0.25" r="1097" customHeight="1" ht="17.25">
      <c r="A1097" s="1" t="s">
        <v>2329</v>
      </c>
      <c r="B1097" s="1" t="s">
        <v>2330</v>
      </c>
      <c r="C1097" s="1" t="s">
        <v>20</v>
      </c>
      <c r="D1097" s="1" t="s">
        <v>1187</v>
      </c>
      <c r="E1097" s="1" t="s">
        <v>1188</v>
      </c>
      <c r="F1097" s="1" t="s">
        <v>1189</v>
      </c>
      <c r="G1097" s="1" t="s">
        <v>1190</v>
      </c>
      <c r="H1097" s="2"/>
      <c r="I1097" s="2"/>
      <c r="J1097" s="2"/>
      <c r="K1097" s="2"/>
    </row>
    <row x14ac:dyDescent="0.25" r="1098" customHeight="1" ht="17.25">
      <c r="A1098" s="1" t="s">
        <v>2331</v>
      </c>
      <c r="B1098" s="1" t="s">
        <v>2332</v>
      </c>
      <c r="C1098" s="1" t="s">
        <v>20</v>
      </c>
      <c r="D1098" s="1" t="s">
        <v>1187</v>
      </c>
      <c r="E1098" s="1" t="s">
        <v>1188</v>
      </c>
      <c r="F1098" s="1" t="s">
        <v>1189</v>
      </c>
      <c r="G1098" s="1" t="s">
        <v>1190</v>
      </c>
      <c r="H1098" s="2"/>
      <c r="I1098" s="2"/>
      <c r="J1098" s="2"/>
      <c r="K1098" s="2"/>
    </row>
    <row x14ac:dyDescent="0.25" r="1099" customHeight="1" ht="17.25">
      <c r="A1099" s="1" t="s">
        <v>2333</v>
      </c>
      <c r="B1099" s="1" t="s">
        <v>2334</v>
      </c>
      <c r="C1099" s="1" t="s">
        <v>20</v>
      </c>
      <c r="D1099" s="1" t="s">
        <v>1187</v>
      </c>
      <c r="E1099" s="1" t="s">
        <v>1188</v>
      </c>
      <c r="F1099" s="1" t="s">
        <v>1189</v>
      </c>
      <c r="G1099" s="1" t="s">
        <v>1190</v>
      </c>
      <c r="H1099" s="2"/>
      <c r="I1099" s="2"/>
      <c r="J1099" s="2"/>
      <c r="K1099" s="2"/>
    </row>
    <row x14ac:dyDescent="0.25" r="1100" customHeight="1" ht="17.25">
      <c r="A1100" s="1" t="s">
        <v>2335</v>
      </c>
      <c r="B1100" s="1" t="s">
        <v>2336</v>
      </c>
      <c r="C1100" s="1" t="s">
        <v>20</v>
      </c>
      <c r="D1100" s="1" t="s">
        <v>1187</v>
      </c>
      <c r="E1100" s="1" t="s">
        <v>1188</v>
      </c>
      <c r="F1100" s="1" t="s">
        <v>1189</v>
      </c>
      <c r="G1100" s="1" t="s">
        <v>1190</v>
      </c>
      <c r="H1100" s="2"/>
      <c r="I1100" s="2"/>
      <c r="J1100" s="2"/>
      <c r="K1100" s="2"/>
    </row>
    <row x14ac:dyDescent="0.25" r="1101" customHeight="1" ht="17.25">
      <c r="A1101" s="1" t="s">
        <v>2337</v>
      </c>
      <c r="B1101" s="1" t="s">
        <v>2338</v>
      </c>
      <c r="C1101" s="1" t="s">
        <v>20</v>
      </c>
      <c r="D1101" s="1" t="s">
        <v>1187</v>
      </c>
      <c r="E1101" s="1" t="s">
        <v>1188</v>
      </c>
      <c r="F1101" s="1" t="s">
        <v>1189</v>
      </c>
      <c r="G1101" s="1" t="s">
        <v>1190</v>
      </c>
      <c r="H1101" s="2"/>
      <c r="I1101" s="2"/>
      <c r="J1101" s="2"/>
      <c r="K1101" s="2"/>
    </row>
    <row x14ac:dyDescent="0.25" r="1102" customHeight="1" ht="17.25">
      <c r="A1102" s="1" t="s">
        <v>2339</v>
      </c>
      <c r="B1102" s="1" t="s">
        <v>2340</v>
      </c>
      <c r="C1102" s="1" t="s">
        <v>20</v>
      </c>
      <c r="D1102" s="1" t="s">
        <v>1187</v>
      </c>
      <c r="E1102" s="1" t="s">
        <v>1188</v>
      </c>
      <c r="F1102" s="1" t="s">
        <v>1189</v>
      </c>
      <c r="G1102" s="1" t="s">
        <v>1190</v>
      </c>
      <c r="H1102" s="2"/>
      <c r="I1102" s="2"/>
      <c r="J1102" s="2"/>
      <c r="K1102" s="2"/>
    </row>
    <row x14ac:dyDescent="0.25" r="1103" customHeight="1" ht="17.25">
      <c r="A1103" s="1" t="s">
        <v>2341</v>
      </c>
      <c r="B1103" s="1" t="s">
        <v>2342</v>
      </c>
      <c r="C1103" s="1" t="s">
        <v>20</v>
      </c>
      <c r="D1103" s="1" t="s">
        <v>1187</v>
      </c>
      <c r="E1103" s="1" t="s">
        <v>1188</v>
      </c>
      <c r="F1103" s="1" t="s">
        <v>1189</v>
      </c>
      <c r="G1103" s="1" t="s">
        <v>1190</v>
      </c>
      <c r="H1103" s="2"/>
      <c r="I1103" s="2"/>
      <c r="J1103" s="2"/>
      <c r="K1103" s="2"/>
    </row>
    <row x14ac:dyDescent="0.25" r="1104" customHeight="1" ht="17.25">
      <c r="A1104" s="1" t="s">
        <v>2343</v>
      </c>
      <c r="B1104" s="1" t="s">
        <v>2344</v>
      </c>
      <c r="C1104" s="1" t="s">
        <v>20</v>
      </c>
      <c r="D1104" s="1" t="s">
        <v>1187</v>
      </c>
      <c r="E1104" s="1" t="s">
        <v>1188</v>
      </c>
      <c r="F1104" s="1" t="s">
        <v>1189</v>
      </c>
      <c r="G1104" s="1" t="s">
        <v>1190</v>
      </c>
      <c r="H1104" s="2"/>
      <c r="I1104" s="2"/>
      <c r="J1104" s="2"/>
      <c r="K1104" s="2"/>
    </row>
    <row x14ac:dyDescent="0.25" r="1105" customHeight="1" ht="17.25">
      <c r="A1105" s="1" t="s">
        <v>2345</v>
      </c>
      <c r="B1105" s="1" t="s">
        <v>2346</v>
      </c>
      <c r="C1105" s="1" t="s">
        <v>20</v>
      </c>
      <c r="D1105" s="1" t="s">
        <v>1187</v>
      </c>
      <c r="E1105" s="1" t="s">
        <v>1188</v>
      </c>
      <c r="F1105" s="1" t="s">
        <v>1189</v>
      </c>
      <c r="G1105" s="1" t="s">
        <v>1190</v>
      </c>
      <c r="H1105" s="2"/>
      <c r="I1105" s="2"/>
      <c r="J1105" s="2"/>
      <c r="K1105" s="2"/>
    </row>
    <row x14ac:dyDescent="0.25" r="1106" customHeight="1" ht="17.25">
      <c r="A1106" s="1" t="s">
        <v>2347</v>
      </c>
      <c r="B1106" s="1" t="s">
        <v>2348</v>
      </c>
      <c r="C1106" s="1" t="s">
        <v>20</v>
      </c>
      <c r="D1106" s="1" t="s">
        <v>1187</v>
      </c>
      <c r="E1106" s="1" t="s">
        <v>1188</v>
      </c>
      <c r="F1106" s="1" t="s">
        <v>1189</v>
      </c>
      <c r="G1106" s="1" t="s">
        <v>1190</v>
      </c>
      <c r="H1106" s="2"/>
      <c r="I1106" s="2"/>
      <c r="J1106" s="2"/>
      <c r="K1106" s="2"/>
    </row>
    <row x14ac:dyDescent="0.25" r="1107" customHeight="1" ht="17.25">
      <c r="A1107" s="1" t="s">
        <v>2349</v>
      </c>
      <c r="B1107" s="1" t="s">
        <v>2350</v>
      </c>
      <c r="C1107" s="1" t="s">
        <v>20</v>
      </c>
      <c r="D1107" s="1" t="s">
        <v>1187</v>
      </c>
      <c r="E1107" s="1" t="s">
        <v>1188</v>
      </c>
      <c r="F1107" s="1" t="s">
        <v>1189</v>
      </c>
      <c r="G1107" s="1" t="s">
        <v>1190</v>
      </c>
      <c r="H1107" s="2"/>
      <c r="I1107" s="2"/>
      <c r="J1107" s="2"/>
      <c r="K1107" s="2"/>
    </row>
    <row x14ac:dyDescent="0.25" r="1108" customHeight="1" ht="17.25">
      <c r="A1108" s="1" t="s">
        <v>2351</v>
      </c>
      <c r="B1108" s="1" t="s">
        <v>2352</v>
      </c>
      <c r="C1108" s="1" t="s">
        <v>20</v>
      </c>
      <c r="D1108" s="1" t="s">
        <v>1187</v>
      </c>
      <c r="E1108" s="1" t="s">
        <v>1188</v>
      </c>
      <c r="F1108" s="1" t="s">
        <v>1189</v>
      </c>
      <c r="G1108" s="1" t="s">
        <v>1190</v>
      </c>
      <c r="H1108" s="2"/>
      <c r="I1108" s="2"/>
      <c r="J1108" s="2"/>
      <c r="K1108" s="2"/>
    </row>
    <row x14ac:dyDescent="0.25" r="1109" customHeight="1" ht="17.25">
      <c r="A1109" s="1" t="s">
        <v>2353</v>
      </c>
      <c r="B1109" s="1" t="s">
        <v>2354</v>
      </c>
      <c r="C1109" s="1" t="s">
        <v>20</v>
      </c>
      <c r="D1109" s="1" t="s">
        <v>1187</v>
      </c>
      <c r="E1109" s="1" t="s">
        <v>1188</v>
      </c>
      <c r="F1109" s="1" t="s">
        <v>1189</v>
      </c>
      <c r="G1109" s="1" t="s">
        <v>1190</v>
      </c>
      <c r="H1109" s="2"/>
      <c r="I1109" s="2"/>
      <c r="J1109" s="2"/>
      <c r="K1109" s="2"/>
    </row>
    <row x14ac:dyDescent="0.25" r="1110" customHeight="1" ht="17.25">
      <c r="A1110" s="1" t="s">
        <v>2355</v>
      </c>
      <c r="B1110" s="1" t="s">
        <v>2356</v>
      </c>
      <c r="C1110" s="1" t="s">
        <v>20</v>
      </c>
      <c r="D1110" s="1" t="s">
        <v>1187</v>
      </c>
      <c r="E1110" s="1" t="s">
        <v>1188</v>
      </c>
      <c r="F1110" s="1" t="s">
        <v>1189</v>
      </c>
      <c r="G1110" s="1" t="s">
        <v>1190</v>
      </c>
      <c r="H1110" s="2"/>
      <c r="I1110" s="2"/>
      <c r="J1110" s="2"/>
      <c r="K1110" s="2"/>
    </row>
    <row x14ac:dyDescent="0.25" r="1111" customHeight="1" ht="17.25">
      <c r="A1111" s="1" t="s">
        <v>2357</v>
      </c>
      <c r="B1111" s="1" t="s">
        <v>2358</v>
      </c>
      <c r="C1111" s="1" t="s">
        <v>20</v>
      </c>
      <c r="D1111" s="1" t="s">
        <v>1187</v>
      </c>
      <c r="E1111" s="1" t="s">
        <v>1188</v>
      </c>
      <c r="F1111" s="1" t="s">
        <v>1189</v>
      </c>
      <c r="G1111" s="1" t="s">
        <v>1190</v>
      </c>
      <c r="H1111" s="2"/>
      <c r="I1111" s="2"/>
      <c r="J1111" s="2"/>
      <c r="K1111" s="2"/>
    </row>
    <row x14ac:dyDescent="0.25" r="1112" customHeight="1" ht="17.25">
      <c r="A1112" s="1" t="s">
        <v>2359</v>
      </c>
      <c r="B1112" s="1" t="s">
        <v>2360</v>
      </c>
      <c r="C1112" s="1" t="s">
        <v>20</v>
      </c>
      <c r="D1112" s="1" t="s">
        <v>1187</v>
      </c>
      <c r="E1112" s="1" t="s">
        <v>1188</v>
      </c>
      <c r="F1112" s="1" t="s">
        <v>1189</v>
      </c>
      <c r="G1112" s="1" t="s">
        <v>1190</v>
      </c>
      <c r="H1112" s="2"/>
      <c r="I1112" s="2"/>
      <c r="J1112" s="2"/>
      <c r="K1112" s="2"/>
    </row>
    <row x14ac:dyDescent="0.25" r="1113" customHeight="1" ht="17.25">
      <c r="A1113" s="1" t="s">
        <v>2361</v>
      </c>
      <c r="B1113" s="1" t="s">
        <v>2362</v>
      </c>
      <c r="C1113" s="1" t="s">
        <v>20</v>
      </c>
      <c r="D1113" s="1" t="s">
        <v>1187</v>
      </c>
      <c r="E1113" s="1" t="s">
        <v>1188</v>
      </c>
      <c r="F1113" s="1" t="s">
        <v>1189</v>
      </c>
      <c r="G1113" s="1" t="s">
        <v>1190</v>
      </c>
      <c r="H1113" s="2"/>
      <c r="I1113" s="2"/>
      <c r="J1113" s="2"/>
      <c r="K1113" s="2"/>
    </row>
    <row x14ac:dyDescent="0.25" r="1114" customHeight="1" ht="17.25">
      <c r="A1114" s="1" t="s">
        <v>2363</v>
      </c>
      <c r="B1114" s="1" t="s">
        <v>2364</v>
      </c>
      <c r="C1114" s="1" t="s">
        <v>20</v>
      </c>
      <c r="D1114" s="1" t="s">
        <v>1187</v>
      </c>
      <c r="E1114" s="1" t="s">
        <v>1188</v>
      </c>
      <c r="F1114" s="1" t="s">
        <v>1189</v>
      </c>
      <c r="G1114" s="1" t="s">
        <v>1190</v>
      </c>
      <c r="H1114" s="2"/>
      <c r="I1114" s="2"/>
      <c r="J1114" s="2"/>
      <c r="K1114" s="2"/>
    </row>
    <row x14ac:dyDescent="0.25" r="1115" customHeight="1" ht="17.25">
      <c r="A1115" s="1" t="s">
        <v>2365</v>
      </c>
      <c r="B1115" s="1" t="s">
        <v>2366</v>
      </c>
      <c r="C1115" s="1" t="s">
        <v>20</v>
      </c>
      <c r="D1115" s="1" t="s">
        <v>1187</v>
      </c>
      <c r="E1115" s="1" t="s">
        <v>1188</v>
      </c>
      <c r="F1115" s="1" t="s">
        <v>1189</v>
      </c>
      <c r="G1115" s="1" t="s">
        <v>1190</v>
      </c>
      <c r="H1115" s="2"/>
      <c r="I1115" s="2"/>
      <c r="J1115" s="2"/>
      <c r="K1115" s="2"/>
    </row>
    <row x14ac:dyDescent="0.25" r="1116" customHeight="1" ht="17.25">
      <c r="A1116" s="1" t="s">
        <v>2367</v>
      </c>
      <c r="B1116" s="1" t="s">
        <v>2368</v>
      </c>
      <c r="C1116" s="1" t="s">
        <v>20</v>
      </c>
      <c r="D1116" s="1" t="s">
        <v>1187</v>
      </c>
      <c r="E1116" s="1" t="s">
        <v>1188</v>
      </c>
      <c r="F1116" s="1" t="s">
        <v>1189</v>
      </c>
      <c r="G1116" s="1" t="s">
        <v>1190</v>
      </c>
      <c r="H1116" s="2"/>
      <c r="I1116" s="2"/>
      <c r="J1116" s="2"/>
      <c r="K1116" s="2"/>
    </row>
    <row x14ac:dyDescent="0.25" r="1117" customHeight="1" ht="17.25">
      <c r="A1117" s="1" t="s">
        <v>2369</v>
      </c>
      <c r="B1117" s="1" t="s">
        <v>2370</v>
      </c>
      <c r="C1117" s="1" t="s">
        <v>20</v>
      </c>
      <c r="D1117" s="1" t="s">
        <v>1187</v>
      </c>
      <c r="E1117" s="1" t="s">
        <v>1188</v>
      </c>
      <c r="F1117" s="1" t="s">
        <v>1189</v>
      </c>
      <c r="G1117" s="1" t="s">
        <v>1190</v>
      </c>
      <c r="H1117" s="2"/>
      <c r="I1117" s="2"/>
      <c r="J1117" s="2"/>
      <c r="K1117" s="2"/>
    </row>
    <row x14ac:dyDescent="0.25" r="1118" customHeight="1" ht="17.25">
      <c r="A1118" s="1" t="s">
        <v>2371</v>
      </c>
      <c r="B1118" s="1" t="s">
        <v>2372</v>
      </c>
      <c r="C1118" s="1" t="s">
        <v>20</v>
      </c>
      <c r="D1118" s="1" t="s">
        <v>1187</v>
      </c>
      <c r="E1118" s="1" t="s">
        <v>1188</v>
      </c>
      <c r="F1118" s="1" t="s">
        <v>1189</v>
      </c>
      <c r="G1118" s="1" t="s">
        <v>1190</v>
      </c>
      <c r="H1118" s="2"/>
      <c r="I1118" s="2"/>
      <c r="J1118" s="2"/>
      <c r="K1118" s="2"/>
    </row>
    <row x14ac:dyDescent="0.25" r="1119" customHeight="1" ht="17.25">
      <c r="A1119" s="1" t="s">
        <v>2373</v>
      </c>
      <c r="B1119" s="1" t="s">
        <v>2374</v>
      </c>
      <c r="C1119" s="1" t="s">
        <v>20</v>
      </c>
      <c r="D1119" s="1" t="s">
        <v>1187</v>
      </c>
      <c r="E1119" s="1" t="s">
        <v>1188</v>
      </c>
      <c r="F1119" s="1" t="s">
        <v>1189</v>
      </c>
      <c r="G1119" s="1" t="s">
        <v>1190</v>
      </c>
      <c r="H1119" s="2"/>
      <c r="I1119" s="2"/>
      <c r="J1119" s="2"/>
      <c r="K1119" s="2"/>
    </row>
    <row x14ac:dyDescent="0.25" r="1120" customHeight="1" ht="17.25">
      <c r="A1120" s="1" t="s">
        <v>2375</v>
      </c>
      <c r="B1120" s="1" t="s">
        <v>2376</v>
      </c>
      <c r="C1120" s="1" t="s">
        <v>20</v>
      </c>
      <c r="D1120" s="1" t="s">
        <v>1187</v>
      </c>
      <c r="E1120" s="1" t="s">
        <v>1188</v>
      </c>
      <c r="F1120" s="1" t="s">
        <v>1189</v>
      </c>
      <c r="G1120" s="1" t="s">
        <v>1190</v>
      </c>
      <c r="H1120" s="2"/>
      <c r="I1120" s="2"/>
      <c r="J1120" s="2"/>
      <c r="K1120" s="2"/>
    </row>
    <row x14ac:dyDescent="0.25" r="1121" customHeight="1" ht="17.25">
      <c r="A1121" s="1" t="s">
        <v>2377</v>
      </c>
      <c r="B1121" s="1" t="s">
        <v>2378</v>
      </c>
      <c r="C1121" s="1" t="s">
        <v>20</v>
      </c>
      <c r="D1121" s="1" t="s">
        <v>1187</v>
      </c>
      <c r="E1121" s="1" t="s">
        <v>1188</v>
      </c>
      <c r="F1121" s="1" t="s">
        <v>1189</v>
      </c>
      <c r="G1121" s="1" t="s">
        <v>1190</v>
      </c>
      <c r="H1121" s="2"/>
      <c r="I1121" s="2"/>
      <c r="J1121" s="2"/>
      <c r="K1121" s="2"/>
    </row>
    <row x14ac:dyDescent="0.25" r="1122" customHeight="1" ht="17.25">
      <c r="A1122" s="1" t="s">
        <v>2379</v>
      </c>
      <c r="B1122" s="1" t="s">
        <v>2380</v>
      </c>
      <c r="C1122" s="1" t="s">
        <v>20</v>
      </c>
      <c r="D1122" s="1" t="s">
        <v>1187</v>
      </c>
      <c r="E1122" s="1" t="s">
        <v>1188</v>
      </c>
      <c r="F1122" s="1" t="s">
        <v>1189</v>
      </c>
      <c r="G1122" s="1" t="s">
        <v>1190</v>
      </c>
      <c r="H1122" s="2"/>
      <c r="I1122" s="2"/>
      <c r="J1122" s="2"/>
      <c r="K1122" s="2"/>
    </row>
    <row x14ac:dyDescent="0.25" r="1123" customHeight="1" ht="17.25">
      <c r="A1123" s="1" t="s">
        <v>2381</v>
      </c>
      <c r="B1123" s="1" t="s">
        <v>2382</v>
      </c>
      <c r="C1123" s="1" t="s">
        <v>20</v>
      </c>
      <c r="D1123" s="1" t="s">
        <v>1187</v>
      </c>
      <c r="E1123" s="1" t="s">
        <v>1188</v>
      </c>
      <c r="F1123" s="1" t="s">
        <v>1189</v>
      </c>
      <c r="G1123" s="1" t="s">
        <v>1190</v>
      </c>
      <c r="H1123" s="2"/>
      <c r="I1123" s="2"/>
      <c r="J1123" s="2"/>
      <c r="K1123" s="2"/>
    </row>
    <row x14ac:dyDescent="0.25" r="1124" customHeight="1" ht="17.25">
      <c r="A1124" s="1" t="s">
        <v>2383</v>
      </c>
      <c r="B1124" s="1" t="s">
        <v>2384</v>
      </c>
      <c r="C1124" s="1" t="s">
        <v>20</v>
      </c>
      <c r="D1124" s="1" t="s">
        <v>1187</v>
      </c>
      <c r="E1124" s="1" t="s">
        <v>1188</v>
      </c>
      <c r="F1124" s="1" t="s">
        <v>1189</v>
      </c>
      <c r="G1124" s="1" t="s">
        <v>1190</v>
      </c>
      <c r="H1124" s="2"/>
      <c r="I1124" s="2"/>
      <c r="J1124" s="2"/>
      <c r="K1124" s="2"/>
    </row>
    <row x14ac:dyDescent="0.25" r="1125" customHeight="1" ht="17.25">
      <c r="A1125" s="1" t="s">
        <v>2385</v>
      </c>
      <c r="B1125" s="1" t="s">
        <v>2386</v>
      </c>
      <c r="C1125" s="1" t="s">
        <v>20</v>
      </c>
      <c r="D1125" s="1" t="s">
        <v>1187</v>
      </c>
      <c r="E1125" s="1" t="s">
        <v>1188</v>
      </c>
      <c r="F1125" s="1" t="s">
        <v>1189</v>
      </c>
      <c r="G1125" s="1" t="s">
        <v>1190</v>
      </c>
      <c r="H1125" s="2"/>
      <c r="I1125" s="2"/>
      <c r="J1125" s="2"/>
      <c r="K1125" s="2"/>
    </row>
    <row x14ac:dyDescent="0.25" r="1126" customHeight="1" ht="17.25">
      <c r="A1126" s="1" t="s">
        <v>2387</v>
      </c>
      <c r="B1126" s="1" t="s">
        <v>2388</v>
      </c>
      <c r="C1126" s="1" t="s">
        <v>20</v>
      </c>
      <c r="D1126" s="1" t="s">
        <v>1187</v>
      </c>
      <c r="E1126" s="1" t="s">
        <v>1188</v>
      </c>
      <c r="F1126" s="1" t="s">
        <v>1189</v>
      </c>
      <c r="G1126" s="1" t="s">
        <v>1190</v>
      </c>
      <c r="H1126" s="2"/>
      <c r="I1126" s="2"/>
      <c r="J1126" s="2"/>
      <c r="K1126" s="2"/>
    </row>
    <row x14ac:dyDescent="0.25" r="1127" customHeight="1" ht="17.25">
      <c r="A1127" s="1" t="s">
        <v>2389</v>
      </c>
      <c r="B1127" s="1" t="s">
        <v>2390</v>
      </c>
      <c r="C1127" s="1" t="s">
        <v>20</v>
      </c>
      <c r="D1127" s="1" t="s">
        <v>1187</v>
      </c>
      <c r="E1127" s="1" t="s">
        <v>1188</v>
      </c>
      <c r="F1127" s="1" t="s">
        <v>1189</v>
      </c>
      <c r="G1127" s="1" t="s">
        <v>1190</v>
      </c>
      <c r="H1127" s="2"/>
      <c r="I1127" s="2"/>
      <c r="J1127" s="2"/>
      <c r="K1127" s="2"/>
    </row>
    <row x14ac:dyDescent="0.25" r="1128" customHeight="1" ht="17.25">
      <c r="A1128" s="1" t="s">
        <v>2391</v>
      </c>
      <c r="B1128" s="1" t="s">
        <v>2392</v>
      </c>
      <c r="C1128" s="1" t="s">
        <v>20</v>
      </c>
      <c r="D1128" s="1" t="s">
        <v>1187</v>
      </c>
      <c r="E1128" s="1" t="s">
        <v>1188</v>
      </c>
      <c r="F1128" s="1" t="s">
        <v>1189</v>
      </c>
      <c r="G1128" s="1" t="s">
        <v>1190</v>
      </c>
      <c r="H1128" s="2"/>
      <c r="I1128" s="2"/>
      <c r="J1128" s="2"/>
      <c r="K1128" s="2"/>
    </row>
    <row x14ac:dyDescent="0.25" r="1129" customHeight="1" ht="17.25">
      <c r="A1129" s="1" t="s">
        <v>2393</v>
      </c>
      <c r="B1129" s="1" t="s">
        <v>2394</v>
      </c>
      <c r="C1129" s="1" t="s">
        <v>20</v>
      </c>
      <c r="D1129" s="1" t="s">
        <v>1187</v>
      </c>
      <c r="E1129" s="1" t="s">
        <v>1188</v>
      </c>
      <c r="F1129" s="1" t="s">
        <v>1189</v>
      </c>
      <c r="G1129" s="1" t="s">
        <v>1190</v>
      </c>
      <c r="H1129" s="2"/>
      <c r="I1129" s="2"/>
      <c r="J1129" s="2"/>
      <c r="K1129" s="2"/>
    </row>
    <row x14ac:dyDescent="0.25" r="1130" customHeight="1" ht="17.25">
      <c r="A1130" s="1" t="s">
        <v>2395</v>
      </c>
      <c r="B1130" s="1" t="s">
        <v>2396</v>
      </c>
      <c r="C1130" s="1" t="s">
        <v>20</v>
      </c>
      <c r="D1130" s="1" t="s">
        <v>1187</v>
      </c>
      <c r="E1130" s="1" t="s">
        <v>1188</v>
      </c>
      <c r="F1130" s="1" t="s">
        <v>1189</v>
      </c>
      <c r="G1130" s="1" t="s">
        <v>1190</v>
      </c>
      <c r="H1130" s="2"/>
      <c r="I1130" s="2"/>
      <c r="J1130" s="2"/>
      <c r="K1130" s="2"/>
    </row>
    <row x14ac:dyDescent="0.25" r="1131" customHeight="1" ht="17.25">
      <c r="A1131" s="1" t="s">
        <v>2397</v>
      </c>
      <c r="B1131" s="1" t="s">
        <v>2398</v>
      </c>
      <c r="C1131" s="1" t="s">
        <v>20</v>
      </c>
      <c r="D1131" s="1" t="s">
        <v>1187</v>
      </c>
      <c r="E1131" s="1" t="s">
        <v>1188</v>
      </c>
      <c r="F1131" s="1" t="s">
        <v>1189</v>
      </c>
      <c r="G1131" s="1" t="s">
        <v>1190</v>
      </c>
      <c r="H1131" s="2"/>
      <c r="I1131" s="2"/>
      <c r="J1131" s="2"/>
      <c r="K1131" s="2"/>
    </row>
    <row x14ac:dyDescent="0.25" r="1132" customHeight="1" ht="17.25">
      <c r="A1132" s="1" t="s">
        <v>2399</v>
      </c>
      <c r="B1132" s="1" t="s">
        <v>2400</v>
      </c>
      <c r="C1132" s="1" t="s">
        <v>20</v>
      </c>
      <c r="D1132" s="1" t="s">
        <v>1187</v>
      </c>
      <c r="E1132" s="1" t="s">
        <v>1188</v>
      </c>
      <c r="F1132" s="1" t="s">
        <v>1189</v>
      </c>
      <c r="G1132" s="1" t="s">
        <v>1190</v>
      </c>
      <c r="H1132" s="2"/>
      <c r="I1132" s="2"/>
      <c r="J1132" s="2"/>
      <c r="K1132" s="2"/>
    </row>
    <row x14ac:dyDescent="0.25" r="1133" customHeight="1" ht="17.25">
      <c r="A1133" s="1" t="s">
        <v>2401</v>
      </c>
      <c r="B1133" s="1" t="s">
        <v>2402</v>
      </c>
      <c r="C1133" s="1" t="s">
        <v>20</v>
      </c>
      <c r="D1133" s="1" t="s">
        <v>1187</v>
      </c>
      <c r="E1133" s="1" t="s">
        <v>1188</v>
      </c>
      <c r="F1133" s="1" t="s">
        <v>1189</v>
      </c>
      <c r="G1133" s="1" t="s">
        <v>1190</v>
      </c>
      <c r="H1133" s="2"/>
      <c r="I1133" s="2"/>
      <c r="J1133" s="2"/>
      <c r="K1133" s="2"/>
    </row>
    <row x14ac:dyDescent="0.25" r="1134" customHeight="1" ht="17.25">
      <c r="A1134" s="1" t="s">
        <v>2403</v>
      </c>
      <c r="B1134" s="1" t="s">
        <v>2404</v>
      </c>
      <c r="C1134" s="1" t="s">
        <v>20</v>
      </c>
      <c r="D1134" s="1" t="s">
        <v>1187</v>
      </c>
      <c r="E1134" s="1" t="s">
        <v>1188</v>
      </c>
      <c r="F1134" s="1" t="s">
        <v>1189</v>
      </c>
      <c r="G1134" s="1" t="s">
        <v>1190</v>
      </c>
      <c r="H1134" s="2"/>
      <c r="I1134" s="2"/>
      <c r="J1134" s="2"/>
      <c r="K1134" s="2"/>
    </row>
    <row x14ac:dyDescent="0.25" r="1135" customHeight="1" ht="17.25">
      <c r="A1135" s="1" t="s">
        <v>2405</v>
      </c>
      <c r="B1135" s="1" t="s">
        <v>2406</v>
      </c>
      <c r="C1135" s="1" t="s">
        <v>20</v>
      </c>
      <c r="D1135" s="1" t="s">
        <v>1187</v>
      </c>
      <c r="E1135" s="1" t="s">
        <v>1188</v>
      </c>
      <c r="F1135" s="1" t="s">
        <v>1189</v>
      </c>
      <c r="G1135" s="1" t="s">
        <v>1190</v>
      </c>
      <c r="H1135" s="2"/>
      <c r="I1135" s="2"/>
      <c r="J1135" s="2"/>
      <c r="K1135" s="2"/>
    </row>
    <row x14ac:dyDescent="0.25" r="1136" customHeight="1" ht="17.25">
      <c r="A1136" s="1" t="s">
        <v>2407</v>
      </c>
      <c r="B1136" s="1" t="s">
        <v>2408</v>
      </c>
      <c r="C1136" s="1" t="s">
        <v>20</v>
      </c>
      <c r="D1136" s="1" t="s">
        <v>1187</v>
      </c>
      <c r="E1136" s="1" t="s">
        <v>1188</v>
      </c>
      <c r="F1136" s="1" t="s">
        <v>1189</v>
      </c>
      <c r="G1136" s="1" t="s">
        <v>1190</v>
      </c>
      <c r="H1136" s="2"/>
      <c r="I1136" s="2"/>
      <c r="J1136" s="2"/>
      <c r="K1136" s="2"/>
    </row>
    <row x14ac:dyDescent="0.25" r="1137" customHeight="1" ht="17.25">
      <c r="A1137" s="1" t="s">
        <v>2409</v>
      </c>
      <c r="B1137" s="1" t="s">
        <v>2410</v>
      </c>
      <c r="C1137" s="1" t="s">
        <v>20</v>
      </c>
      <c r="D1137" s="1" t="s">
        <v>1187</v>
      </c>
      <c r="E1137" s="1" t="s">
        <v>1188</v>
      </c>
      <c r="F1137" s="1" t="s">
        <v>1189</v>
      </c>
      <c r="G1137" s="1" t="s">
        <v>1190</v>
      </c>
      <c r="H1137" s="2"/>
      <c r="I1137" s="2"/>
      <c r="J1137" s="2"/>
      <c r="K1137" s="2"/>
    </row>
    <row x14ac:dyDescent="0.25" r="1138" customHeight="1" ht="17.25">
      <c r="A1138" s="1" t="s">
        <v>2411</v>
      </c>
      <c r="B1138" s="1" t="s">
        <v>2412</v>
      </c>
      <c r="C1138" s="1" t="s">
        <v>20</v>
      </c>
      <c r="D1138" s="1" t="s">
        <v>1187</v>
      </c>
      <c r="E1138" s="1" t="s">
        <v>1188</v>
      </c>
      <c r="F1138" s="1" t="s">
        <v>1189</v>
      </c>
      <c r="G1138" s="1" t="s">
        <v>1190</v>
      </c>
      <c r="H1138" s="2"/>
      <c r="I1138" s="2"/>
      <c r="J1138" s="2"/>
      <c r="K1138" s="2"/>
    </row>
    <row x14ac:dyDescent="0.25" r="1139" customHeight="1" ht="17.25">
      <c r="A1139" s="1" t="s">
        <v>2413</v>
      </c>
      <c r="B1139" s="1" t="s">
        <v>2414</v>
      </c>
      <c r="C1139" s="1" t="s">
        <v>20</v>
      </c>
      <c r="D1139" s="1" t="s">
        <v>1187</v>
      </c>
      <c r="E1139" s="1" t="s">
        <v>1188</v>
      </c>
      <c r="F1139" s="1" t="s">
        <v>1189</v>
      </c>
      <c r="G1139" s="1" t="s">
        <v>1190</v>
      </c>
      <c r="H1139" s="2"/>
      <c r="I1139" s="2"/>
      <c r="J1139" s="2"/>
      <c r="K1139" s="2"/>
    </row>
    <row x14ac:dyDescent="0.25" r="1140" customHeight="1" ht="17.25">
      <c r="A1140" s="1" t="s">
        <v>2415</v>
      </c>
      <c r="B1140" s="1" t="s">
        <v>2416</v>
      </c>
      <c r="C1140" s="1" t="s">
        <v>20</v>
      </c>
      <c r="D1140" s="1" t="s">
        <v>1187</v>
      </c>
      <c r="E1140" s="1" t="s">
        <v>1188</v>
      </c>
      <c r="F1140" s="1" t="s">
        <v>1189</v>
      </c>
      <c r="G1140" s="1" t="s">
        <v>1190</v>
      </c>
      <c r="H1140" s="2"/>
      <c r="I1140" s="2"/>
      <c r="J1140" s="2"/>
      <c r="K1140" s="2"/>
    </row>
    <row x14ac:dyDescent="0.25" r="1141" customHeight="1" ht="17.25">
      <c r="A1141" s="1" t="s">
        <v>2417</v>
      </c>
      <c r="B1141" s="1" t="s">
        <v>2418</v>
      </c>
      <c r="C1141" s="1" t="s">
        <v>20</v>
      </c>
      <c r="D1141" s="1" t="s">
        <v>1187</v>
      </c>
      <c r="E1141" s="1" t="s">
        <v>1188</v>
      </c>
      <c r="F1141" s="1" t="s">
        <v>1189</v>
      </c>
      <c r="G1141" s="1" t="s">
        <v>1190</v>
      </c>
      <c r="H1141" s="2"/>
      <c r="I1141" s="2"/>
      <c r="J1141" s="2"/>
      <c r="K1141" s="2"/>
    </row>
    <row x14ac:dyDescent="0.25" r="1142" customHeight="1" ht="17.25">
      <c r="A1142" s="1" t="s">
        <v>2419</v>
      </c>
      <c r="B1142" s="1" t="s">
        <v>2420</v>
      </c>
      <c r="C1142" s="1" t="s">
        <v>20</v>
      </c>
      <c r="D1142" s="1" t="s">
        <v>1187</v>
      </c>
      <c r="E1142" s="1" t="s">
        <v>1188</v>
      </c>
      <c r="F1142" s="1" t="s">
        <v>1189</v>
      </c>
      <c r="G1142" s="1" t="s">
        <v>1190</v>
      </c>
      <c r="H1142" s="2"/>
      <c r="I1142" s="2"/>
      <c r="J1142" s="2"/>
      <c r="K1142" s="2"/>
    </row>
    <row x14ac:dyDescent="0.25" r="1143" customHeight="1" ht="17.25">
      <c r="A1143" s="1" t="s">
        <v>2421</v>
      </c>
      <c r="B1143" s="1" t="s">
        <v>2422</v>
      </c>
      <c r="C1143" s="1" t="s">
        <v>20</v>
      </c>
      <c r="D1143" s="1" t="s">
        <v>1187</v>
      </c>
      <c r="E1143" s="1" t="s">
        <v>1188</v>
      </c>
      <c r="F1143" s="1" t="s">
        <v>1189</v>
      </c>
      <c r="G1143" s="1" t="s">
        <v>1190</v>
      </c>
      <c r="H1143" s="2"/>
      <c r="I1143" s="2"/>
      <c r="J1143" s="2"/>
      <c r="K1143" s="2"/>
    </row>
    <row x14ac:dyDescent="0.25" r="1144" customHeight="1" ht="17.25">
      <c r="A1144" s="1" t="s">
        <v>2423</v>
      </c>
      <c r="B1144" s="1" t="s">
        <v>2424</v>
      </c>
      <c r="C1144" s="1" t="s">
        <v>20</v>
      </c>
      <c r="D1144" s="1" t="s">
        <v>1187</v>
      </c>
      <c r="E1144" s="1" t="s">
        <v>1188</v>
      </c>
      <c r="F1144" s="1" t="s">
        <v>1189</v>
      </c>
      <c r="G1144" s="1" t="s">
        <v>1190</v>
      </c>
      <c r="H1144" s="2"/>
      <c r="I1144" s="2"/>
      <c r="J1144" s="2"/>
      <c r="K1144" s="2"/>
    </row>
    <row x14ac:dyDescent="0.25" r="1145" customHeight="1" ht="17.25">
      <c r="A1145" s="1" t="s">
        <v>2425</v>
      </c>
      <c r="B1145" s="1" t="s">
        <v>2426</v>
      </c>
      <c r="C1145" s="1" t="s">
        <v>20</v>
      </c>
      <c r="D1145" s="1" t="s">
        <v>1187</v>
      </c>
      <c r="E1145" s="1" t="s">
        <v>1188</v>
      </c>
      <c r="F1145" s="1" t="s">
        <v>1189</v>
      </c>
      <c r="G1145" s="1" t="s">
        <v>1190</v>
      </c>
      <c r="H1145" s="2"/>
      <c r="I1145" s="2"/>
      <c r="J1145" s="2"/>
      <c r="K1145" s="2"/>
    </row>
    <row x14ac:dyDescent="0.25" r="1146" customHeight="1" ht="17.25">
      <c r="A1146" s="1" t="s">
        <v>2427</v>
      </c>
      <c r="B1146" s="1" t="s">
        <v>2428</v>
      </c>
      <c r="C1146" s="1" t="s">
        <v>20</v>
      </c>
      <c r="D1146" s="1" t="s">
        <v>1187</v>
      </c>
      <c r="E1146" s="1" t="s">
        <v>1188</v>
      </c>
      <c r="F1146" s="1" t="s">
        <v>1189</v>
      </c>
      <c r="G1146" s="1" t="s">
        <v>1190</v>
      </c>
      <c r="H1146" s="2"/>
      <c r="I1146" s="2"/>
      <c r="J1146" s="2"/>
      <c r="K1146" s="2"/>
    </row>
    <row x14ac:dyDescent="0.25" r="1147" customHeight="1" ht="17.25">
      <c r="A1147" s="1" t="s">
        <v>2429</v>
      </c>
      <c r="B1147" s="1" t="s">
        <v>2430</v>
      </c>
      <c r="C1147" s="1" t="s">
        <v>20</v>
      </c>
      <c r="D1147" s="1" t="s">
        <v>1187</v>
      </c>
      <c r="E1147" s="1" t="s">
        <v>1188</v>
      </c>
      <c r="F1147" s="1" t="s">
        <v>1189</v>
      </c>
      <c r="G1147" s="1" t="s">
        <v>1190</v>
      </c>
      <c r="H1147" s="2"/>
      <c r="I1147" s="2"/>
      <c r="J1147" s="2"/>
      <c r="K1147" s="2"/>
    </row>
    <row x14ac:dyDescent="0.25" r="1148" customHeight="1" ht="17.25">
      <c r="A1148" s="1" t="s">
        <v>2431</v>
      </c>
      <c r="B1148" s="1" t="s">
        <v>2432</v>
      </c>
      <c r="C1148" s="1" t="s">
        <v>20</v>
      </c>
      <c r="D1148" s="1" t="s">
        <v>1187</v>
      </c>
      <c r="E1148" s="1" t="s">
        <v>1188</v>
      </c>
      <c r="F1148" s="1" t="s">
        <v>1189</v>
      </c>
      <c r="G1148" s="1" t="s">
        <v>1190</v>
      </c>
      <c r="H1148" s="2"/>
      <c r="I1148" s="2"/>
      <c r="J1148" s="2"/>
      <c r="K1148" s="2"/>
    </row>
    <row x14ac:dyDescent="0.25" r="1149" customHeight="1" ht="17.25">
      <c r="A1149" s="1" t="s">
        <v>2433</v>
      </c>
      <c r="B1149" s="1" t="s">
        <v>2434</v>
      </c>
      <c r="C1149" s="1" t="s">
        <v>20</v>
      </c>
      <c r="D1149" s="1" t="s">
        <v>1187</v>
      </c>
      <c r="E1149" s="1" t="s">
        <v>1188</v>
      </c>
      <c r="F1149" s="1" t="s">
        <v>1189</v>
      </c>
      <c r="G1149" s="1" t="s">
        <v>1190</v>
      </c>
      <c r="H1149" s="2"/>
      <c r="I1149" s="2"/>
      <c r="J1149" s="2"/>
      <c r="K1149" s="2"/>
    </row>
    <row x14ac:dyDescent="0.25" r="1150" customHeight="1" ht="17.25">
      <c r="A1150" s="1" t="s">
        <v>2435</v>
      </c>
      <c r="B1150" s="1" t="s">
        <v>2436</v>
      </c>
      <c r="C1150" s="1" t="s">
        <v>20</v>
      </c>
      <c r="D1150" s="1" t="s">
        <v>1187</v>
      </c>
      <c r="E1150" s="1" t="s">
        <v>1188</v>
      </c>
      <c r="F1150" s="1" t="s">
        <v>1189</v>
      </c>
      <c r="G1150" s="1" t="s">
        <v>1190</v>
      </c>
      <c r="H1150" s="2"/>
      <c r="I1150" s="2"/>
      <c r="J1150" s="2"/>
      <c r="K1150" s="2"/>
    </row>
    <row x14ac:dyDescent="0.25" r="1151" customHeight="1" ht="17.25">
      <c r="A1151" s="1" t="s">
        <v>2437</v>
      </c>
      <c r="B1151" s="1" t="s">
        <v>2438</v>
      </c>
      <c r="C1151" s="1" t="s">
        <v>20</v>
      </c>
      <c r="D1151" s="1" t="s">
        <v>1187</v>
      </c>
      <c r="E1151" s="1" t="s">
        <v>1188</v>
      </c>
      <c r="F1151" s="1" t="s">
        <v>1189</v>
      </c>
      <c r="G1151" s="1" t="s">
        <v>1190</v>
      </c>
      <c r="H1151" s="2"/>
      <c r="I1151" s="2"/>
      <c r="J1151" s="2"/>
      <c r="K1151" s="2"/>
    </row>
    <row x14ac:dyDescent="0.25" r="1152" customHeight="1" ht="17.25">
      <c r="A1152" s="1" t="s">
        <v>2439</v>
      </c>
      <c r="B1152" s="1" t="s">
        <v>2440</v>
      </c>
      <c r="C1152" s="1" t="s">
        <v>20</v>
      </c>
      <c r="D1152" s="1" t="s">
        <v>1187</v>
      </c>
      <c r="E1152" s="1" t="s">
        <v>1188</v>
      </c>
      <c r="F1152" s="1" t="s">
        <v>1189</v>
      </c>
      <c r="G1152" s="1" t="s">
        <v>1190</v>
      </c>
      <c r="H1152" s="2"/>
      <c r="I1152" s="2"/>
      <c r="J1152" s="2"/>
      <c r="K1152" s="2"/>
    </row>
    <row x14ac:dyDescent="0.25" r="1153" customHeight="1" ht="17.25">
      <c r="A1153" s="1" t="s">
        <v>2441</v>
      </c>
      <c r="B1153" s="1" t="s">
        <v>2442</v>
      </c>
      <c r="C1153" s="1" t="s">
        <v>20</v>
      </c>
      <c r="D1153" s="1" t="s">
        <v>1187</v>
      </c>
      <c r="E1153" s="1" t="s">
        <v>1188</v>
      </c>
      <c r="F1153" s="1" t="s">
        <v>1189</v>
      </c>
      <c r="G1153" s="1" t="s">
        <v>1190</v>
      </c>
      <c r="H1153" s="2"/>
      <c r="I1153" s="2"/>
      <c r="J1153" s="2"/>
      <c r="K1153" s="2"/>
    </row>
    <row x14ac:dyDescent="0.25" r="1154" customHeight="1" ht="17.25">
      <c r="A1154" s="1" t="s">
        <v>2443</v>
      </c>
      <c r="B1154" s="1" t="s">
        <v>2444</v>
      </c>
      <c r="C1154" s="1" t="s">
        <v>20</v>
      </c>
      <c r="D1154" s="1" t="s">
        <v>1187</v>
      </c>
      <c r="E1154" s="1" t="s">
        <v>1188</v>
      </c>
      <c r="F1154" s="1" t="s">
        <v>1189</v>
      </c>
      <c r="G1154" s="1" t="s">
        <v>1190</v>
      </c>
      <c r="H1154" s="2"/>
      <c r="I1154" s="2"/>
      <c r="J1154" s="2"/>
      <c r="K1154" s="2"/>
    </row>
    <row x14ac:dyDescent="0.25" r="1155" customHeight="1" ht="17.25">
      <c r="A1155" s="1" t="s">
        <v>2445</v>
      </c>
      <c r="B1155" s="1" t="s">
        <v>2446</v>
      </c>
      <c r="C1155" s="1" t="s">
        <v>20</v>
      </c>
      <c r="D1155" s="1" t="s">
        <v>1187</v>
      </c>
      <c r="E1155" s="1" t="s">
        <v>1188</v>
      </c>
      <c r="F1155" s="1" t="s">
        <v>1189</v>
      </c>
      <c r="G1155" s="1" t="s">
        <v>1190</v>
      </c>
      <c r="H1155" s="2"/>
      <c r="I1155" s="2"/>
      <c r="J1155" s="2"/>
      <c r="K1155" s="2"/>
    </row>
    <row x14ac:dyDescent="0.25" r="1156" customHeight="1" ht="17.25">
      <c r="A1156" s="1" t="s">
        <v>2447</v>
      </c>
      <c r="B1156" s="1" t="s">
        <v>2448</v>
      </c>
      <c r="C1156" s="1" t="s">
        <v>20</v>
      </c>
      <c r="D1156" s="1" t="s">
        <v>1187</v>
      </c>
      <c r="E1156" s="1" t="s">
        <v>1188</v>
      </c>
      <c r="F1156" s="1" t="s">
        <v>1189</v>
      </c>
      <c r="G1156" s="1" t="s">
        <v>1190</v>
      </c>
      <c r="H1156" s="2"/>
      <c r="I1156" s="2"/>
      <c r="J1156" s="2"/>
      <c r="K1156" s="2"/>
    </row>
    <row x14ac:dyDescent="0.25" r="1157" customHeight="1" ht="17.25">
      <c r="A1157" s="1" t="s">
        <v>2449</v>
      </c>
      <c r="B1157" s="1" t="s">
        <v>2450</v>
      </c>
      <c r="C1157" s="1" t="s">
        <v>20</v>
      </c>
      <c r="D1157" s="1" t="s">
        <v>1187</v>
      </c>
      <c r="E1157" s="1" t="s">
        <v>1188</v>
      </c>
      <c r="F1157" s="1" t="s">
        <v>1189</v>
      </c>
      <c r="G1157" s="1" t="s">
        <v>1190</v>
      </c>
      <c r="H1157" s="2"/>
      <c r="I1157" s="2"/>
      <c r="J1157" s="2"/>
      <c r="K1157" s="2"/>
    </row>
    <row x14ac:dyDescent="0.25" r="1158" customHeight="1" ht="17.25">
      <c r="A1158" s="1" t="s">
        <v>2451</v>
      </c>
      <c r="B1158" s="1" t="s">
        <v>2452</v>
      </c>
      <c r="C1158" s="1" t="s">
        <v>20</v>
      </c>
      <c r="D1158" s="1" t="s">
        <v>1187</v>
      </c>
      <c r="E1158" s="1" t="s">
        <v>1188</v>
      </c>
      <c r="F1158" s="1" t="s">
        <v>1189</v>
      </c>
      <c r="G1158" s="1" t="s">
        <v>1190</v>
      </c>
      <c r="H1158" s="2"/>
      <c r="I1158" s="2"/>
      <c r="J1158" s="2"/>
      <c r="K1158" s="2"/>
    </row>
    <row x14ac:dyDescent="0.25" r="1159" customHeight="1" ht="17.25">
      <c r="A1159" s="1" t="s">
        <v>2453</v>
      </c>
      <c r="B1159" s="1" t="s">
        <v>2454</v>
      </c>
      <c r="C1159" s="1" t="s">
        <v>20</v>
      </c>
      <c r="D1159" s="1" t="s">
        <v>1187</v>
      </c>
      <c r="E1159" s="1" t="s">
        <v>1188</v>
      </c>
      <c r="F1159" s="1" t="s">
        <v>1189</v>
      </c>
      <c r="G1159" s="1" t="s">
        <v>1190</v>
      </c>
      <c r="H1159" s="2"/>
      <c r="I1159" s="2"/>
      <c r="J1159" s="2"/>
      <c r="K1159" s="2"/>
    </row>
    <row x14ac:dyDescent="0.25" r="1160" customHeight="1" ht="17.25">
      <c r="A1160" s="1" t="s">
        <v>2455</v>
      </c>
      <c r="B1160" s="1" t="s">
        <v>2456</v>
      </c>
      <c r="C1160" s="1" t="s">
        <v>20</v>
      </c>
      <c r="D1160" s="1" t="s">
        <v>1187</v>
      </c>
      <c r="E1160" s="1" t="s">
        <v>1188</v>
      </c>
      <c r="F1160" s="1" t="s">
        <v>1189</v>
      </c>
      <c r="G1160" s="1" t="s">
        <v>1190</v>
      </c>
      <c r="H1160" s="2"/>
      <c r="I1160" s="2"/>
      <c r="J1160" s="2"/>
      <c r="K1160" s="2"/>
    </row>
    <row x14ac:dyDescent="0.25" r="1161" customHeight="1" ht="17.25">
      <c r="A1161" s="1" t="s">
        <v>2457</v>
      </c>
      <c r="B1161" s="1" t="s">
        <v>2458</v>
      </c>
      <c r="C1161" s="1" t="s">
        <v>20</v>
      </c>
      <c r="D1161" s="1" t="s">
        <v>1187</v>
      </c>
      <c r="E1161" s="1" t="s">
        <v>1188</v>
      </c>
      <c r="F1161" s="1" t="s">
        <v>1189</v>
      </c>
      <c r="G1161" s="1" t="s">
        <v>1190</v>
      </c>
      <c r="H1161" s="2"/>
      <c r="I1161" s="2"/>
      <c r="J1161" s="2"/>
      <c r="K1161" s="2"/>
    </row>
    <row x14ac:dyDescent="0.25" r="1162" customHeight="1" ht="17.25">
      <c r="A1162" s="1" t="s">
        <v>2459</v>
      </c>
      <c r="B1162" s="1" t="s">
        <v>2460</v>
      </c>
      <c r="C1162" s="1" t="s">
        <v>20</v>
      </c>
      <c r="D1162" s="1" t="s">
        <v>1187</v>
      </c>
      <c r="E1162" s="1" t="s">
        <v>1188</v>
      </c>
      <c r="F1162" s="1" t="s">
        <v>1189</v>
      </c>
      <c r="G1162" s="1" t="s">
        <v>1190</v>
      </c>
      <c r="H1162" s="2"/>
      <c r="I1162" s="2"/>
      <c r="J1162" s="2"/>
      <c r="K1162" s="2"/>
    </row>
    <row x14ac:dyDescent="0.25" r="1163" customHeight="1" ht="17.25">
      <c r="A1163" s="1" t="s">
        <v>2461</v>
      </c>
      <c r="B1163" s="1" t="s">
        <v>2462</v>
      </c>
      <c r="C1163" s="1" t="s">
        <v>20</v>
      </c>
      <c r="D1163" s="1" t="s">
        <v>1187</v>
      </c>
      <c r="E1163" s="1" t="s">
        <v>1188</v>
      </c>
      <c r="F1163" s="1" t="s">
        <v>1189</v>
      </c>
      <c r="G1163" s="1" t="s">
        <v>1190</v>
      </c>
      <c r="H1163" s="2"/>
      <c r="I1163" s="2"/>
      <c r="J1163" s="2"/>
      <c r="K1163" s="2"/>
    </row>
    <row x14ac:dyDescent="0.25" r="1164" customHeight="1" ht="17.25">
      <c r="A1164" s="1" t="s">
        <v>2463</v>
      </c>
      <c r="B1164" s="1" t="s">
        <v>2464</v>
      </c>
      <c r="C1164" s="1" t="s">
        <v>20</v>
      </c>
      <c r="D1164" s="1" t="s">
        <v>1187</v>
      </c>
      <c r="E1164" s="1" t="s">
        <v>1188</v>
      </c>
      <c r="F1164" s="1" t="s">
        <v>1189</v>
      </c>
      <c r="G1164" s="1" t="s">
        <v>1190</v>
      </c>
      <c r="H1164" s="2"/>
      <c r="I1164" s="2"/>
      <c r="J1164" s="2"/>
      <c r="K1164" s="2"/>
    </row>
    <row x14ac:dyDescent="0.25" r="1165" customHeight="1" ht="17.25">
      <c r="A1165" s="1" t="s">
        <v>2465</v>
      </c>
      <c r="B1165" s="1" t="s">
        <v>2466</v>
      </c>
      <c r="C1165" s="1" t="s">
        <v>20</v>
      </c>
      <c r="D1165" s="1" t="s">
        <v>1187</v>
      </c>
      <c r="E1165" s="1" t="s">
        <v>1188</v>
      </c>
      <c r="F1165" s="1" t="s">
        <v>1189</v>
      </c>
      <c r="G1165" s="1" t="s">
        <v>1190</v>
      </c>
      <c r="H1165" s="2"/>
      <c r="I1165" s="2"/>
      <c r="J1165" s="2"/>
      <c r="K1165" s="2"/>
    </row>
    <row x14ac:dyDescent="0.25" r="1166" customHeight="1" ht="17.25">
      <c r="A1166" s="1" t="s">
        <v>2467</v>
      </c>
      <c r="B1166" s="1" t="s">
        <v>2468</v>
      </c>
      <c r="C1166" s="1" t="s">
        <v>20</v>
      </c>
      <c r="D1166" s="1" t="s">
        <v>1187</v>
      </c>
      <c r="E1166" s="1" t="s">
        <v>1188</v>
      </c>
      <c r="F1166" s="1" t="s">
        <v>1189</v>
      </c>
      <c r="G1166" s="1" t="s">
        <v>1190</v>
      </c>
      <c r="H1166" s="2"/>
      <c r="I1166" s="2"/>
      <c r="J1166" s="2"/>
      <c r="K1166" s="2"/>
    </row>
    <row x14ac:dyDescent="0.25" r="1167" customHeight="1" ht="17.25">
      <c r="A1167" s="1" t="s">
        <v>2469</v>
      </c>
      <c r="B1167" s="1" t="s">
        <v>2470</v>
      </c>
      <c r="C1167" s="1" t="s">
        <v>20</v>
      </c>
      <c r="D1167" s="1" t="s">
        <v>1187</v>
      </c>
      <c r="E1167" s="1" t="s">
        <v>1188</v>
      </c>
      <c r="F1167" s="1" t="s">
        <v>1189</v>
      </c>
      <c r="G1167" s="1" t="s">
        <v>1190</v>
      </c>
      <c r="H1167" s="2"/>
      <c r="I1167" s="2"/>
      <c r="J1167" s="2"/>
      <c r="K1167" s="2"/>
    </row>
    <row x14ac:dyDescent="0.25" r="1168" customHeight="1" ht="17.25">
      <c r="A1168" s="1" t="s">
        <v>2471</v>
      </c>
      <c r="B1168" s="1" t="s">
        <v>2472</v>
      </c>
      <c r="C1168" s="1" t="s">
        <v>20</v>
      </c>
      <c r="D1168" s="1" t="s">
        <v>1187</v>
      </c>
      <c r="E1168" s="1" t="s">
        <v>1188</v>
      </c>
      <c r="F1168" s="1" t="s">
        <v>1189</v>
      </c>
      <c r="G1168" s="1" t="s">
        <v>1190</v>
      </c>
      <c r="H1168" s="2"/>
      <c r="I1168" s="2"/>
      <c r="J1168" s="2"/>
      <c r="K1168" s="2"/>
    </row>
    <row x14ac:dyDescent="0.25" r="1169" customHeight="1" ht="17.25">
      <c r="A1169" s="1" t="s">
        <v>2473</v>
      </c>
      <c r="B1169" s="1" t="s">
        <v>2474</v>
      </c>
      <c r="C1169" s="1" t="s">
        <v>20</v>
      </c>
      <c r="D1169" s="1" t="s">
        <v>1187</v>
      </c>
      <c r="E1169" s="1" t="s">
        <v>1188</v>
      </c>
      <c r="F1169" s="1" t="s">
        <v>1189</v>
      </c>
      <c r="G1169" s="1" t="s">
        <v>1190</v>
      </c>
      <c r="H1169" s="2"/>
      <c r="I1169" s="2"/>
      <c r="J1169" s="2"/>
      <c r="K1169" s="2"/>
    </row>
    <row x14ac:dyDescent="0.25" r="1170" customHeight="1" ht="17.25">
      <c r="A1170" s="1" t="s">
        <v>2475</v>
      </c>
      <c r="B1170" s="1" t="s">
        <v>2476</v>
      </c>
      <c r="C1170" s="1" t="s">
        <v>20</v>
      </c>
      <c r="D1170" s="1" t="s">
        <v>1187</v>
      </c>
      <c r="E1170" s="1" t="s">
        <v>1188</v>
      </c>
      <c r="F1170" s="1" t="s">
        <v>1189</v>
      </c>
      <c r="G1170" s="1" t="s">
        <v>1190</v>
      </c>
      <c r="H1170" s="2"/>
      <c r="I1170" s="2"/>
      <c r="J1170" s="2"/>
      <c r="K1170" s="2"/>
    </row>
    <row x14ac:dyDescent="0.25" r="1171" customHeight="1" ht="17.25">
      <c r="A1171" s="1" t="s">
        <v>2477</v>
      </c>
      <c r="B1171" s="1" t="s">
        <v>2478</v>
      </c>
      <c r="C1171" s="1" t="s">
        <v>20</v>
      </c>
      <c r="D1171" s="1" t="s">
        <v>1187</v>
      </c>
      <c r="E1171" s="1" t="s">
        <v>1188</v>
      </c>
      <c r="F1171" s="1" t="s">
        <v>1189</v>
      </c>
      <c r="G1171" s="1" t="s">
        <v>1190</v>
      </c>
      <c r="H1171" s="2"/>
      <c r="I1171" s="2"/>
      <c r="J1171" s="2"/>
      <c r="K1171" s="2"/>
    </row>
    <row x14ac:dyDescent="0.25" r="1172" customHeight="1" ht="17.25">
      <c r="A1172" s="1" t="s">
        <v>2479</v>
      </c>
      <c r="B1172" s="1" t="s">
        <v>2480</v>
      </c>
      <c r="C1172" s="1" t="s">
        <v>20</v>
      </c>
      <c r="D1172" s="1" t="s">
        <v>1187</v>
      </c>
      <c r="E1172" s="1" t="s">
        <v>1188</v>
      </c>
      <c r="F1172" s="1" t="s">
        <v>1189</v>
      </c>
      <c r="G1172" s="1" t="s">
        <v>1190</v>
      </c>
      <c r="H1172" s="2"/>
      <c r="I1172" s="2"/>
      <c r="J1172" s="2"/>
      <c r="K1172" s="2"/>
    </row>
    <row x14ac:dyDescent="0.25" r="1173" customHeight="1" ht="17.25">
      <c r="A1173" s="1" t="s">
        <v>2481</v>
      </c>
      <c r="B1173" s="1" t="s">
        <v>2482</v>
      </c>
      <c r="C1173" s="1" t="s">
        <v>20</v>
      </c>
      <c r="D1173" s="1" t="s">
        <v>1187</v>
      </c>
      <c r="E1173" s="1" t="s">
        <v>1188</v>
      </c>
      <c r="F1173" s="1" t="s">
        <v>1189</v>
      </c>
      <c r="G1173" s="1" t="s">
        <v>1190</v>
      </c>
      <c r="H1173" s="2"/>
      <c r="I1173" s="2"/>
      <c r="J1173" s="2"/>
      <c r="K1173" s="2"/>
    </row>
    <row x14ac:dyDescent="0.25" r="1174" customHeight="1" ht="17.25">
      <c r="A1174" s="1" t="s">
        <v>2483</v>
      </c>
      <c r="B1174" s="1" t="s">
        <v>2484</v>
      </c>
      <c r="C1174" s="1" t="s">
        <v>20</v>
      </c>
      <c r="D1174" s="1" t="s">
        <v>1187</v>
      </c>
      <c r="E1174" s="1" t="s">
        <v>1188</v>
      </c>
      <c r="F1174" s="1" t="s">
        <v>1189</v>
      </c>
      <c r="G1174" s="1" t="s">
        <v>1190</v>
      </c>
      <c r="H1174" s="2"/>
      <c r="I1174" s="2"/>
      <c r="J1174" s="2"/>
      <c r="K1174" s="2"/>
    </row>
    <row x14ac:dyDescent="0.25" r="1175" customHeight="1" ht="17.25">
      <c r="A1175" s="1" t="s">
        <v>2485</v>
      </c>
      <c r="B1175" s="1" t="s">
        <v>2486</v>
      </c>
      <c r="C1175" s="1" t="s">
        <v>20</v>
      </c>
      <c r="D1175" s="1" t="s">
        <v>1187</v>
      </c>
      <c r="E1175" s="1" t="s">
        <v>1188</v>
      </c>
      <c r="F1175" s="1" t="s">
        <v>1189</v>
      </c>
      <c r="G1175" s="1" t="s">
        <v>1190</v>
      </c>
      <c r="H1175" s="2"/>
      <c r="I1175" s="2"/>
      <c r="J1175" s="2"/>
      <c r="K1175" s="2"/>
    </row>
    <row x14ac:dyDescent="0.25" r="1176" customHeight="1" ht="17.25">
      <c r="A1176" s="1" t="s">
        <v>2487</v>
      </c>
      <c r="B1176" s="1" t="s">
        <v>2488</v>
      </c>
      <c r="C1176" s="1" t="s">
        <v>20</v>
      </c>
      <c r="D1176" s="1" t="s">
        <v>1187</v>
      </c>
      <c r="E1176" s="1" t="s">
        <v>1188</v>
      </c>
      <c r="F1176" s="1" t="s">
        <v>1189</v>
      </c>
      <c r="G1176" s="1" t="s">
        <v>1190</v>
      </c>
      <c r="H1176" s="2"/>
      <c r="I1176" s="2"/>
      <c r="J1176" s="2"/>
      <c r="K1176" s="2"/>
    </row>
    <row x14ac:dyDescent="0.25" r="1177" customHeight="1" ht="17.25">
      <c r="A1177" s="1" t="s">
        <v>2489</v>
      </c>
      <c r="B1177" s="1" t="s">
        <v>2490</v>
      </c>
      <c r="C1177" s="1" t="s">
        <v>20</v>
      </c>
      <c r="D1177" s="1" t="s">
        <v>1187</v>
      </c>
      <c r="E1177" s="1" t="s">
        <v>1188</v>
      </c>
      <c r="F1177" s="1" t="s">
        <v>1189</v>
      </c>
      <c r="G1177" s="1" t="s">
        <v>1190</v>
      </c>
      <c r="H1177" s="2"/>
      <c r="I1177" s="2"/>
      <c r="J1177" s="2"/>
      <c r="K1177" s="2"/>
    </row>
    <row x14ac:dyDescent="0.25" r="1178" customHeight="1" ht="17.25">
      <c r="A1178" s="1" t="s">
        <v>2491</v>
      </c>
      <c r="B1178" s="1" t="s">
        <v>2492</v>
      </c>
      <c r="C1178" s="1" t="s">
        <v>20</v>
      </c>
      <c r="D1178" s="1" t="s">
        <v>1187</v>
      </c>
      <c r="E1178" s="1" t="s">
        <v>1188</v>
      </c>
      <c r="F1178" s="1" t="s">
        <v>1189</v>
      </c>
      <c r="G1178" s="1" t="s">
        <v>1190</v>
      </c>
      <c r="H1178" s="2"/>
      <c r="I1178" s="2"/>
      <c r="J1178" s="2"/>
      <c r="K1178" s="2"/>
    </row>
    <row x14ac:dyDescent="0.25" r="1179" customHeight="1" ht="17.25">
      <c r="A1179" s="1" t="s">
        <v>2493</v>
      </c>
      <c r="B1179" s="1" t="s">
        <v>2494</v>
      </c>
      <c r="C1179" s="1" t="s">
        <v>20</v>
      </c>
      <c r="D1179" s="1" t="s">
        <v>1187</v>
      </c>
      <c r="E1179" s="1" t="s">
        <v>1188</v>
      </c>
      <c r="F1179" s="1" t="s">
        <v>1189</v>
      </c>
      <c r="G1179" s="1" t="s">
        <v>1190</v>
      </c>
      <c r="H1179" s="2"/>
      <c r="I1179" s="2"/>
      <c r="J1179" s="2"/>
      <c r="K1179" s="2"/>
    </row>
    <row x14ac:dyDescent="0.25" r="1180" customHeight="1" ht="17.25">
      <c r="A1180" s="1" t="s">
        <v>2495</v>
      </c>
      <c r="B1180" s="1" t="s">
        <v>2496</v>
      </c>
      <c r="C1180" s="1" t="s">
        <v>20</v>
      </c>
      <c r="D1180" s="1" t="s">
        <v>1187</v>
      </c>
      <c r="E1180" s="1" t="s">
        <v>1188</v>
      </c>
      <c r="F1180" s="1" t="s">
        <v>1189</v>
      </c>
      <c r="G1180" s="1" t="s">
        <v>1190</v>
      </c>
      <c r="H1180" s="2"/>
      <c r="I1180" s="2"/>
      <c r="J1180" s="2"/>
      <c r="K1180" s="2"/>
    </row>
    <row x14ac:dyDescent="0.25" r="1181" customHeight="1" ht="17.25">
      <c r="A1181" s="1" t="s">
        <v>2497</v>
      </c>
      <c r="B1181" s="1" t="s">
        <v>2498</v>
      </c>
      <c r="C1181" s="1" t="s">
        <v>20</v>
      </c>
      <c r="D1181" s="1" t="s">
        <v>1187</v>
      </c>
      <c r="E1181" s="1" t="s">
        <v>1188</v>
      </c>
      <c r="F1181" s="1" t="s">
        <v>1189</v>
      </c>
      <c r="G1181" s="1" t="s">
        <v>1190</v>
      </c>
      <c r="H1181" s="2"/>
      <c r="I1181" s="2"/>
      <c r="J1181" s="2"/>
      <c r="K1181" s="2"/>
    </row>
    <row x14ac:dyDescent="0.25" r="1182" customHeight="1" ht="17.25">
      <c r="A1182" s="1" t="s">
        <v>2499</v>
      </c>
      <c r="B1182" s="1" t="s">
        <v>2500</v>
      </c>
      <c r="C1182" s="1" t="s">
        <v>20</v>
      </c>
      <c r="D1182" s="1" t="s">
        <v>1187</v>
      </c>
      <c r="E1182" s="1" t="s">
        <v>1188</v>
      </c>
      <c r="F1182" s="1" t="s">
        <v>1189</v>
      </c>
      <c r="G1182" s="1" t="s">
        <v>1190</v>
      </c>
      <c r="H1182" s="2"/>
      <c r="I1182" s="2"/>
      <c r="J1182" s="2"/>
      <c r="K1182" s="2"/>
    </row>
    <row x14ac:dyDescent="0.25" r="1183" customHeight="1" ht="17.25">
      <c r="A1183" s="1" t="s">
        <v>2501</v>
      </c>
      <c r="B1183" s="1" t="s">
        <v>2502</v>
      </c>
      <c r="C1183" s="1" t="s">
        <v>20</v>
      </c>
      <c r="D1183" s="1" t="s">
        <v>1187</v>
      </c>
      <c r="E1183" s="1" t="s">
        <v>1188</v>
      </c>
      <c r="F1183" s="1" t="s">
        <v>1189</v>
      </c>
      <c r="G1183" s="1" t="s">
        <v>1190</v>
      </c>
      <c r="H1183" s="2"/>
      <c r="I1183" s="2"/>
      <c r="J1183" s="2"/>
      <c r="K1183" s="2"/>
    </row>
    <row x14ac:dyDescent="0.25" r="1184" customHeight="1" ht="17.25">
      <c r="A1184" s="1" t="s">
        <v>2503</v>
      </c>
      <c r="B1184" s="1" t="s">
        <v>2504</v>
      </c>
      <c r="C1184" s="1" t="s">
        <v>20</v>
      </c>
      <c r="D1184" s="1" t="s">
        <v>1187</v>
      </c>
      <c r="E1184" s="1" t="s">
        <v>1188</v>
      </c>
      <c r="F1184" s="1" t="s">
        <v>1189</v>
      </c>
      <c r="G1184" s="1" t="s">
        <v>1190</v>
      </c>
      <c r="H1184" s="2"/>
      <c r="I1184" s="2"/>
      <c r="J1184" s="2"/>
      <c r="K1184" s="2"/>
    </row>
    <row x14ac:dyDescent="0.25" r="1185" customHeight="1" ht="17.25">
      <c r="A1185" s="1" t="s">
        <v>2505</v>
      </c>
      <c r="B1185" s="1" t="s">
        <v>2506</v>
      </c>
      <c r="C1185" s="1" t="s">
        <v>20</v>
      </c>
      <c r="D1185" s="1" t="s">
        <v>1187</v>
      </c>
      <c r="E1185" s="1" t="s">
        <v>1188</v>
      </c>
      <c r="F1185" s="1" t="s">
        <v>1189</v>
      </c>
      <c r="G1185" s="1" t="s">
        <v>1190</v>
      </c>
      <c r="H1185" s="2"/>
      <c r="I1185" s="2"/>
      <c r="J1185" s="2"/>
      <c r="K1185" s="2"/>
    </row>
    <row x14ac:dyDescent="0.25" r="1186" customHeight="1" ht="17.25">
      <c r="A1186" s="1" t="s">
        <v>2507</v>
      </c>
      <c r="B1186" s="1" t="s">
        <v>2508</v>
      </c>
      <c r="C1186" s="1" t="s">
        <v>20</v>
      </c>
      <c r="D1186" s="1" t="s">
        <v>1187</v>
      </c>
      <c r="E1186" s="1" t="s">
        <v>1188</v>
      </c>
      <c r="F1186" s="1" t="s">
        <v>1189</v>
      </c>
      <c r="G1186" s="1" t="s">
        <v>1190</v>
      </c>
      <c r="H1186" s="2"/>
      <c r="I1186" s="2"/>
      <c r="J1186" s="2"/>
      <c r="K1186" s="2"/>
    </row>
    <row x14ac:dyDescent="0.25" r="1187" customHeight="1" ht="17.25">
      <c r="A1187" s="1" t="s">
        <v>2509</v>
      </c>
      <c r="B1187" s="1" t="s">
        <v>2510</v>
      </c>
      <c r="C1187" s="1" t="s">
        <v>20</v>
      </c>
      <c r="D1187" s="1" t="s">
        <v>1187</v>
      </c>
      <c r="E1187" s="1" t="s">
        <v>1188</v>
      </c>
      <c r="F1187" s="1" t="s">
        <v>1189</v>
      </c>
      <c r="G1187" s="1" t="s">
        <v>1190</v>
      </c>
      <c r="H1187" s="2"/>
      <c r="I1187" s="2"/>
      <c r="J1187" s="2"/>
      <c r="K1187" s="2"/>
    </row>
    <row x14ac:dyDescent="0.25" r="1188" customHeight="1" ht="17.25">
      <c r="A1188" s="1" t="s">
        <v>2511</v>
      </c>
      <c r="B1188" s="1" t="s">
        <v>2512</v>
      </c>
      <c r="C1188" s="1" t="s">
        <v>20</v>
      </c>
      <c r="D1188" s="1" t="s">
        <v>1187</v>
      </c>
      <c r="E1188" s="1" t="s">
        <v>1188</v>
      </c>
      <c r="F1188" s="1" t="s">
        <v>1189</v>
      </c>
      <c r="G1188" s="1" t="s">
        <v>1190</v>
      </c>
      <c r="H1188" s="2"/>
      <c r="I1188" s="2"/>
      <c r="J1188" s="2"/>
      <c r="K1188" s="2"/>
    </row>
    <row x14ac:dyDescent="0.25" r="1189" customHeight="1" ht="17.25">
      <c r="A1189" s="1" t="s">
        <v>2513</v>
      </c>
      <c r="B1189" s="1" t="s">
        <v>2514</v>
      </c>
      <c r="C1189" s="1" t="s">
        <v>20</v>
      </c>
      <c r="D1189" s="1" t="s">
        <v>1187</v>
      </c>
      <c r="E1189" s="1" t="s">
        <v>1188</v>
      </c>
      <c r="F1189" s="1" t="s">
        <v>1189</v>
      </c>
      <c r="G1189" s="1" t="s">
        <v>1190</v>
      </c>
      <c r="H1189" s="2"/>
      <c r="I1189" s="2"/>
      <c r="J1189" s="2"/>
      <c r="K1189" s="2"/>
    </row>
    <row x14ac:dyDescent="0.25" r="1190" customHeight="1" ht="17.25">
      <c r="A1190" s="1" t="s">
        <v>2515</v>
      </c>
      <c r="B1190" s="1" t="s">
        <v>2516</v>
      </c>
      <c r="C1190" s="1" t="s">
        <v>20</v>
      </c>
      <c r="D1190" s="1" t="s">
        <v>1187</v>
      </c>
      <c r="E1190" s="1" t="s">
        <v>1188</v>
      </c>
      <c r="F1190" s="1" t="s">
        <v>1189</v>
      </c>
      <c r="G1190" s="1" t="s">
        <v>1190</v>
      </c>
      <c r="H1190" s="2"/>
      <c r="I1190" s="2"/>
      <c r="J1190" s="2"/>
      <c r="K1190" s="2"/>
    </row>
    <row x14ac:dyDescent="0.25" r="1191" customHeight="1" ht="17.25">
      <c r="A1191" s="1" t="s">
        <v>2517</v>
      </c>
      <c r="B1191" s="1" t="s">
        <v>2518</v>
      </c>
      <c r="C1191" s="1" t="s">
        <v>20</v>
      </c>
      <c r="D1191" s="1" t="s">
        <v>1187</v>
      </c>
      <c r="E1191" s="1" t="s">
        <v>1188</v>
      </c>
      <c r="F1191" s="1" t="s">
        <v>1189</v>
      </c>
      <c r="G1191" s="1" t="s">
        <v>1190</v>
      </c>
      <c r="H1191" s="2"/>
      <c r="I1191" s="2"/>
      <c r="J1191" s="2"/>
      <c r="K1191" s="2"/>
    </row>
    <row x14ac:dyDescent="0.25" r="1192" customHeight="1" ht="17.25">
      <c r="A1192" s="1" t="s">
        <v>2519</v>
      </c>
      <c r="B1192" s="1" t="s">
        <v>2520</v>
      </c>
      <c r="C1192" s="1" t="s">
        <v>20</v>
      </c>
      <c r="D1192" s="1" t="s">
        <v>1187</v>
      </c>
      <c r="E1192" s="1" t="s">
        <v>1188</v>
      </c>
      <c r="F1192" s="1" t="s">
        <v>1189</v>
      </c>
      <c r="G1192" s="1" t="s">
        <v>1190</v>
      </c>
      <c r="H1192" s="2"/>
      <c r="I1192" s="2"/>
      <c r="J1192" s="2"/>
      <c r="K1192" s="2"/>
    </row>
    <row x14ac:dyDescent="0.25" r="1193" customHeight="1" ht="17.25">
      <c r="A1193" s="1" t="s">
        <v>2521</v>
      </c>
      <c r="B1193" s="1" t="s">
        <v>2522</v>
      </c>
      <c r="C1193" s="1" t="s">
        <v>20</v>
      </c>
      <c r="D1193" s="1" t="s">
        <v>1187</v>
      </c>
      <c r="E1193" s="1" t="s">
        <v>1188</v>
      </c>
      <c r="F1193" s="1" t="s">
        <v>1189</v>
      </c>
      <c r="G1193" s="1" t="s">
        <v>1190</v>
      </c>
      <c r="H1193" s="2"/>
      <c r="I1193" s="2"/>
      <c r="J1193" s="2"/>
      <c r="K1193" s="2"/>
    </row>
    <row x14ac:dyDescent="0.25" r="1194" customHeight="1" ht="17.25">
      <c r="A1194" s="1" t="s">
        <v>2523</v>
      </c>
      <c r="B1194" s="1" t="s">
        <v>2524</v>
      </c>
      <c r="C1194" s="1" t="s">
        <v>20</v>
      </c>
      <c r="D1194" s="1" t="s">
        <v>1187</v>
      </c>
      <c r="E1194" s="1" t="s">
        <v>1188</v>
      </c>
      <c r="F1194" s="1" t="s">
        <v>1189</v>
      </c>
      <c r="G1194" s="1" t="s">
        <v>1190</v>
      </c>
      <c r="H1194" s="2"/>
      <c r="I1194" s="2"/>
      <c r="J1194" s="2"/>
      <c r="K1194" s="2"/>
    </row>
    <row x14ac:dyDescent="0.25" r="1195" customHeight="1" ht="17.25">
      <c r="A1195" s="1" t="s">
        <v>2525</v>
      </c>
      <c r="B1195" s="1" t="s">
        <v>2526</v>
      </c>
      <c r="C1195" s="1" t="s">
        <v>20</v>
      </c>
      <c r="D1195" s="1" t="s">
        <v>1187</v>
      </c>
      <c r="E1195" s="1" t="s">
        <v>1188</v>
      </c>
      <c r="F1195" s="1" t="s">
        <v>1189</v>
      </c>
      <c r="G1195" s="1" t="s">
        <v>1190</v>
      </c>
      <c r="H1195" s="2"/>
      <c r="I1195" s="2"/>
      <c r="J1195" s="2"/>
      <c r="K1195" s="2"/>
    </row>
    <row x14ac:dyDescent="0.25" r="1196" customHeight="1" ht="17.25">
      <c r="A1196" s="1" t="s">
        <v>2527</v>
      </c>
      <c r="B1196" s="1" t="s">
        <v>2528</v>
      </c>
      <c r="C1196" s="1" t="s">
        <v>20</v>
      </c>
      <c r="D1196" s="1" t="s">
        <v>1187</v>
      </c>
      <c r="E1196" s="1" t="s">
        <v>1188</v>
      </c>
      <c r="F1196" s="1" t="s">
        <v>1189</v>
      </c>
      <c r="G1196" s="1" t="s">
        <v>1190</v>
      </c>
      <c r="H1196" s="2"/>
      <c r="I1196" s="2"/>
      <c r="J1196" s="2"/>
      <c r="K1196" s="2"/>
    </row>
    <row x14ac:dyDescent="0.25" r="1197" customHeight="1" ht="17.25">
      <c r="A1197" s="1" t="s">
        <v>2529</v>
      </c>
      <c r="B1197" s="1" t="s">
        <v>2530</v>
      </c>
      <c r="C1197" s="1" t="s">
        <v>20</v>
      </c>
      <c r="D1197" s="1" t="s">
        <v>1187</v>
      </c>
      <c r="E1197" s="1" t="s">
        <v>1188</v>
      </c>
      <c r="F1197" s="1" t="s">
        <v>1189</v>
      </c>
      <c r="G1197" s="1" t="s">
        <v>1190</v>
      </c>
      <c r="H1197" s="2"/>
      <c r="I1197" s="2"/>
      <c r="J1197" s="2"/>
      <c r="K1197" s="2"/>
    </row>
    <row x14ac:dyDescent="0.25" r="1198" customHeight="1" ht="17.25">
      <c r="A1198" s="1" t="s">
        <v>2531</v>
      </c>
      <c r="B1198" s="1" t="s">
        <v>2532</v>
      </c>
      <c r="C1198" s="1" t="s">
        <v>20</v>
      </c>
      <c r="D1198" s="1" t="s">
        <v>1187</v>
      </c>
      <c r="E1198" s="1" t="s">
        <v>1188</v>
      </c>
      <c r="F1198" s="1" t="s">
        <v>1189</v>
      </c>
      <c r="G1198" s="1" t="s">
        <v>1190</v>
      </c>
      <c r="H1198" s="2"/>
      <c r="I1198" s="2"/>
      <c r="J1198" s="2"/>
      <c r="K1198" s="2"/>
    </row>
    <row x14ac:dyDescent="0.25" r="1199" customHeight="1" ht="17.25">
      <c r="A1199" s="1" t="s">
        <v>2533</v>
      </c>
      <c r="B1199" s="1" t="s">
        <v>2534</v>
      </c>
      <c r="C1199" s="1" t="s">
        <v>20</v>
      </c>
      <c r="D1199" s="1" t="s">
        <v>1187</v>
      </c>
      <c r="E1199" s="1" t="s">
        <v>1188</v>
      </c>
      <c r="F1199" s="1" t="s">
        <v>1189</v>
      </c>
      <c r="G1199" s="1" t="s">
        <v>1190</v>
      </c>
      <c r="H1199" s="2"/>
      <c r="I1199" s="2"/>
      <c r="J1199" s="2"/>
      <c r="K1199" s="2"/>
    </row>
    <row x14ac:dyDescent="0.25" r="1200" customHeight="1" ht="17.25">
      <c r="A1200" s="1" t="s">
        <v>2535</v>
      </c>
      <c r="B1200" s="1" t="s">
        <v>2536</v>
      </c>
      <c r="C1200" s="1" t="s">
        <v>20</v>
      </c>
      <c r="D1200" s="1" t="s">
        <v>1187</v>
      </c>
      <c r="E1200" s="1" t="s">
        <v>1188</v>
      </c>
      <c r="F1200" s="1" t="s">
        <v>1189</v>
      </c>
      <c r="G1200" s="1" t="s">
        <v>1190</v>
      </c>
      <c r="H1200" s="2"/>
      <c r="I1200" s="2"/>
      <c r="J1200" s="2"/>
      <c r="K1200" s="2"/>
    </row>
    <row x14ac:dyDescent="0.25" r="1201" customHeight="1" ht="17.25">
      <c r="A1201" s="1" t="s">
        <v>2537</v>
      </c>
      <c r="B1201" s="1" t="s">
        <v>2538</v>
      </c>
      <c r="C1201" s="1" t="s">
        <v>20</v>
      </c>
      <c r="D1201" s="1" t="s">
        <v>1187</v>
      </c>
      <c r="E1201" s="1" t="s">
        <v>1188</v>
      </c>
      <c r="F1201" s="1" t="s">
        <v>1189</v>
      </c>
      <c r="G1201" s="1" t="s">
        <v>1190</v>
      </c>
      <c r="H1201" s="2"/>
      <c r="I1201" s="2"/>
      <c r="J1201" s="2"/>
      <c r="K1201" s="2"/>
    </row>
    <row x14ac:dyDescent="0.25" r="1202" customHeight="1" ht="17.25">
      <c r="A1202" s="1" t="s">
        <v>2539</v>
      </c>
      <c r="B1202" s="1" t="s">
        <v>2540</v>
      </c>
      <c r="C1202" s="1" t="s">
        <v>20</v>
      </c>
      <c r="D1202" s="1" t="s">
        <v>1187</v>
      </c>
      <c r="E1202" s="1" t="s">
        <v>1188</v>
      </c>
      <c r="F1202" s="1" t="s">
        <v>1189</v>
      </c>
      <c r="G1202" s="1" t="s">
        <v>1190</v>
      </c>
      <c r="H1202" s="2"/>
      <c r="I1202" s="2"/>
      <c r="J1202" s="2"/>
      <c r="K1202" s="2"/>
    </row>
    <row x14ac:dyDescent="0.25" r="1203" customHeight="1" ht="17.25">
      <c r="A1203" s="1" t="s">
        <v>2541</v>
      </c>
      <c r="B1203" s="1" t="s">
        <v>2542</v>
      </c>
      <c r="C1203" s="1" t="s">
        <v>20</v>
      </c>
      <c r="D1203" s="1" t="s">
        <v>1187</v>
      </c>
      <c r="E1203" s="1" t="s">
        <v>1188</v>
      </c>
      <c r="F1203" s="1" t="s">
        <v>1189</v>
      </c>
      <c r="G1203" s="1" t="s">
        <v>1190</v>
      </c>
      <c r="H1203" s="2"/>
      <c r="I1203" s="2"/>
      <c r="J1203" s="2"/>
      <c r="K1203" s="2"/>
    </row>
    <row x14ac:dyDescent="0.25" r="1204" customHeight="1" ht="17.25">
      <c r="A1204" s="1" t="s">
        <v>2543</v>
      </c>
      <c r="B1204" s="1" t="s">
        <v>2544</v>
      </c>
      <c r="C1204" s="1" t="s">
        <v>20</v>
      </c>
      <c r="D1204" s="1" t="s">
        <v>1187</v>
      </c>
      <c r="E1204" s="1" t="s">
        <v>1188</v>
      </c>
      <c r="F1204" s="1" t="s">
        <v>1189</v>
      </c>
      <c r="G1204" s="1" t="s">
        <v>1190</v>
      </c>
      <c r="H1204" s="2"/>
      <c r="I1204" s="2"/>
      <c r="J1204" s="2"/>
      <c r="K1204" s="2"/>
    </row>
    <row x14ac:dyDescent="0.25" r="1205" customHeight="1" ht="17.25">
      <c r="A1205" s="1" t="s">
        <v>2545</v>
      </c>
      <c r="B1205" s="1" t="s">
        <v>2546</v>
      </c>
      <c r="C1205" s="1" t="s">
        <v>20</v>
      </c>
      <c r="D1205" s="1" t="s">
        <v>1187</v>
      </c>
      <c r="E1205" s="1" t="s">
        <v>1188</v>
      </c>
      <c r="F1205" s="1" t="s">
        <v>1189</v>
      </c>
      <c r="G1205" s="1" t="s">
        <v>1190</v>
      </c>
      <c r="H1205" s="2"/>
      <c r="I1205" s="2"/>
      <c r="J1205" s="2"/>
      <c r="K1205" s="2"/>
    </row>
    <row x14ac:dyDescent="0.25" r="1206" customHeight="1" ht="17.25">
      <c r="A1206" s="1" t="s">
        <v>2547</v>
      </c>
      <c r="B1206" s="1" t="s">
        <v>2548</v>
      </c>
      <c r="C1206" s="1" t="s">
        <v>20</v>
      </c>
      <c r="D1206" s="1" t="s">
        <v>1187</v>
      </c>
      <c r="E1206" s="1" t="s">
        <v>1188</v>
      </c>
      <c r="F1206" s="1" t="s">
        <v>1189</v>
      </c>
      <c r="G1206" s="1" t="s">
        <v>1190</v>
      </c>
      <c r="H1206" s="2"/>
      <c r="I1206" s="2"/>
      <c r="J1206" s="2"/>
      <c r="K1206" s="2"/>
    </row>
    <row x14ac:dyDescent="0.25" r="1207" customHeight="1" ht="17.25">
      <c r="A1207" s="1" t="s">
        <v>2549</v>
      </c>
      <c r="B1207" s="1" t="s">
        <v>2550</v>
      </c>
      <c r="C1207" s="1" t="s">
        <v>20</v>
      </c>
      <c r="D1207" s="1" t="s">
        <v>1187</v>
      </c>
      <c r="E1207" s="1" t="s">
        <v>1188</v>
      </c>
      <c r="F1207" s="1" t="s">
        <v>1189</v>
      </c>
      <c r="G1207" s="1" t="s">
        <v>1190</v>
      </c>
      <c r="H1207" s="2"/>
      <c r="I1207" s="2"/>
      <c r="J1207" s="2"/>
      <c r="K1207" s="2"/>
    </row>
    <row x14ac:dyDescent="0.25" r="1208" customHeight="1" ht="17.25">
      <c r="A1208" s="1" t="s">
        <v>2551</v>
      </c>
      <c r="B1208" s="1" t="s">
        <v>2552</v>
      </c>
      <c r="C1208" s="1" t="s">
        <v>20</v>
      </c>
      <c r="D1208" s="1" t="s">
        <v>1187</v>
      </c>
      <c r="E1208" s="1" t="s">
        <v>1188</v>
      </c>
      <c r="F1208" s="1" t="s">
        <v>1189</v>
      </c>
      <c r="G1208" s="1" t="s">
        <v>1190</v>
      </c>
      <c r="H1208" s="2"/>
      <c r="I1208" s="2"/>
      <c r="J1208" s="2"/>
      <c r="K1208" s="2"/>
    </row>
    <row x14ac:dyDescent="0.25" r="1209" customHeight="1" ht="17.25">
      <c r="A1209" s="1" t="s">
        <v>2553</v>
      </c>
      <c r="B1209" s="1" t="s">
        <v>2554</v>
      </c>
      <c r="C1209" s="1" t="s">
        <v>20</v>
      </c>
      <c r="D1209" s="1" t="s">
        <v>1187</v>
      </c>
      <c r="E1209" s="1" t="s">
        <v>1188</v>
      </c>
      <c r="F1209" s="1" t="s">
        <v>1189</v>
      </c>
      <c r="G1209" s="1" t="s">
        <v>1190</v>
      </c>
      <c r="H1209" s="2"/>
      <c r="I1209" s="2"/>
      <c r="J1209" s="2"/>
      <c r="K1209" s="2"/>
    </row>
    <row x14ac:dyDescent="0.25" r="1210" customHeight="1" ht="17.25">
      <c r="A1210" s="1" t="s">
        <v>2555</v>
      </c>
      <c r="B1210" s="1" t="s">
        <v>2556</v>
      </c>
      <c r="C1210" s="1" t="s">
        <v>20</v>
      </c>
      <c r="D1210" s="1" t="s">
        <v>1187</v>
      </c>
      <c r="E1210" s="1" t="s">
        <v>1188</v>
      </c>
      <c r="F1210" s="1" t="s">
        <v>1189</v>
      </c>
      <c r="G1210" s="1" t="s">
        <v>1190</v>
      </c>
      <c r="H1210" s="2"/>
      <c r="I1210" s="2"/>
      <c r="J1210" s="2"/>
      <c r="K1210" s="2"/>
    </row>
    <row x14ac:dyDescent="0.25" r="1211" customHeight="1" ht="17.25">
      <c r="A1211" s="1" t="s">
        <v>2557</v>
      </c>
      <c r="B1211" s="1" t="s">
        <v>2558</v>
      </c>
      <c r="C1211" s="1" t="s">
        <v>20</v>
      </c>
      <c r="D1211" s="1" t="s">
        <v>1187</v>
      </c>
      <c r="E1211" s="1" t="s">
        <v>1188</v>
      </c>
      <c r="F1211" s="1" t="s">
        <v>1189</v>
      </c>
      <c r="G1211" s="1" t="s">
        <v>1190</v>
      </c>
      <c r="H1211" s="2"/>
      <c r="I1211" s="2"/>
      <c r="J1211" s="2"/>
      <c r="K1211" s="2"/>
    </row>
    <row x14ac:dyDescent="0.25" r="1212" customHeight="1" ht="17.25">
      <c r="A1212" s="1" t="s">
        <v>2559</v>
      </c>
      <c r="B1212" s="1" t="s">
        <v>2560</v>
      </c>
      <c r="C1212" s="1" t="s">
        <v>20</v>
      </c>
      <c r="D1212" s="1" t="s">
        <v>1187</v>
      </c>
      <c r="E1212" s="1" t="s">
        <v>1188</v>
      </c>
      <c r="F1212" s="1" t="s">
        <v>1189</v>
      </c>
      <c r="G1212" s="1" t="s">
        <v>1190</v>
      </c>
      <c r="H1212" s="2"/>
      <c r="I1212" s="2"/>
      <c r="J1212" s="2"/>
      <c r="K1212" s="2"/>
    </row>
    <row x14ac:dyDescent="0.25" r="1213" customHeight="1" ht="17.25">
      <c r="A1213" s="1" t="s">
        <v>2561</v>
      </c>
      <c r="B1213" s="1" t="s">
        <v>2562</v>
      </c>
      <c r="C1213" s="1" t="s">
        <v>20</v>
      </c>
      <c r="D1213" s="1" t="s">
        <v>1187</v>
      </c>
      <c r="E1213" s="1" t="s">
        <v>1188</v>
      </c>
      <c r="F1213" s="1" t="s">
        <v>1189</v>
      </c>
      <c r="G1213" s="1" t="s">
        <v>1190</v>
      </c>
      <c r="H1213" s="2"/>
      <c r="I1213" s="2"/>
      <c r="J1213" s="2"/>
      <c r="K1213" s="2"/>
    </row>
    <row x14ac:dyDescent="0.25" r="1214" customHeight="1" ht="17.25">
      <c r="A1214" s="1" t="s">
        <v>2563</v>
      </c>
      <c r="B1214" s="1" t="s">
        <v>2564</v>
      </c>
      <c r="C1214" s="1" t="s">
        <v>20</v>
      </c>
      <c r="D1214" s="1" t="s">
        <v>1187</v>
      </c>
      <c r="E1214" s="1" t="s">
        <v>1188</v>
      </c>
      <c r="F1214" s="1" t="s">
        <v>1189</v>
      </c>
      <c r="G1214" s="1" t="s">
        <v>1190</v>
      </c>
      <c r="H1214" s="2"/>
      <c r="I1214" s="2"/>
      <c r="J1214" s="2"/>
      <c r="K1214" s="2"/>
    </row>
    <row x14ac:dyDescent="0.25" r="1215" customHeight="1" ht="17.25">
      <c r="A1215" s="1" t="s">
        <v>2565</v>
      </c>
      <c r="B1215" s="1" t="s">
        <v>2566</v>
      </c>
      <c r="C1215" s="1" t="s">
        <v>20</v>
      </c>
      <c r="D1215" s="1" t="s">
        <v>1187</v>
      </c>
      <c r="E1215" s="1" t="s">
        <v>1188</v>
      </c>
      <c r="F1215" s="1" t="s">
        <v>1189</v>
      </c>
      <c r="G1215" s="1" t="s">
        <v>1190</v>
      </c>
      <c r="H1215" s="2"/>
      <c r="I1215" s="2"/>
      <c r="J1215" s="2"/>
      <c r="K1215" s="2"/>
    </row>
    <row x14ac:dyDescent="0.25" r="1216" customHeight="1" ht="17.25">
      <c r="A1216" s="1" t="s">
        <v>2567</v>
      </c>
      <c r="B1216" s="1" t="s">
        <v>2568</v>
      </c>
      <c r="C1216" s="1" t="s">
        <v>20</v>
      </c>
      <c r="D1216" s="1" t="s">
        <v>1187</v>
      </c>
      <c r="E1216" s="1" t="s">
        <v>1188</v>
      </c>
      <c r="F1216" s="1" t="s">
        <v>1189</v>
      </c>
      <c r="G1216" s="1" t="s">
        <v>1190</v>
      </c>
      <c r="H1216" s="2"/>
      <c r="I1216" s="2"/>
      <c r="J1216" s="2"/>
      <c r="K1216" s="2"/>
    </row>
    <row x14ac:dyDescent="0.25" r="1217" customHeight="1" ht="17.25">
      <c r="A1217" s="1" t="s">
        <v>2569</v>
      </c>
      <c r="B1217" s="1" t="s">
        <v>2570</v>
      </c>
      <c r="C1217" s="1" t="s">
        <v>20</v>
      </c>
      <c r="D1217" s="1" t="s">
        <v>1187</v>
      </c>
      <c r="E1217" s="1" t="s">
        <v>1188</v>
      </c>
      <c r="F1217" s="1" t="s">
        <v>1189</v>
      </c>
      <c r="G1217" s="1" t="s">
        <v>1190</v>
      </c>
      <c r="H1217" s="2"/>
      <c r="I1217" s="2"/>
      <c r="J1217" s="2"/>
      <c r="K1217" s="2"/>
    </row>
    <row x14ac:dyDescent="0.25" r="1218" customHeight="1" ht="17.25">
      <c r="A1218" s="1" t="s">
        <v>2571</v>
      </c>
      <c r="B1218" s="1" t="s">
        <v>2572</v>
      </c>
      <c r="C1218" s="1" t="s">
        <v>20</v>
      </c>
      <c r="D1218" s="1" t="s">
        <v>1187</v>
      </c>
      <c r="E1218" s="1" t="s">
        <v>1188</v>
      </c>
      <c r="F1218" s="1" t="s">
        <v>1189</v>
      </c>
      <c r="G1218" s="1" t="s">
        <v>1190</v>
      </c>
      <c r="H1218" s="2"/>
      <c r="I1218" s="2"/>
      <c r="J1218" s="2"/>
      <c r="K1218" s="2"/>
    </row>
    <row x14ac:dyDescent="0.25" r="1219" customHeight="1" ht="17.25">
      <c r="A1219" s="1" t="s">
        <v>2573</v>
      </c>
      <c r="B1219" s="1" t="s">
        <v>2574</v>
      </c>
      <c r="C1219" s="1" t="s">
        <v>20</v>
      </c>
      <c r="D1219" s="1" t="s">
        <v>1187</v>
      </c>
      <c r="E1219" s="1" t="s">
        <v>1188</v>
      </c>
      <c r="F1219" s="1" t="s">
        <v>1189</v>
      </c>
      <c r="G1219" s="1" t="s">
        <v>1190</v>
      </c>
      <c r="H1219" s="2"/>
      <c r="I1219" s="2"/>
      <c r="J1219" s="2"/>
      <c r="K1219" s="2"/>
    </row>
    <row x14ac:dyDescent="0.25" r="1220" customHeight="1" ht="17.25">
      <c r="A1220" s="1" t="s">
        <v>2575</v>
      </c>
      <c r="B1220" s="1" t="s">
        <v>2576</v>
      </c>
      <c r="C1220" s="1" t="s">
        <v>20</v>
      </c>
      <c r="D1220" s="1" t="s">
        <v>1187</v>
      </c>
      <c r="E1220" s="1" t="s">
        <v>1188</v>
      </c>
      <c r="F1220" s="1" t="s">
        <v>1189</v>
      </c>
      <c r="G1220" s="1" t="s">
        <v>1190</v>
      </c>
      <c r="H1220" s="2"/>
      <c r="I1220" s="2"/>
      <c r="J1220" s="2"/>
      <c r="K1220" s="2"/>
    </row>
    <row x14ac:dyDescent="0.25" r="1221" customHeight="1" ht="17.25">
      <c r="A1221" s="1" t="s">
        <v>2577</v>
      </c>
      <c r="B1221" s="1" t="s">
        <v>2578</v>
      </c>
      <c r="C1221" s="1" t="s">
        <v>20</v>
      </c>
      <c r="D1221" s="1" t="s">
        <v>1187</v>
      </c>
      <c r="E1221" s="1" t="s">
        <v>1188</v>
      </c>
      <c r="F1221" s="1" t="s">
        <v>1189</v>
      </c>
      <c r="G1221" s="1" t="s">
        <v>1190</v>
      </c>
      <c r="H1221" s="2"/>
      <c r="I1221" s="2"/>
      <c r="J1221" s="2"/>
      <c r="K1221" s="2"/>
    </row>
    <row x14ac:dyDescent="0.25" r="1222" customHeight="1" ht="17.25">
      <c r="A1222" s="1" t="s">
        <v>2579</v>
      </c>
      <c r="B1222" s="1" t="s">
        <v>2580</v>
      </c>
      <c r="C1222" s="1" t="s">
        <v>20</v>
      </c>
      <c r="D1222" s="1" t="s">
        <v>1187</v>
      </c>
      <c r="E1222" s="1" t="s">
        <v>1188</v>
      </c>
      <c r="F1222" s="1" t="s">
        <v>1189</v>
      </c>
      <c r="G1222" s="1" t="s">
        <v>1190</v>
      </c>
      <c r="H1222" s="2"/>
      <c r="I1222" s="2"/>
      <c r="J1222" s="2"/>
      <c r="K1222" s="2"/>
    </row>
    <row x14ac:dyDescent="0.25" r="1223" customHeight="1" ht="17.25">
      <c r="A1223" s="1" t="s">
        <v>2581</v>
      </c>
      <c r="B1223" s="1" t="s">
        <v>2582</v>
      </c>
      <c r="C1223" s="1" t="s">
        <v>20</v>
      </c>
      <c r="D1223" s="1" t="s">
        <v>1187</v>
      </c>
      <c r="E1223" s="1" t="s">
        <v>1188</v>
      </c>
      <c r="F1223" s="1" t="s">
        <v>1189</v>
      </c>
      <c r="G1223" s="1" t="s">
        <v>1190</v>
      </c>
      <c r="H1223" s="2"/>
      <c r="I1223" s="2"/>
      <c r="J1223" s="2"/>
      <c r="K1223" s="2"/>
    </row>
    <row x14ac:dyDescent="0.25" r="1224" customHeight="1" ht="17.25">
      <c r="A1224" s="1" t="s">
        <v>2583</v>
      </c>
      <c r="B1224" s="1" t="s">
        <v>2584</v>
      </c>
      <c r="C1224" s="1" t="s">
        <v>20</v>
      </c>
      <c r="D1224" s="1" t="s">
        <v>1187</v>
      </c>
      <c r="E1224" s="1" t="s">
        <v>1188</v>
      </c>
      <c r="F1224" s="1" t="s">
        <v>1189</v>
      </c>
      <c r="G1224" s="1" t="s">
        <v>1190</v>
      </c>
      <c r="H1224" s="2"/>
      <c r="I1224" s="2"/>
      <c r="J1224" s="2"/>
      <c r="K1224" s="2"/>
    </row>
    <row x14ac:dyDescent="0.25" r="1225" customHeight="1" ht="17.25">
      <c r="A1225" s="1" t="s">
        <v>2585</v>
      </c>
      <c r="B1225" s="1" t="s">
        <v>2586</v>
      </c>
      <c r="C1225" s="1" t="s">
        <v>20</v>
      </c>
      <c r="D1225" s="1" t="s">
        <v>1187</v>
      </c>
      <c r="E1225" s="1" t="s">
        <v>1188</v>
      </c>
      <c r="F1225" s="1" t="s">
        <v>1189</v>
      </c>
      <c r="G1225" s="1" t="s">
        <v>1190</v>
      </c>
      <c r="H1225" s="2"/>
      <c r="I1225" s="2"/>
      <c r="J1225" s="2"/>
      <c r="K1225" s="2"/>
    </row>
    <row x14ac:dyDescent="0.25" r="1226" customHeight="1" ht="17.25">
      <c r="A1226" s="1" t="s">
        <v>2587</v>
      </c>
      <c r="B1226" s="1" t="s">
        <v>2588</v>
      </c>
      <c r="C1226" s="1" t="s">
        <v>20</v>
      </c>
      <c r="D1226" s="1" t="s">
        <v>1187</v>
      </c>
      <c r="E1226" s="1" t="s">
        <v>1188</v>
      </c>
      <c r="F1226" s="1" t="s">
        <v>1189</v>
      </c>
      <c r="G1226" s="1" t="s">
        <v>1190</v>
      </c>
      <c r="H1226" s="2"/>
      <c r="I1226" s="2"/>
      <c r="J1226" s="2"/>
      <c r="K1226" s="2"/>
    </row>
    <row x14ac:dyDescent="0.25" r="1227" customHeight="1" ht="17.25">
      <c r="A1227" s="1" t="s">
        <v>2589</v>
      </c>
      <c r="B1227" s="1" t="s">
        <v>2590</v>
      </c>
      <c r="C1227" s="1" t="s">
        <v>20</v>
      </c>
      <c r="D1227" s="1" t="s">
        <v>1187</v>
      </c>
      <c r="E1227" s="1" t="s">
        <v>1188</v>
      </c>
      <c r="F1227" s="1" t="s">
        <v>1189</v>
      </c>
      <c r="G1227" s="1" t="s">
        <v>1190</v>
      </c>
      <c r="H1227" s="2"/>
      <c r="I1227" s="2"/>
      <c r="J1227" s="2"/>
      <c r="K1227" s="2"/>
    </row>
    <row x14ac:dyDescent="0.25" r="1228" customHeight="1" ht="17.25">
      <c r="A1228" s="1" t="s">
        <v>2591</v>
      </c>
      <c r="B1228" s="1" t="s">
        <v>2592</v>
      </c>
      <c r="C1228" s="1" t="s">
        <v>20</v>
      </c>
      <c r="D1228" s="1" t="s">
        <v>1187</v>
      </c>
      <c r="E1228" s="1" t="s">
        <v>1188</v>
      </c>
      <c r="F1228" s="1" t="s">
        <v>1189</v>
      </c>
      <c r="G1228" s="1" t="s">
        <v>1190</v>
      </c>
      <c r="H1228" s="2"/>
      <c r="I1228" s="2"/>
      <c r="J1228" s="2"/>
      <c r="K1228" s="2"/>
    </row>
    <row x14ac:dyDescent="0.25" r="1229" customHeight="1" ht="17.25">
      <c r="A1229" s="1" t="s">
        <v>2593</v>
      </c>
      <c r="B1229" s="1" t="s">
        <v>2594</v>
      </c>
      <c r="C1229" s="1" t="s">
        <v>20</v>
      </c>
      <c r="D1229" s="1" t="s">
        <v>1187</v>
      </c>
      <c r="E1229" s="1" t="s">
        <v>1188</v>
      </c>
      <c r="F1229" s="1" t="s">
        <v>1189</v>
      </c>
      <c r="G1229" s="1" t="s">
        <v>1190</v>
      </c>
      <c r="H1229" s="2"/>
      <c r="I1229" s="2"/>
      <c r="J1229" s="2"/>
      <c r="K1229" s="2"/>
    </row>
    <row x14ac:dyDescent="0.25" r="1230" customHeight="1" ht="17.25">
      <c r="A1230" s="1" t="s">
        <v>2595</v>
      </c>
      <c r="B1230" s="1" t="s">
        <v>2596</v>
      </c>
      <c r="C1230" s="1" t="s">
        <v>20</v>
      </c>
      <c r="D1230" s="1" t="s">
        <v>1187</v>
      </c>
      <c r="E1230" s="1" t="s">
        <v>1188</v>
      </c>
      <c r="F1230" s="1" t="s">
        <v>1189</v>
      </c>
      <c r="G1230" s="1" t="s">
        <v>1190</v>
      </c>
      <c r="H1230" s="2"/>
      <c r="I1230" s="2"/>
      <c r="J1230" s="2"/>
      <c r="K1230" s="2"/>
    </row>
    <row x14ac:dyDescent="0.25" r="1231" customHeight="1" ht="17.25">
      <c r="A1231" s="1" t="s">
        <v>2597</v>
      </c>
      <c r="B1231" s="1" t="s">
        <v>2598</v>
      </c>
      <c r="C1231" s="1" t="s">
        <v>20</v>
      </c>
      <c r="D1231" s="1" t="s">
        <v>1187</v>
      </c>
      <c r="E1231" s="1" t="s">
        <v>1188</v>
      </c>
      <c r="F1231" s="1" t="s">
        <v>1189</v>
      </c>
      <c r="G1231" s="1" t="s">
        <v>1190</v>
      </c>
      <c r="H1231" s="2"/>
      <c r="I1231" s="2"/>
      <c r="J1231" s="2"/>
      <c r="K1231" s="2"/>
    </row>
    <row x14ac:dyDescent="0.25" r="1232" customHeight="1" ht="17.25">
      <c r="A1232" s="1" t="s">
        <v>2599</v>
      </c>
      <c r="B1232" s="1" t="s">
        <v>2600</v>
      </c>
      <c r="C1232" s="1" t="s">
        <v>20</v>
      </c>
      <c r="D1232" s="1" t="s">
        <v>1187</v>
      </c>
      <c r="E1232" s="1" t="s">
        <v>1188</v>
      </c>
      <c r="F1232" s="1" t="s">
        <v>1189</v>
      </c>
      <c r="G1232" s="1" t="s">
        <v>1190</v>
      </c>
      <c r="H1232" s="2"/>
      <c r="I1232" s="2"/>
      <c r="J1232" s="2"/>
      <c r="K1232" s="2"/>
    </row>
    <row x14ac:dyDescent="0.25" r="1233" customHeight="1" ht="17.25">
      <c r="A1233" s="1" t="s">
        <v>2601</v>
      </c>
      <c r="B1233" s="1" t="s">
        <v>2602</v>
      </c>
      <c r="C1233" s="1" t="s">
        <v>20</v>
      </c>
      <c r="D1233" s="1" t="s">
        <v>1187</v>
      </c>
      <c r="E1233" s="1" t="s">
        <v>1188</v>
      </c>
      <c r="F1233" s="1" t="s">
        <v>1189</v>
      </c>
      <c r="G1233" s="1" t="s">
        <v>1190</v>
      </c>
      <c r="H1233" s="2"/>
      <c r="I1233" s="2"/>
      <c r="J1233" s="2"/>
      <c r="K1233" s="2"/>
    </row>
    <row x14ac:dyDescent="0.25" r="1234" customHeight="1" ht="17.25">
      <c r="A1234" s="1" t="s">
        <v>2603</v>
      </c>
      <c r="B1234" s="1" t="s">
        <v>2604</v>
      </c>
      <c r="C1234" s="1" t="s">
        <v>20</v>
      </c>
      <c r="D1234" s="1" t="s">
        <v>1187</v>
      </c>
      <c r="E1234" s="1" t="s">
        <v>1188</v>
      </c>
      <c r="F1234" s="1" t="s">
        <v>1189</v>
      </c>
      <c r="G1234" s="1" t="s">
        <v>1190</v>
      </c>
      <c r="H1234" s="2"/>
      <c r="I1234" s="2"/>
      <c r="J1234" s="2"/>
      <c r="K1234" s="2"/>
    </row>
    <row x14ac:dyDescent="0.25" r="1235" customHeight="1" ht="17.25">
      <c r="A1235" s="1" t="s">
        <v>2605</v>
      </c>
      <c r="B1235" s="1" t="s">
        <v>2606</v>
      </c>
      <c r="C1235" s="1" t="s">
        <v>20</v>
      </c>
      <c r="D1235" s="1" t="s">
        <v>1187</v>
      </c>
      <c r="E1235" s="1" t="s">
        <v>1188</v>
      </c>
      <c r="F1235" s="1" t="s">
        <v>1189</v>
      </c>
      <c r="G1235" s="1" t="s">
        <v>1190</v>
      </c>
      <c r="H1235" s="2"/>
      <c r="I1235" s="2"/>
      <c r="J1235" s="2"/>
      <c r="K1235" s="2"/>
    </row>
    <row x14ac:dyDescent="0.25" r="1236" customHeight="1" ht="17.25">
      <c r="A1236" s="1" t="s">
        <v>2607</v>
      </c>
      <c r="B1236" s="1" t="s">
        <v>2608</v>
      </c>
      <c r="C1236" s="1" t="s">
        <v>20</v>
      </c>
      <c r="D1236" s="1" t="s">
        <v>1187</v>
      </c>
      <c r="E1236" s="1" t="s">
        <v>1188</v>
      </c>
      <c r="F1236" s="1" t="s">
        <v>1189</v>
      </c>
      <c r="G1236" s="1" t="s">
        <v>1190</v>
      </c>
      <c r="H1236" s="2"/>
      <c r="I1236" s="2"/>
      <c r="J1236" s="2"/>
      <c r="K1236" s="2"/>
    </row>
    <row x14ac:dyDescent="0.25" r="1237" customHeight="1" ht="17.25">
      <c r="A1237" s="1" t="s">
        <v>2609</v>
      </c>
      <c r="B1237" s="1" t="s">
        <v>2610</v>
      </c>
      <c r="C1237" s="1" t="s">
        <v>20</v>
      </c>
      <c r="D1237" s="1" t="s">
        <v>1187</v>
      </c>
      <c r="E1237" s="1" t="s">
        <v>1188</v>
      </c>
      <c r="F1237" s="1" t="s">
        <v>1189</v>
      </c>
      <c r="G1237" s="1" t="s">
        <v>1190</v>
      </c>
      <c r="H1237" s="2"/>
      <c r="I1237" s="2"/>
      <c r="J1237" s="2"/>
      <c r="K1237" s="2"/>
    </row>
    <row x14ac:dyDescent="0.25" r="1238" customHeight="1" ht="17.25">
      <c r="A1238" s="1" t="s">
        <v>2611</v>
      </c>
      <c r="B1238" s="1" t="s">
        <v>2612</v>
      </c>
      <c r="C1238" s="1" t="s">
        <v>20</v>
      </c>
      <c r="D1238" s="1" t="s">
        <v>1187</v>
      </c>
      <c r="E1238" s="1" t="s">
        <v>1188</v>
      </c>
      <c r="F1238" s="1" t="s">
        <v>1189</v>
      </c>
      <c r="G1238" s="1" t="s">
        <v>1190</v>
      </c>
      <c r="H1238" s="2"/>
      <c r="I1238" s="2"/>
      <c r="J1238" s="2"/>
      <c r="K1238" s="2"/>
    </row>
    <row x14ac:dyDescent="0.25" r="1239" customHeight="1" ht="17.25">
      <c r="A1239" s="1" t="s">
        <v>2613</v>
      </c>
      <c r="B1239" s="1" t="s">
        <v>2614</v>
      </c>
      <c r="C1239" s="1" t="s">
        <v>20</v>
      </c>
      <c r="D1239" s="1" t="s">
        <v>1187</v>
      </c>
      <c r="E1239" s="1" t="s">
        <v>1188</v>
      </c>
      <c r="F1239" s="1" t="s">
        <v>1189</v>
      </c>
      <c r="G1239" s="1" t="s">
        <v>1190</v>
      </c>
      <c r="H1239" s="2"/>
      <c r="I1239" s="2"/>
      <c r="J1239" s="2"/>
      <c r="K1239" s="2"/>
    </row>
    <row x14ac:dyDescent="0.25" r="1240" customHeight="1" ht="17.25">
      <c r="A1240" s="1" t="s">
        <v>2615</v>
      </c>
      <c r="B1240" s="1" t="s">
        <v>2616</v>
      </c>
      <c r="C1240" s="1" t="s">
        <v>20</v>
      </c>
      <c r="D1240" s="1" t="s">
        <v>1187</v>
      </c>
      <c r="E1240" s="1" t="s">
        <v>1188</v>
      </c>
      <c r="F1240" s="1" t="s">
        <v>1189</v>
      </c>
      <c r="G1240" s="1" t="s">
        <v>1190</v>
      </c>
      <c r="H1240" s="2"/>
      <c r="I1240" s="2"/>
      <c r="J1240" s="2"/>
      <c r="K1240" s="2"/>
    </row>
    <row x14ac:dyDescent="0.25" r="1241" customHeight="1" ht="17.25">
      <c r="A1241" s="1" t="s">
        <v>2617</v>
      </c>
      <c r="B1241" s="1" t="s">
        <v>2618</v>
      </c>
      <c r="C1241" s="1" t="s">
        <v>20</v>
      </c>
      <c r="D1241" s="1" t="s">
        <v>1187</v>
      </c>
      <c r="E1241" s="1" t="s">
        <v>1188</v>
      </c>
      <c r="F1241" s="1" t="s">
        <v>1189</v>
      </c>
      <c r="G1241" s="1" t="s">
        <v>1190</v>
      </c>
      <c r="H1241" s="2"/>
      <c r="I1241" s="2"/>
      <c r="J1241" s="2"/>
      <c r="K1241" s="2"/>
    </row>
    <row x14ac:dyDescent="0.25" r="1242" customHeight="1" ht="17.25">
      <c r="A1242" s="1" t="s">
        <v>2619</v>
      </c>
      <c r="B1242" s="1" t="s">
        <v>2620</v>
      </c>
      <c r="C1242" s="1" t="s">
        <v>20</v>
      </c>
      <c r="D1242" s="1" t="s">
        <v>1187</v>
      </c>
      <c r="E1242" s="1" t="s">
        <v>1188</v>
      </c>
      <c r="F1242" s="1" t="s">
        <v>1189</v>
      </c>
      <c r="G1242" s="1" t="s">
        <v>1190</v>
      </c>
      <c r="H1242" s="2"/>
      <c r="I1242" s="2"/>
      <c r="J1242" s="2"/>
      <c r="K1242" s="2"/>
    </row>
    <row x14ac:dyDescent="0.25" r="1243" customHeight="1" ht="17.25">
      <c r="A1243" s="1" t="s">
        <v>2621</v>
      </c>
      <c r="B1243" s="1" t="s">
        <v>2622</v>
      </c>
      <c r="C1243" s="1" t="s">
        <v>20</v>
      </c>
      <c r="D1243" s="1" t="s">
        <v>1187</v>
      </c>
      <c r="E1243" s="1" t="s">
        <v>1188</v>
      </c>
      <c r="F1243" s="1" t="s">
        <v>1189</v>
      </c>
      <c r="G1243" s="1" t="s">
        <v>1190</v>
      </c>
      <c r="H1243" s="2"/>
      <c r="I1243" s="2"/>
      <c r="J1243" s="2"/>
      <c r="K1243" s="2"/>
    </row>
    <row x14ac:dyDescent="0.25" r="1244" customHeight="1" ht="17.25">
      <c r="A1244" s="1" t="s">
        <v>2623</v>
      </c>
      <c r="B1244" s="1" t="s">
        <v>2624</v>
      </c>
      <c r="C1244" s="1" t="s">
        <v>20</v>
      </c>
      <c r="D1244" s="1" t="s">
        <v>1187</v>
      </c>
      <c r="E1244" s="1" t="s">
        <v>1188</v>
      </c>
      <c r="F1244" s="1" t="s">
        <v>1189</v>
      </c>
      <c r="G1244" s="1" t="s">
        <v>1190</v>
      </c>
      <c r="H1244" s="2"/>
      <c r="I1244" s="2"/>
      <c r="J1244" s="2"/>
      <c r="K1244" s="2"/>
    </row>
    <row x14ac:dyDescent="0.25" r="1245" customHeight="1" ht="17.25">
      <c r="A1245" s="1" t="s">
        <v>2625</v>
      </c>
      <c r="B1245" s="1" t="s">
        <v>2626</v>
      </c>
      <c r="C1245" s="1" t="s">
        <v>20</v>
      </c>
      <c r="D1245" s="1" t="s">
        <v>1187</v>
      </c>
      <c r="E1245" s="1" t="s">
        <v>1188</v>
      </c>
      <c r="F1245" s="1" t="s">
        <v>1189</v>
      </c>
      <c r="G1245" s="1" t="s">
        <v>1190</v>
      </c>
      <c r="H1245" s="2"/>
      <c r="I1245" s="2"/>
      <c r="J1245" s="2"/>
      <c r="K1245" s="2"/>
    </row>
    <row x14ac:dyDescent="0.25" r="1246" customHeight="1" ht="17.25">
      <c r="A1246" s="1" t="s">
        <v>2627</v>
      </c>
      <c r="B1246" s="1" t="s">
        <v>2628</v>
      </c>
      <c r="C1246" s="1" t="s">
        <v>20</v>
      </c>
      <c r="D1246" s="1" t="s">
        <v>1187</v>
      </c>
      <c r="E1246" s="1" t="s">
        <v>1188</v>
      </c>
      <c r="F1246" s="1" t="s">
        <v>1189</v>
      </c>
      <c r="G1246" s="1" t="s">
        <v>1190</v>
      </c>
      <c r="H1246" s="2"/>
      <c r="I1246" s="2"/>
      <c r="J1246" s="2"/>
      <c r="K1246" s="2"/>
    </row>
    <row x14ac:dyDescent="0.25" r="1247" customHeight="1" ht="17.25">
      <c r="A1247" s="1" t="s">
        <v>2629</v>
      </c>
      <c r="B1247" s="1" t="s">
        <v>2630</v>
      </c>
      <c r="C1247" s="1" t="s">
        <v>20</v>
      </c>
      <c r="D1247" s="1" t="s">
        <v>1187</v>
      </c>
      <c r="E1247" s="1" t="s">
        <v>1188</v>
      </c>
      <c r="F1247" s="1" t="s">
        <v>1189</v>
      </c>
      <c r="G1247" s="1" t="s">
        <v>1190</v>
      </c>
      <c r="H1247" s="2"/>
      <c r="I1247" s="2"/>
      <c r="J1247" s="2"/>
      <c r="K1247" s="2"/>
    </row>
    <row x14ac:dyDescent="0.25" r="1248" customHeight="1" ht="17.25">
      <c r="A1248" s="1" t="s">
        <v>2631</v>
      </c>
      <c r="B1248" s="1" t="s">
        <v>2632</v>
      </c>
      <c r="C1248" s="1" t="s">
        <v>20</v>
      </c>
      <c r="D1248" s="1" t="s">
        <v>1187</v>
      </c>
      <c r="E1248" s="1" t="s">
        <v>1188</v>
      </c>
      <c r="F1248" s="1" t="s">
        <v>1189</v>
      </c>
      <c r="G1248" s="1" t="s">
        <v>1190</v>
      </c>
      <c r="H1248" s="2"/>
      <c r="I1248" s="2"/>
      <c r="J1248" s="2"/>
      <c r="K1248" s="2"/>
    </row>
    <row x14ac:dyDescent="0.25" r="1249" customHeight="1" ht="17.25">
      <c r="A1249" s="1" t="s">
        <v>2633</v>
      </c>
      <c r="B1249" s="1" t="s">
        <v>2634</v>
      </c>
      <c r="C1249" s="1" t="s">
        <v>20</v>
      </c>
      <c r="D1249" s="1" t="s">
        <v>1187</v>
      </c>
      <c r="E1249" s="1" t="s">
        <v>1188</v>
      </c>
      <c r="F1249" s="1" t="s">
        <v>1189</v>
      </c>
      <c r="G1249" s="1" t="s">
        <v>1190</v>
      </c>
      <c r="H1249" s="2"/>
      <c r="I1249" s="2"/>
      <c r="J1249" s="2"/>
      <c r="K1249" s="2"/>
    </row>
    <row x14ac:dyDescent="0.25" r="1250" customHeight="1" ht="17.25">
      <c r="A1250" s="1" t="s">
        <v>2635</v>
      </c>
      <c r="B1250" s="1" t="s">
        <v>2636</v>
      </c>
      <c r="C1250" s="1" t="s">
        <v>20</v>
      </c>
      <c r="D1250" s="1" t="s">
        <v>1187</v>
      </c>
      <c r="E1250" s="1" t="s">
        <v>1188</v>
      </c>
      <c r="F1250" s="1" t="s">
        <v>1189</v>
      </c>
      <c r="G1250" s="1" t="s">
        <v>1190</v>
      </c>
      <c r="H1250" s="2"/>
      <c r="I1250" s="2"/>
      <c r="J1250" s="2"/>
      <c r="K1250" s="2"/>
    </row>
    <row x14ac:dyDescent="0.25" r="1251" customHeight="1" ht="17.25">
      <c r="A1251" s="1" t="s">
        <v>2637</v>
      </c>
      <c r="B1251" s="1" t="s">
        <v>2638</v>
      </c>
      <c r="C1251" s="1" t="s">
        <v>20</v>
      </c>
      <c r="D1251" s="1" t="s">
        <v>1187</v>
      </c>
      <c r="E1251" s="1" t="s">
        <v>1188</v>
      </c>
      <c r="F1251" s="1" t="s">
        <v>1189</v>
      </c>
      <c r="G1251" s="1" t="s">
        <v>1190</v>
      </c>
      <c r="H1251" s="2"/>
      <c r="I1251" s="2"/>
      <c r="J1251" s="2"/>
      <c r="K1251" s="2"/>
    </row>
    <row x14ac:dyDescent="0.25" r="1252" customHeight="1" ht="17.25">
      <c r="A1252" s="1" t="s">
        <v>2639</v>
      </c>
      <c r="B1252" s="1" t="s">
        <v>2640</v>
      </c>
      <c r="C1252" s="1" t="s">
        <v>20</v>
      </c>
      <c r="D1252" s="1" t="s">
        <v>1187</v>
      </c>
      <c r="E1252" s="1" t="s">
        <v>1188</v>
      </c>
      <c r="F1252" s="1" t="s">
        <v>1189</v>
      </c>
      <c r="G1252" s="1" t="s">
        <v>1190</v>
      </c>
      <c r="H1252" s="2"/>
      <c r="I1252" s="2"/>
      <c r="J1252" s="2"/>
      <c r="K1252" s="2"/>
    </row>
    <row x14ac:dyDescent="0.25" r="1253" customHeight="1" ht="17.25">
      <c r="A1253" s="1" t="s">
        <v>2641</v>
      </c>
      <c r="B1253" s="1" t="s">
        <v>2642</v>
      </c>
      <c r="C1253" s="1" t="s">
        <v>20</v>
      </c>
      <c r="D1253" s="1" t="s">
        <v>1187</v>
      </c>
      <c r="E1253" s="1" t="s">
        <v>1188</v>
      </c>
      <c r="F1253" s="1" t="s">
        <v>1189</v>
      </c>
      <c r="G1253" s="1" t="s">
        <v>1190</v>
      </c>
      <c r="H1253" s="2"/>
      <c r="I1253" s="2"/>
      <c r="J1253" s="2"/>
      <c r="K1253" s="2"/>
    </row>
    <row x14ac:dyDescent="0.25" r="1254" customHeight="1" ht="17.25">
      <c r="A1254" s="1" t="s">
        <v>2643</v>
      </c>
      <c r="B1254" s="1" t="s">
        <v>2644</v>
      </c>
      <c r="C1254" s="1" t="s">
        <v>20</v>
      </c>
      <c r="D1254" s="1" t="s">
        <v>1187</v>
      </c>
      <c r="E1254" s="1" t="s">
        <v>1188</v>
      </c>
      <c r="F1254" s="1" t="s">
        <v>1189</v>
      </c>
      <c r="G1254" s="1" t="s">
        <v>1190</v>
      </c>
      <c r="H1254" s="2"/>
      <c r="I1254" s="2"/>
      <c r="J1254" s="2"/>
      <c r="K1254" s="2"/>
    </row>
    <row x14ac:dyDescent="0.25" r="1255" customHeight="1" ht="17.25">
      <c r="A1255" s="1" t="s">
        <v>2645</v>
      </c>
      <c r="B1255" s="1" t="s">
        <v>2646</v>
      </c>
      <c r="C1255" s="1" t="s">
        <v>20</v>
      </c>
      <c r="D1255" s="1" t="s">
        <v>1187</v>
      </c>
      <c r="E1255" s="1" t="s">
        <v>1188</v>
      </c>
      <c r="F1255" s="1" t="s">
        <v>1189</v>
      </c>
      <c r="G1255" s="1" t="s">
        <v>1190</v>
      </c>
      <c r="H1255" s="2"/>
      <c r="I1255" s="2"/>
      <c r="J1255" s="2"/>
      <c r="K1255" s="2"/>
    </row>
    <row x14ac:dyDescent="0.25" r="1256" customHeight="1" ht="17.25">
      <c r="A1256" s="1" t="s">
        <v>2647</v>
      </c>
      <c r="B1256" s="1" t="s">
        <v>2648</v>
      </c>
      <c r="C1256" s="1" t="s">
        <v>20</v>
      </c>
      <c r="D1256" s="1" t="s">
        <v>1187</v>
      </c>
      <c r="E1256" s="1" t="s">
        <v>1188</v>
      </c>
      <c r="F1256" s="1" t="s">
        <v>1189</v>
      </c>
      <c r="G1256" s="1" t="s">
        <v>1190</v>
      </c>
      <c r="H1256" s="2"/>
      <c r="I1256" s="2"/>
      <c r="J1256" s="2"/>
      <c r="K1256" s="2"/>
    </row>
    <row x14ac:dyDescent="0.25" r="1257" customHeight="1" ht="17.25">
      <c r="A1257" s="1" t="s">
        <v>2649</v>
      </c>
      <c r="B1257" s="1" t="s">
        <v>2650</v>
      </c>
      <c r="C1257" s="1" t="s">
        <v>20</v>
      </c>
      <c r="D1257" s="1" t="s">
        <v>1187</v>
      </c>
      <c r="E1257" s="1" t="s">
        <v>1188</v>
      </c>
      <c r="F1257" s="1" t="s">
        <v>1189</v>
      </c>
      <c r="G1257" s="1" t="s">
        <v>1190</v>
      </c>
      <c r="H1257" s="2"/>
      <c r="I1257" s="2"/>
      <c r="J1257" s="2"/>
      <c r="K1257" s="2"/>
    </row>
    <row x14ac:dyDescent="0.25" r="1258" customHeight="1" ht="17.25">
      <c r="A1258" s="1" t="s">
        <v>2651</v>
      </c>
      <c r="B1258" s="1" t="s">
        <v>2652</v>
      </c>
      <c r="C1258" s="1" t="s">
        <v>20</v>
      </c>
      <c r="D1258" s="1" t="s">
        <v>1187</v>
      </c>
      <c r="E1258" s="1" t="s">
        <v>1188</v>
      </c>
      <c r="F1258" s="1" t="s">
        <v>1189</v>
      </c>
      <c r="G1258" s="1" t="s">
        <v>1190</v>
      </c>
      <c r="H1258" s="2"/>
      <c r="I1258" s="2"/>
      <c r="J1258" s="2"/>
      <c r="K1258" s="2"/>
    </row>
    <row x14ac:dyDescent="0.25" r="1259" customHeight="1" ht="17.25">
      <c r="A1259" s="1" t="s">
        <v>2653</v>
      </c>
      <c r="B1259" s="1" t="s">
        <v>2654</v>
      </c>
      <c r="C1259" s="1" t="s">
        <v>20</v>
      </c>
      <c r="D1259" s="1" t="s">
        <v>1187</v>
      </c>
      <c r="E1259" s="1" t="s">
        <v>1188</v>
      </c>
      <c r="F1259" s="1" t="s">
        <v>1189</v>
      </c>
      <c r="G1259" s="1" t="s">
        <v>1190</v>
      </c>
      <c r="H1259" s="2"/>
      <c r="I1259" s="2"/>
      <c r="J1259" s="2"/>
      <c r="K1259" s="2"/>
    </row>
    <row x14ac:dyDescent="0.25" r="1260" customHeight="1" ht="17.25">
      <c r="A1260" s="1" t="s">
        <v>2655</v>
      </c>
      <c r="B1260" s="1" t="s">
        <v>2656</v>
      </c>
      <c r="C1260" s="1" t="s">
        <v>20</v>
      </c>
      <c r="D1260" s="1" t="s">
        <v>1187</v>
      </c>
      <c r="E1260" s="1" t="s">
        <v>1188</v>
      </c>
      <c r="F1260" s="1" t="s">
        <v>1189</v>
      </c>
      <c r="G1260" s="1" t="s">
        <v>1190</v>
      </c>
      <c r="H1260" s="2"/>
      <c r="I1260" s="2"/>
      <c r="J1260" s="2"/>
      <c r="K1260" s="2"/>
    </row>
    <row x14ac:dyDescent="0.25" r="1261" customHeight="1" ht="17.25">
      <c r="A1261" s="1" t="s">
        <v>2657</v>
      </c>
      <c r="B1261" s="1" t="s">
        <v>2658</v>
      </c>
      <c r="C1261" s="1" t="s">
        <v>20</v>
      </c>
      <c r="D1261" s="1" t="s">
        <v>1187</v>
      </c>
      <c r="E1261" s="1" t="s">
        <v>1188</v>
      </c>
      <c r="F1261" s="1" t="s">
        <v>1189</v>
      </c>
      <c r="G1261" s="1" t="s">
        <v>1190</v>
      </c>
      <c r="H1261" s="2"/>
      <c r="I1261" s="2"/>
      <c r="J1261" s="2"/>
      <c r="K1261" s="2"/>
    </row>
    <row x14ac:dyDescent="0.25" r="1262" customHeight="1" ht="17.25">
      <c r="A1262" s="1" t="s">
        <v>2659</v>
      </c>
      <c r="B1262" s="1" t="s">
        <v>2660</v>
      </c>
      <c r="C1262" s="1" t="s">
        <v>20</v>
      </c>
      <c r="D1262" s="1" t="s">
        <v>1187</v>
      </c>
      <c r="E1262" s="1" t="s">
        <v>1188</v>
      </c>
      <c r="F1262" s="1" t="s">
        <v>1189</v>
      </c>
      <c r="G1262" s="1" t="s">
        <v>1190</v>
      </c>
      <c r="H1262" s="2"/>
      <c r="I1262" s="2"/>
      <c r="J1262" s="2"/>
      <c r="K1262" s="2"/>
    </row>
    <row x14ac:dyDescent="0.25" r="1263" customHeight="1" ht="17.25">
      <c r="A1263" s="1" t="s">
        <v>2661</v>
      </c>
      <c r="B1263" s="1" t="s">
        <v>2662</v>
      </c>
      <c r="C1263" s="1" t="s">
        <v>20</v>
      </c>
      <c r="D1263" s="1" t="s">
        <v>1187</v>
      </c>
      <c r="E1263" s="1" t="s">
        <v>1188</v>
      </c>
      <c r="F1263" s="1" t="s">
        <v>1189</v>
      </c>
      <c r="G1263" s="1" t="s">
        <v>1190</v>
      </c>
      <c r="H1263" s="2"/>
      <c r="I1263" s="2"/>
      <c r="J1263" s="2"/>
      <c r="K1263" s="2"/>
    </row>
    <row x14ac:dyDescent="0.25" r="1264" customHeight="1" ht="17.25">
      <c r="A1264" s="1" t="s">
        <v>2663</v>
      </c>
      <c r="B1264" s="1" t="s">
        <v>2664</v>
      </c>
      <c r="C1264" s="1" t="s">
        <v>20</v>
      </c>
      <c r="D1264" s="1" t="s">
        <v>1187</v>
      </c>
      <c r="E1264" s="1" t="s">
        <v>1188</v>
      </c>
      <c r="F1264" s="1" t="s">
        <v>1189</v>
      </c>
      <c r="G1264" s="1" t="s">
        <v>1190</v>
      </c>
      <c r="H1264" s="2"/>
      <c r="I1264" s="2"/>
      <c r="J1264" s="2"/>
      <c r="K1264" s="2"/>
    </row>
    <row x14ac:dyDescent="0.25" r="1265" customHeight="1" ht="17.25">
      <c r="A1265" s="1" t="s">
        <v>2665</v>
      </c>
      <c r="B1265" s="1" t="s">
        <v>2666</v>
      </c>
      <c r="C1265" s="1" t="s">
        <v>20</v>
      </c>
      <c r="D1265" s="1" t="s">
        <v>1187</v>
      </c>
      <c r="E1265" s="1" t="s">
        <v>1188</v>
      </c>
      <c r="F1265" s="1" t="s">
        <v>1189</v>
      </c>
      <c r="G1265" s="1" t="s">
        <v>1190</v>
      </c>
      <c r="H1265" s="2"/>
      <c r="I1265" s="2"/>
      <c r="J1265" s="2"/>
      <c r="K1265" s="2"/>
    </row>
    <row x14ac:dyDescent="0.25" r="1266" customHeight="1" ht="17.25">
      <c r="A1266" s="1" t="s">
        <v>2667</v>
      </c>
      <c r="B1266" s="1" t="s">
        <v>2668</v>
      </c>
      <c r="C1266" s="1" t="s">
        <v>20</v>
      </c>
      <c r="D1266" s="1" t="s">
        <v>1187</v>
      </c>
      <c r="E1266" s="1" t="s">
        <v>1188</v>
      </c>
      <c r="F1266" s="1" t="s">
        <v>1189</v>
      </c>
      <c r="G1266" s="1" t="s">
        <v>1190</v>
      </c>
      <c r="H1266" s="2"/>
      <c r="I1266" s="2"/>
      <c r="J1266" s="2"/>
      <c r="K1266" s="2"/>
    </row>
    <row x14ac:dyDescent="0.25" r="1267" customHeight="1" ht="17.25">
      <c r="A1267" s="1" t="s">
        <v>2669</v>
      </c>
      <c r="B1267" s="1" t="s">
        <v>2670</v>
      </c>
      <c r="C1267" s="1" t="s">
        <v>20</v>
      </c>
      <c r="D1267" s="1" t="s">
        <v>1187</v>
      </c>
      <c r="E1267" s="1" t="s">
        <v>1188</v>
      </c>
      <c r="F1267" s="1" t="s">
        <v>1189</v>
      </c>
      <c r="G1267" s="1" t="s">
        <v>1190</v>
      </c>
      <c r="H1267" s="2"/>
      <c r="I1267" s="2"/>
      <c r="J1267" s="2"/>
      <c r="K1267" s="2"/>
    </row>
    <row x14ac:dyDescent="0.25" r="1268" customHeight="1" ht="17.25">
      <c r="A1268" s="1" t="s">
        <v>2671</v>
      </c>
      <c r="B1268" s="1" t="s">
        <v>2672</v>
      </c>
      <c r="C1268" s="1" t="s">
        <v>20</v>
      </c>
      <c r="D1268" s="1" t="s">
        <v>1187</v>
      </c>
      <c r="E1268" s="1" t="s">
        <v>1188</v>
      </c>
      <c r="F1268" s="1" t="s">
        <v>1189</v>
      </c>
      <c r="G1268" s="1" t="s">
        <v>1190</v>
      </c>
      <c r="H1268" s="2"/>
      <c r="I1268" s="2"/>
      <c r="J1268" s="2"/>
      <c r="K1268" s="2"/>
    </row>
    <row x14ac:dyDescent="0.25" r="1269" customHeight="1" ht="17.25">
      <c r="A1269" s="1" t="s">
        <v>2673</v>
      </c>
      <c r="B1269" s="1" t="s">
        <v>2674</v>
      </c>
      <c r="C1269" s="1" t="s">
        <v>20</v>
      </c>
      <c r="D1269" s="1" t="s">
        <v>1187</v>
      </c>
      <c r="E1269" s="1" t="s">
        <v>1188</v>
      </c>
      <c r="F1269" s="1" t="s">
        <v>1189</v>
      </c>
      <c r="G1269" s="1" t="s">
        <v>1190</v>
      </c>
      <c r="H1269" s="2"/>
      <c r="I1269" s="2"/>
      <c r="J1269" s="2"/>
      <c r="K1269" s="2"/>
    </row>
    <row x14ac:dyDescent="0.25" r="1270" customHeight="1" ht="17.25">
      <c r="A1270" s="1" t="s">
        <v>2675</v>
      </c>
      <c r="B1270" s="1" t="s">
        <v>2676</v>
      </c>
      <c r="C1270" s="1" t="s">
        <v>20</v>
      </c>
      <c r="D1270" s="1" t="s">
        <v>1187</v>
      </c>
      <c r="E1270" s="1" t="s">
        <v>1188</v>
      </c>
      <c r="F1270" s="1" t="s">
        <v>1189</v>
      </c>
      <c r="G1270" s="1" t="s">
        <v>1190</v>
      </c>
      <c r="H1270" s="2"/>
      <c r="I1270" s="2"/>
      <c r="J1270" s="2"/>
      <c r="K1270" s="2"/>
    </row>
    <row x14ac:dyDescent="0.25" r="1271" customHeight="1" ht="17.25">
      <c r="A1271" s="1" t="s">
        <v>2677</v>
      </c>
      <c r="B1271" s="1" t="s">
        <v>2678</v>
      </c>
      <c r="C1271" s="1" t="s">
        <v>20</v>
      </c>
      <c r="D1271" s="1" t="s">
        <v>1187</v>
      </c>
      <c r="E1271" s="1" t="s">
        <v>1188</v>
      </c>
      <c r="F1271" s="1" t="s">
        <v>1189</v>
      </c>
      <c r="G1271" s="1" t="s">
        <v>1190</v>
      </c>
      <c r="H1271" s="2"/>
      <c r="I1271" s="2"/>
      <c r="J1271" s="2"/>
      <c r="K1271" s="2"/>
    </row>
    <row x14ac:dyDescent="0.25" r="1272" customHeight="1" ht="17.25">
      <c r="A1272" s="1" t="s">
        <v>2679</v>
      </c>
      <c r="B1272" s="1" t="s">
        <v>2680</v>
      </c>
      <c r="C1272" s="1" t="s">
        <v>20</v>
      </c>
      <c r="D1272" s="1" t="s">
        <v>1187</v>
      </c>
      <c r="E1272" s="1" t="s">
        <v>1188</v>
      </c>
      <c r="F1272" s="1" t="s">
        <v>1189</v>
      </c>
      <c r="G1272" s="1" t="s">
        <v>1190</v>
      </c>
      <c r="H1272" s="2"/>
      <c r="I1272" s="2"/>
      <c r="J1272" s="2"/>
      <c r="K1272" s="2"/>
    </row>
    <row x14ac:dyDescent="0.25" r="1273" customHeight="1" ht="17.25">
      <c r="A1273" s="1" t="s">
        <v>2681</v>
      </c>
      <c r="B1273" s="1" t="s">
        <v>2682</v>
      </c>
      <c r="C1273" s="1" t="s">
        <v>20</v>
      </c>
      <c r="D1273" s="1" t="s">
        <v>1187</v>
      </c>
      <c r="E1273" s="1" t="s">
        <v>1188</v>
      </c>
      <c r="F1273" s="1" t="s">
        <v>1189</v>
      </c>
      <c r="G1273" s="1" t="s">
        <v>1190</v>
      </c>
      <c r="H1273" s="2"/>
      <c r="I1273" s="2"/>
      <c r="J1273" s="2"/>
      <c r="K1273" s="2"/>
    </row>
    <row x14ac:dyDescent="0.25" r="1274" customHeight="1" ht="17.25">
      <c r="A1274" s="1" t="s">
        <v>2683</v>
      </c>
      <c r="B1274" s="1" t="s">
        <v>2684</v>
      </c>
      <c r="C1274" s="1" t="s">
        <v>20</v>
      </c>
      <c r="D1274" s="1" t="s">
        <v>1187</v>
      </c>
      <c r="E1274" s="1" t="s">
        <v>1188</v>
      </c>
      <c r="F1274" s="1" t="s">
        <v>1189</v>
      </c>
      <c r="G1274" s="1" t="s">
        <v>1190</v>
      </c>
      <c r="H1274" s="2"/>
      <c r="I1274" s="2"/>
      <c r="J1274" s="2"/>
      <c r="K1274" s="2"/>
    </row>
    <row x14ac:dyDescent="0.25" r="1275" customHeight="1" ht="17.25">
      <c r="A1275" s="1" t="s">
        <v>2685</v>
      </c>
      <c r="B1275" s="1" t="s">
        <v>2686</v>
      </c>
      <c r="C1275" s="1" t="s">
        <v>20</v>
      </c>
      <c r="D1275" s="1" t="s">
        <v>1187</v>
      </c>
      <c r="E1275" s="1" t="s">
        <v>1188</v>
      </c>
      <c r="F1275" s="1" t="s">
        <v>1189</v>
      </c>
      <c r="G1275" s="1" t="s">
        <v>1190</v>
      </c>
      <c r="H1275" s="2"/>
      <c r="I1275" s="2"/>
      <c r="J1275" s="2"/>
      <c r="K1275" s="2"/>
    </row>
    <row x14ac:dyDescent="0.25" r="1276" customHeight="1" ht="17.25">
      <c r="A1276" s="1" t="s">
        <v>2687</v>
      </c>
      <c r="B1276" s="1" t="s">
        <v>2688</v>
      </c>
      <c r="C1276" s="1" t="s">
        <v>20</v>
      </c>
      <c r="D1276" s="1" t="s">
        <v>1187</v>
      </c>
      <c r="E1276" s="1" t="s">
        <v>1188</v>
      </c>
      <c r="F1276" s="1" t="s">
        <v>1189</v>
      </c>
      <c r="G1276" s="1" t="s">
        <v>1190</v>
      </c>
      <c r="H1276" s="2"/>
      <c r="I1276" s="2"/>
      <c r="J1276" s="2"/>
      <c r="K1276" s="2"/>
    </row>
    <row x14ac:dyDescent="0.25" r="1277" customHeight="1" ht="17.25">
      <c r="A1277" s="1" t="s">
        <v>2689</v>
      </c>
      <c r="B1277" s="1" t="s">
        <v>2690</v>
      </c>
      <c r="C1277" s="1" t="s">
        <v>20</v>
      </c>
      <c r="D1277" s="1" t="s">
        <v>1187</v>
      </c>
      <c r="E1277" s="1" t="s">
        <v>1188</v>
      </c>
      <c r="F1277" s="1" t="s">
        <v>1189</v>
      </c>
      <c r="G1277" s="1" t="s">
        <v>1190</v>
      </c>
      <c r="H1277" s="2"/>
      <c r="I1277" s="2"/>
      <c r="J1277" s="2"/>
      <c r="K1277" s="2"/>
    </row>
    <row x14ac:dyDescent="0.25" r="1278" customHeight="1" ht="17.25">
      <c r="A1278" s="1" t="s">
        <v>2691</v>
      </c>
      <c r="B1278" s="1" t="s">
        <v>2692</v>
      </c>
      <c r="C1278" s="1" t="s">
        <v>20</v>
      </c>
      <c r="D1278" s="1" t="s">
        <v>1187</v>
      </c>
      <c r="E1278" s="1" t="s">
        <v>1188</v>
      </c>
      <c r="F1278" s="1" t="s">
        <v>1189</v>
      </c>
      <c r="G1278" s="1" t="s">
        <v>1190</v>
      </c>
      <c r="H1278" s="2"/>
      <c r="I1278" s="2"/>
      <c r="J1278" s="2"/>
      <c r="K1278" s="2"/>
    </row>
    <row x14ac:dyDescent="0.25" r="1279" customHeight="1" ht="17.25">
      <c r="A1279" s="1" t="s">
        <v>2693</v>
      </c>
      <c r="B1279" s="1" t="s">
        <v>2694</v>
      </c>
      <c r="C1279" s="1" t="s">
        <v>20</v>
      </c>
      <c r="D1279" s="1" t="s">
        <v>1187</v>
      </c>
      <c r="E1279" s="1" t="s">
        <v>1188</v>
      </c>
      <c r="F1279" s="1" t="s">
        <v>1189</v>
      </c>
      <c r="G1279" s="1" t="s">
        <v>1190</v>
      </c>
      <c r="H1279" s="2"/>
      <c r="I1279" s="2"/>
      <c r="J1279" s="2"/>
      <c r="K1279" s="2"/>
    </row>
    <row x14ac:dyDescent="0.25" r="1280" customHeight="1" ht="17.25">
      <c r="A1280" s="1" t="s">
        <v>2695</v>
      </c>
      <c r="B1280" s="1" t="s">
        <v>2696</v>
      </c>
      <c r="C1280" s="1" t="s">
        <v>20</v>
      </c>
      <c r="D1280" s="1" t="s">
        <v>1187</v>
      </c>
      <c r="E1280" s="1" t="s">
        <v>1188</v>
      </c>
      <c r="F1280" s="1" t="s">
        <v>1189</v>
      </c>
      <c r="G1280" s="1" t="s">
        <v>1190</v>
      </c>
      <c r="H1280" s="2"/>
      <c r="I1280" s="2"/>
      <c r="J1280" s="2"/>
      <c r="K1280" s="2"/>
    </row>
    <row x14ac:dyDescent="0.25" r="1281" customHeight="1" ht="17.25">
      <c r="A1281" s="1" t="s">
        <v>2697</v>
      </c>
      <c r="B1281" s="1" t="s">
        <v>2698</v>
      </c>
      <c r="C1281" s="1" t="s">
        <v>20</v>
      </c>
      <c r="D1281" s="1" t="s">
        <v>1187</v>
      </c>
      <c r="E1281" s="1" t="s">
        <v>1188</v>
      </c>
      <c r="F1281" s="1" t="s">
        <v>1189</v>
      </c>
      <c r="G1281" s="1" t="s">
        <v>1190</v>
      </c>
      <c r="H1281" s="2"/>
      <c r="I1281" s="2"/>
      <c r="J1281" s="2"/>
      <c r="K1281" s="2"/>
    </row>
    <row x14ac:dyDescent="0.25" r="1282" customHeight="1" ht="17.25">
      <c r="A1282" s="1" t="s">
        <v>2699</v>
      </c>
      <c r="B1282" s="1" t="s">
        <v>2700</v>
      </c>
      <c r="C1282" s="1" t="s">
        <v>20</v>
      </c>
      <c r="D1282" s="1" t="s">
        <v>1187</v>
      </c>
      <c r="E1282" s="1" t="s">
        <v>1188</v>
      </c>
      <c r="F1282" s="1" t="s">
        <v>1189</v>
      </c>
      <c r="G1282" s="1" t="s">
        <v>1190</v>
      </c>
      <c r="H1282" s="2"/>
      <c r="I1282" s="2"/>
      <c r="J1282" s="2"/>
      <c r="K1282" s="2"/>
    </row>
    <row x14ac:dyDescent="0.25" r="1283" customHeight="1" ht="17.25">
      <c r="A1283" s="1" t="s">
        <v>2701</v>
      </c>
      <c r="B1283" s="1" t="s">
        <v>2702</v>
      </c>
      <c r="C1283" s="1" t="s">
        <v>20</v>
      </c>
      <c r="D1283" s="1" t="s">
        <v>1187</v>
      </c>
      <c r="E1283" s="1" t="s">
        <v>1188</v>
      </c>
      <c r="F1283" s="1" t="s">
        <v>1189</v>
      </c>
      <c r="G1283" s="1" t="s">
        <v>1190</v>
      </c>
      <c r="H1283" s="2"/>
      <c r="I1283" s="2"/>
      <c r="J1283" s="2"/>
      <c r="K1283" s="2"/>
    </row>
    <row x14ac:dyDescent="0.25" r="1284" customHeight="1" ht="17.25">
      <c r="A1284" s="1" t="s">
        <v>2703</v>
      </c>
      <c r="B1284" s="1" t="s">
        <v>2704</v>
      </c>
      <c r="C1284" s="1" t="s">
        <v>20</v>
      </c>
      <c r="D1284" s="1" t="s">
        <v>1187</v>
      </c>
      <c r="E1284" s="1" t="s">
        <v>1188</v>
      </c>
      <c r="F1284" s="1" t="s">
        <v>1189</v>
      </c>
      <c r="G1284" s="1" t="s">
        <v>1190</v>
      </c>
      <c r="H1284" s="2"/>
      <c r="I1284" s="2"/>
      <c r="J1284" s="2"/>
      <c r="K1284" s="2"/>
    </row>
    <row x14ac:dyDescent="0.25" r="1285" customHeight="1" ht="17.25">
      <c r="A1285" s="1" t="s">
        <v>2705</v>
      </c>
      <c r="B1285" s="1" t="s">
        <v>2706</v>
      </c>
      <c r="C1285" s="1" t="s">
        <v>20</v>
      </c>
      <c r="D1285" s="1" t="s">
        <v>1187</v>
      </c>
      <c r="E1285" s="1" t="s">
        <v>1188</v>
      </c>
      <c r="F1285" s="1" t="s">
        <v>1189</v>
      </c>
      <c r="G1285" s="1" t="s">
        <v>1190</v>
      </c>
      <c r="H1285" s="2"/>
      <c r="I1285" s="2"/>
      <c r="J1285" s="2"/>
      <c r="K1285" s="2"/>
    </row>
    <row x14ac:dyDescent="0.25" r="1286" customHeight="1" ht="17.25">
      <c r="A1286" s="1" t="s">
        <v>2707</v>
      </c>
      <c r="B1286" s="1" t="s">
        <v>2708</v>
      </c>
      <c r="C1286" s="1" t="s">
        <v>20</v>
      </c>
      <c r="D1286" s="1" t="s">
        <v>1187</v>
      </c>
      <c r="E1286" s="1" t="s">
        <v>1188</v>
      </c>
      <c r="F1286" s="1" t="s">
        <v>1189</v>
      </c>
      <c r="G1286" s="1" t="s">
        <v>1190</v>
      </c>
      <c r="H1286" s="2"/>
      <c r="I1286" s="2"/>
      <c r="J1286" s="2"/>
      <c r="K1286" s="2"/>
    </row>
    <row x14ac:dyDescent="0.25" r="1287" customHeight="1" ht="17.25">
      <c r="A1287" s="1" t="s">
        <v>2709</v>
      </c>
      <c r="B1287" s="1" t="s">
        <v>2710</v>
      </c>
      <c r="C1287" s="1" t="s">
        <v>20</v>
      </c>
      <c r="D1287" s="1" t="s">
        <v>1187</v>
      </c>
      <c r="E1287" s="1" t="s">
        <v>1188</v>
      </c>
      <c r="F1287" s="1" t="s">
        <v>1189</v>
      </c>
      <c r="G1287" s="1" t="s">
        <v>1190</v>
      </c>
      <c r="H1287" s="2"/>
      <c r="I1287" s="2"/>
      <c r="J1287" s="2"/>
      <c r="K1287" s="2"/>
    </row>
    <row x14ac:dyDescent="0.25" r="1288" customHeight="1" ht="17.25">
      <c r="A1288" s="1" t="s">
        <v>2711</v>
      </c>
      <c r="B1288" s="1" t="s">
        <v>2712</v>
      </c>
      <c r="C1288" s="1" t="s">
        <v>20</v>
      </c>
      <c r="D1288" s="1" t="s">
        <v>1187</v>
      </c>
      <c r="E1288" s="1" t="s">
        <v>1188</v>
      </c>
      <c r="F1288" s="1" t="s">
        <v>1189</v>
      </c>
      <c r="G1288" s="1" t="s">
        <v>1190</v>
      </c>
      <c r="H1288" s="2"/>
      <c r="I1288" s="2"/>
      <c r="J1288" s="2"/>
      <c r="K1288" s="2"/>
    </row>
    <row x14ac:dyDescent="0.25" r="1289" customHeight="1" ht="17.25">
      <c r="A1289" s="1" t="s">
        <v>2713</v>
      </c>
      <c r="B1289" s="1" t="s">
        <v>2714</v>
      </c>
      <c r="C1289" s="1" t="s">
        <v>20</v>
      </c>
      <c r="D1289" s="1" t="s">
        <v>1187</v>
      </c>
      <c r="E1289" s="1" t="s">
        <v>1188</v>
      </c>
      <c r="F1289" s="1" t="s">
        <v>1189</v>
      </c>
      <c r="G1289" s="1" t="s">
        <v>1190</v>
      </c>
      <c r="H1289" s="2"/>
      <c r="I1289" s="2"/>
      <c r="J1289" s="2"/>
      <c r="K1289" s="2"/>
    </row>
    <row x14ac:dyDescent="0.25" r="1290" customHeight="1" ht="17.25">
      <c r="A1290" s="1" t="s">
        <v>2715</v>
      </c>
      <c r="B1290" s="1" t="s">
        <v>2716</v>
      </c>
      <c r="C1290" s="1" t="s">
        <v>20</v>
      </c>
      <c r="D1290" s="1" t="s">
        <v>1187</v>
      </c>
      <c r="E1290" s="1" t="s">
        <v>1188</v>
      </c>
      <c r="F1290" s="1" t="s">
        <v>1189</v>
      </c>
      <c r="G1290" s="1" t="s">
        <v>1190</v>
      </c>
      <c r="H1290" s="2"/>
      <c r="I1290" s="2"/>
      <c r="J1290" s="2"/>
      <c r="K1290" s="2"/>
    </row>
    <row x14ac:dyDescent="0.25" r="1291" customHeight="1" ht="17.25">
      <c r="A1291" s="1" t="s">
        <v>2717</v>
      </c>
      <c r="B1291" s="1" t="s">
        <v>2718</v>
      </c>
      <c r="C1291" s="1" t="s">
        <v>20</v>
      </c>
      <c r="D1291" s="1" t="s">
        <v>1187</v>
      </c>
      <c r="E1291" s="1" t="s">
        <v>1188</v>
      </c>
      <c r="F1291" s="1" t="s">
        <v>1189</v>
      </c>
      <c r="G1291" s="1" t="s">
        <v>1190</v>
      </c>
      <c r="H1291" s="2"/>
      <c r="I1291" s="2"/>
      <c r="J1291" s="2"/>
      <c r="K1291" s="2"/>
    </row>
    <row x14ac:dyDescent="0.25" r="1292" customHeight="1" ht="17.25">
      <c r="A1292" s="1" t="s">
        <v>2719</v>
      </c>
      <c r="B1292" s="1" t="s">
        <v>2720</v>
      </c>
      <c r="C1292" s="1" t="s">
        <v>20</v>
      </c>
      <c r="D1292" s="1" t="s">
        <v>1187</v>
      </c>
      <c r="E1292" s="1" t="s">
        <v>1188</v>
      </c>
      <c r="F1292" s="1" t="s">
        <v>1189</v>
      </c>
      <c r="G1292" s="1" t="s">
        <v>1190</v>
      </c>
      <c r="H1292" s="2"/>
      <c r="I1292" s="2"/>
      <c r="J1292" s="2"/>
      <c r="K1292" s="2"/>
    </row>
    <row x14ac:dyDescent="0.25" r="1293" customHeight="1" ht="17.25">
      <c r="A1293" s="1" t="s">
        <v>2721</v>
      </c>
      <c r="B1293" s="1" t="s">
        <v>2722</v>
      </c>
      <c r="C1293" s="1" t="s">
        <v>20</v>
      </c>
      <c r="D1293" s="1" t="s">
        <v>1187</v>
      </c>
      <c r="E1293" s="1" t="s">
        <v>1188</v>
      </c>
      <c r="F1293" s="1" t="s">
        <v>1189</v>
      </c>
      <c r="G1293" s="1" t="s">
        <v>1190</v>
      </c>
      <c r="H1293" s="2"/>
      <c r="I1293" s="2"/>
      <c r="J1293" s="2"/>
      <c r="K1293" s="2"/>
    </row>
    <row x14ac:dyDescent="0.25" r="1294" customHeight="1" ht="17.25">
      <c r="A1294" s="1" t="s">
        <v>2723</v>
      </c>
      <c r="B1294" s="1" t="s">
        <v>2724</v>
      </c>
      <c r="C1294" s="1" t="s">
        <v>20</v>
      </c>
      <c r="D1294" s="1" t="s">
        <v>1187</v>
      </c>
      <c r="E1294" s="1" t="s">
        <v>1188</v>
      </c>
      <c r="F1294" s="1" t="s">
        <v>1189</v>
      </c>
      <c r="G1294" s="1" t="s">
        <v>1190</v>
      </c>
      <c r="H1294" s="2"/>
      <c r="I1294" s="2"/>
      <c r="J1294" s="2"/>
      <c r="K1294" s="2"/>
    </row>
    <row x14ac:dyDescent="0.25" r="1295" customHeight="1" ht="17.25">
      <c r="A1295" s="1" t="s">
        <v>2725</v>
      </c>
      <c r="B1295" s="1" t="s">
        <v>2726</v>
      </c>
      <c r="C1295" s="1" t="s">
        <v>20</v>
      </c>
      <c r="D1295" s="1" t="s">
        <v>1187</v>
      </c>
      <c r="E1295" s="1" t="s">
        <v>1188</v>
      </c>
      <c r="F1295" s="1" t="s">
        <v>1189</v>
      </c>
      <c r="G1295" s="1" t="s">
        <v>1190</v>
      </c>
      <c r="H1295" s="2"/>
      <c r="I1295" s="2"/>
      <c r="J1295" s="2"/>
      <c r="K1295" s="2"/>
    </row>
    <row x14ac:dyDescent="0.25" r="1296" customHeight="1" ht="17.25">
      <c r="A1296" s="1" t="s">
        <v>2727</v>
      </c>
      <c r="B1296" s="1" t="s">
        <v>2728</v>
      </c>
      <c r="C1296" s="1" t="s">
        <v>20</v>
      </c>
      <c r="D1296" s="1" t="s">
        <v>1187</v>
      </c>
      <c r="E1296" s="1" t="s">
        <v>1188</v>
      </c>
      <c r="F1296" s="1" t="s">
        <v>1189</v>
      </c>
      <c r="G1296" s="1" t="s">
        <v>1190</v>
      </c>
      <c r="H1296" s="2"/>
      <c r="I1296" s="2"/>
      <c r="J1296" s="2"/>
      <c r="K1296" s="2"/>
    </row>
    <row x14ac:dyDescent="0.25" r="1297" customHeight="1" ht="17.25">
      <c r="A1297" s="1" t="s">
        <v>2729</v>
      </c>
      <c r="B1297" s="1" t="s">
        <v>2730</v>
      </c>
      <c r="C1297" s="1" t="s">
        <v>20</v>
      </c>
      <c r="D1297" s="1" t="s">
        <v>1187</v>
      </c>
      <c r="E1297" s="1" t="s">
        <v>1188</v>
      </c>
      <c r="F1297" s="1" t="s">
        <v>1189</v>
      </c>
      <c r="G1297" s="1" t="s">
        <v>1190</v>
      </c>
      <c r="H1297" s="2"/>
      <c r="I1297" s="2"/>
      <c r="J1297" s="2"/>
      <c r="K1297" s="2"/>
    </row>
    <row x14ac:dyDescent="0.25" r="1298" customHeight="1" ht="17.25">
      <c r="A1298" s="1" t="s">
        <v>2731</v>
      </c>
      <c r="B1298" s="1" t="s">
        <v>2732</v>
      </c>
      <c r="C1298" s="1" t="s">
        <v>20</v>
      </c>
      <c r="D1298" s="1" t="s">
        <v>1187</v>
      </c>
      <c r="E1298" s="1" t="s">
        <v>1188</v>
      </c>
      <c r="F1298" s="1" t="s">
        <v>1189</v>
      </c>
      <c r="G1298" s="1" t="s">
        <v>1190</v>
      </c>
      <c r="H1298" s="2"/>
      <c r="I1298" s="2"/>
      <c r="J1298" s="2"/>
      <c r="K1298" s="2"/>
    </row>
    <row x14ac:dyDescent="0.25" r="1299" customHeight="1" ht="17.25">
      <c r="A1299" s="1" t="s">
        <v>2733</v>
      </c>
      <c r="B1299" s="1" t="s">
        <v>2734</v>
      </c>
      <c r="C1299" s="1" t="s">
        <v>20</v>
      </c>
      <c r="D1299" s="1" t="s">
        <v>1187</v>
      </c>
      <c r="E1299" s="1" t="s">
        <v>1188</v>
      </c>
      <c r="F1299" s="1" t="s">
        <v>1189</v>
      </c>
      <c r="G1299" s="1" t="s">
        <v>1190</v>
      </c>
      <c r="H1299" s="2"/>
      <c r="I1299" s="2"/>
      <c r="J1299" s="2"/>
      <c r="K1299" s="2"/>
    </row>
    <row x14ac:dyDescent="0.25" r="1300" customHeight="1" ht="17.25">
      <c r="A1300" s="1" t="s">
        <v>2735</v>
      </c>
      <c r="B1300" s="1" t="s">
        <v>2736</v>
      </c>
      <c r="C1300" s="1" t="s">
        <v>20</v>
      </c>
      <c r="D1300" s="1" t="s">
        <v>1187</v>
      </c>
      <c r="E1300" s="1" t="s">
        <v>1188</v>
      </c>
      <c r="F1300" s="1" t="s">
        <v>1189</v>
      </c>
      <c r="G1300" s="1" t="s">
        <v>1190</v>
      </c>
      <c r="H1300" s="2"/>
      <c r="I1300" s="2"/>
      <c r="J1300" s="2"/>
      <c r="K1300" s="2"/>
    </row>
    <row x14ac:dyDescent="0.25" r="1301" customHeight="1" ht="17.25">
      <c r="A1301" s="1" t="s">
        <v>2737</v>
      </c>
      <c r="B1301" s="1" t="s">
        <v>2738</v>
      </c>
      <c r="C1301" s="1" t="s">
        <v>20</v>
      </c>
      <c r="D1301" s="1" t="s">
        <v>1187</v>
      </c>
      <c r="E1301" s="1" t="s">
        <v>1188</v>
      </c>
      <c r="F1301" s="1" t="s">
        <v>1189</v>
      </c>
      <c r="G1301" s="1" t="s">
        <v>1190</v>
      </c>
      <c r="H1301" s="2"/>
      <c r="I1301" s="2"/>
      <c r="J1301" s="2"/>
      <c r="K1301" s="2"/>
    </row>
    <row x14ac:dyDescent="0.25" r="1302" customHeight="1" ht="17.25">
      <c r="A1302" s="1" t="s">
        <v>2739</v>
      </c>
      <c r="B1302" s="1" t="s">
        <v>2740</v>
      </c>
      <c r="C1302" s="1" t="s">
        <v>20</v>
      </c>
      <c r="D1302" s="1" t="s">
        <v>1187</v>
      </c>
      <c r="E1302" s="1" t="s">
        <v>1188</v>
      </c>
      <c r="F1302" s="1" t="s">
        <v>1189</v>
      </c>
      <c r="G1302" s="1" t="s">
        <v>1190</v>
      </c>
      <c r="H1302" s="2"/>
      <c r="I1302" s="2"/>
      <c r="J1302" s="2"/>
      <c r="K1302" s="2"/>
    </row>
    <row x14ac:dyDescent="0.25" r="1303" customHeight="1" ht="17.25">
      <c r="A1303" s="1" t="s">
        <v>2741</v>
      </c>
      <c r="B1303" s="1" t="s">
        <v>2742</v>
      </c>
      <c r="C1303" s="1" t="s">
        <v>20</v>
      </c>
      <c r="D1303" s="1" t="s">
        <v>1187</v>
      </c>
      <c r="E1303" s="1" t="s">
        <v>1188</v>
      </c>
      <c r="F1303" s="1" t="s">
        <v>1189</v>
      </c>
      <c r="G1303" s="1" t="s">
        <v>1190</v>
      </c>
      <c r="H1303" s="2"/>
      <c r="I1303" s="2"/>
      <c r="J1303" s="2"/>
      <c r="K1303" s="2"/>
    </row>
    <row x14ac:dyDescent="0.25" r="1304" customHeight="1" ht="17.25">
      <c r="A1304" s="1" t="s">
        <v>2743</v>
      </c>
      <c r="B1304" s="1" t="s">
        <v>2744</v>
      </c>
      <c r="C1304" s="1" t="s">
        <v>20</v>
      </c>
      <c r="D1304" s="1" t="s">
        <v>1187</v>
      </c>
      <c r="E1304" s="1" t="s">
        <v>1188</v>
      </c>
      <c r="F1304" s="1" t="s">
        <v>1189</v>
      </c>
      <c r="G1304" s="1" t="s">
        <v>1190</v>
      </c>
      <c r="H1304" s="2"/>
      <c r="I1304" s="2"/>
      <c r="J1304" s="2"/>
      <c r="K1304" s="2"/>
    </row>
    <row x14ac:dyDescent="0.25" r="1305" customHeight="1" ht="17.25">
      <c r="A1305" s="1" t="s">
        <v>2745</v>
      </c>
      <c r="B1305" s="1" t="s">
        <v>2746</v>
      </c>
      <c r="C1305" s="1" t="s">
        <v>20</v>
      </c>
      <c r="D1305" s="1" t="s">
        <v>1187</v>
      </c>
      <c r="E1305" s="1" t="s">
        <v>1188</v>
      </c>
      <c r="F1305" s="1" t="s">
        <v>1189</v>
      </c>
      <c r="G1305" s="1" t="s">
        <v>1190</v>
      </c>
      <c r="H1305" s="2"/>
      <c r="I1305" s="2"/>
      <c r="J1305" s="2"/>
      <c r="K1305" s="2"/>
    </row>
    <row x14ac:dyDescent="0.25" r="1306" customHeight="1" ht="17.25">
      <c r="A1306" s="1" t="s">
        <v>2747</v>
      </c>
      <c r="B1306" s="1" t="s">
        <v>2748</v>
      </c>
      <c r="C1306" s="1" t="s">
        <v>20</v>
      </c>
      <c r="D1306" s="1" t="s">
        <v>1187</v>
      </c>
      <c r="E1306" s="1" t="s">
        <v>1188</v>
      </c>
      <c r="F1306" s="1" t="s">
        <v>1189</v>
      </c>
      <c r="G1306" s="1" t="s">
        <v>1190</v>
      </c>
      <c r="H1306" s="2"/>
      <c r="I1306" s="2"/>
      <c r="J1306" s="2"/>
      <c r="K1306" s="2"/>
    </row>
    <row x14ac:dyDescent="0.25" r="1307" customHeight="1" ht="17.25">
      <c r="A1307" s="1" t="s">
        <v>2749</v>
      </c>
      <c r="B1307" s="1" t="s">
        <v>2750</v>
      </c>
      <c r="C1307" s="1" t="s">
        <v>20</v>
      </c>
      <c r="D1307" s="1" t="s">
        <v>1187</v>
      </c>
      <c r="E1307" s="1" t="s">
        <v>1188</v>
      </c>
      <c r="F1307" s="1" t="s">
        <v>1189</v>
      </c>
      <c r="G1307" s="1" t="s">
        <v>1190</v>
      </c>
      <c r="H1307" s="2"/>
      <c r="I1307" s="2"/>
      <c r="J1307" s="2"/>
      <c r="K1307" s="2"/>
    </row>
    <row x14ac:dyDescent="0.25" r="1308" customHeight="1" ht="17.25">
      <c r="A1308" s="1" t="s">
        <v>2751</v>
      </c>
      <c r="B1308" s="1" t="s">
        <v>2752</v>
      </c>
      <c r="C1308" s="1" t="s">
        <v>20</v>
      </c>
      <c r="D1308" s="1" t="s">
        <v>1187</v>
      </c>
      <c r="E1308" s="1" t="s">
        <v>1188</v>
      </c>
      <c r="F1308" s="1" t="s">
        <v>1189</v>
      </c>
      <c r="G1308" s="1" t="s">
        <v>1190</v>
      </c>
      <c r="H1308" s="2"/>
      <c r="I1308" s="2"/>
      <c r="J1308" s="2"/>
      <c r="K1308" s="2"/>
    </row>
    <row x14ac:dyDescent="0.25" r="1309" customHeight="1" ht="17.25">
      <c r="A1309" s="1" t="s">
        <v>2753</v>
      </c>
      <c r="B1309" s="1" t="s">
        <v>2754</v>
      </c>
      <c r="C1309" s="1" t="s">
        <v>20</v>
      </c>
      <c r="D1309" s="1" t="s">
        <v>1187</v>
      </c>
      <c r="E1309" s="1" t="s">
        <v>1188</v>
      </c>
      <c r="F1309" s="1" t="s">
        <v>1189</v>
      </c>
      <c r="G1309" s="1" t="s">
        <v>1190</v>
      </c>
      <c r="H1309" s="2"/>
      <c r="I1309" s="2"/>
      <c r="J1309" s="2"/>
      <c r="K1309" s="2"/>
    </row>
    <row x14ac:dyDescent="0.25" r="1310" customHeight="1" ht="17.25">
      <c r="A1310" s="1" t="s">
        <v>2755</v>
      </c>
      <c r="B1310" s="1" t="s">
        <v>2756</v>
      </c>
      <c r="C1310" s="1" t="s">
        <v>20</v>
      </c>
      <c r="D1310" s="1" t="s">
        <v>1187</v>
      </c>
      <c r="E1310" s="1" t="s">
        <v>1188</v>
      </c>
      <c r="F1310" s="1" t="s">
        <v>1189</v>
      </c>
      <c r="G1310" s="1" t="s">
        <v>1190</v>
      </c>
      <c r="H1310" s="2"/>
      <c r="I1310" s="2"/>
      <c r="J1310" s="2"/>
      <c r="K1310" s="2"/>
    </row>
    <row x14ac:dyDescent="0.25" r="1311" customHeight="1" ht="17.25">
      <c r="A1311" s="1" t="s">
        <v>2757</v>
      </c>
      <c r="B1311" s="1" t="s">
        <v>2758</v>
      </c>
      <c r="C1311" s="1" t="s">
        <v>20</v>
      </c>
      <c r="D1311" s="1" t="s">
        <v>1187</v>
      </c>
      <c r="E1311" s="1" t="s">
        <v>1188</v>
      </c>
      <c r="F1311" s="1" t="s">
        <v>1189</v>
      </c>
      <c r="G1311" s="1" t="s">
        <v>1190</v>
      </c>
      <c r="H1311" s="2"/>
      <c r="I1311" s="2"/>
      <c r="J1311" s="2"/>
      <c r="K1311" s="2"/>
    </row>
    <row x14ac:dyDescent="0.25" r="1312" customHeight="1" ht="17.25">
      <c r="A1312" s="1" t="s">
        <v>2759</v>
      </c>
      <c r="B1312" s="1" t="s">
        <v>2760</v>
      </c>
      <c r="C1312" s="1" t="s">
        <v>20</v>
      </c>
      <c r="D1312" s="1" t="s">
        <v>1187</v>
      </c>
      <c r="E1312" s="1" t="s">
        <v>1188</v>
      </c>
      <c r="F1312" s="1" t="s">
        <v>1189</v>
      </c>
      <c r="G1312" s="1" t="s">
        <v>1190</v>
      </c>
      <c r="H1312" s="2"/>
      <c r="I1312" s="2"/>
      <c r="J1312" s="2"/>
      <c r="K1312" s="2"/>
    </row>
    <row x14ac:dyDescent="0.25" r="1313" customHeight="1" ht="17.25">
      <c r="A1313" s="1" t="s">
        <v>2761</v>
      </c>
      <c r="B1313" s="1" t="s">
        <v>2762</v>
      </c>
      <c r="C1313" s="1" t="s">
        <v>20</v>
      </c>
      <c r="D1313" s="1" t="s">
        <v>1187</v>
      </c>
      <c r="E1313" s="1" t="s">
        <v>1188</v>
      </c>
      <c r="F1313" s="1" t="s">
        <v>1189</v>
      </c>
      <c r="G1313" s="1" t="s">
        <v>1190</v>
      </c>
      <c r="H1313" s="2"/>
      <c r="I1313" s="2"/>
      <c r="J1313" s="2"/>
      <c r="K1313" s="2"/>
    </row>
    <row x14ac:dyDescent="0.25" r="1314" customHeight="1" ht="17.25">
      <c r="A1314" s="1" t="s">
        <v>2763</v>
      </c>
      <c r="B1314" s="1" t="s">
        <v>2764</v>
      </c>
      <c r="C1314" s="1" t="s">
        <v>20</v>
      </c>
      <c r="D1314" s="1" t="s">
        <v>1187</v>
      </c>
      <c r="E1314" s="1" t="s">
        <v>1188</v>
      </c>
      <c r="F1314" s="1" t="s">
        <v>1189</v>
      </c>
      <c r="G1314" s="1" t="s">
        <v>1190</v>
      </c>
      <c r="H1314" s="2"/>
      <c r="I1314" s="2"/>
      <c r="J1314" s="2"/>
      <c r="K1314" s="2"/>
    </row>
    <row x14ac:dyDescent="0.25" r="1315" customHeight="1" ht="17.25">
      <c r="A1315" s="1" t="s">
        <v>2765</v>
      </c>
      <c r="B1315" s="1" t="s">
        <v>2766</v>
      </c>
      <c r="C1315" s="1" t="s">
        <v>20</v>
      </c>
      <c r="D1315" s="1" t="s">
        <v>1187</v>
      </c>
      <c r="E1315" s="1" t="s">
        <v>1188</v>
      </c>
      <c r="F1315" s="1" t="s">
        <v>1189</v>
      </c>
      <c r="G1315" s="1" t="s">
        <v>1190</v>
      </c>
      <c r="H1315" s="2"/>
      <c r="I1315" s="2"/>
      <c r="J1315" s="2"/>
      <c r="K1315" s="2"/>
    </row>
    <row x14ac:dyDescent="0.25" r="1316" customHeight="1" ht="17.25">
      <c r="A1316" s="1" t="s">
        <v>2767</v>
      </c>
      <c r="B1316" s="1" t="s">
        <v>2768</v>
      </c>
      <c r="C1316" s="1" t="s">
        <v>20</v>
      </c>
      <c r="D1316" s="1" t="s">
        <v>1187</v>
      </c>
      <c r="E1316" s="1" t="s">
        <v>1188</v>
      </c>
      <c r="F1316" s="1" t="s">
        <v>1189</v>
      </c>
      <c r="G1316" s="1" t="s">
        <v>1190</v>
      </c>
      <c r="H1316" s="2"/>
      <c r="I1316" s="2"/>
      <c r="J1316" s="2"/>
      <c r="K1316" s="2"/>
    </row>
    <row x14ac:dyDescent="0.25" r="1317" customHeight="1" ht="17.25">
      <c r="A1317" s="1" t="s">
        <v>2769</v>
      </c>
      <c r="B1317" s="1" t="s">
        <v>2770</v>
      </c>
      <c r="C1317" s="1" t="s">
        <v>20</v>
      </c>
      <c r="D1317" s="1" t="s">
        <v>1187</v>
      </c>
      <c r="E1317" s="1" t="s">
        <v>1188</v>
      </c>
      <c r="F1317" s="1" t="s">
        <v>1189</v>
      </c>
      <c r="G1317" s="1" t="s">
        <v>1190</v>
      </c>
      <c r="H1317" s="2"/>
      <c r="I1317" s="2"/>
      <c r="J1317" s="2"/>
      <c r="K1317" s="2"/>
    </row>
    <row x14ac:dyDescent="0.25" r="1318" customHeight="1" ht="17.25">
      <c r="A1318" s="1" t="s">
        <v>2771</v>
      </c>
      <c r="B1318" s="1" t="s">
        <v>2772</v>
      </c>
      <c r="C1318" s="1" t="s">
        <v>20</v>
      </c>
      <c r="D1318" s="1" t="s">
        <v>1187</v>
      </c>
      <c r="E1318" s="1" t="s">
        <v>1188</v>
      </c>
      <c r="F1318" s="1" t="s">
        <v>1189</v>
      </c>
      <c r="G1318" s="1" t="s">
        <v>1190</v>
      </c>
      <c r="H1318" s="2"/>
      <c r="I1318" s="2"/>
      <c r="J1318" s="2"/>
      <c r="K1318" s="2"/>
    </row>
    <row x14ac:dyDescent="0.25" r="1319" customHeight="1" ht="17.25">
      <c r="A1319" s="1" t="s">
        <v>2773</v>
      </c>
      <c r="B1319" s="1" t="s">
        <v>2774</v>
      </c>
      <c r="C1319" s="1" t="s">
        <v>20</v>
      </c>
      <c r="D1319" s="1" t="s">
        <v>1187</v>
      </c>
      <c r="E1319" s="1" t="s">
        <v>1188</v>
      </c>
      <c r="F1319" s="1" t="s">
        <v>1189</v>
      </c>
      <c r="G1319" s="1" t="s">
        <v>1190</v>
      </c>
      <c r="H1319" s="2"/>
      <c r="I1319" s="2"/>
      <c r="J1319" s="2"/>
      <c r="K1319" s="2"/>
    </row>
    <row x14ac:dyDescent="0.25" r="1320" customHeight="1" ht="17.25">
      <c r="A1320" s="1" t="s">
        <v>2775</v>
      </c>
      <c r="B1320" s="1" t="s">
        <v>2776</v>
      </c>
      <c r="C1320" s="1" t="s">
        <v>20</v>
      </c>
      <c r="D1320" s="1" t="s">
        <v>1187</v>
      </c>
      <c r="E1320" s="1" t="s">
        <v>1188</v>
      </c>
      <c r="F1320" s="1" t="s">
        <v>1189</v>
      </c>
      <c r="G1320" s="1" t="s">
        <v>1190</v>
      </c>
      <c r="H1320" s="2"/>
      <c r="I1320" s="2"/>
      <c r="J1320" s="2"/>
      <c r="K1320" s="2"/>
    </row>
    <row x14ac:dyDescent="0.25" r="1321" customHeight="1" ht="17.25">
      <c r="A1321" s="1" t="s">
        <v>2777</v>
      </c>
      <c r="B1321" s="1" t="s">
        <v>2778</v>
      </c>
      <c r="C1321" s="1" t="s">
        <v>20</v>
      </c>
      <c r="D1321" s="1" t="s">
        <v>1187</v>
      </c>
      <c r="E1321" s="1" t="s">
        <v>1188</v>
      </c>
      <c r="F1321" s="1" t="s">
        <v>1189</v>
      </c>
      <c r="G1321" s="1" t="s">
        <v>1190</v>
      </c>
      <c r="H1321" s="2"/>
      <c r="I1321" s="2"/>
      <c r="J1321" s="2"/>
      <c r="K1321" s="2"/>
    </row>
    <row x14ac:dyDescent="0.25" r="1322" customHeight="1" ht="17.25">
      <c r="A1322" s="1" t="s">
        <v>2779</v>
      </c>
      <c r="B1322" s="1" t="s">
        <v>2780</v>
      </c>
      <c r="C1322" s="1" t="s">
        <v>20</v>
      </c>
      <c r="D1322" s="1" t="s">
        <v>1187</v>
      </c>
      <c r="E1322" s="1" t="s">
        <v>1188</v>
      </c>
      <c r="F1322" s="1" t="s">
        <v>1189</v>
      </c>
      <c r="G1322" s="1" t="s">
        <v>1190</v>
      </c>
      <c r="H1322" s="2"/>
      <c r="I1322" s="2"/>
      <c r="J1322" s="2"/>
      <c r="K1322" s="2"/>
    </row>
    <row x14ac:dyDescent="0.25" r="1323" customHeight="1" ht="17.25">
      <c r="A1323" s="1" t="s">
        <v>2781</v>
      </c>
      <c r="B1323" s="1" t="s">
        <v>2782</v>
      </c>
      <c r="C1323" s="1" t="s">
        <v>20</v>
      </c>
      <c r="D1323" s="1" t="s">
        <v>1187</v>
      </c>
      <c r="E1323" s="1" t="s">
        <v>1188</v>
      </c>
      <c r="F1323" s="1" t="s">
        <v>1189</v>
      </c>
      <c r="G1323" s="1" t="s">
        <v>1190</v>
      </c>
      <c r="H1323" s="2"/>
      <c r="I1323" s="2"/>
      <c r="J1323" s="2"/>
      <c r="K1323" s="2"/>
    </row>
    <row x14ac:dyDescent="0.25" r="1324" customHeight="1" ht="17.25">
      <c r="A1324" s="1" t="s">
        <v>2783</v>
      </c>
      <c r="B1324" s="1" t="s">
        <v>2784</v>
      </c>
      <c r="C1324" s="1" t="s">
        <v>20</v>
      </c>
      <c r="D1324" s="1" t="s">
        <v>1187</v>
      </c>
      <c r="E1324" s="1" t="s">
        <v>1188</v>
      </c>
      <c r="F1324" s="1" t="s">
        <v>1189</v>
      </c>
      <c r="G1324" s="1" t="s">
        <v>1190</v>
      </c>
      <c r="H1324" s="2"/>
      <c r="I1324" s="2"/>
      <c r="J1324" s="2"/>
      <c r="K1324" s="2"/>
    </row>
    <row x14ac:dyDescent="0.25" r="1325" customHeight="1" ht="17.25">
      <c r="A1325" s="1" t="s">
        <v>2785</v>
      </c>
      <c r="B1325" s="1" t="s">
        <v>2786</v>
      </c>
      <c r="C1325" s="1" t="s">
        <v>20</v>
      </c>
      <c r="D1325" s="1" t="s">
        <v>1187</v>
      </c>
      <c r="E1325" s="1" t="s">
        <v>1188</v>
      </c>
      <c r="F1325" s="1" t="s">
        <v>1189</v>
      </c>
      <c r="G1325" s="1" t="s">
        <v>1190</v>
      </c>
      <c r="H1325" s="2"/>
      <c r="I1325" s="2"/>
      <c r="J1325" s="2"/>
      <c r="K1325" s="2"/>
    </row>
    <row x14ac:dyDescent="0.25" r="1326" customHeight="1" ht="17.25">
      <c r="A1326" s="1" t="s">
        <v>2787</v>
      </c>
      <c r="B1326" s="1" t="s">
        <v>2788</v>
      </c>
      <c r="C1326" s="1" t="s">
        <v>20</v>
      </c>
      <c r="D1326" s="1" t="s">
        <v>1187</v>
      </c>
      <c r="E1326" s="1" t="s">
        <v>1188</v>
      </c>
      <c r="F1326" s="1" t="s">
        <v>1189</v>
      </c>
      <c r="G1326" s="1" t="s">
        <v>1190</v>
      </c>
      <c r="H1326" s="2"/>
      <c r="I1326" s="2"/>
      <c r="J1326" s="2"/>
      <c r="K1326" s="2"/>
    </row>
    <row x14ac:dyDescent="0.25" r="1327" customHeight="1" ht="17.25">
      <c r="A1327" s="1" t="s">
        <v>2789</v>
      </c>
      <c r="B1327" s="1" t="s">
        <v>2790</v>
      </c>
      <c r="C1327" s="1" t="s">
        <v>20</v>
      </c>
      <c r="D1327" s="1" t="s">
        <v>1187</v>
      </c>
      <c r="E1327" s="1" t="s">
        <v>1188</v>
      </c>
      <c r="F1327" s="1" t="s">
        <v>1189</v>
      </c>
      <c r="G1327" s="1" t="s">
        <v>1190</v>
      </c>
      <c r="H1327" s="2"/>
      <c r="I1327" s="2"/>
      <c r="J1327" s="2"/>
      <c r="K1327" s="2"/>
    </row>
    <row x14ac:dyDescent="0.25" r="1328" customHeight="1" ht="17.25">
      <c r="A1328" s="1" t="s">
        <v>2791</v>
      </c>
      <c r="B1328" s="1" t="s">
        <v>2792</v>
      </c>
      <c r="C1328" s="1" t="s">
        <v>20</v>
      </c>
      <c r="D1328" s="1" t="s">
        <v>1187</v>
      </c>
      <c r="E1328" s="1" t="s">
        <v>1188</v>
      </c>
      <c r="F1328" s="1" t="s">
        <v>1189</v>
      </c>
      <c r="G1328" s="1" t="s">
        <v>1190</v>
      </c>
      <c r="H1328" s="2"/>
      <c r="I1328" s="2"/>
      <c r="J1328" s="2"/>
      <c r="K1328" s="2"/>
    </row>
    <row x14ac:dyDescent="0.25" r="1329" customHeight="1" ht="17.25">
      <c r="A1329" s="1" t="s">
        <v>2793</v>
      </c>
      <c r="B1329" s="1" t="s">
        <v>2794</v>
      </c>
      <c r="C1329" s="1" t="s">
        <v>20</v>
      </c>
      <c r="D1329" s="1" t="s">
        <v>1187</v>
      </c>
      <c r="E1329" s="1" t="s">
        <v>1188</v>
      </c>
      <c r="F1329" s="1" t="s">
        <v>1189</v>
      </c>
      <c r="G1329" s="1" t="s">
        <v>1190</v>
      </c>
      <c r="H1329" s="2"/>
      <c r="I1329" s="2"/>
      <c r="J1329" s="2"/>
      <c r="K1329" s="2"/>
    </row>
    <row x14ac:dyDescent="0.25" r="1330" customHeight="1" ht="17.25">
      <c r="A1330" s="1" t="s">
        <v>2795</v>
      </c>
      <c r="B1330" s="1" t="s">
        <v>2796</v>
      </c>
      <c r="C1330" s="1" t="s">
        <v>20</v>
      </c>
      <c r="D1330" s="1" t="s">
        <v>1187</v>
      </c>
      <c r="E1330" s="1" t="s">
        <v>1188</v>
      </c>
      <c r="F1330" s="1" t="s">
        <v>1189</v>
      </c>
      <c r="G1330" s="1" t="s">
        <v>1190</v>
      </c>
      <c r="H1330" s="2"/>
      <c r="I1330" s="2"/>
      <c r="J1330" s="2"/>
      <c r="K1330" s="2"/>
    </row>
    <row x14ac:dyDescent="0.25" r="1331" customHeight="1" ht="17.25">
      <c r="A1331" s="1" t="s">
        <v>2797</v>
      </c>
      <c r="B1331" s="1" t="s">
        <v>2798</v>
      </c>
      <c r="C1331" s="1" t="s">
        <v>20</v>
      </c>
      <c r="D1331" s="1" t="s">
        <v>1187</v>
      </c>
      <c r="E1331" s="1" t="s">
        <v>1188</v>
      </c>
      <c r="F1331" s="1" t="s">
        <v>1189</v>
      </c>
      <c r="G1331" s="1" t="s">
        <v>1190</v>
      </c>
      <c r="H1331" s="2"/>
      <c r="I1331" s="2"/>
      <c r="J1331" s="2"/>
      <c r="K1331" s="2"/>
    </row>
    <row x14ac:dyDescent="0.25" r="1332" customHeight="1" ht="17.25">
      <c r="A1332" s="1" t="s">
        <v>2799</v>
      </c>
      <c r="B1332" s="1" t="s">
        <v>2800</v>
      </c>
      <c r="C1332" s="1" t="s">
        <v>20</v>
      </c>
      <c r="D1332" s="1" t="s">
        <v>1187</v>
      </c>
      <c r="E1332" s="1" t="s">
        <v>1188</v>
      </c>
      <c r="F1332" s="1" t="s">
        <v>1189</v>
      </c>
      <c r="G1332" s="1" t="s">
        <v>1190</v>
      </c>
      <c r="H1332" s="2"/>
      <c r="I1332" s="2"/>
      <c r="J1332" s="2"/>
      <c r="K1332" s="2"/>
    </row>
    <row x14ac:dyDescent="0.25" r="1333" customHeight="1" ht="17.25">
      <c r="A1333" s="1" t="s">
        <v>2801</v>
      </c>
      <c r="B1333" s="1" t="s">
        <v>2802</v>
      </c>
      <c r="C1333" s="1" t="s">
        <v>20</v>
      </c>
      <c r="D1333" s="1" t="s">
        <v>1187</v>
      </c>
      <c r="E1333" s="1" t="s">
        <v>1188</v>
      </c>
      <c r="F1333" s="1" t="s">
        <v>1189</v>
      </c>
      <c r="G1333" s="1" t="s">
        <v>1190</v>
      </c>
      <c r="H1333" s="2"/>
      <c r="I1333" s="2"/>
      <c r="J1333" s="2"/>
      <c r="K1333" s="2"/>
    </row>
    <row x14ac:dyDescent="0.25" r="1334" customHeight="1" ht="17.25">
      <c r="A1334" s="1" t="s">
        <v>2803</v>
      </c>
      <c r="B1334" s="1" t="s">
        <v>2804</v>
      </c>
      <c r="C1334" s="1" t="s">
        <v>20</v>
      </c>
      <c r="D1334" s="1" t="s">
        <v>1187</v>
      </c>
      <c r="E1334" s="1" t="s">
        <v>1188</v>
      </c>
      <c r="F1334" s="1" t="s">
        <v>1189</v>
      </c>
      <c r="G1334" s="1" t="s">
        <v>1190</v>
      </c>
      <c r="H1334" s="2"/>
      <c r="I1334" s="2"/>
      <c r="J1334" s="2"/>
      <c r="K1334" s="2"/>
    </row>
    <row x14ac:dyDescent="0.25" r="1335" customHeight="1" ht="17.25">
      <c r="A1335" s="1" t="s">
        <v>2805</v>
      </c>
      <c r="B1335" s="1" t="s">
        <v>2806</v>
      </c>
      <c r="C1335" s="1" t="s">
        <v>20</v>
      </c>
      <c r="D1335" s="1" t="s">
        <v>1187</v>
      </c>
      <c r="E1335" s="1" t="s">
        <v>1188</v>
      </c>
      <c r="F1335" s="1" t="s">
        <v>1189</v>
      </c>
      <c r="G1335" s="1" t="s">
        <v>1190</v>
      </c>
      <c r="H1335" s="2"/>
      <c r="I1335" s="2"/>
      <c r="J1335" s="2"/>
      <c r="K1335" s="2"/>
    </row>
    <row x14ac:dyDescent="0.25" r="1336" customHeight="1" ht="17.25">
      <c r="A1336" s="1" t="s">
        <v>2807</v>
      </c>
      <c r="B1336" s="1" t="s">
        <v>2808</v>
      </c>
      <c r="C1336" s="1" t="s">
        <v>20</v>
      </c>
      <c r="D1336" s="1" t="s">
        <v>1187</v>
      </c>
      <c r="E1336" s="1" t="s">
        <v>1188</v>
      </c>
      <c r="F1336" s="1" t="s">
        <v>1189</v>
      </c>
      <c r="G1336" s="1" t="s">
        <v>1190</v>
      </c>
      <c r="H1336" s="2"/>
      <c r="I1336" s="2"/>
      <c r="J1336" s="2"/>
      <c r="K1336" s="2"/>
    </row>
    <row x14ac:dyDescent="0.25" r="1337" customHeight="1" ht="17.25">
      <c r="A1337" s="1" t="s">
        <v>2809</v>
      </c>
      <c r="B1337" s="1" t="s">
        <v>2810</v>
      </c>
      <c r="C1337" s="1" t="s">
        <v>20</v>
      </c>
      <c r="D1337" s="1" t="s">
        <v>1187</v>
      </c>
      <c r="E1337" s="1" t="s">
        <v>1188</v>
      </c>
      <c r="F1337" s="1" t="s">
        <v>1189</v>
      </c>
      <c r="G1337" s="1" t="s">
        <v>1190</v>
      </c>
      <c r="H1337" s="2"/>
      <c r="I1337" s="2"/>
      <c r="J1337" s="2"/>
      <c r="K1337" s="2"/>
    </row>
    <row x14ac:dyDescent="0.25" r="1338" customHeight="1" ht="17.25">
      <c r="A1338" s="1" t="s">
        <v>2811</v>
      </c>
      <c r="B1338" s="1" t="s">
        <v>2812</v>
      </c>
      <c r="C1338" s="1" t="s">
        <v>20</v>
      </c>
      <c r="D1338" s="1" t="s">
        <v>1187</v>
      </c>
      <c r="E1338" s="1" t="s">
        <v>1188</v>
      </c>
      <c r="F1338" s="1" t="s">
        <v>1189</v>
      </c>
      <c r="G1338" s="1" t="s">
        <v>1190</v>
      </c>
      <c r="H1338" s="2"/>
      <c r="I1338" s="2"/>
      <c r="J1338" s="2"/>
      <c r="K1338" s="2"/>
    </row>
    <row x14ac:dyDescent="0.25" r="1339" customHeight="1" ht="17.25">
      <c r="A1339" s="1" t="s">
        <v>2813</v>
      </c>
      <c r="B1339" s="1" t="s">
        <v>2814</v>
      </c>
      <c r="C1339" s="1" t="s">
        <v>20</v>
      </c>
      <c r="D1339" s="1" t="s">
        <v>1187</v>
      </c>
      <c r="E1339" s="1" t="s">
        <v>1188</v>
      </c>
      <c r="F1339" s="1" t="s">
        <v>1189</v>
      </c>
      <c r="G1339" s="1" t="s">
        <v>1190</v>
      </c>
      <c r="H1339" s="2"/>
      <c r="I1339" s="2"/>
      <c r="J1339" s="2"/>
      <c r="K1339" s="2"/>
    </row>
    <row x14ac:dyDescent="0.25" r="1340" customHeight="1" ht="17.25">
      <c r="A1340" s="1" t="s">
        <v>2815</v>
      </c>
      <c r="B1340" s="1" t="s">
        <v>2816</v>
      </c>
      <c r="C1340" s="1" t="s">
        <v>20</v>
      </c>
      <c r="D1340" s="1" t="s">
        <v>1187</v>
      </c>
      <c r="E1340" s="1" t="s">
        <v>1188</v>
      </c>
      <c r="F1340" s="1" t="s">
        <v>1189</v>
      </c>
      <c r="G1340" s="1" t="s">
        <v>1190</v>
      </c>
      <c r="H1340" s="2"/>
      <c r="I1340" s="2"/>
      <c r="J1340" s="2"/>
      <c r="K1340" s="2"/>
    </row>
    <row x14ac:dyDescent="0.25" r="1341" customHeight="1" ht="17.25">
      <c r="A1341" s="1" t="s">
        <v>2817</v>
      </c>
      <c r="B1341" s="1" t="s">
        <v>2818</v>
      </c>
      <c r="C1341" s="1" t="s">
        <v>20</v>
      </c>
      <c r="D1341" s="1" t="s">
        <v>1187</v>
      </c>
      <c r="E1341" s="1" t="s">
        <v>1188</v>
      </c>
      <c r="F1341" s="1" t="s">
        <v>1189</v>
      </c>
      <c r="G1341" s="1" t="s">
        <v>1190</v>
      </c>
      <c r="H1341" s="2"/>
      <c r="I1341" s="2"/>
      <c r="J1341" s="2"/>
      <c r="K1341" s="2"/>
    </row>
    <row x14ac:dyDescent="0.25" r="1342" customHeight="1" ht="17.25">
      <c r="A1342" s="1" t="s">
        <v>2819</v>
      </c>
      <c r="B1342" s="1" t="s">
        <v>2820</v>
      </c>
      <c r="C1342" s="1" t="s">
        <v>20</v>
      </c>
      <c r="D1342" s="1" t="s">
        <v>1187</v>
      </c>
      <c r="E1342" s="1" t="s">
        <v>1188</v>
      </c>
      <c r="F1342" s="1" t="s">
        <v>1189</v>
      </c>
      <c r="G1342" s="1" t="s">
        <v>1190</v>
      </c>
      <c r="H1342" s="2"/>
      <c r="I1342" s="2"/>
      <c r="J1342" s="2"/>
      <c r="K1342" s="2"/>
    </row>
    <row x14ac:dyDescent="0.25" r="1343" customHeight="1" ht="17.25">
      <c r="A1343" s="1" t="s">
        <v>2821</v>
      </c>
      <c r="B1343" s="1" t="s">
        <v>2822</v>
      </c>
      <c r="C1343" s="1" t="s">
        <v>20</v>
      </c>
      <c r="D1343" s="1" t="s">
        <v>1187</v>
      </c>
      <c r="E1343" s="1" t="s">
        <v>1188</v>
      </c>
      <c r="F1343" s="1" t="s">
        <v>1189</v>
      </c>
      <c r="G1343" s="1" t="s">
        <v>1190</v>
      </c>
      <c r="H1343" s="2"/>
      <c r="I1343" s="2"/>
      <c r="J1343" s="2"/>
      <c r="K1343" s="2"/>
    </row>
    <row x14ac:dyDescent="0.25" r="1344" customHeight="1" ht="17.25">
      <c r="A1344" s="1" t="s">
        <v>2823</v>
      </c>
      <c r="B1344" s="1" t="s">
        <v>2824</v>
      </c>
      <c r="C1344" s="1" t="s">
        <v>20</v>
      </c>
      <c r="D1344" s="1" t="s">
        <v>1187</v>
      </c>
      <c r="E1344" s="1" t="s">
        <v>1188</v>
      </c>
      <c r="F1344" s="1" t="s">
        <v>1189</v>
      </c>
      <c r="G1344" s="1" t="s">
        <v>1190</v>
      </c>
      <c r="H1344" s="2"/>
      <c r="I1344" s="2"/>
      <c r="J1344" s="2"/>
      <c r="K1344" s="2"/>
    </row>
    <row x14ac:dyDescent="0.25" r="1345" customHeight="1" ht="17.25">
      <c r="A1345" s="1" t="s">
        <v>2825</v>
      </c>
      <c r="B1345" s="1" t="s">
        <v>2826</v>
      </c>
      <c r="C1345" s="1" t="s">
        <v>20</v>
      </c>
      <c r="D1345" s="1" t="s">
        <v>1187</v>
      </c>
      <c r="E1345" s="1" t="s">
        <v>1188</v>
      </c>
      <c r="F1345" s="1" t="s">
        <v>1189</v>
      </c>
      <c r="G1345" s="1" t="s">
        <v>1190</v>
      </c>
      <c r="H1345" s="2"/>
      <c r="I1345" s="2"/>
      <c r="J1345" s="2"/>
      <c r="K1345" s="2"/>
    </row>
    <row x14ac:dyDescent="0.25" r="1346" customHeight="1" ht="17.25">
      <c r="A1346" s="1" t="s">
        <v>2827</v>
      </c>
      <c r="B1346" s="1" t="s">
        <v>2828</v>
      </c>
      <c r="C1346" s="1" t="s">
        <v>20</v>
      </c>
      <c r="D1346" s="1" t="s">
        <v>1187</v>
      </c>
      <c r="E1346" s="1" t="s">
        <v>1188</v>
      </c>
      <c r="F1346" s="1" t="s">
        <v>1189</v>
      </c>
      <c r="G1346" s="1" t="s">
        <v>1190</v>
      </c>
      <c r="H1346" s="2"/>
      <c r="I1346" s="2"/>
      <c r="J1346" s="2"/>
      <c r="K1346" s="2"/>
    </row>
    <row x14ac:dyDescent="0.25" r="1347" customHeight="1" ht="17.25">
      <c r="A1347" s="1" t="s">
        <v>2829</v>
      </c>
      <c r="B1347" s="1" t="s">
        <v>2830</v>
      </c>
      <c r="C1347" s="1" t="s">
        <v>20</v>
      </c>
      <c r="D1347" s="1" t="s">
        <v>1187</v>
      </c>
      <c r="E1347" s="1" t="s">
        <v>1188</v>
      </c>
      <c r="F1347" s="1" t="s">
        <v>1189</v>
      </c>
      <c r="G1347" s="1" t="s">
        <v>1190</v>
      </c>
      <c r="H1347" s="2"/>
      <c r="I1347" s="2"/>
      <c r="J1347" s="2"/>
      <c r="K1347" s="2"/>
    </row>
    <row x14ac:dyDescent="0.25" r="1348" customHeight="1" ht="17.25">
      <c r="A1348" s="1" t="s">
        <v>2831</v>
      </c>
      <c r="B1348" s="1" t="s">
        <v>2832</v>
      </c>
      <c r="C1348" s="1" t="s">
        <v>20</v>
      </c>
      <c r="D1348" s="1" t="s">
        <v>1187</v>
      </c>
      <c r="E1348" s="1" t="s">
        <v>1188</v>
      </c>
      <c r="F1348" s="1" t="s">
        <v>1189</v>
      </c>
      <c r="G1348" s="1" t="s">
        <v>1190</v>
      </c>
      <c r="H1348" s="2"/>
      <c r="I1348" s="2"/>
      <c r="J1348" s="2"/>
      <c r="K1348" s="2"/>
    </row>
    <row x14ac:dyDescent="0.25" r="1349" customHeight="1" ht="17.25">
      <c r="A1349" s="1" t="s">
        <v>2833</v>
      </c>
      <c r="B1349" s="1" t="s">
        <v>2834</v>
      </c>
      <c r="C1349" s="1" t="s">
        <v>20</v>
      </c>
      <c r="D1349" s="1" t="s">
        <v>1187</v>
      </c>
      <c r="E1349" s="1" t="s">
        <v>1188</v>
      </c>
      <c r="F1349" s="1" t="s">
        <v>1189</v>
      </c>
      <c r="G1349" s="1" t="s">
        <v>1190</v>
      </c>
      <c r="H1349" s="2"/>
      <c r="I1349" s="2"/>
      <c r="J1349" s="2"/>
      <c r="K1349" s="2"/>
    </row>
    <row x14ac:dyDescent="0.25" r="1350" customHeight="1" ht="17.25">
      <c r="A1350" s="1" t="s">
        <v>2835</v>
      </c>
      <c r="B1350" s="1" t="s">
        <v>2836</v>
      </c>
      <c r="C1350" s="1" t="s">
        <v>20</v>
      </c>
      <c r="D1350" s="1" t="s">
        <v>1187</v>
      </c>
      <c r="E1350" s="1" t="s">
        <v>1188</v>
      </c>
      <c r="F1350" s="1" t="s">
        <v>1189</v>
      </c>
      <c r="G1350" s="1" t="s">
        <v>1190</v>
      </c>
      <c r="H1350" s="2"/>
      <c r="I1350" s="2"/>
      <c r="J1350" s="2"/>
      <c r="K1350" s="2"/>
    </row>
    <row x14ac:dyDescent="0.25" r="1351" customHeight="1" ht="17.25">
      <c r="A1351" s="1" t="s">
        <v>2837</v>
      </c>
      <c r="B1351" s="1" t="s">
        <v>2838</v>
      </c>
      <c r="C1351" s="1" t="s">
        <v>20</v>
      </c>
      <c r="D1351" s="1" t="s">
        <v>1187</v>
      </c>
      <c r="E1351" s="1" t="s">
        <v>1188</v>
      </c>
      <c r="F1351" s="1" t="s">
        <v>1189</v>
      </c>
      <c r="G1351" s="1" t="s">
        <v>1190</v>
      </c>
      <c r="H1351" s="2"/>
      <c r="I1351" s="2"/>
      <c r="J1351" s="2"/>
      <c r="K1351" s="2"/>
    </row>
    <row x14ac:dyDescent="0.25" r="1352" customHeight="1" ht="17.25">
      <c r="A1352" s="1" t="s">
        <v>2839</v>
      </c>
      <c r="B1352" s="1" t="s">
        <v>2840</v>
      </c>
      <c r="C1352" s="1" t="s">
        <v>20</v>
      </c>
      <c r="D1352" s="1" t="s">
        <v>1187</v>
      </c>
      <c r="E1352" s="1" t="s">
        <v>1188</v>
      </c>
      <c r="F1352" s="1" t="s">
        <v>1189</v>
      </c>
      <c r="G1352" s="1" t="s">
        <v>1190</v>
      </c>
      <c r="H1352" s="2"/>
      <c r="I1352" s="2"/>
      <c r="J1352" s="2"/>
      <c r="K1352" s="2"/>
    </row>
    <row x14ac:dyDescent="0.25" r="1353" customHeight="1" ht="17.25">
      <c r="A1353" s="1" t="s">
        <v>2841</v>
      </c>
      <c r="B1353" s="1" t="s">
        <v>2842</v>
      </c>
      <c r="C1353" s="1" t="s">
        <v>20</v>
      </c>
      <c r="D1353" s="1" t="s">
        <v>1187</v>
      </c>
      <c r="E1353" s="1" t="s">
        <v>1188</v>
      </c>
      <c r="F1353" s="1" t="s">
        <v>1189</v>
      </c>
      <c r="G1353" s="1" t="s">
        <v>1190</v>
      </c>
      <c r="H1353" s="2"/>
      <c r="I1353" s="2"/>
      <c r="J1353" s="2"/>
      <c r="K1353" s="2"/>
    </row>
    <row x14ac:dyDescent="0.25" r="1354" customHeight="1" ht="17.25">
      <c r="A1354" s="1" t="s">
        <v>2843</v>
      </c>
      <c r="B1354" s="1" t="s">
        <v>2844</v>
      </c>
      <c r="C1354" s="1" t="s">
        <v>20</v>
      </c>
      <c r="D1354" s="1" t="s">
        <v>1187</v>
      </c>
      <c r="E1354" s="1" t="s">
        <v>1188</v>
      </c>
      <c r="F1354" s="1" t="s">
        <v>1189</v>
      </c>
      <c r="G1354" s="1" t="s">
        <v>1190</v>
      </c>
      <c r="H1354" s="2"/>
      <c r="I1354" s="2"/>
      <c r="J1354" s="2"/>
      <c r="K1354" s="2"/>
    </row>
    <row x14ac:dyDescent="0.25" r="1355" customHeight="1" ht="17.25">
      <c r="A1355" s="1" t="s">
        <v>2845</v>
      </c>
      <c r="B1355" s="1" t="s">
        <v>2846</v>
      </c>
      <c r="C1355" s="1" t="s">
        <v>20</v>
      </c>
      <c r="D1355" s="1" t="s">
        <v>1187</v>
      </c>
      <c r="E1355" s="1" t="s">
        <v>1188</v>
      </c>
      <c r="F1355" s="1" t="s">
        <v>1189</v>
      </c>
      <c r="G1355" s="1" t="s">
        <v>1190</v>
      </c>
      <c r="H1355" s="2"/>
      <c r="I1355" s="2"/>
      <c r="J1355" s="2"/>
      <c r="K1355" s="2"/>
    </row>
    <row x14ac:dyDescent="0.25" r="1356" customHeight="1" ht="17.25">
      <c r="A1356" s="1" t="s">
        <v>2847</v>
      </c>
      <c r="B1356" s="1" t="s">
        <v>2848</v>
      </c>
      <c r="C1356" s="1" t="s">
        <v>20</v>
      </c>
      <c r="D1356" s="1" t="s">
        <v>1187</v>
      </c>
      <c r="E1356" s="1" t="s">
        <v>1188</v>
      </c>
      <c r="F1356" s="1" t="s">
        <v>1189</v>
      </c>
      <c r="G1356" s="1" t="s">
        <v>1190</v>
      </c>
      <c r="H1356" s="2"/>
      <c r="I1356" s="2"/>
      <c r="J1356" s="2"/>
      <c r="K1356" s="2"/>
    </row>
    <row x14ac:dyDescent="0.25" r="1357" customHeight="1" ht="17.25">
      <c r="A1357" s="1" t="s">
        <v>2849</v>
      </c>
      <c r="B1357" s="1" t="s">
        <v>2850</v>
      </c>
      <c r="C1357" s="1" t="s">
        <v>20</v>
      </c>
      <c r="D1357" s="1" t="s">
        <v>1187</v>
      </c>
      <c r="E1357" s="1" t="s">
        <v>1188</v>
      </c>
      <c r="F1357" s="1" t="s">
        <v>1189</v>
      </c>
      <c r="G1357" s="1" t="s">
        <v>1190</v>
      </c>
      <c r="H1357" s="2"/>
      <c r="I1357" s="2"/>
      <c r="J1357" s="2"/>
      <c r="K1357" s="2"/>
    </row>
    <row x14ac:dyDescent="0.25" r="1358" customHeight="1" ht="17.25">
      <c r="A1358" s="1" t="s">
        <v>2851</v>
      </c>
      <c r="B1358" s="1" t="s">
        <v>2852</v>
      </c>
      <c r="C1358" s="1" t="s">
        <v>20</v>
      </c>
      <c r="D1358" s="1" t="s">
        <v>1187</v>
      </c>
      <c r="E1358" s="1" t="s">
        <v>1188</v>
      </c>
      <c r="F1358" s="1" t="s">
        <v>1189</v>
      </c>
      <c r="G1358" s="1" t="s">
        <v>1190</v>
      </c>
      <c r="H1358" s="2"/>
      <c r="I1358" s="2"/>
      <c r="J1358" s="2"/>
      <c r="K1358" s="2"/>
    </row>
    <row x14ac:dyDescent="0.25" r="1359" customHeight="1" ht="17.25">
      <c r="A1359" s="1" t="s">
        <v>2853</v>
      </c>
      <c r="B1359" s="1" t="s">
        <v>2854</v>
      </c>
      <c r="C1359" s="1" t="s">
        <v>20</v>
      </c>
      <c r="D1359" s="1" t="s">
        <v>1187</v>
      </c>
      <c r="E1359" s="1" t="s">
        <v>1188</v>
      </c>
      <c r="F1359" s="1" t="s">
        <v>1189</v>
      </c>
      <c r="G1359" s="1" t="s">
        <v>1190</v>
      </c>
      <c r="H1359" s="2"/>
      <c r="I1359" s="2"/>
      <c r="J1359" s="2"/>
      <c r="K1359" s="2"/>
    </row>
    <row x14ac:dyDescent="0.25" r="1360" customHeight="1" ht="17.25">
      <c r="A1360" s="1" t="s">
        <v>2855</v>
      </c>
      <c r="B1360" s="1" t="s">
        <v>2856</v>
      </c>
      <c r="C1360" s="1" t="s">
        <v>20</v>
      </c>
      <c r="D1360" s="1" t="s">
        <v>1187</v>
      </c>
      <c r="E1360" s="1" t="s">
        <v>1188</v>
      </c>
      <c r="F1360" s="1" t="s">
        <v>1189</v>
      </c>
      <c r="G1360" s="1" t="s">
        <v>1190</v>
      </c>
      <c r="H1360" s="2"/>
      <c r="I1360" s="2"/>
      <c r="J1360" s="2"/>
      <c r="K1360" s="2"/>
    </row>
    <row x14ac:dyDescent="0.25" r="1361" customHeight="1" ht="17.25">
      <c r="A1361" s="1" t="s">
        <v>2857</v>
      </c>
      <c r="B1361" s="1" t="s">
        <v>2858</v>
      </c>
      <c r="C1361" s="1" t="s">
        <v>20</v>
      </c>
      <c r="D1361" s="1" t="s">
        <v>1187</v>
      </c>
      <c r="E1361" s="1" t="s">
        <v>1188</v>
      </c>
      <c r="F1361" s="1" t="s">
        <v>1189</v>
      </c>
      <c r="G1361" s="1" t="s">
        <v>1190</v>
      </c>
      <c r="H1361" s="2"/>
      <c r="I1361" s="2"/>
      <c r="J1361" s="2"/>
      <c r="K1361" s="2"/>
    </row>
    <row x14ac:dyDescent="0.25" r="1362" customHeight="1" ht="17.25">
      <c r="A1362" s="1" t="s">
        <v>2859</v>
      </c>
      <c r="B1362" s="1" t="s">
        <v>2860</v>
      </c>
      <c r="C1362" s="1" t="s">
        <v>20</v>
      </c>
      <c r="D1362" s="1" t="s">
        <v>1187</v>
      </c>
      <c r="E1362" s="1" t="s">
        <v>1188</v>
      </c>
      <c r="F1362" s="1" t="s">
        <v>1189</v>
      </c>
      <c r="G1362" s="1" t="s">
        <v>1190</v>
      </c>
      <c r="H1362" s="2"/>
      <c r="I1362" s="2"/>
      <c r="J1362" s="2"/>
      <c r="K1362" s="2"/>
    </row>
    <row x14ac:dyDescent="0.25" r="1363" customHeight="1" ht="17.25">
      <c r="A1363" s="1" t="s">
        <v>2861</v>
      </c>
      <c r="B1363" s="1" t="s">
        <v>2862</v>
      </c>
      <c r="C1363" s="1" t="s">
        <v>20</v>
      </c>
      <c r="D1363" s="1" t="s">
        <v>1187</v>
      </c>
      <c r="E1363" s="1" t="s">
        <v>1188</v>
      </c>
      <c r="F1363" s="1" t="s">
        <v>1189</v>
      </c>
      <c r="G1363" s="1" t="s">
        <v>1190</v>
      </c>
      <c r="H1363" s="2"/>
      <c r="I1363" s="2"/>
      <c r="J1363" s="2"/>
      <c r="K1363" s="2"/>
    </row>
    <row x14ac:dyDescent="0.25" r="1364" customHeight="1" ht="17.25">
      <c r="A1364" s="1" t="s">
        <v>2863</v>
      </c>
      <c r="B1364" s="1" t="s">
        <v>2864</v>
      </c>
      <c r="C1364" s="1" t="s">
        <v>20</v>
      </c>
      <c r="D1364" s="1" t="s">
        <v>1187</v>
      </c>
      <c r="E1364" s="1" t="s">
        <v>1188</v>
      </c>
      <c r="F1364" s="1" t="s">
        <v>1189</v>
      </c>
      <c r="G1364" s="1" t="s">
        <v>1190</v>
      </c>
      <c r="H1364" s="2"/>
      <c r="I1364" s="2"/>
      <c r="J1364" s="2"/>
      <c r="K1364" s="2"/>
    </row>
    <row x14ac:dyDescent="0.25" r="1365" customHeight="1" ht="17.25">
      <c r="A1365" s="1" t="s">
        <v>2865</v>
      </c>
      <c r="B1365" s="1" t="s">
        <v>2866</v>
      </c>
      <c r="C1365" s="1" t="s">
        <v>20</v>
      </c>
      <c r="D1365" s="1" t="s">
        <v>1187</v>
      </c>
      <c r="E1365" s="1" t="s">
        <v>1188</v>
      </c>
      <c r="F1365" s="1" t="s">
        <v>1189</v>
      </c>
      <c r="G1365" s="1" t="s">
        <v>1190</v>
      </c>
      <c r="H1365" s="2"/>
      <c r="I1365" s="2"/>
      <c r="J1365" s="2"/>
      <c r="K1365" s="2"/>
    </row>
    <row x14ac:dyDescent="0.25" r="1366" customHeight="1" ht="17.25">
      <c r="A1366" s="1" t="s">
        <v>2867</v>
      </c>
      <c r="B1366" s="1" t="s">
        <v>2868</v>
      </c>
      <c r="C1366" s="1" t="s">
        <v>20</v>
      </c>
      <c r="D1366" s="1" t="s">
        <v>1187</v>
      </c>
      <c r="E1366" s="1" t="s">
        <v>1188</v>
      </c>
      <c r="F1366" s="1" t="s">
        <v>1189</v>
      </c>
      <c r="G1366" s="1" t="s">
        <v>1190</v>
      </c>
      <c r="H1366" s="2"/>
      <c r="I1366" s="2"/>
      <c r="J1366" s="2"/>
      <c r="K1366" s="2"/>
    </row>
    <row x14ac:dyDescent="0.25" r="1367" customHeight="1" ht="17.25">
      <c r="A1367" s="1" t="s">
        <v>2869</v>
      </c>
      <c r="B1367" s="1" t="s">
        <v>2870</v>
      </c>
      <c r="C1367" s="1" t="s">
        <v>20</v>
      </c>
      <c r="D1367" s="1" t="s">
        <v>1187</v>
      </c>
      <c r="E1367" s="1" t="s">
        <v>1188</v>
      </c>
      <c r="F1367" s="1" t="s">
        <v>1189</v>
      </c>
      <c r="G1367" s="1" t="s">
        <v>1190</v>
      </c>
      <c r="H1367" s="2"/>
      <c r="I1367" s="2"/>
      <c r="J1367" s="2"/>
      <c r="K1367" s="2"/>
    </row>
    <row x14ac:dyDescent="0.25" r="1368" customHeight="1" ht="17.25">
      <c r="A1368" s="1" t="s">
        <v>2871</v>
      </c>
      <c r="B1368" s="1" t="s">
        <v>2872</v>
      </c>
      <c r="C1368" s="1" t="s">
        <v>20</v>
      </c>
      <c r="D1368" s="1" t="s">
        <v>1187</v>
      </c>
      <c r="E1368" s="1" t="s">
        <v>1188</v>
      </c>
      <c r="F1368" s="1" t="s">
        <v>1189</v>
      </c>
      <c r="G1368" s="1" t="s">
        <v>1190</v>
      </c>
      <c r="H1368" s="2"/>
      <c r="I1368" s="2"/>
      <c r="J1368" s="2"/>
      <c r="K1368" s="2"/>
    </row>
    <row x14ac:dyDescent="0.25" r="1369" customHeight="1" ht="17.25">
      <c r="A1369" s="1" t="s">
        <v>2873</v>
      </c>
      <c r="B1369" s="1" t="s">
        <v>2874</v>
      </c>
      <c r="C1369" s="1" t="s">
        <v>20</v>
      </c>
      <c r="D1369" s="1" t="s">
        <v>1187</v>
      </c>
      <c r="E1369" s="1" t="s">
        <v>1188</v>
      </c>
      <c r="F1369" s="1" t="s">
        <v>1189</v>
      </c>
      <c r="G1369" s="1" t="s">
        <v>1190</v>
      </c>
      <c r="H1369" s="2"/>
      <c r="I1369" s="2"/>
      <c r="J1369" s="2"/>
      <c r="K1369" s="2"/>
    </row>
    <row x14ac:dyDescent="0.25" r="1370" customHeight="1" ht="17.25">
      <c r="A1370" s="1" t="s">
        <v>2875</v>
      </c>
      <c r="B1370" s="1" t="s">
        <v>2876</v>
      </c>
      <c r="C1370" s="1" t="s">
        <v>20</v>
      </c>
      <c r="D1370" s="1" t="s">
        <v>1187</v>
      </c>
      <c r="E1370" s="1" t="s">
        <v>1188</v>
      </c>
      <c r="F1370" s="1" t="s">
        <v>1189</v>
      </c>
      <c r="G1370" s="1" t="s">
        <v>1190</v>
      </c>
      <c r="H1370" s="2"/>
      <c r="I1370" s="2"/>
      <c r="J1370" s="2"/>
      <c r="K1370" s="2"/>
    </row>
    <row x14ac:dyDescent="0.25" r="1371" customHeight="1" ht="17.25">
      <c r="A1371" s="1" t="s">
        <v>2877</v>
      </c>
      <c r="B1371" s="1" t="s">
        <v>2878</v>
      </c>
      <c r="C1371" s="1" t="s">
        <v>20</v>
      </c>
      <c r="D1371" s="1" t="s">
        <v>1187</v>
      </c>
      <c r="E1371" s="1" t="s">
        <v>1188</v>
      </c>
      <c r="F1371" s="1" t="s">
        <v>1189</v>
      </c>
      <c r="G1371" s="1" t="s">
        <v>1190</v>
      </c>
      <c r="H1371" s="2"/>
      <c r="I1371" s="2"/>
      <c r="J1371" s="2"/>
      <c r="K1371" s="2"/>
    </row>
    <row x14ac:dyDescent="0.25" r="1372" customHeight="1" ht="17.25">
      <c r="A1372" s="1" t="s">
        <v>2879</v>
      </c>
      <c r="B1372" s="1" t="s">
        <v>2880</v>
      </c>
      <c r="C1372" s="1" t="s">
        <v>20</v>
      </c>
      <c r="D1372" s="1" t="s">
        <v>1187</v>
      </c>
      <c r="E1372" s="1" t="s">
        <v>1188</v>
      </c>
      <c r="F1372" s="1" t="s">
        <v>1189</v>
      </c>
      <c r="G1372" s="1" t="s">
        <v>1190</v>
      </c>
      <c r="H1372" s="2"/>
      <c r="I1372" s="2"/>
      <c r="J1372" s="2"/>
      <c r="K1372" s="2"/>
    </row>
    <row x14ac:dyDescent="0.25" r="1373" customHeight="1" ht="17.25">
      <c r="A1373" s="1" t="s">
        <v>2881</v>
      </c>
      <c r="B1373" s="1" t="s">
        <v>2882</v>
      </c>
      <c r="C1373" s="1" t="s">
        <v>20</v>
      </c>
      <c r="D1373" s="1" t="s">
        <v>1187</v>
      </c>
      <c r="E1373" s="1" t="s">
        <v>1188</v>
      </c>
      <c r="F1373" s="1" t="s">
        <v>1189</v>
      </c>
      <c r="G1373" s="1" t="s">
        <v>1190</v>
      </c>
      <c r="H1373" s="2"/>
      <c r="I1373" s="2"/>
      <c r="J1373" s="2"/>
      <c r="K1373" s="2"/>
    </row>
    <row x14ac:dyDescent="0.25" r="1374" customHeight="1" ht="17.25">
      <c r="A1374" s="1" t="s">
        <v>2883</v>
      </c>
      <c r="B1374" s="1" t="s">
        <v>2884</v>
      </c>
      <c r="C1374" s="1" t="s">
        <v>20</v>
      </c>
      <c r="D1374" s="1" t="s">
        <v>1187</v>
      </c>
      <c r="E1374" s="1" t="s">
        <v>1188</v>
      </c>
      <c r="F1374" s="1" t="s">
        <v>1189</v>
      </c>
      <c r="G1374" s="1" t="s">
        <v>1190</v>
      </c>
      <c r="H1374" s="2"/>
      <c r="I1374" s="2"/>
      <c r="J1374" s="2"/>
      <c r="K1374" s="2"/>
    </row>
    <row x14ac:dyDescent="0.25" r="1375" customHeight="1" ht="17.25">
      <c r="A1375" s="1" t="s">
        <v>2885</v>
      </c>
      <c r="B1375" s="1" t="s">
        <v>2886</v>
      </c>
      <c r="C1375" s="1" t="s">
        <v>20</v>
      </c>
      <c r="D1375" s="1" t="s">
        <v>1187</v>
      </c>
      <c r="E1375" s="1" t="s">
        <v>1188</v>
      </c>
      <c r="F1375" s="1" t="s">
        <v>1189</v>
      </c>
      <c r="G1375" s="1" t="s">
        <v>1190</v>
      </c>
      <c r="H1375" s="2"/>
      <c r="I1375" s="2"/>
      <c r="J1375" s="2"/>
      <c r="K1375" s="2"/>
    </row>
    <row x14ac:dyDescent="0.25" r="1376" customHeight="1" ht="17.25">
      <c r="A1376" s="1" t="s">
        <v>2887</v>
      </c>
      <c r="B1376" s="1" t="s">
        <v>2888</v>
      </c>
      <c r="C1376" s="1" t="s">
        <v>20</v>
      </c>
      <c r="D1376" s="1" t="s">
        <v>1187</v>
      </c>
      <c r="E1376" s="1" t="s">
        <v>1188</v>
      </c>
      <c r="F1376" s="1" t="s">
        <v>1189</v>
      </c>
      <c r="G1376" s="1" t="s">
        <v>1190</v>
      </c>
      <c r="H1376" s="2"/>
      <c r="I1376" s="2"/>
      <c r="J1376" s="2"/>
      <c r="K1376" s="2"/>
    </row>
    <row x14ac:dyDescent="0.25" r="1377" customHeight="1" ht="17.25">
      <c r="A1377" s="1" t="s">
        <v>2889</v>
      </c>
      <c r="B1377" s="1" t="s">
        <v>2890</v>
      </c>
      <c r="C1377" s="1" t="s">
        <v>20</v>
      </c>
      <c r="D1377" s="1" t="s">
        <v>1187</v>
      </c>
      <c r="E1377" s="1" t="s">
        <v>1188</v>
      </c>
      <c r="F1377" s="1" t="s">
        <v>1189</v>
      </c>
      <c r="G1377" s="1" t="s">
        <v>1190</v>
      </c>
      <c r="H1377" s="2"/>
      <c r="I1377" s="2"/>
      <c r="J1377" s="2"/>
      <c r="K1377" s="2"/>
    </row>
    <row x14ac:dyDescent="0.25" r="1378" customHeight="1" ht="17.25">
      <c r="A1378" s="1" t="s">
        <v>2891</v>
      </c>
      <c r="B1378" s="1" t="s">
        <v>2892</v>
      </c>
      <c r="C1378" s="1" t="s">
        <v>20</v>
      </c>
      <c r="D1378" s="1" t="s">
        <v>1187</v>
      </c>
      <c r="E1378" s="1" t="s">
        <v>1188</v>
      </c>
      <c r="F1378" s="1" t="s">
        <v>1189</v>
      </c>
      <c r="G1378" s="1" t="s">
        <v>1190</v>
      </c>
      <c r="H1378" s="2"/>
      <c r="I1378" s="2"/>
      <c r="J1378" s="2"/>
      <c r="K1378" s="2"/>
    </row>
    <row x14ac:dyDescent="0.25" r="1379" customHeight="1" ht="17.25">
      <c r="A1379" s="1" t="s">
        <v>2893</v>
      </c>
      <c r="B1379" s="1" t="s">
        <v>2894</v>
      </c>
      <c r="C1379" s="1" t="s">
        <v>20</v>
      </c>
      <c r="D1379" s="1" t="s">
        <v>1187</v>
      </c>
      <c r="E1379" s="1" t="s">
        <v>1188</v>
      </c>
      <c r="F1379" s="1" t="s">
        <v>1189</v>
      </c>
      <c r="G1379" s="1" t="s">
        <v>1190</v>
      </c>
      <c r="H1379" s="2"/>
      <c r="I1379" s="2"/>
      <c r="J1379" s="2"/>
      <c r="K1379" s="2"/>
    </row>
    <row x14ac:dyDescent="0.25" r="1380" customHeight="1" ht="17.25">
      <c r="A1380" s="1" t="s">
        <v>2895</v>
      </c>
      <c r="B1380" s="1" t="s">
        <v>2896</v>
      </c>
      <c r="C1380" s="1" t="s">
        <v>20</v>
      </c>
      <c r="D1380" s="1" t="s">
        <v>1187</v>
      </c>
      <c r="E1380" s="1" t="s">
        <v>1188</v>
      </c>
      <c r="F1380" s="1" t="s">
        <v>1189</v>
      </c>
      <c r="G1380" s="1" t="s">
        <v>1190</v>
      </c>
      <c r="H1380" s="2"/>
      <c r="I1380" s="2"/>
      <c r="J1380" s="2"/>
      <c r="K1380" s="2"/>
    </row>
    <row x14ac:dyDescent="0.25" r="1381" customHeight="1" ht="17.25">
      <c r="A1381" s="1" t="s">
        <v>2897</v>
      </c>
      <c r="B1381" s="1" t="s">
        <v>2898</v>
      </c>
      <c r="C1381" s="1" t="s">
        <v>20</v>
      </c>
      <c r="D1381" s="1" t="s">
        <v>1187</v>
      </c>
      <c r="E1381" s="1" t="s">
        <v>1188</v>
      </c>
      <c r="F1381" s="1" t="s">
        <v>1189</v>
      </c>
      <c r="G1381" s="1" t="s">
        <v>1190</v>
      </c>
      <c r="H1381" s="2"/>
      <c r="I1381" s="2"/>
      <c r="J1381" s="2"/>
      <c r="K1381" s="2"/>
    </row>
    <row x14ac:dyDescent="0.25" r="1382" customHeight="1" ht="17.25">
      <c r="A1382" s="1" t="s">
        <v>2899</v>
      </c>
      <c r="B1382" s="1" t="s">
        <v>2900</v>
      </c>
      <c r="C1382" s="1" t="s">
        <v>20</v>
      </c>
      <c r="D1382" s="1" t="s">
        <v>1187</v>
      </c>
      <c r="E1382" s="1" t="s">
        <v>1188</v>
      </c>
      <c r="F1382" s="1" t="s">
        <v>1189</v>
      </c>
      <c r="G1382" s="1" t="s">
        <v>1190</v>
      </c>
      <c r="H1382" s="2"/>
      <c r="I1382" s="2"/>
      <c r="J1382" s="2"/>
      <c r="K1382" s="2"/>
    </row>
    <row x14ac:dyDescent="0.25" r="1383" customHeight="1" ht="17.25">
      <c r="A1383" s="1" t="s">
        <v>2901</v>
      </c>
      <c r="B1383" s="1" t="s">
        <v>2902</v>
      </c>
      <c r="C1383" s="1" t="s">
        <v>20</v>
      </c>
      <c r="D1383" s="1" t="s">
        <v>1187</v>
      </c>
      <c r="E1383" s="1" t="s">
        <v>1188</v>
      </c>
      <c r="F1383" s="1" t="s">
        <v>1189</v>
      </c>
      <c r="G1383" s="1" t="s">
        <v>1190</v>
      </c>
      <c r="H1383" s="2"/>
      <c r="I1383" s="2"/>
      <c r="J1383" s="2"/>
      <c r="K1383" s="2"/>
    </row>
    <row x14ac:dyDescent="0.25" r="1384" customHeight="1" ht="17.25">
      <c r="A1384" s="1" t="s">
        <v>2903</v>
      </c>
      <c r="B1384" s="1" t="s">
        <v>2904</v>
      </c>
      <c r="C1384" s="1" t="s">
        <v>20</v>
      </c>
      <c r="D1384" s="1" t="s">
        <v>1187</v>
      </c>
      <c r="E1384" s="1" t="s">
        <v>1188</v>
      </c>
      <c r="F1384" s="1" t="s">
        <v>1189</v>
      </c>
      <c r="G1384" s="1" t="s">
        <v>1190</v>
      </c>
      <c r="H1384" s="2"/>
      <c r="I1384" s="2"/>
      <c r="J1384" s="2"/>
      <c r="K1384" s="2"/>
    </row>
    <row x14ac:dyDescent="0.25" r="1385" customHeight="1" ht="17.25">
      <c r="A1385" s="1" t="s">
        <v>2905</v>
      </c>
      <c r="B1385" s="1" t="s">
        <v>2906</v>
      </c>
      <c r="C1385" s="1" t="s">
        <v>20</v>
      </c>
      <c r="D1385" s="1" t="s">
        <v>1187</v>
      </c>
      <c r="E1385" s="1" t="s">
        <v>1188</v>
      </c>
      <c r="F1385" s="1" t="s">
        <v>1189</v>
      </c>
      <c r="G1385" s="1" t="s">
        <v>1190</v>
      </c>
      <c r="H1385" s="2"/>
      <c r="I1385" s="2"/>
      <c r="J1385" s="2"/>
      <c r="K1385" s="2"/>
    </row>
    <row x14ac:dyDescent="0.25" r="1386" customHeight="1" ht="17.25">
      <c r="A1386" s="1" t="s">
        <v>2907</v>
      </c>
      <c r="B1386" s="1" t="s">
        <v>2908</v>
      </c>
      <c r="C1386" s="1" t="s">
        <v>20</v>
      </c>
      <c r="D1386" s="1" t="s">
        <v>1187</v>
      </c>
      <c r="E1386" s="1" t="s">
        <v>1188</v>
      </c>
      <c r="F1386" s="1" t="s">
        <v>1189</v>
      </c>
      <c r="G1386" s="1" t="s">
        <v>1190</v>
      </c>
      <c r="H1386" s="2"/>
      <c r="I1386" s="2"/>
      <c r="J1386" s="2"/>
      <c r="K1386" s="2"/>
    </row>
    <row x14ac:dyDescent="0.25" r="1387" customHeight="1" ht="17.25">
      <c r="A1387" s="1" t="s">
        <v>2909</v>
      </c>
      <c r="B1387" s="1" t="s">
        <v>2910</v>
      </c>
      <c r="C1387" s="1" t="s">
        <v>20</v>
      </c>
      <c r="D1387" s="1" t="s">
        <v>1187</v>
      </c>
      <c r="E1387" s="1" t="s">
        <v>1188</v>
      </c>
      <c r="F1387" s="1" t="s">
        <v>1189</v>
      </c>
      <c r="G1387" s="1" t="s">
        <v>1190</v>
      </c>
      <c r="H1387" s="2"/>
      <c r="I1387" s="2"/>
      <c r="J1387" s="2"/>
      <c r="K1387" s="2"/>
    </row>
    <row x14ac:dyDescent="0.25" r="1388" customHeight="1" ht="17.25">
      <c r="A1388" s="1" t="s">
        <v>2911</v>
      </c>
      <c r="B1388" s="1" t="s">
        <v>2912</v>
      </c>
      <c r="C1388" s="1" t="s">
        <v>20</v>
      </c>
      <c r="D1388" s="1" t="s">
        <v>1187</v>
      </c>
      <c r="E1388" s="1" t="s">
        <v>1188</v>
      </c>
      <c r="F1388" s="1" t="s">
        <v>1189</v>
      </c>
      <c r="G1388" s="1" t="s">
        <v>1190</v>
      </c>
      <c r="H1388" s="2"/>
      <c r="I1388" s="2"/>
      <c r="J1388" s="2"/>
      <c r="K1388" s="2"/>
    </row>
    <row x14ac:dyDescent="0.25" r="1389" customHeight="1" ht="17.25">
      <c r="A1389" s="1" t="s">
        <v>2913</v>
      </c>
      <c r="B1389" s="1" t="s">
        <v>2914</v>
      </c>
      <c r="C1389" s="1" t="s">
        <v>20</v>
      </c>
      <c r="D1389" s="1" t="s">
        <v>1187</v>
      </c>
      <c r="E1389" s="1" t="s">
        <v>1188</v>
      </c>
      <c r="F1389" s="1" t="s">
        <v>1189</v>
      </c>
      <c r="G1389" s="1" t="s">
        <v>1190</v>
      </c>
      <c r="H1389" s="2"/>
      <c r="I1389" s="2"/>
      <c r="J1389" s="2"/>
      <c r="K1389" s="2"/>
    </row>
    <row x14ac:dyDescent="0.25" r="1390" customHeight="1" ht="17.25">
      <c r="A1390" s="1" t="s">
        <v>2915</v>
      </c>
      <c r="B1390" s="1" t="s">
        <v>2916</v>
      </c>
      <c r="C1390" s="1" t="s">
        <v>20</v>
      </c>
      <c r="D1390" s="1" t="s">
        <v>1187</v>
      </c>
      <c r="E1390" s="1" t="s">
        <v>1188</v>
      </c>
      <c r="F1390" s="1" t="s">
        <v>1189</v>
      </c>
      <c r="G1390" s="1" t="s">
        <v>1190</v>
      </c>
      <c r="H1390" s="2"/>
      <c r="I1390" s="2"/>
      <c r="J1390" s="2"/>
      <c r="K1390" s="2"/>
    </row>
    <row x14ac:dyDescent="0.25" r="1391" customHeight="1" ht="17.25">
      <c r="A1391" s="1" t="s">
        <v>2917</v>
      </c>
      <c r="B1391" s="1" t="s">
        <v>2918</v>
      </c>
      <c r="C1391" s="1" t="s">
        <v>20</v>
      </c>
      <c r="D1391" s="1" t="s">
        <v>1187</v>
      </c>
      <c r="E1391" s="1" t="s">
        <v>1188</v>
      </c>
      <c r="F1391" s="1" t="s">
        <v>1189</v>
      </c>
      <c r="G1391" s="1" t="s">
        <v>1190</v>
      </c>
      <c r="H1391" s="2"/>
      <c r="I1391" s="2"/>
      <c r="J1391" s="2"/>
      <c r="K1391" s="2"/>
    </row>
    <row x14ac:dyDescent="0.25" r="1392" customHeight="1" ht="17.25">
      <c r="A1392" s="1" t="s">
        <v>2919</v>
      </c>
      <c r="B1392" s="1" t="s">
        <v>2920</v>
      </c>
      <c r="C1392" s="1" t="s">
        <v>20</v>
      </c>
      <c r="D1392" s="1" t="s">
        <v>1187</v>
      </c>
      <c r="E1392" s="1" t="s">
        <v>1188</v>
      </c>
      <c r="F1392" s="1" t="s">
        <v>1189</v>
      </c>
      <c r="G1392" s="1" t="s">
        <v>1190</v>
      </c>
      <c r="H1392" s="2"/>
      <c r="I1392" s="2"/>
      <c r="J1392" s="2"/>
      <c r="K1392" s="2"/>
    </row>
    <row x14ac:dyDescent="0.25" r="1393" customHeight="1" ht="17.25">
      <c r="A1393" s="1" t="s">
        <v>2921</v>
      </c>
      <c r="B1393" s="1" t="s">
        <v>2922</v>
      </c>
      <c r="C1393" s="1" t="s">
        <v>20</v>
      </c>
      <c r="D1393" s="1" t="s">
        <v>1187</v>
      </c>
      <c r="E1393" s="1" t="s">
        <v>1188</v>
      </c>
      <c r="F1393" s="1" t="s">
        <v>1189</v>
      </c>
      <c r="G1393" s="1" t="s">
        <v>1190</v>
      </c>
      <c r="H1393" s="2"/>
      <c r="I1393" s="2"/>
      <c r="J1393" s="2"/>
      <c r="K1393" s="2"/>
    </row>
    <row x14ac:dyDescent="0.25" r="1394" customHeight="1" ht="17.25">
      <c r="A1394" s="1" t="s">
        <v>2923</v>
      </c>
      <c r="B1394" s="1" t="s">
        <v>2924</v>
      </c>
      <c r="C1394" s="1" t="s">
        <v>20</v>
      </c>
      <c r="D1394" s="1" t="s">
        <v>1187</v>
      </c>
      <c r="E1394" s="1" t="s">
        <v>1188</v>
      </c>
      <c r="F1394" s="1" t="s">
        <v>1189</v>
      </c>
      <c r="G1394" s="1" t="s">
        <v>1190</v>
      </c>
      <c r="H1394" s="2"/>
      <c r="I1394" s="2"/>
      <c r="J1394" s="2"/>
      <c r="K1394" s="2"/>
    </row>
    <row x14ac:dyDescent="0.25" r="1395" customHeight="1" ht="17.25">
      <c r="A1395" s="1" t="s">
        <v>2925</v>
      </c>
      <c r="B1395" s="1" t="s">
        <v>2926</v>
      </c>
      <c r="C1395" s="1" t="s">
        <v>20</v>
      </c>
      <c r="D1395" s="1" t="s">
        <v>1187</v>
      </c>
      <c r="E1395" s="1" t="s">
        <v>1188</v>
      </c>
      <c r="F1395" s="1" t="s">
        <v>1189</v>
      </c>
      <c r="G1395" s="1" t="s">
        <v>1190</v>
      </c>
      <c r="H1395" s="2"/>
      <c r="I1395" s="2"/>
      <c r="J1395" s="2"/>
      <c r="K1395" s="2"/>
    </row>
    <row x14ac:dyDescent="0.25" r="1396" customHeight="1" ht="17.25">
      <c r="A1396" s="1" t="s">
        <v>2927</v>
      </c>
      <c r="B1396" s="1" t="s">
        <v>2928</v>
      </c>
      <c r="C1396" s="1" t="s">
        <v>20</v>
      </c>
      <c r="D1396" s="1" t="s">
        <v>1187</v>
      </c>
      <c r="E1396" s="1" t="s">
        <v>1188</v>
      </c>
      <c r="F1396" s="1" t="s">
        <v>1189</v>
      </c>
      <c r="G1396" s="1" t="s">
        <v>1190</v>
      </c>
      <c r="H1396" s="2"/>
      <c r="I1396" s="2"/>
      <c r="J1396" s="2"/>
      <c r="K1396" s="2"/>
    </row>
    <row x14ac:dyDescent="0.25" r="1397" customHeight="1" ht="17.25">
      <c r="A1397" s="1" t="s">
        <v>2929</v>
      </c>
      <c r="B1397" s="1" t="s">
        <v>2930</v>
      </c>
      <c r="C1397" s="1" t="s">
        <v>20</v>
      </c>
      <c r="D1397" s="1" t="s">
        <v>1187</v>
      </c>
      <c r="E1397" s="1" t="s">
        <v>1188</v>
      </c>
      <c r="F1397" s="1" t="s">
        <v>1189</v>
      </c>
      <c r="G1397" s="1" t="s">
        <v>1190</v>
      </c>
      <c r="H1397" s="2"/>
      <c r="I1397" s="2"/>
      <c r="J1397" s="2"/>
      <c r="K1397" s="2"/>
    </row>
    <row x14ac:dyDescent="0.25" r="1398" customHeight="1" ht="17.25">
      <c r="A1398" s="1" t="s">
        <v>2931</v>
      </c>
      <c r="B1398" s="1" t="s">
        <v>2932</v>
      </c>
      <c r="C1398" s="1" t="s">
        <v>20</v>
      </c>
      <c r="D1398" s="1" t="s">
        <v>1187</v>
      </c>
      <c r="E1398" s="1" t="s">
        <v>1188</v>
      </c>
      <c r="F1398" s="1" t="s">
        <v>1189</v>
      </c>
      <c r="G1398" s="1" t="s">
        <v>1190</v>
      </c>
      <c r="H1398" s="2"/>
      <c r="I1398" s="2"/>
      <c r="J1398" s="2"/>
      <c r="K1398" s="2"/>
    </row>
    <row x14ac:dyDescent="0.25" r="1399" customHeight="1" ht="17.25">
      <c r="A1399" s="1" t="s">
        <v>2933</v>
      </c>
      <c r="B1399" s="1" t="s">
        <v>2934</v>
      </c>
      <c r="C1399" s="1" t="s">
        <v>20</v>
      </c>
      <c r="D1399" s="1" t="s">
        <v>1187</v>
      </c>
      <c r="E1399" s="1" t="s">
        <v>1188</v>
      </c>
      <c r="F1399" s="1" t="s">
        <v>1189</v>
      </c>
      <c r="G1399" s="1" t="s">
        <v>1190</v>
      </c>
      <c r="H1399" s="2"/>
      <c r="I1399" s="2"/>
      <c r="J1399" s="2"/>
      <c r="K1399" s="2"/>
    </row>
    <row x14ac:dyDescent="0.25" r="1400" customHeight="1" ht="17.25">
      <c r="A1400" s="1" t="s">
        <v>2935</v>
      </c>
      <c r="B1400" s="1" t="s">
        <v>2936</v>
      </c>
      <c r="C1400" s="1" t="s">
        <v>20</v>
      </c>
      <c r="D1400" s="1" t="s">
        <v>1187</v>
      </c>
      <c r="E1400" s="1" t="s">
        <v>1188</v>
      </c>
      <c r="F1400" s="1" t="s">
        <v>1189</v>
      </c>
      <c r="G1400" s="1" t="s">
        <v>1190</v>
      </c>
      <c r="H1400" s="2"/>
      <c r="I1400" s="2"/>
      <c r="J1400" s="2"/>
      <c r="K1400" s="2"/>
    </row>
    <row x14ac:dyDescent="0.25" r="1401" customHeight="1" ht="17.25">
      <c r="A1401" s="1" t="s">
        <v>2937</v>
      </c>
      <c r="B1401" s="1" t="s">
        <v>2938</v>
      </c>
      <c r="C1401" s="1" t="s">
        <v>20</v>
      </c>
      <c r="D1401" s="1" t="s">
        <v>1187</v>
      </c>
      <c r="E1401" s="1" t="s">
        <v>1188</v>
      </c>
      <c r="F1401" s="1" t="s">
        <v>1189</v>
      </c>
      <c r="G1401" s="1" t="s">
        <v>1190</v>
      </c>
      <c r="H1401" s="2"/>
      <c r="I1401" s="2"/>
      <c r="J1401" s="2"/>
      <c r="K1401" s="2"/>
    </row>
    <row x14ac:dyDescent="0.25" r="1402" customHeight="1" ht="17.25">
      <c r="A1402" s="1" t="s">
        <v>2939</v>
      </c>
      <c r="B1402" s="1" t="s">
        <v>2940</v>
      </c>
      <c r="C1402" s="1" t="s">
        <v>20</v>
      </c>
      <c r="D1402" s="1" t="s">
        <v>1187</v>
      </c>
      <c r="E1402" s="1" t="s">
        <v>1188</v>
      </c>
      <c r="F1402" s="1" t="s">
        <v>1189</v>
      </c>
      <c r="G1402" s="1" t="s">
        <v>1190</v>
      </c>
      <c r="H1402" s="2"/>
      <c r="I1402" s="2"/>
      <c r="J1402" s="2"/>
      <c r="K1402" s="2"/>
    </row>
    <row x14ac:dyDescent="0.25" r="1403" customHeight="1" ht="17.25">
      <c r="A1403" s="1" t="s">
        <v>2941</v>
      </c>
      <c r="B1403" s="1" t="s">
        <v>2942</v>
      </c>
      <c r="C1403" s="1" t="s">
        <v>20</v>
      </c>
      <c r="D1403" s="1" t="s">
        <v>1187</v>
      </c>
      <c r="E1403" s="1" t="s">
        <v>1188</v>
      </c>
      <c r="F1403" s="1" t="s">
        <v>1189</v>
      </c>
      <c r="G1403" s="1" t="s">
        <v>1190</v>
      </c>
      <c r="H1403" s="2"/>
      <c r="I1403" s="2"/>
      <c r="J1403" s="2"/>
      <c r="K1403" s="2"/>
    </row>
    <row x14ac:dyDescent="0.25" r="1404" customHeight="1" ht="17.25">
      <c r="A1404" s="1" t="s">
        <v>2943</v>
      </c>
      <c r="B1404" s="1" t="s">
        <v>2944</v>
      </c>
      <c r="C1404" s="1" t="s">
        <v>20</v>
      </c>
      <c r="D1404" s="1" t="s">
        <v>1187</v>
      </c>
      <c r="E1404" s="1" t="s">
        <v>1188</v>
      </c>
      <c r="F1404" s="1" t="s">
        <v>1189</v>
      </c>
      <c r="G1404" s="1" t="s">
        <v>1190</v>
      </c>
      <c r="H1404" s="2"/>
      <c r="I1404" s="2"/>
      <c r="J1404" s="2"/>
      <c r="K1404" s="2"/>
    </row>
    <row x14ac:dyDescent="0.25" r="1405" customHeight="1" ht="17.25">
      <c r="A1405" s="1" t="s">
        <v>2945</v>
      </c>
      <c r="B1405" s="1" t="s">
        <v>2946</v>
      </c>
      <c r="C1405" s="1" t="s">
        <v>20</v>
      </c>
      <c r="D1405" s="1" t="s">
        <v>1187</v>
      </c>
      <c r="E1405" s="1" t="s">
        <v>1188</v>
      </c>
      <c r="F1405" s="1" t="s">
        <v>1189</v>
      </c>
      <c r="G1405" s="1" t="s">
        <v>1190</v>
      </c>
      <c r="H1405" s="2"/>
      <c r="I1405" s="2"/>
      <c r="J1405" s="2"/>
      <c r="K1405" s="2"/>
    </row>
    <row x14ac:dyDescent="0.25" r="1406" customHeight="1" ht="17.25">
      <c r="A1406" s="1" t="s">
        <v>2947</v>
      </c>
      <c r="B1406" s="1" t="s">
        <v>2948</v>
      </c>
      <c r="C1406" s="1" t="s">
        <v>20</v>
      </c>
      <c r="D1406" s="1" t="s">
        <v>1187</v>
      </c>
      <c r="E1406" s="1" t="s">
        <v>1188</v>
      </c>
      <c r="F1406" s="1" t="s">
        <v>1189</v>
      </c>
      <c r="G1406" s="1" t="s">
        <v>1190</v>
      </c>
      <c r="H1406" s="2"/>
      <c r="I1406" s="2"/>
      <c r="J1406" s="2"/>
      <c r="K1406" s="2"/>
    </row>
    <row x14ac:dyDescent="0.25" r="1407" customHeight="1" ht="17.25">
      <c r="A1407" s="1" t="s">
        <v>2949</v>
      </c>
      <c r="B1407" s="1" t="s">
        <v>2950</v>
      </c>
      <c r="C1407" s="1" t="s">
        <v>20</v>
      </c>
      <c r="D1407" s="1" t="s">
        <v>1187</v>
      </c>
      <c r="E1407" s="1" t="s">
        <v>1188</v>
      </c>
      <c r="F1407" s="1" t="s">
        <v>1189</v>
      </c>
      <c r="G1407" s="1" t="s">
        <v>1190</v>
      </c>
      <c r="H1407" s="2"/>
      <c r="I1407" s="2"/>
      <c r="J1407" s="2"/>
      <c r="K1407" s="2"/>
    </row>
    <row x14ac:dyDescent="0.25" r="1408" customHeight="1" ht="17.25">
      <c r="A1408" s="1" t="s">
        <v>2951</v>
      </c>
      <c r="B1408" s="1" t="s">
        <v>2952</v>
      </c>
      <c r="C1408" s="1" t="s">
        <v>20</v>
      </c>
      <c r="D1408" s="1" t="s">
        <v>1187</v>
      </c>
      <c r="E1408" s="1" t="s">
        <v>1188</v>
      </c>
      <c r="F1408" s="1" t="s">
        <v>1189</v>
      </c>
      <c r="G1408" s="1" t="s">
        <v>1190</v>
      </c>
      <c r="H1408" s="2"/>
      <c r="I1408" s="2"/>
      <c r="J1408" s="2"/>
      <c r="K1408" s="2"/>
    </row>
    <row x14ac:dyDescent="0.25" r="1409" customHeight="1" ht="17.25">
      <c r="A1409" s="1" t="s">
        <v>2953</v>
      </c>
      <c r="B1409" s="1" t="s">
        <v>2954</v>
      </c>
      <c r="C1409" s="1" t="s">
        <v>20</v>
      </c>
      <c r="D1409" s="1" t="s">
        <v>1187</v>
      </c>
      <c r="E1409" s="1" t="s">
        <v>1188</v>
      </c>
      <c r="F1409" s="1" t="s">
        <v>1189</v>
      </c>
      <c r="G1409" s="1" t="s">
        <v>1190</v>
      </c>
      <c r="H1409" s="2"/>
      <c r="I1409" s="2"/>
      <c r="J1409" s="2"/>
      <c r="K1409" s="2"/>
    </row>
    <row x14ac:dyDescent="0.25" r="1410" customHeight="1" ht="17.25">
      <c r="A1410" s="1" t="s">
        <v>2955</v>
      </c>
      <c r="B1410" s="1" t="s">
        <v>2956</v>
      </c>
      <c r="C1410" s="1" t="s">
        <v>20</v>
      </c>
      <c r="D1410" s="1" t="s">
        <v>1187</v>
      </c>
      <c r="E1410" s="1" t="s">
        <v>1188</v>
      </c>
      <c r="F1410" s="1" t="s">
        <v>1189</v>
      </c>
      <c r="G1410" s="1" t="s">
        <v>1190</v>
      </c>
      <c r="H1410" s="2"/>
      <c r="I1410" s="2"/>
      <c r="J1410" s="2"/>
      <c r="K1410" s="2"/>
    </row>
    <row x14ac:dyDescent="0.25" r="1411" customHeight="1" ht="17.25">
      <c r="A1411" s="1" t="s">
        <v>2957</v>
      </c>
      <c r="B1411" s="1" t="s">
        <v>2958</v>
      </c>
      <c r="C1411" s="1" t="s">
        <v>20</v>
      </c>
      <c r="D1411" s="1" t="s">
        <v>1187</v>
      </c>
      <c r="E1411" s="1" t="s">
        <v>1188</v>
      </c>
      <c r="F1411" s="1" t="s">
        <v>1189</v>
      </c>
      <c r="G1411" s="1" t="s">
        <v>1190</v>
      </c>
      <c r="H1411" s="2"/>
      <c r="I1411" s="2"/>
      <c r="J1411" s="2"/>
      <c r="K1411" s="2"/>
    </row>
    <row x14ac:dyDescent="0.25" r="1412" customHeight="1" ht="17.25">
      <c r="A1412" s="1" t="s">
        <v>2959</v>
      </c>
      <c r="B1412" s="1" t="s">
        <v>2960</v>
      </c>
      <c r="C1412" s="1" t="s">
        <v>20</v>
      </c>
      <c r="D1412" s="1" t="s">
        <v>1187</v>
      </c>
      <c r="E1412" s="1" t="s">
        <v>1188</v>
      </c>
      <c r="F1412" s="1" t="s">
        <v>1189</v>
      </c>
      <c r="G1412" s="1" t="s">
        <v>1190</v>
      </c>
      <c r="H1412" s="2"/>
      <c r="I1412" s="2"/>
      <c r="J1412" s="2"/>
      <c r="K1412" s="2"/>
    </row>
    <row x14ac:dyDescent="0.25" r="1413" customHeight="1" ht="17.25">
      <c r="A1413" s="1" t="s">
        <v>2961</v>
      </c>
      <c r="B1413" s="1" t="s">
        <v>2962</v>
      </c>
      <c r="C1413" s="1" t="s">
        <v>20</v>
      </c>
      <c r="D1413" s="1" t="s">
        <v>1187</v>
      </c>
      <c r="E1413" s="1" t="s">
        <v>1188</v>
      </c>
      <c r="F1413" s="1" t="s">
        <v>1189</v>
      </c>
      <c r="G1413" s="1" t="s">
        <v>1190</v>
      </c>
      <c r="H1413" s="2"/>
      <c r="I1413" s="2"/>
      <c r="J1413" s="2"/>
      <c r="K1413" s="2"/>
    </row>
    <row x14ac:dyDescent="0.25" r="1414" customHeight="1" ht="17.25">
      <c r="A1414" s="1" t="s">
        <v>2963</v>
      </c>
      <c r="B1414" s="1" t="s">
        <v>2964</v>
      </c>
      <c r="C1414" s="1" t="s">
        <v>20</v>
      </c>
      <c r="D1414" s="1" t="s">
        <v>1187</v>
      </c>
      <c r="E1414" s="1" t="s">
        <v>1188</v>
      </c>
      <c r="F1414" s="1" t="s">
        <v>1189</v>
      </c>
      <c r="G1414" s="1" t="s">
        <v>1190</v>
      </c>
      <c r="H1414" s="2"/>
      <c r="I1414" s="2"/>
      <c r="J1414" s="2"/>
      <c r="K1414" s="2"/>
    </row>
    <row x14ac:dyDescent="0.25" r="1415" customHeight="1" ht="17.25">
      <c r="A1415" s="1" t="s">
        <v>2965</v>
      </c>
      <c r="B1415" s="1" t="s">
        <v>2966</v>
      </c>
      <c r="C1415" s="1" t="s">
        <v>20</v>
      </c>
      <c r="D1415" s="1" t="s">
        <v>1187</v>
      </c>
      <c r="E1415" s="1" t="s">
        <v>1188</v>
      </c>
      <c r="F1415" s="1" t="s">
        <v>1189</v>
      </c>
      <c r="G1415" s="1" t="s">
        <v>1190</v>
      </c>
      <c r="H1415" s="2"/>
      <c r="I1415" s="2"/>
      <c r="J1415" s="2"/>
      <c r="K1415" s="2"/>
    </row>
    <row x14ac:dyDescent="0.25" r="1416" customHeight="1" ht="17.25">
      <c r="A1416" s="1" t="s">
        <v>2967</v>
      </c>
      <c r="B1416" s="1" t="s">
        <v>2968</v>
      </c>
      <c r="C1416" s="1" t="s">
        <v>20</v>
      </c>
      <c r="D1416" s="1" t="s">
        <v>1187</v>
      </c>
      <c r="E1416" s="1" t="s">
        <v>1188</v>
      </c>
      <c r="F1416" s="1" t="s">
        <v>1189</v>
      </c>
      <c r="G1416" s="1" t="s">
        <v>1190</v>
      </c>
      <c r="H1416" s="2"/>
      <c r="I1416" s="2"/>
      <c r="J1416" s="2"/>
      <c r="K1416" s="2"/>
    </row>
    <row x14ac:dyDescent="0.25" r="1417" customHeight="1" ht="17.25">
      <c r="A1417" s="1" t="s">
        <v>2969</v>
      </c>
      <c r="B1417" s="1" t="s">
        <v>2970</v>
      </c>
      <c r="C1417" s="1" t="s">
        <v>20</v>
      </c>
      <c r="D1417" s="1" t="s">
        <v>1187</v>
      </c>
      <c r="E1417" s="1" t="s">
        <v>1188</v>
      </c>
      <c r="F1417" s="1" t="s">
        <v>1189</v>
      </c>
      <c r="G1417" s="1" t="s">
        <v>1190</v>
      </c>
      <c r="H1417" s="2"/>
      <c r="I1417" s="2"/>
      <c r="J1417" s="2"/>
      <c r="K1417" s="2"/>
    </row>
    <row x14ac:dyDescent="0.25" r="1418" customHeight="1" ht="17.25">
      <c r="A1418" s="1" t="s">
        <v>2971</v>
      </c>
      <c r="B1418" s="1" t="s">
        <v>2972</v>
      </c>
      <c r="C1418" s="1" t="s">
        <v>20</v>
      </c>
      <c r="D1418" s="1" t="s">
        <v>1187</v>
      </c>
      <c r="E1418" s="1" t="s">
        <v>1188</v>
      </c>
      <c r="F1418" s="1" t="s">
        <v>1189</v>
      </c>
      <c r="G1418" s="1" t="s">
        <v>1190</v>
      </c>
      <c r="H1418" s="2"/>
      <c r="I1418" s="2"/>
      <c r="J1418" s="2"/>
      <c r="K1418" s="2"/>
    </row>
    <row x14ac:dyDescent="0.25" r="1419" customHeight="1" ht="17.25">
      <c r="A1419" s="1" t="s">
        <v>2973</v>
      </c>
      <c r="B1419" s="1" t="s">
        <v>2974</v>
      </c>
      <c r="C1419" s="1" t="s">
        <v>20</v>
      </c>
      <c r="D1419" s="1" t="s">
        <v>1187</v>
      </c>
      <c r="E1419" s="1" t="s">
        <v>1188</v>
      </c>
      <c r="F1419" s="1" t="s">
        <v>1189</v>
      </c>
      <c r="G1419" s="1" t="s">
        <v>1190</v>
      </c>
      <c r="H1419" s="2"/>
      <c r="I1419" s="2"/>
      <c r="J1419" s="2"/>
      <c r="K1419" s="2"/>
    </row>
    <row x14ac:dyDescent="0.25" r="1420" customHeight="1" ht="17.25">
      <c r="A1420" s="1" t="s">
        <v>2975</v>
      </c>
      <c r="B1420" s="1" t="s">
        <v>2976</v>
      </c>
      <c r="C1420" s="1" t="s">
        <v>20</v>
      </c>
      <c r="D1420" s="1" t="s">
        <v>1187</v>
      </c>
      <c r="E1420" s="1" t="s">
        <v>1188</v>
      </c>
      <c r="F1420" s="1" t="s">
        <v>1189</v>
      </c>
      <c r="G1420" s="1" t="s">
        <v>1190</v>
      </c>
      <c r="H1420" s="2"/>
      <c r="I1420" s="2"/>
      <c r="J1420" s="2"/>
      <c r="K1420" s="2"/>
    </row>
    <row x14ac:dyDescent="0.25" r="1421" customHeight="1" ht="17.25">
      <c r="A1421" s="1" t="s">
        <v>2977</v>
      </c>
      <c r="B1421" s="1" t="s">
        <v>2978</v>
      </c>
      <c r="C1421" s="1" t="s">
        <v>20</v>
      </c>
      <c r="D1421" s="1" t="s">
        <v>1187</v>
      </c>
      <c r="E1421" s="1" t="s">
        <v>1188</v>
      </c>
      <c r="F1421" s="1" t="s">
        <v>1189</v>
      </c>
      <c r="G1421" s="1" t="s">
        <v>1190</v>
      </c>
      <c r="H1421" s="2"/>
      <c r="I1421" s="2"/>
      <c r="J1421" s="2"/>
      <c r="K1421" s="2"/>
    </row>
    <row x14ac:dyDescent="0.25" r="1422" customHeight="1" ht="17.25">
      <c r="A1422" s="1" t="s">
        <v>2979</v>
      </c>
      <c r="B1422" s="1" t="s">
        <v>2980</v>
      </c>
      <c r="C1422" s="1" t="s">
        <v>20</v>
      </c>
      <c r="D1422" s="1" t="s">
        <v>1187</v>
      </c>
      <c r="E1422" s="1" t="s">
        <v>1188</v>
      </c>
      <c r="F1422" s="1" t="s">
        <v>1189</v>
      </c>
      <c r="G1422" s="1" t="s">
        <v>1190</v>
      </c>
      <c r="H1422" s="2"/>
      <c r="I1422" s="2"/>
      <c r="J1422" s="2"/>
      <c r="K1422" s="2"/>
    </row>
    <row x14ac:dyDescent="0.25" r="1423" customHeight="1" ht="17.25">
      <c r="A1423" s="1" t="s">
        <v>2981</v>
      </c>
      <c r="B1423" s="1" t="s">
        <v>2982</v>
      </c>
      <c r="C1423" s="1" t="s">
        <v>20</v>
      </c>
      <c r="D1423" s="1" t="s">
        <v>1187</v>
      </c>
      <c r="E1423" s="1" t="s">
        <v>1188</v>
      </c>
      <c r="F1423" s="1" t="s">
        <v>1189</v>
      </c>
      <c r="G1423" s="1" t="s">
        <v>1190</v>
      </c>
      <c r="H1423" s="2"/>
      <c r="I1423" s="2"/>
      <c r="J1423" s="2"/>
      <c r="K1423" s="2"/>
    </row>
    <row x14ac:dyDescent="0.25" r="1424" customHeight="1" ht="17.25">
      <c r="A1424" s="1" t="s">
        <v>2983</v>
      </c>
      <c r="B1424" s="1" t="s">
        <v>2984</v>
      </c>
      <c r="C1424" s="1" t="s">
        <v>20</v>
      </c>
      <c r="D1424" s="1" t="s">
        <v>1187</v>
      </c>
      <c r="E1424" s="1" t="s">
        <v>1188</v>
      </c>
      <c r="F1424" s="1" t="s">
        <v>1189</v>
      </c>
      <c r="G1424" s="1" t="s">
        <v>1190</v>
      </c>
      <c r="H1424" s="2"/>
      <c r="I1424" s="2"/>
      <c r="J1424" s="2"/>
      <c r="K1424" s="2"/>
    </row>
    <row x14ac:dyDescent="0.25" r="1425" customHeight="1" ht="17.25">
      <c r="A1425" s="1" t="s">
        <v>2985</v>
      </c>
      <c r="B1425" s="1" t="s">
        <v>2986</v>
      </c>
      <c r="C1425" s="1" t="s">
        <v>20</v>
      </c>
      <c r="D1425" s="1" t="s">
        <v>1187</v>
      </c>
      <c r="E1425" s="1" t="s">
        <v>1188</v>
      </c>
      <c r="F1425" s="1" t="s">
        <v>1189</v>
      </c>
      <c r="G1425" s="1" t="s">
        <v>1190</v>
      </c>
      <c r="H1425" s="2"/>
      <c r="I1425" s="2"/>
      <c r="J1425" s="2"/>
      <c r="K1425" s="2"/>
    </row>
    <row x14ac:dyDescent="0.25" r="1426" customHeight="1" ht="17.25">
      <c r="A1426" s="1" t="s">
        <v>2987</v>
      </c>
      <c r="B1426" s="1" t="s">
        <v>2988</v>
      </c>
      <c r="C1426" s="1" t="s">
        <v>20</v>
      </c>
      <c r="D1426" s="1" t="s">
        <v>1187</v>
      </c>
      <c r="E1426" s="1" t="s">
        <v>1188</v>
      </c>
      <c r="F1426" s="1" t="s">
        <v>1189</v>
      </c>
      <c r="G1426" s="1" t="s">
        <v>1190</v>
      </c>
      <c r="H1426" s="2"/>
      <c r="I1426" s="2"/>
      <c r="J1426" s="2"/>
      <c r="K1426" s="2"/>
    </row>
    <row x14ac:dyDescent="0.25" r="1427" customHeight="1" ht="17.25">
      <c r="A1427" s="1" t="s">
        <v>2989</v>
      </c>
      <c r="B1427" s="1" t="s">
        <v>2990</v>
      </c>
      <c r="C1427" s="1" t="s">
        <v>20</v>
      </c>
      <c r="D1427" s="1" t="s">
        <v>1187</v>
      </c>
      <c r="E1427" s="1" t="s">
        <v>1188</v>
      </c>
      <c r="F1427" s="1" t="s">
        <v>1189</v>
      </c>
      <c r="G1427" s="1" t="s">
        <v>1190</v>
      </c>
      <c r="H1427" s="2"/>
      <c r="I1427" s="2"/>
      <c r="J1427" s="2"/>
      <c r="K1427" s="2"/>
    </row>
    <row x14ac:dyDescent="0.25" r="1428" customHeight="1" ht="17.25">
      <c r="A1428" s="1" t="s">
        <v>2991</v>
      </c>
      <c r="B1428" s="1" t="s">
        <v>2992</v>
      </c>
      <c r="C1428" s="1" t="s">
        <v>20</v>
      </c>
      <c r="D1428" s="1" t="s">
        <v>1187</v>
      </c>
      <c r="E1428" s="1" t="s">
        <v>1188</v>
      </c>
      <c r="F1428" s="1" t="s">
        <v>1189</v>
      </c>
      <c r="G1428" s="1" t="s">
        <v>1190</v>
      </c>
      <c r="H1428" s="2"/>
      <c r="I1428" s="2"/>
      <c r="J1428" s="2"/>
      <c r="K1428" s="2"/>
    </row>
    <row x14ac:dyDescent="0.25" r="1429" customHeight="1" ht="17.25">
      <c r="A1429" s="1" t="s">
        <v>2993</v>
      </c>
      <c r="B1429" s="1" t="s">
        <v>2994</v>
      </c>
      <c r="C1429" s="1" t="s">
        <v>20</v>
      </c>
      <c r="D1429" s="1" t="s">
        <v>1187</v>
      </c>
      <c r="E1429" s="1" t="s">
        <v>1188</v>
      </c>
      <c r="F1429" s="1" t="s">
        <v>1189</v>
      </c>
      <c r="G1429" s="1" t="s">
        <v>1190</v>
      </c>
      <c r="H1429" s="2"/>
      <c r="I1429" s="2"/>
      <c r="J1429" s="2"/>
      <c r="K1429" s="2"/>
    </row>
    <row x14ac:dyDescent="0.25" r="1430" customHeight="1" ht="17.25">
      <c r="A1430" s="1" t="s">
        <v>2995</v>
      </c>
      <c r="B1430" s="1" t="s">
        <v>2996</v>
      </c>
      <c r="C1430" s="1" t="s">
        <v>20</v>
      </c>
      <c r="D1430" s="1" t="s">
        <v>1187</v>
      </c>
      <c r="E1430" s="1" t="s">
        <v>1188</v>
      </c>
      <c r="F1430" s="1" t="s">
        <v>1189</v>
      </c>
      <c r="G1430" s="1" t="s">
        <v>1190</v>
      </c>
      <c r="H1430" s="2"/>
      <c r="I1430" s="2"/>
      <c r="J1430" s="2"/>
      <c r="K1430" s="2"/>
    </row>
    <row x14ac:dyDescent="0.25" r="1431" customHeight="1" ht="17.25">
      <c r="A1431" s="1" t="s">
        <v>2997</v>
      </c>
      <c r="B1431" s="1" t="s">
        <v>2998</v>
      </c>
      <c r="C1431" s="1" t="s">
        <v>20</v>
      </c>
      <c r="D1431" s="1" t="s">
        <v>1187</v>
      </c>
      <c r="E1431" s="1" t="s">
        <v>1188</v>
      </c>
      <c r="F1431" s="1" t="s">
        <v>1189</v>
      </c>
      <c r="G1431" s="1" t="s">
        <v>1190</v>
      </c>
      <c r="H1431" s="2"/>
      <c r="I1431" s="2"/>
      <c r="J1431" s="2"/>
      <c r="K1431" s="2"/>
    </row>
    <row x14ac:dyDescent="0.25" r="1432" customHeight="1" ht="17.25">
      <c r="A1432" s="1" t="s">
        <v>2999</v>
      </c>
      <c r="B1432" s="1" t="s">
        <v>3000</v>
      </c>
      <c r="C1432" s="1" t="s">
        <v>20</v>
      </c>
      <c r="D1432" s="1" t="s">
        <v>1187</v>
      </c>
      <c r="E1432" s="1" t="s">
        <v>1188</v>
      </c>
      <c r="F1432" s="1" t="s">
        <v>1189</v>
      </c>
      <c r="G1432" s="1" t="s">
        <v>1190</v>
      </c>
      <c r="H1432" s="2"/>
      <c r="I1432" s="2"/>
      <c r="J1432" s="2"/>
      <c r="K1432" s="2"/>
    </row>
    <row x14ac:dyDescent="0.25" r="1433" customHeight="1" ht="17.25">
      <c r="A1433" s="1" t="s">
        <v>3001</v>
      </c>
      <c r="B1433" s="1" t="s">
        <v>3002</v>
      </c>
      <c r="C1433" s="1" t="s">
        <v>20</v>
      </c>
      <c r="D1433" s="1" t="s">
        <v>1187</v>
      </c>
      <c r="E1433" s="1" t="s">
        <v>1188</v>
      </c>
      <c r="F1433" s="1" t="s">
        <v>1189</v>
      </c>
      <c r="G1433" s="1" t="s">
        <v>1190</v>
      </c>
      <c r="H1433" s="2"/>
      <c r="I1433" s="2"/>
      <c r="J1433" s="2"/>
      <c r="K1433" s="2"/>
    </row>
    <row x14ac:dyDescent="0.25" r="1434" customHeight="1" ht="17.25">
      <c r="A1434" s="1" t="s">
        <v>3003</v>
      </c>
      <c r="B1434" s="1" t="s">
        <v>3004</v>
      </c>
      <c r="C1434" s="1" t="s">
        <v>20</v>
      </c>
      <c r="D1434" s="1" t="s">
        <v>1187</v>
      </c>
      <c r="E1434" s="1" t="s">
        <v>1188</v>
      </c>
      <c r="F1434" s="1" t="s">
        <v>1189</v>
      </c>
      <c r="G1434" s="1" t="s">
        <v>1190</v>
      </c>
      <c r="H1434" s="2"/>
      <c r="I1434" s="2"/>
      <c r="J1434" s="2"/>
      <c r="K1434" s="2"/>
    </row>
    <row x14ac:dyDescent="0.25" r="1435" customHeight="1" ht="17.25">
      <c r="A1435" s="1" t="s">
        <v>3005</v>
      </c>
      <c r="B1435" s="1" t="s">
        <v>3006</v>
      </c>
      <c r="C1435" s="1" t="s">
        <v>20</v>
      </c>
      <c r="D1435" s="1" t="s">
        <v>1187</v>
      </c>
      <c r="E1435" s="1" t="s">
        <v>1188</v>
      </c>
      <c r="F1435" s="1" t="s">
        <v>1189</v>
      </c>
      <c r="G1435" s="1" t="s">
        <v>1190</v>
      </c>
      <c r="H1435" s="2"/>
      <c r="I1435" s="2"/>
      <c r="J1435" s="2"/>
      <c r="K1435" s="2"/>
    </row>
    <row x14ac:dyDescent="0.25" r="1436" customHeight="1" ht="17.25">
      <c r="A1436" s="1" t="s">
        <v>3007</v>
      </c>
      <c r="B1436" s="1" t="s">
        <v>3008</v>
      </c>
      <c r="C1436" s="1" t="s">
        <v>20</v>
      </c>
      <c r="D1436" s="1" t="s">
        <v>1187</v>
      </c>
      <c r="E1436" s="1" t="s">
        <v>1188</v>
      </c>
      <c r="F1436" s="1" t="s">
        <v>1189</v>
      </c>
      <c r="G1436" s="1" t="s">
        <v>1190</v>
      </c>
      <c r="H1436" s="2"/>
      <c r="I1436" s="2"/>
      <c r="J1436" s="2"/>
      <c r="K1436" s="2"/>
    </row>
    <row x14ac:dyDescent="0.25" r="1437" customHeight="1" ht="17.25">
      <c r="A1437" s="1" t="s">
        <v>3009</v>
      </c>
      <c r="B1437" s="1" t="s">
        <v>3010</v>
      </c>
      <c r="C1437" s="1" t="s">
        <v>20</v>
      </c>
      <c r="D1437" s="1" t="s">
        <v>1187</v>
      </c>
      <c r="E1437" s="1" t="s">
        <v>1188</v>
      </c>
      <c r="F1437" s="1" t="s">
        <v>1189</v>
      </c>
      <c r="G1437" s="1" t="s">
        <v>1190</v>
      </c>
      <c r="H1437" s="2"/>
      <c r="I1437" s="2"/>
      <c r="J1437" s="2"/>
      <c r="K1437" s="2"/>
    </row>
    <row x14ac:dyDescent="0.25" r="1438" customHeight="1" ht="17.25">
      <c r="A1438" s="1" t="s">
        <v>3011</v>
      </c>
      <c r="B1438" s="1" t="s">
        <v>3012</v>
      </c>
      <c r="C1438" s="1" t="s">
        <v>20</v>
      </c>
      <c r="D1438" s="1" t="s">
        <v>1187</v>
      </c>
      <c r="E1438" s="1" t="s">
        <v>1188</v>
      </c>
      <c r="F1438" s="1" t="s">
        <v>1189</v>
      </c>
      <c r="G1438" s="1" t="s">
        <v>1190</v>
      </c>
      <c r="H1438" s="2"/>
      <c r="I1438" s="2"/>
      <c r="J1438" s="2"/>
      <c r="K1438" s="2"/>
    </row>
    <row x14ac:dyDescent="0.25" r="1439" customHeight="1" ht="17.25">
      <c r="A1439" s="1" t="s">
        <v>3013</v>
      </c>
      <c r="B1439" s="1" t="s">
        <v>3014</v>
      </c>
      <c r="C1439" s="1" t="s">
        <v>20</v>
      </c>
      <c r="D1439" s="1" t="s">
        <v>1187</v>
      </c>
      <c r="E1439" s="1" t="s">
        <v>1188</v>
      </c>
      <c r="F1439" s="1" t="s">
        <v>1189</v>
      </c>
      <c r="G1439" s="1" t="s">
        <v>1190</v>
      </c>
      <c r="H1439" s="2"/>
      <c r="I1439" s="2"/>
      <c r="J1439" s="2"/>
      <c r="K1439" s="2"/>
    </row>
    <row x14ac:dyDescent="0.25" r="1440" customHeight="1" ht="17.25">
      <c r="A1440" s="1" t="s">
        <v>3015</v>
      </c>
      <c r="B1440" s="1" t="s">
        <v>3016</v>
      </c>
      <c r="C1440" s="1" t="s">
        <v>20</v>
      </c>
      <c r="D1440" s="1" t="s">
        <v>1187</v>
      </c>
      <c r="E1440" s="1" t="s">
        <v>1188</v>
      </c>
      <c r="F1440" s="1" t="s">
        <v>1189</v>
      </c>
      <c r="G1440" s="1" t="s">
        <v>1190</v>
      </c>
      <c r="H1440" s="2"/>
      <c r="I1440" s="2"/>
      <c r="J1440" s="2"/>
      <c r="K1440" s="2"/>
    </row>
    <row x14ac:dyDescent="0.25" r="1441" customHeight="1" ht="17.25">
      <c r="A1441" s="1" t="s">
        <v>3017</v>
      </c>
      <c r="B1441" s="1" t="s">
        <v>3018</v>
      </c>
      <c r="C1441" s="1" t="s">
        <v>20</v>
      </c>
      <c r="D1441" s="1" t="s">
        <v>1187</v>
      </c>
      <c r="E1441" s="1" t="s">
        <v>1188</v>
      </c>
      <c r="F1441" s="1" t="s">
        <v>1189</v>
      </c>
      <c r="G1441" s="1" t="s">
        <v>1190</v>
      </c>
      <c r="H1441" s="2"/>
      <c r="I1441" s="2"/>
      <c r="J1441" s="2"/>
      <c r="K1441" s="2"/>
    </row>
    <row x14ac:dyDescent="0.25" r="1442" customHeight="1" ht="17.25">
      <c r="A1442" s="1" t="s">
        <v>3019</v>
      </c>
      <c r="B1442" s="1" t="s">
        <v>3020</v>
      </c>
      <c r="C1442" s="1" t="s">
        <v>20</v>
      </c>
      <c r="D1442" s="1" t="s">
        <v>1187</v>
      </c>
      <c r="E1442" s="1" t="s">
        <v>1188</v>
      </c>
      <c r="F1442" s="1" t="s">
        <v>1189</v>
      </c>
      <c r="G1442" s="1" t="s">
        <v>1190</v>
      </c>
      <c r="H1442" s="2"/>
      <c r="I1442" s="2"/>
      <c r="J1442" s="2"/>
      <c r="K1442" s="2"/>
    </row>
    <row x14ac:dyDescent="0.25" r="1443" customHeight="1" ht="17.25">
      <c r="A1443" s="1" t="s">
        <v>3021</v>
      </c>
      <c r="B1443" s="1" t="s">
        <v>3022</v>
      </c>
      <c r="C1443" s="1" t="s">
        <v>20</v>
      </c>
      <c r="D1443" s="1" t="s">
        <v>1187</v>
      </c>
      <c r="E1443" s="1" t="s">
        <v>1188</v>
      </c>
      <c r="F1443" s="1" t="s">
        <v>1189</v>
      </c>
      <c r="G1443" s="1" t="s">
        <v>1190</v>
      </c>
      <c r="H1443" s="2"/>
      <c r="I1443" s="2"/>
      <c r="J1443" s="2"/>
      <c r="K1443" s="2"/>
    </row>
    <row x14ac:dyDescent="0.25" r="1444" customHeight="1" ht="17.25">
      <c r="A1444" s="1" t="s">
        <v>3023</v>
      </c>
      <c r="B1444" s="1" t="s">
        <v>3024</v>
      </c>
      <c r="C1444" s="1" t="s">
        <v>20</v>
      </c>
      <c r="D1444" s="1" t="s">
        <v>1187</v>
      </c>
      <c r="E1444" s="1" t="s">
        <v>1188</v>
      </c>
      <c r="F1444" s="1" t="s">
        <v>1189</v>
      </c>
      <c r="G1444" s="1" t="s">
        <v>1190</v>
      </c>
      <c r="H1444" s="2"/>
      <c r="I1444" s="2"/>
      <c r="J1444" s="2"/>
      <c r="K1444" s="2"/>
    </row>
    <row x14ac:dyDescent="0.25" r="1445" customHeight="1" ht="17.25">
      <c r="A1445" s="1" t="s">
        <v>3025</v>
      </c>
      <c r="B1445" s="1" t="s">
        <v>3026</v>
      </c>
      <c r="C1445" s="1" t="s">
        <v>20</v>
      </c>
      <c r="D1445" s="1" t="s">
        <v>1187</v>
      </c>
      <c r="E1445" s="1" t="s">
        <v>1188</v>
      </c>
      <c r="F1445" s="1" t="s">
        <v>1189</v>
      </c>
      <c r="G1445" s="1" t="s">
        <v>1190</v>
      </c>
      <c r="H1445" s="2"/>
      <c r="I1445" s="2"/>
      <c r="J1445" s="2"/>
      <c r="K1445" s="2"/>
    </row>
    <row x14ac:dyDescent="0.25" r="1446" customHeight="1" ht="17.25">
      <c r="A1446" s="1" t="s">
        <v>3027</v>
      </c>
      <c r="B1446" s="1" t="s">
        <v>3028</v>
      </c>
      <c r="C1446" s="1" t="s">
        <v>20</v>
      </c>
      <c r="D1446" s="1" t="s">
        <v>1187</v>
      </c>
      <c r="E1446" s="1" t="s">
        <v>1188</v>
      </c>
      <c r="F1446" s="1" t="s">
        <v>1189</v>
      </c>
      <c r="G1446" s="1" t="s">
        <v>1190</v>
      </c>
      <c r="H1446" s="2"/>
      <c r="I1446" s="2"/>
      <c r="J1446" s="2"/>
      <c r="K1446" s="2"/>
    </row>
    <row x14ac:dyDescent="0.25" r="1447" customHeight="1" ht="17.25">
      <c r="A1447" s="1" t="s">
        <v>3029</v>
      </c>
      <c r="B1447" s="1" t="s">
        <v>3030</v>
      </c>
      <c r="C1447" s="1" t="s">
        <v>20</v>
      </c>
      <c r="D1447" s="1" t="s">
        <v>1187</v>
      </c>
      <c r="E1447" s="1" t="s">
        <v>1188</v>
      </c>
      <c r="F1447" s="1" t="s">
        <v>1189</v>
      </c>
      <c r="G1447" s="1" t="s">
        <v>1190</v>
      </c>
      <c r="H1447" s="2"/>
      <c r="I1447" s="2"/>
      <c r="J1447" s="2"/>
      <c r="K1447" s="2"/>
    </row>
    <row x14ac:dyDescent="0.25" r="1448" customHeight="1" ht="17.25">
      <c r="A1448" s="1" t="s">
        <v>3031</v>
      </c>
      <c r="B1448" s="1" t="s">
        <v>3032</v>
      </c>
      <c r="C1448" s="1" t="s">
        <v>20</v>
      </c>
      <c r="D1448" s="1" t="s">
        <v>1187</v>
      </c>
      <c r="E1448" s="1" t="s">
        <v>1188</v>
      </c>
      <c r="F1448" s="1" t="s">
        <v>1189</v>
      </c>
      <c r="G1448" s="1" t="s">
        <v>1190</v>
      </c>
      <c r="H1448" s="2"/>
      <c r="I1448" s="2"/>
      <c r="J1448" s="2"/>
      <c r="K1448" s="2"/>
    </row>
    <row x14ac:dyDescent="0.25" r="1449" customHeight="1" ht="17.25">
      <c r="A1449" s="1" t="s">
        <v>3033</v>
      </c>
      <c r="B1449" s="1" t="s">
        <v>3034</v>
      </c>
      <c r="C1449" s="1" t="s">
        <v>20</v>
      </c>
      <c r="D1449" s="1" t="s">
        <v>1187</v>
      </c>
      <c r="E1449" s="1" t="s">
        <v>1188</v>
      </c>
      <c r="F1449" s="1" t="s">
        <v>1189</v>
      </c>
      <c r="G1449" s="1" t="s">
        <v>1190</v>
      </c>
      <c r="H1449" s="2"/>
      <c r="I1449" s="2"/>
      <c r="J1449" s="2"/>
      <c r="K1449" s="2"/>
    </row>
    <row x14ac:dyDescent="0.25" r="1450" customHeight="1" ht="17.25">
      <c r="A1450" s="1" t="s">
        <v>3035</v>
      </c>
      <c r="B1450" s="1" t="s">
        <v>3036</v>
      </c>
      <c r="C1450" s="1" t="s">
        <v>20</v>
      </c>
      <c r="D1450" s="1" t="s">
        <v>1187</v>
      </c>
      <c r="E1450" s="1" t="s">
        <v>1188</v>
      </c>
      <c r="F1450" s="1" t="s">
        <v>1189</v>
      </c>
      <c r="G1450" s="1" t="s">
        <v>1190</v>
      </c>
      <c r="H1450" s="2"/>
      <c r="I1450" s="2"/>
      <c r="J1450" s="2"/>
      <c r="K1450" s="2"/>
    </row>
    <row x14ac:dyDescent="0.25" r="1451" customHeight="1" ht="17.25">
      <c r="A1451" s="1" t="s">
        <v>3037</v>
      </c>
      <c r="B1451" s="1" t="s">
        <v>3038</v>
      </c>
      <c r="C1451" s="1" t="s">
        <v>20</v>
      </c>
      <c r="D1451" s="1" t="s">
        <v>1187</v>
      </c>
      <c r="E1451" s="1" t="s">
        <v>1188</v>
      </c>
      <c r="F1451" s="1" t="s">
        <v>1189</v>
      </c>
      <c r="G1451" s="1" t="s">
        <v>1190</v>
      </c>
      <c r="H1451" s="2"/>
      <c r="I1451" s="2"/>
      <c r="J1451" s="2"/>
      <c r="K1451" s="2"/>
    </row>
    <row x14ac:dyDescent="0.25" r="1452" customHeight="1" ht="17.25">
      <c r="A1452" s="1" t="s">
        <v>3039</v>
      </c>
      <c r="B1452" s="1" t="s">
        <v>3040</v>
      </c>
      <c r="C1452" s="1" t="s">
        <v>20</v>
      </c>
      <c r="D1452" s="1" t="s">
        <v>1187</v>
      </c>
      <c r="E1452" s="1" t="s">
        <v>1188</v>
      </c>
      <c r="F1452" s="1" t="s">
        <v>1189</v>
      </c>
      <c r="G1452" s="1" t="s">
        <v>1190</v>
      </c>
      <c r="H1452" s="2"/>
      <c r="I1452" s="2"/>
      <c r="J1452" s="2"/>
      <c r="K1452" s="2"/>
    </row>
    <row x14ac:dyDescent="0.25" r="1453" customHeight="1" ht="17.25">
      <c r="A1453" s="1" t="s">
        <v>3041</v>
      </c>
      <c r="B1453" s="1" t="s">
        <v>3042</v>
      </c>
      <c r="C1453" s="1" t="s">
        <v>20</v>
      </c>
      <c r="D1453" s="1" t="s">
        <v>1187</v>
      </c>
      <c r="E1453" s="1" t="s">
        <v>1188</v>
      </c>
      <c r="F1453" s="1" t="s">
        <v>1189</v>
      </c>
      <c r="G1453" s="1" t="s">
        <v>1190</v>
      </c>
      <c r="H1453" s="2"/>
      <c r="I1453" s="2"/>
      <c r="J1453" s="2"/>
      <c r="K1453" s="2"/>
    </row>
    <row x14ac:dyDescent="0.25" r="1454" customHeight="1" ht="17.25">
      <c r="A1454" s="1" t="s">
        <v>3043</v>
      </c>
      <c r="B1454" s="1" t="s">
        <v>3044</v>
      </c>
      <c r="C1454" s="1" t="s">
        <v>20</v>
      </c>
      <c r="D1454" s="1" t="s">
        <v>1187</v>
      </c>
      <c r="E1454" s="1" t="s">
        <v>1188</v>
      </c>
      <c r="F1454" s="1" t="s">
        <v>1189</v>
      </c>
      <c r="G1454" s="1" t="s">
        <v>1190</v>
      </c>
      <c r="H1454" s="2"/>
      <c r="I1454" s="2"/>
      <c r="J1454" s="2"/>
      <c r="K1454" s="2"/>
    </row>
    <row x14ac:dyDescent="0.25" r="1455" customHeight="1" ht="17.25">
      <c r="A1455" s="1" t="s">
        <v>3045</v>
      </c>
      <c r="B1455" s="1" t="s">
        <v>3046</v>
      </c>
      <c r="C1455" s="1" t="s">
        <v>20</v>
      </c>
      <c r="D1455" s="1" t="s">
        <v>1187</v>
      </c>
      <c r="E1455" s="1" t="s">
        <v>1188</v>
      </c>
      <c r="F1455" s="1" t="s">
        <v>1189</v>
      </c>
      <c r="G1455" s="1" t="s">
        <v>1190</v>
      </c>
      <c r="H1455" s="2"/>
      <c r="I1455" s="2"/>
      <c r="J1455" s="2"/>
      <c r="K1455" s="2"/>
    </row>
    <row x14ac:dyDescent="0.25" r="1456" customHeight="1" ht="17.25">
      <c r="A1456" s="1" t="s">
        <v>3047</v>
      </c>
      <c r="B1456" s="1" t="s">
        <v>3048</v>
      </c>
      <c r="C1456" s="1" t="s">
        <v>20</v>
      </c>
      <c r="D1456" s="1" t="s">
        <v>1187</v>
      </c>
      <c r="E1456" s="1" t="s">
        <v>1188</v>
      </c>
      <c r="F1456" s="1" t="s">
        <v>1189</v>
      </c>
      <c r="G1456" s="1" t="s">
        <v>1190</v>
      </c>
      <c r="H1456" s="2"/>
      <c r="I1456" s="2"/>
      <c r="J1456" s="2"/>
      <c r="K1456" s="2"/>
    </row>
    <row x14ac:dyDescent="0.25" r="1457" customHeight="1" ht="17.25">
      <c r="A1457" s="1" t="s">
        <v>3049</v>
      </c>
      <c r="B1457" s="1" t="s">
        <v>3050</v>
      </c>
      <c r="C1457" s="1" t="s">
        <v>20</v>
      </c>
      <c r="D1457" s="1" t="s">
        <v>1187</v>
      </c>
      <c r="E1457" s="1" t="s">
        <v>1188</v>
      </c>
      <c r="F1457" s="1" t="s">
        <v>1189</v>
      </c>
      <c r="G1457" s="1" t="s">
        <v>1190</v>
      </c>
      <c r="H1457" s="2"/>
      <c r="I1457" s="2"/>
      <c r="J1457" s="2"/>
      <c r="K1457" s="2"/>
    </row>
    <row x14ac:dyDescent="0.25" r="1458" customHeight="1" ht="17.25">
      <c r="A1458" s="1" t="s">
        <v>3051</v>
      </c>
      <c r="B1458" s="1" t="s">
        <v>3052</v>
      </c>
      <c r="C1458" s="1" t="s">
        <v>20</v>
      </c>
      <c r="D1458" s="1" t="s">
        <v>1187</v>
      </c>
      <c r="E1458" s="1" t="s">
        <v>1188</v>
      </c>
      <c r="F1458" s="1" t="s">
        <v>1189</v>
      </c>
      <c r="G1458" s="1" t="s">
        <v>1190</v>
      </c>
      <c r="H1458" s="2"/>
      <c r="I1458" s="2"/>
      <c r="J1458" s="2"/>
      <c r="K1458" s="2"/>
    </row>
    <row x14ac:dyDescent="0.25" r="1459" customHeight="1" ht="17.25">
      <c r="A1459" s="1" t="s">
        <v>3053</v>
      </c>
      <c r="B1459" s="1" t="s">
        <v>3054</v>
      </c>
      <c r="C1459" s="1" t="s">
        <v>20</v>
      </c>
      <c r="D1459" s="1" t="s">
        <v>1187</v>
      </c>
      <c r="E1459" s="1" t="s">
        <v>1188</v>
      </c>
      <c r="F1459" s="1" t="s">
        <v>1189</v>
      </c>
      <c r="G1459" s="1" t="s">
        <v>1190</v>
      </c>
      <c r="H1459" s="2"/>
      <c r="I1459" s="2"/>
      <c r="J1459" s="2"/>
      <c r="K1459" s="2"/>
    </row>
    <row x14ac:dyDescent="0.25" r="1460" customHeight="1" ht="17.25">
      <c r="A1460" s="1" t="s">
        <v>3055</v>
      </c>
      <c r="B1460" s="1" t="s">
        <v>3056</v>
      </c>
      <c r="C1460" s="1" t="s">
        <v>20</v>
      </c>
      <c r="D1460" s="1" t="s">
        <v>1187</v>
      </c>
      <c r="E1460" s="1" t="s">
        <v>1188</v>
      </c>
      <c r="F1460" s="1" t="s">
        <v>1189</v>
      </c>
      <c r="G1460" s="1" t="s">
        <v>1190</v>
      </c>
      <c r="H1460" s="2"/>
      <c r="I1460" s="2"/>
      <c r="J1460" s="2"/>
      <c r="K1460" s="2"/>
    </row>
    <row x14ac:dyDescent="0.25" r="1461" customHeight="1" ht="17.25">
      <c r="A1461" s="1" t="s">
        <v>3057</v>
      </c>
      <c r="B1461" s="1" t="s">
        <v>3058</v>
      </c>
      <c r="C1461" s="1" t="s">
        <v>20</v>
      </c>
      <c r="D1461" s="1" t="s">
        <v>1187</v>
      </c>
      <c r="E1461" s="1" t="s">
        <v>1188</v>
      </c>
      <c r="F1461" s="1" t="s">
        <v>1189</v>
      </c>
      <c r="G1461" s="1" t="s">
        <v>1190</v>
      </c>
      <c r="H1461" s="2"/>
      <c r="I1461" s="2"/>
      <c r="J1461" s="2"/>
      <c r="K1461" s="2"/>
    </row>
    <row x14ac:dyDescent="0.25" r="1462" customHeight="1" ht="17.25">
      <c r="A1462" s="1" t="s">
        <v>3059</v>
      </c>
      <c r="B1462" s="1" t="s">
        <v>3060</v>
      </c>
      <c r="C1462" s="1" t="s">
        <v>20</v>
      </c>
      <c r="D1462" s="1" t="s">
        <v>1187</v>
      </c>
      <c r="E1462" s="1" t="s">
        <v>1188</v>
      </c>
      <c r="F1462" s="1" t="s">
        <v>1189</v>
      </c>
      <c r="G1462" s="1" t="s">
        <v>1190</v>
      </c>
      <c r="H1462" s="2"/>
      <c r="I1462" s="2"/>
      <c r="J1462" s="2"/>
      <c r="K1462" s="2"/>
    </row>
    <row x14ac:dyDescent="0.25" r="1463" customHeight="1" ht="17.25">
      <c r="A1463" s="1" t="s">
        <v>3061</v>
      </c>
      <c r="B1463" s="1" t="s">
        <v>3062</v>
      </c>
      <c r="C1463" s="1" t="s">
        <v>20</v>
      </c>
      <c r="D1463" s="1" t="s">
        <v>1187</v>
      </c>
      <c r="E1463" s="1" t="s">
        <v>1188</v>
      </c>
      <c r="F1463" s="1" t="s">
        <v>1189</v>
      </c>
      <c r="G1463" s="1" t="s">
        <v>1190</v>
      </c>
      <c r="H1463" s="2"/>
      <c r="I1463" s="2"/>
      <c r="J1463" s="2"/>
      <c r="K1463" s="2"/>
    </row>
    <row x14ac:dyDescent="0.25" r="1464" customHeight="1" ht="17.25">
      <c r="A1464" s="1" t="s">
        <v>3063</v>
      </c>
      <c r="B1464" s="1" t="s">
        <v>3064</v>
      </c>
      <c r="C1464" s="1" t="s">
        <v>20</v>
      </c>
      <c r="D1464" s="1" t="s">
        <v>1187</v>
      </c>
      <c r="E1464" s="1" t="s">
        <v>1188</v>
      </c>
      <c r="F1464" s="1" t="s">
        <v>1189</v>
      </c>
      <c r="G1464" s="1" t="s">
        <v>1190</v>
      </c>
      <c r="H1464" s="2"/>
      <c r="I1464" s="2"/>
      <c r="J1464" s="2"/>
      <c r="K1464" s="2"/>
    </row>
    <row x14ac:dyDescent="0.25" r="1465" customHeight="1" ht="17.25">
      <c r="A1465" s="1" t="s">
        <v>3065</v>
      </c>
      <c r="B1465" s="1" t="s">
        <v>3066</v>
      </c>
      <c r="C1465" s="1" t="s">
        <v>20</v>
      </c>
      <c r="D1465" s="1" t="s">
        <v>1187</v>
      </c>
      <c r="E1465" s="1" t="s">
        <v>1188</v>
      </c>
      <c r="F1465" s="1" t="s">
        <v>1189</v>
      </c>
      <c r="G1465" s="1" t="s">
        <v>1190</v>
      </c>
      <c r="H1465" s="2"/>
      <c r="I1465" s="2"/>
      <c r="J1465" s="2"/>
      <c r="K1465" s="2"/>
    </row>
    <row x14ac:dyDescent="0.25" r="1466" customHeight="1" ht="17.25">
      <c r="A1466" s="1" t="s">
        <v>3067</v>
      </c>
      <c r="B1466" s="1" t="s">
        <v>3068</v>
      </c>
      <c r="C1466" s="1" t="s">
        <v>20</v>
      </c>
      <c r="D1466" s="1" t="s">
        <v>1187</v>
      </c>
      <c r="E1466" s="1" t="s">
        <v>1188</v>
      </c>
      <c r="F1466" s="1" t="s">
        <v>1189</v>
      </c>
      <c r="G1466" s="1" t="s">
        <v>1190</v>
      </c>
      <c r="H1466" s="2"/>
      <c r="I1466" s="2"/>
      <c r="J1466" s="2"/>
      <c r="K1466" s="2"/>
    </row>
    <row x14ac:dyDescent="0.25" r="1467" customHeight="1" ht="17.25">
      <c r="A1467" s="1" t="s">
        <v>3069</v>
      </c>
      <c r="B1467" s="1" t="s">
        <v>3070</v>
      </c>
      <c r="C1467" s="1" t="s">
        <v>20</v>
      </c>
      <c r="D1467" s="1" t="s">
        <v>1187</v>
      </c>
      <c r="E1467" s="1" t="s">
        <v>1188</v>
      </c>
      <c r="F1467" s="1" t="s">
        <v>1189</v>
      </c>
      <c r="G1467" s="1" t="s">
        <v>1190</v>
      </c>
      <c r="H1467" s="2"/>
      <c r="I1467" s="2"/>
      <c r="J1467" s="2"/>
      <c r="K1467" s="2"/>
    </row>
    <row x14ac:dyDescent="0.25" r="1468" customHeight="1" ht="17.25">
      <c r="A1468" s="1" t="s">
        <v>3071</v>
      </c>
      <c r="B1468" s="1" t="s">
        <v>3072</v>
      </c>
      <c r="C1468" s="1" t="s">
        <v>20</v>
      </c>
      <c r="D1468" s="1" t="s">
        <v>1187</v>
      </c>
      <c r="E1468" s="1" t="s">
        <v>1188</v>
      </c>
      <c r="F1468" s="1" t="s">
        <v>1189</v>
      </c>
      <c r="G1468" s="1" t="s">
        <v>1190</v>
      </c>
      <c r="H1468" s="2"/>
      <c r="I1468" s="2"/>
      <c r="J1468" s="2"/>
      <c r="K1468" s="2"/>
    </row>
    <row x14ac:dyDescent="0.25" r="1469" customHeight="1" ht="17.25">
      <c r="A1469" s="1" t="s">
        <v>3073</v>
      </c>
      <c r="B1469" s="1" t="s">
        <v>3074</v>
      </c>
      <c r="C1469" s="1" t="s">
        <v>20</v>
      </c>
      <c r="D1469" s="1" t="s">
        <v>1187</v>
      </c>
      <c r="E1469" s="1" t="s">
        <v>1188</v>
      </c>
      <c r="F1469" s="1" t="s">
        <v>1189</v>
      </c>
      <c r="G1469" s="1" t="s">
        <v>1190</v>
      </c>
      <c r="H1469" s="2"/>
      <c r="I1469" s="2"/>
      <c r="J1469" s="2"/>
      <c r="K1469" s="2"/>
    </row>
    <row x14ac:dyDescent="0.25" r="1470" customHeight="1" ht="17.25">
      <c r="A1470" s="1" t="s">
        <v>3075</v>
      </c>
      <c r="B1470" s="1" t="s">
        <v>3076</v>
      </c>
      <c r="C1470" s="1" t="s">
        <v>20</v>
      </c>
      <c r="D1470" s="1" t="s">
        <v>1187</v>
      </c>
      <c r="E1470" s="1" t="s">
        <v>1188</v>
      </c>
      <c r="F1470" s="1" t="s">
        <v>1189</v>
      </c>
      <c r="G1470" s="1" t="s">
        <v>1190</v>
      </c>
      <c r="H1470" s="2"/>
      <c r="I1470" s="2"/>
      <c r="J1470" s="2"/>
      <c r="K1470" s="2"/>
    </row>
    <row x14ac:dyDescent="0.25" r="1471" customHeight="1" ht="17.25">
      <c r="A1471" s="1" t="s">
        <v>3077</v>
      </c>
      <c r="B1471" s="1" t="s">
        <v>3078</v>
      </c>
      <c r="C1471" s="1" t="s">
        <v>20</v>
      </c>
      <c r="D1471" s="1" t="s">
        <v>1187</v>
      </c>
      <c r="E1471" s="1" t="s">
        <v>1188</v>
      </c>
      <c r="F1471" s="1" t="s">
        <v>1189</v>
      </c>
      <c r="G1471" s="1" t="s">
        <v>1190</v>
      </c>
      <c r="H1471" s="2"/>
      <c r="I1471" s="2"/>
      <c r="J1471" s="2"/>
      <c r="K1471" s="2"/>
    </row>
    <row x14ac:dyDescent="0.25" r="1472" customHeight="1" ht="17.25">
      <c r="A1472" s="1" t="s">
        <v>3079</v>
      </c>
      <c r="B1472" s="1" t="s">
        <v>3080</v>
      </c>
      <c r="C1472" s="1" t="s">
        <v>20</v>
      </c>
      <c r="D1472" s="1" t="s">
        <v>1187</v>
      </c>
      <c r="E1472" s="1" t="s">
        <v>1188</v>
      </c>
      <c r="F1472" s="1" t="s">
        <v>1189</v>
      </c>
      <c r="G1472" s="1" t="s">
        <v>1190</v>
      </c>
      <c r="H1472" s="2"/>
      <c r="I1472" s="2"/>
      <c r="J1472" s="2"/>
      <c r="K1472" s="2"/>
    </row>
    <row x14ac:dyDescent="0.25" r="1473" customHeight="1" ht="17.25">
      <c r="A1473" s="1" t="s">
        <v>3081</v>
      </c>
      <c r="B1473" s="1" t="s">
        <v>3082</v>
      </c>
      <c r="C1473" s="1" t="s">
        <v>20</v>
      </c>
      <c r="D1473" s="1" t="s">
        <v>1187</v>
      </c>
      <c r="E1473" s="1" t="s">
        <v>1188</v>
      </c>
      <c r="F1473" s="1" t="s">
        <v>1189</v>
      </c>
      <c r="G1473" s="1" t="s">
        <v>1190</v>
      </c>
      <c r="H1473" s="2"/>
      <c r="I1473" s="2"/>
      <c r="J1473" s="2"/>
      <c r="K1473" s="2"/>
    </row>
    <row x14ac:dyDescent="0.25" r="1474" customHeight="1" ht="17.25">
      <c r="A1474" s="1" t="s">
        <v>3083</v>
      </c>
      <c r="B1474" s="1" t="s">
        <v>3084</v>
      </c>
      <c r="C1474" s="1" t="s">
        <v>20</v>
      </c>
      <c r="D1474" s="1" t="s">
        <v>1187</v>
      </c>
      <c r="E1474" s="1" t="s">
        <v>1188</v>
      </c>
      <c r="F1474" s="1" t="s">
        <v>1189</v>
      </c>
      <c r="G1474" s="1" t="s">
        <v>1190</v>
      </c>
      <c r="H1474" s="2"/>
      <c r="I1474" s="2"/>
      <c r="J1474" s="2"/>
      <c r="K1474" s="2"/>
    </row>
    <row x14ac:dyDescent="0.25" r="1475" customHeight="1" ht="17.25">
      <c r="A1475" s="1" t="s">
        <v>3085</v>
      </c>
      <c r="B1475" s="1" t="s">
        <v>3086</v>
      </c>
      <c r="C1475" s="1" t="s">
        <v>20</v>
      </c>
      <c r="D1475" s="1" t="s">
        <v>1187</v>
      </c>
      <c r="E1475" s="1" t="s">
        <v>1188</v>
      </c>
      <c r="F1475" s="1" t="s">
        <v>1189</v>
      </c>
      <c r="G1475" s="1" t="s">
        <v>1190</v>
      </c>
      <c r="H1475" s="2"/>
      <c r="I1475" s="2"/>
      <c r="J1475" s="2"/>
      <c r="K1475" s="2"/>
    </row>
    <row x14ac:dyDescent="0.25" r="1476" customHeight="1" ht="17.25">
      <c r="A1476" s="1" t="s">
        <v>3087</v>
      </c>
      <c r="B1476" s="1" t="s">
        <v>3088</v>
      </c>
      <c r="C1476" s="1" t="s">
        <v>20</v>
      </c>
      <c r="D1476" s="1" t="s">
        <v>1187</v>
      </c>
      <c r="E1476" s="1" t="s">
        <v>1188</v>
      </c>
      <c r="F1476" s="1" t="s">
        <v>1189</v>
      </c>
      <c r="G1476" s="1" t="s">
        <v>1190</v>
      </c>
      <c r="H1476" s="2"/>
      <c r="I1476" s="2"/>
      <c r="J1476" s="2"/>
      <c r="K1476" s="2"/>
    </row>
    <row x14ac:dyDescent="0.25" r="1477" customHeight="1" ht="17.25">
      <c r="A1477" s="1" t="s">
        <v>3089</v>
      </c>
      <c r="B1477" s="1" t="s">
        <v>3090</v>
      </c>
      <c r="C1477" s="1" t="s">
        <v>20</v>
      </c>
      <c r="D1477" s="1" t="s">
        <v>1187</v>
      </c>
      <c r="E1477" s="1" t="s">
        <v>1188</v>
      </c>
      <c r="F1477" s="1" t="s">
        <v>1189</v>
      </c>
      <c r="G1477" s="1" t="s">
        <v>1190</v>
      </c>
      <c r="H1477" s="2"/>
      <c r="I1477" s="2"/>
      <c r="J1477" s="2"/>
      <c r="K1477" s="2"/>
    </row>
    <row x14ac:dyDescent="0.25" r="1478" customHeight="1" ht="17.25">
      <c r="A1478" s="1" t="s">
        <v>3091</v>
      </c>
      <c r="B1478" s="1" t="s">
        <v>3092</v>
      </c>
      <c r="C1478" s="1" t="s">
        <v>20</v>
      </c>
      <c r="D1478" s="1" t="s">
        <v>1187</v>
      </c>
      <c r="E1478" s="1" t="s">
        <v>1188</v>
      </c>
      <c r="F1478" s="1" t="s">
        <v>1189</v>
      </c>
      <c r="G1478" s="1" t="s">
        <v>1190</v>
      </c>
      <c r="H1478" s="2"/>
      <c r="I1478" s="2"/>
      <c r="J1478" s="2"/>
      <c r="K1478" s="2"/>
    </row>
    <row x14ac:dyDescent="0.25" r="1479" customHeight="1" ht="17.25">
      <c r="A1479" s="1" t="s">
        <v>3093</v>
      </c>
      <c r="B1479" s="1" t="s">
        <v>3094</v>
      </c>
      <c r="C1479" s="1" t="s">
        <v>20</v>
      </c>
      <c r="D1479" s="1" t="s">
        <v>1187</v>
      </c>
      <c r="E1479" s="1" t="s">
        <v>1188</v>
      </c>
      <c r="F1479" s="1" t="s">
        <v>1189</v>
      </c>
      <c r="G1479" s="1" t="s">
        <v>1190</v>
      </c>
      <c r="H1479" s="2"/>
      <c r="I1479" s="2"/>
      <c r="J1479" s="2"/>
      <c r="K1479" s="2"/>
    </row>
    <row x14ac:dyDescent="0.25" r="1480" customHeight="1" ht="17.25">
      <c r="A1480" s="1" t="s">
        <v>3095</v>
      </c>
      <c r="B1480" s="1" t="s">
        <v>3096</v>
      </c>
      <c r="C1480" s="1" t="s">
        <v>20</v>
      </c>
      <c r="D1480" s="1" t="s">
        <v>1187</v>
      </c>
      <c r="E1480" s="1" t="s">
        <v>1188</v>
      </c>
      <c r="F1480" s="1" t="s">
        <v>1189</v>
      </c>
      <c r="G1480" s="1" t="s">
        <v>1190</v>
      </c>
      <c r="H1480" s="2"/>
      <c r="I1480" s="2"/>
      <c r="J1480" s="2"/>
      <c r="K1480" s="2"/>
    </row>
    <row x14ac:dyDescent="0.25" r="1481" customHeight="1" ht="17.25">
      <c r="A1481" s="1" t="s">
        <v>3097</v>
      </c>
      <c r="B1481" s="1" t="s">
        <v>3098</v>
      </c>
      <c r="C1481" s="1" t="s">
        <v>20</v>
      </c>
      <c r="D1481" s="1" t="s">
        <v>1187</v>
      </c>
      <c r="E1481" s="1" t="s">
        <v>1188</v>
      </c>
      <c r="F1481" s="1" t="s">
        <v>1189</v>
      </c>
      <c r="G1481" s="1" t="s">
        <v>1190</v>
      </c>
      <c r="H1481" s="2"/>
      <c r="I1481" s="2"/>
      <c r="J1481" s="2"/>
      <c r="K1481" s="2"/>
    </row>
    <row x14ac:dyDescent="0.25" r="1482" customHeight="1" ht="17.25">
      <c r="A1482" s="1" t="s">
        <v>3099</v>
      </c>
      <c r="B1482" s="1" t="s">
        <v>3100</v>
      </c>
      <c r="C1482" s="1" t="s">
        <v>20</v>
      </c>
      <c r="D1482" s="1" t="s">
        <v>1187</v>
      </c>
      <c r="E1482" s="1" t="s">
        <v>1188</v>
      </c>
      <c r="F1482" s="1" t="s">
        <v>1189</v>
      </c>
      <c r="G1482" s="1" t="s">
        <v>1190</v>
      </c>
      <c r="H1482" s="2"/>
      <c r="I1482" s="2"/>
      <c r="J1482" s="2"/>
      <c r="K1482" s="2"/>
    </row>
    <row x14ac:dyDescent="0.25" r="1483" customHeight="1" ht="17.25">
      <c r="A1483" s="1" t="s">
        <v>3101</v>
      </c>
      <c r="B1483" s="1" t="s">
        <v>3102</v>
      </c>
      <c r="C1483" s="1" t="s">
        <v>20</v>
      </c>
      <c r="D1483" s="1" t="s">
        <v>1187</v>
      </c>
      <c r="E1483" s="1" t="s">
        <v>1188</v>
      </c>
      <c r="F1483" s="1" t="s">
        <v>1189</v>
      </c>
      <c r="G1483" s="1" t="s">
        <v>1190</v>
      </c>
      <c r="H1483" s="2"/>
      <c r="I1483" s="2"/>
      <c r="J1483" s="2"/>
      <c r="K1483" s="2"/>
    </row>
    <row x14ac:dyDescent="0.25" r="1484" customHeight="1" ht="17.25">
      <c r="A1484" s="1" t="s">
        <v>3103</v>
      </c>
      <c r="B1484" s="1" t="s">
        <v>3104</v>
      </c>
      <c r="C1484" s="1" t="s">
        <v>20</v>
      </c>
      <c r="D1484" s="1" t="s">
        <v>1187</v>
      </c>
      <c r="E1484" s="1" t="s">
        <v>1188</v>
      </c>
      <c r="F1484" s="1" t="s">
        <v>1189</v>
      </c>
      <c r="G1484" s="1" t="s">
        <v>1190</v>
      </c>
      <c r="H1484" s="2"/>
      <c r="I1484" s="2"/>
      <c r="J1484" s="2"/>
      <c r="K1484" s="2"/>
    </row>
    <row x14ac:dyDescent="0.25" r="1485" customHeight="1" ht="17.25">
      <c r="A1485" s="1" t="s">
        <v>3105</v>
      </c>
      <c r="B1485" s="1" t="s">
        <v>3106</v>
      </c>
      <c r="C1485" s="1" t="s">
        <v>20</v>
      </c>
      <c r="D1485" s="1" t="s">
        <v>1187</v>
      </c>
      <c r="E1485" s="1" t="s">
        <v>1188</v>
      </c>
      <c r="F1485" s="1" t="s">
        <v>1189</v>
      </c>
      <c r="G1485" s="1" t="s">
        <v>1190</v>
      </c>
      <c r="H1485" s="2"/>
      <c r="I1485" s="2"/>
      <c r="J1485" s="2"/>
      <c r="K1485" s="2"/>
    </row>
    <row x14ac:dyDescent="0.25" r="1486" customHeight="1" ht="17.25">
      <c r="A1486" s="1" t="s">
        <v>3107</v>
      </c>
      <c r="B1486" s="1" t="s">
        <v>3108</v>
      </c>
      <c r="C1486" s="1" t="s">
        <v>20</v>
      </c>
      <c r="D1486" s="1" t="s">
        <v>1187</v>
      </c>
      <c r="E1486" s="1" t="s">
        <v>1188</v>
      </c>
      <c r="F1486" s="1" t="s">
        <v>1189</v>
      </c>
      <c r="G1486" s="1" t="s">
        <v>1190</v>
      </c>
      <c r="H1486" s="2"/>
      <c r="I1486" s="2"/>
      <c r="J1486" s="2"/>
      <c r="K1486" s="2"/>
    </row>
    <row x14ac:dyDescent="0.25" r="1487" customHeight="1" ht="17.25">
      <c r="A1487" s="1" t="s">
        <v>3109</v>
      </c>
      <c r="B1487" s="1" t="s">
        <v>3110</v>
      </c>
      <c r="C1487" s="1" t="s">
        <v>20</v>
      </c>
      <c r="D1487" s="1" t="s">
        <v>1187</v>
      </c>
      <c r="E1487" s="1" t="s">
        <v>1188</v>
      </c>
      <c r="F1487" s="1" t="s">
        <v>1189</v>
      </c>
      <c r="G1487" s="1" t="s">
        <v>1190</v>
      </c>
      <c r="H1487" s="2"/>
      <c r="I1487" s="2"/>
      <c r="J1487" s="2"/>
      <c r="K1487" s="2"/>
    </row>
    <row x14ac:dyDescent="0.25" r="1488" customHeight="1" ht="17.25">
      <c r="A1488" s="1" t="s">
        <v>3111</v>
      </c>
      <c r="B1488" s="1" t="s">
        <v>3112</v>
      </c>
      <c r="C1488" s="1" t="s">
        <v>20</v>
      </c>
      <c r="D1488" s="1" t="s">
        <v>1187</v>
      </c>
      <c r="E1488" s="1" t="s">
        <v>1188</v>
      </c>
      <c r="F1488" s="1" t="s">
        <v>1189</v>
      </c>
      <c r="G1488" s="1" t="s">
        <v>1190</v>
      </c>
      <c r="H1488" s="2"/>
      <c r="I1488" s="2"/>
      <c r="J1488" s="2"/>
      <c r="K1488" s="2"/>
    </row>
    <row x14ac:dyDescent="0.25" r="1489" customHeight="1" ht="17.25">
      <c r="A1489" s="1" t="s">
        <v>3113</v>
      </c>
      <c r="B1489" s="1" t="s">
        <v>3114</v>
      </c>
      <c r="C1489" s="1" t="s">
        <v>20</v>
      </c>
      <c r="D1489" s="1" t="s">
        <v>1187</v>
      </c>
      <c r="E1489" s="1" t="s">
        <v>1188</v>
      </c>
      <c r="F1489" s="1" t="s">
        <v>1189</v>
      </c>
      <c r="G1489" s="1" t="s">
        <v>1190</v>
      </c>
      <c r="H1489" s="2"/>
      <c r="I1489" s="2"/>
      <c r="J1489" s="2"/>
      <c r="K1489" s="2"/>
    </row>
    <row x14ac:dyDescent="0.25" r="1490" customHeight="1" ht="17.25">
      <c r="A1490" s="1" t="s">
        <v>3115</v>
      </c>
      <c r="B1490" s="1" t="s">
        <v>3116</v>
      </c>
      <c r="C1490" s="1" t="s">
        <v>20</v>
      </c>
      <c r="D1490" s="1" t="s">
        <v>1187</v>
      </c>
      <c r="E1490" s="1" t="s">
        <v>1188</v>
      </c>
      <c r="F1490" s="1" t="s">
        <v>1189</v>
      </c>
      <c r="G1490" s="1" t="s">
        <v>1190</v>
      </c>
      <c r="H1490" s="2"/>
      <c r="I1490" s="2"/>
      <c r="J1490" s="2"/>
      <c r="K1490" s="2"/>
    </row>
    <row x14ac:dyDescent="0.25" r="1491" customHeight="1" ht="17.25">
      <c r="A1491" s="1" t="s">
        <v>3117</v>
      </c>
      <c r="B1491" s="1" t="s">
        <v>3118</v>
      </c>
      <c r="C1491" s="1" t="s">
        <v>20</v>
      </c>
      <c r="D1491" s="1" t="s">
        <v>1187</v>
      </c>
      <c r="E1491" s="1" t="s">
        <v>1188</v>
      </c>
      <c r="F1491" s="1" t="s">
        <v>1189</v>
      </c>
      <c r="G1491" s="1" t="s">
        <v>1190</v>
      </c>
      <c r="H1491" s="2"/>
      <c r="I1491" s="2"/>
      <c r="J1491" s="2"/>
      <c r="K1491" s="2"/>
    </row>
    <row x14ac:dyDescent="0.25" r="1492" customHeight="1" ht="17.25">
      <c r="A1492" s="1" t="s">
        <v>3119</v>
      </c>
      <c r="B1492" s="1" t="s">
        <v>3120</v>
      </c>
      <c r="C1492" s="1" t="s">
        <v>20</v>
      </c>
      <c r="D1492" s="1" t="s">
        <v>1187</v>
      </c>
      <c r="E1492" s="1" t="s">
        <v>1188</v>
      </c>
      <c r="F1492" s="1" t="s">
        <v>1189</v>
      </c>
      <c r="G1492" s="1" t="s">
        <v>1190</v>
      </c>
      <c r="H1492" s="2"/>
      <c r="I1492" s="2"/>
      <c r="J1492" s="2"/>
      <c r="K1492" s="2"/>
    </row>
    <row x14ac:dyDescent="0.25" r="1493" customHeight="1" ht="17.25">
      <c r="A1493" s="1" t="s">
        <v>3121</v>
      </c>
      <c r="B1493" s="1" t="s">
        <v>3122</v>
      </c>
      <c r="C1493" s="1" t="s">
        <v>20</v>
      </c>
      <c r="D1493" s="1" t="s">
        <v>1187</v>
      </c>
      <c r="E1493" s="1" t="s">
        <v>1188</v>
      </c>
      <c r="F1493" s="1" t="s">
        <v>1189</v>
      </c>
      <c r="G1493" s="1" t="s">
        <v>1190</v>
      </c>
      <c r="H1493" s="2"/>
      <c r="I1493" s="2"/>
      <c r="J1493" s="2"/>
      <c r="K1493" s="2"/>
    </row>
    <row x14ac:dyDescent="0.25" r="1494" customHeight="1" ht="17.25">
      <c r="A1494" s="1" t="s">
        <v>3123</v>
      </c>
      <c r="B1494" s="1" t="s">
        <v>3124</v>
      </c>
      <c r="C1494" s="1" t="s">
        <v>20</v>
      </c>
      <c r="D1494" s="1" t="s">
        <v>1187</v>
      </c>
      <c r="E1494" s="1" t="s">
        <v>1188</v>
      </c>
      <c r="F1494" s="1" t="s">
        <v>1189</v>
      </c>
      <c r="G1494" s="1" t="s">
        <v>1190</v>
      </c>
      <c r="H1494" s="2"/>
      <c r="I1494" s="2"/>
      <c r="J1494" s="2"/>
      <c r="K1494" s="2"/>
    </row>
    <row x14ac:dyDescent="0.25" r="1495" customHeight="1" ht="17.25">
      <c r="A1495" s="1" t="s">
        <v>3125</v>
      </c>
      <c r="B1495" s="1" t="s">
        <v>3126</v>
      </c>
      <c r="C1495" s="1" t="s">
        <v>20</v>
      </c>
      <c r="D1495" s="1" t="s">
        <v>1187</v>
      </c>
      <c r="E1495" s="1" t="s">
        <v>1188</v>
      </c>
      <c r="F1495" s="1" t="s">
        <v>1189</v>
      </c>
      <c r="G1495" s="1" t="s">
        <v>1190</v>
      </c>
      <c r="H1495" s="2"/>
      <c r="I1495" s="2"/>
      <c r="J1495" s="2"/>
      <c r="K1495" s="2"/>
    </row>
    <row x14ac:dyDescent="0.25" r="1496" customHeight="1" ht="17.25">
      <c r="A1496" s="1" t="s">
        <v>3127</v>
      </c>
      <c r="B1496" s="1" t="s">
        <v>3128</v>
      </c>
      <c r="C1496" s="1" t="s">
        <v>20</v>
      </c>
      <c r="D1496" s="1" t="s">
        <v>1187</v>
      </c>
      <c r="E1496" s="1" t="s">
        <v>1188</v>
      </c>
      <c r="F1496" s="1" t="s">
        <v>1189</v>
      </c>
      <c r="G1496" s="1" t="s">
        <v>1190</v>
      </c>
      <c r="H1496" s="2"/>
      <c r="I1496" s="2"/>
      <c r="J1496" s="2"/>
      <c r="K1496" s="2"/>
    </row>
    <row x14ac:dyDescent="0.25" r="1497" customHeight="1" ht="17.25">
      <c r="A1497" s="1" t="s">
        <v>3129</v>
      </c>
      <c r="B1497" s="1" t="s">
        <v>3130</v>
      </c>
      <c r="C1497" s="1" t="s">
        <v>20</v>
      </c>
      <c r="D1497" s="1" t="s">
        <v>1187</v>
      </c>
      <c r="E1497" s="1" t="s">
        <v>1188</v>
      </c>
      <c r="F1497" s="1" t="s">
        <v>1189</v>
      </c>
      <c r="G1497" s="1" t="s">
        <v>1190</v>
      </c>
      <c r="H1497" s="2"/>
      <c r="I1497" s="2"/>
      <c r="J1497" s="2"/>
      <c r="K1497" s="2"/>
    </row>
    <row x14ac:dyDescent="0.25" r="1498" customHeight="1" ht="17.25">
      <c r="A1498" s="1" t="s">
        <v>3131</v>
      </c>
      <c r="B1498" s="1" t="s">
        <v>3132</v>
      </c>
      <c r="C1498" s="1" t="s">
        <v>20</v>
      </c>
      <c r="D1498" s="1" t="s">
        <v>1187</v>
      </c>
      <c r="E1498" s="1" t="s">
        <v>1188</v>
      </c>
      <c r="F1498" s="1" t="s">
        <v>1189</v>
      </c>
      <c r="G1498" s="1" t="s">
        <v>1190</v>
      </c>
      <c r="H1498" s="2"/>
      <c r="I1498" s="2"/>
      <c r="J1498" s="2"/>
      <c r="K1498" s="2"/>
    </row>
    <row x14ac:dyDescent="0.25" r="1499" customHeight="1" ht="17.25">
      <c r="A1499" s="1" t="s">
        <v>3133</v>
      </c>
      <c r="B1499" s="1" t="s">
        <v>3134</v>
      </c>
      <c r="C1499" s="1" t="s">
        <v>20</v>
      </c>
      <c r="D1499" s="1" t="s">
        <v>1187</v>
      </c>
      <c r="E1499" s="1" t="s">
        <v>1188</v>
      </c>
      <c r="F1499" s="1" t="s">
        <v>1189</v>
      </c>
      <c r="G1499" s="1" t="s">
        <v>1190</v>
      </c>
      <c r="H1499" s="2"/>
      <c r="I1499" s="2"/>
      <c r="J1499" s="2"/>
      <c r="K1499" s="2"/>
    </row>
    <row x14ac:dyDescent="0.25" r="1500" customHeight="1" ht="17.25">
      <c r="A1500" s="1" t="s">
        <v>3135</v>
      </c>
      <c r="B1500" s="1" t="s">
        <v>3136</v>
      </c>
      <c r="C1500" s="1" t="s">
        <v>20</v>
      </c>
      <c r="D1500" s="1" t="s">
        <v>1187</v>
      </c>
      <c r="E1500" s="1" t="s">
        <v>1188</v>
      </c>
      <c r="F1500" s="1" t="s">
        <v>1189</v>
      </c>
      <c r="G1500" s="1" t="s">
        <v>1190</v>
      </c>
      <c r="H1500" s="2"/>
      <c r="I1500" s="2"/>
      <c r="J1500" s="2"/>
      <c r="K1500" s="2"/>
    </row>
    <row x14ac:dyDescent="0.25" r="1501" customHeight="1" ht="17.25">
      <c r="A1501" s="1" t="s">
        <v>3137</v>
      </c>
      <c r="B1501" s="1" t="s">
        <v>3138</v>
      </c>
      <c r="C1501" s="1" t="s">
        <v>20</v>
      </c>
      <c r="D1501" s="1" t="s">
        <v>1187</v>
      </c>
      <c r="E1501" s="1" t="s">
        <v>1188</v>
      </c>
      <c r="F1501" s="1" t="s">
        <v>1189</v>
      </c>
      <c r="G1501" s="1" t="s">
        <v>1190</v>
      </c>
      <c r="H1501" s="2"/>
      <c r="I1501" s="2"/>
      <c r="J1501" s="2"/>
      <c r="K1501" s="2"/>
    </row>
    <row x14ac:dyDescent="0.25" r="1502" customHeight="1" ht="17.25">
      <c r="A1502" s="1" t="s">
        <v>3139</v>
      </c>
      <c r="B1502" s="1" t="s">
        <v>3140</v>
      </c>
      <c r="C1502" s="1" t="s">
        <v>20</v>
      </c>
      <c r="D1502" s="1" t="s">
        <v>1187</v>
      </c>
      <c r="E1502" s="1" t="s">
        <v>1188</v>
      </c>
      <c r="F1502" s="1" t="s">
        <v>1189</v>
      </c>
      <c r="G1502" s="1" t="s">
        <v>1190</v>
      </c>
      <c r="H1502" s="2"/>
      <c r="I1502" s="2"/>
      <c r="J1502" s="2"/>
      <c r="K1502" s="2"/>
    </row>
    <row x14ac:dyDescent="0.25" r="1503" customHeight="1" ht="17.25">
      <c r="A1503" s="1" t="s">
        <v>3141</v>
      </c>
      <c r="B1503" s="1" t="s">
        <v>3142</v>
      </c>
      <c r="C1503" s="1" t="s">
        <v>20</v>
      </c>
      <c r="D1503" s="1" t="s">
        <v>1187</v>
      </c>
      <c r="E1503" s="1" t="s">
        <v>1188</v>
      </c>
      <c r="F1503" s="1" t="s">
        <v>1189</v>
      </c>
      <c r="G1503" s="1" t="s">
        <v>1190</v>
      </c>
      <c r="H1503" s="2"/>
      <c r="I1503" s="2"/>
      <c r="J1503" s="2"/>
      <c r="K1503" s="2"/>
    </row>
    <row x14ac:dyDescent="0.25" r="1504" customHeight="1" ht="17.25">
      <c r="A1504" s="1" t="s">
        <v>3143</v>
      </c>
      <c r="B1504" s="1" t="s">
        <v>3144</v>
      </c>
      <c r="C1504" s="1" t="s">
        <v>20</v>
      </c>
      <c r="D1504" s="1" t="s">
        <v>1187</v>
      </c>
      <c r="E1504" s="1" t="s">
        <v>1188</v>
      </c>
      <c r="F1504" s="1" t="s">
        <v>1189</v>
      </c>
      <c r="G1504" s="1" t="s">
        <v>1190</v>
      </c>
      <c r="H1504" s="2"/>
      <c r="I1504" s="2"/>
      <c r="J1504" s="2"/>
      <c r="K1504" s="2"/>
    </row>
    <row x14ac:dyDescent="0.25" r="1505" customHeight="1" ht="17.25">
      <c r="A1505" s="1" t="s">
        <v>3145</v>
      </c>
      <c r="B1505" s="1" t="s">
        <v>3146</v>
      </c>
      <c r="C1505" s="1" t="s">
        <v>20</v>
      </c>
      <c r="D1505" s="1" t="s">
        <v>1187</v>
      </c>
      <c r="E1505" s="1" t="s">
        <v>1188</v>
      </c>
      <c r="F1505" s="1" t="s">
        <v>1189</v>
      </c>
      <c r="G1505" s="1" t="s">
        <v>1190</v>
      </c>
      <c r="H1505" s="2"/>
      <c r="I1505" s="2"/>
      <c r="J1505" s="2"/>
      <c r="K1505" s="2"/>
    </row>
    <row x14ac:dyDescent="0.25" r="1506" customHeight="1" ht="17.25">
      <c r="A1506" s="1" t="s">
        <v>3147</v>
      </c>
      <c r="B1506" s="1" t="s">
        <v>3148</v>
      </c>
      <c r="C1506" s="1" t="s">
        <v>20</v>
      </c>
      <c r="D1506" s="1" t="s">
        <v>1187</v>
      </c>
      <c r="E1506" s="1" t="s">
        <v>1188</v>
      </c>
      <c r="F1506" s="1" t="s">
        <v>1189</v>
      </c>
      <c r="G1506" s="1" t="s">
        <v>1190</v>
      </c>
      <c r="H1506" s="2"/>
      <c r="I1506" s="2"/>
      <c r="J1506" s="2"/>
      <c r="K1506" s="2"/>
    </row>
    <row x14ac:dyDescent="0.25" r="1507" customHeight="1" ht="17.25">
      <c r="A1507" s="1" t="s">
        <v>3149</v>
      </c>
      <c r="B1507" s="1" t="s">
        <v>3150</v>
      </c>
      <c r="C1507" s="1" t="s">
        <v>20</v>
      </c>
      <c r="D1507" s="1" t="s">
        <v>1187</v>
      </c>
      <c r="E1507" s="1" t="s">
        <v>1188</v>
      </c>
      <c r="F1507" s="1" t="s">
        <v>1189</v>
      </c>
      <c r="G1507" s="1" t="s">
        <v>1190</v>
      </c>
      <c r="H1507" s="2"/>
      <c r="I1507" s="2"/>
      <c r="J1507" s="2"/>
      <c r="K1507" s="2"/>
    </row>
    <row x14ac:dyDescent="0.25" r="1508" customHeight="1" ht="17.25">
      <c r="A1508" s="1" t="s">
        <v>3151</v>
      </c>
      <c r="B1508" s="1" t="s">
        <v>3152</v>
      </c>
      <c r="C1508" s="1" t="s">
        <v>20</v>
      </c>
      <c r="D1508" s="1" t="s">
        <v>1187</v>
      </c>
      <c r="E1508" s="1" t="s">
        <v>1188</v>
      </c>
      <c r="F1508" s="1" t="s">
        <v>1189</v>
      </c>
      <c r="G1508" s="1" t="s">
        <v>1190</v>
      </c>
      <c r="H1508" s="2"/>
      <c r="I1508" s="2"/>
      <c r="J1508" s="2"/>
      <c r="K1508" s="2"/>
    </row>
    <row x14ac:dyDescent="0.25" r="1509" customHeight="1" ht="17.25">
      <c r="A1509" s="1" t="s">
        <v>3153</v>
      </c>
      <c r="B1509" s="1" t="s">
        <v>3154</v>
      </c>
      <c r="C1509" s="1" t="s">
        <v>20</v>
      </c>
      <c r="D1509" s="1" t="s">
        <v>1187</v>
      </c>
      <c r="E1509" s="1" t="s">
        <v>1188</v>
      </c>
      <c r="F1509" s="1" t="s">
        <v>1189</v>
      </c>
      <c r="G1509" s="1" t="s">
        <v>1190</v>
      </c>
      <c r="H1509" s="2"/>
      <c r="I1509" s="2"/>
      <c r="J1509" s="2"/>
      <c r="K1509" s="2"/>
    </row>
    <row x14ac:dyDescent="0.25" r="1510" customHeight="1" ht="17.25">
      <c r="A1510" s="1" t="s">
        <v>3155</v>
      </c>
      <c r="B1510" s="1" t="s">
        <v>3156</v>
      </c>
      <c r="C1510" s="1" t="s">
        <v>20</v>
      </c>
      <c r="D1510" s="1" t="s">
        <v>1187</v>
      </c>
      <c r="E1510" s="1" t="s">
        <v>1188</v>
      </c>
      <c r="F1510" s="1" t="s">
        <v>1189</v>
      </c>
      <c r="G1510" s="1" t="s">
        <v>1190</v>
      </c>
      <c r="H1510" s="2"/>
      <c r="I1510" s="2"/>
      <c r="J1510" s="2"/>
      <c r="K1510" s="2"/>
    </row>
    <row x14ac:dyDescent="0.25" r="1511" customHeight="1" ht="17.25">
      <c r="A1511" s="1" t="s">
        <v>3157</v>
      </c>
      <c r="B1511" s="1" t="s">
        <v>3158</v>
      </c>
      <c r="C1511" s="1" t="s">
        <v>20</v>
      </c>
      <c r="D1511" s="1" t="s">
        <v>1187</v>
      </c>
      <c r="E1511" s="1" t="s">
        <v>1188</v>
      </c>
      <c r="F1511" s="1" t="s">
        <v>1189</v>
      </c>
      <c r="G1511" s="1" t="s">
        <v>1190</v>
      </c>
      <c r="H1511" s="2"/>
      <c r="I1511" s="2"/>
      <c r="J1511" s="2"/>
      <c r="K1511" s="2"/>
    </row>
    <row x14ac:dyDescent="0.25" r="1512" customHeight="1" ht="17.25">
      <c r="A1512" s="1" t="s">
        <v>3159</v>
      </c>
      <c r="B1512" s="1" t="s">
        <v>3160</v>
      </c>
      <c r="C1512" s="1" t="s">
        <v>20</v>
      </c>
      <c r="D1512" s="1" t="s">
        <v>1187</v>
      </c>
      <c r="E1512" s="1" t="s">
        <v>1188</v>
      </c>
      <c r="F1512" s="1" t="s">
        <v>1189</v>
      </c>
      <c r="G1512" s="1" t="s">
        <v>1190</v>
      </c>
      <c r="H1512" s="2"/>
      <c r="I1512" s="2"/>
      <c r="J1512" s="2"/>
      <c r="K1512" s="2"/>
    </row>
    <row x14ac:dyDescent="0.25" r="1513" customHeight="1" ht="17.25">
      <c r="A1513" s="1" t="s">
        <v>3161</v>
      </c>
      <c r="B1513" s="1" t="s">
        <v>3162</v>
      </c>
      <c r="C1513" s="1" t="s">
        <v>20</v>
      </c>
      <c r="D1513" s="1" t="s">
        <v>1187</v>
      </c>
      <c r="E1513" s="1" t="s">
        <v>1188</v>
      </c>
      <c r="F1513" s="1" t="s">
        <v>1189</v>
      </c>
      <c r="G1513" s="1" t="s">
        <v>1190</v>
      </c>
      <c r="H1513" s="2"/>
      <c r="I1513" s="2"/>
      <c r="J1513" s="2"/>
      <c r="K1513" s="2"/>
    </row>
    <row x14ac:dyDescent="0.25" r="1514" customHeight="1" ht="17.25">
      <c r="A1514" s="1" t="s">
        <v>3163</v>
      </c>
      <c r="B1514" s="1" t="s">
        <v>3164</v>
      </c>
      <c r="C1514" s="1" t="s">
        <v>20</v>
      </c>
      <c r="D1514" s="1" t="s">
        <v>1187</v>
      </c>
      <c r="E1514" s="1" t="s">
        <v>1188</v>
      </c>
      <c r="F1514" s="1" t="s">
        <v>1189</v>
      </c>
      <c r="G1514" s="1" t="s">
        <v>1190</v>
      </c>
      <c r="H1514" s="2"/>
      <c r="I1514" s="2"/>
      <c r="J1514" s="2"/>
      <c r="K1514" s="2"/>
    </row>
    <row x14ac:dyDescent="0.25" r="1515" customHeight="1" ht="17.25">
      <c r="A1515" s="1" t="s">
        <v>3165</v>
      </c>
      <c r="B1515" s="1" t="s">
        <v>3166</v>
      </c>
      <c r="C1515" s="1" t="s">
        <v>20</v>
      </c>
      <c r="D1515" s="1" t="s">
        <v>1187</v>
      </c>
      <c r="E1515" s="1" t="s">
        <v>1188</v>
      </c>
      <c r="F1515" s="1" t="s">
        <v>1189</v>
      </c>
      <c r="G1515" s="1" t="s">
        <v>1190</v>
      </c>
      <c r="H1515" s="2"/>
      <c r="I1515" s="2"/>
      <c r="J1515" s="2"/>
      <c r="K1515" s="2"/>
    </row>
    <row x14ac:dyDescent="0.25" r="1516" customHeight="1" ht="17.25">
      <c r="A1516" s="1" t="s">
        <v>3167</v>
      </c>
      <c r="B1516" s="1" t="s">
        <v>3168</v>
      </c>
      <c r="C1516" s="1" t="s">
        <v>20</v>
      </c>
      <c r="D1516" s="1" t="s">
        <v>1187</v>
      </c>
      <c r="E1516" s="1" t="s">
        <v>1188</v>
      </c>
      <c r="F1516" s="1" t="s">
        <v>1189</v>
      </c>
      <c r="G1516" s="1" t="s">
        <v>1190</v>
      </c>
      <c r="H1516" s="2"/>
      <c r="I1516" s="2"/>
      <c r="J1516" s="2"/>
      <c r="K1516" s="2"/>
    </row>
    <row x14ac:dyDescent="0.25" r="1517" customHeight="1" ht="17.25">
      <c r="A1517" s="1" t="s">
        <v>3169</v>
      </c>
      <c r="B1517" s="1" t="s">
        <v>3170</v>
      </c>
      <c r="C1517" s="1" t="s">
        <v>20</v>
      </c>
      <c r="D1517" s="1" t="s">
        <v>1187</v>
      </c>
      <c r="E1517" s="1" t="s">
        <v>1188</v>
      </c>
      <c r="F1517" s="1" t="s">
        <v>1189</v>
      </c>
      <c r="G1517" s="1" t="s">
        <v>1190</v>
      </c>
      <c r="H1517" s="2"/>
      <c r="I1517" s="2"/>
      <c r="J1517" s="2"/>
      <c r="K1517" s="2"/>
    </row>
    <row x14ac:dyDescent="0.25" r="1518" customHeight="1" ht="17.25">
      <c r="A1518" s="1" t="s">
        <v>3171</v>
      </c>
      <c r="B1518" s="1" t="s">
        <v>3172</v>
      </c>
      <c r="C1518" s="1" t="s">
        <v>20</v>
      </c>
      <c r="D1518" s="1" t="s">
        <v>1187</v>
      </c>
      <c r="E1518" s="1" t="s">
        <v>1188</v>
      </c>
      <c r="F1518" s="1" t="s">
        <v>1189</v>
      </c>
      <c r="G1518" s="1" t="s">
        <v>1190</v>
      </c>
      <c r="H1518" s="2"/>
      <c r="I1518" s="2"/>
      <c r="J1518" s="2"/>
      <c r="K1518" s="2"/>
    </row>
    <row x14ac:dyDescent="0.25" r="1519" customHeight="1" ht="17.25">
      <c r="A1519" s="1" t="s">
        <v>3173</v>
      </c>
      <c r="B1519" s="1" t="s">
        <v>3174</v>
      </c>
      <c r="C1519" s="1" t="s">
        <v>20</v>
      </c>
      <c r="D1519" s="1" t="s">
        <v>1187</v>
      </c>
      <c r="E1519" s="1" t="s">
        <v>1188</v>
      </c>
      <c r="F1519" s="1" t="s">
        <v>1189</v>
      </c>
      <c r="G1519" s="1" t="s">
        <v>1190</v>
      </c>
      <c r="H1519" s="2"/>
      <c r="I1519" s="2"/>
      <c r="J1519" s="2"/>
      <c r="K1519" s="2"/>
    </row>
    <row x14ac:dyDescent="0.25" r="1520" customHeight="1" ht="17.25">
      <c r="A1520" s="1" t="s">
        <v>3175</v>
      </c>
      <c r="B1520" s="1" t="s">
        <v>3176</v>
      </c>
      <c r="C1520" s="1" t="s">
        <v>20</v>
      </c>
      <c r="D1520" s="1" t="s">
        <v>1187</v>
      </c>
      <c r="E1520" s="1" t="s">
        <v>1188</v>
      </c>
      <c r="F1520" s="1" t="s">
        <v>1189</v>
      </c>
      <c r="G1520" s="1" t="s">
        <v>1190</v>
      </c>
      <c r="H1520" s="2"/>
      <c r="I1520" s="2"/>
      <c r="J1520" s="2"/>
      <c r="K1520" s="2"/>
    </row>
    <row x14ac:dyDescent="0.25" r="1521" customHeight="1" ht="17.25">
      <c r="A1521" s="1" t="s">
        <v>3177</v>
      </c>
      <c r="B1521" s="1" t="s">
        <v>3178</v>
      </c>
      <c r="C1521" s="1" t="s">
        <v>20</v>
      </c>
      <c r="D1521" s="1" t="s">
        <v>1187</v>
      </c>
      <c r="E1521" s="1" t="s">
        <v>1188</v>
      </c>
      <c r="F1521" s="1" t="s">
        <v>1189</v>
      </c>
      <c r="G1521" s="1" t="s">
        <v>1190</v>
      </c>
      <c r="H1521" s="2"/>
      <c r="I1521" s="2"/>
      <c r="J1521" s="2"/>
      <c r="K1521" s="2"/>
    </row>
    <row x14ac:dyDescent="0.25" r="1522" customHeight="1" ht="17.25">
      <c r="A1522" s="1" t="s">
        <v>3179</v>
      </c>
      <c r="B1522" s="1" t="s">
        <v>3180</v>
      </c>
      <c r="C1522" s="1" t="s">
        <v>20</v>
      </c>
      <c r="D1522" s="1" t="s">
        <v>1187</v>
      </c>
      <c r="E1522" s="1" t="s">
        <v>1188</v>
      </c>
      <c r="F1522" s="1" t="s">
        <v>1189</v>
      </c>
      <c r="G1522" s="1" t="s">
        <v>1190</v>
      </c>
      <c r="H1522" s="2"/>
      <c r="I1522" s="2"/>
      <c r="J1522" s="2"/>
      <c r="K1522" s="2"/>
    </row>
    <row x14ac:dyDescent="0.25" r="1523" customHeight="1" ht="17.25">
      <c r="A1523" s="1" t="s">
        <v>3181</v>
      </c>
      <c r="B1523" s="1" t="s">
        <v>3182</v>
      </c>
      <c r="C1523" s="1" t="s">
        <v>20</v>
      </c>
      <c r="D1523" s="1" t="s">
        <v>1187</v>
      </c>
      <c r="E1523" s="1" t="s">
        <v>1188</v>
      </c>
      <c r="F1523" s="1" t="s">
        <v>1189</v>
      </c>
      <c r="G1523" s="1" t="s">
        <v>1190</v>
      </c>
      <c r="H1523" s="2"/>
      <c r="I1523" s="2"/>
      <c r="J1523" s="2"/>
      <c r="K1523" s="2"/>
    </row>
    <row x14ac:dyDescent="0.25" r="1524" customHeight="1" ht="17.25">
      <c r="A1524" s="1" t="s">
        <v>3183</v>
      </c>
      <c r="B1524" s="1" t="s">
        <v>3184</v>
      </c>
      <c r="C1524" s="1" t="s">
        <v>20</v>
      </c>
      <c r="D1524" s="1" t="s">
        <v>1187</v>
      </c>
      <c r="E1524" s="1" t="s">
        <v>1188</v>
      </c>
      <c r="F1524" s="1" t="s">
        <v>1189</v>
      </c>
      <c r="G1524" s="1" t="s">
        <v>1190</v>
      </c>
      <c r="H1524" s="2"/>
      <c r="I1524" s="2"/>
      <c r="J1524" s="2"/>
      <c r="K1524" s="2"/>
    </row>
    <row x14ac:dyDescent="0.25" r="1525" customHeight="1" ht="17.25">
      <c r="A1525" s="1" t="s">
        <v>3185</v>
      </c>
      <c r="B1525" s="1" t="s">
        <v>3186</v>
      </c>
      <c r="C1525" s="1" t="s">
        <v>20</v>
      </c>
      <c r="D1525" s="1" t="s">
        <v>1187</v>
      </c>
      <c r="E1525" s="1" t="s">
        <v>1188</v>
      </c>
      <c r="F1525" s="1" t="s">
        <v>1189</v>
      </c>
      <c r="G1525" s="1" t="s">
        <v>1190</v>
      </c>
      <c r="H1525" s="2"/>
      <c r="I1525" s="2"/>
      <c r="J1525" s="2"/>
      <c r="K1525" s="2"/>
    </row>
    <row x14ac:dyDescent="0.25" r="1526" customHeight="1" ht="17.25">
      <c r="A1526" s="1" t="s">
        <v>3187</v>
      </c>
      <c r="B1526" s="1" t="s">
        <v>3188</v>
      </c>
      <c r="C1526" s="1" t="s">
        <v>20</v>
      </c>
      <c r="D1526" s="1" t="s">
        <v>1187</v>
      </c>
      <c r="E1526" s="1" t="s">
        <v>1188</v>
      </c>
      <c r="F1526" s="1" t="s">
        <v>1189</v>
      </c>
      <c r="G1526" s="1" t="s">
        <v>1190</v>
      </c>
      <c r="H1526" s="2"/>
      <c r="I1526" s="2"/>
      <c r="J1526" s="2"/>
      <c r="K1526" s="2"/>
    </row>
    <row x14ac:dyDescent="0.25" r="1527" customHeight="1" ht="17.25">
      <c r="A1527" s="1" t="s">
        <v>3189</v>
      </c>
      <c r="B1527" s="1" t="s">
        <v>3190</v>
      </c>
      <c r="C1527" s="1" t="s">
        <v>20</v>
      </c>
      <c r="D1527" s="1" t="s">
        <v>1187</v>
      </c>
      <c r="E1527" s="1" t="s">
        <v>1188</v>
      </c>
      <c r="F1527" s="1" t="s">
        <v>1189</v>
      </c>
      <c r="G1527" s="1" t="s">
        <v>1190</v>
      </c>
      <c r="H1527" s="2"/>
      <c r="I1527" s="2"/>
      <c r="J1527" s="2"/>
      <c r="K1527" s="2"/>
    </row>
    <row x14ac:dyDescent="0.25" r="1528" customHeight="1" ht="17.25">
      <c r="A1528" s="1" t="s">
        <v>3191</v>
      </c>
      <c r="B1528" s="1" t="s">
        <v>3192</v>
      </c>
      <c r="C1528" s="1" t="s">
        <v>20</v>
      </c>
      <c r="D1528" s="1" t="s">
        <v>1187</v>
      </c>
      <c r="E1528" s="1" t="s">
        <v>1188</v>
      </c>
      <c r="F1528" s="1" t="s">
        <v>1189</v>
      </c>
      <c r="G1528" s="1" t="s">
        <v>1190</v>
      </c>
      <c r="H1528" s="2"/>
      <c r="I1528" s="2"/>
      <c r="J1528" s="2"/>
      <c r="K1528" s="2"/>
    </row>
    <row x14ac:dyDescent="0.25" r="1529" customHeight="1" ht="17.25">
      <c r="A1529" s="1" t="s">
        <v>3193</v>
      </c>
      <c r="B1529" s="1" t="s">
        <v>3194</v>
      </c>
      <c r="C1529" s="1" t="s">
        <v>20</v>
      </c>
      <c r="D1529" s="1" t="s">
        <v>1187</v>
      </c>
      <c r="E1529" s="1" t="s">
        <v>1188</v>
      </c>
      <c r="F1529" s="1" t="s">
        <v>1189</v>
      </c>
      <c r="G1529" s="1" t="s">
        <v>1190</v>
      </c>
      <c r="H1529" s="2"/>
      <c r="I1529" s="2"/>
      <c r="J1529" s="2"/>
      <c r="K1529" s="2"/>
    </row>
    <row x14ac:dyDescent="0.25" r="1530" customHeight="1" ht="17.25">
      <c r="A1530" s="1" t="s">
        <v>3195</v>
      </c>
      <c r="B1530" s="1" t="s">
        <v>3196</v>
      </c>
      <c r="C1530" s="1" t="s">
        <v>20</v>
      </c>
      <c r="D1530" s="1" t="s">
        <v>1187</v>
      </c>
      <c r="E1530" s="1" t="s">
        <v>1188</v>
      </c>
      <c r="F1530" s="1" t="s">
        <v>1189</v>
      </c>
      <c r="G1530" s="1" t="s">
        <v>1190</v>
      </c>
      <c r="H1530" s="2"/>
      <c r="I1530" s="2"/>
      <c r="J1530" s="2"/>
      <c r="K1530" s="2"/>
    </row>
    <row x14ac:dyDescent="0.25" r="1531" customHeight="1" ht="17.25">
      <c r="A1531" s="1" t="s">
        <v>3197</v>
      </c>
      <c r="B1531" s="1" t="s">
        <v>3198</v>
      </c>
      <c r="C1531" s="1" t="s">
        <v>20</v>
      </c>
      <c r="D1531" s="1" t="s">
        <v>1187</v>
      </c>
      <c r="E1531" s="1" t="s">
        <v>1188</v>
      </c>
      <c r="F1531" s="1" t="s">
        <v>1189</v>
      </c>
      <c r="G1531" s="1" t="s">
        <v>1190</v>
      </c>
      <c r="H1531" s="2"/>
      <c r="I1531" s="2"/>
      <c r="J1531" s="2"/>
      <c r="K1531" s="2"/>
    </row>
    <row x14ac:dyDescent="0.25" r="1532" customHeight="1" ht="17.25">
      <c r="A1532" s="1" t="s">
        <v>3199</v>
      </c>
      <c r="B1532" s="1" t="s">
        <v>3200</v>
      </c>
      <c r="C1532" s="1" t="s">
        <v>20</v>
      </c>
      <c r="D1532" s="1" t="s">
        <v>1187</v>
      </c>
      <c r="E1532" s="1" t="s">
        <v>1188</v>
      </c>
      <c r="F1532" s="1" t="s">
        <v>1189</v>
      </c>
      <c r="G1532" s="1" t="s">
        <v>1190</v>
      </c>
      <c r="H1532" s="2"/>
      <c r="I1532" s="2"/>
      <c r="J1532" s="2"/>
      <c r="K1532" s="2"/>
    </row>
    <row x14ac:dyDescent="0.25" r="1533" customHeight="1" ht="17.25">
      <c r="A1533" s="1" t="s">
        <v>3201</v>
      </c>
      <c r="B1533" s="1" t="s">
        <v>3202</v>
      </c>
      <c r="C1533" s="1" t="s">
        <v>20</v>
      </c>
      <c r="D1533" s="1" t="s">
        <v>1187</v>
      </c>
      <c r="E1533" s="1" t="s">
        <v>1188</v>
      </c>
      <c r="F1533" s="1" t="s">
        <v>1189</v>
      </c>
      <c r="G1533" s="1" t="s">
        <v>1190</v>
      </c>
      <c r="H1533" s="2"/>
      <c r="I1533" s="2"/>
      <c r="J1533" s="2"/>
      <c r="K1533" s="2"/>
    </row>
    <row x14ac:dyDescent="0.25" r="1534" customHeight="1" ht="17.25">
      <c r="A1534" s="1" t="s">
        <v>3203</v>
      </c>
      <c r="B1534" s="1" t="s">
        <v>3204</v>
      </c>
      <c r="C1534" s="1" t="s">
        <v>20</v>
      </c>
      <c r="D1534" s="1" t="s">
        <v>1187</v>
      </c>
      <c r="E1534" s="1" t="s">
        <v>1188</v>
      </c>
      <c r="F1534" s="1" t="s">
        <v>1189</v>
      </c>
      <c r="G1534" s="1" t="s">
        <v>1190</v>
      </c>
      <c r="H1534" s="2"/>
      <c r="I1534" s="2"/>
      <c r="J1534" s="2"/>
      <c r="K1534" s="2"/>
    </row>
    <row x14ac:dyDescent="0.25" r="1535" customHeight="1" ht="17.25">
      <c r="A1535" s="1" t="s">
        <v>3205</v>
      </c>
      <c r="B1535" s="1" t="s">
        <v>3206</v>
      </c>
      <c r="C1535" s="1" t="s">
        <v>20</v>
      </c>
      <c r="D1535" s="1" t="s">
        <v>1187</v>
      </c>
      <c r="E1535" s="1" t="s">
        <v>1188</v>
      </c>
      <c r="F1535" s="1" t="s">
        <v>1189</v>
      </c>
      <c r="G1535" s="1" t="s">
        <v>1190</v>
      </c>
      <c r="H1535" s="2"/>
      <c r="I1535" s="2"/>
      <c r="J1535" s="2"/>
      <c r="K1535" s="2"/>
    </row>
    <row x14ac:dyDescent="0.25" r="1536" customHeight="1" ht="17.25">
      <c r="A1536" s="1" t="s">
        <v>3207</v>
      </c>
      <c r="B1536" s="1" t="s">
        <v>3208</v>
      </c>
      <c r="C1536" s="1" t="s">
        <v>20</v>
      </c>
      <c r="D1536" s="1" t="s">
        <v>1187</v>
      </c>
      <c r="E1536" s="1" t="s">
        <v>1188</v>
      </c>
      <c r="F1536" s="1" t="s">
        <v>1189</v>
      </c>
      <c r="G1536" s="1" t="s">
        <v>1190</v>
      </c>
      <c r="H1536" s="2"/>
      <c r="I1536" s="2"/>
      <c r="J1536" s="2"/>
      <c r="K1536" s="2"/>
    </row>
    <row x14ac:dyDescent="0.25" r="1537" customHeight="1" ht="17.25">
      <c r="A1537" s="1" t="s">
        <v>3209</v>
      </c>
      <c r="B1537" s="1" t="s">
        <v>3210</v>
      </c>
      <c r="C1537" s="1" t="s">
        <v>20</v>
      </c>
      <c r="D1537" s="1" t="s">
        <v>1187</v>
      </c>
      <c r="E1537" s="1" t="s">
        <v>1188</v>
      </c>
      <c r="F1537" s="1" t="s">
        <v>1189</v>
      </c>
      <c r="G1537" s="1" t="s">
        <v>1190</v>
      </c>
      <c r="H1537" s="2"/>
      <c r="I1537" s="2"/>
      <c r="J1537" s="2"/>
      <c r="K1537" s="2"/>
    </row>
    <row x14ac:dyDescent="0.25" r="1538" customHeight="1" ht="17.25">
      <c r="A1538" s="1" t="s">
        <v>3211</v>
      </c>
      <c r="B1538" s="1" t="s">
        <v>3212</v>
      </c>
      <c r="C1538" s="1" t="s">
        <v>20</v>
      </c>
      <c r="D1538" s="1" t="s">
        <v>1187</v>
      </c>
      <c r="E1538" s="1" t="s">
        <v>1188</v>
      </c>
      <c r="F1538" s="1" t="s">
        <v>1189</v>
      </c>
      <c r="G1538" s="1" t="s">
        <v>1190</v>
      </c>
      <c r="H1538" s="2"/>
      <c r="I1538" s="2"/>
      <c r="J1538" s="2"/>
      <c r="K1538" s="2"/>
    </row>
    <row x14ac:dyDescent="0.25" r="1539" customHeight="1" ht="17.25">
      <c r="A1539" s="1" t="s">
        <v>3213</v>
      </c>
      <c r="B1539" s="1" t="s">
        <v>3214</v>
      </c>
      <c r="C1539" s="1" t="s">
        <v>20</v>
      </c>
      <c r="D1539" s="1" t="s">
        <v>1187</v>
      </c>
      <c r="E1539" s="1" t="s">
        <v>1188</v>
      </c>
      <c r="F1539" s="1" t="s">
        <v>1189</v>
      </c>
      <c r="G1539" s="1" t="s">
        <v>1190</v>
      </c>
      <c r="H1539" s="2"/>
      <c r="I1539" s="2"/>
      <c r="J1539" s="2"/>
      <c r="K1539" s="2"/>
    </row>
    <row x14ac:dyDescent="0.25" r="1540" customHeight="1" ht="17.25">
      <c r="A1540" s="1" t="s">
        <v>3215</v>
      </c>
      <c r="B1540" s="1" t="s">
        <v>3216</v>
      </c>
      <c r="C1540" s="1" t="s">
        <v>20</v>
      </c>
      <c r="D1540" s="1" t="s">
        <v>1187</v>
      </c>
      <c r="E1540" s="1" t="s">
        <v>1188</v>
      </c>
      <c r="F1540" s="1" t="s">
        <v>1189</v>
      </c>
      <c r="G1540" s="1" t="s">
        <v>1190</v>
      </c>
      <c r="H1540" s="2"/>
      <c r="I1540" s="2"/>
      <c r="J1540" s="2"/>
      <c r="K1540" s="2"/>
    </row>
    <row x14ac:dyDescent="0.25" r="1541" customHeight="1" ht="17.25">
      <c r="A1541" s="1" t="s">
        <v>3217</v>
      </c>
      <c r="B1541" s="1" t="s">
        <v>3218</v>
      </c>
      <c r="C1541" s="1" t="s">
        <v>20</v>
      </c>
      <c r="D1541" s="1" t="s">
        <v>1187</v>
      </c>
      <c r="E1541" s="1" t="s">
        <v>1188</v>
      </c>
      <c r="F1541" s="1" t="s">
        <v>1189</v>
      </c>
      <c r="G1541" s="1" t="s">
        <v>1190</v>
      </c>
      <c r="H1541" s="2"/>
      <c r="I1541" s="2"/>
      <c r="J1541" s="2"/>
      <c r="K1541" s="2"/>
    </row>
    <row x14ac:dyDescent="0.25" r="1542" customHeight="1" ht="17.25">
      <c r="A1542" s="1" t="s">
        <v>3219</v>
      </c>
      <c r="B1542" s="1" t="s">
        <v>3220</v>
      </c>
      <c r="C1542" s="1" t="s">
        <v>20</v>
      </c>
      <c r="D1542" s="1" t="s">
        <v>1187</v>
      </c>
      <c r="E1542" s="1" t="s">
        <v>1188</v>
      </c>
      <c r="F1542" s="1" t="s">
        <v>1189</v>
      </c>
      <c r="G1542" s="1" t="s">
        <v>1190</v>
      </c>
      <c r="H1542" s="2"/>
      <c r="I1542" s="2"/>
      <c r="J1542" s="2"/>
      <c r="K1542" s="2"/>
    </row>
    <row x14ac:dyDescent="0.25" r="1543" customHeight="1" ht="17.25">
      <c r="A1543" s="1" t="s">
        <v>3221</v>
      </c>
      <c r="B1543" s="1" t="s">
        <v>3222</v>
      </c>
      <c r="C1543" s="1" t="s">
        <v>20</v>
      </c>
      <c r="D1543" s="1" t="s">
        <v>1187</v>
      </c>
      <c r="E1543" s="1" t="s">
        <v>1188</v>
      </c>
      <c r="F1543" s="1" t="s">
        <v>1189</v>
      </c>
      <c r="G1543" s="1" t="s">
        <v>1190</v>
      </c>
      <c r="H1543" s="2"/>
      <c r="I1543" s="2"/>
      <c r="J1543" s="2"/>
      <c r="K1543" s="2"/>
    </row>
    <row x14ac:dyDescent="0.25" r="1544" customHeight="1" ht="17.25">
      <c r="A1544" s="1" t="s">
        <v>3223</v>
      </c>
      <c r="B1544" s="1" t="s">
        <v>3224</v>
      </c>
      <c r="C1544" s="1" t="s">
        <v>20</v>
      </c>
      <c r="D1544" s="1" t="s">
        <v>1187</v>
      </c>
      <c r="E1544" s="1" t="s">
        <v>1188</v>
      </c>
      <c r="F1544" s="1" t="s">
        <v>1189</v>
      </c>
      <c r="G1544" s="1" t="s">
        <v>1190</v>
      </c>
      <c r="H1544" s="2"/>
      <c r="I1544" s="2"/>
      <c r="J1544" s="2"/>
      <c r="K1544" s="2"/>
    </row>
    <row x14ac:dyDescent="0.25" r="1545" customHeight="1" ht="17.25">
      <c r="A1545" s="1" t="s">
        <v>3225</v>
      </c>
      <c r="B1545" s="1" t="s">
        <v>3226</v>
      </c>
      <c r="C1545" s="1" t="s">
        <v>20</v>
      </c>
      <c r="D1545" s="1" t="s">
        <v>1187</v>
      </c>
      <c r="E1545" s="1" t="s">
        <v>1188</v>
      </c>
      <c r="F1545" s="1" t="s">
        <v>1189</v>
      </c>
      <c r="G1545" s="1" t="s">
        <v>1190</v>
      </c>
      <c r="H1545" s="2"/>
      <c r="I1545" s="2"/>
      <c r="J1545" s="2"/>
      <c r="K1545" s="2"/>
    </row>
    <row x14ac:dyDescent="0.25" r="1546" customHeight="1" ht="17.25">
      <c r="A1546" s="1" t="s">
        <v>3227</v>
      </c>
      <c r="B1546" s="1" t="s">
        <v>3228</v>
      </c>
      <c r="C1546" s="1" t="s">
        <v>20</v>
      </c>
      <c r="D1546" s="1" t="s">
        <v>1187</v>
      </c>
      <c r="E1546" s="1" t="s">
        <v>1188</v>
      </c>
      <c r="F1546" s="1" t="s">
        <v>1189</v>
      </c>
      <c r="G1546" s="1" t="s">
        <v>1190</v>
      </c>
      <c r="H1546" s="2"/>
      <c r="I1546" s="2"/>
      <c r="J1546" s="2"/>
      <c r="K1546" s="2"/>
    </row>
    <row x14ac:dyDescent="0.25" r="1547" customHeight="1" ht="17.25">
      <c r="A1547" s="1" t="s">
        <v>3229</v>
      </c>
      <c r="B1547" s="1" t="s">
        <v>3230</v>
      </c>
      <c r="C1547" s="1" t="s">
        <v>20</v>
      </c>
      <c r="D1547" s="1" t="s">
        <v>1187</v>
      </c>
      <c r="E1547" s="1" t="s">
        <v>1188</v>
      </c>
      <c r="F1547" s="1" t="s">
        <v>1189</v>
      </c>
      <c r="G1547" s="1" t="s">
        <v>1190</v>
      </c>
      <c r="H1547" s="2"/>
      <c r="I1547" s="2"/>
      <c r="J1547" s="2"/>
      <c r="K1547" s="2"/>
    </row>
    <row x14ac:dyDescent="0.25" r="1548" customHeight="1" ht="17.25">
      <c r="A1548" s="1" t="s">
        <v>3231</v>
      </c>
      <c r="B1548" s="1" t="s">
        <v>3232</v>
      </c>
      <c r="C1548" s="1" t="s">
        <v>20</v>
      </c>
      <c r="D1548" s="1" t="s">
        <v>1187</v>
      </c>
      <c r="E1548" s="1" t="s">
        <v>1188</v>
      </c>
      <c r="F1548" s="1" t="s">
        <v>1189</v>
      </c>
      <c r="G1548" s="1" t="s">
        <v>1190</v>
      </c>
      <c r="H1548" s="2"/>
      <c r="I1548" s="2"/>
      <c r="J1548" s="2"/>
      <c r="K1548" s="2"/>
    </row>
    <row x14ac:dyDescent="0.25" r="1549" customHeight="1" ht="17.25">
      <c r="A1549" s="1" t="s">
        <v>3233</v>
      </c>
      <c r="B1549" s="1" t="s">
        <v>3234</v>
      </c>
      <c r="C1549" s="1" t="s">
        <v>20</v>
      </c>
      <c r="D1549" s="1" t="s">
        <v>1187</v>
      </c>
      <c r="E1549" s="1" t="s">
        <v>1188</v>
      </c>
      <c r="F1549" s="1" t="s">
        <v>1189</v>
      </c>
      <c r="G1549" s="1" t="s">
        <v>1190</v>
      </c>
      <c r="H1549" s="2"/>
      <c r="I1549" s="2"/>
      <c r="J1549" s="2"/>
      <c r="K1549" s="2"/>
    </row>
    <row x14ac:dyDescent="0.25" r="1550" customHeight="1" ht="17.25">
      <c r="A1550" s="1" t="s">
        <v>3235</v>
      </c>
      <c r="B1550" s="1" t="s">
        <v>3236</v>
      </c>
      <c r="C1550" s="1" t="s">
        <v>20</v>
      </c>
      <c r="D1550" s="1" t="s">
        <v>1187</v>
      </c>
      <c r="E1550" s="1" t="s">
        <v>1188</v>
      </c>
      <c r="F1550" s="1" t="s">
        <v>1189</v>
      </c>
      <c r="G1550" s="1" t="s">
        <v>1190</v>
      </c>
      <c r="H1550" s="2"/>
      <c r="I1550" s="2"/>
      <c r="J1550" s="2"/>
      <c r="K1550" s="2"/>
    </row>
    <row x14ac:dyDescent="0.25" r="1551" customHeight="1" ht="17.25">
      <c r="A1551" s="1" t="s">
        <v>3237</v>
      </c>
      <c r="B1551" s="1" t="s">
        <v>3238</v>
      </c>
      <c r="C1551" s="1" t="s">
        <v>20</v>
      </c>
      <c r="D1551" s="1" t="s">
        <v>1187</v>
      </c>
      <c r="E1551" s="1" t="s">
        <v>1188</v>
      </c>
      <c r="F1551" s="1" t="s">
        <v>1189</v>
      </c>
      <c r="G1551" s="1" t="s">
        <v>1190</v>
      </c>
      <c r="H1551" s="2"/>
      <c r="I1551" s="2"/>
      <c r="J1551" s="2"/>
      <c r="K1551" s="2"/>
    </row>
    <row x14ac:dyDescent="0.25" r="1552" customHeight="1" ht="17.25">
      <c r="A1552" s="1" t="s">
        <v>3239</v>
      </c>
      <c r="B1552" s="1" t="s">
        <v>3240</v>
      </c>
      <c r="C1552" s="1" t="s">
        <v>20</v>
      </c>
      <c r="D1552" s="1" t="s">
        <v>1187</v>
      </c>
      <c r="E1552" s="1" t="s">
        <v>1188</v>
      </c>
      <c r="F1552" s="1" t="s">
        <v>1189</v>
      </c>
      <c r="G1552" s="1" t="s">
        <v>1190</v>
      </c>
      <c r="H1552" s="2"/>
      <c r="I1552" s="2"/>
      <c r="J1552" s="2"/>
      <c r="K1552" s="2"/>
    </row>
    <row x14ac:dyDescent="0.25" r="1553" customHeight="1" ht="17.25">
      <c r="A1553" s="1" t="s">
        <v>3241</v>
      </c>
      <c r="B1553" s="1" t="s">
        <v>3242</v>
      </c>
      <c r="C1553" s="1" t="s">
        <v>20</v>
      </c>
      <c r="D1553" s="1" t="s">
        <v>1187</v>
      </c>
      <c r="E1553" s="1" t="s">
        <v>1188</v>
      </c>
      <c r="F1553" s="1" t="s">
        <v>1189</v>
      </c>
      <c r="G1553" s="1" t="s">
        <v>1190</v>
      </c>
      <c r="H1553" s="2"/>
      <c r="I1553" s="2"/>
      <c r="J1553" s="2"/>
      <c r="K1553" s="2"/>
    </row>
    <row x14ac:dyDescent="0.25" r="1554" customHeight="1" ht="17.25">
      <c r="A1554" s="1" t="s">
        <v>3243</v>
      </c>
      <c r="B1554" s="1" t="s">
        <v>3244</v>
      </c>
      <c r="C1554" s="1" t="s">
        <v>20</v>
      </c>
      <c r="D1554" s="1" t="s">
        <v>1187</v>
      </c>
      <c r="E1554" s="1" t="s">
        <v>1188</v>
      </c>
      <c r="F1554" s="1" t="s">
        <v>1189</v>
      </c>
      <c r="G1554" s="1" t="s">
        <v>1190</v>
      </c>
      <c r="H1554" s="2"/>
      <c r="I1554" s="2"/>
      <c r="J1554" s="2"/>
      <c r="K1554" s="2"/>
    </row>
    <row x14ac:dyDescent="0.25" r="1555" customHeight="1" ht="17.25">
      <c r="A1555" s="1" t="s">
        <v>3245</v>
      </c>
      <c r="B1555" s="1" t="s">
        <v>3246</v>
      </c>
      <c r="C1555" s="1" t="s">
        <v>20</v>
      </c>
      <c r="D1555" s="1" t="s">
        <v>1187</v>
      </c>
      <c r="E1555" s="1" t="s">
        <v>1188</v>
      </c>
      <c r="F1555" s="1" t="s">
        <v>1189</v>
      </c>
      <c r="G1555" s="1" t="s">
        <v>1190</v>
      </c>
      <c r="H1555" s="2"/>
      <c r="I1555" s="2"/>
      <c r="J1555" s="2"/>
      <c r="K1555" s="2"/>
    </row>
    <row x14ac:dyDescent="0.25" r="1556" customHeight="1" ht="17.25">
      <c r="A1556" s="1" t="s">
        <v>3247</v>
      </c>
      <c r="B1556" s="1" t="s">
        <v>3248</v>
      </c>
      <c r="C1556" s="1" t="s">
        <v>20</v>
      </c>
      <c r="D1556" s="1" t="s">
        <v>1187</v>
      </c>
      <c r="E1556" s="1" t="s">
        <v>1188</v>
      </c>
      <c r="F1556" s="1" t="s">
        <v>1189</v>
      </c>
      <c r="G1556" s="1" t="s">
        <v>1190</v>
      </c>
      <c r="H1556" s="2"/>
      <c r="I1556" s="2"/>
      <c r="J1556" s="2"/>
      <c r="K1556" s="2"/>
    </row>
    <row x14ac:dyDescent="0.25" r="1557" customHeight="1" ht="17.25">
      <c r="A1557" s="1" t="s">
        <v>3249</v>
      </c>
      <c r="B1557" s="1" t="s">
        <v>3250</v>
      </c>
      <c r="C1557" s="1" t="s">
        <v>20</v>
      </c>
      <c r="D1557" s="1" t="s">
        <v>1187</v>
      </c>
      <c r="E1557" s="1" t="s">
        <v>1188</v>
      </c>
      <c r="F1557" s="1" t="s">
        <v>1189</v>
      </c>
      <c r="G1557" s="1" t="s">
        <v>1190</v>
      </c>
      <c r="H1557" s="2"/>
      <c r="I1557" s="2"/>
      <c r="J1557" s="2"/>
      <c r="K1557" s="2"/>
    </row>
    <row x14ac:dyDescent="0.25" r="1558" customHeight="1" ht="17.25">
      <c r="A1558" s="1" t="s">
        <v>3251</v>
      </c>
      <c r="B1558" s="1" t="s">
        <v>3252</v>
      </c>
      <c r="C1558" s="1" t="s">
        <v>20</v>
      </c>
      <c r="D1558" s="1" t="s">
        <v>1187</v>
      </c>
      <c r="E1558" s="1" t="s">
        <v>1188</v>
      </c>
      <c r="F1558" s="1" t="s">
        <v>1189</v>
      </c>
      <c r="G1558" s="1" t="s">
        <v>1190</v>
      </c>
      <c r="H1558" s="2"/>
      <c r="I1558" s="2"/>
      <c r="J1558" s="2"/>
      <c r="K1558" s="2"/>
    </row>
    <row x14ac:dyDescent="0.25" r="1559" customHeight="1" ht="17.25">
      <c r="A1559" s="1" t="s">
        <v>3253</v>
      </c>
      <c r="B1559" s="1" t="s">
        <v>3254</v>
      </c>
      <c r="C1559" s="1" t="s">
        <v>20</v>
      </c>
      <c r="D1559" s="1" t="s">
        <v>1187</v>
      </c>
      <c r="E1559" s="1" t="s">
        <v>1188</v>
      </c>
      <c r="F1559" s="1" t="s">
        <v>1189</v>
      </c>
      <c r="G1559" s="1" t="s">
        <v>1190</v>
      </c>
      <c r="H1559" s="2"/>
      <c r="I1559" s="2"/>
      <c r="J1559" s="2"/>
      <c r="K1559" s="2"/>
    </row>
    <row x14ac:dyDescent="0.25" r="1560" customHeight="1" ht="17.25">
      <c r="A1560" s="1" t="s">
        <v>3255</v>
      </c>
      <c r="B1560" s="1" t="s">
        <v>3256</v>
      </c>
      <c r="C1560" s="1" t="s">
        <v>20</v>
      </c>
      <c r="D1560" s="1" t="s">
        <v>1187</v>
      </c>
      <c r="E1560" s="1" t="s">
        <v>1188</v>
      </c>
      <c r="F1560" s="1" t="s">
        <v>1189</v>
      </c>
      <c r="G1560" s="1" t="s">
        <v>1190</v>
      </c>
      <c r="H1560" s="2"/>
      <c r="I1560" s="2"/>
      <c r="J1560" s="2"/>
      <c r="K1560" s="2"/>
    </row>
    <row x14ac:dyDescent="0.25" r="1561" customHeight="1" ht="17.25">
      <c r="A1561" s="1" t="s">
        <v>3257</v>
      </c>
      <c r="B1561" s="1" t="s">
        <v>3258</v>
      </c>
      <c r="C1561" s="1" t="s">
        <v>20</v>
      </c>
      <c r="D1561" s="1" t="s">
        <v>1187</v>
      </c>
      <c r="E1561" s="1" t="s">
        <v>1188</v>
      </c>
      <c r="F1561" s="1" t="s">
        <v>1189</v>
      </c>
      <c r="G1561" s="1" t="s">
        <v>1190</v>
      </c>
      <c r="H1561" s="2"/>
      <c r="I1561" s="2"/>
      <c r="J1561" s="2"/>
      <c r="K1561" s="2"/>
    </row>
    <row x14ac:dyDescent="0.25" r="1562" customHeight="1" ht="17.25">
      <c r="A1562" s="1" t="s">
        <v>3259</v>
      </c>
      <c r="B1562" s="1" t="s">
        <v>3260</v>
      </c>
      <c r="C1562" s="1" t="s">
        <v>20</v>
      </c>
      <c r="D1562" s="1" t="s">
        <v>1187</v>
      </c>
      <c r="E1562" s="1" t="s">
        <v>1188</v>
      </c>
      <c r="F1562" s="1" t="s">
        <v>1189</v>
      </c>
      <c r="G1562" s="1" t="s">
        <v>1190</v>
      </c>
      <c r="H1562" s="2"/>
      <c r="I1562" s="2"/>
      <c r="J1562" s="2"/>
      <c r="K1562" s="2"/>
    </row>
    <row x14ac:dyDescent="0.25" r="1563" customHeight="1" ht="17.25">
      <c r="A1563" s="1" t="s">
        <v>3261</v>
      </c>
      <c r="B1563" s="1" t="s">
        <v>3262</v>
      </c>
      <c r="C1563" s="1" t="s">
        <v>20</v>
      </c>
      <c r="D1563" s="1" t="s">
        <v>1187</v>
      </c>
      <c r="E1563" s="1" t="s">
        <v>1188</v>
      </c>
      <c r="F1563" s="1" t="s">
        <v>1189</v>
      </c>
      <c r="G1563" s="1" t="s">
        <v>1190</v>
      </c>
      <c r="H1563" s="2"/>
      <c r="I1563" s="2"/>
      <c r="J1563" s="2"/>
      <c r="K1563" s="2"/>
    </row>
    <row x14ac:dyDescent="0.25" r="1564" customHeight="1" ht="17.25">
      <c r="A1564" s="1" t="s">
        <v>3263</v>
      </c>
      <c r="B1564" s="1" t="s">
        <v>3264</v>
      </c>
      <c r="C1564" s="1" t="s">
        <v>20</v>
      </c>
      <c r="D1564" s="1" t="s">
        <v>1187</v>
      </c>
      <c r="E1564" s="1" t="s">
        <v>1188</v>
      </c>
      <c r="F1564" s="1" t="s">
        <v>1189</v>
      </c>
      <c r="G1564" s="1" t="s">
        <v>1190</v>
      </c>
      <c r="H1564" s="2"/>
      <c r="I1564" s="2"/>
      <c r="J1564" s="2"/>
      <c r="K1564" s="2"/>
    </row>
    <row x14ac:dyDescent="0.25" r="1565" customHeight="1" ht="17.25">
      <c r="A1565" s="1" t="s">
        <v>3265</v>
      </c>
      <c r="B1565" s="1" t="s">
        <v>3266</v>
      </c>
      <c r="C1565" s="1" t="s">
        <v>20</v>
      </c>
      <c r="D1565" s="1" t="s">
        <v>1187</v>
      </c>
      <c r="E1565" s="1" t="s">
        <v>1188</v>
      </c>
      <c r="F1565" s="1" t="s">
        <v>1189</v>
      </c>
      <c r="G1565" s="1" t="s">
        <v>1190</v>
      </c>
      <c r="H1565" s="2"/>
      <c r="I1565" s="2"/>
      <c r="J1565" s="2"/>
      <c r="K1565" s="2"/>
    </row>
    <row x14ac:dyDescent="0.25" r="1566" customHeight="1" ht="17.25">
      <c r="A1566" s="1" t="s">
        <v>3267</v>
      </c>
      <c r="B1566" s="1" t="s">
        <v>3268</v>
      </c>
      <c r="C1566" s="1" t="s">
        <v>20</v>
      </c>
      <c r="D1566" s="1" t="s">
        <v>1187</v>
      </c>
      <c r="E1566" s="1" t="s">
        <v>1188</v>
      </c>
      <c r="F1566" s="1" t="s">
        <v>1189</v>
      </c>
      <c r="G1566" s="1" t="s">
        <v>1190</v>
      </c>
      <c r="H1566" s="2"/>
      <c r="I1566" s="2"/>
      <c r="J1566" s="2"/>
      <c r="K1566" s="2"/>
    </row>
    <row x14ac:dyDescent="0.25" r="1567" customHeight="1" ht="17.25">
      <c r="A1567" s="1" t="s">
        <v>3269</v>
      </c>
      <c r="B1567" s="1" t="s">
        <v>3270</v>
      </c>
      <c r="C1567" s="1" t="s">
        <v>20</v>
      </c>
      <c r="D1567" s="1" t="s">
        <v>1187</v>
      </c>
      <c r="E1567" s="1" t="s">
        <v>1188</v>
      </c>
      <c r="F1567" s="1" t="s">
        <v>1189</v>
      </c>
      <c r="G1567" s="1" t="s">
        <v>1190</v>
      </c>
      <c r="H1567" s="2"/>
      <c r="I1567" s="2"/>
      <c r="J1567" s="2"/>
      <c r="K1567" s="2"/>
    </row>
    <row x14ac:dyDescent="0.25" r="1568" customHeight="1" ht="17.25">
      <c r="A1568" s="1" t="s">
        <v>3271</v>
      </c>
      <c r="B1568" s="1" t="s">
        <v>3272</v>
      </c>
      <c r="C1568" s="1" t="s">
        <v>20</v>
      </c>
      <c r="D1568" s="1" t="s">
        <v>1187</v>
      </c>
      <c r="E1568" s="1" t="s">
        <v>1188</v>
      </c>
      <c r="F1568" s="1" t="s">
        <v>1189</v>
      </c>
      <c r="G1568" s="1" t="s">
        <v>1190</v>
      </c>
      <c r="H1568" s="2"/>
      <c r="I1568" s="2"/>
      <c r="J1568" s="2"/>
      <c r="K1568" s="2"/>
    </row>
    <row x14ac:dyDescent="0.25" r="1569" customHeight="1" ht="17.25">
      <c r="A1569" s="1" t="s">
        <v>3273</v>
      </c>
      <c r="B1569" s="1" t="s">
        <v>3274</v>
      </c>
      <c r="C1569" s="1" t="s">
        <v>20</v>
      </c>
      <c r="D1569" s="1" t="s">
        <v>1187</v>
      </c>
      <c r="E1569" s="1" t="s">
        <v>1188</v>
      </c>
      <c r="F1569" s="1" t="s">
        <v>1189</v>
      </c>
      <c r="G1569" s="1" t="s">
        <v>1190</v>
      </c>
      <c r="H1569" s="2"/>
      <c r="I1569" s="2"/>
      <c r="J1569" s="2"/>
      <c r="K1569" s="2"/>
    </row>
    <row x14ac:dyDescent="0.25" r="1570" customHeight="1" ht="17.25">
      <c r="A1570" s="1" t="s">
        <v>3275</v>
      </c>
      <c r="B1570" s="1" t="s">
        <v>3276</v>
      </c>
      <c r="C1570" s="1" t="s">
        <v>20</v>
      </c>
      <c r="D1570" s="1" t="s">
        <v>1187</v>
      </c>
      <c r="E1570" s="1" t="s">
        <v>1188</v>
      </c>
      <c r="F1570" s="1" t="s">
        <v>1189</v>
      </c>
      <c r="G1570" s="1" t="s">
        <v>1190</v>
      </c>
      <c r="H1570" s="2"/>
      <c r="I1570" s="2"/>
      <c r="J1570" s="2"/>
      <c r="K1570" s="2"/>
    </row>
    <row x14ac:dyDescent="0.25" r="1571" customHeight="1" ht="17.25">
      <c r="A1571" s="1" t="s">
        <v>3277</v>
      </c>
      <c r="B1571" s="1" t="s">
        <v>3278</v>
      </c>
      <c r="C1571" s="1" t="s">
        <v>20</v>
      </c>
      <c r="D1571" s="1" t="s">
        <v>1187</v>
      </c>
      <c r="E1571" s="1" t="s">
        <v>1188</v>
      </c>
      <c r="F1571" s="1" t="s">
        <v>1189</v>
      </c>
      <c r="G1571" s="1" t="s">
        <v>1190</v>
      </c>
      <c r="H1571" s="2"/>
      <c r="I1571" s="2"/>
      <c r="J1571" s="2"/>
      <c r="K1571" s="2"/>
    </row>
    <row x14ac:dyDescent="0.25" r="1572" customHeight="1" ht="17.25">
      <c r="A1572" s="1" t="s">
        <v>3279</v>
      </c>
      <c r="B1572" s="1" t="s">
        <v>3280</v>
      </c>
      <c r="C1572" s="1" t="s">
        <v>20</v>
      </c>
      <c r="D1572" s="1" t="s">
        <v>1187</v>
      </c>
      <c r="E1572" s="1" t="s">
        <v>1188</v>
      </c>
      <c r="F1572" s="1" t="s">
        <v>1189</v>
      </c>
      <c r="G1572" s="1" t="s">
        <v>1190</v>
      </c>
      <c r="H1572" s="2"/>
      <c r="I1572" s="2"/>
      <c r="J1572" s="2"/>
      <c r="K1572" s="2"/>
    </row>
    <row x14ac:dyDescent="0.25" r="1573" customHeight="1" ht="17.25">
      <c r="A1573" s="1" t="s">
        <v>3281</v>
      </c>
      <c r="B1573" s="1" t="s">
        <v>3282</v>
      </c>
      <c r="C1573" s="1" t="s">
        <v>20</v>
      </c>
      <c r="D1573" s="1" t="s">
        <v>1187</v>
      </c>
      <c r="E1573" s="1" t="s">
        <v>1188</v>
      </c>
      <c r="F1573" s="1" t="s">
        <v>1189</v>
      </c>
      <c r="G1573" s="1" t="s">
        <v>1190</v>
      </c>
      <c r="H1573" s="2"/>
      <c r="I1573" s="2"/>
      <c r="J1573" s="2"/>
      <c r="K1573" s="2"/>
    </row>
    <row x14ac:dyDescent="0.25" r="1574" customHeight="1" ht="17.25">
      <c r="A1574" s="1" t="s">
        <v>3283</v>
      </c>
      <c r="B1574" s="1" t="s">
        <v>3284</v>
      </c>
      <c r="C1574" s="1" t="s">
        <v>20</v>
      </c>
      <c r="D1574" s="1" t="s">
        <v>1187</v>
      </c>
      <c r="E1574" s="1" t="s">
        <v>1188</v>
      </c>
      <c r="F1574" s="1" t="s">
        <v>1189</v>
      </c>
      <c r="G1574" s="1" t="s">
        <v>1190</v>
      </c>
      <c r="H1574" s="2"/>
      <c r="I1574" s="2"/>
      <c r="J1574" s="2"/>
      <c r="K1574" s="2"/>
    </row>
    <row x14ac:dyDescent="0.25" r="1575" customHeight="1" ht="17.25">
      <c r="A1575" s="1" t="s">
        <v>3285</v>
      </c>
      <c r="B1575" s="1" t="s">
        <v>3286</v>
      </c>
      <c r="C1575" s="1" t="s">
        <v>20</v>
      </c>
      <c r="D1575" s="1" t="s">
        <v>1187</v>
      </c>
      <c r="E1575" s="1" t="s">
        <v>1188</v>
      </c>
      <c r="F1575" s="1" t="s">
        <v>1189</v>
      </c>
      <c r="G1575" s="1" t="s">
        <v>1190</v>
      </c>
      <c r="H1575" s="2"/>
      <c r="I1575" s="2"/>
      <c r="J1575" s="2"/>
      <c r="K1575" s="2"/>
    </row>
    <row x14ac:dyDescent="0.25" r="1576" customHeight="1" ht="17.25">
      <c r="A1576" s="1" t="s">
        <v>3287</v>
      </c>
      <c r="B1576" s="1" t="s">
        <v>3288</v>
      </c>
      <c r="C1576" s="1" t="s">
        <v>20</v>
      </c>
      <c r="D1576" s="1" t="s">
        <v>1187</v>
      </c>
      <c r="E1576" s="1" t="s">
        <v>1188</v>
      </c>
      <c r="F1576" s="1" t="s">
        <v>1189</v>
      </c>
      <c r="G1576" s="1" t="s">
        <v>1190</v>
      </c>
      <c r="H1576" s="2"/>
      <c r="I1576" s="2"/>
      <c r="J1576" s="2"/>
      <c r="K1576" s="2"/>
    </row>
    <row x14ac:dyDescent="0.25" r="1577" customHeight="1" ht="17.25">
      <c r="A1577" s="1" t="s">
        <v>3289</v>
      </c>
      <c r="B1577" s="1" t="s">
        <v>3290</v>
      </c>
      <c r="C1577" s="1" t="s">
        <v>20</v>
      </c>
      <c r="D1577" s="1" t="s">
        <v>1187</v>
      </c>
      <c r="E1577" s="1" t="s">
        <v>1188</v>
      </c>
      <c r="F1577" s="1" t="s">
        <v>1189</v>
      </c>
      <c r="G1577" s="1" t="s">
        <v>1190</v>
      </c>
      <c r="H1577" s="2"/>
      <c r="I1577" s="2"/>
      <c r="J1577" s="2"/>
      <c r="K1577" s="2"/>
    </row>
    <row x14ac:dyDescent="0.25" r="1578" customHeight="1" ht="17.25">
      <c r="A1578" s="1" t="s">
        <v>3291</v>
      </c>
      <c r="B1578" s="1" t="s">
        <v>3292</v>
      </c>
      <c r="C1578" s="1" t="s">
        <v>20</v>
      </c>
      <c r="D1578" s="1" t="s">
        <v>1187</v>
      </c>
      <c r="E1578" s="1" t="s">
        <v>1188</v>
      </c>
      <c r="F1578" s="1" t="s">
        <v>1189</v>
      </c>
      <c r="G1578" s="1" t="s">
        <v>1190</v>
      </c>
      <c r="H1578" s="2"/>
      <c r="I1578" s="2"/>
      <c r="J1578" s="2"/>
      <c r="K1578" s="2"/>
    </row>
    <row x14ac:dyDescent="0.25" r="1579" customHeight="1" ht="17.25">
      <c r="A1579" s="1" t="s">
        <v>3293</v>
      </c>
      <c r="B1579" s="1" t="s">
        <v>3294</v>
      </c>
      <c r="C1579" s="1" t="s">
        <v>20</v>
      </c>
      <c r="D1579" s="1" t="s">
        <v>1187</v>
      </c>
      <c r="E1579" s="1" t="s">
        <v>1188</v>
      </c>
      <c r="F1579" s="1" t="s">
        <v>1189</v>
      </c>
      <c r="G1579" s="1" t="s">
        <v>1190</v>
      </c>
      <c r="H1579" s="2"/>
      <c r="I1579" s="2"/>
      <c r="J1579" s="2"/>
      <c r="K1579" s="2"/>
    </row>
    <row x14ac:dyDescent="0.25" r="1580" customHeight="1" ht="17.25">
      <c r="A1580" s="1" t="s">
        <v>3295</v>
      </c>
      <c r="B1580" s="1" t="s">
        <v>3296</v>
      </c>
      <c r="C1580" s="1" t="s">
        <v>20</v>
      </c>
      <c r="D1580" s="1" t="s">
        <v>1187</v>
      </c>
      <c r="E1580" s="1" t="s">
        <v>1188</v>
      </c>
      <c r="F1580" s="1" t="s">
        <v>1189</v>
      </c>
      <c r="G1580" s="1" t="s">
        <v>1190</v>
      </c>
      <c r="H1580" s="2"/>
      <c r="I1580" s="2"/>
      <c r="J1580" s="2"/>
      <c r="K1580" s="2"/>
    </row>
    <row x14ac:dyDescent="0.25" r="1581" customHeight="1" ht="17.25">
      <c r="A1581" s="1" t="s">
        <v>3297</v>
      </c>
      <c r="B1581" s="1" t="s">
        <v>3298</v>
      </c>
      <c r="C1581" s="1" t="s">
        <v>20</v>
      </c>
      <c r="D1581" s="1" t="s">
        <v>1187</v>
      </c>
      <c r="E1581" s="1" t="s">
        <v>1188</v>
      </c>
      <c r="F1581" s="1" t="s">
        <v>1189</v>
      </c>
      <c r="G1581" s="1" t="s">
        <v>1190</v>
      </c>
      <c r="H1581" s="2"/>
      <c r="I1581" s="2"/>
      <c r="J1581" s="2"/>
      <c r="K1581" s="2"/>
    </row>
    <row x14ac:dyDescent="0.25" r="1582" customHeight="1" ht="17.25">
      <c r="A1582" s="1" t="s">
        <v>3299</v>
      </c>
      <c r="B1582" s="1" t="s">
        <v>3300</v>
      </c>
      <c r="C1582" s="1" t="s">
        <v>20</v>
      </c>
      <c r="D1582" s="1" t="s">
        <v>1187</v>
      </c>
      <c r="E1582" s="1" t="s">
        <v>1188</v>
      </c>
      <c r="F1582" s="1" t="s">
        <v>1189</v>
      </c>
      <c r="G1582" s="1" t="s">
        <v>1190</v>
      </c>
      <c r="H1582" s="2"/>
      <c r="I1582" s="2"/>
      <c r="J1582" s="2"/>
      <c r="K1582" s="2"/>
    </row>
    <row x14ac:dyDescent="0.25" r="1583" customHeight="1" ht="17.25">
      <c r="A1583" s="1" t="s">
        <v>3301</v>
      </c>
      <c r="B1583" s="1" t="s">
        <v>3302</v>
      </c>
      <c r="C1583" s="1" t="s">
        <v>20</v>
      </c>
      <c r="D1583" s="1" t="s">
        <v>1187</v>
      </c>
      <c r="E1583" s="1" t="s">
        <v>1188</v>
      </c>
      <c r="F1583" s="1" t="s">
        <v>1189</v>
      </c>
      <c r="G1583" s="1" t="s">
        <v>1190</v>
      </c>
      <c r="H1583" s="2"/>
      <c r="I1583" s="2"/>
      <c r="J1583" s="2"/>
      <c r="K1583" s="2"/>
    </row>
    <row x14ac:dyDescent="0.25" r="1584" customHeight="1" ht="17.25">
      <c r="A1584" s="1" t="s">
        <v>3303</v>
      </c>
      <c r="B1584" s="1" t="s">
        <v>3304</v>
      </c>
      <c r="C1584" s="1" t="s">
        <v>20</v>
      </c>
      <c r="D1584" s="1" t="s">
        <v>1187</v>
      </c>
      <c r="E1584" s="1" t="s">
        <v>1188</v>
      </c>
      <c r="F1584" s="1" t="s">
        <v>1189</v>
      </c>
      <c r="G1584" s="1" t="s">
        <v>1190</v>
      </c>
      <c r="H1584" s="2"/>
      <c r="I1584" s="2"/>
      <c r="J1584" s="2"/>
      <c r="K1584" s="2"/>
    </row>
    <row x14ac:dyDescent="0.25" r="1585" customHeight="1" ht="17.25">
      <c r="A1585" s="1" t="s">
        <v>3305</v>
      </c>
      <c r="B1585" s="1" t="s">
        <v>3306</v>
      </c>
      <c r="C1585" s="1" t="s">
        <v>20</v>
      </c>
      <c r="D1585" s="1" t="s">
        <v>1187</v>
      </c>
      <c r="E1585" s="1" t="s">
        <v>1188</v>
      </c>
      <c r="F1585" s="1" t="s">
        <v>1189</v>
      </c>
      <c r="G1585" s="1" t="s">
        <v>1190</v>
      </c>
      <c r="H1585" s="2"/>
      <c r="I1585" s="2"/>
      <c r="J1585" s="2"/>
      <c r="K1585" s="2"/>
    </row>
    <row x14ac:dyDescent="0.25" r="1586" customHeight="1" ht="17.25">
      <c r="A1586" s="1" t="s">
        <v>3307</v>
      </c>
      <c r="B1586" s="1" t="s">
        <v>3308</v>
      </c>
      <c r="C1586" s="1" t="s">
        <v>20</v>
      </c>
      <c r="D1586" s="1" t="s">
        <v>1187</v>
      </c>
      <c r="E1586" s="1" t="s">
        <v>1188</v>
      </c>
      <c r="F1586" s="1" t="s">
        <v>1189</v>
      </c>
      <c r="G1586" s="1" t="s">
        <v>1190</v>
      </c>
      <c r="H1586" s="2"/>
      <c r="I1586" s="2"/>
      <c r="J1586" s="2"/>
      <c r="K1586" s="2"/>
    </row>
    <row x14ac:dyDescent="0.25" r="1587" customHeight="1" ht="17.25">
      <c r="A1587" s="1" t="s">
        <v>3309</v>
      </c>
      <c r="B1587" s="1" t="s">
        <v>3310</v>
      </c>
      <c r="C1587" s="1" t="s">
        <v>20</v>
      </c>
      <c r="D1587" s="1" t="s">
        <v>1187</v>
      </c>
      <c r="E1587" s="1" t="s">
        <v>1188</v>
      </c>
      <c r="F1587" s="1" t="s">
        <v>1189</v>
      </c>
      <c r="G1587" s="1" t="s">
        <v>1190</v>
      </c>
      <c r="H1587" s="2"/>
      <c r="I1587" s="2"/>
      <c r="J1587" s="2"/>
      <c r="K1587" s="2"/>
    </row>
    <row x14ac:dyDescent="0.25" r="1588" customHeight="1" ht="17.25">
      <c r="A1588" s="1" t="s">
        <v>3311</v>
      </c>
      <c r="B1588" s="1" t="s">
        <v>3312</v>
      </c>
      <c r="C1588" s="1" t="s">
        <v>20</v>
      </c>
      <c r="D1588" s="1" t="s">
        <v>1187</v>
      </c>
      <c r="E1588" s="1" t="s">
        <v>1188</v>
      </c>
      <c r="F1588" s="1" t="s">
        <v>1189</v>
      </c>
      <c r="G1588" s="1" t="s">
        <v>1190</v>
      </c>
      <c r="H1588" s="2"/>
      <c r="I1588" s="2"/>
      <c r="J1588" s="2"/>
      <c r="K1588" s="2"/>
    </row>
    <row x14ac:dyDescent="0.25" r="1589" customHeight="1" ht="17.25">
      <c r="A1589" s="1" t="s">
        <v>3313</v>
      </c>
      <c r="B1589" s="1" t="s">
        <v>3314</v>
      </c>
      <c r="C1589" s="1" t="s">
        <v>20</v>
      </c>
      <c r="D1589" s="1" t="s">
        <v>1187</v>
      </c>
      <c r="E1589" s="1" t="s">
        <v>1188</v>
      </c>
      <c r="F1589" s="1" t="s">
        <v>1189</v>
      </c>
      <c r="G1589" s="1" t="s">
        <v>1190</v>
      </c>
      <c r="H1589" s="2"/>
      <c r="I1589" s="2"/>
      <c r="J1589" s="2"/>
      <c r="K1589" s="2"/>
    </row>
    <row x14ac:dyDescent="0.25" r="1590" customHeight="1" ht="17.25">
      <c r="A1590" s="1" t="s">
        <v>3315</v>
      </c>
      <c r="B1590" s="1" t="s">
        <v>3316</v>
      </c>
      <c r="C1590" s="1" t="s">
        <v>20</v>
      </c>
      <c r="D1590" s="1" t="s">
        <v>1187</v>
      </c>
      <c r="E1590" s="1" t="s">
        <v>1188</v>
      </c>
      <c r="F1590" s="1" t="s">
        <v>1189</v>
      </c>
      <c r="G1590" s="1" t="s">
        <v>1190</v>
      </c>
      <c r="H1590" s="2"/>
      <c r="I1590" s="2"/>
      <c r="J1590" s="2"/>
      <c r="K1590" s="2"/>
    </row>
    <row x14ac:dyDescent="0.25" r="1591" customHeight="1" ht="17.25">
      <c r="A1591" s="1" t="s">
        <v>3317</v>
      </c>
      <c r="B1591" s="1" t="s">
        <v>3318</v>
      </c>
      <c r="C1591" s="1" t="s">
        <v>20</v>
      </c>
      <c r="D1591" s="1" t="s">
        <v>1187</v>
      </c>
      <c r="E1591" s="1" t="s">
        <v>1188</v>
      </c>
      <c r="F1591" s="1" t="s">
        <v>1189</v>
      </c>
      <c r="G1591" s="1" t="s">
        <v>1190</v>
      </c>
      <c r="H1591" s="2"/>
      <c r="I1591" s="2"/>
      <c r="J1591" s="2"/>
      <c r="K1591" s="2"/>
    </row>
    <row x14ac:dyDescent="0.25" r="1592" customHeight="1" ht="17.25">
      <c r="A1592" s="1" t="s">
        <v>3319</v>
      </c>
      <c r="B1592" s="1" t="s">
        <v>3320</v>
      </c>
      <c r="C1592" s="1" t="s">
        <v>20</v>
      </c>
      <c r="D1592" s="1" t="s">
        <v>1187</v>
      </c>
      <c r="E1592" s="1" t="s">
        <v>1188</v>
      </c>
      <c r="F1592" s="1" t="s">
        <v>1189</v>
      </c>
      <c r="G1592" s="1" t="s">
        <v>1190</v>
      </c>
      <c r="H1592" s="2"/>
      <c r="I1592" s="2"/>
      <c r="J1592" s="2"/>
      <c r="K1592" s="2"/>
    </row>
    <row x14ac:dyDescent="0.25" r="1593" customHeight="1" ht="17.25">
      <c r="A1593" s="1" t="s">
        <v>3321</v>
      </c>
      <c r="B1593" s="1" t="s">
        <v>3322</v>
      </c>
      <c r="C1593" s="1" t="s">
        <v>20</v>
      </c>
      <c r="D1593" s="1" t="s">
        <v>1187</v>
      </c>
      <c r="E1593" s="1" t="s">
        <v>1188</v>
      </c>
      <c r="F1593" s="1" t="s">
        <v>1189</v>
      </c>
      <c r="G1593" s="1" t="s">
        <v>1190</v>
      </c>
      <c r="H1593" s="2"/>
      <c r="I1593" s="2"/>
      <c r="J1593" s="2"/>
      <c r="K1593" s="2"/>
    </row>
    <row x14ac:dyDescent="0.25" r="1594" customHeight="1" ht="17.25">
      <c r="A1594" s="1" t="s">
        <v>3323</v>
      </c>
      <c r="B1594" s="1" t="s">
        <v>3324</v>
      </c>
      <c r="C1594" s="1" t="s">
        <v>20</v>
      </c>
      <c r="D1594" s="1" t="s">
        <v>1187</v>
      </c>
      <c r="E1594" s="1" t="s">
        <v>1188</v>
      </c>
      <c r="F1594" s="1" t="s">
        <v>1189</v>
      </c>
      <c r="G1594" s="1" t="s">
        <v>1190</v>
      </c>
      <c r="H1594" s="2"/>
      <c r="I1594" s="2"/>
      <c r="J1594" s="2"/>
      <c r="K1594" s="2"/>
    </row>
    <row x14ac:dyDescent="0.25" r="1595" customHeight="1" ht="17.25">
      <c r="A1595" s="1" t="s">
        <v>3325</v>
      </c>
      <c r="B1595" s="1" t="s">
        <v>3326</v>
      </c>
      <c r="C1595" s="1" t="s">
        <v>20</v>
      </c>
      <c r="D1595" s="1" t="s">
        <v>1187</v>
      </c>
      <c r="E1595" s="1" t="s">
        <v>1188</v>
      </c>
      <c r="F1595" s="1" t="s">
        <v>1189</v>
      </c>
      <c r="G1595" s="1" t="s">
        <v>1190</v>
      </c>
      <c r="H1595" s="2"/>
      <c r="I1595" s="2"/>
      <c r="J1595" s="2"/>
      <c r="K1595" s="2"/>
    </row>
    <row x14ac:dyDescent="0.25" r="1596" customHeight="1" ht="17.25">
      <c r="A1596" s="1" t="s">
        <v>3327</v>
      </c>
      <c r="B1596" s="1" t="s">
        <v>3328</v>
      </c>
      <c r="C1596" s="1" t="s">
        <v>20</v>
      </c>
      <c r="D1596" s="1" t="s">
        <v>1187</v>
      </c>
      <c r="E1596" s="1" t="s">
        <v>1188</v>
      </c>
      <c r="F1596" s="1" t="s">
        <v>1189</v>
      </c>
      <c r="G1596" s="1" t="s">
        <v>1190</v>
      </c>
      <c r="H1596" s="2"/>
      <c r="I1596" s="2"/>
      <c r="J1596" s="2"/>
      <c r="K1596" s="2"/>
    </row>
    <row x14ac:dyDescent="0.25" r="1597" customHeight="1" ht="17.25">
      <c r="A1597" s="1" t="s">
        <v>3329</v>
      </c>
      <c r="B1597" s="1" t="s">
        <v>3330</v>
      </c>
      <c r="C1597" s="1" t="s">
        <v>20</v>
      </c>
      <c r="D1597" s="1" t="s">
        <v>1187</v>
      </c>
      <c r="E1597" s="1" t="s">
        <v>1188</v>
      </c>
      <c r="F1597" s="1" t="s">
        <v>1189</v>
      </c>
      <c r="G1597" s="1" t="s">
        <v>1190</v>
      </c>
      <c r="H1597" s="2"/>
      <c r="I1597" s="2"/>
      <c r="J1597" s="2"/>
      <c r="K1597" s="2"/>
    </row>
    <row x14ac:dyDescent="0.25" r="1598" customHeight="1" ht="17.25">
      <c r="A1598" s="1" t="s">
        <v>3331</v>
      </c>
      <c r="B1598" s="1" t="s">
        <v>3332</v>
      </c>
      <c r="C1598" s="1" t="s">
        <v>20</v>
      </c>
      <c r="D1598" s="1" t="s">
        <v>1187</v>
      </c>
      <c r="E1598" s="1" t="s">
        <v>1188</v>
      </c>
      <c r="F1598" s="1" t="s">
        <v>1189</v>
      </c>
      <c r="G1598" s="1" t="s">
        <v>1190</v>
      </c>
      <c r="H1598" s="2"/>
      <c r="I1598" s="2"/>
      <c r="J1598" s="2"/>
      <c r="K1598" s="2"/>
    </row>
    <row x14ac:dyDescent="0.25" r="1599" customHeight="1" ht="17.25">
      <c r="A1599" s="1" t="s">
        <v>3333</v>
      </c>
      <c r="B1599" s="1" t="s">
        <v>3334</v>
      </c>
      <c r="C1599" s="1" t="s">
        <v>20</v>
      </c>
      <c r="D1599" s="1" t="s">
        <v>1187</v>
      </c>
      <c r="E1599" s="1" t="s">
        <v>1188</v>
      </c>
      <c r="F1599" s="1" t="s">
        <v>1189</v>
      </c>
      <c r="G1599" s="1" t="s">
        <v>1190</v>
      </c>
      <c r="H1599" s="2"/>
      <c r="I1599" s="2"/>
      <c r="J1599" s="2"/>
      <c r="K1599" s="2"/>
    </row>
    <row x14ac:dyDescent="0.25" r="1600" customHeight="1" ht="17.25">
      <c r="A1600" s="1" t="s">
        <v>3335</v>
      </c>
      <c r="B1600" s="1" t="s">
        <v>3336</v>
      </c>
      <c r="C1600" s="1" t="s">
        <v>20</v>
      </c>
      <c r="D1600" s="1" t="s">
        <v>1187</v>
      </c>
      <c r="E1600" s="1" t="s">
        <v>1188</v>
      </c>
      <c r="F1600" s="1" t="s">
        <v>1189</v>
      </c>
      <c r="G1600" s="1" t="s">
        <v>1190</v>
      </c>
      <c r="H1600" s="2"/>
      <c r="I1600" s="2"/>
      <c r="J1600" s="2"/>
      <c r="K1600" s="2"/>
    </row>
    <row x14ac:dyDescent="0.25" r="1601" customHeight="1" ht="17.25">
      <c r="A1601" s="1" t="s">
        <v>3337</v>
      </c>
      <c r="B1601" s="1" t="s">
        <v>3338</v>
      </c>
      <c r="C1601" s="1" t="s">
        <v>20</v>
      </c>
      <c r="D1601" s="1" t="s">
        <v>1187</v>
      </c>
      <c r="E1601" s="1" t="s">
        <v>1188</v>
      </c>
      <c r="F1601" s="1" t="s">
        <v>1189</v>
      </c>
      <c r="G1601" s="1" t="s">
        <v>1190</v>
      </c>
      <c r="H1601" s="2"/>
      <c r="I1601" s="2"/>
      <c r="J1601" s="2"/>
      <c r="K1601" s="2"/>
    </row>
    <row x14ac:dyDescent="0.25" r="1602" customHeight="1" ht="17.25">
      <c r="A1602" s="1" t="s">
        <v>3339</v>
      </c>
      <c r="B1602" s="1" t="s">
        <v>3340</v>
      </c>
      <c r="C1602" s="1" t="s">
        <v>20</v>
      </c>
      <c r="D1602" s="1" t="s">
        <v>1187</v>
      </c>
      <c r="E1602" s="1" t="s">
        <v>1188</v>
      </c>
      <c r="F1602" s="1" t="s">
        <v>1189</v>
      </c>
      <c r="G1602" s="1" t="s">
        <v>1190</v>
      </c>
      <c r="H1602" s="2"/>
      <c r="I1602" s="2"/>
      <c r="J1602" s="2"/>
      <c r="K1602" s="2"/>
    </row>
    <row x14ac:dyDescent="0.25" r="1603" customHeight="1" ht="17.25">
      <c r="A1603" s="1" t="s">
        <v>3341</v>
      </c>
      <c r="B1603" s="1" t="s">
        <v>3342</v>
      </c>
      <c r="C1603" s="1" t="s">
        <v>20</v>
      </c>
      <c r="D1603" s="1" t="s">
        <v>1187</v>
      </c>
      <c r="E1603" s="1" t="s">
        <v>1188</v>
      </c>
      <c r="F1603" s="1" t="s">
        <v>1189</v>
      </c>
      <c r="G1603" s="1" t="s">
        <v>1190</v>
      </c>
      <c r="H1603" s="2"/>
      <c r="I1603" s="2"/>
      <c r="J1603" s="2"/>
      <c r="K1603" s="2"/>
    </row>
    <row x14ac:dyDescent="0.25" r="1604" customHeight="1" ht="17.25">
      <c r="A1604" s="1" t="s">
        <v>3343</v>
      </c>
      <c r="B1604" s="1" t="s">
        <v>3344</v>
      </c>
      <c r="C1604" s="1" t="s">
        <v>20</v>
      </c>
      <c r="D1604" s="1" t="s">
        <v>1187</v>
      </c>
      <c r="E1604" s="1" t="s">
        <v>1188</v>
      </c>
      <c r="F1604" s="1" t="s">
        <v>1189</v>
      </c>
      <c r="G1604" s="1" t="s">
        <v>1190</v>
      </c>
      <c r="H1604" s="2"/>
      <c r="I1604" s="2"/>
      <c r="J1604" s="2"/>
      <c r="K1604" s="2"/>
    </row>
    <row x14ac:dyDescent="0.25" r="1605" customHeight="1" ht="17.25">
      <c r="A1605" s="1" t="s">
        <v>3345</v>
      </c>
      <c r="B1605" s="1" t="s">
        <v>3346</v>
      </c>
      <c r="C1605" s="1" t="s">
        <v>20</v>
      </c>
      <c r="D1605" s="1" t="s">
        <v>1187</v>
      </c>
      <c r="E1605" s="1" t="s">
        <v>1188</v>
      </c>
      <c r="F1605" s="1" t="s">
        <v>1189</v>
      </c>
      <c r="G1605" s="1" t="s">
        <v>1190</v>
      </c>
      <c r="H1605" s="2"/>
      <c r="I1605" s="2"/>
      <c r="J1605" s="2"/>
      <c r="K1605" s="2"/>
    </row>
    <row x14ac:dyDescent="0.25" r="1606" customHeight="1" ht="17.25">
      <c r="A1606" s="1" t="s">
        <v>3347</v>
      </c>
      <c r="B1606" s="1" t="s">
        <v>3348</v>
      </c>
      <c r="C1606" s="1" t="s">
        <v>20</v>
      </c>
      <c r="D1606" s="1" t="s">
        <v>1187</v>
      </c>
      <c r="E1606" s="1" t="s">
        <v>1188</v>
      </c>
      <c r="F1606" s="1" t="s">
        <v>1189</v>
      </c>
      <c r="G1606" s="1" t="s">
        <v>1190</v>
      </c>
      <c r="H1606" s="2"/>
      <c r="I1606" s="2"/>
      <c r="J1606" s="2"/>
      <c r="K1606" s="2"/>
    </row>
    <row x14ac:dyDescent="0.25" r="1607" customHeight="1" ht="17.25">
      <c r="A1607" s="1" t="s">
        <v>3349</v>
      </c>
      <c r="B1607" s="1" t="s">
        <v>3350</v>
      </c>
      <c r="C1607" s="1" t="s">
        <v>20</v>
      </c>
      <c r="D1607" s="1" t="s">
        <v>1187</v>
      </c>
      <c r="E1607" s="1" t="s">
        <v>1188</v>
      </c>
      <c r="F1607" s="1" t="s">
        <v>1189</v>
      </c>
      <c r="G1607" s="1" t="s">
        <v>1190</v>
      </c>
      <c r="H1607" s="2"/>
      <c r="I1607" s="2"/>
      <c r="J1607" s="2"/>
      <c r="K1607" s="2"/>
    </row>
    <row x14ac:dyDescent="0.25" r="1608" customHeight="1" ht="17.25">
      <c r="A1608" s="1" t="s">
        <v>3351</v>
      </c>
      <c r="B1608" s="1" t="s">
        <v>3352</v>
      </c>
      <c r="C1608" s="1" t="s">
        <v>20</v>
      </c>
      <c r="D1608" s="1" t="s">
        <v>1187</v>
      </c>
      <c r="E1608" s="1" t="s">
        <v>1188</v>
      </c>
      <c r="F1608" s="1" t="s">
        <v>1189</v>
      </c>
      <c r="G1608" s="1" t="s">
        <v>1190</v>
      </c>
      <c r="H1608" s="2"/>
      <c r="I1608" s="2"/>
      <c r="J1608" s="2"/>
      <c r="K1608" s="2"/>
    </row>
    <row x14ac:dyDescent="0.25" r="1609" customHeight="1" ht="17.25">
      <c r="A1609" s="1" t="s">
        <v>3353</v>
      </c>
      <c r="B1609" s="1" t="s">
        <v>3354</v>
      </c>
      <c r="C1609" s="1" t="s">
        <v>20</v>
      </c>
      <c r="D1609" s="1" t="s">
        <v>1187</v>
      </c>
      <c r="E1609" s="1" t="s">
        <v>1188</v>
      </c>
      <c r="F1609" s="1" t="s">
        <v>1189</v>
      </c>
      <c r="G1609" s="1" t="s">
        <v>1190</v>
      </c>
      <c r="H1609" s="2"/>
      <c r="I1609" s="2"/>
      <c r="J1609" s="2"/>
      <c r="K1609" s="2"/>
    </row>
    <row x14ac:dyDescent="0.25" r="1610" customHeight="1" ht="17.25">
      <c r="A1610" s="1" t="s">
        <v>3355</v>
      </c>
      <c r="B1610" s="1" t="s">
        <v>3356</v>
      </c>
      <c r="C1610" s="1" t="s">
        <v>20</v>
      </c>
      <c r="D1610" s="1" t="s">
        <v>1187</v>
      </c>
      <c r="E1610" s="1" t="s">
        <v>1188</v>
      </c>
      <c r="F1610" s="1" t="s">
        <v>1189</v>
      </c>
      <c r="G1610" s="1" t="s">
        <v>1190</v>
      </c>
      <c r="H1610" s="2"/>
      <c r="I1610" s="2"/>
      <c r="J1610" s="2"/>
      <c r="K1610" s="2"/>
    </row>
    <row x14ac:dyDescent="0.25" r="1611" customHeight="1" ht="17.25">
      <c r="A1611" s="1" t="s">
        <v>3357</v>
      </c>
      <c r="B1611" s="1" t="s">
        <v>3358</v>
      </c>
      <c r="C1611" s="1" t="s">
        <v>20</v>
      </c>
      <c r="D1611" s="1" t="s">
        <v>1187</v>
      </c>
      <c r="E1611" s="1" t="s">
        <v>1188</v>
      </c>
      <c r="F1611" s="1" t="s">
        <v>1189</v>
      </c>
      <c r="G1611" s="1" t="s">
        <v>1190</v>
      </c>
      <c r="H1611" s="2"/>
      <c r="I1611" s="2"/>
      <c r="J1611" s="2"/>
      <c r="K1611" s="2"/>
    </row>
    <row x14ac:dyDescent="0.25" r="1612" customHeight="1" ht="17.25">
      <c r="A1612" s="1" t="s">
        <v>3359</v>
      </c>
      <c r="B1612" s="1" t="s">
        <v>3360</v>
      </c>
      <c r="C1612" s="1" t="s">
        <v>20</v>
      </c>
      <c r="D1612" s="1" t="s">
        <v>1187</v>
      </c>
      <c r="E1612" s="1" t="s">
        <v>1188</v>
      </c>
      <c r="F1612" s="1" t="s">
        <v>1189</v>
      </c>
      <c r="G1612" s="1" t="s">
        <v>1190</v>
      </c>
      <c r="H1612" s="2"/>
      <c r="I1612" s="2"/>
      <c r="J1612" s="2"/>
      <c r="K1612" s="2"/>
    </row>
    <row x14ac:dyDescent="0.25" r="1613" customHeight="1" ht="17.25">
      <c r="A1613" s="1" t="s">
        <v>3361</v>
      </c>
      <c r="B1613" s="1" t="s">
        <v>3362</v>
      </c>
      <c r="C1613" s="1" t="s">
        <v>20</v>
      </c>
      <c r="D1613" s="1" t="s">
        <v>1187</v>
      </c>
      <c r="E1613" s="1" t="s">
        <v>1188</v>
      </c>
      <c r="F1613" s="1" t="s">
        <v>1189</v>
      </c>
      <c r="G1613" s="1" t="s">
        <v>1190</v>
      </c>
      <c r="H1613" s="2"/>
      <c r="I1613" s="2"/>
      <c r="J1613" s="2"/>
      <c r="K1613" s="2"/>
    </row>
    <row x14ac:dyDescent="0.25" r="1614" customHeight="1" ht="17.25">
      <c r="A1614" s="1" t="s">
        <v>3363</v>
      </c>
      <c r="B1614" s="1" t="s">
        <v>3364</v>
      </c>
      <c r="C1614" s="1" t="s">
        <v>20</v>
      </c>
      <c r="D1614" s="1" t="s">
        <v>1187</v>
      </c>
      <c r="E1614" s="1" t="s">
        <v>1188</v>
      </c>
      <c r="F1614" s="1" t="s">
        <v>1189</v>
      </c>
      <c r="G1614" s="1" t="s">
        <v>1190</v>
      </c>
      <c r="H1614" s="2"/>
      <c r="I1614" s="2"/>
      <c r="J1614" s="2"/>
      <c r="K1614" s="2"/>
    </row>
    <row x14ac:dyDescent="0.25" r="1615" customHeight="1" ht="17.25">
      <c r="A1615" s="1" t="s">
        <v>3365</v>
      </c>
      <c r="B1615" s="1" t="s">
        <v>3366</v>
      </c>
      <c r="C1615" s="1" t="s">
        <v>20</v>
      </c>
      <c r="D1615" s="1" t="s">
        <v>1187</v>
      </c>
      <c r="E1615" s="1" t="s">
        <v>1188</v>
      </c>
      <c r="F1615" s="1" t="s">
        <v>1189</v>
      </c>
      <c r="G1615" s="1" t="s">
        <v>1190</v>
      </c>
      <c r="H1615" s="2"/>
      <c r="I1615" s="2"/>
      <c r="J1615" s="2"/>
      <c r="K1615" s="2"/>
    </row>
    <row x14ac:dyDescent="0.25" r="1616" customHeight="1" ht="17.25">
      <c r="A1616" s="1" t="s">
        <v>3367</v>
      </c>
      <c r="B1616" s="1" t="s">
        <v>3368</v>
      </c>
      <c r="C1616" s="1" t="s">
        <v>20</v>
      </c>
      <c r="D1616" s="1" t="s">
        <v>1187</v>
      </c>
      <c r="E1616" s="1" t="s">
        <v>1188</v>
      </c>
      <c r="F1616" s="1" t="s">
        <v>1189</v>
      </c>
      <c r="G1616" s="1" t="s">
        <v>1190</v>
      </c>
      <c r="H1616" s="2"/>
      <c r="I1616" s="2"/>
      <c r="J1616" s="2"/>
      <c r="K1616" s="2"/>
    </row>
    <row x14ac:dyDescent="0.25" r="1617" customHeight="1" ht="17.25">
      <c r="A1617" s="1" t="s">
        <v>3369</v>
      </c>
      <c r="B1617" s="1" t="s">
        <v>3370</v>
      </c>
      <c r="C1617" s="1" t="s">
        <v>20</v>
      </c>
      <c r="D1617" s="1" t="s">
        <v>1187</v>
      </c>
      <c r="E1617" s="1" t="s">
        <v>1188</v>
      </c>
      <c r="F1617" s="1" t="s">
        <v>1189</v>
      </c>
      <c r="G1617" s="1" t="s">
        <v>1190</v>
      </c>
      <c r="H1617" s="2"/>
      <c r="I1617" s="2"/>
      <c r="J1617" s="2"/>
      <c r="K1617" s="2"/>
    </row>
    <row x14ac:dyDescent="0.25" r="1618" customHeight="1" ht="17.25">
      <c r="A1618" s="1" t="s">
        <v>3371</v>
      </c>
      <c r="B1618" s="1" t="s">
        <v>3372</v>
      </c>
      <c r="C1618" s="1" t="s">
        <v>20</v>
      </c>
      <c r="D1618" s="1" t="s">
        <v>1187</v>
      </c>
      <c r="E1618" s="1" t="s">
        <v>1188</v>
      </c>
      <c r="F1618" s="1" t="s">
        <v>1189</v>
      </c>
      <c r="G1618" s="1" t="s">
        <v>1190</v>
      </c>
      <c r="H1618" s="2"/>
      <c r="I1618" s="2"/>
      <c r="J1618" s="2"/>
      <c r="K1618" s="2"/>
    </row>
    <row x14ac:dyDescent="0.25" r="1619" customHeight="1" ht="17.25">
      <c r="A1619" s="1" t="s">
        <v>3373</v>
      </c>
      <c r="B1619" s="1" t="s">
        <v>3374</v>
      </c>
      <c r="C1619" s="1" t="s">
        <v>20</v>
      </c>
      <c r="D1619" s="1" t="s">
        <v>1187</v>
      </c>
      <c r="E1619" s="1" t="s">
        <v>1188</v>
      </c>
      <c r="F1619" s="1" t="s">
        <v>1189</v>
      </c>
      <c r="G1619" s="1" t="s">
        <v>1190</v>
      </c>
      <c r="H1619" s="2"/>
      <c r="I1619" s="2"/>
      <c r="J1619" s="2"/>
      <c r="K1619" s="2"/>
    </row>
    <row x14ac:dyDescent="0.25" r="1620" customHeight="1" ht="17.25">
      <c r="A1620" s="1" t="s">
        <v>3375</v>
      </c>
      <c r="B1620" s="1" t="s">
        <v>3376</v>
      </c>
      <c r="C1620" s="1" t="s">
        <v>20</v>
      </c>
      <c r="D1620" s="1" t="s">
        <v>1187</v>
      </c>
      <c r="E1620" s="1" t="s">
        <v>1188</v>
      </c>
      <c r="F1620" s="1" t="s">
        <v>1189</v>
      </c>
      <c r="G1620" s="1" t="s">
        <v>1190</v>
      </c>
      <c r="H1620" s="2"/>
      <c r="I1620" s="2"/>
      <c r="J1620" s="2"/>
      <c r="K1620" s="2"/>
    </row>
    <row x14ac:dyDescent="0.25" r="1621" customHeight="1" ht="17.25">
      <c r="A1621" s="1" t="s">
        <v>3377</v>
      </c>
      <c r="B1621" s="1" t="s">
        <v>3378</v>
      </c>
      <c r="C1621" s="1" t="s">
        <v>20</v>
      </c>
      <c r="D1621" s="1" t="s">
        <v>1187</v>
      </c>
      <c r="E1621" s="1" t="s">
        <v>1188</v>
      </c>
      <c r="F1621" s="1" t="s">
        <v>1189</v>
      </c>
      <c r="G1621" s="1" t="s">
        <v>1190</v>
      </c>
      <c r="H1621" s="2"/>
      <c r="I1621" s="2"/>
      <c r="J1621" s="2"/>
      <c r="K1621" s="2"/>
    </row>
    <row x14ac:dyDescent="0.25" r="1622" customHeight="1" ht="17.25">
      <c r="A1622" s="1" t="s">
        <v>3379</v>
      </c>
      <c r="B1622" s="1" t="s">
        <v>3380</v>
      </c>
      <c r="C1622" s="1" t="s">
        <v>20</v>
      </c>
      <c r="D1622" s="1" t="s">
        <v>1187</v>
      </c>
      <c r="E1622" s="1" t="s">
        <v>1188</v>
      </c>
      <c r="F1622" s="1" t="s">
        <v>1189</v>
      </c>
      <c r="G1622" s="1" t="s">
        <v>1190</v>
      </c>
      <c r="H1622" s="2"/>
      <c r="I1622" s="2"/>
      <c r="J1622" s="2"/>
      <c r="K1622" s="2"/>
    </row>
    <row x14ac:dyDescent="0.25" r="1623" customHeight="1" ht="17.25">
      <c r="A1623" s="1" t="s">
        <v>3381</v>
      </c>
      <c r="B1623" s="1" t="s">
        <v>3382</v>
      </c>
      <c r="C1623" s="1" t="s">
        <v>20</v>
      </c>
      <c r="D1623" s="1" t="s">
        <v>1187</v>
      </c>
      <c r="E1623" s="1" t="s">
        <v>1188</v>
      </c>
      <c r="F1623" s="1" t="s">
        <v>1189</v>
      </c>
      <c r="G1623" s="1" t="s">
        <v>1190</v>
      </c>
      <c r="H1623" s="2"/>
      <c r="I1623" s="2"/>
      <c r="J1623" s="2"/>
      <c r="K1623" s="2"/>
    </row>
    <row x14ac:dyDescent="0.25" r="1624" customHeight="1" ht="17.25">
      <c r="A1624" s="1" t="s">
        <v>3383</v>
      </c>
      <c r="B1624" s="1" t="s">
        <v>3384</v>
      </c>
      <c r="C1624" s="1" t="s">
        <v>20</v>
      </c>
      <c r="D1624" s="1" t="s">
        <v>1187</v>
      </c>
      <c r="E1624" s="1" t="s">
        <v>1188</v>
      </c>
      <c r="F1624" s="1" t="s">
        <v>1189</v>
      </c>
      <c r="G1624" s="1" t="s">
        <v>1190</v>
      </c>
      <c r="H1624" s="2"/>
      <c r="I1624" s="2"/>
      <c r="J1624" s="2"/>
      <c r="K1624" s="2"/>
    </row>
    <row x14ac:dyDescent="0.25" r="1625" customHeight="1" ht="17.25">
      <c r="A1625" s="1" t="s">
        <v>3385</v>
      </c>
      <c r="B1625" s="1" t="s">
        <v>3386</v>
      </c>
      <c r="C1625" s="1" t="s">
        <v>20</v>
      </c>
      <c r="D1625" s="1" t="s">
        <v>1187</v>
      </c>
      <c r="E1625" s="1" t="s">
        <v>1188</v>
      </c>
      <c r="F1625" s="1" t="s">
        <v>1189</v>
      </c>
      <c r="G1625" s="1" t="s">
        <v>1190</v>
      </c>
      <c r="H1625" s="2"/>
      <c r="I1625" s="2"/>
      <c r="J1625" s="2"/>
      <c r="K1625" s="2"/>
    </row>
    <row x14ac:dyDescent="0.25" r="1626" customHeight="1" ht="17.25">
      <c r="A1626" s="1" t="s">
        <v>3387</v>
      </c>
      <c r="B1626" s="1" t="s">
        <v>3388</v>
      </c>
      <c r="C1626" s="1" t="s">
        <v>20</v>
      </c>
      <c r="D1626" s="1" t="s">
        <v>1187</v>
      </c>
      <c r="E1626" s="1" t="s">
        <v>1188</v>
      </c>
      <c r="F1626" s="1" t="s">
        <v>1189</v>
      </c>
      <c r="G1626" s="1" t="s">
        <v>1190</v>
      </c>
      <c r="H1626" s="2"/>
      <c r="I1626" s="2"/>
      <c r="J1626" s="2"/>
      <c r="K1626" s="2"/>
    </row>
    <row x14ac:dyDescent="0.25" r="1627" customHeight="1" ht="17.25">
      <c r="A1627" s="1" t="s">
        <v>3389</v>
      </c>
      <c r="B1627" s="1" t="s">
        <v>3390</v>
      </c>
      <c r="C1627" s="1" t="s">
        <v>20</v>
      </c>
      <c r="D1627" s="1" t="s">
        <v>1187</v>
      </c>
      <c r="E1627" s="1" t="s">
        <v>1188</v>
      </c>
      <c r="F1627" s="1" t="s">
        <v>1189</v>
      </c>
      <c r="G1627" s="1" t="s">
        <v>1190</v>
      </c>
      <c r="H1627" s="2"/>
      <c r="I1627" s="2"/>
      <c r="J1627" s="2"/>
      <c r="K1627" s="2"/>
    </row>
    <row x14ac:dyDescent="0.25" r="1628" customHeight="1" ht="17.25">
      <c r="A1628" s="1" t="s">
        <v>3391</v>
      </c>
      <c r="B1628" s="1" t="s">
        <v>3392</v>
      </c>
      <c r="C1628" s="1" t="s">
        <v>20</v>
      </c>
      <c r="D1628" s="1" t="s">
        <v>1187</v>
      </c>
      <c r="E1628" s="1" t="s">
        <v>1188</v>
      </c>
      <c r="F1628" s="1" t="s">
        <v>1189</v>
      </c>
      <c r="G1628" s="1" t="s">
        <v>1190</v>
      </c>
      <c r="H1628" s="2"/>
      <c r="I1628" s="2"/>
      <c r="J1628" s="2"/>
      <c r="K1628" s="2"/>
    </row>
    <row x14ac:dyDescent="0.25" r="1629" customHeight="1" ht="17.25">
      <c r="A1629" s="1" t="s">
        <v>3393</v>
      </c>
      <c r="B1629" s="1" t="s">
        <v>3394</v>
      </c>
      <c r="C1629" s="1" t="s">
        <v>20</v>
      </c>
      <c r="D1629" s="1" t="s">
        <v>1187</v>
      </c>
      <c r="E1629" s="1" t="s">
        <v>1188</v>
      </c>
      <c r="F1629" s="1" t="s">
        <v>1189</v>
      </c>
      <c r="G1629" s="1" t="s">
        <v>1190</v>
      </c>
      <c r="H1629" s="2"/>
      <c r="I1629" s="2"/>
      <c r="J1629" s="2"/>
      <c r="K1629" s="2"/>
    </row>
    <row x14ac:dyDescent="0.25" r="1630" customHeight="1" ht="17.25">
      <c r="A1630" s="1" t="s">
        <v>3395</v>
      </c>
      <c r="B1630" s="1" t="s">
        <v>3396</v>
      </c>
      <c r="C1630" s="1" t="s">
        <v>20</v>
      </c>
      <c r="D1630" s="1" t="s">
        <v>1187</v>
      </c>
      <c r="E1630" s="1" t="s">
        <v>1188</v>
      </c>
      <c r="F1630" s="1" t="s">
        <v>1189</v>
      </c>
      <c r="G1630" s="1" t="s">
        <v>1190</v>
      </c>
      <c r="H1630" s="2"/>
      <c r="I1630" s="2"/>
      <c r="J1630" s="2"/>
      <c r="K1630" s="2"/>
    </row>
    <row x14ac:dyDescent="0.25" r="1631" customHeight="1" ht="17.25">
      <c r="A1631" s="1" t="s">
        <v>3397</v>
      </c>
      <c r="B1631" s="1" t="s">
        <v>3398</v>
      </c>
      <c r="C1631" s="1" t="s">
        <v>20</v>
      </c>
      <c r="D1631" s="1" t="s">
        <v>1187</v>
      </c>
      <c r="E1631" s="1" t="s">
        <v>1188</v>
      </c>
      <c r="F1631" s="1" t="s">
        <v>1189</v>
      </c>
      <c r="G1631" s="1" t="s">
        <v>1190</v>
      </c>
      <c r="H1631" s="2"/>
      <c r="I1631" s="2"/>
      <c r="J1631" s="2"/>
      <c r="K1631" s="2"/>
    </row>
    <row x14ac:dyDescent="0.25" r="1632" customHeight="1" ht="17.25">
      <c r="A1632" s="1" t="s">
        <v>3399</v>
      </c>
      <c r="B1632" s="1" t="s">
        <v>3400</v>
      </c>
      <c r="C1632" s="1" t="s">
        <v>20</v>
      </c>
      <c r="D1632" s="1" t="s">
        <v>1187</v>
      </c>
      <c r="E1632" s="1" t="s">
        <v>1188</v>
      </c>
      <c r="F1632" s="1" t="s">
        <v>1189</v>
      </c>
      <c r="G1632" s="1" t="s">
        <v>1190</v>
      </c>
      <c r="H1632" s="2"/>
      <c r="I1632" s="2"/>
      <c r="J1632" s="2"/>
      <c r="K1632" s="2"/>
    </row>
    <row x14ac:dyDescent="0.25" r="1633" customHeight="1" ht="17.25">
      <c r="A1633" s="1" t="s">
        <v>3401</v>
      </c>
      <c r="B1633" s="1" t="s">
        <v>3402</v>
      </c>
      <c r="C1633" s="1" t="s">
        <v>20</v>
      </c>
      <c r="D1633" s="1" t="s">
        <v>1187</v>
      </c>
      <c r="E1633" s="1" t="s">
        <v>1188</v>
      </c>
      <c r="F1633" s="1" t="s">
        <v>1189</v>
      </c>
      <c r="G1633" s="1" t="s">
        <v>1190</v>
      </c>
      <c r="H1633" s="2"/>
      <c r="I1633" s="2"/>
      <c r="J1633" s="2"/>
      <c r="K1633" s="2"/>
    </row>
    <row x14ac:dyDescent="0.25" r="1634" customHeight="1" ht="17.25">
      <c r="A1634" s="1" t="s">
        <v>3403</v>
      </c>
      <c r="B1634" s="1" t="s">
        <v>3404</v>
      </c>
      <c r="C1634" s="1" t="s">
        <v>20</v>
      </c>
      <c r="D1634" s="1" t="s">
        <v>1187</v>
      </c>
      <c r="E1634" s="1" t="s">
        <v>1188</v>
      </c>
      <c r="F1634" s="1" t="s">
        <v>1189</v>
      </c>
      <c r="G1634" s="1" t="s">
        <v>1190</v>
      </c>
      <c r="H1634" s="2"/>
      <c r="I1634" s="2"/>
      <c r="J1634" s="2"/>
      <c r="K1634" s="2"/>
    </row>
    <row x14ac:dyDescent="0.25" r="1635" customHeight="1" ht="17.25">
      <c r="A1635" s="1" t="s">
        <v>3405</v>
      </c>
      <c r="B1635" s="1" t="s">
        <v>3406</v>
      </c>
      <c r="C1635" s="1" t="s">
        <v>20</v>
      </c>
      <c r="D1635" s="1" t="s">
        <v>1187</v>
      </c>
      <c r="E1635" s="1" t="s">
        <v>1188</v>
      </c>
      <c r="F1635" s="1" t="s">
        <v>1189</v>
      </c>
      <c r="G1635" s="1" t="s">
        <v>1190</v>
      </c>
      <c r="H1635" s="2"/>
      <c r="I1635" s="2"/>
      <c r="J1635" s="2"/>
      <c r="K1635" s="2"/>
    </row>
    <row x14ac:dyDescent="0.25" r="1636" customHeight="1" ht="17.25">
      <c r="A1636" s="1" t="s">
        <v>3407</v>
      </c>
      <c r="B1636" s="1" t="s">
        <v>3408</v>
      </c>
      <c r="C1636" s="1" t="s">
        <v>20</v>
      </c>
      <c r="D1636" s="1" t="s">
        <v>1187</v>
      </c>
      <c r="E1636" s="1" t="s">
        <v>1188</v>
      </c>
      <c r="F1636" s="1" t="s">
        <v>1189</v>
      </c>
      <c r="G1636" s="1" t="s">
        <v>1190</v>
      </c>
      <c r="H1636" s="2"/>
      <c r="I1636" s="2"/>
      <c r="J1636" s="2"/>
      <c r="K1636" s="2"/>
    </row>
    <row x14ac:dyDescent="0.25" r="1637" customHeight="1" ht="17.25">
      <c r="A1637" s="1" t="s">
        <v>3409</v>
      </c>
      <c r="B1637" s="1" t="s">
        <v>3410</v>
      </c>
      <c r="C1637" s="1" t="s">
        <v>20</v>
      </c>
      <c r="D1637" s="1" t="s">
        <v>1187</v>
      </c>
      <c r="E1637" s="1" t="s">
        <v>1188</v>
      </c>
      <c r="F1637" s="1" t="s">
        <v>1189</v>
      </c>
      <c r="G1637" s="1" t="s">
        <v>1190</v>
      </c>
      <c r="H1637" s="2"/>
      <c r="I1637" s="2"/>
      <c r="J1637" s="2"/>
      <c r="K1637" s="2"/>
    </row>
    <row x14ac:dyDescent="0.25" r="1638" customHeight="1" ht="17.25">
      <c r="A1638" s="1" t="s">
        <v>3411</v>
      </c>
      <c r="B1638" s="1" t="s">
        <v>3412</v>
      </c>
      <c r="C1638" s="1" t="s">
        <v>20</v>
      </c>
      <c r="D1638" s="1" t="s">
        <v>1187</v>
      </c>
      <c r="E1638" s="1" t="s">
        <v>1188</v>
      </c>
      <c r="F1638" s="1" t="s">
        <v>1189</v>
      </c>
      <c r="G1638" s="1" t="s">
        <v>1190</v>
      </c>
      <c r="H1638" s="2"/>
      <c r="I1638" s="2"/>
      <c r="J1638" s="2"/>
      <c r="K1638" s="2"/>
    </row>
    <row x14ac:dyDescent="0.25" r="1639" customHeight="1" ht="17.25">
      <c r="A1639" s="1" t="s">
        <v>3413</v>
      </c>
      <c r="B1639" s="1" t="s">
        <v>3414</v>
      </c>
      <c r="C1639" s="1" t="s">
        <v>20</v>
      </c>
      <c r="D1639" s="1" t="s">
        <v>1187</v>
      </c>
      <c r="E1639" s="1" t="s">
        <v>1188</v>
      </c>
      <c r="F1639" s="1" t="s">
        <v>1189</v>
      </c>
      <c r="G1639" s="1" t="s">
        <v>1190</v>
      </c>
      <c r="H1639" s="2"/>
      <c r="I1639" s="2"/>
      <c r="J1639" s="2"/>
      <c r="K1639" s="2"/>
    </row>
    <row x14ac:dyDescent="0.25" r="1640" customHeight="1" ht="17.25">
      <c r="A1640" s="1" t="s">
        <v>3415</v>
      </c>
      <c r="B1640" s="1" t="s">
        <v>3416</v>
      </c>
      <c r="C1640" s="1" t="s">
        <v>20</v>
      </c>
      <c r="D1640" s="1" t="s">
        <v>1187</v>
      </c>
      <c r="E1640" s="1" t="s">
        <v>1188</v>
      </c>
      <c r="F1640" s="1" t="s">
        <v>1189</v>
      </c>
      <c r="G1640" s="1" t="s">
        <v>1190</v>
      </c>
      <c r="H1640" s="2"/>
      <c r="I1640" s="2"/>
      <c r="J1640" s="2"/>
      <c r="K1640" s="2"/>
    </row>
    <row x14ac:dyDescent="0.25" r="1641" customHeight="1" ht="17.25">
      <c r="A1641" s="1" t="s">
        <v>3417</v>
      </c>
      <c r="B1641" s="1" t="s">
        <v>3418</v>
      </c>
      <c r="C1641" s="1" t="s">
        <v>20</v>
      </c>
      <c r="D1641" s="1" t="s">
        <v>1187</v>
      </c>
      <c r="E1641" s="1" t="s">
        <v>1188</v>
      </c>
      <c r="F1641" s="1" t="s">
        <v>1189</v>
      </c>
      <c r="G1641" s="1" t="s">
        <v>1190</v>
      </c>
      <c r="H1641" s="2"/>
      <c r="I1641" s="2"/>
      <c r="J1641" s="2"/>
      <c r="K1641" s="2"/>
    </row>
    <row x14ac:dyDescent="0.25" r="1642" customHeight="1" ht="17.25">
      <c r="A1642" s="1" t="s">
        <v>3419</v>
      </c>
      <c r="B1642" s="1" t="s">
        <v>3420</v>
      </c>
      <c r="C1642" s="1" t="s">
        <v>20</v>
      </c>
      <c r="D1642" s="1" t="s">
        <v>1187</v>
      </c>
      <c r="E1642" s="1" t="s">
        <v>1188</v>
      </c>
      <c r="F1642" s="1" t="s">
        <v>1189</v>
      </c>
      <c r="G1642" s="1" t="s">
        <v>1190</v>
      </c>
      <c r="H1642" s="2"/>
      <c r="I1642" s="2"/>
      <c r="J1642" s="2"/>
      <c r="K1642" s="2"/>
    </row>
    <row x14ac:dyDescent="0.25" r="1643" customHeight="1" ht="17.25">
      <c r="A1643" s="1" t="s">
        <v>3421</v>
      </c>
      <c r="B1643" s="1" t="s">
        <v>3422</v>
      </c>
      <c r="C1643" s="1" t="s">
        <v>20</v>
      </c>
      <c r="D1643" s="1" t="s">
        <v>1187</v>
      </c>
      <c r="E1643" s="1" t="s">
        <v>1188</v>
      </c>
      <c r="F1643" s="1" t="s">
        <v>1189</v>
      </c>
      <c r="G1643" s="1" t="s">
        <v>1190</v>
      </c>
      <c r="H1643" s="2"/>
      <c r="I1643" s="2"/>
      <c r="J1643" s="2"/>
      <c r="K1643" s="2"/>
    </row>
    <row x14ac:dyDescent="0.25" r="1644" customHeight="1" ht="17.25">
      <c r="A1644" s="1" t="s">
        <v>3423</v>
      </c>
      <c r="B1644" s="1" t="s">
        <v>3424</v>
      </c>
      <c r="C1644" s="1" t="s">
        <v>20</v>
      </c>
      <c r="D1644" s="1" t="s">
        <v>1187</v>
      </c>
      <c r="E1644" s="1" t="s">
        <v>1188</v>
      </c>
      <c r="F1644" s="1" t="s">
        <v>1189</v>
      </c>
      <c r="G1644" s="1" t="s">
        <v>1190</v>
      </c>
      <c r="H1644" s="2"/>
      <c r="I1644" s="2"/>
      <c r="J1644" s="2"/>
      <c r="K1644" s="2"/>
    </row>
    <row x14ac:dyDescent="0.25" r="1645" customHeight="1" ht="17.25">
      <c r="A1645" s="1" t="s">
        <v>3425</v>
      </c>
      <c r="B1645" s="1" t="s">
        <v>3426</v>
      </c>
      <c r="C1645" s="1" t="s">
        <v>20</v>
      </c>
      <c r="D1645" s="1" t="s">
        <v>1187</v>
      </c>
      <c r="E1645" s="1" t="s">
        <v>1188</v>
      </c>
      <c r="F1645" s="1" t="s">
        <v>1189</v>
      </c>
      <c r="G1645" s="1" t="s">
        <v>1190</v>
      </c>
      <c r="H1645" s="2"/>
      <c r="I1645" s="2"/>
      <c r="J1645" s="2"/>
      <c r="K1645" s="2"/>
    </row>
    <row x14ac:dyDescent="0.25" r="1646" customHeight="1" ht="17.25">
      <c r="A1646" s="1" t="s">
        <v>3427</v>
      </c>
      <c r="B1646" s="1" t="s">
        <v>3428</v>
      </c>
      <c r="C1646" s="1" t="s">
        <v>20</v>
      </c>
      <c r="D1646" s="1" t="s">
        <v>1187</v>
      </c>
      <c r="E1646" s="1" t="s">
        <v>1188</v>
      </c>
      <c r="F1646" s="1" t="s">
        <v>1189</v>
      </c>
      <c r="G1646" s="1" t="s">
        <v>1190</v>
      </c>
      <c r="H1646" s="2"/>
      <c r="I1646" s="2"/>
      <c r="J1646" s="2"/>
      <c r="K1646" s="2"/>
    </row>
    <row x14ac:dyDescent="0.25" r="1647" customHeight="1" ht="17.25">
      <c r="A1647" s="1" t="s">
        <v>3429</v>
      </c>
      <c r="B1647" s="1" t="s">
        <v>3430</v>
      </c>
      <c r="C1647" s="1" t="s">
        <v>20</v>
      </c>
      <c r="D1647" s="1" t="s">
        <v>1187</v>
      </c>
      <c r="E1647" s="1" t="s">
        <v>1188</v>
      </c>
      <c r="F1647" s="1" t="s">
        <v>1189</v>
      </c>
      <c r="G1647" s="1" t="s">
        <v>1190</v>
      </c>
      <c r="H1647" s="2"/>
      <c r="I1647" s="2"/>
      <c r="J1647" s="2"/>
      <c r="K1647" s="2"/>
    </row>
    <row x14ac:dyDescent="0.25" r="1648" customHeight="1" ht="17.25">
      <c r="A1648" s="1" t="s">
        <v>3431</v>
      </c>
      <c r="B1648" s="1" t="s">
        <v>3432</v>
      </c>
      <c r="C1648" s="1" t="s">
        <v>20</v>
      </c>
      <c r="D1648" s="1" t="s">
        <v>1187</v>
      </c>
      <c r="E1648" s="1" t="s">
        <v>1188</v>
      </c>
      <c r="F1648" s="1" t="s">
        <v>1189</v>
      </c>
      <c r="G1648" s="1" t="s">
        <v>1190</v>
      </c>
      <c r="H1648" s="2"/>
      <c r="I1648" s="2"/>
      <c r="J1648" s="2"/>
      <c r="K1648" s="2"/>
    </row>
    <row x14ac:dyDescent="0.25" r="1649" customHeight="1" ht="17.25">
      <c r="A1649" s="1" t="s">
        <v>3433</v>
      </c>
      <c r="B1649" s="1" t="s">
        <v>3434</v>
      </c>
      <c r="C1649" s="1" t="s">
        <v>20</v>
      </c>
      <c r="D1649" s="1" t="s">
        <v>1187</v>
      </c>
      <c r="E1649" s="1" t="s">
        <v>1188</v>
      </c>
      <c r="F1649" s="1" t="s">
        <v>1189</v>
      </c>
      <c r="G1649" s="1" t="s">
        <v>1190</v>
      </c>
      <c r="H1649" s="2"/>
      <c r="I1649" s="2"/>
      <c r="J1649" s="2"/>
      <c r="K1649" s="2"/>
    </row>
    <row x14ac:dyDescent="0.25" r="1650" customHeight="1" ht="17.25">
      <c r="A1650" s="1" t="s">
        <v>3435</v>
      </c>
      <c r="B1650" s="1" t="s">
        <v>3436</v>
      </c>
      <c r="C1650" s="1" t="s">
        <v>20</v>
      </c>
      <c r="D1650" s="1" t="s">
        <v>1187</v>
      </c>
      <c r="E1650" s="1" t="s">
        <v>1188</v>
      </c>
      <c r="F1650" s="1" t="s">
        <v>1189</v>
      </c>
      <c r="G1650" s="1" t="s">
        <v>1190</v>
      </c>
      <c r="H1650" s="2"/>
      <c r="I1650" s="2"/>
      <c r="J1650" s="2"/>
      <c r="K1650" s="2"/>
    </row>
    <row x14ac:dyDescent="0.25" r="1651" customHeight="1" ht="17.25">
      <c r="A1651" s="1" t="s">
        <v>3437</v>
      </c>
      <c r="B1651" s="1" t="s">
        <v>3438</v>
      </c>
      <c r="C1651" s="1" t="s">
        <v>20</v>
      </c>
      <c r="D1651" s="1" t="s">
        <v>1187</v>
      </c>
      <c r="E1651" s="1" t="s">
        <v>1188</v>
      </c>
      <c r="F1651" s="1" t="s">
        <v>1189</v>
      </c>
      <c r="G1651" s="1" t="s">
        <v>1190</v>
      </c>
      <c r="H1651" s="2"/>
      <c r="I1651" s="2"/>
      <c r="J1651" s="2"/>
      <c r="K1651" s="2"/>
    </row>
    <row x14ac:dyDescent="0.25" r="1652" customHeight="1" ht="17.25">
      <c r="A1652" s="1" t="s">
        <v>3439</v>
      </c>
      <c r="B1652" s="1" t="s">
        <v>3440</v>
      </c>
      <c r="C1652" s="1" t="s">
        <v>20</v>
      </c>
      <c r="D1652" s="1" t="s">
        <v>1187</v>
      </c>
      <c r="E1652" s="1" t="s">
        <v>1188</v>
      </c>
      <c r="F1652" s="1" t="s">
        <v>1189</v>
      </c>
      <c r="G1652" s="1" t="s">
        <v>1190</v>
      </c>
      <c r="H1652" s="2"/>
      <c r="I1652" s="2"/>
      <c r="J1652" s="2"/>
      <c r="K1652" s="2"/>
    </row>
    <row x14ac:dyDescent="0.25" r="1653" customHeight="1" ht="17.25">
      <c r="A1653" s="1" t="s">
        <v>3441</v>
      </c>
      <c r="B1653" s="1" t="s">
        <v>3442</v>
      </c>
      <c r="C1653" s="1" t="s">
        <v>20</v>
      </c>
      <c r="D1653" s="1" t="s">
        <v>1187</v>
      </c>
      <c r="E1653" s="1" t="s">
        <v>1188</v>
      </c>
      <c r="F1653" s="1" t="s">
        <v>1189</v>
      </c>
      <c r="G1653" s="1" t="s">
        <v>1190</v>
      </c>
      <c r="H1653" s="2"/>
      <c r="I1653" s="2"/>
      <c r="J1653" s="2"/>
      <c r="K1653" s="2"/>
    </row>
    <row x14ac:dyDescent="0.25" r="1654" customHeight="1" ht="17.25">
      <c r="A1654" s="1" t="s">
        <v>3443</v>
      </c>
      <c r="B1654" s="1" t="s">
        <v>3444</v>
      </c>
      <c r="C1654" s="1" t="s">
        <v>20</v>
      </c>
      <c r="D1654" s="1" t="s">
        <v>1187</v>
      </c>
      <c r="E1654" s="1" t="s">
        <v>1188</v>
      </c>
      <c r="F1654" s="1" t="s">
        <v>1189</v>
      </c>
      <c r="G1654" s="1" t="s">
        <v>1190</v>
      </c>
      <c r="H1654" s="2"/>
      <c r="I1654" s="2"/>
      <c r="J1654" s="2"/>
      <c r="K1654" s="2"/>
    </row>
    <row x14ac:dyDescent="0.25" r="1655" customHeight="1" ht="17.25">
      <c r="A1655" s="1" t="s">
        <v>3445</v>
      </c>
      <c r="B1655" s="1" t="s">
        <v>3446</v>
      </c>
      <c r="C1655" s="1" t="s">
        <v>20</v>
      </c>
      <c r="D1655" s="1" t="s">
        <v>1187</v>
      </c>
      <c r="E1655" s="1" t="s">
        <v>1188</v>
      </c>
      <c r="F1655" s="1" t="s">
        <v>1189</v>
      </c>
      <c r="G1655" s="1" t="s">
        <v>1190</v>
      </c>
      <c r="H1655" s="2"/>
      <c r="I1655" s="2"/>
      <c r="J1655" s="2"/>
      <c r="K1655" s="2"/>
    </row>
    <row x14ac:dyDescent="0.25" r="1656" customHeight="1" ht="17.25">
      <c r="A1656" s="1" t="s">
        <v>3447</v>
      </c>
      <c r="B1656" s="1" t="s">
        <v>3448</v>
      </c>
      <c r="C1656" s="1" t="s">
        <v>20</v>
      </c>
      <c r="D1656" s="1" t="s">
        <v>1187</v>
      </c>
      <c r="E1656" s="1" t="s">
        <v>1188</v>
      </c>
      <c r="F1656" s="1" t="s">
        <v>1189</v>
      </c>
      <c r="G1656" s="1" t="s">
        <v>1190</v>
      </c>
      <c r="H1656" s="2"/>
      <c r="I1656" s="2"/>
      <c r="J1656" s="2"/>
      <c r="K1656" s="2"/>
    </row>
    <row x14ac:dyDescent="0.25" r="1657" customHeight="1" ht="17.25">
      <c r="A1657" s="1" t="s">
        <v>3449</v>
      </c>
      <c r="B1657" s="1" t="s">
        <v>3450</v>
      </c>
      <c r="C1657" s="1" t="s">
        <v>20</v>
      </c>
      <c r="D1657" s="1" t="s">
        <v>1187</v>
      </c>
      <c r="E1657" s="1" t="s">
        <v>1188</v>
      </c>
      <c r="F1657" s="1" t="s">
        <v>1189</v>
      </c>
      <c r="G1657" s="1" t="s">
        <v>1190</v>
      </c>
      <c r="H1657" s="2"/>
      <c r="I1657" s="2"/>
      <c r="J1657" s="2"/>
      <c r="K1657" s="2"/>
    </row>
    <row x14ac:dyDescent="0.25" r="1658" customHeight="1" ht="17.25">
      <c r="A1658" s="1" t="s">
        <v>3451</v>
      </c>
      <c r="B1658" s="1" t="s">
        <v>3452</v>
      </c>
      <c r="C1658" s="1" t="s">
        <v>20</v>
      </c>
      <c r="D1658" s="1" t="s">
        <v>1187</v>
      </c>
      <c r="E1658" s="1" t="s">
        <v>1188</v>
      </c>
      <c r="F1658" s="1" t="s">
        <v>1189</v>
      </c>
      <c r="G1658" s="1" t="s">
        <v>1190</v>
      </c>
      <c r="H1658" s="2"/>
      <c r="I1658" s="2"/>
      <c r="J1658" s="2"/>
      <c r="K1658" s="2"/>
    </row>
    <row x14ac:dyDescent="0.25" r="1659" customHeight="1" ht="17.25">
      <c r="A1659" s="1" t="s">
        <v>3453</v>
      </c>
      <c r="B1659" s="1" t="s">
        <v>3454</v>
      </c>
      <c r="C1659" s="1" t="s">
        <v>20</v>
      </c>
      <c r="D1659" s="1" t="s">
        <v>1187</v>
      </c>
      <c r="E1659" s="1" t="s">
        <v>1188</v>
      </c>
      <c r="F1659" s="1" t="s">
        <v>1189</v>
      </c>
      <c r="G1659" s="1" t="s">
        <v>1190</v>
      </c>
      <c r="H1659" s="2"/>
      <c r="I1659" s="2"/>
      <c r="J1659" s="2"/>
      <c r="K1659" s="2"/>
    </row>
    <row x14ac:dyDescent="0.25" r="1660" customHeight="1" ht="17.25">
      <c r="A1660" s="1" t="s">
        <v>3455</v>
      </c>
      <c r="B1660" s="1" t="s">
        <v>3456</v>
      </c>
      <c r="C1660" s="1" t="s">
        <v>20</v>
      </c>
      <c r="D1660" s="1" t="s">
        <v>1187</v>
      </c>
      <c r="E1660" s="1" t="s">
        <v>1188</v>
      </c>
      <c r="F1660" s="1" t="s">
        <v>1189</v>
      </c>
      <c r="G1660" s="1" t="s">
        <v>1190</v>
      </c>
      <c r="H1660" s="2"/>
      <c r="I1660" s="2"/>
      <c r="J1660" s="2"/>
      <c r="K1660" s="2"/>
    </row>
    <row x14ac:dyDescent="0.25" r="1661" customHeight="1" ht="17.25">
      <c r="A1661" s="1" t="s">
        <v>3457</v>
      </c>
      <c r="B1661" s="1" t="s">
        <v>3458</v>
      </c>
      <c r="C1661" s="1" t="s">
        <v>20</v>
      </c>
      <c r="D1661" s="1" t="s">
        <v>1187</v>
      </c>
      <c r="E1661" s="1" t="s">
        <v>1188</v>
      </c>
      <c r="F1661" s="1" t="s">
        <v>1189</v>
      </c>
      <c r="G1661" s="1" t="s">
        <v>1190</v>
      </c>
      <c r="H1661" s="2"/>
      <c r="I1661" s="2"/>
      <c r="J1661" s="2"/>
      <c r="K1661" s="2"/>
    </row>
    <row x14ac:dyDescent="0.25" r="1662" customHeight="1" ht="17.25">
      <c r="A1662" s="1" t="s">
        <v>3459</v>
      </c>
      <c r="B1662" s="1" t="s">
        <v>3460</v>
      </c>
      <c r="C1662" s="1" t="s">
        <v>20</v>
      </c>
      <c r="D1662" s="1" t="s">
        <v>1187</v>
      </c>
      <c r="E1662" s="1" t="s">
        <v>1188</v>
      </c>
      <c r="F1662" s="1" t="s">
        <v>1189</v>
      </c>
      <c r="G1662" s="1" t="s">
        <v>1190</v>
      </c>
      <c r="H1662" s="2"/>
      <c r="I1662" s="2"/>
      <c r="J1662" s="2"/>
      <c r="K1662" s="2"/>
    </row>
    <row x14ac:dyDescent="0.25" r="1663" customHeight="1" ht="17.25">
      <c r="A1663" s="1" t="s">
        <v>3461</v>
      </c>
      <c r="B1663" s="1" t="s">
        <v>3462</v>
      </c>
      <c r="C1663" s="1" t="s">
        <v>20</v>
      </c>
      <c r="D1663" s="1" t="s">
        <v>1187</v>
      </c>
      <c r="E1663" s="1" t="s">
        <v>1188</v>
      </c>
      <c r="F1663" s="1" t="s">
        <v>1189</v>
      </c>
      <c r="G1663" s="1" t="s">
        <v>1190</v>
      </c>
      <c r="H1663" s="2"/>
      <c r="I1663" s="2"/>
      <c r="J1663" s="2"/>
      <c r="K1663" s="2"/>
    </row>
    <row x14ac:dyDescent="0.25" r="1664" customHeight="1" ht="17.25">
      <c r="A1664" s="1" t="s">
        <v>3463</v>
      </c>
      <c r="B1664" s="1" t="s">
        <v>3464</v>
      </c>
      <c r="C1664" s="1" t="s">
        <v>20</v>
      </c>
      <c r="D1664" s="1" t="s">
        <v>1187</v>
      </c>
      <c r="E1664" s="1" t="s">
        <v>1188</v>
      </c>
      <c r="F1664" s="1" t="s">
        <v>1189</v>
      </c>
      <c r="G1664" s="1" t="s">
        <v>1190</v>
      </c>
      <c r="H1664" s="2"/>
      <c r="I1664" s="2"/>
      <c r="J1664" s="2"/>
      <c r="K1664" s="2"/>
    </row>
    <row x14ac:dyDescent="0.25" r="1665" customHeight="1" ht="17.25">
      <c r="A1665" s="1" t="s">
        <v>3465</v>
      </c>
      <c r="B1665" s="1" t="s">
        <v>3466</v>
      </c>
      <c r="C1665" s="1" t="s">
        <v>20</v>
      </c>
      <c r="D1665" s="1" t="s">
        <v>1187</v>
      </c>
      <c r="E1665" s="1" t="s">
        <v>1188</v>
      </c>
      <c r="F1665" s="1" t="s">
        <v>1189</v>
      </c>
      <c r="G1665" s="1" t="s">
        <v>1190</v>
      </c>
      <c r="H1665" s="2"/>
      <c r="I1665" s="2"/>
      <c r="J1665" s="2"/>
      <c r="K1665" s="2"/>
    </row>
    <row x14ac:dyDescent="0.25" r="1666" customHeight="1" ht="17.25">
      <c r="A1666" s="1" t="s">
        <v>3467</v>
      </c>
      <c r="B1666" s="1" t="s">
        <v>3468</v>
      </c>
      <c r="C1666" s="1" t="s">
        <v>20</v>
      </c>
      <c r="D1666" s="1" t="s">
        <v>1187</v>
      </c>
      <c r="E1666" s="1" t="s">
        <v>1188</v>
      </c>
      <c r="F1666" s="1" t="s">
        <v>1189</v>
      </c>
      <c r="G1666" s="1" t="s">
        <v>1190</v>
      </c>
      <c r="H1666" s="2"/>
      <c r="I1666" s="2"/>
      <c r="J1666" s="2"/>
      <c r="K1666" s="2"/>
    </row>
    <row x14ac:dyDescent="0.25" r="1667" customHeight="1" ht="17.25">
      <c r="A1667" s="1" t="s">
        <v>3469</v>
      </c>
      <c r="B1667" s="1" t="s">
        <v>3470</v>
      </c>
      <c r="C1667" s="1" t="s">
        <v>20</v>
      </c>
      <c r="D1667" s="1" t="s">
        <v>1187</v>
      </c>
      <c r="E1667" s="1" t="s">
        <v>1188</v>
      </c>
      <c r="F1667" s="1" t="s">
        <v>1189</v>
      </c>
      <c r="G1667" s="1" t="s">
        <v>1190</v>
      </c>
      <c r="H1667" s="2"/>
      <c r="I1667" s="2"/>
      <c r="J1667" s="2"/>
      <c r="K1667" s="2"/>
    </row>
    <row x14ac:dyDescent="0.25" r="1668" customHeight="1" ht="17.25">
      <c r="A1668" s="1" t="s">
        <v>3471</v>
      </c>
      <c r="B1668" s="1" t="s">
        <v>3472</v>
      </c>
      <c r="C1668" s="1" t="s">
        <v>20</v>
      </c>
      <c r="D1668" s="1" t="s">
        <v>1187</v>
      </c>
      <c r="E1668" s="1" t="s">
        <v>1188</v>
      </c>
      <c r="F1668" s="1" t="s">
        <v>1189</v>
      </c>
      <c r="G1668" s="1" t="s">
        <v>1190</v>
      </c>
      <c r="H1668" s="2"/>
      <c r="I1668" s="2"/>
      <c r="J1668" s="2"/>
      <c r="K1668" s="2"/>
    </row>
    <row x14ac:dyDescent="0.25" r="1669" customHeight="1" ht="17.25">
      <c r="A1669" s="1" t="s">
        <v>3473</v>
      </c>
      <c r="B1669" s="1" t="s">
        <v>3474</v>
      </c>
      <c r="C1669" s="1" t="s">
        <v>20</v>
      </c>
      <c r="D1669" s="1" t="s">
        <v>1187</v>
      </c>
      <c r="E1669" s="1" t="s">
        <v>1188</v>
      </c>
      <c r="F1669" s="1" t="s">
        <v>1189</v>
      </c>
      <c r="G1669" s="1" t="s">
        <v>1190</v>
      </c>
      <c r="H1669" s="2"/>
      <c r="I1669" s="2"/>
      <c r="J1669" s="2"/>
      <c r="K1669" s="2"/>
    </row>
    <row x14ac:dyDescent="0.25" r="1670" customHeight="1" ht="17.25">
      <c r="A1670" s="1" t="s">
        <v>3475</v>
      </c>
      <c r="B1670" s="1" t="s">
        <v>3476</v>
      </c>
      <c r="C1670" s="1" t="s">
        <v>20</v>
      </c>
      <c r="D1670" s="1" t="s">
        <v>1187</v>
      </c>
      <c r="E1670" s="1" t="s">
        <v>1188</v>
      </c>
      <c r="F1670" s="1" t="s">
        <v>1189</v>
      </c>
      <c r="G1670" s="1" t="s">
        <v>1190</v>
      </c>
      <c r="H1670" s="2"/>
      <c r="I1670" s="2"/>
      <c r="J1670" s="2"/>
      <c r="K1670" s="2"/>
    </row>
    <row x14ac:dyDescent="0.25" r="1671" customHeight="1" ht="17.25">
      <c r="A1671" s="1" t="s">
        <v>3477</v>
      </c>
      <c r="B1671" s="1" t="s">
        <v>3478</v>
      </c>
      <c r="C1671" s="1" t="s">
        <v>20</v>
      </c>
      <c r="D1671" s="1" t="s">
        <v>1187</v>
      </c>
      <c r="E1671" s="1" t="s">
        <v>1188</v>
      </c>
      <c r="F1671" s="1" t="s">
        <v>1189</v>
      </c>
      <c r="G1671" s="1" t="s">
        <v>1190</v>
      </c>
      <c r="H1671" s="2"/>
      <c r="I1671" s="2"/>
      <c r="J1671" s="2"/>
      <c r="K1671" s="2"/>
    </row>
    <row x14ac:dyDescent="0.25" r="1672" customHeight="1" ht="17.25">
      <c r="A1672" s="1" t="s">
        <v>3479</v>
      </c>
      <c r="B1672" s="1" t="s">
        <v>3480</v>
      </c>
      <c r="C1672" s="1" t="s">
        <v>20</v>
      </c>
      <c r="D1672" s="1" t="s">
        <v>1187</v>
      </c>
      <c r="E1672" s="1" t="s">
        <v>1188</v>
      </c>
      <c r="F1672" s="1" t="s">
        <v>1189</v>
      </c>
      <c r="G1672" s="1" t="s">
        <v>1190</v>
      </c>
      <c r="H1672" s="2"/>
      <c r="I1672" s="2"/>
      <c r="J1672" s="2"/>
      <c r="K1672" s="2"/>
    </row>
    <row x14ac:dyDescent="0.25" r="1673" customHeight="1" ht="17.25">
      <c r="A1673" s="1" t="s">
        <v>3481</v>
      </c>
      <c r="B1673" s="1" t="s">
        <v>3482</v>
      </c>
      <c r="C1673" s="1" t="s">
        <v>20</v>
      </c>
      <c r="D1673" s="1" t="s">
        <v>1187</v>
      </c>
      <c r="E1673" s="1" t="s">
        <v>1188</v>
      </c>
      <c r="F1673" s="1" t="s">
        <v>1189</v>
      </c>
      <c r="G1673" s="1" t="s">
        <v>1190</v>
      </c>
      <c r="H1673" s="2"/>
      <c r="I1673" s="2"/>
      <c r="J1673" s="2"/>
      <c r="K1673" s="2"/>
    </row>
    <row x14ac:dyDescent="0.25" r="1674" customHeight="1" ht="17.25">
      <c r="A1674" s="1" t="s">
        <v>3483</v>
      </c>
      <c r="B1674" s="1" t="s">
        <v>3484</v>
      </c>
      <c r="C1674" s="1" t="s">
        <v>20</v>
      </c>
      <c r="D1674" s="1" t="s">
        <v>1187</v>
      </c>
      <c r="E1674" s="1" t="s">
        <v>1188</v>
      </c>
      <c r="F1674" s="1" t="s">
        <v>1189</v>
      </c>
      <c r="G1674" s="1" t="s">
        <v>1190</v>
      </c>
      <c r="H1674" s="2"/>
      <c r="I1674" s="2"/>
      <c r="J1674" s="2"/>
      <c r="K1674" s="2"/>
    </row>
    <row x14ac:dyDescent="0.25" r="1675" customHeight="1" ht="17.25">
      <c r="A1675" s="1" t="s">
        <v>3485</v>
      </c>
      <c r="B1675" s="1" t="s">
        <v>3486</v>
      </c>
      <c r="C1675" s="1" t="s">
        <v>20</v>
      </c>
      <c r="D1675" s="1" t="s">
        <v>1187</v>
      </c>
      <c r="E1675" s="1" t="s">
        <v>1188</v>
      </c>
      <c r="F1675" s="1" t="s">
        <v>1189</v>
      </c>
      <c r="G1675" s="1" t="s">
        <v>1190</v>
      </c>
      <c r="H1675" s="2"/>
      <c r="I1675" s="2"/>
      <c r="J1675" s="2"/>
      <c r="K1675" s="2"/>
    </row>
    <row x14ac:dyDescent="0.25" r="1676" customHeight="1" ht="17.25">
      <c r="A1676" s="1" t="s">
        <v>3487</v>
      </c>
      <c r="B1676" s="1" t="s">
        <v>3488</v>
      </c>
      <c r="C1676" s="1" t="s">
        <v>20</v>
      </c>
      <c r="D1676" s="1" t="s">
        <v>1187</v>
      </c>
      <c r="E1676" s="1" t="s">
        <v>1188</v>
      </c>
      <c r="F1676" s="1" t="s">
        <v>1189</v>
      </c>
      <c r="G1676" s="1" t="s">
        <v>1190</v>
      </c>
      <c r="H1676" s="2"/>
      <c r="I1676" s="2"/>
      <c r="J1676" s="2"/>
      <c r="K1676" s="2"/>
    </row>
    <row x14ac:dyDescent="0.25" r="1677" customHeight="1" ht="17.25">
      <c r="A1677" s="1" t="s">
        <v>3489</v>
      </c>
      <c r="B1677" s="1" t="s">
        <v>3490</v>
      </c>
      <c r="C1677" s="1" t="s">
        <v>20</v>
      </c>
      <c r="D1677" s="1" t="s">
        <v>1187</v>
      </c>
      <c r="E1677" s="1" t="s">
        <v>1188</v>
      </c>
      <c r="F1677" s="1" t="s">
        <v>1189</v>
      </c>
      <c r="G1677" s="1" t="s">
        <v>1190</v>
      </c>
      <c r="H1677" s="2"/>
      <c r="I1677" s="2"/>
      <c r="J1677" s="2"/>
      <c r="K1677" s="2"/>
    </row>
    <row x14ac:dyDescent="0.25" r="1678" customHeight="1" ht="17.25">
      <c r="A1678" s="1" t="s">
        <v>3491</v>
      </c>
      <c r="B1678" s="1" t="s">
        <v>3492</v>
      </c>
      <c r="C1678" s="1" t="s">
        <v>20</v>
      </c>
      <c r="D1678" s="1" t="s">
        <v>1187</v>
      </c>
      <c r="E1678" s="1" t="s">
        <v>1188</v>
      </c>
      <c r="F1678" s="1" t="s">
        <v>1189</v>
      </c>
      <c r="G1678" s="1" t="s">
        <v>1190</v>
      </c>
      <c r="H1678" s="2"/>
      <c r="I1678" s="2"/>
      <c r="J1678" s="2"/>
      <c r="K1678" s="2"/>
    </row>
    <row x14ac:dyDescent="0.25" r="1679" customHeight="1" ht="17.25">
      <c r="A1679" s="1" t="s">
        <v>3493</v>
      </c>
      <c r="B1679" s="1" t="s">
        <v>3494</v>
      </c>
      <c r="C1679" s="1" t="s">
        <v>20</v>
      </c>
      <c r="D1679" s="1" t="s">
        <v>1187</v>
      </c>
      <c r="E1679" s="1" t="s">
        <v>1188</v>
      </c>
      <c r="F1679" s="1" t="s">
        <v>1189</v>
      </c>
      <c r="G1679" s="1" t="s">
        <v>1190</v>
      </c>
      <c r="H1679" s="2"/>
      <c r="I1679" s="2"/>
      <c r="J1679" s="2"/>
      <c r="K1679" s="2"/>
    </row>
    <row x14ac:dyDescent="0.25" r="1680" customHeight="1" ht="17.25">
      <c r="A1680" s="1" t="s">
        <v>3495</v>
      </c>
      <c r="B1680" s="1" t="s">
        <v>3496</v>
      </c>
      <c r="C1680" s="1" t="s">
        <v>20</v>
      </c>
      <c r="D1680" s="1" t="s">
        <v>1187</v>
      </c>
      <c r="E1680" s="1" t="s">
        <v>1188</v>
      </c>
      <c r="F1680" s="1" t="s">
        <v>1189</v>
      </c>
      <c r="G1680" s="1" t="s">
        <v>1190</v>
      </c>
      <c r="H1680" s="2"/>
      <c r="I1680" s="2"/>
      <c r="J1680" s="2"/>
      <c r="K1680" s="2"/>
    </row>
    <row x14ac:dyDescent="0.25" r="1681" customHeight="1" ht="17.25">
      <c r="A1681" s="1" t="s">
        <v>3497</v>
      </c>
      <c r="B1681" s="1" t="s">
        <v>3498</v>
      </c>
      <c r="C1681" s="1" t="s">
        <v>20</v>
      </c>
      <c r="D1681" s="1" t="s">
        <v>1187</v>
      </c>
      <c r="E1681" s="1" t="s">
        <v>1188</v>
      </c>
      <c r="F1681" s="1" t="s">
        <v>1189</v>
      </c>
      <c r="G1681" s="1" t="s">
        <v>1190</v>
      </c>
      <c r="H1681" s="2"/>
      <c r="I1681" s="2"/>
      <c r="J1681" s="2"/>
      <c r="K1681" s="2"/>
    </row>
    <row x14ac:dyDescent="0.25" r="1682" customHeight="1" ht="17.25">
      <c r="A1682" s="1" t="s">
        <v>3499</v>
      </c>
      <c r="B1682" s="1" t="s">
        <v>3500</v>
      </c>
      <c r="C1682" s="1" t="s">
        <v>20</v>
      </c>
      <c r="D1682" s="1" t="s">
        <v>1187</v>
      </c>
      <c r="E1682" s="1" t="s">
        <v>1188</v>
      </c>
      <c r="F1682" s="1" t="s">
        <v>1189</v>
      </c>
      <c r="G1682" s="1" t="s">
        <v>1190</v>
      </c>
      <c r="H1682" s="2"/>
      <c r="I1682" s="2"/>
      <c r="J1682" s="2"/>
      <c r="K1682" s="2"/>
    </row>
    <row x14ac:dyDescent="0.25" r="1683" customHeight="1" ht="17.25">
      <c r="A1683" s="1" t="s">
        <v>3501</v>
      </c>
      <c r="B1683" s="1" t="s">
        <v>3502</v>
      </c>
      <c r="C1683" s="1" t="s">
        <v>20</v>
      </c>
      <c r="D1683" s="1" t="s">
        <v>1187</v>
      </c>
      <c r="E1683" s="1" t="s">
        <v>1188</v>
      </c>
      <c r="F1683" s="1" t="s">
        <v>1189</v>
      </c>
      <c r="G1683" s="1" t="s">
        <v>1190</v>
      </c>
      <c r="H1683" s="2"/>
      <c r="I1683" s="2"/>
      <c r="J1683" s="2"/>
      <c r="K1683" s="2"/>
    </row>
    <row x14ac:dyDescent="0.25" r="1684" customHeight="1" ht="17.25">
      <c r="A1684" s="1" t="s">
        <v>3503</v>
      </c>
      <c r="B1684" s="1" t="s">
        <v>3504</v>
      </c>
      <c r="C1684" s="1" t="s">
        <v>20</v>
      </c>
      <c r="D1684" s="1" t="s">
        <v>1187</v>
      </c>
      <c r="E1684" s="1" t="s">
        <v>1188</v>
      </c>
      <c r="F1684" s="1" t="s">
        <v>1189</v>
      </c>
      <c r="G1684" s="1" t="s">
        <v>1190</v>
      </c>
      <c r="H1684" s="2"/>
      <c r="I1684" s="2"/>
      <c r="J1684" s="2"/>
      <c r="K1684" s="2"/>
    </row>
    <row x14ac:dyDescent="0.25" r="1685" customHeight="1" ht="17.25">
      <c r="A1685" s="1" t="s">
        <v>3505</v>
      </c>
      <c r="B1685" s="1" t="s">
        <v>3506</v>
      </c>
      <c r="C1685" s="1" t="s">
        <v>20</v>
      </c>
      <c r="D1685" s="1" t="s">
        <v>1187</v>
      </c>
      <c r="E1685" s="1" t="s">
        <v>1188</v>
      </c>
      <c r="F1685" s="1" t="s">
        <v>1189</v>
      </c>
      <c r="G1685" s="1" t="s">
        <v>1190</v>
      </c>
      <c r="H1685" s="2"/>
      <c r="I1685" s="2"/>
      <c r="J1685" s="2"/>
      <c r="K1685" s="2"/>
    </row>
    <row x14ac:dyDescent="0.25" r="1686" customHeight="1" ht="17.25">
      <c r="A1686" s="1" t="s">
        <v>3507</v>
      </c>
      <c r="B1686" s="1" t="s">
        <v>3508</v>
      </c>
      <c r="C1686" s="1" t="s">
        <v>20</v>
      </c>
      <c r="D1686" s="1" t="s">
        <v>1187</v>
      </c>
      <c r="E1686" s="1" t="s">
        <v>1188</v>
      </c>
      <c r="F1686" s="1" t="s">
        <v>1189</v>
      </c>
      <c r="G1686" s="1" t="s">
        <v>1190</v>
      </c>
      <c r="H1686" s="2"/>
      <c r="I1686" s="2"/>
      <c r="J1686" s="2"/>
      <c r="K1686" s="2"/>
    </row>
    <row x14ac:dyDescent="0.25" r="1687" customHeight="1" ht="17.25">
      <c r="A1687" s="1" t="s">
        <v>3509</v>
      </c>
      <c r="B1687" s="1" t="s">
        <v>3510</v>
      </c>
      <c r="C1687" s="1" t="s">
        <v>20</v>
      </c>
      <c r="D1687" s="1" t="s">
        <v>1187</v>
      </c>
      <c r="E1687" s="1" t="s">
        <v>1188</v>
      </c>
      <c r="F1687" s="1" t="s">
        <v>1189</v>
      </c>
      <c r="G1687" s="1" t="s">
        <v>1190</v>
      </c>
      <c r="H1687" s="2"/>
      <c r="I1687" s="2"/>
      <c r="J1687" s="2"/>
      <c r="K1687" s="2"/>
    </row>
    <row x14ac:dyDescent="0.25" r="1688" customHeight="1" ht="17.25">
      <c r="A1688" s="1" t="s">
        <v>3511</v>
      </c>
      <c r="B1688" s="1" t="s">
        <v>3512</v>
      </c>
      <c r="C1688" s="1" t="s">
        <v>20</v>
      </c>
      <c r="D1688" s="1" t="s">
        <v>1187</v>
      </c>
      <c r="E1688" s="1" t="s">
        <v>1188</v>
      </c>
      <c r="F1688" s="1" t="s">
        <v>1189</v>
      </c>
      <c r="G1688" s="1" t="s">
        <v>1190</v>
      </c>
      <c r="H1688" s="2"/>
      <c r="I1688" s="2"/>
      <c r="J1688" s="2"/>
      <c r="K1688" s="2"/>
    </row>
    <row x14ac:dyDescent="0.25" r="1689" customHeight="1" ht="17.25">
      <c r="A1689" s="1" t="s">
        <v>3513</v>
      </c>
      <c r="B1689" s="1" t="s">
        <v>3514</v>
      </c>
      <c r="C1689" s="1" t="s">
        <v>20</v>
      </c>
      <c r="D1689" s="1" t="s">
        <v>1187</v>
      </c>
      <c r="E1689" s="1" t="s">
        <v>1188</v>
      </c>
      <c r="F1689" s="1" t="s">
        <v>1189</v>
      </c>
      <c r="G1689" s="1" t="s">
        <v>1190</v>
      </c>
      <c r="H1689" s="2"/>
      <c r="I1689" s="2"/>
      <c r="J1689" s="2"/>
      <c r="K1689" s="2"/>
    </row>
    <row x14ac:dyDescent="0.25" r="1690" customHeight="1" ht="17.25">
      <c r="A1690" s="1" t="s">
        <v>3515</v>
      </c>
      <c r="B1690" s="1" t="s">
        <v>3516</v>
      </c>
      <c r="C1690" s="1" t="s">
        <v>20</v>
      </c>
      <c r="D1690" s="1" t="s">
        <v>1187</v>
      </c>
      <c r="E1690" s="1" t="s">
        <v>1188</v>
      </c>
      <c r="F1690" s="1" t="s">
        <v>1189</v>
      </c>
      <c r="G1690" s="1" t="s">
        <v>1190</v>
      </c>
      <c r="H1690" s="2"/>
      <c r="I1690" s="2"/>
      <c r="J1690" s="2"/>
      <c r="K1690" s="2"/>
    </row>
    <row x14ac:dyDescent="0.25" r="1691" customHeight="1" ht="17.25">
      <c r="A1691" s="1" t="s">
        <v>3517</v>
      </c>
      <c r="B1691" s="1" t="s">
        <v>3518</v>
      </c>
      <c r="C1691" s="1" t="s">
        <v>20</v>
      </c>
      <c r="D1691" s="1" t="s">
        <v>1187</v>
      </c>
      <c r="E1691" s="1" t="s">
        <v>1188</v>
      </c>
      <c r="F1691" s="1" t="s">
        <v>1189</v>
      </c>
      <c r="G1691" s="1" t="s">
        <v>1190</v>
      </c>
      <c r="H1691" s="2"/>
      <c r="I1691" s="2"/>
      <c r="J1691" s="2"/>
      <c r="K1691" s="2"/>
    </row>
    <row x14ac:dyDescent="0.25" r="1692" customHeight="1" ht="17.25">
      <c r="A1692" s="1" t="s">
        <v>3519</v>
      </c>
      <c r="B1692" s="1" t="s">
        <v>3520</v>
      </c>
      <c r="C1692" s="1" t="s">
        <v>20</v>
      </c>
      <c r="D1692" s="1" t="s">
        <v>1187</v>
      </c>
      <c r="E1692" s="1" t="s">
        <v>1188</v>
      </c>
      <c r="F1692" s="1" t="s">
        <v>1189</v>
      </c>
      <c r="G1692" s="1" t="s">
        <v>1190</v>
      </c>
      <c r="H1692" s="2"/>
      <c r="I1692" s="2"/>
      <c r="J1692" s="2"/>
      <c r="K1692" s="2"/>
    </row>
    <row x14ac:dyDescent="0.25" r="1693" customHeight="1" ht="17.25">
      <c r="A1693" s="1" t="s">
        <v>3521</v>
      </c>
      <c r="B1693" s="1" t="s">
        <v>3522</v>
      </c>
      <c r="C1693" s="1" t="s">
        <v>20</v>
      </c>
      <c r="D1693" s="1" t="s">
        <v>1187</v>
      </c>
      <c r="E1693" s="1" t="s">
        <v>1188</v>
      </c>
      <c r="F1693" s="1" t="s">
        <v>1189</v>
      </c>
      <c r="G1693" s="1" t="s">
        <v>1190</v>
      </c>
      <c r="H1693" s="2"/>
      <c r="I1693" s="2"/>
      <c r="J1693" s="2"/>
      <c r="K1693" s="2"/>
    </row>
    <row x14ac:dyDescent="0.25" r="1694" customHeight="1" ht="17.25">
      <c r="A1694" s="1" t="s">
        <v>3523</v>
      </c>
      <c r="B1694" s="1" t="s">
        <v>3524</v>
      </c>
      <c r="C1694" s="1" t="s">
        <v>20</v>
      </c>
      <c r="D1694" s="1" t="s">
        <v>1187</v>
      </c>
      <c r="E1694" s="1" t="s">
        <v>1188</v>
      </c>
      <c r="F1694" s="1" t="s">
        <v>1189</v>
      </c>
      <c r="G1694" s="1" t="s">
        <v>1190</v>
      </c>
      <c r="H1694" s="2"/>
      <c r="I1694" s="2"/>
      <c r="J1694" s="2"/>
      <c r="K1694" s="2"/>
    </row>
    <row x14ac:dyDescent="0.25" r="1695" customHeight="1" ht="17.25">
      <c r="A1695" s="1" t="s">
        <v>3525</v>
      </c>
      <c r="B1695" s="1" t="s">
        <v>3526</v>
      </c>
      <c r="C1695" s="1" t="s">
        <v>20</v>
      </c>
      <c r="D1695" s="1" t="s">
        <v>1187</v>
      </c>
      <c r="E1695" s="1" t="s">
        <v>1188</v>
      </c>
      <c r="F1695" s="1" t="s">
        <v>1189</v>
      </c>
      <c r="G1695" s="1" t="s">
        <v>1190</v>
      </c>
      <c r="H1695" s="2"/>
      <c r="I1695" s="2"/>
      <c r="J1695" s="2"/>
      <c r="K1695" s="2"/>
    </row>
    <row x14ac:dyDescent="0.25" r="1696" customHeight="1" ht="17.25">
      <c r="A1696" s="1" t="s">
        <v>3527</v>
      </c>
      <c r="B1696" s="1" t="s">
        <v>3528</v>
      </c>
      <c r="C1696" s="1" t="s">
        <v>20</v>
      </c>
      <c r="D1696" s="1" t="s">
        <v>1187</v>
      </c>
      <c r="E1696" s="1" t="s">
        <v>1188</v>
      </c>
      <c r="F1696" s="1" t="s">
        <v>1189</v>
      </c>
      <c r="G1696" s="1" t="s">
        <v>1190</v>
      </c>
      <c r="H1696" s="2"/>
      <c r="I1696" s="2"/>
      <c r="J1696" s="2"/>
      <c r="K1696" s="2"/>
    </row>
    <row x14ac:dyDescent="0.25" r="1697" customHeight="1" ht="17.25">
      <c r="A1697" s="1" t="s">
        <v>3529</v>
      </c>
      <c r="B1697" s="1" t="s">
        <v>3530</v>
      </c>
      <c r="C1697" s="1" t="s">
        <v>20</v>
      </c>
      <c r="D1697" s="1" t="s">
        <v>1187</v>
      </c>
      <c r="E1697" s="1" t="s">
        <v>1188</v>
      </c>
      <c r="F1697" s="1" t="s">
        <v>1189</v>
      </c>
      <c r="G1697" s="1" t="s">
        <v>1190</v>
      </c>
      <c r="H1697" s="2"/>
      <c r="I1697" s="2"/>
      <c r="J1697" s="2"/>
      <c r="K1697" s="2"/>
    </row>
    <row x14ac:dyDescent="0.25" r="1698" customHeight="1" ht="17.25">
      <c r="A1698" s="1" t="s">
        <v>3531</v>
      </c>
      <c r="B1698" s="1" t="s">
        <v>3532</v>
      </c>
      <c r="C1698" s="1" t="s">
        <v>20</v>
      </c>
      <c r="D1698" s="1" t="s">
        <v>1187</v>
      </c>
      <c r="E1698" s="1" t="s">
        <v>1188</v>
      </c>
      <c r="F1698" s="1" t="s">
        <v>1189</v>
      </c>
      <c r="G1698" s="1" t="s">
        <v>1190</v>
      </c>
      <c r="H1698" s="2"/>
      <c r="I1698" s="2"/>
      <c r="J1698" s="2"/>
      <c r="K1698" s="2"/>
    </row>
    <row x14ac:dyDescent="0.25" r="1699" customHeight="1" ht="17.25">
      <c r="A1699" s="1" t="s">
        <v>3533</v>
      </c>
      <c r="B1699" s="1" t="s">
        <v>3534</v>
      </c>
      <c r="C1699" s="1" t="s">
        <v>20</v>
      </c>
      <c r="D1699" s="1" t="s">
        <v>1187</v>
      </c>
      <c r="E1699" s="1" t="s">
        <v>1188</v>
      </c>
      <c r="F1699" s="1" t="s">
        <v>1189</v>
      </c>
      <c r="G1699" s="1" t="s">
        <v>1190</v>
      </c>
      <c r="H1699" s="2"/>
      <c r="I1699" s="2"/>
      <c r="J1699" s="2"/>
      <c r="K1699" s="2"/>
    </row>
    <row x14ac:dyDescent="0.25" r="1700" customHeight="1" ht="17.25">
      <c r="A1700" s="1" t="s">
        <v>3535</v>
      </c>
      <c r="B1700" s="1" t="s">
        <v>3536</v>
      </c>
      <c r="C1700" s="1" t="s">
        <v>20</v>
      </c>
      <c r="D1700" s="1" t="s">
        <v>1187</v>
      </c>
      <c r="E1700" s="1" t="s">
        <v>1188</v>
      </c>
      <c r="F1700" s="1" t="s">
        <v>1189</v>
      </c>
      <c r="G1700" s="1" t="s">
        <v>1190</v>
      </c>
      <c r="H1700" s="2"/>
      <c r="I1700" s="2"/>
      <c r="J1700" s="2"/>
      <c r="K1700" s="2"/>
    </row>
    <row x14ac:dyDescent="0.25" r="1701" customHeight="1" ht="17.25">
      <c r="A1701" s="1" t="s">
        <v>3537</v>
      </c>
      <c r="B1701" s="1" t="s">
        <v>3538</v>
      </c>
      <c r="C1701" s="1" t="s">
        <v>20</v>
      </c>
      <c r="D1701" s="1" t="s">
        <v>1187</v>
      </c>
      <c r="E1701" s="1" t="s">
        <v>1188</v>
      </c>
      <c r="F1701" s="1" t="s">
        <v>1189</v>
      </c>
      <c r="G1701" s="1" t="s">
        <v>1190</v>
      </c>
      <c r="H1701" s="2"/>
      <c r="I1701" s="2"/>
      <c r="J1701" s="2"/>
      <c r="K1701" s="2"/>
    </row>
    <row x14ac:dyDescent="0.25" r="1702" customHeight="1" ht="17.25">
      <c r="A1702" s="1" t="s">
        <v>3539</v>
      </c>
      <c r="B1702" s="1" t="s">
        <v>3540</v>
      </c>
      <c r="C1702" s="1" t="s">
        <v>20</v>
      </c>
      <c r="D1702" s="1" t="s">
        <v>1187</v>
      </c>
      <c r="E1702" s="1" t="s">
        <v>1188</v>
      </c>
      <c r="F1702" s="1" t="s">
        <v>1189</v>
      </c>
      <c r="G1702" s="1" t="s">
        <v>1190</v>
      </c>
      <c r="H1702" s="2"/>
      <c r="I1702" s="2"/>
      <c r="J1702" s="2"/>
      <c r="K1702" s="2"/>
    </row>
    <row x14ac:dyDescent="0.25" r="1703" customHeight="1" ht="17.25">
      <c r="A1703" s="1" t="s">
        <v>3541</v>
      </c>
      <c r="B1703" s="1" t="s">
        <v>3542</v>
      </c>
      <c r="C1703" s="1" t="s">
        <v>20</v>
      </c>
      <c r="D1703" s="1" t="s">
        <v>1187</v>
      </c>
      <c r="E1703" s="1" t="s">
        <v>1188</v>
      </c>
      <c r="F1703" s="1" t="s">
        <v>1189</v>
      </c>
      <c r="G1703" s="1" t="s">
        <v>1190</v>
      </c>
      <c r="H1703" s="2"/>
      <c r="I1703" s="2"/>
      <c r="J1703" s="2"/>
      <c r="K1703" s="2"/>
    </row>
    <row x14ac:dyDescent="0.25" r="1704" customHeight="1" ht="17.25">
      <c r="A1704" s="1" t="s">
        <v>3543</v>
      </c>
      <c r="B1704" s="1" t="s">
        <v>3544</v>
      </c>
      <c r="C1704" s="1" t="s">
        <v>20</v>
      </c>
      <c r="D1704" s="1" t="s">
        <v>1187</v>
      </c>
      <c r="E1704" s="1" t="s">
        <v>1188</v>
      </c>
      <c r="F1704" s="1" t="s">
        <v>1189</v>
      </c>
      <c r="G1704" s="1" t="s">
        <v>1190</v>
      </c>
      <c r="H1704" s="2"/>
      <c r="I1704" s="2"/>
      <c r="J1704" s="2"/>
      <c r="K1704" s="2"/>
    </row>
    <row x14ac:dyDescent="0.25" r="1705" customHeight="1" ht="17.25">
      <c r="A1705" s="1" t="s">
        <v>3545</v>
      </c>
      <c r="B1705" s="1" t="s">
        <v>3546</v>
      </c>
      <c r="C1705" s="1" t="s">
        <v>20</v>
      </c>
      <c r="D1705" s="1" t="s">
        <v>1187</v>
      </c>
      <c r="E1705" s="1" t="s">
        <v>1188</v>
      </c>
      <c r="F1705" s="1" t="s">
        <v>1189</v>
      </c>
      <c r="G1705" s="1" t="s">
        <v>1190</v>
      </c>
      <c r="H1705" s="2"/>
      <c r="I1705" s="2"/>
      <c r="J1705" s="2"/>
      <c r="K1705" s="2"/>
    </row>
    <row x14ac:dyDescent="0.25" r="1706" customHeight="1" ht="17.25">
      <c r="A1706" s="1" t="s">
        <v>3547</v>
      </c>
      <c r="B1706" s="1" t="s">
        <v>3548</v>
      </c>
      <c r="C1706" s="1" t="s">
        <v>20</v>
      </c>
      <c r="D1706" s="1" t="s">
        <v>1187</v>
      </c>
      <c r="E1706" s="1" t="s">
        <v>1188</v>
      </c>
      <c r="F1706" s="1" t="s">
        <v>1189</v>
      </c>
      <c r="G1706" s="1" t="s">
        <v>1190</v>
      </c>
      <c r="H1706" s="2"/>
      <c r="I1706" s="2"/>
      <c r="J1706" s="2"/>
      <c r="K1706" s="2"/>
    </row>
    <row x14ac:dyDescent="0.25" r="1707" customHeight="1" ht="17.25">
      <c r="A1707" s="1" t="s">
        <v>3549</v>
      </c>
      <c r="B1707" s="1" t="s">
        <v>3550</v>
      </c>
      <c r="C1707" s="1" t="s">
        <v>20</v>
      </c>
      <c r="D1707" s="1" t="s">
        <v>1187</v>
      </c>
      <c r="E1707" s="1" t="s">
        <v>1188</v>
      </c>
      <c r="F1707" s="1" t="s">
        <v>1189</v>
      </c>
      <c r="G1707" s="1" t="s">
        <v>1190</v>
      </c>
      <c r="H1707" s="2"/>
      <c r="I1707" s="2"/>
      <c r="J1707" s="2"/>
      <c r="K1707" s="2"/>
    </row>
    <row x14ac:dyDescent="0.25" r="1708" customHeight="1" ht="17.25">
      <c r="A1708" s="1" t="s">
        <v>3551</v>
      </c>
      <c r="B1708" s="1" t="s">
        <v>3552</v>
      </c>
      <c r="C1708" s="1" t="s">
        <v>20</v>
      </c>
      <c r="D1708" s="1" t="s">
        <v>1187</v>
      </c>
      <c r="E1708" s="1" t="s">
        <v>1188</v>
      </c>
      <c r="F1708" s="1" t="s">
        <v>1189</v>
      </c>
      <c r="G1708" s="1" t="s">
        <v>1190</v>
      </c>
      <c r="H1708" s="2"/>
      <c r="I1708" s="2"/>
      <c r="J1708" s="2"/>
      <c r="K1708" s="2"/>
    </row>
    <row x14ac:dyDescent="0.25" r="1709" customHeight="1" ht="17.25">
      <c r="A1709" s="1" t="s">
        <v>3553</v>
      </c>
      <c r="B1709" s="1" t="s">
        <v>3554</v>
      </c>
      <c r="C1709" s="1" t="s">
        <v>20</v>
      </c>
      <c r="D1709" s="1" t="s">
        <v>1187</v>
      </c>
      <c r="E1709" s="1" t="s">
        <v>1188</v>
      </c>
      <c r="F1709" s="1" t="s">
        <v>1189</v>
      </c>
      <c r="G1709" s="1" t="s">
        <v>1190</v>
      </c>
      <c r="H1709" s="2"/>
      <c r="I1709" s="2"/>
      <c r="J1709" s="2"/>
      <c r="K1709" s="2"/>
    </row>
    <row x14ac:dyDescent="0.25" r="1710" customHeight="1" ht="17.25">
      <c r="A1710" s="1" t="s">
        <v>3555</v>
      </c>
      <c r="B1710" s="1" t="s">
        <v>3556</v>
      </c>
      <c r="C1710" s="1" t="s">
        <v>20</v>
      </c>
      <c r="D1710" s="1" t="s">
        <v>1187</v>
      </c>
      <c r="E1710" s="1" t="s">
        <v>1188</v>
      </c>
      <c r="F1710" s="1" t="s">
        <v>1189</v>
      </c>
      <c r="G1710" s="1" t="s">
        <v>1190</v>
      </c>
      <c r="H1710" s="2"/>
      <c r="I1710" s="2"/>
      <c r="J1710" s="2"/>
      <c r="K1710" s="2"/>
    </row>
    <row x14ac:dyDescent="0.25" r="1711" customHeight="1" ht="17.25">
      <c r="A1711" s="2"/>
      <c r="B1711" s="1" t="s">
        <v>3557</v>
      </c>
      <c r="C1711" s="2"/>
      <c r="D1711" s="2"/>
      <c r="E1711" s="2"/>
      <c r="F1711" s="2"/>
      <c r="G1711" s="2"/>
      <c r="H1711" s="2"/>
      <c r="I1711" s="2"/>
      <c r="J1711" s="2"/>
      <c r="K171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uom_category</vt:lpstr>
      <vt:lpstr>uom</vt:lpstr>
      <vt:lpstr>item_category</vt:lpstr>
      <vt:lpstr>classification</vt:lpstr>
      <vt:lpstr>item</vt:lpstr>
      <vt:lpstr>drug</vt:lpstr>
      <vt:lpstr>pharmaceutical_index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2026-06-06T13:39:03.916Z</dcterms:created>
  <dcterms:modified xsi:type="dcterms:W3CDTF">2026-06-06T13:39:03.916Z</dcterms:modified>
</cp:coreProperties>
</file>